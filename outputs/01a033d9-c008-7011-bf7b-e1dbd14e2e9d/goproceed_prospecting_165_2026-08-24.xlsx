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ee70e70f534f4f" /></Relationships>
</file>

<file path=xl/workbook.xml><?xml version="1.0" encoding="utf-8"?>
<x:workbook xmlns:x="http://schemas.openxmlformats.org/spreadsheetml/2006/main">
  <x:sheets>
    <x:sheet xmlns:r="http://schemas.openxmlformats.org/officeDocument/2006/relationships" name="Dashboard" sheetId="1" r:id="R4e478be9cd1d415a"/>
    <x:sheet xmlns:r="http://schemas.openxmlformats.org/officeDocument/2006/relationships" name="Leads 165" sheetId="2" r:id="R4226d8cb32b04dab"/>
    <x:sheet xmlns:r="http://schemas.openxmlformats.org/officeDocument/2006/relationships" name="Vertical Map" sheetId="3" r:id="Re0909e6558ff45ef"/>
    <x:sheet xmlns:r="http://schemas.openxmlformats.org/officeDocument/2006/relationships" name="Pilot Offer" sheetId="4" r:id="R5f932401ba2c4140"/>
    <x:sheet xmlns:r="http://schemas.openxmlformats.org/officeDocument/2006/relationships" name="Outreach" sheetId="5" r:id="Rf6d8f3506c524da9"/>
    <x:sheet xmlns:r="http://schemas.openxmlformats.org/officeDocument/2006/relationships" name="Methodology" sheetId="6" r:id="R216e9bfabde84db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20">
    <x:font>
      <x:sz val="11"/>
      <x:name val="Carlito"/>
    </x:font>
    <x:font>
      <x:b/>
      <x:sz val="20"/>
      <x:color rgb="FFFFFFFF"/>
      <x:name val="Carlito"/>
    </x:font>
    <x:font>
      <x:sz val="10"/>
      <x:color rgb="FFD7E3EF"/>
      <x:name val="Carlito"/>
    </x:font>
    <x:font>
      <x:i/>
      <x:sz val="10"/>
      <x:color rgb="FF7C4A03"/>
      <x:name val="Carlito"/>
    </x:font>
    <x:font>
      <x:b/>
      <x:sz val="9"/>
      <x:color rgb="FFFFFFFF"/>
      <x:name val="Carlito"/>
    </x:font>
    <x:font>
      <x:sz val="9"/>
      <x:color rgb="FF1F2937"/>
      <x:name val="Carlito"/>
    </x:font>
    <x:font>
      <x:b/>
      <x:sz val="12"/>
      <x:color rgb="FF17324D"/>
      <x:name val="Carlito"/>
    </x:font>
    <x:font>
      <x:b/>
      <x:sz val="9"/>
      <x:color rgb="FF4B5563"/>
      <x:name val="Carlito"/>
    </x:font>
    <x:font>
      <x:b/>
      <x:sz val="22"/>
      <x:color rgb="FF17324D"/>
      <x:name val="Carlito"/>
    </x:font>
    <x:font>
      <x:sz val="8"/>
      <x:color rgb="FF6B7280"/>
      <x:name val="Carlito"/>
    </x:font>
    <x:font>
      <x:b/>
      <x:sz val="11"/>
      <x:color rgb="FFFFFFFF"/>
      <x:name val="Carlito"/>
    </x:font>
    <x:font>
      <x:sz val="10"/>
      <x:color rgb="FF1F2937"/>
      <x:name val="Carlito"/>
    </x:font>
    <x:font>
      <x:b/>
      <x:sz val="14"/>
      <x:color rgb="FFFFFFFF"/>
      <x:name val="Carlito"/>
    </x:font>
    <x:font>
      <x:b/>
      <x:sz val="11"/>
      <x:color rgb="FF17324D"/>
      <x:name val="Carlito"/>
    </x:font>
    <x:font>
      <x:b/>
      <x:sz val="9"/>
      <x:color rgb="FF17324D"/>
      <x:name val="Carlito"/>
    </x:font>
    <x:font>
      <x:sz val="11"/>
      <x:color rgb="FF17324D"/>
      <x:name val="Carlito"/>
    </x:font>
    <x:font>
      <x:sz val="11"/>
      <x:color rgb="FF4C1D95"/>
      <x:name val="Carlito"/>
    </x:font>
    <x:font>
      <x:sz val="10"/>
      <x:color rgb="FFB91C1C"/>
      <x:name val="Carlito"/>
    </x:font>
    <x:font>
      <x:sz val="11"/>
      <x:color rgb="FF1F2937"/>
      <x:name val="Carlito"/>
    </x:font>
    <x:font>
      <x:sz val="10"/>
      <x:color rgb="FF7C4A03"/>
      <x:name val="Carlito"/>
    </x:font>
  </x:fonts>
  <x:fills count="10">
    <x:fill>
      <x:patternFill patternType="none"/>
    </x:fill>
    <x:fill>
      <x:patternFill patternType="gray125"/>
    </x:fill>
    <x:fill>
      <x:patternFill patternType="solid">
        <x:fgColor rgb="FF17324D"/>
      </x:patternFill>
    </x:fill>
    <x:fill>
      <x:patternFill patternType="solid">
        <x:fgColor rgb="FFFFF4D6"/>
      </x:patternFill>
    </x:fill>
    <x:fill>
      <x:patternFill patternType="solid">
        <x:fgColor rgb="FF0D9488"/>
      </x:patternFill>
    </x:fill>
    <x:fill>
      <x:patternFill patternType="solid">
        <x:fgColor rgb="FFEAF3FF"/>
      </x:patternFill>
    </x:fill>
    <x:fill>
      <x:patternFill patternType="solid">
        <x:fgColor rgb="FFF3F4F6"/>
      </x:patternFill>
    </x:fill>
    <x:fill>
      <x:patternFill patternType="solid">
        <x:fgColor rgb="FFE9F7ED"/>
      </x:patternFill>
    </x:fill>
    <x:fill>
      <x:patternFill patternType="solid">
        <x:fgColor rgb="FFF1EAFE"/>
      </x:patternFill>
    </x:fill>
    <x:fill>
      <x:patternFill patternType="solid">
        <x:fgColor rgb="FFFDECEC"/>
      </x:patternFill>
    </x:fill>
  </x:fills>
  <x:borders count="4">
    <x:border/>
    <x:border>
      <x:bottom style="thin">
        <x:color rgb="FF2563EB"/>
      </x:bottom>
    </x:border>
    <x:border>
      <x:bottom style="thin">
        <x:color rgb="FFD1D5DB"/>
      </x:bottom>
    </x:border>
    <x:border>
      <x:bottom style="thin">
        <x:color rgb="FFE5E7EB"/>
      </x:bottom>
    </x:border>
  </x:borders>
  <x:cellStyleXfs count="1">
    <x:xf numFmtId="0" fontId="0" fillId="0" borderId="0"/>
  </x:cellStyleXfs>
  <x:cellXfs count="8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x:xf>
    <x:xf numFmtId="0" fontId="5" fillId="0" borderId="0" xfId="0" applyNumberFormat="1" applyFont="1" applyFill="1" applyBorder="1" applyAlignment="1">
      <x:alignment horizontal="center" vertical="top"/>
    </x:xf>
    <x:xf numFmtId="201" fontId="5" fillId="0" borderId="0" xfId="0" applyNumberFormat="1" applyFont="1" applyFill="1" applyBorder="1" applyAlignment="1">
      <x:alignment vertical="top"/>
    </x:xf>
    <x:xf numFmtId="201" fontId="0" fillId="0"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horizontal="center" wrapText="1"/>
    </x:xf>
    <x:xf numFmtId="0" fontId="8" fillId="0" borderId="0" xfId="0" applyNumberFormat="1" applyFont="1" applyFill="1" applyBorder="1"/>
    <x:xf numFmtId="0" fontId="8" fillId="0" borderId="2" xfId="0" applyNumberFormat="1" applyFont="1" applyFill="1" applyBorder="1"/>
    <x:xf numFmtId="0" fontId="8" fillId="0" borderId="2" xfId="0" applyNumberFormat="1" applyFont="1" applyFill="1" applyBorder="1" applyAlignment="1">
      <x:alignment horizontal="center"/>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horizontal="center" wrapText="1"/>
    </x:xf>
    <x:xf numFmtId="0" fontId="10" fillId="4" borderId="0" xfId="0" applyNumberFormat="1" applyFont="1" applyFill="1" applyBorder="1"/>
    <x:xf numFmtId="0" fontId="10" fillId="4" borderId="0" xfId="0" applyNumberFormat="1" applyFont="1" applyFill="1" applyBorder="1" applyAlignment="1">
      <x:alignment horizontal="center"/>
    </x:xf>
    <x:xf numFmtId="0" fontId="11" fillId="0" borderId="0" xfId="0" applyNumberFormat="1" applyFont="1" applyFill="1" applyBorder="1"/>
    <x:xf numFmtId="0" fontId="11" fillId="0" borderId="3" xfId="0" applyNumberFormat="1" applyFont="1" applyFill="1" applyBorder="1"/>
    <x:xf numFmtId="0" fontId="11" fillId="0" borderId="0" xfId="0" applyNumberFormat="1" applyFont="1" applyFill="1" applyBorder="1" applyAlignment="1">
      <x:alignment horizontal="center"/>
    </x:xf>
    <x:xf numFmtId="0" fontId="11" fillId="0" borderId="3" xfId="0" applyNumberFormat="1" applyFont="1" applyFill="1" applyBorder="1" applyAlignment="1">
      <x:alignment horizontal="center"/>
    </x:xf>
    <x:xf numFmtId="0" fontId="12" fillId="2" borderId="0" xfId="0" applyNumberFormat="1" applyFont="1" applyFill="1" applyBorder="1"/>
    <x:xf numFmtId="0" fontId="12" fillId="2" borderId="0" xfId="0" applyNumberFormat="1" applyFont="1" applyFill="1" applyBorder="1" applyAlignment="1">
      <x:alignment horizontal="center"/>
    </x:xf>
    <x:xf numFmtId="0" fontId="12" fillId="2" borderId="0" xfId="0" applyNumberFormat="1" applyFont="1" applyFill="1" applyBorder="1" applyAlignment="1">
      <x:alignment horizontal="center" vertical="center"/>
    </x:xf>
    <x:xf numFmtId="0" fontId="13" fillId="6" borderId="0" xfId="0" applyNumberFormat="1" applyFont="1" applyFill="1" applyBorder="1"/>
    <x:xf numFmtId="0" fontId="13" fillId="6" borderId="0" xfId="0" applyNumberFormat="1" applyFont="1" applyFill="1" applyBorder="1" applyAlignment="1">
      <x:alignment vertical="center"/>
    </x:xf>
    <x:xf numFmtId="0" fontId="11" fillId="0" borderId="0" xfId="0" applyNumberFormat="1" applyFont="1" applyFill="1" applyBorder="1" applyAlignment="1">
      <x:alignment wrapText="1"/>
    </x:xf>
    <x:xf numFmtId="0" fontId="11" fillId="0" borderId="3"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1" fillId="0" borderId="3" xfId="0" applyNumberFormat="1" applyFont="1" applyFill="1" applyBorder="1" applyAlignment="1">
      <x:alignment vertical="center" wrapText="1"/>
    </x:xf>
    <x:xf numFmtId="0" fontId="5" fillId="0" borderId="3" xfId="0" applyNumberFormat="1" applyFont="1" applyFill="1" applyBorder="1"/>
    <x:xf numFmtId="0" fontId="5" fillId="0" borderId="0"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3" xfId="0" applyNumberFormat="1" applyFont="1" applyFill="1" applyBorder="1" applyAlignment="1">
      <x:alignment vertical="top" wrapText="1"/>
    </x:xf>
    <x:xf numFmtId="0" fontId="5" fillId="0" borderId="0"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14" fillId="0" borderId="0" xfId="0" applyNumberFormat="1" applyFont="1" applyFill="1" applyBorder="1" applyAlignment="1">
      <x:alignment vertical="top" wrapText="1"/>
    </x:xf>
    <x:xf numFmtId="0" fontId="14" fillId="0" borderId="3"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vertical="center" wrapText="1"/>
    </x:xf>
    <x:xf numFmtId="0" fontId="0" fillId="8" borderId="0" xfId="0" applyNumberFormat="1" applyFont="1" applyFill="1" applyBorder="1"/>
    <x:xf numFmtId="0" fontId="16" fillId="8" borderId="0" xfId="0" applyNumberFormat="1" applyFont="1" applyFill="1" applyBorder="1"/>
    <x:xf numFmtId="0" fontId="16" fillId="8" borderId="0" xfId="0" applyNumberFormat="1" applyFont="1" applyFill="1" applyBorder="1" applyAlignment="1">
      <x:alignment wrapText="1"/>
    </x:xf>
    <x:xf numFmtId="0" fontId="16" fillId="8" borderId="0" xfId="0" applyNumberFormat="1" applyFont="1" applyFill="1" applyBorder="1" applyAlignment="1">
      <x:alignment vertical="center" wrapText="1"/>
    </x:xf>
    <x:xf numFmtId="0" fontId="11" fillId="0" borderId="0" xfId="0" applyNumberFormat="1" applyFont="1" applyFill="1" applyBorder="1" applyAlignment="1">
      <x:alignment vertical="top" wrapText="1"/>
    </x:xf>
    <x:xf numFmtId="0" fontId="11" fillId="0" borderId="3" xfId="0" applyNumberFormat="1" applyFont="1" applyFill="1" applyBorder="1" applyAlignment="1">
      <x:alignment vertical="top" wrapText="1"/>
    </x:xf>
    <x:xf numFmtId="0" fontId="0" fillId="9" borderId="0" xfId="0" applyNumberFormat="1" applyFont="1" applyFill="1" applyBorder="1"/>
    <x:xf numFmtId="0" fontId="17" fillId="9" borderId="0" xfId="0" applyNumberFormat="1" applyFont="1" applyFill="1" applyBorder="1"/>
    <x:xf numFmtId="0" fontId="17" fillId="9" borderId="0" xfId="0" applyNumberFormat="1" applyFont="1" applyFill="1" applyBorder="1" applyAlignment="1">
      <x:alignment wrapText="1"/>
    </x:xf>
    <x:xf numFmtId="0" fontId="17" fillId="9" borderId="0" xfId="0" applyNumberFormat="1" applyFont="1" applyFill="1" applyBorder="1" applyAlignment="1">
      <x:alignment vertical="center" wrapText="1"/>
    </x:xf>
    <x:xf numFmtId="0" fontId="18" fillId="0" borderId="0" xfId="0" applyNumberFormat="1" applyFont="1" applyFill="1" applyBorder="1"/>
    <x:xf numFmtId="0" fontId="18" fillId="0" borderId="2" xfId="0" applyNumberFormat="1" applyFont="1" applyFill="1" applyBorder="1"/>
    <x:xf numFmtId="0" fontId="18" fillId="0" borderId="0" xfId="0" applyNumberFormat="1" applyFont="1" applyFill="1" applyBorder="1" applyAlignment="1">
      <x:alignment wrapText="1"/>
    </x:xf>
    <x:xf numFmtId="0" fontId="18" fillId="0" borderId="2" xfId="0" applyNumberFormat="1" applyFont="1" applyFill="1" applyBorder="1" applyAlignment="1">
      <x:alignment wrapText="1"/>
    </x:xf>
    <x:xf numFmtId="0" fontId="18" fillId="0" borderId="0" xfId="0" applyNumberFormat="1" applyFont="1" applyFill="1" applyBorder="1" applyAlignment="1">
      <x:alignment vertical="center" wrapText="1"/>
    </x:xf>
    <x:xf numFmtId="0" fontId="18" fillId="0" borderId="2" xfId="0" applyNumberFormat="1" applyFont="1" applyFill="1" applyBorder="1" applyAlignment="1">
      <x:alignment vertical="center" wrapText="1"/>
    </x:xf>
    <x:xf numFmtId="0" fontId="19" fillId="3" borderId="0" xfId="0" applyNumberFormat="1" applyFont="1" applyFill="1" applyBorder="1"/>
    <x:xf numFmtId="0" fontId="19" fillId="3" borderId="0" xfId="0" applyNumberFormat="1" applyFont="1" applyFill="1" applyBorder="1" applyAlignment="1">
      <x:alignment wrapText="1"/>
    </x:xf>
    <x:xf numFmtId="0" fontId="19" fillId="3" borderId="0" xfId="0" applyNumberFormat="1" applyFont="1" applyFill="1" applyBorder="1" applyAlignment="1">
      <x:alignment vertical="center" wrapText="1"/>
    </x:xf>
  </x:cellXfs>
  <x:cellStyles count="1">
    <x:cellStyle name="Normal" xfId="0"/>
  </x:cellStyles>
  <x:dxfs count="5">
    <x:dxf>
      <x:font>
        <x:b/>
        <x:color rgb="FF15803D"/>
      </x:font>
      <x:fill>
        <x:patternFill patternType="solid">
          <x:bgColor rgb="FFE9F7ED"/>
        </x:patternFill>
      </x:fill>
    </x:dxf>
    <x:dxf>
      <x:font>
        <x:b/>
        <x:color rgb="FF7C3AED"/>
      </x:font>
      <x:fill>
        <x:patternFill patternType="solid">
          <x:bgColor rgb="FFF1EAFE"/>
        </x:patternFill>
      </x:fill>
    </x:dxf>
    <x:dxf>
      <x:font>
        <x:b/>
        <x:color rgb="FF92400E"/>
      </x:font>
      <x:fill>
        <x:patternFill patternType="solid">
          <x:bgColor rgb="FFFFF4D6"/>
        </x:patternFill>
      </x:fill>
    </x:dxf>
    <x:dxf>
      <x:font>
        <x:b/>
        <x:color rgb="FF15803D"/>
      </x:font>
      <x:fill>
        <x:patternFill patternType="solid">
          <x:bgColor rgb="FFE9F7ED"/>
        </x:patternFill>
      </x:fill>
    </x:dxf>
    <x:dxf>
      <x:font>
        <x:b/>
        <x:color rgb="FFB91C1C"/>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5812ac945449a0" /><Relationship Type="http://schemas.openxmlformats.org/officeDocument/2006/relationships/theme" Target="/xl/theme/theme1.xml" Id="R98220f33c7e04d4d" /><Relationship Type="http://schemas.openxmlformats.org/officeDocument/2006/relationships/sharedStrings" Target="/xl/sharedStrings.xml" Id="R51dbdc039e084481" /><Relationship Type="http://schemas.openxmlformats.org/officeDocument/2006/relationships/worksheet" Target="/xl/worksheets/sheet1.xml" Id="R4e478be9cd1d415a" /><Relationship Type="http://schemas.openxmlformats.org/officeDocument/2006/relationships/worksheet" Target="/xl/worksheets/sheet2.xml" Id="R4226d8cb32b04dab" /><Relationship Type="http://schemas.openxmlformats.org/officeDocument/2006/relationships/worksheet" Target="/xl/worksheets/sheet3.xml" Id="Re0909e6558ff45ef" /><Relationship Type="http://schemas.openxmlformats.org/officeDocument/2006/relationships/worksheet" Target="/xl/worksheets/sheet4.xml" Id="R5f932401ba2c4140" /><Relationship Type="http://schemas.openxmlformats.org/officeDocument/2006/relationships/worksheet" Target="/xl/worksheets/sheet5.xml" Id="Rf6d8f3506c524da9" /><Relationship Type="http://schemas.openxmlformats.org/officeDocument/2006/relationships/worksheet" Target="/xl/worksheets/sheet6.xml" Id="R216e9bfabde84db3" /></Relationships>
</file>

<file path=xl/drawings/_rels/drawing1.xml.rels>&#65279;<?xml version="1.0" encoding="utf-8"?><Relationships xmlns="http://schemas.openxmlformats.org/package/2006/relationships"><Relationship Type="http://schemas.openxmlformats.org/officeDocument/2006/relationships/chart" Target="/xl/drawings/charts/chart1.xml" Id="R7208409451c8451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Розмір кожного маршруту</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Акаунти</c:v>
          </c:tx>
          <c:cat>
            <c:strRef>
              <c:f>'Dashboard'!$A$12:$A$15</c:f>
              <c:strCache>
                <c:ptCount val="0"/>
              </c:strCache>
            </c:strRef>
          </c:cat>
          <c:val>
            <c:numRef>
              <c:f>'Dashboard'!$B$12:$B$15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Кількість компаній</a:t>
                </a:r>
              </a:p>
            </c:rich>
          </c:tx>
          <c:overlay val="0"/>
        </c:title>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08409451c84511"/>
        </a:graphicData>
      </a:graphic>
    </xdr:graphicFrame>
    <xdr:clientData/>
  </xdr:twoCellAnchor>
</xdr:wsDr>
</file>

<file path=xl/tables/table1.xml><?xml version="1.0" encoding="utf-8"?>
<x:table xmlns:x="http://schemas.openxmlformats.org/spreadsheetml/2006/main" id="1" name="Prospects165" displayName="Prospects165" ref="A4:AE169" headerRowCount="1" totalsRowCount="0" totalsRowShown="0">
  <x:autoFilter ref="A4:AE169"/>
  <x:tableColumns count="31">
    <x:tableColumn id="1" name="Lead ID"/>
    <x:tableColumn id="2" name="Хвиля"/>
    <x:tableColumn id="3" name="Компанія"/>
    <x:tableColumn id="4" name="Сегмент"/>
    <x:tableColumn id="5" name="Lane"/>
    <x:tableColumn id="6" name="Пріоритет"/>
    <x:tableColumn id="7" name="Домен"/>
    <x:tableColumn id="8" name="Маршрут"/>
    <x:tableColumn id="9" name="Покриття вимог"/>
    <x:tableColumn id="10" name="Workflow fit"/>
    <x:tableColumn id="11" name="Приховані роботи"/>
    <x:tableColumn id="12" name="Масштаб"/>
    <x:tableColumn id="13" name="Документація"/>
    <x:tableColumn id="14" name="Buyer fit"/>
    <x:tableColumn id="15" name="Досяжність"/>
    <x:tableColumn id="16" name="Pilot-now score"/>
    <x:tableColumn id="17" name="Expansion score"/>
    <x:tableColumn id="18" name="Впевненість доказу"/>
    <x:tableColumn id="19" name="Статус перевірки"/>
    <x:tableColumn id="20" name="Доступ до джерела"/>
    <x:tableColumn id="21" name="Статус контакту"/>
    <x:tableColumn id="22" name="Наступна дія"/>
    <x:tableColumn id="23" name="Цільова роль"/>
    <x:tableColumn id="24" name="Доказ відповідності"/>
    <x:tableColumn id="25" name="Тригер"/>
    <x:tableColumn id="26" name="Джерело"/>
    <x:tableColumn id="27" name="ЄДРПОУ"/>
    <x:tableColumn id="28" name="Дата дослідження"/>
    <x:tableColumn id="29" name="Власник"/>
    <x:tableColumn id="30" name="Наступний контакт"/>
    <x:tableColumn id="31" name="Нотатки"/>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0fccc8c1eb64b1b" /></Relationships>
</file>

<file path=xl/worksheets/_rels/sheet2.xml.rels>&#65279;<?xml version="1.0" encoding="utf-8"?><Relationships xmlns="http://schemas.openxmlformats.org/package/2006/relationships"><Relationship Type="http://schemas.openxmlformats.org/officeDocument/2006/relationships/table" Target="/xl/tables/table1.xml" Id="R781eccb8c01b4329" /></Relationships>
</file>

<file path=xl/worksheets/sheet1.xml><?xml version="1.0" encoding="utf-8"?>
<x:worksheet xmlns:x="http://schemas.openxmlformats.org/spreadsheetml/2006/main">
  <x:sheetFormatPr defaultRowHeight="15"/>
  <x:cols>
    <x:col min="1" max="1" width="15"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4" customHeight="1">
      <x:c r="A1" s="3" t="str">
        <x:v>GoProceed — market expansion cockpit</x:v>
      </x:c>
      <x:c r="B1" s="3"/>
      <x:c r="C1" s="3"/>
      <x:c r="D1" s="3"/>
      <x:c r="E1" s="3"/>
      <x:c r="F1" s="3"/>
      <x:c r="G1" s="3"/>
      <x:c r="H1" s="3"/>
      <x:c r="I1" s="3"/>
      <x:c r="J1" s="3"/>
      <x:c r="K1" s="3"/>
      <x:c r="L1" s="3"/>
      <x:c r="M1" s="3"/>
      <x:c r="N1" s="3"/>
    </x:row>
    <x:row r="2" ht="22" customHeight="1">
      <x:c r="A2" s="5" t="str">
        <x:v>165 унікальних компаній • два незалежні маршрути: пілот зараз та discovery-розширення • знімок 24.08.2026</x:v>
      </x:c>
      <x:c r="B2" s="5"/>
      <x:c r="C2" s="5"/>
      <x:c r="D2" s="5"/>
      <x:c r="E2" s="5"/>
      <x:c r="F2" s="5"/>
      <x:c r="G2" s="5"/>
      <x:c r="H2" s="5"/>
      <x:c r="I2" s="5"/>
      <x:c r="J2" s="5"/>
      <x:c r="K2" s="5"/>
      <x:c r="L2" s="5"/>
      <x:c r="M2" s="5"/>
      <x:c r="N2" s="5"/>
    </x:row>
    <x:row r="4">
      <x:c r="A4" s="23" t="str">
        <x:v>Ключові показники</x:v>
      </x:c>
      <x:c r="B4" s="23"/>
      <x:c r="C4" s="23"/>
      <x:c r="D4" s="23"/>
      <x:c r="E4" s="23"/>
      <x:c r="F4" s="23"/>
      <x:c r="G4" s="23"/>
    </x:row>
    <x:row r="5">
      <x:c r="A5" s="27" t="str">
        <x:v>Усього</x:v>
      </x:c>
      <x:c r="B5" s="27" t="str">
        <x:v>Перевірено сьогодні</x:v>
      </x:c>
      <x:c r="C5" s="27" t="str">
        <x:v>High confidence</x:v>
      </x:c>
      <x:c r="D5" s="27" t="str">
        <x:v>Pilot now</x:v>
      </x:c>
      <x:c r="E5" s="27" t="str">
        <x:v>Expansion discovery</x:v>
      </x:c>
      <x:c r="F5" s="27" t="str">
        <x:v>Later</x:v>
      </x:c>
      <x:c r="G5" s="27" t="str">
        <x:v>Legacy</x:v>
      </x:c>
    </x:row>
    <x:row r="6">
      <x:c r="A6" s="30" t="n">
        <x:f>COUNTA('Leads 165'!$C$5:$C$300)</x:f>
        <x:v>165</x:v>
      </x:c>
      <x:c r="B6" s="30" t="n">
        <x:f>COUNTIF('Leads 165'!$B$5:$B$300,"Перевірено 51 — 24.08")+COUNTIF('Leads 165'!$B$5:$B$300,"Розширення ніш — 24.08")</x:f>
        <x:v>115</x:v>
      </x:c>
      <x:c r="C6" s="30" t="n">
        <x:f>COUNTIF('Leads 165'!$R$5:$R$300,"high")</x:f>
        <x:v>112</x:v>
      </x:c>
      <x:c r="D6" s="30" t="n">
        <x:f>COUNTIF('Leads 165'!$E$5:$E$300,"Pilot now")</x:f>
        <x:v>47</x:v>
      </x:c>
      <x:c r="E6" s="30" t="n">
        <x:f>COUNTIF('Leads 165'!$E$5:$E$300,"Expansion discovery")</x:f>
        <x:v>82</x:v>
      </x:c>
      <x:c r="F6" s="30" t="n">
        <x:f>COUNTIF('Leads 165'!$E$5:$E$300,"Later / requirements")</x:f>
        <x:v>8</x:v>
      </x:c>
      <x:c r="G6" s="30" t="n">
        <x:f>COUNTIF('Leads 165'!$E$5:$E$300,"Requalify")</x:f>
        <x:v>28</x:v>
      </x:c>
    </x:row>
    <x:row r="7">
      <x:c r="A7" s="33" t="str">
        <x:v>Унікальні домени</x:v>
      </x:c>
      <x:c r="B7" s="33" t="str">
        <x:v>51 попередній + 64 нові</x:v>
      </x:c>
      <x:c r="C7" s="33" t="str">
        <x:v>Прямий або ручний доказ</x:v>
      </x:c>
      <x:c r="D7" s="33" t="str">
        <x:v>Поточне Н.14/Н.15</x:v>
      </x:c>
      <x:c r="E7" s="33" t="str">
        <x:v>Сильний workflow, потрібні вимоги</x:v>
      </x:c>
      <x:c r="F7" s="33" t="str">
        <x:v>Не зараз</x:v>
      </x:c>
      <x:c r="G7" s="33" t="str">
        <x:v>Повна переперевірка</x:v>
      </x:c>
    </x:row>
    <x:row r="10">
      <x:c r="A10" s="23" t="str">
        <x:v>База за маршрутом</x:v>
      </x:c>
      <x:c r="B10" s="23"/>
      <x:c r="C10" s="23"/>
      <x:c r="D10" s="23"/>
      <x:c r="E10" s="23"/>
      <x:c r="F10" s="23"/>
    </x:row>
    <x:row r="11">
      <x:c r="A11" s="35" t="str">
        <x:v>Lane</x:v>
      </x:c>
      <x:c r="B11" s="35" t="str">
        <x:v>Акаунти</x:v>
      </x:c>
      <x:c r="C11" s="35" t="str">
        <x:v>Top priority</x:v>
      </x:c>
      <x:c r="D11" s="35" t="str">
        <x:v>High confidence</x:v>
      </x:c>
    </x:row>
    <x:row r="12">
      <x:c r="A12" s="36" t="str">
        <x:v>Pilot now</x:v>
      </x:c>
      <x:c r="B12" s="38" t="n">
        <x:f>COUNTIF('Leads 165'!$E$5:$E$300,A12)</x:f>
        <x:v>47</x:v>
      </x:c>
      <x:c r="C12" s="38" t="n">
        <x:f>COUNTIF('Leads 165'!$F$5:$F$300,"P1")</x:f>
        <x:v>46</x:v>
      </x:c>
      <x:c r="D12" s="38" t="n">
        <x:f>COUNTIFS('Leads 165'!$E$5:$E$300,A12,'Leads 165'!$R$5:$R$300,"high")</x:f>
        <x:v>37</x:v>
      </x:c>
    </x:row>
    <x:row r="13">
      <x:c r="A13" s="36" t="str">
        <x:v>Expansion discovery</x:v>
      </x:c>
      <x:c r="B13" s="38" t="n">
        <x:f>COUNTIF('Leads 165'!$E$5:$E$300,A13)</x:f>
        <x:v>82</x:v>
      </x:c>
      <x:c r="C13" s="38" t="n">
        <x:f>COUNTIF('Leads 165'!$F$5:$F$300,"D1")</x:f>
        <x:v>69</x:v>
      </x:c>
      <x:c r="D13" s="38" t="n">
        <x:f>COUNTIFS('Leads 165'!$E$5:$E$300,A13,'Leads 165'!$R$5:$R$300,"high")</x:f>
        <x:v>73</x:v>
      </x:c>
    </x:row>
    <x:row r="14">
      <x:c r="A14" s="36" t="str">
        <x:v>Later / requirements</x:v>
      </x:c>
      <x:c r="B14" s="38" t="n">
        <x:f>COUNTIF('Leads 165'!$E$5:$E$300,A14)</x:f>
        <x:v>8</x:v>
      </x:c>
      <x:c r="C14" s="38" t="n">
        <x:v>0</x:v>
      </x:c>
      <x:c r="D14" s="38" t="n">
        <x:f>COUNTIFS('Leads 165'!$E$5:$E$300,A14,'Leads 165'!$R$5:$R$300,"high")</x:f>
        <x:v>2</x:v>
      </x:c>
    </x:row>
    <x:row r="15">
      <x:c r="A15" s="37" t="str">
        <x:v>Requalify</x:v>
      </x:c>
      <x:c r="B15" s="39" t="n">
        <x:f>COUNTIF('Leads 165'!$E$5:$E$300,A15)</x:f>
        <x:v>28</x:v>
      </x:c>
      <x:c r="C15" s="39" t="n">
        <x:v>0</x:v>
      </x:c>
      <x:c r="D15" s="39" t="n">
        <x:f>COUNTIFS('Leads 165'!$E$5:$E$300,A15,'Leads 165'!$R$5:$R$300,"high")</x:f>
        <x:v>0</x:v>
      </x:c>
    </x:row>
    <x:row r="19">
      <x:c r="A19" s="23" t="str">
        <x:v>Що змінилося після розширення</x:v>
      </x:c>
      <x:c r="B19" s="23"/>
      <x:c r="C19" s="23"/>
      <x:c r="D19" s="23"/>
      <x:c r="E19" s="23"/>
      <x:c r="F19" s="23"/>
      <x:c r="G19" s="23"/>
      <x:c r="H19" s="23"/>
      <x:c r="I19" s="23"/>
      <x:c r="J19" s="23"/>
      <x:c r="K19" s="23"/>
      <x:c r="L19" s="23"/>
      <x:c r="M19" s="23"/>
      <x:c r="N19" s="23"/>
    </x:row>
    <x:row r="20" ht="38" customHeight="1">
      <x:c r="A20" s="42" t="str">
        <x:v>1</x:v>
      </x:c>
      <x:c r="B20" s="44" t="str">
        <x:v>Не один ICP</x:v>
      </x:c>
      <x:c r="C20" s="47" t="str">
        <x:v>Поточний пілот і ринкове розширення мають різні критерії. Не можна змішувати їх одним fit-score.</x:v>
      </x:c>
      <x:c r="D20" s="47"/>
      <x:c r="E20" s="47"/>
      <x:c r="F20" s="47"/>
      <x:c r="G20" s="47"/>
      <x:c r="H20" s="47"/>
      <x:c r="I20" s="47"/>
      <x:c r="J20" s="47"/>
      <x:c r="K20" s="47"/>
      <x:c r="L20" s="47"/>
      <x:c r="M20" s="47"/>
      <x:c r="N20" s="47"/>
    </x:row>
    <x:row r="21" ht="38" customHeight="1">
      <x:c r="A21" s="42" t="str">
        <x:v>2</x:v>
      </x:c>
      <x:c r="B21" s="44" t="str">
        <x:v>Найбільший новий пул</x:v>
      </x:c>
      <x:c r="C21" s="47" t="str">
        <x:v>Покрівлі/гідроізоляція, СКС/BMS, палі/фундаменти й металоконструкції дають повторювані приховані етапи та документацію.</x:v>
      </x:c>
      <x:c r="D21" s="47"/>
      <x:c r="E21" s="47"/>
      <x:c r="F21" s="47"/>
      <x:c r="G21" s="47"/>
      <x:c r="H21" s="47"/>
      <x:c r="I21" s="47"/>
      <x:c r="J21" s="47"/>
      <x:c r="K21" s="47"/>
      <x:c r="L21" s="47"/>
      <x:c r="M21" s="47"/>
      <x:c r="N21" s="47"/>
    </x:row>
    <x:row r="22" ht="38" customHeight="1">
      <x:c r="A22" s="42" t="str">
        <x:v>3</x:v>
      </x:c>
      <x:c r="B22" s="44" t="str">
        <x:v>Discovery-офер</x:v>
      </x:c>
      <x:c r="C22" s="47" t="str">
        <x:v>Для нової вертикалі продаємо не готове покриття, а 2-тижневий workflow audit з одним артефактом і вимогами проєкту.</x:v>
      </x:c>
      <x:c r="D22" s="47"/>
      <x:c r="E22" s="47"/>
      <x:c r="F22" s="47"/>
      <x:c r="G22" s="47"/>
      <x:c r="H22" s="47"/>
      <x:c r="I22" s="47"/>
      <x:c r="J22" s="47"/>
      <x:c r="K22" s="47"/>
      <x:c r="L22" s="47"/>
      <x:c r="M22" s="47"/>
      <x:c r="N22" s="47"/>
    </x:row>
    <x:row r="23" ht="38" customHeight="1">
      <x:c r="A23" s="42" t="str">
        <x:v>4</x:v>
      </x:c>
      <x:c r="B23" s="44" t="str">
        <x:v>Пілот-офер</x:v>
      </x:c>
      <x:c r="C23" s="47" t="str">
        <x:v>Безкоштовний 30–45-денний пілот лише там, де можна чесно запустити Н.14/Н.15 або узгоджений вузький subset.</x:v>
      </x:c>
      <x:c r="D23" s="47"/>
      <x:c r="E23" s="47"/>
      <x:c r="F23" s="47"/>
      <x:c r="G23" s="47"/>
      <x:c r="H23" s="47"/>
      <x:c r="I23" s="47"/>
      <x:c r="J23" s="47"/>
      <x:c r="K23" s="47"/>
      <x:c r="L23" s="47"/>
      <x:c r="M23" s="47"/>
      <x:c r="N23" s="47"/>
    </x:row>
    <x:row r="24" ht="38" customHeight="1">
      <x:c r="A24" s="42" t="str">
        <x:v>5</x:v>
      </x:c>
      <x:c r="B24" s="44" t="str">
        <x:v>Наступний доказ</x:v>
      </x:c>
      <x:c r="C24" s="48" t="str">
        <x:v>Відповідь → один артефакт → інтерв’ю → активний проєкт → названі ролі. Кількість URL сама по собі нічого не валідовує.</x:v>
      </x:c>
      <x:c r="D24" s="48"/>
      <x:c r="E24" s="48"/>
      <x:c r="F24" s="48"/>
      <x:c r="G24" s="48"/>
      <x:c r="H24" s="48"/>
      <x:c r="I24" s="48"/>
      <x:c r="J24" s="48"/>
      <x:c r="K24" s="48"/>
      <x:c r="L24" s="48"/>
      <x:c r="M24" s="48"/>
      <x:c r="N24" s="48"/>
    </x:row>
  </x:sheetData>
  <x:mergeCells>
    <x:mergeCell ref="A1:N1"/>
    <x:mergeCell ref="A2:N2"/>
    <x:mergeCell ref="A4:G4"/>
    <x:mergeCell ref="A10:F10"/>
    <x:mergeCell ref="A19:N19"/>
    <x:mergeCell ref="C20:N20"/>
    <x:mergeCell ref="C21:N21"/>
    <x:mergeCell ref="C22:N22"/>
    <x:mergeCell ref="C23:N23"/>
    <x:mergeCell ref="C24:N24"/>
  </x:mergeCells>
  <x:pageMargins left="0.7" right="0.7" top="0.75" bottom="0.75" header="0.3" footer="0.3"/>
  <x:drawing xmlns:r="http://schemas.openxmlformats.org/officeDocument/2006/relationships" r:id="R20fccc8c1eb64b1b"/>
</x:worksheet>
</file>

<file path=xl/worksheets/sheet2.xml><?xml version="1.0" encoding="utf-8"?>
<x:worksheet xmlns:x="http://schemas.openxmlformats.org/spreadsheetml/2006/main">
  <x:sheetFormatPr defaultRowHeight="15"/>
  <x:cols>
    <x:col min="1" max="1" width="11" hidden="0" customWidth="1"/>
    <x:col min="2" max="2" width="22" hidden="0" customWidth="1"/>
    <x:col min="3" max="3" width="28" hidden="0" customWidth="1"/>
    <x:col min="4" max="4" width="27" hidden="0" customWidth="1"/>
    <x:col min="5" max="5" width="20" hidden="0" customWidth="1"/>
    <x:col min="6" max="6" width="10" hidden="0" customWidth="1"/>
    <x:col min="7" max="7" width="23" hidden="0" customWidth="1"/>
    <x:col min="8" max="8" width="38" hidden="0" customWidth="1"/>
    <x:col min="9" max="9" width="11" hidden="0" customWidth="1"/>
    <x:col min="10" max="10" width="10" hidden="0" customWidth="1"/>
    <x:col min="11" max="11" width="12" hidden="0" customWidth="1"/>
    <x:col min="12" max="12" width="9" hidden="0" customWidth="1"/>
    <x:col min="13" max="13" width="11" hidden="0" customWidth="1"/>
    <x:col min="14" max="14" width="9" hidden="0" customWidth="1"/>
    <x:col min="15" max="15" width="10" hidden="0" customWidth="1"/>
    <x:col min="16" max="16" width="11" hidden="0" customWidth="1"/>
    <x:col min="17" max="17" width="11" hidden="0" customWidth="1"/>
    <x:col min="18" max="18" width="12" hidden="0" customWidth="1"/>
    <x:col min="19" max="19" width="30" hidden="0" customWidth="1"/>
    <x:col min="20" max="20" width="32" hidden="0" customWidth="1"/>
    <x:col min="21" max="21" width="24" hidden="0" customWidth="1"/>
    <x:col min="22" max="22" width="38" hidden="0" customWidth="1"/>
    <x:col min="23" max="23" width="30" hidden="0" customWidth="1"/>
    <x:col min="24" max="24" width="48" hidden="0" customWidth="1"/>
    <x:col min="25" max="25" width="48" hidden="0" customWidth="1"/>
    <x:col min="26" max="26" width="38" hidden="0" customWidth="1"/>
    <x:col min="27" max="27" width="12" hidden="0" customWidth="1"/>
    <x:col min="28" max="28" width="13" hidden="0" customWidth="1"/>
    <x:col min="29" max="29" width="14" hidden="0" customWidth="1"/>
    <x:col min="30" max="30" width="14" hidden="0" customWidth="1"/>
    <x:col min="31" max="31" width="32" hidden="0" customWidth="1"/>
  </x:cols>
  <x:sheetData>
    <x:row r="1" ht="34" customHeight="1">
      <x:c r="A1" s="3" t="str">
        <x:v>GoProceed — перевірена база потенційних клієнтів</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row>
    <x:row r="2" ht="22" customHeight="1">
      <x:c r="A2" s="5" t="str">
        <x:v>165 компаній • 51 попередній лід переперевірено • 64 компанії додано з 12 нових вертикалей • поточний пілот і expansion discovery розділено</x:v>
      </x:c>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row>
    <x:row r="3" ht="34" customHeight="1">
      <x:c r="A3" s="8" t="str">
        <x:v>P1/P2 — контакт для пілоту на поточному покритті. D1/D2 — discovery пріоритет: сильний workflow-fit, але потрібні вимоги реального проєкту. Публічний доказ не дорівнює попиту.</x:v>
      </x:c>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c r="AD3" s="8"/>
      <x:c r="AE3" s="8"/>
    </x:row>
    <x:row r="4" ht="34" customHeight="1">
      <x:c r="A4" s="12" t="str">
        <x:v>Lead ID</x:v>
      </x:c>
      <x:c r="B4" s="12" t="str">
        <x:v>Хвиля</x:v>
      </x:c>
      <x:c r="C4" s="12" t="str">
        <x:v>Компанія</x:v>
      </x:c>
      <x:c r="D4" s="12" t="str">
        <x:v>Сегмент</x:v>
      </x:c>
      <x:c r="E4" s="12" t="str">
        <x:v>Lane</x:v>
      </x:c>
      <x:c r="F4" s="12" t="str">
        <x:v>Пріоритет</x:v>
      </x:c>
      <x:c r="G4" s="12" t="str">
        <x:v>Домен</x:v>
      </x:c>
      <x:c r="H4" s="12" t="str">
        <x:v>Маршрут</x:v>
      </x:c>
      <x:c r="I4" s="12" t="str">
        <x:v>Покриття вимог</x:v>
      </x:c>
      <x:c r="J4" s="12" t="str">
        <x:v>Workflow fit</x:v>
      </x:c>
      <x:c r="K4" s="12" t="str">
        <x:v>Приховані роботи</x:v>
      </x:c>
      <x:c r="L4" s="12" t="str">
        <x:v>Масштаб</x:v>
      </x:c>
      <x:c r="M4" s="12" t="str">
        <x:v>Документація</x:v>
      </x:c>
      <x:c r="N4" s="12" t="str">
        <x:v>Buyer fit</x:v>
      </x:c>
      <x:c r="O4" s="12" t="str">
        <x:v>Досяжність</x:v>
      </x:c>
      <x:c r="P4" s="12" t="str">
        <x:v>Pilot-now score</x:v>
      </x:c>
      <x:c r="Q4" s="12" t="str">
        <x:v>Expansion score</x:v>
      </x:c>
      <x:c r="R4" s="12" t="str">
        <x:v>Впевненість доказу</x:v>
      </x:c>
      <x:c r="S4" s="12" t="str">
        <x:v>Статус перевірки</x:v>
      </x:c>
      <x:c r="T4" s="12" t="str">
        <x:v>Доступ до джерела</x:v>
      </x:c>
      <x:c r="U4" s="12" t="str">
        <x:v>Статус контакту</x:v>
      </x:c>
      <x:c r="V4" s="12" t="str">
        <x:v>Наступна дія</x:v>
      </x:c>
      <x:c r="W4" s="12" t="str">
        <x:v>Цільова роль</x:v>
      </x:c>
      <x:c r="X4" s="12" t="str">
        <x:v>Доказ відповідності</x:v>
      </x:c>
      <x:c r="Y4" s="12" t="str">
        <x:v>Тригер</x:v>
      </x:c>
      <x:c r="Z4" s="12" t="str">
        <x:v>Джерело</x:v>
      </x:c>
      <x:c r="AA4" s="12" t="str">
        <x:v>ЄДРПОУ</x:v>
      </x:c>
      <x:c r="AB4" s="12" t="str">
        <x:v>Дата дослідження</x:v>
      </x:c>
      <x:c r="AC4" s="12" t="str">
        <x:v>Власник</x:v>
      </x:c>
      <x:c r="AD4" s="12" t="str">
        <x:v>Наступний контакт</x:v>
      </x:c>
      <x:c r="AE4" s="12" t="str">
        <x:v>Нотатки</x:v>
      </x:c>
    </x:row>
    <x:row r="5">
      <x:c r="A5" s="14" t="str">
        <x:v>V3-030</x:v>
      </x:c>
      <x:c r="B5" s="14" t="str">
        <x:v>Досліджено 28.07</x:v>
      </x:c>
      <x:c r="C5" s="14" t="str">
        <x:v>ТОВ «ЕДС-ІНЖИНІРИНГ»</x:v>
      </x:c>
      <x:c r="D5" s="14" t="str">
        <x:v>Електромонтаж</x:v>
      </x:c>
      <x:c r="E5" s="14" t="str">
        <x:v>Pilot now</x:v>
      </x:c>
      <x:c r="F5" s="17" t="str">
        <x:f>IF(E5="Pilot now",IF(P5&gt;=84,"P1",IF(P5&gt;=72,"P2","P3")),IF(E5="Expansion discovery",IF(Q5&gt;=88,"D1",IF(Q5&gt;=78,"D2","D3")),IF(E5="Later / requirements","L","Legacy")))</x:f>
        <x:v>P1</x:v>
      </x:c>
      <x:c r="G5" s="14" t="str">
        <x:v>eds-ukraine.com</x:v>
      </x:c>
      <x:c r="H5" s="14" t="str">
        <x:v>Пілот зараз — Н.15</x:v>
      </x:c>
      <x:c r="I5" s="16" t="n">
        <x:v>5</x:v>
      </x:c>
      <x:c r="J5" s="16" t="n">
        <x:v>5</x:v>
      </x:c>
      <x:c r="K5" s="16" t="n">
        <x:v>5</x:v>
      </x:c>
      <x:c r="L5" s="16" t="n">
        <x:v>5</x:v>
      </x:c>
      <x:c r="M5" s="16" t="n">
        <x:v>5</x:v>
      </x:c>
      <x:c r="N5" s="16" t="n">
        <x:v>5</x:v>
      </x:c>
      <x:c r="O5" s="16" t="n">
        <x:v>5</x:v>
      </x:c>
      <x:c r="P5" s="16" t="n">
        <x:f>IF(COUNT(I5:O5)&lt;7,"",I5*8+J5*3+K5*2+L5*2+M5*2+N5*2+O5)</x:f>
        <x:v>100</x:v>
      </x:c>
      <x:c r="Q5" s="16" t="n">
        <x:f>IF(COUNT(J5:O5)&lt;6,"",J5*5+K5*4+M5*4+L5*3+N5*2+O5*2)</x:f>
        <x:v>100</x:v>
      </x:c>
      <x:c r="R5" s="14" t="str">
        <x:v>medium</x:v>
      </x:c>
      <x:c r="S5" s="14" t="str">
        <x:v>historical_research_2026-07-28</x:v>
      </x:c>
      <x:c r="T5" s="14" t="str">
        <x:v>historical_official_research</x:v>
      </x:c>
      <x:c r="U5" s="14" t="str">
        <x:v>Надіслано 28.07 — follow-up</x:v>
      </x:c>
      <x:c r="V5" s="15" t="str">
        <x:v>Follow-up з review-link; далі попросити 1 анонімізований артефакт</x:v>
      </x:c>
      <x:c r="W5" s="15" t="str">
        <x:v>Власник / директор; керівник ПТО</x:v>
      </x:c>
      <x:c r="X5" s="15" t="str">
        <x:v>EPC/інжиніринг енергетичних об’єктів; будівництво кабельних ліній 0,4–35 кВ, електромонтажні та пусконалагоджувальні роботи.</x:v>
      </x:c>
      <x:c r="Y5" s="15" t="str">
        <x:v>Траншеї, кабельні траси, муфти, заземлення та випробування потребують фотофіксації й доказів до засипання/закриття.</x:v>
      </x:c>
      <x:c r="Z5" s="15" t="str">
        <x:v>https://eds-ukraine.com/en/</x:v>
      </x:c>
      <x:c r="AA5" s="14" t="str">
        <x:v>38114069</x:v>
      </x:c>
      <x:c r="AB5" s="14" t="str">
        <x:v>2026-07-28</x:v>
      </x:c>
      <x:c r="AC5" s="14" t="str">
        <x:v>Олександр</x:v>
      </x:c>
      <x:c r="AD5" s="18" t="str"/>
      <x:c r="AE5" s="14" t="str"/>
    </x:row>
    <x:row r="6">
      <x:c r="A6" s="14" t="str">
        <x:v>V3-031</x:v>
      </x:c>
      <x:c r="B6" s="14" t="str">
        <x:v>Досліджено 28.07</x:v>
      </x:c>
      <x:c r="C6" s="14" t="str">
        <x:v>ТОВ «ЕЛЕКТРОПОЛЮС-ІФ»</x:v>
      </x:c>
      <x:c r="D6" s="14" t="str">
        <x:v>Електромонтаж</x:v>
      </x:c>
      <x:c r="E6" s="14" t="str">
        <x:v>Pilot now</x:v>
      </x:c>
      <x:c r="F6" s="17" t="str">
        <x:f>IF(E6="Pilot now",IF(P6&gt;=84,"P1",IF(P6&gt;=72,"P2","P3")),IF(E6="Expansion discovery",IF(Q6&gt;=88,"D1",IF(Q6&gt;=78,"D2","D3")),IF(E6="Later / requirements","L","Legacy")))</x:f>
        <x:v>P1</x:v>
      </x:c>
      <x:c r="G6" s="14" t="str">
        <x:v>elektropolus-if.com</x:v>
      </x:c>
      <x:c r="H6" s="14" t="str">
        <x:v>Пілот зараз — Н.15</x:v>
      </x:c>
      <x:c r="I6" s="16" t="n">
        <x:v>5</x:v>
      </x:c>
      <x:c r="J6" s="16" t="n">
        <x:v>5</x:v>
      </x:c>
      <x:c r="K6" s="16" t="n">
        <x:v>5</x:v>
      </x:c>
      <x:c r="L6" s="16" t="n">
        <x:v>5</x:v>
      </x:c>
      <x:c r="M6" s="16" t="n">
        <x:v>5</x:v>
      </x:c>
      <x:c r="N6" s="16" t="n">
        <x:v>5</x:v>
      </x:c>
      <x:c r="O6" s="16" t="n">
        <x:v>5</x:v>
      </x:c>
      <x:c r="P6" s="16" t="n">
        <x:f>IF(COUNT(I6:O6)&lt;7,"",I6*8+J6*3+K6*2+L6*2+M6*2+N6*2+O6)</x:f>
        <x:v>100</x:v>
      </x:c>
      <x:c r="Q6" s="16" t="n">
        <x:f>IF(COUNT(J6:O6)&lt;6,"",J6*5+K6*4+M6*4+L6*3+N6*2+O6*2)</x:f>
        <x:v>100</x:v>
      </x:c>
      <x:c r="R6" s="14" t="str">
        <x:v>medium</x:v>
      </x:c>
      <x:c r="S6" s="14" t="str">
        <x:v>historical_research_2026-07-28</x:v>
      </x:c>
      <x:c r="T6" s="14" t="str">
        <x:v>historical_official_research</x:v>
      </x:c>
      <x:c r="U6" s="14" t="str">
        <x:v>Надіслано 28.07 — follow-up</x:v>
      </x:c>
      <x:c r="V6" s="15" t="str">
        <x:v>Follow-up з review-link; далі попросити 1 анонімізований артефакт</x:v>
      </x:c>
      <x:c r="W6" s="15" t="str">
        <x:v>Власник / директор; керівник ПТО</x:v>
      </x:c>
      <x:c r="X6" s="15" t="str">
        <x:v>65 фахівців, 530 проєктів в Україні та до 7 проєктів одночасно; проєктування, монтаж, випробування й сервіс.</x:v>
      </x:c>
      <x:c r="Y6" s="15" t="str">
        <x:v>Внутрішні/зовнішні електромережі, кабельні лінії й підстанції створюють багато контрольних точок перед закриттям.</x:v>
      </x:c>
      <x:c r="Z6" s="15" t="str">
        <x:v>https://elektropolus-if.com/en</x:v>
      </x:c>
      <x:c r="AA6" s="14" t="str">
        <x:v>34084649</x:v>
      </x:c>
      <x:c r="AB6" s="14" t="str">
        <x:v>2026-07-28</x:v>
      </x:c>
      <x:c r="AC6" s="14" t="str">
        <x:v>Олександр</x:v>
      </x:c>
      <x:c r="AD6" s="18" t="str"/>
      <x:c r="AE6" s="14" t="str"/>
    </x:row>
    <x:row r="7">
      <x:c r="A7" s="14" t="str">
        <x:v>V3-029</x:v>
      </x:c>
      <x:c r="B7" s="14" t="str">
        <x:v>Досліджено 28.07</x:v>
      </x:c>
      <x:c r="C7" s="14" t="str">
        <x:v>ТОВ «ЕНЕРДЖІ ГРУП»</x:v>
      </x:c>
      <x:c r="D7" s="14" t="str">
        <x:v>Електромонтаж</x:v>
      </x:c>
      <x:c r="E7" s="14" t="str">
        <x:v>Pilot now</x:v>
      </x:c>
      <x:c r="F7" s="17" t="str">
        <x:f>IF(E7="Pilot now",IF(P7&gt;=84,"P1",IF(P7&gt;=72,"P2","P3")),IF(E7="Expansion discovery",IF(Q7&gt;=88,"D1",IF(Q7&gt;=78,"D2","D3")),IF(E7="Later / requirements","L","Legacy")))</x:f>
        <x:v>P1</x:v>
      </x:c>
      <x:c r="G7" s="14" t="str">
        <x:v>eg-ltd.com.ua</x:v>
      </x:c>
      <x:c r="H7" s="14" t="str">
        <x:v>Пілот зараз — Н.15</x:v>
      </x:c>
      <x:c r="I7" s="16" t="n">
        <x:v>5</x:v>
      </x:c>
      <x:c r="J7" s="16" t="n">
        <x:v>5</x:v>
      </x:c>
      <x:c r="K7" s="16" t="n">
        <x:v>5</x:v>
      </x:c>
      <x:c r="L7" s="16" t="n">
        <x:v>5</x:v>
      </x:c>
      <x:c r="M7" s="16" t="n">
        <x:v>5</x:v>
      </x:c>
      <x:c r="N7" s="16" t="n">
        <x:v>5</x:v>
      </x:c>
      <x:c r="O7" s="16" t="n">
        <x:v>5</x:v>
      </x:c>
      <x:c r="P7" s="16" t="n">
        <x:f>IF(COUNT(I7:O7)&lt;7,"",I7*8+J7*3+K7*2+L7*2+M7*2+N7*2+O7)</x:f>
        <x:v>100</x:v>
      </x:c>
      <x:c r="Q7" s="16" t="n">
        <x:f>IF(COUNT(J7:O7)&lt;6,"",J7*5+K7*4+M7*4+L7*3+N7*2+O7*2)</x:f>
        <x:v>100</x:v>
      </x:c>
      <x:c r="R7" s="14" t="str">
        <x:v>medium</x:v>
      </x:c>
      <x:c r="S7" s="14" t="str">
        <x:v>historical_research_2026-07-28</x:v>
      </x:c>
      <x:c r="T7" s="14" t="str">
        <x:v>historical_official_research</x:v>
      </x:c>
      <x:c r="U7" s="14" t="str">
        <x:v>Надіслано 28.07 — follow-up</x:v>
      </x:c>
      <x:c r="V7" s="15" t="str">
        <x:v>Follow-up з review-link; далі попросити 1 анонімізований артефакт</x:v>
      </x:c>
      <x:c r="W7" s="15" t="str">
        <x:v>Власник / директор; керівник ПТО</x:v>
      </x:c>
      <x:c r="X7" s="15" t="str">
        <x:v>8 мобільних монтажних бригад; 116 реалізованих проєктів; проєктування, монтаж, пусконалагодження, випробування та введення в експлуатацію.</x:v>
      </x:c>
      <x:c r="Y7" s="15" t="str">
        <x:v>Кабельні лінії до 110 кВ, внутрішні мережі, ГНБ і щитове обладнання мають критичні приховані етапи та акти до закриття.</x:v>
      </x:c>
      <x:c r="Z7" s="15" t="str">
        <x:v>https://eg-ltd.com.ua/electric-works-uk/</x:v>
      </x:c>
      <x:c r="AA7" s="14" t="str">
        <x:v>40169080</x:v>
      </x:c>
      <x:c r="AB7" s="14" t="str">
        <x:v>2026-07-28</x:v>
      </x:c>
      <x:c r="AC7" s="14" t="str">
        <x:v>Олександр</x:v>
      </x:c>
      <x:c r="AD7" s="18" t="str"/>
      <x:c r="AE7" s="14" t="str"/>
    </x:row>
    <x:row r="8">
      <x:c r="A8" s="14" t="str">
        <x:v>AUG-034</x:v>
      </x:c>
      <x:c r="B8" s="14" t="str">
        <x:v>Перевірено 51 — 24.08</x:v>
      </x:c>
      <x:c r="C8" s="14" t="str">
        <x:v>Intech Energy Group</x:v>
      </x:c>
      <x:c r="D8" s="14" t="str">
        <x:v>Промислова електрика</x:v>
      </x:c>
      <x:c r="E8" s="14" t="str">
        <x:v>Pilot now</x:v>
      </x:c>
      <x:c r="F8" s="17" t="str">
        <x:f>IF(E8="Pilot now",IF(P8&gt;=84,"P1",IF(P8&gt;=72,"P2","P3")),IF(E8="Expansion discovery",IF(Q8&gt;=88,"D1",IF(Q8&gt;=78,"D2","D3")),IF(E8="Later / requirements","L","Legacy")))</x:f>
        <x:v>P1</x:v>
      </x:c>
      <x:c r="G8" s="14" t="str">
        <x:v>ukrenergygroup.com</x:v>
      </x:c>
      <x:c r="H8" s="14" t="str">
        <x:v>Пілот зараз — Н.15</x:v>
      </x:c>
      <x:c r="I8" s="16" t="n">
        <x:v>5</x:v>
      </x:c>
      <x:c r="J8" s="16" t="n">
        <x:v>5</x:v>
      </x:c>
      <x:c r="K8" s="16" t="n">
        <x:v>5</x:v>
      </x:c>
      <x:c r="L8" s="16" t="n">
        <x:v>5</x:v>
      </x:c>
      <x:c r="M8" s="16" t="n">
        <x:v>5</x:v>
      </x:c>
      <x:c r="N8" s="16" t="n">
        <x:v>5</x:v>
      </x:c>
      <x:c r="O8" s="16" t="n">
        <x:v>5</x:v>
      </x:c>
      <x:c r="P8" s="16" t="n">
        <x:f>IF(COUNT(I8:O8)&lt;7,"",I8*8+J8*3+K8*2+L8*2+M8*2+N8*2+O8)</x:f>
        <x:v>100</x:v>
      </x:c>
      <x:c r="Q8" s="16" t="n">
        <x:f>IF(COUNT(J8:O8)&lt;6,"",J8*5+K8*4+M8*4+L8*3+N8*2+O8*2)</x:f>
        <x:v>100</x:v>
      </x:c>
      <x:c r="R8" s="14" t="str">
        <x:v>high</x:v>
      </x:c>
      <x:c r="S8" s="14" t="str">
        <x:v>official_source_reverified</x:v>
      </x:c>
      <x:c r="T8" s="14" t="str">
        <x:v>official_source_reachable</x:v>
      </x:c>
      <x:c r="U8" s="14" t="str">
        <x:v>Новий — не контактували</x:v>
      </x:c>
      <x:c r="V8" s="15" t="str">
        <x:v>Персоналізувати review-flow за доказом; попросити 1 артефакт</x:v>
      </x:c>
      <x:c r="W8" s="15" t="str">
        <x:v>Коммерческий директор; руководитель ПТО / строительства</x:v>
      </x:c>
      <x:c r="X8" s="15" t="str">
        <x:v>Кабельные линии и ЛЭП до 110 кВ, подстанции, релейная защита, внутренние сети, заземление и АСУ ТП.</x:v>
      </x:c>
      <x:c r="Y8" s="15" t="str">
        <x:v>Практически идеальное покрытие Н.15 и высокая документальная сложность.</x:v>
      </x:c>
      <x:c r="Z8" s="15" t="str">
        <x:v>https://www.ukrenergygroup.com/</x:v>
      </x:c>
      <x:c r="AA8" s="14" t="str"/>
      <x:c r="AB8" s="14" t="str">
        <x:v>2026-08-24</x:v>
      </x:c>
      <x:c r="AC8" s="14" t="str">
        <x:v>Олександр</x:v>
      </x:c>
      <x:c r="AD8" s="18" t="str"/>
      <x:c r="AE8" s="14" t="str"/>
    </x:row>
    <x:row r="9">
      <x:c r="A9" s="14" t="str">
        <x:v>AUG-024</x:v>
      </x:c>
      <x:c r="B9" s="14" t="str">
        <x:v>Перевірено 51 — 24.08</x:v>
      </x:c>
      <x:c r="C9" s="14" t="str">
        <x:v>Прогрес Електрик</x:v>
      </x:c>
      <x:c r="D9" s="14" t="str">
        <x:v>Промислова електрика + СЕС</x:v>
      </x:c>
      <x:c r="E9" s="14" t="str">
        <x:v>Pilot now</x:v>
      </x:c>
      <x:c r="F9" s="17" t="str">
        <x:f>IF(E9="Pilot now",IF(P9&gt;=84,"P1",IF(P9&gt;=72,"P2","P3")),IF(E9="Expansion discovery",IF(Q9&gt;=88,"D1",IF(Q9&gt;=78,"D2","D3")),IF(E9="Later / requirements","L","Legacy")))</x:f>
        <x:v>P1</x:v>
      </x:c>
      <x:c r="G9" s="14" t="str">
        <x:v>proelectric.com.ua</x:v>
      </x:c>
      <x:c r="H9" s="14" t="str">
        <x:v>Пілот зараз — Н.15</x:v>
      </x:c>
      <x:c r="I9" s="16" t="n">
        <x:v>5</x:v>
      </x:c>
      <x:c r="J9" s="16" t="n">
        <x:v>5</x:v>
      </x:c>
      <x:c r="K9" s="16" t="n">
        <x:v>5</x:v>
      </x:c>
      <x:c r="L9" s="16" t="n">
        <x:v>5</x:v>
      </x:c>
      <x:c r="M9" s="16" t="n">
        <x:v>4</x:v>
      </x:c>
      <x:c r="N9" s="16" t="n">
        <x:v>5</x:v>
      </x:c>
      <x:c r="O9" s="16" t="n">
        <x:v>5</x:v>
      </x:c>
      <x:c r="P9" s="16" t="n">
        <x:f>IF(COUNT(I9:O9)&lt;7,"",I9*8+J9*3+K9*2+L9*2+M9*2+N9*2+O9)</x:f>
        <x:v>98</x:v>
      </x:c>
      <x:c r="Q9" s="16" t="n">
        <x:f>IF(COUNT(J9:O9)&lt;6,"",J9*5+K9*4+M9*4+L9*3+N9*2+O9*2)</x:f>
        <x:v>96</x:v>
      </x:c>
      <x:c r="R9" s="14" t="str">
        <x:v>high</x:v>
      </x:c>
      <x:c r="S9" s="14" t="str">
        <x:v>official_source_reverified</x:v>
      </x:c>
      <x:c r="T9" s="14" t="str">
        <x:v>official_source_reachable</x:v>
      </x:c>
      <x:c r="U9" s="14" t="str">
        <x:v>Новий — не контактували</x:v>
      </x:c>
      <x:c r="V9" s="15" t="str">
        <x:v>Персоналізувати review-flow за доказом; попросити 1 артефакт</x:v>
      </x:c>
      <x:c r="W9" s="15" t="str">
        <x:v>Директор; руководитель энергетических проектов / ПТО</x:v>
      </x:c>
      <x:c r="X9" s="15" t="str">
        <x:v>100+ объектов, промышленные СЭС до 40 МВт, кабельные линии и подстанции; проекты для крупных украинских брендов.</x:v>
      </x:c>
      <x:c r="Y9" s="15" t="str">
        <x:v>Кабельные линии и заземление соответствуют Н.15 и дают измеримый цикл до технадзора.</x:v>
      </x:c>
      <x:c r="Z9" s="15" t="str">
        <x:v>https://proelectric.com.ua/proyekty/</x:v>
      </x:c>
      <x:c r="AA9" s="14" t="str"/>
      <x:c r="AB9" s="14" t="str">
        <x:v>2026-08-24</x:v>
      </x:c>
      <x:c r="AC9" s="14" t="str">
        <x:v>Олександр</x:v>
      </x:c>
      <x:c r="AD9" s="18" t="str"/>
      <x:c r="AE9" s="14" t="str"/>
    </x:row>
    <x:row r="10">
      <x:c r="A10" s="14" t="str">
        <x:v>AUG-037</x:v>
      </x:c>
      <x:c r="B10" s="14" t="str">
        <x:v>Перевірено 51 — 24.08</x:v>
      </x:c>
      <x:c r="C10" s="14" t="str">
        <x:v>СМІТ ІНЖИНІРИНГ</x:v>
      </x:c>
      <x:c r="D10" s="14" t="str">
        <x:v>Електрика + слаботочка</x:v>
      </x:c>
      <x:c r="E10" s="14" t="str">
        <x:v>Pilot now</x:v>
      </x:c>
      <x:c r="F10" s="17" t="str">
        <x:f>IF(E10="Pilot now",IF(P10&gt;=84,"P1",IF(P10&gt;=72,"P2","P3")),IF(E10="Expansion discovery",IF(Q10&gt;=88,"D1",IF(Q10&gt;=78,"D2","D3")),IF(E10="Later / requirements","L","Legacy")))</x:f>
        <x:v>P1</x:v>
      </x:c>
      <x:c r="G10" s="14" t="str">
        <x:v>smit.ua</x:v>
      </x:c>
      <x:c r="H10" s="14" t="str">
        <x:v>Пілот зараз — Н.15</x:v>
      </x:c>
      <x:c r="I10" s="16" t="n">
        <x:v>5</x:v>
      </x:c>
      <x:c r="J10" s="16" t="n">
        <x:v>5</x:v>
      </x:c>
      <x:c r="K10" s="16" t="n">
        <x:v>5</x:v>
      </x:c>
      <x:c r="L10" s="16" t="n">
        <x:v>4</x:v>
      </x:c>
      <x:c r="M10" s="16" t="n">
        <x:v>5</x:v>
      </x:c>
      <x:c r="N10" s="16" t="n">
        <x:v>5</x:v>
      </x:c>
      <x:c r="O10" s="16" t="n">
        <x:v>5</x:v>
      </x:c>
      <x:c r="P10" s="16" t="n">
        <x:f>IF(COUNT(I10:O10)&lt;7,"",I10*8+J10*3+K10*2+L10*2+M10*2+N10*2+O10)</x:f>
        <x:v>98</x:v>
      </x:c>
      <x:c r="Q10" s="16" t="n">
        <x:f>IF(COUNT(J10:O10)&lt;6,"",J10*5+K10*4+M10*4+L10*3+N10*2+O10*2)</x:f>
        <x:v>97</x:v>
      </x:c>
      <x:c r="R10" s="14" t="str">
        <x:v>high</x:v>
      </x:c>
      <x:c r="S10" s="14" t="str">
        <x:v>official_source_reverified</x:v>
      </x:c>
      <x:c r="T10" s="14" t="str">
        <x:v>official_source_reachable</x:v>
      </x:c>
      <x:c r="U10" s="14" t="str">
        <x:v>Новий — не контактували</x:v>
      </x:c>
      <x:c r="V10" s="15" t="str">
        <x:v>Персоналізувати review-flow за доказом; попросити 1 артефакт</x:v>
      </x:c>
      <x:c r="W10" s="15" t="str">
        <x:v>Директор; руководитель проектов / ПТО</x:v>
      </x:c>
      <x:c r="X10" s="15" t="str">
        <x:v>Полный цикл проектирования, кабельных линий, электроосвещения, автоматизации и слабострумных систем.</x:v>
      </x:c>
      <x:c r="Y10" s="15" t="str">
        <x:v>Поддержанные скрытые кабельные работы можно связать с проектом и пусконаладкой.</x:v>
      </x:c>
      <x:c r="Z10" s="15" t="str">
        <x:v>https://smit.ua/</x:v>
      </x:c>
      <x:c r="AA10" s="14" t="str"/>
      <x:c r="AB10" s="14" t="str">
        <x:v>2026-08-24</x:v>
      </x:c>
      <x:c r="AC10" s="14" t="str">
        <x:v>Олександр</x:v>
      </x:c>
      <x:c r="AD10" s="18" t="str"/>
      <x:c r="AE10" s="14" t="str"/>
    </x:row>
    <x:row r="11">
      <x:c r="A11" s="14" t="str">
        <x:v>AUG-025</x:v>
      </x:c>
      <x:c r="B11" s="14" t="str">
        <x:v>Перевірено 51 — 24.08</x:v>
      </x:c>
      <x:c r="C11" s="14" t="str">
        <x:v>Спецбудмонтаж-Україна</x:v>
      </x:c>
      <x:c r="D11" s="14" t="str">
        <x:v>Промисловий MEP</x:v>
      </x:c>
      <x:c r="E11" s="14" t="str">
        <x:v>Pilot now</x:v>
      </x:c>
      <x:c r="F11" s="17" t="str">
        <x:f>IF(E11="Pilot now",IF(P11&gt;=84,"P1",IF(P11&gt;=72,"P2","P3")),IF(E11="Expansion discovery",IF(Q11&gt;=88,"D1",IF(Q11&gt;=78,"D2","D3")),IF(E11="Later / requirements","L","Legacy")))</x:f>
        <x:v>P1</x:v>
      </x:c>
      <x:c r="G11" s="14" t="str">
        <x:v>specstrojmontazh.ua</x:v>
      </x:c>
      <x:c r="H11" s="14" t="str">
        <x:v>Пілот зараз — Н.14 + Н.15</x:v>
      </x:c>
      <x:c r="I11" s="16" t="n">
        <x:v>5</x:v>
      </x:c>
      <x:c r="J11" s="16" t="n">
        <x:v>5</x:v>
      </x:c>
      <x:c r="K11" s="16" t="n">
        <x:v>5</x:v>
      </x:c>
      <x:c r="L11" s="16" t="n">
        <x:v>4</x:v>
      </x:c>
      <x:c r="M11" s="16" t="n">
        <x:v>5</x:v>
      </x:c>
      <x:c r="N11" s="16" t="n">
        <x:v>5</x:v>
      </x:c>
      <x:c r="O11" s="16" t="n">
        <x:v>5</x:v>
      </x:c>
      <x:c r="P11" s="16" t="n">
        <x:f>IF(COUNT(I11:O11)&lt;7,"",I11*8+J11*3+K11*2+L11*2+M11*2+N11*2+O11)</x:f>
        <x:v>98</x:v>
      </x:c>
      <x:c r="Q11" s="16" t="n">
        <x:f>IF(COUNT(J11:O11)&lt;6,"",J11*5+K11*4+M11*4+L11*3+N11*2+O11*2)</x:f>
        <x:v>97</x:v>
      </x:c>
      <x:c r="R11" s="14" t="str">
        <x:v>high</x:v>
      </x:c>
      <x:c r="S11" s="14" t="str">
        <x:v>official_source_reverified</x:v>
      </x:c>
      <x:c r="T11" s="14" t="str">
        <x:v>official_source_reachable</x:v>
      </x:c>
      <x:c r="U11" s="14" t="str">
        <x:v>Новий — не контактували</x:v>
      </x:c>
      <x:c r="V11" s="15" t="str">
        <x:v>Персоналізувати review-flow за доказом; попросити 1 артефакт</x:v>
      </x:c>
      <x:c r="W11" s="15" t="str">
        <x:v>Коммерческий директор; руководитель ПТО</x:v>
      </x:c>
      <x:c r="X11" s="15" t="str">
        <x:v>Промышленные инженерные сети и технологическое оборудование для переработки, горной, химической и агропромышленности.</x:v>
      </x:c>
      <x:c r="Y11" s="15" t="str">
        <x:v>Внутренние санитарные системы и электроснабжение можно пилотировать без охвата всего генподряда.</x:v>
      </x:c>
      <x:c r="Z11" s="15" t="str">
        <x:v>https://specstrojmontazh.ua/services/seti.html</x:v>
      </x:c>
      <x:c r="AA11" s="14" t="str"/>
      <x:c r="AB11" s="14" t="str">
        <x:v>2026-08-24</x:v>
      </x:c>
      <x:c r="AC11" s="14" t="str">
        <x:v>Олександр</x:v>
      </x:c>
      <x:c r="AD11" s="18" t="str"/>
      <x:c r="AE11" s="14" t="str"/>
    </x:row>
    <x:row r="12">
      <x:c r="A12" s="14" t="str">
        <x:v>AUG-031</x:v>
      </x:c>
      <x:c r="B12" s="14" t="str">
        <x:v>Перевірено 51 — 24.08</x:v>
      </x:c>
      <x:c r="C12" s="14" t="str">
        <x:v>ТД Роял Груп</x:v>
      </x:c>
      <x:c r="D12" s="14" t="str">
        <x:v>Промислова електрика</x:v>
      </x:c>
      <x:c r="E12" s="14" t="str">
        <x:v>Pilot now</x:v>
      </x:c>
      <x:c r="F12" s="17" t="str">
        <x:f>IF(E12="Pilot now",IF(P12&gt;=84,"P1",IF(P12&gt;=72,"P2","P3")),IF(E12="Expansion discovery",IF(Q12&gt;=88,"D1",IF(Q12&gt;=78,"D2","D3")),IF(E12="Later / requirements","L","Legacy")))</x:f>
        <x:v>P1</x:v>
      </x:c>
      <x:c r="G12" s="14" t="str">
        <x:v>royal-group.com.ua</x:v>
      </x:c>
      <x:c r="H12" s="14" t="str">
        <x:v>Пілот зараз — Н.15</x:v>
      </x:c>
      <x:c r="I12" s="16" t="n">
        <x:v>5</x:v>
      </x:c>
      <x:c r="J12" s="16" t="n">
        <x:v>5</x:v>
      </x:c>
      <x:c r="K12" s="16" t="n">
        <x:v>5</x:v>
      </x:c>
      <x:c r="L12" s="16" t="n">
        <x:v>4</x:v>
      </x:c>
      <x:c r="M12" s="16" t="n">
        <x:v>5</x:v>
      </x:c>
      <x:c r="N12" s="16" t="n">
        <x:v>5</x:v>
      </x:c>
      <x:c r="O12" s="16" t="n">
        <x:v>5</x:v>
      </x:c>
      <x:c r="P12" s="16" t="n">
        <x:f>IF(COUNT(I12:O12)&lt;7,"",I12*8+J12*3+K12*2+L12*2+M12*2+N12*2+O12)</x:f>
        <x:v>98</x:v>
      </x:c>
      <x:c r="Q12" s="16" t="n">
        <x:f>IF(COUNT(J12:O12)&lt;6,"",J12*5+K12*4+M12*4+L12*3+N12*2+O12*2)</x:f>
        <x:v>97</x:v>
      </x:c>
      <x:c r="R12" s="14" t="str">
        <x:v>high</x:v>
      </x:c>
      <x:c r="S12" s="14" t="str">
        <x:v>official_source_reverified</x:v>
      </x:c>
      <x:c r="T12" s="14" t="str">
        <x:v>official_source_reachable</x:v>
      </x:c>
      <x:c r="U12" s="14" t="str">
        <x:v>Новий — не контактували</x:v>
      </x:c>
      <x:c r="V12" s="15" t="str">
        <x:v>Персоналізувати review-flow за доказом; попросити 1 артефакт</x:v>
      </x:c>
      <x:c r="W12" s="15" t="str">
        <x:v>Коммерческий директор; руководитель ПТО</x:v>
      </x:c>
      <x:c r="X12" s="15" t="str">
        <x:v>Электромонтаж до 110 кВ, КТП/БКТП, кабельные линии, пусконаладка и приёмочные испытания; опыт с 2014 года.</x:v>
      </x:c>
      <x:c r="Y12" s="15" t="str">
        <x:v>Полностью поддержанный Н.15-контур с явными протоколами и сдачей.</x:v>
      </x:c>
      <x:c r="Z12" s="15" t="str">
        <x:v>https://royal-group.com.ua/uk</x:v>
      </x:c>
      <x:c r="AA12" s="14" t="str"/>
      <x:c r="AB12" s="14" t="str">
        <x:v>2026-08-24</x:v>
      </x:c>
      <x:c r="AC12" s="14" t="str">
        <x:v>Олександр</x:v>
      </x:c>
      <x:c r="AD12" s="18" t="str"/>
      <x:c r="AE12" s="14" t="str"/>
    </x:row>
    <x:row r="13">
      <x:c r="A13" s="14" t="str">
        <x:v>V3-032</x:v>
      </x:c>
      <x:c r="B13" s="14" t="str">
        <x:v>Досліджено 28.07</x:v>
      </x:c>
      <x:c r="C13" s="14" t="str">
        <x:v>ТОВ «ВЕМА ЗАХІД»</x:v>
      </x:c>
      <x:c r="D13" s="14" t="str">
        <x:v>Електромонтаж</x:v>
      </x:c>
      <x:c r="E13" s="14" t="str">
        <x:v>Pilot now</x:v>
      </x:c>
      <x:c r="F13" s="17" t="str">
        <x:f>IF(E13="Pilot now",IF(P13&gt;=84,"P1",IF(P13&gt;=72,"P2","P3")),IF(E13="Expansion discovery",IF(Q13&gt;=88,"D1",IF(Q13&gt;=78,"D2","D3")),IF(E13="Later / requirements","L","Legacy")))</x:f>
        <x:v>P1</x:v>
      </x:c>
      <x:c r="G13" s="14" t="str">
        <x:v>vemazahid.com</x:v>
      </x:c>
      <x:c r="H13" s="14" t="str">
        <x:v>Пілот зараз — Н.15</x:v>
      </x:c>
      <x:c r="I13" s="16" t="n">
        <x:v>5</x:v>
      </x:c>
      <x:c r="J13" s="16" t="n">
        <x:v>5</x:v>
      </x:c>
      <x:c r="K13" s="16" t="n">
        <x:v>5</x:v>
      </x:c>
      <x:c r="L13" s="16" t="n">
        <x:v>4</x:v>
      </x:c>
      <x:c r="M13" s="16" t="n">
        <x:v>5</x:v>
      </x:c>
      <x:c r="N13" s="16" t="n">
        <x:v>5</x:v>
      </x:c>
      <x:c r="O13" s="16" t="n">
        <x:v>5</x:v>
      </x:c>
      <x:c r="P13" s="16" t="n">
        <x:f>IF(COUNT(I13:O13)&lt;7,"",I13*8+J13*3+K13*2+L13*2+M13*2+N13*2+O13)</x:f>
        <x:v>98</x:v>
      </x:c>
      <x:c r="Q13" s="16" t="n">
        <x:f>IF(COUNT(J13:O13)&lt;6,"",J13*5+K13*4+M13*4+L13*3+N13*2+O13*2)</x:f>
        <x:v>97</x:v>
      </x:c>
      <x:c r="R13" s="14" t="str">
        <x:v>medium</x:v>
      </x:c>
      <x:c r="S13" s="14" t="str">
        <x:v>historical_research_2026-07-28</x:v>
      </x:c>
      <x:c r="T13" s="14" t="str">
        <x:v>historical_official_research</x:v>
      </x:c>
      <x:c r="U13" s="14" t="str">
        <x:v>Надіслано 28.07 — follow-up</x:v>
      </x:c>
      <x:c r="V13" s="15" t="str">
        <x:v>Follow-up з review-link; далі попросити 1 анонімізований артефакт</x:v>
      </x:c>
      <x:c r="W13" s="15" t="str">
        <x:v>Власник / директор; керівник ПТО</x:v>
      </x:c>
      <x:c r="X13" s="15" t="str">
        <x:v>Повний цикл електропостачання: проєкт, приєднання, кабельні/повітряні лінії, підстанції, налагодження й техобслуговування.</x:v>
      </x:c>
      <x:c r="Y13" s="15" t="str">
        <x:v>Закриття кабельних трас, фундаментів і заземлення до приймання; потрібна доказова виконавча документація.</x:v>
      </x:c>
      <x:c r="Z13" s="15" t="str">
        <x:v>https://vemazahid.com/pro-kompaniyu/</x:v>
      </x:c>
      <x:c r="AA13" s="14" t="str">
        <x:v>31659280</x:v>
      </x:c>
      <x:c r="AB13" s="14" t="str">
        <x:v>2026-07-28</x:v>
      </x:c>
      <x:c r="AC13" s="14" t="str">
        <x:v>Олександр</x:v>
      </x:c>
      <x:c r="AD13" s="18" t="str"/>
      <x:c r="AE13" s="14" t="str"/>
    </x:row>
    <x:row r="14">
      <x:c r="A14" s="14" t="str">
        <x:v>V3-033</x:v>
      </x:c>
      <x:c r="B14" s="14" t="str">
        <x:v>Досліджено 28.07</x:v>
      </x:c>
      <x:c r="C14" s="14" t="str">
        <x:v>ТОВ «ЕМБУД»</x:v>
      </x:c>
      <x:c r="D14" s="14" t="str">
        <x:v>Електромонтаж</x:v>
      </x:c>
      <x:c r="E14" s="14" t="str">
        <x:v>Pilot now</x:v>
      </x:c>
      <x:c r="F14" s="17" t="str">
        <x:f>IF(E14="Pilot now",IF(P14&gt;=84,"P1",IF(P14&gt;=72,"P2","P3")),IF(E14="Expansion discovery",IF(Q14&gt;=88,"D1",IF(Q14&gt;=78,"D2","D3")),IF(E14="Later / requirements","L","Legacy")))</x:f>
        <x:v>P1</x:v>
      </x:c>
      <x:c r="G14" s="14" t="str">
        <x:v>embud.com.ua</x:v>
      </x:c>
      <x:c r="H14" s="14" t="str">
        <x:v>Пілот зараз — Н.15</x:v>
      </x:c>
      <x:c r="I14" s="16" t="n">
        <x:v>5</x:v>
      </x:c>
      <x:c r="J14" s="16" t="n">
        <x:v>5</x:v>
      </x:c>
      <x:c r="K14" s="16" t="n">
        <x:v>5</x:v>
      </x:c>
      <x:c r="L14" s="16" t="n">
        <x:v>4</x:v>
      </x:c>
      <x:c r="M14" s="16" t="n">
        <x:v>5</x:v>
      </x:c>
      <x:c r="N14" s="16" t="n">
        <x:v>5</x:v>
      </x:c>
      <x:c r="O14" s="16" t="n">
        <x:v>5</x:v>
      </x:c>
      <x:c r="P14" s="16" t="n">
        <x:f>IF(COUNT(I14:O14)&lt;7,"",I14*8+J14*3+K14*2+L14*2+M14*2+N14*2+O14)</x:f>
        <x:v>98</x:v>
      </x:c>
      <x:c r="Q14" s="16" t="n">
        <x:f>IF(COUNT(J14:O14)&lt;6,"",J14*5+K14*4+M14*4+L14*3+N14*2+O14*2)</x:f>
        <x:v>97</x:v>
      </x:c>
      <x:c r="R14" s="14" t="str">
        <x:v>medium</x:v>
      </x:c>
      <x:c r="S14" s="14" t="str">
        <x:v>historical_research_2026-07-28</x:v>
      </x:c>
      <x:c r="T14" s="14" t="str">
        <x:v>historical_official_research</x:v>
      </x:c>
      <x:c r="U14" s="14" t="str">
        <x:v>Надіслано 28.07 — follow-up</x:v>
      </x:c>
      <x:c r="V14" s="15" t="str">
        <x:v>Follow-up з review-link; далі попросити 1 анонімізований артефакт</x:v>
      </x:c>
      <x:c r="W14" s="15" t="str">
        <x:v>Власник / директор; керівник ПТО</x:v>
      </x:c>
      <x:c r="X14" s="15" t="str">
        <x:v>Електромонтаж, автоматизація та BMS; виконує інженерні системи для комерційних і промислових об’єктів.</x:v>
      </x:c>
      <x:c r="Y14" s="15" t="str">
        <x:v>Кабельні мережі, датчики та автоматика часто закриваються оздобленням; приймання залежить від протоколів і маркування.</x:v>
      </x:c>
      <x:c r="Z14" s="15" t="str">
        <x:v>https://embud.com.ua/</x:v>
      </x:c>
      <x:c r="AA14" s="14" t="str">
        <x:v>40349760</x:v>
      </x:c>
      <x:c r="AB14" s="14" t="str">
        <x:v>2026-07-28</x:v>
      </x:c>
      <x:c r="AC14" s="14" t="str">
        <x:v>Олександр</x:v>
      </x:c>
      <x:c r="AD14" s="18" t="str"/>
      <x:c r="AE14" s="14" t="str"/>
    </x:row>
    <x:row r="15">
      <x:c r="A15" s="14" t="str">
        <x:v>V3-034</x:v>
      </x:c>
      <x:c r="B15" s="14" t="str">
        <x:v>Досліджено 28.07</x:v>
      </x:c>
      <x:c r="C15" s="14" t="str">
        <x:v>ТОВ «КОМУНІКАЦІЇ ТА ІНЖЕНЕРНІ МЕРЕЖІ»</x:v>
      </x:c>
      <x:c r="D15" s="14" t="str">
        <x:v>Електромонтаж</x:v>
      </x:c>
      <x:c r="E15" s="14" t="str">
        <x:v>Pilot now</x:v>
      </x:c>
      <x:c r="F15" s="17" t="str">
        <x:f>IF(E15="Pilot now",IF(P15&gt;=84,"P1",IF(P15&gt;=72,"P2","P3")),IF(E15="Expansion discovery",IF(Q15&gt;=88,"D1",IF(Q15&gt;=78,"D2","D3")),IF(E15="Later / requirements","L","Legacy")))</x:f>
        <x:v>P1</x:v>
      </x:c>
      <x:c r="G15" s="14" t="str">
        <x:v>kimelectro.com</x:v>
      </x:c>
      <x:c r="H15" s="14" t="str">
        <x:v>Пілот зараз — Н.15</x:v>
      </x:c>
      <x:c r="I15" s="16" t="n">
        <x:v>5</x:v>
      </x:c>
      <x:c r="J15" s="16" t="n">
        <x:v>5</x:v>
      </x:c>
      <x:c r="K15" s="16" t="n">
        <x:v>5</x:v>
      </x:c>
      <x:c r="L15" s="16" t="n">
        <x:v>4</x:v>
      </x:c>
      <x:c r="M15" s="16" t="n">
        <x:v>5</x:v>
      </x:c>
      <x:c r="N15" s="16" t="n">
        <x:v>5</x:v>
      </x:c>
      <x:c r="O15" s="16" t="n">
        <x:v>5</x:v>
      </x:c>
      <x:c r="P15" s="16" t="n">
        <x:f>IF(COUNT(I15:O15)&lt;7,"",I15*8+J15*3+K15*2+L15*2+M15*2+N15*2+O15)</x:f>
        <x:v>98</x:v>
      </x:c>
      <x:c r="Q15" s="16" t="n">
        <x:f>IF(COUNT(J15:O15)&lt;6,"",J15*5+K15*4+M15*4+L15*3+N15*2+O15*2)</x:f>
        <x:v>97</x:v>
      </x:c>
      <x:c r="R15" s="14" t="str">
        <x:v>medium</x:v>
      </x:c>
      <x:c r="S15" s="14" t="str">
        <x:v>historical_research_2026-07-28</x:v>
      </x:c>
      <x:c r="T15" s="14" t="str">
        <x:v>historical_official_research</x:v>
      </x:c>
      <x:c r="U15" s="14" t="str">
        <x:v>Надіслано 28.07 — follow-up</x:v>
      </x:c>
      <x:c r="V15" s="15" t="str">
        <x:v>Follow-up з review-link; далі попросити 1 анонімізований артефакт</x:v>
      </x:c>
      <x:c r="W15" s="15" t="str">
        <x:v>Власник / директор; керівник ПТО</x:v>
      </x:c>
      <x:c r="X15" s="15" t="str">
        <x:v>Проєктування, виробництво щитів, електромонтаж і будівельні роботи; у реєстрі є сертифіковані виконавці.</x:v>
      </x:c>
      <x:c r="Y15" s="15" t="str">
        <x:v>Кабельні траси, заземлення, щити та приєднання потребують поетапного контролю, протоколів і комплектності документів.</x:v>
      </x:c>
      <x:c r="Z15" s="15" t="str">
        <x:v>https://kimelectro.com/</x:v>
      </x:c>
      <x:c r="AA15" s="14" t="str">
        <x:v>37280567</x:v>
      </x:c>
      <x:c r="AB15" s="14" t="str">
        <x:v>2026-07-28</x:v>
      </x:c>
      <x:c r="AC15" s="14" t="str">
        <x:v>Олександр</x:v>
      </x:c>
      <x:c r="AD15" s="18" t="str"/>
      <x:c r="AE15" s="14" t="str"/>
    </x:row>
    <x:row r="16">
      <x:c r="A16" s="14" t="str">
        <x:v>V3-035</x:v>
      </x:c>
      <x:c r="B16" s="14" t="str">
        <x:v>Досліджено 28.07</x:v>
      </x:c>
      <x:c r="C16" s="14" t="str">
        <x:v>ТОВ «НЕТЛАЙН»</x:v>
      </x:c>
      <x:c r="D16" s="14" t="str">
        <x:v>Електромонтаж</x:v>
      </x:c>
      <x:c r="E16" s="14" t="str">
        <x:v>Pilot now</x:v>
      </x:c>
      <x:c r="F16" s="17" t="str">
        <x:f>IF(E16="Pilot now",IF(P16&gt;=84,"P1",IF(P16&gt;=72,"P2","P3")),IF(E16="Expansion discovery",IF(Q16&gt;=88,"D1",IF(Q16&gt;=78,"D2","D3")),IF(E16="Later / requirements","L","Legacy")))</x:f>
        <x:v>P1</x:v>
      </x:c>
      <x:c r="G16" s="14" t="str">
        <x:v>netline.top</x:v>
      </x:c>
      <x:c r="H16" s="14" t="str">
        <x:v>Пілот зараз — Н.15</x:v>
      </x:c>
      <x:c r="I16" s="16" t="n">
        <x:v>5</x:v>
      </x:c>
      <x:c r="J16" s="16" t="n">
        <x:v>5</x:v>
      </x:c>
      <x:c r="K16" s="16" t="n">
        <x:v>5</x:v>
      </x:c>
      <x:c r="L16" s="16" t="n">
        <x:v>4</x:v>
      </x:c>
      <x:c r="M16" s="16" t="n">
        <x:v>5</x:v>
      </x:c>
      <x:c r="N16" s="16" t="n">
        <x:v>5</x:v>
      </x:c>
      <x:c r="O16" s="16" t="n">
        <x:v>5</x:v>
      </x:c>
      <x:c r="P16" s="16" t="n">
        <x:f>IF(COUNT(I16:O16)&lt;7,"",I16*8+J16*3+K16*2+L16*2+M16*2+N16*2+O16)</x:f>
        <x:v>98</x:v>
      </x:c>
      <x:c r="Q16" s="16" t="n">
        <x:f>IF(COUNT(J16:O16)&lt;6,"",J16*5+K16*4+M16*4+L16*3+N16*2+O16*2)</x:f>
        <x:v>97</x:v>
      </x:c>
      <x:c r="R16" s="14" t="str">
        <x:v>medium</x:v>
      </x:c>
      <x:c r="S16" s="14" t="str">
        <x:v>historical_research_2026-07-28</x:v>
      </x:c>
      <x:c r="T16" s="14" t="str">
        <x:v>historical_official_research</x:v>
      </x:c>
      <x:c r="U16" s="14" t="str">
        <x:v>Надіслано 28.07 — follow-up</x:v>
      </x:c>
      <x:c r="V16" s="15" t="str">
        <x:v>Follow-up з review-link; далі попросити 1 анонімізований артефакт</x:v>
      </x:c>
      <x:c r="W16" s="15" t="str">
        <x:v>Власник / директор; керівник ПТО</x:v>
      </x:c>
      <x:c r="X16" s="15" t="str">
        <x:v>Зовнішнє освітлення, кабельні й лоткові траси, щитове обладнання, блискавкозахист та проєктні роботи.</x:v>
      </x:c>
      <x:c r="Y16" s="15" t="str">
        <x:v>Підземні кабелі, закладні й контур заземлення мають бути зафіксовані до засипання та оздоблення.</x:v>
      </x:c>
      <x:c r="Z16" s="15" t="str">
        <x:v>https://www.netline.top/en/%D0%B3%D0%BE%D0%BB%D0%BE%D0%B2%D0%BD%D0%B0-english/</x:v>
      </x:c>
      <x:c r="AA16" s="14" t="str">
        <x:v>40547614</x:v>
      </x:c>
      <x:c r="AB16" s="14" t="str">
        <x:v>2026-07-28</x:v>
      </x:c>
      <x:c r="AC16" s="14" t="str">
        <x:v>Олександр</x:v>
      </x:c>
      <x:c r="AD16" s="18" t="str"/>
      <x:c r="AE16" s="14" t="str"/>
    </x:row>
    <x:row r="17">
      <x:c r="A17" s="14" t="str">
        <x:v>AUG-015</x:v>
      </x:c>
      <x:c r="B17" s="14" t="str">
        <x:v>Перевірено 51 — 24.08</x:v>
      </x:c>
      <x:c r="C17" s="14" t="str">
        <x:v>Українська компанія ПРОМСИЛА</x:v>
      </x:c>
      <x:c r="D17" s="14" t="str">
        <x:v>Промислова електрика + пожежні системи</x:v>
      </x:c>
      <x:c r="E17" s="14" t="str">
        <x:v>Pilot now</x:v>
      </x:c>
      <x:c r="F17" s="17" t="str">
        <x:f>IF(E17="Pilot now",IF(P17&gt;=84,"P1",IF(P17&gt;=72,"P2","P3")),IF(E17="Expansion discovery",IF(Q17&gt;=88,"D1",IF(Q17&gt;=78,"D2","D3")),IF(E17="Later / requirements","L","Legacy")))</x:f>
        <x:v>P1</x:v>
      </x:c>
      <x:c r="G17" s="14" t="str">
        <x:v>mc-promsila.com.ua</x:v>
      </x:c>
      <x:c r="H17" s="14" t="str">
        <x:v>Пілот зараз — Н.15</x:v>
      </x:c>
      <x:c r="I17" s="16" t="n">
        <x:v>5</x:v>
      </x:c>
      <x:c r="J17" s="16" t="n">
        <x:v>5</x:v>
      </x:c>
      <x:c r="K17" s="16" t="n">
        <x:v>5</x:v>
      </x:c>
      <x:c r="L17" s="16" t="n">
        <x:v>4</x:v>
      </x:c>
      <x:c r="M17" s="16" t="n">
        <x:v>5</x:v>
      </x:c>
      <x:c r="N17" s="16" t="n">
        <x:v>5</x:v>
      </x:c>
      <x:c r="O17" s="16" t="n">
        <x:v>5</x:v>
      </x:c>
      <x:c r="P17" s="16" t="n">
        <x:f>IF(COUNT(I17:O17)&lt;7,"",I17*8+J17*3+K17*2+L17*2+M17*2+N17*2+O17)</x:f>
        <x:v>98</x:v>
      </x:c>
      <x:c r="Q17" s="16" t="n">
        <x:f>IF(COUNT(J17:O17)&lt;6,"",J17*5+K17*4+M17*4+L17*3+N17*2+O17*2)</x:f>
        <x:v>97</x:v>
      </x:c>
      <x:c r="R17" s="14" t="str">
        <x:v>high</x:v>
      </x:c>
      <x:c r="S17" s="14" t="str">
        <x:v>official_source_reverified</x:v>
      </x:c>
      <x:c r="T17" s="14" t="str">
        <x:v>official_source_reachable</x:v>
      </x:c>
      <x:c r="U17" s="14" t="str">
        <x:v>Новий — не контактували</x:v>
      </x:c>
      <x:c r="V17" s="15" t="str">
        <x:v>Персоналізувати review-flow за доказом; попросити 1 артефакт</x:v>
      </x:c>
      <x:c r="W17" s="15" t="str">
        <x:v>Директор; руководитель ПТО / энергетических проектов</x:v>
      </x:c>
      <x:c r="X17" s="15" t="str">
        <x:v>Полный комплекс энергоснабжения промышленных объектов, электромонтаж, пусконаладка и противопожарные системы.</x:v>
      </x:c>
      <x:c r="Y17" s="15" t="str">
        <x:v>Можно начать с кабельных линий/заземления и не включать неподдержанные требования пожаротушения.</x:v>
      </x:c>
      <x:c r="Z17" s="15" t="str">
        <x:v>https://mc-promsila.com.ua/</x:v>
      </x:c>
      <x:c r="AA17" s="14" t="str"/>
      <x:c r="AB17" s="14" t="str">
        <x:v>2026-08-24</x:v>
      </x:c>
      <x:c r="AC17" s="14" t="str">
        <x:v>Олександр</x:v>
      </x:c>
      <x:c r="AD17" s="18" t="str"/>
      <x:c r="AE17" s="14" t="str"/>
    </x:row>
    <x:row r="18">
      <x:c r="A18" s="14" t="str">
        <x:v>AUG-041</x:v>
      </x:c>
      <x:c r="B18" s="14" t="str">
        <x:v>Перевірено 51 — 24.08</x:v>
      </x:c>
      <x:c r="C18" s="14" t="str">
        <x:v>DOWBUSH energo</x:v>
      </x:c>
      <x:c r="D18" s="14" t="str">
        <x:v>Промислова електрика</x:v>
      </x:c>
      <x:c r="E18" s="14" t="str">
        <x:v>Pilot now</x:v>
      </x:c>
      <x:c r="F18" s="17" t="str">
        <x:f>IF(E18="Pilot now",IF(P18&gt;=84,"P1",IF(P18&gt;=72,"P2","P3")),IF(E18="Expansion discovery",IF(Q18&gt;=88,"D1",IF(Q18&gt;=78,"D2","D3")),IF(E18="Later / requirements","L","Legacy")))</x:f>
        <x:v>P1</x:v>
      </x:c>
      <x:c r="G18" s="14" t="str">
        <x:v>energo.dowbush.com</x:v>
      </x:c>
      <x:c r="H18" s="14" t="str">
        <x:v>Пілот зараз — Н.15</x:v>
      </x:c>
      <x:c r="I18" s="16" t="n">
        <x:v>5</x:v>
      </x:c>
      <x:c r="J18" s="16" t="n">
        <x:v>5</x:v>
      </x:c>
      <x:c r="K18" s="16" t="n">
        <x:v>5</x:v>
      </x:c>
      <x:c r="L18" s="16" t="n">
        <x:v>4</x:v>
      </x:c>
      <x:c r="M18" s="16" t="n">
        <x:v>5</x:v>
      </x:c>
      <x:c r="N18" s="16" t="n">
        <x:v>5</x:v>
      </x:c>
      <x:c r="O18" s="16" t="n">
        <x:v>5</x:v>
      </x:c>
      <x:c r="P18" s="16" t="n">
        <x:f>IF(COUNT(I18:O18)&lt;7,"",I18*8+J18*3+K18*2+L18*2+M18*2+N18*2+O18)</x:f>
        <x:v>98</x:v>
      </x:c>
      <x:c r="Q18" s="16" t="n">
        <x:f>IF(COUNT(J18:O18)&lt;6,"",J18*5+K18*4+M18*4+L18*3+N18*2+O18*2)</x:f>
        <x:v>97</x:v>
      </x:c>
      <x:c r="R18" s="14" t="str">
        <x:v>high</x:v>
      </x:c>
      <x:c r="S18" s="14" t="str">
        <x:v>official_source_reverified</x:v>
      </x:c>
      <x:c r="T18" s="14" t="str">
        <x:v>official_source_reachable</x:v>
      </x:c>
      <x:c r="U18" s="14" t="str">
        <x:v>Новий — не контактували</x:v>
      </x:c>
      <x:c r="V18" s="15" t="str">
        <x:v>Персоналізувати review-flow за доказом; попросити 1 артефакт</x:v>
      </x:c>
      <x:c r="W18" s="15" t="str">
        <x:v>Коммерческий директор; руководитель ПТО</x:v>
      </x:c>
      <x:c r="X18" s="15" t="str">
        <x:v>Подстанции КТП/РП/ЗТП, кабельные линии, монтаж, пусконаладка и протоколы испытаний в единой ответственности.</x:v>
      </x:c>
      <x:c r="Y18" s="15" t="str">
        <x:v>Явная связка работ, испытаний и протоколов идеально подходит для Н.15-пилота.</x:v>
      </x:c>
      <x:c r="Z18" s="15" t="str">
        <x:v>https://energo.dowbush.com/uk/services</x:v>
      </x:c>
      <x:c r="AA18" s="14" t="str"/>
      <x:c r="AB18" s="14" t="str">
        <x:v>2026-08-24</x:v>
      </x:c>
      <x:c r="AC18" s="14" t="str">
        <x:v>Олександр</x:v>
      </x:c>
      <x:c r="AD18" s="18" t="str"/>
      <x:c r="AE18" s="14" t="str"/>
    </x:row>
    <x:row r="19">
      <x:c r="A19" s="14" t="str">
        <x:v>AUG-023</x:v>
      </x:c>
      <x:c r="B19" s="14" t="str">
        <x:v>Перевірено 51 — 24.08</x:v>
      </x:c>
      <x:c r="C19" s="14" t="str">
        <x:v>RUDNIK</x:v>
      </x:c>
      <x:c r="D19" s="14" t="str">
        <x:v>СЕС + електрика</x:v>
      </x:c>
      <x:c r="E19" s="14" t="str">
        <x:v>Pilot now</x:v>
      </x:c>
      <x:c r="F19" s="17" t="str">
        <x:f>IF(E19="Pilot now",IF(P19&gt;=84,"P1",IF(P19&gt;=72,"P2","P3")),IF(E19="Expansion discovery",IF(Q19&gt;=88,"D1",IF(Q19&gt;=78,"D2","D3")),IF(E19="Later / requirements","L","Legacy")))</x:f>
        <x:v>P1</x:v>
      </x:c>
      <x:c r="G19" s="14" t="str">
        <x:v>rudnik.ua</x:v>
      </x:c>
      <x:c r="H19" s="14" t="str">
        <x:v>Пілот зараз — Н.15</x:v>
      </x:c>
      <x:c r="I19" s="16" t="n">
        <x:v>5</x:v>
      </x:c>
      <x:c r="J19" s="16" t="n">
        <x:v>5</x:v>
      </x:c>
      <x:c r="K19" s="16" t="n">
        <x:v>5</x:v>
      </x:c>
      <x:c r="L19" s="16" t="n">
        <x:v>5</x:v>
      </x:c>
      <x:c r="M19" s="16" t="n">
        <x:v>4</x:v>
      </x:c>
      <x:c r="N19" s="16" t="n">
        <x:v>5</x:v>
      </x:c>
      <x:c r="O19" s="16" t="n">
        <x:v>5</x:v>
      </x:c>
      <x:c r="P19" s="16" t="n">
        <x:f>IF(COUNT(I19:O19)&lt;7,"",I19*8+J19*3+K19*2+L19*2+M19*2+N19*2+O19)</x:f>
        <x:v>98</x:v>
      </x:c>
      <x:c r="Q19" s="16" t="n">
        <x:f>IF(COUNT(J19:O19)&lt;6,"",J19*5+K19*4+M19*4+L19*3+N19*2+O19*2)</x:f>
        <x:v>96</x:v>
      </x:c>
      <x:c r="R19" s="14" t="str">
        <x:v>high</x:v>
      </x:c>
      <x:c r="S19" s="14" t="str">
        <x:v>official_source_reverified</x:v>
      </x:c>
      <x:c r="T19" s="14" t="str">
        <x:v>official_source_reachable</x:v>
      </x:c>
      <x:c r="U19" s="14" t="str">
        <x:v>Новий — не контактували</x:v>
      </x:c>
      <x:c r="V19" s="15" t="str">
        <x:v>Персоналізувати review-flow за доказом; попросити 1 артефакт</x:v>
      </x:c>
      <x:c r="W19" s="15" t="str">
        <x:v>Коммерческий директор; руководитель строительства / ПТО</x:v>
      </x:c>
      <x:c r="X19" s="15" t="str">
        <x:v>Проектирование и монтаж промышленных СЭС; 1000+ солнечных станций, производственные мощности 120 МВт/год.</x:v>
      </x:c>
      <x:c r="Y19" s="15" t="str">
        <x:v>Кабели, заземление и приёмка электроустановок дают большой повторяемый массив доказательств.</x:v>
      </x:c>
      <x:c r="Z19" s="15" t="str">
        <x:v>https://www.rudnik.ua/</x:v>
      </x:c>
      <x:c r="AA19" s="14" t="str"/>
      <x:c r="AB19" s="14" t="str">
        <x:v>2026-08-24</x:v>
      </x:c>
      <x:c r="AC19" s="14" t="str">
        <x:v>Олександр</x:v>
      </x:c>
      <x:c r="AD19" s="18" t="str"/>
      <x:c r="AE19" s="14" t="str"/>
    </x:row>
    <x:row r="20">
      <x:c r="A20" s="14" t="str">
        <x:v>AUG-028</x:v>
      </x:c>
      <x:c r="B20" s="14" t="str">
        <x:v>Перевірено 51 — 24.08</x:v>
      </x:c>
      <x:c r="C20" s="14" t="str">
        <x:v>Авангард Солар</x:v>
      </x:c>
      <x:c r="D20" s="14" t="str">
        <x:v>СЕС + електрика</x:v>
      </x:c>
      <x:c r="E20" s="14" t="str">
        <x:v>Pilot now</x:v>
      </x:c>
      <x:c r="F20" s="17" t="str">
        <x:f>IF(E20="Pilot now",IF(P20&gt;=84,"P1",IF(P20&gt;=72,"P2","P3")),IF(E20="Expansion discovery",IF(Q20&gt;=88,"D1",IF(Q20&gt;=78,"D2","D3")),IF(E20="Later / requirements","L","Legacy")))</x:f>
        <x:v>P1</x:v>
      </x:c>
      <x:c r="G20" s="14" t="str">
        <x:v>avangard-solar.com.ua</x:v>
      </x:c>
      <x:c r="H20" s="14" t="str">
        <x:v>Пілот зараз — Н.15</x:v>
      </x:c>
      <x:c r="I20" s="16" t="n">
        <x:v>5</x:v>
      </x:c>
      <x:c r="J20" s="16" t="n">
        <x:v>5</x:v>
      </x:c>
      <x:c r="K20" s="16" t="n">
        <x:v>5</x:v>
      </x:c>
      <x:c r="L20" s="16" t="n">
        <x:v>4</x:v>
      </x:c>
      <x:c r="M20" s="16" t="n">
        <x:v>4</x:v>
      </x:c>
      <x:c r="N20" s="16" t="n">
        <x:v>5</x:v>
      </x:c>
      <x:c r="O20" s="16" t="n">
        <x:v>5</x:v>
      </x:c>
      <x:c r="P20" s="16" t="n">
        <x:f>IF(COUNT(I20:O20)&lt;7,"",I20*8+J20*3+K20*2+L20*2+M20*2+N20*2+O20)</x:f>
        <x:v>96</x:v>
      </x:c>
      <x:c r="Q20" s="16" t="n">
        <x:f>IF(COUNT(J20:O20)&lt;6,"",J20*5+K20*4+M20*4+L20*3+N20*2+O20*2)</x:f>
        <x:v>93</x:v>
      </x:c>
      <x:c r="R20" s="14" t="str">
        <x:v>high</x:v>
      </x:c>
      <x:c r="S20" s="14" t="str">
        <x:v>official_source_reverified</x:v>
      </x:c>
      <x:c r="T20" s="14" t="str">
        <x:v>official_source_reachable</x:v>
      </x:c>
      <x:c r="U20" s="14" t="str">
        <x:v>Новий — не контактували</x:v>
      </x:c>
      <x:c r="V20" s="15" t="str">
        <x:v>Персоналізувати review-flow за доказом; попросити 1 артефакт</x:v>
      </x:c>
      <x:c r="W20" s="15" t="str">
        <x:v>Владелец; руководитель монтажных проектов</x:v>
      </x:c>
      <x:c r="X20" s="15" t="str">
        <x:v>Промышленные и коммерческие СЭС; портфолио заводов, клиник, агро- и бизнес-объектов по Украине.</x:v>
      </x:c>
      <x:c r="Y20" s="15" t="str">
        <x:v>Фото кабельных трасс и заземления до закрытия можно связать с приёмкой электроустановки.</x:v>
      </x:c>
      <x:c r="Z20" s="15" t="str">
        <x:v>https://www.avangard-solar.com.ua/</x:v>
      </x:c>
      <x:c r="AA20" s="14" t="str"/>
      <x:c r="AB20" s="14" t="str">
        <x:v>2026-08-24</x:v>
      </x:c>
      <x:c r="AC20" s="14" t="str">
        <x:v>Олександр</x:v>
      </x:c>
      <x:c r="AD20" s="18" t="str"/>
      <x:c r="AE20" s="14" t="str"/>
    </x:row>
    <x:row r="21">
      <x:c r="A21" s="14" t="str">
        <x:v>AUG-013</x:v>
      </x:c>
      <x:c r="B21" s="14" t="str">
        <x:v>Перевірено 51 — 24.08</x:v>
      </x:c>
      <x:c r="C21" s="14" t="str">
        <x:v>Електрощит</x:v>
      </x:c>
      <x:c r="D21" s="14" t="str">
        <x:v>Промислова електрика</x:v>
      </x:c>
      <x:c r="E21" s="14" t="str">
        <x:v>Pilot now</x:v>
      </x:c>
      <x:c r="F21" s="17" t="str">
        <x:f>IF(E21="Pilot now",IF(P21&gt;=84,"P1",IF(P21&gt;=72,"P2","P3")),IF(E21="Expansion discovery",IF(Q21&gt;=88,"D1",IF(Q21&gt;=78,"D2","D3")),IF(E21="Later / requirements","L","Legacy")))</x:f>
        <x:v>P1</x:v>
      </x:c>
      <x:c r="G21" s="14" t="str">
        <x:v>elektroschit.com.ua</x:v>
      </x:c>
      <x:c r="H21" s="14" t="str">
        <x:v>Пілот зараз — Н.15</x:v>
      </x:c>
      <x:c r="I21" s="16" t="n">
        <x:v>5</x:v>
      </x:c>
      <x:c r="J21" s="16" t="n">
        <x:v>5</x:v>
      </x:c>
      <x:c r="K21" s="16" t="n">
        <x:v>5</x:v>
      </x:c>
      <x:c r="L21" s="16" t="n">
        <x:v>4</x:v>
      </x:c>
      <x:c r="M21" s="16" t="n">
        <x:v>4</x:v>
      </x:c>
      <x:c r="N21" s="16" t="n">
        <x:v>5</x:v>
      </x:c>
      <x:c r="O21" s="16" t="n">
        <x:v>5</x:v>
      </x:c>
      <x:c r="P21" s="16" t="n">
        <x:f>IF(COUNT(I21:O21)&lt;7,"",I21*8+J21*3+K21*2+L21*2+M21*2+N21*2+O21)</x:f>
        <x:v>96</x:v>
      </x:c>
      <x:c r="Q21" s="16" t="n">
        <x:f>IF(COUNT(J21:O21)&lt;6,"",J21*5+K21*4+M21*4+L21*3+N21*2+O21*2)</x:f>
        <x:v>93</x:v>
      </x:c>
      <x:c r="R21" s="14" t="str">
        <x:v>high</x:v>
      </x:c>
      <x:c r="S21" s="14" t="str">
        <x:v>official_source_reverified</x:v>
      </x:c>
      <x:c r="T21" s="14" t="str">
        <x:v>official_source_reachable</x:v>
      </x:c>
      <x:c r="U21" s="14" t="str">
        <x:v>Новий — не контактували</x:v>
      </x:c>
      <x:c r="V21" s="15" t="str">
        <x:v>Персоналізувати review-flow за доказом; попросити 1 артефакт</x:v>
      </x:c>
      <x:c r="W21" s="15" t="str">
        <x:v>Директор; руководитель проектов / ПТО</x:v>
      </x:c>
      <x:c r="X21" s="15" t="str">
        <x:v>25 лет опыта, полный цикл от ТЗ до пусконаладки на промышленных, складских и агрообъектах по Украине.</x:v>
      </x:c>
      <x:c r="Y21" s="15" t="str">
        <x:v>Кабельные трассы, маркировка, автоматика и пусконаладка формируют измеримый доказательный пакет.</x:v>
      </x:c>
      <x:c r="Z21" s="15" t="str">
        <x:v>https://elektroschit.com.ua/posluhy-ta-produktsiia/elektromontazh/</x:v>
      </x:c>
      <x:c r="AA21" s="14" t="str"/>
      <x:c r="AB21" s="14" t="str">
        <x:v>2026-08-24</x:v>
      </x:c>
      <x:c r="AC21" s="14" t="str">
        <x:v>Олександр</x:v>
      </x:c>
      <x:c r="AD21" s="18" t="str"/>
      <x:c r="AE21" s="14" t="str"/>
    </x:row>
    <x:row r="22">
      <x:c r="A22" s="14" t="str">
        <x:v>AUG-010</x:v>
      </x:c>
      <x:c r="B22" s="14" t="str">
        <x:v>Перевірено 51 — 24.08</x:v>
      </x:c>
      <x:c r="C22" s="14" t="str">
        <x:v>Мега Watt</x:v>
      </x:c>
      <x:c r="D22" s="14" t="str">
        <x:v>Електромонтаж</x:v>
      </x:c>
      <x:c r="E22" s="14" t="str">
        <x:v>Pilot now</x:v>
      </x:c>
      <x:c r="F22" s="17" t="str">
        <x:f>IF(E22="Pilot now",IF(P22&gt;=84,"P1",IF(P22&gt;=72,"P2","P3")),IF(E22="Expansion discovery",IF(Q22&gt;=88,"D1",IF(Q22&gt;=78,"D2","D3")),IF(E22="Later / requirements","L","Legacy")))</x:f>
        <x:v>P1</x:v>
      </x:c>
      <x:c r="G22" s="14" t="str">
        <x:v>megawatt.ua</x:v>
      </x:c>
      <x:c r="H22" s="14" t="str">
        <x:v>Пілот зараз — Н.15</x:v>
      </x:c>
      <x:c r="I22" s="16" t="n">
        <x:v>5</x:v>
      </x:c>
      <x:c r="J22" s="16" t="n">
        <x:v>5</x:v>
      </x:c>
      <x:c r="K22" s="16" t="n">
        <x:v>5</x:v>
      </x:c>
      <x:c r="L22" s="16" t="n">
        <x:v>4</x:v>
      </x:c>
      <x:c r="M22" s="16" t="n">
        <x:v>4</x:v>
      </x:c>
      <x:c r="N22" s="16" t="n">
        <x:v>5</x:v>
      </x:c>
      <x:c r="O22" s="16" t="n">
        <x:v>5</x:v>
      </x:c>
      <x:c r="P22" s="16" t="n">
        <x:f>IF(COUNT(I22:O22)&lt;7,"",I22*8+J22*3+K22*2+L22*2+M22*2+N22*2+O22)</x:f>
        <x:v>96</x:v>
      </x:c>
      <x:c r="Q22" s="16" t="n">
        <x:f>IF(COUNT(J22:O22)&lt;6,"",J22*5+K22*4+M22*4+L22*3+N22*2+O22*2)</x:f>
        <x:v>93</x:v>
      </x:c>
      <x:c r="R22" s="14" t="str">
        <x:v>high</x:v>
      </x:c>
      <x:c r="S22" s="14" t="str">
        <x:v>official_source_reverified</x:v>
      </x:c>
      <x:c r="T22" s="14" t="str">
        <x:v>official_source_reachable</x:v>
      </x:c>
      <x:c r="U22" s="14" t="str">
        <x:v>Новий — не контактували</x:v>
      </x:c>
      <x:c r="V22" s="15" t="str">
        <x:v>Персоналізувати review-flow за доказом; попросити 1 артефакт</x:v>
      </x:c>
      <x:c r="W22" s="15" t="str">
        <x:v>Владелец; руководитель промышленных проектов</x:v>
      </x:c>
      <x:c r="X22" s="15" t="str">
        <x:v>Полный электромонтаж промышленных объектов; компания заявляет сотни реализованных проектов.</x:v>
      </x:c>
      <x:c r="Y22" s="15" t="str">
        <x:v>Прокладка кабелей, щиты, испытания и сдача объекта образуют готовый Н.15-пилот.</x:v>
      </x:c>
      <x:c r="Z22" s="15" t="str">
        <x:v>https://megawatt.ua/na-obektah-promyshlennogo-naznacheniya</x:v>
      </x:c>
      <x:c r="AA22" s="14" t="str"/>
      <x:c r="AB22" s="14" t="str">
        <x:v>2026-08-24</x:v>
      </x:c>
      <x:c r="AC22" s="14" t="str">
        <x:v>Олександр</x:v>
      </x:c>
      <x:c r="AD22" s="18" t="str"/>
      <x:c r="AE22" s="14" t="str"/>
    </x:row>
    <x:row r="23">
      <x:c r="A23" s="14" t="str">
        <x:v>AUG-027</x:v>
      </x:c>
      <x:c r="B23" s="14" t="str">
        <x:v>Перевірено 51 — 24.08</x:v>
      </x:c>
      <x:c r="C23" s="14" t="str">
        <x:v>Оазис Комфорт</x:v>
      </x:c>
      <x:c r="D23" s="14" t="str">
        <x:v>MEP / інженерні системи</x:v>
      </x:c>
      <x:c r="E23" s="14" t="str">
        <x:v>Pilot now</x:v>
      </x:c>
      <x:c r="F23" s="17" t="str">
        <x:f>IF(E23="Pilot now",IF(P23&gt;=84,"P1",IF(P23&gt;=72,"P2","P3")),IF(E23="Expansion discovery",IF(Q23&gt;=88,"D1",IF(Q23&gt;=78,"D2","D3")),IF(E23="Later / requirements","L","Legacy")))</x:f>
        <x:v>P1</x:v>
      </x:c>
      <x:c r="G23" s="14" t="str">
        <x:v>oasiscomfort.com.ua</x:v>
      </x:c>
      <x:c r="H23" s="14" t="str">
        <x:v>Пілот зараз — Н.14 + Н.15</x:v>
      </x:c>
      <x:c r="I23" s="16" t="n">
        <x:v>5</x:v>
      </x:c>
      <x:c r="J23" s="16" t="n">
        <x:v>5</x:v>
      </x:c>
      <x:c r="K23" s="16" t="n">
        <x:v>4</x:v>
      </x:c>
      <x:c r="L23" s="16" t="n">
        <x:v>4</x:v>
      </x:c>
      <x:c r="M23" s="16" t="n">
        <x:v>5</x:v>
      </x:c>
      <x:c r="N23" s="16" t="n">
        <x:v>5</x:v>
      </x:c>
      <x:c r="O23" s="16" t="n">
        <x:v>5</x:v>
      </x:c>
      <x:c r="P23" s="16" t="n">
        <x:f>IF(COUNT(I23:O23)&lt;7,"",I23*8+J23*3+K23*2+L23*2+M23*2+N23*2+O23)</x:f>
        <x:v>96</x:v>
      </x:c>
      <x:c r="Q23" s="16" t="n">
        <x:f>IF(COUNT(J23:O23)&lt;6,"",J23*5+K23*4+M23*4+L23*3+N23*2+O23*2)</x:f>
        <x:v>93</x:v>
      </x:c>
      <x:c r="R23" s="14" t="str">
        <x:v>high</x:v>
      </x:c>
      <x:c r="S23" s="14" t="str">
        <x:v>official_source_reverified</x:v>
      </x:c>
      <x:c r="T23" s="14" t="str">
        <x:v>official_source_reachable</x:v>
      </x:c>
      <x:c r="U23" s="14" t="str">
        <x:v>Новий — не контактували</x:v>
      </x:c>
      <x:c r="V23" s="15" t="str">
        <x:v>Персоналізувати review-flow за доказом; попросити 1 артефакт</x:v>
      </x:c>
      <x:c r="W23" s="15" t="str">
        <x:v>Коммерческий директор; руководитель проектов / ПТО</x:v>
      </x:c>
      <x:c r="X23" s="15" t="str">
        <x:v>Инженерные системы полного цикла для логистических центров, индустриальных парков, бизнеса и ЖК по Украине.</x:v>
      </x:c>
      <x:c r="Y23" s="15" t="str">
        <x:v>Водоснабжение/отопление и электрические точки можно взять одним поддержанным subset на действующем объекте.</x:v>
      </x:c>
      <x:c r="Z23" s="15" t="str">
        <x:v>https://oasiscomfort.com.ua/</x:v>
      </x:c>
      <x:c r="AA23" s="14" t="str"/>
      <x:c r="AB23" s="14" t="str">
        <x:v>2026-08-24</x:v>
      </x:c>
      <x:c r="AC23" s="14" t="str">
        <x:v>Олександр</x:v>
      </x:c>
      <x:c r="AD23" s="18" t="str"/>
      <x:c r="AE23" s="14" t="str"/>
    </x:row>
    <x:row r="24">
      <x:c r="A24" s="14" t="str">
        <x:v>AUG-029</x:v>
      </x:c>
      <x:c r="B24" s="14" t="str">
        <x:v>Перевірено 51 — 24.08</x:v>
      </x:c>
      <x:c r="C24" s="14" t="str">
        <x:v>ONG Solar</x:v>
      </x:c>
      <x:c r="D24" s="14" t="str">
        <x:v>СЕС + електрика</x:v>
      </x:c>
      <x:c r="E24" s="14" t="str">
        <x:v>Pilot now</x:v>
      </x:c>
      <x:c r="F24" s="17" t="str">
        <x:f>IF(E24="Pilot now",IF(P24&gt;=84,"P1",IF(P24&gt;=72,"P2","P3")),IF(E24="Expansion discovery",IF(Q24&gt;=88,"D1",IF(Q24&gt;=78,"D2","D3")),IF(E24="Later / requirements","L","Legacy")))</x:f>
        <x:v>P1</x:v>
      </x:c>
      <x:c r="G24" s="14" t="str">
        <x:v>ongsolar.com.ua</x:v>
      </x:c>
      <x:c r="H24" s="14" t="str">
        <x:v>Пілот зараз — Н.15</x:v>
      </x:c>
      <x:c r="I24" s="16" t="n">
        <x:v>5</x:v>
      </x:c>
      <x:c r="J24" s="16" t="n">
        <x:v>5</x:v>
      </x:c>
      <x:c r="K24" s="16" t="n">
        <x:v>5</x:v>
      </x:c>
      <x:c r="L24" s="16" t="n">
        <x:v>3</x:v>
      </x:c>
      <x:c r="M24" s="16" t="n">
        <x:v>5</x:v>
      </x:c>
      <x:c r="N24" s="16" t="n">
        <x:v>5</x:v>
      </x:c>
      <x:c r="O24" s="16" t="n">
        <x:v>5</x:v>
      </x:c>
      <x:c r="P24" s="16" t="n">
        <x:f>IF(COUNT(I24:O24)&lt;7,"",I24*8+J24*3+K24*2+L24*2+M24*2+N24*2+O24)</x:f>
        <x:v>96</x:v>
      </x:c>
      <x:c r="Q24" s="16" t="n">
        <x:f>IF(COUNT(J24:O24)&lt;6,"",J24*5+K24*4+M24*4+L24*3+N24*2+O24*2)</x:f>
        <x:v>94</x:v>
      </x:c>
      <x:c r="R24" s="14" t="str">
        <x:v>high</x:v>
      </x:c>
      <x:c r="S24" s="14" t="str">
        <x:v>official_source_reverified</x:v>
      </x:c>
      <x:c r="T24" s="14" t="str">
        <x:v>official_source_reachable</x:v>
      </x:c>
      <x:c r="U24" s="14" t="str">
        <x:v>Новий — не контактували</x:v>
      </x:c>
      <x:c r="V24" s="15" t="str">
        <x:v>Персоналізувати review-flow за доказом; попросити 1 артефакт</x:v>
      </x:c>
      <x:c r="W24" s="15" t="str">
        <x:v>Директор; руководитель строительства / ПТО</x:v>
      </x:c>
      <x:c r="X24" s="15" t="str">
        <x:v>17+ проектов в пяти областях, полный цикл СЭС и оформление всей документации при запуске.</x:v>
      </x:c>
      <x:c r="Y24" s="15" t="str">
        <x:v>Документационное обещание и повторяемый электромонтаж делают компанию сильным design-partner кандидатом.</x:v>
      </x:c>
      <x:c r="Z24" s="15" t="str">
        <x:v>https://ongsolar.com.ua/</x:v>
      </x:c>
      <x:c r="AA24" s="14" t="str"/>
      <x:c r="AB24" s="14" t="str">
        <x:v>2026-08-24</x:v>
      </x:c>
      <x:c r="AC24" s="14" t="str">
        <x:v>Олександр</x:v>
      </x:c>
      <x:c r="AD24" s="18" t="str"/>
      <x:c r="AE24" s="14" t="str"/>
    </x:row>
    <x:row r="25">
      <x:c r="A25" s="14" t="str">
        <x:v>AUG-042</x:v>
      </x:c>
      <x:c r="B25" s="14" t="str">
        <x:v>Перевірено 51 — 24.08</x:v>
      </x:c>
      <x:c r="C25" s="14" t="str">
        <x:v>ВК Тепло</x:v>
      </x:c>
      <x:c r="D25" s="14" t="str">
        <x:v>Внутрішня сантехніка + HVAC</x:v>
      </x:c>
      <x:c r="E25" s="14" t="str">
        <x:v>Pilot now</x:v>
      </x:c>
      <x:c r="F25" s="17" t="str">
        <x:f>IF(E25="Pilot now",IF(P25&gt;=84,"P1",IF(P25&gt;=72,"P2","P3")),IF(E25="Expansion discovery",IF(Q25&gt;=88,"D1",IF(Q25&gt;=78,"D2","D3")),IF(E25="Later / requirements","L","Legacy")))</x:f>
        <x:v>P1</x:v>
      </x:c>
      <x:c r="G25" s="14" t="str">
        <x:v>vk-teplo.com.ua</x:v>
      </x:c>
      <x:c r="H25" s="14" t="str">
        <x:v>Пілот зараз — Н.14</x:v>
      </x:c>
      <x:c r="I25" s="16" t="n">
        <x:v>5</x:v>
      </x:c>
      <x:c r="J25" s="16" t="n">
        <x:v>5</x:v>
      </x:c>
      <x:c r="K25" s="16" t="n">
        <x:v>4</x:v>
      </x:c>
      <x:c r="L25" s="16" t="n">
        <x:v>4</x:v>
      </x:c>
      <x:c r="M25" s="16" t="n">
        <x:v>4</x:v>
      </x:c>
      <x:c r="N25" s="16" t="n">
        <x:v>5</x:v>
      </x:c>
      <x:c r="O25" s="16" t="n">
        <x:v>5</x:v>
      </x:c>
      <x:c r="P25" s="16" t="n">
        <x:f>IF(COUNT(I25:O25)&lt;7,"",I25*8+J25*3+K25*2+L25*2+M25*2+N25*2+O25)</x:f>
        <x:v>94</x:v>
      </x:c>
      <x:c r="Q25" s="16" t="n">
        <x:f>IF(COUNT(J25:O25)&lt;6,"",J25*5+K25*4+M25*4+L25*3+N25*2+O25*2)</x:f>
        <x:v>89</x:v>
      </x:c>
      <x:c r="R25" s="14" t="str">
        <x:v>high</x:v>
      </x:c>
      <x:c r="S25" s="14" t="str">
        <x:v>official_source_reverified</x:v>
      </x:c>
      <x:c r="T25" s="14" t="str">
        <x:v>official_source_reachable</x:v>
      </x:c>
      <x:c r="U25" s="14" t="str">
        <x:v>Новий — не контактували</x:v>
      </x:c>
      <x:c r="V25" s="15" t="str">
        <x:v>Персоналізувати review-flow за доказом; попросити 1 артефакт</x:v>
      </x:c>
      <x:c r="W25" s="15" t="str">
        <x:v>Директор; руководитель проектно-монтажного подразделения</x:v>
      </x:c>
      <x:c r="X25" s="15" t="str">
        <x:v>15 лет, 200+ спроектированных объектов: отопление, водоснабжение, канализация и вентиляция, включая промышленные предприятия и ТРЦ.</x:v>
      </x:c>
      <x:c r="Y25" s="15" t="str">
        <x:v>Трубы, уклоны, сварные соединения, арматура и автоматика прямо входят в Н.14.</x:v>
      </x:c>
      <x:c r="Z25" s="15" t="str">
        <x:v>https://vk-teplo.com.ua/</x:v>
      </x:c>
      <x:c r="AA25" s="14" t="str"/>
      <x:c r="AB25" s="14" t="str">
        <x:v>2026-08-24</x:v>
      </x:c>
      <x:c r="AC25" s="14" t="str">
        <x:v>Олександр</x:v>
      </x:c>
      <x:c r="AD25" s="18" t="str"/>
      <x:c r="AE25" s="14" t="str"/>
    </x:row>
    <x:row r="26">
      <x:c r="A26" s="14" t="str">
        <x:v>AUG-008</x:v>
      </x:c>
      <x:c r="B26" s="14" t="str">
        <x:v>Перевірено 51 — 24.08</x:v>
      </x:c>
      <x:c r="C26" s="14" t="str">
        <x:v>Максвел</x:v>
      </x:c>
      <x:c r="D26" s="14" t="str">
        <x:v>Електромонтаж</x:v>
      </x:c>
      <x:c r="E26" s="14" t="str">
        <x:v>Pilot now</x:v>
      </x:c>
      <x:c r="F26" s="17" t="str">
        <x:f>IF(E26="Pilot now",IF(P26&gt;=84,"P1",IF(P26&gt;=72,"P2","P3")),IF(E26="Expansion discovery",IF(Q26&gt;=88,"D1",IF(Q26&gt;=78,"D2","D3")),IF(E26="Later / requirements","L","Legacy")))</x:f>
        <x:v>P1</x:v>
      </x:c>
      <x:c r="G26" s="14" t="str">
        <x:v>maksvel.com.ua</x:v>
      </x:c>
      <x:c r="H26" s="14" t="str">
        <x:v>Пілот зараз — Н.15</x:v>
      </x:c>
      <x:c r="I26" s="16" t="n">
        <x:v>5</x:v>
      </x:c>
      <x:c r="J26" s="16" t="n">
        <x:v>5</x:v>
      </x:c>
      <x:c r="K26" s="16" t="n">
        <x:v>5</x:v>
      </x:c>
      <x:c r="L26" s="16" t="n">
        <x:v>3</x:v>
      </x:c>
      <x:c r="M26" s="16" t="n">
        <x:v>4</x:v>
      </x:c>
      <x:c r="N26" s="16" t="n">
        <x:v>5</x:v>
      </x:c>
      <x:c r="O26" s="16" t="n">
        <x:v>5</x:v>
      </x:c>
      <x:c r="P26" s="16" t="n">
        <x:f>IF(COUNT(I26:O26)&lt;7,"",I26*8+J26*3+K26*2+L26*2+M26*2+N26*2+O26)</x:f>
        <x:v>94</x:v>
      </x:c>
      <x:c r="Q26" s="16" t="n">
        <x:f>IF(COUNT(J26:O26)&lt;6,"",J26*5+K26*4+M26*4+L26*3+N26*2+O26*2)</x:f>
        <x:v>90</x:v>
      </x:c>
      <x:c r="R26" s="14" t="str">
        <x:v>high</x:v>
      </x:c>
      <x:c r="S26" s="14" t="str">
        <x:v>official_source_reverified</x:v>
      </x:c>
      <x:c r="T26" s="14" t="str">
        <x:v>official_source_reachable</x:v>
      </x:c>
      <x:c r="U26" s="14" t="str">
        <x:v>Новий — не контактували</x:v>
      </x:c>
      <x:c r="V26" s="15" t="str">
        <x:v>Персоналізувати review-flow за доказом; попросити 1 артефакт</x:v>
      </x:c>
      <x:c r="W26" s="15" t="str">
        <x:v>Владелец; главный инженер / ПТО</x:v>
      </x:c>
      <x:c r="X26" s="15" t="str">
        <x:v>Специализированное проектирование и монтаж электрических систем для коммерческих и промышленных объектов.</x:v>
      </x:c>
      <x:c r="Y26" s="15" t="str">
        <x:v>Кабельные трассы, штробы, заземление и приёмка электроустановок прямо входят в Н.15.</x:v>
      </x:c>
      <x:c r="Z26" s="15" t="str">
        <x:v>http://www.maksvel.com.ua/</x:v>
      </x:c>
      <x:c r="AA26" s="14" t="str"/>
      <x:c r="AB26" s="14" t="str">
        <x:v>2026-08-24</x:v>
      </x:c>
      <x:c r="AC26" s="14" t="str">
        <x:v>Олександр</x:v>
      </x:c>
      <x:c r="AD26" s="18" t="str"/>
      <x:c r="AE26" s="14" t="str"/>
    </x:row>
    <x:row r="27">
      <x:c r="A27" s="14" t="str">
        <x:v>AUG-012</x:v>
      </x:c>
      <x:c r="B27" s="14" t="str">
        <x:v>Перевірено 51 — 24.08</x:v>
      </x:c>
      <x:c r="C27" s="14" t="str">
        <x:v>Укртакелаж</x:v>
      </x:c>
      <x:c r="D27" s="14" t="str">
        <x:v>Промислова електрика</x:v>
      </x:c>
      <x:c r="E27" s="14" t="str">
        <x:v>Pilot now</x:v>
      </x:c>
      <x:c r="F27" s="17" t="str">
        <x:f>IF(E27="Pilot now",IF(P27&gt;=84,"P1",IF(P27&gt;=72,"P2","P3")),IF(E27="Expansion discovery",IF(Q27&gt;=88,"D1",IF(Q27&gt;=78,"D2","D3")),IF(E27="Later / requirements","L","Legacy")))</x:f>
        <x:v>P1</x:v>
      </x:c>
      <x:c r="G27" s="14" t="str">
        <x:v>ukrtakelage.com</x:v>
      </x:c>
      <x:c r="H27" s="14" t="str">
        <x:v>Пілот зараз — Н.15</x:v>
      </x:c>
      <x:c r="I27" s="16" t="n">
        <x:v>5</x:v>
      </x:c>
      <x:c r="J27" s="16" t="n">
        <x:v>5</x:v>
      </x:c>
      <x:c r="K27" s="16" t="n">
        <x:v>5</x:v>
      </x:c>
      <x:c r="L27" s="16" t="n">
        <x:v>4</x:v>
      </x:c>
      <x:c r="M27" s="16" t="n">
        <x:v>3</x:v>
      </x:c>
      <x:c r="N27" s="16" t="n">
        <x:v>5</x:v>
      </x:c>
      <x:c r="O27" s="16" t="n">
        <x:v>5</x:v>
      </x:c>
      <x:c r="P27" s="16" t="n">
        <x:f>IF(COUNT(I27:O27)&lt;7,"",I27*8+J27*3+K27*2+L27*2+M27*2+N27*2+O27)</x:f>
        <x:v>94</x:v>
      </x:c>
      <x:c r="Q27" s="16" t="n">
        <x:f>IF(COUNT(J27:O27)&lt;6,"",J27*5+K27*4+M27*4+L27*3+N27*2+O27*2)</x:f>
        <x:v>89</x:v>
      </x:c>
      <x:c r="R27" s="14" t="str">
        <x:v>high</x:v>
      </x:c>
      <x:c r="S27" s="14" t="str">
        <x:v>official_source_reverified</x:v>
      </x:c>
      <x:c r="T27" s="14" t="str">
        <x:v>official_source_reachable</x:v>
      </x:c>
      <x:c r="U27" s="14" t="str">
        <x:v>Новий — не контактували</x:v>
      </x:c>
      <x:c r="V27" s="15" t="str">
        <x:v>Персоналізувати review-flow за доказом; попросити 1 артефакт</x:v>
      </x:c>
      <x:c r="W27" s="15" t="str">
        <x:v>Коммерческий директор; руководитель электромонтажа</x:v>
      </x:c>
      <x:c r="X27" s="15" t="str">
        <x:v>Промышленный электромонтаж по всей Украине, включая оценку объекта и реализацию работ.</x:v>
      </x:c>
      <x:c r="Y27" s="15" t="str">
        <x:v>Полевые доказательства по кабельным линиям и заземлению легко отделить как пилотный контур.</x:v>
      </x:c>
      <x:c r="Z27" s="15" t="str">
        <x:v>https://ukrtakelage.com/promyshlennyy-elektromontazh</x:v>
      </x:c>
      <x:c r="AA27" s="14" t="str"/>
      <x:c r="AB27" s="14" t="str">
        <x:v>2026-08-24</x:v>
      </x:c>
      <x:c r="AC27" s="14" t="str">
        <x:v>Олександр</x:v>
      </x:c>
      <x:c r="AD27" s="18" t="str"/>
      <x:c r="AE27" s="14" t="str"/>
    </x:row>
    <x:row r="28">
      <x:c r="A28" s="14" t="str">
        <x:v>AUG-005</x:v>
      </x:c>
      <x:c r="B28" s="14" t="str">
        <x:v>Перевірено 51 — 24.08</x:v>
      </x:c>
      <x:c r="C28" s="14" t="str">
        <x:v>Airvent</x:v>
      </x:c>
      <x:c r="D28" s="14" t="str">
        <x:v>MEP / інженерні системи</x:v>
      </x:c>
      <x:c r="E28" s="14" t="str">
        <x:v>Pilot now</x:v>
      </x:c>
      <x:c r="F28" s="17" t="str">
        <x:f>IF(E28="Pilot now",IF(P28&gt;=84,"P1",IF(P28&gt;=72,"P2","P3")),IF(E28="Expansion discovery",IF(Q28&gt;=88,"D1",IF(Q28&gt;=78,"D2","D3")),IF(E28="Later / requirements","L","Legacy")))</x:f>
        <x:v>P1</x:v>
      </x:c>
      <x:c r="G28" s="14" t="str">
        <x:v>airvent.com.ua</x:v>
      </x:c>
      <x:c r="H28" s="14" t="str">
        <x:v>Пілот зараз — Н.14 + Н.15</x:v>
      </x:c>
      <x:c r="I28" s="16" t="n">
        <x:v>5</x:v>
      </x:c>
      <x:c r="J28" s="16" t="n">
        <x:v>5</x:v>
      </x:c>
      <x:c r="K28" s="16" t="n">
        <x:v>4</x:v>
      </x:c>
      <x:c r="L28" s="16" t="n">
        <x:v>4</x:v>
      </x:c>
      <x:c r="M28" s="16" t="n">
        <x:v>4</x:v>
      </x:c>
      <x:c r="N28" s="16" t="n">
        <x:v>5</x:v>
      </x:c>
      <x:c r="O28" s="16" t="n">
        <x:v>5</x:v>
      </x:c>
      <x:c r="P28" s="16" t="n">
        <x:f>IF(COUNT(I28:O28)&lt;7,"",I28*8+J28*3+K28*2+L28*2+M28*2+N28*2+O28)</x:f>
        <x:v>94</x:v>
      </x:c>
      <x:c r="Q28" s="16" t="n">
        <x:f>IF(COUNT(J28:O28)&lt;6,"",J28*5+K28*4+M28*4+L28*3+N28*2+O28*2)</x:f>
        <x:v>89</x:v>
      </x:c>
      <x:c r="R28" s="14" t="str">
        <x:v>high</x:v>
      </x:c>
      <x:c r="S28" s="14" t="str">
        <x:v>official_source_reverified</x:v>
      </x:c>
      <x:c r="T28" s="14" t="str">
        <x:v>official_source_reachable</x:v>
      </x:c>
      <x:c r="U28" s="14" t="str">
        <x:v>Новий — не контактували</x:v>
      </x:c>
      <x:c r="V28" s="15" t="str">
        <x:v>Персоналізувати review-flow за доказом; попросити 1 артефакт</x:v>
      </x:c>
      <x:c r="W28" s="15" t="str">
        <x:v>Директор; руководитель проектов / ПТО</x:v>
      </x:c>
      <x:c r="X28" s="15" t="str">
        <x:v>Промышленная вентиляция, отопление, водоснабжение, водоотведение и полный электромонтаж в одной компании.</x:v>
      </x:c>
      <x:c r="Y28" s="15" t="str">
        <x:v>Одновременные санитарно-технические и электрические скрытые работы подходят под обе доступные категории пилота.</x:v>
      </x:c>
      <x:c r="Z28" s="15" t="str">
        <x:v>https://www.airvent.com.ua/</x:v>
      </x:c>
      <x:c r="AA28" s="14" t="str"/>
      <x:c r="AB28" s="14" t="str">
        <x:v>2026-08-24</x:v>
      </x:c>
      <x:c r="AC28" s="14" t="str">
        <x:v>Олександр</x:v>
      </x:c>
      <x:c r="AD28" s="18" t="str"/>
      <x:c r="AE28" s="14" t="str"/>
    </x:row>
    <x:row r="29">
      <x:c r="A29" s="14" t="str">
        <x:v>AUG-033</x:v>
      </x:c>
      <x:c r="B29" s="14" t="str">
        <x:v>Перевірено 51 — 24.08</x:v>
      </x:c>
      <x:c r="C29" s="14" t="str">
        <x:v>EL-PRO</x:v>
      </x:c>
      <x:c r="D29" s="14" t="str">
        <x:v>Електромонтаж</x:v>
      </x:c>
      <x:c r="E29" s="14" t="str">
        <x:v>Pilot now</x:v>
      </x:c>
      <x:c r="F29" s="17" t="str">
        <x:f>IF(E29="Pilot now",IF(P29&gt;=84,"P1",IF(P29&gt;=72,"P2","P3")),IF(E29="Expansion discovery",IF(Q29&gt;=88,"D1",IF(Q29&gt;=78,"D2","D3")),IF(E29="Later / requirements","L","Legacy")))</x:f>
        <x:v>P1</x:v>
      </x:c>
      <x:c r="G29" s="14" t="str">
        <x:v>el-pro.com.ua</x:v>
      </x:c>
      <x:c r="H29" s="14" t="str">
        <x:v>Пілот зараз — Н.15</x:v>
      </x:c>
      <x:c r="I29" s="16" t="n">
        <x:v>5</x:v>
      </x:c>
      <x:c r="J29" s="16" t="n">
        <x:v>5</x:v>
      </x:c>
      <x:c r="K29" s="16" t="n">
        <x:v>5</x:v>
      </x:c>
      <x:c r="L29" s="16" t="n">
        <x:v>3</x:v>
      </x:c>
      <x:c r="M29" s="16" t="n">
        <x:v>4</x:v>
      </x:c>
      <x:c r="N29" s="16" t="n">
        <x:v>5</x:v>
      </x:c>
      <x:c r="O29" s="16" t="n">
        <x:v>5</x:v>
      </x:c>
      <x:c r="P29" s="16" t="n">
        <x:f>IF(COUNT(I29:O29)&lt;7,"",I29*8+J29*3+K29*2+L29*2+M29*2+N29*2+O29)</x:f>
        <x:v>94</x:v>
      </x:c>
      <x:c r="Q29" s="16" t="n">
        <x:f>IF(COUNT(J29:O29)&lt;6,"",J29*5+K29*4+M29*4+L29*3+N29*2+O29*2)</x:f>
        <x:v>90</x:v>
      </x:c>
      <x:c r="R29" s="14" t="str">
        <x:v>high</x:v>
      </x:c>
      <x:c r="S29" s="14" t="str">
        <x:v>official_source_reverified</x:v>
      </x:c>
      <x:c r="T29" s="14" t="str">
        <x:v>official_source_reachable</x:v>
      </x:c>
      <x:c r="U29" s="14" t="str">
        <x:v>Новий — не контактували</x:v>
      </x:c>
      <x:c r="V29" s="15" t="str">
        <x:v>Персоналізувати review-flow за доказом; попросити 1 артефакт</x:v>
      </x:c>
      <x:c r="W29" s="15" t="str">
        <x:v>Владелец; главный инженер</x:v>
      </x:c>
      <x:c r="X29" s="15" t="str">
        <x:v>Полный цикл электромонтажа 0,4–10 кВ по Украине: проект, кабельные линии, испытания, пусконаладка и сдача.</x:v>
      </x:c>
      <x:c r="Y29" s="15" t="str">
        <x:v>Траншеи, кабели и заземление прямо соответствуют Н.15.</x:v>
      </x:c>
      <x:c r="Z29" s="15" t="str">
        <x:v>https://el-pro.com.ua/</x:v>
      </x:c>
      <x:c r="AA29" s="14" t="str"/>
      <x:c r="AB29" s="14" t="str">
        <x:v>2026-08-24</x:v>
      </x:c>
      <x:c r="AC29" s="14" t="str">
        <x:v>Олександр</x:v>
      </x:c>
      <x:c r="AD29" s="18" t="str"/>
      <x:c r="AE29" s="14" t="str"/>
    </x:row>
    <x:row r="30">
      <x:c r="A30" s="14" t="str">
        <x:v>AUG-026</x:v>
      </x:c>
      <x:c r="B30" s="14" t="str">
        <x:v>Перевірено 51 — 24.08</x:v>
      </x:c>
      <x:c r="C30" s="14" t="str">
        <x:v>GreenVolt Systems</x:v>
      </x:c>
      <x:c r="D30" s="14" t="str">
        <x:v>СЕС + електрика</x:v>
      </x:c>
      <x:c r="E30" s="14" t="str">
        <x:v>Pilot now</x:v>
      </x:c>
      <x:c r="F30" s="17" t="str">
        <x:f>IF(E30="Pilot now",IF(P30&gt;=84,"P1",IF(P30&gt;=72,"P2","P3")),IF(E30="Expansion discovery",IF(Q30&gt;=88,"D1",IF(Q30&gt;=78,"D2","D3")),IF(E30="Later / requirements","L","Legacy")))</x:f>
        <x:v>P1</x:v>
      </x:c>
      <x:c r="G30" s="14" t="str">
        <x:v>greenvolt.systems</x:v>
      </x:c>
      <x:c r="H30" s="14" t="str">
        <x:v>Пілот зараз — Н.15</x:v>
      </x:c>
      <x:c r="I30" s="16" t="n">
        <x:v>5</x:v>
      </x:c>
      <x:c r="J30" s="16" t="n">
        <x:v>5</x:v>
      </x:c>
      <x:c r="K30" s="16" t="n">
        <x:v>5</x:v>
      </x:c>
      <x:c r="L30" s="16" t="n">
        <x:v>3</x:v>
      </x:c>
      <x:c r="M30" s="16" t="n">
        <x:v>4</x:v>
      </x:c>
      <x:c r="N30" s="16" t="n">
        <x:v>5</x:v>
      </x:c>
      <x:c r="O30" s="16" t="n">
        <x:v>5</x:v>
      </x:c>
      <x:c r="P30" s="16" t="n">
        <x:f>IF(COUNT(I30:O30)&lt;7,"",I30*8+J30*3+K30*2+L30*2+M30*2+N30*2+O30)</x:f>
        <x:v>94</x:v>
      </x:c>
      <x:c r="Q30" s="16" t="n">
        <x:f>IF(COUNT(J30:O30)&lt;6,"",J30*5+K30*4+M30*4+L30*3+N30*2+O30*2)</x:f>
        <x:v>90</x:v>
      </x:c>
      <x:c r="R30" s="14" t="str">
        <x:v>high</x:v>
      </x:c>
      <x:c r="S30" s="14" t="str">
        <x:v>official_source_reverified</x:v>
      </x:c>
      <x:c r="T30" s="14" t="str">
        <x:v>official_source_reachable</x:v>
      </x:c>
      <x:c r="U30" s="14" t="str">
        <x:v>Новий — не контактували</x:v>
      </x:c>
      <x:c r="V30" s="15" t="str">
        <x:v>Персоналізувати review-flow за доказом; попросити 1 артефакт</x:v>
      </x:c>
      <x:c r="W30" s="15" t="str">
        <x:v>Владелец; руководитель строительства СЭС</x:v>
      </x:c>
      <x:c r="X30" s="15" t="str">
        <x:v>Полный цикл промышленных и крышных СЭС для бизнеса, агросектора и коммерческой недвижимости.</x:v>
      </x:c>
      <x:c r="Y30" s="15" t="str">
        <x:v>Кабельные линии, заземление и подключение к сети дают ясный поддержанный контур.</x:v>
      </x:c>
      <x:c r="Z30" s="15" t="str">
        <x:v>https://www.greenvolt.systems/</x:v>
      </x:c>
      <x:c r="AA30" s="14" t="str"/>
      <x:c r="AB30" s="14" t="str">
        <x:v>2026-08-24</x:v>
      </x:c>
      <x:c r="AC30" s="14" t="str">
        <x:v>Олександр</x:v>
      </x:c>
      <x:c r="AD30" s="18" t="str"/>
      <x:c r="AE30" s="14" t="str"/>
    </x:row>
    <x:row r="31">
      <x:c r="A31" s="14" t="str">
        <x:v>AUG-022</x:v>
      </x:c>
      <x:c r="B31" s="14" t="str">
        <x:v>Перевірено 51 — 24.08</x:v>
      </x:c>
      <x:c r="C31" s="14" t="str">
        <x:v>MPF</x:v>
      </x:c>
      <x:c r="D31" s="14" t="str">
        <x:v>MEP / інженерні системи</x:v>
      </x:c>
      <x:c r="E31" s="14" t="str">
        <x:v>Pilot now</x:v>
      </x:c>
      <x:c r="F31" s="17" t="str">
        <x:f>IF(E31="Pilot now",IF(P31&gt;=84,"P1",IF(P31&gt;=72,"P2","P3")),IF(E31="Expansion discovery",IF(Q31&gt;=88,"D1",IF(Q31&gt;=78,"D2","D3")),IF(E31="Later / requirements","L","Legacy")))</x:f>
        <x:v>P1</x:v>
      </x:c>
      <x:c r="G31" s="14" t="str">
        <x:v>mpf.com.ua</x:v>
      </x:c>
      <x:c r="H31" s="14" t="str">
        <x:v>Пілот зараз — Н.14 + Н.15</x:v>
      </x:c>
      <x:c r="I31" s="16" t="n">
        <x:v>5</x:v>
      </x:c>
      <x:c r="J31" s="16" t="n">
        <x:v>5</x:v>
      </x:c>
      <x:c r="K31" s="16" t="n">
        <x:v>4</x:v>
      </x:c>
      <x:c r="L31" s="16" t="n">
        <x:v>4</x:v>
      </x:c>
      <x:c r="M31" s="16" t="n">
        <x:v>4</x:v>
      </x:c>
      <x:c r="N31" s="16" t="n">
        <x:v>5</x:v>
      </x:c>
      <x:c r="O31" s="16" t="n">
        <x:v>5</x:v>
      </x:c>
      <x:c r="P31" s="16" t="n">
        <x:f>IF(COUNT(I31:O31)&lt;7,"",I31*8+J31*3+K31*2+L31*2+M31*2+N31*2+O31)</x:f>
        <x:v>94</x:v>
      </x:c>
      <x:c r="Q31" s="16" t="n">
        <x:f>IF(COUNT(J31:O31)&lt;6,"",J31*5+K31*4+M31*4+L31*3+N31*2+O31*2)</x:f>
        <x:v>89</x:v>
      </x:c>
      <x:c r="R31" s="14" t="str">
        <x:v>high</x:v>
      </x:c>
      <x:c r="S31" s="14" t="str">
        <x:v>official_source_reverified</x:v>
      </x:c>
      <x:c r="T31" s="14" t="str">
        <x:v>official_source_reachable</x:v>
      </x:c>
      <x:c r="U31" s="14" t="str">
        <x:v>Новий — не контактували</x:v>
      </x:c>
      <x:c r="V31" s="15" t="str">
        <x:v>Персоналізувати review-flow за доказом; попросити 1 артефакт</x:v>
      </x:c>
      <x:c r="W31" s="15" t="str">
        <x:v>Коммерческий директор; руководитель ПТО</x:v>
      </x:c>
      <x:c r="X31" s="15" t="str">
        <x:v>Полный цикл инженерных систем для промышленных и коммерческих объектов: проект, монтаж, пусконаладка и ввод.</x:v>
      </x:c>
      <x:c r="Y31" s="15" t="str">
        <x:v>Водоснабжение, канализация, HVAC и электроснабжение позволяют выбрать полностью поддержанный пилотный участок.</x:v>
      </x:c>
      <x:c r="Z31" s="15" t="str">
        <x:v>https://mpf.com.ua/services/inzenerni-sistemi</x:v>
      </x:c>
      <x:c r="AA31" s="14" t="str"/>
      <x:c r="AB31" s="14" t="str">
        <x:v>2026-08-24</x:v>
      </x:c>
      <x:c r="AC31" s="14" t="str">
        <x:v>Олександр</x:v>
      </x:c>
      <x:c r="AD31" s="18" t="str"/>
      <x:c r="AE31" s="14" t="str"/>
    </x:row>
    <x:row r="32">
      <x:c r="A32" s="14" t="str">
        <x:v>AUG-039</x:v>
      </x:c>
      <x:c r="B32" s="14" t="str">
        <x:v>Перевірено 51 — 24.08</x:v>
      </x:c>
      <x:c r="C32" s="14" t="str">
        <x:v>ВОЛЬТ ЕНЕРГО МОНТАЖ</x:v>
      </x:c>
      <x:c r="D32" s="14" t="str">
        <x:v>Електромонтаж</x:v>
      </x:c>
      <x:c r="E32" s="14" t="str">
        <x:v>Pilot now</x:v>
      </x:c>
      <x:c r="F32" s="17" t="str">
        <x:f>IF(E32="Pilot now",IF(P32&gt;=84,"P1",IF(P32&gt;=72,"P2","P3")),IF(E32="Expansion discovery",IF(Q32&gt;=88,"D1",IF(Q32&gt;=78,"D2","D3")),IF(E32="Later / requirements","L","Legacy")))</x:f>
        <x:v>P1</x:v>
      </x:c>
      <x:c r="G32" s="14" t="str">
        <x:v>voltmontage.com.ua</x:v>
      </x:c>
      <x:c r="H32" s="14" t="str">
        <x:v>Пілот зараз — Н.15</x:v>
      </x:c>
      <x:c r="I32" s="16" t="n">
        <x:v>5</x:v>
      </x:c>
      <x:c r="J32" s="16" t="n">
        <x:v>5</x:v>
      </x:c>
      <x:c r="K32" s="16" t="n">
        <x:v>5</x:v>
      </x:c>
      <x:c r="L32" s="16" t="n">
        <x:v>3</x:v>
      </x:c>
      <x:c r="M32" s="16" t="n">
        <x:v>5</x:v>
      </x:c>
      <x:c r="N32" s="16" t="n">
        <x:v>5</x:v>
      </x:c>
      <x:c r="O32" s="16" t="n">
        <x:v>2</x:v>
      </x:c>
      <x:c r="P32" s="16" t="n">
        <x:f>IF(COUNT(I32:O32)&lt;7,"",I32*8+J32*3+K32*2+L32*2+M32*2+N32*2+O32)</x:f>
        <x:v>93</x:v>
      </x:c>
      <x:c r="Q32" s="16" t="n">
        <x:f>IF(COUNT(J32:O32)&lt;6,"",J32*5+K32*4+M32*4+L32*3+N32*2+O32*2)</x:f>
        <x:v>88</x:v>
      </x:c>
      <x:c r="R32" s="14" t="str">
        <x:v>high</x:v>
      </x:c>
      <x:c r="S32" s="14" t="str">
        <x:v>official_content_reverified_via_search_index</x:v>
      </x:c>
      <x:c r="T32" s="14" t="str">
        <x:v>live_site_unreachable_in_browser</x:v>
      </x:c>
      <x:c r="U32" s="14" t="str">
        <x:v>Новий — не контактували</x:v>
      </x:c>
      <x:c r="V32" s="15" t="str">
        <x:v>Персоналізувати review-flow за доказом; попросити 1 артефакт</x:v>
      </x:c>
      <x:c r="W32" s="15" t="str">
        <x:v>Директор; руководитель электролаборатории / проектов</x:v>
      </x:c>
      <x:c r="X32" s="15" t="str">
        <x:v>Полный цикл 0,4–10 кВ: проектирование, кабельные/воздушные линии, молниезащита, пусконаладка и электролаборатория.</x:v>
      </x:c>
      <x:c r="Y32" s="15" t="str">
        <x:v>Н.15 полностью соответствует заявленным кабельным и заземляющим работам.</x:v>
      </x:c>
      <x:c r="Z32" s="15" t="str">
        <x:v>https://voltmontage.com.ua/</x:v>
      </x:c>
      <x:c r="AA32" s="14" t="str"/>
      <x:c r="AB32" s="14" t="str">
        <x:v>2026-08-24</x:v>
      </x:c>
      <x:c r="AC32" s="14" t="str">
        <x:v>Олександр</x:v>
      </x:c>
      <x:c r="AD32" s="18" t="str"/>
      <x:c r="AE32" s="14" t="str"/>
    </x:row>
    <x:row r="33">
      <x:c r="A33" s="14" t="str">
        <x:v>AUG-050</x:v>
      </x:c>
      <x:c r="B33" s="14" t="str">
        <x:v>Перевірено 51 — 24.08</x:v>
      </x:c>
      <x:c r="C33" s="14" t="str">
        <x:v>Київська Насосна Компанія</x:v>
      </x:c>
      <x:c r="D33" s="14" t="str">
        <x:v>Внутрішня сантехніка + HVAC</x:v>
      </x:c>
      <x:c r="E33" s="14" t="str">
        <x:v>Pilot now</x:v>
      </x:c>
      <x:c r="F33" s="17" t="str">
        <x:f>IF(E33="Pilot now",IF(P33&gt;=84,"P1",IF(P33&gt;=72,"P2","P3")),IF(E33="Expansion discovery",IF(Q33&gt;=88,"D1",IF(Q33&gt;=78,"D2","D3")),IF(E33="Later / requirements","L","Legacy")))</x:f>
        <x:v>P1</x:v>
      </x:c>
      <x:c r="G33" s="14" t="str">
        <x:v>knk.ua</x:v>
      </x:c>
      <x:c r="H33" s="14" t="str">
        <x:v>Пілот зараз — Н.14</x:v>
      </x:c>
      <x:c r="I33" s="16" t="n">
        <x:v>5</x:v>
      </x:c>
      <x:c r="J33" s="16" t="n">
        <x:v>5</x:v>
      </x:c>
      <x:c r="K33" s="16" t="n">
        <x:v>4</x:v>
      </x:c>
      <x:c r="L33" s="16" t="n">
        <x:v>4</x:v>
      </x:c>
      <x:c r="M33" s="16" t="n">
        <x:v>4</x:v>
      </x:c>
      <x:c r="N33" s="16" t="n">
        <x:v>5</x:v>
      </x:c>
      <x:c r="O33" s="16" t="n">
        <x:v>4</x:v>
      </x:c>
      <x:c r="P33" s="16" t="n">
        <x:f>IF(COUNT(I33:O33)&lt;7,"",I33*8+J33*3+K33*2+L33*2+M33*2+N33*2+O33)</x:f>
        <x:v>93</x:v>
      </x:c>
      <x:c r="Q33" s="16" t="n">
        <x:f>IF(COUNT(J33:O33)&lt;6,"",J33*5+K33*4+M33*4+L33*3+N33*2+O33*2)</x:f>
        <x:v>87</x:v>
      </x:c>
      <x:c r="R33" s="14" t="str">
        <x:v>high</x:v>
      </x:c>
      <x:c r="S33" s="14" t="str">
        <x:v>official_homepage_and_pdf_reverified</x:v>
      </x:c>
      <x:c r="T33" s="14" t="str">
        <x:v>official_homepage_indexed_pdf_reachable</x:v>
      </x:c>
      <x:c r="U33" s="14" t="str">
        <x:v>Новий — не контактували</x:v>
      </x:c>
      <x:c r="V33" s="15" t="str">
        <x:v>Персоналізувати review-flow за доказом; попросити 1 артефакт</x:v>
      </x:c>
      <x:c r="W33" s="15" t="str">
        <x:v>Директор; руководитель монтажных проектов / ПТО</x:v>
      </x:c>
      <x:c r="X33" s="15" t="str">
        <x:v>Монтаж, шеф-монтаж и пусконаладка водоснабжения, отопления, канализации и вентиляции с возможностью генподряда.</x:v>
      </x:c>
      <x:c r="Y33" s="15" t="str">
        <x:v>Трубопроводы, арматура, автоматика и приёмка напрямую совпадают с Н.14.</x:v>
      </x:c>
      <x:c r="Z33" s="15" t="str">
        <x:v>https://knk.ua/data/images/pdf/2023_%D0%9A%D0%B0%D1%82%D0%B0%D0%BB%D0%BE%D0%B3_%D0%9A%D0%9D%D0%9A.pdf</x:v>
      </x:c>
      <x:c r="AA33" s="14" t="str"/>
      <x:c r="AB33" s="14" t="str">
        <x:v>2026-08-24</x:v>
      </x:c>
      <x:c r="AC33" s="14" t="str">
        <x:v>Олександр</x:v>
      </x:c>
      <x:c r="AD33" s="18" t="str"/>
      <x:c r="AE33" s="14" t="str"/>
    </x:row>
    <x:row r="34">
      <x:c r="A34" s="14" t="str">
        <x:v>AUG-044</x:v>
      </x:c>
      <x:c r="B34" s="14" t="str">
        <x:v>Перевірено 51 — 24.08</x:v>
      </x:c>
      <x:c r="C34" s="14" t="str">
        <x:v>Магія Комфорту</x:v>
      </x:c>
      <x:c r="D34" s="14" t="str">
        <x:v>Внутрішня сантехніка + HVAC</x:v>
      </x:c>
      <x:c r="E34" s="14" t="str">
        <x:v>Pilot now</x:v>
      </x:c>
      <x:c r="F34" s="17" t="str">
        <x:f>IF(E34="Pilot now",IF(P34&gt;=84,"P1",IF(P34&gt;=72,"P2","P3")),IF(E34="Expansion discovery",IF(Q34&gt;=88,"D1",IF(Q34&gt;=78,"D2","D3")),IF(E34="Later / requirements","L","Legacy")))</x:f>
        <x:v>P1</x:v>
      </x:c>
      <x:c r="G34" s="14" t="str">
        <x:v>magic-comfort.com.ua</x:v>
      </x:c>
      <x:c r="H34" s="14" t="str">
        <x:v>Пілот зараз — Н.14</x:v>
      </x:c>
      <x:c r="I34" s="16" t="n">
        <x:v>5</x:v>
      </x:c>
      <x:c r="J34" s="16" t="n">
        <x:v>5</x:v>
      </x:c>
      <x:c r="K34" s="16" t="n">
        <x:v>4</x:v>
      </x:c>
      <x:c r="L34" s="16" t="n">
        <x:v>3</x:v>
      </x:c>
      <x:c r="M34" s="16" t="n">
        <x:v>4</x:v>
      </x:c>
      <x:c r="N34" s="16" t="n">
        <x:v>5</x:v>
      </x:c>
      <x:c r="O34" s="16" t="n">
        <x:v>5</x:v>
      </x:c>
      <x:c r="P34" s="16" t="n">
        <x:f>IF(COUNT(I34:O34)&lt;7,"",I34*8+J34*3+K34*2+L34*2+M34*2+N34*2+O34)</x:f>
        <x:v>92</x:v>
      </x:c>
      <x:c r="Q34" s="16" t="n">
        <x:f>IF(COUNT(J34:O34)&lt;6,"",J34*5+K34*4+M34*4+L34*3+N34*2+O34*2)</x:f>
        <x:v>86</x:v>
      </x:c>
      <x:c r="R34" s="14" t="str">
        <x:v>high</x:v>
      </x:c>
      <x:c r="S34" s="14" t="str">
        <x:v>official_source_reverified</x:v>
      </x:c>
      <x:c r="T34" s="14" t="str">
        <x:v>official_source_reachable</x:v>
      </x:c>
      <x:c r="U34" s="14" t="str">
        <x:v>Новий — не контактували</x:v>
      </x:c>
      <x:c r="V34" s="15" t="str">
        <x:v>Персоналізувати review-flow за доказом; попросити 1 артефакт</x:v>
      </x:c>
      <x:c r="W34" s="15" t="str">
        <x:v>Владелец; главный инженер / ПТО</x:v>
      </x:c>
      <x:c r="X34" s="15" t="str">
        <x:v>20+ лет, проектирование, строительно-монтажные и пусконаладочные работы на жилых, коммерческих и промышленных объектах.</x:v>
      </x:c>
      <x:c r="Y34" s="15" t="str">
        <x:v>Опаление, водоснабжение, канализация и автоматика соответствуют Н.14.</x:v>
      </x:c>
      <x:c r="Z34" s="15" t="str">
        <x:v>https://magic-comfort.com.ua/</x:v>
      </x:c>
      <x:c r="AA34" s="14" t="str"/>
      <x:c r="AB34" s="14" t="str">
        <x:v>2026-08-24</x:v>
      </x:c>
      <x:c r="AC34" s="14" t="str">
        <x:v>Олександр</x:v>
      </x:c>
      <x:c r="AD34" s="18" t="str"/>
      <x:c r="AE34" s="14" t="str"/>
    </x:row>
    <x:row r="35">
      <x:c r="A35" s="14" t="str">
        <x:v>AUG-051</x:v>
      </x:c>
      <x:c r="B35" s="14" t="str">
        <x:v>Перевірено 51 — 24.08</x:v>
      </x:c>
      <x:c r="C35" s="14" t="str">
        <x:v>Office Construction</x:v>
      </x:c>
      <x:c r="D35" s="14" t="str">
        <x:v>Генпідряд / MEP fit-out</x:v>
      </x:c>
      <x:c r="E35" s="14" t="str">
        <x:v>Pilot now</x:v>
      </x:c>
      <x:c r="F35" s="17" t="str">
        <x:f>IF(E35="Pilot now",IF(P35&gt;=84,"P1",IF(P35&gt;=72,"P2","P3")),IF(E35="Expansion discovery",IF(Q35&gt;=88,"D1",IF(Q35&gt;=78,"D2","D3")),IF(E35="Later / requirements","L","Legacy")))</x:f>
        <x:v>P1</x:v>
      </x:c>
      <x:c r="G35" s="14" t="str">
        <x:v>office-construction.ua</x:v>
      </x:c>
      <x:c r="H35" s="14" t="str">
        <x:v>Пілот зараз — Н.14 + Н.15</x:v>
      </x:c>
      <x:c r="I35" s="16" t="n">
        <x:v>5</x:v>
      </x:c>
      <x:c r="J35" s="16" t="n">
        <x:v>5</x:v>
      </x:c>
      <x:c r="K35" s="16" t="n">
        <x:v>4</x:v>
      </x:c>
      <x:c r="L35" s="16" t="n">
        <x:v>5</x:v>
      </x:c>
      <x:c r="M35" s="16" t="n">
        <x:v>5</x:v>
      </x:c>
      <x:c r="N35" s="16" t="n">
        <x:v>2</x:v>
      </x:c>
      <x:c r="O35" s="16" t="n">
        <x:v>4</x:v>
      </x:c>
      <x:c r="P35" s="16" t="n">
        <x:f>IF(COUNT(I35:O35)&lt;7,"",I35*8+J35*3+K35*2+L35*2+M35*2+N35*2+O35)</x:f>
        <x:v>91</x:v>
      </x:c>
      <x:c r="Q35" s="16" t="n">
        <x:f>IF(COUNT(J35:O35)&lt;6,"",J35*5+K35*4+M35*4+L35*3+N35*2+O35*2)</x:f>
        <x:v>88</x:v>
      </x:c>
      <x:c r="R35" s="14" t="str">
        <x:v>high</x:v>
      </x:c>
      <x:c r="S35" s="14" t="str">
        <x:v>official_portfolio_pdf_reverified</x:v>
      </x:c>
      <x:c r="T35" s="14" t="str">
        <x:v>official_pdf_reachable</x:v>
      </x:c>
      <x:c r="U35" s="14" t="str">
        <x:v>Новий — не контактували</x:v>
      </x:c>
      <x:c r="V35" s="15" t="str">
        <x:v>Персоналізувати review-flow за доказом; попросити 1 артефакт</x:v>
      </x:c>
      <x:c r="W35" s="15" t="str">
        <x:v>Директор по строительству; руководитель инженерных систем / ПТО</x:v>
      </x:c>
      <x:c r="X35" s="15" t="str">
        <x:v>Портфолио крупных офисных объектов с электрикой, слаботочкой, HVAC, пожарными системами, водоснабжением и рабочей документацией.</x:v>
      </x:c>
      <x:c r="Y35" s="15" t="str">
        <x:v>Много поддержанных скрытых систем, но лучше заходить через отдельного субподрядчика или как партнёрский канал.</x:v>
      </x:c>
      <x:c r="Z35" s="15" t="str">
        <x:v>https://office-construction.ua/wp-content/uploads/2025/06/presentation-office-construction-2025-pdf-1.pdf</x:v>
      </x:c>
      <x:c r="AA35" s="14" t="str"/>
      <x:c r="AB35" s="14" t="str">
        <x:v>2026-08-24</x:v>
      </x:c>
      <x:c r="AC35" s="14" t="str">
        <x:v>Олександр</x:v>
      </x:c>
      <x:c r="AD35" s="18" t="str"/>
      <x:c r="AE35" s="14" t="str"/>
    </x:row>
    <x:row r="36">
      <x:c r="A36" s="14" t="str">
        <x:v>AUG-011</x:v>
      </x:c>
      <x:c r="B36" s="14" t="str">
        <x:v>Перевірено 51 — 24.08</x:v>
      </x:c>
      <x:c r="C36" s="14" t="str">
        <x:v>Де Люкс</x:v>
      </x:c>
      <x:c r="D36" s="14" t="str">
        <x:v>Електромонтаж</x:v>
      </x:c>
      <x:c r="E36" s="14" t="str">
        <x:v>Pilot now</x:v>
      </x:c>
      <x:c r="F36" s="17" t="str">
        <x:f>IF(E36="Pilot now",IF(P36&gt;=84,"P1",IF(P36&gt;=72,"P2","P3")),IF(E36="Expansion discovery",IF(Q36&gt;=88,"D1",IF(Q36&gt;=78,"D2","D3")),IF(E36="Later / requirements","L","Legacy")))</x:f>
        <x:v>P1</x:v>
      </x:c>
      <x:c r="G36" s="14" t="str">
        <x:v>businesslux.com.ua</x:v>
      </x:c>
      <x:c r="H36" s="14" t="str">
        <x:v>Пілот зараз — Н.15</x:v>
      </x:c>
      <x:c r="I36" s="16" t="n">
        <x:v>5</x:v>
      </x:c>
      <x:c r="J36" s="16" t="n">
        <x:v>5</x:v>
      </x:c>
      <x:c r="K36" s="16" t="n">
        <x:v>4</x:v>
      </x:c>
      <x:c r="L36" s="16" t="n">
        <x:v>3</x:v>
      </x:c>
      <x:c r="M36" s="16" t="n">
        <x:v>3</x:v>
      </x:c>
      <x:c r="N36" s="16" t="n">
        <x:v>5</x:v>
      </x:c>
      <x:c r="O36" s="16" t="n">
        <x:v>5</x:v>
      </x:c>
      <x:c r="P36" s="16" t="n">
        <x:f>IF(COUNT(I36:O36)&lt;7,"",I36*8+J36*3+K36*2+L36*2+M36*2+N36*2+O36)</x:f>
        <x:v>90</x:v>
      </x:c>
      <x:c r="Q36" s="16" t="n">
        <x:f>IF(COUNT(J36:O36)&lt;6,"",J36*5+K36*4+M36*4+L36*3+N36*2+O36*2)</x:f>
        <x:v>82</x:v>
      </x:c>
      <x:c r="R36" s="14" t="str">
        <x:v>high</x:v>
      </x:c>
      <x:c r="S36" s="14" t="str">
        <x:v>official_source_reverified</x:v>
      </x:c>
      <x:c r="T36" s="14" t="str">
        <x:v>official_source_reachable</x:v>
      </x:c>
      <x:c r="U36" s="14" t="str">
        <x:v>Новий — не контактували</x:v>
      </x:c>
      <x:c r="V36" s="15" t="str">
        <x:v>Персоналізувати review-flow за доказом; попросити 1 артефакт</x:v>
      </x:c>
      <x:c r="W36" s="15" t="str">
        <x:v>Директор; главный инженер</x:v>
      </x:c>
      <x:c r="X36" s="15" t="str">
        <x:v>Электромонтаж на промышленных объектах с расчётом и реализацией электротехнических проектов.</x:v>
      </x:c>
      <x:c r="Y36" s="15" t="str">
        <x:v>Скрытые кабели и электрические установки можно ограничить одним объектом и одной бригадой.</x:v>
      </x:c>
      <x:c r="Z36" s="15" t="str">
        <x:v>https://businesslux.com.ua/elektromontazhni-roboty-na-promyslovyh-obyektah/</x:v>
      </x:c>
      <x:c r="AA36" s="14" t="str"/>
      <x:c r="AB36" s="14" t="str">
        <x:v>2026-08-24</x:v>
      </x:c>
      <x:c r="AC36" s="14" t="str">
        <x:v>Олександр</x:v>
      </x:c>
      <x:c r="AD36" s="18" t="str"/>
      <x:c r="AE36" s="14" t="str"/>
    </x:row>
    <x:row r="37">
      <x:c r="A37" s="14" t="str">
        <x:v>AUG-030</x:v>
      </x:c>
      <x:c r="B37" s="14" t="str">
        <x:v>Перевірено 51 — 24.08</x:v>
      </x:c>
      <x:c r="C37" s="14" t="str">
        <x:v>Промтехгруп</x:v>
      </x:c>
      <x:c r="D37" s="14" t="str">
        <x:v>Промисловий HVAC / MEP</x:v>
      </x:c>
      <x:c r="E37" s="14" t="str">
        <x:v>Pilot now</x:v>
      </x:c>
      <x:c r="F37" s="17" t="str">
        <x:f>IF(E37="Pilot now",IF(P37&gt;=84,"P1",IF(P37&gt;=72,"P2","P3")),IF(E37="Expansion discovery",IF(Q37&gt;=88,"D1",IF(Q37&gt;=78,"D2","D3")),IF(E37="Later / requirements","L","Legacy")))</x:f>
        <x:v>P1</x:v>
      </x:c>
      <x:c r="G37" s="14" t="str">
        <x:v>promtechgroup.com.ua</x:v>
      </x:c>
      <x:c r="H37" s="14" t="str">
        <x:v>Пілот зараз — Н.14</x:v>
      </x:c>
      <x:c r="I37" s="16" t="n">
        <x:v>4</x:v>
      </x:c>
      <x:c r="J37" s="16" t="n">
        <x:v>5</x:v>
      </x:c>
      <x:c r="K37" s="16" t="n">
        <x:v>4</x:v>
      </x:c>
      <x:c r="L37" s="16" t="n">
        <x:v>5</x:v>
      </x:c>
      <x:c r="M37" s="16" t="n">
        <x:v>5</x:v>
      </x:c>
      <x:c r="N37" s="16" t="n">
        <x:v>5</x:v>
      </x:c>
      <x:c r="O37" s="16" t="n">
        <x:v>5</x:v>
      </x:c>
      <x:c r="P37" s="16" t="n">
        <x:f>IF(COUNT(I37:O37)&lt;7,"",I37*8+J37*3+K37*2+L37*2+M37*2+N37*2+O37)</x:f>
        <x:v>90</x:v>
      </x:c>
      <x:c r="Q37" s="16" t="n">
        <x:f>IF(COUNT(J37:O37)&lt;6,"",J37*5+K37*4+M37*4+L37*3+N37*2+O37*2)</x:f>
        <x:v>96</x:v>
      </x:c>
      <x:c r="R37" s="14" t="str">
        <x:v>high</x:v>
      </x:c>
      <x:c r="S37" s="14" t="str">
        <x:v>official_source_reverified</x:v>
      </x:c>
      <x:c r="T37" s="14" t="str">
        <x:v>official_source_reachable</x:v>
      </x:c>
      <x:c r="U37" s="14" t="str">
        <x:v>Новий — не контактували</x:v>
      </x:c>
      <x:c r="V37" s="15" t="str">
        <x:v>Персоналізувати review-flow за доказом; попросити 1 артефакт</x:v>
      </x:c>
      <x:c r="W37" s="15" t="str">
        <x:v>Директор; руководитель проектов / ПТО</x:v>
      </x:c>
      <x:c r="X37" s="15" t="str">
        <x:v>100+ проектов с 2008 года: HVAC, холодоснабжение, водоснабжение, автоматизация и диспетчеризация для бизнеса.</x:v>
      </x:c>
      <x:c r="Y37" s="15" t="str">
        <x:v>Трубопроводы, арматура и автоматика прямо ложатся на Н.14; можно измерить сбор доказательств на одном проекте.</x:v>
      </x:c>
      <x:c r="Z37" s="15" t="str">
        <x:v>https://promtechgroup.com.ua/</x:v>
      </x:c>
      <x:c r="AA37" s="14" t="str"/>
      <x:c r="AB37" s="14" t="str">
        <x:v>2026-08-24</x:v>
      </x:c>
      <x:c r="AC37" s="14" t="str">
        <x:v>Олександр</x:v>
      </x:c>
      <x:c r="AD37" s="18" t="str"/>
      <x:c r="AE37" s="14" t="str"/>
    </x:row>
    <x:row r="38">
      <x:c r="A38" s="14" t="str">
        <x:v>V3-049</x:v>
      </x:c>
      <x:c r="B38" s="14" t="str">
        <x:v>Досліджено 28.07</x:v>
      </x:c>
      <x:c r="C38" s="14" t="str">
        <x:v>ТОВ «АЛЬТЕР ЕЙР»</x:v>
      </x:c>
      <x:c r="D38" s="14" t="str">
        <x:v>HVAC / вентиляція</x:v>
      </x:c>
      <x:c r="E38" s="14" t="str">
        <x:v>Pilot now</x:v>
      </x:c>
      <x:c r="F38" s="17" t="str">
        <x:f>IF(E38="Pilot now",IF(P38&gt;=84,"P1",IF(P38&gt;=72,"P2","P3")),IF(E38="Expansion discovery",IF(Q38&gt;=88,"D1",IF(Q38&gt;=78,"D2","D3")),IF(E38="Later / requirements","L","Legacy")))</x:f>
        <x:v>P1</x:v>
      </x:c>
      <x:c r="G38" s="14" t="str">
        <x:v>alterair.ua</x:v>
      </x:c>
      <x:c r="H38" s="14" t="str">
        <x:v>Пілот зараз — Н.14</x:v>
      </x:c>
      <x:c r="I38" s="16" t="n">
        <x:v>4</x:v>
      </x:c>
      <x:c r="J38" s="16" t="n">
        <x:v>5</x:v>
      </x:c>
      <x:c r="K38" s="16" t="n">
        <x:v>4</x:v>
      </x:c>
      <x:c r="L38" s="16" t="n">
        <x:v>5</x:v>
      </x:c>
      <x:c r="M38" s="16" t="n">
        <x:v>5</x:v>
      </x:c>
      <x:c r="N38" s="16" t="n">
        <x:v>5</x:v>
      </x:c>
      <x:c r="O38" s="16" t="n">
        <x:v>5</x:v>
      </x:c>
      <x:c r="P38" s="16" t="n">
        <x:f>IF(COUNT(I38:O38)&lt;7,"",I38*8+J38*3+K38*2+L38*2+M38*2+N38*2+O38)</x:f>
        <x:v>90</x:v>
      </x:c>
      <x:c r="Q38" s="16" t="n">
        <x:f>IF(COUNT(J38:O38)&lt;6,"",J38*5+K38*4+M38*4+L38*3+N38*2+O38*2)</x:f>
        <x:v>96</x:v>
      </x:c>
      <x:c r="R38" s="14" t="str">
        <x:v>medium</x:v>
      </x:c>
      <x:c r="S38" s="14" t="str">
        <x:v>historical_research_2026-07-28</x:v>
      </x:c>
      <x:c r="T38" s="14" t="str">
        <x:v>historical_official_research</x:v>
      </x:c>
      <x:c r="U38" s="14" t="str">
        <x:v>Надіслано 28.07 — follow-up</x:v>
      </x:c>
      <x:c r="V38" s="15" t="str">
        <x:v>Follow-up з review-link; далі попросити 1 анонімізований артефакт</x:v>
      </x:c>
      <x:c r="W38" s="15" t="str">
        <x:v>Власник / директор; керівник ПТО</x:v>
      </x:c>
      <x:c r="X38" s="15" t="str">
        <x:v>Кілька досвідчених монтажних бригад; проєктування й монтаж промислової вентиляції, пусконалагодження та офіційна документація після робіт.</x:v>
      </x:c>
      <x:c r="Y38" s="15" t="str">
        <x:v>Повітроводи й інженерні підключення закриваються оздобленням; приймання залежить від комплектності фото, тестів і документів.</x:v>
      </x:c>
      <x:c r="Z38" s="15" t="str">
        <x:v>https://alterair.ua/ventilyatsiya/montazh-promyshlennoy-ventilyatsii/</x:v>
      </x:c>
      <x:c r="AA38" s="14" t="str">
        <x:v>35910459</x:v>
      </x:c>
      <x:c r="AB38" s="14" t="str">
        <x:v>2026-07-28</x:v>
      </x:c>
      <x:c r="AC38" s="14" t="str">
        <x:v>Олександр</x:v>
      </x:c>
      <x:c r="AD38" s="18" t="str"/>
      <x:c r="AE38" s="14" t="str"/>
    </x:row>
    <x:row r="39">
      <x:c r="A39" s="14" t="str">
        <x:v>V3-048</x:v>
      </x:c>
      <x:c r="B39" s="14" t="str">
        <x:v>Досліджено 28.07</x:v>
      </x:c>
      <x:c r="C39" s="14" t="str">
        <x:v>Climtec</x:v>
      </x:c>
      <x:c r="D39" s="14" t="str">
        <x:v>HVAC / вентиляція</x:v>
      </x:c>
      <x:c r="E39" s="14" t="str">
        <x:v>Pilot now</x:v>
      </x:c>
      <x:c r="F39" s="17" t="str">
        <x:f>IF(E39="Pilot now",IF(P39&gt;=84,"P1",IF(P39&gt;=72,"P2","P3")),IF(E39="Expansion discovery",IF(Q39&gt;=88,"D1",IF(Q39&gt;=78,"D2","D3")),IF(E39="Later / requirements","L","Legacy")))</x:f>
        <x:v>P1</x:v>
      </x:c>
      <x:c r="G39" s="14" t="str">
        <x:v>climtec.ua</x:v>
      </x:c>
      <x:c r="H39" s="14" t="str">
        <x:v>Пілот зараз — Н.14</x:v>
      </x:c>
      <x:c r="I39" s="16" t="n">
        <x:v>4</x:v>
      </x:c>
      <x:c r="J39" s="16" t="n">
        <x:v>5</x:v>
      </x:c>
      <x:c r="K39" s="16" t="n">
        <x:v>4</x:v>
      </x:c>
      <x:c r="L39" s="16" t="n">
        <x:v>5</x:v>
      </x:c>
      <x:c r="M39" s="16" t="n">
        <x:v>5</x:v>
      </x:c>
      <x:c r="N39" s="16" t="n">
        <x:v>5</x:v>
      </x:c>
      <x:c r="O39" s="16" t="n">
        <x:v>5</x:v>
      </x:c>
      <x:c r="P39" s="16" t="n">
        <x:f>IF(COUNT(I39:O39)&lt;7,"",I39*8+J39*3+K39*2+L39*2+M39*2+N39*2+O39)</x:f>
        <x:v>90</x:v>
      </x:c>
      <x:c r="Q39" s="16" t="n">
        <x:f>IF(COUNT(J39:O39)&lt;6,"",J39*5+K39*4+M39*4+L39*3+N39*2+O39*2)</x:f>
        <x:v>96</x:v>
      </x:c>
      <x:c r="R39" s="14" t="str">
        <x:v>medium</x:v>
      </x:c>
      <x:c r="S39" s="14" t="str">
        <x:v>historical_research_2026-07-28</x:v>
      </x:c>
      <x:c r="T39" s="14" t="str">
        <x:v>historical_official_research</x:v>
      </x:c>
      <x:c r="U39" s="14" t="str">
        <x:v>Надіслано 28.07 — follow-up</x:v>
      </x:c>
      <x:c r="V39" s="15" t="str">
        <x:v>Follow-up з review-link; далі попросити 1 анонімізований артефакт</x:v>
      </x:c>
      <x:c r="W39" s="15" t="str">
        <x:v>Власник / директор; керівник ПТО</x:v>
      </x:c>
      <x:c r="X39" s="15" t="str">
        <x:v>Проєктування й монтаж вентиляції та опалення по Україні; велике портфоліо шкіл, лікарень, театрів, промислових і торгових об’єктів.</x:v>
      </x:c>
      <x:c r="Y39" s="15" t="str">
        <x:v>Повітроводи, ізоляція, автоматика й протипожежні клапани закриваються стелями; потрібні акти й пусконалагодження.</x:v>
      </x:c>
      <x:c r="Z39" s="15" t="str">
        <x:v>https://climtec.ua/portfolio/</x:v>
      </x:c>
      <x:c r="AA39" s="14" t="str"/>
      <x:c r="AB39" s="14" t="str">
        <x:v>2026-07-28</x:v>
      </x:c>
      <x:c r="AC39" s="14" t="str">
        <x:v>Олександр</x:v>
      </x:c>
      <x:c r="AD39" s="18" t="str"/>
      <x:c r="AE39" s="14" t="str"/>
    </x:row>
    <x:row r="40">
      <x:c r="A40" s="14" t="str">
        <x:v>AUG-049</x:v>
      </x:c>
      <x:c r="B40" s="14" t="str">
        <x:v>Перевірено 51 — 24.08</x:v>
      </x:c>
      <x:c r="C40" s="14" t="str">
        <x:v>KEM TRADE</x:v>
      </x:c>
      <x:c r="D40" s="14" t="str">
        <x:v>Внутрішня сантехніка + HVAC</x:v>
      </x:c>
      <x:c r="E40" s="14" t="str">
        <x:v>Pilot now</x:v>
      </x:c>
      <x:c r="F40" s="17" t="str">
        <x:f>IF(E40="Pilot now",IF(P40&gt;=84,"P1",IF(P40&gt;=72,"P2","P3")),IF(E40="Expansion discovery",IF(Q40&gt;=88,"D1",IF(Q40&gt;=78,"D2","D3")),IF(E40="Later / requirements","L","Legacy")))</x:f>
        <x:v>P1</x:v>
      </x:c>
      <x:c r="G40" s="14" t="str">
        <x:v>kem-trade.com.ua</x:v>
      </x:c>
      <x:c r="H40" s="14" t="str">
        <x:v>Пілот зараз — Н.14</x:v>
      </x:c>
      <x:c r="I40" s="16" t="n">
        <x:v>5</x:v>
      </x:c>
      <x:c r="J40" s="16" t="n">
        <x:v>5</x:v>
      </x:c>
      <x:c r="K40" s="16" t="n">
        <x:v>4</x:v>
      </x:c>
      <x:c r="L40" s="16" t="n">
        <x:v>3</x:v>
      </x:c>
      <x:c r="M40" s="16" t="n">
        <x:v>3</x:v>
      </x:c>
      <x:c r="N40" s="16" t="n">
        <x:v>5</x:v>
      </x:c>
      <x:c r="O40" s="16" t="n">
        <x:v>5</x:v>
      </x:c>
      <x:c r="P40" s="16" t="n">
        <x:f>IF(COUNT(I40:O40)&lt;7,"",I40*8+J40*3+K40*2+L40*2+M40*2+N40*2+O40)</x:f>
        <x:v>90</x:v>
      </x:c>
      <x:c r="Q40" s="16" t="n">
        <x:f>IF(COUNT(J40:O40)&lt;6,"",J40*5+K40*4+M40*4+L40*3+N40*2+O40*2)</x:f>
        <x:v>82</x:v>
      </x:c>
      <x:c r="R40" s="14" t="str">
        <x:v>high</x:v>
      </x:c>
      <x:c r="S40" s="14" t="str">
        <x:v>official_source_reverified</x:v>
      </x:c>
      <x:c r="T40" s="14" t="str">
        <x:v>official_source_reachable</x:v>
      </x:c>
      <x:c r="U40" s="14" t="str">
        <x:v>Новий — не контактували</x:v>
      </x:c>
      <x:c r="V40" s="15" t="str">
        <x:v>Персоналізувати review-flow за доказом; попросити 1 артефакт</x:v>
      </x:c>
      <x:c r="W40" s="15" t="str">
        <x:v>Владелец; руководитель проектов</x:v>
      </x:c>
      <x:c r="X40" s="15" t="str">
        <x:v>Проектирование и монтаж отопления, водоснабжения и канализации для коммерческих и промышленных объектов.</x:v>
      </x:c>
      <x:c r="Y40" s="15" t="str">
        <x:v>Поддержанные санитарно-технические скрытые работы на одном объекте.</x:v>
      </x:c>
      <x:c r="Z40" s="15" t="str">
        <x:v>https://www.kem-trade.com.ua/</x:v>
      </x:c>
      <x:c r="AA40" s="14" t="str"/>
      <x:c r="AB40" s="14" t="str">
        <x:v>2026-08-24</x:v>
      </x:c>
      <x:c r="AC40" s="14" t="str">
        <x:v>Олександр</x:v>
      </x:c>
      <x:c r="AD40" s="18" t="str"/>
      <x:c r="AE40" s="14" t="str"/>
    </x:row>
    <x:row r="41">
      <x:c r="A41" s="14" t="str">
        <x:v>AUG-046</x:v>
      </x:c>
      <x:c r="B41" s="14" t="str">
        <x:v>Перевірено 51 — 24.08</x:v>
      </x:c>
      <x:c r="C41" s="14" t="str">
        <x:v>KROP INSTALL</x:v>
      </x:c>
      <x:c r="D41" s="14" t="str">
        <x:v>Внутрішня сантехніка + HVAC</x:v>
      </x:c>
      <x:c r="E41" s="14" t="str">
        <x:v>Pilot now</x:v>
      </x:c>
      <x:c r="F41" s="17" t="str">
        <x:f>IF(E41="Pilot now",IF(P41&gt;=84,"P1",IF(P41&gt;=72,"P2","P3")),IF(E41="Expansion discovery",IF(Q41&gt;=88,"D1",IF(Q41&gt;=78,"D2","D3")),IF(E41="Later / requirements","L","Legacy")))</x:f>
        <x:v>P1</x:v>
      </x:c>
      <x:c r="G41" s="14" t="str">
        <x:v>krop-install.com.ua</x:v>
      </x:c>
      <x:c r="H41" s="14" t="str">
        <x:v>Пілот зараз — Н.14</x:v>
      </x:c>
      <x:c r="I41" s="16" t="n">
        <x:v>5</x:v>
      </x:c>
      <x:c r="J41" s="16" t="n">
        <x:v>5</x:v>
      </x:c>
      <x:c r="K41" s="16" t="n">
        <x:v>4</x:v>
      </x:c>
      <x:c r="L41" s="16" t="n">
        <x:v>3</x:v>
      </x:c>
      <x:c r="M41" s="16" t="n">
        <x:v>3</x:v>
      </x:c>
      <x:c r="N41" s="16" t="n">
        <x:v>5</x:v>
      </x:c>
      <x:c r="O41" s="16" t="n">
        <x:v>5</x:v>
      </x:c>
      <x:c r="P41" s="16" t="n">
        <x:f>IF(COUNT(I41:O41)&lt;7,"",I41*8+J41*3+K41*2+L41*2+M41*2+N41*2+O41)</x:f>
        <x:v>90</x:v>
      </x:c>
      <x:c r="Q41" s="16" t="n">
        <x:f>IF(COUNT(J41:O41)&lt;6,"",J41*5+K41*4+M41*4+L41*3+N41*2+O41*2)</x:f>
        <x:v>82</x:v>
      </x:c>
      <x:c r="R41" s="14" t="str">
        <x:v>high</x:v>
      </x:c>
      <x:c r="S41" s="14" t="str">
        <x:v>official_source_reverified</x:v>
      </x:c>
      <x:c r="T41" s="14" t="str">
        <x:v>official_source_reachable</x:v>
      </x:c>
      <x:c r="U41" s="14" t="str">
        <x:v>Новий — не контактували</x:v>
      </x:c>
      <x:c r="V41" s="15" t="str">
        <x:v>Персоналізувати review-flow за доказом; попросити 1 артефакт</x:v>
      </x:c>
      <x:c r="W41" s="15" t="str">
        <x:v>Владелец; руководитель монтажных работ</x:v>
      </x:c>
      <x:c r="X41" s="15" t="str">
        <x:v>16 лет на частных, коммерческих и крупных промышленных объектах; отопление, водоснабжение и канализация.</x:v>
      </x:c>
      <x:c r="Y41" s="15" t="str">
        <x:v>Поддержанные трубы, уклоны, арматура и приёмка внутренних систем.</x:v>
      </x:c>
      <x:c r="Z41" s="15" t="str">
        <x:v>https://krop-install.com.ua/</x:v>
      </x:c>
      <x:c r="AA41" s="14" t="str"/>
      <x:c r="AB41" s="14" t="str">
        <x:v>2026-08-24</x:v>
      </x:c>
      <x:c r="AC41" s="14" t="str">
        <x:v>Олександр</x:v>
      </x:c>
      <x:c r="AD41" s="18" t="str"/>
      <x:c r="AE41" s="14" t="str"/>
    </x:row>
    <x:row r="42">
      <x:c r="A42" s="14" t="str">
        <x:v>AUG-047</x:v>
      </x:c>
      <x:c r="B42" s="14" t="str">
        <x:v>Перевірено 51 — 24.08</x:v>
      </x:c>
      <x:c r="C42" s="14" t="str">
        <x:v>RalcoTechnic</x:v>
      </x:c>
      <x:c r="D42" s="14" t="str">
        <x:v>Промислове холодопостачання</x:v>
      </x:c>
      <x:c r="E42" s="14" t="str">
        <x:v>Pilot now</x:v>
      </x:c>
      <x:c r="F42" s="17" t="str">
        <x:f>IF(E42="Pilot now",IF(P42&gt;=84,"P1",IF(P42&gt;=72,"P2","P3")),IF(E42="Expansion discovery",IF(Q42&gt;=88,"D1",IF(Q42&gt;=78,"D2","D3")),IF(E42="Later / requirements","L","Legacy")))</x:f>
        <x:v>P1</x:v>
      </x:c>
      <x:c r="G42" s="14" t="str">
        <x:v>ralco.com.ua</x:v>
      </x:c>
      <x:c r="H42" s="14" t="str">
        <x:v>Пілот зараз — Н.14</x:v>
      </x:c>
      <x:c r="I42" s="16" t="n">
        <x:v>4</x:v>
      </x:c>
      <x:c r="J42" s="16" t="n">
        <x:v>5</x:v>
      </x:c>
      <x:c r="K42" s="16" t="n">
        <x:v>4</x:v>
      </x:c>
      <x:c r="L42" s="16" t="n">
        <x:v>5</x:v>
      </x:c>
      <x:c r="M42" s="16" t="n">
        <x:v>5</x:v>
      </x:c>
      <x:c r="N42" s="16" t="n">
        <x:v>5</x:v>
      </x:c>
      <x:c r="O42" s="16" t="n">
        <x:v>5</x:v>
      </x:c>
      <x:c r="P42" s="16" t="n">
        <x:f>IF(COUNT(I42:O42)&lt;7,"",I42*8+J42*3+K42*2+L42*2+M42*2+N42*2+O42)</x:f>
        <x:v>90</x:v>
      </x:c>
      <x:c r="Q42" s="16" t="n">
        <x:f>IF(COUNT(J42:O42)&lt;6,"",J42*5+K42*4+M42*4+L42*3+N42*2+O42*2)</x:f>
        <x:v>96</x:v>
      </x:c>
      <x:c r="R42" s="14" t="str">
        <x:v>high</x:v>
      </x:c>
      <x:c r="S42" s="14" t="str">
        <x:v>official_source_reverified</x:v>
      </x:c>
      <x:c r="T42" s="14" t="str">
        <x:v>official_source_reachable</x:v>
      </x:c>
      <x:c r="U42" s="14" t="str">
        <x:v>Новий — не контактували</x:v>
      </x:c>
      <x:c r="V42" s="15" t="str">
        <x:v>Персоналізувати review-flow за доказом; попросити 1 артефакт</x:v>
      </x:c>
      <x:c r="W42" s="15" t="str">
        <x:v>Коммерческий директор; руководитель проектного отдела</x:v>
      </x:c>
      <x:c r="X42" s="15" t="str">
        <x:v>1200+ проектов в портфолио, 400+ комплексных проектов, собственные мобильные сервисные бригады.</x:v>
      </x:c>
      <x:c r="Y42" s="15" t="str">
        <x:v>Большая повторяемость монтажных этапов и сильная сервисная дисциплина; начать с Н.14-subset.</x:v>
      </x:c>
      <x:c r="Z42" s="15" t="str">
        <x:v>https://ralco.com.ua/projects/</x:v>
      </x:c>
      <x:c r="AA42" s="14" t="str"/>
      <x:c r="AB42" s="14" t="str">
        <x:v>2026-08-24</x:v>
      </x:c>
      <x:c r="AC42" s="14" t="str">
        <x:v>Олександр</x:v>
      </x:c>
      <x:c r="AD42" s="18" t="str"/>
      <x:c r="AE42" s="14" t="str"/>
    </x:row>
    <x:row r="43">
      <x:c r="A43" s="14" t="str">
        <x:v>AUG-045</x:v>
      </x:c>
      <x:c r="B43" s="14" t="str">
        <x:v>Перевірено 51 — 24.08</x:v>
      </x:c>
      <x:c r="C43" s="14" t="str">
        <x:v>Subzero</x:v>
      </x:c>
      <x:c r="D43" s="14" t="str">
        <x:v>Промислове холодопостачання</x:v>
      </x:c>
      <x:c r="E43" s="14" t="str">
        <x:v>Pilot now</x:v>
      </x:c>
      <x:c r="F43" s="17" t="str">
        <x:f>IF(E43="Pilot now",IF(P43&gt;=84,"P1",IF(P43&gt;=72,"P2","P3")),IF(E43="Expansion discovery",IF(Q43&gt;=88,"D1",IF(Q43&gt;=78,"D2","D3")),IF(E43="Later / requirements","L","Legacy")))</x:f>
        <x:v>P1</x:v>
      </x:c>
      <x:c r="G43" s="14" t="str">
        <x:v>subzero.ua</x:v>
      </x:c>
      <x:c r="H43" s="14" t="str">
        <x:v>Пілот зараз — Н.14</x:v>
      </x:c>
      <x:c r="I43" s="16" t="n">
        <x:v>4</x:v>
      </x:c>
      <x:c r="J43" s="16" t="n">
        <x:v>5</x:v>
      </x:c>
      <x:c r="K43" s="16" t="n">
        <x:v>4</x:v>
      </x:c>
      <x:c r="L43" s="16" t="n">
        <x:v>5</x:v>
      </x:c>
      <x:c r="M43" s="16" t="n">
        <x:v>5</x:v>
      </x:c>
      <x:c r="N43" s="16" t="n">
        <x:v>5</x:v>
      </x:c>
      <x:c r="O43" s="16" t="n">
        <x:v>5</x:v>
      </x:c>
      <x:c r="P43" s="16" t="n">
        <x:f>IF(COUNT(I43:O43)&lt;7,"",I43*8+J43*3+K43*2+L43*2+M43*2+N43*2+O43)</x:f>
        <x:v>90</x:v>
      </x:c>
      <x:c r="Q43" s="16" t="n">
        <x:f>IF(COUNT(J43:O43)&lt;6,"",J43*5+K43*4+M43*4+L43*3+N43*2+O43*2)</x:f>
        <x:v>96</x:v>
      </x:c>
      <x:c r="R43" s="14" t="str">
        <x:v>high</x:v>
      </x:c>
      <x:c r="S43" s="14" t="str">
        <x:v>official_source_reverified</x:v>
      </x:c>
      <x:c r="T43" s="14" t="str">
        <x:v>official_source_reachable</x:v>
      </x:c>
      <x:c r="U43" s="14" t="str">
        <x:v>Новий — не контактували</x:v>
      </x:c>
      <x:c r="V43" s="15" t="str">
        <x:v>Персоналізувати review-flow за доказом; попросити 1 артефакт</x:v>
      </x:c>
      <x:c r="W43" s="15" t="str">
        <x:v>Директор; руководитель проектов / ПТО</x:v>
      </x:c>
      <x:c r="X43" s="15" t="str">
        <x:v>Полный промышленный холод: генеральное проектирование, монтаж, пусконаладка, модернизация и сервис для пищевых/агропредприятий.</x:v>
      </x:c>
      <x:c r="Y43" s="15" t="str">
        <x:v>Трубопроводы и автоматика подходят, но первый проект нужно ограничить Н.14-пунктами.</x:v>
      </x:c>
      <x:c r="Z43" s="15" t="str">
        <x:v>https://subzero.ua/</x:v>
      </x:c>
      <x:c r="AA43" s="14" t="str"/>
      <x:c r="AB43" s="14" t="str">
        <x:v>2026-08-24</x:v>
      </x:c>
      <x:c r="AC43" s="14" t="str">
        <x:v>Олександр</x:v>
      </x:c>
      <x:c r="AD43" s="18" t="str"/>
      <x:c r="AE43" s="14" t="str"/>
    </x:row>
    <x:row r="44">
      <x:c r="A44" s="14" t="str">
        <x:v>AUG-043</x:v>
      </x:c>
      <x:c r="B44" s="14" t="str">
        <x:v>Перевірено 51 — 24.08</x:v>
      </x:c>
      <x:c r="C44" s="14" t="str">
        <x:v>АльфаПроект</x:v>
      </x:c>
      <x:c r="D44" s="14" t="str">
        <x:v>Промислове холодопостачання</x:v>
      </x:c>
      <x:c r="E44" s="14" t="str">
        <x:v>Pilot now</x:v>
      </x:c>
      <x:c r="F44" s="17" t="str">
        <x:f>IF(E44="Pilot now",IF(P44&gt;=84,"P1",IF(P44&gt;=72,"P2","P3")),IF(E44="Expansion discovery",IF(Q44&gt;=88,"D1",IF(Q44&gt;=78,"D2","D3")),IF(E44="Later / requirements","L","Legacy")))</x:f>
        <x:v>P1</x:v>
      </x:c>
      <x:c r="G44" s="14" t="str">
        <x:v>alfaproekt.com.ua</x:v>
      </x:c>
      <x:c r="H44" s="14" t="str">
        <x:v>Пілот зараз — Н.14</x:v>
      </x:c>
      <x:c r="I44" s="16" t="n">
        <x:v>4</x:v>
      </x:c>
      <x:c r="J44" s="16" t="n">
        <x:v>5</x:v>
      </x:c>
      <x:c r="K44" s="16" t="n">
        <x:v>4</x:v>
      </x:c>
      <x:c r="L44" s="16" t="n">
        <x:v>5</x:v>
      </x:c>
      <x:c r="M44" s="16" t="n">
        <x:v>4</x:v>
      </x:c>
      <x:c r="N44" s="16" t="n">
        <x:v>5</x:v>
      </x:c>
      <x:c r="O44" s="16" t="n">
        <x:v>5</x:v>
      </x:c>
      <x:c r="P44" s="16" t="n">
        <x:f>IF(COUNT(I44:O44)&lt;7,"",I44*8+J44*3+K44*2+L44*2+M44*2+N44*2+O44)</x:f>
        <x:v>88</x:v>
      </x:c>
      <x:c r="Q44" s="16" t="n">
        <x:f>IF(COUNT(J44:O44)&lt;6,"",J44*5+K44*4+M44*4+L44*3+N44*2+O44*2)</x:f>
        <x:v>92</x:v>
      </x:c>
      <x:c r="R44" s="14" t="str">
        <x:v>high</x:v>
      </x:c>
      <x:c r="S44" s="14" t="str">
        <x:v>official_source_reverified</x:v>
      </x:c>
      <x:c r="T44" s="14" t="str">
        <x:v>official_source_reachable</x:v>
      </x:c>
      <x:c r="U44" s="14" t="str">
        <x:v>Новий — не контактували</x:v>
      </x:c>
      <x:c r="V44" s="15" t="str">
        <x:v>Персоналізувати review-flow за доказом; попросити 1 артефакт</x:v>
      </x:c>
      <x:c r="W44" s="15" t="str">
        <x:v>Директор; руководитель монтажных проектов</x:v>
      </x:c>
      <x:c r="X44" s="15" t="str">
        <x:v>20+ лет, 200+ предприятий, проектирование, монтаж и пусконаладка промышленного холодоснабжения.</x:v>
      </x:c>
      <x:c r="Y44" s="15" t="str">
        <x:v>Трубопроводы, сварные соединения, арматура и автоматика дают поддержанный Н.14-subset.</x:v>
      </x:c>
      <x:c r="Z44" s="15" t="str">
        <x:v>https://www.alfaproekt.com.ua/</x:v>
      </x:c>
      <x:c r="AA44" s="14" t="str"/>
      <x:c r="AB44" s="14" t="str">
        <x:v>2026-08-24</x:v>
      </x:c>
      <x:c r="AC44" s="14" t="str">
        <x:v>Олександр</x:v>
      </x:c>
      <x:c r="AD44" s="18" t="str"/>
      <x:c r="AE44" s="14" t="str"/>
    </x:row>
    <x:row r="45">
      <x:c r="A45" s="14" t="str">
        <x:v>AUG-048</x:v>
      </x:c>
      <x:c r="B45" s="14" t="str">
        <x:v>Перевірено 51 — 24.08</x:v>
      </x:c>
      <x:c r="C45" s="14" t="str">
        <x:v>Київтрансбуд</x:v>
      </x:c>
      <x:c r="D45" s="14" t="str">
        <x:v>Промисловий MEP</x:v>
      </x:c>
      <x:c r="E45" s="14" t="str">
        <x:v>Pilot now</x:v>
      </x:c>
      <x:c r="F45" s="17" t="str">
        <x:f>IF(E45="Pilot now",IF(P45&gt;=84,"P1",IF(P45&gt;=72,"P2","P3")),IF(E45="Expansion discovery",IF(Q45&gt;=88,"D1",IF(Q45&gt;=78,"D2","D3")),IF(E45="Later / requirements","L","Legacy")))</x:f>
        <x:v>P1</x:v>
      </x:c>
      <x:c r="G45" s="14" t="str">
        <x:v>ktb.com.ua</x:v>
      </x:c>
      <x:c r="H45" s="14" t="str">
        <x:v>Пілот зараз — Н.14 + Н.15</x:v>
      </x:c>
      <x:c r="I45" s="16" t="n">
        <x:v>5</x:v>
      </x:c>
      <x:c r="J45" s="16" t="n">
        <x:v>5</x:v>
      </x:c>
      <x:c r="K45" s="16" t="n">
        <x:v>4</x:v>
      </x:c>
      <x:c r="L45" s="16" t="n">
        <x:v>4</x:v>
      </x:c>
      <x:c r="M45" s="16" t="n">
        <x:v>4</x:v>
      </x:c>
      <x:c r="N45" s="16" t="n">
        <x:v>2</x:v>
      </x:c>
      <x:c r="O45" s="16" t="n">
        <x:v>5</x:v>
      </x:c>
      <x:c r="P45" s="16" t="n">
        <x:f>IF(COUNT(I45:O45)&lt;7,"",I45*8+J45*3+K45*2+L45*2+M45*2+N45*2+O45)</x:f>
        <x:v>88</x:v>
      </x:c>
      <x:c r="Q45" s="16" t="n">
        <x:f>IF(COUNT(J45:O45)&lt;6,"",J45*5+K45*4+M45*4+L45*3+N45*2+O45*2)</x:f>
        <x:v>83</x:v>
      </x:c>
      <x:c r="R45" s="14" t="str">
        <x:v>high</x:v>
      </x:c>
      <x:c r="S45" s="14" t="str">
        <x:v>official_source_reverified</x:v>
      </x:c>
      <x:c r="T45" s="14" t="str">
        <x:v>official_source_reachable</x:v>
      </x:c>
      <x:c r="U45" s="14" t="str">
        <x:v>Новий — не контактували</x:v>
      </x:c>
      <x:c r="V45" s="15" t="str">
        <x:v>Персоналізувати review-flow за доказом; попросити 1 артефакт</x:v>
      </x:c>
      <x:c r="W45" s="15" t="str">
        <x:v>Директор по строительству; руководитель ПТО</x:v>
      </x:c>
      <x:c r="X45" s="15" t="str">
        <x:v>Сопровождение монтажа электрических, отопительных, вентиляционных, водопроводных и канализационных систем на промышленных объектах.</x:v>
      </x:c>
      <x:c r="Y45" s="15" t="str">
        <x:v>Функционально подходит, но как генподрядчик имеет более сложный цикл покупки; использовать скорее как канал/мандат.</x:v>
      </x:c>
      <x:c r="Z45" s="15" t="str">
        <x:v>https://ktb.com.ua/services/montazh-inzhenernykh-system/</x:v>
      </x:c>
      <x:c r="AA45" s="14" t="str"/>
      <x:c r="AB45" s="14" t="str">
        <x:v>2026-08-24</x:v>
      </x:c>
      <x:c r="AC45" s="14" t="str">
        <x:v>Олександр</x:v>
      </x:c>
      <x:c r="AD45" s="18" t="str"/>
      <x:c r="AE45" s="14" t="str"/>
    </x:row>
    <x:row r="46">
      <x:c r="A46" s="14" t="str">
        <x:v>AUG-007</x:v>
      </x:c>
      <x:c r="B46" s="14" t="str">
        <x:v>Перевірено 51 — 24.08</x:v>
      </x:c>
      <x:c r="C46" s="14" t="str">
        <x:v>BergGroup</x:v>
      </x:c>
      <x:c r="D46" s="14" t="str">
        <x:v>Зовнішні мережі + електрика</x:v>
      </x:c>
      <x:c r="E46" s="14" t="str">
        <x:v>Pilot now</x:v>
      </x:c>
      <x:c r="F46" s="17" t="str">
        <x:f>IF(E46="Pilot now",IF(P46&gt;=84,"P1",IF(P46&gt;=72,"P2","P3")),IF(E46="Expansion discovery",IF(Q46&gt;=88,"D1",IF(Q46&gt;=78,"D2","D3")),IF(E46="Later / requirements","L","Legacy")))</x:f>
        <x:v>P1</x:v>
      </x:c>
      <x:c r="G46" s="14" t="str">
        <x:v>berggroup.com.ua</x:v>
      </x:c>
      <x:c r="H46" s="14" t="str">
        <x:v>Пілот зараз — Н.15</x:v>
      </x:c>
      <x:c r="I46" s="16" t="n">
        <x:v>4</x:v>
      </x:c>
      <x:c r="J46" s="16" t="n">
        <x:v>5</x:v>
      </x:c>
      <x:c r="K46" s="16" t="n">
        <x:v>5</x:v>
      </x:c>
      <x:c r="L46" s="16" t="n">
        <x:v>4</x:v>
      </x:c>
      <x:c r="M46" s="16" t="n">
        <x:v>4</x:v>
      </x:c>
      <x:c r="N46" s="16" t="n">
        <x:v>5</x:v>
      </x:c>
      <x:c r="O46" s="16" t="n">
        <x:v>5</x:v>
      </x:c>
      <x:c r="P46" s="16" t="n">
        <x:f>IF(COUNT(I46:O46)&lt;7,"",I46*8+J46*3+K46*2+L46*2+M46*2+N46*2+O46)</x:f>
        <x:v>88</x:v>
      </x:c>
      <x:c r="Q46" s="16" t="n">
        <x:f>IF(COUNT(J46:O46)&lt;6,"",J46*5+K46*4+M46*4+L46*3+N46*2+O46*2)</x:f>
        <x:v>93</x:v>
      </x:c>
      <x:c r="R46" s="14" t="str">
        <x:v>high</x:v>
      </x:c>
      <x:c r="S46" s="14" t="str">
        <x:v>official_source_reverified</x:v>
      </x:c>
      <x:c r="T46" s="14" t="str">
        <x:v>official_source_reachable</x:v>
      </x:c>
      <x:c r="U46" s="14" t="str">
        <x:v>Новий — не контактували</x:v>
      </x:c>
      <x:c r="V46" s="15" t="str">
        <x:v>Персоналізувати review-flow за доказом; попросити 1 артефакт</x:v>
      </x:c>
      <x:c r="W46" s="15" t="str">
        <x:v>Коммерческий директор; руководитель ПТО</x:v>
      </x:c>
      <x:c r="X46" s="15" t="str">
        <x:v>Строит инженерные сети и обслуживает/монтирует подстанции до 330 кВ; работает открытым и бестраншейным способом.</x:v>
      </x:c>
      <x:c r="Y46" s="15" t="str">
        <x:v>Кабельные линии и заземление можно пилотировать сейчас; водопровод и газ — после расширения требований.</x:v>
      </x:c>
      <x:c r="Z46" s="15" t="str">
        <x:v>https://berggroup.com.ua/</x:v>
      </x:c>
      <x:c r="AA46" s="14" t="str"/>
      <x:c r="AB46" s="14" t="str">
        <x:v>2026-08-24</x:v>
      </x:c>
      <x:c r="AC46" s="14" t="str">
        <x:v>Олександр</x:v>
      </x:c>
      <x:c r="AD46" s="18" t="str"/>
      <x:c r="AE46" s="14" t="str"/>
    </x:row>
    <x:row r="47">
      <x:c r="A47" s="14" t="str">
        <x:v>AUG-009</x:v>
      </x:c>
      <x:c r="B47" s="14" t="str">
        <x:v>Перевірено 51 — 24.08</x:v>
      </x:c>
      <x:c r="C47" s="14" t="str">
        <x:v>Energotechpro VN</x:v>
      </x:c>
      <x:c r="D47" s="14" t="str">
        <x:v>Електрика + слаботочка</x:v>
      </x:c>
      <x:c r="E47" s="14" t="str">
        <x:v>Pilot now</x:v>
      </x:c>
      <x:c r="F47" s="17" t="str">
        <x:f>IF(E47="Pilot now",IF(P47&gt;=84,"P1",IF(P47&gt;=72,"P2","P3")),IF(E47="Expansion discovery",IF(Q47&gt;=88,"D1",IF(Q47&gt;=78,"D2","D3")),IF(E47="Later / requirements","L","Legacy")))</x:f>
        <x:v>P1</x:v>
      </x:c>
      <x:c r="G47" s="14" t="str">
        <x:v>energotechprovn.com.ua</x:v>
      </x:c>
      <x:c r="H47" s="14" t="str">
        <x:v>Пілот зараз — Н.15</x:v>
      </x:c>
      <x:c r="I47" s="16" t="n">
        <x:v>5</x:v>
      </x:c>
      <x:c r="J47" s="16" t="n">
        <x:v>5</x:v>
      </x:c>
      <x:c r="K47" s="16" t="n">
        <x:v>4</x:v>
      </x:c>
      <x:c r="L47" s="16" t="n">
        <x:v>2</x:v>
      </x:c>
      <x:c r="M47" s="16" t="n">
        <x:v>3</x:v>
      </x:c>
      <x:c r="N47" s="16" t="n">
        <x:v>5</x:v>
      </x:c>
      <x:c r="O47" s="16" t="n">
        <x:v>5</x:v>
      </x:c>
      <x:c r="P47" s="16" t="n">
        <x:f>IF(COUNT(I47:O47)&lt;7,"",I47*8+J47*3+K47*2+L47*2+M47*2+N47*2+O47)</x:f>
        <x:v>88</x:v>
      </x:c>
      <x:c r="Q47" s="16" t="n">
        <x:f>IF(COUNT(J47:O47)&lt;6,"",J47*5+K47*4+M47*4+L47*3+N47*2+O47*2)</x:f>
        <x:v>79</x:v>
      </x:c>
      <x:c r="R47" s="14" t="str">
        <x:v>high</x:v>
      </x:c>
      <x:c r="S47" s="14" t="str">
        <x:v>official_source_reverified</x:v>
      </x:c>
      <x:c r="T47" s="14" t="str">
        <x:v>official_source_reachable</x:v>
      </x:c>
      <x:c r="U47" s="14" t="str">
        <x:v>Новий — не контактували</x:v>
      </x:c>
      <x:c r="V47" s="15" t="str">
        <x:v>Персоналізувати review-flow за доказом; попросити 1 артефакт</x:v>
      </x:c>
      <x:c r="W47" s="15" t="str">
        <x:v>Директор; руководитель монтажных работ</x:v>
      </x:c>
      <x:c r="X47" s="15" t="str">
        <x:v>Электроинженерные решения: проектирование, монтаж, подключение и обслуживание систем питания и безопасности.</x:v>
      </x:c>
      <x:c r="Y47" s="15" t="str">
        <x:v>Скрытая проводка и кабельные линии дают узкий пилот без изменения продуктовой библиотеки.</x:v>
      </x:c>
      <x:c r="Z47" s="15" t="str">
        <x:v>https://energotechprovn.com.ua/</x:v>
      </x:c>
      <x:c r="AA47" s="14" t="str"/>
      <x:c r="AB47" s="14" t="str">
        <x:v>2026-08-24</x:v>
      </x:c>
      <x:c r="AC47" s="14" t="str">
        <x:v>Олександр</x:v>
      </x:c>
      <x:c r="AD47" s="18" t="str"/>
      <x:c r="AE47" s="14" t="str"/>
    </x:row>
    <x:row r="48">
      <x:c r="A48" s="14" t="str">
        <x:v>V3-050</x:v>
      </x:c>
      <x:c r="B48" s="14" t="str">
        <x:v>Досліджено 28.07</x:v>
      </x:c>
      <x:c r="C48" s="14" t="str">
        <x:v>TERMAL</x:v>
      </x:c>
      <x:c r="D48" s="14" t="str">
        <x:v>HVAC / вентиляція</x:v>
      </x:c>
      <x:c r="E48" s="14" t="str">
        <x:v>Pilot now</x:v>
      </x:c>
      <x:c r="F48" s="17" t="str">
        <x:f>IF(E48="Pilot now",IF(P48&gt;=84,"P1",IF(P48&gt;=72,"P2","P3")),IF(E48="Expansion discovery",IF(Q48&gt;=88,"D1",IF(Q48&gt;=78,"D2","D3")),IF(E48="Later / requirements","L","Legacy")))</x:f>
        <x:v>P1</x:v>
      </x:c>
      <x:c r="G48" s="14" t="str">
        <x:v>ua.termal.com.ua</x:v>
      </x:c>
      <x:c r="H48" s="14" t="str">
        <x:v>Пілот зараз — Н.14</x:v>
      </x:c>
      <x:c r="I48" s="16" t="n">
        <x:v>4</x:v>
      </x:c>
      <x:c r="J48" s="16" t="n">
        <x:v>5</x:v>
      </x:c>
      <x:c r="K48" s="16" t="n">
        <x:v>4</x:v>
      </x:c>
      <x:c r="L48" s="16" t="n">
        <x:v>4</x:v>
      </x:c>
      <x:c r="M48" s="16" t="n">
        <x:v>5</x:v>
      </x:c>
      <x:c r="N48" s="16" t="n">
        <x:v>5</x:v>
      </x:c>
      <x:c r="O48" s="16" t="n">
        <x:v>5</x:v>
      </x:c>
      <x:c r="P48" s="16" t="n">
        <x:f>IF(COUNT(I48:O48)&lt;7,"",I48*8+J48*3+K48*2+L48*2+M48*2+N48*2+O48)</x:f>
        <x:v>88</x:v>
      </x:c>
      <x:c r="Q48" s="16" t="n">
        <x:f>IF(COUNT(J48:O48)&lt;6,"",J48*5+K48*4+M48*4+L48*3+N48*2+O48*2)</x:f>
        <x:v>93</x:v>
      </x:c>
      <x:c r="R48" s="14" t="str">
        <x:v>medium</x:v>
      </x:c>
      <x:c r="S48" s="14" t="str">
        <x:v>historical_research_2026-07-28</x:v>
      </x:c>
      <x:c r="T48" s="14" t="str">
        <x:v>historical_official_research</x:v>
      </x:c>
      <x:c r="U48" s="14" t="str">
        <x:v>Надіслано 28.07 — follow-up</x:v>
      </x:c>
      <x:c r="V48" s="15" t="str">
        <x:v>Follow-up з review-link; далі попросити 1 анонімізований артефакт</x:v>
      </x:c>
      <x:c r="W48" s="15" t="str">
        <x:v>Власник / директор; керівник ПТО</x:v>
      </x:c>
      <x:c r="X48" s="15" t="str">
        <x:v>Проєктування, постачання, монтаж і налагодження промислових систем вентиляції, опалення та кондиціонування.</x:v>
      </x:c>
      <x:c r="Y48" s="15" t="str">
        <x:v>Приховані повітроводи, трубопроводи й автоматика потребують готовності доказів до закриття стель і шахт.</x:v>
      </x:c>
      <x:c r="Z48" s="15" t="str">
        <x:v>https://ua.termal.com.ua/uslugi/montazh-inzhenernykh-sistem/</x:v>
      </x:c>
      <x:c r="AA48" s="14" t="str"/>
      <x:c r="AB48" s="14" t="str">
        <x:v>2026-07-28</x:v>
      </x:c>
      <x:c r="AC48" s="14" t="str">
        <x:v>Олександр</x:v>
      </x:c>
      <x:c r="AD48" s="18" t="str"/>
      <x:c r="AE48" s="14" t="str"/>
    </x:row>
    <x:row r="49">
      <x:c r="A49" s="14" t="str">
        <x:v>AUG-003</x:v>
      </x:c>
      <x:c r="B49" s="14" t="str">
        <x:v>Перевірено 51 — 24.08</x:v>
      </x:c>
      <x:c r="C49" s="14" t="str">
        <x:v>Армат</x:v>
      </x:c>
      <x:c r="D49" s="14" t="str">
        <x:v>Внутрішній HVAC</x:v>
      </x:c>
      <x:c r="E49" s="14" t="str">
        <x:v>Pilot now</x:v>
      </x:c>
      <x:c r="F49" s="17" t="str">
        <x:f>IF(E49="Pilot now",IF(P49&gt;=84,"P1",IF(P49&gt;=72,"P2","P3")),IF(E49="Expansion discovery",IF(Q49&gt;=88,"D1",IF(Q49&gt;=78,"D2","D3")),IF(E49="Later / requirements","L","Legacy")))</x:f>
        <x:v>P1</x:v>
      </x:c>
      <x:c r="G49" s="14" t="str">
        <x:v>armat.kiev.ua</x:v>
      </x:c>
      <x:c r="H49" s="14" t="str">
        <x:v>Пілот зараз — Н.14</x:v>
      </x:c>
      <x:c r="I49" s="16" t="n">
        <x:v>4</x:v>
      </x:c>
      <x:c r="J49" s="16" t="n">
        <x:v>5</x:v>
      </x:c>
      <x:c r="K49" s="16" t="n">
        <x:v>4</x:v>
      </x:c>
      <x:c r="L49" s="16" t="n">
        <x:v>4</x:v>
      </x:c>
      <x:c r="M49" s="16" t="n">
        <x:v>4</x:v>
      </x:c>
      <x:c r="N49" s="16" t="n">
        <x:v>5</x:v>
      </x:c>
      <x:c r="O49" s="16" t="n">
        <x:v>5</x:v>
      </x:c>
      <x:c r="P49" s="16" t="n">
        <x:f>IF(COUNT(I49:O49)&lt;7,"",I49*8+J49*3+K49*2+L49*2+M49*2+N49*2+O49)</x:f>
        <x:v>86</x:v>
      </x:c>
      <x:c r="Q49" s="16" t="n">
        <x:f>IF(COUNT(J49:O49)&lt;6,"",J49*5+K49*4+M49*4+L49*3+N49*2+O49*2)</x:f>
        <x:v>89</x:v>
      </x:c>
      <x:c r="R49" s="14" t="str">
        <x:v>high</x:v>
      </x:c>
      <x:c r="S49" s="14" t="str">
        <x:v>official_source_reverified</x:v>
      </x:c>
      <x:c r="T49" s="14" t="str">
        <x:v>official_source_reachable</x:v>
      </x:c>
      <x:c r="U49" s="14" t="str">
        <x:v>Новий — не контактували</x:v>
      </x:c>
      <x:c r="V49" s="15" t="str">
        <x:v>Персоналізувати review-flow за доказом; попросити 1 артефакт</x:v>
      </x:c>
      <x:c r="W49" s="15" t="str">
        <x:v>Директор; руководитель монтажного отдела</x:v>
      </x:c>
      <x:c r="X49" s="15" t="str">
        <x:v>Инженерный подрядчик полного цикла, собственное производство и 150+ коммерческих проектов.</x:v>
      </x:c>
      <x:c r="Y49" s="15" t="str">
        <x:v>Поэтапный монтаж вентиляции, отопления и кондиционирования создаёт скрытые контрольные точки и исполнительные документы.</x:v>
      </x:c>
      <x:c r="Z49" s="15" t="str">
        <x:v>https://www.armat.kiev.ua/</x:v>
      </x:c>
      <x:c r="AA49" s="14" t="str"/>
      <x:c r="AB49" s="14" t="str">
        <x:v>2026-08-24</x:v>
      </x:c>
      <x:c r="AC49" s="14" t="str">
        <x:v>Олександр</x:v>
      </x:c>
      <x:c r="AD49" s="18" t="str"/>
      <x:c r="AE49" s="14" t="str"/>
    </x:row>
    <x:row r="50">
      <x:c r="A50" s="14" t="str">
        <x:v>AUG-002</x:v>
      </x:c>
      <x:c r="B50" s="14" t="str">
        <x:v>Перевірено 51 — 24.08</x:v>
      </x:c>
      <x:c r="C50" s="14" t="str">
        <x:v>Группа компаний VENT</x:v>
      </x:c>
      <x:c r="D50" s="14" t="str">
        <x:v>Внутрішній HVAC</x:v>
      </x:c>
      <x:c r="E50" s="14" t="str">
        <x:v>Pilot now</x:v>
      </x:c>
      <x:c r="F50" s="17" t="str">
        <x:f>IF(E50="Pilot now",IF(P50&gt;=84,"P1",IF(P50&gt;=72,"P2","P3")),IF(E50="Expansion discovery",IF(Q50&gt;=88,"D1",IF(Q50&gt;=78,"D2","D3")),IF(E50="Later / requirements","L","Legacy")))</x:f>
        <x:v>P1</x:v>
      </x:c>
      <x:c r="G50" s="14" t="str">
        <x:v>vent.te.ua</x:v>
      </x:c>
      <x:c r="H50" s="14" t="str">
        <x:v>Пілот зараз — Н.14</x:v>
      </x:c>
      <x:c r="I50" s="16" t="n">
        <x:v>4</x:v>
      </x:c>
      <x:c r="J50" s="16" t="n">
        <x:v>5</x:v>
      </x:c>
      <x:c r="K50" s="16" t="n">
        <x:v>4</x:v>
      </x:c>
      <x:c r="L50" s="16" t="n">
        <x:v>4</x:v>
      </x:c>
      <x:c r="M50" s="16" t="n">
        <x:v>4</x:v>
      </x:c>
      <x:c r="N50" s="16" t="n">
        <x:v>5</x:v>
      </x:c>
      <x:c r="O50" s="16" t="n">
        <x:v>5</x:v>
      </x:c>
      <x:c r="P50" s="16" t="n">
        <x:f>IF(COUNT(I50:O50)&lt;7,"",I50*8+J50*3+K50*2+L50*2+M50*2+N50*2+O50)</x:f>
        <x:v>86</x:v>
      </x:c>
      <x:c r="Q50" s="16" t="n">
        <x:f>IF(COUNT(J50:O50)&lt;6,"",J50*5+K50*4+M50*4+L50*3+N50*2+O50*2)</x:f>
        <x:v>89</x:v>
      </x:c>
      <x:c r="R50" s="14" t="str">
        <x:v>high</x:v>
      </x:c>
      <x:c r="S50" s="14" t="str">
        <x:v>official_source_reverified</x:v>
      </x:c>
      <x:c r="T50" s="14" t="str">
        <x:v>official_source_reachable</x:v>
      </x:c>
      <x:c r="U50" s="14" t="str">
        <x:v>Новий — не контактували</x:v>
      </x:c>
      <x:c r="V50" s="15" t="str">
        <x:v>Персоналізувати review-flow за доказом; попросити 1 артефакт</x:v>
      </x:c>
      <x:c r="W50" s="15" t="str">
        <x:v>Владелец; руководитель проектов / ПТО</x:v>
      </x:c>
      <x:c r="X50" s="15" t="str">
        <x:v>Проектирование, производство воздуховодов, монтаж и пусконаладка для промышленных и коммерческих объектов по Украине.</x:v>
      </x:c>
      <x:c r="Y50" s="15" t="str">
        <x:v>Скрытые воздуховоды, проходки и автоматика требуют поэтапной фиксации до закрытия потолков.</x:v>
      </x:c>
      <x:c r="Z50" s="15" t="str">
        <x:v>https://www.vent.te.ua/</x:v>
      </x:c>
      <x:c r="AA50" s="14" t="str"/>
      <x:c r="AB50" s="14" t="str">
        <x:v>2026-08-24</x:v>
      </x:c>
      <x:c r="AC50" s="14" t="str">
        <x:v>Олександр</x:v>
      </x:c>
      <x:c r="AD50" s="18" t="str"/>
      <x:c r="AE50" s="14" t="str"/>
    </x:row>
    <x:row r="51">
      <x:c r="A51" s="14" t="str">
        <x:v>AUG-004</x:v>
      </x:c>
      <x:c r="B51" s="14" t="str">
        <x:v>Перевірено 51 — 24.08</x:v>
      </x:c>
      <x:c r="C51" s="14" t="str">
        <x:v>Аероплюс</x:v>
      </x:c>
      <x:c r="D51" s="14" t="str">
        <x:v>Внутрішній HVAC</x:v>
      </x:c>
      <x:c r="E51" s="14" t="str">
        <x:v>Pilot now</x:v>
      </x:c>
      <x:c r="F51" s="17" t="str">
        <x:f>IF(E51="Pilot now",IF(P51&gt;=84,"P1",IF(P51&gt;=72,"P2","P3")),IF(E51="Expansion discovery",IF(Q51&gt;=88,"D1",IF(Q51&gt;=78,"D2","D3")),IF(E51="Later / requirements","L","Legacy")))</x:f>
        <x:v>P2</x:v>
      </x:c>
      <x:c r="G51" s="14" t="str">
        <x:v>aeroplus.com.ua</x:v>
      </x:c>
      <x:c r="H51" s="14" t="str">
        <x:v>Пілот зараз — Н.14</x:v>
      </x:c>
      <x:c r="I51" s="16" t="n">
        <x:v>4</x:v>
      </x:c>
      <x:c r="J51" s="16" t="n">
        <x:v>5</x:v>
      </x:c>
      <x:c r="K51" s="16" t="n">
        <x:v>4</x:v>
      </x:c>
      <x:c r="L51" s="16" t="n">
        <x:v>3</x:v>
      </x:c>
      <x:c r="M51" s="16" t="n">
        <x:v>3</x:v>
      </x:c>
      <x:c r="N51" s="16" t="n">
        <x:v>5</x:v>
      </x:c>
      <x:c r="O51" s="16" t="n">
        <x:v>5</x:v>
      </x:c>
      <x:c r="P51" s="16" t="n">
        <x:f>IF(COUNT(I51:O51)&lt;7,"",I51*8+J51*3+K51*2+L51*2+M51*2+N51*2+O51)</x:f>
        <x:v>82</x:v>
      </x:c>
      <x:c r="Q51" s="16" t="n">
        <x:f>IF(COUNT(J51:O51)&lt;6,"",J51*5+K51*4+M51*4+L51*3+N51*2+O51*2)</x:f>
        <x:v>82</x:v>
      </x:c>
      <x:c r="R51" s="14" t="str">
        <x:v>high</x:v>
      </x:c>
      <x:c r="S51" s="14" t="str">
        <x:v>official_source_reverified</x:v>
      </x:c>
      <x:c r="T51" s="14" t="str">
        <x:v>official_source_reachable</x:v>
      </x:c>
      <x:c r="U51" s="14" t="str">
        <x:v>Новий — не контактували</x:v>
      </x:c>
      <x:c r="V51" s="15" t="str">
        <x:v>Персоналізувати review-flow за доказом; попросити 1 артефакт</x:v>
      </x:c>
      <x:c r="W51" s="15" t="str">
        <x:v>Директор; главный инженер</x:v>
      </x:c>
      <x:c r="X51" s="15" t="str">
        <x:v>Проектирование, монтаж и обслуживание вентиляции, кондиционирования и отопления для офисов и промышленных объектов.</x:v>
      </x:c>
      <x:c r="Y51" s="15" t="str">
        <x:v>Трубопроводы, автоматика и скрытые участки ОВиК должны быть подтверждены до отделки.</x:v>
      </x:c>
      <x:c r="Z51" s="15" t="str">
        <x:v>https://aeroplus.com.ua/</x:v>
      </x:c>
      <x:c r="AA51" s="14" t="str"/>
      <x:c r="AB51" s="14" t="str">
        <x:v>2026-08-24</x:v>
      </x:c>
      <x:c r="AC51" s="14" t="str">
        <x:v>Олександр</x:v>
      </x:c>
      <x:c r="AD51" s="18" t="str"/>
      <x:c r="AE51" s="14" t="str"/>
    </x:row>
    <x:row r="52">
      <x:c r="A52" s="14" t="str">
        <x:v>AUG-035</x:v>
      </x:c>
      <x:c r="B52" s="14" t="str">
        <x:v>Перевірено 51 — 24.08</x:v>
      </x:c>
      <x:c r="C52" s="14" t="str">
        <x:v>Antifire</x:v>
      </x:c>
      <x:c r="D52" s="14" t="str">
        <x:v>Пожежні системи</x:v>
      </x:c>
      <x:c r="E52" s="14" t="str">
        <x:v>Expansion discovery</x:v>
      </x:c>
      <x:c r="F52" s="17" t="str">
        <x:f>IF(E52="Pilot now",IF(P52&gt;=84,"P1",IF(P52&gt;=72,"P2","P3")),IF(E52="Expansion discovery",IF(Q52&gt;=88,"D1",IF(Q52&gt;=78,"D2","D3")),IF(E52="Later / requirements","L","Legacy")))</x:f>
        <x:v>D1</x:v>
      </x:c>
      <x:c r="G52" s="14" t="str">
        <x:v>antifire.ua</x:v>
      </x:c>
      <x:c r="H52" s="14" t="str">
        <x:v>Discovery — частково Н.15 + вимоги проєкту</x:v>
      </x:c>
      <x:c r="I52" s="16" t="n">
        <x:v>4</x:v>
      </x:c>
      <x:c r="J52" s="16" t="n">
        <x:v>5</x:v>
      </x:c>
      <x:c r="K52" s="16" t="n">
        <x:v>4</x:v>
      </x:c>
      <x:c r="L52" s="16" t="n">
        <x:v>5</x:v>
      </x:c>
      <x:c r="M52" s="16" t="n">
        <x:v>5</x:v>
      </x:c>
      <x:c r="N52" s="16" t="n">
        <x:v>5</x:v>
      </x:c>
      <x:c r="O52" s="16" t="n">
        <x:v>5</x:v>
      </x:c>
      <x:c r="P52" s="16" t="n">
        <x:f>IF(COUNT(I52:O52)&lt;7,"",I52*8+J52*3+K52*2+L52*2+M52*2+N52*2+O52)</x:f>
        <x:v>90</x:v>
      </x:c>
      <x:c r="Q52" s="16" t="n">
        <x:f>IF(COUNT(J52:O52)&lt;6,"",J52*5+K52*4+M52*4+L52*3+N52*2+O52*2)</x:f>
        <x:v>96</x:v>
      </x:c>
      <x:c r="R52" s="14" t="str">
        <x:v>high</x:v>
      </x:c>
      <x:c r="S52" s="14" t="str">
        <x:v>official_source_reverified</x:v>
      </x:c>
      <x:c r="T52" s="14" t="str">
        <x:v>official_source_reachable</x:v>
      </x:c>
      <x:c r="U52" s="14" t="str">
        <x:v>Новий — не контактували</x:v>
      </x:c>
      <x:c r="V52" s="15" t="str">
        <x:v>Discovery-call: перевірити процес і отримати вимоги конкретного проєкту</x:v>
      </x:c>
      <x:c r="W52" s="15" t="str">
        <x:v>Директор; руководитель ПТО / монтажных работ</x:v>
      </x:c>
      <x:c r="X52" s="15" t="str">
        <x:v>15 лет, 520+ проектов, приёмочные испытания с заказчиком/ДСНС и документальное оформление работ.</x:v>
      </x:c>
      <x:c r="Y52" s="15" t="str">
        <x:v>Сильная дисциплина приёмки; пилот нужно ограничить трубопроводами/арматурой/автоматикой и кабельными участками.</x:v>
      </x:c>
      <x:c r="Z52" s="15" t="str">
        <x:v>https://antifire.ua/montazh-avtomatychnykh-system-pozhezhohasinnya</x:v>
      </x:c>
      <x:c r="AA52" s="14" t="str"/>
      <x:c r="AB52" s="14" t="str">
        <x:v>2026-08-24</x:v>
      </x:c>
      <x:c r="AC52" s="14" t="str">
        <x:v>Олександр</x:v>
      </x:c>
      <x:c r="AD52" s="18" t="str"/>
      <x:c r="AE52" s="14" t="str"/>
    </x:row>
    <x:row r="53">
      <x:c r="A53" s="14" t="str">
        <x:v>AUG-014</x:v>
      </x:c>
      <x:c r="B53" s="14" t="str">
        <x:v>Перевірено 51 — 24.08</x:v>
      </x:c>
      <x:c r="C53" s="14" t="str">
        <x:v>Premier Ltd</x:v>
      </x:c>
      <x:c r="D53" s="14" t="str">
        <x:v>Слаботочні системи</x:v>
      </x:c>
      <x:c r="E53" s="14" t="str">
        <x:v>Expansion discovery</x:v>
      </x:c>
      <x:c r="F53" s="17" t="str">
        <x:f>IF(E53="Pilot now",IF(P53&gt;=84,"P1",IF(P53&gt;=72,"P2","P3")),IF(E53="Expansion discovery",IF(Q53&gt;=88,"D1",IF(Q53&gt;=78,"D2","D3")),IF(E53="Later / requirements","L","Legacy")))</x:f>
        <x:v>D1</x:v>
      </x:c>
      <x:c r="G53" s="14" t="str">
        <x:v>premier-ltd.com.ua</x:v>
      </x:c>
      <x:c r="H53" s="14" t="str">
        <x:v>Discovery — частково Н.15 + вимоги проєкту</x:v>
      </x:c>
      <x:c r="I53" s="16" t="n">
        <x:v>4</x:v>
      </x:c>
      <x:c r="J53" s="16" t="n">
        <x:v>5</x:v>
      </x:c>
      <x:c r="K53" s="16" t="n">
        <x:v>4</x:v>
      </x:c>
      <x:c r="L53" s="16" t="n">
        <x:v>5</x:v>
      </x:c>
      <x:c r="M53" s="16" t="n">
        <x:v>5</x:v>
      </x:c>
      <x:c r="N53" s="16" t="n">
        <x:v>5</x:v>
      </x:c>
      <x:c r="O53" s="16" t="n">
        <x:v>5</x:v>
      </x:c>
      <x:c r="P53" s="16" t="n">
        <x:f>IF(COUNT(I53:O53)&lt;7,"",I53*8+J53*3+K53*2+L53*2+M53*2+N53*2+O53)</x:f>
        <x:v>90</x:v>
      </x:c>
      <x:c r="Q53" s="16" t="n">
        <x:f>IF(COUNT(J53:O53)&lt;6,"",J53*5+K53*4+M53*4+L53*3+N53*2+O53*2)</x:f>
        <x:v>96</x:v>
      </x:c>
      <x:c r="R53" s="14" t="str">
        <x:v>high</x:v>
      </x:c>
      <x:c r="S53" s="14" t="str">
        <x:v>official_source_reverified</x:v>
      </x:c>
      <x:c r="T53" s="14" t="str">
        <x:v>official_source_reachable</x:v>
      </x:c>
      <x:c r="U53" s="14" t="str">
        <x:v>Новий — не контактували</x:v>
      </x:c>
      <x:c r="V53" s="15" t="str">
        <x:v>Discovery-call: перевірити процес і отримати вимоги конкретного проєкту</x:v>
      </x:c>
      <x:c r="W53" s="15" t="str">
        <x:v>Директор; руководитель монтажно-наладочных работ</x:v>
      </x:c>
      <x:c r="X53" s="15" t="str">
        <x:v>Около тысячи развёрнутых слабострумных систем на сотнях объектов, проектирование, монтаж, наладка и сертификация.</x:v>
      </x:c>
      <x:c r="Y53" s="15" t="str">
        <x:v>Кабельные коммуникации скрываются на этапе строительства; нужно проверить, достаточно ли Н.15 для их реального процесса.</x:v>
      </x:c>
      <x:c r="Z53" s="15" t="str">
        <x:v>https://premier-ltd.com.ua/ua/montazhno-naladochnye-raboty/</x:v>
      </x:c>
      <x:c r="AA53" s="14" t="str"/>
      <x:c r="AB53" s="14" t="str">
        <x:v>2026-08-24</x:v>
      </x:c>
      <x:c r="AC53" s="14" t="str">
        <x:v>Олександр</x:v>
      </x:c>
      <x:c r="AD53" s="18" t="str"/>
      <x:c r="AE53" s="14" t="str"/>
    </x:row>
    <x:row r="54">
      <x:c r="A54" s="14" t="str">
        <x:v>AUG-032</x:v>
      </x:c>
      <x:c r="B54" s="14" t="str">
        <x:v>Перевірено 51 — 24.08</x:v>
      </x:c>
      <x:c r="C54" s="14" t="str">
        <x:v>БІЛДІНГ ІНЖИНІРИНГ ТІМ</x:v>
      </x:c>
      <x:c r="D54" s="14" t="str">
        <x:v>Пожежні системи</x:v>
      </x:c>
      <x:c r="E54" s="14" t="str">
        <x:v>Expansion discovery</x:v>
      </x:c>
      <x:c r="F54" s="17" t="str">
        <x:f>IF(E54="Pilot now",IF(P54&gt;=84,"P1",IF(P54&gt;=72,"P2","P3")),IF(E54="Expansion discovery",IF(Q54&gt;=88,"D1",IF(Q54&gt;=78,"D2","D3")),IF(E54="Later / requirements","L","Legacy")))</x:f>
        <x:v>D1</x:v>
      </x:c>
      <x:c r="G54" s="14" t="str">
        <x:v>baetbuilding.com.ua</x:v>
      </x:c>
      <x:c r="H54" s="14" t="str">
        <x:v>Discovery — частково Н.15 + вимоги проєкту</x:v>
      </x:c>
      <x:c r="I54" s="16" t="n">
        <x:v>4</x:v>
      </x:c>
      <x:c r="J54" s="16" t="n">
        <x:v>5</x:v>
      </x:c>
      <x:c r="K54" s="16" t="n">
        <x:v>4</x:v>
      </x:c>
      <x:c r="L54" s="16" t="n">
        <x:v>4</x:v>
      </x:c>
      <x:c r="M54" s="16" t="n">
        <x:v>5</x:v>
      </x:c>
      <x:c r="N54" s="16" t="n">
        <x:v>5</x:v>
      </x:c>
      <x:c r="O54" s="16" t="n">
        <x:v>5</x:v>
      </x:c>
      <x:c r="P54" s="16" t="n">
        <x:f>IF(COUNT(I54:O54)&lt;7,"",I54*8+J54*3+K54*2+L54*2+M54*2+N54*2+O54)</x:f>
        <x:v>88</x:v>
      </x:c>
      <x:c r="Q54" s="16" t="n">
        <x:f>IF(COUNT(J54:O54)&lt;6,"",J54*5+K54*4+M54*4+L54*3+N54*2+O54*2)</x:f>
        <x:v>93</x:v>
      </x:c>
      <x:c r="R54" s="14" t="str">
        <x:v>high</x:v>
      </x:c>
      <x:c r="S54" s="14" t="str">
        <x:v>official_source_reverified</x:v>
      </x:c>
      <x:c r="T54" s="14" t="str">
        <x:v>official_source_reachable</x:v>
      </x:c>
      <x:c r="U54" s="14" t="str">
        <x:v>Новий — не контактували</x:v>
      </x:c>
      <x:c r="V54" s="15" t="str">
        <x:v>Discovery-call: перевірити процес і отримати вимоги конкретного проєкту</x:v>
      </x:c>
      <x:c r="W54" s="15" t="str">
        <x:v>Директор; главный инженер / ПТО</x:v>
      </x:c>
      <x:c r="X54" s="15" t="str">
        <x:v>Десятки противопожарных объектов: водяное/газовое пожаротушение, сигнализация, дымоудаление, автоматика и молниезащита.</x:v>
      </x:c>
      <x:c r="Y54" s="15" t="str">
        <x:v>Можно начать с труб, арматуры, автоматики и кабелей, не обещая полную пожарную нормативную библиотеку.</x:v>
      </x:c>
      <x:c r="Z54" s="15" t="str">
        <x:v>https://baetbuilding.com.ua/</x:v>
      </x:c>
      <x:c r="AA54" s="14" t="str"/>
      <x:c r="AB54" s="14" t="str">
        <x:v>2026-08-24</x:v>
      </x:c>
      <x:c r="AC54" s="14" t="str">
        <x:v>Олександр</x:v>
      </x:c>
      <x:c r="AD54" s="18" t="str"/>
      <x:c r="AE54" s="14" t="str"/>
    </x:row>
    <x:row r="55">
      <x:c r="A55" s="14" t="str">
        <x:v>AUG-040</x:v>
      </x:c>
      <x:c r="B55" s="14" t="str">
        <x:v>Перевірено 51 — 24.08</x:v>
      </x:c>
      <x:c r="C55" s="14" t="str">
        <x:v>СПС-А</x:v>
      </x:c>
      <x:c r="D55" s="14" t="str">
        <x:v>Пожежна безпека + охорона</x:v>
      </x:c>
      <x:c r="E55" s="14" t="str">
        <x:v>Expansion discovery</x:v>
      </x:c>
      <x:c r="F55" s="17" t="str">
        <x:f>IF(E55="Pilot now",IF(P55&gt;=84,"P1",IF(P55&gt;=72,"P2","P3")),IF(E55="Expansion discovery",IF(Q55&gt;=88,"D1",IF(Q55&gt;=78,"D2","D3")),IF(E55="Later / requirements","L","Legacy")))</x:f>
        <x:v>D1</x:v>
      </x:c>
      <x:c r="G55" s="14" t="str">
        <x:v>sps-a.com.ua</x:v>
      </x:c>
      <x:c r="H55" s="14" t="str">
        <x:v>Discovery — частково Н.15 + вимоги проєкту</x:v>
      </x:c>
      <x:c r="I55" s="16" t="n">
        <x:v>4</x:v>
      </x:c>
      <x:c r="J55" s="16" t="n">
        <x:v>5</x:v>
      </x:c>
      <x:c r="K55" s="16" t="n">
        <x:v>4</x:v>
      </x:c>
      <x:c r="L55" s="16" t="n">
        <x:v>4</x:v>
      </x:c>
      <x:c r="M55" s="16" t="n">
        <x:v>5</x:v>
      </x:c>
      <x:c r="N55" s="16" t="n">
        <x:v>5</x:v>
      </x:c>
      <x:c r="O55" s="16" t="n">
        <x:v>5</x:v>
      </x:c>
      <x:c r="P55" s="16" t="n">
        <x:f>IF(COUNT(I55:O55)&lt;7,"",I55*8+J55*3+K55*2+L55*2+M55*2+N55*2+O55)</x:f>
        <x:v>88</x:v>
      </x:c>
      <x:c r="Q55" s="16" t="n">
        <x:f>IF(COUNT(J55:O55)&lt;6,"",J55*5+K55*4+M55*4+L55*3+N55*2+O55*2)</x:f>
        <x:v>93</x:v>
      </x:c>
      <x:c r="R55" s="14" t="str">
        <x:v>high</x:v>
      </x:c>
      <x:c r="S55" s="14" t="str">
        <x:v>official_source_reverified</x:v>
      </x:c>
      <x:c r="T55" s="14" t="str">
        <x:v>official_source_reachable</x:v>
      </x:c>
      <x:c r="U55" s="14" t="str">
        <x:v>Новий — не контактували</x:v>
      </x:c>
      <x:c r="V55" s="15" t="str">
        <x:v>Discovery-call: перевірити процес і отримати вимоги конкретного проєкту</x:v>
      </x:c>
      <x:c r="W55" s="15" t="str">
        <x:v>Директор; руководитель проектов</x:v>
      </x:c>
      <x:c r="X55" s="15" t="str">
        <x:v>Сертифицированная команда, коммерческие и промышленные объекты, полный цикл до ввода в эксплуатацию.</x:v>
      </x:c>
      <x:c r="Y55" s="15" t="str">
        <x:v>Кабельные шлейфы и автоматика подходят для пилота; пожаротушение потребует проектных требований.</x:v>
      </x:c>
      <x:c r="Z55" s="15" t="str">
        <x:v>https://www.sps-a.com.ua/</x:v>
      </x:c>
      <x:c r="AA55" s="14" t="str"/>
      <x:c r="AB55" s="14" t="str">
        <x:v>2026-08-24</x:v>
      </x:c>
      <x:c r="AC55" s="14" t="str">
        <x:v>Олександр</x:v>
      </x:c>
      <x:c r="AD55" s="18" t="str"/>
      <x:c r="AE55" s="14" t="str"/>
    </x:row>
    <x:row r="56">
      <x:c r="A56" s="14" t="str">
        <x:v>AUG-020</x:v>
      </x:c>
      <x:c r="B56" s="14" t="str">
        <x:v>Перевірено 51 — 24.08</x:v>
      </x:c>
      <x:c r="C56" s="14" t="str">
        <x:v>Сучасна Проектна Група</x:v>
      </x:c>
      <x:c r="D56" s="14" t="str">
        <x:v>Пожежні системи</x:v>
      </x:c>
      <x:c r="E56" s="14" t="str">
        <x:v>Expansion discovery</x:v>
      </x:c>
      <x:c r="F56" s="17" t="str">
        <x:f>IF(E56="Pilot now",IF(P56&gt;=84,"P1",IF(P56&gt;=72,"P2","P3")),IF(E56="Expansion discovery",IF(Q56&gt;=88,"D1",IF(Q56&gt;=78,"D2","D3")),IF(E56="Later / requirements","L","Legacy")))</x:f>
        <x:v>D1</x:v>
      </x:c>
      <x:c r="G56" s="14" t="str">
        <x:v>s-p-g.com.ua</x:v>
      </x:c>
      <x:c r="H56" s="14" t="str">
        <x:v>Discovery — частково Н.15 + вимоги проєкту</x:v>
      </x:c>
      <x:c r="I56" s="16" t="n">
        <x:v>4</x:v>
      </x:c>
      <x:c r="J56" s="16" t="n">
        <x:v>5</x:v>
      </x:c>
      <x:c r="K56" s="16" t="n">
        <x:v>4</x:v>
      </x:c>
      <x:c r="L56" s="16" t="n">
        <x:v>4</x:v>
      </x:c>
      <x:c r="M56" s="16" t="n">
        <x:v>5</x:v>
      </x:c>
      <x:c r="N56" s="16" t="n">
        <x:v>5</x:v>
      </x:c>
      <x:c r="O56" s="16" t="n">
        <x:v>5</x:v>
      </x:c>
      <x:c r="P56" s="16" t="n">
        <x:f>IF(COUNT(I56:O56)&lt;7,"",I56*8+J56*3+K56*2+L56*2+M56*2+N56*2+O56)</x:f>
        <x:v>88</x:v>
      </x:c>
      <x:c r="Q56" s="16" t="n">
        <x:f>IF(COUNT(J56:O56)&lt;6,"",J56*5+K56*4+M56*4+L56*3+N56*2+O56*2)</x:f>
        <x:v>93</x:v>
      </x:c>
      <x:c r="R56" s="14" t="str">
        <x:v>high</x:v>
      </x:c>
      <x:c r="S56" s="14" t="str">
        <x:v>official_source_reverified</x:v>
      </x:c>
      <x:c r="T56" s="14" t="str">
        <x:v>official_source_reachable</x:v>
      </x:c>
      <x:c r="U56" s="14" t="str">
        <x:v>Новий — не контактували</x:v>
      </x:c>
      <x:c r="V56" s="15" t="str">
        <x:v>Discovery-call: перевірити процес і отримати вимоги конкретного проєкту</x:v>
      </x:c>
      <x:c r="W56" s="15" t="str">
        <x:v>Директор; руководитель проектного отдела</x:v>
      </x:c>
      <x:c r="X56" s="15" t="str">
        <x:v>Десятки противопожарных проектов по Украине, комплексное проектирование, реконструкция и внедрение.</x:v>
      </x:c>
      <x:c r="Y56" s="15" t="str">
        <x:v>Проектная дисциплина и инспекционные требования делают полноту доказательств важной, но потребуется их рабочая документация.</x:v>
      </x:c>
      <x:c r="Z56" s="15" t="str">
        <x:v>https://s-p-g.com.ua/projects</x:v>
      </x:c>
      <x:c r="AA56" s="14" t="str"/>
      <x:c r="AB56" s="14" t="str">
        <x:v>2026-08-24</x:v>
      </x:c>
      <x:c r="AC56" s="14" t="str">
        <x:v>Олександр</x:v>
      </x:c>
      <x:c r="AD56" s="18" t="str"/>
      <x:c r="AE56" s="14" t="str"/>
    </x:row>
    <x:row r="57">
      <x:c r="A57" s="14" t="str">
        <x:v>AUG-036</x:v>
      </x:c>
      <x:c r="B57" s="14" t="str">
        <x:v>Перевірено 51 — 24.08</x:v>
      </x:c>
      <x:c r="C57" s="14" t="str">
        <x:v>Терра Фірма Плюс</x:v>
      </x:c>
      <x:c r="D57" s="14" t="str">
        <x:v>Пожежні системи + HVAC + електрика</x:v>
      </x:c>
      <x:c r="E57" s="14" t="str">
        <x:v>Expansion discovery</x:v>
      </x:c>
      <x:c r="F57" s="17" t="str">
        <x:f>IF(E57="Pilot now",IF(P57&gt;=84,"P1",IF(P57&gt;=72,"P2","P3")),IF(E57="Expansion discovery",IF(Q57&gt;=88,"D1",IF(Q57&gt;=78,"D2","D3")),IF(E57="Later / requirements","L","Legacy")))</x:f>
        <x:v>D1</x:v>
      </x:c>
      <x:c r="G57" s="14" t="str">
        <x:v>terra-plus.com.ua</x:v>
      </x:c>
      <x:c r="H57" s="14" t="str">
        <x:v>Discovery — частково Н.15 + вимоги проєкту</x:v>
      </x:c>
      <x:c r="I57" s="16" t="n">
        <x:v>4</x:v>
      </x:c>
      <x:c r="J57" s="16" t="n">
        <x:v>5</x:v>
      </x:c>
      <x:c r="K57" s="16" t="n">
        <x:v>4</x:v>
      </x:c>
      <x:c r="L57" s="16" t="n">
        <x:v>5</x:v>
      </x:c>
      <x:c r="M57" s="16" t="n">
        <x:v>5</x:v>
      </x:c>
      <x:c r="N57" s="16" t="n">
        <x:v>5</x:v>
      </x:c>
      <x:c r="O57" s="16" t="n">
        <x:v>2</x:v>
      </x:c>
      <x:c r="P57" s="16" t="n">
        <x:f>IF(COUNT(I57:O57)&lt;7,"",I57*8+J57*3+K57*2+L57*2+M57*2+N57*2+O57)</x:f>
        <x:v>87</x:v>
      </x:c>
      <x:c r="Q57" s="16" t="n">
        <x:f>IF(COUNT(J57:O57)&lt;6,"",J57*5+K57*4+M57*4+L57*3+N57*2+O57*2)</x:f>
        <x:v>90</x:v>
      </x:c>
      <x:c r="R57" s="14" t="str">
        <x:v>high</x:v>
      </x:c>
      <x:c r="S57" s="14" t="str">
        <x:v>official_content_reverified_via_search_index</x:v>
      </x:c>
      <x:c r="T57" s="14" t="str">
        <x:v>live_site_redirects_to_hosting_panel</x:v>
      </x:c>
      <x:c r="U57" s="14" t="str">
        <x:v>Новий — не контактували</x:v>
      </x:c>
      <x:c r="V57" s="15" t="str">
        <x:v>Discovery-call: перевірити процес і отримати вимоги конкретного проєкту</x:v>
      </x:c>
      <x:c r="W57" s="15" t="str">
        <x:v>Директор; главный инженер / ПТО</x:v>
      </x:c>
      <x:c r="X57" s="15" t="str">
        <x:v>Портфолио крупных объектов: пожаротушение, дымоудаление, вентиляция, заземление и пожарная сигнализация.</x:v>
      </x:c>
      <x:c r="Y57" s="15" t="str">
        <x:v>Большое число скрытых инженерных контуров; начинать с поддержанных Н.14/Н.15 работ.</x:v>
      </x:c>
      <x:c r="Z57" s="15" t="str">
        <x:v>https://terra-plus.com.ua/about</x:v>
      </x:c>
      <x:c r="AA57" s="14" t="str"/>
      <x:c r="AB57" s="14" t="str">
        <x:v>2026-08-24</x:v>
      </x:c>
      <x:c r="AC57" s="14" t="str">
        <x:v>Олександр</x:v>
      </x:c>
      <x:c r="AD57" s="18" t="str"/>
      <x:c r="AE57" s="14" t="str"/>
    </x:row>
    <x:row r="58">
      <x:c r="A58" s="14" t="str">
        <x:v>AUG-017</x:v>
      </x:c>
      <x:c r="B58" s="14" t="str">
        <x:v>Перевірено 51 — 24.08</x:v>
      </x:c>
      <x:c r="C58" s="14" t="str">
        <x:v>ПП ЛЄДА</x:v>
      </x:c>
      <x:c r="D58" s="14" t="str">
        <x:v>Пожежні системи + HVAC</x:v>
      </x:c>
      <x:c r="E58" s="14" t="str">
        <x:v>Expansion discovery</x:v>
      </x:c>
      <x:c r="F58" s="17" t="str">
        <x:f>IF(E58="Pilot now",IF(P58&gt;=84,"P1",IF(P58&gt;=72,"P2","P3")),IF(E58="Expansion discovery",IF(Q58&gt;=88,"D1",IF(Q58&gt;=78,"D2","D3")),IF(E58="Later / requirements","L","Legacy")))</x:f>
        <x:v>D1</x:v>
      </x:c>
      <x:c r="G58" s="14" t="str">
        <x:v>leda.in.ua</x:v>
      </x:c>
      <x:c r="H58" s="14" t="str">
        <x:v>Discovery — частково Н.15 + вимоги проєкту</x:v>
      </x:c>
      <x:c r="I58" s="16" t="n">
        <x:v>4</x:v>
      </x:c>
      <x:c r="J58" s="16" t="n">
        <x:v>5</x:v>
      </x:c>
      <x:c r="K58" s="16" t="n">
        <x:v>4</x:v>
      </x:c>
      <x:c r="L58" s="16" t="n">
        <x:v>3</x:v>
      </x:c>
      <x:c r="M58" s="16" t="n">
        <x:v>5</x:v>
      </x:c>
      <x:c r="N58" s="16" t="n">
        <x:v>5</x:v>
      </x:c>
      <x:c r="O58" s="16" t="n">
        <x:v>5</x:v>
      </x:c>
      <x:c r="P58" s="16" t="n">
        <x:f>IF(COUNT(I58:O58)&lt;7,"",I58*8+J58*3+K58*2+L58*2+M58*2+N58*2+O58)</x:f>
        <x:v>86</x:v>
      </x:c>
      <x:c r="Q58" s="16" t="n">
        <x:f>IF(COUNT(J58:O58)&lt;6,"",J58*5+K58*4+M58*4+L58*3+N58*2+O58*2)</x:f>
        <x:v>90</x:v>
      </x:c>
      <x:c r="R58" s="14" t="str">
        <x:v>high</x:v>
      </x:c>
      <x:c r="S58" s="14" t="str">
        <x:v>official_source_reverified</x:v>
      </x:c>
      <x:c r="T58" s="14" t="str">
        <x:v>official_source_reachable</x:v>
      </x:c>
      <x:c r="U58" s="14" t="str">
        <x:v>Новий — не контактували</x:v>
      </x:c>
      <x:c r="V58" s="15" t="str">
        <x:v>Discovery-call: перевірити процес і отримати вимоги конкретного проєкту</x:v>
      </x:c>
      <x:c r="W58" s="15" t="str">
        <x:v>Директор; главный инженер</x:v>
      </x:c>
      <x:c r="X58" s="15" t="str">
        <x:v>Сертифицированные инженеры и монтажники, полный цикл пожарных систем и вентиляции до ввода в эксплуатацию.</x:v>
      </x:c>
      <x:c r="Y58" s="15" t="str">
        <x:v>Связка вентиляции, автоматики и кабелей даёт несколько контрольных точек, но нужен пилотный subset.</x:v>
      </x:c>
      <x:c r="Z58" s="15" t="str">
        <x:v>https://leda.in.ua/</x:v>
      </x:c>
      <x:c r="AA58" s="14" t="str"/>
      <x:c r="AB58" s="14" t="str">
        <x:v>2026-08-24</x:v>
      </x:c>
      <x:c r="AC58" s="14" t="str">
        <x:v>Олександр</x:v>
      </x:c>
      <x:c r="AD58" s="18" t="str"/>
      <x:c r="AE58" s="14" t="str"/>
    </x:row>
    <x:row r="59">
      <x:c r="A59" s="14" t="str">
        <x:v>AUG-019</x:v>
      </x:c>
      <x:c r="B59" s="14" t="str">
        <x:v>Перевірено 51 — 24.08</x:v>
      </x:c>
      <x:c r="C59" s="14" t="str">
        <x:v>SM-STANDARD</x:v>
      </x:c>
      <x:c r="D59" s="14" t="str">
        <x:v>Безпека + пожежні + слаботочка</x:v>
      </x:c>
      <x:c r="E59" s="14" t="str">
        <x:v>Expansion discovery</x:v>
      </x:c>
      <x:c r="F59" s="17" t="str">
        <x:f>IF(E59="Pilot now",IF(P59&gt;=84,"P1",IF(P59&gt;=72,"P2","P3")),IF(E59="Expansion discovery",IF(Q59&gt;=88,"D1",IF(Q59&gt;=78,"D2","D3")),IF(E59="Later / requirements","L","Legacy")))</x:f>
        <x:v>D1</x:v>
      </x:c>
      <x:c r="G59" s="14" t="str">
        <x:v>smstandard.com.ua</x:v>
      </x:c>
      <x:c r="H59" s="14" t="str">
        <x:v>Discovery — частково Н.15 + вимоги проєкту</x:v>
      </x:c>
      <x:c r="I59" s="16" t="n">
        <x:v>4</x:v>
      </x:c>
      <x:c r="J59" s="16" t="n">
        <x:v>5</x:v>
      </x:c>
      <x:c r="K59" s="16" t="n">
        <x:v>4</x:v>
      </x:c>
      <x:c r="L59" s="16" t="n">
        <x:v>4</x:v>
      </x:c>
      <x:c r="M59" s="16" t="n">
        <x:v>4</x:v>
      </x:c>
      <x:c r="N59" s="16" t="n">
        <x:v>5</x:v>
      </x:c>
      <x:c r="O59" s="16" t="n">
        <x:v>5</x:v>
      </x:c>
      <x:c r="P59" s="16" t="n">
        <x:f>IF(COUNT(I59:O59)&lt;7,"",I59*8+J59*3+K59*2+L59*2+M59*2+N59*2+O59)</x:f>
        <x:v>86</x:v>
      </x:c>
      <x:c r="Q59" s="16" t="n">
        <x:f>IF(COUNT(J59:O59)&lt;6,"",J59*5+K59*4+M59*4+L59*3+N59*2+O59*2)</x:f>
        <x:v>89</x:v>
      </x:c>
      <x:c r="R59" s="14" t="str">
        <x:v>high</x:v>
      </x:c>
      <x:c r="S59" s="14" t="str">
        <x:v>official_source_reverified</x:v>
      </x:c>
      <x:c r="T59" s="14" t="str">
        <x:v>official_source_reachable</x:v>
      </x:c>
      <x:c r="U59" s="14" t="str">
        <x:v>Новий — не контактували</x:v>
      </x:c>
      <x:c r="V59" s="15" t="str">
        <x:v>Discovery-call: перевірити процес і отримати вимоги конкретного проєкту</x:v>
      </x:c>
      <x:c r="W59" s="15" t="str">
        <x:v>Директор; руководитель проектов</x:v>
      </x:c>
      <x:c r="X59" s="15" t="str">
        <x:v>Комплексные системы безопасности и портфолио проектов для крупных государственных и коммерческих объектов.</x:v>
      </x:c>
      <x:c r="Y59" s="15" t="str">
        <x:v>Много кабельных линий и конечных точек создают риск неполной фиксации до отделки.</x:v>
      </x:c>
      <x:c r="Z59" s="15" t="str">
        <x:v>https://www.smstandard.com.ua/</x:v>
      </x:c>
      <x:c r="AA59" s="14" t="str"/>
      <x:c r="AB59" s="14" t="str">
        <x:v>2026-08-24</x:v>
      </x:c>
      <x:c r="AC59" s="14" t="str">
        <x:v>Олександр</x:v>
      </x:c>
      <x:c r="AD59" s="18" t="str"/>
      <x:c r="AE59" s="14" t="str"/>
    </x:row>
    <x:row r="60">
      <x:c r="A60" s="14" t="str">
        <x:v>EXP-062</x:v>
      </x:c>
      <x:c r="B60" s="14" t="str">
        <x:v>Розширення ніш — 24.08</x:v>
      </x:c>
      <x:c r="C60" s="14" t="str">
        <x:v>ATM Pool</x:v>
      </x:c>
      <x:c r="D60" s="14" t="str">
        <x:v>Басейни, водні комплекси та SPA</x:v>
      </x:c>
      <x:c r="E60" s="14" t="str">
        <x:v>Expansion discovery</x:v>
      </x:c>
      <x:c r="F60" s="17" t="str">
        <x:f>IF(E60="Pilot now",IF(P60&gt;=84,"P1",IF(P60&gt;=72,"P2","P3")),IF(E60="Expansion discovery",IF(Q60&gt;=88,"D1",IF(Q60&gt;=78,"D2","D3")),IF(E60="Later / requirements","L","Legacy")))</x:f>
        <x:v>D1</x:v>
      </x:c>
      <x:c r="G60" s="14" t="str">
        <x:v>atmpool.com</x:v>
      </x:c>
      <x:c r="H60" s="14" t="str">
        <x:v>Discovery — частково Н.14/Н.15 + вимоги проєкту</x:v>
      </x:c>
      <x:c r="I60" s="16" t="n">
        <x:v>3</x:v>
      </x:c>
      <x:c r="J60" s="16" t="n">
        <x:v>5</x:v>
      </x:c>
      <x:c r="K60" s="16" t="n">
        <x:v>5</x:v>
      </x:c>
      <x:c r="L60" s="16" t="n">
        <x:v>5</x:v>
      </x:c>
      <x:c r="M60" s="16" t="n">
        <x:v>5</x:v>
      </x:c>
      <x:c r="N60" s="16" t="n">
        <x:v>5</x:v>
      </x:c>
      <x:c r="O60" s="16" t="n">
        <x:v>5</x:v>
      </x:c>
      <x:c r="P60" s="16" t="n">
        <x:f>IF(COUNT(I60:O60)&lt;7,"",I60*8+J60*3+K60*2+L60*2+M60*2+N60*2+O60)</x:f>
        <x:v>84</x:v>
      </x:c>
      <x:c r="Q60" s="16" t="n">
        <x:f>IF(COUNT(J60:O60)&lt;6,"",J60*5+K60*4+M60*4+L60*3+N60*2+O60*2)</x:f>
        <x:v>100</x:v>
      </x:c>
      <x:c r="R60" s="14" t="str">
        <x:v>high</x:v>
      </x:c>
      <x:c r="S60" s="14" t="str">
        <x:v>official_source_reverified</x:v>
      </x:c>
      <x:c r="T60" s="14" t="str">
        <x:v>official_source_reachable</x:v>
      </x:c>
      <x:c r="U60" s="14" t="str">
        <x:v>Новий — не контактували</x:v>
      </x:c>
      <x:c r="V60" s="15" t="str">
        <x:v>Discovery-call: отримати 1 реальний артефакт і вимоги проєкту; не обіцяти готове покриття</x:v>
      </x:c>
      <x:c r="W60" s="15" t="str">
        <x:v>Власник / директор; керівник будівництва; головний інженер</x:v>
      </x:c>
      <x:c r="X60" s="15" t="str">
        <x:v>30+ років у громадських і спортивних басейнах; проєктування, монтаж, реконструкція й сервіс.</x:v>
      </x:c>
      <x:c r="Y60" s="15" t="str">
        <x:v>Закладні, трубопроводи, гідроізоляція, електрика й автоматика закриваються чашею та оздобленням.</x:v>
      </x:c>
      <x:c r="Z60" s="15" t="str">
        <x:v>https://atmpool.com/</x:v>
      </x:c>
      <x:c r="AA60" s="14" t="str"/>
      <x:c r="AB60" s="14" t="str">
        <x:v>2026-08-24</x:v>
      </x:c>
      <x:c r="AC60" s="14" t="str">
        <x:v>Олександр</x:v>
      </x:c>
      <x:c r="AD60" s="18" t="str"/>
      <x:c r="AE60" s="14" t="str"/>
    </x:row>
    <x:row r="61">
      <x:c r="A61" s="14" t="str">
        <x:v>EXP-045</x:v>
      </x:c>
      <x:c r="B61" s="14" t="str">
        <x:v>Розширення ніш — 24.08</x:v>
      </x:c>
      <x:c r="C61" s="14" t="str">
        <x:v>C&amp;S</x:v>
      </x:c>
      <x:c r="D61" s="14" t="str">
        <x:v>СКС, BMS та слаботочна інтеграція</x:v>
      </x:c>
      <x:c r="E61" s="14" t="str">
        <x:v>Expansion discovery</x:v>
      </x:c>
      <x:c r="F61" s="17" t="str">
        <x:f>IF(E61="Pilot now",IF(P61&gt;=84,"P1",IF(P61&gt;=72,"P2","P3")),IF(E61="Expansion discovery",IF(Q61&gt;=88,"D1",IF(Q61&gt;=78,"D2","D3")),IF(E61="Later / requirements","L","Legacy")))</x:f>
        <x:v>D1</x:v>
      </x:c>
      <x:c r="G61" s="14" t="str">
        <x:v>cs-ua.com</x:v>
      </x:c>
      <x:c r="H61" s="14" t="str">
        <x:v>Discovery — частково Н.15 + вимоги проєкту</x:v>
      </x:c>
      <x:c r="I61" s="16" t="n">
        <x:v>3</x:v>
      </x:c>
      <x:c r="J61" s="16" t="n">
        <x:v>5</x:v>
      </x:c>
      <x:c r="K61" s="16" t="n">
        <x:v>5</x:v>
      </x:c>
      <x:c r="L61" s="16" t="n">
        <x:v>5</x:v>
      </x:c>
      <x:c r="M61" s="16" t="n">
        <x:v>5</x:v>
      </x:c>
      <x:c r="N61" s="16" t="n">
        <x:v>5</x:v>
      </x:c>
      <x:c r="O61" s="16" t="n">
        <x:v>5</x:v>
      </x:c>
      <x:c r="P61" s="16" t="n">
        <x:f>IF(COUNT(I61:O61)&lt;7,"",I61*8+J61*3+K61*2+L61*2+M61*2+N61*2+O61)</x:f>
        <x:v>84</x:v>
      </x:c>
      <x:c r="Q61" s="16" t="n">
        <x:f>IF(COUNT(J61:O61)&lt;6,"",J61*5+K61*4+M61*4+L61*3+N61*2+O61*2)</x:f>
        <x:v>100</x:v>
      </x:c>
      <x:c r="R61" s="14" t="str">
        <x:v>medium</x:v>
      </x:c>
      <x:c r="S61" s="14" t="str">
        <x:v>reachable_relevant_recheck</x:v>
      </x:c>
      <x:c r="T61" s="14" t="str">
        <x:v>official_source_reachable</x:v>
      </x:c>
      <x:c r="U61" s="14" t="str">
        <x:v>Новий — не контактували</x:v>
      </x:c>
      <x:c r="V61" s="15" t="str">
        <x:v>Discovery-call: отримати 1 реальний артефакт і вимоги проєкту; не обіцяти готове покриття</x:v>
      </x:c>
      <x:c r="W61" s="15" t="str">
        <x:v>Власник / комерційний директор; керівник проєктів; ПТО</x:v>
      </x:c>
      <x:c r="X61" s="15" t="str">
        <x:v>220+ проєктів СКС для промислової, комерційної та житлової нерухомості.</x:v>
      </x:c>
      <x:c r="Y61" s="15" t="str">
        <x:v>Кабельні траси над стелями, маркування, тестування портів і пусконалагодження мають бути доведені до закриття та здачі системи.</x:v>
      </x:c>
      <x:c r="Z61" s="15" t="str">
        <x:v>https://cs-ua.com/</x:v>
      </x:c>
      <x:c r="AA61" s="14" t="str"/>
      <x:c r="AB61" s="14" t="str">
        <x:v>2026-08-24</x:v>
      </x:c>
      <x:c r="AC61" s="14" t="str">
        <x:v>Олександр</x:v>
      </x:c>
      <x:c r="AD61" s="18" t="str"/>
      <x:c r="AE61" s="14" t="str"/>
    </x:row>
    <x:row r="62">
      <x:c r="A62" s="14" t="str">
        <x:v>EXP-049</x:v>
      </x:c>
      <x:c r="B62" s="14" t="str">
        <x:v>Розширення ніш — 24.08</x:v>
      </x:c>
      <x:c r="C62" s="14" t="str">
        <x:v>EA Solutions</x:v>
      </x:c>
      <x:c r="D62" s="14" t="str">
        <x:v>СКС, BMS та слаботочна інтеграція</x:v>
      </x:c>
      <x:c r="E62" s="14" t="str">
        <x:v>Expansion discovery</x:v>
      </x:c>
      <x:c r="F62" s="17" t="str">
        <x:f>IF(E62="Pilot now",IF(P62&gt;=84,"P1",IF(P62&gt;=72,"P2","P3")),IF(E62="Expansion discovery",IF(Q62&gt;=88,"D1",IF(Q62&gt;=78,"D2","D3")),IF(E62="Later / requirements","L","Legacy")))</x:f>
        <x:v>D1</x:v>
      </x:c>
      <x:c r="G62" s="14" t="str">
        <x:v>easolutions.com.ua</x:v>
      </x:c>
      <x:c r="H62" s="14" t="str">
        <x:v>Discovery — частково Н.15 + вимоги проєкту</x:v>
      </x:c>
      <x:c r="I62" s="16" t="n">
        <x:v>3</x:v>
      </x:c>
      <x:c r="J62" s="16" t="n">
        <x:v>5</x:v>
      </x:c>
      <x:c r="K62" s="16" t="n">
        <x:v>5</x:v>
      </x:c>
      <x:c r="L62" s="16" t="n">
        <x:v>5</x:v>
      </x:c>
      <x:c r="M62" s="16" t="n">
        <x:v>5</x:v>
      </x:c>
      <x:c r="N62" s="16" t="n">
        <x:v>5</x:v>
      </x:c>
      <x:c r="O62" s="16" t="n">
        <x:v>5</x:v>
      </x:c>
      <x:c r="P62" s="16" t="n">
        <x:f>IF(COUNT(I62:O62)&lt;7,"",I62*8+J62*3+K62*2+L62*2+M62*2+N62*2+O62)</x:f>
        <x:v>84</x:v>
      </x:c>
      <x:c r="Q62" s="16" t="n">
        <x:f>IF(COUNT(J62:O62)&lt;6,"",J62*5+K62*4+M62*4+L62*3+N62*2+O62*2)</x:f>
        <x:v>100</x:v>
      </x:c>
      <x:c r="R62" s="14" t="str">
        <x:v>high</x:v>
      </x:c>
      <x:c r="S62" s="14" t="str">
        <x:v>official_source_reverified</x:v>
      </x:c>
      <x:c r="T62" s="14" t="str">
        <x:v>official_source_reachable</x:v>
      </x:c>
      <x:c r="U62" s="14" t="str">
        <x:v>Новий — не контактували</x:v>
      </x:c>
      <x:c r="V62" s="15" t="str">
        <x:v>Discovery-call: отримати 1 реальний артефакт і вимоги проєкту; не обіцяти готове покриття</x:v>
      </x:c>
      <x:c r="W62" s="15" t="str">
        <x:v>Власник / комерційний директор; керівник проєктів; ПТО</x:v>
      </x:c>
      <x:c r="X62" s="15" t="str">
        <x:v>Промислова автоматизація, електрозабезпечення, HVAC, телемеханіка й СКС у багатьох галузях.</x:v>
      </x:c>
      <x:c r="Y62" s="15" t="str">
        <x:v>Кабельні траси над стелями, маркування, тестування портів і пусконалагодження мають бути доведені до закриття та здачі системи.</x:v>
      </x:c>
      <x:c r="Z62" s="15" t="str">
        <x:v>https://easolutions.com.ua/projects/</x:v>
      </x:c>
      <x:c r="AA62" s="14" t="str"/>
      <x:c r="AB62" s="14" t="str">
        <x:v>2026-08-24</x:v>
      </x:c>
      <x:c r="AC62" s="14" t="str">
        <x:v>Олександр</x:v>
      </x:c>
      <x:c r="AD62" s="18" t="str"/>
      <x:c r="AE62" s="14" t="str"/>
    </x:row>
    <x:row r="63">
      <x:c r="A63" s="14" t="str">
        <x:v>EXP-047</x:v>
      </x:c>
      <x:c r="B63" s="14" t="str">
        <x:v>Розширення ніш — 24.08</x:v>
      </x:c>
      <x:c r="C63" s="14" t="str">
        <x:v>MatiasBud</x:v>
      </x:c>
      <x:c r="D63" s="14" t="str">
        <x:v>СКС, BMS та слаботочна інтеграція</x:v>
      </x:c>
      <x:c r="E63" s="14" t="str">
        <x:v>Expansion discovery</x:v>
      </x:c>
      <x:c r="F63" s="17" t="str">
        <x:f>IF(E63="Pilot now",IF(P63&gt;=84,"P1",IF(P63&gt;=72,"P2","P3")),IF(E63="Expansion discovery",IF(Q63&gt;=88,"D1",IF(Q63&gt;=78,"D2","D3")),IF(E63="Later / requirements","L","Legacy")))</x:f>
        <x:v>D1</x:v>
      </x:c>
      <x:c r="G63" s="14" t="str">
        <x:v>matiasbud.com.ua</x:v>
      </x:c>
      <x:c r="H63" s="14" t="str">
        <x:v>Discovery — частково Н.15 + вимоги проєкту</x:v>
      </x:c>
      <x:c r="I63" s="16" t="n">
        <x:v>3</x:v>
      </x:c>
      <x:c r="J63" s="16" t="n">
        <x:v>5</x:v>
      </x:c>
      <x:c r="K63" s="16" t="n">
        <x:v>5</x:v>
      </x:c>
      <x:c r="L63" s="16" t="n">
        <x:v>5</x:v>
      </x:c>
      <x:c r="M63" s="16" t="n">
        <x:v>5</x:v>
      </x:c>
      <x:c r="N63" s="16" t="n">
        <x:v>5</x:v>
      </x:c>
      <x:c r="O63" s="16" t="n">
        <x:v>5</x:v>
      </x:c>
      <x:c r="P63" s="16" t="n">
        <x:f>IF(COUNT(I63:O63)&lt;7,"",I63*8+J63*3+K63*2+L63*2+M63*2+N63*2+O63)</x:f>
        <x:v>84</x:v>
      </x:c>
      <x:c r="Q63" s="16" t="n">
        <x:f>IF(COUNT(J63:O63)&lt;6,"",J63*5+K63*4+M63*4+L63*3+N63*2+O63*2)</x:f>
        <x:v>100</x:v>
      </x:c>
      <x:c r="R63" s="14" t="str">
        <x:v>high</x:v>
      </x:c>
      <x:c r="S63" s="14" t="str">
        <x:v>official_source_reverified</x:v>
      </x:c>
      <x:c r="T63" s="14" t="str">
        <x:v>official_source_reachable</x:v>
      </x:c>
      <x:c r="U63" s="14" t="str">
        <x:v>Новий — не контактували</x:v>
      </x:c>
      <x:c r="V63" s="15" t="str">
        <x:v>Discovery-call: отримати 1 реальний артефакт і вимоги проєкту; не обіцяти готове покриття</x:v>
      </x:c>
      <x:c r="W63" s="15" t="str">
        <x:v>Власник / комерційний директор; керівник проєктів; ПТО</x:v>
      </x:c>
      <x:c r="X63" s="15" t="str">
        <x:v>Велике портфоліо СКС, відеонагляду й доступу для ЖК, ТРЦ, шкіл і бізнес-центрів.</x:v>
      </x:c>
      <x:c r="Y63" s="15" t="str">
        <x:v>Кабельні траси над стелями, маркування, тестування портів і пусконалагодження мають бути доведені до закриття та здачі системи.</x:v>
      </x:c>
      <x:c r="Z63" s="15" t="str">
        <x:v>https://matiasbud.com.ua/portfolio</x:v>
      </x:c>
      <x:c r="AA63" s="14" t="str"/>
      <x:c r="AB63" s="14" t="str">
        <x:v>2026-08-24</x:v>
      </x:c>
      <x:c r="AC63" s="14" t="str">
        <x:v>Олександр</x:v>
      </x:c>
      <x:c r="AD63" s="18" t="str"/>
      <x:c r="AE63" s="14" t="str"/>
    </x:row>
    <x:row r="64">
      <x:c r="A64" s="14" t="str">
        <x:v>EXP-053</x:v>
      </x:c>
      <x:c r="B64" s="14" t="str">
        <x:v>Розширення ніш — 24.08</x:v>
      </x:c>
      <x:c r="C64" s="14" t="str">
        <x:v>POLIKOR</x:v>
      </x:c>
      <x:c r="D64" s="14" t="str">
        <x:v>Чисті приміщення та стерильні зони</x:v>
      </x:c>
      <x:c r="E64" s="14" t="str">
        <x:v>Expansion discovery</x:v>
      </x:c>
      <x:c r="F64" s="17" t="str">
        <x:f>IF(E64="Pilot now",IF(P64&gt;=84,"P1",IF(P64&gt;=72,"P2","P3")),IF(E64="Expansion discovery",IF(Q64&gt;=88,"D1",IF(Q64&gt;=78,"D2","D3")),IF(E64="Later / requirements","L","Legacy")))</x:f>
        <x:v>D1</x:v>
      </x:c>
      <x:c r="G64" s="14" t="str">
        <x:v>polikor.com.ua</x:v>
      </x:c>
      <x:c r="H64" s="14" t="str">
        <x:v>Discovery — частково Н.14/Н.15 + вимоги проєкту</x:v>
      </x:c>
      <x:c r="I64" s="16" t="n">
        <x:v>3</x:v>
      </x:c>
      <x:c r="J64" s="16" t="n">
        <x:v>5</x:v>
      </x:c>
      <x:c r="K64" s="16" t="n">
        <x:v>5</x:v>
      </x:c>
      <x:c r="L64" s="16" t="n">
        <x:v>5</x:v>
      </x:c>
      <x:c r="M64" s="16" t="n">
        <x:v>5</x:v>
      </x:c>
      <x:c r="N64" s="16" t="n">
        <x:v>5</x:v>
      </x:c>
      <x:c r="O64" s="16" t="n">
        <x:v>5</x:v>
      </x:c>
      <x:c r="P64" s="16" t="n">
        <x:f>IF(COUNT(I64:O64)&lt;7,"",I64*8+J64*3+K64*2+L64*2+M64*2+N64*2+O64)</x:f>
        <x:v>84</x:v>
      </x:c>
      <x:c r="Q64" s="16" t="n">
        <x:f>IF(COUNT(J64:O64)&lt;6,"",J64*5+K64*4+M64*4+L64*3+N64*2+O64*2)</x:f>
        <x:v>100</x:v>
      </x:c>
      <x:c r="R64" s="14" t="str">
        <x:v>high</x:v>
      </x:c>
      <x:c r="S64" s="14" t="str">
        <x:v>official_source_reverified</x:v>
      </x:c>
      <x:c r="T64" s="14" t="str">
        <x:v>official_source_reachable</x:v>
      </x:c>
      <x:c r="U64" s="14" t="str">
        <x:v>Новий — не контактували</x:v>
      </x:c>
      <x:c r="V64" s="15" t="str">
        <x:v>Discovery-call: отримати 1 реальний артефакт і вимоги проєкту; не обіцяти готове покриття</x:v>
      </x:c>
      <x:c r="W64" s="15" t="str">
        <x:v>Комерційний директор; керівник проєктів; QA / валідація</x:v>
      </x:c>
      <x:c r="X64" s="15" t="str">
        <x:v>230+ зданих чистих приміщень; виробництво, вентиляція, автоматика й монтаж з 1993 року.</x:v>
      </x:c>
      <x:c r="Y64" s="15" t="str">
        <x:v>Герметичність огороджень, HEPA-вентиляція, автоматика й кваліфікаційні протоколи утворюють дуже насичений пакет приймання.</x:v>
      </x:c>
      <x:c r="Z64" s="15" t="str">
        <x:v>https://polikor.com.ua/</x:v>
      </x:c>
      <x:c r="AA64" s="14" t="str"/>
      <x:c r="AB64" s="14" t="str">
        <x:v>2026-08-24</x:v>
      </x:c>
      <x:c r="AC64" s="14" t="str">
        <x:v>Олександр</x:v>
      </x:c>
      <x:c r="AD64" s="18" t="str"/>
      <x:c r="AE64" s="14" t="str"/>
    </x:row>
    <x:row r="65">
      <x:c r="A65" s="14" t="str">
        <x:v>EXP-044</x:v>
      </x:c>
      <x:c r="B65" s="14" t="str">
        <x:v>Розширення ніш — 24.08</x:v>
      </x:c>
      <x:c r="C65" s="14" t="str">
        <x:v>VERNA</x:v>
      </x:c>
      <x:c r="D65" s="14" t="str">
        <x:v>СКС, BMS та слаботочна інтеграція</x:v>
      </x:c>
      <x:c r="E65" s="14" t="str">
        <x:v>Expansion discovery</x:v>
      </x:c>
      <x:c r="F65" s="17" t="str">
        <x:f>IF(E65="Pilot now",IF(P65&gt;=84,"P1",IF(P65&gt;=72,"P2","P3")),IF(E65="Expansion discovery",IF(Q65&gt;=88,"D1",IF(Q65&gt;=78,"D2","D3")),IF(E65="Later / requirements","L","Legacy")))</x:f>
        <x:v>D1</x:v>
      </x:c>
      <x:c r="G65" s="14" t="str">
        <x:v>verna.ua</x:v>
      </x:c>
      <x:c r="H65" s="14" t="str">
        <x:v>Discovery — частково Н.15 + вимоги проєкту</x:v>
      </x:c>
      <x:c r="I65" s="16" t="n">
        <x:v>3</x:v>
      </x:c>
      <x:c r="J65" s="16" t="n">
        <x:v>5</x:v>
      </x:c>
      <x:c r="K65" s="16" t="n">
        <x:v>5</x:v>
      </x:c>
      <x:c r="L65" s="16" t="n">
        <x:v>5</x:v>
      </x:c>
      <x:c r="M65" s="16" t="n">
        <x:v>5</x:v>
      </x:c>
      <x:c r="N65" s="16" t="n">
        <x:v>5</x:v>
      </x:c>
      <x:c r="O65" s="16" t="n">
        <x:v>5</x:v>
      </x:c>
      <x:c r="P65" s="16" t="n">
        <x:f>IF(COUNT(I65:O65)&lt;7,"",I65*8+J65*3+K65*2+L65*2+M65*2+N65*2+O65)</x:f>
        <x:v>84</x:v>
      </x:c>
      <x:c r="Q65" s="16" t="n">
        <x:f>IF(COUNT(J65:O65)&lt;6,"",J65*5+K65*4+M65*4+L65*3+N65*2+O65*2)</x:f>
        <x:v>100</x:v>
      </x:c>
      <x:c r="R65" s="14" t="str">
        <x:v>high</x:v>
      </x:c>
      <x:c r="S65" s="14" t="str">
        <x:v>official_source_reverified</x:v>
      </x:c>
      <x:c r="T65" s="14" t="str">
        <x:v>official_source_reachable</x:v>
      </x:c>
      <x:c r="U65" s="14" t="str">
        <x:v>Новий — не контактували</x:v>
      </x:c>
      <x:c r="V65" s="15" t="str">
        <x:v>Discovery-call: отримати 1 реальний артефакт і вимоги проєкту; не обіцяти готове покриття</x:v>
      </x:c>
      <x:c r="W65" s="15" t="str">
        <x:v>Власник / комерційний директор; керівник проєктів; ПТО</x:v>
      </x:c>
      <x:c r="X65" s="15" t="str">
        <x:v>100 000+ портів і сотні компаній; кейс 30 магазинів та 1000+ портів.</x:v>
      </x:c>
      <x:c r="Y65" s="15" t="str">
        <x:v>Кабельні траси над стелями, маркування, тестування портів і пусконалагодження мають бути доведені до закриття та здачі системи.</x:v>
      </x:c>
      <x:c r="Z65" s="15" t="str">
        <x:v>https://www.verna.ua/projects/implementation-network-eldorado</x:v>
      </x:c>
      <x:c r="AA65" s="14" t="str"/>
      <x:c r="AB65" s="14" t="str">
        <x:v>2026-08-24</x:v>
      </x:c>
      <x:c r="AC65" s="14" t="str">
        <x:v>Олександр</x:v>
      </x:c>
      <x:c r="AD65" s="18" t="str"/>
      <x:c r="AE65" s="14" t="str"/>
    </x:row>
    <x:row r="66">
      <x:c r="A66" s="14" t="str">
        <x:v>EXP-052</x:v>
      </x:c>
      <x:c r="B66" s="14" t="str">
        <x:v>Розширення ніш — 24.08</x:v>
      </x:c>
      <x:c r="C66" s="14" t="str">
        <x:v>IT-Integrator</x:v>
      </x:c>
      <x:c r="D66" s="14" t="str">
        <x:v>СКС, BMS та слаботочна інтеграція</x:v>
      </x:c>
      <x:c r="E66" s="14" t="str">
        <x:v>Expansion discovery</x:v>
      </x:c>
      <x:c r="F66" s="17" t="str">
        <x:f>IF(E66="Pilot now",IF(P66&gt;=84,"P1",IF(P66&gt;=72,"P2","P3")),IF(E66="Expansion discovery",IF(Q66&gt;=88,"D1",IF(Q66&gt;=78,"D2","D3")),IF(E66="Later / requirements","L","Legacy")))</x:f>
        <x:v>D1</x:v>
      </x:c>
      <x:c r="G66" s="14" t="str">
        <x:v>it-integrator.ua</x:v>
      </x:c>
      <x:c r="H66" s="14" t="str">
        <x:v>Discovery — частково Н.15 + вимоги проєкту</x:v>
      </x:c>
      <x:c r="I66" s="16" t="n">
        <x:v>3</x:v>
      </x:c>
      <x:c r="J66" s="16" t="n">
        <x:v>5</x:v>
      </x:c>
      <x:c r="K66" s="16" t="n">
        <x:v>5</x:v>
      </x:c>
      <x:c r="L66" s="16" t="n">
        <x:v>5</x:v>
      </x:c>
      <x:c r="M66" s="16" t="n">
        <x:v>5</x:v>
      </x:c>
      <x:c r="N66" s="16" t="n">
        <x:v>5</x:v>
      </x:c>
      <x:c r="O66" s="16" t="n">
        <x:v>4</x:v>
      </x:c>
      <x:c r="P66" s="16" t="n">
        <x:f>IF(COUNT(I66:O66)&lt;7,"",I66*8+J66*3+K66*2+L66*2+M66*2+N66*2+O66)</x:f>
        <x:v>83</x:v>
      </x:c>
      <x:c r="Q66" s="16" t="n">
        <x:f>IF(COUNT(J66:O66)&lt;6,"",J66*5+K66*4+M66*4+L66*3+N66*2+O66*2)</x:f>
        <x:v>98</x:v>
      </x:c>
      <x:c r="R66" s="14" t="str">
        <x:v>high</x:v>
      </x:c>
      <x:c r="S66" s="14" t="str">
        <x:v>official_source_reverified</x:v>
      </x:c>
      <x:c r="T66" s="14" t="str">
        <x:v>official_source_reachable</x:v>
      </x:c>
      <x:c r="U66" s="14" t="str">
        <x:v>Новий — не контактували</x:v>
      </x:c>
      <x:c r="V66" s="15" t="str">
        <x:v>Discovery-call: отримати 1 реальний артефакт і вимоги проєкту; не обіцяти готове покриття</x:v>
      </x:c>
      <x:c r="W66" s="15" t="str">
        <x:v>Власник / комерційний директор; керівник проєктів; ПТО</x:v>
      </x:c>
      <x:c r="X66" s="15" t="str">
        <x:v>СКС, електротехнічні рішення, кондиціонування й фізична безпека для великих підприємств.</x:v>
      </x:c>
      <x:c r="Y66" s="15" t="str">
        <x:v>Кабельні траси над стелями, маркування, тестування портів і пусконалагодження мають бути доведені до закриття та здачі системи.</x:v>
      </x:c>
      <x:c r="Z66" s="15" t="str">
        <x:v>https://it-integrator.ua/</x:v>
      </x:c>
      <x:c r="AA66" s="14" t="str"/>
      <x:c r="AB66" s="14" t="str">
        <x:v>2026-08-24</x:v>
      </x:c>
      <x:c r="AC66" s="14" t="str">
        <x:v>Олександр</x:v>
      </x:c>
      <x:c r="AD66" s="18" t="str"/>
      <x:c r="AE66" s="14" t="str"/>
    </x:row>
    <x:row r="67">
      <x:c r="A67" s="14" t="str">
        <x:v>V3-036</x:v>
      </x:c>
      <x:c r="B67" s="14" t="str">
        <x:v>Досліджено 28.07</x:v>
      </x:c>
      <x:c r="C67" s="14" t="str">
        <x:v>ТОВ «Р-ПРОЕКТ»</x:v>
      </x:c>
      <x:c r="D67" s="14" t="str">
        <x:v>Слаботочні системи</x:v>
      </x:c>
      <x:c r="E67" s="14" t="str">
        <x:v>Expansion discovery</x:v>
      </x:c>
      <x:c r="F67" s="17" t="str">
        <x:f>IF(E67="Pilot now",IF(P67&gt;=84,"P1",IF(P67&gt;=72,"P2","P3")),IF(E67="Expansion discovery",IF(Q67&gt;=88,"D1",IF(Q67&gt;=78,"D2","D3")),IF(E67="Later / requirements","L","Legacy")))</x:f>
        <x:v>D1</x:v>
      </x:c>
      <x:c r="G67" s="14" t="str">
        <x:v>r-p.com.ua</x:v>
      </x:c>
      <x:c r="H67" s="14" t="str">
        <x:v>Discovery — частково Н.15 + вимоги проєкту</x:v>
      </x:c>
      <x:c r="I67" s="16" t="n">
        <x:v>3</x:v>
      </x:c>
      <x:c r="J67" s="16" t="n">
        <x:v>5</x:v>
      </x:c>
      <x:c r="K67" s="16" t="n">
        <x:v>5</x:v>
      </x:c>
      <x:c r="L67" s="16" t="n">
        <x:v>4</x:v>
      </x:c>
      <x:c r="M67" s="16" t="n">
        <x:v>5</x:v>
      </x:c>
      <x:c r="N67" s="16" t="n">
        <x:v>5</x:v>
      </x:c>
      <x:c r="O67" s="16" t="n">
        <x:v>5</x:v>
      </x:c>
      <x:c r="P67" s="16" t="n">
        <x:f>IF(COUNT(I67:O67)&lt;7,"",I67*8+J67*3+K67*2+L67*2+M67*2+N67*2+O67)</x:f>
        <x:v>82</x:v>
      </x:c>
      <x:c r="Q67" s="16" t="n">
        <x:f>IF(COUNT(J67:O67)&lt;6,"",J67*5+K67*4+M67*4+L67*3+N67*2+O67*2)</x:f>
        <x:v>97</x:v>
      </x:c>
      <x:c r="R67" s="14" t="str">
        <x:v>medium</x:v>
      </x:c>
      <x:c r="S67" s="14" t="str">
        <x:v>historical_research_2026-07-28</x:v>
      </x:c>
      <x:c r="T67" s="14" t="str">
        <x:v>historical_official_research</x:v>
      </x:c>
      <x:c r="U67" s="14" t="str">
        <x:v>Надіслано 28.07 — follow-up</x:v>
      </x:c>
      <x:c r="V67" s="15" t="str">
        <x:v>Follow-up з review-link; далі попросити 1 анонімізований артефакт</x:v>
      </x:c>
      <x:c r="W67" s="15" t="str">
        <x:v>Власник / директор; керівник ПТО</x:v>
      </x:c>
      <x:c r="X67" s="15" t="str">
        <x:v>Проєктно-кошторисна документація в Revit, монтаж, пусконалагодження й обслуговування систем безпеки та слабкострумових мереж.</x:v>
      </x:c>
      <x:c r="Y67" s="15" t="str">
        <x:v>Кабельні траси, датчики, модулі й протипожежні системи закриваються стелями/стінами; потрібна доказова готовність.</x:v>
      </x:c>
      <x:c r="Z67" s="15" t="str">
        <x:v>https://r-p.com.ua/</x:v>
      </x:c>
      <x:c r="AA67" s="14" t="str">
        <x:v>41371545</x:v>
      </x:c>
      <x:c r="AB67" s="14" t="str">
        <x:v>2026-07-28</x:v>
      </x:c>
      <x:c r="AC67" s="14" t="str">
        <x:v>Олександр</x:v>
      </x:c>
      <x:c r="AD67" s="18" t="str"/>
      <x:c r="AE67" s="14" t="str"/>
    </x:row>
    <x:row r="68">
      <x:c r="A68" s="14" t="str">
        <x:v>EXP-055</x:v>
      </x:c>
      <x:c r="B68" s="14" t="str">
        <x:v>Розширення ніш — 24.08</x:v>
      </x:c>
      <x:c r="C68" s="14" t="str">
        <x:v>Hospital Room</x:v>
      </x:c>
      <x:c r="D68" s="14" t="str">
        <x:v>Чисті приміщення та стерильні зони</x:v>
      </x:c>
      <x:c r="E68" s="14" t="str">
        <x:v>Expansion discovery</x:v>
      </x:c>
      <x:c r="F68" s="17" t="str">
        <x:f>IF(E68="Pilot now",IF(P68&gt;=84,"P1",IF(P68&gt;=72,"P2","P3")),IF(E68="Expansion discovery",IF(Q68&gt;=88,"D1",IF(Q68&gt;=78,"D2","D3")),IF(E68="Later / requirements","L","Legacy")))</x:f>
        <x:v>D1</x:v>
      </x:c>
      <x:c r="G68" s="14" t="str">
        <x:v>hospitalroom.com.ua</x:v>
      </x:c>
      <x:c r="H68" s="14" t="str">
        <x:v>Discovery — частково Н.14/Н.15 + вимоги проєкту</x:v>
      </x:c>
      <x:c r="I68" s="16" t="n">
        <x:v>3</x:v>
      </x:c>
      <x:c r="J68" s="16" t="n">
        <x:v>5</x:v>
      </x:c>
      <x:c r="K68" s="16" t="n">
        <x:v>5</x:v>
      </x:c>
      <x:c r="L68" s="16" t="n">
        <x:v>4</x:v>
      </x:c>
      <x:c r="M68" s="16" t="n">
        <x:v>5</x:v>
      </x:c>
      <x:c r="N68" s="16" t="n">
        <x:v>5</x:v>
      </x:c>
      <x:c r="O68" s="16" t="n">
        <x:v>5</x:v>
      </x:c>
      <x:c r="P68" s="16" t="n">
        <x:f>IF(COUNT(I68:O68)&lt;7,"",I68*8+J68*3+K68*2+L68*2+M68*2+N68*2+O68)</x:f>
        <x:v>82</x:v>
      </x:c>
      <x:c r="Q68" s="16" t="n">
        <x:f>IF(COUNT(J68:O68)&lt;6,"",J68*5+K68*4+M68*4+L68*3+N68*2+O68*2)</x:f>
        <x:v>97</x:v>
      </x:c>
      <x:c r="R68" s="14" t="str">
        <x:v>high</x:v>
      </x:c>
      <x:c r="S68" s="14" t="str">
        <x:v>official_source_reverified</x:v>
      </x:c>
      <x:c r="T68" s="14" t="str">
        <x:v>official_source_reachable</x:v>
      </x:c>
      <x:c r="U68" s="14" t="str">
        <x:v>Новий — не контактували</x:v>
      </x:c>
      <x:c r="V68" s="15" t="str">
        <x:v>Discovery-call: отримати 1 реальний артефакт і вимоги проєкту; не обіцяти готове покриття</x:v>
      </x:c>
      <x:c r="W68" s="15" t="str">
        <x:v>Комерційний директор; керівник проєктів; QA / валідація</x:v>
      </x:c>
      <x:c r="X68" s="15" t="str">
        <x:v>Чисті приміщення, медичні гази, HVAC і стерильні зони з введенням в експлуатацію.</x:v>
      </x:c>
      <x:c r="Y68" s="15" t="str">
        <x:v>Герметичність огороджень, HEPA-вентиляція, автоматика й кваліфікаційні протоколи утворюють дуже насичений пакет приймання.</x:v>
      </x:c>
      <x:c r="Z68" s="15" t="str">
        <x:v>https://www.hospitalroom.com.ua/clean-room</x:v>
      </x:c>
      <x:c r="AA68" s="14" t="str"/>
      <x:c r="AB68" s="14" t="str">
        <x:v>2026-08-24</x:v>
      </x:c>
      <x:c r="AC68" s="14" t="str">
        <x:v>Олександр</x:v>
      </x:c>
      <x:c r="AD68" s="18" t="str"/>
      <x:c r="AE68" s="14" t="str"/>
    </x:row>
    <x:row r="69">
      <x:c r="A69" s="14" t="str">
        <x:v>EXP-061</x:v>
      </x:c>
      <x:c r="B69" s="14" t="str">
        <x:v>Розширення ніш — 24.08</x:v>
      </x:c>
      <x:c r="C69" s="14" t="str">
        <x:v>Imperial Pools</x:v>
      </x:c>
      <x:c r="D69" s="14" t="str">
        <x:v>Басейни, водні комплекси та SPA</x:v>
      </x:c>
      <x:c r="E69" s="14" t="str">
        <x:v>Expansion discovery</x:v>
      </x:c>
      <x:c r="F69" s="17" t="str">
        <x:f>IF(E69="Pilot now",IF(P69&gt;=84,"P1",IF(P69&gt;=72,"P2","P3")),IF(E69="Expansion discovery",IF(Q69&gt;=88,"D1",IF(Q69&gt;=78,"D2","D3")),IF(E69="Later / requirements","L","Legacy")))</x:f>
        <x:v>D1</x:v>
      </x:c>
      <x:c r="G69" s="14" t="str">
        <x:v>imperialpools.com.ua</x:v>
      </x:c>
      <x:c r="H69" s="14" t="str">
        <x:v>Discovery — частково Н.14/Н.15 + вимоги проєкту</x:v>
      </x:c>
      <x:c r="I69" s="16" t="n">
        <x:v>3</x:v>
      </x:c>
      <x:c r="J69" s="16" t="n">
        <x:v>5</x:v>
      </x:c>
      <x:c r="K69" s="16" t="n">
        <x:v>5</x:v>
      </x:c>
      <x:c r="L69" s="16" t="n">
        <x:v>4</x:v>
      </x:c>
      <x:c r="M69" s="16" t="n">
        <x:v>5</x:v>
      </x:c>
      <x:c r="N69" s="16" t="n">
        <x:v>5</x:v>
      </x:c>
      <x:c r="O69" s="16" t="n">
        <x:v>5</x:v>
      </x:c>
      <x:c r="P69" s="16" t="n">
        <x:f>IF(COUNT(I69:O69)&lt;7,"",I69*8+J69*3+K69*2+L69*2+M69*2+N69*2+O69)</x:f>
        <x:v>82</x:v>
      </x:c>
      <x:c r="Q69" s="16" t="n">
        <x:f>IF(COUNT(J69:O69)&lt;6,"",J69*5+K69*4+M69*4+L69*3+N69*2+O69*2)</x:f>
        <x:v>97</x:v>
      </x:c>
      <x:c r="R69" s="14" t="str">
        <x:v>high</x:v>
      </x:c>
      <x:c r="S69" s="14" t="str">
        <x:v>official_source_reverified</x:v>
      </x:c>
      <x:c r="T69" s="14" t="str">
        <x:v>official_source_reachable</x:v>
      </x:c>
      <x:c r="U69" s="14" t="str">
        <x:v>Новий — не контактували</x:v>
      </x:c>
      <x:c r="V69" s="15" t="str">
        <x:v>Discovery-call: отримати 1 реальний артефакт і вимоги проєкту; не обіцяти готове покриття</x:v>
      </x:c>
      <x:c r="W69" s="15" t="str">
        <x:v>Власник / директор; керівник будівництва; головний інженер</x:v>
      </x:c>
      <x:c r="X69" s="15" t="str">
        <x:v>Проєктування й будівництво басейнів під ключ з філіями по Україні.</x:v>
      </x:c>
      <x:c r="Y69" s="15" t="str">
        <x:v>Закладні, трубопроводи, гідроізоляція, електрика й автоматика закриваються чашею та оздобленням.</x:v>
      </x:c>
      <x:c r="Z69" s="15" t="str">
        <x:v>https://imperialpools.com.ua/portfolio</x:v>
      </x:c>
      <x:c r="AA69" s="14" t="str"/>
      <x:c r="AB69" s="14" t="str">
        <x:v>2026-08-24</x:v>
      </x:c>
      <x:c r="AC69" s="14" t="str">
        <x:v>Олександр</x:v>
      </x:c>
      <x:c r="AD69" s="18" t="str"/>
      <x:c r="AE69" s="14" t="str"/>
    </x:row>
    <x:row r="70">
      <x:c r="A70" s="14" t="str">
        <x:v>EXP-048</x:v>
      </x:c>
      <x:c r="B70" s="14" t="str">
        <x:v>Розширення ніш — 24.08</x:v>
      </x:c>
      <x:c r="C70" s="14" t="str">
        <x:v>Kristall Systems</x:v>
      </x:c>
      <x:c r="D70" s="14" t="str">
        <x:v>СКС, BMS та слаботочна інтеграція</x:v>
      </x:c>
      <x:c r="E70" s="14" t="str">
        <x:v>Expansion discovery</x:v>
      </x:c>
      <x:c r="F70" s="17" t="str">
        <x:f>IF(E70="Pilot now",IF(P70&gt;=84,"P1",IF(P70&gt;=72,"P2","P3")),IF(E70="Expansion discovery",IF(Q70&gt;=88,"D1",IF(Q70&gt;=78,"D2","D3")),IF(E70="Later / requirements","L","Legacy")))</x:f>
        <x:v>D1</x:v>
      </x:c>
      <x:c r="G70" s="14" t="str">
        <x:v>kristall-systems.net.ua</x:v>
      </x:c>
      <x:c r="H70" s="14" t="str">
        <x:v>Discovery — частково Н.15 + вимоги проєкту</x:v>
      </x:c>
      <x:c r="I70" s="16" t="n">
        <x:v>3</x:v>
      </x:c>
      <x:c r="J70" s="16" t="n">
        <x:v>5</x:v>
      </x:c>
      <x:c r="K70" s="16" t="n">
        <x:v>5</x:v>
      </x:c>
      <x:c r="L70" s="16" t="n">
        <x:v>4</x:v>
      </x:c>
      <x:c r="M70" s="16" t="n">
        <x:v>5</x:v>
      </x:c>
      <x:c r="N70" s="16" t="n">
        <x:v>5</x:v>
      </x:c>
      <x:c r="O70" s="16" t="n">
        <x:v>5</x:v>
      </x:c>
      <x:c r="P70" s="16" t="n">
        <x:f>IF(COUNT(I70:O70)&lt;7,"",I70*8+J70*3+K70*2+L70*2+M70*2+N70*2+O70)</x:f>
        <x:v>82</x:v>
      </x:c>
      <x:c r="Q70" s="16" t="n">
        <x:f>IF(COUNT(J70:O70)&lt;6,"",J70*5+K70*4+M70*4+L70*3+N70*2+O70*2)</x:f>
        <x:v>97</x:v>
      </x:c>
      <x:c r="R70" s="14" t="str">
        <x:v>high</x:v>
      </x:c>
      <x:c r="S70" s="14" t="str">
        <x:v>official_source_reverified</x:v>
      </x:c>
      <x:c r="T70" s="14" t="str">
        <x:v>official_source_reachable</x:v>
      </x:c>
      <x:c r="U70" s="14" t="str">
        <x:v>Новий — не контактували</x:v>
      </x:c>
      <x:c r="V70" s="15" t="str">
        <x:v>Discovery-call: отримати 1 реальний артефакт і вимоги проєкту; не обіцяти готове покриття</x:v>
      </x:c>
      <x:c r="W70" s="15" t="str">
        <x:v>Власник / комерційний директор; керівник проєктів; ПТО</x:v>
      </x:c>
      <x:c r="X70" s="15" t="str">
        <x:v>Проєктування, монтаж, тестування, сертифікація СКС і виконавча документація.</x:v>
      </x:c>
      <x:c r="Y70" s="15" t="str">
        <x:v>Кабельні траси над стелями, маркування, тестування портів і пусконалагодження мають бути доведені до закриття та здачі системи.</x:v>
      </x:c>
      <x:c r="Z70" s="15" t="str">
        <x:v>https://www.kristall-systems.net.ua/ua/uslugi/structured_cabling_system/</x:v>
      </x:c>
      <x:c r="AA70" s="14" t="str"/>
      <x:c r="AB70" s="14" t="str">
        <x:v>2026-08-24</x:v>
      </x:c>
      <x:c r="AC70" s="14" t="str">
        <x:v>Олександр</x:v>
      </x:c>
      <x:c r="AD70" s="18" t="str"/>
      <x:c r="AE70" s="14" t="str"/>
    </x:row>
    <x:row r="71">
      <x:c r="A71" s="14" t="str">
        <x:v>EXP-051</x:v>
      </x:c>
      <x:c r="B71" s="14" t="str">
        <x:v>Розширення ніш — 24.08</x:v>
      </x:c>
      <x:c r="C71" s="14" t="str">
        <x:v>Ksimex</x:v>
      </x:c>
      <x:c r="D71" s="14" t="str">
        <x:v>СКС, BMS та слаботочна інтеграція</x:v>
      </x:c>
      <x:c r="E71" s="14" t="str">
        <x:v>Expansion discovery</x:v>
      </x:c>
      <x:c r="F71" s="17" t="str">
        <x:f>IF(E71="Pilot now",IF(P71&gt;=84,"P1",IF(P71&gt;=72,"P2","P3")),IF(E71="Expansion discovery",IF(Q71&gt;=88,"D1",IF(Q71&gt;=78,"D2","D3")),IF(E71="Later / requirements","L","Legacy")))</x:f>
        <x:v>D1</x:v>
      </x:c>
      <x:c r="G71" s="14" t="str">
        <x:v>ksimex.ua</x:v>
      </x:c>
      <x:c r="H71" s="14" t="str">
        <x:v>Discovery — частково Н.15 + вимоги проєкту</x:v>
      </x:c>
      <x:c r="I71" s="16" t="n">
        <x:v>3</x:v>
      </x:c>
      <x:c r="J71" s="16" t="n">
        <x:v>5</x:v>
      </x:c>
      <x:c r="K71" s="16" t="n">
        <x:v>5</x:v>
      </x:c>
      <x:c r="L71" s="16" t="n">
        <x:v>4</x:v>
      </x:c>
      <x:c r="M71" s="16" t="n">
        <x:v>5</x:v>
      </x:c>
      <x:c r="N71" s="16" t="n">
        <x:v>5</x:v>
      </x:c>
      <x:c r="O71" s="16" t="n">
        <x:v>5</x:v>
      </x:c>
      <x:c r="P71" s="16" t="n">
        <x:f>IF(COUNT(I71:O71)&lt;7,"",I71*8+J71*3+K71*2+L71*2+M71*2+N71*2+O71)</x:f>
        <x:v>82</x:v>
      </x:c>
      <x:c r="Q71" s="16" t="n">
        <x:f>IF(COUNT(J71:O71)&lt;6,"",J71*5+K71*4+M71*4+L71*3+N71*2+O71*2)</x:f>
        <x:v>97</x:v>
      </x:c>
      <x:c r="R71" s="14" t="str">
        <x:v>high</x:v>
      </x:c>
      <x:c r="S71" s="14" t="str">
        <x:v>official_source_reverified</x:v>
      </x:c>
      <x:c r="T71" s="14" t="str">
        <x:v>official_source_reachable</x:v>
      </x:c>
      <x:c r="U71" s="14" t="str">
        <x:v>Новий — не контактували</x:v>
      </x:c>
      <x:c r="V71" s="15" t="str">
        <x:v>Discovery-call: отримати 1 реальний артефакт і вимоги проєкту; не обіцяти готове покриття</x:v>
      </x:c>
      <x:c r="W71" s="15" t="str">
        <x:v>Власник / комерційний директор; керівник проєктів; ПТО</x:v>
      </x:c>
      <x:c r="X71" s="15" t="str">
        <x:v>BMS-проєкти для готелів, ТРЦ і бізнес-центрів; монтаж та пусконалагодження.</x:v>
      </x:c>
      <x:c r="Y71" s="15" t="str">
        <x:v>Кабельні траси над стелями, маркування, тестування портів і пусконалагодження мають бути доведені до закриття та здачі системи.</x:v>
      </x:c>
      <x:c r="Z71" s="15" t="str">
        <x:v>https://www.ksimex.ua/subprojects/bms</x:v>
      </x:c>
      <x:c r="AA71" s="14" t="str"/>
      <x:c r="AB71" s="14" t="str">
        <x:v>2026-08-24</x:v>
      </x:c>
      <x:c r="AC71" s="14" t="str">
        <x:v>Олександр</x:v>
      </x:c>
      <x:c r="AD71" s="18" t="str"/>
      <x:c r="AE71" s="14" t="str"/>
    </x:row>
    <x:row r="72">
      <x:c r="A72" s="14" t="str">
        <x:v>EXP-050</x:v>
      </x:c>
      <x:c r="B72" s="14" t="str">
        <x:v>Розширення ніш — 24.08</x:v>
      </x:c>
      <x:c r="C72" s="14" t="str">
        <x:v>SOLTI</x:v>
      </x:c>
      <x:c r="D72" s="14" t="str">
        <x:v>СКС, BMS та слаботочна інтеграція</x:v>
      </x:c>
      <x:c r="E72" s="14" t="str">
        <x:v>Expansion discovery</x:v>
      </x:c>
      <x:c r="F72" s="17" t="str">
        <x:f>IF(E72="Pilot now",IF(P72&gt;=84,"P1",IF(P72&gt;=72,"P2","P3")),IF(E72="Expansion discovery",IF(Q72&gt;=88,"D1",IF(Q72&gt;=78,"D2","D3")),IF(E72="Later / requirements","L","Legacy")))</x:f>
        <x:v>D1</x:v>
      </x:c>
      <x:c r="G72" s="14" t="str">
        <x:v>solti.ua</x:v>
      </x:c>
      <x:c r="H72" s="14" t="str">
        <x:v>Discovery — частково Н.15 + вимоги проєкту</x:v>
      </x:c>
      <x:c r="I72" s="16" t="n">
        <x:v>3</x:v>
      </x:c>
      <x:c r="J72" s="16" t="n">
        <x:v>5</x:v>
      </x:c>
      <x:c r="K72" s="16" t="n">
        <x:v>5</x:v>
      </x:c>
      <x:c r="L72" s="16" t="n">
        <x:v>4</x:v>
      </x:c>
      <x:c r="M72" s="16" t="n">
        <x:v>5</x:v>
      </x:c>
      <x:c r="N72" s="16" t="n">
        <x:v>5</x:v>
      </x:c>
      <x:c r="O72" s="16" t="n">
        <x:v>5</x:v>
      </x:c>
      <x:c r="P72" s="16" t="n">
        <x:f>IF(COUNT(I72:O72)&lt;7,"",I72*8+J72*3+K72*2+L72*2+M72*2+N72*2+O72)</x:f>
        <x:v>82</x:v>
      </x:c>
      <x:c r="Q72" s="16" t="n">
        <x:f>IF(COUNT(J72:O72)&lt;6,"",J72*5+K72*4+M72*4+L72*3+N72*2+O72*2)</x:f>
        <x:v>97</x:v>
      </x:c>
      <x:c r="R72" s="14" t="str">
        <x:v>high</x:v>
      </x:c>
      <x:c r="S72" s="14" t="str">
        <x:v>official_source_reverified</x:v>
      </x:c>
      <x:c r="T72" s="14" t="str">
        <x:v>official_source_reachable</x:v>
      </x:c>
      <x:c r="U72" s="14" t="str">
        <x:v>Новий — не контактували</x:v>
      </x:c>
      <x:c r="V72" s="15" t="str">
        <x:v>Discovery-call: отримати 1 реальний артефакт і вимоги проєкту; не обіцяти готове покриття</x:v>
      </x:c>
      <x:c r="W72" s="15" t="str">
        <x:v>Власник / комерційний директор; керівник проєктів; ПТО</x:v>
      </x:c>
      <x:c r="X72" s="15" t="str">
        <x:v>Кейси проєктування, монтажу та пусконалагодження СКС з гарантійним обліком.</x:v>
      </x:c>
      <x:c r="Y72" s="15" t="str">
        <x:v>Кабельні траси над стелями, маркування, тестування портів і пусконалагодження мають бути доведені до закриття та здачі системи.</x:v>
      </x:c>
      <x:c r="Z72" s="15" t="str">
        <x:v>https://www.solti.ua/systemna-integraciya/inzhenerni-systemy/strukturovana-kabelna-systema-sks/</x:v>
      </x:c>
      <x:c r="AA72" s="14" t="str"/>
      <x:c r="AB72" s="14" t="str">
        <x:v>2026-08-24</x:v>
      </x:c>
      <x:c r="AC72" s="14" t="str">
        <x:v>Олександр</x:v>
      </x:c>
      <x:c r="AD72" s="18" t="str"/>
      <x:c r="AE72" s="14" t="str"/>
    </x:row>
    <x:row r="73">
      <x:c r="A73" s="14" t="str">
        <x:v>EXP-054</x:v>
      </x:c>
      <x:c r="B73" s="14" t="str">
        <x:v>Розширення ніш — 24.08</x:v>
      </x:c>
      <x:c r="C73" s="14" t="str">
        <x:v>Cleanroom / ECOTEP</x:v>
      </x:c>
      <x:c r="D73" s="14" t="str">
        <x:v>Чисті приміщення та стерильні зони</x:v>
      </x:c>
      <x:c r="E73" s="14" t="str">
        <x:v>Expansion discovery</x:v>
      </x:c>
      <x:c r="F73" s="17" t="str">
        <x:f>IF(E73="Pilot now",IF(P73&gt;=84,"P1",IF(P73&gt;=72,"P2","P3")),IF(E73="Expansion discovery",IF(Q73&gt;=88,"D1",IF(Q73&gt;=78,"D2","D3")),IF(E73="Later / requirements","L","Legacy")))</x:f>
        <x:v>D1</x:v>
      </x:c>
      <x:c r="G73" s="14" t="str">
        <x:v>cleanroom.com.ua</x:v>
      </x:c>
      <x:c r="H73" s="14" t="str">
        <x:v>Discovery — частково Н.14/Н.15 + вимоги проєкту</x:v>
      </x:c>
      <x:c r="I73" s="16" t="n">
        <x:v>3</x:v>
      </x:c>
      <x:c r="J73" s="16" t="n">
        <x:v>5</x:v>
      </x:c>
      <x:c r="K73" s="16" t="n">
        <x:v>5</x:v>
      </x:c>
      <x:c r="L73" s="16" t="n">
        <x:v>4</x:v>
      </x:c>
      <x:c r="M73" s="16" t="n">
        <x:v>5</x:v>
      </x:c>
      <x:c r="N73" s="16" t="n">
        <x:v>5</x:v>
      </x:c>
      <x:c r="O73" s="16" t="n">
        <x:v>4</x:v>
      </x:c>
      <x:c r="P73" s="16" t="n">
        <x:f>IF(COUNT(I73:O73)&lt;7,"",I73*8+J73*3+K73*2+L73*2+M73*2+N73*2+O73)</x:f>
        <x:v>81</x:v>
      </x:c>
      <x:c r="Q73" s="16" t="n">
        <x:f>IF(COUNT(J73:O73)&lt;6,"",J73*5+K73*4+M73*4+L73*3+N73*2+O73*2)</x:f>
        <x:v>95</x:v>
      </x:c>
      <x:c r="R73" s="14" t="str">
        <x:v>high</x:v>
      </x:c>
      <x:c r="S73" s="14" t="str">
        <x:v>official_page_and_search_index_reverified</x:v>
      </x:c>
      <x:c r="T73" s="14" t="str">
        <x:v>official_page_reachable_dynamic_content</x:v>
      </x:c>
      <x:c r="U73" s="14" t="str">
        <x:v>Новий — не контактували</x:v>
      </x:c>
      <x:c r="V73" s="15" t="str">
        <x:v>Discovery-call: отримати 1 реальний артефакт і вимоги проєкту; не обіцяти готове покриття</x:v>
      </x:c>
      <x:c r="W73" s="15" t="str">
        <x:v>Комерційний директор; керівник проєктів; QA / валідація</x:v>
      </x:c>
      <x:c r="X73" s="15" t="str">
        <x:v>Портфоліо стерильних медичних і фармацевтичних зон з вимогами до вентиляції та огороджень.</x:v>
      </x:c>
      <x:c r="Y73" s="15" t="str">
        <x:v>Герметичність огороджень, HEPA-вентиляція, автоматика й кваліфікаційні протоколи утворюють дуже насичений пакет приймання.</x:v>
      </x:c>
      <x:c r="Z73" s="15" t="str">
        <x:v>https://www.cleanroom.com.ua/ua/proekti/</x:v>
      </x:c>
      <x:c r="AA73" s="14" t="str"/>
      <x:c r="AB73" s="14" t="str">
        <x:v>2026-08-24</x:v>
      </x:c>
      <x:c r="AC73" s="14" t="str">
        <x:v>Олександр</x:v>
      </x:c>
      <x:c r="AD73" s="18" t="str"/>
      <x:c r="AE73" s="14" t="str"/>
    </x:row>
    <x:row r="74">
      <x:c r="A74" s="14" t="str">
        <x:v>V3-037</x:v>
      </x:c>
      <x:c r="B74" s="14" t="str">
        <x:v>Досліджено 28.07</x:v>
      </x:c>
      <x:c r="C74" s="14" t="str">
        <x:v>Інженерна компанія TMEK</x:v>
      </x:c>
      <x:c r="D74" s="14" t="str">
        <x:v>Слаботочні системи</x:v>
      </x:c>
      <x:c r="E74" s="14" t="str">
        <x:v>Expansion discovery</x:v>
      </x:c>
      <x:c r="F74" s="17" t="str">
        <x:f>IF(E74="Pilot now",IF(P74&gt;=84,"P1",IF(P74&gt;=72,"P2","P3")),IF(E74="Expansion discovery",IF(Q74&gt;=88,"D1",IF(Q74&gt;=78,"D2","D3")),IF(E74="Later / requirements","L","Legacy")))</x:f>
        <x:v>D1</x:v>
      </x:c>
      <x:c r="G74" s="14" t="str">
        <x:v>tmek.com.ua</x:v>
      </x:c>
      <x:c r="H74" s="14" t="str">
        <x:v>Discovery — частково Н.15 + вимоги проєкту</x:v>
      </x:c>
      <x:c r="I74" s="16" t="n">
        <x:v>3</x:v>
      </x:c>
      <x:c r="J74" s="16" t="n">
        <x:v>5</x:v>
      </x:c>
      <x:c r="K74" s="16" t="n">
        <x:v>4</x:v>
      </x:c>
      <x:c r="L74" s="16" t="n">
        <x:v>4</x:v>
      </x:c>
      <x:c r="M74" s="16" t="n">
        <x:v>5</x:v>
      </x:c>
      <x:c r="N74" s="16" t="n">
        <x:v>5</x:v>
      </x:c>
      <x:c r="O74" s="16" t="n">
        <x:v>5</x:v>
      </x:c>
      <x:c r="P74" s="16" t="n">
        <x:f>IF(COUNT(I74:O74)&lt;7,"",I74*8+J74*3+K74*2+L74*2+M74*2+N74*2+O74)</x:f>
        <x:v>80</x:v>
      </x:c>
      <x:c r="Q74" s="16" t="n">
        <x:f>IF(COUNT(J74:O74)&lt;6,"",J74*5+K74*4+M74*4+L74*3+N74*2+O74*2)</x:f>
        <x:v>93</x:v>
      </x:c>
      <x:c r="R74" s="14" t="str">
        <x:v>medium</x:v>
      </x:c>
      <x:c r="S74" s="14" t="str">
        <x:v>historical_research_2026-07-28</x:v>
      </x:c>
      <x:c r="T74" s="14" t="str">
        <x:v>historical_official_research</x:v>
      </x:c>
      <x:c r="U74" s="14" t="str">
        <x:v>Надіслано 28.07 — follow-up</x:v>
      </x:c>
      <x:c r="V74" s="15" t="str">
        <x:v>Follow-up з review-link; далі попросити 1 анонімізований артефакт</x:v>
      </x:c>
      <x:c r="W74" s="15" t="str">
        <x:v>Власник / директор; керівник ПТО</x:v>
      </x:c>
      <x:c r="X74" s="15" t="str">
        <x:v>Проєктування, реалізація та підтримка слабкострумових систем для комерційних, державних і промислових об’єктів.</x:v>
      </x:c>
      <x:c r="Y74" s="15" t="str">
        <x:v>СКС, відеонагляд, контроль доступу й сигналізація мають приховані кабельні траси та тестові протоколи.</x:v>
      </x:c>
      <x:c r="Z74" s="15" t="str">
        <x:v>https://tmek.com.ua/proektuvannya-slabkostrumovih-sistem/</x:v>
      </x:c>
      <x:c r="AA74" s="14" t="str"/>
      <x:c r="AB74" s="14" t="str">
        <x:v>2026-07-28</x:v>
      </x:c>
      <x:c r="AC74" s="14" t="str">
        <x:v>Олександр</x:v>
      </x:c>
      <x:c r="AD74" s="18" t="str"/>
      <x:c r="AE74" s="14" t="str"/>
    </x:row>
    <x:row r="75">
      <x:c r="A75" s="14" t="str">
        <x:v>V3-040</x:v>
      </x:c>
      <x:c r="B75" s="14" t="str">
        <x:v>Досліджено 28.07</x:v>
      </x:c>
      <x:c r="C75" s="14" t="str">
        <x:v>ТОВ «ОБЕРІГ-К»</x:v>
      </x:c>
      <x:c r="D75" s="14" t="str">
        <x:v>Слаботочні системи</x:v>
      </x:c>
      <x:c r="E75" s="14" t="str">
        <x:v>Expansion discovery</x:v>
      </x:c>
      <x:c r="F75" s="17" t="str">
        <x:f>IF(E75="Pilot now",IF(P75&gt;=84,"P1",IF(P75&gt;=72,"P2","P3")),IF(E75="Expansion discovery",IF(Q75&gt;=88,"D1",IF(Q75&gt;=78,"D2","D3")),IF(E75="Later / requirements","L","Legacy")))</x:f>
        <x:v>D1</x:v>
      </x:c>
      <x:c r="G75" s="14" t="str">
        <x:v>oberig-k.com.ua</x:v>
      </x:c>
      <x:c r="H75" s="14" t="str">
        <x:v>Discovery — частково Н.15 + вимоги проєкту</x:v>
      </x:c>
      <x:c r="I75" s="16" t="n">
        <x:v>3</x:v>
      </x:c>
      <x:c r="J75" s="16" t="n">
        <x:v>5</x:v>
      </x:c>
      <x:c r="K75" s="16" t="n">
        <x:v>4</x:v>
      </x:c>
      <x:c r="L75" s="16" t="n">
        <x:v>4</x:v>
      </x:c>
      <x:c r="M75" s="16" t="n">
        <x:v>5</x:v>
      </x:c>
      <x:c r="N75" s="16" t="n">
        <x:v>5</x:v>
      </x:c>
      <x:c r="O75" s="16" t="n">
        <x:v>5</x:v>
      </x:c>
      <x:c r="P75" s="16" t="n">
        <x:f>IF(COUNT(I75:O75)&lt;7,"",I75*8+J75*3+K75*2+L75*2+M75*2+N75*2+O75)</x:f>
        <x:v>80</x:v>
      </x:c>
      <x:c r="Q75" s="16" t="n">
        <x:f>IF(COUNT(J75:O75)&lt;6,"",J75*5+K75*4+M75*4+L75*3+N75*2+O75*2)</x:f>
        <x:v>93</x:v>
      </x:c>
      <x:c r="R75" s="14" t="str">
        <x:v>medium</x:v>
      </x:c>
      <x:c r="S75" s="14" t="str">
        <x:v>historical_research_2026-07-28</x:v>
      </x:c>
      <x:c r="T75" s="14" t="str">
        <x:v>historical_official_research</x:v>
      </x:c>
      <x:c r="U75" s="14" t="str">
        <x:v>Надіслано 28.07 — follow-up</x:v>
      </x:c>
      <x:c r="V75" s="15" t="str">
        <x:v>Follow-up з review-link; далі попросити 1 анонімізований артефакт</x:v>
      </x:c>
      <x:c r="W75" s="15" t="str">
        <x:v>Власник / директор; керівник ПТО</x:v>
      </x:c>
      <x:c r="X75" s="15" t="str">
        <x:v>Проєктування, монтаж і сервіс систем пожежної безпеки та слабкострумових систем різної складності; працює з 2006 року.</x:v>
      </x:c>
      <x:c r="Y75" s="15" t="str">
        <x:v>Пожежні шлейфи, датчики й кабельні траси мають регламентоване приймання, акти та протоколи випробувань.</x:v>
      </x:c>
      <x:c r="Z75" s="15" t="str">
        <x:v>https://www.oberig-k.com.ua/</x:v>
      </x:c>
      <x:c r="AA75" s="14" t="str">
        <x:v>34727274</x:v>
      </x:c>
      <x:c r="AB75" s="14" t="str">
        <x:v>2026-07-28</x:v>
      </x:c>
      <x:c r="AC75" s="14" t="str">
        <x:v>Олександр</x:v>
      </x:c>
      <x:c r="AD75" s="18" t="str"/>
      <x:c r="AE75" s="14" t="str"/>
    </x:row>
    <x:row r="76">
      <x:c r="A76" s="14" t="str">
        <x:v>V3-038</x:v>
      </x:c>
      <x:c r="B76" s="14" t="str">
        <x:v>Досліджено 28.07</x:v>
      </x:c>
      <x:c r="C76" s="14" t="str">
        <x:v>Install Group</x:v>
      </x:c>
      <x:c r="D76" s="14" t="str">
        <x:v>Слаботочні системи</x:v>
      </x:c>
      <x:c r="E76" s="14" t="str">
        <x:v>Expansion discovery</x:v>
      </x:c>
      <x:c r="F76" s="17" t="str">
        <x:f>IF(E76="Pilot now",IF(P76&gt;=84,"P1",IF(P76&gt;=72,"P2","P3")),IF(E76="Expansion discovery",IF(Q76&gt;=88,"D1",IF(Q76&gt;=78,"D2","D3")),IF(E76="Later / requirements","L","Legacy")))</x:f>
        <x:v>D1</x:v>
      </x:c>
      <x:c r="G76" s="14" t="str">
        <x:v>ig.in.ua</x:v>
      </x:c>
      <x:c r="H76" s="14" t="str">
        <x:v>Discovery — частково Н.15 + вимоги проєкту</x:v>
      </x:c>
      <x:c r="I76" s="16" t="n">
        <x:v>3</x:v>
      </x:c>
      <x:c r="J76" s="16" t="n">
        <x:v>5</x:v>
      </x:c>
      <x:c r="K76" s="16" t="n">
        <x:v>4</x:v>
      </x:c>
      <x:c r="L76" s="16" t="n">
        <x:v>4</x:v>
      </x:c>
      <x:c r="M76" s="16" t="n">
        <x:v>5</x:v>
      </x:c>
      <x:c r="N76" s="16" t="n">
        <x:v>5</x:v>
      </x:c>
      <x:c r="O76" s="16" t="n">
        <x:v>5</x:v>
      </x:c>
      <x:c r="P76" s="16" t="n">
        <x:f>IF(COUNT(I76:O76)&lt;7,"",I76*8+J76*3+K76*2+L76*2+M76*2+N76*2+O76)</x:f>
        <x:v>80</x:v>
      </x:c>
      <x:c r="Q76" s="16" t="n">
        <x:f>IF(COUNT(J76:O76)&lt;6,"",J76*5+K76*4+M76*4+L76*3+N76*2+O76*2)</x:f>
        <x:v>93</x:v>
      </x:c>
      <x:c r="R76" s="14" t="str">
        <x:v>medium</x:v>
      </x:c>
      <x:c r="S76" s="14" t="str">
        <x:v>historical_research_2026-07-28</x:v>
      </x:c>
      <x:c r="T76" s="14" t="str">
        <x:v>historical_official_research</x:v>
      </x:c>
      <x:c r="U76" s="14" t="str">
        <x:v>Надіслано 28.07 — follow-up</x:v>
      </x:c>
      <x:c r="V76" s="15" t="str">
        <x:v>Follow-up з review-link; далі попросити 1 анонімізований артефакт</x:v>
      </x:c>
      <x:c r="W76" s="15" t="str">
        <x:v>Власник / директор; керівник ПТО</x:v>
      </x:c>
      <x:c r="X76" s="15" t="str">
        <x:v>Проєктування, монтаж і ремонт слабкострумових мереж для інфраструктурних об’єктів по Україні.</x:v>
      </x:c>
      <x:c r="Y76" s="15" t="str">
        <x:v>Приховані кабелі та точки підключення потребують фото, чек-листів і тестів до закриття оздобленням.</x:v>
      </x:c>
      <x:c r="Z76" s="15" t="str">
        <x:v>https://ig.in.ua/slabotochnye-seti-uk/</x:v>
      </x:c>
      <x:c r="AA76" s="14" t="str"/>
      <x:c r="AB76" s="14" t="str">
        <x:v>2026-07-28</x:v>
      </x:c>
      <x:c r="AC76" s="14" t="str">
        <x:v>Олександр</x:v>
      </x:c>
      <x:c r="AD76" s="18" t="str"/>
      <x:c r="AE76" s="14" t="str"/>
    </x:row>
    <x:row r="77">
      <x:c r="A77" s="14" t="str">
        <x:v>V3-041</x:v>
      </x:c>
      <x:c r="B77" s="14" t="str">
        <x:v>Досліджено 28.07</x:v>
      </x:c>
      <x:c r="C77" s="14" t="str">
        <x:v>Optimum Net</x:v>
      </x:c>
      <x:c r="D77" s="14" t="str">
        <x:v>Слаботочні системи</x:v>
      </x:c>
      <x:c r="E77" s="14" t="str">
        <x:v>Expansion discovery</x:v>
      </x:c>
      <x:c r="F77" s="17" t="str">
        <x:f>IF(E77="Pilot now",IF(P77&gt;=84,"P1",IF(P77&gt;=72,"P2","P3")),IF(E77="Expansion discovery",IF(Q77&gt;=88,"D1",IF(Q77&gt;=78,"D2","D3")),IF(E77="Later / requirements","L","Legacy")))</x:f>
        <x:v>D1</x:v>
      </x:c>
      <x:c r="G77" s="14" t="str">
        <x:v>optimumnet.com.ua</x:v>
      </x:c>
      <x:c r="H77" s="14" t="str">
        <x:v>Discovery — частково Н.15 + вимоги проєкту</x:v>
      </x:c>
      <x:c r="I77" s="16" t="n">
        <x:v>3</x:v>
      </x:c>
      <x:c r="J77" s="16" t="n">
        <x:v>5</x:v>
      </x:c>
      <x:c r="K77" s="16" t="n">
        <x:v>4</x:v>
      </x:c>
      <x:c r="L77" s="16" t="n">
        <x:v>5</x:v>
      </x:c>
      <x:c r="M77" s="16" t="n">
        <x:v>4</x:v>
      </x:c>
      <x:c r="N77" s="16" t="n">
        <x:v>5</x:v>
      </x:c>
      <x:c r="O77" s="16" t="n">
        <x:v>5</x:v>
      </x:c>
      <x:c r="P77" s="16" t="n">
        <x:f>IF(COUNT(I77:O77)&lt;7,"",I77*8+J77*3+K77*2+L77*2+M77*2+N77*2+O77)</x:f>
        <x:v>80</x:v>
      </x:c>
      <x:c r="Q77" s="16" t="n">
        <x:f>IF(COUNT(J77:O77)&lt;6,"",J77*5+K77*4+M77*4+L77*3+N77*2+O77*2)</x:f>
        <x:v>92</x:v>
      </x:c>
      <x:c r="R77" s="14" t="str">
        <x:v>medium</x:v>
      </x:c>
      <x:c r="S77" s="14" t="str">
        <x:v>historical_research_2026-07-28</x:v>
      </x:c>
      <x:c r="T77" s="14" t="str">
        <x:v>historical_official_research</x:v>
      </x:c>
      <x:c r="U77" s="14" t="str">
        <x:v>Надіслано 28.07 — follow-up</x:v>
      </x:c>
      <x:c r="V77" s="15" t="str">
        <x:v>Follow-up з review-link; далі попросити 1 анонімізований артефакт</x:v>
      </x:c>
      <x:c r="W77" s="15" t="str">
        <x:v>Власник / директор; керівник ПТО</x:v>
      </x:c>
      <x:c r="X77" s="15" t="str">
        <x:v>Проєктування, сертифікація й монтаж СКС/LAN об’єктів різного масштабу; заявлена робота по Україні.</x:v>
      </x:c>
      <x:c r="Y77" s="15" t="str">
        <x:v>Сотні кабельних портів, маркування й сертифікація ліній формують великий доказовий пакет перед здачею.</x:v>
      </x:c>
      <x:c r="Z77" s="15" t="str">
        <x:v>https://optimumnet.com.ua/</x:v>
      </x:c>
      <x:c r="AA77" s="14" t="str"/>
      <x:c r="AB77" s="14" t="str">
        <x:v>2026-07-28</x:v>
      </x:c>
      <x:c r="AC77" s="14" t="str">
        <x:v>Олександр</x:v>
      </x:c>
      <x:c r="AD77" s="18" t="str"/>
      <x:c r="AE77" s="14" t="str"/>
    </x:row>
    <x:row r="78">
      <x:c r="A78" s="14" t="str">
        <x:v>EXP-046</x:v>
      </x:c>
      <x:c r="B78" s="14" t="str">
        <x:v>Розширення ніш — 24.08</x:v>
      </x:c>
      <x:c r="C78" s="14" t="str">
        <x:v>Smart Systems</x:v>
      </x:c>
      <x:c r="D78" s="14" t="str">
        <x:v>СКС, BMS та слаботочна інтеграція</x:v>
      </x:c>
      <x:c r="E78" s="14" t="str">
        <x:v>Expansion discovery</x:v>
      </x:c>
      <x:c r="F78" s="17" t="str">
        <x:f>IF(E78="Pilot now",IF(P78&gt;=84,"P1",IF(P78&gt;=72,"P2","P3")),IF(E78="Expansion discovery",IF(Q78&gt;=88,"D1",IF(Q78&gt;=78,"D2","D3")),IF(E78="Later / requirements","L","Legacy")))</x:f>
        <x:v>D1</x:v>
      </x:c>
      <x:c r="G78" s="14" t="str">
        <x:v>smartsys.team</x:v>
      </x:c>
      <x:c r="H78" s="14" t="str">
        <x:v>Discovery — частково Н.15 + вимоги проєкту</x:v>
      </x:c>
      <x:c r="I78" s="16" t="n">
        <x:v>3</x:v>
      </x:c>
      <x:c r="J78" s="16" t="n">
        <x:v>5</x:v>
      </x:c>
      <x:c r="K78" s="16" t="n">
        <x:v>5</x:v>
      </x:c>
      <x:c r="L78" s="16" t="n">
        <x:v>3</x:v>
      </x:c>
      <x:c r="M78" s="16" t="n">
        <x:v>5</x:v>
      </x:c>
      <x:c r="N78" s="16" t="n">
        <x:v>5</x:v>
      </x:c>
      <x:c r="O78" s="16" t="n">
        <x:v>5</x:v>
      </x:c>
      <x:c r="P78" s="16" t="n">
        <x:f>IF(COUNT(I78:O78)&lt;7,"",I78*8+J78*3+K78*2+L78*2+M78*2+N78*2+O78)</x:f>
        <x:v>80</x:v>
      </x:c>
      <x:c r="Q78" s="16" t="n">
        <x:f>IF(COUNT(J78:O78)&lt;6,"",J78*5+K78*4+M78*4+L78*3+N78*2+O78*2)</x:f>
        <x:v>94</x:v>
      </x:c>
      <x:c r="R78" s="14" t="str">
        <x:v>high</x:v>
      </x:c>
      <x:c r="S78" s="14" t="str">
        <x:v>official_source_reverified</x:v>
      </x:c>
      <x:c r="T78" s="14" t="str">
        <x:v>official_source_reachable</x:v>
      </x:c>
      <x:c r="U78" s="14" t="str">
        <x:v>Новий — не контактували</x:v>
      </x:c>
      <x:c r="V78" s="15" t="str">
        <x:v>Discovery-call: отримати 1 реальний артефакт і вимоги проєкту; не обіцяти готове покриття</x:v>
      </x:c>
      <x:c r="W78" s="15" t="str">
        <x:v>Власник / комерційний директор; керівник проєктів; ПТО</x:v>
      </x:c>
      <x:c r="X78" s="15" t="str">
        <x:v>Проєктування, монтаж і тестування СКС для офісів, бізнес-центрів та інфраструктури.</x:v>
      </x:c>
      <x:c r="Y78" s="15" t="str">
        <x:v>Кабельні траси над стелями, маркування, тестування портів і пусконалагодження мають бути доведені до закриття та здачі системи.</x:v>
      </x:c>
      <x:c r="Z78" s="15" t="str">
        <x:v>https://smartsys.team/uk/kabelni-systemy/</x:v>
      </x:c>
      <x:c r="AA78" s="14" t="str"/>
      <x:c r="AB78" s="14" t="str">
        <x:v>2026-08-24</x:v>
      </x:c>
      <x:c r="AC78" s="14" t="str">
        <x:v>Олександр</x:v>
      </x:c>
      <x:c r="AD78" s="18" t="str"/>
      <x:c r="AE78" s="14" t="str"/>
    </x:row>
    <x:row r="79">
      <x:c r="A79" s="14" t="str">
        <x:v>EXP-063</x:v>
      </x:c>
      <x:c r="B79" s="14" t="str">
        <x:v>Розширення ніш — 24.08</x:v>
      </x:c>
      <x:c r="C79" s="14" t="str">
        <x:v>БРАС-ГРУП</x:v>
      </x:c>
      <x:c r="D79" s="14" t="str">
        <x:v>Басейни, водні комплекси та SPA</x:v>
      </x:c>
      <x:c r="E79" s="14" t="str">
        <x:v>Expansion discovery</x:v>
      </x:c>
      <x:c r="F79" s="17" t="str">
        <x:f>IF(E79="Pilot now",IF(P79&gt;=84,"P1",IF(P79&gt;=72,"P2","P3")),IF(E79="Expansion discovery",IF(Q79&gt;=88,"D1",IF(Q79&gt;=78,"D2","D3")),IF(E79="Later / requirements","L","Legacy")))</x:f>
        <x:v>D1</x:v>
      </x:c>
      <x:c r="G79" s="14" t="str">
        <x:v>brasgroup.com.ua</x:v>
      </x:c>
      <x:c r="H79" s="14" t="str">
        <x:v>Discovery — частково Н.14/Н.15 + вимоги проєкту</x:v>
      </x:c>
      <x:c r="I79" s="16" t="n">
        <x:v>3</x:v>
      </x:c>
      <x:c r="J79" s="16" t="n">
        <x:v>5</x:v>
      </x:c>
      <x:c r="K79" s="16" t="n">
        <x:v>5</x:v>
      </x:c>
      <x:c r="L79" s="16" t="n">
        <x:v>4</x:v>
      </x:c>
      <x:c r="M79" s="16" t="n">
        <x:v>5</x:v>
      </x:c>
      <x:c r="N79" s="16" t="n">
        <x:v>5</x:v>
      </x:c>
      <x:c r="O79" s="16" t="n">
        <x:v>2</x:v>
      </x:c>
      <x:c r="P79" s="16" t="n">
        <x:f>IF(COUNT(I79:O79)&lt;7,"",I79*8+J79*3+K79*2+L79*2+M79*2+N79*2+O79)</x:f>
        <x:v>79</x:v>
      </x:c>
      <x:c r="Q79" s="16" t="n">
        <x:f>IF(COUNT(J79:O79)&lt;6,"",J79*5+K79*4+M79*4+L79*3+N79*2+O79*2)</x:f>
        <x:v>91</x:v>
      </x:c>
      <x:c r="R79" s="14" t="str">
        <x:v>medium</x:v>
      </x:c>
      <x:c r="S79" s="14" t="str">
        <x:v>official_content_reverified_via_search_index</x:v>
      </x:c>
      <x:c r="T79" s="14" t="str">
        <x:v>http_423_live_site</x:v>
      </x:c>
      <x:c r="U79" s="14" t="str">
        <x:v>Новий — не контактували</x:v>
      </x:c>
      <x:c r="V79" s="15" t="str">
        <x:v>Discovery-call: отримати 1 реальний артефакт і вимоги проєкту; не обіцяти готове покриття</x:v>
      </x:c>
      <x:c r="W79" s="15" t="str">
        <x:v>Власник / директор; керівник будівництва; головний інженер</x:v>
      </x:c>
      <x:c r="X79" s="15" t="str">
        <x:v>Будівництво, реконструкція, автоматизація та сервіс приватних і комерційних басейнів.</x:v>
      </x:c>
      <x:c r="Y79" s="15" t="str">
        <x:v>Закладні, трубопроводи, гідроізоляція, електрика й автоматика закриваються чашею та оздобленням.</x:v>
      </x:c>
      <x:c r="Z79" s="15" t="str">
        <x:v>https://brasgroup.com.ua/</x:v>
      </x:c>
      <x:c r="AA79" s="14" t="str"/>
      <x:c r="AB79" s="14" t="str">
        <x:v>2026-08-24</x:v>
      </x:c>
      <x:c r="AC79" s="14" t="str">
        <x:v>Олександр</x:v>
      </x:c>
      <x:c r="AD79" s="18" t="str"/>
      <x:c r="AE79" s="14" t="str"/>
    </x:row>
    <x:row r="80">
      <x:c r="A80" s="14" t="str">
        <x:v>V3-039</x:v>
      </x:c>
      <x:c r="B80" s="14" t="str">
        <x:v>Досліджено 28.07</x:v>
      </x:c>
      <x:c r="C80" s="14" t="str">
        <x:v>ТОВ «СВІТ КАБЕЛЬНИХ СИСТЕМ»</x:v>
      </x:c>
      <x:c r="D80" s="14" t="str">
        <x:v>Слаботочні системи</x:v>
      </x:c>
      <x:c r="E80" s="14" t="str">
        <x:v>Expansion discovery</x:v>
      </x:c>
      <x:c r="F80" s="17" t="str">
        <x:f>IF(E80="Pilot now",IF(P80&gt;=84,"P1",IF(P80&gt;=72,"P2","P3")),IF(E80="Expansion discovery",IF(Q80&gt;=88,"D1",IF(Q80&gt;=78,"D2","D3")),IF(E80="Later / requirements","L","Legacy")))</x:f>
        <x:v>D1</x:v>
      </x:c>
      <x:c r="G80" s="14" t="str">
        <x:v>ikscs.in.ua</x:v>
      </x:c>
      <x:c r="H80" s="14" t="str">
        <x:v>Discovery — частково Н.15 + вимоги проєкту</x:v>
      </x:c>
      <x:c r="I80" s="16" t="n">
        <x:v>3</x:v>
      </x:c>
      <x:c r="J80" s="16" t="n">
        <x:v>5</x:v>
      </x:c>
      <x:c r="K80" s="16" t="n">
        <x:v>4</x:v>
      </x:c>
      <x:c r="L80" s="16" t="n">
        <x:v>4</x:v>
      </x:c>
      <x:c r="M80" s="16" t="n">
        <x:v>4</x:v>
      </x:c>
      <x:c r="N80" s="16" t="n">
        <x:v>5</x:v>
      </x:c>
      <x:c r="O80" s="16" t="n">
        <x:v>5</x:v>
      </x:c>
      <x:c r="P80" s="16" t="n">
        <x:f>IF(COUNT(I80:O80)&lt;7,"",I80*8+J80*3+K80*2+L80*2+M80*2+N80*2+O80)</x:f>
        <x:v>78</x:v>
      </x:c>
      <x:c r="Q80" s="16" t="n">
        <x:f>IF(COUNT(J80:O80)&lt;6,"",J80*5+K80*4+M80*4+L80*3+N80*2+O80*2)</x:f>
        <x:v>89</x:v>
      </x:c>
      <x:c r="R80" s="14" t="str">
        <x:v>medium</x:v>
      </x:c>
      <x:c r="S80" s="14" t="str">
        <x:v>historical_research_2026-07-28</x:v>
      </x:c>
      <x:c r="T80" s="14" t="str">
        <x:v>historical_official_research</x:v>
      </x:c>
      <x:c r="U80" s="14" t="str">
        <x:v>Надіслано 28.07 — follow-up</x:v>
      </x:c>
      <x:c r="V80" s="15" t="str">
        <x:v>Follow-up з review-link; далі попросити 1 анонімізований артефакт</x:v>
      </x:c>
      <x:c r="W80" s="15" t="str">
        <x:v>Власник / директор; керівник ПТО</x:v>
      </x:c>
      <x:c r="X80" s="15" t="str">
        <x:v>СКС, відеонагляд, контроль доступу, IP-телефонія, сигналізація та електромонтажні роботи.</x:v>
      </x:c>
      <x:c r="Y80" s="15" t="str">
        <x:v>Велика кількість кабельних ліній і кінцевих точок створює ризик неповної фіксації перед закриттям.</x:v>
      </x:c>
      <x:c r="Z80" s="15" t="str">
        <x:v>https://ikscs.in.ua/</x:v>
      </x:c>
      <x:c r="AA80" s="14" t="str">
        <x:v>40217647</x:v>
      </x:c>
      <x:c r="AB80" s="14" t="str">
        <x:v>2026-07-28</x:v>
      </x:c>
      <x:c r="AC80" s="14" t="str">
        <x:v>Олександр</x:v>
      </x:c>
      <x:c r="AD80" s="18" t="str"/>
      <x:c r="AE80" s="14" t="str"/>
    </x:row>
    <x:row r="81">
      <x:c r="A81" s="14" t="str">
        <x:v>EXP-037</x:v>
      </x:c>
      <x:c r="B81" s="14" t="str">
        <x:v>Розширення ніш — 24.08</x:v>
      </x:c>
      <x:c r="C81" s="14" t="str">
        <x:v>Kovlar Group</x:v>
      </x:c>
      <x:c r="D81" s="14" t="str">
        <x:v>Пасивний вогнезахист</x:v>
      </x:c>
      <x:c r="E81" s="14" t="str">
        <x:v>Expansion discovery</x:v>
      </x:c>
      <x:c r="F81" s="17" t="str">
        <x:f>IF(E81="Pilot now",IF(P81&gt;=84,"P1",IF(P81&gt;=72,"P2","P3")),IF(E81="Expansion discovery",IF(Q81&gt;=88,"D1",IF(Q81&gt;=78,"D2","D3")),IF(E81="Later / requirements","L","Legacy")))</x:f>
        <x:v>D1</x:v>
      </x:c>
      <x:c r="G81" s="14" t="str">
        <x:v>kovlargroup.com</x:v>
      </x:c>
      <x:c r="H81" s="14" t="str">
        <x:v>Discovery — вимоги проєкту</x:v>
      </x:c>
      <x:c r="I81" s="16" t="n">
        <x:v>1</x:v>
      </x:c>
      <x:c r="J81" s="16" t="n">
        <x:v>5</x:v>
      </x:c>
      <x:c r="K81" s="16" t="n">
        <x:v>5</x:v>
      </x:c>
      <x:c r="L81" s="16" t="n">
        <x:v>5</x:v>
      </x:c>
      <x:c r="M81" s="16" t="n">
        <x:v>5</x:v>
      </x:c>
      <x:c r="N81" s="16" t="n">
        <x:v>5</x:v>
      </x:c>
      <x:c r="O81" s="16" t="n">
        <x:v>5</x:v>
      </x:c>
      <x:c r="P81" s="16" t="n">
        <x:f>IF(COUNT(I81:O81)&lt;7,"",I81*8+J81*3+K81*2+L81*2+M81*2+N81*2+O81)</x:f>
        <x:v>68</x:v>
      </x:c>
      <x:c r="Q81" s="16" t="n">
        <x:f>IF(COUNT(J81:O81)&lt;6,"",J81*5+K81*4+M81*4+L81*3+N81*2+O81*2)</x:f>
        <x:v>100</x:v>
      </x:c>
      <x:c r="R81" s="14" t="str">
        <x:v>high</x:v>
      </x:c>
      <x:c r="S81" s="14" t="str">
        <x:v>official_source_reverified</x:v>
      </x:c>
      <x:c r="T81" s="14" t="str">
        <x:v>official_source_reachable</x:v>
      </x:c>
      <x:c r="U81" s="14" t="str">
        <x:v>Новий — не контактували</x:v>
      </x:c>
      <x:c r="V81" s="15" t="str">
        <x:v>Discovery-call: отримати 1 реальний артефакт і вимоги проєкту; не обіцяти готове покриття</x:v>
      </x:c>
      <x:c r="W81" s="15" t="str">
        <x:v>Власник / директор; керівник проєктів; відповідальний за якість</x:v>
      </x:c>
      <x:c r="X81" s="15" t="str">
        <x:v>Проєктування, експертиза, лабораторні випробування й здача-приймання вогнезахисту.</x:v>
      </x:c>
      <x:c r="Y81" s="15" t="str">
        <x:v>Товщина покриття, підготовка поверхні, кабельні проходки й сертифіковані матеріали потребують доказів до закриття оздобленням.</x:v>
      </x:c>
      <x:c r="Z81" s="15" t="str">
        <x:v>https://kovlargroup.com/uk/services/services-uk/</x:v>
      </x:c>
      <x:c r="AA81" s="14" t="str"/>
      <x:c r="AB81" s="14" t="str">
        <x:v>2026-08-24</x:v>
      </x:c>
      <x:c r="AC81" s="14" t="str">
        <x:v>Олександр</x:v>
      </x:c>
      <x:c r="AD81" s="18" t="str"/>
      <x:c r="AE81" s="14" t="str"/>
    </x:row>
    <x:row r="82">
      <x:c r="A82" s="14" t="str">
        <x:v>EXP-036</x:v>
      </x:c>
      <x:c r="B82" s="14" t="str">
        <x:v>Розширення ніш — 24.08</x:v>
      </x:c>
      <x:c r="C82" s="14" t="str">
        <x:v>Системи Вашої Безпеки</x:v>
      </x:c>
      <x:c r="D82" s="14" t="str">
        <x:v>Пасивний вогнезахист</x:v>
      </x:c>
      <x:c r="E82" s="14" t="str">
        <x:v>Expansion discovery</x:v>
      </x:c>
      <x:c r="F82" s="17" t="str">
        <x:f>IF(E82="Pilot now",IF(P82&gt;=84,"P1",IF(P82&gt;=72,"P2","P3")),IF(E82="Expansion discovery",IF(Q82&gt;=88,"D1",IF(Q82&gt;=78,"D2","D3")),IF(E82="Later / requirements","L","Legacy")))</x:f>
        <x:v>D1</x:v>
      </x:c>
      <x:c r="G82" s="14" t="str">
        <x:v>svb.com.ua</x:v>
      </x:c>
      <x:c r="H82" s="14" t="str">
        <x:v>Discovery — вимоги проєкту</x:v>
      </x:c>
      <x:c r="I82" s="16" t="n">
        <x:v>1</x:v>
      </x:c>
      <x:c r="J82" s="16" t="n">
        <x:v>5</x:v>
      </x:c>
      <x:c r="K82" s="16" t="n">
        <x:v>5</x:v>
      </x:c>
      <x:c r="L82" s="16" t="n">
        <x:v>4</x:v>
      </x:c>
      <x:c r="M82" s="16" t="n">
        <x:v>5</x:v>
      </x:c>
      <x:c r="N82" s="16" t="n">
        <x:v>5</x:v>
      </x:c>
      <x:c r="O82" s="16" t="n">
        <x:v>5</x:v>
      </x:c>
      <x:c r="P82" s="16" t="n">
        <x:f>IF(COUNT(I82:O82)&lt;7,"",I82*8+J82*3+K82*2+L82*2+M82*2+N82*2+O82)</x:f>
        <x:v>66</x:v>
      </x:c>
      <x:c r="Q82" s="16" t="n">
        <x:f>IF(COUNT(J82:O82)&lt;6,"",J82*5+K82*4+M82*4+L82*3+N82*2+O82*2)</x:f>
        <x:v>97</x:v>
      </x:c>
      <x:c r="R82" s="14" t="str">
        <x:v>high</x:v>
      </x:c>
      <x:c r="S82" s="14" t="str">
        <x:v>official_source_reverified</x:v>
      </x:c>
      <x:c r="T82" s="14" t="str">
        <x:v>official_source_reachable</x:v>
      </x:c>
      <x:c r="U82" s="14" t="str">
        <x:v>Новий — не контактували</x:v>
      </x:c>
      <x:c r="V82" s="15" t="str">
        <x:v>Discovery-call: отримати 1 реальний артефакт і вимоги проєкту; не обіцяти готове покриття</x:v>
      </x:c>
      <x:c r="W82" s="15" t="str">
        <x:v>Власник / директор; керівник проєктів; відповідальний за якість</x:v>
      </x:c>
      <x:c r="X82" s="15" t="str">
        <x:v>Обробка дерева, металу й кабельних проходок з актами для перевірок.</x:v>
      </x:c>
      <x:c r="Y82" s="15" t="str">
        <x:v>Товщина покриття, підготовка поверхні, кабельні проходки й сертифіковані матеріали потребують доказів до закриття оздобленням.</x:v>
      </x:c>
      <x:c r="Z82" s="15" t="str">
        <x:v>https://svb.com.ua/poslugi/vognezahisna-obrobka/</x:v>
      </x:c>
      <x:c r="AA82" s="14" t="str"/>
      <x:c r="AB82" s="14" t="str">
        <x:v>2026-08-24</x:v>
      </x:c>
      <x:c r="AC82" s="14" t="str">
        <x:v>Олександр</x:v>
      </x:c>
      <x:c r="AD82" s="18" t="str"/>
      <x:c r="AE82" s="14" t="str"/>
    </x:row>
    <x:row r="83">
      <x:c r="A83" s="14" t="str">
        <x:v>EXP-040</x:v>
      </x:c>
      <x:c r="B83" s="14" t="str">
        <x:v>Розширення ніш — 24.08</x:v>
      </x:c>
      <x:c r="C83" s="14" t="str">
        <x:v>СПЕЦПОЖЗАХИСТ-УКРАЇНА</x:v>
      </x:c>
      <x:c r="D83" s="14" t="str">
        <x:v>Пасивний вогнезахист</x:v>
      </x:c>
      <x:c r="E83" s="14" t="str">
        <x:v>Expansion discovery</x:v>
      </x:c>
      <x:c r="F83" s="17" t="str">
        <x:f>IF(E83="Pilot now",IF(P83&gt;=84,"P1",IF(P83&gt;=72,"P2","P3")),IF(E83="Expansion discovery",IF(Q83&gt;=88,"D1",IF(Q83&gt;=78,"D2","D3")),IF(E83="Later / requirements","L","Legacy")))</x:f>
        <x:v>D1</x:v>
      </x:c>
      <x:c r="G83" s="14" t="str">
        <x:v>spz-bc.com.ua</x:v>
      </x:c>
      <x:c r="H83" s="14" t="str">
        <x:v>Discovery — вимоги проєкту</x:v>
      </x:c>
      <x:c r="I83" s="16" t="n">
        <x:v>1</x:v>
      </x:c>
      <x:c r="J83" s="16" t="n">
        <x:v>5</x:v>
      </x:c>
      <x:c r="K83" s="16" t="n">
        <x:v>5</x:v>
      </x:c>
      <x:c r="L83" s="16" t="n">
        <x:v>4</x:v>
      </x:c>
      <x:c r="M83" s="16" t="n">
        <x:v>5</x:v>
      </x:c>
      <x:c r="N83" s="16" t="n">
        <x:v>5</x:v>
      </x:c>
      <x:c r="O83" s="16" t="n">
        <x:v>5</x:v>
      </x:c>
      <x:c r="P83" s="16" t="n">
        <x:f>IF(COUNT(I83:O83)&lt;7,"",I83*8+J83*3+K83*2+L83*2+M83*2+N83*2+O83)</x:f>
        <x:v>66</x:v>
      </x:c>
      <x:c r="Q83" s="16" t="n">
        <x:f>IF(COUNT(J83:O83)&lt;6,"",J83*5+K83*4+M83*4+L83*3+N83*2+O83*2)</x:f>
        <x:v>97</x:v>
      </x:c>
      <x:c r="R83" s="14" t="str">
        <x:v>high</x:v>
      </x:c>
      <x:c r="S83" s="14" t="str">
        <x:v>official_source_reverified</x:v>
      </x:c>
      <x:c r="T83" s="14" t="str">
        <x:v>official_source_reachable</x:v>
      </x:c>
      <x:c r="U83" s="14" t="str">
        <x:v>Новий — не контактували</x:v>
      </x:c>
      <x:c r="V83" s="15" t="str">
        <x:v>Discovery-call: отримати 1 реальний артефакт і вимоги проєкту; не обіцяти готове покриття</x:v>
      </x:c>
      <x:c r="W83" s="15" t="str">
        <x:v>Власник / директор; керівник проєктів; відповідальний за якість</x:v>
      </x:c>
      <x:c r="X83" s="15" t="str">
        <x:v>Проєктування й монтаж під ключ у пожежній та техногенній безпеці.</x:v>
      </x:c>
      <x:c r="Y83" s="15" t="str">
        <x:v>Товщина покриття, підготовка поверхні, кабельні проходки й сертифіковані матеріали потребують доказів до закриття оздобленням.</x:v>
      </x:c>
      <x:c r="Z83" s="15" t="str">
        <x:v>https://www.spz-bc.com.ua/</x:v>
      </x:c>
      <x:c r="AA83" s="14" t="str"/>
      <x:c r="AB83" s="14" t="str">
        <x:v>2026-08-24</x:v>
      </x:c>
      <x:c r="AC83" s="14" t="str">
        <x:v>Олександр</x:v>
      </x:c>
      <x:c r="AD83" s="18" t="str"/>
      <x:c r="AE83" s="14" t="str"/>
    </x:row>
    <x:row r="84">
      <x:c r="A84" s="14" t="str">
        <x:v>EXP-039</x:v>
      </x:c>
      <x:c r="B84" s="14" t="str">
        <x:v>Розширення ніш — 24.08</x:v>
      </x:c>
      <x:c r="C84" s="14" t="str">
        <x:v>Український центр технічної безпеки</x:v>
      </x:c>
      <x:c r="D84" s="14" t="str">
        <x:v>Пасивний вогнезахист</x:v>
      </x:c>
      <x:c r="E84" s="14" t="str">
        <x:v>Expansion discovery</x:v>
      </x:c>
      <x:c r="F84" s="17" t="str">
        <x:f>IF(E84="Pilot now",IF(P84&gt;=84,"P1",IF(P84&gt;=72,"P2","P3")),IF(E84="Expansion discovery",IF(Q84&gt;=88,"D1",IF(Q84&gt;=78,"D2","D3")),IF(E84="Later / requirements","L","Legacy")))</x:f>
        <x:v>D1</x:v>
      </x:c>
      <x:c r="G84" s="14" t="str">
        <x:v>uctb.ua</x:v>
      </x:c>
      <x:c r="H84" s="14" t="str">
        <x:v>Discovery — вимоги проєкту</x:v>
      </x:c>
      <x:c r="I84" s="16" t="n">
        <x:v>1</x:v>
      </x:c>
      <x:c r="J84" s="16" t="n">
        <x:v>5</x:v>
      </x:c>
      <x:c r="K84" s="16" t="n">
        <x:v>5</x:v>
      </x:c>
      <x:c r="L84" s="16" t="n">
        <x:v>4</x:v>
      </x:c>
      <x:c r="M84" s="16" t="n">
        <x:v>5</x:v>
      </x:c>
      <x:c r="N84" s="16" t="n">
        <x:v>5</x:v>
      </x:c>
      <x:c r="O84" s="16" t="n">
        <x:v>5</x:v>
      </x:c>
      <x:c r="P84" s="16" t="n">
        <x:f>IF(COUNT(I84:O84)&lt;7,"",I84*8+J84*3+K84*2+L84*2+M84*2+N84*2+O84)</x:f>
        <x:v>66</x:v>
      </x:c>
      <x:c r="Q84" s="16" t="n">
        <x:f>IF(COUNT(J84:O84)&lt;6,"",J84*5+K84*4+M84*4+L84*3+N84*2+O84*2)</x:f>
        <x:v>97</x:v>
      </x:c>
      <x:c r="R84" s="14" t="str">
        <x:v>high</x:v>
      </x:c>
      <x:c r="S84" s="14" t="str">
        <x:v>official_source_reverified</x:v>
      </x:c>
      <x:c r="T84" s="14" t="str">
        <x:v>official_source_reachable</x:v>
      </x:c>
      <x:c r="U84" s="14" t="str">
        <x:v>Новий — не контактували</x:v>
      </x:c>
      <x:c r="V84" s="15" t="str">
        <x:v>Discovery-call: отримати 1 реальний артефакт і вимоги проєкту; не обіцяти готове покриття</x:v>
      </x:c>
      <x:c r="W84" s="15" t="str">
        <x:v>Власник / директор; керівник проєктів; відповідальний за якість</x:v>
      </x:c>
      <x:c r="X84" s="15" t="str">
        <x:v>Проєктування, монтаж і пусконалагодження протипожежних систем та вогнезахисної обробки.</x:v>
      </x:c>
      <x:c r="Y84" s="15" t="str">
        <x:v>Товщина покриття, підготовка поверхні, кабельні проходки й сертифіковані матеріали потребують доказів до закриття оздобленням.</x:v>
      </x:c>
      <x:c r="Z84" s="15" t="str">
        <x:v>http://uctb.ua/</x:v>
      </x:c>
      <x:c r="AA84" s="14" t="str"/>
      <x:c r="AB84" s="14" t="str">
        <x:v>2026-08-24</x:v>
      </x:c>
      <x:c r="AC84" s="14" t="str">
        <x:v>Олександр</x:v>
      </x:c>
      <x:c r="AD84" s="18" t="str"/>
      <x:c r="AE84" s="14" t="str"/>
    </x:row>
    <x:row r="85">
      <x:c r="A85" s="14" t="str">
        <x:v>EXP-035</x:v>
      </x:c>
      <x:c r="B85" s="14" t="str">
        <x:v>Розширення ніш — 24.08</x:v>
      </x:c>
      <x:c r="C85" s="14" t="str">
        <x:v>DEFENS</x:v>
      </x:c>
      <x:c r="D85" s="14" t="str">
        <x:v>Пасивний вогнезахист</x:v>
      </x:c>
      <x:c r="E85" s="14" t="str">
        <x:v>Expansion discovery</x:v>
      </x:c>
      <x:c r="F85" s="17" t="str">
        <x:f>IF(E85="Pilot now",IF(P85&gt;=84,"P1",IF(P85&gt;=72,"P2","P3")),IF(E85="Expansion discovery",IF(Q85&gt;=88,"D1",IF(Q85&gt;=78,"D2","D3")),IF(E85="Later / requirements","L","Legacy")))</x:f>
        <x:v>D1</x:v>
      </x:c>
      <x:c r="G85" s="14" t="str">
        <x:v>defens.ua</x:v>
      </x:c>
      <x:c r="H85" s="14" t="str">
        <x:v>Discovery — вимоги проєкту</x:v>
      </x:c>
      <x:c r="I85" s="16" t="n">
        <x:v>1</x:v>
      </x:c>
      <x:c r="J85" s="16" t="n">
        <x:v>5</x:v>
      </x:c>
      <x:c r="K85" s="16" t="n">
        <x:v>5</x:v>
      </x:c>
      <x:c r="L85" s="16" t="n">
        <x:v>4</x:v>
      </x:c>
      <x:c r="M85" s="16" t="n">
        <x:v>5</x:v>
      </x:c>
      <x:c r="N85" s="16" t="n">
        <x:v>5</x:v>
      </x:c>
      <x:c r="O85" s="16" t="n">
        <x:v>5</x:v>
      </x:c>
      <x:c r="P85" s="16" t="n">
        <x:f>IF(COUNT(I85:O85)&lt;7,"",I85*8+J85*3+K85*2+L85*2+M85*2+N85*2+O85)</x:f>
        <x:v>66</x:v>
      </x:c>
      <x:c r="Q85" s="16" t="n">
        <x:f>IF(COUNT(J85:O85)&lt;6,"",J85*5+K85*4+M85*4+L85*3+N85*2+O85*2)</x:f>
        <x:v>97</x:v>
      </x:c>
      <x:c r="R85" s="14" t="str">
        <x:v>high</x:v>
      </x:c>
      <x:c r="S85" s="14" t="str">
        <x:v>official_source_reverified</x:v>
      </x:c>
      <x:c r="T85" s="14" t="str">
        <x:v>official_source_reachable</x:v>
      </x:c>
      <x:c r="U85" s="14" t="str">
        <x:v>Новий — не контактували</x:v>
      </x:c>
      <x:c r="V85" s="15" t="str">
        <x:v>Discovery-call: отримати 1 реальний артефакт і вимоги проєкту; не обіцяти готове покриття</x:v>
      </x:c>
      <x:c r="W85" s="15" t="str">
        <x:v>Власник / директор; керівник проєктів; відповідальний за якість</x:v>
      </x:c>
      <x:c r="X85" s="15" t="str">
        <x:v>Власне виробництво та нанесення вогнезахисних покриттів на металоконструкції.</x:v>
      </x:c>
      <x:c r="Y85" s="15" t="str">
        <x:v>Товщина покриття, підготовка поверхні, кабельні проходки й сертифіковані матеріали потребують доказів до закриття оздобленням.</x:v>
      </x:c>
      <x:c r="Z85" s="15" t="str">
        <x:v>https://www.defens.ua/</x:v>
      </x:c>
      <x:c r="AA85" s="14" t="str"/>
      <x:c r="AB85" s="14" t="str">
        <x:v>2026-08-24</x:v>
      </x:c>
      <x:c r="AC85" s="14" t="str">
        <x:v>Олександр</x:v>
      </x:c>
      <x:c r="AD85" s="18" t="str"/>
      <x:c r="AE85" s="14" t="str"/>
    </x:row>
    <x:row r="86">
      <x:c r="A86" s="14" t="str">
        <x:v>EXP-041</x:v>
      </x:c>
      <x:c r="B86" s="14" t="str">
        <x:v>Розширення ніш — 24.08</x:v>
      </x:c>
      <x:c r="C86" s="14" t="str">
        <x:v>ORION GROUP</x:v>
      </x:c>
      <x:c r="D86" s="14" t="str">
        <x:v>Промислова теплоізоляція</x:v>
      </x:c>
      <x:c r="E86" s="14" t="str">
        <x:v>Expansion discovery</x:v>
      </x:c>
      <x:c r="F86" s="17" t="str">
        <x:f>IF(E86="Pilot now",IF(P86&gt;=84,"P1",IF(P86&gt;=72,"P2","P3")),IF(E86="Expansion discovery",IF(Q86&gt;=88,"D1",IF(Q86&gt;=78,"D2","D3")),IF(E86="Later / requirements","L","Legacy")))</x:f>
        <x:v>D1</x:v>
      </x:c>
      <x:c r="G86" s="14" t="str">
        <x:v>oriongr.com</x:v>
      </x:c>
      <x:c r="H86" s="14" t="str">
        <x:v>Discovery — вимоги проєкту</x:v>
      </x:c>
      <x:c r="I86" s="16" t="n">
        <x:v>1</x:v>
      </x:c>
      <x:c r="J86" s="16" t="n">
        <x:v>5</x:v>
      </x:c>
      <x:c r="K86" s="16" t="n">
        <x:v>5</x:v>
      </x:c>
      <x:c r="L86" s="16" t="n">
        <x:v>5</x:v>
      </x:c>
      <x:c r="M86" s="16" t="n">
        <x:v>4</x:v>
      </x:c>
      <x:c r="N86" s="16" t="n">
        <x:v>5</x:v>
      </x:c>
      <x:c r="O86" s="16" t="n">
        <x:v>5</x:v>
      </x:c>
      <x:c r="P86" s="16" t="n">
        <x:f>IF(COUNT(I86:O86)&lt;7,"",I86*8+J86*3+K86*2+L86*2+M86*2+N86*2+O86)</x:f>
        <x:v>66</x:v>
      </x:c>
      <x:c r="Q86" s="16" t="n">
        <x:f>IF(COUNT(J86:O86)&lt;6,"",J86*5+K86*4+M86*4+L86*3+N86*2+O86*2)</x:f>
        <x:v>96</x:v>
      </x:c>
      <x:c r="R86" s="14" t="str">
        <x:v>high</x:v>
      </x:c>
      <x:c r="S86" s="14" t="str">
        <x:v>official_source_reverified</x:v>
      </x:c>
      <x:c r="T86" s="14" t="str">
        <x:v>official_source_reachable</x:v>
      </x:c>
      <x:c r="U86" s="14" t="str">
        <x:v>Новий — не контактували</x:v>
      </x:c>
      <x:c r="V86" s="15" t="str">
        <x:v>Discovery-call: отримати 1 реальний артефакт і вимоги проєкту; не обіцяти готове покриття</x:v>
      </x:c>
      <x:c r="W86" s="15" t="str">
        <x:v>Директор; головний інженер; керівник промислового монтажу</x:v>
      </x:c>
      <x:c r="X86" s="15" t="str">
        <x:v>30+ років; ізоляція трубопроводів і ємностей у pharma, food, chemical та energy.</x:v>
      </x:c>
      <x:c r="Y86" s="15" t="str">
        <x:v>Стан трубопроводу, товщина й суцільність ізоляції закриваються металевим кожухом; важливі фото по етапах.</x:v>
      </x:c>
      <x:c r="Z86" s="15" t="str">
        <x:v>https://oriongr.com/montazhni-roboty/izoliatsijni-roboty/</x:v>
      </x:c>
      <x:c r="AA86" s="14" t="str"/>
      <x:c r="AB86" s="14" t="str">
        <x:v>2026-08-24</x:v>
      </x:c>
      <x:c r="AC86" s="14" t="str">
        <x:v>Олександр</x:v>
      </x:c>
      <x:c r="AD86" s="18" t="str"/>
      <x:c r="AE86" s="14" t="str"/>
    </x:row>
    <x:row r="87">
      <x:c r="A87" s="14" t="str">
        <x:v>EXP-056</x:v>
      </x:c>
      <x:c r="B87" s="14" t="str">
        <x:v>Розширення ніш — 24.08</x:v>
      </x:c>
      <x:c r="C87" s="14" t="str">
        <x:v>ЄВРОЛІФТ</x:v>
      </x:c>
      <x:c r="D87" s="14" t="str">
        <x:v>Ліфти, ескалатори та підйомники</x:v>
      </x:c>
      <x:c r="E87" s="14" t="str">
        <x:v>Expansion discovery</x:v>
      </x:c>
      <x:c r="F87" s="17" t="str">
        <x:f>IF(E87="Pilot now",IF(P87&gt;=84,"P1",IF(P87&gt;=72,"P2","P3")),IF(E87="Expansion discovery",IF(Q87&gt;=88,"D1",IF(Q87&gt;=78,"D2","D3")),IF(E87="Later / requirements","L","Legacy")))</x:f>
        <x:v>D1</x:v>
      </x:c>
      <x:c r="G87" s="14" t="str">
        <x:v>eurolift.com.ua</x:v>
      </x:c>
      <x:c r="H87" s="14" t="str">
        <x:v>Discovery — вимоги проєкту</x:v>
      </x:c>
      <x:c r="I87" s="16" t="n">
        <x:v>1</x:v>
      </x:c>
      <x:c r="J87" s="16" t="n">
        <x:v>4</x:v>
      </x:c>
      <x:c r="K87" s="16" t="n">
        <x:v>4</x:v>
      </x:c>
      <x:c r="L87" s="16" t="n">
        <x:v>5</x:v>
      </x:c>
      <x:c r="M87" s="16" t="n">
        <x:v>5</x:v>
      </x:c>
      <x:c r="N87" s="16" t="n">
        <x:v>5</x:v>
      </x:c>
      <x:c r="O87" s="16" t="n">
        <x:v>5</x:v>
      </x:c>
      <x:c r="P87" s="16" t="n">
        <x:f>IF(COUNT(I87:O87)&lt;7,"",I87*8+J87*3+K87*2+L87*2+M87*2+N87*2+O87)</x:f>
        <x:v>63</x:v>
      </x:c>
      <x:c r="Q87" s="16" t="n">
        <x:f>IF(COUNT(J87:O87)&lt;6,"",J87*5+K87*4+M87*4+L87*3+N87*2+O87*2)</x:f>
        <x:v>91</x:v>
      </x:c>
      <x:c r="R87" s="14" t="str">
        <x:v>high</x:v>
      </x:c>
      <x:c r="S87" s="14" t="str">
        <x:v>official_source_reverified</x:v>
      </x:c>
      <x:c r="T87" s="14" t="str">
        <x:v>official_source_reachable</x:v>
      </x:c>
      <x:c r="U87" s="14" t="str">
        <x:v>Новий — не контактували</x:v>
      </x:c>
      <x:c r="V87" s="15" t="str">
        <x:v>Discovery-call: отримати 1 реальний артефакт і вимоги проєкту; не обіцяти готове покриття</x:v>
      </x:c>
      <x:c r="W87" s="15" t="str">
        <x:v>Директор; керівник монтажу; відповідальний за введення в експлуатацію</x:v>
      </x:c>
      <x:c r="X87" s="15" t="str">
        <x:v>Поставка, монтаж і гарантійна підтримка ліфтів, ескалаторів та підйомників; велике портфоліо.</x:v>
      </x:c>
      <x:c r="Y87" s="15" t="str">
        <x:v>Закладні, напрямні, електрика, випробування й постановка на облік мають поетапну приймальну документацію.</x:v>
      </x:c>
      <x:c r="Z87" s="15" t="str">
        <x:v>https://www.eurolift.com.ua/</x:v>
      </x:c>
      <x:c r="AA87" s="14" t="str"/>
      <x:c r="AB87" s="14" t="str">
        <x:v>2026-08-24</x:v>
      </x:c>
      <x:c r="AC87" s="14" t="str">
        <x:v>Олександр</x:v>
      </x:c>
      <x:c r="AD87" s="18" t="str"/>
      <x:c r="AE87" s="14" t="str"/>
    </x:row>
    <x:row r="88">
      <x:c r="A88" s="14" t="str">
        <x:v>EXP-057</x:v>
      </x:c>
      <x:c r="B88" s="14" t="str">
        <x:v>Розширення ніш — 24.08</x:v>
      </x:c>
      <x:c r="C88" s="14" t="str">
        <x:v>LSK</x:v>
      </x:c>
      <x:c r="D88" s="14" t="str">
        <x:v>Ліфти, ескалатори та підйомники</x:v>
      </x:c>
      <x:c r="E88" s="14" t="str">
        <x:v>Expansion discovery</x:v>
      </x:c>
      <x:c r="F88" s="17" t="str">
        <x:f>IF(E88="Pilot now",IF(P88&gt;=84,"P1",IF(P88&gt;=72,"P2","P3")),IF(E88="Expansion discovery",IF(Q88&gt;=88,"D1",IF(Q88&gt;=78,"D2","D3")),IF(E88="Later / requirements","L","Legacy")))</x:f>
        <x:v>D1</x:v>
      </x:c>
      <x:c r="G88" s="14" t="str">
        <x:v>lsk.com.ua</x:v>
      </x:c>
      <x:c r="H88" s="14" t="str">
        <x:v>Discovery — вимоги проєкту</x:v>
      </x:c>
      <x:c r="I88" s="16" t="n">
        <x:v>1</x:v>
      </x:c>
      <x:c r="J88" s="16" t="n">
        <x:v>4</x:v>
      </x:c>
      <x:c r="K88" s="16" t="n">
        <x:v>4</x:v>
      </x:c>
      <x:c r="L88" s="16" t="n">
        <x:v>5</x:v>
      </x:c>
      <x:c r="M88" s="16" t="n">
        <x:v>5</x:v>
      </x:c>
      <x:c r="N88" s="16" t="n">
        <x:v>5</x:v>
      </x:c>
      <x:c r="O88" s="16" t="n">
        <x:v>5</x:v>
      </x:c>
      <x:c r="P88" s="16" t="n">
        <x:f>IF(COUNT(I88:O88)&lt;7,"",I88*8+J88*3+K88*2+L88*2+M88*2+N88*2+O88)</x:f>
        <x:v>63</x:v>
      </x:c>
      <x:c r="Q88" s="16" t="n">
        <x:f>IF(COUNT(J88:O88)&lt;6,"",J88*5+K88*4+M88*4+L88*3+N88*2+O88*2)</x:f>
        <x:v>91</x:v>
      </x:c>
      <x:c r="R88" s="14" t="str">
        <x:v>high</x:v>
      </x:c>
      <x:c r="S88" s="14" t="str">
        <x:v>official_source_reverified</x:v>
      </x:c>
      <x:c r="T88" s="14" t="str">
        <x:v>official_source_reachable</x:v>
      </x:c>
      <x:c r="U88" s="14" t="str">
        <x:v>Новий — не контактували</x:v>
      </x:c>
      <x:c r="V88" s="15" t="str">
        <x:v>Discovery-call: отримати 1 реальний артефакт і вимоги проєкту; не обіцяти готове покриття</x:v>
      </x:c>
      <x:c r="W88" s="15" t="str">
        <x:v>Директор; керівник монтажу; відповідальний за введення в експлуатацію</x:v>
      </x:c>
      <x:c r="X88" s="15" t="str">
        <x:v>20 років, 1000+ об’єктів; від проєкту й монтажу до постановки на облік.</x:v>
      </x:c>
      <x:c r="Y88" s="15" t="str">
        <x:v>Закладні, напрямні, електрика, випробування й постановка на облік мають поетапну приймальну документацію.</x:v>
      </x:c>
      <x:c r="Z88" s="15" t="str">
        <x:v>https://lsk.com.ua/</x:v>
      </x:c>
      <x:c r="AA88" s="14" t="str"/>
      <x:c r="AB88" s="14" t="str">
        <x:v>2026-08-24</x:v>
      </x:c>
      <x:c r="AC88" s="14" t="str">
        <x:v>Олександр</x:v>
      </x:c>
      <x:c r="AD88" s="18" t="str"/>
      <x:c r="AE88" s="14" t="str"/>
    </x:row>
    <x:row r="89">
      <x:c r="A89" s="14" t="str">
        <x:v>EXP-042</x:v>
      </x:c>
      <x:c r="B89" s="14" t="str">
        <x:v>Розширення ніш — 24.08</x:v>
      </x:c>
      <x:c r="C89" s="14" t="str">
        <x:v>ІНКРАФТ</x:v>
      </x:c>
      <x:c r="D89" s="14" t="str">
        <x:v>Промислова теплоізоляція</x:v>
      </x:c>
      <x:c r="E89" s="14" t="str">
        <x:v>Expansion discovery</x:v>
      </x:c>
      <x:c r="F89" s="17" t="str">
        <x:f>IF(E89="Pilot now",IF(P89&gt;=84,"P1",IF(P89&gt;=72,"P2","P3")),IF(E89="Expansion discovery",IF(Q89&gt;=88,"D1",IF(Q89&gt;=78,"D2","D3")),IF(E89="Later / requirements","L","Legacy")))</x:f>
        <x:v>D1</x:v>
      </x:c>
      <x:c r="G89" s="14" t="str">
        <x:v>inkraft.com.ua</x:v>
      </x:c>
      <x:c r="H89" s="14" t="str">
        <x:v>Discovery — вимоги проєкту</x:v>
      </x:c>
      <x:c r="I89" s="16" t="n">
        <x:v>1</x:v>
      </x:c>
      <x:c r="J89" s="16" t="n">
        <x:v>5</x:v>
      </x:c>
      <x:c r="K89" s="16" t="n">
        <x:v>5</x:v>
      </x:c>
      <x:c r="L89" s="16" t="n">
        <x:v>3</x:v>
      </x:c>
      <x:c r="M89" s="16" t="n">
        <x:v>4</x:v>
      </x:c>
      <x:c r="N89" s="16" t="n">
        <x:v>5</x:v>
      </x:c>
      <x:c r="O89" s="16" t="n">
        <x:v>5</x:v>
      </x:c>
      <x:c r="P89" s="16" t="n">
        <x:f>IF(COUNT(I89:O89)&lt;7,"",I89*8+J89*3+K89*2+L89*2+M89*2+N89*2+O89)</x:f>
        <x:v>62</x:v>
      </x:c>
      <x:c r="Q89" s="16" t="n">
        <x:f>IF(COUNT(J89:O89)&lt;6,"",J89*5+K89*4+M89*4+L89*3+N89*2+O89*2)</x:f>
        <x:v>90</x:v>
      </x:c>
      <x:c r="R89" s="14" t="str">
        <x:v>high</x:v>
      </x:c>
      <x:c r="S89" s="14" t="str">
        <x:v>official_source_reverified</x:v>
      </x:c>
      <x:c r="T89" s="14" t="str">
        <x:v>official_source_reachable</x:v>
      </x:c>
      <x:c r="U89" s="14" t="str">
        <x:v>Новий — не контактували</x:v>
      </x:c>
      <x:c r="V89" s="15" t="str">
        <x:v>Discovery-call: отримати 1 реальний артефакт і вимоги проєкту; не обіцяти готове покриття</x:v>
      </x:c>
      <x:c r="W89" s="15" t="str">
        <x:v>Директор; головний інженер; керівник промислового монтажу</x:v>
      </x:c>
      <x:c r="X89" s="15" t="str">
        <x:v>Монтаж ізоляції трубопроводів, резервуарів, вентиляції та кріогенних систем.</x:v>
      </x:c>
      <x:c r="Y89" s="15" t="str">
        <x:v>Стан трубопроводу, товщина й суцільність ізоляції закриваються металевим кожухом; важливі фото по етапах.</x:v>
      </x:c>
      <x:c r="Z89" s="15" t="str">
        <x:v>https://inkraft.com.ua/ua/g2706778-izolyatsiionnye-uslugi</x:v>
      </x:c>
      <x:c r="AA89" s="14" t="str"/>
      <x:c r="AB89" s="14" t="str">
        <x:v>2026-08-24</x:v>
      </x:c>
      <x:c r="AC89" s="14" t="str">
        <x:v>Олександр</x:v>
      </x:c>
      <x:c r="AD89" s="18" t="str"/>
      <x:c r="AE89" s="14" t="str"/>
    </x:row>
    <x:row r="90">
      <x:c r="A90" s="14" t="str">
        <x:v>EXP-058</x:v>
      </x:c>
      <x:c r="B90" s="14" t="str">
        <x:v>Розширення ніш — 24.08</x:v>
      </x:c>
      <x:c r="C90" s="14" t="str">
        <x:v>СІТІ ЛІФТ</x:v>
      </x:c>
      <x:c r="D90" s="14" t="str">
        <x:v>Ліфти, ескалатори та підйомники</x:v>
      </x:c>
      <x:c r="E90" s="14" t="str">
        <x:v>Expansion discovery</x:v>
      </x:c>
      <x:c r="F90" s="17" t="str">
        <x:f>IF(E90="Pilot now",IF(P90&gt;=84,"P1",IF(P90&gt;=72,"P2","P3")),IF(E90="Expansion discovery",IF(Q90&gt;=88,"D1",IF(Q90&gt;=78,"D2","D3")),IF(E90="Later / requirements","L","Legacy")))</x:f>
        <x:v>D1</x:v>
      </x:c>
      <x:c r="G90" s="14" t="str">
        <x:v>citylift.com.ua</x:v>
      </x:c>
      <x:c r="H90" s="14" t="str">
        <x:v>Discovery — вимоги проєкту</x:v>
      </x:c>
      <x:c r="I90" s="16" t="n">
        <x:v>1</x:v>
      </x:c>
      <x:c r="J90" s="16" t="n">
        <x:v>4</x:v>
      </x:c>
      <x:c r="K90" s="16" t="n">
        <x:v>4</x:v>
      </x:c>
      <x:c r="L90" s="16" t="n">
        <x:v>4</x:v>
      </x:c>
      <x:c r="M90" s="16" t="n">
        <x:v>5</x:v>
      </x:c>
      <x:c r="N90" s="16" t="n">
        <x:v>5</x:v>
      </x:c>
      <x:c r="O90" s="16" t="n">
        <x:v>5</x:v>
      </x:c>
      <x:c r="P90" s="16" t="n">
        <x:f>IF(COUNT(I90:O90)&lt;7,"",I90*8+J90*3+K90*2+L90*2+M90*2+N90*2+O90)</x:f>
        <x:v>61</x:v>
      </x:c>
      <x:c r="Q90" s="16" t="n">
        <x:f>IF(COUNT(J90:O90)&lt;6,"",J90*5+K90*4+M90*4+L90*3+N90*2+O90*2)</x:f>
        <x:v>88</x:v>
      </x:c>
      <x:c r="R90" s="14" t="str">
        <x:v>high</x:v>
      </x:c>
      <x:c r="S90" s="14" t="str">
        <x:v>official_source_reverified</x:v>
      </x:c>
      <x:c r="T90" s="14" t="str">
        <x:v>official_source_reachable</x:v>
      </x:c>
      <x:c r="U90" s="14" t="str">
        <x:v>Новий — не контактували</x:v>
      </x:c>
      <x:c r="V90" s="15" t="str">
        <x:v>Discovery-call: отримати 1 реальний артефакт і вимоги проєкту; не обіцяти готове покриття</x:v>
      </x:c>
      <x:c r="W90" s="15" t="str">
        <x:v>Директор; керівник монтажу; відповідальний за введення в експлуатацію</x:v>
      </x:c>
      <x:c r="X90" s="15" t="str">
        <x:v>Проєктування, монтаж і здача під ключ за ДБН по всій Україні.</x:v>
      </x:c>
      <x:c r="Y90" s="15" t="str">
        <x:v>Закладні, напрямні, електрика, випробування й постановка на облік мають поетапну приймальну документацію.</x:v>
      </x:c>
      <x:c r="Z90" s="15" t="str">
        <x:v>https://citylift.com.ua/</x:v>
      </x:c>
      <x:c r="AA90" s="14" t="str"/>
      <x:c r="AB90" s="14" t="str">
        <x:v>2026-08-24</x:v>
      </x:c>
      <x:c r="AC90" s="14" t="str">
        <x:v>Олександр</x:v>
      </x:c>
      <x:c r="AD90" s="18" t="str"/>
      <x:c r="AE90" s="14" t="str"/>
    </x:row>
    <x:row r="91">
      <x:c r="A91" s="14" t="str">
        <x:v>EXP-059</x:v>
      </x:c>
      <x:c r="B91" s="14" t="str">
        <x:v>Розширення ніш — 24.08</x:v>
      </x:c>
      <x:c r="C91" s="14" t="str">
        <x:v>BRAVO Lift</x:v>
      </x:c>
      <x:c r="D91" s="14" t="str">
        <x:v>Ліфти, ескалатори та підйомники</x:v>
      </x:c>
      <x:c r="E91" s="14" t="str">
        <x:v>Expansion discovery</x:v>
      </x:c>
      <x:c r="F91" s="17" t="str">
        <x:f>IF(E91="Pilot now",IF(P91&gt;=84,"P1",IF(P91&gt;=72,"P2","P3")),IF(E91="Expansion discovery",IF(Q91&gt;=88,"D1",IF(Q91&gt;=78,"D2","D3")),IF(E91="Later / requirements","L","Legacy")))</x:f>
        <x:v>D1</x:v>
      </x:c>
      <x:c r="G91" s="14" t="str">
        <x:v>bravo-lift.com</x:v>
      </x:c>
      <x:c r="H91" s="14" t="str">
        <x:v>Discovery — вимоги проєкту</x:v>
      </x:c>
      <x:c r="I91" s="16" t="n">
        <x:v>1</x:v>
      </x:c>
      <x:c r="J91" s="16" t="n">
        <x:v>4</x:v>
      </x:c>
      <x:c r="K91" s="16" t="n">
        <x:v>4</x:v>
      </x:c>
      <x:c r="L91" s="16" t="n">
        <x:v>4</x:v>
      </x:c>
      <x:c r="M91" s="16" t="n">
        <x:v>5</x:v>
      </x:c>
      <x:c r="N91" s="16" t="n">
        <x:v>5</x:v>
      </x:c>
      <x:c r="O91" s="16" t="n">
        <x:v>5</x:v>
      </x:c>
      <x:c r="P91" s="16" t="n">
        <x:f>IF(COUNT(I91:O91)&lt;7,"",I91*8+J91*3+K91*2+L91*2+M91*2+N91*2+O91)</x:f>
        <x:v>61</x:v>
      </x:c>
      <x:c r="Q91" s="16" t="n">
        <x:f>IF(COUNT(J91:O91)&lt;6,"",J91*5+K91*4+M91*4+L91*3+N91*2+O91*2)</x:f>
        <x:v>88</x:v>
      </x:c>
      <x:c r="R91" s="14" t="str">
        <x:v>high</x:v>
      </x:c>
      <x:c r="S91" s="14" t="str">
        <x:v>official_source_reverified</x:v>
      </x:c>
      <x:c r="T91" s="14" t="str">
        <x:v>official_source_reachable</x:v>
      </x:c>
      <x:c r="U91" s="14" t="str">
        <x:v>Новий — не контактували</x:v>
      </x:c>
      <x:c r="V91" s="15" t="str">
        <x:v>Discovery-call: отримати 1 реальний артефакт і вимоги проєкту; не обіцяти готове покриття</x:v>
      </x:c>
      <x:c r="W91" s="15" t="str">
        <x:v>Директор; керівник монтажу; відповідальний за введення в експлуатацію</x:v>
      </x:c>
      <x:c r="X91" s="15" t="str">
        <x:v>Виробництво, монтаж та обслуговування ліфтів, ескалаторів і підйомників.</x:v>
      </x:c>
      <x:c r="Y91" s="15" t="str">
        <x:v>Закладні, напрямні, електрика, випробування й постановка на облік мають поетапну приймальну документацію.</x:v>
      </x:c>
      <x:c r="Z91" s="15" t="str">
        <x:v>https://bravo-lift.com/</x:v>
      </x:c>
      <x:c r="AA91" s="14" t="str"/>
      <x:c r="AB91" s="14" t="str">
        <x:v>2026-08-24</x:v>
      </x:c>
      <x:c r="AC91" s="14" t="str">
        <x:v>Олександр</x:v>
      </x:c>
      <x:c r="AD91" s="18" t="str"/>
      <x:c r="AE91" s="14" t="str"/>
    </x:row>
    <x:row r="92">
      <x:c r="A92" s="14" t="str">
        <x:v>EXP-027</x:v>
      </x:c>
      <x:c r="B92" s="14" t="str">
        <x:v>Розширення ніш — 24.08</x:v>
      </x:c>
      <x:c r="C92" s="14" t="str">
        <x:v>Кремінь Груп</x:v>
      </x:c>
      <x:c r="D92" s="14" t="str">
        <x:v>Палі, фундаменти та підсилення</x:v>
      </x:c>
      <x:c r="E92" s="14" t="str">
        <x:v>Expansion discovery</x:v>
      </x:c>
      <x:c r="F92" s="17" t="str">
        <x:f>IF(E92="Pilot now",IF(P92&gt;=84,"P1",IF(P92&gt;=72,"P2","P3")),IF(E92="Expansion discovery",IF(Q92&gt;=88,"D1",IF(Q92&gt;=78,"D2","D3")),IF(E92="Later / requirements","L","Legacy")))</x:f>
        <x:v>D1</x:v>
      </x:c>
      <x:c r="G92" s="14" t="str">
        <x:v>cremen.com.ua</x:v>
      </x:c>
      <x:c r="H92" s="14" t="str">
        <x:v>Discovery — вимоги проєкту</x:v>
      </x:c>
      <x:c r="I92" s="16" t="n">
        <x:v>0</x:v>
      </x:c>
      <x:c r="J92" s="16" t="n">
        <x:v>5</x:v>
      </x:c>
      <x:c r="K92" s="16" t="n">
        <x:v>5</x:v>
      </x:c>
      <x:c r="L92" s="16" t="n">
        <x:v>5</x:v>
      </x:c>
      <x:c r="M92" s="16" t="n">
        <x:v>5</x:v>
      </x:c>
      <x:c r="N92" s="16" t="n">
        <x:v>5</x:v>
      </x:c>
      <x:c r="O92" s="16" t="n">
        <x:v>5</x:v>
      </x:c>
      <x:c r="P92" s="16" t="n">
        <x:f>IF(COUNT(I92:O92)&lt;7,"",I92*8+J92*3+K92*2+L92*2+M92*2+N92*2+O92)</x:f>
        <x:v>60</x:v>
      </x:c>
      <x:c r="Q92" s="16" t="n">
        <x:f>IF(COUNT(J92:O92)&lt;6,"",J92*5+K92*4+M92*4+L92*3+N92*2+O92*2)</x:f>
        <x:v>100</x:v>
      </x:c>
      <x:c r="R92" s="14" t="str">
        <x:v>high</x:v>
      </x:c>
      <x:c r="S92" s="14" t="str">
        <x:v>official_source_reverified</x:v>
      </x:c>
      <x:c r="T92" s="14" t="str">
        <x:v>official_source_reachable</x:v>
      </x:c>
      <x:c r="U92" s="14" t="str">
        <x:v>Новий — не контактували</x:v>
      </x:c>
      <x:c r="V92" s="15" t="str">
        <x:v>Discovery-call: отримати 1 реальний артефакт і вимоги проєкту; не обіцяти готове покриття</x:v>
      </x:c>
      <x:c r="W92" s="15" t="str">
        <x:v>Власник / директор; головний інженер; керівник ПТО</x:v>
      </x:c>
      <x:c r="X92" s="15" t="str">
        <x:v>Пальові фундаменти й статичні випробування на промислових та інфраструктурних об’єктах.</x:v>
      </x:c>
      <x:c r="Y92" s="15" t="str">
        <x:v>Армування, глибина, бетонування, журнали та випробування паль критичні до засипки й наступних конструкцій.</x:v>
      </x:c>
      <x:c r="Z92" s="15" t="str">
        <x:v>https://cremen.com.ua/</x:v>
      </x:c>
      <x:c r="AA92" s="14" t="str"/>
      <x:c r="AB92" s="14" t="str">
        <x:v>2026-08-24</x:v>
      </x:c>
      <x:c r="AC92" s="14" t="str">
        <x:v>Олександр</x:v>
      </x:c>
      <x:c r="AD92" s="18" t="str"/>
      <x:c r="AE92" s="14" t="str"/>
    </x:row>
    <x:row r="93">
      <x:c r="A93" s="14" t="str">
        <x:v>EXP-025</x:v>
      </x:c>
      <x:c r="B93" s="14" t="str">
        <x:v>Розширення ніш — 24.08</x:v>
      </x:c>
      <x:c r="C93" s="14" t="str">
        <x:v>ФУНДАМЕНТСПЕЦБУД</x:v>
      </x:c>
      <x:c r="D93" s="14" t="str">
        <x:v>Палі, фундаменти та підсилення</x:v>
      </x:c>
      <x:c r="E93" s="14" t="str">
        <x:v>Expansion discovery</x:v>
      </x:c>
      <x:c r="F93" s="17" t="str">
        <x:f>IF(E93="Pilot now",IF(P93&gt;=84,"P1",IF(P93&gt;=72,"P2","P3")),IF(E93="Expansion discovery",IF(Q93&gt;=88,"D1",IF(Q93&gt;=78,"D2","D3")),IF(E93="Later / requirements","L","Legacy")))</x:f>
        <x:v>D1</x:v>
      </x:c>
      <x:c r="G93" s="14" t="str">
        <x:v>fsbud.com.ua</x:v>
      </x:c>
      <x:c r="H93" s="14" t="str">
        <x:v>Discovery — вимоги проєкту</x:v>
      </x:c>
      <x:c r="I93" s="16" t="n">
        <x:v>0</x:v>
      </x:c>
      <x:c r="J93" s="16" t="n">
        <x:v>5</x:v>
      </x:c>
      <x:c r="K93" s="16" t="n">
        <x:v>5</x:v>
      </x:c>
      <x:c r="L93" s="16" t="n">
        <x:v>5</x:v>
      </x:c>
      <x:c r="M93" s="16" t="n">
        <x:v>5</x:v>
      </x:c>
      <x:c r="N93" s="16" t="n">
        <x:v>5</x:v>
      </x:c>
      <x:c r="O93" s="16" t="n">
        <x:v>5</x:v>
      </x:c>
      <x:c r="P93" s="16" t="n">
        <x:f>IF(COUNT(I93:O93)&lt;7,"",I93*8+J93*3+K93*2+L93*2+M93*2+N93*2+O93)</x:f>
        <x:v>60</x:v>
      </x:c>
      <x:c r="Q93" s="16" t="n">
        <x:f>IF(COUNT(J93:O93)&lt;6,"",J93*5+K93*4+M93*4+L93*3+N93*2+O93*2)</x:f>
        <x:v>100</x:v>
      </x:c>
      <x:c r="R93" s="14" t="str">
        <x:v>high</x:v>
      </x:c>
      <x:c r="S93" s="14" t="str">
        <x:v>official_source_reverified</x:v>
      </x:c>
      <x:c r="T93" s="14" t="str">
        <x:v>official_source_reachable</x:v>
      </x:c>
      <x:c r="U93" s="14" t="str">
        <x:v>Новий — не контактували</x:v>
      </x:c>
      <x:c r="V93" s="15" t="str">
        <x:v>Discovery-call: отримати 1 реальний артефакт і вимоги проєкту; не обіцяти готове покриття</x:v>
      </x:c>
      <x:c r="W93" s="15" t="str">
        <x:v>Власник / директор; головний інженер; керівник ПТО</x:v>
      </x:c>
      <x:c r="X93" s="15" t="str">
        <x:v>30+ років і тисячі пальових фундаментів; статичні випробування та промислові об’єкти.</x:v>
      </x:c>
      <x:c r="Y93" s="15" t="str">
        <x:v>Армування, глибина, бетонування, журнали та випробування паль критичні до засипки й наступних конструкцій.</x:v>
      </x:c>
      <x:c r="Z93" s="15" t="str">
        <x:v>https://fsbud.com.ua/objects/</x:v>
      </x:c>
      <x:c r="AA93" s="14" t="str"/>
      <x:c r="AB93" s="14" t="str">
        <x:v>2026-08-24</x:v>
      </x:c>
      <x:c r="AC93" s="14" t="str">
        <x:v>Олександр</x:v>
      </x:c>
      <x:c r="AD93" s="18" t="str"/>
      <x:c r="AE93" s="14" t="str"/>
    </x:row>
    <x:row r="94">
      <x:c r="A94" s="14" t="str">
        <x:v>EXP-023</x:v>
      </x:c>
      <x:c r="B94" s="14" t="str">
        <x:v>Розширення ніш — 24.08</x:v>
      </x:c>
      <x:c r="C94" s="14" t="str">
        <x:v>PALI</x:v>
      </x:c>
      <x:c r="D94" s="14" t="str">
        <x:v>Палі, фундаменти та підсилення</x:v>
      </x:c>
      <x:c r="E94" s="14" t="str">
        <x:v>Expansion discovery</x:v>
      </x:c>
      <x:c r="F94" s="17" t="str">
        <x:f>IF(E94="Pilot now",IF(P94&gt;=84,"P1",IF(P94&gt;=72,"P2","P3")),IF(E94="Expansion discovery",IF(Q94&gt;=88,"D1",IF(Q94&gt;=78,"D2","D3")),IF(E94="Later / requirements","L","Legacy")))</x:f>
        <x:v>D1</x:v>
      </x:c>
      <x:c r="G94" s="14" t="str">
        <x:v>pali.com.ua</x:v>
      </x:c>
      <x:c r="H94" s="14" t="str">
        <x:v>Discovery — вимоги проєкту</x:v>
      </x:c>
      <x:c r="I94" s="16" t="n">
        <x:v>0</x:v>
      </x:c>
      <x:c r="J94" s="16" t="n">
        <x:v>5</x:v>
      </x:c>
      <x:c r="K94" s="16" t="n">
        <x:v>5</x:v>
      </x:c>
      <x:c r="L94" s="16" t="n">
        <x:v>5</x:v>
      </x:c>
      <x:c r="M94" s="16" t="n">
        <x:v>5</x:v>
      </x:c>
      <x:c r="N94" s="16" t="n">
        <x:v>5</x:v>
      </x:c>
      <x:c r="O94" s="16" t="n">
        <x:v>5</x:v>
      </x:c>
      <x:c r="P94" s="16" t="n">
        <x:f>IF(COUNT(I94:O94)&lt;7,"",I94*8+J94*3+K94*2+L94*2+M94*2+N94*2+O94)</x:f>
        <x:v>60</x:v>
      </x:c>
      <x:c r="Q94" s="16" t="n">
        <x:f>IF(COUNT(J94:O94)&lt;6,"",J94*5+K94*4+M94*4+L94*3+N94*2+O94*2)</x:f>
        <x:v>100</x:v>
      </x:c>
      <x:c r="R94" s="14" t="str">
        <x:v>high</x:v>
      </x:c>
      <x:c r="S94" s="14" t="str">
        <x:v>official_source_reverified</x:v>
      </x:c>
      <x:c r="T94" s="14" t="str">
        <x:v>official_source_reachable</x:v>
      </x:c>
      <x:c r="U94" s="14" t="str">
        <x:v>Новий — не контактували</x:v>
      </x:c>
      <x:c r="V94" s="15" t="str">
        <x:v>Discovery-call: отримати 1 реальний артефакт і вимоги проєкту; не обіцяти готове покриття</x:v>
      </x:c>
      <x:c r="W94" s="15" t="str">
        <x:v>Власник / директор; головний інженер; керівник ПТО</x:v>
      </x:c>
      <x:c r="X94" s="15" t="str">
        <x:v>12+ років, палі до 32 м, промислові та комерційні об’єкти по Україні.</x:v>
      </x:c>
      <x:c r="Y94" s="15" t="str">
        <x:v>Армування, глибина, бетонування, журнали та випробування паль критичні до засипки й наступних конструкцій.</x:v>
      </x:c>
      <x:c r="Z94" s="15" t="str">
        <x:v>https://pali.com.ua/</x:v>
      </x:c>
      <x:c r="AA94" s="14" t="str"/>
      <x:c r="AB94" s="14" t="str">
        <x:v>2026-08-24</x:v>
      </x:c>
      <x:c r="AC94" s="14" t="str">
        <x:v>Олександр</x:v>
      </x:c>
      <x:c r="AD94" s="18" t="str"/>
      <x:c r="AE94" s="14" t="str"/>
    </x:row>
    <x:row r="95">
      <x:c r="A95" s="14" t="str">
        <x:v>EXP-024</x:v>
      </x:c>
      <x:c r="B95" s="14" t="str">
        <x:v>Розширення ніш — 24.08</x:v>
      </x:c>
      <x:c r="C95" s="14" t="str">
        <x:v>PILLAR</x:v>
      </x:c>
      <x:c r="D95" s="14" t="str">
        <x:v>Палі, фундаменти та підсилення</x:v>
      </x:c>
      <x:c r="E95" s="14" t="str">
        <x:v>Expansion discovery</x:v>
      </x:c>
      <x:c r="F95" s="17" t="str">
        <x:f>IF(E95="Pilot now",IF(P95&gt;=84,"P1",IF(P95&gt;=72,"P2","P3")),IF(E95="Expansion discovery",IF(Q95&gt;=88,"D1",IF(Q95&gt;=78,"D2","D3")),IF(E95="Later / requirements","L","Legacy")))</x:f>
        <x:v>D1</x:v>
      </x:c>
      <x:c r="G95" s="14" t="str">
        <x:v>pillar.ua</x:v>
      </x:c>
      <x:c r="H95" s="14" t="str">
        <x:v>Discovery — вимоги проєкту</x:v>
      </x:c>
      <x:c r="I95" s="16" t="n">
        <x:v>0</x:v>
      </x:c>
      <x:c r="J95" s="16" t="n">
        <x:v>5</x:v>
      </x:c>
      <x:c r="K95" s="16" t="n">
        <x:v>5</x:v>
      </x:c>
      <x:c r="L95" s="16" t="n">
        <x:v>5</x:v>
      </x:c>
      <x:c r="M95" s="16" t="n">
        <x:v>5</x:v>
      </x:c>
      <x:c r="N95" s="16" t="n">
        <x:v>5</x:v>
      </x:c>
      <x:c r="O95" s="16" t="n">
        <x:v>5</x:v>
      </x:c>
      <x:c r="P95" s="16" t="n">
        <x:f>IF(COUNT(I95:O95)&lt;7,"",I95*8+J95*3+K95*2+L95*2+M95*2+N95*2+O95)</x:f>
        <x:v>60</x:v>
      </x:c>
      <x:c r="Q95" s="16" t="n">
        <x:f>IF(COUNT(J95:O95)&lt;6,"",J95*5+K95*4+M95*4+L95*3+N95*2+O95*2)</x:f>
        <x:v>100</x:v>
      </x:c>
      <x:c r="R95" s="14" t="str">
        <x:v>high</x:v>
      </x:c>
      <x:c r="S95" s="14" t="str">
        <x:v>official_source_reverified</x:v>
      </x:c>
      <x:c r="T95" s="14" t="str">
        <x:v>official_source_reachable</x:v>
      </x:c>
      <x:c r="U95" s="14" t="str">
        <x:v>Новий — не контактували</x:v>
      </x:c>
      <x:c r="V95" s="15" t="str">
        <x:v>Discovery-call: отримати 1 реальний артефакт і вимоги проєкту; не обіцяти готове покриття</x:v>
      </x:c>
      <x:c r="W95" s="15" t="str">
        <x:v>Власник / директор; головний інженер; керівник ПТО</x:v>
      </x:c>
      <x:c r="X95" s="15" t="str">
        <x:v>1000+ об’єктів; повний цикл геошурупних фундаментів і металоконструкцій.</x:v>
      </x:c>
      <x:c r="Y95" s="15" t="str">
        <x:v>Армування, глибина, бетонування, журнали та випробування паль критичні до засипки й наступних конструкцій.</x:v>
      </x:c>
      <x:c r="Z95" s="15" t="str">
        <x:v>https://pillar.ua/pro-nas/</x:v>
      </x:c>
      <x:c r="AA95" s="14" t="str"/>
      <x:c r="AB95" s="14" t="str">
        <x:v>2026-08-24</x:v>
      </x:c>
      <x:c r="AC95" s="14" t="str">
        <x:v>Олександр</x:v>
      </x:c>
      <x:c r="AD95" s="18" t="str"/>
      <x:c r="AE95" s="14" t="str"/>
    </x:row>
    <x:row r="96">
      <x:c r="A96" s="14" t="str">
        <x:v>EXP-064</x:v>
      </x:c>
      <x:c r="B96" s="14" t="str">
        <x:v>Розширення ніш — 24.08</x:v>
      </x:c>
      <x:c r="C96" s="14" t="str">
        <x:v>Магістраль Асфальт</x:v>
      </x:c>
      <x:c r="D96" s="14" t="str">
        <x:v>Дорожні роботи та благоустрій</x:v>
      </x:c>
      <x:c r="E96" s="14" t="str">
        <x:v>Expansion discovery</x:v>
      </x:c>
      <x:c r="F96" s="17" t="str">
        <x:f>IF(E96="Pilot now",IF(P96&gt;=84,"P1",IF(P96&gt;=72,"P2","P3")),IF(E96="Expansion discovery",IF(Q96&gt;=88,"D1",IF(Q96&gt;=78,"D2","D3")),IF(E96="Later / requirements","L","Legacy")))</x:f>
        <x:v>D1</x:v>
      </x:c>
      <x:c r="G96" s="14" t="str">
        <x:v>magistralasfalt.com.ua</x:v>
      </x:c>
      <x:c r="H96" s="14" t="str">
        <x:v>Discovery — вимоги проєкту</x:v>
      </x:c>
      <x:c r="I96" s="16" t="n">
        <x:v>0</x:v>
      </x:c>
      <x:c r="J96" s="16" t="n">
        <x:v>5</x:v>
      </x:c>
      <x:c r="K96" s="16" t="n">
        <x:v>5</x:v>
      </x:c>
      <x:c r="L96" s="16" t="n">
        <x:v>4</x:v>
      </x:c>
      <x:c r="M96" s="16" t="n">
        <x:v>5</x:v>
      </x:c>
      <x:c r="N96" s="16" t="n">
        <x:v>5</x:v>
      </x:c>
      <x:c r="O96" s="16" t="n">
        <x:v>5</x:v>
      </x:c>
      <x:c r="P96" s="16" t="n">
        <x:f>IF(COUNT(I96:O96)&lt;7,"",I96*8+J96*3+K96*2+L96*2+M96*2+N96*2+O96)</x:f>
        <x:v>58</x:v>
      </x:c>
      <x:c r="Q96" s="16" t="n">
        <x:f>IF(COUNT(J96:O96)&lt;6,"",J96*5+K96*4+M96*4+L96*3+N96*2+O96*2)</x:f>
        <x:v>97</x:v>
      </x:c>
      <x:c r="R96" s="14" t="str">
        <x:v>high</x:v>
      </x:c>
      <x:c r="S96" s="14" t="str">
        <x:v>official_source_reverified</x:v>
      </x:c>
      <x:c r="T96" s="14" t="str">
        <x:v>official_source_reachable</x:v>
      </x:c>
      <x:c r="U96" s="14" t="str">
        <x:v>Новий — не контактували</x:v>
      </x:c>
      <x:c r="V96" s="15" t="str">
        <x:v>Discovery-call: отримати 1 реальний артефакт і вимоги проєкту; не обіцяти готове покриття</x:v>
      </x:c>
      <x:c r="W96" s="15" t="str">
        <x:v>Власник / директор; головний інженер; лабораторія / ПТО</x:v>
      </x:c>
      <x:c r="X96" s="15" t="str">
        <x:v>Повний цикл дорожніх робіт з власною технікою, пошаровою здачею й гарантією.</x:v>
      </x:c>
      <x:c r="Y96" s="15" t="str">
        <x:v>Основа, шари покриття, ущільнення та лабораторні протоколи стають недоступними після наступного шару.</x:v>
      </x:c>
      <x:c r="Z96" s="15" t="str">
        <x:v>https://magistralasfalt.com.ua/</x:v>
      </x:c>
      <x:c r="AA96" s="14" t="str"/>
      <x:c r="AB96" s="14" t="str">
        <x:v>2026-08-24</x:v>
      </x:c>
      <x:c r="AC96" s="14" t="str">
        <x:v>Олександр</x:v>
      </x:c>
      <x:c r="AD96" s="18" t="str"/>
      <x:c r="AE96" s="14" t="str"/>
    </x:row>
    <x:row r="97">
      <x:c r="A97" s="14" t="str">
        <x:v>EXP-026</x:v>
      </x:c>
      <x:c r="B97" s="14" t="str">
        <x:v>Розширення ніш — 24.08</x:v>
      </x:c>
      <x:c r="C97" s="14" t="str">
        <x:v>Олімпія Білд</x:v>
      </x:c>
      <x:c r="D97" s="14" t="str">
        <x:v>Палі, фундаменти та підсилення</x:v>
      </x:c>
      <x:c r="E97" s="14" t="str">
        <x:v>Expansion discovery</x:v>
      </x:c>
      <x:c r="F97" s="17" t="str">
        <x:f>IF(E97="Pilot now",IF(P97&gt;=84,"P1",IF(P97&gt;=72,"P2","P3")),IF(E97="Expansion discovery",IF(Q97&gt;=88,"D1",IF(Q97&gt;=78,"D2","D3")),IF(E97="Later / requirements","L","Legacy")))</x:f>
        <x:v>D1</x:v>
      </x:c>
      <x:c r="G97" s="14" t="str">
        <x:v>olympia-build.com.ua</x:v>
      </x:c>
      <x:c r="H97" s="14" t="str">
        <x:v>Discovery — вимоги проєкту</x:v>
      </x:c>
      <x:c r="I97" s="16" t="n">
        <x:v>0</x:v>
      </x:c>
      <x:c r="J97" s="16" t="n">
        <x:v>5</x:v>
      </x:c>
      <x:c r="K97" s="16" t="n">
        <x:v>5</x:v>
      </x:c>
      <x:c r="L97" s="16" t="n">
        <x:v>4</x:v>
      </x:c>
      <x:c r="M97" s="16" t="n">
        <x:v>5</x:v>
      </x:c>
      <x:c r="N97" s="16" t="n">
        <x:v>5</x:v>
      </x:c>
      <x:c r="O97" s="16" t="n">
        <x:v>5</x:v>
      </x:c>
      <x:c r="P97" s="16" t="n">
        <x:f>IF(COUNT(I97:O97)&lt;7,"",I97*8+J97*3+K97*2+L97*2+M97*2+N97*2+O97)</x:f>
        <x:v>58</x:v>
      </x:c>
      <x:c r="Q97" s="16" t="n">
        <x:f>IF(COUNT(J97:O97)&lt;6,"",J97*5+K97*4+M97*4+L97*3+N97*2+O97*2)</x:f>
        <x:v>97</x:v>
      </x:c>
      <x:c r="R97" s="14" t="str">
        <x:v>high</x:v>
      </x:c>
      <x:c r="S97" s="14" t="str">
        <x:v>official_source_reverified</x:v>
      </x:c>
      <x:c r="T97" s="14" t="str">
        <x:v>official_source_reachable</x:v>
      </x:c>
      <x:c r="U97" s="14" t="str">
        <x:v>Новий — не контактували</x:v>
      </x:c>
      <x:c r="V97" s="15" t="str">
        <x:v>Discovery-call: отримати 1 реальний артефакт і вимоги проєкту; не обіцяти готове покриття</x:v>
      </x:c>
      <x:c r="W97" s="15" t="str">
        <x:v>Власник / директор; головний інженер; керівник ПТО</x:v>
      </x:c>
      <x:c r="X97" s="15" t="str">
        <x:v>Спеціаліст з пальових фундаментів, геології, геодезії та супутніх робіт.</x:v>
      </x:c>
      <x:c r="Y97" s="15" t="str">
        <x:v>Армування, глибина, бетонування, журнали та випробування паль критичні до засипки й наступних конструкцій.</x:v>
      </x:c>
      <x:c r="Z97" s="15" t="str">
        <x:v>https://olympia-build.com.ua/</x:v>
      </x:c>
      <x:c r="AA97" s="14" t="str"/>
      <x:c r="AB97" s="14" t="str">
        <x:v>2026-08-24</x:v>
      </x:c>
      <x:c r="AC97" s="14" t="str">
        <x:v>Олександр</x:v>
      </x:c>
      <x:c r="AD97" s="18" t="str"/>
      <x:c r="AE97" s="14" t="str"/>
    </x:row>
    <x:row r="98">
      <x:c r="A98" s="14" t="str">
        <x:v>EXP-022</x:v>
      </x:c>
      <x:c r="B98" s="14" t="str">
        <x:v>Розширення ніш — 24.08</x:v>
      </x:c>
      <x:c r="C98" s="14" t="str">
        <x:v>УМБК Underground</x:v>
      </x:c>
      <x:c r="D98" s="14" t="str">
        <x:v>Палі, фундаменти та підсилення</x:v>
      </x:c>
      <x:c r="E98" s="14" t="str">
        <x:v>Expansion discovery</x:v>
      </x:c>
      <x:c r="F98" s="17" t="str">
        <x:f>IF(E98="Pilot now",IF(P98&gt;=84,"P1",IF(P98&gt;=72,"P2","P3")),IF(E98="Expansion discovery",IF(Q98&gt;=88,"D1",IF(Q98&gt;=78,"D2","D3")),IF(E98="Later / requirements","L","Legacy")))</x:f>
        <x:v>D1</x:v>
      </x:c>
      <x:c r="G98" s="14" t="str">
        <x:v>underground.org.ua</x:v>
      </x:c>
      <x:c r="H98" s="14" t="str">
        <x:v>Discovery — вимоги проєкту</x:v>
      </x:c>
      <x:c r="I98" s="16" t="n">
        <x:v>0</x:v>
      </x:c>
      <x:c r="J98" s="16" t="n">
        <x:v>5</x:v>
      </x:c>
      <x:c r="K98" s="16" t="n">
        <x:v>5</x:v>
      </x:c>
      <x:c r="L98" s="16" t="n">
        <x:v>4</x:v>
      </x:c>
      <x:c r="M98" s="16" t="n">
        <x:v>5</x:v>
      </x:c>
      <x:c r="N98" s="16" t="n">
        <x:v>5</x:v>
      </x:c>
      <x:c r="O98" s="16" t="n">
        <x:v>5</x:v>
      </x:c>
      <x:c r="P98" s="16" t="n">
        <x:f>IF(COUNT(I98:O98)&lt;7,"",I98*8+J98*3+K98*2+L98*2+M98*2+N98*2+O98)</x:f>
        <x:v>58</x:v>
      </x:c>
      <x:c r="Q98" s="16" t="n">
        <x:f>IF(COUNT(J98:O98)&lt;6,"",J98*5+K98*4+M98*4+L98*3+N98*2+O98*2)</x:f>
        <x:v>97</x:v>
      </x:c>
      <x:c r="R98" s="14" t="str">
        <x:v>high</x:v>
      </x:c>
      <x:c r="S98" s="14" t="str">
        <x:v>official_source_reverified</x:v>
      </x:c>
      <x:c r="T98" s="14" t="str">
        <x:v>official_source_reachable</x:v>
      </x:c>
      <x:c r="U98" s="14" t="str">
        <x:v>Новий — не контактували</x:v>
      </x:c>
      <x:c r="V98" s="15" t="str">
        <x:v>Discovery-call: отримати 1 реальний артефакт і вимоги проєкту; не обіцяти готове покриття</x:v>
      </x:c>
      <x:c r="W98" s="15" t="str">
        <x:v>Власник / директор; головний інженер; керівник ПТО</x:v>
      </x:c>
      <x:c r="X98" s="15" t="str">
        <x:v>Буроін’єкційні, мікро-, забивні та буронабивні палі; портфоліо житлових і промислових об’єктів.</x:v>
      </x:c>
      <x:c r="Y98" s="15" t="str">
        <x:v>Армування, глибина, бетонування, журнали та випробування паль критичні до засипки й наступних конструкцій.</x:v>
      </x:c>
      <x:c r="Z98" s="15" t="str">
        <x:v>https://underground.org.ua/</x:v>
      </x:c>
      <x:c r="AA98" s="14" t="str"/>
      <x:c r="AB98" s="14" t="str">
        <x:v>2026-08-24</x:v>
      </x:c>
      <x:c r="AC98" s="14" t="str">
        <x:v>Олександр</x:v>
      </x:c>
      <x:c r="AD98" s="18" t="str"/>
      <x:c r="AE98" s="14" t="str"/>
    </x:row>
    <x:row r="99">
      <x:c r="A99" s="14" t="str">
        <x:v>EXP-014</x:v>
      </x:c>
      <x:c r="B99" s="14" t="str">
        <x:v>Розширення ніш — 24.08</x:v>
      </x:c>
      <x:c r="C99" s="14" t="str">
        <x:v>Astreya Aluminum Systems</x:v>
      </x:c>
      <x:c r="D99" s="14" t="str">
        <x:v>Вентильовані фасади та скління</x:v>
      </x:c>
      <x:c r="E99" s="14" t="str">
        <x:v>Expansion discovery</x:v>
      </x:c>
      <x:c r="F99" s="17" t="str">
        <x:f>IF(E99="Pilot now",IF(P99&gt;=84,"P1",IF(P99&gt;=72,"P2","P3")),IF(E99="Expansion discovery",IF(Q99&gt;=88,"D1",IF(Q99&gt;=78,"D2","D3")),IF(E99="Later / requirements","L","Legacy")))</x:f>
        <x:v>D1</x:v>
      </x:c>
      <x:c r="G99" s="14" t="str">
        <x:v>astreyaua.com</x:v>
      </x:c>
      <x:c r="H99" s="14" t="str">
        <x:v>Discovery — вимоги проєкту</x:v>
      </x:c>
      <x:c r="I99" s="16" t="n">
        <x:v>0</x:v>
      </x:c>
      <x:c r="J99" s="16" t="n">
        <x:v>5</x:v>
      </x:c>
      <x:c r="K99" s="16" t="n">
        <x:v>5</x:v>
      </x:c>
      <x:c r="L99" s="16" t="n">
        <x:v>5</x:v>
      </x:c>
      <x:c r="M99" s="16" t="n">
        <x:v>4</x:v>
      </x:c>
      <x:c r="N99" s="16" t="n">
        <x:v>5</x:v>
      </x:c>
      <x:c r="O99" s="16" t="n">
        <x:v>5</x:v>
      </x:c>
      <x:c r="P99" s="16" t="n">
        <x:f>IF(COUNT(I99:O99)&lt;7,"",I99*8+J99*3+K99*2+L99*2+M99*2+N99*2+O99)</x:f>
        <x:v>58</x:v>
      </x:c>
      <x:c r="Q99" s="16" t="n">
        <x:f>IF(COUNT(J99:O99)&lt;6,"",J99*5+K99*4+M99*4+L99*3+N99*2+O99*2)</x:f>
        <x:v>96</x:v>
      </x:c>
      <x:c r="R99" s="14" t="str">
        <x:v>high</x:v>
      </x:c>
      <x:c r="S99" s="14" t="str">
        <x:v>official_source_reverified</x:v>
      </x:c>
      <x:c r="T99" s="14" t="str">
        <x:v>official_source_reachable</x:v>
      </x:c>
      <x:c r="U99" s="14" t="str">
        <x:v>Новий — не контактували</x:v>
      </x:c>
      <x:c r="V99" s="15" t="str">
        <x:v>Discovery-call: отримати 1 реальний артефакт і вимоги проєкту; не обіцяти готове покриття</x:v>
      </x:c>
      <x:c r="W99" s="15" t="str">
        <x:v>Власник / директор; керівник фасадних проєктів; ПТО</x:v>
      </x:c>
      <x:c r="X99" s="15" t="str">
        <x:v>20 000+ м² фасадів на рік, проєктний відділ, власні монтажні бригади й обладнання.</x:v>
      </x:c>
      <x:c r="Y99" s="15" t="str">
        <x:v>Кронштейни, анкери, утеплення, мембрани й протипожежні відсічки закриваються облицюванням.</x:v>
      </x:c>
      <x:c r="Z99" s="15" t="str">
        <x:v>https://www.astreyaua.com/</x:v>
      </x:c>
      <x:c r="AA99" s="14" t="str"/>
      <x:c r="AB99" s="14" t="str">
        <x:v>2026-08-24</x:v>
      </x:c>
      <x:c r="AC99" s="14" t="str">
        <x:v>Олександр</x:v>
      </x:c>
      <x:c r="AD99" s="18" t="str"/>
      <x:c r="AE99" s="14" t="str"/>
    </x:row>
    <x:row r="100">
      <x:c r="A100" s="14" t="str">
        <x:v>EXP-006</x:v>
      </x:c>
      <x:c r="B100" s="14" t="str">
        <x:v>Розширення ніш — 24.08</x:v>
      </x:c>
      <x:c r="C100" s="14" t="str">
        <x:v>Budroof</x:v>
      </x:c>
      <x:c r="D100" s="14" t="str">
        <x:v>Покрівлі та гідроізоляція</x:v>
      </x:c>
      <x:c r="E100" s="14" t="str">
        <x:v>Expansion discovery</x:v>
      </x:c>
      <x:c r="F100" s="17" t="str">
        <x:f>IF(E100="Pilot now",IF(P100&gt;=84,"P1",IF(P100&gt;=72,"P2","P3")),IF(E100="Expansion discovery",IF(Q100&gt;=88,"D1",IF(Q100&gt;=78,"D2","D3")),IF(E100="Later / requirements","L","Legacy")))</x:f>
        <x:v>D1</x:v>
      </x:c>
      <x:c r="G100" s="14" t="str">
        <x:v>budroof.ua</x:v>
      </x:c>
      <x:c r="H100" s="14" t="str">
        <x:v>Discovery — вимоги проєкту</x:v>
      </x:c>
      <x:c r="I100" s="16" t="n">
        <x:v>0</x:v>
      </x:c>
      <x:c r="J100" s="16" t="n">
        <x:v>5</x:v>
      </x:c>
      <x:c r="K100" s="16" t="n">
        <x:v>5</x:v>
      </x:c>
      <x:c r="L100" s="16" t="n">
        <x:v>5</x:v>
      </x:c>
      <x:c r="M100" s="16" t="n">
        <x:v>4</x:v>
      </x:c>
      <x:c r="N100" s="16" t="n">
        <x:v>5</x:v>
      </x:c>
      <x:c r="O100" s="16" t="n">
        <x:v>5</x:v>
      </x:c>
      <x:c r="P100" s="16" t="n">
        <x:f>IF(COUNT(I100:O100)&lt;7,"",I100*8+J100*3+K100*2+L100*2+M100*2+N100*2+O100)</x:f>
        <x:v>58</x:v>
      </x:c>
      <x:c r="Q100" s="16" t="n">
        <x:f>IF(COUNT(J100:O100)&lt;6,"",J100*5+K100*4+M100*4+L100*3+N100*2+O100*2)</x:f>
        <x:v>96</x:v>
      </x:c>
      <x:c r="R100" s="14" t="str">
        <x:v>high</x:v>
      </x:c>
      <x:c r="S100" s="14" t="str">
        <x:v>official_source_reverified</x:v>
      </x:c>
      <x:c r="T100" s="14" t="str">
        <x:v>official_source_reachable</x:v>
      </x:c>
      <x:c r="U100" s="14" t="str">
        <x:v>Новий — не контактували</x:v>
      </x:c>
      <x:c r="V100" s="15" t="str">
        <x:v>Discovery-call: отримати 1 реальний артефакт і вимоги проєкту; не обіцяти готове покриття</x:v>
      </x:c>
      <x:c r="W100" s="15" t="str">
        <x:v>Власник / директор; керівник проєктів; виконроб</x:v>
      </x:c>
      <x:c r="X100" s="15" t="str">
        <x:v>Понад 1,5 млн м² ПВХ/ТПО та гідроізоляційних мембран; спеціалізований монтаж.</x:v>
      </x:c>
      <x:c r="Y100" s="15" t="str">
        <x:v>Пароізоляція, утеплення, кріплення, шви й примикання стають недоступними після завершення покрівельного пирога.</x:v>
      </x:c>
      <x:c r="Z100" s="15" t="str">
        <x:v>https://budroof.ua/uk/services/montazh-pvh-membrany/</x:v>
      </x:c>
      <x:c r="AA100" s="14" t="str"/>
      <x:c r="AB100" s="14" t="str">
        <x:v>2026-08-24</x:v>
      </x:c>
      <x:c r="AC100" s="14" t="str">
        <x:v>Олександр</x:v>
      </x:c>
      <x:c r="AD100" s="18" t="str"/>
      <x:c r="AE100" s="14" t="str"/>
    </x:row>
    <x:row r="101">
      <x:c r="A101" s="14" t="str">
        <x:v>EXP-028</x:v>
      </x:c>
      <x:c r="B101" s="14" t="str">
        <x:v>Розширення ніш — 24.08</x:v>
      </x:c>
      <x:c r="C101" s="14" t="str">
        <x:v>GIDROSTOP</x:v>
      </x:c>
      <x:c r="D101" s="14" t="str">
        <x:v>Палі, фундаменти та підсилення</x:v>
      </x:c>
      <x:c r="E101" s="14" t="str">
        <x:v>Expansion discovery</x:v>
      </x:c>
      <x:c r="F101" s="17" t="str">
        <x:f>IF(E101="Pilot now",IF(P101&gt;=84,"P1",IF(P101&gt;=72,"P2","P3")),IF(E101="Expansion discovery",IF(Q101&gt;=88,"D1",IF(Q101&gt;=78,"D2","D3")),IF(E101="Later / requirements","L","Legacy")))</x:f>
        <x:v>D1</x:v>
      </x:c>
      <x:c r="G101" s="14" t="str">
        <x:v>gidrostop.com.ua</x:v>
      </x:c>
      <x:c r="H101" s="14" t="str">
        <x:v>Discovery — вимоги проєкту</x:v>
      </x:c>
      <x:c r="I101" s="16" t="n">
        <x:v>0</x:v>
      </x:c>
      <x:c r="J101" s="16" t="n">
        <x:v>5</x:v>
      </x:c>
      <x:c r="K101" s="16" t="n">
        <x:v>5</x:v>
      </x:c>
      <x:c r="L101" s="16" t="n">
        <x:v>4</x:v>
      </x:c>
      <x:c r="M101" s="16" t="n">
        <x:v>5</x:v>
      </x:c>
      <x:c r="N101" s="16" t="n">
        <x:v>5</x:v>
      </x:c>
      <x:c r="O101" s="16" t="n">
        <x:v>5</x:v>
      </x:c>
      <x:c r="P101" s="16" t="n">
        <x:f>IF(COUNT(I101:O101)&lt;7,"",I101*8+J101*3+K101*2+L101*2+M101*2+N101*2+O101)</x:f>
        <x:v>58</x:v>
      </x:c>
      <x:c r="Q101" s="16" t="n">
        <x:f>IF(COUNT(J101:O101)&lt;6,"",J101*5+K101*4+M101*4+L101*3+N101*2+O101*2)</x:f>
        <x:v>97</x:v>
      </x:c>
      <x:c r="R101" s="14" t="str">
        <x:v>high</x:v>
      </x:c>
      <x:c r="S101" s="14" t="str">
        <x:v>official_source_reverified</x:v>
      </x:c>
      <x:c r="T101" s="14" t="str">
        <x:v>official_source_reachable</x:v>
      </x:c>
      <x:c r="U101" s="14" t="str">
        <x:v>Новий — не контактували</x:v>
      </x:c>
      <x:c r="V101" s="15" t="str">
        <x:v>Discovery-call: отримати 1 реальний артефакт і вимоги проєкту; не обіцяти готове покриття</x:v>
      </x:c>
      <x:c r="W101" s="15" t="str">
        <x:v>Власник / директор; головний інженер; керівник ПТО</x:v>
      </x:c>
      <x:c r="X101" s="15" t="str">
        <x:v>Торкретування, армування й гідроізоляція промислових печей, мостів, фундаментів і резервуарів.</x:v>
      </x:c>
      <x:c r="Y101" s="15" t="str">
        <x:v>Армування, глибина, бетонування, журнали та випробування паль критичні до засипки й наступних конструкцій.</x:v>
      </x:c>
      <x:c r="Z101" s="15" t="str">
        <x:v>https://gidrostop.com.ua/ukriplennya-konstrukczij/</x:v>
      </x:c>
      <x:c r="AA101" s="14" t="str"/>
      <x:c r="AB101" s="14" t="str">
        <x:v>2026-08-24</x:v>
      </x:c>
      <x:c r="AC101" s="14" t="str">
        <x:v>Олександр</x:v>
      </x:c>
      <x:c r="AD101" s="18" t="str"/>
      <x:c r="AE101" s="14" t="str"/>
    </x:row>
    <x:row r="102">
      <x:c r="A102" s="14" t="str">
        <x:v>EXP-003</x:v>
      </x:c>
      <x:c r="B102" s="14" t="str">
        <x:v>Розширення ніш — 24.08</x:v>
      </x:c>
      <x:c r="C102" s="14" t="str">
        <x:v>БК МД ГРУП</x:v>
      </x:c>
      <x:c r="D102" s="14" t="str">
        <x:v>Покрівлі та гідроізоляція</x:v>
      </x:c>
      <x:c r="E102" s="14" t="str">
        <x:v>Expansion discovery</x:v>
      </x:c>
      <x:c r="F102" s="17" t="str">
        <x:f>IF(E102="Pilot now",IF(P102&gt;=84,"P1",IF(P102&gt;=72,"P2","P3")),IF(E102="Expansion discovery",IF(Q102&gt;=88,"D1",IF(Q102&gt;=78,"D2","D3")),IF(E102="Later / requirements","L","Legacy")))</x:f>
        <x:v>D1</x:v>
      </x:c>
      <x:c r="G102" s="14" t="str">
        <x:v>bkmdgroup.com</x:v>
      </x:c>
      <x:c r="H102" s="14" t="str">
        <x:v>Discovery — вимоги проєкту</x:v>
      </x:c>
      <x:c r="I102" s="16" t="n">
        <x:v>0</x:v>
      </x:c>
      <x:c r="J102" s="16" t="n">
        <x:v>5</x:v>
      </x:c>
      <x:c r="K102" s="16" t="n">
        <x:v>5</x:v>
      </x:c>
      <x:c r="L102" s="16" t="n">
        <x:v>4</x:v>
      </x:c>
      <x:c r="M102" s="16" t="n">
        <x:v>4</x:v>
      </x:c>
      <x:c r="N102" s="16" t="n">
        <x:v>5</x:v>
      </x:c>
      <x:c r="O102" s="16" t="n">
        <x:v>5</x:v>
      </x:c>
      <x:c r="P102" s="16" t="n">
        <x:f>IF(COUNT(I102:O102)&lt;7,"",I102*8+J102*3+K102*2+L102*2+M102*2+N102*2+O102)</x:f>
        <x:v>56</x:v>
      </x:c>
      <x:c r="Q102" s="16" t="n">
        <x:f>IF(COUNT(J102:O102)&lt;6,"",J102*5+K102*4+M102*4+L102*3+N102*2+O102*2)</x:f>
        <x:v>93</x:v>
      </x:c>
      <x:c r="R102" s="14" t="str">
        <x:v>high</x:v>
      </x:c>
      <x:c r="S102" s="14" t="str">
        <x:v>official_source_reverified</x:v>
      </x:c>
      <x:c r="T102" s="14" t="str">
        <x:v>official_source_reachable</x:v>
      </x:c>
      <x:c r="U102" s="14" t="str">
        <x:v>Новий — не контактували</x:v>
      </x:c>
      <x:c r="V102" s="15" t="str">
        <x:v>Discovery-call: отримати 1 реальний артефакт і вимоги проєкту; не обіцяти готове покриття</x:v>
      </x:c>
      <x:c r="W102" s="15" t="str">
        <x:v>Власник / директор; керівник проєктів; виконроб</x:v>
      </x:c>
      <x:c r="X102" s="15" t="str">
        <x:v>Монтаж ПВХ-мембран під ключ для комерційних і виробничих об’єктів по Україні.</x:v>
      </x:c>
      <x:c r="Y102" s="15" t="str">
        <x:v>Пароізоляція, утеплення, кріплення, шви й примикання стають недоступними після завершення покрівельного пирога.</x:v>
      </x:c>
      <x:c r="Z102" s="15" t="str">
        <x:v>https://www.bkmdgroup.com/service/montazh-pvx-membany</x:v>
      </x:c>
      <x:c r="AA102" s="14" t="str"/>
      <x:c r="AB102" s="14" t="str">
        <x:v>2026-08-24</x:v>
      </x:c>
      <x:c r="AC102" s="14" t="str">
        <x:v>Олександр</x:v>
      </x:c>
      <x:c r="AD102" s="18" t="str"/>
      <x:c r="AE102" s="14" t="str"/>
    </x:row>
    <x:row r="103">
      <x:c r="A103" s="14" t="str">
        <x:v>EXP-012</x:v>
      </x:c>
      <x:c r="B103" s="14" t="str">
        <x:v>Розширення ніш — 24.08</x:v>
      </x:c>
      <x:c r="C103" s="14" t="str">
        <x:v>НВФ-БУД МОНТАЖ</x:v>
      </x:c>
      <x:c r="D103" s="14" t="str">
        <x:v>Вентильовані фасади та скління</x:v>
      </x:c>
      <x:c r="E103" s="14" t="str">
        <x:v>Expansion discovery</x:v>
      </x:c>
      <x:c r="F103" s="17" t="str">
        <x:f>IF(E103="Pilot now",IF(P103&gt;=84,"P1",IF(P103&gt;=72,"P2","P3")),IF(E103="Expansion discovery",IF(Q103&gt;=88,"D1",IF(Q103&gt;=78,"D2","D3")),IF(E103="Later / requirements","L","Legacy")))</x:f>
        <x:v>D1</x:v>
      </x:c>
      <x:c r="G103" s="14" t="str">
        <x:v>nvf-group.com.ua</x:v>
      </x:c>
      <x:c r="H103" s="14" t="str">
        <x:v>Discovery — вимоги проєкту</x:v>
      </x:c>
      <x:c r="I103" s="16" t="n">
        <x:v>0</x:v>
      </x:c>
      <x:c r="J103" s="16" t="n">
        <x:v>5</x:v>
      </x:c>
      <x:c r="K103" s="16" t="n">
        <x:v>5</x:v>
      </x:c>
      <x:c r="L103" s="16" t="n">
        <x:v>4</x:v>
      </x:c>
      <x:c r="M103" s="16" t="n">
        <x:v>4</x:v>
      </x:c>
      <x:c r="N103" s="16" t="n">
        <x:v>5</x:v>
      </x:c>
      <x:c r="O103" s="16" t="n">
        <x:v>5</x:v>
      </x:c>
      <x:c r="P103" s="16" t="n">
        <x:f>IF(COUNT(I103:O103)&lt;7,"",I103*8+J103*3+K103*2+L103*2+M103*2+N103*2+O103)</x:f>
        <x:v>56</x:v>
      </x:c>
      <x:c r="Q103" s="16" t="n">
        <x:f>IF(COUNT(J103:O103)&lt;6,"",J103*5+K103*4+M103*4+L103*3+N103*2+O103*2)</x:f>
        <x:v>93</x:v>
      </x:c>
      <x:c r="R103" s="14" t="str">
        <x:v>high</x:v>
      </x:c>
      <x:c r="S103" s="14" t="str">
        <x:v>official_source_reverified</x:v>
      </x:c>
      <x:c r="T103" s="14" t="str">
        <x:v>official_source_reachable</x:v>
      </x:c>
      <x:c r="U103" s="14" t="str">
        <x:v>Новий — не контактували</x:v>
      </x:c>
      <x:c r="V103" s="15" t="str">
        <x:v>Discovery-call: отримати 1 реальний артефакт і вимоги проєкту; не обіцяти готове покриття</x:v>
      </x:c>
      <x:c r="W103" s="15" t="str">
        <x:v>Власник / директор; керівник фасадних проєктів; ПТО</x:v>
      </x:c>
      <x:c r="X103" s="15" t="str">
        <x:v>Проєктування й монтаж вентильованих фасадів по Україні; кілька типів облицювання.</x:v>
      </x:c>
      <x:c r="Y103" s="15" t="str">
        <x:v>Кронштейни, анкери, утеплення, мембрани й протипожежні відсічки закриваються облицюванням.</x:v>
      </x:c>
      <x:c r="Z103" s="15" t="str">
        <x:v>https://nvf-group.com.ua/</x:v>
      </x:c>
      <x:c r="AA103" s="14" t="str"/>
      <x:c r="AB103" s="14" t="str">
        <x:v>2026-08-24</x:v>
      </x:c>
      <x:c r="AC103" s="14" t="str">
        <x:v>Олександр</x:v>
      </x:c>
      <x:c r="AD103" s="18" t="str"/>
      <x:c r="AE103" s="14" t="str"/>
    </x:row>
    <x:row r="104">
      <x:c r="A104" s="14" t="str">
        <x:v>EXP-008</x:v>
      </x:c>
      <x:c r="B104" s="14" t="str">
        <x:v>Розширення ніш — 24.08</x:v>
      </x:c>
      <x:c r="C104" s="14" t="str">
        <x:v>ПОКРИВ</x:v>
      </x:c>
      <x:c r="D104" s="14" t="str">
        <x:v>Покрівлі та гідроізоляція</x:v>
      </x:c>
      <x:c r="E104" s="14" t="str">
        <x:v>Expansion discovery</x:v>
      </x:c>
      <x:c r="F104" s="17" t="str">
        <x:f>IF(E104="Pilot now",IF(P104&gt;=84,"P1",IF(P104&gt;=72,"P2","P3")),IF(E104="Expansion discovery",IF(Q104&gt;=88,"D1",IF(Q104&gt;=78,"D2","D3")),IF(E104="Later / requirements","L","Legacy")))</x:f>
        <x:v>D1</x:v>
      </x:c>
      <x:c r="G104" s="14" t="str">
        <x:v>pokryv.com.ua</x:v>
      </x:c>
      <x:c r="H104" s="14" t="str">
        <x:v>Discovery — вимоги проєкту</x:v>
      </x:c>
      <x:c r="I104" s="16" t="n">
        <x:v>0</x:v>
      </x:c>
      <x:c r="J104" s="16" t="n">
        <x:v>5</x:v>
      </x:c>
      <x:c r="K104" s="16" t="n">
        <x:v>5</x:v>
      </x:c>
      <x:c r="L104" s="16" t="n">
        <x:v>4</x:v>
      </x:c>
      <x:c r="M104" s="16" t="n">
        <x:v>4</x:v>
      </x:c>
      <x:c r="N104" s="16" t="n">
        <x:v>5</x:v>
      </x:c>
      <x:c r="O104" s="16" t="n">
        <x:v>5</x:v>
      </x:c>
      <x:c r="P104" s="16" t="n">
        <x:f>IF(COUNT(I104:O104)&lt;7,"",I104*8+J104*3+K104*2+L104*2+M104*2+N104*2+O104)</x:f>
        <x:v>56</x:v>
      </x:c>
      <x:c r="Q104" s="16" t="n">
        <x:f>IF(COUNT(J104:O104)&lt;6,"",J104*5+K104*4+M104*4+L104*3+N104*2+O104*2)</x:f>
        <x:v>93</x:v>
      </x:c>
      <x:c r="R104" s="14" t="str">
        <x:v>high</x:v>
      </x:c>
      <x:c r="S104" s="14" t="str">
        <x:v>official_source_reverified</x:v>
      </x:c>
      <x:c r="T104" s="14" t="str">
        <x:v>official_source_reachable</x:v>
      </x:c>
      <x:c r="U104" s="14" t="str">
        <x:v>Новий — не контактували</x:v>
      </x:c>
      <x:c r="V104" s="15" t="str">
        <x:v>Discovery-call: отримати 1 реальний артефакт і вимоги проєкту; не обіцяти готове покриття</x:v>
      </x:c>
      <x:c r="W104" s="15" t="str">
        <x:v>Власник / директор; керівник проєктів; виконроб</x:v>
      </x:c>
      <x:c r="X104" s="15" t="str">
        <x:v>Портфоліо ПВХ/ТПО покрівель, терас, басейнів і промислових об’єктів.</x:v>
      </x:c>
      <x:c r="Y104" s="15" t="str">
        <x:v>Пароізоляція, утеплення, кріплення, шви й примикання стають недоступними після завершення покрівельного пирога.</x:v>
      </x:c>
      <x:c r="Z104" s="15" t="str">
        <x:v>https://pokryv.com.ua/gallery.html</x:v>
      </x:c>
      <x:c r="AA104" s="14" t="str"/>
      <x:c r="AB104" s="14" t="str">
        <x:v>2026-08-24</x:v>
      </x:c>
      <x:c r="AC104" s="14" t="str">
        <x:v>Олександр</x:v>
      </x:c>
      <x:c r="AD104" s="18" t="str"/>
      <x:c r="AE104" s="14" t="str"/>
    </x:row>
    <x:row r="105">
      <x:c r="A105" s="14" t="str">
        <x:v>EXP-005</x:v>
      </x:c>
      <x:c r="B105" s="14" t="str">
        <x:v>Розширення ніш — 24.08</x:v>
      </x:c>
      <x:c r="C105" s="14" t="str">
        <x:v>ПРОФ-ІНВЕСТ ГРУП</x:v>
      </x:c>
      <x:c r="D105" s="14" t="str">
        <x:v>Покрівлі та гідроізоляція</x:v>
      </x:c>
      <x:c r="E105" s="14" t="str">
        <x:v>Expansion discovery</x:v>
      </x:c>
      <x:c r="F105" s="17" t="str">
        <x:f>IF(E105="Pilot now",IF(P105&gt;=84,"P1",IF(P105&gt;=72,"P2","P3")),IF(E105="Expansion discovery",IF(Q105&gt;=88,"D1",IF(Q105&gt;=78,"D2","D3")),IF(E105="Later / requirements","L","Legacy")))</x:f>
        <x:v>D1</x:v>
      </x:c>
      <x:c r="G105" s="14" t="str">
        <x:v>profinvestgrup.com.ua</x:v>
      </x:c>
      <x:c r="H105" s="14" t="str">
        <x:v>Discovery — вимоги проєкту</x:v>
      </x:c>
      <x:c r="I105" s="16" t="n">
        <x:v>0</x:v>
      </x:c>
      <x:c r="J105" s="16" t="n">
        <x:v>5</x:v>
      </x:c>
      <x:c r="K105" s="16" t="n">
        <x:v>5</x:v>
      </x:c>
      <x:c r="L105" s="16" t="n">
        <x:v>4</x:v>
      </x:c>
      <x:c r="M105" s="16" t="n">
        <x:v>4</x:v>
      </x:c>
      <x:c r="N105" s="16" t="n">
        <x:v>5</x:v>
      </x:c>
      <x:c r="O105" s="16" t="n">
        <x:v>5</x:v>
      </x:c>
      <x:c r="P105" s="16" t="n">
        <x:f>IF(COUNT(I105:O105)&lt;7,"",I105*8+J105*3+K105*2+L105*2+M105*2+N105*2+O105)</x:f>
        <x:v>56</x:v>
      </x:c>
      <x:c r="Q105" s="16" t="n">
        <x:f>IF(COUNT(J105:O105)&lt;6,"",J105*5+K105*4+M105*4+L105*3+N105*2+O105*2)</x:f>
        <x:v>93</x:v>
      </x:c>
      <x:c r="R105" s="14" t="str">
        <x:v>high</x:v>
      </x:c>
      <x:c r="S105" s="14" t="str">
        <x:v>official_source_reverified</x:v>
      </x:c>
      <x:c r="T105" s="14" t="str">
        <x:v>official_source_reachable</x:v>
      </x:c>
      <x:c r="U105" s="14" t="str">
        <x:v>Новий — не контактували</x:v>
      </x:c>
      <x:c r="V105" s="15" t="str">
        <x:v>Discovery-call: отримати 1 реальний артефакт і вимоги проєкту; не обіцяти готове покриття</x:v>
      </x:c>
      <x:c r="W105" s="15" t="str">
        <x:v>Власник / директор; керівник проєктів; виконроб</x:v>
      </x:c>
      <x:c r="X105" s="15" t="str">
        <x:v>17+ років і понад 150 000 м² змонтованих мембран по Україні.</x:v>
      </x:c>
      <x:c r="Y105" s="15" t="str">
        <x:v>Пароізоляція, утеплення, кріплення, шви й примикання стають недоступними після завершення покрівельного пирога.</x:v>
      </x:c>
      <x:c r="Z105" s="15" t="str">
        <x:v>https://profinvestgrup.com.ua/</x:v>
      </x:c>
      <x:c r="AA105" s="14" t="str"/>
      <x:c r="AB105" s="14" t="str">
        <x:v>2026-08-24</x:v>
      </x:c>
      <x:c r="AC105" s="14" t="str">
        <x:v>Олександр</x:v>
      </x:c>
      <x:c r="AD105" s="18" t="str"/>
      <x:c r="AE105" s="14" t="str"/>
    </x:row>
    <x:row r="106">
      <x:c r="A106" s="14" t="str">
        <x:v>EXP-002</x:v>
      </x:c>
      <x:c r="B106" s="14" t="str">
        <x:v>Розширення ніш — 24.08</x:v>
      </x:c>
      <x:c r="C106" s="14" t="str">
        <x:v>СпецІзол</x:v>
      </x:c>
      <x:c r="D106" s="14" t="str">
        <x:v>Покрівлі та гідроізоляція</x:v>
      </x:c>
      <x:c r="E106" s="14" t="str">
        <x:v>Expansion discovery</x:v>
      </x:c>
      <x:c r="F106" s="17" t="str">
        <x:f>IF(E106="Pilot now",IF(P106&gt;=84,"P1",IF(P106&gt;=72,"P2","P3")),IF(E106="Expansion discovery",IF(Q106&gt;=88,"D1",IF(Q106&gt;=78,"D2","D3")),IF(E106="Later / requirements","L","Legacy")))</x:f>
        <x:v>D1</x:v>
      </x:c>
      <x:c r="G106" s="14" t="str">
        <x:v>spetsizol.com.ua</x:v>
      </x:c>
      <x:c r="H106" s="14" t="str">
        <x:v>Discovery — вимоги проєкту</x:v>
      </x:c>
      <x:c r="I106" s="16" t="n">
        <x:v>0</x:v>
      </x:c>
      <x:c r="J106" s="16" t="n">
        <x:v>5</x:v>
      </x:c>
      <x:c r="K106" s="16" t="n">
        <x:v>5</x:v>
      </x:c>
      <x:c r="L106" s="16" t="n">
        <x:v>4</x:v>
      </x:c>
      <x:c r="M106" s="16" t="n">
        <x:v>4</x:v>
      </x:c>
      <x:c r="N106" s="16" t="n">
        <x:v>5</x:v>
      </x:c>
      <x:c r="O106" s="16" t="n">
        <x:v>5</x:v>
      </x:c>
      <x:c r="P106" s="16" t="n">
        <x:f>IF(COUNT(I106:O106)&lt;7,"",I106*8+J106*3+K106*2+L106*2+M106*2+N106*2+O106)</x:f>
        <x:v>56</x:v>
      </x:c>
      <x:c r="Q106" s="16" t="n">
        <x:f>IF(COUNT(J106:O106)&lt;6,"",J106*5+K106*4+M106*4+L106*3+N106*2+O106*2)</x:f>
        <x:v>93</x:v>
      </x:c>
      <x:c r="R106" s="14" t="str">
        <x:v>high</x:v>
      </x:c>
      <x:c r="S106" s="14" t="str">
        <x:v>official_source_reverified</x:v>
      </x:c>
      <x:c r="T106" s="14" t="str">
        <x:v>official_source_reachable</x:v>
      </x:c>
      <x:c r="U106" s="14" t="str">
        <x:v>Новий — не контактували</x:v>
      </x:c>
      <x:c r="V106" s="15" t="str">
        <x:v>Discovery-call: отримати 1 реальний артефакт і вимоги проєкту; не обіцяти готове покриття</x:v>
      </x:c>
      <x:c r="W106" s="15" t="str">
        <x:v>Власник / директор; керівник проєктів; виконроб</x:v>
      </x:c>
      <x:c r="X106" s="15" t="str">
        <x:v>Портфоліо промислових і приватних мембранних покрівель; проєкти 600–1500 м².</x:v>
      </x:c>
      <x:c r="Y106" s="15" t="str">
        <x:v>Пароізоляція, утеплення, кріплення, шви й примикання стають недоступними після завершення покрівельного пирога.</x:v>
      </x:c>
      <x:c r="Z106" s="15" t="str">
        <x:v>https://spetsizol.com.ua/ua/photos</x:v>
      </x:c>
      <x:c r="AA106" s="14" t="str"/>
      <x:c r="AB106" s="14" t="str">
        <x:v>2026-08-24</x:v>
      </x:c>
      <x:c r="AC106" s="14" t="str">
        <x:v>Олександр</x:v>
      </x:c>
      <x:c r="AD106" s="18" t="str"/>
      <x:c r="AE106" s="14" t="str"/>
    </x:row>
    <x:row r="107">
      <x:c r="A107" s="14" t="str">
        <x:v>EXP-007</x:v>
      </x:c>
      <x:c r="B107" s="14" t="str">
        <x:v>Розширення ніш — 24.08</x:v>
      </x:c>
      <x:c r="C107" s="14" t="str">
        <x:v>ТК Три Кита</x:v>
      </x:c>
      <x:c r="D107" s="14" t="str">
        <x:v>Покрівлі та гідроізоляція</x:v>
      </x:c>
      <x:c r="E107" s="14" t="str">
        <x:v>Expansion discovery</x:v>
      </x:c>
      <x:c r="F107" s="17" t="str">
        <x:f>IF(E107="Pilot now",IF(P107&gt;=84,"P1",IF(P107&gt;=72,"P2","P3")),IF(E107="Expansion discovery",IF(Q107&gt;=88,"D1",IF(Q107&gt;=78,"D2","D3")),IF(E107="Later / requirements","L","Legacy")))</x:f>
        <x:v>D1</x:v>
      </x:c>
      <x:c r="G107" s="14" t="str">
        <x:v>tk-build.kiev.ua</x:v>
      </x:c>
      <x:c r="H107" s="14" t="str">
        <x:v>Discovery — вимоги проєкту</x:v>
      </x:c>
      <x:c r="I107" s="16" t="n">
        <x:v>0</x:v>
      </x:c>
      <x:c r="J107" s="16" t="n">
        <x:v>5</x:v>
      </x:c>
      <x:c r="K107" s="16" t="n">
        <x:v>5</x:v>
      </x:c>
      <x:c r="L107" s="16" t="n">
        <x:v>4</x:v>
      </x:c>
      <x:c r="M107" s="16" t="n">
        <x:v>4</x:v>
      </x:c>
      <x:c r="N107" s="16" t="n">
        <x:v>5</x:v>
      </x:c>
      <x:c r="O107" s="16" t="n">
        <x:v>5</x:v>
      </x:c>
      <x:c r="P107" s="16" t="n">
        <x:f>IF(COUNT(I107:O107)&lt;7,"",I107*8+J107*3+K107*2+L107*2+M107*2+N107*2+O107)</x:f>
        <x:v>56</x:v>
      </x:c>
      <x:c r="Q107" s="16" t="n">
        <x:f>IF(COUNT(J107:O107)&lt;6,"",J107*5+K107*4+M107*4+L107*3+N107*2+O107*2)</x:f>
        <x:v>93</x:v>
      </x:c>
      <x:c r="R107" s="14" t="str">
        <x:v>high</x:v>
      </x:c>
      <x:c r="S107" s="14" t="str">
        <x:v>official_source_reverified</x:v>
      </x:c>
      <x:c r="T107" s="14" t="str">
        <x:v>official_source_reachable</x:v>
      </x:c>
      <x:c r="U107" s="14" t="str">
        <x:v>Новий — не контактували</x:v>
      </x:c>
      <x:c r="V107" s="15" t="str">
        <x:v>Discovery-call: отримати 1 реальний артефакт і вимоги проєкту; не обіцяти готове покриття</x:v>
      </x:c>
      <x:c r="W107" s="15" t="str">
        <x:v>Власник / директор; керівник проєктів; виконроб</x:v>
      </x:c>
      <x:c r="X107" s="15" t="str">
        <x:v>Портфоліо 300+ приватних і промислових покрівель по Україні.</x:v>
      </x:c>
      <x:c r="Y107" s="15" t="str">
        <x:v>Пароізоляція, утеплення, кріплення, шви й примикання стають недоступними після завершення покрівельного пирога.</x:v>
      </x:c>
      <x:c r="Z107" s="15" t="str">
        <x:v>https://www.tk-build.kiev.ua/portfolio-pokrivelnyh-robit/</x:v>
      </x:c>
      <x:c r="AA107" s="14" t="str"/>
      <x:c r="AB107" s="14" t="str">
        <x:v>2026-08-24</x:v>
      </x:c>
      <x:c r="AC107" s="14" t="str">
        <x:v>Олександр</x:v>
      </x:c>
      <x:c r="AD107" s="18" t="str"/>
      <x:c r="AE107" s="14" t="str"/>
    </x:row>
    <x:row r="108">
      <x:c r="A108" s="14" t="str">
        <x:v>EXP-004</x:v>
      </x:c>
      <x:c r="B108" s="14" t="str">
        <x:v>Розширення ніш — 24.08</x:v>
      </x:c>
      <x:c r="C108" s="14" t="str">
        <x:v>Укргідроізол</x:v>
      </x:c>
      <x:c r="D108" s="14" t="str">
        <x:v>Покрівлі та гідроізоляція</x:v>
      </x:c>
      <x:c r="E108" s="14" t="str">
        <x:v>Expansion discovery</x:v>
      </x:c>
      <x:c r="F108" s="17" t="str">
        <x:f>IF(E108="Pilot now",IF(P108&gt;=84,"P1",IF(P108&gt;=72,"P2","P3")),IF(E108="Expansion discovery",IF(Q108&gt;=88,"D1",IF(Q108&gt;=78,"D2","D3")),IF(E108="Later / requirements","L","Legacy")))</x:f>
        <x:v>D1</x:v>
      </x:c>
      <x:c r="G108" s="14" t="str">
        <x:v>ukrgidroizol.com.ua</x:v>
      </x:c>
      <x:c r="H108" s="14" t="str">
        <x:v>Discovery — вимоги проєкту</x:v>
      </x:c>
      <x:c r="I108" s="16" t="n">
        <x:v>0</x:v>
      </x:c>
      <x:c r="J108" s="16" t="n">
        <x:v>5</x:v>
      </x:c>
      <x:c r="K108" s="16" t="n">
        <x:v>5</x:v>
      </x:c>
      <x:c r="L108" s="16" t="n">
        <x:v>4</x:v>
      </x:c>
      <x:c r="M108" s="16" t="n">
        <x:v>4</x:v>
      </x:c>
      <x:c r="N108" s="16" t="n">
        <x:v>5</x:v>
      </x:c>
      <x:c r="O108" s="16" t="n">
        <x:v>5</x:v>
      </x:c>
      <x:c r="P108" s="16" t="n">
        <x:f>IF(COUNT(I108:O108)&lt;7,"",I108*8+J108*3+K108*2+L108*2+M108*2+N108*2+O108)</x:f>
        <x:v>56</x:v>
      </x:c>
      <x:c r="Q108" s="16" t="n">
        <x:f>IF(COUNT(J108:O108)&lt;6,"",J108*5+K108*4+M108*4+L108*3+N108*2+O108*2)</x:f>
        <x:v>93</x:v>
      </x:c>
      <x:c r="R108" s="14" t="str">
        <x:v>high</x:v>
      </x:c>
      <x:c r="S108" s="14" t="str">
        <x:v>official_source_reverified</x:v>
      </x:c>
      <x:c r="T108" s="14" t="str">
        <x:v>official_source_reachable</x:v>
      </x:c>
      <x:c r="U108" s="14" t="str">
        <x:v>Новий — не контактували</x:v>
      </x:c>
      <x:c r="V108" s="15" t="str">
        <x:v>Discovery-call: отримати 1 реальний артефакт і вимоги проєкту; не обіцяти готове покриття</x:v>
      </x:c>
      <x:c r="W108" s="15" t="str">
        <x:v>Власник / директор; керівник проєктів; виконроб</x:v>
      </x:c>
      <x:c r="X108" s="15" t="str">
        <x:v>15+ років у ПВХ/ТПО покрівлях; повний покрівельний пиріг і галерея робіт.</x:v>
      </x:c>
      <x:c r="Y108" s="15" t="str">
        <x:v>Пароізоляція, утеплення, кріплення, шви й примикання стають недоступними після завершення покрівельного пирога.</x:v>
      </x:c>
      <x:c r="Z108" s="15" t="str">
        <x:v>https://ukrgidroizol.com.ua/</x:v>
      </x:c>
      <x:c r="AA108" s="14" t="str"/>
      <x:c r="AB108" s="14" t="str">
        <x:v>2026-08-24</x:v>
      </x:c>
      <x:c r="AC108" s="14" t="str">
        <x:v>Олександр</x:v>
      </x:c>
      <x:c r="AD108" s="18" t="str"/>
      <x:c r="AE108" s="14" t="str"/>
    </x:row>
    <x:row r="109">
      <x:c r="A109" s="14" t="str">
        <x:v>EXP-013</x:v>
      </x:c>
      <x:c r="B109" s="14" t="str">
        <x:v>Розширення ніш — 24.08</x:v>
      </x:c>
      <x:c r="C109" s="14" t="str">
        <x:v>УКРФАСАДМОНТАЖ</x:v>
      </x:c>
      <x:c r="D109" s="14" t="str">
        <x:v>Вентильовані фасади та скління</x:v>
      </x:c>
      <x:c r="E109" s="14" t="str">
        <x:v>Expansion discovery</x:v>
      </x:c>
      <x:c r="F109" s="17" t="str">
        <x:f>IF(E109="Pilot now",IF(P109&gt;=84,"P1",IF(P109&gt;=72,"P2","P3")),IF(E109="Expansion discovery",IF(Q109&gt;=88,"D1",IF(Q109&gt;=78,"D2","D3")),IF(E109="Later / requirements","L","Legacy")))</x:f>
        <x:v>D1</x:v>
      </x:c>
      <x:c r="G109" s="14" t="str">
        <x:v>facade-ua.com</x:v>
      </x:c>
      <x:c r="H109" s="14" t="str">
        <x:v>Discovery — вимоги проєкту</x:v>
      </x:c>
      <x:c r="I109" s="16" t="n">
        <x:v>0</x:v>
      </x:c>
      <x:c r="J109" s="16" t="n">
        <x:v>5</x:v>
      </x:c>
      <x:c r="K109" s="16" t="n">
        <x:v>5</x:v>
      </x:c>
      <x:c r="L109" s="16" t="n">
        <x:v>4</x:v>
      </x:c>
      <x:c r="M109" s="16" t="n">
        <x:v>4</x:v>
      </x:c>
      <x:c r="N109" s="16" t="n">
        <x:v>5</x:v>
      </x:c>
      <x:c r="O109" s="16" t="n">
        <x:v>5</x:v>
      </x:c>
      <x:c r="P109" s="16" t="n">
        <x:f>IF(COUNT(I109:O109)&lt;7,"",I109*8+J109*3+K109*2+L109*2+M109*2+N109*2+O109)</x:f>
        <x:v>56</x:v>
      </x:c>
      <x:c r="Q109" s="16" t="n">
        <x:f>IF(COUNT(J109:O109)&lt;6,"",J109*5+K109*4+M109*4+L109*3+N109*2+O109*2)</x:f>
        <x:v>93</x:v>
      </x:c>
      <x:c r="R109" s="14" t="str">
        <x:v>high</x:v>
      </x:c>
      <x:c r="S109" s="14" t="str">
        <x:v>official_source_reverified</x:v>
      </x:c>
      <x:c r="T109" s="14" t="str">
        <x:v>official_source_reachable</x:v>
      </x:c>
      <x:c r="U109" s="14" t="str">
        <x:v>Новий — не контактували</x:v>
      </x:c>
      <x:c r="V109" s="15" t="str">
        <x:v>Discovery-call: отримати 1 реальний артефакт і вимоги проєкту; не обіцяти готове покриття</x:v>
      </x:c>
      <x:c r="W109" s="15" t="str">
        <x:v>Власник / директор; керівник фасадних проєктів; ПТО</x:v>
      </x:c>
      <x:c r="X109" s="15" t="str">
        <x:v>Фасадне скління, вентильовані фасади з утепленням і портфоліо бізнес-об’єктів.</x:v>
      </x:c>
      <x:c r="Y109" s="15" t="str">
        <x:v>Кронштейни, анкери, утеплення, мембрани й протипожежні відсічки закриваються облицюванням.</x:v>
      </x:c>
      <x:c r="Z109" s="15" t="str">
        <x:v>https://facade-ua.com/</x:v>
      </x:c>
      <x:c r="AA109" s="14" t="str"/>
      <x:c r="AB109" s="14" t="str">
        <x:v>2026-08-24</x:v>
      </x:c>
      <x:c r="AC109" s="14" t="str">
        <x:v>Олександр</x:v>
      </x:c>
      <x:c r="AD109" s="18" t="str"/>
      <x:c r="AE109" s="14" t="str"/>
    </x:row>
    <x:row r="110">
      <x:c r="A110" s="14" t="str">
        <x:v>EXP-009</x:v>
      </x:c>
      <x:c r="B110" s="14" t="str">
        <x:v>Розширення ніш — 24.08</x:v>
      </x:c>
      <x:c r="C110" s="14" t="str">
        <x:v>AMKO</x:v>
      </x:c>
      <x:c r="D110" s="14" t="str">
        <x:v>Покрівлі та гідроізоляція</x:v>
      </x:c>
      <x:c r="E110" s="14" t="str">
        <x:v>Expansion discovery</x:v>
      </x:c>
      <x:c r="F110" s="17" t="str">
        <x:f>IF(E110="Pilot now",IF(P110&gt;=84,"P1",IF(P110&gt;=72,"P2","P3")),IF(E110="Expansion discovery",IF(Q110&gt;=88,"D1",IF(Q110&gt;=78,"D2","D3")),IF(E110="Later / requirements","L","Legacy")))</x:f>
        <x:v>D1</x:v>
      </x:c>
      <x:c r="G110" s="14" t="str">
        <x:v>amko.com.ua</x:v>
      </x:c>
      <x:c r="H110" s="14" t="str">
        <x:v>Discovery — вимоги проєкту</x:v>
      </x:c>
      <x:c r="I110" s="16" t="n">
        <x:v>0</x:v>
      </x:c>
      <x:c r="J110" s="16" t="n">
        <x:v>5</x:v>
      </x:c>
      <x:c r="K110" s="16" t="n">
        <x:v>5</x:v>
      </x:c>
      <x:c r="L110" s="16" t="n">
        <x:v>4</x:v>
      </x:c>
      <x:c r="M110" s="16" t="n">
        <x:v>4</x:v>
      </x:c>
      <x:c r="N110" s="16" t="n">
        <x:v>5</x:v>
      </x:c>
      <x:c r="O110" s="16" t="n">
        <x:v>5</x:v>
      </x:c>
      <x:c r="P110" s="16" t="n">
        <x:f>IF(COUNT(I110:O110)&lt;7,"",I110*8+J110*3+K110*2+L110*2+M110*2+N110*2+O110)</x:f>
        <x:v>56</x:v>
      </x:c>
      <x:c r="Q110" s="16" t="n">
        <x:f>IF(COUNT(J110:O110)&lt;6,"",J110*5+K110*4+M110*4+L110*3+N110*2+O110*2)</x:f>
        <x:v>93</x:v>
      </x:c>
      <x:c r="R110" s="14" t="str">
        <x:v>high</x:v>
      </x:c>
      <x:c r="S110" s="14" t="str">
        <x:v>official_source_reverified</x:v>
      </x:c>
      <x:c r="T110" s="14" t="str">
        <x:v>official_source_reachable</x:v>
      </x:c>
      <x:c r="U110" s="14" t="str">
        <x:v>Новий — не контактували</x:v>
      </x:c>
      <x:c r="V110" s="15" t="str">
        <x:v>Discovery-call: отримати 1 реальний артефакт і вимоги проєкту; не обіцяти готове покриття</x:v>
      </x:c>
      <x:c r="W110" s="15" t="str">
        <x:v>Власник / директор; керівник проєктів; виконроб</x:v>
      </x:c>
      <x:c r="X110" s="15" t="str">
        <x:v>Повний цикл мембранної покрівлі: основа, шари, шви, примикання й контроль.</x:v>
      </x:c>
      <x:c r="Y110" s="15" t="str">
        <x:v>Пароізоляція, утеплення, кріплення, шви й примикання стають недоступними після завершення покрівельного пирога.</x:v>
      </x:c>
      <x:c r="Z110" s="15" t="str">
        <x:v>https://amko.com.ua/pokrivelni-roboty/montazh-pvkh-membrany/</x:v>
      </x:c>
      <x:c r="AA110" s="14" t="str"/>
      <x:c r="AB110" s="14" t="str">
        <x:v>2026-08-24</x:v>
      </x:c>
      <x:c r="AC110" s="14" t="str">
        <x:v>Олександр</x:v>
      </x:c>
      <x:c r="AD110" s="18" t="str"/>
      <x:c r="AE110" s="14" t="str"/>
    </x:row>
    <x:row r="111">
      <x:c r="A111" s="14" t="str">
        <x:v>EXP-001</x:v>
      </x:c>
      <x:c r="B111" s="14" t="str">
        <x:v>Розширення ніш — 24.08</x:v>
      </x:c>
      <x:c r="C111" s="14" t="str">
        <x:v>ATNI GROUP</x:v>
      </x:c>
      <x:c r="D111" s="14" t="str">
        <x:v>Покрівлі та гідроізоляція</x:v>
      </x:c>
      <x:c r="E111" s="14" t="str">
        <x:v>Expansion discovery</x:v>
      </x:c>
      <x:c r="F111" s="17" t="str">
        <x:f>IF(E111="Pilot now",IF(P111&gt;=84,"P1",IF(P111&gt;=72,"P2","P3")),IF(E111="Expansion discovery",IF(Q111&gt;=88,"D1",IF(Q111&gt;=78,"D2","D3")),IF(E111="Later / requirements","L","Legacy")))</x:f>
        <x:v>D1</x:v>
      </x:c>
      <x:c r="G111" s="14" t="str">
        <x:v>atnigroup.com.ua</x:v>
      </x:c>
      <x:c r="H111" s="14" t="str">
        <x:v>Discovery — вимоги проєкту</x:v>
      </x:c>
      <x:c r="I111" s="16" t="n">
        <x:v>0</x:v>
      </x:c>
      <x:c r="J111" s="16" t="n">
        <x:v>5</x:v>
      </x:c>
      <x:c r="K111" s="16" t="n">
        <x:v>5</x:v>
      </x:c>
      <x:c r="L111" s="16" t="n">
        <x:v>4</x:v>
      </x:c>
      <x:c r="M111" s="16" t="n">
        <x:v>4</x:v>
      </x:c>
      <x:c r="N111" s="16" t="n">
        <x:v>5</x:v>
      </x:c>
      <x:c r="O111" s="16" t="n">
        <x:v>5</x:v>
      </x:c>
      <x:c r="P111" s="16" t="n">
        <x:f>IF(COUNT(I111:O111)&lt;7,"",I111*8+J111*3+K111*2+L111*2+M111*2+N111*2+O111)</x:f>
        <x:v>56</x:v>
      </x:c>
      <x:c r="Q111" s="16" t="n">
        <x:f>IF(COUNT(J111:O111)&lt;6,"",J111*5+K111*4+M111*4+L111*3+N111*2+O111*2)</x:f>
        <x:v>93</x:v>
      </x:c>
      <x:c r="R111" s="14" t="str">
        <x:v>high</x:v>
      </x:c>
      <x:c r="S111" s="14" t="str">
        <x:v>official_source_reverified</x:v>
      </x:c>
      <x:c r="T111" s="14" t="str">
        <x:v>official_source_reachable</x:v>
      </x:c>
      <x:c r="U111" s="14" t="str">
        <x:v>Новий — не контактували</x:v>
      </x:c>
      <x:c r="V111" s="15" t="str">
        <x:v>Discovery-call: отримати 1 реальний артефакт і вимоги проєкту; не обіцяти готове покриття</x:v>
      </x:c>
      <x:c r="W111" s="15" t="str">
        <x:v>Власник / директор; керівник проєктів; виконроб</x:v>
      </x:c>
      <x:c r="X111" s="15" t="str">
        <x:v>ПВХ/ТПО мембрани, утеплення і реалізовані покрівлі 420–4670 м².</x:v>
      </x:c>
      <x:c r="Y111" s="15" t="str">
        <x:v>Пароізоляція, утеплення, кріплення, шви й примикання стають недоступними після завершення покрівельного пирога.</x:v>
      </x:c>
      <x:c r="Z111" s="15" t="str">
        <x:v>https://atnigroup.com.ua/</x:v>
      </x:c>
      <x:c r="AA111" s="14" t="str"/>
      <x:c r="AB111" s="14" t="str">
        <x:v>2026-08-24</x:v>
      </x:c>
      <x:c r="AC111" s="14" t="str">
        <x:v>Олександр</x:v>
      </x:c>
      <x:c r="AD111" s="18" t="str"/>
      <x:c r="AE111" s="14" t="str"/>
    </x:row>
    <x:row r="112">
      <x:c r="A112" s="14" t="str">
        <x:v>EXP-019</x:v>
      </x:c>
      <x:c r="B112" s="14" t="str">
        <x:v>Розширення ніш — 24.08</x:v>
      </x:c>
      <x:c r="C112" s="14" t="str">
        <x:v>DENBETON</x:v>
      </x:c>
      <x:c r="D112" s="14" t="str">
        <x:v>Промислові підлоги та бетон</x:v>
      </x:c>
      <x:c r="E112" s="14" t="str">
        <x:v>Expansion discovery</x:v>
      </x:c>
      <x:c r="F112" s="17" t="str">
        <x:f>IF(E112="Pilot now",IF(P112&gt;=84,"P1",IF(P112&gt;=72,"P2","P3")),IF(E112="Expansion discovery",IF(Q112&gt;=88,"D1",IF(Q112&gt;=78,"D2","D3")),IF(E112="Later / requirements","L","Legacy")))</x:f>
        <x:v>D1</x:v>
      </x:c>
      <x:c r="G112" s="14" t="str">
        <x:v>denbeton.com.ua</x:v>
      </x:c>
      <x:c r="H112" s="14" t="str">
        <x:v>Discovery — вимоги проєкту</x:v>
      </x:c>
      <x:c r="I112" s="16" t="n">
        <x:v>0</x:v>
      </x:c>
      <x:c r="J112" s="16" t="n">
        <x:v>5</x:v>
      </x:c>
      <x:c r="K112" s="16" t="n">
        <x:v>4</x:v>
      </x:c>
      <x:c r="L112" s="16" t="n">
        <x:v>5</x:v>
      </x:c>
      <x:c r="M112" s="16" t="n">
        <x:v>4</x:v>
      </x:c>
      <x:c r="N112" s="16" t="n">
        <x:v>5</x:v>
      </x:c>
      <x:c r="O112" s="16" t="n">
        <x:v>5</x:v>
      </x:c>
      <x:c r="P112" s="16" t="n">
        <x:f>IF(COUNT(I112:O112)&lt;7,"",I112*8+J112*3+K112*2+L112*2+M112*2+N112*2+O112)</x:f>
        <x:v>56</x:v>
      </x:c>
      <x:c r="Q112" s="16" t="n">
        <x:f>IF(COUNT(J112:O112)&lt;6,"",J112*5+K112*4+M112*4+L112*3+N112*2+O112*2)</x:f>
        <x:v>92</x:v>
      </x:c>
      <x:c r="R112" s="14" t="str">
        <x:v>high</x:v>
      </x:c>
      <x:c r="S112" s="14" t="str">
        <x:v>official_source_reverified</x:v>
      </x:c>
      <x:c r="T112" s="14" t="str">
        <x:v>official_source_reachable</x:v>
      </x:c>
      <x:c r="U112" s="14" t="str">
        <x:v>Новий — не контактували</x:v>
      </x:c>
      <x:c r="V112" s="15" t="str">
        <x:v>Discovery-call: отримати 1 реальний артефакт і вимоги проєкту; не обіцяти готове покриття</x:v>
      </x:c>
      <x:c r="W112" s="15" t="str">
        <x:v>Власник / директор; керівник проєктів; технолог / ПТО</x:v>
      </x:c>
      <x:c r="X112" s="15" t="str">
        <x:v>200+ проєктів і 645 000 м² промислових підлог; власний масштаб виконання.</x:v>
      </x:c>
      <x:c r="Y112" s="15" t="str">
        <x:v>Підготовка основи, армування, шви, вологість і технологічні шари потрібно зафіксувати до заливки або нанесення фінішу.</x:v>
      </x:c>
      <x:c r="Z112" s="15" t="str">
        <x:v>https://www.denbeton.com.ua/</x:v>
      </x:c>
      <x:c r="AA112" s="14" t="str"/>
      <x:c r="AB112" s="14" t="str">
        <x:v>2026-08-24</x:v>
      </x:c>
      <x:c r="AC112" s="14" t="str">
        <x:v>Олександр</x:v>
      </x:c>
      <x:c r="AD112" s="18" t="str"/>
      <x:c r="AE112" s="14" t="str"/>
    </x:row>
    <x:row r="113">
      <x:c r="A113" s="14" t="str">
        <x:v>EXP-015</x:v>
      </x:c>
      <x:c r="B113" s="14" t="str">
        <x:v>Розширення ніш — 24.08</x:v>
      </x:c>
      <x:c r="C113" s="14" t="str">
        <x:v>EKZO.HAUS</x:v>
      </x:c>
      <x:c r="D113" s="14" t="str">
        <x:v>Вентильовані фасади та скління</x:v>
      </x:c>
      <x:c r="E113" s="14" t="str">
        <x:v>Expansion discovery</x:v>
      </x:c>
      <x:c r="F113" s="17" t="str">
        <x:f>IF(E113="Pilot now",IF(P113&gt;=84,"P1",IF(P113&gt;=72,"P2","P3")),IF(E113="Expansion discovery",IF(Q113&gt;=88,"D1",IF(Q113&gt;=78,"D2","D3")),IF(E113="Later / requirements","L","Legacy")))</x:f>
        <x:v>D1</x:v>
      </x:c>
      <x:c r="G113" s="14" t="str">
        <x:v>ekzo.haus</x:v>
      </x:c>
      <x:c r="H113" s="14" t="str">
        <x:v>Discovery — вимоги проєкту</x:v>
      </x:c>
      <x:c r="I113" s="16" t="n">
        <x:v>0</x:v>
      </x:c>
      <x:c r="J113" s="16" t="n">
        <x:v>5</x:v>
      </x:c>
      <x:c r="K113" s="16" t="n">
        <x:v>5</x:v>
      </x:c>
      <x:c r="L113" s="16" t="n">
        <x:v>4</x:v>
      </x:c>
      <x:c r="M113" s="16" t="n">
        <x:v>4</x:v>
      </x:c>
      <x:c r="N113" s="16" t="n">
        <x:v>5</x:v>
      </x:c>
      <x:c r="O113" s="16" t="n">
        <x:v>5</x:v>
      </x:c>
      <x:c r="P113" s="16" t="n">
        <x:f>IF(COUNT(I113:O113)&lt;7,"",I113*8+J113*3+K113*2+L113*2+M113*2+N113*2+O113)</x:f>
        <x:v>56</x:v>
      </x:c>
      <x:c r="Q113" s="16" t="n">
        <x:f>IF(COUNT(J113:O113)&lt;6,"",J113*5+K113*4+M113*4+L113*3+N113*2+O113*2)</x:f>
        <x:v>93</x:v>
      </x:c>
      <x:c r="R113" s="14" t="str">
        <x:v>high</x:v>
      </x:c>
      <x:c r="S113" s="14" t="str">
        <x:v>official_source_reverified</x:v>
      </x:c>
      <x:c r="T113" s="14" t="str">
        <x:v>official_source_reachable</x:v>
      </x:c>
      <x:c r="U113" s="14" t="str">
        <x:v>Новий — не контактували</x:v>
      </x:c>
      <x:c r="V113" s="15" t="str">
        <x:v>Discovery-call: отримати 1 реальний артефакт і вимоги проєкту; не обіцяти готове покриття</x:v>
      </x:c>
      <x:c r="W113" s="15" t="str">
        <x:v>Власник / директор; керівник фасадних проєктів; ПТО</x:v>
      </x:c>
      <x:c r="X113" s="15" t="str">
        <x:v>Виробництво систем і організація монтажних бригад для вентфасадів та покрівель.</x:v>
      </x:c>
      <x:c r="Y113" s="15" t="str">
        <x:v>Кронштейни, анкери, утеплення, мембрани й протипожежні відсічки закриваються облицюванням.</x:v>
      </x:c>
      <x:c r="Z113" s="15" t="str">
        <x:v>https://ekzo.haus/</x:v>
      </x:c>
      <x:c r="AA113" s="14" t="str"/>
      <x:c r="AB113" s="14" t="str">
        <x:v>2026-08-24</x:v>
      </x:c>
      <x:c r="AC113" s="14" t="str">
        <x:v>Олександр</x:v>
      </x:c>
      <x:c r="AD113" s="18" t="str"/>
      <x:c r="AE113" s="14" t="str"/>
    </x:row>
    <x:row r="114">
      <x:c r="A114" s="14" t="str">
        <x:v>EXP-018</x:v>
      </x:c>
      <x:c r="B114" s="14" t="str">
        <x:v>Розширення ніш — 24.08</x:v>
      </x:c>
      <x:c r="C114" s="14" t="str">
        <x:v>Olis-Group</x:v>
      </x:c>
      <x:c r="D114" s="14" t="str">
        <x:v>Промислові підлоги та бетон</x:v>
      </x:c>
      <x:c r="E114" s="14" t="str">
        <x:v>Expansion discovery</x:v>
      </x:c>
      <x:c r="F114" s="17" t="str">
        <x:f>IF(E114="Pilot now",IF(P114&gt;=84,"P1",IF(P114&gt;=72,"P2","P3")),IF(E114="Expansion discovery",IF(Q114&gt;=88,"D1",IF(Q114&gt;=78,"D2","D3")),IF(E114="Later / requirements","L","Legacy")))</x:f>
        <x:v>D1</x:v>
      </x:c>
      <x:c r="G114" s="14" t="str">
        <x:v>olis-group.com.ua</x:v>
      </x:c>
      <x:c r="H114" s="14" t="str">
        <x:v>Discovery — вимоги проєкту</x:v>
      </x:c>
      <x:c r="I114" s="16" t="n">
        <x:v>0</x:v>
      </x:c>
      <x:c r="J114" s="16" t="n">
        <x:v>5</x:v>
      </x:c>
      <x:c r="K114" s="16" t="n">
        <x:v>4</x:v>
      </x:c>
      <x:c r="L114" s="16" t="n">
        <x:v>5</x:v>
      </x:c>
      <x:c r="M114" s="16" t="n">
        <x:v>4</x:v>
      </x:c>
      <x:c r="N114" s="16" t="n">
        <x:v>5</x:v>
      </x:c>
      <x:c r="O114" s="16" t="n">
        <x:v>5</x:v>
      </x:c>
      <x:c r="P114" s="16" t="n">
        <x:f>IF(COUNT(I114:O114)&lt;7,"",I114*8+J114*3+K114*2+L114*2+M114*2+N114*2+O114)</x:f>
        <x:v>56</x:v>
      </x:c>
      <x:c r="Q114" s="16" t="n">
        <x:f>IF(COUNT(J114:O114)&lt;6,"",J114*5+K114*4+M114*4+L114*3+N114*2+O114*2)</x:f>
        <x:v>92</x:v>
      </x:c>
      <x:c r="R114" s="14" t="str">
        <x:v>high</x:v>
      </x:c>
      <x:c r="S114" s="14" t="str">
        <x:v>official_source_reverified</x:v>
      </x:c>
      <x:c r="T114" s="14" t="str">
        <x:v>official_source_reachable</x:v>
      </x:c>
      <x:c r="U114" s="14" t="str">
        <x:v>Новий — не контактували</x:v>
      </x:c>
      <x:c r="V114" s="15" t="str">
        <x:v>Discovery-call: отримати 1 реальний артефакт і вимоги проєкту; не обіцяти готове покриття</x:v>
      </x:c>
      <x:c r="W114" s="15" t="str">
        <x:v>Власник / директор; керівник проєктів; технолог / ПТО</x:v>
      </x:c>
      <x:c r="X114" s="15" t="str">
        <x:v>1850+ промислових підлог для великих заводів і харчових підприємств.</x:v>
      </x:c>
      <x:c r="Y114" s="15" t="str">
        <x:v>Підготовка основи, армування, шви, вологість і технологічні шари потрібно зафіксувати до заливки або нанесення фінішу.</x:v>
      </x:c>
      <x:c r="Z114" s="15" t="str">
        <x:v>https://olis-group.com.ua/</x:v>
      </x:c>
      <x:c r="AA114" s="14" t="str"/>
      <x:c r="AB114" s="14" t="str">
        <x:v>2026-08-24</x:v>
      </x:c>
      <x:c r="AC114" s="14" t="str">
        <x:v>Олександр</x:v>
      </x:c>
      <x:c r="AD114" s="18" t="str"/>
      <x:c r="AE114" s="14" t="str"/>
    </x:row>
    <x:row r="115">
      <x:c r="A115" s="14" t="str">
        <x:v>EXP-016</x:v>
      </x:c>
      <x:c r="B115" s="14" t="str">
        <x:v>Розширення ніш — 24.08</x:v>
      </x:c>
      <x:c r="C115" s="14" t="str">
        <x:v>SCANROC Україна</x:v>
      </x:c>
      <x:c r="D115" s="14" t="str">
        <x:v>Вентильовані фасади та скління</x:v>
      </x:c>
      <x:c r="E115" s="14" t="str">
        <x:v>Expansion discovery</x:v>
      </x:c>
      <x:c r="F115" s="17" t="str">
        <x:f>IF(E115="Pilot now",IF(P115&gt;=84,"P1",IF(P115&gt;=72,"P2","P3")),IF(E115="Expansion discovery",IF(Q115&gt;=88,"D1",IF(Q115&gt;=78,"D2","D3")),IF(E115="Later / requirements","L","Legacy")))</x:f>
        <x:v>D1</x:v>
      </x:c>
      <x:c r="G115" s="14" t="str">
        <x:v>scanroc.ua</x:v>
      </x:c>
      <x:c r="H115" s="14" t="str">
        <x:v>Discovery — вимоги проєкту</x:v>
      </x:c>
      <x:c r="I115" s="16" t="n">
        <x:v>0</x:v>
      </x:c>
      <x:c r="J115" s="16" t="n">
        <x:v>5</x:v>
      </x:c>
      <x:c r="K115" s="16" t="n">
        <x:v>5</x:v>
      </x:c>
      <x:c r="L115" s="16" t="n">
        <x:v>5</x:v>
      </x:c>
      <x:c r="M115" s="16" t="n">
        <x:v>4</x:v>
      </x:c>
      <x:c r="N115" s="16" t="n">
        <x:v>5</x:v>
      </x:c>
      <x:c r="O115" s="16" t="n">
        <x:v>3</x:v>
      </x:c>
      <x:c r="P115" s="16" t="n">
        <x:f>IF(COUNT(I115:O115)&lt;7,"",I115*8+J115*3+K115*2+L115*2+M115*2+N115*2+O115)</x:f>
        <x:v>56</x:v>
      </x:c>
      <x:c r="Q115" s="16" t="n">
        <x:f>IF(COUNT(J115:O115)&lt;6,"",J115*5+K115*4+M115*4+L115*3+N115*2+O115*2)</x:f>
        <x:v>92</x:v>
      </x:c>
      <x:c r="R115" s="14" t="str">
        <x:v>high</x:v>
      </x:c>
      <x:c r="S115" s="14" t="str">
        <x:v>official_source_reverified</x:v>
      </x:c>
      <x:c r="T115" s="14" t="str">
        <x:v>official_source_reachable</x:v>
      </x:c>
      <x:c r="U115" s="14" t="str">
        <x:v>Новий — не контактували</x:v>
      </x:c>
      <x:c r="V115" s="15" t="str">
        <x:v>Discovery-call: отримати 1 реальний артефакт і вимоги проєкту; не обіцяти готове покриття</x:v>
      </x:c>
      <x:c r="W115" s="15" t="str">
        <x:v>Власник / директор; керівник фасадних проєктів; ПТО</x:v>
      </x:c>
      <x:c r="X115" s="15" t="str">
        <x:v>Близько 5 млн м² змонтованих фасадних систем; великий перелік реалізованих об’єктів.</x:v>
      </x:c>
      <x:c r="Y115" s="15" t="str">
        <x:v>Кронштейни, анкери, утеплення, мембрани й протипожежні відсічки закриваються облицюванням.</x:v>
      </x:c>
      <x:c r="Z115" s="15" t="str">
        <x:v>https://scanroc.ua/</x:v>
      </x:c>
      <x:c r="AA115" s="14" t="str"/>
      <x:c r="AB115" s="14" t="str">
        <x:v>2026-08-24</x:v>
      </x:c>
      <x:c r="AC115" s="14" t="str">
        <x:v>Олександр</x:v>
      </x:c>
      <x:c r="AD115" s="18" t="str"/>
      <x:c r="AE115" s="14" t="str"/>
    </x:row>
    <x:row r="116">
      <x:c r="A116" s="14" t="str">
        <x:v>EXP-011</x:v>
      </x:c>
      <x:c r="B116" s="14" t="str">
        <x:v>Розширення ніш — 24.08</x:v>
      </x:c>
      <x:c r="C116" s="14" t="str">
        <x:v>VEMAKS</x:v>
      </x:c>
      <x:c r="D116" s="14" t="str">
        <x:v>Покрівлі та гідроізоляція</x:v>
      </x:c>
      <x:c r="E116" s="14" t="str">
        <x:v>Expansion discovery</x:v>
      </x:c>
      <x:c r="F116" s="17" t="str">
        <x:f>IF(E116="Pilot now",IF(P116&gt;=84,"P1",IF(P116&gt;=72,"P2","P3")),IF(E116="Expansion discovery",IF(Q116&gt;=88,"D1",IF(Q116&gt;=78,"D2","D3")),IF(E116="Later / requirements","L","Legacy")))</x:f>
        <x:v>D1</x:v>
      </x:c>
      <x:c r="G116" s="14" t="str">
        <x:v>vemaks.com.ua</x:v>
      </x:c>
      <x:c r="H116" s="14" t="str">
        <x:v>Discovery — вимоги проєкту</x:v>
      </x:c>
      <x:c r="I116" s="16" t="n">
        <x:v>0</x:v>
      </x:c>
      <x:c r="J116" s="16" t="n">
        <x:v>5</x:v>
      </x:c>
      <x:c r="K116" s="16" t="n">
        <x:v>5</x:v>
      </x:c>
      <x:c r="L116" s="16" t="n">
        <x:v>4</x:v>
      </x:c>
      <x:c r="M116" s="16" t="n">
        <x:v>4</x:v>
      </x:c>
      <x:c r="N116" s="16" t="n">
        <x:v>5</x:v>
      </x:c>
      <x:c r="O116" s="16" t="n">
        <x:v>5</x:v>
      </x:c>
      <x:c r="P116" s="16" t="n">
        <x:f>IF(COUNT(I116:O116)&lt;7,"",I116*8+J116*3+K116*2+L116*2+M116*2+N116*2+O116)</x:f>
        <x:v>56</x:v>
      </x:c>
      <x:c r="Q116" s="16" t="n">
        <x:f>IF(COUNT(J116:O116)&lt;6,"",J116*5+K116*4+M116*4+L116*3+N116*2+O116*2)</x:f>
        <x:v>93</x:v>
      </x:c>
      <x:c r="R116" s="14" t="str">
        <x:v>high</x:v>
      </x:c>
      <x:c r="S116" s="14" t="str">
        <x:v>official_source_reverified</x:v>
      </x:c>
      <x:c r="T116" s="14" t="str">
        <x:v>official_source_reachable</x:v>
      </x:c>
      <x:c r="U116" s="14" t="str">
        <x:v>Новий — не контактували</x:v>
      </x:c>
      <x:c r="V116" s="15" t="str">
        <x:v>Discovery-call: отримати 1 реальний артефакт і вимоги проєкту; не обіцяти готове покриття</x:v>
      </x:c>
      <x:c r="W116" s="15" t="str">
        <x:v>Власник / директор; керівник проєктів; виконроб</x:v>
      </x:c>
      <x:c r="X116" s="15" t="str">
        <x:v>Публічний кейс ПВХ-покрівлі супермаркету АТБ з опрацюванням вузлів і гарантією.</x:v>
      </x:c>
      <x:c r="Y116" s="15" t="str">
        <x:v>Пароізоляція, утеплення, кріплення, шви й примикання стають недоступними після завершення покрівельного пирога.</x:v>
      </x:c>
      <x:c r="Z116" s="15" t="str">
        <x:v>https://vemaks.com.ua/our_objects/ustroystvo-pvkh-krovli-supermarketa-atb-v-g-poltava/</x:v>
      </x:c>
      <x:c r="AA116" s="14" t="str"/>
      <x:c r="AB116" s="14" t="str">
        <x:v>2026-08-24</x:v>
      </x:c>
      <x:c r="AC116" s="14" t="str">
        <x:v>Олександр</x:v>
      </x:c>
      <x:c r="AD116" s="18" t="str"/>
      <x:c r="AE116" s="14" t="str"/>
    </x:row>
    <x:row r="117">
      <x:c r="A117" s="14" t="str">
        <x:v>EXP-021</x:v>
      </x:c>
      <x:c r="B117" s="14" t="str">
        <x:v>Розширення ніш — 24.08</x:v>
      </x:c>
      <x:c r="C117" s="14" t="str">
        <x:v>БК ЮММА</x:v>
      </x:c>
      <x:c r="D117" s="14" t="str">
        <x:v>Промислові підлоги та бетон</x:v>
      </x:c>
      <x:c r="E117" s="14" t="str">
        <x:v>Expansion discovery</x:v>
      </x:c>
      <x:c r="F117" s="17" t="str">
        <x:f>IF(E117="Pilot now",IF(P117&gt;=84,"P1",IF(P117&gt;=72,"P2","P3")),IF(E117="Expansion discovery",IF(Q117&gt;=88,"D1",IF(Q117&gt;=78,"D2","D3")),IF(E117="Later / requirements","L","Legacy")))</x:f>
        <x:v>D1</x:v>
      </x:c>
      <x:c r="G117" s="14" t="str">
        <x:v>umma-bud.com.ua</x:v>
      </x:c>
      <x:c r="H117" s="14" t="str">
        <x:v>Discovery — вимоги проєкту</x:v>
      </x:c>
      <x:c r="I117" s="16" t="n">
        <x:v>0</x:v>
      </x:c>
      <x:c r="J117" s="16" t="n">
        <x:v>5</x:v>
      </x:c>
      <x:c r="K117" s="16" t="n">
        <x:v>4</x:v>
      </x:c>
      <x:c r="L117" s="16" t="n">
        <x:v>4</x:v>
      </x:c>
      <x:c r="M117" s="16" t="n">
        <x:v>4</x:v>
      </x:c>
      <x:c r="N117" s="16" t="n">
        <x:v>5</x:v>
      </x:c>
      <x:c r="O117" s="16" t="n">
        <x:v>5</x:v>
      </x:c>
      <x:c r="P117" s="16" t="n">
        <x:f>IF(COUNT(I117:O117)&lt;7,"",I117*8+J117*3+K117*2+L117*2+M117*2+N117*2+O117)</x:f>
        <x:v>54</x:v>
      </x:c>
      <x:c r="Q117" s="16" t="n">
        <x:f>IF(COUNT(J117:O117)&lt;6,"",J117*5+K117*4+M117*4+L117*3+N117*2+O117*2)</x:f>
        <x:v>89</x:v>
      </x:c>
      <x:c r="R117" s="14" t="str">
        <x:v>high</x:v>
      </x:c>
      <x:c r="S117" s="14" t="str">
        <x:v>official_source_reverified</x:v>
      </x:c>
      <x:c r="T117" s="14" t="str">
        <x:v>official_source_reachable</x:v>
      </x:c>
      <x:c r="U117" s="14" t="str">
        <x:v>Новий — не контактували</x:v>
      </x:c>
      <x:c r="V117" s="15" t="str">
        <x:v>Discovery-call: отримати 1 реальний артефакт і вимоги проєкту; не обіцяти готове покриття</x:v>
      </x:c>
      <x:c r="W117" s="15" t="str">
        <x:v>Власник / директор; керівник проєктів; технолог / ПТО</x:v>
      </x:c>
      <x:c r="X117" s="15" t="str">
        <x:v>Промислові бетонні підлоги для виробництв, логістики, торгівлі й медичних об’єктів.</x:v>
      </x:c>
      <x:c r="Y117" s="15" t="str">
        <x:v>Підготовка основи, армування, шви, вологість і технологічні шари потрібно зафіксувати до заливки або нанесення фінішу.</x:v>
      </x:c>
      <x:c r="Z117" s="15" t="str">
        <x:v>https://umma-bud.com.ua/</x:v>
      </x:c>
      <x:c r="AA117" s="14" t="str"/>
      <x:c r="AB117" s="14" t="str">
        <x:v>2026-08-24</x:v>
      </x:c>
      <x:c r="AC117" s="14" t="str">
        <x:v>Олександр</x:v>
      </x:c>
      <x:c r="AD117" s="18" t="str"/>
      <x:c r="AE117" s="14" t="str"/>
    </x:row>
    <x:row r="118">
      <x:c r="A118" s="14" t="str">
        <x:v>EXP-020</x:v>
      </x:c>
      <x:c r="B118" s="14" t="str">
        <x:v>Розширення ніш — 24.08</x:v>
      </x:c>
      <x:c r="C118" s="14" t="str">
        <x:v>БСК Poliflo</x:v>
      </x:c>
      <x:c r="D118" s="14" t="str">
        <x:v>Промислові підлоги та бетон</x:v>
      </x:c>
      <x:c r="E118" s="14" t="str">
        <x:v>Expansion discovery</x:v>
      </x:c>
      <x:c r="F118" s="17" t="str">
        <x:f>IF(E118="Pilot now",IF(P118&gt;=84,"P1",IF(P118&gt;=72,"P2","P3")),IF(E118="Expansion discovery",IF(Q118&gt;=88,"D1",IF(Q118&gt;=78,"D2","D3")),IF(E118="Later / requirements","L","Legacy")))</x:f>
        <x:v>D1</x:v>
      </x:c>
      <x:c r="G118" s="14" t="str">
        <x:v>poliflo.com.ua</x:v>
      </x:c>
      <x:c r="H118" s="14" t="str">
        <x:v>Discovery — вимоги проєкту</x:v>
      </x:c>
      <x:c r="I118" s="16" t="n">
        <x:v>0</x:v>
      </x:c>
      <x:c r="J118" s="16" t="n">
        <x:v>5</x:v>
      </x:c>
      <x:c r="K118" s="16" t="n">
        <x:v>4</x:v>
      </x:c>
      <x:c r="L118" s="16" t="n">
        <x:v>4</x:v>
      </x:c>
      <x:c r="M118" s="16" t="n">
        <x:v>4</x:v>
      </x:c>
      <x:c r="N118" s="16" t="n">
        <x:v>5</x:v>
      </x:c>
      <x:c r="O118" s="16" t="n">
        <x:v>5</x:v>
      </x:c>
      <x:c r="P118" s="16" t="n">
        <x:f>IF(COUNT(I118:O118)&lt;7,"",I118*8+J118*3+K118*2+L118*2+M118*2+N118*2+O118)</x:f>
        <x:v>54</x:v>
      </x:c>
      <x:c r="Q118" s="16" t="n">
        <x:f>IF(COUNT(J118:O118)&lt;6,"",J118*5+K118*4+M118*4+L118*3+N118*2+O118*2)</x:f>
        <x:v>89</x:v>
      </x:c>
      <x:c r="R118" s="14" t="str">
        <x:v>high</x:v>
      </x:c>
      <x:c r="S118" s="14" t="str">
        <x:v>official_source_reverified</x:v>
      </x:c>
      <x:c r="T118" s="14" t="str">
        <x:v>official_source_reachable</x:v>
      </x:c>
      <x:c r="U118" s="14" t="str">
        <x:v>Новий — не контактували</x:v>
      </x:c>
      <x:c r="V118" s="15" t="str">
        <x:v>Discovery-call: отримати 1 реальний артефакт і вимоги проєкту; не обіцяти готове покриття</x:v>
      </x:c>
      <x:c r="W118" s="15" t="str">
        <x:v>Власник / директор; керівник проєктів; технолог / ПТО</x:v>
      </x:c>
      <x:c r="X118" s="15" t="str">
        <x:v>Портфоліо полімерних, бетонних і топінгових підлог з вимогами замовників.</x:v>
      </x:c>
      <x:c r="Y118" s="15" t="str">
        <x:v>Підготовка основи, армування, шви, вологість і технологічні шари потрібно зафіксувати до заливки або нанесення фінішу.</x:v>
      </x:c>
      <x:c r="Z118" s="15" t="str">
        <x:v>https://poliflo.com.ua/portfolio</x:v>
      </x:c>
      <x:c r="AA118" s="14" t="str"/>
      <x:c r="AB118" s="14" t="str">
        <x:v>2026-08-24</x:v>
      </x:c>
      <x:c r="AC118" s="14" t="str">
        <x:v>Олександр</x:v>
      </x:c>
      <x:c r="AD118" s="18" t="str"/>
      <x:c r="AE118" s="14" t="str"/>
    </x:row>
    <x:row r="119">
      <x:c r="A119" s="14" t="str">
        <x:v>EXP-017</x:v>
      </x:c>
      <x:c r="B119" s="14" t="str">
        <x:v>Розширення ніш — 24.08</x:v>
      </x:c>
      <x:c r="C119" s="14" t="str">
        <x:v>КУБ Моноліт</x:v>
      </x:c>
      <x:c r="D119" s="14" t="str">
        <x:v>Промислові підлоги та бетон</x:v>
      </x:c>
      <x:c r="E119" s="14" t="str">
        <x:v>Expansion discovery</x:v>
      </x:c>
      <x:c r="F119" s="17" t="str">
        <x:f>IF(E119="Pilot now",IF(P119&gt;=84,"P1",IF(P119&gt;=72,"P2","P3")),IF(E119="Expansion discovery",IF(Q119&gt;=88,"D1",IF(Q119&gt;=78,"D2","D3")),IF(E119="Later / requirements","L","Legacy")))</x:f>
        <x:v>D1</x:v>
      </x:c>
      <x:c r="G119" s="14" t="str">
        <x:v>kubmonolit.com</x:v>
      </x:c>
      <x:c r="H119" s="14" t="str">
        <x:v>Discovery — вимоги проєкту</x:v>
      </x:c>
      <x:c r="I119" s="16" t="n">
        <x:v>0</x:v>
      </x:c>
      <x:c r="J119" s="16" t="n">
        <x:v>5</x:v>
      </x:c>
      <x:c r="K119" s="16" t="n">
        <x:v>4</x:v>
      </x:c>
      <x:c r="L119" s="16" t="n">
        <x:v>4</x:v>
      </x:c>
      <x:c r="M119" s="16" t="n">
        <x:v>4</x:v>
      </x:c>
      <x:c r="N119" s="16" t="n">
        <x:v>5</x:v>
      </x:c>
      <x:c r="O119" s="16" t="n">
        <x:v>5</x:v>
      </x:c>
      <x:c r="P119" s="16" t="n">
        <x:f>IF(COUNT(I119:O119)&lt;7,"",I119*8+J119*3+K119*2+L119*2+M119*2+N119*2+O119)</x:f>
        <x:v>54</x:v>
      </x:c>
      <x:c r="Q119" s="16" t="n">
        <x:f>IF(COUNT(J119:O119)&lt;6,"",J119*5+K119*4+M119*4+L119*3+N119*2+O119*2)</x:f>
        <x:v>89</x:v>
      </x:c>
      <x:c r="R119" s="14" t="str">
        <x:v>high</x:v>
      </x:c>
      <x:c r="S119" s="14" t="str">
        <x:v>official_source_reverified</x:v>
      </x:c>
      <x:c r="T119" s="14" t="str">
        <x:v>official_source_reachable</x:v>
      </x:c>
      <x:c r="U119" s="14" t="str">
        <x:v>Новий — не контактували</x:v>
      </x:c>
      <x:c r="V119" s="15" t="str">
        <x:v>Discovery-call: отримати 1 реальний артефакт і вимоги проєкту; не обіцяти готове покриття</x:v>
      </x:c>
      <x:c r="W119" s="15" t="str">
        <x:v>Власник / директор; керівник проєктів; технолог / ПТО</x:v>
      </x:c>
      <x:c r="X119" s="15" t="str">
        <x:v>22 кейси бетонних підлог і 17 монолітно-каркасних об’єктів у портфоліо.</x:v>
      </x:c>
      <x:c r="Y119" s="15" t="str">
        <x:v>Підготовка основи, армування, шви, вологість і технологічні шари потрібно зафіксувати до заливки або нанесення фінішу.</x:v>
      </x:c>
      <x:c r="Z119" s="15" t="str">
        <x:v>https://kubmonolit.com/portfolio/</x:v>
      </x:c>
      <x:c r="AA119" s="14" t="str"/>
      <x:c r="AB119" s="14" t="str">
        <x:v>2026-08-24</x:v>
      </x:c>
      <x:c r="AC119" s="14" t="str">
        <x:v>Олександр</x:v>
      </x:c>
      <x:c r="AD119" s="18" t="str"/>
      <x:c r="AE119" s="14" t="str"/>
    </x:row>
    <x:row r="120">
      <x:c r="A120" s="14" t="str">
        <x:v>EXP-010</x:v>
      </x:c>
      <x:c r="B120" s="14" t="str">
        <x:v>Розширення ніш — 24.08</x:v>
      </x:c>
      <x:c r="C120" s="14" t="str">
        <x:v>GRD MEMBRANA</x:v>
      </x:c>
      <x:c r="D120" s="14" t="str">
        <x:v>Покрівлі та гідроізоляція</x:v>
      </x:c>
      <x:c r="E120" s="14" t="str">
        <x:v>Expansion discovery</x:v>
      </x:c>
      <x:c r="F120" s="17" t="str">
        <x:f>IF(E120="Pilot now",IF(P120&gt;=84,"P1",IF(P120&gt;=72,"P2","P3")),IF(E120="Expansion discovery",IF(Q120&gt;=88,"D1",IF(Q120&gt;=78,"D2","D3")),IF(E120="Later / requirements","L","Legacy")))</x:f>
        <x:v>D1</x:v>
      </x:c>
      <x:c r="G120" s="14" t="str">
        <x:v>grdmembrana.com.ua</x:v>
      </x:c>
      <x:c r="H120" s="14" t="str">
        <x:v>Discovery — вимоги проєкту</x:v>
      </x:c>
      <x:c r="I120" s="16" t="n">
        <x:v>0</x:v>
      </x:c>
      <x:c r="J120" s="16" t="n">
        <x:v>5</x:v>
      </x:c>
      <x:c r="K120" s="16" t="n">
        <x:v>5</x:v>
      </x:c>
      <x:c r="L120" s="16" t="n">
        <x:v>3</x:v>
      </x:c>
      <x:c r="M120" s="16" t="n">
        <x:v>4</x:v>
      </x:c>
      <x:c r="N120" s="16" t="n">
        <x:v>5</x:v>
      </x:c>
      <x:c r="O120" s="16" t="n">
        <x:v>5</x:v>
      </x:c>
      <x:c r="P120" s="16" t="n">
        <x:f>IF(COUNT(I120:O120)&lt;7,"",I120*8+J120*3+K120*2+L120*2+M120*2+N120*2+O120)</x:f>
        <x:v>54</x:v>
      </x:c>
      <x:c r="Q120" s="16" t="n">
        <x:f>IF(COUNT(J120:O120)&lt;6,"",J120*5+K120*4+M120*4+L120*3+N120*2+O120*2)</x:f>
        <x:v>90</x:v>
      </x:c>
      <x:c r="R120" s="14" t="str">
        <x:v>high</x:v>
      </x:c>
      <x:c r="S120" s="14" t="str">
        <x:v>official_source_reverified</x:v>
      </x:c>
      <x:c r="T120" s="14" t="str">
        <x:v>official_source_reachable</x:v>
      </x:c>
      <x:c r="U120" s="14" t="str">
        <x:v>Новий — не контактували</x:v>
      </x:c>
      <x:c r="V120" s="15" t="str">
        <x:v>Discovery-call: отримати 1 реальний артефакт і вимоги проєкту; не обіцяти готове покриття</x:v>
      </x:c>
      <x:c r="W120" s="15" t="str">
        <x:v>Власник / директор; керівник проєктів; виконроб</x:v>
      </x:c>
      <x:c r="X120" s="15" t="str">
        <x:v>Мембранні промислові покрівлі та ремонти в Закарпатті.</x:v>
      </x:c>
      <x:c r="Y120" s="15" t="str">
        <x:v>Пароізоляція, утеплення, кріплення, шви й примикання стають недоступними після завершення покрівельного пирога.</x:v>
      </x:c>
      <x:c r="Z120" s="15" t="str">
        <x:v>https://grdmembrana.com.ua/</x:v>
      </x:c>
      <x:c r="AA120" s="14" t="str"/>
      <x:c r="AB120" s="14" t="str">
        <x:v>2026-08-24</x:v>
      </x:c>
      <x:c r="AC120" s="14" t="str">
        <x:v>Олександр</x:v>
      </x:c>
      <x:c r="AD120" s="18" t="str"/>
      <x:c r="AE120" s="14" t="str"/>
    </x:row>
    <x:row r="121">
      <x:c r="A121" s="14" t="str">
        <x:v>AUG-038</x:v>
      </x:c>
      <x:c r="B121" s="14" t="str">
        <x:v>Перевірено 51 — 24.08</x:v>
      </x:c>
      <x:c r="C121" s="14" t="str">
        <x:v>СПЗ-МОНТАЖ</x:v>
      </x:c>
      <x:c r="D121" s="14" t="str">
        <x:v>Пожежні системи</x:v>
      </x:c>
      <x:c r="E121" s="14" t="str">
        <x:v>Expansion discovery</x:v>
      </x:c>
      <x:c r="F121" s="17" t="str">
        <x:f>IF(E121="Pilot now",IF(P121&gt;=84,"P1",IF(P121&gt;=72,"P2","P3")),IF(E121="Expansion discovery",IF(Q121&gt;=88,"D1",IF(Q121&gt;=78,"D2","D3")),IF(E121="Later / requirements","L","Legacy")))</x:f>
        <x:v>D2</x:v>
      </x:c>
      <x:c r="G121" s="14" t="str">
        <x:v>spz-montage.com.ua</x:v>
      </x:c>
      <x:c r="H121" s="14" t="str">
        <x:v>Discovery — частково Н.15 + вимоги проєкту</x:v>
      </x:c>
      <x:c r="I121" s="16" t="n">
        <x:v>4</x:v>
      </x:c>
      <x:c r="J121" s="16" t="n">
        <x:v>5</x:v>
      </x:c>
      <x:c r="K121" s="16" t="n">
        <x:v>4</x:v>
      </x:c>
      <x:c r="L121" s="16" t="n">
        <x:v>4</x:v>
      </x:c>
      <x:c r="M121" s="16" t="n">
        <x:v>5</x:v>
      </x:c>
      <x:c r="N121" s="16" t="n">
        <x:v>5</x:v>
      </x:c>
      <x:c r="O121" s="16" t="n">
        <x:v>2</x:v>
      </x:c>
      <x:c r="P121" s="16" t="n">
        <x:f>IF(COUNT(I121:O121)&lt;7,"",I121*8+J121*3+K121*2+L121*2+M121*2+N121*2+O121)</x:f>
        <x:v>85</x:v>
      </x:c>
      <x:c r="Q121" s="16" t="n">
        <x:f>IF(COUNT(J121:O121)&lt;6,"",J121*5+K121*4+M121*4+L121*3+N121*2+O121*2)</x:f>
        <x:v>87</x:v>
      </x:c>
      <x:c r="R121" s="14" t="str">
        <x:v>high</x:v>
      </x:c>
      <x:c r="S121" s="14" t="str">
        <x:v>official_content_reverified_via_search_index</x:v>
      </x:c>
      <x:c r="T121" s="14" t="str">
        <x:v>live_site_bad_ssl_certificate</x:v>
      </x:c>
      <x:c r="U121" s="14" t="str">
        <x:v>Новий — не контактували</x:v>
      </x:c>
      <x:c r="V121" s="15" t="str">
        <x:v>Discovery-call: перевірити процес і отримати вимоги конкретного проєкту</x:v>
      </x:c>
      <x:c r="W121" s="15" t="str">
        <x:v>Директор; руководитель ПТО</x:v>
      </x:c>
      <x:c r="X121" s="15" t="str">
        <x:v>100+ клиентов, проектирование и монтаж всех систем противопожарной защиты; свежие проекты 2026 года.</x:v>
      </x:c>
      <x:c r="Y121" s="15" t="str">
        <x:v>Есть активные объекты и приёмка систем; пилот ограничить электрическими и санитарно-техническими этапами.</x:v>
      </x:c>
      <x:c r="Z121" s="15" t="str">
        <x:v>https://spz-montage.com.ua/</x:v>
      </x:c>
      <x:c r="AA121" s="14" t="str"/>
      <x:c r="AB121" s="14" t="str">
        <x:v>2026-08-24</x:v>
      </x:c>
      <x:c r="AC121" s="14" t="str">
        <x:v>Олександр</x:v>
      </x:c>
      <x:c r="AD121" s="18" t="str"/>
      <x:c r="AE121" s="14" t="str"/>
    </x:row>
    <x:row r="122">
      <x:c r="A122" s="14" t="str">
        <x:v>AUG-021</x:v>
      </x:c>
      <x:c r="B122" s="14" t="str">
        <x:v>Перевірено 51 — 24.08</x:v>
      </x:c>
      <x:c r="C122" s="14" t="str">
        <x:v>Ваша Безпека</x:v>
      </x:c>
      <x:c r="D122" s="14" t="str">
        <x:v>Пожежна безпека + охорона</x:v>
      </x:c>
      <x:c r="E122" s="14" t="str">
        <x:v>Expansion discovery</x:v>
      </x:c>
      <x:c r="F122" s="17" t="str">
        <x:f>IF(E122="Pilot now",IF(P122&gt;=84,"P1",IF(P122&gt;=72,"P2","P3")),IF(E122="Expansion discovery",IF(Q122&gt;=88,"D1",IF(Q122&gt;=78,"D2","D3")),IF(E122="Later / requirements","L","Legacy")))</x:f>
        <x:v>D2</x:v>
      </x:c>
      <x:c r="G122" s="14" t="str">
        <x:v>vbezpeka.com.ua</x:v>
      </x:c>
      <x:c r="H122" s="14" t="str">
        <x:v>Discovery — частково Н.15 + вимоги проєкту</x:v>
      </x:c>
      <x:c r="I122" s="16" t="n">
        <x:v>4</x:v>
      </x:c>
      <x:c r="J122" s="16" t="n">
        <x:v>5</x:v>
      </x:c>
      <x:c r="K122" s="16" t="n">
        <x:v>4</x:v>
      </x:c>
      <x:c r="L122" s="16" t="n">
        <x:v>3</x:v>
      </x:c>
      <x:c r="M122" s="16" t="n">
        <x:v>4</x:v>
      </x:c>
      <x:c r="N122" s="16" t="n">
        <x:v>5</x:v>
      </x:c>
      <x:c r="O122" s="16" t="n">
        <x:v>5</x:v>
      </x:c>
      <x:c r="P122" s="16" t="n">
        <x:f>IF(COUNT(I122:O122)&lt;7,"",I122*8+J122*3+K122*2+L122*2+M122*2+N122*2+O122)</x:f>
        <x:v>84</x:v>
      </x:c>
      <x:c r="Q122" s="16" t="n">
        <x:f>IF(COUNT(J122:O122)&lt;6,"",J122*5+K122*4+M122*4+L122*3+N122*2+O122*2)</x:f>
        <x:v>86</x:v>
      </x:c>
      <x:c r="R122" s="14" t="str">
        <x:v>high</x:v>
      </x:c>
      <x:c r="S122" s="14" t="str">
        <x:v>official_source_reverified</x:v>
      </x:c>
      <x:c r="T122" s="14" t="str">
        <x:v>official_source_reachable</x:v>
      </x:c>
      <x:c r="U122" s="14" t="str">
        <x:v>Новий — не контактували</x:v>
      </x:c>
      <x:c r="V122" s="15" t="str">
        <x:v>Discovery-call: перевірити процес і отримати вимоги конкретного проєкту</x:v>
      </x:c>
      <x:c r="W122" s="15" t="str">
        <x:v>Директор; главный инженер</x:v>
      </x:c>
      <x:c r="X122" s="15" t="str">
        <x:v>Проектирование, монтаж и обслуживание пожарной/охранной сигнализации, пожарного водопровода и дымоудаления.</x:v>
      </x:c>
      <x:c r="Y122" s="15" t="str">
        <x:v>Кабельные шлейфы и автоматика скрываются; для пожарного водопровода нужен документ заказчика.</x:v>
      </x:c>
      <x:c r="Z122" s="15" t="str">
        <x:v>https://vbezpeka.com.ua/uk/golovna/</x:v>
      </x:c>
      <x:c r="AA122" s="14" t="str"/>
      <x:c r="AB122" s="14" t="str">
        <x:v>2026-08-24</x:v>
      </x:c>
      <x:c r="AC122" s="14" t="str">
        <x:v>Олександр</x:v>
      </x:c>
      <x:c r="AD122" s="18" t="str"/>
      <x:c r="AE122" s="14" t="str"/>
    </x:row>
    <x:row r="123">
      <x:c r="A123" s="14" t="str">
        <x:v>AUG-018</x:v>
      </x:c>
      <x:c r="B123" s="14" t="str">
        <x:v>Перевірено 51 — 24.08</x:v>
      </x:c>
      <x:c r="C123" s="14" t="str">
        <x:v>Страж</x:v>
      </x:c>
      <x:c r="D123" s="14" t="str">
        <x:v>Пожежні системи</x:v>
      </x:c>
      <x:c r="E123" s="14" t="str">
        <x:v>Expansion discovery</x:v>
      </x:c>
      <x:c r="F123" s="17" t="str">
        <x:f>IF(E123="Pilot now",IF(P123&gt;=84,"P1",IF(P123&gt;=72,"P2","P3")),IF(E123="Expansion discovery",IF(Q123&gt;=88,"D1",IF(Q123&gt;=78,"D2","D3")),IF(E123="Later / requirements","L","Legacy")))</x:f>
        <x:v>D2</x:v>
      </x:c>
      <x:c r="G123" s="14" t="str">
        <x:v>straj.net</x:v>
      </x:c>
      <x:c r="H123" s="14" t="str">
        <x:v>Discovery — частково Н.15 + вимоги проєкту</x:v>
      </x:c>
      <x:c r="I123" s="16" t="n">
        <x:v>4</x:v>
      </x:c>
      <x:c r="J123" s="16" t="n">
        <x:v>5</x:v>
      </x:c>
      <x:c r="K123" s="16" t="n">
        <x:v>4</x:v>
      </x:c>
      <x:c r="L123" s="16" t="n">
        <x:v>3</x:v>
      </x:c>
      <x:c r="M123" s="16" t="n">
        <x:v>4</x:v>
      </x:c>
      <x:c r="N123" s="16" t="n">
        <x:v>5</x:v>
      </x:c>
      <x:c r="O123" s="16" t="n">
        <x:v>5</x:v>
      </x:c>
      <x:c r="P123" s="16" t="n">
        <x:f>IF(COUNT(I123:O123)&lt;7,"",I123*8+J123*3+K123*2+L123*2+M123*2+N123*2+O123)</x:f>
        <x:v>84</x:v>
      </x:c>
      <x:c r="Q123" s="16" t="n">
        <x:f>IF(COUNT(J123:O123)&lt;6,"",J123*5+K123*4+M123*4+L123*3+N123*2+O123*2)</x:f>
        <x:v>86</x:v>
      </x:c>
      <x:c r="R123" s="14" t="str">
        <x:v>high</x:v>
      </x:c>
      <x:c r="S123" s="14" t="str">
        <x:v>official_source_reverified</x:v>
      </x:c>
      <x:c r="T123" s="14" t="str">
        <x:v>official_source_reachable</x:v>
      </x:c>
      <x:c r="U123" s="14" t="str">
        <x:v>Новий — не контактували</x:v>
      </x:c>
      <x:c r="V123" s="15" t="str">
        <x:v>Discovery-call: перевірити процес і отримати вимоги конкретного проєкту</x:v>
      </x:c>
      <x:c r="W123" s="15" t="str">
        <x:v>Директор; руководитель монтажной службы</x:v>
      </x:c>
      <x:c r="X123" s="15" t="str">
        <x:v>Начинает работы с технического проекта и выполняет монтаж пожарной сигнализации на коммерческих объектах.</x:v>
      </x:c>
      <x:c r="Y123" s="15" t="str">
        <x:v>Скрытые кабели и исполнительное подтверждение можно отделить от специфических пожарных актов.</x:v>
      </x:c>
      <x:c r="Z123" s="15" t="str">
        <x:v>https://straj.net/</x:v>
      </x:c>
      <x:c r="AA123" s="14" t="str"/>
      <x:c r="AB123" s="14" t="str">
        <x:v>2026-08-24</x:v>
      </x:c>
      <x:c r="AC123" s="14" t="str">
        <x:v>Олександр</x:v>
      </x:c>
      <x:c r="AD123" s="18" t="str"/>
      <x:c r="AE123" s="14" t="str"/>
    </x:row>
    <x:row r="124">
      <x:c r="A124" s="14" t="str">
        <x:v>AUG-016</x:v>
      </x:c>
      <x:c r="B124" s="14" t="str">
        <x:v>Перевірено 51 — 24.08</x:v>
      </x:c>
      <x:c r="C124" s="14" t="str">
        <x:v>Fire Security</x:v>
      </x:c>
      <x:c r="D124" s="14" t="str">
        <x:v>Пожежні системи</x:v>
      </x:c>
      <x:c r="E124" s="14" t="str">
        <x:v>Expansion discovery</x:v>
      </x:c>
      <x:c r="F124" s="17" t="str">
        <x:f>IF(E124="Pilot now",IF(P124&gt;=84,"P1",IF(P124&gt;=72,"P2","P3")),IF(E124="Expansion discovery",IF(Q124&gt;=88,"D1",IF(Q124&gt;=78,"D2","D3")),IF(E124="Later / requirements","L","Legacy")))</x:f>
        <x:v>D2</x:v>
      </x:c>
      <x:c r="G124" s="14" t="str">
        <x:v>firesecurity.com.ua</x:v>
      </x:c>
      <x:c r="H124" s="14" t="str">
        <x:v>Discovery — частково Н.15 + вимоги проєкту</x:v>
      </x:c>
      <x:c r="I124" s="16" t="n">
        <x:v>4</x:v>
      </x:c>
      <x:c r="J124" s="16" t="n">
        <x:v>5</x:v>
      </x:c>
      <x:c r="K124" s="16" t="n">
        <x:v>4</x:v>
      </x:c>
      <x:c r="L124" s="16" t="n">
        <x:v>3</x:v>
      </x:c>
      <x:c r="M124" s="16" t="n">
        <x:v>4</x:v>
      </x:c>
      <x:c r="N124" s="16" t="n">
        <x:v>5</x:v>
      </x:c>
      <x:c r="O124" s="16" t="n">
        <x:v>5</x:v>
      </x:c>
      <x:c r="P124" s="16" t="n">
        <x:f>IF(COUNT(I124:O124)&lt;7,"",I124*8+J124*3+K124*2+L124*2+M124*2+N124*2+O124)</x:f>
        <x:v>84</x:v>
      </x:c>
      <x:c r="Q124" s="16" t="n">
        <x:f>IF(COUNT(J124:O124)&lt;6,"",J124*5+K124*4+M124*4+L124*3+N124*2+O124*2)</x:f>
        <x:v>86</x:v>
      </x:c>
      <x:c r="R124" s="14" t="str">
        <x:v>high</x:v>
      </x:c>
      <x:c r="S124" s="14" t="str">
        <x:v>official_source_reverified</x:v>
      </x:c>
      <x:c r="T124" s="14" t="str">
        <x:v>official_source_reachable</x:v>
      </x:c>
      <x:c r="U124" s="14" t="str">
        <x:v>Новий — не контактували</x:v>
      </x:c>
      <x:c r="V124" s="15" t="str">
        <x:v>Discovery-call: перевірити процес і отримати вимоги конкретного проєкту</x:v>
      </x:c>
      <x:c r="W124" s="15" t="str">
        <x:v>Владелец; руководитель проектно-монтажного отдела</x:v>
      </x:c>
      <x:c r="X124" s="15" t="str">
        <x:v>Проектирование, монтаж и обслуживание охранно-пожарных систем с передачей готового проекта заказчику.</x:v>
      </x:c>
      <x:c r="Y124" s="15" t="str">
        <x:v>Скрытые шлейфы и кабельные трассы подходят, но специфические пожарные требования нужно валидировать на их документации.</x:v>
      </x:c>
      <x:c r="Z124" s="15" t="str">
        <x:v>https://firesecurity.com.ua/uk/montazh-pozharnoi-signalizatcii/</x:v>
      </x:c>
      <x:c r="AA124" s="14" t="str"/>
      <x:c r="AB124" s="14" t="str">
        <x:v>2026-08-24</x:v>
      </x:c>
      <x:c r="AC124" s="14" t="str">
        <x:v>Олександр</x:v>
      </x:c>
      <x:c r="AD124" s="18" t="str"/>
      <x:c r="AE124" s="14" t="str"/>
    </x:row>
    <x:row r="125">
      <x:c r="A125" s="14" t="str">
        <x:v>EXP-043</x:v>
      </x:c>
      <x:c r="B125" s="14" t="str">
        <x:v>Розширення ніш — 24.08</x:v>
      </x:c>
      <x:c r="C125" s="14" t="str">
        <x:v>ЕНРЕМО</x:v>
      </x:c>
      <x:c r="D125" s="14" t="str">
        <x:v>Промислова теплоізоляція</x:v>
      </x:c>
      <x:c r="E125" s="14" t="str">
        <x:v>Expansion discovery</x:v>
      </x:c>
      <x:c r="F125" s="17" t="str">
        <x:f>IF(E125="Pilot now",IF(P125&gt;=84,"P1",IF(P125&gt;=72,"P2","P3")),IF(E125="Expansion discovery",IF(Q125&gt;=88,"D1",IF(Q125&gt;=78,"D2","D3")),IF(E125="Later / requirements","L","Legacy")))</x:f>
        <x:v>D2</x:v>
      </x:c>
      <x:c r="G125" s="14" t="str">
        <x:v>enremo.ua</x:v>
      </x:c>
      <x:c r="H125" s="14" t="str">
        <x:v>Discovery — вимоги проєкту</x:v>
      </x:c>
      <x:c r="I125" s="16" t="n">
        <x:v>1</x:v>
      </x:c>
      <x:c r="J125" s="16" t="n">
        <x:v>5</x:v>
      </x:c>
      <x:c r="K125" s="16" t="n">
        <x:v>5</x:v>
      </x:c>
      <x:c r="L125" s="16" t="n">
        <x:v>4</x:v>
      </x:c>
      <x:c r="M125" s="16" t="n">
        <x:v>4</x:v>
      </x:c>
      <x:c r="N125" s="16" t="n">
        <x:v>5</x:v>
      </x:c>
      <x:c r="O125" s="16" t="n">
        <x:v>2</x:v>
      </x:c>
      <x:c r="P125" s="16" t="n">
        <x:f>IF(COUNT(I125:O125)&lt;7,"",I125*8+J125*3+K125*2+L125*2+M125*2+N125*2+O125)</x:f>
        <x:v>61</x:v>
      </x:c>
      <x:c r="Q125" s="16" t="n">
        <x:f>IF(COUNT(J125:O125)&lt;6,"",J125*5+K125*4+M125*4+L125*3+N125*2+O125*2)</x:f>
        <x:v>87</x:v>
      </x:c>
      <x:c r="R125" s="14" t="str">
        <x:v>medium</x:v>
      </x:c>
      <x:c r="S125" s="14" t="str">
        <x:v>official_content_reverified_via_search_index</x:v>
      </x:c>
      <x:c r="T125" s="14" t="str">
        <x:v>live_site_unreachable_in_browser</x:v>
      </x:c>
      <x:c r="U125" s="14" t="str">
        <x:v>Новий — не контактували</x:v>
      </x:c>
      <x:c r="V125" s="15" t="str">
        <x:v>Discovery-call: отримати 1 реальний артефакт і вимоги проєкту; не обіцяти готове покриття</x:v>
      </x:c>
      <x:c r="W125" s="15" t="str">
        <x:v>Директор; головний інженер; керівник промислового монтажу</x:v>
      </x:c>
      <x:c r="X125" s="15" t="str">
        <x:v>Ізоляція трубопроводів, резервуарів, газоходів і обладнання ТЕС/ТЕЦ та промисловості.</x:v>
      </x:c>
      <x:c r="Y125" s="15" t="str">
        <x:v>Стан трубопроводу, товщина й суцільність ізоляції закриваються металевим кожухом; важливі фото по етапах.</x:v>
      </x:c>
      <x:c r="Z125" s="15" t="str">
        <x:v>https://www.v.enremo.ua/uk/services</x:v>
      </x:c>
      <x:c r="AA125" s="14" t="str"/>
      <x:c r="AB125" s="14" t="str">
        <x:v>2026-08-24</x:v>
      </x:c>
      <x:c r="AC125" s="14" t="str">
        <x:v>Олександр</x:v>
      </x:c>
      <x:c r="AD125" s="18" t="str"/>
      <x:c r="AE125" s="14" t="str"/>
    </x:row>
    <x:row r="126">
      <x:c r="A126" s="14" t="str">
        <x:v>EXP-031</x:v>
      </x:c>
      <x:c r="B126" s="14" t="str">
        <x:v>Розширення ніш — 24.08</x:v>
      </x:c>
      <x:c r="C126" s="14" t="str">
        <x:v>РИТМ КИЇВ</x:v>
      </x:c>
      <x:c r="D126" s="14" t="str">
        <x:v>Металоконструкції та промисловий монтаж</x:v>
      </x:c>
      <x:c r="E126" s="14" t="str">
        <x:v>Expansion discovery</x:v>
      </x:c>
      <x:c r="F126" s="17" t="str">
        <x:f>IF(E126="Pilot now",IF(P126&gt;=84,"P1",IF(P126&gt;=72,"P2","P3")),IF(E126="Expansion discovery",IF(Q126&gt;=88,"D1",IF(Q126&gt;=78,"D2","D3")),IF(E126="Later / requirements","L","Legacy")))</x:f>
        <x:v>D2</x:v>
      </x:c>
      <x:c r="G126" s="14" t="str">
        <x:v>ritm.com.ua</x:v>
      </x:c>
      <x:c r="H126" s="14" t="str">
        <x:v>Discovery — вимоги проєкту</x:v>
      </x:c>
      <x:c r="I126" s="16" t="n">
        <x:v>1</x:v>
      </x:c>
      <x:c r="J126" s="16" t="n">
        <x:v>4</x:v>
      </x:c>
      <x:c r="K126" s="16" t="n">
        <x:v>3</x:v>
      </x:c>
      <x:c r="L126" s="16" t="n">
        <x:v>5</x:v>
      </x:c>
      <x:c r="M126" s="16" t="n">
        <x:v>5</x:v>
      </x:c>
      <x:c r="N126" s="16" t="n">
        <x:v>5</x:v>
      </x:c>
      <x:c r="O126" s="16" t="n">
        <x:v>5</x:v>
      </x:c>
      <x:c r="P126" s="16" t="n">
        <x:f>IF(COUNT(I126:O126)&lt;7,"",I126*8+J126*3+K126*2+L126*2+M126*2+N126*2+O126)</x:f>
        <x:v>61</x:v>
      </x:c>
      <x:c r="Q126" s="16" t="n">
        <x:f>IF(COUNT(J126:O126)&lt;6,"",J126*5+K126*4+M126*4+L126*3+N126*2+O126*2)</x:f>
        <x:v>87</x:v>
      </x:c>
      <x:c r="R126" s="14" t="str">
        <x:v>high</x:v>
      </x:c>
      <x:c r="S126" s="14" t="str">
        <x:v>official_source_reverified</x:v>
      </x:c>
      <x:c r="T126" s="14" t="str">
        <x:v>official_source_reachable</x:v>
      </x:c>
      <x:c r="U126" s="14" t="str">
        <x:v>Новий — не контактували</x:v>
      </x:c>
      <x:c r="V126" s="15" t="str">
        <x:v>Discovery-call: отримати 1 реальний артефакт і вимоги проєкту; не обіцяти готове покриття</x:v>
      </x:c>
      <x:c r="W126" s="15" t="str">
        <x:v>Власник / директор; головний інженер; керівник монтажу / ПТО</x:v>
      </x:c>
      <x:c r="X126" s="15" t="str">
        <x:v>Промисловий монтаж з 1991 року, випробування та введення об’єктів в експлуатацію.</x:v>
      </x:c>
      <x:c r="Y126" s="15" t="str">
        <x:v>Зварні й болтові з’єднання, антикорозійний шар, геометрія та акти випробувань формують пакет до приймання.</x:v>
      </x:c>
      <x:c r="Z126" s="15" t="str">
        <x:v>https://ritm.com.ua/</x:v>
      </x:c>
      <x:c r="AA126" s="14" t="str"/>
      <x:c r="AB126" s="14" t="str">
        <x:v>2026-08-24</x:v>
      </x:c>
      <x:c r="AC126" s="14" t="str">
        <x:v>Олександр</x:v>
      </x:c>
      <x:c r="AD126" s="18" t="str"/>
      <x:c r="AE126" s="14" t="str"/>
    </x:row>
    <x:row r="127">
      <x:c r="A127" s="14" t="str">
        <x:v>EXP-034</x:v>
      </x:c>
      <x:c r="B127" s="14" t="str">
        <x:v>Розширення ніш — 24.08</x:v>
      </x:c>
      <x:c r="C127" s="14" t="str">
        <x:v>Святобуд</x:v>
      </x:c>
      <x:c r="D127" s="14" t="str">
        <x:v>Металоконструкції та промисловий монтаж</x:v>
      </x:c>
      <x:c r="E127" s="14" t="str">
        <x:v>Expansion discovery</x:v>
      </x:c>
      <x:c r="F127" s="17" t="str">
        <x:f>IF(E127="Pilot now",IF(P127&gt;=84,"P1",IF(P127&gt;=72,"P2","P3")),IF(E127="Expansion discovery",IF(Q127&gt;=88,"D1",IF(Q127&gt;=78,"D2","D3")),IF(E127="Later / requirements","L","Legacy")))</x:f>
        <x:v>D2</x:v>
      </x:c>
      <x:c r="G127" s="14" t="str">
        <x:v>svbud.com.ua</x:v>
      </x:c>
      <x:c r="H127" s="14" t="str">
        <x:v>Discovery — вимоги проєкту</x:v>
      </x:c>
      <x:c r="I127" s="16" t="n">
        <x:v>1</x:v>
      </x:c>
      <x:c r="J127" s="16" t="n">
        <x:v>4</x:v>
      </x:c>
      <x:c r="K127" s="16" t="n">
        <x:v>3</x:v>
      </x:c>
      <x:c r="L127" s="16" t="n">
        <x:v>4</x:v>
      </x:c>
      <x:c r="M127" s="16" t="n">
        <x:v>5</x:v>
      </x:c>
      <x:c r="N127" s="16" t="n">
        <x:v>5</x:v>
      </x:c>
      <x:c r="O127" s="16" t="n">
        <x:v>5</x:v>
      </x:c>
      <x:c r="P127" s="16" t="n">
        <x:f>IF(COUNT(I127:O127)&lt;7,"",I127*8+J127*3+K127*2+L127*2+M127*2+N127*2+O127)</x:f>
        <x:v>59</x:v>
      </x:c>
      <x:c r="Q127" s="16" t="n">
        <x:f>IF(COUNT(J127:O127)&lt;6,"",J127*5+K127*4+M127*4+L127*3+N127*2+O127*2)</x:f>
        <x:v>84</x:v>
      </x:c>
      <x:c r="R127" s="14" t="str">
        <x:v>high</x:v>
      </x:c>
      <x:c r="S127" s="14" t="str">
        <x:v>official_source_reverified</x:v>
      </x:c>
      <x:c r="T127" s="14" t="str">
        <x:v>official_source_reachable</x:v>
      </x:c>
      <x:c r="U127" s="14" t="str">
        <x:v>Новий — не контактували</x:v>
      </x:c>
      <x:c r="V127" s="15" t="str">
        <x:v>Discovery-call: отримати 1 реальний артефакт і вимоги проєкту; не обіцяти готове покриття</x:v>
      </x:c>
      <x:c r="W127" s="15" t="str">
        <x:v>Власник / директор; головний інженер; керівник монтажу / ПТО</x:v>
      </x:c>
      <x:c r="X127" s="15" t="str">
        <x:v>Монтаж і захист металоконструкцій та покрівель на об’єктах по Україні.</x:v>
      </x:c>
      <x:c r="Y127" s="15" t="str">
        <x:v>Зварні й болтові з’єднання, антикорозійний шар, геометрія та акти випробувань формують пакет до приймання.</x:v>
      </x:c>
      <x:c r="Z127" s="15" t="str">
        <x:v>https://svbud.com.ua/stroitelinie-rabotu/</x:v>
      </x:c>
      <x:c r="AA127" s="14" t="str"/>
      <x:c r="AB127" s="14" t="str">
        <x:v>2026-08-24</x:v>
      </x:c>
      <x:c r="AC127" s="14" t="str">
        <x:v>Олександр</x:v>
      </x:c>
      <x:c r="AD127" s="18" t="str"/>
      <x:c r="AE127" s="14" t="str"/>
    </x:row>
    <x:row r="128">
      <x:c r="A128" s="14" t="str">
        <x:v>EXP-033</x:v>
      </x:c>
      <x:c r="B128" s="14" t="str">
        <x:v>Розширення ніш — 24.08</x:v>
      </x:c>
      <x:c r="C128" s="14" t="str">
        <x:v>СЕРВІССТРОЙ</x:v>
      </x:c>
      <x:c r="D128" s="14" t="str">
        <x:v>Металоконструкції та промисловий монтаж</x:v>
      </x:c>
      <x:c r="E128" s="14" t="str">
        <x:v>Expansion discovery</x:v>
      </x:c>
      <x:c r="F128" s="17" t="str">
        <x:f>IF(E128="Pilot now",IF(P128&gt;=84,"P1",IF(P128&gt;=72,"P2","P3")),IF(E128="Expansion discovery",IF(Q128&gt;=88,"D1",IF(Q128&gt;=78,"D2","D3")),IF(E128="Later / requirements","L","Legacy")))</x:f>
        <x:v>D2</x:v>
      </x:c>
      <x:c r="G128" s="14" t="str">
        <x:v>servicestroy.com.ua</x:v>
      </x:c>
      <x:c r="H128" s="14" t="str">
        <x:v>Discovery — вимоги проєкту</x:v>
      </x:c>
      <x:c r="I128" s="16" t="n">
        <x:v>1</x:v>
      </x:c>
      <x:c r="J128" s="16" t="n">
        <x:v>4</x:v>
      </x:c>
      <x:c r="K128" s="16" t="n">
        <x:v>3</x:v>
      </x:c>
      <x:c r="L128" s="16" t="n">
        <x:v>4</x:v>
      </x:c>
      <x:c r="M128" s="16" t="n">
        <x:v>5</x:v>
      </x:c>
      <x:c r="N128" s="16" t="n">
        <x:v>5</x:v>
      </x:c>
      <x:c r="O128" s="16" t="n">
        <x:v>5</x:v>
      </x:c>
      <x:c r="P128" s="16" t="n">
        <x:f>IF(COUNT(I128:O128)&lt;7,"",I128*8+J128*3+K128*2+L128*2+M128*2+N128*2+O128)</x:f>
        <x:v>59</x:v>
      </x:c>
      <x:c r="Q128" s="16" t="n">
        <x:f>IF(COUNT(J128:O128)&lt;6,"",J128*5+K128*4+M128*4+L128*3+N128*2+O128*2)</x:f>
        <x:v>84</x:v>
      </x:c>
      <x:c r="R128" s="14" t="str">
        <x:v>high</x:v>
      </x:c>
      <x:c r="S128" s="14" t="str">
        <x:v>official_source_reverified</x:v>
      </x:c>
      <x:c r="T128" s="14" t="str">
        <x:v>official_source_reachable</x:v>
      </x:c>
      <x:c r="U128" s="14" t="str">
        <x:v>Новий — не контактували</x:v>
      </x:c>
      <x:c r="V128" s="15" t="str">
        <x:v>Discovery-call: отримати 1 реальний артефакт і вимоги проєкту; не обіцяти готове покриття</x:v>
      </x:c>
      <x:c r="W128" s="15" t="str">
        <x:v>Власник / директор; головний інженер; керівник монтажу / ПТО</x:v>
      </x:c>
      <x:c r="X128" s="15" t="str">
        <x:v>17 років; портфоліо складів, супермаркетів і великих металоконструкцій.</x:v>
      </x:c>
      <x:c r="Y128" s="15" t="str">
        <x:v>Зварні й болтові з’єднання, антикорозійний шар, геометрія та акти випробувань формують пакет до приймання.</x:v>
      </x:c>
      <x:c r="Z128" s="15" t="str">
        <x:v>https://servicestroy.com.ua/galereya-robit/</x:v>
      </x:c>
      <x:c r="AA128" s="14" t="str"/>
      <x:c r="AB128" s="14" t="str">
        <x:v>2026-08-24</x:v>
      </x:c>
      <x:c r="AC128" s="14" t="str">
        <x:v>Олександр</x:v>
      </x:c>
      <x:c r="AD128" s="18" t="str"/>
      <x:c r="AE128" s="14" t="str"/>
    </x:row>
    <x:row r="129">
      <x:c r="A129" s="14" t="str">
        <x:v>EXP-030</x:v>
      </x:c>
      <x:c r="B129" s="14" t="str">
        <x:v>Розширення ніш — 24.08</x:v>
      </x:c>
      <x:c r="C129" s="14" t="str">
        <x:v>ALATEKS</x:v>
      </x:c>
      <x:c r="D129" s="14" t="str">
        <x:v>Металоконструкції та промисловий монтаж</x:v>
      </x:c>
      <x:c r="E129" s="14" t="str">
        <x:v>Expansion discovery</x:v>
      </x:c>
      <x:c r="F129" s="17" t="str">
        <x:f>IF(E129="Pilot now",IF(P129&gt;=84,"P1",IF(P129&gt;=72,"P2","P3")),IF(E129="Expansion discovery",IF(Q129&gt;=88,"D1",IF(Q129&gt;=78,"D2","D3")),IF(E129="Later / requirements","L","Legacy")))</x:f>
        <x:v>D2</x:v>
      </x:c>
      <x:c r="G129" s="14" t="str">
        <x:v>alateks.net</x:v>
      </x:c>
      <x:c r="H129" s="14" t="str">
        <x:v>Discovery — вимоги проєкту</x:v>
      </x:c>
      <x:c r="I129" s="16" t="n">
        <x:v>1</x:v>
      </x:c>
      <x:c r="J129" s="16" t="n">
        <x:v>4</x:v>
      </x:c>
      <x:c r="K129" s="16" t="n">
        <x:v>3</x:v>
      </x:c>
      <x:c r="L129" s="16" t="n">
        <x:v>4</x:v>
      </x:c>
      <x:c r="M129" s="16" t="n">
        <x:v>5</x:v>
      </x:c>
      <x:c r="N129" s="16" t="n">
        <x:v>5</x:v>
      </x:c>
      <x:c r="O129" s="16" t="n">
        <x:v>5</x:v>
      </x:c>
      <x:c r="P129" s="16" t="n">
        <x:f>IF(COUNT(I129:O129)&lt;7,"",I129*8+J129*3+K129*2+L129*2+M129*2+N129*2+O129)</x:f>
        <x:v>59</x:v>
      </x:c>
      <x:c r="Q129" s="16" t="n">
        <x:f>IF(COUNT(J129:O129)&lt;6,"",J129*5+K129*4+M129*4+L129*3+N129*2+O129*2)</x:f>
        <x:v>84</x:v>
      </x:c>
      <x:c r="R129" s="14" t="str">
        <x:v>high</x:v>
      </x:c>
      <x:c r="S129" s="14" t="str">
        <x:v>official_source_reverified</x:v>
      </x:c>
      <x:c r="T129" s="14" t="str">
        <x:v>official_source_reachable</x:v>
      </x:c>
      <x:c r="U129" s="14" t="str">
        <x:v>Новий — не контактували</x:v>
      </x:c>
      <x:c r="V129" s="15" t="str">
        <x:v>Discovery-call: отримати 1 реальний артефакт і вимоги проєкту; не обіцяти готове покриття</x:v>
      </x:c>
      <x:c r="W129" s="15" t="str">
        <x:v>Власник / директор; головний інженер; керівник монтажу / ПТО</x:v>
      </x:c>
      <x:c r="X129" s="15" t="str">
        <x:v>Повний цикл металоконструкцій для промислових, аграрних та інженерних об’єктів.</x:v>
      </x:c>
      <x:c r="Y129" s="15" t="str">
        <x:v>Зварні й болтові з’єднання, антикорозійний шар, геометрія та акти випробувань формують пакет до приймання.</x:v>
      </x:c>
      <x:c r="Z129" s="15" t="str">
        <x:v>https://alateks.net/</x:v>
      </x:c>
      <x:c r="AA129" s="14" t="str"/>
      <x:c r="AB129" s="14" t="str">
        <x:v>2026-08-24</x:v>
      </x:c>
      <x:c r="AC129" s="14" t="str">
        <x:v>Олександр</x:v>
      </x:c>
      <x:c r="AD129" s="18" t="str"/>
      <x:c r="AE129" s="14" t="str"/>
    </x:row>
    <x:row r="130">
      <x:c r="A130" s="14" t="str">
        <x:v>EXP-029</x:v>
      </x:c>
      <x:c r="B130" s="14" t="str">
        <x:v>Розширення ніш — 24.08</x:v>
      </x:c>
      <x:c r="C130" s="14" t="str">
        <x:v>M7 Construction</x:v>
      </x:c>
      <x:c r="D130" s="14" t="str">
        <x:v>Металоконструкції та промисловий монтаж</x:v>
      </x:c>
      <x:c r="E130" s="14" t="str">
        <x:v>Expansion discovery</x:v>
      </x:c>
      <x:c r="F130" s="17" t="str">
        <x:f>IF(E130="Pilot now",IF(P130&gt;=84,"P1",IF(P130&gt;=72,"P2","P3")),IF(E130="Expansion discovery",IF(Q130&gt;=88,"D1",IF(Q130&gt;=78,"D2","D3")),IF(E130="Later / requirements","L","Legacy")))</x:f>
        <x:v>D2</x:v>
      </x:c>
      <x:c r="G130" s="14" t="str">
        <x:v>m7construction.com.ua</x:v>
      </x:c>
      <x:c r="H130" s="14" t="str">
        <x:v>Discovery — вимоги проєкту</x:v>
      </x:c>
      <x:c r="I130" s="16" t="n">
        <x:v>1</x:v>
      </x:c>
      <x:c r="J130" s="16" t="n">
        <x:v>4</x:v>
      </x:c>
      <x:c r="K130" s="16" t="n">
        <x:v>3</x:v>
      </x:c>
      <x:c r="L130" s="16" t="n">
        <x:v>4</x:v>
      </x:c>
      <x:c r="M130" s="16" t="n">
        <x:v>5</x:v>
      </x:c>
      <x:c r="N130" s="16" t="n">
        <x:v>5</x:v>
      </x:c>
      <x:c r="O130" s="16" t="n">
        <x:v>5</x:v>
      </x:c>
      <x:c r="P130" s="16" t="n">
        <x:f>IF(COUNT(I130:O130)&lt;7,"",I130*8+J130*3+K130*2+L130*2+M130*2+N130*2+O130)</x:f>
        <x:v>59</x:v>
      </x:c>
      <x:c r="Q130" s="16" t="n">
        <x:f>IF(COUNT(J130:O130)&lt;6,"",J130*5+K130*4+M130*4+L130*3+N130*2+O130*2)</x:f>
        <x:v>84</x:v>
      </x:c>
      <x:c r="R130" s="14" t="str">
        <x:v>high</x:v>
      </x:c>
      <x:c r="S130" s="14" t="str">
        <x:v>official_source_reverified</x:v>
      </x:c>
      <x:c r="T130" s="14" t="str">
        <x:v>official_source_reachable</x:v>
      </x:c>
      <x:c r="U130" s="14" t="str">
        <x:v>Новий — не контактували</x:v>
      </x:c>
      <x:c r="V130" s="15" t="str">
        <x:v>Discovery-call: отримати 1 реальний артефакт і вимоги проєкту; не обіцяти готове покриття</x:v>
      </x:c>
      <x:c r="W130" s="15" t="str">
        <x:v>Власник / директор; головний інженер; керівник монтажу / ПТО</x:v>
      </x:c>
      <x:c r="X130" s="15" t="str">
        <x:v>Промислові будівлі, склади, металоконструкції, сендвіч-панелі й монтаж.</x:v>
      </x:c>
      <x:c r="Y130" s="15" t="str">
        <x:v>Зварні й болтові з’єднання, антикорозійний шар, геометрія та акти випробувань формують пакет до приймання.</x:v>
      </x:c>
      <x:c r="Z130" s="15" t="str">
        <x:v>https://m7construction.com.ua/projects</x:v>
      </x:c>
      <x:c r="AA130" s="14" t="str"/>
      <x:c r="AB130" s="14" t="str">
        <x:v>2026-08-24</x:v>
      </x:c>
      <x:c r="AC130" s="14" t="str">
        <x:v>Олександр</x:v>
      </x:c>
      <x:c r="AD130" s="18" t="str"/>
      <x:c r="AE130" s="14" t="str"/>
    </x:row>
    <x:row r="131">
      <x:c r="A131" s="14" t="str">
        <x:v>EXP-038</x:v>
      </x:c>
      <x:c r="B131" s="14" t="str">
        <x:v>Розширення ніш — 24.08</x:v>
      </x:c>
      <x:c r="C131" s="14" t="str">
        <x:v>Sand Trade</x:v>
      </x:c>
      <x:c r="D131" s="14" t="str">
        <x:v>Металоконструкції та промисловий монтаж</x:v>
      </x:c>
      <x:c r="E131" s="14" t="str">
        <x:v>Expansion discovery</x:v>
      </x:c>
      <x:c r="F131" s="17" t="str">
        <x:f>IF(E131="Pilot now",IF(P131&gt;=84,"P1",IF(P131&gt;=72,"P2","P3")),IF(E131="Expansion discovery",IF(Q131&gt;=88,"D1",IF(Q131&gt;=78,"D2","D3")),IF(E131="Later / requirements","L","Legacy")))</x:f>
        <x:v>D2</x:v>
      </x:c>
      <x:c r="G131" s="14" t="str">
        <x:v>sandtrade.com.ua</x:v>
      </x:c>
      <x:c r="H131" s="14" t="str">
        <x:v>Discovery — вимоги проєкту</x:v>
      </x:c>
      <x:c r="I131" s="16" t="n">
        <x:v>1</x:v>
      </x:c>
      <x:c r="J131" s="16" t="n">
        <x:v>4</x:v>
      </x:c>
      <x:c r="K131" s="16" t="n">
        <x:v>3</x:v>
      </x:c>
      <x:c r="L131" s="16" t="n">
        <x:v>4</x:v>
      </x:c>
      <x:c r="M131" s="16" t="n">
        <x:v>5</x:v>
      </x:c>
      <x:c r="N131" s="16" t="n">
        <x:v>5</x:v>
      </x:c>
      <x:c r="O131" s="16" t="n">
        <x:v>5</x:v>
      </x:c>
      <x:c r="P131" s="16" t="n">
        <x:f>IF(COUNT(I131:O131)&lt;7,"",I131*8+J131*3+K131*2+L131*2+M131*2+N131*2+O131)</x:f>
        <x:v>59</x:v>
      </x:c>
      <x:c r="Q131" s="16" t="n">
        <x:f>IF(COUNT(J131:O131)&lt;6,"",J131*5+K131*4+M131*4+L131*3+N131*2+O131*2)</x:f>
        <x:v>84</x:v>
      </x:c>
      <x:c r="R131" s="14" t="str">
        <x:v>high</x:v>
      </x:c>
      <x:c r="S131" s="14" t="str">
        <x:v>official_source_reverified</x:v>
      </x:c>
      <x:c r="T131" s="14" t="str">
        <x:v>official_source_reachable</x:v>
      </x:c>
      <x:c r="U131" s="14" t="str">
        <x:v>Новий — не контактували</x:v>
      </x:c>
      <x:c r="V131" s="15" t="str">
        <x:v>Discovery-call: отримати 1 реальний артефакт і вимоги проєкту; не обіцяти готове покриття</x:v>
      </x:c>
      <x:c r="W131" s="15" t="str">
        <x:v>Власник / директор; головний інженер; керівник монтажу / ПТО</x:v>
      </x:c>
      <x:c r="X131" s="15" t="str">
        <x:v>Виїзне очищення, фарбування й підготовка великих металоконструкцій до нанесення вогнезахисту.</x:v>
      </x:c>
      <x:c r="Y131" s="15" t="str">
        <x:v>Зварні й болтові з’єднання, антикорозійний шар, геометрія та акти випробувань формують пакет до приймання.</x:v>
      </x:c>
      <x:c r="Z131" s="15" t="str">
        <x:v>https://www.sandtrade.com.ua/</x:v>
      </x:c>
      <x:c r="AA131" s="14" t="str"/>
      <x:c r="AB131" s="14" t="str">
        <x:v>2026-08-24</x:v>
      </x:c>
      <x:c r="AC131" s="14" t="str">
        <x:v>Олександр</x:v>
      </x:c>
      <x:c r="AD131" s="18" t="str"/>
      <x:c r="AE131" s="14" t="str"/>
    </x:row>
    <x:row r="132">
      <x:c r="A132" s="14" t="str">
        <x:v>EXP-032</x:v>
      </x:c>
      <x:c r="B132" s="14" t="str">
        <x:v>Розширення ніш — 24.08</x:v>
      </x:c>
      <x:c r="C132" s="14" t="str">
        <x:v>STERNAT</x:v>
      </x:c>
      <x:c r="D132" s="14" t="str">
        <x:v>Металоконструкції та промисловий монтаж</x:v>
      </x:c>
      <x:c r="E132" s="14" t="str">
        <x:v>Expansion discovery</x:v>
      </x:c>
      <x:c r="F132" s="17" t="str">
        <x:f>IF(E132="Pilot now",IF(P132&gt;=84,"P1",IF(P132&gt;=72,"P2","P3")),IF(E132="Expansion discovery",IF(Q132&gt;=88,"D1",IF(Q132&gt;=78,"D2","D3")),IF(E132="Later / requirements","L","Legacy")))</x:f>
        <x:v>D2</x:v>
      </x:c>
      <x:c r="G132" s="14" t="str">
        <x:v>sternat.com.ua</x:v>
      </x:c>
      <x:c r="H132" s="14" t="str">
        <x:v>Discovery — вимоги проєкту</x:v>
      </x:c>
      <x:c r="I132" s="16" t="n">
        <x:v>1</x:v>
      </x:c>
      <x:c r="J132" s="16" t="n">
        <x:v>4</x:v>
      </x:c>
      <x:c r="K132" s="16" t="n">
        <x:v>3</x:v>
      </x:c>
      <x:c r="L132" s="16" t="n">
        <x:v>4</x:v>
      </x:c>
      <x:c r="M132" s="16" t="n">
        <x:v>5</x:v>
      </x:c>
      <x:c r="N132" s="16" t="n">
        <x:v>5</x:v>
      </x:c>
      <x:c r="O132" s="16" t="n">
        <x:v>5</x:v>
      </x:c>
      <x:c r="P132" s="16" t="n">
        <x:f>IF(COUNT(I132:O132)&lt;7,"",I132*8+J132*3+K132*2+L132*2+M132*2+N132*2+O132)</x:f>
        <x:v>59</x:v>
      </x:c>
      <x:c r="Q132" s="16" t="n">
        <x:f>IF(COUNT(J132:O132)&lt;6,"",J132*5+K132*4+M132*4+L132*3+N132*2+O132*2)</x:f>
        <x:v>84</x:v>
      </x:c>
      <x:c r="R132" s="14" t="str">
        <x:v>high</x:v>
      </x:c>
      <x:c r="S132" s="14" t="str">
        <x:v>official_source_reverified</x:v>
      </x:c>
      <x:c r="T132" s="14" t="str">
        <x:v>official_source_reachable</x:v>
      </x:c>
      <x:c r="U132" s="14" t="str">
        <x:v>Новий — не контактували</x:v>
      </x:c>
      <x:c r="V132" s="15" t="str">
        <x:v>Discovery-call: отримати 1 реальний артефакт і вимоги проєкту; не обіцяти готове покриття</x:v>
      </x:c>
      <x:c r="W132" s="15" t="str">
        <x:v>Власник / директор; головний інженер; керівник монтажу / ПТО</x:v>
      </x:c>
      <x:c r="X132" s="15" t="str">
        <x:v>Виготовлення та монтаж металоконструкцій від ангарів до індивідуальних рішень.</x:v>
      </x:c>
      <x:c r="Y132" s="15" t="str">
        <x:v>Зварні й болтові з’єднання, антикорозійний шар, геометрія та акти випробувань формують пакет до приймання.</x:v>
      </x:c>
      <x:c r="Z132" s="15" t="str">
        <x:v>https://www.sternat.com.ua/</x:v>
      </x:c>
      <x:c r="AA132" s="14" t="str"/>
      <x:c r="AB132" s="14" t="str">
        <x:v>2026-08-24</x:v>
      </x:c>
      <x:c r="AC132" s="14" t="str">
        <x:v>Олександр</x:v>
      </x:c>
      <x:c r="AD132" s="18" t="str"/>
      <x:c r="AE132" s="14" t="str"/>
    </x:row>
    <x:row r="133">
      <x:c r="A133" s="14" t="str">
        <x:v>EXP-060</x:v>
      </x:c>
      <x:c r="B133" s="14" t="str">
        <x:v>Розширення ніш — 24.08</x:v>
      </x:c>
      <x:c r="C133" s="14" t="str">
        <x:v>UNIT-L</x:v>
      </x:c>
      <x:c r="D133" s="14" t="str">
        <x:v>Ліфти, ескалатори та підйомники</x:v>
      </x:c>
      <x:c r="E133" s="14" t="str">
        <x:v>Expansion discovery</x:v>
      </x:c>
      <x:c r="F133" s="17" t="str">
        <x:f>IF(E133="Pilot now",IF(P133&gt;=84,"P1",IF(P133&gt;=72,"P2","P3")),IF(E133="Expansion discovery",IF(Q133&gt;=88,"D1",IF(Q133&gt;=78,"D2","D3")),IF(E133="Later / requirements","L","Legacy")))</x:f>
        <x:v>D2</x:v>
      </x:c>
      <x:c r="G133" s="14" t="str">
        <x:v>unit-l.com</x:v>
      </x:c>
      <x:c r="H133" s="14" t="str">
        <x:v>Discovery — вимоги проєкту</x:v>
      </x:c>
      <x:c r="I133" s="16" t="n">
        <x:v>1</x:v>
      </x:c>
      <x:c r="J133" s="16" t="n">
        <x:v>4</x:v>
      </x:c>
      <x:c r="K133" s="16" t="n">
        <x:v>4</x:v>
      </x:c>
      <x:c r="L133" s="16" t="n">
        <x:v>3</x:v>
      </x:c>
      <x:c r="M133" s="16" t="n">
        <x:v>5</x:v>
      </x:c>
      <x:c r="N133" s="16" t="n">
        <x:v>5</x:v>
      </x:c>
      <x:c r="O133" s="16" t="n">
        <x:v>5</x:v>
      </x:c>
      <x:c r="P133" s="16" t="n">
        <x:f>IF(COUNT(I133:O133)&lt;7,"",I133*8+J133*3+K133*2+L133*2+M133*2+N133*2+O133)</x:f>
        <x:v>59</x:v>
      </x:c>
      <x:c r="Q133" s="16" t="n">
        <x:f>IF(COUNT(J133:O133)&lt;6,"",J133*5+K133*4+M133*4+L133*3+N133*2+O133*2)</x:f>
        <x:v>85</x:v>
      </x:c>
      <x:c r="R133" s="14" t="str">
        <x:v>high</x:v>
      </x:c>
      <x:c r="S133" s="14" t="str">
        <x:v>official_source_reverified</x:v>
      </x:c>
      <x:c r="T133" s="14" t="str">
        <x:v>official_source_reachable</x:v>
      </x:c>
      <x:c r="U133" s="14" t="str">
        <x:v>Новий — не контактували</x:v>
      </x:c>
      <x:c r="V133" s="15" t="str">
        <x:v>Discovery-call: отримати 1 реальний артефакт і вимоги проєкту; не обіцяти готове покриття</x:v>
      </x:c>
      <x:c r="W133" s="15" t="str">
        <x:v>Директор; керівник монтажу; відповідальний за введення в експлуатацію</x:v>
      </x:c>
      <x:c r="X133" s="15" t="str">
        <x:v>Монтаж по Україні, технічний огляд, ремонт і сертифіковане обладнання.</x:v>
      </x:c>
      <x:c r="Y133" s="15" t="str">
        <x:v>Закладні, напрямні, електрика, випробування й постановка на облік мають поетапну приймальну документацію.</x:v>
      </x:c>
      <x:c r="Z133" s="15" t="str">
        <x:v>https://unit-l.com/uk/golovna/</x:v>
      </x:c>
      <x:c r="AA133" s="14" t="str"/>
      <x:c r="AB133" s="14" t="str">
        <x:v>2026-08-24</x:v>
      </x:c>
      <x:c r="AC133" s="14" t="str">
        <x:v>Олександр</x:v>
      </x:c>
      <x:c r="AD133" s="18" t="str"/>
      <x:c r="AE133" s="14" t="str"/>
    </x:row>
    <x:row r="134">
      <x:c r="A134" s="14" t="str">
        <x:v>AUG-001</x:v>
      </x:c>
      <x:c r="B134" s="14" t="str">
        <x:v>Перевірено 51 — 24.08</x:v>
      </x:c>
      <x:c r="C134" s="14" t="str">
        <x:v>GES GROUP</x:v>
      </x:c>
      <x:c r="D134" s="14" t="str">
        <x:v>Зовнішні мережі</x:v>
      </x:c>
      <x:c r="E134" s="14" t="str">
        <x:v>Later / requirements</x:v>
      </x:c>
      <x:c r="F134" s="17" t="str">
        <x:f>IF(E134="Pilot now",IF(P134&gt;=84,"P1",IF(P134&gt;=72,"P2","P3")),IF(E134="Expansion discovery",IF(Q134&gt;=88,"D1",IF(Q134&gt;=78,"D2","D3")),IF(E134="Later / requirements","L","Legacy")))</x:f>
        <x:v>L</x:v>
      </x:c>
      <x:c r="G134" s="14" t="str">
        <x:v>ges-group.com.ua</x:v>
      </x:c>
      <x:c r="H134" s="14" t="str">
        <x:v>Пізніше — вимоги проєкту</x:v>
      </x:c>
      <x:c r="I134" s="16" t="n">
        <x:v>2</x:v>
      </x:c>
      <x:c r="J134" s="16" t="n">
        <x:v>5</x:v>
      </x:c>
      <x:c r="K134" s="16" t="n">
        <x:v>5</x:v>
      </x:c>
      <x:c r="L134" s="16" t="n">
        <x:v>5</x:v>
      </x:c>
      <x:c r="M134" s="16" t="n">
        <x:v>5</x:v>
      </x:c>
      <x:c r="N134" s="16" t="n">
        <x:v>5</x:v>
      </x:c>
      <x:c r="O134" s="16" t="n">
        <x:v>5</x:v>
      </x:c>
      <x:c r="P134" s="16" t="n">
        <x:f>IF(COUNT(I134:O134)&lt;7,"",I134*8+J134*3+K134*2+L134*2+M134*2+N134*2+O134)</x:f>
        <x:v>76</x:v>
      </x:c>
      <x:c r="Q134" s="16" t="n">
        <x:f>IF(COUNT(J134:O134)&lt;6,"",J134*5+K134*4+M134*4+L134*3+N134*2+O134*2)</x:f>
        <x:v>100</x:v>
      </x:c>
      <x:c r="R134" s="14" t="str">
        <x:v>high</x:v>
      </x:c>
      <x:c r="S134" s="14" t="str">
        <x:v>official_source_reverified</x:v>
      </x:c>
      <x:c r="T134" s="14" t="str">
        <x:v>official_source_reachable</x:v>
      </x:c>
      <x:c r="U134" s="14" t="str">
        <x:v>Новий — не контактували</x:v>
      </x:c>
      <x:c r="V134" s="15" t="str">
        <x:v>Discovery-call: перевірити процес і отримати вимоги конкретного проєкту</x:v>
      </x:c>
      <x:c r="W134" s="15" t="str">
        <x:v>Владелец / коммерческий директор; руководитель ПТО</x:v>
      </x:c>
      <x:c r="X134" s="15" t="str">
        <x:v>Полный цикл внешних водопроводных, канализационных и тепловых сетей; 50+ сотрудников, собственная техника и многомесячные проекты.</x:v>
      </x:c>
      <x:c r="Y134" s="15" t="str">
        <x:v>Траншеи, коллекторы, КНС и сети должны быть зафиксированы до засыпки.</x:v>
      </x:c>
      <x:c r="Z134" s="15" t="str">
        <x:v>https://ges-group.com.ua/company</x:v>
      </x:c>
      <x:c r="AA134" s="14" t="str"/>
      <x:c r="AB134" s="14" t="str">
        <x:v>2026-08-24</x:v>
      </x:c>
      <x:c r="AC134" s="14" t="str">
        <x:v>Олександр</x:v>
      </x:c>
      <x:c r="AD134" s="18" t="str"/>
      <x:c r="AE134" s="14" t="str"/>
    </x:row>
    <x:row r="135">
      <x:c r="A135" s="14" t="str">
        <x:v>V3-042</x:v>
      </x:c>
      <x:c r="B135" s="14" t="str">
        <x:v>Досліджено 28.07</x:v>
      </x:c>
      <x:c r="C135" s="14" t="str">
        <x:v>ТОВ «СБК САРГОН»</x:v>
      </x:c>
      <x:c r="D135" s="14" t="str">
        <x:v>Зовнішні мережі</x:v>
      </x:c>
      <x:c r="E135" s="14" t="str">
        <x:v>Later / requirements</x:v>
      </x:c>
      <x:c r="F135" s="17" t="str">
        <x:f>IF(E135="Pilot now",IF(P135&gt;=84,"P1",IF(P135&gt;=72,"P2","P3")),IF(E135="Expansion discovery",IF(Q135&gt;=88,"D1",IF(Q135&gt;=78,"D2","D3")),IF(E135="Later / requirements","L","Legacy")))</x:f>
        <x:v>L</x:v>
      </x:c>
      <x:c r="G135" s="14" t="str">
        <x:v>sargon.com.ua</x:v>
      </x:c>
      <x:c r="H135" s="14" t="str">
        <x:v>Пізніше — вимоги проєкту</x:v>
      </x:c>
      <x:c r="I135" s="16" t="n">
        <x:v>1</x:v>
      </x:c>
      <x:c r="J135" s="16" t="n">
        <x:v>5</x:v>
      </x:c>
      <x:c r="K135" s="16" t="n">
        <x:v>5</x:v>
      </x:c>
      <x:c r="L135" s="16" t="n">
        <x:v>5</x:v>
      </x:c>
      <x:c r="M135" s="16" t="n">
        <x:v>5</x:v>
      </x:c>
      <x:c r="N135" s="16" t="n">
        <x:v>5</x:v>
      </x:c>
      <x:c r="O135" s="16" t="n">
        <x:v>5</x:v>
      </x:c>
      <x:c r="P135" s="16" t="n">
        <x:f>IF(COUNT(I135:O135)&lt;7,"",I135*8+J135*3+K135*2+L135*2+M135*2+N135*2+O135)</x:f>
        <x:v>68</x:v>
      </x:c>
      <x:c r="Q135" s="16" t="n">
        <x:f>IF(COUNT(J135:O135)&lt;6,"",J135*5+K135*4+M135*4+L135*3+N135*2+O135*2)</x:f>
        <x:v>100</x:v>
      </x:c>
      <x:c r="R135" s="14" t="str">
        <x:v>medium</x:v>
      </x:c>
      <x:c r="S135" s="14" t="str">
        <x:v>historical_research_2026-07-28</x:v>
      </x:c>
      <x:c r="T135" s="14" t="str">
        <x:v>historical_official_research</x:v>
      </x:c>
      <x:c r="U135" s="14" t="str">
        <x:v>Надіслано 28.07 — follow-up</x:v>
      </x:c>
      <x:c r="V135" s="15" t="str">
        <x:v>Follow-up з review-link; далі попросити 1 анонімізований артефакт</x:v>
      </x:c>
      <x:c r="W135" s="15" t="str">
        <x:v>Власник / директор; керівник ПТО</x:v>
      </x:c>
      <x:c r="X135" s="15" t="str">
        <x:v>45+ зданих об’єктів, 78 фахівців, ліцензії СС2/СС3; повний цикл зовнішніх мереж від проєкту до введення.</x:v>
      </x:c>
      <x:c r="Y135" s="15" t="str">
        <x:v>Траншеї, труби, кабелі, колодязі, підключення й випробування незворотно закриваються засипанням.</x:v>
      </x:c>
      <x:c r="Z135" s="15" t="str">
        <x:v>https://www.sargon.com.ua/budivnictvo-zovnishnih-inzhenernih-merezh</x:v>
      </x:c>
      <x:c r="AA135" s="14" t="str">
        <x:v>44549311</x:v>
      </x:c>
      <x:c r="AB135" s="14" t="str">
        <x:v>2026-07-28</x:v>
      </x:c>
      <x:c r="AC135" s="14" t="str">
        <x:v>Олександр</x:v>
      </x:c>
      <x:c r="AD135" s="18" t="str"/>
      <x:c r="AE135" s="14" t="str"/>
    </x:row>
    <x:row r="136">
      <x:c r="A136" s="14" t="str">
        <x:v>V3-044</x:v>
      </x:c>
      <x:c r="B136" s="14" t="str">
        <x:v>Досліджено 28.07</x:v>
      </x:c>
      <x:c r="C136" s="14" t="str">
        <x:v>ПроектАкваБуд</x:v>
      </x:c>
      <x:c r="D136" s="14" t="str">
        <x:v>Зовнішні мережі</x:v>
      </x:c>
      <x:c r="E136" s="14" t="str">
        <x:v>Later / requirements</x:v>
      </x:c>
      <x:c r="F136" s="17" t="str">
        <x:f>IF(E136="Pilot now",IF(P136&gt;=84,"P1",IF(P136&gt;=72,"P2","P3")),IF(E136="Expansion discovery",IF(Q136&gt;=88,"D1",IF(Q136&gt;=78,"D2","D3")),IF(E136="Later / requirements","L","Legacy")))</x:f>
        <x:v>L</x:v>
      </x:c>
      <x:c r="G136" s="14" t="str">
        <x:v>abproekt.com.ua</x:v>
      </x:c>
      <x:c r="H136" s="14" t="str">
        <x:v>Пізніше — вимоги проєкту</x:v>
      </x:c>
      <x:c r="I136" s="16" t="n">
        <x:v>1</x:v>
      </x:c>
      <x:c r="J136" s="16" t="n">
        <x:v>5</x:v>
      </x:c>
      <x:c r="K136" s="16" t="n">
        <x:v>5</x:v>
      </x:c>
      <x:c r="L136" s="16" t="n">
        <x:v>4</x:v>
      </x:c>
      <x:c r="M136" s="16" t="n">
        <x:v>5</x:v>
      </x:c>
      <x:c r="N136" s="16" t="n">
        <x:v>5</x:v>
      </x:c>
      <x:c r="O136" s="16" t="n">
        <x:v>5</x:v>
      </x:c>
      <x:c r="P136" s="16" t="n">
        <x:f>IF(COUNT(I136:O136)&lt;7,"",I136*8+J136*3+K136*2+L136*2+M136*2+N136*2+O136)</x:f>
        <x:v>66</x:v>
      </x:c>
      <x:c r="Q136" s="16" t="n">
        <x:f>IF(COUNT(J136:O136)&lt;6,"",J136*5+K136*4+M136*4+L136*3+N136*2+O136*2)</x:f>
        <x:v>97</x:v>
      </x:c>
      <x:c r="R136" s="14" t="str">
        <x:v>medium</x:v>
      </x:c>
      <x:c r="S136" s="14" t="str">
        <x:v>historical_research_2026-07-28</x:v>
      </x:c>
      <x:c r="T136" s="14" t="str">
        <x:v>historical_official_research</x:v>
      </x:c>
      <x:c r="U136" s="14" t="str">
        <x:v>Надіслано 28.07 — follow-up</x:v>
      </x:c>
      <x:c r="V136" s="15" t="str">
        <x:v>Follow-up з review-link; далі попросити 1 анонімізований артефакт</x:v>
      </x:c>
      <x:c r="W136" s="15" t="str">
        <x:v>Власник / директор; керівник ПТО</x:v>
      </x:c>
      <x:c r="X136" s="15" t="str">
        <x:v>Проєктування й монтаж зовнішніх інженерних мереж, водопостачання та водовідведення.</x:v>
      </x:c>
      <x:c r="Y136" s="15" t="str">
        <x:v>Труби, колодязі, основи й приєднання стають недоступними після засипання; критичні фото та акти.</x:v>
      </x:c>
      <x:c r="Z136" s="15" t="str">
        <x:v>https://abproekt.com.ua/uslugi/montazh-inzhenernykh-setei.html</x:v>
      </x:c>
      <x:c r="AA136" s="14" t="str"/>
      <x:c r="AB136" s="14" t="str">
        <x:v>2026-07-28</x:v>
      </x:c>
      <x:c r="AC136" s="14" t="str">
        <x:v>Олександр</x:v>
      </x:c>
      <x:c r="AD136" s="18" t="str"/>
      <x:c r="AE136" s="14" t="str"/>
    </x:row>
    <x:row r="137">
      <x:c r="A137" s="14" t="str">
        <x:v>V3-045</x:v>
      </x:c>
      <x:c r="B137" s="14" t="str">
        <x:v>Досліджено 28.07</x:v>
      </x:c>
      <x:c r="C137" s="14" t="str">
        <x:v>Project Water &amp; Canalization</x:v>
      </x:c>
      <x:c r="D137" s="14" t="str">
        <x:v>Зовнішні мережі</x:v>
      </x:c>
      <x:c r="E137" s="14" t="str">
        <x:v>Later / requirements</x:v>
      </x:c>
      <x:c r="F137" s="17" t="str">
        <x:f>IF(E137="Pilot now",IF(P137&gt;=84,"P1",IF(P137&gt;=72,"P2","P3")),IF(E137="Expansion discovery",IF(Q137&gt;=88,"D1",IF(Q137&gt;=78,"D2","D3")),IF(E137="Later / requirements","L","Legacy")))</x:f>
        <x:v>L</x:v>
      </x:c>
      <x:c r="G137" s="14" t="str">
        <x:v>project-wc.kiev.ua</x:v>
      </x:c>
      <x:c r="H137" s="14" t="str">
        <x:v>Пізніше — вимоги проєкту</x:v>
      </x:c>
      <x:c r="I137" s="16" t="n">
        <x:v>1</x:v>
      </x:c>
      <x:c r="J137" s="16" t="n">
        <x:v>5</x:v>
      </x:c>
      <x:c r="K137" s="16" t="n">
        <x:v>5</x:v>
      </x:c>
      <x:c r="L137" s="16" t="n">
        <x:v>4</x:v>
      </x:c>
      <x:c r="M137" s="16" t="n">
        <x:v>5</x:v>
      </x:c>
      <x:c r="N137" s="16" t="n">
        <x:v>5</x:v>
      </x:c>
      <x:c r="O137" s="16" t="n">
        <x:v>5</x:v>
      </x:c>
      <x:c r="P137" s="16" t="n">
        <x:f>IF(COUNT(I137:O137)&lt;7,"",I137*8+J137*3+K137*2+L137*2+M137*2+N137*2+O137)</x:f>
        <x:v>66</x:v>
      </x:c>
      <x:c r="Q137" s="16" t="n">
        <x:f>IF(COUNT(J137:O137)&lt;6,"",J137*5+K137*4+M137*4+L137*3+N137*2+O137*2)</x:f>
        <x:v>97</x:v>
      </x:c>
      <x:c r="R137" s="14" t="str">
        <x:v>medium</x:v>
      </x:c>
      <x:c r="S137" s="14" t="str">
        <x:v>historical_research_2026-07-28</x:v>
      </x:c>
      <x:c r="T137" s="14" t="str">
        <x:v>historical_official_research</x:v>
      </x:c>
      <x:c r="U137" s="14" t="str">
        <x:v>Надіслано 28.07 — follow-up</x:v>
      </x:c>
      <x:c r="V137" s="15" t="str">
        <x:v>Follow-up з review-link; далі попросити 1 анонімізований артефакт</x:v>
      </x:c>
      <x:c r="W137" s="15" t="str">
        <x:v>Власник / директор; керівник ПТО</x:v>
      </x:c>
      <x:c r="X137" s="15" t="str">
        <x:v>Повний цикл від проєктування до введення: зовнішній водопровід, напірна/самопливна/зливова каналізація, КНС і резервуари.</x:v>
      </x:c>
      <x:c r="Y137" s="15" t="str">
        <x:v>Глибокі траншеї, ухили, стики, випробування й виконавчі схеми мають бути прийняті до закриття.</x:v>
      </x:c>
      <x:c r="Z137" s="15" t="str">
        <x:v>https://www.project-wc.kiev.ua/</x:v>
      </x:c>
      <x:c r="AA137" s="14" t="str"/>
      <x:c r="AB137" s="14" t="str">
        <x:v>2026-07-28</x:v>
      </x:c>
      <x:c r="AC137" s="14" t="str">
        <x:v>Олександр</x:v>
      </x:c>
      <x:c r="AD137" s="18" t="str"/>
      <x:c r="AE137" s="14" t="str"/>
    </x:row>
    <x:row r="138">
      <x:c r="A138" s="14" t="str">
        <x:v>V3-047</x:v>
      </x:c>
      <x:c r="B138" s="14" t="str">
        <x:v>Досліджено 28.07</x:v>
      </x:c>
      <x:c r="C138" s="14" t="str">
        <x:v>VIK</x:v>
      </x:c>
      <x:c r="D138" s="14" t="str">
        <x:v>Зовнішні мережі</x:v>
      </x:c>
      <x:c r="E138" s="14" t="str">
        <x:v>Later / requirements</x:v>
      </x:c>
      <x:c r="F138" s="17" t="str">
        <x:f>IF(E138="Pilot now",IF(P138&gt;=84,"P1",IF(P138&gt;=72,"P2","P3")),IF(E138="Expansion discovery",IF(Q138&gt;=88,"D1",IF(Q138&gt;=78,"D2","D3")),IF(E138="Later / requirements","L","Legacy")))</x:f>
        <x:v>L</x:v>
      </x:c>
      <x:c r="G138" s="14" t="str">
        <x:v>vik.com.ua</x:v>
      </x:c>
      <x:c r="H138" s="14" t="str">
        <x:v>Пізніше — вимоги проєкту</x:v>
      </x:c>
      <x:c r="I138" s="16" t="n">
        <x:v>1</x:v>
      </x:c>
      <x:c r="J138" s="16" t="n">
        <x:v>5</x:v>
      </x:c>
      <x:c r="K138" s="16" t="n">
        <x:v>5</x:v>
      </x:c>
      <x:c r="L138" s="16" t="n">
        <x:v>4</x:v>
      </x:c>
      <x:c r="M138" s="16" t="n">
        <x:v>5</x:v>
      </x:c>
      <x:c r="N138" s="16" t="n">
        <x:v>5</x:v>
      </x:c>
      <x:c r="O138" s="16" t="n">
        <x:v>5</x:v>
      </x:c>
      <x:c r="P138" s="16" t="n">
        <x:f>IF(COUNT(I138:O138)&lt;7,"",I138*8+J138*3+K138*2+L138*2+M138*2+N138*2+O138)</x:f>
        <x:v>66</x:v>
      </x:c>
      <x:c r="Q138" s="16" t="n">
        <x:f>IF(COUNT(J138:O138)&lt;6,"",J138*5+K138*4+M138*4+L138*3+N138*2+O138*2)</x:f>
        <x:v>97</x:v>
      </x:c>
      <x:c r="R138" s="14" t="str">
        <x:v>medium</x:v>
      </x:c>
      <x:c r="S138" s="14" t="str">
        <x:v>historical_research_2026-07-28</x:v>
      </x:c>
      <x:c r="T138" s="14" t="str">
        <x:v>historical_official_research</x:v>
      </x:c>
      <x:c r="U138" s="14" t="str">
        <x:v>Надіслано 28.07 — follow-up</x:v>
      </x:c>
      <x:c r="V138" s="15" t="str">
        <x:v>Follow-up з review-link; далі попросити 1 анонімізований артефакт</x:v>
      </x:c>
      <x:c r="W138" s="15" t="str">
        <x:v>Власник / директор; керівник ПТО</x:v>
      </x:c>
      <x:c r="X138" s="15" t="str">
        <x:v>Проєктування, будівництво й реконструкція мереж водопостачання/каналізації, насосних станцій і дренажу.</x:v>
      </x:c>
      <x:c r="Y138" s="15" t="str">
        <x:v>Трубопроводи, колодязі, КНС і дренажні системи вимагають поетапних актів та випробувань до засипання.</x:v>
      </x:c>
      <x:c r="Z138" s="15" t="str">
        <x:v>https://vik.com.ua/pages/view/proektuvannya</x:v>
      </x:c>
      <x:c r="AA138" s="14" t="str"/>
      <x:c r="AB138" s="14" t="str">
        <x:v>2026-07-28</x:v>
      </x:c>
      <x:c r="AC138" s="14" t="str">
        <x:v>Олександр</x:v>
      </x:c>
      <x:c r="AD138" s="18" t="str"/>
      <x:c r="AE138" s="14" t="str"/>
    </x:row>
    <x:row r="139">
      <x:c r="A139" s="14" t="str">
        <x:v>V3-043</x:v>
      </x:c>
      <x:c r="B139" s="14" t="str">
        <x:v>Досліджено 28.07</x:v>
      </x:c>
      <x:c r="C139" s="14" t="str">
        <x:v>ТОВ «БМК «МІСТО ГРУП»</x:v>
      </x:c>
      <x:c r="D139" s="14" t="str">
        <x:v>Зовнішні мережі</x:v>
      </x:c>
      <x:c r="E139" s="14" t="str">
        <x:v>Later / requirements</x:v>
      </x:c>
      <x:c r="F139" s="17" t="str">
        <x:f>IF(E139="Pilot now",IF(P139&gt;=84,"P1",IF(P139&gt;=72,"P2","P3")),IF(E139="Expansion discovery",IF(Q139&gt;=88,"D1",IF(Q139&gt;=78,"D2","D3")),IF(E139="Later / requirements","L","Legacy")))</x:f>
        <x:v>L</x:v>
      </x:c>
      <x:c r="G139" s="14" t="str">
        <x:v>bmk-misto.com.ua</x:v>
      </x:c>
      <x:c r="H139" s="14" t="str">
        <x:v>Пізніше — вимоги проєкту</x:v>
      </x:c>
      <x:c r="I139" s="16" t="n">
        <x:v>1</x:v>
      </x:c>
      <x:c r="J139" s="16" t="n">
        <x:v>5</x:v>
      </x:c>
      <x:c r="K139" s="16" t="n">
        <x:v>5</x:v>
      </x:c>
      <x:c r="L139" s="16" t="n">
        <x:v>4</x:v>
      </x:c>
      <x:c r="M139" s="16" t="n">
        <x:v>4</x:v>
      </x:c>
      <x:c r="N139" s="16" t="n">
        <x:v>5</x:v>
      </x:c>
      <x:c r="O139" s="16" t="n">
        <x:v>5</x:v>
      </x:c>
      <x:c r="P139" s="16" t="n">
        <x:f>IF(COUNT(I139:O139)&lt;7,"",I139*8+J139*3+K139*2+L139*2+M139*2+N139*2+O139)</x:f>
        <x:v>64</x:v>
      </x:c>
      <x:c r="Q139" s="16" t="n">
        <x:f>IF(COUNT(J139:O139)&lt;6,"",J139*5+K139*4+M139*4+L139*3+N139*2+O139*2)</x:f>
        <x:v>93</x:v>
      </x:c>
      <x:c r="R139" s="14" t="str">
        <x:v>medium</x:v>
      </x:c>
      <x:c r="S139" s="14" t="str">
        <x:v>historical_research_2026-07-28</x:v>
      </x:c>
      <x:c r="T139" s="14" t="str">
        <x:v>historical_official_research</x:v>
      </x:c>
      <x:c r="U139" s="14" t="str">
        <x:v>Надіслано 28.07 — follow-up</x:v>
      </x:c>
      <x:c r="V139" s="15" t="str">
        <x:v>Follow-up з review-link; далі попросити 1 анонімізований артефакт</x:v>
      </x:c>
      <x:c r="W139" s="15" t="str">
        <x:v>Власник / директор; керівник ПТО</x:v>
      </x:c>
      <x:c r="X139" s="15" t="str">
        <x:v>Будівництво, реконструкція й ремонт зовнішніх мереж; труби до 1600 мм, колодязі, КНС, гідравлічні випробування.</x:v>
      </x:c>
      <x:c r="Y139" s="15" t="str">
        <x:v>Проєктні відмітки, стики труб, основи колодязів і випробування треба прийняти до засипання траншей.</x:v>
      </x:c>
      <x:c r="Z139" s="15" t="str">
        <x:v>https://bmk-misto.com.ua/merejy-vodopostachannya-i-vodovidvedennya</x:v>
      </x:c>
      <x:c r="AA139" s="14" t="str">
        <x:v>45989415</x:v>
      </x:c>
      <x:c r="AB139" s="14" t="str">
        <x:v>2026-07-28</x:v>
      </x:c>
      <x:c r="AC139" s="14" t="str">
        <x:v>Олександр</x:v>
      </x:c>
      <x:c r="AD139" s="18" t="str"/>
      <x:c r="AE139" s="14" t="str"/>
    </x:row>
    <x:row r="140">
      <x:c r="A140" s="14" t="str">
        <x:v>AUG-006</x:v>
      </x:c>
      <x:c r="B140" s="14" t="str">
        <x:v>Перевірено 51 — 24.08</x:v>
      </x:c>
      <x:c r="C140" s="14" t="str">
        <x:v>BVKS</x:v>
      </x:c>
      <x:c r="D140" s="14" t="str">
        <x:v>Зовнішні мережі</x:v>
      </x:c>
      <x:c r="E140" s="14" t="str">
        <x:v>Later / requirements</x:v>
      </x:c>
      <x:c r="F140" s="17" t="str">
        <x:f>IF(E140="Pilot now",IF(P140&gt;=84,"P1",IF(P140&gt;=72,"P2","P3")),IF(E140="Expansion discovery",IF(Q140&gt;=88,"D1",IF(Q140&gt;=78,"D2","D3")),IF(E140="Later / requirements","L","Legacy")))</x:f>
        <x:v>L</x:v>
      </x:c>
      <x:c r="G140" s="14" t="str">
        <x:v>bvks.com.ua</x:v>
      </x:c>
      <x:c r="H140" s="14" t="str">
        <x:v>Пізніше — вимоги проєкту</x:v>
      </x:c>
      <x:c r="I140" s="16" t="n">
        <x:v>2</x:v>
      </x:c>
      <x:c r="J140" s="16" t="n">
        <x:v>5</x:v>
      </x:c>
      <x:c r="K140" s="16" t="n">
        <x:v>5</x:v>
      </x:c>
      <x:c r="L140" s="16" t="n">
        <x:v>2</x:v>
      </x:c>
      <x:c r="M140" s="16" t="n">
        <x:v>3</x:v>
      </x:c>
      <x:c r="N140" s="16" t="n">
        <x:v>4</x:v>
      </x:c>
      <x:c r="O140" s="16" t="n">
        <x:v>5</x:v>
      </x:c>
      <x:c r="P140" s="16" t="n">
        <x:f>IF(COUNT(I140:O140)&lt;7,"",I140*8+J140*3+K140*2+L140*2+M140*2+N140*2+O140)</x:f>
        <x:v>64</x:v>
      </x:c>
      <x:c r="Q140" s="16" t="n">
        <x:f>IF(COUNT(J140:O140)&lt;6,"",J140*5+K140*4+M140*4+L140*3+N140*2+O140*2)</x:f>
        <x:v>81</x:v>
      </x:c>
      <x:c r="R140" s="14" t="str">
        <x:v>high</x:v>
      </x:c>
      <x:c r="S140" s="14" t="str">
        <x:v>official_source_reverified</x:v>
      </x:c>
      <x:c r="T140" s="14" t="str">
        <x:v>official_source_reachable</x:v>
      </x:c>
      <x:c r="U140" s="14" t="str">
        <x:v>Новий — не контактували</x:v>
      </x:c>
      <x:c r="V140" s="15" t="str">
        <x:v>Discovery-call: перевірити процес і отримати вимоги конкретного проєкту</x:v>
      </x:c>
      <x:c r="W140" s="15" t="str">
        <x:v>Владелец; начальник участка</x:v>
      </x:c>
      <x:c r="X140" s="15" t="str">
        <x:v>Строительство и модернизация наружных водопроводно-канализационных сетей и ГНБ.</x:v>
      </x:c>
      <x:c r="Y140" s="15" t="str">
        <x:v>Трубопроводы и проколы становятся недоступны после засыпки, но текущая библиотека требований их прямо не покрывает.</x:v>
      </x:c>
      <x:c r="Z140" s="15" t="str">
        <x:v>https://bvks.com.ua/</x:v>
      </x:c>
      <x:c r="AA140" s="14" t="str"/>
      <x:c r="AB140" s="14" t="str">
        <x:v>2026-08-24</x:v>
      </x:c>
      <x:c r="AC140" s="14" t="str">
        <x:v>Олександр</x:v>
      </x:c>
      <x:c r="AD140" s="18" t="str"/>
      <x:c r="AE140" s="14" t="str"/>
    </x:row>
    <x:row r="141">
      <x:c r="A141" s="14" t="str">
        <x:v>V3-046</x:v>
      </x:c>
      <x:c r="B141" s="14" t="str">
        <x:v>Досліджено 28.07</x:v>
      </x:c>
      <x:c r="C141" s="14" t="str">
        <x:v>MIDA Energy</x:v>
      </x:c>
      <x:c r="D141" s="14" t="str">
        <x:v>Зовнішні мережі</x:v>
      </x:c>
      <x:c r="E141" s="14" t="str">
        <x:v>Later / requirements</x:v>
      </x:c>
      <x:c r="F141" s="17" t="str">
        <x:f>IF(E141="Pilot now",IF(P141&gt;=84,"P1",IF(P141&gt;=72,"P2","P3")),IF(E141="Expansion discovery",IF(Q141&gt;=88,"D1",IF(Q141&gt;=78,"D2","D3")),IF(E141="Later / requirements","L","Legacy")))</x:f>
        <x:v>L</x:v>
      </x:c>
      <x:c r="G141" s="14" t="str">
        <x:v>midaenergy.com.ua</x:v>
      </x:c>
      <x:c r="H141" s="14" t="str">
        <x:v>Пізніше — вимоги проєкту</x:v>
      </x:c>
      <x:c r="I141" s="16" t="n">
        <x:v>1</x:v>
      </x:c>
      <x:c r="J141" s="16" t="n">
        <x:v>5</x:v>
      </x:c>
      <x:c r="K141" s="16" t="n">
        <x:v>5</x:v>
      </x:c>
      <x:c r="L141" s="16" t="n">
        <x:v>4</x:v>
      </x:c>
      <x:c r="M141" s="16" t="n">
        <x:v>4</x:v>
      </x:c>
      <x:c r="N141" s="16" t="n">
        <x:v>5</x:v>
      </x:c>
      <x:c r="O141" s="16" t="n">
        <x:v>5</x:v>
      </x:c>
      <x:c r="P141" s="16" t="n">
        <x:f>IF(COUNT(I141:O141)&lt;7,"",I141*8+J141*3+K141*2+L141*2+M141*2+N141*2+O141)</x:f>
        <x:v>64</x:v>
      </x:c>
      <x:c r="Q141" s="16" t="n">
        <x:f>IF(COUNT(J141:O141)&lt;6,"",J141*5+K141*4+M141*4+L141*3+N141*2+O141*2)</x:f>
        <x:v>93</x:v>
      </x:c>
      <x:c r="R141" s="14" t="str">
        <x:v>medium</x:v>
      </x:c>
      <x:c r="S141" s="14" t="str">
        <x:v>historical_research_2026-07-28</x:v>
      </x:c>
      <x:c r="T141" s="14" t="str">
        <x:v>historical_official_research</x:v>
      </x:c>
      <x:c r="U141" s="14" t="str">
        <x:v>Надіслано 28.07 — follow-up</x:v>
      </x:c>
      <x:c r="V141" s="15" t="str">
        <x:v>Follow-up з review-link; далі попросити 1 анонімізований артефакт</x:v>
      </x:c>
      <x:c r="W141" s="15" t="str">
        <x:v>Власник / директор; керівник ПТО</x:v>
      </x:c>
      <x:c r="X141" s="15" t="str">
        <x:v>Монтаж зовнішніх мереж газу, води, тепла, електрики, каналізації, вентиляції та зв’язку.</x:v>
      </x:c>
      <x:c r="Y141" s="15" t="str">
        <x:v>Різнотипні комунікації створюють багато прихованих переходів, перетинів, випробувань та актів.</x:v>
      </x:c>
      <x:c r="Z141" s="15" t="str">
        <x:v>https://midaenergy.com.ua/services/prokladannja-zovnishnih-inzhenernyh-merezh/</x:v>
      </x:c>
      <x:c r="AA141" s="14" t="str"/>
      <x:c r="AB141" s="14" t="str">
        <x:v>2026-07-28</x:v>
      </x:c>
      <x:c r="AC141" s="14" t="str">
        <x:v>Олександр</x:v>
      </x:c>
      <x:c r="AD141" s="18" t="str"/>
      <x:c r="AE141" s="14" t="str"/>
    </x:row>
    <x:row r="142">
      <x:c r="A142" s="14" t="str">
        <x:v>V2-015</x:v>
      </x:c>
      <x:c r="B142" s="14" t="str">
        <x:v>Legacy 28</x:v>
      </x:c>
      <x:c r="C142" s="14" t="str">
        <x:v>Блок Майстер Україна</x:v>
      </x:c>
      <x:c r="D142" s="14" t="str">
        <x:v>Сонячна енергетика</x:v>
      </x:c>
      <x:c r="E142" s="14" t="str">
        <x:v>Requalify</x:v>
      </x:c>
      <x:c r="F142" s="17" t="str">
        <x:f>IF(E142="Pilot now",IF(P142&gt;=84,"P1",IF(P142&gt;=72,"P2","P3")),IF(E142="Expansion discovery",IF(Q142&gt;=88,"D1",IF(Q142&gt;=78,"D2","D3")),IF(E142="Later / requirements","L","Legacy")))</x:f>
        <x:v>Legacy</x:v>
      </x:c>
      <x:c r="G142" s="14" t="str">
        <x:v>blockmaster.com.ua</x:v>
      </x:c>
      <x:c r="H142" s="14" t="str">
        <x:v>Перекваліфікувати</x:v>
      </x:c>
      <x:c r="I142" s="16" t="str"/>
      <x:c r="J142" s="16" t="str"/>
      <x:c r="K142" s="16" t="str"/>
      <x:c r="L142" s="16" t="str"/>
      <x:c r="M142" s="16" t="str"/>
      <x:c r="N142" s="16" t="str"/>
      <x:c r="O142" s="16" t="str"/>
      <x:c r="P142" s="16" t="str">
        <x:f>IF(COUNT(I142:O142)&lt;7,"",I142*8+J142*3+K142*2+L142*2+M142*2+N142*2+O142)</x:f>
      </x:c>
      <x:c r="Q142" s="16" t="str">
        <x:f>IF(COUNT(J142:O142)&lt;6,"",J142*5+K142*4+M142*4+L142*3+N142*2+O142*2)</x:f>
      </x:c>
      <x:c r="R142" s="14" t="str">
        <x:v>low</x:v>
      </x:c>
      <x:c r="S142" s="14" t="str">
        <x:v>needs_full_reverification</x:v>
      </x:c>
      <x:c r="T142" s="14" t="str">
        <x:v>legacy_not_reverified</x:v>
      </x:c>
      <x:c r="U142" s="14" t="str">
        <x:v>Потрібна повторна перевірка</x:v>
      </x:c>
      <x:c r="V142" s="15" t="str">
        <x:v>Повністю перевірити сайт і поточний проєкт перед контактом</x:v>
      </x:c>
      <x:c r="W142" s="15" t="str">
        <x:v>Власник / директор; керівник ПТО</x:v>
      </x:c>
      <x:c r="X142" s="15" t="str">
        <x:v>Legacy-запис потребує повторної публічної перевірки.</x:v>
      </x:c>
      <x:c r="Y142" s="15" t="str">
        <x:v>Уточнити, які етапи та докази стають недоступними після закриття робіт.</x:v>
      </x:c>
      <x:c r="Z142" s="15" t="str">
        <x:v>https://blockmaster.com.ua</x:v>
      </x:c>
      <x:c r="AA142" s="14" t="str">
        <x:v>36387055</x:v>
      </x:c>
      <x:c r="AB142" s="14" t="str"/>
      <x:c r="AC142" s="14" t="str">
        <x:v>Олександр</x:v>
      </x:c>
      <x:c r="AD142" s="18" t="str"/>
      <x:c r="AE142" s="14" t="str"/>
    </x:row>
    <x:row r="143">
      <x:c r="A143" s="14" t="str">
        <x:v>V2-004</x:v>
      </x:c>
      <x:c r="B143" s="14" t="str">
        <x:v>Legacy 28</x:v>
      </x:c>
      <x:c r="C143" s="14" t="str">
        <x:v>ІБК «Енергокапітал»</x:v>
      </x:c>
      <x:c r="D143" s="14" t="str">
        <x:v>Електромонтаж</x:v>
      </x:c>
      <x:c r="E143" s="14" t="str">
        <x:v>Requalify</x:v>
      </x:c>
      <x:c r="F143" s="17" t="str">
        <x:f>IF(E143="Pilot now",IF(P143&gt;=84,"P1",IF(P143&gt;=72,"P2","P3")),IF(E143="Expansion discovery",IF(Q143&gt;=88,"D1",IF(Q143&gt;=78,"D2","D3")),IF(E143="Later / requirements","L","Legacy")))</x:f>
        <x:v>Legacy</x:v>
      </x:c>
      <x:c r="G143" s="14" t="str">
        <x:v>ibkenergo.com.ua</x:v>
      </x:c>
      <x:c r="H143" s="14" t="str">
        <x:v>Перекваліфікувати</x:v>
      </x:c>
      <x:c r="I143" s="16" t="str"/>
      <x:c r="J143" s="16" t="str"/>
      <x:c r="K143" s="16" t="str"/>
      <x:c r="L143" s="16" t="str"/>
      <x:c r="M143" s="16" t="str"/>
      <x:c r="N143" s="16" t="str"/>
      <x:c r="O143" s="16" t="str"/>
      <x:c r="P143" s="16" t="str">
        <x:f>IF(COUNT(I143:O143)&lt;7,"",I143*8+J143*3+K143*2+L143*2+M143*2+N143*2+O143)</x:f>
      </x:c>
      <x:c r="Q143" s="16" t="str">
        <x:f>IF(COUNT(J143:O143)&lt;6,"",J143*5+K143*4+M143*4+L143*3+N143*2+O143*2)</x:f>
      </x:c>
      <x:c r="R143" s="14" t="str">
        <x:v>low</x:v>
      </x:c>
      <x:c r="S143" s="14" t="str">
        <x:v>needs_full_reverification</x:v>
      </x:c>
      <x:c r="T143" s="14" t="str">
        <x:v>legacy_not_reverified</x:v>
      </x:c>
      <x:c r="U143" s="14" t="str">
        <x:v>Потрібна повторна перевірка</x:v>
      </x:c>
      <x:c r="V143" s="15" t="str">
        <x:v>Повністю перевірити сайт і поточний проєкт перед контактом</x:v>
      </x:c>
      <x:c r="W143" s="15" t="str">
        <x:v>Власник / директор; керівник ПТО</x:v>
      </x:c>
      <x:c r="X143" s="15" t="str">
        <x:v>Legacy-запис потребує повторної публічної перевірки.</x:v>
      </x:c>
      <x:c r="Y143" s="15" t="str">
        <x:v>Уточнити, які етапи та докази стають недоступними після закриття робіт.</x:v>
      </x:c>
      <x:c r="Z143" s="15" t="str">
        <x:v>https://ibkenergo.com.ua</x:v>
      </x:c>
      <x:c r="AA143" s="14" t="str">
        <x:v>39001787</x:v>
      </x:c>
      <x:c r="AB143" s="14" t="str"/>
      <x:c r="AC143" s="14" t="str">
        <x:v>Олександр</x:v>
      </x:c>
      <x:c r="AD143" s="18" t="str"/>
      <x:c r="AE143" s="14" t="str"/>
    </x:row>
    <x:row r="144">
      <x:c r="A144" s="14" t="str">
        <x:v>V2-016</x:v>
      </x:c>
      <x:c r="B144" s="14" t="str">
        <x:v>Legacy 28</x:v>
      </x:c>
      <x:c r="C144" s="14" t="str">
        <x:v>Компанія «РЕЙДЕН»</x:v>
      </x:c>
      <x:c r="D144" s="14" t="str">
        <x:v>Електромонтаж</x:v>
      </x:c>
      <x:c r="E144" s="14" t="str">
        <x:v>Requalify</x:v>
      </x:c>
      <x:c r="F144" s="17" t="str">
        <x:f>IF(E144="Pilot now",IF(P144&gt;=84,"P1",IF(P144&gt;=72,"P2","P3")),IF(E144="Expansion discovery",IF(Q144&gt;=88,"D1",IF(Q144&gt;=78,"D2","D3")),IF(E144="Later / requirements","L","Legacy")))</x:f>
        <x:v>Legacy</x:v>
      </x:c>
      <x:c r="G144" s="14" t="str">
        <x:v>raiden.com.ua</x:v>
      </x:c>
      <x:c r="H144" s="14" t="str">
        <x:v>Перекваліфікувати</x:v>
      </x:c>
      <x:c r="I144" s="16" t="str"/>
      <x:c r="J144" s="16" t="str"/>
      <x:c r="K144" s="16" t="str"/>
      <x:c r="L144" s="16" t="str"/>
      <x:c r="M144" s="16" t="str"/>
      <x:c r="N144" s="16" t="str"/>
      <x:c r="O144" s="16" t="str"/>
      <x:c r="P144" s="16" t="str">
        <x:f>IF(COUNT(I144:O144)&lt;7,"",I144*8+J144*3+K144*2+L144*2+M144*2+N144*2+O144)</x:f>
      </x:c>
      <x:c r="Q144" s="16" t="str">
        <x:f>IF(COUNT(J144:O144)&lt;6,"",J144*5+K144*4+M144*4+L144*3+N144*2+O144*2)</x:f>
      </x:c>
      <x:c r="R144" s="14" t="str">
        <x:v>low</x:v>
      </x:c>
      <x:c r="S144" s="14" t="str">
        <x:v>needs_full_reverification</x:v>
      </x:c>
      <x:c r="T144" s="14" t="str">
        <x:v>legacy_not_reverified</x:v>
      </x:c>
      <x:c r="U144" s="14" t="str">
        <x:v>Потрібна повторна перевірка</x:v>
      </x:c>
      <x:c r="V144" s="15" t="str">
        <x:v>Повністю перевірити сайт і поточний проєкт перед контактом</x:v>
      </x:c>
      <x:c r="W144" s="15" t="str">
        <x:v>Власник / директор; керівник ПТО</x:v>
      </x:c>
      <x:c r="X144" s="15" t="str">
        <x:v>Legacy-запис потребує повторної публічної перевірки.</x:v>
      </x:c>
      <x:c r="Y144" s="15" t="str">
        <x:v>Уточнити, які етапи та докази стають недоступними після закриття робіт.</x:v>
      </x:c>
      <x:c r="Z144" s="15" t="str">
        <x:v>https://raiden.com.ua</x:v>
      </x:c>
      <x:c r="AA144" s="14" t="str">
        <x:v>41162259</x:v>
      </x:c>
      <x:c r="AB144" s="14" t="str"/>
      <x:c r="AC144" s="14" t="str">
        <x:v>Олександр</x:v>
      </x:c>
      <x:c r="AD144" s="18" t="str"/>
      <x:c r="AE144" s="14" t="str"/>
    </x:row>
    <x:row r="145">
      <x:c r="A145" s="14" t="str">
        <x:v>V2-002</x:v>
      </x:c>
      <x:c r="B145" s="14" t="str">
        <x:v>Legacy 28</x:v>
      </x:c>
      <x:c r="C145" s="14" t="str">
        <x:v>НВП «Інтеренерго»</x:v>
      </x:c>
      <x:c r="D145" s="14" t="str">
        <x:v>Сервіс / експлуатація</x:v>
      </x:c>
      <x:c r="E145" s="14" t="str">
        <x:v>Requalify</x:v>
      </x:c>
      <x:c r="F145" s="17" t="str">
        <x:f>IF(E145="Pilot now",IF(P145&gt;=84,"P1",IF(P145&gt;=72,"P2","P3")),IF(E145="Expansion discovery",IF(Q145&gt;=88,"D1",IF(Q145&gt;=78,"D2","D3")),IF(E145="Later / requirements","L","Legacy")))</x:f>
        <x:v>Legacy</x:v>
      </x:c>
      <x:c r="G145" s="14" t="str">
        <x:v>interenergo.net</x:v>
      </x:c>
      <x:c r="H145" s="14" t="str">
        <x:v>Перекваліфікувати</x:v>
      </x:c>
      <x:c r="I145" s="16" t="str"/>
      <x:c r="J145" s="16" t="str"/>
      <x:c r="K145" s="16" t="str"/>
      <x:c r="L145" s="16" t="str"/>
      <x:c r="M145" s="16" t="str"/>
      <x:c r="N145" s="16" t="str"/>
      <x:c r="O145" s="16" t="str"/>
      <x:c r="P145" s="16" t="str">
        <x:f>IF(COUNT(I145:O145)&lt;7,"",I145*8+J145*3+K145*2+L145*2+M145*2+N145*2+O145)</x:f>
      </x:c>
      <x:c r="Q145" s="16" t="str">
        <x:f>IF(COUNT(J145:O145)&lt;6,"",J145*5+K145*4+M145*4+L145*3+N145*2+O145*2)</x:f>
      </x:c>
      <x:c r="R145" s="14" t="str">
        <x:v>low</x:v>
      </x:c>
      <x:c r="S145" s="14" t="str">
        <x:v>needs_full_reverification</x:v>
      </x:c>
      <x:c r="T145" s="14" t="str">
        <x:v>legacy_not_reverified</x:v>
      </x:c>
      <x:c r="U145" s="14" t="str">
        <x:v>Потрібна повторна перевірка</x:v>
      </x:c>
      <x:c r="V145" s="15" t="str">
        <x:v>Повністю перевірити сайт і поточний проєкт перед контактом</x:v>
      </x:c>
      <x:c r="W145" s="15" t="str">
        <x:v>Власник / директор; керівник ПТО</x:v>
      </x:c>
      <x:c r="X145" s="15" t="str">
        <x:v>Legacy-запис потребує повторної публічної перевірки.</x:v>
      </x:c>
      <x:c r="Y145" s="15" t="str">
        <x:v>Уточнити, які етапи та докази стають недоступними після закриття робіт.</x:v>
      </x:c>
      <x:c r="Z145" s="15" t="str">
        <x:v>https://interenergo.net</x:v>
      </x:c>
      <x:c r="AA145" s="14" t="str">
        <x:v>33291690</x:v>
      </x:c>
      <x:c r="AB145" s="14" t="str"/>
      <x:c r="AC145" s="14" t="str">
        <x:v>Олександр</x:v>
      </x:c>
      <x:c r="AD145" s="18" t="str"/>
      <x:c r="AE145" s="14" t="str"/>
    </x:row>
    <x:row r="146">
      <x:c r="A146" s="14" t="str">
        <x:v>V2-008</x:v>
      </x:c>
      <x:c r="B146" s="14" t="str">
        <x:v>Legacy 28</x:v>
      </x:c>
      <x:c r="C146" s="14" t="str">
        <x:v>Правильне Електроживлення</x:v>
      </x:c>
      <x:c r="D146" s="14" t="str">
        <x:v>Сонячна енергетика</x:v>
      </x:c>
      <x:c r="E146" s="14" t="str">
        <x:v>Requalify</x:v>
      </x:c>
      <x:c r="F146" s="17" t="str">
        <x:f>IF(E146="Pilot now",IF(P146&gt;=84,"P1",IF(P146&gt;=72,"P2","P3")),IF(E146="Expansion discovery",IF(Q146&gt;=88,"D1",IF(Q146&gt;=78,"D2","D3")),IF(E146="Later / requirements","L","Legacy")))</x:f>
        <x:v>Legacy</x:v>
      </x:c>
      <x:c r="G146" s="14" t="str">
        <x:v>sun-energy.com.ua</x:v>
      </x:c>
      <x:c r="H146" s="14" t="str">
        <x:v>Перекваліфікувати</x:v>
      </x:c>
      <x:c r="I146" s="16" t="str"/>
      <x:c r="J146" s="16" t="str"/>
      <x:c r="K146" s="16" t="str"/>
      <x:c r="L146" s="16" t="str"/>
      <x:c r="M146" s="16" t="str"/>
      <x:c r="N146" s="16" t="str"/>
      <x:c r="O146" s="16" t="str"/>
      <x:c r="P146" s="16" t="str">
        <x:f>IF(COUNT(I146:O146)&lt;7,"",I146*8+J146*3+K146*2+L146*2+M146*2+N146*2+O146)</x:f>
      </x:c>
      <x:c r="Q146" s="16" t="str">
        <x:f>IF(COUNT(J146:O146)&lt;6,"",J146*5+K146*4+M146*4+L146*3+N146*2+O146*2)</x:f>
      </x:c>
      <x:c r="R146" s="14" t="str">
        <x:v>low</x:v>
      </x:c>
      <x:c r="S146" s="14" t="str">
        <x:v>needs_full_reverification</x:v>
      </x:c>
      <x:c r="T146" s="14" t="str">
        <x:v>legacy_not_reverified</x:v>
      </x:c>
      <x:c r="U146" s="14" t="str">
        <x:v>Потрібна повторна перевірка</x:v>
      </x:c>
      <x:c r="V146" s="15" t="str">
        <x:v>Повністю перевірити сайт і поточний проєкт перед контактом</x:v>
      </x:c>
      <x:c r="W146" s="15" t="str">
        <x:v>Власник / директор; керівник ПТО</x:v>
      </x:c>
      <x:c r="X146" s="15" t="str">
        <x:v>Legacy-запис потребує повторної публічної перевірки.</x:v>
      </x:c>
      <x:c r="Y146" s="15" t="str">
        <x:v>Уточнити, які етапи та докази стають недоступними після закриття робіт.</x:v>
      </x:c>
      <x:c r="Z146" s="15" t="str">
        <x:v>https://sun-energy.com.ua</x:v>
      </x:c>
      <x:c r="AA146" s="14" t="str"/>
      <x:c r="AB146" s="14" t="str"/>
      <x:c r="AC146" s="14" t="str">
        <x:v>Олександр</x:v>
      </x:c>
      <x:c r="AD146" s="18" t="str"/>
      <x:c r="AE146" s="14" t="str"/>
    </x:row>
    <x:row r="147">
      <x:c r="A147" s="14" t="str">
        <x:v>V2-027</x:v>
      </x:c>
      <x:c r="B147" s="14" t="str">
        <x:v>Legacy 28</x:v>
      </x:c>
      <x:c r="C147" s="14" t="str">
        <x:v>ПРИВАТНЕ ПІДПРИЄМСТВО "ЗАХІДЕНЕРГОМОНТАЖ"</x:v>
      </x:c>
      <x:c r="D147" s="14" t="str">
        <x:v>Електромонтаж</x:v>
      </x:c>
      <x:c r="E147" s="14" t="str">
        <x:v>Requalify</x:v>
      </x:c>
      <x:c r="F147" s="17" t="str">
        <x:f>IF(E147="Pilot now",IF(P147&gt;=84,"P1",IF(P147&gt;=72,"P2","P3")),IF(E147="Expansion discovery",IF(Q147&gt;=88,"D1",IF(Q147&gt;=78,"D2","D3")),IF(E147="Later / requirements","L","Legacy")))</x:f>
        <x:v>Legacy</x:v>
      </x:c>
      <x:c r="G147" s="14" t="str">
        <x:v>zem-energo.com.ua</x:v>
      </x:c>
      <x:c r="H147" s="14" t="str">
        <x:v>Перекваліфікувати</x:v>
      </x:c>
      <x:c r="I147" s="16" t="str"/>
      <x:c r="J147" s="16" t="str"/>
      <x:c r="K147" s="16" t="str"/>
      <x:c r="L147" s="16" t="str"/>
      <x:c r="M147" s="16" t="str"/>
      <x:c r="N147" s="16" t="str"/>
      <x:c r="O147" s="16" t="str"/>
      <x:c r="P147" s="16" t="str">
        <x:f>IF(COUNT(I147:O147)&lt;7,"",I147*8+J147*3+K147*2+L147*2+M147*2+N147*2+O147)</x:f>
      </x:c>
      <x:c r="Q147" s="16" t="str">
        <x:f>IF(COUNT(J147:O147)&lt;6,"",J147*5+K147*4+M147*4+L147*3+N147*2+O147*2)</x:f>
      </x:c>
      <x:c r="R147" s="14" t="str">
        <x:v>low</x:v>
      </x:c>
      <x:c r="S147" s="14" t="str">
        <x:v>needs_full_reverification</x:v>
      </x:c>
      <x:c r="T147" s="14" t="str">
        <x:v>legacy_not_reverified</x:v>
      </x:c>
      <x:c r="U147" s="14" t="str">
        <x:v>Потрібна повторна перевірка</x:v>
      </x:c>
      <x:c r="V147" s="15" t="str">
        <x:v>Повністю перевірити сайт і поточний проєкт перед контактом</x:v>
      </x:c>
      <x:c r="W147" s="15" t="str">
        <x:v>Власник / директор; керівник ПТО</x:v>
      </x:c>
      <x:c r="X147" s="15" t="str">
        <x:v>Legacy-запис потребує повторної публічної перевірки.</x:v>
      </x:c>
      <x:c r="Y147" s="15" t="str">
        <x:v>Уточнити, які етапи та докази стають недоступними після закриття робіт.</x:v>
      </x:c>
      <x:c r="Z147" s="15" t="str">
        <x:v>https://zem-energo.com.ua</x:v>
      </x:c>
      <x:c r="AA147" s="14" t="str">
        <x:v>36404211</x:v>
      </x:c>
      <x:c r="AB147" s="14" t="str"/>
      <x:c r="AC147" s="14" t="str">
        <x:v>Олександр</x:v>
      </x:c>
      <x:c r="AD147" s="18" t="str"/>
      <x:c r="AE147" s="14" t="str"/>
    </x:row>
    <x:row r="148">
      <x:c r="A148" s="14" t="str">
        <x:v>V2-026</x:v>
      </x:c>
      <x:c r="B148" s="14" t="str">
        <x:v>Legacy 28</x:v>
      </x:c>
      <x:c r="C148" s="14" t="str">
        <x:v>ПРИВАТНЕ ПІДПРИЄМСТВО "ПОЖМАСТЕР"</x:v>
      </x:c>
      <x:c r="D148" s="14" t="str">
        <x:v>Слаботочні системи</x:v>
      </x:c>
      <x:c r="E148" s="14" t="str">
        <x:v>Requalify</x:v>
      </x:c>
      <x:c r="F148" s="17" t="str">
        <x:f>IF(E148="Pilot now",IF(P148&gt;=84,"P1",IF(P148&gt;=72,"P2","P3")),IF(E148="Expansion discovery",IF(Q148&gt;=88,"D1",IF(Q148&gt;=78,"D2","D3")),IF(E148="Later / requirements","L","Legacy")))</x:f>
        <x:v>Legacy</x:v>
      </x:c>
      <x:c r="G148" s="14" t="str">
        <x:v>pozhmaster.com.ua</x:v>
      </x:c>
      <x:c r="H148" s="14" t="str">
        <x:v>Перекваліфікувати</x:v>
      </x:c>
      <x:c r="I148" s="16" t="str"/>
      <x:c r="J148" s="16" t="str"/>
      <x:c r="K148" s="16" t="str"/>
      <x:c r="L148" s="16" t="str"/>
      <x:c r="M148" s="16" t="str"/>
      <x:c r="N148" s="16" t="str"/>
      <x:c r="O148" s="16" t="str"/>
      <x:c r="P148" s="16" t="str">
        <x:f>IF(COUNT(I148:O148)&lt;7,"",I148*8+J148*3+K148*2+L148*2+M148*2+N148*2+O148)</x:f>
      </x:c>
      <x:c r="Q148" s="16" t="str">
        <x:f>IF(COUNT(J148:O148)&lt;6,"",J148*5+K148*4+M148*4+L148*3+N148*2+O148*2)</x:f>
      </x:c>
      <x:c r="R148" s="14" t="str">
        <x:v>low</x:v>
      </x:c>
      <x:c r="S148" s="14" t="str">
        <x:v>needs_full_reverification</x:v>
      </x:c>
      <x:c r="T148" s="14" t="str">
        <x:v>legacy_not_reverified</x:v>
      </x:c>
      <x:c r="U148" s="14" t="str">
        <x:v>Потрібна повторна перевірка</x:v>
      </x:c>
      <x:c r="V148" s="15" t="str">
        <x:v>Повністю перевірити сайт і поточний проєкт перед контактом</x:v>
      </x:c>
      <x:c r="W148" s="15" t="str">
        <x:v>Власник / директор; керівник ПТО</x:v>
      </x:c>
      <x:c r="X148" s="15" t="str">
        <x:v>Legacy-запис потребує повторної публічної перевірки.</x:v>
      </x:c>
      <x:c r="Y148" s="15" t="str">
        <x:v>Уточнити, які етапи та докази стають недоступними після закриття робіт.</x:v>
      </x:c>
      <x:c r="Z148" s="15" t="str">
        <x:v>https://pozhmaster.com.ua</x:v>
      </x:c>
      <x:c r="AA148" s="14" t="str">
        <x:v>36326591</x:v>
      </x:c>
      <x:c r="AB148" s="14" t="str"/>
      <x:c r="AC148" s="14" t="str">
        <x:v>Олександр</x:v>
      </x:c>
      <x:c r="AD148" s="18" t="str"/>
      <x:c r="AE148" s="14" t="str"/>
    </x:row>
    <x:row r="149">
      <x:c r="A149" s="14" t="str">
        <x:v>V2-012</x:v>
      </x:c>
      <x:c r="B149" s="14" t="str">
        <x:v>Legacy 28</x:v>
      </x:c>
      <x:c r="C149" s="14" t="str">
        <x:v>Променергомонтаж</x:v>
      </x:c>
      <x:c r="D149" s="14" t="str">
        <x:v>Сонячна енергетика</x:v>
      </x:c>
      <x:c r="E149" s="14" t="str">
        <x:v>Requalify</x:v>
      </x:c>
      <x:c r="F149" s="17" t="str">
        <x:f>IF(E149="Pilot now",IF(P149&gt;=84,"P1",IF(P149&gt;=72,"P2","P3")),IF(E149="Expansion discovery",IF(Q149&gt;=88,"D1",IF(Q149&gt;=78,"D2","D3")),IF(E149="Later / requirements","L","Legacy")))</x:f>
        <x:v>Legacy</x:v>
      </x:c>
      <x:c r="G149" s="14" t="str">
        <x:v>promenergo.com.ua</x:v>
      </x:c>
      <x:c r="H149" s="14" t="str">
        <x:v>Перекваліфікувати</x:v>
      </x:c>
      <x:c r="I149" s="16" t="str"/>
      <x:c r="J149" s="16" t="str"/>
      <x:c r="K149" s="16" t="str"/>
      <x:c r="L149" s="16" t="str"/>
      <x:c r="M149" s="16" t="str"/>
      <x:c r="N149" s="16" t="str"/>
      <x:c r="O149" s="16" t="str"/>
      <x:c r="P149" s="16" t="str">
        <x:f>IF(COUNT(I149:O149)&lt;7,"",I149*8+J149*3+K149*2+L149*2+M149*2+N149*2+O149)</x:f>
      </x:c>
      <x:c r="Q149" s="16" t="str">
        <x:f>IF(COUNT(J149:O149)&lt;6,"",J149*5+K149*4+M149*4+L149*3+N149*2+O149*2)</x:f>
      </x:c>
      <x:c r="R149" s="14" t="str">
        <x:v>low</x:v>
      </x:c>
      <x:c r="S149" s="14" t="str">
        <x:v>needs_full_reverification</x:v>
      </x:c>
      <x:c r="T149" s="14" t="str">
        <x:v>legacy_not_reverified</x:v>
      </x:c>
      <x:c r="U149" s="14" t="str">
        <x:v>Потрібна повторна перевірка</x:v>
      </x:c>
      <x:c r="V149" s="15" t="str">
        <x:v>Повністю перевірити сайт і поточний проєкт перед контактом</x:v>
      </x:c>
      <x:c r="W149" s="15" t="str">
        <x:v>Власник / директор; керівник ПТО</x:v>
      </x:c>
      <x:c r="X149" s="15" t="str">
        <x:v>Legacy-запис потребує повторної публічної перевірки.</x:v>
      </x:c>
      <x:c r="Y149" s="15" t="str">
        <x:v>Уточнити, які етапи та докази стають недоступними після закриття робіт.</x:v>
      </x:c>
      <x:c r="Z149" s="15" t="str">
        <x:v>https://promenergo.com.ua</x:v>
      </x:c>
      <x:c r="AA149" s="14" t="str"/>
      <x:c r="AB149" s="14" t="str"/>
      <x:c r="AC149" s="14" t="str">
        <x:v>Олександр</x:v>
      </x:c>
      <x:c r="AD149" s="18" t="str"/>
      <x:c r="AE149" s="14" t="str"/>
    </x:row>
    <x:row r="150">
      <x:c r="A150" s="14" t="str">
        <x:v>V2-019</x:v>
      </x:c>
      <x:c r="B150" s="14" t="str">
        <x:v>Legacy 28</x:v>
      </x:c>
      <x:c r="C150" s="14" t="str">
        <x:v>Протипожежна компанія «Брандмауер» (РПТБ)</x:v>
      </x:c>
      <x:c r="D150" s="14" t="str">
        <x:v>Слаботочні системи</x:v>
      </x:c>
      <x:c r="E150" s="14" t="str">
        <x:v>Requalify</x:v>
      </x:c>
      <x:c r="F150" s="17" t="str">
        <x:f>IF(E150="Pilot now",IF(P150&gt;=84,"P1",IF(P150&gt;=72,"P2","P3")),IF(E150="Expansion discovery",IF(Q150&gt;=88,"D1",IF(Q150&gt;=78,"D2","D3")),IF(E150="Later / requirements","L","Legacy")))</x:f>
        <x:v>Legacy</x:v>
      </x:c>
      <x:c r="G150" s="14" t="str">
        <x:v>brandmauer.com.ua</x:v>
      </x:c>
      <x:c r="H150" s="14" t="str">
        <x:v>Перекваліфікувати</x:v>
      </x:c>
      <x:c r="I150" s="16" t="str"/>
      <x:c r="J150" s="16" t="str"/>
      <x:c r="K150" s="16" t="str"/>
      <x:c r="L150" s="16" t="str"/>
      <x:c r="M150" s="16" t="str"/>
      <x:c r="N150" s="16" t="str"/>
      <x:c r="O150" s="16" t="str"/>
      <x:c r="P150" s="16" t="str">
        <x:f>IF(COUNT(I150:O150)&lt;7,"",I150*8+J150*3+K150*2+L150*2+M150*2+N150*2+O150)</x:f>
      </x:c>
      <x:c r="Q150" s="16" t="str">
        <x:f>IF(COUNT(J150:O150)&lt;6,"",J150*5+K150*4+M150*4+L150*3+N150*2+O150*2)</x:f>
      </x:c>
      <x:c r="R150" s="14" t="str">
        <x:v>low</x:v>
      </x:c>
      <x:c r="S150" s="14" t="str">
        <x:v>needs_full_reverification</x:v>
      </x:c>
      <x:c r="T150" s="14" t="str">
        <x:v>legacy_not_reverified</x:v>
      </x:c>
      <x:c r="U150" s="14" t="str">
        <x:v>Потрібна повторна перевірка</x:v>
      </x:c>
      <x:c r="V150" s="15" t="str">
        <x:v>Повністю перевірити сайт і поточний проєкт перед контактом</x:v>
      </x:c>
      <x:c r="W150" s="15" t="str">
        <x:v>Власник / директор; керівник ПТО</x:v>
      </x:c>
      <x:c r="X150" s="15" t="str">
        <x:v>Legacy-запис потребує повторної публічної перевірки.</x:v>
      </x:c>
      <x:c r="Y150" s="15" t="str">
        <x:v>Уточнити, які етапи та докази стають недоступними після закриття робіт.</x:v>
      </x:c>
      <x:c r="Z150" s="15" t="str">
        <x:v>https://brandmauer.com.ua</x:v>
      </x:c>
      <x:c r="AA150" s="14" t="str">
        <x:v>42033798</x:v>
      </x:c>
      <x:c r="AB150" s="14" t="str"/>
      <x:c r="AC150" s="14" t="str">
        <x:v>Олександр</x:v>
      </x:c>
      <x:c r="AD150" s="18" t="str"/>
      <x:c r="AE150" s="14" t="str"/>
    </x:row>
    <x:row r="151">
      <x:c r="A151" s="14" t="str">
        <x:v>V2-022</x:v>
      </x:c>
      <x:c r="B151" s="14" t="str">
        <x:v>Legacy 28</x:v>
      </x:c>
      <x:c r="C151" s="14" t="str">
        <x:v>ТзОВ «Проектлінк»</x:v>
      </x:c>
      <x:c r="D151" s="14" t="str">
        <x:v>Електромонтаж</x:v>
      </x:c>
      <x:c r="E151" s="14" t="str">
        <x:v>Requalify</x:v>
      </x:c>
      <x:c r="F151" s="17" t="str">
        <x:f>IF(E151="Pilot now",IF(P151&gt;=84,"P1",IF(P151&gt;=72,"P2","P3")),IF(E151="Expansion discovery",IF(Q151&gt;=88,"D1",IF(Q151&gt;=78,"D2","D3")),IF(E151="Later / requirements","L","Legacy")))</x:f>
        <x:v>Legacy</x:v>
      </x:c>
      <x:c r="G151" s="14" t="str">
        <x:v>proekt.link</x:v>
      </x:c>
      <x:c r="H151" s="14" t="str">
        <x:v>Перекваліфікувати</x:v>
      </x:c>
      <x:c r="I151" s="16" t="str"/>
      <x:c r="J151" s="16" t="str"/>
      <x:c r="K151" s="16" t="str"/>
      <x:c r="L151" s="16" t="str"/>
      <x:c r="M151" s="16" t="str"/>
      <x:c r="N151" s="16" t="str"/>
      <x:c r="O151" s="16" t="str"/>
      <x:c r="P151" s="16" t="str">
        <x:f>IF(COUNT(I151:O151)&lt;7,"",I151*8+J151*3+K151*2+L151*2+M151*2+N151*2+O151)</x:f>
      </x:c>
      <x:c r="Q151" s="16" t="str">
        <x:f>IF(COUNT(J151:O151)&lt;6,"",J151*5+K151*4+M151*4+L151*3+N151*2+O151*2)</x:f>
      </x:c>
      <x:c r="R151" s="14" t="str">
        <x:v>low</x:v>
      </x:c>
      <x:c r="S151" s="14" t="str">
        <x:v>needs_full_reverification</x:v>
      </x:c>
      <x:c r="T151" s="14" t="str">
        <x:v>legacy_not_reverified</x:v>
      </x:c>
      <x:c r="U151" s="14" t="str">
        <x:v>Потрібна повторна перевірка</x:v>
      </x:c>
      <x:c r="V151" s="15" t="str">
        <x:v>Повністю перевірити сайт і поточний проєкт перед контактом</x:v>
      </x:c>
      <x:c r="W151" s="15" t="str">
        <x:v>Власник / директор; керівник ПТО</x:v>
      </x:c>
      <x:c r="X151" s="15" t="str">
        <x:v>Legacy-запис потребує повторної публічної перевірки.</x:v>
      </x:c>
      <x:c r="Y151" s="15" t="str">
        <x:v>Уточнити, які етапи та докази стають недоступними після закриття робіт.</x:v>
      </x:c>
      <x:c r="Z151" s="15" t="str">
        <x:v>https://proekt.link</x:v>
      </x:c>
      <x:c r="AA151" s="14" t="str">
        <x:v>42162731</x:v>
      </x:c>
      <x:c r="AB151" s="14" t="str"/>
      <x:c r="AC151" s="14" t="str">
        <x:v>Олександр</x:v>
      </x:c>
      <x:c r="AD151" s="18" t="str"/>
      <x:c r="AE151" s="14" t="str"/>
    </x:row>
    <x:row r="152">
      <x:c r="A152" s="14" t="str">
        <x:v>V2-011</x:v>
      </x:c>
      <x:c r="B152" s="14" t="str">
        <x:v>Legacy 28</x:v>
      </x:c>
      <x:c r="C152" s="14" t="str">
        <x:v>ТОВ «Авенстон»</x:v>
      </x:c>
      <x:c r="D152" s="14" t="str">
        <x:v>Сонячна енергетика</x:v>
      </x:c>
      <x:c r="E152" s="14" t="str">
        <x:v>Requalify</x:v>
      </x:c>
      <x:c r="F152" s="17" t="str">
        <x:f>IF(E152="Pilot now",IF(P152&gt;=84,"P1",IF(P152&gt;=72,"P2","P3")),IF(E152="Expansion discovery",IF(Q152&gt;=88,"D1",IF(Q152&gt;=78,"D2","D3")),IF(E152="Later / requirements","L","Legacy")))</x:f>
        <x:v>Legacy</x:v>
      </x:c>
      <x:c r="G152" s="14" t="str">
        <x:v>avenston.com</x:v>
      </x:c>
      <x:c r="H152" s="14" t="str">
        <x:v>Перекваліфікувати</x:v>
      </x:c>
      <x:c r="I152" s="16" t="str"/>
      <x:c r="J152" s="16" t="str"/>
      <x:c r="K152" s="16" t="str"/>
      <x:c r="L152" s="16" t="str"/>
      <x:c r="M152" s="16" t="str"/>
      <x:c r="N152" s="16" t="str"/>
      <x:c r="O152" s="16" t="str"/>
      <x:c r="P152" s="16" t="str">
        <x:f>IF(COUNT(I152:O152)&lt;7,"",I152*8+J152*3+K152*2+L152*2+M152*2+N152*2+O152)</x:f>
      </x:c>
      <x:c r="Q152" s="16" t="str">
        <x:f>IF(COUNT(J152:O152)&lt;6,"",J152*5+K152*4+M152*4+L152*3+N152*2+O152*2)</x:f>
      </x:c>
      <x:c r="R152" s="14" t="str">
        <x:v>low</x:v>
      </x:c>
      <x:c r="S152" s="14" t="str">
        <x:v>needs_full_reverification</x:v>
      </x:c>
      <x:c r="T152" s="14" t="str">
        <x:v>legacy_not_reverified</x:v>
      </x:c>
      <x:c r="U152" s="14" t="str">
        <x:v>Потрібна повторна перевірка</x:v>
      </x:c>
      <x:c r="V152" s="15" t="str">
        <x:v>Повністю перевірити сайт і поточний проєкт перед контактом</x:v>
      </x:c>
      <x:c r="W152" s="15" t="str">
        <x:v>Власник / директор; керівник ПТО</x:v>
      </x:c>
      <x:c r="X152" s="15" t="str">
        <x:v>Legacy-запис потребує повторної публічної перевірки.</x:v>
      </x:c>
      <x:c r="Y152" s="15" t="str">
        <x:v>Уточнити, які етапи та докази стають недоступними після закриття робіт.</x:v>
      </x:c>
      <x:c r="Z152" s="15" t="str">
        <x:v>https://avenston.com</x:v>
      </x:c>
      <x:c r="AA152" s="14" t="str"/>
      <x:c r="AB152" s="14" t="str"/>
      <x:c r="AC152" s="14" t="str">
        <x:v>Олександр</x:v>
      </x:c>
      <x:c r="AD152" s="18" t="str"/>
      <x:c r="AE152" s="14" t="str"/>
    </x:row>
    <x:row r="153">
      <x:c r="A153" s="14" t="str">
        <x:v>V2-024</x:v>
      </x:c>
      <x:c r="B153" s="14" t="str">
        <x:v>Legacy 28</x:v>
      </x:c>
      <x:c r="C153" s="14" t="str">
        <x:v>ТОВ «Агроремсервісприлад-М»</x:v>
      </x:c>
      <x:c r="D153" s="14" t="str">
        <x:v>Сервіс / експлуатація</x:v>
      </x:c>
      <x:c r="E153" s="14" t="str">
        <x:v>Requalify</x:v>
      </x:c>
      <x:c r="F153" s="17" t="str">
        <x:f>IF(E153="Pilot now",IF(P153&gt;=84,"P1",IF(P153&gt;=72,"P2","P3")),IF(E153="Expansion discovery",IF(Q153&gt;=88,"D1",IF(Q153&gt;=78,"D2","D3")),IF(E153="Later / requirements","L","Legacy")))</x:f>
        <x:v>Legacy</x:v>
      </x:c>
      <x:c r="G153" s="14" t="str">
        <x:v>agroremservice.com.ua</x:v>
      </x:c>
      <x:c r="H153" s="14" t="str">
        <x:v>Перекваліфікувати</x:v>
      </x:c>
      <x:c r="I153" s="16" t="str"/>
      <x:c r="J153" s="16" t="str"/>
      <x:c r="K153" s="16" t="str"/>
      <x:c r="L153" s="16" t="str"/>
      <x:c r="M153" s="16" t="str"/>
      <x:c r="N153" s="16" t="str"/>
      <x:c r="O153" s="16" t="str"/>
      <x:c r="P153" s="16" t="str">
        <x:f>IF(COUNT(I153:O153)&lt;7,"",I153*8+J153*3+K153*2+L153*2+M153*2+N153*2+O153)</x:f>
      </x:c>
      <x:c r="Q153" s="16" t="str">
        <x:f>IF(COUNT(J153:O153)&lt;6,"",J153*5+K153*4+M153*4+L153*3+N153*2+O153*2)</x:f>
      </x:c>
      <x:c r="R153" s="14" t="str">
        <x:v>low</x:v>
      </x:c>
      <x:c r="S153" s="14" t="str">
        <x:v>needs_full_reverification</x:v>
      </x:c>
      <x:c r="T153" s="14" t="str">
        <x:v>legacy_not_reverified</x:v>
      </x:c>
      <x:c r="U153" s="14" t="str">
        <x:v>Потрібна повторна перевірка</x:v>
      </x:c>
      <x:c r="V153" s="15" t="str">
        <x:v>Повністю перевірити сайт і поточний проєкт перед контактом</x:v>
      </x:c>
      <x:c r="W153" s="15" t="str">
        <x:v>Власник / директор; керівник ПТО</x:v>
      </x:c>
      <x:c r="X153" s="15" t="str">
        <x:v>Legacy-запис потребує повторної публічної перевірки.</x:v>
      </x:c>
      <x:c r="Y153" s="15" t="str">
        <x:v>Уточнити, які етапи та докази стають недоступними після закриття робіт.</x:v>
      </x:c>
      <x:c r="Z153" s="15" t="str">
        <x:v>https://agroremservice.com.ua</x:v>
      </x:c>
      <x:c r="AA153" s="14" t="str">
        <x:v>45811436</x:v>
      </x:c>
      <x:c r="AB153" s="14" t="str"/>
      <x:c r="AC153" s="14" t="str">
        <x:v>Олександр</x:v>
      </x:c>
      <x:c r="AD153" s="18" t="str"/>
      <x:c r="AE153" s="14" t="str"/>
    </x:row>
    <x:row r="154">
      <x:c r="A154" s="14" t="str">
        <x:v>V2-009</x:v>
      </x:c>
      <x:c r="B154" s="14" t="str">
        <x:v>Legacy 28</x:v>
      </x:c>
      <x:c r="C154" s="14" t="str">
        <x:v>ТОВ «Академ Інвест»</x:v>
      </x:c>
      <x:c r="D154" s="14" t="str">
        <x:v>Сонячна енергетика</x:v>
      </x:c>
      <x:c r="E154" s="14" t="str">
        <x:v>Requalify</x:v>
      </x:c>
      <x:c r="F154" s="17" t="str">
        <x:f>IF(E154="Pilot now",IF(P154&gt;=84,"P1",IF(P154&gt;=72,"P2","P3")),IF(E154="Expansion discovery",IF(Q154&gt;=88,"D1",IF(Q154&gt;=78,"D2","D3")),IF(E154="Later / requirements","L","Legacy")))</x:f>
        <x:v>Legacy</x:v>
      </x:c>
      <x:c r="G154" s="14" t="str">
        <x:v>247energy.com.ua</x:v>
      </x:c>
      <x:c r="H154" s="14" t="str">
        <x:v>Перекваліфікувати</x:v>
      </x:c>
      <x:c r="I154" s="16" t="str"/>
      <x:c r="J154" s="16" t="str"/>
      <x:c r="K154" s="16" t="str"/>
      <x:c r="L154" s="16" t="str"/>
      <x:c r="M154" s="16" t="str"/>
      <x:c r="N154" s="16" t="str"/>
      <x:c r="O154" s="16" t="str"/>
      <x:c r="P154" s="16" t="str">
        <x:f>IF(COUNT(I154:O154)&lt;7,"",I154*8+J154*3+K154*2+L154*2+M154*2+N154*2+O154)</x:f>
      </x:c>
      <x:c r="Q154" s="16" t="str">
        <x:f>IF(COUNT(J154:O154)&lt;6,"",J154*5+K154*4+M154*4+L154*3+N154*2+O154*2)</x:f>
      </x:c>
      <x:c r="R154" s="14" t="str">
        <x:v>low</x:v>
      </x:c>
      <x:c r="S154" s="14" t="str">
        <x:v>needs_full_reverification</x:v>
      </x:c>
      <x:c r="T154" s="14" t="str">
        <x:v>legacy_not_reverified</x:v>
      </x:c>
      <x:c r="U154" s="14" t="str">
        <x:v>Потрібна повторна перевірка</x:v>
      </x:c>
      <x:c r="V154" s="15" t="str">
        <x:v>Повністю перевірити сайт і поточний проєкт перед контактом</x:v>
      </x:c>
      <x:c r="W154" s="15" t="str">
        <x:v>Власник / директор; керівник ПТО</x:v>
      </x:c>
      <x:c r="X154" s="15" t="str">
        <x:v>Legacy-запис потребує повторної публічної перевірки.</x:v>
      </x:c>
      <x:c r="Y154" s="15" t="str">
        <x:v>Уточнити, які етапи та докази стають недоступними після закриття робіт.</x:v>
      </x:c>
      <x:c r="Z154" s="15" t="str">
        <x:v>https://247energy.com.ua</x:v>
      </x:c>
      <x:c r="AA154" s="14" t="str"/>
      <x:c r="AB154" s="14" t="str"/>
      <x:c r="AC154" s="14" t="str">
        <x:v>Олександр</x:v>
      </x:c>
      <x:c r="AD154" s="18" t="str"/>
      <x:c r="AE154" s="14" t="str"/>
    </x:row>
    <x:row r="155">
      <x:c r="A155" s="14" t="str">
        <x:v>V2-006</x:v>
      </x:c>
      <x:c r="B155" s="14" t="str">
        <x:v>Legacy 28</x:v>
      </x:c>
      <x:c r="C155" s="14" t="str">
        <x:v>ТОВ «ВКФ «Берком»</x:v>
      </x:c>
      <x:c r="D155" s="14" t="str">
        <x:v>HVAC / вентиляція</x:v>
      </x:c>
      <x:c r="E155" s="14" t="str">
        <x:v>Requalify</x:v>
      </x:c>
      <x:c r="F155" s="17" t="str">
        <x:f>IF(E155="Pilot now",IF(P155&gt;=84,"P1",IF(P155&gt;=72,"P2","P3")),IF(E155="Expansion discovery",IF(Q155&gt;=88,"D1",IF(Q155&gt;=78,"D2","D3")),IF(E155="Later / requirements","L","Legacy")))</x:f>
        <x:v>Legacy</x:v>
      </x:c>
      <x:c r="G155" s="14" t="str">
        <x:v>berkom.com.ua</x:v>
      </x:c>
      <x:c r="H155" s="14" t="str">
        <x:v>Перекваліфікувати</x:v>
      </x:c>
      <x:c r="I155" s="16" t="str"/>
      <x:c r="J155" s="16" t="str"/>
      <x:c r="K155" s="16" t="str"/>
      <x:c r="L155" s="16" t="str"/>
      <x:c r="M155" s="16" t="str"/>
      <x:c r="N155" s="16" t="str"/>
      <x:c r="O155" s="16" t="str"/>
      <x:c r="P155" s="16" t="str">
        <x:f>IF(COUNT(I155:O155)&lt;7,"",I155*8+J155*3+K155*2+L155*2+M155*2+N155*2+O155)</x:f>
      </x:c>
      <x:c r="Q155" s="16" t="str">
        <x:f>IF(COUNT(J155:O155)&lt;6,"",J155*5+K155*4+M155*4+L155*3+N155*2+O155*2)</x:f>
      </x:c>
      <x:c r="R155" s="14" t="str">
        <x:v>low</x:v>
      </x:c>
      <x:c r="S155" s="14" t="str">
        <x:v>needs_full_reverification</x:v>
      </x:c>
      <x:c r="T155" s="14" t="str">
        <x:v>legacy_not_reverified</x:v>
      </x:c>
      <x:c r="U155" s="14" t="str">
        <x:v>Потрібна повторна перевірка</x:v>
      </x:c>
      <x:c r="V155" s="15" t="str">
        <x:v>Повністю перевірити сайт і поточний проєкт перед контактом</x:v>
      </x:c>
      <x:c r="W155" s="15" t="str">
        <x:v>Власник / директор; керівник ПТО</x:v>
      </x:c>
      <x:c r="X155" s="15" t="str">
        <x:v>Legacy-запис потребує повторної публічної перевірки.</x:v>
      </x:c>
      <x:c r="Y155" s="15" t="str">
        <x:v>Уточнити, які етапи та докази стають недоступними після закриття робіт.</x:v>
      </x:c>
      <x:c r="Z155" s="15" t="str">
        <x:v>https://berkom.com.ua</x:v>
      </x:c>
      <x:c r="AA155" s="14" t="str">
        <x:v>34522141</x:v>
      </x:c>
      <x:c r="AB155" s="14" t="str"/>
      <x:c r="AC155" s="14" t="str">
        <x:v>Олександр</x:v>
      </x:c>
      <x:c r="AD155" s="18" t="str"/>
      <x:c r="AE155" s="14" t="str"/>
    </x:row>
    <x:row r="156">
      <x:c r="A156" s="14" t="str">
        <x:v>V2-005</x:v>
      </x:c>
      <x:c r="B156" s="14" t="str">
        <x:v>Legacy 28</x:v>
      </x:c>
      <x:c r="C156" s="14" t="str">
        <x:v>ТОВ «Електропівденмонтаж»</x:v>
      </x:c>
      <x:c r="D156" s="14" t="str">
        <x:v>Електромонтаж</x:v>
      </x:c>
      <x:c r="E156" s="14" t="str">
        <x:v>Requalify</x:v>
      </x:c>
      <x:c r="F156" s="17" t="str">
        <x:f>IF(E156="Pilot now",IF(P156&gt;=84,"P1",IF(P156&gt;=72,"P2","P3")),IF(E156="Expansion discovery",IF(Q156&gt;=88,"D1",IF(Q156&gt;=78,"D2","D3")),IF(E156="Later / requirements","L","Legacy")))</x:f>
        <x:v>Legacy</x:v>
      </x:c>
      <x:c r="G156" s="14" t="str">
        <x:v>epm.kh.ua</x:v>
      </x:c>
      <x:c r="H156" s="14" t="str">
        <x:v>Перекваліфікувати</x:v>
      </x:c>
      <x:c r="I156" s="16" t="str"/>
      <x:c r="J156" s="16" t="str"/>
      <x:c r="K156" s="16" t="str"/>
      <x:c r="L156" s="16" t="str"/>
      <x:c r="M156" s="16" t="str"/>
      <x:c r="N156" s="16" t="str"/>
      <x:c r="O156" s="16" t="str"/>
      <x:c r="P156" s="16" t="str">
        <x:f>IF(COUNT(I156:O156)&lt;7,"",I156*8+J156*3+K156*2+L156*2+M156*2+N156*2+O156)</x:f>
      </x:c>
      <x:c r="Q156" s="16" t="str">
        <x:f>IF(COUNT(J156:O156)&lt;6,"",J156*5+K156*4+M156*4+L156*3+N156*2+O156*2)</x:f>
      </x:c>
      <x:c r="R156" s="14" t="str">
        <x:v>low</x:v>
      </x:c>
      <x:c r="S156" s="14" t="str">
        <x:v>needs_full_reverification</x:v>
      </x:c>
      <x:c r="T156" s="14" t="str">
        <x:v>legacy_not_reverified</x:v>
      </x:c>
      <x:c r="U156" s="14" t="str">
        <x:v>Потрібна повторна перевірка</x:v>
      </x:c>
      <x:c r="V156" s="15" t="str">
        <x:v>Повністю перевірити сайт і поточний проєкт перед контактом</x:v>
      </x:c>
      <x:c r="W156" s="15" t="str">
        <x:v>Власник / директор; керівник ПТО</x:v>
      </x:c>
      <x:c r="X156" s="15" t="str">
        <x:v>Legacy-запис потребує повторної публічної перевірки.</x:v>
      </x:c>
      <x:c r="Y156" s="15" t="str">
        <x:v>Уточнити, які етапи та докази стають недоступними після закриття робіт.</x:v>
      </x:c>
      <x:c r="Z156" s="15" t="str">
        <x:v>https://epm.kh.ua</x:v>
      </x:c>
      <x:c r="AA156" s="14" t="str">
        <x:v>04734213</x:v>
      </x:c>
      <x:c r="AB156" s="14" t="str"/>
      <x:c r="AC156" s="14" t="str">
        <x:v>Олександр</x:v>
      </x:c>
      <x:c r="AD156" s="18" t="str"/>
      <x:c r="AE156" s="14" t="str"/>
    </x:row>
    <x:row r="157">
      <x:c r="A157" s="14" t="str">
        <x:v>V2-023</x:v>
      </x:c>
      <x:c r="B157" s="14" t="str">
        <x:v>Legacy 28</x:v>
      </x:c>
      <x:c r="C157" s="14" t="str">
        <x:v>ТОВ «Здоровий клімат»</x:v>
      </x:c>
      <x:c r="D157" s="14" t="str">
        <x:v>HVAC / вентиляція</x:v>
      </x:c>
      <x:c r="E157" s="14" t="str">
        <x:v>Requalify</x:v>
      </x:c>
      <x:c r="F157" s="17" t="str">
        <x:f>IF(E157="Pilot now",IF(P157&gt;=84,"P1",IF(P157&gt;=72,"P2","P3")),IF(E157="Expansion discovery",IF(Q157&gt;=88,"D1",IF(Q157&gt;=78,"D2","D3")),IF(E157="Later / requirements","L","Legacy")))</x:f>
        <x:v>Legacy</x:v>
      </x:c>
      <x:c r="G157" s="14" t="str">
        <x:v>zdorovklimat.com.ua</x:v>
      </x:c>
      <x:c r="H157" s="14" t="str">
        <x:v>Перекваліфікувати</x:v>
      </x:c>
      <x:c r="I157" s="16" t="str"/>
      <x:c r="J157" s="16" t="str"/>
      <x:c r="K157" s="16" t="str"/>
      <x:c r="L157" s="16" t="str"/>
      <x:c r="M157" s="16" t="str"/>
      <x:c r="N157" s="16" t="str"/>
      <x:c r="O157" s="16" t="str"/>
      <x:c r="P157" s="16" t="str">
        <x:f>IF(COUNT(I157:O157)&lt;7,"",I157*8+J157*3+K157*2+L157*2+M157*2+N157*2+O157)</x:f>
      </x:c>
      <x:c r="Q157" s="16" t="str">
        <x:f>IF(COUNT(J157:O157)&lt;6,"",J157*5+K157*4+M157*4+L157*3+N157*2+O157*2)</x:f>
      </x:c>
      <x:c r="R157" s="14" t="str">
        <x:v>low</x:v>
      </x:c>
      <x:c r="S157" s="14" t="str">
        <x:v>needs_full_reverification</x:v>
      </x:c>
      <x:c r="T157" s="14" t="str">
        <x:v>legacy_not_reverified</x:v>
      </x:c>
      <x:c r="U157" s="14" t="str">
        <x:v>Потрібна повторна перевірка</x:v>
      </x:c>
      <x:c r="V157" s="15" t="str">
        <x:v>Повністю перевірити сайт і поточний проєкт перед контактом</x:v>
      </x:c>
      <x:c r="W157" s="15" t="str">
        <x:v>Власник / директор; керівник ПТО</x:v>
      </x:c>
      <x:c r="X157" s="15" t="str">
        <x:v>Legacy-запис потребує повторної публічної перевірки.</x:v>
      </x:c>
      <x:c r="Y157" s="15" t="str">
        <x:v>Уточнити, які етапи та докази стають недоступними після закриття робіт.</x:v>
      </x:c>
      <x:c r="Z157" s="15" t="str">
        <x:v>https://zdorovklimat.com.ua</x:v>
      </x:c>
      <x:c r="AA157" s="14" t="str">
        <x:v>37734731</x:v>
      </x:c>
      <x:c r="AB157" s="14" t="str"/>
      <x:c r="AC157" s="14" t="str">
        <x:v>Олександр</x:v>
      </x:c>
      <x:c r="AD157" s="18" t="str"/>
      <x:c r="AE157" s="14" t="str"/>
    </x:row>
    <x:row r="158">
      <x:c r="A158" s="14" t="str">
        <x:v>V2-020</x:v>
      </x:c>
      <x:c r="B158" s="14" t="str">
        <x:v>Legacy 28</x:v>
      </x:c>
      <x:c r="C158" s="14" t="str">
        <x:v>ТОВ «Новітні Енергетичні Програми»</x:v>
      </x:c>
      <x:c r="D158" s="14" t="str">
        <x:v>Електромонтаж</x:v>
      </x:c>
      <x:c r="E158" s="14" t="str">
        <x:v>Requalify</x:v>
      </x:c>
      <x:c r="F158" s="17" t="str">
        <x:f>IF(E158="Pilot now",IF(P158&gt;=84,"P1",IF(P158&gt;=72,"P2","P3")),IF(E158="Expansion discovery",IF(Q158&gt;=88,"D1",IF(Q158&gt;=78,"D2","D3")),IF(E158="Later / requirements","L","Legacy")))</x:f>
        <x:v>Legacy</x:v>
      </x:c>
      <x:c r="G158" s="14" t="str">
        <x:v>nep.in.ua</x:v>
      </x:c>
      <x:c r="H158" s="14" t="str">
        <x:v>Перекваліфікувати</x:v>
      </x:c>
      <x:c r="I158" s="16" t="str"/>
      <x:c r="J158" s="16" t="str"/>
      <x:c r="K158" s="16" t="str"/>
      <x:c r="L158" s="16" t="str"/>
      <x:c r="M158" s="16" t="str"/>
      <x:c r="N158" s="16" t="str"/>
      <x:c r="O158" s="16" t="str"/>
      <x:c r="P158" s="16" t="str">
        <x:f>IF(COUNT(I158:O158)&lt;7,"",I158*8+J158*3+K158*2+L158*2+M158*2+N158*2+O158)</x:f>
      </x:c>
      <x:c r="Q158" s="16" t="str">
        <x:f>IF(COUNT(J158:O158)&lt;6,"",J158*5+K158*4+M158*4+L158*3+N158*2+O158*2)</x:f>
      </x:c>
      <x:c r="R158" s="14" t="str">
        <x:v>low</x:v>
      </x:c>
      <x:c r="S158" s="14" t="str">
        <x:v>needs_full_reverification</x:v>
      </x:c>
      <x:c r="T158" s="14" t="str">
        <x:v>legacy_not_reverified</x:v>
      </x:c>
      <x:c r="U158" s="14" t="str">
        <x:v>Потрібна повторна перевірка</x:v>
      </x:c>
      <x:c r="V158" s="15" t="str">
        <x:v>Повністю перевірити сайт і поточний проєкт перед контактом</x:v>
      </x:c>
      <x:c r="W158" s="15" t="str">
        <x:v>Власник / директор; керівник ПТО</x:v>
      </x:c>
      <x:c r="X158" s="15" t="str">
        <x:v>Legacy-запис потребує повторної публічної перевірки.</x:v>
      </x:c>
      <x:c r="Y158" s="15" t="str">
        <x:v>Уточнити, які етапи та докази стають недоступними після закриття робіт.</x:v>
      </x:c>
      <x:c r="Z158" s="15" t="str">
        <x:v>https://nep.in.ua</x:v>
      </x:c>
      <x:c r="AA158" s="14" t="str">
        <x:v>34623220</x:v>
      </x:c>
      <x:c r="AB158" s="14" t="str"/>
      <x:c r="AC158" s="14" t="str">
        <x:v>Олександр</x:v>
      </x:c>
      <x:c r="AD158" s="18" t="str"/>
      <x:c r="AE158" s="14" t="str"/>
    </x:row>
    <x:row r="159">
      <x:c r="A159" s="14" t="str">
        <x:v>V2-007</x:v>
      </x:c>
      <x:c r="B159" s="14" t="str">
        <x:v>Legacy 28</x:v>
      </x:c>
      <x:c r="C159" s="14" t="str">
        <x:v>ТОВ «Охоронна компанія «АЛЬЯНС-БЕЗПЕКА»</x:v>
      </x:c>
      <x:c r="D159" s="14" t="str">
        <x:v>Слаботочні системи</x:v>
      </x:c>
      <x:c r="E159" s="14" t="str">
        <x:v>Requalify</x:v>
      </x:c>
      <x:c r="F159" s="17" t="str">
        <x:f>IF(E159="Pilot now",IF(P159&gt;=84,"P1",IF(P159&gt;=72,"P2","P3")),IF(E159="Expansion discovery",IF(Q159&gt;=88,"D1",IF(Q159&gt;=78,"D2","D3")),IF(E159="Later / requirements","L","Legacy")))</x:f>
        <x:v>Legacy</x:v>
      </x:c>
      <x:c r="G159" s="14" t="str">
        <x:v>alliancesafety.com.ua</x:v>
      </x:c>
      <x:c r="H159" s="14" t="str">
        <x:v>Перекваліфікувати</x:v>
      </x:c>
      <x:c r="I159" s="16" t="str"/>
      <x:c r="J159" s="16" t="str"/>
      <x:c r="K159" s="16" t="str"/>
      <x:c r="L159" s="16" t="str"/>
      <x:c r="M159" s="16" t="str"/>
      <x:c r="N159" s="16" t="str"/>
      <x:c r="O159" s="16" t="str"/>
      <x:c r="P159" s="16" t="str">
        <x:f>IF(COUNT(I159:O159)&lt;7,"",I159*8+J159*3+K159*2+L159*2+M159*2+N159*2+O159)</x:f>
      </x:c>
      <x:c r="Q159" s="16" t="str">
        <x:f>IF(COUNT(J159:O159)&lt;6,"",J159*5+K159*4+M159*4+L159*3+N159*2+O159*2)</x:f>
      </x:c>
      <x:c r="R159" s="14" t="str">
        <x:v>low</x:v>
      </x:c>
      <x:c r="S159" s="14" t="str">
        <x:v>needs_full_reverification</x:v>
      </x:c>
      <x:c r="T159" s="14" t="str">
        <x:v>legacy_not_reverified</x:v>
      </x:c>
      <x:c r="U159" s="14" t="str">
        <x:v>Потрібна повторна перевірка</x:v>
      </x:c>
      <x:c r="V159" s="15" t="str">
        <x:v>Повністю перевірити сайт і поточний проєкт перед контактом</x:v>
      </x:c>
      <x:c r="W159" s="15" t="str">
        <x:v>Власник / директор; керівник ПТО</x:v>
      </x:c>
      <x:c r="X159" s="15" t="str">
        <x:v>Legacy-запис потребує повторної публічної перевірки.</x:v>
      </x:c>
      <x:c r="Y159" s="15" t="str">
        <x:v>Уточнити, які етапи та докази стають недоступними після закриття робіт.</x:v>
      </x:c>
      <x:c r="Z159" s="15" t="str">
        <x:v>https://alliancesafety.com.ua</x:v>
      </x:c>
      <x:c r="AA159" s="14" t="str">
        <x:v>44564041</x:v>
      </x:c>
      <x:c r="AB159" s="14" t="str"/>
      <x:c r="AC159" s="14" t="str">
        <x:v>Олександр</x:v>
      </x:c>
      <x:c r="AD159" s="18" t="str"/>
      <x:c r="AE159" s="14" t="str"/>
    </x:row>
    <x:row r="160">
      <x:c r="A160" s="14" t="str">
        <x:v>V2-017</x:v>
      </x:c>
      <x:c r="B160" s="14" t="str">
        <x:v>Legacy 28</x:v>
      </x:c>
      <x:c r="C160" s="14" t="str">
        <x:v>ТОВ «Пожежний Захист»</x:v>
      </x:c>
      <x:c r="D160" s="14" t="str">
        <x:v>Слаботочні системи</x:v>
      </x:c>
      <x:c r="E160" s="14" t="str">
        <x:v>Requalify</x:v>
      </x:c>
      <x:c r="F160" s="17" t="str">
        <x:f>IF(E160="Pilot now",IF(P160&gt;=84,"P1",IF(P160&gt;=72,"P2","P3")),IF(E160="Expansion discovery",IF(Q160&gt;=88,"D1",IF(Q160&gt;=78,"D2","D3")),IF(E160="Later / requirements","L","Legacy")))</x:f>
        <x:v>Legacy</x:v>
      </x:c>
      <x:c r="G160" s="14" t="str">
        <x:v>p-zahist.com.ua</x:v>
      </x:c>
      <x:c r="H160" s="14" t="str">
        <x:v>Перекваліфікувати</x:v>
      </x:c>
      <x:c r="I160" s="16" t="str"/>
      <x:c r="J160" s="16" t="str"/>
      <x:c r="K160" s="16" t="str"/>
      <x:c r="L160" s="16" t="str"/>
      <x:c r="M160" s="16" t="str"/>
      <x:c r="N160" s="16" t="str"/>
      <x:c r="O160" s="16" t="str"/>
      <x:c r="P160" s="16" t="str">
        <x:f>IF(COUNT(I160:O160)&lt;7,"",I160*8+J160*3+K160*2+L160*2+M160*2+N160*2+O160)</x:f>
      </x:c>
      <x:c r="Q160" s="16" t="str">
        <x:f>IF(COUNT(J160:O160)&lt;6,"",J160*5+K160*4+M160*4+L160*3+N160*2+O160*2)</x:f>
      </x:c>
      <x:c r="R160" s="14" t="str">
        <x:v>low</x:v>
      </x:c>
      <x:c r="S160" s="14" t="str">
        <x:v>needs_full_reverification</x:v>
      </x:c>
      <x:c r="T160" s="14" t="str">
        <x:v>legacy_not_reverified</x:v>
      </x:c>
      <x:c r="U160" s="14" t="str">
        <x:v>Потрібна повторна перевірка</x:v>
      </x:c>
      <x:c r="V160" s="15" t="str">
        <x:v>Повністю перевірити сайт і поточний проєкт перед контактом</x:v>
      </x:c>
      <x:c r="W160" s="15" t="str">
        <x:v>Власник / директор; керівник ПТО</x:v>
      </x:c>
      <x:c r="X160" s="15" t="str">
        <x:v>Legacy-запис потребує повторної публічної перевірки.</x:v>
      </x:c>
      <x:c r="Y160" s="15" t="str">
        <x:v>Уточнити, які етапи та докази стають недоступними після закриття робіт.</x:v>
      </x:c>
      <x:c r="Z160" s="15" t="str">
        <x:v>https://p-zahist.com.ua</x:v>
      </x:c>
      <x:c r="AA160" s="14" t="str">
        <x:v>38717610</x:v>
      </x:c>
      <x:c r="AB160" s="14" t="str"/>
      <x:c r="AC160" s="14" t="str">
        <x:v>Олександр</x:v>
      </x:c>
      <x:c r="AD160" s="18" t="str"/>
      <x:c r="AE160" s="14" t="str"/>
    </x:row>
    <x:row r="161">
      <x:c r="A161" s="14" t="str">
        <x:v>V2-010</x:v>
      </x:c>
      <x:c r="B161" s="14" t="str">
        <x:v>Legacy 28</x:v>
      </x:c>
      <x:c r="C161" s="14" t="str">
        <x:v>ТОВ «Промавтоматика Вінниця»</x:v>
      </x:c>
      <x:c r="D161" s="14" t="str">
        <x:v>Сонячна енергетика</x:v>
      </x:c>
      <x:c r="E161" s="14" t="str">
        <x:v>Requalify</x:v>
      </x:c>
      <x:c r="F161" s="17" t="str">
        <x:f>IF(E161="Pilot now",IF(P161&gt;=84,"P1",IF(P161&gt;=72,"P2","P3")),IF(E161="Expansion discovery",IF(Q161&gt;=88,"D1",IF(Q161&gt;=78,"D2","D3")),IF(E161="Later / requirements","L","Legacy")))</x:f>
        <x:v>Legacy</x:v>
      </x:c>
      <x:c r="G161" s="14" t="str">
        <x:v>pa.ua</x:v>
      </x:c>
      <x:c r="H161" s="14" t="str">
        <x:v>Перекваліфікувати</x:v>
      </x:c>
      <x:c r="I161" s="16" t="str"/>
      <x:c r="J161" s="16" t="str"/>
      <x:c r="K161" s="16" t="str"/>
      <x:c r="L161" s="16" t="str"/>
      <x:c r="M161" s="16" t="str"/>
      <x:c r="N161" s="16" t="str"/>
      <x:c r="O161" s="16" t="str"/>
      <x:c r="P161" s="16" t="str">
        <x:f>IF(COUNT(I161:O161)&lt;7,"",I161*8+J161*3+K161*2+L161*2+M161*2+N161*2+O161)</x:f>
      </x:c>
      <x:c r="Q161" s="16" t="str">
        <x:f>IF(COUNT(J161:O161)&lt;6,"",J161*5+K161*4+M161*4+L161*3+N161*2+O161*2)</x:f>
      </x:c>
      <x:c r="R161" s="14" t="str">
        <x:v>low</x:v>
      </x:c>
      <x:c r="S161" s="14" t="str">
        <x:v>needs_full_reverification</x:v>
      </x:c>
      <x:c r="T161" s="14" t="str">
        <x:v>legacy_not_reverified</x:v>
      </x:c>
      <x:c r="U161" s="14" t="str">
        <x:v>Потрібна повторна перевірка</x:v>
      </x:c>
      <x:c r="V161" s="15" t="str">
        <x:v>Повністю перевірити сайт і поточний проєкт перед контактом</x:v>
      </x:c>
      <x:c r="W161" s="15" t="str">
        <x:v>Власник / директор; керівник ПТО</x:v>
      </x:c>
      <x:c r="X161" s="15" t="str">
        <x:v>Legacy-запис потребує повторної публічної перевірки.</x:v>
      </x:c>
      <x:c r="Y161" s="15" t="str">
        <x:v>Уточнити, які етапи та докази стають недоступними після закриття робіт.</x:v>
      </x:c>
      <x:c r="Z161" s="15" t="str">
        <x:v>https://pa.ua</x:v>
      </x:c>
      <x:c r="AA161" s="14" t="str"/>
      <x:c r="AB161" s="14" t="str"/>
      <x:c r="AC161" s="14" t="str">
        <x:v>Олександр</x:v>
      </x:c>
      <x:c r="AD161" s="18" t="str"/>
      <x:c r="AE161" s="14" t="str"/>
    </x:row>
    <x:row r="162">
      <x:c r="A162" s="14" t="str">
        <x:v>V2-018</x:v>
      </x:c>
      <x:c r="B162" s="14" t="str">
        <x:v>Legacy 28</x:v>
      </x:c>
      <x:c r="C162" s="14" t="str">
        <x:v>ТОВ «Структум»</x:v>
      </x:c>
      <x:c r="D162" s="14" t="str">
        <x:v>Електромонтаж</x:v>
      </x:c>
      <x:c r="E162" s="14" t="str">
        <x:v>Requalify</x:v>
      </x:c>
      <x:c r="F162" s="17" t="str">
        <x:f>IF(E162="Pilot now",IF(P162&gt;=84,"P1",IF(P162&gt;=72,"P2","P3")),IF(E162="Expansion discovery",IF(Q162&gt;=88,"D1",IF(Q162&gt;=78,"D2","D3")),IF(E162="Later / requirements","L","Legacy")))</x:f>
        <x:v>Legacy</x:v>
      </x:c>
      <x:c r="G162" s="14" t="str">
        <x:v>structum.ua</x:v>
      </x:c>
      <x:c r="H162" s="14" t="str">
        <x:v>Перекваліфікувати</x:v>
      </x:c>
      <x:c r="I162" s="16" t="str"/>
      <x:c r="J162" s="16" t="str"/>
      <x:c r="K162" s="16" t="str"/>
      <x:c r="L162" s="16" t="str"/>
      <x:c r="M162" s="16" t="str"/>
      <x:c r="N162" s="16" t="str"/>
      <x:c r="O162" s="16" t="str"/>
      <x:c r="P162" s="16" t="str">
        <x:f>IF(COUNT(I162:O162)&lt;7,"",I162*8+J162*3+K162*2+L162*2+M162*2+N162*2+O162)</x:f>
      </x:c>
      <x:c r="Q162" s="16" t="str">
        <x:f>IF(COUNT(J162:O162)&lt;6,"",J162*5+K162*4+M162*4+L162*3+N162*2+O162*2)</x:f>
      </x:c>
      <x:c r="R162" s="14" t="str">
        <x:v>low</x:v>
      </x:c>
      <x:c r="S162" s="14" t="str">
        <x:v>needs_full_reverification</x:v>
      </x:c>
      <x:c r="T162" s="14" t="str">
        <x:v>legacy_not_reverified</x:v>
      </x:c>
      <x:c r="U162" s="14" t="str">
        <x:v>Потрібна повторна перевірка</x:v>
      </x:c>
      <x:c r="V162" s="15" t="str">
        <x:v>Повністю перевірити сайт і поточний проєкт перед контактом</x:v>
      </x:c>
      <x:c r="W162" s="15" t="str">
        <x:v>Власник / директор; керівник ПТО</x:v>
      </x:c>
      <x:c r="X162" s="15" t="str">
        <x:v>Legacy-запис потребує повторної публічної перевірки.</x:v>
      </x:c>
      <x:c r="Y162" s="15" t="str">
        <x:v>Уточнити, які етапи та докази стають недоступними після закриття робіт.</x:v>
      </x:c>
      <x:c r="Z162" s="15" t="str">
        <x:v>https://structum.ua</x:v>
      </x:c>
      <x:c r="AA162" s="14" t="str">
        <x:v>38186327</x:v>
      </x:c>
      <x:c r="AB162" s="14" t="str"/>
      <x:c r="AC162" s="14" t="str">
        <x:v>Олександр</x:v>
      </x:c>
      <x:c r="AD162" s="18" t="str"/>
      <x:c r="AE162" s="14" t="str"/>
    </x:row>
    <x:row r="163">
      <x:c r="A163" s="14" t="str">
        <x:v>V2-001</x:v>
      </x:c>
      <x:c r="B163" s="14" t="str">
        <x:v>Legacy 28</x:v>
      </x:c>
      <x:c r="C163" s="14" t="str">
        <x:v>ТОВ «Укравтономгаз»</x:v>
      </x:c>
      <x:c r="D163" s="14" t="str">
        <x:v>Внутрішня сантехніка</x:v>
      </x:c>
      <x:c r="E163" s="14" t="str">
        <x:v>Requalify</x:v>
      </x:c>
      <x:c r="F163" s="17" t="str">
        <x:f>IF(E163="Pilot now",IF(P163&gt;=84,"P1",IF(P163&gt;=72,"P2","P3")),IF(E163="Expansion discovery",IF(Q163&gt;=88,"D1",IF(Q163&gt;=78,"D2","D3")),IF(E163="Later / requirements","L","Legacy")))</x:f>
        <x:v>Legacy</x:v>
      </x:c>
      <x:c r="G163" s="14" t="str">
        <x:v>ukravtonomgaz.ua</x:v>
      </x:c>
      <x:c r="H163" s="14" t="str">
        <x:v>Перекваліфікувати</x:v>
      </x:c>
      <x:c r="I163" s="16" t="str"/>
      <x:c r="J163" s="16" t="str"/>
      <x:c r="K163" s="16" t="str"/>
      <x:c r="L163" s="16" t="str"/>
      <x:c r="M163" s="16" t="str"/>
      <x:c r="N163" s="16" t="str"/>
      <x:c r="O163" s="16" t="str"/>
      <x:c r="P163" s="16" t="str">
        <x:f>IF(COUNT(I163:O163)&lt;7,"",I163*8+J163*3+K163*2+L163*2+M163*2+N163*2+O163)</x:f>
      </x:c>
      <x:c r="Q163" s="16" t="str">
        <x:f>IF(COUNT(J163:O163)&lt;6,"",J163*5+K163*4+M163*4+L163*3+N163*2+O163*2)</x:f>
      </x:c>
      <x:c r="R163" s="14" t="str">
        <x:v>low</x:v>
      </x:c>
      <x:c r="S163" s="14" t="str">
        <x:v>needs_full_reverification</x:v>
      </x:c>
      <x:c r="T163" s="14" t="str">
        <x:v>legacy_not_reverified</x:v>
      </x:c>
      <x:c r="U163" s="14" t="str">
        <x:v>Потрібна повторна перевірка</x:v>
      </x:c>
      <x:c r="V163" s="15" t="str">
        <x:v>Повністю перевірити сайт і поточний проєкт перед контактом</x:v>
      </x:c>
      <x:c r="W163" s="15" t="str">
        <x:v>Власник / директор; керівник ПТО</x:v>
      </x:c>
      <x:c r="X163" s="15" t="str">
        <x:v>Legacy-запис потребує повторної публічної перевірки.</x:v>
      </x:c>
      <x:c r="Y163" s="15" t="str">
        <x:v>Уточнити, які етапи та докази стають недоступними після закриття робіт.</x:v>
      </x:c>
      <x:c r="Z163" s="15" t="str">
        <x:v>https://ukravtonomgaz.ua</x:v>
      </x:c>
      <x:c r="AA163" s="14" t="str">
        <x:v>39082735</x:v>
      </x:c>
      <x:c r="AB163" s="14" t="str"/>
      <x:c r="AC163" s="14" t="str">
        <x:v>Олександр</x:v>
      </x:c>
      <x:c r="AD163" s="18" t="str"/>
      <x:c r="AE163" s="14" t="str"/>
    </x:row>
    <x:row r="164">
      <x:c r="A164" s="14" t="str">
        <x:v>V2-013</x:v>
      </x:c>
      <x:c r="B164" s="14" t="str">
        <x:v>Legacy 28</x:v>
      </x:c>
      <x:c r="C164" s="14" t="str">
        <x:v>ТОВ «УТЕМ СОЛАР»</x:v>
      </x:c>
      <x:c r="D164" s="14" t="str">
        <x:v>Сонячна енергетика</x:v>
      </x:c>
      <x:c r="E164" s="14" t="str">
        <x:v>Requalify</x:v>
      </x:c>
      <x:c r="F164" s="17" t="str">
        <x:f>IF(E164="Pilot now",IF(P164&gt;=84,"P1",IF(P164&gt;=72,"P2","P3")),IF(E164="Expansion discovery",IF(Q164&gt;=88,"D1",IF(Q164&gt;=78,"D2","D3")),IF(E164="Later / requirements","L","Legacy")))</x:f>
        <x:v>Legacy</x:v>
      </x:c>
      <x:c r="G164" s="14" t="str">
        <x:v>utem.org.ua</x:v>
      </x:c>
      <x:c r="H164" s="14" t="str">
        <x:v>Перекваліфікувати</x:v>
      </x:c>
      <x:c r="I164" s="16" t="str"/>
      <x:c r="J164" s="16" t="str"/>
      <x:c r="K164" s="16" t="str"/>
      <x:c r="L164" s="16" t="str"/>
      <x:c r="M164" s="16" t="str"/>
      <x:c r="N164" s="16" t="str"/>
      <x:c r="O164" s="16" t="str"/>
      <x:c r="P164" s="16" t="str">
        <x:f>IF(COUNT(I164:O164)&lt;7,"",I164*8+J164*3+K164*2+L164*2+M164*2+N164*2+O164)</x:f>
      </x:c>
      <x:c r="Q164" s="16" t="str">
        <x:f>IF(COUNT(J164:O164)&lt;6,"",J164*5+K164*4+M164*4+L164*3+N164*2+O164*2)</x:f>
      </x:c>
      <x:c r="R164" s="14" t="str">
        <x:v>low</x:v>
      </x:c>
      <x:c r="S164" s="14" t="str">
        <x:v>needs_full_reverification</x:v>
      </x:c>
      <x:c r="T164" s="14" t="str">
        <x:v>legacy_not_reverified</x:v>
      </x:c>
      <x:c r="U164" s="14" t="str">
        <x:v>Потрібна повторна перевірка</x:v>
      </x:c>
      <x:c r="V164" s="15" t="str">
        <x:v>Повністю перевірити сайт і поточний проєкт перед контактом</x:v>
      </x:c>
      <x:c r="W164" s="15" t="str">
        <x:v>Власник / директор; керівник ПТО</x:v>
      </x:c>
      <x:c r="X164" s="15" t="str">
        <x:v>Legacy-запис потребує повторної публічної перевірки.</x:v>
      </x:c>
      <x:c r="Y164" s="15" t="str">
        <x:v>Уточнити, які етапи та докази стають недоступними після закриття робіт.</x:v>
      </x:c>
      <x:c r="Z164" s="15" t="str">
        <x:v>https://utem.org.ua</x:v>
      </x:c>
      <x:c r="AA164" s="14" t="str"/>
      <x:c r="AB164" s="14" t="str"/>
      <x:c r="AC164" s="14" t="str">
        <x:v>Олександр</x:v>
      </x:c>
      <x:c r="AD164" s="18" t="str"/>
      <x:c r="AE164" s="14" t="str"/>
    </x:row>
    <x:row r="165">
      <x:c r="A165" s="14" t="str">
        <x:v>V2-003</x:v>
      </x:c>
      <x:c r="B165" s="14" t="str">
        <x:v>Legacy 28</x:v>
      </x:c>
      <x:c r="C165" s="14" t="str">
        <x:v>ТОВ «ШІЛД-ФАЄР»</x:v>
      </x:c>
      <x:c r="D165" s="14" t="str">
        <x:v>Слаботочні системи</x:v>
      </x:c>
      <x:c r="E165" s="14" t="str">
        <x:v>Requalify</x:v>
      </x:c>
      <x:c r="F165" s="17" t="str">
        <x:f>IF(E165="Pilot now",IF(P165&gt;=84,"P1",IF(P165&gt;=72,"P2","P3")),IF(E165="Expansion discovery",IF(Q165&gt;=88,"D1",IF(Q165&gt;=78,"D2","D3")),IF(E165="Later / requirements","L","Legacy")))</x:f>
        <x:v>Legacy</x:v>
      </x:c>
      <x:c r="G165" s="14" t="str">
        <x:v>shieldfire.com.ua</x:v>
      </x:c>
      <x:c r="H165" s="14" t="str">
        <x:v>Перекваліфікувати</x:v>
      </x:c>
      <x:c r="I165" s="16" t="str"/>
      <x:c r="J165" s="16" t="str"/>
      <x:c r="K165" s="16" t="str"/>
      <x:c r="L165" s="16" t="str"/>
      <x:c r="M165" s="16" t="str"/>
      <x:c r="N165" s="16" t="str"/>
      <x:c r="O165" s="16" t="str"/>
      <x:c r="P165" s="16" t="str">
        <x:f>IF(COUNT(I165:O165)&lt;7,"",I165*8+J165*3+K165*2+L165*2+M165*2+N165*2+O165)</x:f>
      </x:c>
      <x:c r="Q165" s="16" t="str">
        <x:f>IF(COUNT(J165:O165)&lt;6,"",J165*5+K165*4+M165*4+L165*3+N165*2+O165*2)</x:f>
      </x:c>
      <x:c r="R165" s="14" t="str">
        <x:v>low</x:v>
      </x:c>
      <x:c r="S165" s="14" t="str">
        <x:v>needs_full_reverification</x:v>
      </x:c>
      <x:c r="T165" s="14" t="str">
        <x:v>legacy_not_reverified</x:v>
      </x:c>
      <x:c r="U165" s="14" t="str">
        <x:v>Потрібна повторна перевірка</x:v>
      </x:c>
      <x:c r="V165" s="15" t="str">
        <x:v>Повністю перевірити сайт і поточний проєкт перед контактом</x:v>
      </x:c>
      <x:c r="W165" s="15" t="str">
        <x:v>Власник / директор; керівник ПТО</x:v>
      </x:c>
      <x:c r="X165" s="15" t="str">
        <x:v>Legacy-запис потребує повторної публічної перевірки.</x:v>
      </x:c>
      <x:c r="Y165" s="15" t="str">
        <x:v>Уточнити, які етапи та докази стають недоступними після закриття робіт.</x:v>
      </x:c>
      <x:c r="Z165" s="15" t="str">
        <x:v>https://shieldfire.com.ua</x:v>
      </x:c>
      <x:c r="AA165" s="14" t="str">
        <x:v>41034408</x:v>
      </x:c>
      <x:c r="AB165" s="14" t="str"/>
      <x:c r="AC165" s="14" t="str">
        <x:v>Олександр</x:v>
      </x:c>
      <x:c r="AD165" s="18" t="str"/>
      <x:c r="AE165" s="14" t="str"/>
    </x:row>
    <x:row r="166">
      <x:c r="A166" s="14" t="str">
        <x:v>V2-028</x:v>
      </x:c>
      <x:c r="B166" s="14" t="str">
        <x:v>Legacy 28</x:v>
      </x:c>
      <x:c r="C166" s="14" t="str">
        <x:v>ТОВАРИСТВО З ОБМЕЖЕНОЮ ВІДПОВІДАЛЬНІСТЮ "ВБ СТРАЖ"</x:v>
      </x:c>
      <x:c r="D166" s="14" t="str">
        <x:v>Слаботочні системи</x:v>
      </x:c>
      <x:c r="E166" s="14" t="str">
        <x:v>Requalify</x:v>
      </x:c>
      <x:c r="F166" s="17" t="str">
        <x:f>IF(E166="Pilot now",IF(P166&gt;=84,"P1",IF(P166&gt;=72,"P2","P3")),IF(E166="Expansion discovery",IF(Q166&gt;=88,"D1",IF(Q166&gt;=78,"D2","D3")),IF(E166="Later / requirements","L","Legacy")))</x:f>
        <x:v>Legacy</x:v>
      </x:c>
      <x:c r="G166" s="14" t="str">
        <x:v>vb-strag.com.ua</x:v>
      </x:c>
      <x:c r="H166" s="14" t="str">
        <x:v>Перекваліфікувати</x:v>
      </x:c>
      <x:c r="I166" s="16" t="str"/>
      <x:c r="J166" s="16" t="str"/>
      <x:c r="K166" s="16" t="str"/>
      <x:c r="L166" s="16" t="str"/>
      <x:c r="M166" s="16" t="str"/>
      <x:c r="N166" s="16" t="str"/>
      <x:c r="O166" s="16" t="str"/>
      <x:c r="P166" s="16" t="str">
        <x:f>IF(COUNT(I166:O166)&lt;7,"",I166*8+J166*3+K166*2+L166*2+M166*2+N166*2+O166)</x:f>
      </x:c>
      <x:c r="Q166" s="16" t="str">
        <x:f>IF(COUNT(J166:O166)&lt;6,"",J166*5+K166*4+M166*4+L166*3+N166*2+O166*2)</x:f>
      </x:c>
      <x:c r="R166" s="14" t="str">
        <x:v>low</x:v>
      </x:c>
      <x:c r="S166" s="14" t="str">
        <x:v>needs_full_reverification</x:v>
      </x:c>
      <x:c r="T166" s="14" t="str">
        <x:v>legacy_not_reverified</x:v>
      </x:c>
      <x:c r="U166" s="14" t="str">
        <x:v>Потрібна повторна перевірка</x:v>
      </x:c>
      <x:c r="V166" s="15" t="str">
        <x:v>Повністю перевірити сайт і поточний проєкт перед контактом</x:v>
      </x:c>
      <x:c r="W166" s="15" t="str">
        <x:v>Власник / директор; керівник ПТО</x:v>
      </x:c>
      <x:c r="X166" s="15" t="str">
        <x:v>Legacy-запис потребує повторної публічної перевірки.</x:v>
      </x:c>
      <x:c r="Y166" s="15" t="str">
        <x:v>Уточнити, які етапи та докази стають недоступними після закриття робіт.</x:v>
      </x:c>
      <x:c r="Z166" s="15" t="str">
        <x:v>https://vb-strag.com.ua</x:v>
      </x:c>
      <x:c r="AA166" s="14" t="str">
        <x:v>43046609</x:v>
      </x:c>
      <x:c r="AB166" s="14" t="str"/>
      <x:c r="AC166" s="14" t="str">
        <x:v>Олександр</x:v>
      </x:c>
      <x:c r="AD166" s="18" t="str"/>
      <x:c r="AE166" s="14" t="str"/>
    </x:row>
    <x:row r="167">
      <x:c r="A167" s="14" t="str">
        <x:v>V2-025</x:v>
      </x:c>
      <x:c r="B167" s="14" t="str">
        <x:v>Legacy 28</x:v>
      </x:c>
      <x:c r="C167" s="14" t="str">
        <x:v>ТОВАРИСТВО З ОБМЕЖЕНОЮ ВІДПОВІДАЛЬНІСТЮ "НІК"</x:v>
      </x:c>
      <x:c r="D167" s="14" t="str">
        <x:v>Електромонтаж</x:v>
      </x:c>
      <x:c r="E167" s="14" t="str">
        <x:v>Requalify</x:v>
      </x:c>
      <x:c r="F167" s="17" t="str">
        <x:f>IF(E167="Pilot now",IF(P167&gt;=84,"P1",IF(P167&gt;=72,"P2","P3")),IF(E167="Expansion discovery",IF(Q167&gt;=88,"D1",IF(Q167&gt;=78,"D2","D3")),IF(E167="Later / requirements","L","Legacy")))</x:f>
        <x:v>Legacy</x:v>
      </x:c>
      <x:c r="G167" s="14" t="str">
        <x:v>nik.net.ua</x:v>
      </x:c>
      <x:c r="H167" s="14" t="str">
        <x:v>Перекваліфікувати</x:v>
      </x:c>
      <x:c r="I167" s="16" t="str"/>
      <x:c r="J167" s="16" t="str"/>
      <x:c r="K167" s="16" t="str"/>
      <x:c r="L167" s="16" t="str"/>
      <x:c r="M167" s="16" t="str"/>
      <x:c r="N167" s="16" t="str"/>
      <x:c r="O167" s="16" t="str"/>
      <x:c r="P167" s="16" t="str">
        <x:f>IF(COUNT(I167:O167)&lt;7,"",I167*8+J167*3+K167*2+L167*2+M167*2+N167*2+O167)</x:f>
      </x:c>
      <x:c r="Q167" s="16" t="str">
        <x:f>IF(COUNT(J167:O167)&lt;6,"",J167*5+K167*4+M167*4+L167*3+N167*2+O167*2)</x:f>
      </x:c>
      <x:c r="R167" s="14" t="str">
        <x:v>low</x:v>
      </x:c>
      <x:c r="S167" s="14" t="str">
        <x:v>needs_full_reverification</x:v>
      </x:c>
      <x:c r="T167" s="14" t="str">
        <x:v>legacy_not_reverified</x:v>
      </x:c>
      <x:c r="U167" s="14" t="str">
        <x:v>Потрібна повторна перевірка</x:v>
      </x:c>
      <x:c r="V167" s="15" t="str">
        <x:v>Повністю перевірити сайт і поточний проєкт перед контактом</x:v>
      </x:c>
      <x:c r="W167" s="15" t="str">
        <x:v>Власник / директор; керівник ПТО</x:v>
      </x:c>
      <x:c r="X167" s="15" t="str">
        <x:v>Legacy-запис потребує повторної публічної перевірки.</x:v>
      </x:c>
      <x:c r="Y167" s="15" t="str">
        <x:v>Уточнити, які етапи та докази стають недоступними після закриття робіт.</x:v>
      </x:c>
      <x:c r="Z167" s="15" t="str">
        <x:v>https://nik.net.ua</x:v>
      </x:c>
      <x:c r="AA167" s="14" t="str">
        <x:v>31305795</x:v>
      </x:c>
      <x:c r="AB167" s="14" t="str"/>
      <x:c r="AC167" s="14" t="str">
        <x:v>Олександр</x:v>
      </x:c>
      <x:c r="AD167" s="18" t="str"/>
      <x:c r="AE167" s="14" t="str"/>
    </x:row>
    <x:row r="168">
      <x:c r="A168" s="14" t="str">
        <x:v>V2-014</x:v>
      </x:c>
      <x:c r="B168" s="14" t="str">
        <x:v>Legacy 28</x:v>
      </x:c>
      <x:c r="C168" s="14" t="str">
        <x:v>DELA ENERGY GROUP</x:v>
      </x:c>
      <x:c r="D168" s="14" t="str">
        <x:v>Сонячна енергетика</x:v>
      </x:c>
      <x:c r="E168" s="14" t="str">
        <x:v>Requalify</x:v>
      </x:c>
      <x:c r="F168" s="17" t="str">
        <x:f>IF(E168="Pilot now",IF(P168&gt;=84,"P1",IF(P168&gt;=72,"P2","P3")),IF(E168="Expansion discovery",IF(Q168&gt;=88,"D1",IF(Q168&gt;=78,"D2","D3")),IF(E168="Later / requirements","L","Legacy")))</x:f>
        <x:v>Legacy</x:v>
      </x:c>
      <x:c r="G168" s="14" t="str">
        <x:v>delaenergy.systems</x:v>
      </x:c>
      <x:c r="H168" s="14" t="str">
        <x:v>Перекваліфікувати</x:v>
      </x:c>
      <x:c r="I168" s="16" t="str"/>
      <x:c r="J168" s="16" t="str"/>
      <x:c r="K168" s="16" t="str"/>
      <x:c r="L168" s="16" t="str"/>
      <x:c r="M168" s="16" t="str"/>
      <x:c r="N168" s="16" t="str"/>
      <x:c r="O168" s="16" t="str"/>
      <x:c r="P168" s="16" t="str">
        <x:f>IF(COUNT(I168:O168)&lt;7,"",I168*8+J168*3+K168*2+L168*2+M168*2+N168*2+O168)</x:f>
      </x:c>
      <x:c r="Q168" s="16" t="str">
        <x:f>IF(COUNT(J168:O168)&lt;6,"",J168*5+K168*4+M168*4+L168*3+N168*2+O168*2)</x:f>
      </x:c>
      <x:c r="R168" s="14" t="str">
        <x:v>low</x:v>
      </x:c>
      <x:c r="S168" s="14" t="str">
        <x:v>needs_full_reverification</x:v>
      </x:c>
      <x:c r="T168" s="14" t="str">
        <x:v>legacy_not_reverified</x:v>
      </x:c>
      <x:c r="U168" s="14" t="str">
        <x:v>Потрібна повторна перевірка</x:v>
      </x:c>
      <x:c r="V168" s="15" t="str">
        <x:v>Повністю перевірити сайт і поточний проєкт перед контактом</x:v>
      </x:c>
      <x:c r="W168" s="15" t="str">
        <x:v>Власник / директор; керівник ПТО</x:v>
      </x:c>
      <x:c r="X168" s="15" t="str">
        <x:v>Legacy-запис потребує повторної публічної перевірки.</x:v>
      </x:c>
      <x:c r="Y168" s="15" t="str">
        <x:v>Уточнити, які етапи та докази стають недоступними після закриття робіт.</x:v>
      </x:c>
      <x:c r="Z168" s="15" t="str">
        <x:v>https://delaenergy.systems</x:v>
      </x:c>
      <x:c r="AA168" s="14" t="str">
        <x:v>43674904</x:v>
      </x:c>
      <x:c r="AB168" s="14" t="str"/>
      <x:c r="AC168" s="14" t="str">
        <x:v>Олександр</x:v>
      </x:c>
      <x:c r="AD168" s="18" t="str"/>
      <x:c r="AE168" s="14" t="str"/>
    </x:row>
    <x:row r="169">
      <x:c r="A169" s="14" t="str">
        <x:v>V2-021</x:v>
      </x:c>
      <x:c r="B169" s="14" t="str">
        <x:v>Legacy 28</x:v>
      </x:c>
      <x:c r="C169" s="14" t="str">
        <x:v>REC SECURITY LLC</x:v>
      </x:c>
      <x:c r="D169" s="14" t="str">
        <x:v>Слаботочні системи</x:v>
      </x:c>
      <x:c r="E169" s="14" t="str">
        <x:v>Requalify</x:v>
      </x:c>
      <x:c r="F169" s="17" t="str">
        <x:f>IF(E169="Pilot now",IF(P169&gt;=84,"P1",IF(P169&gt;=72,"P2","P3")),IF(E169="Expansion discovery",IF(Q169&gt;=88,"D1",IF(Q169&gt;=78,"D2","D3")),IF(E169="Later / requirements","L","Legacy")))</x:f>
        <x:v>Legacy</x:v>
      </x:c>
      <x:c r="G169" s="14" t="str">
        <x:v>rec-security.com.ua</x:v>
      </x:c>
      <x:c r="H169" s="14" t="str">
        <x:v>Перекваліфікувати</x:v>
      </x:c>
      <x:c r="I169" s="16" t="str"/>
      <x:c r="J169" s="16" t="str"/>
      <x:c r="K169" s="16" t="str"/>
      <x:c r="L169" s="16" t="str"/>
      <x:c r="M169" s="16" t="str"/>
      <x:c r="N169" s="16" t="str"/>
      <x:c r="O169" s="16" t="str"/>
      <x:c r="P169" s="16" t="str">
        <x:f>IF(COUNT(I169:O169)&lt;7,"",I169*8+J169*3+K169*2+L169*2+M169*2+N169*2+O169)</x:f>
      </x:c>
      <x:c r="Q169" s="16" t="str">
        <x:f>IF(COUNT(J169:O169)&lt;6,"",J169*5+K169*4+M169*4+L169*3+N169*2+O169*2)</x:f>
      </x:c>
      <x:c r="R169" s="14" t="str">
        <x:v>low</x:v>
      </x:c>
      <x:c r="S169" s="14" t="str">
        <x:v>needs_full_reverification</x:v>
      </x:c>
      <x:c r="T169" s="14" t="str">
        <x:v>legacy_not_reverified</x:v>
      </x:c>
      <x:c r="U169" s="14" t="str">
        <x:v>Потрібна повторна перевірка</x:v>
      </x:c>
      <x:c r="V169" s="15" t="str">
        <x:v>Повністю перевірити сайт і поточний проєкт перед контактом</x:v>
      </x:c>
      <x:c r="W169" s="15" t="str">
        <x:v>Власник / директор; керівник ПТО</x:v>
      </x:c>
      <x:c r="X169" s="15" t="str">
        <x:v>Legacy-запис потребує повторної публічної перевірки.</x:v>
      </x:c>
      <x:c r="Y169" s="15" t="str">
        <x:v>Уточнити, які етапи та докази стають недоступними після закриття робіт.</x:v>
      </x:c>
      <x:c r="Z169" s="15" t="str">
        <x:v>https://rec-security.com.ua</x:v>
      </x:c>
      <x:c r="AA169" s="14" t="str">
        <x:v>44731360</x:v>
      </x:c>
      <x:c r="AB169" s="14" t="str"/>
      <x:c r="AC169" s="14" t="str">
        <x:v>Олександр</x:v>
      </x:c>
      <x:c r="AD169" s="18" t="str"/>
      <x:c r="AE169" s="14" t="str"/>
    </x:row>
    <x:row r="170">
      <x:c r="AD170" s="19"/>
    </x:row>
    <x:row r="171">
      <x:c r="AD171" s="19"/>
    </x:row>
    <x:row r="172">
      <x:c r="AD172" s="19"/>
    </x:row>
    <x:row r="173">
      <x:c r="AD173" s="19"/>
    </x:row>
    <x:row r="174">
      <x:c r="AD174" s="19"/>
    </x:row>
    <x:row r="175">
      <x:c r="AD175" s="19"/>
    </x:row>
    <x:row r="176">
      <x:c r="AD176" s="19"/>
    </x:row>
    <x:row r="177">
      <x:c r="AD177" s="19"/>
    </x:row>
    <x:row r="178">
      <x:c r="AD178" s="19"/>
    </x:row>
    <x:row r="179">
      <x:c r="AD179" s="19"/>
    </x:row>
    <x:row r="180">
      <x:c r="AD180" s="19"/>
    </x:row>
    <x:row r="181">
      <x:c r="AD181" s="19"/>
    </x:row>
    <x:row r="182">
      <x:c r="AD182" s="19"/>
    </x:row>
    <x:row r="183">
      <x:c r="AD183" s="19"/>
    </x:row>
    <x:row r="184">
      <x:c r="AD184" s="19"/>
    </x:row>
    <x:row r="185">
      <x:c r="AD185" s="19"/>
    </x:row>
    <x:row r="186">
      <x:c r="AD186" s="19"/>
    </x:row>
    <x:row r="187">
      <x:c r="AD187" s="19"/>
    </x:row>
    <x:row r="188">
      <x:c r="AD188" s="19"/>
    </x:row>
    <x:row r="189">
      <x:c r="AD189" s="19"/>
    </x:row>
    <x:row r="190">
      <x:c r="AD190" s="19"/>
    </x:row>
    <x:row r="191">
      <x:c r="AD191" s="19"/>
    </x:row>
    <x:row r="192">
      <x:c r="AD192" s="19"/>
    </x:row>
    <x:row r="193">
      <x:c r="AD193" s="19"/>
    </x:row>
    <x:row r="194">
      <x:c r="AD194" s="19"/>
    </x:row>
    <x:row r="195">
      <x:c r="AD195" s="19"/>
    </x:row>
    <x:row r="196">
      <x:c r="AD196" s="19"/>
    </x:row>
    <x:row r="197">
      <x:c r="AD197" s="19"/>
    </x:row>
    <x:row r="198">
      <x:c r="AD198" s="19"/>
    </x:row>
    <x:row r="199">
      <x:c r="AD199" s="19"/>
    </x:row>
    <x:row r="200">
      <x:c r="AD200" s="19"/>
    </x:row>
    <x:row r="201">
      <x:c r="AD201" s="19"/>
    </x:row>
    <x:row r="202">
      <x:c r="AD202" s="19"/>
    </x:row>
    <x:row r="203">
      <x:c r="AD203" s="19"/>
    </x:row>
    <x:row r="204">
      <x:c r="AD204" s="19"/>
    </x:row>
    <x:row r="205">
      <x:c r="AD205" s="19"/>
    </x:row>
    <x:row r="206">
      <x:c r="AD206" s="19"/>
    </x:row>
    <x:row r="207">
      <x:c r="AD207" s="19"/>
    </x:row>
    <x:row r="208">
      <x:c r="AD208" s="19"/>
    </x:row>
    <x:row r="209">
      <x:c r="AD209" s="19"/>
    </x:row>
    <x:row r="210">
      <x:c r="AD210" s="19"/>
    </x:row>
    <x:row r="211">
      <x:c r="AD211" s="19"/>
    </x:row>
    <x:row r="212">
      <x:c r="AD212" s="19"/>
    </x:row>
    <x:row r="213">
      <x:c r="AD213" s="19"/>
    </x:row>
    <x:row r="214">
      <x:c r="AD214" s="19"/>
    </x:row>
    <x:row r="215">
      <x:c r="AD215" s="19"/>
    </x:row>
    <x:row r="216">
      <x:c r="AD216" s="19"/>
    </x:row>
    <x:row r="217">
      <x:c r="AD217" s="19"/>
    </x:row>
    <x:row r="218">
      <x:c r="AD218" s="19"/>
    </x:row>
    <x:row r="219">
      <x:c r="AD219" s="19"/>
    </x:row>
    <x:row r="220">
      <x:c r="AD220" s="19"/>
    </x:row>
    <x:row r="221">
      <x:c r="AD221" s="19"/>
    </x:row>
    <x:row r="222">
      <x:c r="AD222" s="19"/>
    </x:row>
    <x:row r="223">
      <x:c r="AD223" s="19"/>
    </x:row>
    <x:row r="224">
      <x:c r="AD224" s="19"/>
    </x:row>
    <x:row r="225">
      <x:c r="AD225" s="19"/>
    </x:row>
    <x:row r="226">
      <x:c r="AD226" s="19"/>
    </x:row>
    <x:row r="227">
      <x:c r="AD227" s="19"/>
    </x:row>
    <x:row r="228">
      <x:c r="AD228" s="19"/>
    </x:row>
    <x:row r="229">
      <x:c r="AD229" s="19"/>
    </x:row>
    <x:row r="230">
      <x:c r="AD230" s="19"/>
    </x:row>
    <x:row r="231">
      <x:c r="AD231" s="19"/>
    </x:row>
    <x:row r="232">
      <x:c r="AD232" s="19"/>
    </x:row>
    <x:row r="233">
      <x:c r="AD233" s="19"/>
    </x:row>
    <x:row r="234">
      <x:c r="AD234" s="19"/>
    </x:row>
    <x:row r="235">
      <x:c r="AD235" s="19"/>
    </x:row>
    <x:row r="236">
      <x:c r="AD236" s="19"/>
    </x:row>
    <x:row r="237">
      <x:c r="AD237" s="19"/>
    </x:row>
    <x:row r="238">
      <x:c r="AD238" s="19"/>
    </x:row>
    <x:row r="239">
      <x:c r="AD239" s="19"/>
    </x:row>
    <x:row r="240">
      <x:c r="AD240" s="19"/>
    </x:row>
    <x:row r="241">
      <x:c r="AD241" s="19"/>
    </x:row>
    <x:row r="242">
      <x:c r="AD242" s="19"/>
    </x:row>
    <x:row r="243">
      <x:c r="AD243" s="19"/>
    </x:row>
    <x:row r="244">
      <x:c r="AD244" s="19"/>
    </x:row>
    <x:row r="245">
      <x:c r="AD245" s="19"/>
    </x:row>
    <x:row r="246">
      <x:c r="AD246" s="19"/>
    </x:row>
    <x:row r="247">
      <x:c r="AD247" s="19"/>
    </x:row>
    <x:row r="248">
      <x:c r="AD248" s="19"/>
    </x:row>
    <x:row r="249">
      <x:c r="AD249" s="19"/>
    </x:row>
    <x:row r="250">
      <x:c r="AD250" s="19"/>
    </x:row>
    <x:row r="251">
      <x:c r="AD251" s="19"/>
    </x:row>
    <x:row r="252">
      <x:c r="AD252" s="19"/>
    </x:row>
    <x:row r="253">
      <x:c r="AD253" s="19"/>
    </x:row>
    <x:row r="254">
      <x:c r="AD254" s="19"/>
    </x:row>
    <x:row r="255">
      <x:c r="AD255" s="19"/>
    </x:row>
    <x:row r="256">
      <x:c r="AD256" s="19"/>
    </x:row>
    <x:row r="257">
      <x:c r="AD257" s="19"/>
    </x:row>
    <x:row r="258">
      <x:c r="AD258" s="19"/>
    </x:row>
    <x:row r="259">
      <x:c r="AD259" s="19"/>
    </x:row>
    <x:row r="260">
      <x:c r="AD260" s="19"/>
    </x:row>
    <x:row r="261">
      <x:c r="AD261" s="19"/>
    </x:row>
    <x:row r="262">
      <x:c r="AD262" s="19"/>
    </x:row>
    <x:row r="263">
      <x:c r="AD263" s="19"/>
    </x:row>
    <x:row r="264">
      <x:c r="AD264" s="19"/>
    </x:row>
    <x:row r="265">
      <x:c r="AD265" s="19"/>
    </x:row>
    <x:row r="266">
      <x:c r="AD266" s="19"/>
    </x:row>
    <x:row r="267">
      <x:c r="AD267" s="19"/>
    </x:row>
    <x:row r="268">
      <x:c r="AD268" s="19"/>
    </x:row>
    <x:row r="269">
      <x:c r="AD269" s="19"/>
    </x:row>
    <x:row r="270">
      <x:c r="AD270" s="19"/>
    </x:row>
    <x:row r="271">
      <x:c r="AD271" s="19"/>
    </x:row>
    <x:row r="272">
      <x:c r="AD272" s="19"/>
    </x:row>
    <x:row r="273">
      <x:c r="AD273" s="19"/>
    </x:row>
    <x:row r="274">
      <x:c r="AD274" s="19"/>
    </x:row>
    <x:row r="275">
      <x:c r="AD275" s="19"/>
    </x:row>
    <x:row r="276">
      <x:c r="AD276" s="19"/>
    </x:row>
    <x:row r="277">
      <x:c r="AD277" s="19"/>
    </x:row>
    <x:row r="278">
      <x:c r="AD278" s="19"/>
    </x:row>
    <x:row r="279">
      <x:c r="AD279" s="19"/>
    </x:row>
    <x:row r="280">
      <x:c r="AD280" s="19"/>
    </x:row>
    <x:row r="281">
      <x:c r="AD281" s="19"/>
    </x:row>
    <x:row r="282">
      <x:c r="AD282" s="19"/>
    </x:row>
    <x:row r="283">
      <x:c r="AD283" s="19"/>
    </x:row>
    <x:row r="284">
      <x:c r="AD284" s="19"/>
    </x:row>
    <x:row r="285">
      <x:c r="AD285" s="19"/>
    </x:row>
    <x:row r="286">
      <x:c r="AD286" s="19"/>
    </x:row>
    <x:row r="287">
      <x:c r="AD287" s="19"/>
    </x:row>
    <x:row r="288">
      <x:c r="AD288" s="19"/>
    </x:row>
    <x:row r="289">
      <x:c r="AD289" s="19"/>
    </x:row>
    <x:row r="290">
      <x:c r="AD290" s="19"/>
    </x:row>
    <x:row r="291">
      <x:c r="AD291" s="19"/>
    </x:row>
    <x:row r="292">
      <x:c r="AD292" s="19"/>
    </x:row>
    <x:row r="293">
      <x:c r="AD293" s="19"/>
    </x:row>
    <x:row r="294">
      <x:c r="AD294" s="19"/>
    </x:row>
    <x:row r="295">
      <x:c r="AD295" s="19"/>
    </x:row>
    <x:row r="296">
      <x:c r="AD296" s="19"/>
    </x:row>
    <x:row r="297">
      <x:c r="AD297" s="19"/>
    </x:row>
    <x:row r="298">
      <x:c r="AD298" s="19"/>
    </x:row>
    <x:row r="299">
      <x:c r="AD299" s="19"/>
    </x:row>
    <x:row r="300">
      <x:c r="AD300" s="19"/>
    </x:row>
  </x:sheetData>
  <x:mergeCells>
    <x:mergeCell ref="A1:AE1"/>
    <x:mergeCell ref="A2:AE2"/>
    <x:mergeCell ref="A3:AE3"/>
  </x:mergeCells>
  <x:conditionalFormatting sqref="F5:F169">
    <x:cfRule type="beginsWith" dxfId="0" priority="1" operator="beginsWith" text="P"/>
    <x:cfRule type="beginsWith" dxfId="1" priority="2" operator="beginsWith" text="D"/>
    <x:cfRule type="containsText" dxfId="2" priority="3" operator="containsText" text="L"/>
  </x:conditionalFormatting>
  <x:conditionalFormatting sqref="P5:Q169">
    <x:cfRule type="colorScale" priority="4">
      <x:colorScale>
        <x:cfvo type="min"/>
        <x:cfvo type="percentile" val="50"/>
        <x:cfvo type="max"/>
        <x:color rgb="FFFDECEC"/>
        <x:color rgb="FFFFF4D6"/>
        <x:color rgb="FFE9F7ED"/>
      </x:colorScale>
    </x:cfRule>
  </x:conditionalFormatting>
  <x:conditionalFormatting sqref="R5:R169">
    <x:cfRule type="containsText" dxfId="3" priority="5" operator="containsText" text="high"/>
    <x:cfRule type="containsText" dxfId="4" priority="6" operator="containsText" text="low"/>
  </x:conditionalFormatting>
  <x:dataValidations count="1">
    <x:dataValidation type="list" sqref="U5:U300">
      <x:formula1>"Новий — не контактували,Потрібна повторна перевірка,Надіслано 28.07 — follow-up,Відповів,Кваліфікаційна розмова,Артефакт отримано,Пілот запропоновано,Пілот погоджено,Не зараз,Не fit"</x:formula1>
    </x:dataValidation>
  </x:dataValidations>
  <x:pageMargins left="0.7" right="0.7" top="0.75" bottom="0.75" header="0.3" footer="0.3"/>
  <x:tableParts count="1">
    <x:tablePart xmlns:r="http://schemas.openxmlformats.org/officeDocument/2006/relationships" r:id="R781eccb8c01b4329"/>
  </x:tableParts>
</x:worksheet>
</file>

<file path=xl/worksheets/sheet3.xml><?xml version="1.0" encoding="utf-8"?>
<x:worksheet xmlns:x="http://schemas.openxmlformats.org/spreadsheetml/2006/main">
  <x:sheetFormatPr defaultRowHeight="15"/>
  <x:cols>
    <x:col min="1" max="1" width="30" hidden="0" customWidth="1"/>
    <x:col min="2" max="2" width="10" hidden="0" customWidth="1"/>
    <x:col min="3" max="3" width="12" hidden="0" customWidth="1"/>
    <x:col min="4" max="4" width="10" hidden="0" customWidth="1"/>
    <x:col min="5" max="5" width="10" hidden="0" customWidth="1"/>
    <x:col min="6" max="6" width="12" hidden="0" customWidth="1"/>
    <x:col min="7" max="7" width="24" hidden="0" customWidth="1"/>
    <x:col min="8" max="8" width="38" hidden="0" customWidth="1"/>
    <x:col min="9" max="9" width="38" hidden="0" customWidth="1"/>
    <x:col min="10" max="10" width="38" hidden="0" customWidth="1"/>
  </x:cols>
  <x:sheetData>
    <x:row r="1" ht="34" customHeight="1">
      <x:c r="A1" s="3" t="str">
        <x:v>Карта вертикалей</x:v>
      </x:c>
      <x:c r="B1" s="3"/>
      <x:c r="C1" s="3"/>
      <x:c r="D1" s="3"/>
      <x:c r="E1" s="3"/>
      <x:c r="F1" s="3"/>
      <x:c r="G1" s="3"/>
      <x:c r="H1" s="3"/>
      <x:c r="I1" s="3"/>
      <x:c r="J1" s="3"/>
    </x:row>
    <x:row r="2" ht="22" customHeight="1">
      <x:c r="A2" s="5" t="str">
        <x:v>Розширення заяви: де однакова проблема — докази потрібно зібрати до того, як робота стане недоступною</x:v>
      </x:c>
      <x:c r="B2" s="5"/>
      <x:c r="C2" s="5"/>
      <x:c r="D2" s="5"/>
      <x:c r="E2" s="5"/>
      <x:c r="F2" s="5"/>
      <x:c r="G2" s="5"/>
      <x:c r="H2" s="5"/>
      <x:c r="I2" s="5"/>
      <x:c r="J2" s="5"/>
    </x:row>
    <x:row r="4">
      <x:c r="A4" s="11" t="str">
        <x:v>Вертикаль</x:v>
      </x:c>
      <x:c r="B4" s="11" t="str">
        <x:v>Компаній</x:v>
      </x:c>
      <x:c r="C4" s="11" t="str">
        <x:v>Покриття зараз</x:v>
      </x:c>
      <x:c r="D4" s="11" t="str">
        <x:v>Workflow fit</x:v>
      </x:c>
      <x:c r="E4" s="11" t="str">
        <x:v>Прихованість</x:v>
      </x:c>
      <x:c r="F4" s="11" t="str">
        <x:v>Документація</x:v>
      </x:c>
      <x:c r="G4" s="11" t="str">
        <x:v>Маршрут</x:v>
      </x:c>
      <x:c r="H4" s="11" t="str">
        <x:v>Що закривається</x:v>
      </x:c>
      <x:c r="I4" s="11" t="str">
        <x:v>Перший артефакт</x:v>
      </x:c>
      <x:c r="J4" s="11" t="str">
        <x:v>Початковий CTA</x:v>
      </x:c>
    </x:row>
    <x:row r="5" ht="42" customHeight="1">
      <x:c r="A5" s="55" t="str">
        <x:v>Покрівлі та гідроізоляція</x:v>
      </x:c>
      <x:c r="B5" s="53" t="n">
        <x:v>11</x:v>
      </x:c>
      <x:c r="C5" s="53" t="n">
        <x:v>0</x:v>
      </x:c>
      <x:c r="D5" s="53" t="n">
        <x:v>5</x:v>
      </x:c>
      <x:c r="E5" s="53" t="n">
        <x:v>5</x:v>
      </x:c>
      <x:c r="F5" s="53" t="n">
        <x:v>4</x:v>
      </x:c>
      <x:c r="G5" s="15" t="str">
        <x:v>Discovery</x:v>
      </x:c>
      <x:c r="H5" s="15" t="str">
        <x:v>Покрівельний пиріг, шви, примикання</x:v>
      </x:c>
      <x:c r="I5" s="15" t="str">
        <x:v>Фото вузлів + акт прихованих робіт</x:v>
      </x:c>
      <x:c r="J5" s="15" t="str">
        <x:v>Покажіть 1 типовий пакет до гарантії</x:v>
      </x:c>
    </x:row>
    <x:row r="6" ht="42" customHeight="1">
      <x:c r="A6" s="55" t="str">
        <x:v>Вентильовані фасади та скління</x:v>
      </x:c>
      <x:c r="B6" s="53" t="n">
        <x:v>5</x:v>
      </x:c>
      <x:c r="C6" s="53" t="n">
        <x:v>0</x:v>
      </x:c>
      <x:c r="D6" s="53" t="n">
        <x:v>5</x:v>
      </x:c>
      <x:c r="E6" s="53" t="n">
        <x:v>5</x:v>
      </x:c>
      <x:c r="F6" s="53" t="n">
        <x:v>4</x:v>
      </x:c>
      <x:c r="G6" s="15" t="str">
        <x:v>Discovery</x:v>
      </x:c>
      <x:c r="H6" s="15" t="str">
        <x:v>Анкери, утеплення, мембрани, відсічки</x:v>
      </x:c>
      <x:c r="I6" s="15" t="str">
        <x:v>Фото кронштейнів / утеплення</x:v>
      </x:c>
      <x:c r="J6" s="15" t="str">
        <x:v>Як технагляд приймає до облицювання?</x:v>
      </x:c>
    </x:row>
    <x:row r="7" ht="42" customHeight="1">
      <x:c r="A7" s="55" t="str">
        <x:v>Промислові підлоги та бетон</x:v>
      </x:c>
      <x:c r="B7" s="53" t="n">
        <x:v>5</x:v>
      </x:c>
      <x:c r="C7" s="53" t="n">
        <x:v>0</x:v>
      </x:c>
      <x:c r="D7" s="53" t="n">
        <x:v>5</x:v>
      </x:c>
      <x:c r="E7" s="53" t="n">
        <x:v>4</x:v>
      </x:c>
      <x:c r="F7" s="53" t="n">
        <x:v>4</x:v>
      </x:c>
      <x:c r="G7" s="15" t="str">
        <x:v>Discovery</x:v>
      </x:c>
      <x:c r="H7" s="15" t="str">
        <x:v>Основа, армування, шви, вологість</x:v>
      </x:c>
      <x:c r="I7" s="15" t="str">
        <x:v>Карта заливки + протоколи основи</x:v>
      </x:c>
      <x:c r="J7" s="15" t="str">
        <x:v>Покажіть 1 карту контролю перед заливкою</x:v>
      </x:c>
    </x:row>
    <x:row r="8" ht="42" customHeight="1">
      <x:c r="A8" s="55" t="str">
        <x:v>Палі, фундаменти та підсилення</x:v>
      </x:c>
      <x:c r="B8" s="53" t="n">
        <x:v>7</x:v>
      </x:c>
      <x:c r="C8" s="53" t="n">
        <x:v>0</x:v>
      </x:c>
      <x:c r="D8" s="53" t="n">
        <x:v>5</x:v>
      </x:c>
      <x:c r="E8" s="53" t="n">
        <x:v>5</x:v>
      </x:c>
      <x:c r="F8" s="53" t="n">
        <x:v>5</x:v>
      </x:c>
      <x:c r="G8" s="15" t="str">
        <x:v>Discovery</x:v>
      </x:c>
      <x:c r="H8" s="15" t="str">
        <x:v>Армування, глибина, бетонування</x:v>
      </x:c>
      <x:c r="I8" s="15" t="str">
        <x:v>Журнал паль / випробування</x:v>
      </x:c>
      <x:c r="J8" s="15" t="str">
        <x:v>Де зараз збирається доказ по кожній палі?</x:v>
      </x:c>
    </x:row>
    <x:row r="9" ht="42" customHeight="1">
      <x:c r="A9" s="55" t="str">
        <x:v>Металоконструкції та монтаж</x:v>
      </x:c>
      <x:c r="B9" s="53" t="n">
        <x:v>7</x:v>
      </x:c>
      <x:c r="C9" s="53" t="n">
        <x:v>1</x:v>
      </x:c>
      <x:c r="D9" s="53" t="n">
        <x:v>4</x:v>
      </x:c>
      <x:c r="E9" s="53" t="n">
        <x:v>3</x:v>
      </x:c>
      <x:c r="F9" s="53" t="n">
        <x:v>5</x:v>
      </x:c>
      <x:c r="G9" s="15" t="str">
        <x:v>Discovery</x:v>
      </x:c>
      <x:c r="H9" s="15" t="str">
        <x:v>Зварні/болтові вузли, покриття</x:v>
      </x:c>
      <x:c r="I9" s="15" t="str">
        <x:v>Журнал зварювання + акти</x:v>
      </x:c>
      <x:c r="J9" s="15" t="str">
        <x:v>Який пакет повертає технагляд?</x:v>
      </x:c>
    </x:row>
    <x:row r="10" ht="42" customHeight="1">
      <x:c r="A10" s="55" t="str">
        <x:v>Пасивний вогнезахист</x:v>
      </x:c>
      <x:c r="B10" s="53" t="n">
        <x:v>5</x:v>
      </x:c>
      <x:c r="C10" s="53" t="n">
        <x:v>1</x:v>
      </x:c>
      <x:c r="D10" s="53" t="n">
        <x:v>5</x:v>
      </x:c>
      <x:c r="E10" s="53" t="n">
        <x:v>5</x:v>
      </x:c>
      <x:c r="F10" s="53" t="n">
        <x:v>5</x:v>
      </x:c>
      <x:c r="G10" s="15" t="str">
        <x:v>Discovery</x:v>
      </x:c>
      <x:c r="H10" s="15" t="str">
        <x:v>Товщина, проходки, підготовка</x:v>
      </x:c>
      <x:c r="I10" s="15" t="str">
        <x:v>Акт обробки + заміри товщини</x:v>
      </x:c>
      <x:c r="J10" s="15" t="str">
        <x:v>Покажіть пакет перед закриттям оздоблення</x:v>
      </x:c>
    </x:row>
    <x:row r="11" ht="42" customHeight="1">
      <x:c r="A11" s="55" t="str">
        <x:v>Промислова теплоізоляція</x:v>
      </x:c>
      <x:c r="B11" s="53" t="n">
        <x:v>3</x:v>
      </x:c>
      <x:c r="C11" s="53" t="n">
        <x:v>1</x:v>
      </x:c>
      <x:c r="D11" s="53" t="n">
        <x:v>5</x:v>
      </x:c>
      <x:c r="E11" s="53" t="n">
        <x:v>5</x:v>
      </x:c>
      <x:c r="F11" s="53" t="n">
        <x:v>4</x:v>
      </x:c>
      <x:c r="G11" s="15" t="str">
        <x:v>Discovery</x:v>
      </x:c>
      <x:c r="H11" s="15" t="str">
        <x:v>Труби й ізоляція під кожухом</x:v>
      </x:c>
      <x:c r="I11" s="15" t="str">
        <x:v>Фото поверхні, товщини, швів</x:v>
      </x:c>
      <x:c r="J11" s="15" t="str">
        <x:v>Як доводите шар до монтажу кожуха?</x:v>
      </x:c>
    </x:row>
    <x:row r="12" ht="42" customHeight="1">
      <x:c r="A12" s="55" t="str">
        <x:v>СКС, BMS та слаботочка</x:v>
      </x:c>
      <x:c r="B12" s="53" t="n">
        <x:v>9</x:v>
      </x:c>
      <x:c r="C12" s="53" t="n">
        <x:v>3</x:v>
      </x:c>
      <x:c r="D12" s="53" t="n">
        <x:v>5</x:v>
      </x:c>
      <x:c r="E12" s="53" t="n">
        <x:v>5</x:v>
      </x:c>
      <x:c r="F12" s="53" t="n">
        <x:v>5</x:v>
      </x:c>
      <x:c r="G12" s="15" t="str">
        <x:v>Discovery / partial Н.15</x:v>
      </x:c>
      <x:c r="H12" s="15" t="str">
        <x:v>Траси, маркування, порт-тести</x:v>
      </x:c>
      <x:c r="I12" s="15" t="str">
        <x:v>Протокол Fluke / пусконалагодження</x:v>
      </x:c>
      <x:c r="J12" s="15" t="str">
        <x:v>Покажіть пакет здачі одного поверху</x:v>
      </x:c>
    </x:row>
    <x:row r="13" ht="42" customHeight="1">
      <x:c r="A13" s="55" t="str">
        <x:v>Чисті приміщення</x:v>
      </x:c>
      <x:c r="B13" s="53" t="n">
        <x:v>3</x:v>
      </x:c>
      <x:c r="C13" s="53" t="n">
        <x:v>3</x:v>
      </x:c>
      <x:c r="D13" s="53" t="n">
        <x:v>5</x:v>
      </x:c>
      <x:c r="E13" s="53" t="n">
        <x:v>5</x:v>
      </x:c>
      <x:c r="F13" s="53" t="n">
        <x:v>5</x:v>
      </x:c>
      <x:c r="G13" s="15" t="str">
        <x:v>Discovery / partial Н.14/15</x:v>
      </x:c>
      <x:c r="H13" s="15" t="str">
        <x:v>Герметичність, HEPA, автоматика</x:v>
      </x:c>
      <x:c r="I13" s="15" t="str">
        <x:v>Кваліфікаційний протокол</x:v>
      </x:c>
      <x:c r="J13" s="15" t="str">
        <x:v>Розберімо один failed validation пакет</x:v>
      </x:c>
    </x:row>
    <x:row r="14" ht="42" customHeight="1">
      <x:c r="A14" s="55" t="str">
        <x:v>Ліфти та ескалатори</x:v>
      </x:c>
      <x:c r="B14" s="53" t="n">
        <x:v>5</x:v>
      </x:c>
      <x:c r="C14" s="53" t="n">
        <x:v>1</x:v>
      </x:c>
      <x:c r="D14" s="53" t="n">
        <x:v>4</x:v>
      </x:c>
      <x:c r="E14" s="53" t="n">
        <x:v>4</x:v>
      </x:c>
      <x:c r="F14" s="53" t="n">
        <x:v>5</x:v>
      </x:c>
      <x:c r="G14" s="15" t="str">
        <x:v>Discovery</x:v>
      </x:c>
      <x:c r="H14" s="15" t="str">
        <x:v>Закладні, напрямні, електрика</x:v>
      </x:c>
      <x:c r="I14" s="15" t="str">
        <x:v>Акти монтажу + випробування</x:v>
      </x:c>
      <x:c r="J14" s="15" t="str">
        <x:v>Де губиться доказ до постановки на облік?</x:v>
      </x:c>
    </x:row>
    <x:row r="15" ht="42" customHeight="1">
      <x:c r="A15" s="55" t="str">
        <x:v>Басейни та SPA</x:v>
      </x:c>
      <x:c r="B15" s="53" t="n">
        <x:v>3</x:v>
      </x:c>
      <x:c r="C15" s="53" t="n">
        <x:v>3</x:v>
      </x:c>
      <x:c r="D15" s="53" t="n">
        <x:v>5</x:v>
      </x:c>
      <x:c r="E15" s="53" t="n">
        <x:v>5</x:v>
      </x:c>
      <x:c r="F15" s="53" t="n">
        <x:v>5</x:v>
      </x:c>
      <x:c r="G15" s="15" t="str">
        <x:v>Discovery / partial Н.14/15</x:v>
      </x:c>
      <x:c r="H15" s="15" t="str">
        <x:v>Закладні, труби, гідроізоляція</x:v>
      </x:c>
      <x:c r="I15" s="15" t="str">
        <x:v>Фото закладних + гідротест</x:v>
      </x:c>
      <x:c r="J15" s="15" t="str">
        <x:v>Покажіть один пакет перед оздобленням чаші</x:v>
      </x:c>
    </x:row>
    <x:row r="16" ht="42" customHeight="1">
      <x:c r="A16" s="56" t="str">
        <x:v>Дорожні роботи</x:v>
      </x:c>
      <x:c r="B16" s="54" t="n">
        <x:v>1</x:v>
      </x:c>
      <x:c r="C16" s="54" t="n">
        <x:v>0</x:v>
      </x:c>
      <x:c r="D16" s="54" t="n">
        <x:v>5</x:v>
      </x:c>
      <x:c r="E16" s="54" t="n">
        <x:v>5</x:v>
      </x:c>
      <x:c r="F16" s="54" t="n">
        <x:v>5</x:v>
      </x:c>
      <x:c r="G16" s="52" t="str">
        <x:v>Discovery</x:v>
      </x:c>
      <x:c r="H16" s="52" t="str">
        <x:v>Основа, шари, ущільнення</x:v>
      </x:c>
      <x:c r="I16" s="52" t="str">
        <x:v>Лабораторний протокол + фото шару</x:v>
      </x:c>
      <x:c r="J16" s="52" t="str">
        <x:v>Як здається шар до наступного покриття?</x:v>
      </x:c>
    </x:row>
  </x:sheetData>
  <x:mergeCells>
    <x:mergeCell ref="A1:J1"/>
    <x:mergeCell ref="A2:J2"/>
  </x:mergeCell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4" customHeight="1">
      <x:c r="A1" s="3" t="str">
        <x:v>Два безкоштовні офери замість одного</x:v>
      </x:c>
      <x:c r="B1" s="3"/>
      <x:c r="C1" s="3"/>
      <x:c r="D1" s="3"/>
      <x:c r="E1" s="3"/>
      <x:c r="F1" s="3"/>
      <x:c r="G1" s="3"/>
      <x:c r="H1" s="3"/>
      <x:c r="I1" s="3"/>
      <x:c r="J1" s="3"/>
    </x:row>
    <x:row r="2" ht="22" customHeight="1">
      <x:c r="A2" s="5" t="str">
        <x:v>Пілот доводить цінність на поточному покритті; discovery sprint перевіряє нову вертикаль без фальшивої обіцянки готового продукту</x:v>
      </x:c>
      <x:c r="B2" s="5"/>
      <x:c r="C2" s="5"/>
      <x:c r="D2" s="5"/>
      <x:c r="E2" s="5"/>
      <x:c r="F2" s="5"/>
      <x:c r="G2" s="5"/>
      <x:c r="H2" s="5"/>
      <x:c r="I2" s="5"/>
      <x:c r="J2" s="5"/>
    </x:row>
    <x:row r="4">
      <x:c r="A4" s="23" t="str">
        <x:v>A. Design-partner пілот — Pilot now</x:v>
      </x:c>
      <x:c r="B4" s="23"/>
      <x:c r="C4" s="23"/>
      <x:c r="D4" s="23"/>
      <x:c r="E4" s="23"/>
      <x:c r="F4" s="23" t="str">
        <x:v>B. Workflow discovery sprint — Expansion</x:v>
      </x:c>
      <x:c r="G4" s="23"/>
      <x:c r="H4" s="23"/>
      <x:c r="I4" s="23"/>
      <x:c r="J4" s="23"/>
    </x:row>
    <x:row r="5">
      <x:c r="A5" s="60" t="str">
        <x:v>30–45 днів на одному активному проєкті без ліцензійної плати. Підходить для внутрішніх сантехнічних/HVAC та електромонтажних робіт у межах погодженого Н.14/Н.15 subset.</x:v>
      </x:c>
      <x:c r="B5" s="60"/>
      <x:c r="C5" s="60"/>
      <x:c r="D5" s="60"/>
      <x:c r="E5" s="60"/>
      <x:c r="F5" s="64" t="str">
        <x:v>2 тижні без ліцензійної плати: розібрати один реальний пакет приймання, вимоги проєкту та ролі. Результат — карта workflow, verdict fit/no-fit і вузький scope майбутнього пілоту.</x:v>
      </x:c>
      <x:c r="G5" s="64"/>
      <x:c r="H5" s="64"/>
      <x:c r="I5" s="64"/>
      <x:c r="J5" s="64"/>
    </x:row>
    <x:row r="6">
      <x:c r="A6" s="60"/>
      <x:c r="B6" s="60"/>
      <x:c r="C6" s="60"/>
      <x:c r="D6" s="60"/>
      <x:c r="E6" s="60"/>
      <x:c r="F6" s="64"/>
      <x:c r="G6" s="64"/>
      <x:c r="H6" s="64"/>
      <x:c r="I6" s="64"/>
      <x:c r="J6" s="64"/>
    </x:row>
    <x:row r="7">
      <x:c r="A7" s="60"/>
      <x:c r="B7" s="60"/>
      <x:c r="C7" s="60"/>
      <x:c r="D7" s="60"/>
      <x:c r="E7" s="60"/>
      <x:c r="F7" s="64"/>
      <x:c r="G7" s="64"/>
      <x:c r="H7" s="64"/>
      <x:c r="I7" s="64"/>
      <x:c r="J7" s="64"/>
    </x:row>
    <x:row r="9">
      <x:c r="A9" s="23" t="str">
        <x:v>Умови входу</x:v>
      </x:c>
      <x:c r="B9" s="23"/>
      <x:c r="C9" s="23"/>
      <x:c r="D9" s="23"/>
      <x:c r="E9" s="23"/>
      <x:c r="F9" s="23" t="str">
        <x:v>Умови входу</x:v>
      </x:c>
      <x:c r="G9" s="23"/>
      <x:c r="H9" s="23"/>
      <x:c r="I9" s="23"/>
      <x:c r="J9" s="23"/>
    </x:row>
    <x:row r="10" ht="31" customHeight="1">
      <x:c r="A10" s="65" t="str">
        <x:v>• Один активний проєкт і названий спонсор.</x:v>
      </x:c>
      <x:c r="B10" s="65"/>
      <x:c r="C10" s="65"/>
      <x:c r="D10" s="65"/>
      <x:c r="E10" s="65"/>
      <x:c r="F10" s="65" t="str">
        <x:v>• Один реальний пакет приймання з нової вертикалі.</x:v>
      </x:c>
      <x:c r="G10" s="65"/>
      <x:c r="H10" s="65"/>
      <x:c r="I10" s="65"/>
      <x:c r="J10" s="65"/>
    </x:row>
    <x:row r="11" ht="31" customHeight="1">
      <x:c r="A11" s="65" t="str">
        <x:v>• ПТО, майстер і рев’юер.</x:v>
      </x:c>
      <x:c r="B11" s="65"/>
      <x:c r="C11" s="65"/>
      <x:c r="D11" s="65"/>
      <x:c r="E11" s="65"/>
      <x:c r="F11" s="65" t="str">
        <x:v>• Вимоги / специфікація конкретного проєкту.</x:v>
      </x:c>
      <x:c r="G11" s="65"/>
      <x:c r="H11" s="65"/>
      <x:c r="I11" s="65"/>
      <x:c r="J11" s="65"/>
    </x:row>
    <x:row r="12" ht="31" customHeight="1">
      <x:c r="A12" s="65" t="str">
        <x:v>• Один анонімізований акт/АВР або пакет фото.</x:v>
      </x:c>
      <x:c r="B12" s="65"/>
      <x:c r="C12" s="65"/>
      <x:c r="D12" s="65"/>
      <x:c r="E12" s="65"/>
      <x:c r="F12" s="65" t="str">
        <x:v>• 60 хв з виконробом або ПТО.</x:v>
      </x:c>
      <x:c r="G12" s="65"/>
      <x:c r="H12" s="65"/>
      <x:c r="I12" s="65"/>
      <x:c r="J12" s="65"/>
    </x:row>
    <x:row r="13" ht="31" customHeight="1">
      <x:c r="A13" s="65" t="str">
        <x:v>• 30 хв щотижня.</x:v>
      </x:c>
      <x:c r="B13" s="65"/>
      <x:c r="C13" s="65"/>
      <x:c r="D13" s="65"/>
      <x:c r="E13" s="65"/>
      <x:c r="F13" s="65" t="str">
        <x:v>• 30 хв з рев’юером / технаглядом.</x:v>
      </x:c>
      <x:c r="G13" s="65"/>
      <x:c r="H13" s="65"/>
      <x:c r="I13" s="65"/>
      <x:c r="J13" s="65"/>
    </x:row>
    <x:row r="14" ht="31" customHeight="1">
      <x:c r="A14" s="65" t="str">
        <x:v>• Метрики до/після.</x:v>
      </x:c>
      <x:c r="B14" s="65"/>
      <x:c r="C14" s="65"/>
      <x:c r="D14" s="65"/>
      <x:c r="E14" s="65"/>
      <x:c r="F14" s="65" t="str">
        <x:v>• Дозвіл змоделювати 1 вузький workflow.</x:v>
      </x:c>
      <x:c r="G14" s="65"/>
      <x:c r="H14" s="65"/>
      <x:c r="I14" s="65"/>
      <x:c r="J14" s="65"/>
    </x:row>
    <x:row r="15" ht="31" customHeight="1">
      <x:c r="A15" s="66" t="str">
        <x:v>• Go/no-go на 30–45 день.</x:v>
      </x:c>
      <x:c r="B15" s="66"/>
      <x:c r="C15" s="66"/>
      <x:c r="D15" s="66"/>
      <x:c r="E15" s="66"/>
      <x:c r="F15" s="66" t="str">
        <x:v>• Жодної обіцянки інтеграції чи повного покриття.</x:v>
      </x:c>
      <x:c r="G15" s="66"/>
      <x:c r="H15" s="66"/>
      <x:c r="I15" s="66"/>
      <x:c r="J15" s="66"/>
    </x:row>
    <x:row r="17">
      <x:c r="A17" s="23" t="str">
        <x:v>Метрики пілоту</x:v>
      </x:c>
      <x:c r="B17" s="23"/>
      <x:c r="C17" s="23"/>
      <x:c r="D17" s="23"/>
      <x:c r="E17" s="23"/>
      <x:c r="F17" s="23" t="str">
        <x:v>Результат discovery sprint</x:v>
      </x:c>
      <x:c r="G17" s="23"/>
      <x:c r="H17" s="23"/>
      <x:c r="I17" s="23"/>
      <x:c r="J17" s="23"/>
    </x:row>
    <x:row r="18" ht="31" customHeight="1">
      <x:c r="A18" s="65" t="str">
        <x:v>1. Приймання з першого перегляду.</x:v>
      </x:c>
      <x:c r="B18" s="65"/>
      <x:c r="C18" s="65"/>
      <x:c r="D18" s="65"/>
      <x:c r="E18" s="65"/>
      <x:c r="F18" s="65" t="str">
        <x:v>1. Підтверджений або спростований workflow pain.</x:v>
      </x:c>
      <x:c r="G18" s="65"/>
      <x:c r="H18" s="65"/>
      <x:c r="I18" s="65"/>
      <x:c r="J18" s="65"/>
    </x:row>
    <x:row r="19" ht="31" customHeight="1">
      <x:c r="A19" s="65" t="str">
        <x:v>2. Час до рішення рев’юера.</x:v>
      </x:c>
      <x:c r="B19" s="65"/>
      <x:c r="C19" s="65"/>
      <x:c r="D19" s="65"/>
      <x:c r="E19" s="65"/>
      <x:c r="F19" s="65" t="str">
        <x:v>2. Список вимог і джерел істини.</x:v>
      </x:c>
      <x:c r="G19" s="65"/>
      <x:c r="H19" s="65"/>
      <x:c r="I19" s="65"/>
      <x:c r="J19" s="65"/>
    </x:row>
    <x:row r="20" ht="31" customHeight="1">
      <x:c r="A20" s="65" t="str">
        <x:v>3. Докази до закриття робіт.</x:v>
      </x:c>
      <x:c r="B20" s="65"/>
      <x:c r="C20" s="65"/>
      <x:c r="D20" s="65"/>
      <x:c r="E20" s="65"/>
      <x:c r="F20" s="65" t="str">
        <x:v>3. Карта ролей і handoff.</x:v>
      </x:c>
      <x:c r="G20" s="65"/>
      <x:c r="H20" s="65"/>
      <x:c r="I20" s="65"/>
      <x:c r="J20" s="65"/>
    </x:row>
    <x:row r="21" ht="31" customHeight="1">
      <x:c r="A21" s="65" t="str">
        <x:v>4. Повернення через неповний пакет.</x:v>
      </x:c>
      <x:c r="B21" s="65"/>
      <x:c r="C21" s="65"/>
      <x:c r="D21" s="65"/>
      <x:c r="E21" s="65"/>
      <x:c r="F21" s="65" t="str">
        <x:v>4. Один прототип пакета приймання.</x:v>
      </x:c>
      <x:c r="G21" s="65"/>
      <x:c r="H21" s="65"/>
      <x:c r="I21" s="65"/>
      <x:c r="J21" s="65"/>
    </x:row>
    <x:row r="22" ht="31" customHeight="1">
      <x:c r="A22" s="66" t="str">
        <x:v>5. Щотижнева активність ролей.</x:v>
      </x:c>
      <x:c r="B22" s="66"/>
      <x:c r="C22" s="66"/>
      <x:c r="D22" s="66"/>
      <x:c r="E22" s="66"/>
      <x:c r="F22" s="66" t="str">
        <x:v>5. Рішення: build / partner / stop.</x:v>
      </x:c>
      <x:c r="G22" s="66"/>
      <x:c r="H22" s="66"/>
      <x:c r="I22" s="66"/>
      <x:c r="J22" s="66"/>
    </x:row>
    <x:row r="24">
      <x:c r="A24" s="23" t="str">
        <x:v>Незмінні межі</x:v>
      </x:c>
      <x:c r="B24" s="23"/>
      <x:c r="C24" s="23"/>
      <x:c r="D24" s="23"/>
      <x:c r="E24" s="23"/>
      <x:c r="F24" s="23"/>
      <x:c r="G24" s="23"/>
      <x:c r="H24" s="23"/>
      <x:c r="I24" s="23"/>
      <x:c r="J24" s="23"/>
    </x:row>
    <x:row r="25">
      <x:c r="A25" s="70" t="str">
        <x:v>Захищене посилання не є КЕП. Поточна бібліотека містить 12 вимог: 5 для Н.14 і 7 для Н.15. У нових вертикалях GoProceed не має готового нормативного покриття: пілот можливий лише після отримання вимог конкретного проєкту та погодження вузького scope.</x:v>
      </x:c>
      <x:c r="B25" s="70"/>
      <x:c r="C25" s="70"/>
      <x:c r="D25" s="70"/>
      <x:c r="E25" s="70"/>
      <x:c r="F25" s="70"/>
      <x:c r="G25" s="70"/>
      <x:c r="H25" s="70"/>
      <x:c r="I25" s="70"/>
      <x:c r="J25" s="70"/>
    </x:row>
    <x:row r="26">
      <x:c r="A26" s="70"/>
      <x:c r="B26" s="70"/>
      <x:c r="C26" s="70"/>
      <x:c r="D26" s="70"/>
      <x:c r="E26" s="70"/>
      <x:c r="F26" s="70"/>
      <x:c r="G26" s="70"/>
      <x:c r="H26" s="70"/>
      <x:c r="I26" s="70"/>
      <x:c r="J26" s="70"/>
    </x:row>
    <x:row r="27">
      <x:c r="A27" s="70"/>
      <x:c r="B27" s="70"/>
      <x:c r="C27" s="70"/>
      <x:c r="D27" s="70"/>
      <x:c r="E27" s="70"/>
      <x:c r="F27" s="70"/>
      <x:c r="G27" s="70"/>
      <x:c r="H27" s="70"/>
      <x:c r="I27" s="70"/>
      <x:c r="J27" s="70"/>
    </x:row>
  </x:sheetData>
  <x:mergeCells>
    <x:mergeCell ref="A1:J1"/>
    <x:mergeCell ref="A2:J2"/>
    <x:mergeCell ref="A4:E4"/>
    <x:mergeCell ref="F4:J4"/>
    <x:mergeCell ref="A5:E7"/>
    <x:mergeCell ref="F5:J7"/>
    <x:mergeCell ref="A9:E9"/>
    <x:mergeCell ref="F9:J9"/>
    <x:mergeCell ref="A10:E10"/>
    <x:mergeCell ref="A11:E11"/>
    <x:mergeCell ref="A12:E12"/>
    <x:mergeCell ref="A13:E13"/>
    <x:mergeCell ref="A14:E14"/>
    <x:mergeCell ref="A15:E15"/>
    <x:mergeCell ref="F10:J10"/>
    <x:mergeCell ref="F11:J11"/>
    <x:mergeCell ref="F12:J12"/>
    <x:mergeCell ref="F13:J13"/>
    <x:mergeCell ref="F14:J14"/>
    <x:mergeCell ref="F15:J15"/>
    <x:mergeCell ref="A17:E17"/>
    <x:mergeCell ref="F17:J17"/>
    <x:mergeCell ref="A18:E18"/>
    <x:mergeCell ref="A19:E19"/>
    <x:mergeCell ref="A20:E20"/>
    <x:mergeCell ref="A21:E21"/>
    <x:mergeCell ref="A22:E22"/>
    <x:mergeCell ref="F18:J18"/>
    <x:mergeCell ref="F19:J19"/>
    <x:mergeCell ref="F20:J20"/>
    <x:mergeCell ref="F21:J21"/>
    <x:mergeCell ref="F22:J22"/>
    <x:mergeCell ref="A24:J24"/>
    <x:mergeCell ref="A25:J27"/>
  </x:mergeCell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4" customHeight="1">
      <x:c r="A1" s="3" t="str">
        <x:v>Outreach за двома маршрутами</x:v>
      </x:c>
      <x:c r="B1" s="3"/>
      <x:c r="C1" s="3"/>
      <x:c r="D1" s="3"/>
      <x:c r="E1" s="3"/>
      <x:c r="F1" s="3"/>
      <x:c r="G1" s="3"/>
      <x:c r="H1" s="3"/>
      <x:c r="I1" s="3"/>
      <x:c r="J1" s="3"/>
    </x:row>
    <x:row r="2" ht="22" customHeight="1">
      <x:c r="A2" s="5" t="str">
        <x:v>P-ліди: показати готовий review-flow. D-ліди: попросити артефакт і перевірити workflow до будь-якої продуктової обіцянки</x:v>
      </x:c>
      <x:c r="B2" s="5"/>
      <x:c r="C2" s="5"/>
      <x:c r="D2" s="5"/>
      <x:c r="E2" s="5"/>
      <x:c r="F2" s="5"/>
      <x:c r="G2" s="5"/>
      <x:c r="H2" s="5"/>
      <x:c r="I2" s="5"/>
      <x:c r="J2" s="5"/>
    </x:row>
    <x:row r="4">
      <x:c r="A4" s="23" t="str">
        <x:v>1. P1/P2 — перший контакт для пілоту зараз</x:v>
      </x:c>
      <x:c r="B4" s="23"/>
      <x:c r="C4" s="23"/>
      <x:c r="D4" s="23"/>
      <x:c r="E4" s="23"/>
      <x:c r="F4" s="23"/>
      <x:c r="G4" s="23"/>
      <x:c r="H4" s="23"/>
      <x:c r="I4" s="23"/>
      <x:c r="J4" s="23"/>
    </x:row>
    <x:row r="5">
      <x:c r="A5" s="75" t="str">
        <x:v>Доброго дня! Побачив, що [компанія] виконує [публічний доказ]. Ми тестуємо GoProceed у момент перед закриттям [електромонтажної / внутрішньої санітарно-технічної роботи]: бригада збирає докази, а ПТО або замовник переглядає одну сторінку без акаунта. Можу надіслати 40-секундний приклад саме для [робота]?</x:v>
      </x:c>
      <x:c r="B5" s="75"/>
      <x:c r="C5" s="75"/>
      <x:c r="D5" s="75"/>
      <x:c r="E5" s="75"/>
      <x:c r="F5" s="75"/>
      <x:c r="G5" s="75"/>
      <x:c r="H5" s="75"/>
      <x:c r="I5" s="75"/>
      <x:c r="J5" s="75"/>
    </x:row>
    <x:row r="6">
      <x:c r="A6" s="75"/>
      <x:c r="B6" s="75"/>
      <x:c r="C6" s="75"/>
      <x:c r="D6" s="75"/>
      <x:c r="E6" s="75"/>
      <x:c r="F6" s="75"/>
      <x:c r="G6" s="75"/>
      <x:c r="H6" s="75"/>
      <x:c r="I6" s="75"/>
      <x:c r="J6" s="75"/>
    </x:row>
    <x:row r="7">
      <x:c r="A7" s="75"/>
      <x:c r="B7" s="75"/>
      <x:c r="C7" s="75"/>
      <x:c r="D7" s="75"/>
      <x:c r="E7" s="75"/>
      <x:c r="F7" s="75"/>
      <x:c r="G7" s="75"/>
      <x:c r="H7" s="75"/>
      <x:c r="I7" s="75"/>
      <x:c r="J7" s="75"/>
    </x:row>
    <x:row r="8">
      <x:c r="A8" s="76"/>
      <x:c r="B8" s="76"/>
      <x:c r="C8" s="76"/>
      <x:c r="D8" s="76"/>
      <x:c r="E8" s="76"/>
      <x:c r="F8" s="76"/>
      <x:c r="G8" s="76"/>
      <x:c r="H8" s="76"/>
      <x:c r="I8" s="76"/>
      <x:c r="J8" s="76"/>
    </x:row>
    <x:row r="10">
      <x:c r="A10" s="23" t="str">
        <x:v>2. D1/D2 — перший контакт для нової вертикалі</x:v>
      </x:c>
      <x:c r="B10" s="23"/>
      <x:c r="C10" s="23"/>
      <x:c r="D10" s="23"/>
      <x:c r="E10" s="23"/>
      <x:c r="F10" s="23"/>
      <x:c r="G10" s="23"/>
      <x:c r="H10" s="23"/>
      <x:c r="I10" s="23"/>
      <x:c r="J10" s="23"/>
    </x:row>
    <x:row r="11">
      <x:c r="A11" s="75" t="str">
        <x:v>Доброго дня! Побачив у [компанія] роботи з [покрівель / фасадів / паль / СКС / іншого]. Перевіряємо гіпотезу: найбільше повернень виникає там, де доказ треба зібрати до закриття наступним шаром. Не хочу продавати готову систему без вашого процесу. Чи можете показати один анонімізований пакет приймання або перелік фото? За 20 хв скажемо чесно, чи є тут fit.</x:v>
      </x:c>
      <x:c r="B11" s="75"/>
      <x:c r="C11" s="75"/>
      <x:c r="D11" s="75"/>
      <x:c r="E11" s="75"/>
      <x:c r="F11" s="75"/>
      <x:c r="G11" s="75"/>
      <x:c r="H11" s="75"/>
      <x:c r="I11" s="75"/>
      <x:c r="J11" s="75"/>
    </x:row>
    <x:row r="12">
      <x:c r="A12" s="75"/>
      <x:c r="B12" s="75"/>
      <x:c r="C12" s="75"/>
      <x:c r="D12" s="75"/>
      <x:c r="E12" s="75"/>
      <x:c r="F12" s="75"/>
      <x:c r="G12" s="75"/>
      <x:c r="H12" s="75"/>
      <x:c r="I12" s="75"/>
      <x:c r="J12" s="75"/>
    </x:row>
    <x:row r="13">
      <x:c r="A13" s="75"/>
      <x:c r="B13" s="75"/>
      <x:c r="C13" s="75"/>
      <x:c r="D13" s="75"/>
      <x:c r="E13" s="75"/>
      <x:c r="F13" s="75"/>
      <x:c r="G13" s="75"/>
      <x:c r="H13" s="75"/>
      <x:c r="I13" s="75"/>
      <x:c r="J13" s="75"/>
    </x:row>
    <x:row r="14">
      <x:c r="A14" s="76"/>
      <x:c r="B14" s="76"/>
      <x:c r="C14" s="76"/>
      <x:c r="D14" s="76"/>
      <x:c r="E14" s="76"/>
      <x:c r="F14" s="76"/>
      <x:c r="G14" s="76"/>
      <x:c r="H14" s="76"/>
      <x:c r="I14" s="76"/>
      <x:c r="J14" s="76"/>
    </x:row>
    <x:row r="16">
      <x:c r="A16" s="23" t="str">
        <x:v>3. Follow-up для 21 попередньої відправки</x:v>
      </x:c>
      <x:c r="B16" s="23"/>
      <x:c r="C16" s="23"/>
      <x:c r="D16" s="23"/>
      <x:c r="E16" s="23"/>
      <x:c r="F16" s="23"/>
      <x:c r="G16" s="23"/>
      <x:c r="H16" s="23"/>
      <x:c r="I16" s="23"/>
      <x:c r="J16" s="23"/>
    </x:row>
    <x:row r="17">
      <x:c r="A17" s="75" t="str">
        <x:v>Доброго дня! Ми спростили перевірку до однієї сторінки без реєстрації: фото, джерело вимоги та «прийняти / повернути». Ось персональне посилання: [посилання]. Чи схоже це на ваш реальний handoff між бригадою, ПТО і замовником? Достатньо відповісти одним реченням.</x:v>
      </x:c>
      <x:c r="B17" s="75"/>
      <x:c r="C17" s="75"/>
      <x:c r="D17" s="75"/>
      <x:c r="E17" s="75"/>
      <x:c r="F17" s="75"/>
      <x:c r="G17" s="75"/>
      <x:c r="H17" s="75"/>
      <x:c r="I17" s="75"/>
      <x:c r="J17" s="75"/>
    </x:row>
    <x:row r="18">
      <x:c r="A18" s="75"/>
      <x:c r="B18" s="75"/>
      <x:c r="C18" s="75"/>
      <x:c r="D18" s="75"/>
      <x:c r="E18" s="75"/>
      <x:c r="F18" s="75"/>
      <x:c r="G18" s="75"/>
      <x:c r="H18" s="75"/>
      <x:c r="I18" s="75"/>
      <x:c r="J18" s="75"/>
    </x:row>
    <x:row r="19">
      <x:c r="A19" s="75"/>
      <x:c r="B19" s="75"/>
      <x:c r="C19" s="75"/>
      <x:c r="D19" s="75"/>
      <x:c r="E19" s="75"/>
      <x:c r="F19" s="75"/>
      <x:c r="G19" s="75"/>
      <x:c r="H19" s="75"/>
      <x:c r="I19" s="75"/>
      <x:c r="J19" s="75"/>
    </x:row>
    <x:row r="20">
      <x:c r="A20" s="76"/>
      <x:c r="B20" s="76"/>
      <x:c r="C20" s="76"/>
      <x:c r="D20" s="76"/>
      <x:c r="E20" s="76"/>
      <x:c r="F20" s="76"/>
      <x:c r="G20" s="76"/>
      <x:c r="H20" s="76"/>
      <x:c r="I20" s="76"/>
      <x:c r="J20" s="76"/>
    </x:row>
    <x:row r="22">
      <x:c r="A22" s="23" t="str">
        <x:v>4. Безкоштовний пілот після кваліфікації</x:v>
      </x:c>
      <x:c r="B22" s="23"/>
      <x:c r="C22" s="23"/>
      <x:c r="D22" s="23"/>
      <x:c r="E22" s="23"/>
      <x:c r="F22" s="23"/>
      <x:c r="G22" s="23"/>
      <x:c r="H22" s="23"/>
      <x:c r="I22" s="23"/>
      <x:c r="J22" s="23"/>
    </x:row>
    <x:row r="23">
      <x:c r="A23" s="75" t="str">
        <x:v>Пропоную design-partner пілот на одному активному проєкті на 30–45 днів без ліцензійної плати. Потрібні спонсор, ПТО, майстер, рев’юер, один реальний пакет і 30 хв щотижня. Разом виміряємо приймання з першого разу, час до рішення та повернення через неповні докази.</x:v>
      </x:c>
      <x:c r="B23" s="75"/>
      <x:c r="C23" s="75"/>
      <x:c r="D23" s="75"/>
      <x:c r="E23" s="75"/>
      <x:c r="F23" s="75"/>
      <x:c r="G23" s="75"/>
      <x:c r="H23" s="75"/>
      <x:c r="I23" s="75"/>
      <x:c r="J23" s="75"/>
    </x:row>
    <x:row r="24">
      <x:c r="A24" s="75"/>
      <x:c r="B24" s="75"/>
      <x:c r="C24" s="75"/>
      <x:c r="D24" s="75"/>
      <x:c r="E24" s="75"/>
      <x:c r="F24" s="75"/>
      <x:c r="G24" s="75"/>
      <x:c r="H24" s="75"/>
      <x:c r="I24" s="75"/>
      <x:c r="J24" s="75"/>
    </x:row>
    <x:row r="25">
      <x:c r="A25" s="75"/>
      <x:c r="B25" s="75"/>
      <x:c r="C25" s="75"/>
      <x:c r="D25" s="75"/>
      <x:c r="E25" s="75"/>
      <x:c r="F25" s="75"/>
      <x:c r="G25" s="75"/>
      <x:c r="H25" s="75"/>
      <x:c r="I25" s="75"/>
      <x:c r="J25" s="75"/>
    </x:row>
    <x:row r="26">
      <x:c r="A26" s="76"/>
      <x:c r="B26" s="76"/>
      <x:c r="C26" s="76"/>
      <x:c r="D26" s="76"/>
      <x:c r="E26" s="76"/>
      <x:c r="F26" s="76"/>
      <x:c r="G26" s="76"/>
      <x:c r="H26" s="76"/>
      <x:c r="I26" s="76"/>
      <x:c r="J26" s="76"/>
    </x:row>
    <x:row r="28">
      <x:c r="A28" s="23" t="str">
        <x:v>Правило, яке захищає довіру</x:v>
      </x:c>
      <x:c r="B28" s="23"/>
      <x:c r="C28" s="23"/>
      <x:c r="D28" s="23"/>
      <x:c r="E28" s="23"/>
      <x:c r="F28" s="23"/>
      <x:c r="G28" s="23"/>
      <x:c r="H28" s="23"/>
      <x:c r="I28" s="23"/>
      <x:c r="J28" s="23"/>
    </x:row>
    <x:row r="29">
      <x:c r="A29" s="79" t="str">
        <x:v>Для Lane = Expansion discovery не використовувати формулювання «у нас уже є рішення для вашої галузі». Чесне формулювання: «ми бачимо схожий workflow і хочемо перевірити його на одному реальному артефакті». Пілот пропонується лише після отримання вимог проєкту.</x:v>
      </x:c>
      <x:c r="B29" s="79"/>
      <x:c r="C29" s="79"/>
      <x:c r="D29" s="79"/>
      <x:c r="E29" s="79"/>
      <x:c r="F29" s="79"/>
      <x:c r="G29" s="79"/>
      <x:c r="H29" s="79"/>
      <x:c r="I29" s="79"/>
      <x:c r="J29" s="79"/>
    </x:row>
    <x:row r="30">
      <x:c r="A30" s="79"/>
      <x:c r="B30" s="79"/>
      <x:c r="C30" s="79"/>
      <x:c r="D30" s="79"/>
      <x:c r="E30" s="79"/>
      <x:c r="F30" s="79"/>
      <x:c r="G30" s="79"/>
      <x:c r="H30" s="79"/>
      <x:c r="I30" s="79"/>
      <x:c r="J30" s="79"/>
    </x:row>
    <x:row r="31">
      <x:c r="A31" s="79"/>
      <x:c r="B31" s="79"/>
      <x:c r="C31" s="79"/>
      <x:c r="D31" s="79"/>
      <x:c r="E31" s="79"/>
      <x:c r="F31" s="79"/>
      <x:c r="G31" s="79"/>
      <x:c r="H31" s="79"/>
      <x:c r="I31" s="79"/>
      <x:c r="J31" s="79"/>
    </x:row>
  </x:sheetData>
  <x:mergeCells>
    <x:mergeCell ref="A1:J1"/>
    <x:mergeCell ref="A2:J2"/>
    <x:mergeCell ref="A4:J4"/>
    <x:mergeCell ref="A5:J8"/>
    <x:mergeCell ref="A10:J10"/>
    <x:mergeCell ref="A11:J14"/>
    <x:mergeCell ref="A16:J16"/>
    <x:mergeCell ref="A17:J20"/>
    <x:mergeCell ref="A22:J22"/>
    <x:mergeCell ref="A23:J26"/>
    <x:mergeCell ref="A28:J28"/>
    <x:mergeCell ref="A29:J31"/>
  </x:mergeCell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1" hidden="0" customWidth="1"/>
    <x:col min="3" max="3" width="11" hidden="0" customWidth="1"/>
    <x:col min="4" max="4" width="30" hidden="0" customWidth="1"/>
    <x:col min="5" max="5" width="30" hidden="0" customWidth="1"/>
    <x:col min="6" max="6" width="24" hidden="0" customWidth="1"/>
    <x:col min="7" max="7" width="11" hidden="0" customWidth="1"/>
    <x:col min="8" max="8" width="11" hidden="0" customWidth="1"/>
    <x:col min="9" max="9" width="30" hidden="0" customWidth="1"/>
    <x:col min="10" max="10" width="30" hidden="0" customWidth="1"/>
  </x:cols>
  <x:sheetData>
    <x:row r="1" ht="34" customHeight="1">
      <x:c r="A1" s="3" t="str">
        <x:v>Методологія v2</x:v>
      </x:c>
      <x:c r="B1" s="3"/>
      <x:c r="C1" s="3"/>
      <x:c r="D1" s="3"/>
      <x:c r="E1" s="3"/>
      <x:c r="F1" s="3"/>
      <x:c r="G1" s="3"/>
      <x:c r="H1" s="3"/>
      <x:c r="I1" s="3"/>
      <x:c r="J1" s="3"/>
    </x:row>
    <x:row r="2" ht="22" customHeight="1">
      <x:c r="A2" s="5" t="str">
        <x:v>Два score замість одного: готовність до пілоту зараз і привабливість вертикалі для discovery-розширення</x:v>
      </x:c>
      <x:c r="B2" s="5"/>
      <x:c r="C2" s="5"/>
      <x:c r="D2" s="5"/>
      <x:c r="E2" s="5"/>
      <x:c r="F2" s="5"/>
      <x:c r="G2" s="5"/>
      <x:c r="H2" s="5"/>
      <x:c r="I2" s="5"/>
      <x:c r="J2" s="5"/>
    </x:row>
    <x:row r="4">
      <x:c r="A4" s="23" t="str">
        <x:v>Pilot-now score — 0–100</x:v>
      </x:c>
      <x:c r="B4" s="23"/>
      <x:c r="C4" s="23"/>
      <x:c r="D4" s="23"/>
      <x:c r="E4" s="23"/>
      <x:c r="F4" s="23" t="str">
        <x:v>Expansion score — 0–100</x:v>
      </x:c>
      <x:c r="G4" s="23"/>
      <x:c r="H4" s="23"/>
      <x:c r="I4" s="23"/>
      <x:c r="J4" s="23"/>
    </x:row>
    <x:row r="5">
      <x:c r="A5" s="10" t="str">
        <x:v>Фактор</x:v>
      </x:c>
      <x:c r="B5" s="10" t="str">
        <x:v>Шкала</x:v>
      </x:c>
      <x:c r="C5" s="10" t="str">
        <x:v>Вага</x:v>
      </x:c>
      <x:c r="D5" s="10" t="str">
        <x:v>Навіщо</x:v>
      </x:c>
      <x:c r="E5" s="10" t="str">
        <x:v>Обмеження</x:v>
      </x:c>
      <x:c r="F5" s="10" t="str">
        <x:v>Фактор</x:v>
      </x:c>
      <x:c r="G5" s="10" t="str">
        <x:v>Шкала</x:v>
      </x:c>
      <x:c r="H5" s="10" t="str">
        <x:v>Вага</x:v>
      </x:c>
      <x:c r="I5" s="10" t="str">
        <x:v>Навіщо</x:v>
      </x:c>
      <x:c r="J5" s="10" t="str">
        <x:v>Обмеження</x:v>
      </x:c>
    </x:row>
    <x:row r="6">
      <x:c r="A6" s="15" t="str">
        <x:v>Покриття вимог</x:v>
      </x:c>
      <x:c r="B6" s="15" t="str">
        <x:v>0–5</x:v>
      </x:c>
      <x:c r="C6" s="15" t="str">
        <x:v>×8</x:v>
      </x:c>
      <x:c r="D6" s="15" t="str">
        <x:v>Головний guardrail готового пілоту</x:v>
      </x:c>
      <x:c r="E6" s="15" t="str">
        <x:v>Поза Н.14/Н.15 майже завжди 0–3</x:v>
      </x:c>
      <x:c r="F6" s="15" t="str">
        <x:v>Workflow fit</x:v>
      </x:c>
      <x:c r="G6" s="15" t="str">
        <x:v>0–5</x:v>
      </x:c>
      <x:c r="H6" s="15" t="str">
        <x:v>×5</x:v>
      </x:c>
      <x:c r="I6" s="15" t="str">
        <x:v>Наскільки процес схожий на core job</x:v>
      </x:c>
      <x:c r="J6" s="15" t="str">
        <x:v>Потрібне інтерв’ю</x:v>
      </x:c>
    </x:row>
    <x:row r="7">
      <x:c r="A7" s="15" t="str">
        <x:v>Workflow fit</x:v>
      </x:c>
      <x:c r="B7" s="15" t="str">
        <x:v>0–5</x:v>
      </x:c>
      <x:c r="C7" s="15" t="str">
        <x:v>×3</x:v>
      </x:c>
      <x:c r="D7" s="15" t="str">
        <x:v>Повторюваний handoff доказів</x:v>
      </x:c>
      <x:c r="E7" s="15" t="str">
        <x:v>Не доводить біль</x:v>
      </x:c>
      <x:c r="F7" s="15" t="str">
        <x:v>Приховані роботи</x:v>
      </x:c>
      <x:c r="G7" s="15" t="str">
        <x:v>0–5</x:v>
      </x:c>
      <x:c r="H7" s="15" t="str">
        <x:v>×4</x:v>
      </x:c>
      <x:c r="I7" s="15" t="str">
        <x:v>Ціна пізнього доказу</x:v>
      </x:c>
      <x:c r="J7" s="15" t="str">
        <x:v>Потрібен кейс повернення</x:v>
      </x:c>
    </x:row>
    <x:row r="8">
      <x:c r="A8" s="15" t="str">
        <x:v>Приховані роботи</x:v>
      </x:c>
      <x:c r="B8" s="15" t="str">
        <x:v>0–5</x:v>
      </x:c>
      <x:c r="C8" s="15" t="str">
        <x:v>×2</x:v>
      </x:c>
      <x:c r="D8" s="15" t="str">
        <x:v>Доказ зникає після наступного етапу</x:v>
      </x:c>
      <x:c r="E8" s="15" t="str">
        <x:v>Гіпотеза з публічних даних</x:v>
      </x:c>
      <x:c r="F8" s="15" t="str">
        <x:v>Документація</x:v>
      </x:c>
      <x:c r="G8" s="15" t="str">
        <x:v>0–5</x:v>
      </x:c>
      <x:c r="H8" s="15" t="str">
        <x:v>×4</x:v>
      </x:c>
      <x:c r="I8" s="15" t="str">
        <x:v>Щільність приймального пакета</x:v>
      </x:c>
      <x:c r="J8" s="15" t="str">
        <x:v>Потрібен зразок</x:v>
      </x:c>
    </x:row>
    <x:row r="9">
      <x:c r="A9" s="15" t="str">
        <x:v>Масштаб</x:v>
      </x:c>
      <x:c r="B9" s="15" t="str">
        <x:v>0–5</x:v>
      </x:c>
      <x:c r="C9" s="15" t="str">
        <x:v>×2</x:v>
      </x:c>
      <x:c r="D9" s="15" t="str">
        <x:v>Бригади, об’єкти, географія</x:v>
      </x:c>
      <x:c r="E9" s="15" t="str">
        <x:v>Може бути маркетингом</x:v>
      </x:c>
      <x:c r="F9" s="15" t="str">
        <x:v>Масштаб</x:v>
      </x:c>
      <x:c r="G9" s="15" t="str">
        <x:v>0–5</x:v>
      </x:c>
      <x:c r="H9" s="15" t="str">
        <x:v>×3</x:v>
      </x:c>
      <x:c r="I9" s="15" t="str">
        <x:v>Повторюваність між об’єктами</x:v>
      </x:c>
      <x:c r="J9" s="15" t="str">
        <x:v>Не дорівнює WTP</x:v>
      </x:c>
    </x:row>
    <x:row r="10">
      <x:c r="A10" s="15" t="str">
        <x:v>Документація</x:v>
      </x:c>
      <x:c r="B10" s="15" t="str">
        <x:v>0–5</x:v>
      </x:c>
      <x:c r="C10" s="15" t="str">
        <x:v>×2</x:v>
      </x:c>
      <x:c r="D10" s="15" t="str">
        <x:v>Акти, тести, ПТО, введення</x:v>
      </x:c>
      <x:c r="E10" s="15" t="str">
        <x:v>Потрібен реальний артефакт</x:v>
      </x:c>
      <x:c r="F10" s="15" t="str">
        <x:v>Buyer fit</x:v>
      </x:c>
      <x:c r="G10" s="15" t="str">
        <x:v>0–5</x:v>
      </x:c>
      <x:c r="H10" s="15" t="str">
        <x:v>×2</x:v>
      </x:c>
      <x:c r="I10" s="15" t="str">
        <x:v>Доступ до decision-maker</x:v>
      </x:c>
      <x:c r="J10" s="15" t="str">
        <x:v>Не перевірено</x:v>
      </x:c>
    </x:row>
    <x:row r="11">
      <x:c r="A11" s="15" t="str">
        <x:v>Buyer fit</x:v>
      </x:c>
      <x:c r="B11" s="15" t="str">
        <x:v>0–5</x:v>
      </x:c>
      <x:c r="C11" s="15" t="str">
        <x:v>×2</x:v>
      </x:c>
      <x:c r="D11" s="15" t="str">
        <x:v>Близькість до власника / ПТО</x:v>
      </x:c>
      <x:c r="E11" s="15" t="str">
        <x:v>Генпідрядник часто канал</x:v>
      </x:c>
      <x:c r="F11" s="15" t="str">
        <x:v>Досяжність</x:v>
      </x:c>
      <x:c r="G11" s="15" t="str">
        <x:v>0–5</x:v>
      </x:c>
      <x:c r="H11" s="15" t="str">
        <x:v>×2</x:v>
      </x:c>
      <x:c r="I11" s="15" t="str">
        <x:v>Можливість почати discovery</x:v>
      </x:c>
      <x:c r="J11" s="15" t="str">
        <x:v>Сайт може бути недоступний</x:v>
      </x:c>
    </x:row>
    <x:row r="12">
      <x:c r="A12" s="52" t="str">
        <x:v>Досяжність</x:v>
      </x:c>
      <x:c r="B12" s="52" t="str">
        <x:v>0–5</x:v>
      </x:c>
      <x:c r="C12" s="52" t="str">
        <x:v>×1</x:v>
      </x:c>
      <x:c r="D12" s="52" t="str">
        <x:v>Чи є робочий маршрут до компанії</x:v>
      </x:c>
      <x:c r="E12" s="52" t="str">
        <x:v>Не містить персональних контактів</x:v>
      </x:c>
      <x:c r="F12" s="52" t="str">
        <x:v>Покриття вимог</x:v>
      </x:c>
      <x:c r="G12" s="52" t="str">
        <x:v>—</x:v>
      </x:c>
      <x:c r="H12" s="52" t="str">
        <x:v>не входить</x:v>
      </x:c>
      <x:c r="I12" s="52" t="str">
        <x:v>Окремо, щоб не вбити нові ніші</x:v>
      </x:c>
      <x:c r="J12" s="52" t="str">
        <x:v>Все одно gate перед пілотом</x:v>
      </x:c>
    </x:row>
    <x:row r="14">
      <x:c r="A14" s="23" t="str">
        <x:v>Перевірка джерел і трактування статусів</x:v>
      </x:c>
      <x:c r="B14" s="23"/>
      <x:c r="C14" s="23"/>
      <x:c r="D14" s="23"/>
      <x:c r="E14" s="23"/>
      <x:c r="F14" s="23"/>
      <x:c r="G14" s="23"/>
      <x:c r="H14" s="23"/>
      <x:c r="I14" s="23"/>
      <x:c r="J14" s="23"/>
    </x:row>
    <x:row r="15" ht="34" customHeight="1">
      <x:c r="A15" s="65" t="str">
        <x:v>• 51 попередній лід переперевірено: 46 офіційних сторінок підтвердились прямим запитом; 5 розібрані вручну через браузер і пошуковий індекс.</x:v>
      </x:c>
      <x:c r="B15" s="65"/>
      <x:c r="C15" s="65"/>
      <x:c r="D15" s="65"/>
      <x:c r="E15" s="65"/>
      <x:c r="F15" s="65"/>
      <x:c r="G15" s="65"/>
      <x:c r="H15" s="65"/>
      <x:c r="I15" s="65"/>
      <x:c r="J15" s="65"/>
    </x:row>
    <x:row r="16" ht="34" customHeight="1">
      <x:c r="A16" s="65" t="str">
        <x:v>• 64 компанії в нових вертикалях: 60 підтвердились прямим запитом, 1 — medium, 3 неоднозначні джерела перевірені вручну.</x:v>
      </x:c>
      <x:c r="B16" s="65"/>
      <x:c r="C16" s="65"/>
      <x:c r="D16" s="65"/>
      <x:c r="E16" s="65"/>
      <x:c r="F16" s="65"/>
      <x:c r="G16" s="65"/>
      <x:c r="H16" s="65"/>
      <x:c r="I16" s="65"/>
      <x:c r="J16" s="65"/>
    </x:row>
    <x:row r="17" ht="34" customHeight="1">
      <x:c r="A17" s="65" t="str">
        <x:v>• High confidence означає підтверджену спеціалізацію/портфоліо, але не відповідь, біль, активний проєкт або намір купувати.</x:v>
      </x:c>
      <x:c r="B17" s="65"/>
      <x:c r="C17" s="65"/>
      <x:c r="D17" s="65"/>
      <x:c r="E17" s="65"/>
      <x:c r="F17" s="65"/>
      <x:c r="G17" s="65"/>
      <x:c r="H17" s="65"/>
      <x:c r="I17" s="65"/>
      <x:c r="J17" s="65"/>
    </x:row>
    <x:row r="18" ht="34" customHeight="1">
      <x:c r="A18" s="65" t="str">
        <x:v>• Недоступний сайт знижує reachability, але не стирає підтверджений search-index evidence; причина збережена в колонці «Доступ до джерела».</x:v>
      </x:c>
      <x:c r="B18" s="65"/>
      <x:c r="C18" s="65"/>
      <x:c r="D18" s="65"/>
      <x:c r="E18" s="65"/>
      <x:c r="F18" s="65"/>
      <x:c r="G18" s="65"/>
      <x:c r="H18" s="65"/>
      <x:c r="I18" s="65"/>
      <x:c r="J18" s="65"/>
    </x:row>
    <x:row r="19" ht="34" customHeight="1">
      <x:c r="A19" s="65" t="str">
        <x:v>• Legacy 28 залишені в базі, але не змішані з перевіреними: їм присвоєно low confidence і повну повторну перевірку.</x:v>
      </x:c>
      <x:c r="B19" s="65"/>
      <x:c r="C19" s="65"/>
      <x:c r="D19" s="65"/>
      <x:c r="E19" s="65"/>
      <x:c r="F19" s="65"/>
      <x:c r="G19" s="65"/>
      <x:c r="H19" s="65"/>
      <x:c r="I19" s="65"/>
      <x:c r="J19" s="65"/>
    </x:row>
    <x:row r="20" ht="34" customHeight="1">
      <x:c r="A20" s="66" t="str">
        <x:v>• У базі немає персональних email/телефонів: тільки компанія, роль і публічне джерело.</x:v>
      </x:c>
      <x:c r="B20" s="66"/>
      <x:c r="C20" s="66"/>
      <x:c r="D20" s="66"/>
      <x:c r="E20" s="66"/>
      <x:c r="F20" s="66"/>
      <x:c r="G20" s="66"/>
      <x:c r="H20" s="66"/>
      <x:c r="I20" s="66"/>
      <x:c r="J20" s="66"/>
    </x:row>
  </x:sheetData>
  <x:mergeCells>
    <x:mergeCell ref="A1:J1"/>
    <x:mergeCell ref="A2:J2"/>
    <x:mergeCell ref="A4:E4"/>
    <x:mergeCell ref="F4:J4"/>
    <x:mergeCell ref="A14:J14"/>
    <x:mergeCell ref="A15:J15"/>
    <x:mergeCell ref="A16:J16"/>
    <x:mergeCell ref="A17:J17"/>
    <x:mergeCell ref="A18:J18"/>
    <x:mergeCell ref="A19:J19"/>
    <x:mergeCell ref="A20:J20"/>
  </x:mergeCells>
  <x:pageMargins left="0.7" right="0.7" top="0.75" bottom="0.75" header="0.3" footer="0.3"/>
</x:worksheet>
</file>