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f2b3cc81784c50" /></Relationships>
</file>

<file path=xl/workbook.xml><?xml version="1.0" encoding="utf-8"?>
<x:workbook xmlns:x="http://schemas.openxmlformats.org/spreadsheetml/2006/main">
  <x:sheets>
    <x:sheet xmlns:r="http://schemas.openxmlformats.org/officeDocument/2006/relationships" name="Dashboard" sheetId="1" r:id="Rfd723392742d42a4"/>
    <x:sheet xmlns:r="http://schemas.openxmlformats.org/officeDocument/2006/relationships" name="Leads 1688" sheetId="2" r:id="Rcb47d7bdfd6b4dae"/>
    <x:sheet xmlns:r="http://schemas.openxmlformats.org/officeDocument/2006/relationships" name="Tender Signals" sheetId="3" r:id="Rd51f3ab9c8d64aa2"/>
    <x:sheet xmlns:r="http://schemas.openxmlformats.org/officeDocument/2006/relationships" name="Vertical Map" sheetId="4" r:id="R98f9eadd8bd14f2b"/>
    <x:sheet xmlns:r="http://schemas.openxmlformats.org/officeDocument/2006/relationships" name="Pilot Offer" sheetId="5" r:id="R03391b747d5a4a76"/>
    <x:sheet xmlns:r="http://schemas.openxmlformats.org/officeDocument/2006/relationships" name="Outreach" sheetId="6" r:id="R76b09c3bcf5c48cb"/>
    <x:sheet xmlns:r="http://schemas.openxmlformats.org/officeDocument/2006/relationships" name="Methodology" sheetId="7" r:id="Rac260bafc3be41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2" fontId="5" fillId="0" borderId="0" xfId="0" applyNumberFormat="1" applyFont="1" applyFill="1" applyBorder="1" applyAlignment="1">
      <x:alignment vertical="top"/>
    </x:xf>
    <x:xf numFmtId="203" fontId="5" fillId="0" borderId="0" xfId="0" applyNumberFormat="1" applyFont="1" applyFill="1" applyBorder="1" applyAlignment="1">
      <x:alignment vertical="top"/>
    </x:xf>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9">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
      <x:font>
        <x:b/>
        <x:color rgb="FF15803D"/>
      </x:font>
      <x:fill>
        <x:patternFill patternType="solid">
          <x:bgColor rgb="FFE9F7ED"/>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92400E"/>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0b3731aa904396" /><Relationship Type="http://schemas.openxmlformats.org/officeDocument/2006/relationships/theme" Target="/xl/theme/theme1.xml" Id="Rd6dc744ea7834fce" /><Relationship Type="http://schemas.openxmlformats.org/officeDocument/2006/relationships/sharedStrings" Target="/xl/sharedStrings.xml" Id="R9628ae75851e40f9" /><Relationship Type="http://schemas.openxmlformats.org/officeDocument/2006/relationships/worksheet" Target="/xl/worksheets/sheet1.xml" Id="Rfd723392742d42a4" /><Relationship Type="http://schemas.openxmlformats.org/officeDocument/2006/relationships/worksheet" Target="/xl/worksheets/sheet2.xml" Id="Rcb47d7bdfd6b4dae" /><Relationship Type="http://schemas.openxmlformats.org/officeDocument/2006/relationships/worksheet" Target="/xl/worksheets/sheet3.xml" Id="Rd51f3ab9c8d64aa2" /><Relationship Type="http://schemas.openxmlformats.org/officeDocument/2006/relationships/worksheet" Target="/xl/worksheets/sheet4.xml" Id="R98f9eadd8bd14f2b" /><Relationship Type="http://schemas.openxmlformats.org/officeDocument/2006/relationships/worksheet" Target="/xl/worksheets/sheet5.xml" Id="R03391b747d5a4a76" /><Relationship Type="http://schemas.openxmlformats.org/officeDocument/2006/relationships/worksheet" Target="/xl/worksheets/sheet6.xml" Id="R76b09c3bcf5c48cb" /><Relationship Type="http://schemas.openxmlformats.org/officeDocument/2006/relationships/worksheet" Target="/xl/worksheets/sheet7.xml" Id="Rac260bafc3be4179" /></Relationships>
</file>

<file path=xl/drawings/_rels/drawing1.xml.rels>&#65279;<?xml version="1.0" encoding="utf-8"?><Relationships xmlns="http://schemas.openxmlformats.org/package/2006/relationships"><Relationship Type="http://schemas.openxmlformats.org/officeDocument/2006/relationships/chart" Target="/xl/drawings/charts/chart1.xml" Id="R0632e1f54358477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32e1f54358477b"/>
        </a:graphicData>
      </a:graphic>
    </xdr:graphicFrame>
    <xdr:clientData/>
  </xdr:twoCellAnchor>
</xdr:wsDr>
</file>

<file path=xl/tables/table1.xml><?xml version="1.0" encoding="utf-8"?>
<x:table xmlns:x="http://schemas.openxmlformats.org/spreadsheetml/2006/main" id="1" name="ProspectsV6" displayName="ProspectsV6" ref="A4:AO1692" headerRowCount="1" totalsRowCount="0" totalsRowShown="0">
  <x:autoFilter ref="A4:AO1692"/>
  <x:tableColumns count="4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 id="32" name="Intent score"/>
    <x:tableColumn id="33" name="Intent priority"/>
    <x:tableColumn id="34" name="Тендерів"/>
    <x:tableColumn id="35" name="Поточних проєктів"/>
    <x:tableColumn id="36" name="Сума перемог, грн"/>
    <x:tableColumn id="37" name="Останній тендер"/>
    <x:tableColumn id="38" name="Дата перемоги"/>
    <x:tableColumn id="39" name="Строк виконання"/>
    <x:tableColumn id="40" name="Тендерні сегменти"/>
    <x:tableColumn id="41" name="Статус сайту"/>
  </x:tableColumns>
  <x:tableStyleInfo name="TableStyleMedium2" showFirstColumn="0" showLastColumn="0" showRowStripes="1" showColumnStripes="0"/>
</x:table>
</file>

<file path=xl/tables/table2.xml><?xml version="1.0" encoding="utf-8"?>
<x:table xmlns:x="http://schemas.openxmlformats.org/spreadsheetml/2006/main" id="2" name="TenderSignalsV6" displayName="TenderSignalsV6" ref="A4:N1432" headerRowCount="1" totalsRowCount="0" totalsRowShown="0">
  <x:tableColumns count="14">
    <x:tableColumn id="1" name="Ранг"/>
    <x:tableColumn id="2" name="Компанія"/>
    <x:tableColumn id="3" name="ЄДРПОУ"/>
    <x:tableColumn id="4" name="Сегмент"/>
    <x:tableColumn id="5" name="Lane"/>
    <x:tableColumn id="6" name="Intent"/>
    <x:tableColumn id="7" name="Score"/>
    <x:tableColumn id="8" name="Тендерів"/>
    <x:tableColumn id="9" name="Поточних"/>
    <x:tableColumn id="10" name="Сума перемог, грн"/>
    <x:tableColumn id="11" name="Дата перемоги"/>
    <x:tableColumn id="12" name="Строк виконання"/>
    <x:tableColumn id="13" name="Останній тендер"/>
    <x:tableColumn id="14" name="URL тендер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02da474759d49ed" /></Relationships>
</file>

<file path=xl/worksheets/_rels/sheet2.xml.rels>&#65279;<?xml version="1.0" encoding="utf-8"?><Relationships xmlns="http://schemas.openxmlformats.org/package/2006/relationships"><Relationship Type="http://schemas.openxmlformats.org/officeDocument/2006/relationships/table" Target="/xl/tables/table1.xml" Id="R326bc0c75d7b4091" /></Relationships>
</file>

<file path=xl/worksheets/_rels/sheet3.xml.rels>&#65279;<?xml version="1.0" encoding="utf-8"?><Relationships xmlns="http://schemas.openxmlformats.org/package/2006/relationships"><Relationship Type="http://schemas.openxmlformats.org/officeDocument/2006/relationships/table" Target="/xl/tables/table2.xml" Id="R2a58f38490fc49a0"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1688 унікальних компаній • +320 у Wave 5 без дублювання • знімок 24.08.2026</x:v>
      </x:c>
      <x:c r="B2" s="5"/>
      <x:c r="C2" s="5"/>
      <x:c r="D2" s="5"/>
      <x:c r="E2" s="5"/>
      <x:c r="F2" s="5"/>
      <x:c r="G2" s="5"/>
      <x:c r="H2" s="5"/>
      <x:c r="I2" s="5"/>
      <x:c r="J2" s="5"/>
      <x:c r="K2" s="5"/>
      <x:c r="L2" s="5"/>
      <x:c r="M2" s="5"/>
      <x:c r="N2" s="5"/>
    </x:row>
    <x:row r="4">
      <x:c r="A4" s="24" t="str">
        <x:v>Ключові показники</x:v>
      </x:c>
      <x:c r="B4" s="24"/>
      <x:c r="C4" s="24"/>
      <x:c r="D4" s="24"/>
      <x:c r="E4" s="24"/>
      <x:c r="F4" s="24"/>
      <x:c r="G4" s="24"/>
    </x:row>
    <x:row r="5">
      <x:c r="A5" s="28" t="str">
        <x:v>Усього</x:v>
      </x:c>
      <x:c r="B5" s="28" t="str">
        <x:v>Тендерний сигнал</x:v>
      </x:c>
      <x:c r="C5" s="28" t="str">
        <x:v>Поточний строк</x:v>
      </x:c>
      <x:c r="D5" s="28" t="str">
        <x:v>High confidence</x:v>
      </x:c>
      <x:c r="E5" s="28" t="str">
        <x:v>Pilot now</x:v>
      </x:c>
      <x:c r="F5" s="28" t="str">
        <x:v>Expansion</x:v>
      </x:c>
      <x:c r="G5" s="28" t="str">
        <x:v>Intent I1</x:v>
      </x:c>
    </x:row>
    <x:row r="6">
      <x:c r="A6" s="31" t="n">
        <x:f>COUNTA('Leads 1688'!$C$5:$C$1692)</x:f>
        <x:v>1688</x:v>
      </x:c>
      <x:c r="B6" s="31" t="n">
        <x:f>COUNTIF('Leads 1688'!$AH$5:$AH$1692,"&gt;0")</x:f>
        <x:v>1428</x:v>
      </x:c>
      <x:c r="C6" s="31" t="n">
        <x:f>COUNTIF('Leads 1688'!$AI$5:$AI$1692,"&gt;0")</x:f>
        <x:v>847</x:v>
      </x:c>
      <x:c r="D6" s="31" t="n">
        <x:f>COUNTIF('Leads 1688'!$R$5:$R$1692,"high")</x:f>
        <x:v>1622</x:v>
      </x:c>
      <x:c r="E6" s="31" t="n">
        <x:f>COUNTIF('Leads 1688'!$E$5:$E$1692,"Pilot now")</x:f>
        <x:v>478</x:v>
      </x:c>
      <x:c r="F6" s="31" t="n">
        <x:f>COUNTIF('Leads 1688'!$E$5:$E$1692,"Expansion discovery")</x:f>
        <x:v>1168</x:v>
      </x:c>
      <x:c r="G6" s="31" t="n">
        <x:f>COUNTIF('Leads 1688'!$AG$5:$AG$1692,"I1")</x:f>
        <x:v>96</x:v>
      </x:c>
    </x:row>
    <x:row r="7">
      <x:c r="A7" s="34" t="str">
        <x:v>Унікальні компанії</x:v>
      </x:c>
      <x:c r="B7" s="34" t="str">
        <x:v>Офіційна перемога Prozorro</x:v>
      </x:c>
      <x:c r="C7" s="34" t="str">
        <x:v>Строк виконання ≥ 24.08.2026</x:v>
      </x:c>
      <x:c r="D7" s="34" t="str">
        <x:v>Офіційний або індексований доказ</x:v>
      </x:c>
      <x:c r="E7" s="34" t="str">
        <x:v>Поточне Н.14/Н.15</x:v>
      </x:c>
      <x:c r="F7" s="34" t="str">
        <x:v>Сильний workflow, потрібні вимоги</x:v>
      </x:c>
      <x:c r="G7" s="34" t="str">
        <x:v>Найсильніший проектний намір</x:v>
      </x:c>
    </x:row>
    <x:row r="10">
      <x:c r="A10" s="24" t="str">
        <x:v>База за маршрутом</x:v>
      </x:c>
      <x:c r="B10" s="24"/>
      <x:c r="C10" s="24"/>
      <x:c r="D10" s="24"/>
      <x:c r="E10" s="24"/>
      <x:c r="F10" s="24"/>
    </x:row>
    <x:row r="11">
      <x:c r="A11" s="36" t="str">
        <x:v>Lane</x:v>
      </x:c>
      <x:c r="B11" s="36" t="str">
        <x:v>Акаунти</x:v>
      </x:c>
      <x:c r="C11" s="36" t="str">
        <x:v>Top priority</x:v>
      </x:c>
      <x:c r="D11" s="36" t="str">
        <x:v>High confidence</x:v>
      </x:c>
    </x:row>
    <x:row r="12">
      <x:c r="A12" s="37" t="str">
        <x:v>Pilot now</x:v>
      </x:c>
      <x:c r="B12" s="39" t="n">
        <x:f>COUNTIF('Leads 1688'!$E$5:$E$1692,A12)</x:f>
        <x:v>478</x:v>
      </x:c>
      <x:c r="C12" s="39" t="n">
        <x:f>COUNTIF('Leads 1688'!$F$5:$F$1692,"P1")</x:f>
        <x:v>70</x:v>
      </x:c>
      <x:c r="D12" s="39" t="n">
        <x:f>COUNTIFS('Leads 1688'!$E$5:$E$1692,A12,'Leads 1688'!$R$5:$R$1692,"high")</x:f>
        <x:v>468</x:v>
      </x:c>
    </x:row>
    <x:row r="13">
      <x:c r="A13" s="37" t="str">
        <x:v>Expansion discovery</x:v>
      </x:c>
      <x:c r="B13" s="39" t="n">
        <x:f>COUNTIF('Leads 1688'!$E$5:$E$1692,A13)</x:f>
        <x:v>1168</x:v>
      </x:c>
      <x:c r="C13" s="39" t="n">
        <x:f>COUNTIF('Leads 1688'!$F$5:$F$1692,"D1")</x:f>
        <x:v>230</x:v>
      </x:c>
      <x:c r="D13" s="39" t="n">
        <x:f>COUNTIFS('Leads 1688'!$E$5:$E$1692,A13,'Leads 1688'!$R$5:$R$1692,"high")</x:f>
        <x:v>1146</x:v>
      </x:c>
    </x:row>
    <x:row r="14">
      <x:c r="A14" s="37" t="str">
        <x:v>Later / requirements</x:v>
      </x:c>
      <x:c r="B14" s="39" t="n">
        <x:f>COUNTIF('Leads 1688'!$E$5:$E$1692,A14)</x:f>
        <x:v>8</x:v>
      </x:c>
      <x:c r="C14" s="39" t="n">
        <x:v>0</x:v>
      </x:c>
      <x:c r="D14" s="39" t="n">
        <x:f>COUNTIFS('Leads 1688'!$E$5:$E$1692,A14,'Leads 1688'!$R$5:$R$1692,"high")</x:f>
        <x:v>2</x:v>
      </x:c>
    </x:row>
    <x:row r="15">
      <x:c r="A15" s="38" t="str">
        <x:v>Requalify</x:v>
      </x:c>
      <x:c r="B15" s="40" t="n">
        <x:f>COUNTIF('Leads 1688'!$E$5:$E$1692,A15)</x:f>
        <x:v>34</x:v>
      </x:c>
      <x:c r="C15" s="40" t="n">
        <x:v>0</x:v>
      </x:c>
      <x:c r="D15" s="40" t="n">
        <x:f>COUNTIFS('Leads 1688'!$E$5:$E$1692,A15,'Leads 1688'!$R$5:$R$1692,"high")</x:f>
        <x:v>6</x:v>
      </x:c>
    </x:row>
    <x:row r="19">
      <x:c r="A19" s="24" t="str">
        <x:v>Що змінилося після тендерного розширення</x:v>
      </x:c>
      <x:c r="B19" s="24"/>
      <x:c r="C19" s="24"/>
      <x:c r="D19" s="24"/>
      <x:c r="E19" s="24"/>
      <x:c r="F19" s="24"/>
      <x:c r="G19" s="24"/>
      <x:c r="H19" s="24"/>
      <x:c r="I19" s="24"/>
      <x:c r="J19" s="24"/>
      <x:c r="K19" s="24"/>
      <x:c r="L19" s="24"/>
      <x:c r="M19" s="24"/>
      <x:c r="N19" s="24"/>
    </x:row>
    <x:row r="20" ht="38" customHeight="1">
      <x:c r="A20" s="43" t="str">
        <x:v>1</x:v>
      </x:c>
      <x:c r="B20" s="45" t="str">
        <x:v>Розмір бази</x:v>
      </x:c>
      <x:c r="C20" s="48" t="str">
        <x:v>База зросла з 1368 до 1688 компаній: додано 320 унікальних підрядників Wave 5 після перевірки 1416 нових тендерів, відсікання 513 записів суміжних послуг і дедуплікації.</x:v>
      </x:c>
      <x:c r="D20" s="48"/>
      <x:c r="E20" s="48"/>
      <x:c r="F20" s="48"/>
      <x:c r="G20" s="48"/>
      <x:c r="H20" s="48"/>
      <x:c r="I20" s="48"/>
      <x:c r="J20" s="48"/>
      <x:c r="K20" s="48"/>
      <x:c r="L20" s="48"/>
      <x:c r="M20" s="48"/>
      <x:c r="N20" s="48"/>
    </x:row>
    <x:row r="21" ht="38" customHeight="1">
      <x:c r="A21" s="43" t="str">
        <x:v>2</x:v>
      </x:c>
      <x:c r="B21" s="45" t="str">
        <x:v>Сильніший тригер</x:v>
      </x:c>
      <x:c r="C21" s="48" t="str">
        <x:v>У 1428 компаній є офіційний тендерний слід; у 847 опублікований строк виконання не раніше 24.08.2026. Це конкретний привід для персоналізованого контакту, а не підтвердження активного майданчика.</x:v>
      </x:c>
      <x:c r="D21" s="48"/>
      <x:c r="E21" s="48"/>
      <x:c r="F21" s="48"/>
      <x:c r="G21" s="48"/>
      <x:c r="H21" s="48"/>
      <x:c r="I21" s="48"/>
      <x:c r="J21" s="48"/>
      <x:c r="K21" s="48"/>
      <x:c r="L21" s="48"/>
      <x:c r="M21" s="48"/>
      <x:c r="N21" s="48"/>
    </x:row>
    <x:row r="22" ht="38" customHeight="1">
      <x:c r="A22" s="43" t="str">
        <x:v>3</x:v>
      </x:c>
      <x:c r="B22" s="45" t="str">
        <x:v>Більше галузей</x:v>
      </x:c>
      <x:c r="C22" s="48" t="str">
        <x:v>Wave 5 окремо охопила промисловий холод, медичні гази, чисті приміщення, резервне живлення, BESS, ВОЛЗ, SCADA, ГНБ, насосні станції, ЦОД, залізничну інфраструктуру, антикорозійний захист та підсилення бетону.</x:v>
      </x:c>
      <x:c r="D22" s="48"/>
      <x:c r="E22" s="48"/>
      <x:c r="F22" s="48"/>
      <x:c r="G22" s="48"/>
      <x:c r="H22" s="48"/>
      <x:c r="I22" s="48"/>
      <x:c r="J22" s="48"/>
      <x:c r="K22" s="48"/>
      <x:c r="L22" s="48"/>
      <x:c r="M22" s="48"/>
      <x:c r="N22" s="48"/>
    </x:row>
    <x:row r="23" ht="38" customHeight="1">
      <x:c r="A23" s="43" t="str">
        <x:v>4</x:v>
      </x:c>
      <x:c r="B23" s="45" t="str">
        <x:v>Два офери</x:v>
      </x:c>
      <x:c r="C23" s="48" t="str">
        <x:v>Pilot now — 30–45 днів на Н.14/Н.15. Expansion — 2-тижневий workflow discovery на одному реальному пакеті без обіцянки готового нормативного покриття.</x:v>
      </x:c>
      <x:c r="D23" s="48"/>
      <x:c r="E23" s="48"/>
      <x:c r="F23" s="48"/>
      <x:c r="G23" s="48"/>
      <x:c r="H23" s="48"/>
      <x:c r="I23" s="48"/>
      <x:c r="J23" s="48"/>
      <x:c r="K23" s="48"/>
      <x:c r="L23" s="48"/>
      <x:c r="M23" s="48"/>
      <x:c r="N23" s="48"/>
    </x:row>
    <x:row r="24" ht="38" customHeight="1">
      <x:c r="A24" s="43" t="str">
        <x:v>5</x:v>
      </x:c>
      <x:c r="B24" s="45" t="str">
        <x:v>Правило довіри</x:v>
      </x:c>
      <x:c r="C24" s="49" t="str">
        <x:v>Тендерна перемога доводить проєктну активність, але не біль і не інтерес до GoProceed. Наступний доказ: відповідь → артефакт → інтерв’ю → спонсор і активний проєкт.</x:v>
      </x:c>
      <x:c r="D24" s="49"/>
      <x:c r="E24" s="49"/>
      <x:c r="F24" s="49"/>
      <x:c r="G24" s="49"/>
      <x:c r="H24" s="49"/>
      <x:c r="I24" s="49"/>
      <x:c r="J24" s="49"/>
      <x:c r="K24" s="49"/>
      <x:c r="L24" s="49"/>
      <x:c r="M24" s="49"/>
      <x:c r="N24" s="49"/>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702da474759d49ed"/>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 min="32" max="32" width="11" hidden="0" customWidth="1"/>
    <x:col min="33" max="33" width="12" hidden="0" customWidth="1"/>
    <x:col min="34" max="34" width="9" hidden="0" customWidth="1"/>
    <x:col min="35" max="35" width="12" hidden="0" customWidth="1"/>
    <x:col min="36" max="36" width="18" hidden="0" customWidth="1"/>
    <x:col min="37" max="37" width="38" hidden="0" customWidth="1"/>
    <x:col min="38" max="38" width="14" hidden="0" customWidth="1"/>
    <x:col min="39" max="39" width="14" hidden="0" customWidth="1"/>
    <x:col min="40" max="40" width="28" hidden="0" customWidth="1"/>
    <x:col min="41" max="41" width="26"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row>
    <x:row r="2" ht="22" customHeight="1">
      <x:c r="A2" s="5" t="str">
        <x:v>1688 компаній • +320 у Wave 5 • 1428 з офіційним проєктним слідом • 82 сегментних міток</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ht="34" customHeight="1">
      <x:c r="A3" s="8" t="str">
        <x:v>P1/P2 — fit для пілоту. D1/D2 — discovery fit. I1/I2 — найсильніший тендерний намір. Публічна перемога підтверджує активність, але не інтерес до GoProceed.</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c r="AF4" s="12" t="str">
        <x:v>Intent score</x:v>
      </x:c>
      <x:c r="AG4" s="12" t="str">
        <x:v>Intent priority</x:v>
      </x:c>
      <x:c r="AH4" s="12" t="str">
        <x:v>Тендерів</x:v>
      </x:c>
      <x:c r="AI4" s="12" t="str">
        <x:v>Поточних проєктів</x:v>
      </x:c>
      <x:c r="AJ4" s="12" t="str">
        <x:v>Сума перемог, грн</x:v>
      </x:c>
      <x:c r="AK4" s="12" t="str">
        <x:v>Останній тендер</x:v>
      </x:c>
      <x:c r="AL4" s="12" t="str">
        <x:v>Дата перемоги</x:v>
      </x:c>
      <x:c r="AM4" s="12" t="str">
        <x:v>Строк виконання</x:v>
      </x:c>
      <x:c r="AN4" s="12" t="str">
        <x:v>Тендерні сегменти</x:v>
      </x:c>
      <x:c r="AO4" s="12" t="str">
        <x:v>Статус сайту</x:v>
      </x:c>
    </x:row>
    <x:row r="5">
      <x:c r="A5" s="14" t="str">
        <x:v>V3-030</x:v>
      </x:c>
      <x:c r="B5" s="14" t="str">
        <x:v>Досліджено 28.07</x:v>
      </x:c>
      <x:c r="C5" s="14" t="str">
        <x:v>ТОВ «ЕДС-ІНЖИНІРИНГ»</x:v>
      </x:c>
      <x:c r="D5" s="14" t="str">
        <x:v>Електромонтаж</x:v>
      </x:c>
      <x:c r="E5" s="14" t="str">
        <x:v>Pilot now</x:v>
      </x:c>
      <x:c r="F5" s="17" t="str">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20" t="str"/>
      <x:c r="AE5" s="14" t="str"/>
      <x:c r="AF5" s="14" t="n">
        <x:v>0</x:v>
      </x:c>
      <x:c r="AG5" s="14" t="str">
        <x:v>—</x:v>
      </x:c>
      <x:c r="AH5" s="14" t="n">
        <x:v>0</x:v>
      </x:c>
      <x:c r="AI5" s="14" t="n">
        <x:v>0</x:v>
      </x:c>
      <x:c r="AJ5" s="18" t="n">
        <x:v>0</x:v>
      </x:c>
      <x:c r="AK5" s="14" t="str"/>
      <x:c r="AL5" s="19" t="str"/>
      <x:c r="AM5" s="19" t="str"/>
      <x:c r="AN5" s="15" t="str"/>
      <x:c r="AO5" s="15" t="str">
        <x:v>historical_research_2026-07-28</x:v>
      </x:c>
    </x:row>
    <x:row r="6">
      <x:c r="A6" s="14" t="str">
        <x:v>V3-031</x:v>
      </x:c>
      <x:c r="B6" s="14" t="str">
        <x:v>Досліджено 28.07</x:v>
      </x:c>
      <x:c r="C6" s="14" t="str">
        <x:v>ТОВ «ЕЛЕКТРОПОЛЮС-ІФ»</x:v>
      </x:c>
      <x:c r="D6" s="14" t="str">
        <x:v>Електромонтаж</x:v>
      </x:c>
      <x:c r="E6" s="14" t="str">
        <x:v>Pilot now</x:v>
      </x:c>
      <x:c r="F6" s="17" t="str">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Повторне звернення з посиланням на UA-2026-02-02-012243-a; попросити 1 пакет здачі з поточного workflow</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20" t="str"/>
      <x:c r="AE6" s="14" t="str"/>
      <x:c r="AF6" s="14" t="n">
        <x:v>75</x:v>
      </x:c>
      <x:c r="AG6" s="14" t="str">
        <x:v>I1</x:v>
      </x:c>
      <x:c r="AH6" s="14" t="n">
        <x:v>6</x:v>
      </x:c>
      <x:c r="AI6" s="14" t="n">
        <x:v>6</x:v>
      </x:c>
      <x:c r="AJ6" s="18" t="n">
        <x:v>4826112</x:v>
      </x:c>
      <x:c r="AK6" s="14" t="str">
        <x:v>https://prozorro.gov.ua/tender/UA-2026-02-02-012243-a</x:v>
      </x:c>
      <x:c r="AL6" s="19" t="n">
        <x:v>46055.59493230324</x:v>
      </x:c>
      <x:c r="AM6" s="19" t="n">
        <x:v>46387.59721064815</x:v>
      </x:c>
      <x:c r="AN6" s="15" t="str">
        <x:v>ВОЛЗ / телеком</x:v>
      </x:c>
      <x:c r="AO6" s="15" t="str">
        <x:v>historical_research_2026-07-28</x:v>
      </x:c>
    </x:row>
    <x:row r="7">
      <x:c r="A7" s="14" t="str">
        <x:v>V3-029</x:v>
      </x:c>
      <x:c r="B7" s="14" t="str">
        <x:v>Досліджено 28.07</x:v>
      </x:c>
      <x:c r="C7" s="14" t="str">
        <x:v>ТОВ «ЕНЕРДЖІ ГРУП»</x:v>
      </x:c>
      <x:c r="D7" s="14" t="str">
        <x:v>Електромонтаж</x:v>
      </x:c>
      <x:c r="E7" s="14" t="str">
        <x:v>Pilot now</x:v>
      </x:c>
      <x:c r="F7" s="17" t="str">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Повторне звернення з новим тендерним сигналом UA-2026-03-02-009503-a; попросити 1 пакет здачі</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20" t="str"/>
      <x:c r="AE7" s="14" t="str"/>
      <x:c r="AF7" s="14" t="n">
        <x:v>96</x:v>
      </x:c>
      <x:c r="AG7" s="14" t="str">
        <x:v>I1</x:v>
      </x:c>
      <x:c r="AH7" s="14" t="n">
        <x:v>11</x:v>
      </x:c>
      <x:c r="AI7" s="14" t="n">
        <x:v>9</x:v>
      </x:c>
      <x:c r="AJ7" s="18" t="n">
        <x:v>167336146.04</x:v>
      </x:c>
      <x:c r="AK7" s="14" t="str">
        <x:v>https://prozorro.gov.ua/tender/UA-2026-03-02-009503-a</x:v>
      </x:c>
      <x:c r="AL7" s="19" t="n">
        <x:v>46111.61847329861</x:v>
      </x:c>
      <x:c r="AM7" s="19" t="n">
        <x:v>46327</x:v>
      </x:c>
      <x:c r="AN7" s="15" t="str">
        <x:v>Підстанції / силові мережі; Водоочищення / очисні споруди; Насосні станції</x:v>
      </x:c>
      <x:c r="AO7" s="15" t="str">
        <x:v>historical_research_2026-07-28</x:v>
      </x:c>
    </x:row>
    <x:row r="8">
      <x:c r="A8" s="14" t="str">
        <x:v>AUG-034</x:v>
      </x:c>
      <x:c r="B8" s="14" t="str">
        <x:v>Перевірено 51 — 24.08</x:v>
      </x:c>
      <x:c r="C8" s="14" t="str">
        <x:v>Intech Energy Group</x:v>
      </x:c>
      <x:c r="D8" s="14" t="str">
        <x:v>Промислова електрика</x:v>
      </x:c>
      <x:c r="E8" s="14" t="str">
        <x:v>Pilot now</x:v>
      </x:c>
      <x:c r="F8" s="17" t="str">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20" t="str"/>
      <x:c r="AE8" s="14" t="str"/>
      <x:c r="AF8" s="14" t="n">
        <x:v>0</x:v>
      </x:c>
      <x:c r="AG8" s="14" t="str">
        <x:v>—</x:v>
      </x:c>
      <x:c r="AH8" s="14" t="n">
        <x:v>0</x:v>
      </x:c>
      <x:c r="AI8" s="14" t="n">
        <x:v>0</x:v>
      </x:c>
      <x:c r="AJ8" s="18" t="n">
        <x:v>0</x:v>
      </x:c>
      <x:c r="AK8" s="14" t="str"/>
      <x:c r="AL8" s="19" t="str"/>
      <x:c r="AM8" s="19" t="str"/>
      <x:c r="AN8" s="15" t="str"/>
      <x:c r="AO8" s="15" t="str">
        <x:v>official_source_reverified</x:v>
      </x:c>
    </x:row>
    <x:row r="9">
      <x:c r="A9" s="14" t="str">
        <x:v>AUG-024</x:v>
      </x:c>
      <x:c r="B9" s="14" t="str">
        <x:v>Перевірено 51 — 24.08</x:v>
      </x:c>
      <x:c r="C9" s="14" t="str">
        <x:v>Прогрес Електрик</x:v>
      </x:c>
      <x:c r="D9" s="14" t="str">
        <x:v>Промислова електрика + СЕС</x:v>
      </x:c>
      <x:c r="E9" s="14" t="str">
        <x:v>Pilot now</x:v>
      </x:c>
      <x:c r="F9" s="17" t="str">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20" t="str"/>
      <x:c r="AE9" s="14" t="str"/>
      <x:c r="AF9" s="14" t="n">
        <x:v>0</x:v>
      </x:c>
      <x:c r="AG9" s="14" t="str">
        <x:v>—</x:v>
      </x:c>
      <x:c r="AH9" s="14" t="n">
        <x:v>0</x:v>
      </x:c>
      <x:c r="AI9" s="14" t="n">
        <x:v>0</x:v>
      </x:c>
      <x:c r="AJ9" s="18" t="n">
        <x:v>0</x:v>
      </x:c>
      <x:c r="AK9" s="14" t="str"/>
      <x:c r="AL9" s="19" t="str"/>
      <x:c r="AM9" s="19" t="str"/>
      <x:c r="AN9" s="15" t="str"/>
      <x:c r="AO9" s="15" t="str">
        <x:v>official_source_reverified</x:v>
      </x:c>
    </x:row>
    <x:row r="10">
      <x:c r="A10" s="14" t="str">
        <x:v>AUG-037</x:v>
      </x:c>
      <x:c r="B10" s="14" t="str">
        <x:v>Перевірено 51 — 24.08</x:v>
      </x:c>
      <x:c r="C10" s="14" t="str">
        <x:v>СМІТ ІНЖИНІРИНГ</x:v>
      </x:c>
      <x:c r="D10" s="14" t="str">
        <x:v>Електрика + слаботочка</x:v>
      </x:c>
      <x:c r="E10" s="14" t="str">
        <x:v>Pilot now</x:v>
      </x:c>
      <x:c r="F10" s="17" t="str">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20" t="str"/>
      <x:c r="AE10" s="14" t="str"/>
      <x:c r="AF10" s="14" t="n">
        <x:v>0</x:v>
      </x:c>
      <x:c r="AG10" s="14" t="str">
        <x:v>—</x:v>
      </x:c>
      <x:c r="AH10" s="14" t="n">
        <x:v>0</x:v>
      </x:c>
      <x:c r="AI10" s="14" t="n">
        <x:v>0</x:v>
      </x:c>
      <x:c r="AJ10" s="18" t="n">
        <x:v>0</x:v>
      </x:c>
      <x:c r="AK10" s="14" t="str"/>
      <x:c r="AL10" s="19" t="str"/>
      <x:c r="AM10" s="19" t="str"/>
      <x:c r="AN10" s="15" t="str"/>
      <x:c r="AO10" s="15" t="str">
        <x:v>official_source_reverified</x:v>
      </x:c>
    </x:row>
    <x:row r="11">
      <x:c r="A11" s="14" t="str">
        <x:v>AUG-025</x:v>
      </x:c>
      <x:c r="B11" s="14" t="str">
        <x:v>Перевірено 51 — 24.08</x:v>
      </x:c>
      <x:c r="C11" s="14" t="str">
        <x:v>Спецбудмонтаж-Україна</x:v>
      </x:c>
      <x:c r="D11" s="14" t="str">
        <x:v>Промисловий MEP</x:v>
      </x:c>
      <x:c r="E11" s="14" t="str">
        <x:v>Pilot now</x:v>
      </x:c>
      <x:c r="F11" s="17" t="str">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20" t="str"/>
      <x:c r="AE11" s="14" t="str"/>
      <x:c r="AF11" s="14" t="n">
        <x:v>0</x:v>
      </x:c>
      <x:c r="AG11" s="14" t="str">
        <x:v>—</x:v>
      </x:c>
      <x:c r="AH11" s="14" t="n">
        <x:v>0</x:v>
      </x:c>
      <x:c r="AI11" s="14" t="n">
        <x:v>0</x:v>
      </x:c>
      <x:c r="AJ11" s="18" t="n">
        <x:v>0</x:v>
      </x:c>
      <x:c r="AK11" s="14" t="str"/>
      <x:c r="AL11" s="19" t="str"/>
      <x:c r="AM11" s="19" t="str"/>
      <x:c r="AN11" s="15" t="str"/>
      <x:c r="AO11" s="15" t="str">
        <x:v>official_source_reverified</x:v>
      </x:c>
    </x:row>
    <x:row r="12">
      <x:c r="A12" s="14" t="str">
        <x:v>AUG-031</x:v>
      </x:c>
      <x:c r="B12" s="14" t="str">
        <x:v>Перевірено 51 — 24.08</x:v>
      </x:c>
      <x:c r="C12" s="14" t="str">
        <x:v>ТД Роял Груп</x:v>
      </x:c>
      <x:c r="D12" s="14" t="str">
        <x:v>Промислова електрика</x:v>
      </x:c>
      <x:c r="E12" s="14" t="str">
        <x:v>Pilot now</x:v>
      </x:c>
      <x:c r="F12" s="17" t="str">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20" t="str"/>
      <x:c r="AE12" s="14" t="str"/>
      <x:c r="AF12" s="14" t="n">
        <x:v>0</x:v>
      </x:c>
      <x:c r="AG12" s="14" t="str">
        <x:v>—</x:v>
      </x:c>
      <x:c r="AH12" s="14" t="n">
        <x:v>0</x:v>
      </x:c>
      <x:c r="AI12" s="14" t="n">
        <x:v>0</x:v>
      </x:c>
      <x:c r="AJ12" s="18" t="n">
        <x:v>0</x:v>
      </x:c>
      <x:c r="AK12" s="14" t="str"/>
      <x:c r="AL12" s="19" t="str"/>
      <x:c r="AM12" s="19" t="str"/>
      <x:c r="AN12" s="15" t="str"/>
      <x:c r="AO12" s="15" t="str">
        <x:v>official_source_reverified</x:v>
      </x:c>
    </x:row>
    <x:row r="13">
      <x:c r="A13" s="14" t="str">
        <x:v>V3-032</x:v>
      </x:c>
      <x:c r="B13" s="14" t="str">
        <x:v>Досліджено 28.07</x:v>
      </x:c>
      <x:c r="C13" s="14" t="str">
        <x:v>ТОВ «ВЕМА ЗАХІД»</x:v>
      </x:c>
      <x:c r="D13" s="14" t="str">
        <x:v>Електромонтаж</x:v>
      </x:c>
      <x:c r="E13" s="14" t="str">
        <x:v>Pilot now</x:v>
      </x:c>
      <x:c r="F13" s="17" t="str">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20" t="str"/>
      <x:c r="AE13" s="14" t="str"/>
      <x:c r="AF13" s="14" t="n">
        <x:v>0</x:v>
      </x:c>
      <x:c r="AG13" s="14" t="str">
        <x:v>—</x:v>
      </x:c>
      <x:c r="AH13" s="14" t="n">
        <x:v>0</x:v>
      </x:c>
      <x:c r="AI13" s="14" t="n">
        <x:v>0</x:v>
      </x:c>
      <x:c r="AJ13" s="18" t="n">
        <x:v>0</x:v>
      </x:c>
      <x:c r="AK13" s="14" t="str"/>
      <x:c r="AL13" s="19" t="str"/>
      <x:c r="AM13" s="19" t="str"/>
      <x:c r="AN13" s="15" t="str"/>
      <x:c r="AO13" s="15" t="str">
        <x:v>historical_research_2026-07-28</x:v>
      </x:c>
    </x:row>
    <x:row r="14">
      <x:c r="A14" s="14" t="str">
        <x:v>V3-033</x:v>
      </x:c>
      <x:c r="B14" s="14" t="str">
        <x:v>Досліджено 28.07</x:v>
      </x:c>
      <x:c r="C14" s="14" t="str">
        <x:v>ТОВ «ЕМБУД»</x:v>
      </x:c>
      <x:c r="D14" s="14" t="str">
        <x:v>Електромонтаж</x:v>
      </x:c>
      <x:c r="E14" s="14" t="str">
        <x:v>Pilot now</x:v>
      </x:c>
      <x:c r="F14" s="17" t="str">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20" t="str"/>
      <x:c r="AE14" s="14" t="str"/>
      <x:c r="AF14" s="14" t="n">
        <x:v>0</x:v>
      </x:c>
      <x:c r="AG14" s="14" t="str">
        <x:v>—</x:v>
      </x:c>
      <x:c r="AH14" s="14" t="n">
        <x:v>0</x:v>
      </x:c>
      <x:c r="AI14" s="14" t="n">
        <x:v>0</x:v>
      </x:c>
      <x:c r="AJ14" s="18" t="n">
        <x:v>0</x:v>
      </x:c>
      <x:c r="AK14" s="14" t="str"/>
      <x:c r="AL14" s="19" t="str"/>
      <x:c r="AM14" s="19" t="str"/>
      <x:c r="AN14" s="15" t="str"/>
      <x:c r="AO14" s="15" t="str">
        <x:v>historical_research_2026-07-28</x:v>
      </x:c>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20" t="str"/>
      <x:c r="AE15" s="14" t="str"/>
      <x:c r="AF15" s="14" t="n">
        <x:v>0</x:v>
      </x:c>
      <x:c r="AG15" s="14" t="str">
        <x:v>—</x:v>
      </x:c>
      <x:c r="AH15" s="14" t="n">
        <x:v>0</x:v>
      </x:c>
      <x:c r="AI15" s="14" t="n">
        <x:v>0</x:v>
      </x:c>
      <x:c r="AJ15" s="18" t="n">
        <x:v>0</x:v>
      </x:c>
      <x:c r="AK15" s="14" t="str"/>
      <x:c r="AL15" s="19" t="str"/>
      <x:c r="AM15" s="19" t="str"/>
      <x:c r="AN15" s="15" t="str"/>
      <x:c r="AO15" s="15" t="str">
        <x:v>historical_research_2026-07-28</x:v>
      </x:c>
    </x:row>
    <x:row r="16">
      <x:c r="A16" s="14" t="str">
        <x:v>V3-035</x:v>
      </x:c>
      <x:c r="B16" s="14" t="str">
        <x:v>Досліджено 28.07</x:v>
      </x:c>
      <x:c r="C16" s="14" t="str">
        <x:v>ТОВ «НЕТЛАЙН»</x:v>
      </x:c>
      <x:c r="D16" s="14" t="str">
        <x:v>Електромонтаж</x:v>
      </x:c>
      <x:c r="E16" s="14" t="str">
        <x:v>Pilot now</x:v>
      </x:c>
      <x:c r="F16" s="17" t="str">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20" t="str"/>
      <x:c r="AE16" s="14" t="str"/>
      <x:c r="AF16" s="14" t="n">
        <x:v>0</x:v>
      </x:c>
      <x:c r="AG16" s="14" t="str">
        <x:v>—</x:v>
      </x:c>
      <x:c r="AH16" s="14" t="n">
        <x:v>0</x:v>
      </x:c>
      <x:c r="AI16" s="14" t="n">
        <x:v>0</x:v>
      </x:c>
      <x:c r="AJ16" s="18" t="n">
        <x:v>0</x:v>
      </x:c>
      <x:c r="AK16" s="14" t="str"/>
      <x:c r="AL16" s="19" t="str"/>
      <x:c r="AM16" s="19" t="str"/>
      <x:c r="AN16" s="15" t="str"/>
      <x:c r="AO16" s="15" t="str">
        <x:v>historical_research_2026-07-28</x:v>
      </x:c>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20" t="str"/>
      <x:c r="AE17" s="14" t="str"/>
      <x:c r="AF17" s="14" t="n">
        <x:v>0</x:v>
      </x:c>
      <x:c r="AG17" s="14" t="str">
        <x:v>—</x:v>
      </x:c>
      <x:c r="AH17" s="14" t="n">
        <x:v>0</x:v>
      </x:c>
      <x:c r="AI17" s="14" t="n">
        <x:v>0</x:v>
      </x:c>
      <x:c r="AJ17" s="18" t="n">
        <x:v>0</x:v>
      </x:c>
      <x:c r="AK17" s="14" t="str"/>
      <x:c r="AL17" s="19" t="str"/>
      <x:c r="AM17" s="19" t="str"/>
      <x:c r="AN17" s="15" t="str"/>
      <x:c r="AO17" s="15" t="str">
        <x:v>official_source_reverified</x:v>
      </x:c>
    </x:row>
    <x:row r="18">
      <x:c r="A18" s="14" t="str">
        <x:v>AUG-041</x:v>
      </x:c>
      <x:c r="B18" s="14" t="str">
        <x:v>Перевірено 51 — 24.08</x:v>
      </x:c>
      <x:c r="C18" s="14" t="str">
        <x:v>DOWBUSH energo</x:v>
      </x:c>
      <x:c r="D18" s="14" t="str">
        <x:v>Промислова електрика</x:v>
      </x:c>
      <x:c r="E18" s="14" t="str">
        <x:v>Pilot now</x:v>
      </x:c>
      <x:c r="F18" s="17" t="str">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20" t="str"/>
      <x:c r="AE18" s="14" t="str"/>
      <x:c r="AF18" s="14" t="n">
        <x:v>0</x:v>
      </x:c>
      <x:c r="AG18" s="14" t="str">
        <x:v>—</x:v>
      </x:c>
      <x:c r="AH18" s="14" t="n">
        <x:v>0</x:v>
      </x:c>
      <x:c r="AI18" s="14" t="n">
        <x:v>0</x:v>
      </x:c>
      <x:c r="AJ18" s="18" t="n">
        <x:v>0</x:v>
      </x:c>
      <x:c r="AK18" s="14" t="str"/>
      <x:c r="AL18" s="19" t="str"/>
      <x:c r="AM18" s="19" t="str"/>
      <x:c r="AN18" s="15" t="str"/>
      <x:c r="AO18" s="15" t="str">
        <x:v>official_source_reverified</x:v>
      </x:c>
    </x:row>
    <x:row r="19">
      <x:c r="A19" s="14" t="str">
        <x:v>AUG-023</x:v>
      </x:c>
      <x:c r="B19" s="14" t="str">
        <x:v>Перевірено 51 — 24.08</x:v>
      </x:c>
      <x:c r="C19" s="14" t="str">
        <x:v>RUDNIK</x:v>
      </x:c>
      <x:c r="D19" s="14" t="str">
        <x:v>СЕС + електрика</x:v>
      </x:c>
      <x:c r="E19" s="14" t="str">
        <x:v>Pilot now</x:v>
      </x:c>
      <x:c r="F19" s="17" t="str">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20" t="str"/>
      <x:c r="AE19" s="14" t="str"/>
      <x:c r="AF19" s="14" t="n">
        <x:v>0</x:v>
      </x:c>
      <x:c r="AG19" s="14" t="str">
        <x:v>—</x:v>
      </x:c>
      <x:c r="AH19" s="14" t="n">
        <x:v>0</x:v>
      </x:c>
      <x:c r="AI19" s="14" t="n">
        <x:v>0</x:v>
      </x:c>
      <x:c r="AJ19" s="18" t="n">
        <x:v>0</x:v>
      </x:c>
      <x:c r="AK19" s="14" t="str"/>
      <x:c r="AL19" s="19" t="str"/>
      <x:c r="AM19" s="19" t="str"/>
      <x:c r="AN19" s="15" t="str"/>
      <x:c r="AO19" s="15" t="str">
        <x:v>official_source_reverified</x:v>
      </x:c>
    </x:row>
    <x:row r="20">
      <x:c r="A20" s="14" t="str">
        <x:v>AUG-028</x:v>
      </x:c>
      <x:c r="B20" s="14" t="str">
        <x:v>Перевірено 51 — 24.08</x:v>
      </x:c>
      <x:c r="C20" s="14" t="str">
        <x:v>Авангард Солар</x:v>
      </x:c>
      <x:c r="D20" s="14" t="str">
        <x:v>СЕС + електрика</x:v>
      </x:c>
      <x:c r="E20" s="14" t="str">
        <x:v>Pilot now</x:v>
      </x:c>
      <x:c r="F20" s="17" t="str">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20" t="str"/>
      <x:c r="AE20" s="14" t="str"/>
      <x:c r="AF20" s="14" t="n">
        <x:v>0</x:v>
      </x:c>
      <x:c r="AG20" s="14" t="str">
        <x:v>—</x:v>
      </x:c>
      <x:c r="AH20" s="14" t="n">
        <x:v>0</x:v>
      </x:c>
      <x:c r="AI20" s="14" t="n">
        <x:v>0</x:v>
      </x:c>
      <x:c r="AJ20" s="18" t="n">
        <x:v>0</x:v>
      </x:c>
      <x:c r="AK20" s="14" t="str"/>
      <x:c r="AL20" s="19" t="str"/>
      <x:c r="AM20" s="19" t="str"/>
      <x:c r="AN20" s="15" t="str"/>
      <x:c r="AO20" s="15" t="str">
        <x:v>official_source_reverified</x:v>
      </x:c>
    </x:row>
    <x:row r="21">
      <x:c r="A21" s="14" t="str">
        <x:v>AUG-013</x:v>
      </x:c>
      <x:c r="B21" s="14" t="str">
        <x:v>Перевірено 51 — 24.08</x:v>
      </x:c>
      <x:c r="C21" s="14" t="str">
        <x:v>Електрощит</x:v>
      </x:c>
      <x:c r="D21" s="14" t="str">
        <x:v>Промислова електрика</x:v>
      </x:c>
      <x:c r="E21" s="14" t="str">
        <x:v>Pilot now</x:v>
      </x:c>
      <x:c r="F21" s="17" t="str">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20" t="str"/>
      <x:c r="AE21" s="14" t="str"/>
      <x:c r="AF21" s="14" t="n">
        <x:v>0</x:v>
      </x:c>
      <x:c r="AG21" s="14" t="str">
        <x:v>—</x:v>
      </x:c>
      <x:c r="AH21" s="14" t="n">
        <x:v>0</x:v>
      </x:c>
      <x:c r="AI21" s="14" t="n">
        <x:v>0</x:v>
      </x:c>
      <x:c r="AJ21" s="18" t="n">
        <x:v>0</x:v>
      </x:c>
      <x:c r="AK21" s="14" t="str"/>
      <x:c r="AL21" s="19" t="str"/>
      <x:c r="AM21" s="19" t="str"/>
      <x:c r="AN21" s="15" t="str"/>
      <x:c r="AO21" s="15" t="str">
        <x:v>official_source_reverified</x:v>
      </x:c>
    </x:row>
    <x:row r="22">
      <x:c r="A22" s="14" t="str">
        <x:v>AUG-010</x:v>
      </x:c>
      <x:c r="B22" s="14" t="str">
        <x:v>Перевірено 51 — 24.08</x:v>
      </x:c>
      <x:c r="C22" s="14" t="str">
        <x:v>Мега Watt</x:v>
      </x:c>
      <x:c r="D22" s="14" t="str">
        <x:v>Електромонтаж</x:v>
      </x:c>
      <x:c r="E22" s="14" t="str">
        <x:v>Pilot now</x:v>
      </x:c>
      <x:c r="F22" s="17" t="str">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20" t="str"/>
      <x:c r="AE22" s="14" t="str"/>
      <x:c r="AF22" s="14" t="n">
        <x:v>0</x:v>
      </x:c>
      <x:c r="AG22" s="14" t="str">
        <x:v>—</x:v>
      </x:c>
      <x:c r="AH22" s="14" t="n">
        <x:v>0</x:v>
      </x:c>
      <x:c r="AI22" s="14" t="n">
        <x:v>0</x:v>
      </x:c>
      <x:c r="AJ22" s="18" t="n">
        <x:v>0</x:v>
      </x:c>
      <x:c r="AK22" s="14" t="str"/>
      <x:c r="AL22" s="19" t="str"/>
      <x:c r="AM22" s="19" t="str"/>
      <x:c r="AN22" s="15" t="str"/>
      <x:c r="AO22" s="15" t="str">
        <x:v>official_source_reverified</x:v>
      </x:c>
    </x:row>
    <x:row r="23">
      <x:c r="A23" s="14" t="str">
        <x:v>AUG-027</x:v>
      </x:c>
      <x:c r="B23" s="14" t="str">
        <x:v>Перевірено 51 — 24.08</x:v>
      </x:c>
      <x:c r="C23" s="14" t="str">
        <x:v>Оазис Комфорт</x:v>
      </x:c>
      <x:c r="D23" s="14" t="str">
        <x:v>MEP / інженерні системи</x:v>
      </x:c>
      <x:c r="E23" s="14" t="str">
        <x:v>Pilot now</x:v>
      </x:c>
      <x:c r="F23" s="17" t="str">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20" t="str"/>
      <x:c r="AE23" s="14" t="str"/>
      <x:c r="AF23" s="14" t="n">
        <x:v>0</x:v>
      </x:c>
      <x:c r="AG23" s="14" t="str">
        <x:v>—</x:v>
      </x:c>
      <x:c r="AH23" s="14" t="n">
        <x:v>0</x:v>
      </x:c>
      <x:c r="AI23" s="14" t="n">
        <x:v>0</x:v>
      </x:c>
      <x:c r="AJ23" s="18" t="n">
        <x:v>0</x:v>
      </x:c>
      <x:c r="AK23" s="14" t="str"/>
      <x:c r="AL23" s="19" t="str"/>
      <x:c r="AM23" s="19" t="str"/>
      <x:c r="AN23" s="15" t="str"/>
      <x:c r="AO23" s="15" t="str">
        <x:v>official_source_reverified</x:v>
      </x:c>
    </x:row>
    <x:row r="24">
      <x:c r="A24" s="14" t="str">
        <x:v>AUG-029</x:v>
      </x:c>
      <x:c r="B24" s="14" t="str">
        <x:v>Перевірено 51 — 24.08</x:v>
      </x:c>
      <x:c r="C24" s="14" t="str">
        <x:v>ONG Solar</x:v>
      </x:c>
      <x:c r="D24" s="14" t="str">
        <x:v>СЕС + електрика</x:v>
      </x:c>
      <x:c r="E24" s="14" t="str">
        <x:v>Pilot now</x:v>
      </x:c>
      <x:c r="F24" s="17" t="str">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20" t="str"/>
      <x:c r="AE24" s="14" t="str"/>
      <x:c r="AF24" s="14" t="n">
        <x:v>0</x:v>
      </x:c>
      <x:c r="AG24" s="14" t="str">
        <x:v>—</x:v>
      </x:c>
      <x:c r="AH24" s="14" t="n">
        <x:v>0</x:v>
      </x:c>
      <x:c r="AI24" s="14" t="n">
        <x:v>0</x:v>
      </x:c>
      <x:c r="AJ24" s="18" t="n">
        <x:v>0</x:v>
      </x:c>
      <x:c r="AK24" s="14" t="str"/>
      <x:c r="AL24" s="19" t="str"/>
      <x:c r="AM24" s="19" t="str"/>
      <x:c r="AN24" s="15" t="str"/>
      <x:c r="AO24" s="15" t="str">
        <x:v>official_source_reverified</x:v>
      </x:c>
    </x:row>
    <x:row r="25">
      <x:c r="A25" s="14" t="str">
        <x:v>AUG-042</x:v>
      </x:c>
      <x:c r="B25" s="14" t="str">
        <x:v>Перевірено 51 — 24.08</x:v>
      </x:c>
      <x:c r="C25" s="14" t="str">
        <x:v>ВК Тепло</x:v>
      </x:c>
      <x:c r="D25" s="14" t="str">
        <x:v>Внутрішня сантехніка + HVAC</x:v>
      </x:c>
      <x:c r="E25" s="14" t="str">
        <x:v>Pilot now</x:v>
      </x:c>
      <x:c r="F25" s="17" t="str">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20" t="str"/>
      <x:c r="AE25" s="14" t="str"/>
      <x:c r="AF25" s="14" t="n">
        <x:v>0</x:v>
      </x:c>
      <x:c r="AG25" s="14" t="str">
        <x:v>—</x:v>
      </x:c>
      <x:c r="AH25" s="14" t="n">
        <x:v>0</x:v>
      </x:c>
      <x:c r="AI25" s="14" t="n">
        <x:v>0</x:v>
      </x:c>
      <x:c r="AJ25" s="18" t="n">
        <x:v>0</x:v>
      </x:c>
      <x:c r="AK25" s="14" t="str"/>
      <x:c r="AL25" s="19" t="str"/>
      <x:c r="AM25" s="19" t="str"/>
      <x:c r="AN25" s="15" t="str"/>
      <x:c r="AO25" s="15" t="str">
        <x:v>official_source_reverified</x:v>
      </x:c>
    </x:row>
    <x:row r="26">
      <x:c r="A26" s="14" t="str">
        <x:v>AUG-008</x:v>
      </x:c>
      <x:c r="B26" s="14" t="str">
        <x:v>Перевірено 51 — 24.08</x:v>
      </x:c>
      <x:c r="C26" s="14" t="str">
        <x:v>Максвел</x:v>
      </x:c>
      <x:c r="D26" s="14" t="str">
        <x:v>Електромонтаж</x:v>
      </x:c>
      <x:c r="E26" s="14" t="str">
        <x:v>Pilot now</x:v>
      </x:c>
      <x:c r="F26" s="17" t="str">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20" t="str"/>
      <x:c r="AE26" s="14" t="str"/>
      <x:c r="AF26" s="14" t="n">
        <x:v>0</x:v>
      </x:c>
      <x:c r="AG26" s="14" t="str">
        <x:v>—</x:v>
      </x:c>
      <x:c r="AH26" s="14" t="n">
        <x:v>0</x:v>
      </x:c>
      <x:c r="AI26" s="14" t="n">
        <x:v>0</x:v>
      </x:c>
      <x:c r="AJ26" s="18" t="n">
        <x:v>0</x:v>
      </x:c>
      <x:c r="AK26" s="14" t="str"/>
      <x:c r="AL26" s="19" t="str"/>
      <x:c r="AM26" s="19" t="str"/>
      <x:c r="AN26" s="15" t="str"/>
      <x:c r="AO26" s="15" t="str">
        <x:v>official_source_reverified</x:v>
      </x:c>
    </x:row>
    <x:row r="27">
      <x:c r="A27" s="14" t="str">
        <x:v>AUG-012</x:v>
      </x:c>
      <x:c r="B27" s="14" t="str">
        <x:v>Перевірено 51 — 24.08</x:v>
      </x:c>
      <x:c r="C27" s="14" t="str">
        <x:v>Укртакелаж</x:v>
      </x:c>
      <x:c r="D27" s="14" t="str">
        <x:v>Промислова електрика</x:v>
      </x:c>
      <x:c r="E27" s="14" t="str">
        <x:v>Pilot now</x:v>
      </x:c>
      <x:c r="F27" s="17" t="str">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20" t="str"/>
      <x:c r="AE27" s="14" t="str"/>
      <x:c r="AF27" s="14" t="n">
        <x:v>0</x:v>
      </x:c>
      <x:c r="AG27" s="14" t="str">
        <x:v>—</x:v>
      </x:c>
      <x:c r="AH27" s="14" t="n">
        <x:v>0</x:v>
      </x:c>
      <x:c r="AI27" s="14" t="n">
        <x:v>0</x:v>
      </x:c>
      <x:c r="AJ27" s="18" t="n">
        <x:v>0</x:v>
      </x:c>
      <x:c r="AK27" s="14" t="str"/>
      <x:c r="AL27" s="19" t="str"/>
      <x:c r="AM27" s="19" t="str"/>
      <x:c r="AN27" s="15" t="str"/>
      <x:c r="AO27" s="15" t="str">
        <x:v>official_source_reverified</x:v>
      </x:c>
    </x:row>
    <x:row r="28">
      <x:c r="A28" s="14" t="str">
        <x:v>AUG-005</x:v>
      </x:c>
      <x:c r="B28" s="14" t="str">
        <x:v>Перевірено 51 — 24.08</x:v>
      </x:c>
      <x:c r="C28" s="14" t="str">
        <x:v>Airvent</x:v>
      </x:c>
      <x:c r="D28" s="14" t="str">
        <x:v>MEP / інженерні системи</x:v>
      </x:c>
      <x:c r="E28" s="14" t="str">
        <x:v>Pilot now</x:v>
      </x:c>
      <x:c r="F28" s="17" t="str">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20" t="str"/>
      <x:c r="AE28" s="14" t="str"/>
      <x:c r="AF28" s="14" t="n">
        <x:v>0</x:v>
      </x:c>
      <x:c r="AG28" s="14" t="str">
        <x:v>—</x:v>
      </x:c>
      <x:c r="AH28" s="14" t="n">
        <x:v>0</x:v>
      </x:c>
      <x:c r="AI28" s="14" t="n">
        <x:v>0</x:v>
      </x:c>
      <x:c r="AJ28" s="18" t="n">
        <x:v>0</x:v>
      </x:c>
      <x:c r="AK28" s="14" t="str"/>
      <x:c r="AL28" s="19" t="str"/>
      <x:c r="AM28" s="19" t="str"/>
      <x:c r="AN28" s="15" t="str"/>
      <x:c r="AO28" s="15" t="str">
        <x:v>official_source_reverified</x:v>
      </x:c>
    </x:row>
    <x:row r="29">
      <x:c r="A29" s="14" t="str">
        <x:v>AUG-033</x:v>
      </x:c>
      <x:c r="B29" s="14" t="str">
        <x:v>Перевірено 51 — 24.08</x:v>
      </x:c>
      <x:c r="C29" s="14" t="str">
        <x:v>EL-PRO</x:v>
      </x:c>
      <x:c r="D29" s="14" t="str">
        <x:v>Електромонтаж</x:v>
      </x:c>
      <x:c r="E29" s="14" t="str">
        <x:v>Pilot now</x:v>
      </x:c>
      <x:c r="F29" s="17" t="str">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20" t="str"/>
      <x:c r="AE29" s="14" t="str"/>
      <x:c r="AF29" s="14" t="n">
        <x:v>0</x:v>
      </x:c>
      <x:c r="AG29" s="14" t="str">
        <x:v>—</x:v>
      </x:c>
      <x:c r="AH29" s="14" t="n">
        <x:v>0</x:v>
      </x:c>
      <x:c r="AI29" s="14" t="n">
        <x:v>0</x:v>
      </x:c>
      <x:c r="AJ29" s="18" t="n">
        <x:v>0</x:v>
      </x:c>
      <x:c r="AK29" s="14" t="str"/>
      <x:c r="AL29" s="19" t="str"/>
      <x:c r="AM29" s="19" t="str"/>
      <x:c r="AN29" s="15" t="str"/>
      <x:c r="AO29" s="15" t="str">
        <x:v>official_source_reverified</x:v>
      </x:c>
    </x:row>
    <x:row r="30">
      <x:c r="A30" s="14" t="str">
        <x:v>AUG-026</x:v>
      </x:c>
      <x:c r="B30" s="14" t="str">
        <x:v>Перевірено 51 — 24.08</x:v>
      </x:c>
      <x:c r="C30" s="14" t="str">
        <x:v>GreenVolt Systems</x:v>
      </x:c>
      <x:c r="D30" s="14" t="str">
        <x:v>СЕС + електрика</x:v>
      </x:c>
      <x:c r="E30" s="14" t="str">
        <x:v>Pilot now</x:v>
      </x:c>
      <x:c r="F30" s="17" t="str">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20" t="str"/>
      <x:c r="AE30" s="14" t="str"/>
      <x:c r="AF30" s="14" t="n">
        <x:v>0</x:v>
      </x:c>
      <x:c r="AG30" s="14" t="str">
        <x:v>—</x:v>
      </x:c>
      <x:c r="AH30" s="14" t="n">
        <x:v>0</x:v>
      </x:c>
      <x:c r="AI30" s="14" t="n">
        <x:v>0</x:v>
      </x:c>
      <x:c r="AJ30" s="18" t="n">
        <x:v>0</x:v>
      </x:c>
      <x:c r="AK30" s="14" t="str"/>
      <x:c r="AL30" s="19" t="str"/>
      <x:c r="AM30" s="19" t="str"/>
      <x:c r="AN30" s="15" t="str"/>
      <x:c r="AO30" s="15" t="str">
        <x:v>official_source_reverified</x:v>
      </x:c>
    </x:row>
    <x:row r="31">
      <x:c r="A31" s="14" t="str">
        <x:v>AUG-022</x:v>
      </x:c>
      <x:c r="B31" s="14" t="str">
        <x:v>Перевірено 51 — 24.08</x:v>
      </x:c>
      <x:c r="C31" s="14" t="str">
        <x:v>MPF</x:v>
      </x:c>
      <x:c r="D31" s="14" t="str">
        <x:v>MEP / інженерні системи</x:v>
      </x:c>
      <x:c r="E31" s="14" t="str">
        <x:v>Pilot now</x:v>
      </x:c>
      <x:c r="F31" s="17" t="str">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20" t="str"/>
      <x:c r="AE31" s="14" t="str"/>
      <x:c r="AF31" s="14" t="n">
        <x:v>0</x:v>
      </x:c>
      <x:c r="AG31" s="14" t="str">
        <x:v>—</x:v>
      </x:c>
      <x:c r="AH31" s="14" t="n">
        <x:v>0</x:v>
      </x:c>
      <x:c r="AI31" s="14" t="n">
        <x:v>0</x:v>
      </x:c>
      <x:c r="AJ31" s="18" t="n">
        <x:v>0</x:v>
      </x:c>
      <x:c r="AK31" s="14" t="str"/>
      <x:c r="AL31" s="19" t="str"/>
      <x:c r="AM31" s="19" t="str"/>
      <x:c r="AN31" s="15" t="str"/>
      <x:c r="AO31" s="15" t="str">
        <x:v>official_source_reverified</x:v>
      </x:c>
    </x:row>
    <x:row r="32">
      <x:c r="A32" s="14" t="str">
        <x:v>AUG-039</x:v>
      </x:c>
      <x:c r="B32" s="14" t="str">
        <x:v>Перевірено 51 — 24.08</x:v>
      </x:c>
      <x:c r="C32" s="14" t="str">
        <x:v>ВОЛЬТ ЕНЕРГО МОНТАЖ</x:v>
      </x:c>
      <x:c r="D32" s="14" t="str">
        <x:v>Електромонтаж</x:v>
      </x:c>
      <x:c r="E32" s="14" t="str">
        <x:v>Pilot now</x:v>
      </x:c>
      <x:c r="F32" s="17" t="str">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20" t="str"/>
      <x:c r="AE32" s="14" t="str"/>
      <x:c r="AF32" s="14" t="n">
        <x:v>0</x:v>
      </x:c>
      <x:c r="AG32" s="14" t="str">
        <x:v>—</x:v>
      </x:c>
      <x:c r="AH32" s="14" t="n">
        <x:v>0</x:v>
      </x:c>
      <x:c r="AI32" s="14" t="n">
        <x:v>0</x:v>
      </x:c>
      <x:c r="AJ32" s="18" t="n">
        <x:v>0</x:v>
      </x:c>
      <x:c r="AK32" s="14" t="str"/>
      <x:c r="AL32" s="19" t="str"/>
      <x:c r="AM32" s="19" t="str"/>
      <x:c r="AN32" s="15" t="str"/>
      <x:c r="AO32" s="15" t="str">
        <x:v>official_content_reverified_via_search_index</x:v>
      </x:c>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20" t="str"/>
      <x:c r="AE33" s="14" t="str"/>
      <x:c r="AF33" s="14" t="n">
        <x:v>0</x:v>
      </x:c>
      <x:c r="AG33" s="14" t="str">
        <x:v>—</x:v>
      </x:c>
      <x:c r="AH33" s="14" t="n">
        <x:v>0</x:v>
      </x:c>
      <x:c r="AI33" s="14" t="n">
        <x:v>0</x:v>
      </x:c>
      <x:c r="AJ33" s="18" t="n">
        <x:v>0</x:v>
      </x:c>
      <x:c r="AK33" s="14" t="str"/>
      <x:c r="AL33" s="19" t="str"/>
      <x:c r="AM33" s="19" t="str"/>
      <x:c r="AN33" s="15" t="str"/>
      <x:c r="AO33" s="15" t="str">
        <x:v>official_homepage_and_pdf_reverified</x:v>
      </x:c>
    </x:row>
    <x:row r="34">
      <x:c r="A34" s="14" t="str">
        <x:v>AUG-044</x:v>
      </x:c>
      <x:c r="B34" s="14" t="str">
        <x:v>Перевірено 51 — 24.08</x:v>
      </x:c>
      <x:c r="C34" s="14" t="str">
        <x:v>Магія Комфорту</x:v>
      </x:c>
      <x:c r="D34" s="14" t="str">
        <x:v>Внутрішня сантехніка + HVAC</x:v>
      </x:c>
      <x:c r="E34" s="14" t="str">
        <x:v>Pilot now</x:v>
      </x:c>
      <x:c r="F34" s="17" t="str">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20" t="str"/>
      <x:c r="AE34" s="14" t="str"/>
      <x:c r="AF34" s="14" t="n">
        <x:v>0</x:v>
      </x:c>
      <x:c r="AG34" s="14" t="str">
        <x:v>—</x:v>
      </x:c>
      <x:c r="AH34" s="14" t="n">
        <x:v>0</x:v>
      </x:c>
      <x:c r="AI34" s="14" t="n">
        <x:v>0</x:v>
      </x:c>
      <x:c r="AJ34" s="18" t="n">
        <x:v>0</x:v>
      </x:c>
      <x:c r="AK34" s="14" t="str"/>
      <x:c r="AL34" s="19" t="str"/>
      <x:c r="AM34" s="19" t="str"/>
      <x:c r="AN34" s="15" t="str"/>
      <x:c r="AO34" s="15" t="str">
        <x:v>official_source_reverified</x:v>
      </x:c>
    </x:row>
    <x:row r="35">
      <x:c r="A35" s="14" t="str">
        <x:v>AUG-051</x:v>
      </x:c>
      <x:c r="B35" s="14" t="str">
        <x:v>Перевірено 51 — 24.08</x:v>
      </x:c>
      <x:c r="C35" s="14" t="str">
        <x:v>Office Construction</x:v>
      </x:c>
      <x:c r="D35" s="14" t="str">
        <x:v>Генпідряд / MEP fit-out</x:v>
      </x:c>
      <x:c r="E35" s="14" t="str">
        <x:v>Pilot now</x:v>
      </x:c>
      <x:c r="F35" s="17" t="str">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20" t="str"/>
      <x:c r="AE35" s="14" t="str"/>
      <x:c r="AF35" s="14" t="n">
        <x:v>0</x:v>
      </x:c>
      <x:c r="AG35" s="14" t="str">
        <x:v>—</x:v>
      </x:c>
      <x:c r="AH35" s="14" t="n">
        <x:v>0</x:v>
      </x:c>
      <x:c r="AI35" s="14" t="n">
        <x:v>0</x:v>
      </x:c>
      <x:c r="AJ35" s="18" t="n">
        <x:v>0</x:v>
      </x:c>
      <x:c r="AK35" s="14" t="str"/>
      <x:c r="AL35" s="19" t="str"/>
      <x:c r="AM35" s="19" t="str"/>
      <x:c r="AN35" s="15" t="str"/>
      <x:c r="AO35" s="15" t="str">
        <x:v>official_portfolio_pdf_reverified</x:v>
      </x:c>
    </x:row>
    <x:row r="36">
      <x:c r="A36" s="14" t="str">
        <x:v>AUG-011</x:v>
      </x:c>
      <x:c r="B36" s="14" t="str">
        <x:v>Перевірено 51 — 24.08</x:v>
      </x:c>
      <x:c r="C36" s="14" t="str">
        <x:v>Де Люкс</x:v>
      </x:c>
      <x:c r="D36" s="14" t="str">
        <x:v>Електромонтаж</x:v>
      </x:c>
      <x:c r="E36" s="14" t="str">
        <x:v>Pilot now</x:v>
      </x:c>
      <x:c r="F36" s="17" t="str">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20" t="str"/>
      <x:c r="AE36" s="14" t="str"/>
      <x:c r="AF36" s="14" t="n">
        <x:v>0</x:v>
      </x:c>
      <x:c r="AG36" s="14" t="str">
        <x:v>—</x:v>
      </x:c>
      <x:c r="AH36" s="14" t="n">
        <x:v>0</x:v>
      </x:c>
      <x:c r="AI36" s="14" t="n">
        <x:v>0</x:v>
      </x:c>
      <x:c r="AJ36" s="18" t="n">
        <x:v>0</x:v>
      </x:c>
      <x:c r="AK36" s="14" t="str"/>
      <x:c r="AL36" s="19" t="str"/>
      <x:c r="AM36" s="19" t="str"/>
      <x:c r="AN36" s="15" t="str"/>
      <x:c r="AO36" s="15" t="str">
        <x:v>official_source_reverified</x:v>
      </x:c>
    </x:row>
    <x:row r="37">
      <x:c r="A37" s="14" t="str">
        <x:v>AUG-030</x:v>
      </x:c>
      <x:c r="B37" s="14" t="str">
        <x:v>Перевірено 51 — 24.08</x:v>
      </x:c>
      <x:c r="C37" s="14" t="str">
        <x:v>Промтехгруп</x:v>
      </x:c>
      <x:c r="D37" s="14" t="str">
        <x:v>Промисловий HVAC / MEP</x:v>
      </x:c>
      <x:c r="E37" s="14" t="str">
        <x:v>Pilot now</x:v>
      </x:c>
      <x:c r="F37" s="17" t="str">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20" t="str"/>
      <x:c r="AE37" s="14" t="str"/>
      <x:c r="AF37" s="14" t="n">
        <x:v>0</x:v>
      </x:c>
      <x:c r="AG37" s="14" t="str">
        <x:v>—</x:v>
      </x:c>
      <x:c r="AH37" s="14" t="n">
        <x:v>0</x:v>
      </x:c>
      <x:c r="AI37" s="14" t="n">
        <x:v>0</x:v>
      </x:c>
      <x:c r="AJ37" s="18" t="n">
        <x:v>0</x:v>
      </x:c>
      <x:c r="AK37" s="14" t="str"/>
      <x:c r="AL37" s="19" t="str"/>
      <x:c r="AM37" s="19" t="str"/>
      <x:c r="AN37" s="15" t="str"/>
      <x:c r="AO37" s="15" t="str">
        <x:v>official_source_reverified</x:v>
      </x:c>
    </x:row>
    <x:row r="38">
      <x:c r="A38" s="14" t="str">
        <x:v>V3-049</x:v>
      </x:c>
      <x:c r="B38" s="14" t="str">
        <x:v>Досліджено 28.07</x:v>
      </x:c>
      <x:c r="C38" s="14" t="str">
        <x:v>ТОВ «АЛЬТЕР ЕЙР»</x:v>
      </x:c>
      <x:c r="D38" s="14" t="str">
        <x:v>HVAC / вентиляція</x:v>
      </x:c>
      <x:c r="E38" s="14" t="str">
        <x:v>Pilot now</x:v>
      </x:c>
      <x:c r="F38" s="17" t="str">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20" t="str"/>
      <x:c r="AE38" s="14" t="str"/>
      <x:c r="AF38" s="14" t="n">
        <x:v>0</x:v>
      </x:c>
      <x:c r="AG38" s="14" t="str">
        <x:v>—</x:v>
      </x:c>
      <x:c r="AH38" s="14" t="n">
        <x:v>0</x:v>
      </x:c>
      <x:c r="AI38" s="14" t="n">
        <x:v>0</x:v>
      </x:c>
      <x:c r="AJ38" s="18" t="n">
        <x:v>0</x:v>
      </x:c>
      <x:c r="AK38" s="14" t="str"/>
      <x:c r="AL38" s="19" t="str"/>
      <x:c r="AM38" s="19" t="str"/>
      <x:c r="AN38" s="15" t="str"/>
      <x:c r="AO38" s="15" t="str">
        <x:v>historical_research_2026-07-28</x:v>
      </x:c>
    </x:row>
    <x:row r="39">
      <x:c r="A39" s="14" t="str">
        <x:v>V3-048</x:v>
      </x:c>
      <x:c r="B39" s="14" t="str">
        <x:v>Досліджено 28.07</x:v>
      </x:c>
      <x:c r="C39" s="14" t="str">
        <x:v>Climtec</x:v>
      </x:c>
      <x:c r="D39" s="14" t="str">
        <x:v>HVAC / вентиляція</x:v>
      </x:c>
      <x:c r="E39" s="14" t="str">
        <x:v>Pilot now</x:v>
      </x:c>
      <x:c r="F39" s="17" t="str">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20" t="str"/>
      <x:c r="AE39" s="14" t="str"/>
      <x:c r="AF39" s="14" t="n">
        <x:v>0</x:v>
      </x:c>
      <x:c r="AG39" s="14" t="str">
        <x:v>—</x:v>
      </x:c>
      <x:c r="AH39" s="14" t="n">
        <x:v>0</x:v>
      </x:c>
      <x:c r="AI39" s="14" t="n">
        <x:v>0</x:v>
      </x:c>
      <x:c r="AJ39" s="18" t="n">
        <x:v>0</x:v>
      </x:c>
      <x:c r="AK39" s="14" t="str"/>
      <x:c r="AL39" s="19" t="str"/>
      <x:c r="AM39" s="19" t="str"/>
      <x:c r="AN39" s="15" t="str"/>
      <x:c r="AO39" s="15" t="str">
        <x:v>historical_research_2026-07-28</x:v>
      </x:c>
    </x:row>
    <x:row r="40">
      <x:c r="A40" s="14" t="str">
        <x:v>AUG-049</x:v>
      </x:c>
      <x:c r="B40" s="14" t="str">
        <x:v>Перевірено 51 — 24.08</x:v>
      </x:c>
      <x:c r="C40" s="14" t="str">
        <x:v>KEM TRADE</x:v>
      </x:c>
      <x:c r="D40" s="14" t="str">
        <x:v>Внутрішня сантехніка + HVAC</x:v>
      </x:c>
      <x:c r="E40" s="14" t="str">
        <x:v>Pilot now</x:v>
      </x:c>
      <x:c r="F40" s="17" t="str">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20" t="str"/>
      <x:c r="AE40" s="14" t="str"/>
      <x:c r="AF40" s="14" t="n">
        <x:v>0</x:v>
      </x:c>
      <x:c r="AG40" s="14" t="str">
        <x:v>—</x:v>
      </x:c>
      <x:c r="AH40" s="14" t="n">
        <x:v>0</x:v>
      </x:c>
      <x:c r="AI40" s="14" t="n">
        <x:v>0</x:v>
      </x:c>
      <x:c r="AJ40" s="18" t="n">
        <x:v>0</x:v>
      </x:c>
      <x:c r="AK40" s="14" t="str"/>
      <x:c r="AL40" s="19" t="str"/>
      <x:c r="AM40" s="19" t="str"/>
      <x:c r="AN40" s="15" t="str"/>
      <x:c r="AO40" s="15" t="str">
        <x:v>official_source_reverified</x:v>
      </x:c>
    </x:row>
    <x:row r="41">
      <x:c r="A41" s="14" t="str">
        <x:v>AUG-046</x:v>
      </x:c>
      <x:c r="B41" s="14" t="str">
        <x:v>Перевірено 51 — 24.08</x:v>
      </x:c>
      <x:c r="C41" s="14" t="str">
        <x:v>KROP INSTALL</x:v>
      </x:c>
      <x:c r="D41" s="14" t="str">
        <x:v>Внутрішня сантехніка + HVAC</x:v>
      </x:c>
      <x:c r="E41" s="14" t="str">
        <x:v>Pilot now</x:v>
      </x:c>
      <x:c r="F41" s="17" t="str">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20" t="str"/>
      <x:c r="AE41" s="14" t="str"/>
      <x:c r="AF41" s="14" t="n">
        <x:v>0</x:v>
      </x:c>
      <x:c r="AG41" s="14" t="str">
        <x:v>—</x:v>
      </x:c>
      <x:c r="AH41" s="14" t="n">
        <x:v>0</x:v>
      </x:c>
      <x:c r="AI41" s="14" t="n">
        <x:v>0</x:v>
      </x:c>
      <x:c r="AJ41" s="18" t="n">
        <x:v>0</x:v>
      </x:c>
      <x:c r="AK41" s="14" t="str"/>
      <x:c r="AL41" s="19" t="str"/>
      <x:c r="AM41" s="19" t="str"/>
      <x:c r="AN41" s="15" t="str"/>
      <x:c r="AO41" s="15" t="str">
        <x:v>official_source_reverified</x:v>
      </x:c>
    </x:row>
    <x:row r="42">
      <x:c r="A42" s="14" t="str">
        <x:v>AUG-047</x:v>
      </x:c>
      <x:c r="B42" s="14" t="str">
        <x:v>Перевірено 51 — 24.08</x:v>
      </x:c>
      <x:c r="C42" s="14" t="str">
        <x:v>RalcoTechnic</x:v>
      </x:c>
      <x:c r="D42" s="14" t="str">
        <x:v>Промислове холодопостачання</x:v>
      </x:c>
      <x:c r="E42" s="14" t="str">
        <x:v>Pilot now</x:v>
      </x:c>
      <x:c r="F42" s="17" t="str">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20" t="str"/>
      <x:c r="AE42" s="14" t="str"/>
      <x:c r="AF42" s="14" t="n">
        <x:v>0</x:v>
      </x:c>
      <x:c r="AG42" s="14" t="str">
        <x:v>—</x:v>
      </x:c>
      <x:c r="AH42" s="14" t="n">
        <x:v>0</x:v>
      </x:c>
      <x:c r="AI42" s="14" t="n">
        <x:v>0</x:v>
      </x:c>
      <x:c r="AJ42" s="18" t="n">
        <x:v>0</x:v>
      </x:c>
      <x:c r="AK42" s="14" t="str"/>
      <x:c r="AL42" s="19" t="str"/>
      <x:c r="AM42" s="19" t="str"/>
      <x:c r="AN42" s="15" t="str"/>
      <x:c r="AO42" s="15" t="str">
        <x:v>official_source_reverified</x:v>
      </x:c>
    </x:row>
    <x:row r="43">
      <x:c r="A43" s="14" t="str">
        <x:v>AUG-045</x:v>
      </x:c>
      <x:c r="B43" s="14" t="str">
        <x:v>Перевірено 51 — 24.08</x:v>
      </x:c>
      <x:c r="C43" s="14" t="str">
        <x:v>Subzero</x:v>
      </x:c>
      <x:c r="D43" s="14" t="str">
        <x:v>Промислове холодопостачання</x:v>
      </x:c>
      <x:c r="E43" s="14" t="str">
        <x:v>Pilot now</x:v>
      </x:c>
      <x:c r="F43" s="17" t="str">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20" t="str"/>
      <x:c r="AE43" s="14" t="str"/>
      <x:c r="AF43" s="14" t="n">
        <x:v>0</x:v>
      </x:c>
      <x:c r="AG43" s="14" t="str">
        <x:v>—</x:v>
      </x:c>
      <x:c r="AH43" s="14" t="n">
        <x:v>0</x:v>
      </x:c>
      <x:c r="AI43" s="14" t="n">
        <x:v>0</x:v>
      </x:c>
      <x:c r="AJ43" s="18" t="n">
        <x:v>0</x:v>
      </x:c>
      <x:c r="AK43" s="14" t="str"/>
      <x:c r="AL43" s="19" t="str"/>
      <x:c r="AM43" s="19" t="str"/>
      <x:c r="AN43" s="15" t="str"/>
      <x:c r="AO43" s="15" t="str">
        <x:v>official_source_reverified</x:v>
      </x:c>
    </x:row>
    <x:row r="44">
      <x:c r="A44" s="14" t="str">
        <x:v>AUG-043</x:v>
      </x:c>
      <x:c r="B44" s="14" t="str">
        <x:v>Перевірено 51 — 24.08</x:v>
      </x:c>
      <x:c r="C44" s="14" t="str">
        <x:v>АльфаПроект</x:v>
      </x:c>
      <x:c r="D44" s="14" t="str">
        <x:v>Промислове холодопостачання</x:v>
      </x:c>
      <x:c r="E44" s="14" t="str">
        <x:v>Pilot now</x:v>
      </x:c>
      <x:c r="F44" s="17" t="str">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20" t="str"/>
      <x:c r="AE44" s="14" t="str"/>
      <x:c r="AF44" s="14" t="n">
        <x:v>0</x:v>
      </x:c>
      <x:c r="AG44" s="14" t="str">
        <x:v>—</x:v>
      </x:c>
      <x:c r="AH44" s="14" t="n">
        <x:v>0</x:v>
      </x:c>
      <x:c r="AI44" s="14" t="n">
        <x:v>0</x:v>
      </x:c>
      <x:c r="AJ44" s="18" t="n">
        <x:v>0</x:v>
      </x:c>
      <x:c r="AK44" s="14" t="str"/>
      <x:c r="AL44" s="19" t="str"/>
      <x:c r="AM44" s="19" t="str"/>
      <x:c r="AN44" s="15" t="str"/>
      <x:c r="AO44" s="15" t="str">
        <x:v>official_source_reverified</x:v>
      </x:c>
    </x:row>
    <x:row r="45">
      <x:c r="A45" s="14" t="str">
        <x:v>AUG-048</x:v>
      </x:c>
      <x:c r="B45" s="14" t="str">
        <x:v>Перевірено 51 — 24.08</x:v>
      </x:c>
      <x:c r="C45" s="14" t="str">
        <x:v>Київтрансбуд</x:v>
      </x:c>
      <x:c r="D45" s="14" t="str">
        <x:v>Промисловий MEP</x:v>
      </x:c>
      <x:c r="E45" s="14" t="str">
        <x:v>Pilot now</x:v>
      </x:c>
      <x:c r="F45" s="17" t="str">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20" t="str"/>
      <x:c r="AE45" s="14" t="str"/>
      <x:c r="AF45" s="14" t="n">
        <x:v>0</x:v>
      </x:c>
      <x:c r="AG45" s="14" t="str">
        <x:v>—</x:v>
      </x:c>
      <x:c r="AH45" s="14" t="n">
        <x:v>0</x:v>
      </x:c>
      <x:c r="AI45" s="14" t="n">
        <x:v>0</x:v>
      </x:c>
      <x:c r="AJ45" s="18" t="n">
        <x:v>0</x:v>
      </x:c>
      <x:c r="AK45" s="14" t="str"/>
      <x:c r="AL45" s="19" t="str"/>
      <x:c r="AM45" s="19" t="str"/>
      <x:c r="AN45" s="15" t="str"/>
      <x:c r="AO45" s="15" t="str">
        <x:v>official_source_reverified</x:v>
      </x:c>
    </x:row>
    <x:row r="46">
      <x:c r="A46" s="14" t="str">
        <x:v>AUG-007</x:v>
      </x:c>
      <x:c r="B46" s="14" t="str">
        <x:v>Перевірено 51 — 24.08</x:v>
      </x:c>
      <x:c r="C46" s="14" t="str">
        <x:v>BergGroup</x:v>
      </x:c>
      <x:c r="D46" s="14" t="str">
        <x:v>Зовнішні мережі + електрика</x:v>
      </x:c>
      <x:c r="E46" s="14" t="str">
        <x:v>Pilot now</x:v>
      </x:c>
      <x:c r="F46" s="17" t="str">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20" t="str"/>
      <x:c r="AE46" s="14" t="str"/>
      <x:c r="AF46" s="14" t="n">
        <x:v>0</x:v>
      </x:c>
      <x:c r="AG46" s="14" t="str">
        <x:v>—</x:v>
      </x:c>
      <x:c r="AH46" s="14" t="n">
        <x:v>0</x:v>
      </x:c>
      <x:c r="AI46" s="14" t="n">
        <x:v>0</x:v>
      </x:c>
      <x:c r="AJ46" s="18" t="n">
        <x:v>0</x:v>
      </x:c>
      <x:c r="AK46" s="14" t="str"/>
      <x:c r="AL46" s="19" t="str"/>
      <x:c r="AM46" s="19" t="str"/>
      <x:c r="AN46" s="15" t="str"/>
      <x:c r="AO46" s="15" t="str">
        <x:v>official_source_reverified</x:v>
      </x:c>
    </x:row>
    <x:row r="47">
      <x:c r="A47" s="14" t="str">
        <x:v>AUG-009</x:v>
      </x:c>
      <x:c r="B47" s="14" t="str">
        <x:v>Перевірено 51 — 24.08</x:v>
      </x:c>
      <x:c r="C47" s="14" t="str">
        <x:v>Energotechpro VN</x:v>
      </x:c>
      <x:c r="D47" s="14" t="str">
        <x:v>Електрика + слаботочка</x:v>
      </x:c>
      <x:c r="E47" s="14" t="str">
        <x:v>Pilot now</x:v>
      </x:c>
      <x:c r="F47" s="17" t="str">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20" t="str"/>
      <x:c r="AE47" s="14" t="str"/>
      <x:c r="AF47" s="14" t="n">
        <x:v>0</x:v>
      </x:c>
      <x:c r="AG47" s="14" t="str">
        <x:v>—</x:v>
      </x:c>
      <x:c r="AH47" s="14" t="n">
        <x:v>0</x:v>
      </x:c>
      <x:c r="AI47" s="14" t="n">
        <x:v>0</x:v>
      </x:c>
      <x:c r="AJ47" s="18" t="n">
        <x:v>0</x:v>
      </x:c>
      <x:c r="AK47" s="14" t="str"/>
      <x:c r="AL47" s="19" t="str"/>
      <x:c r="AM47" s="19" t="str"/>
      <x:c r="AN47" s="15" t="str"/>
      <x:c r="AO47" s="15" t="str">
        <x:v>official_source_reverified</x:v>
      </x:c>
    </x:row>
    <x:row r="48">
      <x:c r="A48" s="14" t="str">
        <x:v>V3-050</x:v>
      </x:c>
      <x:c r="B48" s="14" t="str">
        <x:v>Досліджено 28.07</x:v>
      </x:c>
      <x:c r="C48" s="14" t="str">
        <x:v>TERMAL</x:v>
      </x:c>
      <x:c r="D48" s="14" t="str">
        <x:v>HVAC / вентиляція</x:v>
      </x:c>
      <x:c r="E48" s="14" t="str">
        <x:v>Pilot now</x:v>
      </x:c>
      <x:c r="F48" s="17" t="str">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20" t="str"/>
      <x:c r="AE48" s="14" t="str"/>
      <x:c r="AF48" s="14" t="n">
        <x:v>0</x:v>
      </x:c>
      <x:c r="AG48" s="14" t="str">
        <x:v>—</x:v>
      </x:c>
      <x:c r="AH48" s="14" t="n">
        <x:v>0</x:v>
      </x:c>
      <x:c r="AI48" s="14" t="n">
        <x:v>0</x:v>
      </x:c>
      <x:c r="AJ48" s="18" t="n">
        <x:v>0</x:v>
      </x:c>
      <x:c r="AK48" s="14" t="str"/>
      <x:c r="AL48" s="19" t="str"/>
      <x:c r="AM48" s="19" t="str"/>
      <x:c r="AN48" s="15" t="str"/>
      <x:c r="AO48" s="15" t="str">
        <x:v>historical_research_2026-07-28</x:v>
      </x:c>
    </x:row>
    <x:row r="49">
      <x:c r="A49" s="14" t="str">
        <x:v>AUG-003</x:v>
      </x:c>
      <x:c r="B49" s="14" t="str">
        <x:v>Перевірено 51 — 24.08</x:v>
      </x:c>
      <x:c r="C49" s="14" t="str">
        <x:v>Армат</x:v>
      </x:c>
      <x:c r="D49" s="14" t="str">
        <x:v>Внутрішній HVAC</x:v>
      </x:c>
      <x:c r="E49" s="14" t="str">
        <x:v>Pilot now</x:v>
      </x:c>
      <x:c r="F49" s="17" t="str">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20" t="str"/>
      <x:c r="AE49" s="14" t="str"/>
      <x:c r="AF49" s="14" t="n">
        <x:v>0</x:v>
      </x:c>
      <x:c r="AG49" s="14" t="str">
        <x:v>—</x:v>
      </x:c>
      <x:c r="AH49" s="14" t="n">
        <x:v>0</x:v>
      </x:c>
      <x:c r="AI49" s="14" t="n">
        <x:v>0</x:v>
      </x:c>
      <x:c r="AJ49" s="18" t="n">
        <x:v>0</x:v>
      </x:c>
      <x:c r="AK49" s="14" t="str"/>
      <x:c r="AL49" s="19" t="str"/>
      <x:c r="AM49" s="19" t="str"/>
      <x:c r="AN49" s="15" t="str"/>
      <x:c r="AO49" s="15" t="str">
        <x:v>official_source_reverified</x:v>
      </x:c>
    </x:row>
    <x:row r="50">
      <x:c r="A50" s="14" t="str">
        <x:v>AUG-002</x:v>
      </x:c>
      <x:c r="B50" s="14" t="str">
        <x:v>Перевірено 51 — 24.08</x:v>
      </x:c>
      <x:c r="C50" s="14" t="str">
        <x:v>Группа компаний VENT</x:v>
      </x:c>
      <x:c r="D50" s="14" t="str">
        <x:v>Внутрішній HVAC</x:v>
      </x:c>
      <x:c r="E50" s="14" t="str">
        <x:v>Pilot now</x:v>
      </x:c>
      <x:c r="F50" s="17" t="str">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20" t="str"/>
      <x:c r="AE50" s="14" t="str"/>
      <x:c r="AF50" s="14" t="n">
        <x:v>0</x:v>
      </x:c>
      <x:c r="AG50" s="14" t="str">
        <x:v>—</x:v>
      </x:c>
      <x:c r="AH50" s="14" t="n">
        <x:v>0</x:v>
      </x:c>
      <x:c r="AI50" s="14" t="n">
        <x:v>0</x:v>
      </x:c>
      <x:c r="AJ50" s="18" t="n">
        <x:v>0</x:v>
      </x:c>
      <x:c r="AK50" s="14" t="str"/>
      <x:c r="AL50" s="19" t="str"/>
      <x:c r="AM50" s="19" t="str"/>
      <x:c r="AN50" s="15" t="str"/>
      <x:c r="AO50" s="15" t="str">
        <x:v>official_source_reverified</x:v>
      </x:c>
    </x:row>
    <x:row r="51">
      <x:c r="A51" s="14" t="str">
        <x:v>AUG-004</x:v>
      </x:c>
      <x:c r="B51" s="14" t="str">
        <x:v>Перевірено 51 — 24.08</x:v>
      </x:c>
      <x:c r="C51" s="14" t="str">
        <x:v>Аероплюс</x:v>
      </x:c>
      <x:c r="D51" s="14" t="str">
        <x:v>Внутрішній HVAC</x:v>
      </x:c>
      <x:c r="E51" s="14" t="str">
        <x:v>Pilot now</x:v>
      </x:c>
      <x:c r="F51" s="17" t="str">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Повторне звернення з новим тендерним сигналом UA-2025-04-11-009105-a; попросити 1 пакет здачі</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20" t="str"/>
      <x:c r="AE51" s="14" t="str"/>
      <x:c r="AF51" s="14" t="n">
        <x:v>34</x:v>
      </x:c>
      <x:c r="AG51" s="14" t="str">
        <x:v>I3</x:v>
      </x:c>
      <x:c r="AH51" s="14" t="n">
        <x:v>1</x:v>
      </x:c>
      <x:c r="AI51" s="14" t="n">
        <x:v>0</x:v>
      </x:c>
      <x:c r="AJ51" s="18" t="n">
        <x:v>100027</x:v>
      </x:c>
      <x:c r="AK51" s="14" t="str">
        <x:v>https://prozorro.gov.ua/tender/UA-2025-04-11-009105-a</x:v>
      </x:c>
      <x:c r="AL51" s="19" t="n">
        <x:v>45758.48529182871</x:v>
      </x:c>
      <x:c r="AM51" s="19" t="n">
        <x:v>46022.916666655095</x:v>
      </x:c>
      <x:c r="AN51" s="15" t="str">
        <x:v>HVAC / ОВіК</x:v>
      </x:c>
      <x:c r="AO51" s="15" t="str">
        <x:v>official_source_reverified</x:v>
      </x:c>
    </x:row>
    <x:row r="52">
      <x:c r="A52" s="14" t="str">
        <x:v>AUG-035</x:v>
      </x:c>
      <x:c r="B52" s="14" t="str">
        <x:v>Перевірено 51 — 24.08</x:v>
      </x:c>
      <x:c r="C52" s="14" t="str">
        <x:v>Antifire</x:v>
      </x:c>
      <x:c r="D52" s="14" t="str">
        <x:v>Пожежні системи</x:v>
      </x:c>
      <x:c r="E52" s="14" t="str">
        <x:v>Expansion discovery</x:v>
      </x:c>
      <x:c r="F52" s="17" t="str">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20" t="str"/>
      <x:c r="AE52" s="14" t="str"/>
      <x:c r="AF52" s="14" t="n">
        <x:v>0</x:v>
      </x:c>
      <x:c r="AG52" s="14" t="str">
        <x:v>—</x:v>
      </x:c>
      <x:c r="AH52" s="14" t="n">
        <x:v>0</x:v>
      </x:c>
      <x:c r="AI52" s="14" t="n">
        <x:v>0</x:v>
      </x:c>
      <x:c r="AJ52" s="18" t="n">
        <x:v>0</x:v>
      </x:c>
      <x:c r="AK52" s="14" t="str"/>
      <x:c r="AL52" s="19" t="str"/>
      <x:c r="AM52" s="19" t="str"/>
      <x:c r="AN52" s="15" t="str"/>
      <x:c r="AO52" s="15" t="str">
        <x:v>official_source_reverified</x:v>
      </x:c>
    </x:row>
    <x:row r="53">
      <x:c r="A53" s="14" t="str">
        <x:v>AUG-014</x:v>
      </x:c>
      <x:c r="B53" s="14" t="str">
        <x:v>Перевірено 51 — 24.08</x:v>
      </x:c>
      <x:c r="C53" s="14" t="str">
        <x:v>Premier Ltd</x:v>
      </x:c>
      <x:c r="D53" s="14" t="str">
        <x:v>Слаботочні системи</x:v>
      </x:c>
      <x:c r="E53" s="14" t="str">
        <x:v>Expansion discovery</x:v>
      </x:c>
      <x:c r="F53" s="17" t="str">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20" t="str"/>
      <x:c r="AE53" s="14" t="str"/>
      <x:c r="AF53" s="14" t="n">
        <x:v>0</x:v>
      </x:c>
      <x:c r="AG53" s="14" t="str">
        <x:v>—</x:v>
      </x:c>
      <x:c r="AH53" s="14" t="n">
        <x:v>0</x:v>
      </x:c>
      <x:c r="AI53" s="14" t="n">
        <x:v>0</x:v>
      </x:c>
      <x:c r="AJ53" s="18" t="n">
        <x:v>0</x:v>
      </x:c>
      <x:c r="AK53" s="14" t="str"/>
      <x:c r="AL53" s="19" t="str"/>
      <x:c r="AM53" s="19" t="str"/>
      <x:c r="AN53" s="15" t="str"/>
      <x:c r="AO53" s="15" t="str">
        <x:v>official_source_reverified</x:v>
      </x:c>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20" t="str"/>
      <x:c r="AE54" s="14" t="str"/>
      <x:c r="AF54" s="14" t="n">
        <x:v>0</x:v>
      </x:c>
      <x:c r="AG54" s="14" t="str">
        <x:v>—</x:v>
      </x:c>
      <x:c r="AH54" s="14" t="n">
        <x:v>0</x:v>
      </x:c>
      <x:c r="AI54" s="14" t="n">
        <x:v>0</x:v>
      </x:c>
      <x:c r="AJ54" s="18" t="n">
        <x:v>0</x:v>
      </x:c>
      <x:c r="AK54" s="14" t="str"/>
      <x:c r="AL54" s="19" t="str"/>
      <x:c r="AM54" s="19" t="str"/>
      <x:c r="AN54" s="15" t="str"/>
      <x:c r="AO54" s="15" t="str">
        <x:v>official_source_reverified</x:v>
      </x:c>
    </x:row>
    <x:row r="55">
      <x:c r="A55" s="14" t="str">
        <x:v>AUG-040</x:v>
      </x:c>
      <x:c r="B55" s="14" t="str">
        <x:v>Перевірено 51 — 24.08</x:v>
      </x:c>
      <x:c r="C55" s="14" t="str">
        <x:v>СПС-А</x:v>
      </x:c>
      <x:c r="D55" s="14" t="str">
        <x:v>Пожежна безпека + охорона</x:v>
      </x:c>
      <x:c r="E55" s="14" t="str">
        <x:v>Expansion discovery</x:v>
      </x:c>
      <x:c r="F55" s="17" t="str">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20" t="str"/>
      <x:c r="AE55" s="14" t="str"/>
      <x:c r="AF55" s="14" t="n">
        <x:v>0</x:v>
      </x:c>
      <x:c r="AG55" s="14" t="str">
        <x:v>—</x:v>
      </x:c>
      <x:c r="AH55" s="14" t="n">
        <x:v>0</x:v>
      </x:c>
      <x:c r="AI55" s="14" t="n">
        <x:v>0</x:v>
      </x:c>
      <x:c r="AJ55" s="18" t="n">
        <x:v>0</x:v>
      </x:c>
      <x:c r="AK55" s="14" t="str"/>
      <x:c r="AL55" s="19" t="str"/>
      <x:c r="AM55" s="19" t="str"/>
      <x:c r="AN55" s="15" t="str"/>
      <x:c r="AO55" s="15" t="str">
        <x:v>official_source_reverified</x:v>
      </x:c>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20" t="str"/>
      <x:c r="AE56" s="14" t="str"/>
      <x:c r="AF56" s="14" t="n">
        <x:v>0</x:v>
      </x:c>
      <x:c r="AG56" s="14" t="str">
        <x:v>—</x:v>
      </x:c>
      <x:c r="AH56" s="14" t="n">
        <x:v>0</x:v>
      </x:c>
      <x:c r="AI56" s="14" t="n">
        <x:v>0</x:v>
      </x:c>
      <x:c r="AJ56" s="18" t="n">
        <x:v>0</x:v>
      </x:c>
      <x:c r="AK56" s="14" t="str"/>
      <x:c r="AL56" s="19" t="str"/>
      <x:c r="AM56" s="19" t="str"/>
      <x:c r="AN56" s="15" t="str"/>
      <x:c r="AO56" s="15" t="str">
        <x:v>official_source_reverified</x:v>
      </x:c>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20" t="str"/>
      <x:c r="AE57" s="14" t="str"/>
      <x:c r="AF57" s="14" t="n">
        <x:v>0</x:v>
      </x:c>
      <x:c r="AG57" s="14" t="str">
        <x:v>—</x:v>
      </x:c>
      <x:c r="AH57" s="14" t="n">
        <x:v>0</x:v>
      </x:c>
      <x:c r="AI57" s="14" t="n">
        <x:v>0</x:v>
      </x:c>
      <x:c r="AJ57" s="18" t="n">
        <x:v>0</x:v>
      </x:c>
      <x:c r="AK57" s="14" t="str"/>
      <x:c r="AL57" s="19" t="str"/>
      <x:c r="AM57" s="19" t="str"/>
      <x:c r="AN57" s="15" t="str"/>
      <x:c r="AO57" s="15" t="str">
        <x:v>official_content_reverified_via_search_index</x:v>
      </x:c>
    </x:row>
    <x:row r="58">
      <x:c r="A58" s="14" t="str">
        <x:v>AUG-017</x:v>
      </x:c>
      <x:c r="B58" s="14" t="str">
        <x:v>Перевірено 51 — 24.08</x:v>
      </x:c>
      <x:c r="C58" s="14" t="str">
        <x:v>ПП ЛЄДА</x:v>
      </x:c>
      <x:c r="D58" s="14" t="str">
        <x:v>Пожежні системи + HVAC</x:v>
      </x:c>
      <x:c r="E58" s="14" t="str">
        <x:v>Expansion discovery</x:v>
      </x:c>
      <x:c r="F58" s="17" t="str">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20" t="str"/>
      <x:c r="AE58" s="14" t="str"/>
      <x:c r="AF58" s="14" t="n">
        <x:v>0</x:v>
      </x:c>
      <x:c r="AG58" s="14" t="str">
        <x:v>—</x:v>
      </x:c>
      <x:c r="AH58" s="14" t="n">
        <x:v>0</x:v>
      </x:c>
      <x:c r="AI58" s="14" t="n">
        <x:v>0</x:v>
      </x:c>
      <x:c r="AJ58" s="18" t="n">
        <x:v>0</x:v>
      </x:c>
      <x:c r="AK58" s="14" t="str"/>
      <x:c r="AL58" s="19" t="str"/>
      <x:c r="AM58" s="19" t="str"/>
      <x:c r="AN58" s="15" t="str"/>
      <x:c r="AO58" s="15" t="str">
        <x:v>official_source_reverified</x:v>
      </x:c>
    </x:row>
    <x:row r="59">
      <x:c r="A59" s="14" t="str">
        <x:v>AUG-019</x:v>
      </x:c>
      <x:c r="B59" s="14" t="str">
        <x:v>Перевірено 51 — 24.08</x:v>
      </x:c>
      <x:c r="C59" s="14" t="str">
        <x:v>SM-STANDARD</x:v>
      </x:c>
      <x:c r="D59" s="14" t="str">
        <x:v>Безпека + пожежні + слаботочка</x:v>
      </x:c>
      <x:c r="E59" s="14" t="str">
        <x:v>Expansion discovery</x:v>
      </x:c>
      <x:c r="F59" s="17" t="str">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20" t="str"/>
      <x:c r="AE59" s="14" t="str"/>
      <x:c r="AF59" s="14" t="n">
        <x:v>0</x:v>
      </x:c>
      <x:c r="AG59" s="14" t="str">
        <x:v>—</x:v>
      </x:c>
      <x:c r="AH59" s="14" t="n">
        <x:v>0</x:v>
      </x:c>
      <x:c r="AI59" s="14" t="n">
        <x:v>0</x:v>
      </x:c>
      <x:c r="AJ59" s="18" t="n">
        <x:v>0</x:v>
      </x:c>
      <x:c r="AK59" s="14" t="str"/>
      <x:c r="AL59" s="19" t="str"/>
      <x:c r="AM59" s="19" t="str"/>
      <x:c r="AN59" s="15" t="str"/>
      <x:c r="AO59" s="15" t="str">
        <x:v>official_source_reverified</x:v>
      </x:c>
    </x:row>
    <x:row r="60">
      <x:c r="A60" s="14" t="str">
        <x:v>EXP-062</x:v>
      </x:c>
      <x:c r="B60" s="14" t="str">
        <x:v>Розширення ніш — 24.08</x:v>
      </x:c>
      <x:c r="C60" s="14" t="str">
        <x:v>ATM Pool</x:v>
      </x:c>
      <x:c r="D60" s="14" t="str">
        <x:v>Басейни, водні комплекси та SPA</x:v>
      </x:c>
      <x:c r="E60" s="14" t="str">
        <x:v>Expansion discovery</x:v>
      </x:c>
      <x:c r="F60" s="17" t="str">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20" t="str"/>
      <x:c r="AE60" s="14" t="str"/>
      <x:c r="AF60" s="14" t="n">
        <x:v>0</x:v>
      </x:c>
      <x:c r="AG60" s="14" t="str">
        <x:v>—</x:v>
      </x:c>
      <x:c r="AH60" s="14" t="n">
        <x:v>0</x:v>
      </x:c>
      <x:c r="AI60" s="14" t="n">
        <x:v>0</x:v>
      </x:c>
      <x:c r="AJ60" s="18" t="n">
        <x:v>0</x:v>
      </x:c>
      <x:c r="AK60" s="14" t="str"/>
      <x:c r="AL60" s="19" t="str"/>
      <x:c r="AM60" s="19" t="str"/>
      <x:c r="AN60" s="15" t="str"/>
      <x:c r="AO60" s="15" t="str">
        <x:v>official_source_reverified</x:v>
      </x:c>
    </x:row>
    <x:row r="61">
      <x:c r="A61" s="14" t="str">
        <x:v>EXP-045</x:v>
      </x:c>
      <x:c r="B61" s="14" t="str">
        <x:v>Розширення ніш — 24.08</x:v>
      </x:c>
      <x:c r="C61" s="14" t="str">
        <x:v>C&amp;S</x:v>
      </x:c>
      <x:c r="D61" s="14" t="str">
        <x:v>СКС, BMS та слаботочна інтеграція</x:v>
      </x:c>
      <x:c r="E61" s="14" t="str">
        <x:v>Expansion discovery</x:v>
      </x:c>
      <x:c r="F61" s="17" t="str">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20" t="str"/>
      <x:c r="AE61" s="14" t="str"/>
      <x:c r="AF61" s="14" t="n">
        <x:v>0</x:v>
      </x:c>
      <x:c r="AG61" s="14" t="str">
        <x:v>—</x:v>
      </x:c>
      <x:c r="AH61" s="14" t="n">
        <x:v>0</x:v>
      </x:c>
      <x:c r="AI61" s="14" t="n">
        <x:v>0</x:v>
      </x:c>
      <x:c r="AJ61" s="18" t="n">
        <x:v>0</x:v>
      </x:c>
      <x:c r="AK61" s="14" t="str"/>
      <x:c r="AL61" s="19" t="str"/>
      <x:c r="AM61" s="19" t="str"/>
      <x:c r="AN61" s="15" t="str"/>
      <x:c r="AO61" s="15" t="str">
        <x:v>reachable_relevant_recheck</x:v>
      </x:c>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20" t="str"/>
      <x:c r="AE62" s="14" t="str"/>
      <x:c r="AF62" s="14" t="n">
        <x:v>0</x:v>
      </x:c>
      <x:c r="AG62" s="14" t="str">
        <x:v>—</x:v>
      </x:c>
      <x:c r="AH62" s="14" t="n">
        <x:v>0</x:v>
      </x:c>
      <x:c r="AI62" s="14" t="n">
        <x:v>0</x:v>
      </x:c>
      <x:c r="AJ62" s="18" t="n">
        <x:v>0</x:v>
      </x:c>
      <x:c r="AK62" s="14" t="str"/>
      <x:c r="AL62" s="19" t="str"/>
      <x:c r="AM62" s="19" t="str"/>
      <x:c r="AN62" s="15" t="str"/>
      <x:c r="AO62" s="15" t="str">
        <x:v>official_source_reverified</x:v>
      </x:c>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20" t="str"/>
      <x:c r="AE63" s="14" t="str"/>
      <x:c r="AF63" s="14" t="n">
        <x:v>0</x:v>
      </x:c>
      <x:c r="AG63" s="14" t="str">
        <x:v>—</x:v>
      </x:c>
      <x:c r="AH63" s="14" t="n">
        <x:v>0</x:v>
      </x:c>
      <x:c r="AI63" s="14" t="n">
        <x:v>0</x:v>
      </x:c>
      <x:c r="AJ63" s="18" t="n">
        <x:v>0</x:v>
      </x:c>
      <x:c r="AK63" s="14" t="str"/>
      <x:c r="AL63" s="19" t="str"/>
      <x:c r="AM63" s="19" t="str"/>
      <x:c r="AN63" s="15" t="str"/>
      <x:c r="AO63" s="15" t="str">
        <x:v>official_source_reverified</x:v>
      </x:c>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20" t="str"/>
      <x:c r="AE64" s="14" t="str"/>
      <x:c r="AF64" s="14" t="n">
        <x:v>0</x:v>
      </x:c>
      <x:c r="AG64" s="14" t="str">
        <x:v>—</x:v>
      </x:c>
      <x:c r="AH64" s="14" t="n">
        <x:v>0</x:v>
      </x:c>
      <x:c r="AI64" s="14" t="n">
        <x:v>0</x:v>
      </x:c>
      <x:c r="AJ64" s="18" t="n">
        <x:v>0</x:v>
      </x:c>
      <x:c r="AK64" s="14" t="str"/>
      <x:c r="AL64" s="19" t="str"/>
      <x:c r="AM64" s="19" t="str"/>
      <x:c r="AN64" s="15" t="str"/>
      <x:c r="AO64" s="15" t="str">
        <x:v>official_source_reverified</x:v>
      </x:c>
    </x:row>
    <x:row r="65">
      <x:c r="A65" s="14" t="str">
        <x:v>EXP-044</x:v>
      </x:c>
      <x:c r="B65" s="14" t="str">
        <x:v>Розширення ніш — 24.08</x:v>
      </x:c>
      <x:c r="C65" s="14" t="str">
        <x:v>VERNA</x:v>
      </x:c>
      <x:c r="D65" s="14" t="str">
        <x:v>СКС, BMS та слаботочна інтеграція</x:v>
      </x:c>
      <x:c r="E65" s="14" t="str">
        <x:v>Expansion discovery</x:v>
      </x:c>
      <x:c r="F65" s="17" t="str">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20" t="str"/>
      <x:c r="AE65" s="14" t="str"/>
      <x:c r="AF65" s="14" t="n">
        <x:v>0</x:v>
      </x:c>
      <x:c r="AG65" s="14" t="str">
        <x:v>—</x:v>
      </x:c>
      <x:c r="AH65" s="14" t="n">
        <x:v>0</x:v>
      </x:c>
      <x:c r="AI65" s="14" t="n">
        <x:v>0</x:v>
      </x:c>
      <x:c r="AJ65" s="18" t="n">
        <x:v>0</x:v>
      </x:c>
      <x:c r="AK65" s="14" t="str"/>
      <x:c r="AL65" s="19" t="str"/>
      <x:c r="AM65" s="19" t="str"/>
      <x:c r="AN65" s="15" t="str"/>
      <x:c r="AO65" s="15" t="str">
        <x:v>official_source_reverified</x:v>
      </x:c>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Повторне звернення з новим тендерним сигналом UA-2024-09-23-013399-a; попросити 1 пакет здачі</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20" t="str"/>
      <x:c r="AE66" s="14" t="str"/>
      <x:c r="AF66" s="14" t="n">
        <x:v>48</x:v>
      </x:c>
      <x:c r="AG66" s="14" t="str">
        <x:v>I3</x:v>
      </x:c>
      <x:c r="AH66" s="14" t="n">
        <x:v>2</x:v>
      </x:c>
      <x:c r="AI66" s="14" t="n">
        <x:v>0</x:v>
      </x:c>
      <x:c r="AJ66" s="18" t="n">
        <x:v>7115765.74</x:v>
      </x:c>
      <x:c r="AK66" s="14" t="str">
        <x:v>https://prozorro.gov.ua/tender/UA-2024-09-23-013399-a</x:v>
      </x:c>
      <x:c r="AL66" s="19" t="n">
        <x:v>45581.360860381945</x:v>
      </x:c>
      <x:c r="AM66" s="19" t="n">
        <x:v>46022</x:v>
      </x:c>
      <x:c r="AN66" s="15" t="str">
        <x:v>ЦОД / серверні</x:v>
      </x:c>
      <x:c r="AO66" s="15" t="str">
        <x:v>official_source_reverified</x:v>
      </x:c>
    </x:row>
    <x:row r="67">
      <x:c r="A67" s="14" t="str">
        <x:v>V3-036</x:v>
      </x:c>
      <x:c r="B67" s="14" t="str">
        <x:v>Досліджено 28.07</x:v>
      </x:c>
      <x:c r="C67" s="14" t="str">
        <x:v>ТОВ «Р-ПРОЕКТ»</x:v>
      </x:c>
      <x:c r="D67" s="14" t="str">
        <x:v>Слаботочні системи</x:v>
      </x:c>
      <x:c r="E67" s="14" t="str">
        <x:v>Expansion discovery</x:v>
      </x:c>
      <x:c r="F67" s="17" t="str">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20" t="str"/>
      <x:c r="AE67" s="14" t="str"/>
      <x:c r="AF67" s="14" t="n">
        <x:v>0</x:v>
      </x:c>
      <x:c r="AG67" s="14" t="str">
        <x:v>—</x:v>
      </x:c>
      <x:c r="AH67" s="14" t="n">
        <x:v>0</x:v>
      </x:c>
      <x:c r="AI67" s="14" t="n">
        <x:v>0</x:v>
      </x:c>
      <x:c r="AJ67" s="18" t="n">
        <x:v>0</x:v>
      </x:c>
      <x:c r="AK67" s="14" t="str"/>
      <x:c r="AL67" s="19" t="str"/>
      <x:c r="AM67" s="19" t="str"/>
      <x:c r="AN67" s="15" t="str"/>
      <x:c r="AO67" s="15" t="str">
        <x:v>historical_research_2026-07-28</x:v>
      </x:c>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20" t="str"/>
      <x:c r="AE68" s="14" t="str"/>
      <x:c r="AF68" s="14" t="n">
        <x:v>0</x:v>
      </x:c>
      <x:c r="AG68" s="14" t="str">
        <x:v>—</x:v>
      </x:c>
      <x:c r="AH68" s="14" t="n">
        <x:v>0</x:v>
      </x:c>
      <x:c r="AI68" s="14" t="n">
        <x:v>0</x:v>
      </x:c>
      <x:c r="AJ68" s="18" t="n">
        <x:v>0</x:v>
      </x:c>
      <x:c r="AK68" s="14" t="str"/>
      <x:c r="AL68" s="19" t="str"/>
      <x:c r="AM68" s="19" t="str"/>
      <x:c r="AN68" s="15" t="str"/>
      <x:c r="AO68" s="15" t="str">
        <x:v>official_source_reverified</x:v>
      </x:c>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20" t="str"/>
      <x:c r="AE69" s="14" t="str"/>
      <x:c r="AF69" s="14" t="n">
        <x:v>0</x:v>
      </x:c>
      <x:c r="AG69" s="14" t="str">
        <x:v>—</x:v>
      </x:c>
      <x:c r="AH69" s="14" t="n">
        <x:v>0</x:v>
      </x:c>
      <x:c r="AI69" s="14" t="n">
        <x:v>0</x:v>
      </x:c>
      <x:c r="AJ69" s="18" t="n">
        <x:v>0</x:v>
      </x:c>
      <x:c r="AK69" s="14" t="str"/>
      <x:c r="AL69" s="19" t="str"/>
      <x:c r="AM69" s="19" t="str"/>
      <x:c r="AN69" s="15" t="str"/>
      <x:c r="AO69" s="15" t="str">
        <x:v>official_source_reverified</x:v>
      </x:c>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20" t="str"/>
      <x:c r="AE70" s="14" t="str"/>
      <x:c r="AF70" s="14" t="n">
        <x:v>0</x:v>
      </x:c>
      <x:c r="AG70" s="14" t="str">
        <x:v>—</x:v>
      </x:c>
      <x:c r="AH70" s="14" t="n">
        <x:v>0</x:v>
      </x:c>
      <x:c r="AI70" s="14" t="n">
        <x:v>0</x:v>
      </x:c>
      <x:c r="AJ70" s="18" t="n">
        <x:v>0</x:v>
      </x:c>
      <x:c r="AK70" s="14" t="str"/>
      <x:c r="AL70" s="19" t="str"/>
      <x:c r="AM70" s="19" t="str"/>
      <x:c r="AN70" s="15" t="str"/>
      <x:c r="AO70" s="15" t="str">
        <x:v>official_source_reverified</x:v>
      </x:c>
    </x:row>
    <x:row r="71">
      <x:c r="A71" s="14" t="str">
        <x:v>EXP-051</x:v>
      </x:c>
      <x:c r="B71" s="14" t="str">
        <x:v>Розширення ніш — 24.08</x:v>
      </x:c>
      <x:c r="C71" s="14" t="str">
        <x:v>Ksimex</x:v>
      </x:c>
      <x:c r="D71" s="14" t="str">
        <x:v>СКС, BMS та слаботочна інтеграція</x:v>
      </x:c>
      <x:c r="E71" s="14" t="str">
        <x:v>Expansion discovery</x:v>
      </x:c>
      <x:c r="F71" s="17" t="str">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20" t="str"/>
      <x:c r="AE71" s="14" t="str"/>
      <x:c r="AF71" s="14" t="n">
        <x:v>0</x:v>
      </x:c>
      <x:c r="AG71" s="14" t="str">
        <x:v>—</x:v>
      </x:c>
      <x:c r="AH71" s="14" t="n">
        <x:v>0</x:v>
      </x:c>
      <x:c r="AI71" s="14" t="n">
        <x:v>0</x:v>
      </x:c>
      <x:c r="AJ71" s="18" t="n">
        <x:v>0</x:v>
      </x:c>
      <x:c r="AK71" s="14" t="str"/>
      <x:c r="AL71" s="19" t="str"/>
      <x:c r="AM71" s="19" t="str"/>
      <x:c r="AN71" s="15" t="str"/>
      <x:c r="AO71" s="15" t="str">
        <x:v>official_source_reverified</x:v>
      </x:c>
    </x:row>
    <x:row r="72">
      <x:c r="A72" s="14" t="str">
        <x:v>EXP-050</x:v>
      </x:c>
      <x:c r="B72" s="14" t="str">
        <x:v>Розширення ніш — 24.08</x:v>
      </x:c>
      <x:c r="C72" s="14" t="str">
        <x:v>SOLTI</x:v>
      </x:c>
      <x:c r="D72" s="14" t="str">
        <x:v>СКС, BMS та слаботочна інтеграція</x:v>
      </x:c>
      <x:c r="E72" s="14" t="str">
        <x:v>Expansion discovery</x:v>
      </x:c>
      <x:c r="F72" s="17" t="str">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20" t="str"/>
      <x:c r="AE72" s="14" t="str"/>
      <x:c r="AF72" s="14" t="n">
        <x:v>0</x:v>
      </x:c>
      <x:c r="AG72" s="14" t="str">
        <x:v>—</x:v>
      </x:c>
      <x:c r="AH72" s="14" t="n">
        <x:v>0</x:v>
      </x:c>
      <x:c r="AI72" s="14" t="n">
        <x:v>0</x:v>
      </x:c>
      <x:c r="AJ72" s="18" t="n">
        <x:v>0</x:v>
      </x:c>
      <x:c r="AK72" s="14" t="str"/>
      <x:c r="AL72" s="19" t="str"/>
      <x:c r="AM72" s="19" t="str"/>
      <x:c r="AN72" s="15" t="str"/>
      <x:c r="AO72" s="15" t="str">
        <x:v>official_source_reverified</x:v>
      </x:c>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20" t="str"/>
      <x:c r="AE73" s="14" t="str"/>
      <x:c r="AF73" s="14" t="n">
        <x:v>0</x:v>
      </x:c>
      <x:c r="AG73" s="14" t="str">
        <x:v>—</x:v>
      </x:c>
      <x:c r="AH73" s="14" t="n">
        <x:v>0</x:v>
      </x:c>
      <x:c r="AI73" s="14" t="n">
        <x:v>0</x:v>
      </x:c>
      <x:c r="AJ73" s="18" t="n">
        <x:v>0</x:v>
      </x:c>
      <x:c r="AK73" s="14" t="str"/>
      <x:c r="AL73" s="19" t="str"/>
      <x:c r="AM73" s="19" t="str"/>
      <x:c r="AN73" s="15" t="str"/>
      <x:c r="AO73" s="15" t="str">
        <x:v>official_page_and_search_index_reverified</x:v>
      </x:c>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20" t="str"/>
      <x:c r="AE74" s="14" t="str"/>
      <x:c r="AF74" s="14" t="n">
        <x:v>0</x:v>
      </x:c>
      <x:c r="AG74" s="14" t="str">
        <x:v>—</x:v>
      </x:c>
      <x:c r="AH74" s="14" t="n">
        <x:v>0</x:v>
      </x:c>
      <x:c r="AI74" s="14" t="n">
        <x:v>0</x:v>
      </x:c>
      <x:c r="AJ74" s="18" t="n">
        <x:v>0</x:v>
      </x:c>
      <x:c r="AK74" s="14" t="str"/>
      <x:c r="AL74" s="19" t="str"/>
      <x:c r="AM74" s="19" t="str"/>
      <x:c r="AN74" s="15" t="str"/>
      <x:c r="AO74" s="15" t="str">
        <x:v>historical_research_2026-07-28</x:v>
      </x:c>
    </x:row>
    <x:row r="75">
      <x:c r="A75" s="14" t="str">
        <x:v>V3-040</x:v>
      </x:c>
      <x:c r="B75" s="14" t="str">
        <x:v>Досліджено 28.07</x:v>
      </x:c>
      <x:c r="C75" s="14" t="str">
        <x:v>ТОВ «ОБЕРІГ-К»</x:v>
      </x:c>
      <x:c r="D75" s="14" t="str">
        <x:v>Слаботочні системи</x:v>
      </x:c>
      <x:c r="E75" s="14" t="str">
        <x:v>Expansion discovery</x:v>
      </x:c>
      <x:c r="F75" s="17" t="str">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20" t="str"/>
      <x:c r="AE75" s="14" t="str"/>
      <x:c r="AF75" s="14" t="n">
        <x:v>0</x:v>
      </x:c>
      <x:c r="AG75" s="14" t="str">
        <x:v>—</x:v>
      </x:c>
      <x:c r="AH75" s="14" t="n">
        <x:v>0</x:v>
      </x:c>
      <x:c r="AI75" s="14" t="n">
        <x:v>0</x:v>
      </x:c>
      <x:c r="AJ75" s="18" t="n">
        <x:v>0</x:v>
      </x:c>
      <x:c r="AK75" s="14" t="str"/>
      <x:c r="AL75" s="19" t="str"/>
      <x:c r="AM75" s="19" t="str"/>
      <x:c r="AN75" s="15" t="str"/>
      <x:c r="AO75" s="15" t="str">
        <x:v>historical_research_2026-07-28</x:v>
      </x:c>
    </x:row>
    <x:row r="76">
      <x:c r="A76" s="14" t="str">
        <x:v>V3-038</x:v>
      </x:c>
      <x:c r="B76" s="14" t="str">
        <x:v>Досліджено 28.07</x:v>
      </x:c>
      <x:c r="C76" s="14" t="str">
        <x:v>Install Group</x:v>
      </x:c>
      <x:c r="D76" s="14" t="str">
        <x:v>Слаботочні системи</x:v>
      </x:c>
      <x:c r="E76" s="14" t="str">
        <x:v>Expansion discovery</x:v>
      </x:c>
      <x:c r="F76" s="17" t="str">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20" t="str"/>
      <x:c r="AE76" s="14" t="str"/>
      <x:c r="AF76" s="14" t="n">
        <x:v>0</x:v>
      </x:c>
      <x:c r="AG76" s="14" t="str">
        <x:v>—</x:v>
      </x:c>
      <x:c r="AH76" s="14" t="n">
        <x:v>0</x:v>
      </x:c>
      <x:c r="AI76" s="14" t="n">
        <x:v>0</x:v>
      </x:c>
      <x:c r="AJ76" s="18" t="n">
        <x:v>0</x:v>
      </x:c>
      <x:c r="AK76" s="14" t="str"/>
      <x:c r="AL76" s="19" t="str"/>
      <x:c r="AM76" s="19" t="str"/>
      <x:c r="AN76" s="15" t="str"/>
      <x:c r="AO76" s="15" t="str">
        <x:v>historical_research_2026-07-28</x:v>
      </x:c>
    </x:row>
    <x:row r="77">
      <x:c r="A77" s="14" t="str">
        <x:v>V3-041</x:v>
      </x:c>
      <x:c r="B77" s="14" t="str">
        <x:v>Досліджено 28.07</x:v>
      </x:c>
      <x:c r="C77" s="14" t="str">
        <x:v>Optimum Net</x:v>
      </x:c>
      <x:c r="D77" s="14" t="str">
        <x:v>Слаботочні системи</x:v>
      </x:c>
      <x:c r="E77" s="14" t="str">
        <x:v>Expansion discovery</x:v>
      </x:c>
      <x:c r="F77" s="17" t="str">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20" t="str"/>
      <x:c r="AE77" s="14" t="str"/>
      <x:c r="AF77" s="14" t="n">
        <x:v>0</x:v>
      </x:c>
      <x:c r="AG77" s="14" t="str">
        <x:v>—</x:v>
      </x:c>
      <x:c r="AH77" s="14" t="n">
        <x:v>0</x:v>
      </x:c>
      <x:c r="AI77" s="14" t="n">
        <x:v>0</x:v>
      </x:c>
      <x:c r="AJ77" s="18" t="n">
        <x:v>0</x:v>
      </x:c>
      <x:c r="AK77" s="14" t="str"/>
      <x:c r="AL77" s="19" t="str"/>
      <x:c r="AM77" s="19" t="str"/>
      <x:c r="AN77" s="15" t="str"/>
      <x:c r="AO77" s="15" t="str">
        <x:v>historical_research_2026-07-28</x:v>
      </x:c>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20" t="str"/>
      <x:c r="AE78" s="14" t="str"/>
      <x:c r="AF78" s="14" t="n">
        <x:v>0</x:v>
      </x:c>
      <x:c r="AG78" s="14" t="str">
        <x:v>—</x:v>
      </x:c>
      <x:c r="AH78" s="14" t="n">
        <x:v>0</x:v>
      </x:c>
      <x:c r="AI78" s="14" t="n">
        <x:v>0</x:v>
      </x:c>
      <x:c r="AJ78" s="18" t="n">
        <x:v>0</x:v>
      </x:c>
      <x:c r="AK78" s="14" t="str"/>
      <x:c r="AL78" s="19" t="str"/>
      <x:c r="AM78" s="19" t="str"/>
      <x:c r="AN78" s="15" t="str"/>
      <x:c r="AO78" s="15" t="str">
        <x:v>official_source_reverified</x:v>
      </x:c>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20" t="str"/>
      <x:c r="AE79" s="14" t="str"/>
      <x:c r="AF79" s="14" t="n">
        <x:v>0</x:v>
      </x:c>
      <x:c r="AG79" s="14" t="str">
        <x:v>—</x:v>
      </x:c>
      <x:c r="AH79" s="14" t="n">
        <x:v>0</x:v>
      </x:c>
      <x:c r="AI79" s="14" t="n">
        <x:v>0</x:v>
      </x:c>
      <x:c r="AJ79" s="18" t="n">
        <x:v>0</x:v>
      </x:c>
      <x:c r="AK79" s="14" t="str"/>
      <x:c r="AL79" s="19" t="str"/>
      <x:c r="AM79" s="19" t="str"/>
      <x:c r="AN79" s="15" t="str"/>
      <x:c r="AO79" s="15" t="str">
        <x:v>official_content_reverified_via_search_index</x:v>
      </x:c>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20" t="str"/>
      <x:c r="AE80" s="14" t="str"/>
      <x:c r="AF80" s="14" t="n">
        <x:v>0</x:v>
      </x:c>
      <x:c r="AG80" s="14" t="str">
        <x:v>—</x:v>
      </x:c>
      <x:c r="AH80" s="14" t="n">
        <x:v>0</x:v>
      </x:c>
      <x:c r="AI80" s="14" t="n">
        <x:v>0</x:v>
      </x:c>
      <x:c r="AJ80" s="18" t="n">
        <x:v>0</x:v>
      </x:c>
      <x:c r="AK80" s="14" t="str"/>
      <x:c r="AL80" s="19" t="str"/>
      <x:c r="AM80" s="19" t="str"/>
      <x:c r="AN80" s="15" t="str"/>
      <x:c r="AO80" s="15" t="str">
        <x:v>historical_research_2026-07-28</x:v>
      </x:c>
    </x:row>
    <x:row r="81">
      <x:c r="A81" s="14" t="str">
        <x:v>EXP-037</x:v>
      </x:c>
      <x:c r="B81" s="14" t="str">
        <x:v>Розширення ніш — 24.08</x:v>
      </x:c>
      <x:c r="C81" s="14" t="str">
        <x:v>Kovlar Group</x:v>
      </x:c>
      <x:c r="D81" s="14" t="str">
        <x:v>Пасивний вогнезахист</x:v>
      </x:c>
      <x:c r="E81" s="14" t="str">
        <x:v>Expansion discovery</x:v>
      </x:c>
      <x:c r="F81" s="17" t="str">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20" t="str"/>
      <x:c r="AE81" s="14" t="str"/>
      <x:c r="AF81" s="14" t="n">
        <x:v>0</x:v>
      </x:c>
      <x:c r="AG81" s="14" t="str">
        <x:v>—</x:v>
      </x:c>
      <x:c r="AH81" s="14" t="n">
        <x:v>0</x:v>
      </x:c>
      <x:c r="AI81" s="14" t="n">
        <x:v>0</x:v>
      </x:c>
      <x:c r="AJ81" s="18" t="n">
        <x:v>0</x:v>
      </x:c>
      <x:c r="AK81" s="14" t="str"/>
      <x:c r="AL81" s="19" t="str"/>
      <x:c r="AM81" s="19" t="str"/>
      <x:c r="AN81" s="15" t="str"/>
      <x:c r="AO81" s="15" t="str">
        <x:v>official_source_reverified</x:v>
      </x:c>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20" t="str"/>
      <x:c r="AE82" s="14" t="str"/>
      <x:c r="AF82" s="14" t="n">
        <x:v>0</x:v>
      </x:c>
      <x:c r="AG82" s="14" t="str">
        <x:v>—</x:v>
      </x:c>
      <x:c r="AH82" s="14" t="n">
        <x:v>0</x:v>
      </x:c>
      <x:c r="AI82" s="14" t="n">
        <x:v>0</x:v>
      </x:c>
      <x:c r="AJ82" s="18" t="n">
        <x:v>0</x:v>
      </x:c>
      <x:c r="AK82" s="14" t="str"/>
      <x:c r="AL82" s="19" t="str"/>
      <x:c r="AM82" s="19" t="str"/>
      <x:c r="AN82" s="15" t="str"/>
      <x:c r="AO82" s="15" t="str">
        <x:v>official_source_reverified</x:v>
      </x:c>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20" t="str"/>
      <x:c r="AE83" s="14" t="str"/>
      <x:c r="AF83" s="14" t="n">
        <x:v>0</x:v>
      </x:c>
      <x:c r="AG83" s="14" t="str">
        <x:v>—</x:v>
      </x:c>
      <x:c r="AH83" s="14" t="n">
        <x:v>0</x:v>
      </x:c>
      <x:c r="AI83" s="14" t="n">
        <x:v>0</x:v>
      </x:c>
      <x:c r="AJ83" s="18" t="n">
        <x:v>0</x:v>
      </x:c>
      <x:c r="AK83" s="14" t="str"/>
      <x:c r="AL83" s="19" t="str"/>
      <x:c r="AM83" s="19" t="str"/>
      <x:c r="AN83" s="15" t="str"/>
      <x:c r="AO83" s="15" t="str">
        <x:v>official_source_reverified</x:v>
      </x:c>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20" t="str"/>
      <x:c r="AE84" s="14" t="str"/>
      <x:c r="AF84" s="14" t="n">
        <x:v>0</x:v>
      </x:c>
      <x:c r="AG84" s="14" t="str">
        <x:v>—</x:v>
      </x:c>
      <x:c r="AH84" s="14" t="n">
        <x:v>0</x:v>
      </x:c>
      <x:c r="AI84" s="14" t="n">
        <x:v>0</x:v>
      </x:c>
      <x:c r="AJ84" s="18" t="n">
        <x:v>0</x:v>
      </x:c>
      <x:c r="AK84" s="14" t="str"/>
      <x:c r="AL84" s="19" t="str"/>
      <x:c r="AM84" s="19" t="str"/>
      <x:c r="AN84" s="15" t="str"/>
      <x:c r="AO84" s="15" t="str">
        <x:v>official_source_reverified</x:v>
      </x:c>
    </x:row>
    <x:row r="85">
      <x:c r="A85" s="14" t="str">
        <x:v>EXP-035</x:v>
      </x:c>
      <x:c r="B85" s="14" t="str">
        <x:v>Розширення ніш — 24.08</x:v>
      </x:c>
      <x:c r="C85" s="14" t="str">
        <x:v>DEFENS</x:v>
      </x:c>
      <x:c r="D85" s="14" t="str">
        <x:v>Пасивний вогнезахист</x:v>
      </x:c>
      <x:c r="E85" s="14" t="str">
        <x:v>Expansion discovery</x:v>
      </x:c>
      <x:c r="F85" s="17" t="str">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20" t="str"/>
      <x:c r="AE85" s="14" t="str"/>
      <x:c r="AF85" s="14" t="n">
        <x:v>0</x:v>
      </x:c>
      <x:c r="AG85" s="14" t="str">
        <x:v>—</x:v>
      </x:c>
      <x:c r="AH85" s="14" t="n">
        <x:v>0</x:v>
      </x:c>
      <x:c r="AI85" s="14" t="n">
        <x:v>0</x:v>
      </x:c>
      <x:c r="AJ85" s="18" t="n">
        <x:v>0</x:v>
      </x:c>
      <x:c r="AK85" s="14" t="str"/>
      <x:c r="AL85" s="19" t="str"/>
      <x:c r="AM85" s="19" t="str"/>
      <x:c r="AN85" s="15" t="str"/>
      <x:c r="AO85" s="15" t="str">
        <x:v>official_source_reverified</x:v>
      </x:c>
    </x:row>
    <x:row r="86">
      <x:c r="A86" s="14" t="str">
        <x:v>EXP-041</x:v>
      </x:c>
      <x:c r="B86" s="14" t="str">
        <x:v>Розширення ніш — 24.08</x:v>
      </x:c>
      <x:c r="C86" s="14" t="str">
        <x:v>ORION GROUP</x:v>
      </x:c>
      <x:c r="D86" s="14" t="str">
        <x:v>Промислова теплоізоляція</x:v>
      </x:c>
      <x:c r="E86" s="14" t="str">
        <x:v>Expansion discovery</x:v>
      </x:c>
      <x:c r="F86" s="17" t="str">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20" t="str"/>
      <x:c r="AE86" s="14" t="str"/>
      <x:c r="AF86" s="14" t="n">
        <x:v>0</x:v>
      </x:c>
      <x:c r="AG86" s="14" t="str">
        <x:v>—</x:v>
      </x:c>
      <x:c r="AH86" s="14" t="n">
        <x:v>0</x:v>
      </x:c>
      <x:c r="AI86" s="14" t="n">
        <x:v>0</x:v>
      </x:c>
      <x:c r="AJ86" s="18" t="n">
        <x:v>0</x:v>
      </x:c>
      <x:c r="AK86" s="14" t="str"/>
      <x:c r="AL86" s="19" t="str"/>
      <x:c r="AM86" s="19" t="str"/>
      <x:c r="AN86" s="15" t="str"/>
      <x:c r="AO86" s="15" t="str">
        <x:v>official_source_reverified</x:v>
      </x:c>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20" t="str"/>
      <x:c r="AE87" s="14" t="str"/>
      <x:c r="AF87" s="14" t="n">
        <x:v>0</x:v>
      </x:c>
      <x:c r="AG87" s="14" t="str">
        <x:v>—</x:v>
      </x:c>
      <x:c r="AH87" s="14" t="n">
        <x:v>0</x:v>
      </x:c>
      <x:c r="AI87" s="14" t="n">
        <x:v>0</x:v>
      </x:c>
      <x:c r="AJ87" s="18" t="n">
        <x:v>0</x:v>
      </x:c>
      <x:c r="AK87" s="14" t="str"/>
      <x:c r="AL87" s="19" t="str"/>
      <x:c r="AM87" s="19" t="str"/>
      <x:c r="AN87" s="15" t="str"/>
      <x:c r="AO87" s="15" t="str">
        <x:v>official_source_reverified</x:v>
      </x:c>
    </x:row>
    <x:row r="88">
      <x:c r="A88" s="14" t="str">
        <x:v>EXP-057</x:v>
      </x:c>
      <x:c r="B88" s="14" t="str">
        <x:v>Розширення ніш — 24.08</x:v>
      </x:c>
      <x:c r="C88" s="14" t="str">
        <x:v>LSK</x:v>
      </x:c>
      <x:c r="D88" s="14" t="str">
        <x:v>Ліфти, ескалатори та підйомники</x:v>
      </x:c>
      <x:c r="E88" s="14" t="str">
        <x:v>Expansion discovery</x:v>
      </x:c>
      <x:c r="F88" s="17" t="str">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20" t="str"/>
      <x:c r="AE88" s="14" t="str"/>
      <x:c r="AF88" s="14" t="n">
        <x:v>0</x:v>
      </x:c>
      <x:c r="AG88" s="14" t="str">
        <x:v>—</x:v>
      </x:c>
      <x:c r="AH88" s="14" t="n">
        <x:v>0</x:v>
      </x:c>
      <x:c r="AI88" s="14" t="n">
        <x:v>0</x:v>
      </x:c>
      <x:c r="AJ88" s="18" t="n">
        <x:v>0</x:v>
      </x:c>
      <x:c r="AK88" s="14" t="str"/>
      <x:c r="AL88" s="19" t="str"/>
      <x:c r="AM88" s="19" t="str"/>
      <x:c r="AN88" s="15" t="str"/>
      <x:c r="AO88" s="15" t="str">
        <x:v>official_source_reverified</x:v>
      </x:c>
    </x:row>
    <x:row r="89">
      <x:c r="A89" s="14" t="str">
        <x:v>EXP-042</x:v>
      </x:c>
      <x:c r="B89" s="14" t="str">
        <x:v>Розширення ніш — 24.08</x:v>
      </x:c>
      <x:c r="C89" s="14" t="str">
        <x:v>ІНКРАФТ</x:v>
      </x:c>
      <x:c r="D89" s="14" t="str">
        <x:v>Промислова теплоізоляція</x:v>
      </x:c>
      <x:c r="E89" s="14" t="str">
        <x:v>Expansion discovery</x:v>
      </x:c>
      <x:c r="F89" s="17" t="str">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20" t="str"/>
      <x:c r="AE89" s="14" t="str"/>
      <x:c r="AF89" s="14" t="n">
        <x:v>0</x:v>
      </x:c>
      <x:c r="AG89" s="14" t="str">
        <x:v>—</x:v>
      </x:c>
      <x:c r="AH89" s="14" t="n">
        <x:v>0</x:v>
      </x:c>
      <x:c r="AI89" s="14" t="n">
        <x:v>0</x:v>
      </x:c>
      <x:c r="AJ89" s="18" t="n">
        <x:v>0</x:v>
      </x:c>
      <x:c r="AK89" s="14" t="str"/>
      <x:c r="AL89" s="19" t="str"/>
      <x:c r="AM89" s="19" t="str"/>
      <x:c r="AN89" s="15" t="str"/>
      <x:c r="AO89" s="15" t="str">
        <x:v>official_source_reverified</x:v>
      </x:c>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20" t="str"/>
      <x:c r="AE90" s="14" t="str"/>
      <x:c r="AF90" s="14" t="n">
        <x:v>0</x:v>
      </x:c>
      <x:c r="AG90" s="14" t="str">
        <x:v>—</x:v>
      </x:c>
      <x:c r="AH90" s="14" t="n">
        <x:v>0</x:v>
      </x:c>
      <x:c r="AI90" s="14" t="n">
        <x:v>0</x:v>
      </x:c>
      <x:c r="AJ90" s="18" t="n">
        <x:v>0</x:v>
      </x:c>
      <x:c r="AK90" s="14" t="str"/>
      <x:c r="AL90" s="19" t="str"/>
      <x:c r="AM90" s="19" t="str"/>
      <x:c r="AN90" s="15" t="str"/>
      <x:c r="AO90" s="15" t="str">
        <x:v>official_source_reverified</x:v>
      </x:c>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20" t="str"/>
      <x:c r="AE91" s="14" t="str"/>
      <x:c r="AF91" s="14" t="n">
        <x:v>0</x:v>
      </x:c>
      <x:c r="AG91" s="14" t="str">
        <x:v>—</x:v>
      </x:c>
      <x:c r="AH91" s="14" t="n">
        <x:v>0</x:v>
      </x:c>
      <x:c r="AI91" s="14" t="n">
        <x:v>0</x:v>
      </x:c>
      <x:c r="AJ91" s="18" t="n">
        <x:v>0</x:v>
      </x:c>
      <x:c r="AK91" s="14" t="str"/>
      <x:c r="AL91" s="19" t="str"/>
      <x:c r="AM91" s="19" t="str"/>
      <x:c r="AN91" s="15" t="str"/>
      <x:c r="AO91" s="15" t="str">
        <x:v>official_source_reverified</x:v>
      </x:c>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20" t="str"/>
      <x:c r="AE92" s="14" t="str"/>
      <x:c r="AF92" s="14" t="n">
        <x:v>0</x:v>
      </x:c>
      <x:c r="AG92" s="14" t="str">
        <x:v>—</x:v>
      </x:c>
      <x:c r="AH92" s="14" t="n">
        <x:v>0</x:v>
      </x:c>
      <x:c r="AI92" s="14" t="n">
        <x:v>0</x:v>
      </x:c>
      <x:c r="AJ92" s="18" t="n">
        <x:v>0</x:v>
      </x:c>
      <x:c r="AK92" s="14" t="str"/>
      <x:c r="AL92" s="19" t="str"/>
      <x:c r="AM92" s="19" t="str"/>
      <x:c r="AN92" s="15" t="str"/>
      <x:c r="AO92" s="15" t="str">
        <x:v>official_source_reverified</x:v>
      </x:c>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20" t="str"/>
      <x:c r="AE93" s="14" t="str"/>
      <x:c r="AF93" s="14" t="n">
        <x:v>0</x:v>
      </x:c>
      <x:c r="AG93" s="14" t="str">
        <x:v>—</x:v>
      </x:c>
      <x:c r="AH93" s="14" t="n">
        <x:v>0</x:v>
      </x:c>
      <x:c r="AI93" s="14" t="n">
        <x:v>0</x:v>
      </x:c>
      <x:c r="AJ93" s="18" t="n">
        <x:v>0</x:v>
      </x:c>
      <x:c r="AK93" s="14" t="str"/>
      <x:c r="AL93" s="19" t="str"/>
      <x:c r="AM93" s="19" t="str"/>
      <x:c r="AN93" s="15" t="str"/>
      <x:c r="AO93" s="15" t="str">
        <x:v>official_source_reverified</x:v>
      </x:c>
    </x:row>
    <x:row r="94">
      <x:c r="A94" s="14" t="str">
        <x:v>EXP-023</x:v>
      </x:c>
      <x:c r="B94" s="14" t="str">
        <x:v>Розширення ніш — 24.08</x:v>
      </x:c>
      <x:c r="C94" s="14" t="str">
        <x:v>PALI</x:v>
      </x:c>
      <x:c r="D94" s="14" t="str">
        <x:v>Палі, фундаменти та підсилення</x:v>
      </x:c>
      <x:c r="E94" s="14" t="str">
        <x:v>Expansion discovery</x:v>
      </x:c>
      <x:c r="F94" s="17" t="str">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20" t="str"/>
      <x:c r="AE94" s="14" t="str"/>
      <x:c r="AF94" s="14" t="n">
        <x:v>0</x:v>
      </x:c>
      <x:c r="AG94" s="14" t="str">
        <x:v>—</x:v>
      </x:c>
      <x:c r="AH94" s="14" t="n">
        <x:v>0</x:v>
      </x:c>
      <x:c r="AI94" s="14" t="n">
        <x:v>0</x:v>
      </x:c>
      <x:c r="AJ94" s="18" t="n">
        <x:v>0</x:v>
      </x:c>
      <x:c r="AK94" s="14" t="str"/>
      <x:c r="AL94" s="19" t="str"/>
      <x:c r="AM94" s="19" t="str"/>
      <x:c r="AN94" s="15" t="str"/>
      <x:c r="AO94" s="15" t="str">
        <x:v>official_source_reverified</x:v>
      </x:c>
    </x:row>
    <x:row r="95">
      <x:c r="A95" s="14" t="str">
        <x:v>EXP-024</x:v>
      </x:c>
      <x:c r="B95" s="14" t="str">
        <x:v>Розширення ніш — 24.08</x:v>
      </x:c>
      <x:c r="C95" s="14" t="str">
        <x:v>PILLAR</x:v>
      </x:c>
      <x:c r="D95" s="14" t="str">
        <x:v>Палі, фундаменти та підсилення</x:v>
      </x:c>
      <x:c r="E95" s="14" t="str">
        <x:v>Expansion discovery</x:v>
      </x:c>
      <x:c r="F95" s="17" t="str">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20" t="str"/>
      <x:c r="AE95" s="14" t="str"/>
      <x:c r="AF95" s="14" t="n">
        <x:v>0</x:v>
      </x:c>
      <x:c r="AG95" s="14" t="str">
        <x:v>—</x:v>
      </x:c>
      <x:c r="AH95" s="14" t="n">
        <x:v>0</x:v>
      </x:c>
      <x:c r="AI95" s="14" t="n">
        <x:v>0</x:v>
      </x:c>
      <x:c r="AJ95" s="18" t="n">
        <x:v>0</x:v>
      </x:c>
      <x:c r="AK95" s="14" t="str"/>
      <x:c r="AL95" s="19" t="str"/>
      <x:c r="AM95" s="19" t="str"/>
      <x:c r="AN95" s="15" t="str"/>
      <x:c r="AO95" s="15" t="str">
        <x:v>official_source_reverified</x:v>
      </x:c>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20" t="str"/>
      <x:c r="AE96" s="14" t="str"/>
      <x:c r="AF96" s="14" t="n">
        <x:v>0</x:v>
      </x:c>
      <x:c r="AG96" s="14" t="str">
        <x:v>—</x:v>
      </x:c>
      <x:c r="AH96" s="14" t="n">
        <x:v>0</x:v>
      </x:c>
      <x:c r="AI96" s="14" t="n">
        <x:v>0</x:v>
      </x:c>
      <x:c r="AJ96" s="18" t="n">
        <x:v>0</x:v>
      </x:c>
      <x:c r="AK96" s="14" t="str"/>
      <x:c r="AL96" s="19" t="str"/>
      <x:c r="AM96" s="19" t="str"/>
      <x:c r="AN96" s="15" t="str"/>
      <x:c r="AO96" s="15" t="str">
        <x:v>official_source_reverified</x:v>
      </x:c>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20" t="str"/>
      <x:c r="AE97" s="14" t="str"/>
      <x:c r="AF97" s="14" t="n">
        <x:v>0</x:v>
      </x:c>
      <x:c r="AG97" s="14" t="str">
        <x:v>—</x:v>
      </x:c>
      <x:c r="AH97" s="14" t="n">
        <x:v>0</x:v>
      </x:c>
      <x:c r="AI97" s="14" t="n">
        <x:v>0</x:v>
      </x:c>
      <x:c r="AJ97" s="18" t="n">
        <x:v>0</x:v>
      </x:c>
      <x:c r="AK97" s="14" t="str"/>
      <x:c r="AL97" s="19" t="str"/>
      <x:c r="AM97" s="19" t="str"/>
      <x:c r="AN97" s="15" t="str"/>
      <x:c r="AO97" s="15" t="str">
        <x:v>official_source_reverified</x:v>
      </x:c>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20" t="str"/>
      <x:c r="AE98" s="14" t="str"/>
      <x:c r="AF98" s="14" t="n">
        <x:v>0</x:v>
      </x:c>
      <x:c r="AG98" s="14" t="str">
        <x:v>—</x:v>
      </x:c>
      <x:c r="AH98" s="14" t="n">
        <x:v>0</x:v>
      </x:c>
      <x:c r="AI98" s="14" t="n">
        <x:v>0</x:v>
      </x:c>
      <x:c r="AJ98" s="18" t="n">
        <x:v>0</x:v>
      </x:c>
      <x:c r="AK98" s="14" t="str"/>
      <x:c r="AL98" s="19" t="str"/>
      <x:c r="AM98" s="19" t="str"/>
      <x:c r="AN98" s="15" t="str"/>
      <x:c r="AO98" s="15" t="str">
        <x:v>official_source_reverified</x:v>
      </x:c>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20" t="str"/>
      <x:c r="AE99" s="14" t="str"/>
      <x:c r="AF99" s="14" t="n">
        <x:v>0</x:v>
      </x:c>
      <x:c r="AG99" s="14" t="str">
        <x:v>—</x:v>
      </x:c>
      <x:c r="AH99" s="14" t="n">
        <x:v>0</x:v>
      </x:c>
      <x:c r="AI99" s="14" t="n">
        <x:v>0</x:v>
      </x:c>
      <x:c r="AJ99" s="18" t="n">
        <x:v>0</x:v>
      </x:c>
      <x:c r="AK99" s="14" t="str"/>
      <x:c r="AL99" s="19" t="str"/>
      <x:c r="AM99" s="19" t="str"/>
      <x:c r="AN99" s="15" t="str"/>
      <x:c r="AO99" s="15" t="str">
        <x:v>official_source_reverified</x:v>
      </x:c>
    </x:row>
    <x:row r="100">
      <x:c r="A100" s="14" t="str">
        <x:v>EXP-006</x:v>
      </x:c>
      <x:c r="B100" s="14" t="str">
        <x:v>Розширення ніш — 24.08</x:v>
      </x:c>
      <x:c r="C100" s="14" t="str">
        <x:v>Budroof</x:v>
      </x:c>
      <x:c r="D100" s="14" t="str">
        <x:v>Покрівлі та гідроізоляція</x:v>
      </x:c>
      <x:c r="E100" s="14" t="str">
        <x:v>Expansion discovery</x:v>
      </x:c>
      <x:c r="F100" s="17" t="str">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20" t="str"/>
      <x:c r="AE100" s="14" t="str"/>
      <x:c r="AF100" s="14" t="n">
        <x:v>0</x:v>
      </x:c>
      <x:c r="AG100" s="14" t="str">
        <x:v>—</x:v>
      </x:c>
      <x:c r="AH100" s="14" t="n">
        <x:v>0</x:v>
      </x:c>
      <x:c r="AI100" s="14" t="n">
        <x:v>0</x:v>
      </x:c>
      <x:c r="AJ100" s="18" t="n">
        <x:v>0</x:v>
      </x:c>
      <x:c r="AK100" s="14" t="str"/>
      <x:c r="AL100" s="19" t="str"/>
      <x:c r="AM100" s="19" t="str"/>
      <x:c r="AN100" s="15" t="str"/>
      <x:c r="AO100" s="15" t="str">
        <x:v>official_source_reverified</x:v>
      </x:c>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20" t="str"/>
      <x:c r="AE101" s="14" t="str"/>
      <x:c r="AF101" s="14" t="n">
        <x:v>0</x:v>
      </x:c>
      <x:c r="AG101" s="14" t="str">
        <x:v>—</x:v>
      </x:c>
      <x:c r="AH101" s="14" t="n">
        <x:v>0</x:v>
      </x:c>
      <x:c r="AI101" s="14" t="n">
        <x:v>0</x:v>
      </x:c>
      <x:c r="AJ101" s="18" t="n">
        <x:v>0</x:v>
      </x:c>
      <x:c r="AK101" s="14" t="str"/>
      <x:c r="AL101" s="19" t="str"/>
      <x:c r="AM101" s="19" t="str"/>
      <x:c r="AN101" s="15" t="str"/>
      <x:c r="AO101" s="15" t="str">
        <x:v>official_source_reverified</x:v>
      </x:c>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20" t="str"/>
      <x:c r="AE102" s="14" t="str"/>
      <x:c r="AF102" s="14" t="n">
        <x:v>0</x:v>
      </x:c>
      <x:c r="AG102" s="14" t="str">
        <x:v>—</x:v>
      </x:c>
      <x:c r="AH102" s="14" t="n">
        <x:v>0</x:v>
      </x:c>
      <x:c r="AI102" s="14" t="n">
        <x:v>0</x:v>
      </x:c>
      <x:c r="AJ102" s="18" t="n">
        <x:v>0</x:v>
      </x:c>
      <x:c r="AK102" s="14" t="str"/>
      <x:c r="AL102" s="19" t="str"/>
      <x:c r="AM102" s="19" t="str"/>
      <x:c r="AN102" s="15" t="str"/>
      <x:c r="AO102" s="15" t="str">
        <x:v>official_source_reverified</x:v>
      </x:c>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20" t="str"/>
      <x:c r="AE103" s="14" t="str"/>
      <x:c r="AF103" s="14" t="n">
        <x:v>0</x:v>
      </x:c>
      <x:c r="AG103" s="14" t="str">
        <x:v>—</x:v>
      </x:c>
      <x:c r="AH103" s="14" t="n">
        <x:v>0</x:v>
      </x:c>
      <x:c r="AI103" s="14" t="n">
        <x:v>0</x:v>
      </x:c>
      <x:c r="AJ103" s="18" t="n">
        <x:v>0</x:v>
      </x:c>
      <x:c r="AK103" s="14" t="str"/>
      <x:c r="AL103" s="19" t="str"/>
      <x:c r="AM103" s="19" t="str"/>
      <x:c r="AN103" s="15" t="str"/>
      <x:c r="AO103" s="15" t="str">
        <x:v>official_source_reverified</x:v>
      </x:c>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20" t="str"/>
      <x:c r="AE104" s="14" t="str"/>
      <x:c r="AF104" s="14" t="n">
        <x:v>0</x:v>
      </x:c>
      <x:c r="AG104" s="14" t="str">
        <x:v>—</x:v>
      </x:c>
      <x:c r="AH104" s="14" t="n">
        <x:v>0</x:v>
      </x:c>
      <x:c r="AI104" s="14" t="n">
        <x:v>0</x:v>
      </x:c>
      <x:c r="AJ104" s="18" t="n">
        <x:v>0</x:v>
      </x:c>
      <x:c r="AK104" s="14" t="str"/>
      <x:c r="AL104" s="19" t="str"/>
      <x:c r="AM104" s="19" t="str"/>
      <x:c r="AN104" s="15" t="str"/>
      <x:c r="AO104" s="15" t="str">
        <x:v>official_source_reverified</x:v>
      </x:c>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20" t="str"/>
      <x:c r="AE105" s="14" t="str"/>
      <x:c r="AF105" s="14" t="n">
        <x:v>0</x:v>
      </x:c>
      <x:c r="AG105" s="14" t="str">
        <x:v>—</x:v>
      </x:c>
      <x:c r="AH105" s="14" t="n">
        <x:v>0</x:v>
      </x:c>
      <x:c r="AI105" s="14" t="n">
        <x:v>0</x:v>
      </x:c>
      <x:c r="AJ105" s="18" t="n">
        <x:v>0</x:v>
      </x:c>
      <x:c r="AK105" s="14" t="str"/>
      <x:c r="AL105" s="19" t="str"/>
      <x:c r="AM105" s="19" t="str"/>
      <x:c r="AN105" s="15" t="str"/>
      <x:c r="AO105" s="15" t="str">
        <x:v>official_source_reverified</x:v>
      </x:c>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20" t="str"/>
      <x:c r="AE106" s="14" t="str"/>
      <x:c r="AF106" s="14" t="n">
        <x:v>0</x:v>
      </x:c>
      <x:c r="AG106" s="14" t="str">
        <x:v>—</x:v>
      </x:c>
      <x:c r="AH106" s="14" t="n">
        <x:v>0</x:v>
      </x:c>
      <x:c r="AI106" s="14" t="n">
        <x:v>0</x:v>
      </x:c>
      <x:c r="AJ106" s="18" t="n">
        <x:v>0</x:v>
      </x:c>
      <x:c r="AK106" s="14" t="str"/>
      <x:c r="AL106" s="19" t="str"/>
      <x:c r="AM106" s="19" t="str"/>
      <x:c r="AN106" s="15" t="str"/>
      <x:c r="AO106" s="15" t="str">
        <x:v>official_source_reverified</x:v>
      </x:c>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20" t="str"/>
      <x:c r="AE107" s="14" t="str"/>
      <x:c r="AF107" s="14" t="n">
        <x:v>0</x:v>
      </x:c>
      <x:c r="AG107" s="14" t="str">
        <x:v>—</x:v>
      </x:c>
      <x:c r="AH107" s="14" t="n">
        <x:v>0</x:v>
      </x:c>
      <x:c r="AI107" s="14" t="n">
        <x:v>0</x:v>
      </x:c>
      <x:c r="AJ107" s="18" t="n">
        <x:v>0</x:v>
      </x:c>
      <x:c r="AK107" s="14" t="str"/>
      <x:c r="AL107" s="19" t="str"/>
      <x:c r="AM107" s="19" t="str"/>
      <x:c r="AN107" s="15" t="str"/>
      <x:c r="AO107" s="15" t="str">
        <x:v>official_source_reverified</x:v>
      </x:c>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20" t="str"/>
      <x:c r="AE108" s="14" t="str"/>
      <x:c r="AF108" s="14" t="n">
        <x:v>0</x:v>
      </x:c>
      <x:c r="AG108" s="14" t="str">
        <x:v>—</x:v>
      </x:c>
      <x:c r="AH108" s="14" t="n">
        <x:v>0</x:v>
      </x:c>
      <x:c r="AI108" s="14" t="n">
        <x:v>0</x:v>
      </x:c>
      <x:c r="AJ108" s="18" t="n">
        <x:v>0</x:v>
      </x:c>
      <x:c r="AK108" s="14" t="str"/>
      <x:c r="AL108" s="19" t="str"/>
      <x:c r="AM108" s="19" t="str"/>
      <x:c r="AN108" s="15" t="str"/>
      <x:c r="AO108" s="15" t="str">
        <x:v>official_source_reverified</x:v>
      </x:c>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20" t="str"/>
      <x:c r="AE109" s="14" t="str"/>
      <x:c r="AF109" s="14" t="n">
        <x:v>0</x:v>
      </x:c>
      <x:c r="AG109" s="14" t="str">
        <x:v>—</x:v>
      </x:c>
      <x:c r="AH109" s="14" t="n">
        <x:v>0</x:v>
      </x:c>
      <x:c r="AI109" s="14" t="n">
        <x:v>0</x:v>
      </x:c>
      <x:c r="AJ109" s="18" t="n">
        <x:v>0</x:v>
      </x:c>
      <x:c r="AK109" s="14" t="str"/>
      <x:c r="AL109" s="19" t="str"/>
      <x:c r="AM109" s="19" t="str"/>
      <x:c r="AN109" s="15" t="str"/>
      <x:c r="AO109" s="15" t="str">
        <x:v>official_source_reverified</x:v>
      </x:c>
    </x:row>
    <x:row r="110">
      <x:c r="A110" s="14" t="str">
        <x:v>EXP-009</x:v>
      </x:c>
      <x:c r="B110" s="14" t="str">
        <x:v>Розширення ніш — 24.08</x:v>
      </x:c>
      <x:c r="C110" s="14" t="str">
        <x:v>AMKO</x:v>
      </x:c>
      <x:c r="D110" s="14" t="str">
        <x:v>Покрівлі та гідроізоляція</x:v>
      </x:c>
      <x:c r="E110" s="14" t="str">
        <x:v>Expansion discovery</x:v>
      </x:c>
      <x:c r="F110" s="17" t="str">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20" t="str"/>
      <x:c r="AE110" s="14" t="str"/>
      <x:c r="AF110" s="14" t="n">
        <x:v>0</x:v>
      </x:c>
      <x:c r="AG110" s="14" t="str">
        <x:v>—</x:v>
      </x:c>
      <x:c r="AH110" s="14" t="n">
        <x:v>0</x:v>
      </x:c>
      <x:c r="AI110" s="14" t="n">
        <x:v>0</x:v>
      </x:c>
      <x:c r="AJ110" s="18" t="n">
        <x:v>0</x:v>
      </x:c>
      <x:c r="AK110" s="14" t="str"/>
      <x:c r="AL110" s="19" t="str"/>
      <x:c r="AM110" s="19" t="str"/>
      <x:c r="AN110" s="15" t="str"/>
      <x:c r="AO110" s="15" t="str">
        <x:v>official_source_reverified</x:v>
      </x:c>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20" t="str"/>
      <x:c r="AE111" s="14" t="str"/>
      <x:c r="AF111" s="14" t="n">
        <x:v>0</x:v>
      </x:c>
      <x:c r="AG111" s="14" t="str">
        <x:v>—</x:v>
      </x:c>
      <x:c r="AH111" s="14" t="n">
        <x:v>0</x:v>
      </x:c>
      <x:c r="AI111" s="14" t="n">
        <x:v>0</x:v>
      </x:c>
      <x:c r="AJ111" s="18" t="n">
        <x:v>0</x:v>
      </x:c>
      <x:c r="AK111" s="14" t="str"/>
      <x:c r="AL111" s="19" t="str"/>
      <x:c r="AM111" s="19" t="str"/>
      <x:c r="AN111" s="15" t="str"/>
      <x:c r="AO111" s="15" t="str">
        <x:v>official_source_reverified</x:v>
      </x:c>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20" t="str"/>
      <x:c r="AE112" s="14" t="str"/>
      <x:c r="AF112" s="14" t="n">
        <x:v>0</x:v>
      </x:c>
      <x:c r="AG112" s="14" t="str">
        <x:v>—</x:v>
      </x:c>
      <x:c r="AH112" s="14" t="n">
        <x:v>0</x:v>
      </x:c>
      <x:c r="AI112" s="14" t="n">
        <x:v>0</x:v>
      </x:c>
      <x:c r="AJ112" s="18" t="n">
        <x:v>0</x:v>
      </x:c>
      <x:c r="AK112" s="14" t="str"/>
      <x:c r="AL112" s="19" t="str"/>
      <x:c r="AM112" s="19" t="str"/>
      <x:c r="AN112" s="15" t="str"/>
      <x:c r="AO112" s="15" t="str">
        <x:v>official_source_reverified</x:v>
      </x:c>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20" t="str"/>
      <x:c r="AE113" s="14" t="str"/>
      <x:c r="AF113" s="14" t="n">
        <x:v>0</x:v>
      </x:c>
      <x:c r="AG113" s="14" t="str">
        <x:v>—</x:v>
      </x:c>
      <x:c r="AH113" s="14" t="n">
        <x:v>0</x:v>
      </x:c>
      <x:c r="AI113" s="14" t="n">
        <x:v>0</x:v>
      </x:c>
      <x:c r="AJ113" s="18" t="n">
        <x:v>0</x:v>
      </x:c>
      <x:c r="AK113" s="14" t="str"/>
      <x:c r="AL113" s="19" t="str"/>
      <x:c r="AM113" s="19" t="str"/>
      <x:c r="AN113" s="15" t="str"/>
      <x:c r="AO113" s="15" t="str">
        <x:v>official_source_reverified</x:v>
      </x:c>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20" t="str"/>
      <x:c r="AE114" s="14" t="str"/>
      <x:c r="AF114" s="14" t="n">
        <x:v>0</x:v>
      </x:c>
      <x:c r="AG114" s="14" t="str">
        <x:v>—</x:v>
      </x:c>
      <x:c r="AH114" s="14" t="n">
        <x:v>0</x:v>
      </x:c>
      <x:c r="AI114" s="14" t="n">
        <x:v>0</x:v>
      </x:c>
      <x:c r="AJ114" s="18" t="n">
        <x:v>0</x:v>
      </x:c>
      <x:c r="AK114" s="14" t="str"/>
      <x:c r="AL114" s="19" t="str"/>
      <x:c r="AM114" s="19" t="str"/>
      <x:c r="AN114" s="15" t="str"/>
      <x:c r="AO114" s="15" t="str">
        <x:v>official_source_reverified</x:v>
      </x:c>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20" t="str"/>
      <x:c r="AE115" s="14" t="str"/>
      <x:c r="AF115" s="14" t="n">
        <x:v>0</x:v>
      </x:c>
      <x:c r="AG115" s="14" t="str">
        <x:v>—</x:v>
      </x:c>
      <x:c r="AH115" s="14" t="n">
        <x:v>0</x:v>
      </x:c>
      <x:c r="AI115" s="14" t="n">
        <x:v>0</x:v>
      </x:c>
      <x:c r="AJ115" s="18" t="n">
        <x:v>0</x:v>
      </x:c>
      <x:c r="AK115" s="14" t="str"/>
      <x:c r="AL115" s="19" t="str"/>
      <x:c r="AM115" s="19" t="str"/>
      <x:c r="AN115" s="15" t="str"/>
      <x:c r="AO115" s="15" t="str">
        <x:v>official_source_reverified</x:v>
      </x:c>
    </x:row>
    <x:row r="116">
      <x:c r="A116" s="14" t="str">
        <x:v>EXP-011</x:v>
      </x:c>
      <x:c r="B116" s="14" t="str">
        <x:v>Розширення ніш — 24.08</x:v>
      </x:c>
      <x:c r="C116" s="14" t="str">
        <x:v>VEMAKS</x:v>
      </x:c>
      <x:c r="D116" s="14" t="str">
        <x:v>Покрівлі та гідроізоляція</x:v>
      </x:c>
      <x:c r="E116" s="14" t="str">
        <x:v>Expansion discovery</x:v>
      </x:c>
      <x:c r="F116" s="17" t="str">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20" t="str"/>
      <x:c r="AE116" s="14" t="str"/>
      <x:c r="AF116" s="14" t="n">
        <x:v>0</x:v>
      </x:c>
      <x:c r="AG116" s="14" t="str">
        <x:v>—</x:v>
      </x:c>
      <x:c r="AH116" s="14" t="n">
        <x:v>0</x:v>
      </x:c>
      <x:c r="AI116" s="14" t="n">
        <x:v>0</x:v>
      </x:c>
      <x:c r="AJ116" s="18" t="n">
        <x:v>0</x:v>
      </x:c>
      <x:c r="AK116" s="14" t="str"/>
      <x:c r="AL116" s="19" t="str"/>
      <x:c r="AM116" s="19" t="str"/>
      <x:c r="AN116" s="15" t="str"/>
      <x:c r="AO116" s="15" t="str">
        <x:v>official_source_reverified</x:v>
      </x:c>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20" t="str"/>
      <x:c r="AE117" s="14" t="str"/>
      <x:c r="AF117" s="14" t="n">
        <x:v>0</x:v>
      </x:c>
      <x:c r="AG117" s="14" t="str">
        <x:v>—</x:v>
      </x:c>
      <x:c r="AH117" s="14" t="n">
        <x:v>0</x:v>
      </x:c>
      <x:c r="AI117" s="14" t="n">
        <x:v>0</x:v>
      </x:c>
      <x:c r="AJ117" s="18" t="n">
        <x:v>0</x:v>
      </x:c>
      <x:c r="AK117" s="14" t="str"/>
      <x:c r="AL117" s="19" t="str"/>
      <x:c r="AM117" s="19" t="str"/>
      <x:c r="AN117" s="15" t="str"/>
      <x:c r="AO117" s="15" t="str">
        <x:v>official_source_reverified</x:v>
      </x:c>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20" t="str"/>
      <x:c r="AE118" s="14" t="str"/>
      <x:c r="AF118" s="14" t="n">
        <x:v>0</x:v>
      </x:c>
      <x:c r="AG118" s="14" t="str">
        <x:v>—</x:v>
      </x:c>
      <x:c r="AH118" s="14" t="n">
        <x:v>0</x:v>
      </x:c>
      <x:c r="AI118" s="14" t="n">
        <x:v>0</x:v>
      </x:c>
      <x:c r="AJ118" s="18" t="n">
        <x:v>0</x:v>
      </x:c>
      <x:c r="AK118" s="14" t="str"/>
      <x:c r="AL118" s="19" t="str"/>
      <x:c r="AM118" s="19" t="str"/>
      <x:c r="AN118" s="15" t="str"/>
      <x:c r="AO118" s="15" t="str">
        <x:v>official_source_reverified</x:v>
      </x:c>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20" t="str"/>
      <x:c r="AE119" s="14" t="str"/>
      <x:c r="AF119" s="14" t="n">
        <x:v>0</x:v>
      </x:c>
      <x:c r="AG119" s="14" t="str">
        <x:v>—</x:v>
      </x:c>
      <x:c r="AH119" s="14" t="n">
        <x:v>0</x:v>
      </x:c>
      <x:c r="AI119" s="14" t="n">
        <x:v>0</x:v>
      </x:c>
      <x:c r="AJ119" s="18" t="n">
        <x:v>0</x:v>
      </x:c>
      <x:c r="AK119" s="14" t="str"/>
      <x:c r="AL119" s="19" t="str"/>
      <x:c r="AM119" s="19" t="str"/>
      <x:c r="AN119" s="15" t="str"/>
      <x:c r="AO119" s="15" t="str">
        <x:v>official_source_reverified</x:v>
      </x:c>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20" t="str"/>
      <x:c r="AE120" s="14" t="str"/>
      <x:c r="AF120" s="14" t="n">
        <x:v>0</x:v>
      </x:c>
      <x:c r="AG120" s="14" t="str">
        <x:v>—</x:v>
      </x:c>
      <x:c r="AH120" s="14" t="n">
        <x:v>0</x:v>
      </x:c>
      <x:c r="AI120" s="14" t="n">
        <x:v>0</x:v>
      </x:c>
      <x:c r="AJ120" s="18" t="n">
        <x:v>0</x:v>
      </x:c>
      <x:c r="AK120" s="14" t="str"/>
      <x:c r="AL120" s="19" t="str"/>
      <x:c r="AM120" s="19" t="str"/>
      <x:c r="AN120" s="15" t="str"/>
      <x:c r="AO120" s="15" t="str">
        <x:v>official_source_reverified</x:v>
      </x:c>
    </x:row>
    <x:row r="121">
      <x:c r="A121" s="14" t="str">
        <x:v>AUG-038</x:v>
      </x:c>
      <x:c r="B121" s="14" t="str">
        <x:v>Перевірено 51 — 24.08</x:v>
      </x:c>
      <x:c r="C121" s="14" t="str">
        <x:v>СПЗ-МОНТАЖ</x:v>
      </x:c>
      <x:c r="D121" s="14" t="str">
        <x:v>Пожежні системи</x:v>
      </x:c>
      <x:c r="E121" s="14" t="str">
        <x:v>Expansion discovery</x:v>
      </x:c>
      <x:c r="F121" s="17" t="str">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20" t="str"/>
      <x:c r="AE121" s="14" t="str"/>
      <x:c r="AF121" s="14" t="n">
        <x:v>0</x:v>
      </x:c>
      <x:c r="AG121" s="14" t="str">
        <x:v>—</x:v>
      </x:c>
      <x:c r="AH121" s="14" t="n">
        <x:v>0</x:v>
      </x:c>
      <x:c r="AI121" s="14" t="n">
        <x:v>0</x:v>
      </x:c>
      <x:c r="AJ121" s="18" t="n">
        <x:v>0</x:v>
      </x:c>
      <x:c r="AK121" s="14" t="str"/>
      <x:c r="AL121" s="19" t="str"/>
      <x:c r="AM121" s="19" t="str"/>
      <x:c r="AN121" s="15" t="str"/>
      <x:c r="AO121" s="15" t="str">
        <x:v>official_content_reverified_via_search_index</x:v>
      </x:c>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20" t="str"/>
      <x:c r="AE122" s="14" t="str"/>
      <x:c r="AF122" s="14" t="n">
        <x:v>0</x:v>
      </x:c>
      <x:c r="AG122" s="14" t="str">
        <x:v>—</x:v>
      </x:c>
      <x:c r="AH122" s="14" t="n">
        <x:v>0</x:v>
      </x:c>
      <x:c r="AI122" s="14" t="n">
        <x:v>0</x:v>
      </x:c>
      <x:c r="AJ122" s="18" t="n">
        <x:v>0</x:v>
      </x:c>
      <x:c r="AK122" s="14" t="str"/>
      <x:c r="AL122" s="19" t="str"/>
      <x:c r="AM122" s="19" t="str"/>
      <x:c r="AN122" s="15" t="str"/>
      <x:c r="AO122" s="15" t="str">
        <x:v>official_source_reverified</x:v>
      </x:c>
    </x:row>
    <x:row r="123">
      <x:c r="A123" s="14" t="str">
        <x:v>AUG-018</x:v>
      </x:c>
      <x:c r="B123" s="14" t="str">
        <x:v>Перевірено 51 — 24.08</x:v>
      </x:c>
      <x:c r="C123" s="14" t="str">
        <x:v>Страж</x:v>
      </x:c>
      <x:c r="D123" s="14" t="str">
        <x:v>Пожежні системи</x:v>
      </x:c>
      <x:c r="E123" s="14" t="str">
        <x:v>Expansion discovery</x:v>
      </x:c>
      <x:c r="F123" s="17" t="str">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20" t="str"/>
      <x:c r="AE123" s="14" t="str"/>
      <x:c r="AF123" s="14" t="n">
        <x:v>0</x:v>
      </x:c>
      <x:c r="AG123" s="14" t="str">
        <x:v>—</x:v>
      </x:c>
      <x:c r="AH123" s="14" t="n">
        <x:v>0</x:v>
      </x:c>
      <x:c r="AI123" s="14" t="n">
        <x:v>0</x:v>
      </x:c>
      <x:c r="AJ123" s="18" t="n">
        <x:v>0</x:v>
      </x:c>
      <x:c r="AK123" s="14" t="str"/>
      <x:c r="AL123" s="19" t="str"/>
      <x:c r="AM123" s="19" t="str"/>
      <x:c r="AN123" s="15" t="str"/>
      <x:c r="AO123" s="15" t="str">
        <x:v>official_source_reverified</x:v>
      </x:c>
    </x:row>
    <x:row r="124">
      <x:c r="A124" s="14" t="str">
        <x:v>AUG-016</x:v>
      </x:c>
      <x:c r="B124" s="14" t="str">
        <x:v>Перевірено 51 — 24.08</x:v>
      </x:c>
      <x:c r="C124" s="14" t="str">
        <x:v>Fire Security</x:v>
      </x:c>
      <x:c r="D124" s="14" t="str">
        <x:v>Пожежні системи</x:v>
      </x:c>
      <x:c r="E124" s="14" t="str">
        <x:v>Expansion discovery</x:v>
      </x:c>
      <x:c r="F124" s="17" t="str">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20" t="str"/>
      <x:c r="AE124" s="14" t="str"/>
      <x:c r="AF124" s="14" t="n">
        <x:v>0</x:v>
      </x:c>
      <x:c r="AG124" s="14" t="str">
        <x:v>—</x:v>
      </x:c>
      <x:c r="AH124" s="14" t="n">
        <x:v>0</x:v>
      </x:c>
      <x:c r="AI124" s="14" t="n">
        <x:v>0</x:v>
      </x:c>
      <x:c r="AJ124" s="18" t="n">
        <x:v>0</x:v>
      </x:c>
      <x:c r="AK124" s="14" t="str"/>
      <x:c r="AL124" s="19" t="str"/>
      <x:c r="AM124" s="19" t="str"/>
      <x:c r="AN124" s="15" t="str"/>
      <x:c r="AO124" s="15" t="str">
        <x:v>official_source_reverified</x:v>
      </x:c>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20" t="str"/>
      <x:c r="AE125" s="14" t="str"/>
      <x:c r="AF125" s="14" t="n">
        <x:v>0</x:v>
      </x:c>
      <x:c r="AG125" s="14" t="str">
        <x:v>—</x:v>
      </x:c>
      <x:c r="AH125" s="14" t="n">
        <x:v>0</x:v>
      </x:c>
      <x:c r="AI125" s="14" t="n">
        <x:v>0</x:v>
      </x:c>
      <x:c r="AJ125" s="18" t="n">
        <x:v>0</x:v>
      </x:c>
      <x:c r="AK125" s="14" t="str"/>
      <x:c r="AL125" s="19" t="str"/>
      <x:c r="AM125" s="19" t="str"/>
      <x:c r="AN125" s="15" t="str"/>
      <x:c r="AO125" s="15" t="str">
        <x:v>official_content_reverified_via_search_index</x:v>
      </x:c>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20" t="str"/>
      <x:c r="AE126" s="14" t="str"/>
      <x:c r="AF126" s="14" t="n">
        <x:v>0</x:v>
      </x:c>
      <x:c r="AG126" s="14" t="str">
        <x:v>—</x:v>
      </x:c>
      <x:c r="AH126" s="14" t="n">
        <x:v>0</x:v>
      </x:c>
      <x:c r="AI126" s="14" t="n">
        <x:v>0</x:v>
      </x:c>
      <x:c r="AJ126" s="18" t="n">
        <x:v>0</x:v>
      </x:c>
      <x:c r="AK126" s="14" t="str"/>
      <x:c r="AL126" s="19" t="str"/>
      <x:c r="AM126" s="19" t="str"/>
      <x:c r="AN126" s="15" t="str"/>
      <x:c r="AO126" s="15" t="str">
        <x:v>official_source_reverified</x:v>
      </x:c>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20" t="str"/>
      <x:c r="AE127" s="14" t="str"/>
      <x:c r="AF127" s="14" t="n">
        <x:v>0</x:v>
      </x:c>
      <x:c r="AG127" s="14" t="str">
        <x:v>—</x:v>
      </x:c>
      <x:c r="AH127" s="14" t="n">
        <x:v>0</x:v>
      </x:c>
      <x:c r="AI127" s="14" t="n">
        <x:v>0</x:v>
      </x:c>
      <x:c r="AJ127" s="18" t="n">
        <x:v>0</x:v>
      </x:c>
      <x:c r="AK127" s="14" t="str"/>
      <x:c r="AL127" s="19" t="str"/>
      <x:c r="AM127" s="19" t="str"/>
      <x:c r="AN127" s="15" t="str"/>
      <x:c r="AO127" s="15" t="str">
        <x:v>official_source_reverified</x:v>
      </x:c>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20" t="str"/>
      <x:c r="AE128" s="14" t="str"/>
      <x:c r="AF128" s="14" t="n">
        <x:v>0</x:v>
      </x:c>
      <x:c r="AG128" s="14" t="str">
        <x:v>—</x:v>
      </x:c>
      <x:c r="AH128" s="14" t="n">
        <x:v>0</x:v>
      </x:c>
      <x:c r="AI128" s="14" t="n">
        <x:v>0</x:v>
      </x:c>
      <x:c r="AJ128" s="18" t="n">
        <x:v>0</x:v>
      </x:c>
      <x:c r="AK128" s="14" t="str"/>
      <x:c r="AL128" s="19" t="str"/>
      <x:c r="AM128" s="19" t="str"/>
      <x:c r="AN128" s="15" t="str"/>
      <x:c r="AO128" s="15" t="str">
        <x:v>official_source_reverified</x:v>
      </x:c>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20" t="str"/>
      <x:c r="AE129" s="14" t="str"/>
      <x:c r="AF129" s="14" t="n">
        <x:v>0</x:v>
      </x:c>
      <x:c r="AG129" s="14" t="str">
        <x:v>—</x:v>
      </x:c>
      <x:c r="AH129" s="14" t="n">
        <x:v>0</x:v>
      </x:c>
      <x:c r="AI129" s="14" t="n">
        <x:v>0</x:v>
      </x:c>
      <x:c r="AJ129" s="18" t="n">
        <x:v>0</x:v>
      </x:c>
      <x:c r="AK129" s="14" t="str"/>
      <x:c r="AL129" s="19" t="str"/>
      <x:c r="AM129" s="19" t="str"/>
      <x:c r="AN129" s="15" t="str"/>
      <x:c r="AO129" s="15" t="str">
        <x:v>official_source_reverified</x:v>
      </x:c>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20" t="str"/>
      <x:c r="AE130" s="14" t="str"/>
      <x:c r="AF130" s="14" t="n">
        <x:v>0</x:v>
      </x:c>
      <x:c r="AG130" s="14" t="str">
        <x:v>—</x:v>
      </x:c>
      <x:c r="AH130" s="14" t="n">
        <x:v>0</x:v>
      </x:c>
      <x:c r="AI130" s="14" t="n">
        <x:v>0</x:v>
      </x:c>
      <x:c r="AJ130" s="18" t="n">
        <x:v>0</x:v>
      </x:c>
      <x:c r="AK130" s="14" t="str"/>
      <x:c r="AL130" s="19" t="str"/>
      <x:c r="AM130" s="19" t="str"/>
      <x:c r="AN130" s="15" t="str"/>
      <x:c r="AO130" s="15" t="str">
        <x:v>official_source_reverified</x:v>
      </x:c>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20" t="str"/>
      <x:c r="AE131" s="14" t="str"/>
      <x:c r="AF131" s="14" t="n">
        <x:v>0</x:v>
      </x:c>
      <x:c r="AG131" s="14" t="str">
        <x:v>—</x:v>
      </x:c>
      <x:c r="AH131" s="14" t="n">
        <x:v>0</x:v>
      </x:c>
      <x:c r="AI131" s="14" t="n">
        <x:v>0</x:v>
      </x:c>
      <x:c r="AJ131" s="18" t="n">
        <x:v>0</x:v>
      </x:c>
      <x:c r="AK131" s="14" t="str"/>
      <x:c r="AL131" s="19" t="str"/>
      <x:c r="AM131" s="19" t="str"/>
      <x:c r="AN131" s="15" t="str"/>
      <x:c r="AO131" s="15" t="str">
        <x:v>official_source_reverified</x:v>
      </x:c>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20" t="str"/>
      <x:c r="AE132" s="14" t="str"/>
      <x:c r="AF132" s="14" t="n">
        <x:v>0</x:v>
      </x:c>
      <x:c r="AG132" s="14" t="str">
        <x:v>—</x:v>
      </x:c>
      <x:c r="AH132" s="14" t="n">
        <x:v>0</x:v>
      </x:c>
      <x:c r="AI132" s="14" t="n">
        <x:v>0</x:v>
      </x:c>
      <x:c r="AJ132" s="18" t="n">
        <x:v>0</x:v>
      </x:c>
      <x:c r="AK132" s="14" t="str"/>
      <x:c r="AL132" s="19" t="str"/>
      <x:c r="AM132" s="19" t="str"/>
      <x:c r="AN132" s="15" t="str"/>
      <x:c r="AO132" s="15" t="str">
        <x:v>official_source_reverified</x:v>
      </x:c>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20" t="str"/>
      <x:c r="AE133" s="14" t="str"/>
      <x:c r="AF133" s="14" t="n">
        <x:v>0</x:v>
      </x:c>
      <x:c r="AG133" s="14" t="str">
        <x:v>—</x:v>
      </x:c>
      <x:c r="AH133" s="14" t="n">
        <x:v>0</x:v>
      </x:c>
      <x:c r="AI133" s="14" t="n">
        <x:v>0</x:v>
      </x:c>
      <x:c r="AJ133" s="18" t="n">
        <x:v>0</x:v>
      </x:c>
      <x:c r="AK133" s="14" t="str"/>
      <x:c r="AL133" s="19" t="str"/>
      <x:c r="AM133" s="19" t="str"/>
      <x:c r="AN133" s="15" t="str"/>
      <x:c r="AO133" s="15" t="str">
        <x:v>official_source_reverified</x:v>
      </x:c>
    </x:row>
    <x:row r="134">
      <x:c r="A134" s="14" t="str">
        <x:v>AUG-001</x:v>
      </x:c>
      <x:c r="B134" s="14" t="str">
        <x:v>Перевірено 51 — 24.08</x:v>
      </x:c>
      <x:c r="C134" s="14" t="str">
        <x:v>GES GROUP</x:v>
      </x:c>
      <x:c r="D134" s="14" t="str">
        <x:v>Зовнішні мережі</x:v>
      </x:c>
      <x:c r="E134" s="14" t="str">
        <x:v>Later / requirements</x:v>
      </x:c>
      <x:c r="F134" s="17" t="str">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20" t="str"/>
      <x:c r="AE134" s="14" t="str"/>
      <x:c r="AF134" s="14" t="n">
        <x:v>0</x:v>
      </x:c>
      <x:c r="AG134" s="14" t="str">
        <x:v>—</x:v>
      </x:c>
      <x:c r="AH134" s="14" t="n">
        <x:v>0</x:v>
      </x:c>
      <x:c r="AI134" s="14" t="n">
        <x:v>0</x:v>
      </x:c>
      <x:c r="AJ134" s="18" t="n">
        <x:v>0</x:v>
      </x:c>
      <x:c r="AK134" s="14" t="str"/>
      <x:c r="AL134" s="19" t="str"/>
      <x:c r="AM134" s="19" t="str"/>
      <x:c r="AN134" s="15" t="str"/>
      <x:c r="AO134" s="15" t="str">
        <x:v>official_source_reverified</x:v>
      </x:c>
    </x:row>
    <x:row r="135">
      <x:c r="A135" s="14" t="str">
        <x:v>V3-042</x:v>
      </x:c>
      <x:c r="B135" s="14" t="str">
        <x:v>Досліджено 28.07</x:v>
      </x:c>
      <x:c r="C135" s="14" t="str">
        <x:v>ТОВ «СБК САРГОН»</x:v>
      </x:c>
      <x:c r="D135" s="14" t="str">
        <x:v>Зовнішні мережі</x:v>
      </x:c>
      <x:c r="E135" s="14" t="str">
        <x:v>Later / requirements</x:v>
      </x:c>
      <x:c r="F135" s="17" t="str">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Повторне звернення з новим тендерним сигналом UA-2026-05-28-002111-a; попросити 1 пакет здачі</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20" t="str"/>
      <x:c r="AE135" s="14" t="str"/>
      <x:c r="AF135" s="14" t="n">
        <x:v>72</x:v>
      </x:c>
      <x:c r="AG135" s="14" t="str">
        <x:v>I2</x:v>
      </x:c>
      <x:c r="AH135" s="14" t="n">
        <x:v>2</x:v>
      </x:c>
      <x:c r="AI135" s="14" t="n">
        <x:v>2</x:v>
      </x:c>
      <x:c r="AJ135" s="18" t="n">
        <x:v>228263190.39</x:v>
      </x:c>
      <x:c r="AK135" s="14" t="str">
        <x:v>https://prozorro.gov.ua/tender/UA-2026-05-28-002111-a</x:v>
      </x:c>
      <x:c r="AL135" s="19" t="n">
        <x:v>46170.30998877315</x:v>
      </x:c>
      <x:c r="AM135" s="19" t="n">
        <x:v>46752</x:v>
      </x:c>
      <x:c r="AN135" s="15" t="str">
        <x:v>Підстанції / силові мережі</x:v>
      </x:c>
      <x:c r="AO135" s="15" t="str">
        <x:v>historical_research_2026-07-28</x:v>
      </x:c>
    </x:row>
    <x:row r="136">
      <x:c r="A136" s="14" t="str">
        <x:v>V3-044</x:v>
      </x:c>
      <x:c r="B136" s="14" t="str">
        <x:v>Досліджено 28.07</x:v>
      </x:c>
      <x:c r="C136" s="14" t="str">
        <x:v>ПроектАкваБуд</x:v>
      </x:c>
      <x:c r="D136" s="14" t="str">
        <x:v>Зовнішні мережі</x:v>
      </x:c>
      <x:c r="E136" s="14" t="str">
        <x:v>Later / requirements</x:v>
      </x:c>
      <x:c r="F136" s="17" t="str">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20" t="str"/>
      <x:c r="AE136" s="14" t="str"/>
      <x:c r="AF136" s="14" t="n">
        <x:v>0</x:v>
      </x:c>
      <x:c r="AG136" s="14" t="str">
        <x:v>—</x:v>
      </x:c>
      <x:c r="AH136" s="14" t="n">
        <x:v>0</x:v>
      </x:c>
      <x:c r="AI136" s="14" t="n">
        <x:v>0</x:v>
      </x:c>
      <x:c r="AJ136" s="18" t="n">
        <x:v>0</x:v>
      </x:c>
      <x:c r="AK136" s="14" t="str"/>
      <x:c r="AL136" s="19" t="str"/>
      <x:c r="AM136" s="19" t="str"/>
      <x:c r="AN136" s="15" t="str"/>
      <x:c r="AO136" s="15" t="str">
        <x:v>historical_research_2026-07-28</x:v>
      </x:c>
    </x:row>
    <x:row r="137">
      <x:c r="A137" s="14" t="str">
        <x:v>V3-045</x:v>
      </x:c>
      <x:c r="B137" s="14" t="str">
        <x:v>Досліджено 28.07</x:v>
      </x:c>
      <x:c r="C137" s="14" t="str">
        <x:v>Project Water &amp; Canalization</x:v>
      </x:c>
      <x:c r="D137" s="14" t="str">
        <x:v>Зовнішні мережі</x:v>
      </x:c>
      <x:c r="E137" s="14" t="str">
        <x:v>Later / requirements</x:v>
      </x:c>
      <x:c r="F137" s="17" t="str">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20" t="str"/>
      <x:c r="AE137" s="14" t="str"/>
      <x:c r="AF137" s="14" t="n">
        <x:v>0</x:v>
      </x:c>
      <x:c r="AG137" s="14" t="str">
        <x:v>—</x:v>
      </x:c>
      <x:c r="AH137" s="14" t="n">
        <x:v>0</x:v>
      </x:c>
      <x:c r="AI137" s="14" t="n">
        <x:v>0</x:v>
      </x:c>
      <x:c r="AJ137" s="18" t="n">
        <x:v>0</x:v>
      </x:c>
      <x:c r="AK137" s="14" t="str"/>
      <x:c r="AL137" s="19" t="str"/>
      <x:c r="AM137" s="19" t="str"/>
      <x:c r="AN137" s="15" t="str"/>
      <x:c r="AO137" s="15" t="str">
        <x:v>historical_research_2026-07-28</x:v>
      </x:c>
    </x:row>
    <x:row r="138">
      <x:c r="A138" s="14" t="str">
        <x:v>V3-047</x:v>
      </x:c>
      <x:c r="B138" s="14" t="str">
        <x:v>Досліджено 28.07</x:v>
      </x:c>
      <x:c r="C138" s="14" t="str">
        <x:v>VIK</x:v>
      </x:c>
      <x:c r="D138" s="14" t="str">
        <x:v>Зовнішні мережі</x:v>
      </x:c>
      <x:c r="E138" s="14" t="str">
        <x:v>Later / requirements</x:v>
      </x:c>
      <x:c r="F138" s="17" t="str">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20" t="str"/>
      <x:c r="AE138" s="14" t="str"/>
      <x:c r="AF138" s="14" t="n">
        <x:v>0</x:v>
      </x:c>
      <x:c r="AG138" s="14" t="str">
        <x:v>—</x:v>
      </x:c>
      <x:c r="AH138" s="14" t="n">
        <x:v>0</x:v>
      </x:c>
      <x:c r="AI138" s="14" t="n">
        <x:v>0</x:v>
      </x:c>
      <x:c r="AJ138" s="18" t="n">
        <x:v>0</x:v>
      </x:c>
      <x:c r="AK138" s="14" t="str"/>
      <x:c r="AL138" s="19" t="str"/>
      <x:c r="AM138" s="19" t="str"/>
      <x:c r="AN138" s="15" t="str"/>
      <x:c r="AO138" s="15" t="str">
        <x:v>historical_research_2026-07-28</x:v>
      </x:c>
    </x:row>
    <x:row r="139">
      <x:c r="A139" s="14" t="str">
        <x:v>V3-043</x:v>
      </x:c>
      <x:c r="B139" s="14" t="str">
        <x:v>Досліджено 28.07</x:v>
      </x:c>
      <x:c r="C139" s="14" t="str">
        <x:v>ТОВ «БМК «МІСТО ГРУП»</x:v>
      </x:c>
      <x:c r="D139" s="14" t="str">
        <x:v>Зовнішні мережі</x:v>
      </x:c>
      <x:c r="E139" s="14" t="str">
        <x:v>Later / requirements</x:v>
      </x:c>
      <x:c r="F139" s="17" t="str">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20" t="str"/>
      <x:c r="AE139" s="14" t="str"/>
      <x:c r="AF139" s="14" t="n">
        <x:v>0</x:v>
      </x:c>
      <x:c r="AG139" s="14" t="str">
        <x:v>—</x:v>
      </x:c>
      <x:c r="AH139" s="14" t="n">
        <x:v>0</x:v>
      </x:c>
      <x:c r="AI139" s="14" t="n">
        <x:v>0</x:v>
      </x:c>
      <x:c r="AJ139" s="18" t="n">
        <x:v>0</x:v>
      </x:c>
      <x:c r="AK139" s="14" t="str"/>
      <x:c r="AL139" s="19" t="str"/>
      <x:c r="AM139" s="19" t="str"/>
      <x:c r="AN139" s="15" t="str"/>
      <x:c r="AO139" s="15" t="str">
        <x:v>historical_research_2026-07-28</x:v>
      </x:c>
    </x:row>
    <x:row r="140">
      <x:c r="A140" s="14" t="str">
        <x:v>AUG-006</x:v>
      </x:c>
      <x:c r="B140" s="14" t="str">
        <x:v>Перевірено 51 — 24.08</x:v>
      </x:c>
      <x:c r="C140" s="14" t="str">
        <x:v>BVKS</x:v>
      </x:c>
      <x:c r="D140" s="14" t="str">
        <x:v>Зовнішні мережі</x:v>
      </x:c>
      <x:c r="E140" s="14" t="str">
        <x:v>Later / requirements</x:v>
      </x:c>
      <x:c r="F140" s="17" t="str">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20" t="str"/>
      <x:c r="AE140" s="14" t="str"/>
      <x:c r="AF140" s="14" t="n">
        <x:v>0</x:v>
      </x:c>
      <x:c r="AG140" s="14" t="str">
        <x:v>—</x:v>
      </x:c>
      <x:c r="AH140" s="14" t="n">
        <x:v>0</x:v>
      </x:c>
      <x:c r="AI140" s="14" t="n">
        <x:v>0</x:v>
      </x:c>
      <x:c r="AJ140" s="18" t="n">
        <x:v>0</x:v>
      </x:c>
      <x:c r="AK140" s="14" t="str"/>
      <x:c r="AL140" s="19" t="str"/>
      <x:c r="AM140" s="19" t="str"/>
      <x:c r="AN140" s="15" t="str"/>
      <x:c r="AO140" s="15" t="str">
        <x:v>official_source_reverified</x:v>
      </x:c>
    </x:row>
    <x:row r="141">
      <x:c r="A141" s="14" t="str">
        <x:v>V3-046</x:v>
      </x:c>
      <x:c r="B141" s="14" t="str">
        <x:v>Досліджено 28.07</x:v>
      </x:c>
      <x:c r="C141" s="14" t="str">
        <x:v>MIDA Energy</x:v>
      </x:c>
      <x:c r="D141" s="14" t="str">
        <x:v>Зовнішні мережі</x:v>
      </x:c>
      <x:c r="E141" s="14" t="str">
        <x:v>Later / requirements</x:v>
      </x:c>
      <x:c r="F141" s="17" t="str">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20" t="str"/>
      <x:c r="AE141" s="14" t="str"/>
      <x:c r="AF141" s="14" t="n">
        <x:v>0</x:v>
      </x:c>
      <x:c r="AG141" s="14" t="str">
        <x:v>—</x:v>
      </x:c>
      <x:c r="AH141" s="14" t="n">
        <x:v>0</x:v>
      </x:c>
      <x:c r="AI141" s="14" t="n">
        <x:v>0</x:v>
      </x:c>
      <x:c r="AJ141" s="18" t="n">
        <x:v>0</x:v>
      </x:c>
      <x:c r="AK141" s="14" t="str"/>
      <x:c r="AL141" s="19" t="str"/>
      <x:c r="AM141" s="19" t="str"/>
      <x:c r="AN141" s="15" t="str"/>
      <x:c r="AO141" s="15" t="str">
        <x:v>historical_research_2026-07-28</x:v>
      </x:c>
    </x:row>
    <x:row r="142">
      <x:c r="A142" s="14" t="str">
        <x:v>V2-015</x:v>
      </x:c>
      <x:c r="B142" s="14" t="str">
        <x:v>Legacy 28</x:v>
      </x:c>
      <x:c r="C142" s="14" t="str">
        <x:v>Блок Майстер Україна</x:v>
      </x:c>
      <x:c r="D142" s="14" t="str">
        <x:v>Сонячна енергетика</x:v>
      </x:c>
      <x:c r="E142" s="14" t="str">
        <x:v>Requalify</x:v>
      </x:c>
      <x:c r="F142" s="17" t="str">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20" t="str"/>
      <x:c r="AE142" s="14" t="str"/>
      <x:c r="AF142" s="14" t="n">
        <x:v>0</x:v>
      </x:c>
      <x:c r="AG142" s="14" t="str">
        <x:v>—</x:v>
      </x:c>
      <x:c r="AH142" s="14" t="n">
        <x:v>0</x:v>
      </x:c>
      <x:c r="AI142" s="14" t="n">
        <x:v>0</x:v>
      </x:c>
      <x:c r="AJ142" s="18" t="n">
        <x:v>0</x:v>
      </x:c>
      <x:c r="AK142" s="14" t="str"/>
      <x:c r="AL142" s="19" t="str"/>
      <x:c r="AM142" s="19" t="str"/>
      <x:c r="AN142" s="15" t="str"/>
      <x:c r="AO142" s="15" t="str">
        <x:v>needs_full_reverification</x:v>
      </x:c>
    </x:row>
    <x:row r="143">
      <x:c r="A143" s="14" t="str">
        <x:v>V2-004</x:v>
      </x:c>
      <x:c r="B143" s="14" t="str">
        <x:v>Legacy 28</x:v>
      </x:c>
      <x:c r="C143" s="14" t="str">
        <x:v>ІБК «Енергокапітал»</x:v>
      </x:c>
      <x:c r="D143" s="14" t="str">
        <x:v>Електромонтаж</x:v>
      </x:c>
      <x:c r="E143" s="14" t="str">
        <x:v>Requalify</x:v>
      </x:c>
      <x:c r="F143" s="17" t="str">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20" t="str"/>
      <x:c r="AE143" s="14" t="str"/>
      <x:c r="AF143" s="14" t="n">
        <x:v>0</x:v>
      </x:c>
      <x:c r="AG143" s="14" t="str">
        <x:v>—</x:v>
      </x:c>
      <x:c r="AH143" s="14" t="n">
        <x:v>0</x:v>
      </x:c>
      <x:c r="AI143" s="14" t="n">
        <x:v>0</x:v>
      </x:c>
      <x:c r="AJ143" s="18" t="n">
        <x:v>0</x:v>
      </x:c>
      <x:c r="AK143" s="14" t="str"/>
      <x:c r="AL143" s="19" t="str"/>
      <x:c r="AM143" s="19" t="str"/>
      <x:c r="AN143" s="15" t="str"/>
      <x:c r="AO143" s="15" t="str">
        <x:v>needs_full_reverification</x:v>
      </x:c>
    </x:row>
    <x:row r="144">
      <x:c r="A144" s="14" t="str">
        <x:v>V2-016</x:v>
      </x:c>
      <x:c r="B144" s="14" t="str">
        <x:v>Legacy 28</x:v>
      </x:c>
      <x:c r="C144" s="14" t="str">
        <x:v>Компанія «РЕЙДЕН»</x:v>
      </x:c>
      <x:c r="D144" s="14" t="str">
        <x:v>Електромонтаж</x:v>
      </x:c>
      <x:c r="E144" s="14" t="str">
        <x:v>Requalify</x:v>
      </x:c>
      <x:c r="F144" s="17" t="str">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20" t="str"/>
      <x:c r="AE144" s="14" t="str"/>
      <x:c r="AF144" s="14" t="n">
        <x:v>0</x:v>
      </x:c>
      <x:c r="AG144" s="14" t="str">
        <x:v>—</x:v>
      </x:c>
      <x:c r="AH144" s="14" t="n">
        <x:v>0</x:v>
      </x:c>
      <x:c r="AI144" s="14" t="n">
        <x:v>0</x:v>
      </x:c>
      <x:c r="AJ144" s="18" t="n">
        <x:v>0</x:v>
      </x:c>
      <x:c r="AK144" s="14" t="str"/>
      <x:c r="AL144" s="19" t="str"/>
      <x:c r="AM144" s="19" t="str"/>
      <x:c r="AN144" s="15" t="str"/>
      <x:c r="AO144" s="15" t="str">
        <x:v>needs_full_reverification</x:v>
      </x:c>
    </x:row>
    <x:row r="145">
      <x:c r="A145" s="14" t="str">
        <x:v>V2-002</x:v>
      </x:c>
      <x:c r="B145" s="14" t="str">
        <x:v>Legacy 28</x:v>
      </x:c>
      <x:c r="C145" s="14" t="str">
        <x:v>НВП «Інтеренерго»</x:v>
      </x:c>
      <x:c r="D145" s="14" t="str">
        <x:v>Сервіс / експлуатація</x:v>
      </x:c>
      <x:c r="E145" s="14" t="str">
        <x:v>Requalify</x:v>
      </x:c>
      <x:c r="F145" s="17" t="str">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20" t="str"/>
      <x:c r="AE145" s="14" t="str"/>
      <x:c r="AF145" s="14" t="n">
        <x:v>0</x:v>
      </x:c>
      <x:c r="AG145" s="14" t="str">
        <x:v>—</x:v>
      </x:c>
      <x:c r="AH145" s="14" t="n">
        <x:v>0</x:v>
      </x:c>
      <x:c r="AI145" s="14" t="n">
        <x:v>0</x:v>
      </x:c>
      <x:c r="AJ145" s="18" t="n">
        <x:v>0</x:v>
      </x:c>
      <x:c r="AK145" s="14" t="str"/>
      <x:c r="AL145" s="19" t="str"/>
      <x:c r="AM145" s="19" t="str"/>
      <x:c r="AN145" s="15" t="str"/>
      <x:c r="AO145" s="15" t="str">
        <x:v>needs_full_reverification</x:v>
      </x:c>
    </x:row>
    <x:row r="146">
      <x:c r="A146" s="14" t="str">
        <x:v>V2-008</x:v>
      </x:c>
      <x:c r="B146" s="14" t="str">
        <x:v>Legacy 28</x:v>
      </x:c>
      <x:c r="C146" s="14" t="str">
        <x:v>Правильне Електроживлення</x:v>
      </x:c>
      <x:c r="D146" s="14" t="str">
        <x:v>Сонячна енергетика</x:v>
      </x:c>
      <x:c r="E146" s="14" t="str">
        <x:v>Requalify</x:v>
      </x:c>
      <x:c r="F146" s="17" t="str">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20" t="str"/>
      <x:c r="AE146" s="14" t="str"/>
      <x:c r="AF146" s="14" t="n">
        <x:v>0</x:v>
      </x:c>
      <x:c r="AG146" s="14" t="str">
        <x:v>—</x:v>
      </x:c>
      <x:c r="AH146" s="14" t="n">
        <x:v>0</x:v>
      </x:c>
      <x:c r="AI146" s="14" t="n">
        <x:v>0</x:v>
      </x:c>
      <x:c r="AJ146" s="18" t="n">
        <x:v>0</x:v>
      </x:c>
      <x:c r="AK146" s="14" t="str"/>
      <x:c r="AL146" s="19" t="str"/>
      <x:c r="AM146" s="19" t="str"/>
      <x:c r="AN146" s="15" t="str"/>
      <x:c r="AO146" s="15" t="str">
        <x:v>needs_full_reverification</x:v>
      </x:c>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Повністю перевірити сайт і поточний проєкт перед контактом</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20" t="str"/>
      <x:c r="AE147" s="14" t="str"/>
      <x:c r="AF147" s="14" t="n">
        <x:v>0</x:v>
      </x:c>
      <x:c r="AG147" s="14" t="str">
        <x:v>—</x:v>
      </x:c>
      <x:c r="AH147" s="14" t="n">
        <x:v>0</x:v>
      </x:c>
      <x:c r="AI147" s="14" t="n">
        <x:v>0</x:v>
      </x:c>
      <x:c r="AJ147" s="18" t="n">
        <x:v>0</x:v>
      </x:c>
      <x:c r="AK147" s="14" t="str"/>
      <x:c r="AL147" s="19" t="str"/>
      <x:c r="AM147" s="19" t="str"/>
      <x:c r="AN147" s="15" t="str"/>
      <x:c r="AO147" s="15" t="str">
        <x:v>needs_full_reverification</x:v>
      </x:c>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20" t="str"/>
      <x:c r="AE148" s="14" t="str"/>
      <x:c r="AF148" s="14" t="n">
        <x:v>0</x:v>
      </x:c>
      <x:c r="AG148" s="14" t="str">
        <x:v>—</x:v>
      </x:c>
      <x:c r="AH148" s="14" t="n">
        <x:v>0</x:v>
      </x:c>
      <x:c r="AI148" s="14" t="n">
        <x:v>0</x:v>
      </x:c>
      <x:c r="AJ148" s="18" t="n">
        <x:v>0</x:v>
      </x:c>
      <x:c r="AK148" s="14" t="str"/>
      <x:c r="AL148" s="19" t="str"/>
      <x:c r="AM148" s="19" t="str"/>
      <x:c r="AN148" s="15" t="str"/>
      <x:c r="AO148" s="15" t="str">
        <x:v>needs_full_reverification</x:v>
      </x:c>
    </x:row>
    <x:row r="149">
      <x:c r="A149" s="14" t="str">
        <x:v>V2-012</x:v>
      </x:c>
      <x:c r="B149" s="14" t="str">
        <x:v>Legacy 28</x:v>
      </x:c>
      <x:c r="C149" s="14" t="str">
        <x:v>Променергомонтаж</x:v>
      </x:c>
      <x:c r="D149" s="14" t="str">
        <x:v>Сонячна енергетика</x:v>
      </x:c>
      <x:c r="E149" s="14" t="str">
        <x:v>Requalify</x:v>
      </x:c>
      <x:c r="F149" s="17" t="str">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20" t="str"/>
      <x:c r="AE149" s="14" t="str"/>
      <x:c r="AF149" s="14" t="n">
        <x:v>0</x:v>
      </x:c>
      <x:c r="AG149" s="14" t="str">
        <x:v>—</x:v>
      </x:c>
      <x:c r="AH149" s="14" t="n">
        <x:v>0</x:v>
      </x:c>
      <x:c r="AI149" s="14" t="n">
        <x:v>0</x:v>
      </x:c>
      <x:c r="AJ149" s="18" t="n">
        <x:v>0</x:v>
      </x:c>
      <x:c r="AK149" s="14" t="str"/>
      <x:c r="AL149" s="19" t="str"/>
      <x:c r="AM149" s="19" t="str"/>
      <x:c r="AN149" s="15" t="str"/>
      <x:c r="AO149" s="15" t="str">
        <x:v>needs_full_reverification</x:v>
      </x:c>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20" t="str"/>
      <x:c r="AE150" s="14" t="str"/>
      <x:c r="AF150" s="14" t="n">
        <x:v>0</x:v>
      </x:c>
      <x:c r="AG150" s="14" t="str">
        <x:v>—</x:v>
      </x:c>
      <x:c r="AH150" s="14" t="n">
        <x:v>0</x:v>
      </x:c>
      <x:c r="AI150" s="14" t="n">
        <x:v>0</x:v>
      </x:c>
      <x:c r="AJ150" s="18" t="n">
        <x:v>0</x:v>
      </x:c>
      <x:c r="AK150" s="14" t="str"/>
      <x:c r="AL150" s="19" t="str"/>
      <x:c r="AM150" s="19" t="str"/>
      <x:c r="AN150" s="15" t="str"/>
      <x:c r="AO150" s="15" t="str">
        <x:v>needs_full_reverification</x:v>
      </x:c>
    </x:row>
    <x:row r="151">
      <x:c r="A151" s="14" t="str">
        <x:v>V2-022</x:v>
      </x:c>
      <x:c r="B151" s="14" t="str">
        <x:v>Legacy 28</x:v>
      </x:c>
      <x:c r="C151" s="14" t="str">
        <x:v>ТзОВ «Проектлінк»</x:v>
      </x:c>
      <x:c r="D151" s="14" t="str">
        <x:v>Електромонтаж</x:v>
      </x:c>
      <x:c r="E151" s="14" t="str">
        <x:v>Requalify</x:v>
      </x:c>
      <x:c r="F151" s="17" t="str">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20" t="str"/>
      <x:c r="AE151" s="14" t="str"/>
      <x:c r="AF151" s="14" t="n">
        <x:v>0</x:v>
      </x:c>
      <x:c r="AG151" s="14" t="str">
        <x:v>—</x:v>
      </x:c>
      <x:c r="AH151" s="14" t="n">
        <x:v>0</x:v>
      </x:c>
      <x:c r="AI151" s="14" t="n">
        <x:v>0</x:v>
      </x:c>
      <x:c r="AJ151" s="18" t="n">
        <x:v>0</x:v>
      </x:c>
      <x:c r="AK151" s="14" t="str"/>
      <x:c r="AL151" s="19" t="str"/>
      <x:c r="AM151" s="19" t="str"/>
      <x:c r="AN151" s="15" t="str"/>
      <x:c r="AO151" s="15" t="str">
        <x:v>needs_full_reverification</x:v>
      </x:c>
    </x:row>
    <x:row r="152">
      <x:c r="A152" s="14" t="str">
        <x:v>V2-011</x:v>
      </x:c>
      <x:c r="B152" s="14" t="str">
        <x:v>Legacy 28</x:v>
      </x:c>
      <x:c r="C152" s="14" t="str">
        <x:v>ТОВ «Авенстон»</x:v>
      </x:c>
      <x:c r="D152" s="14" t="str">
        <x:v>Сонячна енергетика</x:v>
      </x:c>
      <x:c r="E152" s="14" t="str">
        <x:v>Requalify</x:v>
      </x:c>
      <x:c r="F152" s="17" t="str">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20" t="str"/>
      <x:c r="AE152" s="14" t="str"/>
      <x:c r="AF152" s="14" t="n">
        <x:v>0</x:v>
      </x:c>
      <x:c r="AG152" s="14" t="str">
        <x:v>—</x:v>
      </x:c>
      <x:c r="AH152" s="14" t="n">
        <x:v>0</x:v>
      </x:c>
      <x:c r="AI152" s="14" t="n">
        <x:v>0</x:v>
      </x:c>
      <x:c r="AJ152" s="18" t="n">
        <x:v>0</x:v>
      </x:c>
      <x:c r="AK152" s="14" t="str"/>
      <x:c r="AL152" s="19" t="str"/>
      <x:c r="AM152" s="19" t="str"/>
      <x:c r="AN152" s="15" t="str"/>
      <x:c r="AO152" s="15" t="str">
        <x:v>needs_full_reverification</x:v>
      </x:c>
    </x:row>
    <x:row r="153">
      <x:c r="A153" s="14" t="str">
        <x:v>V2-024</x:v>
      </x:c>
      <x:c r="B153" s="14" t="str">
        <x:v>Legacy 28</x:v>
      </x:c>
      <x:c r="C153" s="14" t="str">
        <x:v>ТОВ «Агроремсервісприлад-М»</x:v>
      </x:c>
      <x:c r="D153" s="14" t="str">
        <x:v>Сервіс / експлуатація</x:v>
      </x:c>
      <x:c r="E153" s="14" t="str">
        <x:v>Requalify</x:v>
      </x:c>
      <x:c r="F153" s="17" t="str">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20" t="str"/>
      <x:c r="AE153" s="14" t="str"/>
      <x:c r="AF153" s="14" t="n">
        <x:v>0</x:v>
      </x:c>
      <x:c r="AG153" s="14" t="str">
        <x:v>—</x:v>
      </x:c>
      <x:c r="AH153" s="14" t="n">
        <x:v>0</x:v>
      </x:c>
      <x:c r="AI153" s="14" t="n">
        <x:v>0</x:v>
      </x:c>
      <x:c r="AJ153" s="18" t="n">
        <x:v>0</x:v>
      </x:c>
      <x:c r="AK153" s="14" t="str"/>
      <x:c r="AL153" s="19" t="str"/>
      <x:c r="AM153" s="19" t="str"/>
      <x:c r="AN153" s="15" t="str"/>
      <x:c r="AO153" s="15" t="str">
        <x:v>needs_full_reverification</x:v>
      </x:c>
    </x:row>
    <x:row r="154">
      <x:c r="A154" s="14" t="str">
        <x:v>V2-009</x:v>
      </x:c>
      <x:c r="B154" s="14" t="str">
        <x:v>Legacy 28</x:v>
      </x:c>
      <x:c r="C154" s="14" t="str">
        <x:v>ТОВ «Академ Інвест»</x:v>
      </x:c>
      <x:c r="D154" s="14" t="str">
        <x:v>Сонячна енергетика</x:v>
      </x:c>
      <x:c r="E154" s="14" t="str">
        <x:v>Requalify</x:v>
      </x:c>
      <x:c r="F154" s="17" t="str">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20" t="str"/>
      <x:c r="AE154" s="14" t="str"/>
      <x:c r="AF154" s="14" t="n">
        <x:v>0</x:v>
      </x:c>
      <x:c r="AG154" s="14" t="str">
        <x:v>—</x:v>
      </x:c>
      <x:c r="AH154" s="14" t="n">
        <x:v>0</x:v>
      </x:c>
      <x:c r="AI154" s="14" t="n">
        <x:v>0</x:v>
      </x:c>
      <x:c r="AJ154" s="18" t="n">
        <x:v>0</x:v>
      </x:c>
      <x:c r="AK154" s="14" t="str"/>
      <x:c r="AL154" s="19" t="str"/>
      <x:c r="AM154" s="19" t="str"/>
      <x:c r="AN154" s="15" t="str"/>
      <x:c r="AO154" s="15" t="str">
        <x:v>needs_full_reverification</x:v>
      </x:c>
    </x:row>
    <x:row r="155">
      <x:c r="A155" s="14" t="str">
        <x:v>V2-006</x:v>
      </x:c>
      <x:c r="B155" s="14" t="str">
        <x:v>Legacy 28</x:v>
      </x:c>
      <x:c r="C155" s="14" t="str">
        <x:v>ТОВ «ВКФ «Берком»</x:v>
      </x:c>
      <x:c r="D155" s="14" t="str">
        <x:v>HVAC / вентиляція</x:v>
      </x:c>
      <x:c r="E155" s="14" t="str">
        <x:v>Requalify</x:v>
      </x:c>
      <x:c r="F155" s="17" t="str">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20" t="str"/>
      <x:c r="AE155" s="14" t="str"/>
      <x:c r="AF155" s="14" t="n">
        <x:v>0</x:v>
      </x:c>
      <x:c r="AG155" s="14" t="str">
        <x:v>—</x:v>
      </x:c>
      <x:c r="AH155" s="14" t="n">
        <x:v>0</x:v>
      </x:c>
      <x:c r="AI155" s="14" t="n">
        <x:v>0</x:v>
      </x:c>
      <x:c r="AJ155" s="18" t="n">
        <x:v>0</x:v>
      </x:c>
      <x:c r="AK155" s="14" t="str"/>
      <x:c r="AL155" s="19" t="str"/>
      <x:c r="AM155" s="19" t="str"/>
      <x:c r="AN155" s="15" t="str"/>
      <x:c r="AO155" s="15" t="str">
        <x:v>needs_full_reverification</x:v>
      </x:c>
    </x:row>
    <x:row r="156">
      <x:c r="A156" s="14" t="str">
        <x:v>V2-005</x:v>
      </x:c>
      <x:c r="B156" s="14" t="str">
        <x:v>Legacy 28</x:v>
      </x:c>
      <x:c r="C156" s="14" t="str">
        <x:v>ТОВ «Електропівденмонтаж»</x:v>
      </x:c>
      <x:c r="D156" s="14" t="str">
        <x:v>Електромонтаж</x:v>
      </x:c>
      <x:c r="E156" s="14" t="str">
        <x:v>Requalify</x:v>
      </x:c>
      <x:c r="F156" s="17" t="str">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20" t="str"/>
      <x:c r="AE156" s="14" t="str"/>
      <x:c r="AF156" s="14" t="n">
        <x:v>0</x:v>
      </x:c>
      <x:c r="AG156" s="14" t="str">
        <x:v>—</x:v>
      </x:c>
      <x:c r="AH156" s="14" t="n">
        <x:v>0</x:v>
      </x:c>
      <x:c r="AI156" s="14" t="n">
        <x:v>0</x:v>
      </x:c>
      <x:c r="AJ156" s="18" t="n">
        <x:v>0</x:v>
      </x:c>
      <x:c r="AK156" s="14" t="str"/>
      <x:c r="AL156" s="19" t="str"/>
      <x:c r="AM156" s="19" t="str"/>
      <x:c r="AN156" s="15" t="str"/>
      <x:c r="AO156" s="15" t="str">
        <x:v>needs_full_reverification</x:v>
      </x:c>
    </x:row>
    <x:row r="157">
      <x:c r="A157" s="14" t="str">
        <x:v>V2-023</x:v>
      </x:c>
      <x:c r="B157" s="14" t="str">
        <x:v>Legacy 28</x:v>
      </x:c>
      <x:c r="C157" s="14" t="str">
        <x:v>ТОВ «Здоровий клімат»</x:v>
      </x:c>
      <x:c r="D157" s="14" t="str">
        <x:v>HVAC / вентиляція</x:v>
      </x:c>
      <x:c r="E157" s="14" t="str">
        <x:v>Requalify</x:v>
      </x:c>
      <x:c r="F157" s="17" t="str">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20" t="str"/>
      <x:c r="AE157" s="14" t="str"/>
      <x:c r="AF157" s="14" t="n">
        <x:v>0</x:v>
      </x:c>
      <x:c r="AG157" s="14" t="str">
        <x:v>—</x:v>
      </x:c>
      <x:c r="AH157" s="14" t="n">
        <x:v>0</x:v>
      </x:c>
      <x:c r="AI157" s="14" t="n">
        <x:v>0</x:v>
      </x:c>
      <x:c r="AJ157" s="18" t="n">
        <x:v>0</x:v>
      </x:c>
      <x:c r="AK157" s="14" t="str"/>
      <x:c r="AL157" s="19" t="str"/>
      <x:c r="AM157" s="19" t="str"/>
      <x:c r="AN157" s="15" t="str"/>
      <x:c r="AO157" s="15" t="str">
        <x:v>needs_full_reverification</x:v>
      </x:c>
    </x:row>
    <x:row r="158">
      <x:c r="A158" s="14" t="str">
        <x:v>V2-020</x:v>
      </x:c>
      <x:c r="B158" s="14" t="str">
        <x:v>Legacy 28</x:v>
      </x:c>
      <x:c r="C158" s="14" t="str">
        <x:v>ТОВ «Новітні Енергетичні Програми»</x:v>
      </x:c>
      <x:c r="D158" s="14" t="str">
        <x:v>Електромонтаж</x:v>
      </x:c>
      <x:c r="E158" s="14" t="str">
        <x:v>Requalify</x:v>
      </x:c>
      <x:c r="F158" s="17" t="str">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20" t="str"/>
      <x:c r="AE158" s="14" t="str"/>
      <x:c r="AF158" s="14" t="n">
        <x:v>0</x:v>
      </x:c>
      <x:c r="AG158" s="14" t="str">
        <x:v>—</x:v>
      </x:c>
      <x:c r="AH158" s="14" t="n">
        <x:v>0</x:v>
      </x:c>
      <x:c r="AI158" s="14" t="n">
        <x:v>0</x:v>
      </x:c>
      <x:c r="AJ158" s="18" t="n">
        <x:v>0</x:v>
      </x:c>
      <x:c r="AK158" s="14" t="str"/>
      <x:c r="AL158" s="19" t="str"/>
      <x:c r="AM158" s="19" t="str"/>
      <x:c r="AN158" s="15" t="str"/>
      <x:c r="AO158" s="15" t="str">
        <x:v>needs_full_reverification</x:v>
      </x:c>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20" t="str"/>
      <x:c r="AE159" s="14" t="str"/>
      <x:c r="AF159" s="14" t="n">
        <x:v>0</x:v>
      </x:c>
      <x:c r="AG159" s="14" t="str">
        <x:v>—</x:v>
      </x:c>
      <x:c r="AH159" s="14" t="n">
        <x:v>0</x:v>
      </x:c>
      <x:c r="AI159" s="14" t="n">
        <x:v>0</x:v>
      </x:c>
      <x:c r="AJ159" s="18" t="n">
        <x:v>0</x:v>
      </x:c>
      <x:c r="AK159" s="14" t="str"/>
      <x:c r="AL159" s="19" t="str"/>
      <x:c r="AM159" s="19" t="str"/>
      <x:c r="AN159" s="15" t="str"/>
      <x:c r="AO159" s="15" t="str">
        <x:v>needs_full_reverification</x:v>
      </x:c>
    </x:row>
    <x:row r="160">
      <x:c r="A160" s="14" t="str">
        <x:v>V2-017</x:v>
      </x:c>
      <x:c r="B160" s="14" t="str">
        <x:v>Legacy 28</x:v>
      </x:c>
      <x:c r="C160" s="14" t="str">
        <x:v>ТОВ «Пожежний Захист»</x:v>
      </x:c>
      <x:c r="D160" s="14" t="str">
        <x:v>Слаботочні системи</x:v>
      </x:c>
      <x:c r="E160" s="14" t="str">
        <x:v>Requalify</x:v>
      </x:c>
      <x:c r="F160" s="17" t="str">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Повторне звернення з новим тендерним сигналом UA-2026-07-31-007548-a; попросити 1 пакет здачі</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20" t="str"/>
      <x:c r="AE160" s="14" t="str"/>
      <x:c r="AF160" s="14" t="n">
        <x:v>73</x:v>
      </x:c>
      <x:c r="AG160" s="14" t="str">
        <x:v>I2</x:v>
      </x:c>
      <x:c r="AH160" s="14" t="n">
        <x:v>2</x:v>
      </x:c>
      <x:c r="AI160" s="14" t="n">
        <x:v>2</x:v>
      </x:c>
      <x:c r="AJ160" s="18" t="n">
        <x:v>1155038.66</x:v>
      </x:c>
      <x:c r="AK160" s="14" t="str">
        <x:v>https://prozorro.gov.ua/tender/UA-2026-07-31-007548-a</x:v>
      </x:c>
      <x:c r="AL160" s="19" t="n">
        <x:v>46234.5221496875</x:v>
      </x:c>
      <x:c r="AM160" s="19" t="n">
        <x:v>46387</x:v>
      </x:c>
      <x:c r="AN160" s="15" t="str">
        <x:v>Пасивний вогнезахист; Пожежогасіння</x:v>
      </x:c>
      <x:c r="AO160" s="15" t="str">
        <x:v>needs_full_reverification</x:v>
      </x:c>
    </x:row>
    <x:row r="161">
      <x:c r="A161" s="14" t="str">
        <x:v>V2-010</x:v>
      </x:c>
      <x:c r="B161" s="14" t="str">
        <x:v>Legacy 28</x:v>
      </x:c>
      <x:c r="C161" s="14" t="str">
        <x:v>ТОВ «Промавтоматика Вінниця»</x:v>
      </x:c>
      <x:c r="D161" s="14" t="str">
        <x:v>Сонячна енергетика</x:v>
      </x:c>
      <x:c r="E161" s="14" t="str">
        <x:v>Requalify</x:v>
      </x:c>
      <x:c r="F161" s="17" t="str">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20" t="str"/>
      <x:c r="AE161" s="14" t="str"/>
      <x:c r="AF161" s="14" t="n">
        <x:v>0</x:v>
      </x:c>
      <x:c r="AG161" s="14" t="str">
        <x:v>—</x:v>
      </x:c>
      <x:c r="AH161" s="14" t="n">
        <x:v>0</x:v>
      </x:c>
      <x:c r="AI161" s="14" t="n">
        <x:v>0</x:v>
      </x:c>
      <x:c r="AJ161" s="18" t="n">
        <x:v>0</x:v>
      </x:c>
      <x:c r="AK161" s="14" t="str"/>
      <x:c r="AL161" s="19" t="str"/>
      <x:c r="AM161" s="19" t="str"/>
      <x:c r="AN161" s="15" t="str"/>
      <x:c r="AO161" s="15" t="str">
        <x:v>needs_full_reverification</x:v>
      </x:c>
    </x:row>
    <x:row r="162">
      <x:c r="A162" s="14" t="str">
        <x:v>V2-018</x:v>
      </x:c>
      <x:c r="B162" s="14" t="str">
        <x:v>Legacy 28</x:v>
      </x:c>
      <x:c r="C162" s="14" t="str">
        <x:v>ТОВ «Структум»</x:v>
      </x:c>
      <x:c r="D162" s="14" t="str">
        <x:v>Електромонтаж</x:v>
      </x:c>
      <x:c r="E162" s="14" t="str">
        <x:v>Requalify</x:v>
      </x:c>
      <x:c r="F162" s="17" t="str">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20" t="str"/>
      <x:c r="AE162" s="14" t="str"/>
      <x:c r="AF162" s="14" t="n">
        <x:v>0</x:v>
      </x:c>
      <x:c r="AG162" s="14" t="str">
        <x:v>—</x:v>
      </x:c>
      <x:c r="AH162" s="14" t="n">
        <x:v>0</x:v>
      </x:c>
      <x:c r="AI162" s="14" t="n">
        <x:v>0</x:v>
      </x:c>
      <x:c r="AJ162" s="18" t="n">
        <x:v>0</x:v>
      </x:c>
      <x:c r="AK162" s="14" t="str"/>
      <x:c r="AL162" s="19" t="str"/>
      <x:c r="AM162" s="19" t="str"/>
      <x:c r="AN162" s="15" t="str"/>
      <x:c r="AO162" s="15" t="str">
        <x:v>needs_full_reverification</x:v>
      </x:c>
    </x:row>
    <x:row r="163">
      <x:c r="A163" s="14" t="str">
        <x:v>V2-001</x:v>
      </x:c>
      <x:c r="B163" s="14" t="str">
        <x:v>Legacy 28</x:v>
      </x:c>
      <x:c r="C163" s="14" t="str">
        <x:v>ТОВ «Укравтономгаз»</x:v>
      </x:c>
      <x:c r="D163" s="14" t="str">
        <x:v>Внутрішня сантехніка</x:v>
      </x:c>
      <x:c r="E163" s="14" t="str">
        <x:v>Requalify</x:v>
      </x:c>
      <x:c r="F163" s="17" t="str">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20" t="str"/>
      <x:c r="AE163" s="14" t="str"/>
      <x:c r="AF163" s="14" t="n">
        <x:v>0</x:v>
      </x:c>
      <x:c r="AG163" s="14" t="str">
        <x:v>—</x:v>
      </x:c>
      <x:c r="AH163" s="14" t="n">
        <x:v>0</x:v>
      </x:c>
      <x:c r="AI163" s="14" t="n">
        <x:v>0</x:v>
      </x:c>
      <x:c r="AJ163" s="18" t="n">
        <x:v>0</x:v>
      </x:c>
      <x:c r="AK163" s="14" t="str"/>
      <x:c r="AL163" s="19" t="str"/>
      <x:c r="AM163" s="19" t="str"/>
      <x:c r="AN163" s="15" t="str"/>
      <x:c r="AO163" s="15" t="str">
        <x:v>needs_full_reverification</x:v>
      </x:c>
    </x:row>
    <x:row r="164">
      <x:c r="A164" s="14" t="str">
        <x:v>V2-013</x:v>
      </x:c>
      <x:c r="B164" s="14" t="str">
        <x:v>Legacy 28</x:v>
      </x:c>
      <x:c r="C164" s="14" t="str">
        <x:v>ТОВ «УТЕМ СОЛАР»</x:v>
      </x:c>
      <x:c r="D164" s="14" t="str">
        <x:v>Сонячна енергетика</x:v>
      </x:c>
      <x:c r="E164" s="14" t="str">
        <x:v>Requalify</x:v>
      </x:c>
      <x:c r="F164" s="17" t="str">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20" t="str"/>
      <x:c r="AE164" s="14" t="str"/>
      <x:c r="AF164" s="14" t="n">
        <x:v>0</x:v>
      </x:c>
      <x:c r="AG164" s="14" t="str">
        <x:v>—</x:v>
      </x:c>
      <x:c r="AH164" s="14" t="n">
        <x:v>0</x:v>
      </x:c>
      <x:c r="AI164" s="14" t="n">
        <x:v>0</x:v>
      </x:c>
      <x:c r="AJ164" s="18" t="n">
        <x:v>0</x:v>
      </x:c>
      <x:c r="AK164" s="14" t="str"/>
      <x:c r="AL164" s="19" t="str"/>
      <x:c r="AM164" s="19" t="str"/>
      <x:c r="AN164" s="15" t="str"/>
      <x:c r="AO164" s="15" t="str">
        <x:v>needs_full_reverification</x:v>
      </x:c>
    </x:row>
    <x:row r="165">
      <x:c r="A165" s="14" t="str">
        <x:v>V2-003</x:v>
      </x:c>
      <x:c r="B165" s="14" t="str">
        <x:v>Legacy 28</x:v>
      </x:c>
      <x:c r="C165" s="14" t="str">
        <x:v>ТОВ «ШІЛД-ФАЄР»</x:v>
      </x:c>
      <x:c r="D165" s="14" t="str">
        <x:v>Слаботочні системи</x:v>
      </x:c>
      <x:c r="E165" s="14" t="str">
        <x:v>Requalify</x:v>
      </x:c>
      <x:c r="F165" s="17" t="str">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20" t="str"/>
      <x:c r="AE165" s="14" t="str"/>
      <x:c r="AF165" s="14" t="n">
        <x:v>0</x:v>
      </x:c>
      <x:c r="AG165" s="14" t="str">
        <x:v>—</x:v>
      </x:c>
      <x:c r="AH165" s="14" t="n">
        <x:v>0</x:v>
      </x:c>
      <x:c r="AI165" s="14" t="n">
        <x:v>0</x:v>
      </x:c>
      <x:c r="AJ165" s="18" t="n">
        <x:v>0</x:v>
      </x:c>
      <x:c r="AK165" s="14" t="str"/>
      <x:c r="AL165" s="19" t="str"/>
      <x:c r="AM165" s="19" t="str"/>
      <x:c r="AN165" s="15" t="str"/>
      <x:c r="AO165" s="15" t="str">
        <x:v>needs_full_reverification</x:v>
      </x:c>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Повторне звернення з новим тендерним сигналом UA-2026-07-07-007361-a; попросити 1 пакет здачі</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20" t="str"/>
      <x:c r="AE166" s="14" t="str"/>
      <x:c r="AF166" s="14" t="n">
        <x:v>60</x:v>
      </x:c>
      <x:c r="AG166" s="14" t="str">
        <x:v>I2</x:v>
      </x:c>
      <x:c r="AH166" s="14" t="n">
        <x:v>1</x:v>
      </x:c>
      <x:c r="AI166" s="14" t="n">
        <x:v>1</x:v>
      </x:c>
      <x:c r="AJ166" s="18" t="n">
        <x:v>737500</x:v>
      </x:c>
      <x:c r="AK166" s="14" t="str">
        <x:v>https://prozorro.gov.ua/tender/UA-2026-07-07-007361-a</x:v>
      </x:c>
      <x:c r="AL166" s="19" t="n">
        <x:v>46227.404180185185</x:v>
      </x:c>
      <x:c r="AM166" s="19" t="n">
        <x:v>46387</x:v>
      </x:c>
      <x:c r="AN166" s="15" t="str">
        <x:v>Пожежогасіння</x:v>
      </x:c>
      <x:c r="AO166" s="15" t="str">
        <x:v>needs_full_reverification</x:v>
      </x:c>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20" t="str"/>
      <x:c r="AE167" s="14" t="str"/>
      <x:c r="AF167" s="14" t="n">
        <x:v>0</x:v>
      </x:c>
      <x:c r="AG167" s="14" t="str">
        <x:v>—</x:v>
      </x:c>
      <x:c r="AH167" s="14" t="n">
        <x:v>0</x:v>
      </x:c>
      <x:c r="AI167" s="14" t="n">
        <x:v>0</x:v>
      </x:c>
      <x:c r="AJ167" s="18" t="n">
        <x:v>0</x:v>
      </x:c>
      <x:c r="AK167" s="14" t="str"/>
      <x:c r="AL167" s="19" t="str"/>
      <x:c r="AM167" s="19" t="str"/>
      <x:c r="AN167" s="15" t="str"/>
      <x:c r="AO167" s="15" t="str">
        <x:v>needs_full_reverification</x:v>
      </x:c>
    </x:row>
    <x:row r="168">
      <x:c r="A168" s="14" t="str">
        <x:v>V2-014</x:v>
      </x:c>
      <x:c r="B168" s="14" t="str">
        <x:v>Legacy 28</x:v>
      </x:c>
      <x:c r="C168" s="14" t="str">
        <x:v>DELA ENERGY GROUP</x:v>
      </x:c>
      <x:c r="D168" s="14" t="str">
        <x:v>Сонячна енергетика</x:v>
      </x:c>
      <x:c r="E168" s="14" t="str">
        <x:v>Requalify</x:v>
      </x:c>
      <x:c r="F168" s="17" t="str">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20" t="str"/>
      <x:c r="AE168" s="14" t="str"/>
      <x:c r="AF168" s="14" t="n">
        <x:v>0</x:v>
      </x:c>
      <x:c r="AG168" s="14" t="str">
        <x:v>—</x:v>
      </x:c>
      <x:c r="AH168" s="14" t="n">
        <x:v>0</x:v>
      </x:c>
      <x:c r="AI168" s="14" t="n">
        <x:v>0</x:v>
      </x:c>
      <x:c r="AJ168" s="18" t="n">
        <x:v>0</x:v>
      </x:c>
      <x:c r="AK168" s="14" t="str"/>
      <x:c r="AL168" s="19" t="str"/>
      <x:c r="AM168" s="19" t="str"/>
      <x:c r="AN168" s="15" t="str"/>
      <x:c r="AO168" s="15" t="str">
        <x:v>needs_full_reverification</x:v>
      </x:c>
    </x:row>
    <x:row r="169">
      <x:c r="A169" s="14" t="str">
        <x:v>V2-021</x:v>
      </x:c>
      <x:c r="B169" s="14" t="str">
        <x:v>Legacy 28</x:v>
      </x:c>
      <x:c r="C169" s="14" t="str">
        <x:v>REC SECURITY LLC</x:v>
      </x:c>
      <x:c r="D169" s="14" t="str">
        <x:v>Слаботочні системи</x:v>
      </x:c>
      <x:c r="E169" s="14" t="str">
        <x:v>Requalify</x:v>
      </x:c>
      <x:c r="F169" s="17" t="str">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20" t="str"/>
      <x:c r="AE169" s="14" t="str"/>
      <x:c r="AF169" s="14" t="n">
        <x:v>0</x:v>
      </x:c>
      <x:c r="AG169" s="14" t="str">
        <x:v>—</x:v>
      </x:c>
      <x:c r="AH169" s="14" t="n">
        <x:v>0</x:v>
      </x:c>
      <x:c r="AI169" s="14" t="n">
        <x:v>0</x:v>
      </x:c>
      <x:c r="AJ169" s="18" t="n">
        <x:v>0</x:v>
      </x:c>
      <x:c r="AK169" s="14" t="str"/>
      <x:c r="AL169" s="19" t="str"/>
      <x:c r="AM169" s="19" t="str"/>
      <x:c r="AN169" s="15" t="str"/>
      <x:c r="AO169" s="15" t="str">
        <x:v>needs_full_reverification</x:v>
      </x:c>
    </x:row>
    <x:row r="170">
      <x:c r="A170" s="14" t="str">
        <x:v>W2-001</x:v>
      </x:c>
      <x:c r="B170" s="14" t="str">
        <x:v>Проєктний сигнал — 24.08</x:v>
      </x:c>
      <x:c r="C170" s="14" t="str">
        <x:v>ТОВ «Горизонтально направлене буріння»</x:v>
      </x:c>
      <x:c r="D170" s="14" t="str">
        <x:v>ГНБ / безтраншейні мережі</x:v>
      </x:c>
      <x:c r="E170" s="14" t="str">
        <x:v>Expansion discovery</x:v>
      </x:c>
      <x:c r="F170" s="17" t="str">
        <x:v>D1</x:v>
      </x:c>
      <x:c r="G170" s="14" t="str">
        <x:v>gnb.in.ua</x:v>
      </x:c>
      <x:c r="H170" s="14" t="str">
        <x:v>2-тижневий workflow discovery — потрібні вимоги одного проєкту</x:v>
      </x:c>
      <x:c r="I170" s="16" t="n">
        <x:v>1</x:v>
      </x:c>
      <x:c r="J170" s="16" t="n">
        <x:v>5</x:v>
      </x:c>
      <x:c r="K170" s="16" t="n">
        <x:v>5</x:v>
      </x:c>
      <x:c r="L170" s="16" t="n">
        <x:v>4</x:v>
      </x:c>
      <x:c r="M170" s="16" t="n">
        <x:v>5</x:v>
      </x:c>
      <x:c r="N170" s="16" t="n">
        <x:v>5</x:v>
      </x:c>
      <x:c r="O170" s="16" t="n">
        <x:v>5</x:v>
      </x:c>
      <x:c r="P170" s="16" t="n">
        <x:f>IF(COUNT(I170:O170)&lt;7,"",I170*8+J170*3+K170*2+L170*2+M170*2+N170*2+O170)</x:f>
        <x:v>66</x:v>
      </x:c>
      <x:c r="Q170" s="16" t="n">
        <x:f>IF(COUNT(J170:O170)&lt;6,"",J170*5+K170*4+M170*4+L170*3+N170*2+O170*2)</x:f>
        <x:v>97</x:v>
      </x:c>
      <x:c r="R170" s="14" t="str">
        <x:v>high</x:v>
      </x:c>
      <x:c r="S170" s="14" t="str">
        <x:v>google_index_verified_2026-08-24</x:v>
      </x:c>
      <x:c r="T170" s="14" t="str">
        <x:v>indexed_official_service_page</x:v>
      </x:c>
      <x:c r="U170" s="14" t="str">
        <x:v>Новий — не контактували</x:v>
      </x:c>
      <x:c r="V170" s="15" t="str">
        <x:v>2-тижневий discovery: запросити вимоги 1 активного проєкту + 1 знеособлений артефакт</x:v>
      </x:c>
      <x:c r="W170" s="15" t="str">
        <x:v>Власник / директор; керівник будівництва; керівник ПТО</x:v>
      </x:c>
      <x:c r="X170" s="15" t="str">
        <x:v>ГНБ і проколи для інженерних комунікацій. Пошуковий результат веде на індексовану сторінку корпоративного домену: ООО Горизонтально Направленное Бурение.</x:v>
      </x:c>
      <x:c r="Y170" s="15" t="str">
        <x:v>Траса, пілотна свердловина, розширення та протягування стають невидимими; потрібні журнали, геоприв'язка й докази до здачі переходу.</x:v>
      </x:c>
      <x:c r="Z170" s="15" t="str">
        <x:v>https://www.gnb.in.ua/</x:v>
      </x:c>
      <x:c r="AA170" s="14" t="str"/>
      <x:c r="AB170" s="14" t="str">
        <x:v>2026-08-24</x:v>
      </x:c>
      <x:c r="AC170" s="14" t="str">
        <x:v>Олександр</x:v>
      </x:c>
      <x:c r="AD170" s="20" t="str"/>
      <x:c r="AE170" s="14" t="str"/>
      <x:c r="AF170" s="14" t="n">
        <x:v>0</x:v>
      </x:c>
      <x:c r="AG170" s="14" t="str">
        <x:v>—</x:v>
      </x:c>
      <x:c r="AH170" s="14" t="n">
        <x:v>0</x:v>
      </x:c>
      <x:c r="AI170" s="14" t="n">
        <x:v>0</x:v>
      </x:c>
      <x:c r="AJ170" s="18" t="n">
        <x:v>0</x:v>
      </x:c>
      <x:c r="AK170" s="14" t="str"/>
      <x:c r="AL170" s="19" t="str"/>
      <x:c r="AM170" s="19" t="str"/>
      <x:c r="AN170" s="15" t="str"/>
      <x:c r="AO170" s="15" t="str">
        <x:v>google_index_verified_2026-08-24</x:v>
      </x:c>
    </x:row>
    <x:row r="171">
      <x:c r="A171" s="14" t="str">
        <x:v>W2-002</x:v>
      </x:c>
      <x:c r="B171" s="14" t="str">
        <x:v>Проєктний сигнал — 24.08</x:v>
      </x:c>
      <x:c r="C171" s="14" t="str">
        <x:v>GNB Ukraine</x:v>
      </x:c>
      <x:c r="D171" s="14" t="str">
        <x:v>ГНБ / безтраншейні мережі</x:v>
      </x:c>
      <x:c r="E171" s="14" t="str">
        <x:v>Expansion discovery</x:v>
      </x:c>
      <x:c r="F171" s="17" t="str">
        <x:v>D1</x:v>
      </x:c>
      <x:c r="G171" s="14" t="str">
        <x:v>gnbukr.com.ua</x:v>
      </x:c>
      <x:c r="H171" s="14" t="str">
        <x:v>2-тижневий workflow discovery — потрібні вимоги одного проєкту</x:v>
      </x:c>
      <x:c r="I171" s="16" t="n">
        <x:v>1</x:v>
      </x:c>
      <x:c r="J171" s="16" t="n">
        <x:v>5</x:v>
      </x:c>
      <x:c r="K171" s="16" t="n">
        <x:v>5</x:v>
      </x:c>
      <x:c r="L171" s="16" t="n">
        <x:v>4</x:v>
      </x:c>
      <x:c r="M171" s="16" t="n">
        <x:v>5</x:v>
      </x:c>
      <x:c r="N171" s="16" t="n">
        <x:v>5</x:v>
      </x:c>
      <x:c r="O171" s="16" t="n">
        <x:v>5</x:v>
      </x:c>
      <x:c r="P171" s="16" t="n">
        <x:f>IF(COUNT(I171:O171)&lt;7,"",I171*8+J171*3+K171*2+L171*2+M171*2+N171*2+O171)</x:f>
        <x:v>66</x:v>
      </x:c>
      <x:c r="Q171" s="16" t="n">
        <x:f>IF(COUNT(J171:O171)&lt;6,"",J171*5+K171*4+M171*4+L171*3+N171*2+O171*2)</x:f>
        <x:v>97</x:v>
      </x:c>
      <x:c r="R171" s="14" t="str">
        <x:v>high</x:v>
      </x:c>
      <x:c r="S171" s="14" t="str">
        <x:v>google_index_verified_2026-08-24</x:v>
      </x:c>
      <x:c r="T171" s="14" t="str">
        <x:v>indexed_official_service_page</x:v>
      </x:c>
      <x:c r="U171" s="14" t="str">
        <x:v>Новий — не контактували</x:v>
      </x:c>
      <x:c r="V171" s="15" t="str">
        <x:v>2-тижневий discovery: запросити вимоги 1 активного проєкту + 1 знеособлений артефакт</x:v>
      </x:c>
      <x:c r="W171" s="15" t="str">
        <x:v>Власник / директор; керівник будівництва; керівник ПТО</x:v>
      </x:c>
      <x:c r="X171" s="15" t="str">
        <x:v>Безтраншейне прокладання труб методом ГНБ. Пошуковий результат веде на індексовану сторінку корпоративного домену: ГНБ Україна — GNB Ukraine.</x:v>
      </x:c>
      <x:c r="Y171" s="15" t="str">
        <x:v>Траса, пілотна свердловина, розширення та протягування стають невидимими; потрібні журнали, геоприв'язка й докази до здачі переходу.</x:v>
      </x:c>
      <x:c r="Z171" s="15" t="str">
        <x:v>https://gnbukr.com.ua/uk/</x:v>
      </x:c>
      <x:c r="AA171" s="14" t="str"/>
      <x:c r="AB171" s="14" t="str">
        <x:v>2026-08-24</x:v>
      </x:c>
      <x:c r="AC171" s="14" t="str">
        <x:v>Олександр</x:v>
      </x:c>
      <x:c r="AD171" s="20" t="str"/>
      <x:c r="AE171" s="14" t="str"/>
      <x:c r="AF171" s="14" t="n">
        <x:v>0</x:v>
      </x:c>
      <x:c r="AG171" s="14" t="str">
        <x:v>—</x:v>
      </x:c>
      <x:c r="AH171" s="14" t="n">
        <x:v>0</x:v>
      </x:c>
      <x:c r="AI171" s="14" t="n">
        <x:v>0</x:v>
      </x:c>
      <x:c r="AJ171" s="18" t="n">
        <x:v>0</x:v>
      </x:c>
      <x:c r="AK171" s="14" t="str"/>
      <x:c r="AL171" s="19" t="str"/>
      <x:c r="AM171" s="19" t="str"/>
      <x:c r="AN171" s="15" t="str"/>
      <x:c r="AO171" s="15" t="str">
        <x:v>google_index_verified_2026-08-24</x:v>
      </x:c>
    </x:row>
    <x:row r="172">
      <x:c r="A172" s="14" t="str">
        <x:v>W2-003</x:v>
      </x:c>
      <x:c r="B172" s="14" t="str">
        <x:v>Проєктний сигнал — 24.08</x:v>
      </x:c>
      <x:c r="C172" s="14" t="str">
        <x:v>Південний Енерготехнічний Завод / PETZ</x:v>
      </x:c>
      <x:c r="D172" s="14" t="str">
        <x:v>ГНБ / безтраншейні мережі</x:v>
      </x:c>
      <x:c r="E172" s="14" t="str">
        <x:v>Expansion discovery</x:v>
      </x:c>
      <x:c r="F172" s="17" t="str">
        <x:v>D1</x:v>
      </x:c>
      <x:c r="G172" s="14" t="str">
        <x:v>gnb.energy</x:v>
      </x:c>
      <x:c r="H172" s="14" t="str">
        <x:v>2-тижневий workflow discovery — потрібні вимоги одного проєкту</x:v>
      </x:c>
      <x:c r="I172" s="16" t="n">
        <x:v>1</x:v>
      </x:c>
      <x:c r="J172" s="16" t="n">
        <x:v>5</x:v>
      </x:c>
      <x:c r="K172" s="16" t="n">
        <x:v>5</x:v>
      </x:c>
      <x:c r="L172" s="16" t="n">
        <x:v>4</x:v>
      </x:c>
      <x:c r="M172" s="16" t="n">
        <x:v>5</x:v>
      </x:c>
      <x:c r="N172" s="16" t="n">
        <x:v>5</x:v>
      </x:c>
      <x:c r="O172" s="16" t="n">
        <x:v>5</x:v>
      </x:c>
      <x:c r="P172" s="16" t="n">
        <x:f>IF(COUNT(I172:O172)&lt;7,"",I172*8+J172*3+K172*2+L172*2+M172*2+N172*2+O172)</x:f>
        <x:v>66</x:v>
      </x:c>
      <x:c r="Q172" s="16" t="n">
        <x:f>IF(COUNT(J172:O172)&lt;6,"",J172*5+K172*4+M172*4+L172*3+N172*2+O172*2)</x:f>
        <x:v>97</x:v>
      </x:c>
      <x:c r="R172" s="14" t="str">
        <x:v>high</x:v>
      </x:c>
      <x:c r="S172" s="14" t="str">
        <x:v>google_index_verified_2026-08-24</x:v>
      </x:c>
      <x:c r="T172" s="14" t="str">
        <x:v>indexed_official_service_page</x:v>
      </x:c>
      <x:c r="U172" s="14" t="str">
        <x:v>Новий — не контактували</x:v>
      </x:c>
      <x:c r="V172" s="15" t="str">
        <x:v>2-тижневий discovery: запросити вимоги 1 активного проєкту + 1 знеособлений артефакт</x:v>
      </x:c>
      <x:c r="W172" s="15" t="str">
        <x:v>Власник / директор; керівник будівництва; керівник ПТО</x:v>
      </x:c>
      <x:c r="X172" s="15" t="str">
        <x:v>Горизонтально спрямоване буріння у складі інженерних систем. Пошуковий результат веде на індексовану сторінку корпоративного домену: ГНБ — інженерні системи PETZ.</x:v>
      </x:c>
      <x:c r="Y172" s="15" t="str">
        <x:v>Траса, пілотна свердловина, розширення та протягування стають невидимими; потрібні журнали, геоприв'язка й докази до здачі переходу.</x:v>
      </x:c>
      <x:c r="Z172" s="15" t="str">
        <x:v>https://gnb.energy/</x:v>
      </x:c>
      <x:c r="AA172" s="14" t="str"/>
      <x:c r="AB172" s="14" t="str">
        <x:v>2026-08-24</x:v>
      </x:c>
      <x:c r="AC172" s="14" t="str">
        <x:v>Олександр</x:v>
      </x:c>
      <x:c r="AD172" s="20" t="str"/>
      <x:c r="AE172" s="14" t="str"/>
      <x:c r="AF172" s="14" t="n">
        <x:v>0</x:v>
      </x:c>
      <x:c r="AG172" s="14" t="str">
        <x:v>—</x:v>
      </x:c>
      <x:c r="AH172" s="14" t="n">
        <x:v>0</x:v>
      </x:c>
      <x:c r="AI172" s="14" t="n">
        <x:v>0</x:v>
      </x:c>
      <x:c r="AJ172" s="18" t="n">
        <x:v>0</x:v>
      </x:c>
      <x:c r="AK172" s="14" t="str"/>
      <x:c r="AL172" s="19" t="str"/>
      <x:c r="AM172" s="19" t="str"/>
      <x:c r="AN172" s="15" t="str"/>
      <x:c r="AO172" s="15" t="str">
        <x:v>google_index_verified_2026-08-24</x:v>
      </x:c>
    </x:row>
    <x:row r="173">
      <x:c r="A173" s="14" t="str">
        <x:v>W2-004</x:v>
      </x:c>
      <x:c r="B173" s="14" t="str">
        <x:v>Проєктний сигнал — 24.08</x:v>
      </x:c>
      <x:c r="C173" s="14" t="str">
        <x:v>Рембудзв'язок</x:v>
      </x:c>
      <x:c r="D173" s="14" t="str">
        <x:v>ГНБ / безтраншейні мережі</x:v>
      </x:c>
      <x:c r="E173" s="14" t="str">
        <x:v>Expansion discovery</x:v>
      </x:c>
      <x:c r="F173" s="17" t="str">
        <x:v>D1</x:v>
      </x:c>
      <x:c r="G173" s="14" t="str">
        <x:v>rbz.com.ua</x:v>
      </x:c>
      <x:c r="H173" s="14" t="str">
        <x:v>2-тижневий workflow discovery — потрібні вимоги одного проєкту</x:v>
      </x:c>
      <x:c r="I173" s="16" t="n">
        <x:v>1</x:v>
      </x:c>
      <x:c r="J173" s="16" t="n">
        <x:v>5</x:v>
      </x:c>
      <x:c r="K173" s="16" t="n">
        <x:v>5</x:v>
      </x:c>
      <x:c r="L173" s="16" t="n">
        <x:v>4</x:v>
      </x:c>
      <x:c r="M173" s="16" t="n">
        <x:v>5</x:v>
      </x:c>
      <x:c r="N173" s="16" t="n">
        <x:v>5</x:v>
      </x:c>
      <x:c r="O173" s="16" t="n">
        <x:v>3</x:v>
      </x:c>
      <x:c r="P173" s="16" t="n">
        <x:f>IF(COUNT(I173:O173)&lt;7,"",I173*8+J173*3+K173*2+L173*2+M173*2+N173*2+O173)</x:f>
        <x:v>64</x:v>
      </x:c>
      <x:c r="Q173" s="16" t="n">
        <x:f>IF(COUNT(J173:O173)&lt;6,"",J173*5+K173*4+M173*4+L173*3+N173*2+O173*2)</x:f>
        <x:v>93</x:v>
      </x:c>
      <x:c r="R173" s="14" t="str">
        <x:v>medium</x:v>
      </x:c>
      <x:c r="S173" s="14" t="str">
        <x:v>google_index_verified_manual_check_2026-08-24</x:v>
      </x:c>
      <x:c r="T173" s="14" t="str">
        <x:v>indexed_official_page_manual_check</x:v>
      </x:c>
      <x:c r="U173" s="14" t="str">
        <x:v>Новий — не контактували</x:v>
      </x:c>
      <x:c r="V173" s="15" t="str">
        <x:v>Повторне звернення з посиланням на UA-2026-07-29-010065-a; попросити 1 пакет здачі з поточного workflow</x:v>
      </x:c>
      <x:c r="W173" s="15" t="str">
        <x:v>Власник / директор; керівник будівництва; керівник ПТО</x:v>
      </x:c>
      <x:c r="X173" s="15" t="str">
        <x:v>Власний парк і монтажно-бурові роботи. Пошуковий результат веде на індексовану сторінку корпоративного домену: ГНБ — Рембудзв'язок.</x:v>
      </x:c>
      <x:c r="Y173" s="15" t="str">
        <x:v>Траса, пілотна свердловина, розширення та протягування стають невидимими; потрібні журнали, геоприв'язка й докази до здачі переходу.</x:v>
      </x:c>
      <x:c r="Z173" s="15" t="str">
        <x:v>http://rbz.com.ua/ua/horizontal-directional-drilling/</x:v>
      </x:c>
      <x:c r="AA173" s="14" t="str"/>
      <x:c r="AB173" s="14" t="str">
        <x:v>2026-08-24</x:v>
      </x:c>
      <x:c r="AC173" s="14" t="str">
        <x:v>Олександр</x:v>
      </x:c>
      <x:c r="AD173" s="20" t="str"/>
      <x:c r="AE173" s="14" t="str"/>
      <x:c r="AF173" s="14" t="n">
        <x:v>56</x:v>
      </x:c>
      <x:c r="AG173" s="14" t="str">
        <x:v>I3</x:v>
      </x:c>
      <x:c r="AH173" s="14" t="n">
        <x:v>1</x:v>
      </x:c>
      <x:c r="AI173" s="14" t="n">
        <x:v>1</x:v>
      </x:c>
      <x:c r="AJ173" s="18" t="n">
        <x:v>134600</x:v>
      </x:c>
      <x:c r="AK173" s="14" t="str">
        <x:v>https://prozorro.gov.ua/tender/UA-2026-07-29-010065-a</x:v>
      </x:c>
      <x:c r="AL173" s="19" t="n">
        <x:v>46232.569152951386</x:v>
      </x:c>
      <x:c r="AM173" s="19" t="n">
        <x:v>46387</x:v>
      </x:c>
      <x:c r="AN173" s="15" t="str">
        <x:v>ГНБ / безтраншейні роботи</x:v>
      </x:c>
      <x:c r="AO173" s="15" t="str">
        <x:v>google_index_verified_manual_check_2026-08-24</x:v>
      </x:c>
    </x:row>
    <x:row r="174">
      <x:c r="A174" s="14" t="str">
        <x:v>W2-005</x:v>
      </x:c>
      <x:c r="B174" s="14" t="str">
        <x:v>Проєктний сигнал — 24.08</x:v>
      </x:c>
      <x:c r="C174" s="14" t="str">
        <x:v>ЗахідБурІнвест</x:v>
      </x:c>
      <x:c r="D174" s="14" t="str">
        <x:v>ГНБ / безтраншейні мережі</x:v>
      </x:c>
      <x:c r="E174" s="14" t="str">
        <x:v>Expansion discovery</x:v>
      </x:c>
      <x:c r="F174" s="17" t="str">
        <x:v>D1</x:v>
      </x:c>
      <x:c r="G174" s="14" t="str">
        <x:v>burinvest.com.ua</x:v>
      </x:c>
      <x:c r="H174" s="14" t="str">
        <x:v>2-тижневий workflow discovery — потрібні вимоги одного проєкту</x:v>
      </x:c>
      <x:c r="I174" s="16" t="n">
        <x:v>1</x:v>
      </x:c>
      <x:c r="J174" s="16" t="n">
        <x:v>5</x:v>
      </x:c>
      <x:c r="K174" s="16" t="n">
        <x:v>5</x:v>
      </x:c>
      <x:c r="L174" s="16" t="n">
        <x:v>4</x:v>
      </x:c>
      <x:c r="M174" s="16" t="n">
        <x:v>5</x:v>
      </x:c>
      <x:c r="N174" s="16" t="n">
        <x:v>5</x:v>
      </x:c>
      <x:c r="O174" s="16" t="n">
        <x:v>5</x:v>
      </x:c>
      <x:c r="P174" s="16" t="n">
        <x:f>IF(COUNT(I174:O174)&lt;7,"",I174*8+J174*3+K174*2+L174*2+M174*2+N174*2+O174)</x:f>
        <x:v>66</x:v>
      </x:c>
      <x:c r="Q174" s="16" t="n">
        <x:f>IF(COUNT(J174:O174)&lt;6,"",J174*5+K174*4+M174*4+L174*3+N174*2+O174*2)</x:f>
        <x:v>97</x:v>
      </x:c>
      <x:c r="R174" s="14" t="str">
        <x:v>high</x:v>
      </x:c>
      <x:c r="S174" s="14" t="str">
        <x:v>google_index_verified_2026-08-24</x:v>
      </x:c>
      <x:c r="T174" s="14" t="str">
        <x:v>indexed_official_service_page</x:v>
      </x:c>
      <x:c r="U174" s="14" t="str">
        <x:v>Новий — не контактували</x:v>
      </x:c>
      <x:c r="V174" s="15" t="str">
        <x:v>2-тижневий discovery: запросити вимоги 1 активного проєкту + 1 знеособлений артефакт</x:v>
      </x:c>
      <x:c r="W174" s="15" t="str">
        <x:v>Власник / директор; керівник будівництва; керівник ПТО</x:v>
      </x:c>
      <x:c r="X174" s="15" t="str">
        <x:v>Переходи ГНБ для безтраншейного прокладання. Пошуковий результат веде на індексовану сторінку корпоративного домену: Горизонтально-направлене буріння — ЗахідБурІнвест.</x:v>
      </x:c>
      <x:c r="Y174" s="15" t="str">
        <x:v>Траса, пілотна свердловина, розширення та протягування стають невидимими; потрібні журнали, геоприв'язка й докази до здачі переходу.</x:v>
      </x:c>
      <x:c r="Z174" s="15" t="str">
        <x:v>https://burinvest.com.ua/</x:v>
      </x:c>
      <x:c r="AA174" s="14" t="str"/>
      <x:c r="AB174" s="14" t="str">
        <x:v>2026-08-24</x:v>
      </x:c>
      <x:c r="AC174" s="14" t="str">
        <x:v>Олександр</x:v>
      </x:c>
      <x:c r="AD174" s="20" t="str"/>
      <x:c r="AE174" s="14" t="str"/>
      <x:c r="AF174" s="14" t="n">
        <x:v>0</x:v>
      </x:c>
      <x:c r="AG174" s="14" t="str">
        <x:v>—</x:v>
      </x:c>
      <x:c r="AH174" s="14" t="n">
        <x:v>0</x:v>
      </x:c>
      <x:c r="AI174" s="14" t="n">
        <x:v>0</x:v>
      </x:c>
      <x:c r="AJ174" s="18" t="n">
        <x:v>0</x:v>
      </x:c>
      <x:c r="AK174" s="14" t="str"/>
      <x:c r="AL174" s="19" t="str"/>
      <x:c r="AM174" s="19" t="str"/>
      <x:c r="AN174" s="15" t="str"/>
      <x:c r="AO174" s="15" t="str">
        <x:v>google_index_verified_2026-08-24</x:v>
      </x:c>
    </x:row>
    <x:row r="175">
      <x:c r="A175" s="14" t="str">
        <x:v>W2-006</x:v>
      </x:c>
      <x:c r="B175" s="14" t="str">
        <x:v>Проєктний сигнал — 24.08</x:v>
      </x:c>
      <x:c r="C175" s="14" t="str">
        <x:v>Акваполімер Інжиніринг</x:v>
      </x:c>
      <x:c r="D175" s="14" t="str">
        <x:v>Водоочищення та очисні споруди</x:v>
      </x:c>
      <x:c r="E175" s="14" t="str">
        <x:v>Expansion discovery</x:v>
      </x:c>
      <x:c r="F175" s="17" t="str">
        <x:v>D1</x:v>
      </x:c>
      <x:c r="G175" s="14" t="str">
        <x:v>aquapolymer.com.ua</x:v>
      </x:c>
      <x:c r="H175" s="14" t="str">
        <x:v>2-тижневий workflow discovery — потрібні вимоги одного проєкту</x:v>
      </x:c>
      <x:c r="I175" s="16" t="n">
        <x:v>1</x:v>
      </x:c>
      <x:c r="J175" s="16" t="n">
        <x:v>5</x:v>
      </x:c>
      <x:c r="K175" s="16" t="n">
        <x:v>5</x:v>
      </x:c>
      <x:c r="L175" s="16" t="n">
        <x:v>4</x:v>
      </x:c>
      <x:c r="M175" s="16" t="n">
        <x:v>5</x:v>
      </x:c>
      <x:c r="N175" s="16" t="n">
        <x:v>5</x:v>
      </x:c>
      <x:c r="O175" s="16" t="n">
        <x:v>5</x:v>
      </x:c>
      <x:c r="P175" s="16" t="n">
        <x:f>IF(COUNT(I175:O175)&lt;7,"",I175*8+J175*3+K175*2+L175*2+M175*2+N175*2+O175)</x:f>
        <x:v>66</x:v>
      </x:c>
      <x:c r="Q175" s="16" t="n">
        <x:f>IF(COUNT(J175:O175)&lt;6,"",J175*5+K175*4+M175*4+L175*3+N175*2+O175*2)</x:f>
        <x:v>97</x:v>
      </x:c>
      <x:c r="R175" s="14" t="str">
        <x:v>high</x:v>
      </x:c>
      <x:c r="S175" s="14" t="str">
        <x:v>google_index_verified_2026-08-24</x:v>
      </x:c>
      <x:c r="T175" s="14" t="str">
        <x:v>indexed_official_service_page</x:v>
      </x:c>
      <x:c r="U175" s="14" t="str">
        <x:v>Новий — не контактували</x:v>
      </x:c>
      <x:c r="V175" s="15" t="str">
        <x:v>2-тижневий discovery: запросити вимоги 1 активного проєкту + 1 знеособлений артефакт</x:v>
      </x:c>
      <x:c r="W175" s="15" t="str">
        <x:v>Комерційний директор; керівник проєктів; головний технолог / ПТО</x:v>
      </x:c>
      <x:c r="X175" s="15" t="str">
        <x:v>Проєктування та реалізація систем водоочищення. Пошуковий результат веде на індексовану сторінку корпоративного домену: Проєктування систем водопостачання — Акваполімер.</x:v>
      </x:c>
      <x:c r="Y175" s="15" t="str">
        <x:v>Трубопроводи, закладні, резервуари, мембрани й пусконалагодження потребують поетапних актів, фото та протоколів.</x:v>
      </x:c>
      <x:c r="Z175" s="15" t="str">
        <x:v>https://aquapolymer.com.ua/poslugy/proektuvannya/</x:v>
      </x:c>
      <x:c r="AA175" s="14" t="str"/>
      <x:c r="AB175" s="14" t="str">
        <x:v>2026-08-24</x:v>
      </x:c>
      <x:c r="AC175" s="14" t="str">
        <x:v>Олександр</x:v>
      </x:c>
      <x:c r="AD175" s="20" t="str"/>
      <x:c r="AE175" s="14" t="str"/>
      <x:c r="AF175" s="14" t="n">
        <x:v>0</x:v>
      </x:c>
      <x:c r="AG175" s="14" t="str">
        <x:v>—</x:v>
      </x:c>
      <x:c r="AH175" s="14" t="n">
        <x:v>0</x:v>
      </x:c>
      <x:c r="AI175" s="14" t="n">
        <x:v>0</x:v>
      </x:c>
      <x:c r="AJ175" s="18" t="n">
        <x:v>0</x:v>
      </x:c>
      <x:c r="AK175" s="14" t="str"/>
      <x:c r="AL175" s="19" t="str"/>
      <x:c r="AM175" s="19" t="str"/>
      <x:c r="AN175" s="15" t="str"/>
      <x:c r="AO175" s="15" t="str">
        <x:v>google_index_verified_2026-08-24</x:v>
      </x:c>
    </x:row>
    <x:row r="176">
      <x:c r="A176" s="14" t="str">
        <x:v>W2-007</x:v>
      </x:c>
      <x:c r="B176" s="14" t="str">
        <x:v>Проєктний сигнал — 24.08</x:v>
      </x:c>
      <x:c r="C176" s="14" t="str">
        <x:v>Екобіл</x:v>
      </x:c>
      <x:c r="D176" s="14" t="str">
        <x:v>Водоочищення та очисні споруди</x:v>
      </x:c>
      <x:c r="E176" s="14" t="str">
        <x:v>Expansion discovery</x:v>
      </x:c>
      <x:c r="F176" s="17" t="str">
        <x:v>D1</x:v>
      </x:c>
      <x:c r="G176" s="14" t="str">
        <x:v>ekobil.net.ua</x:v>
      </x:c>
      <x:c r="H176" s="14" t="str">
        <x:v>2-тижневий workflow discovery — потрібні вимоги одного проєкту</x:v>
      </x:c>
      <x:c r="I176" s="16" t="n">
        <x:v>1</x:v>
      </x:c>
      <x:c r="J176" s="16" t="n">
        <x:v>5</x:v>
      </x:c>
      <x:c r="K176" s="16" t="n">
        <x:v>5</x:v>
      </x:c>
      <x:c r="L176" s="16" t="n">
        <x:v>4</x:v>
      </x:c>
      <x:c r="M176" s="16" t="n">
        <x:v>5</x:v>
      </x:c>
      <x:c r="N176" s="16" t="n">
        <x:v>5</x:v>
      </x:c>
      <x:c r="O176" s="16" t="n">
        <x:v>5</x:v>
      </x:c>
      <x:c r="P176" s="16" t="n">
        <x:f>IF(COUNT(I176:O176)&lt;7,"",I176*8+J176*3+K176*2+L176*2+M176*2+N176*2+O176)</x:f>
        <x:v>66</x:v>
      </x:c>
      <x:c r="Q176" s="16" t="n">
        <x:f>IF(COUNT(J176:O176)&lt;6,"",J176*5+K176*4+M176*4+L176*3+N176*2+O176*2)</x:f>
        <x:v>97</x:v>
      </x:c>
      <x:c r="R176" s="14" t="str">
        <x:v>high</x:v>
      </x:c>
      <x:c r="S176" s="14" t="str">
        <x:v>google_index_verified_2026-08-24</x:v>
      </x:c>
      <x:c r="T176" s="14" t="str">
        <x:v>indexed_official_service_page</x:v>
      </x:c>
      <x:c r="U176" s="14" t="str">
        <x:v>Новий — не контактували</x:v>
      </x:c>
      <x:c r="V176" s="15" t="str">
        <x:v>2-тижневий discovery: запросити вимоги 1 активного проєкту + 1 знеособлений артефакт</x:v>
      </x:c>
      <x:c r="W176" s="15" t="str">
        <x:v>Комерційний директор; керівник проєктів; головний технолог / ПТО</x:v>
      </x:c>
      <x:c r="X176" s="15" t="str">
        <x:v>Проєктування очисних споруд. Пошуковий результат веде на індексовану сторінку корпоративного домену: Проєктування очисних споруд — Екобіл.</x:v>
      </x:c>
      <x:c r="Y176" s="15" t="str">
        <x:v>Трубопроводи, закладні, резервуари, мембрани й пусконалагодження потребують поетапних актів, фото та протоколів.</x:v>
      </x:c>
      <x:c r="Z176" s="15" t="str">
        <x:v>https://ekobil.net.ua/proektuvannya-ochysnyh-sporud/</x:v>
      </x:c>
      <x:c r="AA176" s="14" t="str"/>
      <x:c r="AB176" s="14" t="str">
        <x:v>2026-08-24</x:v>
      </x:c>
      <x:c r="AC176" s="14" t="str">
        <x:v>Олександр</x:v>
      </x:c>
      <x:c r="AD176" s="20" t="str"/>
      <x:c r="AE176" s="14" t="str"/>
      <x:c r="AF176" s="14" t="n">
        <x:v>0</x:v>
      </x:c>
      <x:c r="AG176" s="14" t="str">
        <x:v>—</x:v>
      </x:c>
      <x:c r="AH176" s="14" t="n">
        <x:v>0</x:v>
      </x:c>
      <x:c r="AI176" s="14" t="n">
        <x:v>0</x:v>
      </x:c>
      <x:c r="AJ176" s="18" t="n">
        <x:v>0</x:v>
      </x:c>
      <x:c r="AK176" s="14" t="str"/>
      <x:c r="AL176" s="19" t="str"/>
      <x:c r="AM176" s="19" t="str"/>
      <x:c r="AN176" s="15" t="str"/>
      <x:c r="AO176" s="15" t="str">
        <x:v>google_index_verified_2026-08-24</x:v>
      </x:c>
    </x:row>
    <x:row r="177">
      <x:c r="A177" s="14" t="str">
        <x:v>W2-008</x:v>
      </x:c>
      <x:c r="B177" s="14" t="str">
        <x:v>Проєктний сигнал — 24.08</x:v>
      </x:c>
      <x:c r="C177" s="14" t="str">
        <x:v>ППП-4</x:v>
      </x:c>
      <x:c r="D177" s="14" t="str">
        <x:v>Водоочищення та очисні споруди</x:v>
      </x:c>
      <x:c r="E177" s="14" t="str">
        <x:v>Expansion discovery</x:v>
      </x:c>
      <x:c r="F177" s="17" t="str">
        <x:v>D1</x:v>
      </x:c>
      <x:c r="G177" s="14" t="str">
        <x:v>ppp4.kiev.ua</x:v>
      </x:c>
      <x:c r="H177" s="14" t="str">
        <x:v>2-тижневий workflow discovery — потрібні вимоги одного проєкту</x:v>
      </x:c>
      <x:c r="I177" s="16" t="n">
        <x:v>1</x:v>
      </x:c>
      <x:c r="J177" s="16" t="n">
        <x:v>5</x:v>
      </x:c>
      <x:c r="K177" s="16" t="n">
        <x:v>5</x:v>
      </x:c>
      <x:c r="L177" s="16" t="n">
        <x:v>4</x:v>
      </x:c>
      <x:c r="M177" s="16" t="n">
        <x:v>5</x:v>
      </x:c>
      <x:c r="N177" s="16" t="n">
        <x:v>5</x:v>
      </x:c>
      <x:c r="O177" s="16" t="n">
        <x:v>5</x:v>
      </x:c>
      <x:c r="P177" s="16" t="n">
        <x:f>IF(COUNT(I177:O177)&lt;7,"",I177*8+J177*3+K177*2+L177*2+M177*2+N177*2+O177)</x:f>
        <x:v>66</x:v>
      </x:c>
      <x:c r="Q177" s="16" t="n">
        <x:f>IF(COUNT(J177:O177)&lt;6,"",J177*5+K177*4+M177*4+L177*3+N177*2+O177*2)</x:f>
        <x:v>97</x:v>
      </x:c>
      <x:c r="R177" s="14" t="str">
        <x:v>high</x:v>
      </x:c>
      <x:c r="S177" s="14" t="str">
        <x:v>google_index_verified_2026-08-24</x:v>
      </x:c>
      <x:c r="T177" s="14" t="str">
        <x:v>indexed_official_service_page</x:v>
      </x:c>
      <x:c r="U177" s="14" t="str">
        <x:v>Новий — не контактували</x:v>
      </x:c>
      <x:c r="V177" s="15" t="str">
        <x:v>2-тижневий discovery: запросити вимоги 1 активного проєкту + 1 знеособлений артефакт</x:v>
      </x:c>
      <x:c r="W177" s="15" t="str">
        <x:v>Комерційний директор; керівник проєктів; головний технолог / ПТО</x:v>
      </x:c>
      <x:c r="X177" s="15" t="str">
        <x:v>Проєктування, монтаж і сервіс очисних споруд. Пошуковий результат веде на індексовану сторінку корпоративного домену: Очищення стічних вод — проєктування, монтаж, сервіс.</x:v>
      </x:c>
      <x:c r="Y177" s="15" t="str">
        <x:v>Трубопроводи, закладні, резервуари, мембрани й пусконалагодження потребують поетапних актів, фото та протоколів.</x:v>
      </x:c>
      <x:c r="Z177" s="15" t="str">
        <x:v>https://ppp4.kiev.ua/about_us.html</x:v>
      </x:c>
      <x:c r="AA177" s="14" t="str"/>
      <x:c r="AB177" s="14" t="str">
        <x:v>2026-08-24</x:v>
      </x:c>
      <x:c r="AC177" s="14" t="str">
        <x:v>Олександр</x:v>
      </x:c>
      <x:c r="AD177" s="20" t="str"/>
      <x:c r="AE177" s="14" t="str"/>
      <x:c r="AF177" s="14" t="n">
        <x:v>0</x:v>
      </x:c>
      <x:c r="AG177" s="14" t="str">
        <x:v>—</x:v>
      </x:c>
      <x:c r="AH177" s="14" t="n">
        <x:v>0</x:v>
      </x:c>
      <x:c r="AI177" s="14" t="n">
        <x:v>0</x:v>
      </x:c>
      <x:c r="AJ177" s="18" t="n">
        <x:v>0</x:v>
      </x:c>
      <x:c r="AK177" s="14" t="str"/>
      <x:c r="AL177" s="19" t="str"/>
      <x:c r="AM177" s="19" t="str"/>
      <x:c r="AN177" s="15" t="str"/>
      <x:c r="AO177" s="15" t="str">
        <x:v>google_index_verified_2026-08-24</x:v>
      </x:c>
    </x:row>
    <x:row r="178">
      <x:c r="A178" s="14" t="str">
        <x:v>W2-009</x:v>
      </x:c>
      <x:c r="B178" s="14" t="str">
        <x:v>Проєктний сигнал — 24.08</x:v>
      </x:c>
      <x:c r="C178" s="14" t="str">
        <x:v>AquaCenter</x:v>
      </x:c>
      <x:c r="D178" s="14" t="str">
        <x:v>Водоочищення та очисні споруди</x:v>
      </x:c>
      <x:c r="E178" s="14" t="str">
        <x:v>Expansion discovery</x:v>
      </x:c>
      <x:c r="F178" s="17" t="str">
        <x:v>D1</x:v>
      </x:c>
      <x:c r="G178" s="14" t="str">
        <x:v>aquacenter.com.ua</x:v>
      </x:c>
      <x:c r="H178" s="14" t="str">
        <x:v>2-тижневий workflow discovery — потрібні вимоги одного проєкту</x:v>
      </x:c>
      <x:c r="I178" s="16" t="n">
        <x:v>1</x:v>
      </x:c>
      <x:c r="J178" s="16" t="n">
        <x:v>5</x:v>
      </x:c>
      <x:c r="K178" s="16" t="n">
        <x:v>5</x:v>
      </x:c>
      <x:c r="L178" s="16" t="n">
        <x:v>4</x:v>
      </x:c>
      <x:c r="M178" s="16" t="n">
        <x:v>5</x:v>
      </x:c>
      <x:c r="N178" s="16" t="n">
        <x:v>5</x:v>
      </x:c>
      <x:c r="O178" s="16" t="n">
        <x:v>5</x:v>
      </x:c>
      <x:c r="P178" s="16" t="n">
        <x:f>IF(COUNT(I178:O178)&lt;7,"",I178*8+J178*3+K178*2+L178*2+M178*2+N178*2+O178)</x:f>
        <x:v>66</x:v>
      </x:c>
      <x:c r="Q178" s="16" t="n">
        <x:f>IF(COUNT(J178:O178)&lt;6,"",J178*5+K178*4+M178*4+L178*3+N178*2+O178*2)</x:f>
        <x:v>97</x:v>
      </x:c>
      <x:c r="R178" s="14" t="str">
        <x:v>high</x:v>
      </x:c>
      <x:c r="S178" s="14" t="str">
        <x:v>google_index_verified_2026-08-24</x:v>
      </x:c>
      <x:c r="T178" s="14" t="str">
        <x:v>indexed_official_service_page</x:v>
      </x:c>
      <x:c r="U178" s="14" t="str">
        <x:v>Новий — не контактували</x:v>
      </x:c>
      <x:c r="V178" s="15" t="str">
        <x:v>2-тижневий discovery: запросити вимоги 1 активного проєкту + 1 знеособлений артефакт</x:v>
      </x:c>
      <x:c r="W178" s="15" t="str">
        <x:v>Комерційний директор; керівник проєктів; головний технолог / ПТО</x:v>
      </x:c>
      <x:c r="X178" s="15" t="str">
        <x:v>Проєктування та монтаж під ключ. Пошуковий результат веде на індексовану сторінку корпоративного домену: Очищення стічних вод під ключ — AquaCenter.</x:v>
      </x:c>
      <x:c r="Y178" s="15" t="str">
        <x:v>Трубопроводи, закладні, резервуари, мембрани й пусконалагодження потребують поетапних актів, фото та протоколів.</x:v>
      </x:c>
      <x:c r="Z178" s="15" t="str">
        <x:v>https://aquacenter.com.ua/ochistka-stochnyh-vod/</x:v>
      </x:c>
      <x:c r="AA178" s="14" t="str"/>
      <x:c r="AB178" s="14" t="str">
        <x:v>2026-08-24</x:v>
      </x:c>
      <x:c r="AC178" s="14" t="str">
        <x:v>Олександр</x:v>
      </x:c>
      <x:c r="AD178" s="20" t="str"/>
      <x:c r="AE178" s="14" t="str"/>
      <x:c r="AF178" s="14" t="n">
        <x:v>0</x:v>
      </x:c>
      <x:c r="AG178" s="14" t="str">
        <x:v>—</x:v>
      </x:c>
      <x:c r="AH178" s="14" t="n">
        <x:v>0</x:v>
      </x:c>
      <x:c r="AI178" s="14" t="n">
        <x:v>0</x:v>
      </x:c>
      <x:c r="AJ178" s="18" t="n">
        <x:v>0</x:v>
      </x:c>
      <x:c r="AK178" s="14" t="str"/>
      <x:c r="AL178" s="19" t="str"/>
      <x:c r="AM178" s="19" t="str"/>
      <x:c r="AN178" s="15" t="str"/>
      <x:c r="AO178" s="15" t="str">
        <x:v>google_index_verified_2026-08-24</x:v>
      </x:c>
    </x:row>
    <x:row r="179">
      <x:c r="A179" s="14" t="str">
        <x:v>W2-010</x:v>
      </x:c>
      <x:c r="B179" s="14" t="str">
        <x:v>Проєктний сигнал — 24.08</x:v>
      </x:c>
      <x:c r="C179" s="14" t="str">
        <x:v>ETE</x:v>
      </x:c>
      <x:c r="D179" s="14" t="str">
        <x:v>Водоочищення та очисні споруди</x:v>
      </x:c>
      <x:c r="E179" s="14" t="str">
        <x:v>Expansion discovery</x:v>
      </x:c>
      <x:c r="F179" s="17" t="str">
        <x:v>D1</x:v>
      </x:c>
      <x:c r="G179" s="14" t="str">
        <x:v>ete.net.ua</x:v>
      </x:c>
      <x:c r="H179" s="14" t="str">
        <x:v>2-тижневий workflow discovery — потрібні вимоги одного проєкту</x:v>
      </x:c>
      <x:c r="I179" s="16" t="n">
        <x:v>1</x:v>
      </x:c>
      <x:c r="J179" s="16" t="n">
        <x:v>5</x:v>
      </x:c>
      <x:c r="K179" s="16" t="n">
        <x:v>5</x:v>
      </x:c>
      <x:c r="L179" s="16" t="n">
        <x:v>4</x:v>
      </x:c>
      <x:c r="M179" s="16" t="n">
        <x:v>5</x:v>
      </x:c>
      <x:c r="N179" s="16" t="n">
        <x:v>5</x:v>
      </x:c>
      <x:c r="O179" s="16" t="n">
        <x:v>5</x:v>
      </x:c>
      <x:c r="P179" s="16" t="n">
        <x:f>IF(COUNT(I179:O179)&lt;7,"",I179*8+J179*3+K179*2+L179*2+M179*2+N179*2+O179)</x:f>
        <x:v>66</x:v>
      </x:c>
      <x:c r="Q179" s="16" t="n">
        <x:f>IF(COUNT(J179:O179)&lt;6,"",J179*5+K179*4+M179*4+L179*3+N179*2+O179*2)</x:f>
        <x:v>97</x:v>
      </x:c>
      <x:c r="R179" s="14" t="str">
        <x:v>high</x:v>
      </x:c>
      <x:c r="S179" s="14" t="str">
        <x:v>google_index_verified_2026-08-24</x:v>
      </x:c>
      <x:c r="T179" s="14" t="str">
        <x:v>indexed_official_service_page</x:v>
      </x:c>
      <x:c r="U179" s="14" t="str">
        <x:v>Новий — не контактували</x:v>
      </x:c>
      <x:c r="V179" s="15" t="str">
        <x:v>2-тижневий discovery: запросити вимоги 1 активного проєкту + 1 знеособлений артефакт</x:v>
      </x:c>
      <x:c r="W179" s="15" t="str">
        <x:v>Комерційний директор; керівник проєктів; головний технолог / ПТО</x:v>
      </x:c>
      <x:c r="X179" s="15" t="str">
        <x:v>Очисні споруди та системи водопостачання. Пошуковий результат веде на індексовану сторінку корпоративного домену: Проєктування очисних споруд та водопостачання — ETE.</x:v>
      </x:c>
      <x:c r="Y179" s="15" t="str">
        <x:v>Трубопроводи, закладні, резервуари, мембрани й пусконалагодження потребують поетапних актів, фото та протоколів.</x:v>
      </x:c>
      <x:c r="Z179" s="15" t="str">
        <x:v>https://ete.net.ua/proektuvannya/</x:v>
      </x:c>
      <x:c r="AA179" s="14" t="str"/>
      <x:c r="AB179" s="14" t="str">
        <x:v>2026-08-24</x:v>
      </x:c>
      <x:c r="AC179" s="14" t="str">
        <x:v>Олександр</x:v>
      </x:c>
      <x:c r="AD179" s="20" t="str"/>
      <x:c r="AE179" s="14" t="str"/>
      <x:c r="AF179" s="14" t="n">
        <x:v>0</x:v>
      </x:c>
      <x:c r="AG179" s="14" t="str">
        <x:v>—</x:v>
      </x:c>
      <x:c r="AH179" s="14" t="n">
        <x:v>0</x:v>
      </x:c>
      <x:c r="AI179" s="14" t="n">
        <x:v>0</x:v>
      </x:c>
      <x:c r="AJ179" s="18" t="n">
        <x:v>0</x:v>
      </x:c>
      <x:c r="AK179" s="14" t="str"/>
      <x:c r="AL179" s="19" t="str"/>
      <x:c r="AM179" s="19" t="str"/>
      <x:c r="AN179" s="15" t="str"/>
      <x:c r="AO179" s="15" t="str">
        <x:v>google_index_verified_2026-08-24</x:v>
      </x:c>
    </x:row>
    <x:row r="180">
      <x:c r="A180" s="14" t="str">
        <x:v>W2-011</x:v>
      </x:c>
      <x:c r="B180" s="14" t="str">
        <x:v>Проєктний сигнал — 24.08</x:v>
      </x:c>
      <x:c r="C180" s="14" t="str">
        <x:v>AQUATEC</x:v>
      </x:c>
      <x:c r="D180" s="14" t="str">
        <x:v>Водоочищення та очисні споруди</x:v>
      </x:c>
      <x:c r="E180" s="14" t="str">
        <x:v>Expansion discovery</x:v>
      </x:c>
      <x:c r="F180" s="17" t="str">
        <x:v>D1</x:v>
      </x:c>
      <x:c r="G180" s="14" t="str">
        <x:v>aquatec.in.ua</x:v>
      </x:c>
      <x:c r="H180" s="14" t="str">
        <x:v>2-тижневий workflow discovery — потрібні вимоги одного проєкту</x:v>
      </x:c>
      <x:c r="I180" s="16" t="n">
        <x:v>1</x:v>
      </x:c>
      <x:c r="J180" s="16" t="n">
        <x:v>5</x:v>
      </x:c>
      <x:c r="K180" s="16" t="n">
        <x:v>5</x:v>
      </x:c>
      <x:c r="L180" s="16" t="n">
        <x:v>4</x:v>
      </x:c>
      <x:c r="M180" s="16" t="n">
        <x:v>5</x:v>
      </x:c>
      <x:c r="N180" s="16" t="n">
        <x:v>5</x:v>
      </x:c>
      <x:c r="O180" s="16" t="n">
        <x:v>5</x:v>
      </x:c>
      <x:c r="P180" s="16" t="n">
        <x:f>IF(COUNT(I180:O180)&lt;7,"",I180*8+J180*3+K180*2+L180*2+M180*2+N180*2+O180)</x:f>
        <x:v>66</x:v>
      </x:c>
      <x:c r="Q180" s="16" t="n">
        <x:f>IF(COUNT(J180:O180)&lt;6,"",J180*5+K180*4+M180*4+L180*3+N180*2+O180*2)</x:f>
        <x:v>97</x:v>
      </x:c>
      <x:c r="R180" s="14" t="str">
        <x:v>high</x:v>
      </x:c>
      <x:c r="S180" s="14" t="str">
        <x:v>google_index_verified_2026-08-24</x:v>
      </x:c>
      <x:c r="T180" s="14" t="str">
        <x:v>indexed_official_service_page</x:v>
      </x:c>
      <x:c r="U180" s="14" t="str">
        <x:v>Новий — не контактували</x:v>
      </x:c>
      <x:c r="V180" s="15" t="str">
        <x:v>2-тижневий discovery: запросити вимоги 1 активного проєкту + 1 знеособлений артефакт</x:v>
      </x:c>
      <x:c r="W180" s="15" t="str">
        <x:v>Комерційний директор; керівник проєктів; головний технолог / ПТО</x:v>
      </x:c>
      <x:c r="X180" s="15" t="str">
        <x:v>Публічний кейс реконструкції промислових очисних споруд. Пошуковий результат веде на індексовану сторінку корпоративного домену: Реконструкція очисних споруд — AQUATEC.</x:v>
      </x:c>
      <x:c r="Y180" s="15" t="str">
        <x:v>Трубопроводи, закладні, резервуари, мембрани й пусконалагодження потребують поетапних актів, фото та протоколів.</x:v>
      </x:c>
      <x:c r="Z180" s="15" t="str">
        <x:v>https://aquatec.in.ua/solutions/rekonstruktsiya-ochisnikh-sporud-pidpriyemstva-kropivnitskiy</x:v>
      </x:c>
      <x:c r="AA180" s="14" t="str"/>
      <x:c r="AB180" s="14" t="str">
        <x:v>2026-08-24</x:v>
      </x:c>
      <x:c r="AC180" s="14" t="str">
        <x:v>Олександр</x:v>
      </x:c>
      <x:c r="AD180" s="20" t="str"/>
      <x:c r="AE180" s="14" t="str"/>
      <x:c r="AF180" s="14" t="n">
        <x:v>0</x:v>
      </x:c>
      <x:c r="AG180" s="14" t="str">
        <x:v>—</x:v>
      </x:c>
      <x:c r="AH180" s="14" t="n">
        <x:v>0</x:v>
      </x:c>
      <x:c r="AI180" s="14" t="n">
        <x:v>0</x:v>
      </x:c>
      <x:c r="AJ180" s="18" t="n">
        <x:v>0</x:v>
      </x:c>
      <x:c r="AK180" s="14" t="str"/>
      <x:c r="AL180" s="19" t="str"/>
      <x:c r="AM180" s="19" t="str"/>
      <x:c r="AN180" s="15" t="str"/>
      <x:c r="AO180" s="15" t="str">
        <x:v>google_index_verified_2026-08-24</x:v>
      </x:c>
    </x:row>
    <x:row r="181">
      <x:c r="A181" s="14" t="str">
        <x:v>W2-012</x:v>
      </x:c>
      <x:c r="B181" s="14" t="str">
        <x:v>Проєктний сигнал — 24.08</x:v>
      </x:c>
      <x:c r="C181" s="14" t="str">
        <x:v>ONSS</x:v>
      </x:c>
      <x:c r="D181" s="14" t="str">
        <x:v>Водоочищення та очисні споруди</x:v>
      </x:c>
      <x:c r="E181" s="14" t="str">
        <x:v>Expansion discovery</x:v>
      </x:c>
      <x:c r="F181" s="17" t="str">
        <x:v>D1</x:v>
      </x:c>
      <x:c r="G181" s="14" t="str">
        <x:v>onss.com.ua</x:v>
      </x:c>
      <x:c r="H181" s="14" t="str">
        <x:v>2-тижневий workflow discovery — потрібні вимоги одного проєкту</x:v>
      </x:c>
      <x:c r="I181" s="16" t="n">
        <x:v>1</x:v>
      </x:c>
      <x:c r="J181" s="16" t="n">
        <x:v>5</x:v>
      </x:c>
      <x:c r="K181" s="16" t="n">
        <x:v>5</x:v>
      </x:c>
      <x:c r="L181" s="16" t="n">
        <x:v>4</x:v>
      </x:c>
      <x:c r="M181" s="16" t="n">
        <x:v>5</x:v>
      </x:c>
      <x:c r="N181" s="16" t="n">
        <x:v>5</x:v>
      </x:c>
      <x:c r="O181" s="16" t="n">
        <x:v>5</x:v>
      </x:c>
      <x:c r="P181" s="16" t="n">
        <x:f>IF(COUNT(I181:O181)&lt;7,"",I181*8+J181*3+K181*2+L181*2+M181*2+N181*2+O181)</x:f>
        <x:v>66</x:v>
      </x:c>
      <x:c r="Q181" s="16" t="n">
        <x:f>IF(COUNT(J181:O181)&lt;6,"",J181*5+K181*4+M181*4+L181*3+N181*2+O181*2)</x:f>
        <x:v>97</x:v>
      </x:c>
      <x:c r="R181" s="14" t="str">
        <x:v>high</x:v>
      </x:c>
      <x:c r="S181" s="14" t="str">
        <x:v>google_index_verified_2026-08-24</x:v>
      </x:c>
      <x:c r="T181" s="14" t="str">
        <x:v>indexed_official_service_page</x:v>
      </x:c>
      <x:c r="U181" s="14" t="str">
        <x:v>Новий — не контактували</x:v>
      </x:c>
      <x:c r="V181" s="15" t="str">
        <x:v>2-тижневий discovery: запросити вимоги 1 активного проєкту + 1 знеособлений артефакт</x:v>
      </x:c>
      <x:c r="W181" s="15" t="str">
        <x:v>Комерційний директор; керівник проєктів; головний технолог / ПТО</x:v>
      </x:c>
      <x:c r="X181" s="15" t="str">
        <x:v>Водоочищення під ключ. Пошуковий результат веде на індексовану сторінку корпоративного домену: Проєктування систем водоочищення під ключ — ONSS.</x:v>
      </x:c>
      <x:c r="Y181" s="15" t="str">
        <x:v>Трубопроводи, закладні, резервуари, мембрани й пусконалагодження потребують поетапних актів, фото та протоколів.</x:v>
      </x:c>
      <x:c r="Z181" s="15" t="str">
        <x:v>https://onss.com.ua/poslugy/proyektuvannya-system-vodoochyshhennya/</x:v>
      </x:c>
      <x:c r="AA181" s="14" t="str"/>
      <x:c r="AB181" s="14" t="str">
        <x:v>2026-08-24</x:v>
      </x:c>
      <x:c r="AC181" s="14" t="str">
        <x:v>Олександр</x:v>
      </x:c>
      <x:c r="AD181" s="20" t="str"/>
      <x:c r="AE181" s="14" t="str"/>
      <x:c r="AF181" s="14" t="n">
        <x:v>0</x:v>
      </x:c>
      <x:c r="AG181" s="14" t="str">
        <x:v>—</x:v>
      </x:c>
      <x:c r="AH181" s="14" t="n">
        <x:v>0</x:v>
      </x:c>
      <x:c r="AI181" s="14" t="n">
        <x:v>0</x:v>
      </x:c>
      <x:c r="AJ181" s="18" t="n">
        <x:v>0</x:v>
      </x:c>
      <x:c r="AK181" s="14" t="str"/>
      <x:c r="AL181" s="19" t="str"/>
      <x:c r="AM181" s="19" t="str"/>
      <x:c r="AN181" s="15" t="str"/>
      <x:c r="AO181" s="15" t="str">
        <x:v>google_index_verified_2026-08-24</x:v>
      </x:c>
    </x:row>
    <x:row r="182">
      <x:c r="A182" s="14" t="str">
        <x:v>W2-013</x:v>
      </x:c>
      <x:c r="B182" s="14" t="str">
        <x:v>Проєктний сигнал — 24.08</x:v>
      </x:c>
      <x:c r="C182" s="14" t="str">
        <x:v>AQUANTIS</x:v>
      </x:c>
      <x:c r="D182" s="14" t="str">
        <x:v>Водоочищення та очисні споруди</x:v>
      </x:c>
      <x:c r="E182" s="14" t="str">
        <x:v>Expansion discovery</x:v>
      </x:c>
      <x:c r="F182" s="17" t="str">
        <x:v>D1</x:v>
      </x:c>
      <x:c r="G182" s="14" t="str">
        <x:v>aquantis.com.ua</x:v>
      </x:c>
      <x:c r="H182" s="14" t="str">
        <x:v>2-тижневий workflow discovery — потрібні вимоги одного проєкту</x:v>
      </x:c>
      <x:c r="I182" s="16" t="n">
        <x:v>1</x:v>
      </x:c>
      <x:c r="J182" s="16" t="n">
        <x:v>5</x:v>
      </x:c>
      <x:c r="K182" s="16" t="n">
        <x:v>5</x:v>
      </x:c>
      <x:c r="L182" s="16" t="n">
        <x:v>4</x:v>
      </x:c>
      <x:c r="M182" s="16" t="n">
        <x:v>5</x:v>
      </x:c>
      <x:c r="N182" s="16" t="n">
        <x:v>5</x:v>
      </x:c>
      <x:c r="O182" s="16" t="n">
        <x:v>5</x:v>
      </x:c>
      <x:c r="P182" s="16" t="n">
        <x:f>IF(COUNT(I182:O182)&lt;7,"",I182*8+J182*3+K182*2+L182*2+M182*2+N182*2+O182)</x:f>
        <x:v>66</x:v>
      </x:c>
      <x:c r="Q182" s="16" t="n">
        <x:f>IF(COUNT(J182:O182)&lt;6,"",J182*5+K182*4+M182*4+L182*3+N182*2+O182*2)</x:f>
        <x:v>97</x:v>
      </x:c>
      <x:c r="R182" s="14" t="str">
        <x:v>high</x:v>
      </x:c>
      <x:c r="S182" s="14" t="str">
        <x:v>google_index_verified_2026-08-24</x:v>
      </x:c>
      <x:c r="T182" s="14" t="str">
        <x:v>indexed_official_service_page</x:v>
      </x:c>
      <x:c r="U182" s="14" t="str">
        <x:v>Новий — не контактували</x:v>
      </x:c>
      <x:c r="V182" s="15" t="str">
        <x:v>2-тижневий discovery: запросити вимоги 1 активного проєкту + 1 знеособлений артефакт</x:v>
      </x:c>
      <x:c r="W182" s="15" t="str">
        <x:v>Комерційний директор; керівник проєктів; головний технолог / ПТО</x:v>
      </x:c>
      <x:c r="X182" s="15" t="str">
        <x:v>Компанія з очисних споруд. Пошуковий результат веде на індексовану сторінку корпоративного домену: AQUANTIS — очисні споруди.</x:v>
      </x:c>
      <x:c r="Y182" s="15" t="str">
        <x:v>Трубопроводи, закладні, резервуари, мембрани й пусконалагодження потребують поетапних актів, фото та протоколів.</x:v>
      </x:c>
      <x:c r="Z182" s="15" t="str">
        <x:v>https://aquantis.com.ua/uk/page/company</x:v>
      </x:c>
      <x:c r="AA182" s="14" t="str"/>
      <x:c r="AB182" s="14" t="str">
        <x:v>2026-08-24</x:v>
      </x:c>
      <x:c r="AC182" s="14" t="str">
        <x:v>Олександр</x:v>
      </x:c>
      <x:c r="AD182" s="20" t="str"/>
      <x:c r="AE182" s="14" t="str"/>
      <x:c r="AF182" s="14" t="n">
        <x:v>0</x:v>
      </x:c>
      <x:c r="AG182" s="14" t="str">
        <x:v>—</x:v>
      </x:c>
      <x:c r="AH182" s="14" t="n">
        <x:v>0</x:v>
      </x:c>
      <x:c r="AI182" s="14" t="n">
        <x:v>0</x:v>
      </x:c>
      <x:c r="AJ182" s="18" t="n">
        <x:v>0</x:v>
      </x:c>
      <x:c r="AK182" s="14" t="str"/>
      <x:c r="AL182" s="19" t="str"/>
      <x:c r="AM182" s="19" t="str"/>
      <x:c r="AN182" s="15" t="str"/>
      <x:c r="AO182" s="15" t="str">
        <x:v>google_index_verified_2026-08-24</x:v>
      </x:c>
    </x:row>
    <x:row r="183">
      <x:c r="A183" s="14" t="str">
        <x:v>W2-014</x:v>
      </x:c>
      <x:c r="B183" s="14" t="str">
        <x:v>Проєктний сигнал — 24.08</x:v>
      </x:c>
      <x:c r="C183" s="14" t="str">
        <x:v>Акваторія</x:v>
      </x:c>
      <x:c r="D183" s="14" t="str">
        <x:v>Водоочищення та очисні споруди</x:v>
      </x:c>
      <x:c r="E183" s="14" t="str">
        <x:v>Expansion discovery</x:v>
      </x:c>
      <x:c r="F183" s="17" t="str">
        <x:v>D1</x:v>
      </x:c>
      <x:c r="G183" s="14" t="str">
        <x:v>aquatoria.kiev.ua</x:v>
      </x:c>
      <x:c r="H183" s="14" t="str">
        <x:v>2-тижневий workflow discovery — потрібні вимоги одного проєкту</x:v>
      </x:c>
      <x:c r="I183" s="16" t="n">
        <x:v>1</x:v>
      </x:c>
      <x:c r="J183" s="16" t="n">
        <x:v>5</x:v>
      </x:c>
      <x:c r="K183" s="16" t="n">
        <x:v>5</x:v>
      </x:c>
      <x:c r="L183" s="16" t="n">
        <x:v>4</x:v>
      </x:c>
      <x:c r="M183" s="16" t="n">
        <x:v>5</x:v>
      </x:c>
      <x:c r="N183" s="16" t="n">
        <x:v>5</x:v>
      </x:c>
      <x:c r="O183" s="16" t="n">
        <x:v>5</x:v>
      </x:c>
      <x:c r="P183" s="16" t="n">
        <x:f>IF(COUNT(I183:O183)&lt;7,"",I183*8+J183*3+K183*2+L183*2+M183*2+N183*2+O183)</x:f>
        <x:v>66</x:v>
      </x:c>
      <x:c r="Q183" s="16" t="n">
        <x:f>IF(COUNT(J183:O183)&lt;6,"",J183*5+K183*4+M183*4+L183*3+N183*2+O183*2)</x:f>
        <x:v>97</x:v>
      </x:c>
      <x:c r="R183" s="14" t="str">
        <x:v>high</x:v>
      </x:c>
      <x:c r="S183" s="14" t="str">
        <x:v>google_index_verified_2026-08-24</x:v>
      </x:c>
      <x:c r="T183" s="14" t="str">
        <x:v>indexed_official_service_page</x:v>
      </x:c>
      <x:c r="U183" s="14" t="str">
        <x:v>Новий — не контактували</x:v>
      </x:c>
      <x:c r="V183" s="15" t="str">
        <x:v>2-тижневий discovery: запросити вимоги 1 активного проєкту + 1 знеособлений артефакт</x:v>
      </x:c>
      <x:c r="W183" s="15" t="str">
        <x:v>Комерційний директор; керівник проєктів; головний технолог / ПТО</x:v>
      </x:c>
      <x:c r="X183" s="15" t="str">
        <x:v>Монтаж локальних очисних споруд. Пошуковий результат веде на індексовану сторінку корпоративного домену: Монтаж локальних очисних споруд — Акваторія.</x:v>
      </x:c>
      <x:c r="Y183" s="15" t="str">
        <x:v>Трубопроводи, закладні, резервуари, мембрани й пусконалагодження потребують поетапних актів, фото та протоколів.</x:v>
      </x:c>
      <x:c r="Z183" s="15" t="str">
        <x:v>https://aquatoria.kiev.ua/avtonomna-kanalizatsiia/montazh-lokalnykh-ochysnykh-sporud</x:v>
      </x:c>
      <x:c r="AA183" s="14" t="str"/>
      <x:c r="AB183" s="14" t="str">
        <x:v>2026-08-24</x:v>
      </x:c>
      <x:c r="AC183" s="14" t="str">
        <x:v>Олександр</x:v>
      </x:c>
      <x:c r="AD183" s="20" t="str"/>
      <x:c r="AE183" s="14" t="str"/>
      <x:c r="AF183" s="14" t="n">
        <x:v>0</x:v>
      </x:c>
      <x:c r="AG183" s="14" t="str">
        <x:v>—</x:v>
      </x:c>
      <x:c r="AH183" s="14" t="n">
        <x:v>0</x:v>
      </x:c>
      <x:c r="AI183" s="14" t="n">
        <x:v>0</x:v>
      </x:c>
      <x:c r="AJ183" s="18" t="n">
        <x:v>0</x:v>
      </x:c>
      <x:c r="AK183" s="14" t="str"/>
      <x:c r="AL183" s="19" t="str"/>
      <x:c r="AM183" s="19" t="str"/>
      <x:c r="AN183" s="15" t="str"/>
      <x:c r="AO183" s="15" t="str">
        <x:v>google_index_verified_2026-08-24</x:v>
      </x:c>
    </x:row>
    <x:row r="184">
      <x:c r="A184" s="14" t="str">
        <x:v>W2-015</x:v>
      </x:c>
      <x:c r="B184" s="14" t="str">
        <x:v>Проєктний сигнал — 24.08</x:v>
      </x:c>
      <x:c r="C184" s="14" t="str">
        <x:v>AMM Project</x:v>
      </x:c>
      <x:c r="D184" s="14" t="str">
        <x:v>Промислова автоматизація / SCADA</x:v>
      </x:c>
      <x:c r="E184" s="14" t="str">
        <x:v>Expansion discovery</x:v>
      </x:c>
      <x:c r="F184" s="17" t="str">
        <x:v>D1</x:v>
      </x:c>
      <x:c r="G184" s="14" t="str">
        <x:v>ammproject.com.ua</x:v>
      </x:c>
      <x:c r="H184" s="14" t="str">
        <x:v>2-тижневий workflow discovery — потрібні вимоги одного проєкту</x:v>
      </x:c>
      <x:c r="I184" s="16" t="n">
        <x:v>1</x:v>
      </x:c>
      <x:c r="J184" s="16" t="n">
        <x:v>5</x:v>
      </x:c>
      <x:c r="K184" s="16" t="n">
        <x:v>4</x:v>
      </x:c>
      <x:c r="L184" s="16" t="n">
        <x:v>4</x:v>
      </x:c>
      <x:c r="M184" s="16" t="n">
        <x:v>5</x:v>
      </x:c>
      <x:c r="N184" s="16" t="n">
        <x:v>5</x:v>
      </x:c>
      <x:c r="O184" s="16" t="n">
        <x:v>5</x:v>
      </x:c>
      <x:c r="P184" s="16" t="n">
        <x:f>IF(COUNT(I184:O184)&lt;7,"",I184*8+J184*3+K184*2+L184*2+M184*2+N184*2+O184)</x:f>
        <x:v>64</x:v>
      </x:c>
      <x:c r="Q184" s="16" t="n">
        <x:f>IF(COUNT(J184:O184)&lt;6,"",J184*5+K184*4+M184*4+L184*3+N184*2+O184*2)</x:f>
        <x:v>93</x:v>
      </x:c>
      <x:c r="R184" s="14" t="str">
        <x:v>high</x:v>
      </x:c>
      <x:c r="S184" s="14" t="str">
        <x:v>google_index_verified_2026-08-24</x:v>
      </x:c>
      <x:c r="T184" s="14" t="str">
        <x:v>indexed_official_service_page</x:v>
      </x:c>
      <x:c r="U184" s="14" t="str">
        <x:v>Новий — не контактували</x:v>
      </x:c>
      <x:c r="V184" s="15" t="str">
        <x:v>2-тижневий discovery: запросити вимоги 1 активного проєкту + 1 знеособлений артефакт</x:v>
      </x:c>
      <x:c r="W184" s="15" t="str">
        <x:v>Комерційний директор; керівник проєктів АСК ТП; керівник пусконалагодження</x:v>
      </x:c>
      <x:c r="X184" s="15" t="str">
        <x:v>Промислова автоматизація та інженерні проєкти. Пошуковий результат веде на індексовану сторінку корпоративного домену: Автоматизація — AMM Project.</x:v>
      </x:c>
      <x:c r="Y184" s="15" t="str">
        <x:v>Шафи, кабелі, маркування, loop-check та FAT/SAT створюють пакет доказів між монтажем, ПНР і замовником.</x:v>
      </x:c>
      <x:c r="Z184" s="15" t="str">
        <x:v>https://ammproject.com.ua/posluhy/avtomatyzacia/</x:v>
      </x:c>
      <x:c r="AA184" s="14" t="str"/>
      <x:c r="AB184" s="14" t="str">
        <x:v>2026-08-24</x:v>
      </x:c>
      <x:c r="AC184" s="14" t="str">
        <x:v>Олександр</x:v>
      </x:c>
      <x:c r="AD184" s="20" t="str"/>
      <x:c r="AE184" s="14" t="str"/>
      <x:c r="AF184" s="14" t="n">
        <x:v>0</x:v>
      </x:c>
      <x:c r="AG184" s="14" t="str">
        <x:v>—</x:v>
      </x:c>
      <x:c r="AH184" s="14" t="n">
        <x:v>0</x:v>
      </x:c>
      <x:c r="AI184" s="14" t="n">
        <x:v>0</x:v>
      </x:c>
      <x:c r="AJ184" s="18" t="n">
        <x:v>0</x:v>
      </x:c>
      <x:c r="AK184" s="14" t="str"/>
      <x:c r="AL184" s="19" t="str"/>
      <x:c r="AM184" s="19" t="str"/>
      <x:c r="AN184" s="15" t="str"/>
      <x:c r="AO184" s="15" t="str">
        <x:v>google_index_verified_2026-08-24</x:v>
      </x:c>
    </x:row>
    <x:row r="185">
      <x:c r="A185" s="14" t="str">
        <x:v>W2-016</x:v>
      </x:c>
      <x:c r="B185" s="14" t="str">
        <x:v>Проєктний сигнал — 24.08</x:v>
      </x:c>
      <x:c r="C185" s="14" t="str">
        <x:v>Intecracy Group</x:v>
      </x:c>
      <x:c r="D185" s="14" t="str">
        <x:v>Промислова автоматизація / SCADA</x:v>
      </x:c>
      <x:c r="E185" s="14" t="str">
        <x:v>Expansion discovery</x:v>
      </x:c>
      <x:c r="F185" s="17" t="str">
        <x:v>D1</x:v>
      </x:c>
      <x:c r="G185" s="14" t="str">
        <x:v>intecracy.com</x:v>
      </x:c>
      <x:c r="H185" s="14" t="str">
        <x:v>2-тижневий workflow discovery — потрібні вимоги одного проєкту</x:v>
      </x:c>
      <x:c r="I185" s="16" t="n">
        <x:v>1</x:v>
      </x:c>
      <x:c r="J185" s="16" t="n">
        <x:v>5</x:v>
      </x:c>
      <x:c r="K185" s="16" t="n">
        <x:v>4</x:v>
      </x:c>
      <x:c r="L185" s="16" t="n">
        <x:v>4</x:v>
      </x:c>
      <x:c r="M185" s="16" t="n">
        <x:v>5</x:v>
      </x:c>
      <x:c r="N185" s="16" t="n">
        <x:v>5</x:v>
      </x:c>
      <x:c r="O185" s="16" t="n">
        <x:v>5</x:v>
      </x:c>
      <x:c r="P185" s="16" t="n">
        <x:f>IF(COUNT(I185:O185)&lt;7,"",I185*8+J185*3+K185*2+L185*2+M185*2+N185*2+O185)</x:f>
        <x:v>64</x:v>
      </x:c>
      <x:c r="Q185" s="16" t="n">
        <x:f>IF(COUNT(J185:O185)&lt;6,"",J185*5+K185*4+M185*4+L185*3+N185*2+O185*2)</x:f>
        <x:v>93</x:v>
      </x:c>
      <x:c r="R185" s="14" t="str">
        <x:v>high</x:v>
      </x:c>
      <x:c r="S185" s="14" t="str">
        <x:v>google_index_verified_2026-08-24</x:v>
      </x:c>
      <x:c r="T185" s="14" t="str">
        <x:v>indexed_official_service_page</x:v>
      </x:c>
      <x:c r="U185" s="14" t="str">
        <x:v>Новий — не контактували</x:v>
      </x:c>
      <x:c r="V185" s="15" t="str">
        <x:v>2-тижневий discovery: запросити вимоги 1 активного проєкту + 1 знеособлений артефакт</x:v>
      </x:c>
      <x:c r="W185" s="15" t="str">
        <x:v>Комерційний директор; керівник проєктів АСК ТП; керівник пусконалагодження</x:v>
      </x:c>
      <x:c r="X185" s="15" t="str">
        <x:v>IIoT і SCADA інтеграція. Пошуковий результат веде на індексовану сторінку корпоративного домену: IoT та промислова автоматизація — Intecracy Group.</x:v>
      </x:c>
      <x:c r="Y185" s="15" t="str">
        <x:v>Шафи, кабелі, маркування, loop-check та FAT/SAT створюють пакет доказів між монтажем, ПНР і замовником.</x:v>
      </x:c>
      <x:c r="Z185" s="15" t="str">
        <x:v>https://intecracy.com/iot-industrial/</x:v>
      </x:c>
      <x:c r="AA185" s="14" t="str"/>
      <x:c r="AB185" s="14" t="str">
        <x:v>2026-08-24</x:v>
      </x:c>
      <x:c r="AC185" s="14" t="str">
        <x:v>Олександр</x:v>
      </x:c>
      <x:c r="AD185" s="20" t="str"/>
      <x:c r="AE185" s="14" t="str"/>
      <x:c r="AF185" s="14" t="n">
        <x:v>0</x:v>
      </x:c>
      <x:c r="AG185" s="14" t="str">
        <x:v>—</x:v>
      </x:c>
      <x:c r="AH185" s="14" t="n">
        <x:v>0</x:v>
      </x:c>
      <x:c r="AI185" s="14" t="n">
        <x:v>0</x:v>
      </x:c>
      <x:c r="AJ185" s="18" t="n">
        <x:v>0</x:v>
      </x:c>
      <x:c r="AK185" s="14" t="str"/>
      <x:c r="AL185" s="19" t="str"/>
      <x:c r="AM185" s="19" t="str"/>
      <x:c r="AN185" s="15" t="str"/>
      <x:c r="AO185" s="15" t="str">
        <x:v>google_index_verified_2026-08-24</x:v>
      </x:c>
    </x:row>
    <x:row r="186">
      <x:c r="A186" s="14" t="str">
        <x:v>W2-017</x:v>
      </x:c>
      <x:c r="B186" s="14" t="str">
        <x:v>Проєктний сигнал — 24.08</x:v>
      </x:c>
      <x:c r="C186" s="14" t="str">
        <x:v>СКБ СистемА</x:v>
      </x:c>
      <x:c r="D186" s="14" t="str">
        <x:v>Промислова автоматизація / SCADA</x:v>
      </x:c>
      <x:c r="E186" s="14" t="str">
        <x:v>Expansion discovery</x:v>
      </x:c>
      <x:c r="F186" s="17" t="str">
        <x:v>D1</x:v>
      </x:c>
      <x:c r="G186" s="14" t="str">
        <x:v>promotic.co.ua</x:v>
      </x:c>
      <x:c r="H186" s="14" t="str">
        <x:v>2-тижневий workflow discovery — потрібні вимоги одного проєкту</x:v>
      </x:c>
      <x:c r="I186" s="16" t="n">
        <x:v>1</x:v>
      </x:c>
      <x:c r="J186" s="16" t="n">
        <x:v>5</x:v>
      </x:c>
      <x:c r="K186" s="16" t="n">
        <x:v>4</x:v>
      </x:c>
      <x:c r="L186" s="16" t="n">
        <x:v>4</x:v>
      </x:c>
      <x:c r="M186" s="16" t="n">
        <x:v>5</x:v>
      </x:c>
      <x:c r="N186" s="16" t="n">
        <x:v>5</x:v>
      </x:c>
      <x:c r="O186" s="16" t="n">
        <x:v>5</x:v>
      </x:c>
      <x:c r="P186" s="16" t="n">
        <x:f>IF(COUNT(I186:O186)&lt;7,"",I186*8+J186*3+K186*2+L186*2+M186*2+N186*2+O186)</x:f>
        <x:v>64</x:v>
      </x:c>
      <x:c r="Q186" s="16" t="n">
        <x:f>IF(COUNT(J186:O186)&lt;6,"",J186*5+K186*4+M186*4+L186*3+N186*2+O186*2)</x:f>
        <x:v>93</x:v>
      </x:c>
      <x:c r="R186" s="14" t="str">
        <x:v>high</x:v>
      </x:c>
      <x:c r="S186" s="14" t="str">
        <x:v>google_index_verified_2026-08-24</x:v>
      </x:c>
      <x:c r="T186" s="14" t="str">
        <x:v>indexed_official_service_page</x:v>
      </x:c>
      <x:c r="U186" s="14" t="str">
        <x:v>Новий — не контактували</x:v>
      </x:c>
      <x:c r="V186" s="15" t="str">
        <x:v>2-тижневий discovery: запросити вимоги 1 активного проєкту + 1 знеособлений артефакт</x:v>
      </x:c>
      <x:c r="W186" s="15" t="str">
        <x:v>Комерційний директор; керівник проєктів АСК ТП; керівник пусконалагодження</x:v>
      </x:c>
      <x:c r="X186" s="15" t="str">
        <x:v>Інженерне бюро автоматизації. Пошуковий результат веде на індексовану сторінку корпоративного домену: Інженерне бюро промислової автоматизації — СКБ СистемА.</x:v>
      </x:c>
      <x:c r="Y186" s="15" t="str">
        <x:v>Шафи, кабелі, маркування, loop-check та FAT/SAT створюють пакет доказів між монтажем, ПНР і замовником.</x:v>
      </x:c>
      <x:c r="Z186" s="15" t="str">
        <x:v>https://promotic.co.ua/</x:v>
      </x:c>
      <x:c r="AA186" s="14" t="str"/>
      <x:c r="AB186" s="14" t="str">
        <x:v>2026-08-24</x:v>
      </x:c>
      <x:c r="AC186" s="14" t="str">
        <x:v>Олександр</x:v>
      </x:c>
      <x:c r="AD186" s="20" t="str"/>
      <x:c r="AE186" s="14" t="str"/>
      <x:c r="AF186" s="14" t="n">
        <x:v>0</x:v>
      </x:c>
      <x:c r="AG186" s="14" t="str">
        <x:v>—</x:v>
      </x:c>
      <x:c r="AH186" s="14" t="n">
        <x:v>0</x:v>
      </x:c>
      <x:c r="AI186" s="14" t="n">
        <x:v>0</x:v>
      </x:c>
      <x:c r="AJ186" s="18" t="n">
        <x:v>0</x:v>
      </x:c>
      <x:c r="AK186" s="14" t="str"/>
      <x:c r="AL186" s="19" t="str"/>
      <x:c r="AM186" s="19" t="str"/>
      <x:c r="AN186" s="15" t="str"/>
      <x:c r="AO186" s="15" t="str">
        <x:v>google_index_verified_2026-08-24</x:v>
      </x:c>
    </x:row>
    <x:row r="187">
      <x:c r="A187" s="14" t="str">
        <x:v>W2-018</x:v>
      </x:c>
      <x:c r="B187" s="14" t="str">
        <x:v>Проєктний сигнал — 24.08</x:v>
      </x:c>
      <x:c r="C187" s="14" t="str">
        <x:v>Променерго</x:v>
      </x:c>
      <x:c r="D187" s="14" t="str">
        <x:v>Промислова автоматизація / SCADA</x:v>
      </x:c>
      <x:c r="E187" s="14" t="str">
        <x:v>Expansion discovery</x:v>
      </x:c>
      <x:c r="F187" s="17" t="str">
        <x:v>D1</x:v>
      </x:c>
      <x:c r="G187" s="14" t="str">
        <x:v>promenergo.dp.ua</x:v>
      </x:c>
      <x:c r="H187" s="14" t="str">
        <x:v>2-тижневий workflow discovery — потрібні вимоги одного проєкту</x:v>
      </x:c>
      <x:c r="I187" s="16" t="n">
        <x:v>1</x:v>
      </x:c>
      <x:c r="J187" s="16" t="n">
        <x:v>5</x:v>
      </x:c>
      <x:c r="K187" s="16" t="n">
        <x:v>4</x:v>
      </x:c>
      <x:c r="L187" s="16" t="n">
        <x:v>4</x:v>
      </x:c>
      <x:c r="M187" s="16" t="n">
        <x:v>5</x:v>
      </x:c>
      <x:c r="N187" s="16" t="n">
        <x:v>5</x:v>
      </x:c>
      <x:c r="O187" s="16" t="n">
        <x:v>5</x:v>
      </x:c>
      <x:c r="P187" s="16" t="n">
        <x:f>IF(COUNT(I187:O187)&lt;7,"",I187*8+J187*3+K187*2+L187*2+M187*2+N187*2+O187)</x:f>
        <x:v>64</x:v>
      </x:c>
      <x:c r="Q187" s="16" t="n">
        <x:f>IF(COUNT(J187:O187)&lt;6,"",J187*5+K187*4+M187*4+L187*3+N187*2+O187*2)</x:f>
        <x:v>93</x:v>
      </x:c>
      <x:c r="R187" s="14" t="str">
        <x:v>high</x:v>
      </x:c>
      <x:c r="S187" s="14" t="str">
        <x:v>google_index_verified_2026-08-24</x:v>
      </x:c>
      <x:c r="T187" s="14" t="str">
        <x:v>indexed_official_service_page</x:v>
      </x:c>
      <x:c r="U187" s="14" t="str">
        <x:v>Новий — не контактували</x:v>
      </x:c>
      <x:c r="V187" s="15" t="str">
        <x:v>2-тижневий discovery: запросити вимоги 1 активного проєкту + 1 знеособлений артефакт</x:v>
      </x:c>
      <x:c r="W187" s="15" t="str">
        <x:v>Комерційний директор; керівник проєктів АСК ТП; керівник пусконалагодження</x:v>
      </x:c>
      <x:c r="X187" s="15" t="str">
        <x:v>Публічне портфоліо проєктів автоматизації. Пошуковий результат веде на індексовану сторінку корпоративного домену: Реалізовані проєкти з промислової автоматизації — Променерго.</x:v>
      </x:c>
      <x:c r="Y187" s="15" t="str">
        <x:v>Шафи, кабелі, маркування, loop-check та FAT/SAT створюють пакет доказів між монтажем, ПНР і замовником.</x:v>
      </x:c>
      <x:c r="Z187" s="15" t="str">
        <x:v>https://promenergo.dp.ua/projects</x:v>
      </x:c>
      <x:c r="AA187" s="14" t="str"/>
      <x:c r="AB187" s="14" t="str">
        <x:v>2026-08-24</x:v>
      </x:c>
      <x:c r="AC187" s="14" t="str">
        <x:v>Олександр</x:v>
      </x:c>
      <x:c r="AD187" s="20" t="str"/>
      <x:c r="AE187" s="14" t="str"/>
      <x:c r="AF187" s="14" t="n">
        <x:v>0</x:v>
      </x:c>
      <x:c r="AG187" s="14" t="str">
        <x:v>—</x:v>
      </x:c>
      <x:c r="AH187" s="14" t="n">
        <x:v>0</x:v>
      </x:c>
      <x:c r="AI187" s="14" t="n">
        <x:v>0</x:v>
      </x:c>
      <x:c r="AJ187" s="18" t="n">
        <x:v>0</x:v>
      </x:c>
      <x:c r="AK187" s="14" t="str"/>
      <x:c r="AL187" s="19" t="str"/>
      <x:c r="AM187" s="19" t="str"/>
      <x:c r="AN187" s="15" t="str"/>
      <x:c r="AO187" s="15" t="str">
        <x:v>google_index_verified_2026-08-24</x:v>
      </x:c>
    </x:row>
    <x:row r="188">
      <x:c r="A188" s="14" t="str">
        <x:v>W2-019</x:v>
      </x:c>
      <x:c r="B188" s="14" t="str">
        <x:v>Проєктний сигнал — 24.08</x:v>
      </x:c>
      <x:c r="C188" s="14" t="str">
        <x:v>ELAKS</x:v>
      </x:c>
      <x:c r="D188" s="14" t="str">
        <x:v>Промислова автоматизація / SCADA</x:v>
      </x:c>
      <x:c r="E188" s="14" t="str">
        <x:v>Expansion discovery</x:v>
      </x:c>
      <x:c r="F188" s="17" t="str">
        <x:v>D1</x:v>
      </x:c>
      <x:c r="G188" s="14" t="str">
        <x:v>elaks.ua</x:v>
      </x:c>
      <x:c r="H188" s="14" t="str">
        <x:v>2-тижневий workflow discovery — потрібні вимоги одного проєкту</x:v>
      </x:c>
      <x:c r="I188" s="16" t="n">
        <x:v>1</x:v>
      </x:c>
      <x:c r="J188" s="16" t="n">
        <x:v>5</x:v>
      </x:c>
      <x:c r="K188" s="16" t="n">
        <x:v>4</x:v>
      </x:c>
      <x:c r="L188" s="16" t="n">
        <x:v>4</x:v>
      </x:c>
      <x:c r="M188" s="16" t="n">
        <x:v>5</x:v>
      </x:c>
      <x:c r="N188" s="16" t="n">
        <x:v>5</x:v>
      </x:c>
      <x:c r="O188" s="16" t="n">
        <x:v>5</x:v>
      </x:c>
      <x:c r="P188" s="16" t="n">
        <x:f>IF(COUNT(I188:O188)&lt;7,"",I188*8+J188*3+K188*2+L188*2+M188*2+N188*2+O188)</x:f>
        <x:v>64</x:v>
      </x:c>
      <x:c r="Q188" s="16" t="n">
        <x:f>IF(COUNT(J188:O188)&lt;6,"",J188*5+K188*4+M188*4+L188*3+N188*2+O188*2)</x:f>
        <x:v>93</x:v>
      </x:c>
      <x:c r="R188" s="14" t="str">
        <x:v>high</x:v>
      </x:c>
      <x:c r="S188" s="14" t="str">
        <x:v>google_index_verified_2026-08-24</x:v>
      </x:c>
      <x:c r="T188" s="14" t="str">
        <x:v>indexed_official_service_page</x:v>
      </x:c>
      <x:c r="U188" s="14" t="str">
        <x:v>Новий — не контактували</x:v>
      </x:c>
      <x:c r="V188" s="15" t="str">
        <x:v>2-тижневий discovery: запросити вимоги 1 активного проєкту + 1 знеособлений артефакт</x:v>
      </x:c>
      <x:c r="W188" s="15" t="str">
        <x:v>Комерційний директор; керівник проєктів АСК ТП; керівник пусконалагодження</x:v>
      </x:c>
      <x:c r="X188" s="15" t="str">
        <x:v>SCADA, АСК ТП і пусконалагодження. Пошуковий результат веде на індексовану сторінку корпоративного домену: АСК ТП, SCADA та електроприводи — ELAKS.</x:v>
      </x:c>
      <x:c r="Y188" s="15" t="str">
        <x:v>Шафи, кабелі, маркування, loop-check та FAT/SAT створюють пакет доказів між монтажем, ПНР і замовником.</x:v>
      </x:c>
      <x:c r="Z188" s="15" t="str">
        <x:v>https://elaks.ua/promislovist/ask-tp-ta-elektroprivod-scada</x:v>
      </x:c>
      <x:c r="AA188" s="14" t="str"/>
      <x:c r="AB188" s="14" t="str">
        <x:v>2026-08-24</x:v>
      </x:c>
      <x:c r="AC188" s="14" t="str">
        <x:v>Олександр</x:v>
      </x:c>
      <x:c r="AD188" s="20" t="str"/>
      <x:c r="AE188" s="14" t="str"/>
      <x:c r="AF188" s="14" t="n">
        <x:v>0</x:v>
      </x:c>
      <x:c r="AG188" s="14" t="str">
        <x:v>—</x:v>
      </x:c>
      <x:c r="AH188" s="14" t="n">
        <x:v>0</x:v>
      </x:c>
      <x:c r="AI188" s="14" t="n">
        <x:v>0</x:v>
      </x:c>
      <x:c r="AJ188" s="18" t="n">
        <x:v>0</x:v>
      </x:c>
      <x:c r="AK188" s="14" t="str"/>
      <x:c r="AL188" s="19" t="str"/>
      <x:c r="AM188" s="19" t="str"/>
      <x:c r="AN188" s="15" t="str"/>
      <x:c r="AO188" s="15" t="str">
        <x:v>google_index_verified_2026-08-24</x:v>
      </x:c>
    </x:row>
    <x:row r="189">
      <x:c r="A189" s="14" t="str">
        <x:v>W2-020</x:v>
      </x:c>
      <x:c r="B189" s="14" t="str">
        <x:v>Проєктний сигнал — 24.08</x:v>
      </x:c>
      <x:c r="C189" s="14" t="str">
        <x:v>Індастріал Автоматизація</x:v>
      </x:c>
      <x:c r="D189" s="14" t="str">
        <x:v>Промислова автоматизація / SCADA</x:v>
      </x:c>
      <x:c r="E189" s="14" t="str">
        <x:v>Expansion discovery</x:v>
      </x:c>
      <x:c r="F189" s="17" t="str">
        <x:v>D1</x:v>
      </x:c>
      <x:c r="G189" s="14" t="str">
        <x:v>ia.ua</x:v>
      </x:c>
      <x:c r="H189" s="14" t="str">
        <x:v>2-тижневий workflow discovery — потрібні вимоги одного проєкту</x:v>
      </x:c>
      <x:c r="I189" s="16" t="n">
        <x:v>1</x:v>
      </x:c>
      <x:c r="J189" s="16" t="n">
        <x:v>5</x:v>
      </x:c>
      <x:c r="K189" s="16" t="n">
        <x:v>4</x:v>
      </x:c>
      <x:c r="L189" s="16" t="n">
        <x:v>4</x:v>
      </x:c>
      <x:c r="M189" s="16" t="n">
        <x:v>5</x:v>
      </x:c>
      <x:c r="N189" s="16" t="n">
        <x:v>5</x:v>
      </x:c>
      <x:c r="O189" s="16" t="n">
        <x:v>5</x:v>
      </x:c>
      <x:c r="P189" s="16" t="n">
        <x:f>IF(COUNT(I189:O189)&lt;7,"",I189*8+J189*3+K189*2+L189*2+M189*2+N189*2+O189)</x:f>
        <x:v>64</x:v>
      </x:c>
      <x:c r="Q189" s="16" t="n">
        <x:f>IF(COUNT(J189:O189)&lt;6,"",J189*5+K189*4+M189*4+L189*3+N189*2+O189*2)</x:f>
        <x:v>93</x:v>
      </x:c>
      <x:c r="R189" s="14" t="str">
        <x:v>high</x:v>
      </x:c>
      <x:c r="S189" s="14" t="str">
        <x:v>google_index_verified_2026-08-24</x:v>
      </x:c>
      <x:c r="T189" s="14" t="str">
        <x:v>indexed_official_service_page</x:v>
      </x:c>
      <x:c r="U189" s="14" t="str">
        <x:v>Новий — не контактували</x:v>
      </x:c>
      <x:c r="V189" s="15" t="str">
        <x:v>2-тижневий discovery: запросити вимоги 1 активного проєкту + 1 знеособлений артефакт</x:v>
      </x:c>
      <x:c r="W189" s="15" t="str">
        <x:v>Комерційний директор; керівник проєктів АСК ТП; керівник пусконалагодження</x:v>
      </x:c>
      <x:c r="X189" s="15" t="str">
        <x:v>Комплексна автоматизація та модернізація. Пошуковий результат веде на індексовану сторінку корпоративного домену: Комплексна автоматизація виробництва — IA.</x:v>
      </x:c>
      <x:c r="Y189" s="15" t="str">
        <x:v>Шафи, кабелі, маркування, loop-check та FAT/SAT створюють пакет доказів між монтажем, ПНР і замовником.</x:v>
      </x:c>
      <x:c r="Z189" s="15" t="str">
        <x:v>https://ia.ua/uk/poslygu/kompleksna-avtomatizaciya-virobnictva-promislova-avtomatizaciya-modernizaciya/</x:v>
      </x:c>
      <x:c r="AA189" s="14" t="str"/>
      <x:c r="AB189" s="14" t="str">
        <x:v>2026-08-24</x:v>
      </x:c>
      <x:c r="AC189" s="14" t="str">
        <x:v>Олександр</x:v>
      </x:c>
      <x:c r="AD189" s="20" t="str"/>
      <x:c r="AE189" s="14" t="str"/>
      <x:c r="AF189" s="14" t="n">
        <x:v>0</x:v>
      </x:c>
      <x:c r="AG189" s="14" t="str">
        <x:v>—</x:v>
      </x:c>
      <x:c r="AH189" s="14" t="n">
        <x:v>0</x:v>
      </x:c>
      <x:c r="AI189" s="14" t="n">
        <x:v>0</x:v>
      </x:c>
      <x:c r="AJ189" s="18" t="n">
        <x:v>0</x:v>
      </x:c>
      <x:c r="AK189" s="14" t="str"/>
      <x:c r="AL189" s="19" t="str"/>
      <x:c r="AM189" s="19" t="str"/>
      <x:c r="AN189" s="15" t="str"/>
      <x:c r="AO189" s="15" t="str">
        <x:v>google_index_verified_2026-08-24</x:v>
      </x:c>
    </x:row>
    <x:row r="190">
      <x:c r="A190" s="14" t="str">
        <x:v>W2-021</x:v>
      </x:c>
      <x:c r="B190" s="14" t="str">
        <x:v>Проєктний сигнал — 24.08</x:v>
      </x:c>
      <x:c r="C190" s="14" t="str">
        <x:v>Energosys</x:v>
      </x:c>
      <x:c r="D190" s="14" t="str">
        <x:v>Промислова автоматизація / SCADA</x:v>
      </x:c>
      <x:c r="E190" s="14" t="str">
        <x:v>Expansion discovery</x:v>
      </x:c>
      <x:c r="F190" s="17" t="str">
        <x:v>D1</x:v>
      </x:c>
      <x:c r="G190" s="14" t="str">
        <x:v>energosys.com.ua</x:v>
      </x:c>
      <x:c r="H190" s="14" t="str">
        <x:v>2-тижневий workflow discovery — потрібні вимоги одного проєкту</x:v>
      </x:c>
      <x:c r="I190" s="16" t="n">
        <x:v>1</x:v>
      </x:c>
      <x:c r="J190" s="16" t="n">
        <x:v>5</x:v>
      </x:c>
      <x:c r="K190" s="16" t="n">
        <x:v>4</x:v>
      </x:c>
      <x:c r="L190" s="16" t="n">
        <x:v>4</x:v>
      </x:c>
      <x:c r="M190" s="16" t="n">
        <x:v>5</x:v>
      </x:c>
      <x:c r="N190" s="16" t="n">
        <x:v>5</x:v>
      </x:c>
      <x:c r="O190" s="16" t="n">
        <x:v>5</x:v>
      </x:c>
      <x:c r="P190" s="16" t="n">
        <x:f>IF(COUNT(I190:O190)&lt;7,"",I190*8+J190*3+K190*2+L190*2+M190*2+N190*2+O190)</x:f>
        <x:v>64</x:v>
      </x:c>
      <x:c r="Q190" s="16" t="n">
        <x:f>IF(COUNT(J190:O190)&lt;6,"",J190*5+K190*4+M190*4+L190*3+N190*2+O190*2)</x:f>
        <x:v>93</x:v>
      </x:c>
      <x:c r="R190" s="14" t="str">
        <x:v>high</x:v>
      </x:c>
      <x:c r="S190" s="14" t="str">
        <x:v>google_index_verified_2026-08-24</x:v>
      </x:c>
      <x:c r="T190" s="14" t="str">
        <x:v>indexed_official_service_page</x:v>
      </x:c>
      <x:c r="U190" s="14" t="str">
        <x:v>Новий — не контактували</x:v>
      </x:c>
      <x:c r="V190" s="15" t="str">
        <x:v>2-тижневий discovery: запросити вимоги 1 активного проєкту + 1 знеособлений артефакт</x:v>
      </x:c>
      <x:c r="W190" s="15" t="str">
        <x:v>Комерційний директор; керівник проєктів АСК ТП; керівник пусконалагодження</x:v>
      </x:c>
      <x:c r="X190" s="15" t="str">
        <x:v>Проєктування та впровадження SCADA. Пошуковий результат веде на індексовану сторінку корпоративного домену: SCADA системи — Energosys.</x:v>
      </x:c>
      <x:c r="Y190" s="15" t="str">
        <x:v>Шафи, кабелі, маркування, loop-check та FAT/SAT створюють пакет доказів між монтажем, ПНР і замовником.</x:v>
      </x:c>
      <x:c r="Z190" s="15" t="str">
        <x:v>https://energosys.com.ua/scada-systemy-ohliad/</x:v>
      </x:c>
      <x:c r="AA190" s="14" t="str"/>
      <x:c r="AB190" s="14" t="str">
        <x:v>2026-08-24</x:v>
      </x:c>
      <x:c r="AC190" s="14" t="str">
        <x:v>Олександр</x:v>
      </x:c>
      <x:c r="AD190" s="20" t="str"/>
      <x:c r="AE190" s="14" t="str"/>
      <x:c r="AF190" s="14" t="n">
        <x:v>0</x:v>
      </x:c>
      <x:c r="AG190" s="14" t="str">
        <x:v>—</x:v>
      </x:c>
      <x:c r="AH190" s="14" t="n">
        <x:v>0</x:v>
      </x:c>
      <x:c r="AI190" s="14" t="n">
        <x:v>0</x:v>
      </x:c>
      <x:c r="AJ190" s="18" t="n">
        <x:v>0</x:v>
      </x:c>
      <x:c r="AK190" s="14" t="str"/>
      <x:c r="AL190" s="19" t="str"/>
      <x:c r="AM190" s="19" t="str"/>
      <x:c r="AN190" s="15" t="str"/>
      <x:c r="AO190" s="15" t="str">
        <x:v>google_index_verified_2026-08-24</x:v>
      </x:c>
    </x:row>
    <x:row r="191">
      <x:c r="A191" s="14" t="str">
        <x:v>W2-022</x:v>
      </x:c>
      <x:c r="B191" s="14" t="str">
        <x:v>Проєктний сигнал — 24.08</x:v>
      </x:c>
      <x:c r="C191" s="14" t="str">
        <x:v>ObjectSCADA</x:v>
      </x:c>
      <x:c r="D191" s="14" t="str">
        <x:v>Промислова автоматизація / SCADA</x:v>
      </x:c>
      <x:c r="E191" s="14" t="str">
        <x:v>Expansion discovery</x:v>
      </x:c>
      <x:c r="F191" s="17" t="str">
        <x:v>D1</x:v>
      </x:c>
      <x:c r="G191" s="14" t="str">
        <x:v>objectscada.site</x:v>
      </x:c>
      <x:c r="H191" s="14" t="str">
        <x:v>2-тижневий workflow discovery — потрібні вимоги одного проєкту</x:v>
      </x:c>
      <x:c r="I191" s="16" t="n">
        <x:v>1</x:v>
      </x:c>
      <x:c r="J191" s="16" t="n">
        <x:v>5</x:v>
      </x:c>
      <x:c r="K191" s="16" t="n">
        <x:v>4</x:v>
      </x:c>
      <x:c r="L191" s="16" t="n">
        <x:v>4</x:v>
      </x:c>
      <x:c r="M191" s="16" t="n">
        <x:v>5</x:v>
      </x:c>
      <x:c r="N191" s="16" t="n">
        <x:v>5</x:v>
      </x:c>
      <x:c r="O191" s="16" t="n">
        <x:v>4</x:v>
      </x:c>
      <x:c r="P191" s="16" t="n">
        <x:f>IF(COUNT(I191:O191)&lt;7,"",I191*8+J191*3+K191*2+L191*2+M191*2+N191*2+O191)</x:f>
        <x:v>63</x:v>
      </x:c>
      <x:c r="Q191" s="16" t="n">
        <x:f>IF(COUNT(J191:O191)&lt;6,"",J191*5+K191*4+M191*4+L191*3+N191*2+O191*2)</x:f>
        <x:v>91</x:v>
      </x:c>
      <x:c r="R191" s="14" t="str">
        <x:v>medium</x:v>
      </x:c>
      <x:c r="S191" s="14" t="str">
        <x:v>google_index_verified_manual_check_2026-08-24</x:v>
      </x:c>
      <x:c r="T191" s="14" t="str">
        <x:v>indexed_official_page_manual_check</x:v>
      </x:c>
      <x:c r="U191" s="14" t="str">
        <x:v>Новий — не контактували</x:v>
      </x:c>
      <x:c r="V191" s="15" t="str">
        <x:v>2-тижневий discovery: запросити вимоги 1 активного проєкту + 1 знеособлений артефакт</x:v>
      </x:c>
      <x:c r="W191" s="15" t="str">
        <x:v>Комерційний директор; керівник проєктів АСК ТП; керівник пусконалагодження</x:v>
      </x:c>
      <x:c r="X191" s="15" t="str">
        <x:v>Промисловий моніторинг і керування. Пошуковий результат веде на індексовану сторінку корпоративного домену: Промислова система управління та моніторингу — ObjectSCADA.</x:v>
      </x:c>
      <x:c r="Y191" s="15" t="str">
        <x:v>Шафи, кабелі, маркування, loop-check та FAT/SAT створюють пакет доказів між монтажем, ПНР і замовником.</x:v>
      </x:c>
      <x:c r="Z191" s="15" t="str">
        <x:v>https://objectscada.site/uk/</x:v>
      </x:c>
      <x:c r="AA191" s="14" t="str"/>
      <x:c r="AB191" s="14" t="str">
        <x:v>2026-08-24</x:v>
      </x:c>
      <x:c r="AC191" s="14" t="str">
        <x:v>Олександр</x:v>
      </x:c>
      <x:c r="AD191" s="20" t="str"/>
      <x:c r="AE191" s="14" t="str"/>
      <x:c r="AF191" s="14" t="n">
        <x:v>0</x:v>
      </x:c>
      <x:c r="AG191" s="14" t="str">
        <x:v>—</x:v>
      </x:c>
      <x:c r="AH191" s="14" t="n">
        <x:v>0</x:v>
      </x:c>
      <x:c r="AI191" s="14" t="n">
        <x:v>0</x:v>
      </x:c>
      <x:c r="AJ191" s="18" t="n">
        <x:v>0</x:v>
      </x:c>
      <x:c r="AK191" s="14" t="str"/>
      <x:c r="AL191" s="19" t="str"/>
      <x:c r="AM191" s="19" t="str"/>
      <x:c r="AN191" s="15" t="str"/>
      <x:c r="AO191" s="15" t="str">
        <x:v>google_index_verified_manual_check_2026-08-24</x:v>
      </x:c>
    </x:row>
    <x:row r="192">
      <x:c r="A192" s="14" t="str">
        <x:v>W2-023</x:v>
      </x:c>
      <x:c r="B192" s="14" t="str">
        <x:v>Проєктний сигнал — 24.08</x:v>
      </x:c>
      <x:c r="C192" s="14" t="str">
        <x:v>Cool Factory</x:v>
      </x:c>
      <x:c r="D192" s="14" t="str">
        <x:v>Промисловий холод</x:v>
      </x:c>
      <x:c r="E192" s="14" t="str">
        <x:v>Expansion discovery</x:v>
      </x:c>
      <x:c r="F192" s="17" t="str">
        <x:v>D1</x:v>
      </x:c>
      <x:c r="G192" s="14" t="str">
        <x:v>cool-factory.com</x:v>
      </x:c>
      <x:c r="H192" s="14" t="str">
        <x:v>2-тижневий workflow discovery — потрібні вимоги одного проєкту</x:v>
      </x:c>
      <x:c r="I192" s="16" t="n">
        <x:v>1</x:v>
      </x:c>
      <x:c r="J192" s="16" t="n">
        <x:v>5</x:v>
      </x:c>
      <x:c r="K192" s="16" t="n">
        <x:v>5</x:v>
      </x:c>
      <x:c r="L192" s="16" t="n">
        <x:v>4</x:v>
      </x:c>
      <x:c r="M192" s="16" t="n">
        <x:v>5</x:v>
      </x:c>
      <x:c r="N192" s="16" t="n">
        <x:v>5</x:v>
      </x:c>
      <x:c r="O192" s="16" t="n">
        <x:v>4</x:v>
      </x:c>
      <x:c r="P192" s="16" t="n">
        <x:f>IF(COUNT(I192:O192)&lt;7,"",I192*8+J192*3+K192*2+L192*2+M192*2+N192*2+O192)</x:f>
        <x:v>65</x:v>
      </x:c>
      <x:c r="Q192" s="16" t="n">
        <x:f>IF(COUNT(J192:O192)&lt;6,"",J192*5+K192*4+M192*4+L192*3+N192*2+O192*2)</x:f>
        <x:v>95</x:v>
      </x:c>
      <x:c r="R192" s="14" t="str">
        <x:v>medium</x:v>
      </x:c>
      <x:c r="S192" s="14" t="str">
        <x:v>google_index_verified_manual_check_2026-08-24</x:v>
      </x:c>
      <x:c r="T192" s="14" t="str">
        <x:v>indexed_official_page_manual_check</x:v>
      </x:c>
      <x:c r="U192" s="14" t="str">
        <x:v>Новий — не контактували</x:v>
      </x:c>
      <x:c r="V192" s="15" t="str">
        <x:v>2-тижневий discovery: запросити вимоги 1 активного проєкту + 1 знеособлений артефакт</x:v>
      </x:c>
      <x:c r="W192" s="15" t="str">
        <x:v>Власник / директор; керівник проєктів; головний холодильний інженер / ПТО</x:v>
      </x:c>
      <x:c r="X192" s="15" t="str">
        <x:v>Промислові холодильні системи. Пошуковий результат веде на індексовану сторінку корпоративного домену: Cool Factory.</x:v>
      </x:c>
      <x:c r="Y192" s="15" t="str">
        <x:v>Трубопроводи холодоагенту, ізоляція, випробування та ПНР закриваються послідовно і потребують протоколів.</x:v>
      </x:c>
      <x:c r="Z192" s="15" t="str">
        <x:v>https://cool-factory.com/</x:v>
      </x:c>
      <x:c r="AA192" s="14" t="str"/>
      <x:c r="AB192" s="14" t="str">
        <x:v>2026-08-24</x:v>
      </x:c>
      <x:c r="AC192" s="14" t="str">
        <x:v>Олександр</x:v>
      </x:c>
      <x:c r="AD192" s="20" t="str"/>
      <x:c r="AE192" s="14" t="str"/>
      <x:c r="AF192" s="14" t="n">
        <x:v>0</x:v>
      </x:c>
      <x:c r="AG192" s="14" t="str">
        <x:v>—</x:v>
      </x:c>
      <x:c r="AH192" s="14" t="n">
        <x:v>0</x:v>
      </x:c>
      <x:c r="AI192" s="14" t="n">
        <x:v>0</x:v>
      </x:c>
      <x:c r="AJ192" s="18" t="n">
        <x:v>0</x:v>
      </x:c>
      <x:c r="AK192" s="14" t="str"/>
      <x:c r="AL192" s="19" t="str"/>
      <x:c r="AM192" s="19" t="str"/>
      <x:c r="AN192" s="15" t="str"/>
      <x:c r="AO192" s="15" t="str">
        <x:v>google_index_verified_manual_check_2026-08-24</x:v>
      </x:c>
    </x:row>
    <x:row r="193">
      <x:c r="A193" s="14" t="str">
        <x:v>W2-024</x:v>
      </x:c>
      <x:c r="B193" s="14" t="str">
        <x:v>Проєктний сигнал — 24.08</x:v>
      </x:c>
      <x:c r="C193" s="14" t="str">
        <x:v>4 Стихії</x:v>
      </x:c>
      <x:c r="D193" s="14" t="str">
        <x:v>Промисловий холод</x:v>
      </x:c>
      <x:c r="E193" s="14" t="str">
        <x:v>Expansion discovery</x:v>
      </x:c>
      <x:c r="F193" s="17" t="str">
        <x:v>D1</x:v>
      </x:c>
      <x:c r="G193" s="14" t="str">
        <x:v>4stykhii.com.ua</x:v>
      </x:c>
      <x:c r="H193" s="14" t="str">
        <x:v>2-тижневий workflow discovery — потрібні вимоги одного проєкту</x:v>
      </x:c>
      <x:c r="I193" s="16" t="n">
        <x:v>1</x:v>
      </x:c>
      <x:c r="J193" s="16" t="n">
        <x:v>5</x:v>
      </x:c>
      <x:c r="K193" s="16" t="n">
        <x:v>5</x:v>
      </x:c>
      <x:c r="L193" s="16" t="n">
        <x:v>4</x:v>
      </x:c>
      <x:c r="M193" s="16" t="n">
        <x:v>5</x:v>
      </x:c>
      <x:c r="N193" s="16" t="n">
        <x:v>5</x:v>
      </x:c>
      <x:c r="O193" s="16" t="n">
        <x:v>5</x:v>
      </x:c>
      <x:c r="P193" s="16" t="n">
        <x:f>IF(COUNT(I193:O193)&lt;7,"",I193*8+J193*3+K193*2+L193*2+M193*2+N193*2+O193)</x:f>
        <x:v>66</x:v>
      </x:c>
      <x:c r="Q193" s="16" t="n">
        <x:f>IF(COUNT(J193:O193)&lt;6,"",J193*5+K193*4+M193*4+L193*3+N193*2+O193*2)</x:f>
        <x:v>97</x:v>
      </x:c>
      <x:c r="R193" s="14" t="str">
        <x:v>high</x:v>
      </x:c>
      <x:c r="S193" s="14" t="str">
        <x:v>google_index_verified_2026-08-24</x:v>
      </x:c>
      <x:c r="T193" s="14" t="str">
        <x:v>indexed_official_service_page</x:v>
      </x:c>
      <x:c r="U193" s="14" t="str">
        <x:v>Новий — не контактували</x:v>
      </x:c>
      <x:c r="V193" s="15" t="str">
        <x:v>2-тижневий discovery: запросити вимоги 1 активного проєкту + 1 знеособлений артефакт</x:v>
      </x:c>
      <x:c r="W193" s="15" t="str">
        <x:v>Власник / директор; керівник проєктів; головний холодильний інженер / ПТО</x:v>
      </x:c>
      <x:c r="X193" s="15" t="str">
        <x:v>Промислові холодильні проєкти. Пошуковий результат веде на індексовану сторінку корпоративного домену: Підбір промислового холодильного обладнання — 4 Стихії.</x:v>
      </x:c>
      <x:c r="Y193" s="15" t="str">
        <x:v>Трубопроводи холодоагенту, ізоляція, випробування та ПНР закриваються послідовно і потребують протоколів.</x:v>
      </x:c>
      <x:c r="Z193" s="15" t="str">
        <x:v>https://4stykhii.com.ua/konsultaciya/</x:v>
      </x:c>
      <x:c r="AA193" s="14" t="str"/>
      <x:c r="AB193" s="14" t="str">
        <x:v>2026-08-24</x:v>
      </x:c>
      <x:c r="AC193" s="14" t="str">
        <x:v>Олександр</x:v>
      </x:c>
      <x:c r="AD193" s="20" t="str"/>
      <x:c r="AE193" s="14" t="str"/>
      <x:c r="AF193" s="14" t="n">
        <x:v>0</x:v>
      </x:c>
      <x:c r="AG193" s="14" t="str">
        <x:v>—</x:v>
      </x:c>
      <x:c r="AH193" s="14" t="n">
        <x:v>0</x:v>
      </x:c>
      <x:c r="AI193" s="14" t="n">
        <x:v>0</x:v>
      </x:c>
      <x:c r="AJ193" s="18" t="n">
        <x:v>0</x:v>
      </x:c>
      <x:c r="AK193" s="14" t="str"/>
      <x:c r="AL193" s="19" t="str"/>
      <x:c r="AM193" s="19" t="str"/>
      <x:c r="AN193" s="15" t="str"/>
      <x:c r="AO193" s="15" t="str">
        <x:v>google_index_verified_2026-08-24</x:v>
      </x:c>
    </x:row>
    <x:row r="194">
      <x:c r="A194" s="14" t="str">
        <x:v>W2-025</x:v>
      </x:c>
      <x:c r="B194" s="14" t="str">
        <x:v>Проєктний сигнал — 24.08</x:v>
      </x:c>
      <x:c r="C194" s="14" t="str">
        <x:v>ТРВ</x:v>
      </x:c>
      <x:c r="D194" s="14" t="str">
        <x:v>Промисловий холод</x:v>
      </x:c>
      <x:c r="E194" s="14" t="str">
        <x:v>Expansion discovery</x:v>
      </x:c>
      <x:c r="F194" s="17" t="str">
        <x:v>D1</x:v>
      </x:c>
      <x:c r="G194" s="14" t="str">
        <x:v>trv.kiev.ua</x:v>
      </x:c>
      <x:c r="H194" s="14" t="str">
        <x:v>2-тижневий workflow discovery — потрібні вимоги одного проєкту</x:v>
      </x:c>
      <x:c r="I194" s="16" t="n">
        <x:v>1</x:v>
      </x:c>
      <x:c r="J194" s="16" t="n">
        <x:v>5</x:v>
      </x:c>
      <x:c r="K194" s="16" t="n">
        <x:v>5</x:v>
      </x:c>
      <x:c r="L194" s="16" t="n">
        <x:v>4</x:v>
      </x:c>
      <x:c r="M194" s="16" t="n">
        <x:v>5</x:v>
      </x:c>
      <x:c r="N194" s="16" t="n">
        <x:v>5</x:v>
      </x:c>
      <x:c r="O194" s="16" t="n">
        <x:v>3</x:v>
      </x:c>
      <x:c r="P194" s="16" t="n">
        <x:f>IF(COUNT(I194:O194)&lt;7,"",I194*8+J194*3+K194*2+L194*2+M194*2+N194*2+O194)</x:f>
        <x:v>64</x:v>
      </x:c>
      <x:c r="Q194" s="16" t="n">
        <x:f>IF(COUNT(J194:O194)&lt;6,"",J194*5+K194*4+M194*4+L194*3+N194*2+O194*2)</x:f>
        <x:v>93</x:v>
      </x:c>
      <x:c r="R194" s="14" t="str">
        <x:v>medium</x:v>
      </x:c>
      <x:c r="S194" s="14" t="str">
        <x:v>google_index_verified_manual_check_2026-08-24</x:v>
      </x:c>
      <x:c r="T194" s="14" t="str">
        <x:v>indexed_official_page_manual_check</x:v>
      </x:c>
      <x:c r="U194" s="14" t="str">
        <x:v>Новий — не контактували</x:v>
      </x:c>
      <x:c r="V194" s="15" t="str">
        <x:v>2-тижневий discovery: запросити вимоги 1 активного проєкту + 1 знеособлений артефакт</x:v>
      </x:c>
      <x:c r="W194" s="15" t="str">
        <x:v>Власник / директор; керівник проєктів; головний холодильний інженер / ПТО</x:v>
      </x:c>
      <x:c r="X194" s="15" t="str">
        <x:v>Монтаж і пусконалагодження холодильних систем. Пошуковий результат веде на індексовану сторінку корпоративного домену: Монтаж та пусконалагоджувальні роботи — ТРВ.</x:v>
      </x:c>
      <x:c r="Y194" s="15" t="str">
        <x:v>Трубопроводи холодоагенту, ізоляція, випробування та ПНР закриваються послідовно і потребують протоколів.</x:v>
      </x:c>
      <x:c r="Z194" s="15" t="str">
        <x:v>http://www.trv.kiev.ua/montazh-i-pusko-naladochnye-raboty</x:v>
      </x:c>
      <x:c r="AA194" s="14" t="str"/>
      <x:c r="AB194" s="14" t="str">
        <x:v>2026-08-24</x:v>
      </x:c>
      <x:c r="AC194" s="14" t="str">
        <x:v>Олександр</x:v>
      </x:c>
      <x:c r="AD194" s="20" t="str"/>
      <x:c r="AE194" s="14" t="str"/>
      <x:c r="AF194" s="14" t="n">
        <x:v>0</x:v>
      </x:c>
      <x:c r="AG194" s="14" t="str">
        <x:v>—</x:v>
      </x:c>
      <x:c r="AH194" s="14" t="n">
        <x:v>0</x:v>
      </x:c>
      <x:c r="AI194" s="14" t="n">
        <x:v>0</x:v>
      </x:c>
      <x:c r="AJ194" s="18" t="n">
        <x:v>0</x:v>
      </x:c>
      <x:c r="AK194" s="14" t="str"/>
      <x:c r="AL194" s="19" t="str"/>
      <x:c r="AM194" s="19" t="str"/>
      <x:c r="AN194" s="15" t="str"/>
      <x:c r="AO194" s="15" t="str">
        <x:v>google_index_verified_manual_check_2026-08-24</x:v>
      </x:c>
    </x:row>
    <x:row r="195">
      <x:c r="A195" s="14" t="str">
        <x:v>W2-026</x:v>
      </x:c>
      <x:c r="B195" s="14" t="str">
        <x:v>Проєктний сигнал — 24.08</x:v>
      </x:c>
      <x:c r="C195" s="14" t="str">
        <x:v>Статус Проект</x:v>
      </x:c>
      <x:c r="D195" s="14" t="str">
        <x:v>Промисловий холод</x:v>
      </x:c>
      <x:c r="E195" s="14" t="str">
        <x:v>Expansion discovery</x:v>
      </x:c>
      <x:c r="F195" s="17" t="str">
        <x:v>D1</x:v>
      </x:c>
      <x:c r="G195" s="14" t="str">
        <x:v>statuspoekt.dp.ua</x:v>
      </x:c>
      <x:c r="H195" s="14" t="str">
        <x:v>2-тижневий workflow discovery — потрібні вимоги одного проєкту</x:v>
      </x:c>
      <x:c r="I195" s="16" t="n">
        <x:v>1</x:v>
      </x:c>
      <x:c r="J195" s="16" t="n">
        <x:v>5</x:v>
      </x:c>
      <x:c r="K195" s="16" t="n">
        <x:v>5</x:v>
      </x:c>
      <x:c r="L195" s="16" t="n">
        <x:v>4</x:v>
      </x:c>
      <x:c r="M195" s="16" t="n">
        <x:v>5</x:v>
      </x:c>
      <x:c r="N195" s="16" t="n">
        <x:v>5</x:v>
      </x:c>
      <x:c r="O195" s="16" t="n">
        <x:v>5</x:v>
      </x:c>
      <x:c r="P195" s="16" t="n">
        <x:f>IF(COUNT(I195:O195)&lt;7,"",I195*8+J195*3+K195*2+L195*2+M195*2+N195*2+O195)</x:f>
        <x:v>66</x:v>
      </x:c>
      <x:c r="Q195" s="16" t="n">
        <x:f>IF(COUNT(J195:O195)&lt;6,"",J195*5+K195*4+M195*4+L195*3+N195*2+O195*2)</x:f>
        <x:v>97</x:v>
      </x:c>
      <x:c r="R195" s="14" t="str">
        <x:v>high</x:v>
      </x:c>
      <x:c r="S195" s="14" t="str">
        <x:v>google_index_verified_2026-08-24</x:v>
      </x:c>
      <x:c r="T195" s="14" t="str">
        <x:v>indexed_official_service_page</x:v>
      </x:c>
      <x:c r="U195" s="14" t="str">
        <x:v>Новий — не контактували</x:v>
      </x:c>
      <x:c r="V195" s="15" t="str">
        <x:v>2-тижневий discovery: запросити вимоги 1 активного проєкту + 1 знеособлений артефакт</x:v>
      </x:c>
      <x:c r="W195" s="15" t="str">
        <x:v>Власник / директор; керівник проєктів; головний холодильний інженер / ПТО</x:v>
      </x:c>
      <x:c r="X195" s="15" t="str">
        <x:v>Проєктування та монтаж холодильних систем. Пошуковий результат веде на індексовану сторінку корпоративного домену: ТОВ Статус Проект.</x:v>
      </x:c>
      <x:c r="Y195" s="15" t="str">
        <x:v>Трубопроводи холодоагенту, ізоляція, випробування та ПНР закриваються послідовно і потребують протоколів.</x:v>
      </x:c>
      <x:c r="Z195" s="15" t="str">
        <x:v>https://statuspoekt.dp.ua/ua/about_us</x:v>
      </x:c>
      <x:c r="AA195" s="14" t="str"/>
      <x:c r="AB195" s="14" t="str">
        <x:v>2026-08-24</x:v>
      </x:c>
      <x:c r="AC195" s="14" t="str">
        <x:v>Олександр</x:v>
      </x:c>
      <x:c r="AD195" s="20" t="str"/>
      <x:c r="AE195" s="14" t="str"/>
      <x:c r="AF195" s="14" t="n">
        <x:v>0</x:v>
      </x:c>
      <x:c r="AG195" s="14" t="str">
        <x:v>—</x:v>
      </x:c>
      <x:c r="AH195" s="14" t="n">
        <x:v>0</x:v>
      </x:c>
      <x:c r="AI195" s="14" t="n">
        <x:v>0</x:v>
      </x:c>
      <x:c r="AJ195" s="18" t="n">
        <x:v>0</x:v>
      </x:c>
      <x:c r="AK195" s="14" t="str"/>
      <x:c r="AL195" s="19" t="str"/>
      <x:c r="AM195" s="19" t="str"/>
      <x:c r="AN195" s="15" t="str"/>
      <x:c r="AO195" s="15" t="str">
        <x:v>google_index_verified_2026-08-24</x:v>
      </x:c>
    </x:row>
    <x:row r="196">
      <x:c r="A196" s="14" t="str">
        <x:v>W2-027</x:v>
      </x:c>
      <x:c r="B196" s="14" t="str">
        <x:v>Проєктний сигнал — 24.08</x:v>
      </x:c>
      <x:c r="C196" s="14" t="str">
        <x:v>Новафрост</x:v>
      </x:c>
      <x:c r="D196" s="14" t="str">
        <x:v>Промисловий холод</x:v>
      </x:c>
      <x:c r="E196" s="14" t="str">
        <x:v>Expansion discovery</x:v>
      </x:c>
      <x:c r="F196" s="17" t="str">
        <x:v>D1</x:v>
      </x:c>
      <x:c r="G196" s="14" t="str">
        <x:v>novafrost.com.ua</x:v>
      </x:c>
      <x:c r="H196" s="14" t="str">
        <x:v>2-тижневий workflow discovery — потрібні вимоги одного проєкту</x:v>
      </x:c>
      <x:c r="I196" s="16" t="n">
        <x:v>1</x:v>
      </x:c>
      <x:c r="J196" s="16" t="n">
        <x:v>5</x:v>
      </x:c>
      <x:c r="K196" s="16" t="n">
        <x:v>5</x:v>
      </x:c>
      <x:c r="L196" s="16" t="n">
        <x:v>4</x:v>
      </x:c>
      <x:c r="M196" s="16" t="n">
        <x:v>5</x:v>
      </x:c>
      <x:c r="N196" s="16" t="n">
        <x:v>5</x:v>
      </x:c>
      <x:c r="O196" s="16" t="n">
        <x:v>5</x:v>
      </x:c>
      <x:c r="P196" s="16" t="n">
        <x:f>IF(COUNT(I196:O196)&lt;7,"",I196*8+J196*3+K196*2+L196*2+M196*2+N196*2+O196)</x:f>
        <x:v>66</x:v>
      </x:c>
      <x:c r="Q196" s="16" t="n">
        <x:f>IF(COUNT(J196:O196)&lt;6,"",J196*5+K196*4+M196*4+L196*3+N196*2+O196*2)</x:f>
        <x:v>97</x:v>
      </x:c>
      <x:c r="R196" s="14" t="str">
        <x:v>high</x:v>
      </x:c>
      <x:c r="S196" s="14" t="str">
        <x:v>google_index_verified_2026-08-24</x:v>
      </x:c>
      <x:c r="T196" s="14" t="str">
        <x:v>indexed_official_service_page</x:v>
      </x:c>
      <x:c r="U196" s="14" t="str">
        <x:v>Новий — не контактували</x:v>
      </x:c>
      <x:c r="V196" s="15" t="str">
        <x:v>2-тижневий discovery: запросити вимоги 1 активного проєкту + 1 знеособлений артефакт</x:v>
      </x:c>
      <x:c r="W196" s="15" t="str">
        <x:v>Власник / директор; керівник проєктів; головний холодильний інженер / ПТО</x:v>
      </x:c>
      <x:c r="X196" s="15" t="str">
        <x:v>Монтаж камер і складів. Пошуковий результат веде на індексовану сторінку корпоративного домену: Монтаж холодильних і морозильних камер — Новафрост.</x:v>
      </x:c>
      <x:c r="Y196" s="15" t="str">
        <x:v>Трубопроводи холодоагенту, ізоляція, випробування та ПНР закриваються послідовно і потребують протоколів.</x:v>
      </x:c>
      <x:c r="Z196" s="15" t="str">
        <x:v>https://www.novafrost.com.ua/service-loc/kyiv/</x:v>
      </x:c>
      <x:c r="AA196" s="14" t="str"/>
      <x:c r="AB196" s="14" t="str">
        <x:v>2026-08-24</x:v>
      </x:c>
      <x:c r="AC196" s="14" t="str">
        <x:v>Олександр</x:v>
      </x:c>
      <x:c r="AD196" s="20" t="str"/>
      <x:c r="AE196" s="14" t="str"/>
      <x:c r="AF196" s="14" t="n">
        <x:v>0</x:v>
      </x:c>
      <x:c r="AG196" s="14" t="str">
        <x:v>—</x:v>
      </x:c>
      <x:c r="AH196" s="14" t="n">
        <x:v>0</x:v>
      </x:c>
      <x:c r="AI196" s="14" t="n">
        <x:v>0</x:v>
      </x:c>
      <x:c r="AJ196" s="18" t="n">
        <x:v>0</x:v>
      </x:c>
      <x:c r="AK196" s="14" t="str"/>
      <x:c r="AL196" s="19" t="str"/>
      <x:c r="AM196" s="19" t="str"/>
      <x:c r="AN196" s="15" t="str"/>
      <x:c r="AO196" s="15" t="str">
        <x:v>google_index_verified_2026-08-24</x:v>
      </x:c>
    </x:row>
    <x:row r="197">
      <x:c r="A197" s="14" t="str">
        <x:v>W2-028</x:v>
      </x:c>
      <x:c r="B197" s="14" t="str">
        <x:v>Проєктний сигнал — 24.08</x:v>
      </x:c>
      <x:c r="C197" s="14" t="str">
        <x:v>Termocom</x:v>
      </x:c>
      <x:c r="D197" s="14" t="str">
        <x:v>Промисловий холод</x:v>
      </x:c>
      <x:c r="E197" s="14" t="str">
        <x:v>Expansion discovery</x:v>
      </x:c>
      <x:c r="F197" s="17" t="str">
        <x:v>D1</x:v>
      </x:c>
      <x:c r="G197" s="14" t="str">
        <x:v>termocom.com.ua</x:v>
      </x:c>
      <x:c r="H197" s="14" t="str">
        <x:v>2-тижневий workflow discovery — потрібні вимоги одного проєкту</x:v>
      </x:c>
      <x:c r="I197" s="16" t="n">
        <x:v>1</x:v>
      </x:c>
      <x:c r="J197" s="16" t="n">
        <x:v>5</x:v>
      </x:c>
      <x:c r="K197" s="16" t="n">
        <x:v>5</x:v>
      </x:c>
      <x:c r="L197" s="16" t="n">
        <x:v>4</x:v>
      </x:c>
      <x:c r="M197" s="16" t="n">
        <x:v>5</x:v>
      </x:c>
      <x:c r="N197" s="16" t="n">
        <x:v>5</x:v>
      </x:c>
      <x:c r="O197" s="16" t="n">
        <x:v>5</x:v>
      </x:c>
      <x:c r="P197" s="16" t="n">
        <x:f>IF(COUNT(I197:O197)&lt;7,"",I197*8+J197*3+K197*2+L197*2+M197*2+N197*2+O197)</x:f>
        <x:v>66</x:v>
      </x:c>
      <x:c r="Q197" s="16" t="n">
        <x:f>IF(COUNT(J197:O197)&lt;6,"",J197*5+K197*4+M197*4+L197*3+N197*2+O197*2)</x:f>
        <x:v>97</x:v>
      </x:c>
      <x:c r="R197" s="14" t="str">
        <x:v>high</x:v>
      </x:c>
      <x:c r="S197" s="14" t="str">
        <x:v>google_index_verified_2026-08-24</x:v>
      </x:c>
      <x:c r="T197" s="14" t="str">
        <x:v>indexed_official_service_page</x:v>
      </x:c>
      <x:c r="U197" s="14" t="str">
        <x:v>Новий — не контактували</x:v>
      </x:c>
      <x:c r="V197" s="15" t="str">
        <x:v>2-тижневий discovery: запросити вимоги 1 активного проєкту + 1 знеособлений артефакт</x:v>
      </x:c>
      <x:c r="W197" s="15" t="str">
        <x:v>Власник / директор; керівник проєктів; головний холодильний інженер / ПТО</x:v>
      </x:c>
      <x:c r="X197" s="15" t="str">
        <x:v>Промислове холодильне обладнання. Пошуковий результат веде на індексовану сторінку корпоративного домену: Промисловий холод — Termocom.</x:v>
      </x:c>
      <x:c r="Y197" s="15" t="str">
        <x:v>Трубопроводи холодоагенту, ізоляція, випробування та ПНР закриваються послідовно і потребують протоколів.</x:v>
      </x:c>
      <x:c r="Z197" s="15" t="str">
        <x:v>https://termocom.com.ua/ua/</x:v>
      </x:c>
      <x:c r="AA197" s="14" t="str"/>
      <x:c r="AB197" s="14" t="str">
        <x:v>2026-08-24</x:v>
      </x:c>
      <x:c r="AC197" s="14" t="str">
        <x:v>Олександр</x:v>
      </x:c>
      <x:c r="AD197" s="20" t="str"/>
      <x:c r="AE197" s="14" t="str"/>
      <x:c r="AF197" s="14" t="n">
        <x:v>0</x:v>
      </x:c>
      <x:c r="AG197" s="14" t="str">
        <x:v>—</x:v>
      </x:c>
      <x:c r="AH197" s="14" t="n">
        <x:v>0</x:v>
      </x:c>
      <x:c r="AI197" s="14" t="n">
        <x:v>0</x:v>
      </x:c>
      <x:c r="AJ197" s="18" t="n">
        <x:v>0</x:v>
      </x:c>
      <x:c r="AK197" s="14" t="str"/>
      <x:c r="AL197" s="19" t="str"/>
      <x:c r="AM197" s="19" t="str"/>
      <x:c r="AN197" s="15" t="str"/>
      <x:c r="AO197" s="15" t="str">
        <x:v>google_index_verified_2026-08-24</x:v>
      </x:c>
    </x:row>
    <x:row r="198">
      <x:c r="A198" s="14" t="str">
        <x:v>W2-029</x:v>
      </x:c>
      <x:c r="B198" s="14" t="str">
        <x:v>Проєктний сигнал — 24.08</x:v>
      </x:c>
      <x:c r="C198" s="14" t="str">
        <x:v>Холод-Юг</x:v>
      </x:c>
      <x:c r="D198" s="14" t="str">
        <x:v>Промисловий холод</x:v>
      </x:c>
      <x:c r="E198" s="14" t="str">
        <x:v>Expansion discovery</x:v>
      </x:c>
      <x:c r="F198" s="17" t="str">
        <x:v>D1</x:v>
      </x:c>
      <x:c r="G198" s="14" t="str">
        <x:v>hladoyug.com</x:v>
      </x:c>
      <x:c r="H198" s="14" t="str">
        <x:v>2-тижневий workflow discovery — потрібні вимоги одного проєкту</x:v>
      </x:c>
      <x:c r="I198" s="16" t="n">
        <x:v>1</x:v>
      </x:c>
      <x:c r="J198" s="16" t="n">
        <x:v>5</x:v>
      </x:c>
      <x:c r="K198" s="16" t="n">
        <x:v>5</x:v>
      </x:c>
      <x:c r="L198" s="16" t="n">
        <x:v>4</x:v>
      </x:c>
      <x:c r="M198" s="16" t="n">
        <x:v>5</x:v>
      </x:c>
      <x:c r="N198" s="16" t="n">
        <x:v>5</x:v>
      </x:c>
      <x:c r="O198" s="16" t="n">
        <x:v>3</x:v>
      </x:c>
      <x:c r="P198" s="16" t="n">
        <x:f>IF(COUNT(I198:O198)&lt;7,"",I198*8+J198*3+K198*2+L198*2+M198*2+N198*2+O198)</x:f>
        <x:v>64</x:v>
      </x:c>
      <x:c r="Q198" s="16" t="n">
        <x:f>IF(COUNT(J198:O198)&lt;6,"",J198*5+K198*4+M198*4+L198*3+N198*2+O198*2)</x:f>
        <x:v>93</x:v>
      </x:c>
      <x:c r="R198" s="14" t="str">
        <x:v>medium</x:v>
      </x:c>
      <x:c r="S198" s="14" t="str">
        <x:v>google_index_verified_manual_check_2026-08-24</x:v>
      </x:c>
      <x:c r="T198" s="14" t="str">
        <x:v>indexed_official_page_manual_check</x:v>
      </x:c>
      <x:c r="U198" s="14" t="str">
        <x:v>Новий — не контактували</x:v>
      </x:c>
      <x:c r="V198" s="15" t="str">
        <x:v>2-тижневий discovery: запросити вимоги 1 активного проєкту + 1 знеособлений артефакт</x:v>
      </x:c>
      <x:c r="W198" s="15" t="str">
        <x:v>Власник / директор; керівник проєктів; головний холодильний інженер / ПТО</x:v>
      </x:c>
      <x:c r="X198" s="15" t="str">
        <x:v>Проєктування та монтаж холодильних систем. Пошуковий результат веде на індексовану сторінку корпоративного домену: Проєктування та монтаж — Холод-Юг.</x:v>
      </x:c>
      <x:c r="Y198" s="15" t="str">
        <x:v>Трубопроводи холодоагенту, ізоляція, випробування та ПНР закриваються послідовно і потребують протоколів.</x:v>
      </x:c>
      <x:c r="Z198" s="15" t="str">
        <x:v>http://hladoyug.com/work</x:v>
      </x:c>
      <x:c r="AA198" s="14" t="str"/>
      <x:c r="AB198" s="14" t="str">
        <x:v>2026-08-24</x:v>
      </x:c>
      <x:c r="AC198" s="14" t="str">
        <x:v>Олександр</x:v>
      </x:c>
      <x:c r="AD198" s="20" t="str"/>
      <x:c r="AE198" s="14" t="str"/>
      <x:c r="AF198" s="14" t="n">
        <x:v>0</x:v>
      </x:c>
      <x:c r="AG198" s="14" t="str">
        <x:v>—</x:v>
      </x:c>
      <x:c r="AH198" s="14" t="n">
        <x:v>0</x:v>
      </x:c>
      <x:c r="AI198" s="14" t="n">
        <x:v>0</x:v>
      </x:c>
      <x:c r="AJ198" s="18" t="n">
        <x:v>0</x:v>
      </x:c>
      <x:c r="AK198" s="14" t="str"/>
      <x:c r="AL198" s="19" t="str"/>
      <x:c r="AM198" s="19" t="str"/>
      <x:c r="AN198" s="15" t="str"/>
      <x:c r="AO198" s="15" t="str">
        <x:v>google_index_verified_manual_check_2026-08-24</x:v>
      </x:c>
    </x:row>
    <x:row r="199">
      <x:c r="A199" s="14" t="str">
        <x:v>W2-030</x:v>
      </x:c>
      <x:c r="B199" s="14" t="str">
        <x:v>Проєктний сигнал — 24.08</x:v>
      </x:c>
      <x:c r="C199" s="14" t="str">
        <x:v>Укрпромхолод</x:v>
      </x:c>
      <x:c r="D199" s="14" t="str">
        <x:v>Промисловий холод</x:v>
      </x:c>
      <x:c r="E199" s="14" t="str">
        <x:v>Expansion discovery</x:v>
      </x:c>
      <x:c r="F199" s="17" t="str">
        <x:v>D1</x:v>
      </x:c>
      <x:c r="G199" s="14" t="str">
        <x:v>ukrpromholod.com.ua</x:v>
      </x:c>
      <x:c r="H199" s="14" t="str">
        <x:v>2-тижневий workflow discovery — потрібні вимоги одного проєкту</x:v>
      </x:c>
      <x:c r="I199" s="16" t="n">
        <x:v>1</x:v>
      </x:c>
      <x:c r="J199" s="16" t="n">
        <x:v>5</x:v>
      </x:c>
      <x:c r="K199" s="16" t="n">
        <x:v>5</x:v>
      </x:c>
      <x:c r="L199" s="16" t="n">
        <x:v>4</x:v>
      </x:c>
      <x:c r="M199" s="16" t="n">
        <x:v>5</x:v>
      </x:c>
      <x:c r="N199" s="16" t="n">
        <x:v>5</x:v>
      </x:c>
      <x:c r="O199" s="16" t="n">
        <x:v>3</x:v>
      </x:c>
      <x:c r="P199" s="16" t="n">
        <x:f>IF(COUNT(I199:O199)&lt;7,"",I199*8+J199*3+K199*2+L199*2+M199*2+N199*2+O199)</x:f>
        <x:v>64</x:v>
      </x:c>
      <x:c r="Q199" s="16" t="n">
        <x:f>IF(COUNT(J199:O199)&lt;6,"",J199*5+K199*4+M199*4+L199*3+N199*2+O199*2)</x:f>
        <x:v>93</x:v>
      </x:c>
      <x:c r="R199" s="14" t="str">
        <x:v>medium</x:v>
      </x:c>
      <x:c r="S199" s="14" t="str">
        <x:v>google_index_verified_manual_check_2026-08-24</x:v>
      </x:c>
      <x:c r="T199" s="14" t="str">
        <x:v>indexed_official_page_manual_check</x:v>
      </x:c>
      <x:c r="U199" s="14" t="str">
        <x:v>Новий — не контактували</x:v>
      </x:c>
      <x:c r="V199" s="15" t="str">
        <x:v>2-тижневий discovery: запросити вимоги 1 активного проєкту + 1 знеособлений артефакт</x:v>
      </x:c>
      <x:c r="W199" s="15" t="str">
        <x:v>Власник / директор; керівник проєктів; головний холодильний інженер / ПТО</x:v>
      </x:c>
      <x:c r="X199" s="15" t="str">
        <x:v>Промислові холодильні рішення. Пошуковий результат веде на індексовану сторінку корпоративного домену: УКРПРОМХОЛОД.</x:v>
      </x:c>
      <x:c r="Y199" s="15" t="str">
        <x:v>Трубопроводи холодоагенту, ізоляція, випробування та ПНР закриваються послідовно і потребують протоколів.</x:v>
      </x:c>
      <x:c r="Z199" s="15" t="str">
        <x:v>http://ukrpromholod.com.ua/index.php?action=mobiledisable</x:v>
      </x:c>
      <x:c r="AA199" s="14" t="str"/>
      <x:c r="AB199" s="14" t="str">
        <x:v>2026-08-24</x:v>
      </x:c>
      <x:c r="AC199" s="14" t="str">
        <x:v>Олександр</x:v>
      </x:c>
      <x:c r="AD199" s="20" t="str"/>
      <x:c r="AE199" s="14" t="str"/>
      <x:c r="AF199" s="14" t="n">
        <x:v>0</x:v>
      </x:c>
      <x:c r="AG199" s="14" t="str">
        <x:v>—</x:v>
      </x:c>
      <x:c r="AH199" s="14" t="n">
        <x:v>0</x:v>
      </x:c>
      <x:c r="AI199" s="14" t="n">
        <x:v>0</x:v>
      </x:c>
      <x:c r="AJ199" s="18" t="n">
        <x:v>0</x:v>
      </x:c>
      <x:c r="AK199" s="14" t="str"/>
      <x:c r="AL199" s="19" t="str"/>
      <x:c r="AM199" s="19" t="str"/>
      <x:c r="AN199" s="15" t="str"/>
      <x:c r="AO199" s="15" t="str">
        <x:v>google_index_verified_manual_check_2026-08-24</x:v>
      </x:c>
    </x:row>
    <x:row r="200">
      <x:c r="A200" s="14" t="str">
        <x:v>W2-031</x:v>
      </x:c>
      <x:c r="B200" s="14" t="str">
        <x:v>Проєктний сигнал — 24.08</x:v>
      </x:c>
      <x:c r="C200" s="14" t="str">
        <x:v>Пожежна безпека України / Євросервіс</x:v>
      </x:c>
      <x:c r="D200" s="14" t="str">
        <x:v>Пожежогасіння</x:v>
      </x:c>
      <x:c r="E200" s="14" t="str">
        <x:v>Expansion discovery</x:v>
      </x:c>
      <x:c r="F200" s="17" t="str">
        <x:v>D1</x:v>
      </x:c>
      <x:c r="G200" s="14" t="str">
        <x:v>euroservis.com.ua</x:v>
      </x:c>
      <x:c r="H200" s="14" t="str">
        <x:v>2-тижневий workflow discovery — потрібні вимоги одного проєкту</x:v>
      </x:c>
      <x:c r="I200" s="16" t="n">
        <x:v>1</x:v>
      </x:c>
      <x:c r="J200" s="16" t="n">
        <x:v>5</x:v>
      </x:c>
      <x:c r="K200" s="16" t="n">
        <x:v>5</x:v>
      </x:c>
      <x:c r="L200" s="16" t="n">
        <x:v>4</x:v>
      </x:c>
      <x:c r="M200" s="16" t="n">
        <x:v>5</x:v>
      </x:c>
      <x:c r="N200" s="16" t="n">
        <x:v>5</x:v>
      </x:c>
      <x:c r="O200" s="16" t="n">
        <x:v>5</x:v>
      </x:c>
      <x:c r="P200" s="16" t="n">
        <x:f>IF(COUNT(I200:O200)&lt;7,"",I200*8+J200*3+K200*2+L200*2+M200*2+N200*2+O200)</x:f>
        <x:v>66</x:v>
      </x:c>
      <x:c r="Q200" s="16" t="n">
        <x:f>IF(COUNT(J200:O200)&lt;6,"",J200*5+K200*4+M200*4+L200*3+N200*2+O200*2)</x:f>
        <x:v>97</x:v>
      </x:c>
      <x:c r="R200" s="14" t="str">
        <x:v>high</x:v>
      </x:c>
      <x:c r="S200" s="14" t="str">
        <x:v>google_index_verified_2026-08-24</x:v>
      </x:c>
      <x:c r="T200" s="14" t="str">
        <x:v>indexed_official_service_page</x:v>
      </x:c>
      <x:c r="U200" s="14" t="str">
        <x:v>Новий — не контактували</x:v>
      </x:c>
      <x:c r="V200" s="15" t="str">
        <x:v>2-тижневий discovery: запросити вимоги 1 активного проєкту + 1 знеособлений артефакт</x:v>
      </x:c>
      <x:c r="W200" s="15" t="str">
        <x:v>Директор; керівник проєктів; керівник монтажу / ПТО</x:v>
      </x:c>
      <x:c r="X200" s="15" t="str">
        <x:v>Монтаж і технічне обслуговування пожежогасіння. Пошуковий результат веде на індексовану сторінку корпоративного домену: Монтаж систем пожежогасіння — Пожежна безпека України.</x:v>
      </x:c>
      <x:c r="Y200" s="15" t="str">
        <x:v>Трубопроводи, проходки, спринклери, адресація й випробування потребують доказів до оздоблення та введення.</x:v>
      </x:c>
      <x:c r="Z200" s="15" t="str">
        <x:v>https://euroservis.com.ua/ua/montazh-i-tekhnicheskoe-obsluzhivanie-sistem-pozharotusheniya/</x:v>
      </x:c>
      <x:c r="AA200" s="14" t="str"/>
      <x:c r="AB200" s="14" t="str">
        <x:v>2026-08-24</x:v>
      </x:c>
      <x:c r="AC200" s="14" t="str">
        <x:v>Олександр</x:v>
      </x:c>
      <x:c r="AD200" s="20" t="str"/>
      <x:c r="AE200" s="14" t="str"/>
      <x:c r="AF200" s="14" t="n">
        <x:v>0</x:v>
      </x:c>
      <x:c r="AG200" s="14" t="str">
        <x:v>—</x:v>
      </x:c>
      <x:c r="AH200" s="14" t="n">
        <x:v>0</x:v>
      </x:c>
      <x:c r="AI200" s="14" t="n">
        <x:v>0</x:v>
      </x:c>
      <x:c r="AJ200" s="18" t="n">
        <x:v>0</x:v>
      </x:c>
      <x:c r="AK200" s="14" t="str"/>
      <x:c r="AL200" s="19" t="str"/>
      <x:c r="AM200" s="19" t="str"/>
      <x:c r="AN200" s="15" t="str"/>
      <x:c r="AO200" s="15" t="str">
        <x:v>google_index_verified_2026-08-24</x:v>
      </x:c>
    </x:row>
    <x:row r="201">
      <x:c r="A201" s="14" t="str">
        <x:v>W2-032</x:v>
      </x:c>
      <x:c r="B201" s="14" t="str">
        <x:v>Проєктний сигнал — 24.08</x:v>
      </x:c>
      <x:c r="C201" s="14" t="str">
        <x:v>Кабо Груп</x:v>
      </x:c>
      <x:c r="D201" s="14" t="str">
        <x:v>Пожежогасіння</x:v>
      </x:c>
      <x:c r="E201" s="14" t="str">
        <x:v>Expansion discovery</x:v>
      </x:c>
      <x:c r="F201" s="17" t="str">
        <x:v>D1</x:v>
      </x:c>
      <x:c r="G201" s="14" t="str">
        <x:v>kabogroup.com.ua</x:v>
      </x:c>
      <x:c r="H201" s="14" t="str">
        <x:v>2-тижневий workflow discovery — потрібні вимоги одного проєкту</x:v>
      </x:c>
      <x:c r="I201" s="16" t="n">
        <x:v>1</x:v>
      </x:c>
      <x:c r="J201" s="16" t="n">
        <x:v>5</x:v>
      </x:c>
      <x:c r="K201" s="16" t="n">
        <x:v>5</x:v>
      </x:c>
      <x:c r="L201" s="16" t="n">
        <x:v>4</x:v>
      </x:c>
      <x:c r="M201" s="16" t="n">
        <x:v>5</x:v>
      </x:c>
      <x:c r="N201" s="16" t="n">
        <x:v>5</x:v>
      </x:c>
      <x:c r="O201" s="16" t="n">
        <x:v>5</x:v>
      </x:c>
      <x:c r="P201" s="16" t="n">
        <x:f>IF(COUNT(I201:O201)&lt;7,"",I201*8+J201*3+K201*2+L201*2+M201*2+N201*2+O201)</x:f>
        <x:v>66</x:v>
      </x:c>
      <x:c r="Q201" s="16" t="n">
        <x:f>IF(COUNT(J201:O201)&lt;6,"",J201*5+K201*4+M201*4+L201*3+N201*2+O201*2)</x:f>
        <x:v>97</x:v>
      </x:c>
      <x:c r="R201" s="14" t="str">
        <x:v>high</x:v>
      </x:c>
      <x:c r="S201" s="14" t="str">
        <x:v>google_index_verified_2026-08-24</x:v>
      </x:c>
      <x:c r="T201" s="14" t="str">
        <x:v>indexed_official_service_page</x:v>
      </x:c>
      <x:c r="U201" s="14" t="str">
        <x:v>Новий — не контактували</x:v>
      </x:c>
      <x:c r="V201" s="15" t="str">
        <x:v>2-тижневий discovery: запросити вимоги 1 активного проєкту + 1 знеособлений артефакт</x:v>
      </x:c>
      <x:c r="W201" s="15" t="str">
        <x:v>Директор; керівник проєктів; керівник монтажу / ПТО</x:v>
      </x:c>
      <x:c r="X201" s="15" t="str">
        <x:v>Комплексні протипожежні роботи. Пошуковий результат веде на індексовану сторінку корпоративного домену: Послуги пожежної безпеки — Кабо Груп.</x:v>
      </x:c>
      <x:c r="Y201" s="15" t="str">
        <x:v>Трубопроводи, проходки, спринклери, адресація й випробування потребують доказів до оздоблення та введення.</x:v>
      </x:c>
      <x:c r="Z201" s="15" t="str">
        <x:v>https://kabogroup.com.ua/%D0%BF%D0%BE%D1%81%D0%BB%D1%83%D0%B3%D0%B8/</x:v>
      </x:c>
      <x:c r="AA201" s="14" t="str"/>
      <x:c r="AB201" s="14" t="str">
        <x:v>2026-08-24</x:v>
      </x:c>
      <x:c r="AC201" s="14" t="str">
        <x:v>Олександр</x:v>
      </x:c>
      <x:c r="AD201" s="20" t="str"/>
      <x:c r="AE201" s="14" t="str"/>
      <x:c r="AF201" s="14" t="n">
        <x:v>0</x:v>
      </x:c>
      <x:c r="AG201" s="14" t="str">
        <x:v>—</x:v>
      </x:c>
      <x:c r="AH201" s="14" t="n">
        <x:v>0</x:v>
      </x:c>
      <x:c r="AI201" s="14" t="n">
        <x:v>0</x:v>
      </x:c>
      <x:c r="AJ201" s="18" t="n">
        <x:v>0</x:v>
      </x:c>
      <x:c r="AK201" s="14" t="str"/>
      <x:c r="AL201" s="19" t="str"/>
      <x:c r="AM201" s="19" t="str"/>
      <x:c r="AN201" s="15" t="str"/>
      <x:c r="AO201" s="15" t="str">
        <x:v>google_index_verified_2026-08-24</x:v>
      </x:c>
    </x:row>
    <x:row r="202">
      <x:c r="A202" s="14" t="str">
        <x:v>W2-033</x:v>
      </x:c>
      <x:c r="B202" s="14" t="str">
        <x:v>Проєктний сигнал — 24.08</x:v>
      </x:c>
      <x:c r="C202" s="14" t="str">
        <x:v>Август СБ</x:v>
      </x:c>
      <x:c r="D202" s="14" t="str">
        <x:v>Пожежогасіння</x:v>
      </x:c>
      <x:c r="E202" s="14" t="str">
        <x:v>Expansion discovery</x:v>
      </x:c>
      <x:c r="F202" s="17" t="str">
        <x:v>D1</x:v>
      </x:c>
      <x:c r="G202" s="14" t="str">
        <x:v>augustsb.com.ua</x:v>
      </x:c>
      <x:c r="H202" s="14" t="str">
        <x:v>2-тижневий workflow discovery — потрібні вимоги одного проєкту</x:v>
      </x:c>
      <x:c r="I202" s="16" t="n">
        <x:v>1</x:v>
      </x:c>
      <x:c r="J202" s="16" t="n">
        <x:v>5</x:v>
      </x:c>
      <x:c r="K202" s="16" t="n">
        <x:v>5</x:v>
      </x:c>
      <x:c r="L202" s="16" t="n">
        <x:v>4</x:v>
      </x:c>
      <x:c r="M202" s="16" t="n">
        <x:v>5</x:v>
      </x:c>
      <x:c r="N202" s="16" t="n">
        <x:v>5</x:v>
      </x:c>
      <x:c r="O202" s="16" t="n">
        <x:v>5</x:v>
      </x:c>
      <x:c r="P202" s="16" t="n">
        <x:f>IF(COUNT(I202:O202)&lt;7,"",I202*8+J202*3+K202*2+L202*2+M202*2+N202*2+O202)</x:f>
        <x:v>66</x:v>
      </x:c>
      <x:c r="Q202" s="16" t="n">
        <x:f>IF(COUNT(J202:O202)&lt;6,"",J202*5+K202*4+M202*4+L202*3+N202*2+O202*2)</x:f>
        <x:v>97</x:v>
      </x:c>
      <x:c r="R202" s="14" t="str">
        <x:v>high</x:v>
      </x:c>
      <x:c r="S202" s="14" t="str">
        <x:v>google_index_verified_2026-08-24</x:v>
      </x:c>
      <x:c r="T202" s="14" t="str">
        <x:v>indexed_official_service_page</x:v>
      </x:c>
      <x:c r="U202" s="14" t="str">
        <x:v>Новий — не контактували</x:v>
      </x:c>
      <x:c r="V202" s="15" t="str">
        <x:v>2-тижневий discovery: запросити вимоги 1 активного проєкту + 1 знеособлений артефакт</x:v>
      </x:c>
      <x:c r="W202" s="15" t="str">
        <x:v>Директор; керівник проєктів; керівник монтажу / ПТО</x:v>
      </x:c>
      <x:c r="X202" s="15" t="str">
        <x:v>Монтаж і обслуговування по Україні. Пошуковий результат веде на індексовану сторінку корпоративного домену: Монтаж пожежної сигналізації — Август СБ.</x:v>
      </x:c>
      <x:c r="Y202" s="15" t="str">
        <x:v>Трубопроводи, проходки, спринклери, адресація й випробування потребують доказів до оздоблення та введення.</x:v>
      </x:c>
      <x:c r="Z202" s="15" t="str">
        <x:v>https://augustsb.com.ua/sistemi-pozhezhnoyi-signalizacziyi-prodazh-montazh-obslugovuvannya-po-vsij-ukrayini/</x:v>
      </x:c>
      <x:c r="AA202" s="14" t="str"/>
      <x:c r="AB202" s="14" t="str">
        <x:v>2026-08-24</x:v>
      </x:c>
      <x:c r="AC202" s="14" t="str">
        <x:v>Олександр</x:v>
      </x:c>
      <x:c r="AD202" s="20" t="str"/>
      <x:c r="AE202" s="14" t="str"/>
      <x:c r="AF202" s="14" t="n">
        <x:v>0</x:v>
      </x:c>
      <x:c r="AG202" s="14" t="str">
        <x:v>—</x:v>
      </x:c>
      <x:c r="AH202" s="14" t="n">
        <x:v>0</x:v>
      </x:c>
      <x:c r="AI202" s="14" t="n">
        <x:v>0</x:v>
      </x:c>
      <x:c r="AJ202" s="18" t="n">
        <x:v>0</x:v>
      </x:c>
      <x:c r="AK202" s="14" t="str"/>
      <x:c r="AL202" s="19" t="str"/>
      <x:c r="AM202" s="19" t="str"/>
      <x:c r="AN202" s="15" t="str"/>
      <x:c r="AO202" s="15" t="str">
        <x:v>google_index_verified_2026-08-24</x:v>
      </x:c>
    </x:row>
    <x:row r="203">
      <x:c r="A203" s="14" t="str">
        <x:v>W2-034</x:v>
      </x:c>
      <x:c r="B203" s="14" t="str">
        <x:v>Проєктний сигнал — 24.08</x:v>
      </x:c>
      <x:c r="C203" s="14" t="str">
        <x:v>SHERIFF</x:v>
      </x:c>
      <x:c r="D203" s="14" t="str">
        <x:v>Пожежогасіння</x:v>
      </x:c>
      <x:c r="E203" s="14" t="str">
        <x:v>Expansion discovery</x:v>
      </x:c>
      <x:c r="F203" s="17" t="str">
        <x:v>D1</x:v>
      </x:c>
      <x:c r="G203" s="14" t="str">
        <x:v>sheriff.com.ua</x:v>
      </x:c>
      <x:c r="H203" s="14" t="str">
        <x:v>2-тижневий workflow discovery — потрібні вимоги одного проєкту</x:v>
      </x:c>
      <x:c r="I203" s="16" t="n">
        <x:v>1</x:v>
      </x:c>
      <x:c r="J203" s="16" t="n">
        <x:v>5</x:v>
      </x:c>
      <x:c r="K203" s="16" t="n">
        <x:v>5</x:v>
      </x:c>
      <x:c r="L203" s="16" t="n">
        <x:v>4</x:v>
      </x:c>
      <x:c r="M203" s="16" t="n">
        <x:v>5</x:v>
      </x:c>
      <x:c r="N203" s="16" t="n">
        <x:v>5</x:v>
      </x:c>
      <x:c r="O203" s="16" t="n">
        <x:v>5</x:v>
      </x:c>
      <x:c r="P203" s="16" t="n">
        <x:f>IF(COUNT(I203:O203)&lt;7,"",I203*8+J203*3+K203*2+L203*2+M203*2+N203*2+O203)</x:f>
        <x:v>66</x:v>
      </x:c>
      <x:c r="Q203" s="16" t="n">
        <x:f>IF(COUNT(J203:O203)&lt;6,"",J203*5+K203*4+M203*4+L203*3+N203*2+O203*2)</x:f>
        <x:v>97</x:v>
      </x:c>
      <x:c r="R203" s="14" t="str">
        <x:v>high</x:v>
      </x:c>
      <x:c r="S203" s="14" t="str">
        <x:v>google_index_verified_2026-08-24</x:v>
      </x:c>
      <x:c r="T203" s="14" t="str">
        <x:v>indexed_official_service_page</x:v>
      </x:c>
      <x:c r="U203" s="14" t="str">
        <x:v>Новий — не контактували</x:v>
      </x:c>
      <x:c r="V203" s="15" t="str">
        <x:v>2-тижневий discovery: запросити вимоги 1 активного проєкту + 1 знеособлений артефакт</x:v>
      </x:c>
      <x:c r="W203" s="15" t="str">
        <x:v>Директор; керівник проєктів; керівник монтажу / ПТО</x:v>
      </x:c>
      <x:c r="X203" s="15" t="str">
        <x:v>Монтаж систем протипожежного захисту. Пошуковий результат веде на індексовану сторінку корпоративного домену: Монтаж систем протипожежного захисту — SHERIFF.</x:v>
      </x:c>
      <x:c r="Y203" s="15" t="str">
        <x:v>Трубопроводи, проходки, спринклери, адресація й випробування потребують доказів до оздоблення та введення.</x:v>
      </x:c>
      <x:c r="Z203" s="15" t="str">
        <x:v>https://sheriff.com.ua/services/montazh-sistem-protipozhezhnogo-zahistu</x:v>
      </x:c>
      <x:c r="AA203" s="14" t="str"/>
      <x:c r="AB203" s="14" t="str">
        <x:v>2026-08-24</x:v>
      </x:c>
      <x:c r="AC203" s="14" t="str">
        <x:v>Олександр</x:v>
      </x:c>
      <x:c r="AD203" s="20" t="str"/>
      <x:c r="AE203" s="14" t="str"/>
      <x:c r="AF203" s="14" t="n">
        <x:v>0</x:v>
      </x:c>
      <x:c r="AG203" s="14" t="str">
        <x:v>—</x:v>
      </x:c>
      <x:c r="AH203" s="14" t="n">
        <x:v>0</x:v>
      </x:c>
      <x:c r="AI203" s="14" t="n">
        <x:v>0</x:v>
      </x:c>
      <x:c r="AJ203" s="18" t="n">
        <x:v>0</x:v>
      </x:c>
      <x:c r="AK203" s="14" t="str"/>
      <x:c r="AL203" s="19" t="str"/>
      <x:c r="AM203" s="19" t="str"/>
      <x:c r="AN203" s="15" t="str"/>
      <x:c r="AO203" s="15" t="str">
        <x:v>google_index_verified_2026-08-24</x:v>
      </x:c>
    </x:row>
    <x:row r="204">
      <x:c r="A204" s="14" t="str">
        <x:v>W2-035</x:v>
      </x:c>
      <x:c r="B204" s="14" t="str">
        <x:v>Проєктний сигнал — 24.08</x:v>
      </x:c>
      <x:c r="C204" s="14" t="str">
        <x:v>Solar-M</x:v>
      </x:c>
      <x:c r="D204" s="14" t="str">
        <x:v>Резервне живлення</x:v>
      </x:c>
      <x:c r="E204" s="14" t="str">
        <x:v>Expansion discovery</x:v>
      </x:c>
      <x:c r="F204" s="17" t="str">
        <x:v>D1</x:v>
      </x:c>
      <x:c r="G204" s="14" t="str">
        <x:v>solar-m.com.ua</x:v>
      </x:c>
      <x:c r="H204" s="14" t="str">
        <x:v>2-тижневий workflow discovery — потрібні вимоги одного проєкту</x:v>
      </x:c>
      <x:c r="I204" s="16" t="n">
        <x:v>1</x:v>
      </x:c>
      <x:c r="J204" s="16" t="n">
        <x:v>5</x:v>
      </x:c>
      <x:c r="K204" s="16" t="n">
        <x:v>4</x:v>
      </x:c>
      <x:c r="L204" s="16" t="n">
        <x:v>4</x:v>
      </x:c>
      <x:c r="M204" s="16" t="n">
        <x:v>5</x:v>
      </x:c>
      <x:c r="N204" s="16" t="n">
        <x:v>5</x:v>
      </x:c>
      <x:c r="O204" s="16" t="n">
        <x:v>5</x:v>
      </x:c>
      <x:c r="P204" s="16" t="n">
        <x:f>IF(COUNT(I204:O204)&lt;7,"",I204*8+J204*3+K204*2+L204*2+M204*2+N204*2+O204)</x:f>
        <x:v>64</x:v>
      </x:c>
      <x:c r="Q204" s="16" t="n">
        <x:f>IF(COUNT(J204:O204)&lt;6,"",J204*5+K204*4+M204*4+L204*3+N204*2+O204*2)</x:f>
        <x:v>93</x:v>
      </x:c>
      <x:c r="R204" s="14" t="str">
        <x:v>high</x:v>
      </x:c>
      <x:c r="S204" s="14" t="str">
        <x:v>google_index_verified_2026-08-24</x:v>
      </x:c>
      <x:c r="T204" s="14" t="str">
        <x:v>indexed_official_service_page</x:v>
      </x:c>
      <x:c r="U204" s="14" t="str">
        <x:v>Новий — не контактували</x:v>
      </x:c>
      <x:c r="V204" s="15" t="str">
        <x:v>2-тижневий discovery: запросити вимоги 1 активного проєкту + 1 знеособлений артефакт</x:v>
      </x:c>
      <x:c r="W204" s="15" t="str">
        <x:v>Комерційний директор; керівник енергетичних проєктів; ПТО / ПНР</x:v>
      </x:c>
      <x:c r="X204" s="15" t="str">
        <x:v>Системи резервного живлення. Пошуковий результат веде на індексовану сторінку корпоративного домену: ДБЖ та сонячні станції — Solar-M.</x:v>
      </x:c>
      <x:c r="Y204" s="15" t="str">
        <x:v>Кабельні траси, АВР, заземлення, налаштування ДБЖ і тест під навантаженням формують контрольний пакет.</x:v>
      </x:c>
      <x:c r="Z204" s="15" t="str">
        <x:v>https://solar-m.com.ua/dbzh-ta-sonyachni-stancziyi-dlya-bagatokvartyrnyh-budynkiv/</x:v>
      </x:c>
      <x:c r="AA204" s="14" t="str"/>
      <x:c r="AB204" s="14" t="str">
        <x:v>2026-08-24</x:v>
      </x:c>
      <x:c r="AC204" s="14" t="str">
        <x:v>Олександр</x:v>
      </x:c>
      <x:c r="AD204" s="20" t="str"/>
      <x:c r="AE204" s="14" t="str"/>
      <x:c r="AF204" s="14" t="n">
        <x:v>0</x:v>
      </x:c>
      <x:c r="AG204" s="14" t="str">
        <x:v>—</x:v>
      </x:c>
      <x:c r="AH204" s="14" t="n">
        <x:v>0</x:v>
      </x:c>
      <x:c r="AI204" s="14" t="n">
        <x:v>0</x:v>
      </x:c>
      <x:c r="AJ204" s="18" t="n">
        <x:v>0</x:v>
      </x:c>
      <x:c r="AK204" s="14" t="str"/>
      <x:c r="AL204" s="19" t="str"/>
      <x:c r="AM204" s="19" t="str"/>
      <x:c r="AN204" s="15" t="str"/>
      <x:c r="AO204" s="15" t="str">
        <x:v>google_index_verified_2026-08-24</x:v>
      </x:c>
    </x:row>
    <x:row r="205">
      <x:c r="A205" s="14" t="str">
        <x:v>W2-036</x:v>
      </x:c>
      <x:c r="B205" s="14" t="str">
        <x:v>Проєктний сигнал — 24.08</x:v>
      </x:c>
      <x:c r="C205" s="14" t="str">
        <x:v>UNTEK</x:v>
      </x:c>
      <x:c r="D205" s="14" t="str">
        <x:v>Резервне живлення</x:v>
      </x:c>
      <x:c r="E205" s="14" t="str">
        <x:v>Expansion discovery</x:v>
      </x:c>
      <x:c r="F205" s="17" t="str">
        <x:v>D1</x:v>
      </x:c>
      <x:c r="G205" s="14" t="str">
        <x:v>untek.com.ua</x:v>
      </x:c>
      <x:c r="H205" s="14" t="str">
        <x:v>2-тижневий workflow discovery — потрібні вимоги одного проєкту</x:v>
      </x:c>
      <x:c r="I205" s="16" t="n">
        <x:v>1</x:v>
      </x:c>
      <x:c r="J205" s="16" t="n">
        <x:v>5</x:v>
      </x:c>
      <x:c r="K205" s="16" t="n">
        <x:v>4</x:v>
      </x:c>
      <x:c r="L205" s="16" t="n">
        <x:v>4</x:v>
      </x:c>
      <x:c r="M205" s="16" t="n">
        <x:v>5</x:v>
      </x:c>
      <x:c r="N205" s="16" t="n">
        <x:v>5</x:v>
      </x:c>
      <x:c r="O205" s="16" t="n">
        <x:v>5</x:v>
      </x:c>
      <x:c r="P205" s="16" t="n">
        <x:f>IF(COUNT(I205:O205)&lt;7,"",I205*8+J205*3+K205*2+L205*2+M205*2+N205*2+O205)</x:f>
        <x:v>64</x:v>
      </x:c>
      <x:c r="Q205" s="16" t="n">
        <x:f>IF(COUNT(J205:O205)&lt;6,"",J205*5+K205*4+M205*4+L205*3+N205*2+O205*2)</x:f>
        <x:v>93</x:v>
      </x:c>
      <x:c r="R205" s="14" t="str">
        <x:v>high</x:v>
      </x:c>
      <x:c r="S205" s="14" t="str">
        <x:v>google_index_verified_2026-08-24</x:v>
      </x:c>
      <x:c r="T205" s="14" t="str">
        <x:v>indexed_official_service_page</x:v>
      </x:c>
      <x:c r="U205" s="14" t="str">
        <x:v>Новий — не контактували</x:v>
      </x:c>
      <x:c r="V205" s="15" t="str">
        <x:v>2-тижневий discovery: запросити вимоги 1 активного проєкту + 1 знеособлений артефакт</x:v>
      </x:c>
      <x:c r="W205" s="15" t="str">
        <x:v>Комерційний директор; керівник енергетичних проєктів; ПТО / ПНР</x:v>
      </x:c>
      <x:c r="X205" s="15" t="str">
        <x:v>Монтаж автономного живлення. Пошуковий результат веде на індексовану сторінку корпоративного домену: Безперебійне живлення під ключ — UNTEK.</x:v>
      </x:c>
      <x:c r="Y205" s="15" t="str">
        <x:v>Кабельні траси, АВР, заземлення, налаштування ДБЖ і тест під навантаженням формують контрольний пакет.</x:v>
      </x:c>
      <x:c r="Z205" s="15" t="str">
        <x:v>https://untek.com.ua/avtonomne-zhyvlennia</x:v>
      </x:c>
      <x:c r="AA205" s="14" t="str"/>
      <x:c r="AB205" s="14" t="str">
        <x:v>2026-08-24</x:v>
      </x:c>
      <x:c r="AC205" s="14" t="str">
        <x:v>Олександр</x:v>
      </x:c>
      <x:c r="AD205" s="20" t="str"/>
      <x:c r="AE205" s="14" t="str"/>
      <x:c r="AF205" s="14" t="n">
        <x:v>0</x:v>
      </x:c>
      <x:c r="AG205" s="14" t="str">
        <x:v>—</x:v>
      </x:c>
      <x:c r="AH205" s="14" t="n">
        <x:v>0</x:v>
      </x:c>
      <x:c r="AI205" s="14" t="n">
        <x:v>0</x:v>
      </x:c>
      <x:c r="AJ205" s="18" t="n">
        <x:v>0</x:v>
      </x:c>
      <x:c r="AK205" s="14" t="str"/>
      <x:c r="AL205" s="19" t="str"/>
      <x:c r="AM205" s="19" t="str"/>
      <x:c r="AN205" s="15" t="str"/>
      <x:c r="AO205" s="15" t="str">
        <x:v>google_index_verified_2026-08-24</x:v>
      </x:c>
    </x:row>
    <x:row r="206">
      <x:c r="A206" s="14" t="str">
        <x:v>W2-037</x:v>
      </x:c>
      <x:c r="B206" s="14" t="str">
        <x:v>Проєктний сигнал — 24.08</x:v>
      </x:c>
      <x:c r="C206" s="14" t="str">
        <x:v>Suntime</x:v>
      </x:c>
      <x:c r="D206" s="14" t="str">
        <x:v>Резервне живлення</x:v>
      </x:c>
      <x:c r="E206" s="14" t="str">
        <x:v>Expansion discovery</x:v>
      </x:c>
      <x:c r="F206" s="17" t="str">
        <x:v>D1</x:v>
      </x:c>
      <x:c r="G206" s="14" t="str">
        <x:v>suntime.in.ua</x:v>
      </x:c>
      <x:c r="H206" s="14" t="str">
        <x:v>2-тижневий workflow discovery — потрібні вимоги одного проєкту</x:v>
      </x:c>
      <x:c r="I206" s="16" t="n">
        <x:v>1</x:v>
      </x:c>
      <x:c r="J206" s="16" t="n">
        <x:v>5</x:v>
      </x:c>
      <x:c r="K206" s="16" t="n">
        <x:v>4</x:v>
      </x:c>
      <x:c r="L206" s="16" t="n">
        <x:v>4</x:v>
      </x:c>
      <x:c r="M206" s="16" t="n">
        <x:v>5</x:v>
      </x:c>
      <x:c r="N206" s="16" t="n">
        <x:v>5</x:v>
      </x:c>
      <x:c r="O206" s="16" t="n">
        <x:v>5</x:v>
      </x:c>
      <x:c r="P206" s="16" t="n">
        <x:f>IF(COUNT(I206:O206)&lt;7,"",I206*8+J206*3+K206*2+L206*2+M206*2+N206*2+O206)</x:f>
        <x:v>64</x:v>
      </x:c>
      <x:c r="Q206" s="16" t="n">
        <x:f>IF(COUNT(J206:O206)&lt;6,"",J206*5+K206*4+M206*4+L206*3+N206*2+O206*2)</x:f>
        <x:v>93</x:v>
      </x:c>
      <x:c r="R206" s="14" t="str">
        <x:v>high</x:v>
      </x:c>
      <x:c r="S206" s="14" t="str">
        <x:v>google_index_verified_2026-08-24</x:v>
      </x:c>
      <x:c r="T206" s="14" t="str">
        <x:v>indexed_official_service_page</x:v>
      </x:c>
      <x:c r="U206" s="14" t="str">
        <x:v>Новий — не контактували</x:v>
      </x:c>
      <x:c r="V206" s="15" t="str">
        <x:v>2-тижневий discovery: запросити вимоги 1 активного проєкту + 1 знеособлений артефакт</x:v>
      </x:c>
      <x:c r="W206" s="15" t="str">
        <x:v>Комерційний директор; керівник енергетичних проєктів; ПТО / ПНР</x:v>
      </x:c>
      <x:c r="X206" s="15" t="str">
        <x:v>Будівництво систем резервного живлення. Пошуковий результат веде на індексовану сторінку корпоративного домену: Будівництво систем безперебійного живлення — Suntime.</x:v>
      </x:c>
      <x:c r="Y206" s="15" t="str">
        <x:v>Кабельні траси, АВР, заземлення, налаштування ДБЖ і тест під навантаженням формують контрольний пакет.</x:v>
      </x:c>
      <x:c r="Z206" s="15" t="str">
        <x:v>https://suntime.in.ua/services/budivnytstvo-system-bezperebiinoho-zhyvlennia/</x:v>
      </x:c>
      <x:c r="AA206" s="14" t="str"/>
      <x:c r="AB206" s="14" t="str">
        <x:v>2026-08-24</x:v>
      </x:c>
      <x:c r="AC206" s="14" t="str">
        <x:v>Олександр</x:v>
      </x:c>
      <x:c r="AD206" s="20" t="str"/>
      <x:c r="AE206" s="14" t="str"/>
      <x:c r="AF206" s="14" t="n">
        <x:v>0</x:v>
      </x:c>
      <x:c r="AG206" s="14" t="str">
        <x:v>—</x:v>
      </x:c>
      <x:c r="AH206" s="14" t="n">
        <x:v>0</x:v>
      </x:c>
      <x:c r="AI206" s="14" t="n">
        <x:v>0</x:v>
      </x:c>
      <x:c r="AJ206" s="18" t="n">
        <x:v>0</x:v>
      </x:c>
      <x:c r="AK206" s="14" t="str"/>
      <x:c r="AL206" s="19" t="str"/>
      <x:c r="AM206" s="19" t="str"/>
      <x:c r="AN206" s="15" t="str"/>
      <x:c r="AO206" s="15" t="str">
        <x:v>google_index_verified_2026-08-24</x:v>
      </x:c>
    </x:row>
    <x:row r="207">
      <x:c r="A207" s="14" t="str">
        <x:v>W2-038</x:v>
      </x:c>
      <x:c r="B207" s="14" t="str">
        <x:v>Проєктний сигнал — 24.08</x:v>
      </x:c>
      <x:c r="C207" s="14" t="str">
        <x:v>220 Help</x:v>
      </x:c>
      <x:c r="D207" s="14" t="str">
        <x:v>Резервне живлення</x:v>
      </x:c>
      <x:c r="E207" s="14" t="str">
        <x:v>Expansion discovery</x:v>
      </x:c>
      <x:c r="F207" s="17" t="str">
        <x:v>D1</x:v>
      </x:c>
      <x:c r="G207" s="14" t="str">
        <x:v>220help.com.ua</x:v>
      </x:c>
      <x:c r="H207" s="14" t="str">
        <x:v>2-тижневий workflow discovery — потрібні вимоги одного проєкту</x:v>
      </x:c>
      <x:c r="I207" s="16" t="n">
        <x:v>1</x:v>
      </x:c>
      <x:c r="J207" s="16" t="n">
        <x:v>5</x:v>
      </x:c>
      <x:c r="K207" s="16" t="n">
        <x:v>4</x:v>
      </x:c>
      <x:c r="L207" s="16" t="n">
        <x:v>4</x:v>
      </x:c>
      <x:c r="M207" s="16" t="n">
        <x:v>5</x:v>
      </x:c>
      <x:c r="N207" s="16" t="n">
        <x:v>5</x:v>
      </x:c>
      <x:c r="O207" s="16" t="n">
        <x:v>5</x:v>
      </x:c>
      <x:c r="P207" s="16" t="n">
        <x:f>IF(COUNT(I207:O207)&lt;7,"",I207*8+J207*3+K207*2+L207*2+M207*2+N207*2+O207)</x:f>
        <x:v>64</x:v>
      </x:c>
      <x:c r="Q207" s="16" t="n">
        <x:f>IF(COUNT(J207:O207)&lt;6,"",J207*5+K207*4+M207*4+L207*3+N207*2+O207*2)</x:f>
        <x:v>93</x:v>
      </x:c>
      <x:c r="R207" s="14" t="str">
        <x:v>high</x:v>
      </x:c>
      <x:c r="S207" s="14" t="str">
        <x:v>google_index_verified_2026-08-24</x:v>
      </x:c>
      <x:c r="T207" s="14" t="str">
        <x:v>indexed_official_service_page</x:v>
      </x:c>
      <x:c r="U207" s="14" t="str">
        <x:v>Новий — не контактували</x:v>
      </x:c>
      <x:c r="V207" s="15" t="str">
        <x:v>2-тижневий discovery: запросити вимоги 1 активного проєкту + 1 знеособлений артефакт</x:v>
      </x:c>
      <x:c r="W207" s="15" t="str">
        <x:v>Комерційний директор; керівник енергетичних проєктів; ПТО / ПНР</x:v>
      </x:c>
      <x:c r="X207" s="15" t="str">
        <x:v>Монтаж резервного живлення. Пошуковий результат веде на індексовану сторінку корпоративного домену: Встановлення резервного живлення — 220 Help.</x:v>
      </x:c>
      <x:c r="Y207" s="15" t="str">
        <x:v>Кабельні траси, АВР, заземлення, налаштування ДБЖ і тест під навантаженням формують контрольний пакет.</x:v>
      </x:c>
      <x:c r="Z207" s="15" t="str">
        <x:v>https://220help.com.ua/electrician_services/ustanovlennia-rezervnoho-zhyvlennia-kyiv/</x:v>
      </x:c>
      <x:c r="AA207" s="14" t="str"/>
      <x:c r="AB207" s="14" t="str">
        <x:v>2026-08-24</x:v>
      </x:c>
      <x:c r="AC207" s="14" t="str">
        <x:v>Олександр</x:v>
      </x:c>
      <x:c r="AD207" s="20" t="str"/>
      <x:c r="AE207" s="14" t="str"/>
      <x:c r="AF207" s="14" t="n">
        <x:v>0</x:v>
      </x:c>
      <x:c r="AG207" s="14" t="str">
        <x:v>—</x:v>
      </x:c>
      <x:c r="AH207" s="14" t="n">
        <x:v>0</x:v>
      </x:c>
      <x:c r="AI207" s="14" t="n">
        <x:v>0</x:v>
      </x:c>
      <x:c r="AJ207" s="18" t="n">
        <x:v>0</x:v>
      </x:c>
      <x:c r="AK207" s="14" t="str"/>
      <x:c r="AL207" s="19" t="str"/>
      <x:c r="AM207" s="19" t="str"/>
      <x:c r="AN207" s="15" t="str"/>
      <x:c r="AO207" s="15" t="str">
        <x:v>google_index_verified_2026-08-24</x:v>
      </x:c>
    </x:row>
    <x:row r="208">
      <x:c r="A208" s="14" t="str">
        <x:v>W2-039</x:v>
      </x:c>
      <x:c r="B208" s="14" t="str">
        <x:v>Проєктний сигнал — 24.08</x:v>
      </x:c>
      <x:c r="C208" s="14" t="str">
        <x:v>ГЕКО-Центр</x:v>
      </x:c>
      <x:c r="D208" s="14" t="str">
        <x:v>Резервне живлення</x:v>
      </x:c>
      <x:c r="E208" s="14" t="str">
        <x:v>Expansion discovery</x:v>
      </x:c>
      <x:c r="F208" s="17" t="str">
        <x:v>D1</x:v>
      </x:c>
      <x:c r="G208" s="14" t="str">
        <x:v>geko.kiev.ua</x:v>
      </x:c>
      <x:c r="H208" s="14" t="str">
        <x:v>2-тижневий workflow discovery — потрібні вимоги одного проєкту</x:v>
      </x:c>
      <x:c r="I208" s="16" t="n">
        <x:v>1</x:v>
      </x:c>
      <x:c r="J208" s="16" t="n">
        <x:v>5</x:v>
      </x:c>
      <x:c r="K208" s="16" t="n">
        <x:v>4</x:v>
      </x:c>
      <x:c r="L208" s="16" t="n">
        <x:v>4</x:v>
      </x:c>
      <x:c r="M208" s="16" t="n">
        <x:v>5</x:v>
      </x:c>
      <x:c r="N208" s="16" t="n">
        <x:v>5</x:v>
      </x:c>
      <x:c r="O208" s="16" t="n">
        <x:v>5</x:v>
      </x:c>
      <x:c r="P208" s="16" t="n">
        <x:f>IF(COUNT(I208:O208)&lt;7,"",I208*8+J208*3+K208*2+L208*2+M208*2+N208*2+O208)</x:f>
        <x:v>64</x:v>
      </x:c>
      <x:c r="Q208" s="16" t="n">
        <x:f>IF(COUNT(J208:O208)&lt;6,"",J208*5+K208*4+M208*4+L208*3+N208*2+O208*2)</x:f>
        <x:v>93</x:v>
      </x:c>
      <x:c r="R208" s="14" t="str">
        <x:v>high</x:v>
      </x:c>
      <x:c r="S208" s="14" t="str">
        <x:v>google_index_verified_2026-08-24</x:v>
      </x:c>
      <x:c r="T208" s="14" t="str">
        <x:v>indexed_official_service_page</x:v>
      </x:c>
      <x:c r="U208" s="14" t="str">
        <x:v>Новий — не контактували</x:v>
      </x:c>
      <x:c r="V208" s="15" t="str">
        <x:v>2-тижневий discovery: запросити вимоги 1 активного проєкту + 1 знеособлений артефакт</x:v>
      </x:c>
      <x:c r="W208" s="15" t="str">
        <x:v>Комерційний директор; керівник енергетичних проєктів; ПТО / ПНР</x:v>
      </x:c>
      <x:c r="X208" s="15" t="str">
        <x:v>Публічні проєкти електропостачання. Пошуковий результат веде на індексовану сторінку корпоративного домену: Проєкти систем електропостачання — ГЕКО-Центр.</x:v>
      </x:c>
      <x:c r="Y208" s="15" t="str">
        <x:v>Кабельні траси, АВР, заземлення, налаштування ДБЖ і тест під навантаженням формують контрольний пакет.</x:v>
      </x:c>
      <x:c r="Z208" s="15" t="str">
        <x:v>https://geko.kiev.ua/nashi-proekty/</x:v>
      </x:c>
      <x:c r="AA208" s="14" t="str"/>
      <x:c r="AB208" s="14" t="str">
        <x:v>2026-08-24</x:v>
      </x:c>
      <x:c r="AC208" s="14" t="str">
        <x:v>Олександр</x:v>
      </x:c>
      <x:c r="AD208" s="20" t="str"/>
      <x:c r="AE208" s="14" t="str"/>
      <x:c r="AF208" s="14" t="n">
        <x:v>0</x:v>
      </x:c>
      <x:c r="AG208" s="14" t="str">
        <x:v>—</x:v>
      </x:c>
      <x:c r="AH208" s="14" t="n">
        <x:v>0</x:v>
      </x:c>
      <x:c r="AI208" s="14" t="n">
        <x:v>0</x:v>
      </x:c>
      <x:c r="AJ208" s="18" t="n">
        <x:v>0</x:v>
      </x:c>
      <x:c r="AK208" s="14" t="str"/>
      <x:c r="AL208" s="19" t="str"/>
      <x:c r="AM208" s="19" t="str"/>
      <x:c r="AN208" s="15" t="str"/>
      <x:c r="AO208" s="15" t="str">
        <x:v>google_index_verified_2026-08-24</x:v>
      </x:c>
    </x:row>
    <x:row r="209">
      <x:c r="A209" s="14" t="str">
        <x:v>W2-040</x:v>
      </x:c>
      <x:c r="B209" s="14" t="str">
        <x:v>Проєктний сигнал — 24.08</x:v>
      </x:c>
      <x:c r="C209" s="14" t="str">
        <x:v>EnergoSeti</x:v>
      </x:c>
      <x:c r="D209" s="14" t="str">
        <x:v>Резервне живлення</x:v>
      </x:c>
      <x:c r="E209" s="14" t="str">
        <x:v>Expansion discovery</x:v>
      </x:c>
      <x:c r="F209" s="17" t="str">
        <x:v>D1</x:v>
      </x:c>
      <x:c r="G209" s="14" t="str">
        <x:v>energoseti.com.ua</x:v>
      </x:c>
      <x:c r="H209" s="14" t="str">
        <x:v>2-тижневий workflow discovery — потрібні вимоги одного проєкту</x:v>
      </x:c>
      <x:c r="I209" s="16" t="n">
        <x:v>1</x:v>
      </x:c>
      <x:c r="J209" s="16" t="n">
        <x:v>5</x:v>
      </x:c>
      <x:c r="K209" s="16" t="n">
        <x:v>4</x:v>
      </x:c>
      <x:c r="L209" s="16" t="n">
        <x:v>4</x:v>
      </x:c>
      <x:c r="M209" s="16" t="n">
        <x:v>5</x:v>
      </x:c>
      <x:c r="N209" s="16" t="n">
        <x:v>5</x:v>
      </x:c>
      <x:c r="O209" s="16" t="n">
        <x:v>5</x:v>
      </x:c>
      <x:c r="P209" s="16" t="n">
        <x:f>IF(COUNT(I209:O209)&lt;7,"",I209*8+J209*3+K209*2+L209*2+M209*2+N209*2+O209)</x:f>
        <x:v>64</x:v>
      </x:c>
      <x:c r="Q209" s="16" t="n">
        <x:f>IF(COUNT(J209:O209)&lt;6,"",J209*5+K209*4+M209*4+L209*3+N209*2+O209*2)</x:f>
        <x:v>93</x:v>
      </x:c>
      <x:c r="R209" s="14" t="str">
        <x:v>high</x:v>
      </x:c>
      <x:c r="S209" s="14" t="str">
        <x:v>google_index_verified_2026-08-24</x:v>
      </x:c>
      <x:c r="T209" s="14" t="str">
        <x:v>indexed_official_service_page</x:v>
      </x:c>
      <x:c r="U209" s="14" t="str">
        <x:v>Новий — не контактували</x:v>
      </x:c>
      <x:c r="V209" s="15" t="str">
        <x:v>2-тижневий discovery: запросити вимоги 1 активного проєкту + 1 знеособлений артефакт</x:v>
      </x:c>
      <x:c r="W209" s="15" t="str">
        <x:v>Комерційний директор; керівник енергетичних проєктів; ПТО / ПНР</x:v>
      </x:c>
      <x:c r="X209" s="15" t="str">
        <x:v>Проєктування, монтаж і підключення. Пошуковий результат веде на індексовану сторінку корпоративного домену: Аварійне резервне електропостачання — EnergoSeti.</x:v>
      </x:c>
      <x:c r="Y209" s="15" t="str">
        <x:v>Кабельні траси, АВР, заземлення, налаштування ДБЖ і тест під навантаженням формують контрольний пакет.</x:v>
      </x:c>
      <x:c r="Z209" s="15" t="str">
        <x:v>https://energoseti.com.ua/avarijne-rezervne-elektropostachannya</x:v>
      </x:c>
      <x:c r="AA209" s="14" t="str"/>
      <x:c r="AB209" s="14" t="str">
        <x:v>2026-08-24</x:v>
      </x:c>
      <x:c r="AC209" s="14" t="str">
        <x:v>Олександр</x:v>
      </x:c>
      <x:c r="AD209" s="20" t="str"/>
      <x:c r="AE209" s="14" t="str"/>
      <x:c r="AF209" s="14" t="n">
        <x:v>0</x:v>
      </x:c>
      <x:c r="AG209" s="14" t="str">
        <x:v>—</x:v>
      </x:c>
      <x:c r="AH209" s="14" t="n">
        <x:v>0</x:v>
      </x:c>
      <x:c r="AI209" s="14" t="n">
        <x:v>0</x:v>
      </x:c>
      <x:c r="AJ209" s="18" t="n">
        <x:v>0</x:v>
      </x:c>
      <x:c r="AK209" s="14" t="str"/>
      <x:c r="AL209" s="19" t="str"/>
      <x:c r="AM209" s="19" t="str"/>
      <x:c r="AN209" s="15" t="str"/>
      <x:c r="AO209" s="15" t="str">
        <x:v>google_index_verified_2026-08-24</x:v>
      </x:c>
    </x:row>
    <x:row r="210">
      <x:c r="A210" s="14" t="str">
        <x:v>W2-041</x:v>
      </x:c>
      <x:c r="B210" s="14" t="str">
        <x:v>Проєктний сигнал — 24.08</x:v>
      </x:c>
      <x:c r="C210" s="14" t="str">
        <x:v>Solensy</x:v>
      </x:c>
      <x:c r="D210" s="14" t="str">
        <x:v>Резервне живлення</x:v>
      </x:c>
      <x:c r="E210" s="14" t="str">
        <x:v>Expansion discovery</x:v>
      </x:c>
      <x:c r="F210" s="17" t="str">
        <x:v>D1</x:v>
      </x:c>
      <x:c r="G210" s="14" t="str">
        <x:v>solensy.com.ua</x:v>
      </x:c>
      <x:c r="H210" s="14" t="str">
        <x:v>2-тижневий workflow discovery — потрібні вимоги одного проєкту</x:v>
      </x:c>
      <x:c r="I210" s="16" t="n">
        <x:v>1</x:v>
      </x:c>
      <x:c r="J210" s="16" t="n">
        <x:v>5</x:v>
      </x:c>
      <x:c r="K210" s="16" t="n">
        <x:v>4</x:v>
      </x:c>
      <x:c r="L210" s="16" t="n">
        <x:v>4</x:v>
      </x:c>
      <x:c r="M210" s="16" t="n">
        <x:v>5</x:v>
      </x:c>
      <x:c r="N210" s="16" t="n">
        <x:v>5</x:v>
      </x:c>
      <x:c r="O210" s="16" t="n">
        <x:v>5</x:v>
      </x:c>
      <x:c r="P210" s="16" t="n">
        <x:f>IF(COUNT(I210:O210)&lt;7,"",I210*8+J210*3+K210*2+L210*2+M210*2+N210*2+O210)</x:f>
        <x:v>64</x:v>
      </x:c>
      <x:c r="Q210" s="16" t="n">
        <x:f>IF(COUNT(J210:O210)&lt;6,"",J210*5+K210*4+M210*4+L210*3+N210*2+O210*2)</x:f>
        <x:v>93</x:v>
      </x:c>
      <x:c r="R210" s="14" t="str">
        <x:v>high</x:v>
      </x:c>
      <x:c r="S210" s="14" t="str">
        <x:v>google_index_verified_2026-08-24</x:v>
      </x:c>
      <x:c r="T210" s="14" t="str">
        <x:v>indexed_official_service_page</x:v>
      </x:c>
      <x:c r="U210" s="14" t="str">
        <x:v>Новий — не контактували</x:v>
      </x:c>
      <x:c r="V210" s="15" t="str">
        <x:v>2-тижневий discovery: запросити вимоги 1 активного проєкту + 1 знеособлений артефакт</x:v>
      </x:c>
      <x:c r="W210" s="15" t="str">
        <x:v>Комерційний директор; керівник енергетичних проєктів; ПТО / ПНР</x:v>
      </x:c>
      <x:c r="X210" s="15" t="str">
        <x:v>Монтаж систем ДБЖ. Пошуковий результат веде на індексовану сторінку корпоративного домену: Резервне електроживлення під ключ — Solensy.</x:v>
      </x:c>
      <x:c r="Y210" s="15" t="str">
        <x:v>Кабельні траси, АВР, заземлення, налаштування ДБЖ і тест під навантаженням формують контрольний пакет.</x:v>
      </x:c>
      <x:c r="Z210" s="15" t="str">
        <x:v>https://solensy.com.ua/rezervne-elektrogivlennya/</x:v>
      </x:c>
      <x:c r="AA210" s="14" t="str"/>
      <x:c r="AB210" s="14" t="str">
        <x:v>2026-08-24</x:v>
      </x:c>
      <x:c r="AC210" s="14" t="str">
        <x:v>Олександр</x:v>
      </x:c>
      <x:c r="AD210" s="20" t="str"/>
      <x:c r="AE210" s="14" t="str"/>
      <x:c r="AF210" s="14" t="n">
        <x:v>0</x:v>
      </x:c>
      <x:c r="AG210" s="14" t="str">
        <x:v>—</x:v>
      </x:c>
      <x:c r="AH210" s="14" t="n">
        <x:v>0</x:v>
      </x:c>
      <x:c r="AI210" s="14" t="n">
        <x:v>0</x:v>
      </x:c>
      <x:c r="AJ210" s="18" t="n">
        <x:v>0</x:v>
      </x:c>
      <x:c r="AK210" s="14" t="str"/>
      <x:c r="AL210" s="19" t="str"/>
      <x:c r="AM210" s="19" t="str"/>
      <x:c r="AN210" s="15" t="str"/>
      <x:c r="AO210" s="15" t="str">
        <x:v>google_index_verified_2026-08-24</x:v>
      </x:c>
    </x:row>
    <x:row r="211">
      <x:c r="A211" s="14" t="str">
        <x:v>W2-042</x:v>
      </x:c>
      <x:c r="B211" s="14" t="str">
        <x:v>Проєктний сигнал — 24.08</x:v>
      </x:c>
      <x:c r="C211" s="14" t="str">
        <x:v>AKSA Generator Ukraine</x:v>
      </x:c>
      <x:c r="D211" s="14" t="str">
        <x:v>Резервне живлення</x:v>
      </x:c>
      <x:c r="E211" s="14" t="str">
        <x:v>Expansion discovery</x:v>
      </x:c>
      <x:c r="F211" s="17" t="str">
        <x:v>D1</x:v>
      </x:c>
      <x:c r="G211" s="14" t="str">
        <x:v>aksagenerator.com.ua</x:v>
      </x:c>
      <x:c r="H211" s="14" t="str">
        <x:v>2-тижневий workflow discovery — потрібні вимоги одного проєкту</x:v>
      </x:c>
      <x:c r="I211" s="16" t="n">
        <x:v>1</x:v>
      </x:c>
      <x:c r="J211" s="16" t="n">
        <x:v>5</x:v>
      </x:c>
      <x:c r="K211" s="16" t="n">
        <x:v>4</x:v>
      </x:c>
      <x:c r="L211" s="16" t="n">
        <x:v>4</x:v>
      </x:c>
      <x:c r="M211" s="16" t="n">
        <x:v>5</x:v>
      </x:c>
      <x:c r="N211" s="16" t="n">
        <x:v>5</x:v>
      </x:c>
      <x:c r="O211" s="16" t="n">
        <x:v>5</x:v>
      </x:c>
      <x:c r="P211" s="16" t="n">
        <x:f>IF(COUNT(I211:O211)&lt;7,"",I211*8+J211*3+K211*2+L211*2+M211*2+N211*2+O211)</x:f>
        <x:v>64</x:v>
      </x:c>
      <x:c r="Q211" s="16" t="n">
        <x:f>IF(COUNT(J211:O211)&lt;6,"",J211*5+K211*4+M211*4+L211*3+N211*2+O211*2)</x:f>
        <x:v>93</x:v>
      </x:c>
      <x:c r="R211" s="14" t="str">
        <x:v>high</x:v>
      </x:c>
      <x:c r="S211" s="14" t="str">
        <x:v>google_index_verified_2026-08-24</x:v>
      </x:c>
      <x:c r="T211" s="14" t="str">
        <x:v>indexed_official_service_page</x:v>
      </x:c>
      <x:c r="U211" s="14" t="str">
        <x:v>Новий — не контактували</x:v>
      </x:c>
      <x:c r="V211" s="15" t="str">
        <x:v>2-тижневий discovery: запросити вимоги 1 активного проєкту + 1 знеособлений артефакт</x:v>
      </x:c>
      <x:c r="W211" s="15" t="str">
        <x:v>Комерційний директор; керівник енергетичних проєктів; ПТО / ПНР</x:v>
      </x:c>
      <x:c r="X211" s="15" t="str">
        <x:v>Генераторні системи для критичної інфраструктури. Пошуковий результат веде на індексовану сторінку корпоративного домену: Резервне живлення дата-центру — AKSA Generator.</x:v>
      </x:c>
      <x:c r="Y211" s="15" t="str">
        <x:v>Кабельні траси, АВР, заземлення, налаштування ДБЖ і тест під навантаженням формують контрольний пакет.</x:v>
      </x:c>
      <x:c r="Z211" s="15" t="str">
        <x:v>https://aksagenerator.com.ua/index.php?route=octemplates/blog/oct_blogarticle&amp;blogarticle_id=33</x:v>
      </x:c>
      <x:c r="AA211" s="14" t="str"/>
      <x:c r="AB211" s="14" t="str">
        <x:v>2026-08-24</x:v>
      </x:c>
      <x:c r="AC211" s="14" t="str">
        <x:v>Олександр</x:v>
      </x:c>
      <x:c r="AD211" s="20" t="str"/>
      <x:c r="AE211" s="14" t="str"/>
      <x:c r="AF211" s="14" t="n">
        <x:v>0</x:v>
      </x:c>
      <x:c r="AG211" s="14" t="str">
        <x:v>—</x:v>
      </x:c>
      <x:c r="AH211" s="14" t="n">
        <x:v>0</x:v>
      </x:c>
      <x:c r="AI211" s="14" t="n">
        <x:v>0</x:v>
      </x:c>
      <x:c r="AJ211" s="18" t="n">
        <x:v>0</x:v>
      </x:c>
      <x:c r="AK211" s="14" t="str"/>
      <x:c r="AL211" s="19" t="str"/>
      <x:c r="AM211" s="19" t="str"/>
      <x:c r="AN211" s="15" t="str"/>
      <x:c r="AO211" s="15" t="str">
        <x:v>google_index_verified_2026-08-24</x:v>
      </x:c>
    </x:row>
    <x:row r="212">
      <x:c r="A212" s="14" t="str">
        <x:v>W2-043</x:v>
      </x:c>
      <x:c r="B212" s="14" t="str">
        <x:v>Проєктний сигнал — 24.08</x:v>
      </x:c>
      <x:c r="C212" s="14" t="str">
        <x:v>Energy DK</x:v>
      </x:c>
      <x:c r="D212" s="14" t="str">
        <x:v>Резервне живлення</x:v>
      </x:c>
      <x:c r="E212" s="14" t="str">
        <x:v>Expansion discovery</x:v>
      </x:c>
      <x:c r="F212" s="17" t="str">
        <x:v>D1</x:v>
      </x:c>
      <x:c r="G212" s="14" t="str">
        <x:v>energy-dk.com.ua</x:v>
      </x:c>
      <x:c r="H212" s="14" t="str">
        <x:v>2-тижневий workflow discovery — потрібні вимоги одного проєкту</x:v>
      </x:c>
      <x:c r="I212" s="16" t="n">
        <x:v>1</x:v>
      </x:c>
      <x:c r="J212" s="16" t="n">
        <x:v>5</x:v>
      </x:c>
      <x:c r="K212" s="16" t="n">
        <x:v>4</x:v>
      </x:c>
      <x:c r="L212" s="16" t="n">
        <x:v>4</x:v>
      </x:c>
      <x:c r="M212" s="16" t="n">
        <x:v>5</x:v>
      </x:c>
      <x:c r="N212" s="16" t="n">
        <x:v>5</x:v>
      </x:c>
      <x:c r="O212" s="16" t="n">
        <x:v>5</x:v>
      </x:c>
      <x:c r="P212" s="16" t="n">
        <x:f>IF(COUNT(I212:O212)&lt;7,"",I212*8+J212*3+K212*2+L212*2+M212*2+N212*2+O212)</x:f>
        <x:v>64</x:v>
      </x:c>
      <x:c r="Q212" s="16" t="n">
        <x:f>IF(COUNT(J212:O212)&lt;6,"",J212*5+K212*4+M212*4+L212*3+N212*2+O212*2)</x:f>
        <x:v>93</x:v>
      </x:c>
      <x:c r="R212" s="14" t="str">
        <x:v>high</x:v>
      </x:c>
      <x:c r="S212" s="14" t="str">
        <x:v>google_index_verified_2026-08-24</x:v>
      </x:c>
      <x:c r="T212" s="14" t="str">
        <x:v>indexed_official_service_page</x:v>
      </x:c>
      <x:c r="U212" s="14" t="str">
        <x:v>Новий — не контактували</x:v>
      </x:c>
      <x:c r="V212" s="15" t="str">
        <x:v>2-тижневий discovery: запросити вимоги 1 активного проєкту + 1 знеособлений артефакт</x:v>
      </x:c>
      <x:c r="W212" s="15" t="str">
        <x:v>Комерційний директор; керівник енергетичних проєктів; ПТО / ПНР</x:v>
      </x:c>
      <x:c r="X212" s="15" t="str">
        <x:v>Інсталяція резервного живлення. Пошуковий результат веде на індексовану сторінку корпоративного домену: Резервне живлення — Energy DK.</x:v>
      </x:c>
      <x:c r="Y212" s="15" t="str">
        <x:v>Кабельні траси, АВР, заземлення, налаштування ДБЖ і тест під навантаженням формують контрольний пакет.</x:v>
      </x:c>
      <x:c r="Z212" s="15" t="str">
        <x:v>https://energy-dk.com.ua/svitlodim-razom-z-energy-dk/</x:v>
      </x:c>
      <x:c r="AA212" s="14" t="str"/>
      <x:c r="AB212" s="14" t="str">
        <x:v>2026-08-24</x:v>
      </x:c>
      <x:c r="AC212" s="14" t="str">
        <x:v>Олександр</x:v>
      </x:c>
      <x:c r="AD212" s="20" t="str"/>
      <x:c r="AE212" s="14" t="str"/>
      <x:c r="AF212" s="14" t="n">
        <x:v>0</x:v>
      </x:c>
      <x:c r="AG212" s="14" t="str">
        <x:v>—</x:v>
      </x:c>
      <x:c r="AH212" s="14" t="n">
        <x:v>0</x:v>
      </x:c>
      <x:c r="AI212" s="14" t="n">
        <x:v>0</x:v>
      </x:c>
      <x:c r="AJ212" s="18" t="n">
        <x:v>0</x:v>
      </x:c>
      <x:c r="AK212" s="14" t="str"/>
      <x:c r="AL212" s="19" t="str"/>
      <x:c r="AM212" s="19" t="str"/>
      <x:c r="AN212" s="15" t="str"/>
      <x:c r="AO212" s="15" t="str">
        <x:v>google_index_verified_2026-08-24</x:v>
      </x:c>
    </x:row>
    <x:row r="213">
      <x:c r="A213" s="14" t="str">
        <x:v>W2-044</x:v>
      </x:c>
      <x:c r="B213" s="14" t="str">
        <x:v>Проєктний сигнал — 24.08</x:v>
      </x:c>
      <x:c r="C213" s="14" t="str">
        <x:v>Secur.ua</x:v>
      </x:c>
      <x:c r="D213" s="14" t="str">
        <x:v>Безпека / СКУД / CCTV</x:v>
      </x:c>
      <x:c r="E213" s="14" t="str">
        <x:v>Expansion discovery</x:v>
      </x:c>
      <x:c r="F213" s="17" t="str">
        <x:v>D1</x:v>
      </x:c>
      <x:c r="G213" s="14" t="str">
        <x:v>secur.ua</x:v>
      </x:c>
      <x:c r="H213" s="14" t="str">
        <x:v>2-тижневий workflow discovery — потрібні вимоги одного проєкту</x:v>
      </x:c>
      <x:c r="I213" s="16" t="n">
        <x:v>1</x:v>
      </x:c>
      <x:c r="J213" s="16" t="n">
        <x:v>5</x:v>
      </x:c>
      <x:c r="K213" s="16" t="n">
        <x:v>4</x:v>
      </x:c>
      <x:c r="L213" s="16" t="n">
        <x:v>4</x:v>
      </x:c>
      <x:c r="M213" s="16" t="n">
        <x:v>5</x:v>
      </x:c>
      <x:c r="N213" s="16" t="n">
        <x:v>5</x:v>
      </x:c>
      <x:c r="O213" s="16" t="n">
        <x:v>5</x:v>
      </x:c>
      <x:c r="P213" s="16" t="n">
        <x:f>IF(COUNT(I213:O213)&lt;7,"",I213*8+J213*3+K213*2+L213*2+M213*2+N213*2+O213)</x:f>
        <x:v>64</x:v>
      </x:c>
      <x:c r="Q213" s="16" t="n">
        <x:f>IF(COUNT(J213:O213)&lt;6,"",J213*5+K213*4+M213*4+L213*3+N213*2+O213*2)</x:f>
        <x:v>93</x:v>
      </x:c>
      <x:c r="R213" s="14" t="str">
        <x:v>high</x:v>
      </x:c>
      <x:c r="S213" s="14" t="str">
        <x:v>google_index_verified_2026-08-24</x:v>
      </x:c>
      <x:c r="T213" s="14" t="str">
        <x:v>indexed_official_service_page</x:v>
      </x:c>
      <x:c r="U213" s="14" t="str">
        <x:v>Новий — не контактували</x:v>
      </x:c>
      <x:c r="V213" s="15" t="str">
        <x:v>2-тижневий discovery: запросити вимоги 1 активного проєкту + 1 знеособлений артефакт</x:v>
      </x:c>
      <x:c r="W213" s="15" t="str">
        <x:v>Власник / комерційний директор; керівник проєктів; керівник монтажу / ПТО</x:v>
      </x:c>
      <x:c r="X213" s="15" t="str">
        <x:v>Монтаж комплексних систем безпеки. Пошуковий результат веде на індексовану сторінку корпоративного домену: Інтегратор систем безпеки — Secur.ua.</x:v>
      </x:c>
      <x:c r="Y213" s="15" t="str">
        <x:v>Кабельні траси, адресація, налаштування й acceptance-тести розподілені між монтажником, інтегратором і замовником.</x:v>
      </x:c>
      <x:c r="Z213" s="15" t="str">
        <x:v>https://secur.ua/montazh</x:v>
      </x:c>
      <x:c r="AA213" s="14" t="str"/>
      <x:c r="AB213" s="14" t="str">
        <x:v>2026-08-24</x:v>
      </x:c>
      <x:c r="AC213" s="14" t="str">
        <x:v>Олександр</x:v>
      </x:c>
      <x:c r="AD213" s="20" t="str"/>
      <x:c r="AE213" s="14" t="str"/>
      <x:c r="AF213" s="14" t="n">
        <x:v>0</x:v>
      </x:c>
      <x:c r="AG213" s="14" t="str">
        <x:v>—</x:v>
      </x:c>
      <x:c r="AH213" s="14" t="n">
        <x:v>0</x:v>
      </x:c>
      <x:c r="AI213" s="14" t="n">
        <x:v>0</x:v>
      </x:c>
      <x:c r="AJ213" s="18" t="n">
        <x:v>0</x:v>
      </x:c>
      <x:c r="AK213" s="14" t="str"/>
      <x:c r="AL213" s="19" t="str"/>
      <x:c r="AM213" s="19" t="str"/>
      <x:c r="AN213" s="15" t="str"/>
      <x:c r="AO213" s="15" t="str">
        <x:v>google_index_verified_2026-08-24</x:v>
      </x:c>
    </x:row>
    <x:row r="214">
      <x:c r="A214" s="14" t="str">
        <x:v>W2-045</x:v>
      </x:c>
      <x:c r="B214" s="14" t="str">
        <x:v>Проєктний сигнал — 24.08</x:v>
      </x:c>
      <x:c r="C214" s="14" t="str">
        <x:v>DEPS</x:v>
      </x:c>
      <x:c r="D214" s="14" t="str">
        <x:v>Безпека / СКУД / CCTV</x:v>
      </x:c>
      <x:c r="E214" s="14" t="str">
        <x:v>Expansion discovery</x:v>
      </x:c>
      <x:c r="F214" s="17" t="str">
        <x:v>D1</x:v>
      </x:c>
      <x:c r="G214" s="14" t="str">
        <x:v>deps.ua</x:v>
      </x:c>
      <x:c r="H214" s="14" t="str">
        <x:v>2-тижневий workflow discovery — потрібні вимоги одного проєкту</x:v>
      </x:c>
      <x:c r="I214" s="16" t="n">
        <x:v>1</x:v>
      </x:c>
      <x:c r="J214" s="16" t="n">
        <x:v>5</x:v>
      </x:c>
      <x:c r="K214" s="16" t="n">
        <x:v>4</x:v>
      </x:c>
      <x:c r="L214" s="16" t="n">
        <x:v>4</x:v>
      </x:c>
      <x:c r="M214" s="16" t="n">
        <x:v>5</x:v>
      </x:c>
      <x:c r="N214" s="16" t="n">
        <x:v>5</x:v>
      </x:c>
      <x:c r="O214" s="16" t="n">
        <x:v>5</x:v>
      </x:c>
      <x:c r="P214" s="16" t="n">
        <x:f>IF(COUNT(I214:O214)&lt;7,"",I214*8+J214*3+K214*2+L214*2+M214*2+N214*2+O214)</x:f>
        <x:v>64</x:v>
      </x:c>
      <x:c r="Q214" s="16" t="n">
        <x:f>IF(COUNT(J214:O214)&lt;6,"",J214*5+K214*4+M214*4+L214*3+N214*2+O214*2)</x:f>
        <x:v>93</x:v>
      </x:c>
      <x:c r="R214" s="14" t="str">
        <x:v>high</x:v>
      </x:c>
      <x:c r="S214" s="14" t="str">
        <x:v>google_index_verified_2026-08-24</x:v>
      </x:c>
      <x:c r="T214" s="14" t="str">
        <x:v>indexed_official_service_page</x:v>
      </x:c>
      <x:c r="U214" s="14" t="str">
        <x:v>Новий — не контактували</x:v>
      </x:c>
      <x:c r="V214" s="15" t="str">
        <x:v>2-тижневий discovery: запросити вимоги 1 активного проєкту + 1 знеособлений артефакт</x:v>
      </x:c>
      <x:c r="W214" s="15" t="str">
        <x:v>Власник / комерційний директор; керівник проєктів; керівник монтажу / ПТО</x:v>
      </x:c>
      <x:c r="X214" s="15" t="str">
        <x:v>Системна інтеграція та інсталяція. Пошуковий результат веде на індексовану сторінку корпоративного домену: Системний інтегратор — DEPS.</x:v>
      </x:c>
      <x:c r="Y214" s="15" t="str">
        <x:v>Кабельні траси, адресація, налаштування й acceptance-тести розподілені між монтажником, інтегратором і замовником.</x:v>
      </x:c>
      <x:c r="Z214" s="15" t="str">
        <x:v>https://deps.ua/ua/system-integration.html</x:v>
      </x:c>
      <x:c r="AA214" s="14" t="str"/>
      <x:c r="AB214" s="14" t="str">
        <x:v>2026-08-24</x:v>
      </x:c>
      <x:c r="AC214" s="14" t="str">
        <x:v>Олександр</x:v>
      </x:c>
      <x:c r="AD214" s="20" t="str"/>
      <x:c r="AE214" s="14" t="str"/>
      <x:c r="AF214" s="14" t="n">
        <x:v>0</x:v>
      </x:c>
      <x:c r="AG214" s="14" t="str">
        <x:v>—</x:v>
      </x:c>
      <x:c r="AH214" s="14" t="n">
        <x:v>0</x:v>
      </x:c>
      <x:c r="AI214" s="14" t="n">
        <x:v>0</x:v>
      </x:c>
      <x:c r="AJ214" s="18" t="n">
        <x:v>0</x:v>
      </x:c>
      <x:c r="AK214" s="14" t="str"/>
      <x:c r="AL214" s="19" t="str"/>
      <x:c r="AM214" s="19" t="str"/>
      <x:c r="AN214" s="15" t="str"/>
      <x:c r="AO214" s="15" t="str">
        <x:v>google_index_verified_2026-08-24</x:v>
      </x:c>
    </x:row>
    <x:row r="215">
      <x:c r="A215" s="14" t="str">
        <x:v>W2-046</x:v>
      </x:c>
      <x:c r="B215" s="14" t="str">
        <x:v>Проєктний сигнал — 24.08</x:v>
      </x:c>
      <x:c r="C215" s="14" t="str">
        <x:v>Літер Інтеграція</x:v>
      </x:c>
      <x:c r="D215" s="14" t="str">
        <x:v>Безпека / СКУД / CCTV</x:v>
      </x:c>
      <x:c r="E215" s="14" t="str">
        <x:v>Expansion discovery</x:v>
      </x:c>
      <x:c r="F215" s="17" t="str">
        <x:v>D1</x:v>
      </x:c>
      <x:c r="G215" s="14" t="str">
        <x:v>leater.ua</x:v>
      </x:c>
      <x:c r="H215" s="14" t="str">
        <x:v>2-тижневий workflow discovery — потрібні вимоги одного проєкту</x:v>
      </x:c>
      <x:c r="I215" s="16" t="n">
        <x:v>1</x:v>
      </x:c>
      <x:c r="J215" s="16" t="n">
        <x:v>5</x:v>
      </x:c>
      <x:c r="K215" s="16" t="n">
        <x:v>4</x:v>
      </x:c>
      <x:c r="L215" s="16" t="n">
        <x:v>4</x:v>
      </x:c>
      <x:c r="M215" s="16" t="n">
        <x:v>5</x:v>
      </x:c>
      <x:c r="N215" s="16" t="n">
        <x:v>5</x:v>
      </x:c>
      <x:c r="O215" s="16" t="n">
        <x:v>5</x:v>
      </x:c>
      <x:c r="P215" s="16" t="n">
        <x:f>IF(COUNT(I215:O215)&lt;7,"",I215*8+J215*3+K215*2+L215*2+M215*2+N215*2+O215)</x:f>
        <x:v>64</x:v>
      </x:c>
      <x:c r="Q215" s="16" t="n">
        <x:f>IF(COUNT(J215:O215)&lt;6,"",J215*5+K215*4+M215*4+L215*3+N215*2+O215*2)</x:f>
        <x:v>93</x:v>
      </x:c>
      <x:c r="R215" s="14" t="str">
        <x:v>high</x:v>
      </x:c>
      <x:c r="S215" s="14" t="str">
        <x:v>google_index_verified_2026-08-24</x:v>
      </x:c>
      <x:c r="T215" s="14" t="str">
        <x:v>indexed_official_service_page</x:v>
      </x:c>
      <x:c r="U215" s="14" t="str">
        <x:v>Новий — не контактували</x:v>
      </x:c>
      <x:c r="V215" s="15" t="str">
        <x:v>2-тижневий discovery: запросити вимоги 1 активного проєкту + 1 знеособлений артефакт</x:v>
      </x:c>
      <x:c r="W215" s="15" t="str">
        <x:v>Власник / комерційний директор; керівник проєктів; керівник монтажу / ПТО</x:v>
      </x:c>
      <x:c r="X215" s="15" t="str">
        <x:v>Відеонагляд і комплексна безпека. Пошуковий результат веде на індексовану сторінку корпоративного домену: Комплексні системи безпеки — Літер Інтеграція.</x:v>
      </x:c>
      <x:c r="Y215" s="15" t="str">
        <x:v>Кабельні траси, адресація, налаштування й acceptance-тести розподілені між монтажником, інтегратором і замовником.</x:v>
      </x:c>
      <x:c r="Z215" s="15" t="str">
        <x:v>https://leater.ua/catalog/bezpeka-ta-videonaglad</x:v>
      </x:c>
      <x:c r="AA215" s="14" t="str"/>
      <x:c r="AB215" s="14" t="str">
        <x:v>2026-08-24</x:v>
      </x:c>
      <x:c r="AC215" s="14" t="str">
        <x:v>Олександр</x:v>
      </x:c>
      <x:c r="AD215" s="20" t="str"/>
      <x:c r="AE215" s="14" t="str"/>
      <x:c r="AF215" s="14" t="n">
        <x:v>0</x:v>
      </x:c>
      <x:c r="AG215" s="14" t="str">
        <x:v>—</x:v>
      </x:c>
      <x:c r="AH215" s="14" t="n">
        <x:v>0</x:v>
      </x:c>
      <x:c r="AI215" s="14" t="n">
        <x:v>0</x:v>
      </x:c>
      <x:c r="AJ215" s="18" t="n">
        <x:v>0</x:v>
      </x:c>
      <x:c r="AK215" s="14" t="str"/>
      <x:c r="AL215" s="19" t="str"/>
      <x:c r="AM215" s="19" t="str"/>
      <x:c r="AN215" s="15" t="str"/>
      <x:c r="AO215" s="15" t="str">
        <x:v>google_index_verified_2026-08-24</x:v>
      </x:c>
    </x:row>
    <x:row r="216">
      <x:c r="A216" s="14" t="str">
        <x:v>W2-047</x:v>
      </x:c>
      <x:c r="B216" s="14" t="str">
        <x:v>Проєктний сигнал — 24.08</x:v>
      </x:c>
      <x:c r="C216" s="14" t="str">
        <x:v>SM Integrator</x:v>
      </x:c>
      <x:c r="D216" s="14" t="str">
        <x:v>Безпека / СКУД / CCTV</x:v>
      </x:c>
      <x:c r="E216" s="14" t="str">
        <x:v>Expansion discovery</x:v>
      </x:c>
      <x:c r="F216" s="17" t="str">
        <x:v>D1</x:v>
      </x:c>
      <x:c r="G216" s="14" t="str">
        <x:v>sm-integrator.com.ua</x:v>
      </x:c>
      <x:c r="H216" s="14" t="str">
        <x:v>2-тижневий workflow discovery — потрібні вимоги одного проєкту</x:v>
      </x:c>
      <x:c r="I216" s="16" t="n">
        <x:v>1</x:v>
      </x:c>
      <x:c r="J216" s="16" t="n">
        <x:v>5</x:v>
      </x:c>
      <x:c r="K216" s="16" t="n">
        <x:v>4</x:v>
      </x:c>
      <x:c r="L216" s="16" t="n">
        <x:v>4</x:v>
      </x:c>
      <x:c r="M216" s="16" t="n">
        <x:v>5</x:v>
      </x:c>
      <x:c r="N216" s="16" t="n">
        <x:v>5</x:v>
      </x:c>
      <x:c r="O216" s="16" t="n">
        <x:v>5</x:v>
      </x:c>
      <x:c r="P216" s="16" t="n">
        <x:f>IF(COUNT(I216:O216)&lt;7,"",I216*8+J216*3+K216*2+L216*2+M216*2+N216*2+O216)</x:f>
        <x:v>64</x:v>
      </x:c>
      <x:c r="Q216" s="16" t="n">
        <x:f>IF(COUNT(J216:O216)&lt;6,"",J216*5+K216*4+M216*4+L216*3+N216*2+O216*2)</x:f>
        <x:v>93</x:v>
      </x:c>
      <x:c r="R216" s="14" t="str">
        <x:v>high</x:v>
      </x:c>
      <x:c r="S216" s="14" t="str">
        <x:v>google_index_verified_2026-08-24</x:v>
      </x:c>
      <x:c r="T216" s="14" t="str">
        <x:v>indexed_official_service_page</x:v>
      </x:c>
      <x:c r="U216" s="14" t="str">
        <x:v>Новий — не контактували</x:v>
      </x:c>
      <x:c r="V216" s="15" t="str">
        <x:v>2-тижневий discovery: запросити вимоги 1 активного проєкту + 1 знеособлений артефакт</x:v>
      </x:c>
      <x:c r="W216" s="15" t="str">
        <x:v>Власник / комерційний директор; керівник проєктів; керівник монтажу / ПТО</x:v>
      </x:c>
      <x:c r="X216" s="15" t="str">
        <x:v>Інтеграція систем безпеки. Пошуковий результат веде на індексовану сторінку корпоративного домену: Послуги — SM Integrator.</x:v>
      </x:c>
      <x:c r="Y216" s="15" t="str">
        <x:v>Кабельні траси, адресація, налаштування й acceptance-тести розподілені між монтажником, інтегратором і замовником.</x:v>
      </x:c>
      <x:c r="Z216" s="15" t="str">
        <x:v>https://sm-integrator.com.ua/?page_id=25</x:v>
      </x:c>
      <x:c r="AA216" s="14" t="str"/>
      <x:c r="AB216" s="14" t="str">
        <x:v>2026-08-24</x:v>
      </x:c>
      <x:c r="AC216" s="14" t="str">
        <x:v>Олександр</x:v>
      </x:c>
      <x:c r="AD216" s="20" t="str"/>
      <x:c r="AE216" s="14" t="str"/>
      <x:c r="AF216" s="14" t="n">
        <x:v>0</x:v>
      </x:c>
      <x:c r="AG216" s="14" t="str">
        <x:v>—</x:v>
      </x:c>
      <x:c r="AH216" s="14" t="n">
        <x:v>0</x:v>
      </x:c>
      <x:c r="AI216" s="14" t="n">
        <x:v>0</x:v>
      </x:c>
      <x:c r="AJ216" s="18" t="n">
        <x:v>0</x:v>
      </x:c>
      <x:c r="AK216" s="14" t="str"/>
      <x:c r="AL216" s="19" t="str"/>
      <x:c r="AM216" s="19" t="str"/>
      <x:c r="AN216" s="15" t="str"/>
      <x:c r="AO216" s="15" t="str">
        <x:v>google_index_verified_2026-08-24</x:v>
      </x:c>
    </x:row>
    <x:row r="217">
      <x:c r="A217" s="14" t="str">
        <x:v>W2-048</x:v>
      </x:c>
      <x:c r="B217" s="14" t="str">
        <x:v>Проєктний сигнал — 24.08</x:v>
      </x:c>
      <x:c r="C217" s="14" t="str">
        <x:v>ВТП Трансекспо</x:v>
      </x:c>
      <x:c r="D217" s="14" t="str">
        <x:v>Безпека / СКУД / CCTV</x:v>
      </x:c>
      <x:c r="E217" s="14" t="str">
        <x:v>Expansion discovery</x:v>
      </x:c>
      <x:c r="F217" s="17" t="str">
        <x:v>D1</x:v>
      </x:c>
      <x:c r="G217" s="14" t="str">
        <x:v>transexpo.ua</x:v>
      </x:c>
      <x:c r="H217" s="14" t="str">
        <x:v>2-тижневий workflow discovery — потрібні вимоги одного проєкту</x:v>
      </x:c>
      <x:c r="I217" s="16" t="n">
        <x:v>1</x:v>
      </x:c>
      <x:c r="J217" s="16" t="n">
        <x:v>5</x:v>
      </x:c>
      <x:c r="K217" s="16" t="n">
        <x:v>4</x:v>
      </x:c>
      <x:c r="L217" s="16" t="n">
        <x:v>4</x:v>
      </x:c>
      <x:c r="M217" s="16" t="n">
        <x:v>5</x:v>
      </x:c>
      <x:c r="N217" s="16" t="n">
        <x:v>5</x:v>
      </x:c>
      <x:c r="O217" s="16" t="n">
        <x:v>5</x:v>
      </x:c>
      <x:c r="P217" s="16" t="n">
        <x:f>IF(COUNT(I217:O217)&lt;7,"",I217*8+J217*3+K217*2+L217*2+M217*2+N217*2+O217)</x:f>
        <x:v>64</x:v>
      </x:c>
      <x:c r="Q217" s="16" t="n">
        <x:f>IF(COUNT(J217:O217)&lt;6,"",J217*5+K217*4+M217*4+L217*3+N217*2+O217*2)</x:f>
        <x:v>93</x:v>
      </x:c>
      <x:c r="R217" s="14" t="str">
        <x:v>high</x:v>
      </x:c>
      <x:c r="S217" s="14" t="str">
        <x:v>google_index_verified_2026-08-24</x:v>
      </x:c>
      <x:c r="T217" s="14" t="str">
        <x:v>indexed_official_service_page</x:v>
      </x:c>
      <x:c r="U217" s="14" t="str">
        <x:v>Новий — не контактували</x:v>
      </x:c>
      <x:c r="V217" s="15" t="str">
        <x:v>2-тижневий discovery: запросити вимоги 1 активного проєкту + 1 знеособлений артефакт</x:v>
      </x:c>
      <x:c r="W217" s="15" t="str">
        <x:v>Власник / комерційний директор; керівник проєктів; керівник монтажу / ПТО</x:v>
      </x:c>
      <x:c r="X217" s="15" t="str">
        <x:v>Проєктування та монтаж систем безпеки. Пошуковий результат веде на індексовану сторінку корпоративного домену: Системи безпеки — ВТП Трансекспо.</x:v>
      </x:c>
      <x:c r="Y217" s="15" t="str">
        <x:v>Кабельні траси, адресація, налаштування й acceptance-тести розподілені між монтажником, інтегратором і замовником.</x:v>
      </x:c>
      <x:c r="Z217" s="15" t="str">
        <x:v>https://transexpo.ua/ua/poslugi/sistemi-bezpeki/</x:v>
      </x:c>
      <x:c r="AA217" s="14" t="str"/>
      <x:c r="AB217" s="14" t="str">
        <x:v>2026-08-24</x:v>
      </x:c>
      <x:c r="AC217" s="14" t="str">
        <x:v>Олександр</x:v>
      </x:c>
      <x:c r="AD217" s="20" t="str"/>
      <x:c r="AE217" s="14" t="str"/>
      <x:c r="AF217" s="14" t="n">
        <x:v>0</x:v>
      </x:c>
      <x:c r="AG217" s="14" t="str">
        <x:v>—</x:v>
      </x:c>
      <x:c r="AH217" s="14" t="n">
        <x:v>0</x:v>
      </x:c>
      <x:c r="AI217" s="14" t="n">
        <x:v>0</x:v>
      </x:c>
      <x:c r="AJ217" s="18" t="n">
        <x:v>0</x:v>
      </x:c>
      <x:c r="AK217" s="14" t="str"/>
      <x:c r="AL217" s="19" t="str"/>
      <x:c r="AM217" s="19" t="str"/>
      <x:c r="AN217" s="15" t="str"/>
      <x:c r="AO217" s="15" t="str">
        <x:v>google_index_verified_2026-08-24</x:v>
      </x:c>
    </x:row>
    <x:row r="218">
      <x:c r="A218" s="14" t="str">
        <x:v>W2-049</x:v>
      </x:c>
      <x:c r="B218" s="14" t="str">
        <x:v>Проєктний сигнал — 24.08</x:v>
      </x:c>
      <x:c r="C218" s="14" t="str">
        <x:v>Kobi</x:v>
      </x:c>
      <x:c r="D218" s="14" t="str">
        <x:v>Безпека / СКУД / CCTV</x:v>
      </x:c>
      <x:c r="E218" s="14" t="str">
        <x:v>Expansion discovery</x:v>
      </x:c>
      <x:c r="F218" s="17" t="str">
        <x:v>D1</x:v>
      </x:c>
      <x:c r="G218" s="14" t="str">
        <x:v>kobi.ua</x:v>
      </x:c>
      <x:c r="H218" s="14" t="str">
        <x:v>2-тижневий workflow discovery — потрібні вимоги одного проєкту</x:v>
      </x:c>
      <x:c r="I218" s="16" t="n">
        <x:v>1</x:v>
      </x:c>
      <x:c r="J218" s="16" t="n">
        <x:v>5</x:v>
      </x:c>
      <x:c r="K218" s="16" t="n">
        <x:v>4</x:v>
      </x:c>
      <x:c r="L218" s="16" t="n">
        <x:v>4</x:v>
      </x:c>
      <x:c r="M218" s="16" t="n">
        <x:v>5</x:v>
      </x:c>
      <x:c r="N218" s="16" t="n">
        <x:v>5</x:v>
      </x:c>
      <x:c r="O218" s="16" t="n">
        <x:v>5</x:v>
      </x:c>
      <x:c r="P218" s="16" t="n">
        <x:f>IF(COUNT(I218:O218)&lt;7,"",I218*8+J218*3+K218*2+L218*2+M218*2+N218*2+O218)</x:f>
        <x:v>64</x:v>
      </x:c>
      <x:c r="Q218" s="16" t="n">
        <x:f>IF(COUNT(J218:O218)&lt;6,"",J218*5+K218*4+M218*4+L218*3+N218*2+O218*2)</x:f>
        <x:v>93</x:v>
      </x:c>
      <x:c r="R218" s="14" t="str">
        <x:v>high</x:v>
      </x:c>
      <x:c r="S218" s="14" t="str">
        <x:v>google_index_verified_2026-08-24</x:v>
      </x:c>
      <x:c r="T218" s="14" t="str">
        <x:v>indexed_official_service_page</x:v>
      </x:c>
      <x:c r="U218" s="14" t="str">
        <x:v>Новий — не контактували</x:v>
      </x:c>
      <x:c r="V218" s="15" t="str">
        <x:v>2-тижневий discovery: запросити вимоги 1 активного проєкту + 1 знеособлений артефакт</x:v>
      </x:c>
      <x:c r="W218" s="15" t="str">
        <x:v>Власник / комерційний директор; керівник проєктів; керівник монтажу / ПТО</x:v>
      </x:c>
      <x:c r="X218" s="15" t="str">
        <x:v>Інтеграція відеоспостереження. Пошуковий результат веде на індексовану сторінку корпоративного домену: Системи безпеки та відеоспостереження — Kobi.</x:v>
      </x:c>
      <x:c r="Y218" s="15" t="str">
        <x:v>Кабельні траси, адресація, налаштування й acceptance-тести розподілені між монтажником, інтегратором і замовником.</x:v>
      </x:c>
      <x:c r="Z218" s="15" t="str">
        <x:v>https://kobi.ua/</x:v>
      </x:c>
      <x:c r="AA218" s="14" t="str"/>
      <x:c r="AB218" s="14" t="str">
        <x:v>2026-08-24</x:v>
      </x:c>
      <x:c r="AC218" s="14" t="str">
        <x:v>Олександр</x:v>
      </x:c>
      <x:c r="AD218" s="20" t="str"/>
      <x:c r="AE218" s="14" t="str"/>
      <x:c r="AF218" s="14" t="n">
        <x:v>0</x:v>
      </x:c>
      <x:c r="AG218" s="14" t="str">
        <x:v>—</x:v>
      </x:c>
      <x:c r="AH218" s="14" t="n">
        <x:v>0</x:v>
      </x:c>
      <x:c r="AI218" s="14" t="n">
        <x:v>0</x:v>
      </x:c>
      <x:c r="AJ218" s="18" t="n">
        <x:v>0</x:v>
      </x:c>
      <x:c r="AK218" s="14" t="str"/>
      <x:c r="AL218" s="19" t="str"/>
      <x:c r="AM218" s="19" t="str"/>
      <x:c r="AN218" s="15" t="str"/>
      <x:c r="AO218" s="15" t="str">
        <x:v>google_index_verified_2026-08-24</x:v>
      </x:c>
    </x:row>
    <x:row r="219">
      <x:c r="A219" s="14" t="str">
        <x:v>W2-050</x:v>
      </x:c>
      <x:c r="B219" s="14" t="str">
        <x:v>Проєктний сигнал — 24.08</x:v>
      </x:c>
      <x:c r="C219" s="14" t="str">
        <x:v>Focus Zaxid</x:v>
      </x:c>
      <x:c r="D219" s="14" t="str">
        <x:v>Безпека / СКУД / CCTV</x:v>
      </x:c>
      <x:c r="E219" s="14" t="str">
        <x:v>Expansion discovery</x:v>
      </x:c>
      <x:c r="F219" s="17" t="str">
        <x:v>D1</x:v>
      </x:c>
      <x:c r="G219" s="14" t="str">
        <x:v>focuszaxid.com</x:v>
      </x:c>
      <x:c r="H219" s="14" t="str">
        <x:v>2-тижневий workflow discovery — потрібні вимоги одного проєкту</x:v>
      </x:c>
      <x:c r="I219" s="16" t="n">
        <x:v>1</x:v>
      </x:c>
      <x:c r="J219" s="16" t="n">
        <x:v>5</x:v>
      </x:c>
      <x:c r="K219" s="16" t="n">
        <x:v>4</x:v>
      </x:c>
      <x:c r="L219" s="16" t="n">
        <x:v>4</x:v>
      </x:c>
      <x:c r="M219" s="16" t="n">
        <x:v>5</x:v>
      </x:c>
      <x:c r="N219" s="16" t="n">
        <x:v>5</x:v>
      </x:c>
      <x:c r="O219" s="16" t="n">
        <x:v>5</x:v>
      </x:c>
      <x:c r="P219" s="16" t="n">
        <x:f>IF(COUNT(I219:O219)&lt;7,"",I219*8+J219*3+K219*2+L219*2+M219*2+N219*2+O219)</x:f>
        <x:v>64</x:v>
      </x:c>
      <x:c r="Q219" s="16" t="n">
        <x:f>IF(COUNT(J219:O219)&lt;6,"",J219*5+K219*4+M219*4+L219*3+N219*2+O219*2)</x:f>
        <x:v>93</x:v>
      </x:c>
      <x:c r="R219" s="14" t="str">
        <x:v>high</x:v>
      </x:c>
      <x:c r="S219" s="14" t="str">
        <x:v>google_index_verified_2026-08-24</x:v>
      </x:c>
      <x:c r="T219" s="14" t="str">
        <x:v>indexed_official_service_page</x:v>
      </x:c>
      <x:c r="U219" s="14" t="str">
        <x:v>Новий — не контактували</x:v>
      </x:c>
      <x:c r="V219" s="15" t="str">
        <x:v>2-тижневий discovery: запросити вимоги 1 активного проєкту + 1 знеособлений артефакт</x:v>
      </x:c>
      <x:c r="W219" s="15" t="str">
        <x:v>Власник / комерційний директор; керівник проєктів; керівник монтажу / ПТО</x:v>
      </x:c>
      <x:c r="X219" s="15" t="str">
        <x:v>Комплексна безпека й автоматизація. Пошуковий результат веде на індексовану сторінку корпоративного домену: Системний інтегратор безпеки та автоматизації — Focus Zaxid.</x:v>
      </x:c>
      <x:c r="Y219" s="15" t="str">
        <x:v>Кабельні траси, адресація, налаштування й acceptance-тести розподілені між монтажником, інтегратором і замовником.</x:v>
      </x:c>
      <x:c r="Z219" s="15" t="str">
        <x:v>https://focuszaxid.com/about-us</x:v>
      </x:c>
      <x:c r="AA219" s="14" t="str"/>
      <x:c r="AB219" s="14" t="str">
        <x:v>2026-08-24</x:v>
      </x:c>
      <x:c r="AC219" s="14" t="str">
        <x:v>Олександр</x:v>
      </x:c>
      <x:c r="AD219" s="20" t="str"/>
      <x:c r="AE219" s="14" t="str"/>
      <x:c r="AF219" s="14" t="n">
        <x:v>0</x:v>
      </x:c>
      <x:c r="AG219" s="14" t="str">
        <x:v>—</x:v>
      </x:c>
      <x:c r="AH219" s="14" t="n">
        <x:v>0</x:v>
      </x:c>
      <x:c r="AI219" s="14" t="n">
        <x:v>0</x:v>
      </x:c>
      <x:c r="AJ219" s="18" t="n">
        <x:v>0</x:v>
      </x:c>
      <x:c r="AK219" s="14" t="str"/>
      <x:c r="AL219" s="19" t="str"/>
      <x:c r="AM219" s="19" t="str"/>
      <x:c r="AN219" s="15" t="str"/>
      <x:c r="AO219" s="15" t="str">
        <x:v>google_index_verified_2026-08-24</x:v>
      </x:c>
    </x:row>
    <x:row r="220">
      <x:c r="A220" s="14" t="str">
        <x:v>W2-051</x:v>
      </x:c>
      <x:c r="B220" s="14" t="str">
        <x:v>Проєктний сигнал — 24.08</x:v>
      </x:c>
      <x:c r="C220" s="14" t="str">
        <x:v>AM Integrator Group</x:v>
      </x:c>
      <x:c r="D220" s="14" t="str">
        <x:v>Безпека / СКУД / CCTV</x:v>
      </x:c>
      <x:c r="E220" s="14" t="str">
        <x:v>Expansion discovery</x:v>
      </x:c>
      <x:c r="F220" s="17" t="str">
        <x:v>D1</x:v>
      </x:c>
      <x:c r="G220" s="14" t="str">
        <x:v>amintegrator.com</x:v>
      </x:c>
      <x:c r="H220" s="14" t="str">
        <x:v>2-тижневий workflow discovery — потрібні вимоги одного проєкту</x:v>
      </x:c>
      <x:c r="I220" s="16" t="n">
        <x:v>1</x:v>
      </x:c>
      <x:c r="J220" s="16" t="n">
        <x:v>5</x:v>
      </x:c>
      <x:c r="K220" s="16" t="n">
        <x:v>4</x:v>
      </x:c>
      <x:c r="L220" s="16" t="n">
        <x:v>4</x:v>
      </x:c>
      <x:c r="M220" s="16" t="n">
        <x:v>5</x:v>
      </x:c>
      <x:c r="N220" s="16" t="n">
        <x:v>5</x:v>
      </x:c>
      <x:c r="O220" s="16" t="n">
        <x:v>5</x:v>
      </x:c>
      <x:c r="P220" s="16" t="n">
        <x:f>IF(COUNT(I220:O220)&lt;7,"",I220*8+J220*3+K220*2+L220*2+M220*2+N220*2+O220)</x:f>
        <x:v>64</x:v>
      </x:c>
      <x:c r="Q220" s="16" t="n">
        <x:f>IF(COUNT(J220:O220)&lt;6,"",J220*5+K220*4+M220*4+L220*3+N220*2+O220*2)</x:f>
        <x:v>93</x:v>
      </x:c>
      <x:c r="R220" s="14" t="str">
        <x:v>high</x:v>
      </x:c>
      <x:c r="S220" s="14" t="str">
        <x:v>google_index_verified_2026-08-24</x:v>
      </x:c>
      <x:c r="T220" s="14" t="str">
        <x:v>indexed_official_service_page</x:v>
      </x:c>
      <x:c r="U220" s="14" t="str">
        <x:v>Новий — не контактували</x:v>
      </x:c>
      <x:c r="V220" s="15" t="str">
        <x:v>2-тижневий discovery: запросити вимоги 1 активного проєкту + 1 знеособлений артефакт</x:v>
      </x:c>
      <x:c r="W220" s="15" t="str">
        <x:v>Власник / комерційний директор; керівник проєктів; керівник монтажу / ПТО</x:v>
      </x:c>
      <x:c r="X220" s="15" t="str">
        <x:v>Системи технічної безпеки. Пошуковий результат веде на індексовану сторінку корпоративного домену: Технічна безпека — AM Integrator Group.</x:v>
      </x:c>
      <x:c r="Y220" s="15" t="str">
        <x:v>Кабельні траси, адресація, налаштування й acceptance-тести розподілені між монтажником, інтегратором і замовником.</x:v>
      </x:c>
      <x:c r="Z220" s="15" t="str">
        <x:v>https://amintegrator.com/security/</x:v>
      </x:c>
      <x:c r="AA220" s="14" t="str"/>
      <x:c r="AB220" s="14" t="str">
        <x:v>2026-08-24</x:v>
      </x:c>
      <x:c r="AC220" s="14" t="str">
        <x:v>Олександр</x:v>
      </x:c>
      <x:c r="AD220" s="20" t="str"/>
      <x:c r="AE220" s="14" t="str"/>
      <x:c r="AF220" s="14" t="n">
        <x:v>0</x:v>
      </x:c>
      <x:c r="AG220" s="14" t="str">
        <x:v>—</x:v>
      </x:c>
      <x:c r="AH220" s="14" t="n">
        <x:v>0</x:v>
      </x:c>
      <x:c r="AI220" s="14" t="n">
        <x:v>0</x:v>
      </x:c>
      <x:c r="AJ220" s="18" t="n">
        <x:v>0</x:v>
      </x:c>
      <x:c r="AK220" s="14" t="str"/>
      <x:c r="AL220" s="19" t="str"/>
      <x:c r="AM220" s="19" t="str"/>
      <x:c r="AN220" s="15" t="str"/>
      <x:c r="AO220" s="15" t="str">
        <x:v>google_index_verified_2026-08-24</x:v>
      </x:c>
    </x:row>
    <x:row r="221">
      <x:c r="A221" s="14" t="str">
        <x:v>W2-052</x:v>
      </x:c>
      <x:c r="B221" s="14" t="str">
        <x:v>Проєктний сигнал — 24.08</x:v>
      </x:c>
      <x:c r="C221" s="14" t="str">
        <x:v>VOLZ</x:v>
      </x:c>
      <x:c r="D221" s="14" t="str">
        <x:v>ВОЛЗ / телеком-мережі</x:v>
      </x:c>
      <x:c r="E221" s="14" t="str">
        <x:v>Expansion discovery</x:v>
      </x:c>
      <x:c r="F221" s="17" t="str">
        <x:v>D1</x:v>
      </x:c>
      <x:c r="G221" s="14" t="str">
        <x:v>volz.ua</x:v>
      </x:c>
      <x:c r="H221" s="14" t="str">
        <x:v>2-тижневий workflow discovery — потрібні вимоги одного проєкту</x:v>
      </x:c>
      <x:c r="I221" s="16" t="n">
        <x:v>1</x:v>
      </x:c>
      <x:c r="J221" s="16" t="n">
        <x:v>5</x:v>
      </x:c>
      <x:c r="K221" s="16" t="n">
        <x:v>5</x:v>
      </x:c>
      <x:c r="L221" s="16" t="n">
        <x:v>4</x:v>
      </x:c>
      <x:c r="M221" s="16" t="n">
        <x:v>5</x:v>
      </x:c>
      <x:c r="N221" s="16" t="n">
        <x:v>5</x:v>
      </x:c>
      <x:c r="O221" s="16" t="n">
        <x:v>5</x:v>
      </x:c>
      <x:c r="P221" s="16" t="n">
        <x:f>IF(COUNT(I221:O221)&lt;7,"",I221*8+J221*3+K221*2+L221*2+M221*2+N221*2+O221)</x:f>
        <x:v>66</x:v>
      </x:c>
      <x:c r="Q221" s="16" t="n">
        <x:f>IF(COUNT(J221:O221)&lt;6,"",J221*5+K221*4+M221*4+L221*3+N221*2+O221*2)</x:f>
        <x:v>97</x:v>
      </x:c>
      <x:c r="R221" s="14" t="str">
        <x:v>high</x:v>
      </x:c>
      <x:c r="S221" s="14" t="str">
        <x:v>google_index_verified_2026-08-24</x:v>
      </x:c>
      <x:c r="T221" s="14" t="str">
        <x:v>indexed_official_service_page</x:v>
      </x:c>
      <x:c r="U221" s="14" t="str">
        <x:v>Новий — не контактували</x:v>
      </x:c>
      <x:c r="V221" s="15" t="str">
        <x:v>2-тижневий discovery: запросити вимоги 1 активного проєкту + 1 знеособлений артефакт</x:v>
      </x:c>
      <x:c r="W221" s="15" t="str">
        <x:v>Директор; керівник будівництва мереж; керівник ПТО / проєктів</x:v>
      </x:c>
      <x:c r="X221" s="15" t="str">
        <x:v>Проєктування і будівництво ВОЛЗ. Пошуковий результат веде на індексовану сторінку корпоративного домену: Проєктування та будівництво оптичних мереж — VOLZ.</x:v>
      </x:c>
      <x:c r="Y221" s="15" t="str">
        <x:v>Траси, муфти, зварювання волокон, рефлектограми й виконавчі схеми мають бути прив'язані до конкретних ділянок.</x:v>
      </x:c>
      <x:c r="Z221" s="15" t="str">
        <x:v>https://volz.ua/design-and-construction/</x:v>
      </x:c>
      <x:c r="AA221" s="14" t="str"/>
      <x:c r="AB221" s="14" t="str">
        <x:v>2026-08-24</x:v>
      </x:c>
      <x:c r="AC221" s="14" t="str">
        <x:v>Олександр</x:v>
      </x:c>
      <x:c r="AD221" s="20" t="str"/>
      <x:c r="AE221" s="14" t="str"/>
      <x:c r="AF221" s="14" t="n">
        <x:v>0</x:v>
      </x:c>
      <x:c r="AG221" s="14" t="str">
        <x:v>—</x:v>
      </x:c>
      <x:c r="AH221" s="14" t="n">
        <x:v>0</x:v>
      </x:c>
      <x:c r="AI221" s="14" t="n">
        <x:v>0</x:v>
      </x:c>
      <x:c r="AJ221" s="18" t="n">
        <x:v>0</x:v>
      </x:c>
      <x:c r="AK221" s="14" t="str"/>
      <x:c r="AL221" s="19" t="str"/>
      <x:c r="AM221" s="19" t="str"/>
      <x:c r="AN221" s="15" t="str"/>
      <x:c r="AO221" s="15" t="str">
        <x:v>google_index_verified_2026-08-24</x:v>
      </x:c>
    </x:row>
    <x:row r="222">
      <x:c r="A222" s="14" t="str">
        <x:v>W2-053</x:v>
      </x:c>
      <x:c r="B222" s="14" t="str">
        <x:v>Проєктний сигнал — 24.08</x:v>
      </x:c>
      <x:c r="C222" s="14" t="str">
        <x:v>Avitel Group</x:v>
      </x:c>
      <x:c r="D222" s="14" t="str">
        <x:v>ВОЛЗ / телеком-мережі</x:v>
      </x:c>
      <x:c r="E222" s="14" t="str">
        <x:v>Expansion discovery</x:v>
      </x:c>
      <x:c r="F222" s="17" t="str">
        <x:v>D1</x:v>
      </x:c>
      <x:c r="G222" s="14" t="str">
        <x:v>avitelgroup.com</x:v>
      </x:c>
      <x:c r="H222" s="14" t="str">
        <x:v>2-тижневий workflow discovery — потрібні вимоги одного проєкту</x:v>
      </x:c>
      <x:c r="I222" s="16" t="n">
        <x:v>1</x:v>
      </x:c>
      <x:c r="J222" s="16" t="n">
        <x:v>5</x:v>
      </x:c>
      <x:c r="K222" s="16" t="n">
        <x:v>5</x:v>
      </x:c>
      <x:c r="L222" s="16" t="n">
        <x:v>4</x:v>
      </x:c>
      <x:c r="M222" s="16" t="n">
        <x:v>5</x:v>
      </x:c>
      <x:c r="N222" s="16" t="n">
        <x:v>5</x:v>
      </x:c>
      <x:c r="O222" s="16" t="n">
        <x:v>3</x:v>
      </x:c>
      <x:c r="P222" s="16" t="n">
        <x:f>IF(COUNT(I222:O222)&lt;7,"",I222*8+J222*3+K222*2+L222*2+M222*2+N222*2+O222)</x:f>
        <x:v>64</x:v>
      </x:c>
      <x:c r="Q222" s="16" t="n">
        <x:f>IF(COUNT(J222:O222)&lt;6,"",J222*5+K222*4+M222*4+L222*3+N222*2+O222*2)</x:f>
        <x:v>93</x:v>
      </x:c>
      <x:c r="R222" s="14" t="str">
        <x:v>medium</x:v>
      </x:c>
      <x:c r="S222" s="14" t="str">
        <x:v>google_index_verified_manual_check_2026-08-24</x:v>
      </x:c>
      <x:c r="T222" s="14" t="str">
        <x:v>indexed_official_page_manual_check</x:v>
      </x:c>
      <x:c r="U222" s="14" t="str">
        <x:v>Новий — не контактували</x:v>
      </x:c>
      <x:c r="V222" s="15" t="str">
        <x:v>2-тижневий discovery: запросити вимоги 1 активного проєкту + 1 знеособлений артефакт</x:v>
      </x:c>
      <x:c r="W222" s="15" t="str">
        <x:v>Директор; керівник будівництва мереж; керівник ПТО / проєктів</x:v>
      </x:c>
      <x:c r="X222" s="15" t="str">
        <x:v>Телеком-інфраструктура та інтеграція. Пошуковий результат веде на індексовану сторінку корпоративного домену: Avitel Group — системний інтегратор.</x:v>
      </x:c>
      <x:c r="Y222" s="15" t="str">
        <x:v>Траси, муфти, зварювання волокон, рефлектограми й виконавчі схеми мають бути прив'язані до конкретних ділянок.</x:v>
      </x:c>
      <x:c r="Z222" s="15" t="str">
        <x:v>http://avitelgroup.com/</x:v>
      </x:c>
      <x:c r="AA222" s="14" t="str"/>
      <x:c r="AB222" s="14" t="str">
        <x:v>2026-08-24</x:v>
      </x:c>
      <x:c r="AC222" s="14" t="str">
        <x:v>Олександр</x:v>
      </x:c>
      <x:c r="AD222" s="20" t="str"/>
      <x:c r="AE222" s="14" t="str"/>
      <x:c r="AF222" s="14" t="n">
        <x:v>0</x:v>
      </x:c>
      <x:c r="AG222" s="14" t="str">
        <x:v>—</x:v>
      </x:c>
      <x:c r="AH222" s="14" t="n">
        <x:v>0</x:v>
      </x:c>
      <x:c r="AI222" s="14" t="n">
        <x:v>0</x:v>
      </x:c>
      <x:c r="AJ222" s="18" t="n">
        <x:v>0</x:v>
      </x:c>
      <x:c r="AK222" s="14" t="str"/>
      <x:c r="AL222" s="19" t="str"/>
      <x:c r="AM222" s="19" t="str"/>
      <x:c r="AN222" s="15" t="str"/>
      <x:c r="AO222" s="15" t="str">
        <x:v>google_index_verified_manual_check_2026-08-24</x:v>
      </x:c>
    </x:row>
    <x:row r="223">
      <x:c r="A223" s="14" t="str">
        <x:v>W2-054</x:v>
      </x:c>
      <x:c r="B223" s="14" t="str">
        <x:v>Проєктний сигнал — 24.08</x:v>
      </x:c>
      <x:c r="C223" s="14" t="str">
        <x:v>Atracom</x:v>
      </x:c>
      <x:c r="D223" s="14" t="str">
        <x:v>ВОЛЗ / телеком-мережі</x:v>
      </x:c>
      <x:c r="E223" s="14" t="str">
        <x:v>Expansion discovery</x:v>
      </x:c>
      <x:c r="F223" s="17" t="str">
        <x:v>D1</x:v>
      </x:c>
      <x:c r="G223" s="14" t="str">
        <x:v>atracom.com.ua</x:v>
      </x:c>
      <x:c r="H223" s="14" t="str">
        <x:v>2-тижневий workflow discovery — потрібні вимоги одного проєкту</x:v>
      </x:c>
      <x:c r="I223" s="16" t="n">
        <x:v>1</x:v>
      </x:c>
      <x:c r="J223" s="16" t="n">
        <x:v>5</x:v>
      </x:c>
      <x:c r="K223" s="16" t="n">
        <x:v>5</x:v>
      </x:c>
      <x:c r="L223" s="16" t="n">
        <x:v>4</x:v>
      </x:c>
      <x:c r="M223" s="16" t="n">
        <x:v>5</x:v>
      </x:c>
      <x:c r="N223" s="16" t="n">
        <x:v>5</x:v>
      </x:c>
      <x:c r="O223" s="16" t="n">
        <x:v>5</x:v>
      </x:c>
      <x:c r="P223" s="16" t="n">
        <x:f>IF(COUNT(I223:O223)&lt;7,"",I223*8+J223*3+K223*2+L223*2+M223*2+N223*2+O223)</x:f>
        <x:v>66</x:v>
      </x:c>
      <x:c r="Q223" s="16" t="n">
        <x:f>IF(COUNT(J223:O223)&lt;6,"",J223*5+K223*4+M223*4+L223*3+N223*2+O223*2)</x:f>
        <x:v>97</x:v>
      </x:c>
      <x:c r="R223" s="14" t="str">
        <x:v>high</x:v>
      </x:c>
      <x:c r="S223" s="14" t="str">
        <x:v>google_index_verified_2026-08-24</x:v>
      </x:c>
      <x:c r="T223" s="14" t="str">
        <x:v>indexed_official_service_page</x:v>
      </x:c>
      <x:c r="U223" s="14" t="str">
        <x:v>Новий — не контактували</x:v>
      </x:c>
      <x:c r="V223" s="15" t="str">
        <x:v>2-тижневий discovery: запросити вимоги 1 активного проєкту + 1 знеособлений артефакт</x:v>
      </x:c>
      <x:c r="W223" s="15" t="str">
        <x:v>Директор; керівник будівництва мереж; керівник ПТО / проєктів</x:v>
      </x:c>
      <x:c r="X223" s="15" t="str">
        <x:v>Будівництво волоконно-оптичних ліній. Пошуковий результат веде на індексовану сторінку корпоративного домену: Будівництво ВОЛЗ — Atracom.</x:v>
      </x:c>
      <x:c r="Y223" s="15" t="str">
        <x:v>Траси, муфти, зварювання волокон, рефлектограми й виконавчі схеми мають бути прив'язані до конкретних ділянок.</x:v>
      </x:c>
      <x:c r="Z223" s="15" t="str">
        <x:v>https://www.atracom.com.ua/services/construction-and-sale-of-focls/</x:v>
      </x:c>
      <x:c r="AA223" s="14" t="str"/>
      <x:c r="AB223" s="14" t="str">
        <x:v>2026-08-24</x:v>
      </x:c>
      <x:c r="AC223" s="14" t="str">
        <x:v>Олександр</x:v>
      </x:c>
      <x:c r="AD223" s="20" t="str"/>
      <x:c r="AE223" s="14" t="str"/>
      <x:c r="AF223" s="14" t="n">
        <x:v>0</x:v>
      </x:c>
      <x:c r="AG223" s="14" t="str">
        <x:v>—</x:v>
      </x:c>
      <x:c r="AH223" s="14" t="n">
        <x:v>0</x:v>
      </x:c>
      <x:c r="AI223" s="14" t="n">
        <x:v>0</x:v>
      </x:c>
      <x:c r="AJ223" s="18" t="n">
        <x:v>0</x:v>
      </x:c>
      <x:c r="AK223" s="14" t="str"/>
      <x:c r="AL223" s="19" t="str"/>
      <x:c r="AM223" s="19" t="str"/>
      <x:c r="AN223" s="15" t="str"/>
      <x:c r="AO223" s="15" t="str">
        <x:v>google_index_verified_2026-08-24</x:v>
      </x:c>
    </x:row>
    <x:row r="224">
      <x:c r="A224" s="14" t="str">
        <x:v>W2-055</x:v>
      </x:c>
      <x:c r="B224" s="14" t="str">
        <x:v>Проєктний сигнал — 24.08</x:v>
      </x:c>
      <x:c r="C224" s="14" t="str">
        <x:v>Eurotranstelecom</x:v>
      </x:c>
      <x:c r="D224" s="14" t="str">
        <x:v>ВОЛЗ / телеком-мережі</x:v>
      </x:c>
      <x:c r="E224" s="14" t="str">
        <x:v>Expansion discovery</x:v>
      </x:c>
      <x:c r="F224" s="17" t="str">
        <x:v>D1</x:v>
      </x:c>
      <x:c r="G224" s="14" t="str">
        <x:v>ett.ua</x:v>
      </x:c>
      <x:c r="H224" s="14" t="str">
        <x:v>2-тижневий workflow discovery — потрібні вимоги одного проєкту</x:v>
      </x:c>
      <x:c r="I224" s="16" t="n">
        <x:v>1</x:v>
      </x:c>
      <x:c r="J224" s="16" t="n">
        <x:v>5</x:v>
      </x:c>
      <x:c r="K224" s="16" t="n">
        <x:v>5</x:v>
      </x:c>
      <x:c r="L224" s="16" t="n">
        <x:v>4</x:v>
      </x:c>
      <x:c r="M224" s="16" t="n">
        <x:v>5</x:v>
      </x:c>
      <x:c r="N224" s="16" t="n">
        <x:v>5</x:v>
      </x:c>
      <x:c r="O224" s="16" t="n">
        <x:v>5</x:v>
      </x:c>
      <x:c r="P224" s="16" t="n">
        <x:f>IF(COUNT(I224:O224)&lt;7,"",I224*8+J224*3+K224*2+L224*2+M224*2+N224*2+O224)</x:f>
        <x:v>66</x:v>
      </x:c>
      <x:c r="Q224" s="16" t="n">
        <x:f>IF(COUNT(J224:O224)&lt;6,"",J224*5+K224*4+M224*4+L224*3+N224*2+O224*2)</x:f>
        <x:v>97</x:v>
      </x:c>
      <x:c r="R224" s="14" t="str">
        <x:v>high</x:v>
      </x:c>
      <x:c r="S224" s="14" t="str">
        <x:v>google_index_verified_2026-08-24</x:v>
      </x:c>
      <x:c r="T224" s="14" t="str">
        <x:v>indexed_official_service_page</x:v>
      </x:c>
      <x:c r="U224" s="14" t="str">
        <x:v>Новий — не контактували</x:v>
      </x:c>
      <x:c r="V224" s="15" t="str">
        <x:v>2-тижневий discovery: запросити вимоги 1 активного проєкту + 1 знеособлений артефакт</x:v>
      </x:c>
      <x:c r="W224" s="15" t="str">
        <x:v>Директор; керівник будівництва мереж; керівник ПТО / проєктів</x:v>
      </x:c>
      <x:c r="X224" s="15" t="str">
        <x:v>Будівництво волоконно-оптичних мереж. Пошуковий результат веде на індексовану сторінку корпоративного домену: Будівництво ВОЛЗ — Eurotranstelecom.</x:v>
      </x:c>
      <x:c r="Y224" s="15" t="str">
        <x:v>Траси, муфти, зварювання волокон, рефлектограми й виконавчі схеми мають бути прив'язані до конкретних ділянок.</x:v>
      </x:c>
      <x:c r="Z224" s="15" t="str">
        <x:v>https://www.ett.ua/services/focl-construction/</x:v>
      </x:c>
      <x:c r="AA224" s="14" t="str"/>
      <x:c r="AB224" s="14" t="str">
        <x:v>2026-08-24</x:v>
      </x:c>
      <x:c r="AC224" s="14" t="str">
        <x:v>Олександр</x:v>
      </x:c>
      <x:c r="AD224" s="20" t="str"/>
      <x:c r="AE224" s="14" t="str"/>
      <x:c r="AF224" s="14" t="n">
        <x:v>0</x:v>
      </x:c>
      <x:c r="AG224" s="14" t="str">
        <x:v>—</x:v>
      </x:c>
      <x:c r="AH224" s="14" t="n">
        <x:v>0</x:v>
      </x:c>
      <x:c r="AI224" s="14" t="n">
        <x:v>0</x:v>
      </x:c>
      <x:c r="AJ224" s="18" t="n">
        <x:v>0</x:v>
      </x:c>
      <x:c r="AK224" s="14" t="str"/>
      <x:c r="AL224" s="19" t="str"/>
      <x:c r="AM224" s="19" t="str"/>
      <x:c r="AN224" s="15" t="str"/>
      <x:c r="AO224" s="15" t="str">
        <x:v>google_index_verified_2026-08-24</x:v>
      </x:c>
    </x:row>
    <x:row r="225">
      <x:c r="A225" s="14" t="str">
        <x:v>W2-056</x:v>
      </x:c>
      <x:c r="B225" s="14" t="str">
        <x:v>Проєктний сигнал — 24.08</x:v>
      </x:c>
      <x:c r="C225" s="14" t="str">
        <x:v>UTELS</x:v>
      </x:c>
      <x:c r="D225" s="14" t="str">
        <x:v>ВОЛЗ / телеком-мережі</x:v>
      </x:c>
      <x:c r="E225" s="14" t="str">
        <x:v>Expansion discovery</x:v>
      </x:c>
      <x:c r="F225" s="17" t="str">
        <x:v>D1</x:v>
      </x:c>
      <x:c r="G225" s="14" t="str">
        <x:v>utels.ua</x:v>
      </x:c>
      <x:c r="H225" s="14" t="str">
        <x:v>2-тижневий workflow discovery — потрібні вимоги одного проєкту</x:v>
      </x:c>
      <x:c r="I225" s="16" t="n">
        <x:v>1</x:v>
      </x:c>
      <x:c r="J225" s="16" t="n">
        <x:v>5</x:v>
      </x:c>
      <x:c r="K225" s="16" t="n">
        <x:v>5</x:v>
      </x:c>
      <x:c r="L225" s="16" t="n">
        <x:v>4</x:v>
      </x:c>
      <x:c r="M225" s="16" t="n">
        <x:v>5</x:v>
      </x:c>
      <x:c r="N225" s="16" t="n">
        <x:v>5</x:v>
      </x:c>
      <x:c r="O225" s="16" t="n">
        <x:v>5</x:v>
      </x:c>
      <x:c r="P225" s="16" t="n">
        <x:f>IF(COUNT(I225:O225)&lt;7,"",I225*8+J225*3+K225*2+L225*2+M225*2+N225*2+O225)</x:f>
        <x:v>66</x:v>
      </x:c>
      <x:c r="Q225" s="16" t="n">
        <x:f>IF(COUNT(J225:O225)&lt;6,"",J225*5+K225*4+M225*4+L225*3+N225*2+O225*2)</x:f>
        <x:v>97</x:v>
      </x:c>
      <x:c r="R225" s="14" t="str">
        <x:v>high</x:v>
      </x:c>
      <x:c r="S225" s="14" t="str">
        <x:v>google_index_verified_2026-08-24</x:v>
      </x:c>
      <x:c r="T225" s="14" t="str">
        <x:v>indexed_official_service_page</x:v>
      </x:c>
      <x:c r="U225" s="14" t="str">
        <x:v>Новий — не контактували</x:v>
      </x:c>
      <x:c r="V225" s="15" t="str">
        <x:v>2-тижневий discovery: запросити вимоги 1 активного проєкту + 1 знеособлений артефакт</x:v>
      </x:c>
      <x:c r="W225" s="15" t="str">
        <x:v>Директор; керівник будівництва мереж; керівник ПТО / проєктів</x:v>
      </x:c>
      <x:c r="X225" s="15" t="str">
        <x:v>Проєктування і будівництво ВОЛЗ. Пошуковий результат веде на індексовану сторінку корпоративного домену: Будівництво та проєктування ВОЛЗ — UTELS.</x:v>
      </x:c>
      <x:c r="Y225" s="15" t="str">
        <x:v>Траси, муфти, зварювання волокон, рефлектограми й виконавчі схеми мають бути прив'язані до конкретних ділянок.</x:v>
      </x:c>
      <x:c r="Z225" s="15" t="str">
        <x:v>https://utels.ua/for-business/budivnytstvo-volz</x:v>
      </x:c>
      <x:c r="AA225" s="14" t="str"/>
      <x:c r="AB225" s="14" t="str">
        <x:v>2026-08-24</x:v>
      </x:c>
      <x:c r="AC225" s="14" t="str">
        <x:v>Олександр</x:v>
      </x:c>
      <x:c r="AD225" s="20" t="str"/>
      <x:c r="AE225" s="14" t="str"/>
      <x:c r="AF225" s="14" t="n">
        <x:v>0</x:v>
      </x:c>
      <x:c r="AG225" s="14" t="str">
        <x:v>—</x:v>
      </x:c>
      <x:c r="AH225" s="14" t="n">
        <x:v>0</x:v>
      </x:c>
      <x:c r="AI225" s="14" t="n">
        <x:v>0</x:v>
      </x:c>
      <x:c r="AJ225" s="18" t="n">
        <x:v>0</x:v>
      </x:c>
      <x:c r="AK225" s="14" t="str"/>
      <x:c r="AL225" s="19" t="str"/>
      <x:c r="AM225" s="19" t="str"/>
      <x:c r="AN225" s="15" t="str"/>
      <x:c r="AO225" s="15" t="str">
        <x:v>google_index_verified_2026-08-24</x:v>
      </x:c>
    </x:row>
    <x:row r="226">
      <x:c r="A226" s="14" t="str">
        <x:v>W2-057</x:v>
      </x:c>
      <x:c r="B226" s="14" t="str">
        <x:v>Проєктний сигнал — 24.08</x:v>
      </x:c>
      <x:c r="C226" s="14" t="str">
        <x:v>Астелнет</x:v>
      </x:c>
      <x:c r="D226" s="14" t="str">
        <x:v>ВОЛЗ / телеком-мережі</x:v>
      </x:c>
      <x:c r="E226" s="14" t="str">
        <x:v>Expansion discovery</x:v>
      </x:c>
      <x:c r="F226" s="17" t="str">
        <x:v>D1</x:v>
      </x:c>
      <x:c r="G226" s="14" t="str">
        <x:v>astelnet.com.ua</x:v>
      </x:c>
      <x:c r="H226" s="14" t="str">
        <x:v>2-тижневий workflow discovery — потрібні вимоги одного проєкту</x:v>
      </x:c>
      <x:c r="I226" s="16" t="n">
        <x:v>1</x:v>
      </x:c>
      <x:c r="J226" s="16" t="n">
        <x:v>5</x:v>
      </x:c>
      <x:c r="K226" s="16" t="n">
        <x:v>5</x:v>
      </x:c>
      <x:c r="L226" s="16" t="n">
        <x:v>4</x:v>
      </x:c>
      <x:c r="M226" s="16" t="n">
        <x:v>5</x:v>
      </x:c>
      <x:c r="N226" s="16" t="n">
        <x:v>5</x:v>
      </x:c>
      <x:c r="O226" s="16" t="n">
        <x:v>5</x:v>
      </x:c>
      <x:c r="P226" s="16" t="n">
        <x:f>IF(COUNT(I226:O226)&lt;7,"",I226*8+J226*3+K226*2+L226*2+M226*2+N226*2+O226)</x:f>
        <x:v>66</x:v>
      </x:c>
      <x:c r="Q226" s="16" t="n">
        <x:f>IF(COUNT(J226:O226)&lt;6,"",J226*5+K226*4+M226*4+L226*3+N226*2+O226*2)</x:f>
        <x:v>97</x:v>
      </x:c>
      <x:c r="R226" s="14" t="str">
        <x:v>high</x:v>
      </x:c>
      <x:c r="S226" s="14" t="str">
        <x:v>google_index_verified_2026-08-24</x:v>
      </x:c>
      <x:c r="T226" s="14" t="str">
        <x:v>indexed_official_service_page</x:v>
      </x:c>
      <x:c r="U226" s="14" t="str">
        <x:v>Новий — не контактували</x:v>
      </x:c>
      <x:c r="V226" s="15" t="str">
        <x:v>2-тижневий discovery: запросити вимоги 1 активного проєкту + 1 знеособлений артефакт</x:v>
      </x:c>
      <x:c r="W226" s="15" t="str">
        <x:v>Директор; керівник будівництва мереж; керівник ПТО / проєктів</x:v>
      </x:c>
      <x:c r="X226" s="15" t="str">
        <x:v>Оператор і будівельник ВОЛЗ. Пошуковий результат веде на індексовану сторінку корпоративного домену: Будівництво ВОЛЗ — Астелнет.</x:v>
      </x:c>
      <x:c r="Y226" s="15" t="str">
        <x:v>Траси, муфти, зварювання волокон, рефлектограми й виконавчі схеми мають бути прив'язані до конкретних ділянок.</x:v>
      </x:c>
      <x:c r="Z226" s="15" t="str">
        <x:v>https://astelnet.com.ua/vols-building/</x:v>
      </x:c>
      <x:c r="AA226" s="14" t="str"/>
      <x:c r="AB226" s="14" t="str">
        <x:v>2026-08-24</x:v>
      </x:c>
      <x:c r="AC226" s="14" t="str">
        <x:v>Олександр</x:v>
      </x:c>
      <x:c r="AD226" s="20" t="str"/>
      <x:c r="AE226" s="14" t="str"/>
      <x:c r="AF226" s="14" t="n">
        <x:v>0</x:v>
      </x:c>
      <x:c r="AG226" s="14" t="str">
        <x:v>—</x:v>
      </x:c>
      <x:c r="AH226" s="14" t="n">
        <x:v>0</x:v>
      </x:c>
      <x:c r="AI226" s="14" t="n">
        <x:v>0</x:v>
      </x:c>
      <x:c r="AJ226" s="18" t="n">
        <x:v>0</x:v>
      </x:c>
      <x:c r="AK226" s="14" t="str"/>
      <x:c r="AL226" s="19" t="str"/>
      <x:c r="AM226" s="19" t="str"/>
      <x:c r="AN226" s="15" t="str"/>
      <x:c r="AO226" s="15" t="str">
        <x:v>google_index_verified_2026-08-24</x:v>
      </x:c>
    </x:row>
    <x:row r="227">
      <x:c r="A227" s="14" t="str">
        <x:v>W2-058</x:v>
      </x:c>
      <x:c r="B227" s="14" t="str">
        <x:v>Проєктний сигнал — 24.08</x:v>
      </x:c>
      <x:c r="C227" s="14" t="str">
        <x:v>Фрінет / O3</x:v>
      </x:c>
      <x:c r="D227" s="14" t="str">
        <x:v>ВОЛЗ / телеком-мережі</x:v>
      </x:c>
      <x:c r="E227" s="14" t="str">
        <x:v>Expansion discovery</x:v>
      </x:c>
      <x:c r="F227" s="17" t="str">
        <x:v>D1</x:v>
      </x:c>
      <x:c r="G227" s="14" t="str">
        <x:v>o3.ua</x:v>
      </x:c>
      <x:c r="H227" s="14" t="str">
        <x:v>2-тижневий workflow discovery — потрібні вимоги одного проєкту</x:v>
      </x:c>
      <x:c r="I227" s="16" t="n">
        <x:v>1</x:v>
      </x:c>
      <x:c r="J227" s="16" t="n">
        <x:v>5</x:v>
      </x:c>
      <x:c r="K227" s="16" t="n">
        <x:v>5</x:v>
      </x:c>
      <x:c r="L227" s="16" t="n">
        <x:v>4</x:v>
      </x:c>
      <x:c r="M227" s="16" t="n">
        <x:v>5</x:v>
      </x:c>
      <x:c r="N227" s="16" t="n">
        <x:v>5</x:v>
      </x:c>
      <x:c r="O227" s="16" t="n">
        <x:v>5</x:v>
      </x:c>
      <x:c r="P227" s="16" t="n">
        <x:f>IF(COUNT(I227:O227)&lt;7,"",I227*8+J227*3+K227*2+L227*2+M227*2+N227*2+O227)</x:f>
        <x:v>66</x:v>
      </x:c>
      <x:c r="Q227" s="16" t="n">
        <x:f>IF(COUNT(J227:O227)&lt;6,"",J227*5+K227*4+M227*4+L227*3+N227*2+O227*2)</x:f>
        <x:v>97</x:v>
      </x:c>
      <x:c r="R227" s="14" t="str">
        <x:v>high</x:v>
      </x:c>
      <x:c r="S227" s="14" t="str">
        <x:v>google_index_verified_2026-08-24</x:v>
      </x:c>
      <x:c r="T227" s="14" t="str">
        <x:v>indexed_official_service_page</x:v>
      </x:c>
      <x:c r="U227" s="14" t="str">
        <x:v>Новий — не контактували</x:v>
      </x:c>
      <x:c r="V227" s="15" t="str">
        <x:v>2-тижневий discovery: запросити вимоги 1 активного проєкту + 1 знеособлений артефакт</x:v>
      </x:c>
      <x:c r="W227" s="15" t="str">
        <x:v>Директор; керівник будівництва мереж; керівник ПТО / проєктів</x:v>
      </x:c>
      <x:c r="X227" s="15" t="str">
        <x:v>Будівництво волоконно-оптичних мереж. Пошуковий результат веде на індексовану сторінку корпоративного домену: Будівництво ВОЛЗ — Фрінет.</x:v>
      </x:c>
      <x:c r="Y227" s="15" t="str">
        <x:v>Траси, муфти, зварювання волокон, рефлектограми й виконавчі схеми мають бути прив'язані до конкретних ділянок.</x:v>
      </x:c>
      <x:c r="Z227" s="15" t="str">
        <x:v>https://o3.ua/office/volz/</x:v>
      </x:c>
      <x:c r="AA227" s="14" t="str"/>
      <x:c r="AB227" s="14" t="str">
        <x:v>2026-08-24</x:v>
      </x:c>
      <x:c r="AC227" s="14" t="str">
        <x:v>Олександр</x:v>
      </x:c>
      <x:c r="AD227" s="20" t="str"/>
      <x:c r="AE227" s="14" t="str"/>
      <x:c r="AF227" s="14" t="n">
        <x:v>0</x:v>
      </x:c>
      <x:c r="AG227" s="14" t="str">
        <x:v>—</x:v>
      </x:c>
      <x:c r="AH227" s="14" t="n">
        <x:v>0</x:v>
      </x:c>
      <x:c r="AI227" s="14" t="n">
        <x:v>0</x:v>
      </x:c>
      <x:c r="AJ227" s="18" t="n">
        <x:v>0</x:v>
      </x:c>
      <x:c r="AK227" s="14" t="str"/>
      <x:c r="AL227" s="19" t="str"/>
      <x:c r="AM227" s="19" t="str"/>
      <x:c r="AN227" s="15" t="str"/>
      <x:c r="AO227" s="15" t="str">
        <x:v>google_index_verified_2026-08-24</x:v>
      </x:c>
    </x:row>
    <x:row r="228">
      <x:c r="A228" s="14" t="str">
        <x:v>W2-059</x:v>
      </x:c>
      <x:c r="B228" s="14" t="str">
        <x:v>Проєктний сигнал — 24.08</x:v>
      </x:c>
      <x:c r="C228" s="14" t="str">
        <x:v>GigaTrans</x:v>
      </x:c>
      <x:c r="D228" s="14" t="str">
        <x:v>ВОЛЗ / телеком-мережі</x:v>
      </x:c>
      <x:c r="E228" s="14" t="str">
        <x:v>Expansion discovery</x:v>
      </x:c>
      <x:c r="F228" s="17" t="str">
        <x:v>D1</x:v>
      </x:c>
      <x:c r="G228" s="14" t="str">
        <x:v>gigatrans.ua</x:v>
      </x:c>
      <x:c r="H228" s="14" t="str">
        <x:v>2-тижневий workflow discovery — потрібні вимоги одного проєкту</x:v>
      </x:c>
      <x:c r="I228" s="16" t="n">
        <x:v>1</x:v>
      </x:c>
      <x:c r="J228" s="16" t="n">
        <x:v>5</x:v>
      </x:c>
      <x:c r="K228" s="16" t="n">
        <x:v>5</x:v>
      </x:c>
      <x:c r="L228" s="16" t="n">
        <x:v>4</x:v>
      </x:c>
      <x:c r="M228" s="16" t="n">
        <x:v>5</x:v>
      </x:c>
      <x:c r="N228" s="16" t="n">
        <x:v>5</x:v>
      </x:c>
      <x:c r="O228" s="16" t="n">
        <x:v>5</x:v>
      </x:c>
      <x:c r="P228" s="16" t="n">
        <x:f>IF(COUNT(I228:O228)&lt;7,"",I228*8+J228*3+K228*2+L228*2+M228*2+N228*2+O228)</x:f>
        <x:v>66</x:v>
      </x:c>
      <x:c r="Q228" s="16" t="n">
        <x:f>IF(COUNT(J228:O228)&lt;6,"",J228*5+K228*4+M228*4+L228*3+N228*2+O228*2)</x:f>
        <x:v>97</x:v>
      </x:c>
      <x:c r="R228" s="14" t="str">
        <x:v>high</x:v>
      </x:c>
      <x:c r="S228" s="14" t="str">
        <x:v>google_index_verified_2026-08-24</x:v>
      </x:c>
      <x:c r="T228" s="14" t="str">
        <x:v>indexed_official_service_page</x:v>
      </x:c>
      <x:c r="U228" s="14" t="str">
        <x:v>Новий — не контактували</x:v>
      </x:c>
      <x:c r="V228" s="15" t="str">
        <x:v>2-тижневий discovery: запросити вимоги 1 активного проєкту + 1 знеособлений артефакт</x:v>
      </x:c>
      <x:c r="W228" s="15" t="str">
        <x:v>Директор; керівник будівництва мереж; керівник ПТО / проєктів</x:v>
      </x:c>
      <x:c r="X228" s="15" t="str">
        <x:v>Будівництво волоконно-оптичних ліній. Пошуковий результат веде на індексовану сторінку корпоративного домену: Будівництво ВОЛЗ — GigaTrans.</x:v>
      </x:c>
      <x:c r="Y228" s="15" t="str">
        <x:v>Траси, муфти, зварювання волокон, рефлектограми й виконавчі схеми мають бути прив'язані до конкретних ділянок.</x:v>
      </x:c>
      <x:c r="Z228" s="15" t="str">
        <x:v>https://gigatrans.ua/ua/services/stroitelstvo-vols</x:v>
      </x:c>
      <x:c r="AA228" s="14" t="str"/>
      <x:c r="AB228" s="14" t="str">
        <x:v>2026-08-24</x:v>
      </x:c>
      <x:c r="AC228" s="14" t="str">
        <x:v>Олександр</x:v>
      </x:c>
      <x:c r="AD228" s="20" t="str"/>
      <x:c r="AE228" s="14" t="str"/>
      <x:c r="AF228" s="14" t="n">
        <x:v>0</x:v>
      </x:c>
      <x:c r="AG228" s="14" t="str">
        <x:v>—</x:v>
      </x:c>
      <x:c r="AH228" s="14" t="n">
        <x:v>0</x:v>
      </x:c>
      <x:c r="AI228" s="14" t="n">
        <x:v>0</x:v>
      </x:c>
      <x:c r="AJ228" s="18" t="n">
        <x:v>0</x:v>
      </x:c>
      <x:c r="AK228" s="14" t="str"/>
      <x:c r="AL228" s="19" t="str"/>
      <x:c r="AM228" s="19" t="str"/>
      <x:c r="AN228" s="15" t="str"/>
      <x:c r="AO228" s="15" t="str">
        <x:v>google_index_verified_2026-08-24</x:v>
      </x:c>
    </x:row>
    <x:row r="229">
      <x:c r="A229" s="14" t="str">
        <x:v>W2-060</x:v>
      </x:c>
      <x:c r="B229" s="14" t="str">
        <x:v>Проєктний сигнал — 24.08</x:v>
      </x:c>
      <x:c r="C229" s="14" t="str">
        <x:v>EXSYS</x:v>
      </x:c>
      <x:c r="D229" s="14" t="str">
        <x:v>Газопостачання / котельні</x:v>
      </x:c>
      <x:c r="E229" s="14" t="str">
        <x:v>Expansion discovery</x:v>
      </x:c>
      <x:c r="F229" s="17" t="str">
        <x:v>D1</x:v>
      </x:c>
      <x:c r="G229" s="14" t="str">
        <x:v>exsys.com.ua</x:v>
      </x:c>
      <x:c r="H229" s="14" t="str">
        <x:v>2-тижневий workflow discovery — потрібні вимоги одного проєкту</x:v>
      </x:c>
      <x:c r="I229" s="16" t="n">
        <x:v>1</x:v>
      </x:c>
      <x:c r="J229" s="16" t="n">
        <x:v>5</x:v>
      </x:c>
      <x:c r="K229" s="16" t="n">
        <x:v>5</x:v>
      </x:c>
      <x:c r="L229" s="16" t="n">
        <x:v>4</x:v>
      </x:c>
      <x:c r="M229" s="16" t="n">
        <x:v>5</x:v>
      </x:c>
      <x:c r="N229" s="16" t="n">
        <x:v>5</x:v>
      </x:c>
      <x:c r="O229" s="16" t="n">
        <x:v>5</x:v>
      </x:c>
      <x:c r="P229" s="16" t="n">
        <x:f>IF(COUNT(I229:O229)&lt;7,"",I229*8+J229*3+K229*2+L229*2+M229*2+N229*2+O229)</x:f>
        <x:v>66</x:v>
      </x:c>
      <x:c r="Q229" s="16" t="n">
        <x:f>IF(COUNT(J229:O229)&lt;6,"",J229*5+K229*4+M229*4+L229*3+N229*2+O229*2)</x:f>
        <x:v>97</x:v>
      </x:c>
      <x:c r="R229" s="14" t="str">
        <x:v>high</x:v>
      </x:c>
      <x:c r="S229" s="14" t="str">
        <x:v>google_index_verified_2026-08-24</x:v>
      </x:c>
      <x:c r="T229" s="14" t="str">
        <x:v>indexed_official_service_page</x:v>
      </x:c>
      <x:c r="U229" s="14" t="str">
        <x:v>Новий — не контактували</x:v>
      </x:c>
      <x:c r="V229" s="15" t="str">
        <x:v>2-тижневий discovery: запросити вимоги 1 активного проєкту + 1 знеособлений артефакт</x:v>
      </x:c>
      <x:c r="W229" s="15" t="str">
        <x:v>Директор; головний інженер; керівник ПТО / пусконалагодження</x:v>
      </x:c>
      <x:c r="X229" s="15" t="str">
        <x:v>Проєктування котелень та інженерних систем. Пошуковий результат веде на індексовану сторінку корпоративного домену: Проєкт котельні — EXSYS.</x:v>
      </x:c>
      <x:c r="Y229" s="15" t="str">
        <x:v>Трубопроводи, зварні стики, випробування, автоматика й ПНР потребують актів і протоколів до введення.</x:v>
      </x:c>
      <x:c r="Z229" s="15" t="str">
        <x:v>https://exsys.com.ua/service/proekt-kotelni/</x:v>
      </x:c>
      <x:c r="AA229" s="14" t="str"/>
      <x:c r="AB229" s="14" t="str">
        <x:v>2026-08-24</x:v>
      </x:c>
      <x:c r="AC229" s="14" t="str">
        <x:v>Олександр</x:v>
      </x:c>
      <x:c r="AD229" s="20" t="str"/>
      <x:c r="AE229" s="14" t="str"/>
      <x:c r="AF229" s="14" t="n">
        <x:v>0</x:v>
      </x:c>
      <x:c r="AG229" s="14" t="str">
        <x:v>—</x:v>
      </x:c>
      <x:c r="AH229" s="14" t="n">
        <x:v>0</x:v>
      </x:c>
      <x:c r="AI229" s="14" t="n">
        <x:v>0</x:v>
      </x:c>
      <x:c r="AJ229" s="18" t="n">
        <x:v>0</x:v>
      </x:c>
      <x:c r="AK229" s="14" t="str"/>
      <x:c r="AL229" s="19" t="str"/>
      <x:c r="AM229" s="19" t="str"/>
      <x:c r="AN229" s="15" t="str"/>
      <x:c r="AO229" s="15" t="str">
        <x:v>google_index_verified_2026-08-24</x:v>
      </x:c>
    </x:row>
    <x:row r="230">
      <x:c r="A230" s="14" t="str">
        <x:v>W2-061</x:v>
      </x:c>
      <x:c r="B230" s="14" t="str">
        <x:v>Проєктний сигнал — 24.08</x:v>
      </x:c>
      <x:c r="C230" s="14" t="str">
        <x:v>DIATEC</x:v>
      </x:c>
      <x:c r="D230" s="14" t="str">
        <x:v>Газопостачання / котельні</x:v>
      </x:c>
      <x:c r="E230" s="14" t="str">
        <x:v>Expansion discovery</x:v>
      </x:c>
      <x:c r="F230" s="17" t="str">
        <x:v>D1</x:v>
      </x:c>
      <x:c r="G230" s="14" t="str">
        <x:v>prom.diatec.com.ua</x:v>
      </x:c>
      <x:c r="H230" s="14" t="str">
        <x:v>2-тижневий workflow discovery — потрібні вимоги одного проєкту</x:v>
      </x:c>
      <x:c r="I230" s="16" t="n">
        <x:v>1</x:v>
      </x:c>
      <x:c r="J230" s="16" t="n">
        <x:v>5</x:v>
      </x:c>
      <x:c r="K230" s="16" t="n">
        <x:v>5</x:v>
      </x:c>
      <x:c r="L230" s="16" t="n">
        <x:v>4</x:v>
      </x:c>
      <x:c r="M230" s="16" t="n">
        <x:v>5</x:v>
      </x:c>
      <x:c r="N230" s="16" t="n">
        <x:v>5</x:v>
      </x:c>
      <x:c r="O230" s="16" t="n">
        <x:v>5</x:v>
      </x:c>
      <x:c r="P230" s="16" t="n">
        <x:f>IF(COUNT(I230:O230)&lt;7,"",I230*8+J230*3+K230*2+L230*2+M230*2+N230*2+O230)</x:f>
        <x:v>66</x:v>
      </x:c>
      <x:c r="Q230" s="16" t="n">
        <x:f>IF(COUNT(J230:O230)&lt;6,"",J230*5+K230*4+M230*4+L230*3+N230*2+O230*2)</x:f>
        <x:v>97</x:v>
      </x:c>
      <x:c r="R230" s="14" t="str">
        <x:v>high</x:v>
      </x:c>
      <x:c r="S230" s="14" t="str">
        <x:v>google_index_verified_2026-08-24</x:v>
      </x:c>
      <x:c r="T230" s="14" t="str">
        <x:v>indexed_official_service_page</x:v>
      </x:c>
      <x:c r="U230" s="14" t="str">
        <x:v>Новий — не контактували</x:v>
      </x:c>
      <x:c r="V230" s="15" t="str">
        <x:v>2-тижневий discovery: запросити вимоги 1 активного проєкту + 1 знеособлений артефакт</x:v>
      </x:c>
      <x:c r="W230" s="15" t="str">
        <x:v>Директор; головний інженер; керівник ПТО / пусконалагодження</x:v>
      </x:c>
      <x:c r="X230" s="15" t="str">
        <x:v>Газопостачання промислових котелень. Пошуковий результат веде на індексовану сторінку корпоративного домену: Газопостачання котельні — DIATEC.</x:v>
      </x:c>
      <x:c r="Y230" s="15" t="str">
        <x:v>Трубопроводи, зварні стики, випробування, автоматика й ПНР потребують актів і протоколів до введення.</x:v>
      </x:c>
      <x:c r="Z230" s="15" t="str">
        <x:v>https://prom.diatec.com.ua/gazosnabzhenie-kotelnoj/</x:v>
      </x:c>
      <x:c r="AA230" s="14" t="str"/>
      <x:c r="AB230" s="14" t="str">
        <x:v>2026-08-24</x:v>
      </x:c>
      <x:c r="AC230" s="14" t="str">
        <x:v>Олександр</x:v>
      </x:c>
      <x:c r="AD230" s="20" t="str"/>
      <x:c r="AE230" s="14" t="str"/>
      <x:c r="AF230" s="14" t="n">
        <x:v>0</x:v>
      </x:c>
      <x:c r="AG230" s="14" t="str">
        <x:v>—</x:v>
      </x:c>
      <x:c r="AH230" s="14" t="n">
        <x:v>0</x:v>
      </x:c>
      <x:c r="AI230" s="14" t="n">
        <x:v>0</x:v>
      </x:c>
      <x:c r="AJ230" s="18" t="n">
        <x:v>0</x:v>
      </x:c>
      <x:c r="AK230" s="14" t="str"/>
      <x:c r="AL230" s="19" t="str"/>
      <x:c r="AM230" s="19" t="str"/>
      <x:c r="AN230" s="15" t="str"/>
      <x:c r="AO230" s="15" t="str">
        <x:v>google_index_verified_2026-08-24</x:v>
      </x:c>
    </x:row>
    <x:row r="231">
      <x:c r="A231" s="14" t="str">
        <x:v>W2-062</x:v>
      </x:c>
      <x:c r="B231" s="14" t="str">
        <x:v>Проєктний сигнал — 24.08</x:v>
      </x:c>
      <x:c r="C231" s="14" t="str">
        <x:v>ПК-ЕМС</x:v>
      </x:c>
      <x:c r="D231" s="14" t="str">
        <x:v>Газопостачання / котельні</x:v>
      </x:c>
      <x:c r="E231" s="14" t="str">
        <x:v>Expansion discovery</x:v>
      </x:c>
      <x:c r="F231" s="17" t="str">
        <x:v>D1</x:v>
      </x:c>
      <x:c r="G231" s="14" t="str">
        <x:v>pkems.com.ua</x:v>
      </x:c>
      <x:c r="H231" s="14" t="str">
        <x:v>2-тижневий workflow discovery — потрібні вимоги одного проєкту</x:v>
      </x:c>
      <x:c r="I231" s="16" t="n">
        <x:v>1</x:v>
      </x:c>
      <x:c r="J231" s="16" t="n">
        <x:v>5</x:v>
      </x:c>
      <x:c r="K231" s="16" t="n">
        <x:v>5</x:v>
      </x:c>
      <x:c r="L231" s="16" t="n">
        <x:v>4</x:v>
      </x:c>
      <x:c r="M231" s="16" t="n">
        <x:v>5</x:v>
      </x:c>
      <x:c r="N231" s="16" t="n">
        <x:v>5</x:v>
      </x:c>
      <x:c r="O231" s="16" t="n">
        <x:v>5</x:v>
      </x:c>
      <x:c r="P231" s="16" t="n">
        <x:f>IF(COUNT(I231:O231)&lt;7,"",I231*8+J231*3+K231*2+L231*2+M231*2+N231*2+O231)</x:f>
        <x:v>66</x:v>
      </x:c>
      <x:c r="Q231" s="16" t="n">
        <x:f>IF(COUNT(J231:O231)&lt;6,"",J231*5+K231*4+M231*4+L231*3+N231*2+O231*2)</x:f>
        <x:v>97</x:v>
      </x:c>
      <x:c r="R231" s="14" t="str">
        <x:v>high</x:v>
      </x:c>
      <x:c r="S231" s="14" t="str">
        <x:v>google_index_verified_2026-08-24</x:v>
      </x:c>
      <x:c r="T231" s="14" t="str">
        <x:v>indexed_official_service_page</x:v>
      </x:c>
      <x:c r="U231" s="14" t="str">
        <x:v>Новий — не контактували</x:v>
      </x:c>
      <x:c r="V231" s="15" t="str">
        <x:v>2-тижневий discovery: запросити вимоги 1 активного проєкту + 1 знеособлений артефакт</x:v>
      </x:c>
      <x:c r="W231" s="15" t="str">
        <x:v>Директор; головний інженер; керівник ПТО / пусконалагодження</x:v>
      </x:c>
      <x:c r="X231" s="15" t="str">
        <x:v>Портфоліо котелень та енергетичних систем. Пошуковий результат веде на індексовану сторінку корпоративного домену: Проєкти — ПК-ЕМС.</x:v>
      </x:c>
      <x:c r="Y231" s="15" t="str">
        <x:v>Трубопроводи, зварні стики, випробування, автоматика й ПНР потребують актів і протоколів до введення.</x:v>
      </x:c>
      <x:c r="Z231" s="15" t="str">
        <x:v>https://pkems.com.ua/projects</x:v>
      </x:c>
      <x:c r="AA231" s="14" t="str"/>
      <x:c r="AB231" s="14" t="str">
        <x:v>2026-08-24</x:v>
      </x:c>
      <x:c r="AC231" s="14" t="str">
        <x:v>Олександр</x:v>
      </x:c>
      <x:c r="AD231" s="20" t="str"/>
      <x:c r="AE231" s="14" t="str"/>
      <x:c r="AF231" s="14" t="n">
        <x:v>0</x:v>
      </x:c>
      <x:c r="AG231" s="14" t="str">
        <x:v>—</x:v>
      </x:c>
      <x:c r="AH231" s="14" t="n">
        <x:v>0</x:v>
      </x:c>
      <x:c r="AI231" s="14" t="n">
        <x:v>0</x:v>
      </x:c>
      <x:c r="AJ231" s="18" t="n">
        <x:v>0</x:v>
      </x:c>
      <x:c r="AK231" s="14" t="str"/>
      <x:c r="AL231" s="19" t="str"/>
      <x:c r="AM231" s="19" t="str"/>
      <x:c r="AN231" s="15" t="str"/>
      <x:c r="AO231" s="15" t="str">
        <x:v>google_index_verified_2026-08-24</x:v>
      </x:c>
    </x:row>
    <x:row r="232">
      <x:c r="A232" s="14" t="str">
        <x:v>W2-063</x:v>
      </x:c>
      <x:c r="B232" s="14" t="str">
        <x:v>Проєктний сигнал — 24.08</x:v>
      </x:c>
      <x:c r="C232" s="14" t="str">
        <x:v>ІВК Енергія</x:v>
      </x:c>
      <x:c r="D232" s="14" t="str">
        <x:v>Газопостачання / котельні</x:v>
      </x:c>
      <x:c r="E232" s="14" t="str">
        <x:v>Expansion discovery</x:v>
      </x:c>
      <x:c r="F232" s="17" t="str">
        <x:v>D1</x:v>
      </x:c>
      <x:c r="G232" s="14" t="str">
        <x:v>energiya.com.ua</x:v>
      </x:c>
      <x:c r="H232" s="14" t="str">
        <x:v>2-тижневий workflow discovery — потрібні вимоги одного проєкту</x:v>
      </x:c>
      <x:c r="I232" s="16" t="n">
        <x:v>1</x:v>
      </x:c>
      <x:c r="J232" s="16" t="n">
        <x:v>5</x:v>
      </x:c>
      <x:c r="K232" s="16" t="n">
        <x:v>5</x:v>
      </x:c>
      <x:c r="L232" s="16" t="n">
        <x:v>4</x:v>
      </x:c>
      <x:c r="M232" s="16" t="n">
        <x:v>5</x:v>
      </x:c>
      <x:c r="N232" s="16" t="n">
        <x:v>5</x:v>
      </x:c>
      <x:c r="O232" s="16" t="n">
        <x:v>3</x:v>
      </x:c>
      <x:c r="P232" s="16" t="n">
        <x:f>IF(COUNT(I232:O232)&lt;7,"",I232*8+J232*3+K232*2+L232*2+M232*2+N232*2+O232)</x:f>
        <x:v>64</x:v>
      </x:c>
      <x:c r="Q232" s="16" t="n">
        <x:f>IF(COUNT(J232:O232)&lt;6,"",J232*5+K232*4+M232*4+L232*3+N232*2+O232*2)</x:f>
        <x:v>93</x:v>
      </x:c>
      <x:c r="R232" s="14" t="str">
        <x:v>medium</x:v>
      </x:c>
      <x:c r="S232" s="14" t="str">
        <x:v>google_index_verified_manual_check_2026-08-24</x:v>
      </x:c>
      <x:c r="T232" s="14" t="str">
        <x:v>indexed_official_page_manual_check</x:v>
      </x:c>
      <x:c r="U232" s="14" t="str">
        <x:v>Новий — не контактували</x:v>
      </x:c>
      <x:c r="V232" s="15" t="str">
        <x:v>2-тижневий discovery: запросити вимоги 1 активного проєкту + 1 знеособлений артефакт</x:v>
      </x:c>
      <x:c r="W232" s="15" t="str">
        <x:v>Директор; головний інженер; керівник ПТО / пусконалагодження</x:v>
      </x:c>
      <x:c r="X232" s="15" t="str">
        <x:v>Проєктування котелень. Пошуковий результат веде на індексовану сторінку корпоративного домену: Проєктування котелень — ІВК Енергія.</x:v>
      </x:c>
      <x:c r="Y232" s="15" t="str">
        <x:v>Трубопроводи, зварні стики, випробування, автоматика й ПНР потребують актів і протоколів до введення.</x:v>
      </x:c>
      <x:c r="Z232" s="15" t="str">
        <x:v>http://www.energiya.com.ua/services/proektirovanie-kotelnyh/</x:v>
      </x:c>
      <x:c r="AA232" s="14" t="str"/>
      <x:c r="AB232" s="14" t="str">
        <x:v>2026-08-24</x:v>
      </x:c>
      <x:c r="AC232" s="14" t="str">
        <x:v>Олександр</x:v>
      </x:c>
      <x:c r="AD232" s="20" t="str"/>
      <x:c r="AE232" s="14" t="str"/>
      <x:c r="AF232" s="14" t="n">
        <x:v>0</x:v>
      </x:c>
      <x:c r="AG232" s="14" t="str">
        <x:v>—</x:v>
      </x:c>
      <x:c r="AH232" s="14" t="n">
        <x:v>0</x:v>
      </x:c>
      <x:c r="AI232" s="14" t="n">
        <x:v>0</x:v>
      </x:c>
      <x:c r="AJ232" s="18" t="n">
        <x:v>0</x:v>
      </x:c>
      <x:c r="AK232" s="14" t="str"/>
      <x:c r="AL232" s="19" t="str"/>
      <x:c r="AM232" s="19" t="str"/>
      <x:c r="AN232" s="15" t="str"/>
      <x:c r="AO232" s="15" t="str">
        <x:v>google_index_verified_manual_check_2026-08-24</x:v>
      </x:c>
    </x:row>
    <x:row r="233">
      <x:c r="A233" s="14" t="str">
        <x:v>W2-064</x:v>
      </x:c>
      <x:c r="B233" s="14" t="str">
        <x:v>Проєктний сигнал — 24.08</x:v>
      </x:c>
      <x:c r="C233" s="14" t="str">
        <x:v>Italgaz</x:v>
      </x:c>
      <x:c r="D233" s="14" t="str">
        <x:v>Газопостачання / котельні</x:v>
      </x:c>
      <x:c r="E233" s="14" t="str">
        <x:v>Expansion discovery</x:v>
      </x:c>
      <x:c r="F233" s="17" t="str">
        <x:v>D1</x:v>
      </x:c>
      <x:c r="G233" s="14" t="str">
        <x:v>italgaz.com.ua</x:v>
      </x:c>
      <x:c r="H233" s="14" t="str">
        <x:v>2-тижневий workflow discovery — потрібні вимоги одного проєкту</x:v>
      </x:c>
      <x:c r="I233" s="16" t="n">
        <x:v>1</x:v>
      </x:c>
      <x:c r="J233" s="16" t="n">
        <x:v>5</x:v>
      </x:c>
      <x:c r="K233" s="16" t="n">
        <x:v>5</x:v>
      </x:c>
      <x:c r="L233" s="16" t="n">
        <x:v>4</x:v>
      </x:c>
      <x:c r="M233" s="16" t="n">
        <x:v>5</x:v>
      </x:c>
      <x:c r="N233" s="16" t="n">
        <x:v>5</x:v>
      </x:c>
      <x:c r="O233" s="16" t="n">
        <x:v>5</x:v>
      </x:c>
      <x:c r="P233" s="16" t="n">
        <x:f>IF(COUNT(I233:O233)&lt;7,"",I233*8+J233*3+K233*2+L233*2+M233*2+N233*2+O233)</x:f>
        <x:v>66</x:v>
      </x:c>
      <x:c r="Q233" s="16" t="n">
        <x:f>IF(COUNT(J233:O233)&lt;6,"",J233*5+K233*4+M233*4+L233*3+N233*2+O233*2)</x:f>
        <x:v>97</x:v>
      </x:c>
      <x:c r="R233" s="14" t="str">
        <x:v>high</x:v>
      </x:c>
      <x:c r="S233" s="14" t="str">
        <x:v>google_index_verified_2026-08-24</x:v>
      </x:c>
      <x:c r="T233" s="14" t="str">
        <x:v>indexed_official_service_page</x:v>
      </x:c>
      <x:c r="U233" s="14" t="str">
        <x:v>Новий — не контактували</x:v>
      </x:c>
      <x:c r="V233" s="15" t="str">
        <x:v>2-тижневий discovery: запросити вимоги 1 активного проєкту + 1 знеособлений артефакт</x:v>
      </x:c>
      <x:c r="W233" s="15" t="str">
        <x:v>Директор; головний інженер; керівник ПТО / пусконалагодження</x:v>
      </x:c>
      <x:c r="X233" s="15" t="str">
        <x:v>Проєктування і монтаж газових котелень. Пошуковий результат веде на індексовану сторінку корпоративного домену: Проєктування та монтаж котелень — Italgaz.</x:v>
      </x:c>
      <x:c r="Y233" s="15" t="str">
        <x:v>Трубопроводи, зварні стики, випробування, автоматика й ПНР потребують актів і протоколів до введення.</x:v>
      </x:c>
      <x:c r="Z233" s="15" t="str">
        <x:v>https://www.italgaz.com.ua/ua/service/design-and-installation-gas-boiler.html</x:v>
      </x:c>
      <x:c r="AA233" s="14" t="str"/>
      <x:c r="AB233" s="14" t="str">
        <x:v>2026-08-24</x:v>
      </x:c>
      <x:c r="AC233" s="14" t="str">
        <x:v>Олександр</x:v>
      </x:c>
      <x:c r="AD233" s="20" t="str"/>
      <x:c r="AE233" s="14" t="str"/>
      <x:c r="AF233" s="14" t="n">
        <x:v>0</x:v>
      </x:c>
      <x:c r="AG233" s="14" t="str">
        <x:v>—</x:v>
      </x:c>
      <x:c r="AH233" s="14" t="n">
        <x:v>0</x:v>
      </x:c>
      <x:c r="AI233" s="14" t="n">
        <x:v>0</x:v>
      </x:c>
      <x:c r="AJ233" s="18" t="n">
        <x:v>0</x:v>
      </x:c>
      <x:c r="AK233" s="14" t="str"/>
      <x:c r="AL233" s="19" t="str"/>
      <x:c r="AM233" s="19" t="str"/>
      <x:c r="AN233" s="15" t="str"/>
      <x:c r="AO233" s="15" t="str">
        <x:v>google_index_verified_2026-08-24</x:v>
      </x:c>
    </x:row>
    <x:row r="234">
      <x:c r="A234" s="14" t="str">
        <x:v>W2-065</x:v>
      </x:c>
      <x:c r="B234" s="14" t="str">
        <x:v>Проєктний сигнал — 24.08</x:v>
      </x:c>
      <x:c r="C234" s="14" t="str">
        <x:v>ІВЦ Європрилад</x:v>
      </x:c>
      <x:c r="D234" s="14" t="str">
        <x:v>Газопостачання / котельні</x:v>
      </x:c>
      <x:c r="E234" s="14" t="str">
        <x:v>Expansion discovery</x:v>
      </x:c>
      <x:c r="F234" s="17" t="str">
        <x:v>D1</x:v>
      </x:c>
      <x:c r="G234" s="14" t="str">
        <x:v>europrylad.com</x:v>
      </x:c>
      <x:c r="H234" s="14" t="str">
        <x:v>2-тижневий workflow discovery — потрібні вимоги одного проєкту</x:v>
      </x:c>
      <x:c r="I234" s="16" t="n">
        <x:v>1</x:v>
      </x:c>
      <x:c r="J234" s="16" t="n">
        <x:v>5</x:v>
      </x:c>
      <x:c r="K234" s="16" t="n">
        <x:v>5</x:v>
      </x:c>
      <x:c r="L234" s="16" t="n">
        <x:v>4</x:v>
      </x:c>
      <x:c r="M234" s="16" t="n">
        <x:v>5</x:v>
      </x:c>
      <x:c r="N234" s="16" t="n">
        <x:v>5</x:v>
      </x:c>
      <x:c r="O234" s="16" t="n">
        <x:v>5</x:v>
      </x:c>
      <x:c r="P234" s="16" t="n">
        <x:f>IF(COUNT(I234:O234)&lt;7,"",I234*8+J234*3+K234*2+L234*2+M234*2+N234*2+O234)</x:f>
        <x:v>66</x:v>
      </x:c>
      <x:c r="Q234" s="16" t="n">
        <x:f>IF(COUNT(J234:O234)&lt;6,"",J234*5+K234*4+M234*4+L234*3+N234*2+O234*2)</x:f>
        <x:v>97</x:v>
      </x:c>
      <x:c r="R234" s="14" t="str">
        <x:v>high</x:v>
      </x:c>
      <x:c r="S234" s="14" t="str">
        <x:v>google_index_verified_2026-08-24</x:v>
      </x:c>
      <x:c r="T234" s="14" t="str">
        <x:v>indexed_official_service_page</x:v>
      </x:c>
      <x:c r="U234" s="14" t="str">
        <x:v>Новий — не контактували</x:v>
      </x:c>
      <x:c r="V234" s="15" t="str">
        <x:v>2-тижневий discovery: запросити вимоги 1 активного проєкту + 1 знеособлений артефакт</x:v>
      </x:c>
      <x:c r="W234" s="15" t="str">
        <x:v>Директор; головний інженер; керівник ПТО / пусконалагодження</x:v>
      </x:c>
      <x:c r="X234" s="15" t="str">
        <x:v>Монтаж котелень на різних видах палива. Пошуковий результат веде на індексовану сторінку корпоративного домену: Монтаж котелень — Європрилад.</x:v>
      </x:c>
      <x:c r="Y234" s="15" t="str">
        <x:v>Трубопроводи, зварні стики, випробування, автоматика й ПНР потребують актів і протоколів до введення.</x:v>
      </x:c>
      <x:c r="Z234" s="15" t="str">
        <x:v>https://europrylad.com/ua/8-poslugy/7-montazh-kotelen</x:v>
      </x:c>
      <x:c r="AA234" s="14" t="str"/>
      <x:c r="AB234" s="14" t="str">
        <x:v>2026-08-24</x:v>
      </x:c>
      <x:c r="AC234" s="14" t="str">
        <x:v>Олександр</x:v>
      </x:c>
      <x:c r="AD234" s="20" t="str"/>
      <x:c r="AE234" s="14" t="str"/>
      <x:c r="AF234" s="14" t="n">
        <x:v>0</x:v>
      </x:c>
      <x:c r="AG234" s="14" t="str">
        <x:v>—</x:v>
      </x:c>
      <x:c r="AH234" s="14" t="n">
        <x:v>0</x:v>
      </x:c>
      <x:c r="AI234" s="14" t="n">
        <x:v>0</x:v>
      </x:c>
      <x:c r="AJ234" s="18" t="n">
        <x:v>0</x:v>
      </x:c>
      <x:c r="AK234" s="14" t="str"/>
      <x:c r="AL234" s="19" t="str"/>
      <x:c r="AM234" s="19" t="str"/>
      <x:c r="AN234" s="15" t="str"/>
      <x:c r="AO234" s="15" t="str">
        <x:v>google_index_verified_2026-08-24</x:v>
      </x:c>
    </x:row>
    <x:row r="235">
      <x:c r="A235" s="14" t="str">
        <x:v>W2-066</x:v>
      </x:c>
      <x:c r="B235" s="14" t="str">
        <x:v>Проєктний сигнал — 24.08</x:v>
      </x:c>
      <x:c r="C235" s="14" t="str">
        <x:v>Енерго-Інвест</x:v>
      </x:c>
      <x:c r="D235" s="14" t="str">
        <x:v>Газопостачання / котельні</x:v>
      </x:c>
      <x:c r="E235" s="14" t="str">
        <x:v>Expansion discovery</x:v>
      </x:c>
      <x:c r="F235" s="17" t="str">
        <x:v>D1</x:v>
      </x:c>
      <x:c r="G235" s="14" t="str">
        <x:v>energo-invest.com.ua</x:v>
      </x:c>
      <x:c r="H235" s="14" t="str">
        <x:v>2-тижневий workflow discovery — потрібні вимоги одного проєкту</x:v>
      </x:c>
      <x:c r="I235" s="16" t="n">
        <x:v>1</x:v>
      </x:c>
      <x:c r="J235" s="16" t="n">
        <x:v>5</x:v>
      </x:c>
      <x:c r="K235" s="16" t="n">
        <x:v>5</x:v>
      </x:c>
      <x:c r="L235" s="16" t="n">
        <x:v>4</x:v>
      </x:c>
      <x:c r="M235" s="16" t="n">
        <x:v>5</x:v>
      </x:c>
      <x:c r="N235" s="16" t="n">
        <x:v>5</x:v>
      </x:c>
      <x:c r="O235" s="16" t="n">
        <x:v>3</x:v>
      </x:c>
      <x:c r="P235" s="16" t="n">
        <x:f>IF(COUNT(I235:O235)&lt;7,"",I235*8+J235*3+K235*2+L235*2+M235*2+N235*2+O235)</x:f>
        <x:v>64</x:v>
      </x:c>
      <x:c r="Q235" s="16" t="n">
        <x:f>IF(COUNT(J235:O235)&lt;6,"",J235*5+K235*4+M235*4+L235*3+N235*2+O235*2)</x:f>
        <x:v>93</x:v>
      </x:c>
      <x:c r="R235" s="14" t="str">
        <x:v>medium</x:v>
      </x:c>
      <x:c r="S235" s="14" t="str">
        <x:v>google_index_verified_manual_check_2026-08-24</x:v>
      </x:c>
      <x:c r="T235" s="14" t="str">
        <x:v>indexed_official_page_manual_check</x:v>
      </x:c>
      <x:c r="U235" s="14" t="str">
        <x:v>Новий — не контактували</x:v>
      </x:c>
      <x:c r="V235" s="15" t="str">
        <x:v>2-тижневий discovery: запросити вимоги 1 активного проєкту + 1 знеособлений артефакт</x:v>
      </x:c>
      <x:c r="W235" s="15" t="str">
        <x:v>Директор; головний інженер; керівник ПТО / пусконалагодження</x:v>
      </x:c>
      <x:c r="X235" s="15" t="str">
        <x:v>Проєктування теплопостачання. Пошуковий результат веде на індексовану сторінку корпоративного домену: Теплопостачання та опалення — Енерго-Інвест.</x:v>
      </x:c>
      <x:c r="Y235" s="15" t="str">
        <x:v>Трубопроводи, зварні стики, випробування, автоматика й ПНР потребують актів і протоколів до введення.</x:v>
      </x:c>
      <x:c r="Z235" s="15" t="str">
        <x:v>http://www.energo-invest.com.ua/designing/heating/</x:v>
      </x:c>
      <x:c r="AA235" s="14" t="str"/>
      <x:c r="AB235" s="14" t="str">
        <x:v>2026-08-24</x:v>
      </x:c>
      <x:c r="AC235" s="14" t="str">
        <x:v>Олександр</x:v>
      </x:c>
      <x:c r="AD235" s="20" t="str"/>
      <x:c r="AE235" s="14" t="str"/>
      <x:c r="AF235" s="14" t="n">
        <x:v>0</x:v>
      </x:c>
      <x:c r="AG235" s="14" t="str">
        <x:v>—</x:v>
      </x:c>
      <x:c r="AH235" s="14" t="n">
        <x:v>0</x:v>
      </x:c>
      <x:c r="AI235" s="14" t="n">
        <x:v>0</x:v>
      </x:c>
      <x:c r="AJ235" s="18" t="n">
        <x:v>0</x:v>
      </x:c>
      <x:c r="AK235" s="14" t="str"/>
      <x:c r="AL235" s="19" t="str"/>
      <x:c r="AM235" s="19" t="str"/>
      <x:c r="AN235" s="15" t="str"/>
      <x:c r="AO235" s="15" t="str">
        <x:v>google_index_verified_manual_check_2026-08-24</x:v>
      </x:c>
    </x:row>
    <x:row r="236">
      <x:c r="A236" s="14" t="str">
        <x:v>W2-067</x:v>
      </x:c>
      <x:c r="B236" s="14" t="str">
        <x:v>Проєктний сигнал — 24.08</x:v>
      </x:c>
      <x:c r="C236" s="14" t="str">
        <x:v>Тестрайт</x:v>
      </x:c>
      <x:c r="D236" s="14" t="str">
        <x:v>Газопостачання / котельні</x:v>
      </x:c>
      <x:c r="E236" s="14" t="str">
        <x:v>Expansion discovery</x:v>
      </x:c>
      <x:c r="F236" s="17" t="str">
        <x:v>D1</x:v>
      </x:c>
      <x:c r="G236" s="14" t="str">
        <x:v>testrite.com.ua</x:v>
      </x:c>
      <x:c r="H236" s="14" t="str">
        <x:v>2-тижневий workflow discovery — потрібні вимоги одного проєкту</x:v>
      </x:c>
      <x:c r="I236" s="16" t="n">
        <x:v>1</x:v>
      </x:c>
      <x:c r="J236" s="16" t="n">
        <x:v>5</x:v>
      </x:c>
      <x:c r="K236" s="16" t="n">
        <x:v>5</x:v>
      </x:c>
      <x:c r="L236" s="16" t="n">
        <x:v>4</x:v>
      </x:c>
      <x:c r="M236" s="16" t="n">
        <x:v>5</x:v>
      </x:c>
      <x:c r="N236" s="16" t="n">
        <x:v>5</x:v>
      </x:c>
      <x:c r="O236" s="16" t="n">
        <x:v>5</x:v>
      </x:c>
      <x:c r="P236" s="16" t="n">
        <x:f>IF(COUNT(I236:O236)&lt;7,"",I236*8+J236*3+K236*2+L236*2+M236*2+N236*2+O236)</x:f>
        <x:v>66</x:v>
      </x:c>
      <x:c r="Q236" s="16" t="n">
        <x:f>IF(COUNT(J236:O236)&lt;6,"",J236*5+K236*4+M236*4+L236*3+N236*2+O236*2)</x:f>
        <x:v>97</x:v>
      </x:c>
      <x:c r="R236" s="14" t="str">
        <x:v>high</x:v>
      </x:c>
      <x:c r="S236" s="14" t="str">
        <x:v>google_index_verified_2026-08-24</x:v>
      </x:c>
      <x:c r="T236" s="14" t="str">
        <x:v>indexed_official_service_page</x:v>
      </x:c>
      <x:c r="U236" s="14" t="str">
        <x:v>Новий — не контактували</x:v>
      </x:c>
      <x:c r="V236" s="15" t="str">
        <x:v>2-тижневий discovery: запросити вимоги 1 активного проєкту + 1 знеособлений артефакт</x:v>
      </x:c>
      <x:c r="W236" s="15" t="str">
        <x:v>Директор; головний інженер; керівник ПТО / пусконалагодження</x:v>
      </x:c>
      <x:c r="X236" s="15" t="str">
        <x:v>Газопостачання від проєкту до монтажу. Пошуковий результат веде на індексовану сторінку корпоративного домену: Автономне газопостачання — Тестрайт.</x:v>
      </x:c>
      <x:c r="Y236" s="15" t="str">
        <x:v>Трубопроводи, зварні стики, випробування, автоматика й ПНР потребують актів і протоколів до введення.</x:v>
      </x:c>
      <x:c r="Z236" s="15" t="str">
        <x:v>https://www.testrite.com.ua/ua/avtonomnoe-gazosnabjenye-doma.php</x:v>
      </x:c>
      <x:c r="AA236" s="14" t="str"/>
      <x:c r="AB236" s="14" t="str">
        <x:v>2026-08-24</x:v>
      </x:c>
      <x:c r="AC236" s="14" t="str">
        <x:v>Олександр</x:v>
      </x:c>
      <x:c r="AD236" s="20" t="str"/>
      <x:c r="AE236" s="14" t="str"/>
      <x:c r="AF236" s="14" t="n">
        <x:v>0</x:v>
      </x:c>
      <x:c r="AG236" s="14" t="str">
        <x:v>—</x:v>
      </x:c>
      <x:c r="AH236" s="14" t="n">
        <x:v>0</x:v>
      </x:c>
      <x:c r="AI236" s="14" t="n">
        <x:v>0</x:v>
      </x:c>
      <x:c r="AJ236" s="18" t="n">
        <x:v>0</x:v>
      </x:c>
      <x:c r="AK236" s="14" t="str"/>
      <x:c r="AL236" s="19" t="str"/>
      <x:c r="AM236" s="19" t="str"/>
      <x:c r="AN236" s="15" t="str"/>
      <x:c r="AO236" s="15" t="str">
        <x:v>google_index_verified_2026-08-24</x:v>
      </x:c>
    </x:row>
    <x:row r="237">
      <x:c r="A237" s="14" t="str">
        <x:v>W2-068</x:v>
      </x:c>
      <x:c r="B237" s="14" t="str">
        <x:v>Проєктний сигнал — 24.08</x:v>
      </x:c>
      <x:c r="C237" s="14" t="str">
        <x:v>Gaz-Med</x:v>
      </x:c>
      <x:c r="D237" s="14" t="str">
        <x:v>Медичні гази</x:v>
      </x:c>
      <x:c r="E237" s="14" t="str">
        <x:v>Expansion discovery</x:v>
      </x:c>
      <x:c r="F237" s="17" t="str">
        <x:v>D1</x:v>
      </x:c>
      <x:c r="G237" s="14" t="str">
        <x:v>gaz-med.com.ua</x:v>
      </x:c>
      <x:c r="H237" s="14" t="str">
        <x:v>2-тижневий workflow discovery — потрібні вимоги одного проєкту</x:v>
      </x:c>
      <x:c r="I237" s="16" t="n">
        <x:v>1</x:v>
      </x:c>
      <x:c r="J237" s="16" t="n">
        <x:v>5</x:v>
      </x:c>
      <x:c r="K237" s="16" t="n">
        <x:v>5</x:v>
      </x:c>
      <x:c r="L237" s="16" t="n">
        <x:v>4</x:v>
      </x:c>
      <x:c r="M237" s="16" t="n">
        <x:v>5</x:v>
      </x:c>
      <x:c r="N237" s="16" t="n">
        <x:v>5</x:v>
      </x:c>
      <x:c r="O237" s="16" t="n">
        <x:v>5</x:v>
      </x:c>
      <x:c r="P237" s="16" t="n">
        <x:f>IF(COUNT(I237:O237)&lt;7,"",I237*8+J237*3+K237*2+L237*2+M237*2+N237*2+O237)</x:f>
        <x:v>66</x:v>
      </x:c>
      <x:c r="Q237" s="16" t="n">
        <x:f>IF(COUNT(J237:O237)&lt;6,"",J237*5+K237*4+M237*4+L237*3+N237*2+O237*2)</x:f>
        <x:v>97</x:v>
      </x:c>
      <x:c r="R237" s="14" t="str">
        <x:v>high</x:v>
      </x:c>
      <x:c r="S237" s="14" t="str">
        <x:v>google_index_verified_2026-08-24</x:v>
      </x:c>
      <x:c r="T237" s="14" t="str">
        <x:v>indexed_official_service_page</x:v>
      </x:c>
      <x:c r="U237" s="14" t="str">
        <x:v>Новий — не контактували</x:v>
      </x:c>
      <x:c r="V237" s="15" t="str">
        <x:v>2-тижневий discovery: запросити вимоги 1 активного проєкту + 1 знеособлений артефакт</x:v>
      </x:c>
      <x:c r="W237" s="15" t="str">
        <x:v>Комерційний директор; керівник проєктів; ПТО / відповідальний за якість</x:v>
      </x:c>
      <x:c r="X237" s="15" t="str">
        <x:v>Портфоліо систем медичних газів. Пошуковий результат веде на індексовану сторінку корпоративного домену: Реалізовані проєкти медичного газопостачання — Gaz-Med.</x:v>
      </x:c>
      <x:c r="Y237" s="15" t="str">
        <x:v>Мідні трубопроводи, пайка, маркування, чистота, випробування й валідація утворюють критичний приймальний пакет.</x:v>
      </x:c>
      <x:c r="Z237" s="15" t="str">
        <x:v>https://gaz-med.com.ua/realizovani-proekty/</x:v>
      </x:c>
      <x:c r="AA237" s="14" t="str"/>
      <x:c r="AB237" s="14" t="str">
        <x:v>2026-08-24</x:v>
      </x:c>
      <x:c r="AC237" s="14" t="str">
        <x:v>Олександр</x:v>
      </x:c>
      <x:c r="AD237" s="20" t="str"/>
      <x:c r="AE237" s="14" t="str"/>
      <x:c r="AF237" s="14" t="n">
        <x:v>0</x:v>
      </x:c>
      <x:c r="AG237" s="14" t="str">
        <x:v>—</x:v>
      </x:c>
      <x:c r="AH237" s="14" t="n">
        <x:v>0</x:v>
      </x:c>
      <x:c r="AI237" s="14" t="n">
        <x:v>0</x:v>
      </x:c>
      <x:c r="AJ237" s="18" t="n">
        <x:v>0</x:v>
      </x:c>
      <x:c r="AK237" s="14" t="str"/>
      <x:c r="AL237" s="19" t="str"/>
      <x:c r="AM237" s="19" t="str"/>
      <x:c r="AN237" s="15" t="str"/>
      <x:c r="AO237" s="15" t="str">
        <x:v>google_index_verified_2026-08-24</x:v>
      </x:c>
    </x:row>
    <x:row r="238">
      <x:c r="A238" s="14" t="str">
        <x:v>W2-069</x:v>
      </x:c>
      <x:c r="B238" s="14" t="str">
        <x:v>Проєктний сигнал — 24.08</x:v>
      </x:c>
      <x:c r="C238" s="14" t="str">
        <x:v>СпецКиївБуд Medical</x:v>
      </x:c>
      <x:c r="D238" s="14" t="str">
        <x:v>Медичні гази</x:v>
      </x:c>
      <x:c r="E238" s="14" t="str">
        <x:v>Expansion discovery</x:v>
      </x:c>
      <x:c r="F238" s="17" t="str">
        <x:v>D1</x:v>
      </x:c>
      <x:c r="G238" s="14" t="str">
        <x:v>medical.skb.kiev.ua</x:v>
      </x:c>
      <x:c r="H238" s="14" t="str">
        <x:v>2-тижневий workflow discovery — потрібні вимоги одного проєкту</x:v>
      </x:c>
      <x:c r="I238" s="16" t="n">
        <x:v>1</x:v>
      </x:c>
      <x:c r="J238" s="16" t="n">
        <x:v>5</x:v>
      </x:c>
      <x:c r="K238" s="16" t="n">
        <x:v>5</x:v>
      </x:c>
      <x:c r="L238" s="16" t="n">
        <x:v>4</x:v>
      </x:c>
      <x:c r="M238" s="16" t="n">
        <x:v>5</x:v>
      </x:c>
      <x:c r="N238" s="16" t="n">
        <x:v>5</x:v>
      </x:c>
      <x:c r="O238" s="16" t="n">
        <x:v>5</x:v>
      </x:c>
      <x:c r="P238" s="16" t="n">
        <x:f>IF(COUNT(I238:O238)&lt;7,"",I238*8+J238*3+K238*2+L238*2+M238*2+N238*2+O238)</x:f>
        <x:v>66</x:v>
      </x:c>
      <x:c r="Q238" s="16" t="n">
        <x:f>IF(COUNT(J238:O238)&lt;6,"",J238*5+K238*4+M238*4+L238*3+N238*2+O238*2)</x:f>
        <x:v>97</x:v>
      </x:c>
      <x:c r="R238" s="14" t="str">
        <x:v>high</x:v>
      </x:c>
      <x:c r="S238" s="14" t="str">
        <x:v>google_index_verified_2026-08-24</x:v>
      </x:c>
      <x:c r="T238" s="14" t="str">
        <x:v>indexed_official_service_page</x:v>
      </x:c>
      <x:c r="U238" s="14" t="str">
        <x:v>Новий — не контактували</x:v>
      </x:c>
      <x:c r="V238" s="15" t="str">
        <x:v>2-тижневий discovery: запросити вимоги 1 активного проєкту + 1 знеособлений артефакт</x:v>
      </x:c>
      <x:c r="W238" s="15" t="str">
        <x:v>Комерційний директор; керівник проєктів; ПТО / відповідальний за якість</x:v>
      </x:c>
      <x:c r="X238" s="15" t="str">
        <x:v>Проєктування і монтаж медичних газів. Пошуковий результат веде на індексовану сторінку корпоративного домену: Медичне газопостачання — СпецКиївБуд Medical.</x:v>
      </x:c>
      <x:c r="Y238" s="15" t="str">
        <x:v>Мідні трубопроводи, пайка, маркування, чистота, випробування й валідація утворюють критичний приймальний пакет.</x:v>
      </x:c>
      <x:c r="Z238" s="15" t="str">
        <x:v>https://medical.skb.kiev.ua/posluhy-medychne-hazopostachannia/</x:v>
      </x:c>
      <x:c r="AA238" s="14" t="str"/>
      <x:c r="AB238" s="14" t="str">
        <x:v>2026-08-24</x:v>
      </x:c>
      <x:c r="AC238" s="14" t="str">
        <x:v>Олександр</x:v>
      </x:c>
      <x:c r="AD238" s="20" t="str"/>
      <x:c r="AE238" s="14" t="str"/>
      <x:c r="AF238" s="14" t="n">
        <x:v>0</x:v>
      </x:c>
      <x:c r="AG238" s="14" t="str">
        <x:v>—</x:v>
      </x:c>
      <x:c r="AH238" s="14" t="n">
        <x:v>0</x:v>
      </x:c>
      <x:c r="AI238" s="14" t="n">
        <x:v>0</x:v>
      </x:c>
      <x:c r="AJ238" s="18" t="n">
        <x:v>0</x:v>
      </x:c>
      <x:c r="AK238" s="14" t="str"/>
      <x:c r="AL238" s="19" t="str"/>
      <x:c r="AM238" s="19" t="str"/>
      <x:c r="AN238" s="15" t="str"/>
      <x:c r="AO238" s="15" t="str">
        <x:v>google_index_verified_2026-08-24</x:v>
      </x:c>
    </x:row>
    <x:row r="239">
      <x:c r="A239" s="14" t="str">
        <x:v>W2-070</x:v>
      </x:c>
      <x:c r="B239" s="14" t="str">
        <x:v>Проєктний сигнал — 24.08</x:v>
      </x:c>
      <x:c r="C239" s="14" t="str">
        <x:v>WestMed</x:v>
      </x:c>
      <x:c r="D239" s="14" t="str">
        <x:v>Медичні гази</x:v>
      </x:c>
      <x:c r="E239" s="14" t="str">
        <x:v>Expansion discovery</x:v>
      </x:c>
      <x:c r="F239" s="17" t="str">
        <x:v>D1</x:v>
      </x:c>
      <x:c r="G239" s="14" t="str">
        <x:v>westmed.com.ua</x:v>
      </x:c>
      <x:c r="H239" s="14" t="str">
        <x:v>2-тижневий workflow discovery — потрібні вимоги одного проєкту</x:v>
      </x:c>
      <x:c r="I239" s="16" t="n">
        <x:v>1</x:v>
      </x:c>
      <x:c r="J239" s="16" t="n">
        <x:v>5</x:v>
      </x:c>
      <x:c r="K239" s="16" t="n">
        <x:v>5</x:v>
      </x:c>
      <x:c r="L239" s="16" t="n">
        <x:v>4</x:v>
      </x:c>
      <x:c r="M239" s="16" t="n">
        <x:v>5</x:v>
      </x:c>
      <x:c r="N239" s="16" t="n">
        <x:v>5</x:v>
      </x:c>
      <x:c r="O239" s="16" t="n">
        <x:v>5</x:v>
      </x:c>
      <x:c r="P239" s="16" t="n">
        <x:f>IF(COUNT(I239:O239)&lt;7,"",I239*8+J239*3+K239*2+L239*2+M239*2+N239*2+O239)</x:f>
        <x:v>66</x:v>
      </x:c>
      <x:c r="Q239" s="16" t="n">
        <x:f>IF(COUNT(J239:O239)&lt;6,"",J239*5+K239*4+M239*4+L239*3+N239*2+O239*2)</x:f>
        <x:v>97</x:v>
      </x:c>
      <x:c r="R239" s="14" t="str">
        <x:v>high</x:v>
      </x:c>
      <x:c r="S239" s="14" t="str">
        <x:v>google_index_verified_2026-08-24</x:v>
      </x:c>
      <x:c r="T239" s="14" t="str">
        <x:v>indexed_official_service_page</x:v>
      </x:c>
      <x:c r="U239" s="14" t="str">
        <x:v>Новий — не контактували</x:v>
      </x:c>
      <x:c r="V239" s="15" t="str">
        <x:v>2-тижневий discovery: запросити вимоги 1 активного проєкту + 1 знеособлений артефакт</x:v>
      </x:c>
      <x:c r="W239" s="15" t="str">
        <x:v>Комерційний директор; керівник проєктів; ПТО / відповідальний за якість</x:v>
      </x:c>
      <x:c r="X239" s="15" t="str">
        <x:v>Проєктування медичних газів. Пошуковий результат веде на індексовану сторінку корпоративного домену: Проєктування систем медичного газопостачання — WestMed.</x:v>
      </x:c>
      <x:c r="Y239" s="15" t="str">
        <x:v>Мідні трубопроводи, пайка, маркування, чистота, випробування й валідація утворюють критичний приймальний пакет.</x:v>
      </x:c>
      <x:c r="Z239" s="15" t="str">
        <x:v>https://westmed.com.ua/proektuvannya-medychnyh-zakladiv/</x:v>
      </x:c>
      <x:c r="AA239" s="14" t="str"/>
      <x:c r="AB239" s="14" t="str">
        <x:v>2026-08-24</x:v>
      </x:c>
      <x:c r="AC239" s="14" t="str">
        <x:v>Олександр</x:v>
      </x:c>
      <x:c r="AD239" s="20" t="str"/>
      <x:c r="AE239" s="14" t="str"/>
      <x:c r="AF239" s="14" t="n">
        <x:v>0</x:v>
      </x:c>
      <x:c r="AG239" s="14" t="str">
        <x:v>—</x:v>
      </x:c>
      <x:c r="AH239" s="14" t="n">
        <x:v>0</x:v>
      </x:c>
      <x:c r="AI239" s="14" t="n">
        <x:v>0</x:v>
      </x:c>
      <x:c r="AJ239" s="18" t="n">
        <x:v>0</x:v>
      </x:c>
      <x:c r="AK239" s="14" t="str"/>
      <x:c r="AL239" s="19" t="str"/>
      <x:c r="AM239" s="19" t="str"/>
      <x:c r="AN239" s="15" t="str"/>
      <x:c r="AO239" s="15" t="str">
        <x:v>google_index_verified_2026-08-24</x:v>
      </x:c>
    </x:row>
    <x:row r="240">
      <x:c r="A240" s="14" t="str">
        <x:v>W2-071</x:v>
      </x:c>
      <x:c r="B240" s="14" t="str">
        <x:v>Проєктний сигнал — 24.08</x:v>
      </x:c>
      <x:c r="C240" s="14" t="str">
        <x:v>Мегасан-Україна</x:v>
      </x:c>
      <x:c r="D240" s="14" t="str">
        <x:v>Медичні гази</x:v>
      </x:c>
      <x:c r="E240" s="14" t="str">
        <x:v>Expansion discovery</x:v>
      </x:c>
      <x:c r="F240" s="17" t="str">
        <x:v>D1</x:v>
      </x:c>
      <x:c r="G240" s="14" t="str">
        <x:v>megasanukraine.com.ua</x:v>
      </x:c>
      <x:c r="H240" s="14" t="str">
        <x:v>2-тижневий workflow discovery — потрібні вимоги одного проєкту</x:v>
      </x:c>
      <x:c r="I240" s="16" t="n">
        <x:v>1</x:v>
      </x:c>
      <x:c r="J240" s="16" t="n">
        <x:v>5</x:v>
      </x:c>
      <x:c r="K240" s="16" t="n">
        <x:v>5</x:v>
      </x:c>
      <x:c r="L240" s="16" t="n">
        <x:v>4</x:v>
      </x:c>
      <x:c r="M240" s="16" t="n">
        <x:v>5</x:v>
      </x:c>
      <x:c r="N240" s="16" t="n">
        <x:v>5</x:v>
      </x:c>
      <x:c r="O240" s="16" t="n">
        <x:v>5</x:v>
      </x:c>
      <x:c r="P240" s="16" t="n">
        <x:f>IF(COUNT(I240:O240)&lt;7,"",I240*8+J240*3+K240*2+L240*2+M240*2+N240*2+O240)</x:f>
        <x:v>66</x:v>
      </x:c>
      <x:c r="Q240" s="16" t="n">
        <x:f>IF(COUNT(J240:O240)&lt;6,"",J240*5+K240*4+M240*4+L240*3+N240*2+O240*2)</x:f>
        <x:v>97</x:v>
      </x:c>
      <x:c r="R240" s="14" t="str">
        <x:v>high</x:v>
      </x:c>
      <x:c r="S240" s="14" t="str">
        <x:v>google_index_verified_2026-08-24</x:v>
      </x:c>
      <x:c r="T240" s="14" t="str">
        <x:v>indexed_official_service_page</x:v>
      </x:c>
      <x:c r="U240" s="14" t="str">
        <x:v>Новий — не контактували</x:v>
      </x:c>
      <x:c r="V240" s="15" t="str">
        <x:v>2-тижневий discovery: запросити вимоги 1 активного проєкту + 1 знеособлений артефакт</x:v>
      </x:c>
      <x:c r="W240" s="15" t="str">
        <x:v>Комерційний директор; керівник проєктів; ПТО / відповідальний за якість</x:v>
      </x:c>
      <x:c r="X240" s="15" t="str">
        <x:v>Проєктування систем медичних газів. Пошуковий результат веде на індексовану сторінку корпоративного домену: Проєктування — Мегасан-Україна.</x:v>
      </x:c>
      <x:c r="Y240" s="15" t="str">
        <x:v>Мідні трубопроводи, пайка, маркування, чистота, випробування й валідація утворюють критичний приймальний пакет.</x:v>
      </x:c>
      <x:c r="Z240" s="15" t="str">
        <x:v>https://megasanukraine.com.ua/proektuvannya</x:v>
      </x:c>
      <x:c r="AA240" s="14" t="str"/>
      <x:c r="AB240" s="14" t="str">
        <x:v>2026-08-24</x:v>
      </x:c>
      <x:c r="AC240" s="14" t="str">
        <x:v>Олександр</x:v>
      </x:c>
      <x:c r="AD240" s="20" t="str"/>
      <x:c r="AE240" s="14" t="str"/>
      <x:c r="AF240" s="14" t="n">
        <x:v>0</x:v>
      </x:c>
      <x:c r="AG240" s="14" t="str">
        <x:v>—</x:v>
      </x:c>
      <x:c r="AH240" s="14" t="n">
        <x:v>0</x:v>
      </x:c>
      <x:c r="AI240" s="14" t="n">
        <x:v>0</x:v>
      </x:c>
      <x:c r="AJ240" s="18" t="n">
        <x:v>0</x:v>
      </x:c>
      <x:c r="AK240" s="14" t="str"/>
      <x:c r="AL240" s="19" t="str"/>
      <x:c r="AM240" s="19" t="str"/>
      <x:c r="AN240" s="15" t="str"/>
      <x:c r="AO240" s="15" t="str">
        <x:v>google_index_verified_2026-08-24</x:v>
      </x:c>
    </x:row>
    <x:row r="241">
      <x:c r="A241" s="14" t="str">
        <x:v>W2-072</x:v>
      </x:c>
      <x:c r="B241" s="14" t="str">
        <x:v>Проєктний сигнал — 24.08</x:v>
      </x:c>
      <x:c r="C241" s="14" t="str">
        <x:v>Віола Медтехніка</x:v>
      </x:c>
      <x:c r="D241" s="14" t="str">
        <x:v>Медичні гази</x:v>
      </x:c>
      <x:c r="E241" s="14" t="str">
        <x:v>Expansion discovery</x:v>
      </x:c>
      <x:c r="F241" s="17" t="str">
        <x:v>D1</x:v>
      </x:c>
      <x:c r="G241" s="14" t="str">
        <x:v>viola.net.ua</x:v>
      </x:c>
      <x:c r="H241" s="14" t="str">
        <x:v>2-тижневий workflow discovery — потрібні вимоги одного проєкту</x:v>
      </x:c>
      <x:c r="I241" s="16" t="n">
        <x:v>1</x:v>
      </x:c>
      <x:c r="J241" s="16" t="n">
        <x:v>5</x:v>
      </x:c>
      <x:c r="K241" s="16" t="n">
        <x:v>5</x:v>
      </x:c>
      <x:c r="L241" s="16" t="n">
        <x:v>4</x:v>
      </x:c>
      <x:c r="M241" s="16" t="n">
        <x:v>5</x:v>
      </x:c>
      <x:c r="N241" s="16" t="n">
        <x:v>5</x:v>
      </x:c>
      <x:c r="O241" s="16" t="n">
        <x:v>5</x:v>
      </x:c>
      <x:c r="P241" s="16" t="n">
        <x:f>IF(COUNT(I241:O241)&lt;7,"",I241*8+J241*3+K241*2+L241*2+M241*2+N241*2+O241)</x:f>
        <x:v>66</x:v>
      </x:c>
      <x:c r="Q241" s="16" t="n">
        <x:f>IF(COUNT(J241:O241)&lt;6,"",J241*5+K241*4+M241*4+L241*3+N241*2+O241*2)</x:f>
        <x:v>97</x:v>
      </x:c>
      <x:c r="R241" s="14" t="str">
        <x:v>high</x:v>
      </x:c>
      <x:c r="S241" s="14" t="str">
        <x:v>google_index_verified_2026-08-24</x:v>
      </x:c>
      <x:c r="T241" s="14" t="str">
        <x:v>indexed_official_service_page</x:v>
      </x:c>
      <x:c r="U241" s="14" t="str">
        <x:v>Новий — не контактували</x:v>
      </x:c>
      <x:c r="V241" s="15" t="str">
        <x:v>2-тижневий discovery: запросити вимоги 1 активного проєкту + 1 знеособлений артефакт</x:v>
      </x:c>
      <x:c r="W241" s="15" t="str">
        <x:v>Комерційний директор; керівник проєктів; ПТО / відповідальний за якість</x:v>
      </x:c>
      <x:c r="X241" s="15" t="str">
        <x:v>Реконструкція систем медичних газів. Пошуковий результат веде на індексовану сторінку корпоративного домену: Проєктування та монтаж медичних газів — Віола.</x:v>
      </x:c>
      <x:c r="Y241" s="15" t="str">
        <x:v>Мідні трубопроводи, пайка, маркування, чистота, випробування й валідація утворюють критичний приймальний пакет.</x:v>
      </x:c>
      <x:c r="Z241" s="15" t="str">
        <x:v>https://viola.net.ua/ua/rekonstrukc%D1%96ya-sistem-medichnih-gaz%D1%96v</x:v>
      </x:c>
      <x:c r="AA241" s="14" t="str"/>
      <x:c r="AB241" s="14" t="str">
        <x:v>2026-08-24</x:v>
      </x:c>
      <x:c r="AC241" s="14" t="str">
        <x:v>Олександр</x:v>
      </x:c>
      <x:c r="AD241" s="20" t="str"/>
      <x:c r="AE241" s="14" t="str"/>
      <x:c r="AF241" s="14" t="n">
        <x:v>0</x:v>
      </x:c>
      <x:c r="AG241" s="14" t="str">
        <x:v>—</x:v>
      </x:c>
      <x:c r="AH241" s="14" t="n">
        <x:v>0</x:v>
      </x:c>
      <x:c r="AI241" s="14" t="n">
        <x:v>0</x:v>
      </x:c>
      <x:c r="AJ241" s="18" t="n">
        <x:v>0</x:v>
      </x:c>
      <x:c r="AK241" s="14" t="str"/>
      <x:c r="AL241" s="19" t="str"/>
      <x:c r="AM241" s="19" t="str"/>
      <x:c r="AN241" s="15" t="str"/>
      <x:c r="AO241" s="15" t="str">
        <x:v>google_index_verified_2026-08-24</x:v>
      </x:c>
    </x:row>
    <x:row r="242">
      <x:c r="A242" s="14" t="str">
        <x:v>W2-073</x:v>
      </x:c>
      <x:c r="B242" s="14" t="str">
        <x:v>Проєктний сигнал — 24.08</x:v>
      </x:c>
      <x:c r="C242" s="14" t="str">
        <x:v>DM Project</x:v>
      </x:c>
      <x:c r="D242" s="14" t="str">
        <x:v>Медичні гази</x:v>
      </x:c>
      <x:c r="E242" s="14" t="str">
        <x:v>Expansion discovery</x:v>
      </x:c>
      <x:c r="F242" s="17" t="str">
        <x:v>D1</x:v>
      </x:c>
      <x:c r="G242" s="14" t="str">
        <x:v>dm-project.com.ua</x:v>
      </x:c>
      <x:c r="H242" s="14" t="str">
        <x:v>2-тижневий workflow discovery — потрібні вимоги одного проєкту</x:v>
      </x:c>
      <x:c r="I242" s="16" t="n">
        <x:v>1</x:v>
      </x:c>
      <x:c r="J242" s="16" t="n">
        <x:v>5</x:v>
      </x:c>
      <x:c r="K242" s="16" t="n">
        <x:v>5</x:v>
      </x:c>
      <x:c r="L242" s="16" t="n">
        <x:v>4</x:v>
      </x:c>
      <x:c r="M242" s="16" t="n">
        <x:v>5</x:v>
      </x:c>
      <x:c r="N242" s="16" t="n">
        <x:v>5</x:v>
      </x:c>
      <x:c r="O242" s="16" t="n">
        <x:v>4</x:v>
      </x:c>
      <x:c r="P242" s="16" t="n">
        <x:f>IF(COUNT(I242:O242)&lt;7,"",I242*8+J242*3+K242*2+L242*2+M242*2+N242*2+O242)</x:f>
        <x:v>65</x:v>
      </x:c>
      <x:c r="Q242" s="16" t="n">
        <x:f>IF(COUNT(J242:O242)&lt;6,"",J242*5+K242*4+M242*4+L242*3+N242*2+O242*2)</x:f>
        <x:v>95</x:v>
      </x:c>
      <x:c r="R242" s="14" t="str">
        <x:v>medium</x:v>
      </x:c>
      <x:c r="S242" s="14" t="str">
        <x:v>google_index_verified_manual_check_2026-08-24</x:v>
      </x:c>
      <x:c r="T242" s="14" t="str">
        <x:v>indexed_official_page_manual_check</x:v>
      </x:c>
      <x:c r="U242" s="14" t="str">
        <x:v>Новий — не контактували</x:v>
      </x:c>
      <x:c r="V242" s="15" t="str">
        <x:v>2-тижневий discovery: запросити вимоги 1 активного проєкту + 1 знеособлений артефакт</x:v>
      </x:c>
      <x:c r="W242" s="15" t="str">
        <x:v>Комерційний директор; керівник проєктів; ПТО / відповідальний за якість</x:v>
      </x:c>
      <x:c r="X242" s="15" t="str">
        <x:v>Проєктування та реалізація медичних інженерних систем. Пошуковий результат веде на індексовану сторінку корпоративного домену: DM Project.</x:v>
      </x:c>
      <x:c r="Y242" s="15" t="str">
        <x:v>Мідні трубопроводи, пайка, маркування, чистота, випробування й валідація утворюють критичний приймальний пакет.</x:v>
      </x:c>
      <x:c r="Z242" s="15" t="str">
        <x:v>https://dm-project.com.ua/</x:v>
      </x:c>
      <x:c r="AA242" s="14" t="str"/>
      <x:c r="AB242" s="14" t="str">
        <x:v>2026-08-24</x:v>
      </x:c>
      <x:c r="AC242" s="14" t="str">
        <x:v>Олександр</x:v>
      </x:c>
      <x:c r="AD242" s="20" t="str"/>
      <x:c r="AE242" s="14" t="str"/>
      <x:c r="AF242" s="14" t="n">
        <x:v>0</x:v>
      </x:c>
      <x:c r="AG242" s="14" t="str">
        <x:v>—</x:v>
      </x:c>
      <x:c r="AH242" s="14" t="n">
        <x:v>0</x:v>
      </x:c>
      <x:c r="AI242" s="14" t="n">
        <x:v>0</x:v>
      </x:c>
      <x:c r="AJ242" s="18" t="n">
        <x:v>0</x:v>
      </x:c>
      <x:c r="AK242" s="14" t="str"/>
      <x:c r="AL242" s="19" t="str"/>
      <x:c r="AM242" s="19" t="str"/>
      <x:c r="AN242" s="15" t="str"/>
      <x:c r="AO242" s="15" t="str">
        <x:v>google_index_verified_manual_check_2026-08-24</x:v>
      </x:c>
    </x:row>
    <x:row r="243">
      <x:c r="A243" s="14" t="str">
        <x:v>W2-074</x:v>
      </x:c>
      <x:c r="B243" s="14" t="str">
        <x:v>Проєктний сигнал — 24.08</x:v>
      </x:c>
      <x:c r="C243" s="14" t="str">
        <x:v>Cryo-TM</x:v>
      </x:c>
      <x:c r="D243" s="14" t="str">
        <x:v>Медичні гази</x:v>
      </x:c>
      <x:c r="E243" s="14" t="str">
        <x:v>Expansion discovery</x:v>
      </x:c>
      <x:c r="F243" s="17" t="str">
        <x:v>D1</x:v>
      </x:c>
      <x:c r="G243" s="14" t="str">
        <x:v>cryo-tm.com.ua</x:v>
      </x:c>
      <x:c r="H243" s="14" t="str">
        <x:v>2-тижневий workflow discovery — потрібні вимоги одного проєкту</x:v>
      </x:c>
      <x:c r="I243" s="16" t="n">
        <x:v>1</x:v>
      </x:c>
      <x:c r="J243" s="16" t="n">
        <x:v>5</x:v>
      </x:c>
      <x:c r="K243" s="16" t="n">
        <x:v>5</x:v>
      </x:c>
      <x:c r="L243" s="16" t="n">
        <x:v>4</x:v>
      </x:c>
      <x:c r="M243" s="16" t="n">
        <x:v>5</x:v>
      </x:c>
      <x:c r="N243" s="16" t="n">
        <x:v>5</x:v>
      </x:c>
      <x:c r="O243" s="16" t="n">
        <x:v>5</x:v>
      </x:c>
      <x:c r="P243" s="16" t="n">
        <x:f>IF(COUNT(I243:O243)&lt;7,"",I243*8+J243*3+K243*2+L243*2+M243*2+N243*2+O243)</x:f>
        <x:v>66</x:v>
      </x:c>
      <x:c r="Q243" s="16" t="n">
        <x:f>IF(COUNT(J243:O243)&lt;6,"",J243*5+K243*4+M243*4+L243*3+N243*2+O243*2)</x:f>
        <x:v>97</x:v>
      </x:c>
      <x:c r="R243" s="14" t="str">
        <x:v>high</x:v>
      </x:c>
      <x:c r="S243" s="14" t="str">
        <x:v>google_index_verified_2026-08-24</x:v>
      </x:c>
      <x:c r="T243" s="14" t="str">
        <x:v>indexed_official_service_page</x:v>
      </x:c>
      <x:c r="U243" s="14" t="str">
        <x:v>Новий — не контактували</x:v>
      </x:c>
      <x:c r="V243" s="15" t="str">
        <x:v>2-тижневий discovery: запросити вимоги 1 активного проєкту + 1 знеособлений артефакт</x:v>
      </x:c>
      <x:c r="W243" s="15" t="str">
        <x:v>Комерційний директор; керівник проєктів; ПТО / відповідальний за якість</x:v>
      </x:c>
      <x:c r="X243" s="15" t="str">
        <x:v>Комплексне медичне газопостачання. Пошуковий результат веде на індексовану сторінку корпоративного домену: Комплексне оснащення медичними газами — Cryo-TM.</x:v>
      </x:c>
      <x:c r="Y243" s="15" t="str">
        <x:v>Мідні трубопроводи, пайка, маркування, чистота, випробування й валідація утворюють критичний приймальний пакет.</x:v>
      </x:c>
      <x:c r="Z243" s="15" t="str">
        <x:v>https://cryo-tm.com.ua/uk/kompleksne-osnasshennya-sistemami-medichnogo-gazopostachannya/716-kompleksnoe-osnasshenie-sistemami-medicinskogo-gazosnabzheniya.html</x:v>
      </x:c>
      <x:c r="AA243" s="14" t="str"/>
      <x:c r="AB243" s="14" t="str">
        <x:v>2026-08-24</x:v>
      </x:c>
      <x:c r="AC243" s="14" t="str">
        <x:v>Олександр</x:v>
      </x:c>
      <x:c r="AD243" s="20" t="str"/>
      <x:c r="AE243" s="14" t="str"/>
      <x:c r="AF243" s="14" t="n">
        <x:v>0</x:v>
      </x:c>
      <x:c r="AG243" s="14" t="str">
        <x:v>—</x:v>
      </x:c>
      <x:c r="AH243" s="14" t="n">
        <x:v>0</x:v>
      </x:c>
      <x:c r="AI243" s="14" t="n">
        <x:v>0</x:v>
      </x:c>
      <x:c r="AJ243" s="18" t="n">
        <x:v>0</x:v>
      </x:c>
      <x:c r="AK243" s="14" t="str"/>
      <x:c r="AL243" s="19" t="str"/>
      <x:c r="AM243" s="19" t="str"/>
      <x:c r="AN243" s="15" t="str"/>
      <x:c r="AO243" s="15" t="str">
        <x:v>google_index_verified_2026-08-24</x:v>
      </x:c>
    </x:row>
    <x:row r="244">
      <x:c r="A244" s="14" t="str">
        <x:v>W2-075</x:v>
      </x:c>
      <x:c r="B244" s="14" t="str">
        <x:v>Проєктний сигнал — 24.08</x:v>
      </x:c>
      <x:c r="C244" s="14" t="str">
        <x:v>Компресорс Інтернешнл</x:v>
      </x:c>
      <x:c r="D244" s="14" t="str">
        <x:v>Стиснене повітря / компресорні</x:v>
      </x:c>
      <x:c r="E244" s="14" t="str">
        <x:v>Expansion discovery</x:v>
      </x:c>
      <x:c r="F244" s="17" t="str">
        <x:v>D1</x:v>
      </x:c>
      <x:c r="G244" s="14" t="str">
        <x:v>compressors.ua</x:v>
      </x:c>
      <x:c r="H244" s="14" t="str">
        <x:v>2-тижневий workflow discovery — потрібні вимоги одного проєкту</x:v>
      </x:c>
      <x:c r="I244" s="16" t="n">
        <x:v>1</x:v>
      </x:c>
      <x:c r="J244" s="16" t="n">
        <x:v>5</x:v>
      </x:c>
      <x:c r="K244" s="16" t="n">
        <x:v>5</x:v>
      </x:c>
      <x:c r="L244" s="16" t="n">
        <x:v>4</x:v>
      </x:c>
      <x:c r="M244" s="16" t="n">
        <x:v>4</x:v>
      </x:c>
      <x:c r="N244" s="16" t="n">
        <x:v>5</x:v>
      </x:c>
      <x:c r="O244" s="16" t="n">
        <x:v>5</x:v>
      </x:c>
      <x:c r="P244" s="16" t="n">
        <x:f>IF(COUNT(I244:O244)&lt;7,"",I244*8+J244*3+K244*2+L244*2+M244*2+N244*2+O244)</x:f>
        <x:v>64</x:v>
      </x:c>
      <x:c r="Q244" s="16" t="n">
        <x:f>IF(COUNT(J244:O244)&lt;6,"",J244*5+K244*4+M244*4+L244*3+N244*2+O244*2)</x:f>
        <x:v>93</x:v>
      </x:c>
      <x:c r="R244" s="14" t="str">
        <x:v>high</x:v>
      </x:c>
      <x:c r="S244" s="14" t="str">
        <x:v>google_index_verified_2026-08-24</x:v>
      </x:c>
      <x:c r="T244" s="14" t="str">
        <x:v>indexed_official_service_page</x:v>
      </x:c>
      <x:c r="U244" s="14" t="str">
        <x:v>Новий — не контактували</x:v>
      </x:c>
      <x:c r="V244" s="15" t="str">
        <x:v>2-тижневий discovery: запросити вимоги 1 активного проєкту + 1 знеособлений артефакт</x:v>
      </x:c>
      <x:c r="W244" s="15" t="str">
        <x:v>Директор; керівник інженерних проєктів; головний інженер / сервіс</x:v>
      </x:c>
      <x:c r="X244" s="15" t="str">
        <x:v>Проєктування і монтаж компресорних. Пошуковий результат веде на індексовану сторінку корпоративного домену: Проєктування та монтаж — Компресорс Інтернешнл.</x:v>
      </x:c>
      <x:c r="Y244" s="15" t="str">
        <x:v>Пневмомережі, дренаж, фільтрація, випробування герметичності й ПНР здаються поетапно.</x:v>
      </x:c>
      <x:c r="Z244" s="15" t="str">
        <x:v>https://compressors.ua/proektuvannya-ta-montazh</x:v>
      </x:c>
      <x:c r="AA244" s="14" t="str"/>
      <x:c r="AB244" s="14" t="str">
        <x:v>2026-08-24</x:v>
      </x:c>
      <x:c r="AC244" s="14" t="str">
        <x:v>Олександр</x:v>
      </x:c>
      <x:c r="AD244" s="20" t="str"/>
      <x:c r="AE244" s="14" t="str"/>
      <x:c r="AF244" s="14" t="n">
        <x:v>0</x:v>
      </x:c>
      <x:c r="AG244" s="14" t="str">
        <x:v>—</x:v>
      </x:c>
      <x:c r="AH244" s="14" t="n">
        <x:v>0</x:v>
      </x:c>
      <x:c r="AI244" s="14" t="n">
        <x:v>0</x:v>
      </x:c>
      <x:c r="AJ244" s="18" t="n">
        <x:v>0</x:v>
      </x:c>
      <x:c r="AK244" s="14" t="str"/>
      <x:c r="AL244" s="19" t="str"/>
      <x:c r="AM244" s="19" t="str"/>
      <x:c r="AN244" s="15" t="str"/>
      <x:c r="AO244" s="15" t="str">
        <x:v>google_index_verified_2026-08-24</x:v>
      </x:c>
    </x:row>
    <x:row r="245">
      <x:c r="A245" s="14" t="str">
        <x:v>W2-076</x:v>
      </x:c>
      <x:c r="B245" s="14" t="str">
        <x:v>Проєктний сигнал — 24.08</x:v>
      </x:c>
      <x:c r="C245" s="14" t="str">
        <x:v>Dalgakiran Kompresor Ukraine</x:v>
      </x:c>
      <x:c r="D245" s="14" t="str">
        <x:v>Стиснене повітря / компресорні</x:v>
      </x:c>
      <x:c r="E245" s="14" t="str">
        <x:v>Expansion discovery</x:v>
      </x:c>
      <x:c r="F245" s="17" t="str">
        <x:v>D1</x:v>
      </x:c>
      <x:c r="G245" s="14" t="str">
        <x:v>dalgakiran.ua</x:v>
      </x:c>
      <x:c r="H245" s="14" t="str">
        <x:v>2-тижневий workflow discovery — потрібні вимоги одного проєкту</x:v>
      </x:c>
      <x:c r="I245" s="16" t="n">
        <x:v>1</x:v>
      </x:c>
      <x:c r="J245" s="16" t="n">
        <x:v>5</x:v>
      </x:c>
      <x:c r="K245" s="16" t="n">
        <x:v>5</x:v>
      </x:c>
      <x:c r="L245" s="16" t="n">
        <x:v>4</x:v>
      </x:c>
      <x:c r="M245" s="16" t="n">
        <x:v>4</x:v>
      </x:c>
      <x:c r="N245" s="16" t="n">
        <x:v>5</x:v>
      </x:c>
      <x:c r="O245" s="16" t="n">
        <x:v>4</x:v>
      </x:c>
      <x:c r="P245" s="16" t="n">
        <x:f>IF(COUNT(I245:O245)&lt;7,"",I245*8+J245*3+K245*2+L245*2+M245*2+N245*2+O245)</x:f>
        <x:v>63</x:v>
      </x:c>
      <x:c r="Q245" s="16" t="n">
        <x:f>IF(COUNT(J245:O245)&lt;6,"",J245*5+K245*4+M245*4+L245*3+N245*2+O245*2)</x:f>
        <x:v>91</x:v>
      </x:c>
      <x:c r="R245" s="14" t="str">
        <x:v>medium</x:v>
      </x:c>
      <x:c r="S245" s="14" t="str">
        <x:v>google_index_verified_manual_check_2026-08-24</x:v>
      </x:c>
      <x:c r="T245" s="14" t="str">
        <x:v>indexed_official_page_manual_check</x:v>
      </x:c>
      <x:c r="U245" s="14" t="str">
        <x:v>Новий — не контактували</x:v>
      </x:c>
      <x:c r="V245" s="15" t="str">
        <x:v>2-тижневий discovery: запросити вимоги 1 активного проєкту + 1 знеособлений артефакт</x:v>
      </x:c>
      <x:c r="W245" s="15" t="str">
        <x:v>Директор; керівник інженерних проєктів; головний інженер / сервіс</x:v>
      </x:c>
      <x:c r="X245" s="15" t="str">
        <x:v>Компресорні системи та сервіс. Пошуковий результат веде на індексовану сторінку корпоративного домену: Dalgakiran Kompresor Ukraine.</x:v>
      </x:c>
      <x:c r="Y245" s="15" t="str">
        <x:v>Пневмомережі, дренаж, фільтрація, випробування герметичності й ПНР здаються поетапно.</x:v>
      </x:c>
      <x:c r="Z245" s="15" t="str">
        <x:v>https://dalgakiran.ua/uk/kontakti/</x:v>
      </x:c>
      <x:c r="AA245" s="14" t="str"/>
      <x:c r="AB245" s="14" t="str">
        <x:v>2026-08-24</x:v>
      </x:c>
      <x:c r="AC245" s="14" t="str">
        <x:v>Олександр</x:v>
      </x:c>
      <x:c r="AD245" s="20" t="str"/>
      <x:c r="AE245" s="14" t="str"/>
      <x:c r="AF245" s="14" t="n">
        <x:v>0</x:v>
      </x:c>
      <x:c r="AG245" s="14" t="str">
        <x:v>—</x:v>
      </x:c>
      <x:c r="AH245" s="14" t="n">
        <x:v>0</x:v>
      </x:c>
      <x:c r="AI245" s="14" t="n">
        <x:v>0</x:v>
      </x:c>
      <x:c r="AJ245" s="18" t="n">
        <x:v>0</x:v>
      </x:c>
      <x:c r="AK245" s="14" t="str"/>
      <x:c r="AL245" s="19" t="str"/>
      <x:c r="AM245" s="19" t="str"/>
      <x:c r="AN245" s="15" t="str"/>
      <x:c r="AO245" s="15" t="str">
        <x:v>google_index_verified_manual_check_2026-08-24</x:v>
      </x:c>
    </x:row>
    <x:row r="246">
      <x:c r="A246" s="14" t="str">
        <x:v>W2-077</x:v>
      </x:c>
      <x:c r="B246" s="14" t="str">
        <x:v>Проєктний сигнал — 24.08</x:v>
      </x:c>
      <x:c r="C246" s="14" t="str">
        <x:v>Пневматик Сервіс</x:v>
      </x:c>
      <x:c r="D246" s="14" t="str">
        <x:v>Стиснене повітря / компресорні</x:v>
      </x:c>
      <x:c r="E246" s="14" t="str">
        <x:v>Expansion discovery</x:v>
      </x:c>
      <x:c r="F246" s="17" t="str">
        <x:v>D1</x:v>
      </x:c>
      <x:c r="G246" s="14" t="str">
        <x:v>pneumatic-service.com.ua</x:v>
      </x:c>
      <x:c r="H246" s="14" t="str">
        <x:v>2-тижневий workflow discovery — потрібні вимоги одного проєкту</x:v>
      </x:c>
      <x:c r="I246" s="16" t="n">
        <x:v>1</x:v>
      </x:c>
      <x:c r="J246" s="16" t="n">
        <x:v>5</x:v>
      </x:c>
      <x:c r="K246" s="16" t="n">
        <x:v>5</x:v>
      </x:c>
      <x:c r="L246" s="16" t="n">
        <x:v>4</x:v>
      </x:c>
      <x:c r="M246" s="16" t="n">
        <x:v>4</x:v>
      </x:c>
      <x:c r="N246" s="16" t="n">
        <x:v>5</x:v>
      </x:c>
      <x:c r="O246" s="16" t="n">
        <x:v>5</x:v>
      </x:c>
      <x:c r="P246" s="16" t="n">
        <x:f>IF(COUNT(I246:O246)&lt;7,"",I246*8+J246*3+K246*2+L246*2+M246*2+N246*2+O246)</x:f>
        <x:v>64</x:v>
      </x:c>
      <x:c r="Q246" s="16" t="n">
        <x:f>IF(COUNT(J246:O246)&lt;6,"",J246*5+K246*4+M246*4+L246*3+N246*2+O246*2)</x:f>
        <x:v>93</x:v>
      </x:c>
      <x:c r="R246" s="14" t="str">
        <x:v>high</x:v>
      </x:c>
      <x:c r="S246" s="14" t="str">
        <x:v>google_index_verified_2026-08-24</x:v>
      </x:c>
      <x:c r="T246" s="14" t="str">
        <x:v>indexed_official_service_page</x:v>
      </x:c>
      <x:c r="U246" s="14" t="str">
        <x:v>Новий — не контактували</x:v>
      </x:c>
      <x:c r="V246" s="15" t="str">
        <x:v>2-тижневий discovery: запросити вимоги 1 активного проєкту + 1 знеособлений артефакт</x:v>
      </x:c>
      <x:c r="W246" s="15" t="str">
        <x:v>Директор; керівник інженерних проєктів; головний інженер / сервіс</x:v>
      </x:c>
      <x:c r="X246" s="15" t="str">
        <x:v>Монтаж компресорних систем. Пошуковий результат веде на індексовану сторінку корпоративного домену: Монтаж компресора — Пневматик Сервіс.</x:v>
      </x:c>
      <x:c r="Y246" s="15" t="str">
        <x:v>Пневмомережі, дренаж, фільтрація, випробування герметичності й ПНР здаються поетапно.</x:v>
      </x:c>
      <x:c r="Z246" s="15" t="str">
        <x:v>https://pneumatic-service.com.ua/montazhnye-raboty/montazh-gvintovogo-kompresora/</x:v>
      </x:c>
      <x:c r="AA246" s="14" t="str"/>
      <x:c r="AB246" s="14" t="str">
        <x:v>2026-08-24</x:v>
      </x:c>
      <x:c r="AC246" s="14" t="str">
        <x:v>Олександр</x:v>
      </x:c>
      <x:c r="AD246" s="20" t="str"/>
      <x:c r="AE246" s="14" t="str"/>
      <x:c r="AF246" s="14" t="n">
        <x:v>0</x:v>
      </x:c>
      <x:c r="AG246" s="14" t="str">
        <x:v>—</x:v>
      </x:c>
      <x:c r="AH246" s="14" t="n">
        <x:v>0</x:v>
      </x:c>
      <x:c r="AI246" s="14" t="n">
        <x:v>0</x:v>
      </x:c>
      <x:c r="AJ246" s="18" t="n">
        <x:v>0</x:v>
      </x:c>
      <x:c r="AK246" s="14" t="str"/>
      <x:c r="AL246" s="19" t="str"/>
      <x:c r="AM246" s="19" t="str"/>
      <x:c r="AN246" s="15" t="str"/>
      <x:c r="AO246" s="15" t="str">
        <x:v>google_index_verified_2026-08-24</x:v>
      </x:c>
    </x:row>
    <x:row r="247">
      <x:c r="A247" s="14" t="str">
        <x:v>W2-078</x:v>
      </x:c>
      <x:c r="B247" s="14" t="str">
        <x:v>Проєктний сигнал — 24.08</x:v>
      </x:c>
      <x:c r="C247" s="14" t="str">
        <x:v>Champion Air Tech</x:v>
      </x:c>
      <x:c r="D247" s="14" t="str">
        <x:v>Стиснене повітря / компресорні</x:v>
      </x:c>
      <x:c r="E247" s="14" t="str">
        <x:v>Expansion discovery</x:v>
      </x:c>
      <x:c r="F247" s="17" t="str">
        <x:v>D1</x:v>
      </x:c>
      <x:c r="G247" s="14" t="str">
        <x:v>championairtech.com.ua</x:v>
      </x:c>
      <x:c r="H247" s="14" t="str">
        <x:v>2-тижневий workflow discovery — потрібні вимоги одного проєкту</x:v>
      </x:c>
      <x:c r="I247" s="16" t="n">
        <x:v>1</x:v>
      </x:c>
      <x:c r="J247" s="16" t="n">
        <x:v>5</x:v>
      </x:c>
      <x:c r="K247" s="16" t="n">
        <x:v>5</x:v>
      </x:c>
      <x:c r="L247" s="16" t="n">
        <x:v>4</x:v>
      </x:c>
      <x:c r="M247" s="16" t="n">
        <x:v>4</x:v>
      </x:c>
      <x:c r="N247" s="16" t="n">
        <x:v>5</x:v>
      </x:c>
      <x:c r="O247" s="16" t="n">
        <x:v>5</x:v>
      </x:c>
      <x:c r="P247" s="16" t="n">
        <x:f>IF(COUNT(I247:O247)&lt;7,"",I247*8+J247*3+K247*2+L247*2+M247*2+N247*2+O247)</x:f>
        <x:v>64</x:v>
      </x:c>
      <x:c r="Q247" s="16" t="n">
        <x:f>IF(COUNT(J247:O247)&lt;6,"",J247*5+K247*4+M247*4+L247*3+N247*2+O247*2)</x:f>
        <x:v>93</x:v>
      </x:c>
      <x:c r="R247" s="14" t="str">
        <x:v>high</x:v>
      </x:c>
      <x:c r="S247" s="14" t="str">
        <x:v>google_index_verified_2026-08-24</x:v>
      </x:c>
      <x:c r="T247" s="14" t="str">
        <x:v>indexed_official_service_page</x:v>
      </x:c>
      <x:c r="U247" s="14" t="str">
        <x:v>Новий — не контактували</x:v>
      </x:c>
      <x:c r="V247" s="15" t="str">
        <x:v>2-тижневий discovery: запросити вимоги 1 активного проєкту + 1 знеособлений артефакт</x:v>
      </x:c>
      <x:c r="W247" s="15" t="str">
        <x:v>Директор; керівник інженерних проєктів; головний інженер / сервіс</x:v>
      </x:c>
      <x:c r="X247" s="15" t="str">
        <x:v>Інсталяція і сервіс компресорних систем. Пошуковий результат веде на індексовану сторінку корпоративного домену: Сервіс — Champion Air Tech.</x:v>
      </x:c>
      <x:c r="Y247" s="15" t="str">
        <x:v>Пневмомережі, дренаж, фільтрація, випробування герметичності й ПНР здаються поетапно.</x:v>
      </x:c>
      <x:c r="Z247" s="15" t="str">
        <x:v>https://championairtech.com.ua/service</x:v>
      </x:c>
      <x:c r="AA247" s="14" t="str"/>
      <x:c r="AB247" s="14" t="str">
        <x:v>2026-08-24</x:v>
      </x:c>
      <x:c r="AC247" s="14" t="str">
        <x:v>Олександр</x:v>
      </x:c>
      <x:c r="AD247" s="20" t="str"/>
      <x:c r="AE247" s="14" t="str"/>
      <x:c r="AF247" s="14" t="n">
        <x:v>0</x:v>
      </x:c>
      <x:c r="AG247" s="14" t="str">
        <x:v>—</x:v>
      </x:c>
      <x:c r="AH247" s="14" t="n">
        <x:v>0</x:v>
      </x:c>
      <x:c r="AI247" s="14" t="n">
        <x:v>0</x:v>
      </x:c>
      <x:c r="AJ247" s="18" t="n">
        <x:v>0</x:v>
      </x:c>
      <x:c r="AK247" s="14" t="str"/>
      <x:c r="AL247" s="19" t="str"/>
      <x:c r="AM247" s="19" t="str"/>
      <x:c r="AN247" s="15" t="str"/>
      <x:c r="AO247" s="15" t="str">
        <x:v>google_index_verified_2026-08-24</x:v>
      </x:c>
    </x:row>
    <x:row r="248">
      <x:c r="A248" s="14" t="str">
        <x:v>W2-079</x:v>
      </x:c>
      <x:c r="B248" s="14" t="str">
        <x:v>Проєктний сигнал — 24.08</x:v>
      </x:c>
      <x:c r="C248" s="14" t="str">
        <x:v>Airgroup</x:v>
      </x:c>
      <x:c r="D248" s="14" t="str">
        <x:v>Стиснене повітря / компресорні</x:v>
      </x:c>
      <x:c r="E248" s="14" t="str">
        <x:v>Expansion discovery</x:v>
      </x:c>
      <x:c r="F248" s="17" t="str">
        <x:v>D1</x:v>
      </x:c>
      <x:c r="G248" s="14" t="str">
        <x:v>airgroup.com.ua</x:v>
      </x:c>
      <x:c r="H248" s="14" t="str">
        <x:v>2-тижневий workflow discovery — потрібні вимоги одного проєкту</x:v>
      </x:c>
      <x:c r="I248" s="16" t="n">
        <x:v>1</x:v>
      </x:c>
      <x:c r="J248" s="16" t="n">
        <x:v>5</x:v>
      </x:c>
      <x:c r="K248" s="16" t="n">
        <x:v>5</x:v>
      </x:c>
      <x:c r="L248" s="16" t="n">
        <x:v>4</x:v>
      </x:c>
      <x:c r="M248" s="16" t="n">
        <x:v>4</x:v>
      </x:c>
      <x:c r="N248" s="16" t="n">
        <x:v>5</x:v>
      </x:c>
      <x:c r="O248" s="16" t="n">
        <x:v>5</x:v>
      </x:c>
      <x:c r="P248" s="16" t="n">
        <x:f>IF(COUNT(I248:O248)&lt;7,"",I248*8+J248*3+K248*2+L248*2+M248*2+N248*2+O248)</x:f>
        <x:v>64</x:v>
      </x:c>
      <x:c r="Q248" s="16" t="n">
        <x:f>IF(COUNT(J248:O248)&lt;6,"",J248*5+K248*4+M248*4+L248*3+N248*2+O248*2)</x:f>
        <x:v>93</x:v>
      </x:c>
      <x:c r="R248" s="14" t="str">
        <x:v>high</x:v>
      </x:c>
      <x:c r="S248" s="14" t="str">
        <x:v>google_index_verified_2026-08-24</x:v>
      </x:c>
      <x:c r="T248" s="14" t="str">
        <x:v>indexed_official_service_page</x:v>
      </x:c>
      <x:c r="U248" s="14" t="str">
        <x:v>Новий — не контактували</x:v>
      </x:c>
      <x:c r="V248" s="15" t="str">
        <x:v>2-тижневий discovery: запросити вимоги 1 активного проєкту + 1 знеособлений артефакт</x:v>
      </x:c>
      <x:c r="W248" s="15" t="str">
        <x:v>Директор; керівник інженерних проєктів; головний інженер / сервіс</x:v>
      </x:c>
      <x:c r="X248" s="15" t="str">
        <x:v>Монтаж пневмомереж компресорних. Пошуковий результат веде на індексовану сторінку корпоративного домену: Монтаж пневмомережі — Airgroup.</x:v>
      </x:c>
      <x:c r="Y248" s="15" t="str">
        <x:v>Пневмомережі, дренаж, фільтрація, випробування герметичності й ПНР здаються поетапно.</x:v>
      </x:c>
      <x:c r="Z248" s="15" t="str">
        <x:v>https://airgroup.com.ua/ua/p1370335624-montazh-pnevmoseti-kompressornoj.html</x:v>
      </x:c>
      <x:c r="AA248" s="14" t="str"/>
      <x:c r="AB248" s="14" t="str">
        <x:v>2026-08-24</x:v>
      </x:c>
      <x:c r="AC248" s="14" t="str">
        <x:v>Олександр</x:v>
      </x:c>
      <x:c r="AD248" s="20" t="str"/>
      <x:c r="AE248" s="14" t="str"/>
      <x:c r="AF248" s="14" t="n">
        <x:v>0</x:v>
      </x:c>
      <x:c r="AG248" s="14" t="str">
        <x:v>—</x:v>
      </x:c>
      <x:c r="AH248" s="14" t="n">
        <x:v>0</x:v>
      </x:c>
      <x:c r="AI248" s="14" t="n">
        <x:v>0</x:v>
      </x:c>
      <x:c r="AJ248" s="18" t="n">
        <x:v>0</x:v>
      </x:c>
      <x:c r="AK248" s="14" t="str"/>
      <x:c r="AL248" s="19" t="str"/>
      <x:c r="AM248" s="19" t="str"/>
      <x:c r="AN248" s="15" t="str"/>
      <x:c r="AO248" s="15" t="str">
        <x:v>google_index_verified_2026-08-24</x:v>
      </x:c>
    </x:row>
    <x:row r="249">
      <x:c r="A249" s="14" t="str">
        <x:v>W2-080</x:v>
      </x:c>
      <x:c r="B249" s="14" t="str">
        <x:v>Проєктний сигнал — 24.08</x:v>
      </x:c>
      <x:c r="C249" s="14" t="str">
        <x:v>Ентех Україна</x:v>
      </x:c>
      <x:c r="D249" s="14" t="str">
        <x:v>Стиснене повітря / компресорні</x:v>
      </x:c>
      <x:c r="E249" s="14" t="str">
        <x:v>Expansion discovery</x:v>
      </x:c>
      <x:c r="F249" s="17" t="str">
        <x:v>D1</x:v>
      </x:c>
      <x:c r="G249" s="14" t="str">
        <x:v>entech-ukraine.com.ua</x:v>
      </x:c>
      <x:c r="H249" s="14" t="str">
        <x:v>2-тижневий workflow discovery — потрібні вимоги одного проєкту</x:v>
      </x:c>
      <x:c r="I249" s="16" t="n">
        <x:v>1</x:v>
      </x:c>
      <x:c r="J249" s="16" t="n">
        <x:v>5</x:v>
      </x:c>
      <x:c r="K249" s="16" t="n">
        <x:v>5</x:v>
      </x:c>
      <x:c r="L249" s="16" t="n">
        <x:v>4</x:v>
      </x:c>
      <x:c r="M249" s="16" t="n">
        <x:v>4</x:v>
      </x:c>
      <x:c r="N249" s="16" t="n">
        <x:v>5</x:v>
      </x:c>
      <x:c r="O249" s="16" t="n">
        <x:v>5</x:v>
      </x:c>
      <x:c r="P249" s="16" t="n">
        <x:f>IF(COUNT(I249:O249)&lt;7,"",I249*8+J249*3+K249*2+L249*2+M249*2+N249*2+O249)</x:f>
        <x:v>64</x:v>
      </x:c>
      <x:c r="Q249" s="16" t="n">
        <x:f>IF(COUNT(J249:O249)&lt;6,"",J249*5+K249*4+M249*4+L249*3+N249*2+O249*2)</x:f>
        <x:v>93</x:v>
      </x:c>
      <x:c r="R249" s="14" t="str">
        <x:v>high</x:v>
      </x:c>
      <x:c r="S249" s="14" t="str">
        <x:v>google_index_verified_2026-08-24</x:v>
      </x:c>
      <x:c r="T249" s="14" t="str">
        <x:v>indexed_official_service_page</x:v>
      </x:c>
      <x:c r="U249" s="14" t="str">
        <x:v>Новий — не контактували</x:v>
      </x:c>
      <x:c r="V249" s="15" t="str">
        <x:v>2-тижневий discovery: запросити вимоги 1 активного проєкту + 1 знеособлений артефакт</x:v>
      </x:c>
      <x:c r="W249" s="15" t="str">
        <x:v>Директор; керівник інженерних проєктів; головний інженер / сервіс</x:v>
      </x:c>
      <x:c r="X249" s="15" t="str">
        <x:v>Монтаж пневматичних систем. Пошуковий результат веде на індексовану сторінку корпоративного домену: Монтаж пневматичної системи — Ентех Україна.</x:v>
      </x:c>
      <x:c r="Y249" s="15" t="str">
        <x:v>Пневмомережі, дренаж, фільтрація, випробування герметичності й ПНР здаються поетапно.</x:v>
      </x:c>
      <x:c r="Z249" s="15" t="str">
        <x:v>https://entech-ukraine.com.ua/installation-of-pneumatic-system</x:v>
      </x:c>
      <x:c r="AA249" s="14" t="str"/>
      <x:c r="AB249" s="14" t="str">
        <x:v>2026-08-24</x:v>
      </x:c>
      <x:c r="AC249" s="14" t="str">
        <x:v>Олександр</x:v>
      </x:c>
      <x:c r="AD249" s="20" t="str"/>
      <x:c r="AE249" s="14" t="str"/>
      <x:c r="AF249" s="14" t="n">
        <x:v>0</x:v>
      </x:c>
      <x:c r="AG249" s="14" t="str">
        <x:v>—</x:v>
      </x:c>
      <x:c r="AH249" s="14" t="n">
        <x:v>0</x:v>
      </x:c>
      <x:c r="AI249" s="14" t="n">
        <x:v>0</x:v>
      </x:c>
      <x:c r="AJ249" s="18" t="n">
        <x:v>0</x:v>
      </x:c>
      <x:c r="AK249" s="14" t="str"/>
      <x:c r="AL249" s="19" t="str"/>
      <x:c r="AM249" s="19" t="str"/>
      <x:c r="AN249" s="15" t="str"/>
      <x:c r="AO249" s="15" t="str">
        <x:v>google_index_verified_2026-08-24</x:v>
      </x:c>
    </x:row>
    <x:row r="250">
      <x:c r="A250" s="14" t="str">
        <x:v>W2-081</x:v>
      </x:c>
      <x:c r="B250" s="14" t="str">
        <x:v>Проєктний сигнал — 24.08</x:v>
      </x:c>
      <x:c r="C250" s="14" t="str">
        <x:v>НВП Поленергокомплекс</x:v>
      </x:c>
      <x:c r="D250" s="14" t="str">
        <x:v>Стиснене повітря / компресорні</x:v>
      </x:c>
      <x:c r="E250" s="14" t="str">
        <x:v>Expansion discovery</x:v>
      </x:c>
      <x:c r="F250" s="17" t="str">
        <x:v>D1</x:v>
      </x:c>
      <x:c r="G250" s="14" t="str">
        <x:v>compressory.com.ua</x:v>
      </x:c>
      <x:c r="H250" s="14" t="str">
        <x:v>2-тижневий workflow discovery — потрібні вимоги одного проєкту</x:v>
      </x:c>
      <x:c r="I250" s="16" t="n">
        <x:v>1</x:v>
      </x:c>
      <x:c r="J250" s="16" t="n">
        <x:v>5</x:v>
      </x:c>
      <x:c r="K250" s="16" t="n">
        <x:v>5</x:v>
      </x:c>
      <x:c r="L250" s="16" t="n">
        <x:v>4</x:v>
      </x:c>
      <x:c r="M250" s="16" t="n">
        <x:v>4</x:v>
      </x:c>
      <x:c r="N250" s="16" t="n">
        <x:v>5</x:v>
      </x:c>
      <x:c r="O250" s="16" t="n">
        <x:v>5</x:v>
      </x:c>
      <x:c r="P250" s="16" t="n">
        <x:f>IF(COUNT(I250:O250)&lt;7,"",I250*8+J250*3+K250*2+L250*2+M250*2+N250*2+O250)</x:f>
        <x:v>64</x:v>
      </x:c>
      <x:c r="Q250" s="16" t="n">
        <x:f>IF(COUNT(J250:O250)&lt;6,"",J250*5+K250*4+M250*4+L250*3+N250*2+O250*2)</x:f>
        <x:v>93</x:v>
      </x:c>
      <x:c r="R250" s="14" t="str">
        <x:v>high</x:v>
      </x:c>
      <x:c r="S250" s="14" t="str">
        <x:v>google_index_verified_2026-08-24</x:v>
      </x:c>
      <x:c r="T250" s="14" t="str">
        <x:v>indexed_official_service_page</x:v>
      </x:c>
      <x:c r="U250" s="14" t="str">
        <x:v>Новий — не контактували</x:v>
      </x:c>
      <x:c r="V250" s="15" t="str">
        <x:v>2-тижневий discovery: запросити вимоги 1 активного проєкту + 1 знеособлений артефакт</x:v>
      </x:c>
      <x:c r="W250" s="15" t="str">
        <x:v>Директор; керівник інженерних проєктів; головний інженер / сервіс</x:v>
      </x:c>
      <x:c r="X250" s="15" t="str">
        <x:v>Компресорні станції. Пошуковий результат веде на індексовану сторінку корпоративного домену: Компресорні установки — Поленергокомплекс.</x:v>
      </x:c>
      <x:c r="Y250" s="15" t="str">
        <x:v>Пневмомережі, дренаж, фільтрація, випробування герметичності й ПНР здаються поетапно.</x:v>
      </x:c>
      <x:c r="Z250" s="15" t="str">
        <x:v>https://compressory.com.ua/category/porshnevye-kompressornye-ustanovki/</x:v>
      </x:c>
      <x:c r="AA250" s="14" t="str"/>
      <x:c r="AB250" s="14" t="str">
        <x:v>2026-08-24</x:v>
      </x:c>
      <x:c r="AC250" s="14" t="str">
        <x:v>Олександр</x:v>
      </x:c>
      <x:c r="AD250" s="20" t="str"/>
      <x:c r="AE250" s="14" t="str"/>
      <x:c r="AF250" s="14" t="n">
        <x:v>0</x:v>
      </x:c>
      <x:c r="AG250" s="14" t="str">
        <x:v>—</x:v>
      </x:c>
      <x:c r="AH250" s="14" t="n">
        <x:v>0</x:v>
      </x:c>
      <x:c r="AI250" s="14" t="n">
        <x:v>0</x:v>
      </x:c>
      <x:c r="AJ250" s="18" t="n">
        <x:v>0</x:v>
      </x:c>
      <x:c r="AK250" s="14" t="str"/>
      <x:c r="AL250" s="19" t="str"/>
      <x:c r="AM250" s="19" t="str"/>
      <x:c r="AN250" s="15" t="str"/>
      <x:c r="AO250" s="15" t="str">
        <x:v>google_index_verified_2026-08-24</x:v>
      </x:c>
    </x:row>
    <x:row r="251">
      <x:c r="A251" s="14" t="str">
        <x:v>W2-082</x:v>
      </x:c>
      <x:c r="B251" s="14" t="str">
        <x:v>Проєктний сигнал — 24.08</x:v>
      </x:c>
      <x:c r="C251" s="14" t="str">
        <x:v>СТК Спарта</x:v>
      </x:c>
      <x:c r="D251" s="14" t="str">
        <x:v>Стиснене повітря / компресорні</x:v>
      </x:c>
      <x:c r="E251" s="14" t="str">
        <x:v>Expansion discovery</x:v>
      </x:c>
      <x:c r="F251" s="17" t="str">
        <x:v>D1</x:v>
      </x:c>
      <x:c r="G251" s="14" t="str">
        <x:v>stk-sparta.com.ua</x:v>
      </x:c>
      <x:c r="H251" s="14" t="str">
        <x:v>2-тижневий workflow discovery — потрібні вимоги одного проєкту</x:v>
      </x:c>
      <x:c r="I251" s="16" t="n">
        <x:v>1</x:v>
      </x:c>
      <x:c r="J251" s="16" t="n">
        <x:v>5</x:v>
      </x:c>
      <x:c r="K251" s="16" t="n">
        <x:v>5</x:v>
      </x:c>
      <x:c r="L251" s="16" t="n">
        <x:v>4</x:v>
      </x:c>
      <x:c r="M251" s="16" t="n">
        <x:v>4</x:v>
      </x:c>
      <x:c r="N251" s="16" t="n">
        <x:v>5</x:v>
      </x:c>
      <x:c r="O251" s="16" t="n">
        <x:v>5</x:v>
      </x:c>
      <x:c r="P251" s="16" t="n">
        <x:f>IF(COUNT(I251:O251)&lt;7,"",I251*8+J251*3+K251*2+L251*2+M251*2+N251*2+O251)</x:f>
        <x:v>64</x:v>
      </x:c>
      <x:c r="Q251" s="16" t="n">
        <x:f>IF(COUNT(J251:O251)&lt;6,"",J251*5+K251*4+M251*4+L251*3+N251*2+O251*2)</x:f>
        <x:v>93</x:v>
      </x:c>
      <x:c r="R251" s="14" t="str">
        <x:v>high</x:v>
      </x:c>
      <x:c r="S251" s="14" t="str">
        <x:v>google_index_verified_2026-08-24</x:v>
      </x:c>
      <x:c r="T251" s="14" t="str">
        <x:v>indexed_official_service_page</x:v>
      </x:c>
      <x:c r="U251" s="14" t="str">
        <x:v>Новий — не контактували</x:v>
      </x:c>
      <x:c r="V251" s="15" t="str">
        <x:v>2-тижневий discovery: запросити вимоги 1 активного проєкту + 1 знеособлений артефакт</x:v>
      </x:c>
      <x:c r="W251" s="15" t="str">
        <x:v>Директор; керівник інженерних проєктів; головний інженер / сервіс</x:v>
      </x:c>
      <x:c r="X251" s="15" t="str">
        <x:v>Постачання та інженерні роботи компресорних. Пошуковий результат веде на індексовану сторінку корпоративного домену: Компресорні станції — СТК Спарта.</x:v>
      </x:c>
      <x:c r="Y251" s="15" t="str">
        <x:v>Пневмомережі, дренаж, фільтрація, випробування герметичності й ПНР здаються поетапно.</x:v>
      </x:c>
      <x:c r="Z251" s="15" t="str">
        <x:v>https://stk-sparta.com.ua/catalog/povitryani-kompresorni-stancii/</x:v>
      </x:c>
      <x:c r="AA251" s="14" t="str"/>
      <x:c r="AB251" s="14" t="str">
        <x:v>2026-08-24</x:v>
      </x:c>
      <x:c r="AC251" s="14" t="str">
        <x:v>Олександр</x:v>
      </x:c>
      <x:c r="AD251" s="20" t="str"/>
      <x:c r="AE251" s="14" t="str"/>
      <x:c r="AF251" s="14" t="n">
        <x:v>0</x:v>
      </x:c>
      <x:c r="AG251" s="14" t="str">
        <x:v>—</x:v>
      </x:c>
      <x:c r="AH251" s="14" t="n">
        <x:v>0</x:v>
      </x:c>
      <x:c r="AI251" s="14" t="n">
        <x:v>0</x:v>
      </x:c>
      <x:c r="AJ251" s="18" t="n">
        <x:v>0</x:v>
      </x:c>
      <x:c r="AK251" s="14" t="str"/>
      <x:c r="AL251" s="19" t="str"/>
      <x:c r="AM251" s="19" t="str"/>
      <x:c r="AN251" s="15" t="str"/>
      <x:c r="AO251" s="15" t="str">
        <x:v>google_index_verified_2026-08-24</x:v>
      </x:c>
    </x:row>
    <x:row r="252">
      <x:c r="A252" s="14" t="str">
        <x:v>W2-083</x:v>
      </x:c>
      <x:c r="B252" s="14" t="str">
        <x:v>Проєктний сигнал — 24.08</x:v>
      </x:c>
      <x:c r="C252" s="14" t="str">
        <x:v>ВП Техмаш</x:v>
      </x:c>
      <x:c r="D252" s="14" t="str">
        <x:v>Технологічні трубопроводи</x:v>
      </x:c>
      <x:c r="E252" s="14" t="str">
        <x:v>Expansion discovery</x:v>
      </x:c>
      <x:c r="F252" s="17" t="str">
        <x:v>D1</x:v>
      </x:c>
      <x:c r="G252" s="14" t="str">
        <x:v>techmash.dp.ua</x:v>
      </x:c>
      <x:c r="H252" s="14" t="str">
        <x:v>2-тижневий workflow discovery — потрібні вимоги одного проєкту</x:v>
      </x:c>
      <x:c r="I252" s="16" t="n">
        <x:v>1</x:v>
      </x:c>
      <x:c r="J252" s="16" t="n">
        <x:v>5</x:v>
      </x:c>
      <x:c r="K252" s="16" t="n">
        <x:v>5</x:v>
      </x:c>
      <x:c r="L252" s="16" t="n">
        <x:v>5</x:v>
      </x:c>
      <x:c r="M252" s="16" t="n">
        <x:v>5</x:v>
      </x:c>
      <x:c r="N252" s="16" t="n">
        <x:v>5</x:v>
      </x:c>
      <x:c r="O252" s="16" t="n">
        <x:v>5</x:v>
      </x:c>
      <x:c r="P252" s="16" t="n">
        <x:f>IF(COUNT(I252:O252)&lt;7,"",I252*8+J252*3+K252*2+L252*2+M252*2+N252*2+O252)</x:f>
        <x:v>68</x:v>
      </x:c>
      <x:c r="Q252" s="16" t="n">
        <x:f>IF(COUNT(J252:O252)&lt;6,"",J252*5+K252*4+M252*4+L252*3+N252*2+O252*2)</x:f>
        <x:v>100</x:v>
      </x:c>
      <x:c r="R252" s="14" t="str">
        <x:v>high</x:v>
      </x:c>
      <x:c r="S252" s="14" t="str">
        <x:v>google_index_verified_2026-08-24</x:v>
      </x:c>
      <x:c r="T252" s="14" t="str">
        <x:v>indexed_official_service_page</x:v>
      </x:c>
      <x:c r="U252" s="14" t="str">
        <x:v>Новий — не контактували</x:v>
      </x:c>
      <x:c r="V252" s="15" t="str">
        <x:v>2-тижневий discovery: запросити вимоги 1 активного проєкту + 1 знеособлений артефакт</x:v>
      </x:c>
      <x:c r="W252" s="15" t="str">
        <x:v>Директор; керівник ПТО; головний зварювальник / контроль якості</x:v>
      </x:c>
      <x:c r="X252" s="15" t="str">
        <x:v>Промисловий монтаж трубопроводів. Пошуковий результат веде на індексовану сторінку корпоративного домену: Монтаж технологічних трубопроводів — ВП Техмаш.</x:v>
      </x:c>
      <x:c r="Y252" s="15" t="str">
        <x:v>Зварні стики, НК, опори, очищення, гідровипробування й ізоляція вимагають простежуваного пакета до закриття.</x:v>
      </x:c>
      <x:c r="Z252" s="15" t="str">
        <x:v>https://techmash.dp.ua/montazh-tekhnolohichnykh-truboprovodiv/</x:v>
      </x:c>
      <x:c r="AA252" s="14" t="str"/>
      <x:c r="AB252" s="14" t="str">
        <x:v>2026-08-24</x:v>
      </x:c>
      <x:c r="AC252" s="14" t="str">
        <x:v>Олександр</x:v>
      </x:c>
      <x:c r="AD252" s="20" t="str"/>
      <x:c r="AE252" s="14" t="str"/>
      <x:c r="AF252" s="14" t="n">
        <x:v>0</x:v>
      </x:c>
      <x:c r="AG252" s="14" t="str">
        <x:v>—</x:v>
      </x:c>
      <x:c r="AH252" s="14" t="n">
        <x:v>0</x:v>
      </x:c>
      <x:c r="AI252" s="14" t="n">
        <x:v>0</x:v>
      </x:c>
      <x:c r="AJ252" s="18" t="n">
        <x:v>0</x:v>
      </x:c>
      <x:c r="AK252" s="14" t="str"/>
      <x:c r="AL252" s="19" t="str"/>
      <x:c r="AM252" s="19" t="str"/>
      <x:c r="AN252" s="15" t="str"/>
      <x:c r="AO252" s="15" t="str">
        <x:v>google_index_verified_2026-08-24</x:v>
      </x:c>
    </x:row>
    <x:row r="253">
      <x:c r="A253" s="14" t="str">
        <x:v>W2-084</x:v>
      </x:c>
      <x:c r="B253" s="14" t="str">
        <x:v>Проєктний сигнал — 24.08</x:v>
      </x:c>
      <x:c r="C253" s="14" t="str">
        <x:v>Fortis PRO</x:v>
      </x:c>
      <x:c r="D253" s="14" t="str">
        <x:v>Технологічні трубопроводи</x:v>
      </x:c>
      <x:c r="E253" s="14" t="str">
        <x:v>Expansion discovery</x:v>
      </x:c>
      <x:c r="F253" s="17" t="str">
        <x:v>D1</x:v>
      </x:c>
      <x:c r="G253" s="14" t="str">
        <x:v>fortispro.com.ua</x:v>
      </x:c>
      <x:c r="H253" s="14" t="str">
        <x:v>2-тижневий workflow discovery — потрібні вимоги одного проєкту</x:v>
      </x:c>
      <x:c r="I253" s="16" t="n">
        <x:v>1</x:v>
      </x:c>
      <x:c r="J253" s="16" t="n">
        <x:v>5</x:v>
      </x:c>
      <x:c r="K253" s="16" t="n">
        <x:v>5</x:v>
      </x:c>
      <x:c r="L253" s="16" t="n">
        <x:v>5</x:v>
      </x:c>
      <x:c r="M253" s="16" t="n">
        <x:v>5</x:v>
      </x:c>
      <x:c r="N253" s="16" t="n">
        <x:v>5</x:v>
      </x:c>
      <x:c r="O253" s="16" t="n">
        <x:v>4</x:v>
      </x:c>
      <x:c r="P253" s="16" t="n">
        <x:f>IF(COUNT(I253:O253)&lt;7,"",I253*8+J253*3+K253*2+L253*2+M253*2+N253*2+O253)</x:f>
        <x:v>67</x:v>
      </x:c>
      <x:c r="Q253" s="16" t="n">
        <x:f>IF(COUNT(J253:O253)&lt;6,"",J253*5+K253*4+M253*4+L253*3+N253*2+O253*2)</x:f>
        <x:v>98</x:v>
      </x:c>
      <x:c r="R253" s="14" t="str">
        <x:v>medium</x:v>
      </x:c>
      <x:c r="S253" s="14" t="str">
        <x:v>google_index_verified_manual_check_2026-08-24</x:v>
      </x:c>
      <x:c r="T253" s="14" t="str">
        <x:v>indexed_official_page_manual_check</x:v>
      </x:c>
      <x:c r="U253" s="14" t="str">
        <x:v>Новий — не контактували</x:v>
      </x:c>
      <x:c r="V253" s="15" t="str">
        <x:v>2-тижневий discovery: запросити вимоги 1 активного проєкту + 1 знеособлений артефакт</x:v>
      </x:c>
      <x:c r="W253" s="15" t="str">
        <x:v>Директор; керівник ПТО; головний зварювальник / контроль якості</x:v>
      </x:c>
      <x:c r="X253" s="15" t="str">
        <x:v>Виробництво і монтаж промислового обладнання. Пошуковий результат веде на індексовану сторінку корпоративного домену: Fortis PRO.</x:v>
      </x:c>
      <x:c r="Y253" s="15" t="str">
        <x:v>Зварні стики, НК, опори, очищення, гідровипробування й ізоляція вимагають простежуваного пакета до закриття.</x:v>
      </x:c>
      <x:c r="Z253" s="15" t="str">
        <x:v>https://fortispro.com.ua/</x:v>
      </x:c>
      <x:c r="AA253" s="14" t="str"/>
      <x:c r="AB253" s="14" t="str">
        <x:v>2026-08-24</x:v>
      </x:c>
      <x:c r="AC253" s="14" t="str">
        <x:v>Олександр</x:v>
      </x:c>
      <x:c r="AD253" s="20" t="str"/>
      <x:c r="AE253" s="14" t="str"/>
      <x:c r="AF253" s="14" t="n">
        <x:v>0</x:v>
      </x:c>
      <x:c r="AG253" s="14" t="str">
        <x:v>—</x:v>
      </x:c>
      <x:c r="AH253" s="14" t="n">
        <x:v>0</x:v>
      </x:c>
      <x:c r="AI253" s="14" t="n">
        <x:v>0</x:v>
      </x:c>
      <x:c r="AJ253" s="18" t="n">
        <x:v>0</x:v>
      </x:c>
      <x:c r="AK253" s="14" t="str"/>
      <x:c r="AL253" s="19" t="str"/>
      <x:c r="AM253" s="19" t="str"/>
      <x:c r="AN253" s="15" t="str"/>
      <x:c r="AO253" s="15" t="str">
        <x:v>google_index_verified_manual_check_2026-08-24</x:v>
      </x:c>
    </x:row>
    <x:row r="254">
      <x:c r="A254" s="14" t="str">
        <x:v>W2-085</x:v>
      </x:c>
      <x:c r="B254" s="14" t="str">
        <x:v>Проєктний сигнал — 24.08</x:v>
      </x:c>
      <x:c r="C254" s="14" t="str">
        <x:v>Аспіт</x:v>
      </x:c>
      <x:c r="D254" s="14" t="str">
        <x:v>Технологічні трубопроводи</x:v>
      </x:c>
      <x:c r="E254" s="14" t="str">
        <x:v>Expansion discovery</x:v>
      </x:c>
      <x:c r="F254" s="17" t="str">
        <x:v>D1</x:v>
      </x:c>
      <x:c r="G254" s="14" t="str">
        <x:v>aspit.com.ua</x:v>
      </x:c>
      <x:c r="H254" s="14" t="str">
        <x:v>2-тижневий workflow discovery — потрібні вимоги одного проєкту</x:v>
      </x:c>
      <x:c r="I254" s="16" t="n">
        <x:v>1</x:v>
      </x:c>
      <x:c r="J254" s="16" t="n">
        <x:v>5</x:v>
      </x:c>
      <x:c r="K254" s="16" t="n">
        <x:v>5</x:v>
      </x:c>
      <x:c r="L254" s="16" t="n">
        <x:v>5</x:v>
      </x:c>
      <x:c r="M254" s="16" t="n">
        <x:v>5</x:v>
      </x:c>
      <x:c r="N254" s="16" t="n">
        <x:v>5</x:v>
      </x:c>
      <x:c r="O254" s="16" t="n">
        <x:v>5</x:v>
      </x:c>
      <x:c r="P254" s="16" t="n">
        <x:f>IF(COUNT(I254:O254)&lt;7,"",I254*8+J254*3+K254*2+L254*2+M254*2+N254*2+O254)</x:f>
        <x:v>68</x:v>
      </x:c>
      <x:c r="Q254" s="16" t="n">
        <x:f>IF(COUNT(J254:O254)&lt;6,"",J254*5+K254*4+M254*4+L254*3+N254*2+O254*2)</x:f>
        <x:v>100</x:v>
      </x:c>
      <x:c r="R254" s="14" t="str">
        <x:v>high</x:v>
      </x:c>
      <x:c r="S254" s="14" t="str">
        <x:v>google_index_verified_2026-08-24</x:v>
      </x:c>
      <x:c r="T254" s="14" t="str">
        <x:v>indexed_official_service_page</x:v>
      </x:c>
      <x:c r="U254" s="14" t="str">
        <x:v>Новий — не контактували</x:v>
      </x:c>
      <x:c r="V254" s="15" t="str">
        <x:v>2-тижневий discovery: запросити вимоги 1 активного проєкту + 1 знеособлений артефакт</x:v>
      </x:c>
      <x:c r="W254" s="15" t="str">
        <x:v>Директор; керівник ПТО; головний зварювальник / контроль якості</x:v>
      </x:c>
      <x:c r="X254" s="15" t="str">
        <x:v>Інженерні системи й трубопроводи під ключ. Пошуковий результат веде на індексовану сторінку корпоративного домену: Монтаж технологічних трубопроводів — Аспіт.</x:v>
      </x:c>
      <x:c r="Y254" s="15" t="str">
        <x:v>Зварні стики, НК, опори, очищення, гідровипробування й ізоляція вимагають простежуваного пакета до закриття.</x:v>
      </x:c>
      <x:c r="Z254" s="15" t="str">
        <x:v>https://www.aspit.com.ua/montazh-tekhnolohichnykh-truboprovodiv/</x:v>
      </x:c>
      <x:c r="AA254" s="14" t="str"/>
      <x:c r="AB254" s="14" t="str">
        <x:v>2026-08-24</x:v>
      </x:c>
      <x:c r="AC254" s="14" t="str">
        <x:v>Олександр</x:v>
      </x:c>
      <x:c r="AD254" s="20" t="str"/>
      <x:c r="AE254" s="14" t="str"/>
      <x:c r="AF254" s="14" t="n">
        <x:v>0</x:v>
      </x:c>
      <x:c r="AG254" s="14" t="str">
        <x:v>—</x:v>
      </x:c>
      <x:c r="AH254" s="14" t="n">
        <x:v>0</x:v>
      </x:c>
      <x:c r="AI254" s="14" t="n">
        <x:v>0</x:v>
      </x:c>
      <x:c r="AJ254" s="18" t="n">
        <x:v>0</x:v>
      </x:c>
      <x:c r="AK254" s="14" t="str"/>
      <x:c r="AL254" s="19" t="str"/>
      <x:c r="AM254" s="19" t="str"/>
      <x:c r="AN254" s="15" t="str"/>
      <x:c r="AO254" s="15" t="str">
        <x:v>google_index_verified_2026-08-24</x:v>
      </x:c>
    </x:row>
    <x:row r="255">
      <x:c r="A255" s="14" t="str">
        <x:v>W2-086</x:v>
      </x:c>
      <x:c r="B255" s="14" t="str">
        <x:v>Проєктний сигнал — 24.08</x:v>
      </x:c>
      <x:c r="C255" s="14" t="str">
        <x:v>Екопласт</x:v>
      </x:c>
      <x:c r="D255" s="14" t="str">
        <x:v>Технологічні трубопроводи</x:v>
      </x:c>
      <x:c r="E255" s="14" t="str">
        <x:v>Expansion discovery</x:v>
      </x:c>
      <x:c r="F255" s="17" t="str">
        <x:v>D1</x:v>
      </x:c>
      <x:c r="G255" s="14" t="str">
        <x:v>ekoplast.com.ua</x:v>
      </x:c>
      <x:c r="H255" s="14" t="str">
        <x:v>2-тижневий workflow discovery — потрібні вимоги одного проєкту</x:v>
      </x:c>
      <x:c r="I255" s="16" t="n">
        <x:v>1</x:v>
      </x:c>
      <x:c r="J255" s="16" t="n">
        <x:v>5</x:v>
      </x:c>
      <x:c r="K255" s="16" t="n">
        <x:v>5</x:v>
      </x:c>
      <x:c r="L255" s="16" t="n">
        <x:v>5</x:v>
      </x:c>
      <x:c r="M255" s="16" t="n">
        <x:v>5</x:v>
      </x:c>
      <x:c r="N255" s="16" t="n">
        <x:v>5</x:v>
      </x:c>
      <x:c r="O255" s="16" t="n">
        <x:v>5</x:v>
      </x:c>
      <x:c r="P255" s="16" t="n">
        <x:f>IF(COUNT(I255:O255)&lt;7,"",I255*8+J255*3+K255*2+L255*2+M255*2+N255*2+O255)</x:f>
        <x:v>68</x:v>
      </x:c>
      <x:c r="Q255" s="16" t="n">
        <x:f>IF(COUNT(J255:O255)&lt;6,"",J255*5+K255*4+M255*4+L255*3+N255*2+O255*2)</x:f>
        <x:v>100</x:v>
      </x:c>
      <x:c r="R255" s="14" t="str">
        <x:v>high</x:v>
      </x:c>
      <x:c r="S255" s="14" t="str">
        <x:v>google_index_verified_2026-08-24</x:v>
      </x:c>
      <x:c r="T255" s="14" t="str">
        <x:v>indexed_official_service_page</x:v>
      </x:c>
      <x:c r="U255" s="14" t="str">
        <x:v>Новий — не контактували</x:v>
      </x:c>
      <x:c r="V255" s="15" t="str">
        <x:v>2-тижневий discovery: запросити вимоги 1 активного проєкту + 1 знеособлений артефакт</x:v>
      </x:c>
      <x:c r="W255" s="15" t="str">
        <x:v>Директор; керівник ПТО; головний зварювальник / контроль якості</x:v>
      </x:c>
      <x:c r="X255" s="15" t="str">
        <x:v>Промислові трубопроводи та ємності. Пошуковий результат веде на індексовану сторінку корпоративного домену: Ємності та трубопроводи — Екопласт.</x:v>
      </x:c>
      <x:c r="Y255" s="15" t="str">
        <x:v>Зварні стики, НК, опори, очищення, гідровипробування й ізоляція вимагають простежуваного пакета до закриття.</x:v>
      </x:c>
      <x:c r="Z255" s="15" t="str">
        <x:v>https://ekoplast.com.ua/ua/2-articles/17-containers-pipes</x:v>
      </x:c>
      <x:c r="AA255" s="14" t="str"/>
      <x:c r="AB255" s="14" t="str">
        <x:v>2026-08-24</x:v>
      </x:c>
      <x:c r="AC255" s="14" t="str">
        <x:v>Олександр</x:v>
      </x:c>
      <x:c r="AD255" s="20" t="str"/>
      <x:c r="AE255" s="14" t="str"/>
      <x:c r="AF255" s="14" t="n">
        <x:v>0</x:v>
      </x:c>
      <x:c r="AG255" s="14" t="str">
        <x:v>—</x:v>
      </x:c>
      <x:c r="AH255" s="14" t="n">
        <x:v>0</x:v>
      </x:c>
      <x:c r="AI255" s="14" t="n">
        <x:v>0</x:v>
      </x:c>
      <x:c r="AJ255" s="18" t="n">
        <x:v>0</x:v>
      </x:c>
      <x:c r="AK255" s="14" t="str"/>
      <x:c r="AL255" s="19" t="str"/>
      <x:c r="AM255" s="19" t="str"/>
      <x:c r="AN255" s="15" t="str"/>
      <x:c r="AO255" s="15" t="str">
        <x:v>google_index_verified_2026-08-24</x:v>
      </x:c>
    </x:row>
    <x:row r="256">
      <x:c r="A256" s="14" t="str">
        <x:v>W2-087</x:v>
      </x:c>
      <x:c r="B256" s="14" t="str">
        <x:v>Проєктний сигнал — 24.08</x:v>
      </x:c>
      <x:c r="C256" s="14" t="str">
        <x:v>OLAND</x:v>
      </x:c>
      <x:c r="D256" s="14" t="str">
        <x:v>Технологічні трубопроводи</x:v>
      </x:c>
      <x:c r="E256" s="14" t="str">
        <x:v>Expansion discovery</x:v>
      </x:c>
      <x:c r="F256" s="17" t="str">
        <x:v>D1</x:v>
      </x:c>
      <x:c r="G256" s="14" t="str">
        <x:v>olandgroup.com.ua</x:v>
      </x:c>
      <x:c r="H256" s="14" t="str">
        <x:v>2-тижневий workflow discovery — потрібні вимоги одного проєкту</x:v>
      </x:c>
      <x:c r="I256" s="16" t="n">
        <x:v>1</x:v>
      </x:c>
      <x:c r="J256" s="16" t="n">
        <x:v>5</x:v>
      </x:c>
      <x:c r="K256" s="16" t="n">
        <x:v>5</x:v>
      </x:c>
      <x:c r="L256" s="16" t="n">
        <x:v>5</x:v>
      </x:c>
      <x:c r="M256" s="16" t="n">
        <x:v>5</x:v>
      </x:c>
      <x:c r="N256" s="16" t="n">
        <x:v>5</x:v>
      </x:c>
      <x:c r="O256" s="16" t="n">
        <x:v>5</x:v>
      </x:c>
      <x:c r="P256" s="16" t="n">
        <x:f>IF(COUNT(I256:O256)&lt;7,"",I256*8+J256*3+K256*2+L256*2+M256*2+N256*2+O256)</x:f>
        <x:v>68</x:v>
      </x:c>
      <x:c r="Q256" s="16" t="n">
        <x:f>IF(COUNT(J256:O256)&lt;6,"",J256*5+K256*4+M256*4+L256*3+N256*2+O256*2)</x:f>
        <x:v>100</x:v>
      </x:c>
      <x:c r="R256" s="14" t="str">
        <x:v>high</x:v>
      </x:c>
      <x:c r="S256" s="14" t="str">
        <x:v>google_index_verified_2026-08-24</x:v>
      </x:c>
      <x:c r="T256" s="14" t="str">
        <x:v>indexed_official_service_page</x:v>
      </x:c>
      <x:c r="U256" s="14" t="str">
        <x:v>Новий — не контактували</x:v>
      </x:c>
      <x:c r="V256" s="15" t="str">
        <x:v>2-тижневий discovery: запросити вимоги 1 активного проєкту + 1 знеособлений артефакт</x:v>
      </x:c>
      <x:c r="W256" s="15" t="str">
        <x:v>Директор; керівник ПТО; головний зварювальник / контроль якості</x:v>
      </x:c>
      <x:c r="X256" s="15" t="str">
        <x:v>Монтаж обігріву трубопроводів. Пошуковий результат веде на індексовану сторінку корпоративного домену: Системи кабельного обігріву — OLAND.</x:v>
      </x:c>
      <x:c r="Y256" s="15" t="str">
        <x:v>Зварні стики, НК, опори, очищення, гідровипробування й ізоляція вимагають простежуваного пакета до закриття.</x:v>
      </x:c>
      <x:c r="Z256" s="15" t="str">
        <x:v>https://olandgroup.com.ua/services/mounting/kabelnyj-obigriv/</x:v>
      </x:c>
      <x:c r="AA256" s="14" t="str"/>
      <x:c r="AB256" s="14" t="str">
        <x:v>2026-08-24</x:v>
      </x:c>
      <x:c r="AC256" s="14" t="str">
        <x:v>Олександр</x:v>
      </x:c>
      <x:c r="AD256" s="20" t="str"/>
      <x:c r="AE256" s="14" t="str"/>
      <x:c r="AF256" s="14" t="n">
        <x:v>0</x:v>
      </x:c>
      <x:c r="AG256" s="14" t="str">
        <x:v>—</x:v>
      </x:c>
      <x:c r="AH256" s="14" t="n">
        <x:v>0</x:v>
      </x:c>
      <x:c r="AI256" s="14" t="n">
        <x:v>0</x:v>
      </x:c>
      <x:c r="AJ256" s="18" t="n">
        <x:v>0</x:v>
      </x:c>
      <x:c r="AK256" s="14" t="str"/>
      <x:c r="AL256" s="19" t="str"/>
      <x:c r="AM256" s="19" t="str"/>
      <x:c r="AN256" s="15" t="str"/>
      <x:c r="AO256" s="15" t="str">
        <x:v>google_index_verified_2026-08-24</x:v>
      </x:c>
    </x:row>
    <x:row r="257">
      <x:c r="A257" s="14" t="str">
        <x:v>W2-088</x:v>
      </x:c>
      <x:c r="B257" s="14" t="str">
        <x:v>Проєктний сигнал — 24.08</x:v>
      </x:c>
      <x:c r="C257" s="14" t="str">
        <x:v>БМУ №460</x:v>
      </x:c>
      <x:c r="D257" s="14" t="str">
        <x:v>Технологічні трубопроводи</x:v>
      </x:c>
      <x:c r="E257" s="14" t="str">
        <x:v>Expansion discovery</x:v>
      </x:c>
      <x:c r="F257" s="17" t="str">
        <x:v>D1</x:v>
      </x:c>
      <x:c r="G257" s="14" t="str">
        <x:v>bmu460.com.ua</x:v>
      </x:c>
      <x:c r="H257" s="14" t="str">
        <x:v>2-тижневий workflow discovery — потрібні вимоги одного проєкту</x:v>
      </x:c>
      <x:c r="I257" s="16" t="n">
        <x:v>1</x:v>
      </x:c>
      <x:c r="J257" s="16" t="n">
        <x:v>5</x:v>
      </x:c>
      <x:c r="K257" s="16" t="n">
        <x:v>5</x:v>
      </x:c>
      <x:c r="L257" s="16" t="n">
        <x:v>5</x:v>
      </x:c>
      <x:c r="M257" s="16" t="n">
        <x:v>5</x:v>
      </x:c>
      <x:c r="N257" s="16" t="n">
        <x:v>5</x:v>
      </x:c>
      <x:c r="O257" s="16" t="n">
        <x:v>5</x:v>
      </x:c>
      <x:c r="P257" s="16" t="n">
        <x:f>IF(COUNT(I257:O257)&lt;7,"",I257*8+J257*3+K257*2+L257*2+M257*2+N257*2+O257)</x:f>
        <x:v>68</x:v>
      </x:c>
      <x:c r="Q257" s="16" t="n">
        <x:f>IF(COUNT(J257:O257)&lt;6,"",J257*5+K257*4+M257*4+L257*3+N257*2+O257*2)</x:f>
        <x:v>100</x:v>
      </x:c>
      <x:c r="R257" s="14" t="str">
        <x:v>high</x:v>
      </x:c>
      <x:c r="S257" s="14" t="str">
        <x:v>google_index_verified_2026-08-24</x:v>
      </x:c>
      <x:c r="T257" s="14" t="str">
        <x:v>indexed_official_service_page</x:v>
      </x:c>
      <x:c r="U257" s="14" t="str">
        <x:v>Новий — не контактували</x:v>
      </x:c>
      <x:c r="V257" s="15" t="str">
        <x:v>2-тижневий discovery: запросити вимоги 1 активного проєкту + 1 знеособлений артефакт</x:v>
      </x:c>
      <x:c r="W257" s="15" t="str">
        <x:v>Директор; керівник ПТО; головний зварювальник / контроль якості</x:v>
      </x:c>
      <x:c r="X257" s="15" t="str">
        <x:v>Промисловий і магістральний монтаж. Пошуковий результат веде на індексовану сторінку корпоративного домену: Монтаж технологічних і магістральних трубопроводів — БМУ №460.</x:v>
      </x:c>
      <x:c r="Y257" s="15" t="str">
        <x:v>Зварні стики, НК, опори, очищення, гідровипробування й ізоляція вимагають простежуваного пакета до закриття.</x:v>
      </x:c>
      <x:c r="Z257" s="15" t="str">
        <x:v>https://bmu460.com.ua/montagh-tehnologicheskih-i-magistralynyh-truboprovodov</x:v>
      </x:c>
      <x:c r="AA257" s="14" t="str"/>
      <x:c r="AB257" s="14" t="str">
        <x:v>2026-08-24</x:v>
      </x:c>
      <x:c r="AC257" s="14" t="str">
        <x:v>Олександр</x:v>
      </x:c>
      <x:c r="AD257" s="20" t="str"/>
      <x:c r="AE257" s="14" t="str"/>
      <x:c r="AF257" s="14" t="n">
        <x:v>0</x:v>
      </x:c>
      <x:c r="AG257" s="14" t="str">
        <x:v>—</x:v>
      </x:c>
      <x:c r="AH257" s="14" t="n">
        <x:v>0</x:v>
      </x:c>
      <x:c r="AI257" s="14" t="n">
        <x:v>0</x:v>
      </x:c>
      <x:c r="AJ257" s="18" t="n">
        <x:v>0</x:v>
      </x:c>
      <x:c r="AK257" s="14" t="str"/>
      <x:c r="AL257" s="19" t="str"/>
      <x:c r="AM257" s="19" t="str"/>
      <x:c r="AN257" s="15" t="str"/>
      <x:c r="AO257" s="15" t="str">
        <x:v>google_index_verified_2026-08-24</x:v>
      </x:c>
    </x:row>
    <x:row r="258">
      <x:c r="A258" s="14" t="str">
        <x:v>W2-089</x:v>
      </x:c>
      <x:c r="B258" s="14" t="str">
        <x:v>Проєктний сигнал — 24.08</x:v>
      </x:c>
      <x:c r="C258" s="14" t="str">
        <x:v>PVCPIPE.UA</x:v>
      </x:c>
      <x:c r="D258" s="14" t="str">
        <x:v>Технологічні трубопроводи</x:v>
      </x:c>
      <x:c r="E258" s="14" t="str">
        <x:v>Expansion discovery</x:v>
      </x:c>
      <x:c r="F258" s="17" t="str">
        <x:v>D1</x:v>
      </x:c>
      <x:c r="G258" s="14" t="str">
        <x:v>pvcpipe.ua</x:v>
      </x:c>
      <x:c r="H258" s="14" t="str">
        <x:v>2-тижневий workflow discovery — потрібні вимоги одного проєкту</x:v>
      </x:c>
      <x:c r="I258" s="16" t="n">
        <x:v>1</x:v>
      </x:c>
      <x:c r="J258" s="16" t="n">
        <x:v>5</x:v>
      </x:c>
      <x:c r="K258" s="16" t="n">
        <x:v>5</x:v>
      </x:c>
      <x:c r="L258" s="16" t="n">
        <x:v>5</x:v>
      </x:c>
      <x:c r="M258" s="16" t="n">
        <x:v>5</x:v>
      </x:c>
      <x:c r="N258" s="16" t="n">
        <x:v>5</x:v>
      </x:c>
      <x:c r="O258" s="16" t="n">
        <x:v>5</x:v>
      </x:c>
      <x:c r="P258" s="16" t="n">
        <x:f>IF(COUNT(I258:O258)&lt;7,"",I258*8+J258*3+K258*2+L258*2+M258*2+N258*2+O258)</x:f>
        <x:v>68</x:v>
      </x:c>
      <x:c r="Q258" s="16" t="n">
        <x:f>IF(COUNT(J258:O258)&lt;6,"",J258*5+K258*4+M258*4+L258*3+N258*2+O258*2)</x:f>
        <x:v>100</x:v>
      </x:c>
      <x:c r="R258" s="14" t="str">
        <x:v>high</x:v>
      </x:c>
      <x:c r="S258" s="14" t="str">
        <x:v>google_index_verified_2026-08-24</x:v>
      </x:c>
      <x:c r="T258" s="14" t="str">
        <x:v>indexed_official_service_page</x:v>
      </x:c>
      <x:c r="U258" s="14" t="str">
        <x:v>Новий — не контактували</x:v>
      </x:c>
      <x:c r="V258" s="15" t="str">
        <x:v>2-тижневий discovery: запросити вимоги 1 активного проєкту + 1 знеособлений артефакт</x:v>
      </x:c>
      <x:c r="W258" s="15" t="str">
        <x:v>Директор; керівник ПТО; головний зварювальник / контроль якості</x:v>
      </x:c>
      <x:c r="X258" s="15" t="str">
        <x:v>Проєктування і монтаж пластикових трубопроводів. Пошуковий результат веде на індексовану сторінку корпоративного домену: Промислові трубопроводи з пластика — PVCPIPE.UA.</x:v>
      </x:c>
      <x:c r="Y258" s="15" t="str">
        <x:v>Зварні стики, НК, опори, очищення, гідровипробування й ізоляція вимагають простежуваного пакета до закриття.</x:v>
      </x:c>
      <x:c r="Z258" s="15" t="str">
        <x:v>https://pvcpipe.ua/ua/promyshlennye-truboprovody-iz-plastika/</x:v>
      </x:c>
      <x:c r="AA258" s="14" t="str"/>
      <x:c r="AB258" s="14" t="str">
        <x:v>2026-08-24</x:v>
      </x:c>
      <x:c r="AC258" s="14" t="str">
        <x:v>Олександр</x:v>
      </x:c>
      <x:c r="AD258" s="20" t="str"/>
      <x:c r="AE258" s="14" t="str"/>
      <x:c r="AF258" s="14" t="n">
        <x:v>0</x:v>
      </x:c>
      <x:c r="AG258" s="14" t="str">
        <x:v>—</x:v>
      </x:c>
      <x:c r="AH258" s="14" t="n">
        <x:v>0</x:v>
      </x:c>
      <x:c r="AI258" s="14" t="n">
        <x:v>0</x:v>
      </x:c>
      <x:c r="AJ258" s="18" t="n">
        <x:v>0</x:v>
      </x:c>
      <x:c r="AK258" s="14" t="str"/>
      <x:c r="AL258" s="19" t="str"/>
      <x:c r="AM258" s="19" t="str"/>
      <x:c r="AN258" s="15" t="str"/>
      <x:c r="AO258" s="15" t="str">
        <x:v>google_index_verified_2026-08-24</x:v>
      </x:c>
    </x:row>
    <x:row r="259">
      <x:c r="A259" s="14" t="str">
        <x:v>W2-090</x:v>
      </x:c>
      <x:c r="B259" s="14" t="str">
        <x:v>Проєктний сигнал — 24.08</x:v>
      </x:c>
      <x:c r="C259" s="14" t="str">
        <x:v>Ukrainian Bridge Company</x:v>
      </x:c>
      <x:c r="D259" s="14" t="str">
        <x:v>Мости та інфраструктура</x:v>
      </x:c>
      <x:c r="E259" s="14" t="str">
        <x:v>Expansion discovery</x:v>
      </x:c>
      <x:c r="F259" s="17" t="str">
        <x:v>D1</x:v>
      </x:c>
      <x:c r="G259" s="14" t="str">
        <x:v>ukrbridge.com</x:v>
      </x:c>
      <x:c r="H259" s="14" t="str">
        <x:v>2-тижневий workflow discovery — потрібні вимоги одного проєкту</x:v>
      </x:c>
      <x:c r="I259" s="16" t="n">
        <x:v>1</x:v>
      </x:c>
      <x:c r="J259" s="16" t="n">
        <x:v>5</x:v>
      </x:c>
      <x:c r="K259" s="16" t="n">
        <x:v>5</x:v>
      </x:c>
      <x:c r="L259" s="16" t="n">
        <x:v>5</x:v>
      </x:c>
      <x:c r="M259" s="16" t="n">
        <x:v>5</x:v>
      </x:c>
      <x:c r="N259" s="16" t="n">
        <x:v>5</x:v>
      </x:c>
      <x:c r="O259" s="16" t="n">
        <x:v>5</x:v>
      </x:c>
      <x:c r="P259" s="16" t="n">
        <x:f>IF(COUNT(I259:O259)&lt;7,"",I259*8+J259*3+K259*2+L259*2+M259*2+N259*2+O259)</x:f>
        <x:v>68</x:v>
      </x:c>
      <x:c r="Q259" s="16" t="n">
        <x:f>IF(COUNT(J259:O259)&lt;6,"",J259*5+K259*4+M259*4+L259*3+N259*2+O259*2)</x:f>
        <x:v>100</x:v>
      </x:c>
      <x:c r="R259" s="14" t="str">
        <x:v>high</x:v>
      </x:c>
      <x:c r="S259" s="14" t="str">
        <x:v>google_index_verified_2026-08-24</x:v>
      </x:c>
      <x:c r="T259" s="14" t="str">
        <x:v>indexed_official_service_page</x:v>
      </x:c>
      <x:c r="U259" s="14" t="str">
        <x:v>Новий — не контактували</x:v>
      </x:c>
      <x:c r="V259" s="15" t="str">
        <x:v>2-тижневий discovery: запросити вимоги 1 активного проєкту + 1 знеособлений артефакт</x:v>
      </x:c>
      <x:c r="W259" s="15" t="str">
        <x:v>Комерційний директор; головний інженер; керівник ПТО / якості</x:v>
      </x:c>
      <x:c r="X259" s="15" t="str">
        <x:v>Будівництво і ремонт мостів. Пошуковий результат веде на індексовану сторінку корпоративного домену: Послуги — Ukrainian Bridge Company.</x:v>
      </x:c>
      <x:c r="Y259" s="15" t="str">
        <x:v>Армування, опори, зварювання, бетонування, гідроізоляція й лабораторні протоколи приймаються до наступного шару.</x:v>
      </x:c>
      <x:c r="Z259" s="15" t="str">
        <x:v>https://ukrbridge.com/services/</x:v>
      </x:c>
      <x:c r="AA259" s="14" t="str"/>
      <x:c r="AB259" s="14" t="str">
        <x:v>2026-08-24</x:v>
      </x:c>
      <x:c r="AC259" s="14" t="str">
        <x:v>Олександр</x:v>
      </x:c>
      <x:c r="AD259" s="20" t="str"/>
      <x:c r="AE259" s="14" t="str"/>
      <x:c r="AF259" s="14" t="n">
        <x:v>0</x:v>
      </x:c>
      <x:c r="AG259" s="14" t="str">
        <x:v>—</x:v>
      </x:c>
      <x:c r="AH259" s="14" t="n">
        <x:v>0</x:v>
      </x:c>
      <x:c r="AI259" s="14" t="n">
        <x:v>0</x:v>
      </x:c>
      <x:c r="AJ259" s="18" t="n">
        <x:v>0</x:v>
      </x:c>
      <x:c r="AK259" s="14" t="str"/>
      <x:c r="AL259" s="19" t="str"/>
      <x:c r="AM259" s="19" t="str"/>
      <x:c r="AN259" s="15" t="str"/>
      <x:c r="AO259" s="15" t="str">
        <x:v>google_index_verified_2026-08-24</x:v>
      </x:c>
    </x:row>
    <x:row r="260">
      <x:c r="A260" s="14" t="str">
        <x:v>W2-091</x:v>
      </x:c>
      <x:c r="B260" s="14" t="str">
        <x:v>Проєктний сигнал — 24.08</x:v>
      </x:c>
      <x:c r="C260" s="14" t="str">
        <x:v>URD</x:v>
      </x:c>
      <x:c r="D260" s="14" t="str">
        <x:v>Мости та інфраструктура</x:v>
      </x:c>
      <x:c r="E260" s="14" t="str">
        <x:v>Expansion discovery</x:v>
      </x:c>
      <x:c r="F260" s="17" t="str">
        <x:v>D1</x:v>
      </x:c>
      <x:c r="G260" s="14" t="str">
        <x:v>urd.in.ua</x:v>
      </x:c>
      <x:c r="H260" s="14" t="str">
        <x:v>2-тижневий workflow discovery — потрібні вимоги одного проєкту</x:v>
      </x:c>
      <x:c r="I260" s="16" t="n">
        <x:v>1</x:v>
      </x:c>
      <x:c r="J260" s="16" t="n">
        <x:v>5</x:v>
      </x:c>
      <x:c r="K260" s="16" t="n">
        <x:v>5</x:v>
      </x:c>
      <x:c r="L260" s="16" t="n">
        <x:v>5</x:v>
      </x:c>
      <x:c r="M260" s="16" t="n">
        <x:v>5</x:v>
      </x:c>
      <x:c r="N260" s="16" t="n">
        <x:v>5</x:v>
      </x:c>
      <x:c r="O260" s="16" t="n">
        <x:v>5</x:v>
      </x:c>
      <x:c r="P260" s="16" t="n">
        <x:f>IF(COUNT(I260:O260)&lt;7,"",I260*8+J260*3+K260*2+L260*2+M260*2+N260*2+O260)</x:f>
        <x:v>68</x:v>
      </x:c>
      <x:c r="Q260" s="16" t="n">
        <x:f>IF(COUNT(J260:O260)&lt;6,"",J260*5+K260*4+M260*4+L260*3+N260*2+O260*2)</x:f>
        <x:v>100</x:v>
      </x:c>
      <x:c r="R260" s="14" t="str">
        <x:v>high</x:v>
      </x:c>
      <x:c r="S260" s="14" t="str">
        <x:v>google_index_verified_2026-08-24</x:v>
      </x:c>
      <x:c r="T260" s="14" t="str">
        <x:v>indexed_official_service_page</x:v>
      </x:c>
      <x:c r="U260" s="14" t="str">
        <x:v>Новий — не контактували</x:v>
      </x:c>
      <x:c r="V260" s="15" t="str">
        <x:v>2-тижневий discovery: запросити вимоги 1 активного проєкту + 1 знеособлений артефакт</x:v>
      </x:c>
      <x:c r="W260" s="15" t="str">
        <x:v>Комерційний директор; головний інженер; керівник ПТО / якості</x:v>
      </x:c>
      <x:c r="X260" s="15" t="str">
        <x:v>Публічне портфоліо мостових робіт. Пошуковий результат веде на індексовану сторінку корпоративного домену: Портфоліо мостів — URD.</x:v>
      </x:c>
      <x:c r="Y260" s="15" t="str">
        <x:v>Армування, опори, зварювання, бетонування, гідроізоляція й лабораторні протоколи приймаються до наступного шару.</x:v>
      </x:c>
      <x:c r="Z260" s="15" t="str">
        <x:v>https://urd.in.ua/mosty/portfolio/</x:v>
      </x:c>
      <x:c r="AA260" s="14" t="str"/>
      <x:c r="AB260" s="14" t="str">
        <x:v>2026-08-24</x:v>
      </x:c>
      <x:c r="AC260" s="14" t="str">
        <x:v>Олександр</x:v>
      </x:c>
      <x:c r="AD260" s="20" t="str"/>
      <x:c r="AE260" s="14" t="str"/>
      <x:c r="AF260" s="14" t="n">
        <x:v>0</x:v>
      </x:c>
      <x:c r="AG260" s="14" t="str">
        <x:v>—</x:v>
      </x:c>
      <x:c r="AH260" s="14" t="n">
        <x:v>0</x:v>
      </x:c>
      <x:c r="AI260" s="14" t="n">
        <x:v>0</x:v>
      </x:c>
      <x:c r="AJ260" s="18" t="n">
        <x:v>0</x:v>
      </x:c>
      <x:c r="AK260" s="14" t="str"/>
      <x:c r="AL260" s="19" t="str"/>
      <x:c r="AM260" s="19" t="str"/>
      <x:c r="AN260" s="15" t="str"/>
      <x:c r="AO260" s="15" t="str">
        <x:v>google_index_verified_2026-08-24</x:v>
      </x:c>
    </x:row>
    <x:row r="261">
      <x:c r="A261" s="14" t="str">
        <x:v>W2-092</x:v>
      </x:c>
      <x:c r="B261" s="14" t="str">
        <x:v>Проєктний сигнал — 24.08</x:v>
      </x:c>
      <x:c r="C261" s="14" t="str">
        <x:v>Об'єднана Мостобудівельна Компанія</x:v>
      </x:c>
      <x:c r="D261" s="14" t="str">
        <x:v>Мости та інфраструктура</x:v>
      </x:c>
      <x:c r="E261" s="14" t="str">
        <x:v>Expansion discovery</x:v>
      </x:c>
      <x:c r="F261" s="17" t="str">
        <x:v>D1</x:v>
      </x:c>
      <x:c r="G261" s="14" t="str">
        <x:v>omk.industries</x:v>
      </x:c>
      <x:c r="H261" s="14" t="str">
        <x:v>2-тижневий workflow discovery — потрібні вимоги одного проєкту</x:v>
      </x:c>
      <x:c r="I261" s="16" t="n">
        <x:v>1</x:v>
      </x:c>
      <x:c r="J261" s="16" t="n">
        <x:v>5</x:v>
      </x:c>
      <x:c r="K261" s="16" t="n">
        <x:v>5</x:v>
      </x:c>
      <x:c r="L261" s="16" t="n">
        <x:v>5</x:v>
      </x:c>
      <x:c r="M261" s="16" t="n">
        <x:v>5</x:v>
      </x:c>
      <x:c r="N261" s="16" t="n">
        <x:v>5</x:v>
      </x:c>
      <x:c r="O261" s="16" t="n">
        <x:v>5</x:v>
      </x:c>
      <x:c r="P261" s="16" t="n">
        <x:f>IF(COUNT(I261:O261)&lt;7,"",I261*8+J261*3+K261*2+L261*2+M261*2+N261*2+O261)</x:f>
        <x:v>68</x:v>
      </x:c>
      <x:c r="Q261" s="16" t="n">
        <x:f>IF(COUNT(J261:O261)&lt;6,"",J261*5+K261*4+M261*4+L261*3+N261*2+O261*2)</x:f>
        <x:v>100</x:v>
      </x:c>
      <x:c r="R261" s="14" t="str">
        <x:v>high</x:v>
      </x:c>
      <x:c r="S261" s="14" t="str">
        <x:v>google_index_verified_2026-08-24</x:v>
      </x:c>
      <x:c r="T261" s="14" t="str">
        <x:v>indexed_official_service_page</x:v>
      </x:c>
      <x:c r="U261" s="14" t="str">
        <x:v>Новий — не контактували</x:v>
      </x:c>
      <x:c r="V261" s="15" t="str">
        <x:v>2-тижневий discovery: запросити вимоги 1 активного проєкту + 1 знеособлений артефакт</x:v>
      </x:c>
      <x:c r="W261" s="15" t="str">
        <x:v>Комерційний директор; головний інженер; керівник ПТО / якості</x:v>
      </x:c>
      <x:c r="X261" s="15" t="str">
        <x:v>Спеціалізований мостобудівельний підрядник. Пошуковий результат веде на індексовану сторінку корпоративного домену: Об'єднана Мостобудівельна Компанія.</x:v>
      </x:c>
      <x:c r="Y261" s="15" t="str">
        <x:v>Армування, опори, зварювання, бетонування, гідроізоляція й лабораторні протоколи приймаються до наступного шару.</x:v>
      </x:c>
      <x:c r="Z261" s="15" t="str">
        <x:v>https://omk.industries/</x:v>
      </x:c>
      <x:c r="AA261" s="14" t="str"/>
      <x:c r="AB261" s="14" t="str">
        <x:v>2026-08-24</x:v>
      </x:c>
      <x:c r="AC261" s="14" t="str">
        <x:v>Олександр</x:v>
      </x:c>
      <x:c r="AD261" s="20" t="str"/>
      <x:c r="AE261" s="14" t="str"/>
      <x:c r="AF261" s="14" t="n">
        <x:v>0</x:v>
      </x:c>
      <x:c r="AG261" s="14" t="str">
        <x:v>—</x:v>
      </x:c>
      <x:c r="AH261" s="14" t="n">
        <x:v>0</x:v>
      </x:c>
      <x:c r="AI261" s="14" t="n">
        <x:v>0</x:v>
      </x:c>
      <x:c r="AJ261" s="18" t="n">
        <x:v>0</x:v>
      </x:c>
      <x:c r="AK261" s="14" t="str"/>
      <x:c r="AL261" s="19" t="str"/>
      <x:c r="AM261" s="19" t="str"/>
      <x:c r="AN261" s="15" t="str"/>
      <x:c r="AO261" s="15" t="str">
        <x:v>google_index_verified_2026-08-24</x:v>
      </x:c>
    </x:row>
    <x:row r="262">
      <x:c r="A262" s="14" t="str">
        <x:v>W2-093</x:v>
      </x:c>
      <x:c r="B262" s="14" t="str">
        <x:v>Проєктний сигнал — 24.08</x:v>
      </x:c>
      <x:c r="C262" s="14" t="str">
        <x:v>RGM Group</x:v>
      </x:c>
      <x:c r="D262" s="14" t="str">
        <x:v>Мости та інфраструктура</x:v>
      </x:c>
      <x:c r="E262" s="14" t="str">
        <x:v>Expansion discovery</x:v>
      </x:c>
      <x:c r="F262" s="17" t="str">
        <x:v>D1</x:v>
      </x:c>
      <x:c r="G262" s="14" t="str">
        <x:v>rgm-group.com.ua</x:v>
      </x:c>
      <x:c r="H262" s="14" t="str">
        <x:v>2-тижневий workflow discovery — потрібні вимоги одного проєкту</x:v>
      </x:c>
      <x:c r="I262" s="16" t="n">
        <x:v>1</x:v>
      </x:c>
      <x:c r="J262" s="16" t="n">
        <x:v>5</x:v>
      </x:c>
      <x:c r="K262" s="16" t="n">
        <x:v>5</x:v>
      </x:c>
      <x:c r="L262" s="16" t="n">
        <x:v>5</x:v>
      </x:c>
      <x:c r="M262" s="16" t="n">
        <x:v>5</x:v>
      </x:c>
      <x:c r="N262" s="16" t="n">
        <x:v>5</x:v>
      </x:c>
      <x:c r="O262" s="16" t="n">
        <x:v>5</x:v>
      </x:c>
      <x:c r="P262" s="16" t="n">
        <x:f>IF(COUNT(I262:O262)&lt;7,"",I262*8+J262*3+K262*2+L262*2+M262*2+N262*2+O262)</x:f>
        <x:v>68</x:v>
      </x:c>
      <x:c r="Q262" s="16" t="n">
        <x:f>IF(COUNT(J262:O262)&lt;6,"",J262*5+K262*4+M262*4+L262*3+N262*2+O262*2)</x:f>
        <x:v>100</x:v>
      </x:c>
      <x:c r="R262" s="14" t="str">
        <x:v>high</x:v>
      </x:c>
      <x:c r="S262" s="14" t="str">
        <x:v>google_index_verified_2026-08-24</x:v>
      </x:c>
      <x:c r="T262" s="14" t="str">
        <x:v>indexed_official_service_page</x:v>
      </x:c>
      <x:c r="U262" s="14" t="str">
        <x:v>Новий — не контактували</x:v>
      </x:c>
      <x:c r="V262" s="15" t="str">
        <x:v>2-тижневий discovery: запросити вимоги 1 активного проєкту + 1 знеособлений артефакт</x:v>
      </x:c>
      <x:c r="W262" s="15" t="str">
        <x:v>Комерційний директор; головний інженер; керівник ПТО / якості</x:v>
      </x:c>
      <x:c r="X262" s="15" t="str">
        <x:v>Будівництво і ремонт мостів. Пошуковий результат веде на індексовану сторінку корпоративного домену: Мости — RGM Group.</x:v>
      </x:c>
      <x:c r="Y262" s="15" t="str">
        <x:v>Армування, опори, зварювання, бетонування, гідроізоляція й лабораторні протоколи приймаються до наступного шару.</x:v>
      </x:c>
      <x:c r="Z262" s="15" t="str">
        <x:v>https://rgm-group.com.ua/mosty/</x:v>
      </x:c>
      <x:c r="AA262" s="14" t="str"/>
      <x:c r="AB262" s="14" t="str">
        <x:v>2026-08-24</x:v>
      </x:c>
      <x:c r="AC262" s="14" t="str">
        <x:v>Олександр</x:v>
      </x:c>
      <x:c r="AD262" s="20" t="str"/>
      <x:c r="AE262" s="14" t="str"/>
      <x:c r="AF262" s="14" t="n">
        <x:v>0</x:v>
      </x:c>
      <x:c r="AG262" s="14" t="str">
        <x:v>—</x:v>
      </x:c>
      <x:c r="AH262" s="14" t="n">
        <x:v>0</x:v>
      </x:c>
      <x:c r="AI262" s="14" t="n">
        <x:v>0</x:v>
      </x:c>
      <x:c r="AJ262" s="18" t="n">
        <x:v>0</x:v>
      </x:c>
      <x:c r="AK262" s="14" t="str"/>
      <x:c r="AL262" s="19" t="str"/>
      <x:c r="AM262" s="19" t="str"/>
      <x:c r="AN262" s="15" t="str"/>
      <x:c r="AO262" s="15" t="str">
        <x:v>google_index_verified_2026-08-24</x:v>
      </x:c>
    </x:row>
    <x:row r="263">
      <x:c r="A263" s="14" t="str">
        <x:v>W2-094</x:v>
      </x:c>
      <x:c r="B263" s="14" t="str">
        <x:v>Проєктний сигнал — 24.08</x:v>
      </x:c>
      <x:c r="C263" s="14" t="str">
        <x:v>Автомагістраль-Південь</x:v>
      </x:c>
      <x:c r="D263" s="14" t="str">
        <x:v>Мости та інфраструктура</x:v>
      </x:c>
      <x:c r="E263" s="14" t="str">
        <x:v>Expansion discovery</x:v>
      </x:c>
      <x:c r="F263" s="17" t="str">
        <x:v>D1</x:v>
      </x:c>
      <x:c r="G263" s="14" t="str">
        <x:v>automagistral.com.ua</x:v>
      </x:c>
      <x:c r="H263" s="14" t="str">
        <x:v>2-тижневий workflow discovery — потрібні вимоги одного проєкту</x:v>
      </x:c>
      <x:c r="I263" s="16" t="n">
        <x:v>1</x:v>
      </x:c>
      <x:c r="J263" s="16" t="n">
        <x:v>5</x:v>
      </x:c>
      <x:c r="K263" s="16" t="n">
        <x:v>5</x:v>
      </x:c>
      <x:c r="L263" s="16" t="n">
        <x:v>5</x:v>
      </x:c>
      <x:c r="M263" s="16" t="n">
        <x:v>5</x:v>
      </x:c>
      <x:c r="N263" s="16" t="n">
        <x:v>5</x:v>
      </x:c>
      <x:c r="O263" s="16" t="n">
        <x:v>5</x:v>
      </x:c>
      <x:c r="P263" s="16" t="n">
        <x:f>IF(COUNT(I263:O263)&lt;7,"",I263*8+J263*3+K263*2+L263*2+M263*2+N263*2+O263)</x:f>
        <x:v>68</x:v>
      </x:c>
      <x:c r="Q263" s="16" t="n">
        <x:f>IF(COUNT(J263:O263)&lt;6,"",J263*5+K263*4+M263*4+L263*3+N263*2+O263*2)</x:f>
        <x:v>100</x:v>
      </x:c>
      <x:c r="R263" s="14" t="str">
        <x:v>high</x:v>
      </x:c>
      <x:c r="S263" s="14" t="str">
        <x:v>google_index_verified_2026-08-24</x:v>
      </x:c>
      <x:c r="T263" s="14" t="str">
        <x:v>indexed_official_service_page</x:v>
      </x:c>
      <x:c r="U263" s="14" t="str">
        <x:v>Новий — не контактували</x:v>
      </x:c>
      <x:c r="V263" s="15" t="str">
        <x:v>2-тижневий discovery: запросити вимоги 1 активного проєкту + 1 знеособлений артефакт</x:v>
      </x:c>
      <x:c r="W263" s="15" t="str">
        <x:v>Комерційний директор; головний інженер; керівник ПТО / якості</x:v>
      </x:c>
      <x:c r="X263" s="15" t="str">
        <x:v>Окремий мостобудівельний підрозділ. Пошуковий результат веде на індексовану сторінку корпоративного домену: Мостобудівельний підрозділ — Автомагістраль-Південь.</x:v>
      </x:c>
      <x:c r="Y263" s="15" t="str">
        <x:v>Армування, опори, зварювання, бетонування, гідроізоляція й лабораторні протоколи приймаються до наступного шару.</x:v>
      </x:c>
      <x:c r="Z263" s="15" t="str">
        <x:v>https://automagistral.com.ua/mostobudivelnyi-pidrozdil/</x:v>
      </x:c>
      <x:c r="AA263" s="14" t="str"/>
      <x:c r="AB263" s="14" t="str">
        <x:v>2026-08-24</x:v>
      </x:c>
      <x:c r="AC263" s="14" t="str">
        <x:v>Олександр</x:v>
      </x:c>
      <x:c r="AD263" s="20" t="str"/>
      <x:c r="AE263" s="14" t="str"/>
      <x:c r="AF263" s="14" t="n">
        <x:v>0</x:v>
      </x:c>
      <x:c r="AG263" s="14" t="str">
        <x:v>—</x:v>
      </x:c>
      <x:c r="AH263" s="14" t="n">
        <x:v>0</x:v>
      </x:c>
      <x:c r="AI263" s="14" t="n">
        <x:v>0</x:v>
      </x:c>
      <x:c r="AJ263" s="18" t="n">
        <x:v>0</x:v>
      </x:c>
      <x:c r="AK263" s="14" t="str"/>
      <x:c r="AL263" s="19" t="str"/>
      <x:c r="AM263" s="19" t="str"/>
      <x:c r="AN263" s="15" t="str"/>
      <x:c r="AO263" s="15" t="str">
        <x:v>google_index_verified_2026-08-24</x:v>
      </x:c>
    </x:row>
    <x:row r="264">
      <x:c r="A264" s="14" t="str">
        <x:v>W2-095</x:v>
      </x:c>
      <x:c r="B264" s="14" t="str">
        <x:v>Проєктний сигнал — 24.08</x:v>
      </x:c>
      <x:c r="C264" s="14" t="str">
        <x:v>Monolit Group</x:v>
      </x:c>
      <x:c r="D264" s="14" t="str">
        <x:v>Мости та інфраструктура</x:v>
      </x:c>
      <x:c r="E264" s="14" t="str">
        <x:v>Expansion discovery</x:v>
      </x:c>
      <x:c r="F264" s="17" t="str">
        <x:v>D1</x:v>
      </x:c>
      <x:c r="G264" s="14" t="str">
        <x:v>monolit-grup.com.ua</x:v>
      </x:c>
      <x:c r="H264" s="14" t="str">
        <x:v>2-тижневий workflow discovery — потрібні вимоги одного проєкту</x:v>
      </x:c>
      <x:c r="I264" s="16" t="n">
        <x:v>1</x:v>
      </x:c>
      <x:c r="J264" s="16" t="n">
        <x:v>5</x:v>
      </x:c>
      <x:c r="K264" s="16" t="n">
        <x:v>5</x:v>
      </x:c>
      <x:c r="L264" s="16" t="n">
        <x:v>5</x:v>
      </x:c>
      <x:c r="M264" s="16" t="n">
        <x:v>5</x:v>
      </x:c>
      <x:c r="N264" s="16" t="n">
        <x:v>5</x:v>
      </x:c>
      <x:c r="O264" s="16" t="n">
        <x:v>5</x:v>
      </x:c>
      <x:c r="P264" s="16" t="n">
        <x:f>IF(COUNT(I264:O264)&lt;7,"",I264*8+J264*3+K264*2+L264*2+M264*2+N264*2+O264)</x:f>
        <x:v>68</x:v>
      </x:c>
      <x:c r="Q264" s="16" t="n">
        <x:f>IF(COUNT(J264:O264)&lt;6,"",J264*5+K264*4+M264*4+L264*3+N264*2+O264*2)</x:f>
        <x:v>100</x:v>
      </x:c>
      <x:c r="R264" s="14" t="str">
        <x:v>high</x:v>
      </x:c>
      <x:c r="S264" s="14" t="str">
        <x:v>google_index_verified_2026-08-24</x:v>
      </x:c>
      <x:c r="T264" s="14" t="str">
        <x:v>indexed_official_service_page</x:v>
      </x:c>
      <x:c r="U264" s="14" t="str">
        <x:v>Новий — не контактували</x:v>
      </x:c>
      <x:c r="V264" s="15" t="str">
        <x:v>2-тижневий discovery: запросити вимоги 1 активного проєкту + 1 знеособлений артефакт</x:v>
      </x:c>
      <x:c r="W264" s="15" t="str">
        <x:v>Комерційний директор; головний інженер; керівник ПТО / якості</x:v>
      </x:c>
      <x:c r="X264" s="15" t="str">
        <x:v>Мостове будівництво. Пошуковий результат веде на індексовану сторінку корпоративного домену: Будівництво мостів — Monolit Group.</x:v>
      </x:c>
      <x:c r="Y264" s="15" t="str">
        <x:v>Армування, опори, зварювання, бетонування, гідроізоляція й лабораторні протоколи приймаються до наступного шару.</x:v>
      </x:c>
      <x:c r="Z264" s="15" t="str">
        <x:v>https://monolit-grup.com.ua/stroitelstvo-mostov/</x:v>
      </x:c>
      <x:c r="AA264" s="14" t="str"/>
      <x:c r="AB264" s="14" t="str">
        <x:v>2026-08-24</x:v>
      </x:c>
      <x:c r="AC264" s="14" t="str">
        <x:v>Олександр</x:v>
      </x:c>
      <x:c r="AD264" s="20" t="str"/>
      <x:c r="AE264" s="14" t="str"/>
      <x:c r="AF264" s="14" t="n">
        <x:v>0</x:v>
      </x:c>
      <x:c r="AG264" s="14" t="str">
        <x:v>—</x:v>
      </x:c>
      <x:c r="AH264" s="14" t="n">
        <x:v>0</x:v>
      </x:c>
      <x:c r="AI264" s="14" t="n">
        <x:v>0</x:v>
      </x:c>
      <x:c r="AJ264" s="18" t="n">
        <x:v>0</x:v>
      </x:c>
      <x:c r="AK264" s="14" t="str"/>
      <x:c r="AL264" s="19" t="str"/>
      <x:c r="AM264" s="19" t="str"/>
      <x:c r="AN264" s="15" t="str"/>
      <x:c r="AO264" s="15" t="str">
        <x:v>google_index_verified_2026-08-24</x:v>
      </x:c>
    </x:row>
    <x:row r="265">
      <x:c r="A265" s="14" t="str">
        <x:v>W2-096</x:v>
      </x:c>
      <x:c r="B265" s="14" t="str">
        <x:v>Проєктний сигнал — 24.08</x:v>
      </x:c>
      <x:c r="C265" s="14" t="str">
        <x:v>Укртрансмiст</x:v>
      </x:c>
      <x:c r="D265" s="14" t="str">
        <x:v>Мости та інфраструктура</x:v>
      </x:c>
      <x:c r="E265" s="14" t="str">
        <x:v>Expansion discovery</x:v>
      </x:c>
      <x:c r="F265" s="17" t="str">
        <x:v>D1</x:v>
      </x:c>
      <x:c r="G265" s="14" t="str">
        <x:v>ukrtransmist.ua</x:v>
      </x:c>
      <x:c r="H265" s="14" t="str">
        <x:v>2-тижневий workflow discovery — потрібні вимоги одного проєкту</x:v>
      </x:c>
      <x:c r="I265" s="16" t="n">
        <x:v>1</x:v>
      </x:c>
      <x:c r="J265" s="16" t="n">
        <x:v>5</x:v>
      </x:c>
      <x:c r="K265" s="16" t="n">
        <x:v>5</x:v>
      </x:c>
      <x:c r="L265" s="16" t="n">
        <x:v>5</x:v>
      </x:c>
      <x:c r="M265" s="16" t="n">
        <x:v>5</x:v>
      </x:c>
      <x:c r="N265" s="16" t="n">
        <x:v>5</x:v>
      </x:c>
      <x:c r="O265" s="16" t="n">
        <x:v>5</x:v>
      </x:c>
      <x:c r="P265" s="16" t="n">
        <x:f>IF(COUNT(I265:O265)&lt;7,"",I265*8+J265*3+K265*2+L265*2+M265*2+N265*2+O265)</x:f>
        <x:v>68</x:v>
      </x:c>
      <x:c r="Q265" s="16" t="n">
        <x:f>IF(COUNT(J265:O265)&lt;6,"",J265*5+K265*4+M265*4+L265*3+N265*2+O265*2)</x:f>
        <x:v>100</x:v>
      </x:c>
      <x:c r="R265" s="14" t="str">
        <x:v>high</x:v>
      </x:c>
      <x:c r="S265" s="14" t="str">
        <x:v>google_index_verified_2026-08-24</x:v>
      </x:c>
      <x:c r="T265" s="14" t="str">
        <x:v>indexed_official_service_page</x:v>
      </x:c>
      <x:c r="U265" s="14" t="str">
        <x:v>Новий — не контактували</x:v>
      </x:c>
      <x:c r="V265" s="15" t="str">
        <x:v>2-тижневий discovery: запросити вимоги 1 активного проєкту + 1 знеособлений артефакт</x:v>
      </x:c>
      <x:c r="W265" s="15" t="str">
        <x:v>Комерційний директор; головний інженер; керівник ПТО / якості</x:v>
      </x:c>
      <x:c r="X265" s="15" t="str">
        <x:v>Мостобудівельна компанія. Пошуковий результат веде на індексовану сторінку корпоративного домену: Укртрансмiст.</x:v>
      </x:c>
      <x:c r="Y265" s="15" t="str">
        <x:v>Армування, опори, зварювання, бетонування, гідроізоляція й лабораторні протоколи приймаються до наступного шару.</x:v>
      </x:c>
      <x:c r="Z265" s="15" t="str">
        <x:v>https://ukrtransmist.ua/company</x:v>
      </x:c>
      <x:c r="AA265" s="14" t="str"/>
      <x:c r="AB265" s="14" t="str">
        <x:v>2026-08-24</x:v>
      </x:c>
      <x:c r="AC265" s="14" t="str">
        <x:v>Олександр</x:v>
      </x:c>
      <x:c r="AD265" s="20" t="str"/>
      <x:c r="AE265" s="14" t="str"/>
      <x:c r="AF265" s="14" t="n">
        <x:v>0</x:v>
      </x:c>
      <x:c r="AG265" s="14" t="str">
        <x:v>—</x:v>
      </x:c>
      <x:c r="AH265" s="14" t="n">
        <x:v>0</x:v>
      </x:c>
      <x:c r="AI265" s="14" t="n">
        <x:v>0</x:v>
      </x:c>
      <x:c r="AJ265" s="18" t="n">
        <x:v>0</x:v>
      </x:c>
      <x:c r="AK265" s="14" t="str"/>
      <x:c r="AL265" s="19" t="str"/>
      <x:c r="AM265" s="19" t="str"/>
      <x:c r="AN265" s="15" t="str"/>
      <x:c r="AO265" s="15" t="str">
        <x:v>google_index_verified_2026-08-24</x:v>
      </x:c>
    </x:row>
    <x:row r="266">
      <x:c r="A266" s="14" t="str">
        <x:v>W2-097</x:v>
      </x:c>
      <x:c r="B266" s="14" t="str">
        <x:v>Проєктний сигнал — 24.08</x:v>
      </x:c>
      <x:c r="C266" s="14" t="str">
        <x:v>Mostobud Group</x:v>
      </x:c>
      <x:c r="D266" s="14" t="str">
        <x:v>Мости та інфраструктура</x:v>
      </x:c>
      <x:c r="E266" s="14" t="str">
        <x:v>Expansion discovery</x:v>
      </x:c>
      <x:c r="F266" s="17" t="str">
        <x:v>D1</x:v>
      </x:c>
      <x:c r="G266" s="14" t="str">
        <x:v>mostobud-group.com</x:v>
      </x:c>
      <x:c r="H266" s="14" t="str">
        <x:v>2-тижневий workflow discovery — потрібні вимоги одного проєкту</x:v>
      </x:c>
      <x:c r="I266" s="16" t="n">
        <x:v>1</x:v>
      </x:c>
      <x:c r="J266" s="16" t="n">
        <x:v>5</x:v>
      </x:c>
      <x:c r="K266" s="16" t="n">
        <x:v>5</x:v>
      </x:c>
      <x:c r="L266" s="16" t="n">
        <x:v>5</x:v>
      </x:c>
      <x:c r="M266" s="16" t="n">
        <x:v>5</x:v>
      </x:c>
      <x:c r="N266" s="16" t="n">
        <x:v>5</x:v>
      </x:c>
      <x:c r="O266" s="16" t="n">
        <x:v>5</x:v>
      </x:c>
      <x:c r="P266" s="16" t="n">
        <x:f>IF(COUNT(I266:O266)&lt;7,"",I266*8+J266*3+K266*2+L266*2+M266*2+N266*2+O266)</x:f>
        <x:v>68</x:v>
      </x:c>
      <x:c r="Q266" s="16" t="n">
        <x:f>IF(COUNT(J266:O266)&lt;6,"",J266*5+K266*4+M266*4+L266*3+N266*2+O266*2)</x:f>
        <x:v>100</x:v>
      </x:c>
      <x:c r="R266" s="14" t="str">
        <x:v>high</x:v>
      </x:c>
      <x:c r="S266" s="14" t="str">
        <x:v>google_index_verified_2026-08-24</x:v>
      </x:c>
      <x:c r="T266" s="14" t="str">
        <x:v>indexed_official_service_page</x:v>
      </x:c>
      <x:c r="U266" s="14" t="str">
        <x:v>Новий — не контактували</x:v>
      </x:c>
      <x:c r="V266" s="15" t="str">
        <x:v>2-тижневий discovery: запросити вимоги 1 активного проєкту + 1 знеособлений артефакт</x:v>
      </x:c>
      <x:c r="W266" s="15" t="str">
        <x:v>Комерційний директор; головний інженер; керівник ПТО / якості</x:v>
      </x:c>
      <x:c r="X266" s="15" t="str">
        <x:v>Публічне портфоліо мостових проєктів. Пошуковий результат веде на індексовану сторінку корпоративного домену: Мостобудівельний проєкт — Mostobud Group.</x:v>
      </x:c>
      <x:c r="Y266" s="15" t="str">
        <x:v>Армування, опори, зварювання, бетонування, гідроізоляція й лабораторні протоколи приймаються до наступного шару.</x:v>
      </x:c>
      <x:c r="Z266" s="15" t="str">
        <x:v>https://mostobud-group.com/projects/most-kropyvnytskyi-40m</x:v>
      </x:c>
      <x:c r="AA266" s="14" t="str"/>
      <x:c r="AB266" s="14" t="str">
        <x:v>2026-08-24</x:v>
      </x:c>
      <x:c r="AC266" s="14" t="str">
        <x:v>Олександр</x:v>
      </x:c>
      <x:c r="AD266" s="20" t="str"/>
      <x:c r="AE266" s="14" t="str"/>
      <x:c r="AF266" s="14" t="n">
        <x:v>0</x:v>
      </x:c>
      <x:c r="AG266" s="14" t="str">
        <x:v>—</x:v>
      </x:c>
      <x:c r="AH266" s="14" t="n">
        <x:v>0</x:v>
      </x:c>
      <x:c r="AI266" s="14" t="n">
        <x:v>0</x:v>
      </x:c>
      <x:c r="AJ266" s="18" t="n">
        <x:v>0</x:v>
      </x:c>
      <x:c r="AK266" s="14" t="str"/>
      <x:c r="AL266" s="19" t="str"/>
      <x:c r="AM266" s="19" t="str"/>
      <x:c r="AN266" s="15" t="str"/>
      <x:c r="AO266" s="15" t="str">
        <x:v>google_index_verified_2026-08-24</x:v>
      </x:c>
    </x:row>
    <x:row r="267">
      <x:c r="A267" s="14" t="str">
        <x:v>W2-098</x:v>
      </x:c>
      <x:c r="B267" s="14" t="str">
        <x:v>Проєктний сигнал — 24.08</x:v>
      </x:c>
      <x:c r="C267" s="14" t="str">
        <x:v>LIVELLO</x:v>
      </x:c>
      <x:c r="D267" s="14" t="str">
        <x:v>Підсилення та ремонт бетону</x:v>
      </x:c>
      <x:c r="E267" s="14" t="str">
        <x:v>Expansion discovery</x:v>
      </x:c>
      <x:c r="F267" s="17" t="str">
        <x:v>D1</x:v>
      </x:c>
      <x:c r="G267" s="14" t="str">
        <x:v>livello.com.ua</x:v>
      </x:c>
      <x:c r="H267" s="14" t="str">
        <x:v>2-тижневий workflow discovery — потрібні вимоги одного проєкту</x:v>
      </x:c>
      <x:c r="I267" s="16" t="n">
        <x:v>1</x:v>
      </x:c>
      <x:c r="J267" s="16" t="n">
        <x:v>5</x:v>
      </x:c>
      <x:c r="K267" s="16" t="n">
        <x:v>5</x:v>
      </x:c>
      <x:c r="L267" s="16" t="n">
        <x:v>4</x:v>
      </x:c>
      <x:c r="M267" s="16" t="n">
        <x:v>5</x:v>
      </x:c>
      <x:c r="N267" s="16" t="n">
        <x:v>5</x:v>
      </x:c>
      <x:c r="O267" s="16" t="n">
        <x:v>5</x:v>
      </x:c>
      <x:c r="P267" s="16" t="n">
        <x:f>IF(COUNT(I267:O267)&lt;7,"",I267*8+J267*3+K267*2+L267*2+M267*2+N267*2+O267)</x:f>
        <x:v>66</x:v>
      </x:c>
      <x:c r="Q267" s="16" t="n">
        <x:f>IF(COUNT(J267:O267)&lt;6,"",J267*5+K267*4+M267*4+L267*3+N267*2+O267*2)</x:f>
        <x:v>97</x:v>
      </x:c>
      <x:c r="R267" s="14" t="str">
        <x:v>high</x:v>
      </x:c>
      <x:c r="S267" s="14" t="str">
        <x:v>google_index_verified_2026-08-24</x:v>
      </x:c>
      <x:c r="T267" s="14" t="str">
        <x:v>indexed_official_service_page</x:v>
      </x:c>
      <x:c r="U267" s="14" t="str">
        <x:v>Новий — не контактували</x:v>
      </x:c>
      <x:c r="V267" s="15" t="str">
        <x:v>2-тижневий discovery: запросити вимоги 1 активного проєкту + 1 знеособлений артефакт</x:v>
      </x:c>
      <x:c r="W267" s="15" t="str">
        <x:v>Власник / директор; керівник проєктів; ПТО / контроль якості</x:v>
      </x:c>
      <x:c r="X267" s="15" t="str">
        <x:v>Ремонт і відновлення залізобетону. Пошуковий результат веде на індексовану сторінку корпоративного домену: Ремонт залізобетонних конструкцій — LIVELLO.</x:v>
      </x:c>
      <x:c r="Y267" s="15" t="str">
        <x:v>Підготовка основи, ін'єкції, армування, торкрет і захисні шари стають невидимими та потребують фото й актів.</x:v>
      </x:c>
      <x:c r="Z267" s="15" t="str">
        <x:v>https://livello.com.ua/remont-zalizobetonnix-konstrukcii</x:v>
      </x:c>
      <x:c r="AA267" s="14" t="str"/>
      <x:c r="AB267" s="14" t="str">
        <x:v>2026-08-24</x:v>
      </x:c>
      <x:c r="AC267" s="14" t="str">
        <x:v>Олександр</x:v>
      </x:c>
      <x:c r="AD267" s="20" t="str"/>
      <x:c r="AE267" s="14" t="str"/>
      <x:c r="AF267" s="14" t="n">
        <x:v>0</x:v>
      </x:c>
      <x:c r="AG267" s="14" t="str">
        <x:v>—</x:v>
      </x:c>
      <x:c r="AH267" s="14" t="n">
        <x:v>0</x:v>
      </x:c>
      <x:c r="AI267" s="14" t="n">
        <x:v>0</x:v>
      </x:c>
      <x:c r="AJ267" s="18" t="n">
        <x:v>0</x:v>
      </x:c>
      <x:c r="AK267" s="14" t="str"/>
      <x:c r="AL267" s="19" t="str"/>
      <x:c r="AM267" s="19" t="str"/>
      <x:c r="AN267" s="15" t="str"/>
      <x:c r="AO267" s="15" t="str">
        <x:v>google_index_verified_2026-08-24</x:v>
      </x:c>
    </x:row>
    <x:row r="268">
      <x:c r="A268" s="14" t="str">
        <x:v>W2-099</x:v>
      </x:c>
      <x:c r="B268" s="14" t="str">
        <x:v>Проєктний сигнал — 24.08</x:v>
      </x:c>
      <x:c r="C268" s="14" t="str">
        <x:v>НВО СЗБК</x:v>
      </x:c>
      <x:c r="D268" s="14" t="str">
        <x:v>Підсилення та ремонт бетону</x:v>
      </x:c>
      <x:c r="E268" s="14" t="str">
        <x:v>Expansion discovery</x:v>
      </x:c>
      <x:c r="F268" s="17" t="str">
        <x:v>D1</x:v>
      </x:c>
      <x:c r="G268" s="14" t="str">
        <x:v>szbk.pro</x:v>
      </x:c>
      <x:c r="H268" s="14" t="str">
        <x:v>2-тижневий workflow discovery — потрібні вимоги одного проєкту</x:v>
      </x:c>
      <x:c r="I268" s="16" t="n">
        <x:v>1</x:v>
      </x:c>
      <x:c r="J268" s="16" t="n">
        <x:v>5</x:v>
      </x:c>
      <x:c r="K268" s="16" t="n">
        <x:v>5</x:v>
      </x:c>
      <x:c r="L268" s="16" t="n">
        <x:v>4</x:v>
      </x:c>
      <x:c r="M268" s="16" t="n">
        <x:v>5</x:v>
      </x:c>
      <x:c r="N268" s="16" t="n">
        <x:v>5</x:v>
      </x:c>
      <x:c r="O268" s="16" t="n">
        <x:v>5</x:v>
      </x:c>
      <x:c r="P268" s="16" t="n">
        <x:f>IF(COUNT(I268:O268)&lt;7,"",I268*8+J268*3+K268*2+L268*2+M268*2+N268*2+O268)</x:f>
        <x:v>66</x:v>
      </x:c>
      <x:c r="Q268" s="16" t="n">
        <x:f>IF(COUNT(J268:O268)&lt;6,"",J268*5+K268*4+M268*4+L268*3+N268*2+O268*2)</x:f>
        <x:v>97</x:v>
      </x:c>
      <x:c r="R268" s="14" t="str">
        <x:v>high</x:v>
      </x:c>
      <x:c r="S268" s="14" t="str">
        <x:v>google_index_verified_2026-08-24</x:v>
      </x:c>
      <x:c r="T268" s="14" t="str">
        <x:v>indexed_official_service_page</x:v>
      </x:c>
      <x:c r="U268" s="14" t="str">
        <x:v>Новий — не контактували</x:v>
      </x:c>
      <x:c r="V268" s="15" t="str">
        <x:v>2-тижневий discovery: запросити вимоги 1 активного проєкту + 1 знеособлений артефакт</x:v>
      </x:c>
      <x:c r="W268" s="15" t="str">
        <x:v>Власник / директор; керівник проєктів; ПТО / контроль якості</x:v>
      </x:c>
      <x:c r="X268" s="15" t="str">
        <x:v>Захист і відновлення конструкцій. Пошуковий результат веде на індексовану сторінку корпоративного домену: Системи захисту будівельних конструкцій — СЗБК.</x:v>
      </x:c>
      <x:c r="Y268" s="15" t="str">
        <x:v>Підготовка основи, ін'єкції, армування, торкрет і захисні шари стають невидимими та потребують фото й актів.</x:v>
      </x:c>
      <x:c r="Z268" s="15" t="str">
        <x:v>https://szbk.pro/kontakty-2/</x:v>
      </x:c>
      <x:c r="AA268" s="14" t="str"/>
      <x:c r="AB268" s="14" t="str">
        <x:v>2026-08-24</x:v>
      </x:c>
      <x:c r="AC268" s="14" t="str">
        <x:v>Олександр</x:v>
      </x:c>
      <x:c r="AD268" s="20" t="str"/>
      <x:c r="AE268" s="14" t="str"/>
      <x:c r="AF268" s="14" t="n">
        <x:v>0</x:v>
      </x:c>
      <x:c r="AG268" s="14" t="str">
        <x:v>—</x:v>
      </x:c>
      <x:c r="AH268" s="14" t="n">
        <x:v>0</x:v>
      </x:c>
      <x:c r="AI268" s="14" t="n">
        <x:v>0</x:v>
      </x:c>
      <x:c r="AJ268" s="18" t="n">
        <x:v>0</x:v>
      </x:c>
      <x:c r="AK268" s="14" t="str"/>
      <x:c r="AL268" s="19" t="str"/>
      <x:c r="AM268" s="19" t="str"/>
      <x:c r="AN268" s="15" t="str"/>
      <x:c r="AO268" s="15" t="str">
        <x:v>google_index_verified_2026-08-24</x:v>
      </x:c>
    </x:row>
    <x:row r="269">
      <x:c r="A269" s="14" t="str">
        <x:v>W2-100</x:v>
      </x:c>
      <x:c r="B269" s="14" t="str">
        <x:v>Проєктний сигнал — 24.08</x:v>
      </x:c>
      <x:c r="C269" s="14" t="str">
        <x:v>GeoResin</x:v>
      </x:c>
      <x:c r="D269" s="14" t="str">
        <x:v>Підсилення та ремонт бетону</x:v>
      </x:c>
      <x:c r="E269" s="14" t="str">
        <x:v>Expansion discovery</x:v>
      </x:c>
      <x:c r="F269" s="17" t="str">
        <x:v>D1</x:v>
      </x:c>
      <x:c r="G269" s="14" t="str">
        <x:v>georesin.ua</x:v>
      </x:c>
      <x:c r="H269" s="14" t="str">
        <x:v>2-тижневий workflow discovery — потрібні вимоги одного проєкту</x:v>
      </x:c>
      <x:c r="I269" s="16" t="n">
        <x:v>1</x:v>
      </x:c>
      <x:c r="J269" s="16" t="n">
        <x:v>5</x:v>
      </x:c>
      <x:c r="K269" s="16" t="n">
        <x:v>5</x:v>
      </x:c>
      <x:c r="L269" s="16" t="n">
        <x:v>4</x:v>
      </x:c>
      <x:c r="M269" s="16" t="n">
        <x:v>5</x:v>
      </x:c>
      <x:c r="N269" s="16" t="n">
        <x:v>5</x:v>
      </x:c>
      <x:c r="O269" s="16" t="n">
        <x:v>5</x:v>
      </x:c>
      <x:c r="P269" s="16" t="n">
        <x:f>IF(COUNT(I269:O269)&lt;7,"",I269*8+J269*3+K269*2+L269*2+M269*2+N269*2+O269)</x:f>
        <x:v>66</x:v>
      </x:c>
      <x:c r="Q269" s="16" t="n">
        <x:f>IF(COUNT(J269:O269)&lt;6,"",J269*5+K269*4+M269*4+L269*3+N269*2+O269*2)</x:f>
        <x:v>97</x:v>
      </x:c>
      <x:c r="R269" s="14" t="str">
        <x:v>high</x:v>
      </x:c>
      <x:c r="S269" s="14" t="str">
        <x:v>google_index_verified_2026-08-24</x:v>
      </x:c>
      <x:c r="T269" s="14" t="str">
        <x:v>indexed_official_service_page</x:v>
      </x:c>
      <x:c r="U269" s="14" t="str">
        <x:v>Новий — не контактували</x:v>
      </x:c>
      <x:c r="V269" s="15" t="str">
        <x:v>2-тижневий discovery: запросити вимоги 1 активного проєкту + 1 знеособлений артефакт</x:v>
      </x:c>
      <x:c r="W269" s="15" t="str">
        <x:v>Власник / директор; керівник проєктів; ПТО / контроль якості</x:v>
      </x:c>
      <x:c r="X269" s="15" t="str">
        <x:v>Ін'єкційне підсилення фундаментів. Пошуковий результат веде на індексовану сторінку корпоративного домену: Ремонт та посилення фундаментів — GeoResin.</x:v>
      </x:c>
      <x:c r="Y269" s="15" t="str">
        <x:v>Підготовка основи, ін'єкції, армування, торкрет і захисні шари стають невидимими та потребують фото й актів.</x:v>
      </x:c>
      <x:c r="Z269" s="15" t="str">
        <x:v>https://georesin.ua/trcz-i-ofisi/remont-ta-posulennya-fundamentiv/</x:v>
      </x:c>
      <x:c r="AA269" s="14" t="str"/>
      <x:c r="AB269" s="14" t="str">
        <x:v>2026-08-24</x:v>
      </x:c>
      <x:c r="AC269" s="14" t="str">
        <x:v>Олександр</x:v>
      </x:c>
      <x:c r="AD269" s="20" t="str"/>
      <x:c r="AE269" s="14" t="str"/>
      <x:c r="AF269" s="14" t="n">
        <x:v>0</x:v>
      </x:c>
      <x:c r="AG269" s="14" t="str">
        <x:v>—</x:v>
      </x:c>
      <x:c r="AH269" s="14" t="n">
        <x:v>0</x:v>
      </x:c>
      <x:c r="AI269" s="14" t="n">
        <x:v>0</x:v>
      </x:c>
      <x:c r="AJ269" s="18" t="n">
        <x:v>0</x:v>
      </x:c>
      <x:c r="AK269" s="14" t="str"/>
      <x:c r="AL269" s="19" t="str"/>
      <x:c r="AM269" s="19" t="str"/>
      <x:c r="AN269" s="15" t="str"/>
      <x:c r="AO269" s="15" t="str">
        <x:v>google_index_verified_2026-08-24</x:v>
      </x:c>
    </x:row>
    <x:row r="270">
      <x:c r="A270" s="14" t="str">
        <x:v>W2-101</x:v>
      </x:c>
      <x:c r="B270" s="14" t="str">
        <x:v>Проєктний сигнал — 24.08</x:v>
      </x:c>
      <x:c r="C270" s="14" t="str">
        <x:v>BauExpert</x:v>
      </x:c>
      <x:c r="D270" s="14" t="str">
        <x:v>Підсилення та ремонт бетону</x:v>
      </x:c>
      <x:c r="E270" s="14" t="str">
        <x:v>Expansion discovery</x:v>
      </x:c>
      <x:c r="F270" s="17" t="str">
        <x:v>D1</x:v>
      </x:c>
      <x:c r="G270" s="14" t="str">
        <x:v>bauexpert.ua</x:v>
      </x:c>
      <x:c r="H270" s="14" t="str">
        <x:v>2-тижневий workflow discovery — потрібні вимоги одного проєкту</x:v>
      </x:c>
      <x:c r="I270" s="16" t="n">
        <x:v>1</x:v>
      </x:c>
      <x:c r="J270" s="16" t="n">
        <x:v>5</x:v>
      </x:c>
      <x:c r="K270" s="16" t="n">
        <x:v>5</x:v>
      </x:c>
      <x:c r="L270" s="16" t="n">
        <x:v>4</x:v>
      </x:c>
      <x:c r="M270" s="16" t="n">
        <x:v>5</x:v>
      </x:c>
      <x:c r="N270" s="16" t="n">
        <x:v>5</x:v>
      </x:c>
      <x:c r="O270" s="16" t="n">
        <x:v>5</x:v>
      </x:c>
      <x:c r="P270" s="16" t="n">
        <x:f>IF(COUNT(I270:O270)&lt;7,"",I270*8+J270*3+K270*2+L270*2+M270*2+N270*2+O270)</x:f>
        <x:v>66</x:v>
      </x:c>
      <x:c r="Q270" s="16" t="n">
        <x:f>IF(COUNT(J270:O270)&lt;6,"",J270*5+K270*4+M270*4+L270*3+N270*2+O270*2)</x:f>
        <x:v>97</x:v>
      </x:c>
      <x:c r="R270" s="14" t="str">
        <x:v>high</x:v>
      </x:c>
      <x:c r="S270" s="14" t="str">
        <x:v>google_index_verified_2026-08-24</x:v>
      </x:c>
      <x:c r="T270" s="14" t="str">
        <x:v>indexed_official_service_page</x:v>
      </x:c>
      <x:c r="U270" s="14" t="str">
        <x:v>Новий — не контактували</x:v>
      </x:c>
      <x:c r="V270" s="15" t="str">
        <x:v>2-тижневий discovery: запросити вимоги 1 активного проєкту + 1 знеособлений артефакт</x:v>
      </x:c>
      <x:c r="W270" s="15" t="str">
        <x:v>Власник / директор; керівник проєктів; ПТО / контроль якості</x:v>
      </x:c>
      <x:c r="X270" s="15" t="str">
        <x:v>Реконструкція і хімзахист конструкцій. Пошуковий результат веде на індексовану сторінку корпоративного домену: Відновлення будівельних конструкцій — BauExpert.</x:v>
      </x:c>
      <x:c r="Y270" s="15" t="str">
        <x:v>Підготовка основи, ін'єкції, армування, торкрет і захисні шари стають невидимими та потребують фото й актів.</x:v>
      </x:c>
      <x:c r="Z270" s="15" t="str">
        <x:v>https://bauexpert.ua/nashi-poslugy/vidnovlennya-ta-himzahyst-budivelnyh-konstrukczij/</x:v>
      </x:c>
      <x:c r="AA270" s="14" t="str"/>
      <x:c r="AB270" s="14" t="str">
        <x:v>2026-08-24</x:v>
      </x:c>
      <x:c r="AC270" s="14" t="str">
        <x:v>Олександр</x:v>
      </x:c>
      <x:c r="AD270" s="20" t="str"/>
      <x:c r="AE270" s="14" t="str"/>
      <x:c r="AF270" s="14" t="n">
        <x:v>0</x:v>
      </x:c>
      <x:c r="AG270" s="14" t="str">
        <x:v>—</x:v>
      </x:c>
      <x:c r="AH270" s="14" t="n">
        <x:v>0</x:v>
      </x:c>
      <x:c r="AI270" s="14" t="n">
        <x:v>0</x:v>
      </x:c>
      <x:c r="AJ270" s="18" t="n">
        <x:v>0</x:v>
      </x:c>
      <x:c r="AK270" s="14" t="str"/>
      <x:c r="AL270" s="19" t="str"/>
      <x:c r="AM270" s="19" t="str"/>
      <x:c r="AN270" s="15" t="str"/>
      <x:c r="AO270" s="15" t="str">
        <x:v>google_index_verified_2026-08-24</x:v>
      </x:c>
    </x:row>
    <x:row r="271">
      <x:c r="A271" s="14" t="str">
        <x:v>W2-102</x:v>
      </x:c>
      <x:c r="B271" s="14" t="str">
        <x:v>Проєктний сигнал — 24.08</x:v>
      </x:c>
      <x:c r="C271" s="14" t="str">
        <x:v>TEKNOSEL</x:v>
      </x:c>
      <x:c r="D271" s="14" t="str">
        <x:v>Підсилення та ремонт бетону</x:v>
      </x:c>
      <x:c r="E271" s="14" t="str">
        <x:v>Expansion discovery</x:v>
      </x:c>
      <x:c r="F271" s="17" t="str">
        <x:v>D1</x:v>
      </x:c>
      <x:c r="G271" s="14" t="str">
        <x:v>teknosel.com.ua</x:v>
      </x:c>
      <x:c r="H271" s="14" t="str">
        <x:v>2-тижневий workflow discovery — потрібні вимоги одного проєкту</x:v>
      </x:c>
      <x:c r="I271" s="16" t="n">
        <x:v>1</x:v>
      </x:c>
      <x:c r="J271" s="16" t="n">
        <x:v>5</x:v>
      </x:c>
      <x:c r="K271" s="16" t="n">
        <x:v>5</x:v>
      </x:c>
      <x:c r="L271" s="16" t="n">
        <x:v>4</x:v>
      </x:c>
      <x:c r="M271" s="16" t="n">
        <x:v>5</x:v>
      </x:c>
      <x:c r="N271" s="16" t="n">
        <x:v>5</x:v>
      </x:c>
      <x:c r="O271" s="16" t="n">
        <x:v>4</x:v>
      </x:c>
      <x:c r="P271" s="16" t="n">
        <x:f>IF(COUNT(I271:O271)&lt;7,"",I271*8+J271*3+K271*2+L271*2+M271*2+N271*2+O271)</x:f>
        <x:v>65</x:v>
      </x:c>
      <x:c r="Q271" s="16" t="n">
        <x:f>IF(COUNT(J271:O271)&lt;6,"",J271*5+K271*4+M271*4+L271*3+N271*2+O271*2)</x:f>
        <x:v>95</x:v>
      </x:c>
      <x:c r="R271" s="14" t="str">
        <x:v>medium</x:v>
      </x:c>
      <x:c r="S271" s="14" t="str">
        <x:v>google_index_verified_manual_check_2026-08-24</x:v>
      </x:c>
      <x:c r="T271" s="14" t="str">
        <x:v>indexed_official_page_manual_check</x:v>
      </x:c>
      <x:c r="U271" s="14" t="str">
        <x:v>Новий — не контактували</x:v>
      </x:c>
      <x:c r="V271" s="15" t="str">
        <x:v>2-тижневий discovery: запросити вимоги 1 активного проєкту + 1 знеособлений артефакт</x:v>
      </x:c>
      <x:c r="W271" s="15" t="str">
        <x:v>Власник / директор; керівник проєктів; ПТО / контроль якості</x:v>
      </x:c>
      <x:c r="X271" s="15" t="str">
        <x:v>Ремонт і захист бетону. Пошуковий результат веде на індексовану сторінку корпоративного домену: TEKNOSEL.</x:v>
      </x:c>
      <x:c r="Y271" s="15" t="str">
        <x:v>Підготовка основи, ін'єкції, армування, торкрет і захисні шари стають невидимими та потребують фото й актів.</x:v>
      </x:c>
      <x:c r="Z271" s="15" t="str">
        <x:v>https://www.teknosel.com.ua/ua/</x:v>
      </x:c>
      <x:c r="AA271" s="14" t="str"/>
      <x:c r="AB271" s="14" t="str">
        <x:v>2026-08-24</x:v>
      </x:c>
      <x:c r="AC271" s="14" t="str">
        <x:v>Олександр</x:v>
      </x:c>
      <x:c r="AD271" s="20" t="str"/>
      <x:c r="AE271" s="14" t="str"/>
      <x:c r="AF271" s="14" t="n">
        <x:v>0</x:v>
      </x:c>
      <x:c r="AG271" s="14" t="str">
        <x:v>—</x:v>
      </x:c>
      <x:c r="AH271" s="14" t="n">
        <x:v>0</x:v>
      </x:c>
      <x:c r="AI271" s="14" t="n">
        <x:v>0</x:v>
      </x:c>
      <x:c r="AJ271" s="18" t="n">
        <x:v>0</x:v>
      </x:c>
      <x:c r="AK271" s="14" t="str"/>
      <x:c r="AL271" s="19" t="str"/>
      <x:c r="AM271" s="19" t="str"/>
      <x:c r="AN271" s="15" t="str"/>
      <x:c r="AO271" s="15" t="str">
        <x:v>google_index_verified_manual_check_2026-08-24</x:v>
      </x:c>
    </x:row>
    <x:row r="272">
      <x:c r="A272" s="14" t="str">
        <x:v>W2-103</x:v>
      </x:c>
      <x:c r="B272" s="14" t="str">
        <x:v>Проєктний сигнал — 24.08</x:v>
      </x:c>
      <x:c r="C272" s="14" t="str">
        <x:v>CGIP</x:v>
      </x:c>
      <x:c r="D272" s="14" t="str">
        <x:v>Підсилення та ремонт бетону</x:v>
      </x:c>
      <x:c r="E272" s="14" t="str">
        <x:v>Expansion discovery</x:v>
      </x:c>
      <x:c r="F272" s="17" t="str">
        <x:v>D1</x:v>
      </x:c>
      <x:c r="G272" s="14" t="str">
        <x:v>cgip.com.ua</x:v>
      </x:c>
      <x:c r="H272" s="14" t="str">
        <x:v>2-тижневий workflow discovery — потрібні вимоги одного проєкту</x:v>
      </x:c>
      <x:c r="I272" s="16" t="n">
        <x:v>1</x:v>
      </x:c>
      <x:c r="J272" s="16" t="n">
        <x:v>5</x:v>
      </x:c>
      <x:c r="K272" s="16" t="n">
        <x:v>5</x:v>
      </x:c>
      <x:c r="L272" s="16" t="n">
        <x:v>4</x:v>
      </x:c>
      <x:c r="M272" s="16" t="n">
        <x:v>5</x:v>
      </x:c>
      <x:c r="N272" s="16" t="n">
        <x:v>5</x:v>
      </x:c>
      <x:c r="O272" s="16" t="n">
        <x:v>5</x:v>
      </x:c>
      <x:c r="P272" s="16" t="n">
        <x:f>IF(COUNT(I272:O272)&lt;7,"",I272*8+J272*3+K272*2+L272*2+M272*2+N272*2+O272)</x:f>
        <x:v>66</x:v>
      </x:c>
      <x:c r="Q272" s="16" t="n">
        <x:f>IF(COUNT(J272:O272)&lt;6,"",J272*5+K272*4+M272*4+L272*3+N272*2+O272*2)</x:f>
        <x:v>97</x:v>
      </x:c>
      <x:c r="R272" s="14" t="str">
        <x:v>high</x:v>
      </x:c>
      <x:c r="S272" s="14" t="str">
        <x:v>google_index_verified_2026-08-24</x:v>
      </x:c>
      <x:c r="T272" s="14" t="str">
        <x:v>indexed_official_service_page</x:v>
      </x:c>
      <x:c r="U272" s="14" t="str">
        <x:v>Новий — не контактували</x:v>
      </x:c>
      <x:c r="V272" s="15" t="str">
        <x:v>2-тижневий discovery: запросити вимоги 1 активного проєкту + 1 знеособлений артефакт</x:v>
      </x:c>
      <x:c r="W272" s="15" t="str">
        <x:v>Власник / директор; керівник проєктів; ПТО / контроль якості</x:v>
      </x:c>
      <x:c r="X272" s="15" t="str">
        <x:v>Підсилення конструкцій. Пошуковий результат веде на індексовану сторінку корпоративного домену: Укріплення конструкцій — CGIP.</x:v>
      </x:c>
      <x:c r="Y272" s="15" t="str">
        <x:v>Підготовка основи, ін'єкції, армування, торкрет і захисні шари стають невидимими та потребують фото й актів.</x:v>
      </x:c>
      <x:c r="Z272" s="15" t="str">
        <x:v>https://cgip.com.ua/ukriplennya/</x:v>
      </x:c>
      <x:c r="AA272" s="14" t="str"/>
      <x:c r="AB272" s="14" t="str">
        <x:v>2026-08-24</x:v>
      </x:c>
      <x:c r="AC272" s="14" t="str">
        <x:v>Олександр</x:v>
      </x:c>
      <x:c r="AD272" s="20" t="str"/>
      <x:c r="AE272" s="14" t="str"/>
      <x:c r="AF272" s="14" t="n">
        <x:v>0</x:v>
      </x:c>
      <x:c r="AG272" s="14" t="str">
        <x:v>—</x:v>
      </x:c>
      <x:c r="AH272" s="14" t="n">
        <x:v>0</x:v>
      </x:c>
      <x:c r="AI272" s="14" t="n">
        <x:v>0</x:v>
      </x:c>
      <x:c r="AJ272" s="18" t="n">
        <x:v>0</x:v>
      </x:c>
      <x:c r="AK272" s="14" t="str"/>
      <x:c r="AL272" s="19" t="str"/>
      <x:c r="AM272" s="19" t="str"/>
      <x:c r="AN272" s="15" t="str"/>
      <x:c r="AO272" s="15" t="str">
        <x:v>google_index_verified_2026-08-24</x:v>
      </x:c>
    </x:row>
    <x:row r="273">
      <x:c r="A273" s="14" t="str">
        <x:v>W3-001</x:v>
      </x:c>
      <x:c r="B273" s="14" t="str">
        <x:v>Prozorro winners — 24.08</x:v>
      </x:c>
      <x:c r="C273" s="14" t="str">
        <x:v>ТОВАРИСТВО З ОБМЕЖЕНОЮ ВІДПОВІДАЛЬНІСТЮ "АВТО-М"</x:v>
      </x:c>
      <x:c r="D273" s="14" t="str">
        <x:v>ГНБ / безтраншейні роботи</x:v>
      </x:c>
      <x:c r="E273" s="14" t="str">
        <x:v>Expansion discovery</x:v>
      </x:c>
      <x:c r="F273" s="17" t="str">
        <x:v>D1</x:v>
      </x:c>
      <x:c r="G273" s="14" t="str">
        <x:v>avto-m.zp.ua</x:v>
      </x:c>
      <x:c r="H273" s="14" t="str">
        <x:v>Discovery розширення — 2 тижні</x:v>
      </x:c>
      <x:c r="I273" s="16" t="n">
        <x:v>1</x:v>
      </x:c>
      <x:c r="J273" s="16" t="n">
        <x:v>5</x:v>
      </x:c>
      <x:c r="K273" s="16" t="n">
        <x:v>4</x:v>
      </x:c>
      <x:c r="L273" s="16" t="n">
        <x:v>5</x:v>
      </x:c>
      <x:c r="M273" s="16" t="n">
        <x:v>5</x:v>
      </x:c>
      <x:c r="N273" s="16" t="n">
        <x:v>5</x:v>
      </x:c>
      <x:c r="O273" s="16" t="n">
        <x:v>5</x:v>
      </x:c>
      <x:c r="P273" s="16" t="n">
        <x:f>IF(COUNT(I273:O273)&lt;7,"",I273*8+J273*3+K273*2+L273*2+M273*2+N273*2+O273)</x:f>
        <x:v>66</x:v>
      </x:c>
      <x:c r="Q273" s="16" t="n">
        <x:f>IF(COUNT(J273:O273)&lt;6,"",J273*5+K273*4+M273*4+L273*3+N273*2+O273*2)</x:f>
        <x:v>96</x:v>
      </x:c>
      <x:c r="R273" s="14" t="str">
        <x:v>high</x:v>
      </x:c>
      <x:c r="S273" s="14" t="str">
        <x:v>official_prozorro_award_2025_2026</x:v>
      </x:c>
      <x:c r="T273" s="14" t="str">
        <x:v>official_prozorro_api</x:v>
      </x:c>
      <x:c r="U273" s="14" t="str">
        <x:v>Не контактували</x:v>
      </x:c>
      <x:c r="V273" s="15" t="str">
        <x:v>Повторне звернення з новим тендерним сигналом UA-2026-07-10-006208-a; попросити 1 пакет здачі</x:v>
      </x:c>
      <x:c r="W273" s="15" t="str">
        <x:v>Власник / директор; керівник ПТО; відповідальний за договори</x:v>
      </x:c>
      <x:c r="X273" s="15" t="str">
        <x:v>5 підтверджених перемог/договорів у Prozorro на 29 630 741 грн; 5 проєктів зі строком виконання не раніше 24.08.2026.</x:v>
      </x:c>
      <x:c r="Y273"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273" s="15" t="str">
        <x:v>https://prozorro.gov.ua/tender/UA-2026-07-01-004063-a</x:v>
      </x:c>
      <x:c r="AA273" s="14" t="str">
        <x:v>31575976</x:v>
      </x:c>
      <x:c r="AB273" s="14" t="str">
        <x:v>2026-08-24</x:v>
      </x:c>
      <x:c r="AC273" s="14" t="str"/>
      <x:c r="AD273" s="20" t="str"/>
      <x:c r="AE273" s="14" t="str"/>
      <x:c r="AF273" s="14" t="n">
        <x:v>96</x:v>
      </x:c>
      <x:c r="AG273" s="14" t="str">
        <x:v>I1</x:v>
      </x:c>
      <x:c r="AH273" s="14" t="n">
        <x:v>13</x:v>
      </x:c>
      <x:c r="AI273" s="14" t="n">
        <x:v>9</x:v>
      </x:c>
      <x:c r="AJ273" s="18" t="n">
        <x:v>106634674.55000001</x:v>
      </x:c>
      <x:c r="AK273" s="14" t="str">
        <x:v>https://prozorro.gov.ua/tender/UA-2026-07-10-006208-a</x:v>
      </x:c>
      <x:c r="AL273" s="19" t="n">
        <x:v>46232.43847599537</x:v>
      </x:c>
      <x:c r="AM273" s="19" t="n">
        <x:v>46356.47980324074</x:v>
      </x:c>
      <x:c r="AN273" s="15" t="str">
        <x:v>ГНБ / безтраншейні роботи; Теплові мережі; Зовнішні мережі</x:v>
      </x:c>
      <x:c r="AO273" s="15" t="str">
        <x:v>verified_live_2026-08-24</x:v>
      </x:c>
    </x:row>
    <x:row r="274">
      <x:c r="A274" s="14" t="str">
        <x:v>W3-002</x:v>
      </x:c>
      <x:c r="B274" s="14" t="str">
        <x:v>Prozorro winners — 24.08</x:v>
      </x:c>
      <x:c r="C274" s="14" t="str">
        <x:v>ТОВАРИСТВО З ОБМЕЖЕНОЮ ВІДПОВІДАЛЬНІСТЮ "ХАРБОР ЕНЕРДЖИ"</x:v>
      </x:c>
      <x:c r="D274" s="14" t="str">
        <x:v>Теплові мережі</x:v>
      </x:c>
      <x:c r="E274" s="14" t="str">
        <x:v>Expansion discovery</x:v>
      </x:c>
      <x:c r="F274" s="17" t="str">
        <x:v>D1</x:v>
      </x:c>
      <x:c r="G274" s="14" t="str">
        <x:v>harborenergy.org</x:v>
      </x:c>
      <x:c r="H274" s="14" t="str">
        <x:v>Discovery розширення — 2 тижні</x:v>
      </x:c>
      <x:c r="I274" s="16" t="n">
        <x:v>1</x:v>
      </x:c>
      <x:c r="J274" s="16" t="n">
        <x:v>5</x:v>
      </x:c>
      <x:c r="K274" s="16" t="n">
        <x:v>4</x:v>
      </x:c>
      <x:c r="L274" s="16" t="n">
        <x:v>5</x:v>
      </x:c>
      <x:c r="M274" s="16" t="n">
        <x:v>5</x:v>
      </x:c>
      <x:c r="N274" s="16" t="n">
        <x:v>5</x:v>
      </x:c>
      <x:c r="O274" s="16" t="n">
        <x:v>5</x:v>
      </x:c>
      <x:c r="P274" s="16" t="n">
        <x:f>IF(COUNT(I274:O274)&lt;7,"",I274*8+J274*3+K274*2+L274*2+M274*2+N274*2+O274)</x:f>
        <x:v>66</x:v>
      </x:c>
      <x:c r="Q274" s="16" t="n">
        <x:f>IF(COUNT(J274:O274)&lt;6,"",J274*5+K274*4+M274*4+L274*3+N274*2+O274*2)</x:f>
        <x:v>96</x:v>
      </x:c>
      <x:c r="R274" s="14" t="str">
        <x:v>high</x:v>
      </x:c>
      <x:c r="S274" s="14" t="str">
        <x:v>official_prozorro_award_2025_2026</x:v>
      </x:c>
      <x:c r="T274" s="14" t="str">
        <x:v>official_prozorro_api</x:v>
      </x:c>
      <x:c r="U274" s="14" t="str">
        <x:v>Не контактували</x:v>
      </x:c>
      <x:c r="V274" s="15" t="str">
        <x:v>Workflow-audit outreach по UA-2026-08-10-011447-a; попросити 1 пакет здачі та вимоги проєкту</x:v>
      </x:c>
      <x:c r="W274" s="15" t="str">
        <x:v>Власник / директор; керівник ПТО; відповідальний за договори</x:v>
      </x:c>
      <x:c r="X274" s="15" t="str">
        <x:v>14 підтверджених перемог/договорів у Prozorro на 230 882 040 грн; 14 проєктів зі строком виконання не раніше 24.08.2026.</x:v>
      </x:c>
      <x:c r="Y274"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2026-10-31. Попросити один знеособлений пакет здачі за цим workflow.</x:v>
      </x:c>
      <x:c r="Z274" s="15" t="str">
        <x:v>https://prozorro.gov.ua/tender/UA-2026-08-10-011447-a</x:v>
      </x:c>
      <x:c r="AA274" s="14" t="str">
        <x:v>41705516</x:v>
      </x:c>
      <x:c r="AB274" s="14" t="str">
        <x:v>2026-08-24</x:v>
      </x:c>
      <x:c r="AC274" s="14" t="str"/>
      <x:c r="AD274" s="20" t="str"/>
      <x:c r="AE274" s="14" t="str"/>
      <x:c r="AF274" s="14" t="n">
        <x:v>93</x:v>
      </x:c>
      <x:c r="AG274" s="14" t="str">
        <x:v>I1</x:v>
      </x:c>
      <x:c r="AH274" s="14" t="n">
        <x:v>14</x:v>
      </x:c>
      <x:c r="AI274" s="14" t="n">
        <x:v>14</x:v>
      </x:c>
      <x:c r="AJ274" s="18" t="n">
        <x:v>230882039.99</x:v>
      </x:c>
      <x:c r="AK274" s="14" t="str">
        <x:v>https://prozorro.gov.ua/tender/UA-2026-08-10-011447-a</x:v>
      </x:c>
      <x:c r="AL274" s="19" t="n">
        <x:v>46244.620553125</x:v>
      </x:c>
      <x:c r="AM274" s="19" t="n">
        <x:v>46326</x:v>
      </x:c>
      <x:c r="AN274" s="15" t="str">
        <x:v>Теплові мережі</x:v>
      </x:c>
      <x:c r="AO274" s="15" t="str">
        <x:v>verified_live_2026-08-24</x:v>
      </x:c>
    </x:row>
    <x:row r="275">
      <x:c r="A275" s="14" t="str">
        <x:v>W3-003</x:v>
      </x:c>
      <x:c r="B275" s="14" t="str">
        <x:v>Prozorro winners — 24.08</x:v>
      </x:c>
      <x:c r="C275" s="14" t="str">
        <x:v>ТОВАРИСТВО З ОБМЕЖЕНОЮ ВІДПОВІДАЛЬНІСТЮ "КОМПАНІЯ "ТАРВОС"</x:v>
      </x:c>
      <x:c r="D275" s="14" t="str">
        <x:v>Теплові мережі</x:v>
      </x:c>
      <x:c r="E275" s="14" t="str">
        <x:v>Expansion discovery</x:v>
      </x:c>
      <x:c r="F275" s="17" t="str">
        <x:v>D1</x:v>
      </x:c>
      <x:c r="G275" s="14" t="str"/>
      <x:c r="H275" s="14" t="str">
        <x:v>Discovery розширення — 2 тижні</x:v>
      </x:c>
      <x:c r="I275" s="16" t="n">
        <x:v>1</x:v>
      </x:c>
      <x:c r="J275" s="16" t="n">
        <x:v>5</x:v>
      </x:c>
      <x:c r="K275" s="16" t="n">
        <x:v>4</x:v>
      </x:c>
      <x:c r="L275" s="16" t="n">
        <x:v>5</x:v>
      </x:c>
      <x:c r="M275" s="16" t="n">
        <x:v>5</x:v>
      </x:c>
      <x:c r="N275" s="16" t="n">
        <x:v>5</x:v>
      </x:c>
      <x:c r="O275" s="16" t="n">
        <x:v>5</x:v>
      </x:c>
      <x:c r="P275" s="16" t="n">
        <x:f>IF(COUNT(I275:O275)&lt;7,"",I275*8+J275*3+K275*2+L275*2+M275*2+N275*2+O275)</x:f>
        <x:v>66</x:v>
      </x:c>
      <x:c r="Q275" s="16" t="n">
        <x:f>IF(COUNT(J275:O275)&lt;6,"",J275*5+K275*4+M275*4+L275*3+N275*2+O275*2)</x:f>
        <x:v>96</x:v>
      </x:c>
      <x:c r="R275" s="14" t="str">
        <x:v>high</x:v>
      </x:c>
      <x:c r="S275" s="14" t="str">
        <x:v>official_prozorro_award_2025_2026</x:v>
      </x:c>
      <x:c r="T275" s="14" t="str">
        <x:v>official_prozorro_api</x:v>
      </x:c>
      <x:c r="U275" s="14" t="str">
        <x:v>Не контактували</x:v>
      </x:c>
      <x:c r="V275" s="15" t="str">
        <x:v>Повторне звернення з новим тендерним сигналом UA-2026-06-08-004114-a; попросити 1 пакет здачі</x:v>
      </x:c>
      <x:c r="W275" s="15" t="str">
        <x:v>Власник / директор; керівник ПТО; відповідальний за договори</x:v>
      </x:c>
      <x:c r="X275" s="15" t="str">
        <x:v>10 підтверджених перемог/договорів у Prozorro на 41 343 329 грн; 10 проєктів зі строком виконання не раніше 24.08.2026.</x:v>
      </x:c>
      <x:c r="Y275" s="15" t="str">
        <x:v> ДК 021:2015 - 45454000-4 – Реконструкція. Реконструкція  об'єкту КП "Харківські теплові мережі" шляхом встановлення КГУ за адресою: м.Харків, ****. Відновлення асфальтобетонного покриття після укладання кабельних мереж.; строк до 2026-09-30. Попросити один знеособлений пакет здачі за цим workflow.</x:v>
      </x:c>
      <x:c r="Z275" s="15" t="str">
        <x:v>https://prozorro.gov.ua/tender/UA-2026-08-20-006967-a</x:v>
      </x:c>
      <x:c r="AA275" s="14" t="str">
        <x:v>43136131</x:v>
      </x:c>
      <x:c r="AB275" s="14" t="str">
        <x:v>2026-08-24</x:v>
      </x:c>
      <x:c r="AC275" s="14" t="str"/>
      <x:c r="AD275" s="20" t="str"/>
      <x:c r="AE275" s="14" t="str"/>
      <x:c r="AF275" s="14" t="n">
        <x:v>93</x:v>
      </x:c>
      <x:c r="AG275" s="14" t="str">
        <x:v>I1</x:v>
      </x:c>
      <x:c r="AH275" s="14" t="n">
        <x:v>14</x:v>
      </x:c>
      <x:c r="AI275" s="14" t="n">
        <x:v>14</x:v>
      </x:c>
      <x:c r="AJ275" s="18" t="n">
        <x:v>137147146.26999998</x:v>
      </x:c>
      <x:c r="AK275" s="14" t="str">
        <x:v>https://prozorro.gov.ua/tender/UA-2026-06-08-004114-a</x:v>
      </x:c>
      <x:c r="AL275" s="19" t="n">
        <x:v>46181.36224598379</x:v>
      </x:c>
      <x:c r="AM275" s="19" t="n">
        <x:v>46376</x:v>
      </x:c>
      <x:c r="AN275" s="15" t="str">
        <x:v>Теплові мережі</x:v>
      </x:c>
      <x:c r="AO275" s="15" t="str">
        <x:v>not_found_in_top_search</x:v>
      </x:c>
    </x:row>
    <x:row r="276">
      <x:c r="A276" s="14" t="str">
        <x:v>W3-004</x:v>
      </x:c>
      <x:c r="B276" s="14" t="str">
        <x:v>Prozorro winners — 24.08</x:v>
      </x:c>
      <x:c r="C276" s="14" t="str">
        <x:v>ТОВАРИСТВО З ОБМЕЖЕНОЮ ВІДПОВІДАЛЬНІСТЮ "ДКС ЕЛЕКТРИК"</x:v>
      </x:c>
      <x:c r="D276" s="14" t="str">
        <x:v>ГНБ / безтраншейні роботи</x:v>
      </x:c>
      <x:c r="E276" s="14" t="str">
        <x:v>Expansion discovery</x:v>
      </x:c>
      <x:c r="F276" s="17" t="str">
        <x:v>D1</x:v>
      </x:c>
      <x:c r="G276" s="14" t="str">
        <x:v>dkselektrik.com.ua</x:v>
      </x:c>
      <x:c r="H276" s="14" t="str">
        <x:v>Discovery розширення — 2 тижні</x:v>
      </x:c>
      <x:c r="I276" s="16" t="n">
        <x:v>1</x:v>
      </x:c>
      <x:c r="J276" s="16" t="n">
        <x:v>5</x:v>
      </x:c>
      <x:c r="K276" s="16" t="n">
        <x:v>4</x:v>
      </x:c>
      <x:c r="L276" s="16" t="n">
        <x:v>4</x:v>
      </x:c>
      <x:c r="M276" s="16" t="n">
        <x:v>5</x:v>
      </x:c>
      <x:c r="N276" s="16" t="n">
        <x:v>5</x:v>
      </x:c>
      <x:c r="O276" s="16" t="n">
        <x:v>5</x:v>
      </x:c>
      <x:c r="P276" s="16" t="n">
        <x:f>IF(COUNT(I276:O276)&lt;7,"",I276*8+J276*3+K276*2+L276*2+M276*2+N276*2+O276)</x:f>
        <x:v>64</x:v>
      </x:c>
      <x:c r="Q276" s="16" t="n">
        <x:f>IF(COUNT(J276:O276)&lt;6,"",J276*5+K276*4+M276*4+L276*3+N276*2+O276*2)</x:f>
        <x:v>93</x:v>
      </x:c>
      <x:c r="R276" s="14" t="str">
        <x:v>high</x:v>
      </x:c>
      <x:c r="S276" s="14" t="str">
        <x:v>official_prozorro_award_2025_2026</x:v>
      </x:c>
      <x:c r="T276" s="14" t="str">
        <x:v>official_prozorro_api</x:v>
      </x:c>
      <x:c r="U276" s="14" t="str">
        <x:v>Не контактували</x:v>
      </x:c>
      <x:c r="V276" s="15" t="str">
        <x:v>Повторне звернення з новим тендерним сигналом UA-2026-05-15-008160-a; попросити 1 пакет здачі</x:v>
      </x:c>
      <x:c r="W276" s="15" t="str">
        <x:v>Власник / директор; керівник ПТО; відповідальний за договори</x:v>
      </x:c>
      <x:c r="X276" s="15" t="str">
        <x:v>8 підтверджених перемог/договорів у Prozorro на 7 146 843 грн; 5 проєктів зі строком виконання не раніше 24.08.2026.</x:v>
      </x:c>
      <x:c r="Y276" s="15" t="str">
        <x:v>Реконструкція підвищувальної водопровідної насосної станції III підйому КП ПОР «ПОЛТАВАВОДОКАНАЛ» за адресою: Полтавська область, м. Полтава, вул. Ю. Кондратюка, 17 (ТП-68А) в частині влаштування резервних мереж електропостачання 0,4кВ; строк до 2026-12-31. Попросити один знеособлений пакет здачі за цим workflow.</x:v>
      </x:c>
      <x:c r="Z276" s="15" t="str">
        <x:v>https://prozorro.gov.ua/tender/UA-2026-07-13-010930-a</x:v>
      </x:c>
      <x:c r="AA276" s="14" t="str">
        <x:v>38324272</x:v>
      </x:c>
      <x:c r="AB276" s="14" t="str">
        <x:v>2026-08-24</x:v>
      </x:c>
      <x:c r="AC276" s="14" t="str"/>
      <x:c r="AD276" s="20" t="str"/>
      <x:c r="AE276" s="14" t="str"/>
      <x:c r="AF276" s="14" t="n">
        <x:v>92</x:v>
      </x:c>
      <x:c r="AG276" s="14" t="str">
        <x:v>I1</x:v>
      </x:c>
      <x:c r="AH276" s="14" t="n">
        <x:v>11</x:v>
      </x:c>
      <x:c r="AI276" s="14" t="n">
        <x:v>8</x:v>
      </x:c>
      <x:c r="AJ276" s="18" t="n">
        <x:v>14600311.46</x:v>
      </x:c>
      <x:c r="AK276" s="14" t="str">
        <x:v>https://prozorro.gov.ua/tender/UA-2026-05-15-008160-a</x:v>
      </x:c>
      <x:c r="AL276" s="19" t="n">
        <x:v>46157.45898956018</x:v>
      </x:c>
      <x:c r="AM276" s="19" t="n">
        <x:v>46387</x:v>
      </x:c>
      <x:c r="AN276" s="15" t="str">
        <x:v>ГНБ / безтраншейні роботи; Насосні станції; Підстанції / силові мережі</x:v>
      </x:c>
      <x:c r="AO276" s="15" t="str">
        <x:v>indexed_server_error_2026-08-24</x:v>
      </x:c>
    </x:row>
    <x:row r="277">
      <x:c r="A277" s="14" t="str">
        <x:v>W3-005</x:v>
      </x:c>
      <x:c r="B277" s="14" t="str">
        <x:v>Prozorro winners — 24.08</x:v>
      </x:c>
      <x:c r="C277" s="14" t="str">
        <x:v>ТОВАРИСТВО З ОБМЕЖЕНОЮ ВІДПОВІДАЛЬНІСТЮ "ФАСАД-СЕРВІС-БУД"</x:v>
      </x:c>
      <x:c r="D277" s="14" t="str">
        <x:v>Водоочищення / очисні споруди</x:v>
      </x:c>
      <x:c r="E277" s="14" t="str">
        <x:v>Expansion discovery</x:v>
      </x:c>
      <x:c r="F277" s="17" t="str">
        <x:v>D1</x:v>
      </x:c>
      <x:c r="G277" s="14" t="str">
        <x:v>fasad-servis.com.ua</x:v>
      </x:c>
      <x:c r="H277" s="14" t="str">
        <x:v>Discovery розширення — 2 тижні</x:v>
      </x:c>
      <x:c r="I277" s="16" t="n">
        <x:v>1</x:v>
      </x:c>
      <x:c r="J277" s="16" t="n">
        <x:v>5</x:v>
      </x:c>
      <x:c r="K277" s="16" t="n">
        <x:v>4</x:v>
      </x:c>
      <x:c r="L277" s="16" t="n">
        <x:v>5</x:v>
      </x:c>
      <x:c r="M277" s="16" t="n">
        <x:v>5</x:v>
      </x:c>
      <x:c r="N277" s="16" t="n">
        <x:v>5</x:v>
      </x:c>
      <x:c r="O277" s="16" t="n">
        <x:v>5</x:v>
      </x:c>
      <x:c r="P277" s="16" t="n">
        <x:f>IF(COUNT(I277:O277)&lt;7,"",I277*8+J277*3+K277*2+L277*2+M277*2+N277*2+O277)</x:f>
        <x:v>66</x:v>
      </x:c>
      <x:c r="Q277" s="16" t="n">
        <x:f>IF(COUNT(J277:O277)&lt;6,"",J277*5+K277*4+M277*4+L277*3+N277*2+O277*2)</x:f>
        <x:v>96</x:v>
      </x:c>
      <x:c r="R277" s="14" t="str">
        <x:v>high</x:v>
      </x:c>
      <x:c r="S277" s="14" t="str">
        <x:v>official_prozorro_award_2025_2026</x:v>
      </x:c>
      <x:c r="T277" s="14" t="str">
        <x:v>official_prozorro_api</x:v>
      </x:c>
      <x:c r="U277" s="14" t="str">
        <x:v>Не контактували</x:v>
      </x:c>
      <x:c r="V277" s="15" t="str">
        <x:v>Workflow-audit outreach по UA-2026-06-26-011183-a; попросити 1 пакет здачі та вимоги проєкту</x:v>
      </x:c>
      <x:c r="W277" s="15" t="str">
        <x:v>Власник / директор; керівник ПТО; відповідальний за договори</x:v>
      </x:c>
      <x:c r="X277" s="15" t="str">
        <x:v>4 підтверджених перемог/договорів у Prozorro на 36 673 383 грн; 4 проєктів зі строком виконання не раніше 24.08.2026.</x:v>
      </x:c>
      <x:c r="Y277"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 строк до 2027-12-31. Попросити один знеособлений пакет здачі за цим workflow.</x:v>
      </x:c>
      <x:c r="Z277" s="15" t="str">
        <x:v>https://prozorro.gov.ua/tender/UA-2026-06-26-011183-a</x:v>
      </x:c>
      <x:c r="AA277" s="14" t="str">
        <x:v>35379855</x:v>
      </x:c>
      <x:c r="AB277" s="14" t="str">
        <x:v>2026-08-24</x:v>
      </x:c>
      <x:c r="AC277" s="14" t="str"/>
      <x:c r="AD277" s="20" t="str"/>
      <x:c r="AE277" s="14" t="str"/>
      <x:c r="AF277" s="14" t="n">
        <x:v>90</x:v>
      </x:c>
      <x:c r="AG277" s="14" t="str">
        <x:v>I1</x:v>
      </x:c>
      <x:c r="AH277" s="14" t="n">
        <x:v>4</x:v>
      </x:c>
      <x:c r="AI277" s="14" t="n">
        <x:v>4</x:v>
      </x:c>
      <x:c r="AJ277" s="18" t="n">
        <x:v>36673383.12</x:v>
      </x:c>
      <x:c r="AK277" s="14" t="str">
        <x:v>https://prozorro.gov.ua/tender/UA-2026-06-26-011183-a</x:v>
      </x:c>
      <x:c r="AL277" s="19" t="n">
        <x:v>46199.58894462963</x:v>
      </x:c>
      <x:c r="AM277" s="19" t="n">
        <x:v>46752</x:v>
      </x:c>
      <x:c r="AN277" s="15" t="str">
        <x:v>Водоочищення / очисні споруди; Насосні станції</x:v>
      </x:c>
      <x:c r="AO277" s="15" t="str">
        <x:v>indexed_tls_error_2026-08-24</x:v>
      </x:c>
    </x:row>
    <x:row r="278">
      <x:c r="A278" s="14" t="str">
        <x:v>W3-006</x:v>
      </x:c>
      <x:c r="B278" s="14" t="str">
        <x:v>Prozorro winners — 24.08</x:v>
      </x:c>
      <x:c r="C278" s="14" t="str">
        <x:v>КОЛЕКТИВНЕ ПІДПРИЄМСТВО "ЕЛЕКТРОМОНТАЖНАЛАДКА"</x:v>
      </x:c>
      <x:c r="D278" s="14" t="str">
        <x:v>Електромонтаж</x:v>
      </x:c>
      <x:c r="E278" s="14" t="str">
        <x:v>Pilot now</x:v>
      </x:c>
      <x:c r="F278" s="17" t="str">
        <x:v>P1</x:v>
      </x:c>
      <x:c r="G278" s="14" t="str"/>
      <x:c r="H278" s="14" t="str">
        <x:v>Пілот зараз — Н.15</x:v>
      </x:c>
      <x:c r="I278" s="16" t="n">
        <x:v>5</x:v>
      </x:c>
      <x:c r="J278" s="16" t="n">
        <x:v>5</x:v>
      </x:c>
      <x:c r="K278" s="16" t="n">
        <x:v>5</x:v>
      </x:c>
      <x:c r="L278" s="16" t="n">
        <x:v>4</x:v>
      </x:c>
      <x:c r="M278" s="16" t="n">
        <x:v>5</x:v>
      </x:c>
      <x:c r="N278" s="16" t="n">
        <x:v>5</x:v>
      </x:c>
      <x:c r="O278" s="16" t="n">
        <x:v>5</x:v>
      </x:c>
      <x:c r="P278" s="16" t="n">
        <x:f>IF(COUNT(I278:O278)&lt;7,"",I278*8+J278*3+K278*2+L278*2+M278*2+N278*2+O278)</x:f>
        <x:v>98</x:v>
      </x:c>
      <x:c r="Q278" s="16" t="n">
        <x:f>IF(COUNT(J278:O278)&lt;6,"",J278*5+K278*4+M278*4+L278*3+N278*2+O278*2)</x:f>
        <x:v>97</x:v>
      </x:c>
      <x:c r="R278" s="14" t="str">
        <x:v>high</x:v>
      </x:c>
      <x:c r="S278" s="14" t="str">
        <x:v>official_prozorro_award_2025_2026</x:v>
      </x:c>
      <x:c r="T278" s="14" t="str">
        <x:v>official_prozorro_api</x:v>
      </x:c>
      <x:c r="U278" s="14" t="str">
        <x:v>Не контактували</x:v>
      </x:c>
      <x:c r="V278" s="15" t="str">
        <x:v>Персоналізований free-pilot outreach по UA-2026-07-27-006674-a; попросити 1 пакет Н.14/Н.15</x:v>
      </x:c>
      <x:c r="W278" s="15" t="str">
        <x:v>Власник / директор; керівник ПТО; відповідальний за договори</x:v>
      </x:c>
      <x:c r="X278" s="15" t="str">
        <x:v>5 підтверджених перемог/договорів у Prozorro на 3 013 969 грн; 5 проєктів зі строком виконання не раніше 24.08.2026.</x:v>
      </x:c>
      <x:c r="Y278" s="15" t="str">
        <x:v>Електромонтажні роботи; строк до 2026-12-31. Попросити один знеособлений пакет здачі за цим workflow.</x:v>
      </x:c>
      <x:c r="Z278" s="15" t="str">
        <x:v>https://prozorro.gov.ua/tender/UA-2026-07-27-006674-a</x:v>
      </x:c>
      <x:c r="AA278" s="14" t="str">
        <x:v>04847816</x:v>
      </x:c>
      <x:c r="AB278" s="14" t="str">
        <x:v>2026-08-24</x:v>
      </x:c>
      <x:c r="AC278" s="14" t="str"/>
      <x:c r="AD278" s="20" t="str"/>
      <x:c r="AE278" s="14" t="str"/>
      <x:c r="AF278" s="14" t="n">
        <x:v>89</x:v>
      </x:c>
      <x:c r="AG278" s="14" t="str">
        <x:v>I1</x:v>
      </x:c>
      <x:c r="AH278" s="14" t="n">
        <x:v>5</x:v>
      </x:c>
      <x:c r="AI278" s="14" t="n">
        <x:v>5</x:v>
      </x:c>
      <x:c r="AJ278" s="18" t="n">
        <x:v>3013969.46</x:v>
      </x:c>
      <x:c r="AK278" s="14" t="str">
        <x:v>https://prozorro.gov.ua/tender/UA-2026-07-27-006674-a</x:v>
      </x:c>
      <x:c r="AL278" s="19" t="n">
        <x:v>46230.472937164355</x:v>
      </x:c>
      <x:c r="AM278" s="19" t="n">
        <x:v>46387</x:v>
      </x:c>
      <x:c r="AN278" s="15" t="str">
        <x:v>Електромонтаж</x:v>
      </x:c>
      <x:c r="AO278" s="15" t="str">
        <x:v>not_found_in_top_search</x:v>
      </x:c>
    </x:row>
    <x:row r="279">
      <x:c r="A279" s="14" t="str">
        <x:v>W3-007</x:v>
      </x:c>
      <x:c r="B279" s="14" t="str">
        <x:v>Prozorro winners — 24.08</x:v>
      </x:c>
      <x:c r="C279" s="14" t="str">
        <x:v>ТОВ "ХЕРСОНСЬКИЙ АЛЬЯНС БУДІВНИЦТВА"</x:v>
      </x:c>
      <x:c r="D279" s="14" t="str">
        <x:v>Зовнішні мережі</x:v>
      </x:c>
      <x:c r="E279" s="14" t="str">
        <x:v>Expansion discovery</x:v>
      </x:c>
      <x:c r="F279" s="17" t="str">
        <x:v>D1</x:v>
      </x:c>
      <x:c r="G279" s="14" t="str"/>
      <x:c r="H279" s="14" t="str">
        <x:v>Discovery розширення — 2 тижні</x:v>
      </x:c>
      <x:c r="I279" s="16" t="n">
        <x:v>1</x:v>
      </x:c>
      <x:c r="J279" s="16" t="n">
        <x:v>5</x:v>
      </x:c>
      <x:c r="K279" s="16" t="n">
        <x:v>4</x:v>
      </x:c>
      <x:c r="L279" s="16" t="n">
        <x:v>5</x:v>
      </x:c>
      <x:c r="M279" s="16" t="n">
        <x:v>5</x:v>
      </x:c>
      <x:c r="N279" s="16" t="n">
        <x:v>5</x:v>
      </x:c>
      <x:c r="O279" s="16" t="n">
        <x:v>5</x:v>
      </x:c>
      <x:c r="P279" s="16" t="n">
        <x:f>IF(COUNT(I279:O279)&lt;7,"",I279*8+J279*3+K279*2+L279*2+M279*2+N279*2+O279)</x:f>
        <x:v>66</x:v>
      </x:c>
      <x:c r="Q279" s="16" t="n">
        <x:f>IF(COUNT(J279:O279)&lt;6,"",J279*5+K279*4+M279*4+L279*3+N279*2+O279*2)</x:f>
        <x:v>96</x:v>
      </x:c>
      <x:c r="R279" s="14" t="str">
        <x:v>high</x:v>
      </x:c>
      <x:c r="S279" s="14" t="str">
        <x:v>official_prozorro_award_2025_2026</x:v>
      </x:c>
      <x:c r="T279" s="14" t="str">
        <x:v>official_prozorro_api</x:v>
      </x:c>
      <x:c r="U279" s="14" t="str">
        <x:v>Не контактували</x:v>
      </x:c>
      <x:c r="V279" s="15" t="str">
        <x:v>Workflow-audit outreach по UA-2026-06-18-008231-a; попросити 1 пакет здачі та вимоги проєкту</x:v>
      </x:c>
      <x:c r="W279" s="15" t="str">
        <x:v>Власник / директор; керівник ПТО; відповідальний за договори</x:v>
      </x:c>
      <x:c r="X279" s="15" t="str">
        <x:v>4 підтверджених перемог/договорів у Prozorro на 162 373 365 грн; 4 проєктів зі строком виконання не раніше 24.08.2026.</x:v>
      </x:c>
      <x:c r="Y279"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 строк до 2026-12-22. Попросити один знеособлений пакет здачі за цим workflow.</x:v>
      </x:c>
      <x:c r="Z279" s="15" t="str">
        <x:v>https://prozorro.gov.ua/tender/UA-2026-06-18-008231-a</x:v>
      </x:c>
      <x:c r="AA279" s="14" t="str">
        <x:v>42542403</x:v>
      </x:c>
      <x:c r="AB279" s="14" t="str">
        <x:v>2026-08-24</x:v>
      </x:c>
      <x:c r="AC279" s="14" t="str"/>
      <x:c r="AD279" s="20" t="str"/>
      <x:c r="AE279" s="14" t="str"/>
      <x:c r="AF279" s="14" t="n">
        <x:v>87</x:v>
      </x:c>
      <x:c r="AG279" s="14" t="str">
        <x:v>I1</x:v>
      </x:c>
      <x:c r="AH279" s="14" t="n">
        <x:v>4</x:v>
      </x:c>
      <x:c r="AI279" s="14" t="n">
        <x:v>4</x:v>
      </x:c>
      <x:c r="AJ279" s="18" t="n">
        <x:v>162373364.8</x:v>
      </x:c>
      <x:c r="AK279" s="14" t="str">
        <x:v>https://prozorro.gov.ua/tender/UA-2026-06-18-008231-a</x:v>
      </x:c>
      <x:c r="AL279" s="19" t="n">
        <x:v>46203.277789583335</x:v>
      </x:c>
      <x:c r="AM279" s="19" t="n">
        <x:v>46378</x:v>
      </x:c>
      <x:c r="AN279" s="15" t="str">
        <x:v>Зовнішні мережі</x:v>
      </x:c>
      <x:c r="AO279" s="15" t="str">
        <x:v>not_found_in_top_search</x:v>
      </x:c>
    </x:row>
    <x:row r="280">
      <x:c r="A280" s="14" t="str">
        <x:v>W3-008</x:v>
      </x:c>
      <x:c r="B280" s="14" t="str">
        <x:v>Prozorro winners — 24.08</x:v>
      </x:c>
      <x:c r="C280" s="14" t="str">
        <x:v>ТОВАРИСТВО З ОБМЕЖЕНОЮ ВІДПОВІДАЛЬНІСТЮ "ГІДРА БУД МОНТАЖ"</x:v>
      </x:c>
      <x:c r="D280" s="14" t="str">
        <x:v>Газопостачання / котельні</x:v>
      </x:c>
      <x:c r="E280" s="14" t="str">
        <x:v>Expansion discovery</x:v>
      </x:c>
      <x:c r="F280" s="17" t="str">
        <x:v>D1</x:v>
      </x:c>
      <x:c r="G280" s="14" t="str"/>
      <x:c r="H280" s="14" t="str">
        <x:v>Discovery розширення — 2 тижні</x:v>
      </x:c>
      <x:c r="I280" s="16" t="n">
        <x:v>1</x:v>
      </x:c>
      <x:c r="J280" s="16" t="n">
        <x:v>5</x:v>
      </x:c>
      <x:c r="K280" s="16" t="n">
        <x:v>4</x:v>
      </x:c>
      <x:c r="L280" s="16" t="n">
        <x:v>4</x:v>
      </x:c>
      <x:c r="M280" s="16" t="n">
        <x:v>5</x:v>
      </x:c>
      <x:c r="N280" s="16" t="n">
        <x:v>5</x:v>
      </x:c>
      <x:c r="O280" s="16" t="n">
        <x:v>5</x:v>
      </x:c>
      <x:c r="P280" s="16" t="n">
        <x:f>IF(COUNT(I280:O280)&lt;7,"",I280*8+J280*3+K280*2+L280*2+M280*2+N280*2+O280)</x:f>
        <x:v>64</x:v>
      </x:c>
      <x:c r="Q280" s="16" t="n">
        <x:f>IF(COUNT(J280:O280)&lt;6,"",J280*5+K280*4+M280*4+L280*3+N280*2+O280*2)</x:f>
        <x:v>93</x:v>
      </x:c>
      <x:c r="R280" s="14" t="str">
        <x:v>high</x:v>
      </x:c>
      <x:c r="S280" s="14" t="str">
        <x:v>official_prozorro_award_2025_2026</x:v>
      </x:c>
      <x:c r="T280" s="14" t="str">
        <x:v>official_prozorro_api</x:v>
      </x:c>
      <x:c r="U280" s="14" t="str">
        <x:v>Не контактували</x:v>
      </x:c>
      <x:c r="V280" s="15" t="str">
        <x:v>Повторне звернення з новим тендерним сигналом UA-2025-11-28-013109-a; попросити 1 пакет здачі</x:v>
      </x:c>
      <x:c r="W280" s="15" t="str">
        <x:v>Власник / директор; керівник ПТО; відповідальний за договори</x:v>
      </x:c>
      <x:c r="X280" s="15" t="str">
        <x:v>4 підтверджених перемог/договорів у Prozorro на 5 505 402 грн; 2 проєктів зі строком виконання не раніше 24.08.2026.</x:v>
      </x:c>
      <x:c r="Y280" s="15" t="str">
        <x:v>«Реконструкція (відновлення) теплових мереж на ділянці від ВТ 432/9-2 до ж/б по вул. Європейська, 10 в м. Харкові»(код ДК: 021:2015-45454000-4 - Реконструкція); строк до 2026-10-15. Попросити один знеособлений пакет здачі за цим workflow.</x:v>
      </x:c>
      <x:c r="Z280" s="15" t="str">
        <x:v>https://prozorro.gov.ua/tender/UA-2026-08-19-006860-a</x:v>
      </x:c>
      <x:c r="AA280" s="14" t="str">
        <x:v>44215219</x:v>
      </x:c>
      <x:c r="AB280" s="14" t="str">
        <x:v>2026-08-24</x:v>
      </x:c>
      <x:c r="AC280" s="14" t="str"/>
      <x:c r="AD280" s="20" t="str"/>
      <x:c r="AE280" s="14" t="str"/>
      <x:c r="AF280" s="14" t="n">
        <x:v>87</x:v>
      </x:c>
      <x:c r="AG280" s="14" t="str">
        <x:v>I1</x:v>
      </x:c>
      <x:c r="AH280" s="14" t="n">
        <x:v>5</x:v>
      </x:c>
      <x:c r="AI280" s="14" t="n">
        <x:v>2</x:v>
      </x:c>
      <x:c r="AJ280" s="18" t="n">
        <x:v>6295316.38</x:v>
      </x:c>
      <x:c r="AK280" s="14" t="str">
        <x:v>https://prozorro.gov.ua/tender/UA-2025-11-28-013109-a</x:v>
      </x:c>
      <x:c r="AL280" s="19" t="n">
        <x:v>45989.57159165509</x:v>
      </x:c>
      <x:c r="AM280" s="19" t="n">
        <x:v>46011</x:v>
      </x:c>
      <x:c r="AN280" s="15" t="str">
        <x:v>Газопостачання / котельні; Теплові мережі; Зовнішні мережі</x:v>
      </x:c>
      <x:c r="AO280" s="15" t="str">
        <x:v>not_found_in_top_search</x:v>
      </x:c>
    </x:row>
    <x:row r="281">
      <x:c r="A281" s="14" t="str">
        <x:v>W3-009</x:v>
      </x:c>
      <x:c r="B281" s="14" t="str">
        <x:v>Prozorro winners — 24.08</x:v>
      </x:c>
      <x:c r="C281" s="14" t="str">
        <x:v>УПРАВЛІННЯ ПОЛІЦІЇ ОХОРОНИ В ЧЕРНІВЕЦЬКІЙ ОБЛАСТІ</x:v>
      </x:c>
      <x:c r="D281" s="14" t="str">
        <x:v>Пожежогасіння</x:v>
      </x:c>
      <x:c r="E281" s="14" t="str">
        <x:v>Expansion discovery</x:v>
      </x:c>
      <x:c r="F281" s="17" t="str">
        <x:v>D1</x:v>
      </x:c>
      <x:c r="G281" s="14" t="str"/>
      <x:c r="H281" s="14" t="str">
        <x:v>Discovery розширення — 2 тижні</x:v>
      </x:c>
      <x:c r="I281" s="16" t="n">
        <x:v>1</x:v>
      </x:c>
      <x:c r="J281" s="16" t="n">
        <x:v>5</x:v>
      </x:c>
      <x:c r="K281" s="16" t="n">
        <x:v>4</x:v>
      </x:c>
      <x:c r="L281" s="16" t="n">
        <x:v>2</x:v>
      </x:c>
      <x:c r="M281" s="16" t="n">
        <x:v>5</x:v>
      </x:c>
      <x:c r="N281" s="16" t="n">
        <x:v>5</x:v>
      </x:c>
      <x:c r="O281" s="16" t="n">
        <x:v>5</x:v>
      </x:c>
      <x:c r="P281" s="16" t="n">
        <x:f>IF(COUNT(I281:O281)&lt;7,"",I281*8+J281*3+K281*2+L281*2+M281*2+N281*2+O281)</x:f>
        <x:v>60</x:v>
      </x:c>
      <x:c r="Q281" s="16" t="n">
        <x:f>IF(COUNT(J281:O281)&lt;6,"",J281*5+K281*4+M281*4+L281*3+N281*2+O281*2)</x:f>
        <x:v>87</x:v>
      </x:c>
      <x:c r="R281" s="14" t="str">
        <x:v>high</x:v>
      </x:c>
      <x:c r="S281" s="14" t="str">
        <x:v>official_prozorro_award_2025_2026</x:v>
      </x:c>
      <x:c r="T281" s="14" t="str">
        <x:v>official_prozorro_api</x:v>
      </x:c>
      <x:c r="U281" s="14" t="str">
        <x:v>Не контактували</x:v>
      </x:c>
      <x:c r="V281" s="15" t="str">
        <x:v>Повторне звернення з новим тендерним сигналом UA-2025-12-29-009832-a; попросити 1 пакет здачі</x:v>
      </x:c>
      <x:c r="W281" s="15" t="str">
        <x:v>Власник / директор; керівник ПТО; відповідальний за договори</x:v>
      </x:c>
      <x:c r="X281" s="15" t="str">
        <x:v>10 підтверджених перемог/договорів у Prozorro на 283 639 грн; 8 проєктів зі строком виконання не раніше 24.08.2026.</x:v>
      </x:c>
      <x:c r="Y281" s="15" t="str">
        <x:v>Монтаж та налагодження системи контролю доступу (арочний металодетектор); строк до 2026-08-31. Попросити один знеособлений пакет здачі за цим workflow.</x:v>
      </x:c>
      <x:c r="Z281" s="15" t="str">
        <x:v>https://prozorro.gov.ua/tender/UA-2026-08-12-002581-a</x:v>
      </x:c>
      <x:c r="AA281" s="14" t="str">
        <x:v>40108976</x:v>
      </x:c>
      <x:c r="AB281" s="14" t="str">
        <x:v>2026-08-24</x:v>
      </x:c>
      <x:c r="AC281" s="14" t="str"/>
      <x:c r="AD281" s="20" t="str"/>
      <x:c r="AE281" s="14" t="str"/>
      <x:c r="AF281" s="14" t="n">
        <x:v>84</x:v>
      </x:c>
      <x:c r="AG281" s="14" t="str">
        <x:v>I1</x:v>
      </x:c>
      <x:c r="AH281" s="14" t="n">
        <x:v>11</x:v>
      </x:c>
      <x:c r="AI281" s="14" t="n">
        <x:v>8</x:v>
      </x:c>
      <x:c r="AJ281" s="18" t="n">
        <x:v>306641.82</x:v>
      </x:c>
      <x:c r="AK281" s="14" t="str">
        <x:v>https://prozorro.gov.ua/tender/UA-2025-12-29-009832-a</x:v>
      </x:c>
      <x:c r="AL281" s="19" t="n">
        <x:v>46020.597721516206</x:v>
      </x:c>
      <x:c r="AM281" s="19" t="n">
        <x:v>46022.916666655095</x:v>
      </x:c>
      <x:c r="AN281" s="15" t="str">
        <x:v>Пожежогасіння; Безпека / СКУД / CCTV</x:v>
      </x:c>
      <x:c r="AO281" s="15" t="str">
        <x:v>not_found_in_top_search</x:v>
      </x:c>
    </x:row>
    <x:row r="282">
      <x:c r="A282" s="14" t="str">
        <x:v>W3-010</x:v>
      </x:c>
      <x:c r="B282" s="14" t="str">
        <x:v>Prozorro winners — 24.08</x:v>
      </x:c>
      <x:c r="C282" s="14" t="str">
        <x:v>Центр технічної охорони Управління поліції охорони у Львівській області</x:v>
      </x:c>
      <x:c r="D282" s="14" t="str">
        <x:v>Пожежогасіння</x:v>
      </x:c>
      <x:c r="E282" s="14" t="str">
        <x:v>Expansion discovery</x:v>
      </x:c>
      <x:c r="F282" s="17" t="str">
        <x:v>D1</x:v>
      </x:c>
      <x:c r="G282" s="14" t="str"/>
      <x:c r="H282" s="14" t="str">
        <x:v>Discovery розширення — 2 тижні</x:v>
      </x:c>
      <x:c r="I282" s="16" t="n">
        <x:v>1</x:v>
      </x:c>
      <x:c r="J282" s="16" t="n">
        <x:v>5</x:v>
      </x:c>
      <x:c r="K282" s="16" t="n">
        <x:v>4</x:v>
      </x:c>
      <x:c r="L282" s="16" t="n">
        <x:v>2</x:v>
      </x:c>
      <x:c r="M282" s="16" t="n">
        <x:v>5</x:v>
      </x:c>
      <x:c r="N282" s="16" t="n">
        <x:v>5</x:v>
      </x:c>
      <x:c r="O282" s="16" t="n">
        <x:v>5</x:v>
      </x:c>
      <x:c r="P282" s="16" t="n">
        <x:f>IF(COUNT(I282:O282)&lt;7,"",I282*8+J282*3+K282*2+L282*2+M282*2+N282*2+O282)</x:f>
        <x:v>60</x:v>
      </x:c>
      <x:c r="Q282" s="16" t="n">
        <x:f>IF(COUNT(J282:O282)&lt;6,"",J282*5+K282*4+M282*4+L282*3+N282*2+O282*2)</x:f>
        <x:v>87</x:v>
      </x:c>
      <x:c r="R282" s="14" t="str">
        <x:v>high</x:v>
      </x:c>
      <x:c r="S282" s="14" t="str">
        <x:v>official_prozorro_award_2025_2026</x:v>
      </x:c>
      <x:c r="T282" s="14" t="str">
        <x:v>official_prozorro_api</x:v>
      </x:c>
      <x:c r="U282" s="14" t="str">
        <x:v>Не контактували</x:v>
      </x:c>
      <x:c r="V282" s="15" t="str">
        <x:v>Повторне звернення з новим тендерним сигналом UA-2026-07-10-008818-a; попросити 1 пакет здачі</x:v>
      </x:c>
      <x:c r="W282" s="15" t="str">
        <x:v>Власник / директор; керівник ПТО; відповідальний за договори</x:v>
      </x:c>
      <x:c r="X282" s="15" t="str">
        <x:v>7 підтверджених перемог/договорів у Prozorro на 136 354 грн; 6 проєктів зі строком виконання не раніше 24.08.2026.</x:v>
      </x:c>
      <x:c r="Y282" s="15" t="str">
        <x:v>Послуги з монтажу пусконалагоджування системи відеоспостереження; строк до 2026-12-31. Попросити один знеособлений пакет здачі за цим workflow.</x:v>
      </x:c>
      <x:c r="Z282" s="15" t="str">
        <x:v>https://prozorro.gov.ua/tender/UA-2026-08-19-012027-a</x:v>
      </x:c>
      <x:c r="AA282" s="14" t="str">
        <x:v>40108887</x:v>
      </x:c>
      <x:c r="AB282" s="14" t="str">
        <x:v>2026-08-24</x:v>
      </x:c>
      <x:c r="AC282" s="14" t="str"/>
      <x:c r="AD282" s="20" t="str"/>
      <x:c r="AE282" s="14" t="str"/>
      <x:c r="AF282" s="14" t="n">
        <x:v>84</x:v>
      </x:c>
      <x:c r="AG282" s="14" t="str">
        <x:v>I1</x:v>
      </x:c>
      <x:c r="AH282" s="14" t="n">
        <x:v>9</x:v>
      </x:c>
      <x:c r="AI282" s="14" t="n">
        <x:v>8</x:v>
      </x:c>
      <x:c r="AJ282" s="18" t="n">
        <x:v>164138.75</x:v>
      </x:c>
      <x:c r="AK282" s="14" t="str">
        <x:v>https://prozorro.gov.ua/tender/UA-2026-07-10-008818-a</x:v>
      </x:c>
      <x:c r="AL282" s="19" t="n">
        <x:v>46213.52632453704</x:v>
      </x:c>
      <x:c r="AM282" s="19" t="n">
        <x:v>46387</x:v>
      </x:c>
      <x:c r="AN282" s="15" t="str">
        <x:v>Пожежогасіння; Безпека / СКУД / CCTV</x:v>
      </x:c>
      <x:c r="AO282" s="15" t="str">
        <x:v>not_found_in_top_search</x:v>
      </x:c>
    </x:row>
    <x:row r="283">
      <x:c r="A283" s="14" t="str">
        <x:v>W3-011</x:v>
      </x:c>
      <x:c r="B283" s="14" t="str">
        <x:v>Prozorro winners — 24.08</x:v>
      </x:c>
      <x:c r="C283" s="14" t="str">
        <x:v>ТОВАРИСТВО З ОБМЕЖЕНОЮ ВІДПОВІДАЛЬНІСТЮ "РСУ-СХІД"</x:v>
      </x:c>
      <x:c r="D283" s="14" t="str">
        <x:v>ВОЛЗ / телеком</x:v>
      </x:c>
      <x:c r="E283" s="14" t="str">
        <x:v>Expansion discovery</x:v>
      </x:c>
      <x:c r="F283" s="17" t="str">
        <x:v>D1</x:v>
      </x:c>
      <x:c r="G283" s="14" t="str"/>
      <x:c r="H283" s="14" t="str">
        <x:v>Discovery розширення — 2 тижні</x:v>
      </x:c>
      <x:c r="I283" s="16" t="n">
        <x:v>1</x:v>
      </x:c>
      <x:c r="J283" s="16" t="n">
        <x:v>5</x:v>
      </x:c>
      <x:c r="K283" s="16" t="n">
        <x:v>4</x:v>
      </x:c>
      <x:c r="L283" s="16" t="n">
        <x:v>4</x:v>
      </x:c>
      <x:c r="M283" s="16" t="n">
        <x:v>5</x:v>
      </x:c>
      <x:c r="N283" s="16" t="n">
        <x:v>5</x:v>
      </x:c>
      <x:c r="O283" s="16" t="n">
        <x:v>5</x:v>
      </x:c>
      <x:c r="P283" s="16" t="n">
        <x:f>IF(COUNT(I283:O283)&lt;7,"",I283*8+J283*3+K283*2+L283*2+M283*2+N283*2+O283)</x:f>
        <x:v>64</x:v>
      </x:c>
      <x:c r="Q283" s="16" t="n">
        <x:f>IF(COUNT(J283:O283)&lt;6,"",J283*5+K283*4+M283*4+L283*3+N283*2+O283*2)</x:f>
        <x:v>93</x:v>
      </x:c>
      <x:c r="R283" s="14" t="str">
        <x:v>high</x:v>
      </x:c>
      <x:c r="S283" s="14" t="str">
        <x:v>official_prozorro_award_2025_2026</x:v>
      </x:c>
      <x:c r="T283" s="14" t="str">
        <x:v>official_prozorro_api</x:v>
      </x:c>
      <x:c r="U283" s="14" t="str">
        <x:v>Не контактували</x:v>
      </x:c>
      <x:c r="V283" s="15" t="str">
        <x:v>Workflow-audit outreach по UA-2026-05-20-002590-a; попросити 1 пакет здачі та вимоги проєкту</x:v>
      </x:c>
      <x:c r="W283" s="15" t="str">
        <x:v>Власник / директор; керівник ПТО; відповідальний за договори</x:v>
      </x:c>
      <x:c r="X283" s="15" t="str">
        <x:v>5 підтверджених перемог/договорів у Prozorro на 3 031 084 грн; 4 проєктів зі строком виконання не раніше 24.08.2026.</x:v>
      </x:c>
      <x:c r="Y283" s="15" t="str">
        <x:v>Будівництво ВОЛЗ ПС Харківська -ПС Селекційна у м. Харкові; строк до 2027-06-30. Попросити один знеособлений пакет здачі за цим workflow.</x:v>
      </x:c>
      <x:c r="Z283" s="15" t="str">
        <x:v>https://prozorro.gov.ua/tender/UA-2026-05-20-002590-a</x:v>
      </x:c>
      <x:c r="AA283" s="14" t="str">
        <x:v>44743360</x:v>
      </x:c>
      <x:c r="AB283" s="14" t="str">
        <x:v>2026-08-24</x:v>
      </x:c>
      <x:c r="AC283" s="14" t="str"/>
      <x:c r="AD283" s="20" t="str"/>
      <x:c r="AE283" s="14" t="str"/>
      <x:c r="AF283" s="14" t="n">
        <x:v>83</x:v>
      </x:c>
      <x:c r="AG283" s="14" t="str">
        <x:v>I1</x:v>
      </x:c>
      <x:c r="AH283" s="14" t="n">
        <x:v>5</x:v>
      </x:c>
      <x:c r="AI283" s="14" t="n">
        <x:v>4</x:v>
      </x:c>
      <x:c r="AJ283" s="18" t="n">
        <x:v>3031084.48</x:v>
      </x:c>
      <x:c r="AK283" s="14" t="str">
        <x:v>https://prozorro.gov.ua/tender/UA-2026-05-20-002590-a</x:v>
      </x:c>
      <x:c r="AL283" s="19" t="n">
        <x:v>46162.31323571759</x:v>
      </x:c>
      <x:c r="AM283" s="19" t="n">
        <x:v>46568</x:v>
      </x:c>
      <x:c r="AN283" s="15" t="str">
        <x:v>ВОЛЗ / телеком</x:v>
      </x:c>
      <x:c r="AO283" s="15" t="str">
        <x:v>not_found_in_top_search</x:v>
      </x:c>
    </x:row>
    <x:row r="284">
      <x:c r="A284" s="14" t="str">
        <x:v>W3-012</x:v>
      </x:c>
      <x:c r="B284" s="14" t="str">
        <x:v>Prozorro winners — 24.08</x:v>
      </x:c>
      <x:c r="C284" s="14" t="str">
        <x:v>ТОВАРИСТВО З ОБМЕЖЕНОЮ ВІДПОВІДАЛЬНІСТЮ "САБ-КОНСТРАКШН"</x:v>
      </x:c>
      <x:c r="D284" s="14" t="str">
        <x:v>Зовнішні мережі</x:v>
      </x:c>
      <x:c r="E284" s="14" t="str">
        <x:v>Expansion discovery</x:v>
      </x:c>
      <x:c r="F284" s="17" t="str">
        <x:v>D1</x:v>
      </x:c>
      <x:c r="G284" s="14" t="str"/>
      <x:c r="H284" s="14" t="str">
        <x:v>Discovery розширення — 2 тижні</x:v>
      </x:c>
      <x:c r="I284" s="16" t="n">
        <x:v>1</x:v>
      </x:c>
      <x:c r="J284" s="16" t="n">
        <x:v>5</x:v>
      </x:c>
      <x:c r="K284" s="16" t="n">
        <x:v>4</x:v>
      </x:c>
      <x:c r="L284" s="16" t="n">
        <x:v>5</x:v>
      </x:c>
      <x:c r="M284" s="16" t="n">
        <x:v>5</x:v>
      </x:c>
      <x:c r="N284" s="16" t="n">
        <x:v>5</x:v>
      </x:c>
      <x:c r="O284" s="16" t="n">
        <x:v>5</x:v>
      </x:c>
      <x:c r="P284" s="16" t="n">
        <x:f>IF(COUNT(I284:O284)&lt;7,"",I284*8+J284*3+K284*2+L284*2+M284*2+N284*2+O284)</x:f>
        <x:v>66</x:v>
      </x:c>
      <x:c r="Q284" s="16" t="n">
        <x:f>IF(COUNT(J284:O284)&lt;6,"",J284*5+K284*4+M284*4+L284*3+N284*2+O284*2)</x:f>
        <x:v>96</x:v>
      </x:c>
      <x:c r="R284" s="14" t="str">
        <x:v>high</x:v>
      </x:c>
      <x:c r="S284" s="14" t="str">
        <x:v>official_prozorro_award_2025_2026</x:v>
      </x:c>
      <x:c r="T284" s="14" t="str">
        <x:v>official_prozorro_api</x:v>
      </x:c>
      <x:c r="U284" s="14" t="str">
        <x:v>Не контактували</x:v>
      </x:c>
      <x:c r="V284" s="15" t="str">
        <x:v>Workflow-audit outreach по UA-2026-06-26-010217-a; попросити 1 пакет здачі та вимоги проєкту</x:v>
      </x:c>
      <x:c r="W284" s="15" t="str">
        <x:v>Власник / директор; керівник ПТО; відповідальний за договори</x:v>
      </x:c>
      <x:c r="X284" s="15" t="str">
        <x:v>3 підтверджених перемог/договорів у Prozorro на 105 402 698 грн; 3 проєктів зі строком виконання не раніше 24.08.2026.</x:v>
      </x:c>
      <x:c r="Y284"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 строк до 2027-02-15. Попросити один знеособлений пакет здачі за цим workflow.</x:v>
      </x:c>
      <x:c r="Z284" s="15" t="str">
        <x:v>https://prozorro.gov.ua/tender/UA-2026-06-26-010217-a</x:v>
      </x:c>
      <x:c r="AA284" s="14" t="str">
        <x:v>42506391</x:v>
      </x:c>
      <x:c r="AB284" s="14" t="str">
        <x:v>2026-08-24</x:v>
      </x:c>
      <x:c r="AC284" s="14" t="str"/>
      <x:c r="AD284" s="20" t="str"/>
      <x:c r="AE284" s="14" t="str"/>
      <x:c r="AF284" s="14" t="n">
        <x:v>82</x:v>
      </x:c>
      <x:c r="AG284" s="14" t="str">
        <x:v>I1</x:v>
      </x:c>
      <x:c r="AH284" s="14" t="n">
        <x:v>3</x:v>
      </x:c>
      <x:c r="AI284" s="14" t="n">
        <x:v>3</x:v>
      </x:c>
      <x:c r="AJ284" s="18" t="n">
        <x:v>105402698.29</x:v>
      </x:c>
      <x:c r="AK284" s="14" t="str">
        <x:v>https://prozorro.gov.ua/tender/UA-2026-06-26-010217-a</x:v>
      </x:c>
      <x:c r="AL284" s="19" t="n">
        <x:v>46210.58118918981</x:v>
      </x:c>
      <x:c r="AM284" s="19" t="n">
        <x:v>46433</x:v>
      </x:c>
      <x:c r="AN284" s="15" t="str">
        <x:v>Зовнішні мережі</x:v>
      </x:c>
      <x:c r="AO284" s="15" t="str">
        <x:v>not_found_in_top_search</x:v>
      </x:c>
    </x:row>
    <x:row r="285">
      <x:c r="A285" s="14" t="str">
        <x:v>W3-013</x:v>
      </x:c>
      <x:c r="B285" s="14" t="str">
        <x:v>Prozorro winners — 24.08</x:v>
      </x:c>
      <x:c r="C285" s="14" t="str">
        <x:v>ФОП Костійчук Олександр Володимирович</x:v>
      </x:c>
      <x:c r="D285" s="14" t="str">
        <x:v>Газопостачання / котельні</x:v>
      </x:c>
      <x:c r="E285" s="14" t="str">
        <x:v>Expansion discovery</x:v>
      </x:c>
      <x:c r="F285" s="17" t="str">
        <x:v>D1</x:v>
      </x:c>
      <x:c r="G285" s="14" t="str"/>
      <x:c r="H285" s="14" t="str">
        <x:v>Discovery розширення — 2 тижні</x:v>
      </x:c>
      <x:c r="I285" s="16" t="n">
        <x:v>1</x:v>
      </x:c>
      <x:c r="J285" s="16" t="n">
        <x:v>5</x:v>
      </x:c>
      <x:c r="K285" s="16" t="n">
        <x:v>4</x:v>
      </x:c>
      <x:c r="L285" s="16" t="n">
        <x:v>3</x:v>
      </x:c>
      <x:c r="M285" s="16" t="n">
        <x:v>5</x:v>
      </x:c>
      <x:c r="N285" s="16" t="n">
        <x:v>3</x:v>
      </x:c>
      <x:c r="O285" s="16" t="n">
        <x:v>5</x:v>
      </x:c>
      <x:c r="P285" s="16" t="n">
        <x:f>IF(COUNT(I285:O285)&lt;7,"",I285*8+J285*3+K285*2+L285*2+M285*2+N285*2+O285)</x:f>
        <x:v>58</x:v>
      </x:c>
      <x:c r="Q285" s="16" t="n">
        <x:f>IF(COUNT(J285:O285)&lt;6,"",J285*5+K285*4+M285*4+L285*3+N285*2+O285*2)</x:f>
        <x:v>86</x:v>
      </x:c>
      <x:c r="R285" s="14" t="str">
        <x:v>high</x:v>
      </x:c>
      <x:c r="S285" s="14" t="str">
        <x:v>official_prozorro_award_2025_2026</x:v>
      </x:c>
      <x:c r="T285" s="14" t="str">
        <x:v>official_prozorro_api</x:v>
      </x:c>
      <x:c r="U285" s="14" t="str">
        <x:v>Не контактували</x:v>
      </x:c>
      <x:c r="V285" s="15" t="str">
        <x:v>Повторне звернення з новим тендерним сигналом UA-2025-12-18-008855-a; попросити 1 пакет здачі</x:v>
      </x:c>
      <x:c r="W285" s="15" t="str">
        <x:v>Власник / виконавець; відповідальний за договір</x:v>
      </x:c>
      <x:c r="X285" s="15" t="str">
        <x:v>5 підтверджених перемог/договорів у Prozorro на 574 667 грн; 5 проєктів зі строком виконання не раніше 24.08.2026.</x:v>
      </x:c>
      <x:c r="Y285"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 строк до 2026-09-30. Попросити один знеособлений пакет здачі за цим workflow.</x:v>
      </x:c>
      <x:c r="Z285" s="15" t="str">
        <x:v>https://prozorro.gov.ua/tender/UA-2026-08-19-013884-a</x:v>
      </x:c>
      <x:c r="AA285" s="14" t="str">
        <x:v>2598502379</x:v>
      </x:c>
      <x:c r="AB285" s="14" t="str">
        <x:v>2026-08-24</x:v>
      </x:c>
      <x:c r="AC285" s="14" t="str"/>
      <x:c r="AD285" s="20" t="str"/>
      <x:c r="AE285" s="14" t="str"/>
      <x:c r="AF285" s="14" t="n">
        <x:v>82</x:v>
      </x:c>
      <x:c r="AG285" s="14" t="str">
        <x:v>I1</x:v>
      </x:c>
      <x:c r="AH285" s="14" t="n">
        <x:v>6</x:v>
      </x:c>
      <x:c r="AI285" s="14" t="n">
        <x:v>5</x:v>
      </x:c>
      <x:c r="AJ285" s="18" t="n">
        <x:v>672949.0800000001</x:v>
      </x:c>
      <x:c r="AK285" s="14" t="str">
        <x:v>https://prozorro.gov.ua/tender/UA-2025-12-18-008855-a</x:v>
      </x:c>
      <x:c r="AL285" s="19" t="n">
        <x:v>46009.41698357639</x:v>
      </x:c>
      <x:c r="AM285" s="19" t="n">
        <x:v>46022</x:v>
      </x:c>
      <x:c r="AN285" s="15" t="str">
        <x:v>Газопостачання / котельні; Резервне живлення</x:v>
      </x:c>
      <x:c r="AO285" s="15" t="str">
        <x:v>not_found_in_top_search</x:v>
      </x:c>
    </x:row>
    <x:row r="286">
      <x:c r="A286" s="14" t="str">
        <x:v>W3-014</x:v>
      </x:c>
      <x:c r="B286" s="14" t="str">
        <x:v>Prozorro winners — 24.08</x:v>
      </x:c>
      <x:c r="C286" s="14" t="str">
        <x:v>ТОВАРИСТВО З ОБМЕЖЕНОЮ ВІДПОВІДАЛЬНІСТЮ "ТЕХЕКС-ГАЗ"</x:v>
      </x:c>
      <x:c r="D286" s="14" t="str">
        <x:v>Насосні станції</x:v>
      </x:c>
      <x:c r="E286" s="14" t="str">
        <x:v>Expansion discovery</x:v>
      </x:c>
      <x:c r="F286" s="17" t="str">
        <x:v>D1</x:v>
      </x:c>
      <x:c r="G286" s="14" t="str">
        <x:v>tekhexgas.com.ua</x:v>
      </x:c>
      <x:c r="H286" s="14" t="str">
        <x:v>Discovery розширення — 2 тижні</x:v>
      </x:c>
      <x:c r="I286" s="16" t="n">
        <x:v>1</x:v>
      </x:c>
      <x:c r="J286" s="16" t="n">
        <x:v>5</x:v>
      </x:c>
      <x:c r="K286" s="16" t="n">
        <x:v>4</x:v>
      </x:c>
      <x:c r="L286" s="16" t="n">
        <x:v>5</x:v>
      </x:c>
      <x:c r="M286" s="16" t="n">
        <x:v>5</x:v>
      </x:c>
      <x:c r="N286" s="16" t="n">
        <x:v>5</x:v>
      </x:c>
      <x:c r="O286" s="16" t="n">
        <x:v>5</x:v>
      </x:c>
      <x:c r="P286" s="16" t="n">
        <x:f>IF(COUNT(I286:O286)&lt;7,"",I286*8+J286*3+K286*2+L286*2+M286*2+N286*2+O286)</x:f>
        <x:v>66</x:v>
      </x:c>
      <x:c r="Q286" s="16" t="n">
        <x:f>IF(COUNT(J286:O286)&lt;6,"",J286*5+K286*4+M286*4+L286*3+N286*2+O286*2)</x:f>
        <x:v>96</x:v>
      </x:c>
      <x:c r="R286" s="14" t="str">
        <x:v>high</x:v>
      </x:c>
      <x:c r="S286" s="14" t="str">
        <x:v>official_prozorro_award_2025_2026</x:v>
      </x:c>
      <x:c r="T286" s="14" t="str">
        <x:v>official_prozorro_api</x:v>
      </x:c>
      <x:c r="U286" s="14" t="str">
        <x:v>Не контактували</x:v>
      </x:c>
      <x:c r="V286" s="15" t="str">
        <x:v>Повторне звернення з новим тендерним сигналом UA-2026-05-07-008084-a; попросити 1 пакет здачі</x:v>
      </x:c>
      <x:c r="W286" s="15" t="str">
        <x:v>Власник / директор; керівник ПТО; відповідальний за договори</x:v>
      </x:c>
      <x:c r="X286" s="15" t="str">
        <x:v>2 підтверджених перемог/договорів у Prozorro на 45 227 127 грн; 2 проєктів зі строком виконання не раніше 24.08.2026.</x:v>
      </x:c>
      <x:c r="Y286"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Монтаж обладнання КГУ та мереж теплопостачання (код ДК 021:2015 – 45454000-4 "Реконструкція").; строк до 2026-11-30. Попросити один знеособлений пакет здачі за цим workflow.</x:v>
      </x:c>
      <x:c r="Z286" s="15" t="str">
        <x:v>https://prozorro.gov.ua/tender/UA-2026-08-21-002826-a</x:v>
      </x:c>
      <x:c r="AA286" s="14" t="str">
        <x:v>34630463</x:v>
      </x:c>
      <x:c r="AB286" s="14" t="str">
        <x:v>2026-08-24</x:v>
      </x:c>
      <x:c r="AC286" s="14" t="str"/>
      <x:c r="AD286" s="20" t="str"/>
      <x:c r="AE286" s="14" t="str"/>
      <x:c r="AF286" s="14" t="n">
        <x:v>81</x:v>
      </x:c>
      <x:c r="AG286" s="14" t="str">
        <x:v>I1</x:v>
      </x:c>
      <x:c r="AH286" s="14" t="n">
        <x:v>6</x:v>
      </x:c>
      <x:c r="AI286" s="14" t="n">
        <x:v>2</x:v>
      </x:c>
      <x:c r="AJ286" s="18" t="n">
        <x:v>86018171.82</x:v>
      </x:c>
      <x:c r="AK286" s="14" t="str">
        <x:v>https://prozorro.gov.ua/tender/UA-2026-05-07-008084-a</x:v>
      </x:c>
      <x:c r="AL286" s="19" t="n">
        <x:v>46149.44830994213</x:v>
      </x:c>
      <x:c r="AM286" s="19" t="n">
        <x:v>46170</x:v>
      </x:c>
      <x:c r="AN286" s="15" t="str">
        <x:v>Насосні станції; Теплові мережі</x:v>
      </x:c>
      <x:c r="AO286" s="15" t="str">
        <x:v>verified_live_2026-08-24</x:v>
      </x:c>
    </x:row>
    <x:row r="287">
      <x:c r="A287" s="14" t="str">
        <x:v>W3-015</x:v>
      </x:c>
      <x:c r="B287" s="14" t="str">
        <x:v>Prozorro winners — 24.08</x:v>
      </x:c>
      <x:c r="C287" s="14" t="str">
        <x:v>ТОВАРИСТВО З ОБМЕЖЕНОЮ ВІДПОВІДАЛЬНІСТЮ "ЕКОВЕНТ-КОМПЛЕКТ"</x:v>
      </x:c>
      <x:c r="D287" s="14" t="str">
        <x:v>HVAC / ОВіК</x:v>
      </x:c>
      <x:c r="E287" s="14" t="str">
        <x:v>Pilot now</x:v>
      </x:c>
      <x:c r="F287" s="17" t="str">
        <x:v>P1</x:v>
      </x:c>
      <x:c r="G287" s="14" t="str"/>
      <x:c r="H287" s="14" t="str">
        <x:v>Пілот зараз — Н.14</x:v>
      </x:c>
      <x:c r="I287" s="16" t="n">
        <x:v>5</x:v>
      </x:c>
      <x:c r="J287" s="16" t="n">
        <x:v>5</x:v>
      </x:c>
      <x:c r="K287" s="16" t="n">
        <x:v>5</x:v>
      </x:c>
      <x:c r="L287" s="16" t="n">
        <x:v>2</x:v>
      </x:c>
      <x:c r="M287" s="16" t="n">
        <x:v>5</x:v>
      </x:c>
      <x:c r="N287" s="16" t="n">
        <x:v>5</x:v>
      </x:c>
      <x:c r="O287" s="16" t="n">
        <x:v>5</x:v>
      </x:c>
      <x:c r="P287" s="16" t="n">
        <x:f>IF(COUNT(I287:O287)&lt;7,"",I287*8+J287*3+K287*2+L287*2+M287*2+N287*2+O287)</x:f>
        <x:v>94</x:v>
      </x:c>
      <x:c r="Q287" s="16" t="n">
        <x:f>IF(COUNT(J287:O287)&lt;6,"",J287*5+K287*4+M287*4+L287*3+N287*2+O287*2)</x:f>
        <x:v>91</x:v>
      </x:c>
      <x:c r="R287" s="14" t="str">
        <x:v>high</x:v>
      </x:c>
      <x:c r="S287" s="14" t="str">
        <x:v>official_prozorro_award_2025_2026</x:v>
      </x:c>
      <x:c r="T287" s="14" t="str">
        <x:v>official_prozorro_api</x:v>
      </x:c>
      <x:c r="U287" s="14" t="str">
        <x:v>Не контактували</x:v>
      </x:c>
      <x:c r="V287" s="15" t="str">
        <x:v>Персоналізований free-pilot outreach по UA-2026-08-06-004132-a; попросити 1 пакет Н.14/Н.15</x:v>
      </x:c>
      <x:c r="W287" s="15" t="str">
        <x:v>Власник / директор; керівник ПТО; відповідальний за договори</x:v>
      </x:c>
      <x:c r="X287" s="15" t="str">
        <x:v>4 підтверджених перемог/договорів у Prozorro на 184 056 грн; 3 проєктів зі строком виконання не раніше 24.08.2026.</x:v>
      </x:c>
      <x:c r="Y287" s="15" t="str">
        <x:v>Роботи по монтажу систем вентиляції; строк до 2026-12-31. Попросити один знеособлений пакет здачі за цим workflow.</x:v>
      </x:c>
      <x:c r="Z287" s="15" t="str">
        <x:v>https://prozorro.gov.ua/tender/UA-2026-08-06-004132-a</x:v>
      </x:c>
      <x:c r="AA287" s="14" t="str">
        <x:v>35089695</x:v>
      </x:c>
      <x:c r="AB287" s="14" t="str">
        <x:v>2026-08-24</x:v>
      </x:c>
      <x:c r="AC287" s="14" t="str"/>
      <x:c r="AD287" s="20" t="str"/>
      <x:c r="AE287" s="14" t="str"/>
      <x:c r="AF287" s="14" t="n">
        <x:v>81</x:v>
      </x:c>
      <x:c r="AG287" s="14" t="str">
        <x:v>I1</x:v>
      </x:c>
      <x:c r="AH287" s="14" t="n">
        <x:v>4</x:v>
      </x:c>
      <x:c r="AI287" s="14" t="n">
        <x:v>3</x:v>
      </x:c>
      <x:c r="AJ287" s="18" t="n">
        <x:v>184055.5</x:v>
      </x:c>
      <x:c r="AK287" s="14" t="str">
        <x:v>https://prozorro.gov.ua/tender/UA-2026-08-06-004132-a</x:v>
      </x:c>
      <x:c r="AL287" s="19" t="n">
        <x:v>46240.36383484954</x:v>
      </x:c>
      <x:c r="AM287" s="19" t="n">
        <x:v>46387</x:v>
      </x:c>
      <x:c r="AN287" s="15" t="str">
        <x:v>HVAC / ОВіК</x:v>
      </x:c>
      <x:c r="AO287" s="15" t="str">
        <x:v>not_found_in_top_search</x:v>
      </x:c>
    </x:row>
    <x:row r="288">
      <x:c r="A288" s="14" t="str">
        <x:v>W3-016</x:v>
      </x:c>
      <x:c r="B288" s="14" t="str">
        <x:v>Prozorro winners — 24.08</x:v>
      </x:c>
      <x:c r="C288" s="14" t="str">
        <x:v>УПРАВЛІННЯ ПОЛІЦІЇ ОХОРОНИ В РІВНЕНСЬКІЙ ОБЛАСТІ</x:v>
      </x:c>
      <x:c r="D288" s="14" t="str">
        <x:v>Електромонтаж</x:v>
      </x:c>
      <x:c r="E288" s="14" t="str">
        <x:v>Pilot now</x:v>
      </x:c>
      <x:c r="F288" s="17" t="str">
        <x:v>P1</x:v>
      </x:c>
      <x:c r="G288" s="14" t="str"/>
      <x:c r="H288" s="14" t="str">
        <x:v>Пілот зараз — Н.15</x:v>
      </x:c>
      <x:c r="I288" s="16" t="n">
        <x:v>5</x:v>
      </x:c>
      <x:c r="J288" s="16" t="n">
        <x:v>5</x:v>
      </x:c>
      <x:c r="K288" s="16" t="n">
        <x:v>5</x:v>
      </x:c>
      <x:c r="L288" s="16" t="n">
        <x:v>1</x:v>
      </x:c>
      <x:c r="M288" s="16" t="n">
        <x:v>5</x:v>
      </x:c>
      <x:c r="N288" s="16" t="n">
        <x:v>5</x:v>
      </x:c>
      <x:c r="O288" s="16" t="n">
        <x:v>5</x:v>
      </x:c>
      <x:c r="P288" s="16" t="n">
        <x:f>IF(COUNT(I288:O288)&lt;7,"",I288*8+J288*3+K288*2+L288*2+M288*2+N288*2+O288)</x:f>
        <x:v>92</x:v>
      </x:c>
      <x:c r="Q288" s="16" t="n">
        <x:f>IF(COUNT(J288:O288)&lt;6,"",J288*5+K288*4+M288*4+L288*3+N288*2+O288*2)</x:f>
        <x:v>88</x:v>
      </x:c>
      <x:c r="R288" s="14" t="str">
        <x:v>high</x:v>
      </x:c>
      <x:c r="S288" s="14" t="str">
        <x:v>official_prozorro_award_2025_2026</x:v>
      </x:c>
      <x:c r="T288" s="14" t="str">
        <x:v>official_prozorro_api</x:v>
      </x:c>
      <x:c r="U288" s="14" t="str">
        <x:v>Не контактували</x:v>
      </x:c>
      <x:c r="V288" s="15" t="str">
        <x:v>Повторне звернення з новим тендерним сигналом UA-2026-01-09-008593-a; попросити 1 пакет здачі</x:v>
      </x:c>
      <x:c r="W288" s="15" t="str">
        <x:v>Власник / директор; керівник ПТО; відповідальний за договори</x:v>
      </x:c>
      <x:c r="X288" s="15" t="str">
        <x:v>4 підтверджених перемог/договорів у Prozorro на 79 670 грн; 4 проєктів зі строком виконання не раніше 24.08.2026.</x:v>
      </x:c>
      <x:c r="Y288" s="15" t="str">
        <x:v>Електромонтажні роботи; строк до 2026-12-31. Попросити один знеособлений пакет здачі за цим workflow.</x:v>
      </x:c>
      <x:c r="Z288" s="15" t="str">
        <x:v>https://prozorro.gov.ua/tender/UA-2026-08-24-001515-a</x:v>
      </x:c>
      <x:c r="AA288" s="14" t="str">
        <x:v>40108908</x:v>
      </x:c>
      <x:c r="AB288" s="14" t="str">
        <x:v>2026-08-24</x:v>
      </x:c>
      <x:c r="AC288" s="14" t="str"/>
      <x:c r="AD288" s="20" t="str"/>
      <x:c r="AE288" s="14" t="str"/>
      <x:c r="AF288" s="14" t="n">
        <x:v>80</x:v>
      </x:c>
      <x:c r="AG288" s="14" t="str">
        <x:v>I1</x:v>
      </x:c>
      <x:c r="AH288" s="14" t="n">
        <x:v>6</x:v>
      </x:c>
      <x:c r="AI288" s="14" t="n">
        <x:v>4</x:v>
      </x:c>
      <x:c r="AJ288" s="18" t="n">
        <x:v>168758.94</x:v>
      </x:c>
      <x:c r="AK288" s="14" t="str">
        <x:v>https://prozorro.gov.ua/tender/UA-2026-01-09-008593-a</x:v>
      </x:c>
      <x:c r="AL288" s="19" t="n">
        <x:v>46031.77146405093</x:v>
      </x:c>
      <x:c r="AM288" s="19" t="n">
        <x:v>46022</x:v>
      </x:c>
      <x:c r="AN288" s="15" t="str">
        <x:v>Електромонтаж; Пожежогасіння</x:v>
      </x:c>
      <x:c r="AO288" s="15" t="str">
        <x:v>not_found_in_top_search</x:v>
      </x:c>
    </x:row>
    <x:row r="289">
      <x:c r="A289" s="14" t="str">
        <x:v>W3-017</x:v>
      </x:c>
      <x:c r="B289" s="14" t="str">
        <x:v>Prozorro winners — 24.08</x:v>
      </x:c>
      <x:c r="C289" s="14" t="str">
        <x:v>ТОВАРИСТВО З ОБМЕЖЕНОЮ ВІДПОВІДАЛЬНІСТЮ "ХАРКІВСЬКЕ СПЕЦІАЛІЗОВАНЕ МОНТАЖНО-ЕКСПЛУАТАЦІЙНЕ ПІДПРИЄМСТВО"</x:v>
      </x:c>
      <x:c r="D289" s="14" t="str">
        <x:v>Теплові мережі</x:v>
      </x:c>
      <x:c r="E289" s="14" t="str">
        <x:v>Expansion discovery</x:v>
      </x:c>
      <x:c r="F289" s="17" t="str">
        <x:v>D1</x:v>
      </x:c>
      <x:c r="G289" s="14" t="str"/>
      <x:c r="H289" s="14" t="str">
        <x:v>Discovery розширення — 2 тижні</x:v>
      </x:c>
      <x:c r="I289" s="16" t="n">
        <x:v>1</x:v>
      </x:c>
      <x:c r="J289" s="16" t="n">
        <x:v>5</x:v>
      </x:c>
      <x:c r="K289" s="16" t="n">
        <x:v>4</x:v>
      </x:c>
      <x:c r="L289" s="16" t="n">
        <x:v>5</x:v>
      </x:c>
      <x:c r="M289" s="16" t="n">
        <x:v>5</x:v>
      </x:c>
      <x:c r="N289" s="16" t="n">
        <x:v>5</x:v>
      </x:c>
      <x:c r="O289" s="16" t="n">
        <x:v>5</x:v>
      </x:c>
      <x:c r="P289" s="16" t="n">
        <x:f>IF(COUNT(I289:O289)&lt;7,"",I289*8+J289*3+K289*2+L289*2+M289*2+N289*2+O289)</x:f>
        <x:v>66</x:v>
      </x:c>
      <x:c r="Q289" s="16" t="n">
        <x:f>IF(COUNT(J289:O289)&lt;6,"",J289*5+K289*4+M289*4+L289*3+N289*2+O289*2)</x:f>
        <x:v>96</x:v>
      </x:c>
      <x:c r="R289" s="14" t="str">
        <x:v>high</x:v>
      </x:c>
      <x:c r="S289" s="14" t="str">
        <x:v>official_prozorro_award_2025_2026</x:v>
      </x:c>
      <x:c r="T289" s="14" t="str">
        <x:v>official_prozorro_api</x:v>
      </x:c>
      <x:c r="U289" s="14" t="str">
        <x:v>Не контактували</x:v>
      </x:c>
      <x:c r="V289" s="15" t="str">
        <x:v>Повторне звернення з новим тендерним сигналом UA-2026-07-07-000858-a; попросити 1 пакет здачі</x:v>
      </x:c>
      <x:c r="W289" s="15" t="str">
        <x:v>Власник / директор; керівник ПТО; відповідальний за договори</x:v>
      </x:c>
      <x:c r="X289" s="15" t="str">
        <x:v>2 підтверджених перемог/договорів у Prozorro на 55 888 389 грн; 2 проєктів зі строком виконання не раніше 24.08.2026.</x:v>
      </x:c>
      <x:c r="Y289" s="15" t="str">
        <x:v>Реконструкція об’єкту КП "Харківські теплові мережі" шляхом встановлення КГУ. Когенераційна установка за адресою: вул. **********, м. Харків. Улаштування зовнішніх стін адміністративно-виробничого корпусу. Улаштування покрівлі (код ДК 021:2015 – 45454000-4 "Реконструкція").; строк до 2026-11-30. Попросити один знеособлений пакет здачі за цим workflow.</x:v>
      </x:c>
      <x:c r="Z289" s="15" t="str">
        <x:v>https://prozorro.gov.ua/tender/UA-2026-08-20-002201-a</x:v>
      </x:c>
      <x:c r="AA289" s="14" t="str">
        <x:v>39425391</x:v>
      </x:c>
      <x:c r="AB289" s="14" t="str">
        <x:v>2026-08-24</x:v>
      </x:c>
      <x:c r="AC289" s="14" t="str"/>
      <x:c r="AD289" s="20" t="str"/>
      <x:c r="AE289" s="14" t="str"/>
      <x:c r="AF289" s="14" t="n">
        <x:v>87</x:v>
      </x:c>
      <x:c r="AG289" s="14" t="str">
        <x:v>I1</x:v>
      </x:c>
      <x:c r="AH289" s="14" t="n">
        <x:v>7</x:v>
      </x:c>
      <x:c r="AI289" s="14" t="n">
        <x:v>7</x:v>
      </x:c>
      <x:c r="AJ289" s="18" t="n">
        <x:v>70722516.67</x:v>
      </x:c>
      <x:c r="AK289" s="14" t="str">
        <x:v>https://prozorro.gov.ua/tender/UA-2026-07-07-000858-a</x:v>
      </x:c>
      <x:c r="AL289" s="19" t="n">
        <x:v>46210.27461916667</x:v>
      </x:c>
      <x:c r="AM289" s="19" t="n">
        <x:v>46326</x:v>
      </x:c>
      <x:c r="AN289" s="15" t="str">
        <x:v>Теплові мережі</x:v>
      </x:c>
      <x:c r="AO289" s="15" t="str">
        <x:v>not_found_in_top_search</x:v>
      </x:c>
    </x:row>
    <x:row r="290">
      <x:c r="A290" s="14" t="str">
        <x:v>W3-018</x:v>
      </x:c>
      <x:c r="B290" s="14" t="str">
        <x:v>Prozorro winners — 24.08</x:v>
      </x:c>
      <x:c r="C290" s="14" t="str">
        <x:v>ТОВАРИСТВО З ОБМЕЖЕНОЮ ВІДПОВІДАЛЬНІСТЮ "БУДІВЕЛЬНА КОМПАНІЯ "МІСТОБУДІВНИК"</x:v>
      </x:c>
      <x:c r="D290" s="14" t="str">
        <x:v>Газопостачання / котельні</x:v>
      </x:c>
      <x:c r="E290" s="14" t="str">
        <x:v>Expansion discovery</x:v>
      </x:c>
      <x:c r="F290" s="17" t="str">
        <x:v>D1</x:v>
      </x:c>
      <x:c r="G290" s="14" t="str"/>
      <x:c r="H290" s="14" t="str">
        <x:v>Discovery розширення — 2 тижні</x:v>
      </x:c>
      <x:c r="I290" s="16" t="n">
        <x:v>1</x:v>
      </x:c>
      <x:c r="J290" s="16" t="n">
        <x:v>5</x:v>
      </x:c>
      <x:c r="K290" s="16" t="n">
        <x:v>4</x:v>
      </x:c>
      <x:c r="L290" s="16" t="n">
        <x:v>5</x:v>
      </x:c>
      <x:c r="M290" s="16" t="n">
        <x:v>5</x:v>
      </x:c>
      <x:c r="N290" s="16" t="n">
        <x:v>5</x:v>
      </x:c>
      <x:c r="O290" s="16" t="n">
        <x:v>5</x:v>
      </x:c>
      <x:c r="P290" s="16" t="n">
        <x:f>IF(COUNT(I290:O290)&lt;7,"",I290*8+J290*3+K290*2+L290*2+M290*2+N290*2+O290)</x:f>
        <x:v>66</x:v>
      </x:c>
      <x:c r="Q290" s="16" t="n">
        <x:f>IF(COUNT(J290:O290)&lt;6,"",J290*5+K290*4+M290*4+L290*3+N290*2+O290*2)</x:f>
        <x:v>96</x:v>
      </x:c>
      <x:c r="R290" s="14" t="str">
        <x:v>high</x:v>
      </x:c>
      <x:c r="S290" s="14" t="str">
        <x:v>official_prozorro_award_2025_2026</x:v>
      </x:c>
      <x:c r="T290" s="14" t="str">
        <x:v>official_prozorro_api</x:v>
      </x:c>
      <x:c r="U290" s="14" t="str">
        <x:v>Не контактували</x:v>
      </x:c>
      <x:c r="V290" s="15" t="str">
        <x:v>Workflow-audit outreach по UA-2026-08-21-003258-a; попросити 1 пакет здачі та вимоги проєкту</x:v>
      </x:c>
      <x:c r="W290" s="15" t="str">
        <x:v>Власник / директор; керівник ПТО; відповідальний за договори</x:v>
      </x:c>
      <x:c r="X290" s="15" t="str">
        <x:v>2 підтверджених перемог/договорів у Prozorro на 16 966 548 грн; 2 проєктів зі строком виконання не раніше 24.08.2026.</x:v>
      </x:c>
      <x:c r="Y290"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 строк до 2026-12-31. Попросити один знеособлений пакет здачі за цим workflow.</x:v>
      </x:c>
      <x:c r="Z290" s="15" t="str">
        <x:v>https://prozorro.gov.ua/tender/UA-2026-08-21-003258-a</x:v>
      </x:c>
      <x:c r="AA290" s="14" t="str">
        <x:v>42593196</x:v>
      </x:c>
      <x:c r="AB290" s="14" t="str">
        <x:v>2026-08-24</x:v>
      </x:c>
      <x:c r="AC290" s="14" t="str"/>
      <x:c r="AD290" s="20" t="str"/>
      <x:c r="AE290" s="14" t="str"/>
      <x:c r="AF290" s="14" t="n">
        <x:v>78</x:v>
      </x:c>
      <x:c r="AG290" s="14" t="str">
        <x:v>I1</x:v>
      </x:c>
      <x:c r="AH290" s="14" t="n">
        <x:v>2</x:v>
      </x:c>
      <x:c r="AI290" s="14" t="n">
        <x:v>2</x:v>
      </x:c>
      <x:c r="AJ290" s="18" t="n">
        <x:v>16966547.87</x:v>
      </x:c>
      <x:c r="AK290" s="14" t="str">
        <x:v>https://prozorro.gov.ua/tender/UA-2026-08-21-003258-a</x:v>
      </x:c>
      <x:c r="AL290" s="19" t="n">
        <x:v>46255.331701828705</x:v>
      </x:c>
      <x:c r="AM290" s="19" t="n">
        <x:v>46387</x:v>
      </x:c>
      <x:c r="AN290" s="15" t="str">
        <x:v>Газопостачання / котельні</x:v>
      </x:c>
      <x:c r="AO290" s="15" t="str">
        <x:v>not_found_in_top_search</x:v>
      </x:c>
    </x:row>
    <x:row r="291">
      <x:c r="A291" s="14" t="str">
        <x:v>W3-019</x:v>
      </x:c>
      <x:c r="B291" s="14" t="str">
        <x:v>Prozorro winners — 24.08</x:v>
      </x:c>
      <x:c r="C291" s="14" t="str">
        <x:v>ТОВ МІСТОСПЕЦБУДРОЕКТ</x:v>
      </x:c>
      <x:c r="D291" s="14" t="str">
        <x:v>Зовнішні мережі</x:v>
      </x:c>
      <x:c r="E291" s="14" t="str">
        <x:v>Expansion discovery</x:v>
      </x:c>
      <x:c r="F291" s="17" t="str">
        <x:v>D1</x:v>
      </x:c>
      <x:c r="G291" s="14" t="str"/>
      <x:c r="H291" s="14" t="str">
        <x:v>Discovery розширення — 2 тижні</x:v>
      </x:c>
      <x:c r="I291" s="16" t="n">
        <x:v>1</x:v>
      </x:c>
      <x:c r="J291" s="16" t="n">
        <x:v>5</x:v>
      </x:c>
      <x:c r="K291" s="16" t="n">
        <x:v>4</x:v>
      </x:c>
      <x:c r="L291" s="16" t="n">
        <x:v>5</x:v>
      </x:c>
      <x:c r="M291" s="16" t="n">
        <x:v>5</x:v>
      </x:c>
      <x:c r="N291" s="16" t="n">
        <x:v>5</x:v>
      </x:c>
      <x:c r="O291" s="16" t="n">
        <x:v>5</x:v>
      </x:c>
      <x:c r="P291" s="16" t="n">
        <x:f>IF(COUNT(I291:O291)&lt;7,"",I291*8+J291*3+K291*2+L291*2+M291*2+N291*2+O291)</x:f>
        <x:v>66</x:v>
      </x:c>
      <x:c r="Q291" s="16" t="n">
        <x:f>IF(COUNT(J291:O291)&lt;6,"",J291*5+K291*4+M291*4+L291*3+N291*2+O291*2)</x:f>
        <x:v>96</x:v>
      </x:c>
      <x:c r="R291" s="14" t="str">
        <x:v>high</x:v>
      </x:c>
      <x:c r="S291" s="14" t="str">
        <x:v>official_prozorro_award_2025_2026</x:v>
      </x:c>
      <x:c r="T291" s="14" t="str">
        <x:v>official_prozorro_api</x:v>
      </x:c>
      <x:c r="U291" s="14" t="str">
        <x:v>Не контактували</x:v>
      </x:c>
      <x:c r="V291" s="15" t="str">
        <x:v>Повторне звернення з новим тендерним сигналом UA-2025-10-03-005375-a; попросити 1 пакет здачі</x:v>
      </x:c>
      <x:c r="W291" s="15" t="str">
        <x:v>Власник / директор; керівник ПТО; відповідальний за договори</x:v>
      </x:c>
      <x:c r="X291" s="15" t="str">
        <x:v>2 підтверджених перемог/договорів у Prozorro на 11 013 224 грн; 2 проєктів зі строком виконання не раніше 24.08.2026.</x:v>
      </x:c>
      <x:c r="Y291"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 (коригування); строк до 2026-09-11. Попросити один знеособлений пакет здачі за цим workflow.</x:v>
      </x:c>
      <x:c r="Z291" s="15" t="str">
        <x:v>https://prozorro.gov.ua/tender/UA-2026-08-07-005634-a</x:v>
      </x:c>
      <x:c r="AA291" s="14" t="str">
        <x:v>45342931</x:v>
      </x:c>
      <x:c r="AB291" s="14" t="str">
        <x:v>2026-08-24</x:v>
      </x:c>
      <x:c r="AC291" s="14" t="str"/>
      <x:c r="AD291" s="20" t="str"/>
      <x:c r="AE291" s="14" t="str"/>
      <x:c r="AF291" s="14" t="n">
        <x:v>78</x:v>
      </x:c>
      <x:c r="AG291" s="14" t="str">
        <x:v>I1</x:v>
      </x:c>
      <x:c r="AH291" s="14" t="n">
        <x:v>4</x:v>
      </x:c>
      <x:c r="AI291" s="14" t="n">
        <x:v>2</x:v>
      </x:c>
      <x:c r="AJ291" s="18" t="n">
        <x:v>56049871.28</x:v>
      </x:c>
      <x:c r="AK291" s="14" t="str">
        <x:v>https://prozorro.gov.ua/tender/UA-2025-10-03-005375-a</x:v>
      </x:c>
      <x:c r="AL291" s="19" t="n">
        <x:v>45954.345291840276</x:v>
      </x:c>
      <x:c r="AM291" s="19" t="n">
        <x:v>46233</x:v>
      </x:c>
      <x:c r="AN291" s="15" t="str">
        <x:v>Зовнішні мережі; Зливова каналізація / дренаж</x:v>
      </x:c>
      <x:c r="AO291" s="15" t="str">
        <x:v>not_found_in_top_search</x:v>
      </x:c>
    </x:row>
    <x:row r="292">
      <x:c r="A292" s="14" t="str">
        <x:v>W3-020</x:v>
      </x:c>
      <x:c r="B292" s="14" t="str">
        <x:v>Prozorro winners — 24.08</x:v>
      </x:c>
      <x:c r="C292" s="14" t="str">
        <x:v>ФОП Яковлева Олена Юріївна</x:v>
      </x:c>
      <x:c r="D292" s="14" t="str">
        <x:v>Електромонтаж</x:v>
      </x:c>
      <x:c r="E292" s="14" t="str">
        <x:v>Pilot now</x:v>
      </x:c>
      <x:c r="F292" s="17" t="str">
        <x:v>P1</x:v>
      </x:c>
      <x:c r="G292" s="14" t="str"/>
      <x:c r="H292" s="14" t="str">
        <x:v>Пілот зараз — Н.15</x:v>
      </x:c>
      <x:c r="I292" s="16" t="n">
        <x:v>5</x:v>
      </x:c>
      <x:c r="J292" s="16" t="n">
        <x:v>5</x:v>
      </x:c>
      <x:c r="K292" s="16" t="n">
        <x:v>5</x:v>
      </x:c>
      <x:c r="L292" s="16" t="n">
        <x:v>2</x:v>
      </x:c>
      <x:c r="M292" s="16" t="n">
        <x:v>5</x:v>
      </x:c>
      <x:c r="N292" s="16" t="n">
        <x:v>3</x:v>
      </x:c>
      <x:c r="O292" s="16" t="n">
        <x:v>5</x:v>
      </x:c>
      <x:c r="P292" s="16" t="n">
        <x:f>IF(COUNT(I292:O292)&lt;7,"",I292*8+J292*3+K292*2+L292*2+M292*2+N292*2+O292)</x:f>
        <x:v>90</x:v>
      </x:c>
      <x:c r="Q292" s="16" t="n">
        <x:f>IF(COUNT(J292:O292)&lt;6,"",J292*5+K292*4+M292*4+L292*3+N292*2+O292*2)</x:f>
        <x:v>87</x:v>
      </x:c>
      <x:c r="R292" s="14" t="str">
        <x:v>high</x:v>
      </x:c>
      <x:c r="S292" s="14" t="str">
        <x:v>official_prozorro_award_2025_2026</x:v>
      </x:c>
      <x:c r="T292" s="14" t="str">
        <x:v>official_prozorro_api</x:v>
      </x:c>
      <x:c r="U292" s="14" t="str">
        <x:v>Не контактували</x:v>
      </x:c>
      <x:c r="V292" s="15" t="str">
        <x:v>Персоналізований free-pilot outreach по UA-2026-08-10-005395-a; попросити 1 пакет Н.14/Н.15</x:v>
      </x:c>
      <x:c r="W292" s="15" t="str">
        <x:v>Власник / виконавець; відповідальний за договір</x:v>
      </x:c>
      <x:c r="X292" s="15" t="str">
        <x:v>5 підтверджених перемог/договорів у Prozorro на 303 559 грн; 4 проєктів зі строком виконання не раніше 24.08.2026.</x:v>
      </x:c>
      <x:c r="Y292"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 строк до 2026-09-01. Попросити один знеособлений пакет здачі за цим workflow.</x:v>
      </x:c>
      <x:c r="Z292" s="15" t="str">
        <x:v>https://prozorro.gov.ua/tender/UA-2026-08-10-005395-a</x:v>
      </x:c>
      <x:c r="AA292" s="14" t="str">
        <x:v>3224411667</x:v>
      </x:c>
      <x:c r="AB292" s="14" t="str">
        <x:v>2026-08-24</x:v>
      </x:c>
      <x:c r="AC292" s="14" t="str"/>
      <x:c r="AD292" s="20" t="str"/>
      <x:c r="AE292" s="14" t="str"/>
      <x:c r="AF292" s="14" t="n">
        <x:v>78</x:v>
      </x:c>
      <x:c r="AG292" s="14" t="str">
        <x:v>I1</x:v>
      </x:c>
      <x:c r="AH292" s="14" t="n">
        <x:v>5</x:v>
      </x:c>
      <x:c r="AI292" s="14" t="n">
        <x:v>4</x:v>
      </x:c>
      <x:c r="AJ292" s="18" t="n">
        <x:v>303559.2</x:v>
      </x:c>
      <x:c r="AK292" s="14" t="str">
        <x:v>https://prozorro.gov.ua/tender/UA-2026-08-10-005395-a</x:v>
      </x:c>
      <x:c r="AL292" s="19" t="n">
        <x:v>46244.46695519676</x:v>
      </x:c>
      <x:c r="AM292" s="19" t="n">
        <x:v>46266.437002314815</x:v>
      </x:c>
      <x:c r="AN292" s="15" t="str">
        <x:v>Електромонтаж</x:v>
      </x:c>
      <x:c r="AO292" s="15" t="str">
        <x:v>not_found_in_top_search</x:v>
      </x:c>
    </x:row>
    <x:row r="293">
      <x:c r="A293" s="14" t="str">
        <x:v>W3-021</x:v>
      </x:c>
      <x:c r="B293" s="14" t="str">
        <x:v>Prozorro winners — 24.08</x:v>
      </x:c>
      <x:c r="C293" s="14" t="str">
        <x:v>ТОВ "ОПАЛ"</x:v>
      </x:c>
      <x:c r="D293" s="14" t="str">
        <x:v>Сонячна енергетика</x:v>
      </x:c>
      <x:c r="E293" s="14" t="str">
        <x:v>Expansion discovery</x:v>
      </x:c>
      <x:c r="F293" s="17" t="str">
        <x:v>D1</x:v>
      </x:c>
      <x:c r="G293" s="14" t="str">
        <x:v>opal.lviv.ua</x:v>
      </x:c>
      <x:c r="H293" s="14" t="str">
        <x:v>Discovery розширення — 2 тижні</x:v>
      </x:c>
      <x:c r="I293" s="16" t="n">
        <x:v>1</x:v>
      </x:c>
      <x:c r="J293" s="16" t="n">
        <x:v>5</x:v>
      </x:c>
      <x:c r="K293" s="16" t="n">
        <x:v>4</x:v>
      </x:c>
      <x:c r="L293" s="16" t="n">
        <x:v>4</x:v>
      </x:c>
      <x:c r="M293" s="16" t="n">
        <x:v>5</x:v>
      </x:c>
      <x:c r="N293" s="16" t="n">
        <x:v>5</x:v>
      </x:c>
      <x:c r="O293" s="16" t="n">
        <x:v>5</x:v>
      </x:c>
      <x:c r="P293" s="16" t="n">
        <x:f>IF(COUNT(I293:O293)&lt;7,"",I293*8+J293*3+K293*2+L293*2+M293*2+N293*2+O293)</x:f>
        <x:v>64</x:v>
      </x:c>
      <x:c r="Q293" s="16" t="n">
        <x:f>IF(COUNT(J293:O293)&lt;6,"",J293*5+K293*4+M293*4+L293*3+N293*2+O293*2)</x:f>
        <x:v>93</x:v>
      </x:c>
      <x:c r="R293" s="14" t="str">
        <x:v>high</x:v>
      </x:c>
      <x:c r="S293" s="14" t="str">
        <x:v>official_prozorro_award_2025_2026</x:v>
      </x:c>
      <x:c r="T293" s="14" t="str">
        <x:v>official_prozorro_api</x:v>
      </x:c>
      <x:c r="U293" s="14" t="str">
        <x:v>Не контактували</x:v>
      </x:c>
      <x:c r="V293" s="15" t="str">
        <x:v>Workflow-audit outreach по UA-2026-06-23-009106-a; попросити 1 пакет здачі та вимоги проєкту</x:v>
      </x:c>
      <x:c r="W293" s="15" t="str">
        <x:v>Власник / директор; керівник ПТО; відповідальний за договори</x:v>
      </x:c>
      <x:c r="X293" s="15" t="str">
        <x:v>3 підтверджених перемог/договорів у Prozorro на 2 544 900 грн; 1 проєктів зі строком виконання не раніше 24.08.2026.</x:v>
      </x:c>
      <x:c r="Y293"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строк до 2026-08-31. Попросити один знеособлений пакет здачі за цим workflow.</x:v>
      </x:c>
      <x:c r="Z293" s="15" t="str">
        <x:v>https://prozorro.gov.ua/tender/UA-2026-06-23-009106-a</x:v>
      </x:c>
      <x:c r="AA293" s="14" t="str">
        <x:v>22346348</x:v>
      </x:c>
      <x:c r="AB293" s="14" t="str">
        <x:v>2026-08-24</x:v>
      </x:c>
      <x:c r="AC293" s="14" t="str"/>
      <x:c r="AD293" s="20" t="str"/>
      <x:c r="AE293" s="14" t="str"/>
      <x:c r="AF293" s="14" t="n">
        <x:v>77</x:v>
      </x:c>
      <x:c r="AG293" s="14" t="str">
        <x:v>I1</x:v>
      </x:c>
      <x:c r="AH293" s="14" t="n">
        <x:v>3</x:v>
      </x:c>
      <x:c r="AI293" s="14" t="n">
        <x:v>1</x:v>
      </x:c>
      <x:c r="AJ293" s="18" t="n">
        <x:v>2544900</x:v>
      </x:c>
      <x:c r="AK293" s="14" t="str">
        <x:v>https://prozorro.gov.ua/tender/UA-2026-06-23-009106-a</x:v>
      </x:c>
      <x:c r="AL293" s="19" t="n">
        <x:v>46219.47636990741</x:v>
      </x:c>
      <x:c r="AM293" s="19" t="n">
        <x:v>46265</x:v>
      </x:c>
      <x:c r="AN293" s="15" t="str">
        <x:v>Сонячна енергетика; Насосні станції</x:v>
      </x:c>
      <x:c r="AO293" s="15" t="str">
        <x:v>supplier_provided_url</x:v>
      </x:c>
    </x:row>
    <x:row r="294">
      <x:c r="A294" s="14" t="str">
        <x:v>W3-022</x:v>
      </x:c>
      <x:c r="B294" s="14" t="str">
        <x:v>Prozorro winners — 24.08</x:v>
      </x:c>
      <x:c r="C294" s="14" t="str">
        <x:v>ТОВАРИСТВО З ОБМЕЖЕНОЮ ВІД­ПО­ВІД­АЛЬ­НІ­СТЮ «РУБІКОН УКРАЇНА»</x:v>
      </x:c>
      <x:c r="D294" s="14" t="str">
        <x:v>Електромонтаж</x:v>
      </x:c>
      <x:c r="E294" s="14" t="str">
        <x:v>Pilot now</x:v>
      </x:c>
      <x:c r="F294" s="17" t="str">
        <x:v>P1</x:v>
      </x:c>
      <x:c r="G294" s="14" t="str"/>
      <x:c r="H294" s="14" t="str">
        <x:v>Пілот зараз — Н.15</x:v>
      </x:c>
      <x:c r="I294" s="16" t="n">
        <x:v>5</x:v>
      </x:c>
      <x:c r="J294" s="16" t="n">
        <x:v>5</x:v>
      </x:c>
      <x:c r="K294" s="16" t="n">
        <x:v>5</x:v>
      </x:c>
      <x:c r="L294" s="16" t="n">
        <x:v>1</x:v>
      </x:c>
      <x:c r="M294" s="16" t="n">
        <x:v>5</x:v>
      </x:c>
      <x:c r="N294" s="16" t="n">
        <x:v>5</x:v>
      </x:c>
      <x:c r="O294" s="16" t="n">
        <x:v>5</x:v>
      </x:c>
      <x:c r="P294" s="16" t="n">
        <x:f>IF(COUNT(I294:O294)&lt;7,"",I294*8+J294*3+K294*2+L294*2+M294*2+N294*2+O294)</x:f>
        <x:v>92</x:v>
      </x:c>
      <x:c r="Q294" s="16" t="n">
        <x:f>IF(COUNT(J294:O294)&lt;6,"",J294*5+K294*4+M294*4+L294*3+N294*2+O294*2)</x:f>
        <x:v>88</x:v>
      </x:c>
      <x:c r="R294" s="14" t="str">
        <x:v>high</x:v>
      </x:c>
      <x:c r="S294" s="14" t="str">
        <x:v>official_prozorro_award_2025_2026</x:v>
      </x:c>
      <x:c r="T294" s="14" t="str">
        <x:v>official_prozorro_api</x:v>
      </x:c>
      <x:c r="U294" s="14" t="str">
        <x:v>Не контактували</x:v>
      </x:c>
      <x:c r="V294" s="15" t="str">
        <x:v>Повторне звернення з новим тендерним сигналом UA-2026-07-10-009308-a; попросити 1 пакет здачі</x:v>
      </x:c>
      <x:c r="W294" s="15" t="str">
        <x:v>Власник / директор; керівник ПТО; відповідальний за договори</x:v>
      </x:c>
      <x:c r="X294" s="15" t="str">
        <x:v>8 підтверджених перемог/договорів у Prozorro на 45 000 грн; 8 проєктів зі строком виконання не раніше 24.08.2026.</x:v>
      </x:c>
      <x:c r="Y294" s="15" t="str">
        <x:v>Електромонтажні роботи; строк до 2026-12-31. Попросити один знеособлений пакет здачі за цим workflow.</x:v>
      </x:c>
      <x:c r="Z294" s="15" t="str">
        <x:v>https://prozorro.gov.ua/tender/UA-2026-08-17-001339-a</x:v>
      </x:c>
      <x:c r="AA294" s="14" t="str">
        <x:v>44966837</x:v>
      </x:c>
      <x:c r="AB294" s="14" t="str">
        <x:v>2026-08-24</x:v>
      </x:c>
      <x:c r="AC294" s="14" t="str"/>
      <x:c r="AD294" s="20" t="str"/>
      <x:c r="AE294" s="14" t="str"/>
      <x:c r="AF294" s="14" t="n">
        <x:v>77</x:v>
      </x:c>
      <x:c r="AG294" s="14" t="str">
        <x:v>I1</x:v>
      </x:c>
      <x:c r="AH294" s="14" t="n">
        <x:v>9</x:v>
      </x:c>
      <x:c r="AI294" s="14" t="n">
        <x:v>9</x:v>
      </x:c>
      <x:c r="AJ294" s="18" t="n">
        <x:v>58000</x:v>
      </x:c>
      <x:c r="AK294" s="14" t="str">
        <x:v>https://prozorro.gov.ua/tender/UA-2026-07-10-009308-a</x:v>
      </x:c>
      <x:c r="AL294" s="19" t="n">
        <x:v>46213.52580490741</x:v>
      </x:c>
      <x:c r="AM294" s="19" t="n">
        <x:v>46387</x:v>
      </x:c>
      <x:c r="AN294" s="15" t="str">
        <x:v>Електромонтаж</x:v>
      </x:c>
      <x:c r="AO294" s="15" t="str">
        <x:v>not_found_in_top_search</x:v>
      </x:c>
    </x:row>
    <x:row r="295">
      <x:c r="A295" s="14" t="str">
        <x:v>W3-023</x:v>
      </x:c>
      <x:c r="B295" s="14" t="str">
        <x:v>Prozorro winners — 24.08</x:v>
      </x:c>
      <x:c r="C295" s="14" t="str">
        <x:v>ТОВАРИСТВО З ОБМЕЖЕНОЮ ВІДПОВІДАЛЬНІСТЮ "УКРСІТІСТРОЙ"</x:v>
      </x:c>
      <x:c r="D295" s="14" t="str">
        <x:v>ГНБ / безтраншейні роботи</x:v>
      </x:c>
      <x:c r="E295" s="14" t="str">
        <x:v>Expansion discovery</x:v>
      </x:c>
      <x:c r="F295" s="17" t="str">
        <x:v>D1</x:v>
      </x:c>
      <x:c r="G295" s="14" t="str">
        <x:v>ukrsitistroy.com</x:v>
      </x:c>
      <x:c r="H295" s="14" t="str">
        <x:v>Discovery розширення — 2 тижні</x:v>
      </x:c>
      <x:c r="I295" s="16" t="n">
        <x:v>1</x:v>
      </x:c>
      <x:c r="J295" s="16" t="n">
        <x:v>5</x:v>
      </x:c>
      <x:c r="K295" s="16" t="n">
        <x:v>4</x:v>
      </x:c>
      <x:c r="L295" s="16" t="n">
        <x:v>5</x:v>
      </x:c>
      <x:c r="M295" s="16" t="n">
        <x:v>5</x:v>
      </x:c>
      <x:c r="N295" s="16" t="n">
        <x:v>5</x:v>
      </x:c>
      <x:c r="O295" s="16" t="n">
        <x:v>5</x:v>
      </x:c>
      <x:c r="P295" s="16" t="n">
        <x:f>IF(COUNT(I295:O295)&lt;7,"",I295*8+J295*3+K295*2+L295*2+M295*2+N295*2+O295)</x:f>
        <x:v>66</x:v>
      </x:c>
      <x:c r="Q295" s="16" t="n">
        <x:f>IF(COUNT(J295:O295)&lt;6,"",J295*5+K295*4+M295*4+L295*3+N295*2+O295*2)</x:f>
        <x:v>96</x:v>
      </x:c>
      <x:c r="R295" s="14" t="str">
        <x:v>high</x:v>
      </x:c>
      <x:c r="S295" s="14" t="str">
        <x:v>official_prozorro_award_2025_2026</x:v>
      </x:c>
      <x:c r="T295" s="14" t="str">
        <x:v>official_prozorro_api</x:v>
      </x:c>
      <x:c r="U295" s="14" t="str">
        <x:v>Не контактували</x:v>
      </x:c>
      <x:c r="V295" s="15" t="str">
        <x:v>Повторне звернення з новим тендерним сигналом UA-2024-11-28-008930-a; попросити 1 пакет здачі</x:v>
      </x:c>
      <x:c r="W295" s="15" t="str">
        <x:v>Власник / директор; керівник ПТО; відповідальний за договори</x:v>
      </x:c>
      <x:c r="X295" s="15" t="str">
        <x:v>2 підтверджених перемог/договорів у Prozorro на 63 567 512 грн; 1 проєктів зі строком виконання не раніше 24.08.2026.</x:v>
      </x:c>
      <x:c r="Y295"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 строк до 2027-02-15. Попросити один знеособлений пакет здачі за цим workflow.</x:v>
      </x:c>
      <x:c r="Z295" s="15" t="str">
        <x:v>https://prozorro.gov.ua/tender/UA-2026-06-29-007384-a</x:v>
      </x:c>
      <x:c r="AA295" s="14" t="str">
        <x:v>41398137</x:v>
      </x:c>
      <x:c r="AB295" s="14" t="str">
        <x:v>2026-08-24</x:v>
      </x:c>
      <x:c r="AC295" s="14" t="str"/>
      <x:c r="AD295" s="20" t="str"/>
      <x:c r="AE295" s="14" t="str"/>
      <x:c r="AF295" s="14" t="n">
        <x:v>76</x:v>
      </x:c>
      <x:c r="AG295" s="14" t="str">
        <x:v>I1</x:v>
      </x:c>
      <x:c r="AH295" s="14" t="n">
        <x:v>3</x:v>
      </x:c>
      <x:c r="AI295" s="14" t="n">
        <x:v>1</x:v>
      </x:c>
      <x:c r="AJ295" s="18" t="n">
        <x:v>64451767.4</x:v>
      </x:c>
      <x:c r="AK295" s="14" t="str">
        <x:v>https://prozorro.gov.ua/tender/UA-2024-11-28-008930-a</x:v>
      </x:c>
      <x:c r="AL295" s="19" t="n">
        <x:v>45624.50828342592</x:v>
      </x:c>
      <x:c r="AM295" s="19" t="n">
        <x:v>45777</x:v>
      </x:c>
      <x:c r="AN295" s="15" t="str">
        <x:v>ГНБ / безтраншейні роботи; Зовнішні мережі</x:v>
      </x:c>
      <x:c r="AO295" s="15" t="str">
        <x:v>supplier_provided_url</x:v>
      </x:c>
    </x:row>
    <x:row r="296">
      <x:c r="A296" s="14" t="str">
        <x:v>W3-024</x:v>
      </x:c>
      <x:c r="B296" s="14" t="str">
        <x:v>Prozorro winners — 24.08</x:v>
      </x:c>
      <x:c r="C296" s="14" t="str">
        <x:v>СААКЯН РОМІК РАЗМІКОВИЧ</x:v>
      </x:c>
      <x:c r="D296" s="14" t="str">
        <x:v>Мости / інфраструктура</x:v>
      </x:c>
      <x:c r="E296" s="14" t="str">
        <x:v>Expansion discovery</x:v>
      </x:c>
      <x:c r="F296" s="17" t="str">
        <x:v>D1</x:v>
      </x:c>
      <x:c r="G296" s="14" t="str"/>
      <x:c r="H296" s="14" t="str">
        <x:v>Discovery розширення — 2 тижні</x:v>
      </x:c>
      <x:c r="I296" s="16" t="n">
        <x:v>1</x:v>
      </x:c>
      <x:c r="J296" s="16" t="n">
        <x:v>5</x:v>
      </x:c>
      <x:c r="K296" s="16" t="n">
        <x:v>4</x:v>
      </x:c>
      <x:c r="L296" s="16" t="n">
        <x:v>3</x:v>
      </x:c>
      <x:c r="M296" s="16" t="n">
        <x:v>5</x:v>
      </x:c>
      <x:c r="N296" s="16" t="n">
        <x:v>3</x:v>
      </x:c>
      <x:c r="O296" s="16" t="n">
        <x:v>5</x:v>
      </x:c>
      <x:c r="P296" s="16" t="n">
        <x:f>IF(COUNT(I296:O296)&lt;7,"",I296*8+J296*3+K296*2+L296*2+M296*2+N296*2+O296)</x:f>
        <x:v>58</x:v>
      </x:c>
      <x:c r="Q296" s="16" t="n">
        <x:f>IF(COUNT(J296:O296)&lt;6,"",J296*5+K296*4+M296*4+L296*3+N296*2+O296*2)</x:f>
        <x:v>86</x:v>
      </x:c>
      <x:c r="R296" s="14" t="str">
        <x:v>high</x:v>
      </x:c>
      <x:c r="S296" s="14" t="str">
        <x:v>official_prozorro_award_2025_2026</x:v>
      </x:c>
      <x:c r="T296" s="14" t="str">
        <x:v>official_prozorro_api</x:v>
      </x:c>
      <x:c r="U296" s="14" t="str">
        <x:v>Не контактували</x:v>
      </x:c>
      <x:c r="V296" s="15" t="str">
        <x:v>Workflow-audit outreach по UA-2026-07-06-000973-a; попросити 1 пакет здачі та вимоги проєкту</x:v>
      </x:c>
      <x:c r="W296" s="15" t="str">
        <x:v>Власник / виконавець; відповідальний за договір</x:v>
      </x:c>
      <x:c r="X296" s="15" t="str">
        <x:v>4 підтверджених перемог/договорів у Prozorro на 697 177 грн; 4 проєктів зі строком виконання не раніше 24.08.2026.</x:v>
      </x:c>
      <x:c r="Y296" s="15" t="str">
        <x:v>Поточний ремонт дорожнього покриття ділянки дороги до мосту № 2 через річку Південний Буг в місті Первомайськ миколаївської області; строк до 2026-12-31. Попросити один знеособлений пакет здачі за цим workflow.</x:v>
      </x:c>
      <x:c r="Z296" s="15" t="str">
        <x:v>https://prozorro.gov.ua/tender/UA-2026-07-06-000973-a</x:v>
      </x:c>
      <x:c r="AA296" s="14" t="str">
        <x:v>2605919656</x:v>
      </x:c>
      <x:c r="AB296" s="14" t="str">
        <x:v>2026-08-24</x:v>
      </x:c>
      <x:c r="AC296" s="14" t="str"/>
      <x:c r="AD296" s="20" t="str"/>
      <x:c r="AE296" s="14" t="str"/>
      <x:c r="AF296" s="14" t="n">
        <x:v>76</x:v>
      </x:c>
      <x:c r="AG296" s="14" t="str">
        <x:v>I1</x:v>
      </x:c>
      <x:c r="AH296" s="14" t="n">
        <x:v>4</x:v>
      </x:c>
      <x:c r="AI296" s="14" t="n">
        <x:v>4</x:v>
      </x:c>
      <x:c r="AJ296" s="18" t="n">
        <x:v>697176.93</x:v>
      </x:c>
      <x:c r="AK296" s="14" t="str">
        <x:v>https://prozorro.gov.ua/tender/UA-2026-07-06-000973-a</x:v>
      </x:c>
      <x:c r="AL296" s="19" t="n">
        <x:v>46209.28749259259</x:v>
      </x:c>
      <x:c r="AM296" s="19" t="n">
        <x:v>46387</x:v>
      </x:c>
      <x:c r="AN296" s="15" t="str">
        <x:v>Мости / інфраструктура</x:v>
      </x:c>
      <x:c r="AO296" s="15" t="str">
        <x:v>not_found_in_top_search</x:v>
      </x:c>
    </x:row>
    <x:row r="297">
      <x:c r="A297" s="14" t="str">
        <x:v>W3-025</x:v>
      </x:c>
      <x:c r="B297" s="14" t="str">
        <x:v>Prozorro winners — 24.08</x:v>
      </x:c>
      <x:c r="C297" s="14" t="str">
        <x:v>ТОВАРИСТВО З ОБМЕЖЕНОЮ ВІДПОВІДАЛЬНІСТЮ "НОВИЙ СВІТ"</x:v>
      </x:c>
      <x:c r="D297" s="14" t="str">
        <x:v>HVAC / ОВіК</x:v>
      </x:c>
      <x:c r="E297" s="14" t="str">
        <x:v>Pilot now</x:v>
      </x:c>
      <x:c r="F297" s="17" t="str">
        <x:v>P1</x:v>
      </x:c>
      <x:c r="G297" s="14" t="str"/>
      <x:c r="H297" s="14" t="str">
        <x:v>Пілот зараз — Н.14</x:v>
      </x:c>
      <x:c r="I297" s="16" t="n">
        <x:v>5</x:v>
      </x:c>
      <x:c r="J297" s="16" t="n">
        <x:v>5</x:v>
      </x:c>
      <x:c r="K297" s="16" t="n">
        <x:v>5</x:v>
      </x:c>
      <x:c r="L297" s="16" t="n">
        <x:v>2</x:v>
      </x:c>
      <x:c r="M297" s="16" t="n">
        <x:v>5</x:v>
      </x:c>
      <x:c r="N297" s="16" t="n">
        <x:v>5</x:v>
      </x:c>
      <x:c r="O297" s="16" t="n">
        <x:v>5</x:v>
      </x:c>
      <x:c r="P297" s="16" t="n">
        <x:f>IF(COUNT(I297:O297)&lt;7,"",I297*8+J297*3+K297*2+L297*2+M297*2+N297*2+O297)</x:f>
        <x:v>94</x:v>
      </x:c>
      <x:c r="Q297" s="16" t="n">
        <x:f>IF(COUNT(J297:O297)&lt;6,"",J297*5+K297*4+M297*4+L297*3+N297*2+O297*2)</x:f>
        <x:v>91</x:v>
      </x:c>
      <x:c r="R297" s="14" t="str">
        <x:v>high</x:v>
      </x:c>
      <x:c r="S297" s="14" t="str">
        <x:v>official_prozorro_award_2025_2026</x:v>
      </x:c>
      <x:c r="T297" s="14" t="str">
        <x:v>official_prozorro_api</x:v>
      </x:c>
      <x:c r="U297" s="14" t="str">
        <x:v>Не контактували</x:v>
      </x:c>
      <x:c r="V297" s="15" t="str">
        <x:v>Персоналізований free-pilot outreach по UA-2026-07-07-005581-a; попросити 1 пакет Н.14/Н.15</x:v>
      </x:c>
      <x:c r="W297" s="15" t="str">
        <x:v>Власник / директор; керівник ПТО; відповідальний за договори</x:v>
      </x:c>
      <x:c r="X297" s="15" t="str">
        <x:v>5 підтверджених перемог/договорів у Prozorro на 446 408 грн; 3 проєктів зі строком виконання не раніше 24.08.2026.</x:v>
      </x:c>
      <x:c r="Y297"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 строк до 2026-12-31. Попросити один знеособлений пакет здачі за цим workflow.</x:v>
      </x:c>
      <x:c r="Z297" s="15" t="str">
        <x:v>https://prozorro.gov.ua/tender/UA-2026-07-07-005581-a</x:v>
      </x:c>
      <x:c r="AA297" s="14" t="str">
        <x:v>00688634</x:v>
      </x:c>
      <x:c r="AB297" s="14" t="str">
        <x:v>2026-08-24</x:v>
      </x:c>
      <x:c r="AC297" s="14" t="str"/>
      <x:c r="AD297" s="20" t="str"/>
      <x:c r="AE297" s="14" t="str"/>
      <x:c r="AF297" s="14" t="n">
        <x:v>75</x:v>
      </x:c>
      <x:c r="AG297" s="14" t="str">
        <x:v>I1</x:v>
      </x:c>
      <x:c r="AH297" s="14" t="n">
        <x:v>5</x:v>
      </x:c>
      <x:c r="AI297" s="14" t="n">
        <x:v>3</x:v>
      </x:c>
      <x:c r="AJ297" s="18" t="n">
        <x:v>446408.41</x:v>
      </x:c>
      <x:c r="AK297" s="14" t="str">
        <x:v>https://prozorro.gov.ua/tender/UA-2026-07-07-005581-a</x:v>
      </x:c>
      <x:c r="AL297" s="19" t="n">
        <x:v>46210.43461802083</x:v>
      </x:c>
      <x:c r="AM297" s="19" t="n">
        <x:v>46387</x:v>
      </x:c>
      <x:c r="AN297" s="15" t="str">
        <x:v>HVAC / ОВіК</x:v>
      </x:c>
      <x:c r="AO297" s="15" t="str">
        <x:v>not_found_in_top_search</x:v>
      </x:c>
    </x:row>
    <x:row r="298">
      <x:c r="A298" s="14" t="str">
        <x:v>W3-026</x:v>
      </x:c>
      <x:c r="B298" s="14" t="str">
        <x:v>Prozorro winners — 24.08</x:v>
      </x:c>
      <x:c r="C298" s="14" t="str">
        <x:v>УПРАВЛІННЯ ПОЛІЦІЇ ОХОРОНИ В ТЕРНОПІЛЬСЬКІЙ ОБЛАСТІ</x:v>
      </x:c>
      <x:c r="D298" s="14" t="str">
        <x:v>Електромонтаж</x:v>
      </x:c>
      <x:c r="E298" s="14" t="str">
        <x:v>Pilot now</x:v>
      </x:c>
      <x:c r="F298" s="17" t="str">
        <x:v>P1</x:v>
      </x:c>
      <x:c r="G298" s="14" t="str"/>
      <x:c r="H298" s="14" t="str">
        <x:v>Пілот зараз — Н.15</x:v>
      </x:c>
      <x:c r="I298" s="16" t="n">
        <x:v>5</x:v>
      </x:c>
      <x:c r="J298" s="16" t="n">
        <x:v>5</x:v>
      </x:c>
      <x:c r="K298" s="16" t="n">
        <x:v>5</x:v>
      </x:c>
      <x:c r="L298" s="16" t="n">
        <x:v>1</x:v>
      </x:c>
      <x:c r="M298" s="16" t="n">
        <x:v>5</x:v>
      </x:c>
      <x:c r="N298" s="16" t="n">
        <x:v>5</x:v>
      </x:c>
      <x:c r="O298" s="16" t="n">
        <x:v>5</x:v>
      </x:c>
      <x:c r="P298" s="16" t="n">
        <x:f>IF(COUNT(I298:O298)&lt;7,"",I298*8+J298*3+K298*2+L298*2+M298*2+N298*2+O298)</x:f>
        <x:v>92</x:v>
      </x:c>
      <x:c r="Q298" s="16" t="n">
        <x:f>IF(COUNT(J298:O298)&lt;6,"",J298*5+K298*4+M298*4+L298*3+N298*2+O298*2)</x:f>
        <x:v>88</x:v>
      </x:c>
      <x:c r="R298" s="14" t="str">
        <x:v>high</x:v>
      </x:c>
      <x:c r="S298" s="14" t="str">
        <x:v>official_prozorro_award_2025_2026</x:v>
      </x:c>
      <x:c r="T298" s="14" t="str">
        <x:v>official_prozorro_api</x:v>
      </x:c>
      <x:c r="U298" s="14" t="str">
        <x:v>Не контактували</x:v>
      </x:c>
      <x:c r="V298" s="15" t="str">
        <x:v>Повторне звернення з новим тендерним сигналом UA-2026-08-07-009701-a; попросити 1 пакет здачі</x:v>
      </x:c>
      <x:c r="W298" s="15" t="str">
        <x:v>Власник / директор; керівник ПТО; відповідальний за договори</x:v>
      </x:c>
      <x:c r="X298" s="15" t="str">
        <x:v>4 підтверджених перемог/договорів у Prozorro на 90 652 грн; 2 проєктів зі строком виконання не раніше 24.08.2026.</x:v>
      </x:c>
      <x:c r="Y298" s="15" t="str">
        <x:v>електромонтажні роботи; строк до 2026-12-31. Попросити один знеособлений пакет здачі за цим workflow.</x:v>
      </x:c>
      <x:c r="Z298" s="15" t="str">
        <x:v>https://prozorro.gov.ua/tender/UA-2026-08-13-002834-a</x:v>
      </x:c>
      <x:c r="AA298" s="14" t="str">
        <x:v>40108819</x:v>
      </x:c>
      <x:c r="AB298" s="14" t="str">
        <x:v>2026-08-24</x:v>
      </x:c>
      <x:c r="AC298" s="14" t="str"/>
      <x:c r="AD298" s="20" t="str"/>
      <x:c r="AE298" s="14" t="str"/>
      <x:c r="AF298" s="14" t="n">
        <x:v>80</x:v>
      </x:c>
      <x:c r="AG298" s="14" t="str">
        <x:v>I1</x:v>
      </x:c>
      <x:c r="AH298" s="14" t="n">
        <x:v>8</x:v>
      </x:c>
      <x:c r="AI298" s="14" t="n">
        <x:v>6</x:v>
      </x:c>
      <x:c r="AJ298" s="18" t="n">
        <x:v>134681.3</x:v>
      </x:c>
      <x:c r="AK298" s="14" t="str">
        <x:v>https://prozorro.gov.ua/tender/UA-2026-08-07-009701-a</x:v>
      </x:c>
      <x:c r="AL298" s="19" t="n">
        <x:v>46241.52298458333</x:v>
      </x:c>
      <x:c r="AM298" s="19" t="n">
        <x:v>46387</x:v>
      </x:c>
      <x:c r="AN298" s="15" t="str">
        <x:v>Електромонтаж; Пожежогасіння</x:v>
      </x:c>
      <x:c r="AO298" s="15" t="str">
        <x:v>not_found_in_top_search</x:v>
      </x:c>
    </x:row>
    <x:row r="299">
      <x:c r="A299" s="14" t="str">
        <x:v>W3-027</x:v>
      </x:c>
      <x:c r="B299" s="14" t="str">
        <x:v>Prozorro winners — 24.08</x:v>
      </x:c>
      <x:c r="C299" s="14" t="str">
        <x:v>Управління поліції охорони в Одеській області</x:v>
      </x:c>
      <x:c r="D299" s="14" t="str">
        <x:v>Електромонтаж</x:v>
      </x:c>
      <x:c r="E299" s="14" t="str">
        <x:v>Pilot now</x:v>
      </x:c>
      <x:c r="F299" s="17" t="str">
        <x:v>P1</x:v>
      </x:c>
      <x:c r="G299" s="14" t="str"/>
      <x:c r="H299" s="14" t="str">
        <x:v>Пілот зараз — Н.15</x:v>
      </x:c>
      <x:c r="I299" s="16" t="n">
        <x:v>5</x:v>
      </x:c>
      <x:c r="J299" s="16" t="n">
        <x:v>5</x:v>
      </x:c>
      <x:c r="K299" s="16" t="n">
        <x:v>5</x:v>
      </x:c>
      <x:c r="L299" s="16" t="n">
        <x:v>1</x:v>
      </x:c>
      <x:c r="M299" s="16" t="n">
        <x:v>5</x:v>
      </x:c>
      <x:c r="N299" s="16" t="n">
        <x:v>5</x:v>
      </x:c>
      <x:c r="O299" s="16" t="n">
        <x:v>5</x:v>
      </x:c>
      <x:c r="P299" s="16" t="n">
        <x:f>IF(COUNT(I299:O299)&lt;7,"",I299*8+J299*3+K299*2+L299*2+M299*2+N299*2+O299)</x:f>
        <x:v>92</x:v>
      </x:c>
      <x:c r="Q299" s="16" t="n">
        <x:f>IF(COUNT(J299:O299)&lt;6,"",J299*5+K299*4+M299*4+L299*3+N299*2+O299*2)</x:f>
        <x:v>88</x:v>
      </x:c>
      <x:c r="R299" s="14" t="str">
        <x:v>high</x:v>
      </x:c>
      <x:c r="S299" s="14" t="str">
        <x:v>official_prozorro_award_2025_2026</x:v>
      </x:c>
      <x:c r="T299" s="14" t="str">
        <x:v>official_prozorro_api</x:v>
      </x:c>
      <x:c r="U299" s="14" t="str">
        <x:v>Не контактували</x:v>
      </x:c>
      <x:c r="V299" s="15" t="str">
        <x:v>Повторне звернення з новим тендерним сигналом UA-2026-06-13-000282-a; попросити 1 пакет здачі</x:v>
      </x:c>
      <x:c r="W299" s="15" t="str">
        <x:v>Власник / директор; керівник ПТО; відповідальний за договори</x:v>
      </x:c>
      <x:c r="X299" s="15" t="str">
        <x:v>3 підтверджених перемог/договорів у Prozorro на 64 924 грн; 3 проєктів зі строком виконання не раніше 24.08.2026.</x:v>
      </x:c>
      <x:c r="Y299" s="15" t="str">
        <x:v>Електромонтажні роботи; строк до 2026-12-31. Попросити один знеособлений пакет здачі за цим workflow.</x:v>
      </x:c>
      <x:c r="Z299" s="15" t="str">
        <x:v>https://prozorro.gov.ua/tender/UA-2026-08-19-005312-a</x:v>
      </x:c>
      <x:c r="AA299" s="14" t="str">
        <x:v>40108934</x:v>
      </x:c>
      <x:c r="AB299" s="14" t="str">
        <x:v>2026-08-24</x:v>
      </x:c>
      <x:c r="AC299" s="14" t="str"/>
      <x:c r="AD299" s="20" t="str"/>
      <x:c r="AE299" s="14" t="str"/>
      <x:c r="AF299" s="14" t="n">
        <x:v>78</x:v>
      </x:c>
      <x:c r="AG299" s="14" t="str">
        <x:v>I1</x:v>
      </x:c>
      <x:c r="AH299" s="14" t="n">
        <x:v>13</x:v>
      </x:c>
      <x:c r="AI299" s="14" t="n">
        <x:v>12</x:v>
      </x:c>
      <x:c r="AJ299" s="18" t="n">
        <x:v>231183.00000000003</x:v>
      </x:c>
      <x:c r="AK299" s="14" t="str">
        <x:v>https://prozorro.gov.ua/tender/UA-2026-06-13-000282-a</x:v>
      </x:c>
      <x:c r="AL299" s="19" t="n">
        <x:v>46186.411788136575</x:v>
      </x:c>
      <x:c r="AM299" s="19" t="n">
        <x:v>46387</x:v>
      </x:c>
      <x:c r="AN299" s="15" t="str">
        <x:v>Електромонтаж; Пожежогасіння; Промислова електрика / ПНР</x:v>
      </x:c>
      <x:c r="AO299" s="15" t="str">
        <x:v>not_found_in_top_search</x:v>
      </x:c>
    </x:row>
    <x:row r="300">
      <x:c r="A300" s="14" t="str">
        <x:v>W3-028</x:v>
      </x:c>
      <x:c r="B300" s="14" t="str">
        <x:v>Prozorro winners — 24.08</x:v>
      </x:c>
      <x:c r="C300" s="14" t="str">
        <x:v>ХАРКІВСЬКА МІСЬКА ФІЛІЯ ТОВАРИСТВА З ОБМЕЖЕНОЮ ВІДПОВІДАЛЬНІСТЮ «ГАЗОРОЗПОДІЛЬНІ МЕРЕЖІ УКРАЇНИ»</x:v>
      </x:c>
      <x:c r="D300" s="14" t="str">
        <x:v>Насосні станції</x:v>
      </x:c>
      <x:c r="E300" s="14" t="str">
        <x:v>Expansion discovery</x:v>
      </x:c>
      <x:c r="F300" s="17" t="str">
        <x:v>D2</x:v>
      </x:c>
      <x:c r="G300" s="14" t="str"/>
      <x:c r="H300" s="14" t="str">
        <x:v>Discovery розширення — 2 тижні</x:v>
      </x:c>
      <x:c r="I300" s="16" t="n">
        <x:v>1</x:v>
      </x:c>
      <x:c r="J300" s="16" t="n">
        <x:v>5</x:v>
      </x:c>
      <x:c r="K300" s="16" t="n">
        <x:v>4</x:v>
      </x:c>
      <x:c r="L300" s="16" t="n">
        <x:v>4</x:v>
      </x:c>
      <x:c r="M300" s="16" t="n">
        <x:v>5</x:v>
      </x:c>
      <x:c r="N300" s="16" t="n">
        <x:v>5</x:v>
      </x:c>
      <x:c r="O300" s="16" t="n">
        <x:v>5</x:v>
      </x:c>
      <x:c r="P300" s="16" t="n">
        <x:f>IF(COUNT(I300:O300)&lt;7,"",I300*8+J300*3+K300*2+L300*2+M300*2+N300*2+O300)</x:f>
        <x:v>64</x:v>
      </x:c>
      <x:c r="Q300" s="16" t="n">
        <x:f>IF(COUNT(J300:O300)&lt;6,"",J300*5+K300*4+M300*4+L300*3+N300*2+O300*2)</x:f>
        <x:v>93</x:v>
      </x:c>
      <x:c r="R300" s="14" t="str">
        <x:v>high</x:v>
      </x:c>
      <x:c r="S300" s="14" t="str">
        <x:v>official_prozorro_award_2025_2026</x:v>
      </x:c>
      <x:c r="T300" s="14" t="str">
        <x:v>official_prozorro_api</x:v>
      </x:c>
      <x:c r="U300" s="14" t="str">
        <x:v>Не контактували</x:v>
      </x:c>
      <x:c r="V300" s="15" t="str">
        <x:v>Workflow-audit outreach по UA-2026-07-28-009128-a; попросити 1 пакет здачі та вимоги проєкту</x:v>
      </x:c>
      <x:c r="W300" s="15" t="str">
        <x:v>Власник / директор; керівник ПТО; відповідальний за договори</x:v>
      </x:c>
      <x:c r="X300" s="15" t="str">
        <x:v>2 підтверджених перемог/договорів у Prozorro на 4 963 081 грн; 2 проєктів зі строком виконання не раніше 24.08.2026.</x:v>
      </x:c>
      <x:c r="Y300"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 строк до 2026-08-31. Попросити один знеособлений пакет здачі за цим workflow.</x:v>
      </x:c>
      <x:c r="Z300" s="15" t="str">
        <x:v>https://prozorro.gov.ua/tender/UA-2026-07-28-009128-a</x:v>
      </x:c>
      <x:c r="AA300" s="14" t="str">
        <x:v>45141068</x:v>
      </x:c>
      <x:c r="AB300" s="14" t="str">
        <x:v>2026-08-24</x:v>
      </x:c>
      <x:c r="AC300" s="14" t="str"/>
      <x:c r="AD300" s="20" t="str"/>
      <x:c r="AE300" s="14" t="str"/>
      <x:c r="AF300" s="14" t="n">
        <x:v>74</x:v>
      </x:c>
      <x:c r="AG300" s="14" t="str">
        <x:v>I2</x:v>
      </x:c>
      <x:c r="AH300" s="14" t="n">
        <x:v>2</x:v>
      </x:c>
      <x:c r="AI300" s="14" t="n">
        <x:v>2</x:v>
      </x:c>
      <x:c r="AJ300" s="18" t="n">
        <x:v>4963081.18</x:v>
      </x:c>
      <x:c r="AK300" s="14" t="str">
        <x:v>https://prozorro.gov.ua/tender/UA-2026-07-28-009128-a</x:v>
      </x:c>
      <x:c r="AL300" s="19" t="n">
        <x:v>46231.544807418984</x:v>
      </x:c>
      <x:c r="AM300" s="19" t="n">
        <x:v>46265</x:v>
      </x:c>
      <x:c r="AN300" s="15" t="str">
        <x:v>Насосні станції</x:v>
      </x:c>
      <x:c r="AO300" s="15" t="str">
        <x:v>not_found_in_top_search</x:v>
      </x:c>
    </x:row>
    <x:row r="301">
      <x:c r="A301" s="14" t="str">
        <x:v>W3-029</x:v>
      </x:c>
      <x:c r="B301" s="14" t="str">
        <x:v>Prozorro winners — 24.08</x:v>
      </x:c>
      <x:c r="C301" s="14" t="str">
        <x:v>Управління поліції охорони в Херсонській області</x:v>
      </x:c>
      <x:c r="D301" s="14" t="str">
        <x:v>Пожежогасіння</x:v>
      </x:c>
      <x:c r="E301" s="14" t="str">
        <x:v>Expansion discovery</x:v>
      </x:c>
      <x:c r="F301" s="17" t="str">
        <x:v>D2</x:v>
      </x:c>
      <x:c r="G301" s="14" t="str"/>
      <x:c r="H301" s="14" t="str">
        <x:v>Discovery розширення — 2 тижні</x:v>
      </x:c>
      <x:c r="I301" s="16" t="n">
        <x:v>1</x:v>
      </x:c>
      <x:c r="J301" s="16" t="n">
        <x:v>5</x:v>
      </x:c>
      <x:c r="K301" s="16" t="n">
        <x:v>4</x:v>
      </x:c>
      <x:c r="L301" s="16" t="n">
        <x:v>2</x:v>
      </x:c>
      <x:c r="M301" s="16" t="n">
        <x:v>5</x:v>
      </x:c>
      <x:c r="N301" s="16" t="n">
        <x:v>5</x:v>
      </x:c>
      <x:c r="O301" s="16" t="n">
        <x:v>5</x:v>
      </x:c>
      <x:c r="P301" s="16" t="n">
        <x:f>IF(COUNT(I301:O301)&lt;7,"",I301*8+J301*3+K301*2+L301*2+M301*2+N301*2+O301)</x:f>
        <x:v>60</x:v>
      </x:c>
      <x:c r="Q301" s="16" t="n">
        <x:f>IF(COUNT(J301:O301)&lt;6,"",J301*5+K301*4+M301*4+L301*3+N301*2+O301*2)</x:f>
        <x:v>87</x:v>
      </x:c>
      <x:c r="R301" s="14" t="str">
        <x:v>high</x:v>
      </x:c>
      <x:c r="S301" s="14" t="str">
        <x:v>official_prozorro_award_2025_2026</x:v>
      </x:c>
      <x:c r="T301" s="14" t="str">
        <x:v>official_prozorro_api</x:v>
      </x:c>
      <x:c r="U301" s="14" t="str">
        <x:v>Не контактували</x:v>
      </x:c>
      <x:c r="V301" s="15" t="str">
        <x:v>Повторне звернення з новим тендерним сигналом UA-2026-02-20-001905-a; попросити 1 пакет здачі</x:v>
      </x:c>
      <x:c r="W301" s="15" t="str">
        <x:v>Власник / директор; керівник ПТО; відповідальний за договори</x:v>
      </x:c>
      <x:c r="X301" s="15" t="str">
        <x:v>3 підтверджених перемог/договорів у Prozorro на 399 666 грн; 3 проєктів зі строком виконання не раніше 24.08.2026.</x:v>
      </x:c>
      <x:c r="Y301" s="15" t="str">
        <x:v>Монтаж системи пожежної сигналізації в будівлі хімічного цеху інв. № 11/0 АТ «Херсонська ТЕЦ»; строк до 2026-12-31. Попросити один знеособлений пакет здачі за цим workflow.</x:v>
      </x:c>
      <x:c r="Z301" s="15" t="str">
        <x:v>https://prozorro.gov.ua/tender/UA-2026-06-10-009452-a</x:v>
      </x:c>
      <x:c r="AA301" s="14" t="str">
        <x:v>40108850</x:v>
      </x:c>
      <x:c r="AB301" s="14" t="str">
        <x:v>2026-08-24</x:v>
      </x:c>
      <x:c r="AC301" s="14" t="str"/>
      <x:c r="AD301" s="20" t="str"/>
      <x:c r="AE301" s="14" t="str"/>
      <x:c r="AF301" s="14" t="n">
        <x:v>73</x:v>
      </x:c>
      <x:c r="AG301" s="14" t="str">
        <x:v>I2</x:v>
      </x:c>
      <x:c r="AH301" s="14" t="n">
        <x:v>6</x:v>
      </x:c>
      <x:c r="AI301" s="14" t="n">
        <x:v>5</x:v>
      </x:c>
      <x:c r="AJ301" s="18" t="n">
        <x:v>808756.15</x:v>
      </x:c>
      <x:c r="AK301" s="14" t="str">
        <x:v>https://prozorro.gov.ua/tender/UA-2026-02-20-001905-a</x:v>
      </x:c>
      <x:c r="AL301" s="19" t="n">
        <x:v>46073.34966835648</x:v>
      </x:c>
      <x:c r="AM301" s="19" t="n">
        <x:v>46387.458333333336</x:v>
      </x:c>
      <x:c r="AN301" s="15" t="str">
        <x:v>Пожежогасіння; Безпека / СКУД / CCTV</x:v>
      </x:c>
      <x:c r="AO301" s="15" t="str">
        <x:v>not_found_in_top_search</x:v>
      </x:c>
    </x:row>
    <x:row r="302">
      <x:c r="A302" s="14" t="str">
        <x:v>W3-030</x:v>
      </x:c>
      <x:c r="B302" s="14" t="str">
        <x:v>Prozorro winners — 24.08</x:v>
      </x:c>
      <x:c r="C302" s="14" t="str">
        <x:v>ТОВАРИСТВО З ОБМЕЖЕНОЮ ВІДПОВІДАЛЬНІСТЮ "ГІРАЗОЛЬ"</x:v>
      </x:c>
      <x:c r="D302" s="14" t="str">
        <x:v>Електромонтаж</x:v>
      </x:c>
      <x:c r="E302" s="14" t="str">
        <x:v>Pilot now</x:v>
      </x:c>
      <x:c r="F302" s="17" t="str">
        <x:v>P2</x:v>
      </x:c>
      <x:c r="G302" s="14" t="str"/>
      <x:c r="H302" s="14" t="str">
        <x:v>Пілот зараз — Н.15</x:v>
      </x:c>
      <x:c r="I302" s="16" t="n">
        <x:v>5</x:v>
      </x:c>
      <x:c r="J302" s="16" t="n">
        <x:v>5</x:v>
      </x:c>
      <x:c r="K302" s="16" t="n">
        <x:v>5</x:v>
      </x:c>
      <x:c r="L302" s="16" t="n">
        <x:v>4</x:v>
      </x:c>
      <x:c r="M302" s="16" t="n">
        <x:v>5</x:v>
      </x:c>
      <x:c r="N302" s="16" t="n">
        <x:v>5</x:v>
      </x:c>
      <x:c r="O302" s="16" t="n">
        <x:v>5</x:v>
      </x:c>
      <x:c r="P302" s="16" t="n">
        <x:f>IF(COUNT(I302:O302)&lt;7,"",I302*8+J302*3+K302*2+L302*2+M302*2+N302*2+O302)</x:f>
        <x:v>98</x:v>
      </x:c>
      <x:c r="Q302" s="16" t="n">
        <x:f>IF(COUNT(J302:O302)&lt;6,"",J302*5+K302*4+M302*4+L302*3+N302*2+O302*2)</x:f>
        <x:v>97</x:v>
      </x:c>
      <x:c r="R302" s="14" t="str">
        <x:v>high</x:v>
      </x:c>
      <x:c r="S302" s="14" t="str">
        <x:v>official_prozorro_award_2025_2026</x:v>
      </x:c>
      <x:c r="T302" s="14" t="str">
        <x:v>official_prozorro_api</x:v>
      </x:c>
      <x:c r="U302" s="14" t="str">
        <x:v>Не контактували</x:v>
      </x:c>
      <x:c r="V302" s="15" t="str">
        <x:v>Персоналізований free-pilot outreach по UA-2026-08-13-000458-a; попросити 1 пакет Н.14/Н.15</x:v>
      </x:c>
      <x:c r="W302" s="15" t="str">
        <x:v>Власник / директор; керівник ПТО; відповідальний за договори</x:v>
      </x:c>
      <x:c r="X302" s="15" t="str">
        <x:v>2 підтверджених перемог/договорів у Prozorro на 3 779 044 грн; 1 проєктів зі строком виконання не раніше 24.08.2026.</x:v>
      </x:c>
      <x:c r="Y302"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 строк до 2026-09-10. Попросити один знеособлений пакет здачі за цим workflow.</x:v>
      </x:c>
      <x:c r="Z302" s="15" t="str">
        <x:v>https://prozorro.gov.ua/tender/UA-2026-08-13-000458-a</x:v>
      </x:c>
      <x:c r="AA302" s="14" t="str">
        <x:v>46227802</x:v>
      </x:c>
      <x:c r="AB302" s="14" t="str">
        <x:v>2026-08-24</x:v>
      </x:c>
      <x:c r="AC302" s="14" t="str"/>
      <x:c r="AD302" s="20" t="str"/>
      <x:c r="AE302" s="14" t="str"/>
      <x:c r="AF302" s="14" t="n">
        <x:v>72</x:v>
      </x:c>
      <x:c r="AG302" s="14" t="str">
        <x:v>I2</x:v>
      </x:c>
      <x:c r="AH302" s="14" t="n">
        <x:v>2</x:v>
      </x:c>
      <x:c r="AI302" s="14" t="n">
        <x:v>1</x:v>
      </x:c>
      <x:c r="AJ302" s="18" t="n">
        <x:v>3779044</x:v>
      </x:c>
      <x:c r="AK302" s="14" t="str">
        <x:v>https://prozorro.gov.ua/tender/UA-2026-08-13-000458-a</x:v>
      </x:c>
      <x:c r="AL302" s="19" t="n">
        <x:v>46247.2484425</x:v>
      </x:c>
      <x:c r="AM302" s="19" t="n">
        <x:v>46275</x:v>
      </x:c>
      <x:c r="AN302" s="15" t="str">
        <x:v>Електромонтаж; Сонячна енергетика</x:v>
      </x:c>
      <x:c r="AO302" s="15" t="str">
        <x:v>not_found_in_top_search</x:v>
      </x:c>
    </x:row>
    <x:row r="303">
      <x:c r="A303" s="14" t="str">
        <x:v>W3-031</x:v>
      </x:c>
      <x:c r="B303" s="14" t="str">
        <x:v>Prozorro winners — 24.08</x:v>
      </x:c>
      <x:c r="C303" s="14" t="str">
        <x:v>ПРИВАТНЕ АКЦІОНЕРНЕ ТОВАРИСТВО "КІРОВОГРАДОБЛЕНЕРГО"</x:v>
      </x:c>
      <x:c r="D303" s="14" t="str">
        <x:v>Електромонтаж</x:v>
      </x:c>
      <x:c r="E303" s="14" t="str">
        <x:v>Pilot now</x:v>
      </x:c>
      <x:c r="F303" s="17" t="str">
        <x:v>P2</x:v>
      </x:c>
      <x:c r="G303" s="14" t="str"/>
      <x:c r="H303" s="14" t="str">
        <x:v>Пілот зараз — Н.15</x:v>
      </x:c>
      <x:c r="I303" s="16" t="n">
        <x:v>5</x:v>
      </x:c>
      <x:c r="J303" s="16" t="n">
        <x:v>5</x:v>
      </x:c>
      <x:c r="K303" s="16" t="n">
        <x:v>5</x:v>
      </x:c>
      <x:c r="L303" s="16" t="n">
        <x:v>1</x:v>
      </x:c>
      <x:c r="M303" s="16" t="n">
        <x:v>5</x:v>
      </x:c>
      <x:c r="N303" s="16" t="n">
        <x:v>5</x:v>
      </x:c>
      <x:c r="O303" s="16" t="n">
        <x:v>5</x:v>
      </x:c>
      <x:c r="P303" s="16" t="n">
        <x:f>IF(COUNT(I303:O303)&lt;7,"",I303*8+J303*3+K303*2+L303*2+M303*2+N303*2+O303)</x:f>
        <x:v>92</x:v>
      </x:c>
      <x:c r="Q303" s="16" t="n">
        <x:f>IF(COUNT(J303:O303)&lt;6,"",J303*5+K303*4+M303*4+L303*3+N303*2+O303*2)</x:f>
        <x:v>88</x:v>
      </x:c>
      <x:c r="R303" s="14" t="str">
        <x:v>high</x:v>
      </x:c>
      <x:c r="S303" s="14" t="str">
        <x:v>official_prozorro_award_2025_2026</x:v>
      </x:c>
      <x:c r="T303" s="14" t="str">
        <x:v>official_prozorro_api</x:v>
      </x:c>
      <x:c r="U303" s="14" t="str">
        <x:v>Не контактували</x:v>
      </x:c>
      <x:c r="V303" s="15" t="str">
        <x:v>Повторне звернення з новим тендерним сигналом UA-2024-04-16-011626-a; попросити 1 пакет здачі</x:v>
      </x:c>
      <x:c r="W303" s="15" t="str">
        <x:v>Власник / директор; керівник ПТО; відповідальний за договори</x:v>
      </x:c>
      <x:c r="X303" s="15" t="str">
        <x:v>3 підтверджених перемог/договорів у Prozorro на 22 118 грн; 3 проєктів зі строком виконання не раніше 24.08.2026.</x:v>
      </x:c>
      <x:c r="Y303" s="15" t="str">
        <x:v>Електромонтажні роботи; строк до 2026-12-31. Попросити один знеособлений пакет здачі за цим workflow.</x:v>
      </x:c>
      <x:c r="Z303" s="15" t="str">
        <x:v>https://prozorro.gov.ua/tender/UA-2026-08-14-005083-a</x:v>
      </x:c>
      <x:c r="AA303" s="14" t="str">
        <x:v>23226362</x:v>
      </x:c>
      <x:c r="AB303" s="14" t="str">
        <x:v>2026-08-24</x:v>
      </x:c>
      <x:c r="AC303" s="14" t="str"/>
      <x:c r="AD303" s="20" t="str"/>
      <x:c r="AE303" s="14" t="str"/>
      <x:c r="AF303" s="14" t="n">
        <x:v>72</x:v>
      </x:c>
      <x:c r="AG303" s="14" t="str">
        <x:v>I2</x:v>
      </x:c>
      <x:c r="AH303" s="14" t="n">
        <x:v>5</x:v>
      </x:c>
      <x:c r="AI303" s="14" t="n">
        <x:v>4</x:v>
      </x:c>
      <x:c r="AJ303" s="18" t="n">
        <x:v>459990.56999999995</x:v>
      </x:c>
      <x:c r="AK303" s="14" t="str">
        <x:v>https://prozorro.gov.ua/tender/UA-2024-04-16-011626-a</x:v>
      </x:c>
      <x:c r="AL303" s="19" t="n">
        <x:v>45398.55489033565</x:v>
      </x:c>
      <x:c r="AM303" s="19" t="n">
        <x:v>45657</x:v>
      </x:c>
      <x:c r="AN303" s="15" t="str">
        <x:v>Електромонтаж; Зовнішнє освітлення; Чисті приміщення</x:v>
      </x:c>
      <x:c r="AO303" s="15" t="str">
        <x:v>not_found_in_top_search</x:v>
      </x:c>
    </x:row>
    <x:row r="304">
      <x:c r="A304" s="14" t="str">
        <x:v>W3-032</x:v>
      </x:c>
      <x:c r="B304" s="14" t="str">
        <x:v>Prozorro winners — 24.08</x:v>
      </x:c>
      <x:c r="C304" s="14" t="str">
        <x:v>ТОВАРИСТВО З ОБМЕЖЕНОЮ ВІДПОВІДАЛЬНІСТЮ "ОЛІР"</x:v>
      </x:c>
      <x:c r="D304" s="14" t="str">
        <x:v>Газопостачання / котельні</x:v>
      </x:c>
      <x:c r="E304" s="14" t="str">
        <x:v>Expansion discovery</x:v>
      </x:c>
      <x:c r="F304" s="17" t="str">
        <x:v>D2</x:v>
      </x:c>
      <x:c r="G304" s="14" t="str"/>
      <x:c r="H304" s="14" t="str">
        <x:v>Discovery розширення — 2 тижні</x:v>
      </x:c>
      <x:c r="I304" s="16" t="n">
        <x:v>1</x:v>
      </x:c>
      <x:c r="J304" s="16" t="n">
        <x:v>5</x:v>
      </x:c>
      <x:c r="K304" s="16" t="n">
        <x:v>4</x:v>
      </x:c>
      <x:c r="L304" s="16" t="n">
        <x:v>5</x:v>
      </x:c>
      <x:c r="M304" s="16" t="n">
        <x:v>5</x:v>
      </x:c>
      <x:c r="N304" s="16" t="n">
        <x:v>5</x:v>
      </x:c>
      <x:c r="O304" s="16" t="n">
        <x:v>5</x:v>
      </x:c>
      <x:c r="P304" s="16" t="n">
        <x:f>IF(COUNT(I304:O304)&lt;7,"",I304*8+J304*3+K304*2+L304*2+M304*2+N304*2+O304)</x:f>
        <x:v>66</x:v>
      </x:c>
      <x:c r="Q304" s="16" t="n">
        <x:f>IF(COUNT(J304:O304)&lt;6,"",J304*5+K304*4+M304*4+L304*3+N304*2+O304*2)</x:f>
        <x:v>96</x:v>
      </x:c>
      <x:c r="R304" s="14" t="str">
        <x:v>high</x:v>
      </x:c>
      <x:c r="S304" s="14" t="str">
        <x:v>official_prozorro_award_2025_2026</x:v>
      </x:c>
      <x:c r="T304" s="14" t="str">
        <x:v>official_prozorro_api</x:v>
      </x:c>
      <x:c r="U304" s="14" t="str">
        <x:v>Не контактували</x:v>
      </x:c>
      <x:c r="V304" s="15" t="str">
        <x:v>Workflow-audit outreach по UA-2026-06-30-009204-a; попросити 1 пакет здачі та вимоги проєкту</x:v>
      </x:c>
      <x:c r="W304" s="15" t="str">
        <x:v>Власник / директор; керівник ПТО; відповідальний за договори</x:v>
      </x:c>
      <x:c r="X304" s="15" t="str">
        <x:v>2 підтверджених перемог/договорів у Prozorro на 47 369 224 грн; 1 проєктів зі строком виконання не раніше 24.08.2026.</x:v>
      </x:c>
      <x:c r="Y304"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 строк до 2026-09-15. Попросити один знеособлений пакет здачі за цим workflow.</x:v>
      </x:c>
      <x:c r="Z304" s="15" t="str">
        <x:v>https://prozorro.gov.ua/tender/UA-2026-06-30-009204-a</x:v>
      </x:c>
      <x:c r="AA304" s="14" t="str">
        <x:v>32263898</x:v>
      </x:c>
      <x:c r="AB304" s="14" t="str">
        <x:v>2026-08-24</x:v>
      </x:c>
      <x:c r="AC304" s="14" t="str"/>
      <x:c r="AD304" s="20" t="str"/>
      <x:c r="AE304" s="14" t="str"/>
      <x:c r="AF304" s="14" t="n">
        <x:v>70</x:v>
      </x:c>
      <x:c r="AG304" s="14" t="str">
        <x:v>I2</x:v>
      </x:c>
      <x:c r="AH304" s="14" t="n">
        <x:v>2</x:v>
      </x:c>
      <x:c r="AI304" s="14" t="n">
        <x:v>1</x:v>
      </x:c>
      <x:c r="AJ304" s="18" t="n">
        <x:v>47369224.31</x:v>
      </x:c>
      <x:c r="AK304" s="14" t="str">
        <x:v>https://prozorro.gov.ua/tender/UA-2026-06-30-009204-a</x:v>
      </x:c>
      <x:c r="AL304" s="19" t="n">
        <x:v>46203.48953586806</x:v>
      </x:c>
      <x:c r="AM304" s="19" t="n">
        <x:v>46280</x:v>
      </x:c>
      <x:c r="AN304" s="15" t="str">
        <x:v>Газопостачання / котельні; Зовнішні мережі</x:v>
      </x:c>
      <x:c r="AO304" s="15" t="str">
        <x:v>not_found_in_top_search</x:v>
      </x:c>
    </x:row>
    <x:row r="305">
      <x:c r="A305" s="14" t="str">
        <x:v>W3-033</x:v>
      </x:c>
      <x:c r="B305" s="14" t="str">
        <x:v>Prozorro winners — 24.08</x:v>
      </x:c>
      <x:c r="C305" s="14" t="str">
        <x:v>ТОВАРИСТВО З ОБМЕЖЕНОЮ ВІДПОВІДАЛЬНІСТЮ "ДІВАЙС"</x:v>
      </x:c>
      <x:c r="D305" s="14" t="str">
        <x:v>Газопостачання / котельні</x:v>
      </x:c>
      <x:c r="E305" s="14" t="str">
        <x:v>Expansion discovery</x:v>
      </x:c>
      <x:c r="F305" s="17" t="str">
        <x:v>D2</x:v>
      </x:c>
      <x:c r="G305" s="14" t="str"/>
      <x:c r="H305" s="14" t="str">
        <x:v>Discovery розширення — 2 тижні</x:v>
      </x:c>
      <x:c r="I305" s="16" t="n">
        <x:v>1</x:v>
      </x:c>
      <x:c r="J305" s="16" t="n">
        <x:v>5</x:v>
      </x:c>
      <x:c r="K305" s="16" t="n">
        <x:v>4</x:v>
      </x:c>
      <x:c r="L305" s="16" t="n">
        <x:v>5</x:v>
      </x:c>
      <x:c r="M305" s="16" t="n">
        <x:v>5</x:v>
      </x:c>
      <x:c r="N305" s="16" t="n">
        <x:v>5</x:v>
      </x:c>
      <x:c r="O305" s="16" t="n">
        <x:v>5</x:v>
      </x:c>
      <x:c r="P305" s="16" t="n">
        <x:f>IF(COUNT(I305:O305)&lt;7,"",I305*8+J305*3+K305*2+L305*2+M305*2+N305*2+O305)</x:f>
        <x:v>66</x:v>
      </x:c>
      <x:c r="Q305" s="16" t="n">
        <x:f>IF(COUNT(J305:O305)&lt;6,"",J305*5+K305*4+M305*4+L305*3+N305*2+O305*2)</x:f>
        <x:v>96</x:v>
      </x:c>
      <x:c r="R305" s="14" t="str">
        <x:v>high</x:v>
      </x:c>
      <x:c r="S305" s="14" t="str">
        <x:v>official_prozorro_award_2025_2026</x:v>
      </x:c>
      <x:c r="T305" s="14" t="str">
        <x:v>official_prozorro_api</x:v>
      </x:c>
      <x:c r="U305" s="14" t="str">
        <x:v>Не контактували</x:v>
      </x:c>
      <x:c r="V305" s="15" t="str">
        <x:v>Повторне звернення з новим тендерним сигналом UA-2026-04-22-015117-a; попросити 1 пакет здачі</x:v>
      </x:c>
      <x:c r="W305" s="15" t="str">
        <x:v>Власник / директор; керівник ПТО; відповідальний за договори</x:v>
      </x:c>
      <x:c r="X305" s="15" t="str">
        <x:v>2 підтверджених перемог/договорів у Prozorro на 23 635 290 грн; 1 проєктів зі строком виконання не раніше 24.08.2026.</x:v>
      </x:c>
      <x:c r="Y305"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 строк до 2026-11-30. Попросити один знеособлений пакет здачі за цим workflow.</x:v>
      </x:c>
      <x:c r="Z305" s="15" t="str">
        <x:v>https://prozorro.gov.ua/tender/UA-2026-06-16-011498-a</x:v>
      </x:c>
      <x:c r="AA305" s="14" t="str">
        <x:v>30357952</x:v>
      </x:c>
      <x:c r="AB305" s="14" t="str">
        <x:v>2026-08-24</x:v>
      </x:c>
      <x:c r="AC305" s="14" t="str"/>
      <x:c r="AD305" s="20" t="str"/>
      <x:c r="AE305" s="14" t="str"/>
      <x:c r="AF305" s="14" t="n">
        <x:v>70</x:v>
      </x:c>
      <x:c r="AG305" s="14" t="str">
        <x:v>I2</x:v>
      </x:c>
      <x:c r="AH305" s="14" t="n">
        <x:v>3</x:v>
      </x:c>
      <x:c r="AI305" s="14" t="n">
        <x:v>2</x:v>
      </x:c>
      <x:c r="AJ305" s="18" t="n">
        <x:v>46495410.35</x:v>
      </x:c>
      <x:c r="AK305" s="14" t="str">
        <x:v>https://prozorro.gov.ua/tender/UA-2026-04-22-015117-a</x:v>
      </x:c>
      <x:c r="AL305" s="19" t="n">
        <x:v>46154.27752568287</x:v>
      </x:c>
      <x:c r="AM305" s="19" t="n">
        <x:v>46356.916655092595</x:v>
      </x:c>
      <x:c r="AN305" s="15" t="str">
        <x:v>Газопостачання / котельні; Теплові мережі</x:v>
      </x:c>
      <x:c r="AO305" s="15" t="str">
        <x:v>not_found_in_top_search</x:v>
      </x:c>
    </x:row>
    <x:row r="306">
      <x:c r="A306" s="14" t="str">
        <x:v>W3-034</x:v>
      </x:c>
      <x:c r="B306" s="14" t="str">
        <x:v>Prozorro winners — 24.08</x:v>
      </x:c>
      <x:c r="C306" s="14" t="str">
        <x:v>ТОВАРИСТВО З ОБМЕЖЕНОЮ ВІДПОВІДАЛЬНІСТЮ "КОМФОРТ-ЕКО"</x:v>
      </x:c>
      <x:c r="D306" s="14" t="str">
        <x:v>Водоочищення / очисні споруди</x:v>
      </x:c>
      <x:c r="E306" s="14" t="str">
        <x:v>Expansion discovery</x:v>
      </x:c>
      <x:c r="F306" s="17" t="str">
        <x:v>D2</x:v>
      </x:c>
      <x:c r="G306" s="14" t="str"/>
      <x:c r="H306" s="14" t="str">
        <x:v>Discovery розширення — 2 тижні</x:v>
      </x:c>
      <x:c r="I306" s="16" t="n">
        <x:v>1</x:v>
      </x:c>
      <x:c r="J306" s="16" t="n">
        <x:v>5</x:v>
      </x:c>
      <x:c r="K306" s="16" t="n">
        <x:v>4</x:v>
      </x:c>
      <x:c r="L306" s="16" t="n">
        <x:v>3</x:v>
      </x:c>
      <x:c r="M306" s="16" t="n">
        <x:v>5</x:v>
      </x:c>
      <x:c r="N306" s="16" t="n">
        <x:v>5</x:v>
      </x:c>
      <x:c r="O306" s="16" t="n">
        <x:v>5</x:v>
      </x:c>
      <x:c r="P306" s="16" t="n">
        <x:f>IF(COUNT(I306:O306)&lt;7,"",I306*8+J306*3+K306*2+L306*2+M306*2+N306*2+O306)</x:f>
        <x:v>62</x:v>
      </x:c>
      <x:c r="Q306" s="16" t="n">
        <x:f>IF(COUNT(J306:O306)&lt;6,"",J306*5+K306*4+M306*4+L306*3+N306*2+O306*2)</x:f>
        <x:v>90</x:v>
      </x:c>
      <x:c r="R306" s="14" t="str">
        <x:v>high</x:v>
      </x:c>
      <x:c r="S306" s="14" t="str">
        <x:v>official_prozorro_award_2025_2026</x:v>
      </x:c>
      <x:c r="T306" s="14" t="str">
        <x:v>official_prozorro_api</x:v>
      </x:c>
      <x:c r="U306" s="14" t="str">
        <x:v>Не контактували</x:v>
      </x:c>
      <x:c r="V306" s="15" t="str">
        <x:v>Повторне звернення з новим тендерним сигналом UA-2026-01-29-000491-a; попросити 1 пакет здачі</x:v>
      </x:c>
      <x:c r="W306" s="15" t="str">
        <x:v>Власник / директор; керівник ПТО; відповідальний за договори</x:v>
      </x:c>
      <x:c r="X306" s="15" t="str">
        <x:v>2 підтверджених перемог/договорів у Prozorro на 686 713 грн; 2 проєктів зі строком виконання не раніше 24.08.2026.</x:v>
      </x:c>
      <x:c r="Y306" s="15" t="str">
        <x:v>коригування робочого проекту "Реконструкція очисних каналізаційних споруд повної біологічної очистки м.Арциз Одеської області"; строк до 2026-12-31. Попросити один знеособлений пакет здачі за цим workflow.</x:v>
      </x:c>
      <x:c r="Z306" s="15" t="str">
        <x:v>https://prozorro.gov.ua/tender/UA-2026-07-21-001489-a</x:v>
      </x:c>
      <x:c r="AA306" s="14" t="str">
        <x:v>31830396</x:v>
      </x:c>
      <x:c r="AB306" s="14" t="str">
        <x:v>2026-08-24</x:v>
      </x:c>
      <x:c r="AC306" s="14" t="str"/>
      <x:c r="AD306" s="20" t="str"/>
      <x:c r="AE306" s="14" t="str"/>
      <x:c r="AF306" s="14" t="n">
        <x:v>70</x:v>
      </x:c>
      <x:c r="AG306" s="14" t="str">
        <x:v>I2</x:v>
      </x:c>
      <x:c r="AH306" s="14" t="n">
        <x:v>4</x:v>
      </x:c>
      <x:c r="AI306" s="14" t="n">
        <x:v>3</x:v>
      </x:c>
      <x:c r="AJ306" s="18" t="n">
        <x:v>970951.2</x:v>
      </x:c>
      <x:c r="AK306" s="14" t="str">
        <x:v>https://prozorro.gov.ua/tender/UA-2026-01-29-000491-a</x:v>
      </x:c>
      <x:c r="AL306" s="19" t="n">
        <x:v>46051.62307699074</x:v>
      </x:c>
      <x:c r="AM306" s="19" t="n">
        <x:v>46387</x:v>
      </x:c>
      <x:c r="AN306" s="15" t="str">
        <x:v>Водоочищення / очисні споруди</x:v>
      </x:c>
      <x:c r="AO306" s="15" t="str">
        <x:v>not_found_in_top_search</x:v>
      </x:c>
    </x:row>
    <x:row r="307">
      <x:c r="A307" s="14" t="str">
        <x:v>W3-035</x:v>
      </x:c>
      <x:c r="B307" s="14" t="str">
        <x:v>Prozorro winners — 24.08</x:v>
      </x:c>
      <x:c r="C307" s="14" t="str">
        <x:v>ПРИВАТНЕ ПІДПРИЄМСТВО «ЕЛЕ­КТРО­ПРОМ­ТЕХ»</x:v>
      </x:c>
      <x:c r="D307" s="14" t="str">
        <x:v>Електромонтаж</x:v>
      </x:c>
      <x:c r="E307" s="14" t="str">
        <x:v>Pilot now</x:v>
      </x:c>
      <x:c r="F307" s="17" t="str">
        <x:v>P2</x:v>
      </x:c>
      <x:c r="G307" s="14" t="str"/>
      <x:c r="H307" s="14" t="str">
        <x:v>Пілот зараз — Н.15</x:v>
      </x:c>
      <x:c r="I307" s="16" t="n">
        <x:v>5</x:v>
      </x:c>
      <x:c r="J307" s="16" t="n">
        <x:v>5</x:v>
      </x:c>
      <x:c r="K307" s="16" t="n">
        <x:v>5</x:v>
      </x:c>
      <x:c r="L307" s="16" t="n">
        <x:v>2</x:v>
      </x:c>
      <x:c r="M307" s="16" t="n">
        <x:v>5</x:v>
      </x:c>
      <x:c r="N307" s="16" t="n">
        <x:v>5</x:v>
      </x:c>
      <x:c r="O307" s="16" t="n">
        <x:v>5</x:v>
      </x:c>
      <x:c r="P307" s="16" t="n">
        <x:f>IF(COUNT(I307:O307)&lt;7,"",I307*8+J307*3+K307*2+L307*2+M307*2+N307*2+O307)</x:f>
        <x:v>94</x:v>
      </x:c>
      <x:c r="Q307" s="16" t="n">
        <x:f>IF(COUNT(J307:O307)&lt;6,"",J307*5+K307*4+M307*4+L307*3+N307*2+O307*2)</x:f>
        <x:v>91</x:v>
      </x:c>
      <x:c r="R307" s="14" t="str">
        <x:v>high</x:v>
      </x:c>
      <x:c r="S307" s="14" t="str">
        <x:v>official_prozorro_award_2025_2026</x:v>
      </x:c>
      <x:c r="T307" s="14" t="str">
        <x:v>official_prozorro_api</x:v>
      </x:c>
      <x:c r="U307" s="14" t="str">
        <x:v>Не контактували</x:v>
      </x:c>
      <x:c r="V307" s="15" t="str">
        <x:v>Персоналізований free-pilot outreach по UA-2026-04-30-008926-a; попросити 1 пакет Н.14/Н.15</x:v>
      </x:c>
      <x:c r="W307" s="15" t="str">
        <x:v>Власник / директор; керівник ПТО; відповідальний за договори</x:v>
      </x:c>
      <x:c r="X307" s="15" t="str">
        <x:v>5 підтверджених перемог/договорів у Prozorro на 349 658 грн; 2 проєктів зі строком виконання не раніше 24.08.2026.</x:v>
      </x:c>
      <x:c r="Y307" s="15" t="str">
        <x:v>Послуги по монтажу та підключенню до електричної мережі світлодіодних світильників у школі І-ІІІ ступенів №282 Деснянського району міста Києва; строк до 2026-05-31. Попросити один знеособлений пакет здачі за цим workflow.</x:v>
      </x:c>
      <x:c r="Z307" s="15" t="str">
        <x:v>https://prozorro.gov.ua/tender/UA-2026-04-30-008926-a</x:v>
      </x:c>
      <x:c r="AA307" s="14" t="str">
        <x:v>32489197</x:v>
      </x:c>
      <x:c r="AB307" s="14" t="str">
        <x:v>2026-08-24</x:v>
      </x:c>
      <x:c r="AC307" s="14" t="str"/>
      <x:c r="AD307" s="20" t="str"/>
      <x:c r="AE307" s="14" t="str"/>
      <x:c r="AF307" s="14" t="n">
        <x:v>70</x:v>
      </x:c>
      <x:c r="AG307" s="14" t="str">
        <x:v>I2</x:v>
      </x:c>
      <x:c r="AH307" s="14" t="n">
        <x:v>5</x:v>
      </x:c>
      <x:c r="AI307" s="14" t="n">
        <x:v>2</x:v>
      </x:c>
      <x:c r="AJ307" s="18" t="n">
        <x:v>349658</x:v>
      </x:c>
      <x:c r="AK307" s="14" t="str">
        <x:v>https://prozorro.gov.ua/tender/UA-2026-04-30-008926-a</x:v>
      </x:c>
      <x:c r="AL307" s="19" t="n">
        <x:v>46142.528413622684</x:v>
      </x:c>
      <x:c r="AM307" s="19" t="n">
        <x:v>46173.530625</x:v>
      </x:c>
      <x:c r="AN307" s="15" t="str">
        <x:v>Електромонтаж</x:v>
      </x:c>
      <x:c r="AO307" s="15" t="str">
        <x:v>not_found_in_top_search</x:v>
      </x:c>
    </x:row>
    <x:row r="308">
      <x:c r="A308" s="14" t="str">
        <x:v>W3-036</x:v>
      </x:c>
      <x:c r="B308" s="14" t="str">
        <x:v>Prozorro winners — 24.08</x:v>
      </x:c>
      <x:c r="C308" s="14" t="str">
        <x:v>ТОВАРИСТВО З ОБМЕЖЕНОЮ ВІДПОВІДАЛЬНІСТЮ "НАГЛЯД ІНЖИНІРИНГ ПРОЕКТ"</x:v>
      </x:c>
      <x:c r="D308" s="14" t="str">
        <x:v>Теплові мережі</x:v>
      </x:c>
      <x:c r="E308" s="14" t="str">
        <x:v>Expansion discovery</x:v>
      </x:c>
      <x:c r="F308" s="17" t="str">
        <x:v>D2</x:v>
      </x:c>
      <x:c r="G308" s="14" t="str"/>
      <x:c r="H308" s="14" t="str">
        <x:v>Discovery розширення — 2 тижні</x:v>
      </x:c>
      <x:c r="I308" s="16" t="n">
        <x:v>1</x:v>
      </x:c>
      <x:c r="J308" s="16" t="n">
        <x:v>5</x:v>
      </x:c>
      <x:c r="K308" s="16" t="n">
        <x:v>4</x:v>
      </x:c>
      <x:c r="L308" s="16" t="n">
        <x:v>2</x:v>
      </x:c>
      <x:c r="M308" s="16" t="n">
        <x:v>5</x:v>
      </x:c>
      <x:c r="N308" s="16" t="n">
        <x:v>5</x:v>
      </x:c>
      <x:c r="O308" s="16" t="n">
        <x:v>5</x:v>
      </x:c>
      <x:c r="P308" s="16" t="n">
        <x:f>IF(COUNT(I308:O308)&lt;7,"",I308*8+J308*3+K308*2+L308*2+M308*2+N308*2+O308)</x:f>
        <x:v>60</x:v>
      </x:c>
      <x:c r="Q308" s="16" t="n">
        <x:f>IF(COUNT(J308:O308)&lt;6,"",J308*5+K308*4+M308*4+L308*3+N308*2+O308*2)</x:f>
        <x:v>87</x:v>
      </x:c>
      <x:c r="R308" s="14" t="str">
        <x:v>high</x:v>
      </x:c>
      <x:c r="S308" s="14" t="str">
        <x:v>official_prozorro_award_2025_2026</x:v>
      </x:c>
      <x:c r="T308" s="14" t="str">
        <x:v>official_prozorro_api</x:v>
      </x:c>
      <x:c r="U308" s="14" t="str">
        <x:v>Не контактували</x:v>
      </x:c>
      <x:c r="V308" s="15" t="str">
        <x:v>Workflow-audit outreach по UA-2026-06-26-001164-a; попросити 1 пакет здачі та вимоги проєкту</x:v>
      </x:c>
      <x:c r="W308" s="15" t="str">
        <x:v>Власник / директор; керівник ПТО; відповідальний за договори</x:v>
      </x:c>
      <x:c r="X308" s="15" t="str">
        <x:v>3 підтверджених перемог/договорів у Prozorro на 198 419 грн; 3 проєктів зі строком виконання не раніше 24.08.2026.</x:v>
      </x:c>
      <x:c r="Y308"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2026-08-31. Попросити один знеособлений пакет здачі за цим workflow.</x:v>
      </x:c>
      <x:c r="Z308" s="15" t="str">
        <x:v>https://prozorro.gov.ua/tender/UA-2026-06-26-001164-a</x:v>
      </x:c>
      <x:c r="AA308" s="14" t="str">
        <x:v>45394450</x:v>
      </x:c>
      <x:c r="AB308" s="14" t="str">
        <x:v>2026-08-24</x:v>
      </x:c>
      <x:c r="AC308" s="14" t="str"/>
      <x:c r="AD308" s="20" t="str"/>
      <x:c r="AE308" s="14" t="str"/>
      <x:c r="AF308" s="14" t="n">
        <x:v>70</x:v>
      </x:c>
      <x:c r="AG308" s="14" t="str">
        <x:v>I2</x:v>
      </x:c>
      <x:c r="AH308" s="14" t="n">
        <x:v>3</x:v>
      </x:c>
      <x:c r="AI308" s="14" t="n">
        <x:v>3</x:v>
      </x:c>
      <x:c r="AJ308" s="18" t="n">
        <x:v>198418.8</x:v>
      </x:c>
      <x:c r="AK308" s="14" t="str">
        <x:v>https://prozorro.gov.ua/tender/UA-2026-06-26-001164-a</x:v>
      </x:c>
      <x:c r="AL308" s="19" t="n">
        <x:v>46199.27758047454</x:v>
      </x:c>
      <x:c r="AM308" s="19" t="n">
        <x:v>46265</x:v>
      </x:c>
      <x:c r="AN308" s="15" t="str">
        <x:v>Теплові мережі</x:v>
      </x:c>
      <x:c r="AO308" s="15" t="str">
        <x:v>not_found_in_top_search</x:v>
      </x:c>
    </x:row>
    <x:row r="309">
      <x:c r="A309" s="14" t="str">
        <x:v>W3-037</x:v>
      </x:c>
      <x:c r="B309" s="14" t="str">
        <x:v>Prozorro winners — 24.08</x:v>
      </x:c>
      <x:c r="C309" s="14" t="str">
        <x:v>ТОВАРИСТВО З ОБМЕЖЕНОЮ ВІДПОВІДАЛЬНІСТЮ "ТДС БУД ІНВЕСТ"</x:v>
      </x:c>
      <x:c r="D309" s="14" t="str">
        <x:v>ГНБ / безтраншейні роботи</x:v>
      </x:c>
      <x:c r="E309" s="14" t="str">
        <x:v>Expansion discovery</x:v>
      </x:c>
      <x:c r="F309" s="17" t="str">
        <x:v>D2</x:v>
      </x:c>
      <x:c r="G309" s="14" t="str"/>
      <x:c r="H309" s="14" t="str">
        <x:v>Discovery розширення — 2 тижні</x:v>
      </x:c>
      <x:c r="I309" s="16" t="n">
        <x:v>1</x:v>
      </x:c>
      <x:c r="J309" s="16" t="n">
        <x:v>5</x:v>
      </x:c>
      <x:c r="K309" s="16" t="n">
        <x:v>4</x:v>
      </x:c>
      <x:c r="L309" s="16" t="n">
        <x:v>4</x:v>
      </x:c>
      <x:c r="M309" s="16" t="n">
        <x:v>5</x:v>
      </x:c>
      <x:c r="N309" s="16" t="n">
        <x:v>5</x:v>
      </x:c>
      <x:c r="O309" s="16" t="n">
        <x:v>5</x:v>
      </x:c>
      <x:c r="P309" s="16" t="n">
        <x:f>IF(COUNT(I309:O309)&lt;7,"",I309*8+J309*3+K309*2+L309*2+M309*2+N309*2+O309)</x:f>
        <x:v>64</x:v>
      </x:c>
      <x:c r="Q309" s="16" t="n">
        <x:f>IF(COUNT(J309:O309)&lt;6,"",J309*5+K309*4+M309*4+L309*3+N309*2+O309*2)</x:f>
        <x:v>93</x:v>
      </x:c>
      <x:c r="R309" s="14" t="str">
        <x:v>high</x:v>
      </x:c>
      <x:c r="S309" s="14" t="str">
        <x:v>official_prozorro_award_2025_2026</x:v>
      </x:c>
      <x:c r="T309" s="14" t="str">
        <x:v>official_prozorro_api</x:v>
      </x:c>
      <x:c r="U309" s="14" t="str">
        <x:v>Не контактували</x:v>
      </x:c>
      <x:c r="V309" s="15" t="str">
        <x:v>Повторне звернення з новим тендерним сигналом UA-2024-07-05-006290-a; попросити 1 пакет здачі</x:v>
      </x:c>
      <x:c r="W309" s="15" t="str">
        <x:v>Власник / директор; керівник ПТО; відповідальний за договори</x:v>
      </x:c>
      <x:c r="X309" s="15" t="str">
        <x:v>2 підтверджених перемог/договорів у Prozorro на 4 895 068 грн; 1 проєктів зі строком виконання не раніше 24.08.2026.</x:v>
      </x:c>
      <x:c r="Y309"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 строк до 2026-10-30. Попросити один знеособлений пакет здачі за цим workflow.</x:v>
      </x:c>
      <x:c r="Z309" s="15" t="str">
        <x:v>https://prozorro.gov.ua/tender/UA-2026-08-11-007150-a</x:v>
      </x:c>
      <x:c r="AA309" s="14" t="str">
        <x:v>37432564</x:v>
      </x:c>
      <x:c r="AB309" s="14" t="str">
        <x:v>2026-08-24</x:v>
      </x:c>
      <x:c r="AC309" s="14" t="str"/>
      <x:c r="AD309" s="20" t="str"/>
      <x:c r="AE309" s="14" t="str"/>
      <x:c r="AF309" s="14" t="n">
        <x:v>69</x:v>
      </x:c>
      <x:c r="AG309" s="14" t="str">
        <x:v>I2</x:v>
      </x:c>
      <x:c r="AH309" s="14" t="n">
        <x:v>9</x:v>
      </x:c>
      <x:c r="AI309" s="14" t="n">
        <x:v>1</x:v>
      </x:c>
      <x:c r="AJ309" s="18" t="n">
        <x:v>7772550.99</x:v>
      </x:c>
      <x:c r="AK309" s="14" t="str">
        <x:v>https://prozorro.gov.ua/tender/UA-2024-07-05-006290-a</x:v>
      </x:c>
      <x:c r="AL309" s="19" t="n">
        <x:v>45478.447927824076</x:v>
      </x:c>
      <x:c r="AM309" s="19" t="n">
        <x:v>45492</x:v>
      </x:c>
      <x:c r="AN309" s="15" t="str">
        <x:v>ГНБ / безтраншейні роботи</x:v>
      </x:c>
      <x:c r="AO309" s="15" t="str">
        <x:v>not_found_in_top_search</x:v>
      </x:c>
    </x:row>
    <x:row r="310">
      <x:c r="A310" s="14" t="str">
        <x:v>W3-038</x:v>
      </x:c>
      <x:c r="B310" s="14" t="str">
        <x:v>Prozorro winners — 24.08</x:v>
      </x:c>
      <x:c r="C310" s="14" t="str">
        <x:v>ФОП Струк Сергій Васильович</x:v>
      </x:c>
      <x:c r="D310" s="14" t="str">
        <x:v>HVAC / ОВіК</x:v>
      </x:c>
      <x:c r="E310" s="14" t="str">
        <x:v>Pilot now</x:v>
      </x:c>
      <x:c r="F310" s="17" t="str">
        <x:v>P2</x:v>
      </x:c>
      <x:c r="G310" s="14" t="str"/>
      <x:c r="H310" s="14" t="str">
        <x:v>Пілот зараз — Н.14</x:v>
      </x:c>
      <x:c r="I310" s="16" t="n">
        <x:v>5</x:v>
      </x:c>
      <x:c r="J310" s="16" t="n">
        <x:v>5</x:v>
      </x:c>
      <x:c r="K310" s="16" t="n">
        <x:v>5</x:v>
      </x:c>
      <x:c r="L310" s="16" t="n">
        <x:v>1</x:v>
      </x:c>
      <x:c r="M310" s="16" t="n">
        <x:v>5</x:v>
      </x:c>
      <x:c r="N310" s="16" t="n">
        <x:v>3</x:v>
      </x:c>
      <x:c r="O310" s="16" t="n">
        <x:v>5</x:v>
      </x:c>
      <x:c r="P310" s="16" t="n">
        <x:f>IF(COUNT(I310:O310)&lt;7,"",I310*8+J310*3+K310*2+L310*2+M310*2+N310*2+O310)</x:f>
        <x:v>88</x:v>
      </x:c>
      <x:c r="Q310" s="16" t="n">
        <x:f>IF(COUNT(J310:O310)&lt;6,"",J310*5+K310*4+M310*4+L310*3+N310*2+O310*2)</x:f>
        <x:v>84</x:v>
      </x:c>
      <x:c r="R310" s="14" t="str">
        <x:v>high</x:v>
      </x:c>
      <x:c r="S310" s="14" t="str">
        <x:v>official_prozorro_award_2025_2026</x:v>
      </x:c>
      <x:c r="T310" s="14" t="str">
        <x:v>official_prozorro_api</x:v>
      </x:c>
      <x:c r="U310" s="14" t="str">
        <x:v>Не контактували</x:v>
      </x:c>
      <x:c r="V310" s="15" t="str">
        <x:v>Персоналізований free-pilot outreach по UA-2026-07-21-008345-a; попросити 1 пакет Н.14/Н.15</x:v>
      </x:c>
      <x:c r="W310" s="15" t="str">
        <x:v>Власник / виконавець; відповідальний за договір</x:v>
      </x:c>
      <x:c r="X310" s="15" t="str">
        <x:v>3 підтверджених перемог/договорів у Prozorro на 44 060 грн; 3 проєктів зі строком виконання не раніше 24.08.2026.</x:v>
      </x:c>
      <x:c r="Y310" s="15" t="str">
        <x:v>Послуги монтажу систем кондиціювання та вентиляції; строк до 2026-12-31. Попросити один знеособлений пакет здачі за цим workflow.</x:v>
      </x:c>
      <x:c r="Z310" s="15" t="str">
        <x:v>https://prozorro.gov.ua/tender/UA-2026-07-21-008345-a</x:v>
      </x:c>
      <x:c r="AA310" s="14" t="str">
        <x:v>2984501813</x:v>
      </x:c>
      <x:c r="AB310" s="14" t="str">
        <x:v>2026-08-24</x:v>
      </x:c>
      <x:c r="AC310" s="14" t="str"/>
      <x:c r="AD310" s="20" t="str"/>
      <x:c r="AE310" s="14" t="str"/>
      <x:c r="AF310" s="14" t="n">
        <x:v>69</x:v>
      </x:c>
      <x:c r="AG310" s="14" t="str">
        <x:v>I2</x:v>
      </x:c>
      <x:c r="AH310" s="14" t="n">
        <x:v>3</x:v>
      </x:c>
      <x:c r="AI310" s="14" t="n">
        <x:v>3</x:v>
      </x:c>
      <x:c r="AJ310" s="18" t="n">
        <x:v>44060</x:v>
      </x:c>
      <x:c r="AK310" s="14" t="str">
        <x:v>https://prozorro.gov.ua/tender/UA-2026-07-21-008345-a</x:v>
      </x:c>
      <x:c r="AL310" s="19" t="n">
        <x:v>46224.505549525464</x:v>
      </x:c>
      <x:c r="AM310" s="19" t="n">
        <x:v>46387</x:v>
      </x:c>
      <x:c r="AN310" s="15" t="str">
        <x:v>HVAC / ОВіК</x:v>
      </x:c>
      <x:c r="AO310" s="15" t="str">
        <x:v>not_found_in_top_search</x:v>
      </x:c>
    </x:row>
    <x:row r="311">
      <x:c r="A311" s="14" t="str">
        <x:v>W3-039</x:v>
      </x:c>
      <x:c r="B311" s="14" t="str">
        <x:v>Prozorro winners — 24.08</x:v>
      </x:c>
      <x:c r="C311" s="14" t="str">
        <x:v>ПРИВАТНЕ АКЦІОНЕРНЕ ТОВАРИСТВО "БРОВАРСЬКЕ ШЛЯХОВО-БУДІВЕЛЬНЕ УПРАВЛІННЯ № 50"</x:v>
      </x:c>
      <x:c r="D311" s="14" t="str">
        <x:v>Мости / інфраструктура</x:v>
      </x:c>
      <x:c r="E311" s="14" t="str">
        <x:v>Expansion discovery</x:v>
      </x:c>
      <x:c r="F311" s="17" t="str">
        <x:v>D2</x:v>
      </x:c>
      <x:c r="G311" s="14" t="str">
        <x:v>dsu50.com.ua</x:v>
      </x:c>
      <x:c r="H311" s="14" t="str">
        <x:v>Discovery розширення — 2 тижні</x:v>
      </x:c>
      <x:c r="I311" s="16" t="n">
        <x:v>1</x:v>
      </x:c>
      <x:c r="J311" s="16" t="n">
        <x:v>5</x:v>
      </x:c>
      <x:c r="K311" s="16" t="n">
        <x:v>4</x:v>
      </x:c>
      <x:c r="L311" s="16" t="n">
        <x:v>5</x:v>
      </x:c>
      <x:c r="M311" s="16" t="n">
        <x:v>5</x:v>
      </x:c>
      <x:c r="N311" s="16" t="n">
        <x:v>5</x:v>
      </x:c>
      <x:c r="O311" s="16" t="n">
        <x:v>5</x:v>
      </x:c>
      <x:c r="P311" s="16" t="n">
        <x:f>IF(COUNT(I311:O311)&lt;7,"",I311*8+J311*3+K311*2+L311*2+M311*2+N311*2+O311)</x:f>
        <x:v>66</x:v>
      </x:c>
      <x:c r="Q311" s="16" t="n">
        <x:f>IF(COUNT(J311:O311)&lt;6,"",J311*5+K311*4+M311*4+L311*3+N311*2+O311*2)</x:f>
        <x:v>96</x:v>
      </x:c>
      <x:c r="R311" s="14" t="str">
        <x:v>high</x:v>
      </x:c>
      <x:c r="S311" s="14" t="str">
        <x:v>official_prozorro_award_2025_2026</x:v>
      </x:c>
      <x:c r="T311" s="14" t="str">
        <x:v>official_prozorro_api</x:v>
      </x:c>
      <x:c r="U311" s="14" t="str">
        <x:v>Не контактували</x:v>
      </x:c>
      <x:c r="V311" s="15" t="str">
        <x:v>Workflow-audit outreach по UA-2026-06-11-013816-a; попросити 1 пакет здачі та вимоги проєкту</x:v>
      </x:c>
      <x:c r="W311" s="15" t="str">
        <x:v>Власник / директор; керівник ПТО; відповідальний за договори</x:v>
      </x:c>
      <x:c r="X311" s="15" t="str">
        <x:v>1 підтверджених перемог/договорів у Prozorro на 135 000 000 грн; 1 проєктів зі строком виконання не раніше 24.08.2026.</x:v>
      </x:c>
      <x:c r="Y311" s="15" t="str">
        <x:v>Капітальний ремонт мосту на автомобільній дорозі загального користування місцевого значення О100720 Васильків - Княжичі - Лука - Гореничі - /М06/ км 20+119; строк до 2027-12-31. Попросити один знеособлений пакет здачі за цим workflow.</x:v>
      </x:c>
      <x:c r="Z311" s="15" t="str">
        <x:v>https://prozorro.gov.ua/tender/UA-2026-06-11-013816-a</x:v>
      </x:c>
      <x:c r="AA311" s="14" t="str">
        <x:v>05408668</x:v>
      </x:c>
      <x:c r="AB311" s="14" t="str">
        <x:v>2026-08-24</x:v>
      </x:c>
      <x:c r="AC311" s="14" t="str"/>
      <x:c r="AD311" s="20" t="str"/>
      <x:c r="AE311" s="14" t="str"/>
      <x:c r="AF311" s="14" t="n">
        <x:v>68</x:v>
      </x:c>
      <x:c r="AG311" s="14" t="str">
        <x:v>I2</x:v>
      </x:c>
      <x:c r="AH311" s="14" t="n">
        <x:v>1</x:v>
      </x:c>
      <x:c r="AI311" s="14" t="n">
        <x:v>1</x:v>
      </x:c>
      <x:c r="AJ311" s="18" t="n">
        <x:v>135000000</x:v>
      </x:c>
      <x:c r="AK311" s="14" t="str">
        <x:v>https://prozorro.gov.ua/tender/UA-2026-06-11-013816-a</x:v>
      </x:c>
      <x:c r="AL311" s="19" t="n">
        <x:v>46216.335399791664</x:v>
      </x:c>
      <x:c r="AM311" s="19" t="n">
        <x:v>46752</x:v>
      </x:c>
      <x:c r="AN311" s="15" t="str">
        <x:v>Мости / інфраструктура</x:v>
      </x:c>
      <x:c r="AO311" s="15" t="str">
        <x:v>supplier_provided_url</x:v>
      </x:c>
    </x:row>
    <x:row r="312">
      <x:c r="A312" s="14" t="str">
        <x:v>W3-040</x:v>
      </x:c>
      <x:c r="B312" s="14" t="str">
        <x:v>Prozorro winners — 24.08</x:v>
      </x:c>
      <x:c r="C312" s="14" t="str">
        <x:v>Дочірнє підприємство «УкрСіверБуд» закритого акціонерного товариства «ДСК»</x:v>
      </x:c>
      <x:c r="D312" s="14" t="str">
        <x:v>Насосні станції</x:v>
      </x:c>
      <x:c r="E312" s="14" t="str">
        <x:v>Expansion discovery</x:v>
      </x:c>
      <x:c r="F312" s="17" t="str">
        <x:v>D2</x:v>
      </x:c>
      <x:c r="G312" s="14" t="str"/>
      <x:c r="H312" s="14" t="str">
        <x:v>Discovery розширення — 2 тижні</x:v>
      </x:c>
      <x:c r="I312" s="16" t="n">
        <x:v>1</x:v>
      </x:c>
      <x:c r="J312" s="16" t="n">
        <x:v>5</x:v>
      </x:c>
      <x:c r="K312" s="16" t="n">
        <x:v>4</x:v>
      </x:c>
      <x:c r="L312" s="16" t="n">
        <x:v>5</x:v>
      </x:c>
      <x:c r="M312" s="16" t="n">
        <x:v>5</x:v>
      </x:c>
      <x:c r="N312" s="16" t="n">
        <x:v>5</x:v>
      </x:c>
      <x:c r="O312" s="16" t="n">
        <x:v>5</x:v>
      </x:c>
      <x:c r="P312" s="16" t="n">
        <x:f>IF(COUNT(I312:O312)&lt;7,"",I312*8+J312*3+K312*2+L312*2+M312*2+N312*2+O312)</x:f>
        <x:v>66</x:v>
      </x:c>
      <x:c r="Q312" s="16" t="n">
        <x:f>IF(COUNT(J312:O312)&lt;6,"",J312*5+K312*4+M312*4+L312*3+N312*2+O312*2)</x:f>
        <x:v>96</x:v>
      </x:c>
      <x:c r="R312" s="14" t="str">
        <x:v>high</x:v>
      </x:c>
      <x:c r="S312" s="14" t="str">
        <x:v>official_prozorro_award_2025_2026</x:v>
      </x:c>
      <x:c r="T312" s="14" t="str">
        <x:v>official_prozorro_api</x:v>
      </x:c>
      <x:c r="U312" s="14" t="str">
        <x:v>Не контактували</x:v>
      </x:c>
      <x:c r="V312" s="15" t="str">
        <x:v>Повторне звернення з новим тендерним сигналом UA-2026-05-01-007510-a; попросити 1 пакет здачі</x:v>
      </x:c>
      <x:c r="W312" s="15" t="str">
        <x:v>Власник / директор; керівник ПТО; відповідальний за договори</x:v>
      </x:c>
      <x:c r="X312" s="15" t="str">
        <x:v>1 підтверджених перемог/договорів у Prozorro на 120 011 041 грн; 1 проєктів зі строком виконання не раніше 24.08.2026.</x:v>
      </x:c>
      <x:c r="Y312" s="15" t="str">
        <x:v>Виконання робіт по об’єкту: «Реконструкція водопровідної насосної станції «Подусівка» КП «Чернігівводоканал», розташованої на землях Новобілоуської ОТГ Чернігівської області Чернігівського району» 1 черга будівництва» (код ДК 021:2015 – 45000000-7 Будівельні роботи та поточний ремонт); строк до 2026-12-15. Попросити один знеособлений пакет здачі за цим workflow.</x:v>
      </x:c>
      <x:c r="Z312" s="15" t="str">
        <x:v>https://prozorro.gov.ua/tender/UA-2026-07-24-006850-a</x:v>
      </x:c>
      <x:c r="AA312" s="14" t="str">
        <x:v>30042170</x:v>
      </x:c>
      <x:c r="AB312" s="14" t="str">
        <x:v>2026-08-24</x:v>
      </x:c>
      <x:c r="AC312" s="14" t="str"/>
      <x:c r="AD312" s="20" t="str"/>
      <x:c r="AE312" s="14" t="str"/>
      <x:c r="AF312" s="14" t="n">
        <x:v>87</x:v>
      </x:c>
      <x:c r="AG312" s="14" t="str">
        <x:v>I1</x:v>
      </x:c>
      <x:c r="AH312" s="14" t="n">
        <x:v>5</x:v>
      </x:c>
      <x:c r="AI312" s="14" t="n">
        <x:v>5</x:v>
      </x:c>
      <x:c r="AJ312" s="18" t="n">
        <x:v>409810549.71000004</x:v>
      </x:c>
      <x:c r="AK312" s="14" t="str">
        <x:v>https://prozorro.gov.ua/tender/UA-2026-05-01-007510-a</x:v>
      </x:c>
      <x:c r="AL312" s="19" t="n">
        <x:v>46143.45762525463</x:v>
      </x:c>
      <x:c r="AM312" s="19" t="n">
        <x:v>46752.49747685185</x:v>
      </x:c>
      <x:c r="AN312" s="15" t="str">
        <x:v>Насосні станції; Підстанції / силові мережі</x:v>
      </x:c>
      <x:c r="AO312" s="15" t="str">
        <x:v>not_found_in_top_search</x:v>
      </x:c>
    </x:row>
    <x:row r="313">
      <x:c r="A313" s="14" t="str">
        <x:v>W3-041</x:v>
      </x:c>
      <x:c r="B313" s="14" t="str">
        <x:v>Prozorro winners — 24.08</x:v>
      </x:c>
      <x:c r="C313" s="14" t="str">
        <x:v>ПРИВАТНЕ ПІДПРИЄМСТВО "СІНТА - СЕРВІС"</x:v>
      </x:c>
      <x:c r="D313" s="14" t="str">
        <x:v>Зовнішні мережі</x:v>
      </x:c>
      <x:c r="E313" s="14" t="str">
        <x:v>Expansion discovery</x:v>
      </x:c>
      <x:c r="F313" s="17" t="str">
        <x:v>D2</x:v>
      </x:c>
      <x:c r="G313" s="14" t="str"/>
      <x:c r="H313" s="14" t="str">
        <x:v>Discovery розширення — 2 тижні</x:v>
      </x:c>
      <x:c r="I313" s="16" t="n">
        <x:v>1</x:v>
      </x:c>
      <x:c r="J313" s="16" t="n">
        <x:v>5</x:v>
      </x:c>
      <x:c r="K313" s="16" t="n">
        <x:v>4</x:v>
      </x:c>
      <x:c r="L313" s="16" t="n">
        <x:v>5</x:v>
      </x:c>
      <x:c r="M313" s="16" t="n">
        <x:v>5</x:v>
      </x:c>
      <x:c r="N313" s="16" t="n">
        <x:v>5</x:v>
      </x:c>
      <x:c r="O313" s="16" t="n">
        <x:v>5</x:v>
      </x:c>
      <x:c r="P313" s="16" t="n">
        <x:f>IF(COUNT(I313:O313)&lt;7,"",I313*8+J313*3+K313*2+L313*2+M313*2+N313*2+O313)</x:f>
        <x:v>66</x:v>
      </x:c>
      <x:c r="Q313" s="16" t="n">
        <x:f>IF(COUNT(J313:O313)&lt;6,"",J313*5+K313*4+M313*4+L313*3+N313*2+O313*2)</x:f>
        <x:v>96</x:v>
      </x:c>
      <x:c r="R313" s="14" t="str">
        <x:v>high</x:v>
      </x:c>
      <x:c r="S313" s="14" t="str">
        <x:v>official_prozorro_award_2025_2026</x:v>
      </x:c>
      <x:c r="T313" s="14" t="str">
        <x:v>official_prozorro_api</x:v>
      </x:c>
      <x:c r="U313" s="14" t="str">
        <x:v>Не контактували</x:v>
      </x:c>
      <x:c r="V313" s="15" t="str">
        <x:v>Workflow-audit outreach по UA-2026-07-14-000809-a; попросити 1 пакет здачі та вимоги проєкту</x:v>
      </x:c>
      <x:c r="W313" s="15" t="str">
        <x:v>Власник / директор; керівник ПТО; відповідальний за договори</x:v>
      </x:c>
      <x:c r="X313" s="15" t="str">
        <x:v>1 підтверджених перемог/договорів у Prozorro на 76 970 000 грн; 1 проєктів зі строком виконання не раніше 24.08.2026.</x:v>
      </x:c>
      <x:c r="Y313" s="15" t="str">
        <x:v>Нове будівництво зовнішніх інженерних мереж з підключенням до збірно-розбірних комплексних споруд Закарпатської області; строк до 2027-12-25. Попросити один знеособлений пакет здачі за цим workflow.</x:v>
      </x:c>
      <x:c r="Z313" s="15" t="str">
        <x:v>https://prozorro.gov.ua/tender/UA-2026-07-14-000809-a</x:v>
      </x:c>
      <x:c r="AA313" s="14" t="str">
        <x:v>33542869</x:v>
      </x:c>
      <x:c r="AB313" s="14" t="str">
        <x:v>2026-08-24</x:v>
      </x:c>
      <x:c r="AC313" s="14" t="str"/>
      <x:c r="AD313" s="20" t="str"/>
      <x:c r="AE313" s="14" t="str"/>
      <x:c r="AF313" s="14" t="n">
        <x:v>68</x:v>
      </x:c>
      <x:c r="AG313" s="14" t="str">
        <x:v>I2</x:v>
      </x:c>
      <x:c r="AH313" s="14" t="n">
        <x:v>1</x:v>
      </x:c>
      <x:c r="AI313" s="14" t="n">
        <x:v>1</x:v>
      </x:c>
      <x:c r="AJ313" s="18" t="n">
        <x:v>76970000</x:v>
      </x:c>
      <x:c r="AK313" s="14" t="str">
        <x:v>https://prozorro.gov.ua/tender/UA-2026-07-14-000809-a</x:v>
      </x:c>
      <x:c r="AL313" s="19" t="n">
        <x:v>46231.56358947916</x:v>
      </x:c>
      <x:c r="AM313" s="19" t="n">
        <x:v>46746</x:v>
      </x:c>
      <x:c r="AN313" s="15" t="str">
        <x:v>Зовнішні мережі</x:v>
      </x:c>
      <x:c r="AO313" s="15" t="str">
        <x:v>not_found_in_top_search</x:v>
      </x:c>
    </x:row>
    <x:row r="314">
      <x:c r="A314" s="14" t="str">
        <x:v>W3-042</x:v>
      </x:c>
      <x:c r="B314" s="14" t="str">
        <x:v>Prozorro winners — 24.08</x:v>
      </x:c>
      <x:c r="C314" s="14" t="str">
        <x:v>ТОВАРИСТВО З ОБМЕЖЕНОЮ ВІДПОВІДАЛЬНІСТЮ "Б.С.ГРУП"</x:v>
      </x:c>
      <x:c r="D314" s="14" t="str">
        <x:v>Мости / інфраструктура</x:v>
      </x:c>
      <x:c r="E314" s="14" t="str">
        <x:v>Expansion discovery</x:v>
      </x:c>
      <x:c r="F314" s="17" t="str">
        <x:v>D2</x:v>
      </x:c>
      <x:c r="G314" s="14" t="str"/>
      <x:c r="H314" s="14" t="str">
        <x:v>Discovery розширення — 2 тижні</x:v>
      </x:c>
      <x:c r="I314" s="16" t="n">
        <x:v>1</x:v>
      </x:c>
      <x:c r="J314" s="16" t="n">
        <x:v>5</x:v>
      </x:c>
      <x:c r="K314" s="16" t="n">
        <x:v>4</x:v>
      </x:c>
      <x:c r="L314" s="16" t="n">
        <x:v>5</x:v>
      </x:c>
      <x:c r="M314" s="16" t="n">
        <x:v>5</x:v>
      </x:c>
      <x:c r="N314" s="16" t="n">
        <x:v>5</x:v>
      </x:c>
      <x:c r="O314" s="16" t="n">
        <x:v>5</x:v>
      </x:c>
      <x:c r="P314" s="16" t="n">
        <x:f>IF(COUNT(I314:O314)&lt;7,"",I314*8+J314*3+K314*2+L314*2+M314*2+N314*2+O314)</x:f>
        <x:v>66</x:v>
      </x:c>
      <x:c r="Q314" s="16" t="n">
        <x:f>IF(COUNT(J314:O314)&lt;6,"",J314*5+K314*4+M314*4+L314*3+N314*2+O314*2)</x:f>
        <x:v>96</x:v>
      </x:c>
      <x:c r="R314" s="14" t="str">
        <x:v>high</x:v>
      </x:c>
      <x:c r="S314" s="14" t="str">
        <x:v>official_prozorro_award_2025_2026</x:v>
      </x:c>
      <x:c r="T314" s="14" t="str">
        <x:v>official_prozorro_api</x:v>
      </x:c>
      <x:c r="U314" s="14" t="str">
        <x:v>Не контактували</x:v>
      </x:c>
      <x:c r="V314" s="15" t="str">
        <x:v>Workflow-audit outreach по UA-2026-08-06-011717-a; попросити 1 пакет здачі та вимоги проєкту</x:v>
      </x:c>
      <x:c r="W314" s="15" t="str">
        <x:v>Власник / директор; керівник ПТО; відповідальний за договори</x:v>
      </x:c>
      <x:c r="X314" s="15" t="str">
        <x:v>1 підтверджених перемог/договорів у Prozorro на 43 825 745 грн; 1 проєктів зі строком виконання не раніше 24.08.2026.</x:v>
      </x:c>
      <x:c r="Y31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 строк до 2027-12-31. Попросити один знеособлений пакет здачі за цим workflow.</x:v>
      </x:c>
      <x:c r="Z314" s="15" t="str">
        <x:v>https://prozorro.gov.ua/tender/UA-2026-08-06-011717-a</x:v>
      </x:c>
      <x:c r="AA314" s="14" t="str">
        <x:v>41348332</x:v>
      </x:c>
      <x:c r="AB314" s="14" t="str">
        <x:v>2026-08-24</x:v>
      </x:c>
      <x:c r="AC314" s="14" t="str"/>
      <x:c r="AD314" s="20" t="str"/>
      <x:c r="AE314" s="14" t="str"/>
      <x:c r="AF314" s="14" t="n">
        <x:v>68</x:v>
      </x:c>
      <x:c r="AG314" s="14" t="str">
        <x:v>I2</x:v>
      </x:c>
      <x:c r="AH314" s="14" t="n">
        <x:v>1</x:v>
      </x:c>
      <x:c r="AI314" s="14" t="n">
        <x:v>1</x:v>
      </x:c>
      <x:c r="AJ314" s="18" t="n">
        <x:v>43825744.84</x:v>
      </x:c>
      <x:c r="AK314" s="14" t="str">
        <x:v>https://prozorro.gov.ua/tender/UA-2026-08-06-011717-a</x:v>
      </x:c>
      <x:c r="AL314" s="19" t="n">
        <x:v>46253.45469856481</x:v>
      </x:c>
      <x:c r="AM314" s="19" t="n">
        <x:v>46752</x:v>
      </x:c>
      <x:c r="AN314" s="15" t="str">
        <x:v>Мости / інфраструктура</x:v>
      </x:c>
      <x:c r="AO314" s="15" t="str">
        <x:v>not_found_in_top_search</x:v>
      </x:c>
    </x:row>
    <x:row r="315">
      <x:c r="A315" s="14" t="str">
        <x:v>W3-043</x:v>
      </x:c>
      <x:c r="B315" s="14" t="str">
        <x:v>Prozorro winners — 24.08</x:v>
      </x:c>
      <x:c r="C315" s="14" t="str">
        <x:v>ТОВАРИСТВО З ОБМЕЖЕНОЮ ВІДПОВІДАЛЬНІСТЮ "СТАЛЬКОНСТРУКЦІЯ ЛТД"</x:v>
      </x:c>
      <x:c r="D315" s="14" t="str">
        <x:v>Теплові мережі</x:v>
      </x:c>
      <x:c r="E315" s="14" t="str">
        <x:v>Expansion discovery</x:v>
      </x:c>
      <x:c r="F315" s="17" t="str">
        <x:v>D2</x:v>
      </x:c>
      <x:c r="G315" s="14" t="str"/>
      <x:c r="H315" s="14" t="str">
        <x:v>Discovery розширення — 2 тижні</x:v>
      </x:c>
      <x:c r="I315" s="16" t="n">
        <x:v>1</x:v>
      </x:c>
      <x:c r="J315" s="16" t="n">
        <x:v>5</x:v>
      </x:c>
      <x:c r="K315" s="16" t="n">
        <x:v>4</x:v>
      </x:c>
      <x:c r="L315" s="16" t="n">
        <x:v>5</x:v>
      </x:c>
      <x:c r="M315" s="16" t="n">
        <x:v>5</x:v>
      </x:c>
      <x:c r="N315" s="16" t="n">
        <x:v>5</x:v>
      </x:c>
      <x:c r="O315" s="16" t="n">
        <x:v>5</x:v>
      </x:c>
      <x:c r="P315" s="16" t="n">
        <x:f>IF(COUNT(I315:O315)&lt;7,"",I315*8+J315*3+K315*2+L315*2+M315*2+N315*2+O315)</x:f>
        <x:v>66</x:v>
      </x:c>
      <x:c r="Q315" s="16" t="n">
        <x:f>IF(COUNT(J315:O315)&lt;6,"",J315*5+K315*4+M315*4+L315*3+N315*2+O315*2)</x:f>
        <x:v>96</x:v>
      </x:c>
      <x:c r="R315" s="14" t="str">
        <x:v>high</x:v>
      </x:c>
      <x:c r="S315" s="14" t="str">
        <x:v>official_prozorro_award_2025_2026</x:v>
      </x:c>
      <x:c r="T315" s="14" t="str">
        <x:v>official_prozorro_api</x:v>
      </x:c>
      <x:c r="U315" s="14" t="str">
        <x:v>Не контактували</x:v>
      </x:c>
      <x:c r="V315" s="15" t="str">
        <x:v>Повторне звернення з новим тендерним сигналом UA-2025-10-15-014778-a; попросити 1 пакет здачі</x:v>
      </x:c>
      <x:c r="W315" s="15" t="str">
        <x:v>Власник / директор; керівник ПТО; відповідальний за договори</x:v>
      </x:c>
      <x:c r="X315" s="15" t="str">
        <x:v>1 підтверджених перемог/договорів у Prozorro на 31 769 069 грн; 1 проєктів зі строком виконання не раніше 24.08.2026.</x:v>
      </x:c>
      <x:c r="Y315" s="15" t="str">
        <x:v>Реконструкція будівлі котло-турбінної **** комунального підприємства «Харківські теплові мережі» після ракетного обстрілу (інв. № 010088) за адресою: м. Харків, вул. ********** (код ДК 021:2015 – 45453000-4 "Реконструкція"). ; строк до 2026-10-31. Попросити один знеособлений пакет здачі за цим workflow.</x:v>
      </x:c>
      <x:c r="Z315" s="15" t="str">
        <x:v>https://prozorro.gov.ua/tender/UA-2026-08-12-009355-a</x:v>
      </x:c>
      <x:c r="AA315" s="14" t="str">
        <x:v>38158090</x:v>
      </x:c>
      <x:c r="AB315" s="14" t="str">
        <x:v>2026-08-24</x:v>
      </x:c>
      <x:c r="AC315" s="14" t="str"/>
      <x:c r="AD315" s="20" t="str"/>
      <x:c r="AE315" s="14" t="str"/>
      <x:c r="AF315" s="14" t="n">
        <x:v>68</x:v>
      </x:c>
      <x:c r="AG315" s="14" t="str">
        <x:v>I2</x:v>
      </x:c>
      <x:c r="AH315" s="14" t="n">
        <x:v>3</x:v>
      </x:c>
      <x:c r="AI315" s="14" t="n">
        <x:v>1</x:v>
      </x:c>
      <x:c r="AJ315" s="18" t="n">
        <x:v>94731410.63</x:v>
      </x:c>
      <x:c r="AK315" s="14" t="str">
        <x:v>https://prozorro.gov.ua/tender/UA-2025-10-15-014778-a</x:v>
      </x:c>
      <x:c r="AL315" s="19" t="n">
        <x:v>45964.61639196759</x:v>
      </x:c>
      <x:c r="AM315" s="19" t="n">
        <x:v>46142.87498842592</x:v>
      </x:c>
      <x:c r="AN315" s="15" t="str">
        <x:v>Теплові мережі; Водоочищення / очисні споруди</x:v>
      </x:c>
      <x:c r="AO315" s="15" t="str">
        <x:v>not_found_in_top_search</x:v>
      </x:c>
    </x:row>
    <x:row r="316">
      <x:c r="A316" s="14" t="str">
        <x:v>W3-044</x:v>
      </x:c>
      <x:c r="B316" s="14" t="str">
        <x:v>Prozorro winners — 24.08</x:v>
      </x:c>
      <x:c r="C316" s="14" t="str">
        <x:v>ТОВ "ВАЛЕОБУД"</x:v>
      </x:c>
      <x:c r="D316" s="14" t="str">
        <x:v>Зовнішні мережі</x:v>
      </x:c>
      <x:c r="E316" s="14" t="str">
        <x:v>Expansion discovery</x:v>
      </x:c>
      <x:c r="F316" s="17" t="str">
        <x:v>D2</x:v>
      </x:c>
      <x:c r="G316" s="14" t="str"/>
      <x:c r="H316" s="14" t="str">
        <x:v>Discovery розширення — 2 тижні</x:v>
      </x:c>
      <x:c r="I316" s="16" t="n">
        <x:v>1</x:v>
      </x:c>
      <x:c r="J316" s="16" t="n">
        <x:v>5</x:v>
      </x:c>
      <x:c r="K316" s="16" t="n">
        <x:v>4</x:v>
      </x:c>
      <x:c r="L316" s="16" t="n">
        <x:v>5</x:v>
      </x:c>
      <x:c r="M316" s="16" t="n">
        <x:v>5</x:v>
      </x:c>
      <x:c r="N316" s="16" t="n">
        <x:v>5</x:v>
      </x:c>
      <x:c r="O316" s="16" t="n">
        <x:v>5</x:v>
      </x:c>
      <x:c r="P316" s="16" t="n">
        <x:f>IF(COUNT(I316:O316)&lt;7,"",I316*8+J316*3+K316*2+L316*2+M316*2+N316*2+O316)</x:f>
        <x:v>66</x:v>
      </x:c>
      <x:c r="Q316" s="16" t="n">
        <x:f>IF(COUNT(J316:O316)&lt;6,"",J316*5+K316*4+M316*4+L316*3+N316*2+O316*2)</x:f>
        <x:v>96</x:v>
      </x:c>
      <x:c r="R316" s="14" t="str">
        <x:v>high</x:v>
      </x:c>
      <x:c r="S316" s="14" t="str">
        <x:v>official_prozorro_award_2025_2026</x:v>
      </x:c>
      <x:c r="T316" s="14" t="str">
        <x:v>official_prozorro_api</x:v>
      </x:c>
      <x:c r="U316" s="14" t="str">
        <x:v>Не контактували</x:v>
      </x:c>
      <x:c r="V316" s="15" t="str">
        <x:v>Workflow-audit outreach по UA-2026-07-07-006705-a; попросити 1 пакет здачі та вимоги проєкту</x:v>
      </x:c>
      <x:c r="W316" s="15" t="str">
        <x:v>Власник / директор; керівник ПТО; відповідальний за договори</x:v>
      </x:c>
      <x:c r="X316" s="15" t="str">
        <x:v>1 підтверджених перемог/договорів у Prozorro на 30 262 321 грн; 1 проєктів зі строком виконання не раніше 24.08.2026.</x:v>
      </x:c>
      <x:c r="Y316"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 строк до 2026-12-31. Попросити один знеособлений пакет здачі за цим workflow.</x:v>
      </x:c>
      <x:c r="Z316" s="15" t="str">
        <x:v>https://prozorro.gov.ua/tender/UA-2026-07-07-006705-a</x:v>
      </x:c>
      <x:c r="AA316" s="14" t="str">
        <x:v>42591801</x:v>
      </x:c>
      <x:c r="AB316" s="14" t="str">
        <x:v>2026-08-24</x:v>
      </x:c>
      <x:c r="AC316" s="14" t="str"/>
      <x:c r="AD316" s="20" t="str"/>
      <x:c r="AE316" s="14" t="str"/>
      <x:c r="AF316" s="14" t="n">
        <x:v>68</x:v>
      </x:c>
      <x:c r="AG316" s="14" t="str">
        <x:v>I2</x:v>
      </x:c>
      <x:c r="AH316" s="14" t="n">
        <x:v>1</x:v>
      </x:c>
      <x:c r="AI316" s="14" t="n">
        <x:v>1</x:v>
      </x:c>
      <x:c r="AJ316" s="18" t="n">
        <x:v>30262320.8</x:v>
      </x:c>
      <x:c r="AK316" s="14" t="str">
        <x:v>https://prozorro.gov.ua/tender/UA-2026-07-07-006705-a</x:v>
      </x:c>
      <x:c r="AL316" s="19" t="n">
        <x:v>46225.34587831019</x:v>
      </x:c>
      <x:c r="AM316" s="19" t="n">
        <x:v>46387</x:v>
      </x:c>
      <x:c r="AN316" s="15" t="str">
        <x:v>Зовнішні мережі</x:v>
      </x:c>
      <x:c r="AO316" s="15" t="str">
        <x:v>not_found_in_top_search</x:v>
      </x:c>
    </x:row>
    <x:row r="317">
      <x:c r="A317" s="14" t="str">
        <x:v>W3-045</x:v>
      </x:c>
      <x:c r="B317" s="14" t="str">
        <x:v>Prozorro winners — 24.08</x:v>
      </x:c>
      <x:c r="C317" s="14" t="str">
        <x:v>ТОВАРИСТВО З ОБМЕЖЕНОЮ ВІДПОВІДАЛЬНІСТЮ "ДВА Т ГРУП"</x:v>
      </x:c>
      <x:c r="D317" s="14" t="str">
        <x:v>Зовнішні мережі</x:v>
      </x:c>
      <x:c r="E317" s="14" t="str">
        <x:v>Expansion discovery</x:v>
      </x:c>
      <x:c r="F317" s="17" t="str">
        <x:v>D2</x:v>
      </x:c>
      <x:c r="G317" s="14" t="str"/>
      <x:c r="H317" s="14" t="str">
        <x:v>Discovery розширення — 2 тижні</x:v>
      </x:c>
      <x:c r="I317" s="16" t="n">
        <x:v>1</x:v>
      </x:c>
      <x:c r="J317" s="16" t="n">
        <x:v>5</x:v>
      </x:c>
      <x:c r="K317" s="16" t="n">
        <x:v>4</x:v>
      </x:c>
      <x:c r="L317" s="16" t="n">
        <x:v>5</x:v>
      </x:c>
      <x:c r="M317" s="16" t="n">
        <x:v>5</x:v>
      </x:c>
      <x:c r="N317" s="16" t="n">
        <x:v>5</x:v>
      </x:c>
      <x:c r="O317" s="16" t="n">
        <x:v>5</x:v>
      </x:c>
      <x:c r="P317" s="16" t="n">
        <x:f>IF(COUNT(I317:O317)&lt;7,"",I317*8+J317*3+K317*2+L317*2+M317*2+N317*2+O317)</x:f>
        <x:v>66</x:v>
      </x:c>
      <x:c r="Q317" s="16" t="n">
        <x:f>IF(COUNT(J317:O317)&lt;6,"",J317*5+K317*4+M317*4+L317*3+N317*2+O317*2)</x:f>
        <x:v>96</x:v>
      </x:c>
      <x:c r="R317" s="14" t="str">
        <x:v>high</x:v>
      </x:c>
      <x:c r="S317" s="14" t="str">
        <x:v>official_prozorro_award_2025_2026</x:v>
      </x:c>
      <x:c r="T317" s="14" t="str">
        <x:v>official_prozorro_api</x:v>
      </x:c>
      <x:c r="U317" s="14" t="str">
        <x:v>Не контактували</x:v>
      </x:c>
      <x:c r="V317" s="15" t="str">
        <x:v>Workflow-audit outreach по UA-2026-06-30-003598-a; попросити 1 пакет здачі та вимоги проєкту</x:v>
      </x:c>
      <x:c r="W317" s="15" t="str">
        <x:v>Власник / директор; керівник ПТО; відповідальний за договори</x:v>
      </x:c>
      <x:c r="X317" s="15" t="str">
        <x:v>1 підтверджених перемог/договорів у Prozorro на 26 495 194 грн; 1 проєктів зі строком виконання не раніше 24.08.2026.</x:v>
      </x:c>
      <x:c r="Y317" s="15" t="str">
        <x:v>Виконання будівельних робіт по об’єкту: «Нове будівництво зовнішніх інженерних мереж водовідведення, військове містечко № 20, с. Немирів, Львівська обл.» ; строк до 2027-02-16. Попросити один знеособлений пакет здачі за цим workflow.</x:v>
      </x:c>
      <x:c r="Z317" s="15" t="str">
        <x:v>https://prozorro.gov.ua/tender/UA-2026-06-30-003598-a</x:v>
      </x:c>
      <x:c r="AA317" s="14" t="str">
        <x:v>43280292</x:v>
      </x:c>
      <x:c r="AB317" s="14" t="str">
        <x:v>2026-08-24</x:v>
      </x:c>
      <x:c r="AC317" s="14" t="str"/>
      <x:c r="AD317" s="20" t="str"/>
      <x:c r="AE317" s="14" t="str"/>
      <x:c r="AF317" s="14" t="n">
        <x:v>68</x:v>
      </x:c>
      <x:c r="AG317" s="14" t="str">
        <x:v>I2</x:v>
      </x:c>
      <x:c r="AH317" s="14" t="n">
        <x:v>1</x:v>
      </x:c>
      <x:c r="AI317" s="14" t="n">
        <x:v>1</x:v>
      </x:c>
      <x:c r="AJ317" s="18" t="n">
        <x:v>26495193.6</x:v>
      </x:c>
      <x:c r="AK317" s="14" t="str">
        <x:v>https://prozorro.gov.ua/tender/UA-2026-06-30-003598-a</x:v>
      </x:c>
      <x:c r="AL317" s="19" t="n">
        <x:v>46216.38532724537</x:v>
      </x:c>
      <x:c r="AM317" s="19" t="n">
        <x:v>46434</x:v>
      </x:c>
      <x:c r="AN317" s="15" t="str">
        <x:v>Зовнішні мережі</x:v>
      </x:c>
      <x:c r="AO317" s="15" t="str">
        <x:v>not_found_in_top_search</x:v>
      </x:c>
    </x:row>
    <x:row r="318">
      <x:c r="A318" s="14" t="str">
        <x:v>W3-046</x:v>
      </x:c>
      <x:c r="B318" s="14" t="str">
        <x:v>Prozorro winners — 24.08</x:v>
      </x:c>
      <x:c r="C318" s="14" t="str">
        <x:v>ТОВ Брот</x:v>
      </x:c>
      <x:c r="D318" s="14" t="str">
        <x:v>Зовнішні мережі</x:v>
      </x:c>
      <x:c r="E318" s="14" t="str">
        <x:v>Expansion discovery</x:v>
      </x:c>
      <x:c r="F318" s="17" t="str">
        <x:v>D2</x:v>
      </x:c>
      <x:c r="G318" s="14" t="str"/>
      <x:c r="H318" s="14" t="str">
        <x:v>Discovery розширення — 2 тижні</x:v>
      </x:c>
      <x:c r="I318" s="16" t="n">
        <x:v>1</x:v>
      </x:c>
      <x:c r="J318" s="16" t="n">
        <x:v>5</x:v>
      </x:c>
      <x:c r="K318" s="16" t="n">
        <x:v>4</x:v>
      </x:c>
      <x:c r="L318" s="16" t="n">
        <x:v>5</x:v>
      </x:c>
      <x:c r="M318" s="16" t="n">
        <x:v>5</x:v>
      </x:c>
      <x:c r="N318" s="16" t="n">
        <x:v>5</x:v>
      </x:c>
      <x:c r="O318" s="16" t="n">
        <x:v>5</x:v>
      </x:c>
      <x:c r="P318" s="16" t="n">
        <x:f>IF(COUNT(I318:O318)&lt;7,"",I318*8+J318*3+K318*2+L318*2+M318*2+N318*2+O318)</x:f>
        <x:v>66</x:v>
      </x:c>
      <x:c r="Q318" s="16" t="n">
        <x:f>IF(COUNT(J318:O318)&lt;6,"",J318*5+K318*4+M318*4+L318*3+N318*2+O318*2)</x:f>
        <x:v>96</x:v>
      </x:c>
      <x:c r="R318" s="14" t="str">
        <x:v>high</x:v>
      </x:c>
      <x:c r="S318" s="14" t="str">
        <x:v>official_prozorro_award_2025_2026</x:v>
      </x:c>
      <x:c r="T318" s="14" t="str">
        <x:v>official_prozorro_api</x:v>
      </x:c>
      <x:c r="U318" s="14" t="str">
        <x:v>Не контактували</x:v>
      </x:c>
      <x:c r="V318" s="15" t="str">
        <x:v>Workflow-audit outreach по UA-2026-07-01-008648-a; попросити 1 пакет здачі та вимоги проєкту</x:v>
      </x:c>
      <x:c r="W318" s="15" t="str">
        <x:v>Власник / директор; керівник ПТО; відповідальний за договори</x:v>
      </x:c>
      <x:c r="X318" s="15" t="str">
        <x:v>1 підтверджених перемог/договорів у Prozorro на 14 307 849 грн; 1 проєктів зі строком виконання не раніше 24.08.2026.</x:v>
      </x:c>
      <x:c r="Y318" s="15" t="str">
        <x:v>Нове будівництво котельні та зовнішніх інженерних мереж для дитячого садка в мікрорайоні «Каскад» у м. Івано-Франківську; строк до 2026-12-31. Попросити один знеособлений пакет здачі за цим workflow.</x:v>
      </x:c>
      <x:c r="Z318" s="15" t="str">
        <x:v>https://prozorro.gov.ua/tender/UA-2026-07-01-008648-a</x:v>
      </x:c>
      <x:c r="AA318" s="14" t="str">
        <x:v>38712319</x:v>
      </x:c>
      <x:c r="AB318" s="14" t="str">
        <x:v>2026-08-24</x:v>
      </x:c>
      <x:c r="AC318" s="14" t="str"/>
      <x:c r="AD318" s="20" t="str"/>
      <x:c r="AE318" s="14" t="str"/>
      <x:c r="AF318" s="14" t="n">
        <x:v>68</x:v>
      </x:c>
      <x:c r="AG318" s="14" t="str">
        <x:v>I2</x:v>
      </x:c>
      <x:c r="AH318" s="14" t="n">
        <x:v>1</x:v>
      </x:c>
      <x:c r="AI318" s="14" t="n">
        <x:v>1</x:v>
      </x:c>
      <x:c r="AJ318" s="18" t="n">
        <x:v>14307849</x:v>
      </x:c>
      <x:c r="AK318" s="14" t="str">
        <x:v>https://prozorro.gov.ua/tender/UA-2026-07-01-008648-a</x:v>
      </x:c>
      <x:c r="AL318" s="19" t="n">
        <x:v>46230.5999233912</x:v>
      </x:c>
      <x:c r="AM318" s="19" t="n">
        <x:v>46387</x:v>
      </x:c>
      <x:c r="AN318" s="15" t="str">
        <x:v>Зовнішні мережі</x:v>
      </x:c>
      <x:c r="AO318" s="15" t="str">
        <x:v>not_found_in_top_search</x:v>
      </x:c>
    </x:row>
    <x:row r="319">
      <x:c r="A319" s="14" t="str">
        <x:v>W3-047</x:v>
      </x:c>
      <x:c r="B319" s="14" t="str">
        <x:v>Prozorro winners — 24.08</x:v>
      </x:c>
      <x:c r="C319" s="14" t="str">
        <x:v>Товариство з обмеженою відповідальністю "Еверест-С"</x:v>
      </x:c>
      <x:c r="D319" s="14" t="str">
        <x:v>Насосні станції</x:v>
      </x:c>
      <x:c r="E319" s="14" t="str">
        <x:v>Expansion discovery</x:v>
      </x:c>
      <x:c r="F319" s="17" t="str">
        <x:v>D2</x:v>
      </x:c>
      <x:c r="G319" s="14" t="str">
        <x:v>everest-s.uaprom.net</x:v>
      </x:c>
      <x:c r="H319" s="14" t="str">
        <x:v>Discovery розширення — 2 тижні</x:v>
      </x:c>
      <x:c r="I319" s="16" t="n">
        <x:v>1</x:v>
      </x:c>
      <x:c r="J319" s="16" t="n">
        <x:v>5</x:v>
      </x:c>
      <x:c r="K319" s="16" t="n">
        <x:v>4</x:v>
      </x:c>
      <x:c r="L319" s="16" t="n">
        <x:v>5</x:v>
      </x:c>
      <x:c r="M319" s="16" t="n">
        <x:v>5</x:v>
      </x:c>
      <x:c r="N319" s="16" t="n">
        <x:v>5</x:v>
      </x:c>
      <x:c r="O319" s="16" t="n">
        <x:v>5</x:v>
      </x:c>
      <x:c r="P319" s="16" t="n">
        <x:f>IF(COUNT(I319:O319)&lt;7,"",I319*8+J319*3+K319*2+L319*2+M319*2+N319*2+O319)</x:f>
        <x:v>66</x:v>
      </x:c>
      <x:c r="Q319" s="16" t="n">
        <x:f>IF(COUNT(J319:O319)&lt;6,"",J319*5+K319*4+M319*4+L319*3+N319*2+O319*2)</x:f>
        <x:v>96</x:v>
      </x:c>
      <x:c r="R319" s="14" t="str">
        <x:v>high</x:v>
      </x:c>
      <x:c r="S319" s="14" t="str">
        <x:v>official_prozorro_award_2025_2026</x:v>
      </x:c>
      <x:c r="T319" s="14" t="str">
        <x:v>official_prozorro_api</x:v>
      </x:c>
      <x:c r="U319" s="14" t="str">
        <x:v>Не контактували</x:v>
      </x:c>
      <x:c r="V319" s="15" t="str">
        <x:v>Workflow-audit outreach по UA-2026-06-26-010661-a; попросити 1 пакет здачі та вимоги проєкту</x:v>
      </x:c>
      <x:c r="W319" s="15" t="str">
        <x:v>Власник / директор; керівник ПТО; відповідальний за договори</x:v>
      </x:c>
      <x:c r="X319" s="15" t="str">
        <x:v>1 підтверджених перемог/договорів у Prozorro на 12 049 878 грн; 1 проєктів зі строком виконання не раніше 24.08.2026.</x:v>
      </x:c>
      <x:c r="Y319"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 строк до 2026-11-30. Попросити один знеособлений пакет здачі за цим workflow.</x:v>
      </x:c>
      <x:c r="Z319" s="15" t="str">
        <x:v>https://prozorro.gov.ua/tender/UA-2026-06-26-010661-a</x:v>
      </x:c>
      <x:c r="AA319" s="14" t="str">
        <x:v>33526166</x:v>
      </x:c>
      <x:c r="AB319" s="14" t="str">
        <x:v>2026-08-24</x:v>
      </x:c>
      <x:c r="AC319" s="14" t="str"/>
      <x:c r="AD319" s="20" t="str"/>
      <x:c r="AE319" s="14" t="str"/>
      <x:c r="AF319" s="14" t="n">
        <x:v>68</x:v>
      </x:c>
      <x:c r="AG319" s="14" t="str">
        <x:v>I2</x:v>
      </x:c>
      <x:c r="AH319" s="14" t="n">
        <x:v>1</x:v>
      </x:c>
      <x:c r="AI319" s="14" t="n">
        <x:v>1</x:v>
      </x:c>
      <x:c r="AJ319" s="18" t="n">
        <x:v>12049878</x:v>
      </x:c>
      <x:c r="AK319" s="14" t="str">
        <x:v>https://prozorro.gov.ua/tender/UA-2026-06-26-010661-a</x:v>
      </x:c>
      <x:c r="AL319" s="19" t="n">
        <x:v>46217.39329100694</x:v>
      </x:c>
      <x:c r="AM319" s="19" t="n">
        <x:v>46356.60386574074</x:v>
      </x:c>
      <x:c r="AN319" s="15" t="str">
        <x:v>Насосні станції</x:v>
      </x:c>
      <x:c r="AO319" s="15" t="str">
        <x:v>supplier_provided_url</x:v>
      </x:c>
    </x:row>
    <x:row r="320">
      <x:c r="A320" s="14" t="str">
        <x:v>W3-048</x:v>
      </x:c>
      <x:c r="B320" s="14" t="str">
        <x:v>Prozorro winners — 24.08</x:v>
      </x:c>
      <x:c r="C320" s="14" t="str">
        <x:v>ТОВ "ЮІСіЕй"</x:v>
      </x:c>
      <x:c r="D320" s="14" t="str">
        <x:v>Насосні станції</x:v>
      </x:c>
      <x:c r="E320" s="14" t="str">
        <x:v>Expansion discovery</x:v>
      </x:c>
      <x:c r="F320" s="17" t="str">
        <x:v>D2</x:v>
      </x:c>
      <x:c r="G320" s="14" t="str"/>
      <x:c r="H320" s="14" t="str">
        <x:v>Discovery розширення — 2 тижні</x:v>
      </x:c>
      <x:c r="I320" s="16" t="n">
        <x:v>1</x:v>
      </x:c>
      <x:c r="J320" s="16" t="n">
        <x:v>5</x:v>
      </x:c>
      <x:c r="K320" s="16" t="n">
        <x:v>4</x:v>
      </x:c>
      <x:c r="L320" s="16" t="n">
        <x:v>5</x:v>
      </x:c>
      <x:c r="M320" s="16" t="n">
        <x:v>5</x:v>
      </x:c>
      <x:c r="N320" s="16" t="n">
        <x:v>5</x:v>
      </x:c>
      <x:c r="O320" s="16" t="n">
        <x:v>5</x:v>
      </x:c>
      <x:c r="P320" s="16" t="n">
        <x:f>IF(COUNT(I320:O320)&lt;7,"",I320*8+J320*3+K320*2+L320*2+M320*2+N320*2+O320)</x:f>
        <x:v>66</x:v>
      </x:c>
      <x:c r="Q320" s="16" t="n">
        <x:f>IF(COUNT(J320:O320)&lt;6,"",J320*5+K320*4+M320*4+L320*3+N320*2+O320*2)</x:f>
        <x:v>96</x:v>
      </x:c>
      <x:c r="R320" s="14" t="str">
        <x:v>high</x:v>
      </x:c>
      <x:c r="S320" s="14" t="str">
        <x:v>official_prozorro_award_2025_2026</x:v>
      </x:c>
      <x:c r="T320" s="14" t="str">
        <x:v>official_prozorro_api</x:v>
      </x:c>
      <x:c r="U320" s="14" t="str">
        <x:v>Не контактували</x:v>
      </x:c>
      <x:c r="V320" s="15" t="str">
        <x:v>Повторне звернення з новим тендерним сигналом UA-2026-05-20-006751-a; попросити 1 пакет здачі</x:v>
      </x:c>
      <x:c r="W320" s="15" t="str">
        <x:v>Власник / директор; керівник ПТО; відповідальний за договори</x:v>
      </x:c>
      <x:c r="X320" s="15" t="str">
        <x:v>1 підтверджених перемог/договорів у Prozorro на 11 184 066 грн; 1 проєктів зі строком виконання не раніше 24.08.2026.</x:v>
      </x:c>
      <x:c r="Y320" s="15" t="str">
        <x:v>Виконання проектно - вишукувальних робіт по об'єкту: "Реконструкція каналізаційної насосної станції №1 в частині влаштування інженерного захисту технологічного обладнання" (ДК 021:2015: 71250000-5 - Архітектурні, інженерні та геодезичні послуги); строк до 2026-12-15. Попросити один знеособлений пакет здачі за цим workflow.</x:v>
      </x:c>
      <x:c r="Z320" s="15" t="str">
        <x:v>https://prozorro.gov.ua/tender/UA-2026-08-18-010447-a</x:v>
      </x:c>
      <x:c r="AA320" s="14" t="str">
        <x:v>37139449</x:v>
      </x:c>
      <x:c r="AB320" s="14" t="str">
        <x:v>2026-08-24</x:v>
      </x:c>
      <x:c r="AC320" s="14" t="str"/>
      <x:c r="AD320" s="20" t="str"/>
      <x:c r="AE320" s="14" t="str"/>
      <x:c r="AF320" s="14" t="n">
        <x:v>68</x:v>
      </x:c>
      <x:c r="AG320" s="14" t="str">
        <x:v>I2</x:v>
      </x:c>
      <x:c r="AH320" s="14" t="n">
        <x:v>2</x:v>
      </x:c>
      <x:c r="AI320" s="14" t="n">
        <x:v>2</x:v>
      </x:c>
      <x:c r="AJ320" s="18" t="n">
        <x:v>90044977.97999999</x:v>
      </x:c>
      <x:c r="AK320" s="14" t="str">
        <x:v>https://prozorro.gov.ua/tender/UA-2026-05-20-006751-a</x:v>
      </x:c>
      <x:c r="AL320" s="19" t="n">
        <x:v>46162.418928796294</x:v>
      </x:c>
      <x:c r="AM320" s="19" t="n">
        <x:v>46752.46193287037</x:v>
      </x:c>
      <x:c r="AN320" s="15" t="str">
        <x:v>Насосні станції; Підстанції / силові мережі</x:v>
      </x:c>
      <x:c r="AO320" s="15" t="str">
        <x:v>not_found_in_top_search</x:v>
      </x:c>
    </x:row>
    <x:row r="321">
      <x:c r="A321" s="14" t="str">
        <x:v>W3-049</x:v>
      </x:c>
      <x:c r="B321" s="14" t="str">
        <x:v>Prozorro winners — 24.08</x:v>
      </x:c>
      <x:c r="C321" s="14" t="str">
        <x:v>ТОВ "ОДЕСАГРОГАЗ"</x:v>
      </x:c>
      <x:c r="D321" s="14" t="str">
        <x:v>Теплові мережі</x:v>
      </x:c>
      <x:c r="E321" s="14" t="str">
        <x:v>Expansion discovery</x:v>
      </x:c>
      <x:c r="F321" s="17" t="str">
        <x:v>D2</x:v>
      </x:c>
      <x:c r="G321" s="14" t="str"/>
      <x:c r="H321" s="14" t="str">
        <x:v>Discovery розширення — 2 тижні</x:v>
      </x:c>
      <x:c r="I321" s="16" t="n">
        <x:v>1</x:v>
      </x:c>
      <x:c r="J321" s="16" t="n">
        <x:v>5</x:v>
      </x:c>
      <x:c r="K321" s="16" t="n">
        <x:v>4</x:v>
      </x:c>
      <x:c r="L321" s="16" t="n">
        <x:v>5</x:v>
      </x:c>
      <x:c r="M321" s="16" t="n">
        <x:v>5</x:v>
      </x:c>
      <x:c r="N321" s="16" t="n">
        <x:v>5</x:v>
      </x:c>
      <x:c r="O321" s="16" t="n">
        <x:v>5</x:v>
      </x:c>
      <x:c r="P321" s="16" t="n">
        <x:f>IF(COUNT(I321:O321)&lt;7,"",I321*8+J321*3+K321*2+L321*2+M321*2+N321*2+O321)</x:f>
        <x:v>66</x:v>
      </x:c>
      <x:c r="Q321" s="16" t="n">
        <x:f>IF(COUNT(J321:O321)&lt;6,"",J321*5+K321*4+M321*4+L321*3+N321*2+O321*2)</x:f>
        <x:v>96</x:v>
      </x:c>
      <x:c r="R321" s="14" t="str">
        <x:v>high</x:v>
      </x:c>
      <x:c r="S321" s="14" t="str">
        <x:v>official_prozorro_award_2025_2026</x:v>
      </x:c>
      <x:c r="T321" s="14" t="str">
        <x:v>official_prozorro_api</x:v>
      </x:c>
      <x:c r="U321" s="14" t="str">
        <x:v>Не контактували</x:v>
      </x:c>
      <x:c r="V321" s="15" t="str">
        <x:v>Workflow-audit outreach по UA-2026-06-22-007158-a; попросити 1 пакет здачі та вимоги проєкту</x:v>
      </x:c>
      <x:c r="W321" s="15" t="str">
        <x:v>Власник / директор; керівник ПТО; відповідальний за договори</x:v>
      </x:c>
      <x:c r="X321" s="15" t="str">
        <x:v>1 підтверджених перемог/договорів у Prozorro на 10 977 744 грн; 1 проєктів зі строком виконання не раніше 24.08.2026.</x:v>
      </x:c>
      <x:c r="Y321"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 строк до 2026-10-31. Попросити один знеособлений пакет здачі за цим workflow.</x:v>
      </x:c>
      <x:c r="Z321" s="15" t="str">
        <x:v>https://prozorro.gov.ua/tender/UA-2026-06-22-007158-a</x:v>
      </x:c>
      <x:c r="AA321" s="14" t="str">
        <x:v>35205975</x:v>
      </x:c>
      <x:c r="AB321" s="14" t="str">
        <x:v>2026-08-24</x:v>
      </x:c>
      <x:c r="AC321" s="14" t="str"/>
      <x:c r="AD321" s="20" t="str"/>
      <x:c r="AE321" s="14" t="str"/>
      <x:c r="AF321" s="14" t="n">
        <x:v>68</x:v>
      </x:c>
      <x:c r="AG321" s="14" t="str">
        <x:v>I2</x:v>
      </x:c>
      <x:c r="AH321" s="14" t="n">
        <x:v>1</x:v>
      </x:c>
      <x:c r="AI321" s="14" t="n">
        <x:v>1</x:v>
      </x:c>
      <x:c r="AJ321" s="18" t="n">
        <x:v>10977744</x:v>
      </x:c>
      <x:c r="AK321" s="14" t="str">
        <x:v>https://prozorro.gov.ua/tender/UA-2026-06-22-007158-a</x:v>
      </x:c>
      <x:c r="AL321" s="19" t="n">
        <x:v>46216.2145549537</x:v>
      </x:c>
      <x:c r="AM321" s="19" t="n">
        <x:v>46326</x:v>
      </x:c>
      <x:c r="AN321" s="15" t="str">
        <x:v>Теплові мережі</x:v>
      </x:c>
      <x:c r="AO321" s="15" t="str">
        <x:v>not_found_in_top_search</x:v>
      </x:c>
    </x:row>
    <x:row r="322">
      <x:c r="A322" s="14" t="str">
        <x:v>W3-050</x:v>
      </x:c>
      <x:c r="B322" s="14" t="str">
        <x:v>Prozorro winners — 24.08</x:v>
      </x:c>
      <x:c r="C322" s="14" t="str">
        <x:v>ПП Полтава Будкомплекс</x:v>
      </x:c>
      <x:c r="D322" s="14" t="str">
        <x:v>Теплові мережі</x:v>
      </x:c>
      <x:c r="E322" s="14" t="str">
        <x:v>Expansion discovery</x:v>
      </x:c>
      <x:c r="F322" s="17" t="str">
        <x:v>D2</x:v>
      </x:c>
      <x:c r="G322" s="14" t="str"/>
      <x:c r="H322" s="14" t="str">
        <x:v>Discovery розширення — 2 тижні</x:v>
      </x:c>
      <x:c r="I322" s="16" t="n">
        <x:v>1</x:v>
      </x:c>
      <x:c r="J322" s="16" t="n">
        <x:v>5</x:v>
      </x:c>
      <x:c r="K322" s="16" t="n">
        <x:v>4</x:v>
      </x:c>
      <x:c r="L322" s="16" t="n">
        <x:v>5</x:v>
      </x:c>
      <x:c r="M322" s="16" t="n">
        <x:v>5</x:v>
      </x:c>
      <x:c r="N322" s="16" t="n">
        <x:v>5</x:v>
      </x:c>
      <x:c r="O322" s="16" t="n">
        <x:v>5</x:v>
      </x:c>
      <x:c r="P322" s="16" t="n">
        <x:f>IF(COUNT(I322:O322)&lt;7,"",I322*8+J322*3+K322*2+L322*2+M322*2+N322*2+O322)</x:f>
        <x:v>66</x:v>
      </x:c>
      <x:c r="Q322" s="16" t="n">
        <x:f>IF(COUNT(J322:O322)&lt;6,"",J322*5+K322*4+M322*4+L322*3+N322*2+O322*2)</x:f>
        <x:v>96</x:v>
      </x:c>
      <x:c r="R322" s="14" t="str">
        <x:v>high</x:v>
      </x:c>
      <x:c r="S322" s="14" t="str">
        <x:v>official_prozorro_award_2025_2026</x:v>
      </x:c>
      <x:c r="T322" s="14" t="str">
        <x:v>official_prozorro_api</x:v>
      </x:c>
      <x:c r="U322" s="14" t="str">
        <x:v>Не контактували</x:v>
      </x:c>
      <x:c r="V322" s="15" t="str">
        <x:v>Workflow-audit outreach по UA-2026-07-09-008782-a; попросити 1 пакет здачі та вимоги проєкту</x:v>
      </x:c>
      <x:c r="W322" s="15" t="str">
        <x:v>Власник / директор; керівник ПТО; відповідальний за договори</x:v>
      </x:c>
      <x:c r="X322" s="15" t="str">
        <x:v>1 підтверджених перемог/договорів у Prozorro на 10 943 185 грн; 1 проєктів зі строком виконання не раніше 24.08.2026.</x:v>
      </x:c>
      <x:c r="Y322"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 строк до 2026-11-01. Попросити один знеособлений пакет здачі за цим workflow.</x:v>
      </x:c>
      <x:c r="Z322" s="15" t="str">
        <x:v>https://prozorro.gov.ua/tender/UA-2026-07-09-008782-a</x:v>
      </x:c>
      <x:c r="AA322" s="14" t="str">
        <x:v>40154823</x:v>
      </x:c>
      <x:c r="AB322" s="14" t="str">
        <x:v>2026-08-24</x:v>
      </x:c>
      <x:c r="AC322" s="14" t="str"/>
      <x:c r="AD322" s="20" t="str"/>
      <x:c r="AE322" s="14" t="str"/>
      <x:c r="AF322" s="14" t="n">
        <x:v>68</x:v>
      </x:c>
      <x:c r="AG322" s="14" t="str">
        <x:v>I2</x:v>
      </x:c>
      <x:c r="AH322" s="14" t="n">
        <x:v>1</x:v>
      </x:c>
      <x:c r="AI322" s="14" t="n">
        <x:v>1</x:v>
      </x:c>
      <x:c r="AJ322" s="18" t="n">
        <x:v>10943185</x:v>
      </x:c>
      <x:c r="AK322" s="14" t="str">
        <x:v>https://prozorro.gov.ua/tender/UA-2026-07-09-008782-a</x:v>
      </x:c>
      <x:c r="AL322" s="19" t="n">
        <x:v>46231.50997222222</x:v>
      </x:c>
      <x:c r="AM322" s="19" t="n">
        <x:v>46327.56765046297</x:v>
      </x:c>
      <x:c r="AN322" s="15" t="str">
        <x:v>Теплові мережі</x:v>
      </x:c>
      <x:c r="AO322" s="15" t="str">
        <x:v>not_found_in_top_search</x:v>
      </x:c>
    </x:row>
    <x:row r="323">
      <x:c r="A323" s="14" t="str">
        <x:v>W3-051</x:v>
      </x:c>
      <x:c r="B323" s="14" t="str">
        <x:v>Prozorro winners — 24.08</x:v>
      </x:c>
      <x:c r="C323" s="14" t="str">
        <x:v>КОМУНАЛЬНЕ ПІДПРИЄМСТВО "ІРПІНЬЖИТЛОІНВЕСТБУД"</x:v>
      </x:c>
      <x:c r="D323" s="14" t="str">
        <x:v>ГНБ / безтраншейні роботи</x:v>
      </x:c>
      <x:c r="E323" s="14" t="str">
        <x:v>Expansion discovery</x:v>
      </x:c>
      <x:c r="F323" s="17" t="str">
        <x:v>D2</x:v>
      </x:c>
      <x:c r="G323" s="14" t="str"/>
      <x:c r="H323" s="14" t="str">
        <x:v>Discovery розширення — 2 тижні</x:v>
      </x:c>
      <x:c r="I323" s="16" t="n">
        <x:v>1</x:v>
      </x:c>
      <x:c r="J323" s="16" t="n">
        <x:v>5</x:v>
      </x:c>
      <x:c r="K323" s="16" t="n">
        <x:v>4</x:v>
      </x:c>
      <x:c r="L323" s="16" t="n">
        <x:v>2</x:v>
      </x:c>
      <x:c r="M323" s="16" t="n">
        <x:v>5</x:v>
      </x:c>
      <x:c r="N323" s="16" t="n">
        <x:v>5</x:v>
      </x:c>
      <x:c r="O323" s="16" t="n">
        <x:v>5</x:v>
      </x:c>
      <x:c r="P323" s="16" t="n">
        <x:f>IF(COUNT(I323:O323)&lt;7,"",I323*8+J323*3+K323*2+L323*2+M323*2+N323*2+O323)</x:f>
        <x:v>60</x:v>
      </x:c>
      <x:c r="Q323" s="16" t="n">
        <x:f>IF(COUNT(J323:O323)&lt;6,"",J323*5+K323*4+M323*4+L323*3+N323*2+O323*2)</x:f>
        <x:v>87</x:v>
      </x:c>
      <x:c r="R323" s="14" t="str">
        <x:v>high</x:v>
      </x:c>
      <x:c r="S323" s="14" t="str">
        <x:v>official_prozorro_award_2025_2026</x:v>
      </x:c>
      <x:c r="T323" s="14" t="str">
        <x:v>official_prozorro_api</x:v>
      </x:c>
      <x:c r="U323" s="14" t="str">
        <x:v>Не контактували</x:v>
      </x:c>
      <x:c r="V323" s="15" t="str">
        <x:v>Workflow-audit outreach по UA-2026-07-09-007496-a; попросити 1 пакет здачі та вимоги проєкту</x:v>
      </x:c>
      <x:c r="W323" s="15" t="str">
        <x:v>Власник / директор; керівник ПТО; відповідальний за договори</x:v>
      </x:c>
      <x:c r="X323" s="15" t="str">
        <x:v>3 підтверджених перемог/договорів у Prozorro на 296 466 грн; 2 проєктів зі строком виконання не раніше 24.08.2026.</x:v>
      </x:c>
      <x:c r="Y323" s="15" t="str">
        <x:v> Технічний нагляд  по об'єкту: "Реконструкція із заміною теплової мережі по вул.Привокзальна площа,5,м.Ірпінь" (частина робіт); строк до 2026-09-30. Попросити один знеособлений пакет здачі за цим workflow.</x:v>
      </x:c>
      <x:c r="Z323" s="15" t="str">
        <x:v>https://prozorro.gov.ua/tender/UA-2026-07-09-007496-a</x:v>
      </x:c>
      <x:c r="AA323" s="14" t="str">
        <x:v>35023634</x:v>
      </x:c>
      <x:c r="AB323" s="14" t="str">
        <x:v>2026-08-24</x:v>
      </x:c>
      <x:c r="AC323" s="14" t="str"/>
      <x:c r="AD323" s="20" t="str"/>
      <x:c r="AE323" s="14" t="str"/>
      <x:c r="AF323" s="14" t="n">
        <x:v>68</x:v>
      </x:c>
      <x:c r="AG323" s="14" t="str">
        <x:v>I2</x:v>
      </x:c>
      <x:c r="AH323" s="14" t="n">
        <x:v>3</x:v>
      </x:c>
      <x:c r="AI323" s="14" t="n">
        <x:v>2</x:v>
      </x:c>
      <x:c r="AJ323" s="18" t="n">
        <x:v>296465.88</x:v>
      </x:c>
      <x:c r="AK323" s="14" t="str">
        <x:v>https://prozorro.gov.ua/tender/UA-2026-07-09-007496-a</x:v>
      </x:c>
      <x:c r="AL323" s="19" t="n">
        <x:v>46212.49047722222</x:v>
      </x:c>
      <x:c r="AM323" s="19" t="n">
        <x:v>46295</x:v>
      </x:c>
      <x:c r="AN323" s="15" t="str">
        <x:v>ГНБ / безтраншейні роботи; Теплові мережі</x:v>
      </x:c>
      <x:c r="AO323" s="15" t="str">
        <x:v>not_found_in_top_search</x:v>
      </x:c>
    </x:row>
    <x:row r="324">
      <x:c r="A324" s="14" t="str">
        <x:v>W3-052</x:v>
      </x:c>
      <x:c r="B324" s="14" t="str">
        <x:v>Prozorro winners — 24.08</x:v>
      </x:c>
      <x:c r="C324" s="14" t="str">
        <x:v>ТОВ "Техенергохім"</x:v>
      </x:c>
      <x:c r="D324" s="14" t="str">
        <x:v>Водоочищення / очисні споруди</x:v>
      </x:c>
      <x:c r="E324" s="14" t="str">
        <x:v>Expansion discovery</x:v>
      </x:c>
      <x:c r="F324" s="17" t="str">
        <x:v>D2</x:v>
      </x:c>
      <x:c r="G324" s="14" t="str">
        <x:v>techenergochim.com</x:v>
      </x:c>
      <x:c r="H324" s="14" t="str">
        <x:v>Discovery розширення — 2 тижні</x:v>
      </x:c>
      <x:c r="I324" s="16" t="n">
        <x:v>1</x:v>
      </x:c>
      <x:c r="J324" s="16" t="n">
        <x:v>5</x:v>
      </x:c>
      <x:c r="K324" s="16" t="n">
        <x:v>4</x:v>
      </x:c>
      <x:c r="L324" s="16" t="n">
        <x:v>3</x:v>
      </x:c>
      <x:c r="M324" s="16" t="n">
        <x:v>5</x:v>
      </x:c>
      <x:c r="N324" s="16" t="n">
        <x:v>5</x:v>
      </x:c>
      <x:c r="O324" s="16" t="n">
        <x:v>5</x:v>
      </x:c>
      <x:c r="P324" s="16" t="n">
        <x:f>IF(COUNT(I324:O324)&lt;7,"",I324*8+J324*3+K324*2+L324*2+M324*2+N324*2+O324)</x:f>
        <x:v>62</x:v>
      </x:c>
      <x:c r="Q324" s="16" t="n">
        <x:f>IF(COUNT(J324:O324)&lt;6,"",J324*5+K324*4+M324*4+L324*3+N324*2+O324*2)</x:f>
        <x:v>90</x:v>
      </x:c>
      <x:c r="R324" s="14" t="str">
        <x:v>high</x:v>
      </x:c>
      <x:c r="S324" s="14" t="str">
        <x:v>official_prozorro_award_2025_2026</x:v>
      </x:c>
      <x:c r="T324" s="14" t="str">
        <x:v>official_prozorro_api</x:v>
      </x:c>
      <x:c r="U324" s="14" t="str">
        <x:v>Не контактували</x:v>
      </x:c>
      <x:c r="V324" s="15" t="str">
        <x:v>Workflow-audit outreach по UA-2026-05-21-003112-a; попросити 1 пакет здачі та вимоги проєкту</x:v>
      </x:c>
      <x:c r="W324" s="15" t="str">
        <x:v>Власник / директор; керівник ПТО; відповідальний за договори</x:v>
      </x:c>
      <x:c r="X324" s="15" t="str">
        <x:v>2 підтверджених перемог/договорів у Prozorro на 1 865 665 грн; 2 проєктів зі строком виконання не раніше 24.08.2026.</x:v>
      </x:c>
      <x:c r="Y324"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 строк до 2027-02-01. Попросити один знеособлений пакет здачі за цим workflow.</x:v>
      </x:c>
      <x:c r="Z324" s="15" t="str">
        <x:v>https://prozorro.gov.ua/tender/UA-2026-05-21-003112-a</x:v>
      </x:c>
      <x:c r="AA324" s="14" t="str">
        <x:v>22161169</x:v>
      </x:c>
      <x:c r="AB324" s="14" t="str">
        <x:v>2026-08-24</x:v>
      </x:c>
      <x:c r="AC324" s="14" t="str"/>
      <x:c r="AD324" s="20" t="str"/>
      <x:c r="AE324" s="14" t="str"/>
      <x:c r="AF324" s="14" t="n">
        <x:v>67</x:v>
      </x:c>
      <x:c r="AG324" s="14" t="str">
        <x:v>I2</x:v>
      </x:c>
      <x:c r="AH324" s="14" t="n">
        <x:v>2</x:v>
      </x:c>
      <x:c r="AI324" s="14" t="n">
        <x:v>2</x:v>
      </x:c>
      <x:c r="AJ324" s="18" t="n">
        <x:v>1865665</x:v>
      </x:c>
      <x:c r="AK324" s="14" t="str">
        <x:v>https://prozorro.gov.ua/tender/UA-2026-05-21-003112-a</x:v>
      </x:c>
      <x:c r="AL324" s="19" t="n">
        <x:v>46182.49519430556</x:v>
      </x:c>
      <x:c r="AM324" s="19" t="n">
        <x:v>46419</x:v>
      </x:c>
      <x:c r="AN324" s="15" t="str">
        <x:v>Водоочищення / очисні споруди; Насосні станції</x:v>
      </x:c>
      <x:c r="AO324" s="15" t="str">
        <x:v>supplier_provided_url</x:v>
      </x:c>
    </x:row>
    <x:row r="325">
      <x:c r="A325" s="14" t="str">
        <x:v>W3-053</x:v>
      </x:c>
      <x:c r="B325" s="14" t="str">
        <x:v>Prozorro winners — 24.08</x:v>
      </x:c>
      <x:c r="C325" s="14" t="str">
        <x:v>КАПАРНИК АНДРІЙ ІГОРОВИЧ</x:v>
      </x:c>
      <x:c r="D325" s="14" t="str">
        <x:v>Водоочищення / очисні споруди</x:v>
      </x:c>
      <x:c r="E325" s="14" t="str">
        <x:v>Expansion discovery</x:v>
      </x:c>
      <x:c r="F325" s="17" t="str">
        <x:v>D2</x:v>
      </x:c>
      <x:c r="G325" s="14" t="str"/>
      <x:c r="H325" s="14" t="str">
        <x:v>Discovery розширення — 2 тижні</x:v>
      </x:c>
      <x:c r="I325" s="16" t="n">
        <x:v>1</x:v>
      </x:c>
      <x:c r="J325" s="16" t="n">
        <x:v>5</x:v>
      </x:c>
      <x:c r="K325" s="16" t="n">
        <x:v>4</x:v>
      </x:c>
      <x:c r="L325" s="16" t="n">
        <x:v>3</x:v>
      </x:c>
      <x:c r="M325" s="16" t="n">
        <x:v>5</x:v>
      </x:c>
      <x:c r="N325" s="16" t="n">
        <x:v>3</x:v>
      </x:c>
      <x:c r="O325" s="16" t="n">
        <x:v>5</x:v>
      </x:c>
      <x:c r="P325" s="16" t="n">
        <x:f>IF(COUNT(I325:O325)&lt;7,"",I325*8+J325*3+K325*2+L325*2+M325*2+N325*2+O325)</x:f>
        <x:v>58</x:v>
      </x:c>
      <x:c r="Q325" s="16" t="n">
        <x:f>IF(COUNT(J325:O325)&lt;6,"",J325*5+K325*4+M325*4+L325*3+N325*2+O325*2)</x:f>
        <x:v>86</x:v>
      </x:c>
      <x:c r="R325" s="14" t="str">
        <x:v>high</x:v>
      </x:c>
      <x:c r="S325" s="14" t="str">
        <x:v>official_prozorro_award_2025_2026</x:v>
      </x:c>
      <x:c r="T325" s="14" t="str">
        <x:v>official_prozorro_api</x:v>
      </x:c>
      <x:c r="U325" s="14" t="str">
        <x:v>Не контактували</x:v>
      </x:c>
      <x:c r="V325" s="15" t="str">
        <x:v>Workflow-audit outreach по UA-2026-07-14-009316-a; попросити 1 пакет здачі та вимоги проєкту</x:v>
      </x:c>
      <x:c r="W325" s="15" t="str">
        <x:v>Власник / виконавець; відповідальний за договір</x:v>
      </x:c>
      <x:c r="X325" s="15" t="str">
        <x:v>2 підтверджених перемог/договорів у Prozorro на 1 480 097 грн; 2 проєктів зі строком виконання не раніше 24.08.2026.</x:v>
      </x:c>
      <x:c r="Y325"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 строк до 2026-12-31. Попросити один знеособлений пакет здачі за цим workflow.</x:v>
      </x:c>
      <x:c r="Z325" s="15" t="str">
        <x:v>https://prozorro.gov.ua/tender/UA-2026-07-14-009316-a</x:v>
      </x:c>
      <x:c r="AA325" s="14" t="str">
        <x:v>2257106876</x:v>
      </x:c>
      <x:c r="AB325" s="14" t="str">
        <x:v>2026-08-24</x:v>
      </x:c>
      <x:c r="AC325" s="14" t="str"/>
      <x:c r="AD325" s="20" t="str"/>
      <x:c r="AE325" s="14" t="str"/>
      <x:c r="AF325" s="14" t="n">
        <x:v>67</x:v>
      </x:c>
      <x:c r="AG325" s="14" t="str">
        <x:v>I2</x:v>
      </x:c>
      <x:c r="AH325" s="14" t="n">
        <x:v>2</x:v>
      </x:c>
      <x:c r="AI325" s="14" t="n">
        <x:v>2</x:v>
      </x:c>
      <x:c r="AJ325" s="18" t="n">
        <x:v>1480096.54</x:v>
      </x:c>
      <x:c r="AK325" s="14" t="str">
        <x:v>https://prozorro.gov.ua/tender/UA-2026-07-14-009316-a</x:v>
      </x:c>
      <x:c r="AL325" s="19" t="n">
        <x:v>46217.52279150463</x:v>
      </x:c>
      <x:c r="AM325" s="19" t="n">
        <x:v>46387</x:v>
      </x:c>
      <x:c r="AN325" s="15" t="str">
        <x:v>Водоочищення / очисні споруди</x:v>
      </x:c>
      <x:c r="AO325" s="15" t="str">
        <x:v>not_found_in_top_search</x:v>
      </x:c>
    </x:row>
    <x:row r="326">
      <x:c r="A326" s="14" t="str">
        <x:v>W3-054</x:v>
      </x:c>
      <x:c r="B326" s="14" t="str">
        <x:v>Prozorro winners — 24.08</x:v>
      </x:c>
      <x:c r="C326" s="14" t="str">
        <x:v>Фізична особа- підприємець Лукащук Роман Віталійович</x:v>
      </x:c>
      <x:c r="D326" s="14" t="str">
        <x:v>Сонячна енергетика</x:v>
      </x:c>
      <x:c r="E326" s="14" t="str">
        <x:v>Expansion discovery</x:v>
      </x:c>
      <x:c r="F326" s="17" t="str">
        <x:v>D2</x:v>
      </x:c>
      <x:c r="G326" s="14" t="str"/>
      <x:c r="H326" s="14" t="str">
        <x:v>Discovery розширення — 2 тижні</x:v>
      </x:c>
      <x:c r="I326" s="16" t="n">
        <x:v>1</x:v>
      </x:c>
      <x:c r="J326" s="16" t="n">
        <x:v>5</x:v>
      </x:c>
      <x:c r="K326" s="16" t="n">
        <x:v>4</x:v>
      </x:c>
      <x:c r="L326" s="16" t="n">
        <x:v>3</x:v>
      </x:c>
      <x:c r="M326" s="16" t="n">
        <x:v>5</x:v>
      </x:c>
      <x:c r="N326" s="16" t="n">
        <x:v>3</x:v>
      </x:c>
      <x:c r="O326" s="16" t="n">
        <x:v>5</x:v>
      </x:c>
      <x:c r="P326" s="16" t="n">
        <x:f>IF(COUNT(I326:O326)&lt;7,"",I326*8+J326*3+K326*2+L326*2+M326*2+N326*2+O326)</x:f>
        <x:v>58</x:v>
      </x:c>
      <x:c r="Q326" s="16" t="n">
        <x:f>IF(COUNT(J326:O326)&lt;6,"",J326*5+K326*4+M326*4+L326*3+N326*2+O326*2)</x:f>
        <x:v>86</x:v>
      </x:c>
      <x:c r="R326" s="14" t="str">
        <x:v>high</x:v>
      </x:c>
      <x:c r="S326" s="14" t="str">
        <x:v>official_prozorro_award_2025_2026</x:v>
      </x:c>
      <x:c r="T326" s="14" t="str">
        <x:v>official_prozorro_api</x:v>
      </x:c>
      <x:c r="U326" s="14" t="str">
        <x:v>Не контактували</x:v>
      </x:c>
      <x:c r="V326" s="15" t="str">
        <x:v>Workflow-audit outreach по UA-2026-07-27-004982-a; попросити 1 пакет здачі та вимоги проєкту</x:v>
      </x:c>
      <x:c r="W326" s="15" t="str">
        <x:v>Власник / виконавець; відповідальний за договір</x:v>
      </x:c>
      <x:c r="X326" s="15" t="str">
        <x:v>2 підтверджених перемог/договорів у Prozorro на 680 000 грн; 2 проєктів зі строком виконання не раніше 24.08.2026.</x:v>
      </x:c>
      <x:c r="Y326"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 строк до 2026-09-15. Попросити один знеособлений пакет здачі за цим workflow.</x:v>
      </x:c>
      <x:c r="Z326" s="15" t="str">
        <x:v>https://prozorro.gov.ua/tender/UA-2026-07-27-004982-a</x:v>
      </x:c>
      <x:c r="AA326" s="14" t="str">
        <x:v>3003213534</x:v>
      </x:c>
      <x:c r="AB326" s="14" t="str">
        <x:v>2026-08-24</x:v>
      </x:c>
      <x:c r="AC326" s="14" t="str"/>
      <x:c r="AD326" s="20" t="str"/>
      <x:c r="AE326" s="14" t="str"/>
      <x:c r="AF326" s="14" t="n">
        <x:v>67</x:v>
      </x:c>
      <x:c r="AG326" s="14" t="str">
        <x:v>I2</x:v>
      </x:c>
      <x:c r="AH326" s="14" t="n">
        <x:v>2</x:v>
      </x:c>
      <x:c r="AI326" s="14" t="n">
        <x:v>2</x:v>
      </x:c>
      <x:c r="AJ326" s="18" t="n">
        <x:v>680000</x:v>
      </x:c>
      <x:c r="AK326" s="14" t="str">
        <x:v>https://prozorro.gov.ua/tender/UA-2026-07-27-004982-a</x:v>
      </x:c>
      <x:c r="AL326" s="19" t="n">
        <x:v>46230.407862685184</x:v>
      </x:c>
      <x:c r="AM326" s="19" t="n">
        <x:v>46280</x:v>
      </x:c>
      <x:c r="AN326" s="15" t="str">
        <x:v>Сонячна енергетика</x:v>
      </x:c>
      <x:c r="AO326" s="15" t="str">
        <x:v>not_found_in_top_search</x:v>
      </x:c>
    </x:row>
    <x:row r="327">
      <x:c r="A327" s="14" t="str">
        <x:v>W3-055</x:v>
      </x:c>
      <x:c r="B327" s="14" t="str">
        <x:v>Prozorro winners — 24.08</x:v>
      </x:c>
      <x:c r="C327" s="14" t="str">
        <x:v>ТОМАКОВА НАТАЛІЯ ОЛЕКСАНДРІВНА</x:v>
      </x:c>
      <x:c r="D327" s="14" t="str">
        <x:v>Теплові мережі</x:v>
      </x:c>
      <x:c r="E327" s="14" t="str">
        <x:v>Expansion discovery</x:v>
      </x:c>
      <x:c r="F327" s="17" t="str">
        <x:v>D2</x:v>
      </x:c>
      <x:c r="G327" s="14" t="str"/>
      <x:c r="H327" s="14" t="str">
        <x:v>Discovery розширення — 2 тижні</x:v>
      </x:c>
      <x:c r="I327" s="16" t="n">
        <x:v>1</x:v>
      </x:c>
      <x:c r="J327" s="16" t="n">
        <x:v>5</x:v>
      </x:c>
      <x:c r="K327" s="16" t="n">
        <x:v>4</x:v>
      </x:c>
      <x:c r="L327" s="16" t="n">
        <x:v>2</x:v>
      </x:c>
      <x:c r="M327" s="16" t="n">
        <x:v>5</x:v>
      </x:c>
      <x:c r="N327" s="16" t="n">
        <x:v>3</x:v>
      </x:c>
      <x:c r="O327" s="16" t="n">
        <x:v>5</x:v>
      </x:c>
      <x:c r="P327" s="16" t="n">
        <x:f>IF(COUNT(I327:O327)&lt;7,"",I327*8+J327*3+K327*2+L327*2+M327*2+N327*2+O327)</x:f>
        <x:v>56</x:v>
      </x:c>
      <x:c r="Q327" s="16" t="n">
        <x:f>IF(COUNT(J327:O327)&lt;6,"",J327*5+K327*4+M327*4+L327*3+N327*2+O327*2)</x:f>
        <x:v>83</x:v>
      </x:c>
      <x:c r="R327" s="14" t="str">
        <x:v>high</x:v>
      </x:c>
      <x:c r="S327" s="14" t="str">
        <x:v>official_prozorro_award_2025_2026</x:v>
      </x:c>
      <x:c r="T327" s="14" t="str">
        <x:v>official_prozorro_api</x:v>
      </x:c>
      <x:c r="U327" s="14" t="str">
        <x:v>Не контактували</x:v>
      </x:c>
      <x:c r="V327" s="15" t="str">
        <x:v>Workflow-audit outreach по UA-2026-06-30-003014-a; попросити 1 пакет здачі та вимоги проєкту</x:v>
      </x:c>
      <x:c r="W327" s="15" t="str">
        <x:v>Власник / виконавець; відповідальний за договір</x:v>
      </x:c>
      <x:c r="X327" s="15" t="str">
        <x:v>3 підтверджених перемог/договорів у Prozorro на 165 540 грн; 3 проєктів зі строком виконання не раніше 24.08.2026.</x:v>
      </x:c>
      <x:c r="Y327"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 строк до 2026-12-31. Попросити один знеособлений пакет здачі за цим workflow.</x:v>
      </x:c>
      <x:c r="Z327" s="15" t="str">
        <x:v>https://prozorro.gov.ua/tender/UA-2026-06-30-003014-a</x:v>
      </x:c>
      <x:c r="AA327" s="14" t="str">
        <x:v>2702929704</x:v>
      </x:c>
      <x:c r="AB327" s="14" t="str">
        <x:v>2026-08-24</x:v>
      </x:c>
      <x:c r="AC327" s="14" t="str"/>
      <x:c r="AD327" s="20" t="str"/>
      <x:c r="AE327" s="14" t="str"/>
      <x:c r="AF327" s="14" t="n">
        <x:v>67</x:v>
      </x:c>
      <x:c r="AG327" s="14" t="str">
        <x:v>I2</x:v>
      </x:c>
      <x:c r="AH327" s="14" t="n">
        <x:v>3</x:v>
      </x:c>
      <x:c r="AI327" s="14" t="n">
        <x:v>3</x:v>
      </x:c>
      <x:c r="AJ327" s="18" t="n">
        <x:v>165540</x:v>
      </x:c>
      <x:c r="AK327" s="14" t="str">
        <x:v>https://prozorro.gov.ua/tender/UA-2026-06-30-003014-a</x:v>
      </x:c>
      <x:c r="AL327" s="19" t="n">
        <x:v>46203.33054814815</x:v>
      </x:c>
      <x:c r="AM327" s="19" t="n">
        <x:v>46387</x:v>
      </x:c>
      <x:c r="AN327" s="15" t="str">
        <x:v>Теплові мережі</x:v>
      </x:c>
      <x:c r="AO327" s="15" t="str">
        <x:v>not_found_in_top_search</x:v>
      </x:c>
    </x:row>
    <x:row r="328">
      <x:c r="A328" s="14" t="str">
        <x:v>W3-056</x:v>
      </x:c>
      <x:c r="B328" s="14" t="str">
        <x:v>Prozorro winners — 24.08</x:v>
      </x:c>
      <x:c r="C328" s="14" t="str">
        <x:v>ТОВАРИСТВО З ОБМЕЖЕНОЮ ВІДПОВІДАЛЬНІСТЮ "ЕНЕРГОЕКСПЛУАТАЦІЯ"</x:v>
      </x:c>
      <x:c r="D328" s="14" t="str">
        <x:v>Електромонтаж</x:v>
      </x:c>
      <x:c r="E328" s="14" t="str">
        <x:v>Pilot now</x:v>
      </x:c>
      <x:c r="F328" s="17" t="str">
        <x:v>P2</x:v>
      </x:c>
      <x:c r="G328" s="14" t="str"/>
      <x:c r="H328" s="14" t="str">
        <x:v>Пілот зараз — Н.15</x:v>
      </x:c>
      <x:c r="I328" s="16" t="n">
        <x:v>5</x:v>
      </x:c>
      <x:c r="J328" s="16" t="n">
        <x:v>5</x:v>
      </x:c>
      <x:c r="K328" s="16" t="n">
        <x:v>5</x:v>
      </x:c>
      <x:c r="L328" s="16" t="n">
        <x:v>1</x:v>
      </x:c>
      <x:c r="M328" s="16" t="n">
        <x:v>5</x:v>
      </x:c>
      <x:c r="N328" s="16" t="n">
        <x:v>5</x:v>
      </x:c>
      <x:c r="O328" s="16" t="n">
        <x:v>5</x:v>
      </x:c>
      <x:c r="P328" s="16" t="n">
        <x:f>IF(COUNT(I328:O328)&lt;7,"",I328*8+J328*3+K328*2+L328*2+M328*2+N328*2+O328)</x:f>
        <x:v>92</x:v>
      </x:c>
      <x:c r="Q328" s="16" t="n">
        <x:f>IF(COUNT(J328:O328)&lt;6,"",J328*5+K328*4+M328*4+L328*3+N328*2+O328*2)</x:f>
        <x:v>88</x:v>
      </x:c>
      <x:c r="R328" s="14" t="str">
        <x:v>high</x:v>
      </x:c>
      <x:c r="S328" s="14" t="str">
        <x:v>official_prozorro_award_2025_2026</x:v>
      </x:c>
      <x:c r="T328" s="14" t="str">
        <x:v>official_prozorro_api</x:v>
      </x:c>
      <x:c r="U328" s="14" t="str">
        <x:v>Не контактували</x:v>
      </x:c>
      <x:c r="V328" s="15" t="str">
        <x:v>Персоналізований free-pilot outreach по UA-2026-07-30-009341-a; попросити 1 пакет Н.14/Н.15</x:v>
      </x:c>
      <x:c r="W328" s="15" t="str">
        <x:v>Власник / директор; керівник ПТО; відповідальний за договори</x:v>
      </x:c>
      <x:c r="X328" s="15" t="str">
        <x:v>3 підтверджених перемог/договорів у Prozorro на 74 550 грн; 2 проєктів зі строком виконання не раніше 24.08.2026.</x:v>
      </x:c>
      <x:c r="Y328"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 строк до 2026-09-30. Попросити один знеособлений пакет здачі за цим workflow.</x:v>
      </x:c>
      <x:c r="Z328" s="15" t="str">
        <x:v>https://prozorro.gov.ua/tender/UA-2026-07-30-009341-a</x:v>
      </x:c>
      <x:c r="AA328" s="14" t="str">
        <x:v>39090788</x:v>
      </x:c>
      <x:c r="AB328" s="14" t="str">
        <x:v>2026-08-24</x:v>
      </x:c>
      <x:c r="AC328" s="14" t="str"/>
      <x:c r="AD328" s="20" t="str"/>
      <x:c r="AE328" s="14" t="str"/>
      <x:c r="AF328" s="14" t="n">
        <x:v>67</x:v>
      </x:c>
      <x:c r="AG328" s="14" t="str">
        <x:v>I2</x:v>
      </x:c>
      <x:c r="AH328" s="14" t="n">
        <x:v>3</x:v>
      </x:c>
      <x:c r="AI328" s="14" t="n">
        <x:v>2</x:v>
      </x:c>
      <x:c r="AJ328" s="18" t="n">
        <x:v>74550</x:v>
      </x:c>
      <x:c r="AK328" s="14" t="str">
        <x:v>https://prozorro.gov.ua/tender/UA-2026-07-30-009341-a</x:v>
      </x:c>
      <x:c r="AL328" s="19" t="n">
        <x:v>46244.53717113426</x:v>
      </x:c>
      <x:c r="AM328" s="19" t="n">
        <x:v>46295</x:v>
      </x:c>
      <x:c r="AN328" s="15" t="str">
        <x:v>Електромонтаж</x:v>
      </x:c>
      <x:c r="AO328" s="15" t="str">
        <x:v>not_found_in_top_search</x:v>
      </x:c>
    </x:row>
    <x:row r="329">
      <x:c r="A329" s="14" t="str">
        <x:v>W3-057</x:v>
      </x:c>
      <x:c r="B329" s="14" t="str">
        <x:v>Prozorro winners — 24.08</x:v>
      </x:c>
      <x:c r="C329" s="14" t="str">
        <x:v>МАЛЕ ПРИВАТНЕ ПІДПРИЄМСТВО "ЕЛЕКТРОСЕРВІС"</x:v>
      </x:c>
      <x:c r="D329" s="14" t="str">
        <x:v>Електромонтаж</x:v>
      </x:c>
      <x:c r="E329" s="14" t="str">
        <x:v>Pilot now</x:v>
      </x:c>
      <x:c r="F329" s="17" t="str">
        <x:v>P2</x:v>
      </x:c>
      <x:c r="G329" s="14" t="str"/>
      <x:c r="H329" s="14" t="str">
        <x:v>Пілот зараз — Н.15</x:v>
      </x:c>
      <x:c r="I329" s="16" t="n">
        <x:v>5</x:v>
      </x:c>
      <x:c r="J329" s="16" t="n">
        <x:v>5</x:v>
      </x:c>
      <x:c r="K329" s="16" t="n">
        <x:v>5</x:v>
      </x:c>
      <x:c r="L329" s="16" t="n">
        <x:v>1</x:v>
      </x:c>
      <x:c r="M329" s="16" t="n">
        <x:v>5</x:v>
      </x:c>
      <x:c r="N329" s="16" t="n">
        <x:v>5</x:v>
      </x:c>
      <x:c r="O329" s="16" t="n">
        <x:v>5</x:v>
      </x:c>
      <x:c r="P329" s="16" t="n">
        <x:f>IF(COUNT(I329:O329)&lt;7,"",I329*8+J329*3+K329*2+L329*2+M329*2+N329*2+O329)</x:f>
        <x:v>92</x:v>
      </x:c>
      <x:c r="Q329" s="16" t="n">
        <x:f>IF(COUNT(J329:O329)&lt;6,"",J329*5+K329*4+M329*4+L329*3+N329*2+O329*2)</x:f>
        <x:v>88</x:v>
      </x:c>
      <x:c r="R329" s="14" t="str">
        <x:v>high</x:v>
      </x:c>
      <x:c r="S329" s="14" t="str">
        <x:v>official_prozorro_award_2025_2026</x:v>
      </x:c>
      <x:c r="T329" s="14" t="str">
        <x:v>official_prozorro_api</x:v>
      </x:c>
      <x:c r="U329" s="14" t="str">
        <x:v>Не контактували</x:v>
      </x:c>
      <x:c r="V329" s="15" t="str">
        <x:v>Персоналізований free-pilot outreach по UA-2026-07-28-010186-a; попросити 1 пакет Н.14/Н.15</x:v>
      </x:c>
      <x:c r="W329" s="15" t="str">
        <x:v>Власник / директор; керівник ПТО; відповідальний за договори</x:v>
      </x:c>
      <x:c r="X329" s="15" t="str">
        <x:v>5 підтверджених перемог/договорів у Prozorro на 69 846 грн; 1 проєктів зі строком виконання не раніше 24.08.2026.</x:v>
      </x:c>
      <x:c r="Y329"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 строк до 2026-08-31. Попросити один знеособлений пакет здачі за цим workflow.</x:v>
      </x:c>
      <x:c r="Z329" s="15" t="str">
        <x:v>https://prozorro.gov.ua/tender/UA-2026-07-28-010186-a</x:v>
      </x:c>
      <x:c r="AA329" s="14" t="str">
        <x:v>22051653</x:v>
      </x:c>
      <x:c r="AB329" s="14" t="str">
        <x:v>2026-08-24</x:v>
      </x:c>
      <x:c r="AC329" s="14" t="str"/>
      <x:c r="AD329" s="20" t="str"/>
      <x:c r="AE329" s="14" t="str"/>
      <x:c r="AF329" s="14" t="n">
        <x:v>67</x:v>
      </x:c>
      <x:c r="AG329" s="14" t="str">
        <x:v>I2</x:v>
      </x:c>
      <x:c r="AH329" s="14" t="n">
        <x:v>5</x:v>
      </x:c>
      <x:c r="AI329" s="14" t="n">
        <x:v>1</x:v>
      </x:c>
      <x:c r="AJ329" s="18" t="n">
        <x:v>69846</x:v>
      </x:c>
      <x:c r="AK329" s="14" t="str">
        <x:v>https://prozorro.gov.ua/tender/UA-2026-07-28-010186-a</x:v>
      </x:c>
      <x:c r="AL329" s="19" t="n">
        <x:v>46231.54679755787</x:v>
      </x:c>
      <x:c r="AM329" s="19" t="n">
        <x:v>46265</x:v>
      </x:c>
      <x:c r="AN329" s="15" t="str">
        <x:v>Електромонтаж</x:v>
      </x:c>
      <x:c r="AO329" s="15" t="str">
        <x:v>not_found_in_top_search</x:v>
      </x:c>
    </x:row>
    <x:row r="330">
      <x:c r="A330" s="14" t="str">
        <x:v>W3-058</x:v>
      </x:c>
      <x:c r="B330" s="14" t="str">
        <x:v>Prozorro winners — 24.08</x:v>
      </x:c>
      <x:c r="C330" s="14" t="str">
        <x:v>ПРИВАТНЕ ПІДПРИЄМСТВО "ЕНЕРГО-СЕРВІС ПРОЕКТ"</x:v>
      </x:c>
      <x:c r="D330" s="14" t="str">
        <x:v>Електромонтаж</x:v>
      </x:c>
      <x:c r="E330" s="14" t="str">
        <x:v>Pilot now</x:v>
      </x:c>
      <x:c r="F330" s="17" t="str">
        <x:v>P2</x:v>
      </x:c>
      <x:c r="G330" s="14" t="str"/>
      <x:c r="H330" s="14" t="str">
        <x:v>Пілот зараз — Н.15</x:v>
      </x:c>
      <x:c r="I330" s="16" t="n">
        <x:v>5</x:v>
      </x:c>
      <x:c r="J330" s="16" t="n">
        <x:v>5</x:v>
      </x:c>
      <x:c r="K330" s="16" t="n">
        <x:v>5</x:v>
      </x:c>
      <x:c r="L330" s="16" t="n">
        <x:v>1</x:v>
      </x:c>
      <x:c r="M330" s="16" t="n">
        <x:v>5</x:v>
      </x:c>
      <x:c r="N330" s="16" t="n">
        <x:v>5</x:v>
      </x:c>
      <x:c r="O330" s="16" t="n">
        <x:v>5</x:v>
      </x:c>
      <x:c r="P330" s="16" t="n">
        <x:f>IF(COUNT(I330:O330)&lt;7,"",I330*8+J330*3+K330*2+L330*2+M330*2+N330*2+O330)</x:f>
        <x:v>92</x:v>
      </x:c>
      <x:c r="Q330" s="16" t="n">
        <x:f>IF(COUNT(J330:O330)&lt;6,"",J330*5+K330*4+M330*4+L330*3+N330*2+O330*2)</x:f>
        <x:v>88</x:v>
      </x:c>
      <x:c r="R330" s="14" t="str">
        <x:v>high</x:v>
      </x:c>
      <x:c r="S330" s="14" t="str">
        <x:v>official_prozorro_award_2025_2026</x:v>
      </x:c>
      <x:c r="T330" s="14" t="str">
        <x:v>official_prozorro_api</x:v>
      </x:c>
      <x:c r="U330" s="14" t="str">
        <x:v>Не контактували</x:v>
      </x:c>
      <x:c r="V330" s="15" t="str">
        <x:v>Персоналізований free-pilot outreach по UA-2026-08-24-000441-a; попросити 1 пакет Н.14/Н.15</x:v>
      </x:c>
      <x:c r="W330" s="15" t="str">
        <x:v>Власник / директор; керівник ПТО; відповідальний за договори</x:v>
      </x:c>
      <x:c r="X330" s="15" t="str">
        <x:v>4 підтверджених перемог/договорів у Prozorro на 32 466 грн; 1 проєктів зі строком виконання не раніше 24.08.2026.</x:v>
      </x:c>
      <x:c r="Y330"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 строк до 2026-09-30. Попросити один знеособлений пакет здачі за цим workflow.</x:v>
      </x:c>
      <x:c r="Z330" s="15" t="str">
        <x:v>https://prozorro.gov.ua/tender/UA-2026-08-24-000441-a</x:v>
      </x:c>
      <x:c r="AA330" s="14" t="str">
        <x:v>34417433</x:v>
      </x:c>
      <x:c r="AB330" s="14" t="str">
        <x:v>2026-08-24</x:v>
      </x:c>
      <x:c r="AC330" s="14" t="str"/>
      <x:c r="AD330" s="20" t="str"/>
      <x:c r="AE330" s="14" t="str"/>
      <x:c r="AF330" s="14" t="n">
        <x:v>67</x:v>
      </x:c>
      <x:c r="AG330" s="14" t="str">
        <x:v>I2</x:v>
      </x:c>
      <x:c r="AH330" s="14" t="n">
        <x:v>4</x:v>
      </x:c>
      <x:c r="AI330" s="14" t="n">
        <x:v>1</x:v>
      </x:c>
      <x:c r="AJ330" s="18" t="n">
        <x:v>32465.5</x:v>
      </x:c>
      <x:c r="AK330" s="14" t="str">
        <x:v>https://prozorro.gov.ua/tender/UA-2026-08-24-000441-a</x:v>
      </x:c>
      <x:c r="AL330" s="19" t="n">
        <x:v>46258.25709982639</x:v>
      </x:c>
      <x:c r="AM330" s="19" t="n">
        <x:v>46295</x:v>
      </x:c>
      <x:c r="AN330" s="15" t="str">
        <x:v>Електромонтаж</x:v>
      </x:c>
      <x:c r="AO330" s="15" t="str">
        <x:v>not_found_in_top_search</x:v>
      </x:c>
    </x:row>
    <x:row r="331">
      <x:c r="A331" s="14" t="str">
        <x:v>W3-059</x:v>
      </x:c>
      <x:c r="B331" s="14" t="str">
        <x:v>Prozorro winners — 24.08</x:v>
      </x:c>
      <x:c r="C331" s="14" t="str">
        <x:v>ПРИВАТНЕ ПІДПРИЄМСТВО "СПЕЦСЕРВІС"</x:v>
      </x:c>
      <x:c r="D331" s="14" t="str">
        <x:v>HVAC / ОВіК</x:v>
      </x:c>
      <x:c r="E331" s="14" t="str">
        <x:v>Pilot now</x:v>
      </x:c>
      <x:c r="F331" s="17" t="str">
        <x:v>P2</x:v>
      </x:c>
      <x:c r="G331" s="14" t="str">
        <x:v>spec-servis.com.ua</x:v>
      </x:c>
      <x:c r="H331" s="14" t="str">
        <x:v>Пілот зараз — Н.14</x:v>
      </x:c>
      <x:c r="I331" s="16" t="n">
        <x:v>5</x:v>
      </x:c>
      <x:c r="J331" s="16" t="n">
        <x:v>5</x:v>
      </x:c>
      <x:c r="K331" s="16" t="n">
        <x:v>5</x:v>
      </x:c>
      <x:c r="L331" s="16" t="n">
        <x:v>4</x:v>
      </x:c>
      <x:c r="M331" s="16" t="n">
        <x:v>5</x:v>
      </x:c>
      <x:c r="N331" s="16" t="n">
        <x:v>5</x:v>
      </x:c>
      <x:c r="O331" s="16" t="n">
        <x:v>5</x:v>
      </x:c>
      <x:c r="P331" s="16" t="n">
        <x:f>IF(COUNT(I331:O331)&lt;7,"",I331*8+J331*3+K331*2+L331*2+M331*2+N331*2+O331)</x:f>
        <x:v>98</x:v>
      </x:c>
      <x:c r="Q331" s="16" t="n">
        <x:f>IF(COUNT(J331:O331)&lt;6,"",J331*5+K331*4+M331*4+L331*3+N331*2+O331*2)</x:f>
        <x:v>97</x:v>
      </x:c>
      <x:c r="R331" s="14" t="str">
        <x:v>high</x:v>
      </x:c>
      <x:c r="S331" s="14" t="str">
        <x:v>official_prozorro_award_2025_2026</x:v>
      </x:c>
      <x:c r="T331" s="14" t="str">
        <x:v>official_prozorro_api</x:v>
      </x:c>
      <x:c r="U331" s="14" t="str">
        <x:v>Не контактували</x:v>
      </x:c>
      <x:c r="V331" s="15" t="str">
        <x:v>Персоналізований free-pilot outreach по UA-2026-05-06-008852-a; попросити 1 пакет Н.14/Н.15</x:v>
      </x:c>
      <x:c r="W331" s="15" t="str">
        <x:v>Власник / директор; керівник ПТО; відповідальний за договори</x:v>
      </x:c>
      <x:c r="X331" s="15" t="str">
        <x:v>2 підтверджених перемог/договорів у Prozorro на 2 386 825 грн; 1 проєктів зі строком виконання не раніше 24.08.2026.</x:v>
      </x:c>
      <x:c r="Y331"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 строк до 2026-12-11. Попросити один знеособлений пакет здачі за цим workflow.</x:v>
      </x:c>
      <x:c r="Z331" s="15" t="str">
        <x:v>https://prozorro.gov.ua/tender/UA-2026-05-06-008852-a</x:v>
      </x:c>
      <x:c r="AA331" s="14" t="str">
        <x:v>30518990</x:v>
      </x:c>
      <x:c r="AB331" s="14" t="str">
        <x:v>2026-08-24</x:v>
      </x:c>
      <x:c r="AC331" s="14" t="str"/>
      <x:c r="AD331" s="20" t="str"/>
      <x:c r="AE331" s="14" t="str"/>
      <x:c r="AF331" s="14" t="n">
        <x:v>66</x:v>
      </x:c>
      <x:c r="AG331" s="14" t="str">
        <x:v>I2</x:v>
      </x:c>
      <x:c r="AH331" s="14" t="n">
        <x:v>2</x:v>
      </x:c>
      <x:c r="AI331" s="14" t="n">
        <x:v>1</x:v>
      </x:c>
      <x:c r="AJ331" s="18" t="n">
        <x:v>2386825</x:v>
      </x:c>
      <x:c r="AK331" s="14" t="str">
        <x:v>https://prozorro.gov.ua/tender/UA-2026-05-06-008852-a</x:v>
      </x:c>
      <x:c r="AL331" s="19" t="n">
        <x:v>46163.54218483796</x:v>
      </x:c>
      <x:c r="AM331" s="19" t="n">
        <x:v>46367.51802083333</x:v>
      </x:c>
      <x:c r="AN331" s="15" t="str">
        <x:v>HVAC / ОВіК; Промисловий холод</x:v>
      </x:c>
      <x:c r="AO331" s="15" t="str">
        <x:v>supplier_provided_url</x:v>
      </x:c>
    </x:row>
    <x:row r="332">
      <x:c r="A332" s="14" t="str">
        <x:v>W3-060</x:v>
      </x:c>
      <x:c r="B332" s="14" t="str">
        <x:v>Prozorro winners — 24.08</x:v>
      </x:c>
      <x:c r="C332" s="14" t="str">
        <x:v>Фізична особа-підприємець Кремінський Владислав Олександрович</x:v>
      </x:c>
      <x:c r="D332" s="14" t="str">
        <x:v>Водоочищення / очисні споруди</x:v>
      </x:c>
      <x:c r="E332" s="14" t="str">
        <x:v>Expansion discovery</x:v>
      </x:c>
      <x:c r="F332" s="17" t="str">
        <x:v>D2</x:v>
      </x:c>
      <x:c r="G332" s="14" t="str"/>
      <x:c r="H332" s="14" t="str">
        <x:v>Discovery розширення — 2 тижні</x:v>
      </x:c>
      <x:c r="I332" s="16" t="n">
        <x:v>1</x:v>
      </x:c>
      <x:c r="J332" s="16" t="n">
        <x:v>5</x:v>
      </x:c>
      <x:c r="K332" s="16" t="n">
        <x:v>4</x:v>
      </x:c>
      <x:c r="L332" s="16" t="n">
        <x:v>2</x:v>
      </x:c>
      <x:c r="M332" s="16" t="n">
        <x:v>5</x:v>
      </x:c>
      <x:c r="N332" s="16" t="n">
        <x:v>3</x:v>
      </x:c>
      <x:c r="O332" s="16" t="n">
        <x:v>5</x:v>
      </x:c>
      <x:c r="P332" s="16" t="n">
        <x:f>IF(COUNT(I332:O332)&lt;7,"",I332*8+J332*3+K332*2+L332*2+M332*2+N332*2+O332)</x:f>
        <x:v>56</x:v>
      </x:c>
      <x:c r="Q332" s="16" t="n">
        <x:f>IF(COUNT(J332:O332)&lt;6,"",J332*5+K332*4+M332*4+L332*3+N332*2+O332*2)</x:f>
        <x:v>83</x:v>
      </x:c>
      <x:c r="R332" s="14" t="str">
        <x:v>high</x:v>
      </x:c>
      <x:c r="S332" s="14" t="str">
        <x:v>official_prozorro_award_2025_2026</x:v>
      </x:c>
      <x:c r="T332" s="14" t="str">
        <x:v>official_prozorro_api</x:v>
      </x:c>
      <x:c r="U332" s="14" t="str">
        <x:v>Не контактували</x:v>
      </x:c>
      <x:c r="V332" s="15" t="str">
        <x:v>Workflow-audit outreach по UA-2026-08-11-012301-a; попросити 1 пакет здачі та вимоги проєкту</x:v>
      </x:c>
      <x:c r="W332" s="15" t="str">
        <x:v>Власник / виконавець; відповідальний за договір</x:v>
      </x:c>
      <x:c r="X332" s="15" t="str">
        <x:v>2 підтверджених перемог/договорів у Prozorro на 499 262 грн; 2 проєктів зі строком виконання не раніше 24.08.2026.</x:v>
      </x:c>
      <x:c r="Y332"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 строк до 2026-08-31. Попросити один знеособлений пакет здачі за цим workflow.</x:v>
      </x:c>
      <x:c r="Z332" s="15" t="str">
        <x:v>https://prozorro.gov.ua/tender/UA-2026-08-11-012301-a</x:v>
      </x:c>
      <x:c r="AA332" s="14" t="str">
        <x:v>3164514254</x:v>
      </x:c>
      <x:c r="AB332" s="14" t="str">
        <x:v>2026-08-24</x:v>
      </x:c>
      <x:c r="AC332" s="14" t="str"/>
      <x:c r="AD332" s="20" t="str"/>
      <x:c r="AE332" s="14" t="str"/>
      <x:c r="AF332" s="14" t="n">
        <x:v>66</x:v>
      </x:c>
      <x:c r="AG332" s="14" t="str">
        <x:v>I2</x:v>
      </x:c>
      <x:c r="AH332" s="14" t="n">
        <x:v>2</x:v>
      </x:c>
      <x:c r="AI332" s="14" t="n">
        <x:v>2</x:v>
      </x:c>
      <x:c r="AJ332" s="18" t="n">
        <x:v>499262.47</x:v>
      </x:c>
      <x:c r="AK332" s="14" t="str">
        <x:v>https://prozorro.gov.ua/tender/UA-2026-08-11-012301-a</x:v>
      </x:c>
      <x:c r="AL332" s="19" t="n">
        <x:v>46245.59813092592</x:v>
      </x:c>
      <x:c r="AM332" s="19" t="n">
        <x:v>46265</x:v>
      </x:c>
      <x:c r="AN332" s="15" t="str">
        <x:v>Водоочищення / очисні споруди; Сонячна енергетика</x:v>
      </x:c>
      <x:c r="AO332" s="15" t="str">
        <x:v>not_found_in_top_search</x:v>
      </x:c>
    </x:row>
    <x:row r="333">
      <x:c r="A333" s="14" t="str">
        <x:v>W3-061</x:v>
      </x:c>
      <x:c r="B333" s="14" t="str">
        <x:v>Prozorro winners — 24.08</x:v>
      </x:c>
      <x:c r="C333" s="14" t="str">
        <x:v>Управління капітального будівництва Чернігівської міської ради</x:v>
      </x:c>
      <x:c r="D333" s="14" t="str">
        <x:v>Насосні станції</x:v>
      </x:c>
      <x:c r="E333" s="14" t="str">
        <x:v>Expansion discovery</x:v>
      </x:c>
      <x:c r="F333" s="17" t="str">
        <x:v>D2</x:v>
      </x:c>
      <x:c r="G333" s="14" t="str"/>
      <x:c r="H333" s="14" t="str">
        <x:v>Discovery розширення — 2 тижні</x:v>
      </x:c>
      <x:c r="I333" s="16" t="n">
        <x:v>1</x:v>
      </x:c>
      <x:c r="J333" s="16" t="n">
        <x:v>5</x:v>
      </x:c>
      <x:c r="K333" s="16" t="n">
        <x:v>4</x:v>
      </x:c>
      <x:c r="L333" s="16" t="n">
        <x:v>2</x:v>
      </x:c>
      <x:c r="M333" s="16" t="n">
        <x:v>5</x:v>
      </x:c>
      <x:c r="N333" s="16" t="n">
        <x:v>5</x:v>
      </x:c>
      <x:c r="O333" s="16" t="n">
        <x:v>5</x:v>
      </x:c>
      <x:c r="P333" s="16" t="n">
        <x:f>IF(COUNT(I333:O333)&lt;7,"",I333*8+J333*3+K333*2+L333*2+M333*2+N333*2+O333)</x:f>
        <x:v>60</x:v>
      </x:c>
      <x:c r="Q333" s="16" t="n">
        <x:f>IF(COUNT(J333:O333)&lt;6,"",J333*5+K333*4+M333*4+L333*3+N333*2+O333*2)</x:f>
        <x:v>87</x:v>
      </x:c>
      <x:c r="R333" s="14" t="str">
        <x:v>high</x:v>
      </x:c>
      <x:c r="S333" s="14" t="str">
        <x:v>official_prozorro_award_2025_2026</x:v>
      </x:c>
      <x:c r="T333" s="14" t="str">
        <x:v>official_prozorro_api</x:v>
      </x:c>
      <x:c r="U333" s="14" t="str">
        <x:v>Не контактували</x:v>
      </x:c>
      <x:c r="V333" s="15" t="str">
        <x:v>Workflow-audit outreach по UA-2026-08-06-004070-a; попросити 1 пакет здачі та вимоги проєкту</x:v>
      </x:c>
      <x:c r="W333" s="15" t="str">
        <x:v>Власник / директор; керівник ПТО; відповідальний за договори</x:v>
      </x:c>
      <x:c r="X333" s="15" t="str">
        <x:v>2 підтверджених перемог/договорів у Prozorro на 485 745 грн; 2 проєктів зі строком виконання не раніше 24.08.2026.</x:v>
      </x:c>
      <x:c r="Y333"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строк до 2027-12-31. Попросити один знеособлений пакет здачі за цим workflow.</x:v>
      </x:c>
      <x:c r="Z333" s="15" t="str">
        <x:v>https://prozorro.gov.ua/tender/UA-2026-08-06-004070-a</x:v>
      </x:c>
      <x:c r="AA333" s="14" t="str">
        <x:v>05517729</x:v>
      </x:c>
      <x:c r="AB333" s="14" t="str">
        <x:v>2026-08-24</x:v>
      </x:c>
      <x:c r="AC333" s="14" t="str"/>
      <x:c r="AD333" s="20" t="str"/>
      <x:c r="AE333" s="14" t="str"/>
      <x:c r="AF333" s="14" t="n">
        <x:v>66</x:v>
      </x:c>
      <x:c r="AG333" s="14" t="str">
        <x:v>I2</x:v>
      </x:c>
      <x:c r="AH333" s="14" t="n">
        <x:v>2</x:v>
      </x:c>
      <x:c r="AI333" s="14" t="n">
        <x:v>2</x:v>
      </x:c>
      <x:c r="AJ333" s="18" t="n">
        <x:v>485745.09</x:v>
      </x:c>
      <x:c r="AK333" s="14" t="str">
        <x:v>https://prozorro.gov.ua/tender/UA-2026-08-06-004070-a</x:v>
      </x:c>
      <x:c r="AL333" s="19" t="n">
        <x:v>46240.36500672454</x:v>
      </x:c>
      <x:c r="AM333" s="19" t="n">
        <x:v>46752.40704861111</x:v>
      </x:c>
      <x:c r="AN333" s="15" t="str">
        <x:v>Насосні станції</x:v>
      </x:c>
      <x:c r="AO333" s="15" t="str">
        <x:v>not_found_in_top_search</x:v>
      </x:c>
    </x:row>
    <x:row r="334">
      <x:c r="A334" s="14" t="str">
        <x:v>W3-062</x:v>
      </x:c>
      <x:c r="B334" s="14" t="str">
        <x:v>Prozorro winners — 24.08</x:v>
      </x:c>
      <x:c r="C334" s="14" t="str">
        <x:v>ТОВАРИСТВО З ОБМЕЖЕНОЮ ВІДПОВІДАЛЬНІСТЮ "ОХТИРКАПРОМЕНЕРГО"</x:v>
      </x:c>
      <x:c r="D334" s="14" t="str">
        <x:v>Сонячна енергетика</x:v>
      </x:c>
      <x:c r="E334" s="14" t="str">
        <x:v>Expansion discovery</x:v>
      </x:c>
      <x:c r="F334" s="17" t="str">
        <x:v>D2</x:v>
      </x:c>
      <x:c r="G334" s="14" t="str"/>
      <x:c r="H334" s="14" t="str">
        <x:v>Discovery розширення — 2 тижні</x:v>
      </x:c>
      <x:c r="I334" s="16" t="n">
        <x:v>1</x:v>
      </x:c>
      <x:c r="J334" s="16" t="n">
        <x:v>5</x:v>
      </x:c>
      <x:c r="K334" s="16" t="n">
        <x:v>4</x:v>
      </x:c>
      <x:c r="L334" s="16" t="n">
        <x:v>2</x:v>
      </x:c>
      <x:c r="M334" s="16" t="n">
        <x:v>5</x:v>
      </x:c>
      <x:c r="N334" s="16" t="n">
        <x:v>5</x:v>
      </x:c>
      <x:c r="O334" s="16" t="n">
        <x:v>5</x:v>
      </x:c>
      <x:c r="P334" s="16" t="n">
        <x:f>IF(COUNT(I334:O334)&lt;7,"",I334*8+J334*3+K334*2+L334*2+M334*2+N334*2+O334)</x:f>
        <x:v>60</x:v>
      </x:c>
      <x:c r="Q334" s="16" t="n">
        <x:f>IF(COUNT(J334:O334)&lt;6,"",J334*5+K334*4+M334*4+L334*3+N334*2+O334*2)</x:f>
        <x:v>87</x:v>
      </x:c>
      <x:c r="R334" s="14" t="str">
        <x:v>high</x:v>
      </x:c>
      <x:c r="S334" s="14" t="str">
        <x:v>official_prozorro_award_2025_2026</x:v>
      </x:c>
      <x:c r="T334" s="14" t="str">
        <x:v>official_prozorro_api</x:v>
      </x:c>
      <x:c r="U334" s="14" t="str">
        <x:v>Не контактували</x:v>
      </x:c>
      <x:c r="V334" s="15" t="str">
        <x:v>Повторне звернення з новим тендерним сигналом UA-2026-04-27-014043-a; попросити 1 пакет здачі</x:v>
      </x:c>
      <x:c r="W334" s="15" t="str">
        <x:v>Власник / директор; керівник ПТО; відповідальний за договори</x:v>
      </x:c>
      <x:c r="X334" s="15" t="str">
        <x:v>2 підтверджених перемог/договорів у Prozorro на 440 800 грн; 2 проєктів зі строком виконання не раніше 24.08.2026.</x:v>
      </x:c>
      <x:c r="Y334" s="15" t="str">
        <x:v>Послуги з монтажу та підключення комплекту електрообладнання сонячної електростанції (монтаж сонячних панелей, монтаж та підключення АКБ та інвертора) у Пологівській гімназії Чернеччинської сільської ради Охтирського району Сумської області за адресою: вул. Лозового, 50, с. Пологи Охтирського району Сумської області за кодом ДК 021:2015 - 45310000-3 - Електромонтажні роботи; строк до 2026-08-30. Попросити один знеособлений пакет здачі за цим workflow.</x:v>
      </x:c>
      <x:c r="Z334" s="15" t="str">
        <x:v>https://prozorro.gov.ua/tender/UA-2026-07-23-007593-a</x:v>
      </x:c>
      <x:c r="AA334" s="14" t="str">
        <x:v>42563329</x:v>
      </x:c>
      <x:c r="AB334" s="14" t="str">
        <x:v>2026-08-24</x:v>
      </x:c>
      <x:c r="AC334" s="14" t="str"/>
      <x:c r="AD334" s="20" t="str"/>
      <x:c r="AE334" s="14" t="str"/>
      <x:c r="AF334" s="14" t="n">
        <x:v>66</x:v>
      </x:c>
      <x:c r="AG334" s="14" t="str">
        <x:v>I2</x:v>
      </x:c>
      <x:c r="AH334" s="14" t="n">
        <x:v>3</x:v>
      </x:c>
      <x:c r="AI334" s="14" t="n">
        <x:v>2</x:v>
      </x:c>
      <x:c r="AJ334" s="18" t="n">
        <x:v>539800</x:v>
      </x:c>
      <x:c r="AK334" s="14" t="str">
        <x:v>https://prozorro.gov.ua/tender/UA-2026-04-27-014043-a</x:v>
      </x:c>
      <x:c r="AL334" s="19" t="n">
        <x:v>46139.748811631944</x:v>
      </x:c>
      <x:c r="AM334" s="19" t="n">
        <x:v>46157</x:v>
      </x:c>
      <x:c r="AN334" s="15" t="str">
        <x:v>Сонячна енергетика; Металоконструкції</x:v>
      </x:c>
      <x:c r="AO334" s="15" t="str">
        <x:v>not_found_in_top_search</x:v>
      </x:c>
    </x:row>
    <x:row r="335">
      <x:c r="A335" s="14" t="str">
        <x:v>W3-063</x:v>
      </x:c>
      <x:c r="B335" s="14" t="str">
        <x:v>Prozorro winners — 24.08</x:v>
      </x:c>
      <x:c r="C335" s="14" t="str">
        <x:v>ТОВАРИСТВО З ОБМЕЖЕНОЮ ВІДПОВІДАЛЬНІСТЮ "АЛЬТІУС-ПРОМ"</x:v>
      </x:c>
      <x:c r="D335" s="14" t="str">
        <x:v>Мости / інфраструктура</x:v>
      </x:c>
      <x:c r="E335" s="14" t="str">
        <x:v>Expansion discovery</x:v>
      </x:c>
      <x:c r="F335" s="17" t="str">
        <x:v>D2</x:v>
      </x:c>
      <x:c r="G335" s="14" t="str">
        <x:v>altius.com.ua</x:v>
      </x:c>
      <x:c r="H335" s="14" t="str">
        <x:v>Discovery розширення — 2 тижні</x:v>
      </x:c>
      <x:c r="I335" s="16" t="n">
        <x:v>1</x:v>
      </x:c>
      <x:c r="J335" s="16" t="n">
        <x:v>5</x:v>
      </x:c>
      <x:c r="K335" s="16" t="n">
        <x:v>4</x:v>
      </x:c>
      <x:c r="L335" s="16" t="n">
        <x:v>2</x:v>
      </x:c>
      <x:c r="M335" s="16" t="n">
        <x:v>5</x:v>
      </x:c>
      <x:c r="N335" s="16" t="n">
        <x:v>5</x:v>
      </x:c>
      <x:c r="O335" s="16" t="n">
        <x:v>5</x:v>
      </x:c>
      <x:c r="P335" s="16" t="n">
        <x:f>IF(COUNT(I335:O335)&lt;7,"",I335*8+J335*3+K335*2+L335*2+M335*2+N335*2+O335)</x:f>
        <x:v>60</x:v>
      </x:c>
      <x:c r="Q335" s="16" t="n">
        <x:f>IF(COUNT(J335:O335)&lt;6,"",J335*5+K335*4+M335*4+L335*3+N335*2+O335*2)</x:f>
        <x:v>87</x:v>
      </x:c>
      <x:c r="R335" s="14" t="str">
        <x:v>high</x:v>
      </x:c>
      <x:c r="S335" s="14" t="str">
        <x:v>official_prozorro_award_2025_2026</x:v>
      </x:c>
      <x:c r="T335" s="14" t="str">
        <x:v>official_prozorro_api</x:v>
      </x:c>
      <x:c r="U335" s="14" t="str">
        <x:v>Не контактували</x:v>
      </x:c>
      <x:c r="V335" s="15" t="str">
        <x:v>Повторне звернення з новим тендерним сигналом UA-2025-08-26-004596-a; попросити 1 пакет здачі</x:v>
      </x:c>
      <x:c r="W335" s="15" t="str">
        <x:v>Власник / директор; керівник ПТО; відповідальний за договори</x:v>
      </x:c>
      <x:c r="X335" s="15" t="str">
        <x:v>2 підтверджених перемог/договорів у Prozorro на 413 103 грн; 2 проєктів зі строком виконання не раніше 24.08.2026.</x:v>
      </x:c>
      <x:c r="Y335"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 строк до 2026-12-31. Попросити один знеособлений пакет здачі за цим workflow.</x:v>
      </x:c>
      <x:c r="Z335" s="15" t="str">
        <x:v>https://prozorro.gov.ua/tender/UA-2026-07-24-003218-a</x:v>
      </x:c>
      <x:c r="AA335" s="14" t="str">
        <x:v>41481664</x:v>
      </x:c>
      <x:c r="AB335" s="14" t="str">
        <x:v>2026-08-24</x:v>
      </x:c>
      <x:c r="AC335" s="14" t="str"/>
      <x:c r="AD335" s="20" t="str"/>
      <x:c r="AE335" s="14" t="str"/>
      <x:c r="AF335" s="14" t="n">
        <x:v>66</x:v>
      </x:c>
      <x:c r="AG335" s="14" t="str">
        <x:v>I2</x:v>
      </x:c>
      <x:c r="AH335" s="14" t="n">
        <x:v>3</x:v>
      </x:c>
      <x:c r="AI335" s="14" t="n">
        <x:v>2</x:v>
      </x:c>
      <x:c r="AJ335" s="18" t="n">
        <x:v>652012.05</x:v>
      </x:c>
      <x:c r="AK335" s="14" t="str">
        <x:v>https://prozorro.gov.ua/tender/UA-2025-08-26-004596-a</x:v>
      </x:c>
      <x:c r="AL335" s="19" t="n">
        <x:v>45910.25705181713</x:v>
      </x:c>
      <x:c r="AM335" s="19" t="n">
        <x:v>45961</x:v>
      </x:c>
      <x:c r="AN335" s="15" t="str">
        <x:v>Мости / інфраструктура; Антикорозійний захист</x:v>
      </x:c>
      <x:c r="AO335" s="15" t="str">
        <x:v>supplier_provided_url</x:v>
      </x:c>
    </x:row>
    <x:row r="336">
      <x:c r="A336" s="14" t="str">
        <x:v>W3-064</x:v>
      </x:c>
      <x:c r="B336" s="14" t="str">
        <x:v>Prozorro winners — 24.08</x:v>
      </x:c>
      <x:c r="C336" s="14" t="str">
        <x:v>ТОВАРИСТВО З ОБМЕЖЕНОЮ ВІДПОВІДАЛЬНІСТЮ "ТЕРМОСТАНДАРТ"</x:v>
      </x:c>
      <x:c r="D336" s="14" t="str">
        <x:v>HVAC / ОВіК</x:v>
      </x:c>
      <x:c r="E336" s="14" t="str">
        <x:v>Pilot now</x:v>
      </x:c>
      <x:c r="F336" s="17" t="str">
        <x:v>P2</x:v>
      </x:c>
      <x:c r="G336" s="14" t="str"/>
      <x:c r="H336" s="14" t="str">
        <x:v>Пілот зараз — Н.14</x:v>
      </x:c>
      <x:c r="I336" s="16" t="n">
        <x:v>5</x:v>
      </x:c>
      <x:c r="J336" s="16" t="n">
        <x:v>5</x:v>
      </x:c>
      <x:c r="K336" s="16" t="n">
        <x:v>5</x:v>
      </x:c>
      <x:c r="L336" s="16" t="n">
        <x:v>2</x:v>
      </x:c>
      <x:c r="M336" s="16" t="n">
        <x:v>5</x:v>
      </x:c>
      <x:c r="N336" s="16" t="n">
        <x:v>5</x:v>
      </x:c>
      <x:c r="O336" s="16" t="n">
        <x:v>5</x:v>
      </x:c>
      <x:c r="P336" s="16" t="n">
        <x:f>IF(COUNT(I336:O336)&lt;7,"",I336*8+J336*3+K336*2+L336*2+M336*2+N336*2+O336)</x:f>
        <x:v>94</x:v>
      </x:c>
      <x:c r="Q336" s="16" t="n">
        <x:f>IF(COUNT(J336:O336)&lt;6,"",J336*5+K336*4+M336*4+L336*3+N336*2+O336*2)</x:f>
        <x:v>91</x:v>
      </x:c>
      <x:c r="R336" s="14" t="str">
        <x:v>high</x:v>
      </x:c>
      <x:c r="S336" s="14" t="str">
        <x:v>official_prozorro_award_2025_2026</x:v>
      </x:c>
      <x:c r="T336" s="14" t="str">
        <x:v>official_prozorro_api</x:v>
      </x:c>
      <x:c r="U336" s="14" t="str">
        <x:v>Не контактували</x:v>
      </x:c>
      <x:c r="V336" s="15" t="str">
        <x:v>Персоналізований free-pilot outreach по UA-2026-08-04-003638-a; попросити 1 пакет Н.14/Н.15</x:v>
      </x:c>
      <x:c r="W336" s="15" t="str">
        <x:v>Власник / директор; керівник ПТО; відповідальний за договори</x:v>
      </x:c>
      <x:c r="X336" s="15" t="str">
        <x:v>2 підтверджених перемог/договорів у Prozorro на 318 162 грн; 2 проєктів зі строком виконання не раніше 24.08.2026.</x:v>
      </x:c>
      <x:c r="Y336"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 строк до 2026-12-20. Попросити один знеособлений пакет здачі за цим workflow.</x:v>
      </x:c>
      <x:c r="Z336" s="15" t="str">
        <x:v>https://prozorro.gov.ua/tender/UA-2026-08-04-003638-a</x:v>
      </x:c>
      <x:c r="AA336" s="14" t="str">
        <x:v>33165192</x:v>
      </x:c>
      <x:c r="AB336" s="14" t="str">
        <x:v>2026-08-24</x:v>
      </x:c>
      <x:c r="AC336" s="14" t="str"/>
      <x:c r="AD336" s="20" t="str"/>
      <x:c r="AE336" s="14" t="str"/>
      <x:c r="AF336" s="14" t="n">
        <x:v>66</x:v>
      </x:c>
      <x:c r="AG336" s="14" t="str">
        <x:v>I2</x:v>
      </x:c>
      <x:c r="AH336" s="14" t="n">
        <x:v>2</x:v>
      </x:c>
      <x:c r="AI336" s="14" t="n">
        <x:v>2</x:v>
      </x:c>
      <x:c r="AJ336" s="18" t="n">
        <x:v>318161.67</x:v>
      </x:c>
      <x:c r="AK336" s="14" t="str">
        <x:v>https://prozorro.gov.ua/tender/UA-2026-08-04-003638-a</x:v>
      </x:c>
      <x:c r="AL336" s="19" t="n">
        <x:v>46251.33581399306</x:v>
      </x:c>
      <x:c r="AM336" s="19" t="n">
        <x:v>46376</x:v>
      </x:c>
      <x:c r="AN336" s="15" t="str">
        <x:v>HVAC / ОВіК</x:v>
      </x:c>
      <x:c r="AO336" s="15" t="str">
        <x:v>not_found_in_top_search</x:v>
      </x:c>
    </x:row>
    <x:row r="337">
      <x:c r="A337" s="14" t="str">
        <x:v>W3-065</x:v>
      </x:c>
      <x:c r="B337" s="14" t="str">
        <x:v>Prozorro winners — 24.08</x:v>
      </x:c>
      <x:c r="C337" s="14" t="str">
        <x:v>ТзОВ " Е.Т.Е.ПРО"</x:v>
      </x:c>
      <x:c r="D337" s="14" t="str">
        <x:v>Водоочищення / очисні споруди</x:v>
      </x:c>
      <x:c r="E337" s="14" t="str">
        <x:v>Expansion discovery</x:v>
      </x:c>
      <x:c r="F337" s="17" t="str">
        <x:v>D2</x:v>
      </x:c>
      <x:c r="G337" s="14" t="str"/>
      <x:c r="H337" s="14" t="str">
        <x:v>Discovery розширення — 2 тижні</x:v>
      </x:c>
      <x:c r="I337" s="16" t="n">
        <x:v>1</x:v>
      </x:c>
      <x:c r="J337" s="16" t="n">
        <x:v>5</x:v>
      </x:c>
      <x:c r="K337" s="16" t="n">
        <x:v>4</x:v>
      </x:c>
      <x:c r="L337" s="16" t="n">
        <x:v>2</x:v>
      </x:c>
      <x:c r="M337" s="16" t="n">
        <x:v>5</x:v>
      </x:c>
      <x:c r="N337" s="16" t="n">
        <x:v>5</x:v>
      </x:c>
      <x:c r="O337" s="16" t="n">
        <x:v>5</x:v>
      </x:c>
      <x:c r="P337" s="16" t="n">
        <x:f>IF(COUNT(I337:O337)&lt;7,"",I337*8+J337*3+K337*2+L337*2+M337*2+N337*2+O337)</x:f>
        <x:v>60</x:v>
      </x:c>
      <x:c r="Q337" s="16" t="n">
        <x:f>IF(COUNT(J337:O337)&lt;6,"",J337*5+K337*4+M337*4+L337*3+N337*2+O337*2)</x:f>
        <x:v>87</x:v>
      </x:c>
      <x:c r="R337" s="14" t="str">
        <x:v>high</x:v>
      </x:c>
      <x:c r="S337" s="14" t="str">
        <x:v>official_prozorro_award_2025_2026</x:v>
      </x:c>
      <x:c r="T337" s="14" t="str">
        <x:v>official_prozorro_api</x:v>
      </x:c>
      <x:c r="U337" s="14" t="str">
        <x:v>Не контактували</x:v>
      </x:c>
      <x:c r="V337" s="15" t="str">
        <x:v>Workflow-audit outreach по UA-2026-08-03-008135-a; попросити 1 пакет здачі та вимоги проєкту</x:v>
      </x:c>
      <x:c r="W337" s="15" t="str">
        <x:v>Власник / директор; керівник ПТО; відповідальний за договори</x:v>
      </x:c>
      <x:c r="X337" s="15" t="str">
        <x:v>2 підтверджених перемог/договорів у Prozorro на 274 296 грн; 2 проєктів зі строком виконання не раніше 24.08.2026.</x:v>
      </x:c>
      <x:c r="Y337"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 строк до 2026-12-31. Попросити один знеособлений пакет здачі за цим workflow.</x:v>
      </x:c>
      <x:c r="Z337" s="15" t="str">
        <x:v>https://prozorro.gov.ua/tender/UA-2026-08-03-008135-a</x:v>
      </x:c>
      <x:c r="AA337" s="14" t="str">
        <x:v>41868819</x:v>
      </x:c>
      <x:c r="AB337" s="14" t="str">
        <x:v>2026-08-24</x:v>
      </x:c>
      <x:c r="AC337" s="14" t="str"/>
      <x:c r="AD337" s="20" t="str"/>
      <x:c r="AE337" s="14" t="str"/>
      <x:c r="AF337" s="14" t="n">
        <x:v>66</x:v>
      </x:c>
      <x:c r="AG337" s="14" t="str">
        <x:v>I2</x:v>
      </x:c>
      <x:c r="AH337" s="14" t="n">
        <x:v>2</x:v>
      </x:c>
      <x:c r="AI337" s="14" t="n">
        <x:v>2</x:v>
      </x:c>
      <x:c r="AJ337" s="18" t="n">
        <x:v>274295.9</x:v>
      </x:c>
      <x:c r="AK337" s="14" t="str">
        <x:v>https://prozorro.gov.ua/tender/UA-2026-08-03-008135-a</x:v>
      </x:c>
      <x:c r="AL337" s="19" t="n">
        <x:v>46237.51469081019</x:v>
      </x:c>
      <x:c r="AM337" s="19" t="n">
        <x:v>46387.5571412037</x:v>
      </x:c>
      <x:c r="AN337" s="15" t="str">
        <x:v>Водоочищення / очисні споруди</x:v>
      </x:c>
      <x:c r="AO337" s="15" t="str">
        <x:v>not_found_in_top_search</x:v>
      </x:c>
    </x:row>
    <x:row r="338">
      <x:c r="A338" s="14" t="str">
        <x:v>W3-066</x:v>
      </x:c>
      <x:c r="B338" s="14" t="str">
        <x:v>Prozorro winners — 24.08</x:v>
      </x:c>
      <x:c r="C338" s="14" t="str">
        <x:v>ТОВ  "Охорона-Комплекс-Придунав'є"</x:v>
      </x:c>
      <x:c r="D338" s="14" t="str">
        <x:v>Пожежогасіння</x:v>
      </x:c>
      <x:c r="E338" s="14" t="str">
        <x:v>Expansion discovery</x:v>
      </x:c>
      <x:c r="F338" s="17" t="str">
        <x:v>D2</x:v>
      </x:c>
      <x:c r="G338" s="14" t="str"/>
      <x:c r="H338" s="14" t="str">
        <x:v>Discovery розширення — 2 тижні</x:v>
      </x:c>
      <x:c r="I338" s="16" t="n">
        <x:v>1</x:v>
      </x:c>
      <x:c r="J338" s="16" t="n">
        <x:v>5</x:v>
      </x:c>
      <x:c r="K338" s="16" t="n">
        <x:v>4</x:v>
      </x:c>
      <x:c r="L338" s="16" t="n">
        <x:v>2</x:v>
      </x:c>
      <x:c r="M338" s="16" t="n">
        <x:v>5</x:v>
      </x:c>
      <x:c r="N338" s="16" t="n">
        <x:v>5</x:v>
      </x:c>
      <x:c r="O338" s="16" t="n">
        <x:v>5</x:v>
      </x:c>
      <x:c r="P338" s="16" t="n">
        <x:f>IF(COUNT(I338:O338)&lt;7,"",I338*8+J338*3+K338*2+L338*2+M338*2+N338*2+O338)</x:f>
        <x:v>60</x:v>
      </x:c>
      <x:c r="Q338" s="16" t="n">
        <x:f>IF(COUNT(J338:O338)&lt;6,"",J338*5+K338*4+M338*4+L338*3+N338*2+O338*2)</x:f>
        <x:v>87</x:v>
      </x:c>
      <x:c r="R338" s="14" t="str">
        <x:v>high</x:v>
      </x:c>
      <x:c r="S338" s="14" t="str">
        <x:v>official_prozorro_award_2025_2026</x:v>
      </x:c>
      <x:c r="T338" s="14" t="str">
        <x:v>official_prozorro_api</x:v>
      </x:c>
      <x:c r="U338" s="14" t="str">
        <x:v>Не контактували</x:v>
      </x:c>
      <x:c r="V338" s="15" t="str">
        <x:v>Повторне звернення з новим тендерним сигналом UA-2026-02-12-001327-a; попросити 1 пакет здачі</x:v>
      </x:c>
      <x:c r="W338" s="15" t="str">
        <x:v>Власник / директор; керівник ПТО; відповідальний за договори</x:v>
      </x:c>
      <x:c r="X338" s="15" t="str">
        <x:v>2 підтверджених перемог/договорів у Prozorro на 214 315 грн; 2 проєктів зі строком виконання не раніше 24.08.2026.</x:v>
      </x:c>
      <x:c r="Y338" s="15" t="str">
        <x:v>Монтаж й установка системи пожежної  сигналізації в приміщеннях будівлі інв.№117/3 військової частини А2372 за адресою: Одеська область, Ізмаїльський район, с.Лощинівка, В/ч А2372; строк до 2026-10-31. Попросити один знеособлений пакет здачі за цим workflow.</x:v>
      </x:c>
      <x:c r="Z338" s="15" t="str">
        <x:v>https://prozorro.gov.ua/tender/UA-2026-08-24-004546-a</x:v>
      </x:c>
      <x:c r="AA338" s="14" t="str">
        <x:v>32370184</x:v>
      </x:c>
      <x:c r="AB338" s="14" t="str">
        <x:v>2026-08-24</x:v>
      </x:c>
      <x:c r="AC338" s="14" t="str"/>
      <x:c r="AD338" s="20" t="str"/>
      <x:c r="AE338" s="14" t="str"/>
      <x:c r="AF338" s="14" t="n">
        <x:v>66</x:v>
      </x:c>
      <x:c r="AG338" s="14" t="str">
        <x:v>I2</x:v>
      </x:c>
      <x:c r="AH338" s="14" t="n">
        <x:v>3</x:v>
      </x:c>
      <x:c r="AI338" s="14" t="n">
        <x:v>3</x:v>
      </x:c>
      <x:c r="AJ338" s="18" t="n">
        <x:v>218315.32</x:v>
      </x:c>
      <x:c r="AK338" s="14" t="str">
        <x:v>https://prozorro.gov.ua/tender/UA-2026-02-12-001327-a</x:v>
      </x:c>
      <x:c r="AL338" s="19" t="n">
        <x:v>46065.318843472225</x:v>
      </x:c>
      <x:c r="AM338" s="19" t="n">
        <x:v>46387</x:v>
      </x:c>
      <x:c r="AN338" s="15" t="str">
        <x:v>Пожежогасіння</x:v>
      </x:c>
      <x:c r="AO338" s="15" t="str">
        <x:v>not_found_in_top_search</x:v>
      </x:c>
    </x:row>
    <x:row r="339">
      <x:c r="A339" s="14" t="str">
        <x:v>W3-067</x:v>
      </x:c>
      <x:c r="B339" s="14" t="str">
        <x:v>Prozorro winners — 24.08</x:v>
      </x:c>
      <x:c r="C339" s="14" t="str">
        <x:v>ТОВАРИСТВО З ОБМЕЖЕНОЮ ВІДПОВІДАЛЬНІСТЮ «КОМПАНІЯ «СЕРВІСГРУПП ПЛЮС»</x:v>
      </x:c>
      <x:c r="D339" s="14" t="str">
        <x:v>Зовнішні мережі</x:v>
      </x:c>
      <x:c r="E339" s="14" t="str">
        <x:v>Expansion discovery</x:v>
      </x:c>
      <x:c r="F339" s="17" t="str">
        <x:v>D2</x:v>
      </x:c>
      <x:c r="G339" s="14" t="str"/>
      <x:c r="H339" s="14" t="str">
        <x:v>Discovery розширення — 2 тижні</x:v>
      </x:c>
      <x:c r="I339" s="16" t="n">
        <x:v>1</x:v>
      </x:c>
      <x:c r="J339" s="16" t="n">
        <x:v>5</x:v>
      </x:c>
      <x:c r="K339" s="16" t="n">
        <x:v>4</x:v>
      </x:c>
      <x:c r="L339" s="16" t="n">
        <x:v>2</x:v>
      </x:c>
      <x:c r="M339" s="16" t="n">
        <x:v>5</x:v>
      </x:c>
      <x:c r="N339" s="16" t="n">
        <x:v>5</x:v>
      </x:c>
      <x:c r="O339" s="16" t="n">
        <x:v>5</x:v>
      </x:c>
      <x:c r="P339" s="16" t="n">
        <x:f>IF(COUNT(I339:O339)&lt;7,"",I339*8+J339*3+K339*2+L339*2+M339*2+N339*2+O339)</x:f>
        <x:v>60</x:v>
      </x:c>
      <x:c r="Q339" s="16" t="n">
        <x:f>IF(COUNT(J339:O339)&lt;6,"",J339*5+K339*4+M339*4+L339*3+N339*2+O339*2)</x:f>
        <x:v>87</x:v>
      </x:c>
      <x:c r="R339" s="14" t="str">
        <x:v>high</x:v>
      </x:c>
      <x:c r="S339" s="14" t="str">
        <x:v>official_prozorro_award_2025_2026</x:v>
      </x:c>
      <x:c r="T339" s="14" t="str">
        <x:v>official_prozorro_api</x:v>
      </x:c>
      <x:c r="U339" s="14" t="str">
        <x:v>Не контактували</x:v>
      </x:c>
      <x:c r="V339" s="15" t="str">
        <x:v>Workflow-audit outreach по UA-2026-08-20-003924-a; попросити 1 пакет здачі та вимоги проєкту</x:v>
      </x:c>
      <x:c r="W339" s="15" t="str">
        <x:v>Власник / директор; керівник ПТО; відповідальний за договори</x:v>
      </x:c>
      <x:c r="X339" s="15" t="str">
        <x:v>2 підтверджених перемог/договорів у Prozorro на 201 822 грн; 2 проєктів зі строком виконання не раніше 24.08.2026.</x:v>
      </x:c>
      <x:c r="Y339"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 строк до 2027-02-15. Попросити один знеособлений пакет здачі за цим workflow.</x:v>
      </x:c>
      <x:c r="Z339" s="15" t="str">
        <x:v>https://prozorro.gov.ua/tender/UA-2026-08-20-003924-a</x:v>
      </x:c>
      <x:c r="AA339" s="14" t="str">
        <x:v>43774597</x:v>
      </x:c>
      <x:c r="AB339" s="14" t="str">
        <x:v>2026-08-24</x:v>
      </x:c>
      <x:c r="AC339" s="14" t="str"/>
      <x:c r="AD339" s="20" t="str"/>
      <x:c r="AE339" s="14" t="str"/>
      <x:c r="AF339" s="14" t="n">
        <x:v>66</x:v>
      </x:c>
      <x:c r="AG339" s="14" t="str">
        <x:v>I2</x:v>
      </x:c>
      <x:c r="AH339" s="14" t="n">
        <x:v>2</x:v>
      </x:c>
      <x:c r="AI339" s="14" t="n">
        <x:v>2</x:v>
      </x:c>
      <x:c r="AJ339" s="18" t="n">
        <x:v>201822</x:v>
      </x:c>
      <x:c r="AK339" s="14" t="str">
        <x:v>https://prozorro.gov.ua/tender/UA-2026-08-20-003924-a</x:v>
      </x:c>
      <x:c r="AL339" s="19" t="n">
        <x:v>46254.35159587963</x:v>
      </x:c>
      <x:c r="AM339" s="19" t="n">
        <x:v>46433</x:v>
      </x:c>
      <x:c r="AN339" s="15" t="str">
        <x:v>Зовнішні мережі</x:v>
      </x:c>
      <x:c r="AO339" s="15" t="str">
        <x:v>not_found_in_top_search</x:v>
      </x:c>
    </x:row>
    <x:row r="340">
      <x:c r="A340" s="14" t="str">
        <x:v>W3-068</x:v>
      </x:c>
      <x:c r="B340" s="14" t="str">
        <x:v>Prozorro winners — 24.08</x:v>
      </x:c>
      <x:c r="C340" s="14" t="str">
        <x:v>ТОВ"СПЕЦ-КЛІМАТ-КОНТРОЛЬ"</x:v>
      </x:c>
      <x:c r="D340" s="14" t="str">
        <x:v>HVAC / ОВіК</x:v>
      </x:c>
      <x:c r="E340" s="14" t="str">
        <x:v>Pilot now</x:v>
      </x:c>
      <x:c r="F340" s="17" t="str">
        <x:v>P2</x:v>
      </x:c>
      <x:c r="G340" s="14" t="str"/>
      <x:c r="H340" s="14" t="str">
        <x:v>Пілот зараз — Н.14</x:v>
      </x:c>
      <x:c r="I340" s="16" t="n">
        <x:v>5</x:v>
      </x:c>
      <x:c r="J340" s="16" t="n">
        <x:v>5</x:v>
      </x:c>
      <x:c r="K340" s="16" t="n">
        <x:v>5</x:v>
      </x:c>
      <x:c r="L340" s="16" t="n">
        <x:v>2</x:v>
      </x:c>
      <x:c r="M340" s="16" t="n">
        <x:v>5</x:v>
      </x:c>
      <x:c r="N340" s="16" t="n">
        <x:v>5</x:v>
      </x:c>
      <x:c r="O340" s="16" t="n">
        <x:v>5</x:v>
      </x:c>
      <x:c r="P340" s="16" t="n">
        <x:f>IF(COUNT(I340:O340)&lt;7,"",I340*8+J340*3+K340*2+L340*2+M340*2+N340*2+O340)</x:f>
        <x:v>94</x:v>
      </x:c>
      <x:c r="Q340" s="16" t="n">
        <x:f>IF(COUNT(J340:O340)&lt;6,"",J340*5+K340*4+M340*4+L340*3+N340*2+O340*2)</x:f>
        <x:v>91</x:v>
      </x:c>
      <x:c r="R340" s="14" t="str">
        <x:v>high</x:v>
      </x:c>
      <x:c r="S340" s="14" t="str">
        <x:v>official_prozorro_award_2025_2026</x:v>
      </x:c>
      <x:c r="T340" s="14" t="str">
        <x:v>official_prozorro_api</x:v>
      </x:c>
      <x:c r="U340" s="14" t="str">
        <x:v>Не контактували</x:v>
      </x:c>
      <x:c r="V340" s="15" t="str">
        <x:v>Повторне звернення з новим тендерним сигналом UA-2025-07-10-003153-a; попросити 1 пакет здачі</x:v>
      </x:c>
      <x:c r="W340" s="15" t="str">
        <x:v>Власник / директор; керівник ПТО; відповідальний за договори</x:v>
      </x:c>
      <x:c r="X340" s="15" t="str">
        <x:v>2 підтверджених перемог/договорів у Prozorro на 195 699 грн; 2 проєктів зі строком виконання не раніше 24.08.2026.</x:v>
      </x:c>
      <x:c r="Y340" s="15" t="str">
        <x:v>Послуги з поточного ремонту монтажу систем вентиляції за адресою: с.Нова Долина, вул.Г.Кудряшова,1А; строк до 2026-12-31. Попросити один знеособлений пакет здачі за цим workflow.</x:v>
      </x:c>
      <x:c r="Z340" s="15" t="str">
        <x:v>https://prozorro.gov.ua/tender/UA-2026-08-05-001219-a</x:v>
      </x:c>
      <x:c r="AA340" s="14" t="str">
        <x:v>38017969</x:v>
      </x:c>
      <x:c r="AB340" s="14" t="str">
        <x:v>2026-08-24</x:v>
      </x:c>
      <x:c r="AC340" s="14" t="str"/>
      <x:c r="AD340" s="20" t="str"/>
      <x:c r="AE340" s="14" t="str"/>
      <x:c r="AF340" s="14" t="n">
        <x:v>66</x:v>
      </x:c>
      <x:c r="AG340" s="14" t="str">
        <x:v>I2</x:v>
      </x:c>
      <x:c r="AH340" s="14" t="n">
        <x:v>3</x:v>
      </x:c>
      <x:c r="AI340" s="14" t="n">
        <x:v>2</x:v>
      </x:c>
      <x:c r="AJ340" s="18" t="n">
        <x:v>295682.28</x:v>
      </x:c>
      <x:c r="AK340" s="14" t="str">
        <x:v>https://prozorro.gov.ua/tender/UA-2025-07-10-003153-a</x:v>
      </x:c>
      <x:c r="AL340" s="19" t="n">
        <x:v>45848.34645511574</x:v>
      </x:c>
      <x:c r="AM340" s="19" t="n">
        <x:v>45879</x:v>
      </x:c>
      <x:c r="AN340" s="15" t="str">
        <x:v>HVAC / ОВіК; Промисловий холод</x:v>
      </x:c>
      <x:c r="AO340" s="15" t="str">
        <x:v>not_found_in_top_search</x:v>
      </x:c>
    </x:row>
    <x:row r="341">
      <x:c r="A341" s="14" t="str">
        <x:v>W3-069</x:v>
      </x:c>
      <x:c r="B341" s="14" t="str">
        <x:v>Prozorro winners — 24.08</x:v>
      </x:c>
      <x:c r="C341" s="14" t="str">
        <x:v>Товариство з обмеженою відповідальністю «Обслуговування Будівництво Експлуатація Споруд Зв’язку»</x:v>
      </x:c>
      <x:c r="D341" s="14" t="str">
        <x:v>ГНБ / безтраншейні роботи</x:v>
      </x:c>
      <x:c r="E341" s="14" t="str">
        <x:v>Expansion discovery</x:v>
      </x:c>
      <x:c r="F341" s="17" t="str">
        <x:v>D2</x:v>
      </x:c>
      <x:c r="G341" s="14" t="str"/>
      <x:c r="H341" s="14" t="str">
        <x:v>Discovery розширення — 2 тижні</x:v>
      </x:c>
      <x:c r="I341" s="16" t="n">
        <x:v>1</x:v>
      </x:c>
      <x:c r="J341" s="16" t="n">
        <x:v>5</x:v>
      </x:c>
      <x:c r="K341" s="16" t="n">
        <x:v>4</x:v>
      </x:c>
      <x:c r="L341" s="16" t="n">
        <x:v>2</x:v>
      </x:c>
      <x:c r="M341" s="16" t="n">
        <x:v>5</x:v>
      </x:c>
      <x:c r="N341" s="16" t="n">
        <x:v>5</x:v>
      </x:c>
      <x:c r="O341" s="16" t="n">
        <x:v>5</x:v>
      </x:c>
      <x:c r="P341" s="16" t="n">
        <x:f>IF(COUNT(I341:O341)&lt;7,"",I341*8+J341*3+K341*2+L341*2+M341*2+N341*2+O341)</x:f>
        <x:v>60</x:v>
      </x:c>
      <x:c r="Q341" s="16" t="n">
        <x:f>IF(COUNT(J341:O341)&lt;6,"",J341*5+K341*4+M341*4+L341*3+N341*2+O341*2)</x:f>
        <x:v>87</x:v>
      </x:c>
      <x:c r="R341" s="14" t="str">
        <x:v>high</x:v>
      </x:c>
      <x:c r="S341" s="14" t="str">
        <x:v>official_prozorro_award_2025_2026</x:v>
      </x:c>
      <x:c r="T341" s="14" t="str">
        <x:v>official_prozorro_api</x:v>
      </x:c>
      <x:c r="U341" s="14" t="str">
        <x:v>Не контактували</x:v>
      </x:c>
      <x:c r="V341" s="15" t="str">
        <x:v>Повторне звернення з новим тендерним сигналом UA-2024-08-14-007368-a; попросити 1 пакет здачі</x:v>
      </x:c>
      <x:c r="W341" s="15" t="str">
        <x:v>Власник / директор; керівник ПТО; відповідальний за договори</x:v>
      </x:c>
      <x:c r="X341" s="15" t="str">
        <x:v>2 підтверджених перемог/договорів у Prozorro на 174 680 грн; 2 проєктів зі строком виконання не раніше 24.08.2026.</x:v>
      </x:c>
      <x:c r="Y341" s="15" t="str">
        <x:v>Комплекс будівельних робіт щодо влаштування переходу методом горизонтально-направленого буріння; строк до 2026-12-31. Попросити один знеособлений пакет здачі за цим workflow.</x:v>
      </x:c>
      <x:c r="Z341" s="15" t="str">
        <x:v>https://prozorro.gov.ua/tender/UA-2026-08-17-009018-a</x:v>
      </x:c>
      <x:c r="AA341" s="14" t="str">
        <x:v>34167688</x:v>
      </x:c>
      <x:c r="AB341" s="14" t="str">
        <x:v>2026-08-24</x:v>
      </x:c>
      <x:c r="AC341" s="14" t="str"/>
      <x:c r="AD341" s="20" t="str"/>
      <x:c r="AE341" s="14" t="str"/>
      <x:c r="AF341" s="14" t="n">
        <x:v>66</x:v>
      </x:c>
      <x:c r="AG341" s="14" t="str">
        <x:v>I2</x:v>
      </x:c>
      <x:c r="AH341" s="14" t="n">
        <x:v>3</x:v>
      </x:c>
      <x:c r="AI341" s="14" t="n">
        <x:v>2</x:v>
      </x:c>
      <x:c r="AJ341" s="18" t="n">
        <x:v>282680</x:v>
      </x:c>
      <x:c r="AK341" s="14" t="str">
        <x:v>https://prozorro.gov.ua/tender/UA-2024-08-14-007368-a</x:v>
      </x:c>
      <x:c r="AL341" s="19" t="n">
        <x:v>45518.48122037037</x:v>
      </x:c>
      <x:c r="AM341" s="19" t="n">
        <x:v>45535</x:v>
      </x:c>
      <x:c r="AN341" s="15" t="str">
        <x:v>ГНБ / безтраншейні роботи</x:v>
      </x:c>
      <x:c r="AO341" s="15" t="str">
        <x:v>not_found_in_top_search</x:v>
      </x:c>
    </x:row>
    <x:row r="342">
      <x:c r="A342" s="14" t="str">
        <x:v>W3-070</x:v>
      </x:c>
      <x:c r="B342" s="14" t="str">
        <x:v>Prozorro winners — 24.08</x:v>
      </x:c>
      <x:c r="C342" s="14" t="str">
        <x:v>ТОВАРИСТВО З ОБМЕЖЕНОЮ ВІДПОВІДАЛЬНІСТЮ "КОВЧЕГ ІНЖЕНЕРИНГ"</x:v>
      </x:c>
      <x:c r="D342" s="14" t="str">
        <x:v>Зовнішні мережі</x:v>
      </x:c>
      <x:c r="E342" s="14" t="str">
        <x:v>Expansion discovery</x:v>
      </x:c>
      <x:c r="F342" s="17" t="str">
        <x:v>D2</x:v>
      </x:c>
      <x:c r="G342" s="14" t="str"/>
      <x:c r="H342" s="14" t="str">
        <x:v>Discovery розширення — 2 тижні</x:v>
      </x:c>
      <x:c r="I342" s="16" t="n">
        <x:v>1</x:v>
      </x:c>
      <x:c r="J342" s="16" t="n">
        <x:v>5</x:v>
      </x:c>
      <x:c r="K342" s="16" t="n">
        <x:v>4</x:v>
      </x:c>
      <x:c r="L342" s="16" t="n">
        <x:v>2</x:v>
      </x:c>
      <x:c r="M342" s="16" t="n">
        <x:v>5</x:v>
      </x:c>
      <x:c r="N342" s="16" t="n">
        <x:v>5</x:v>
      </x:c>
      <x:c r="O342" s="16" t="n">
        <x:v>5</x:v>
      </x:c>
      <x:c r="P342" s="16" t="n">
        <x:f>IF(COUNT(I342:O342)&lt;7,"",I342*8+J342*3+K342*2+L342*2+M342*2+N342*2+O342)</x:f>
        <x:v>60</x:v>
      </x:c>
      <x:c r="Q342" s="16" t="n">
        <x:f>IF(COUNT(J342:O342)&lt;6,"",J342*5+K342*4+M342*4+L342*3+N342*2+O342*2)</x:f>
        <x:v>87</x:v>
      </x:c>
      <x:c r="R342" s="14" t="str">
        <x:v>high</x:v>
      </x:c>
      <x:c r="S342" s="14" t="str">
        <x:v>official_prozorro_award_2025_2026</x:v>
      </x:c>
      <x:c r="T342" s="14" t="str">
        <x:v>official_prozorro_api</x:v>
      </x:c>
      <x:c r="U342" s="14" t="str">
        <x:v>Не контактували</x:v>
      </x:c>
      <x:c r="V342" s="15" t="str">
        <x:v>Workflow-audit outreach по UA-2026-08-06-008231-a; попросити 1 пакет здачі та вимоги проєкту</x:v>
      </x:c>
      <x:c r="W342" s="15" t="str">
        <x:v>Власник / директор; керівник ПТО; відповідальний за договори</x:v>
      </x:c>
      <x:c r="X342" s="15" t="str">
        <x:v>2 підтверджених перемог/договорів у Prozorro на 147 264 грн; 2 проєктів зі строком виконання не раніше 24.08.2026.</x:v>
      </x:c>
      <x:c r="Y342"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 строк до 2026-12-25. Попросити один знеособлений пакет здачі за цим workflow.</x:v>
      </x:c>
      <x:c r="Z342" s="15" t="str">
        <x:v>https://prozorro.gov.ua/tender/UA-2026-08-06-008231-a</x:v>
      </x:c>
      <x:c r="AA342" s="14" t="str">
        <x:v>42743490</x:v>
      </x:c>
      <x:c r="AB342" s="14" t="str">
        <x:v>2026-08-24</x:v>
      </x:c>
      <x:c r="AC342" s="14" t="str"/>
      <x:c r="AD342" s="20" t="str"/>
      <x:c r="AE342" s="14" t="str"/>
      <x:c r="AF342" s="14" t="n">
        <x:v>66</x:v>
      </x:c>
      <x:c r="AG342" s="14" t="str">
        <x:v>I2</x:v>
      </x:c>
      <x:c r="AH342" s="14" t="n">
        <x:v>2</x:v>
      </x:c>
      <x:c r="AI342" s="14" t="n">
        <x:v>2</x:v>
      </x:c>
      <x:c r="AJ342" s="18" t="n">
        <x:v>147264</x:v>
      </x:c>
      <x:c r="AK342" s="14" t="str">
        <x:v>https://prozorro.gov.ua/tender/UA-2026-08-06-008231-a</x:v>
      </x:c>
      <x:c r="AL342" s="19" t="n">
        <x:v>46240.50336412037</x:v>
      </x:c>
      <x:c r="AM342" s="19" t="n">
        <x:v>46381</x:v>
      </x:c>
      <x:c r="AN342" s="15" t="str">
        <x:v>Зовнішні мережі</x:v>
      </x:c>
      <x:c r="AO342" s="15" t="str">
        <x:v>not_found_in_top_search</x:v>
      </x:c>
    </x:row>
    <x:row r="343">
      <x:c r="A343" s="14" t="str">
        <x:v>W3-071</x:v>
      </x:c>
      <x:c r="B343" s="14" t="str">
        <x:v>Prozorro winners — 24.08</x:v>
      </x:c>
      <x:c r="C343" s="14" t="str">
        <x:v>Фізична особа підприємець Гречаниченко Микола Миколайович</x:v>
      </x:c>
      <x:c r="D343" s="14" t="str">
        <x:v>Сонячна енергетика</x:v>
      </x:c>
      <x:c r="E343" s="14" t="str">
        <x:v>Expansion discovery</x:v>
      </x:c>
      <x:c r="F343" s="17" t="str">
        <x:v>D2</x:v>
      </x:c>
      <x:c r="G343" s="14" t="str"/>
      <x:c r="H343" s="14" t="str">
        <x:v>Discovery розширення — 2 тижні</x:v>
      </x:c>
      <x:c r="I343" s="16" t="n">
        <x:v>1</x:v>
      </x:c>
      <x:c r="J343" s="16" t="n">
        <x:v>5</x:v>
      </x:c>
      <x:c r="K343" s="16" t="n">
        <x:v>4</x:v>
      </x:c>
      <x:c r="L343" s="16" t="n">
        <x:v>2</x:v>
      </x:c>
      <x:c r="M343" s="16" t="n">
        <x:v>5</x:v>
      </x:c>
      <x:c r="N343" s="16" t="n">
        <x:v>3</x:v>
      </x:c>
      <x:c r="O343" s="16" t="n">
        <x:v>5</x:v>
      </x:c>
      <x:c r="P343" s="16" t="n">
        <x:f>IF(COUNT(I343:O343)&lt;7,"",I343*8+J343*3+K343*2+L343*2+M343*2+N343*2+O343)</x:f>
        <x:v>56</x:v>
      </x:c>
      <x:c r="Q343" s="16" t="n">
        <x:f>IF(COUNT(J343:O343)&lt;6,"",J343*5+K343*4+M343*4+L343*3+N343*2+O343*2)</x:f>
        <x:v>83</x:v>
      </x:c>
      <x:c r="R343" s="14" t="str">
        <x:v>high</x:v>
      </x:c>
      <x:c r="S343" s="14" t="str">
        <x:v>official_prozorro_award_2025_2026</x:v>
      </x:c>
      <x:c r="T343" s="14" t="str">
        <x:v>official_prozorro_api</x:v>
      </x:c>
      <x:c r="U343" s="14" t="str">
        <x:v>Не контактували</x:v>
      </x:c>
      <x:c r="V343" s="15" t="str">
        <x:v>Workflow-audit outreach по UA-2026-08-14-006586-a; попросити 1 пакет здачі та вимоги проєкту</x:v>
      </x:c>
      <x:c r="W343" s="15" t="str">
        <x:v>Власник / виконавець; відповідальний за договір</x:v>
      </x:c>
      <x:c r="X343" s="15" t="str">
        <x:v>2 підтверджених перемог/договорів у Prozorro на 135 044 грн; 2 проєктів зі строком виконання не раніше 24.08.2026.</x:v>
      </x:c>
      <x:c r="Y343"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 строк до 2026-12-31. Попросити один знеособлений пакет здачі за цим workflow.</x:v>
      </x:c>
      <x:c r="Z343" s="15" t="str">
        <x:v>https://prozorro.gov.ua/tender/UA-2026-08-14-006586-a</x:v>
      </x:c>
      <x:c r="AA343" s="14" t="str">
        <x:v>3086618552</x:v>
      </x:c>
      <x:c r="AB343" s="14" t="str">
        <x:v>2026-08-24</x:v>
      </x:c>
      <x:c r="AC343" s="14" t="str"/>
      <x:c r="AD343" s="20" t="str"/>
      <x:c r="AE343" s="14" t="str"/>
      <x:c r="AF343" s="14" t="n">
        <x:v>66</x:v>
      </x:c>
      <x:c r="AG343" s="14" t="str">
        <x:v>I2</x:v>
      </x:c>
      <x:c r="AH343" s="14" t="n">
        <x:v>2</x:v>
      </x:c>
      <x:c r="AI343" s="14" t="n">
        <x:v>2</x:v>
      </x:c>
      <x:c r="AJ343" s="18" t="n">
        <x:v>135044</x:v>
      </x:c>
      <x:c r="AK343" s="14" t="str">
        <x:v>https://prozorro.gov.ua/tender/UA-2026-08-14-006586-a</x:v>
      </x:c>
      <x:c r="AL343" s="19" t="n">
        <x:v>46248.4419971875</x:v>
      </x:c>
      <x:c r="AM343" s="19" t="n">
        <x:v>46387</x:v>
      </x:c>
      <x:c r="AN343" s="15" t="str">
        <x:v>Сонячна енергетика; Газопостачання / котельні</x:v>
      </x:c>
      <x:c r="AO343" s="15" t="str">
        <x:v>not_found_in_top_search</x:v>
      </x:c>
    </x:row>
    <x:row r="344">
      <x:c r="A344" s="14" t="str">
        <x:v>W3-072</x:v>
      </x:c>
      <x:c r="B344" s="14" t="str">
        <x:v>Prozorro winners — 24.08</x:v>
      </x:c>
      <x:c r="C344" s="14" t="str">
        <x:v>ТОВАРИСТВО З ОБМЕЖЕНОЮ ВІДПОВІДАЛЬНІСТЮ "ВИРОБНИЧО-КОМЕРЦІЙНЕ ПІДПРИЄМСТВО "СУЧАСНІ ЕНЕРГЕТИЧНІ ТЕХНОЛОГІЇ"</x:v>
      </x:c>
      <x:c r="D344" s="14" t="str">
        <x:v>Сонячна енергетика</x:v>
      </x:c>
      <x:c r="E344" s="14" t="str">
        <x:v>Expansion discovery</x:v>
      </x:c>
      <x:c r="F344" s="17" t="str">
        <x:v>D2</x:v>
      </x:c>
      <x:c r="G344" s="14" t="str"/>
      <x:c r="H344" s="14" t="str">
        <x:v>Discovery розширення — 2 тижні</x:v>
      </x:c>
      <x:c r="I344" s="16" t="n">
        <x:v>1</x:v>
      </x:c>
      <x:c r="J344" s="16" t="n">
        <x:v>5</x:v>
      </x:c>
      <x:c r="K344" s="16" t="n">
        <x:v>4</x:v>
      </x:c>
      <x:c r="L344" s="16" t="n">
        <x:v>2</x:v>
      </x:c>
      <x:c r="M344" s="16" t="n">
        <x:v>5</x:v>
      </x:c>
      <x:c r="N344" s="16" t="n">
        <x:v>5</x:v>
      </x:c>
      <x:c r="O344" s="16" t="n">
        <x:v>5</x:v>
      </x:c>
      <x:c r="P344" s="16" t="n">
        <x:f>IF(COUNT(I344:O344)&lt;7,"",I344*8+J344*3+K344*2+L344*2+M344*2+N344*2+O344)</x:f>
        <x:v>60</x:v>
      </x:c>
      <x:c r="Q344" s="16" t="n">
        <x:f>IF(COUNT(J344:O344)&lt;6,"",J344*5+K344*4+M344*4+L344*3+N344*2+O344*2)</x:f>
        <x:v>87</x:v>
      </x:c>
      <x:c r="R344" s="14" t="str">
        <x:v>high</x:v>
      </x:c>
      <x:c r="S344" s="14" t="str">
        <x:v>official_prozorro_award_2025_2026</x:v>
      </x:c>
      <x:c r="T344" s="14" t="str">
        <x:v>official_prozorro_api</x:v>
      </x:c>
      <x:c r="U344" s="14" t="str">
        <x:v>Не контактували</x:v>
      </x:c>
      <x:c r="V344" s="15" t="str">
        <x:v>Workflow-audit outreach по UA-2026-07-16-002118-a; попросити 1 пакет здачі та вимоги проєкту</x:v>
      </x:c>
      <x:c r="W344" s="15" t="str">
        <x:v>Власник / директор; керівник ПТО; відповідальний за договори</x:v>
      </x:c>
      <x:c r="X344" s="15" t="str">
        <x:v>2 підтверджених перемог/договорів у Prozorro на 120 852 грн; 2 проєктів зі строком виконання не раніше 24.08.2026.</x:v>
      </x:c>
      <x:c r="Y344" s="15" t="str">
        <x:v>монтаж сонячної електростанції; строк до 2026-12-31. Попросити один знеособлений пакет здачі за цим workflow.</x:v>
      </x:c>
      <x:c r="Z344" s="15" t="str">
        <x:v>https://prozorro.gov.ua/tender/UA-2026-07-16-002118-a</x:v>
      </x:c>
      <x:c r="AA344" s="14" t="str">
        <x:v>40395711</x:v>
      </x:c>
      <x:c r="AB344" s="14" t="str">
        <x:v>2026-08-24</x:v>
      </x:c>
      <x:c r="AC344" s="14" t="str"/>
      <x:c r="AD344" s="20" t="str"/>
      <x:c r="AE344" s="14" t="str"/>
      <x:c r="AF344" s="14" t="n">
        <x:v>66</x:v>
      </x:c>
      <x:c r="AG344" s="14" t="str">
        <x:v>I2</x:v>
      </x:c>
      <x:c r="AH344" s="14" t="n">
        <x:v>2</x:v>
      </x:c>
      <x:c r="AI344" s="14" t="n">
        <x:v>2</x:v>
      </x:c>
      <x:c r="AJ344" s="18" t="n">
        <x:v>120852</x:v>
      </x:c>
      <x:c r="AK344" s="14" t="str">
        <x:v>https://prozorro.gov.ua/tender/UA-2026-07-16-002118-a</x:v>
      </x:c>
      <x:c r="AL344" s="19" t="n">
        <x:v>46219.321427800925</x:v>
      </x:c>
      <x:c r="AM344" s="19" t="n">
        <x:v>46387</x:v>
      </x:c>
      <x:c r="AN344" s="15" t="str">
        <x:v>Сонячна енергетика</x:v>
      </x:c>
      <x:c r="AO344" s="15" t="str">
        <x:v>not_found_in_top_search</x:v>
      </x:c>
    </x:row>
    <x:row r="345">
      <x:c r="A345" s="14" t="str">
        <x:v>W3-073</x:v>
      </x:c>
      <x:c r="B345" s="14" t="str">
        <x:v>Prozorro winners — 24.08</x:v>
      </x:c>
      <x:c r="C345" s="14" t="str">
        <x:v>АТ " Тернопільобленерго" Підволочиський РЕМ</x:v>
      </x:c>
      <x:c r="D345" s="14" t="str">
        <x:v>Електромонтаж</x:v>
      </x:c>
      <x:c r="E345" s="14" t="str">
        <x:v>Pilot now</x:v>
      </x:c>
      <x:c r="F345" s="17" t="str">
        <x:v>P2</x:v>
      </x:c>
      <x:c r="G345" s="14" t="str"/>
      <x:c r="H345" s="14" t="str">
        <x:v>Пілот зараз — Н.15</x:v>
      </x:c>
      <x:c r="I345" s="16" t="n">
        <x:v>5</x:v>
      </x:c>
      <x:c r="J345" s="16" t="n">
        <x:v>5</x:v>
      </x:c>
      <x:c r="K345" s="16" t="n">
        <x:v>5</x:v>
      </x:c>
      <x:c r="L345" s="16" t="n">
        <x:v>2</x:v>
      </x:c>
      <x:c r="M345" s="16" t="n">
        <x:v>5</x:v>
      </x:c>
      <x:c r="N345" s="16" t="n">
        <x:v>5</x:v>
      </x:c>
      <x:c r="O345" s="16" t="n">
        <x:v>5</x:v>
      </x:c>
      <x:c r="P345" s="16" t="n">
        <x:f>IF(COUNT(I345:O345)&lt;7,"",I345*8+J345*3+K345*2+L345*2+M345*2+N345*2+O345)</x:f>
        <x:v>94</x:v>
      </x:c>
      <x:c r="Q345" s="16" t="n">
        <x:f>IF(COUNT(J345:O345)&lt;6,"",J345*5+K345*4+M345*4+L345*3+N345*2+O345*2)</x:f>
        <x:v>91</x:v>
      </x:c>
      <x:c r="R345" s="14" t="str">
        <x:v>high</x:v>
      </x:c>
      <x:c r="S345" s="14" t="str">
        <x:v>official_prozorro_award_2025_2026</x:v>
      </x:c>
      <x:c r="T345" s="14" t="str">
        <x:v>official_prozorro_api</x:v>
      </x:c>
      <x:c r="U345" s="14" t="str">
        <x:v>Не контактували</x:v>
      </x:c>
      <x:c r="V345" s="15" t="str">
        <x:v>Персоналізований free-pilot outreach по UA-2026-08-17-008334-a; попросити 1 пакет Н.14/Н.15</x:v>
      </x:c>
      <x:c r="W345" s="15" t="str">
        <x:v>Власник / директор; керівник ПТО; відповідальний за договори</x:v>
      </x:c>
      <x:c r="X345" s="15" t="str">
        <x:v>2 підтверджених перемог/договорів у Prozorro на 112 928 грн; 2 проєктів зі строком виконання не раніше 24.08.2026.</x:v>
      </x:c>
      <x:c r="Y345" s="15" t="str">
        <x:v>Електромонтажні роботи; строк до 2026-12-31. Попросити один знеособлений пакет здачі за цим workflow.</x:v>
      </x:c>
      <x:c r="Z345" s="15" t="str">
        <x:v>https://prozorro.gov.ua/tender/UA-2026-08-17-008334-a</x:v>
      </x:c>
      <x:c r="AA345" s="14" t="str">
        <x:v>00130725</x:v>
      </x:c>
      <x:c r="AB345" s="14" t="str">
        <x:v>2026-08-24</x:v>
      </x:c>
      <x:c r="AC345" s="14" t="str"/>
      <x:c r="AD345" s="20" t="str"/>
      <x:c r="AE345" s="14" t="str"/>
      <x:c r="AF345" s="14" t="n">
        <x:v>66</x:v>
      </x:c>
      <x:c r="AG345" s="14" t="str">
        <x:v>I2</x:v>
      </x:c>
      <x:c r="AH345" s="14" t="n">
        <x:v>2</x:v>
      </x:c>
      <x:c r="AI345" s="14" t="n">
        <x:v>2</x:v>
      </x:c>
      <x:c r="AJ345" s="18" t="n">
        <x:v>112928.18</x:v>
      </x:c>
      <x:c r="AK345" s="14" t="str">
        <x:v>https://prozorro.gov.ua/tender/UA-2026-08-17-008334-a</x:v>
      </x:c>
      <x:c r="AL345" s="19" t="n">
        <x:v>46251.498970740744</x:v>
      </x:c>
      <x:c r="AM345" s="19" t="n">
        <x:v>46387</x:v>
      </x:c>
      <x:c r="AN345" s="15" t="str">
        <x:v>Електромонтаж</x:v>
      </x:c>
      <x:c r="AO345" s="15" t="str">
        <x:v>not_found_in_top_search</x:v>
      </x:c>
    </x:row>
    <x:row r="346">
      <x:c r="A346" s="14" t="str">
        <x:v>W3-074</x:v>
      </x:c>
      <x:c r="B346" s="14" t="str">
        <x:v>Prozorro winners — 24.08</x:v>
      </x:c>
      <x:c r="C346" s="14" t="str">
        <x:v>ТОВ "Гранд інжиніринг Україна"</x:v>
      </x:c>
      <x:c r="D346" s="14" t="str">
        <x:v>Газопостачання / котельні</x:v>
      </x:c>
      <x:c r="E346" s="14" t="str">
        <x:v>Expansion discovery</x:v>
      </x:c>
      <x:c r="F346" s="17" t="str">
        <x:v>D2</x:v>
      </x:c>
      <x:c r="G346" s="14" t="str"/>
      <x:c r="H346" s="14" t="str">
        <x:v>Discovery розширення — 2 тижні</x:v>
      </x:c>
      <x:c r="I346" s="16" t="n">
        <x:v>1</x:v>
      </x:c>
      <x:c r="J346" s="16" t="n">
        <x:v>5</x:v>
      </x:c>
      <x:c r="K346" s="16" t="n">
        <x:v>4</x:v>
      </x:c>
      <x:c r="L346" s="16" t="n">
        <x:v>1</x:v>
      </x:c>
      <x:c r="M346" s="16" t="n">
        <x:v>5</x:v>
      </x:c>
      <x:c r="N346" s="16" t="n">
        <x:v>5</x:v>
      </x:c>
      <x:c r="O346" s="16" t="n">
        <x:v>5</x:v>
      </x:c>
      <x:c r="P346" s="16" t="n">
        <x:f>IF(COUNT(I346:O346)&lt;7,"",I346*8+J346*3+K346*2+L346*2+M346*2+N346*2+O346)</x:f>
        <x:v>58</x:v>
      </x:c>
      <x:c r="Q346" s="16" t="n">
        <x:f>IF(COUNT(J346:O346)&lt;6,"",J346*5+K346*4+M346*4+L346*3+N346*2+O346*2)</x:f>
        <x:v>84</x:v>
      </x:c>
      <x:c r="R346" s="14" t="str">
        <x:v>high</x:v>
      </x:c>
      <x:c r="S346" s="14" t="str">
        <x:v>official_prozorro_award_2025_2026</x:v>
      </x:c>
      <x:c r="T346" s="14" t="str">
        <x:v>official_prozorro_api</x:v>
      </x:c>
      <x:c r="U346" s="14" t="str">
        <x:v>Не контактували</x:v>
      </x:c>
      <x:c r="V346" s="15" t="str">
        <x:v>Workflow-audit outreach по UA-2026-05-14-009008-a; попросити 1 пакет здачі та вимоги проєкту</x:v>
      </x:c>
      <x:c r="W346" s="15" t="str">
        <x:v>Власник / директор; керівник ПТО; відповідальний за договори</x:v>
      </x:c>
      <x:c r="X346" s="15" t="str">
        <x:v>3 підтверджених перемог/договорів у Prozorro на 69 010 грн; 3 проєктів зі строком виконання не раніше 24.08.2026.</x:v>
      </x:c>
      <x:c r="Y346" s="15" t="str">
        <x:v>Роботи по демонтажу, державній повірці у відповідній лабораторії  та монтажу  лічильника газу, GPRS модему  ТКБ  в котельні  №2 ліцею.; строк до 2026-10-01. Попросити один знеособлений пакет здачі за цим workflow.</x:v>
      </x:c>
      <x:c r="Z346" s="15" t="str">
        <x:v>https://prozorro.gov.ua/tender/UA-2026-05-14-009008-a</x:v>
      </x:c>
      <x:c r="AA346" s="14" t="str">
        <x:v>36577370</x:v>
      </x:c>
      <x:c r="AB346" s="14" t="str">
        <x:v>2026-08-24</x:v>
      </x:c>
      <x:c r="AC346" s="14" t="str"/>
      <x:c r="AD346" s="20" t="str"/>
      <x:c r="AE346" s="14" t="str"/>
      <x:c r="AF346" s="14" t="n">
        <x:v>66</x:v>
      </x:c>
      <x:c r="AG346" s="14" t="str">
        <x:v>I2</x:v>
      </x:c>
      <x:c r="AH346" s="14" t="n">
        <x:v>3</x:v>
      </x:c>
      <x:c r="AI346" s="14" t="n">
        <x:v>3</x:v>
      </x:c>
      <x:c r="AJ346" s="18" t="n">
        <x:v>69010</x:v>
      </x:c>
      <x:c r="AK346" s="14" t="str">
        <x:v>https://prozorro.gov.ua/tender/UA-2026-05-14-009008-a</x:v>
      </x:c>
      <x:c r="AL346" s="19" t="n">
        <x:v>46156.48084564815</x:v>
      </x:c>
      <x:c r="AM346" s="19" t="n">
        <x:v>46296.4825</x:v>
      </x:c>
      <x:c r="AN346" s="15" t="str">
        <x:v>Газопостачання / котельні</x:v>
      </x:c>
      <x:c r="AO346" s="15" t="str">
        <x:v>not_found_in_top_search</x:v>
      </x:c>
    </x:row>
    <x:row r="347">
      <x:c r="A347" s="14" t="str">
        <x:v>W3-075</x:v>
      </x:c>
      <x:c r="B347" s="14" t="str">
        <x:v>Prozorro winners — 24.08</x:v>
      </x:c>
      <x:c r="C347" s="14" t="str">
        <x:v>ПРИВАТНЕ ПІДПРИЄМСТВО "ЕКОХІМСЕРВІС"</x:v>
      </x:c>
      <x:c r="D347" s="14" t="str">
        <x:v>Водоочищення / очисні споруди</x:v>
      </x:c>
      <x:c r="E347" s="14" t="str">
        <x:v>Expansion discovery</x:v>
      </x:c>
      <x:c r="F347" s="17" t="str">
        <x:v>D2</x:v>
      </x:c>
      <x:c r="G347" s="14" t="str"/>
      <x:c r="H347" s="14" t="str">
        <x:v>Discovery розширення — 2 тижні</x:v>
      </x:c>
      <x:c r="I347" s="16" t="n">
        <x:v>1</x:v>
      </x:c>
      <x:c r="J347" s="16" t="n">
        <x:v>5</x:v>
      </x:c>
      <x:c r="K347" s="16" t="n">
        <x:v>4</x:v>
      </x:c>
      <x:c r="L347" s="16" t="n">
        <x:v>3</x:v>
      </x:c>
      <x:c r="M347" s="16" t="n">
        <x:v>5</x:v>
      </x:c>
      <x:c r="N347" s="16" t="n">
        <x:v>5</x:v>
      </x:c>
      <x:c r="O347" s="16" t="n">
        <x:v>5</x:v>
      </x:c>
      <x:c r="P347" s="16" t="n">
        <x:f>IF(COUNT(I347:O347)&lt;7,"",I347*8+J347*3+K347*2+L347*2+M347*2+N347*2+O347)</x:f>
        <x:v>62</x:v>
      </x:c>
      <x:c r="Q347" s="16" t="n">
        <x:f>IF(COUNT(J347:O347)&lt;6,"",J347*5+K347*4+M347*4+L347*3+N347*2+O347*2)</x:f>
        <x:v>90</x:v>
      </x:c>
      <x:c r="R347" s="14" t="str">
        <x:v>high</x:v>
      </x:c>
      <x:c r="S347" s="14" t="str">
        <x:v>official_prozorro_award_2025_2026</x:v>
      </x:c>
      <x:c r="T347" s="14" t="str">
        <x:v>official_prozorro_api</x:v>
      </x:c>
      <x:c r="U347" s="14" t="str">
        <x:v>Не контактували</x:v>
      </x:c>
      <x:c r="V347" s="15" t="str">
        <x:v>Workflow-audit outreach по UA-2026-08-20-012943-a; попросити 1 пакет здачі та вимоги проєкту</x:v>
      </x:c>
      <x:c r="W347" s="15" t="str">
        <x:v>Власник / директор; керівник ПТО; відповідальний за договори</x:v>
      </x:c>
      <x:c r="X347" s="15" t="str">
        <x:v>2 підтверджених перемог/договорів у Prozorro на 1 534 517 грн; 1 проєктів зі строком виконання не раніше 24.08.2026.</x:v>
      </x:c>
      <x:c r="Y347"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 строк до 2026-12-31. Попросити один знеособлений пакет здачі за цим workflow.</x:v>
      </x:c>
      <x:c r="Z347" s="15" t="str">
        <x:v>https://prozorro.gov.ua/tender/UA-2026-08-20-012943-a</x:v>
      </x:c>
      <x:c r="AA347" s="14" t="str">
        <x:v>39365715</x:v>
      </x:c>
      <x:c r="AB347" s="14" t="str">
        <x:v>2026-08-24</x:v>
      </x:c>
      <x:c r="AC347" s="14" t="str"/>
      <x:c r="AD347" s="20" t="str"/>
      <x:c r="AE347" s="14" t="str"/>
      <x:c r="AF347" s="14" t="n">
        <x:v>65</x:v>
      </x:c>
      <x:c r="AG347" s="14" t="str">
        <x:v>I2</x:v>
      </x:c>
      <x:c r="AH347" s="14" t="n">
        <x:v>2</x:v>
      </x:c>
      <x:c r="AI347" s="14" t="n">
        <x:v>1</x:v>
      </x:c>
      <x:c r="AJ347" s="18" t="n">
        <x:v>1534517.03</x:v>
      </x:c>
      <x:c r="AK347" s="14" t="str">
        <x:v>https://prozorro.gov.ua/tender/UA-2026-08-20-012943-a</x:v>
      </x:c>
      <x:c r="AL347" s="19" t="n">
        <x:v>46254.59984137731</x:v>
      </x:c>
      <x:c r="AM347" s="19" t="n">
        <x:v>46387</x:v>
      </x:c>
      <x:c r="AN347" s="15" t="str">
        <x:v>Водоочищення / очисні споруди</x:v>
      </x:c>
      <x:c r="AO347" s="15" t="str">
        <x:v>not_found_in_top_search</x:v>
      </x:c>
    </x:row>
    <x:row r="348">
      <x:c r="A348" s="14" t="str">
        <x:v>W3-076</x:v>
      </x:c>
      <x:c r="B348" s="14" t="str">
        <x:v>Prozorro winners — 24.08</x:v>
      </x:c>
      <x:c r="C348" s="14" t="str">
        <x:v>Товариство з обмеженою відповідальністю «УкрМонтажБудІнвест»</x:v>
      </x:c>
      <x:c r="D348" s="14" t="str">
        <x:v>ГНБ / безтраншейні роботи</x:v>
      </x:c>
      <x:c r="E348" s="14" t="str">
        <x:v>Expansion discovery</x:v>
      </x:c>
      <x:c r="F348" s="17" t="str">
        <x:v>D2</x:v>
      </x:c>
      <x:c r="G348" s="14" t="str"/>
      <x:c r="H348" s="14" t="str">
        <x:v>Discovery розширення — 2 тижні</x:v>
      </x:c>
      <x:c r="I348" s="16" t="n">
        <x:v>1</x:v>
      </x:c>
      <x:c r="J348" s="16" t="n">
        <x:v>5</x:v>
      </x:c>
      <x:c r="K348" s="16" t="n">
        <x:v>4</x:v>
      </x:c>
      <x:c r="L348" s="16" t="n">
        <x:v>5</x:v>
      </x:c>
      <x:c r="M348" s="16" t="n">
        <x:v>5</x:v>
      </x:c>
      <x:c r="N348" s="16" t="n">
        <x:v>5</x:v>
      </x:c>
      <x:c r="O348" s="16" t="n">
        <x:v>5</x:v>
      </x:c>
      <x:c r="P348" s="16" t="n">
        <x:f>IF(COUNT(I348:O348)&lt;7,"",I348*8+J348*3+K348*2+L348*2+M348*2+N348*2+O348)</x:f>
        <x:v>66</x:v>
      </x:c>
      <x:c r="Q348" s="16" t="n">
        <x:f>IF(COUNT(J348:O348)&lt;6,"",J348*5+K348*4+M348*4+L348*3+N348*2+O348*2)</x:f>
        <x:v>96</x:v>
      </x:c>
      <x:c r="R348" s="14" t="str">
        <x:v>high</x:v>
      </x:c>
      <x:c r="S348" s="14" t="str">
        <x:v>official_prozorro_award_2025_2026</x:v>
      </x:c>
      <x:c r="T348" s="14" t="str">
        <x:v>official_prozorro_api</x:v>
      </x:c>
      <x:c r="U348" s="14" t="str">
        <x:v>Не контактували</x:v>
      </x:c>
      <x:c r="V348" s="15" t="str">
        <x:v>Workflow-audit outreach по UA-2026-03-26-003194-a; попросити 1 пакет здачі та вимоги проєкту</x:v>
      </x:c>
      <x:c r="W348" s="15" t="str">
        <x:v>Власник / директор; керівник ПТО; відповідальний за договори</x:v>
      </x:c>
      <x:c r="X348" s="15" t="str">
        <x:v>6 підтверджених перемог/договорів у Prozorro на 28 901 700 грн; 0 проєктів зі строком виконання не раніше 24.08.2026.</x:v>
      </x:c>
      <x:c r="Y348"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 строк до 2026-04-30. Попросити один знеособлений пакет здачі за цим workflow.</x:v>
      </x:c>
      <x:c r="Z348" s="15" t="str">
        <x:v>https://prozorro.gov.ua/tender/UA-2026-03-26-003194-a</x:v>
      </x:c>
      <x:c r="AA348" s="14" t="str">
        <x:v>44176751</x:v>
      </x:c>
      <x:c r="AB348" s="14" t="str">
        <x:v>2026-08-24</x:v>
      </x:c>
      <x:c r="AC348" s="14" t="str"/>
      <x:c r="AD348" s="20" t="str"/>
      <x:c r="AE348" s="14" t="str"/>
      <x:c r="AF348" s="14" t="n">
        <x:v>64</x:v>
      </x:c>
      <x:c r="AG348" s="14" t="str">
        <x:v>I2</x:v>
      </x:c>
      <x:c r="AH348" s="14" t="n">
        <x:v>6</x:v>
      </x:c>
      <x:c r="AI348" s="14" t="n">
        <x:v>0</x:v>
      </x:c>
      <x:c r="AJ348" s="18" t="n">
        <x:v>28901700.31</x:v>
      </x:c>
      <x:c r="AK348" s="14" t="str">
        <x:v>https://prozorro.gov.ua/tender/UA-2026-03-26-003194-a</x:v>
      </x:c>
      <x:c r="AL348" s="19" t="n">
        <x:v>46107.36592069444</x:v>
      </x:c>
      <x:c r="AM348" s="19" t="n">
        <x:v>46142.32439814815</x:v>
      </x:c>
      <x:c r="AN348" s="15" t="str">
        <x:v>ГНБ / безтраншейні роботи</x:v>
      </x:c>
      <x:c r="AO348" s="15" t="str">
        <x:v>not_found_in_top_search</x:v>
      </x:c>
    </x:row>
    <x:row r="349">
      <x:c r="A349" s="14" t="str">
        <x:v>W3-077</x:v>
      </x:c>
      <x:c r="B349" s="14" t="str">
        <x:v>Prozorro winners — 24.08</x:v>
      </x:c>
      <x:c r="C349" s="14" t="str">
        <x:v>ПРИВАТНЕ АКЦІОНЕРНЕ ТОВАРИСТВО «УКРГІДРОПРОЕКТ»</x:v>
      </x:c>
      <x:c r="D349" s="14" t="str">
        <x:v>Ремонт і підсилення бетону</x:v>
      </x:c>
      <x:c r="E349" s="14" t="str">
        <x:v>Expansion discovery</x:v>
      </x:c>
      <x:c r="F349" s="17" t="str">
        <x:v>D2</x:v>
      </x:c>
      <x:c r="G349" s="14" t="str"/>
      <x:c r="H349" s="14" t="str">
        <x:v>Discovery розширення — 2 тижні</x:v>
      </x:c>
      <x:c r="I349" s="16" t="n">
        <x:v>1</x:v>
      </x:c>
      <x:c r="J349" s="16" t="n">
        <x:v>5</x:v>
      </x:c>
      <x:c r="K349" s="16" t="n">
        <x:v>4</x:v>
      </x:c>
      <x:c r="L349" s="16" t="n">
        <x:v>5</x:v>
      </x:c>
      <x:c r="M349" s="16" t="n">
        <x:v>5</x:v>
      </x:c>
      <x:c r="N349" s="16" t="n">
        <x:v>5</x:v>
      </x:c>
      <x:c r="O349" s="16" t="n">
        <x:v>5</x:v>
      </x:c>
      <x:c r="P349" s="16" t="n">
        <x:f>IF(COUNT(I349:O349)&lt;7,"",I349*8+J349*3+K349*2+L349*2+M349*2+N349*2+O349)</x:f>
        <x:v>66</x:v>
      </x:c>
      <x:c r="Q349" s="16" t="n">
        <x:f>IF(COUNT(J349:O349)&lt;6,"",J349*5+K349*4+M349*4+L349*3+N349*2+O349*2)</x:f>
        <x:v>96</x:v>
      </x:c>
      <x:c r="R349" s="14" t="str">
        <x:v>high</x:v>
      </x:c>
      <x:c r="S349" s="14" t="str">
        <x:v>official_prozorro_award_2025_2026</x:v>
      </x:c>
      <x:c r="T349" s="14" t="str">
        <x:v>official_prozorro_api</x:v>
      </x:c>
      <x:c r="U349" s="14" t="str">
        <x:v>Не контактували</x:v>
      </x:c>
      <x:c r="V349" s="15" t="str">
        <x:v>Workflow-audit outreach по UA-2026-02-10-007738-a; попросити 1 пакет здачі та вимоги проєкту</x:v>
      </x:c>
      <x:c r="W349" s="15" t="str">
        <x:v>Власник / директор; керівник ПТО; відповідальний за договори</x:v>
      </x:c>
      <x:c r="X349" s="15" t="str">
        <x:v>3 підтверджених перемог/договорів у Prozorro на 16 181 327 грн; 1 проєктів зі строком виконання не раніше 24.08.2026.</x:v>
      </x:c>
      <x:c r="Y349"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 строк до 2026-06-30. Попросити один знеособлений пакет здачі за цим workflow.</x:v>
      </x:c>
      <x:c r="Z349" s="15" t="str">
        <x:v>https://prozorro.gov.ua/tender/UA-2026-02-10-007738-a</x:v>
      </x:c>
      <x:c r="AA349" s="14" t="str">
        <x:v>00114117</x:v>
      </x:c>
      <x:c r="AB349" s="14" t="str">
        <x:v>2026-08-24</x:v>
      </x:c>
      <x:c r="AC349" s="14" t="str"/>
      <x:c r="AD349" s="20" t="str"/>
      <x:c r="AE349" s="14" t="str"/>
      <x:c r="AF349" s="14" t="n">
        <x:v>64</x:v>
      </x:c>
      <x:c r="AG349" s="14" t="str">
        <x:v>I2</x:v>
      </x:c>
      <x:c r="AH349" s="14" t="n">
        <x:v>3</x:v>
      </x:c>
      <x:c r="AI349" s="14" t="n">
        <x:v>1</x:v>
      </x:c>
      <x:c r="AJ349" s="18" t="n">
        <x:v>16181326.8</x:v>
      </x:c>
      <x:c r="AK349" s="14" t="str">
        <x:v>https://prozorro.gov.ua/tender/UA-2026-02-10-007738-a</x:v>
      </x:c>
      <x:c r="AL349" s="19" t="n">
        <x:v>46063.44981295139</x:v>
      </x:c>
      <x:c r="AM349" s="19" t="n">
        <x:v>46203</x:v>
      </x:c>
      <x:c r="AN349" s="15" t="str">
        <x:v>Ремонт і підсилення бетону</x:v>
      </x:c>
      <x:c r="AO349" s="15" t="str">
        <x:v>not_found_in_top_search</x:v>
      </x:c>
    </x:row>
    <x:row r="350">
      <x:c r="A350" s="14" t="str">
        <x:v>W3-078</x:v>
      </x:c>
      <x:c r="B350" s="14" t="str">
        <x:v>Prozorro winners — 24.08</x:v>
      </x:c>
      <x:c r="C350" s="14" t="str">
        <x:v>ТОВ СК ГРУПС</x:v>
      </x:c>
      <x:c r="D350" s="14" t="str">
        <x:v>Насосні станції</x:v>
      </x:c>
      <x:c r="E350" s="14" t="str">
        <x:v>Expansion discovery</x:v>
      </x:c>
      <x:c r="F350" s="17" t="str">
        <x:v>D2</x:v>
      </x:c>
      <x:c r="G350" s="14" t="str"/>
      <x:c r="H350" s="14" t="str">
        <x:v>Discovery розширення — 2 тижні</x:v>
      </x:c>
      <x:c r="I350" s="16" t="n">
        <x:v>1</x:v>
      </x:c>
      <x:c r="J350" s="16" t="n">
        <x:v>5</x:v>
      </x:c>
      <x:c r="K350" s="16" t="n">
        <x:v>4</x:v>
      </x:c>
      <x:c r="L350" s="16" t="n">
        <x:v>4</x:v>
      </x:c>
      <x:c r="M350" s="16" t="n">
        <x:v>5</x:v>
      </x:c>
      <x:c r="N350" s="16" t="n">
        <x:v>5</x:v>
      </x:c>
      <x:c r="O350" s="16" t="n">
        <x:v>5</x:v>
      </x:c>
      <x:c r="P350" s="16" t="n">
        <x:f>IF(COUNT(I350:O350)&lt;7,"",I350*8+J350*3+K350*2+L350*2+M350*2+N350*2+O350)</x:f>
        <x:v>64</x:v>
      </x:c>
      <x:c r="Q350" s="16" t="n">
        <x:f>IF(COUNT(J350:O350)&lt;6,"",J350*5+K350*4+M350*4+L350*3+N350*2+O350*2)</x:f>
        <x:v>93</x:v>
      </x:c>
      <x:c r="R350" s="14" t="str">
        <x:v>high</x:v>
      </x:c>
      <x:c r="S350" s="14" t="str">
        <x:v>official_prozorro_award_2025_2026</x:v>
      </x:c>
      <x:c r="T350" s="14" t="str">
        <x:v>official_prozorro_api</x:v>
      </x:c>
      <x:c r="U350" s="14" t="str">
        <x:v>Не контактували</x:v>
      </x:c>
      <x:c r="V350" s="15" t="str">
        <x:v>Workflow-audit outreach по UA-2026-06-26-004632-a; попросити 1 пакет здачі та вимоги проєкту</x:v>
      </x:c>
      <x:c r="W350" s="15" t="str">
        <x:v>Власник / директор; керівник ПТО; відповідальний за договори</x:v>
      </x:c>
      <x:c r="X350" s="15" t="str">
        <x:v>1 підтверджених перемог/договорів у Prozorro на 9 893 727 грн; 1 проєктів зі строком виконання не раніше 24.08.2026.</x:v>
      </x:c>
      <x:c r="Y350"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 строк до 2026-12-31. Попросити один знеособлений пакет здачі за цим workflow.</x:v>
      </x:c>
      <x:c r="Z350" s="15" t="str">
        <x:v>https://prozorro.gov.ua/tender/UA-2026-06-26-004632-a</x:v>
      </x:c>
      <x:c r="AA350" s="14" t="str">
        <x:v>37621413</x:v>
      </x:c>
      <x:c r="AB350" s="14" t="str">
        <x:v>2026-08-24</x:v>
      </x:c>
      <x:c r="AC350" s="14" t="str"/>
      <x:c r="AD350" s="20" t="str"/>
      <x:c r="AE350" s="14" t="str"/>
      <x:c r="AF350" s="14" t="n">
        <x:v>64</x:v>
      </x:c>
      <x:c r="AG350" s="14" t="str">
        <x:v>I2</x:v>
      </x:c>
      <x:c r="AH350" s="14" t="n">
        <x:v>1</x:v>
      </x:c>
      <x:c r="AI350" s="14" t="n">
        <x:v>1</x:v>
      </x:c>
      <x:c r="AJ350" s="18" t="n">
        <x:v>9893727.4</x:v>
      </x:c>
      <x:c r="AK350" s="14" t="str">
        <x:v>https://prozorro.gov.ua/tender/UA-2026-06-26-004632-a</x:v>
      </x:c>
      <x:c r="AL350" s="19" t="n">
        <x:v>46223.48230456019</x:v>
      </x:c>
      <x:c r="AM350" s="19" t="n">
        <x:v>46387</x:v>
      </x:c>
      <x:c r="AN350" s="15" t="str">
        <x:v>Насосні станції</x:v>
      </x:c>
      <x:c r="AO350" s="15" t="str">
        <x:v>not_found_in_top_search</x:v>
      </x:c>
    </x:row>
    <x:row r="351">
      <x:c r="A351" s="14" t="str">
        <x:v>W3-079</x:v>
      </x:c>
      <x:c r="B351" s="14" t="str">
        <x:v>Prozorro winners — 24.08</x:v>
      </x:c>
      <x:c r="C351" s="14" t="str">
        <x:v>ТОВАРИСТВО З ОБМЕЖЕНОЮ ВІДПОВІДАЛЬНІСТЮ "БУДІВЕЛЬНО-МОНТАЖНЕ ПІДПРИЄМСТВО-164"</x:v>
      </x:c>
      <x:c r="D351" s="14" t="str">
        <x:v>Теплові мережі</x:v>
      </x:c>
      <x:c r="E351" s="14" t="str">
        <x:v>Expansion discovery</x:v>
      </x:c>
      <x:c r="F351" s="17" t="str">
        <x:v>D2</x:v>
      </x:c>
      <x:c r="G351" s="14" t="str"/>
      <x:c r="H351" s="14" t="str">
        <x:v>Discovery розширення — 2 тижні</x:v>
      </x:c>
      <x:c r="I351" s="16" t="n">
        <x:v>1</x:v>
      </x:c>
      <x:c r="J351" s="16" t="n">
        <x:v>5</x:v>
      </x:c>
      <x:c r="K351" s="16" t="n">
        <x:v>4</x:v>
      </x:c>
      <x:c r="L351" s="16" t="n">
        <x:v>4</x:v>
      </x:c>
      <x:c r="M351" s="16" t="n">
        <x:v>5</x:v>
      </x:c>
      <x:c r="N351" s="16" t="n">
        <x:v>5</x:v>
      </x:c>
      <x:c r="O351" s="16" t="n">
        <x:v>5</x:v>
      </x:c>
      <x:c r="P351" s="16" t="n">
        <x:f>IF(COUNT(I351:O351)&lt;7,"",I351*8+J351*3+K351*2+L351*2+M351*2+N351*2+O351)</x:f>
        <x:v>64</x:v>
      </x:c>
      <x:c r="Q351" s="16" t="n">
        <x:f>IF(COUNT(J351:O351)&lt;6,"",J351*5+K351*4+M351*4+L351*3+N351*2+O351*2)</x:f>
        <x:v>93</x:v>
      </x:c>
      <x:c r="R351" s="14" t="str">
        <x:v>high</x:v>
      </x:c>
      <x:c r="S351" s="14" t="str">
        <x:v>official_prozorro_award_2025_2026</x:v>
      </x:c>
      <x:c r="T351" s="14" t="str">
        <x:v>official_prozorro_api</x:v>
      </x:c>
      <x:c r="U351" s="14" t="str">
        <x:v>Не контактували</x:v>
      </x:c>
      <x:c r="V351" s="15" t="str">
        <x:v>Повторне звернення з новим тендерним сигналом UA-2026-02-26-011757-a; попросити 1 пакет здачі</x:v>
      </x:c>
      <x:c r="W351" s="15" t="str">
        <x:v>Власник / директор; керівник ПТО; відповідальний за договори</x:v>
      </x:c>
      <x:c r="X351" s="15" t="str">
        <x:v>1 підтверджених перемог/договорів у Prozorro на 5 451 000 грн; 1 проєктів зі строком виконання не раніше 24.08.2026.</x:v>
      </x:c>
      <x:c r="Y351" s="15" t="str">
        <x:v>Реконструкція (відновлення) теплових мереж від ЦТП 4/12 по вул. Тимошенко, 17/1 на ділянці  ТК1-ТК2-ТК3-ТК4 в м. Харкові (код ДК 021:2015 – 45454000 -4 - Реконструкція)
; строк до 2026-10-30. Попросити один знеособлений пакет здачі за цим workflow.</x:v>
      </x:c>
      <x:c r="Z351" s="15" t="str">
        <x:v>https://prozorro.gov.ua/tender/UA-2026-07-22-009419-a</x:v>
      </x:c>
      <x:c r="AA351" s="14" t="str">
        <x:v>33608607</x:v>
      </x:c>
      <x:c r="AB351" s="14" t="str">
        <x:v>2026-08-24</x:v>
      </x:c>
      <x:c r="AC351" s="14" t="str"/>
      <x:c r="AD351" s="20" t="str"/>
      <x:c r="AE351" s="14" t="str"/>
      <x:c r="AF351" s="14" t="n">
        <x:v>64</x:v>
      </x:c>
      <x:c r="AG351" s="14" t="str">
        <x:v>I2</x:v>
      </x:c>
      <x:c r="AH351" s="14" t="n">
        <x:v>2</x:v>
      </x:c>
      <x:c r="AI351" s="14" t="n">
        <x:v>2</x:v>
      </x:c>
      <x:c r="AJ351" s="18" t="n">
        <x:v>7271000</x:v>
      </x:c>
      <x:c r="AK351" s="14" t="str">
        <x:v>https://prozorro.gov.ua/tender/UA-2026-02-26-011757-a</x:v>
      </x:c>
      <x:c r="AL351" s="19" t="n">
        <x:v>46098.61959248842</x:v>
      </x:c>
      <x:c r="AM351" s="19" t="n">
        <x:v>46568</x:v>
      </x:c>
      <x:c r="AN351" s="15" t="str">
        <x:v>Теплові мережі; Залізнична інфраструктура</x:v>
      </x:c>
      <x:c r="AO351" s="15" t="str">
        <x:v>not_found_in_top_search</x:v>
      </x:c>
    </x:row>
    <x:row r="352">
      <x:c r="A352" s="14" t="str">
        <x:v>W3-080</x:v>
      </x:c>
      <x:c r="B352" s="14" t="str">
        <x:v>Prozorro winners — 24.08</x:v>
      </x:c>
      <x:c r="C352" s="14" t="str">
        <x:v>ТОВ "БЕРГ ГРУПП"</x:v>
      </x:c>
      <x:c r="D352" s="14" t="str">
        <x:v>ГНБ / безтраншейні роботи</x:v>
      </x:c>
      <x:c r="E352" s="14" t="str">
        <x:v>Expansion discovery</x:v>
      </x:c>
      <x:c r="F352" s="17" t="str">
        <x:v>D2</x:v>
      </x:c>
      <x:c r="G352" s="14" t="str"/>
      <x:c r="H352" s="14" t="str">
        <x:v>Discovery розширення — 2 тижні</x:v>
      </x:c>
      <x:c r="I352" s="16" t="n">
        <x:v>1</x:v>
      </x:c>
      <x:c r="J352" s="16" t="n">
        <x:v>5</x:v>
      </x:c>
      <x:c r="K352" s="16" t="n">
        <x:v>4</x:v>
      </x:c>
      <x:c r="L352" s="16" t="n">
        <x:v>4</x:v>
      </x:c>
      <x:c r="M352" s="16" t="n">
        <x:v>5</x:v>
      </x:c>
      <x:c r="N352" s="16" t="n">
        <x:v>5</x:v>
      </x:c>
      <x:c r="O352" s="16" t="n">
        <x:v>5</x:v>
      </x:c>
      <x:c r="P352" s="16" t="n">
        <x:f>IF(COUNT(I352:O352)&lt;7,"",I352*8+J352*3+K352*2+L352*2+M352*2+N352*2+O352)</x:f>
        <x:v>64</x:v>
      </x:c>
      <x:c r="Q352" s="16" t="n">
        <x:f>IF(COUNT(J352:O352)&lt;6,"",J352*5+K352*4+M352*4+L352*3+N352*2+O352*2)</x:f>
        <x:v>93</x:v>
      </x:c>
      <x:c r="R352" s="14" t="str">
        <x:v>high</x:v>
      </x:c>
      <x:c r="S352" s="14" t="str">
        <x:v>official_prozorro_award_2025_2026</x:v>
      </x:c>
      <x:c r="T352" s="14" t="str">
        <x:v>official_prozorro_api</x:v>
      </x:c>
      <x:c r="U352" s="14" t="str">
        <x:v>Не контактували</x:v>
      </x:c>
      <x:c r="V352" s="15" t="str">
        <x:v>Workflow-audit outreach по UA-2026-07-01-004063-a; попросити 1 пакет здачі та вимоги проєкту</x:v>
      </x:c>
      <x:c r="W352" s="15" t="str">
        <x:v>Власник / директор; керівник ПТО; відповідальний за договори</x:v>
      </x:c>
      <x:c r="X352" s="15" t="str">
        <x:v>1 підтверджених перемог/договорів у Prozorro на 4 801 000 грн; 1 проєктів зі строком виконання не раніше 24.08.2026.</x:v>
      </x:c>
      <x:c r="Y352"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352" s="15" t="str">
        <x:v>https://prozorro.gov.ua/tender/UA-2026-07-01-004063-a</x:v>
      </x:c>
      <x:c r="AA352" s="14" t="str">
        <x:v>44980668</x:v>
      </x:c>
      <x:c r="AB352" s="14" t="str">
        <x:v>2026-08-24</x:v>
      </x:c>
      <x:c r="AC352" s="14" t="str"/>
      <x:c r="AD352" s="20" t="str"/>
      <x:c r="AE352" s="14" t="str"/>
      <x:c r="AF352" s="14" t="n">
        <x:v>64</x:v>
      </x:c>
      <x:c r="AG352" s="14" t="str">
        <x:v>I2</x:v>
      </x:c>
      <x:c r="AH352" s="14" t="n">
        <x:v>1</x:v>
      </x:c>
      <x:c r="AI352" s="14" t="n">
        <x:v>1</x:v>
      </x:c>
      <x:c r="AJ352" s="18" t="n">
        <x:v>4801000</x:v>
      </x:c>
      <x:c r="AK352" s="14" t="str">
        <x:v>https://prozorro.gov.ua/tender/UA-2026-07-01-004063-a</x:v>
      </x:c>
      <x:c r="AL352" s="19" t="n">
        <x:v>46246.239263993055</x:v>
      </x:c>
      <x:c r="AM352" s="19" t="n">
        <x:v>46752</x:v>
      </x:c>
      <x:c r="AN352" s="15" t="str">
        <x:v>ГНБ / безтраншейні роботи</x:v>
      </x:c>
      <x:c r="AO352" s="15" t="str">
        <x:v>not_found_in_top_search</x:v>
      </x:c>
    </x:row>
    <x:row r="353">
      <x:c r="A353" s="14" t="str">
        <x:v>W3-081</x:v>
      </x:c>
      <x:c r="B353" s="14" t="str">
        <x:v>Prozorro winners — 24.08</x:v>
      </x:c>
      <x:c r="C353" s="14" t="str">
        <x:v>Товариство з обмеженою відповідальністю «ЧЕРКАСИ ІНВЕСТ ГРУП»</x:v>
      </x:c>
      <x:c r="D353" s="14" t="str">
        <x:v>Водоочищення / очисні споруди</x:v>
      </x:c>
      <x:c r="E353" s="14" t="str">
        <x:v>Expansion discovery</x:v>
      </x:c>
      <x:c r="F353" s="17" t="str">
        <x:v>D2</x:v>
      </x:c>
      <x:c r="G353" s="14" t="str"/>
      <x:c r="H353" s="14" t="str">
        <x:v>Discovery розширення — 2 тижні</x:v>
      </x:c>
      <x:c r="I353" s="16" t="n">
        <x:v>1</x:v>
      </x:c>
      <x:c r="J353" s="16" t="n">
        <x:v>5</x:v>
      </x:c>
      <x:c r="K353" s="16" t="n">
        <x:v>4</x:v>
      </x:c>
      <x:c r="L353" s="16" t="n">
        <x:v>4</x:v>
      </x:c>
      <x:c r="M353" s="16" t="n">
        <x:v>5</x:v>
      </x:c>
      <x:c r="N353" s="16" t="n">
        <x:v>5</x:v>
      </x:c>
      <x:c r="O353" s="16" t="n">
        <x:v>5</x:v>
      </x:c>
      <x:c r="P353" s="16" t="n">
        <x:f>IF(COUNT(I353:O353)&lt;7,"",I353*8+J353*3+K353*2+L353*2+M353*2+N353*2+O353)</x:f>
        <x:v>64</x:v>
      </x:c>
      <x:c r="Q353" s="16" t="n">
        <x:f>IF(COUNT(J353:O353)&lt;6,"",J353*5+K353*4+M353*4+L353*3+N353*2+O353*2)</x:f>
        <x:v>93</x:v>
      </x:c>
      <x:c r="R353" s="14" t="str">
        <x:v>high</x:v>
      </x:c>
      <x:c r="S353" s="14" t="str">
        <x:v>official_prozorro_award_2025_2026</x:v>
      </x:c>
      <x:c r="T353" s="14" t="str">
        <x:v>official_prozorro_api</x:v>
      </x:c>
      <x:c r="U353" s="14" t="str">
        <x:v>Не контактували</x:v>
      </x:c>
      <x:c r="V353" s="15" t="str">
        <x:v>Workflow-audit outreach по UA-2026-08-14-008241-a; попросити 1 пакет здачі та вимоги проєкту</x:v>
      </x:c>
      <x:c r="W353" s="15" t="str">
        <x:v>Власник / директор; керівник ПТО; відповідальний за договори</x:v>
      </x:c>
      <x:c r="X353" s="15" t="str">
        <x:v>1 підтверджених перемог/договорів у Prozorro на 3 126 183 грн; 1 проєктів зі строком виконання не раніше 24.08.2026.</x:v>
      </x:c>
      <x:c r="Y353"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 строк до 2026-12-31. Попросити один знеособлений пакет здачі за цим workflow.</x:v>
      </x:c>
      <x:c r="Z353" s="15" t="str">
        <x:v>https://prozorro.gov.ua/tender/UA-2026-08-14-008241-a</x:v>
      </x:c>
      <x:c r="AA353" s="14" t="str">
        <x:v>45970582</x:v>
      </x:c>
      <x:c r="AB353" s="14" t="str">
        <x:v>2026-08-24</x:v>
      </x:c>
      <x:c r="AC353" s="14" t="str"/>
      <x:c r="AD353" s="20" t="str"/>
      <x:c r="AE353" s="14" t="str"/>
      <x:c r="AF353" s="14" t="n">
        <x:v>64</x:v>
      </x:c>
      <x:c r="AG353" s="14" t="str">
        <x:v>I2</x:v>
      </x:c>
      <x:c r="AH353" s="14" t="n">
        <x:v>1</x:v>
      </x:c>
      <x:c r="AI353" s="14" t="n">
        <x:v>1</x:v>
      </x:c>
      <x:c r="AJ353" s="18" t="n">
        <x:v>3126183.07</x:v>
      </x:c>
      <x:c r="AK353" s="14" t="str">
        <x:v>https://prozorro.gov.ua/tender/UA-2026-08-14-008241-a</x:v>
      </x:c>
      <x:c r="AL353" s="19" t="n">
        <x:v>46248.494667569445</x:v>
      </x:c>
      <x:c r="AM353" s="19" t="n">
        <x:v>46387.53597222222</x:v>
      </x:c>
      <x:c r="AN353" s="15" t="str">
        <x:v>Водоочищення / очисні споруди</x:v>
      </x:c>
      <x:c r="AO353" s="15" t="str">
        <x:v>not_found_in_top_search</x:v>
      </x:c>
    </x:row>
    <x:row r="354">
      <x:c r="A354" s="14" t="str">
        <x:v>W3-082</x:v>
      </x:c>
      <x:c r="B354" s="14" t="str">
        <x:v>Prozorro winners — 24.08</x:v>
      </x:c>
      <x:c r="C354" s="14" t="str">
        <x:v>ТОВ "ВВС-ЛТД"</x:v>
      </x:c>
      <x:c r="D354" s="14" t="str">
        <x:v>Мости / інфраструктура</x:v>
      </x:c>
      <x:c r="E354" s="14" t="str">
        <x:v>Expansion discovery</x:v>
      </x:c>
      <x:c r="F354" s="17" t="str">
        <x:v>D2</x:v>
      </x:c>
      <x:c r="G354" s="14" t="str"/>
      <x:c r="H354" s="14" t="str">
        <x:v>Discovery розширення — 2 тижні</x:v>
      </x:c>
      <x:c r="I354" s="16" t="n">
        <x:v>1</x:v>
      </x:c>
      <x:c r="J354" s="16" t="n">
        <x:v>5</x:v>
      </x:c>
      <x:c r="K354" s="16" t="n">
        <x:v>4</x:v>
      </x:c>
      <x:c r="L354" s="16" t="n">
        <x:v>4</x:v>
      </x:c>
      <x:c r="M354" s="16" t="n">
        <x:v>5</x:v>
      </x:c>
      <x:c r="N354" s="16" t="n">
        <x:v>5</x:v>
      </x:c>
      <x:c r="O354" s="16" t="n">
        <x:v>5</x:v>
      </x:c>
      <x:c r="P354" s="16" t="n">
        <x:f>IF(COUNT(I354:O354)&lt;7,"",I354*8+J354*3+K354*2+L354*2+M354*2+N354*2+O354)</x:f>
        <x:v>64</x:v>
      </x:c>
      <x:c r="Q354" s="16" t="n">
        <x:f>IF(COUNT(J354:O354)&lt;6,"",J354*5+K354*4+M354*4+L354*3+N354*2+O354*2)</x:f>
        <x:v>93</x:v>
      </x:c>
      <x:c r="R354" s="14" t="str">
        <x:v>high</x:v>
      </x:c>
      <x:c r="S354" s="14" t="str">
        <x:v>official_prozorro_award_2025_2026</x:v>
      </x:c>
      <x:c r="T354" s="14" t="str">
        <x:v>official_prozorro_api</x:v>
      </x:c>
      <x:c r="U354" s="14" t="str">
        <x:v>Не контактували</x:v>
      </x:c>
      <x:c r="V354" s="15" t="str">
        <x:v>Workflow-audit outreach по UA-2026-07-23-009360-a; попросити 1 пакет здачі та вимоги проєкту</x:v>
      </x:c>
      <x:c r="W354" s="15" t="str">
        <x:v>Власник / директор; керівник ПТО; відповідальний за договори</x:v>
      </x:c>
      <x:c r="X354" s="15" t="str">
        <x:v>1 підтверджених перемог/договорів у Prozorro на 2 111 844 грн; 1 проєктів зі строком виконання не раніше 24.08.2026.</x:v>
      </x:c>
      <x:c r="Y354" s="15" t="str">
        <x:v>«Капітальний ремонт пішохідного мосту через річку Устя в районі стадіону "Авангард" у місті Рівному»; строк до 2027-12-24. Попросити один знеособлений пакет здачі за цим workflow.</x:v>
      </x:c>
      <x:c r="Z354" s="15" t="str">
        <x:v>https://prozorro.gov.ua/tender/UA-2026-07-23-009360-a</x:v>
      </x:c>
      <x:c r="AA354" s="14" t="str">
        <x:v>39555742</x:v>
      </x:c>
      <x:c r="AB354" s="14" t="str">
        <x:v>2026-08-24</x:v>
      </x:c>
      <x:c r="AC354" s="14" t="str"/>
      <x:c r="AD354" s="20" t="str"/>
      <x:c r="AE354" s="14" t="str"/>
      <x:c r="AF354" s="14" t="n">
        <x:v>64</x:v>
      </x:c>
      <x:c r="AG354" s="14" t="str">
        <x:v>I2</x:v>
      </x:c>
      <x:c r="AH354" s="14" t="n">
        <x:v>1</x:v>
      </x:c>
      <x:c r="AI354" s="14" t="n">
        <x:v>1</x:v>
      </x:c>
      <x:c r="AJ354" s="18" t="n">
        <x:v>2111844.12</x:v>
      </x:c>
      <x:c r="AK354" s="14" t="str">
        <x:v>https://prozorro.gov.ua/tender/UA-2026-07-23-009360-a</x:v>
      </x:c>
      <x:c r="AL354" s="19" t="n">
        <x:v>46241.47802741898</x:v>
      </x:c>
      <x:c r="AM354" s="19" t="n">
        <x:v>46745</x:v>
      </x:c>
      <x:c r="AN354" s="15" t="str">
        <x:v>Мости / інфраструктура</x:v>
      </x:c>
      <x:c r="AO354" s="15" t="str">
        <x:v>not_found_in_top_search</x:v>
      </x:c>
    </x:row>
    <x:row r="355">
      <x:c r="A355" s="14" t="str">
        <x:v>W3-083</x:v>
      </x:c>
      <x:c r="B355" s="14" t="str">
        <x:v>Prozorro winners — 24.08</x:v>
      </x:c>
      <x:c r="C355" s="14" t="str">
        <x:v>ТОВ "БІОАЛЬЯНС-ЕНЕРГІЯ"</x:v>
      </x:c>
      <x:c r="D355" s="14" t="str">
        <x:v>Насосні станції</x:v>
      </x:c>
      <x:c r="E355" s="14" t="str">
        <x:v>Expansion discovery</x:v>
      </x:c>
      <x:c r="F355" s="17" t="str">
        <x:v>D2</x:v>
      </x:c>
      <x:c r="G355" s="14" t="str"/>
      <x:c r="H355" s="14" t="str">
        <x:v>Discovery розширення — 2 тижні</x:v>
      </x:c>
      <x:c r="I355" s="16" t="n">
        <x:v>1</x:v>
      </x:c>
      <x:c r="J355" s="16" t="n">
        <x:v>5</x:v>
      </x:c>
      <x:c r="K355" s="16" t="n">
        <x:v>4</x:v>
      </x:c>
      <x:c r="L355" s="16" t="n">
        <x:v>4</x:v>
      </x:c>
      <x:c r="M355" s="16" t="n">
        <x:v>5</x:v>
      </x:c>
      <x:c r="N355" s="16" t="n">
        <x:v>5</x:v>
      </x:c>
      <x:c r="O355" s="16" t="n">
        <x:v>5</x:v>
      </x:c>
      <x:c r="P355" s="16" t="n">
        <x:f>IF(COUNT(I355:O355)&lt;7,"",I355*8+J355*3+K355*2+L355*2+M355*2+N355*2+O355)</x:f>
        <x:v>64</x:v>
      </x:c>
      <x:c r="Q355" s="16" t="n">
        <x:f>IF(COUNT(J355:O355)&lt;6,"",J355*5+K355*4+M355*4+L355*3+N355*2+O355*2)</x:f>
        <x:v>93</x:v>
      </x:c>
      <x:c r="R355" s="14" t="str">
        <x:v>high</x:v>
      </x:c>
      <x:c r="S355" s="14" t="str">
        <x:v>official_prozorro_award_2025_2026</x:v>
      </x:c>
      <x:c r="T355" s="14" t="str">
        <x:v>official_prozorro_api</x:v>
      </x:c>
      <x:c r="U355" s="14" t="str">
        <x:v>Не контактували</x:v>
      </x:c>
      <x:c r="V355" s="15" t="str">
        <x:v>Workflow-audit outreach по UA-2026-07-30-010966-a; попросити 1 пакет здачі та вимоги проєкту</x:v>
      </x:c>
      <x:c r="W355" s="15" t="str">
        <x:v>Власник / директор; керівник ПТО; відповідальний за договори</x:v>
      </x:c>
      <x:c r="X355" s="15" t="str">
        <x:v>1 підтверджених перемог/договорів у Prozorro на 2 047 572 грн; 1 проєктів зі строком виконання не раніше 24.08.2026.</x:v>
      </x:c>
      <x:c r="Y355"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 строк до 2026-10-15. Попросити один знеособлений пакет здачі за цим workflow.</x:v>
      </x:c>
      <x:c r="Z355" s="15" t="str">
        <x:v>https://prozorro.gov.ua/tender/UA-2026-07-30-010966-a</x:v>
      </x:c>
      <x:c r="AA355" s="14" t="str">
        <x:v>41809596</x:v>
      </x:c>
      <x:c r="AB355" s="14" t="str">
        <x:v>2026-08-24</x:v>
      </x:c>
      <x:c r="AC355" s="14" t="str"/>
      <x:c r="AD355" s="20" t="str"/>
      <x:c r="AE355" s="14" t="str"/>
      <x:c r="AF355" s="14" t="n">
        <x:v>64</x:v>
      </x:c>
      <x:c r="AG355" s="14" t="str">
        <x:v>I2</x:v>
      </x:c>
      <x:c r="AH355" s="14" t="n">
        <x:v>1</x:v>
      </x:c>
      <x:c r="AI355" s="14" t="n">
        <x:v>1</x:v>
      </x:c>
      <x:c r="AJ355" s="18" t="n">
        <x:v>2047572</x:v>
      </x:c>
      <x:c r="AK355" s="14" t="str">
        <x:v>https://prozorro.gov.ua/tender/UA-2026-07-30-010966-a</x:v>
      </x:c>
      <x:c r="AL355" s="19" t="n">
        <x:v>46255.48288792824</x:v>
      </x:c>
      <x:c r="AM355" s="19" t="n">
        <x:v>46310.74144675926</x:v>
      </x:c>
      <x:c r="AN355" s="15" t="str">
        <x:v>Насосні станції</x:v>
      </x:c>
      <x:c r="AO355" s="15" t="str">
        <x:v>not_found_in_top_search</x:v>
      </x:c>
    </x:row>
    <x:row r="356">
      <x:c r="A356" s="14" t="str">
        <x:v>W3-084</x:v>
      </x:c>
      <x:c r="B356" s="14" t="str">
        <x:v>Prozorro winners — 24.08</x:v>
      </x:c>
      <x:c r="C356" s="14" t="str">
        <x:v>ТОВАРИСТВО З ОБМЕЖЕНОЮ ВІДПОВІДАЛЬНІСТЮ "ВІКТОРІЯ-ФЕЛІЗ"</x:v>
      </x:c>
      <x:c r="D356" s="14" t="str">
        <x:v>ВОЛЗ / телеком</x:v>
      </x:c>
      <x:c r="E356" s="14" t="str">
        <x:v>Expansion discovery</x:v>
      </x:c>
      <x:c r="F356" s="17" t="str">
        <x:v>D2</x:v>
      </x:c>
      <x:c r="G356" s="14" t="str"/>
      <x:c r="H356" s="14" t="str">
        <x:v>Discovery розширення — 2 тижні</x:v>
      </x:c>
      <x:c r="I356" s="16" t="n">
        <x:v>1</x:v>
      </x:c>
      <x:c r="J356" s="16" t="n">
        <x:v>5</x:v>
      </x:c>
      <x:c r="K356" s="16" t="n">
        <x:v>4</x:v>
      </x:c>
      <x:c r="L356" s="16" t="n">
        <x:v>3</x:v>
      </x:c>
      <x:c r="M356" s="16" t="n">
        <x:v>5</x:v>
      </x:c>
      <x:c r="N356" s="16" t="n">
        <x:v>5</x:v>
      </x:c>
      <x:c r="O356" s="16" t="n">
        <x:v>5</x:v>
      </x:c>
      <x:c r="P356" s="16" t="n">
        <x:f>IF(COUNT(I356:O356)&lt;7,"",I356*8+J356*3+K356*2+L356*2+M356*2+N356*2+O356)</x:f>
        <x:v>62</x:v>
      </x:c>
      <x:c r="Q356" s="16" t="n">
        <x:f>IF(COUNT(J356:O356)&lt;6,"",J356*5+K356*4+M356*4+L356*3+N356*2+O356*2)</x:f>
        <x:v>90</x:v>
      </x:c>
      <x:c r="R356" s="14" t="str">
        <x:v>high</x:v>
      </x:c>
      <x:c r="S356" s="14" t="str">
        <x:v>official_prozorro_award_2025_2026</x:v>
      </x:c>
      <x:c r="T356" s="14" t="str">
        <x:v>official_prozorro_api</x:v>
      </x:c>
      <x:c r="U356" s="14" t="str">
        <x:v>Не контактували</x:v>
      </x:c>
      <x:c r="V356" s="15" t="str">
        <x:v>Повторне звернення з новим тендерним сигналом UA-2025-04-28-003033-a; попросити 1 пакет здачі</x:v>
      </x:c>
      <x:c r="W356" s="15" t="str">
        <x:v>Власник / директор; керівник ПТО; відповідальний за договори</x:v>
      </x:c>
      <x:c r="X356" s="15" t="str">
        <x:v>2 підтверджених перемог/договорів у Prozorro на 909 120 грн; 2 проєктів зі строком виконання не раніше 24.08.2026.</x:v>
      </x:c>
      <x:c r="Y356"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 строк до 2026-10-31. Попросити один знеособлений пакет здачі за цим workflow.</x:v>
      </x:c>
      <x:c r="Z356" s="15" t="str">
        <x:v>https://prozorro.gov.ua/tender/UA-2026-04-27-001548-a</x:v>
      </x:c>
      <x:c r="AA356" s="14" t="str">
        <x:v>31146326</x:v>
      </x:c>
      <x:c r="AB356" s="14" t="str">
        <x:v>2026-08-24</x:v>
      </x:c>
      <x:c r="AC356" s="14" t="str"/>
      <x:c r="AD356" s="20" t="str"/>
      <x:c r="AE356" s="14" t="str"/>
      <x:c r="AF356" s="14" t="n">
        <x:v>64</x:v>
      </x:c>
      <x:c r="AG356" s="14" t="str">
        <x:v>I2</x:v>
      </x:c>
      <x:c r="AH356" s="14" t="n">
        <x:v>3</x:v>
      </x:c>
      <x:c r="AI356" s="14" t="n">
        <x:v>2</x:v>
      </x:c>
      <x:c r="AJ356" s="18" t="n">
        <x:v>2145964</x:v>
      </x:c>
      <x:c r="AK356" s="14" t="str">
        <x:v>https://prozorro.gov.ua/tender/UA-2025-04-28-003033-a</x:v>
      </x:c>
      <x:c r="AL356" s="19" t="n">
        <x:v>45775.33975831018</x:v>
      </x:c>
      <x:c r="AM356" s="19" t="n">
        <x:v>45976</x:v>
      </x:c>
      <x:c r="AN356" s="15" t="str">
        <x:v>ВОЛЗ / телеком</x:v>
      </x:c>
      <x:c r="AO356" s="15" t="str">
        <x:v>not_found_in_top_search</x:v>
      </x:c>
    </x:row>
    <x:row r="357">
      <x:c r="A357" s="14" t="str">
        <x:v>W3-085</x:v>
      </x:c>
      <x:c r="B357" s="14" t="str">
        <x:v>Prozorro winners — 24.08</x:v>
      </x:c>
      <x:c r="C357" s="14" t="str">
        <x:v>Фізична особа-підприємець Ткаченко Микола Григорович </x:v>
      </x:c>
      <x:c r="D357" s="14" t="str">
        <x:v>Електромонтаж</x:v>
      </x:c>
      <x:c r="E357" s="14" t="str">
        <x:v>Pilot now</x:v>
      </x:c>
      <x:c r="F357" s="17" t="str">
        <x:v>P2</x:v>
      </x:c>
      <x:c r="G357" s="14" t="str"/>
      <x:c r="H357" s="14" t="str">
        <x:v>Пілот зараз — Н.15</x:v>
      </x:c>
      <x:c r="I357" s="16" t="n">
        <x:v>5</x:v>
      </x:c>
      <x:c r="J357" s="16" t="n">
        <x:v>5</x:v>
      </x:c>
      <x:c r="K357" s="16" t="n">
        <x:v>5</x:v>
      </x:c>
      <x:c r="L357" s="16" t="n">
        <x:v>1</x:v>
      </x:c>
      <x:c r="M357" s="16" t="n">
        <x:v>5</x:v>
      </x:c>
      <x:c r="N357" s="16" t="n">
        <x:v>3</x:v>
      </x:c>
      <x:c r="O357" s="16" t="n">
        <x:v>5</x:v>
      </x:c>
      <x:c r="P357" s="16" t="n">
        <x:f>IF(COUNT(I357:O357)&lt;7,"",I357*8+J357*3+K357*2+L357*2+M357*2+N357*2+O357)</x:f>
        <x:v>88</x:v>
      </x:c>
      <x:c r="Q357" s="16" t="n">
        <x:f>IF(COUNT(J357:O357)&lt;6,"",J357*5+K357*4+M357*4+L357*3+N357*2+O357*2)</x:f>
        <x:v>84</x:v>
      </x:c>
      <x:c r="R357" s="14" t="str">
        <x:v>high</x:v>
      </x:c>
      <x:c r="S357" s="14" t="str">
        <x:v>official_prozorro_award_2025_2026</x:v>
      </x:c>
      <x:c r="T357" s="14" t="str">
        <x:v>official_prozorro_api</x:v>
      </x:c>
      <x:c r="U357" s="14" t="str">
        <x:v>Не контактували</x:v>
      </x:c>
      <x:c r="V357" s="15" t="str">
        <x:v>Повторне звернення з новим тендерним сигналом UA-2026-06-23-011454-a; попросити 1 пакет здачі</x:v>
      </x:c>
      <x:c r="W357" s="15" t="str">
        <x:v>Власник / виконавець; відповідальний за договір</x:v>
      </x:c>
      <x:c r="X357" s="15" t="str">
        <x:v>6 підтверджених перемог/договорів у Prozorro на 78 878 грн; 1 проєктів зі строком виконання не раніше 24.08.2026.</x:v>
      </x:c>
      <x:c r="Y357" s="15" t="str">
        <x:v>Послуги з обслуговування електромереж (перевірка системи заземлення, електровимірювальні роботи, виготовлення технічної документації).; строк до 2026-12-31. Попросити один знеособлений пакет здачі за цим workflow.</x:v>
      </x:c>
      <x:c r="Z357" s="15" t="str">
        <x:v>https://prozorro.gov.ua/tender/UA-2026-08-14-002841-a</x:v>
      </x:c>
      <x:c r="AA357" s="14" t="str">
        <x:v>2832903953</x:v>
      </x:c>
      <x:c r="AB357" s="14" t="str">
        <x:v>2026-08-24</x:v>
      </x:c>
      <x:c r="AC357" s="14" t="str"/>
      <x:c r="AD357" s="20" t="str"/>
      <x:c r="AE357" s="14" t="str"/>
      <x:c r="AF357" s="14" t="n">
        <x:v>64</x:v>
      </x:c>
      <x:c r="AG357" s="14" t="str">
        <x:v>I2</x:v>
      </x:c>
      <x:c r="AH357" s="14" t="n">
        <x:v>7</x:v>
      </x:c>
      <x:c r="AI357" s="14" t="n">
        <x:v>1</x:v>
      </x:c>
      <x:c r="AJ357" s="18" t="n">
        <x:v>98516</x:v>
      </x:c>
      <x:c r="AK357" s="14" t="str">
        <x:v>https://prozorro.gov.ua/tender/UA-2026-06-23-011454-a</x:v>
      </x:c>
      <x:c r="AL357" s="19" t="n">
        <x:v>46196.53508284722</x:v>
      </x:c>
      <x:c r="AM357" s="19" t="n">
        <x:v>46234</x:v>
      </x:c>
      <x:c r="AN357" s="15" t="str">
        <x:v>Електромонтаж</x:v>
      </x:c>
      <x:c r="AO357" s="15" t="str">
        <x:v>not_found_in_top_search</x:v>
      </x:c>
    </x:row>
    <x:row r="358">
      <x:c r="A358" s="14" t="str">
        <x:v>W3-086</x:v>
      </x:c>
      <x:c r="B358" s="14" t="str">
        <x:v>Prozorro winners — 24.08</x:v>
      </x:c>
      <x:c r="C358" s="14" t="str">
        <x:v>ФОП СІБЕЛЕВ ДМИТРО ПАВЛОВИЧ</x:v>
      </x:c>
      <x:c r="D358" s="14" t="str">
        <x:v>HVAC / ОВіК</x:v>
      </x:c>
      <x:c r="E358" s="14" t="str">
        <x:v>Pilot now</x:v>
      </x:c>
      <x:c r="F358" s="17" t="str">
        <x:v>P2</x:v>
      </x:c>
      <x:c r="G358" s="14" t="str"/>
      <x:c r="H358" s="14" t="str">
        <x:v>Пілот зараз — Н.14</x:v>
      </x:c>
      <x:c r="I358" s="16" t="n">
        <x:v>5</x:v>
      </x:c>
      <x:c r="J358" s="16" t="n">
        <x:v>5</x:v>
      </x:c>
      <x:c r="K358" s="16" t="n">
        <x:v>5</x:v>
      </x:c>
      <x:c r="L358" s="16" t="n">
        <x:v>2</x:v>
      </x:c>
      <x:c r="M358" s="16" t="n">
        <x:v>5</x:v>
      </x:c>
      <x:c r="N358" s="16" t="n">
        <x:v>3</x:v>
      </x:c>
      <x:c r="O358" s="16" t="n">
        <x:v>5</x:v>
      </x:c>
      <x:c r="P358" s="16" t="n">
        <x:f>IF(COUNT(I358:O358)&lt;7,"",I358*8+J358*3+K358*2+L358*2+M358*2+N358*2+O358)</x:f>
        <x:v>90</x:v>
      </x:c>
      <x:c r="Q358" s="16" t="n">
        <x:f>IF(COUNT(J358:O358)&lt;6,"",J358*5+K358*4+M358*4+L358*3+N358*2+O358*2)</x:f>
        <x:v>87</x:v>
      </x:c>
      <x:c r="R358" s="14" t="str">
        <x:v>high</x:v>
      </x:c>
      <x:c r="S358" s="14" t="str">
        <x:v>official_prozorro_award_2025_2026</x:v>
      </x:c>
      <x:c r="T358" s="14" t="str">
        <x:v>official_prozorro_api</x:v>
      </x:c>
      <x:c r="U358" s="14" t="str">
        <x:v>Не контактували</x:v>
      </x:c>
      <x:c r="V358" s="15" t="str">
        <x:v>Персоналізований free-pilot outreach по UA-2026-08-10-004460-a; попросити 1 пакет Н.14/Н.15</x:v>
      </x:c>
      <x:c r="W358" s="15" t="str">
        <x:v>Власник / виконавець; відповідальний за договір</x:v>
      </x:c>
      <x:c r="X358" s="15" t="str">
        <x:v>2 підтверджених перемог/договорів у Prozorro на 194 076 грн; 2 проєктів зі строком виконання не раніше 24.08.2026.</x:v>
      </x:c>
      <x:c r="Y358"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 строк до 2026-12-31. Попросити один знеособлений пакет здачі за цим workflow.</x:v>
      </x:c>
      <x:c r="Z358" s="15" t="str">
        <x:v>https://prozorro.gov.ua/tender/UA-2026-08-10-004460-a</x:v>
      </x:c>
      <x:c r="AA358" s="14" t="str">
        <x:v>1999921033</x:v>
      </x:c>
      <x:c r="AB358" s="14" t="str">
        <x:v>2026-08-24</x:v>
      </x:c>
      <x:c r="AC358" s="14" t="str"/>
      <x:c r="AD358" s="20" t="str"/>
      <x:c r="AE358" s="14" t="str"/>
      <x:c r="AF358" s="14" t="n">
        <x:v>63</x:v>
      </x:c>
      <x:c r="AG358" s="14" t="str">
        <x:v>I2</x:v>
      </x:c>
      <x:c r="AH358" s="14" t="n">
        <x:v>2</x:v>
      </x:c>
      <x:c r="AI358" s="14" t="n">
        <x:v>2</x:v>
      </x:c>
      <x:c r="AJ358" s="18" t="n">
        <x:v>194076.12</x:v>
      </x:c>
      <x:c r="AK358" s="14" t="str">
        <x:v>https://prozorro.gov.ua/tender/UA-2026-08-10-004460-a</x:v>
      </x:c>
      <x:c r="AL358" s="19" t="n">
        <x:v>46244.39313237269</x:v>
      </x:c>
      <x:c r="AM358" s="19" t="n">
        <x:v>46387</x:v>
      </x:c>
      <x:c r="AN358" s="15" t="str">
        <x:v>HVAC / ОВіК</x:v>
      </x:c>
      <x:c r="AO358" s="15" t="str">
        <x:v>not_found_in_top_search</x:v>
      </x:c>
    </x:row>
    <x:row r="359">
      <x:c r="A359" s="14" t="str">
        <x:v>W3-087</x:v>
      </x:c>
      <x:c r="B359" s="14" t="str">
        <x:v>Prozorro winners — 24.08</x:v>
      </x:c>
      <x:c r="C359" s="14" t="str">
        <x:v>ПЕРЕМА ОЛЕКСАНДР ГЕННАДІЙОВИЧ</x:v>
      </x:c>
      <x:c r="D359" s="14" t="str">
        <x:v>Електромонтаж</x:v>
      </x:c>
      <x:c r="E359" s="14" t="str">
        <x:v>Pilot now</x:v>
      </x:c>
      <x:c r="F359" s="17" t="str">
        <x:v>P2</x:v>
      </x:c>
      <x:c r="G359" s="14" t="str"/>
      <x:c r="H359" s="14" t="str">
        <x:v>Пілот зараз — Н.15</x:v>
      </x:c>
      <x:c r="I359" s="16" t="n">
        <x:v>5</x:v>
      </x:c>
      <x:c r="J359" s="16" t="n">
        <x:v>5</x:v>
      </x:c>
      <x:c r="K359" s="16" t="n">
        <x:v>5</x:v>
      </x:c>
      <x:c r="L359" s="16" t="n">
        <x:v>2</x:v>
      </x:c>
      <x:c r="M359" s="16" t="n">
        <x:v>5</x:v>
      </x:c>
      <x:c r="N359" s="16" t="n">
        <x:v>3</x:v>
      </x:c>
      <x:c r="O359" s="16" t="n">
        <x:v>5</x:v>
      </x:c>
      <x:c r="P359" s="16" t="n">
        <x:f>IF(COUNT(I359:O359)&lt;7,"",I359*8+J359*3+K359*2+L359*2+M359*2+N359*2+O359)</x:f>
        <x:v>90</x:v>
      </x:c>
      <x:c r="Q359" s="16" t="n">
        <x:f>IF(COUNT(J359:O359)&lt;6,"",J359*5+K359*4+M359*4+L359*3+N359*2+O359*2)</x:f>
        <x:v>87</x:v>
      </x:c>
      <x:c r="R359" s="14" t="str">
        <x:v>high</x:v>
      </x:c>
      <x:c r="S359" s="14" t="str">
        <x:v>official_prozorro_award_2025_2026</x:v>
      </x:c>
      <x:c r="T359" s="14" t="str">
        <x:v>official_prozorro_api</x:v>
      </x:c>
      <x:c r="U359" s="14" t="str">
        <x:v>Не контактували</x:v>
      </x:c>
      <x:c r="V359" s="15" t="str">
        <x:v>Персоналізований free-pilot outreach по UA-2026-08-10-005042-a; попросити 1 пакет Н.14/Н.15</x:v>
      </x:c>
      <x:c r="W359" s="15" t="str">
        <x:v>Власник / виконавець; відповідальний за договір</x:v>
      </x:c>
      <x:c r="X359" s="15" t="str">
        <x:v>2 підтверджених перемог/договорів у Prozorro на 174 140 грн; 2 проєктів зі строком виконання не раніше 24.08.2026.</x:v>
      </x:c>
      <x:c r="Y359" s="15" t="str">
        <x:v>Електромонтажні роботи; строк до 2026-12-31. Попросити один знеособлений пакет здачі за цим workflow.</x:v>
      </x:c>
      <x:c r="Z359" s="15" t="str">
        <x:v>https://prozorro.gov.ua/tender/UA-2026-08-10-005042-a</x:v>
      </x:c>
      <x:c r="AA359" s="14" t="str">
        <x:v>3048600754</x:v>
      </x:c>
      <x:c r="AB359" s="14" t="str">
        <x:v>2026-08-24</x:v>
      </x:c>
      <x:c r="AC359" s="14" t="str"/>
      <x:c r="AD359" s="20" t="str"/>
      <x:c r="AE359" s="14" t="str"/>
      <x:c r="AF359" s="14" t="n">
        <x:v>63</x:v>
      </x:c>
      <x:c r="AG359" s="14" t="str">
        <x:v>I2</x:v>
      </x:c>
      <x:c r="AH359" s="14" t="n">
        <x:v>2</x:v>
      </x:c>
      <x:c r="AI359" s="14" t="n">
        <x:v>2</x:v>
      </x:c>
      <x:c r="AJ359" s="18" t="n">
        <x:v>174140</x:v>
      </x:c>
      <x:c r="AK359" s="14" t="str">
        <x:v>https://prozorro.gov.ua/tender/UA-2026-08-10-005042-a</x:v>
      </x:c>
      <x:c r="AL359" s="19" t="n">
        <x:v>46244.416225</x:v>
      </x:c>
      <x:c r="AM359" s="19" t="n">
        <x:v>46387</x:v>
      </x:c>
      <x:c r="AN359" s="15" t="str">
        <x:v>Електромонтаж</x:v>
      </x:c>
      <x:c r="AO359" s="15" t="str">
        <x:v>not_found_in_top_search</x:v>
      </x:c>
    </x:row>
    <x:row r="360">
      <x:c r="A360" s="14" t="str">
        <x:v>W3-088</x:v>
      </x:c>
      <x:c r="B360" s="14" t="str">
        <x:v>Prozorro winners — 24.08</x:v>
      </x:c>
      <x:c r="C360" s="14" t="str">
        <x:v>ФОП Іщенко Олександр Олександрович</x:v>
      </x:c>
      <x:c r="D360" s="14" t="str">
        <x:v>Безпека / СКУД / CCTV</x:v>
      </x:c>
      <x:c r="E360" s="14" t="str">
        <x:v>Expansion discovery</x:v>
      </x:c>
      <x:c r="F360" s="17" t="str">
        <x:v>D2</x:v>
      </x:c>
      <x:c r="G360" s="14" t="str"/>
      <x:c r="H360" s="14" t="str">
        <x:v>Discovery розширення — 2 тижні</x:v>
      </x:c>
      <x:c r="I360" s="16" t="n">
        <x:v>1</x:v>
      </x:c>
      <x:c r="J360" s="16" t="n">
        <x:v>5</x:v>
      </x:c>
      <x:c r="K360" s="16" t="n">
        <x:v>4</x:v>
      </x:c>
      <x:c r="L360" s="16" t="n">
        <x:v>2</x:v>
      </x:c>
      <x:c r="M360" s="16" t="n">
        <x:v>5</x:v>
      </x:c>
      <x:c r="N360" s="16" t="n">
        <x:v>3</x:v>
      </x:c>
      <x:c r="O360" s="16" t="n">
        <x:v>5</x:v>
      </x:c>
      <x:c r="P360" s="16" t="n">
        <x:f>IF(COUNT(I360:O360)&lt;7,"",I360*8+J360*3+K360*2+L360*2+M360*2+N360*2+O360)</x:f>
        <x:v>56</x:v>
      </x:c>
      <x:c r="Q360" s="16" t="n">
        <x:f>IF(COUNT(J360:O360)&lt;6,"",J360*5+K360*4+M360*4+L360*3+N360*2+O360*2)</x:f>
        <x:v>83</x:v>
      </x:c>
      <x:c r="R360" s="14" t="str">
        <x:v>high</x:v>
      </x:c>
      <x:c r="S360" s="14" t="str">
        <x:v>official_prozorro_award_2025_2026</x:v>
      </x:c>
      <x:c r="T360" s="14" t="str">
        <x:v>official_prozorro_api</x:v>
      </x:c>
      <x:c r="U360" s="14" t="str">
        <x:v>Не контактували</x:v>
      </x:c>
      <x:c r="V360" s="15" t="str">
        <x:v>Workflow-audit outreach по UA-2026-08-24-000407-a; попросити 1 пакет здачі та вимоги проєкту</x:v>
      </x:c>
      <x:c r="W360" s="15" t="str">
        <x:v>Власник / виконавець; відповідальний за договір</x:v>
      </x:c>
      <x:c r="X360" s="15" t="str">
        <x:v>2 підтверджених перемог/договорів у Prozorro на 156 079 грн; 2 проєктів зі строком виконання не раніше 24.08.2026.</x:v>
      </x:c>
      <x:c r="Y360"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 строк до 2026-12-31. Попросити один знеособлений пакет здачі за цим workflow.</x:v>
      </x:c>
      <x:c r="Z360" s="15" t="str">
        <x:v>https://prozorro.gov.ua/tender/UA-2026-08-24-000407-a</x:v>
      </x:c>
      <x:c r="AA360" s="14" t="str">
        <x:v>3844609655</x:v>
      </x:c>
      <x:c r="AB360" s="14" t="str">
        <x:v>2026-08-24</x:v>
      </x:c>
      <x:c r="AC360" s="14" t="str"/>
      <x:c r="AD360" s="20" t="str"/>
      <x:c r="AE360" s="14" t="str"/>
      <x:c r="AF360" s="14" t="n">
        <x:v>63</x:v>
      </x:c>
      <x:c r="AG360" s="14" t="str">
        <x:v>I2</x:v>
      </x:c>
      <x:c r="AH360" s="14" t="n">
        <x:v>2</x:v>
      </x:c>
      <x:c r="AI360" s="14" t="n">
        <x:v>2</x:v>
      </x:c>
      <x:c r="AJ360" s="18" t="n">
        <x:v>156078.6</x:v>
      </x:c>
      <x:c r="AK360" s="14" t="str">
        <x:v>https://prozorro.gov.ua/tender/UA-2026-08-24-000407-a</x:v>
      </x:c>
      <x:c r="AL360" s="19" t="n">
        <x:v>46258.25381439815</x:v>
      </x:c>
      <x:c r="AM360" s="19" t="n">
        <x:v>46387</x:v>
      </x:c>
      <x:c r="AN360" s="15" t="str">
        <x:v>Безпека / СКУД / CCTV</x:v>
      </x:c>
      <x:c r="AO360" s="15" t="str">
        <x:v>not_found_in_top_search</x:v>
      </x:c>
    </x:row>
    <x:row r="361">
      <x:c r="A361" s="14" t="str">
        <x:v>W3-089</x:v>
      </x:c>
      <x:c r="B361" s="14" t="str">
        <x:v>Prozorro winners — 24.08</x:v>
      </x:c>
      <x:c r="C361" s="14" t="str">
        <x:v>УПРАВЛІННЯ ПОЛІЦІЇ ОХОРОНИ У ВІННИЦЬКІЙ ОБЛАСТІ</x:v>
      </x:c>
      <x:c r="D361" s="14" t="str">
        <x:v>Пожежогасіння</x:v>
      </x:c>
      <x:c r="E361" s="14" t="str">
        <x:v>Expansion discovery</x:v>
      </x:c>
      <x:c r="F361" s="17" t="str">
        <x:v>D2</x:v>
      </x:c>
      <x:c r="G361" s="14" t="str"/>
      <x:c r="H361" s="14" t="str">
        <x:v>Discovery розширення — 2 тижні</x:v>
      </x:c>
      <x:c r="I361" s="16" t="n">
        <x:v>1</x:v>
      </x:c>
      <x:c r="J361" s="16" t="n">
        <x:v>5</x:v>
      </x:c>
      <x:c r="K361" s="16" t="n">
        <x:v>4</x:v>
      </x:c>
      <x:c r="L361" s="16" t="n">
        <x:v>2</x:v>
      </x:c>
      <x:c r="M361" s="16" t="n">
        <x:v>5</x:v>
      </x:c>
      <x:c r="N361" s="16" t="n">
        <x:v>5</x:v>
      </x:c>
      <x:c r="O361" s="16" t="n">
        <x:v>5</x:v>
      </x:c>
      <x:c r="P361" s="16" t="n">
        <x:f>IF(COUNT(I361:O361)&lt;7,"",I361*8+J361*3+K361*2+L361*2+M361*2+N361*2+O361)</x:f>
        <x:v>60</x:v>
      </x:c>
      <x:c r="Q361" s="16" t="n">
        <x:f>IF(COUNT(J361:O361)&lt;6,"",J361*5+K361*4+M361*4+L361*3+N361*2+O361*2)</x:f>
        <x:v>87</x:v>
      </x:c>
      <x:c r="R361" s="14" t="str">
        <x:v>high</x:v>
      </x:c>
      <x:c r="S361" s="14" t="str">
        <x:v>official_prozorro_award_2025_2026</x:v>
      </x:c>
      <x:c r="T361" s="14" t="str">
        <x:v>official_prozorro_api</x:v>
      </x:c>
      <x:c r="U361" s="14" t="str">
        <x:v>Не контактували</x:v>
      </x:c>
      <x:c r="V361" s="15" t="str">
        <x:v>Повторне звернення з новим тендерним сигналом UA-2026-07-16-008865-a; попросити 1 пакет здачі</x:v>
      </x:c>
      <x:c r="W361" s="15" t="str">
        <x:v>Власник / директор; керівник ПТО; відповідальний за договори</x:v>
      </x:c>
      <x:c r="X361" s="15" t="str">
        <x:v>2 підтверджених перемог/договорів у Prozorro на 105 137 грн; 2 проєктів зі строком виконання не раніше 24.08.2026.</x:v>
      </x:c>
      <x:c r="Y361" s="15" t="str">
        <x:v>послуги з монтажу системи пожежної сигналізації; строк до 2026-12-31. Попросити один знеособлений пакет здачі за цим workflow.</x:v>
      </x:c>
      <x:c r="Z361" s="15" t="str">
        <x:v>https://prozorro.gov.ua/tender/UA-2026-06-30-008172-a</x:v>
      </x:c>
      <x:c r="AA361" s="14" t="str">
        <x:v>40109131</x:v>
      </x:c>
      <x:c r="AB361" s="14" t="str">
        <x:v>2026-08-24</x:v>
      </x:c>
      <x:c r="AC361" s="14" t="str"/>
      <x:c r="AD361" s="20" t="str"/>
      <x:c r="AE361" s="14" t="str"/>
      <x:c r="AF361" s="14" t="n">
        <x:v>63</x:v>
      </x:c>
      <x:c r="AG361" s="14" t="str">
        <x:v>I2</x:v>
      </x:c>
      <x:c r="AH361" s="14" t="n">
        <x:v>4</x:v>
      </x:c>
      <x:c r="AI361" s="14" t="n">
        <x:v>4</x:v>
      </x:c>
      <x:c r="AJ361" s="18" t="n">
        <x:v>124973.85</x:v>
      </x:c>
      <x:c r="AK361" s="14" t="str">
        <x:v>https://prozorro.gov.ua/tender/UA-2026-07-16-008865-a</x:v>
      </x:c>
      <x:c r="AL361" s="19" t="n">
        <x:v>46219.54624082176</x:v>
      </x:c>
      <x:c r="AM361" s="19" t="n">
        <x:v>46387</x:v>
      </x:c>
      <x:c r="AN361" s="15" t="str">
        <x:v>Пожежогасіння; Безпека / СКУД / CCTV; Електромонтаж</x:v>
      </x:c>
      <x:c r="AO361" s="15" t="str">
        <x:v>not_found_in_top_search</x:v>
      </x:c>
    </x:row>
    <x:row r="362">
      <x:c r="A362" s="14" t="str">
        <x:v>W3-090</x:v>
      </x:c>
      <x:c r="B362" s="14" t="str">
        <x:v>Prozorro winners — 24.08</x:v>
      </x:c>
      <x:c r="C362" s="14" t="str">
        <x:v>ТОВ "СТЕЙДЖ АЛЬЯНС"</x:v>
      </x:c>
      <x:c r="D362" s="14" t="str">
        <x:v>Насосні станції</x:v>
      </x:c>
      <x:c r="E362" s="14" t="str">
        <x:v>Expansion discovery</x:v>
      </x:c>
      <x:c r="F362" s="17" t="str">
        <x:v>D2</x:v>
      </x:c>
      <x:c r="G362" s="14" t="str"/>
      <x:c r="H362" s="14" t="str">
        <x:v>Discovery розширення — 2 тижні</x:v>
      </x:c>
      <x:c r="I362" s="16" t="n">
        <x:v>1</x:v>
      </x:c>
      <x:c r="J362" s="16" t="n">
        <x:v>5</x:v>
      </x:c>
      <x:c r="K362" s="16" t="n">
        <x:v>4</x:v>
      </x:c>
      <x:c r="L362" s="16" t="n">
        <x:v>5</x:v>
      </x:c>
      <x:c r="M362" s="16" t="n">
        <x:v>5</x:v>
      </x:c>
      <x:c r="N362" s="16" t="n">
        <x:v>5</x:v>
      </x:c>
      <x:c r="O362" s="16" t="n">
        <x:v>5</x:v>
      </x:c>
      <x:c r="P362" s="16" t="n">
        <x:f>IF(COUNT(I362:O362)&lt;7,"",I362*8+J362*3+K362*2+L362*2+M362*2+N362*2+O362)</x:f>
        <x:v>66</x:v>
      </x:c>
      <x:c r="Q362" s="16" t="n">
        <x:f>IF(COUNT(J362:O362)&lt;6,"",J362*5+K362*4+M362*4+L362*3+N362*2+O362*2)</x:f>
        <x:v>96</x:v>
      </x:c>
      <x:c r="R362" s="14" t="str">
        <x:v>high</x:v>
      </x:c>
      <x:c r="S362" s="14" t="str">
        <x:v>official_prozorro_award_2025_2026</x:v>
      </x:c>
      <x:c r="T362" s="14" t="str">
        <x:v>official_prozorro_api</x:v>
      </x:c>
      <x:c r="U362" s="14" t="str">
        <x:v>Не контактували</x:v>
      </x:c>
      <x:c r="V362" s="15" t="str">
        <x:v>Workflow-audit outreach по UA-2026-05-15-008760-a; попросити 1 пакет здачі та вимоги проєкту</x:v>
      </x:c>
      <x:c r="W362" s="15" t="str">
        <x:v>Власник / директор; керівник ПТО; відповідальний за договори</x:v>
      </x:c>
      <x:c r="X362" s="15" t="str">
        <x:v>1 підтверджених перемог/договорів у Prozorro на 45 473 135 грн; 1 проєктів зі строком виконання не раніше 24.08.2026.</x:v>
      </x:c>
      <x:c r="Y362"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 строк до 2026-12-26. Попросити один знеособлений пакет здачі за цим workflow.</x:v>
      </x:c>
      <x:c r="Z362" s="15" t="str">
        <x:v>https://prozorro.gov.ua/tender/UA-2026-05-15-008760-a</x:v>
      </x:c>
      <x:c r="AA362" s="14" t="str">
        <x:v>43209597</x:v>
      </x:c>
      <x:c r="AB362" s="14" t="str">
        <x:v>2026-08-24</x:v>
      </x:c>
      <x:c r="AC362" s="14" t="str"/>
      <x:c r="AD362" s="20" t="str"/>
      <x:c r="AE362" s="14" t="str"/>
      <x:c r="AF362" s="14" t="n">
        <x:v>62</x:v>
      </x:c>
      <x:c r="AG362" s="14" t="str">
        <x:v>I2</x:v>
      </x:c>
      <x:c r="AH362" s="14" t="n">
        <x:v>1</x:v>
      </x:c>
      <x:c r="AI362" s="14" t="n">
        <x:v>1</x:v>
      </x:c>
      <x:c r="AJ362" s="18" t="n">
        <x:v>45473135</x:v>
      </x:c>
      <x:c r="AK362" s="14" t="str">
        <x:v>https://prozorro.gov.ua/tender/UA-2026-05-15-008760-a</x:v>
      </x:c>
      <x:c r="AL362" s="19" t="n">
        <x:v>46189.52603324074</x:v>
      </x:c>
      <x:c r="AM362" s="19" t="n">
        <x:v>46382</x:v>
      </x:c>
      <x:c r="AN362" s="15" t="str">
        <x:v>Насосні станції</x:v>
      </x:c>
      <x:c r="AO362" s="15" t="str">
        <x:v>not_found_in_top_search</x:v>
      </x:c>
    </x:row>
    <x:row r="363">
      <x:c r="A363" s="14" t="str">
        <x:v>W3-091</x:v>
      </x:c>
      <x:c r="B363" s="14" t="str">
        <x:v>Prozorro winners — 24.08</x:v>
      </x:c>
      <x:c r="C363" s="14" t="str">
        <x:v>ТОВ "Енергосервісна компанія "Адамсон""</x:v>
      </x:c>
      <x:c r="D363" s="14" t="str">
        <x:v>Теплові мережі</x:v>
      </x:c>
      <x:c r="E363" s="14" t="str">
        <x:v>Expansion discovery</x:v>
      </x:c>
      <x:c r="F363" s="17" t="str">
        <x:v>D2</x:v>
      </x:c>
      <x:c r="G363" s="14" t="str"/>
      <x:c r="H363" s="14" t="str">
        <x:v>Discovery розширення — 2 тижні</x:v>
      </x:c>
      <x:c r="I363" s="16" t="n">
        <x:v>1</x:v>
      </x:c>
      <x:c r="J363" s="16" t="n">
        <x:v>5</x:v>
      </x:c>
      <x:c r="K363" s="16" t="n">
        <x:v>4</x:v>
      </x:c>
      <x:c r="L363" s="16" t="n">
        <x:v>5</x:v>
      </x:c>
      <x:c r="M363" s="16" t="n">
        <x:v>5</x:v>
      </x:c>
      <x:c r="N363" s="16" t="n">
        <x:v>5</x:v>
      </x:c>
      <x:c r="O363" s="16" t="n">
        <x:v>5</x:v>
      </x:c>
      <x:c r="P363" s="16" t="n">
        <x:f>IF(COUNT(I363:O363)&lt;7,"",I363*8+J363*3+K363*2+L363*2+M363*2+N363*2+O363)</x:f>
        <x:v>66</x:v>
      </x:c>
      <x:c r="Q363" s="16" t="n">
        <x:f>IF(COUNT(J363:O363)&lt;6,"",J363*5+K363*4+M363*4+L363*3+N363*2+O363*2)</x:f>
        <x:v>96</x:v>
      </x:c>
      <x:c r="R363" s="14" t="str">
        <x:v>high</x:v>
      </x:c>
      <x:c r="S363" s="14" t="str">
        <x:v>official_prozorro_award_2025_2026</x:v>
      </x:c>
      <x:c r="T363" s="14" t="str">
        <x:v>official_prozorro_api</x:v>
      </x:c>
      <x:c r="U363" s="14" t="str">
        <x:v>Не контактували</x:v>
      </x:c>
      <x:c r="V363" s="15" t="str">
        <x:v>Workflow-audit outreach по UA-2026-04-29-006326-a; попросити 1 пакет здачі та вимоги проєкту</x:v>
      </x:c>
      <x:c r="W363" s="15" t="str">
        <x:v>Власник / директор; керівник ПТО; відповідальний за договори</x:v>
      </x:c>
      <x:c r="X363" s="15" t="str">
        <x:v>1 підтверджених перемог/договорів у Prozorro на 40 016 067 грн; 1 проєктів зі строком виконання не раніше 24.08.2026.</x:v>
      </x:c>
      <x:c r="Y363" s="15" t="str">
        <x:v>Реконструкція ЦТП в котельню із встановленням газових котлів та реконструкцією теплових мереж на вул. Сахарова, 30-А у м. Івано-Франківську; строк до 2026-09-30. Попросити один знеособлений пакет здачі за цим workflow.</x:v>
      </x:c>
      <x:c r="Z363" s="15" t="str">
        <x:v>https://prozorro.gov.ua/tender/UA-2026-04-29-006326-a</x:v>
      </x:c>
      <x:c r="AA363" s="14" t="str">
        <x:v>39314325</x:v>
      </x:c>
      <x:c r="AB363" s="14" t="str">
        <x:v>2026-08-24</x:v>
      </x:c>
      <x:c r="AC363" s="14" t="str"/>
      <x:c r="AD363" s="20" t="str"/>
      <x:c r="AE363" s="14" t="str"/>
      <x:c r="AF363" s="14" t="n">
        <x:v>62</x:v>
      </x:c>
      <x:c r="AG363" s="14" t="str">
        <x:v>I2</x:v>
      </x:c>
      <x:c r="AH363" s="14" t="n">
        <x:v>1</x:v>
      </x:c>
      <x:c r="AI363" s="14" t="n">
        <x:v>1</x:v>
      </x:c>
      <x:c r="AJ363" s="18" t="n">
        <x:v>40016067.22</x:v>
      </x:c>
      <x:c r="AK363" s="14" t="str">
        <x:v>https://prozorro.gov.ua/tender/UA-2026-04-29-006326-a</x:v>
      </x:c>
      <x:c r="AL363" s="19" t="n">
        <x:v>46162.57350153935</x:v>
      </x:c>
      <x:c r="AM363" s="19" t="n">
        <x:v>46295</x:v>
      </x:c>
      <x:c r="AN363" s="15" t="str">
        <x:v>Теплові мережі</x:v>
      </x:c>
      <x:c r="AO363" s="15" t="str">
        <x:v>not_found_in_top_search</x:v>
      </x:c>
    </x:row>
    <x:row r="364">
      <x:c r="A364" s="14" t="str">
        <x:v>W3-092</x:v>
      </x:c>
      <x:c r="B364" s="14" t="str">
        <x:v>Prozorro winners — 24.08</x:v>
      </x:c>
      <x:c r="C364" s="14" t="str">
        <x:v>ПП "ЛЕС"</x:v>
      </x:c>
      <x:c r="D364" s="14" t="str">
        <x:v>Зовнішні мережі</x:v>
      </x:c>
      <x:c r="E364" s="14" t="str">
        <x:v>Expansion discovery</x:v>
      </x:c>
      <x:c r="F364" s="17" t="str">
        <x:v>D2</x:v>
      </x:c>
      <x:c r="G364" s="14" t="str">
        <x:v>les.lviv.ua</x:v>
      </x:c>
      <x:c r="H364" s="14" t="str">
        <x:v>Discovery розширення — 2 тижні</x:v>
      </x:c>
      <x:c r="I364" s="16" t="n">
        <x:v>1</x:v>
      </x:c>
      <x:c r="J364" s="16" t="n">
        <x:v>5</x:v>
      </x:c>
      <x:c r="K364" s="16" t="n">
        <x:v>4</x:v>
      </x:c>
      <x:c r="L364" s="16" t="n">
        <x:v>5</x:v>
      </x:c>
      <x:c r="M364" s="16" t="n">
        <x:v>5</x:v>
      </x:c>
      <x:c r="N364" s="16" t="n">
        <x:v>5</x:v>
      </x:c>
      <x:c r="O364" s="16" t="n">
        <x:v>5</x:v>
      </x:c>
      <x:c r="P364" s="16" t="n">
        <x:f>IF(COUNT(I364:O364)&lt;7,"",I364*8+J364*3+K364*2+L364*2+M364*2+N364*2+O364)</x:f>
        <x:v>66</x:v>
      </x:c>
      <x:c r="Q364" s="16" t="n">
        <x:f>IF(COUNT(J364:O364)&lt;6,"",J364*5+K364*4+M364*4+L364*3+N364*2+O364*2)</x:f>
        <x:v>96</x:v>
      </x:c>
      <x:c r="R364" s="14" t="str">
        <x:v>high</x:v>
      </x:c>
      <x:c r="S364" s="14" t="str">
        <x:v>official_prozorro_award_2025_2026</x:v>
      </x:c>
      <x:c r="T364" s="14" t="str">
        <x:v>official_prozorro_api</x:v>
      </x:c>
      <x:c r="U364" s="14" t="str">
        <x:v>Не контактували</x:v>
      </x:c>
      <x:c r="V364" s="15" t="str">
        <x:v>Workflow-audit outreach по UA-2026-05-20-013626-a; попросити 1 пакет здачі та вимоги проєкту</x:v>
      </x:c>
      <x:c r="W364" s="15" t="str">
        <x:v>Власник / директор; керівник ПТО; відповідальний за договори</x:v>
      </x:c>
      <x:c r="X364" s="15" t="str">
        <x:v>1 підтверджених перемог/договорів у Prozorro на 29 630 026 грн; 1 проєктів зі строком виконання не раніше 24.08.2026.</x:v>
      </x:c>
      <x:c r="Y36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 строк до 2027-05-01. Попросити один знеособлений пакет здачі за цим workflow.</x:v>
      </x:c>
      <x:c r="Z364" s="15" t="str">
        <x:v>https://prozorro.gov.ua/tender/UA-2026-05-20-013626-a</x:v>
      </x:c>
      <x:c r="AA364" s="14" t="str">
        <x:v>36828486</x:v>
      </x:c>
      <x:c r="AB364" s="14" t="str">
        <x:v>2026-08-24</x:v>
      </x:c>
      <x:c r="AC364" s="14" t="str"/>
      <x:c r="AD364" s="20" t="str"/>
      <x:c r="AE364" s="14" t="str"/>
      <x:c r="AF364" s="14" t="n">
        <x:v>62</x:v>
      </x:c>
      <x:c r="AG364" s="14" t="str">
        <x:v>I2</x:v>
      </x:c>
      <x:c r="AH364" s="14" t="n">
        <x:v>1</x:v>
      </x:c>
      <x:c r="AI364" s="14" t="n">
        <x:v>1</x:v>
      </x:c>
      <x:c r="AJ364" s="18" t="n">
        <x:v>29630025.76</x:v>
      </x:c>
      <x:c r="AK364" s="14" t="str">
        <x:v>https://prozorro.gov.ua/tender/UA-2026-05-20-013626-a</x:v>
      </x:c>
      <x:c r="AL364" s="19" t="n">
        <x:v>46197.37506895833</x:v>
      </x:c>
      <x:c r="AM364" s="19" t="n">
        <x:v>46508</x:v>
      </x:c>
      <x:c r="AN364" s="15" t="str">
        <x:v>Зовнішні мережі</x:v>
      </x:c>
      <x:c r="AO364" s="15" t="str">
        <x:v>supplier_provided_url</x:v>
      </x:c>
    </x:row>
    <x:row r="365">
      <x:c r="A365" s="14" t="str">
        <x:v>W3-093</x:v>
      </x:c>
      <x:c r="B365" s="14" t="str">
        <x:v>Prozorro winners — 24.08</x:v>
      </x:c>
      <x:c r="C365" s="14" t="str">
        <x:v>Товариство з обмеженою відповідальністю «БК Домінант»</x:v>
      </x:c>
      <x:c r="D365" s="14" t="str">
        <x:v>Насосні станції</x:v>
      </x:c>
      <x:c r="E365" s="14" t="str">
        <x:v>Expansion discovery</x:v>
      </x:c>
      <x:c r="F365" s="17" t="str">
        <x:v>D2</x:v>
      </x:c>
      <x:c r="G365" s="14" t="str"/>
      <x:c r="H365" s="14" t="str">
        <x:v>Discovery розширення — 2 тижні</x:v>
      </x:c>
      <x:c r="I365" s="16" t="n">
        <x:v>1</x:v>
      </x:c>
      <x:c r="J365" s="16" t="n">
        <x:v>5</x:v>
      </x:c>
      <x:c r="K365" s="16" t="n">
        <x:v>4</x:v>
      </x:c>
      <x:c r="L365" s="16" t="n">
        <x:v>5</x:v>
      </x:c>
      <x:c r="M365" s="16" t="n">
        <x:v>5</x:v>
      </x:c>
      <x:c r="N365" s="16" t="n">
        <x:v>5</x:v>
      </x:c>
      <x:c r="O365" s="16" t="n">
        <x:v>5</x:v>
      </x:c>
      <x:c r="P365" s="16" t="n">
        <x:f>IF(COUNT(I365:O365)&lt;7,"",I365*8+J365*3+K365*2+L365*2+M365*2+N365*2+O365)</x:f>
        <x:v>66</x:v>
      </x:c>
      <x:c r="Q365" s="16" t="n">
        <x:f>IF(COUNT(J365:O365)&lt;6,"",J365*5+K365*4+M365*4+L365*3+N365*2+O365*2)</x:f>
        <x:v>96</x:v>
      </x:c>
      <x:c r="R365" s="14" t="str">
        <x:v>high</x:v>
      </x:c>
      <x:c r="S365" s="14" t="str">
        <x:v>official_prozorro_award_2025_2026</x:v>
      </x:c>
      <x:c r="T365" s="14" t="str">
        <x:v>official_prozorro_api</x:v>
      </x:c>
      <x:c r="U365" s="14" t="str">
        <x:v>Не контактували</x:v>
      </x:c>
      <x:c r="V365" s="15" t="str">
        <x:v>Повторне звернення з новим тендерним сигналом UA-2026-07-21-009878-a; попросити 1 пакет здачі</x:v>
      </x:c>
      <x:c r="W365" s="15" t="str">
        <x:v>Власник / директор; керівник ПТО; відповідальний за договори</x:v>
      </x:c>
      <x:c r="X365" s="15" t="str">
        <x:v>1 підтверджених перемог/договорів у Prozorro на 24 838 875 грн; 1 проєктів зі строком виконання не раніше 24.08.2026.</x:v>
      </x:c>
      <x:c r="Y365" s="15" t="str">
        <x:v>Виконання робіт по об'єкту: "Реконструкція електричної мережі каналізаційної насосної станції №1, розташованої у місті Чернігові з встановленням когенераційної установки як альтернативного джерела живлення" (ДК 021:2015: 5000000-7 - Будівельні роботи та поточний ремонт); строк до 2027-12-31. Попросити один знеособлений пакет здачі за цим workflow.</x:v>
      </x:c>
      <x:c r="Z365" s="15" t="str">
        <x:v>https://prozorro.gov.ua/tender/UA-2026-06-30-011765-a</x:v>
      </x:c>
      <x:c r="AA365" s="14" t="str">
        <x:v>40442698</x:v>
      </x:c>
      <x:c r="AB365" s="14" t="str">
        <x:v>2026-08-24</x:v>
      </x:c>
      <x:c r="AC365" s="14" t="str"/>
      <x:c r="AD365" s="20" t="str"/>
      <x:c r="AE365" s="14" t="str"/>
      <x:c r="AF365" s="14" t="n">
        <x:v>68</x:v>
      </x:c>
      <x:c r="AG365" s="14" t="str">
        <x:v>I2</x:v>
      </x:c>
      <x:c r="AH365" s="14" t="n">
        <x:v>3</x:v>
      </x:c>
      <x:c r="AI365" s="14" t="n">
        <x:v>3</x:v>
      </x:c>
      <x:c r="AJ365" s="18" t="n">
        <x:v>80242712.66</x:v>
      </x:c>
      <x:c r="AK365" s="14" t="str">
        <x:v>https://prozorro.gov.ua/tender/UA-2026-07-21-009878-a</x:v>
      </x:c>
      <x:c r="AL365" s="19" t="n">
        <x:v>46224.54783775463</x:v>
      </x:c>
      <x:c r="AM365" s="19" t="n">
        <x:v>46752.588900462964</x:v>
      </x:c>
      <x:c r="AN365" s="15" t="str">
        <x:v>Насосні станції; Теплові мережі</x:v>
      </x:c>
      <x:c r="AO365" s="15" t="str">
        <x:v>not_found_in_top_search</x:v>
      </x:c>
    </x:row>
    <x:row r="366">
      <x:c r="A366" s="14" t="str">
        <x:v>W3-094</x:v>
      </x:c>
      <x:c r="B366" s="14" t="str">
        <x:v>Prozorro winners — 24.08</x:v>
      </x:c>
      <x:c r="C366" s="14" t="str">
        <x:v>ПрАТ Агробудмеханізація</x:v>
      </x:c>
      <x:c r="D366" s="14" t="str">
        <x:v>Зовнішні мережі</x:v>
      </x:c>
      <x:c r="E366" s="14" t="str">
        <x:v>Expansion discovery</x:v>
      </x:c>
      <x:c r="F366" s="17" t="str">
        <x:v>D2</x:v>
      </x:c>
      <x:c r="G366" s="14" t="str">
        <x:v>agrobudmeh.com</x:v>
      </x:c>
      <x:c r="H366" s="14" t="str">
        <x:v>Discovery розширення — 2 тижні</x:v>
      </x:c>
      <x:c r="I366" s="16" t="n">
        <x:v>1</x:v>
      </x:c>
      <x:c r="J366" s="16" t="n">
        <x:v>5</x:v>
      </x:c>
      <x:c r="K366" s="16" t="n">
        <x:v>4</x:v>
      </x:c>
      <x:c r="L366" s="16" t="n">
        <x:v>5</x:v>
      </x:c>
      <x:c r="M366" s="16" t="n">
        <x:v>5</x:v>
      </x:c>
      <x:c r="N366" s="16" t="n">
        <x:v>5</x:v>
      </x:c>
      <x:c r="O366" s="16" t="n">
        <x:v>5</x:v>
      </x:c>
      <x:c r="P366" s="16" t="n">
        <x:f>IF(COUNT(I366:O366)&lt;7,"",I366*8+J366*3+K366*2+L366*2+M366*2+N366*2+O366)</x:f>
        <x:v>66</x:v>
      </x:c>
      <x:c r="Q366" s="16" t="n">
        <x:f>IF(COUNT(J366:O366)&lt;6,"",J366*5+K366*4+M366*4+L366*3+N366*2+O366*2)</x:f>
        <x:v>96</x:v>
      </x:c>
      <x:c r="R366" s="14" t="str">
        <x:v>high</x:v>
      </x:c>
      <x:c r="S366" s="14" t="str">
        <x:v>official_prozorro_award_2025_2026</x:v>
      </x:c>
      <x:c r="T366" s="14" t="str">
        <x:v>official_prozorro_api</x:v>
      </x:c>
      <x:c r="U366" s="14" t="str">
        <x:v>Не контактували</x:v>
      </x:c>
      <x:c r="V366" s="15" t="str">
        <x:v>Workflow-audit outreach по UA-2026-06-22-012842-a; попросити 1 пакет здачі та вимоги проєкту</x:v>
      </x:c>
      <x:c r="W366" s="15" t="str">
        <x:v>Власник / директор; керівник ПТО; відповідальний за договори</x:v>
      </x:c>
      <x:c r="X366" s="15" t="str">
        <x:v>1 підтверджених перемог/договорів у Prozorro на 24 229 978 грн; 1 проєктів зі строком виконання не раніше 24.08.2026.</x:v>
      </x:c>
      <x:c r="Y366" s="15" t="str">
        <x:v>Нове будівництво зовнішніх інженерних мереж з підключенням збірно-розбірних комплексних споруд в Київській області; строк до 2027-06-01. Попросити один знеособлений пакет здачі за цим workflow.</x:v>
      </x:c>
      <x:c r="Z366" s="15" t="str">
        <x:v>https://prozorro.gov.ua/tender/UA-2026-06-22-012842-a</x:v>
      </x:c>
      <x:c r="AA366" s="14" t="str">
        <x:v>13708491</x:v>
      </x:c>
      <x:c r="AB366" s="14" t="str">
        <x:v>2026-08-24</x:v>
      </x:c>
      <x:c r="AC366" s="14" t="str"/>
      <x:c r="AD366" s="20" t="str"/>
      <x:c r="AE366" s="14" t="str"/>
      <x:c r="AF366" s="14" t="n">
        <x:v>62</x:v>
      </x:c>
      <x:c r="AG366" s="14" t="str">
        <x:v>I2</x:v>
      </x:c>
      <x:c r="AH366" s="14" t="n">
        <x:v>1</x:v>
      </x:c>
      <x:c r="AI366" s="14" t="n">
        <x:v>1</x:v>
      </x:c>
      <x:c r="AJ366" s="18" t="n">
        <x:v>24229978</x:v>
      </x:c>
      <x:c r="AK366" s="14" t="str">
        <x:v>https://prozorro.gov.ua/tender/UA-2026-06-22-012842-a</x:v>
      </x:c>
      <x:c r="AL366" s="19" t="n">
        <x:v>46209.46728862268</x:v>
      </x:c>
      <x:c r="AM366" s="19" t="n">
        <x:v>46539</x:v>
      </x:c>
      <x:c r="AN366" s="15" t="str">
        <x:v>Зовнішні мережі</x:v>
      </x:c>
      <x:c r="AO366" s="15" t="str">
        <x:v>supplier_provided_url</x:v>
      </x:c>
    </x:row>
    <x:row r="367">
      <x:c r="A367" s="14" t="str">
        <x:v>W3-095</x:v>
      </x:c>
      <x:c r="B367" s="14" t="str">
        <x:v>Prozorro winners — 24.08</x:v>
      </x:c>
      <x:c r="C367" s="14" t="str">
        <x:v>ТОВ "ПСК Енергобуд"</x:v>
      </x:c>
      <x:c r="D367" s="14" t="str">
        <x:v>Насосні станції</x:v>
      </x:c>
      <x:c r="E367" s="14" t="str">
        <x:v>Expansion discovery</x:v>
      </x:c>
      <x:c r="F367" s="17" t="str">
        <x:v>D2</x:v>
      </x:c>
      <x:c r="G367" s="14" t="str"/>
      <x:c r="H367" s="14" t="str">
        <x:v>Discovery розширення — 2 тижні</x:v>
      </x:c>
      <x:c r="I367" s="16" t="n">
        <x:v>1</x:v>
      </x:c>
      <x:c r="J367" s="16" t="n">
        <x:v>5</x:v>
      </x:c>
      <x:c r="K367" s="16" t="n">
        <x:v>4</x:v>
      </x:c>
      <x:c r="L367" s="16" t="n">
        <x:v>5</x:v>
      </x:c>
      <x:c r="M367" s="16" t="n">
        <x:v>5</x:v>
      </x:c>
      <x:c r="N367" s="16" t="n">
        <x:v>5</x:v>
      </x:c>
      <x:c r="O367" s="16" t="n">
        <x:v>5</x:v>
      </x:c>
      <x:c r="P367" s="16" t="n">
        <x:f>IF(COUNT(I367:O367)&lt;7,"",I367*8+J367*3+K367*2+L367*2+M367*2+N367*2+O367)</x:f>
        <x:v>66</x:v>
      </x:c>
      <x:c r="Q367" s="16" t="n">
        <x:f>IF(COUNT(J367:O367)&lt;6,"",J367*5+K367*4+M367*4+L367*3+N367*2+O367*2)</x:f>
        <x:v>96</x:v>
      </x:c>
      <x:c r="R367" s="14" t="str">
        <x:v>high</x:v>
      </x:c>
      <x:c r="S367" s="14" t="str">
        <x:v>official_prozorro_award_2025_2026</x:v>
      </x:c>
      <x:c r="T367" s="14" t="str">
        <x:v>official_prozorro_api</x:v>
      </x:c>
      <x:c r="U367" s="14" t="str">
        <x:v>Не контактували</x:v>
      </x:c>
      <x:c r="V367" s="15" t="str">
        <x:v>Повторне звернення з новим тендерним сигналом UA-2026-01-28-015217-a; попросити 1 пакет здачі</x:v>
      </x:c>
      <x:c r="W367" s="15" t="str">
        <x:v>Власник / директор; керівник ПТО; відповідальний за договори</x:v>
      </x:c>
      <x:c r="X367" s="15" t="str">
        <x:v>1 підтверджених перемог/договорів у Prozorro на 14 741 526 грн; 1 проєктів зі строком виконання не раніше 24.08.2026.</x:v>
      </x:c>
      <x:c r="Y367" s="15" t="str">
        <x:v>"Реконструкція РП-6 кВ насосної станції № 28 (інв.№2258) шляхом підключення до мереж КП "ХТМ" (ТЕЦ-4) за адресою: м. Харків, *** (КП "Харківводоканал"). Коригування" (код ДК: 021:2015-45454000-4-Реконструкція )
; строк до 2026-11-30. Попросити один знеособлений пакет здачі за цим workflow.</x:v>
      </x:c>
      <x:c r="Z367" s="15" t="str">
        <x:v>https://prozorro.gov.ua/tender/UA-2026-04-30-010755-a</x:v>
      </x:c>
      <x:c r="AA367" s="14" t="str">
        <x:v>36191288</x:v>
      </x:c>
      <x:c r="AB367" s="14" t="str">
        <x:v>2026-08-24</x:v>
      </x:c>
      <x:c r="AC367" s="14" t="str"/>
      <x:c r="AD367" s="20" t="str"/>
      <x:c r="AE367" s="14" t="str"/>
      <x:c r="AF367" s="14" t="n">
        <x:v>62</x:v>
      </x:c>
      <x:c r="AG367" s="14" t="str">
        <x:v>I2</x:v>
      </x:c>
      <x:c r="AH367" s="14" t="n">
        <x:v>3</x:v>
      </x:c>
      <x:c r="AI367" s="14" t="n">
        <x:v>2</x:v>
      </x:c>
      <x:c r="AJ367" s="18" t="n">
        <x:v>53092694.48</x:v>
      </x:c>
      <x:c r="AK367" s="14" t="str">
        <x:v>https://prozorro.gov.ua/tender/UA-2026-01-28-015217-a</x:v>
      </x:c>
      <x:c r="AL367" s="19" t="n">
        <x:v>46084.606233252314</x:v>
      </x:c>
      <x:c r="AM367" s="19" t="n">
        <x:v>46376.916655092595</x:v>
      </x:c>
      <x:c r="AN367" s="15" t="str">
        <x:v>Насосні станції; Палі та фундаменти</x:v>
      </x:c>
      <x:c r="AO367" s="15" t="str">
        <x:v>not_found_in_top_search</x:v>
      </x:c>
    </x:row>
    <x:row r="368">
      <x:c r="A368" s="14" t="str">
        <x:v>W3-096</x:v>
      </x:c>
      <x:c r="B368" s="14" t="str">
        <x:v>Prozorro winners — 24.08</x:v>
      </x:c>
      <x:c r="C368" s="14" t="str">
        <x:v>Товариство з обмеженою відповідальністю "МІСТПРОЕКТ"</x:v>
      </x:c>
      <x:c r="D368" s="14" t="str">
        <x:v>Мости / інфраструктура</x:v>
      </x:c>
      <x:c r="E368" s="14" t="str">
        <x:v>Expansion discovery</x:v>
      </x:c>
      <x:c r="F368" s="17" t="str">
        <x:v>D2</x:v>
      </x:c>
      <x:c r="G368" s="14" t="str"/>
      <x:c r="H368" s="14" t="str">
        <x:v>Discovery розширення — 2 тижні</x:v>
      </x:c>
      <x:c r="I368" s="16" t="n">
        <x:v>1</x:v>
      </x:c>
      <x:c r="J368" s="16" t="n">
        <x:v>5</x:v>
      </x:c>
      <x:c r="K368" s="16" t="n">
        <x:v>4</x:v>
      </x:c>
      <x:c r="L368" s="16" t="n">
        <x:v>5</x:v>
      </x:c>
      <x:c r="M368" s="16" t="n">
        <x:v>5</x:v>
      </x:c>
      <x:c r="N368" s="16" t="n">
        <x:v>5</x:v>
      </x:c>
      <x:c r="O368" s="16" t="n">
        <x:v>5</x:v>
      </x:c>
      <x:c r="P368" s="16" t="n">
        <x:f>IF(COUNT(I368:O368)&lt;7,"",I368*8+J368*3+K368*2+L368*2+M368*2+N368*2+O368)</x:f>
        <x:v>66</x:v>
      </x:c>
      <x:c r="Q368" s="16" t="n">
        <x:f>IF(COUNT(J368:O368)&lt;6,"",J368*5+K368*4+M368*4+L368*3+N368*2+O368*2)</x:f>
        <x:v>96</x:v>
      </x:c>
      <x:c r="R368" s="14" t="str">
        <x:v>high</x:v>
      </x:c>
      <x:c r="S368" s="14" t="str">
        <x:v>official_prozorro_award_2025_2026</x:v>
      </x:c>
      <x:c r="T368" s="14" t="str">
        <x:v>official_prozorro_api</x:v>
      </x:c>
      <x:c r="U368" s="14" t="str">
        <x:v>Не контактували</x:v>
      </x:c>
      <x:c r="V368" s="15" t="str">
        <x:v>Workflow-audit outreach по UA-2026-05-08-009065-a; попросити 1 пакет здачі та вимоги проєкту</x:v>
      </x:c>
      <x:c r="W368" s="15" t="str">
        <x:v>Власник / директор; керівник ПТО; відповідальний за договори</x:v>
      </x:c>
      <x:c r="X368" s="15" t="str">
        <x:v>1 підтверджених перемог/договорів у Prozorro на 11 483 640 грн; 1 проєктів зі строком виконання не раніше 24.08.2026.</x:v>
      </x:c>
      <x:c r="Y368"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 строк до 2026-12-31. Попросити один знеособлений пакет здачі за цим workflow.</x:v>
      </x:c>
      <x:c r="Z368" s="15" t="str">
        <x:v>https://prozorro.gov.ua/tender/UA-2026-05-08-009065-a</x:v>
      </x:c>
      <x:c r="AA368" s="14" t="str">
        <x:v>31483723</x:v>
      </x:c>
      <x:c r="AB368" s="14" t="str">
        <x:v>2026-08-24</x:v>
      </x:c>
      <x:c r="AC368" s="14" t="str"/>
      <x:c r="AD368" s="20" t="str"/>
      <x:c r="AE368" s="14" t="str"/>
      <x:c r="AF368" s="14" t="n">
        <x:v>62</x:v>
      </x:c>
      <x:c r="AG368" s="14" t="str">
        <x:v>I2</x:v>
      </x:c>
      <x:c r="AH368" s="14" t="n">
        <x:v>1</x:v>
      </x:c>
      <x:c r="AI368" s="14" t="n">
        <x:v>1</x:v>
      </x:c>
      <x:c r="AJ368" s="18" t="n">
        <x:v>11483640</x:v>
      </x:c>
      <x:c r="AK368" s="14" t="str">
        <x:v>https://prozorro.gov.ua/tender/UA-2026-05-08-009065-a</x:v>
      </x:c>
      <x:c r="AL368" s="19" t="n">
        <x:v>46161.51756497685</x:v>
      </x:c>
      <x:c r="AM368" s="19" t="n">
        <x:v>46387</x:v>
      </x:c>
      <x:c r="AN368" s="15" t="str">
        <x:v>Мости / інфраструктура</x:v>
      </x:c>
      <x:c r="AO368" s="15" t="str">
        <x:v>not_found_in_top_search</x:v>
      </x:c>
    </x:row>
    <x:row r="369">
      <x:c r="A369" s="14" t="str">
        <x:v>W3-097</x:v>
      </x:c>
      <x:c r="B369" s="14" t="str">
        <x:v>Prozorro winners — 24.08</x:v>
      </x:c>
      <x:c r="C369" s="14" t="str">
        <x:v>ТОВ "МОРАДА"</x:v>
      </x:c>
      <x:c r="D369" s="14" t="str">
        <x:v>Мости / інфраструктура</x:v>
      </x:c>
      <x:c r="E369" s="14" t="str">
        <x:v>Expansion discovery</x:v>
      </x:c>
      <x:c r="F369" s="17" t="str">
        <x:v>D2</x:v>
      </x:c>
      <x:c r="G369" s="14" t="str"/>
      <x:c r="H369" s="14" t="str">
        <x:v>Discovery розширення — 2 тижні</x:v>
      </x:c>
      <x:c r="I369" s="16" t="n">
        <x:v>1</x:v>
      </x:c>
      <x:c r="J369" s="16" t="n">
        <x:v>5</x:v>
      </x:c>
      <x:c r="K369" s="16" t="n">
        <x:v>4</x:v>
      </x:c>
      <x:c r="L369" s="16" t="n">
        <x:v>5</x:v>
      </x:c>
      <x:c r="M369" s="16" t="n">
        <x:v>5</x:v>
      </x:c>
      <x:c r="N369" s="16" t="n">
        <x:v>5</x:v>
      </x:c>
      <x:c r="O369" s="16" t="n">
        <x:v>5</x:v>
      </x:c>
      <x:c r="P369" s="16" t="n">
        <x:f>IF(COUNT(I369:O369)&lt;7,"",I369*8+J369*3+K369*2+L369*2+M369*2+N369*2+O369)</x:f>
        <x:v>66</x:v>
      </x:c>
      <x:c r="Q369" s="16" t="n">
        <x:f>IF(COUNT(J369:O369)&lt;6,"",J369*5+K369*4+M369*4+L369*3+N369*2+O369*2)</x:f>
        <x:v>96</x:v>
      </x:c>
      <x:c r="R369" s="14" t="str">
        <x:v>high</x:v>
      </x:c>
      <x:c r="S369" s="14" t="str">
        <x:v>official_prozorro_award_2025_2026</x:v>
      </x:c>
      <x:c r="T369" s="14" t="str">
        <x:v>official_prozorro_api</x:v>
      </x:c>
      <x:c r="U369" s="14" t="str">
        <x:v>Не контактували</x:v>
      </x:c>
      <x:c r="V369" s="15" t="str">
        <x:v>Workflow-audit outreach по UA-2026-05-08-013164-a; попросити 1 пакет здачі та вимоги проєкту</x:v>
      </x:c>
      <x:c r="W369" s="15" t="str">
        <x:v>Власник / директор; керівник ПТО; відповідальний за договори</x:v>
      </x:c>
      <x:c r="X369" s="15" t="str">
        <x:v>1 підтверджених перемог/договорів у Prozorro на 11 160 114 грн; 1 проєктів зі строком виконання не раніше 24.08.2026.</x:v>
      </x:c>
      <x:c r="Y369" s="15" t="str">
        <x:v>Послуги з благоустрою - поточний ремонт мостів та шляхопроводів; строк до 2026-12-31. Попросити один знеособлений пакет здачі за цим workflow.</x:v>
      </x:c>
      <x:c r="Z369" s="15" t="str">
        <x:v>https://prozorro.gov.ua/tender/UA-2026-05-08-013164-a</x:v>
      </x:c>
      <x:c r="AA369" s="14" t="str">
        <x:v>46063758</x:v>
      </x:c>
      <x:c r="AB369" s="14" t="str">
        <x:v>2026-08-24</x:v>
      </x:c>
      <x:c r="AC369" s="14" t="str"/>
      <x:c r="AD369" s="20" t="str"/>
      <x:c r="AE369" s="14" t="str"/>
      <x:c r="AF369" s="14" t="n">
        <x:v>62</x:v>
      </x:c>
      <x:c r="AG369" s="14" t="str">
        <x:v>I2</x:v>
      </x:c>
      <x:c r="AH369" s="14" t="n">
        <x:v>1</x:v>
      </x:c>
      <x:c r="AI369" s="14" t="n">
        <x:v>1</x:v>
      </x:c>
      <x:c r="AJ369" s="18" t="n">
        <x:v>11160113.51</x:v>
      </x:c>
      <x:c r="AK369" s="14" t="str">
        <x:v>https://prozorro.gov.ua/tender/UA-2026-05-08-013164-a</x:v>
      </x:c>
      <x:c r="AL369" s="19" t="n">
        <x:v>46161.63035443287</x:v>
      </x:c>
      <x:c r="AM369" s="19" t="n">
        <x:v>46387</x:v>
      </x:c>
      <x:c r="AN369" s="15" t="str">
        <x:v>Мости / інфраструктура</x:v>
      </x:c>
      <x:c r="AO369" s="15" t="str">
        <x:v>not_found_in_top_search</x:v>
      </x:c>
    </x:row>
    <x:row r="370">
      <x:c r="A370" s="14" t="str">
        <x:v>W3-098</x:v>
      </x:c>
      <x:c r="B370" s="14" t="str">
        <x:v>Prozorro winners — 24.08</x:v>
      </x:c>
      <x:c r="C370" s="14" t="str">
        <x:v>ТОВАРИСТВО З ОБМЕЖЕНОЮ ВІДПОВІДАЛЬНІСТЮ "БЕЗПЕКА 2017"</x:v>
      </x:c>
      <x:c r="D370" s="14" t="str">
        <x:v>Безпека / СКУД / CCTV</x:v>
      </x:c>
      <x:c r="E370" s="14" t="str">
        <x:v>Expansion discovery</x:v>
      </x:c>
      <x:c r="F370" s="17" t="str">
        <x:v>D2</x:v>
      </x:c>
      <x:c r="G370" s="14" t="str"/>
      <x:c r="H370" s="14" t="str">
        <x:v>Discovery розширення — 2 тижні</x:v>
      </x:c>
      <x:c r="I370" s="16" t="n">
        <x:v>1</x:v>
      </x:c>
      <x:c r="J370" s="16" t="n">
        <x:v>5</x:v>
      </x:c>
      <x:c r="K370" s="16" t="n">
        <x:v>4</x:v>
      </x:c>
      <x:c r="L370" s="16" t="n">
        <x:v>1</x:v>
      </x:c>
      <x:c r="M370" s="16" t="n">
        <x:v>5</x:v>
      </x:c>
      <x:c r="N370" s="16" t="n">
        <x:v>5</x:v>
      </x:c>
      <x:c r="O370" s="16" t="n">
        <x:v>5</x:v>
      </x:c>
      <x:c r="P370" s="16" t="n">
        <x:f>IF(COUNT(I370:O370)&lt;7,"",I370*8+J370*3+K370*2+L370*2+M370*2+N370*2+O370)</x:f>
        <x:v>58</x:v>
      </x:c>
      <x:c r="Q370" s="16" t="n">
        <x:f>IF(COUNT(J370:O370)&lt;6,"",J370*5+K370*4+M370*4+L370*3+N370*2+O370*2)</x:f>
        <x:v>84</x:v>
      </x:c>
      <x:c r="R370" s="14" t="str">
        <x:v>high</x:v>
      </x:c>
      <x:c r="S370" s="14" t="str">
        <x:v>official_prozorro_award_2025_2026</x:v>
      </x:c>
      <x:c r="T370" s="14" t="str">
        <x:v>official_prozorro_api</x:v>
      </x:c>
      <x:c r="U370" s="14" t="str">
        <x:v>Не контактували</x:v>
      </x:c>
      <x:c r="V370" s="15" t="str">
        <x:v>Workflow-audit outreach по UA-2026-08-04-007032-a; попросити 1 пакет здачі та вимоги проєкту</x:v>
      </x:c>
      <x:c r="W370" s="15" t="str">
        <x:v>Власник / директор; керівник ПТО; відповідальний за договори</x:v>
      </x:c>
      <x:c r="X370" s="15" t="str">
        <x:v>2 підтверджених перемог/договорів у Prozorro на 51 237 грн; 2 проєктів зі строком виконання не раніше 24.08.2026.</x:v>
      </x:c>
      <x:c r="Y370" s="15" t="str">
        <x:v>Монтаж систем відеоспостереження; строк до 2026-12-31. Попросити один знеособлений пакет здачі за цим workflow.</x:v>
      </x:c>
      <x:c r="Z370" s="15" t="str">
        <x:v>https://prozorro.gov.ua/tender/UA-2026-08-04-007032-a</x:v>
      </x:c>
      <x:c r="AA370" s="14" t="str">
        <x:v>41481392</x:v>
      </x:c>
      <x:c r="AB370" s="14" t="str">
        <x:v>2026-08-24</x:v>
      </x:c>
      <x:c r="AC370" s="14" t="str"/>
      <x:c r="AD370" s="20" t="str"/>
      <x:c r="AE370" s="14" t="str"/>
      <x:c r="AF370" s="14" t="n">
        <x:v>62</x:v>
      </x:c>
      <x:c r="AG370" s="14" t="str">
        <x:v>I2</x:v>
      </x:c>
      <x:c r="AH370" s="14" t="n">
        <x:v>2</x:v>
      </x:c>
      <x:c r="AI370" s="14" t="n">
        <x:v>2</x:v>
      </x:c>
      <x:c r="AJ370" s="18" t="n">
        <x:v>51236.91</x:v>
      </x:c>
      <x:c r="AK370" s="14" t="str">
        <x:v>https://prozorro.gov.ua/tender/UA-2026-08-04-007032-a</x:v>
      </x:c>
      <x:c r="AL370" s="19" t="n">
        <x:v>46238.461832719906</x:v>
      </x:c>
      <x:c r="AM370" s="19" t="n">
        <x:v>46387</x:v>
      </x:c>
      <x:c r="AN370" s="15" t="str">
        <x:v>Безпека / СКУД / CCTV</x:v>
      </x:c>
      <x:c r="AO370" s="15" t="str">
        <x:v>not_found_in_top_search</x:v>
      </x:c>
    </x:row>
    <x:row r="371">
      <x:c r="A371" s="14" t="str">
        <x:v>W3-099</x:v>
      </x:c>
      <x:c r="B371" s="14" t="str">
        <x:v>Prozorro winners — 24.08</x:v>
      </x:c>
      <x:c r="C371" s="14" t="str">
        <x:v>Управління поліції охорони в м. Києві</x:v>
      </x:c>
      <x:c r="D371" s="14" t="str">
        <x:v>Пожежогасіння</x:v>
      </x:c>
      <x:c r="E371" s="14" t="str">
        <x:v>Expansion discovery</x:v>
      </x:c>
      <x:c r="F371" s="17" t="str">
        <x:v>D2</x:v>
      </x:c>
      <x:c r="G371" s="14" t="str"/>
      <x:c r="H371" s="14" t="str">
        <x:v>Discovery розширення — 2 тижні</x:v>
      </x:c>
      <x:c r="I371" s="16" t="n">
        <x:v>1</x:v>
      </x:c>
      <x:c r="J371" s="16" t="n">
        <x:v>5</x:v>
      </x:c>
      <x:c r="K371" s="16" t="n">
        <x:v>4</x:v>
      </x:c>
      <x:c r="L371" s="16" t="n">
        <x:v>1</x:v>
      </x:c>
      <x:c r="M371" s="16" t="n">
        <x:v>5</x:v>
      </x:c>
      <x:c r="N371" s="16" t="n">
        <x:v>5</x:v>
      </x:c>
      <x:c r="O371" s="16" t="n">
        <x:v>5</x:v>
      </x:c>
      <x:c r="P371" s="16" t="n">
        <x:f>IF(COUNT(I371:O371)&lt;7,"",I371*8+J371*3+K371*2+L371*2+M371*2+N371*2+O371)</x:f>
        <x:v>58</x:v>
      </x:c>
      <x:c r="Q371" s="16" t="n">
        <x:f>IF(COUNT(J371:O371)&lt;6,"",J371*5+K371*4+M371*4+L371*3+N371*2+O371*2)</x:f>
        <x:v>84</x:v>
      </x:c>
      <x:c r="R371" s="14" t="str">
        <x:v>high</x:v>
      </x:c>
      <x:c r="S371" s="14" t="str">
        <x:v>official_prozorro_award_2025_2026</x:v>
      </x:c>
      <x:c r="T371" s="14" t="str">
        <x:v>official_prozorro_api</x:v>
      </x:c>
      <x:c r="U371" s="14" t="str">
        <x:v>Не контактували</x:v>
      </x:c>
      <x:c r="V371" s="15" t="str">
        <x:v>Повторне звернення з новим тендерним сигналом UA-2026-04-14-008111-a; попросити 1 пакет здачі</x:v>
      </x:c>
      <x:c r="W371" s="15" t="str">
        <x:v>Власник / директор; керівник ПТО; відповідальний за договори</x:v>
      </x:c>
      <x:c r="X371" s="15" t="str">
        <x:v>2 підтверджених перемог/договорів у Prozorro на 45 491 грн; 2 проєктів зі строком виконання не раніше 24.08.2026.</x:v>
      </x:c>
      <x:c r="Y371" s="15" t="str">
        <x:v>Монтаж, пусконалагоджування системи пожежної сигналізації; строк до 2026-12-31. Попросити один знеособлений пакет здачі за цим workflow.</x:v>
      </x:c>
      <x:c r="Z371" s="15" t="str">
        <x:v>https://prozorro.gov.ua/tender/UA-2026-08-06-005265-a</x:v>
      </x:c>
      <x:c r="AA371" s="14" t="str">
        <x:v>40109147</x:v>
      </x:c>
      <x:c r="AB371" s="14" t="str">
        <x:v>2026-08-24</x:v>
      </x:c>
      <x:c r="AC371" s="14" t="str"/>
      <x:c r="AD371" s="20" t="str"/>
      <x:c r="AE371" s="14" t="str"/>
      <x:c r="AF371" s="14" t="n">
        <x:v>62</x:v>
      </x:c>
      <x:c r="AG371" s="14" t="str">
        <x:v>I2</x:v>
      </x:c>
      <x:c r="AH371" s="14" t="n">
        <x:v>4</x:v>
      </x:c>
      <x:c r="AI371" s="14" t="n">
        <x:v>3</x:v>
      </x:c>
      <x:c r="AJ371" s="18" t="n">
        <x:v>79623.5</x:v>
      </x:c>
      <x:c r="AK371" s="14" t="str">
        <x:v>https://prozorro.gov.ua/tender/UA-2026-04-14-008111-a</x:v>
      </x:c>
      <x:c r="AL371" s="19" t="n">
        <x:v>46126.50468167824</x:v>
      </x:c>
      <x:c r="AM371" s="19" t="n">
        <x:v>46387.547002314815</x:v>
      </x:c>
      <x:c r="AN371" s="15" t="str">
        <x:v>Пожежогасіння</x:v>
      </x:c>
      <x:c r="AO371" s="15" t="str">
        <x:v>not_found_in_top_search</x:v>
      </x:c>
    </x:row>
    <x:row r="372">
      <x:c r="A372" s="14" t="str">
        <x:v>W3-100</x:v>
      </x:c>
      <x:c r="B372" s="14" t="str">
        <x:v>Prozorro winners — 24.08</x:v>
      </x:c>
      <x:c r="C372" s="14" t="str">
        <x:v>Товариство з обмеженою відповідальністю  "ЕКОСФЕРА-ЗАХІД"</x:v>
      </x:c>
      <x:c r="D372" s="14" t="str">
        <x:v>HVAC / ОВіК</x:v>
      </x:c>
      <x:c r="E372" s="14" t="str">
        <x:v>Pilot now</x:v>
      </x:c>
      <x:c r="F372" s="17" t="str">
        <x:v>P2</x:v>
      </x:c>
      <x:c r="G372" s="14" t="str"/>
      <x:c r="H372" s="14" t="str">
        <x:v>Пілот зараз — Н.14</x:v>
      </x:c>
      <x:c r="I372" s="16" t="n">
        <x:v>5</x:v>
      </x:c>
      <x:c r="J372" s="16" t="n">
        <x:v>5</x:v>
      </x:c>
      <x:c r="K372" s="16" t="n">
        <x:v>5</x:v>
      </x:c>
      <x:c r="L372" s="16" t="n">
        <x:v>1</x:v>
      </x:c>
      <x:c r="M372" s="16" t="n">
        <x:v>5</x:v>
      </x:c>
      <x:c r="N372" s="16" t="n">
        <x:v>5</x:v>
      </x:c>
      <x:c r="O372" s="16" t="n">
        <x:v>5</x:v>
      </x:c>
      <x:c r="P372" s="16" t="n">
        <x:f>IF(COUNT(I372:O372)&lt;7,"",I372*8+J372*3+K372*2+L372*2+M372*2+N372*2+O372)</x:f>
        <x:v>92</x:v>
      </x:c>
      <x:c r="Q372" s="16" t="n">
        <x:f>IF(COUNT(J372:O372)&lt;6,"",J372*5+K372*4+M372*4+L372*3+N372*2+O372*2)</x:f>
        <x:v>88</x:v>
      </x:c>
      <x:c r="R372" s="14" t="str">
        <x:v>high</x:v>
      </x:c>
      <x:c r="S372" s="14" t="str">
        <x:v>official_prozorro_award_2025_2026</x:v>
      </x:c>
      <x:c r="T372" s="14" t="str">
        <x:v>official_prozorro_api</x:v>
      </x:c>
      <x:c r="U372" s="14" t="str">
        <x:v>Не контактували</x:v>
      </x:c>
      <x:c r="V372" s="15" t="str">
        <x:v>Повторне звернення з новим тендерним сигналом UA-2025-12-25-012650-a; попросити 1 пакет здачі</x:v>
      </x:c>
      <x:c r="W372" s="15" t="str">
        <x:v>Власник / директор; керівник ПТО; відповідальний за договори</x:v>
      </x:c>
      <x:c r="X372" s="15" t="str">
        <x:v>2 підтверджених перемог/договорів у Prozorro на 35 500 грн; 2 проєктів зі строком виконання не раніше 24.08.2026.</x:v>
      </x:c>
      <x:c r="Y372" s="15" t="str">
        <x:v>Монтаж систем вентиляції та кондиціонування повітря (45331200-8 Встановлення вентиляційних систем і систем кондиціонування повітря) код за ДК 021-2015:45330000-9 Водопровідні та санітарно-технічні роботи; строк до 2026-12-31. Попросити один знеособлений пакет здачі за цим workflow.</x:v>
      </x:c>
      <x:c r="Z372" s="15" t="str">
        <x:v>https://prozorro.gov.ua/tender/UA-2026-07-14-011551-a</x:v>
      </x:c>
      <x:c r="AA372" s="14" t="str">
        <x:v>44184736</x:v>
      </x:c>
      <x:c r="AB372" s="14" t="str">
        <x:v>2026-08-24</x:v>
      </x:c>
      <x:c r="AC372" s="14" t="str"/>
      <x:c r="AD372" s="20" t="str"/>
      <x:c r="AE372" s="14" t="str"/>
      <x:c r="AF372" s="14" t="n">
        <x:v>62</x:v>
      </x:c>
      <x:c r="AG372" s="14" t="str">
        <x:v>I2</x:v>
      </x:c>
      <x:c r="AH372" s="14" t="n">
        <x:v>4</x:v>
      </x:c>
      <x:c r="AI372" s="14" t="n">
        <x:v>2</x:v>
      </x:c>
      <x:c r="AJ372" s="18" t="n">
        <x:v>52790</x:v>
      </x:c>
      <x:c r="AK372" s="14" t="str">
        <x:v>https://prozorro.gov.ua/tender/UA-2025-12-25-012650-a</x:v>
      </x:c>
      <x:c r="AL372" s="19" t="n">
        <x:v>46016.58815099537</x:v>
      </x:c>
      <x:c r="AM372" s="19" t="n">
        <x:v>46022</x:v>
      </x:c>
      <x:c r="AN372" s="15" t="str">
        <x:v>HVAC / ОВіК</x:v>
      </x:c>
      <x:c r="AO372" s="15" t="str">
        <x:v>not_found_in_top_search</x:v>
      </x:c>
    </x:row>
    <x:row r="373">
      <x:c r="A373" s="14" t="str">
        <x:v>W3-101</x:v>
      </x:c>
      <x:c r="B373" s="14" t="str">
        <x:v>Prozorro winners — 24.08</x:v>
      </x:c>
      <x:c r="C373" s="14" t="str">
        <x:v>ФОП Ступак Олексій Олександрович</x:v>
      </x:c>
      <x:c r="D373" s="14" t="str">
        <x:v>Безпека / СКУД / CCTV</x:v>
      </x:c>
      <x:c r="E373" s="14" t="str">
        <x:v>Expansion discovery</x:v>
      </x:c>
      <x:c r="F373" s="17" t="str">
        <x:v>D2</x:v>
      </x:c>
      <x:c r="G373" s="14" t="str"/>
      <x:c r="H373" s="14" t="str">
        <x:v>Discovery розширення — 2 тижні</x:v>
      </x:c>
      <x:c r="I373" s="16" t="n">
        <x:v>1</x:v>
      </x:c>
      <x:c r="J373" s="16" t="n">
        <x:v>5</x:v>
      </x:c>
      <x:c r="K373" s="16" t="n">
        <x:v>4</x:v>
      </x:c>
      <x:c r="L373" s="16" t="n">
        <x:v>1</x:v>
      </x:c>
      <x:c r="M373" s="16" t="n">
        <x:v>5</x:v>
      </x:c>
      <x:c r="N373" s="16" t="n">
        <x:v>3</x:v>
      </x:c>
      <x:c r="O373" s="16" t="n">
        <x:v>5</x:v>
      </x:c>
      <x:c r="P373" s="16" t="n">
        <x:f>IF(COUNT(I373:O373)&lt;7,"",I373*8+J373*3+K373*2+L373*2+M373*2+N373*2+O373)</x:f>
        <x:v>54</x:v>
      </x:c>
      <x:c r="Q373" s="16" t="n">
        <x:f>IF(COUNT(J373:O373)&lt;6,"",J373*5+K373*4+M373*4+L373*3+N373*2+O373*2)</x:f>
        <x:v>80</x:v>
      </x:c>
      <x:c r="R373" s="14" t="str">
        <x:v>high</x:v>
      </x:c>
      <x:c r="S373" s="14" t="str">
        <x:v>official_prozorro_award_2025_2026</x:v>
      </x:c>
      <x:c r="T373" s="14" t="str">
        <x:v>official_prozorro_api</x:v>
      </x:c>
      <x:c r="U373" s="14" t="str">
        <x:v>Не контактували</x:v>
      </x:c>
      <x:c r="V373" s="15" t="str">
        <x:v>Workflow-audit outreach по UA-2026-07-28-002616-a; попросити 1 пакет здачі та вимоги проєкту</x:v>
      </x:c>
      <x:c r="W373" s="15" t="str">
        <x:v>Власник / виконавець; відповідальний за договір</x:v>
      </x:c>
      <x:c r="X373" s="15" t="str">
        <x:v>2 підтверджених перемог/договорів у Prozorro на 20 404 грн; 2 проєктів зі строком виконання не раніше 24.08.2026.</x:v>
      </x:c>
      <x:c r="Y373" s="15" t="str">
        <x:v>Монтаж системи вентиляції; строк до 2026-12-31. Попросити один знеособлений пакет здачі за цим workflow.</x:v>
      </x:c>
      <x:c r="Z373" s="15" t="str">
        <x:v>https://prozorro.gov.ua/tender/UA-2026-07-28-002616-a</x:v>
      </x:c>
      <x:c r="AA373" s="14" t="str">
        <x:v>2961310955</x:v>
      </x:c>
      <x:c r="AB373" s="14" t="str">
        <x:v>2026-08-24</x:v>
      </x:c>
      <x:c r="AC373" s="14" t="str"/>
      <x:c r="AD373" s="20" t="str"/>
      <x:c r="AE373" s="14" t="str"/>
      <x:c r="AF373" s="14" t="n">
        <x:v>62</x:v>
      </x:c>
      <x:c r="AG373" s="14" t="str">
        <x:v>I2</x:v>
      </x:c>
      <x:c r="AH373" s="14" t="n">
        <x:v>2</x:v>
      </x:c>
      <x:c r="AI373" s="14" t="n">
        <x:v>2</x:v>
      </x:c>
      <x:c r="AJ373" s="18" t="n">
        <x:v>20404.4</x:v>
      </x:c>
      <x:c r="AK373" s="14" t="str">
        <x:v>https://prozorro.gov.ua/tender/UA-2026-07-28-002616-a</x:v>
      </x:c>
      <x:c r="AL373" s="19" t="n">
        <x:v>46231.32512318287</x:v>
      </x:c>
      <x:c r="AM373" s="19" t="n">
        <x:v>46387</x:v>
      </x:c>
      <x:c r="AN373" s="15" t="str">
        <x:v>Безпека / СКУД / CCTV; HVAC / ОВіК</x:v>
      </x:c>
      <x:c r="AO373" s="15" t="str">
        <x:v>not_found_in_top_search</x:v>
      </x:c>
    </x:row>
    <x:row r="374">
      <x:c r="A374" s="14" t="str">
        <x:v>W3-102</x:v>
      </x:c>
      <x:c r="B374" s="14" t="str">
        <x:v>Prozorro winners — 24.08</x:v>
      </x:c>
      <x:c r="C374" s="14" t="str">
        <x:v>ТОВАРИСТВО З ОБМЕЖЕНОЮ ВІДПОВІДАЛЬНІСТЮ "ВЕНБЕСТ"</x:v>
      </x:c>
      <x:c r="D374" s="14" t="str">
        <x:v>Пожежогасіння</x:v>
      </x:c>
      <x:c r="E374" s="14" t="str">
        <x:v>Expansion discovery</x:v>
      </x:c>
      <x:c r="F374" s="17" t="str">
        <x:v>D2</x:v>
      </x:c>
      <x:c r="G374" s="14" t="str"/>
      <x:c r="H374" s="14" t="str">
        <x:v>Discovery розширення — 2 тижні</x:v>
      </x:c>
      <x:c r="I374" s="16" t="n">
        <x:v>1</x:v>
      </x:c>
      <x:c r="J374" s="16" t="n">
        <x:v>5</x:v>
      </x:c>
      <x:c r="K374" s="16" t="n">
        <x:v>4</x:v>
      </x:c>
      <x:c r="L374" s="16" t="n">
        <x:v>1</x:v>
      </x:c>
      <x:c r="M374" s="16" t="n">
        <x:v>5</x:v>
      </x:c>
      <x:c r="N374" s="16" t="n">
        <x:v>5</x:v>
      </x:c>
      <x:c r="O374" s="16" t="n">
        <x:v>5</x:v>
      </x:c>
      <x:c r="P374" s="16" t="n">
        <x:f>IF(COUNT(I374:O374)&lt;7,"",I374*8+J374*3+K374*2+L374*2+M374*2+N374*2+O374)</x:f>
        <x:v>58</x:v>
      </x:c>
      <x:c r="Q374" s="16" t="n">
        <x:f>IF(COUNT(J374:O374)&lt;6,"",J374*5+K374*4+M374*4+L374*3+N374*2+O374*2)</x:f>
        <x:v>84</x:v>
      </x:c>
      <x:c r="R374" s="14" t="str">
        <x:v>high</x:v>
      </x:c>
      <x:c r="S374" s="14" t="str">
        <x:v>official_prozorro_award_2025_2026</x:v>
      </x:c>
      <x:c r="T374" s="14" t="str">
        <x:v>official_prozorro_api</x:v>
      </x:c>
      <x:c r="U374" s="14" t="str">
        <x:v>Не контактували</x:v>
      </x:c>
      <x:c r="V374" s="15" t="str">
        <x:v>Повторне звернення з новим тендерним сигналом UA-2026-03-19-011029-a; попросити 1 пакет здачі</x:v>
      </x:c>
      <x:c r="W374" s="15" t="str">
        <x:v>Власник / директор; керівник ПТО; відповідальний за договори</x:v>
      </x:c>
      <x:c r="X374" s="15" t="str">
        <x:v>2 підтверджених перемог/договорів у Prozorro на 11 106 грн; 2 проєктів зі строком виконання не раніше 24.08.2026.</x:v>
      </x:c>
      <x:c r="Y374" s="15" t="str">
        <x:v>Монтаж та пусконалагодження системи пожежної сигналізації; строк до 2026-12-31. Попросити один знеособлений пакет здачі за цим workflow.</x:v>
      </x:c>
      <x:c r="Z374" s="15" t="str">
        <x:v>https://prozorro.gov.ua/tender/UA-2026-07-27-000791-a</x:v>
      </x:c>
      <x:c r="AA374" s="14" t="str">
        <x:v>30310579</x:v>
      </x:c>
      <x:c r="AB374" s="14" t="str">
        <x:v>2026-08-24</x:v>
      </x:c>
      <x:c r="AC374" s="14" t="str"/>
      <x:c r="AD374" s="20" t="str"/>
      <x:c r="AE374" s="14" t="str"/>
      <x:c r="AF374" s="14" t="n">
        <x:v>62</x:v>
      </x:c>
      <x:c r="AG374" s="14" t="str">
        <x:v>I2</x:v>
      </x:c>
      <x:c r="AH374" s="14" t="n">
        <x:v>3</x:v>
      </x:c>
      <x:c r="AI374" s="14" t="n">
        <x:v>3</x:v>
      </x:c>
      <x:c r="AJ374" s="18" t="n">
        <x:v>12426</x:v>
      </x:c>
      <x:c r="AK374" s="14" t="str">
        <x:v>https://prozorro.gov.ua/tender/UA-2026-03-19-011029-a</x:v>
      </x:c>
      <x:c r="AL374" s="19" t="n">
        <x:v>46100.558564652776</x:v>
      </x:c>
      <x:c r="AM374" s="19" t="n">
        <x:v>46387</x:v>
      </x:c>
      <x:c r="AN374" s="15" t="str">
        <x:v>Пожежогасіння; Резервне живлення</x:v>
      </x:c>
      <x:c r="AO374" s="15" t="str">
        <x:v>not_found_in_top_search</x:v>
      </x:c>
    </x:row>
    <x:row r="375">
      <x:c r="A375" s="14" t="str">
        <x:v>W3-103</x:v>
      </x:c>
      <x:c r="B375" s="14" t="str">
        <x:v>Prozorro winners — 24.08</x:v>
      </x:c>
      <x:c r="C375" s="14" t="str">
        <x:v>КОМУНАЛЬНЕ ПІДПРИЄМСТВО "ТЕХНАГЛЯД"</x:v>
      </x:c>
      <x:c r="D375" s="14" t="str">
        <x:v>HVAC / ОВіК</x:v>
      </x:c>
      <x:c r="E375" s="14" t="str">
        <x:v>Pilot now</x:v>
      </x:c>
      <x:c r="F375" s="17" t="str">
        <x:v>P2</x:v>
      </x:c>
      <x:c r="G375" s="14" t="str"/>
      <x:c r="H375" s="14" t="str">
        <x:v>Пілот зараз — Н.14</x:v>
      </x:c>
      <x:c r="I375" s="16" t="n">
        <x:v>5</x:v>
      </x:c>
      <x:c r="J375" s="16" t="n">
        <x:v>5</x:v>
      </x:c>
      <x:c r="K375" s="16" t="n">
        <x:v>5</x:v>
      </x:c>
      <x:c r="L375" s="16" t="n">
        <x:v>1</x:v>
      </x:c>
      <x:c r="M375" s="16" t="n">
        <x:v>5</x:v>
      </x:c>
      <x:c r="N375" s="16" t="n">
        <x:v>5</x:v>
      </x:c>
      <x:c r="O375" s="16" t="n">
        <x:v>5</x:v>
      </x:c>
      <x:c r="P375" s="16" t="n">
        <x:f>IF(COUNT(I375:O375)&lt;7,"",I375*8+J375*3+K375*2+L375*2+M375*2+N375*2+O375)</x:f>
        <x:v>92</x:v>
      </x:c>
      <x:c r="Q375" s="16" t="n">
        <x:f>IF(COUNT(J375:O375)&lt;6,"",J375*5+K375*4+M375*4+L375*3+N375*2+O375*2)</x:f>
        <x:v>88</x:v>
      </x:c>
      <x:c r="R375" s="14" t="str">
        <x:v>high</x:v>
      </x:c>
      <x:c r="S375" s="14" t="str">
        <x:v>official_prozorro_award_2025_2026</x:v>
      </x:c>
      <x:c r="T375" s="14" t="str">
        <x:v>official_prozorro_api</x:v>
      </x:c>
      <x:c r="U375" s="14" t="str">
        <x:v>Не контактували</x:v>
      </x:c>
      <x:c r="V375" s="15" t="str">
        <x:v>Персоналізований free-pilot outreach по UA-2026-08-12-001207-a; попросити 1 пакет Н.14/Н.15</x:v>
      </x:c>
      <x:c r="W375" s="15" t="str">
        <x:v>Власник / директор; керівник ПТО; відповідальний за договори</x:v>
      </x:c>
      <x:c r="X375" s="15" t="str">
        <x:v>2 підтверджених перемог/договорів у Prozorro на 3 279 грн; 2 проєктів зі строком виконання не раніше 24.08.2026.</x:v>
      </x:c>
      <x:c r="Y375"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 строк до 2026-12-31. Попросити один знеособлений пакет здачі за цим workflow.</x:v>
      </x:c>
      <x:c r="Z375" s="15" t="str">
        <x:v>https://prozorro.gov.ua/tender/UA-2026-08-12-001207-a</x:v>
      </x:c>
      <x:c r="AA375" s="14" t="str">
        <x:v>35883420</x:v>
      </x:c>
      <x:c r="AB375" s="14" t="str">
        <x:v>2026-08-24</x:v>
      </x:c>
      <x:c r="AC375" s="14" t="str"/>
      <x:c r="AD375" s="20" t="str"/>
      <x:c r="AE375" s="14" t="str"/>
      <x:c r="AF375" s="14" t="n">
        <x:v>62</x:v>
      </x:c>
      <x:c r="AG375" s="14" t="str">
        <x:v>I2</x:v>
      </x:c>
      <x:c r="AH375" s="14" t="n">
        <x:v>2</x:v>
      </x:c>
      <x:c r="AI375" s="14" t="n">
        <x:v>2</x:v>
      </x:c>
      <x:c r="AJ375" s="18" t="n">
        <x:v>3279.05</x:v>
      </x:c>
      <x:c r="AK375" s="14" t="str">
        <x:v>https://prozorro.gov.ua/tender/UA-2026-08-12-001207-a</x:v>
      </x:c>
      <x:c r="AL375" s="19" t="n">
        <x:v>46246.282276770835</x:v>
      </x:c>
      <x:c r="AM375" s="19" t="n">
        <x:v>46387</x:v>
      </x:c>
      <x:c r="AN375" s="15" t="str">
        <x:v>HVAC / ОВіК</x:v>
      </x:c>
      <x:c r="AO375" s="15" t="str">
        <x:v>not_found_in_top_search</x:v>
      </x:c>
    </x:row>
    <x:row r="376">
      <x:c r="A376" s="14" t="str">
        <x:v>W3-104</x:v>
      </x:c>
      <x:c r="B376" s="14" t="str">
        <x:v>Prozorro winners — 24.08</x:v>
      </x:c>
      <x:c r="C376" s="14" t="str">
        <x:v>ТОВАРИСТВО З ОБМЕЖЕНОЮ ВІДПОВІДАЛЬНІСТЮ "УКРАЇНСЬКА МІЖРЕГІОНАЛЬНА БУДІВЕЛЬНА ЕКСПЕРТИЗА"</x:v>
      </x:c>
      <x:c r="D376" s="14" t="str">
        <x:v>Водоочищення / очисні споруди</x:v>
      </x:c>
      <x:c r="E376" s="14" t="str">
        <x:v>Expansion discovery</x:v>
      </x:c>
      <x:c r="F376" s="17" t="str">
        <x:v>D2</x:v>
      </x:c>
      <x:c r="G376" s="14" t="str"/>
      <x:c r="H376" s="14" t="str">
        <x:v>Discovery розширення — 2 тижні</x:v>
      </x:c>
      <x:c r="I376" s="16" t="n">
        <x:v>1</x:v>
      </x:c>
      <x:c r="J376" s="16" t="n">
        <x:v>5</x:v>
      </x:c>
      <x:c r="K376" s="16" t="n">
        <x:v>4</x:v>
      </x:c>
      <x:c r="L376" s="16" t="n">
        <x:v>2</x:v>
      </x:c>
      <x:c r="M376" s="16" t="n">
        <x:v>5</x:v>
      </x:c>
      <x:c r="N376" s="16" t="n">
        <x:v>5</x:v>
      </x:c>
      <x:c r="O376" s="16" t="n">
        <x:v>5</x:v>
      </x:c>
      <x:c r="P376" s="16" t="n">
        <x:f>IF(COUNT(I376:O376)&lt;7,"",I376*8+J376*3+K376*2+L376*2+M376*2+N376*2+O376)</x:f>
        <x:v>60</x:v>
      </x:c>
      <x:c r="Q376" s="16" t="n">
        <x:f>IF(COUNT(J376:O376)&lt;6,"",J376*5+K376*4+M376*4+L376*3+N376*2+O376*2)</x:f>
        <x:v>87</x:v>
      </x:c>
      <x:c r="R376" s="14" t="str">
        <x:v>high</x:v>
      </x:c>
      <x:c r="S376" s="14" t="str">
        <x:v>official_prozorro_award_2025_2026</x:v>
      </x:c>
      <x:c r="T376" s="14" t="str">
        <x:v>official_prozorro_api</x:v>
      </x:c>
      <x:c r="U376" s="14" t="str">
        <x:v>Не контактували</x:v>
      </x:c>
      <x:c r="V376" s="15" t="str">
        <x:v>Workflow-audit outreach по UA-2026-08-17-002380-a; попросити 1 пакет здачі та вимоги проєкту</x:v>
      </x:c>
      <x:c r="W376" s="15" t="str">
        <x:v>Власник / директор; керівник ПТО; відповідальний за договори</x:v>
      </x:c>
      <x:c r="X376" s="15" t="str">
        <x:v>2 підтверджених перемог/договорів у Prozorro на 246 427 грн; 1 проєктів зі строком виконання не раніше 24.08.2026.</x:v>
      </x:c>
      <x:c r="Y376" s="15" t="str">
        <x:v>Проведення експертизи проекту: Реконструкція очисних споруд каналізації с. Біла Криниця Рівненського району, Рівненської області ; строк до 2026-09-05. Попросити один знеособлений пакет здачі за цим workflow.</x:v>
      </x:c>
      <x:c r="Z376" s="15" t="str">
        <x:v>https://prozorro.gov.ua/tender/UA-2026-08-17-002380-a</x:v>
      </x:c>
      <x:c r="AA376" s="14" t="str">
        <x:v>39330499</x:v>
      </x:c>
      <x:c r="AB376" s="14" t="str">
        <x:v>2026-08-24</x:v>
      </x:c>
      <x:c r="AC376" s="14" t="str"/>
      <x:c r="AD376" s="20" t="str"/>
      <x:c r="AE376" s="14" t="str"/>
      <x:c r="AF376" s="14" t="n">
        <x:v>61</x:v>
      </x:c>
      <x:c r="AG376" s="14" t="str">
        <x:v>I2</x:v>
      </x:c>
      <x:c r="AH376" s="14" t="n">
        <x:v>2</x:v>
      </x:c>
      <x:c r="AI376" s="14" t="n">
        <x:v>1</x:v>
      </x:c>
      <x:c r="AJ376" s="18" t="n">
        <x:v>246427.23</x:v>
      </x:c>
      <x:c r="AK376" s="14" t="str">
        <x:v>https://prozorro.gov.ua/tender/UA-2026-08-17-002380-a</x:v>
      </x:c>
      <x:c r="AL376" s="19" t="n">
        <x:v>46251.394478125</x:v>
      </x:c>
      <x:c r="AM376" s="19" t="n">
        <x:v>46270</x:v>
      </x:c>
      <x:c r="AN376" s="15" t="str">
        <x:v>Водоочищення / очисні споруди</x:v>
      </x:c>
      <x:c r="AO376" s="15" t="str">
        <x:v>not_found_in_top_search</x:v>
      </x:c>
    </x:row>
    <x:row r="377">
      <x:c r="A377" s="14" t="str">
        <x:v>W3-105</x:v>
      </x:c>
      <x:c r="B377" s="14" t="str">
        <x:v>Prozorro winners — 24.08</x:v>
      </x:c>
      <x:c r="C377" s="14" t="str">
        <x:v>ТОВ "КУБІК ГРУП"</x:v>
      </x:c>
      <x:c r="D377" s="14" t="str">
        <x:v>Безпека / СКУД / CCTV</x:v>
      </x:c>
      <x:c r="E377" s="14" t="str">
        <x:v>Expansion discovery</x:v>
      </x:c>
      <x:c r="F377" s="17" t="str">
        <x:v>D2</x:v>
      </x:c>
      <x:c r="G377" s="14" t="str"/>
      <x:c r="H377" s="14" t="str">
        <x:v>Discovery розширення — 2 тижні</x:v>
      </x:c>
      <x:c r="I377" s="16" t="n">
        <x:v>1</x:v>
      </x:c>
      <x:c r="J377" s="16" t="n">
        <x:v>5</x:v>
      </x:c>
      <x:c r="K377" s="16" t="n">
        <x:v>4</x:v>
      </x:c>
      <x:c r="L377" s="16" t="n">
        <x:v>3</x:v>
      </x:c>
      <x:c r="M377" s="16" t="n">
        <x:v>5</x:v>
      </x:c>
      <x:c r="N377" s="16" t="n">
        <x:v>5</x:v>
      </x:c>
      <x:c r="O377" s="16" t="n">
        <x:v>5</x:v>
      </x:c>
      <x:c r="P377" s="16" t="n">
        <x:f>IF(COUNT(I377:O377)&lt;7,"",I377*8+J377*3+K377*2+L377*2+M377*2+N377*2+O377)</x:f>
        <x:v>62</x:v>
      </x:c>
      <x:c r="Q377" s="16" t="n">
        <x:f>IF(COUNT(J377:O377)&lt;6,"",J377*5+K377*4+M377*4+L377*3+N377*2+O377*2)</x:f>
        <x:v>90</x:v>
      </x:c>
      <x:c r="R377" s="14" t="str">
        <x:v>high</x:v>
      </x:c>
      <x:c r="S377" s="14" t="str">
        <x:v>official_prozorro_award_2025_2026</x:v>
      </x:c>
      <x:c r="T377" s="14" t="str">
        <x:v>official_prozorro_api</x:v>
      </x:c>
      <x:c r="U377" s="14" t="str">
        <x:v>Не контактували</x:v>
      </x:c>
      <x:c r="V377" s="15" t="str">
        <x:v>Workflow-audit outreach по UA-2026-07-06-002008-a; попросити 1 пакет здачі та вимоги проєкту</x:v>
      </x:c>
      <x:c r="W377" s="15" t="str">
        <x:v>Власник / директор; керівник ПТО; відповідальний за договори</x:v>
      </x:c>
      <x:c r="X377" s="15" t="str">
        <x:v>1 підтверджених перемог/договорів у Prozorro на 1 709 747 грн; 1 проєктів зі строком виконання не раніше 24.08.2026.</x:v>
      </x:c>
      <x:c r="Y377" s="15" t="str">
        <x:v>Обладнання та матеріали для монтажу систем охорони та відеоспостереження; строк до 2026-11-15. Попросити один знеособлений пакет здачі за цим workflow.</x:v>
      </x:c>
      <x:c r="Z377" s="15" t="str">
        <x:v>https://prozorro.gov.ua/tender/UA-2026-07-06-002008-a</x:v>
      </x:c>
      <x:c r="AA377" s="14" t="str">
        <x:v>44554976</x:v>
      </x:c>
      <x:c r="AB377" s="14" t="str">
        <x:v>2026-08-24</x:v>
      </x:c>
      <x:c r="AC377" s="14" t="str"/>
      <x:c r="AD377" s="20" t="str"/>
      <x:c r="AE377" s="14" t="str"/>
      <x:c r="AF377" s="14" t="n">
        <x:v>60</x:v>
      </x:c>
      <x:c r="AG377" s="14" t="str">
        <x:v>I2</x:v>
      </x:c>
      <x:c r="AH377" s="14" t="n">
        <x:v>1</x:v>
      </x:c>
      <x:c r="AI377" s="14" t="n">
        <x:v>1</x:v>
      </x:c>
      <x:c r="AJ377" s="18" t="n">
        <x:v>1709746.56</x:v>
      </x:c>
      <x:c r="AK377" s="14" t="str">
        <x:v>https://prozorro.gov.ua/tender/UA-2026-07-06-002008-a</x:v>
      </x:c>
      <x:c r="AL377" s="19" t="n">
        <x:v>46219.32686769676</x:v>
      </x:c>
      <x:c r="AM377" s="19" t="n">
        <x:v>46341</x:v>
      </x:c>
      <x:c r="AN377" s="15" t="str">
        <x:v>Безпека / СКУД / CCTV</x:v>
      </x:c>
      <x:c r="AO377" s="15" t="str">
        <x:v>not_found_in_top_search</x:v>
      </x:c>
    </x:row>
    <x:row r="378">
      <x:c r="A378" s="14" t="str">
        <x:v>W3-106</x:v>
      </x:c>
      <x:c r="B378" s="14" t="str">
        <x:v>Prozorro winners — 24.08</x:v>
      </x:c>
      <x:c r="C378" s="14" t="str">
        <x:v>ТОВАРИСТВО З ОБМЕЖЕНОЮ ВІДПОВІДАЛЬНІСТЮ "СОЛАРС РЕ ЕНЕРДЖІ ГРУП"</x:v>
      </x:c>
      <x:c r="D378" s="14" t="str">
        <x:v>Сонячна енергетика</x:v>
      </x:c>
      <x:c r="E378" s="14" t="str">
        <x:v>Expansion discovery</x:v>
      </x:c>
      <x:c r="F378" s="17" t="str">
        <x:v>D2</x:v>
      </x:c>
      <x:c r="G378" s="14" t="str"/>
      <x:c r="H378" s="14" t="str">
        <x:v>Discovery розширення — 2 тижні</x:v>
      </x:c>
      <x:c r="I378" s="16" t="n">
        <x:v>1</x:v>
      </x:c>
      <x:c r="J378" s="16" t="n">
        <x:v>5</x:v>
      </x:c>
      <x:c r="K378" s="16" t="n">
        <x:v>4</x:v>
      </x:c>
      <x:c r="L378" s="16" t="n">
        <x:v>3</x:v>
      </x:c>
      <x:c r="M378" s="16" t="n">
        <x:v>5</x:v>
      </x:c>
      <x:c r="N378" s="16" t="n">
        <x:v>5</x:v>
      </x:c>
      <x:c r="O378" s="16" t="n">
        <x:v>5</x:v>
      </x:c>
      <x:c r="P378" s="16" t="n">
        <x:f>IF(COUNT(I378:O378)&lt;7,"",I378*8+J378*3+K378*2+L378*2+M378*2+N378*2+O378)</x:f>
        <x:v>62</x:v>
      </x:c>
      <x:c r="Q378" s="16" t="n">
        <x:f>IF(COUNT(J378:O378)&lt;6,"",J378*5+K378*4+M378*4+L378*3+N378*2+O378*2)</x:f>
        <x:v>90</x:v>
      </x:c>
      <x:c r="R378" s="14" t="str">
        <x:v>high</x:v>
      </x:c>
      <x:c r="S378" s="14" t="str">
        <x:v>official_prozorro_award_2025_2026</x:v>
      </x:c>
      <x:c r="T378" s="14" t="str">
        <x:v>official_prozorro_api</x:v>
      </x:c>
      <x:c r="U378" s="14" t="str">
        <x:v>Не контактували</x:v>
      </x:c>
      <x:c r="V378" s="15" t="str">
        <x:v>Повторне звернення з новим тендерним сигналом UA-2026-07-24-009062-a; попросити 1 пакет здачі</x:v>
      </x:c>
      <x:c r="W378" s="15" t="str">
        <x:v>Власник / директор; керівник ПТО; відповідальний за договори</x:v>
      </x:c>
      <x:c r="X378" s="15" t="str">
        <x:v>1 підтверджених перемог/договорів у Prozorro на 1 513 029 грн; 1 проєктів зі строком виконання не раніше 24.08.2026.</x:v>
      </x:c>
      <x:c r="Y378"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2026-10-31. Попросити один знеособлений пакет здачі за цим workflow.</x:v>
      </x:c>
      <x:c r="Z378" s="15" t="str">
        <x:v>https://prozorro.gov.ua/tender/UA-2026-07-14-002107-a</x:v>
      </x:c>
      <x:c r="AA378" s="14" t="str">
        <x:v>43124592</x:v>
      </x:c>
      <x:c r="AB378" s="14" t="str">
        <x:v>2026-08-24</x:v>
      </x:c>
      <x:c r="AC378" s="14" t="str"/>
      <x:c r="AD378" s="20" t="str"/>
      <x:c r="AE378" s="14" t="str"/>
      <x:c r="AF378" s="14" t="n">
        <x:v>88</x:v>
      </x:c>
      <x:c r="AG378" s="14" t="str">
        <x:v>I1</x:v>
      </x:c>
      <x:c r="AH378" s="14" t="n">
        <x:v>4</x:v>
      </x:c>
      <x:c r="AI378" s="14" t="n">
        <x:v>4</x:v>
      </x:c>
      <x:c r="AJ378" s="18" t="n">
        <x:v>41710493.6</x:v>
      </x:c>
      <x:c r="AK378" s="14" t="str">
        <x:v>https://prozorro.gov.ua/tender/UA-2026-07-24-009062-a</x:v>
      </x:c>
      <x:c r="AL378" s="19" t="n">
        <x:v>46247.26676277778</x:v>
      </x:c>
      <x:c r="AM378" s="19" t="n">
        <x:v>46387</x:v>
      </x:c>
      <x:c r="AN378" s="15" t="str">
        <x:v>Сонячна енергетика</x:v>
      </x:c>
      <x:c r="AO378" s="15" t="str">
        <x:v>not_found_in_top_search</x:v>
      </x:c>
    </x:row>
    <x:row r="379">
      <x:c r="A379" s="14" t="str">
        <x:v>W3-107</x:v>
      </x:c>
      <x:c r="B379" s="14" t="str">
        <x:v>Prozorro winners — 24.08</x:v>
      </x:c>
      <x:c r="C379" s="14" t="str">
        <x:v>ПРИВАТНЕ ПІДПРИЄМСТВО "УКРСЕРВІСПРОЕКТ"</x:v>
      </x:c>
      <x:c r="D379" s="14" t="str">
        <x:v>Водоочищення / очисні споруди</x:v>
      </x:c>
      <x:c r="E379" s="14" t="str">
        <x:v>Expansion discovery</x:v>
      </x:c>
      <x:c r="F379" s="17" t="str">
        <x:v>D2</x:v>
      </x:c>
      <x:c r="G379" s="14" t="str"/>
      <x:c r="H379" s="14" t="str">
        <x:v>Discovery розширення — 2 тижні</x:v>
      </x:c>
      <x:c r="I379" s="16" t="n">
        <x:v>1</x:v>
      </x:c>
      <x:c r="J379" s="16" t="n">
        <x:v>5</x:v>
      </x:c>
      <x:c r="K379" s="16" t="n">
        <x:v>4</x:v>
      </x:c>
      <x:c r="L379" s="16" t="n">
        <x:v>3</x:v>
      </x:c>
      <x:c r="M379" s="16" t="n">
        <x:v>5</x:v>
      </x:c>
      <x:c r="N379" s="16" t="n">
        <x:v>5</x:v>
      </x:c>
      <x:c r="O379" s="16" t="n">
        <x:v>5</x:v>
      </x:c>
      <x:c r="P379" s="16" t="n">
        <x:f>IF(COUNT(I379:O379)&lt;7,"",I379*8+J379*3+K379*2+L379*2+M379*2+N379*2+O379)</x:f>
        <x:v>62</x:v>
      </x:c>
      <x:c r="Q379" s="16" t="n">
        <x:f>IF(COUNT(J379:O379)&lt;6,"",J379*5+K379*4+M379*4+L379*3+N379*2+O379*2)</x:f>
        <x:v>90</x:v>
      </x:c>
      <x:c r="R379" s="14" t="str">
        <x:v>high</x:v>
      </x:c>
      <x:c r="S379" s="14" t="str">
        <x:v>official_prozorro_award_2025_2026</x:v>
      </x:c>
      <x:c r="T379" s="14" t="str">
        <x:v>official_prozorro_api</x:v>
      </x:c>
      <x:c r="U379" s="14" t="str">
        <x:v>Не контактували</x:v>
      </x:c>
      <x:c r="V379" s="15" t="str">
        <x:v>Повторне звернення з новим тендерним сигналом UA-2026-06-22-006958-a; попросити 1 пакет здачі</x:v>
      </x:c>
      <x:c r="W379" s="15" t="str">
        <x:v>Власник / директор; керівник ПТО; відповідальний за договори</x:v>
      </x:c>
      <x:c r="X379" s="15" t="str">
        <x:v>1 підтверджених перемог/договорів у Prozorro на 1 399 150 грн; 1 проєктів зі строком виконання не раніше 24.08.2026.</x:v>
      </x:c>
      <x:c r="Y379"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 строк до 2026-12-31. Попросити один знеособлений пакет здачі за цим workflow.</x:v>
      </x:c>
      <x:c r="Z379" s="15" t="str">
        <x:v>https://prozorro.gov.ua/tender/UA-2026-07-23-008618-a</x:v>
      </x:c>
      <x:c r="AA379" s="14" t="str">
        <x:v>36514593</x:v>
      </x:c>
      <x:c r="AB379" s="14" t="str">
        <x:v>2026-08-24</x:v>
      </x:c>
      <x:c r="AC379" s="14" t="str"/>
      <x:c r="AD379" s="20" t="str"/>
      <x:c r="AE379" s="14" t="str"/>
      <x:c r="AF379" s="14" t="n">
        <x:v>60</x:v>
      </x:c>
      <x:c r="AG379" s="14" t="str">
        <x:v>I2</x:v>
      </x:c>
      <x:c r="AH379" s="14" t="n">
        <x:v>2</x:v>
      </x:c>
      <x:c r="AI379" s="14" t="n">
        <x:v>2</x:v>
      </x:c>
      <x:c r="AJ379" s="18" t="n">
        <x:v>2248150</x:v>
      </x:c>
      <x:c r="AK379" s="14" t="str">
        <x:v>https://prozorro.gov.ua/tender/UA-2026-06-22-006958-a</x:v>
      </x:c>
      <x:c r="AL379" s="19" t="n">
        <x:v>46213.343498090275</x:v>
      </x:c>
      <x:c r="AM379" s="19" t="n">
        <x:v>46447</x:v>
      </x:c>
      <x:c r="AN379" s="15" t="str">
        <x:v>Водоочищення / очисні споруди; Насосні станції</x:v>
      </x:c>
      <x:c r="AO379" s="15" t="str">
        <x:v>not_found_in_top_search</x:v>
      </x:c>
    </x:row>
    <x:row r="380">
      <x:c r="A380" s="14" t="str">
        <x:v>W3-108</x:v>
      </x:c>
      <x:c r="B380" s="14" t="str">
        <x:v>Prozorro winners — 24.08</x:v>
      </x:c>
      <x:c r="C380" s="14" t="str">
        <x:v>ТОВ "Светолюкс-Электромонтаж"</x:v>
      </x:c>
      <x:c r="D380" s="14" t="str">
        <x:v>Електромонтаж</x:v>
      </x:c>
      <x:c r="E380" s="14" t="str">
        <x:v>Pilot now</x:v>
      </x:c>
      <x:c r="F380" s="17" t="str">
        <x:v>P2</x:v>
      </x:c>
      <x:c r="G380" s="14" t="str"/>
      <x:c r="H380" s="14" t="str">
        <x:v>Пілот зараз — Н.15</x:v>
      </x:c>
      <x:c r="I380" s="16" t="n">
        <x:v>5</x:v>
      </x:c>
      <x:c r="J380" s="16" t="n">
        <x:v>5</x:v>
      </x:c>
      <x:c r="K380" s="16" t="n">
        <x:v>5</x:v>
      </x:c>
      <x:c r="L380" s="16" t="n">
        <x:v>3</x:v>
      </x:c>
      <x:c r="M380" s="16" t="n">
        <x:v>5</x:v>
      </x:c>
      <x:c r="N380" s="16" t="n">
        <x:v>5</x:v>
      </x:c>
      <x:c r="O380" s="16" t="n">
        <x:v>5</x:v>
      </x:c>
      <x:c r="P380" s="16" t="n">
        <x:f>IF(COUNT(I380:O380)&lt;7,"",I380*8+J380*3+K380*2+L380*2+M380*2+N380*2+O380)</x:f>
        <x:v>96</x:v>
      </x:c>
      <x:c r="Q380" s="16" t="n">
        <x:f>IF(COUNT(J380:O380)&lt;6,"",J380*5+K380*4+M380*4+L380*3+N380*2+O380*2)</x:f>
        <x:v>94</x:v>
      </x:c>
      <x:c r="R380" s="14" t="str">
        <x:v>high</x:v>
      </x:c>
      <x:c r="S380" s="14" t="str">
        <x:v>official_prozorro_award_2025_2026</x:v>
      </x:c>
      <x:c r="T380" s="14" t="str">
        <x:v>official_prozorro_api</x:v>
      </x:c>
      <x:c r="U380" s="14" t="str">
        <x:v>Не контактували</x:v>
      </x:c>
      <x:c r="V380" s="15" t="str">
        <x:v>Персоналізований free-pilot outreach по UA-2026-07-31-004646-a; попросити 1 пакет Н.14/Н.15</x:v>
      </x:c>
      <x:c r="W380" s="15" t="str">
        <x:v>Власник / директор; керівник ПТО; відповідальний за договори</x:v>
      </x:c>
      <x:c r="X380" s="15" t="str">
        <x:v>1 підтверджених перемог/договорів у Prozorro на 1 349 221 грн; 1 проєктів зі строком виконання не раніше 24.08.2026.</x:v>
      </x:c>
      <x:c r="Y380" s="15" t="str">
        <x:v>Послуги з монтажу електричних мереж та електричного обладнання в патернах причалів; строк до 2026-12-31. Попросити один знеособлений пакет здачі за цим workflow.</x:v>
      </x:c>
      <x:c r="Z380" s="15" t="str">
        <x:v>https://prozorro.gov.ua/tender/UA-2026-07-31-004646-a</x:v>
      </x:c>
      <x:c r="AA380" s="14" t="str">
        <x:v>30975988</x:v>
      </x:c>
      <x:c r="AB380" s="14" t="str">
        <x:v>2026-08-24</x:v>
      </x:c>
      <x:c r="AC380" s="14" t="str"/>
      <x:c r="AD380" s="20" t="str"/>
      <x:c r="AE380" s="14" t="str"/>
      <x:c r="AF380" s="14" t="n">
        <x:v>60</x:v>
      </x:c>
      <x:c r="AG380" s="14" t="str">
        <x:v>I2</x:v>
      </x:c>
      <x:c r="AH380" s="14" t="n">
        <x:v>1</x:v>
      </x:c>
      <x:c r="AI380" s="14" t="n">
        <x:v>1</x:v>
      </x:c>
      <x:c r="AJ380" s="18" t="n">
        <x:v>1349221.1</x:v>
      </x:c>
      <x:c r="AK380" s="14" t="str">
        <x:v>https://prozorro.gov.ua/tender/UA-2026-07-31-004646-a</x:v>
      </x:c>
      <x:c r="AL380" s="19" t="n">
        <x:v>46251.46483991898</x:v>
      </x:c>
      <x:c r="AM380" s="19" t="n">
        <x:v>46387</x:v>
      </x:c>
      <x:c r="AN380" s="15" t="str">
        <x:v>Електромонтаж</x:v>
      </x:c>
      <x:c r="AO380" s="15" t="str">
        <x:v>not_found_in_top_search</x:v>
      </x:c>
    </x:row>
    <x:row r="381">
      <x:c r="A381" s="14" t="str">
        <x:v>W3-109</x:v>
      </x:c>
      <x:c r="B381" s="14" t="str">
        <x:v>Prozorro winners — 24.08</x:v>
      </x:c>
      <x:c r="C381" s="14" t="str">
        <x:v>ТОВАРИСТВО З ОБМЕЖЕНОЮ ВІДПОВІДАЛЬНІСТЮ "МІЛПРОД"</x:v>
      </x:c>
      <x:c r="D381" s="14" t="str">
        <x:v>HVAC / ОВіК</x:v>
      </x:c>
      <x:c r="E381" s="14" t="str">
        <x:v>Pilot now</x:v>
      </x:c>
      <x:c r="F381" s="17" t="str">
        <x:v>P2</x:v>
      </x:c>
      <x:c r="G381" s="14" t="str"/>
      <x:c r="H381" s="14" t="str">
        <x:v>Пілот зараз — Н.14</x:v>
      </x:c>
      <x:c r="I381" s="16" t="n">
        <x:v>5</x:v>
      </x:c>
      <x:c r="J381" s="16" t="n">
        <x:v>5</x:v>
      </x:c>
      <x:c r="K381" s="16" t="n">
        <x:v>5</x:v>
      </x:c>
      <x:c r="L381" s="16" t="n">
        <x:v>3</x:v>
      </x:c>
      <x:c r="M381" s="16" t="n">
        <x:v>5</x:v>
      </x:c>
      <x:c r="N381" s="16" t="n">
        <x:v>5</x:v>
      </x:c>
      <x:c r="O381" s="16" t="n">
        <x:v>5</x:v>
      </x:c>
      <x:c r="P381" s="16" t="n">
        <x:f>IF(COUNT(I381:O381)&lt;7,"",I381*8+J381*3+K381*2+L381*2+M381*2+N381*2+O381)</x:f>
        <x:v>96</x:v>
      </x:c>
      <x:c r="Q381" s="16" t="n">
        <x:f>IF(COUNT(J381:O381)&lt;6,"",J381*5+K381*4+M381*4+L381*3+N381*2+O381*2)</x:f>
        <x:v>94</x:v>
      </x:c>
      <x:c r="R381" s="14" t="str">
        <x:v>high</x:v>
      </x:c>
      <x:c r="S381" s="14" t="str">
        <x:v>official_prozorro_award_2025_2026</x:v>
      </x:c>
      <x:c r="T381" s="14" t="str">
        <x:v>official_prozorro_api</x:v>
      </x:c>
      <x:c r="U381" s="14" t="str">
        <x:v>Не контактували</x:v>
      </x:c>
      <x:c r="V381" s="15" t="str">
        <x:v>Персоналізований free-pilot outreach по UA-2026-07-07-008541-a; попросити 1 пакет Н.14/Н.15</x:v>
      </x:c>
      <x:c r="W381" s="15" t="str">
        <x:v>Власник / директор; керівник ПТО; відповідальний за договори</x:v>
      </x:c>
      <x:c r="X381" s="15" t="str">
        <x:v>1 підтверджених перемог/договорів у Prozorro на 1 109 564 грн; 1 проєктів зі строком виконання не раніше 24.08.2026.</x:v>
      </x:c>
      <x:c r="Y381"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 строк до 2026-12-31. Попросити один знеособлений пакет здачі за цим workflow.</x:v>
      </x:c>
      <x:c r="Z381" s="15" t="str">
        <x:v>https://prozorro.gov.ua/tender/UA-2026-07-07-008541-a</x:v>
      </x:c>
      <x:c r="AA381" s="14" t="str">
        <x:v>45502185</x:v>
      </x:c>
      <x:c r="AB381" s="14" t="str">
        <x:v>2026-08-24</x:v>
      </x:c>
      <x:c r="AC381" s="14" t="str"/>
      <x:c r="AD381" s="20" t="str"/>
      <x:c r="AE381" s="14" t="str"/>
      <x:c r="AF381" s="14" t="n">
        <x:v>60</x:v>
      </x:c>
      <x:c r="AG381" s="14" t="str">
        <x:v>I2</x:v>
      </x:c>
      <x:c r="AH381" s="14" t="n">
        <x:v>1</x:v>
      </x:c>
      <x:c r="AI381" s="14" t="n">
        <x:v>1</x:v>
      </x:c>
      <x:c r="AJ381" s="18" t="n">
        <x:v>1109564.45</x:v>
      </x:c>
      <x:c r="AK381" s="14" t="str">
        <x:v>https://prozorro.gov.ua/tender/UA-2026-07-07-008541-a</x:v>
      </x:c>
      <x:c r="AL381" s="19" t="n">
        <x:v>46226.50163167824</x:v>
      </x:c>
      <x:c r="AM381" s="19" t="n">
        <x:v>46387</x:v>
      </x:c>
      <x:c r="AN381" s="15" t="str">
        <x:v>HVAC / ОВіК</x:v>
      </x:c>
      <x:c r="AO381" s="15" t="str">
        <x:v>not_found_in_top_search</x:v>
      </x:c>
    </x:row>
    <x:row r="382">
      <x:c r="A382" s="14" t="str">
        <x:v>W3-110</x:v>
      </x:c>
      <x:c r="B382" s="14" t="str">
        <x:v>Prozorro winners — 24.08</x:v>
      </x:c>
      <x:c r="C382" s="14" t="str">
        <x:v>ТОВ "Юнібуденергосервіс"</x:v>
      </x:c>
      <x:c r="D382" s="14" t="str">
        <x:v>Водоочищення / очисні споруди</x:v>
      </x:c>
      <x:c r="E382" s="14" t="str">
        <x:v>Expansion discovery</x:v>
      </x:c>
      <x:c r="F382" s="17" t="str">
        <x:v>D2</x:v>
      </x:c>
      <x:c r="G382" s="14" t="str"/>
      <x:c r="H382" s="14" t="str">
        <x:v>Discovery розширення — 2 тижні</x:v>
      </x:c>
      <x:c r="I382" s="16" t="n">
        <x:v>1</x:v>
      </x:c>
      <x:c r="J382" s="16" t="n">
        <x:v>5</x:v>
      </x:c>
      <x:c r="K382" s="16" t="n">
        <x:v>4</x:v>
      </x:c>
      <x:c r="L382" s="16" t="n">
        <x:v>3</x:v>
      </x:c>
      <x:c r="M382" s="16" t="n">
        <x:v>5</x:v>
      </x:c>
      <x:c r="N382" s="16" t="n">
        <x:v>5</x:v>
      </x:c>
      <x:c r="O382" s="16" t="n">
        <x:v>5</x:v>
      </x:c>
      <x:c r="P382" s="16" t="n">
        <x:f>IF(COUNT(I382:O382)&lt;7,"",I382*8+J382*3+K382*2+L382*2+M382*2+N382*2+O382)</x:f>
        <x:v>62</x:v>
      </x:c>
      <x:c r="Q382" s="16" t="n">
        <x:f>IF(COUNT(J382:O382)&lt;6,"",J382*5+K382*4+M382*4+L382*3+N382*2+O382*2)</x:f>
        <x:v>90</x:v>
      </x:c>
      <x:c r="R382" s="14" t="str">
        <x:v>high</x:v>
      </x:c>
      <x:c r="S382" s="14" t="str">
        <x:v>official_prozorro_award_2025_2026</x:v>
      </x:c>
      <x:c r="T382" s="14" t="str">
        <x:v>official_prozorro_api</x:v>
      </x:c>
      <x:c r="U382" s="14" t="str">
        <x:v>Не контактували</x:v>
      </x:c>
      <x:c r="V382" s="15" t="str">
        <x:v>Workflow-audit outreach по UA-2026-07-13-006735-a; попросити 1 пакет здачі та вимоги проєкту</x:v>
      </x:c>
      <x:c r="W382" s="15" t="str">
        <x:v>Власник / директор; керівник ПТО; відповідальний за договори</x:v>
      </x:c>
      <x:c r="X382" s="15" t="str">
        <x:v>1 підтверджених перемог/договорів у Prozorro на 869 628 грн; 1 проєктів зі строком виконання не раніше 24.08.2026.</x:v>
      </x:c>
      <x:c r="Y382"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 строк до 2026-12-31. Попросити один знеособлений пакет здачі за цим workflow.</x:v>
      </x:c>
      <x:c r="Z382" s="15" t="str">
        <x:v>https://prozorro.gov.ua/tender/UA-2026-07-13-006735-a</x:v>
      </x:c>
      <x:c r="AA382" s="14" t="str">
        <x:v>46201412</x:v>
      </x:c>
      <x:c r="AB382" s="14" t="str">
        <x:v>2026-08-24</x:v>
      </x:c>
      <x:c r="AC382" s="14" t="str"/>
      <x:c r="AD382" s="20" t="str"/>
      <x:c r="AE382" s="14" t="str"/>
      <x:c r="AF382" s="14" t="n">
        <x:v>60</x:v>
      </x:c>
      <x:c r="AG382" s="14" t="str">
        <x:v>I2</x:v>
      </x:c>
      <x:c r="AH382" s="14" t="n">
        <x:v>1</x:v>
      </x:c>
      <x:c r="AI382" s="14" t="n">
        <x:v>1</x:v>
      </x:c>
      <x:c r="AJ382" s="18" t="n">
        <x:v>869628.35</x:v>
      </x:c>
      <x:c r="AK382" s="14" t="str">
        <x:v>https://prozorro.gov.ua/tender/UA-2026-07-13-006735-a</x:v>
      </x:c>
      <x:c r="AL382" s="19" t="n">
        <x:v>46216.47863283565</x:v>
      </x:c>
      <x:c r="AM382" s="19" t="n">
        <x:v>46387</x:v>
      </x:c>
      <x:c r="AN382" s="15" t="str">
        <x:v>Водоочищення / очисні споруди</x:v>
      </x:c>
      <x:c r="AO382" s="15" t="str">
        <x:v>not_found_in_top_search</x:v>
      </x:c>
    </x:row>
    <x:row r="383">
      <x:c r="A383" s="14" t="str">
        <x:v>W3-111</x:v>
      </x:c>
      <x:c r="B383" s="14" t="str">
        <x:v>Prozorro winners — 24.08</x:v>
      </x:c>
      <x:c r="C383" s="14" t="str">
        <x:v>ТОВАРИСТВО З ОБМЕЖЕНОЮ ВІДПОВІДАЛЬНІСТЮ "МК-ГРАНД 2015"</x:v>
      </x:c>
      <x:c r="D383" s="14" t="str">
        <x:v>Водоочищення / очисні споруди</x:v>
      </x:c>
      <x:c r="E383" s="14" t="str">
        <x:v>Expansion discovery</x:v>
      </x:c>
      <x:c r="F383" s="17" t="str">
        <x:v>D2</x:v>
      </x:c>
      <x:c r="G383" s="14" t="str"/>
      <x:c r="H383" s="14" t="str">
        <x:v>Discovery розширення — 2 тижні</x:v>
      </x:c>
      <x:c r="I383" s="16" t="n">
        <x:v>1</x:v>
      </x:c>
      <x:c r="J383" s="16" t="n">
        <x:v>5</x:v>
      </x:c>
      <x:c r="K383" s="16" t="n">
        <x:v>4</x:v>
      </x:c>
      <x:c r="L383" s="16" t="n">
        <x:v>3</x:v>
      </x:c>
      <x:c r="M383" s="16" t="n">
        <x:v>5</x:v>
      </x:c>
      <x:c r="N383" s="16" t="n">
        <x:v>5</x:v>
      </x:c>
      <x:c r="O383" s="16" t="n">
        <x:v>5</x:v>
      </x:c>
      <x:c r="P383" s="16" t="n">
        <x:f>IF(COUNT(I383:O383)&lt;7,"",I383*8+J383*3+K383*2+L383*2+M383*2+N383*2+O383)</x:f>
        <x:v>62</x:v>
      </x:c>
      <x:c r="Q383" s="16" t="n">
        <x:f>IF(COUNT(J383:O383)&lt;6,"",J383*5+K383*4+M383*4+L383*3+N383*2+O383*2)</x:f>
        <x:v>90</x:v>
      </x:c>
      <x:c r="R383" s="14" t="str">
        <x:v>high</x:v>
      </x:c>
      <x:c r="S383" s="14" t="str">
        <x:v>official_prozorro_award_2025_2026</x:v>
      </x:c>
      <x:c r="T383" s="14" t="str">
        <x:v>official_prozorro_api</x:v>
      </x:c>
      <x:c r="U383" s="14" t="str">
        <x:v>Не контактували</x:v>
      </x:c>
      <x:c r="V383" s="15" t="str">
        <x:v>Workflow-audit outreach по UA-2026-08-21-001303-a; попросити 1 пакет здачі та вимоги проєкту</x:v>
      </x:c>
      <x:c r="W383" s="15" t="str">
        <x:v>Власник / директор; керівник ПТО; відповідальний за договори</x:v>
      </x:c>
      <x:c r="X383" s="15" t="str">
        <x:v>1 підтверджених перемог/договорів у Prozorro на 683 148 грн; 1 проєктів зі строком виконання не раніше 24.08.2026.</x:v>
      </x:c>
      <x:c r="Y383"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 строк до 2026-12-31. Попросити один знеособлений пакет здачі за цим workflow.</x:v>
      </x:c>
      <x:c r="Z383" s="15" t="str">
        <x:v>https://prozorro.gov.ua/tender/UA-2026-08-21-001303-a</x:v>
      </x:c>
      <x:c r="AA383" s="14" t="str">
        <x:v>41291234</x:v>
      </x:c>
      <x:c r="AB383" s="14" t="str">
        <x:v>2026-08-24</x:v>
      </x:c>
      <x:c r="AC383" s="14" t="str"/>
      <x:c r="AD383" s="20" t="str"/>
      <x:c r="AE383" s="14" t="str"/>
      <x:c r="AF383" s="14" t="n">
        <x:v>60</x:v>
      </x:c>
      <x:c r="AG383" s="14" t="str">
        <x:v>I2</x:v>
      </x:c>
      <x:c r="AH383" s="14" t="n">
        <x:v>1</x:v>
      </x:c>
      <x:c r="AI383" s="14" t="n">
        <x:v>1</x:v>
      </x:c>
      <x:c r="AJ383" s="18" t="n">
        <x:v>683148</x:v>
      </x:c>
      <x:c r="AK383" s="14" t="str">
        <x:v>https://prozorro.gov.ua/tender/UA-2026-08-21-001303-a</x:v>
      </x:c>
      <x:c r="AL383" s="19" t="n">
        <x:v>46255.28362246528</x:v>
      </x:c>
      <x:c r="AM383" s="19" t="n">
        <x:v>46387</x:v>
      </x:c>
      <x:c r="AN383" s="15" t="str">
        <x:v>Водоочищення / очисні споруди</x:v>
      </x:c>
      <x:c r="AO383" s="15" t="str">
        <x:v>not_found_in_top_search</x:v>
      </x:c>
    </x:row>
    <x:row r="384">
      <x:c r="A384" s="14" t="str">
        <x:v>W3-112</x:v>
      </x:c>
      <x:c r="B384" s="14" t="str">
        <x:v>Prozorro winners — 24.08</x:v>
      </x:c>
      <x:c r="C384" s="14" t="str">
        <x:v>ТОВАРИСТВО З ОБМЕЖЕНОЮ ВІДПОВІДАЛЬНІСТЮ "УКРЕНЕРГОПРОМ - 3"</x:v>
      </x:c>
      <x:c r="D384" s="14" t="str">
        <x:v>Водоочищення / очисні споруди</x:v>
      </x:c>
      <x:c r="E384" s="14" t="str">
        <x:v>Expansion discovery</x:v>
      </x:c>
      <x:c r="F384" s="17" t="str">
        <x:v>D2</x:v>
      </x:c>
      <x:c r="G384" s="14" t="str"/>
      <x:c r="H384" s="14" t="str">
        <x:v>Discovery розширення — 2 тижні</x:v>
      </x:c>
      <x:c r="I384" s="16" t="n">
        <x:v>1</x:v>
      </x:c>
      <x:c r="J384" s="16" t="n">
        <x:v>5</x:v>
      </x:c>
      <x:c r="K384" s="16" t="n">
        <x:v>4</x:v>
      </x:c>
      <x:c r="L384" s="16" t="n">
        <x:v>3</x:v>
      </x:c>
      <x:c r="M384" s="16" t="n">
        <x:v>5</x:v>
      </x:c>
      <x:c r="N384" s="16" t="n">
        <x:v>5</x:v>
      </x:c>
      <x:c r="O384" s="16" t="n">
        <x:v>5</x:v>
      </x:c>
      <x:c r="P384" s="16" t="n">
        <x:f>IF(COUNT(I384:O384)&lt;7,"",I384*8+J384*3+K384*2+L384*2+M384*2+N384*2+O384)</x:f>
        <x:v>62</x:v>
      </x:c>
      <x:c r="Q384" s="16" t="n">
        <x:f>IF(COUNT(J384:O384)&lt;6,"",J384*5+K384*4+M384*4+L384*3+N384*2+O384*2)</x:f>
        <x:v>90</x:v>
      </x:c>
      <x:c r="R384" s="14" t="str">
        <x:v>high</x:v>
      </x:c>
      <x:c r="S384" s="14" t="str">
        <x:v>official_prozorro_award_2025_2026</x:v>
      </x:c>
      <x:c r="T384" s="14" t="str">
        <x:v>official_prozorro_api</x:v>
      </x:c>
      <x:c r="U384" s="14" t="str">
        <x:v>Не контактували</x:v>
      </x:c>
      <x:c r="V384" s="15" t="str">
        <x:v>Workflow-audit outreach по UA-2026-08-06-010034-a; попросити 1 пакет здачі та вимоги проєкту</x:v>
      </x:c>
      <x:c r="W384" s="15" t="str">
        <x:v>Власник / директор; керівник ПТО; відповідальний за договори</x:v>
      </x:c>
      <x:c r="X384" s="15" t="str">
        <x:v>1 підтверджених перемог/договорів у Prozorro на 620 400 грн; 1 проєктів зі строком виконання не раніше 24.08.2026.</x:v>
      </x:c>
      <x:c r="Y384"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 строк до 2026-12-31. Попросити один знеособлений пакет здачі за цим workflow.</x:v>
      </x:c>
      <x:c r="Z384" s="15" t="str">
        <x:v>https://prozorro.gov.ua/tender/UA-2026-08-06-010034-a</x:v>
      </x:c>
      <x:c r="AA384" s="14" t="str">
        <x:v>31564943</x:v>
      </x:c>
      <x:c r="AB384" s="14" t="str">
        <x:v>2026-08-24</x:v>
      </x:c>
      <x:c r="AC384" s="14" t="str"/>
      <x:c r="AD384" s="20" t="str"/>
      <x:c r="AE384" s="14" t="str"/>
      <x:c r="AF384" s="14" t="n">
        <x:v>60</x:v>
      </x:c>
      <x:c r="AG384" s="14" t="str">
        <x:v>I2</x:v>
      </x:c>
      <x:c r="AH384" s="14" t="n">
        <x:v>1</x:v>
      </x:c>
      <x:c r="AI384" s="14" t="n">
        <x:v>1</x:v>
      </x:c>
      <x:c r="AJ384" s="18" t="n">
        <x:v>620400</x:v>
      </x:c>
      <x:c r="AK384" s="14" t="str">
        <x:v>https://prozorro.gov.ua/tender/UA-2026-08-06-010034-a</x:v>
      </x:c>
      <x:c r="AL384" s="19" t="n">
        <x:v>46240.554719837965</x:v>
      </x:c>
      <x:c r="AM384" s="19" t="n">
        <x:v>46387</x:v>
      </x:c>
      <x:c r="AN384" s="15" t="str">
        <x:v>Водоочищення / очисні споруди</x:v>
      </x:c>
      <x:c r="AO384" s="15" t="str">
        <x:v>not_found_in_top_search</x:v>
      </x:c>
    </x:row>
    <x:row r="385">
      <x:c r="A385" s="14" t="str">
        <x:v>W3-113</x:v>
      </x:c>
      <x:c r="B385" s="14" t="str">
        <x:v>Prozorro winners — 24.08</x:v>
      </x:c>
      <x:c r="C385" s="14" t="str">
        <x:v>ТОВ "Інагротранс"</x:v>
      </x:c>
      <x:c r="D385" s="14" t="str">
        <x:v>Теплові мережі</x:v>
      </x:c>
      <x:c r="E385" s="14" t="str">
        <x:v>Expansion discovery</x:v>
      </x:c>
      <x:c r="F385" s="17" t="str">
        <x:v>D2</x:v>
      </x:c>
      <x:c r="G385" s="14" t="str"/>
      <x:c r="H385" s="14" t="str">
        <x:v>Discovery розширення — 2 тижні</x:v>
      </x:c>
      <x:c r="I385" s="16" t="n">
        <x:v>1</x:v>
      </x:c>
      <x:c r="J385" s="16" t="n">
        <x:v>5</x:v>
      </x:c>
      <x:c r="K385" s="16" t="n">
        <x:v>4</x:v>
      </x:c>
      <x:c r="L385" s="16" t="n">
        <x:v>3</x:v>
      </x:c>
      <x:c r="M385" s="16" t="n">
        <x:v>5</x:v>
      </x:c>
      <x:c r="N385" s="16" t="n">
        <x:v>5</x:v>
      </x:c>
      <x:c r="O385" s="16" t="n">
        <x:v>5</x:v>
      </x:c>
      <x:c r="P385" s="16" t="n">
        <x:f>IF(COUNT(I385:O385)&lt;7,"",I385*8+J385*3+K385*2+L385*2+M385*2+N385*2+O385)</x:f>
        <x:v>62</x:v>
      </x:c>
      <x:c r="Q385" s="16" t="n">
        <x:f>IF(COUNT(J385:O385)&lt;6,"",J385*5+K385*4+M385*4+L385*3+N385*2+O385*2)</x:f>
        <x:v>90</x:v>
      </x:c>
      <x:c r="R385" s="14" t="str">
        <x:v>high</x:v>
      </x:c>
      <x:c r="S385" s="14" t="str">
        <x:v>official_prozorro_award_2025_2026</x:v>
      </x:c>
      <x:c r="T385" s="14" t="str">
        <x:v>official_prozorro_api</x:v>
      </x:c>
      <x:c r="U385" s="14" t="str">
        <x:v>Не контактували</x:v>
      </x:c>
      <x:c r="V385" s="15" t="str">
        <x:v>Workflow-audit outreach по UA-2026-08-08-000508-a; попросити 1 пакет здачі та вимоги проєкту</x:v>
      </x:c>
      <x:c r="W385" s="15" t="str">
        <x:v>Власник / директор; керівник ПТО; відповідальний за договори</x:v>
      </x:c>
      <x:c r="X385" s="15" t="str">
        <x:v>1 підтверджених перемог/договорів у Prozorro на 581 064 грн; 1 проєктів зі строком виконання не раніше 24.08.2026.</x:v>
      </x:c>
      <x:c r="Y385"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 строк до 2026-12-31. Попросити один знеособлений пакет здачі за цим workflow.</x:v>
      </x:c>
      <x:c r="Z385" s="15" t="str">
        <x:v>https://prozorro.gov.ua/tender/UA-2026-08-08-000508-a</x:v>
      </x:c>
      <x:c r="AA385" s="14" t="str">
        <x:v>31143004</x:v>
      </x:c>
      <x:c r="AB385" s="14" t="str">
        <x:v>2026-08-24</x:v>
      </x:c>
      <x:c r="AC385" s="14" t="str"/>
      <x:c r="AD385" s="20" t="str"/>
      <x:c r="AE385" s="14" t="str"/>
      <x:c r="AF385" s="14" t="n">
        <x:v>60</x:v>
      </x:c>
      <x:c r="AG385" s="14" t="str">
        <x:v>I2</x:v>
      </x:c>
      <x:c r="AH385" s="14" t="n">
        <x:v>1</x:v>
      </x:c>
      <x:c r="AI385" s="14" t="n">
        <x:v>1</x:v>
      </x:c>
      <x:c r="AJ385" s="18" t="n">
        <x:v>581064</x:v>
      </x:c>
      <x:c r="AK385" s="14" t="str">
        <x:v>https://prozorro.gov.ua/tender/UA-2026-08-08-000508-a</x:v>
      </x:c>
      <x:c r="AL385" s="19" t="n">
        <x:v>46252.53838293981</x:v>
      </x:c>
      <x:c r="AM385" s="19" t="n">
        <x:v>46387.61451388889</x:v>
      </x:c>
      <x:c r="AN385" s="15" t="str">
        <x:v>Теплові мережі</x:v>
      </x:c>
      <x:c r="AO385" s="15" t="str">
        <x:v>not_found_in_top_search</x:v>
      </x:c>
    </x:row>
    <x:row r="386">
      <x:c r="A386" s="14" t="str">
        <x:v>W3-114</x:v>
      </x:c>
      <x:c r="B386" s="14" t="str">
        <x:v>Prozorro winners — 24.08</x:v>
      </x:c>
      <x:c r="C386" s="14" t="str">
        <x:v>ТОВАРИСТВО З ОБМЕЖЕНОЮ ВІДПОВІДАЛЬНІСТЮ "БУДІВЕЛЬНА КОМПАНІЯ "ГЕКСАГОН"</x:v>
      </x:c>
      <x:c r="D386" s="14" t="str">
        <x:v>Теплові мережі</x:v>
      </x:c>
      <x:c r="E386" s="14" t="str">
        <x:v>Expansion discovery</x:v>
      </x:c>
      <x:c r="F386" s="17" t="str">
        <x:v>D2</x:v>
      </x:c>
      <x:c r="G386" s="14" t="str"/>
      <x:c r="H386" s="14" t="str">
        <x:v>Discovery розширення — 2 тижні</x:v>
      </x:c>
      <x:c r="I386" s="16" t="n">
        <x:v>1</x:v>
      </x:c>
      <x:c r="J386" s="16" t="n">
        <x:v>5</x:v>
      </x:c>
      <x:c r="K386" s="16" t="n">
        <x:v>4</x:v>
      </x:c>
      <x:c r="L386" s="16" t="n">
        <x:v>3</x:v>
      </x:c>
      <x:c r="M386" s="16" t="n">
        <x:v>5</x:v>
      </x:c>
      <x:c r="N386" s="16" t="n">
        <x:v>5</x:v>
      </x:c>
      <x:c r="O386" s="16" t="n">
        <x:v>5</x:v>
      </x:c>
      <x:c r="P386" s="16" t="n">
        <x:f>IF(COUNT(I386:O386)&lt;7,"",I386*8+J386*3+K386*2+L386*2+M386*2+N386*2+O386)</x:f>
        <x:v>62</x:v>
      </x:c>
      <x:c r="Q386" s="16" t="n">
        <x:f>IF(COUNT(J386:O386)&lt;6,"",J386*5+K386*4+M386*4+L386*3+N386*2+O386*2)</x:f>
        <x:v>90</x:v>
      </x:c>
      <x:c r="R386" s="14" t="str">
        <x:v>high</x:v>
      </x:c>
      <x:c r="S386" s="14" t="str">
        <x:v>official_prozorro_award_2025_2026</x:v>
      </x:c>
      <x:c r="T386" s="14" t="str">
        <x:v>official_prozorro_api</x:v>
      </x:c>
      <x:c r="U386" s="14" t="str">
        <x:v>Не контактували</x:v>
      </x:c>
      <x:c r="V386" s="15" t="str">
        <x:v>Workflow-audit outreach по UA-2026-07-17-000299-a; попросити 1 пакет здачі та вимоги проєкту</x:v>
      </x:c>
      <x:c r="W386" s="15" t="str">
        <x:v>Власник / директор; керівник ПТО; відповідальний за договори</x:v>
      </x:c>
      <x:c r="X386" s="15" t="str">
        <x:v>1 підтверджених перемог/договорів у Prozorro на 545 978 грн; 1 проєктів зі строком виконання не раніше 24.08.2026.</x:v>
      </x:c>
      <x:c r="Y386" s="15" t="str">
        <x:v>Коригування робочого проєкту «Реконструкція ділянки теплової мережі по вул. Базарна від ТК2к17 до ТК2к22 у м. Одесі»; строк до 2026-10-01. Попросити один знеособлений пакет здачі за цим workflow.</x:v>
      </x:c>
      <x:c r="Z386" s="15" t="str">
        <x:v>https://prozorro.gov.ua/tender/UA-2026-07-17-000299-a</x:v>
      </x:c>
      <x:c r="AA386" s="14" t="str">
        <x:v>42802738</x:v>
      </x:c>
      <x:c r="AB386" s="14" t="str">
        <x:v>2026-08-24</x:v>
      </x:c>
      <x:c r="AC386" s="14" t="str"/>
      <x:c r="AD386" s="20" t="str"/>
      <x:c r="AE386" s="14" t="str"/>
      <x:c r="AF386" s="14" t="n">
        <x:v>60</x:v>
      </x:c>
      <x:c r="AG386" s="14" t="str">
        <x:v>I2</x:v>
      </x:c>
      <x:c r="AH386" s="14" t="n">
        <x:v>1</x:v>
      </x:c>
      <x:c r="AI386" s="14" t="n">
        <x:v>1</x:v>
      </x:c>
      <x:c r="AJ386" s="18" t="n">
        <x:v>545977.93</x:v>
      </x:c>
      <x:c r="AK386" s="14" t="str">
        <x:v>https://prozorro.gov.ua/tender/UA-2026-07-17-000299-a</x:v>
      </x:c>
      <x:c r="AL386" s="19" t="n">
        <x:v>46220.2418265625</x:v>
      </x:c>
      <x:c r="AM386" s="19" t="n">
        <x:v>46296</x:v>
      </x:c>
      <x:c r="AN386" s="15" t="str">
        <x:v>Теплові мережі</x:v>
      </x:c>
      <x:c r="AO386" s="15" t="str">
        <x:v>not_found_in_top_search</x:v>
      </x:c>
    </x:row>
    <x:row r="387">
      <x:c r="A387" s="14" t="str">
        <x:v>W3-115</x:v>
      </x:c>
      <x:c r="B387" s="14" t="str">
        <x:v>Prozorro winners — 24.08</x:v>
      </x:c>
      <x:c r="C387" s="14" t="str">
        <x:v>ТОВАРИСТВО З ОБМЕЖЕНОЮ ВІДПОВІДАЛЬНІСТЮ "БК НД-ГРУП"</x:v>
      </x:c>
      <x:c r="D387" s="14" t="str">
        <x:v>Мости / інфраструктура</x:v>
      </x:c>
      <x:c r="E387" s="14" t="str">
        <x:v>Expansion discovery</x:v>
      </x:c>
      <x:c r="F387" s="17" t="str">
        <x:v>D2</x:v>
      </x:c>
      <x:c r="G387" s="14" t="str"/>
      <x:c r="H387" s="14" t="str">
        <x:v>Discovery розширення — 2 тижні</x:v>
      </x:c>
      <x:c r="I387" s="16" t="n">
        <x:v>1</x:v>
      </x:c>
      <x:c r="J387" s="16" t="n">
        <x:v>5</x:v>
      </x:c>
      <x:c r="K387" s="16" t="n">
        <x:v>4</x:v>
      </x:c>
      <x:c r="L387" s="16" t="n">
        <x:v>2</x:v>
      </x:c>
      <x:c r="M387" s="16" t="n">
        <x:v>5</x:v>
      </x:c>
      <x:c r="N387" s="16" t="n">
        <x:v>5</x:v>
      </x:c>
      <x:c r="O387" s="16" t="n">
        <x:v>5</x:v>
      </x:c>
      <x:c r="P387" s="16" t="n">
        <x:f>IF(COUNT(I387:O387)&lt;7,"",I387*8+J387*3+K387*2+L387*2+M387*2+N387*2+O387)</x:f>
        <x:v>60</x:v>
      </x:c>
      <x:c r="Q387" s="16" t="n">
        <x:f>IF(COUNT(J387:O387)&lt;6,"",J387*5+K387*4+M387*4+L387*3+N387*2+O387*2)</x:f>
        <x:v>87</x:v>
      </x:c>
      <x:c r="R387" s="14" t="str">
        <x:v>high</x:v>
      </x:c>
      <x:c r="S387" s="14" t="str">
        <x:v>official_prozorro_award_2025_2026</x:v>
      </x:c>
      <x:c r="T387" s="14" t="str">
        <x:v>official_prozorro_api</x:v>
      </x:c>
      <x:c r="U387" s="14" t="str">
        <x:v>Не контактували</x:v>
      </x:c>
      <x:c r="V387" s="15" t="str">
        <x:v>Workflow-audit outreach по UA-2026-05-01-004394-a; попросити 1 пакет здачі та вимоги проєкту</x:v>
      </x:c>
      <x:c r="W387" s="15" t="str">
        <x:v>Власник / директор; керівник ПТО; відповідальний за договори</x:v>
      </x:c>
      <x:c r="X387" s="15" t="str">
        <x:v>2 підтверджених перемог/договорів у Prozorro на 279 159 грн; 2 проєктів зі строком виконання не раніше 24.08.2026.</x:v>
      </x:c>
      <x:c r="Y387" s="15" t="str">
        <x:v>поточнй ремонт підїзду до мосту через річку Бучанка в м. Ірпінь; строк до 2026-12-31. Попросити один знеособлений пакет здачі за цим workflow.</x:v>
      </x:c>
      <x:c r="Z387" s="15" t="str">
        <x:v>https://prozorro.gov.ua/tender/UA-2026-05-01-004394-a</x:v>
      </x:c>
      <x:c r="AA387" s="14" t="str">
        <x:v>40392710</x:v>
      </x:c>
      <x:c r="AB387" s="14" t="str">
        <x:v>2026-08-24</x:v>
      </x:c>
      <x:c r="AC387" s="14" t="str"/>
      <x:c r="AD387" s="20" t="str"/>
      <x:c r="AE387" s="14" t="str"/>
      <x:c r="AF387" s="14" t="n">
        <x:v>60</x:v>
      </x:c>
      <x:c r="AG387" s="14" t="str">
        <x:v>I2</x:v>
      </x:c>
      <x:c r="AH387" s="14" t="n">
        <x:v>2</x:v>
      </x:c>
      <x:c r="AI387" s="14" t="n">
        <x:v>2</x:v>
      </x:c>
      <x:c r="AJ387" s="18" t="n">
        <x:v>279159.23</x:v>
      </x:c>
      <x:c r="AK387" s="14" t="str">
        <x:v>https://prozorro.gov.ua/tender/UA-2026-05-01-004394-a</x:v>
      </x:c>
      <x:c r="AL387" s="19" t="n">
        <x:v>46143.35628107639</x:v>
      </x:c>
      <x:c r="AM387" s="19" t="n">
        <x:v>46387</x:v>
      </x:c>
      <x:c r="AN387" s="15" t="str">
        <x:v>Мости / інфраструктура</x:v>
      </x:c>
      <x:c r="AO387" s="15" t="str">
        <x:v>not_found_in_top_search</x:v>
      </x:c>
    </x:row>
    <x:row r="388">
      <x:c r="A388" s="14" t="str">
        <x:v>W3-116</x:v>
      </x:c>
      <x:c r="B388" s="14" t="str">
        <x:v>Prozorro winners — 24.08</x:v>
      </x:c>
      <x:c r="C388" s="14" t="str">
        <x:v>ТОВАРИСТВО З ОБМЕЖЕНОЮ ВІДПОВІДАЛЬНІСТЮ "БЕЗПЕКА-ІФ"</x:v>
      </x:c>
      <x:c r="D388" s="14" t="str">
        <x:v>Безпека / СКУД / CCTV</x:v>
      </x:c>
      <x:c r="E388" s="14" t="str">
        <x:v>Expansion discovery</x:v>
      </x:c>
      <x:c r="F388" s="17" t="str">
        <x:v>D2</x:v>
      </x:c>
      <x:c r="G388" s="14" t="str"/>
      <x:c r="H388" s="14" t="str">
        <x:v>Discovery розширення — 2 тижні</x:v>
      </x:c>
      <x:c r="I388" s="16" t="n">
        <x:v>1</x:v>
      </x:c>
      <x:c r="J388" s="16" t="n">
        <x:v>5</x:v>
      </x:c>
      <x:c r="K388" s="16" t="n">
        <x:v>4</x:v>
      </x:c>
      <x:c r="L388" s="16" t="n">
        <x:v>2</x:v>
      </x:c>
      <x:c r="M388" s="16" t="n">
        <x:v>5</x:v>
      </x:c>
      <x:c r="N388" s="16" t="n">
        <x:v>5</x:v>
      </x:c>
      <x:c r="O388" s="16" t="n">
        <x:v>5</x:v>
      </x:c>
      <x:c r="P388" s="16" t="n">
        <x:f>IF(COUNT(I388:O388)&lt;7,"",I388*8+J388*3+K388*2+L388*2+M388*2+N388*2+O388)</x:f>
        <x:v>60</x:v>
      </x:c>
      <x:c r="Q388" s="16" t="n">
        <x:f>IF(COUNT(J388:O388)&lt;6,"",J388*5+K388*4+M388*4+L388*3+N388*2+O388*2)</x:f>
        <x:v>87</x:v>
      </x:c>
      <x:c r="R388" s="14" t="str">
        <x:v>high</x:v>
      </x:c>
      <x:c r="S388" s="14" t="str">
        <x:v>official_prozorro_award_2025_2026</x:v>
      </x:c>
      <x:c r="T388" s="14" t="str">
        <x:v>official_prozorro_api</x:v>
      </x:c>
      <x:c r="U388" s="14" t="str">
        <x:v>Не контактували</x:v>
      </x:c>
      <x:c r="V388" s="15" t="str">
        <x:v>Workflow-audit outreach по UA-2026-04-29-008735-a; попросити 1 пакет здачі та вимоги проєкту</x:v>
      </x:c>
      <x:c r="W388" s="15" t="str">
        <x:v>Власник / директор; керівник ПТО; відповідальний за договори</x:v>
      </x:c>
      <x:c r="X388" s="15" t="str">
        <x:v>2 підтверджених перемог/договорів у Prozorro на 180 848 грн; 2 проєктів зі строком виконання не раніше 24.08.2026.</x:v>
      </x:c>
      <x:c r="Y388" s="15" t="str">
        <x:v>Послуги з монтажу та налаштування системи контролю доступу КНП "Дитяча лікарня Надвірнянського району" м. Надвірна, вул. Небесної Сотні, 24а; строк до 2026-12-31. Попросити один знеособлений пакет здачі за цим workflow.</x:v>
      </x:c>
      <x:c r="Z388" s="15" t="str">
        <x:v>https://prozorro.gov.ua/tender/UA-2026-04-29-008735-a</x:v>
      </x:c>
      <x:c r="AA388" s="14" t="str">
        <x:v>37262401</x:v>
      </x:c>
      <x:c r="AB388" s="14" t="str">
        <x:v>2026-08-24</x:v>
      </x:c>
      <x:c r="AC388" s="14" t="str"/>
      <x:c r="AD388" s="20" t="str"/>
      <x:c r="AE388" s="14" t="str"/>
      <x:c r="AF388" s="14" t="n">
        <x:v>60</x:v>
      </x:c>
      <x:c r="AG388" s="14" t="str">
        <x:v>I2</x:v>
      </x:c>
      <x:c r="AH388" s="14" t="n">
        <x:v>2</x:v>
      </x:c>
      <x:c r="AI388" s="14" t="n">
        <x:v>2</x:v>
      </x:c>
      <x:c r="AJ388" s="18" t="n">
        <x:v>180848.18</x:v>
      </x:c>
      <x:c r="AK388" s="14" t="str">
        <x:v>https://prozorro.gov.ua/tender/UA-2026-04-29-008735-a</x:v>
      </x:c>
      <x:c r="AL388" s="19" t="n">
        <x:v>46141.50274150463</x:v>
      </x:c>
      <x:c r="AM388" s="19" t="n">
        <x:v>46387</x:v>
      </x:c>
      <x:c r="AN388" s="15" t="str">
        <x:v>Безпека / СКУД / CCTV</x:v>
      </x:c>
      <x:c r="AO388" s="15" t="str">
        <x:v>not_found_in_top_search</x:v>
      </x:c>
    </x:row>
    <x:row r="389">
      <x:c r="A389" s="14" t="str">
        <x:v>W3-117</x:v>
      </x:c>
      <x:c r="B389" s="14" t="str">
        <x:v>Prozorro winners — 24.08</x:v>
      </x:c>
      <x:c r="C389" s="14" t="str">
        <x:v>ТОВАРИСТВО З ОБМЕЖЕНОЮ ВІДПОВІДАЛЬНІСТЮ "ТРЕЙДІНГ АССОШІЕЙШН АІМДЖИ"</x:v>
      </x:c>
      <x:c r="D389" s="14" t="str">
        <x:v>Зовнішні мережі</x:v>
      </x:c>
      <x:c r="E389" s="14" t="str">
        <x:v>Expansion discovery</x:v>
      </x:c>
      <x:c r="F389" s="17" t="str">
        <x:v>D2</x:v>
      </x:c>
      <x:c r="G389" s="14" t="str"/>
      <x:c r="H389" s="14" t="str">
        <x:v>Discovery розширення — 2 тижні</x:v>
      </x:c>
      <x:c r="I389" s="16" t="n">
        <x:v>1</x:v>
      </x:c>
      <x:c r="J389" s="16" t="n">
        <x:v>5</x:v>
      </x:c>
      <x:c r="K389" s="16" t="n">
        <x:v>4</x:v>
      </x:c>
      <x:c r="L389" s="16" t="n">
        <x:v>2</x:v>
      </x:c>
      <x:c r="M389" s="16" t="n">
        <x:v>5</x:v>
      </x:c>
      <x:c r="N389" s="16" t="n">
        <x:v>5</x:v>
      </x:c>
      <x:c r="O389" s="16" t="n">
        <x:v>5</x:v>
      </x:c>
      <x:c r="P389" s="16" t="n">
        <x:f>IF(COUNT(I389:O389)&lt;7,"",I389*8+J389*3+K389*2+L389*2+M389*2+N389*2+O389)</x:f>
        <x:v>60</x:v>
      </x:c>
      <x:c r="Q389" s="16" t="n">
        <x:f>IF(COUNT(J389:O389)&lt;6,"",J389*5+K389*4+M389*4+L389*3+N389*2+O389*2)</x:f>
        <x:v>87</x:v>
      </x:c>
      <x:c r="R389" s="14" t="str">
        <x:v>high</x:v>
      </x:c>
      <x:c r="S389" s="14" t="str">
        <x:v>official_prozorro_award_2025_2026</x:v>
      </x:c>
      <x:c r="T389" s="14" t="str">
        <x:v>official_prozorro_api</x:v>
      </x:c>
      <x:c r="U389" s="14" t="str">
        <x:v>Не контактували</x:v>
      </x:c>
      <x:c r="V389" s="15" t="str">
        <x:v>Workflow-audit outreach по UA-2026-06-17-007129-a; попросити 1 пакет здачі та вимоги проєкту</x:v>
      </x:c>
      <x:c r="W389" s="15" t="str">
        <x:v>Власник / директор; керівник ПТО; відповідальний за договори</x:v>
      </x:c>
      <x:c r="X389" s="15" t="str">
        <x:v>2 підтверджених перемог/договорів у Prozorro на 174 440 грн; 2 проєктів зі строком виконання не раніше 24.08.2026.</x:v>
      </x:c>
      <x:c r="Y38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 строк до 2027-12-25. Попросити один знеособлений пакет здачі за цим workflow.</x:v>
      </x:c>
      <x:c r="Z389" s="15" t="str">
        <x:v>https://prozorro.gov.ua/tender/UA-2026-06-17-007129-a</x:v>
      </x:c>
      <x:c r="AA389" s="14" t="str">
        <x:v>39839464</x:v>
      </x:c>
      <x:c r="AB389" s="14" t="str">
        <x:v>2026-08-24</x:v>
      </x:c>
      <x:c r="AC389" s="14" t="str"/>
      <x:c r="AD389" s="20" t="str"/>
      <x:c r="AE389" s="14" t="str"/>
      <x:c r="AF389" s="14" t="n">
        <x:v>60</x:v>
      </x:c>
      <x:c r="AG389" s="14" t="str">
        <x:v>I2</x:v>
      </x:c>
      <x:c r="AH389" s="14" t="n">
        <x:v>2</x:v>
      </x:c>
      <x:c r="AI389" s="14" t="n">
        <x:v>2</x:v>
      </x:c>
      <x:c r="AJ389" s="18" t="n">
        <x:v>174440</x:v>
      </x:c>
      <x:c r="AK389" s="14" t="str">
        <x:v>https://prozorro.gov.ua/tender/UA-2026-06-17-007129-a</x:v>
      </x:c>
      <x:c r="AL389" s="19" t="n">
        <x:v>46190.44083119213</x:v>
      </x:c>
      <x:c r="AM389" s="19" t="n">
        <x:v>46746</x:v>
      </x:c>
      <x:c r="AN389" s="15" t="str">
        <x:v>Зовнішні мережі</x:v>
      </x:c>
      <x:c r="AO389" s="15" t="str">
        <x:v>not_found_in_top_search</x:v>
      </x:c>
    </x:row>
    <x:row r="390">
      <x:c r="A390" s="14" t="str">
        <x:v>W3-118</x:v>
      </x:c>
      <x:c r="B390" s="14" t="str">
        <x:v>Prozorro winners — 24.08</x:v>
      </x:c>
      <x:c r="C390" s="14" t="str">
        <x:v>УПРАВЛІННЯ ПОЛІЦІЇ ОХОРОНИ В ЖИТОМИРСЬКІЙ ОБЛАСТІ</x:v>
      </x:c>
      <x:c r="D390" s="14" t="str">
        <x:v>Електромонтаж</x:v>
      </x:c>
      <x:c r="E390" s="14" t="str">
        <x:v>Pilot now</x:v>
      </x:c>
      <x:c r="F390" s="17" t="str">
        <x:v>P2</x:v>
      </x:c>
      <x:c r="G390" s="14" t="str"/>
      <x:c r="H390" s="14" t="str">
        <x:v>Пілот зараз — Н.15</x:v>
      </x:c>
      <x:c r="I390" s="16" t="n">
        <x:v>5</x:v>
      </x:c>
      <x:c r="J390" s="16" t="n">
        <x:v>5</x:v>
      </x:c>
      <x:c r="K390" s="16" t="n">
        <x:v>5</x:v>
      </x:c>
      <x:c r="L390" s="16" t="n">
        <x:v>1</x:v>
      </x:c>
      <x:c r="M390" s="16" t="n">
        <x:v>5</x:v>
      </x:c>
      <x:c r="N390" s="16" t="n">
        <x:v>5</x:v>
      </x:c>
      <x:c r="O390" s="16" t="n">
        <x:v>5</x:v>
      </x:c>
      <x:c r="P390" s="16" t="n">
        <x:f>IF(COUNT(I390:O390)&lt;7,"",I390*8+J390*3+K390*2+L390*2+M390*2+N390*2+O390)</x:f>
        <x:v>92</x:v>
      </x:c>
      <x:c r="Q390" s="16" t="n">
        <x:f>IF(COUNT(J390:O390)&lt;6,"",J390*5+K390*4+M390*4+L390*3+N390*2+O390*2)</x:f>
        <x:v>88</x:v>
      </x:c>
      <x:c r="R390" s="14" t="str">
        <x:v>high</x:v>
      </x:c>
      <x:c r="S390" s="14" t="str">
        <x:v>official_prozorro_award_2025_2026</x:v>
      </x:c>
      <x:c r="T390" s="14" t="str">
        <x:v>official_prozorro_api</x:v>
      </x:c>
      <x:c r="U390" s="14" t="str">
        <x:v>Не контактували</x:v>
      </x:c>
      <x:c r="V390" s="15" t="str">
        <x:v>Повторне звернення з новим тендерним сигналом UA-2025-11-07-014248-a; попросити 1 пакет здачі</x:v>
      </x:c>
      <x:c r="W390" s="15" t="str">
        <x:v>Власник / директор; керівник ПТО; відповідальний за договори</x:v>
      </x:c>
      <x:c r="X390" s="15" t="str">
        <x:v>2 підтверджених перемог/договорів у Prozorro на 14 657 грн; 1 проєктів зі строком виконання не раніше 24.08.2026.</x:v>
      </x:c>
      <x:c r="Y390" s="15" t="str">
        <x:v>Електромонтажні роботи; строк до 2026-08-31. Попросити один знеособлений пакет здачі за цим workflow.</x:v>
      </x:c>
      <x:c r="Z390" s="15" t="str">
        <x:v>https://prozorro.gov.ua/tender/UA-2026-08-11-003514-a</x:v>
      </x:c>
      <x:c r="AA390" s="14" t="str">
        <x:v>40109091</x:v>
      </x:c>
      <x:c r="AB390" s="14" t="str">
        <x:v>2026-08-24</x:v>
      </x:c>
      <x:c r="AC390" s="14" t="str"/>
      <x:c r="AD390" s="20" t="str"/>
      <x:c r="AE390" s="14" t="str"/>
      <x:c r="AF390" s="14" t="n">
        <x:v>60</x:v>
      </x:c>
      <x:c r="AG390" s="14" t="str">
        <x:v>I2</x:v>
      </x:c>
      <x:c r="AH390" s="14" t="n">
        <x:v>3</x:v>
      </x:c>
      <x:c r="AI390" s="14" t="n">
        <x:v>1</x:v>
      </x:c>
      <x:c r="AJ390" s="18" t="n">
        <x:v>282657.3</x:v>
      </x:c>
      <x:c r="AK390" s="14" t="str">
        <x:v>https://prozorro.gov.ua/tender/UA-2025-11-07-014248-a</x:v>
      </x:c>
      <x:c r="AL390" s="19" t="n">
        <x:v>45979.728066793985</x:v>
      </x:c>
      <x:c r="AM390" s="19" t="n">
        <x:v>46016</x:v>
      </x:c>
      <x:c r="AN390" s="15" t="str">
        <x:v>Електромонтаж; Газопостачання / котельні; Пожежогасіння</x:v>
      </x:c>
      <x:c r="AO390" s="15" t="str">
        <x:v>not_found_in_top_search</x:v>
      </x:c>
    </x:row>
    <x:row r="391">
      <x:c r="A391" s="14" t="str">
        <x:v>W3-119</x:v>
      </x:c>
      <x:c r="B391" s="14" t="str">
        <x:v>Prozorro winners — 24.08</x:v>
      </x:c>
      <x:c r="C391" s="14" t="str">
        <x:v>ТОВ "БУДІНЖЕНЕ­РМЕРЕЖА"</x:v>
      </x:c>
      <x:c r="D391" s="14" t="str">
        <x:v>ГНБ / безтраншейні роботи</x:v>
      </x:c>
      <x:c r="E391" s="14" t="str">
        <x:v>Expansion discovery</x:v>
      </x:c>
      <x:c r="F391" s="17" t="str">
        <x:v>D2</x:v>
      </x:c>
      <x:c r="G391" s="14" t="str"/>
      <x:c r="H391" s="14" t="str">
        <x:v>Discovery розширення — 2 тижні</x:v>
      </x:c>
      <x:c r="I391" s="16" t="n">
        <x:v>1</x:v>
      </x:c>
      <x:c r="J391" s="16" t="n">
        <x:v>5</x:v>
      </x:c>
      <x:c r="K391" s="16" t="n">
        <x:v>4</x:v>
      </x:c>
      <x:c r="L391" s="16" t="n">
        <x:v>5</x:v>
      </x:c>
      <x:c r="M391" s="16" t="n">
        <x:v>5</x:v>
      </x:c>
      <x:c r="N391" s="16" t="n">
        <x:v>5</x:v>
      </x:c>
      <x:c r="O391" s="16" t="n">
        <x:v>5</x:v>
      </x:c>
      <x:c r="P391" s="16" t="n">
        <x:f>IF(COUNT(I391:O391)&lt;7,"",I391*8+J391*3+K391*2+L391*2+M391*2+N391*2+O391)</x:f>
        <x:v>66</x:v>
      </x:c>
      <x:c r="Q391" s="16" t="n">
        <x:f>IF(COUNT(J391:O391)&lt;6,"",J391*5+K391*4+M391*4+L391*3+N391*2+O391*2)</x:f>
        <x:v>96</x:v>
      </x:c>
      <x:c r="R391" s="14" t="str">
        <x:v>high</x:v>
      </x:c>
      <x:c r="S391" s="14" t="str">
        <x:v>official_prozorro_award_2025_2026</x:v>
      </x:c>
      <x:c r="T391" s="14" t="str">
        <x:v>official_prozorro_api</x:v>
      </x:c>
      <x:c r="U391" s="14" t="str">
        <x:v>Не контактували</x:v>
      </x:c>
      <x:c r="V391" s="15" t="str">
        <x:v>Повторне звернення з новим тендерним сигналом UA-2025-09-23-005872-a; попросити 1 пакет здачі</x:v>
      </x:c>
      <x:c r="W391" s="15" t="str">
        <x:v>Власник / директор; керівник ПТО; відповідальний за договори</x:v>
      </x:c>
      <x:c r="X391" s="15" t="str">
        <x:v>2 підтверджених перемог/договорів у Prozorro на 18 945 093 грн; 1 проєктів зі строком виконання не раніше 24.08.2026.</x:v>
      </x:c>
      <x:c r="Y391"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 строк до 2026-12-31. Попросити один знеособлений пакет здачі за цим workflow.</x:v>
      </x:c>
      <x:c r="Z391" s="15" t="str">
        <x:v>https://prozorro.gov.ua/tender/UA-2025-12-29-000189-a</x:v>
      </x:c>
      <x:c r="AA391" s="14" t="str">
        <x:v>38374561</x:v>
      </x:c>
      <x:c r="AB391" s="14" t="str">
        <x:v>2026-08-24</x:v>
      </x:c>
      <x:c r="AC391" s="14" t="str"/>
      <x:c r="AD391" s="20" t="str"/>
      <x:c r="AE391" s="14" t="str"/>
      <x:c r="AF391" s="14" t="n">
        <x:v>59</x:v>
      </x:c>
      <x:c r="AG391" s="14" t="str">
        <x:v>I2</x:v>
      </x:c>
      <x:c r="AH391" s="14" t="n">
        <x:v>3</x:v>
      </x:c>
      <x:c r="AI391" s="14" t="n">
        <x:v>1</x:v>
      </x:c>
      <x:c r="AJ391" s="18" t="n">
        <x:v>39591394.91</x:v>
      </x:c>
      <x:c r="AK391" s="14" t="str">
        <x:v>https://prozorro.gov.ua/tender/UA-2025-09-23-005872-a</x:v>
      </x:c>
      <x:c r="AL391" s="19" t="n">
        <x:v>45951.48272947917</x:v>
      </x:c>
      <x:c r="AM391" s="19" t="n">
        <x:v>46022</x:v>
      </x:c>
      <x:c r="AN391" s="15" t="str">
        <x:v>ГНБ / безтраншейні роботи; Зовнішні мережі</x:v>
      </x:c>
      <x:c r="AO391" s="15" t="str">
        <x:v>not_found_in_top_search</x:v>
      </x:c>
    </x:row>
    <x:row r="392">
      <x:c r="A392" s="14" t="str">
        <x:v>W3-120</x:v>
      </x:c>
      <x:c r="B392" s="14" t="str">
        <x:v>Prozorro winners — 24.08</x:v>
      </x:c>
      <x:c r="C392" s="14" t="str">
        <x:v>Фізична особа-підприємець Перерва Олександр Іванович</x:v>
      </x:c>
      <x:c r="D392" s="14" t="str">
        <x:v>Безпека / СКУД / CCTV</x:v>
      </x:c>
      <x:c r="E392" s="14" t="str">
        <x:v>Expansion discovery</x:v>
      </x:c>
      <x:c r="F392" s="17" t="str">
        <x:v>D2</x:v>
      </x:c>
      <x:c r="G392" s="14" t="str"/>
      <x:c r="H392" s="14" t="str">
        <x:v>Discovery розширення — 2 тижні</x:v>
      </x:c>
      <x:c r="I392" s="16" t="n">
        <x:v>1</x:v>
      </x:c>
      <x:c r="J392" s="16" t="n">
        <x:v>5</x:v>
      </x:c>
      <x:c r="K392" s="16" t="n">
        <x:v>4</x:v>
      </x:c>
      <x:c r="L392" s="16" t="n">
        <x:v>1</x:v>
      </x:c>
      <x:c r="M392" s="16" t="n">
        <x:v>5</x:v>
      </x:c>
      <x:c r="N392" s="16" t="n">
        <x:v>3</x:v>
      </x:c>
      <x:c r="O392" s="16" t="n">
        <x:v>5</x:v>
      </x:c>
      <x:c r="P392" s="16" t="n">
        <x:f>IF(COUNT(I392:O392)&lt;7,"",I392*8+J392*3+K392*2+L392*2+M392*2+N392*2+O392)</x:f>
        <x:v>54</x:v>
      </x:c>
      <x:c r="Q392" s="16" t="n">
        <x:f>IF(COUNT(J392:O392)&lt;6,"",J392*5+K392*4+M392*4+L392*3+N392*2+O392*2)</x:f>
        <x:v>80</x:v>
      </x:c>
      <x:c r="R392" s="14" t="str">
        <x:v>high</x:v>
      </x:c>
      <x:c r="S392" s="14" t="str">
        <x:v>official_prozorro_award_2025_2026</x:v>
      </x:c>
      <x:c r="T392" s="14" t="str">
        <x:v>official_prozorro_api</x:v>
      </x:c>
      <x:c r="U392" s="14" t="str">
        <x:v>Не контактували</x:v>
      </x:c>
      <x:c r="V392" s="15" t="str">
        <x:v>Workflow-audit outreach по UA-2026-07-10-002250-a; попросити 1 пакет здачі та вимоги проєкту</x:v>
      </x:c>
      <x:c r="W392" s="15" t="str">
        <x:v>Власник / виконавець; відповідальний за договір</x:v>
      </x:c>
      <x:c r="X392" s="15" t="str">
        <x:v>2 підтверджених перемог/договорів у Prozorro на 62 880 грн; 2 проєктів зі строком виконання не раніше 24.08.2026.</x:v>
      </x:c>
      <x:c r="Y392" s="15" t="str">
        <x:v>Послуга з монтажу, установки системи відеоспостереження; строк до 2026-12-31. Попросити один знеособлений пакет здачі за цим workflow.</x:v>
      </x:c>
      <x:c r="Z392" s="15" t="str">
        <x:v>https://prozorro.gov.ua/tender/UA-2026-07-10-002250-a</x:v>
      </x:c>
      <x:c r="AA392" s="14" t="str">
        <x:v>2481811590</x:v>
      </x:c>
      <x:c r="AB392" s="14" t="str">
        <x:v>2026-08-24</x:v>
      </x:c>
      <x:c r="AC392" s="14" t="str"/>
      <x:c r="AD392" s="20" t="str"/>
      <x:c r="AE392" s="14" t="str"/>
      <x:c r="AF392" s="14" t="n">
        <x:v>59</x:v>
      </x:c>
      <x:c r="AG392" s="14" t="str">
        <x:v>I2</x:v>
      </x:c>
      <x:c r="AH392" s="14" t="n">
        <x:v>2</x:v>
      </x:c>
      <x:c r="AI392" s="14" t="n">
        <x:v>2</x:v>
      </x:c>
      <x:c r="AJ392" s="18" t="n">
        <x:v>62880</x:v>
      </x:c>
      <x:c r="AK392" s="14" t="str">
        <x:v>https://prozorro.gov.ua/tender/UA-2026-07-10-002250-a</x:v>
      </x:c>
      <x:c r="AL392" s="19" t="n">
        <x:v>46213.31861041667</x:v>
      </x:c>
      <x:c r="AM392" s="19" t="n">
        <x:v>46387.36189814815</x:v>
      </x:c>
      <x:c r="AN392" s="15" t="str">
        <x:v>Безпека / СКУД / CCTV</x:v>
      </x:c>
      <x:c r="AO392" s="15" t="str">
        <x:v>not_found_in_top_search</x:v>
      </x:c>
    </x:row>
    <x:row r="393">
      <x:c r="A393" s="14" t="str">
        <x:v>W3-121</x:v>
      </x:c>
      <x:c r="B393" s="14" t="str">
        <x:v>Prozorro winners — 24.08</x:v>
      </x:c>
      <x:c r="C393" s="14" t="str">
        <x:v>ГРИГА АНДРІЙ ПЕТРОВИЧ</x:v>
      </x:c>
      <x:c r="D393" s="14" t="str">
        <x:v>Безпека / СКУД / CCTV</x:v>
      </x:c>
      <x:c r="E393" s="14" t="str">
        <x:v>Expansion discovery</x:v>
      </x:c>
      <x:c r="F393" s="17" t="str">
        <x:v>D2</x:v>
      </x:c>
      <x:c r="G393" s="14" t="str"/>
      <x:c r="H393" s="14" t="str">
        <x:v>Discovery розширення — 2 тижні</x:v>
      </x:c>
      <x:c r="I393" s="16" t="n">
        <x:v>1</x:v>
      </x:c>
      <x:c r="J393" s="16" t="n">
        <x:v>5</x:v>
      </x:c>
      <x:c r="K393" s="16" t="n">
        <x:v>4</x:v>
      </x:c>
      <x:c r="L393" s="16" t="n">
        <x:v>1</x:v>
      </x:c>
      <x:c r="M393" s="16" t="n">
        <x:v>5</x:v>
      </x:c>
      <x:c r="N393" s="16" t="n">
        <x:v>3</x:v>
      </x:c>
      <x:c r="O393" s="16" t="n">
        <x:v>5</x:v>
      </x:c>
      <x:c r="P393" s="16" t="n">
        <x:f>IF(COUNT(I393:O393)&lt;7,"",I393*8+J393*3+K393*2+L393*2+M393*2+N393*2+O393)</x:f>
        <x:v>54</x:v>
      </x:c>
      <x:c r="Q393" s="16" t="n">
        <x:f>IF(COUNT(J393:O393)&lt;6,"",J393*5+K393*4+M393*4+L393*3+N393*2+O393*2)</x:f>
        <x:v>80</x:v>
      </x:c>
      <x:c r="R393" s="14" t="str">
        <x:v>high</x:v>
      </x:c>
      <x:c r="S393" s="14" t="str">
        <x:v>official_prozorro_award_2025_2026</x:v>
      </x:c>
      <x:c r="T393" s="14" t="str">
        <x:v>official_prozorro_api</x:v>
      </x:c>
      <x:c r="U393" s="14" t="str">
        <x:v>Не контактували</x:v>
      </x:c>
      <x:c r="V393" s="15" t="str">
        <x:v>Workflow-audit outreach по UA-2026-08-18-005084-a; попросити 1 пакет здачі та вимоги проєкту</x:v>
      </x:c>
      <x:c r="W393" s="15" t="str">
        <x:v>Власник / виконавець; відповідальний за договір</x:v>
      </x:c>
      <x:c r="X393" s="15" t="str">
        <x:v>2 підтверджених перемог/договорів у Prozorro на 52 270 грн; 2 проєктів зі строком виконання не раніше 24.08.2026.</x:v>
      </x:c>
      <x:c r="Y393" s="15" t="str">
        <x:v>Монтаж системи відеоспостереження; строк до 2026-12-31. Попросити один знеособлений пакет здачі за цим workflow.</x:v>
      </x:c>
      <x:c r="Z393" s="15" t="str">
        <x:v>https://prozorro.gov.ua/tender/UA-2026-08-18-005084-a</x:v>
      </x:c>
      <x:c r="AA393" s="14" t="str">
        <x:v>2852611378</x:v>
      </x:c>
      <x:c r="AB393" s="14" t="str">
        <x:v>2026-08-24</x:v>
      </x:c>
      <x:c r="AC393" s="14" t="str"/>
      <x:c r="AD393" s="20" t="str"/>
      <x:c r="AE393" s="14" t="str"/>
      <x:c r="AF393" s="14" t="n">
        <x:v>59</x:v>
      </x:c>
      <x:c r="AG393" s="14" t="str">
        <x:v>I2</x:v>
      </x:c>
      <x:c r="AH393" s="14" t="n">
        <x:v>2</x:v>
      </x:c>
      <x:c r="AI393" s="14" t="n">
        <x:v>2</x:v>
      </x:c>
      <x:c r="AJ393" s="18" t="n">
        <x:v>52270</x:v>
      </x:c>
      <x:c r="AK393" s="14" t="str">
        <x:v>https://prozorro.gov.ua/tender/UA-2026-08-18-005084-a</x:v>
      </x:c>
      <x:c r="AL393" s="19" t="n">
        <x:v>46252.384626122686</x:v>
      </x:c>
      <x:c r="AM393" s="19" t="n">
        <x:v>46387</x:v>
      </x:c>
      <x:c r="AN393" s="15" t="str">
        <x:v>Безпека / СКУД / CCTV</x:v>
      </x:c>
      <x:c r="AO393" s="15" t="str">
        <x:v>not_found_in_top_search</x:v>
      </x:c>
    </x:row>
    <x:row r="394">
      <x:c r="A394" s="14" t="str">
        <x:v>W3-122</x:v>
      </x:c>
      <x:c r="B394" s="14" t="str">
        <x:v>Prozorro winners — 24.08</x:v>
      </x:c>
      <x:c r="C394" s="14" t="str">
        <x:v>КОНДРАТЮК ВОЛОДИМИР ОЛЕГОВИЧ</x:v>
      </x:c>
      <x:c r="D394" s="14" t="str">
        <x:v>HVAC / ОВіК</x:v>
      </x:c>
      <x:c r="E394" s="14" t="str">
        <x:v>Pilot now</x:v>
      </x:c>
      <x:c r="F394" s="17" t="str">
        <x:v>P2</x:v>
      </x:c>
      <x:c r="G394" s="14" t="str"/>
      <x:c r="H394" s="14" t="str">
        <x:v>Пілот зараз — Н.14</x:v>
      </x:c>
      <x:c r="I394" s="16" t="n">
        <x:v>5</x:v>
      </x:c>
      <x:c r="J394" s="16" t="n">
        <x:v>5</x:v>
      </x:c>
      <x:c r="K394" s="16" t="n">
        <x:v>5</x:v>
      </x:c>
      <x:c r="L394" s="16" t="n">
        <x:v>1</x:v>
      </x:c>
      <x:c r="M394" s="16" t="n">
        <x:v>5</x:v>
      </x:c>
      <x:c r="N394" s="16" t="n">
        <x:v>3</x:v>
      </x:c>
      <x:c r="O394" s="16" t="n">
        <x:v>5</x:v>
      </x:c>
      <x:c r="P394" s="16" t="n">
        <x:f>IF(COUNT(I394:O394)&lt;7,"",I394*8+J394*3+K394*2+L394*2+M394*2+N394*2+O394)</x:f>
        <x:v>88</x:v>
      </x:c>
      <x:c r="Q394" s="16" t="n">
        <x:f>IF(COUNT(J394:O394)&lt;6,"",J394*5+K394*4+M394*4+L394*3+N394*2+O394*2)</x:f>
        <x:v>84</x:v>
      </x:c>
      <x:c r="R394" s="14" t="str">
        <x:v>high</x:v>
      </x:c>
      <x:c r="S394" s="14" t="str">
        <x:v>official_prozorro_award_2025_2026</x:v>
      </x:c>
      <x:c r="T394" s="14" t="str">
        <x:v>official_prozorro_api</x:v>
      </x:c>
      <x:c r="U394" s="14" t="str">
        <x:v>Не контактували</x:v>
      </x:c>
      <x:c r="V394" s="15" t="str">
        <x:v>Персоналізований free-pilot outreach по UA-2026-08-11-009745-a; попросити 1 пакет Н.14/Н.15</x:v>
      </x:c>
      <x:c r="W394" s="15" t="str">
        <x:v>Власник / виконавець; відповідальний за договір</x:v>
      </x:c>
      <x:c r="X394" s="15" t="str">
        <x:v>2 підтверджених перемог/договорів у Prozorro на 8 900 грн; 2 проєктів зі строком виконання не раніше 24.08.2026.</x:v>
      </x:c>
      <x:c r="Y394" s="15" t="str">
        <x:v>Послуги із демонтажу та монтажу теплового лічильника па період проведення ремонтних робіт в системі опалення для ЗДО № 16; строк до 2026-12-31. Попросити один знеособлений пакет здачі за цим workflow.</x:v>
      </x:c>
      <x:c r="Z394" s="15" t="str">
        <x:v>https://prozorro.gov.ua/tender/UA-2026-08-11-009745-a</x:v>
      </x:c>
      <x:c r="AA394" s="14" t="str">
        <x:v>3231213712</x:v>
      </x:c>
      <x:c r="AB394" s="14" t="str">
        <x:v>2026-08-24</x:v>
      </x:c>
      <x:c r="AC394" s="14" t="str"/>
      <x:c r="AD394" s="20" t="str"/>
      <x:c r="AE394" s="14" t="str"/>
      <x:c r="AF394" s="14" t="n">
        <x:v>59</x:v>
      </x:c>
      <x:c r="AG394" s="14" t="str">
        <x:v>I2</x:v>
      </x:c>
      <x:c r="AH394" s="14" t="n">
        <x:v>2</x:v>
      </x:c>
      <x:c r="AI394" s="14" t="n">
        <x:v>2</x:v>
      </x:c>
      <x:c r="AJ394" s="18" t="n">
        <x:v>8900</x:v>
      </x:c>
      <x:c r="AK394" s="14" t="str">
        <x:v>https://prozorro.gov.ua/tender/UA-2026-08-11-009745-a</x:v>
      </x:c>
      <x:c r="AL394" s="19" t="n">
        <x:v>46245.520564108796</x:v>
      </x:c>
      <x:c r="AM394" s="19" t="n">
        <x:v>46387</x:v>
      </x:c>
      <x:c r="AN394" s="15" t="str">
        <x:v>HVAC / ОВіК</x:v>
      </x:c>
      <x:c r="AO394" s="15" t="str">
        <x:v>not_found_in_top_search</x:v>
      </x:c>
    </x:row>
    <x:row r="395">
      <x:c r="A395" s="14" t="str">
        <x:v>W3-123</x:v>
      </x:c>
      <x:c r="B395" s="14" t="str">
        <x:v>Prozorro winners — 24.08</x:v>
      </x:c>
      <x:c r="C395" s="14" t="str">
        <x:v>ПРИВАТНЕ ПІДПРИЄМСТВО "АНАБУД"</x:v>
      </x:c>
      <x:c r="D395" s="14" t="str">
        <x:v>Теплові мережі</x:v>
      </x:c>
      <x:c r="E395" s="14" t="str">
        <x:v>Expansion discovery</x:v>
      </x:c>
      <x:c r="F395" s="17" t="str">
        <x:v>D2</x:v>
      </x:c>
      <x:c r="G395" s="14" t="str"/>
      <x:c r="H395" s="14" t="str">
        <x:v>Discovery розширення — 2 тижні</x:v>
      </x:c>
      <x:c r="I395" s="16" t="n">
        <x:v>1</x:v>
      </x:c>
      <x:c r="J395" s="16" t="n">
        <x:v>5</x:v>
      </x:c>
      <x:c r="K395" s="16" t="n">
        <x:v>4</x:v>
      </x:c>
      <x:c r="L395" s="16" t="n">
        <x:v>4</x:v>
      </x:c>
      <x:c r="M395" s="16" t="n">
        <x:v>5</x:v>
      </x:c>
      <x:c r="N395" s="16" t="n">
        <x:v>5</x:v>
      </x:c>
      <x:c r="O395" s="16" t="n">
        <x:v>5</x:v>
      </x:c>
      <x:c r="P395" s="16" t="n">
        <x:f>IF(COUNT(I395:O395)&lt;7,"",I395*8+J395*3+K395*2+L395*2+M395*2+N395*2+O395)</x:f>
        <x:v>64</x:v>
      </x:c>
      <x:c r="Q395" s="16" t="n">
        <x:f>IF(COUNT(J395:O395)&lt;6,"",J395*5+K395*4+M395*4+L395*3+N395*2+O395*2)</x:f>
        <x:v>93</x:v>
      </x:c>
      <x:c r="R395" s="14" t="str">
        <x:v>high</x:v>
      </x:c>
      <x:c r="S395" s="14" t="str">
        <x:v>official_prozorro_award_2025_2026</x:v>
      </x:c>
      <x:c r="T395" s="14" t="str">
        <x:v>official_prozorro_api</x:v>
      </x:c>
      <x:c r="U395" s="14" t="str">
        <x:v>Не контактували</x:v>
      </x:c>
      <x:c r="V395" s="15" t="str">
        <x:v>Workflow-audit outreach по UA-2026-07-06-005423-a; попросити 1 пакет здачі та вимоги проєкту</x:v>
      </x:c>
      <x:c r="W395" s="15" t="str">
        <x:v>Власник / директор; керівник ПТО; відповідальний за договори</x:v>
      </x:c>
      <x:c r="X395" s="15" t="str">
        <x:v>1 підтверджених перемог/договорів у Prozorro на 9 335 862 грн; 1 проєктів зі строком виконання не раніше 24.08.2026.</x:v>
      </x:c>
      <x:c r="Y395" s="15" t="str">
        <x:v>Реконструкція із заміною теплової мережі по вул. Привокзальна площа,5,м.Ірпінь. Ділянка ТК1-ТК3; строк до 2026-09-30. Попросити один знеособлений пакет здачі за цим workflow.</x:v>
      </x:c>
      <x:c r="Z395" s="15" t="str">
        <x:v>https://prozorro.gov.ua/tender/UA-2026-07-06-005423-a</x:v>
      </x:c>
      <x:c r="AA395" s="14" t="str">
        <x:v>31564367</x:v>
      </x:c>
      <x:c r="AB395" s="14" t="str">
        <x:v>2026-08-24</x:v>
      </x:c>
      <x:c r="AC395" s="14" t="str"/>
      <x:c r="AD395" s="20" t="str"/>
      <x:c r="AE395" s="14" t="str"/>
      <x:c r="AF395" s="14" t="n">
        <x:v>58</x:v>
      </x:c>
      <x:c r="AG395" s="14" t="str">
        <x:v>I2</x:v>
      </x:c>
      <x:c r="AH395" s="14" t="n">
        <x:v>1</x:v>
      </x:c>
      <x:c r="AI395" s="14" t="n">
        <x:v>1</x:v>
      </x:c>
      <x:c r="AJ395" s="18" t="n">
        <x:v>9335862</x:v>
      </x:c>
      <x:c r="AK395" s="14" t="str">
        <x:v>https://prozorro.gov.ua/tender/UA-2026-07-06-005423-a</x:v>
      </x:c>
      <x:c r="AL395" s="19" t="n">
        <x:v>46209.45089113426</x:v>
      </x:c>
      <x:c r="AM395" s="19" t="n">
        <x:v>46295</x:v>
      </x:c>
      <x:c r="AN395" s="15" t="str">
        <x:v>Теплові мережі</x:v>
      </x:c>
      <x:c r="AO395" s="15" t="str">
        <x:v>not_found_in_top_search</x:v>
      </x:c>
    </x:row>
    <x:row r="396">
      <x:c r="A396" s="14" t="str">
        <x:v>W3-124</x:v>
      </x:c>
      <x:c r="B396" s="14" t="str">
        <x:v>Prozorro winners — 24.08</x:v>
      </x:c>
      <x:c r="C396" s="14" t="str">
        <x:v>ТОВ "ҐРІНТЕК"</x:v>
      </x:c>
      <x:c r="D396" s="14" t="str">
        <x:v>Сонячна енергетика</x:v>
      </x:c>
      <x:c r="E396" s="14" t="str">
        <x:v>Expansion discovery</x:v>
      </x:c>
      <x:c r="F396" s="17" t="str">
        <x:v>D2</x:v>
      </x:c>
      <x:c r="G396" s="14" t="str">
        <x:v>greentech.in.ua</x:v>
      </x:c>
      <x:c r="H396" s="14" t="str">
        <x:v>Discovery розширення — 2 тижні</x:v>
      </x:c>
      <x:c r="I396" s="16" t="n">
        <x:v>1</x:v>
      </x:c>
      <x:c r="J396" s="16" t="n">
        <x:v>5</x:v>
      </x:c>
      <x:c r="K396" s="16" t="n">
        <x:v>4</x:v>
      </x:c>
      <x:c r="L396" s="16" t="n">
        <x:v>4</x:v>
      </x:c>
      <x:c r="M396" s="16" t="n">
        <x:v>5</x:v>
      </x:c>
      <x:c r="N396" s="16" t="n">
        <x:v>5</x:v>
      </x:c>
      <x:c r="O396" s="16" t="n">
        <x:v>5</x:v>
      </x:c>
      <x:c r="P396" s="16" t="n">
        <x:f>IF(COUNT(I396:O396)&lt;7,"",I396*8+J396*3+K396*2+L396*2+M396*2+N396*2+O396)</x:f>
        <x:v>64</x:v>
      </x:c>
      <x:c r="Q396" s="16" t="n">
        <x:f>IF(COUNT(J396:O396)&lt;6,"",J396*5+K396*4+M396*4+L396*3+N396*2+O396*2)</x:f>
        <x:v>93</x:v>
      </x:c>
      <x:c r="R396" s="14" t="str">
        <x:v>high</x:v>
      </x:c>
      <x:c r="S396" s="14" t="str">
        <x:v>official_prozorro_award_2025_2026</x:v>
      </x:c>
      <x:c r="T396" s="14" t="str">
        <x:v>official_prozorro_api</x:v>
      </x:c>
      <x:c r="U396" s="14" t="str">
        <x:v>Не контактували</x:v>
      </x:c>
      <x:c r="V396" s="15" t="str">
        <x:v>Повторне звернення з новим тендерним сигналом UA-2026-08-19-003308-a; попросити 1 пакет здачі</x:v>
      </x:c>
      <x:c r="W396" s="15" t="str">
        <x:v>Власник / директор; керівник ПТО; відповідальний за договори</x:v>
      </x:c>
      <x:c r="X396" s="15" t="str">
        <x:v>1 підтверджених перемог/договорів у Prozorro на 5 588 637 грн; 1 проєктів зі строком виконання не раніше 24.08.2026.</x:v>
      </x:c>
      <x:c r="Y396" s="15" t="str">
        <x:v>Монтаж системи альтернативного джерела енергії - сонячної електростанції (капітальний ремонт) КНП «Сокирянська лікарня» по вул. О.Кобилянської, 41 в м. Сокиряни; строк до 2026-12-25. Попросити один знеособлений пакет здачі за цим workflow.</x:v>
      </x:c>
      <x:c r="Z396" s="15" t="str">
        <x:v>https://prozorro.gov.ua/tender/UA-2026-04-29-011113-a</x:v>
      </x:c>
      <x:c r="AA396" s="14" t="str">
        <x:v>42820558</x:v>
      </x:c>
      <x:c r="AB396" s="14" t="str">
        <x:v>2026-08-24</x:v>
      </x:c>
      <x:c r="AC396" s="14" t="str"/>
      <x:c r="AD396" s="20" t="str"/>
      <x:c r="AE396" s="14" t="str"/>
      <x:c r="AF396" s="14" t="n">
        <x:v>93</x:v>
      </x:c>
      <x:c r="AG396" s="14" t="str">
        <x:v>I1</x:v>
      </x:c>
      <x:c r="AH396" s="14" t="n">
        <x:v>12</x:v>
      </x:c>
      <x:c r="AI396" s="14" t="n">
        <x:v>12</x:v>
      </x:c>
      <x:c r="AJ396" s="18" t="n">
        <x:v>23372612.29</x:v>
      </x:c>
      <x:c r="AK396" s="14" t="str">
        <x:v>https://prozorro.gov.ua/tender/UA-2026-08-19-003308-a</x:v>
      </x:c>
      <x:c r="AL396" s="19" t="n">
        <x:v>46253.33849958333</x:v>
      </x:c>
      <x:c r="AM396" s="19" t="n">
        <x:v>46295</x:v>
      </x:c>
      <x:c r="AN396" s="15" t="str">
        <x:v>Сонячна енергетика; Підстанції / силові мережі</x:v>
      </x:c>
      <x:c r="AO396" s="15" t="str">
        <x:v>supplier_provided_url</x:v>
      </x:c>
    </x:row>
    <x:row r="397">
      <x:c r="A397" s="14" t="str">
        <x:v>W3-125</x:v>
      </x:c>
      <x:c r="B397" s="14" t="str">
        <x:v>Prozorro winners — 24.08</x:v>
      </x:c>
      <x:c r="C397" s="14" t="str">
        <x:v>ТОВАРИСТВО З ОБМЕЖЕНОЮ ВІДПОВІДАЛЬНІСТЮ "КОТЕЛЬНІ ЛІКАРНЯНОГО КОМПЛЕКСУ"</x:v>
      </x:c>
      <x:c r="D397" s="14" t="str">
        <x:v>Газопостачання / котельні</x:v>
      </x:c>
      <x:c r="E397" s="14" t="str">
        <x:v>Expansion discovery</x:v>
      </x:c>
      <x:c r="F397" s="17" t="str">
        <x:v>D2</x:v>
      </x:c>
      <x:c r="G397" s="14" t="str"/>
      <x:c r="H397" s="14" t="str">
        <x:v>Discovery розширення — 2 тижні</x:v>
      </x:c>
      <x:c r="I397" s="16" t="n">
        <x:v>1</x:v>
      </x:c>
      <x:c r="J397" s="16" t="n">
        <x:v>5</x:v>
      </x:c>
      <x:c r="K397" s="16" t="n">
        <x:v>4</x:v>
      </x:c>
      <x:c r="L397" s="16" t="n">
        <x:v>4</x:v>
      </x:c>
      <x:c r="M397" s="16" t="n">
        <x:v>5</x:v>
      </x:c>
      <x:c r="N397" s="16" t="n">
        <x:v>5</x:v>
      </x:c>
      <x:c r="O397" s="16" t="n">
        <x:v>5</x:v>
      </x:c>
      <x:c r="P397" s="16" t="n">
        <x:f>IF(COUNT(I397:O397)&lt;7,"",I397*8+J397*3+K397*2+L397*2+M397*2+N397*2+O397)</x:f>
        <x:v>64</x:v>
      </x:c>
      <x:c r="Q397" s="16" t="n">
        <x:f>IF(COUNT(J397:O397)&lt;6,"",J397*5+K397*4+M397*4+L397*3+N397*2+O397*2)</x:f>
        <x:v>93</x:v>
      </x:c>
      <x:c r="R397" s="14" t="str">
        <x:v>high</x:v>
      </x:c>
      <x:c r="S397" s="14" t="str">
        <x:v>official_prozorro_award_2025_2026</x:v>
      </x:c>
      <x:c r="T397" s="14" t="str">
        <x:v>official_prozorro_api</x:v>
      </x:c>
      <x:c r="U397" s="14" t="str">
        <x:v>Не контактували</x:v>
      </x:c>
      <x:c r="V397" s="15" t="str">
        <x:v>Workflow-audit outreach по UA-2026-05-28-009026-a; попросити 1 пакет здачі та вимоги проєкту</x:v>
      </x:c>
      <x:c r="W397" s="15" t="str">
        <x:v>Власник / директор; керівник ПТО; відповідальний за договори</x:v>
      </x:c>
      <x:c r="X397" s="15" t="str">
        <x:v>2 підтверджених перемог/договорів у Prozorro на 4 336 760 грн; 0 проєктів зі строком виконання не раніше 24.08.2026.</x:v>
      </x:c>
      <x:c r="Y397"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 строк до 2026-06-30. Попросити один знеособлений пакет здачі за цим workflow.</x:v>
      </x:c>
      <x:c r="Z397" s="15" t="str">
        <x:v>https://prozorro.gov.ua/tender/UA-2026-05-28-009026-a</x:v>
      </x:c>
      <x:c r="AA397" s="14" t="str">
        <x:v>31555944</x:v>
      </x:c>
      <x:c r="AB397" s="14" t="str">
        <x:v>2026-08-24</x:v>
      </x:c>
      <x:c r="AC397" s="14" t="str"/>
      <x:c r="AD397" s="20" t="str"/>
      <x:c r="AE397" s="14" t="str"/>
      <x:c r="AF397" s="14" t="n">
        <x:v>58</x:v>
      </x:c>
      <x:c r="AG397" s="14" t="str">
        <x:v>I2</x:v>
      </x:c>
      <x:c r="AH397" s="14" t="n">
        <x:v>2</x:v>
      </x:c>
      <x:c r="AI397" s="14" t="n">
        <x:v>0</x:v>
      </x:c>
      <x:c r="AJ397" s="18" t="n">
        <x:v>4336759.87</x:v>
      </x:c>
      <x:c r="AK397" s="14" t="str">
        <x:v>https://prozorro.gov.ua/tender/UA-2026-05-28-009026-a</x:v>
      </x:c>
      <x:c r="AL397" s="19" t="n">
        <x:v>46170.524269594905</x:v>
      </x:c>
      <x:c r="AM397" s="19" t="n">
        <x:v>46203</x:v>
      </x:c>
      <x:c r="AN397" s="15" t="str">
        <x:v>Газопостачання / котельні</x:v>
      </x:c>
      <x:c r="AO397" s="15" t="str">
        <x:v>not_found_in_top_search</x:v>
      </x:c>
    </x:row>
    <x:row r="398">
      <x:c r="A398" s="14" t="str">
        <x:v>W3-126</x:v>
      </x:c>
      <x:c r="B398" s="14" t="str">
        <x:v>Prozorro winners — 24.08</x:v>
      </x:c>
      <x:c r="C398" s="14" t="str">
        <x:v>ТОВАРИСТВО З ОБМЕЖЕНОЮ ВІДПОВІДАЛЬНІСТЮ «ПРОЕКТНО-КОНСТРУКТОРСЬКИЙ, НАУКОВО-ДОСЛІДНИЙ ІНСТИТУТ «ЕНЕРГОТЕХПРОЕКТ»</x:v>
      </x:c>
      <x:c r="D398" s="14" t="str">
        <x:v>Теплові мережі</x:v>
      </x:c>
      <x:c r="E398" s="14" t="str">
        <x:v>Expansion discovery</x:v>
      </x:c>
      <x:c r="F398" s="17" t="str">
        <x:v>D2</x:v>
      </x:c>
      <x:c r="G398" s="14" t="str"/>
      <x:c r="H398" s="14" t="str">
        <x:v>Discovery розширення — 2 тижні</x:v>
      </x:c>
      <x:c r="I398" s="16" t="n">
        <x:v>1</x:v>
      </x:c>
      <x:c r="J398" s="16" t="n">
        <x:v>5</x:v>
      </x:c>
      <x:c r="K398" s="16" t="n">
        <x:v>4</x:v>
      </x:c>
      <x:c r="L398" s="16" t="n">
        <x:v>4</x:v>
      </x:c>
      <x:c r="M398" s="16" t="n">
        <x:v>5</x:v>
      </x:c>
      <x:c r="N398" s="16" t="n">
        <x:v>5</x:v>
      </x:c>
      <x:c r="O398" s="16" t="n">
        <x:v>5</x:v>
      </x:c>
      <x:c r="P398" s="16" t="n">
        <x:f>IF(COUNT(I398:O398)&lt;7,"",I398*8+J398*3+K398*2+L398*2+M398*2+N398*2+O398)</x:f>
        <x:v>64</x:v>
      </x:c>
      <x:c r="Q398" s="16" t="n">
        <x:f>IF(COUNT(J398:O398)&lt;6,"",J398*5+K398*4+M398*4+L398*3+N398*2+O398*2)</x:f>
        <x:v>93</x:v>
      </x:c>
      <x:c r="R398" s="14" t="str">
        <x:v>high</x:v>
      </x:c>
      <x:c r="S398" s="14" t="str">
        <x:v>official_prozorro_award_2025_2026</x:v>
      </x:c>
      <x:c r="T398" s="14" t="str">
        <x:v>official_prozorro_api</x:v>
      </x:c>
      <x:c r="U398" s="14" t="str">
        <x:v>Не контактували</x:v>
      </x:c>
      <x:c r="V398" s="15" t="str">
        <x:v>Повторне звернення з новим тендерним сигналом UA-2026-08-14-002902-a; попросити 1 пакет здачі</x:v>
      </x:c>
      <x:c r="W398" s="15" t="str">
        <x:v>Власник / директор; керівник ПТО; відповідальний за договори</x:v>
      </x:c>
      <x:c r="X398" s="15" t="str">
        <x:v>1 підтверджених перемог/договорів у Prozorro на 3 049 049 грн; 1 проєктів зі строком виконання не раніше 24.08.2026.</x:v>
      </x:c>
      <x:c r="Y398"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 строк до 2026-12-30. Попросити один знеособлений пакет здачі за цим workflow.</x:v>
      </x:c>
      <x:c r="Z398" s="15" t="str">
        <x:v>https://prozorro.gov.ua/tender/UA-2026-07-06-005320-a</x:v>
      </x:c>
      <x:c r="AA398" s="14" t="str">
        <x:v>13679387</x:v>
      </x:c>
      <x:c r="AB398" s="14" t="str">
        <x:v>2026-08-24</x:v>
      </x:c>
      <x:c r="AC398" s="14" t="str"/>
      <x:c r="AD398" s="20" t="str"/>
      <x:c r="AE398" s="14" t="str"/>
      <x:c r="AF398" s="14" t="n">
        <x:v>64</x:v>
      </x:c>
      <x:c r="AG398" s="14" t="str">
        <x:v>I2</x:v>
      </x:c>
      <x:c r="AH398" s="14" t="n">
        <x:v>2</x:v>
      </x:c>
      <x:c r="AI398" s="14" t="n">
        <x:v>2</x:v>
      </x:c>
      <x:c r="AJ398" s="18" t="n">
        <x:v>10176377.76</x:v>
      </x:c>
      <x:c r="AK398" s="14" t="str">
        <x:v>https://prozorro.gov.ua/tender/UA-2026-08-14-002902-a</x:v>
      </x:c>
      <x:c r="AL398" s="19" t="n">
        <x:v>46248.32728450232</x:v>
      </x:c>
      <x:c r="AM398" s="19" t="n">
        <x:v>46386</x:v>
      </x:c>
      <x:c r="AN398" s="15" t="str">
        <x:v>Теплові мережі; Зовнішні мережі</x:v>
      </x:c>
      <x:c r="AO398" s="15" t="str">
        <x:v>not_found_in_top_search</x:v>
      </x:c>
    </x:row>
    <x:row r="399">
      <x:c r="A399" s="14" t="str">
        <x:v>W3-127</x:v>
      </x:c>
      <x:c r="B399" s="14" t="str">
        <x:v>Prozorro winners — 24.08</x:v>
      </x:c>
      <x:c r="C399" s="14" t="str">
        <x:v>ТОВ "ЕНЕРГІЯ ПРИРОДИ ПЛЮС"</x:v>
      </x:c>
      <x:c r="D399" s="14" t="str">
        <x:v>Сонячна енергетика</x:v>
      </x:c>
      <x:c r="E399" s="14" t="str">
        <x:v>Expansion discovery</x:v>
      </x:c>
      <x:c r="F399" s="17" t="str">
        <x:v>D2</x:v>
      </x:c>
      <x:c r="G399" s="14" t="str"/>
      <x:c r="H399" s="14" t="str">
        <x:v>Discovery розширення — 2 тижні</x:v>
      </x:c>
      <x:c r="I399" s="16" t="n">
        <x:v>1</x:v>
      </x:c>
      <x:c r="J399" s="16" t="n">
        <x:v>5</x:v>
      </x:c>
      <x:c r="K399" s="16" t="n">
        <x:v>4</x:v>
      </x:c>
      <x:c r="L399" s="16" t="n">
        <x:v>4</x:v>
      </x:c>
      <x:c r="M399" s="16" t="n">
        <x:v>5</x:v>
      </x:c>
      <x:c r="N399" s="16" t="n">
        <x:v>5</x:v>
      </x:c>
      <x:c r="O399" s="16" t="n">
        <x:v>5</x:v>
      </x:c>
      <x:c r="P399" s="16" t="n">
        <x:f>IF(COUNT(I399:O399)&lt;7,"",I399*8+J399*3+K399*2+L399*2+M399*2+N399*2+O399)</x:f>
        <x:v>64</x:v>
      </x:c>
      <x:c r="Q399" s="16" t="n">
        <x:f>IF(COUNT(J399:O399)&lt;6,"",J399*5+K399*4+M399*4+L399*3+N399*2+O399*2)</x:f>
        <x:v>93</x:v>
      </x:c>
      <x:c r="R399" s="14" t="str">
        <x:v>high</x:v>
      </x:c>
      <x:c r="S399" s="14" t="str">
        <x:v>official_prozorro_award_2025_2026</x:v>
      </x:c>
      <x:c r="T399" s="14" t="str">
        <x:v>official_prozorro_api</x:v>
      </x:c>
      <x:c r="U399" s="14" t="str">
        <x:v>Не контактували</x:v>
      </x:c>
      <x:c r="V399" s="15" t="str">
        <x:v>Workflow-audit outreach по UA-2026-05-28-009497-a; попросити 1 пакет здачі та вимоги проєкту</x:v>
      </x:c>
      <x:c r="W399" s="15" t="str">
        <x:v>Власник / директор; керівник ПТО; відповідальний за договори</x:v>
      </x:c>
      <x:c r="X399" s="15" t="str">
        <x:v>1 підтверджених перемог/договорів у Prozorro на 2 572 971 грн; 1 проєктів зі строком виконання не раніше 24.08.2026.</x:v>
      </x:c>
      <x:c r="Y399" s="15" t="str">
        <x:v>Придбання та монтаж енергоефективного обладнання для гібридної сонячної електростанції; строк до 2026-08-31. Попросити один знеособлений пакет здачі за цим workflow.</x:v>
      </x:c>
      <x:c r="Z399" s="15" t="str">
        <x:v>https://prozorro.gov.ua/tender/UA-2026-05-28-009497-a</x:v>
      </x:c>
      <x:c r="AA399" s="14" t="str">
        <x:v>43599450</x:v>
      </x:c>
      <x:c r="AB399" s="14" t="str">
        <x:v>2026-08-24</x:v>
      </x:c>
      <x:c r="AC399" s="14" t="str"/>
      <x:c r="AD399" s="20" t="str"/>
      <x:c r="AE399" s="14" t="str"/>
      <x:c r="AF399" s="14" t="n">
        <x:v>58</x:v>
      </x:c>
      <x:c r="AG399" s="14" t="str">
        <x:v>I2</x:v>
      </x:c>
      <x:c r="AH399" s="14" t="n">
        <x:v>1</x:v>
      </x:c>
      <x:c r="AI399" s="14" t="n">
        <x:v>1</x:v>
      </x:c>
      <x:c r="AJ399" s="18" t="n">
        <x:v>2572971.3</x:v>
      </x:c>
      <x:c r="AK399" s="14" t="str">
        <x:v>https://prozorro.gov.ua/tender/UA-2026-05-28-009497-a</x:v>
      </x:c>
      <x:c r="AL399" s="19" t="n">
        <x:v>46185.33913443287</x:v>
      </x:c>
      <x:c r="AM399" s="19" t="n">
        <x:v>46265.52082175926</x:v>
      </x:c>
      <x:c r="AN399" s="15" t="str">
        <x:v>Сонячна енергетика</x:v>
      </x:c>
      <x:c r="AO399" s="15" t="str">
        <x:v>not_found_in_top_search</x:v>
      </x:c>
    </x:row>
    <x:row r="400">
      <x:c r="A400" s="14" t="str">
        <x:v>W3-128</x:v>
      </x:c>
      <x:c r="B400" s="14" t="str">
        <x:v>Prozorro winners — 24.08</x:v>
      </x:c>
      <x:c r="C400" s="14" t="str">
        <x:v>ТОВАРИСТВО З ОБМЕЖЕНОЮ ВІДПОВІДАЛЬНІСТЮ "УК ЕКСПЕРТИЗА"</x:v>
      </x:c>
      <x:c r="D400" s="14" t="str">
        <x:v>Водоочищення / очисні споруди</x:v>
      </x:c>
      <x:c r="E400" s="14" t="str">
        <x:v>Expansion discovery</x:v>
      </x:c>
      <x:c r="F400" s="17" t="str">
        <x:v>D2</x:v>
      </x:c>
      <x:c r="G400" s="14" t="str"/>
      <x:c r="H400" s="14" t="str">
        <x:v>Discovery розширення — 2 тижні</x:v>
      </x:c>
      <x:c r="I400" s="16" t="n">
        <x:v>1</x:v>
      </x:c>
      <x:c r="J400" s="16" t="n">
        <x:v>5</x:v>
      </x:c>
      <x:c r="K400" s="16" t="n">
        <x:v>4</x:v>
      </x:c>
      <x:c r="L400" s="16" t="n">
        <x:v>2</x:v>
      </x:c>
      <x:c r="M400" s="16" t="n">
        <x:v>5</x:v>
      </x:c>
      <x:c r="N400" s="16" t="n">
        <x:v>5</x:v>
      </x:c>
      <x:c r="O400" s="16" t="n">
        <x:v>5</x:v>
      </x:c>
      <x:c r="P400" s="16" t="n">
        <x:f>IF(COUNT(I400:O400)&lt;7,"",I400*8+J400*3+K400*2+L400*2+M400*2+N400*2+O400)</x:f>
        <x:v>60</x:v>
      </x:c>
      <x:c r="Q400" s="16" t="n">
        <x:f>IF(COUNT(J400:O400)&lt;6,"",J400*5+K400*4+M400*4+L400*3+N400*2+O400*2)</x:f>
        <x:v>87</x:v>
      </x:c>
      <x:c r="R400" s="14" t="str">
        <x:v>high</x:v>
      </x:c>
      <x:c r="S400" s="14" t="str">
        <x:v>official_prozorro_award_2025_2026</x:v>
      </x:c>
      <x:c r="T400" s="14" t="str">
        <x:v>official_prozorro_api</x:v>
      </x:c>
      <x:c r="U400" s="14" t="str">
        <x:v>Не контактували</x:v>
      </x:c>
      <x:c r="V400" s="15" t="str">
        <x:v>Workflow-audit outreach по UA-2026-06-15-011390-a; попросити 1 пакет здачі та вимоги проєкту</x:v>
      </x:c>
      <x:c r="W400" s="15" t="str">
        <x:v>Власник / директор; керівник ПТО; відповідальний за договори</x:v>
      </x:c>
      <x:c r="X400" s="15" t="str">
        <x:v>2 підтверджених перемог/договорів у Prozorro на 102 068 грн; 1 проєктів зі строком виконання не раніше 24.08.2026.</x:v>
      </x:c>
      <x:c r="Y400"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 строк до 2026-12-31. Попросити один знеособлений пакет здачі за цим workflow.</x:v>
      </x:c>
      <x:c r="Z400" s="15" t="str">
        <x:v>https://prozorro.gov.ua/tender/UA-2026-06-15-011390-a</x:v>
      </x:c>
      <x:c r="AA400" s="14" t="str">
        <x:v>42431096</x:v>
      </x:c>
      <x:c r="AB400" s="14" t="str">
        <x:v>2026-08-24</x:v>
      </x:c>
      <x:c r="AC400" s="14" t="str"/>
      <x:c r="AD400" s="20" t="str"/>
      <x:c r="AE400" s="14" t="str"/>
      <x:c r="AF400" s="14" t="n">
        <x:v>58</x:v>
      </x:c>
      <x:c r="AG400" s="14" t="str">
        <x:v>I2</x:v>
      </x:c>
      <x:c r="AH400" s="14" t="n">
        <x:v>2</x:v>
      </x:c>
      <x:c r="AI400" s="14" t="n">
        <x:v>1</x:v>
      </x:c>
      <x:c r="AJ400" s="18" t="n">
        <x:v>102068</x:v>
      </x:c>
      <x:c r="AK400" s="14" t="str">
        <x:v>https://prozorro.gov.ua/tender/UA-2026-06-15-011390-a</x:v>
      </x:c>
      <x:c r="AL400" s="19" t="n">
        <x:v>46188.56181832176</x:v>
      </x:c>
      <x:c r="AM400" s="19" t="n">
        <x:v>46387</x:v>
      </x:c>
      <x:c r="AN400" s="15" t="str">
        <x:v>Водоочищення / очисні споруди; Насосні станції</x:v>
      </x:c>
      <x:c r="AO400" s="15" t="str">
        <x:v>not_found_in_top_search</x:v>
      </x:c>
    </x:row>
    <x:row r="401">
      <x:c r="A401" s="14" t="str">
        <x:v>W3-129</x:v>
      </x:c>
      <x:c r="B401" s="14" t="str">
        <x:v>Prozorro winners — 24.08</x:v>
      </x:c>
      <x:c r="C401" s="14" t="str">
        <x:v>ТОВАРИСТВО З ОБМЕЖЕНОЮ ВІДПОВІДАЛЬНІСТЮ -ФІРМА "КОРТАКОЗ"</x:v>
      </x:c>
      <x:c r="D401" s="14" t="str">
        <x:v>Водоочищення / очисні споруди</x:v>
      </x:c>
      <x:c r="E401" s="14" t="str">
        <x:v>Expansion discovery</x:v>
      </x:c>
      <x:c r="F401" s="17" t="str">
        <x:v>D3</x:v>
      </x:c>
      <x:c r="G401" s="14" t="str"/>
      <x:c r="H401" s="14" t="str">
        <x:v>Discovery розширення — 2 тижні</x:v>
      </x:c>
      <x:c r="I401" s="16" t="n">
        <x:v>1</x:v>
      </x:c>
      <x:c r="J401" s="16" t="n">
        <x:v>5</x:v>
      </x:c>
      <x:c r="K401" s="16" t="n">
        <x:v>4</x:v>
      </x:c>
      <x:c r="L401" s="16" t="n">
        <x:v>5</x:v>
      </x:c>
      <x:c r="M401" s="16" t="n">
        <x:v>5</x:v>
      </x:c>
      <x:c r="N401" s="16" t="n">
        <x:v>5</x:v>
      </x:c>
      <x:c r="O401" s="16" t="n">
        <x:v>5</x:v>
      </x:c>
      <x:c r="P401" s="16" t="n">
        <x:f>IF(COUNT(I401:O401)&lt;7,"",I401*8+J401*3+K401*2+L401*2+M401*2+N401*2+O401)</x:f>
        <x:v>66</x:v>
      </x:c>
      <x:c r="Q401" s="16" t="n">
        <x:f>IF(COUNT(J401:O401)&lt;6,"",J401*5+K401*4+M401*4+L401*3+N401*2+O401*2)</x:f>
        <x:v>96</x:v>
      </x:c>
      <x:c r="R401" s="14" t="str">
        <x:v>high</x:v>
      </x:c>
      <x:c r="S401" s="14" t="str">
        <x:v>official_prozorro_award_2025_2026</x:v>
      </x:c>
      <x:c r="T401" s="14" t="str">
        <x:v>official_prozorro_api</x:v>
      </x:c>
      <x:c r="U401" s="14" t="str">
        <x:v>Не контактували</x:v>
      </x:c>
      <x:c r="V401" s="15" t="str">
        <x:v>Workflow-audit outreach по UA-2026-07-03-009470-a; попросити 1 пакет здачі та вимоги проєкту</x:v>
      </x:c>
      <x:c r="W401" s="15" t="str">
        <x:v>Власник / директор; керівник ПТО; відповідальний за договори</x:v>
      </x:c>
      <x:c r="X401" s="15" t="str">
        <x:v>1 підтверджених перемог/договорів у Prozorro на 11 653 496 грн; 0 проєктів зі строком виконання не раніше 24.08.2026.</x:v>
      </x:c>
      <x:c r="Y401" s="15" t="str">
        <x:v>«Реконструкція очисних каналізаційних споруд повної біологічної очистки м. Арциз Одеської області» Коригування; строк до 2026-07-31. Попросити один знеособлений пакет здачі за цим workflow.</x:v>
      </x:c>
      <x:c r="Z401" s="15" t="str">
        <x:v>https://prozorro.gov.ua/tender/UA-2026-07-03-009470-a</x:v>
      </x:c>
      <x:c r="AA401" s="14" t="str">
        <x:v>13993936</x:v>
      </x:c>
      <x:c r="AB401" s="14" t="str">
        <x:v>2026-08-24</x:v>
      </x:c>
      <x:c r="AC401" s="14" t="str"/>
      <x:c r="AD401" s="20" t="str"/>
      <x:c r="AE401" s="14" t="str"/>
      <x:c r="AF401" s="14" t="n">
        <x:v>57</x:v>
      </x:c>
      <x:c r="AG401" s="14" t="str">
        <x:v>I3</x:v>
      </x:c>
      <x:c r="AH401" s="14" t="n">
        <x:v>1</x:v>
      </x:c>
      <x:c r="AI401" s="14" t="n">
        <x:v>0</x:v>
      </x:c>
      <x:c r="AJ401" s="18" t="n">
        <x:v>11653496.4</x:v>
      </x:c>
      <x:c r="AK401" s="14" t="str">
        <x:v>https://prozorro.gov.ua/tender/UA-2026-07-03-009470-a</x:v>
      </x:c>
      <x:c r="AL401" s="19" t="n">
        <x:v>46206.54986206019</x:v>
      </x:c>
      <x:c r="AM401" s="19" t="n">
        <x:v>46234</x:v>
      </x:c>
      <x:c r="AN401" s="15" t="str">
        <x:v>Водоочищення / очисні споруди</x:v>
      </x:c>
      <x:c r="AO401" s="15" t="str">
        <x:v>not_found_in_top_search</x:v>
      </x:c>
    </x:row>
    <x:row r="402">
      <x:c r="A402" s="14" t="str">
        <x:v>W3-130</x:v>
      </x:c>
      <x:c r="B402" s="14" t="str">
        <x:v>Prozorro winners — 24.08</x:v>
      </x:c>
      <x:c r="C402" s="14" t="str">
        <x:v>АВЕТІСЯН ГЕВОРГ ФУРМАНОВИЧ</x:v>
      </x:c>
      <x:c r="D402" s="14" t="str">
        <x:v>Мости / інфраструктура</x:v>
      </x:c>
      <x:c r="E402" s="14" t="str">
        <x:v>Expansion discovery</x:v>
      </x:c>
      <x:c r="F402" s="17" t="str">
        <x:v>D3</x:v>
      </x:c>
      <x:c r="G402" s="14" t="str"/>
      <x:c r="H402" s="14" t="str">
        <x:v>Discovery розширення — 2 тижні</x:v>
      </x:c>
      <x:c r="I402" s="16" t="n">
        <x:v>1</x:v>
      </x:c>
      <x:c r="J402" s="16" t="n">
        <x:v>5</x:v>
      </x:c>
      <x:c r="K402" s="16" t="n">
        <x:v>4</x:v>
      </x:c>
      <x:c r="L402" s="16" t="n">
        <x:v>2</x:v>
      </x:c>
      <x:c r="M402" s="16" t="n">
        <x:v>5</x:v>
      </x:c>
      <x:c r="N402" s="16" t="n">
        <x:v>3</x:v>
      </x:c>
      <x:c r="O402" s="16" t="n">
        <x:v>5</x:v>
      </x:c>
      <x:c r="P402" s="16" t="n">
        <x:f>IF(COUNT(I402:O402)&lt;7,"",I402*8+J402*3+K402*2+L402*2+M402*2+N402*2+O402)</x:f>
        <x:v>56</x:v>
      </x:c>
      <x:c r="Q402" s="16" t="n">
        <x:f>IF(COUNT(J402:O402)&lt;6,"",J402*5+K402*4+M402*4+L402*3+N402*2+O402*2)</x:f>
        <x:v>83</x:v>
      </x:c>
      <x:c r="R402" s="14" t="str">
        <x:v>high</x:v>
      </x:c>
      <x:c r="S402" s="14" t="str">
        <x:v>official_prozorro_award_2025_2026</x:v>
      </x:c>
      <x:c r="T402" s="14" t="str">
        <x:v>official_prozorro_api</x:v>
      </x:c>
      <x:c r="U402" s="14" t="str">
        <x:v>Не контактували</x:v>
      </x:c>
      <x:c r="V402" s="15" t="str">
        <x:v>Workflow-audit outreach по UA-2026-07-09-000490-a; попросити 1 пакет здачі та вимоги проєкту</x:v>
      </x:c>
      <x:c r="W402" s="15" t="str">
        <x:v>Власник / виконавець; відповідальний за договір</x:v>
      </x:c>
      <x:c r="X402" s="15" t="str">
        <x:v>2 підтверджених перемог/договорів у Prozorro на 399 190 грн; 2 проєктів зі строком виконання не раніше 24.08.2026.</x:v>
      </x:c>
      <x:c r="Y402" s="15" t="str">
        <x:v>Поточний ремонт відбійників та перил мосту № 1 через річку Синюха в місті Первомайськ Миколаївської області; строк до 2026-12-31. Попросити один знеособлений пакет здачі за цим workflow.</x:v>
      </x:c>
      <x:c r="Z402" s="15" t="str">
        <x:v>https://prozorro.gov.ua/tender/UA-2026-07-09-000490-a</x:v>
      </x:c>
      <x:c r="AA402" s="14" t="str">
        <x:v>2729522173</x:v>
      </x:c>
      <x:c r="AB402" s="14" t="str">
        <x:v>2026-08-24</x:v>
      </x:c>
      <x:c r="AC402" s="14" t="str"/>
      <x:c r="AD402" s="20" t="str"/>
      <x:c r="AE402" s="14" t="str"/>
      <x:c r="AF402" s="14" t="n">
        <x:v>57</x:v>
      </x:c>
      <x:c r="AG402" s="14" t="str">
        <x:v>I3</x:v>
      </x:c>
      <x:c r="AH402" s="14" t="n">
        <x:v>2</x:v>
      </x:c>
      <x:c r="AI402" s="14" t="n">
        <x:v>2</x:v>
      </x:c>
      <x:c r="AJ402" s="18" t="n">
        <x:v>399190.25</x:v>
      </x:c>
      <x:c r="AK402" s="14" t="str">
        <x:v>https://prozorro.gov.ua/tender/UA-2026-07-09-000490-a</x:v>
      </x:c>
      <x:c r="AL402" s="19" t="n">
        <x:v>46212.252966168984</x:v>
      </x:c>
      <x:c r="AM402" s="19" t="n">
        <x:v>46387</x:v>
      </x:c>
      <x:c r="AN402" s="15" t="str">
        <x:v>Мости / інфраструктура</x:v>
      </x:c>
      <x:c r="AO402" s="15" t="str">
        <x:v>not_found_in_top_search</x:v>
      </x:c>
    </x:row>
    <x:row r="403">
      <x:c r="A403" s="14" t="str">
        <x:v>W3-131</x:v>
      </x:c>
      <x:c r="B403" s="14" t="str">
        <x:v>Prozorro winners — 24.08</x:v>
      </x:c>
      <x:c r="C403" s="14" t="str">
        <x:v>ПАВЛЕНКО ВОЛОДИМИР ЯКОВИЧ</x:v>
      </x:c>
      <x:c r="D403" s="14" t="str">
        <x:v>Газопостачання / котельні</x:v>
      </x:c>
      <x:c r="E403" s="14" t="str">
        <x:v>Expansion discovery</x:v>
      </x:c>
      <x:c r="F403" s="17" t="str">
        <x:v>D3</x:v>
      </x:c>
      <x:c r="G403" s="14" t="str"/>
      <x:c r="H403" s="14" t="str">
        <x:v>Discovery розширення — 2 тижні</x:v>
      </x:c>
      <x:c r="I403" s="16" t="n">
        <x:v>1</x:v>
      </x:c>
      <x:c r="J403" s="16" t="n">
        <x:v>5</x:v>
      </x:c>
      <x:c r="K403" s="16" t="n">
        <x:v>4</x:v>
      </x:c>
      <x:c r="L403" s="16" t="n">
        <x:v>2</x:v>
      </x:c>
      <x:c r="M403" s="16" t="n">
        <x:v>5</x:v>
      </x:c>
      <x:c r="N403" s="16" t="n">
        <x:v>3</x:v>
      </x:c>
      <x:c r="O403" s="16" t="n">
        <x:v>5</x:v>
      </x:c>
      <x:c r="P403" s="16" t="n">
        <x:f>IF(COUNT(I403:O403)&lt;7,"",I403*8+J403*3+K403*2+L403*2+M403*2+N403*2+O403)</x:f>
        <x:v>56</x:v>
      </x:c>
      <x:c r="Q403" s="16" t="n">
        <x:f>IF(COUNT(J403:O403)&lt;6,"",J403*5+K403*4+M403*4+L403*3+N403*2+O403*2)</x:f>
        <x:v>83</x:v>
      </x:c>
      <x:c r="R403" s="14" t="str">
        <x:v>high</x:v>
      </x:c>
      <x:c r="S403" s="14" t="str">
        <x:v>official_prozorro_award_2025_2026</x:v>
      </x:c>
      <x:c r="T403" s="14" t="str">
        <x:v>official_prozorro_api</x:v>
      </x:c>
      <x:c r="U403" s="14" t="str">
        <x:v>Не контактували</x:v>
      </x:c>
      <x:c r="V403" s="15" t="str">
        <x:v>Workflow-audit outreach по UA-2026-07-03-007395-a; попросити 1 пакет здачі та вимоги проєкту</x:v>
      </x:c>
      <x:c r="W403" s="15" t="str">
        <x:v>Власник / виконавець; відповідальний за договір</x:v>
      </x:c>
      <x:c r="X403" s="15" t="str">
        <x:v>2 підтверджених перемог/договорів у Prozorro на 207 978 грн; 2 проєктів зі строком виконання не раніше 24.08.2026.</x:v>
      </x:c>
      <x:c r="Y403"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 строк до 2026-09-01. Попросити один знеособлений пакет здачі за цим workflow.</x:v>
      </x:c>
      <x:c r="Z403" s="15" t="str">
        <x:v>https://prozorro.gov.ua/tender/UA-2026-07-03-007395-a</x:v>
      </x:c>
      <x:c r="AA403" s="14" t="str">
        <x:v>2332113210</x:v>
      </x:c>
      <x:c r="AB403" s="14" t="str">
        <x:v>2026-08-24</x:v>
      </x:c>
      <x:c r="AC403" s="14" t="str"/>
      <x:c r="AD403" s="20" t="str"/>
      <x:c r="AE403" s="14" t="str"/>
      <x:c r="AF403" s="14" t="n">
        <x:v>57</x:v>
      </x:c>
      <x:c r="AG403" s="14" t="str">
        <x:v>I3</x:v>
      </x:c>
      <x:c r="AH403" s="14" t="n">
        <x:v>2</x:v>
      </x:c>
      <x:c r="AI403" s="14" t="n">
        <x:v>2</x:v>
      </x:c>
      <x:c r="AJ403" s="18" t="n">
        <x:v>207977.5</x:v>
      </x:c>
      <x:c r="AK403" s="14" t="str">
        <x:v>https://prozorro.gov.ua/tender/UA-2026-07-03-007395-a</x:v>
      </x:c>
      <x:c r="AL403" s="19" t="n">
        <x:v>46206.48941188657</x:v>
      </x:c>
      <x:c r="AM403" s="19" t="n">
        <x:v>46266</x:v>
      </x:c>
      <x:c r="AN403" s="15" t="str">
        <x:v>Газопостачання / котельні</x:v>
      </x:c>
      <x:c r="AO403" s="15" t="str">
        <x:v>not_found_in_top_search</x:v>
      </x:c>
    </x:row>
    <x:row r="404">
      <x:c r="A404" s="14" t="str">
        <x:v>W3-132</x:v>
      </x:c>
      <x:c r="B404" s="14" t="str">
        <x:v>Prozorro winners — 24.08</x:v>
      </x:c>
      <x:c r="C404" s="14" t="str">
        <x:v>ФОП Штандель Сергій Олегович</x:v>
      </x:c>
      <x:c r="D404" s="14" t="str">
        <x:v>Теплові мережі</x:v>
      </x:c>
      <x:c r="E404" s="14" t="str">
        <x:v>Expansion discovery</x:v>
      </x:c>
      <x:c r="F404" s="17" t="str">
        <x:v>D3</x:v>
      </x:c>
      <x:c r="G404" s="14" t="str"/>
      <x:c r="H404" s="14" t="str">
        <x:v>Discovery розширення — 2 тижні</x:v>
      </x:c>
      <x:c r="I404" s="16" t="n">
        <x:v>1</x:v>
      </x:c>
      <x:c r="J404" s="16" t="n">
        <x:v>5</x:v>
      </x:c>
      <x:c r="K404" s="16" t="n">
        <x:v>4</x:v>
      </x:c>
      <x:c r="L404" s="16" t="n">
        <x:v>2</x:v>
      </x:c>
      <x:c r="M404" s="16" t="n">
        <x:v>5</x:v>
      </x:c>
      <x:c r="N404" s="16" t="n">
        <x:v>3</x:v>
      </x:c>
      <x:c r="O404" s="16" t="n">
        <x:v>5</x:v>
      </x:c>
      <x:c r="P404" s="16" t="n">
        <x:f>IF(COUNT(I404:O404)&lt;7,"",I404*8+J404*3+K404*2+L404*2+M404*2+N404*2+O404)</x:f>
        <x:v>56</x:v>
      </x:c>
      <x:c r="Q404" s="16" t="n">
        <x:f>IF(COUNT(J404:O404)&lt;6,"",J404*5+K404*4+M404*4+L404*3+N404*2+O404*2)</x:f>
        <x:v>83</x:v>
      </x:c>
      <x:c r="R404" s="14" t="str">
        <x:v>high</x:v>
      </x:c>
      <x:c r="S404" s="14" t="str">
        <x:v>official_prozorro_award_2025_2026</x:v>
      </x:c>
      <x:c r="T404" s="14" t="str">
        <x:v>official_prozorro_api</x:v>
      </x:c>
      <x:c r="U404" s="14" t="str">
        <x:v>Не контактували</x:v>
      </x:c>
      <x:c r="V404" s="15" t="str">
        <x:v>Workflow-audit outreach по UA-2026-07-06-004888-a; попросити 1 пакет здачі та вимоги проєкту</x:v>
      </x:c>
      <x:c r="W404" s="15" t="str">
        <x:v>Власник / виконавець; відповідальний за договір</x:v>
      </x:c>
      <x:c r="X404" s="15" t="str">
        <x:v>2 підтверджених перемог/договорів у Prozorro на 187 697 грн; 2 проєктів зі строком виконання не раніше 24.08.2026.</x:v>
      </x:c>
      <x:c r="Y404" s="15" t="str">
        <x:v>Технічний нагляд за об’єктом: «Реконструкція ділянки теплової мережі ТК19-ТК20 від котельні по вул. Монастирська, 6 в м. Полтава»; строк до 2026-12-31. Попросити один знеособлений пакет здачі за цим workflow.</x:v>
      </x:c>
      <x:c r="Z404" s="15" t="str">
        <x:v>https://prozorro.gov.ua/tender/UA-2026-07-06-004888-a</x:v>
      </x:c>
      <x:c r="AA404" s="14" t="str">
        <x:v>2601704198</x:v>
      </x:c>
      <x:c r="AB404" s="14" t="str">
        <x:v>2026-08-24</x:v>
      </x:c>
      <x:c r="AC404" s="14" t="str"/>
      <x:c r="AD404" s="20" t="str"/>
      <x:c r="AE404" s="14" t="str"/>
      <x:c r="AF404" s="14" t="n">
        <x:v>57</x:v>
      </x:c>
      <x:c r="AG404" s="14" t="str">
        <x:v>I3</x:v>
      </x:c>
      <x:c r="AH404" s="14" t="n">
        <x:v>2</x:v>
      </x:c>
      <x:c r="AI404" s="14" t="n">
        <x:v>2</x:v>
      </x:c>
      <x:c r="AJ404" s="18" t="n">
        <x:v>187696.97</x:v>
      </x:c>
      <x:c r="AK404" s="14" t="str">
        <x:v>https://prozorro.gov.ua/tender/UA-2026-07-06-004888-a</x:v>
      </x:c>
      <x:c r="AL404" s="19" t="n">
        <x:v>46209.42884983796</x:v>
      </x:c>
      <x:c r="AM404" s="19" t="n">
        <x:v>46387.472766203704</x:v>
      </x:c>
      <x:c r="AN404" s="15" t="str">
        <x:v>Теплові мережі</x:v>
      </x:c>
      <x:c r="AO404" s="15" t="str">
        <x:v>not_found_in_top_search</x:v>
      </x:c>
    </x:row>
    <x:row r="405">
      <x:c r="A405" s="14" t="str">
        <x:v>W3-133</x:v>
      </x:c>
      <x:c r="B405" s="14" t="str">
        <x:v>Prozorro winners — 24.08</x:v>
      </x:c>
      <x:c r="C405" s="14" t="str">
        <x:v>КУРІЛЕЦЬ СЕРГІЙ БОГДАНОВИЧ</x:v>
      </x:c>
      <x:c r="D405" s="14" t="str">
        <x:v>Безпека / СКУД / CCTV</x:v>
      </x:c>
      <x:c r="E405" s="14" t="str">
        <x:v>Expansion discovery</x:v>
      </x:c>
      <x:c r="F405" s="17" t="str">
        <x:v>D3</x:v>
      </x:c>
      <x:c r="G405" s="14" t="str"/>
      <x:c r="H405" s="14" t="str">
        <x:v>Discovery розширення — 2 тижні</x:v>
      </x:c>
      <x:c r="I405" s="16" t="n">
        <x:v>1</x:v>
      </x:c>
      <x:c r="J405" s="16" t="n">
        <x:v>5</x:v>
      </x:c>
      <x:c r="K405" s="16" t="n">
        <x:v>4</x:v>
      </x:c>
      <x:c r="L405" s="16" t="n">
        <x:v>2</x:v>
      </x:c>
      <x:c r="M405" s="16" t="n">
        <x:v>5</x:v>
      </x:c>
      <x:c r="N405" s="16" t="n">
        <x:v>3</x:v>
      </x:c>
      <x:c r="O405" s="16" t="n">
        <x:v>5</x:v>
      </x:c>
      <x:c r="P405" s="16" t="n">
        <x:f>IF(COUNT(I405:O405)&lt;7,"",I405*8+J405*3+K405*2+L405*2+M405*2+N405*2+O405)</x:f>
        <x:v>56</x:v>
      </x:c>
      <x:c r="Q405" s="16" t="n">
        <x:f>IF(COUNT(J405:O405)&lt;6,"",J405*5+K405*4+M405*4+L405*3+N405*2+O405*2)</x:f>
        <x:v>83</x:v>
      </x:c>
      <x:c r="R405" s="14" t="str">
        <x:v>high</x:v>
      </x:c>
      <x:c r="S405" s="14" t="str">
        <x:v>official_prozorro_award_2025_2026</x:v>
      </x:c>
      <x:c r="T405" s="14" t="str">
        <x:v>official_prozorro_api</x:v>
      </x:c>
      <x:c r="U405" s="14" t="str">
        <x:v>Не контактували</x:v>
      </x:c>
      <x:c r="V405" s="15" t="str">
        <x:v>Workflow-audit outreach по UA-2026-06-15-013408-a; попросити 1 пакет здачі та вимоги проєкту</x:v>
      </x:c>
      <x:c r="W405" s="15" t="str">
        <x:v>Власник / виконавець; відповідальний за договір</x:v>
      </x:c>
      <x:c r="X405" s="15" t="str">
        <x:v>2 підтверджених перемог/договорів у Prozorro на 123 196 грн; 2 проєктів зі строком виконання не раніше 24.08.2026.</x:v>
      </x:c>
      <x:c r="Y405" s="15" t="str">
        <x:v>Послуги з монтажу та налаштування системи відеоспостереження; строк до 2026-12-31. Попросити один знеособлений пакет здачі за цим workflow.</x:v>
      </x:c>
      <x:c r="Z405" s="15" t="str">
        <x:v>https://prozorro.gov.ua/tender/UA-2026-06-15-013408-a</x:v>
      </x:c>
      <x:c r="AA405" s="14" t="str">
        <x:v>3019912477</x:v>
      </x:c>
      <x:c r="AB405" s="14" t="str">
        <x:v>2026-08-24</x:v>
      </x:c>
      <x:c r="AC405" s="14" t="str"/>
      <x:c r="AD405" s="20" t="str"/>
      <x:c r="AE405" s="14" t="str"/>
      <x:c r="AF405" s="14" t="n">
        <x:v>57</x:v>
      </x:c>
      <x:c r="AG405" s="14" t="str">
        <x:v>I3</x:v>
      </x:c>
      <x:c r="AH405" s="14" t="n">
        <x:v>2</x:v>
      </x:c>
      <x:c r="AI405" s="14" t="n">
        <x:v>2</x:v>
      </x:c>
      <x:c r="AJ405" s="18" t="n">
        <x:v>123196</x:v>
      </x:c>
      <x:c r="AK405" s="14" t="str">
        <x:v>https://prozorro.gov.ua/tender/UA-2026-06-15-013408-a</x:v>
      </x:c>
      <x:c r="AL405" s="19" t="n">
        <x:v>46188.78293744213</x:v>
      </x:c>
      <x:c r="AM405" s="19" t="n">
        <x:v>46387</x:v>
      </x:c>
      <x:c r="AN405" s="15" t="str">
        <x:v>Безпека / СКУД / CCTV</x:v>
      </x:c>
      <x:c r="AO405" s="15" t="str">
        <x:v>not_found_in_top_search</x:v>
      </x:c>
    </x:row>
    <x:row r="406">
      <x:c r="A406" s="14" t="str">
        <x:v>W3-134</x:v>
      </x:c>
      <x:c r="B406" s="14" t="str">
        <x:v>Prozorro winners — 24.08</x:v>
      </x:c>
      <x:c r="C406" s="14" t="str">
        <x:v>Фізична особа-підприємець Сойка Дарія Олегівна</x:v>
      </x:c>
      <x:c r="D406" s="14" t="str">
        <x:v>HVAC / ОВіК</x:v>
      </x:c>
      <x:c r="E406" s="14" t="str">
        <x:v>Pilot now</x:v>
      </x:c>
      <x:c r="F406" s="17" t="str">
        <x:v>P3</x:v>
      </x:c>
      <x:c r="G406" s="14" t="str"/>
      <x:c r="H406" s="14" t="str">
        <x:v>Пілот зараз — Н.14</x:v>
      </x:c>
      <x:c r="I406" s="16" t="n">
        <x:v>5</x:v>
      </x:c>
      <x:c r="J406" s="16" t="n">
        <x:v>5</x:v>
      </x:c>
      <x:c r="K406" s="16" t="n">
        <x:v>5</x:v>
      </x:c>
      <x:c r="L406" s="16" t="n">
        <x:v>2</x:v>
      </x:c>
      <x:c r="M406" s="16" t="n">
        <x:v>5</x:v>
      </x:c>
      <x:c r="N406" s="16" t="n">
        <x:v>3</x:v>
      </x:c>
      <x:c r="O406" s="16" t="n">
        <x:v>5</x:v>
      </x:c>
      <x:c r="P406" s="16" t="n">
        <x:f>IF(COUNT(I406:O406)&lt;7,"",I406*8+J406*3+K406*2+L406*2+M406*2+N406*2+O406)</x:f>
        <x:v>90</x:v>
      </x:c>
      <x:c r="Q406" s="16" t="n">
        <x:f>IF(COUNT(J406:O406)&lt;6,"",J406*5+K406*4+M406*4+L406*3+N406*2+O406*2)</x:f>
        <x:v>87</x:v>
      </x:c>
      <x:c r="R406" s="14" t="str">
        <x:v>high</x:v>
      </x:c>
      <x:c r="S406" s="14" t="str">
        <x:v>official_prozorro_award_2025_2026</x:v>
      </x:c>
      <x:c r="T406" s="14" t="str">
        <x:v>official_prozorro_api</x:v>
      </x:c>
      <x:c r="U406" s="14" t="str">
        <x:v>Не контактували</x:v>
      </x:c>
      <x:c r="V406" s="15" t="str">
        <x:v>Персоналізований free-pilot outreach по UA-2026-05-06-007489-a; попросити 1 пакет Н.14/Н.15</x:v>
      </x:c>
      <x:c r="W406" s="15" t="str">
        <x:v>Власник / виконавець; відповідальний за договір</x:v>
      </x:c>
      <x:c r="X406" s="15" t="str">
        <x:v>2 підтверджених перемог/договорів у Prozorro на 107 000 грн; 2 проєктів зі строком виконання не раніше 24.08.2026.</x:v>
      </x:c>
      <x:c r="Y406"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06" s="15" t="str">
        <x:v>https://prozorro.gov.ua/tender/UA-2026-05-06-007489-a</x:v>
      </x:c>
      <x:c r="AA406" s="14" t="str">
        <x:v>3503506967</x:v>
      </x:c>
      <x:c r="AB406" s="14" t="str">
        <x:v>2026-08-24</x:v>
      </x:c>
      <x:c r="AC406" s="14" t="str"/>
      <x:c r="AD406" s="20" t="str"/>
      <x:c r="AE406" s="14" t="str"/>
      <x:c r="AF406" s="14" t="n">
        <x:v>57</x:v>
      </x:c>
      <x:c r="AG406" s="14" t="str">
        <x:v>I3</x:v>
      </x:c>
      <x:c r="AH406" s="14" t="n">
        <x:v>2</x:v>
      </x:c>
      <x:c r="AI406" s="14" t="n">
        <x:v>2</x:v>
      </x:c>
      <x:c r="AJ406" s="18" t="n">
        <x:v>107000</x:v>
      </x:c>
      <x:c r="AK406" s="14" t="str">
        <x:v>https://prozorro.gov.ua/tender/UA-2026-05-06-007489-a</x:v>
      </x:c>
      <x:c r="AL406" s="19" t="n">
        <x:v>46148.43676380787</x:v>
      </x:c>
      <x:c r="AM406" s="19" t="n">
        <x:v>46387</x:v>
      </x:c>
      <x:c r="AN406" s="15" t="str">
        <x:v>HVAC / ОВіК</x:v>
      </x:c>
      <x:c r="AO406" s="15" t="str">
        <x:v>not_found_in_top_search</x:v>
      </x:c>
    </x:row>
    <x:row r="407">
      <x:c r="A407" s="14" t="str">
        <x:v>W3-135</x:v>
      </x:c>
      <x:c r="B407" s="14" t="str">
        <x:v>Prozorro winners — 24.08</x:v>
      </x:c>
      <x:c r="C407" s="14" t="str">
        <x:v>ТОВАРИСТВО З ОБМЕЖЕНОЮ ВІДПОВІДАЛЬНІСТЮ "ПРОМТЕПЛОТЕХСЕРВІС"</x:v>
      </x:c>
      <x:c r="D407" s="14" t="str">
        <x:v>Газопостачання / котельні</x:v>
      </x:c>
      <x:c r="E407" s="14" t="str">
        <x:v>Expansion discovery</x:v>
      </x:c>
      <x:c r="F407" s="17" t="str">
        <x:v>D3</x:v>
      </x:c>
      <x:c r="G407" s="14" t="str"/>
      <x:c r="H407" s="14" t="str">
        <x:v>Discovery розширення — 2 тижні</x:v>
      </x:c>
      <x:c r="I407" s="16" t="n">
        <x:v>1</x:v>
      </x:c>
      <x:c r="J407" s="16" t="n">
        <x:v>5</x:v>
      </x:c>
      <x:c r="K407" s="16" t="n">
        <x:v>4</x:v>
      </x:c>
      <x:c r="L407" s="16" t="n">
        <x:v>1</x:v>
      </x:c>
      <x:c r="M407" s="16" t="n">
        <x:v>5</x:v>
      </x:c>
      <x:c r="N407" s="16" t="n">
        <x:v>5</x:v>
      </x:c>
      <x:c r="O407" s="16" t="n">
        <x:v>5</x:v>
      </x:c>
      <x:c r="P407" s="16" t="n">
        <x:f>IF(COUNT(I407:O407)&lt;7,"",I407*8+J407*3+K407*2+L407*2+M407*2+N407*2+O407)</x:f>
        <x:v>58</x:v>
      </x:c>
      <x:c r="Q407" s="16" t="n">
        <x:f>IF(COUNT(J407:O407)&lt;6,"",J407*5+K407*4+M407*4+L407*3+N407*2+O407*2)</x:f>
        <x:v>84</x:v>
      </x:c>
      <x:c r="R407" s="14" t="str">
        <x:v>high</x:v>
      </x:c>
      <x:c r="S407" s="14" t="str">
        <x:v>official_prozorro_award_2025_2026</x:v>
      </x:c>
      <x:c r="T407" s="14" t="str">
        <x:v>official_prozorro_api</x:v>
      </x:c>
      <x:c r="U407" s="14" t="str">
        <x:v>Не контактували</x:v>
      </x:c>
      <x:c r="V407" s="15" t="str">
        <x:v>Workflow-audit outreach по UA-2026-08-06-005202-a; попросити 1 пакет здачі та вимоги проєкту</x:v>
      </x:c>
      <x:c r="W407" s="15" t="str">
        <x:v>Власник / директор; керівник ПТО; відповідальний за договори</x:v>
      </x:c>
      <x:c r="X407" s="15" t="str">
        <x:v>3 підтверджених перемог/договорів у Prozorro на 26 130 грн; 0 проєктів зі строком виконання не раніше 24.08.2026.</x:v>
      </x:c>
      <x:c r="Y407" s="15" t="str">
        <x:v>демонтаж,підготовка до повірки, повірка та монтаж приладів КВПіА - 6 штук, встановлених в котельні ; строк до 2026-08-20. Попросити один знеособлений пакет здачі за цим workflow.</x:v>
      </x:c>
      <x:c r="Z407" s="15" t="str">
        <x:v>https://prozorro.gov.ua/tender/UA-2026-08-06-005202-a</x:v>
      </x:c>
      <x:c r="AA407" s="14" t="str">
        <x:v>37087967</x:v>
      </x:c>
      <x:c r="AB407" s="14" t="str">
        <x:v>2026-08-24</x:v>
      </x:c>
      <x:c r="AC407" s="14" t="str"/>
      <x:c r="AD407" s="20" t="str"/>
      <x:c r="AE407" s="14" t="str"/>
      <x:c r="AF407" s="14" t="n">
        <x:v>57</x:v>
      </x:c>
      <x:c r="AG407" s="14" t="str">
        <x:v>I3</x:v>
      </x:c>
      <x:c r="AH407" s="14" t="n">
        <x:v>3</x:v>
      </x:c>
      <x:c r="AI407" s="14" t="n">
        <x:v>0</x:v>
      </x:c>
      <x:c r="AJ407" s="18" t="n">
        <x:v>26130</x:v>
      </x:c>
      <x:c r="AK407" s="14" t="str">
        <x:v>https://prozorro.gov.ua/tender/UA-2026-08-06-005202-a</x:v>
      </x:c>
      <x:c r="AL407" s="19" t="n">
        <x:v>46240.39848201389</x:v>
      </x:c>
      <x:c r="AM407" s="19" t="n">
        <x:v>46254</x:v>
      </x:c>
      <x:c r="AN407" s="15" t="str">
        <x:v>Газопостачання / котельні</x:v>
      </x:c>
      <x:c r="AO407" s="15" t="str">
        <x:v>not_found_in_top_search</x:v>
      </x:c>
    </x:row>
    <x:row r="408">
      <x:c r="A408" s="14" t="str">
        <x:v>W3-136</x:v>
      </x:c>
      <x:c r="B408" s="14" t="str">
        <x:v>Prozorro winners — 24.08</x:v>
      </x:c>
      <x:c r="C408" s="14" t="str">
        <x:v>ТОВАРИСТВО З ОБМЕЖЕНОЮ ВІДПОВІДАЛЬНІСТЮ "БУДІВЕЛЬНА ФІРМА "БУД ГРУПП"</x:v>
      </x:c>
      <x:c r="D408" s="14" t="str">
        <x:v>Теплові мережі</x:v>
      </x:c>
      <x:c r="E408" s="14" t="str">
        <x:v>Expansion discovery</x:v>
      </x:c>
      <x:c r="F408" s="17" t="str">
        <x:v>D3</x:v>
      </x:c>
      <x:c r="G408" s="14" t="str"/>
      <x:c r="H408" s="14" t="str">
        <x:v>Discovery розширення — 2 тижні</x:v>
      </x:c>
      <x:c r="I408" s="16" t="n">
        <x:v>1</x:v>
      </x:c>
      <x:c r="J408" s="16" t="n">
        <x:v>5</x:v>
      </x:c>
      <x:c r="K408" s="16" t="n">
        <x:v>4</x:v>
      </x:c>
      <x:c r="L408" s="16" t="n">
        <x:v>2</x:v>
      </x:c>
      <x:c r="M408" s="16" t="n">
        <x:v>5</x:v>
      </x:c>
      <x:c r="N408" s="16" t="n">
        <x:v>5</x:v>
      </x:c>
      <x:c r="O408" s="16" t="n">
        <x:v>5</x:v>
      </x:c>
      <x:c r="P408" s="16" t="n">
        <x:f>IF(COUNT(I408:O408)&lt;7,"",I408*8+J408*3+K408*2+L408*2+M408*2+N408*2+O408)</x:f>
        <x:v>60</x:v>
      </x:c>
      <x:c r="Q408" s="16" t="n">
        <x:f>IF(COUNT(J408:O408)&lt;6,"",J408*5+K408*4+M408*4+L408*3+N408*2+O408*2)</x:f>
        <x:v>87</x:v>
      </x:c>
      <x:c r="R408" s="14" t="str">
        <x:v>high</x:v>
      </x:c>
      <x:c r="S408" s="14" t="str">
        <x:v>official_prozorro_award_2025_2026</x:v>
      </x:c>
      <x:c r="T408" s="14" t="str">
        <x:v>official_prozorro_api</x:v>
      </x:c>
      <x:c r="U408" s="14" t="str">
        <x:v>Не контактували</x:v>
      </x:c>
      <x:c r="V408" s="15" t="str">
        <x:v>Повторне звернення з новим тендерним сигналом UA-2026-04-22-015319-a; попросити 1 пакет здачі</x:v>
      </x:c>
      <x:c r="W408" s="15" t="str">
        <x:v>Власник / директор; керівник ПТО; відповідальний за договори</x:v>
      </x:c>
      <x:c r="X408" s="15" t="str">
        <x:v>1 підтверджених перемог/договорів у Prozorro на 496 243 грн; 1 проєктів зі строком виконання не раніше 24.08.2026.</x:v>
      </x:c>
      <x:c r="Y408" s="15" t="str">
        <x:v>«Реконструкція (відновлення) теплової мережі тепломагістралі №32 на ділянці в районі ТК 3201Г вздовж проспекту Індустріального у м. Харкові. (інв. №0304269)»(код ДК: 021:2015-45454000-4-Реконструкція); строк до 2026-09-18. Попросити один знеособлений пакет здачі за цим workflow.</x:v>
      </x:c>
      <x:c r="Z408" s="15" t="str">
        <x:v>https://prozorro.gov.ua/tender/UA-2026-08-21-005103-a</x:v>
      </x:c>
      <x:c r="AA408" s="14" t="str">
        <x:v>40703020</x:v>
      </x:c>
      <x:c r="AB408" s="14" t="str">
        <x:v>2026-08-24</x:v>
      </x:c>
      <x:c r="AC408" s="14" t="str"/>
      <x:c r="AD408" s="20" t="str"/>
      <x:c r="AE408" s="14" t="str"/>
      <x:c r="AF408" s="14" t="n">
        <x:v>62</x:v>
      </x:c>
      <x:c r="AG408" s="14" t="str">
        <x:v>I2</x:v>
      </x:c>
      <x:c r="AH408" s="14" t="n">
        <x:v>2</x:v>
      </x:c>
      <x:c r="AI408" s="14" t="n">
        <x:v>2</x:v>
      </x:c>
      <x:c r="AJ408" s="18" t="n">
        <x:v>22486492.53</x:v>
      </x:c>
      <x:c r="AK408" s="14" t="str">
        <x:v>https://prozorro.gov.ua/tender/UA-2026-04-22-015319-a</x:v>
      </x:c>
      <x:c r="AL408" s="19" t="n">
        <x:v>46154.606024305554</x:v>
      </x:c>
      <x:c r="AM408" s="19" t="n">
        <x:v>46356.916655092595</x:v>
      </x:c>
      <x:c r="AN408" s="15" t="str">
        <x:v>Теплові мережі</x:v>
      </x:c>
      <x:c r="AO408" s="15" t="str">
        <x:v>not_found_in_top_search</x:v>
      </x:c>
    </x:row>
    <x:row r="409">
      <x:c r="A409" s="14" t="str">
        <x:v>W3-137</x:v>
      </x:c>
      <x:c r="B409" s="14" t="str">
        <x:v>Prozorro winners — 24.08</x:v>
      </x:c>
      <x:c r="C409" s="14" t="str">
        <x:v>ТОВ "КОМПАНІЯ ТЕРА-БУД"</x:v>
      </x:c>
      <x:c r="D409" s="14" t="str">
        <x:v>Резервне живлення</x:v>
      </x:c>
      <x:c r="E409" s="14" t="str">
        <x:v>Expansion discovery</x:v>
      </x:c>
      <x:c r="F409" s="17" t="str">
        <x:v>D3</x:v>
      </x:c>
      <x:c r="G409" s="14" t="str"/>
      <x:c r="H409" s="14" t="str">
        <x:v>Discovery розширення — 2 тижні</x:v>
      </x:c>
      <x:c r="I409" s="16" t="n">
        <x:v>1</x:v>
      </x:c>
      <x:c r="J409" s="16" t="n">
        <x:v>5</x:v>
      </x:c>
      <x:c r="K409" s="16" t="n">
        <x:v>4</x:v>
      </x:c>
      <x:c r="L409" s="16" t="n">
        <x:v>2</x:v>
      </x:c>
      <x:c r="M409" s="16" t="n">
        <x:v>5</x:v>
      </x:c>
      <x:c r="N409" s="16" t="n">
        <x:v>5</x:v>
      </x:c>
      <x:c r="O409" s="16" t="n">
        <x:v>5</x:v>
      </x:c>
      <x:c r="P409" s="16" t="n">
        <x:f>IF(COUNT(I409:O409)&lt;7,"",I409*8+J409*3+K409*2+L409*2+M409*2+N409*2+O409)</x:f>
        <x:v>60</x:v>
      </x:c>
      <x:c r="Q409" s="16" t="n">
        <x:f>IF(COUNT(J409:O409)&lt;6,"",J409*5+K409*4+M409*4+L409*3+N409*2+O409*2)</x:f>
        <x:v>87</x:v>
      </x:c>
      <x:c r="R409" s="14" t="str">
        <x:v>high</x:v>
      </x:c>
      <x:c r="S409" s="14" t="str">
        <x:v>official_prozorro_award_2025_2026</x:v>
      </x:c>
      <x:c r="T409" s="14" t="str">
        <x:v>official_prozorro_api</x:v>
      </x:c>
      <x:c r="U409" s="14" t="str">
        <x:v>Не контактували</x:v>
      </x:c>
      <x:c r="V409" s="15" t="str">
        <x:v>Workflow-audit outreach по UA-2026-06-30-009773-a; попросити 1 пакет здачі та вимоги проєкту</x:v>
      </x:c>
      <x:c r="W409" s="15" t="str">
        <x:v>Власник / директор; керівник ПТО; відповідальний за договори</x:v>
      </x:c>
      <x:c r="X409" s="15" t="str">
        <x:v>1 підтверджених перемог/договорів у Prozorro на 493 087 грн; 1 проєктів зі строком виконання не раніше 24.08.2026.</x:v>
      </x:c>
      <x:c r="Y409"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 строк до 2026-09-30. Попросити один знеособлений пакет здачі за цим workflow.</x:v>
      </x:c>
      <x:c r="Z409" s="15" t="str">
        <x:v>https://prozorro.gov.ua/tender/UA-2026-06-30-009773-a</x:v>
      </x:c>
      <x:c r="AA409" s="14" t="str">
        <x:v>41405937</x:v>
      </x:c>
      <x:c r="AB409" s="14" t="str">
        <x:v>2026-08-24</x:v>
      </x:c>
      <x:c r="AC409" s="14" t="str"/>
      <x:c r="AD409" s="20" t="str"/>
      <x:c r="AE409" s="14" t="str"/>
      <x:c r="AF409" s="14" t="n">
        <x:v>56</x:v>
      </x:c>
      <x:c r="AG409" s="14" t="str">
        <x:v>I3</x:v>
      </x:c>
      <x:c r="AH409" s="14" t="n">
        <x:v>1</x:v>
      </x:c>
      <x:c r="AI409" s="14" t="n">
        <x:v>1</x:v>
      </x:c>
      <x:c r="AJ409" s="18" t="n">
        <x:v>493086.67</x:v>
      </x:c>
      <x:c r="AK409" s="14" t="str">
        <x:v>https://prozorro.gov.ua/tender/UA-2026-06-30-009773-a</x:v>
      </x:c>
      <x:c r="AL409" s="19" t="n">
        <x:v>46218.459691979166</x:v>
      </x:c>
      <x:c r="AM409" s="19" t="n">
        <x:v>46295.50371527778</x:v>
      </x:c>
      <x:c r="AN409" s="15" t="str">
        <x:v>Резервне живлення</x:v>
      </x:c>
      <x:c r="AO409" s="15" t="str">
        <x:v>not_found_in_top_search</x:v>
      </x:c>
    </x:row>
    <x:row r="410">
      <x:c r="A410" s="14" t="str">
        <x:v>W3-138</x:v>
      </x:c>
      <x:c r="B410" s="14" t="str">
        <x:v>Prozorro winners — 24.08</x:v>
      </x:c>
      <x:c r="C410" s="14" t="str">
        <x:v>ТОВАРИСТВО З ДОДАТКОВОЮ ВІДПОВІДАЛЬНІСТЮ "ІНСТИТУТ ДНІПРОДІПРОТРАНС"</x:v>
      </x:c>
      <x:c r="D410" s="14" t="str">
        <x:v>Мости / інфраструктура</x:v>
      </x:c>
      <x:c r="E410" s="14" t="str">
        <x:v>Expansion discovery</x:v>
      </x:c>
      <x:c r="F410" s="17" t="str">
        <x:v>D3</x:v>
      </x:c>
      <x:c r="G410" s="14" t="str"/>
      <x:c r="H410" s="14" t="str">
        <x:v>Discovery розширення — 2 тижні</x:v>
      </x:c>
      <x:c r="I410" s="16" t="n">
        <x:v>1</x:v>
      </x:c>
      <x:c r="J410" s="16" t="n">
        <x:v>5</x:v>
      </x:c>
      <x:c r="K410" s="16" t="n">
        <x:v>4</x:v>
      </x:c>
      <x:c r="L410" s="16" t="n">
        <x:v>2</x:v>
      </x:c>
      <x:c r="M410" s="16" t="n">
        <x:v>5</x:v>
      </x:c>
      <x:c r="N410" s="16" t="n">
        <x:v>5</x:v>
      </x:c>
      <x:c r="O410" s="16" t="n">
        <x:v>5</x:v>
      </x:c>
      <x:c r="P410" s="16" t="n">
        <x:f>IF(COUNT(I410:O410)&lt;7,"",I410*8+J410*3+K410*2+L410*2+M410*2+N410*2+O410)</x:f>
        <x:v>60</x:v>
      </x:c>
      <x:c r="Q410" s="16" t="n">
        <x:f>IF(COUNT(J410:O410)&lt;6,"",J410*5+K410*4+M410*4+L410*3+N410*2+O410*2)</x:f>
        <x:v>87</x:v>
      </x:c>
      <x:c r="R410" s="14" t="str">
        <x:v>high</x:v>
      </x:c>
      <x:c r="S410" s="14" t="str">
        <x:v>official_prozorro_award_2025_2026</x:v>
      </x:c>
      <x:c r="T410" s="14" t="str">
        <x:v>official_prozorro_api</x:v>
      </x:c>
      <x:c r="U410" s="14" t="str">
        <x:v>Не контактували</x:v>
      </x:c>
      <x:c r="V410" s="15" t="str">
        <x:v>Workflow-audit outreach по UA-2026-07-14-009585-a; попросити 1 пакет здачі та вимоги проєкту</x:v>
      </x:c>
      <x:c r="W410" s="15" t="str">
        <x:v>Власник / директор; керівник ПТО; відповідальний за договори</x:v>
      </x:c>
      <x:c r="X410" s="15" t="str">
        <x:v>1 підтверджених перемог/договорів у Prozorro на 469 920 грн; 1 проєктів зі строком виконання не раніше 24.08.2026.</x:v>
      </x:c>
      <x:c r="Y410" s="15" t="str">
        <x:v>Виконання авторського нагляду по об'єкту: «Капітальний ремонт трамвайної лінії на мосту № 1 через р. Дніпро в м. Дніпрі»; строк до 2027-12-31. Попросити один знеособлений пакет здачі за цим workflow.</x:v>
      </x:c>
      <x:c r="Z410" s="15" t="str">
        <x:v>https://prozorro.gov.ua/tender/UA-2026-07-14-009585-a</x:v>
      </x:c>
      <x:c r="AA410" s="14" t="str">
        <x:v>01388420</x:v>
      </x:c>
      <x:c r="AB410" s="14" t="str">
        <x:v>2026-08-24</x:v>
      </x:c>
      <x:c r="AC410" s="14" t="str"/>
      <x:c r="AD410" s="20" t="str"/>
      <x:c r="AE410" s="14" t="str"/>
      <x:c r="AF410" s="14" t="n">
        <x:v>56</x:v>
      </x:c>
      <x:c r="AG410" s="14" t="str">
        <x:v>I3</x:v>
      </x:c>
      <x:c r="AH410" s="14" t="n">
        <x:v>1</x:v>
      </x:c>
      <x:c r="AI410" s="14" t="n">
        <x:v>1</x:v>
      </x:c>
      <x:c r="AJ410" s="18" t="n">
        <x:v>469920</x:v>
      </x:c>
      <x:c r="AK410" s="14" t="str">
        <x:v>https://prozorro.gov.ua/tender/UA-2026-07-14-009585-a</x:v>
      </x:c>
      <x:c r="AL410" s="19" t="n">
        <x:v>46217.53339412037</x:v>
      </x:c>
      <x:c r="AM410" s="19" t="n">
        <x:v>46752.573333333334</x:v>
      </x:c>
      <x:c r="AN410" s="15" t="str">
        <x:v>Мости / інфраструктура</x:v>
      </x:c>
      <x:c r="AO410" s="15" t="str">
        <x:v>not_found_in_top_search</x:v>
      </x:c>
    </x:row>
    <x:row r="411">
      <x:c r="A411" s="14" t="str">
        <x:v>W3-139</x:v>
      </x:c>
      <x:c r="B411" s="14" t="str">
        <x:v>Prozorro winners — 24.08</x:v>
      </x:c>
      <x:c r="C411" s="14" t="str">
        <x:v>ТОВАРИСТВО З ОБМЕЖЕНОЮ ВІДПОВІДАЛЬНІСТЮ "ШРБУ-48"</x:v>
      </x:c>
      <x:c r="D411" s="14" t="str">
        <x:v>Електромонтаж</x:v>
      </x:c>
      <x:c r="E411" s="14" t="str">
        <x:v>Pilot now</x:v>
      </x:c>
      <x:c r="F411" s="17" t="str">
        <x:v>P3</x:v>
      </x:c>
      <x:c r="G411" s="14" t="str"/>
      <x:c r="H411" s="14" t="str">
        <x:v>Пілот зараз — Н.15</x:v>
      </x:c>
      <x:c r="I411" s="16" t="n">
        <x:v>5</x:v>
      </x:c>
      <x:c r="J411" s="16" t="n">
        <x:v>5</x:v>
      </x:c>
      <x:c r="K411" s="16" t="n">
        <x:v>5</x:v>
      </x:c>
      <x:c r="L411" s="16" t="n">
        <x:v>2</x:v>
      </x:c>
      <x:c r="M411" s="16" t="n">
        <x:v>5</x:v>
      </x:c>
      <x:c r="N411" s="16" t="n">
        <x:v>5</x:v>
      </x:c>
      <x:c r="O411" s="16" t="n">
        <x:v>5</x:v>
      </x:c>
      <x:c r="P411" s="16" t="n">
        <x:f>IF(COUNT(I411:O411)&lt;7,"",I411*8+J411*3+K411*2+L411*2+M411*2+N411*2+O411)</x:f>
        <x:v>94</x:v>
      </x:c>
      <x:c r="Q411" s="16" t="n">
        <x:f>IF(COUNT(J411:O411)&lt;6,"",J411*5+K411*4+M411*4+L411*3+N411*2+O411*2)</x:f>
        <x:v>91</x:v>
      </x:c>
      <x:c r="R411" s="14" t="str">
        <x:v>high</x:v>
      </x:c>
      <x:c r="S411" s="14" t="str">
        <x:v>official_prozorro_award_2025_2026</x:v>
      </x:c>
      <x:c r="T411" s="14" t="str">
        <x:v>official_prozorro_api</x:v>
      </x:c>
      <x:c r="U411" s="14" t="str">
        <x:v>Не контактували</x:v>
      </x:c>
      <x:c r="V411" s="15" t="str">
        <x:v>Персоналізований free-pilot outreach по UA-2026-08-06-007672-a; попросити 1 пакет Н.14/Н.15</x:v>
      </x:c>
      <x:c r="W411" s="15" t="str">
        <x:v>Власник / директор; керівник ПТО; відповідальний за договори</x:v>
      </x:c>
      <x:c r="X411" s="15" t="str">
        <x:v>1 підтверджених перемог/договорів у Prozorro на 460 954 грн; 1 проєктів зі строком виконання не раніше 24.08.2026.</x:v>
      </x:c>
      <x:c r="Y411"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 строк до 2026-11-02. Попросити один знеособлений пакет здачі за цим workflow.</x:v>
      </x:c>
      <x:c r="Z411" s="15" t="str">
        <x:v>https://prozorro.gov.ua/tender/UA-2026-08-06-007672-a</x:v>
      </x:c>
      <x:c r="AA411" s="14" t="str">
        <x:v>39835082</x:v>
      </x:c>
      <x:c r="AB411" s="14" t="str">
        <x:v>2026-08-24</x:v>
      </x:c>
      <x:c r="AC411" s="14" t="str"/>
      <x:c r="AD411" s="20" t="str"/>
      <x:c r="AE411" s="14" t="str"/>
      <x:c r="AF411" s="14" t="n">
        <x:v>56</x:v>
      </x:c>
      <x:c r="AG411" s="14" t="str">
        <x:v>I3</x:v>
      </x:c>
      <x:c r="AH411" s="14" t="n">
        <x:v>1</x:v>
      </x:c>
      <x:c r="AI411" s="14" t="n">
        <x:v>1</x:v>
      </x:c>
      <x:c r="AJ411" s="18" t="n">
        <x:v>460953.83</x:v>
      </x:c>
      <x:c r="AK411" s="14" t="str">
        <x:v>https://prozorro.gov.ua/tender/UA-2026-08-06-007672-a</x:v>
      </x:c>
      <x:c r="AL411" s="19" t="n">
        <x:v>46240.48546009259</x:v>
      </x:c>
      <x:c r="AM411" s="19" t="n">
        <x:v>46328</x:v>
      </x:c>
      <x:c r="AN411" s="15" t="str">
        <x:v>Електромонтаж</x:v>
      </x:c>
      <x:c r="AO411" s="15" t="str">
        <x:v>not_found_in_top_search</x:v>
      </x:c>
    </x:row>
    <x:row r="412">
      <x:c r="A412" s="14" t="str">
        <x:v>W3-140</x:v>
      </x:c>
      <x:c r="B412" s="14" t="str">
        <x:v>Prozorro winners — 24.08</x:v>
      </x:c>
      <x:c r="C412" s="14" t="str">
        <x:v>ТОВАРИСТВО З ОБМЕЖЕНОЮ ВІДПОВІДАЛЬНІСТЮ «ВДАЛИЙ ПРОЕКТ»</x:v>
      </x:c>
      <x:c r="D412" s="14" t="str">
        <x:v>Насосні станції</x:v>
      </x:c>
      <x:c r="E412" s="14" t="str">
        <x:v>Expansion discovery</x:v>
      </x:c>
      <x:c r="F412" s="17" t="str">
        <x:v>D3</x:v>
      </x:c>
      <x:c r="G412" s="14" t="str"/>
      <x:c r="H412" s="14" t="str">
        <x:v>Discovery розширення — 2 тижні</x:v>
      </x:c>
      <x:c r="I412" s="16" t="n">
        <x:v>1</x:v>
      </x:c>
      <x:c r="J412" s="16" t="n">
        <x:v>5</x:v>
      </x:c>
      <x:c r="K412" s="16" t="n">
        <x:v>4</x:v>
      </x:c>
      <x:c r="L412" s="16" t="n">
        <x:v>2</x:v>
      </x:c>
      <x:c r="M412" s="16" t="n">
        <x:v>5</x:v>
      </x:c>
      <x:c r="N412" s="16" t="n">
        <x:v>5</x:v>
      </x:c>
      <x:c r="O412" s="16" t="n">
        <x:v>5</x:v>
      </x:c>
      <x:c r="P412" s="16" t="n">
        <x:f>IF(COUNT(I412:O412)&lt;7,"",I412*8+J412*3+K412*2+L412*2+M412*2+N412*2+O412)</x:f>
        <x:v>60</x:v>
      </x:c>
      <x:c r="Q412" s="16" t="n">
        <x:f>IF(COUNT(J412:O412)&lt;6,"",J412*5+K412*4+M412*4+L412*3+N412*2+O412*2)</x:f>
        <x:v>87</x:v>
      </x:c>
      <x:c r="R412" s="14" t="str">
        <x:v>high</x:v>
      </x:c>
      <x:c r="S412" s="14" t="str">
        <x:v>official_prozorro_award_2025_2026</x:v>
      </x:c>
      <x:c r="T412" s="14" t="str">
        <x:v>official_prozorro_api</x:v>
      </x:c>
      <x:c r="U412" s="14" t="str">
        <x:v>Не контактували</x:v>
      </x:c>
      <x:c r="V412" s="15" t="str">
        <x:v>Workflow-audit outreach по UA-2026-07-20-009480-a; попросити 1 пакет здачі та вимоги проєкту</x:v>
      </x:c>
      <x:c r="W412" s="15" t="str">
        <x:v>Власник / директор; керівник ПТО; відповідальний за договори</x:v>
      </x:c>
      <x:c r="X412" s="15" t="str">
        <x:v>1 підтверджених перемог/договорів у Prozorro на 455 649 грн; 1 проєктів зі строком виконання не раніше 24.08.2026.</x:v>
      </x:c>
      <x:c r="Y412"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 строк до 2026-11-05. Попросити один знеособлений пакет здачі за цим workflow.</x:v>
      </x:c>
      <x:c r="Z412" s="15" t="str">
        <x:v>https://prozorro.gov.ua/tender/UA-2026-07-20-009480-a</x:v>
      </x:c>
      <x:c r="AA412" s="14" t="str">
        <x:v>45389868</x:v>
      </x:c>
      <x:c r="AB412" s="14" t="str">
        <x:v>2026-08-24</x:v>
      </x:c>
      <x:c r="AC412" s="14" t="str"/>
      <x:c r="AD412" s="20" t="str"/>
      <x:c r="AE412" s="14" t="str"/>
      <x:c r="AF412" s="14" t="n">
        <x:v>56</x:v>
      </x:c>
      <x:c r="AG412" s="14" t="str">
        <x:v>I3</x:v>
      </x:c>
      <x:c r="AH412" s="14" t="n">
        <x:v>1</x:v>
      </x:c>
      <x:c r="AI412" s="14" t="n">
        <x:v>1</x:v>
      </x:c>
      <x:c r="AJ412" s="18" t="n">
        <x:v>455649</x:v>
      </x:c>
      <x:c r="AK412" s="14" t="str">
        <x:v>https://prozorro.gov.ua/tender/UA-2026-07-20-009480-a</x:v>
      </x:c>
      <x:c r="AL412" s="19" t="n">
        <x:v>46223.55782042824</x:v>
      </x:c>
      <x:c r="AM412" s="19" t="n">
        <x:v>46331</x:v>
      </x:c>
      <x:c r="AN412" s="15" t="str">
        <x:v>Насосні станції</x:v>
      </x:c>
      <x:c r="AO412" s="15" t="str">
        <x:v>not_found_in_top_search</x:v>
      </x:c>
    </x:row>
    <x:row r="413">
      <x:c r="A413" s="14" t="str">
        <x:v>W3-141</x:v>
      </x:c>
      <x:c r="B413" s="14" t="str">
        <x:v>Prozorro winners — 24.08</x:v>
      </x:c>
      <x:c r="C413" s="14" t="str">
        <x:v>ТОВ "ФАЛЬКОН-М"</x:v>
      </x:c>
      <x:c r="D413" s="14" t="str">
        <x:v>Електромонтаж</x:v>
      </x:c>
      <x:c r="E413" s="14" t="str">
        <x:v>Pilot now</x:v>
      </x:c>
      <x:c r="F413" s="17" t="str">
        <x:v>P3</x:v>
      </x:c>
      <x:c r="G413" s="14" t="str">
        <x:v>falcon.net.ua</x:v>
      </x:c>
      <x:c r="H413" s="14" t="str">
        <x:v>Пілот зараз — Н.15</x:v>
      </x:c>
      <x:c r="I413" s="16" t="n">
        <x:v>5</x:v>
      </x:c>
      <x:c r="J413" s="16" t="n">
        <x:v>5</x:v>
      </x:c>
      <x:c r="K413" s="16" t="n">
        <x:v>5</x:v>
      </x:c>
      <x:c r="L413" s="16" t="n">
        <x:v>2</x:v>
      </x:c>
      <x:c r="M413" s="16" t="n">
        <x:v>5</x:v>
      </x:c>
      <x:c r="N413" s="16" t="n">
        <x:v>5</x:v>
      </x:c>
      <x:c r="O413" s="16" t="n">
        <x:v>5</x:v>
      </x:c>
      <x:c r="P413" s="16" t="n">
        <x:f>IF(COUNT(I413:O413)&lt;7,"",I413*8+J413*3+K413*2+L413*2+M413*2+N413*2+O413)</x:f>
        <x:v>94</x:v>
      </x:c>
      <x:c r="Q413" s="16" t="n">
        <x:f>IF(COUNT(J413:O413)&lt;6,"",J413*5+K413*4+M413*4+L413*3+N413*2+O413*2)</x:f>
        <x:v>91</x:v>
      </x:c>
      <x:c r="R413" s="14" t="str">
        <x:v>high</x:v>
      </x:c>
      <x:c r="S413" s="14" t="str">
        <x:v>official_prozorro_award_2025_2026</x:v>
      </x:c>
      <x:c r="T413" s="14" t="str">
        <x:v>official_prozorro_api</x:v>
      </x:c>
      <x:c r="U413" s="14" t="str">
        <x:v>Не контактували</x:v>
      </x:c>
      <x:c r="V413" s="15" t="str">
        <x:v>Персоналізований free-pilot outreach по UA-2026-08-03-005283-a; попросити 1 пакет Н.14/Н.15</x:v>
      </x:c>
      <x:c r="W413" s="15" t="str">
        <x:v>Власник / директор; керівник ПТО; відповідальний за договори</x:v>
      </x:c>
      <x:c r="X413" s="15" t="str">
        <x:v>1 підтверджених перемог/договорів у Prozorro на 399 131 грн; 1 проєктів зі строком виконання не раніше 24.08.2026.</x:v>
      </x:c>
      <x:c r="Y413" s="15" t="str">
        <x:v>Електромонтажні роботи  ; строк до 2026-08-30. Попросити один знеособлений пакет здачі за цим workflow.</x:v>
      </x:c>
      <x:c r="Z413" s="15" t="str">
        <x:v>https://prozorro.gov.ua/tender/UA-2026-08-03-005283-a</x:v>
      </x:c>
      <x:c r="AA413" s="14" t="str">
        <x:v>40772555</x:v>
      </x:c>
      <x:c r="AB413" s="14" t="str">
        <x:v>2026-08-24</x:v>
      </x:c>
      <x:c r="AC413" s="14" t="str"/>
      <x:c r="AD413" s="20" t="str"/>
      <x:c r="AE413" s="14" t="str"/>
      <x:c r="AF413" s="14" t="n">
        <x:v>56</x:v>
      </x:c>
      <x:c r="AG413" s="14" t="str">
        <x:v>I3</x:v>
      </x:c>
      <x:c r="AH413" s="14" t="n">
        <x:v>1</x:v>
      </x:c>
      <x:c r="AI413" s="14" t="n">
        <x:v>1</x:v>
      </x:c>
      <x:c r="AJ413" s="18" t="n">
        <x:v>399130.57</x:v>
      </x:c>
      <x:c r="AK413" s="14" t="str">
        <x:v>https://prozorro.gov.ua/tender/UA-2026-08-03-005283-a</x:v>
      </x:c>
      <x:c r="AL413" s="19" t="n">
        <x:v>46247.34792717593</x:v>
      </x:c>
      <x:c r="AM413" s="19" t="n">
        <x:v>46264</x:v>
      </x:c>
      <x:c r="AN413" s="15" t="str">
        <x:v>Електромонтаж</x:v>
      </x:c>
      <x:c r="AO413" s="15" t="str">
        <x:v>supplier_provided_url</x:v>
      </x:c>
    </x:row>
    <x:row r="414">
      <x:c r="A414" s="14" t="str">
        <x:v>W3-142</x:v>
      </x:c>
      <x:c r="B414" s="14" t="str">
        <x:v>Prozorro winners — 24.08</x:v>
      </x:c>
      <x:c r="C414" s="14" t="str">
        <x:v>ТОВ "ІНЖИНІРИНГ ПОРТ СЕРВІС"</x:v>
      </x:c>
      <x:c r="D414" s="14" t="str">
        <x:v>HVAC / ОВіК</x:v>
      </x:c>
      <x:c r="E414" s="14" t="str">
        <x:v>Pilot now</x:v>
      </x:c>
      <x:c r="F414" s="17" t="str">
        <x:v>P3</x:v>
      </x:c>
      <x:c r="G414" s="14" t="str"/>
      <x:c r="H414" s="14" t="str">
        <x:v>Пілот зараз — Н.14</x:v>
      </x:c>
      <x:c r="I414" s="16" t="n">
        <x:v>5</x:v>
      </x:c>
      <x:c r="J414" s="16" t="n">
        <x:v>5</x:v>
      </x:c>
      <x:c r="K414" s="16" t="n">
        <x:v>5</x:v>
      </x:c>
      <x:c r="L414" s="16" t="n">
        <x:v>2</x:v>
      </x:c>
      <x:c r="M414" s="16" t="n">
        <x:v>5</x:v>
      </x:c>
      <x:c r="N414" s="16" t="n">
        <x:v>5</x:v>
      </x:c>
      <x:c r="O414" s="16" t="n">
        <x:v>5</x:v>
      </x:c>
      <x:c r="P414" s="16" t="n">
        <x:f>IF(COUNT(I414:O414)&lt;7,"",I414*8+J414*3+K414*2+L414*2+M414*2+N414*2+O414)</x:f>
        <x:v>94</x:v>
      </x:c>
      <x:c r="Q414" s="16" t="n">
        <x:f>IF(COUNT(J414:O414)&lt;6,"",J414*5+K414*4+M414*4+L414*3+N414*2+O414*2)</x:f>
        <x:v>91</x:v>
      </x:c>
      <x:c r="R414" s="14" t="str">
        <x:v>high</x:v>
      </x:c>
      <x:c r="S414" s="14" t="str">
        <x:v>official_prozorro_award_2025_2026</x:v>
      </x:c>
      <x:c r="T414" s="14" t="str">
        <x:v>official_prozorro_api</x:v>
      </x:c>
      <x:c r="U414" s="14" t="str">
        <x:v>Не контактували</x:v>
      </x:c>
      <x:c r="V414" s="15" t="str">
        <x:v>Персоналізований free-pilot outreach по UA-2026-07-27-004787-a; попросити 1 пакет Н.14/Н.15</x:v>
      </x:c>
      <x:c r="W414" s="15" t="str">
        <x:v>Власник / директор; керівник ПТО; відповідальний за договори</x:v>
      </x:c>
      <x:c r="X414" s="15" t="str">
        <x:v>1 підтверджених перемог/договорів у Prozorro на 393 225 грн; 1 проєктів зі строком виконання не раніше 24.08.2026.</x:v>
      </x:c>
      <x:c r="Y414"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 строк до 2026-11-30. Попросити один знеособлений пакет здачі за цим workflow.</x:v>
      </x:c>
      <x:c r="Z414" s="15" t="str">
        <x:v>https://prozorro.gov.ua/tender/UA-2026-07-27-004787-a</x:v>
      </x:c>
      <x:c r="AA414" s="14" t="str">
        <x:v>38755441</x:v>
      </x:c>
      <x:c r="AB414" s="14" t="str">
        <x:v>2026-08-24</x:v>
      </x:c>
      <x:c r="AC414" s="14" t="str"/>
      <x:c r="AD414" s="20" t="str"/>
      <x:c r="AE414" s="14" t="str"/>
      <x:c r="AF414" s="14" t="n">
        <x:v>56</x:v>
      </x:c>
      <x:c r="AG414" s="14" t="str">
        <x:v>I3</x:v>
      </x:c>
      <x:c r="AH414" s="14" t="n">
        <x:v>1</x:v>
      </x:c>
      <x:c r="AI414" s="14" t="n">
        <x:v>1</x:v>
      </x:c>
      <x:c r="AJ414" s="18" t="n">
        <x:v>393225</x:v>
      </x:c>
      <x:c r="AK414" s="14" t="str">
        <x:v>https://prozorro.gov.ua/tender/UA-2026-07-27-004787-a</x:v>
      </x:c>
      <x:c r="AL414" s="19" t="n">
        <x:v>46240.31860636574</x:v>
      </x:c>
      <x:c r="AM414" s="19" t="n">
        <x:v>46356</x:v>
      </x:c>
      <x:c r="AN414" s="15" t="str">
        <x:v>HVAC / ОВіК</x:v>
      </x:c>
      <x:c r="AO414" s="15" t="str">
        <x:v>not_found_in_top_search</x:v>
      </x:c>
    </x:row>
    <x:row r="415">
      <x:c r="A415" s="14" t="str">
        <x:v>W3-143</x:v>
      </x:c>
      <x:c r="B415" s="14" t="str">
        <x:v>Prozorro winners — 24.08</x:v>
      </x:c>
      <x:c r="C415" s="14" t="str">
        <x:v>ТОВАРИСТВО З ОБМЕЖЕНОЮ ВІДПОВІДАЛЬНІСТЮ "ФЕЛКІНС"</x:v>
      </x:c>
      <x:c r="D415" s="14" t="str">
        <x:v>Насосні станції</x:v>
      </x:c>
      <x:c r="E415" s="14" t="str">
        <x:v>Expansion discovery</x:v>
      </x:c>
      <x:c r="F415" s="17" t="str">
        <x:v>D3</x:v>
      </x:c>
      <x:c r="G415" s="14" t="str"/>
      <x:c r="H415" s="14" t="str">
        <x:v>Discovery розширення — 2 тижні</x:v>
      </x:c>
      <x:c r="I415" s="16" t="n">
        <x:v>1</x:v>
      </x:c>
      <x:c r="J415" s="16" t="n">
        <x:v>5</x:v>
      </x:c>
      <x:c r="K415" s="16" t="n">
        <x:v>4</x:v>
      </x:c>
      <x:c r="L415" s="16" t="n">
        <x:v>2</x:v>
      </x:c>
      <x:c r="M415" s="16" t="n">
        <x:v>5</x:v>
      </x:c>
      <x:c r="N415" s="16" t="n">
        <x:v>5</x:v>
      </x:c>
      <x:c r="O415" s="16" t="n">
        <x:v>5</x:v>
      </x:c>
      <x:c r="P415" s="16" t="n">
        <x:f>IF(COUNT(I415:O415)&lt;7,"",I415*8+J415*3+K415*2+L415*2+M415*2+N415*2+O415)</x:f>
        <x:v>60</x:v>
      </x:c>
      <x:c r="Q415" s="16" t="n">
        <x:f>IF(COUNT(J415:O415)&lt;6,"",J415*5+K415*4+M415*4+L415*3+N415*2+O415*2)</x:f>
        <x:v>87</x:v>
      </x:c>
      <x:c r="R415" s="14" t="str">
        <x:v>high</x:v>
      </x:c>
      <x:c r="S415" s="14" t="str">
        <x:v>official_prozorro_award_2025_2026</x:v>
      </x:c>
      <x:c r="T415" s="14" t="str">
        <x:v>official_prozorro_api</x:v>
      </x:c>
      <x:c r="U415" s="14" t="str">
        <x:v>Не контактували</x:v>
      </x:c>
      <x:c r="V415" s="15" t="str">
        <x:v>Workflow-audit outreach по UA-2026-07-16-008704-a; попросити 1 пакет здачі та вимоги проєкту</x:v>
      </x:c>
      <x:c r="W415" s="15" t="str">
        <x:v>Власник / директор; керівник ПТО; відповідальний за договори</x:v>
      </x:c>
      <x:c r="X415" s="15" t="str">
        <x:v>1 підтверджених перемог/договорів у Prozorro на 299 707 грн; 1 проєктів зі строком виконання не раніше 24.08.2026.</x:v>
      </x:c>
      <x:c r="Y415"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 строк до 2026-09-01. Попросити один знеособлений пакет здачі за цим workflow.</x:v>
      </x:c>
      <x:c r="Z415" s="15" t="str">
        <x:v>https://prozorro.gov.ua/tender/UA-2026-07-16-008704-a</x:v>
      </x:c>
      <x:c r="AA415" s="14" t="str">
        <x:v>43828720</x:v>
      </x:c>
      <x:c r="AB415" s="14" t="str">
        <x:v>2026-08-24</x:v>
      </x:c>
      <x:c r="AC415" s="14" t="str"/>
      <x:c r="AD415" s="20" t="str"/>
      <x:c r="AE415" s="14" t="str"/>
      <x:c r="AF415" s="14" t="n">
        <x:v>56</x:v>
      </x:c>
      <x:c r="AG415" s="14" t="str">
        <x:v>I3</x:v>
      </x:c>
      <x:c r="AH415" s="14" t="n">
        <x:v>1</x:v>
      </x:c>
      <x:c r="AI415" s="14" t="n">
        <x:v>1</x:v>
      </x:c>
      <x:c r="AJ415" s="18" t="n">
        <x:v>299707.45</x:v>
      </x:c>
      <x:c r="AK415" s="14" t="str">
        <x:v>https://prozorro.gov.ua/tender/UA-2026-07-16-008704-a</x:v>
      </x:c>
      <x:c r="AL415" s="19" t="n">
        <x:v>46219.54142023148</x:v>
      </x:c>
      <x:c r="AM415" s="19" t="n">
        <x:v>46266</x:v>
      </x:c>
      <x:c r="AN415" s="15" t="str">
        <x:v>Насосні станції</x:v>
      </x:c>
      <x:c r="AO415" s="15" t="str">
        <x:v>not_found_in_top_search</x:v>
      </x:c>
    </x:row>
    <x:row r="416">
      <x:c r="A416" s="14" t="str">
        <x:v>W3-144</x:v>
      </x:c>
      <x:c r="B416" s="14" t="str">
        <x:v>Prozorro winners — 24.08</x:v>
      </x:c>
      <x:c r="C416" s="14" t="str">
        <x:v>ТОВ "ВІТЯЗЬ-КБ"</x:v>
      </x:c>
      <x:c r="D416" s="14" t="str">
        <x:v>Безпека / СКУД / CCTV</x:v>
      </x:c>
      <x:c r="E416" s="14" t="str">
        <x:v>Expansion discovery</x:v>
      </x:c>
      <x:c r="F416" s="17" t="str">
        <x:v>D3</x:v>
      </x:c>
      <x:c r="G416" s="14" t="str"/>
      <x:c r="H416" s="14" t="str">
        <x:v>Discovery розширення — 2 тижні</x:v>
      </x:c>
      <x:c r="I416" s="16" t="n">
        <x:v>1</x:v>
      </x:c>
      <x:c r="J416" s="16" t="n">
        <x:v>5</x:v>
      </x:c>
      <x:c r="K416" s="16" t="n">
        <x:v>4</x:v>
      </x:c>
      <x:c r="L416" s="16" t="n">
        <x:v>2</x:v>
      </x:c>
      <x:c r="M416" s="16" t="n">
        <x:v>5</x:v>
      </x:c>
      <x:c r="N416" s="16" t="n">
        <x:v>5</x:v>
      </x:c>
      <x:c r="O416" s="16" t="n">
        <x:v>5</x:v>
      </x:c>
      <x:c r="P416" s="16" t="n">
        <x:f>IF(COUNT(I416:O416)&lt;7,"",I416*8+J416*3+K416*2+L416*2+M416*2+N416*2+O416)</x:f>
        <x:v>60</x:v>
      </x:c>
      <x:c r="Q416" s="16" t="n">
        <x:f>IF(COUNT(J416:O416)&lt;6,"",J416*5+K416*4+M416*4+L416*3+N416*2+O416*2)</x:f>
        <x:v>87</x:v>
      </x:c>
      <x:c r="R416" s="14" t="str">
        <x:v>high</x:v>
      </x:c>
      <x:c r="S416" s="14" t="str">
        <x:v>official_prozorro_award_2025_2026</x:v>
      </x:c>
      <x:c r="T416" s="14" t="str">
        <x:v>official_prozorro_api</x:v>
      </x:c>
      <x:c r="U416" s="14" t="str">
        <x:v>Не контактували</x:v>
      </x:c>
      <x:c r="V416" s="15" t="str">
        <x:v>Workflow-audit outreach по UA-2026-07-07-010998-a; попросити 1 пакет здачі та вимоги проєкту</x:v>
      </x:c>
      <x:c r="W416" s="15" t="str">
        <x:v>Власник / директор; керівник ПТО; відповідальний за договори</x:v>
      </x:c>
      <x:c r="X416" s="15" t="str">
        <x:v>1 підтверджених перемог/договорів у Prozorro на 291 607 грн; 1 проєктів зі строком виконання не раніше 24.08.2026.</x:v>
      </x:c>
      <x:c r="Y416" s="15" t="str">
        <x:v>Послуги з монтажу та введення в експлуатацію системи відеоспостереження; строк до 2026-09-30. Попросити один знеособлений пакет здачі за цим workflow.</x:v>
      </x:c>
      <x:c r="Z416" s="15" t="str">
        <x:v>https://prozorro.gov.ua/tender/UA-2026-07-07-010998-a</x:v>
      </x:c>
      <x:c r="AA416" s="14" t="str">
        <x:v>37961573</x:v>
      </x:c>
      <x:c r="AB416" s="14" t="str">
        <x:v>2026-08-24</x:v>
      </x:c>
      <x:c r="AC416" s="14" t="str"/>
      <x:c r="AD416" s="20" t="str"/>
      <x:c r="AE416" s="14" t="str"/>
      <x:c r="AF416" s="14" t="n">
        <x:v>56</x:v>
      </x:c>
      <x:c r="AG416" s="14" t="str">
        <x:v>I3</x:v>
      </x:c>
      <x:c r="AH416" s="14" t="n">
        <x:v>1</x:v>
      </x:c>
      <x:c r="AI416" s="14" t="n">
        <x:v>1</x:v>
      </x:c>
      <x:c r="AJ416" s="18" t="n">
        <x:v>291606.65</x:v>
      </x:c>
      <x:c r="AK416" s="14" t="str">
        <x:v>https://prozorro.gov.ua/tender/UA-2026-07-07-010998-a</x:v>
      </x:c>
      <x:c r="AL416" s="19" t="n">
        <x:v>46220.40103577546</x:v>
      </x:c>
      <x:c r="AM416" s="19" t="n">
        <x:v>46295</x:v>
      </x:c>
      <x:c r="AN416" s="15" t="str">
        <x:v>Безпека / СКУД / CCTV</x:v>
      </x:c>
      <x:c r="AO416" s="15" t="str">
        <x:v>not_found_in_top_search</x:v>
      </x:c>
    </x:row>
    <x:row r="417">
      <x:c r="A417" s="14" t="str">
        <x:v>W3-145</x:v>
      </x:c>
      <x:c r="B417" s="14" t="str">
        <x:v>Prozorro winners — 24.08</x:v>
      </x:c>
      <x:c r="C417" s="14" t="str">
        <x:v>ТОВ НЕКСОРА ТЕХ</x:v>
      </x:c>
      <x:c r="D417" s="14" t="str">
        <x:v>Промисловий холод</x:v>
      </x:c>
      <x:c r="E417" s="14" t="str">
        <x:v>Expansion discovery</x:v>
      </x:c>
      <x:c r="F417" s="17" t="str">
        <x:v>D3</x:v>
      </x:c>
      <x:c r="G417" s="14" t="str"/>
      <x:c r="H417" s="14" t="str">
        <x:v>Discovery розширення — 2 тижні</x:v>
      </x:c>
      <x:c r="I417" s="16" t="n">
        <x:v>1</x:v>
      </x:c>
      <x:c r="J417" s="16" t="n">
        <x:v>5</x:v>
      </x:c>
      <x:c r="K417" s="16" t="n">
        <x:v>4</x:v>
      </x:c>
      <x:c r="L417" s="16" t="n">
        <x:v>2</x:v>
      </x:c>
      <x:c r="M417" s="16" t="n">
        <x:v>5</x:v>
      </x:c>
      <x:c r="N417" s="16" t="n">
        <x:v>5</x:v>
      </x:c>
      <x:c r="O417" s="16" t="n">
        <x:v>5</x:v>
      </x:c>
      <x:c r="P417" s="16" t="n">
        <x:f>IF(COUNT(I417:O417)&lt;7,"",I417*8+J417*3+K417*2+L417*2+M417*2+N417*2+O417)</x:f>
        <x:v>60</x:v>
      </x:c>
      <x:c r="Q417" s="16" t="n">
        <x:f>IF(COUNT(J417:O417)&lt;6,"",J417*5+K417*4+M417*4+L417*3+N417*2+O417*2)</x:f>
        <x:v>87</x:v>
      </x:c>
      <x:c r="R417" s="14" t="str">
        <x:v>high</x:v>
      </x:c>
      <x:c r="S417" s="14" t="str">
        <x:v>official_prozorro_award_2025_2026</x:v>
      </x:c>
      <x:c r="T417" s="14" t="str">
        <x:v>official_prozorro_api</x:v>
      </x:c>
      <x:c r="U417" s="14" t="str">
        <x:v>Не контактували</x:v>
      </x:c>
      <x:c r="V417" s="15" t="str">
        <x:v>Workflow-audit outreach по UA-2026-07-09-002223-a; попросити 1 пакет здачі та вимоги проєкту</x:v>
      </x:c>
      <x:c r="W417" s="15" t="str">
        <x:v>Власник / директор; керівник ПТО; відповідальний за договори</x:v>
      </x:c>
      <x:c r="X417" s="15" t="str">
        <x:v>1 підтверджених перемог/договорів у Prozorro на 228 960 грн; 1 проєктів зі строком виконання не раніше 24.08.2026.</x:v>
      </x:c>
      <x:c r="Y417" s="15" t="str">
        <x:v>Кондиціонери (з монтажем) – код за ЄЗС ДК 021:2015 42510000-4 Теплообмінники, кондиціонери повітря, холодильне обладнання та фільтрувальні пристрої; строк до 2026-08-31. Попросити один знеособлений пакет здачі за цим workflow.</x:v>
      </x:c>
      <x:c r="Z417" s="15" t="str">
        <x:v>https://prozorro.gov.ua/tender/UA-2026-07-09-002223-a</x:v>
      </x:c>
      <x:c r="AA417" s="14" t="str">
        <x:v>45851285</x:v>
      </x:c>
      <x:c r="AB417" s="14" t="str">
        <x:v>2026-08-24</x:v>
      </x:c>
      <x:c r="AC417" s="14" t="str"/>
      <x:c r="AD417" s="20" t="str"/>
      <x:c r="AE417" s="14" t="str"/>
      <x:c r="AF417" s="14" t="n">
        <x:v>56</x:v>
      </x:c>
      <x:c r="AG417" s="14" t="str">
        <x:v>I3</x:v>
      </x:c>
      <x:c r="AH417" s="14" t="n">
        <x:v>1</x:v>
      </x:c>
      <x:c r="AI417" s="14" t="n">
        <x:v>1</x:v>
      </x:c>
      <x:c r="AJ417" s="18" t="n">
        <x:v>228960</x:v>
      </x:c>
      <x:c r="AK417" s="14" t="str">
        <x:v>https://prozorro.gov.ua/tender/UA-2026-07-09-002223-a</x:v>
      </x:c>
      <x:c r="AL417" s="19" t="n">
        <x:v>46224.580835127315</x:v>
      </x:c>
      <x:c r="AM417" s="19" t="n">
        <x:v>46265</x:v>
      </x:c>
      <x:c r="AN417" s="15" t="str">
        <x:v>Промисловий холод</x:v>
      </x:c>
      <x:c r="AO417" s="15" t="str">
        <x:v>not_found_in_top_search</x:v>
      </x:c>
    </x:row>
    <x:row r="418">
      <x:c r="A418" s="14" t="str">
        <x:v>W3-146</x:v>
      </x:c>
      <x:c r="B418" s="14" t="str">
        <x:v>Prozorro winners — 24.08</x:v>
      </x:c>
      <x:c r="C418" s="14" t="str">
        <x:v>ПРИВАТНЕ ПІДПРИЄМСТВО «МВМ Шляхбуд»</x:v>
      </x:c>
      <x:c r="D418" s="14" t="str">
        <x:v>Мости / інфраструктура</x:v>
      </x:c>
      <x:c r="E418" s="14" t="str">
        <x:v>Expansion discovery</x:v>
      </x:c>
      <x:c r="F418" s="17" t="str">
        <x:v>D3</x:v>
      </x:c>
      <x:c r="G418" s="14" t="str"/>
      <x:c r="H418" s="14" t="str">
        <x:v>Discovery розширення — 2 тижні</x:v>
      </x:c>
      <x:c r="I418" s="16" t="n">
        <x:v>1</x:v>
      </x:c>
      <x:c r="J418" s="16" t="n">
        <x:v>5</x:v>
      </x:c>
      <x:c r="K418" s="16" t="n">
        <x:v>4</x:v>
      </x:c>
      <x:c r="L418" s="16" t="n">
        <x:v>2</x:v>
      </x:c>
      <x:c r="M418" s="16" t="n">
        <x:v>5</x:v>
      </x:c>
      <x:c r="N418" s="16" t="n">
        <x:v>5</x:v>
      </x:c>
      <x:c r="O418" s="16" t="n">
        <x:v>5</x:v>
      </x:c>
      <x:c r="P418" s="16" t="n">
        <x:f>IF(COUNT(I418:O418)&lt;7,"",I418*8+J418*3+K418*2+L418*2+M418*2+N418*2+O418)</x:f>
        <x:v>60</x:v>
      </x:c>
      <x:c r="Q418" s="16" t="n">
        <x:f>IF(COUNT(J418:O418)&lt;6,"",J418*5+K418*4+M418*4+L418*3+N418*2+O418*2)</x:f>
        <x:v>87</x:v>
      </x:c>
      <x:c r="R418" s="14" t="str">
        <x:v>high</x:v>
      </x:c>
      <x:c r="S418" s="14" t="str">
        <x:v>official_prozorro_award_2025_2026</x:v>
      </x:c>
      <x:c r="T418" s="14" t="str">
        <x:v>official_prozorro_api</x:v>
      </x:c>
      <x:c r="U418" s="14" t="str">
        <x:v>Не контактували</x:v>
      </x:c>
      <x:c r="V418" s="15" t="str">
        <x:v>Workflow-audit outreach по UA-2026-07-27-000913-a; попросити 1 пакет здачі та вимоги проєкту</x:v>
      </x:c>
      <x:c r="W418" s="15" t="str">
        <x:v>Власник / директор; керівник ПТО; відповідальний за договори</x:v>
      </x:c>
      <x:c r="X418" s="15" t="str">
        <x:v>1 підтверджених перемог/договорів у Prozorro на 199 942 грн; 1 проєктів зі строком виконання не раніше 24.08.2026.</x:v>
      </x:c>
      <x:c r="Y418" s="15" t="str">
        <x:v>Поточний ремонт пішохідної доріжки в районі пішохідного мосту через річку Устю в м.Рівному; строк до 2026-12-20. Попросити один знеособлений пакет здачі за цим workflow.</x:v>
      </x:c>
      <x:c r="Z418" s="15" t="str">
        <x:v>https://prozorro.gov.ua/tender/UA-2026-07-27-000913-a</x:v>
      </x:c>
      <x:c r="AA418" s="14" t="str">
        <x:v>38402090</x:v>
      </x:c>
      <x:c r="AB418" s="14" t="str">
        <x:v>2026-08-24</x:v>
      </x:c>
      <x:c r="AC418" s="14" t="str"/>
      <x:c r="AD418" s="20" t="str"/>
      <x:c r="AE418" s="14" t="str"/>
      <x:c r="AF418" s="14" t="n">
        <x:v>56</x:v>
      </x:c>
      <x:c r="AG418" s="14" t="str">
        <x:v>I3</x:v>
      </x:c>
      <x:c r="AH418" s="14" t="n">
        <x:v>1</x:v>
      </x:c>
      <x:c r="AI418" s="14" t="n">
        <x:v>1</x:v>
      </x:c>
      <x:c r="AJ418" s="18" t="n">
        <x:v>199941.6</x:v>
      </x:c>
      <x:c r="AK418" s="14" t="str">
        <x:v>https://prozorro.gov.ua/tender/UA-2026-07-27-000913-a</x:v>
      </x:c>
      <x:c r="AL418" s="19" t="n">
        <x:v>46230.27637519676</x:v>
      </x:c>
      <x:c r="AM418" s="19" t="n">
        <x:v>46376</x:v>
      </x:c>
      <x:c r="AN418" s="15" t="str">
        <x:v>Мости / інфраструктура</x:v>
      </x:c>
      <x:c r="AO418" s="15" t="str">
        <x:v>not_found_in_top_search</x:v>
      </x:c>
    </x:row>
    <x:row r="419">
      <x:c r="A419" s="14" t="str">
        <x:v>W3-147</x:v>
      </x:c>
      <x:c r="B419" s="14" t="str">
        <x:v>Prozorro winners — 24.08</x:v>
      </x:c>
      <x:c r="C419" s="14" t="str">
        <x:v>Товариство з обмеженою відповідальністю "АВАКС ПРОФ"</x:v>
      </x:c>
      <x:c r="D419" s="14" t="str">
        <x:v>Мости / інфраструктура</x:v>
      </x:c>
      <x:c r="E419" s="14" t="str">
        <x:v>Expansion discovery</x:v>
      </x:c>
      <x:c r="F419" s="17" t="str">
        <x:v>D3</x:v>
      </x:c>
      <x:c r="G419" s="14" t="str"/>
      <x:c r="H419" s="14" t="str">
        <x:v>Discovery розширення — 2 тижні</x:v>
      </x:c>
      <x:c r="I419" s="16" t="n">
        <x:v>1</x:v>
      </x:c>
      <x:c r="J419" s="16" t="n">
        <x:v>5</x:v>
      </x:c>
      <x:c r="K419" s="16" t="n">
        <x:v>4</x:v>
      </x:c>
      <x:c r="L419" s="16" t="n">
        <x:v>2</x:v>
      </x:c>
      <x:c r="M419" s="16" t="n">
        <x:v>5</x:v>
      </x:c>
      <x:c r="N419" s="16" t="n">
        <x:v>5</x:v>
      </x:c>
      <x:c r="O419" s="16" t="n">
        <x:v>5</x:v>
      </x:c>
      <x:c r="P419" s="16" t="n">
        <x:f>IF(COUNT(I419:O419)&lt;7,"",I419*8+J419*3+K419*2+L419*2+M419*2+N419*2+O419)</x:f>
        <x:v>60</x:v>
      </x:c>
      <x:c r="Q419" s="16" t="n">
        <x:f>IF(COUNT(J419:O419)&lt;6,"",J419*5+K419*4+M419*4+L419*3+N419*2+O419*2)</x:f>
        <x:v>87</x:v>
      </x:c>
      <x:c r="R419" s="14" t="str">
        <x:v>high</x:v>
      </x:c>
      <x:c r="S419" s="14" t="str">
        <x:v>official_prozorro_award_2025_2026</x:v>
      </x:c>
      <x:c r="T419" s="14" t="str">
        <x:v>official_prozorro_api</x:v>
      </x:c>
      <x:c r="U419" s="14" t="str">
        <x:v>Не контактували</x:v>
      </x:c>
      <x:c r="V419" s="15" t="str">
        <x:v>Workflow-audit outreach по UA-2026-08-12-010249-a; попросити 1 пакет здачі та вимоги проєкту</x:v>
      </x:c>
      <x:c r="W419" s="15" t="str">
        <x:v>Власник / директор; керівник ПТО; відповідальний за договори</x:v>
      </x:c>
      <x:c r="X419" s="15" t="str">
        <x:v>1 підтверджених перемог/договорів у Prozorro на 198 574 грн; 1 проєктів зі строком виконання не раніше 24.08.2026.</x:v>
      </x:c>
      <x:c r="Y419" s="15" t="str">
        <x:v>Поточний ремонт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419" s="15" t="str">
        <x:v>https://prozorro.gov.ua/tender/UA-2026-08-12-010249-a</x:v>
      </x:c>
      <x:c r="AA419" s="14" t="str">
        <x:v>37306789</x:v>
      </x:c>
      <x:c r="AB419" s="14" t="str">
        <x:v>2026-08-24</x:v>
      </x:c>
      <x:c r="AC419" s="14" t="str"/>
      <x:c r="AD419" s="20" t="str"/>
      <x:c r="AE419" s="14" t="str"/>
      <x:c r="AF419" s="14" t="n">
        <x:v>56</x:v>
      </x:c>
      <x:c r="AG419" s="14" t="str">
        <x:v>I3</x:v>
      </x:c>
      <x:c r="AH419" s="14" t="n">
        <x:v>1</x:v>
      </x:c>
      <x:c r="AI419" s="14" t="n">
        <x:v>1</x:v>
      </x:c>
      <x:c r="AJ419" s="18" t="n">
        <x:v>198574.46</x:v>
      </x:c>
      <x:c r="AK419" s="14" t="str">
        <x:v>https://prozorro.gov.ua/tender/UA-2026-08-12-010249-a</x:v>
      </x:c>
      <x:c r="AL419" s="19" t="n">
        <x:v>46246.54667043981</x:v>
      </x:c>
      <x:c r="AM419" s="19" t="n">
        <x:v>46387</x:v>
      </x:c>
      <x:c r="AN419" s="15" t="str">
        <x:v>Мости / інфраструктура</x:v>
      </x:c>
      <x:c r="AO419" s="15" t="str">
        <x:v>not_found_in_top_search</x:v>
      </x:c>
    </x:row>
    <x:row r="420">
      <x:c r="A420" s="14" t="str">
        <x:v>W3-148</x:v>
      </x:c>
      <x:c r="B420" s="14" t="str">
        <x:v>Prozorro winners — 24.08</x:v>
      </x:c>
      <x:c r="C420" s="14" t="str">
        <x:v>ТОВАРИСТВО З ОБМЕЖЕНОЮ ВІДПОВІДАЛЬНІСТЮ "ГЛОБАЛ ІНЖИНІРИНГ ПРОЕКТ"</x:v>
      </x:c>
      <x:c r="D420" s="14" t="str">
        <x:v>Теплові мережі</x:v>
      </x:c>
      <x:c r="E420" s="14" t="str">
        <x:v>Expansion discovery</x:v>
      </x:c>
      <x:c r="F420" s="17" t="str">
        <x:v>D3</x:v>
      </x:c>
      <x:c r="G420" s="14" t="str"/>
      <x:c r="H420" s="14" t="str">
        <x:v>Discovery розширення — 2 тижні</x:v>
      </x:c>
      <x:c r="I420" s="16" t="n">
        <x:v>1</x:v>
      </x:c>
      <x:c r="J420" s="16" t="n">
        <x:v>5</x:v>
      </x:c>
      <x:c r="K420" s="16" t="n">
        <x:v>4</x:v>
      </x:c>
      <x:c r="L420" s="16" t="n">
        <x:v>2</x:v>
      </x:c>
      <x:c r="M420" s="16" t="n">
        <x:v>5</x:v>
      </x:c>
      <x:c r="N420" s="16" t="n">
        <x:v>5</x:v>
      </x:c>
      <x:c r="O420" s="16" t="n">
        <x:v>5</x:v>
      </x:c>
      <x:c r="P420" s="16" t="n">
        <x:f>IF(COUNT(I420:O420)&lt;7,"",I420*8+J420*3+K420*2+L420*2+M420*2+N420*2+O420)</x:f>
        <x:v>60</x:v>
      </x:c>
      <x:c r="Q420" s="16" t="n">
        <x:f>IF(COUNT(J420:O420)&lt;6,"",J420*5+K420*4+M420*4+L420*3+N420*2+O420*2)</x:f>
        <x:v>87</x:v>
      </x:c>
      <x:c r="R420" s="14" t="str">
        <x:v>high</x:v>
      </x:c>
      <x:c r="S420" s="14" t="str">
        <x:v>official_prozorro_award_2025_2026</x:v>
      </x:c>
      <x:c r="T420" s="14" t="str">
        <x:v>official_prozorro_api</x:v>
      </x:c>
      <x:c r="U420" s="14" t="str">
        <x:v>Не контактували</x:v>
      </x:c>
      <x:c r="V420" s="15" t="str">
        <x:v>Workflow-audit outreach по UA-2026-07-17-002969-a; попросити 1 пакет здачі та вимоги проєкту</x:v>
      </x:c>
      <x:c r="W420" s="15" t="str">
        <x:v>Власник / директор; керівник ПТО; відповідальний за договори</x:v>
      </x:c>
      <x:c r="X420" s="15" t="str">
        <x:v>1 підтверджених перемог/договорів у Prozorro на 148 599 грн; 1 проєктів зі строком виконання не раніше 24.08.2026.</x:v>
      </x:c>
      <x:c r="Y420" s="15" t="str">
        <x:v>Коригування робочого проєкту «Реконструкція ділянки теплової мережі по Олександрівському проспекту від ТК12405 до ТК1025 у м. Одесі»; строк до 2026-09-01. Попросити один знеособлений пакет здачі за цим workflow.</x:v>
      </x:c>
      <x:c r="Z420" s="15" t="str">
        <x:v>https://prozorro.gov.ua/tender/UA-2026-07-17-002969-a</x:v>
      </x:c>
      <x:c r="AA420" s="14" t="str">
        <x:v>42275999</x:v>
      </x:c>
      <x:c r="AB420" s="14" t="str">
        <x:v>2026-08-24</x:v>
      </x:c>
      <x:c r="AC420" s="14" t="str"/>
      <x:c r="AD420" s="20" t="str"/>
      <x:c r="AE420" s="14" t="str"/>
      <x:c r="AF420" s="14" t="n">
        <x:v>56</x:v>
      </x:c>
      <x:c r="AG420" s="14" t="str">
        <x:v>I3</x:v>
      </x:c>
      <x:c r="AH420" s="14" t="n">
        <x:v>1</x:v>
      </x:c>
      <x:c r="AI420" s="14" t="n">
        <x:v>1</x:v>
      </x:c>
      <x:c r="AJ420" s="18" t="n">
        <x:v>148598.94</x:v>
      </x:c>
      <x:c r="AK420" s="14" t="str">
        <x:v>https://prozorro.gov.ua/tender/UA-2026-07-17-002969-a</x:v>
      </x:c>
      <x:c r="AL420" s="19" t="n">
        <x:v>46220.33891277778</x:v>
      </x:c>
      <x:c r="AM420" s="19" t="n">
        <x:v>46266</x:v>
      </x:c>
      <x:c r="AN420" s="15" t="str">
        <x:v>Теплові мережі</x:v>
      </x:c>
      <x:c r="AO420" s="15" t="str">
        <x:v>not_found_in_top_search</x:v>
      </x:c>
    </x:row>
    <x:row r="421">
      <x:c r="A421" s="14" t="str">
        <x:v>W3-149</x:v>
      </x:c>
      <x:c r="B421" s="14" t="str">
        <x:v>Prozorro winners — 24.08</x:v>
      </x:c>
      <x:c r="C421" s="14" t="str">
        <x:v>ФІЛІЯ ДЕРЖАВНОГО ПІДПРИЄМСТВА МІНІСТЕРСТВА ОБОРОНИ УКРАЇНИ "ЗАХІДВІЙСЬКБУД " 66 УПРАВЛІННЯ НАЧАЛЬНИКА РОБІТ"</x:v>
      </x:c>
      <x:c r="D421" s="14" t="str">
        <x:v>Зовнішні мережі</x:v>
      </x:c>
      <x:c r="E421" s="14" t="str">
        <x:v>Expansion discovery</x:v>
      </x:c>
      <x:c r="F421" s="17" t="str">
        <x:v>D3</x:v>
      </x:c>
      <x:c r="G421" s="14" t="str"/>
      <x:c r="H421" s="14" t="str">
        <x:v>Discovery розширення — 2 тижні</x:v>
      </x:c>
      <x:c r="I421" s="16" t="n">
        <x:v>1</x:v>
      </x:c>
      <x:c r="J421" s="16" t="n">
        <x:v>5</x:v>
      </x:c>
      <x:c r="K421" s="16" t="n">
        <x:v>4</x:v>
      </x:c>
      <x:c r="L421" s="16" t="n">
        <x:v>2</x:v>
      </x:c>
      <x:c r="M421" s="16" t="n">
        <x:v>5</x:v>
      </x:c>
      <x:c r="N421" s="16" t="n">
        <x:v>5</x:v>
      </x:c>
      <x:c r="O421" s="16" t="n">
        <x:v>5</x:v>
      </x:c>
      <x:c r="P421" s="16" t="n">
        <x:f>IF(COUNT(I421:O421)&lt;7,"",I421*8+J421*3+K421*2+L421*2+M421*2+N421*2+O421)</x:f>
        <x:v>60</x:v>
      </x:c>
      <x:c r="Q421" s="16" t="n">
        <x:f>IF(COUNT(J421:O421)&lt;6,"",J421*5+K421*4+M421*4+L421*3+N421*2+O421*2)</x:f>
        <x:v>87</x:v>
      </x:c>
      <x:c r="R421" s="14" t="str">
        <x:v>high</x:v>
      </x:c>
      <x:c r="S421" s="14" t="str">
        <x:v>official_prozorro_award_2025_2026</x:v>
      </x:c>
      <x:c r="T421" s="14" t="str">
        <x:v>official_prozorro_api</x:v>
      </x:c>
      <x:c r="U421" s="14" t="str">
        <x:v>Не контактували</x:v>
      </x:c>
      <x:c r="V421" s="15" t="str">
        <x:v>Workflow-audit outreach по UA-2026-07-10-011405-a; попросити 1 пакет здачі та вимоги проєкту</x:v>
      </x:c>
      <x:c r="W421" s="15" t="str">
        <x:v>Власник / директор; керівник ПТО; відповідальний за договори</x:v>
      </x:c>
      <x:c r="X421" s="15" t="str">
        <x:v>1 підтверджених перемог/договорів у Prozorro на 147 835 грн; 1 проєктів зі строком виконання не раніше 24.08.2026.</x:v>
      </x:c>
      <x:c r="Y421"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 строк до 2026-12-31. Попросити один знеособлений пакет здачі за цим workflow.</x:v>
      </x:c>
      <x:c r="Z421" s="15" t="str">
        <x:v>https://prozorro.gov.ua/tender/UA-2026-07-10-011405-a</x:v>
      </x:c>
      <x:c r="AA421" s="14" t="str">
        <x:v>24971671</x:v>
      </x:c>
      <x:c r="AB421" s="14" t="str">
        <x:v>2026-08-24</x:v>
      </x:c>
      <x:c r="AC421" s="14" t="str"/>
      <x:c r="AD421" s="20" t="str"/>
      <x:c r="AE421" s="14" t="str"/>
      <x:c r="AF421" s="14" t="n">
        <x:v>56</x:v>
      </x:c>
      <x:c r="AG421" s="14" t="str">
        <x:v>I3</x:v>
      </x:c>
      <x:c r="AH421" s="14" t="n">
        <x:v>1</x:v>
      </x:c>
      <x:c r="AI421" s="14" t="n">
        <x:v>1</x:v>
      </x:c>
      <x:c r="AJ421" s="18" t="n">
        <x:v>147835.45</x:v>
      </x:c>
      <x:c r="AK421" s="14" t="str">
        <x:v>https://prozorro.gov.ua/tender/UA-2026-07-10-011405-a</x:v>
      </x:c>
      <x:c r="AL421" s="19" t="n">
        <x:v>46213.80929887731</x:v>
      </x:c>
      <x:c r="AM421" s="19" t="n">
        <x:v>46387</x:v>
      </x:c>
      <x:c r="AN421" s="15" t="str">
        <x:v>Зовнішні мережі</x:v>
      </x:c>
      <x:c r="AO421" s="15" t="str">
        <x:v>not_found_in_top_search</x:v>
      </x:c>
    </x:row>
    <x:row r="422">
      <x:c r="A422" s="14" t="str">
        <x:v>W3-150</x:v>
      </x:c>
      <x:c r="B422" s="14" t="str">
        <x:v>Prozorro winners — 24.08</x:v>
      </x:c>
      <x:c r="C422" s="14" t="str">
        <x:v>Товариство з обмеженою відповідальністю "СІТІІНЖЕНІРІНГ"</x:v>
      </x:c>
      <x:c r="D422" s="14" t="str">
        <x:v>Насосні станції</x:v>
      </x:c>
      <x:c r="E422" s="14" t="str">
        <x:v>Expansion discovery</x:v>
      </x:c>
      <x:c r="F422" s="17" t="str">
        <x:v>D3</x:v>
      </x:c>
      <x:c r="G422" s="14" t="str"/>
      <x:c r="H422" s="14" t="str">
        <x:v>Discovery розширення — 2 тижні</x:v>
      </x:c>
      <x:c r="I422" s="16" t="n">
        <x:v>1</x:v>
      </x:c>
      <x:c r="J422" s="16" t="n">
        <x:v>5</x:v>
      </x:c>
      <x:c r="K422" s="16" t="n">
        <x:v>4</x:v>
      </x:c>
      <x:c r="L422" s="16" t="n">
        <x:v>2</x:v>
      </x:c>
      <x:c r="M422" s="16" t="n">
        <x:v>5</x:v>
      </x:c>
      <x:c r="N422" s="16" t="n">
        <x:v>5</x:v>
      </x:c>
      <x:c r="O422" s="16" t="n">
        <x:v>5</x:v>
      </x:c>
      <x:c r="P422" s="16" t="n">
        <x:f>IF(COUNT(I422:O422)&lt;7,"",I422*8+J422*3+K422*2+L422*2+M422*2+N422*2+O422)</x:f>
        <x:v>60</x:v>
      </x:c>
      <x:c r="Q422" s="16" t="n">
        <x:f>IF(COUNT(J422:O422)&lt;6,"",J422*5+K422*4+M422*4+L422*3+N422*2+O422*2)</x:f>
        <x:v>87</x:v>
      </x:c>
      <x:c r="R422" s="14" t="str">
        <x:v>high</x:v>
      </x:c>
      <x:c r="S422" s="14" t="str">
        <x:v>official_prozorro_award_2025_2026</x:v>
      </x:c>
      <x:c r="T422" s="14" t="str">
        <x:v>official_prozorro_api</x:v>
      </x:c>
      <x:c r="U422" s="14" t="str">
        <x:v>Не контактували</x:v>
      </x:c>
      <x:c r="V422" s="15" t="str">
        <x:v>Workflow-audit outreach по UA-2026-07-27-010950-a; попросити 1 пакет здачі та вимоги проєкту</x:v>
      </x:c>
      <x:c r="W422" s="15" t="str">
        <x:v>Власник / директор; керівник ПТО; відповідальний за договори</x:v>
      </x:c>
      <x:c r="X422" s="15" t="str">
        <x:v>1 підтверджених перемог/договорів у Prozorro на 125 556 грн; 1 проєктів зі строком виконання не раніше 24.08.2026.</x:v>
      </x:c>
      <x:c r="Y422"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22" s="15" t="str">
        <x:v>https://prozorro.gov.ua/tender/UA-2026-07-27-010950-a</x:v>
      </x:c>
      <x:c r="AA422" s="14" t="str">
        <x:v>44220480</x:v>
      </x:c>
      <x:c r="AB422" s="14" t="str">
        <x:v>2026-08-24</x:v>
      </x:c>
      <x:c r="AC422" s="14" t="str"/>
      <x:c r="AD422" s="20" t="str"/>
      <x:c r="AE422" s="14" t="str"/>
      <x:c r="AF422" s="14" t="n">
        <x:v>56</x:v>
      </x:c>
      <x:c r="AG422" s="14" t="str">
        <x:v>I3</x:v>
      </x:c>
      <x:c r="AH422" s="14" t="n">
        <x:v>1</x:v>
      </x:c>
      <x:c r="AI422" s="14" t="n">
        <x:v>1</x:v>
      </x:c>
      <x:c r="AJ422" s="18" t="n">
        <x:v>125556.27</x:v>
      </x:c>
      <x:c r="AK422" s="14" t="str">
        <x:v>https://prozorro.gov.ua/tender/UA-2026-07-27-010950-a</x:v>
      </x:c>
      <x:c r="AL422" s="19" t="n">
        <x:v>46230.60918255787</x:v>
      </x:c>
      <x:c r="AM422" s="19" t="n">
        <x:v>46356.65076388889</x:v>
      </x:c>
      <x:c r="AN422" s="15" t="str">
        <x:v>Насосні станції</x:v>
      </x:c>
      <x:c r="AO422" s="15" t="str">
        <x:v>not_found_in_top_search</x:v>
      </x:c>
    </x:row>
    <x:row r="423">
      <x:c r="A423" s="14" t="str">
        <x:v>W3-151</x:v>
      </x:c>
      <x:c r="B423" s="14" t="str">
        <x:v>Prozorro winners — 24.08</x:v>
      </x:c>
      <x:c r="C423" s="14" t="str">
        <x:v>ТОВАРИСТВО З ОБМЕЖЕНОЮ ВІДПОВІДАЛЬНІСТЮ "ЕЛЕКТРОСЕРВІС-1"</x:v>
      </x:c>
      <x:c r="D423" s="14" t="str">
        <x:v>Електромонтаж</x:v>
      </x:c>
      <x:c r="E423" s="14" t="str">
        <x:v>Pilot now</x:v>
      </x:c>
      <x:c r="F423" s="17" t="str">
        <x:v>P3</x:v>
      </x:c>
      <x:c r="G423" s="14" t="str"/>
      <x:c r="H423" s="14" t="str">
        <x:v>Пілот зараз — Н.15</x:v>
      </x:c>
      <x:c r="I423" s="16" t="n">
        <x:v>5</x:v>
      </x:c>
      <x:c r="J423" s="16" t="n">
        <x:v>5</x:v>
      </x:c>
      <x:c r="K423" s="16" t="n">
        <x:v>5</x:v>
      </x:c>
      <x:c r="L423" s="16" t="n">
        <x:v>2</x:v>
      </x:c>
      <x:c r="M423" s="16" t="n">
        <x:v>5</x:v>
      </x:c>
      <x:c r="N423" s="16" t="n">
        <x:v>5</x:v>
      </x:c>
      <x:c r="O423" s="16" t="n">
        <x:v>5</x:v>
      </x:c>
      <x:c r="P423" s="16" t="n">
        <x:f>IF(COUNT(I423:O423)&lt;7,"",I423*8+J423*3+K423*2+L423*2+M423*2+N423*2+O423)</x:f>
        <x:v>94</x:v>
      </x:c>
      <x:c r="Q423" s="16" t="n">
        <x:f>IF(COUNT(J423:O423)&lt;6,"",J423*5+K423*4+M423*4+L423*3+N423*2+O423*2)</x:f>
        <x:v>91</x:v>
      </x:c>
      <x:c r="R423" s="14" t="str">
        <x:v>high</x:v>
      </x:c>
      <x:c r="S423" s="14" t="str">
        <x:v>official_prozorro_award_2025_2026</x:v>
      </x:c>
      <x:c r="T423" s="14" t="str">
        <x:v>official_prozorro_api</x:v>
      </x:c>
      <x:c r="U423" s="14" t="str">
        <x:v>Не контактували</x:v>
      </x:c>
      <x:c r="V423" s="15" t="str">
        <x:v>Персоналізований free-pilot outreach по UA-2026-08-12-001005-a; попросити 1 пакет Н.14/Н.15</x:v>
      </x:c>
      <x:c r="W423" s="15" t="str">
        <x:v>Власник / директор; керівник ПТО; відповідальний за договори</x:v>
      </x:c>
      <x:c r="X423" s="15" t="str">
        <x:v>1 підтверджених перемог/договорів у Prozorro на 118 805 грн; 1 проєктів зі строком виконання не раніше 24.08.2026.</x:v>
      </x:c>
      <x:c r="Y423" s="15" t="str">
        <x:v> Електромонтажні роботи; строк до 2026-12-31. Попросити один знеособлений пакет здачі за цим workflow.</x:v>
      </x:c>
      <x:c r="Z423" s="15" t="str">
        <x:v>https://prozorro.gov.ua/tender/UA-2026-08-12-001005-a</x:v>
      </x:c>
      <x:c r="AA423" s="14" t="str">
        <x:v>30984149</x:v>
      </x:c>
      <x:c r="AB423" s="14" t="str">
        <x:v>2026-08-24</x:v>
      </x:c>
      <x:c r="AC423" s="14" t="str"/>
      <x:c r="AD423" s="20" t="str"/>
      <x:c r="AE423" s="14" t="str"/>
      <x:c r="AF423" s="14" t="n">
        <x:v>56</x:v>
      </x:c>
      <x:c r="AG423" s="14" t="str">
        <x:v>I3</x:v>
      </x:c>
      <x:c r="AH423" s="14" t="n">
        <x:v>1</x:v>
      </x:c>
      <x:c r="AI423" s="14" t="n">
        <x:v>1</x:v>
      </x:c>
      <x:c r="AJ423" s="18" t="n">
        <x:v>118805</x:v>
      </x:c>
      <x:c r="AK423" s="14" t="str">
        <x:v>https://prozorro.gov.ua/tender/UA-2026-08-12-001005-a</x:v>
      </x:c>
      <x:c r="AL423" s="19" t="n">
        <x:v>46246.274339641204</x:v>
      </x:c>
      <x:c r="AM423" s="19" t="n">
        <x:v>46387</x:v>
      </x:c>
      <x:c r="AN423" s="15" t="str">
        <x:v>Електромонтаж</x:v>
      </x:c>
      <x:c r="AO423" s="15" t="str">
        <x:v>not_found_in_top_search</x:v>
      </x:c>
    </x:row>
    <x:row r="424">
      <x:c r="A424" s="14" t="str">
        <x:v>W3-152</x:v>
      </x:c>
      <x:c r="B424" s="14" t="str">
        <x:v>Prozorro winners — 24.08</x:v>
      </x:c>
      <x:c r="C424" s="14" t="str">
        <x:v>ТОВАРИСТВО З ОБМЕЖЕНОЮ ВІДПОВІДАЛЬНІСТЮ "СОКІЛ ГАРД 2019"</x:v>
      </x:c>
      <x:c r="D424" s="14" t="str">
        <x:v>Безпека / СКУД / CCTV</x:v>
      </x:c>
      <x:c r="E424" s="14" t="str">
        <x:v>Expansion discovery</x:v>
      </x:c>
      <x:c r="F424" s="17" t="str">
        <x:v>D3</x:v>
      </x:c>
      <x:c r="G424" s="14" t="str"/>
      <x:c r="H424" s="14" t="str">
        <x:v>Discovery розширення — 2 тижні</x:v>
      </x:c>
      <x:c r="I424" s="16" t="n">
        <x:v>1</x:v>
      </x:c>
      <x:c r="J424" s="16" t="n">
        <x:v>5</x:v>
      </x:c>
      <x:c r="K424" s="16" t="n">
        <x:v>4</x:v>
      </x:c>
      <x:c r="L424" s="16" t="n">
        <x:v>1</x:v>
      </x:c>
      <x:c r="M424" s="16" t="n">
        <x:v>5</x:v>
      </x:c>
      <x:c r="N424" s="16" t="n">
        <x:v>5</x:v>
      </x:c>
      <x:c r="O424" s="16" t="n">
        <x:v>5</x:v>
      </x:c>
      <x:c r="P424" s="16" t="n">
        <x:f>IF(COUNT(I424:O424)&lt;7,"",I424*8+J424*3+K424*2+L424*2+M424*2+N424*2+O424)</x:f>
        <x:v>58</x:v>
      </x:c>
      <x:c r="Q424" s="16" t="n">
        <x:f>IF(COUNT(J424:O424)&lt;6,"",J424*5+K424*4+M424*4+L424*3+N424*2+O424*2)</x:f>
        <x:v>84</x:v>
      </x:c>
      <x:c r="R424" s="14" t="str">
        <x:v>high</x:v>
      </x:c>
      <x:c r="S424" s="14" t="str">
        <x:v>official_prozorro_award_2025_2026</x:v>
      </x:c>
      <x:c r="T424" s="14" t="str">
        <x:v>official_prozorro_api</x:v>
      </x:c>
      <x:c r="U424" s="14" t="str">
        <x:v>Не контактували</x:v>
      </x:c>
      <x:c r="V424" s="15" t="str">
        <x:v>Workflow-audit outreach по UA-2026-05-06-001393-a; попросити 1 пакет здачі та вимоги проєкту</x:v>
      </x:c>
      <x:c r="W424" s="15" t="str">
        <x:v>Власник / директор; керівник ПТО; відповідальний за договори</x:v>
      </x:c>
      <x:c r="X424" s="15" t="str">
        <x:v>2 підтверджених перемог/договорів у Prozorro на 82 222 грн; 2 проєктів зі строком виконання не раніше 24.08.2026.</x:v>
      </x:c>
      <x:c r="Y424" s="15" t="str">
        <x:v>Послуги з монтажу та пусконалагоджувальних робіт по системі контролю доступом на об'єкті: Полтавська область, м. Кременчук, вул. Олексія Древаля, 35; строк до 2026-11-30. Попросити один знеособлений пакет здачі за цим workflow.</x:v>
      </x:c>
      <x:c r="Z424" s="15" t="str">
        <x:v>https://prozorro.gov.ua/tender/UA-2026-05-06-001393-a</x:v>
      </x:c>
      <x:c r="AA424" s="14" t="str">
        <x:v>43054824</x:v>
      </x:c>
      <x:c r="AB424" s="14" t="str">
        <x:v>2026-08-24</x:v>
      </x:c>
      <x:c r="AC424" s="14" t="str"/>
      <x:c r="AD424" s="20" t="str"/>
      <x:c r="AE424" s="14" t="str"/>
      <x:c r="AF424" s="14" t="n">
        <x:v>56</x:v>
      </x:c>
      <x:c r="AG424" s="14" t="str">
        <x:v>I3</x:v>
      </x:c>
      <x:c r="AH424" s="14" t="n">
        <x:v>2</x:v>
      </x:c>
      <x:c r="AI424" s="14" t="n">
        <x:v>2</x:v>
      </x:c>
      <x:c r="AJ424" s="18" t="n">
        <x:v>82222.26</x:v>
      </x:c>
      <x:c r="AK424" s="14" t="str">
        <x:v>https://prozorro.gov.ua/tender/UA-2026-05-06-001393-a</x:v>
      </x:c>
      <x:c r="AL424" s="19" t="n">
        <x:v>46148.28090574074</x:v>
      </x:c>
      <x:c r="AM424" s="19" t="n">
        <x:v>46356</x:v>
      </x:c>
      <x:c r="AN424" s="15" t="str">
        <x:v>Безпека / СКУД / CCTV</x:v>
      </x:c>
      <x:c r="AO424" s="15" t="str">
        <x:v>not_found_in_top_search</x:v>
      </x:c>
    </x:row>
    <x:row r="425">
      <x:c r="A425" s="14" t="str">
        <x:v>W3-153</x:v>
      </x:c>
      <x:c r="B425" s="14" t="str">
        <x:v>Prozorro winners — 24.08</x:v>
      </x:c>
      <x:c r="C425" s="14" t="str">
        <x:v>БАЛУЦЬКИЙ ВІТАЛІЙ МИРОСЛАВОВИЧ</x:v>
      </x:c>
      <x:c r="D425" s="14" t="str">
        <x:v>Водоочищення / очисні споруди</x:v>
      </x:c>
      <x:c r="E425" s="14" t="str">
        <x:v>Expansion discovery</x:v>
      </x:c>
      <x:c r="F425" s="17" t="str">
        <x:v>D3</x:v>
      </x:c>
      <x:c r="G425" s="14" t="str"/>
      <x:c r="H425" s="14" t="str">
        <x:v>Discovery розширення — 2 тижні</x:v>
      </x:c>
      <x:c r="I425" s="16" t="n">
        <x:v>1</x:v>
      </x:c>
      <x:c r="J425" s="16" t="n">
        <x:v>5</x:v>
      </x:c>
      <x:c r="K425" s="16" t="n">
        <x:v>4</x:v>
      </x:c>
      <x:c r="L425" s="16" t="n">
        <x:v>1</x:v>
      </x:c>
      <x:c r="M425" s="16" t="n">
        <x:v>5</x:v>
      </x:c>
      <x:c r="N425" s="16" t="n">
        <x:v>3</x:v>
      </x:c>
      <x:c r="O425" s="16" t="n">
        <x:v>5</x:v>
      </x:c>
      <x:c r="P425" s="16" t="n">
        <x:f>IF(COUNT(I425:O425)&lt;7,"",I425*8+J425*3+K425*2+L425*2+M425*2+N425*2+O425)</x:f>
        <x:v>54</x:v>
      </x:c>
      <x:c r="Q425" s="16" t="n">
        <x:f>IF(COUNT(J425:O425)&lt;6,"",J425*5+K425*4+M425*4+L425*3+N425*2+O425*2)</x:f>
        <x:v>80</x:v>
      </x:c>
      <x:c r="R425" s="14" t="str">
        <x:v>high</x:v>
      </x:c>
      <x:c r="S425" s="14" t="str">
        <x:v>official_prozorro_award_2025_2026</x:v>
      </x:c>
      <x:c r="T425" s="14" t="str">
        <x:v>official_prozorro_api</x:v>
      </x:c>
      <x:c r="U425" s="14" t="str">
        <x:v>Не контактували</x:v>
      </x:c>
      <x:c r="V425" s="15" t="str">
        <x:v>Повторне звернення з новим тендерним сигналом UA-2026-03-11-013117-a; попросити 1 пакет здачі</x:v>
      </x:c>
      <x:c r="W425" s="15" t="str">
        <x:v>Власник / виконавець; відповідальний за договір</x:v>
      </x:c>
      <x:c r="X425" s="15" t="str">
        <x:v>2 підтверджених перемог/договорів у Prozorro на 37 380 грн; 2 проєктів зі строком виконання не раніше 24.08.2026.</x:v>
      </x:c>
      <x:c r="Y425" s="15" t="str">
        <x:v>Реконструкція каналЬаційної насосної станції в
смт. Шкло по вул.Богдана Слободи, 1 Новояворівська ТГ Яворівського району Львівської
області»; строк до 2026-12-31. Попросити один знеособлений пакет здачі за цим workflow.</x:v>
      </x:c>
      <x:c r="Z425" s="15" t="str">
        <x:v>https://prozorro.gov.ua/tender/UA-2026-06-10-010425-a</x:v>
      </x:c>
      <x:c r="AA425" s="14" t="str">
        <x:v>2833104892</x:v>
      </x:c>
      <x:c r="AB425" s="14" t="str">
        <x:v>2026-08-24</x:v>
      </x:c>
      <x:c r="AC425" s="14" t="str"/>
      <x:c r="AD425" s="20" t="str"/>
      <x:c r="AE425" s="14" t="str"/>
      <x:c r="AF425" s="14" t="n">
        <x:v>56</x:v>
      </x:c>
      <x:c r="AG425" s="14" t="str">
        <x:v>I3</x:v>
      </x:c>
      <x:c r="AH425" s="14" t="n">
        <x:v>3</x:v>
      </x:c>
      <x:c r="AI425" s="14" t="n">
        <x:v>3</x:v>
      </x:c>
      <x:c r="AJ425" s="18" t="n">
        <x:v>49840</x:v>
      </x:c>
      <x:c r="AK425" s="14" t="str">
        <x:v>https://prozorro.gov.ua/tender/UA-2026-03-11-013117-a</x:v>
      </x:c>
      <x:c r="AL425" s="19" t="n">
        <x:v>46093.613972858795</x:v>
      </x:c>
      <x:c r="AM425" s="19" t="n">
        <x:v>46387</x:v>
      </x:c>
      <x:c r="AN425" s="15" t="str">
        <x:v>Водоочищення / очисні споруди; Насосні станції</x:v>
      </x:c>
      <x:c r="AO425" s="15" t="str">
        <x:v>not_found_in_top_search</x:v>
      </x:c>
    </x:row>
    <x:row r="426">
      <x:c r="A426" s="14" t="str">
        <x:v>W3-154</x:v>
      </x:c>
      <x:c r="B426" s="14" t="str">
        <x:v>Prozorro winners — 24.08</x:v>
      </x:c>
      <x:c r="C426" s="14" t="str">
        <x:v>ФОП Копко Андрій Васильович</x:v>
      </x:c>
      <x:c r="D426" s="14" t="str">
        <x:v>Мости / інфраструктура</x:v>
      </x:c>
      <x:c r="E426" s="14" t="str">
        <x:v>Expansion discovery</x:v>
      </x:c>
      <x:c r="F426" s="17" t="str">
        <x:v>D3</x:v>
      </x:c>
      <x:c r="G426" s="14" t="str"/>
      <x:c r="H426" s="14" t="str">
        <x:v>Discovery розширення — 2 тижні</x:v>
      </x:c>
      <x:c r="I426" s="16" t="n">
        <x:v>1</x:v>
      </x:c>
      <x:c r="J426" s="16" t="n">
        <x:v>5</x:v>
      </x:c>
      <x:c r="K426" s="16" t="n">
        <x:v>4</x:v>
      </x:c>
      <x:c r="L426" s="16" t="n">
        <x:v>4</x:v>
      </x:c>
      <x:c r="M426" s="16" t="n">
        <x:v>5</x:v>
      </x:c>
      <x:c r="N426" s="16" t="n">
        <x:v>3</x:v>
      </x:c>
      <x:c r="O426" s="16" t="n">
        <x:v>5</x:v>
      </x:c>
      <x:c r="P426" s="16" t="n">
        <x:f>IF(COUNT(I426:O426)&lt;7,"",I426*8+J426*3+K426*2+L426*2+M426*2+N426*2+O426)</x:f>
        <x:v>60</x:v>
      </x:c>
      <x:c r="Q426" s="16" t="n">
        <x:f>IF(COUNT(J426:O426)&lt;6,"",J426*5+K426*4+M426*4+L426*3+N426*2+O426*2)</x:f>
        <x:v>89</x:v>
      </x:c>
      <x:c r="R426" s="14" t="str">
        <x:v>high</x:v>
      </x:c>
      <x:c r="S426" s="14" t="str">
        <x:v>official_prozorro_award_2025_2026</x:v>
      </x:c>
      <x:c r="T426" s="14" t="str">
        <x:v>official_prozorro_api</x:v>
      </x:c>
      <x:c r="U426" s="14" t="str">
        <x:v>Не контактували</x:v>
      </x:c>
      <x:c r="V426" s="15" t="str">
        <x:v>Workflow-audit outreach по UA-2026-06-23-002988-a; попросити 1 пакет здачі та вимоги проєкту</x:v>
      </x:c>
      <x:c r="W426" s="15" t="str">
        <x:v>Власник / виконавець; відповідальний за договір</x:v>
      </x:c>
      <x:c r="X426" s="15" t="str">
        <x:v>1 підтверджених перемог/договорів у Prozorro на 2 596 716 грн; 1 проєктів зі строком виконання не раніше 24.08.2026.</x:v>
      </x:c>
      <x:c r="Y426" s="15" t="str">
        <x:v>Послуги з ремонту автобусів (послуги з ремонту портальних мостів ZF AV 132 II/80); строк до 2026-12-31. Попросити один знеособлений пакет здачі за цим workflow.</x:v>
      </x:c>
      <x:c r="Z426" s="15" t="str">
        <x:v>https://prozorro.gov.ua/tender/UA-2026-06-23-002988-a</x:v>
      </x:c>
      <x:c r="AA426" s="14" t="str">
        <x:v>3100916759</x:v>
      </x:c>
      <x:c r="AB426" s="14" t="str">
        <x:v>2026-08-24</x:v>
      </x:c>
      <x:c r="AC426" s="14" t="str"/>
      <x:c r="AD426" s="20" t="str"/>
      <x:c r="AE426" s="14" t="str"/>
      <x:c r="AF426" s="14" t="n">
        <x:v>55</x:v>
      </x:c>
      <x:c r="AG426" s="14" t="str">
        <x:v>I3</x:v>
      </x:c>
      <x:c r="AH426" s="14" t="n">
        <x:v>1</x:v>
      </x:c>
      <x:c r="AI426" s="14" t="n">
        <x:v>1</x:v>
      </x:c>
      <x:c r="AJ426" s="18" t="n">
        <x:v>2596716</x:v>
      </x:c>
      <x:c r="AK426" s="14" t="str">
        <x:v>https://prozorro.gov.ua/tender/UA-2026-06-23-002988-a</x:v>
      </x:c>
      <x:c r="AL426" s="19" t="n">
        <x:v>46209.25579451389</x:v>
      </x:c>
      <x:c r="AM426" s="19" t="n">
        <x:v>46387</x:v>
      </x:c>
      <x:c r="AN426" s="15" t="str">
        <x:v>Мости / інфраструктура</x:v>
      </x:c>
      <x:c r="AO426" s="15" t="str">
        <x:v>not_found_in_top_search</x:v>
      </x:c>
    </x:row>
    <x:row r="427">
      <x:c r="A427" s="14" t="str">
        <x:v>W3-155</x:v>
      </x:c>
      <x:c r="B427" s="14" t="str">
        <x:v>Prozorro winners — 24.08</x:v>
      </x:c>
      <x:c r="C427" s="14" t="str">
        <x:v>ТОВ "УКРВЕНТКЛІМАТ"</x:v>
      </x:c>
      <x:c r="D427" s="14" t="str">
        <x:v>Промисловий холод</x:v>
      </x:c>
      <x:c r="E427" s="14" t="str">
        <x:v>Expansion discovery</x:v>
      </x:c>
      <x:c r="F427" s="17" t="str">
        <x:v>D3</x:v>
      </x:c>
      <x:c r="G427" s="14" t="str"/>
      <x:c r="H427" s="14" t="str">
        <x:v>Discovery розширення — 2 тижні</x:v>
      </x:c>
      <x:c r="I427" s="16" t="n">
        <x:v>1</x:v>
      </x:c>
      <x:c r="J427" s="16" t="n">
        <x:v>5</x:v>
      </x:c>
      <x:c r="K427" s="16" t="n">
        <x:v>4</x:v>
      </x:c>
      <x:c r="L427" s="16" t="n">
        <x:v>3</x:v>
      </x:c>
      <x:c r="M427" s="16" t="n">
        <x:v>5</x:v>
      </x:c>
      <x:c r="N427" s="16" t="n">
        <x:v>5</x:v>
      </x:c>
      <x:c r="O427" s="16" t="n">
        <x:v>5</x:v>
      </x:c>
      <x:c r="P427" s="16" t="n">
        <x:f>IF(COUNT(I427:O427)&lt;7,"",I427*8+J427*3+K427*2+L427*2+M427*2+N427*2+O427)</x:f>
        <x:v>62</x:v>
      </x:c>
      <x:c r="Q427" s="16" t="n">
        <x:f>IF(COUNT(J427:O427)&lt;6,"",J427*5+K427*4+M427*4+L427*3+N427*2+O427*2)</x:f>
        <x:v>90</x:v>
      </x:c>
      <x:c r="R427" s="14" t="str">
        <x:v>high</x:v>
      </x:c>
      <x:c r="S427" s="14" t="str">
        <x:v>official_prozorro_award_2025_2026</x:v>
      </x:c>
      <x:c r="T427" s="14" t="str">
        <x:v>official_prozorro_api</x:v>
      </x:c>
      <x:c r="U427" s="14" t="str">
        <x:v>Не контактували</x:v>
      </x:c>
      <x:c r="V427" s="15" t="str">
        <x:v>Повторне звернення з новим тендерним сигналом UA-2025-09-26-009269-a; попросити 1 пакет здачі</x:v>
      </x:c>
      <x:c r="W427" s="15" t="str">
        <x:v>Власник / директор; керівник ПТО; відповідальний за договори</x:v>
      </x:c>
      <x:c r="X427" s="15" t="str">
        <x:v>1 підтверджених перемог/договорів у Prozorro на 569 780 грн; 0 проєктів зі строком виконання не раніше 24.08.2026.</x:v>
      </x:c>
      <x:c r="Y427"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427" s="15" t="str">
        <x:v>https://prozorro.gov.ua/tender/UA-2026-07-03-005410-a</x:v>
      </x:c>
      <x:c r="AA427" s="14" t="str">
        <x:v>41988622</x:v>
      </x:c>
      <x:c r="AB427" s="14" t="str">
        <x:v>2026-08-24</x:v>
      </x:c>
      <x:c r="AC427" s="14" t="str"/>
      <x:c r="AD427" s="20" t="str"/>
      <x:c r="AE427" s="14" t="str"/>
      <x:c r="AF427" s="14" t="n">
        <x:v>55</x:v>
      </x:c>
      <x:c r="AG427" s="14" t="str">
        <x:v>I3</x:v>
      </x:c>
      <x:c r="AH427" s="14" t="n">
        <x:v>3</x:v>
      </x:c>
      <x:c r="AI427" s="14" t="n">
        <x:v>0</x:v>
      </x:c>
      <x:c r="AJ427" s="18" t="n">
        <x:v>2077754.5</x:v>
      </x:c>
      <x:c r="AK427" s="14" t="str">
        <x:v>https://prozorro.gov.ua/tender/UA-2025-09-26-009269-a</x:v>
      </x:c>
      <x:c r="AL427" s="19" t="n">
        <x:v>45939.47932902778</x:v>
      </x:c>
      <x:c r="AM427" s="19" t="n">
        <x:v>45961</x:v>
      </x:c>
      <x:c r="AN427" s="15" t="str">
        <x:v>Промисловий холод</x:v>
      </x:c>
      <x:c r="AO427" s="15" t="str">
        <x:v>not_found_in_top_search</x:v>
      </x:c>
    </x:row>
    <x:row r="428">
      <x:c r="A428" s="14" t="str">
        <x:v>W3-156</x:v>
      </x:c>
      <x:c r="B428" s="14" t="str">
        <x:v>Prozorro winners — 24.08</x:v>
      </x:c>
      <x:c r="C428" s="14" t="str">
        <x:v>Товариство з обмеженою відповідальністю "Дніпропетровське спеціалізоване протипожежне підприємство"</x:v>
      </x:c>
      <x:c r="D428" s="14" t="str">
        <x:v>Газопостачання / котельні</x:v>
      </x:c>
      <x:c r="E428" s="14" t="str">
        <x:v>Expansion discovery</x:v>
      </x:c>
      <x:c r="F428" s="17" t="str">
        <x:v>D3</x:v>
      </x:c>
      <x:c r="G428" s="14" t="str"/>
      <x:c r="H428" s="14" t="str">
        <x:v>Discovery розширення — 2 тижні</x:v>
      </x:c>
      <x:c r="I428" s="16" t="n">
        <x:v>1</x:v>
      </x:c>
      <x:c r="J428" s="16" t="n">
        <x:v>5</x:v>
      </x:c>
      <x:c r="K428" s="16" t="n">
        <x:v>4</x:v>
      </x:c>
      <x:c r="L428" s="16" t="n">
        <x:v>2</x:v>
      </x:c>
      <x:c r="M428" s="16" t="n">
        <x:v>5</x:v>
      </x:c>
      <x:c r="N428" s="16" t="n">
        <x:v>5</x:v>
      </x:c>
      <x:c r="O428" s="16" t="n">
        <x:v>5</x:v>
      </x:c>
      <x:c r="P428" s="16" t="n">
        <x:f>IF(COUNT(I428:O428)&lt;7,"",I428*8+J428*3+K428*2+L428*2+M428*2+N428*2+O428)</x:f>
        <x:v>60</x:v>
      </x:c>
      <x:c r="Q428" s="16" t="n">
        <x:f>IF(COUNT(J428:O428)&lt;6,"",J428*5+K428*4+M428*4+L428*3+N428*2+O428*2)</x:f>
        <x:v>87</x:v>
      </x:c>
      <x:c r="R428" s="14" t="str">
        <x:v>high</x:v>
      </x:c>
      <x:c r="S428" s="14" t="str">
        <x:v>official_prozorro_award_2025_2026</x:v>
      </x:c>
      <x:c r="T428" s="14" t="str">
        <x:v>official_prozorro_api</x:v>
      </x:c>
      <x:c r="U428" s="14" t="str">
        <x:v>Не контактували</x:v>
      </x:c>
      <x:c r="V428" s="15" t="str">
        <x:v>Workflow-audit outreach по UA-2026-03-25-005417-a; попросити 1 пакет здачі та вимоги проєкту</x:v>
      </x:c>
      <x:c r="W428" s="15" t="str">
        <x:v>Власник / директор; керівник ПТО; відповідальний за договори</x:v>
      </x:c>
      <x:c r="X428" s="15" t="str">
        <x:v>2 підтверджених перемог/договорів у Prozorro на 314 600 грн; 1 проєктів зі строком виконання не раніше 24.08.2026.</x:v>
      </x:c>
      <x:c r="Y428"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 строк до 2026-11-30. Попросити один знеособлений пакет здачі за цим workflow.</x:v>
      </x:c>
      <x:c r="Z428" s="15" t="str">
        <x:v>https://prozorro.gov.ua/tender/UA-2026-03-25-005417-a</x:v>
      </x:c>
      <x:c r="AA428" s="14" t="str">
        <x:v>35269494</x:v>
      </x:c>
      <x:c r="AB428" s="14" t="str">
        <x:v>2026-08-24</x:v>
      </x:c>
      <x:c r="AC428" s="14" t="str"/>
      <x:c r="AD428" s="20" t="str"/>
      <x:c r="AE428" s="14" t="str"/>
      <x:c r="AF428" s="14" t="n">
        <x:v>55</x:v>
      </x:c>
      <x:c r="AG428" s="14" t="str">
        <x:v>I3</x:v>
      </x:c>
      <x:c r="AH428" s="14" t="n">
        <x:v>2</x:v>
      </x:c>
      <x:c r="AI428" s="14" t="n">
        <x:v>1</x:v>
      </x:c>
      <x:c r="AJ428" s="18" t="n">
        <x:v>314599.82</x:v>
      </x:c>
      <x:c r="AK428" s="14" t="str">
        <x:v>https://prozorro.gov.ua/tender/UA-2026-03-25-005417-a</x:v>
      </x:c>
      <x:c r="AL428" s="19" t="n">
        <x:v>46155.45745488426</x:v>
      </x:c>
      <x:c r="AM428" s="19" t="n">
        <x:v>46356</x:v>
      </x:c>
      <x:c r="AN428" s="15" t="str">
        <x:v>Газопостачання / котельні</x:v>
      </x:c>
      <x:c r="AO428" s="15" t="str">
        <x:v>not_found_in_top_search</x:v>
      </x:c>
    </x:row>
    <x:row r="429">
      <x:c r="A429" s="14" t="str">
        <x:v>W3-157</x:v>
      </x:c>
      <x:c r="B429" s="14" t="str">
        <x:v>Prozorro winners — 24.08</x:v>
      </x:c>
      <x:c r="C429" s="14" t="str">
        <x:v>Гаваль Ганна Олександрівна</x:v>
      </x:c>
      <x:c r="D429" s="14" t="str">
        <x:v>Пожежогасіння</x:v>
      </x:c>
      <x:c r="E429" s="14" t="str">
        <x:v>Expansion discovery</x:v>
      </x:c>
      <x:c r="F429" s="17" t="str">
        <x:v>D3</x:v>
      </x:c>
      <x:c r="G429" s="14" t="str"/>
      <x:c r="H429" s="14" t="str">
        <x:v>Discovery розширення — 2 тижні</x:v>
      </x:c>
      <x:c r="I429" s="16" t="n">
        <x:v>1</x:v>
      </x:c>
      <x:c r="J429" s="16" t="n">
        <x:v>5</x:v>
      </x:c>
      <x:c r="K429" s="16" t="n">
        <x:v>4</x:v>
      </x:c>
      <x:c r="L429" s="16" t="n">
        <x:v>2</x:v>
      </x:c>
      <x:c r="M429" s="16" t="n">
        <x:v>5</x:v>
      </x:c>
      <x:c r="N429" s="16" t="n">
        <x:v>3</x:v>
      </x:c>
      <x:c r="O429" s="16" t="n">
        <x:v>5</x:v>
      </x:c>
      <x:c r="P429" s="16" t="n">
        <x:f>IF(COUNT(I429:O429)&lt;7,"",I429*8+J429*3+K429*2+L429*2+M429*2+N429*2+O429)</x:f>
        <x:v>56</x:v>
      </x:c>
      <x:c r="Q429" s="16" t="n">
        <x:f>IF(COUNT(J429:O429)&lt;6,"",J429*5+K429*4+M429*4+L429*3+N429*2+O429*2)</x:f>
        <x:v>83</x:v>
      </x:c>
      <x:c r="R429" s="14" t="str">
        <x:v>high</x:v>
      </x:c>
      <x:c r="S429" s="14" t="str">
        <x:v>official_prozorro_award_2025_2026</x:v>
      </x:c>
      <x:c r="T429" s="14" t="str">
        <x:v>official_prozorro_api</x:v>
      </x:c>
      <x:c r="U429" s="14" t="str">
        <x:v>Не контактували</x:v>
      </x:c>
      <x:c r="V429" s="15" t="str">
        <x:v>Workflow-audit outreach по UA-2026-06-30-011091-a; попросити 1 пакет здачі та вимоги проєкту</x:v>
      </x:c>
      <x:c r="W429" s="15" t="str">
        <x:v>Власник / виконавець; відповідальний за договір</x:v>
      </x:c>
      <x:c r="X429" s="15" t="str">
        <x:v>2 підтверджених перемог/договорів у Prozorro на 177 697 грн; 1 проєктів зі строком виконання не раніше 24.08.2026.</x:v>
      </x:c>
      <x:c r="Y429" s="15" t="str">
        <x:v>Послуги з монтажу системи пожежної сигналізації та системи оповіщення про пожежу; строк до 2026-12-31. Попросити один знеособлений пакет здачі за цим workflow.</x:v>
      </x:c>
      <x:c r="Z429" s="15" t="str">
        <x:v>https://prozorro.gov.ua/tender/UA-2026-06-30-011091-a</x:v>
      </x:c>
      <x:c r="AA429" s="14" t="str">
        <x:v>3358701424</x:v>
      </x:c>
      <x:c r="AB429" s="14" t="str">
        <x:v>2026-08-24</x:v>
      </x:c>
      <x:c r="AC429" s="14" t="str"/>
      <x:c r="AD429" s="20" t="str"/>
      <x:c r="AE429" s="14" t="str"/>
      <x:c r="AF429" s="14" t="n">
        <x:v>55</x:v>
      </x:c>
      <x:c r="AG429" s="14" t="str">
        <x:v>I3</x:v>
      </x:c>
      <x:c r="AH429" s="14" t="n">
        <x:v>2</x:v>
      </x:c>
      <x:c r="AI429" s="14" t="n">
        <x:v>1</x:v>
      </x:c>
      <x:c r="AJ429" s="18" t="n">
        <x:v>177696.78</x:v>
      </x:c>
      <x:c r="AK429" s="14" t="str">
        <x:v>https://prozorro.gov.ua/tender/UA-2026-06-30-011091-a</x:v>
      </x:c>
      <x:c r="AL429" s="19" t="n">
        <x:v>46203.528278287034</x:v>
      </x:c>
      <x:c r="AM429" s="19" t="n">
        <x:v>46387</x:v>
      </x:c>
      <x:c r="AN429" s="15" t="str">
        <x:v>Пожежогасіння; Сонячна енергетика</x:v>
      </x:c>
      <x:c r="AO429" s="15" t="str">
        <x:v>not_found_in_top_search</x:v>
      </x:c>
    </x:row>
    <x:row r="430">
      <x:c r="A430" s="14" t="str">
        <x:v>W3-158</x:v>
      </x:c>
      <x:c r="B430" s="14" t="str">
        <x:v>Prozorro winners — 24.08</x:v>
      </x:c>
      <x:c r="C430" s="14" t="str">
        <x:v>ТОВАРИСТВО З ОБМЕЖЕНОЮ ВІДПОВІДАЛЬНІСТЮ "ТРЕСТ "ПІВДЕНЬЗАХІДЕНЕРГОМЕРЕЖБУД"</x:v>
      </x:c>
      <x:c r="D430" s="14" t="str">
        <x:v>Водоочищення / очисні споруди</x:v>
      </x:c>
      <x:c r="E430" s="14" t="str">
        <x:v>Expansion discovery</x:v>
      </x:c>
      <x:c r="F430" s="17" t="str">
        <x:v>D3</x:v>
      </x:c>
      <x:c r="G430" s="14" t="str"/>
      <x:c r="H430" s="14" t="str">
        <x:v>Discovery розширення — 2 тижні</x:v>
      </x:c>
      <x:c r="I430" s="16" t="n">
        <x:v>1</x:v>
      </x:c>
      <x:c r="J430" s="16" t="n">
        <x:v>5</x:v>
      </x:c>
      <x:c r="K430" s="16" t="n">
        <x:v>4</x:v>
      </x:c>
      <x:c r="L430" s="16" t="n">
        <x:v>3</x:v>
      </x:c>
      <x:c r="M430" s="16" t="n">
        <x:v>5</x:v>
      </x:c>
      <x:c r="N430" s="16" t="n">
        <x:v>5</x:v>
      </x:c>
      <x:c r="O430" s="16" t="n">
        <x:v>5</x:v>
      </x:c>
      <x:c r="P430" s="16" t="n">
        <x:f>IF(COUNT(I430:O430)&lt;7,"",I430*8+J430*3+K430*2+L430*2+M430*2+N430*2+O430)</x:f>
        <x:v>62</x:v>
      </x:c>
      <x:c r="Q430" s="16" t="n">
        <x:f>IF(COUNT(J430:O430)&lt;6,"",J430*5+K430*4+M430*4+L430*3+N430*2+O430*2)</x:f>
        <x:v>90</x:v>
      </x:c>
      <x:c r="R430" s="14" t="str">
        <x:v>high</x:v>
      </x:c>
      <x:c r="S430" s="14" t="str">
        <x:v>official_prozorro_award_2025_2026</x:v>
      </x:c>
      <x:c r="T430" s="14" t="str">
        <x:v>official_prozorro_api</x:v>
      </x:c>
      <x:c r="U430" s="14" t="str">
        <x:v>Не контактували</x:v>
      </x:c>
      <x:c r="V430" s="15" t="str">
        <x:v>Workflow-audit outreach по UA-2026-02-20-013110-a; попросити 1 пакет здачі та вимоги проєкту</x:v>
      </x:c>
      <x:c r="W430" s="15" t="str">
        <x:v>Власник / директор; керівник ПТО; відповідальний за договори</x:v>
      </x:c>
      <x:c r="X430" s="15" t="str">
        <x:v>1 підтверджених перемог/договорів у Prozorro на 1 511 643 грн; 1 проєктів зі строком виконання не раніше 24.08.2026.</x:v>
      </x:c>
      <x:c r="Y430"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 строк до 2026-12-31. Попросити один знеособлений пакет здачі за цим workflow.</x:v>
      </x:c>
      <x:c r="Z430" s="15" t="str">
        <x:v>https://prozorro.gov.ua/tender/UA-2026-02-20-013110-a</x:v>
      </x:c>
      <x:c r="AA430" s="14" t="str">
        <x:v>45894114</x:v>
      </x:c>
      <x:c r="AB430" s="14" t="str">
        <x:v>2026-08-24</x:v>
      </x:c>
      <x:c r="AC430" s="14" t="str"/>
      <x:c r="AD430" s="20" t="str"/>
      <x:c r="AE430" s="14" t="str"/>
      <x:c r="AF430" s="14" t="n">
        <x:v>54</x:v>
      </x:c>
      <x:c r="AG430" s="14" t="str">
        <x:v>I3</x:v>
      </x:c>
      <x:c r="AH430" s="14" t="n">
        <x:v>1</x:v>
      </x:c>
      <x:c r="AI430" s="14" t="n">
        <x:v>1</x:v>
      </x:c>
      <x:c r="AJ430" s="18" t="n">
        <x:v>1511643.08</x:v>
      </x:c>
      <x:c r="AK430" s="14" t="str">
        <x:v>https://prozorro.gov.ua/tender/UA-2026-02-20-013110-a</x:v>
      </x:c>
      <x:c r="AL430" s="19" t="n">
        <x:v>46139.62473923611</x:v>
      </x:c>
      <x:c r="AM430" s="19" t="n">
        <x:v>46387</x:v>
      </x:c>
      <x:c r="AN430" s="15" t="str">
        <x:v>Водоочищення / очисні споруди</x:v>
      </x:c>
      <x:c r="AO430" s="15" t="str">
        <x:v>not_found_in_top_search</x:v>
      </x:c>
    </x:row>
    <x:row r="431">
      <x:c r="A431" s="14" t="str">
        <x:v>W3-159</x:v>
      </x:c>
      <x:c r="B431" s="14" t="str">
        <x:v>Prozorro winners — 24.08</x:v>
      </x:c>
      <x:c r="C431" s="14" t="str">
        <x:v>ТОВАРИСТВО З ОБМЕЖЕНОЮ ВІДПОВІДАЛЬНІСТЮ "БЮРО ІНЖЕНЕРНИХ ПРОЕКТІВ"</x:v>
      </x:c>
      <x:c r="D431" s="14" t="str">
        <x:v>Водоочищення / очисні споруди</x:v>
      </x:c>
      <x:c r="E431" s="14" t="str">
        <x:v>Expansion discovery</x:v>
      </x:c>
      <x:c r="F431" s="17" t="str">
        <x:v>D3</x:v>
      </x:c>
      <x:c r="G431" s="14" t="str"/>
      <x:c r="H431" s="14" t="str">
        <x:v>Discovery розширення — 2 тижні</x:v>
      </x:c>
      <x:c r="I431" s="16" t="n">
        <x:v>1</x:v>
      </x:c>
      <x:c r="J431" s="16" t="n">
        <x:v>5</x:v>
      </x:c>
      <x:c r="K431" s="16" t="n">
        <x:v>4</x:v>
      </x:c>
      <x:c r="L431" s="16" t="n">
        <x:v>3</x:v>
      </x:c>
      <x:c r="M431" s="16" t="n">
        <x:v>5</x:v>
      </x:c>
      <x:c r="N431" s="16" t="n">
        <x:v>5</x:v>
      </x:c>
      <x:c r="O431" s="16" t="n">
        <x:v>5</x:v>
      </x:c>
      <x:c r="P431" s="16" t="n">
        <x:f>IF(COUNT(I431:O431)&lt;7,"",I431*8+J431*3+K431*2+L431*2+M431*2+N431*2+O431)</x:f>
        <x:v>62</x:v>
      </x:c>
      <x:c r="Q431" s="16" t="n">
        <x:f>IF(COUNT(J431:O431)&lt;6,"",J431*5+K431*4+M431*4+L431*3+N431*2+O431*2)</x:f>
        <x:v>90</x:v>
      </x:c>
      <x:c r="R431" s="14" t="str">
        <x:v>high</x:v>
      </x:c>
      <x:c r="S431" s="14" t="str">
        <x:v>official_prozorro_award_2025_2026</x:v>
      </x:c>
      <x:c r="T431" s="14" t="str">
        <x:v>official_prozorro_api</x:v>
      </x:c>
      <x:c r="U431" s="14" t="str">
        <x:v>Не контактували</x:v>
      </x:c>
      <x:c r="V431" s="15" t="str">
        <x:v>Workflow-audit outreach по UA-2026-04-30-007193-a; попросити 1 пакет здачі та вимоги проєкту</x:v>
      </x:c>
      <x:c r="W431" s="15" t="str">
        <x:v>Власник / директор; керівник ПТО; відповідальний за договори</x:v>
      </x:c>
      <x:c r="X431" s="15" t="str">
        <x:v>1 підтверджених перемог/договорів у Prozorro на 1 468 646 грн; 1 проєктів зі строком виконання не раніше 24.08.2026.</x:v>
      </x:c>
      <x:c r="Y431"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1" s="15" t="str">
        <x:v>https://prozorro.gov.ua/tender/UA-2026-04-30-007193-a</x:v>
      </x:c>
      <x:c r="AA431" s="14" t="str">
        <x:v>43296915</x:v>
      </x:c>
      <x:c r="AB431" s="14" t="str">
        <x:v>2026-08-24</x:v>
      </x:c>
      <x:c r="AC431" s="14" t="str"/>
      <x:c r="AD431" s="20" t="str"/>
      <x:c r="AE431" s="14" t="str"/>
      <x:c r="AF431" s="14" t="n">
        <x:v>54</x:v>
      </x:c>
      <x:c r="AG431" s="14" t="str">
        <x:v>I3</x:v>
      </x:c>
      <x:c r="AH431" s="14" t="n">
        <x:v>1</x:v>
      </x:c>
      <x:c r="AI431" s="14" t="n">
        <x:v>1</x:v>
      </x:c>
      <x:c r="AJ431" s="18" t="n">
        <x:v>1468646.32</x:v>
      </x:c>
      <x:c r="AK431" s="14" t="str">
        <x:v>https://prozorro.gov.ua/tender/UA-2026-04-30-007193-a</x:v>
      </x:c>
      <x:c r="AL431" s="19" t="n">
        <x:v>46142.479249108794</x:v>
      </x:c>
      <x:c r="AM431" s="19" t="n">
        <x:v>46387</x:v>
      </x:c>
      <x:c r="AN431" s="15" t="str">
        <x:v>Водоочищення / очисні споруди</x:v>
      </x:c>
      <x:c r="AO431" s="15" t="str">
        <x:v>not_found_in_top_search</x:v>
      </x:c>
    </x:row>
    <x:row r="432">
      <x:c r="A432" s="14" t="str">
        <x:v>W3-160</x:v>
      </x:c>
      <x:c r="B432" s="14" t="str">
        <x:v>Prozorro winners — 24.08</x:v>
      </x:c>
      <x:c r="C432" s="14" t="str">
        <x:v>ТОВ "Західбуд Стрий"</x:v>
      </x:c>
      <x:c r="D432" s="14" t="str">
        <x:v>HVAC / ОВіК</x:v>
      </x:c>
      <x:c r="E432" s="14" t="str">
        <x:v>Pilot now</x:v>
      </x:c>
      <x:c r="F432" s="17" t="str">
        <x:v>P3</x:v>
      </x:c>
      <x:c r="G432" s="14" t="str"/>
      <x:c r="H432" s="14" t="str">
        <x:v>Пілот зараз — Н.14</x:v>
      </x:c>
      <x:c r="I432" s="16" t="n">
        <x:v>5</x:v>
      </x:c>
      <x:c r="J432" s="16" t="n">
        <x:v>5</x:v>
      </x:c>
      <x:c r="K432" s="16" t="n">
        <x:v>5</x:v>
      </x:c>
      <x:c r="L432" s="16" t="n">
        <x:v>3</x:v>
      </x:c>
      <x:c r="M432" s="16" t="n">
        <x:v>5</x:v>
      </x:c>
      <x:c r="N432" s="16" t="n">
        <x:v>5</x:v>
      </x:c>
      <x:c r="O432" s="16" t="n">
        <x:v>5</x:v>
      </x:c>
      <x:c r="P432" s="16" t="n">
        <x:f>IF(COUNT(I432:O432)&lt;7,"",I432*8+J432*3+K432*2+L432*2+M432*2+N432*2+O432)</x:f>
        <x:v>96</x:v>
      </x:c>
      <x:c r="Q432" s="16" t="n">
        <x:f>IF(COUNT(J432:O432)&lt;6,"",J432*5+K432*4+M432*4+L432*3+N432*2+O432*2)</x:f>
        <x:v>94</x:v>
      </x:c>
      <x:c r="R432" s="14" t="str">
        <x:v>high</x:v>
      </x:c>
      <x:c r="S432" s="14" t="str">
        <x:v>official_prozorro_award_2025_2026</x:v>
      </x:c>
      <x:c r="T432" s="14" t="str">
        <x:v>official_prozorro_api</x:v>
      </x:c>
      <x:c r="U432" s="14" t="str">
        <x:v>Не контактували</x:v>
      </x:c>
      <x:c r="V432" s="15" t="str">
        <x:v>Персоналізований free-pilot outreach по UA-2026-05-11-014054-a; попросити 1 пакет Н.14/Н.15</x:v>
      </x:c>
      <x:c r="W432" s="15" t="str">
        <x:v>Власник / директор; керівник ПТО; відповідальний за договори</x:v>
      </x:c>
      <x:c r="X432" s="15" t="str">
        <x:v>1 підтверджених перемог/договорів у Prozorro на 1 316 843 грн; 1 проєктів зі строком виконання не раніше 24.08.2026.</x:v>
      </x:c>
      <x:c r="Y432"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32" s="15" t="str">
        <x:v>https://prozorro.gov.ua/tender/UA-2026-05-11-014054-a</x:v>
      </x:c>
      <x:c r="AA432" s="14" t="str">
        <x:v>44267382</x:v>
      </x:c>
      <x:c r="AB432" s="14" t="str">
        <x:v>2026-08-24</x:v>
      </x:c>
      <x:c r="AC432" s="14" t="str"/>
      <x:c r="AD432" s="20" t="str"/>
      <x:c r="AE432" s="14" t="str"/>
      <x:c r="AF432" s="14" t="n">
        <x:v>54</x:v>
      </x:c>
      <x:c r="AG432" s="14" t="str">
        <x:v>I3</x:v>
      </x:c>
      <x:c r="AH432" s="14" t="n">
        <x:v>1</x:v>
      </x:c>
      <x:c r="AI432" s="14" t="n">
        <x:v>1</x:v>
      </x:c>
      <x:c r="AJ432" s="18" t="n">
        <x:v>1316842.52</x:v>
      </x:c>
      <x:c r="AK432" s="14" t="str">
        <x:v>https://prozorro.gov.ua/tender/UA-2026-05-11-014054-a</x:v>
      </x:c>
      <x:c r="AL432" s="19" t="n">
        <x:v>46153.70323744213</x:v>
      </x:c>
      <x:c r="AM432" s="19" t="n">
        <x:v>46387</x:v>
      </x:c>
      <x:c r="AN432" s="15" t="str">
        <x:v>HVAC / ОВіК</x:v>
      </x:c>
      <x:c r="AO432" s="15" t="str">
        <x:v>not_found_in_top_search</x:v>
      </x:c>
    </x:row>
    <x:row r="433">
      <x:c r="A433" s="14" t="str">
        <x:v>W3-161</x:v>
      </x:c>
      <x:c r="B433" s="14" t="str">
        <x:v>Prozorro winners — 24.08</x:v>
      </x:c>
      <x:c r="C433" s="14" t="str">
        <x:v>ТОВ "ІНТЕРПРОЕКТ GMBH"</x:v>
      </x:c>
      <x:c r="D433" s="14" t="str">
        <x:v>Насосні станції</x:v>
      </x:c>
      <x:c r="E433" s="14" t="str">
        <x:v>Expansion discovery</x:v>
      </x:c>
      <x:c r="F433" s="17" t="str">
        <x:v>D3</x:v>
      </x:c>
      <x:c r="G433" s="14" t="str">
        <x:v>interprojekt.com.ua</x:v>
      </x:c>
      <x:c r="H433" s="14" t="str">
        <x:v>Discovery розширення — 2 тижні</x:v>
      </x:c>
      <x:c r="I433" s="16" t="n">
        <x:v>1</x:v>
      </x:c>
      <x:c r="J433" s="16" t="n">
        <x:v>5</x:v>
      </x:c>
      <x:c r="K433" s="16" t="n">
        <x:v>4</x:v>
      </x:c>
      <x:c r="L433" s="16" t="n">
        <x:v>3</x:v>
      </x:c>
      <x:c r="M433" s="16" t="n">
        <x:v>5</x:v>
      </x:c>
      <x:c r="N433" s="16" t="n">
        <x:v>5</x:v>
      </x:c>
      <x:c r="O433" s="16" t="n">
        <x:v>5</x:v>
      </x:c>
      <x:c r="P433" s="16" t="n">
        <x:f>IF(COUNT(I433:O433)&lt;7,"",I433*8+J433*3+K433*2+L433*2+M433*2+N433*2+O433)</x:f>
        <x:v>62</x:v>
      </x:c>
      <x:c r="Q433" s="16" t="n">
        <x:f>IF(COUNT(J433:O433)&lt;6,"",J433*5+K433*4+M433*4+L433*3+N433*2+O433*2)</x:f>
        <x:v>90</x:v>
      </x:c>
      <x:c r="R433" s="14" t="str">
        <x:v>high</x:v>
      </x:c>
      <x:c r="S433" s="14" t="str">
        <x:v>official_prozorro_award_2025_2026</x:v>
      </x:c>
      <x:c r="T433" s="14" t="str">
        <x:v>official_prozorro_api</x:v>
      </x:c>
      <x:c r="U433" s="14" t="str">
        <x:v>Не контактували</x:v>
      </x:c>
      <x:c r="V433" s="15" t="str">
        <x:v>Workflow-audit outreach по UA-2026-05-07-009595-a; попросити 1 пакет здачі та вимоги проєкту</x:v>
      </x:c>
      <x:c r="W433" s="15" t="str">
        <x:v>Власник / директор; керівник ПТО; відповідальний за договори</x:v>
      </x:c>
      <x:c r="X433" s="15" t="str">
        <x:v>1 підтверджених перемог/договорів у Prozorro на 1 312 467 грн; 1 проєктів зі строком виконання не раніше 24.08.2026.</x:v>
      </x:c>
      <x:c r="Y433" s="15" t="str">
        <x:v>Реконструкція насосної станції 1-го підйому КП "Житомирводоканал" з встановленням системи моніторингу даних; строк до 2026-09-30. Попросити один знеособлений пакет здачі за цим workflow.</x:v>
      </x:c>
      <x:c r="Z433" s="15" t="str">
        <x:v>https://prozorro.gov.ua/tender/UA-2026-05-07-009595-a</x:v>
      </x:c>
      <x:c r="AA433" s="14" t="str">
        <x:v>35402590</x:v>
      </x:c>
      <x:c r="AB433" s="14" t="str">
        <x:v>2026-08-24</x:v>
      </x:c>
      <x:c r="AC433" s="14" t="str"/>
      <x:c r="AD433" s="20" t="str"/>
      <x:c r="AE433" s="14" t="str"/>
      <x:c r="AF433" s="14" t="n">
        <x:v>54</x:v>
      </x:c>
      <x:c r="AG433" s="14" t="str">
        <x:v>I3</x:v>
      </x:c>
      <x:c r="AH433" s="14" t="n">
        <x:v>1</x:v>
      </x:c>
      <x:c r="AI433" s="14" t="n">
        <x:v>1</x:v>
      </x:c>
      <x:c r="AJ433" s="18" t="n">
        <x:v>1312466.96</x:v>
      </x:c>
      <x:c r="AK433" s="14" t="str">
        <x:v>https://prozorro.gov.ua/tender/UA-2026-05-07-009595-a</x:v>
      </x:c>
      <x:c r="AL433" s="19" t="n">
        <x:v>46171.48359363426</x:v>
      </x:c>
      <x:c r="AM433" s="19" t="n">
        <x:v>46295</x:v>
      </x:c>
      <x:c r="AN433" s="15" t="str">
        <x:v>Насосні станції</x:v>
      </x:c>
      <x:c r="AO433" s="15" t="str">
        <x:v>supplier_provided_url</x:v>
      </x:c>
    </x:row>
    <x:row r="434">
      <x:c r="A434" s="14" t="str">
        <x:v>W3-162</x:v>
      </x:c>
      <x:c r="B434" s="14" t="str">
        <x:v>Prozorro winners — 24.08</x:v>
      </x:c>
      <x:c r="C434" s="14" t="str">
        <x:v>Товариство з обмеженою відповідальністю «ЛЮВІМАР»</x:v>
      </x:c>
      <x:c r="D434" s="14" t="str">
        <x:v>Електромонтаж</x:v>
      </x:c>
      <x:c r="E434" s="14" t="str">
        <x:v>Pilot now</x:v>
      </x:c>
      <x:c r="F434" s="17" t="str">
        <x:v>P3</x:v>
      </x:c>
      <x:c r="G434" s="14" t="str"/>
      <x:c r="H434" s="14" t="str">
        <x:v>Пілот зараз — Н.15</x:v>
      </x:c>
      <x:c r="I434" s="16" t="n">
        <x:v>5</x:v>
      </x:c>
      <x:c r="J434" s="16" t="n">
        <x:v>5</x:v>
      </x:c>
      <x:c r="K434" s="16" t="n">
        <x:v>5</x:v>
      </x:c>
      <x:c r="L434" s="16" t="n">
        <x:v>3</x:v>
      </x:c>
      <x:c r="M434" s="16" t="n">
        <x:v>5</x:v>
      </x:c>
      <x:c r="N434" s="16" t="n">
        <x:v>5</x:v>
      </x:c>
      <x:c r="O434" s="16" t="n">
        <x:v>5</x:v>
      </x:c>
      <x:c r="P434" s="16" t="n">
        <x:f>IF(COUNT(I434:O434)&lt;7,"",I434*8+J434*3+K434*2+L434*2+M434*2+N434*2+O434)</x:f>
        <x:v>96</x:v>
      </x:c>
      <x:c r="Q434" s="16" t="n">
        <x:f>IF(COUNT(J434:O434)&lt;6,"",J434*5+K434*4+M434*4+L434*3+N434*2+O434*2)</x:f>
        <x:v>94</x:v>
      </x:c>
      <x:c r="R434" s="14" t="str">
        <x:v>high</x:v>
      </x:c>
      <x:c r="S434" s="14" t="str">
        <x:v>official_prozorro_award_2025_2026</x:v>
      </x:c>
      <x:c r="T434" s="14" t="str">
        <x:v>official_prozorro_api</x:v>
      </x:c>
      <x:c r="U434" s="14" t="str">
        <x:v>Не контактували</x:v>
      </x:c>
      <x:c r="V434" s="15" t="str">
        <x:v>Персоналізований free-pilot outreach по UA-2026-05-01-002274-a; попросити 1 пакет Н.14/Н.15</x:v>
      </x:c>
      <x:c r="W434" s="15" t="str">
        <x:v>Власник / директор; керівник ПТО; відповідальний за договори</x:v>
      </x:c>
      <x:c r="X434" s="15" t="str">
        <x:v>1 підтверджених перемог/договорів у Prozorro на 1 296 887 грн; 1 проєктів зі строком виконання не раніше 24.08.2026.</x:v>
      </x:c>
      <x:c r="Y434"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 строк до 2026-12-31. Попросити один знеособлений пакет здачі за цим workflow.</x:v>
      </x:c>
      <x:c r="Z434" s="15" t="str">
        <x:v>https://prozorro.gov.ua/tender/UA-2026-05-01-002274-a</x:v>
      </x:c>
      <x:c r="AA434" s="14" t="str">
        <x:v>41504530</x:v>
      </x:c>
      <x:c r="AB434" s="14" t="str">
        <x:v>2026-08-24</x:v>
      </x:c>
      <x:c r="AC434" s="14" t="str"/>
      <x:c r="AD434" s="20" t="str"/>
      <x:c r="AE434" s="14" t="str"/>
      <x:c r="AF434" s="14" t="n">
        <x:v>54</x:v>
      </x:c>
      <x:c r="AG434" s="14" t="str">
        <x:v>I3</x:v>
      </x:c>
      <x:c r="AH434" s="14" t="n">
        <x:v>1</x:v>
      </x:c>
      <x:c r="AI434" s="14" t="n">
        <x:v>1</x:v>
      </x:c>
      <x:c r="AJ434" s="18" t="n">
        <x:v>1296887.03</x:v>
      </x:c>
      <x:c r="AK434" s="14" t="str">
        <x:v>https://prozorro.gov.ua/tender/UA-2026-05-01-002274-a</x:v>
      </x:c>
      <x:c r="AL434" s="19" t="n">
        <x:v>46143.31097121528</x:v>
      </x:c>
      <x:c r="AM434" s="19" t="n">
        <x:v>46387.35303240741</x:v>
      </x:c>
      <x:c r="AN434" s="15" t="str">
        <x:v>Електромонтаж</x:v>
      </x:c>
      <x:c r="AO434" s="15" t="str">
        <x:v>not_found_in_top_search</x:v>
      </x:c>
    </x:row>
    <x:row r="435">
      <x:c r="A435" s="14" t="str">
        <x:v>W3-163</x:v>
      </x:c>
      <x:c r="B435" s="14" t="str">
        <x:v>Prozorro winners — 24.08</x:v>
      </x:c>
      <x:c r="C435" s="14" t="str">
        <x:v>ТОВ "НВЦ ВЕНТ"</x:v>
      </x:c>
      <x:c r="D435" s="14" t="str">
        <x:v>Газопостачання / котельні</x:v>
      </x:c>
      <x:c r="E435" s="14" t="str">
        <x:v>Expansion discovery</x:v>
      </x:c>
      <x:c r="F435" s="17" t="str">
        <x:v>D3</x:v>
      </x:c>
      <x:c r="G435" s="14" t="str"/>
      <x:c r="H435" s="14" t="str">
        <x:v>Discovery розширення — 2 тижні</x:v>
      </x:c>
      <x:c r="I435" s="16" t="n">
        <x:v>1</x:v>
      </x:c>
      <x:c r="J435" s="16" t="n">
        <x:v>5</x:v>
      </x:c>
      <x:c r="K435" s="16" t="n">
        <x:v>4</x:v>
      </x:c>
      <x:c r="L435" s="16" t="n">
        <x:v>3</x:v>
      </x:c>
      <x:c r="M435" s="16" t="n">
        <x:v>5</x:v>
      </x:c>
      <x:c r="N435" s="16" t="n">
        <x:v>5</x:v>
      </x:c>
      <x:c r="O435" s="16" t="n">
        <x:v>5</x:v>
      </x:c>
      <x:c r="P435" s="16" t="n">
        <x:f>IF(COUNT(I435:O435)&lt;7,"",I435*8+J435*3+K435*2+L435*2+M435*2+N435*2+O435)</x:f>
        <x:v>62</x:v>
      </x:c>
      <x:c r="Q435" s="16" t="n">
        <x:f>IF(COUNT(J435:O435)&lt;6,"",J435*5+K435*4+M435*4+L435*3+N435*2+O435*2)</x:f>
        <x:v>90</x:v>
      </x:c>
      <x:c r="R435" s="14" t="str">
        <x:v>high</x:v>
      </x:c>
      <x:c r="S435" s="14" t="str">
        <x:v>official_prozorro_award_2025_2026</x:v>
      </x:c>
      <x:c r="T435" s="14" t="str">
        <x:v>official_prozorro_api</x:v>
      </x:c>
      <x:c r="U435" s="14" t="str">
        <x:v>Не контактували</x:v>
      </x:c>
      <x:c r="V435" s="15" t="str">
        <x:v>Workflow-audit outreach по UA-2026-04-29-002111-a; попросити 1 пакет здачі та вимоги проєкту</x:v>
      </x:c>
      <x:c r="W435" s="15" t="str">
        <x:v>Власник / директор; керівник ПТО; відповідальний за договори</x:v>
      </x:c>
      <x:c r="X435" s="15" t="str">
        <x:v>1 підтверджених перемог/договорів у Prozorro на 1 279 007 грн; 1 проєктів зі строком виконання не раніше 24.08.2026.</x:v>
      </x:c>
      <x:c r="Y435"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 строк до 2026-12-31. Попросити один знеособлений пакет здачі за цим workflow.</x:v>
      </x:c>
      <x:c r="Z435" s="15" t="str">
        <x:v>https://prozorro.gov.ua/tender/UA-2026-04-29-002111-a</x:v>
      </x:c>
      <x:c r="AA435" s="14" t="str">
        <x:v>41005822</x:v>
      </x:c>
      <x:c r="AB435" s="14" t="str">
        <x:v>2026-08-24</x:v>
      </x:c>
      <x:c r="AC435" s="14" t="str"/>
      <x:c r="AD435" s="20" t="str"/>
      <x:c r="AE435" s="14" t="str"/>
      <x:c r="AF435" s="14" t="n">
        <x:v>54</x:v>
      </x:c>
      <x:c r="AG435" s="14" t="str">
        <x:v>I3</x:v>
      </x:c>
      <x:c r="AH435" s="14" t="n">
        <x:v>1</x:v>
      </x:c>
      <x:c r="AI435" s="14" t="n">
        <x:v>1</x:v>
      </x:c>
      <x:c r="AJ435" s="18" t="n">
        <x:v>1279007.15</x:v>
      </x:c>
      <x:c r="AK435" s="14" t="str">
        <x:v>https://prozorro.gov.ua/tender/UA-2026-04-29-002111-a</x:v>
      </x:c>
      <x:c r="AL435" s="19" t="n">
        <x:v>46141.30527268518</x:v>
      </x:c>
      <x:c r="AM435" s="19" t="n">
        <x:v>46387.34819444444</x:v>
      </x:c>
      <x:c r="AN435" s="15" t="str">
        <x:v>Газопостачання / котельні</x:v>
      </x:c>
      <x:c r="AO435" s="15" t="str">
        <x:v>not_found_in_top_search</x:v>
      </x:c>
    </x:row>
    <x:row r="436">
      <x:c r="A436" s="14" t="str">
        <x:v>W3-164</x:v>
      </x:c>
      <x:c r="B436" s="14" t="str">
        <x:v>Prozorro winners — 24.08</x:v>
      </x:c>
      <x:c r="C436" s="14" t="str">
        <x:v>ТОВ ВНВ 2000</x:v>
      </x:c>
      <x:c r="D436" s="14" t="str">
        <x:v>Водоочищення / очисні споруди</x:v>
      </x:c>
      <x:c r="E436" s="14" t="str">
        <x:v>Expansion discovery</x:v>
      </x:c>
      <x:c r="F436" s="17" t="str">
        <x:v>D3</x:v>
      </x:c>
      <x:c r="G436" s="14" t="str"/>
      <x:c r="H436" s="14" t="str">
        <x:v>Discovery розширення — 2 тижні</x:v>
      </x:c>
      <x:c r="I436" s="16" t="n">
        <x:v>1</x:v>
      </x:c>
      <x:c r="J436" s="16" t="n">
        <x:v>5</x:v>
      </x:c>
      <x:c r="K436" s="16" t="n">
        <x:v>4</x:v>
      </x:c>
      <x:c r="L436" s="16" t="n">
        <x:v>3</x:v>
      </x:c>
      <x:c r="M436" s="16" t="n">
        <x:v>5</x:v>
      </x:c>
      <x:c r="N436" s="16" t="n">
        <x:v>5</x:v>
      </x:c>
      <x:c r="O436" s="16" t="n">
        <x:v>5</x:v>
      </x:c>
      <x:c r="P436" s="16" t="n">
        <x:f>IF(COUNT(I436:O436)&lt;7,"",I436*8+J436*3+K436*2+L436*2+M436*2+N436*2+O436)</x:f>
        <x:v>62</x:v>
      </x:c>
      <x:c r="Q436" s="16" t="n">
        <x:f>IF(COUNT(J436:O436)&lt;6,"",J436*5+K436*4+M436*4+L436*3+N436*2+O436*2)</x:f>
        <x:v>90</x:v>
      </x:c>
      <x:c r="R436" s="14" t="str">
        <x:v>high</x:v>
      </x:c>
      <x:c r="S436" s="14" t="str">
        <x:v>official_prozorro_award_2025_2026</x:v>
      </x:c>
      <x:c r="T436" s="14" t="str">
        <x:v>official_prozorro_api</x:v>
      </x:c>
      <x:c r="U436" s="14" t="str">
        <x:v>Не контактували</x:v>
      </x:c>
      <x:c r="V436" s="15" t="str">
        <x:v>Повторне звернення з новим тендерним сигналом UA-2025-11-11-000537-a; попросити 1 пакет здачі</x:v>
      </x:c>
      <x:c r="W436" s="15" t="str">
        <x:v>Власник / директор; керівник ПТО; відповідальний за договори</x:v>
      </x:c>
      <x:c r="X436" s="15" t="str">
        <x:v>1 підтверджених перемог/договорів у Prozorro на 1 250 645 грн; 1 проєктів зі строком виконання не раніше 24.08.2026.</x:v>
      </x:c>
      <x:c r="Y436" s="15" t="str">
        <x:v>Виконання додаткових робіт по об’єкту «Реконструкція покрівлі будівлі хіміко-бактеріологічної лабораторії стічних вод каналізаційних очисних споруд м. Чернігова» (код ДК 021:2015 – 45000000-7 Будівельні роботи та поточний ремонт); строк до 2026-08-31. Попросити один знеособлений пакет здачі за цим workflow.</x:v>
      </x:c>
      <x:c r="Z436" s="15" t="str">
        <x:v>https://prozorro.gov.ua/tender/UA-2026-05-04-010214-a</x:v>
      </x:c>
      <x:c r="AA436" s="14" t="str">
        <x:v>35583357</x:v>
      </x:c>
      <x:c r="AB436" s="14" t="str">
        <x:v>2026-08-24</x:v>
      </x:c>
      <x:c r="AC436" s="14" t="str"/>
      <x:c r="AD436" s="20" t="str"/>
      <x:c r="AE436" s="14" t="str"/>
      <x:c r="AF436" s="14" t="n">
        <x:v>54</x:v>
      </x:c>
      <x:c r="AG436" s="14" t="str">
        <x:v>I3</x:v>
      </x:c>
      <x:c r="AH436" s="14" t="n">
        <x:v>2</x:v>
      </x:c>
      <x:c r="AI436" s="14" t="n">
        <x:v>1</x:v>
      </x:c>
      <x:c r="AJ436" s="18" t="n">
        <x:v>2608623.25</x:v>
      </x:c>
      <x:c r="AK436" s="14" t="str">
        <x:v>https://prozorro.gov.ua/tender/UA-2025-11-11-000537-a</x:v>
      </x:c>
      <x:c r="AL436" s="19" t="n">
        <x:v>45972.28708260417</x:v>
      </x:c>
      <x:c r="AM436" s="19" t="n">
        <x:v>46016.28696759259</x:v>
      </x:c>
      <x:c r="AN436" s="15" t="str">
        <x:v>Водоочищення / очисні споруди</x:v>
      </x:c>
      <x:c r="AO436" s="15" t="str">
        <x:v>not_found_in_top_search</x:v>
      </x:c>
    </x:row>
    <x:row r="437">
      <x:c r="A437" s="14" t="str">
        <x:v>W3-165</x:v>
      </x:c>
      <x:c r="B437" s="14" t="str">
        <x:v>Prozorro winners — 24.08</x:v>
      </x:c>
      <x:c r="C437" s="14" t="str">
        <x:v>ТОВАРИСТВО З ОБМЕЖЕНОЮ ВІДПОВІДАЛЬНІСТЮ "ІНСТИТУТ "УКРКОМУННДІПРОЕКТ"</x:v>
      </x:c>
      <x:c r="D437" s="14" t="str">
        <x:v>Водоочищення / очисні споруди</x:v>
      </x:c>
      <x:c r="E437" s="14" t="str">
        <x:v>Expansion discovery</x:v>
      </x:c>
      <x:c r="F437" s="17" t="str">
        <x:v>D3</x:v>
      </x:c>
      <x:c r="G437" s="14" t="str">
        <x:v>uknipi.org.ua</x:v>
      </x:c>
      <x:c r="H437" s="14" t="str">
        <x:v>Discovery розширення — 2 тижні</x:v>
      </x:c>
      <x:c r="I437" s="16" t="n">
        <x:v>1</x:v>
      </x:c>
      <x:c r="J437" s="16" t="n">
        <x:v>5</x:v>
      </x:c>
      <x:c r="K437" s="16" t="n">
        <x:v>4</x:v>
      </x:c>
      <x:c r="L437" s="16" t="n">
        <x:v>3</x:v>
      </x:c>
      <x:c r="M437" s="16" t="n">
        <x:v>5</x:v>
      </x:c>
      <x:c r="N437" s="16" t="n">
        <x:v>5</x:v>
      </x:c>
      <x:c r="O437" s="16" t="n">
        <x:v>5</x:v>
      </x:c>
      <x:c r="P437" s="16" t="n">
        <x:f>IF(COUNT(I437:O437)&lt;7,"",I437*8+J437*3+K437*2+L437*2+M437*2+N437*2+O437)</x:f>
        <x:v>62</x:v>
      </x:c>
      <x:c r="Q437" s="16" t="n">
        <x:f>IF(COUNT(J437:O437)&lt;6,"",J437*5+K437*4+M437*4+L437*3+N437*2+O437*2)</x:f>
        <x:v>90</x:v>
      </x:c>
      <x:c r="R437" s="14" t="str">
        <x:v>high</x:v>
      </x:c>
      <x:c r="S437" s="14" t="str">
        <x:v>official_prozorro_award_2025_2026</x:v>
      </x:c>
      <x:c r="T437" s="14" t="str">
        <x:v>official_prozorro_api</x:v>
      </x:c>
      <x:c r="U437" s="14" t="str">
        <x:v>Не контактували</x:v>
      </x:c>
      <x:c r="V437" s="15" t="str">
        <x:v>Workflow-audit outreach по UA-2026-06-03-000876-a; попросити 1 пакет здачі та вимоги проєкту</x:v>
      </x:c>
      <x:c r="W437" s="15" t="str">
        <x:v>Власник / директор; керівник ПТО; відповідальний за договори</x:v>
      </x:c>
      <x:c r="X437" s="15" t="str">
        <x:v>1 підтверджених перемог/договорів у Prozorro на 1 244 817 грн; 1 проєктів зі строком виконання не раніше 24.08.2026.</x:v>
      </x:c>
      <x:c r="Y437"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 строк до 2026-12-31. Попросити один знеособлений пакет здачі за цим workflow.</x:v>
      </x:c>
      <x:c r="Z437" s="15" t="str">
        <x:v>https://prozorro.gov.ua/tender/UA-2026-06-03-000876-a</x:v>
      </x:c>
      <x:c r="AA437" s="14" t="str">
        <x:v>37659092</x:v>
      </x:c>
      <x:c r="AB437" s="14" t="str">
        <x:v>2026-08-24</x:v>
      </x:c>
      <x:c r="AC437" s="14" t="str"/>
      <x:c r="AD437" s="20" t="str"/>
      <x:c r="AE437" s="14" t="str"/>
      <x:c r="AF437" s="14" t="n">
        <x:v>54</x:v>
      </x:c>
      <x:c r="AG437" s="14" t="str">
        <x:v>I3</x:v>
      </x:c>
      <x:c r="AH437" s="14" t="n">
        <x:v>1</x:v>
      </x:c>
      <x:c r="AI437" s="14" t="n">
        <x:v>1</x:v>
      </x:c>
      <x:c r="AJ437" s="18" t="n">
        <x:v>1244817</x:v>
      </x:c>
      <x:c r="AK437" s="14" t="str">
        <x:v>https://prozorro.gov.ua/tender/UA-2026-06-03-000876-a</x:v>
      </x:c>
      <x:c r="AL437" s="19" t="n">
        <x:v>46176.2665590625</x:v>
      </x:c>
      <x:c r="AM437" s="19" t="n">
        <x:v>46387</x:v>
      </x:c>
      <x:c r="AN437" s="15" t="str">
        <x:v>Водоочищення / очисні споруди</x:v>
      </x:c>
      <x:c r="AO437" s="15" t="str">
        <x:v>supplier_provided_url</x:v>
      </x:c>
    </x:row>
    <x:row r="438">
      <x:c r="A438" s="14" t="str">
        <x:v>W3-166</x:v>
      </x:c>
      <x:c r="B438" s="14" t="str">
        <x:v>Prozorro winners — 24.08</x:v>
      </x:c>
      <x:c r="C438" s="14" t="str">
        <x:v>ДЕРЖАВНЕ ПІДПРИЄМСТВО "СПЕЦІАЛІЗОВАНА ДЕРЖАВНА ЕКСПЕРТНА ОРГАНІЗАЦІЯ-ЦЕНТРАЛЬНА СЛУЖБА УКРАЇНСЬКОЇ ДЕРЖАВНОЇ БУДІВЕЛЬНОЇ ЕКСПЕРТИЗИ"</x:v>
      </x:c>
      <x:c r="D438" s="14" t="str">
        <x:v>Водоочищення / очисні споруди</x:v>
      </x:c>
      <x:c r="E438" s="14" t="str">
        <x:v>Expansion discovery</x:v>
      </x:c>
      <x:c r="F438" s="17" t="str">
        <x:v>D3</x:v>
      </x:c>
      <x:c r="G438" s="14" t="str"/>
      <x:c r="H438" s="14" t="str">
        <x:v>Discovery розширення — 2 тижні</x:v>
      </x:c>
      <x:c r="I438" s="16" t="n">
        <x:v>1</x:v>
      </x:c>
      <x:c r="J438" s="16" t="n">
        <x:v>5</x:v>
      </x:c>
      <x:c r="K438" s="16" t="n">
        <x:v>4</x:v>
      </x:c>
      <x:c r="L438" s="16" t="n">
        <x:v>3</x:v>
      </x:c>
      <x:c r="M438" s="16" t="n">
        <x:v>5</x:v>
      </x:c>
      <x:c r="N438" s="16" t="n">
        <x:v>5</x:v>
      </x:c>
      <x:c r="O438" s="16" t="n">
        <x:v>5</x:v>
      </x:c>
      <x:c r="P438" s="16" t="n">
        <x:f>IF(COUNT(I438:O438)&lt;7,"",I438*8+J438*3+K438*2+L438*2+M438*2+N438*2+O438)</x:f>
        <x:v>62</x:v>
      </x:c>
      <x:c r="Q438" s="16" t="n">
        <x:f>IF(COUNT(J438:O438)&lt;6,"",J438*5+K438*4+M438*4+L438*3+N438*2+O438*2)</x:f>
        <x:v>90</x:v>
      </x:c>
      <x:c r="R438" s="14" t="str">
        <x:v>high</x:v>
      </x:c>
      <x:c r="S438" s="14" t="str">
        <x:v>official_prozorro_award_2025_2026</x:v>
      </x:c>
      <x:c r="T438" s="14" t="str">
        <x:v>official_prozorro_api</x:v>
      </x:c>
      <x:c r="U438" s="14" t="str">
        <x:v>Не контактували</x:v>
      </x:c>
      <x:c r="V438" s="15" t="str">
        <x:v>Повторне звернення з новим тендерним сигналом UA-2025-02-14-000408-a; попросити 1 пакет здачі</x:v>
      </x:c>
      <x:c r="W438" s="15" t="str">
        <x:v>Власник / директор; керівник ПТО; відповідальний за договори</x:v>
      </x:c>
      <x:c r="X438" s="15" t="str">
        <x:v>1 підтверджених перемог/договорів у Prozorro на 1 194 054 грн; 1 проєктів зі строком виконання не раніше 24.08.2026.</x:v>
      </x:c>
      <x:c r="Y438"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8" s="15" t="str">
        <x:v>https://prozorro.gov.ua/tender/UA-2026-06-19-011009-a</x:v>
      </x:c>
      <x:c r="AA438" s="14" t="str">
        <x:v>35691621</x:v>
      </x:c>
      <x:c r="AB438" s="14" t="str">
        <x:v>2026-08-24</x:v>
      </x:c>
      <x:c r="AC438" s="14" t="str"/>
      <x:c r="AD438" s="20" t="str"/>
      <x:c r="AE438" s="14" t="str"/>
      <x:c r="AF438" s="14" t="n">
        <x:v>54</x:v>
      </x:c>
      <x:c r="AG438" s="14" t="str">
        <x:v>I3</x:v>
      </x:c>
      <x:c r="AH438" s="14" t="n">
        <x:v>2</x:v>
      </x:c>
      <x:c r="AI438" s="14" t="n">
        <x:v>1</x:v>
      </x:c>
      <x:c r="AJ438" s="18" t="n">
        <x:v>1265030.28</x:v>
      </x:c>
      <x:c r="AK438" s="14" t="str">
        <x:v>https://prozorro.gov.ua/tender/UA-2025-02-14-000408-a</x:v>
      </x:c>
      <x:c r="AL438" s="19" t="n">
        <x:v>45702.28357491898</x:v>
      </x:c>
      <x:c r="AM438" s="19" t="n">
        <x:v>45730</x:v>
      </x:c>
      <x:c r="AN438" s="15" t="str">
        <x:v>Водоочищення / очисні споруди; Стиснене повітря / компресорні</x:v>
      </x:c>
      <x:c r="AO438" s="15" t="str">
        <x:v>not_found_in_top_search</x:v>
      </x:c>
    </x:row>
    <x:row r="439">
      <x:c r="A439" s="14" t="str">
        <x:v>W3-167</x:v>
      </x:c>
      <x:c r="B439" s="14" t="str">
        <x:v>Prozorro winners — 24.08</x:v>
      </x:c>
      <x:c r="C439" s="14" t="str">
        <x:v>ТОВ "УВТ ГРУП"</x:v>
      </x:c>
      <x:c r="D439" s="14" t="str">
        <x:v>Насосні станції</x:v>
      </x:c>
      <x:c r="E439" s="14" t="str">
        <x:v>Expansion discovery</x:v>
      </x:c>
      <x:c r="F439" s="17" t="str">
        <x:v>D3</x:v>
      </x:c>
      <x:c r="G439" s="14" t="str"/>
      <x:c r="H439" s="14" t="str">
        <x:v>Discovery розширення — 2 тижні</x:v>
      </x:c>
      <x:c r="I439" s="16" t="n">
        <x:v>1</x:v>
      </x:c>
      <x:c r="J439" s="16" t="n">
        <x:v>5</x:v>
      </x:c>
      <x:c r="K439" s="16" t="n">
        <x:v>4</x:v>
      </x:c>
      <x:c r="L439" s="16" t="n">
        <x:v>3</x:v>
      </x:c>
      <x:c r="M439" s="16" t="n">
        <x:v>5</x:v>
      </x:c>
      <x:c r="N439" s="16" t="n">
        <x:v>5</x:v>
      </x:c>
      <x:c r="O439" s="16" t="n">
        <x:v>5</x:v>
      </x:c>
      <x:c r="P439" s="16" t="n">
        <x:f>IF(COUNT(I439:O439)&lt;7,"",I439*8+J439*3+K439*2+L439*2+M439*2+N439*2+O439)</x:f>
        <x:v>62</x:v>
      </x:c>
      <x:c r="Q439" s="16" t="n">
        <x:f>IF(COUNT(J439:O439)&lt;6,"",J439*5+K439*4+M439*4+L439*3+N439*2+O439*2)</x:f>
        <x:v>90</x:v>
      </x:c>
      <x:c r="R439" s="14" t="str">
        <x:v>high</x:v>
      </x:c>
      <x:c r="S439" s="14" t="str">
        <x:v>official_prozorro_award_2025_2026</x:v>
      </x:c>
      <x:c r="T439" s="14" t="str">
        <x:v>official_prozorro_api</x:v>
      </x:c>
      <x:c r="U439" s="14" t="str">
        <x:v>Не контактували</x:v>
      </x:c>
      <x:c r="V439" s="15" t="str">
        <x:v>Workflow-audit outreach по UA-2026-06-19-000880-a; попросити 1 пакет здачі та вимоги проєкту</x:v>
      </x:c>
      <x:c r="W439" s="15" t="str">
        <x:v>Власник / директор; керівник ПТО; відповідальний за договори</x:v>
      </x:c>
      <x:c r="X439" s="15" t="str">
        <x:v>1 підтверджених перемог/договорів у Prozorro на 970 895 грн; 1 проєктів зі строком виконання не раніше 24.08.2026.</x:v>
      </x:c>
      <x:c r="Y439"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 строк до 2026-10-31. Попросити один знеособлений пакет здачі за цим workflow.</x:v>
      </x:c>
      <x:c r="Z439" s="15" t="str">
        <x:v>https://prozorro.gov.ua/tender/UA-2026-06-19-000880-a</x:v>
      </x:c>
      <x:c r="AA439" s="14" t="str">
        <x:v>37448642</x:v>
      </x:c>
      <x:c r="AB439" s="14" t="str">
        <x:v>2026-08-24</x:v>
      </x:c>
      <x:c r="AC439" s="14" t="str"/>
      <x:c r="AD439" s="20" t="str"/>
      <x:c r="AE439" s="14" t="str"/>
      <x:c r="AF439" s="14" t="n">
        <x:v>54</x:v>
      </x:c>
      <x:c r="AG439" s="14" t="str">
        <x:v>I3</x:v>
      </x:c>
      <x:c r="AH439" s="14" t="n">
        <x:v>1</x:v>
      </x:c>
      <x:c r="AI439" s="14" t="n">
        <x:v>1</x:v>
      </x:c>
      <x:c r="AJ439" s="18" t="n">
        <x:v>970894.8</x:v>
      </x:c>
      <x:c r="AK439" s="14" t="str">
        <x:v>https://prozorro.gov.ua/tender/UA-2026-06-19-000880-a</x:v>
      </x:c>
      <x:c r="AL439" s="19" t="n">
        <x:v>46192.26208408565</x:v>
      </x:c>
      <x:c r="AM439" s="19" t="n">
        <x:v>46326.305185185185</x:v>
      </x:c>
      <x:c r="AN439" s="15" t="str">
        <x:v>Насосні станції</x:v>
      </x:c>
      <x:c r="AO439" s="15" t="str">
        <x:v>not_found_in_top_search</x:v>
      </x:c>
    </x:row>
    <x:row r="440">
      <x:c r="A440" s="14" t="str">
        <x:v>W3-168</x:v>
      </x:c>
      <x:c r="B440" s="14" t="str">
        <x:v>Prozorro winners — 24.08</x:v>
      </x:c>
      <x:c r="C440" s="14" t="str">
        <x:v>ТОВ ВЕКТОР-АТ</x:v>
      </x:c>
      <x:c r="D440" s="14" t="str">
        <x:v>HVAC / ОВіК</x:v>
      </x:c>
      <x:c r="E440" s="14" t="str">
        <x:v>Pilot now</x:v>
      </x:c>
      <x:c r="F440" s="17" t="str">
        <x:v>P3</x:v>
      </x:c>
      <x:c r="G440" s="14" t="str"/>
      <x:c r="H440" s="14" t="str">
        <x:v>Пілот зараз — Н.14</x:v>
      </x:c>
      <x:c r="I440" s="16" t="n">
        <x:v>5</x:v>
      </x:c>
      <x:c r="J440" s="16" t="n">
        <x:v>5</x:v>
      </x:c>
      <x:c r="K440" s="16" t="n">
        <x:v>5</x:v>
      </x:c>
      <x:c r="L440" s="16" t="n">
        <x:v>3</x:v>
      </x:c>
      <x:c r="M440" s="16" t="n">
        <x:v>5</x:v>
      </x:c>
      <x:c r="N440" s="16" t="n">
        <x:v>5</x:v>
      </x:c>
      <x:c r="O440" s="16" t="n">
        <x:v>5</x:v>
      </x:c>
      <x:c r="P440" s="16" t="n">
        <x:f>IF(COUNT(I440:O440)&lt;7,"",I440*8+J440*3+K440*2+L440*2+M440*2+N440*2+O440)</x:f>
        <x:v>96</x:v>
      </x:c>
      <x:c r="Q440" s="16" t="n">
        <x:f>IF(COUNT(J440:O440)&lt;6,"",J440*5+K440*4+M440*4+L440*3+N440*2+O440*2)</x:f>
        <x:v>94</x:v>
      </x:c>
      <x:c r="R440" s="14" t="str">
        <x:v>high</x:v>
      </x:c>
      <x:c r="S440" s="14" t="str">
        <x:v>official_prozorro_award_2025_2026</x:v>
      </x:c>
      <x:c r="T440" s="14" t="str">
        <x:v>official_prozorro_api</x:v>
      </x:c>
      <x:c r="U440" s="14" t="str">
        <x:v>Не контактували</x:v>
      </x:c>
      <x:c r="V440" s="15" t="str">
        <x:v>Повторне звернення з новим тендерним сигналом UA-2025-08-20-011921-a; попросити 1 пакет здачі</x:v>
      </x:c>
      <x:c r="W440" s="15" t="str">
        <x:v>Власник / директор; керівник ПТО; відповідальний за договори</x:v>
      </x:c>
      <x:c r="X440" s="15" t="str">
        <x:v>1 підтверджених перемог/договорів у Prozorro на 843 113 грн; 1 проєктів зі строком виконання не раніше 24.08.2026.</x:v>
      </x:c>
      <x:c r="Y440" s="15" t="str">
        <x:v>Послуги з монтажу системи вентиляції та кондиціонування підвального приміщення будівлі гуртожитку № 1 літ. «Д» за адресою: м. Київ; строк до 2026-12-10. Попросити один знеособлений пакет здачі за цим workflow.</x:v>
      </x:c>
      <x:c r="Z440" s="15" t="str">
        <x:v>https://prozorro.gov.ua/tender/UA-2026-04-07-012254-a</x:v>
      </x:c>
      <x:c r="AA440" s="14" t="str">
        <x:v>42387147</x:v>
      </x:c>
      <x:c r="AB440" s="14" t="str">
        <x:v>2026-08-24</x:v>
      </x:c>
      <x:c r="AC440" s="14" t="str"/>
      <x:c r="AD440" s="20" t="str"/>
      <x:c r="AE440" s="14" t="str"/>
      <x:c r="AF440" s="14" t="n">
        <x:v>54</x:v>
      </x:c>
      <x:c r="AG440" s="14" t="str">
        <x:v>I3</x:v>
      </x:c>
      <x:c r="AH440" s="14" t="n">
        <x:v>2</x:v>
      </x:c>
      <x:c r="AI440" s="14" t="n">
        <x:v>1</x:v>
      </x:c>
      <x:c r="AJ440" s="18" t="n">
        <x:v>2800631.83</x:v>
      </x:c>
      <x:c r="AK440" s="14" t="str">
        <x:v>https://prozorro.gov.ua/tender/UA-2025-08-20-011921-a</x:v>
      </x:c>
      <x:c r="AL440" s="19" t="n">
        <x:v>45902.681590451386</x:v>
      </x:c>
      <x:c r="AM440" s="19" t="n">
        <x:v>45955</x:v>
      </x:c>
      <x:c r="AN440" s="15" t="str">
        <x:v>HVAC / ОВіК</x:v>
      </x:c>
      <x:c r="AO440" s="15" t="str">
        <x:v>not_found_in_top_search</x:v>
      </x:c>
    </x:row>
    <x:row r="441">
      <x:c r="A441" s="14" t="str">
        <x:v>W3-169</x:v>
      </x:c>
      <x:c r="B441" s="14" t="str">
        <x:v>Prozorro winners — 24.08</x:v>
      </x:c>
      <x:c r="C441" s="14" t="str">
        <x:v>ТОВ "ГенезісПроІнжиніринг"</x:v>
      </x:c>
      <x:c r="D441" s="14" t="str">
        <x:v>Насосні станції</x:v>
      </x:c>
      <x:c r="E441" s="14" t="str">
        <x:v>Expansion discovery</x:v>
      </x:c>
      <x:c r="F441" s="17" t="str">
        <x:v>D3</x:v>
      </x:c>
      <x:c r="G441" s="14" t="str"/>
      <x:c r="H441" s="14" t="str">
        <x:v>Discovery розширення — 2 тижні</x:v>
      </x:c>
      <x:c r="I441" s="16" t="n">
        <x:v>1</x:v>
      </x:c>
      <x:c r="J441" s="16" t="n">
        <x:v>5</x:v>
      </x:c>
      <x:c r="K441" s="16" t="n">
        <x:v>4</x:v>
      </x:c>
      <x:c r="L441" s="16" t="n">
        <x:v>3</x:v>
      </x:c>
      <x:c r="M441" s="16" t="n">
        <x:v>5</x:v>
      </x:c>
      <x:c r="N441" s="16" t="n">
        <x:v>5</x:v>
      </x:c>
      <x:c r="O441" s="16" t="n">
        <x:v>5</x:v>
      </x:c>
      <x:c r="P441" s="16" t="n">
        <x:f>IF(COUNT(I441:O441)&lt;7,"",I441*8+J441*3+K441*2+L441*2+M441*2+N441*2+O441)</x:f>
        <x:v>62</x:v>
      </x:c>
      <x:c r="Q441" s="16" t="n">
        <x:f>IF(COUNT(J441:O441)&lt;6,"",J441*5+K441*4+M441*4+L441*3+N441*2+O441*2)</x:f>
        <x:v>90</x:v>
      </x:c>
      <x:c r="R441" s="14" t="str">
        <x:v>high</x:v>
      </x:c>
      <x:c r="S441" s="14" t="str">
        <x:v>official_prozorro_award_2025_2026</x:v>
      </x:c>
      <x:c r="T441" s="14" t="str">
        <x:v>official_prozorro_api</x:v>
      </x:c>
      <x:c r="U441" s="14" t="str">
        <x:v>Не контактували</x:v>
      </x:c>
      <x:c r="V441" s="15" t="str">
        <x:v>Workflow-audit outreach по UA-2026-05-21-001856-a; попросити 1 пакет здачі та вимоги проєкту</x:v>
      </x:c>
      <x:c r="W441" s="15" t="str">
        <x:v>Власник / директор; керівник ПТО; відповідальний за договори</x:v>
      </x:c>
      <x:c r="X441" s="15" t="str">
        <x:v>1 підтверджених перемог/договорів у Prozorro на 795 000 грн; 1 проєктів зі строком виконання не раніше 24.08.2026.</x:v>
      </x:c>
      <x:c r="Y441"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 строк до 2027-02-01. Попросити один знеособлений пакет здачі за цим workflow.</x:v>
      </x:c>
      <x:c r="Z441" s="15" t="str">
        <x:v>https://prozorro.gov.ua/tender/UA-2026-05-21-001856-a</x:v>
      </x:c>
      <x:c r="AA441" s="14" t="str">
        <x:v>45901964</x:v>
      </x:c>
      <x:c r="AB441" s="14" t="str">
        <x:v>2026-08-24</x:v>
      </x:c>
      <x:c r="AC441" s="14" t="str"/>
      <x:c r="AD441" s="20" t="str"/>
      <x:c r="AE441" s="14" t="str"/>
      <x:c r="AF441" s="14" t="n">
        <x:v>54</x:v>
      </x:c>
      <x:c r="AG441" s="14" t="str">
        <x:v>I3</x:v>
      </x:c>
      <x:c r="AH441" s="14" t="n">
        <x:v>1</x:v>
      </x:c>
      <x:c r="AI441" s="14" t="n">
        <x:v>1</x:v>
      </x:c>
      <x:c r="AJ441" s="18" t="n">
        <x:v>795000</x:v>
      </x:c>
      <x:c r="AK441" s="14" t="str">
        <x:v>https://prozorro.gov.ua/tender/UA-2026-05-21-001856-a</x:v>
      </x:c>
      <x:c r="AL441" s="19" t="n">
        <x:v>46185.263582175925</x:v>
      </x:c>
      <x:c r="AM441" s="19" t="n">
        <x:v>46419</x:v>
      </x:c>
      <x:c r="AN441" s="15" t="str">
        <x:v>Насосні станції</x:v>
      </x:c>
      <x:c r="AO441" s="15" t="str">
        <x:v>not_found_in_top_search</x:v>
      </x:c>
    </x:row>
    <x:row r="442">
      <x:c r="A442" s="14" t="str">
        <x:v>W3-170</x:v>
      </x:c>
      <x:c r="B442" s="14" t="str">
        <x:v>Prozorro winners — 24.08</x:v>
      </x:c>
      <x:c r="C442" s="14" t="str">
        <x:v>ТОВАРИСТВО З ОБМЕЖЕНОЮ ВІДПОВІДАЛЬНІСТЮ "ПРОМБУДІННОВАЦІЇ"</x:v>
      </x:c>
      <x:c r="D442" s="14" t="str">
        <x:v>Мости / інфраструктура</x:v>
      </x:c>
      <x:c r="E442" s="14" t="str">
        <x:v>Expansion discovery</x:v>
      </x:c>
      <x:c r="F442" s="17" t="str">
        <x:v>D3</x:v>
      </x:c>
      <x:c r="G442" s="14" t="str"/>
      <x:c r="H442" s="14" t="str">
        <x:v>Discovery розширення — 2 тижні</x:v>
      </x:c>
      <x:c r="I442" s="16" t="n">
        <x:v>1</x:v>
      </x:c>
      <x:c r="J442" s="16" t="n">
        <x:v>5</x:v>
      </x:c>
      <x:c r="K442" s="16" t="n">
        <x:v>4</x:v>
      </x:c>
      <x:c r="L442" s="16" t="n">
        <x:v>3</x:v>
      </x:c>
      <x:c r="M442" s="16" t="n">
        <x:v>5</x:v>
      </x:c>
      <x:c r="N442" s="16" t="n">
        <x:v>5</x:v>
      </x:c>
      <x:c r="O442" s="16" t="n">
        <x:v>5</x:v>
      </x:c>
      <x:c r="P442" s="16" t="n">
        <x:f>IF(COUNT(I442:O442)&lt;7,"",I442*8+J442*3+K442*2+L442*2+M442*2+N442*2+O442)</x:f>
        <x:v>62</x:v>
      </x:c>
      <x:c r="Q442" s="16" t="n">
        <x:f>IF(COUNT(J442:O442)&lt;6,"",J442*5+K442*4+M442*4+L442*3+N442*2+O442*2)</x:f>
        <x:v>90</x:v>
      </x:c>
      <x:c r="R442" s="14" t="str">
        <x:v>high</x:v>
      </x:c>
      <x:c r="S442" s="14" t="str">
        <x:v>official_prozorro_award_2025_2026</x:v>
      </x:c>
      <x:c r="T442" s="14" t="str">
        <x:v>official_prozorro_api</x:v>
      </x:c>
      <x:c r="U442" s="14" t="str">
        <x:v>Не контактували</x:v>
      </x:c>
      <x:c r="V442" s="15" t="str">
        <x:v>Workflow-audit outreach по UA-2026-06-22-009710-a; попросити 1 пакет здачі та вимоги проєкту</x:v>
      </x:c>
      <x:c r="W442" s="15" t="str">
        <x:v>Власник / директор; керівник ПТО; відповідальний за договори</x:v>
      </x:c>
      <x:c r="X442" s="15" t="str">
        <x:v>1 підтверджених перемог/договорів у Prozorro на 775 225 грн; 1 проєктів зі строком виконання не раніше 24.08.2026.</x:v>
      </x:c>
      <x:c r="Y442" s="15" t="str">
        <x:v>Послуги з благоустрою населених пунктів: поточний ремонт мосту через р. Саксагань на сел. Більшовик; строк до 2026-09-20. Попросити один знеособлений пакет здачі за цим workflow.</x:v>
      </x:c>
      <x:c r="Z442" s="15" t="str">
        <x:v>https://prozorro.gov.ua/tender/UA-2026-06-22-009710-a</x:v>
      </x:c>
      <x:c r="AA442" s="14" t="str">
        <x:v>44147228</x:v>
      </x:c>
      <x:c r="AB442" s="14" t="str">
        <x:v>2026-08-24</x:v>
      </x:c>
      <x:c r="AC442" s="14" t="str"/>
      <x:c r="AD442" s="20" t="str"/>
      <x:c r="AE442" s="14" t="str"/>
      <x:c r="AF442" s="14" t="n">
        <x:v>54</x:v>
      </x:c>
      <x:c r="AG442" s="14" t="str">
        <x:v>I3</x:v>
      </x:c>
      <x:c r="AH442" s="14" t="n">
        <x:v>1</x:v>
      </x:c>
      <x:c r="AI442" s="14" t="n">
        <x:v>1</x:v>
      </x:c>
      <x:c r="AJ442" s="18" t="n">
        <x:v>775225</x:v>
      </x:c>
      <x:c r="AK442" s="14" t="str">
        <x:v>https://prozorro.gov.ua/tender/UA-2026-06-22-009710-a</x:v>
      </x:c>
      <x:c r="AL442" s="19" t="n">
        <x:v>46205.31756083333</x:v>
      </x:c>
      <x:c r="AM442" s="19" t="n">
        <x:v>46285</x:v>
      </x:c>
      <x:c r="AN442" s="15" t="str">
        <x:v>Мости / інфраструктура</x:v>
      </x:c>
      <x:c r="AO442" s="15" t="str">
        <x:v>not_found_in_top_search</x:v>
      </x:c>
    </x:row>
    <x:row r="443">
      <x:c r="A443" s="14" t="str">
        <x:v>W3-171</x:v>
      </x:c>
      <x:c r="B443" s="14" t="str">
        <x:v>Prozorro winners — 24.08</x:v>
      </x:c>
      <x:c r="C443" s="14" t="str">
        <x:v>Товариство з обмеженою відповідальністю «МВТ ЕДВАЙЗОРІ»</x:v>
      </x:c>
      <x:c r="D443" s="14" t="str">
        <x:v>Зовнішні мережі</x:v>
      </x:c>
      <x:c r="E443" s="14" t="str">
        <x:v>Expansion discovery</x:v>
      </x:c>
      <x:c r="F443" s="17" t="str">
        <x:v>D3</x:v>
      </x:c>
      <x:c r="G443" s="14" t="str"/>
      <x:c r="H443" s="14" t="str">
        <x:v>Discovery розширення — 2 тижні</x:v>
      </x:c>
      <x:c r="I443" s="16" t="n">
        <x:v>1</x:v>
      </x:c>
      <x:c r="J443" s="16" t="n">
        <x:v>5</x:v>
      </x:c>
      <x:c r="K443" s="16" t="n">
        <x:v>4</x:v>
      </x:c>
      <x:c r="L443" s="16" t="n">
        <x:v>3</x:v>
      </x:c>
      <x:c r="M443" s="16" t="n">
        <x:v>5</x:v>
      </x:c>
      <x:c r="N443" s="16" t="n">
        <x:v>5</x:v>
      </x:c>
      <x:c r="O443" s="16" t="n">
        <x:v>5</x:v>
      </x:c>
      <x:c r="P443" s="16" t="n">
        <x:f>IF(COUNT(I443:O443)&lt;7,"",I443*8+J443*3+K443*2+L443*2+M443*2+N443*2+O443)</x:f>
        <x:v>62</x:v>
      </x:c>
      <x:c r="Q443" s="16" t="n">
        <x:f>IF(COUNT(J443:O443)&lt;6,"",J443*5+K443*4+M443*4+L443*3+N443*2+O443*2)</x:f>
        <x:v>90</x:v>
      </x:c>
      <x:c r="R443" s="14" t="str">
        <x:v>high</x:v>
      </x:c>
      <x:c r="S443" s="14" t="str">
        <x:v>official_prozorro_award_2025_2026</x:v>
      </x:c>
      <x:c r="T443" s="14" t="str">
        <x:v>official_prozorro_api</x:v>
      </x:c>
      <x:c r="U443" s="14" t="str">
        <x:v>Не контактували</x:v>
      </x:c>
      <x:c r="V443" s="15" t="str">
        <x:v>Workflow-audit outreach по UA-2026-05-26-014148-a; попросити 1 пакет здачі та вимоги проєкту</x:v>
      </x:c>
      <x:c r="W443" s="15" t="str">
        <x:v>Власник / директор; керівник ПТО; відповідальний за договори</x:v>
      </x:c>
      <x:c r="X443" s="15" t="str">
        <x:v>1 підтверджених перемог/договорів у Prozorro на 543 999 грн; 1 проєктів зі строком виконання не раніше 24.08.2026.</x:v>
      </x:c>
      <x:c r="Y443"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443" s="15" t="str">
        <x:v>https://prozorro.gov.ua/tender/UA-2026-05-26-014148-a</x:v>
      </x:c>
      <x:c r="AA443" s="14" t="str">
        <x:v>46062843</x:v>
      </x:c>
      <x:c r="AB443" s="14" t="str">
        <x:v>2026-08-24</x:v>
      </x:c>
      <x:c r="AC443" s="14" t="str"/>
      <x:c r="AD443" s="20" t="str"/>
      <x:c r="AE443" s="14" t="str"/>
      <x:c r="AF443" s="14" t="n">
        <x:v>54</x:v>
      </x:c>
      <x:c r="AG443" s="14" t="str">
        <x:v>I3</x:v>
      </x:c>
      <x:c r="AH443" s="14" t="n">
        <x:v>1</x:v>
      </x:c>
      <x:c r="AI443" s="14" t="n">
        <x:v>1</x:v>
      </x:c>
      <x:c r="AJ443" s="18" t="n">
        <x:v>543999.18</x:v>
      </x:c>
      <x:c r="AK443" s="14" t="str">
        <x:v>https://prozorro.gov.ua/tender/UA-2026-05-26-014148-a</x:v>
      </x:c>
      <x:c r="AL443" s="19" t="n">
        <x:v>46168.58974912037</x:v>
      </x:c>
      <x:c r="AM443" s="19" t="n">
        <x:v>46387</x:v>
      </x:c>
      <x:c r="AN443" s="15" t="str">
        <x:v>Зовнішні мережі</x:v>
      </x:c>
      <x:c r="AO443" s="15" t="str">
        <x:v>not_found_in_top_search</x:v>
      </x:c>
    </x:row>
    <x:row r="444">
      <x:c r="A444" s="14" t="str">
        <x:v>W3-172</x:v>
      </x:c>
      <x:c r="B444" s="14" t="str">
        <x:v>Prozorro winners — 24.08</x:v>
      </x:c>
      <x:c r="C444" s="14" t="str">
        <x:v>ФІЛІЯ ДП "УКРДЕРЖБУДЕКСПЕРТИЗА " У ТЕРНОПІЛЬСЬКІЙ ОБЛАСТІ</x:v>
      </x:c>
      <x:c r="D444" s="14" t="str">
        <x:v>Водоочищення / очисні споруди</x:v>
      </x:c>
      <x:c r="E444" s="14" t="str">
        <x:v>Expansion discovery</x:v>
      </x:c>
      <x:c r="F444" s="17" t="str">
        <x:v>D3</x:v>
      </x:c>
      <x:c r="G444" s="14" t="str"/>
      <x:c r="H444" s="14" t="str">
        <x:v>Discovery розширення — 2 тижні</x:v>
      </x:c>
      <x:c r="I444" s="16" t="n">
        <x:v>1</x:v>
      </x:c>
      <x:c r="J444" s="16" t="n">
        <x:v>5</x:v>
      </x:c>
      <x:c r="K444" s="16" t="n">
        <x:v>4</x:v>
      </x:c>
      <x:c r="L444" s="16" t="n">
        <x:v>1</x:v>
      </x:c>
      <x:c r="M444" s="16" t="n">
        <x:v>5</x:v>
      </x:c>
      <x:c r="N444" s="16" t="n">
        <x:v>5</x:v>
      </x:c>
      <x:c r="O444" s="16" t="n">
        <x:v>5</x:v>
      </x:c>
      <x:c r="P444" s="16" t="n">
        <x:f>IF(COUNT(I444:O444)&lt;7,"",I444*8+J444*3+K444*2+L444*2+M444*2+N444*2+O444)</x:f>
        <x:v>58</x:v>
      </x:c>
      <x:c r="Q444" s="16" t="n">
        <x:f>IF(COUNT(J444:O444)&lt;6,"",J444*5+K444*4+M444*4+L444*3+N444*2+O444*2)</x:f>
        <x:v>84</x:v>
      </x:c>
      <x:c r="R444" s="14" t="str">
        <x:v>high</x:v>
      </x:c>
      <x:c r="S444" s="14" t="str">
        <x:v>official_prozorro_award_2025_2026</x:v>
      </x:c>
      <x:c r="T444" s="14" t="str">
        <x:v>official_prozorro_api</x:v>
      </x:c>
      <x:c r="U444" s="14" t="str">
        <x:v>Не контактували</x:v>
      </x:c>
      <x:c r="V444" s="15" t="str">
        <x:v>Workflow-audit outreach по UA-2026-07-01-009343-a; попросити 1 пакет здачі та вимоги проєкту</x:v>
      </x:c>
      <x:c r="W444" s="15" t="str">
        <x:v>Власник / директор; керівник ПТО; відповідальний за договори</x:v>
      </x:c>
      <x:c r="X444" s="15" t="str">
        <x:v>2 підтверджених перемог/договорів у Prozorro на 68 123 грн; 1 проєктів зі строком виконання не раніше 24.08.2026.</x:v>
      </x:c>
      <x:c r="Y444"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2026-07-31. Попросити один знеособлений пакет здачі за цим workflow.</x:v>
      </x:c>
      <x:c r="Z444" s="15" t="str">
        <x:v>https://prozorro.gov.ua/tender/UA-2026-07-01-009343-a</x:v>
      </x:c>
      <x:c r="AA444" s="14" t="str">
        <x:v>35850400</x:v>
      </x:c>
      <x:c r="AB444" s="14" t="str">
        <x:v>2026-08-24</x:v>
      </x:c>
      <x:c r="AC444" s="14" t="str"/>
      <x:c r="AD444" s="20" t="str"/>
      <x:c r="AE444" s="14" t="str"/>
      <x:c r="AF444" s="14" t="n">
        <x:v>54</x:v>
      </x:c>
      <x:c r="AG444" s="14" t="str">
        <x:v>I3</x:v>
      </x:c>
      <x:c r="AH444" s="14" t="n">
        <x:v>2</x:v>
      </x:c>
      <x:c r="AI444" s="14" t="n">
        <x:v>1</x:v>
      </x:c>
      <x:c r="AJ444" s="18" t="n">
        <x:v>68122.6</x:v>
      </x:c>
      <x:c r="AK444" s="14" t="str">
        <x:v>https://prozorro.gov.ua/tender/UA-2026-07-01-009343-a</x:v>
      </x:c>
      <x:c r="AL444" s="19" t="n">
        <x:v>46204.601056527776</x:v>
      </x:c>
      <x:c r="AM444" s="19" t="n">
        <x:v>46234</x:v>
      </x:c>
      <x:c r="AN444" s="15" t="str">
        <x:v>Водоочищення / очисні споруди; Мости / інфраструктура</x:v>
      </x:c>
      <x:c r="AO444" s="15" t="str">
        <x:v>not_found_in_top_search</x:v>
      </x:c>
    </x:row>
    <x:row r="445">
      <x:c r="A445" s="14" t="str">
        <x:v>W3-173</x:v>
      </x:c>
      <x:c r="B445" s="14" t="str">
        <x:v>Prozorro winners — 24.08</x:v>
      </x:c>
      <x:c r="C445" s="14" t="str">
        <x:v>ДЯК ОЛЕКСАНДР ІВАНОВИЧ</x:v>
      </x:c>
      <x:c r="D445" s="14" t="str">
        <x:v>Промисловий холод</x:v>
      </x:c>
      <x:c r="E445" s="14" t="str">
        <x:v>Expansion discovery</x:v>
      </x:c>
      <x:c r="F445" s="17" t="str">
        <x:v>D3</x:v>
      </x:c>
      <x:c r="G445" s="14" t="str"/>
      <x:c r="H445" s="14" t="str">
        <x:v>Discovery розширення — 2 тижні</x:v>
      </x:c>
      <x:c r="I445" s="16" t="n">
        <x:v>1</x:v>
      </x:c>
      <x:c r="J445" s="16" t="n">
        <x:v>5</x:v>
      </x:c>
      <x:c r="K445" s="16" t="n">
        <x:v>4</x:v>
      </x:c>
      <x:c r="L445" s="16" t="n">
        <x:v>1</x:v>
      </x:c>
      <x:c r="M445" s="16" t="n">
        <x:v>5</x:v>
      </x:c>
      <x:c r="N445" s="16" t="n">
        <x:v>3</x:v>
      </x:c>
      <x:c r="O445" s="16" t="n">
        <x:v>5</x:v>
      </x:c>
      <x:c r="P445" s="16" t="n">
        <x:f>IF(COUNT(I445:O445)&lt;7,"",I445*8+J445*3+K445*2+L445*2+M445*2+N445*2+O445)</x:f>
        <x:v>54</x:v>
      </x:c>
      <x:c r="Q445" s="16" t="n">
        <x:f>IF(COUNT(J445:O445)&lt;6,"",J445*5+K445*4+M445*4+L445*3+N445*2+O445*2)</x:f>
        <x:v>80</x:v>
      </x:c>
      <x:c r="R445" s="14" t="str">
        <x:v>high</x:v>
      </x:c>
      <x:c r="S445" s="14" t="str">
        <x:v>official_prozorro_award_2025_2026</x:v>
      </x:c>
      <x:c r="T445" s="14" t="str">
        <x:v>official_prozorro_api</x:v>
      </x:c>
      <x:c r="U445" s="14" t="str">
        <x:v>Не контактували</x:v>
      </x:c>
      <x:c r="V445" s="15" t="str">
        <x:v>Повторне звернення з новим тендерним сигналом UA-2025-09-15-002784-a; попросити 1 пакет здачі</x:v>
      </x:c>
      <x:c r="W445" s="15" t="str">
        <x:v>Власник / виконавець; відповідальний за договір</x:v>
      </x:c>
      <x:c r="X445" s="15" t="str">
        <x:v>2 підтверджених перемог/договорів у Prozorro на 62 300 грн; 1 проєктів зі строком виконання не раніше 24.08.2026.</x:v>
      </x:c>
      <x:c r="Y445" s="15" t="str">
        <x:v>Кондицiонер з монтажем та демонтажем 42510000-4   Теплообмiнники, кондицiонери повiтря, холодильне обладнання та фiльтрувальнi пристрої; строк до 2026-08-28. Попросити один знеособлений пакет здачі за цим workflow.</x:v>
      </x:c>
      <x:c r="Z445" s="15" t="str">
        <x:v>https://prozorro.gov.ua/tender/UA-2026-08-11-010512-a</x:v>
      </x:c>
      <x:c r="AA445" s="14" t="str">
        <x:v>2718200133</x:v>
      </x:c>
      <x:c r="AB445" s="14" t="str">
        <x:v>2026-08-24</x:v>
      </x:c>
      <x:c r="AC445" s="14" t="str"/>
      <x:c r="AD445" s="20" t="str"/>
      <x:c r="AE445" s="14" t="str"/>
      <x:c r="AF445" s="14" t="n">
        <x:v>54</x:v>
      </x:c>
      <x:c r="AG445" s="14" t="str">
        <x:v>I3</x:v>
      </x:c>
      <x:c r="AH445" s="14" t="n">
        <x:v>3</x:v>
      </x:c>
      <x:c r="AI445" s="14" t="n">
        <x:v>1</x:v>
      </x:c>
      <x:c r="AJ445" s="18" t="n">
        <x:v>85699</x:v>
      </x:c>
      <x:c r="AK445" s="14" t="str">
        <x:v>https://prozorro.gov.ua/tender/UA-2025-09-15-002784-a</x:v>
      </x:c>
      <x:c r="AL445" s="19" t="n">
        <x:v>45915.32668788194</x:v>
      </x:c>
      <x:c r="AM445" s="19" t="n">
        <x:v>45930</x:v>
      </x:c>
      <x:c r="AN445" s="15" t="str">
        <x:v>Промисловий холод</x:v>
      </x:c>
      <x:c r="AO445" s="15" t="str">
        <x:v>not_found_in_top_search</x:v>
      </x:c>
    </x:row>
    <x:row r="446">
      <x:c r="A446" s="14" t="str">
        <x:v>W3-174</x:v>
      </x:c>
      <x:c r="B446" s="14" t="str">
        <x:v>Prozorro winners — 24.08</x:v>
      </x:c>
      <x:c r="C446" s="14" t="str">
        <x:v>СУПРУНЮК ОЛЕКСАНДР ВІТАЛІЙОВИЧ</x:v>
      </x:c>
      <x:c r="D446" s="14" t="str">
        <x:v>Електромонтаж</x:v>
      </x:c>
      <x:c r="E446" s="14" t="str">
        <x:v>Pilot now</x:v>
      </x:c>
      <x:c r="F446" s="17" t="str">
        <x:v>P3</x:v>
      </x:c>
      <x:c r="G446" s="14" t="str"/>
      <x:c r="H446" s="14" t="str">
        <x:v>Пілот зараз — Н.15</x:v>
      </x:c>
      <x:c r="I446" s="16" t="n">
        <x:v>5</x:v>
      </x:c>
      <x:c r="J446" s="16" t="n">
        <x:v>5</x:v>
      </x:c>
      <x:c r="K446" s="16" t="n">
        <x:v>5</x:v>
      </x:c>
      <x:c r="L446" s="16" t="n">
        <x:v>1</x:v>
      </x:c>
      <x:c r="M446" s="16" t="n">
        <x:v>5</x:v>
      </x:c>
      <x:c r="N446" s="16" t="n">
        <x:v>3</x:v>
      </x:c>
      <x:c r="O446" s="16" t="n">
        <x:v>5</x:v>
      </x:c>
      <x:c r="P446" s="16" t="n">
        <x:f>IF(COUNT(I446:O446)&lt;7,"",I446*8+J446*3+K446*2+L446*2+M446*2+N446*2+O446)</x:f>
        <x:v>88</x:v>
      </x:c>
      <x:c r="Q446" s="16" t="n">
        <x:f>IF(COUNT(J446:O446)&lt;6,"",J446*5+K446*4+M446*4+L446*3+N446*2+O446*2)</x:f>
        <x:v>84</x:v>
      </x:c>
      <x:c r="R446" s="14" t="str">
        <x:v>high</x:v>
      </x:c>
      <x:c r="S446" s="14" t="str">
        <x:v>official_prozorro_award_2025_2026</x:v>
      </x:c>
      <x:c r="T446" s="14" t="str">
        <x:v>official_prozorro_api</x:v>
      </x:c>
      <x:c r="U446" s="14" t="str">
        <x:v>Не контактували</x:v>
      </x:c>
      <x:c r="V446" s="15" t="str">
        <x:v>Персоналізований free-pilot outreach по UA-2026-07-10-004879-a; попросити 1 пакет Н.14/Н.15</x:v>
      </x:c>
      <x:c r="W446" s="15" t="str">
        <x:v>Власник / виконавець; відповідальний за договір</x:v>
      </x:c>
      <x:c r="X446" s="15" t="str">
        <x:v>2 підтверджених перемог/договорів у Prozorro на 29 000 грн; 1 проєктів зі строком виконання не раніше 24.08.2026.</x:v>
      </x:c>
      <x:c r="Y446" s="15" t="str">
        <x:v>Послуги з електровимірювання (електровимірювальні роботи) (ДК 021:2015:71630000-3 Послуги з технічного огляду та випробувань (електровимірювальні роботи)); строк до 2026-12-31. Попросити один знеособлений пакет здачі за цим workflow.</x:v>
      </x:c>
      <x:c r="Z446" s="15" t="str">
        <x:v>https://prozorro.gov.ua/tender/UA-2026-07-10-004879-a</x:v>
      </x:c>
      <x:c r="AA446" s="14" t="str">
        <x:v>3490410698</x:v>
      </x:c>
      <x:c r="AB446" s="14" t="str">
        <x:v>2026-08-24</x:v>
      </x:c>
      <x:c r="AC446" s="14" t="str"/>
      <x:c r="AD446" s="20" t="str"/>
      <x:c r="AE446" s="14" t="str"/>
      <x:c r="AF446" s="14" t="n">
        <x:v>54</x:v>
      </x:c>
      <x:c r="AG446" s="14" t="str">
        <x:v>I3</x:v>
      </x:c>
      <x:c r="AH446" s="14" t="n">
        <x:v>2</x:v>
      </x:c>
      <x:c r="AI446" s="14" t="n">
        <x:v>1</x:v>
      </x:c>
      <x:c r="AJ446" s="18" t="n">
        <x:v>29000</x:v>
      </x:c>
      <x:c r="AK446" s="14" t="str">
        <x:v>https://prozorro.gov.ua/tender/UA-2026-07-10-004879-a</x:v>
      </x:c>
      <x:c r="AL446" s="19" t="n">
        <x:v>46213.38689792824</x:v>
      </x:c>
      <x:c r="AM446" s="19" t="n">
        <x:v>46387</x:v>
      </x:c>
      <x:c r="AN446" s="15" t="str">
        <x:v>Електромонтаж</x:v>
      </x:c>
      <x:c r="AO446" s="15" t="str">
        <x:v>not_found_in_top_search</x:v>
      </x:c>
    </x:row>
    <x:row r="447">
      <x:c r="A447" s="14" t="str">
        <x:v>W3-175</x:v>
      </x:c>
      <x:c r="B447" s="14" t="str">
        <x:v>Prozorro winners — 24.08</x:v>
      </x:c>
      <x:c r="C447" s="14" t="str">
        <x:v>РІШКО ДМИТРО СТЕПАНОВИЧ</x:v>
      </x:c>
      <x:c r="D447" s="14" t="str">
        <x:v>Електромонтаж</x:v>
      </x:c>
      <x:c r="E447" s="14" t="str">
        <x:v>Pilot now</x:v>
      </x:c>
      <x:c r="F447" s="17" t="str">
        <x:v>P3</x:v>
      </x:c>
      <x:c r="G447" s="14" t="str"/>
      <x:c r="H447" s="14" t="str">
        <x:v>Пілот зараз — Н.15</x:v>
      </x:c>
      <x:c r="I447" s="16" t="n">
        <x:v>5</x:v>
      </x:c>
      <x:c r="J447" s="16" t="n">
        <x:v>5</x:v>
      </x:c>
      <x:c r="K447" s="16" t="n">
        <x:v>5</x:v>
      </x:c>
      <x:c r="L447" s="16" t="n">
        <x:v>1</x:v>
      </x:c>
      <x:c r="M447" s="16" t="n">
        <x:v>5</x:v>
      </x:c>
      <x:c r="N447" s="16" t="n">
        <x:v>3</x:v>
      </x:c>
      <x:c r="O447" s="16" t="n">
        <x:v>5</x:v>
      </x:c>
      <x:c r="P447" s="16" t="n">
        <x:f>IF(COUNT(I447:O447)&lt;7,"",I447*8+J447*3+K447*2+L447*2+M447*2+N447*2+O447)</x:f>
        <x:v>88</x:v>
      </x:c>
      <x:c r="Q447" s="16" t="n">
        <x:f>IF(COUNT(J447:O447)&lt;6,"",J447*5+K447*4+M447*4+L447*3+N447*2+O447*2)</x:f>
        <x:v>84</x:v>
      </x:c>
      <x:c r="R447" s="14" t="str">
        <x:v>high</x:v>
      </x:c>
      <x:c r="S447" s="14" t="str">
        <x:v>official_prozorro_award_2025_2026</x:v>
      </x:c>
      <x:c r="T447" s="14" t="str">
        <x:v>official_prozorro_api</x:v>
      </x:c>
      <x:c r="U447" s="14" t="str">
        <x:v>Не контактували</x:v>
      </x:c>
      <x:c r="V447" s="15" t="str">
        <x:v>Персоналізований free-pilot outreach по UA-2026-07-30-006269-a; попросити 1 пакет Н.14/Н.15</x:v>
      </x:c>
      <x:c r="W447" s="15" t="str">
        <x:v>Власник / виконавець; відповідальний за договір</x:v>
      </x:c>
      <x:c r="X447" s="15" t="str">
        <x:v>2 підтверджених перемог/договорів у Prozorro на 8 562 грн; 1 проєктів зі строком виконання не раніше 24.08.2026.</x:v>
      </x:c>
      <x:c r="Y447"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2026-12-31. Попросити один знеособлений пакет здачі за цим workflow.</x:v>
      </x:c>
      <x:c r="Z447" s="15" t="str">
        <x:v>https://prozorro.gov.ua/tender/UA-2026-07-30-006269-a</x:v>
      </x:c>
      <x:c r="AA447" s="14" t="str">
        <x:v>2925801591</x:v>
      </x:c>
      <x:c r="AB447" s="14" t="str">
        <x:v>2026-08-24</x:v>
      </x:c>
      <x:c r="AC447" s="14" t="str"/>
      <x:c r="AD447" s="20" t="str"/>
      <x:c r="AE447" s="14" t="str"/>
      <x:c r="AF447" s="14" t="n">
        <x:v>54</x:v>
      </x:c>
      <x:c r="AG447" s="14" t="str">
        <x:v>I3</x:v>
      </x:c>
      <x:c r="AH447" s="14" t="n">
        <x:v>2</x:v>
      </x:c>
      <x:c r="AI447" s="14" t="n">
        <x:v>1</x:v>
      </x:c>
      <x:c r="AJ447" s="18" t="n">
        <x:v>8562</x:v>
      </x:c>
      <x:c r="AK447" s="14" t="str">
        <x:v>https://prozorro.gov.ua/tender/UA-2026-07-30-006269-a</x:v>
      </x:c>
      <x:c r="AL447" s="19" t="n">
        <x:v>46233.474989282404</x:v>
      </x:c>
      <x:c r="AM447" s="19" t="n">
        <x:v>46387</x:v>
      </x:c>
      <x:c r="AN447" s="15" t="str">
        <x:v>Електромонтаж</x:v>
      </x:c>
      <x:c r="AO447" s="15" t="str">
        <x:v>not_found_in_top_search</x:v>
      </x:c>
    </x:row>
    <x:row r="448">
      <x:c r="A448" s="14" t="str">
        <x:v>W3-176</x:v>
      </x:c>
      <x:c r="B448" s="14" t="str">
        <x:v>Prozorro winners — 24.08</x:v>
      </x:c>
      <x:c r="C448" s="14" t="str">
        <x:v>ФОП "ГЛАДКИЙ ВАДИМ ВАДИМОВИЧ"</x:v>
      </x:c>
      <x:c r="D448" s="14" t="str">
        <x:v>Мости / інфраструктура</x:v>
      </x:c>
      <x:c r="E448" s="14" t="str">
        <x:v>Expansion discovery</x:v>
      </x:c>
      <x:c r="F448" s="17" t="str">
        <x:v>D3</x:v>
      </x:c>
      <x:c r="G448" s="14" t="str"/>
      <x:c r="H448" s="14" t="str">
        <x:v>Discovery розширення — 2 тижні</x:v>
      </x:c>
      <x:c r="I448" s="16" t="n">
        <x:v>1</x:v>
      </x:c>
      <x:c r="J448" s="16" t="n">
        <x:v>5</x:v>
      </x:c>
      <x:c r="K448" s="16" t="n">
        <x:v>4</x:v>
      </x:c>
      <x:c r="L448" s="16" t="n">
        <x:v>2</x:v>
      </x:c>
      <x:c r="M448" s="16" t="n">
        <x:v>5</x:v>
      </x:c>
      <x:c r="N448" s="16" t="n">
        <x:v>3</x:v>
      </x:c>
      <x:c r="O448" s="16" t="n">
        <x:v>5</x:v>
      </x:c>
      <x:c r="P448" s="16" t="n">
        <x:f>IF(COUNT(I448:O448)&lt;7,"",I448*8+J448*3+K448*2+L448*2+M448*2+N448*2+O448)</x:f>
        <x:v>56</x:v>
      </x:c>
      <x:c r="Q448" s="16" t="n">
        <x:f>IF(COUNT(J448:O448)&lt;6,"",J448*5+K448*4+M448*4+L448*3+N448*2+O448*2)</x:f>
        <x:v>83</x:v>
      </x:c>
      <x:c r="R448" s="14" t="str">
        <x:v>high</x:v>
      </x:c>
      <x:c r="S448" s="14" t="str">
        <x:v>official_prozorro_award_2025_2026</x:v>
      </x:c>
      <x:c r="T448" s="14" t="str">
        <x:v>official_prozorro_api</x:v>
      </x:c>
      <x:c r="U448" s="14" t="str">
        <x:v>Не контактували</x:v>
      </x:c>
      <x:c r="V448" s="15" t="str">
        <x:v>Workflow-audit outreach по UA-2026-08-06-000509-a; попросити 1 пакет здачі та вимоги проєкту</x:v>
      </x:c>
      <x:c r="W448" s="15" t="str">
        <x:v>Власник / виконавець; відповідальний за договір</x:v>
      </x:c>
      <x:c r="X448" s="15" t="str">
        <x:v>1 підтверджених перемог/договорів у Prozorro на 342 158 грн; 1 проєктів зі строком виконання не раніше 24.08.2026.</x:v>
      </x:c>
      <x:c r="Y448" s="15" t="str">
        <x:v>Послуги з поточного ремонту дерев’яного мосту пров.Василя Сухомлинського та вул.Дикалова, м. Охтирка Сумської області; строк до 2026-10-31. Попросити один знеособлений пакет здачі за цим workflow.</x:v>
      </x:c>
      <x:c r="Z448" s="15" t="str">
        <x:v>https://prozorro.gov.ua/tender/UA-2026-08-06-000509-a</x:v>
      </x:c>
      <x:c r="AA448" s="14" t="str">
        <x:v>2957912478</x:v>
      </x:c>
      <x:c r="AB448" s="14" t="str">
        <x:v>2026-08-24</x:v>
      </x:c>
      <x:c r="AC448" s="14" t="str"/>
      <x:c r="AD448" s="20" t="str"/>
      <x:c r="AE448" s="14" t="str"/>
      <x:c r="AF448" s="14" t="n">
        <x:v>53</x:v>
      </x:c>
      <x:c r="AG448" s="14" t="str">
        <x:v>I3</x:v>
      </x:c>
      <x:c r="AH448" s="14" t="n">
        <x:v>1</x:v>
      </x:c>
      <x:c r="AI448" s="14" t="n">
        <x:v>1</x:v>
      </x:c>
      <x:c r="AJ448" s="18" t="n">
        <x:v>342158</x:v>
      </x:c>
      <x:c r="AK448" s="14" t="str">
        <x:v>https://prozorro.gov.ua/tender/UA-2026-08-06-000509-a</x:v>
      </x:c>
      <x:c r="AL448" s="19" t="n">
        <x:v>46248.45368438657</x:v>
      </x:c>
      <x:c r="AM448" s="19" t="n">
        <x:v>46326.29728009259</x:v>
      </x:c>
      <x:c r="AN448" s="15" t="str">
        <x:v>Мости / інфраструктура</x:v>
      </x:c>
      <x:c r="AO448" s="15" t="str">
        <x:v>not_found_in_top_search</x:v>
      </x:c>
    </x:row>
    <x:row r="449">
      <x:c r="A449" s="14" t="str">
        <x:v>W3-177</x:v>
      </x:c>
      <x:c r="B449" s="14" t="str">
        <x:v>Prozorro winners — 24.08</x:v>
      </x:c>
      <x:c r="C449" s="14" t="str">
        <x:v>ТУРДАЙ ВОЛОДИМИР ЮРІЙОВИЧ</x:v>
      </x:c>
      <x:c r="D449" s="14" t="str">
        <x:v>Електромонтаж</x:v>
      </x:c>
      <x:c r="E449" s="14" t="str">
        <x:v>Pilot now</x:v>
      </x:c>
      <x:c r="F449" s="17" t="str">
        <x:v>P3</x:v>
      </x:c>
      <x:c r="G449" s="14" t="str"/>
      <x:c r="H449" s="14" t="str">
        <x:v>Пілот зараз — Н.15</x:v>
      </x:c>
      <x:c r="I449" s="16" t="n">
        <x:v>5</x:v>
      </x:c>
      <x:c r="J449" s="16" t="n">
        <x:v>5</x:v>
      </x:c>
      <x:c r="K449" s="16" t="n">
        <x:v>5</x:v>
      </x:c>
      <x:c r="L449" s="16" t="n">
        <x:v>2</x:v>
      </x:c>
      <x:c r="M449" s="16" t="n">
        <x:v>5</x:v>
      </x:c>
      <x:c r="N449" s="16" t="n">
        <x:v>3</x:v>
      </x:c>
      <x:c r="O449" s="16" t="n">
        <x:v>5</x:v>
      </x:c>
      <x:c r="P449" s="16" t="n">
        <x:f>IF(COUNT(I449:O449)&lt;7,"",I449*8+J449*3+K449*2+L449*2+M449*2+N449*2+O449)</x:f>
        <x:v>90</x:v>
      </x:c>
      <x:c r="Q449" s="16" t="n">
        <x:f>IF(COUNT(J449:O449)&lt;6,"",J449*5+K449*4+M449*4+L449*3+N449*2+O449*2)</x:f>
        <x:v>87</x:v>
      </x:c>
      <x:c r="R449" s="14" t="str">
        <x:v>high</x:v>
      </x:c>
      <x:c r="S449" s="14" t="str">
        <x:v>official_prozorro_award_2025_2026</x:v>
      </x:c>
      <x:c r="T449" s="14" t="str">
        <x:v>official_prozorro_api</x:v>
      </x:c>
      <x:c r="U449" s="14" t="str">
        <x:v>Не контактували</x:v>
      </x:c>
      <x:c r="V449" s="15" t="str">
        <x:v>Персоналізований free-pilot outreach по UA-2026-08-14-001263-a; попросити 1 пакет Н.14/Н.15</x:v>
      </x:c>
      <x:c r="W449" s="15" t="str">
        <x:v>Власник / виконавець; відповідальний за договір</x:v>
      </x:c>
      <x:c r="X449" s="15" t="str">
        <x:v>1 підтверджених перемог/договорів у Prozorro на 260 000 грн; 1 проєктів зі строком виконання не раніше 24.08.2026.</x:v>
      </x:c>
      <x:c r="Y449" s="15" t="str">
        <x:v> Електромонтажні роботи; строк до 2026-09-12. Попросити один знеособлений пакет здачі за цим workflow.</x:v>
      </x:c>
      <x:c r="Z449" s="15" t="str">
        <x:v>https://prozorro.gov.ua/tender/UA-2026-08-14-001263-a</x:v>
      </x:c>
      <x:c r="AA449" s="14" t="str">
        <x:v>2782208435</x:v>
      </x:c>
      <x:c r="AB449" s="14" t="str">
        <x:v>2026-08-24</x:v>
      </x:c>
      <x:c r="AC449" s="14" t="str"/>
      <x:c r="AD449" s="20" t="str"/>
      <x:c r="AE449" s="14" t="str"/>
      <x:c r="AF449" s="14" t="n">
        <x:v>53</x:v>
      </x:c>
      <x:c r="AG449" s="14" t="str">
        <x:v>I3</x:v>
      </x:c>
      <x:c r="AH449" s="14" t="n">
        <x:v>1</x:v>
      </x:c>
      <x:c r="AI449" s="14" t="n">
        <x:v>1</x:v>
      </x:c>
      <x:c r="AJ449" s="18" t="n">
        <x:v>260000</x:v>
      </x:c>
      <x:c r="AK449" s="14" t="str">
        <x:v>https://prozorro.gov.ua/tender/UA-2026-08-14-001263-a</x:v>
      </x:c>
      <x:c r="AL449" s="19" t="n">
        <x:v>46248.28249450232</x:v>
      </x:c>
      <x:c r="AM449" s="19" t="n">
        <x:v>46277</x:v>
      </x:c>
      <x:c r="AN449" s="15" t="str">
        <x:v>Електромонтаж</x:v>
      </x:c>
      <x:c r="AO449" s="15" t="str">
        <x:v>not_found_in_top_search</x:v>
      </x:c>
    </x:row>
    <x:row r="450">
      <x:c r="A450" s="14" t="str">
        <x:v>W3-178</x:v>
      </x:c>
      <x:c r="B450" s="14" t="str">
        <x:v>Prozorro winners — 24.08</x:v>
      </x:c>
      <x:c r="C450" s="14" t="str">
        <x:v>ФОП "КОЗЛОВА ОЛЕКСАНДРА ОЛЕКСАНДРІВНА"</x:v>
      </x:c>
      <x:c r="D450" s="14" t="str">
        <x:v>HVAC / ОВіК</x:v>
      </x:c>
      <x:c r="E450" s="14" t="str">
        <x:v>Pilot now</x:v>
      </x:c>
      <x:c r="F450" s="17" t="str">
        <x:v>P3</x:v>
      </x:c>
      <x:c r="G450" s="14" t="str"/>
      <x:c r="H450" s="14" t="str">
        <x:v>Пілот зараз — Н.14</x:v>
      </x:c>
      <x:c r="I450" s="16" t="n">
        <x:v>5</x:v>
      </x:c>
      <x:c r="J450" s="16" t="n">
        <x:v>5</x:v>
      </x:c>
      <x:c r="K450" s="16" t="n">
        <x:v>5</x:v>
      </x:c>
      <x:c r="L450" s="16" t="n">
        <x:v>2</x:v>
      </x:c>
      <x:c r="M450" s="16" t="n">
        <x:v>5</x:v>
      </x:c>
      <x:c r="N450" s="16" t="n">
        <x:v>3</x:v>
      </x:c>
      <x:c r="O450" s="16" t="n">
        <x:v>5</x:v>
      </x:c>
      <x:c r="P450" s="16" t="n">
        <x:f>IF(COUNT(I450:O450)&lt;7,"",I450*8+J450*3+K450*2+L450*2+M450*2+N450*2+O450)</x:f>
        <x:v>90</x:v>
      </x:c>
      <x:c r="Q450" s="16" t="n">
        <x:f>IF(COUNT(J450:O450)&lt;6,"",J450*5+K450*4+M450*4+L450*3+N450*2+O450*2)</x:f>
        <x:v>87</x:v>
      </x:c>
      <x:c r="R450" s="14" t="str">
        <x:v>high</x:v>
      </x:c>
      <x:c r="S450" s="14" t="str">
        <x:v>official_prozorro_award_2025_2026</x:v>
      </x:c>
      <x:c r="T450" s="14" t="str">
        <x:v>official_prozorro_api</x:v>
      </x:c>
      <x:c r="U450" s="14" t="str">
        <x:v>Не контактували</x:v>
      </x:c>
      <x:c r="V450" s="15" t="str">
        <x:v>Персоналізований free-pilot outreach по UA-2026-07-20-005737-a; попросити 1 пакет Н.14/Н.15</x:v>
      </x:c>
      <x:c r="W450" s="15" t="str">
        <x:v>Власник / виконавець; відповідальний за договір</x:v>
      </x:c>
      <x:c r="X450" s="15" t="str">
        <x:v>1 підтверджених перемог/договорів у Prozorro на 234 348 грн; 1 проєктів зі строком виконання не раніше 24.08.2026.</x:v>
      </x:c>
      <x:c r="Y450" s="15" t="str">
        <x:v>Матеріали та комплектуючі для монтажу системи водяного опалення.; строк до 2026-12-31. Попросити один знеособлений пакет здачі за цим workflow.</x:v>
      </x:c>
      <x:c r="Z450" s="15" t="str">
        <x:v>https://prozorro.gov.ua/tender/UA-2026-07-20-005737-a</x:v>
      </x:c>
      <x:c r="AA450" s="14" t="str">
        <x:v>2552810284</x:v>
      </x:c>
      <x:c r="AB450" s="14" t="str">
        <x:v>2026-08-24</x:v>
      </x:c>
      <x:c r="AC450" s="14" t="str"/>
      <x:c r="AD450" s="20" t="str"/>
      <x:c r="AE450" s="14" t="str"/>
      <x:c r="AF450" s="14" t="n">
        <x:v>53</x:v>
      </x:c>
      <x:c r="AG450" s="14" t="str">
        <x:v>I3</x:v>
      </x:c>
      <x:c r="AH450" s="14" t="n">
        <x:v>1</x:v>
      </x:c>
      <x:c r="AI450" s="14" t="n">
        <x:v>1</x:v>
      </x:c>
      <x:c r="AJ450" s="18" t="n">
        <x:v>234348</x:v>
      </x:c>
      <x:c r="AK450" s="14" t="str">
        <x:v>https://prozorro.gov.ua/tender/UA-2026-07-20-005737-a</x:v>
      </x:c>
      <x:c r="AL450" s="19" t="n">
        <x:v>46233.29414491898</x:v>
      </x:c>
      <x:c r="AM450" s="19" t="n">
        <x:v>46387.4991087963</x:v>
      </x:c>
      <x:c r="AN450" s="15" t="str">
        <x:v>HVAC / ОВіК</x:v>
      </x:c>
      <x:c r="AO450" s="15" t="str">
        <x:v>not_found_in_top_search</x:v>
      </x:c>
    </x:row>
    <x:row r="451">
      <x:c r="A451" s="14" t="str">
        <x:v>W3-179</x:v>
      </x:c>
      <x:c r="B451" s="14" t="str">
        <x:v>Prozorro winners — 24.08</x:v>
      </x:c>
      <x:c r="C451" s="14" t="str">
        <x:v>ФОП КРИГА ІВАН ІВАНОВИЧ</x:v>
      </x:c>
      <x:c r="D451" s="14" t="str">
        <x:v>Електромонтаж</x:v>
      </x:c>
      <x:c r="E451" s="14" t="str">
        <x:v>Pilot now</x:v>
      </x:c>
      <x:c r="F451" s="17" t="str">
        <x:v>P3</x:v>
      </x:c>
      <x:c r="G451" s="14" t="str"/>
      <x:c r="H451" s="14" t="str">
        <x:v>Пілот зараз — Н.15</x:v>
      </x:c>
      <x:c r="I451" s="16" t="n">
        <x:v>5</x:v>
      </x:c>
      <x:c r="J451" s="16" t="n">
        <x:v>5</x:v>
      </x:c>
      <x:c r="K451" s="16" t="n">
        <x:v>5</x:v>
      </x:c>
      <x:c r="L451" s="16" t="n">
        <x:v>2</x:v>
      </x:c>
      <x:c r="M451" s="16" t="n">
        <x:v>5</x:v>
      </x:c>
      <x:c r="N451" s="16" t="n">
        <x:v>3</x:v>
      </x:c>
      <x:c r="O451" s="16" t="n">
        <x:v>5</x:v>
      </x:c>
      <x:c r="P451" s="16" t="n">
        <x:f>IF(COUNT(I451:O451)&lt;7,"",I451*8+J451*3+K451*2+L451*2+M451*2+N451*2+O451)</x:f>
        <x:v>90</x:v>
      </x:c>
      <x:c r="Q451" s="16" t="n">
        <x:f>IF(COUNT(J451:O451)&lt;6,"",J451*5+K451*4+M451*4+L451*3+N451*2+O451*2)</x:f>
        <x:v>87</x:v>
      </x:c>
      <x:c r="R451" s="14" t="str">
        <x:v>high</x:v>
      </x:c>
      <x:c r="S451" s="14" t="str">
        <x:v>official_prozorro_award_2025_2026</x:v>
      </x:c>
      <x:c r="T451" s="14" t="str">
        <x:v>official_prozorro_api</x:v>
      </x:c>
      <x:c r="U451" s="14" t="str">
        <x:v>Не контактували</x:v>
      </x:c>
      <x:c r="V451" s="15" t="str">
        <x:v>Персоналізований free-pilot outreach по UA-2026-08-05-004847-a; попросити 1 пакет Н.14/Н.15</x:v>
      </x:c>
      <x:c r="W451" s="15" t="str">
        <x:v>Власник / виконавець; відповідальний за договір</x:v>
      </x:c>
      <x:c r="X451" s="15" t="str">
        <x:v>1 підтверджених перемог/договорів у Prozorro на 199 691 грн; 1 проєктів зі строком виконання не раніше 24.08.2026.</x:v>
      </x:c>
      <x:c r="Y451" s="15" t="str">
        <x:v>Електромонтажні роботи; строк до 2026-12-31. Попросити один знеособлений пакет здачі за цим workflow.</x:v>
      </x:c>
      <x:c r="Z451" s="15" t="str">
        <x:v>https://prozorro.gov.ua/tender/UA-2026-08-05-004847-a</x:v>
      </x:c>
      <x:c r="AA451" s="14" t="str">
        <x:v>3424306457</x:v>
      </x:c>
      <x:c r="AB451" s="14" t="str">
        <x:v>2026-08-24</x:v>
      </x:c>
      <x:c r="AC451" s="14" t="str"/>
      <x:c r="AD451" s="20" t="str"/>
      <x:c r="AE451" s="14" t="str"/>
      <x:c r="AF451" s="14" t="n">
        <x:v>53</x:v>
      </x:c>
      <x:c r="AG451" s="14" t="str">
        <x:v>I3</x:v>
      </x:c>
      <x:c r="AH451" s="14" t="n">
        <x:v>1</x:v>
      </x:c>
      <x:c r="AI451" s="14" t="n">
        <x:v>1</x:v>
      </x:c>
      <x:c r="AJ451" s="18" t="n">
        <x:v>199691</x:v>
      </x:c>
      <x:c r="AK451" s="14" t="str">
        <x:v>https://prozorro.gov.ua/tender/UA-2026-08-05-004847-a</x:v>
      </x:c>
      <x:c r="AL451" s="19" t="n">
        <x:v>46239.379091076386</x:v>
      </x:c>
      <x:c r="AM451" s="19" t="n">
        <x:v>46387</x:v>
      </x:c>
      <x:c r="AN451" s="15" t="str">
        <x:v>Електромонтаж</x:v>
      </x:c>
      <x:c r="AO451" s="15" t="str">
        <x:v>not_found_in_top_search</x:v>
      </x:c>
    </x:row>
    <x:row r="452">
      <x:c r="A452" s="14" t="str">
        <x:v>W3-180</x:v>
      </x:c>
      <x:c r="B452" s="14" t="str">
        <x:v>Prozorro winners — 24.08</x:v>
      </x:c>
      <x:c r="C452" s="14" t="str">
        <x:v>Фізична особа підприємець Підлісецький Володимир Євгенович</x:v>
      </x:c>
      <x:c r="D452" s="14" t="str">
        <x:v>Електромонтаж</x:v>
      </x:c>
      <x:c r="E452" s="14" t="str">
        <x:v>Pilot now</x:v>
      </x:c>
      <x:c r="F452" s="17" t="str">
        <x:v>P3</x:v>
      </x:c>
      <x:c r="G452" s="14" t="str"/>
      <x:c r="H452" s="14" t="str">
        <x:v>Пілот зараз — Н.15</x:v>
      </x:c>
      <x:c r="I452" s="16" t="n">
        <x:v>5</x:v>
      </x:c>
      <x:c r="J452" s="16" t="n">
        <x:v>5</x:v>
      </x:c>
      <x:c r="K452" s="16" t="n">
        <x:v>5</x:v>
      </x:c>
      <x:c r="L452" s="16" t="n">
        <x:v>2</x:v>
      </x:c>
      <x:c r="M452" s="16" t="n">
        <x:v>5</x:v>
      </x:c>
      <x:c r="N452" s="16" t="n">
        <x:v>3</x:v>
      </x:c>
      <x:c r="O452" s="16" t="n">
        <x:v>5</x:v>
      </x:c>
      <x:c r="P452" s="16" t="n">
        <x:f>IF(COUNT(I452:O452)&lt;7,"",I452*8+J452*3+K452*2+L452*2+M452*2+N452*2+O452)</x:f>
        <x:v>90</x:v>
      </x:c>
      <x:c r="Q452" s="16" t="n">
        <x:f>IF(COUNT(J452:O452)&lt;6,"",J452*5+K452*4+M452*4+L452*3+N452*2+O452*2)</x:f>
        <x:v>87</x:v>
      </x:c>
      <x:c r="R452" s="14" t="str">
        <x:v>high</x:v>
      </x:c>
      <x:c r="S452" s="14" t="str">
        <x:v>official_prozorro_award_2025_2026</x:v>
      </x:c>
      <x:c r="T452" s="14" t="str">
        <x:v>official_prozorro_api</x:v>
      </x:c>
      <x:c r="U452" s="14" t="str">
        <x:v>Не контактували</x:v>
      </x:c>
      <x:c r="V452" s="15" t="str">
        <x:v>Персоналізований free-pilot outreach по UA-2026-08-18-011836-a; попросити 1 пакет Н.14/Н.15</x:v>
      </x:c>
      <x:c r="W452" s="15" t="str">
        <x:v>Власник / виконавець; відповідальний за договір</x:v>
      </x:c>
      <x:c r="X452" s="15" t="str">
        <x:v>1 підтверджених перемог/договорів у Prozorro на 166 460 грн; 1 проєктів зі строком виконання не раніше 24.08.2026.</x:v>
      </x:c>
      <x:c r="Y452" s="15" t="str">
        <x:v>Електромонтажні роботи; строк до 2026-11-09. Попросити один знеособлений пакет здачі за цим workflow.</x:v>
      </x:c>
      <x:c r="Z452" s="15" t="str">
        <x:v>https://prozorro.gov.ua/tender/UA-2026-08-18-011836-a</x:v>
      </x:c>
      <x:c r="AA452" s="14" t="str">
        <x:v>2924717577</x:v>
      </x:c>
      <x:c r="AB452" s="14" t="str">
        <x:v>2026-08-24</x:v>
      </x:c>
      <x:c r="AC452" s="14" t="str"/>
      <x:c r="AD452" s="20" t="str"/>
      <x:c r="AE452" s="14" t="str"/>
      <x:c r="AF452" s="14" t="n">
        <x:v>53</x:v>
      </x:c>
      <x:c r="AG452" s="14" t="str">
        <x:v>I3</x:v>
      </x:c>
      <x:c r="AH452" s="14" t="n">
        <x:v>1</x:v>
      </x:c>
      <x:c r="AI452" s="14" t="n">
        <x:v>1</x:v>
      </x:c>
      <x:c r="AJ452" s="18" t="n">
        <x:v>166459.74</x:v>
      </x:c>
      <x:c r="AK452" s="14" t="str">
        <x:v>https://prozorro.gov.ua/tender/UA-2026-08-18-011836-a</x:v>
      </x:c>
      <x:c r="AL452" s="19" t="n">
        <x:v>46252.56706210648</x:v>
      </x:c>
      <x:c r="AM452" s="19" t="n">
        <x:v>46335</x:v>
      </x:c>
      <x:c r="AN452" s="15" t="str">
        <x:v>Електромонтаж</x:v>
      </x:c>
      <x:c r="AO452" s="15" t="str">
        <x:v>not_found_in_top_search</x:v>
      </x:c>
    </x:row>
    <x:row r="453">
      <x:c r="A453" s="14" t="str">
        <x:v>W3-181</x:v>
      </x:c>
      <x:c r="B453" s="14" t="str">
        <x:v>Prozorro winners — 24.08</x:v>
      </x:c>
      <x:c r="C453" s="14" t="str">
        <x:v>КОТЕЛЬЧУК ЛЮДМИЛА ЙОСИПІВНА</x:v>
      </x:c>
      <x:c r="D453" s="14" t="str">
        <x:v>Насосні станції</x:v>
      </x:c>
      <x:c r="E453" s="14" t="str">
        <x:v>Expansion discovery</x:v>
      </x:c>
      <x:c r="F453" s="17" t="str">
        <x:v>D3</x:v>
      </x:c>
      <x:c r="G453" s="14" t="str"/>
      <x:c r="H453" s="14" t="str">
        <x:v>Discovery розширення — 2 тижні</x:v>
      </x:c>
      <x:c r="I453" s="16" t="n">
        <x:v>1</x:v>
      </x:c>
      <x:c r="J453" s="16" t="n">
        <x:v>5</x:v>
      </x:c>
      <x:c r="K453" s="16" t="n">
        <x:v>4</x:v>
      </x:c>
      <x:c r="L453" s="16" t="n">
        <x:v>2</x:v>
      </x:c>
      <x:c r="M453" s="16" t="n">
        <x:v>5</x:v>
      </x:c>
      <x:c r="N453" s="16" t="n">
        <x:v>3</x:v>
      </x:c>
      <x:c r="O453" s="16" t="n">
        <x:v>5</x:v>
      </x:c>
      <x:c r="P453" s="16" t="n">
        <x:f>IF(COUNT(I453:O453)&lt;7,"",I453*8+J453*3+K453*2+L453*2+M453*2+N453*2+O453)</x:f>
        <x:v>56</x:v>
      </x:c>
      <x:c r="Q453" s="16" t="n">
        <x:f>IF(COUNT(J453:O453)&lt;6,"",J453*5+K453*4+M453*4+L453*3+N453*2+O453*2)</x:f>
        <x:v>83</x:v>
      </x:c>
      <x:c r="R453" s="14" t="str">
        <x:v>high</x:v>
      </x:c>
      <x:c r="S453" s="14" t="str">
        <x:v>official_prozorro_award_2025_2026</x:v>
      </x:c>
      <x:c r="T453" s="14" t="str">
        <x:v>official_prozorro_api</x:v>
      </x:c>
      <x:c r="U453" s="14" t="str">
        <x:v>Не контактували</x:v>
      </x:c>
      <x:c r="V453" s="15" t="str">
        <x:v>Workflow-audit outreach по UA-2026-07-21-005571-a; попросити 1 пакет здачі та вимоги проєкту</x:v>
      </x:c>
      <x:c r="W453" s="15" t="str">
        <x:v>Власник / виконавець; відповідальний за договір</x:v>
      </x:c>
      <x:c r="X453" s="15" t="str">
        <x:v>1 підтверджених перемог/договорів у Prozorro на 132 996 грн; 1 проєктів зі строком виконання не раніше 24.08.2026.</x:v>
      </x:c>
      <x:c r="Y453"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 строк до 2026-09-14. Попросити один знеособлений пакет здачі за цим workflow.</x:v>
      </x:c>
      <x:c r="Z453" s="15" t="str">
        <x:v>https://prozorro.gov.ua/tender/UA-2026-07-21-005571-a</x:v>
      </x:c>
      <x:c r="AA453" s="14" t="str">
        <x:v>2926317047</x:v>
      </x:c>
      <x:c r="AB453" s="14" t="str">
        <x:v>2026-08-24</x:v>
      </x:c>
      <x:c r="AC453" s="14" t="str"/>
      <x:c r="AD453" s="20" t="str"/>
      <x:c r="AE453" s="14" t="str"/>
      <x:c r="AF453" s="14" t="n">
        <x:v>53</x:v>
      </x:c>
      <x:c r="AG453" s="14" t="str">
        <x:v>I3</x:v>
      </x:c>
      <x:c r="AH453" s="14" t="n">
        <x:v>1</x:v>
      </x:c>
      <x:c r="AI453" s="14" t="n">
        <x:v>1</x:v>
      </x:c>
      <x:c r="AJ453" s="18" t="n">
        <x:v>132996</x:v>
      </x:c>
      <x:c r="AK453" s="14" t="str">
        <x:v>https://prozorro.gov.ua/tender/UA-2026-07-21-005571-a</x:v>
      </x:c>
      <x:c r="AL453" s="19" t="n">
        <x:v>46224.41716337963</x:v>
      </x:c>
      <x:c r="AM453" s="19" t="n">
        <x:v>46279</x:v>
      </x:c>
      <x:c r="AN453" s="15" t="str">
        <x:v>Насосні станції</x:v>
      </x:c>
      <x:c r="AO453" s="15" t="str">
        <x:v>not_found_in_top_search</x:v>
      </x:c>
    </x:row>
    <x:row r="454">
      <x:c r="A454" s="14" t="str">
        <x:v>W3-182</x:v>
      </x:c>
      <x:c r="B454" s="14" t="str">
        <x:v>Prozorro winners — 24.08</x:v>
      </x:c>
      <x:c r="C454" s="14" t="str">
        <x:v>ФОП Кашко Віктор Анатолійович</x:v>
      </x:c>
      <x:c r="D454" s="14" t="str">
        <x:v>Безпека / СКУД / CCTV</x:v>
      </x:c>
      <x:c r="E454" s="14" t="str">
        <x:v>Expansion discovery</x:v>
      </x:c>
      <x:c r="F454" s="17" t="str">
        <x:v>D3</x:v>
      </x:c>
      <x:c r="G454" s="14" t="str"/>
      <x:c r="H454" s="14" t="str">
        <x:v>Discovery розширення — 2 тижні</x:v>
      </x:c>
      <x:c r="I454" s="16" t="n">
        <x:v>1</x:v>
      </x:c>
      <x:c r="J454" s="16" t="n">
        <x:v>5</x:v>
      </x:c>
      <x:c r="K454" s="16" t="n">
        <x:v>4</x:v>
      </x:c>
      <x:c r="L454" s="16" t="n">
        <x:v>1</x:v>
      </x:c>
      <x:c r="M454" s="16" t="n">
        <x:v>5</x:v>
      </x:c>
      <x:c r="N454" s="16" t="n">
        <x:v>3</x:v>
      </x:c>
      <x:c r="O454" s="16" t="n">
        <x:v>5</x:v>
      </x:c>
      <x:c r="P454" s="16" t="n">
        <x:f>IF(COUNT(I454:O454)&lt;7,"",I454*8+J454*3+K454*2+L454*2+M454*2+N454*2+O454)</x:f>
        <x:v>54</x:v>
      </x:c>
      <x:c r="Q454" s="16" t="n">
        <x:f>IF(COUNT(J454:O454)&lt;6,"",J454*5+K454*4+M454*4+L454*3+N454*2+O454*2)</x:f>
        <x:v>80</x:v>
      </x:c>
      <x:c r="R454" s="14" t="str">
        <x:v>high</x:v>
      </x:c>
      <x:c r="S454" s="14" t="str">
        <x:v>official_prozorro_award_2025_2026</x:v>
      </x:c>
      <x:c r="T454" s="14" t="str">
        <x:v>official_prozorro_api</x:v>
      </x:c>
      <x:c r="U454" s="14" t="str">
        <x:v>Не контактували</x:v>
      </x:c>
      <x:c r="V454" s="15" t="str">
        <x:v>Workflow-audit outreach по UA-2026-07-07-004364-a; попросити 1 пакет здачі та вимоги проєкту</x:v>
      </x:c>
      <x:c r="W454" s="15" t="str">
        <x:v>Власник / виконавець; відповідальний за договір</x:v>
      </x:c>
      <x:c r="X454" s="15" t="str">
        <x:v>2 підтверджених перемог/договорів у Prozorro на 43 909 грн; 2 проєктів зі строком виконання не раніше 24.08.2026.</x:v>
      </x:c>
      <x:c r="Y454"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 строк до 2026-11-01. Попросити один знеособлений пакет здачі за цим workflow.</x:v>
      </x:c>
      <x:c r="Z454" s="15" t="str">
        <x:v>https://prozorro.gov.ua/tender/UA-2026-07-07-004364-a</x:v>
      </x:c>
      <x:c r="AA454" s="14" t="str">
        <x:v>2881702190</x:v>
      </x:c>
      <x:c r="AB454" s="14" t="str">
        <x:v>2026-08-24</x:v>
      </x:c>
      <x:c r="AC454" s="14" t="str"/>
      <x:c r="AD454" s="20" t="str"/>
      <x:c r="AE454" s="14" t="str"/>
      <x:c r="AF454" s="14" t="n">
        <x:v>53</x:v>
      </x:c>
      <x:c r="AG454" s="14" t="str">
        <x:v>I3</x:v>
      </x:c>
      <x:c r="AH454" s="14" t="n">
        <x:v>2</x:v>
      </x:c>
      <x:c r="AI454" s="14" t="n">
        <x:v>2</x:v>
      </x:c>
      <x:c r="AJ454" s="18" t="n">
        <x:v>43909</x:v>
      </x:c>
      <x:c r="AK454" s="14" t="str">
        <x:v>https://prozorro.gov.ua/tender/UA-2026-07-07-004364-a</x:v>
      </x:c>
      <x:c r="AL454" s="19" t="n">
        <x:v>46210.38042739583</x:v>
      </x:c>
      <x:c r="AM454" s="19" t="n">
        <x:v>46327</x:v>
      </x:c>
      <x:c r="AN454" s="15" t="str">
        <x:v>Безпека / СКУД / CCTV</x:v>
      </x:c>
      <x:c r="AO454" s="15" t="str">
        <x:v>not_found_in_top_search</x:v>
      </x:c>
    </x:row>
    <x:row r="455">
      <x:c r="A455" s="14" t="str">
        <x:v>W3-183</x:v>
      </x:c>
      <x:c r="B455" s="14" t="str">
        <x:v>Prozorro winners — 24.08</x:v>
      </x:c>
      <x:c r="C455" s="14" t="str">
        <x:v>Фізична особа-підприємець Штанько Вікторія Вадимівна</x:v>
      </x:c>
      <x:c r="D455" s="14" t="str">
        <x:v>Газопостачання / котельні</x:v>
      </x:c>
      <x:c r="E455" s="14" t="str">
        <x:v>Expansion discovery</x:v>
      </x:c>
      <x:c r="F455" s="17" t="str">
        <x:v>D3</x:v>
      </x:c>
      <x:c r="G455" s="14" t="str"/>
      <x:c r="H455" s="14" t="str">
        <x:v>Discovery розширення — 2 тижні</x:v>
      </x:c>
      <x:c r="I455" s="16" t="n">
        <x:v>1</x:v>
      </x:c>
      <x:c r="J455" s="16" t="n">
        <x:v>5</x:v>
      </x:c>
      <x:c r="K455" s="16" t="n">
        <x:v>4</x:v>
      </x:c>
      <x:c r="L455" s="16" t="n">
        <x:v>1</x:v>
      </x:c>
      <x:c r="M455" s="16" t="n">
        <x:v>5</x:v>
      </x:c>
      <x:c r="N455" s="16" t="n">
        <x:v>3</x:v>
      </x:c>
      <x:c r="O455" s="16" t="n">
        <x:v>5</x:v>
      </x:c>
      <x:c r="P455" s="16" t="n">
        <x:f>IF(COUNT(I455:O455)&lt;7,"",I455*8+J455*3+K455*2+L455*2+M455*2+N455*2+O455)</x:f>
        <x:v>54</x:v>
      </x:c>
      <x:c r="Q455" s="16" t="n">
        <x:f>IF(COUNT(J455:O455)&lt;6,"",J455*5+K455*4+M455*4+L455*3+N455*2+O455*2)</x:f>
        <x:v>80</x:v>
      </x:c>
      <x:c r="R455" s="14" t="str">
        <x:v>high</x:v>
      </x:c>
      <x:c r="S455" s="14" t="str">
        <x:v>official_prozorro_award_2025_2026</x:v>
      </x:c>
      <x:c r="T455" s="14" t="str">
        <x:v>official_prozorro_api</x:v>
      </x:c>
      <x:c r="U455" s="14" t="str">
        <x:v>Не контактували</x:v>
      </x:c>
      <x:c r="V455" s="15" t="str">
        <x:v>Workflow-audit outreach по UA-2026-06-05-012035-a; попросити 1 пакет здачі та вимоги проєкту</x:v>
      </x:c>
      <x:c r="W455" s="15" t="str">
        <x:v>Власник / виконавець; відповідальний за договір</x:v>
      </x:c>
      <x:c r="X455" s="15" t="str">
        <x:v>2 підтверджених перемог/договорів у Prozorro на 29 000 грн; 2 проєктів зі строком виконання не раніше 24.08.2026.</x:v>
      </x:c>
      <x:c r="Y455"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 строк до 2026-12-31. Попросити один знеособлений пакет здачі за цим workflow.</x:v>
      </x:c>
      <x:c r="Z455" s="15" t="str">
        <x:v>https://prozorro.gov.ua/tender/UA-2026-06-05-012035-a</x:v>
      </x:c>
      <x:c r="AA455" s="14" t="str">
        <x:v>2894222129</x:v>
      </x:c>
      <x:c r="AB455" s="14" t="str">
        <x:v>2026-08-24</x:v>
      </x:c>
      <x:c r="AC455" s="14" t="str"/>
      <x:c r="AD455" s="20" t="str"/>
      <x:c r="AE455" s="14" t="str"/>
      <x:c r="AF455" s="14" t="n">
        <x:v>53</x:v>
      </x:c>
      <x:c r="AG455" s="14" t="str">
        <x:v>I3</x:v>
      </x:c>
      <x:c r="AH455" s="14" t="n">
        <x:v>2</x:v>
      </x:c>
      <x:c r="AI455" s="14" t="n">
        <x:v>2</x:v>
      </x:c>
      <x:c r="AJ455" s="18" t="n">
        <x:v>29000</x:v>
      </x:c>
      <x:c r="AK455" s="14" t="str">
        <x:v>https://prozorro.gov.ua/tender/UA-2026-06-05-012035-a</x:v>
      </x:c>
      <x:c r="AL455" s="19" t="n">
        <x:v>46178.59995344908</x:v>
      </x:c>
      <x:c r="AM455" s="19" t="n">
        <x:v>46387</x:v>
      </x:c>
      <x:c r="AN455" s="15" t="str">
        <x:v>Газопостачання / котельні</x:v>
      </x:c>
      <x:c r="AO455" s="15" t="str">
        <x:v>not_found_in_top_search</x:v>
      </x:c>
    </x:row>
    <x:row r="456">
      <x:c r="A456" s="14" t="str">
        <x:v>W3-184</x:v>
      </x:c>
      <x:c r="B456" s="14" t="str">
        <x:v>Prozorro winners — 24.08</x:v>
      </x:c>
      <x:c r="C456" s="14" t="str">
        <x:v>Фізична особа-підприємець Дудка Ірина Володимирівна</x:v>
      </x:c>
      <x:c r="D456" s="14" t="str">
        <x:v>Мости / інфраструктура</x:v>
      </x:c>
      <x:c r="E456" s="14" t="str">
        <x:v>Expansion discovery</x:v>
      </x:c>
      <x:c r="F456" s="17" t="str">
        <x:v>D3</x:v>
      </x:c>
      <x:c r="G456" s="14" t="str"/>
      <x:c r="H456" s="14" t="str">
        <x:v>Discovery розширення — 2 тижні</x:v>
      </x:c>
      <x:c r="I456" s="16" t="n">
        <x:v>1</x:v>
      </x:c>
      <x:c r="J456" s="16" t="n">
        <x:v>5</x:v>
      </x:c>
      <x:c r="K456" s="16" t="n">
        <x:v>4</x:v>
      </x:c>
      <x:c r="L456" s="16" t="n">
        <x:v>1</x:v>
      </x:c>
      <x:c r="M456" s="16" t="n">
        <x:v>5</x:v>
      </x:c>
      <x:c r="N456" s="16" t="n">
        <x:v>3</x:v>
      </x:c>
      <x:c r="O456" s="16" t="n">
        <x:v>5</x:v>
      </x:c>
      <x:c r="P456" s="16" t="n">
        <x:f>IF(COUNT(I456:O456)&lt;7,"",I456*8+J456*3+K456*2+L456*2+M456*2+N456*2+O456)</x:f>
        <x:v>54</x:v>
      </x:c>
      <x:c r="Q456" s="16" t="n">
        <x:f>IF(COUNT(J456:O456)&lt;6,"",J456*5+K456*4+M456*4+L456*3+N456*2+O456*2)</x:f>
        <x:v>80</x:v>
      </x:c>
      <x:c r="R456" s="14" t="str">
        <x:v>high</x:v>
      </x:c>
      <x:c r="S456" s="14" t="str">
        <x:v>official_prozorro_award_2025_2026</x:v>
      </x:c>
      <x:c r="T456" s="14" t="str">
        <x:v>official_prozorro_api</x:v>
      </x:c>
      <x:c r="U456" s="14" t="str">
        <x:v>Не контактували</x:v>
      </x:c>
      <x:c r="V456" s="15" t="str">
        <x:v>Workflow-audit outreach по UA-2026-06-18-012242-a; попросити 1 пакет здачі та вимоги проєкту</x:v>
      </x:c>
      <x:c r="W456" s="15" t="str">
        <x:v>Власник / виконавець; відповідальний за договір</x:v>
      </x:c>
      <x:c r="X456" s="15" t="str">
        <x:v>2 підтверджених перемог/договорів у Prozorro на 17 880 грн; 2 проєктів зі строком виконання не раніше 24.08.2026.</x:v>
      </x:c>
      <x:c r="Y456" s="15" t="str">
        <x:v>Придбання запчастин для ремонту автомобільного транспорту( (редуктор заднього моста); строк до 2026-12-31. Попросити один знеособлений пакет здачі за цим workflow.</x:v>
      </x:c>
      <x:c r="Z456" s="15" t="str">
        <x:v>https://prozorro.gov.ua/tender/UA-2026-06-18-012242-a</x:v>
      </x:c>
      <x:c r="AA456" s="14" t="str">
        <x:v>2724603941</x:v>
      </x:c>
      <x:c r="AB456" s="14" t="str">
        <x:v>2026-08-24</x:v>
      </x:c>
      <x:c r="AC456" s="14" t="str"/>
      <x:c r="AD456" s="20" t="str"/>
      <x:c r="AE456" s="14" t="str"/>
      <x:c r="AF456" s="14" t="n">
        <x:v>53</x:v>
      </x:c>
      <x:c r="AG456" s="14" t="str">
        <x:v>I3</x:v>
      </x:c>
      <x:c r="AH456" s="14" t="n">
        <x:v>2</x:v>
      </x:c>
      <x:c r="AI456" s="14" t="n">
        <x:v>2</x:v>
      </x:c>
      <x:c r="AJ456" s="18" t="n">
        <x:v>17880</x:v>
      </x:c>
      <x:c r="AK456" s="14" t="str">
        <x:v>https://prozorro.gov.ua/tender/UA-2026-06-18-012242-a</x:v>
      </x:c>
      <x:c r="AL456" s="19" t="n">
        <x:v>46191.561872673614</x:v>
      </x:c>
      <x:c r="AM456" s="19" t="n">
        <x:v>46387.60627314815</x:v>
      </x:c>
      <x:c r="AN456" s="15" t="str">
        <x:v>Мости / інфраструктура</x:v>
      </x:c>
      <x:c r="AO456" s="15" t="str">
        <x:v>not_found_in_top_search</x:v>
      </x:c>
    </x:row>
    <x:row r="457">
      <x:c r="A457" s="14" t="str">
        <x:v>W3-185</x:v>
      </x:c>
      <x:c r="B457" s="14" t="str">
        <x:v>Prozorro winners — 24.08</x:v>
      </x:c>
      <x:c r="C457" s="14" t="str">
        <x:v>ДОВЖИК ПЕТРО ВАСИЛЬОВИЧ</x:v>
      </x:c>
      <x:c r="D457" s="14" t="str">
        <x:v>Сонячна енергетика</x:v>
      </x:c>
      <x:c r="E457" s="14" t="str">
        <x:v>Expansion discovery</x:v>
      </x:c>
      <x:c r="F457" s="17" t="str">
        <x:v>D3</x:v>
      </x:c>
      <x:c r="G457" s="14" t="str"/>
      <x:c r="H457" s="14" t="str">
        <x:v>Discovery розширення — 2 тижні</x:v>
      </x:c>
      <x:c r="I457" s="16" t="n">
        <x:v>1</x:v>
      </x:c>
      <x:c r="J457" s="16" t="n">
        <x:v>5</x:v>
      </x:c>
      <x:c r="K457" s="16" t="n">
        <x:v>4</x:v>
      </x:c>
      <x:c r="L457" s="16" t="n">
        <x:v>2</x:v>
      </x:c>
      <x:c r="M457" s="16" t="n">
        <x:v>5</x:v>
      </x:c>
      <x:c r="N457" s="16" t="n">
        <x:v>3</x:v>
      </x:c>
      <x:c r="O457" s="16" t="n">
        <x:v>5</x:v>
      </x:c>
      <x:c r="P457" s="16" t="n">
        <x:f>IF(COUNT(I457:O457)&lt;7,"",I457*8+J457*3+K457*2+L457*2+M457*2+N457*2+O457)</x:f>
        <x:v>56</x:v>
      </x:c>
      <x:c r="Q457" s="16" t="n">
        <x:f>IF(COUNT(J457:O457)&lt;6,"",J457*5+K457*4+M457*4+L457*3+N457*2+O457*2)</x:f>
        <x:v>83</x:v>
      </x:c>
      <x:c r="R457" s="14" t="str">
        <x:v>high</x:v>
      </x:c>
      <x:c r="S457" s="14" t="str">
        <x:v>official_prozorro_award_2025_2026</x:v>
      </x:c>
      <x:c r="T457" s="14" t="str">
        <x:v>official_prozorro_api</x:v>
      </x:c>
      <x:c r="U457" s="14" t="str">
        <x:v>Не контактували</x:v>
      </x:c>
      <x:c r="V457" s="15" t="str">
        <x:v>Workflow-audit outreach по UA-2026-06-15-003455-a; попросити 1 пакет здачі та вимоги проєкту</x:v>
      </x:c>
      <x:c r="W457" s="15" t="str">
        <x:v>Власник / виконавець; відповідальний за договір</x:v>
      </x:c>
      <x:c r="X457" s="15" t="str">
        <x:v>2 підтверджених перемог/договорів у Prozorro на 199 080 грн; 1 проєктів зі строком виконання не раніше 24.08.2026.</x:v>
      </x:c>
      <x:c r="Y457"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 строк до 2026-07-03. Попросити один знеособлений пакет здачі за цим workflow.</x:v>
      </x:c>
      <x:c r="Z457" s="15" t="str">
        <x:v>https://prozorro.gov.ua/tender/UA-2026-06-15-003455-a</x:v>
      </x:c>
      <x:c r="AA457" s="14" t="str">
        <x:v>2347612999</x:v>
      </x:c>
      <x:c r="AB457" s="14" t="str">
        <x:v>2026-08-24</x:v>
      </x:c>
      <x:c r="AC457" s="14" t="str"/>
      <x:c r="AD457" s="20" t="str"/>
      <x:c r="AE457" s="14" t="str"/>
      <x:c r="AF457" s="14" t="n">
        <x:v>52</x:v>
      </x:c>
      <x:c r="AG457" s="14" t="str">
        <x:v>I3</x:v>
      </x:c>
      <x:c r="AH457" s="14" t="n">
        <x:v>2</x:v>
      </x:c>
      <x:c r="AI457" s="14" t="n">
        <x:v>1</x:v>
      </x:c>
      <x:c r="AJ457" s="18" t="n">
        <x:v>199080</x:v>
      </x:c>
      <x:c r="AK457" s="14" t="str">
        <x:v>https://prozorro.gov.ua/tender/UA-2026-06-15-003455-a</x:v>
      </x:c>
      <x:c r="AL457" s="19" t="n">
        <x:v>46188.35211075231</x:v>
      </x:c>
      <x:c r="AM457" s="19" t="n">
        <x:v>46206</x:v>
      </x:c>
      <x:c r="AN457" s="15" t="str">
        <x:v>Сонячна енергетика</x:v>
      </x:c>
      <x:c r="AO457" s="15" t="str">
        <x:v>not_found_in_top_search</x:v>
      </x:c>
    </x:row>
    <x:row r="458">
      <x:c r="A458" s="14" t="str">
        <x:v>W3-186</x:v>
      </x:c>
      <x:c r="B458" s="14" t="str">
        <x:v>Prozorro winners — 24.08</x:v>
      </x:c>
      <x:c r="C458" s="14" t="str">
        <x:v>ФОП Пащенко Лариса Станіславівна</x:v>
      </x:c>
      <x:c r="D458" s="14" t="str">
        <x:v>Безпека / СКУД / CCTV</x:v>
      </x:c>
      <x:c r="E458" s="14" t="str">
        <x:v>Expansion discovery</x:v>
      </x:c>
      <x:c r="F458" s="17" t="str">
        <x:v>D3</x:v>
      </x:c>
      <x:c r="G458" s="14" t="str"/>
      <x:c r="H458" s="14" t="str">
        <x:v>Discovery розширення — 2 тижні</x:v>
      </x:c>
      <x:c r="I458" s="16" t="n">
        <x:v>1</x:v>
      </x:c>
      <x:c r="J458" s="16" t="n">
        <x:v>5</x:v>
      </x:c>
      <x:c r="K458" s="16" t="n">
        <x:v>4</x:v>
      </x:c>
      <x:c r="L458" s="16" t="n">
        <x:v>2</x:v>
      </x:c>
      <x:c r="M458" s="16" t="n">
        <x:v>5</x:v>
      </x:c>
      <x:c r="N458" s="16" t="n">
        <x:v>3</x:v>
      </x:c>
      <x:c r="O458" s="16" t="n">
        <x:v>5</x:v>
      </x:c>
      <x:c r="P458" s="16" t="n">
        <x:f>IF(COUNT(I458:O458)&lt;7,"",I458*8+J458*3+K458*2+L458*2+M458*2+N458*2+O458)</x:f>
        <x:v>56</x:v>
      </x:c>
      <x:c r="Q458" s="16" t="n">
        <x:f>IF(COUNT(J458:O458)&lt;6,"",J458*5+K458*4+M458*4+L458*3+N458*2+O458*2)</x:f>
        <x:v>83</x:v>
      </x:c>
      <x:c r="R458" s="14" t="str">
        <x:v>high</x:v>
      </x:c>
      <x:c r="S458" s="14" t="str">
        <x:v>official_prozorro_award_2025_2026</x:v>
      </x:c>
      <x:c r="T458" s="14" t="str">
        <x:v>official_prozorro_api</x:v>
      </x:c>
      <x:c r="U458" s="14" t="str">
        <x:v>Не контактували</x:v>
      </x:c>
      <x:c r="V458" s="15" t="str">
        <x:v>Workflow-audit outreach по UA-2026-07-03-002326-a; попросити 1 пакет здачі та вимоги проєкту</x:v>
      </x:c>
      <x:c r="W458" s="15" t="str">
        <x:v>Власник / виконавець; відповідальний за договір</x:v>
      </x:c>
      <x:c r="X458" s="15" t="str">
        <x:v>2 підтверджених перемог/договорів у Prozorro на 143 698 грн; 1 проєктів зі строком виконання не раніше 24.08.2026.</x:v>
      </x:c>
      <x:c r="Y458" s="15" t="str">
        <x:v>Послуги з монтажу, установки та налаштування системи контролю та управління доступом; строк до 2026-07-31. Попросити один знеособлений пакет здачі за цим workflow.</x:v>
      </x:c>
      <x:c r="Z458" s="15" t="str">
        <x:v>https://prozorro.gov.ua/tender/UA-2026-07-03-002326-a</x:v>
      </x:c>
      <x:c r="AA458" s="14" t="str">
        <x:v>2867217849</x:v>
      </x:c>
      <x:c r="AB458" s="14" t="str">
        <x:v>2026-08-24</x:v>
      </x:c>
      <x:c r="AC458" s="14" t="str"/>
      <x:c r="AD458" s="20" t="str"/>
      <x:c r="AE458" s="14" t="str"/>
      <x:c r="AF458" s="14" t="n">
        <x:v>52</x:v>
      </x:c>
      <x:c r="AG458" s="14" t="str">
        <x:v>I3</x:v>
      </x:c>
      <x:c r="AH458" s="14" t="n">
        <x:v>2</x:v>
      </x:c>
      <x:c r="AI458" s="14" t="n">
        <x:v>1</x:v>
      </x:c>
      <x:c r="AJ458" s="18" t="n">
        <x:v>143698.35</x:v>
      </x:c>
      <x:c r="AK458" s="14" t="str">
        <x:v>https://prozorro.gov.ua/tender/UA-2026-07-03-002326-a</x:v>
      </x:c>
      <x:c r="AL458" s="19" t="n">
        <x:v>46206.32034493056</x:v>
      </x:c>
      <x:c r="AM458" s="19" t="n">
        <x:v>46234</x:v>
      </x:c>
      <x:c r="AN458" s="15" t="str">
        <x:v>Безпека / СКУД / CCTV</x:v>
      </x:c>
      <x:c r="AO458" s="15" t="str">
        <x:v>not_found_in_top_search</x:v>
      </x:c>
    </x:row>
    <x:row r="459">
      <x:c r="A459" s="14" t="str">
        <x:v>W3-187</x:v>
      </x:c>
      <x:c r="B459" s="14" t="str">
        <x:v>Prozorro winners — 24.08</x:v>
      </x:c>
      <x:c r="C459" s="14" t="str">
        <x:v>ПНВП  «Прометей-Сервіс»</x:v>
      </x:c>
      <x:c r="D459" s="14" t="str">
        <x:v>Пожежогасіння</x:v>
      </x:c>
      <x:c r="E459" s="14" t="str">
        <x:v>Expansion discovery</x:v>
      </x:c>
      <x:c r="F459" s="17" t="str">
        <x:v>D3</x:v>
      </x:c>
      <x:c r="G459" s="14" t="str"/>
      <x:c r="H459" s="14" t="str">
        <x:v>Discovery розширення — 2 тижні</x:v>
      </x:c>
      <x:c r="I459" s="16" t="n">
        <x:v>1</x:v>
      </x:c>
      <x:c r="J459" s="16" t="n">
        <x:v>5</x:v>
      </x:c>
      <x:c r="K459" s="16" t="n">
        <x:v>4</x:v>
      </x:c>
      <x:c r="L459" s="16" t="n">
        <x:v>1</x:v>
      </x:c>
      <x:c r="M459" s="16" t="n">
        <x:v>5</x:v>
      </x:c>
      <x:c r="N459" s="16" t="n">
        <x:v>5</x:v>
      </x:c>
      <x:c r="O459" s="16" t="n">
        <x:v>5</x:v>
      </x:c>
      <x:c r="P459" s="16" t="n">
        <x:f>IF(COUNT(I459:O459)&lt;7,"",I459*8+J459*3+K459*2+L459*2+M459*2+N459*2+O459)</x:f>
        <x:v>58</x:v>
      </x:c>
      <x:c r="Q459" s="16" t="n">
        <x:f>IF(COUNT(J459:O459)&lt;6,"",J459*5+K459*4+M459*4+L459*3+N459*2+O459*2)</x:f>
        <x:v>84</x:v>
      </x:c>
      <x:c r="R459" s="14" t="str">
        <x:v>high</x:v>
      </x:c>
      <x:c r="S459" s="14" t="str">
        <x:v>official_prozorro_award_2025_2026</x:v>
      </x:c>
      <x:c r="T459" s="14" t="str">
        <x:v>official_prozorro_api</x:v>
      </x:c>
      <x:c r="U459" s="14" t="str">
        <x:v>Не контактували</x:v>
      </x:c>
      <x:c r="V459" s="15" t="str">
        <x:v>Workflow-audit outreach по UA-2026-08-07-005902-a; попросити 1 пакет здачі та вимоги проєкту</x:v>
      </x:c>
      <x:c r="W459" s="15" t="str">
        <x:v>Власник / директор; керівник ПТО; відповідальний за договори</x:v>
      </x:c>
      <x:c r="X459" s="15" t="str">
        <x:v>1 підтверджених перемог/договорів у Prozorro на 99 926 грн; 1 проєктів зі строком виконання не раніше 24.08.2026.</x:v>
      </x:c>
      <x:c r="Y459"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 строк до 2026-12-31. Попросити один знеособлений пакет здачі за цим workflow.</x:v>
      </x:c>
      <x:c r="Z459" s="15" t="str">
        <x:v>https://prozorro.gov.ua/tender/UA-2026-08-07-005902-a</x:v>
      </x:c>
      <x:c r="AA459" s="14" t="str">
        <x:v>35435961 КБВ: БАДЬОР КИРИЛО ОЛЕКСІЙ, громадянство:</x:v>
      </x:c>
      <x:c r="AB459" s="14" t="str">
        <x:v>2026-08-24</x:v>
      </x:c>
      <x:c r="AC459" s="14" t="str"/>
      <x:c r="AD459" s="20" t="str"/>
      <x:c r="AE459" s="14" t="str"/>
      <x:c r="AF459" s="14" t="n">
        <x:v>52</x:v>
      </x:c>
      <x:c r="AG459" s="14" t="str">
        <x:v>I3</x:v>
      </x:c>
      <x:c r="AH459" s="14" t="n">
        <x:v>1</x:v>
      </x:c>
      <x:c r="AI459" s="14" t="n">
        <x:v>1</x:v>
      </x:c>
      <x:c r="AJ459" s="18" t="n">
        <x:v>99925.9</x:v>
      </x:c>
      <x:c r="AK459" s="14" t="str">
        <x:v>https://prozorro.gov.ua/tender/UA-2026-08-07-005902-a</x:v>
      </x:c>
      <x:c r="AL459" s="19" t="n">
        <x:v>46241.41233940972</x:v>
      </x:c>
      <x:c r="AM459" s="19" t="n">
        <x:v>46387</x:v>
      </x:c>
      <x:c r="AN459" s="15" t="str">
        <x:v>Пожежогасіння</x:v>
      </x:c>
      <x:c r="AO459" s="15" t="str">
        <x:v>not_found_in_top_search</x:v>
      </x:c>
    </x:row>
    <x:row r="460">
      <x:c r="A460" s="14" t="str">
        <x:v>W3-188</x:v>
      </x:c>
      <x:c r="B460" s="14" t="str">
        <x:v>Prozorro winners — 24.08</x:v>
      </x:c>
      <x:c r="C460" s="14" t="str">
        <x:v>ТОВ "ІНФОНЕТ ТЕЛЕКОМ"</x:v>
      </x:c>
      <x:c r="D460" s="14" t="str">
        <x:v>Безпека / СКУД / CCTV</x:v>
      </x:c>
      <x:c r="E460" s="14" t="str">
        <x:v>Expansion discovery</x:v>
      </x:c>
      <x:c r="F460" s="17" t="str">
        <x:v>D3</x:v>
      </x:c>
      <x:c r="G460" s="14" t="str"/>
      <x:c r="H460" s="14" t="str">
        <x:v>Discovery розширення — 2 тижні</x:v>
      </x:c>
      <x:c r="I460" s="16" t="n">
        <x:v>1</x:v>
      </x:c>
      <x:c r="J460" s="16" t="n">
        <x:v>5</x:v>
      </x:c>
      <x:c r="K460" s="16" t="n">
        <x:v>4</x:v>
      </x:c>
      <x:c r="L460" s="16" t="n">
        <x:v>1</x:v>
      </x:c>
      <x:c r="M460" s="16" t="n">
        <x:v>5</x:v>
      </x:c>
      <x:c r="N460" s="16" t="n">
        <x:v>5</x:v>
      </x:c>
      <x:c r="O460" s="16" t="n">
        <x:v>5</x:v>
      </x:c>
      <x:c r="P460" s="16" t="n">
        <x:f>IF(COUNT(I460:O460)&lt;7,"",I460*8+J460*3+K460*2+L460*2+M460*2+N460*2+O460)</x:f>
        <x:v>58</x:v>
      </x:c>
      <x:c r="Q460" s="16" t="n">
        <x:f>IF(COUNT(J460:O460)&lt;6,"",J460*5+K460*4+M460*4+L460*3+N460*2+O460*2)</x:f>
        <x:v>84</x:v>
      </x:c>
      <x:c r="R460" s="14" t="str">
        <x:v>high</x:v>
      </x:c>
      <x:c r="S460" s="14" t="str">
        <x:v>official_prozorro_award_2025_2026</x:v>
      </x:c>
      <x:c r="T460" s="14" t="str">
        <x:v>official_prozorro_api</x:v>
      </x:c>
      <x:c r="U460" s="14" t="str">
        <x:v>Не контактували</x:v>
      </x:c>
      <x:c r="V460" s="15" t="str">
        <x:v>Workflow-audit outreach по UA-2026-08-11-011701-a; попросити 1 пакет здачі та вимоги проєкту</x:v>
      </x:c>
      <x:c r="W460" s="15" t="str">
        <x:v>Власник / директор; керівник ПТО; відповідальний за договори</x:v>
      </x:c>
      <x:c r="X460" s="15" t="str">
        <x:v>1 підтверджених перемог/договорів у Prozorro на 99 200 грн; 1 проєктів зі строком виконання не раніше 24.08.2026.</x:v>
      </x:c>
      <x:c r="Y460" s="15" t="str">
        <x:v>Монтаж та встановлення системи відеоспостереження з матеріалів замовника; строк до 2026-08-25. Попросити один знеособлений пакет здачі за цим workflow.</x:v>
      </x:c>
      <x:c r="Z460" s="15" t="str">
        <x:v>https://prozorro.gov.ua/tender/UA-2026-08-11-011701-a</x:v>
      </x:c>
      <x:c r="AA460" s="14" t="str">
        <x:v>39329860</x:v>
      </x:c>
      <x:c r="AB460" s="14" t="str">
        <x:v>2026-08-24</x:v>
      </x:c>
      <x:c r="AC460" s="14" t="str"/>
      <x:c r="AD460" s="20" t="str"/>
      <x:c r="AE460" s="14" t="str"/>
      <x:c r="AF460" s="14" t="n">
        <x:v>52</x:v>
      </x:c>
      <x:c r="AG460" s="14" t="str">
        <x:v>I3</x:v>
      </x:c>
      <x:c r="AH460" s="14" t="n">
        <x:v>1</x:v>
      </x:c>
      <x:c r="AI460" s="14" t="n">
        <x:v>1</x:v>
      </x:c>
      <x:c r="AJ460" s="18" t="n">
        <x:v>99200</x:v>
      </x:c>
      <x:c r="AK460" s="14" t="str">
        <x:v>https://prozorro.gov.ua/tender/UA-2026-08-11-011701-a</x:v>
      </x:c>
      <x:c r="AL460" s="19" t="n">
        <x:v>46245.57245854167</x:v>
      </x:c>
      <x:c r="AM460" s="19" t="n">
        <x:v>46259.57413194444</x:v>
      </x:c>
      <x:c r="AN460" s="15" t="str">
        <x:v>Безпека / СКУД / CCTV</x:v>
      </x:c>
      <x:c r="AO460" s="15" t="str">
        <x:v>not_found_in_top_search</x:v>
      </x:c>
    </x:row>
    <x:row r="461">
      <x:c r="A461" s="14" t="str">
        <x:v>W3-189</x:v>
      </x:c>
      <x:c r="B461" s="14" t="str">
        <x:v>Prozorro winners — 24.08</x:v>
      </x:c>
      <x:c r="C461" s="14" t="str">
        <x:v>УПРАВЛІННЯ ПОЛІЦІЇ ОХОРОНИ У ВОЛИНСЬКІЙ ОБЛАСТІ</x:v>
      </x:c>
      <x:c r="D461" s="14" t="str">
        <x:v>Пожежогасіння</x:v>
      </x:c>
      <x:c r="E461" s="14" t="str">
        <x:v>Expansion discovery</x:v>
      </x:c>
      <x:c r="F461" s="17" t="str">
        <x:v>D3</x:v>
      </x:c>
      <x:c r="G461" s="14" t="str"/>
      <x:c r="H461" s="14" t="str">
        <x:v>Discovery розширення — 2 тижні</x:v>
      </x:c>
      <x:c r="I461" s="16" t="n">
        <x:v>1</x:v>
      </x:c>
      <x:c r="J461" s="16" t="n">
        <x:v>5</x:v>
      </x:c>
      <x:c r="K461" s="16" t="n">
        <x:v>4</x:v>
      </x:c>
      <x:c r="L461" s="16" t="n">
        <x:v>1</x:v>
      </x:c>
      <x:c r="M461" s="16" t="n">
        <x:v>5</x:v>
      </x:c>
      <x:c r="N461" s="16" t="n">
        <x:v>5</x:v>
      </x:c>
      <x:c r="O461" s="16" t="n">
        <x:v>5</x:v>
      </x:c>
      <x:c r="P461" s="16" t="n">
        <x:f>IF(COUNT(I461:O461)&lt;7,"",I461*8+J461*3+K461*2+L461*2+M461*2+N461*2+O461)</x:f>
        <x:v>58</x:v>
      </x:c>
      <x:c r="Q461" s="16" t="n">
        <x:f>IF(COUNT(J461:O461)&lt;6,"",J461*5+K461*4+M461*4+L461*3+N461*2+O461*2)</x:f>
        <x:v>84</x:v>
      </x:c>
      <x:c r="R461" s="14" t="str">
        <x:v>high</x:v>
      </x:c>
      <x:c r="S461" s="14" t="str">
        <x:v>official_prozorro_award_2025_2026</x:v>
      </x:c>
      <x:c r="T461" s="14" t="str">
        <x:v>official_prozorro_api</x:v>
      </x:c>
      <x:c r="U461" s="14" t="str">
        <x:v>Не контактували</x:v>
      </x:c>
      <x:c r="V461" s="15" t="str">
        <x:v>Повторне звернення з новим тендерним сигналом UA-2026-08-13-005541-a; попросити 1 пакет здачі</x:v>
      </x:c>
      <x:c r="W461" s="15" t="str">
        <x:v>Власник / директор; керівник ПТО; відповідальний за договори</x:v>
      </x:c>
      <x:c r="X461" s="15" t="str">
        <x:v>1 підтверджених перемог/договорів у Prozorro на 99 057 грн; 1 проєктів зі строком виконання не раніше 24.08.2026.</x:v>
      </x:c>
      <x:c r="Y461" s="15" t="str">
        <x:v>Монтаж системи пожежної сигналізації (ДК 021:2015: 45310000-3 — Електромонтажні роботи); строк до 2026-12-31. Попросити один знеособлений пакет здачі за цим workflow.</x:v>
      </x:c>
      <x:c r="Z461" s="15" t="str">
        <x:v>https://prozorro.gov.ua/tender/UA-2026-08-04-009018-a</x:v>
      </x:c>
      <x:c r="AA461" s="14" t="str">
        <x:v>40108803</x:v>
      </x:c>
      <x:c r="AB461" s="14" t="str">
        <x:v>2026-08-24</x:v>
      </x:c>
      <x:c r="AC461" s="14" t="str"/>
      <x:c r="AD461" s="20" t="str"/>
      <x:c r="AE461" s="14" t="str"/>
      <x:c r="AF461" s="14" t="n">
        <x:v>65</x:v>
      </x:c>
      <x:c r="AG461" s="14" t="str">
        <x:v>I2</x:v>
      </x:c>
      <x:c r="AH461" s="14" t="n">
        <x:v>3</x:v>
      </x:c>
      <x:c r="AI461" s="14" t="n">
        <x:v>3</x:v>
      </x:c>
      <x:c r="AJ461" s="18" t="n">
        <x:v>166184.47</x:v>
      </x:c>
      <x:c r="AK461" s="14" t="str">
        <x:v>https://prozorro.gov.ua/tender/UA-2026-08-13-005541-a</x:v>
      </x:c>
      <x:c r="AL461" s="19" t="n">
        <x:v>46247.39649629629</x:v>
      </x:c>
      <x:c r="AM461" s="19" t="n">
        <x:v>46387</x:v>
      </x:c>
      <x:c r="AN461" s="15" t="str">
        <x:v>Пожежогасіння; Електромонтаж</x:v>
      </x:c>
      <x:c r="AO461" s="15" t="str">
        <x:v>not_found_in_top_search</x:v>
      </x:c>
    </x:row>
    <x:row r="462">
      <x:c r="A462" s="14" t="str">
        <x:v>W3-190</x:v>
      </x:c>
      <x:c r="B462" s="14" t="str">
        <x:v>Prozorro winners — 24.08</x:v>
      </x:c>
      <x:c r="C462" s="14" t="str">
        <x:v>Бучнєв Богдан Володимирович</x:v>
      </x:c>
      <x:c r="D462" s="14" t="str">
        <x:v>Електромонтаж</x:v>
      </x:c>
      <x:c r="E462" s="14" t="str">
        <x:v>Pilot now</x:v>
      </x:c>
      <x:c r="F462" s="17" t="str">
        <x:v>P3</x:v>
      </x:c>
      <x:c r="G462" s="14" t="str"/>
      <x:c r="H462" s="14" t="str">
        <x:v>Пілот зараз — Н.15</x:v>
      </x:c>
      <x:c r="I462" s="16" t="n">
        <x:v>5</x:v>
      </x:c>
      <x:c r="J462" s="16" t="n">
        <x:v>5</x:v>
      </x:c>
      <x:c r="K462" s="16" t="n">
        <x:v>5</x:v>
      </x:c>
      <x:c r="L462" s="16" t="n">
        <x:v>1</x:v>
      </x:c>
      <x:c r="M462" s="16" t="n">
        <x:v>5</x:v>
      </x:c>
      <x:c r="N462" s="16" t="n">
        <x:v>3</x:v>
      </x:c>
      <x:c r="O462" s="16" t="n">
        <x:v>5</x:v>
      </x:c>
      <x:c r="P462" s="16" t="n">
        <x:f>IF(COUNT(I462:O462)&lt;7,"",I462*8+J462*3+K462*2+L462*2+M462*2+N462*2+O462)</x:f>
        <x:v>88</x:v>
      </x:c>
      <x:c r="Q462" s="16" t="n">
        <x:f>IF(COUNT(J462:O462)&lt;6,"",J462*5+K462*4+M462*4+L462*3+N462*2+O462*2)</x:f>
        <x:v>84</x:v>
      </x:c>
      <x:c r="R462" s="14" t="str">
        <x:v>high</x:v>
      </x:c>
      <x:c r="S462" s="14" t="str">
        <x:v>official_prozorro_award_2025_2026</x:v>
      </x:c>
      <x:c r="T462" s="14" t="str">
        <x:v>official_prozorro_api</x:v>
      </x:c>
      <x:c r="U462" s="14" t="str">
        <x:v>Не контактували</x:v>
      </x:c>
      <x:c r="V462" s="15" t="str">
        <x:v>Персоналізований free-pilot outreach по UA-2026-08-21-012488-a; попросити 1 пакет Н.14/Н.15</x:v>
      </x:c>
      <x:c r="W462" s="15" t="str">
        <x:v>Власник / виконавець; відповідальний за договір</x:v>
      </x:c>
      <x:c r="X462" s="15" t="str">
        <x:v>1 підтверджених перемог/договорів у Prozorro на 99 000 грн; 1 проєктів зі строком виконання не раніше 24.08.2026.</x:v>
      </x:c>
      <x:c r="Y462"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 строк до 2026-12-31. Попросити один знеособлений пакет здачі за цим workflow.</x:v>
      </x:c>
      <x:c r="Z462" s="15" t="str">
        <x:v>https://prozorro.gov.ua/tender/UA-2026-08-21-012488-a</x:v>
      </x:c>
      <x:c r="AA462" s="14" t="str">
        <x:v>3429408577</x:v>
      </x:c>
      <x:c r="AB462" s="14" t="str">
        <x:v>2026-08-24</x:v>
      </x:c>
      <x:c r="AC462" s="14" t="str"/>
      <x:c r="AD462" s="20" t="str"/>
      <x:c r="AE462" s="14" t="str"/>
      <x:c r="AF462" s="14" t="n">
        <x:v>52</x:v>
      </x:c>
      <x:c r="AG462" s="14" t="str">
        <x:v>I3</x:v>
      </x:c>
      <x:c r="AH462" s="14" t="n">
        <x:v>1</x:v>
      </x:c>
      <x:c r="AI462" s="14" t="n">
        <x:v>1</x:v>
      </x:c>
      <x:c r="AJ462" s="18" t="n">
        <x:v>99000</x:v>
      </x:c>
      <x:c r="AK462" s="14" t="str">
        <x:v>https://prozorro.gov.ua/tender/UA-2026-08-21-012488-a</x:v>
      </x:c>
      <x:c r="AL462" s="19" t="n">
        <x:v>46255.6182291088</x:v>
      </x:c>
      <x:c r="AM462" s="19" t="n">
        <x:v>46387</x:v>
      </x:c>
      <x:c r="AN462" s="15" t="str">
        <x:v>Електромонтаж; Сонячна енергетика</x:v>
      </x:c>
      <x:c r="AO462" s="15" t="str">
        <x:v>not_found_in_top_search</x:v>
      </x:c>
    </x:row>
    <x:row r="463">
      <x:c r="A463" s="14" t="str">
        <x:v>W3-191</x:v>
      </x:c>
      <x:c r="B463" s="14" t="str">
        <x:v>Prozorro winners — 24.08</x:v>
      </x:c>
      <x:c r="C463" s="14" t="str">
        <x:v>ПРИВАТНЕ ПІДПРИЄМСТВО "ВІНАСТЕРІСК"</x:v>
      </x:c>
      <x:c r="D463" s="14" t="str">
        <x:v>Електромонтаж</x:v>
      </x:c>
      <x:c r="E463" s="14" t="str">
        <x:v>Pilot now</x:v>
      </x:c>
      <x:c r="F463" s="17" t="str">
        <x:v>P3</x:v>
      </x:c>
      <x:c r="G463" s="14" t="str"/>
      <x:c r="H463" s="14" t="str">
        <x:v>Пілот зараз — Н.15</x:v>
      </x:c>
      <x:c r="I463" s="16" t="n">
        <x:v>5</x:v>
      </x:c>
      <x:c r="J463" s="16" t="n">
        <x:v>5</x:v>
      </x:c>
      <x:c r="K463" s="16" t="n">
        <x:v>5</x:v>
      </x:c>
      <x:c r="L463" s="16" t="n">
        <x:v>1</x:v>
      </x:c>
      <x:c r="M463" s="16" t="n">
        <x:v>5</x:v>
      </x:c>
      <x:c r="N463" s="16" t="n">
        <x:v>5</x:v>
      </x:c>
      <x:c r="O463" s="16" t="n">
        <x:v>5</x:v>
      </x:c>
      <x:c r="P463" s="16" t="n">
        <x:f>IF(COUNT(I463:O463)&lt;7,"",I463*8+J463*3+K463*2+L463*2+M463*2+N463*2+O463)</x:f>
        <x:v>92</x:v>
      </x:c>
      <x:c r="Q463" s="16" t="n">
        <x:f>IF(COUNT(J463:O463)&lt;6,"",J463*5+K463*4+M463*4+L463*3+N463*2+O463*2)</x:f>
        <x:v>88</x:v>
      </x:c>
      <x:c r="R463" s="14" t="str">
        <x:v>high</x:v>
      </x:c>
      <x:c r="S463" s="14" t="str">
        <x:v>official_prozorro_award_2025_2026</x:v>
      </x:c>
      <x:c r="T463" s="14" t="str">
        <x:v>official_prozorro_api</x:v>
      </x:c>
      <x:c r="U463" s="14" t="str">
        <x:v>Не контактували</x:v>
      </x:c>
      <x:c r="V463" s="15" t="str">
        <x:v>Персоналізований free-pilot outreach по UA-2026-07-24-005773-a; попросити 1 пакет Н.14/Н.15</x:v>
      </x:c>
      <x:c r="W463" s="15" t="str">
        <x:v>Власник / директор; керівник ПТО; відповідальний за договори</x:v>
      </x:c>
      <x:c r="X463" s="15" t="str">
        <x:v>1 підтверджених перемог/договорів у Prozorro на 97 500 грн; 1 проєктів зі строком виконання не раніше 24.08.2026.</x:v>
      </x:c>
      <x:c r="Y463" s="15" t="str">
        <x:v>електромонтажні роботи; строк до 2026-08-31. Попросити один знеособлений пакет здачі за цим workflow.</x:v>
      </x:c>
      <x:c r="Z463" s="15" t="str">
        <x:v>https://prozorro.gov.ua/tender/UA-2026-07-24-005773-a</x:v>
      </x:c>
      <x:c r="AA463" s="14" t="str">
        <x:v>35542326</x:v>
      </x:c>
      <x:c r="AB463" s="14" t="str">
        <x:v>2026-08-24</x:v>
      </x:c>
      <x:c r="AC463" s="14" t="str"/>
      <x:c r="AD463" s="20" t="str"/>
      <x:c r="AE463" s="14" t="str"/>
      <x:c r="AF463" s="14" t="n">
        <x:v>52</x:v>
      </x:c>
      <x:c r="AG463" s="14" t="str">
        <x:v>I3</x:v>
      </x:c>
      <x:c r="AH463" s="14" t="n">
        <x:v>1</x:v>
      </x:c>
      <x:c r="AI463" s="14" t="n">
        <x:v>1</x:v>
      </x:c>
      <x:c r="AJ463" s="18" t="n">
        <x:v>97500</x:v>
      </x:c>
      <x:c r="AK463" s="14" t="str">
        <x:v>https://prozorro.gov.ua/tender/UA-2026-07-24-005773-a</x:v>
      </x:c>
      <x:c r="AL463" s="19" t="n">
        <x:v>46227.429720127315</x:v>
      </x:c>
      <x:c r="AM463" s="19" t="n">
        <x:v>46265</x:v>
      </x:c>
      <x:c r="AN463" s="15" t="str">
        <x:v>Електромонтаж</x:v>
      </x:c>
      <x:c r="AO463" s="15" t="str">
        <x:v>not_found_in_top_search</x:v>
      </x:c>
    </x:row>
    <x:row r="464">
      <x:c r="A464" s="14" t="str">
        <x:v>W3-192</x:v>
      </x:c>
      <x:c r="B464" s="14" t="str">
        <x:v>Prozorro winners — 24.08</x:v>
      </x:c>
      <x:c r="C464" s="14" t="str">
        <x:v>ТОВАРИСТВО З ОБМЕЖЕНОЮ ВІДПОВІДАЛЬНІСТЮ "ПОЖСЕРВІС"</x:v>
      </x:c>
      <x:c r="D464" s="14" t="str">
        <x:v>Пожежогасіння</x:v>
      </x:c>
      <x:c r="E464" s="14" t="str">
        <x:v>Expansion discovery</x:v>
      </x:c>
      <x:c r="F464" s="17" t="str">
        <x:v>D3</x:v>
      </x:c>
      <x:c r="G464" s="14" t="str"/>
      <x:c r="H464" s="14" t="str">
        <x:v>Discovery розширення — 2 тижні</x:v>
      </x:c>
      <x:c r="I464" s="16" t="n">
        <x:v>1</x:v>
      </x:c>
      <x:c r="J464" s="16" t="n">
        <x:v>5</x:v>
      </x:c>
      <x:c r="K464" s="16" t="n">
        <x:v>4</x:v>
      </x:c>
      <x:c r="L464" s="16" t="n">
        <x:v>1</x:v>
      </x:c>
      <x:c r="M464" s="16" t="n">
        <x:v>5</x:v>
      </x:c>
      <x:c r="N464" s="16" t="n">
        <x:v>5</x:v>
      </x:c>
      <x:c r="O464" s="16" t="n">
        <x:v>5</x:v>
      </x:c>
      <x:c r="P464" s="16" t="n">
        <x:f>IF(COUNT(I464:O464)&lt;7,"",I464*8+J464*3+K464*2+L464*2+M464*2+N464*2+O464)</x:f>
        <x:v>58</x:v>
      </x:c>
      <x:c r="Q464" s="16" t="n">
        <x:f>IF(COUNT(J464:O464)&lt;6,"",J464*5+K464*4+M464*4+L464*3+N464*2+O464*2)</x:f>
        <x:v>84</x:v>
      </x:c>
      <x:c r="R464" s="14" t="str">
        <x:v>high</x:v>
      </x:c>
      <x:c r="S464" s="14" t="str">
        <x:v>official_prozorro_award_2025_2026</x:v>
      </x:c>
      <x:c r="T464" s="14" t="str">
        <x:v>official_prozorro_api</x:v>
      </x:c>
      <x:c r="U464" s="14" t="str">
        <x:v>Не контактували</x:v>
      </x:c>
      <x:c r="V464" s="15" t="str">
        <x:v>Повторне звернення з новим тендерним сигналом UA-2026-07-10-010380-a; попросити 1 пакет здачі</x:v>
      </x:c>
      <x:c r="W464" s="15" t="str">
        <x:v>Власник / директор; керівник ПТО; відповідальний за договори</x:v>
      </x:c>
      <x:c r="X464" s="15" t="str">
        <x:v>1 підтверджених перемог/договорів у Prozorro на 95 989 грн; 1 проєктів зі строком виконання не раніше 24.08.2026.</x:v>
      </x:c>
      <x:c r="Y464" s="15" t="str">
        <x:v>Послуги з монтажу системи пожежної сигналізації в приміщеннях навчального корпусу за адресою м. Житомир вул. Київська, 9
; строк до 2026-09-18. Попросити один знеособлений пакет здачі за цим workflow.</x:v>
      </x:c>
      <x:c r="Z464" s="15" t="str">
        <x:v>https://prozorro.gov.ua/tender/UA-2026-08-19-008418-a</x:v>
      </x:c>
      <x:c r="AA464" s="14" t="str">
        <x:v>33020041</x:v>
      </x:c>
      <x:c r="AB464" s="14" t="str">
        <x:v>2026-08-24</x:v>
      </x:c>
      <x:c r="AC464" s="14" t="str"/>
      <x:c r="AD464" s="20" t="str"/>
      <x:c r="AE464" s="14" t="str"/>
      <x:c r="AF464" s="14" t="n">
        <x:v>62</x:v>
      </x:c>
      <x:c r="AG464" s="14" t="str">
        <x:v>I2</x:v>
      </x:c>
      <x:c r="AH464" s="14" t="n">
        <x:v>3</x:v>
      </x:c>
      <x:c r="AI464" s="14" t="n">
        <x:v>1</x:v>
      </x:c>
      <x:c r="AJ464" s="18" t="n">
        <x:v>116359</x:v>
      </x:c>
      <x:c r="AK464" s="14" t="str">
        <x:v>https://prozorro.gov.ua/tender/UA-2026-07-10-010380-a</x:v>
      </x:c>
      <x:c r="AL464" s="19" t="n">
        <x:v>46213.57172638889</x:v>
      </x:c>
      <x:c r="AM464" s="19" t="n">
        <x:v>46253.572384259256</x:v>
      </x:c>
      <x:c r="AN464" s="15" t="str">
        <x:v>Пожежогасіння; Пасивний вогнезахист</x:v>
      </x:c>
      <x:c r="AO464" s="15" t="str">
        <x:v>not_found_in_top_search</x:v>
      </x:c>
    </x:row>
    <x:row r="465">
      <x:c r="A465" s="14" t="str">
        <x:v>W3-193</x:v>
      </x:c>
      <x:c r="B465" s="14" t="str">
        <x:v>Prozorro winners — 24.08</x:v>
      </x:c>
      <x:c r="C465" s="14" t="str">
        <x:v>Товариство з обмеженою відповідальністю "Науково-дослідний та проектно-вишукувальний інститут "УКРКОМУНПРОЕКТ"</x:v>
      </x:c>
      <x:c r="D465" s="14" t="str">
        <x:v>Насосні станції</x:v>
      </x:c>
      <x:c r="E465" s="14" t="str">
        <x:v>Expansion discovery</x:v>
      </x:c>
      <x:c r="F465" s="17" t="str">
        <x:v>D3</x:v>
      </x:c>
      <x:c r="G465" s="14" t="str"/>
      <x:c r="H465" s="14" t="str">
        <x:v>Discovery розширення — 2 тижні</x:v>
      </x:c>
      <x:c r="I465" s="16" t="n">
        <x:v>1</x:v>
      </x:c>
      <x:c r="J465" s="16" t="n">
        <x:v>5</x:v>
      </x:c>
      <x:c r="K465" s="16" t="n">
        <x:v>4</x:v>
      </x:c>
      <x:c r="L465" s="16" t="n">
        <x:v>1</x:v>
      </x:c>
      <x:c r="M465" s="16" t="n">
        <x:v>5</x:v>
      </x:c>
      <x:c r="N465" s="16" t="n">
        <x:v>5</x:v>
      </x:c>
      <x:c r="O465" s="16" t="n">
        <x:v>5</x:v>
      </x:c>
      <x:c r="P465" s="16" t="n">
        <x:f>IF(COUNT(I465:O465)&lt;7,"",I465*8+J465*3+K465*2+L465*2+M465*2+N465*2+O465)</x:f>
        <x:v>58</x:v>
      </x:c>
      <x:c r="Q465" s="16" t="n">
        <x:f>IF(COUNT(J465:O465)&lt;6,"",J465*5+K465*4+M465*4+L465*3+N465*2+O465*2)</x:f>
        <x:v>84</x:v>
      </x:c>
      <x:c r="R465" s="14" t="str">
        <x:v>high</x:v>
      </x:c>
      <x:c r="S465" s="14" t="str">
        <x:v>official_prozorro_award_2025_2026</x:v>
      </x:c>
      <x:c r="T465" s="14" t="str">
        <x:v>official_prozorro_api</x:v>
      </x:c>
      <x:c r="U465" s="14" t="str">
        <x:v>Не контактували</x:v>
      </x:c>
      <x:c r="V465" s="15" t="str">
        <x:v>Workflow-audit outreach по UA-2026-07-27-011147-a; попросити 1 пакет здачі та вимоги проєкту</x:v>
      </x:c>
      <x:c r="W465" s="15" t="str">
        <x:v>Власник / директор; керівник ПТО; відповідальний за договори</x:v>
      </x:c>
      <x:c r="X465" s="15" t="str">
        <x:v>1 підтверджених перемог/договорів у Prozorro на 85 895 грн; 1 проєктів зі строком виконання не раніше 24.08.2026.</x:v>
      </x:c>
      <x:c r="Y465"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65" s="15" t="str">
        <x:v>https://prozorro.gov.ua/tender/UA-2026-07-27-011147-a</x:v>
      </x:c>
      <x:c r="AA465" s="14" t="str">
        <x:v>44029139</x:v>
      </x:c>
      <x:c r="AB465" s="14" t="str">
        <x:v>2026-08-24</x:v>
      </x:c>
      <x:c r="AC465" s="14" t="str"/>
      <x:c r="AD465" s="20" t="str"/>
      <x:c r="AE465" s="14" t="str"/>
      <x:c r="AF465" s="14" t="n">
        <x:v>52</x:v>
      </x:c>
      <x:c r="AG465" s="14" t="str">
        <x:v>I3</x:v>
      </x:c>
      <x:c r="AH465" s="14" t="n">
        <x:v>1</x:v>
      </x:c>
      <x:c r="AI465" s="14" t="n">
        <x:v>1</x:v>
      </x:c>
      <x:c r="AJ465" s="18" t="n">
        <x:v>85895</x:v>
      </x:c>
      <x:c r="AK465" s="14" t="str">
        <x:v>https://prozorro.gov.ua/tender/UA-2026-07-27-011147-a</x:v>
      </x:c>
      <x:c r="AL465" s="19" t="n">
        <x:v>46230.62885929398</x:v>
      </x:c>
      <x:c r="AM465" s="19" t="n">
        <x:v>46356.669328703705</x:v>
      </x:c>
      <x:c r="AN465" s="15" t="str">
        <x:v>Насосні станції</x:v>
      </x:c>
      <x:c r="AO465" s="15" t="str">
        <x:v>not_found_in_top_search</x:v>
      </x:c>
    </x:row>
    <x:row r="466">
      <x:c r="A466" s="14" t="str">
        <x:v>W3-194</x:v>
      </x:c>
      <x:c r="B466" s="14" t="str">
        <x:v>Prozorro winners — 24.08</x:v>
      </x:c>
      <x:c r="C466" s="14" t="str">
        <x:v>ТОВАРИСТВО З ОБМЕЖЕНОЮ ВІДПОВІДАЛЬНІСТЮ "ГРАНІТ. БЕЗПЕКА ТА БІЗНЕС"</x:v>
      </x:c>
      <x:c r="D466" s="14" t="str">
        <x:v>Безпека / СКУД / CCTV</x:v>
      </x:c>
      <x:c r="E466" s="14" t="str">
        <x:v>Expansion discovery</x:v>
      </x:c>
      <x:c r="F466" s="17" t="str">
        <x:v>D3</x:v>
      </x:c>
      <x:c r="G466" s="14" t="str"/>
      <x:c r="H466" s="14" t="str">
        <x:v>Discovery розширення — 2 тижні</x:v>
      </x:c>
      <x:c r="I466" s="16" t="n">
        <x:v>1</x:v>
      </x:c>
      <x:c r="J466" s="16" t="n">
        <x:v>5</x:v>
      </x:c>
      <x:c r="K466" s="16" t="n">
        <x:v>4</x:v>
      </x:c>
      <x:c r="L466" s="16" t="n">
        <x:v>1</x:v>
      </x:c>
      <x:c r="M466" s="16" t="n">
        <x:v>5</x:v>
      </x:c>
      <x:c r="N466" s="16" t="n">
        <x:v>5</x:v>
      </x:c>
      <x:c r="O466" s="16" t="n">
        <x:v>5</x:v>
      </x:c>
      <x:c r="P466" s="16" t="n">
        <x:f>IF(COUNT(I466:O466)&lt;7,"",I466*8+J466*3+K466*2+L466*2+M466*2+N466*2+O466)</x:f>
        <x:v>58</x:v>
      </x:c>
      <x:c r="Q466" s="16" t="n">
        <x:f>IF(COUNT(J466:O466)&lt;6,"",J466*5+K466*4+M466*4+L466*3+N466*2+O466*2)</x:f>
        <x:v>84</x:v>
      </x:c>
      <x:c r="R466" s="14" t="str">
        <x:v>high</x:v>
      </x:c>
      <x:c r="S466" s="14" t="str">
        <x:v>official_prozorro_award_2025_2026</x:v>
      </x:c>
      <x:c r="T466" s="14" t="str">
        <x:v>official_prozorro_api</x:v>
      </x:c>
      <x:c r="U466" s="14" t="str">
        <x:v>Не контактували</x:v>
      </x:c>
      <x:c r="V466" s="15" t="str">
        <x:v>Workflow-audit outreach по UA-2026-07-10-003006-a; попросити 1 пакет здачі та вимоги проєкту</x:v>
      </x:c>
      <x:c r="W466" s="15" t="str">
        <x:v>Власник / директор; керівник ПТО; відповідальний за договори</x:v>
      </x:c>
      <x:c r="X466" s="15" t="str">
        <x:v>1 підтверджених перемог/договорів у Prozorro на 83 640 грн; 1 проєктів зі строком виконання не раніше 24.08.2026.</x:v>
      </x:c>
      <x:c r="Y466" s="15" t="str">
        <x:v>Встановлення системи відеоспостереження (з монтажем, підключенням та налаштуванням); строк до 2026-12-31. Попросити один знеособлений пакет здачі за цим workflow.</x:v>
      </x:c>
      <x:c r="Z466" s="15" t="str">
        <x:v>https://prozorro.gov.ua/tender/UA-2026-07-10-003006-a</x:v>
      </x:c>
      <x:c r="AA466" s="14" t="str">
        <x:v>43674658</x:v>
      </x:c>
      <x:c r="AB466" s="14" t="str">
        <x:v>2026-08-24</x:v>
      </x:c>
      <x:c r="AC466" s="14" t="str"/>
      <x:c r="AD466" s="20" t="str"/>
      <x:c r="AE466" s="14" t="str"/>
      <x:c r="AF466" s="14" t="n">
        <x:v>52</x:v>
      </x:c>
      <x:c r="AG466" s="14" t="str">
        <x:v>I3</x:v>
      </x:c>
      <x:c r="AH466" s="14" t="n">
        <x:v>1</x:v>
      </x:c>
      <x:c r="AI466" s="14" t="n">
        <x:v>1</x:v>
      </x:c>
      <x:c r="AJ466" s="18" t="n">
        <x:v>83640</x:v>
      </x:c>
      <x:c r="AK466" s="14" t="str">
        <x:v>https://prozorro.gov.ua/tender/UA-2026-07-10-003006-a</x:v>
      </x:c>
      <x:c r="AL466" s="19" t="n">
        <x:v>46213.33753651621</x:v>
      </x:c>
      <x:c r="AM466" s="19" t="n">
        <x:v>46387</x:v>
      </x:c>
      <x:c r="AN466" s="15" t="str">
        <x:v>Безпека / СКУД / CCTV</x:v>
      </x:c>
      <x:c r="AO466" s="15" t="str">
        <x:v>not_found_in_top_search</x:v>
      </x:c>
    </x:row>
    <x:row r="467">
      <x:c r="A467" s="14" t="str">
        <x:v>W3-195</x:v>
      </x:c>
      <x:c r="B467" s="14" t="str">
        <x:v>Prozorro winners — 24.08</x:v>
      </x:c>
      <x:c r="C467" s="14" t="str">
        <x:v>ТОВ "телерадіокомпанія "ГОК"</x:v>
      </x:c>
      <x:c r="D467" s="14" t="str">
        <x:v>Безпека / СКУД / CCTV</x:v>
      </x:c>
      <x:c r="E467" s="14" t="str">
        <x:v>Expansion discovery</x:v>
      </x:c>
      <x:c r="F467" s="17" t="str">
        <x:v>D3</x:v>
      </x:c>
      <x:c r="G467" s="14" t="str"/>
      <x:c r="H467" s="14" t="str">
        <x:v>Discovery розширення — 2 тижні</x:v>
      </x:c>
      <x:c r="I467" s="16" t="n">
        <x:v>1</x:v>
      </x:c>
      <x:c r="J467" s="16" t="n">
        <x:v>5</x:v>
      </x:c>
      <x:c r="K467" s="16" t="n">
        <x:v>4</x:v>
      </x:c>
      <x:c r="L467" s="16" t="n">
        <x:v>1</x:v>
      </x:c>
      <x:c r="M467" s="16" t="n">
        <x:v>5</x:v>
      </x:c>
      <x:c r="N467" s="16" t="n">
        <x:v>5</x:v>
      </x:c>
      <x:c r="O467" s="16" t="n">
        <x:v>5</x:v>
      </x:c>
      <x:c r="P467" s="16" t="n">
        <x:f>IF(COUNT(I467:O467)&lt;7,"",I467*8+J467*3+K467*2+L467*2+M467*2+N467*2+O467)</x:f>
        <x:v>58</x:v>
      </x:c>
      <x:c r="Q467" s="16" t="n">
        <x:f>IF(COUNT(J467:O467)&lt;6,"",J467*5+K467*4+M467*4+L467*3+N467*2+O467*2)</x:f>
        <x:v>84</x:v>
      </x:c>
      <x:c r="R467" s="14" t="str">
        <x:v>high</x:v>
      </x:c>
      <x:c r="S467" s="14" t="str">
        <x:v>official_prozorro_award_2025_2026</x:v>
      </x:c>
      <x:c r="T467" s="14" t="str">
        <x:v>official_prozorro_api</x:v>
      </x:c>
      <x:c r="U467" s="14" t="str">
        <x:v>Не контактували</x:v>
      </x:c>
      <x:c r="V467" s="15" t="str">
        <x:v>Workflow-audit outreach по UA-2026-08-24-008102-a; попросити 1 пакет здачі та вимоги проєкту</x:v>
      </x:c>
      <x:c r="W467" s="15" t="str">
        <x:v>Власник / директор; керівник ПТО; відповідальний за договори</x:v>
      </x:c>
      <x:c r="X467" s="15" t="str">
        <x:v>1 підтверджених перемог/договорів у Prozorro на 79 194 грн; 1 проєктів зі строком виконання не раніше 24.08.2026.</x:v>
      </x:c>
      <x:c r="Y467" s="15" t="str">
        <x:v>Послуги  з монтажу, установки системи відеоспостереження; строк до 2026-12-31. Попросити один знеособлений пакет здачі за цим workflow.</x:v>
      </x:c>
      <x:c r="Z467" s="15" t="str">
        <x:v>https://prozorro.gov.ua/tender/UA-2026-08-24-008102-a</x:v>
      </x:c>
      <x:c r="AA467" s="14" t="str">
        <x:v>24564256</x:v>
      </x:c>
      <x:c r="AB467" s="14" t="str">
        <x:v>2026-08-24</x:v>
      </x:c>
      <x:c r="AC467" s="14" t="str"/>
      <x:c r="AD467" s="20" t="str"/>
      <x:c r="AE467" s="14" t="str"/>
      <x:c r="AF467" s="14" t="n">
        <x:v>52</x:v>
      </x:c>
      <x:c r="AG467" s="14" t="str">
        <x:v>I3</x:v>
      </x:c>
      <x:c r="AH467" s="14" t="n">
        <x:v>1</x:v>
      </x:c>
      <x:c r="AI467" s="14" t="n">
        <x:v>1</x:v>
      </x:c>
      <x:c r="AJ467" s="18" t="n">
        <x:v>79194.23</x:v>
      </x:c>
      <x:c r="AK467" s="14" t="str">
        <x:v>https://prozorro.gov.ua/tender/UA-2026-08-24-008102-a</x:v>
      </x:c>
      <x:c r="AL467" s="19" t="n">
        <x:v>46258.52711094907</x:v>
      </x:c>
      <x:c r="AM467" s="19" t="n">
        <x:v>46387.570439814815</x:v>
      </x:c>
      <x:c r="AN467" s="15" t="str">
        <x:v>Безпека / СКУД / CCTV</x:v>
      </x:c>
      <x:c r="AO467" s="15" t="str">
        <x:v>not_found_in_top_search</x:v>
      </x:c>
    </x:row>
    <x:row r="468">
      <x:c r="A468" s="14" t="str">
        <x:v>W3-196</x:v>
      </x:c>
      <x:c r="B468" s="14" t="str">
        <x:v>Prozorro winners — 24.08</x:v>
      </x:c>
      <x:c r="C468" s="14" t="str">
        <x:v>ТОВАРИСТВО З ОБМЕЖЕНОЮ ВІДПОВІДАЛЬНІСТЮ НАУКОВО-ВИРОБНИЧЕ ЕНЕРГЕТИЧНЕ ПІДПРИЄМСТВО "ПРОМІНЬ"</x:v>
      </x:c>
      <x:c r="D468" s="14" t="str">
        <x:v>Електромонтаж</x:v>
      </x:c>
      <x:c r="E468" s="14" t="str">
        <x:v>Pilot now</x:v>
      </x:c>
      <x:c r="F468" s="17" t="str">
        <x:v>P3</x:v>
      </x:c>
      <x:c r="G468" s="14" t="str"/>
      <x:c r="H468" s="14" t="str">
        <x:v>Пілот зараз — Н.15</x:v>
      </x:c>
      <x:c r="I468" s="16" t="n">
        <x:v>5</x:v>
      </x:c>
      <x:c r="J468" s="16" t="n">
        <x:v>5</x:v>
      </x:c>
      <x:c r="K468" s="16" t="n">
        <x:v>5</x:v>
      </x:c>
      <x:c r="L468" s="16" t="n">
        <x:v>1</x:v>
      </x:c>
      <x:c r="M468" s="16" t="n">
        <x:v>5</x:v>
      </x:c>
      <x:c r="N468" s="16" t="n">
        <x:v>5</x:v>
      </x:c>
      <x:c r="O468" s="16" t="n">
        <x:v>5</x:v>
      </x:c>
      <x:c r="P468" s="16" t="n">
        <x:f>IF(COUNT(I468:O468)&lt;7,"",I468*8+J468*3+K468*2+L468*2+M468*2+N468*2+O468)</x:f>
        <x:v>92</x:v>
      </x:c>
      <x:c r="Q468" s="16" t="n">
        <x:f>IF(COUNT(J468:O468)&lt;6,"",J468*5+K468*4+M468*4+L468*3+N468*2+O468*2)</x:f>
        <x:v>88</x:v>
      </x:c>
      <x:c r="R468" s="14" t="str">
        <x:v>high</x:v>
      </x:c>
      <x:c r="S468" s="14" t="str">
        <x:v>official_prozorro_award_2025_2026</x:v>
      </x:c>
      <x:c r="T468" s="14" t="str">
        <x:v>official_prozorro_api</x:v>
      </x:c>
      <x:c r="U468" s="14" t="str">
        <x:v>Не контактували</x:v>
      </x:c>
      <x:c r="V468" s="15" t="str">
        <x:v>Персоналізований free-pilot outreach по UA-2026-08-10-004471-a; попросити 1 пакет Н.14/Н.15</x:v>
      </x:c>
      <x:c r="W468" s="15" t="str">
        <x:v>Власник / директор; керівник ПТО; відповідальний за договори</x:v>
      </x:c>
      <x:c r="X468" s="15" t="str">
        <x:v>1 підтверджених перемог/договорів у Prozorro на 74 156 грн; 1 проєктів зі строком виконання не раніше 24.08.2026.</x:v>
      </x:c>
      <x:c r="Y468" s="15" t="str">
        <x:v>електромонтажні роботи; строк до 2026-12-31. Попросити один знеособлений пакет здачі за цим workflow.</x:v>
      </x:c>
      <x:c r="Z468" s="15" t="str">
        <x:v>https://prozorro.gov.ua/tender/UA-2026-08-10-004471-a</x:v>
      </x:c>
      <x:c r="AA468" s="14" t="str">
        <x:v>30593114</x:v>
      </x:c>
      <x:c r="AB468" s="14" t="str">
        <x:v>2026-08-24</x:v>
      </x:c>
      <x:c r="AC468" s="14" t="str"/>
      <x:c r="AD468" s="20" t="str"/>
      <x:c r="AE468" s="14" t="str"/>
      <x:c r="AF468" s="14" t="n">
        <x:v>52</x:v>
      </x:c>
      <x:c r="AG468" s="14" t="str">
        <x:v>I3</x:v>
      </x:c>
      <x:c r="AH468" s="14" t="n">
        <x:v>1</x:v>
      </x:c>
      <x:c r="AI468" s="14" t="n">
        <x:v>1</x:v>
      </x:c>
      <x:c r="AJ468" s="18" t="n">
        <x:v>74156.47</x:v>
      </x:c>
      <x:c r="AK468" s="14" t="str">
        <x:v>https://prozorro.gov.ua/tender/UA-2026-08-10-004471-a</x:v>
      </x:c>
      <x:c r="AL468" s="19" t="n">
        <x:v>46244.39672505787</x:v>
      </x:c>
      <x:c r="AM468" s="19" t="n">
        <x:v>46387</x:v>
      </x:c>
      <x:c r="AN468" s="15" t="str">
        <x:v>Електромонтаж</x:v>
      </x:c>
      <x:c r="AO468" s="15" t="str">
        <x:v>not_found_in_top_search</x:v>
      </x:c>
    </x:row>
    <x:row r="469">
      <x:c r="A469" s="14" t="str">
        <x:v>W3-197</x:v>
      </x:c>
      <x:c r="B469" s="14" t="str">
        <x:v>Prozorro winners — 24.08</x:v>
      </x:c>
      <x:c r="C469" s="14" t="str">
        <x:v>ТОВАРИСТВО З ОБМЕЖЕНОЮ ВІДПОВІДАЛЬНІСТЮ "ПОЖЕЖНО-ТЕХНІЧНИЙ ЗАХИСТ"</x:v>
      </x:c>
      <x:c r="D469" s="14" t="str">
        <x:v>Пожежогасіння</x:v>
      </x:c>
      <x:c r="E469" s="14" t="str">
        <x:v>Expansion discovery</x:v>
      </x:c>
      <x:c r="F469" s="17" t="str">
        <x:v>D3</x:v>
      </x:c>
      <x:c r="G469" s="14" t="str"/>
      <x:c r="H469" s="14" t="str">
        <x:v>Discovery розширення — 2 тижні</x:v>
      </x:c>
      <x:c r="I469" s="16" t="n">
        <x:v>1</x:v>
      </x:c>
      <x:c r="J469" s="16" t="n">
        <x:v>5</x:v>
      </x:c>
      <x:c r="K469" s="16" t="n">
        <x:v>4</x:v>
      </x:c>
      <x:c r="L469" s="16" t="n">
        <x:v>1</x:v>
      </x:c>
      <x:c r="M469" s="16" t="n">
        <x:v>5</x:v>
      </x:c>
      <x:c r="N469" s="16" t="n">
        <x:v>5</x:v>
      </x:c>
      <x:c r="O469" s="16" t="n">
        <x:v>5</x:v>
      </x:c>
      <x:c r="P469" s="16" t="n">
        <x:f>IF(COUNT(I469:O469)&lt;7,"",I469*8+J469*3+K469*2+L469*2+M469*2+N469*2+O469)</x:f>
        <x:v>58</x:v>
      </x:c>
      <x:c r="Q469" s="16" t="n">
        <x:f>IF(COUNT(J469:O469)&lt;6,"",J469*5+K469*4+M469*4+L469*3+N469*2+O469*2)</x:f>
        <x:v>84</x:v>
      </x:c>
      <x:c r="R469" s="14" t="str">
        <x:v>high</x:v>
      </x:c>
      <x:c r="S469" s="14" t="str">
        <x:v>official_prozorro_award_2025_2026</x:v>
      </x:c>
      <x:c r="T469" s="14" t="str">
        <x:v>official_prozorro_api</x:v>
      </x:c>
      <x:c r="U469" s="14" t="str">
        <x:v>Не контактували</x:v>
      </x:c>
      <x:c r="V469" s="15" t="str">
        <x:v>Workflow-audit outreach по UA-2026-08-12-002950-a; попросити 1 пакет здачі та вимоги проєкту</x:v>
      </x:c>
      <x:c r="W469" s="15" t="str">
        <x:v>Власник / директор; керівник ПТО; відповідальний за договори</x:v>
      </x:c>
      <x:c r="X469" s="15" t="str">
        <x:v>1 підтверджених перемог/договорів у Prozorro на 67 500 грн; 1 проєктів зі строком виконання не раніше 24.08.2026.</x:v>
      </x:c>
      <x:c r="Y469"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 строк до 2026-10-13. Попросити один знеособлений пакет здачі за цим workflow.</x:v>
      </x:c>
      <x:c r="Z469" s="15" t="str">
        <x:v>https://prozorro.gov.ua/tender/UA-2026-08-12-002950-a</x:v>
      </x:c>
      <x:c r="AA469" s="14" t="str">
        <x:v>38852332</x:v>
      </x:c>
      <x:c r="AB469" s="14" t="str">
        <x:v>2026-08-24</x:v>
      </x:c>
      <x:c r="AC469" s="14" t="str"/>
      <x:c r="AD469" s="20" t="str"/>
      <x:c r="AE469" s="14" t="str"/>
      <x:c r="AF469" s="14" t="n">
        <x:v>52</x:v>
      </x:c>
      <x:c r="AG469" s="14" t="str">
        <x:v>I3</x:v>
      </x:c>
      <x:c r="AH469" s="14" t="n">
        <x:v>1</x:v>
      </x:c>
      <x:c r="AI469" s="14" t="n">
        <x:v>1</x:v>
      </x:c>
      <x:c r="AJ469" s="18" t="n">
        <x:v>67500</x:v>
      </x:c>
      <x:c r="AK469" s="14" t="str">
        <x:v>https://prozorro.gov.ua/tender/UA-2026-08-12-002950-a</x:v>
      </x:c>
      <x:c r="AL469" s="19" t="n">
        <x:v>46246.33533635417</x:v>
      </x:c>
      <x:c r="AM469" s="19" t="n">
        <x:v>46308</x:v>
      </x:c>
      <x:c r="AN469" s="15" t="str">
        <x:v>Пожежогасіння</x:v>
      </x:c>
      <x:c r="AO469" s="15" t="str">
        <x:v>not_found_in_top_search</x:v>
      </x:c>
    </x:row>
    <x:row r="470">
      <x:c r="A470" s="14" t="str">
        <x:v>W3-198</x:v>
      </x:c>
      <x:c r="B470" s="14" t="str">
        <x:v>Prozorro winners — 24.08</x:v>
      </x:c>
      <x:c r="C470" s="14" t="str">
        <x:v>ПП "Енергодар Т"</x:v>
      </x:c>
      <x:c r="D470" s="14" t="str">
        <x:v>Електромонтаж</x:v>
      </x:c>
      <x:c r="E470" s="14" t="str">
        <x:v>Pilot now</x:v>
      </x:c>
      <x:c r="F470" s="17" t="str">
        <x:v>P3</x:v>
      </x:c>
      <x:c r="G470" s="14" t="str"/>
      <x:c r="H470" s="14" t="str">
        <x:v>Пілот зараз — Н.15</x:v>
      </x:c>
      <x:c r="I470" s="16" t="n">
        <x:v>5</x:v>
      </x:c>
      <x:c r="J470" s="16" t="n">
        <x:v>5</x:v>
      </x:c>
      <x:c r="K470" s="16" t="n">
        <x:v>5</x:v>
      </x:c>
      <x:c r="L470" s="16" t="n">
        <x:v>1</x:v>
      </x:c>
      <x:c r="M470" s="16" t="n">
        <x:v>5</x:v>
      </x:c>
      <x:c r="N470" s="16" t="n">
        <x:v>5</x:v>
      </x:c>
      <x:c r="O470" s="16" t="n">
        <x:v>5</x:v>
      </x:c>
      <x:c r="P470" s="16" t="n">
        <x:f>IF(COUNT(I470:O470)&lt;7,"",I470*8+J470*3+K470*2+L470*2+M470*2+N470*2+O470)</x:f>
        <x:v>92</x:v>
      </x:c>
      <x:c r="Q470" s="16" t="n">
        <x:f>IF(COUNT(J470:O470)&lt;6,"",J470*5+K470*4+M470*4+L470*3+N470*2+O470*2)</x:f>
        <x:v>88</x:v>
      </x:c>
      <x:c r="R470" s="14" t="str">
        <x:v>high</x:v>
      </x:c>
      <x:c r="S470" s="14" t="str">
        <x:v>official_prozorro_award_2025_2026</x:v>
      </x:c>
      <x:c r="T470" s="14" t="str">
        <x:v>official_prozorro_api</x:v>
      </x:c>
      <x:c r="U470" s="14" t="str">
        <x:v>Не контактували</x:v>
      </x:c>
      <x:c r="V470" s="15" t="str">
        <x:v>Персоналізований free-pilot outreach по UA-2026-08-12-008165-a; попросити 1 пакет Н.14/Н.15</x:v>
      </x:c>
      <x:c r="W470" s="15" t="str">
        <x:v>Власник / директор; керівник ПТО; відповідальний за договори</x:v>
      </x:c>
      <x:c r="X470" s="15" t="str">
        <x:v>1 підтверджених перемог/договорів у Prozorro на 64 360 грн; 1 проєктів зі строком виконання не раніше 24.08.2026.</x:v>
      </x:c>
      <x:c r="Y470" s="15" t="str">
        <x:v>Електромонтажні роботи; строк до 2026-12-31. Попросити один знеособлений пакет здачі за цим workflow.</x:v>
      </x:c>
      <x:c r="Z470" s="15" t="str">
        <x:v>https://prozorro.gov.ua/tender/UA-2026-08-12-008165-a</x:v>
      </x:c>
      <x:c r="AA470" s="14" t="str">
        <x:v>34252343</x:v>
      </x:c>
      <x:c r="AB470" s="14" t="str">
        <x:v>2026-08-24</x:v>
      </x:c>
      <x:c r="AC470" s="14" t="str"/>
      <x:c r="AD470" s="20" t="str"/>
      <x:c r="AE470" s="14" t="str"/>
      <x:c r="AF470" s="14" t="n">
        <x:v>52</x:v>
      </x:c>
      <x:c r="AG470" s="14" t="str">
        <x:v>I3</x:v>
      </x:c>
      <x:c r="AH470" s="14" t="n">
        <x:v>1</x:v>
      </x:c>
      <x:c r="AI470" s="14" t="n">
        <x:v>1</x:v>
      </x:c>
      <x:c r="AJ470" s="18" t="n">
        <x:v>64360</x:v>
      </x:c>
      <x:c r="AK470" s="14" t="str">
        <x:v>https://prozorro.gov.ua/tender/UA-2026-08-12-008165-a</x:v>
      </x:c>
      <x:c r="AL470" s="19" t="n">
        <x:v>46246.499455798614</x:v>
      </x:c>
      <x:c r="AM470" s="19" t="n">
        <x:v>46387.543599537035</x:v>
      </x:c>
      <x:c r="AN470" s="15" t="str">
        <x:v>Електромонтаж</x:v>
      </x:c>
      <x:c r="AO470" s="15" t="str">
        <x:v>not_found_in_top_search</x:v>
      </x:c>
    </x:row>
    <x:row r="471">
      <x:c r="A471" s="14" t="str">
        <x:v>W3-199</x:v>
      </x:c>
      <x:c r="B471" s="14" t="str">
        <x:v>Prozorro winners — 24.08</x:v>
      </x:c>
      <x:c r="C471" s="14" t="str">
        <x:v>ТОВ "АМіЛа"</x:v>
      </x:c>
      <x:c r="D471" s="14" t="str">
        <x:v>Газопостачання / котельні</x:v>
      </x:c>
      <x:c r="E471" s="14" t="str">
        <x:v>Expansion discovery</x:v>
      </x:c>
      <x:c r="F471" s="17" t="str">
        <x:v>D3</x:v>
      </x:c>
      <x:c r="G471" s="14" t="str"/>
      <x:c r="H471" s="14" t="str">
        <x:v>Discovery розширення — 2 тижні</x:v>
      </x:c>
      <x:c r="I471" s="16" t="n">
        <x:v>1</x:v>
      </x:c>
      <x:c r="J471" s="16" t="n">
        <x:v>5</x:v>
      </x:c>
      <x:c r="K471" s="16" t="n">
        <x:v>4</x:v>
      </x:c>
      <x:c r="L471" s="16" t="n">
        <x:v>1</x:v>
      </x:c>
      <x:c r="M471" s="16" t="n">
        <x:v>5</x:v>
      </x:c>
      <x:c r="N471" s="16" t="n">
        <x:v>5</x:v>
      </x:c>
      <x:c r="O471" s="16" t="n">
        <x:v>5</x:v>
      </x:c>
      <x:c r="P471" s="16" t="n">
        <x:f>IF(COUNT(I471:O471)&lt;7,"",I471*8+J471*3+K471*2+L471*2+M471*2+N471*2+O471)</x:f>
        <x:v>58</x:v>
      </x:c>
      <x:c r="Q471" s="16" t="n">
        <x:f>IF(COUNT(J471:O471)&lt;6,"",J471*5+K471*4+M471*4+L471*3+N471*2+O471*2)</x:f>
        <x:v>84</x:v>
      </x:c>
      <x:c r="R471" s="14" t="str">
        <x:v>high</x:v>
      </x:c>
      <x:c r="S471" s="14" t="str">
        <x:v>official_prozorro_award_2025_2026</x:v>
      </x:c>
      <x:c r="T471" s="14" t="str">
        <x:v>official_prozorro_api</x:v>
      </x:c>
      <x:c r="U471" s="14" t="str">
        <x:v>Не контактували</x:v>
      </x:c>
      <x:c r="V471" s="15" t="str">
        <x:v>Workflow-audit outreach по UA-2026-08-20-000929-a; попросити 1 пакет здачі та вимоги проєкту</x:v>
      </x:c>
      <x:c r="W471" s="15" t="str">
        <x:v>Власник / директор; керівник ПТО; відповідальний за договори</x:v>
      </x:c>
      <x:c r="X471" s="15" t="str">
        <x:v>1 підтверджених перемог/договорів у Prozorro на 63 270 грн; 1 проєктів зі строком виконання не раніше 24.08.2026.</x:v>
      </x:c>
      <x:c r="Y471"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 строк до 2026-12-31. Попросити один знеособлений пакет здачі за цим workflow.</x:v>
      </x:c>
      <x:c r="Z471" s="15" t="str">
        <x:v>https://prozorro.gov.ua/tender/UA-2026-08-20-000929-a</x:v>
      </x:c>
      <x:c r="AA471" s="14" t="str">
        <x:v>25090493</x:v>
      </x:c>
      <x:c r="AB471" s="14" t="str">
        <x:v>2026-08-24</x:v>
      </x:c>
      <x:c r="AC471" s="14" t="str"/>
      <x:c r="AD471" s="20" t="str"/>
      <x:c r="AE471" s="14" t="str"/>
      <x:c r="AF471" s="14" t="n">
        <x:v>52</x:v>
      </x:c>
      <x:c r="AG471" s="14" t="str">
        <x:v>I3</x:v>
      </x:c>
      <x:c r="AH471" s="14" t="n">
        <x:v>1</x:v>
      </x:c>
      <x:c r="AI471" s="14" t="n">
        <x:v>1</x:v>
      </x:c>
      <x:c r="AJ471" s="18" t="n">
        <x:v>63270</x:v>
      </x:c>
      <x:c r="AK471" s="14" t="str">
        <x:v>https://prozorro.gov.ua/tender/UA-2026-08-20-000929-a</x:v>
      </x:c>
      <x:c r="AL471" s="19" t="n">
        <x:v>46254.269428611115</x:v>
      </x:c>
      <x:c r="AM471" s="19" t="n">
        <x:v>46387</x:v>
      </x:c>
      <x:c r="AN471" s="15" t="str">
        <x:v>Газопостачання / котельні</x:v>
      </x:c>
      <x:c r="AO471" s="15" t="str">
        <x:v>not_found_in_top_search</x:v>
      </x:c>
    </x:row>
    <x:row r="472">
      <x:c r="A472" s="14" t="str">
        <x:v>W3-200</x:v>
      </x:c>
      <x:c r="B472" s="14" t="str">
        <x:v>Prozorro winners — 24.08</x:v>
      </x:c>
      <x:c r="C472" s="14" t="str">
        <x:v>ТОВАРИСТВО З ОБМЕЖЕНОЮ ВІДПОВІДАЛЬНІСТЮ "ОХОРОННИЙ ХОЛДІНГ- СЛАВУТИЧ"</x:v>
      </x:c>
      <x:c r="D472" s="14" t="str">
        <x:v>Пожежогасіння</x:v>
      </x:c>
      <x:c r="E472" s="14" t="str">
        <x:v>Expansion discovery</x:v>
      </x:c>
      <x:c r="F472" s="17" t="str">
        <x:v>D3</x:v>
      </x:c>
      <x:c r="G472" s="14" t="str"/>
      <x:c r="H472" s="14" t="str">
        <x:v>Discovery розширення — 2 тижні</x:v>
      </x:c>
      <x:c r="I472" s="16" t="n">
        <x:v>1</x:v>
      </x:c>
      <x:c r="J472" s="16" t="n">
        <x:v>5</x:v>
      </x:c>
      <x:c r="K472" s="16" t="n">
        <x:v>4</x:v>
      </x:c>
      <x:c r="L472" s="16" t="n">
        <x:v>1</x:v>
      </x:c>
      <x:c r="M472" s="16" t="n">
        <x:v>5</x:v>
      </x:c>
      <x:c r="N472" s="16" t="n">
        <x:v>5</x:v>
      </x:c>
      <x:c r="O472" s="16" t="n">
        <x:v>5</x:v>
      </x:c>
      <x:c r="P472" s="16" t="n">
        <x:f>IF(COUNT(I472:O472)&lt;7,"",I472*8+J472*3+K472*2+L472*2+M472*2+N472*2+O472)</x:f>
        <x:v>58</x:v>
      </x:c>
      <x:c r="Q472" s="16" t="n">
        <x:f>IF(COUNT(J472:O472)&lt;6,"",J472*5+K472*4+M472*4+L472*3+N472*2+O472*2)</x:f>
        <x:v>84</x:v>
      </x:c>
      <x:c r="R472" s="14" t="str">
        <x:v>high</x:v>
      </x:c>
      <x:c r="S472" s="14" t="str">
        <x:v>official_prozorro_award_2025_2026</x:v>
      </x:c>
      <x:c r="T472" s="14" t="str">
        <x:v>official_prozorro_api</x:v>
      </x:c>
      <x:c r="U472" s="14" t="str">
        <x:v>Не контактували</x:v>
      </x:c>
      <x:c r="V472" s="15" t="str">
        <x:v>Workflow-audit outreach по UA-2026-07-16-009632-a; попросити 1 пакет здачі та вимоги проєкту</x:v>
      </x:c>
      <x:c r="W472" s="15" t="str">
        <x:v>Власник / директор; керівник ПТО; відповідальний за договори</x:v>
      </x:c>
      <x:c r="X472" s="15" t="str">
        <x:v>1 підтверджених перемог/договорів у Prozorro на 61 771 грн; 1 проєктів зі строком виконання не раніше 24.08.2026.</x:v>
      </x:c>
      <x:c r="Y472"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 строк до 2026-12-31. Попросити один знеособлений пакет здачі за цим workflow.</x:v>
      </x:c>
      <x:c r="Z472" s="15" t="str">
        <x:v>https://prozorro.gov.ua/tender/UA-2026-07-16-009632-a</x:v>
      </x:c>
      <x:c r="AA472" s="14" t="str">
        <x:v>43317264</x:v>
      </x:c>
      <x:c r="AB472" s="14" t="str">
        <x:v>2026-08-24</x:v>
      </x:c>
      <x:c r="AC472" s="14" t="str"/>
      <x:c r="AD472" s="20" t="str"/>
      <x:c r="AE472" s="14" t="str"/>
      <x:c r="AF472" s="14" t="n">
        <x:v>52</x:v>
      </x:c>
      <x:c r="AG472" s="14" t="str">
        <x:v>I3</x:v>
      </x:c>
      <x:c r="AH472" s="14" t="n">
        <x:v>1</x:v>
      </x:c>
      <x:c r="AI472" s="14" t="n">
        <x:v>1</x:v>
      </x:c>
      <x:c r="AJ472" s="18" t="n">
        <x:v>61771.38</x:v>
      </x:c>
      <x:c r="AK472" s="14" t="str">
        <x:v>https://prozorro.gov.ua/tender/UA-2026-07-16-009632-a</x:v>
      </x:c>
      <x:c r="AL472" s="19" t="n">
        <x:v>46219.57483662037</x:v>
      </x:c>
      <x:c r="AM472" s="19" t="n">
        <x:v>46387</x:v>
      </x:c>
      <x:c r="AN472" s="15" t="str">
        <x:v>Пожежогасіння</x:v>
      </x:c>
      <x:c r="AO472" s="15" t="str">
        <x:v>not_found_in_top_search</x:v>
      </x:c>
    </x:row>
    <x:row r="473">
      <x:c r="A473" s="14" t="str">
        <x:v>W3-201</x:v>
      </x:c>
      <x:c r="B473" s="14" t="str">
        <x:v>Prozorro winners — 24.08</x:v>
      </x:c>
      <x:c r="C473" s="14" t="str">
        <x:v>Управління поліції охорони у Закарпатській області</x:v>
      </x:c>
      <x:c r="D473" s="14" t="str">
        <x:v>Пожежогасіння</x:v>
      </x:c>
      <x:c r="E473" s="14" t="str">
        <x:v>Expansion discovery</x:v>
      </x:c>
      <x:c r="F473" s="17" t="str">
        <x:v>D3</x:v>
      </x:c>
      <x:c r="G473" s="14" t="str"/>
      <x:c r="H473" s="14" t="str">
        <x:v>Discovery розширення — 2 тижні</x:v>
      </x:c>
      <x:c r="I473" s="16" t="n">
        <x:v>1</x:v>
      </x:c>
      <x:c r="J473" s="16" t="n">
        <x:v>5</x:v>
      </x:c>
      <x:c r="K473" s="16" t="n">
        <x:v>4</x:v>
      </x:c>
      <x:c r="L473" s="16" t="n">
        <x:v>1</x:v>
      </x:c>
      <x:c r="M473" s="16" t="n">
        <x:v>5</x:v>
      </x:c>
      <x:c r="N473" s="16" t="n">
        <x:v>5</x:v>
      </x:c>
      <x:c r="O473" s="16" t="n">
        <x:v>5</x:v>
      </x:c>
      <x:c r="P473" s="16" t="n">
        <x:f>IF(COUNT(I473:O473)&lt;7,"",I473*8+J473*3+K473*2+L473*2+M473*2+N473*2+O473)</x:f>
        <x:v>58</x:v>
      </x:c>
      <x:c r="Q473" s="16" t="n">
        <x:f>IF(COUNT(J473:O473)&lt;6,"",J473*5+K473*4+M473*4+L473*3+N473*2+O473*2)</x:f>
        <x:v>84</x:v>
      </x:c>
      <x:c r="R473" s="14" t="str">
        <x:v>high</x:v>
      </x:c>
      <x:c r="S473" s="14" t="str">
        <x:v>official_prozorro_award_2025_2026</x:v>
      </x:c>
      <x:c r="T473" s="14" t="str">
        <x:v>official_prozorro_api</x:v>
      </x:c>
      <x:c r="U473" s="14" t="str">
        <x:v>Не контактували</x:v>
      </x:c>
      <x:c r="V473" s="15" t="str">
        <x:v>Повторне звернення з новим тендерним сигналом UA-2026-06-19-004595-a; попросити 1 пакет здачі</x:v>
      </x:c>
      <x:c r="W473" s="15" t="str">
        <x:v>Власник / директор; керівник ПТО; відповідальний за договори</x:v>
      </x:c>
      <x:c r="X473" s="15" t="str">
        <x:v>1 підтверджених перемог/договорів у Prozorro на 51 421 грн; 1 проєктів зі строком виконання не раніше 24.08.2026.</x:v>
      </x:c>
      <x:c r="Y473" s="15" t="str">
        <x:v>Монтаж, пусконалагоджування системи охоронної та пожежної сигналізації; строк до 2026-12-31. Попросити один знеособлений пакет здачі за цим workflow.</x:v>
      </x:c>
      <x:c r="Z473" s="15" t="str">
        <x:v>https://prozorro.gov.ua/tender/UA-2026-07-17-002821-a</x:v>
      </x:c>
      <x:c r="AA473" s="14" t="str">
        <x:v>40108997</x:v>
      </x:c>
      <x:c r="AB473" s="14" t="str">
        <x:v>2026-08-24</x:v>
      </x:c>
      <x:c r="AC473" s="14" t="str"/>
      <x:c r="AD473" s="20" t="str"/>
      <x:c r="AE473" s="14" t="str"/>
      <x:c r="AF473" s="14" t="n">
        <x:v>52</x:v>
      </x:c>
      <x:c r="AG473" s="14" t="str">
        <x:v>I3</x:v>
      </x:c>
      <x:c r="AH473" s="14" t="n">
        <x:v>2</x:v>
      </x:c>
      <x:c r="AI473" s="14" t="n">
        <x:v>2</x:v>
      </x:c>
      <x:c r="AJ473" s="18" t="n">
        <x:v>60651.46000000001</x:v>
      </x:c>
      <x:c r="AK473" s="14" t="str">
        <x:v>https://prozorro.gov.ua/tender/UA-2026-06-19-004595-a</x:v>
      </x:c>
      <x:c r="AL473" s="19" t="n">
        <x:v>46192.35677815972</x:v>
      </x:c>
      <x:c r="AM473" s="19" t="n">
        <x:v>46387</x:v>
      </x:c>
      <x:c r="AN473" s="15" t="str">
        <x:v>Пожежогасіння; Електромонтаж</x:v>
      </x:c>
      <x:c r="AO473" s="15" t="str">
        <x:v>not_found_in_top_search</x:v>
      </x:c>
    </x:row>
    <x:row r="474">
      <x:c r="A474" s="14" t="str">
        <x:v>W3-202</x:v>
      </x:c>
      <x:c r="B474" s="14" t="str">
        <x:v>Prozorro winners — 24.08</x:v>
      </x:c>
      <x:c r="C474" s="14" t="str">
        <x:v>ПП "Формула-безпеки"</x:v>
      </x:c>
      <x:c r="D474" s="14" t="str">
        <x:v>Безпека / СКУД / CCTV</x:v>
      </x:c>
      <x:c r="E474" s="14" t="str">
        <x:v>Expansion discovery</x:v>
      </x:c>
      <x:c r="F474" s="17" t="str">
        <x:v>D3</x:v>
      </x:c>
      <x:c r="G474" s="14" t="str"/>
      <x:c r="H474" s="14" t="str">
        <x:v>Discovery розширення — 2 тижні</x:v>
      </x:c>
      <x:c r="I474" s="16" t="n">
        <x:v>1</x:v>
      </x:c>
      <x:c r="J474" s="16" t="n">
        <x:v>5</x:v>
      </x:c>
      <x:c r="K474" s="16" t="n">
        <x:v>4</x:v>
      </x:c>
      <x:c r="L474" s="16" t="n">
        <x:v>1</x:v>
      </x:c>
      <x:c r="M474" s="16" t="n">
        <x:v>5</x:v>
      </x:c>
      <x:c r="N474" s="16" t="n">
        <x:v>5</x:v>
      </x:c>
      <x:c r="O474" s="16" t="n">
        <x:v>5</x:v>
      </x:c>
      <x:c r="P474" s="16" t="n">
        <x:f>IF(COUNT(I474:O474)&lt;7,"",I474*8+J474*3+K474*2+L474*2+M474*2+N474*2+O474)</x:f>
        <x:v>58</x:v>
      </x:c>
      <x:c r="Q474" s="16" t="n">
        <x:f>IF(COUNT(J474:O474)&lt;6,"",J474*5+K474*4+M474*4+L474*3+N474*2+O474*2)</x:f>
        <x:v>84</x:v>
      </x:c>
      <x:c r="R474" s="14" t="str">
        <x:v>high</x:v>
      </x:c>
      <x:c r="S474" s="14" t="str">
        <x:v>official_prozorro_award_2025_2026</x:v>
      </x:c>
      <x:c r="T474" s="14" t="str">
        <x:v>official_prozorro_api</x:v>
      </x:c>
      <x:c r="U474" s="14" t="str">
        <x:v>Не контактували</x:v>
      </x:c>
      <x:c r="V474" s="15" t="str">
        <x:v>Workflow-audit outreach по UA-2026-08-21-007420-a; попросити 1 пакет здачі та вимоги проєкту</x:v>
      </x:c>
      <x:c r="W474" s="15" t="str">
        <x:v>Власник / директор; керівник ПТО; відповідальний за договори</x:v>
      </x:c>
      <x:c r="X474" s="15" t="str">
        <x:v>1 підтверджених перемог/договорів у Prozorro на 50 050 грн; 1 проєктів зі строком виконання не раніше 24.08.2026.</x:v>
      </x:c>
      <x:c r="Y474" s="15" t="str">
        <x:v>Послуги з монтажу та налаштування системи відеоспостереження. код ДК 021:2015 51310000-8; строк до 2026-12-31. Попросити один знеособлений пакет здачі за цим workflow.</x:v>
      </x:c>
      <x:c r="Z474" s="15" t="str">
        <x:v>https://prozorro.gov.ua/tender/UA-2026-08-21-007420-a</x:v>
      </x:c>
      <x:c r="AA474" s="14" t="str">
        <x:v>38553461</x:v>
      </x:c>
      <x:c r="AB474" s="14" t="str">
        <x:v>2026-08-24</x:v>
      </x:c>
      <x:c r="AC474" s="14" t="str"/>
      <x:c r="AD474" s="20" t="str"/>
      <x:c r="AE474" s="14" t="str"/>
      <x:c r="AF474" s="14" t="n">
        <x:v>52</x:v>
      </x:c>
      <x:c r="AG474" s="14" t="str">
        <x:v>I3</x:v>
      </x:c>
      <x:c r="AH474" s="14" t="n">
        <x:v>1</x:v>
      </x:c>
      <x:c r="AI474" s="14" t="n">
        <x:v>1</x:v>
      </x:c>
      <x:c r="AJ474" s="18" t="n">
        <x:v>50050</x:v>
      </x:c>
      <x:c r="AK474" s="14" t="str">
        <x:v>https://prozorro.gov.ua/tender/UA-2026-08-21-007420-a</x:v>
      </x:c>
      <x:c r="AL474" s="19" t="n">
        <x:v>46255.44458350694</x:v>
      </x:c>
      <x:c r="AM474" s="19" t="n">
        <x:v>46387</x:v>
      </x:c>
      <x:c r="AN474" s="15" t="str">
        <x:v>Безпека / СКУД / CCTV</x:v>
      </x:c>
      <x:c r="AO474" s="15" t="str">
        <x:v>not_found_in_top_search</x:v>
      </x:c>
    </x:row>
    <x:row r="475">
      <x:c r="A475" s="14" t="str">
        <x:v>W3-203</x:v>
      </x:c>
      <x:c r="B475" s="14" t="str">
        <x:v>Prozorro winners — 24.08</x:v>
      </x:c>
      <x:c r="C475" s="14" t="str">
        <x:v>ПП"Енергоресурс"</x:v>
      </x:c>
      <x:c r="D475" s="14" t="str">
        <x:v>Електромонтаж</x:v>
      </x:c>
      <x:c r="E475" s="14" t="str">
        <x:v>Pilot now</x:v>
      </x:c>
      <x:c r="F475" s="17" t="str">
        <x:v>P3</x:v>
      </x:c>
      <x:c r="G475" s="14" t="str"/>
      <x:c r="H475" s="14" t="str">
        <x:v>Пілот зараз — Н.15</x:v>
      </x:c>
      <x:c r="I475" s="16" t="n">
        <x:v>5</x:v>
      </x:c>
      <x:c r="J475" s="16" t="n">
        <x:v>5</x:v>
      </x:c>
      <x:c r="K475" s="16" t="n">
        <x:v>5</x:v>
      </x:c>
      <x:c r="L475" s="16" t="n">
        <x:v>1</x:v>
      </x:c>
      <x:c r="M475" s="16" t="n">
        <x:v>5</x:v>
      </x:c>
      <x:c r="N475" s="16" t="n">
        <x:v>5</x:v>
      </x:c>
      <x:c r="O475" s="16" t="n">
        <x:v>5</x:v>
      </x:c>
      <x:c r="P475" s="16" t="n">
        <x:f>IF(COUNT(I475:O475)&lt;7,"",I475*8+J475*3+K475*2+L475*2+M475*2+N475*2+O475)</x:f>
        <x:v>92</x:v>
      </x:c>
      <x:c r="Q475" s="16" t="n">
        <x:f>IF(COUNT(J475:O475)&lt;6,"",J475*5+K475*4+M475*4+L475*3+N475*2+O475*2)</x:f>
        <x:v>88</x:v>
      </x:c>
      <x:c r="R475" s="14" t="str">
        <x:v>high</x:v>
      </x:c>
      <x:c r="S475" s="14" t="str">
        <x:v>official_prozorro_award_2025_2026</x:v>
      </x:c>
      <x:c r="T475" s="14" t="str">
        <x:v>official_prozorro_api</x:v>
      </x:c>
      <x:c r="U475" s="14" t="str">
        <x:v>Не контактували</x:v>
      </x:c>
      <x:c r="V475" s="15" t="str">
        <x:v>Персоналізований free-pilot outreach по UA-2026-08-13-000311-a; попросити 1 пакет Н.14/Н.15</x:v>
      </x:c>
      <x:c r="W475" s="15" t="str">
        <x:v>Власник / директор; керівник ПТО; відповідальний за договори</x:v>
      </x:c>
      <x:c r="X475" s="15" t="str">
        <x:v>1 підтверджених перемог/договорів у Prozorro на 43 526 грн; 1 проєктів зі строком виконання не раніше 24.08.2026.</x:v>
      </x:c>
      <x:c r="Y475"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 строк до 2026-08-31. Попросити один знеособлений пакет здачі за цим workflow.</x:v>
      </x:c>
      <x:c r="Z475" s="15" t="str">
        <x:v>https://prozorro.gov.ua/tender/UA-2026-08-13-000311-a</x:v>
      </x:c>
      <x:c r="AA475" s="14" t="str">
        <x:v>32393416</x:v>
      </x:c>
      <x:c r="AB475" s="14" t="str">
        <x:v>2026-08-24</x:v>
      </x:c>
      <x:c r="AC475" s="14" t="str"/>
      <x:c r="AD475" s="20" t="str"/>
      <x:c r="AE475" s="14" t="str"/>
      <x:c r="AF475" s="14" t="n">
        <x:v>52</x:v>
      </x:c>
      <x:c r="AG475" s="14" t="str">
        <x:v>I3</x:v>
      </x:c>
      <x:c r="AH475" s="14" t="n">
        <x:v>1</x:v>
      </x:c>
      <x:c r="AI475" s="14" t="n">
        <x:v>1</x:v>
      </x:c>
      <x:c r="AJ475" s="18" t="n">
        <x:v>43526.4</x:v>
      </x:c>
      <x:c r="AK475" s="14" t="str">
        <x:v>https://prozorro.gov.ua/tender/UA-2026-08-13-000311-a</x:v>
      </x:c>
      <x:c r="AL475" s="19" t="n">
        <x:v>46247.231268020834</x:v>
      </x:c>
      <x:c r="AM475" s="19" t="n">
        <x:v>46265.2325462963</x:v>
      </x:c>
      <x:c r="AN475" s="15" t="str">
        <x:v>Електромонтаж</x:v>
      </x:c>
      <x:c r="AO475" s="15" t="str">
        <x:v>not_found_in_top_search</x:v>
      </x:c>
    </x:row>
    <x:row r="476">
      <x:c r="A476" s="14" t="str">
        <x:v>W3-204</x:v>
      </x:c>
      <x:c r="B476" s="14" t="str">
        <x:v>Prozorro winners — 24.08</x:v>
      </x:c>
      <x:c r="C476" s="14" t="str">
        <x:v>ПРИВАТНЕ ПІДПРИЄМСТВО "ГРАНТ"</x:v>
      </x:c>
      <x:c r="D476" s="14" t="str">
        <x:v>Безпека / СКУД / CCTV</x:v>
      </x:c>
      <x:c r="E476" s="14" t="str">
        <x:v>Expansion discovery</x:v>
      </x:c>
      <x:c r="F476" s="17" t="str">
        <x:v>D3</x:v>
      </x:c>
      <x:c r="G476" s="14" t="str"/>
      <x:c r="H476" s="14" t="str">
        <x:v>Discovery розширення — 2 тижні</x:v>
      </x:c>
      <x:c r="I476" s="16" t="n">
        <x:v>1</x:v>
      </x:c>
      <x:c r="J476" s="16" t="n">
        <x:v>5</x:v>
      </x:c>
      <x:c r="K476" s="16" t="n">
        <x:v>4</x:v>
      </x:c>
      <x:c r="L476" s="16" t="n">
        <x:v>1</x:v>
      </x:c>
      <x:c r="M476" s="16" t="n">
        <x:v>5</x:v>
      </x:c>
      <x:c r="N476" s="16" t="n">
        <x:v>5</x:v>
      </x:c>
      <x:c r="O476" s="16" t="n">
        <x:v>5</x:v>
      </x:c>
      <x:c r="P476" s="16" t="n">
        <x:f>IF(COUNT(I476:O476)&lt;7,"",I476*8+J476*3+K476*2+L476*2+M476*2+N476*2+O476)</x:f>
        <x:v>58</x:v>
      </x:c>
      <x:c r="Q476" s="16" t="n">
        <x:f>IF(COUNT(J476:O476)&lt;6,"",J476*5+K476*4+M476*4+L476*3+N476*2+O476*2)</x:f>
        <x:v>84</x:v>
      </x:c>
      <x:c r="R476" s="14" t="str">
        <x:v>high</x:v>
      </x:c>
      <x:c r="S476" s="14" t="str">
        <x:v>official_prozorro_award_2025_2026</x:v>
      </x:c>
      <x:c r="T476" s="14" t="str">
        <x:v>official_prozorro_api</x:v>
      </x:c>
      <x:c r="U476" s="14" t="str">
        <x:v>Не контактували</x:v>
      </x:c>
      <x:c r="V476" s="15" t="str">
        <x:v>Workflow-audit outreach по UA-2026-08-19-003036-a; попросити 1 пакет здачі та вимоги проєкту</x:v>
      </x:c>
      <x:c r="W476" s="15" t="str">
        <x:v>Власник / директор; керівник ПТО; відповідальний за договори</x:v>
      </x:c>
      <x:c r="X476" s="15" t="str">
        <x:v>1 підтверджених перемог/договорів у Prozorro на 41 364 грн; 1 проєктів зі строком виконання не раніше 24.08.2026.</x:v>
      </x:c>
      <x:c r="Y476" s="15" t="str">
        <x:v>Монтаж та встановлення системи відеоспостереження; строк до 2026-08-24. Попросити один знеособлений пакет здачі за цим workflow.</x:v>
      </x:c>
      <x:c r="Z476" s="15" t="str">
        <x:v>https://prozorro.gov.ua/tender/UA-2026-08-19-003036-a</x:v>
      </x:c>
      <x:c r="AA476" s="14" t="str">
        <x:v>31854396</x:v>
      </x:c>
      <x:c r="AB476" s="14" t="str">
        <x:v>2026-08-24</x:v>
      </x:c>
      <x:c r="AC476" s="14" t="str"/>
      <x:c r="AD476" s="20" t="str"/>
      <x:c r="AE476" s="14" t="str"/>
      <x:c r="AF476" s="14" t="n">
        <x:v>52</x:v>
      </x:c>
      <x:c r="AG476" s="14" t="str">
        <x:v>I3</x:v>
      </x:c>
      <x:c r="AH476" s="14" t="n">
        <x:v>1</x:v>
      </x:c>
      <x:c r="AI476" s="14" t="n">
        <x:v>1</x:v>
      </x:c>
      <x:c r="AJ476" s="18" t="n">
        <x:v>41364</x:v>
      </x:c>
      <x:c r="AK476" s="14" t="str">
        <x:v>https://prozorro.gov.ua/tender/UA-2026-08-19-003036-a</x:v>
      </x:c>
      <x:c r="AL476" s="19" t="n">
        <x:v>46253.333494467595</x:v>
      </x:c>
      <x:c r="AM476" s="19" t="n">
        <x:v>46258</x:v>
      </x:c>
      <x:c r="AN476" s="15" t="str">
        <x:v>Безпека / СКУД / CCTV</x:v>
      </x:c>
      <x:c r="AO476" s="15" t="str">
        <x:v>not_found_in_top_search</x:v>
      </x:c>
    </x:row>
    <x:row r="477">
      <x:c r="A477" s="14" t="str">
        <x:v>W3-205</x:v>
      </x:c>
      <x:c r="B477" s="14" t="str">
        <x:v>Prozorro winners — 24.08</x:v>
      </x:c>
      <x:c r="C477" s="14" t="str">
        <x:v>ТОВАРИСТВО З ОБМЕЖЕНОЮ ВІДПОВІДАЛЬНІСТЮ "ПРОФВІДЕОСЕРВІС 1"</x:v>
      </x:c>
      <x:c r="D477" s="14" t="str">
        <x:v>Безпека / СКУД / CCTV</x:v>
      </x:c>
      <x:c r="E477" s="14" t="str">
        <x:v>Expansion discovery</x:v>
      </x:c>
      <x:c r="F477" s="17" t="str">
        <x:v>D3</x:v>
      </x:c>
      <x:c r="G477" s="14" t="str"/>
      <x:c r="H477" s="14" t="str">
        <x:v>Discovery розширення — 2 тижні</x:v>
      </x:c>
      <x:c r="I477" s="16" t="n">
        <x:v>1</x:v>
      </x:c>
      <x:c r="J477" s="16" t="n">
        <x:v>5</x:v>
      </x:c>
      <x:c r="K477" s="16" t="n">
        <x:v>4</x:v>
      </x:c>
      <x:c r="L477" s="16" t="n">
        <x:v>1</x:v>
      </x:c>
      <x:c r="M477" s="16" t="n">
        <x:v>5</x:v>
      </x:c>
      <x:c r="N477" s="16" t="n">
        <x:v>5</x:v>
      </x:c>
      <x:c r="O477" s="16" t="n">
        <x:v>5</x:v>
      </x:c>
      <x:c r="P477" s="16" t="n">
        <x:f>IF(COUNT(I477:O477)&lt;7,"",I477*8+J477*3+K477*2+L477*2+M477*2+N477*2+O477)</x:f>
        <x:v>58</x:v>
      </x:c>
      <x:c r="Q477" s="16" t="n">
        <x:f>IF(COUNT(J477:O477)&lt;6,"",J477*5+K477*4+M477*4+L477*3+N477*2+O477*2)</x:f>
        <x:v>84</x:v>
      </x:c>
      <x:c r="R477" s="14" t="str">
        <x:v>high</x:v>
      </x:c>
      <x:c r="S477" s="14" t="str">
        <x:v>official_prozorro_award_2025_2026</x:v>
      </x:c>
      <x:c r="T477" s="14" t="str">
        <x:v>official_prozorro_api</x:v>
      </x:c>
      <x:c r="U477" s="14" t="str">
        <x:v>Не контактували</x:v>
      </x:c>
      <x:c r="V477" s="15" t="str">
        <x:v>Workflow-audit outreach по UA-2026-07-29-010611-a; попросити 1 пакет здачі та вимоги проєкту</x:v>
      </x:c>
      <x:c r="W477" s="15" t="str">
        <x:v>Власник / директор; керівник ПТО; відповідальний за договори</x:v>
      </x:c>
      <x:c r="X477" s="15" t="str">
        <x:v>1 підтверджених перемог/договорів у Prozorro на 40 200 грн; 1 проєктів зі строком виконання не раніше 24.08.2026.</x:v>
      </x:c>
      <x:c r="Y477" s="15" t="str">
        <x:v>Послуги з монтажу, налаштування та технічного обслуговування системи відеоспостереження; строк до 2026-12-31. Попросити один знеособлений пакет здачі за цим workflow.</x:v>
      </x:c>
      <x:c r="Z477" s="15" t="str">
        <x:v>https://prozorro.gov.ua/tender/UA-2026-07-29-010611-a</x:v>
      </x:c>
      <x:c r="AA477" s="14" t="str">
        <x:v>45991906</x:v>
      </x:c>
      <x:c r="AB477" s="14" t="str">
        <x:v>2026-08-24</x:v>
      </x:c>
      <x:c r="AC477" s="14" t="str"/>
      <x:c r="AD477" s="20" t="str"/>
      <x:c r="AE477" s="14" t="str"/>
      <x:c r="AF477" s="14" t="n">
        <x:v>52</x:v>
      </x:c>
      <x:c r="AG477" s="14" t="str">
        <x:v>I3</x:v>
      </x:c>
      <x:c r="AH477" s="14" t="n">
        <x:v>1</x:v>
      </x:c>
      <x:c r="AI477" s="14" t="n">
        <x:v>1</x:v>
      </x:c>
      <x:c r="AJ477" s="18" t="n">
        <x:v>40200</x:v>
      </x:c>
      <x:c r="AK477" s="14" t="str">
        <x:v>https://prozorro.gov.ua/tender/UA-2026-07-29-010611-a</x:v>
      </x:c>
      <x:c r="AL477" s="19" t="n">
        <x:v>46232.59387545139</x:v>
      </x:c>
      <x:c r="AM477" s="19" t="n">
        <x:v>46387</x:v>
      </x:c>
      <x:c r="AN477" s="15" t="str">
        <x:v>Безпека / СКУД / CCTV</x:v>
      </x:c>
      <x:c r="AO477" s="15" t="str">
        <x:v>not_found_in_top_search</x:v>
      </x:c>
    </x:row>
    <x:row r="478">
      <x:c r="A478" s="14" t="str">
        <x:v>W3-206</x:v>
      </x:c>
      <x:c r="B478" s="14" t="str">
        <x:v>Prozorro winners — 24.08</x:v>
      </x:c>
      <x:c r="C478" s="14" t="str">
        <x:v>ЖИТОМИРСЬКЕ КОЛЕКТИВНЕ ПІДПРИЄМСТВО ПО ПРОЕКТУВАННЮ ЦИВІЛЬНОГО І ПРОМИСЛОВОГО БУДІВНИЦТВА "ЖИТОМИРПРОЕКТ"</x:v>
      </x:c>
      <x:c r="D478" s="14" t="str">
        <x:v>Теплові мережі</x:v>
      </x:c>
      <x:c r="E478" s="14" t="str">
        <x:v>Expansion discovery</x:v>
      </x:c>
      <x:c r="F478" s="17" t="str">
        <x:v>D3</x:v>
      </x:c>
      <x:c r="G478" s="14" t="str"/>
      <x:c r="H478" s="14" t="str">
        <x:v>Discovery розширення — 2 тижні</x:v>
      </x:c>
      <x:c r="I478" s="16" t="n">
        <x:v>1</x:v>
      </x:c>
      <x:c r="J478" s="16" t="n">
        <x:v>5</x:v>
      </x:c>
      <x:c r="K478" s="16" t="n">
        <x:v>4</x:v>
      </x:c>
      <x:c r="L478" s="16" t="n">
        <x:v>1</x:v>
      </x:c>
      <x:c r="M478" s="16" t="n">
        <x:v>5</x:v>
      </x:c>
      <x:c r="N478" s="16" t="n">
        <x:v>5</x:v>
      </x:c>
      <x:c r="O478" s="16" t="n">
        <x:v>5</x:v>
      </x:c>
      <x:c r="P478" s="16" t="n">
        <x:f>IF(COUNT(I478:O478)&lt;7,"",I478*8+J478*3+K478*2+L478*2+M478*2+N478*2+O478)</x:f>
        <x:v>58</x:v>
      </x:c>
      <x:c r="Q478" s="16" t="n">
        <x:f>IF(COUNT(J478:O478)&lt;6,"",J478*5+K478*4+M478*4+L478*3+N478*2+O478*2)</x:f>
        <x:v>84</x:v>
      </x:c>
      <x:c r="R478" s="14" t="str">
        <x:v>high</x:v>
      </x:c>
      <x:c r="S478" s="14" t="str">
        <x:v>official_prozorro_award_2025_2026</x:v>
      </x:c>
      <x:c r="T478" s="14" t="str">
        <x:v>official_prozorro_api</x:v>
      </x:c>
      <x:c r="U478" s="14" t="str">
        <x:v>Не контактували</x:v>
      </x:c>
      <x:c r="V478" s="15" t="str">
        <x:v>Workflow-audit outreach по UA-2026-08-20-004861-a; попросити 1 пакет здачі та вимоги проєкту</x:v>
      </x:c>
      <x:c r="W478" s="15" t="str">
        <x:v>Власник / директор; керівник ПТО; відповідальний за договори</x:v>
      </x:c>
      <x:c r="X478" s="15" t="str">
        <x:v>1 підтверджених перемог/договорів у Prozorro на 35 566 грн; 1 проєктів зі строком виконання не раніше 24.08.2026.</x:v>
      </x:c>
      <x:c r="Y478" s="15" t="str">
        <x:v>Авторський нагляд по об'єкту: "Реконструкція теплової мережі котельні РК-5 від т. 462 до ТК-20 за адресою вул. Чуднівська, 101 в м. Житомирі "(Коригування); строк до 2026-12-31. Попросити один знеособлений пакет здачі за цим workflow.</x:v>
      </x:c>
      <x:c r="Z478" s="15" t="str">
        <x:v>https://prozorro.gov.ua/tender/UA-2026-08-20-004861-a</x:v>
      </x:c>
      <x:c r="AA478" s="14" t="str">
        <x:v>02498103</x:v>
      </x:c>
      <x:c r="AB478" s="14" t="str">
        <x:v>2026-08-24</x:v>
      </x:c>
      <x:c r="AC478" s="14" t="str"/>
      <x:c r="AD478" s="20" t="str"/>
      <x:c r="AE478" s="14" t="str"/>
      <x:c r="AF478" s="14" t="n">
        <x:v>52</x:v>
      </x:c>
      <x:c r="AG478" s="14" t="str">
        <x:v>I3</x:v>
      </x:c>
      <x:c r="AH478" s="14" t="n">
        <x:v>1</x:v>
      </x:c>
      <x:c r="AI478" s="14" t="n">
        <x:v>1</x:v>
      </x:c>
      <x:c r="AJ478" s="18" t="n">
        <x:v>35565.6</x:v>
      </x:c>
      <x:c r="AK478" s="14" t="str">
        <x:v>https://prozorro.gov.ua/tender/UA-2026-08-20-004861-a</x:v>
      </x:c>
      <x:c r="AL478" s="19" t="n">
        <x:v>46254.37346806713</x:v>
      </x:c>
      <x:c r="AM478" s="19" t="n">
        <x:v>46387</x:v>
      </x:c>
      <x:c r="AN478" s="15" t="str">
        <x:v>Теплові мережі</x:v>
      </x:c>
      <x:c r="AO478" s="15" t="str">
        <x:v>not_found_in_top_search</x:v>
      </x:c>
    </x:row>
    <x:row r="479">
      <x:c r="A479" s="14" t="str">
        <x:v>W3-207</x:v>
      </x:c>
      <x:c r="B479" s="14" t="str">
        <x:v>Prozorro winners — 24.08</x:v>
      </x:c>
      <x:c r="C479" s="14" t="str">
        <x:v>ТОВАРИСТВО З ОБМЕЖЕНОЮ ВІДПОВІДАЛЬНІСТЮ НАУКОВО-ВИРОБНИЧЕ ПІДПРИЄМСТВО "БЛІЦ-КОНТАКТ"</x:v>
      </x:c>
      <x:c r="D479" s="14" t="str">
        <x:v>Безпека / СКУД / CCTV</x:v>
      </x:c>
      <x:c r="E479" s="14" t="str">
        <x:v>Expansion discovery</x:v>
      </x:c>
      <x:c r="F479" s="17" t="str">
        <x:v>D3</x:v>
      </x:c>
      <x:c r="G479" s="14" t="str"/>
      <x:c r="H479" s="14" t="str">
        <x:v>Discovery розширення — 2 тижні</x:v>
      </x:c>
      <x:c r="I479" s="16" t="n">
        <x:v>1</x:v>
      </x:c>
      <x:c r="J479" s="16" t="n">
        <x:v>5</x:v>
      </x:c>
      <x:c r="K479" s="16" t="n">
        <x:v>4</x:v>
      </x:c>
      <x:c r="L479" s="16" t="n">
        <x:v>1</x:v>
      </x:c>
      <x:c r="M479" s="16" t="n">
        <x:v>5</x:v>
      </x:c>
      <x:c r="N479" s="16" t="n">
        <x:v>5</x:v>
      </x:c>
      <x:c r="O479" s="16" t="n">
        <x:v>5</x:v>
      </x:c>
      <x:c r="P479" s="16" t="n">
        <x:f>IF(COUNT(I479:O479)&lt;7,"",I479*8+J479*3+K479*2+L479*2+M479*2+N479*2+O479)</x:f>
        <x:v>58</x:v>
      </x:c>
      <x:c r="Q479" s="16" t="n">
        <x:f>IF(COUNT(J479:O479)&lt;6,"",J479*5+K479*4+M479*4+L479*3+N479*2+O479*2)</x:f>
        <x:v>84</x:v>
      </x:c>
      <x:c r="R479" s="14" t="str">
        <x:v>high</x:v>
      </x:c>
      <x:c r="S479" s="14" t="str">
        <x:v>official_prozorro_award_2025_2026</x:v>
      </x:c>
      <x:c r="T479" s="14" t="str">
        <x:v>official_prozorro_api</x:v>
      </x:c>
      <x:c r="U479" s="14" t="str">
        <x:v>Не контактували</x:v>
      </x:c>
      <x:c r="V479" s="15" t="str">
        <x:v>Workflow-audit outreach по UA-2026-07-23-005645-a; попросити 1 пакет здачі та вимоги проєкту</x:v>
      </x:c>
      <x:c r="W479" s="15" t="str">
        <x:v>Власник / директор; керівник ПТО; відповідальний за договори</x:v>
      </x:c>
      <x:c r="X479" s="15" t="str">
        <x:v>1 підтверджених перемог/договорів у Prozorro на 35 268 грн; 1 проєктів зі строком виконання не раніше 24.08.2026.</x:v>
      </x:c>
      <x:c r="Y479" s="15" t="str">
        <x:v>Послуги з монтажу системи контролю доступу ; строк до 2026-12-31. Попросити один знеособлений пакет здачі за цим workflow.</x:v>
      </x:c>
      <x:c r="Z479" s="15" t="str">
        <x:v>https://prozorro.gov.ua/tender/UA-2026-07-23-005645-a</x:v>
      </x:c>
      <x:c r="AA479" s="14" t="str">
        <x:v>30992516</x:v>
      </x:c>
      <x:c r="AB479" s="14" t="str">
        <x:v>2026-08-24</x:v>
      </x:c>
      <x:c r="AC479" s="14" t="str"/>
      <x:c r="AD479" s="20" t="str"/>
      <x:c r="AE479" s="14" t="str"/>
      <x:c r="AF479" s="14" t="n">
        <x:v>52</x:v>
      </x:c>
      <x:c r="AG479" s="14" t="str">
        <x:v>I3</x:v>
      </x:c>
      <x:c r="AH479" s="14" t="n">
        <x:v>1</x:v>
      </x:c>
      <x:c r="AI479" s="14" t="n">
        <x:v>1</x:v>
      </x:c>
      <x:c r="AJ479" s="18" t="n">
        <x:v>35268</x:v>
      </x:c>
      <x:c r="AK479" s="14" t="str">
        <x:v>https://prozorro.gov.ua/tender/UA-2026-07-23-005645-a</x:v>
      </x:c>
      <x:c r="AL479" s="19" t="n">
        <x:v>46226.41934983796</x:v>
      </x:c>
      <x:c r="AM479" s="19" t="n">
        <x:v>46387</x:v>
      </x:c>
      <x:c r="AN479" s="15" t="str">
        <x:v>Безпека / СКУД / CCTV</x:v>
      </x:c>
      <x:c r="AO479" s="15" t="str">
        <x:v>not_found_in_top_search</x:v>
      </x:c>
    </x:row>
    <x:row r="480">
      <x:c r="A480" s="14" t="str">
        <x:v>W3-208</x:v>
      </x:c>
      <x:c r="B480" s="14" t="str">
        <x:v>Prozorro winners — 24.08</x:v>
      </x:c>
      <x:c r="C480" s="14" t="str">
        <x:v>АКЦІОНЕРНЕ ТОВАРИСТВО "ЖИТОМИРОБЛЕНЕРГО"</x:v>
      </x:c>
      <x:c r="D480" s="14" t="str">
        <x:v>Електромонтаж</x:v>
      </x:c>
      <x:c r="E480" s="14" t="str">
        <x:v>Pilot now</x:v>
      </x:c>
      <x:c r="F480" s="17" t="str">
        <x:v>P3</x:v>
      </x:c>
      <x:c r="G480" s="14" t="str"/>
      <x:c r="H480" s="14" t="str">
        <x:v>Пілот зараз — Н.15</x:v>
      </x:c>
      <x:c r="I480" s="16" t="n">
        <x:v>5</x:v>
      </x:c>
      <x:c r="J480" s="16" t="n">
        <x:v>5</x:v>
      </x:c>
      <x:c r="K480" s="16" t="n">
        <x:v>5</x:v>
      </x:c>
      <x:c r="L480" s="16" t="n">
        <x:v>1</x:v>
      </x:c>
      <x:c r="M480" s="16" t="n">
        <x:v>5</x:v>
      </x:c>
      <x:c r="N480" s="16" t="n">
        <x:v>5</x:v>
      </x:c>
      <x:c r="O480" s="16" t="n">
        <x:v>5</x:v>
      </x:c>
      <x:c r="P480" s="16" t="n">
        <x:f>IF(COUNT(I480:O480)&lt;7,"",I480*8+J480*3+K480*2+L480*2+M480*2+N480*2+O480)</x:f>
        <x:v>92</x:v>
      </x:c>
      <x:c r="Q480" s="16" t="n">
        <x:f>IF(COUNT(J480:O480)&lt;6,"",J480*5+K480*4+M480*4+L480*3+N480*2+O480*2)</x:f>
        <x:v>88</x:v>
      </x:c>
      <x:c r="R480" s="14" t="str">
        <x:v>high</x:v>
      </x:c>
      <x:c r="S480" s="14" t="str">
        <x:v>official_prozorro_award_2025_2026</x:v>
      </x:c>
      <x:c r="T480" s="14" t="str">
        <x:v>official_prozorro_api</x:v>
      </x:c>
      <x:c r="U480" s="14" t="str">
        <x:v>Не контактували</x:v>
      </x:c>
      <x:c r="V480" s="15" t="str">
        <x:v>Повторне звернення з новим тендерним сигналом UA-2026-07-02-005522-a; попросити 1 пакет здачі</x:v>
      </x:c>
      <x:c r="W480" s="15" t="str">
        <x:v>Власник / директор; керівник ПТО; відповідальний за договори</x:v>
      </x:c>
      <x:c r="X480" s="15" t="str">
        <x:v>1 підтверджених перемог/договорів у Prozorro на 30 735 грн; 1 проєктів зі строком виконання не раніше 24.08.2026.</x:v>
      </x:c>
      <x:c r="Y480" s="15" t="str">
        <x:v> Електромонтажні роботи; строк до 2026-12-31. Попросити один знеособлений пакет здачі за цим workflow.</x:v>
      </x:c>
      <x:c r="Z480" s="15" t="str">
        <x:v>https://prozorro.gov.ua/tender/UA-2026-07-30-001605-a</x:v>
      </x:c>
      <x:c r="AA480" s="14" t="str">
        <x:v>22048622</x:v>
      </x:c>
      <x:c r="AB480" s="14" t="str">
        <x:v>2026-08-24</x:v>
      </x:c>
      <x:c r="AC480" s="14" t="str"/>
      <x:c r="AD480" s="20" t="str"/>
      <x:c r="AE480" s="14" t="str"/>
      <x:c r="AF480" s="14" t="n">
        <x:v>52</x:v>
      </x:c>
      <x:c r="AG480" s="14" t="str">
        <x:v>I3</x:v>
      </x:c>
      <x:c r="AH480" s="14" t="n">
        <x:v>2</x:v>
      </x:c>
      <x:c r="AI480" s="14" t="n">
        <x:v>2</x:v>
      </x:c>
      <x:c r="AJ480" s="18" t="n">
        <x:v>35841.97</x:v>
      </x:c>
      <x:c r="AK480" s="14" t="str">
        <x:v>https://prozorro.gov.ua/tender/UA-2026-07-02-005522-a</x:v>
      </x:c>
      <x:c r="AL480" s="19" t="n">
        <x:v>46205.44300653935</x:v>
      </x:c>
      <x:c r="AM480" s="19" t="n">
        <x:v>46387</x:v>
      </x:c>
      <x:c r="AN480" s="15" t="str">
        <x:v>Електромонтаж</x:v>
      </x:c>
      <x:c r="AO480" s="15" t="str">
        <x:v>not_found_in_top_search</x:v>
      </x:c>
    </x:row>
    <x:row r="481">
      <x:c r="A481" s="14" t="str">
        <x:v>W3-209</x:v>
      </x:c>
      <x:c r="B481" s="14" t="str">
        <x:v>Prozorro winners — 24.08</x:v>
      </x:c>
      <x:c r="C481" s="14" t="str">
        <x:v>ПРИВАТНА ФІРМА КОМПАНІЯ «НЕО»</x:v>
      </x:c>
      <x:c r="D481" s="14" t="str">
        <x:v>Електромонтаж</x:v>
      </x:c>
      <x:c r="E481" s="14" t="str">
        <x:v>Pilot now</x:v>
      </x:c>
      <x:c r="F481" s="17" t="str">
        <x:v>P3</x:v>
      </x:c>
      <x:c r="G481" s="14" t="str"/>
      <x:c r="H481" s="14" t="str">
        <x:v>Пілот зараз — Н.15</x:v>
      </x:c>
      <x:c r="I481" s="16" t="n">
        <x:v>5</x:v>
      </x:c>
      <x:c r="J481" s="16" t="n">
        <x:v>5</x:v>
      </x:c>
      <x:c r="K481" s="16" t="n">
        <x:v>5</x:v>
      </x:c>
      <x:c r="L481" s="16" t="n">
        <x:v>1</x:v>
      </x:c>
      <x:c r="M481" s="16" t="n">
        <x:v>5</x:v>
      </x:c>
      <x:c r="N481" s="16" t="n">
        <x:v>5</x:v>
      </x:c>
      <x:c r="O481" s="16" t="n">
        <x:v>5</x:v>
      </x:c>
      <x:c r="P481" s="16" t="n">
        <x:f>IF(COUNT(I481:O481)&lt;7,"",I481*8+J481*3+K481*2+L481*2+M481*2+N481*2+O481)</x:f>
        <x:v>92</x:v>
      </x:c>
      <x:c r="Q481" s="16" t="n">
        <x:f>IF(COUNT(J481:O481)&lt;6,"",J481*5+K481*4+M481*4+L481*3+N481*2+O481*2)</x:f>
        <x:v>88</x:v>
      </x:c>
      <x:c r="R481" s="14" t="str">
        <x:v>high</x:v>
      </x:c>
      <x:c r="S481" s="14" t="str">
        <x:v>official_prozorro_award_2025_2026</x:v>
      </x:c>
      <x:c r="T481" s="14" t="str">
        <x:v>official_prozorro_api</x:v>
      </x:c>
      <x:c r="U481" s="14" t="str">
        <x:v>Не контактували</x:v>
      </x:c>
      <x:c r="V481" s="15" t="str">
        <x:v>Персоналізований free-pilot outreach по UA-2026-08-21-003061-a; попросити 1 пакет Н.14/Н.15</x:v>
      </x:c>
      <x:c r="W481" s="15" t="str">
        <x:v>Власник / директор; керівник ПТО; відповідальний за договори</x:v>
      </x:c>
      <x:c r="X481" s="15" t="str">
        <x:v>1 підтверджених перемог/договорів у Prozorro на 29 126 грн; 1 проєктів зі строком виконання не раніше 24.08.2026.</x:v>
      </x:c>
      <x:c r="Y481" s="15" t="str">
        <x:v>Електромонтажні роботи (монтаж кондиціонера); строк до 2026-12-31. Попросити один знеособлений пакет здачі за цим workflow.</x:v>
      </x:c>
      <x:c r="Z481" s="15" t="str">
        <x:v>https://prozorro.gov.ua/tender/UA-2026-08-21-003061-a</x:v>
      </x:c>
      <x:c r="AA481" s="14" t="str">
        <x:v>31232303</x:v>
      </x:c>
      <x:c r="AB481" s="14" t="str">
        <x:v>2026-08-24</x:v>
      </x:c>
      <x:c r="AC481" s="14" t="str"/>
      <x:c r="AD481" s="20" t="str"/>
      <x:c r="AE481" s="14" t="str"/>
      <x:c r="AF481" s="14" t="n">
        <x:v>52</x:v>
      </x:c>
      <x:c r="AG481" s="14" t="str">
        <x:v>I3</x:v>
      </x:c>
      <x:c r="AH481" s="14" t="n">
        <x:v>1</x:v>
      </x:c>
      <x:c r="AI481" s="14" t="n">
        <x:v>1</x:v>
      </x:c>
      <x:c r="AJ481" s="18" t="n">
        <x:v>29126</x:v>
      </x:c>
      <x:c r="AK481" s="14" t="str">
        <x:v>https://prozorro.gov.ua/tender/UA-2026-08-21-003061-a</x:v>
      </x:c>
      <x:c r="AL481" s="19" t="n">
        <x:v>46255.32717296296</x:v>
      </x:c>
      <x:c r="AM481" s="19" t="n">
        <x:v>46387.916655092595</x:v>
      </x:c>
      <x:c r="AN481" s="15" t="str">
        <x:v>Електромонтаж</x:v>
      </x:c>
      <x:c r="AO481" s="15" t="str">
        <x:v>not_found_in_top_search</x:v>
      </x:c>
    </x:row>
    <x:row r="482">
      <x:c r="A482" s="14" t="str">
        <x:v>W3-210</x:v>
      </x:c>
      <x:c r="B482" s="14" t="str">
        <x:v>Prozorro winners — 24.08</x:v>
      </x:c>
      <x:c r="C482" s="14" t="str">
        <x:v>ТОВАРИСТВО З ОБМЕЖЕНОЮ ВІДПОВІДАЛЬНІСТЮ СПЕЦІАЛІЗОВАНЕ ПІДПРИЄМСТВО "ЗАЩИТА-92"</x:v>
      </x:c>
      <x:c r="D482" s="14" t="str">
        <x:v>Безпека / СКУД / CCTV</x:v>
      </x:c>
      <x:c r="E482" s="14" t="str">
        <x:v>Expansion discovery</x:v>
      </x:c>
      <x:c r="F482" s="17" t="str">
        <x:v>D3</x:v>
      </x:c>
      <x:c r="G482" s="14" t="str"/>
      <x:c r="H482" s="14" t="str">
        <x:v>Discovery розширення — 2 тижні</x:v>
      </x:c>
      <x:c r="I482" s="16" t="n">
        <x:v>1</x:v>
      </x:c>
      <x:c r="J482" s="16" t="n">
        <x:v>5</x:v>
      </x:c>
      <x:c r="K482" s="16" t="n">
        <x:v>4</x:v>
      </x:c>
      <x:c r="L482" s="16" t="n">
        <x:v>1</x:v>
      </x:c>
      <x:c r="M482" s="16" t="n">
        <x:v>5</x:v>
      </x:c>
      <x:c r="N482" s="16" t="n">
        <x:v>5</x:v>
      </x:c>
      <x:c r="O482" s="16" t="n">
        <x:v>5</x:v>
      </x:c>
      <x:c r="P482" s="16" t="n">
        <x:f>IF(COUNT(I482:O482)&lt;7,"",I482*8+J482*3+K482*2+L482*2+M482*2+N482*2+O482)</x:f>
        <x:v>58</x:v>
      </x:c>
      <x:c r="Q482" s="16" t="n">
        <x:f>IF(COUNT(J482:O482)&lt;6,"",J482*5+K482*4+M482*4+L482*3+N482*2+O482*2)</x:f>
        <x:v>84</x:v>
      </x:c>
      <x:c r="R482" s="14" t="str">
        <x:v>high</x:v>
      </x:c>
      <x:c r="S482" s="14" t="str">
        <x:v>official_prozorro_award_2025_2026</x:v>
      </x:c>
      <x:c r="T482" s="14" t="str">
        <x:v>official_prozorro_api</x:v>
      </x:c>
      <x:c r="U482" s="14" t="str">
        <x:v>Не контактували</x:v>
      </x:c>
      <x:c r="V482" s="15" t="str">
        <x:v>Workflow-audit outreach по UA-2026-08-05-012230-a; попросити 1 пакет здачі та вимоги проєкту</x:v>
      </x:c>
      <x:c r="W482" s="15" t="str">
        <x:v>Власник / директор; керівник ПТО; відповідальний за договори</x:v>
      </x:c>
      <x:c r="X482" s="15" t="str">
        <x:v>1 підтверджених перемог/договорів у Prozorro на 28 754 грн; 1 проєктів зі строком виконання не раніше 24.08.2026.</x:v>
      </x:c>
      <x:c r="Y482" s="15" t="str">
        <x:v>Послуги з монтажу системи відеоспостереження; строк до 2026-12-31. Попросити один знеособлений пакет здачі за цим workflow.</x:v>
      </x:c>
      <x:c r="Z482" s="15" t="str">
        <x:v>https://prozorro.gov.ua/tender/UA-2026-08-05-012230-a</x:v>
      </x:c>
      <x:c r="AA482" s="14" t="str">
        <x:v>14008181</x:v>
      </x:c>
      <x:c r="AB482" s="14" t="str">
        <x:v>2026-08-24</x:v>
      </x:c>
      <x:c r="AC482" s="14" t="str"/>
      <x:c r="AD482" s="20" t="str"/>
      <x:c r="AE482" s="14" t="str"/>
      <x:c r="AF482" s="14" t="n">
        <x:v>52</x:v>
      </x:c>
      <x:c r="AG482" s="14" t="str">
        <x:v>I3</x:v>
      </x:c>
      <x:c r="AH482" s="14" t="n">
        <x:v>1</x:v>
      </x:c>
      <x:c r="AI482" s="14" t="n">
        <x:v>1</x:v>
      </x:c>
      <x:c r="AJ482" s="18" t="n">
        <x:v>28753.56</x:v>
      </x:c>
      <x:c r="AK482" s="14" t="str">
        <x:v>https://prozorro.gov.ua/tender/UA-2026-08-05-012230-a</x:v>
      </x:c>
      <x:c r="AL482" s="19" t="n">
        <x:v>46239.61833405092</x:v>
      </x:c>
      <x:c r="AM482" s="19" t="n">
        <x:v>46387</x:v>
      </x:c>
      <x:c r="AN482" s="15" t="str">
        <x:v>Безпека / СКУД / CCTV</x:v>
      </x:c>
      <x:c r="AO482" s="15" t="str">
        <x:v>not_found_in_top_search</x:v>
      </x:c>
    </x:row>
    <x:row r="483">
      <x:c r="A483" s="14" t="str">
        <x:v>W3-211</x:v>
      </x:c>
      <x:c r="B483" s="14" t="str">
        <x:v>Prozorro winners — 24.08</x:v>
      </x:c>
      <x:c r="C483" s="14" t="str">
        <x:v>ТОВАРИСТВО З ОБМЕЖЕНОЮ ВІДПОВІДАЛЬНІСТЮ " ДІВІКС"</x:v>
      </x:c>
      <x:c r="D483" s="14" t="str">
        <x:v>Безпека / СКУД / CCTV</x:v>
      </x:c>
      <x:c r="E483" s="14" t="str">
        <x:v>Expansion discovery</x:v>
      </x:c>
      <x:c r="F483" s="17" t="str">
        <x:v>D3</x:v>
      </x:c>
      <x:c r="G483" s="14" t="str"/>
      <x:c r="H483" s="14" t="str">
        <x:v>Discovery розширення — 2 тижні</x:v>
      </x:c>
      <x:c r="I483" s="16" t="n">
        <x:v>1</x:v>
      </x:c>
      <x:c r="J483" s="16" t="n">
        <x:v>5</x:v>
      </x:c>
      <x:c r="K483" s="16" t="n">
        <x:v>4</x:v>
      </x:c>
      <x:c r="L483" s="16" t="n">
        <x:v>1</x:v>
      </x:c>
      <x:c r="M483" s="16" t="n">
        <x:v>5</x:v>
      </x:c>
      <x:c r="N483" s="16" t="n">
        <x:v>5</x:v>
      </x:c>
      <x:c r="O483" s="16" t="n">
        <x:v>5</x:v>
      </x:c>
      <x:c r="P483" s="16" t="n">
        <x:f>IF(COUNT(I483:O483)&lt;7,"",I483*8+J483*3+K483*2+L483*2+M483*2+N483*2+O483)</x:f>
        <x:v>58</x:v>
      </x:c>
      <x:c r="Q483" s="16" t="n">
        <x:f>IF(COUNT(J483:O483)&lt;6,"",J483*5+K483*4+M483*4+L483*3+N483*2+O483*2)</x:f>
        <x:v>84</x:v>
      </x:c>
      <x:c r="R483" s="14" t="str">
        <x:v>high</x:v>
      </x:c>
      <x:c r="S483" s="14" t="str">
        <x:v>official_prozorro_award_2025_2026</x:v>
      </x:c>
      <x:c r="T483" s="14" t="str">
        <x:v>official_prozorro_api</x:v>
      </x:c>
      <x:c r="U483" s="14" t="str">
        <x:v>Не контактували</x:v>
      </x:c>
      <x:c r="V483" s="15" t="str">
        <x:v>Workflow-audit outreach по UA-2026-07-29-001219-a; попросити 1 пакет здачі та вимоги проєкту</x:v>
      </x:c>
      <x:c r="W483" s="15" t="str">
        <x:v>Власник / директор; керівник ПТО; відповідальний за договори</x:v>
      </x:c>
      <x:c r="X483" s="15" t="str">
        <x:v>1 підтверджених перемог/договорів у Prozorro на 25 963 грн; 1 проєктів зі строком виконання не раніше 24.08.2026.</x:v>
      </x:c>
      <x:c r="Y483" s="15" t="str">
        <x:v>Послуги з монтажу та пусконалагоджені системи контролю та управління доступом; строк до 2026-12-31. Попросити один знеособлений пакет здачі за цим workflow.</x:v>
      </x:c>
      <x:c r="Z483" s="15" t="str">
        <x:v>https://prozorro.gov.ua/tender/UA-2026-07-29-001219-a</x:v>
      </x:c>
      <x:c r="AA483" s="14" t="str">
        <x:v>33463396</x:v>
      </x:c>
      <x:c r="AB483" s="14" t="str">
        <x:v>2026-08-24</x:v>
      </x:c>
      <x:c r="AC483" s="14" t="str"/>
      <x:c r="AD483" s="20" t="str"/>
      <x:c r="AE483" s="14" t="str"/>
      <x:c r="AF483" s="14" t="n">
        <x:v>52</x:v>
      </x:c>
      <x:c r="AG483" s="14" t="str">
        <x:v>I3</x:v>
      </x:c>
      <x:c r="AH483" s="14" t="n">
        <x:v>1</x:v>
      </x:c>
      <x:c r="AI483" s="14" t="n">
        <x:v>1</x:v>
      </x:c>
      <x:c r="AJ483" s="18" t="n">
        <x:v>25963.2</x:v>
      </x:c>
      <x:c r="AK483" s="14" t="str">
        <x:v>https://prozorro.gov.ua/tender/UA-2026-07-29-001219-a</x:v>
      </x:c>
      <x:c r="AL483" s="19" t="n">
        <x:v>46232.284131747685</x:v>
      </x:c>
      <x:c r="AM483" s="19" t="n">
        <x:v>46387</x:v>
      </x:c>
      <x:c r="AN483" s="15" t="str">
        <x:v>Безпека / СКУД / CCTV</x:v>
      </x:c>
      <x:c r="AO483" s="15" t="str">
        <x:v>not_found_in_top_search</x:v>
      </x:c>
    </x:row>
    <x:row r="484">
      <x:c r="A484" s="14" t="str">
        <x:v>W3-212</x:v>
      </x:c>
      <x:c r="B484" s="14" t="str">
        <x:v>Prozorro winners — 24.08</x:v>
      </x:c>
      <x:c r="C484" s="14" t="str">
        <x:v>ТОВАРИСТВО З ОБМЕЖЕНОЮ ВІДПОВІДАЛЬНІСТЮ "ТВОПТИМУМ"</x:v>
      </x:c>
      <x:c r="D484" s="14" t="str">
        <x:v>Електромонтаж</x:v>
      </x:c>
      <x:c r="E484" s="14" t="str">
        <x:v>Pilot now</x:v>
      </x:c>
      <x:c r="F484" s="17" t="str">
        <x:v>P3</x:v>
      </x:c>
      <x:c r="G484" s="14" t="str"/>
      <x:c r="H484" s="14" t="str">
        <x:v>Пілот зараз — Н.15</x:v>
      </x:c>
      <x:c r="I484" s="16" t="n">
        <x:v>5</x:v>
      </x:c>
      <x:c r="J484" s="16" t="n">
        <x:v>5</x:v>
      </x:c>
      <x:c r="K484" s="16" t="n">
        <x:v>5</x:v>
      </x:c>
      <x:c r="L484" s="16" t="n">
        <x:v>1</x:v>
      </x:c>
      <x:c r="M484" s="16" t="n">
        <x:v>5</x:v>
      </x:c>
      <x:c r="N484" s="16" t="n">
        <x:v>5</x:v>
      </x:c>
      <x:c r="O484" s="16" t="n">
        <x:v>5</x:v>
      </x:c>
      <x:c r="P484" s="16" t="n">
        <x:f>IF(COUNT(I484:O484)&lt;7,"",I484*8+J484*3+K484*2+L484*2+M484*2+N484*2+O484)</x:f>
        <x:v>92</x:v>
      </x:c>
      <x:c r="Q484" s="16" t="n">
        <x:f>IF(COUNT(J484:O484)&lt;6,"",J484*5+K484*4+M484*4+L484*3+N484*2+O484*2)</x:f>
        <x:v>88</x:v>
      </x:c>
      <x:c r="R484" s="14" t="str">
        <x:v>high</x:v>
      </x:c>
      <x:c r="S484" s="14" t="str">
        <x:v>official_prozorro_award_2025_2026</x:v>
      </x:c>
      <x:c r="T484" s="14" t="str">
        <x:v>official_prozorro_api</x:v>
      </x:c>
      <x:c r="U484" s="14" t="str">
        <x:v>Не контактували</x:v>
      </x:c>
      <x:c r="V484" s="15" t="str">
        <x:v>Персоналізований free-pilot outreach по UA-2026-08-19-012215-a; попросити 1 пакет Н.14/Н.15</x:v>
      </x:c>
      <x:c r="W484" s="15" t="str">
        <x:v>Власник / директор; керівник ПТО; відповідальний за договори</x:v>
      </x:c>
      <x:c r="X484" s="15" t="str">
        <x:v>1 підтверджених перемог/договорів у Prozorro на 24 500 грн; 1 проєктів зі строком виконання не раніше 24.08.2026.</x:v>
      </x:c>
      <x:c r="Y484" s="15" t="str">
        <x:v>Електромонтажні та пуско-налагоджувальні роботи; строк до 2026-12-31. Попросити один знеособлений пакет здачі за цим workflow.</x:v>
      </x:c>
      <x:c r="Z484" s="15" t="str">
        <x:v>https://prozorro.gov.ua/tender/UA-2026-08-19-012215-a</x:v>
      </x:c>
      <x:c r="AA484" s="14" t="str">
        <x:v>39820186</x:v>
      </x:c>
      <x:c r="AB484" s="14" t="str">
        <x:v>2026-08-24</x:v>
      </x:c>
      <x:c r="AC484" s="14" t="str"/>
      <x:c r="AD484" s="20" t="str"/>
      <x:c r="AE484" s="14" t="str"/>
      <x:c r="AF484" s="14" t="n">
        <x:v>52</x:v>
      </x:c>
      <x:c r="AG484" s="14" t="str">
        <x:v>I3</x:v>
      </x:c>
      <x:c r="AH484" s="14" t="n">
        <x:v>1</x:v>
      </x:c>
      <x:c r="AI484" s="14" t="n">
        <x:v>1</x:v>
      </x:c>
      <x:c r="AJ484" s="18" t="n">
        <x:v>24500</x:v>
      </x:c>
      <x:c r="AK484" s="14" t="str">
        <x:v>https://prozorro.gov.ua/tender/UA-2026-08-19-012215-a</x:v>
      </x:c>
      <x:c r="AL484" s="19" t="n">
        <x:v>46253.57545571759</x:v>
      </x:c>
      <x:c r="AM484" s="19" t="n">
        <x:v>46387</x:v>
      </x:c>
      <x:c r="AN484" s="15" t="str">
        <x:v>Електромонтаж</x:v>
      </x:c>
      <x:c r="AO484" s="15" t="str">
        <x:v>not_found_in_top_search</x:v>
      </x:c>
    </x:row>
    <x:row r="485">
      <x:c r="A485" s="14" t="str">
        <x:v>W3-213</x:v>
      </x:c>
      <x:c r="B485" s="14" t="str">
        <x:v>Prozorro winners — 24.08</x:v>
      </x:c>
      <x:c r="C485" s="14" t="str">
        <x:v>ТОВАРИСТВО З ОБМЕЖЕНОЮ ВІДПОВІДАЛЬНІСТЮ "СМАРТ МОДУЛЬ"</x:v>
      </x:c>
      <x:c r="D485" s="14" t="str">
        <x:v>HVAC / ОВіК</x:v>
      </x:c>
      <x:c r="E485" s="14" t="str">
        <x:v>Pilot now</x:v>
      </x:c>
      <x:c r="F485" s="17" t="str">
        <x:v>P3</x:v>
      </x:c>
      <x:c r="G485" s="14" t="str"/>
      <x:c r="H485" s="14" t="str">
        <x:v>Пілот зараз — Н.14</x:v>
      </x:c>
      <x:c r="I485" s="16" t="n">
        <x:v>5</x:v>
      </x:c>
      <x:c r="J485" s="16" t="n">
        <x:v>5</x:v>
      </x:c>
      <x:c r="K485" s="16" t="n">
        <x:v>5</x:v>
      </x:c>
      <x:c r="L485" s="16" t="n">
        <x:v>1</x:v>
      </x:c>
      <x:c r="M485" s="16" t="n">
        <x:v>5</x:v>
      </x:c>
      <x:c r="N485" s="16" t="n">
        <x:v>5</x:v>
      </x:c>
      <x:c r="O485" s="16" t="n">
        <x:v>5</x:v>
      </x:c>
      <x:c r="P485" s="16" t="n">
        <x:f>IF(COUNT(I485:O485)&lt;7,"",I485*8+J485*3+K485*2+L485*2+M485*2+N485*2+O485)</x:f>
        <x:v>92</x:v>
      </x:c>
      <x:c r="Q485" s="16" t="n">
        <x:f>IF(COUNT(J485:O485)&lt;6,"",J485*5+K485*4+M485*4+L485*3+N485*2+O485*2)</x:f>
        <x:v>88</x:v>
      </x:c>
      <x:c r="R485" s="14" t="str">
        <x:v>high</x:v>
      </x:c>
      <x:c r="S485" s="14" t="str">
        <x:v>official_prozorro_award_2025_2026</x:v>
      </x:c>
      <x:c r="T485" s="14" t="str">
        <x:v>official_prozorro_api</x:v>
      </x:c>
      <x:c r="U485" s="14" t="str">
        <x:v>Не контактували</x:v>
      </x:c>
      <x:c r="V485" s="15" t="str">
        <x:v>Персоналізований free-pilot outreach по UA-2026-08-19-001541-a; попросити 1 пакет Н.14/Н.15</x:v>
      </x:c>
      <x:c r="W485" s="15" t="str">
        <x:v>Власник / директор; керівник ПТО; відповідальний за договори</x:v>
      </x:c>
      <x:c r="X485" s="15" t="str">
        <x:v>1 підтверджених перемог/договорів у Prozorro на 21 018 грн; 1 проєктів зі строком виконання не раніше 24.08.2026.</x:v>
      </x:c>
      <x:c r="Y485"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 строк до 2026-08-31. Попросити один знеособлений пакет здачі за цим workflow.</x:v>
      </x:c>
      <x:c r="Z485" s="15" t="str">
        <x:v>https://prozorro.gov.ua/tender/UA-2026-08-19-001541-a</x:v>
      </x:c>
      <x:c r="AA485" s="14" t="str">
        <x:v>42017273</x:v>
      </x:c>
      <x:c r="AB485" s="14" t="str">
        <x:v>2026-08-24</x:v>
      </x:c>
      <x:c r="AC485" s="14" t="str"/>
      <x:c r="AD485" s="20" t="str"/>
      <x:c r="AE485" s="14" t="str"/>
      <x:c r="AF485" s="14" t="n">
        <x:v>52</x:v>
      </x:c>
      <x:c r="AG485" s="14" t="str">
        <x:v>I3</x:v>
      </x:c>
      <x:c r="AH485" s="14" t="n">
        <x:v>1</x:v>
      </x:c>
      <x:c r="AI485" s="14" t="n">
        <x:v>1</x:v>
      </x:c>
      <x:c r="AJ485" s="18" t="n">
        <x:v>21018</x:v>
      </x:c>
      <x:c r="AK485" s="14" t="str">
        <x:v>https://prozorro.gov.ua/tender/UA-2026-08-19-001541-a</x:v>
      </x:c>
      <x:c r="AL485" s="19" t="n">
        <x:v>46253.29300803241</x:v>
      </x:c>
      <x:c r="AM485" s="19" t="n">
        <x:v>46265</x:v>
      </x:c>
      <x:c r="AN485" s="15" t="str">
        <x:v>HVAC / ОВіК</x:v>
      </x:c>
      <x:c r="AO485" s="15" t="str">
        <x:v>not_found_in_top_search</x:v>
      </x:c>
    </x:row>
    <x:row r="486">
      <x:c r="A486" s="14" t="str">
        <x:v>W3-214</x:v>
      </x:c>
      <x:c r="B486" s="14" t="str">
        <x:v>Prozorro winners — 24.08</x:v>
      </x:c>
      <x:c r="C486" s="14" t="str">
        <x:v>ТзОВ фірма "Аурас"</x:v>
      </x:c>
      <x:c r="D486" s="14" t="str">
        <x:v>Безпека / СКУД / CCTV</x:v>
      </x:c>
      <x:c r="E486" s="14" t="str">
        <x:v>Expansion discovery</x:v>
      </x:c>
      <x:c r="F486" s="17" t="str">
        <x:v>D3</x:v>
      </x:c>
      <x:c r="G486" s="14" t="str"/>
      <x:c r="H486" s="14" t="str">
        <x:v>Discovery розширення — 2 тижні</x:v>
      </x:c>
      <x:c r="I486" s="16" t="n">
        <x:v>1</x:v>
      </x:c>
      <x:c r="J486" s="16" t="n">
        <x:v>5</x:v>
      </x:c>
      <x:c r="K486" s="16" t="n">
        <x:v>4</x:v>
      </x:c>
      <x:c r="L486" s="16" t="n">
        <x:v>1</x:v>
      </x:c>
      <x:c r="M486" s="16" t="n">
        <x:v>5</x:v>
      </x:c>
      <x:c r="N486" s="16" t="n">
        <x:v>5</x:v>
      </x:c>
      <x:c r="O486" s="16" t="n">
        <x:v>5</x:v>
      </x:c>
      <x:c r="P486" s="16" t="n">
        <x:f>IF(COUNT(I486:O486)&lt;7,"",I486*8+J486*3+K486*2+L486*2+M486*2+N486*2+O486)</x:f>
        <x:v>58</x:v>
      </x:c>
      <x:c r="Q486" s="16" t="n">
        <x:f>IF(COUNT(J486:O486)&lt;6,"",J486*5+K486*4+M486*4+L486*3+N486*2+O486*2)</x:f>
        <x:v>84</x:v>
      </x:c>
      <x:c r="R486" s="14" t="str">
        <x:v>high</x:v>
      </x:c>
      <x:c r="S486" s="14" t="str">
        <x:v>official_prozorro_award_2025_2026</x:v>
      </x:c>
      <x:c r="T486" s="14" t="str">
        <x:v>official_prozorro_api</x:v>
      </x:c>
      <x:c r="U486" s="14" t="str">
        <x:v>Не контактували</x:v>
      </x:c>
      <x:c r="V486" s="15" t="str">
        <x:v>Повторне звернення з новим тендерним сигналом UA-2026-04-02-005254-a; попросити 1 пакет здачі</x:v>
      </x:c>
      <x:c r="W486" s="15" t="str">
        <x:v>Власник / директор; керівник ПТО; відповідальний за договори</x:v>
      </x:c>
      <x:c r="X486" s="15" t="str">
        <x:v>1 підтверджених перемог/договорів у Prozorro на 19 858 грн; 1 проєктів зі строком виконання не раніше 24.08.2026.</x:v>
      </x:c>
      <x:c r="Y486" s="15" t="str">
        <x:v>Послуги з монтажу системи відеоспостереження; строк до 2026-12-31. Попросити один знеособлений пакет здачі за цим workflow.</x:v>
      </x:c>
      <x:c r="Z486" s="15" t="str">
        <x:v>https://prozorro.gov.ua/tender/UA-2026-07-21-002192-a</x:v>
      </x:c>
      <x:c r="AA486" s="14" t="str">
        <x:v>13986474</x:v>
      </x:c>
      <x:c r="AB486" s="14" t="str">
        <x:v>2026-08-24</x:v>
      </x:c>
      <x:c r="AC486" s="14" t="str"/>
      <x:c r="AD486" s="20" t="str"/>
      <x:c r="AE486" s="14" t="str"/>
      <x:c r="AF486" s="14" t="n">
        <x:v>52</x:v>
      </x:c>
      <x:c r="AG486" s="14" t="str">
        <x:v>I3</x:v>
      </x:c>
      <x:c r="AH486" s="14" t="n">
        <x:v>2</x:v>
      </x:c>
      <x:c r="AI486" s="14" t="n">
        <x:v>2</x:v>
      </x:c>
      <x:c r="AJ486" s="18" t="n">
        <x:v>117861.6</x:v>
      </x:c>
      <x:c r="AK486" s="14" t="str">
        <x:v>https://prozorro.gov.ua/tender/UA-2026-04-02-005254-a</x:v>
      </x:c>
      <x:c r="AL486" s="19" t="n">
        <x:v>46114.37330743056</x:v>
      </x:c>
      <x:c r="AM486" s="19" t="n">
        <x:v>46387.41673611111</x:v>
      </x:c>
      <x:c r="AN486" s="15" t="str">
        <x:v>Безпека / СКУД / CCTV; Пожежогасіння</x:v>
      </x:c>
      <x:c r="AO486" s="15" t="str">
        <x:v>not_found_in_top_search</x:v>
      </x:c>
    </x:row>
    <x:row r="487">
      <x:c r="A487" s="14" t="str">
        <x:v>W3-215</x:v>
      </x:c>
      <x:c r="B487" s="14" t="str">
        <x:v>Prozorro winners — 24.08</x:v>
      </x:c>
      <x:c r="C487" s="14" t="str">
        <x:v>ТОВ "БРІКСТОУН"</x:v>
      </x:c>
      <x:c r="D487" s="14" t="str">
        <x:v>Безпека / СКУД / CCTV</x:v>
      </x:c>
      <x:c r="E487" s="14" t="str">
        <x:v>Expansion discovery</x:v>
      </x:c>
      <x:c r="F487" s="17" t="str">
        <x:v>D3</x:v>
      </x:c>
      <x:c r="G487" s="14" t="str"/>
      <x:c r="H487" s="14" t="str">
        <x:v>Discovery розширення — 2 тижні</x:v>
      </x:c>
      <x:c r="I487" s="16" t="n">
        <x:v>1</x:v>
      </x:c>
      <x:c r="J487" s="16" t="n">
        <x:v>5</x:v>
      </x:c>
      <x:c r="K487" s="16" t="n">
        <x:v>4</x:v>
      </x:c>
      <x:c r="L487" s="16" t="n">
        <x:v>1</x:v>
      </x:c>
      <x:c r="M487" s="16" t="n">
        <x:v>5</x:v>
      </x:c>
      <x:c r="N487" s="16" t="n">
        <x:v>5</x:v>
      </x:c>
      <x:c r="O487" s="16" t="n">
        <x:v>5</x:v>
      </x:c>
      <x:c r="P487" s="16" t="n">
        <x:f>IF(COUNT(I487:O487)&lt;7,"",I487*8+J487*3+K487*2+L487*2+M487*2+N487*2+O487)</x:f>
        <x:v>58</x:v>
      </x:c>
      <x:c r="Q487" s="16" t="n">
        <x:f>IF(COUNT(J487:O487)&lt;6,"",J487*5+K487*4+M487*4+L487*3+N487*2+O487*2)</x:f>
        <x:v>84</x:v>
      </x:c>
      <x:c r="R487" s="14" t="str">
        <x:v>high</x:v>
      </x:c>
      <x:c r="S487" s="14" t="str">
        <x:v>official_prozorro_award_2025_2026</x:v>
      </x:c>
      <x:c r="T487" s="14" t="str">
        <x:v>official_prozorro_api</x:v>
      </x:c>
      <x:c r="U487" s="14" t="str">
        <x:v>Не контактували</x:v>
      </x:c>
      <x:c r="V487" s="15" t="str">
        <x:v>Workflow-audit outreach по UA-2026-07-14-004448-a; попросити 1 пакет здачі та вимоги проєкту</x:v>
      </x:c>
      <x:c r="W487" s="15" t="str">
        <x:v>Власник / директор; керівник ПТО; відповідальний за договори</x:v>
      </x:c>
      <x:c r="X487" s="15" t="str">
        <x:v>1 підтверджених перемог/договорів у Prozorro на 19 830 грн; 1 проєктів зі строком виконання не раніше 24.08.2026.</x:v>
      </x:c>
      <x:c r="Y487" s="15" t="str">
        <x:v>Монтаж системи відеоспостереження (з матеріалів замовника); строк до 2026-12-31. Попросити один знеособлений пакет здачі за цим workflow.</x:v>
      </x:c>
      <x:c r="Z487" s="15" t="str">
        <x:v>https://prozorro.gov.ua/tender/UA-2026-07-14-004448-a</x:v>
      </x:c>
      <x:c r="AA487" s="14" t="str">
        <x:v>44263744</x:v>
      </x:c>
      <x:c r="AB487" s="14" t="str">
        <x:v>2026-08-24</x:v>
      </x:c>
      <x:c r="AC487" s="14" t="str"/>
      <x:c r="AD487" s="20" t="str"/>
      <x:c r="AE487" s="14" t="str"/>
      <x:c r="AF487" s="14" t="n">
        <x:v>52</x:v>
      </x:c>
      <x:c r="AG487" s="14" t="str">
        <x:v>I3</x:v>
      </x:c>
      <x:c r="AH487" s="14" t="n">
        <x:v>1</x:v>
      </x:c>
      <x:c r="AI487" s="14" t="n">
        <x:v>1</x:v>
      </x:c>
      <x:c r="AJ487" s="18" t="n">
        <x:v>19830</x:v>
      </x:c>
      <x:c r="AK487" s="14" t="str">
        <x:v>https://prozorro.gov.ua/tender/UA-2026-07-14-004448-a</x:v>
      </x:c>
      <x:c r="AL487" s="19" t="n">
        <x:v>46217.371219733795</x:v>
      </x:c>
      <x:c r="AM487" s="19" t="n">
        <x:v>46387</x:v>
      </x:c>
      <x:c r="AN487" s="15" t="str">
        <x:v>Безпека / СКУД / CCTV</x:v>
      </x:c>
      <x:c r="AO487" s="15" t="str">
        <x:v>not_found_in_top_search</x:v>
      </x:c>
    </x:row>
    <x:row r="488">
      <x:c r="A488" s="14" t="str">
        <x:v>W3-216</x:v>
      </x:c>
      <x:c r="B488" s="14" t="str">
        <x:v>Prozorro winners — 24.08</x:v>
      </x:c>
      <x:c r="C488" s="14" t="str">
        <x:v>ПАТ "Запоріжжяобленерго"</x:v>
      </x:c>
      <x:c r="D488" s="14" t="str">
        <x:v>Електромонтаж</x:v>
      </x:c>
      <x:c r="E488" s="14" t="str">
        <x:v>Pilot now</x:v>
      </x:c>
      <x:c r="F488" s="17" t="str">
        <x:v>P3</x:v>
      </x:c>
      <x:c r="G488" s="14" t="str"/>
      <x:c r="H488" s="14" t="str">
        <x:v>Пілот зараз — Н.15</x:v>
      </x:c>
      <x:c r="I488" s="16" t="n">
        <x:v>5</x:v>
      </x:c>
      <x:c r="J488" s="16" t="n">
        <x:v>5</x:v>
      </x:c>
      <x:c r="K488" s="16" t="n">
        <x:v>5</x:v>
      </x:c>
      <x:c r="L488" s="16" t="n">
        <x:v>1</x:v>
      </x:c>
      <x:c r="M488" s="16" t="n">
        <x:v>5</x:v>
      </x:c>
      <x:c r="N488" s="16" t="n">
        <x:v>5</x:v>
      </x:c>
      <x:c r="O488" s="16" t="n">
        <x:v>5</x:v>
      </x:c>
      <x:c r="P488" s="16" t="n">
        <x:f>IF(COUNT(I488:O488)&lt;7,"",I488*8+J488*3+K488*2+L488*2+M488*2+N488*2+O488)</x:f>
        <x:v>92</x:v>
      </x:c>
      <x:c r="Q488" s="16" t="n">
        <x:f>IF(COUNT(J488:O488)&lt;6,"",J488*5+K488*4+M488*4+L488*3+N488*2+O488*2)</x:f>
        <x:v>88</x:v>
      </x:c>
      <x:c r="R488" s="14" t="str">
        <x:v>high</x:v>
      </x:c>
      <x:c r="S488" s="14" t="str">
        <x:v>official_prozorro_award_2025_2026</x:v>
      </x:c>
      <x:c r="T488" s="14" t="str">
        <x:v>official_prozorro_api</x:v>
      </x:c>
      <x:c r="U488" s="14" t="str">
        <x:v>Не контактували</x:v>
      </x:c>
      <x:c r="V488" s="15" t="str">
        <x:v>Персоналізований free-pilot outreach по UA-2026-08-17-007157-a; попросити 1 пакет Н.14/Н.15</x:v>
      </x:c>
      <x:c r="W488" s="15" t="str">
        <x:v>Власник / директор; керівник ПТО; відповідальний за договори</x:v>
      </x:c>
      <x:c r="X488" s="15" t="str">
        <x:v>1 підтверджених перемог/договорів у Prozorro на 19 127 грн; 1 проєктів зі строком виконання не раніше 24.08.2026.</x:v>
      </x:c>
      <x:c r="Y488" s="15" t="str">
        <x:v>Електромонтажні роботи; строк до 2026-12-31. Попросити один знеособлений пакет здачі за цим workflow.</x:v>
      </x:c>
      <x:c r="Z488" s="15" t="str">
        <x:v>https://prozorro.gov.ua/tender/UA-2026-08-17-007157-a</x:v>
      </x:c>
      <x:c r="AA488" s="14" t="str">
        <x:v>00130926</x:v>
      </x:c>
      <x:c r="AB488" s="14" t="str">
        <x:v>2026-08-24</x:v>
      </x:c>
      <x:c r="AC488" s="14" t="str"/>
      <x:c r="AD488" s="20" t="str"/>
      <x:c r="AE488" s="14" t="str"/>
      <x:c r="AF488" s="14" t="n">
        <x:v>52</x:v>
      </x:c>
      <x:c r="AG488" s="14" t="str">
        <x:v>I3</x:v>
      </x:c>
      <x:c r="AH488" s="14" t="n">
        <x:v>1</x:v>
      </x:c>
      <x:c r="AI488" s="14" t="n">
        <x:v>1</x:v>
      </x:c>
      <x:c r="AJ488" s="18" t="n">
        <x:v>19127.3</x:v>
      </x:c>
      <x:c r="AK488" s="14" t="str">
        <x:v>https://prozorro.gov.ua/tender/UA-2026-08-17-007157-a</x:v>
      </x:c>
      <x:c r="AL488" s="19" t="n">
        <x:v>46251.470688472225</x:v>
      </x:c>
      <x:c r="AM488" s="19" t="n">
        <x:v>46387</x:v>
      </x:c>
      <x:c r="AN488" s="15" t="str">
        <x:v>Електромонтаж</x:v>
      </x:c>
      <x:c r="AO488" s="15" t="str">
        <x:v>not_found_in_top_search</x:v>
      </x:c>
    </x:row>
    <x:row r="489">
      <x:c r="A489" s="14" t="str">
        <x:v>W3-217</x:v>
      </x:c>
      <x:c r="B489" s="14" t="str">
        <x:v>Prozorro winners — 24.08</x:v>
      </x:c>
      <x:c r="C489" s="14" t="str">
        <x:v>ТОВ "УКРНОЛА</x:v>
      </x:c>
      <x:c r="D489" s="14" t="str">
        <x:v>Електромонтаж</x:v>
      </x:c>
      <x:c r="E489" s="14" t="str">
        <x:v>Pilot now</x:v>
      </x:c>
      <x:c r="F489" s="17" t="str">
        <x:v>P3</x:v>
      </x:c>
      <x:c r="G489" s="14" t="str"/>
      <x:c r="H489" s="14" t="str">
        <x:v>Пілот зараз — Н.15</x:v>
      </x:c>
      <x:c r="I489" s="16" t="n">
        <x:v>5</x:v>
      </x:c>
      <x:c r="J489" s="16" t="n">
        <x:v>5</x:v>
      </x:c>
      <x:c r="K489" s="16" t="n">
        <x:v>5</x:v>
      </x:c>
      <x:c r="L489" s="16" t="n">
        <x:v>1</x:v>
      </x:c>
      <x:c r="M489" s="16" t="n">
        <x:v>5</x:v>
      </x:c>
      <x:c r="N489" s="16" t="n">
        <x:v>5</x:v>
      </x:c>
      <x:c r="O489" s="16" t="n">
        <x:v>5</x:v>
      </x:c>
      <x:c r="P489" s="16" t="n">
        <x:f>IF(COUNT(I489:O489)&lt;7,"",I489*8+J489*3+K489*2+L489*2+M489*2+N489*2+O489)</x:f>
        <x:v>92</x:v>
      </x:c>
      <x:c r="Q489" s="16" t="n">
        <x:f>IF(COUNT(J489:O489)&lt;6,"",J489*5+K489*4+M489*4+L489*3+N489*2+O489*2)</x:f>
        <x:v>88</x:v>
      </x:c>
      <x:c r="R489" s="14" t="str">
        <x:v>high</x:v>
      </x:c>
      <x:c r="S489" s="14" t="str">
        <x:v>official_prozorro_award_2025_2026</x:v>
      </x:c>
      <x:c r="T489" s="14" t="str">
        <x:v>official_prozorro_api</x:v>
      </x:c>
      <x:c r="U489" s="14" t="str">
        <x:v>Не контактували</x:v>
      </x:c>
      <x:c r="V489" s="15" t="str">
        <x:v>Повторне звернення з новим тендерним сигналом UA-2026-07-08-002306-a; попросити 1 пакет здачі</x:v>
      </x:c>
      <x:c r="W489" s="15" t="str">
        <x:v>Власник / директор; керівник ПТО; відповідальний за договори</x:v>
      </x:c>
      <x:c r="X489" s="15" t="str">
        <x:v>1 підтверджених перемог/договорів у Prozorro на 18 488 грн; 1 проєктів зі строком виконання не раніше 24.08.2026.</x:v>
      </x:c>
      <x:c r="Y489" s="15" t="str">
        <x:v>Електромонтажні роботи; строк до 2026-08-31. Попросити один знеособлений пакет здачі за цим workflow.</x:v>
      </x:c>
      <x:c r="Z489" s="15" t="str">
        <x:v>https://prozorro.gov.ua/tender/UA-2026-08-04-001332-a</x:v>
      </x:c>
      <x:c r="AA489" s="14" t="str">
        <x:v>39038953</x:v>
      </x:c>
      <x:c r="AB489" s="14" t="str">
        <x:v>2026-08-24</x:v>
      </x:c>
      <x:c r="AC489" s="14" t="str"/>
      <x:c r="AD489" s="20" t="str"/>
      <x:c r="AE489" s="14" t="str"/>
      <x:c r="AF489" s="14" t="n">
        <x:v>52</x:v>
      </x:c>
      <x:c r="AG489" s="14" t="str">
        <x:v>I3</x:v>
      </x:c>
      <x:c r="AH489" s="14" t="n">
        <x:v>2</x:v>
      </x:c>
      <x:c r="AI489" s="14" t="n">
        <x:v>1</x:v>
      </x:c>
      <x:c r="AJ489" s="18" t="n">
        <x:v>58210.979999999996</x:v>
      </x:c>
      <x:c r="AK489" s="14" t="str">
        <x:v>https://prozorro.gov.ua/tender/UA-2026-07-08-002306-a</x:v>
      </x:c>
      <x:c r="AL489" s="19" t="n">
        <x:v>46211.315548391205</x:v>
      </x:c>
      <x:c r="AM489" s="19" t="n">
        <x:v>46234</x:v>
      </x:c>
      <x:c r="AN489" s="15" t="str">
        <x:v>Електромонтаж</x:v>
      </x:c>
      <x:c r="AO489" s="15" t="str">
        <x:v>not_found_in_top_search</x:v>
      </x:c>
    </x:row>
    <x:row r="490">
      <x:c r="A490" s="14" t="str">
        <x:v>W3-218</x:v>
      </x:c>
      <x:c r="B490" s="14" t="str">
        <x:v>Prozorro winners — 24.08</x:v>
      </x:c>
      <x:c r="C490" s="14" t="str">
        <x:v>Управління капітального будівництва Чернігівської обласної державної адміністрації</x:v>
      </x:c>
      <x:c r="D490" s="14" t="str">
        <x:v>Електромонтаж</x:v>
      </x:c>
      <x:c r="E490" s="14" t="str">
        <x:v>Pilot now</x:v>
      </x:c>
      <x:c r="F490" s="17" t="str">
        <x:v>P3</x:v>
      </x:c>
      <x:c r="G490" s="14" t="str"/>
      <x:c r="H490" s="14" t="str">
        <x:v>Пілот зараз — Н.15</x:v>
      </x:c>
      <x:c r="I490" s="16" t="n">
        <x:v>5</x:v>
      </x:c>
      <x:c r="J490" s="16" t="n">
        <x:v>5</x:v>
      </x:c>
      <x:c r="K490" s="16" t="n">
        <x:v>5</x:v>
      </x:c>
      <x:c r="L490" s="16" t="n">
        <x:v>1</x:v>
      </x:c>
      <x:c r="M490" s="16" t="n">
        <x:v>5</x:v>
      </x:c>
      <x:c r="N490" s="16" t="n">
        <x:v>5</x:v>
      </x:c>
      <x:c r="O490" s="16" t="n">
        <x:v>5</x:v>
      </x:c>
      <x:c r="P490" s="16" t="n">
        <x:f>IF(COUNT(I490:O490)&lt;7,"",I490*8+J490*3+K490*2+L490*2+M490*2+N490*2+O490)</x:f>
        <x:v>92</x:v>
      </x:c>
      <x:c r="Q490" s="16" t="n">
        <x:f>IF(COUNT(J490:O490)&lt;6,"",J490*5+K490*4+M490*4+L490*3+N490*2+O490*2)</x:f>
        <x:v>88</x:v>
      </x:c>
      <x:c r="R490" s="14" t="str">
        <x:v>high</x:v>
      </x:c>
      <x:c r="S490" s="14" t="str">
        <x:v>official_prozorro_award_2025_2026</x:v>
      </x:c>
      <x:c r="T490" s="14" t="str">
        <x:v>official_prozorro_api</x:v>
      </x:c>
      <x:c r="U490" s="14" t="str">
        <x:v>Не контактували</x:v>
      </x:c>
      <x:c r="V490" s="15" t="str">
        <x:v>Персоналізований free-pilot outreach по UA-2026-08-05-010064-a; попросити 1 пакет Н.14/Н.15</x:v>
      </x:c>
      <x:c r="W490" s="15" t="str">
        <x:v>Власник / директор; керівник ПТО; відповідальний за договори</x:v>
      </x:c>
      <x:c r="X490" s="15" t="str">
        <x:v>1 підтверджених перемог/договорів у Prozorro на 18 284 грн; 1 проєктів зі строком виконання не раніше 24.08.2026.</x:v>
      </x:c>
      <x:c r="Y490"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 строк до 2026-12-31. Попросити один знеособлений пакет здачі за цим workflow.</x:v>
      </x:c>
      <x:c r="Z490" s="15" t="str">
        <x:v>https://prozorro.gov.ua/tender/UA-2026-08-05-010064-a</x:v>
      </x:c>
      <x:c r="AA490" s="14" t="str">
        <x:v>04014246</x:v>
      </x:c>
      <x:c r="AB490" s="14" t="str">
        <x:v>2026-08-24</x:v>
      </x:c>
      <x:c r="AC490" s="14" t="str"/>
      <x:c r="AD490" s="20" t="str"/>
      <x:c r="AE490" s="14" t="str"/>
      <x:c r="AF490" s="14" t="n">
        <x:v>52</x:v>
      </x:c>
      <x:c r="AG490" s="14" t="str">
        <x:v>I3</x:v>
      </x:c>
      <x:c r="AH490" s="14" t="n">
        <x:v>1</x:v>
      </x:c>
      <x:c r="AI490" s="14" t="n">
        <x:v>1</x:v>
      </x:c>
      <x:c r="AJ490" s="18" t="n">
        <x:v>18283.8</x:v>
      </x:c>
      <x:c r="AK490" s="14" t="str">
        <x:v>https://prozorro.gov.ua/tender/UA-2026-08-05-010064-a</x:v>
      </x:c>
      <x:c r="AL490" s="19" t="n">
        <x:v>46239.532290717594</x:v>
      </x:c>
      <x:c r="AM490" s="19" t="n">
        <x:v>46387.57611111111</x:v>
      </x:c>
      <x:c r="AN490" s="15" t="str">
        <x:v>Електромонтаж</x:v>
      </x:c>
      <x:c r="AO490" s="15" t="str">
        <x:v>not_found_in_top_search</x:v>
      </x:c>
    </x:row>
    <x:row r="491">
      <x:c r="A491" s="14" t="str">
        <x:v>W3-219</x:v>
      </x:c>
      <x:c r="B491" s="14" t="str">
        <x:v>Prozorro winners — 24.08</x:v>
      </x:c>
      <x:c r="C491" s="14" t="str">
        <x:v>Товариство з бмеженою відповідальністю  "ГАРАНТ-ПРОЕКТ"</x:v>
      </x:c>
      <x:c r="D491" s="14" t="str">
        <x:v>Водоочищення / очисні споруди</x:v>
      </x:c>
      <x:c r="E491" s="14" t="str">
        <x:v>Expansion discovery</x:v>
      </x:c>
      <x:c r="F491" s="17" t="str">
        <x:v>D3</x:v>
      </x:c>
      <x:c r="G491" s="14" t="str"/>
      <x:c r="H491" s="14" t="str">
        <x:v>Discovery розширення — 2 тижні</x:v>
      </x:c>
      <x:c r="I491" s="16" t="n">
        <x:v>1</x:v>
      </x:c>
      <x:c r="J491" s="16" t="n">
        <x:v>5</x:v>
      </x:c>
      <x:c r="K491" s="16" t="n">
        <x:v>4</x:v>
      </x:c>
      <x:c r="L491" s="16" t="n">
        <x:v>1</x:v>
      </x:c>
      <x:c r="M491" s="16" t="n">
        <x:v>5</x:v>
      </x:c>
      <x:c r="N491" s="16" t="n">
        <x:v>5</x:v>
      </x:c>
      <x:c r="O491" s="16" t="n">
        <x:v>5</x:v>
      </x:c>
      <x:c r="P491" s="16" t="n">
        <x:f>IF(COUNT(I491:O491)&lt;7,"",I491*8+J491*3+K491*2+L491*2+M491*2+N491*2+O491)</x:f>
        <x:v>58</x:v>
      </x:c>
      <x:c r="Q491" s="16" t="n">
        <x:f>IF(COUNT(J491:O491)&lt;6,"",J491*5+K491*4+M491*4+L491*3+N491*2+O491*2)</x:f>
        <x:v>84</x:v>
      </x:c>
      <x:c r="R491" s="14" t="str">
        <x:v>high</x:v>
      </x:c>
      <x:c r="S491" s="14" t="str">
        <x:v>official_prozorro_award_2025_2026</x:v>
      </x:c>
      <x:c r="T491" s="14" t="str">
        <x:v>official_prozorro_api</x:v>
      </x:c>
      <x:c r="U491" s="14" t="str">
        <x:v>Не контактували</x:v>
      </x:c>
      <x:c r="V491" s="15" t="str">
        <x:v>Workflow-audit outreach по UA-2026-07-22-007284-a; попросити 1 пакет здачі та вимоги проєкту</x:v>
      </x:c>
      <x:c r="W491" s="15" t="str">
        <x:v>Власник / директор; керівник ПТО; відповідальний за договори</x:v>
      </x:c>
      <x:c r="X491" s="15" t="str">
        <x:v>1 підтверджених перемог/договорів у Prozorro на 17 800 грн; 1 проєктів зі строком виконання не раніше 24.08.2026.</x:v>
      </x:c>
      <x:c r="Y491"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 строк до 2026-12-31. Попросити один знеособлений пакет здачі за цим workflow.</x:v>
      </x:c>
      <x:c r="Z491" s="15" t="str">
        <x:v>https://prozorro.gov.ua/tender/UA-2026-07-22-007284-a</x:v>
      </x:c>
      <x:c r="AA491" s="14" t="str">
        <x:v>40371313</x:v>
      </x:c>
      <x:c r="AB491" s="14" t="str">
        <x:v>2026-08-24</x:v>
      </x:c>
      <x:c r="AC491" s="14" t="str"/>
      <x:c r="AD491" s="20" t="str"/>
      <x:c r="AE491" s="14" t="str"/>
      <x:c r="AF491" s="14" t="n">
        <x:v>52</x:v>
      </x:c>
      <x:c r="AG491" s="14" t="str">
        <x:v>I3</x:v>
      </x:c>
      <x:c r="AH491" s="14" t="n">
        <x:v>1</x:v>
      </x:c>
      <x:c r="AI491" s="14" t="n">
        <x:v>1</x:v>
      </x:c>
      <x:c r="AJ491" s="18" t="n">
        <x:v>17800</x:v>
      </x:c>
      <x:c r="AK491" s="14" t="str">
        <x:v>https://prozorro.gov.ua/tender/UA-2026-07-22-007284-a</x:v>
      </x:c>
      <x:c r="AL491" s="19" t="n">
        <x:v>46225.48594824074</x:v>
      </x:c>
      <x:c r="AM491" s="19" t="n">
        <x:v>46387</x:v>
      </x:c>
      <x:c r="AN491" s="15" t="str">
        <x:v>Водоочищення / очисні споруди</x:v>
      </x:c>
      <x:c r="AO491" s="15" t="str">
        <x:v>not_found_in_top_search</x:v>
      </x:c>
    </x:row>
    <x:row r="492">
      <x:c r="A492" s="14" t="str">
        <x:v>W3-220</x:v>
      </x:c>
      <x:c r="B492" s="14" t="str">
        <x:v>Prozorro winners — 24.08</x:v>
      </x:c>
      <x:c r="C492" s="14" t="str">
        <x:v>ТОВАРИСТВО З ОБМЕЖЕНОЮ ВІДПОВІДАЛЬНІСТЮ "СУЧАСНІ ВИМІРИ ОПОРУ ІЗОЛЯЦІЇ"</x:v>
      </x:c>
      <x:c r="D492" s="14" t="str">
        <x:v>Електромонтаж</x:v>
      </x:c>
      <x:c r="E492" s="14" t="str">
        <x:v>Pilot now</x:v>
      </x:c>
      <x:c r="F492" s="17" t="str">
        <x:v>P3</x:v>
      </x:c>
      <x:c r="G492" s="14" t="str"/>
      <x:c r="H492" s="14" t="str">
        <x:v>Пілот зараз — Н.15</x:v>
      </x:c>
      <x:c r="I492" s="16" t="n">
        <x:v>5</x:v>
      </x:c>
      <x:c r="J492" s="16" t="n">
        <x:v>5</x:v>
      </x:c>
      <x:c r="K492" s="16" t="n">
        <x:v>5</x:v>
      </x:c>
      <x:c r="L492" s="16" t="n">
        <x:v>1</x:v>
      </x:c>
      <x:c r="M492" s="16" t="n">
        <x:v>5</x:v>
      </x:c>
      <x:c r="N492" s="16" t="n">
        <x:v>5</x:v>
      </x:c>
      <x:c r="O492" s="16" t="n">
        <x:v>5</x:v>
      </x:c>
      <x:c r="P492" s="16" t="n">
        <x:f>IF(COUNT(I492:O492)&lt;7,"",I492*8+J492*3+K492*2+L492*2+M492*2+N492*2+O492)</x:f>
        <x:v>92</x:v>
      </x:c>
      <x:c r="Q492" s="16" t="n">
        <x:f>IF(COUNT(J492:O492)&lt;6,"",J492*5+K492*4+M492*4+L492*3+N492*2+O492*2)</x:f>
        <x:v>88</x:v>
      </x:c>
      <x:c r="R492" s="14" t="str">
        <x:v>high</x:v>
      </x:c>
      <x:c r="S492" s="14" t="str">
        <x:v>official_prozorro_award_2025_2026</x:v>
      </x:c>
      <x:c r="T492" s="14" t="str">
        <x:v>official_prozorro_api</x:v>
      </x:c>
      <x:c r="U492" s="14" t="str">
        <x:v>Не контактували</x:v>
      </x:c>
      <x:c r="V492" s="15" t="str">
        <x:v>Персоналізований free-pilot outreach по UA-2026-07-17-010021-a; попросити 1 пакет Н.14/Н.15</x:v>
      </x:c>
      <x:c r="W492" s="15" t="str">
        <x:v>Власник / директор; керівник ПТО; відповідальний за договори</x:v>
      </x:c>
      <x:c r="X492" s="15" t="str">
        <x:v>1 підтверджених перемог/договорів у Prozorro на 17 000 грн; 1 проєктів зі строком виконання не раніше 24.08.2026.</x:v>
      </x:c>
      <x:c r="Y492"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 строк до 2026-12-31. Попросити один знеособлений пакет здачі за цим workflow.</x:v>
      </x:c>
      <x:c r="Z492" s="15" t="str">
        <x:v>https://prozorro.gov.ua/tender/UA-2026-07-17-010021-a</x:v>
      </x:c>
      <x:c r="AA492" s="14" t="str">
        <x:v>40813004</x:v>
      </x:c>
      <x:c r="AB492" s="14" t="str">
        <x:v>2026-08-24</x:v>
      </x:c>
      <x:c r="AC492" s="14" t="str"/>
      <x:c r="AD492" s="20" t="str"/>
      <x:c r="AE492" s="14" t="str"/>
      <x:c r="AF492" s="14" t="n">
        <x:v>52</x:v>
      </x:c>
      <x:c r="AG492" s="14" t="str">
        <x:v>I3</x:v>
      </x:c>
      <x:c r="AH492" s="14" t="n">
        <x:v>1</x:v>
      </x:c>
      <x:c r="AI492" s="14" t="n">
        <x:v>1</x:v>
      </x:c>
      <x:c r="AJ492" s="18" t="n">
        <x:v>17000</x:v>
      </x:c>
      <x:c r="AK492" s="14" t="str">
        <x:v>https://prozorro.gov.ua/tender/UA-2026-07-17-010021-a</x:v>
      </x:c>
      <x:c r="AL492" s="19" t="n">
        <x:v>46220.56454997685</x:v>
      </x:c>
      <x:c r="AM492" s="19" t="n">
        <x:v>46387</x:v>
      </x:c>
      <x:c r="AN492" s="15" t="str">
        <x:v>Електромонтаж</x:v>
      </x:c>
      <x:c r="AO492" s="15" t="str">
        <x:v>not_found_in_top_search</x:v>
      </x:c>
    </x:row>
    <x:row r="493">
      <x:c r="A493" s="14" t="str">
        <x:v>W3-221</x:v>
      </x:c>
      <x:c r="B493" s="14" t="str">
        <x:v>Prozorro winners — 24.08</x:v>
      </x:c>
      <x:c r="C493" s="14" t="str">
        <x:v>АКЦІОНЕРНЕ ТОВАРИСТВО "СУМИОБЛЕНЕРГО"</x:v>
      </x:c>
      <x:c r="D493" s="14" t="str">
        <x:v>Електромонтаж</x:v>
      </x:c>
      <x:c r="E493" s="14" t="str">
        <x:v>Pilot now</x:v>
      </x:c>
      <x:c r="F493" s="17" t="str">
        <x:v>P3</x:v>
      </x:c>
      <x:c r="G493" s="14" t="str"/>
      <x:c r="H493" s="14" t="str">
        <x:v>Пілот зараз — Н.15</x:v>
      </x:c>
      <x:c r="I493" s="16" t="n">
        <x:v>5</x:v>
      </x:c>
      <x:c r="J493" s="16" t="n">
        <x:v>5</x:v>
      </x:c>
      <x:c r="K493" s="16" t="n">
        <x:v>5</x:v>
      </x:c>
      <x:c r="L493" s="16" t="n">
        <x:v>1</x:v>
      </x:c>
      <x:c r="M493" s="16" t="n">
        <x:v>5</x:v>
      </x:c>
      <x:c r="N493" s="16" t="n">
        <x:v>5</x:v>
      </x:c>
      <x:c r="O493" s="16" t="n">
        <x:v>5</x:v>
      </x:c>
      <x:c r="P493" s="16" t="n">
        <x:f>IF(COUNT(I493:O493)&lt;7,"",I493*8+J493*3+K493*2+L493*2+M493*2+N493*2+O493)</x:f>
        <x:v>92</x:v>
      </x:c>
      <x:c r="Q493" s="16" t="n">
        <x:f>IF(COUNT(J493:O493)&lt;6,"",J493*5+K493*4+M493*4+L493*3+N493*2+O493*2)</x:f>
        <x:v>88</x:v>
      </x:c>
      <x:c r="R493" s="14" t="str">
        <x:v>high</x:v>
      </x:c>
      <x:c r="S493" s="14" t="str">
        <x:v>official_prozorro_award_2025_2026</x:v>
      </x:c>
      <x:c r="T493" s="14" t="str">
        <x:v>official_prozorro_api</x:v>
      </x:c>
      <x:c r="U493" s="14" t="str">
        <x:v>Не контактували</x:v>
      </x:c>
      <x:c r="V493" s="15" t="str">
        <x:v>Повторне звернення з новим тендерним сигналом UA-2026-07-15-008235-a; попросити 1 пакет здачі</x:v>
      </x:c>
      <x:c r="W493" s="15" t="str">
        <x:v>Власник / директор; керівник ПТО; відповідальний за договори</x:v>
      </x:c>
      <x:c r="X493" s="15" t="str">
        <x:v>1 підтверджених перемог/договорів у Prozorro на 16 796 грн; 1 проєктів зі строком виконання не раніше 24.08.2026.</x:v>
      </x:c>
      <x:c r="Y493" s="15" t="str">
        <x:v>Електромонтажні роботи; строк до 2026-12-31. Попросити один знеособлений пакет здачі за цим workflow.</x:v>
      </x:c>
      <x:c r="Z493" s="15" t="str">
        <x:v>https://prozorro.gov.ua/tender/UA-2026-08-14-000973-a</x:v>
      </x:c>
      <x:c r="AA493" s="14" t="str">
        <x:v>23293513</x:v>
      </x:c>
      <x:c r="AB493" s="14" t="str">
        <x:v>2026-08-24</x:v>
      </x:c>
      <x:c r="AC493" s="14" t="str"/>
      <x:c r="AD493" s="20" t="str"/>
      <x:c r="AE493" s="14" t="str"/>
      <x:c r="AF493" s="14" t="n">
        <x:v>52</x:v>
      </x:c>
      <x:c r="AG493" s="14" t="str">
        <x:v>I3</x:v>
      </x:c>
      <x:c r="AH493" s="14" t="n">
        <x:v>2</x:v>
      </x:c>
      <x:c r="AI493" s="14" t="n">
        <x:v>2</x:v>
      </x:c>
      <x:c r="AJ493" s="18" t="n">
        <x:v>78114.88</x:v>
      </x:c>
      <x:c r="AK493" s="14" t="str">
        <x:v>https://prozorro.gov.ua/tender/UA-2026-07-15-008235-a</x:v>
      </x:c>
      <x:c r="AL493" s="19" t="n">
        <x:v>46218.52167177083</x:v>
      </x:c>
      <x:c r="AM493" s="19" t="n">
        <x:v>46577.52166666667</x:v>
      </x:c>
      <x:c r="AN493" s="15" t="str">
        <x:v>Електромонтаж</x:v>
      </x:c>
      <x:c r="AO493" s="15" t="str">
        <x:v>not_found_in_top_search</x:v>
      </x:c>
    </x:row>
    <x:row r="494">
      <x:c r="A494" s="14" t="str">
        <x:v>W3-222</x:v>
      </x:c>
      <x:c r="B494" s="14" t="str">
        <x:v>Prozorro winners — 24.08</x:v>
      </x:c>
      <x:c r="C494" s="14" t="str">
        <x:v>ТОВАРИСТВО З ОБМЕЖЕНОЮ ВІДПОВІДАЛЬНІСТЮ "Сервіс-Енерго ГП"</x:v>
      </x:c>
      <x:c r="D494" s="14" t="str">
        <x:v>Резервне живлення</x:v>
      </x:c>
      <x:c r="E494" s="14" t="str">
        <x:v>Expansion discovery</x:v>
      </x:c>
      <x:c r="F494" s="17" t="str">
        <x:v>D3</x:v>
      </x:c>
      <x:c r="G494" s="14" t="str"/>
      <x:c r="H494" s="14" t="str">
        <x:v>Discovery розширення — 2 тижні</x:v>
      </x:c>
      <x:c r="I494" s="16" t="n">
        <x:v>1</x:v>
      </x:c>
      <x:c r="J494" s="16" t="n">
        <x:v>5</x:v>
      </x:c>
      <x:c r="K494" s="16" t="n">
        <x:v>4</x:v>
      </x:c>
      <x:c r="L494" s="16" t="n">
        <x:v>1</x:v>
      </x:c>
      <x:c r="M494" s="16" t="n">
        <x:v>5</x:v>
      </x:c>
      <x:c r="N494" s="16" t="n">
        <x:v>5</x:v>
      </x:c>
      <x:c r="O494" s="16" t="n">
        <x:v>5</x:v>
      </x:c>
      <x:c r="P494" s="16" t="n">
        <x:f>IF(COUNT(I494:O494)&lt;7,"",I494*8+J494*3+K494*2+L494*2+M494*2+N494*2+O494)</x:f>
        <x:v>58</x:v>
      </x:c>
      <x:c r="Q494" s="16" t="n">
        <x:f>IF(COUNT(J494:O494)&lt;6,"",J494*5+K494*4+M494*4+L494*3+N494*2+O494*2)</x:f>
        <x:v>84</x:v>
      </x:c>
      <x:c r="R494" s="14" t="str">
        <x:v>high</x:v>
      </x:c>
      <x:c r="S494" s="14" t="str">
        <x:v>official_prozorro_award_2025_2026</x:v>
      </x:c>
      <x:c r="T494" s="14" t="str">
        <x:v>official_prozorro_api</x:v>
      </x:c>
      <x:c r="U494" s="14" t="str">
        <x:v>Не контактували</x:v>
      </x:c>
      <x:c r="V494" s="15" t="str">
        <x:v>Workflow-audit outreach по UA-2026-08-12-008128-a; попросити 1 пакет здачі та вимоги проєкту</x:v>
      </x:c>
      <x:c r="W494" s="15" t="str">
        <x:v>Власник / директор; керівник ПТО; відповідальний за договори</x:v>
      </x:c>
      <x:c r="X494" s="15" t="str">
        <x:v>1 підтверджених перемог/договорів у Prozorro на 15 000 грн; 1 проєктів зі строком виконання не раніше 24.08.2026.</x:v>
      </x:c>
      <x:c r="Y494" s="15" t="str">
        <x:v>Послуги з монтажу системи безперебійного живлення ; строк до 2026-12-31. Попросити один знеособлений пакет здачі за цим workflow.</x:v>
      </x:c>
      <x:c r="Z494" s="15" t="str">
        <x:v>https://prozorro.gov.ua/tender/UA-2026-08-12-008128-a</x:v>
      </x:c>
      <x:c r="AA494" s="14" t="str">
        <x:v>45230840</x:v>
      </x:c>
      <x:c r="AB494" s="14" t="str">
        <x:v>2026-08-24</x:v>
      </x:c>
      <x:c r="AC494" s="14" t="str"/>
      <x:c r="AD494" s="20" t="str"/>
      <x:c r="AE494" s="14" t="str"/>
      <x:c r="AF494" s="14" t="n">
        <x:v>52</x:v>
      </x:c>
      <x:c r="AG494" s="14" t="str">
        <x:v>I3</x:v>
      </x:c>
      <x:c r="AH494" s="14" t="n">
        <x:v>1</x:v>
      </x:c>
      <x:c r="AI494" s="14" t="n">
        <x:v>1</x:v>
      </x:c>
      <x:c r="AJ494" s="18" t="n">
        <x:v>15000</x:v>
      </x:c>
      <x:c r="AK494" s="14" t="str">
        <x:v>https://prozorro.gov.ua/tender/UA-2026-08-12-008128-a</x:v>
      </x:c>
      <x:c r="AL494" s="19" t="n">
        <x:v>46246.497839027776</x:v>
      </x:c>
      <x:c r="AM494" s="19" t="n">
        <x:v>46387</x:v>
      </x:c>
      <x:c r="AN494" s="15" t="str">
        <x:v>Резервне живлення</x:v>
      </x:c>
      <x:c r="AO494" s="15" t="str">
        <x:v>not_found_in_top_search</x:v>
      </x:c>
    </x:row>
    <x:row r="495">
      <x:c r="A495" s="14" t="str">
        <x:v>W3-223</x:v>
      </x:c>
      <x:c r="B495" s="14" t="str">
        <x:v>Prozorro winners — 24.08</x:v>
      </x:c>
      <x:c r="C495" s="14" t="str">
        <x:v>ТОВАРИСТВО З ОБМЕЖЕНОЮ ВІДПОВІДАЛЬНІСТЮ "АКРО ІНЖИНІРИНГ"</x:v>
      </x:c>
      <x:c r="D495" s="14" t="str">
        <x:v>Пожежогасіння</x:v>
      </x:c>
      <x:c r="E495" s="14" t="str">
        <x:v>Expansion discovery</x:v>
      </x:c>
      <x:c r="F495" s="17" t="str">
        <x:v>D3</x:v>
      </x:c>
      <x:c r="G495" s="14" t="str"/>
      <x:c r="H495" s="14" t="str">
        <x:v>Discovery розширення — 2 тижні</x:v>
      </x:c>
      <x:c r="I495" s="16" t="n">
        <x:v>1</x:v>
      </x:c>
      <x:c r="J495" s="16" t="n">
        <x:v>5</x:v>
      </x:c>
      <x:c r="K495" s="16" t="n">
        <x:v>4</x:v>
      </x:c>
      <x:c r="L495" s="16" t="n">
        <x:v>1</x:v>
      </x:c>
      <x:c r="M495" s="16" t="n">
        <x:v>5</x:v>
      </x:c>
      <x:c r="N495" s="16" t="n">
        <x:v>5</x:v>
      </x:c>
      <x:c r="O495" s="16" t="n">
        <x:v>5</x:v>
      </x:c>
      <x:c r="P495" s="16" t="n">
        <x:f>IF(COUNT(I495:O495)&lt;7,"",I495*8+J495*3+K495*2+L495*2+M495*2+N495*2+O495)</x:f>
        <x:v>58</x:v>
      </x:c>
      <x:c r="Q495" s="16" t="n">
        <x:f>IF(COUNT(J495:O495)&lt;6,"",J495*5+K495*4+M495*4+L495*3+N495*2+O495*2)</x:f>
        <x:v>84</x:v>
      </x:c>
      <x:c r="R495" s="14" t="str">
        <x:v>high</x:v>
      </x:c>
      <x:c r="S495" s="14" t="str">
        <x:v>official_prozorro_award_2025_2026</x:v>
      </x:c>
      <x:c r="T495" s="14" t="str">
        <x:v>official_prozorro_api</x:v>
      </x:c>
      <x:c r="U495" s="14" t="str">
        <x:v>Не контактували</x:v>
      </x:c>
      <x:c r="V495" s="15" t="str">
        <x:v>Workflow-audit outreach по UA-2026-08-12-005434-a; попросити 1 пакет здачі та вимоги проєкту</x:v>
      </x:c>
      <x:c r="W495" s="15" t="str">
        <x:v>Власник / директор; керівник ПТО; відповідальний за договори</x:v>
      </x:c>
      <x:c r="X495" s="15" t="str">
        <x:v>1 підтверджених перемог/договорів у Prozorro на 12 450 грн; 1 проєктів зі строком виконання не раніше 24.08.2026.</x:v>
      </x:c>
      <x:c r="Y495" s="15" t="str">
        <x:v>Послуги з виготовлення проектно – кошторисної документації монтажу системи пожежної сигналізації та керування евакуюванням будівлі №17/53; строк до 2026-09-25. Попросити один знеособлений пакет здачі за цим workflow.</x:v>
      </x:c>
      <x:c r="Z495" s="15" t="str">
        <x:v>https://prozorro.gov.ua/tender/UA-2026-08-12-005434-a</x:v>
      </x:c>
      <x:c r="AA495" s="14" t="str">
        <x:v>42590106</x:v>
      </x:c>
      <x:c r="AB495" s="14" t="str">
        <x:v>2026-08-24</x:v>
      </x:c>
      <x:c r="AC495" s="14" t="str"/>
      <x:c r="AD495" s="20" t="str"/>
      <x:c r="AE495" s="14" t="str"/>
      <x:c r="AF495" s="14" t="n">
        <x:v>52</x:v>
      </x:c>
      <x:c r="AG495" s="14" t="str">
        <x:v>I3</x:v>
      </x:c>
      <x:c r="AH495" s="14" t="n">
        <x:v>1</x:v>
      </x:c>
      <x:c r="AI495" s="14" t="n">
        <x:v>1</x:v>
      </x:c>
      <x:c r="AJ495" s="18" t="n">
        <x:v>12450</x:v>
      </x:c>
      <x:c r="AK495" s="14" t="str">
        <x:v>https://prozorro.gov.ua/tender/UA-2026-08-12-005434-a</x:v>
      </x:c>
      <x:c r="AL495" s="19" t="n">
        <x:v>46255.494910104164</x:v>
      </x:c>
      <x:c r="AM495" s="19" t="n">
        <x:v>46290</x:v>
      </x:c>
      <x:c r="AN495" s="15" t="str">
        <x:v>Пожежогасіння</x:v>
      </x:c>
      <x:c r="AO495" s="15" t="str">
        <x:v>not_found_in_top_search</x:v>
      </x:c>
    </x:row>
    <x:row r="496">
      <x:c r="A496" s="14" t="str">
        <x:v>W3-224</x:v>
      </x:c>
      <x:c r="B496" s="14" t="str">
        <x:v>Prozorro winners — 24.08</x:v>
      </x:c>
      <x:c r="C496" s="14" t="str">
        <x:v>ТОВ "КСК ІНЖИНІРИНГ"</x:v>
      </x:c>
      <x:c r="D496" s="14" t="str">
        <x:v>Електромонтаж</x:v>
      </x:c>
      <x:c r="E496" s="14" t="str">
        <x:v>Pilot now</x:v>
      </x:c>
      <x:c r="F496" s="17" t="str">
        <x:v>P3</x:v>
      </x:c>
      <x:c r="G496" s="14" t="str"/>
      <x:c r="H496" s="14" t="str">
        <x:v>Пілот зараз — Н.15</x:v>
      </x:c>
      <x:c r="I496" s="16" t="n">
        <x:v>5</x:v>
      </x:c>
      <x:c r="J496" s="16" t="n">
        <x:v>5</x:v>
      </x:c>
      <x:c r="K496" s="16" t="n">
        <x:v>5</x:v>
      </x:c>
      <x:c r="L496" s="16" t="n">
        <x:v>1</x:v>
      </x:c>
      <x:c r="M496" s="16" t="n">
        <x:v>5</x:v>
      </x:c>
      <x:c r="N496" s="16" t="n">
        <x:v>5</x:v>
      </x:c>
      <x:c r="O496" s="16" t="n">
        <x:v>5</x:v>
      </x:c>
      <x:c r="P496" s="16" t="n">
        <x:f>IF(COUNT(I496:O496)&lt;7,"",I496*8+J496*3+K496*2+L496*2+M496*2+N496*2+O496)</x:f>
        <x:v>92</x:v>
      </x:c>
      <x:c r="Q496" s="16" t="n">
        <x:f>IF(COUNT(J496:O496)&lt;6,"",J496*5+K496*4+M496*4+L496*3+N496*2+O496*2)</x:f>
        <x:v>88</x:v>
      </x:c>
      <x:c r="R496" s="14" t="str">
        <x:v>high</x:v>
      </x:c>
      <x:c r="S496" s="14" t="str">
        <x:v>official_prozorro_award_2025_2026</x:v>
      </x:c>
      <x:c r="T496" s="14" t="str">
        <x:v>official_prozorro_api</x:v>
      </x:c>
      <x:c r="U496" s="14" t="str">
        <x:v>Не контактували</x:v>
      </x:c>
      <x:c r="V496" s="15" t="str">
        <x:v>Персоналізований free-pilot outreach по UA-2026-07-22-004999-a; попросити 1 пакет Н.14/Н.15</x:v>
      </x:c>
      <x:c r="W496" s="15" t="str">
        <x:v>Власник / директор; керівник ПТО; відповідальний за договори</x:v>
      </x:c>
      <x:c r="X496" s="15" t="str">
        <x:v>1 підтверджених перемог/договорів у Prozorro на 9 185 грн; 1 проєктів зі строком виконання не раніше 24.08.2026.</x:v>
      </x:c>
      <x:c r="Y496" s="15" t="str">
        <x:v>Електромонтажні роботи; строк до 2026-12-31. Попросити один знеособлений пакет здачі за цим workflow.</x:v>
      </x:c>
      <x:c r="Z496" s="15" t="str">
        <x:v>https://prozorro.gov.ua/tender/UA-2026-07-22-004999-a</x:v>
      </x:c>
      <x:c r="AA496" s="14" t="str">
        <x:v>43984787</x:v>
      </x:c>
      <x:c r="AB496" s="14" t="str">
        <x:v>2026-08-24</x:v>
      </x:c>
      <x:c r="AC496" s="14" t="str"/>
      <x:c r="AD496" s="20" t="str"/>
      <x:c r="AE496" s="14" t="str"/>
      <x:c r="AF496" s="14" t="n">
        <x:v>52</x:v>
      </x:c>
      <x:c r="AG496" s="14" t="str">
        <x:v>I3</x:v>
      </x:c>
      <x:c r="AH496" s="14" t="n">
        <x:v>1</x:v>
      </x:c>
      <x:c r="AI496" s="14" t="n">
        <x:v>1</x:v>
      </x:c>
      <x:c r="AJ496" s="18" t="n">
        <x:v>9185</x:v>
      </x:c>
      <x:c r="AK496" s="14" t="str">
        <x:v>https://prozorro.gov.ua/tender/UA-2026-07-22-004999-a</x:v>
      </x:c>
      <x:c r="AL496" s="19" t="n">
        <x:v>46225.40387611111</x:v>
      </x:c>
      <x:c r="AM496" s="19" t="n">
        <x:v>46387.447118055556</x:v>
      </x:c>
      <x:c r="AN496" s="15" t="str">
        <x:v>Електромонтаж</x:v>
      </x:c>
      <x:c r="AO496" s="15" t="str">
        <x:v>not_found_in_top_search</x:v>
      </x:c>
    </x:row>
    <x:row r="497">
      <x:c r="A497" s="14" t="str">
        <x:v>W3-225</x:v>
      </x:c>
      <x:c r="B497" s="14" t="str">
        <x:v>Prozorro winners — 24.08</x:v>
      </x:c>
      <x:c r="C497" s="14" t="str">
        <x:v>ТОВАРИСТВО З ОБМЕЖЕНОЮ ВІДПОВІДАЛЬНІСТЮ "АРХБІТР"</x:v>
      </x:c>
      <x:c r="D497" s="14" t="str">
        <x:v>Водоочищення / очисні споруди</x:v>
      </x:c>
      <x:c r="E497" s="14" t="str">
        <x:v>Expansion discovery</x:v>
      </x:c>
      <x:c r="F497" s="17" t="str">
        <x:v>D3</x:v>
      </x:c>
      <x:c r="G497" s="14" t="str"/>
      <x:c r="H497" s="14" t="str">
        <x:v>Discovery розширення — 2 тижні</x:v>
      </x:c>
      <x:c r="I497" s="16" t="n">
        <x:v>1</x:v>
      </x:c>
      <x:c r="J497" s="16" t="n">
        <x:v>5</x:v>
      </x:c>
      <x:c r="K497" s="16" t="n">
        <x:v>4</x:v>
      </x:c>
      <x:c r="L497" s="16" t="n">
        <x:v>1</x:v>
      </x:c>
      <x:c r="M497" s="16" t="n">
        <x:v>5</x:v>
      </x:c>
      <x:c r="N497" s="16" t="n">
        <x:v>5</x:v>
      </x:c>
      <x:c r="O497" s="16" t="n">
        <x:v>5</x:v>
      </x:c>
      <x:c r="P497" s="16" t="n">
        <x:f>IF(COUNT(I497:O497)&lt;7,"",I497*8+J497*3+K497*2+L497*2+M497*2+N497*2+O497)</x:f>
        <x:v>58</x:v>
      </x:c>
      <x:c r="Q497" s="16" t="n">
        <x:f>IF(COUNT(J497:O497)&lt;6,"",J497*5+K497*4+M497*4+L497*3+N497*2+O497*2)</x:f>
        <x:v>84</x:v>
      </x:c>
      <x:c r="R497" s="14" t="str">
        <x:v>high</x:v>
      </x:c>
      <x:c r="S497" s="14" t="str">
        <x:v>official_prozorro_award_2025_2026</x:v>
      </x:c>
      <x:c r="T497" s="14" t="str">
        <x:v>official_prozorro_api</x:v>
      </x:c>
      <x:c r="U497" s="14" t="str">
        <x:v>Не контактували</x:v>
      </x:c>
      <x:c r="V497" s="15" t="str">
        <x:v>Workflow-audit outreach по UA-2026-08-18-002041-a; попросити 1 пакет здачі та вимоги проєкту</x:v>
      </x:c>
      <x:c r="W497" s="15" t="str">
        <x:v>Власник / директор; керівник ПТО; відповідальний за договори</x:v>
      </x:c>
      <x:c r="X497" s="15" t="str">
        <x:v>1 підтверджених перемог/договорів у Prozorro на 9 000 грн; 1 проєктів зі строком виконання не раніше 24.08.2026.</x:v>
      </x:c>
      <x:c r="Y497"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 строк до 2026-12-31. Попросити один знеособлений пакет здачі за цим workflow.</x:v>
      </x:c>
      <x:c r="Z497" s="15" t="str">
        <x:v>https://prozorro.gov.ua/tender/UA-2026-08-18-002041-a</x:v>
      </x:c>
      <x:c r="AA497" s="14" t="str">
        <x:v>46058837</x:v>
      </x:c>
      <x:c r="AB497" s="14" t="str">
        <x:v>2026-08-24</x:v>
      </x:c>
      <x:c r="AC497" s="14" t="str"/>
      <x:c r="AD497" s="20" t="str"/>
      <x:c r="AE497" s="14" t="str"/>
      <x:c r="AF497" s="14" t="n">
        <x:v>52</x:v>
      </x:c>
      <x:c r="AG497" s="14" t="str">
        <x:v>I3</x:v>
      </x:c>
      <x:c r="AH497" s="14" t="n">
        <x:v>1</x:v>
      </x:c>
      <x:c r="AI497" s="14" t="n">
        <x:v>1</x:v>
      </x:c>
      <x:c r="AJ497" s="18" t="n">
        <x:v>9000</x:v>
      </x:c>
      <x:c r="AK497" s="14" t="str">
        <x:v>https://prozorro.gov.ua/tender/UA-2026-08-18-002041-a</x:v>
      </x:c>
      <x:c r="AL497" s="19" t="n">
        <x:v>46252.30834361111</x:v>
      </x:c>
      <x:c r="AM497" s="19" t="n">
        <x:v>46387</x:v>
      </x:c>
      <x:c r="AN497" s="15" t="str">
        <x:v>Водоочищення / очисні споруди</x:v>
      </x:c>
      <x:c r="AO497" s="15" t="str">
        <x:v>not_found_in_top_search</x:v>
      </x:c>
    </x:row>
    <x:row r="498">
      <x:c r="A498" s="14" t="str">
        <x:v>W3-226</x:v>
      </x:c>
      <x:c r="B498" s="14" t="str">
        <x:v>Prozorro winners — 24.08</x:v>
      </x:c>
      <x:c r="C498" s="14" t="str">
        <x:v>Рівненська філія Державного підприємства Український державний науково-дослідний інститут проектування міст "ДІПРОМІСТО" імені Ю.М.Білоконя</x:v>
      </x:c>
      <x:c r="D498" s="14" t="str">
        <x:v>Мости / інфраструктура</x:v>
      </x:c>
      <x:c r="E498" s="14" t="str">
        <x:v>Expansion discovery</x:v>
      </x:c>
      <x:c r="F498" s="17" t="str">
        <x:v>D3</x:v>
      </x:c>
      <x:c r="G498" s="14" t="str"/>
      <x:c r="H498" s="14" t="str">
        <x:v>Discovery розширення — 2 тижні</x:v>
      </x:c>
      <x:c r="I498" s="16" t="n">
        <x:v>1</x:v>
      </x:c>
      <x:c r="J498" s="16" t="n">
        <x:v>5</x:v>
      </x:c>
      <x:c r="K498" s="16" t="n">
        <x:v>4</x:v>
      </x:c>
      <x:c r="L498" s="16" t="n">
        <x:v>1</x:v>
      </x:c>
      <x:c r="M498" s="16" t="n">
        <x:v>5</x:v>
      </x:c>
      <x:c r="N498" s="16" t="n">
        <x:v>5</x:v>
      </x:c>
      <x:c r="O498" s="16" t="n">
        <x:v>5</x:v>
      </x:c>
      <x:c r="P498" s="16" t="n">
        <x:f>IF(COUNT(I498:O498)&lt;7,"",I498*8+J498*3+K498*2+L498*2+M498*2+N498*2+O498)</x:f>
        <x:v>58</x:v>
      </x:c>
      <x:c r="Q498" s="16" t="n">
        <x:f>IF(COUNT(J498:O498)&lt;6,"",J498*5+K498*4+M498*4+L498*3+N498*2+O498*2)</x:f>
        <x:v>84</x:v>
      </x:c>
      <x:c r="R498" s="14" t="str">
        <x:v>high</x:v>
      </x:c>
      <x:c r="S498" s="14" t="str">
        <x:v>official_prozorro_award_2025_2026</x:v>
      </x:c>
      <x:c r="T498" s="14" t="str">
        <x:v>official_prozorro_api</x:v>
      </x:c>
      <x:c r="U498" s="14" t="str">
        <x:v>Не контактували</x:v>
      </x:c>
      <x:c r="V498" s="15" t="str">
        <x:v>Workflow-audit outreach по UA-2026-08-21-004480-a; попросити 1 пакет здачі та вимоги проєкту</x:v>
      </x:c>
      <x:c r="W498" s="15" t="str">
        <x:v>Власник / директор; керівник ПТО; відповідальний за договори</x:v>
      </x:c>
      <x:c r="X498" s="15" t="str">
        <x:v>1 підтверджених перемог/договорів у Prozorro на 8 280 грн; 1 проєктів зі строком виконання не раніше 24.08.2026.</x:v>
      </x:c>
      <x:c r="Y498" s="15" t="str">
        <x:v>Авторський нагляд по об’єкту: «Капітальний ремонт пішохідного мосту через річку Устя в районі стадіону «Авангард» у місті Рівному»; строк до 2027-12-31. Попросити один знеособлений пакет здачі за цим workflow.</x:v>
      </x:c>
      <x:c r="Z498" s="15" t="str">
        <x:v>https://prozorro.gov.ua/tender/UA-2026-08-21-004480-a</x:v>
      </x:c>
      <x:c r="AA498" s="14" t="str">
        <x:v>02498085</x:v>
      </x:c>
      <x:c r="AB498" s="14" t="str">
        <x:v>2026-08-24</x:v>
      </x:c>
      <x:c r="AC498" s="14" t="str"/>
      <x:c r="AD498" s="20" t="str"/>
      <x:c r="AE498" s="14" t="str"/>
      <x:c r="AF498" s="14" t="n">
        <x:v>52</x:v>
      </x:c>
      <x:c r="AG498" s="14" t="str">
        <x:v>I3</x:v>
      </x:c>
      <x:c r="AH498" s="14" t="n">
        <x:v>1</x:v>
      </x:c>
      <x:c r="AI498" s="14" t="n">
        <x:v>1</x:v>
      </x:c>
      <x:c r="AJ498" s="18" t="n">
        <x:v>8280</x:v>
      </x:c>
      <x:c r="AK498" s="14" t="str">
        <x:v>https://prozorro.gov.ua/tender/UA-2026-08-21-004480-a</x:v>
      </x:c>
      <x:c r="AL498" s="19" t="n">
        <x:v>46255.358828206015</x:v>
      </x:c>
      <x:c r="AM498" s="19" t="n">
        <x:v>46752</x:v>
      </x:c>
      <x:c r="AN498" s="15" t="str">
        <x:v>Мости / інфраструктура</x:v>
      </x:c>
      <x:c r="AO498" s="15" t="str">
        <x:v>not_found_in_top_search</x:v>
      </x:c>
    </x:row>
    <x:row r="499">
      <x:c r="A499" s="14" t="str">
        <x:v>W3-227</x:v>
      </x:c>
      <x:c r="B499" s="14" t="str">
        <x:v>Prozorro winners — 24.08</x:v>
      </x:c>
      <x:c r="C499" s="14" t="str">
        <x:v>ТОВАРИСТВО З ОБМЕЖЕНОЮ ВІДПОВІДАЛЬНІСТЮ "ПОЖЗАБЕСПЕЧЕННЯ"</x:v>
      </x:c>
      <x:c r="D499" s="14" t="str">
        <x:v>Електромонтаж</x:v>
      </x:c>
      <x:c r="E499" s="14" t="str">
        <x:v>Pilot now</x:v>
      </x:c>
      <x:c r="F499" s="17" t="str">
        <x:v>P3</x:v>
      </x:c>
      <x:c r="G499" s="14" t="str"/>
      <x:c r="H499" s="14" t="str">
        <x:v>Пілот зараз — Н.15</x:v>
      </x:c>
      <x:c r="I499" s="16" t="n">
        <x:v>5</x:v>
      </x:c>
      <x:c r="J499" s="16" t="n">
        <x:v>5</x:v>
      </x:c>
      <x:c r="K499" s="16" t="n">
        <x:v>5</x:v>
      </x:c>
      <x:c r="L499" s="16" t="n">
        <x:v>1</x:v>
      </x:c>
      <x:c r="M499" s="16" t="n">
        <x:v>5</x:v>
      </x:c>
      <x:c r="N499" s="16" t="n">
        <x:v>5</x:v>
      </x:c>
      <x:c r="O499" s="16" t="n">
        <x:v>5</x:v>
      </x:c>
      <x:c r="P499" s="16" t="n">
        <x:f>IF(COUNT(I499:O499)&lt;7,"",I499*8+J499*3+K499*2+L499*2+M499*2+N499*2+O499)</x:f>
        <x:v>92</x:v>
      </x:c>
      <x:c r="Q499" s="16" t="n">
        <x:f>IF(COUNT(J499:O499)&lt;6,"",J499*5+K499*4+M499*4+L499*3+N499*2+O499*2)</x:f>
        <x:v>88</x:v>
      </x:c>
      <x:c r="R499" s="14" t="str">
        <x:v>high</x:v>
      </x:c>
      <x:c r="S499" s="14" t="str">
        <x:v>official_prozorro_award_2025_2026</x:v>
      </x:c>
      <x:c r="T499" s="14" t="str">
        <x:v>official_prozorro_api</x:v>
      </x:c>
      <x:c r="U499" s="14" t="str">
        <x:v>Не контактували</x:v>
      </x:c>
      <x:c r="V499" s="15" t="str">
        <x:v>Персоналізований free-pilot outreach по UA-2026-08-06-005253-a; попросити 1 пакет Н.14/Н.15</x:v>
      </x:c>
      <x:c r="W499" s="15" t="str">
        <x:v>Власник / директор; керівник ПТО; відповідальний за договори</x:v>
      </x:c>
      <x:c r="X499" s="15" t="str">
        <x:v>1 підтверджених перемог/договорів у Prozorro на 7 805 грн; 1 проєктів зі строком виконання не раніше 24.08.2026.</x:v>
      </x:c>
      <x:c r="Y499" s="15" t="str">
        <x:v>Електромонтажні роботи; строк до 2026-08-31. Попросити один знеособлений пакет здачі за цим workflow.</x:v>
      </x:c>
      <x:c r="Z499" s="15" t="str">
        <x:v>https://prozorro.gov.ua/tender/UA-2026-08-06-005253-a</x:v>
      </x:c>
      <x:c r="AA499" s="14" t="str">
        <x:v>31946570</x:v>
      </x:c>
      <x:c r="AB499" s="14" t="str">
        <x:v>2026-08-24</x:v>
      </x:c>
      <x:c r="AC499" s="14" t="str"/>
      <x:c r="AD499" s="20" t="str"/>
      <x:c r="AE499" s="14" t="str"/>
      <x:c r="AF499" s="14" t="n">
        <x:v>52</x:v>
      </x:c>
      <x:c r="AG499" s="14" t="str">
        <x:v>I3</x:v>
      </x:c>
      <x:c r="AH499" s="14" t="n">
        <x:v>1</x:v>
      </x:c>
      <x:c r="AI499" s="14" t="n">
        <x:v>1</x:v>
      </x:c>
      <x:c r="AJ499" s="18" t="n">
        <x:v>7805.28</x:v>
      </x:c>
      <x:c r="AK499" s="14" t="str">
        <x:v>https://prozorro.gov.ua/tender/UA-2026-08-06-005253-a</x:v>
      </x:c>
      <x:c r="AL499" s="19" t="n">
        <x:v>46240.4004334375</x:v>
      </x:c>
      <x:c r="AM499" s="19" t="n">
        <x:v>46265</x:v>
      </x:c>
      <x:c r="AN499" s="15" t="str">
        <x:v>Електромонтаж</x:v>
      </x:c>
      <x:c r="AO499" s="15" t="str">
        <x:v>not_found_in_top_search</x:v>
      </x:c>
    </x:row>
    <x:row r="500">
      <x:c r="A500" s="14" t="str">
        <x:v>W3-228</x:v>
      </x:c>
      <x:c r="B500" s="14" t="str">
        <x:v>Prozorro winners — 24.08</x:v>
      </x:c>
      <x:c r="C500" s="14" t="str">
        <x:v>АКЦІОНЕРНЕ ТОВАРИСТВО "ХМЕЛЬНИЦЬКОБЛЕНЕРГО"</x:v>
      </x:c>
      <x:c r="D500" s="14" t="str">
        <x:v>Електромонтаж</x:v>
      </x:c>
      <x:c r="E500" s="14" t="str">
        <x:v>Pilot now</x:v>
      </x:c>
      <x:c r="F500" s="17" t="str">
        <x:v>P3</x:v>
      </x:c>
      <x:c r="G500" s="14" t="str"/>
      <x:c r="H500" s="14" t="str">
        <x:v>Пілот зараз — Н.15</x:v>
      </x:c>
      <x:c r="I500" s="16" t="n">
        <x:v>5</x:v>
      </x:c>
      <x:c r="J500" s="16" t="n">
        <x:v>5</x:v>
      </x:c>
      <x:c r="K500" s="16" t="n">
        <x:v>5</x:v>
      </x:c>
      <x:c r="L500" s="16" t="n">
        <x:v>1</x:v>
      </x:c>
      <x:c r="M500" s="16" t="n">
        <x:v>5</x:v>
      </x:c>
      <x:c r="N500" s="16" t="n">
        <x:v>5</x:v>
      </x:c>
      <x:c r="O500" s="16" t="n">
        <x:v>5</x:v>
      </x:c>
      <x:c r="P500" s="16" t="n">
        <x:f>IF(COUNT(I500:O500)&lt;7,"",I500*8+J500*3+K500*2+L500*2+M500*2+N500*2+O500)</x:f>
        <x:v>92</x:v>
      </x:c>
      <x:c r="Q500" s="16" t="n">
        <x:f>IF(COUNT(J500:O500)&lt;6,"",J500*5+K500*4+M500*4+L500*3+N500*2+O500*2)</x:f>
        <x:v>88</x:v>
      </x:c>
      <x:c r="R500" s="14" t="str">
        <x:v>high</x:v>
      </x:c>
      <x:c r="S500" s="14" t="str">
        <x:v>official_prozorro_award_2025_2026</x:v>
      </x:c>
      <x:c r="T500" s="14" t="str">
        <x:v>official_prozorro_api</x:v>
      </x:c>
      <x:c r="U500" s="14" t="str">
        <x:v>Не контактували</x:v>
      </x:c>
      <x:c r="V500" s="15" t="str">
        <x:v>Повторне звернення з новим тендерним сигналом UA-2026-07-16-009539-a; попросити 1 пакет здачі</x:v>
      </x:c>
      <x:c r="W500" s="15" t="str">
        <x:v>Власник / директор; керівник ПТО; відповідальний за договори</x:v>
      </x:c>
      <x:c r="X500" s="15" t="str">
        <x:v>1 підтверджених перемог/договорів у Prozorro на 6 572 грн; 1 проєктів зі строком виконання не раніше 24.08.2026.</x:v>
      </x:c>
      <x:c r="Y500" s="15" t="str">
        <x:v>Електромонтажні роботи; строк до 2026-12-31. Попросити один знеособлений пакет здачі за цим workflow.</x:v>
      </x:c>
      <x:c r="Z500" s="15" t="str">
        <x:v>https://prozorro.gov.ua/tender/UA-2026-07-28-001942-a</x:v>
      </x:c>
      <x:c r="AA500" s="14" t="str">
        <x:v>22767506</x:v>
      </x:c>
      <x:c r="AB500" s="14" t="str">
        <x:v>2026-08-24</x:v>
      </x:c>
      <x:c r="AC500" s="14" t="str"/>
      <x:c r="AD500" s="20" t="str"/>
      <x:c r="AE500" s="14" t="str"/>
      <x:c r="AF500" s="14" t="n">
        <x:v>52</x:v>
      </x:c>
      <x:c r="AG500" s="14" t="str">
        <x:v>I3</x:v>
      </x:c>
      <x:c r="AH500" s="14" t="n">
        <x:v>2</x:v>
      </x:c>
      <x:c r="AI500" s="14" t="n">
        <x:v>2</x:v>
      </x:c>
      <x:c r="AJ500" s="18" t="n">
        <x:v>8922.92</x:v>
      </x:c>
      <x:c r="AK500" s="14" t="str">
        <x:v>https://prozorro.gov.ua/tender/UA-2026-07-16-009539-a</x:v>
      </x:c>
      <x:c r="AL500" s="19" t="n">
        <x:v>46219.57515332176</x:v>
      </x:c>
      <x:c r="AM500" s="19" t="n">
        <x:v>46387.61512731481</x:v>
      </x:c>
      <x:c r="AN500" s="15" t="str">
        <x:v>Електромонтаж</x:v>
      </x:c>
      <x:c r="AO500" s="15" t="str">
        <x:v>not_found_in_top_search</x:v>
      </x:c>
    </x:row>
    <x:row r="501">
      <x:c r="A501" s="14" t="str">
        <x:v>W3-229</x:v>
      </x:c>
      <x:c r="B501" s="14" t="str">
        <x:v>Prozorro winners — 24.08</x:v>
      </x:c>
      <x:c r="C501" s="14" t="str">
        <x:v>УПРАВЛІННЯ ПОЛІЦІЇ ОХОРОНИ В ПОЛТАВСЬКІЙ ОБЛАСТІ</x:v>
      </x:c>
      <x:c r="D501" s="14" t="str">
        <x:v>Електромонтаж</x:v>
      </x:c>
      <x:c r="E501" s="14" t="str">
        <x:v>Pilot now</x:v>
      </x:c>
      <x:c r="F501" s="17" t="str">
        <x:v>P3</x:v>
      </x:c>
      <x:c r="G501" s="14" t="str"/>
      <x:c r="H501" s="14" t="str">
        <x:v>Пілот зараз — Н.15</x:v>
      </x:c>
      <x:c r="I501" s="16" t="n">
        <x:v>5</x:v>
      </x:c>
      <x:c r="J501" s="16" t="n">
        <x:v>5</x:v>
      </x:c>
      <x:c r="K501" s="16" t="n">
        <x:v>5</x:v>
      </x:c>
      <x:c r="L501" s="16" t="n">
        <x:v>1</x:v>
      </x:c>
      <x:c r="M501" s="16" t="n">
        <x:v>5</x:v>
      </x:c>
      <x:c r="N501" s="16" t="n">
        <x:v>5</x:v>
      </x:c>
      <x:c r="O501" s="16" t="n">
        <x:v>5</x:v>
      </x:c>
      <x:c r="P501" s="16" t="n">
        <x:f>IF(COUNT(I501:O501)&lt;7,"",I501*8+J501*3+K501*2+L501*2+M501*2+N501*2+O501)</x:f>
        <x:v>92</x:v>
      </x:c>
      <x:c r="Q501" s="16" t="n">
        <x:f>IF(COUNT(J501:O501)&lt;6,"",J501*5+K501*4+M501*4+L501*3+N501*2+O501*2)</x:f>
        <x:v>88</x:v>
      </x:c>
      <x:c r="R501" s="14" t="str">
        <x:v>high</x:v>
      </x:c>
      <x:c r="S501" s="14" t="str">
        <x:v>official_prozorro_award_2025_2026</x:v>
      </x:c>
      <x:c r="T501" s="14" t="str">
        <x:v>official_prozorro_api</x:v>
      </x:c>
      <x:c r="U501" s="14" t="str">
        <x:v>Не контактували</x:v>
      </x:c>
      <x:c r="V501" s="15" t="str">
        <x:v>Повторне звернення з новим тендерним сигналом UA-2026-03-27-001212-a; попросити 1 пакет здачі</x:v>
      </x:c>
      <x:c r="W501" s="15" t="str">
        <x:v>Власник / директор; керівник ПТО; відповідальний за договори</x:v>
      </x:c>
      <x:c r="X501" s="15" t="str">
        <x:v>1 підтверджених перемог/договорів у Prozorro на 6 508 грн; 1 проєктів зі строком виконання не раніше 24.08.2026.</x:v>
      </x:c>
      <x:c r="Y501" s="15" t="str">
        <x:v>Електромонтажні роботи; строк до 2026-12-31. Попросити один знеособлений пакет здачі за цим workflow.</x:v>
      </x:c>
      <x:c r="Z501" s="15" t="str">
        <x:v>https://prozorro.gov.ua/tender/UA-2026-08-04-003667-a</x:v>
      </x:c>
      <x:c r="AA501" s="14" t="str">
        <x:v>40109042</x:v>
      </x:c>
      <x:c r="AB501" s="14" t="str">
        <x:v>2026-08-24</x:v>
      </x:c>
      <x:c r="AC501" s="14" t="str"/>
      <x:c r="AD501" s="20" t="str"/>
      <x:c r="AE501" s="14" t="str"/>
      <x:c r="AF501" s="14" t="n">
        <x:v>52</x:v>
      </x:c>
      <x:c r="AG501" s="14" t="str">
        <x:v>I3</x:v>
      </x:c>
      <x:c r="AH501" s="14" t="n">
        <x:v>3</x:v>
      </x:c>
      <x:c r="AI501" s="14" t="n">
        <x:v>2</x:v>
      </x:c>
      <x:c r="AJ501" s="18" t="n">
        <x:v>104232.14</x:v>
      </x:c>
      <x:c r="AK501" s="14" t="str">
        <x:v>https://prozorro.gov.ua/tender/UA-2026-03-27-001212-a</x:v>
      </x:c>
      <x:c r="AL501" s="19" t="n">
        <x:v>46108.317231030094</x:v>
      </x:c>
      <x:c r="AM501" s="19" t="n">
        <x:v>46112.27668981482</x:v>
      </x:c>
      <x:c r="AN501" s="15" t="str">
        <x:v>Електромонтаж; Пожежогасіння; Промислова електрика / ПНР</x:v>
      </x:c>
      <x:c r="AO501" s="15" t="str">
        <x:v>not_found_in_top_search</x:v>
      </x:c>
    </x:row>
    <x:row r="502">
      <x:c r="A502" s="14" t="str">
        <x:v>W3-230</x:v>
      </x:c>
      <x:c r="B502" s="14" t="str">
        <x:v>Prozorro winners — 24.08</x:v>
      </x:c>
      <x:c r="C502" s="14" t="str">
        <x:v>КП "Ічнянське ВУ ЖКГ"</x:v>
      </x:c>
      <x:c r="D502" s="14" t="str">
        <x:v>Електромонтаж</x:v>
      </x:c>
      <x:c r="E502" s="14" t="str">
        <x:v>Pilot now</x:v>
      </x:c>
      <x:c r="F502" s="17" t="str">
        <x:v>P3</x:v>
      </x:c>
      <x:c r="G502" s="14" t="str"/>
      <x:c r="H502" s="14" t="str">
        <x:v>Пілот зараз — Н.15</x:v>
      </x:c>
      <x:c r="I502" s="16" t="n">
        <x:v>5</x:v>
      </x:c>
      <x:c r="J502" s="16" t="n">
        <x:v>5</x:v>
      </x:c>
      <x:c r="K502" s="16" t="n">
        <x:v>5</x:v>
      </x:c>
      <x:c r="L502" s="16" t="n">
        <x:v>1</x:v>
      </x:c>
      <x:c r="M502" s="16" t="n">
        <x:v>5</x:v>
      </x:c>
      <x:c r="N502" s="16" t="n">
        <x:v>5</x:v>
      </x:c>
      <x:c r="O502" s="16" t="n">
        <x:v>5</x:v>
      </x:c>
      <x:c r="P502" s="16" t="n">
        <x:f>IF(COUNT(I502:O502)&lt;7,"",I502*8+J502*3+K502*2+L502*2+M502*2+N502*2+O502)</x:f>
        <x:v>92</x:v>
      </x:c>
      <x:c r="Q502" s="16" t="n">
        <x:f>IF(COUNT(J502:O502)&lt;6,"",J502*5+K502*4+M502*4+L502*3+N502*2+O502*2)</x:f>
        <x:v>88</x:v>
      </x:c>
      <x:c r="R502" s="14" t="str">
        <x:v>high</x:v>
      </x:c>
      <x:c r="S502" s="14" t="str">
        <x:v>official_prozorro_award_2025_2026</x:v>
      </x:c>
      <x:c r="T502" s="14" t="str">
        <x:v>official_prozorro_api</x:v>
      </x:c>
      <x:c r="U502" s="14" t="str">
        <x:v>Не контактували</x:v>
      </x:c>
      <x:c r="V502" s="15" t="str">
        <x:v>Персоналізований free-pilot outreach по UA-2026-08-18-011647-a; попросити 1 пакет Н.14/Н.15</x:v>
      </x:c>
      <x:c r="W502" s="15" t="str">
        <x:v>Власник / директор; керівник ПТО; відповідальний за договори</x:v>
      </x:c>
      <x:c r="X502" s="15" t="str">
        <x:v>1 підтверджених перемог/договорів у Prozorro на 4 165 грн; 1 проєктів зі строком виконання не раніше 24.08.2026.</x:v>
      </x:c>
      <x:c r="Y502" s="15" t="str">
        <x:v>електромонтажні роботи; строк до 2026-12-31. Попросити один знеособлений пакет здачі за цим workflow.</x:v>
      </x:c>
      <x:c r="Z502" s="15" t="str">
        <x:v>https://prozorro.gov.ua/tender/UA-2026-08-18-011647-a</x:v>
      </x:c>
      <x:c r="AA502" s="14" t="str">
        <x:v>03357895</x:v>
      </x:c>
      <x:c r="AB502" s="14" t="str">
        <x:v>2026-08-24</x:v>
      </x:c>
      <x:c r="AC502" s="14" t="str"/>
      <x:c r="AD502" s="20" t="str"/>
      <x:c r="AE502" s="14" t="str"/>
      <x:c r="AF502" s="14" t="n">
        <x:v>52</x:v>
      </x:c>
      <x:c r="AG502" s="14" t="str">
        <x:v>I3</x:v>
      </x:c>
      <x:c r="AH502" s="14" t="n">
        <x:v>1</x:v>
      </x:c>
      <x:c r="AI502" s="14" t="n">
        <x:v>1</x:v>
      </x:c>
      <x:c r="AJ502" s="18" t="n">
        <x:v>4164.97</x:v>
      </x:c>
      <x:c r="AK502" s="14" t="str">
        <x:v>https://prozorro.gov.ua/tender/UA-2026-08-18-011647-a</x:v>
      </x:c>
      <x:c r="AL502" s="19" t="n">
        <x:v>46252.56156364583</x:v>
      </x:c>
      <x:c r="AM502" s="19" t="n">
        <x:v>46387</x:v>
      </x:c>
      <x:c r="AN502" s="15" t="str">
        <x:v>Електромонтаж</x:v>
      </x:c>
      <x:c r="AO502" s="15" t="str">
        <x:v>not_found_in_top_search</x:v>
      </x:c>
    </x:row>
    <x:row r="503">
      <x:c r="A503" s="14" t="str">
        <x:v>W3-231</x:v>
      </x:c>
      <x:c r="B503" s="14" t="str">
        <x:v>Prozorro winners — 24.08</x:v>
      </x:c>
      <x:c r="C503" s="14" t="str">
        <x:v>АКЦІОНЕРНЕ ТОВАРИСТВО "МИКОЛАЇВОБЛЕНЕРГО"</x:v>
      </x:c>
      <x:c r="D503" s="14" t="str">
        <x:v>Електромонтаж</x:v>
      </x:c>
      <x:c r="E503" s="14" t="str">
        <x:v>Pilot now</x:v>
      </x:c>
      <x:c r="F503" s="17" t="str">
        <x:v>P3</x:v>
      </x:c>
      <x:c r="G503" s="14" t="str"/>
      <x:c r="H503" s="14" t="str">
        <x:v>Пілот зараз — Н.15</x:v>
      </x:c>
      <x:c r="I503" s="16" t="n">
        <x:v>5</x:v>
      </x:c>
      <x:c r="J503" s="16" t="n">
        <x:v>5</x:v>
      </x:c>
      <x:c r="K503" s="16" t="n">
        <x:v>5</x:v>
      </x:c>
      <x:c r="L503" s="16" t="n">
        <x:v>1</x:v>
      </x:c>
      <x:c r="M503" s="16" t="n">
        <x:v>5</x:v>
      </x:c>
      <x:c r="N503" s="16" t="n">
        <x:v>5</x:v>
      </x:c>
      <x:c r="O503" s="16" t="n">
        <x:v>5</x:v>
      </x:c>
      <x:c r="P503" s="16" t="n">
        <x:f>IF(COUNT(I503:O503)&lt;7,"",I503*8+J503*3+K503*2+L503*2+M503*2+N503*2+O503)</x:f>
        <x:v>92</x:v>
      </x:c>
      <x:c r="Q503" s="16" t="n">
        <x:f>IF(COUNT(J503:O503)&lt;6,"",J503*5+K503*4+M503*4+L503*3+N503*2+O503*2)</x:f>
        <x:v>88</x:v>
      </x:c>
      <x:c r="R503" s="14" t="str">
        <x:v>high</x:v>
      </x:c>
      <x:c r="S503" s="14" t="str">
        <x:v>official_prozorro_award_2025_2026</x:v>
      </x:c>
      <x:c r="T503" s="14" t="str">
        <x:v>official_prozorro_api</x:v>
      </x:c>
      <x:c r="U503" s="14" t="str">
        <x:v>Не контактували</x:v>
      </x:c>
      <x:c r="V503" s="15" t="str">
        <x:v>Персоналізований free-pilot outreach по UA-2026-08-05-007246-a; попросити 1 пакет Н.14/Н.15</x:v>
      </x:c>
      <x:c r="W503" s="15" t="str">
        <x:v>Власник / директор; керівник ПТО; відповідальний за договори</x:v>
      </x:c>
      <x:c r="X503" s="15" t="str">
        <x:v>1 підтверджених перемог/договорів у Prozorro на 536 грн; 1 проєктів зі строком виконання не раніше 24.08.2026.</x:v>
      </x:c>
      <x:c r="Y503" s="15" t="str">
        <x:v>Електромонтажні роботи ; строк до 2026-12-31. Попросити один знеособлений пакет здачі за цим workflow.</x:v>
      </x:c>
      <x:c r="Z503" s="15" t="str">
        <x:v>https://prozorro.gov.ua/tender/UA-2026-08-05-007246-a</x:v>
      </x:c>
      <x:c r="AA503" s="14" t="str">
        <x:v>23399393</x:v>
      </x:c>
      <x:c r="AB503" s="14" t="str">
        <x:v>2026-08-24</x:v>
      </x:c>
      <x:c r="AC503" s="14" t="str"/>
      <x:c r="AD503" s="20" t="str"/>
      <x:c r="AE503" s="14" t="str"/>
      <x:c r="AF503" s="14" t="n">
        <x:v>52</x:v>
      </x:c>
      <x:c r="AG503" s="14" t="str">
        <x:v>I3</x:v>
      </x:c>
      <x:c r="AH503" s="14" t="n">
        <x:v>1</x:v>
      </x:c>
      <x:c r="AI503" s="14" t="n">
        <x:v>1</x:v>
      </x:c>
      <x:c r="AJ503" s="18" t="n">
        <x:v>535.88</x:v>
      </x:c>
      <x:c r="AK503" s="14" t="str">
        <x:v>https://prozorro.gov.ua/tender/UA-2026-08-05-007246-a</x:v>
      </x:c>
      <x:c r="AL503" s="19" t="n">
        <x:v>46239.46062644676</x:v>
      </x:c>
      <x:c r="AM503" s="19" t="n">
        <x:v>46387</x:v>
      </x:c>
      <x:c r="AN503" s="15" t="str">
        <x:v>Електромонтаж</x:v>
      </x:c>
      <x:c r="AO503" s="15" t="str">
        <x:v>not_found_in_top_search</x:v>
      </x:c>
    </x:row>
    <x:row r="504">
      <x:c r="A504" s="14" t="str">
        <x:v>W3-232</x:v>
      </x:c>
      <x:c r="B504" s="14" t="str">
        <x:v>Prozorro winners — 24.08</x:v>
      </x:c>
      <x:c r="C504" s="14" t="str">
        <x:v>ФОП Сіора Ю.А.</x:v>
      </x:c>
      <x:c r="D504" s="14" t="str">
        <x:v>HVAC / ОВіК</x:v>
      </x:c>
      <x:c r="E504" s="14" t="str">
        <x:v>Pilot now</x:v>
      </x:c>
      <x:c r="F504" s="17" t="str">
        <x:v>P3</x:v>
      </x:c>
      <x:c r="G504" s="14" t="str"/>
      <x:c r="H504" s="14" t="str">
        <x:v>Пілот зараз — Н.14</x:v>
      </x:c>
      <x:c r="I504" s="16" t="n">
        <x:v>5</x:v>
      </x:c>
      <x:c r="J504" s="16" t="n">
        <x:v>5</x:v>
      </x:c>
      <x:c r="K504" s="16" t="n">
        <x:v>5</x:v>
      </x:c>
      <x:c r="L504" s="16" t="n">
        <x:v>3</x:v>
      </x:c>
      <x:c r="M504" s="16" t="n">
        <x:v>5</x:v>
      </x:c>
      <x:c r="N504" s="16" t="n">
        <x:v>3</x:v>
      </x:c>
      <x:c r="O504" s="16" t="n">
        <x:v>5</x:v>
      </x:c>
      <x:c r="P504" s="16" t="n">
        <x:f>IF(COUNT(I504:O504)&lt;7,"",I504*8+J504*3+K504*2+L504*2+M504*2+N504*2+O504)</x:f>
        <x:v>92</x:v>
      </x:c>
      <x:c r="Q504" s="16" t="n">
        <x:f>IF(COUNT(J504:O504)&lt;6,"",J504*5+K504*4+M504*4+L504*3+N504*2+O504*2)</x:f>
        <x:v>90</x:v>
      </x:c>
      <x:c r="R504" s="14" t="str">
        <x:v>high</x:v>
      </x:c>
      <x:c r="S504" s="14" t="str">
        <x:v>official_prozorro_award_2025_2026</x:v>
      </x:c>
      <x:c r="T504" s="14" t="str">
        <x:v>official_prozorro_api</x:v>
      </x:c>
      <x:c r="U504" s="14" t="str">
        <x:v>Не контактували</x:v>
      </x:c>
      <x:c r="V504" s="15" t="str">
        <x:v>Персоналізований free-pilot outreach по UA-2026-06-02-012733-a; попросити 1 пакет Н.14/Н.15</x:v>
      </x:c>
      <x:c r="W504" s="15" t="str">
        <x:v>Власник / виконавець; відповідальний за договір</x:v>
      </x:c>
      <x:c r="X504" s="15" t="str">
        <x:v>1 підтверджених перемог/договорів у Prozorro на 1 447 410 грн; 1 проєктів зі строком виконання не раніше 24.08.2026.</x:v>
      </x:c>
      <x:c r="Y504"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 строк до 2026-08-31. Попросити один знеособлений пакет здачі за цим workflow.</x:v>
      </x:c>
      <x:c r="Z504" s="15" t="str">
        <x:v>https://prozorro.gov.ua/tender/UA-2026-06-02-012733-a</x:v>
      </x:c>
      <x:c r="AA504" s="14" t="str">
        <x:v>2691100315</x:v>
      </x:c>
      <x:c r="AB504" s="14" t="str">
        <x:v>2026-08-24</x:v>
      </x:c>
      <x:c r="AC504" s="14" t="str"/>
      <x:c r="AD504" s="20" t="str"/>
      <x:c r="AE504" s="14" t="str"/>
      <x:c r="AF504" s="14" t="n">
        <x:v>51</x:v>
      </x:c>
      <x:c r="AG504" s="14" t="str">
        <x:v>I3</x:v>
      </x:c>
      <x:c r="AH504" s="14" t="n">
        <x:v>1</x:v>
      </x:c>
      <x:c r="AI504" s="14" t="n">
        <x:v>1</x:v>
      </x:c>
      <x:c r="AJ504" s="18" t="n">
        <x:v>1447410</x:v>
      </x:c>
      <x:c r="AK504" s="14" t="str">
        <x:v>https://prozorro.gov.ua/tender/UA-2026-06-02-012733-a</x:v>
      </x:c>
      <x:c r="AL504" s="19" t="n">
        <x:v>46176.348150543985</x:v>
      </x:c>
      <x:c r="AM504" s="19" t="n">
        <x:v>46265.5799537037</x:v>
      </x:c>
      <x:c r="AN504" s="15" t="str">
        <x:v>HVAC / ОВіК</x:v>
      </x:c>
      <x:c r="AO504" s="15" t="str">
        <x:v>not_found_in_top_search</x:v>
      </x:c>
    </x:row>
    <x:row r="505">
      <x:c r="A505" s="14" t="str">
        <x:v>W3-233</x:v>
      </x:c>
      <x:c r="B505" s="14" t="str">
        <x:v>Prozorro winners — 24.08</x:v>
      </x:c>
      <x:c r="C505" s="14" t="str">
        <x:v>ФОП "ЛУТ ОЛЕГ ІГОРОВИЧ "</x:v>
      </x:c>
      <x:c r="D505" s="14" t="str">
        <x:v>Внутрішні сантехнічні системи</x:v>
      </x:c>
      <x:c r="E505" s="14" t="str">
        <x:v>Pilot now</x:v>
      </x:c>
      <x:c r="F505" s="17" t="str">
        <x:v>P3</x:v>
      </x:c>
      <x:c r="G505" s="14" t="str"/>
      <x:c r="H505" s="14" t="str">
        <x:v>Пілот зараз — Н.14</x:v>
      </x:c>
      <x:c r="I505" s="16" t="n">
        <x:v>5</x:v>
      </x:c>
      <x:c r="J505" s="16" t="n">
        <x:v>5</x:v>
      </x:c>
      <x:c r="K505" s="16" t="n">
        <x:v>5</x:v>
      </x:c>
      <x:c r="L505" s="16" t="n">
        <x:v>3</x:v>
      </x:c>
      <x:c r="M505" s="16" t="n">
        <x:v>5</x:v>
      </x:c>
      <x:c r="N505" s="16" t="n">
        <x:v>3</x:v>
      </x:c>
      <x:c r="O505" s="16" t="n">
        <x:v>5</x:v>
      </x:c>
      <x:c r="P505" s="16" t="n">
        <x:f>IF(COUNT(I505:O505)&lt;7,"",I505*8+J505*3+K505*2+L505*2+M505*2+N505*2+O505)</x:f>
        <x:v>92</x:v>
      </x:c>
      <x:c r="Q505" s="16" t="n">
        <x:f>IF(COUNT(J505:O505)&lt;6,"",J505*5+K505*4+M505*4+L505*3+N505*2+O505*2)</x:f>
        <x:v>90</x:v>
      </x:c>
      <x:c r="R505" s="14" t="str">
        <x:v>high</x:v>
      </x:c>
      <x:c r="S505" s="14" t="str">
        <x:v>official_prozorro_award_2025_2026</x:v>
      </x:c>
      <x:c r="T505" s="14" t="str">
        <x:v>official_prozorro_api</x:v>
      </x:c>
      <x:c r="U505" s="14" t="str">
        <x:v>Не контактували</x:v>
      </x:c>
      <x:c r="V505" s="15" t="str">
        <x:v>Персоналізований free-pilot outreach по UA-2026-06-11-012067-a; попросити 1 пакет Н.14/Н.15</x:v>
      </x:c>
      <x:c r="W505" s="15" t="str">
        <x:v>Власник / виконавець; відповідальний за договір</x:v>
      </x:c>
      <x:c r="X505" s="15" t="str">
        <x:v>2 підтверджених перемог/договорів у Prozorro на 1 156 806 грн; 0 проєктів зі строком виконання не раніше 24.08.2026.</x:v>
      </x:c>
      <x:c r="Y505"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 строк до 2026-08-01. Попросити один знеособлений пакет здачі за цим workflow.</x:v>
      </x:c>
      <x:c r="Z505" s="15" t="str">
        <x:v>https://prozorro.gov.ua/tender/UA-2026-06-11-012067-a</x:v>
      </x:c>
      <x:c r="AA505" s="14" t="str">
        <x:v>3445311131</x:v>
      </x:c>
      <x:c r="AB505" s="14" t="str">
        <x:v>2026-08-24</x:v>
      </x:c>
      <x:c r="AC505" s="14" t="str"/>
      <x:c r="AD505" s="20" t="str"/>
      <x:c r="AE505" s="14" t="str"/>
      <x:c r="AF505" s="14" t="n">
        <x:v>51</x:v>
      </x:c>
      <x:c r="AG505" s="14" t="str">
        <x:v>I3</x:v>
      </x:c>
      <x:c r="AH505" s="14" t="n">
        <x:v>2</x:v>
      </x:c>
      <x:c r="AI505" s="14" t="n">
        <x:v>0</x:v>
      </x:c>
      <x:c r="AJ505" s="18" t="n">
        <x:v>1156806</x:v>
      </x:c>
      <x:c r="AK505" s="14" t="str">
        <x:v>https://prozorro.gov.ua/tender/UA-2026-06-11-012067-a</x:v>
      </x:c>
      <x:c r="AL505" s="19" t="n">
        <x:v>46192.492963854165</x:v>
      </x:c>
      <x:c r="AM505" s="19" t="n">
        <x:v>46235</x:v>
      </x:c>
      <x:c r="AN505" s="15" t="str">
        <x:v>Внутрішні сантехнічні системи</x:v>
      </x:c>
      <x:c r="AO505" s="15" t="str">
        <x:v>not_found_in_top_search</x:v>
      </x:c>
    </x:row>
    <x:row r="506">
      <x:c r="A506" s="14" t="str">
        <x:v>W3-234</x:v>
      </x:c>
      <x:c r="B506" s="14" t="str">
        <x:v>Prozorro winners — 24.08</x:v>
      </x:c>
      <x:c r="C506" s="14" t="str">
        <x:v>Фізична особа-підприємець БИХНО Валерій Олександрович</x:v>
      </x:c>
      <x:c r="D506" s="14" t="str">
        <x:v>Зовнішні мережі</x:v>
      </x:c>
      <x:c r="E506" s="14" t="str">
        <x:v>Expansion discovery</x:v>
      </x:c>
      <x:c r="F506" s="17" t="str">
        <x:v>D3</x:v>
      </x:c>
      <x:c r="G506" s="14" t="str"/>
      <x:c r="H506" s="14" t="str">
        <x:v>Discovery розширення — 2 тижні</x:v>
      </x:c>
      <x:c r="I506" s="16" t="n">
        <x:v>1</x:v>
      </x:c>
      <x:c r="J506" s="16" t="n">
        <x:v>5</x:v>
      </x:c>
      <x:c r="K506" s="16" t="n">
        <x:v>4</x:v>
      </x:c>
      <x:c r="L506" s="16" t="n">
        <x:v>3</x:v>
      </x:c>
      <x:c r="M506" s="16" t="n">
        <x:v>5</x:v>
      </x:c>
      <x:c r="N506" s="16" t="n">
        <x:v>3</x:v>
      </x:c>
      <x:c r="O506" s="16" t="n">
        <x:v>5</x:v>
      </x:c>
      <x:c r="P506" s="16" t="n">
        <x:f>IF(COUNT(I506:O506)&lt;7,"",I506*8+J506*3+K506*2+L506*2+M506*2+N506*2+O506)</x:f>
        <x:v>58</x:v>
      </x:c>
      <x:c r="Q506" s="16" t="n">
        <x:f>IF(COUNT(J506:O506)&lt;6,"",J506*5+K506*4+M506*4+L506*3+N506*2+O506*2)</x:f>
        <x:v>86</x:v>
      </x:c>
      <x:c r="R506" s="14" t="str">
        <x:v>high</x:v>
      </x:c>
      <x:c r="S506" s="14" t="str">
        <x:v>official_prozorro_award_2025_2026</x:v>
      </x:c>
      <x:c r="T506" s="14" t="str">
        <x:v>official_prozorro_api</x:v>
      </x:c>
      <x:c r="U506" s="14" t="str">
        <x:v>Не контактували</x:v>
      </x:c>
      <x:c r="V506" s="15" t="str">
        <x:v>Workflow-audit outreach по UA-2026-05-26-012254-a; попросити 1 пакет здачі та вимоги проєкту</x:v>
      </x:c>
      <x:c r="W506" s="15" t="str">
        <x:v>Власник / виконавець; відповідальний за договір</x:v>
      </x:c>
      <x:c r="X506" s="15" t="str">
        <x:v>1 підтверджених перемог/договорів у Prozorro на 725 332 грн; 1 проєктів зі строком виконання не раніше 24.08.2026.</x:v>
      </x:c>
      <x:c r="Y506"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506" s="15" t="str">
        <x:v>https://prozorro.gov.ua/tender/UA-2026-05-26-012254-a</x:v>
      </x:c>
      <x:c r="AA506" s="14" t="str">
        <x:v>3120918596</x:v>
      </x:c>
      <x:c r="AB506" s="14" t="str">
        <x:v>2026-08-24</x:v>
      </x:c>
      <x:c r="AC506" s="14" t="str"/>
      <x:c r="AD506" s="20" t="str"/>
      <x:c r="AE506" s="14" t="str"/>
      <x:c r="AF506" s="14" t="n">
        <x:v>51</x:v>
      </x:c>
      <x:c r="AG506" s="14" t="str">
        <x:v>I3</x:v>
      </x:c>
      <x:c r="AH506" s="14" t="n">
        <x:v>1</x:v>
      </x:c>
      <x:c r="AI506" s="14" t="n">
        <x:v>1</x:v>
      </x:c>
      <x:c r="AJ506" s="18" t="n">
        <x:v>725332.24</x:v>
      </x:c>
      <x:c r="AK506" s="14" t="str">
        <x:v>https://prozorro.gov.ua/tender/UA-2026-05-26-012254-a</x:v>
      </x:c>
      <x:c r="AL506" s="19" t="n">
        <x:v>46168.540660659724</x:v>
      </x:c>
      <x:c r="AM506" s="19" t="n">
        <x:v>46387</x:v>
      </x:c>
      <x:c r="AN506" s="15" t="str">
        <x:v>Зовнішні мережі</x:v>
      </x:c>
      <x:c r="AO506" s="15" t="str">
        <x:v>not_found_in_top_search</x:v>
      </x:c>
    </x:row>
    <x:row r="507">
      <x:c r="A507" s="14" t="str">
        <x:v>W3-235</x:v>
      </x:c>
      <x:c r="B507" s="14" t="str">
        <x:v>Prozorro winners — 24.08</x:v>
      </x:c>
      <x:c r="C507" s="14" t="str">
        <x:v>ПЕЛЕХ РУСЛАН МИРОСЛАВОВИЧ</x:v>
      </x:c>
      <x:c r="D507" s="14" t="str">
        <x:v>HVAC / ОВіК</x:v>
      </x:c>
      <x:c r="E507" s="14" t="str">
        <x:v>Pilot now</x:v>
      </x:c>
      <x:c r="F507" s="17" t="str">
        <x:v>P3</x:v>
      </x:c>
      <x:c r="G507" s="14" t="str"/>
      <x:c r="H507" s="14" t="str">
        <x:v>Пілот зараз — Н.14</x:v>
      </x:c>
      <x:c r="I507" s="16" t="n">
        <x:v>5</x:v>
      </x:c>
      <x:c r="J507" s="16" t="n">
        <x:v>5</x:v>
      </x:c>
      <x:c r="K507" s="16" t="n">
        <x:v>5</x:v>
      </x:c>
      <x:c r="L507" s="16" t="n">
        <x:v>3</x:v>
      </x:c>
      <x:c r="M507" s="16" t="n">
        <x:v>5</x:v>
      </x:c>
      <x:c r="N507" s="16" t="n">
        <x:v>3</x:v>
      </x:c>
      <x:c r="O507" s="16" t="n">
        <x:v>5</x:v>
      </x:c>
      <x:c r="P507" s="16" t="n">
        <x:f>IF(COUNT(I507:O507)&lt;7,"",I507*8+J507*3+K507*2+L507*2+M507*2+N507*2+O507)</x:f>
        <x:v>92</x:v>
      </x:c>
      <x:c r="Q507" s="16" t="n">
        <x:f>IF(COUNT(J507:O507)&lt;6,"",J507*5+K507*4+M507*4+L507*3+N507*2+O507*2)</x:f>
        <x:v>90</x:v>
      </x:c>
      <x:c r="R507" s="14" t="str">
        <x:v>high</x:v>
      </x:c>
      <x:c r="S507" s="14" t="str">
        <x:v>official_prozorro_award_2025_2026</x:v>
      </x:c>
      <x:c r="T507" s="14" t="str">
        <x:v>official_prozorro_api</x:v>
      </x:c>
      <x:c r="U507" s="14" t="str">
        <x:v>Не контактували</x:v>
      </x:c>
      <x:c r="V507" s="15" t="str">
        <x:v>Персоналізований free-pilot outreach по UA-2026-05-07-013060-a; попросити 1 пакет Н.14/Н.15</x:v>
      </x:c>
      <x:c r="W507" s="15" t="str">
        <x:v>Власник / виконавець; відповідальний за договір</x:v>
      </x:c>
      <x:c r="X507" s="15" t="str">
        <x:v>1 підтверджених перемог/договорів у Prozorro на 550 074 грн; 1 проєктів зі строком виконання не раніше 24.08.2026.</x:v>
      </x:c>
      <x:c r="Y507"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 строк до 2026-09-10. Попросити один знеособлений пакет здачі за цим workflow.</x:v>
      </x:c>
      <x:c r="Z507" s="15" t="str">
        <x:v>https://prozorro.gov.ua/tender/UA-2026-05-07-013060-a</x:v>
      </x:c>
      <x:c r="AA507" s="14" t="str">
        <x:v>2870704977</x:v>
      </x:c>
      <x:c r="AB507" s="14" t="str">
        <x:v>2026-08-24</x:v>
      </x:c>
      <x:c r="AC507" s="14" t="str"/>
      <x:c r="AD507" s="20" t="str"/>
      <x:c r="AE507" s="14" t="str"/>
      <x:c r="AF507" s="14" t="n">
        <x:v>51</x:v>
      </x:c>
      <x:c r="AG507" s="14" t="str">
        <x:v>I3</x:v>
      </x:c>
      <x:c r="AH507" s="14" t="n">
        <x:v>1</x:v>
      </x:c>
      <x:c r="AI507" s="14" t="n">
        <x:v>1</x:v>
      </x:c>
      <x:c r="AJ507" s="18" t="n">
        <x:v>550074</x:v>
      </x:c>
      <x:c r="AK507" s="14" t="str">
        <x:v>https://prozorro.gov.ua/tender/UA-2026-05-07-013060-a</x:v>
      </x:c>
      <x:c r="AL507" s="19" t="n">
        <x:v>46149.558380092596</x:v>
      </x:c>
      <x:c r="AM507" s="19" t="n">
        <x:v>46275</x:v>
      </x:c>
      <x:c r="AN507" s="15" t="str">
        <x:v>HVAC / ОВіК</x:v>
      </x:c>
      <x:c r="AO507" s="15" t="str">
        <x:v>not_found_in_top_search</x:v>
      </x:c>
    </x:row>
    <x:row r="508">
      <x:c r="A508" s="14" t="str">
        <x:v>W3-236</x:v>
      </x:c>
      <x:c r="B508" s="14" t="str">
        <x:v>Prozorro winners — 24.08</x:v>
      </x:c>
      <x:c r="C508" s="14" t="str">
        <x:v>ТОВАРИСТВО З ОБМЕЖЕНОЮ ВІДПОВІДАЛЬНІСТЮ "ТЕХНОЕЛІТСЕРВІС"</x:v>
      </x:c>
      <x:c r="D508" s="14" t="str">
        <x:v>Пожежогасіння</x:v>
      </x:c>
      <x:c r="E508" s="14" t="str">
        <x:v>Expansion discovery</x:v>
      </x:c>
      <x:c r="F508" s="17" t="str">
        <x:v>D3</x:v>
      </x:c>
      <x:c r="G508" s="14" t="str"/>
      <x:c r="H508" s="14" t="str">
        <x:v>Discovery розширення — 2 тижні</x:v>
      </x:c>
      <x:c r="I508" s="16" t="n">
        <x:v>1</x:v>
      </x:c>
      <x:c r="J508" s="16" t="n">
        <x:v>5</x:v>
      </x:c>
      <x:c r="K508" s="16" t="n">
        <x:v>4</x:v>
      </x:c>
      <x:c r="L508" s="16" t="n">
        <x:v>2</x:v>
      </x:c>
      <x:c r="M508" s="16" t="n">
        <x:v>5</x:v>
      </x:c>
      <x:c r="N508" s="16" t="n">
        <x:v>5</x:v>
      </x:c>
      <x:c r="O508" s="16" t="n">
        <x:v>5</x:v>
      </x:c>
      <x:c r="P508" s="16" t="n">
        <x:f>IF(COUNT(I508:O508)&lt;7,"",I508*8+J508*3+K508*2+L508*2+M508*2+N508*2+O508)</x:f>
        <x:v>60</x:v>
      </x:c>
      <x:c r="Q508" s="16" t="n">
        <x:f>IF(COUNT(J508:O508)&lt;6,"",J508*5+K508*4+M508*4+L508*3+N508*2+O508*2)</x:f>
        <x:v>87</x:v>
      </x:c>
      <x:c r="R508" s="14" t="str">
        <x:v>high</x:v>
      </x:c>
      <x:c r="S508" s="14" t="str">
        <x:v>official_prozorro_award_2025_2026</x:v>
      </x:c>
      <x:c r="T508" s="14" t="str">
        <x:v>official_prozorro_api</x:v>
      </x:c>
      <x:c r="U508" s="14" t="str">
        <x:v>Не контактували</x:v>
      </x:c>
      <x:c r="V508" s="15" t="str">
        <x:v>Повторне звернення з новим тендерним сигналом UA-2026-08-05-011338-a; попросити 1 пакет здачі</x:v>
      </x:c>
      <x:c r="W508" s="15" t="str">
        <x:v>Власник / директор; керівник ПТО; відповідальний за договори</x:v>
      </x:c>
      <x:c r="X508" s="15" t="str">
        <x:v>1 підтверджених перемог/договорів у Prozorro на 331 883 грн; 0 проєктів зі строком виконання не раніше 24.08.2026.</x:v>
      </x:c>
      <x:c r="Y508" s="15" t="str">
        <x:v>ДК 021:2015 45310000-3 Електромонтажні роботи    (Встановлення систем пожежної сигналізації (монтаж системи автоматичної пожежної сигналізації, системи оповіщення про пожежу та управління евакуацією людей, пусконалагоджувальні роботи); строк до 2026-08-10. Попросити один знеособлений пакет здачі за цим workflow.</x:v>
      </x:c>
      <x:c r="Z508" s="15" t="str">
        <x:v>https://prozorro.gov.ua/tender/UA-2026-07-06-004840-a</x:v>
      </x:c>
      <x:c r="AA508" s="14" t="str">
        <x:v>46150714</x:v>
      </x:c>
      <x:c r="AB508" s="14" t="str">
        <x:v>2026-08-24</x:v>
      </x:c>
      <x:c r="AC508" s="14" t="str"/>
      <x:c r="AD508" s="20" t="str"/>
      <x:c r="AE508" s="14" t="str"/>
      <x:c r="AF508" s="14" t="n">
        <x:v>84</x:v>
      </x:c>
      <x:c r="AG508" s="14" t="str">
        <x:v>I1</x:v>
      </x:c>
      <x:c r="AH508" s="14" t="n">
        <x:v>4</x:v>
      </x:c>
      <x:c r="AI508" s="14" t="n">
        <x:v>3</x:v>
      </x:c>
      <x:c r="AJ508" s="18" t="n">
        <x:v>3892537.33</x:v>
      </x:c>
      <x:c r="AK508" s="14" t="str">
        <x:v>https://prozorro.gov.ua/tender/UA-2026-08-05-011338-a</x:v>
      </x:c>
      <x:c r="AL508" s="19" t="n">
        <x:v>46254.559983796295</x:v>
      </x:c>
      <x:c r="AM508" s="19" t="n">
        <x:v>46381</x:v>
      </x:c>
      <x:c r="AN508" s="15" t="str">
        <x:v>Пожежогасіння; Пасивний вогнезахист</x:v>
      </x:c>
      <x:c r="AO508" s="15" t="str">
        <x:v>not_found_in_top_search</x:v>
      </x:c>
    </x:row>
    <x:row r="509">
      <x:c r="A509" s="14" t="str">
        <x:v>W3-237</x:v>
      </x:c>
      <x:c r="B509" s="14" t="str">
        <x:v>Prozorro winners — 24.08</x:v>
      </x:c>
      <x:c r="C509" s="14" t="str">
        <x:v>Приватне виробничо-комерційне підприємство "Авангард-Н"</x:v>
      </x:c>
      <x:c r="D509" s="14" t="str">
        <x:v>Насосні станції</x:v>
      </x:c>
      <x:c r="E509" s="14" t="str">
        <x:v>Expansion discovery</x:v>
      </x:c>
      <x:c r="F509" s="17" t="str">
        <x:v>D3</x:v>
      </x:c>
      <x:c r="G509" s="14" t="str"/>
      <x:c r="H509" s="14" t="str">
        <x:v>Discovery розширення — 2 тижні</x:v>
      </x:c>
      <x:c r="I509" s="16" t="n">
        <x:v>1</x:v>
      </x:c>
      <x:c r="J509" s="16" t="n">
        <x:v>5</x:v>
      </x:c>
      <x:c r="K509" s="16" t="n">
        <x:v>4</x:v>
      </x:c>
      <x:c r="L509" s="16" t="n">
        <x:v>4</x:v>
      </x:c>
      <x:c r="M509" s="16" t="n">
        <x:v>5</x:v>
      </x:c>
      <x:c r="N509" s="16" t="n">
        <x:v>5</x:v>
      </x:c>
      <x:c r="O509" s="16" t="n">
        <x:v>5</x:v>
      </x:c>
      <x:c r="P509" s="16" t="n">
        <x:f>IF(COUNT(I509:O509)&lt;7,"",I509*8+J509*3+K509*2+L509*2+M509*2+N509*2+O509)</x:f>
        <x:v>64</x:v>
      </x:c>
      <x:c r="Q509" s="16" t="n">
        <x:f>IF(COUNT(J509:O509)&lt;6,"",J509*5+K509*4+M509*4+L509*3+N509*2+O509*2)</x:f>
        <x:v>93</x:v>
      </x:c>
      <x:c r="R509" s="14" t="str">
        <x:v>high</x:v>
      </x:c>
      <x:c r="S509" s="14" t="str">
        <x:v>official_prozorro_award_2025_2026</x:v>
      </x:c>
      <x:c r="T509" s="14" t="str">
        <x:v>official_prozorro_api</x:v>
      </x:c>
      <x:c r="U509" s="14" t="str">
        <x:v>Не контактували</x:v>
      </x:c>
      <x:c r="V509" s="15" t="str">
        <x:v>Workflow-audit outreach по UA-2026-02-24-008821-a; попросити 1 пакет здачі та вимоги проєкту</x:v>
      </x:c>
      <x:c r="W509" s="15" t="str">
        <x:v>Власник / директор; керівник ПТО; відповідальний за договори</x:v>
      </x:c>
      <x:c r="X509" s="15" t="str">
        <x:v>1 підтверджених перемог/договорів у Prozorro на 7 771 584 грн; 1 проєктів зі строком виконання не раніше 24.08.2026.</x:v>
      </x:c>
      <x:c r="Y509"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 строк до 2026-12-31. Попросити один знеособлений пакет здачі за цим workflow.</x:v>
      </x:c>
      <x:c r="Z509" s="15" t="str">
        <x:v>https://prozorro.gov.ua/tender/UA-2026-02-24-008821-a</x:v>
      </x:c>
      <x:c r="AA509" s="14" t="str">
        <x:v>30759920</x:v>
      </x:c>
      <x:c r="AB509" s="14" t="str">
        <x:v>2026-08-24</x:v>
      </x:c>
      <x:c r="AC509" s="14" t="str"/>
      <x:c r="AD509" s="20" t="str"/>
      <x:c r="AE509" s="14" t="str"/>
      <x:c r="AF509" s="14" t="n">
        <x:v>50</x:v>
      </x:c>
      <x:c r="AG509" s="14" t="str">
        <x:v>I3</x:v>
      </x:c>
      <x:c r="AH509" s="14" t="n">
        <x:v>1</x:v>
      </x:c>
      <x:c r="AI509" s="14" t="n">
        <x:v>1</x:v>
      </x:c>
      <x:c r="AJ509" s="18" t="n">
        <x:v>7771583.88</x:v>
      </x:c>
      <x:c r="AK509" s="14" t="str">
        <x:v>https://prozorro.gov.ua/tender/UA-2026-02-24-008821-a</x:v>
      </x:c>
      <x:c r="AL509" s="19" t="n">
        <x:v>46104.59340543982</x:v>
      </x:c>
      <x:c r="AM509" s="19" t="n">
        <x:v>46387.51422453704</x:v>
      </x:c>
      <x:c r="AN509" s="15" t="str">
        <x:v>Насосні станції</x:v>
      </x:c>
      <x:c r="AO509" s="15" t="str">
        <x:v>not_found_in_top_search</x:v>
      </x:c>
    </x:row>
    <x:row r="510">
      <x:c r="A510" s="14" t="str">
        <x:v>W3-238</x:v>
      </x:c>
      <x:c r="B510" s="14" t="str">
        <x:v>Prozorro winners — 24.08</x:v>
      </x:c>
      <x:c r="C510" s="14" t="str">
        <x:v>ТОВ МКМ СЕРВІС ЛТД</x:v>
      </x:c>
      <x:c r="D510" s="14" t="str">
        <x:v>ВОЛЗ / телеком</x:v>
      </x:c>
      <x:c r="E510" s="14" t="str">
        <x:v>Expansion discovery</x:v>
      </x:c>
      <x:c r="F510" s="17" t="str">
        <x:v>D3</x:v>
      </x:c>
      <x:c r="G510" s="14" t="str">
        <x:v>mkm.ua</x:v>
      </x:c>
      <x:c r="H510" s="14" t="str">
        <x:v>Discovery розширення — 2 тижні</x:v>
      </x:c>
      <x:c r="I510" s="16" t="n">
        <x:v>1</x:v>
      </x:c>
      <x:c r="J510" s="16" t="n">
        <x:v>5</x:v>
      </x:c>
      <x:c r="K510" s="16" t="n">
        <x:v>4</x:v>
      </x:c>
      <x:c r="L510" s="16" t="n">
        <x:v>4</x:v>
      </x:c>
      <x:c r="M510" s="16" t="n">
        <x:v>5</x:v>
      </x:c>
      <x:c r="N510" s="16" t="n">
        <x:v>5</x:v>
      </x:c>
      <x:c r="O510" s="16" t="n">
        <x:v>5</x:v>
      </x:c>
      <x:c r="P510" s="16" t="n">
        <x:f>IF(COUNT(I510:O510)&lt;7,"",I510*8+J510*3+K510*2+L510*2+M510*2+N510*2+O510)</x:f>
        <x:v>64</x:v>
      </x:c>
      <x:c r="Q510" s="16" t="n">
        <x:f>IF(COUNT(J510:O510)&lt;6,"",J510*5+K510*4+M510*4+L510*3+N510*2+O510*2)</x:f>
        <x:v>93</x:v>
      </x:c>
      <x:c r="R510" s="14" t="str">
        <x:v>high</x:v>
      </x:c>
      <x:c r="S510" s="14" t="str">
        <x:v>official_prozorro_award_2025_2026</x:v>
      </x:c>
      <x:c r="T510" s="14" t="str">
        <x:v>official_prozorro_api</x:v>
      </x:c>
      <x:c r="U510" s="14" t="str">
        <x:v>Не контактували</x:v>
      </x:c>
      <x:c r="V510" s="15" t="str">
        <x:v>Workflow-audit outreach по UA-2025-12-15-005738-a; попросити 1 пакет здачі та вимоги проєкту</x:v>
      </x:c>
      <x:c r="W510" s="15" t="str">
        <x:v>Власник / директор; керівник ПТО; відповідальний за договори</x:v>
      </x:c>
      <x:c r="X510" s="15" t="str">
        <x:v>1 підтверджених перемог/договорів у Prozorro на 6 828 498 грн; 1 проєктів зі строком виконання не раніше 24.08.2026.</x:v>
      </x:c>
      <x:c r="Y510"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 строк до 2026-08-31. Попросити один знеособлений пакет здачі за цим workflow.</x:v>
      </x:c>
      <x:c r="Z510" s="15" t="str">
        <x:v>https://prozorro.gov.ua/tender/UA-2025-12-15-005738-a</x:v>
      </x:c>
      <x:c r="AA510" s="14" t="str">
        <x:v>36444694</x:v>
      </x:c>
      <x:c r="AB510" s="14" t="str">
        <x:v>2026-08-24</x:v>
      </x:c>
      <x:c r="AC510" s="14" t="str"/>
      <x:c r="AD510" s="20" t="str"/>
      <x:c r="AE510" s="14" t="str"/>
      <x:c r="AF510" s="14" t="n">
        <x:v>50</x:v>
      </x:c>
      <x:c r="AG510" s="14" t="str">
        <x:v>I3</x:v>
      </x:c>
      <x:c r="AH510" s="14" t="n">
        <x:v>1</x:v>
      </x:c>
      <x:c r="AI510" s="14" t="n">
        <x:v>1</x:v>
      </x:c>
      <x:c r="AJ510" s="18" t="n">
        <x:v>6828497.65</x:v>
      </x:c>
      <x:c r="AK510" s="14" t="str">
        <x:v>https://prozorro.gov.ua/tender/UA-2025-12-15-005738-a</x:v>
      </x:c>
      <x:c r="AL510" s="19" t="n">
        <x:v>46036.33356778935</x:v>
      </x:c>
      <x:c r="AM510" s="19" t="n">
        <x:v>46265</x:v>
      </x:c>
      <x:c r="AN510" s="15" t="str">
        <x:v>ВОЛЗ / телеком</x:v>
      </x:c>
      <x:c r="AO510" s="15" t="str">
        <x:v>supplier_provided_url</x:v>
      </x:c>
    </x:row>
    <x:row r="511">
      <x:c r="A511" s="14" t="str">
        <x:v>W3-239</x:v>
      </x:c>
      <x:c r="B511" s="14" t="str">
        <x:v>Prozorro winners — 24.08</x:v>
      </x:c>
      <x:c r="C511" s="14" t="str">
        <x:v>ТОВАРИСТВО З ОБМЕЖЕНОЮ ВІДПОВІДАЛЬНІСТЮ "ГЕНПРОЕКТ"</x:v>
      </x:c>
      <x:c r="D511" s="14" t="str">
        <x:v>Насосні станції</x:v>
      </x:c>
      <x:c r="E511" s="14" t="str">
        <x:v>Expansion discovery</x:v>
      </x:c>
      <x:c r="F511" s="17" t="str">
        <x:v>D3</x:v>
      </x:c>
      <x:c r="G511" s="14" t="str"/>
      <x:c r="H511" s="14" t="str">
        <x:v>Discovery розширення — 2 тижні</x:v>
      </x:c>
      <x:c r="I511" s="16" t="n">
        <x:v>1</x:v>
      </x:c>
      <x:c r="J511" s="16" t="n">
        <x:v>5</x:v>
      </x:c>
      <x:c r="K511" s="16" t="n">
        <x:v>4</x:v>
      </x:c>
      <x:c r="L511" s="16" t="n">
        <x:v>2</x:v>
      </x:c>
      <x:c r="M511" s="16" t="n">
        <x:v>5</x:v>
      </x:c>
      <x:c r="N511" s="16" t="n">
        <x:v>5</x:v>
      </x:c>
      <x:c r="O511" s="16" t="n">
        <x:v>5</x:v>
      </x:c>
      <x:c r="P511" s="16" t="n">
        <x:f>IF(COUNT(I511:O511)&lt;7,"",I511*8+J511*3+K511*2+L511*2+M511*2+N511*2+O511)</x:f>
        <x:v>60</x:v>
      </x:c>
      <x:c r="Q511" s="16" t="n">
        <x:f>IF(COUNT(J511:O511)&lt;6,"",J511*5+K511*4+M511*4+L511*3+N511*2+O511*2)</x:f>
        <x:v>87</x:v>
      </x:c>
      <x:c r="R511" s="14" t="str">
        <x:v>high</x:v>
      </x:c>
      <x:c r="S511" s="14" t="str">
        <x:v>official_prozorro_award_2025_2026</x:v>
      </x:c>
      <x:c r="T511" s="14" t="str">
        <x:v>official_prozorro_api</x:v>
      </x:c>
      <x:c r="U511" s="14" t="str">
        <x:v>Не контактували</x:v>
      </x:c>
      <x:c r="V511" s="15" t="str">
        <x:v>Workflow-audit outreach по UA-2026-07-08-005569-a; попросити 1 пакет здачі та вимоги проєкту</x:v>
      </x:c>
      <x:c r="W511" s="15" t="str">
        <x:v>Власник / директор; керівник ПТО; відповідальний за договори</x:v>
      </x:c>
      <x:c r="X511" s="15" t="str">
        <x:v>1 підтверджених перемог/договорів у Prozorro на 419 604 грн; 1 проєктів зі строком виконання не раніше 24.08.2026.</x:v>
      </x:c>
      <x:c r="Y511"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 строк до 2026-10-31. Попросити один знеособлений пакет здачі за цим workflow.</x:v>
      </x:c>
      <x:c r="Z511" s="15" t="str">
        <x:v>https://prozorro.gov.ua/tender/UA-2026-07-08-005569-a</x:v>
      </x:c>
      <x:c r="AA511" s="14" t="str">
        <x:v>40446598</x:v>
      </x:c>
      <x:c r="AB511" s="14" t="str">
        <x:v>2026-08-24</x:v>
      </x:c>
      <x:c r="AC511" s="14" t="str"/>
      <x:c r="AD511" s="20" t="str"/>
      <x:c r="AE511" s="14" t="str"/>
      <x:c r="AF511" s="14" t="n">
        <x:v>50</x:v>
      </x:c>
      <x:c r="AG511" s="14" t="str">
        <x:v>I3</x:v>
      </x:c>
      <x:c r="AH511" s="14" t="n">
        <x:v>1</x:v>
      </x:c>
      <x:c r="AI511" s="14" t="n">
        <x:v>1</x:v>
      </x:c>
      <x:c r="AJ511" s="18" t="n">
        <x:v>419604</x:v>
      </x:c>
      <x:c r="AK511" s="14" t="str">
        <x:v>https://prozorro.gov.ua/tender/UA-2026-07-08-005569-a</x:v>
      </x:c>
      <x:c r="AL511" s="19" t="n">
        <x:v>46211.424239050924</x:v>
      </x:c>
      <x:c r="AM511" s="19" t="n">
        <x:v>46326</x:v>
      </x:c>
      <x:c r="AN511" s="15" t="str">
        <x:v>Насосні станції</x:v>
      </x:c>
      <x:c r="AO511" s="15" t="str">
        <x:v>not_found_in_top_search</x:v>
      </x:c>
    </x:row>
    <x:row r="512">
      <x:c r="A512" s="14" t="str">
        <x:v>W3-240</x:v>
      </x:c>
      <x:c r="B512" s="14" t="str">
        <x:v>Prozorro winners — 24.08</x:v>
      </x:c>
      <x:c r="C512" s="14" t="str">
        <x:v>ТОВАРИСТВО З ОБМЕЖЕНОЮ ВІД­ПО­ВІД­АЛЬ­НІ­СТЮ «КРАТОС ПОЖЕЖНА ОХОРОНА»</x:v>
      </x:c>
      <x:c r="D512" s="14" t="str">
        <x:v>Пожежогасіння</x:v>
      </x:c>
      <x:c r="E512" s="14" t="str">
        <x:v>Expansion discovery</x:v>
      </x:c>
      <x:c r="F512" s="17" t="str">
        <x:v>D3</x:v>
      </x:c>
      <x:c r="G512" s="14" t="str"/>
      <x:c r="H512" s="14" t="str">
        <x:v>Discovery розширення — 2 тижні</x:v>
      </x:c>
      <x:c r="I512" s="16" t="n">
        <x:v>1</x:v>
      </x:c>
      <x:c r="J512" s="16" t="n">
        <x:v>5</x:v>
      </x:c>
      <x:c r="K512" s="16" t="n">
        <x:v>4</x:v>
      </x:c>
      <x:c r="L512" s="16" t="n">
        <x:v>2</x:v>
      </x:c>
      <x:c r="M512" s="16" t="n">
        <x:v>5</x:v>
      </x:c>
      <x:c r="N512" s="16" t="n">
        <x:v>5</x:v>
      </x:c>
      <x:c r="O512" s="16" t="n">
        <x:v>5</x:v>
      </x:c>
      <x:c r="P512" s="16" t="n">
        <x:f>IF(COUNT(I512:O512)&lt;7,"",I512*8+J512*3+K512*2+L512*2+M512*2+N512*2+O512)</x:f>
        <x:v>60</x:v>
      </x:c>
      <x:c r="Q512" s="16" t="n">
        <x:f>IF(COUNT(J512:O512)&lt;6,"",J512*5+K512*4+M512*4+L512*3+N512*2+O512*2)</x:f>
        <x:v>87</x:v>
      </x:c>
      <x:c r="R512" s="14" t="str">
        <x:v>high</x:v>
      </x:c>
      <x:c r="S512" s="14" t="str">
        <x:v>official_prozorro_award_2025_2026</x:v>
      </x:c>
      <x:c r="T512" s="14" t="str">
        <x:v>official_prozorro_api</x:v>
      </x:c>
      <x:c r="U512" s="14" t="str">
        <x:v>Не контактували</x:v>
      </x:c>
      <x:c r="V512" s="15" t="str">
        <x:v>Workflow-audit outreach по UA-2026-07-02-007340-a; попросити 1 пакет здачі та вимоги проєкту</x:v>
      </x:c>
      <x:c r="W512" s="15" t="str">
        <x:v>Власник / директор; керівник ПТО; відповідальний за договори</x:v>
      </x:c>
      <x:c r="X512" s="15" t="str">
        <x:v>1 підтверджених перемог/договорів у Prozorro на 179 394 грн; 1 проєктів зі строком виконання не раніше 24.08.2026.</x:v>
      </x:c>
      <x:c r="Y512" s="15" t="str">
        <x:v>Монтаж системи пожежної сигналізації внутрішніх приміщень будинку за адресою: вул. Помірки, 27 в місті Харкові; строк до 2026-08-31. Попросити один знеособлений пакет здачі за цим workflow.</x:v>
      </x:c>
      <x:c r="Z512" s="15" t="str">
        <x:v>https://prozorro.gov.ua/tender/UA-2026-07-02-007340-a</x:v>
      </x:c>
      <x:c r="AA512" s="14" t="str">
        <x:v>44229483</x:v>
      </x:c>
      <x:c r="AB512" s="14" t="str">
        <x:v>2026-08-24</x:v>
      </x:c>
      <x:c r="AC512" s="14" t="str"/>
      <x:c r="AD512" s="20" t="str"/>
      <x:c r="AE512" s="14" t="str"/>
      <x:c r="AF512" s="14" t="n">
        <x:v>50</x:v>
      </x:c>
      <x:c r="AG512" s="14" t="str">
        <x:v>I3</x:v>
      </x:c>
      <x:c r="AH512" s="14" t="n">
        <x:v>1</x:v>
      </x:c>
      <x:c r="AI512" s="14" t="n">
        <x:v>1</x:v>
      </x:c>
      <x:c r="AJ512" s="18" t="n">
        <x:v>179394.48</x:v>
      </x:c>
      <x:c r="AK512" s="14" t="str">
        <x:v>https://prozorro.gov.ua/tender/UA-2026-07-02-007340-a</x:v>
      </x:c>
      <x:c r="AL512" s="19" t="n">
        <x:v>46205.501769236114</x:v>
      </x:c>
      <x:c r="AM512" s="19" t="n">
        <x:v>46265</x:v>
      </x:c>
      <x:c r="AN512" s="15" t="str">
        <x:v>Пожежогасіння</x:v>
      </x:c>
      <x:c r="AO512" s="15" t="str">
        <x:v>not_found_in_top_search</x:v>
      </x:c>
    </x:row>
    <x:row r="513">
      <x:c r="A513" s="14" t="str">
        <x:v>W3-241</x:v>
      </x:c>
      <x:c r="B513" s="14" t="str">
        <x:v>Prozorro winners — 24.08</x:v>
      </x:c>
      <x:c r="C513" s="14" t="str">
        <x:v>Товариство з обмеженою відповідальністю «Будбетон Сервіс»</x:v>
      </x:c>
      <x:c r="D513" s="14" t="str">
        <x:v>HVAC / ОВіК</x:v>
      </x:c>
      <x:c r="E513" s="14" t="str">
        <x:v>Pilot now</x:v>
      </x:c>
      <x:c r="F513" s="17" t="str">
        <x:v>P3</x:v>
      </x:c>
      <x:c r="G513" s="14" t="str"/>
      <x:c r="H513" s="14" t="str">
        <x:v>Пілот зараз — Н.14</x:v>
      </x:c>
      <x:c r="I513" s="16" t="n">
        <x:v>5</x:v>
      </x:c>
      <x:c r="J513" s="16" t="n">
        <x:v>5</x:v>
      </x:c>
      <x:c r="K513" s="16" t="n">
        <x:v>5</x:v>
      </x:c>
      <x:c r="L513" s="16" t="n">
        <x:v>2</x:v>
      </x:c>
      <x:c r="M513" s="16" t="n">
        <x:v>5</x:v>
      </x:c>
      <x:c r="N513" s="16" t="n">
        <x:v>5</x:v>
      </x:c>
      <x:c r="O513" s="16" t="n">
        <x:v>5</x:v>
      </x:c>
      <x:c r="P513" s="16" t="n">
        <x:f>IF(COUNT(I513:O513)&lt;7,"",I513*8+J513*3+K513*2+L513*2+M513*2+N513*2+O513)</x:f>
        <x:v>94</x:v>
      </x:c>
      <x:c r="Q513" s="16" t="n">
        <x:f>IF(COUNT(J513:O513)&lt;6,"",J513*5+K513*4+M513*4+L513*3+N513*2+O513*2)</x:f>
        <x:v>91</x:v>
      </x:c>
      <x:c r="R513" s="14" t="str">
        <x:v>high</x:v>
      </x:c>
      <x:c r="S513" s="14" t="str">
        <x:v>official_prozorro_award_2025_2026</x:v>
      </x:c>
      <x:c r="T513" s="14" t="str">
        <x:v>official_prozorro_api</x:v>
      </x:c>
      <x:c r="U513" s="14" t="str">
        <x:v>Не контактували</x:v>
      </x:c>
      <x:c r="V513" s="15" t="str">
        <x:v>Персоналізований free-pilot outreach по UA-2026-06-05-009222-a; попросити 1 пакет Н.14/Н.15</x:v>
      </x:c>
      <x:c r="W513" s="15" t="str">
        <x:v>Власник / директор; керівник ПТО; відповідальний за договори</x:v>
      </x:c>
      <x:c r="X513" s="15" t="str">
        <x:v>1 підтверджених перемог/договорів у Prozorro на 150 881 грн; 1 проєктів зі строком виконання не раніше 24.08.2026.</x:v>
      </x:c>
      <x:c r="Y513"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 строк до 2026-12-31. Попросити один знеособлений пакет здачі за цим workflow.</x:v>
      </x:c>
      <x:c r="Z513" s="15" t="str">
        <x:v>https://prozorro.gov.ua/tender/UA-2026-06-05-009222-a</x:v>
      </x:c>
      <x:c r="AA513" s="14" t="str">
        <x:v>39067062</x:v>
      </x:c>
      <x:c r="AB513" s="14" t="str">
        <x:v>2026-08-24</x:v>
      </x:c>
      <x:c r="AC513" s="14" t="str"/>
      <x:c r="AD513" s="20" t="str"/>
      <x:c r="AE513" s="14" t="str"/>
      <x:c r="AF513" s="14" t="n">
        <x:v>50</x:v>
      </x:c>
      <x:c r="AG513" s="14" t="str">
        <x:v>I3</x:v>
      </x:c>
      <x:c r="AH513" s="14" t="n">
        <x:v>1</x:v>
      </x:c>
      <x:c r="AI513" s="14" t="n">
        <x:v>1</x:v>
      </x:c>
      <x:c r="AJ513" s="18" t="n">
        <x:v>150881</x:v>
      </x:c>
      <x:c r="AK513" s="14" t="str">
        <x:v>https://prozorro.gov.ua/tender/UA-2026-06-05-009222-a</x:v>
      </x:c>
      <x:c r="AL513" s="19" t="n">
        <x:v>46178.49249604167</x:v>
      </x:c>
      <x:c r="AM513" s="19" t="n">
        <x:v>46387.53518518519</x:v>
      </x:c>
      <x:c r="AN513" s="15" t="str">
        <x:v>HVAC / ОВіК</x:v>
      </x:c>
      <x:c r="AO513" s="15" t="str">
        <x:v>not_found_in_top_search</x:v>
      </x:c>
    </x:row>
    <x:row r="514">
      <x:c r="A514" s="14" t="str">
        <x:v>W3-242</x:v>
      </x:c>
      <x:c r="B514" s="14" t="str">
        <x:v>Prozorro winners — 24.08</x:v>
      </x:c>
      <x:c r="C514" s="14" t="str">
        <x:v>Товариство з обмеженою відповідальністю "ОМЕГА ВЕСТ ТРЕЙД"</x:v>
      </x:c>
      <x:c r="D514" s="14" t="str">
        <x:v>Водоочищення / очисні споруди</x:v>
      </x:c>
      <x:c r="E514" s="14" t="str">
        <x:v>Expansion discovery</x:v>
      </x:c>
      <x:c r="F514" s="17" t="str">
        <x:v>D3</x:v>
      </x:c>
      <x:c r="G514" s="14" t="str"/>
      <x:c r="H514" s="14" t="str">
        <x:v>Discovery розширення — 2 тижні</x:v>
      </x:c>
      <x:c r="I514" s="16" t="n">
        <x:v>1</x:v>
      </x:c>
      <x:c r="J514" s="16" t="n">
        <x:v>5</x:v>
      </x:c>
      <x:c r="K514" s="16" t="n">
        <x:v>4</x:v>
      </x:c>
      <x:c r="L514" s="16" t="n">
        <x:v>2</x:v>
      </x:c>
      <x:c r="M514" s="16" t="n">
        <x:v>5</x:v>
      </x:c>
      <x:c r="N514" s="16" t="n">
        <x:v>5</x:v>
      </x:c>
      <x:c r="O514" s="16" t="n">
        <x:v>5</x:v>
      </x:c>
      <x:c r="P514" s="16" t="n">
        <x:f>IF(COUNT(I514:O514)&lt;7,"",I514*8+J514*3+K514*2+L514*2+M514*2+N514*2+O514)</x:f>
        <x:v>60</x:v>
      </x:c>
      <x:c r="Q514" s="16" t="n">
        <x:f>IF(COUNT(J514:O514)&lt;6,"",J514*5+K514*4+M514*4+L514*3+N514*2+O514*2)</x:f>
        <x:v>87</x:v>
      </x:c>
      <x:c r="R514" s="14" t="str">
        <x:v>high</x:v>
      </x:c>
      <x:c r="S514" s="14" t="str">
        <x:v>official_prozorro_award_2025_2026</x:v>
      </x:c>
      <x:c r="T514" s="14" t="str">
        <x:v>official_prozorro_api</x:v>
      </x:c>
      <x:c r="U514" s="14" t="str">
        <x:v>Не контактували</x:v>
      </x:c>
      <x:c r="V514" s="15" t="str">
        <x:v>Повторне звернення з новим тендерним сигналом UA-2026-08-14-009077-a; попросити 1 пакет здачі</x:v>
      </x:c>
      <x:c r="W514" s="15" t="str">
        <x:v>Власник / директор; керівник ПТО; відповідальний за договори</x:v>
      </x:c>
      <x:c r="X514" s="15" t="str">
        <x:v>1 підтверджених перемог/договорів у Prozorro на 149 520 грн; 1 проєктів зі строком виконання не раніше 24.08.2026.</x:v>
      </x:c>
      <x:c r="Y514"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 строк до 2026-12-31. Попросити один знеособлений пакет здачі за цим workflow.</x:v>
      </x:c>
      <x:c r="Z514" s="15" t="str">
        <x:v>https://prozorro.gov.ua/tender/UA-2026-06-26-003479-a</x:v>
      </x:c>
      <x:c r="AA514" s="14" t="str">
        <x:v>42418604</x:v>
      </x:c>
      <x:c r="AB514" s="14" t="str">
        <x:v>2026-08-24</x:v>
      </x:c>
      <x:c r="AC514" s="14" t="str"/>
      <x:c r="AD514" s="20" t="str"/>
      <x:c r="AE514" s="14" t="str"/>
      <x:c r="AF514" s="14" t="n">
        <x:v>73</x:v>
      </x:c>
      <x:c r="AG514" s="14" t="str">
        <x:v>I2</x:v>
      </x:c>
      <x:c r="AH514" s="14" t="n">
        <x:v>3</x:v>
      </x:c>
      <x:c r="AI514" s="14" t="n">
        <x:v>3</x:v>
      </x:c>
      <x:c r="AJ514" s="18" t="n">
        <x:v>909987.01</x:v>
      </x:c>
      <x:c r="AK514" s="14" t="str">
        <x:v>https://prozorro.gov.ua/tender/UA-2026-08-14-009077-a</x:v>
      </x:c>
      <x:c r="AL514" s="19" t="n">
        <x:v>46248.510890405094</x:v>
      </x:c>
      <x:c r="AM514" s="19" t="n">
        <x:v>46387</x:v>
      </x:c>
      <x:c r="AN514" s="15" t="str">
        <x:v>Водоочищення / очисні споруди; Насосні станції; Зовнішні мережі</x:v>
      </x:c>
      <x:c r="AO514" s="15" t="str">
        <x:v>not_found_in_top_search</x:v>
      </x:c>
    </x:row>
    <x:row r="515">
      <x:c r="A515" s="14" t="str">
        <x:v>W3-243</x:v>
      </x:c>
      <x:c r="B515" s="14" t="str">
        <x:v>Prozorro winners — 24.08</x:v>
      </x:c>
      <x:c r="C515" s="14" t="str">
        <x:v>ДНІПРОВСЬКА ФІЛІЯ ДЕРЖАВНОГО ПІДПРИЄМСТВА "ДЕРЖАВНИЙ НАУКОВО-ДОСЛІДНИЙ ТА ПРОЕКТНО-ВИШУКУВАЛЬНИЙ ІНСТИТУТ "НДІПРОЕКТРЕКОНСТРУКЦІЯ"</x:v>
      </x:c>
      <x:c r="D515" s="14" t="str">
        <x:v>Зовнішні мережі</x:v>
      </x:c>
      <x:c r="E515" s="14" t="str">
        <x:v>Expansion discovery</x:v>
      </x:c>
      <x:c r="F515" s="17" t="str">
        <x:v>D3</x:v>
      </x:c>
      <x:c r="G515" s="14" t="str"/>
      <x:c r="H515" s="14" t="str">
        <x:v>Discovery розширення — 2 тижні</x:v>
      </x:c>
      <x:c r="I515" s="16" t="n">
        <x:v>1</x:v>
      </x:c>
      <x:c r="J515" s="16" t="n">
        <x:v>5</x:v>
      </x:c>
      <x:c r="K515" s="16" t="n">
        <x:v>4</x:v>
      </x:c>
      <x:c r="L515" s="16" t="n">
        <x:v>2</x:v>
      </x:c>
      <x:c r="M515" s="16" t="n">
        <x:v>5</x:v>
      </x:c>
      <x:c r="N515" s="16" t="n">
        <x:v>5</x:v>
      </x:c>
      <x:c r="O515" s="16" t="n">
        <x:v>5</x:v>
      </x:c>
      <x:c r="P515" s="16" t="n">
        <x:f>IF(COUNT(I515:O515)&lt;7,"",I515*8+J515*3+K515*2+L515*2+M515*2+N515*2+O515)</x:f>
        <x:v>60</x:v>
      </x:c>
      <x:c r="Q515" s="16" t="n">
        <x:f>IF(COUNT(J515:O515)&lt;6,"",J515*5+K515*4+M515*4+L515*3+N515*2+O515*2)</x:f>
        <x:v>87</x:v>
      </x:c>
      <x:c r="R515" s="14" t="str">
        <x:v>high</x:v>
      </x:c>
      <x:c r="S515" s="14" t="str">
        <x:v>official_prozorro_award_2025_2026</x:v>
      </x:c>
      <x:c r="T515" s="14" t="str">
        <x:v>official_prozorro_api</x:v>
      </x:c>
      <x:c r="U515" s="14" t="str">
        <x:v>Не контактували</x:v>
      </x:c>
      <x:c r="V515" s="15" t="str">
        <x:v>Workflow-audit outreach по UA-2026-05-13-012248-a; попросити 1 пакет здачі та вимоги проєкту</x:v>
      </x:c>
      <x:c r="W515" s="15" t="str">
        <x:v>Власник / директор; керівник ПТО; відповідальний за договори</x:v>
      </x:c>
      <x:c r="X515" s="15" t="str">
        <x:v>2 підтверджених перемог/договорів у Prozorro на 138 689 грн; 0 проєктів зі строком виконання не раніше 24.08.2026.</x:v>
      </x:c>
      <x:c r="Y515"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 строк до 2026-06-12. Попросити один знеособлений пакет здачі за цим workflow.</x:v>
      </x:c>
      <x:c r="Z515" s="15" t="str">
        <x:v>https://prozorro.gov.ua/tender/UA-2026-05-13-012248-a</x:v>
      </x:c>
      <x:c r="AA515" s="14" t="str">
        <x:v>03328965</x:v>
      </x:c>
      <x:c r="AB515" s="14" t="str">
        <x:v>2026-08-24</x:v>
      </x:c>
      <x:c r="AC515" s="14" t="str"/>
      <x:c r="AD515" s="20" t="str"/>
      <x:c r="AE515" s="14" t="str"/>
      <x:c r="AF515" s="14" t="n">
        <x:v>50</x:v>
      </x:c>
      <x:c r="AG515" s="14" t="str">
        <x:v>I3</x:v>
      </x:c>
      <x:c r="AH515" s="14" t="n">
        <x:v>2</x:v>
      </x:c>
      <x:c r="AI515" s="14" t="n">
        <x:v>0</x:v>
      </x:c>
      <x:c r="AJ515" s="18" t="n">
        <x:v>138688.69</x:v>
      </x:c>
      <x:c r="AK515" s="14" t="str">
        <x:v>https://prozorro.gov.ua/tender/UA-2026-05-13-012248-a</x:v>
      </x:c>
      <x:c r="AL515" s="19" t="n">
        <x:v>46155.56610253472</x:v>
      </x:c>
      <x:c r="AM515" s="19" t="n">
        <x:v>46185</x:v>
      </x:c>
      <x:c r="AN515" s="15" t="str">
        <x:v>Зовнішні мережі</x:v>
      </x:c>
      <x:c r="AO515" s="15" t="str">
        <x:v>not_found_in_top_search</x:v>
      </x:c>
    </x:row>
    <x:row r="516">
      <x:c r="A516" s="14" t="str">
        <x:v>W3-244</x:v>
      </x:c>
      <x:c r="B516" s="14" t="str">
        <x:v>Prozorro winners — 24.08</x:v>
      </x:c>
      <x:c r="C516" s="14" t="str">
        <x:v>Державний регіональний проектно-вишукувальний інститут «УКРПІВДЕНДІПРО-ВОДГОСП»</x:v>
      </x:c>
      <x:c r="D516" s="14" t="str">
        <x:v>Водоочищення / очисні споруди</x:v>
      </x:c>
      <x:c r="E516" s="14" t="str">
        <x:v>Expansion discovery</x:v>
      </x:c>
      <x:c r="F516" s="17" t="str">
        <x:v>D3</x:v>
      </x:c>
      <x:c r="G516" s="14" t="str"/>
      <x:c r="H516" s="14" t="str">
        <x:v>Discovery розширення — 2 тижні</x:v>
      </x:c>
      <x:c r="I516" s="16" t="n">
        <x:v>1</x:v>
      </x:c>
      <x:c r="J516" s="16" t="n">
        <x:v>5</x:v>
      </x:c>
      <x:c r="K516" s="16" t="n">
        <x:v>4</x:v>
      </x:c>
      <x:c r="L516" s="16" t="n">
        <x:v>2</x:v>
      </x:c>
      <x:c r="M516" s="16" t="n">
        <x:v>5</x:v>
      </x:c>
      <x:c r="N516" s="16" t="n">
        <x:v>5</x:v>
      </x:c>
      <x:c r="O516" s="16" t="n">
        <x:v>5</x:v>
      </x:c>
      <x:c r="P516" s="16" t="n">
        <x:f>IF(COUNT(I516:O516)&lt;7,"",I516*8+J516*3+K516*2+L516*2+M516*2+N516*2+O516)</x:f>
        <x:v>60</x:v>
      </x:c>
      <x:c r="Q516" s="16" t="n">
        <x:f>IF(COUNT(J516:O516)&lt;6,"",J516*5+K516*4+M516*4+L516*3+N516*2+O516*2)</x:f>
        <x:v>87</x:v>
      </x:c>
      <x:c r="R516" s="14" t="str">
        <x:v>high</x:v>
      </x:c>
      <x:c r="S516" s="14" t="str">
        <x:v>official_prozorro_award_2025_2026</x:v>
      </x:c>
      <x:c r="T516" s="14" t="str">
        <x:v>official_prozorro_api</x:v>
      </x:c>
      <x:c r="U516" s="14" t="str">
        <x:v>Не контактували</x:v>
      </x:c>
      <x:c r="V516" s="15" t="str">
        <x:v>Workflow-audit outreach по UA-2026-05-19-002841-a; попросити 1 пакет здачі та вимоги проєкту</x:v>
      </x:c>
      <x:c r="W516" s="15" t="str">
        <x:v>Власник / директор; керівник ПТО; відповідальний за договори</x:v>
      </x:c>
      <x:c r="X516" s="15" t="str">
        <x:v>1 підтверджених перемог/договорів у Prozorro на 130 853 грн; 1 проєктів зі строком виконання не раніше 24.08.2026.</x:v>
      </x:c>
      <x:c r="Y516"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 строк до 2026-12-31. Попросити один знеособлений пакет здачі за цим workflow.</x:v>
      </x:c>
      <x:c r="Z516" s="15" t="str">
        <x:v>https://prozorro.gov.ua/tender/UA-2026-05-19-002841-a</x:v>
      </x:c>
      <x:c r="AA516" s="14" t="str">
        <x:v>01037904</x:v>
      </x:c>
      <x:c r="AB516" s="14" t="str">
        <x:v>2026-08-24</x:v>
      </x:c>
      <x:c r="AC516" s="14" t="str"/>
      <x:c r="AD516" s="20" t="str"/>
      <x:c r="AE516" s="14" t="str"/>
      <x:c r="AF516" s="14" t="n">
        <x:v>50</x:v>
      </x:c>
      <x:c r="AG516" s="14" t="str">
        <x:v>I3</x:v>
      </x:c>
      <x:c r="AH516" s="14" t="n">
        <x:v>1</x:v>
      </x:c>
      <x:c r="AI516" s="14" t="n">
        <x:v>1</x:v>
      </x:c>
      <x:c r="AJ516" s="18" t="n">
        <x:v>130852.88</x:v>
      </x:c>
      <x:c r="AK516" s="14" t="str">
        <x:v>https://prozorro.gov.ua/tender/UA-2026-05-19-002841-a</x:v>
      </x:c>
      <x:c r="AL516" s="19" t="n">
        <x:v>46161.321657291664</x:v>
      </x:c>
      <x:c r="AM516" s="19" t="n">
        <x:v>46387.360763888886</x:v>
      </x:c>
      <x:c r="AN516" s="15" t="str">
        <x:v>Водоочищення / очисні споруди</x:v>
      </x:c>
      <x:c r="AO516" s="15" t="str">
        <x:v>not_found_in_top_search</x:v>
      </x:c>
    </x:row>
    <x:row r="517">
      <x:c r="A517" s="14" t="str">
        <x:v>W3-245</x:v>
      </x:c>
      <x:c r="B517" s="14" t="str">
        <x:v>Prozorro winners — 24.08</x:v>
      </x:c>
      <x:c r="C517" s="14" t="str">
        <x:v>ТОВАРИСТВО З ОБМЕЖЕНОЮ ВІДПОВІДАЛЬНІСТЮ "ВЕКТОР ЛТД"</x:v>
      </x:c>
      <x:c r="D517" s="14" t="str">
        <x:v>Безпека / СКУД / CCTV</x:v>
      </x:c>
      <x:c r="E517" s="14" t="str">
        <x:v>Expansion discovery</x:v>
      </x:c>
      <x:c r="F517" s="17" t="str">
        <x:v>D3</x:v>
      </x:c>
      <x:c r="G517" s="14" t="str"/>
      <x:c r="H517" s="14" t="str">
        <x:v>Discovery розширення — 2 тижні</x:v>
      </x:c>
      <x:c r="I517" s="16" t="n">
        <x:v>1</x:v>
      </x:c>
      <x:c r="J517" s="16" t="n">
        <x:v>5</x:v>
      </x:c>
      <x:c r="K517" s="16" t="n">
        <x:v>4</x:v>
      </x:c>
      <x:c r="L517" s="16" t="n">
        <x:v>2</x:v>
      </x:c>
      <x:c r="M517" s="16" t="n">
        <x:v>5</x:v>
      </x:c>
      <x:c r="N517" s="16" t="n">
        <x:v>5</x:v>
      </x:c>
      <x:c r="O517" s="16" t="n">
        <x:v>5</x:v>
      </x:c>
      <x:c r="P517" s="16" t="n">
        <x:f>IF(COUNT(I517:O517)&lt;7,"",I517*8+J517*3+K517*2+L517*2+M517*2+N517*2+O517)</x:f>
        <x:v>60</x:v>
      </x:c>
      <x:c r="Q517" s="16" t="n">
        <x:f>IF(COUNT(J517:O517)&lt;6,"",J517*5+K517*4+M517*4+L517*3+N517*2+O517*2)</x:f>
        <x:v>87</x:v>
      </x:c>
      <x:c r="R517" s="14" t="str">
        <x:v>high</x:v>
      </x:c>
      <x:c r="S517" s="14" t="str">
        <x:v>official_prozorro_award_2025_2026</x:v>
      </x:c>
      <x:c r="T517" s="14" t="str">
        <x:v>official_prozorro_api</x:v>
      </x:c>
      <x:c r="U517" s="14" t="str">
        <x:v>Не контактували</x:v>
      </x:c>
      <x:c r="V517" s="15" t="str">
        <x:v>Workflow-audit outreach по UA-2026-05-14-007547-a; попросити 1 пакет здачі та вимоги проєкту</x:v>
      </x:c>
      <x:c r="W517" s="15" t="str">
        <x:v>Власник / директор; керівник ПТО; відповідальний за договори</x:v>
      </x:c>
      <x:c r="X517" s="15" t="str">
        <x:v>1 підтверджених перемог/договорів у Prozorro на 117 567 грн; 1 проєктів зі строком виконання не раніше 24.08.2026.</x:v>
      </x:c>
      <x:c r="Y517" s="15" t="str">
        <x:v>Роботи з монтажу та пусконалагоджувальних робіт системи контролю доступом до адмін будівлі; строк до 2026-12-31. Попросити один знеособлений пакет здачі за цим workflow.</x:v>
      </x:c>
      <x:c r="Z517" s="15" t="str">
        <x:v>https://prozorro.gov.ua/tender/UA-2026-05-14-007547-a</x:v>
      </x:c>
      <x:c r="AA517" s="14" t="str">
        <x:v>16401209</x:v>
      </x:c>
      <x:c r="AB517" s="14" t="str">
        <x:v>2026-08-24</x:v>
      </x:c>
      <x:c r="AC517" s="14" t="str"/>
      <x:c r="AD517" s="20" t="str"/>
      <x:c r="AE517" s="14" t="str"/>
      <x:c r="AF517" s="14" t="n">
        <x:v>50</x:v>
      </x:c>
      <x:c r="AG517" s="14" t="str">
        <x:v>I3</x:v>
      </x:c>
      <x:c r="AH517" s="14" t="n">
        <x:v>1</x:v>
      </x:c>
      <x:c r="AI517" s="14" t="n">
        <x:v>1</x:v>
      </x:c>
      <x:c r="AJ517" s="18" t="n">
        <x:v>117567</x:v>
      </x:c>
      <x:c r="AK517" s="14" t="str">
        <x:v>https://prozorro.gov.ua/tender/UA-2026-05-14-007547-a</x:v>
      </x:c>
      <x:c r="AL517" s="19" t="n">
        <x:v>46156.44319990741</x:v>
      </x:c>
      <x:c r="AM517" s="19" t="n">
        <x:v>46387</x:v>
      </x:c>
      <x:c r="AN517" s="15" t="str">
        <x:v>Безпека / СКУД / CCTV</x:v>
      </x:c>
      <x:c r="AO517" s="15" t="str">
        <x:v>not_found_in_top_search</x:v>
      </x:c>
    </x:row>
    <x:row r="518">
      <x:c r="A518" s="14" t="str">
        <x:v>W3-246</x:v>
      </x:c>
      <x:c r="B518" s="14" t="str">
        <x:v>Prozorro winners — 24.08</x:v>
      </x:c>
      <x:c r="C518" s="14" t="str">
        <x:v>ТзОВ "Фортуна -Іршава"</x:v>
      </x:c>
      <x:c r="D518" s="14" t="str">
        <x:v>Газопостачання / котельні</x:v>
      </x:c>
      <x:c r="E518" s="14" t="str">
        <x:v>Expansion discovery</x:v>
      </x:c>
      <x:c r="F518" s="17" t="str">
        <x:v>D3</x:v>
      </x:c>
      <x:c r="G518" s="14" t="str"/>
      <x:c r="H518" s="14" t="str">
        <x:v>Discovery розширення — 2 тижні</x:v>
      </x:c>
      <x:c r="I518" s="16" t="n">
        <x:v>1</x:v>
      </x:c>
      <x:c r="J518" s="16" t="n">
        <x:v>5</x:v>
      </x:c>
      <x:c r="K518" s="16" t="n">
        <x:v>4</x:v>
      </x:c>
      <x:c r="L518" s="16" t="n">
        <x:v>2</x:v>
      </x:c>
      <x:c r="M518" s="16" t="n">
        <x:v>5</x:v>
      </x:c>
      <x:c r="N518" s="16" t="n">
        <x:v>5</x:v>
      </x:c>
      <x:c r="O518" s="16" t="n">
        <x:v>5</x:v>
      </x:c>
      <x:c r="P518" s="16" t="n">
        <x:f>IF(COUNT(I518:O518)&lt;7,"",I518*8+J518*3+K518*2+L518*2+M518*2+N518*2+O518)</x:f>
        <x:v>60</x:v>
      </x:c>
      <x:c r="Q518" s="16" t="n">
        <x:f>IF(COUNT(J518:O518)&lt;6,"",J518*5+K518*4+M518*4+L518*3+N518*2+O518*2)</x:f>
        <x:v>87</x:v>
      </x:c>
      <x:c r="R518" s="14" t="str">
        <x:v>high</x:v>
      </x:c>
      <x:c r="S518" s="14" t="str">
        <x:v>official_prozorro_award_2025_2026</x:v>
      </x:c>
      <x:c r="T518" s="14" t="str">
        <x:v>official_prozorro_api</x:v>
      </x:c>
      <x:c r="U518" s="14" t="str">
        <x:v>Не контактували</x:v>
      </x:c>
      <x:c r="V518" s="15" t="str">
        <x:v>Workflow-audit outreach по UA-2026-05-01-005468-a; попросити 1 пакет здачі та вимоги проєкту</x:v>
      </x:c>
      <x:c r="W518" s="15" t="str">
        <x:v>Власник / директор; керівник ПТО; відповідальний за договори</x:v>
      </x:c>
      <x:c r="X518" s="15" t="str">
        <x:v>1 підтверджених перемог/договорів у Prozorro на 107 754 грн; 1 проєктів зі строком виконання не раніше 24.08.2026.</x:v>
      </x:c>
      <x:c r="Y518"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 строк до 2026-12-31. Попросити один знеособлений пакет здачі за цим workflow.</x:v>
      </x:c>
      <x:c r="Z518" s="15" t="str">
        <x:v>https://prozorro.gov.ua/tender/UA-2026-05-01-005468-a</x:v>
      </x:c>
      <x:c r="AA518" s="14" t="str">
        <x:v>32123649</x:v>
      </x:c>
      <x:c r="AB518" s="14" t="str">
        <x:v>2026-08-24</x:v>
      </x:c>
      <x:c r="AC518" s="14" t="str"/>
      <x:c r="AD518" s="20" t="str"/>
      <x:c r="AE518" s="14" t="str"/>
      <x:c r="AF518" s="14" t="n">
        <x:v>50</x:v>
      </x:c>
      <x:c r="AG518" s="14" t="str">
        <x:v>I3</x:v>
      </x:c>
      <x:c r="AH518" s="14" t="n">
        <x:v>1</x:v>
      </x:c>
      <x:c r="AI518" s="14" t="n">
        <x:v>1</x:v>
      </x:c>
      <x:c r="AJ518" s="18" t="n">
        <x:v>107754</x:v>
      </x:c>
      <x:c r="AK518" s="14" t="str">
        <x:v>https://prozorro.gov.ua/tender/UA-2026-05-01-005468-a</x:v>
      </x:c>
      <x:c r="AL518" s="19" t="n">
        <x:v>46143.383084988425</x:v>
      </x:c>
      <x:c r="AM518" s="19" t="n">
        <x:v>46387.42493055556</x:v>
      </x:c>
      <x:c r="AN518" s="15" t="str">
        <x:v>Газопостачання / котельні</x:v>
      </x:c>
      <x:c r="AO518" s="15" t="str">
        <x:v>not_found_in_top_search</x:v>
      </x:c>
    </x:row>
    <x:row r="519">
      <x:c r="A519" s="14" t="str">
        <x:v>W3-247</x:v>
      </x:c>
      <x:c r="B519" s="14" t="str">
        <x:v>Prozorro winners — 24.08</x:v>
      </x:c>
      <x:c r="C519" s="14" t="str">
        <x:v>ТОВАРИСТВО З ОБМЕЖЕНОЮ ВІДПОВІДАЛЬНІСТЮ "АКВАТЕРМ СЕРВІС"</x:v>
      </x:c>
      <x:c r="D519" s="14" t="str">
        <x:v>Насосні станції</x:v>
      </x:c>
      <x:c r="E519" s="14" t="str">
        <x:v>Expansion discovery</x:v>
      </x:c>
      <x:c r="F519" s="17" t="str">
        <x:v>D3</x:v>
      </x:c>
      <x:c r="G519" s="14" t="str"/>
      <x:c r="H519" s="14" t="str">
        <x:v>Discovery розширення — 2 тижні</x:v>
      </x:c>
      <x:c r="I519" s="16" t="n">
        <x:v>1</x:v>
      </x:c>
      <x:c r="J519" s="16" t="n">
        <x:v>5</x:v>
      </x:c>
      <x:c r="K519" s="16" t="n">
        <x:v>4</x:v>
      </x:c>
      <x:c r="L519" s="16" t="n">
        <x:v>2</x:v>
      </x:c>
      <x:c r="M519" s="16" t="n">
        <x:v>5</x:v>
      </x:c>
      <x:c r="N519" s="16" t="n">
        <x:v>5</x:v>
      </x:c>
      <x:c r="O519" s="16" t="n">
        <x:v>5</x:v>
      </x:c>
      <x:c r="P519" s="16" t="n">
        <x:f>IF(COUNT(I519:O519)&lt;7,"",I519*8+J519*3+K519*2+L519*2+M519*2+N519*2+O519)</x:f>
        <x:v>60</x:v>
      </x:c>
      <x:c r="Q519" s="16" t="n">
        <x:f>IF(COUNT(J519:O519)&lt;6,"",J519*5+K519*4+M519*4+L519*3+N519*2+O519*2)</x:f>
        <x:v>87</x:v>
      </x:c>
      <x:c r="R519" s="14" t="str">
        <x:v>high</x:v>
      </x:c>
      <x:c r="S519" s="14" t="str">
        <x:v>official_prozorro_award_2025_2026</x:v>
      </x:c>
      <x:c r="T519" s="14" t="str">
        <x:v>official_prozorro_api</x:v>
      </x:c>
      <x:c r="U519" s="14" t="str">
        <x:v>Не контактували</x:v>
      </x:c>
      <x:c r="V519" s="15" t="str">
        <x:v>Workflow-audit outreach по UA-2026-06-11-011496-a; попросити 1 пакет здачі та вимоги проєкту</x:v>
      </x:c>
      <x:c r="W519" s="15" t="str">
        <x:v>Власник / директор; керівник ПТО; відповідальний за договори</x:v>
      </x:c>
      <x:c r="X519" s="15" t="str">
        <x:v>1 підтверджених перемог/договорів у Prozorro на 104 765 грн; 1 проєктів зі строком виконання не раніше 24.08.2026.</x:v>
      </x:c>
      <x:c r="Y519"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 строк до 2026-12-31. Попросити один знеособлений пакет здачі за цим workflow.</x:v>
      </x:c>
      <x:c r="Z519" s="15" t="str">
        <x:v>https://prozorro.gov.ua/tender/UA-2026-06-11-011496-a</x:v>
      </x:c>
      <x:c r="AA519" s="14" t="str">
        <x:v>42121538</x:v>
      </x:c>
      <x:c r="AB519" s="14" t="str">
        <x:v>2026-08-24</x:v>
      </x:c>
      <x:c r="AC519" s="14" t="str"/>
      <x:c r="AD519" s="20" t="str"/>
      <x:c r="AE519" s="14" t="str"/>
      <x:c r="AF519" s="14" t="n">
        <x:v>50</x:v>
      </x:c>
      <x:c r="AG519" s="14" t="str">
        <x:v>I3</x:v>
      </x:c>
      <x:c r="AH519" s="14" t="n">
        <x:v>1</x:v>
      </x:c>
      <x:c r="AI519" s="14" t="n">
        <x:v>1</x:v>
      </x:c>
      <x:c r="AJ519" s="18" t="n">
        <x:v>104765</x:v>
      </x:c>
      <x:c r="AK519" s="14" t="str">
        <x:v>https://prozorro.gov.ua/tender/UA-2026-06-11-011496-a</x:v>
      </x:c>
      <x:c r="AL519" s="19" t="n">
        <x:v>46184.5446693287</x:v>
      </x:c>
      <x:c r="AM519" s="19" t="n">
        <x:v>46387</x:v>
      </x:c>
      <x:c r="AN519" s="15" t="str">
        <x:v>Насосні станції</x:v>
      </x:c>
      <x:c r="AO519" s="15" t="str">
        <x:v>not_found_in_top_search</x:v>
      </x:c>
    </x:row>
    <x:row r="520">
      <x:c r="A520" s="14" t="str">
        <x:v>W3-248</x:v>
      </x:c>
      <x:c r="B520" s="14" t="str">
        <x:v>Prozorro winners — 24.08</x:v>
      </x:c>
      <x:c r="C520" s="14" t="str">
        <x:v>ТОВ "МАРЛІН ІНК"</x:v>
      </x:c>
      <x:c r="D520" s="14" t="str">
        <x:v>ГНБ / безтраншейні роботи</x:v>
      </x:c>
      <x:c r="E520" s="14" t="str">
        <x:v>Expansion discovery</x:v>
      </x:c>
      <x:c r="F520" s="17" t="str">
        <x:v>D3</x:v>
      </x:c>
      <x:c r="G520" s="14" t="str"/>
      <x:c r="H520" s="14" t="str">
        <x:v>Discovery розширення — 2 тижні</x:v>
      </x:c>
      <x:c r="I520" s="16" t="n">
        <x:v>1</x:v>
      </x:c>
      <x:c r="J520" s="16" t="n">
        <x:v>5</x:v>
      </x:c>
      <x:c r="K520" s="16" t="n">
        <x:v>4</x:v>
      </x:c>
      <x:c r="L520" s="16" t="n">
        <x:v>5</x:v>
      </x:c>
      <x:c r="M520" s="16" t="n">
        <x:v>5</x:v>
      </x:c>
      <x:c r="N520" s="16" t="n">
        <x:v>5</x:v>
      </x:c>
      <x:c r="O520" s="16" t="n">
        <x:v>5</x:v>
      </x:c>
      <x:c r="P520" s="16" t="n">
        <x:f>IF(COUNT(I520:O520)&lt;7,"",I520*8+J520*3+K520*2+L520*2+M520*2+N520*2+O520)</x:f>
        <x:v>66</x:v>
      </x:c>
      <x:c r="Q520" s="16" t="n">
        <x:f>IF(COUNT(J520:O520)&lt;6,"",J520*5+K520*4+M520*4+L520*3+N520*2+O520*2)</x:f>
        <x:v>96</x:v>
      </x:c>
      <x:c r="R520" s="14" t="str">
        <x:v>high</x:v>
      </x:c>
      <x:c r="S520" s="14" t="str">
        <x:v>official_prozorro_award_2025_2026</x:v>
      </x:c>
      <x:c r="T520" s="14" t="str">
        <x:v>official_prozorro_api</x:v>
      </x:c>
      <x:c r="U520" s="14" t="str">
        <x:v>Не контактували</x:v>
      </x:c>
      <x:c r="V520" s="15" t="str">
        <x:v>Workflow-audit outreach по UA-2025-07-16-005656-a; попросити 1 пакет здачі та вимоги проєкту</x:v>
      </x:c>
      <x:c r="W520" s="15" t="str">
        <x:v>Власник / директор; керівник ПТО; відповідальний за договори</x:v>
      </x:c>
      <x:c r="X520" s="15" t="str">
        <x:v>2 підтверджених перемог/договорів у Prozorro на 16 099 379 грн; 0 проєктів зі строком виконання не раніше 24.08.2026.</x:v>
      </x:c>
      <x:c r="Y520"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 строк до 2025-12-31. Попросити один знеособлений пакет здачі за цим workflow.</x:v>
      </x:c>
      <x:c r="Z520" s="15" t="str">
        <x:v>https://prozorro.gov.ua/tender/UA-2025-07-16-005656-a</x:v>
      </x:c>
      <x:c r="AA520" s="14" t="str">
        <x:v>45197711</x:v>
      </x:c>
      <x:c r="AB520" s="14" t="str">
        <x:v>2026-08-24</x:v>
      </x:c>
      <x:c r="AC520" s="14" t="str"/>
      <x:c r="AD520" s="20" t="str"/>
      <x:c r="AE520" s="14" t="str"/>
      <x:c r="AF520" s="14" t="n">
        <x:v>49</x:v>
      </x:c>
      <x:c r="AG520" s="14" t="str">
        <x:v>I3</x:v>
      </x:c>
      <x:c r="AH520" s="14" t="n">
        <x:v>2</x:v>
      </x:c>
      <x:c r="AI520" s="14" t="n">
        <x:v>0</x:v>
      </x:c>
      <x:c r="AJ520" s="18" t="n">
        <x:v>16099379</x:v>
      </x:c>
      <x:c r="AK520" s="14" t="str">
        <x:v>https://prozorro.gov.ua/tender/UA-2025-07-16-005656-a</x:v>
      </x:c>
      <x:c r="AL520" s="19" t="n">
        <x:v>45883.3629891088</x:v>
      </x:c>
      <x:c r="AM520" s="19" t="n">
        <x:v>46022</x:v>
      </x:c>
      <x:c r="AN520" s="15" t="str">
        <x:v>ГНБ / безтраншейні роботи; Технологічні трубопроводи</x:v>
      </x:c>
      <x:c r="AO520" s="15" t="str">
        <x:v>not_found_in_top_search</x:v>
      </x:c>
    </x:row>
    <x:row r="521">
      <x:c r="A521" s="14" t="str">
        <x:v>W3-249</x:v>
      </x:c>
      <x:c r="B521" s="14" t="str">
        <x:v>Prozorro winners — 24.08</x:v>
      </x:c>
      <x:c r="C521" s="14" t="str">
        <x:v>ТОВ "ПРОЕКТНИЙ ЦЕНТР РЕМБУД"</x:v>
      </x:c>
      <x:c r="D521" s="14" t="str">
        <x:v>Насосні станції</x:v>
      </x:c>
      <x:c r="E521" s="14" t="str">
        <x:v>Expansion discovery</x:v>
      </x:c>
      <x:c r="F521" s="17" t="str">
        <x:v>D3</x:v>
      </x:c>
      <x:c r="G521" s="14" t="str"/>
      <x:c r="H521" s="14" t="str">
        <x:v>Discovery розширення — 2 тижні</x:v>
      </x:c>
      <x:c r="I521" s="16" t="n">
        <x:v>1</x:v>
      </x:c>
      <x:c r="J521" s="16" t="n">
        <x:v>5</x:v>
      </x:c>
      <x:c r="K521" s="16" t="n">
        <x:v>4</x:v>
      </x:c>
      <x:c r="L521" s="16" t="n">
        <x:v>3</x:v>
      </x:c>
      <x:c r="M521" s="16" t="n">
        <x:v>5</x:v>
      </x:c>
      <x:c r="N521" s="16" t="n">
        <x:v>5</x:v>
      </x:c>
      <x:c r="O521" s="16" t="n">
        <x:v>5</x:v>
      </x:c>
      <x:c r="P521" s="16" t="n">
        <x:f>IF(COUNT(I521:O521)&lt;7,"",I521*8+J521*3+K521*2+L521*2+M521*2+N521*2+O521)</x:f>
        <x:v>62</x:v>
      </x:c>
      <x:c r="Q521" s="16" t="n">
        <x:f>IF(COUNT(J521:O521)&lt;6,"",J521*5+K521*4+M521*4+L521*3+N521*2+O521*2)</x:f>
        <x:v>90</x:v>
      </x:c>
      <x:c r="R521" s="14" t="str">
        <x:v>high</x:v>
      </x:c>
      <x:c r="S521" s="14" t="str">
        <x:v>official_prozorro_award_2025_2026</x:v>
      </x:c>
      <x:c r="T521" s="14" t="str">
        <x:v>official_prozorro_api</x:v>
      </x:c>
      <x:c r="U521" s="14" t="str">
        <x:v>Не контактували</x:v>
      </x:c>
      <x:c r="V521" s="15" t="str">
        <x:v>Workflow-audit outreach по UA-2026-06-02-002181-a; попросити 1 пакет здачі та вимоги проєкту</x:v>
      </x:c>
      <x:c r="W521" s="15" t="str">
        <x:v>Власник / директор; керівник ПТО; відповідальний за договори</x:v>
      </x:c>
      <x:c r="X521" s="15" t="str">
        <x:v>1 підтверджених перемог/договорів у Prozorro на 1 200 000 грн; 0 проєктів зі строком виконання не раніше 24.08.2026.</x:v>
      </x:c>
      <x:c r="Y521"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 строк до 2026-07-10. Попросити один знеособлений пакет здачі за цим workflow.</x:v>
      </x:c>
      <x:c r="Z521" s="15" t="str">
        <x:v>https://prozorro.gov.ua/tender/UA-2026-06-02-002181-a</x:v>
      </x:c>
      <x:c r="AA521" s="14" t="str">
        <x:v>44939177</x:v>
      </x:c>
      <x:c r="AB521" s="14" t="str">
        <x:v>2026-08-24</x:v>
      </x:c>
      <x:c r="AC521" s="14" t="str"/>
      <x:c r="AD521" s="20" t="str"/>
      <x:c r="AE521" s="14" t="str"/>
      <x:c r="AF521" s="14" t="n">
        <x:v>49</x:v>
      </x:c>
      <x:c r="AG521" s="14" t="str">
        <x:v>I3</x:v>
      </x:c>
      <x:c r="AH521" s="14" t="n">
        <x:v>1</x:v>
      </x:c>
      <x:c r="AI521" s="14" t="n">
        <x:v>0</x:v>
      </x:c>
      <x:c r="AJ521" s="18" t="n">
        <x:v>1200000</x:v>
      </x:c>
      <x:c r="AK521" s="14" t="str">
        <x:v>https://prozorro.gov.ua/tender/UA-2026-06-02-002181-a</x:v>
      </x:c>
      <x:c r="AL521" s="19" t="n">
        <x:v>46175.30792525463</x:v>
      </x:c>
      <x:c r="AM521" s="19" t="n">
        <x:v>46213.30908564815</x:v>
      </x:c>
      <x:c r="AN521" s="15" t="str">
        <x:v>Насосні станції</x:v>
      </x:c>
      <x:c r="AO521" s="15" t="str">
        <x:v>not_found_in_top_search</x:v>
      </x:c>
    </x:row>
    <x:row r="522">
      <x:c r="A522" s="14" t="str">
        <x:v>W3-250</x:v>
      </x:c>
      <x:c r="B522" s="14" t="str">
        <x:v>Prozorro winners — 24.08</x:v>
      </x:c>
      <x:c r="C522" s="14" t="str">
        <x:v>ТОВАРИСТВО З ОБМЕЖЕНОЮ ВІДПОВІДАЛЬНІСТЮ "ІННОВАЦІЙНА КОМПАНІЯ "ДЕКА"</x:v>
      </x:c>
      <x:c r="D522" s="14" t="str">
        <x:v>Водоочищення / очисні споруди</x:v>
      </x:c>
      <x:c r="E522" s="14" t="str">
        <x:v>Expansion discovery</x:v>
      </x:c>
      <x:c r="F522" s="17" t="str">
        <x:v>D3</x:v>
      </x:c>
      <x:c r="G522" s="14" t="str"/>
      <x:c r="H522" s="14" t="str">
        <x:v>Discovery розширення — 2 тижні</x:v>
      </x:c>
      <x:c r="I522" s="16" t="n">
        <x:v>1</x:v>
      </x:c>
      <x:c r="J522" s="16" t="n">
        <x:v>5</x:v>
      </x:c>
      <x:c r="K522" s="16" t="n">
        <x:v>4</x:v>
      </x:c>
      <x:c r="L522" s="16" t="n">
        <x:v>3</x:v>
      </x:c>
      <x:c r="M522" s="16" t="n">
        <x:v>5</x:v>
      </x:c>
      <x:c r="N522" s="16" t="n">
        <x:v>5</x:v>
      </x:c>
      <x:c r="O522" s="16" t="n">
        <x:v>5</x:v>
      </x:c>
      <x:c r="P522" s="16" t="n">
        <x:f>IF(COUNT(I522:O522)&lt;7,"",I522*8+J522*3+K522*2+L522*2+M522*2+N522*2+O522)</x:f>
        <x:v>62</x:v>
      </x:c>
      <x:c r="Q522" s="16" t="n">
        <x:f>IF(COUNT(J522:O522)&lt;6,"",J522*5+K522*4+M522*4+L522*3+N522*2+O522*2)</x:f>
        <x:v>90</x:v>
      </x:c>
      <x:c r="R522" s="14" t="str">
        <x:v>high</x:v>
      </x:c>
      <x:c r="S522" s="14" t="str">
        <x:v>official_prozorro_award_2025_2026</x:v>
      </x:c>
      <x:c r="T522" s="14" t="str">
        <x:v>official_prozorro_api</x:v>
      </x:c>
      <x:c r="U522" s="14" t="str">
        <x:v>Не контактували</x:v>
      </x:c>
      <x:c r="V522" s="15" t="str">
        <x:v>Workflow-audit outreach по UA-2026-05-12-003036-a; попросити 1 пакет здачі та вимоги проєкту</x:v>
      </x:c>
      <x:c r="W522" s="15" t="str">
        <x:v>Власник / директор; керівник ПТО; відповідальний за договори</x:v>
      </x:c>
      <x:c r="X522" s="15" t="str">
        <x:v>1 підтверджених перемог/договорів у Prozorro на 662 692 грн; 0 проєктів зі строком виконання не раніше 24.08.2026.</x:v>
      </x:c>
      <x:c r="Y522"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 строк до 2026-07-11. Попросити один знеособлений пакет здачі за цим workflow.</x:v>
      </x:c>
      <x:c r="Z522" s="15" t="str">
        <x:v>https://prozorro.gov.ua/tender/UA-2026-05-12-003036-a</x:v>
      </x:c>
      <x:c r="AA522" s="14" t="str">
        <x:v>43880471</x:v>
      </x:c>
      <x:c r="AB522" s="14" t="str">
        <x:v>2026-08-24</x:v>
      </x:c>
      <x:c r="AC522" s="14" t="str"/>
      <x:c r="AD522" s="20" t="str"/>
      <x:c r="AE522" s="14" t="str"/>
      <x:c r="AF522" s="14" t="n">
        <x:v>49</x:v>
      </x:c>
      <x:c r="AG522" s="14" t="str">
        <x:v>I3</x:v>
      </x:c>
      <x:c r="AH522" s="14" t="n">
        <x:v>1</x:v>
      </x:c>
      <x:c r="AI522" s="14" t="n">
        <x:v>0</x:v>
      </x:c>
      <x:c r="AJ522" s="18" t="n">
        <x:v>662692.01</x:v>
      </x:c>
      <x:c r="AK522" s="14" t="str">
        <x:v>https://prozorro.gov.ua/tender/UA-2026-05-12-003036-a</x:v>
      </x:c>
      <x:c r="AL522" s="19" t="n">
        <x:v>46154.3828858912</x:v>
      </x:c>
      <x:c r="AM522" s="19" t="n">
        <x:v>46214</x:v>
      </x:c>
      <x:c r="AN522" s="15" t="str">
        <x:v>Водоочищення / очисні споруди</x:v>
      </x:c>
      <x:c r="AO522" s="15" t="str">
        <x:v>not_found_in_top_search</x:v>
      </x:c>
    </x:row>
    <x:row r="523">
      <x:c r="A523" s="14" t="str">
        <x:v>W3-251</x:v>
      </x:c>
      <x:c r="B523" s="14" t="str">
        <x:v>Prozorro winners — 24.08</x:v>
      </x:c>
      <x:c r="C523" s="14" t="str">
        <x:v>ТОВАРИСТВО З ОБМЕЖЕНОЮ ВІДПОВІДАЛЬНІСТЮ "НАУКОВО-ВИРОБНИЧЕ ПІДПРИЄМСТВО "УКРАЇНСЬКІ ТЕПЛОВІ МЕРЕЖІ"</x:v>
      </x:c>
      <x:c r="D523" s="14" t="str">
        <x:v>HVAC / ОВіК</x:v>
      </x:c>
      <x:c r="E523" s="14" t="str">
        <x:v>Pilot now</x:v>
      </x:c>
      <x:c r="F523" s="17" t="str">
        <x:v>P3</x:v>
      </x:c>
      <x:c r="G523" s="14" t="str"/>
      <x:c r="H523" s="14" t="str">
        <x:v>Пілот зараз — Н.14</x:v>
      </x:c>
      <x:c r="I523" s="16" t="n">
        <x:v>5</x:v>
      </x:c>
      <x:c r="J523" s="16" t="n">
        <x:v>5</x:v>
      </x:c>
      <x:c r="K523" s="16" t="n">
        <x:v>5</x:v>
      </x:c>
      <x:c r="L523" s="16" t="n">
        <x:v>3</x:v>
      </x:c>
      <x:c r="M523" s="16" t="n">
        <x:v>5</x:v>
      </x:c>
      <x:c r="N523" s="16" t="n">
        <x:v>5</x:v>
      </x:c>
      <x:c r="O523" s="16" t="n">
        <x:v>5</x:v>
      </x:c>
      <x:c r="P523" s="16" t="n">
        <x:f>IF(COUNT(I523:O523)&lt;7,"",I523*8+J523*3+K523*2+L523*2+M523*2+N523*2+O523)</x:f>
        <x:v>96</x:v>
      </x:c>
      <x:c r="Q523" s="16" t="n">
        <x:f>IF(COUNT(J523:O523)&lt;6,"",J523*5+K523*4+M523*4+L523*3+N523*2+O523*2)</x:f>
        <x:v>94</x:v>
      </x:c>
      <x:c r="R523" s="14" t="str">
        <x:v>high</x:v>
      </x:c>
      <x:c r="S523" s="14" t="str">
        <x:v>official_prozorro_award_2025_2026</x:v>
      </x:c>
      <x:c r="T523" s="14" t="str">
        <x:v>official_prozorro_api</x:v>
      </x:c>
      <x:c r="U523" s="14" t="str">
        <x:v>Не контактували</x:v>
      </x:c>
      <x:c r="V523" s="15" t="str">
        <x:v>Персоналізований free-pilot outreach по UA-2026-04-24-009702-a; попросити 1 пакет Н.14/Н.15</x:v>
      </x:c>
      <x:c r="W523" s="15" t="str">
        <x:v>Власник / директор; керівник ПТО; відповідальний за договори</x:v>
      </x:c>
      <x:c r="X523" s="15" t="str">
        <x:v>1 підтверджених перемог/договорів у Prozorro на 545 375 грн; 0 проєктів зі строком виконання не раніше 24.08.2026.</x:v>
      </x:c>
      <x:c r="Y523"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 строк до 2026-05-30. Попросити один знеособлений пакет здачі за цим workflow.</x:v>
      </x:c>
      <x:c r="Z523" s="15" t="str">
        <x:v>https://prozorro.gov.ua/tender/UA-2026-04-24-009702-a</x:v>
      </x:c>
      <x:c r="AA523" s="14" t="str">
        <x:v>41157207</x:v>
      </x:c>
      <x:c r="AB523" s="14" t="str">
        <x:v>2026-08-24</x:v>
      </x:c>
      <x:c r="AC523" s="14" t="str"/>
      <x:c r="AD523" s="20" t="str"/>
      <x:c r="AE523" s="14" t="str"/>
      <x:c r="AF523" s="14" t="n">
        <x:v>49</x:v>
      </x:c>
      <x:c r="AG523" s="14" t="str">
        <x:v>I3</x:v>
      </x:c>
      <x:c r="AH523" s="14" t="n">
        <x:v>1</x:v>
      </x:c>
      <x:c r="AI523" s="14" t="n">
        <x:v>0</x:v>
      </x:c>
      <x:c r="AJ523" s="18" t="n">
        <x:v>545375</x:v>
      </x:c>
      <x:c r="AK523" s="14" t="str">
        <x:v>https://prozorro.gov.ua/tender/UA-2026-04-24-009702-a</x:v>
      </x:c>
      <x:c r="AL523" s="19" t="n">
        <x:v>46148.5671849537</x:v>
      </x:c>
      <x:c r="AM523" s="19" t="n">
        <x:v>46172.87498842592</x:v>
      </x:c>
      <x:c r="AN523" s="15" t="str">
        <x:v>HVAC / ОВіК</x:v>
      </x:c>
      <x:c r="AO523" s="15" t="str">
        <x:v>not_found_in_top_search</x:v>
      </x:c>
    </x:row>
    <x:row r="524">
      <x:c r="A524" s="14" t="str">
        <x:v>W3-252</x:v>
      </x:c>
      <x:c r="B524" s="14" t="str">
        <x:v>Prozorro winners — 24.08</x:v>
      </x:c>
      <x:c r="C524" s="14" t="str">
        <x:v>ФОП БОВКУН РОМАН АНДРІЙОВИЧ</x:v>
      </x:c>
      <x:c r="D524" s="14" t="str">
        <x:v>Електромонтаж</x:v>
      </x:c>
      <x:c r="E524" s="14" t="str">
        <x:v>Pilot now</x:v>
      </x:c>
      <x:c r="F524" s="17" t="str">
        <x:v>P3</x:v>
      </x:c>
      <x:c r="G524" s="14" t="str"/>
      <x:c r="H524" s="14" t="str">
        <x:v>Пілот зараз — Н.15</x:v>
      </x:c>
      <x:c r="I524" s="16" t="n">
        <x:v>5</x:v>
      </x:c>
      <x:c r="J524" s="16" t="n">
        <x:v>5</x:v>
      </x:c>
      <x:c r="K524" s="16" t="n">
        <x:v>5</x:v>
      </x:c>
      <x:c r="L524" s="16" t="n">
        <x:v>1</x:v>
      </x:c>
      <x:c r="M524" s="16" t="n">
        <x:v>5</x:v>
      </x:c>
      <x:c r="N524" s="16" t="n">
        <x:v>3</x:v>
      </x:c>
      <x:c r="O524" s="16" t="n">
        <x:v>5</x:v>
      </x:c>
      <x:c r="P524" s="16" t="n">
        <x:f>IF(COUNT(I524:O524)&lt;7,"",I524*8+J524*3+K524*2+L524*2+M524*2+N524*2+O524)</x:f>
        <x:v>88</x:v>
      </x:c>
      <x:c r="Q524" s="16" t="n">
        <x:f>IF(COUNT(J524:O524)&lt;6,"",J524*5+K524*4+M524*4+L524*3+N524*2+O524*2)</x:f>
        <x:v>84</x:v>
      </x:c>
      <x:c r="R524" s="14" t="str">
        <x:v>high</x:v>
      </x:c>
      <x:c r="S524" s="14" t="str">
        <x:v>official_prozorro_award_2025_2026</x:v>
      </x:c>
      <x:c r="T524" s="14" t="str">
        <x:v>official_prozorro_api</x:v>
      </x:c>
      <x:c r="U524" s="14" t="str">
        <x:v>Не контактували</x:v>
      </x:c>
      <x:c r="V524" s="15" t="str">
        <x:v>Повторне звернення з новим тендерним сигналом UA-2026-07-16-008792-a; попросити 1 пакет здачі</x:v>
      </x:c>
      <x:c r="W524" s="15" t="str">
        <x:v>Власник / виконавець; відповідальний за договір</x:v>
      </x:c>
      <x:c r="X524" s="15" t="str">
        <x:v>1 підтверджених перемог/договорів у Prozorro на 99 000 грн; 1 проєктів зі строком виконання не раніше 24.08.2026.</x:v>
      </x:c>
      <x:c r="Y524" s="15" t="str">
        <x:v>Електромонтажні роботи; строк до 2026-12-31. Попросити один знеособлений пакет здачі за цим workflow.</x:v>
      </x:c>
      <x:c r="Z524" s="15" t="str">
        <x:v>https://prozorro.gov.ua/tender/UA-2026-07-24-000245-a</x:v>
      </x:c>
      <x:c r="AA524" s="14" t="str">
        <x:v>2913718431</x:v>
      </x:c>
      <x:c r="AB524" s="14" t="str">
        <x:v>2026-08-24</x:v>
      </x:c>
      <x:c r="AC524" s="14" t="str"/>
      <x:c r="AD524" s="20" t="str"/>
      <x:c r="AE524" s="14" t="str"/>
      <x:c r="AF524" s="14" t="n">
        <x:v>56</x:v>
      </x:c>
      <x:c r="AG524" s="14" t="str">
        <x:v>I3</x:v>
      </x:c>
      <x:c r="AH524" s="14" t="n">
        <x:v>2</x:v>
      </x:c>
      <x:c r="AI524" s="14" t="n">
        <x:v>1</x:v>
      </x:c>
      <x:c r="AJ524" s="18" t="n">
        <x:v>298900</x:v>
      </x:c>
      <x:c r="AK524" s="14" t="str">
        <x:v>https://prozorro.gov.ua/tender/UA-2026-07-16-008792-a</x:v>
      </x:c>
      <x:c r="AL524" s="19" t="n">
        <x:v>46219.544246770834</x:v>
      </x:c>
      <x:c r="AM524" s="19" t="n">
        <x:v>46227</x:v>
      </x:c>
      <x:c r="AN524" s="15" t="str">
        <x:v>Електромонтаж</x:v>
      </x:c>
      <x:c r="AO524" s="15" t="str">
        <x:v>not_found_in_top_search</x:v>
      </x:c>
    </x:row>
    <x:row r="525">
      <x:c r="A525" s="14" t="str">
        <x:v>W3-253</x:v>
      </x:c>
      <x:c r="B525" s="14" t="str">
        <x:v>Prozorro winners — 24.08</x:v>
      </x:c>
      <x:c r="C525" s="14" t="str">
        <x:v>ЯРОШЕНКО АНДРІЙ ЄВГЕНОВИЧ</x:v>
      </x:c>
      <x:c r="D525" s="14" t="str">
        <x:v>Сонячна енергетика</x:v>
      </x:c>
      <x:c r="E525" s="14" t="str">
        <x:v>Expansion discovery</x:v>
      </x:c>
      <x:c r="F525" s="17" t="str">
        <x:v>D3</x:v>
      </x:c>
      <x:c r="G525" s="14" t="str"/>
      <x:c r="H525" s="14" t="str">
        <x:v>Discovery розширення — 2 тижні</x:v>
      </x:c>
      <x:c r="I525" s="16" t="n">
        <x:v>1</x:v>
      </x:c>
      <x:c r="J525" s="16" t="n">
        <x:v>5</x:v>
      </x:c>
      <x:c r="K525" s="16" t="n">
        <x:v>4</x:v>
      </x:c>
      <x:c r="L525" s="16" t="n">
        <x:v>1</x:v>
      </x:c>
      <x:c r="M525" s="16" t="n">
        <x:v>5</x:v>
      </x:c>
      <x:c r="N525" s="16" t="n">
        <x:v>3</x:v>
      </x:c>
      <x:c r="O525" s="16" t="n">
        <x:v>5</x:v>
      </x:c>
      <x:c r="P525" s="16" t="n">
        <x:f>IF(COUNT(I525:O525)&lt;7,"",I525*8+J525*3+K525*2+L525*2+M525*2+N525*2+O525)</x:f>
        <x:v>54</x:v>
      </x:c>
      <x:c r="Q525" s="16" t="n">
        <x:f>IF(COUNT(J525:O525)&lt;6,"",J525*5+K525*4+M525*4+L525*3+N525*2+O525*2)</x:f>
        <x:v>80</x:v>
      </x:c>
      <x:c r="R525" s="14" t="str">
        <x:v>high</x:v>
      </x:c>
      <x:c r="S525" s="14" t="str">
        <x:v>official_prozorro_award_2025_2026</x:v>
      </x:c>
      <x:c r="T525" s="14" t="str">
        <x:v>official_prozorro_api</x:v>
      </x:c>
      <x:c r="U525" s="14" t="str">
        <x:v>Не контактували</x:v>
      </x:c>
      <x:c r="V525" s="15" t="str">
        <x:v>Workflow-audit outreach по UA-2026-07-13-001820-a; попросити 1 пакет здачі та вимоги проєкту</x:v>
      </x:c>
      <x:c r="W525" s="15" t="str">
        <x:v>Власник / виконавець; відповідальний за договір</x:v>
      </x:c>
      <x:c r="X525" s="15" t="str">
        <x:v>1 підтверджених перемог/договорів у Prozorro на 98 700 грн; 1 проєктів зі строком виконання не раніше 24.08.2026.</x:v>
      </x:c>
      <x:c r="Y525"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 строк до 2026-12-31. Попросити один знеособлений пакет здачі за цим workflow.</x:v>
      </x:c>
      <x:c r="Z525" s="15" t="str">
        <x:v>https://prozorro.gov.ua/tender/UA-2026-07-13-001820-a</x:v>
      </x:c>
      <x:c r="AA525" s="14" t="str">
        <x:v>3118813890</x:v>
      </x:c>
      <x:c r="AB525" s="14" t="str">
        <x:v>2026-08-24</x:v>
      </x:c>
      <x:c r="AC525" s="14" t="str"/>
      <x:c r="AD525" s="20" t="str"/>
      <x:c r="AE525" s="14" t="str"/>
      <x:c r="AF525" s="14" t="n">
        <x:v>49</x:v>
      </x:c>
      <x:c r="AG525" s="14" t="str">
        <x:v>I3</x:v>
      </x:c>
      <x:c r="AH525" s="14" t="n">
        <x:v>1</x:v>
      </x:c>
      <x:c r="AI525" s="14" t="n">
        <x:v>1</x:v>
      </x:c>
      <x:c r="AJ525" s="18" t="n">
        <x:v>98700</x:v>
      </x:c>
      <x:c r="AK525" s="14" t="str">
        <x:v>https://prozorro.gov.ua/tender/UA-2026-07-13-001820-a</x:v>
      </x:c>
      <x:c r="AL525" s="19" t="n">
        <x:v>46216.312423414354</x:v>
      </x:c>
      <x:c r="AM525" s="19" t="n">
        <x:v>46387</x:v>
      </x:c>
      <x:c r="AN525" s="15" t="str">
        <x:v>Сонячна енергетика</x:v>
      </x:c>
      <x:c r="AO525" s="15" t="str">
        <x:v>not_found_in_top_search</x:v>
      </x:c>
    </x:row>
    <x:row r="526">
      <x:c r="A526" s="14" t="str">
        <x:v>W3-254</x:v>
      </x:c>
      <x:c r="B526" s="14" t="str">
        <x:v>Prozorro winners — 24.08</x:v>
      </x:c>
      <x:c r="C526" s="14" t="str">
        <x:v>ТКАЧУК ОЛЕНА СЕРГІЇВНА</x:v>
      </x:c>
      <x:c r="D526" s="14" t="str">
        <x:v>HVAC / ОВіК</x:v>
      </x:c>
      <x:c r="E526" s="14" t="str">
        <x:v>Pilot now</x:v>
      </x:c>
      <x:c r="F526" s="17" t="str">
        <x:v>P3</x:v>
      </x:c>
      <x:c r="G526" s="14" t="str"/>
      <x:c r="H526" s="14" t="str">
        <x:v>Пілот зараз — Н.14</x:v>
      </x:c>
      <x:c r="I526" s="16" t="n">
        <x:v>5</x:v>
      </x:c>
      <x:c r="J526" s="16" t="n">
        <x:v>5</x:v>
      </x:c>
      <x:c r="K526" s="16" t="n">
        <x:v>5</x:v>
      </x:c>
      <x:c r="L526" s="16" t="n">
        <x:v>1</x:v>
      </x:c>
      <x:c r="M526" s="16" t="n">
        <x:v>5</x:v>
      </x:c>
      <x:c r="N526" s="16" t="n">
        <x:v>3</x:v>
      </x:c>
      <x:c r="O526" s="16" t="n">
        <x:v>5</x:v>
      </x:c>
      <x:c r="P526" s="16" t="n">
        <x:f>IF(COUNT(I526:O526)&lt;7,"",I526*8+J526*3+K526*2+L526*2+M526*2+N526*2+O526)</x:f>
        <x:v>88</x:v>
      </x:c>
      <x:c r="Q526" s="16" t="n">
        <x:f>IF(COUNT(J526:O526)&lt;6,"",J526*5+K526*4+M526*4+L526*3+N526*2+O526*2)</x:f>
        <x:v>84</x:v>
      </x:c>
      <x:c r="R526" s="14" t="str">
        <x:v>high</x:v>
      </x:c>
      <x:c r="S526" s="14" t="str">
        <x:v>official_prozorro_award_2025_2026</x:v>
      </x:c>
      <x:c r="T526" s="14" t="str">
        <x:v>official_prozorro_api</x:v>
      </x:c>
      <x:c r="U526" s="14" t="str">
        <x:v>Не контактували</x:v>
      </x:c>
      <x:c r="V526" s="15" t="str">
        <x:v>Персоналізований free-pilot outreach по UA-2026-07-17-004517-a; попросити 1 пакет Н.14/Н.15</x:v>
      </x:c>
      <x:c r="W526" s="15" t="str">
        <x:v>Власник / виконавець; відповідальний за договір</x:v>
      </x:c>
      <x:c r="X526" s="15" t="str">
        <x:v>1 підтверджених перемог/договорів у Prozorro на 91 475 грн; 1 проєктів зі строком виконання не раніше 24.08.2026.</x:v>
      </x:c>
      <x:c r="Y526" s="15" t="str">
        <x:v>Монтаж системи опалення в приміщенні Дубово-Махаринецької АЗПСМ ; строк до 2026-12-31. Попросити один знеособлений пакет здачі за цим workflow.</x:v>
      </x:c>
      <x:c r="Z526" s="15" t="str">
        <x:v>https://prozorro.gov.ua/tender/UA-2026-07-17-004517-a</x:v>
      </x:c>
      <x:c r="AA526" s="14" t="str">
        <x:v>3055908485</x:v>
      </x:c>
      <x:c r="AB526" s="14" t="str">
        <x:v>2026-08-24</x:v>
      </x:c>
      <x:c r="AC526" s="14" t="str"/>
      <x:c r="AD526" s="20" t="str"/>
      <x:c r="AE526" s="14" t="str"/>
      <x:c r="AF526" s="14" t="n">
        <x:v>49</x:v>
      </x:c>
      <x:c r="AG526" s="14" t="str">
        <x:v>I3</x:v>
      </x:c>
      <x:c r="AH526" s="14" t="n">
        <x:v>1</x:v>
      </x:c>
      <x:c r="AI526" s="14" t="n">
        <x:v>1</x:v>
      </x:c>
      <x:c r="AJ526" s="18" t="n">
        <x:v>91475</x:v>
      </x:c>
      <x:c r="AK526" s="14" t="str">
        <x:v>https://prozorro.gov.ua/tender/UA-2026-07-17-004517-a</x:v>
      </x:c>
      <x:c r="AL526" s="19" t="n">
        <x:v>46220.37996715278</x:v>
      </x:c>
      <x:c r="AM526" s="19" t="n">
        <x:v>46387</x:v>
      </x:c>
      <x:c r="AN526" s="15" t="str">
        <x:v>HVAC / ОВіК</x:v>
      </x:c>
      <x:c r="AO526" s="15" t="str">
        <x:v>not_found_in_top_search</x:v>
      </x:c>
    </x:row>
    <x:row r="527">
      <x:c r="A527" s="14" t="str">
        <x:v>W3-255</x:v>
      </x:c>
      <x:c r="B527" s="14" t="str">
        <x:v>Prozorro winners — 24.08</x:v>
      </x:c>
      <x:c r="C527" s="14" t="str">
        <x:v>Фізична особа-підприємець Гуленко Руслан Володимирович</x:v>
      </x:c>
      <x:c r="D527" s="14" t="str">
        <x:v>Безпека / СКУД / CCTV</x:v>
      </x:c>
      <x:c r="E527" s="14" t="str">
        <x:v>Expansion discovery</x:v>
      </x:c>
      <x:c r="F527" s="17" t="str">
        <x:v>D3</x:v>
      </x:c>
      <x:c r="G527" s="14" t="str"/>
      <x:c r="H527" s="14" t="str">
        <x:v>Discovery розширення — 2 тижні</x:v>
      </x:c>
      <x:c r="I527" s="16" t="n">
        <x:v>1</x:v>
      </x:c>
      <x:c r="J527" s="16" t="n">
        <x:v>5</x:v>
      </x:c>
      <x:c r="K527" s="16" t="n">
        <x:v>4</x:v>
      </x:c>
      <x:c r="L527" s="16" t="n">
        <x:v>1</x:v>
      </x:c>
      <x:c r="M527" s="16" t="n">
        <x:v>5</x:v>
      </x:c>
      <x:c r="N527" s="16" t="n">
        <x:v>3</x:v>
      </x:c>
      <x:c r="O527" s="16" t="n">
        <x:v>5</x:v>
      </x:c>
      <x:c r="P527" s="16" t="n">
        <x:f>IF(COUNT(I527:O527)&lt;7,"",I527*8+J527*3+K527*2+L527*2+M527*2+N527*2+O527)</x:f>
        <x:v>54</x:v>
      </x:c>
      <x:c r="Q527" s="16" t="n">
        <x:f>IF(COUNT(J527:O527)&lt;6,"",J527*5+K527*4+M527*4+L527*3+N527*2+O527*2)</x:f>
        <x:v>80</x:v>
      </x:c>
      <x:c r="R527" s="14" t="str">
        <x:v>high</x:v>
      </x:c>
      <x:c r="S527" s="14" t="str">
        <x:v>official_prozorro_award_2025_2026</x:v>
      </x:c>
      <x:c r="T527" s="14" t="str">
        <x:v>official_prozorro_api</x:v>
      </x:c>
      <x:c r="U527" s="14" t="str">
        <x:v>Не контактували</x:v>
      </x:c>
      <x:c r="V527" s="15" t="str">
        <x:v>Workflow-audit outreach по UA-2026-08-04-002580-a; попросити 1 пакет здачі та вимоги проєкту</x:v>
      </x:c>
      <x:c r="W527" s="15" t="str">
        <x:v>Власник / виконавець; відповідальний за договір</x:v>
      </x:c>
      <x:c r="X527" s="15" t="str">
        <x:v>1 підтверджених перемог/договорів у Prozorro на 83 818 грн; 1 проєктів зі строком виконання не раніше 24.08.2026.</x:v>
      </x:c>
      <x:c r="Y527" s="15" t="str">
        <x:v>Послуги з монтажу, установки та налаштування системи контролю та управління доступом; строк до 2026-12-31. Попросити один знеособлений пакет здачі за цим workflow.</x:v>
      </x:c>
      <x:c r="Z527" s="15" t="str">
        <x:v>https://prozorro.gov.ua/tender/UA-2026-08-04-002580-a</x:v>
      </x:c>
      <x:c r="AA527" s="14" t="str">
        <x:v>2607317499</x:v>
      </x:c>
      <x:c r="AB527" s="14" t="str">
        <x:v>2026-08-24</x:v>
      </x:c>
      <x:c r="AC527" s="14" t="str"/>
      <x:c r="AD527" s="20" t="str"/>
      <x:c r="AE527" s="14" t="str"/>
      <x:c r="AF527" s="14" t="n">
        <x:v>49</x:v>
      </x:c>
      <x:c r="AG527" s="14" t="str">
        <x:v>I3</x:v>
      </x:c>
      <x:c r="AH527" s="14" t="n">
        <x:v>1</x:v>
      </x:c>
      <x:c r="AI527" s="14" t="n">
        <x:v>1</x:v>
      </x:c>
      <x:c r="AJ527" s="18" t="n">
        <x:v>83818</x:v>
      </x:c>
      <x:c r="AK527" s="14" t="str">
        <x:v>https://prozorro.gov.ua/tender/UA-2026-08-04-002580-a</x:v>
      </x:c>
      <x:c r="AL527" s="19" t="n">
        <x:v>46238.32611070602</x:v>
      </x:c>
      <x:c r="AM527" s="19" t="n">
        <x:v>46387.368425925924</x:v>
      </x:c>
      <x:c r="AN527" s="15" t="str">
        <x:v>Безпека / СКУД / CCTV</x:v>
      </x:c>
      <x:c r="AO527" s="15" t="str">
        <x:v>not_found_in_top_search</x:v>
      </x:c>
    </x:row>
    <x:row r="528">
      <x:c r="A528" s="14" t="str">
        <x:v>W3-256</x:v>
      </x:c>
      <x:c r="B528" s="14" t="str">
        <x:v>Prozorro winners — 24.08</x:v>
      </x:c>
      <x:c r="C528" s="14" t="str">
        <x:v>Фізична особа-підприємець Марчук Володимир Васильович</x:v>
      </x:c>
      <x:c r="D528" s="14" t="str">
        <x:v>HVAC / ОВіК</x:v>
      </x:c>
      <x:c r="E528" s="14" t="str">
        <x:v>Pilot now</x:v>
      </x:c>
      <x:c r="F528" s="17" t="str">
        <x:v>P3</x:v>
      </x:c>
      <x:c r="G528" s="14" t="str"/>
      <x:c r="H528" s="14" t="str">
        <x:v>Пілот зараз — Н.14</x:v>
      </x:c>
      <x:c r="I528" s="16" t="n">
        <x:v>5</x:v>
      </x:c>
      <x:c r="J528" s="16" t="n">
        <x:v>5</x:v>
      </x:c>
      <x:c r="K528" s="16" t="n">
        <x:v>5</x:v>
      </x:c>
      <x:c r="L528" s="16" t="n">
        <x:v>1</x:v>
      </x:c>
      <x:c r="M528" s="16" t="n">
        <x:v>5</x:v>
      </x:c>
      <x:c r="N528" s="16" t="n">
        <x:v>3</x:v>
      </x:c>
      <x:c r="O528" s="16" t="n">
        <x:v>5</x:v>
      </x:c>
      <x:c r="P528" s="16" t="n">
        <x:f>IF(COUNT(I528:O528)&lt;7,"",I528*8+J528*3+K528*2+L528*2+M528*2+N528*2+O528)</x:f>
        <x:v>88</x:v>
      </x:c>
      <x:c r="Q528" s="16" t="n">
        <x:f>IF(COUNT(J528:O528)&lt;6,"",J528*5+K528*4+M528*4+L528*3+N528*2+O528*2)</x:f>
        <x:v>84</x:v>
      </x:c>
      <x:c r="R528" s="14" t="str">
        <x:v>high</x:v>
      </x:c>
      <x:c r="S528" s="14" t="str">
        <x:v>official_prozorro_award_2025_2026</x:v>
      </x:c>
      <x:c r="T528" s="14" t="str">
        <x:v>official_prozorro_api</x:v>
      </x:c>
      <x:c r="U528" s="14" t="str">
        <x:v>Не контактували</x:v>
      </x:c>
      <x:c r="V528" s="15" t="str">
        <x:v>Персоналізований free-pilot outreach по UA-2026-07-30-004523-a; попросити 1 пакет Н.14/Н.15</x:v>
      </x:c>
      <x:c r="W528" s="15" t="str">
        <x:v>Власник / виконавець; відповідальний за договір</x:v>
      </x:c>
      <x:c r="X528" s="15" t="str">
        <x:v>1 підтверджених перемог/договорів у Prozorro на 80 000 грн; 1 проєктів зі строком виконання не раніше 24.08.2026.</x:v>
      </x:c>
      <x:c r="Y528" s="15" t="str">
        <x:v>Матеріали для монтажу систем опалення та водопостачання (трубна ізоляція, трубопровідна арматура та фітинги); строк до 2026-12-31. Попросити один знеособлений пакет здачі за цим workflow.</x:v>
      </x:c>
      <x:c r="Z528" s="15" t="str">
        <x:v>https://prozorro.gov.ua/tender/UA-2026-07-30-004523-a</x:v>
      </x:c>
      <x:c r="AA528" s="14" t="str">
        <x:v>3024703610</x:v>
      </x:c>
      <x:c r="AB528" s="14" t="str">
        <x:v>2026-08-24</x:v>
      </x:c>
      <x:c r="AC528" s="14" t="str"/>
      <x:c r="AD528" s="20" t="str"/>
      <x:c r="AE528" s="14" t="str"/>
      <x:c r="AF528" s="14" t="n">
        <x:v>49</x:v>
      </x:c>
      <x:c r="AG528" s="14" t="str">
        <x:v>I3</x:v>
      </x:c>
      <x:c r="AH528" s="14" t="n">
        <x:v>1</x:v>
      </x:c>
      <x:c r="AI528" s="14" t="n">
        <x:v>1</x:v>
      </x:c>
      <x:c r="AJ528" s="18" t="n">
        <x:v>80000</x:v>
      </x:c>
      <x:c r="AK528" s="14" t="str">
        <x:v>https://prozorro.gov.ua/tender/UA-2026-07-30-004523-a</x:v>
      </x:c>
      <x:c r="AL528" s="19" t="n">
        <x:v>46252.71302846065</x:v>
      </x:c>
      <x:c r="AM528" s="19" t="n">
        <x:v>46387</x:v>
      </x:c>
      <x:c r="AN528" s="15" t="str">
        <x:v>HVAC / ОВіК</x:v>
      </x:c>
      <x:c r="AO528" s="15" t="str">
        <x:v>not_found_in_top_search</x:v>
      </x:c>
    </x:row>
    <x:row r="529">
      <x:c r="A529" s="14" t="str">
        <x:v>W3-257</x:v>
      </x:c>
      <x:c r="B529" s="14" t="str">
        <x:v>Prozorro winners — 24.08</x:v>
      </x:c>
      <x:c r="C529" s="14" t="str">
        <x:v>ПАНЮТА РУВІМ ОЛЕКСАНДРОВИЧ</x:v>
      </x:c>
      <x:c r="D529" s="14" t="str">
        <x:v>Промисловий холод</x:v>
      </x:c>
      <x:c r="E529" s="14" t="str">
        <x:v>Expansion discovery</x:v>
      </x:c>
      <x:c r="F529" s="17" t="str">
        <x:v>D3</x:v>
      </x:c>
      <x:c r="G529" s="14" t="str"/>
      <x:c r="H529" s="14" t="str">
        <x:v>Discovery розширення — 2 тижні</x:v>
      </x:c>
      <x:c r="I529" s="16" t="n">
        <x:v>1</x:v>
      </x:c>
      <x:c r="J529" s="16" t="n">
        <x:v>5</x:v>
      </x:c>
      <x:c r="K529" s="16" t="n">
        <x:v>4</x:v>
      </x:c>
      <x:c r="L529" s="16" t="n">
        <x:v>1</x:v>
      </x:c>
      <x:c r="M529" s="16" t="n">
        <x:v>5</x:v>
      </x:c>
      <x:c r="N529" s="16" t="n">
        <x:v>3</x:v>
      </x:c>
      <x:c r="O529" s="16" t="n">
        <x:v>5</x:v>
      </x:c>
      <x:c r="P529" s="16" t="n">
        <x:f>IF(COUNT(I529:O529)&lt;7,"",I529*8+J529*3+K529*2+L529*2+M529*2+N529*2+O529)</x:f>
        <x:v>54</x:v>
      </x:c>
      <x:c r="Q529" s="16" t="n">
        <x:f>IF(COUNT(J529:O529)&lt;6,"",J529*5+K529*4+M529*4+L529*3+N529*2+O529*2)</x:f>
        <x:v>80</x:v>
      </x:c>
      <x:c r="R529" s="14" t="str">
        <x:v>high</x:v>
      </x:c>
      <x:c r="S529" s="14" t="str">
        <x:v>official_prozorro_award_2025_2026</x:v>
      </x:c>
      <x:c r="T529" s="14" t="str">
        <x:v>official_prozorro_api</x:v>
      </x:c>
      <x:c r="U529" s="14" t="str">
        <x:v>Не контактували</x:v>
      </x:c>
      <x:c r="V529" s="15" t="str">
        <x:v>Workflow-audit outreach по UA-2026-07-22-002831-a; попросити 1 пакет здачі та вимоги проєкту</x:v>
      </x:c>
      <x:c r="W529" s="15" t="str">
        <x:v>Власник / виконавець; відповідальний за договір</x:v>
      </x:c>
      <x:c r="X529" s="15" t="str">
        <x:v>1 підтверджених перемог/договорів у Prozorro на 79 130 грн; 1 проєктів зі строком виконання не раніше 24.08.2026.</x:v>
      </x:c>
      <x:c r="Y529"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529" s="15" t="str">
        <x:v>https://prozorro.gov.ua/tender/UA-2026-07-22-002831-a</x:v>
      </x:c>
      <x:c r="AA529" s="14" t="str">
        <x:v>3758308754</x:v>
      </x:c>
      <x:c r="AB529" s="14" t="str">
        <x:v>2026-08-24</x:v>
      </x:c>
      <x:c r="AC529" s="14" t="str"/>
      <x:c r="AD529" s="20" t="str"/>
      <x:c r="AE529" s="14" t="str"/>
      <x:c r="AF529" s="14" t="n">
        <x:v>49</x:v>
      </x:c>
      <x:c r="AG529" s="14" t="str">
        <x:v>I3</x:v>
      </x:c>
      <x:c r="AH529" s="14" t="n">
        <x:v>1</x:v>
      </x:c>
      <x:c r="AI529" s="14" t="n">
        <x:v>1</x:v>
      </x:c>
      <x:c r="AJ529" s="18" t="n">
        <x:v>79130</x:v>
      </x:c>
      <x:c r="AK529" s="14" t="str">
        <x:v>https://prozorro.gov.ua/tender/UA-2026-07-22-002831-a</x:v>
      </x:c>
      <x:c r="AL529" s="19" t="n">
        <x:v>46225.338014583336</x:v>
      </x:c>
      <x:c r="AM529" s="19" t="n">
        <x:v>46387</x:v>
      </x:c>
      <x:c r="AN529" s="15" t="str">
        <x:v>Промисловий холод</x:v>
      </x:c>
      <x:c r="AO529" s="15" t="str">
        <x:v>not_found_in_top_search</x:v>
      </x:c>
    </x:row>
    <x:row r="530">
      <x:c r="A530" s="14" t="str">
        <x:v>W3-258</x:v>
      </x:c>
      <x:c r="B530" s="14" t="str">
        <x:v>Prozorro winners — 24.08</x:v>
      </x:c>
      <x:c r="C530" s="14" t="str">
        <x:v>Попач Максим Іванович</x:v>
      </x:c>
      <x:c r="D530" s="14" t="str">
        <x:v>Електромонтаж</x:v>
      </x:c>
      <x:c r="E530" s="14" t="str">
        <x:v>Pilot now</x:v>
      </x:c>
      <x:c r="F530" s="17" t="str">
        <x:v>P3</x:v>
      </x:c>
      <x:c r="G530" s="14" t="str"/>
      <x:c r="H530" s="14" t="str">
        <x:v>Пілот зараз — Н.15</x:v>
      </x:c>
      <x:c r="I530" s="16" t="n">
        <x:v>5</x:v>
      </x:c>
      <x:c r="J530" s="16" t="n">
        <x:v>5</x:v>
      </x:c>
      <x:c r="K530" s="16" t="n">
        <x:v>5</x:v>
      </x:c>
      <x:c r="L530" s="16" t="n">
        <x:v>1</x:v>
      </x:c>
      <x:c r="M530" s="16" t="n">
        <x:v>5</x:v>
      </x:c>
      <x:c r="N530" s="16" t="n">
        <x:v>3</x:v>
      </x:c>
      <x:c r="O530" s="16" t="n">
        <x:v>5</x:v>
      </x:c>
      <x:c r="P530" s="16" t="n">
        <x:f>IF(COUNT(I530:O530)&lt;7,"",I530*8+J530*3+K530*2+L530*2+M530*2+N530*2+O530)</x:f>
        <x:v>88</x:v>
      </x:c>
      <x:c r="Q530" s="16" t="n">
        <x:f>IF(COUNT(J530:O530)&lt;6,"",J530*5+K530*4+M530*4+L530*3+N530*2+O530*2)</x:f>
        <x:v>84</x:v>
      </x:c>
      <x:c r="R530" s="14" t="str">
        <x:v>high</x:v>
      </x:c>
      <x:c r="S530" s="14" t="str">
        <x:v>official_prozorro_award_2025_2026</x:v>
      </x:c>
      <x:c r="T530" s="14" t="str">
        <x:v>official_prozorro_api</x:v>
      </x:c>
      <x:c r="U530" s="14" t="str">
        <x:v>Не контактували</x:v>
      </x:c>
      <x:c r="V530" s="15" t="str">
        <x:v>Персоналізований free-pilot outreach по UA-2026-08-03-005437-a; попросити 1 пакет Н.14/Н.15</x:v>
      </x:c>
      <x:c r="W530" s="15" t="str">
        <x:v>Власник / виконавець; відповідальний за договір</x:v>
      </x:c>
      <x:c r="X530" s="15" t="str">
        <x:v>1 підтверджених перемог/договорів у Prozorro на 76 220 грн; 1 проєктів зі строком виконання не раніше 24.08.2026.</x:v>
      </x:c>
      <x:c r="Y530" s="15" t="str">
        <x:v>Електромонтажні роботи; строк до 2026-12-31. Попросити один знеособлений пакет здачі за цим workflow.</x:v>
      </x:c>
      <x:c r="Z530" s="15" t="str">
        <x:v>https://prozorro.gov.ua/tender/UA-2026-08-03-005437-a</x:v>
      </x:c>
      <x:c r="AA530" s="14" t="str">
        <x:v>3275813571</x:v>
      </x:c>
      <x:c r="AB530" s="14" t="str">
        <x:v>2026-08-24</x:v>
      </x:c>
      <x:c r="AC530" s="14" t="str"/>
      <x:c r="AD530" s="20" t="str"/>
      <x:c r="AE530" s="14" t="str"/>
      <x:c r="AF530" s="14" t="n">
        <x:v>49</x:v>
      </x:c>
      <x:c r="AG530" s="14" t="str">
        <x:v>I3</x:v>
      </x:c>
      <x:c r="AH530" s="14" t="n">
        <x:v>1</x:v>
      </x:c>
      <x:c r="AI530" s="14" t="n">
        <x:v>1</x:v>
      </x:c>
      <x:c r="AJ530" s="18" t="n">
        <x:v>76220</x:v>
      </x:c>
      <x:c r="AK530" s="14" t="str">
        <x:v>https://prozorro.gov.ua/tender/UA-2026-08-03-005437-a</x:v>
      </x:c>
      <x:c r="AL530" s="19" t="n">
        <x:v>46237.43505826389</x:v>
      </x:c>
      <x:c r="AM530" s="19" t="n">
        <x:v>46387</x:v>
      </x:c>
      <x:c r="AN530" s="15" t="str">
        <x:v>Електромонтаж</x:v>
      </x:c>
      <x:c r="AO530" s="15" t="str">
        <x:v>not_found_in_top_search</x:v>
      </x:c>
    </x:row>
    <x:row r="531">
      <x:c r="A531" s="14" t="str">
        <x:v>W3-259</x:v>
      </x:c>
      <x:c r="B531" s="14" t="str">
        <x:v>Prozorro winners — 24.08</x:v>
      </x:c>
      <x:c r="C531" s="14" t="str">
        <x:v>Фізична особа-підприємець  Трунов Вадим Олексійович</x:v>
      </x:c>
      <x:c r="D531" s="14" t="str">
        <x:v>Насосні станції</x:v>
      </x:c>
      <x:c r="E531" s="14" t="str">
        <x:v>Expansion discovery</x:v>
      </x:c>
      <x:c r="F531" s="17" t="str">
        <x:v>D3</x:v>
      </x:c>
      <x:c r="G531" s="14" t="str"/>
      <x:c r="H531" s="14" t="str">
        <x:v>Discovery розширення — 2 тижні</x:v>
      </x:c>
      <x:c r="I531" s="16" t="n">
        <x:v>1</x:v>
      </x:c>
      <x:c r="J531" s="16" t="n">
        <x:v>5</x:v>
      </x:c>
      <x:c r="K531" s="16" t="n">
        <x:v>4</x:v>
      </x:c>
      <x:c r="L531" s="16" t="n">
        <x:v>1</x:v>
      </x:c>
      <x:c r="M531" s="16" t="n">
        <x:v>5</x:v>
      </x:c>
      <x:c r="N531" s="16" t="n">
        <x:v>3</x:v>
      </x:c>
      <x:c r="O531" s="16" t="n">
        <x:v>5</x:v>
      </x:c>
      <x:c r="P531" s="16" t="n">
        <x:f>IF(COUNT(I531:O531)&lt;7,"",I531*8+J531*3+K531*2+L531*2+M531*2+N531*2+O531)</x:f>
        <x:v>54</x:v>
      </x:c>
      <x:c r="Q531" s="16" t="n">
        <x:f>IF(COUNT(J531:O531)&lt;6,"",J531*5+K531*4+M531*4+L531*3+N531*2+O531*2)</x:f>
        <x:v>80</x:v>
      </x:c>
      <x:c r="R531" s="14" t="str">
        <x:v>high</x:v>
      </x:c>
      <x:c r="S531" s="14" t="str">
        <x:v>official_prozorro_award_2025_2026</x:v>
      </x:c>
      <x:c r="T531" s="14" t="str">
        <x:v>official_prozorro_api</x:v>
      </x:c>
      <x:c r="U531" s="14" t="str">
        <x:v>Не контактували</x:v>
      </x:c>
      <x:c r="V531" s="15" t="str">
        <x:v>Workflow-audit outreach по UA-2026-08-21-000289-a; попросити 1 пакет здачі та вимоги проєкту</x:v>
      </x:c>
      <x:c r="W531" s="15" t="str">
        <x:v>Власник / виконавець; відповідальний за договір</x:v>
      </x:c>
      <x:c r="X531" s="15" t="str">
        <x:v>1 підтверджених перемог/договорів у Prozorro на 76 016 грн; 1 проєктів зі строком виконання не раніше 24.08.2026.</x:v>
      </x:c>
      <x:c r="Y531"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 строк до 2026-12-30. Попросити один знеособлений пакет здачі за цим workflow.</x:v>
      </x:c>
      <x:c r="Z531" s="15" t="str">
        <x:v>https://prozorro.gov.ua/tender/UA-2026-08-21-000289-a</x:v>
      </x:c>
      <x:c r="AA531" s="14" t="str">
        <x:v>2843106371</x:v>
      </x:c>
      <x:c r="AB531" s="14" t="str">
        <x:v>2026-08-24</x:v>
      </x:c>
      <x:c r="AC531" s="14" t="str"/>
      <x:c r="AD531" s="20" t="str"/>
      <x:c r="AE531" s="14" t="str"/>
      <x:c r="AF531" s="14" t="n">
        <x:v>49</x:v>
      </x:c>
      <x:c r="AG531" s="14" t="str">
        <x:v>I3</x:v>
      </x:c>
      <x:c r="AH531" s="14" t="n">
        <x:v>1</x:v>
      </x:c>
      <x:c r="AI531" s="14" t="n">
        <x:v>1</x:v>
      </x:c>
      <x:c r="AJ531" s="18" t="n">
        <x:v>76016.47</x:v>
      </x:c>
      <x:c r="AK531" s="14" t="str">
        <x:v>https://prozorro.gov.ua/tender/UA-2026-08-21-000289-a</x:v>
      </x:c>
      <x:c r="AL531" s="19" t="n">
        <x:v>46255.235803171294</x:v>
      </x:c>
      <x:c r="AM531" s="19" t="n">
        <x:v>46386</x:v>
      </x:c>
      <x:c r="AN531" s="15" t="str">
        <x:v>Насосні станції</x:v>
      </x:c>
      <x:c r="AO531" s="15" t="str">
        <x:v>not_found_in_top_search</x:v>
      </x:c>
    </x:row>
    <x:row r="532">
      <x:c r="A532" s="14" t="str">
        <x:v>W3-260</x:v>
      </x:c>
      <x:c r="B532" s="14" t="str">
        <x:v>Prozorro winners — 24.08</x:v>
      </x:c>
      <x:c r="C532" s="14" t="str">
        <x:v>ФОП Бойцун Віктор Олександрович</x:v>
      </x:c>
      <x:c r="D532" s="14" t="str">
        <x:v>HVAC / ОВіК</x:v>
      </x:c>
      <x:c r="E532" s="14" t="str">
        <x:v>Pilot now</x:v>
      </x:c>
      <x:c r="F532" s="17" t="str">
        <x:v>P3</x:v>
      </x:c>
      <x:c r="G532" s="14" t="str"/>
      <x:c r="H532" s="14" t="str">
        <x:v>Пілот зараз — Н.14</x:v>
      </x:c>
      <x:c r="I532" s="16" t="n">
        <x:v>5</x:v>
      </x:c>
      <x:c r="J532" s="16" t="n">
        <x:v>5</x:v>
      </x:c>
      <x:c r="K532" s="16" t="n">
        <x:v>5</x:v>
      </x:c>
      <x:c r="L532" s="16" t="n">
        <x:v>1</x:v>
      </x:c>
      <x:c r="M532" s="16" t="n">
        <x:v>5</x:v>
      </x:c>
      <x:c r="N532" s="16" t="n">
        <x:v>3</x:v>
      </x:c>
      <x:c r="O532" s="16" t="n">
        <x:v>5</x:v>
      </x:c>
      <x:c r="P532" s="16" t="n">
        <x:f>IF(COUNT(I532:O532)&lt;7,"",I532*8+J532*3+K532*2+L532*2+M532*2+N532*2+O532)</x:f>
        <x:v>88</x:v>
      </x:c>
      <x:c r="Q532" s="16" t="n">
        <x:f>IF(COUNT(J532:O532)&lt;6,"",J532*5+K532*4+M532*4+L532*3+N532*2+O532*2)</x:f>
        <x:v>84</x:v>
      </x:c>
      <x:c r="R532" s="14" t="str">
        <x:v>high</x:v>
      </x:c>
      <x:c r="S532" s="14" t="str">
        <x:v>official_prozorro_award_2025_2026</x:v>
      </x:c>
      <x:c r="T532" s="14" t="str">
        <x:v>official_prozorro_api</x:v>
      </x:c>
      <x:c r="U532" s="14" t="str">
        <x:v>Не контактували</x:v>
      </x:c>
      <x:c r="V532" s="15" t="str">
        <x:v>Персоналізований free-pilot outreach по UA-2026-08-11-009974-a; попросити 1 пакет Н.14/Н.15</x:v>
      </x:c>
      <x:c r="W532" s="15" t="str">
        <x:v>Власник / виконавець; відповідальний за договір</x:v>
      </x:c>
      <x:c r="X532" s="15" t="str">
        <x:v>1 підтверджених перемог/договорів у Prozorro на 75 180 грн; 1 проєктів зі строком виконання не раніше 24.08.2026.</x:v>
      </x:c>
      <x:c r="Y532"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 строк до 2026-11-30. Попросити один знеособлений пакет здачі за цим workflow.</x:v>
      </x:c>
      <x:c r="Z532" s="15" t="str">
        <x:v>https://prozorro.gov.ua/tender/UA-2026-08-11-009974-a</x:v>
      </x:c>
      <x:c r="AA532" s="14" t="str">
        <x:v>2313903114</x:v>
      </x:c>
      <x:c r="AB532" s="14" t="str">
        <x:v>2026-08-24</x:v>
      </x:c>
      <x:c r="AC532" s="14" t="str"/>
      <x:c r="AD532" s="20" t="str"/>
      <x:c r="AE532" s="14" t="str"/>
      <x:c r="AF532" s="14" t="n">
        <x:v>49</x:v>
      </x:c>
      <x:c r="AG532" s="14" t="str">
        <x:v>I3</x:v>
      </x:c>
      <x:c r="AH532" s="14" t="n">
        <x:v>1</x:v>
      </x:c>
      <x:c r="AI532" s="14" t="n">
        <x:v>1</x:v>
      </x:c>
      <x:c r="AJ532" s="18" t="n">
        <x:v>75180</x:v>
      </x:c>
      <x:c r="AK532" s="14" t="str">
        <x:v>https://prozorro.gov.ua/tender/UA-2026-08-11-009974-a</x:v>
      </x:c>
      <x:c r="AL532" s="19" t="n">
        <x:v>46245.5273869213</x:v>
      </x:c>
      <x:c r="AM532" s="19" t="n">
        <x:v>46356.57037037037</x:v>
      </x:c>
      <x:c r="AN532" s="15" t="str">
        <x:v>HVAC / ОВіК</x:v>
      </x:c>
      <x:c r="AO532" s="15" t="str">
        <x:v>not_found_in_top_search</x:v>
      </x:c>
    </x:row>
    <x:row r="533">
      <x:c r="A533" s="14" t="str">
        <x:v>W3-261</x:v>
      </x:c>
      <x:c r="B533" s="14" t="str">
        <x:v>Prozorro winners — 24.08</x:v>
      </x:c>
      <x:c r="C533" s="14" t="str">
        <x:v>ФРІД ЯРОСЛАВ ЙОСИПОВИЧ</x:v>
      </x:c>
      <x:c r="D533" s="14" t="str">
        <x:v>Пожежогасіння</x:v>
      </x:c>
      <x:c r="E533" s="14" t="str">
        <x:v>Expansion discovery</x:v>
      </x:c>
      <x:c r="F533" s="17" t="str">
        <x:v>D3</x:v>
      </x:c>
      <x:c r="G533" s="14" t="str"/>
      <x:c r="H533" s="14" t="str">
        <x:v>Discovery розширення — 2 тижні</x:v>
      </x:c>
      <x:c r="I533" s="16" t="n">
        <x:v>1</x:v>
      </x:c>
      <x:c r="J533" s="16" t="n">
        <x:v>5</x:v>
      </x:c>
      <x:c r="K533" s="16" t="n">
        <x:v>4</x:v>
      </x:c>
      <x:c r="L533" s="16" t="n">
        <x:v>1</x:v>
      </x:c>
      <x:c r="M533" s="16" t="n">
        <x:v>5</x:v>
      </x:c>
      <x:c r="N533" s="16" t="n">
        <x:v>3</x:v>
      </x:c>
      <x:c r="O533" s="16" t="n">
        <x:v>5</x:v>
      </x:c>
      <x:c r="P533" s="16" t="n">
        <x:f>IF(COUNT(I533:O533)&lt;7,"",I533*8+J533*3+K533*2+L533*2+M533*2+N533*2+O533)</x:f>
        <x:v>54</x:v>
      </x:c>
      <x:c r="Q533" s="16" t="n">
        <x:f>IF(COUNT(J533:O533)&lt;6,"",J533*5+K533*4+M533*4+L533*3+N533*2+O533*2)</x:f>
        <x:v>80</x:v>
      </x:c>
      <x:c r="R533" s="14" t="str">
        <x:v>high</x:v>
      </x:c>
      <x:c r="S533" s="14" t="str">
        <x:v>official_prozorro_award_2025_2026</x:v>
      </x:c>
      <x:c r="T533" s="14" t="str">
        <x:v>official_prozorro_api</x:v>
      </x:c>
      <x:c r="U533" s="14" t="str">
        <x:v>Не контактували</x:v>
      </x:c>
      <x:c r="V533" s="15" t="str">
        <x:v>Повторне звернення з новим тендерним сигналом UA-2026-08-14-002245-a; попросити 1 пакет здачі</x:v>
      </x:c>
      <x:c r="W533" s="15" t="str">
        <x:v>Власник / виконавець; відповідальний за договір</x:v>
      </x:c>
      <x:c r="X533" s="15" t="str">
        <x:v>1 підтверджених перемог/договорів у Prozorro на 75 000 грн; 1 проєктів зі строком виконання не раніше 24.08.2026.</x:v>
      </x:c>
      <x:c r="Y533" s="15" t="str">
        <x:v>Послуги з монтажу системи автоматичної пожежної сигналізації в приміщення будинку культури по вул. Шевченка, 8 с. Сторожниця Ужгородського району; строк до 2026-12-31. Попросити один знеособлений пакет здачі за цим workflow.</x:v>
      </x:c>
      <x:c r="Z533" s="15" t="str">
        <x:v>https://prozorro.gov.ua/tender/UA-2026-07-24-007093-a</x:v>
      </x:c>
      <x:c r="AA533" s="14" t="str">
        <x:v>2818517395</x:v>
      </x:c>
      <x:c r="AB533" s="14" t="str">
        <x:v>2026-08-24</x:v>
      </x:c>
      <x:c r="AC533" s="14" t="str"/>
      <x:c r="AD533" s="20" t="str"/>
      <x:c r="AE533" s="14" t="str"/>
      <x:c r="AF533" s="14" t="n">
        <x:v>73</x:v>
      </x:c>
      <x:c r="AG533" s="14" t="str">
        <x:v>I2</x:v>
      </x:c>
      <x:c r="AH533" s="14" t="n">
        <x:v>4</x:v>
      </x:c>
      <x:c r="AI533" s="14" t="n">
        <x:v>4</x:v>
      </x:c>
      <x:c r="AJ533" s="18" t="n">
        <x:v>283000</x:v>
      </x:c>
      <x:c r="AK533" s="14" t="str">
        <x:v>https://prozorro.gov.ua/tender/UA-2026-08-14-002245-a</x:v>
      </x:c>
      <x:c r="AL533" s="19" t="n">
        <x:v>46248.311482337966</x:v>
      </x:c>
      <x:c r="AM533" s="19" t="n">
        <x:v>46387.35512731481</x:v>
      </x:c>
      <x:c r="AN533" s="15" t="str">
        <x:v>Пожежогасіння; Блискавкозахист / заземлення</x:v>
      </x:c>
      <x:c r="AO533" s="15" t="str">
        <x:v>not_found_in_top_search</x:v>
      </x:c>
    </x:row>
    <x:row r="534">
      <x:c r="A534" s="14" t="str">
        <x:v>W3-262</x:v>
      </x:c>
      <x:c r="B534" s="14" t="str">
        <x:v>Prozorro winners — 24.08</x:v>
      </x:c>
      <x:c r="C534" s="14" t="str">
        <x:v>КРАВЧЕНКО ЯНА ЮРІЇВНА</x:v>
      </x:c>
      <x:c r="D534" s="14" t="str">
        <x:v>Сонячна енергетика</x:v>
      </x:c>
      <x:c r="E534" s="14" t="str">
        <x:v>Expansion discovery</x:v>
      </x:c>
      <x:c r="F534" s="17" t="str">
        <x:v>D3</x:v>
      </x:c>
      <x:c r="G534" s="14" t="str"/>
      <x:c r="H534" s="14" t="str">
        <x:v>Discovery розширення — 2 тижні</x:v>
      </x:c>
      <x:c r="I534" s="16" t="n">
        <x:v>1</x:v>
      </x:c>
      <x:c r="J534" s="16" t="n">
        <x:v>5</x:v>
      </x:c>
      <x:c r="K534" s="16" t="n">
        <x:v>4</x:v>
      </x:c>
      <x:c r="L534" s="16" t="n">
        <x:v>1</x:v>
      </x:c>
      <x:c r="M534" s="16" t="n">
        <x:v>5</x:v>
      </x:c>
      <x:c r="N534" s="16" t="n">
        <x:v>3</x:v>
      </x:c>
      <x:c r="O534" s="16" t="n">
        <x:v>5</x:v>
      </x:c>
      <x:c r="P534" s="16" t="n">
        <x:f>IF(COUNT(I534:O534)&lt;7,"",I534*8+J534*3+K534*2+L534*2+M534*2+N534*2+O534)</x:f>
        <x:v>54</x:v>
      </x:c>
      <x:c r="Q534" s="16" t="n">
        <x:f>IF(COUNT(J534:O534)&lt;6,"",J534*5+K534*4+M534*4+L534*3+N534*2+O534*2)</x:f>
        <x:v>80</x:v>
      </x:c>
      <x:c r="R534" s="14" t="str">
        <x:v>high</x:v>
      </x:c>
      <x:c r="S534" s="14" t="str">
        <x:v>official_prozorro_award_2025_2026</x:v>
      </x:c>
      <x:c r="T534" s="14" t="str">
        <x:v>official_prozorro_api</x:v>
      </x:c>
      <x:c r="U534" s="14" t="str">
        <x:v>Не контактували</x:v>
      </x:c>
      <x:c r="V534" s="15" t="str">
        <x:v>Workflow-audit outreach по UA-2026-08-19-008273-a; попросити 1 пакет здачі та вимоги проєкту</x:v>
      </x:c>
      <x:c r="W534" s="15" t="str">
        <x:v>Власник / виконавець; відповідальний за договір</x:v>
      </x:c>
      <x:c r="X534" s="15" t="str">
        <x:v>1 підтверджених перемог/договорів у Prozorro на 74 849 грн; 1 проєктів зі строком виконання не раніше 24.08.2026.</x:v>
      </x:c>
      <x:c r="Y534" s="15" t="str">
        <x:v>послуги з монтажу та підключення сонячної електростанції(СЕС); строк до 2026-12-31. Попросити один знеособлений пакет здачі за цим workflow.</x:v>
      </x:c>
      <x:c r="Z534" s="15" t="str">
        <x:v>https://prozorro.gov.ua/tender/UA-2026-08-19-008273-a</x:v>
      </x:c>
      <x:c r="AA534" s="14" t="str">
        <x:v>3290016085</x:v>
      </x:c>
      <x:c r="AB534" s="14" t="str">
        <x:v>2026-08-24</x:v>
      </x:c>
      <x:c r="AC534" s="14" t="str"/>
      <x:c r="AD534" s="20" t="str"/>
      <x:c r="AE534" s="14" t="str"/>
      <x:c r="AF534" s="14" t="n">
        <x:v>49</x:v>
      </x:c>
      <x:c r="AG534" s="14" t="str">
        <x:v>I3</x:v>
      </x:c>
      <x:c r="AH534" s="14" t="n">
        <x:v>1</x:v>
      </x:c>
      <x:c r="AI534" s="14" t="n">
        <x:v>1</x:v>
      </x:c>
      <x:c r="AJ534" s="18" t="n">
        <x:v>74848.95</x:v>
      </x:c>
      <x:c r="AK534" s="14" t="str">
        <x:v>https://prozorro.gov.ua/tender/UA-2026-08-19-008273-a</x:v>
      </x:c>
      <x:c r="AL534" s="19" t="n">
        <x:v>46253.48302172454</x:v>
      </x:c>
      <x:c r="AM534" s="19" t="n">
        <x:v>46387</x:v>
      </x:c>
      <x:c r="AN534" s="15" t="str">
        <x:v>Сонячна енергетика</x:v>
      </x:c>
      <x:c r="AO534" s="15" t="str">
        <x:v>not_found_in_top_search</x:v>
      </x:c>
    </x:row>
    <x:row r="535">
      <x:c r="A535" s="14" t="str">
        <x:v>W3-263</x:v>
      </x:c>
      <x:c r="B535" s="14" t="str">
        <x:v>Prozorro winners — 24.08</x:v>
      </x:c>
      <x:c r="C535" s="14" t="str">
        <x:v>ФОП Саакян А.С.</x:v>
      </x:c>
      <x:c r="D535" s="14" t="str">
        <x:v>Мости / інфраструктура</x:v>
      </x:c>
      <x:c r="E535" s="14" t="str">
        <x:v>Expansion discovery</x:v>
      </x:c>
      <x:c r="F535" s="17" t="str">
        <x:v>D3</x:v>
      </x:c>
      <x:c r="G535" s="14" t="str"/>
      <x:c r="H535" s="14" t="str">
        <x:v>Discovery розширення — 2 тижні</x:v>
      </x:c>
      <x:c r="I535" s="16" t="n">
        <x:v>1</x:v>
      </x:c>
      <x:c r="J535" s="16" t="n">
        <x:v>5</x:v>
      </x:c>
      <x:c r="K535" s="16" t="n">
        <x:v>4</x:v>
      </x:c>
      <x:c r="L535" s="16" t="n">
        <x:v>1</x:v>
      </x:c>
      <x:c r="M535" s="16" t="n">
        <x:v>5</x:v>
      </x:c>
      <x:c r="N535" s="16" t="n">
        <x:v>3</x:v>
      </x:c>
      <x:c r="O535" s="16" t="n">
        <x:v>5</x:v>
      </x:c>
      <x:c r="P535" s="16" t="n">
        <x:f>IF(COUNT(I535:O535)&lt;7,"",I535*8+J535*3+K535*2+L535*2+M535*2+N535*2+O535)</x:f>
        <x:v>54</x:v>
      </x:c>
      <x:c r="Q535" s="16" t="n">
        <x:f>IF(COUNT(J535:O535)&lt;6,"",J535*5+K535*4+M535*4+L535*3+N535*2+O535*2)</x:f>
        <x:v>80</x:v>
      </x:c>
      <x:c r="R535" s="14" t="str">
        <x:v>high</x:v>
      </x:c>
      <x:c r="S535" s="14" t="str">
        <x:v>official_prozorro_award_2025_2026</x:v>
      </x:c>
      <x:c r="T535" s="14" t="str">
        <x:v>official_prozorro_api</x:v>
      </x:c>
      <x:c r="U535" s="14" t="str">
        <x:v>Не контактували</x:v>
      </x:c>
      <x:c r="V535" s="15" t="str">
        <x:v>Workflow-audit outreach по UA-2026-08-21-010512-a; попросити 1 пакет здачі та вимоги проєкту</x:v>
      </x:c>
      <x:c r="W535" s="15" t="str">
        <x:v>Власник / виконавець; відповідальний за договір</x:v>
      </x:c>
      <x:c r="X535" s="15" t="str">
        <x:v>1 підтверджених перемог/договорів у Prozorro на 70 190 грн; 1 проєктів зі строком виконання не раніше 24.08.2026.</x:v>
      </x:c>
      <x:c r="Y535"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 строк до 2026-12-31. Попросити один знеособлений пакет здачі за цим workflow.</x:v>
      </x:c>
      <x:c r="Z535" s="15" t="str">
        <x:v>https://prozorro.gov.ua/tender/UA-2026-08-21-010512-a</x:v>
      </x:c>
      <x:c r="AA535" s="14" t="str">
        <x:v>2733721519</x:v>
      </x:c>
      <x:c r="AB535" s="14" t="str">
        <x:v>2026-08-24</x:v>
      </x:c>
      <x:c r="AC535" s="14" t="str"/>
      <x:c r="AD535" s="20" t="str"/>
      <x:c r="AE535" s="14" t="str"/>
      <x:c r="AF535" s="14" t="n">
        <x:v>49</x:v>
      </x:c>
      <x:c r="AG535" s="14" t="str">
        <x:v>I3</x:v>
      </x:c>
      <x:c r="AH535" s="14" t="n">
        <x:v>1</x:v>
      </x:c>
      <x:c r="AI535" s="14" t="n">
        <x:v>1</x:v>
      </x:c>
      <x:c r="AJ535" s="18" t="n">
        <x:v>70190.23</x:v>
      </x:c>
      <x:c r="AK535" s="14" t="str">
        <x:v>https://prozorro.gov.ua/tender/UA-2026-08-21-010512-a</x:v>
      </x:c>
      <x:c r="AL535" s="19" t="n">
        <x:v>46255.52196247685</x:v>
      </x:c>
      <x:c r="AM535" s="19" t="n">
        <x:v>46387.56453703704</x:v>
      </x:c>
      <x:c r="AN535" s="15" t="str">
        <x:v>Мости / інфраструктура</x:v>
      </x:c>
      <x:c r="AO535" s="15" t="str">
        <x:v>not_found_in_top_search</x:v>
      </x:c>
    </x:row>
    <x:row r="536">
      <x:c r="A536" s="14" t="str">
        <x:v>W3-264</x:v>
      </x:c>
      <x:c r="B536" s="14" t="str">
        <x:v>Prozorro winners — 24.08</x:v>
      </x:c>
      <x:c r="C536" s="14" t="str">
        <x:v>ФОП Бацура ВС</x:v>
      </x:c>
      <x:c r="D536" s="14" t="str">
        <x:v>Пожежогасіння</x:v>
      </x:c>
      <x:c r="E536" s="14" t="str">
        <x:v>Expansion discovery</x:v>
      </x:c>
      <x:c r="F536" s="17" t="str">
        <x:v>D3</x:v>
      </x:c>
      <x:c r="G536" s="14" t="str"/>
      <x:c r="H536" s="14" t="str">
        <x:v>Discovery розширення — 2 тижні</x:v>
      </x:c>
      <x:c r="I536" s="16" t="n">
        <x:v>1</x:v>
      </x:c>
      <x:c r="J536" s="16" t="n">
        <x:v>5</x:v>
      </x:c>
      <x:c r="K536" s="16" t="n">
        <x:v>4</x:v>
      </x:c>
      <x:c r="L536" s="16" t="n">
        <x:v>1</x:v>
      </x:c>
      <x:c r="M536" s="16" t="n">
        <x:v>5</x:v>
      </x:c>
      <x:c r="N536" s="16" t="n">
        <x:v>3</x:v>
      </x:c>
      <x:c r="O536" s="16" t="n">
        <x:v>5</x:v>
      </x:c>
      <x:c r="P536" s="16" t="n">
        <x:f>IF(COUNT(I536:O536)&lt;7,"",I536*8+J536*3+K536*2+L536*2+M536*2+N536*2+O536)</x:f>
        <x:v>54</x:v>
      </x:c>
      <x:c r="Q536" s="16" t="n">
        <x:f>IF(COUNT(J536:O536)&lt;6,"",J536*5+K536*4+M536*4+L536*3+N536*2+O536*2)</x:f>
        <x:v>80</x:v>
      </x:c>
      <x:c r="R536" s="14" t="str">
        <x:v>high</x:v>
      </x:c>
      <x:c r="S536" s="14" t="str">
        <x:v>official_prozorro_award_2025_2026</x:v>
      </x:c>
      <x:c r="T536" s="14" t="str">
        <x:v>official_prozorro_api</x:v>
      </x:c>
      <x:c r="U536" s="14" t="str">
        <x:v>Не контактували</x:v>
      </x:c>
      <x:c r="V536" s="15" t="str">
        <x:v>Workflow-audit outreach по UA-2026-08-16-000232-a; попросити 1 пакет здачі та вимоги проєкту</x:v>
      </x:c>
      <x:c r="W536" s="15" t="str">
        <x:v>Власник / виконавець; відповідальний за договір</x:v>
      </x:c>
      <x:c r="X536" s="15" t="str">
        <x:v>1 підтверджених перемог/договорів у Prozorro на 69 120 грн; 1 проєктів зі строком виконання не раніше 24.08.2026.</x:v>
      </x:c>
      <x:c r="Y536" s="15" t="str">
        <x:v>Монтаж системи пожежної сигналізації; строк до 2026-12-31. Попросити один знеособлений пакет здачі за цим workflow.</x:v>
      </x:c>
      <x:c r="Z536" s="15" t="str">
        <x:v>https://prozorro.gov.ua/tender/UA-2026-08-16-000232-a</x:v>
      </x:c>
      <x:c r="AA536" s="14" t="str">
        <x:v>2951200878</x:v>
      </x:c>
      <x:c r="AB536" s="14" t="str">
        <x:v>2026-08-24</x:v>
      </x:c>
      <x:c r="AC536" s="14" t="str"/>
      <x:c r="AD536" s="20" t="str"/>
      <x:c r="AE536" s="14" t="str"/>
      <x:c r="AF536" s="14" t="n">
        <x:v>49</x:v>
      </x:c>
      <x:c r="AG536" s="14" t="str">
        <x:v>I3</x:v>
      </x:c>
      <x:c r="AH536" s="14" t="n">
        <x:v>1</x:v>
      </x:c>
      <x:c r="AI536" s="14" t="n">
        <x:v>1</x:v>
      </x:c>
      <x:c r="AJ536" s="18" t="n">
        <x:v>69120</x:v>
      </x:c>
      <x:c r="AK536" s="14" t="str">
        <x:v>https://prozorro.gov.ua/tender/UA-2026-08-16-000232-a</x:v>
      </x:c>
      <x:c r="AL536" s="19" t="n">
        <x:v>46250.48431451389</x:v>
      </x:c>
      <x:c r="AM536" s="19" t="n">
        <x:v>46387.526400462964</x:v>
      </x:c>
      <x:c r="AN536" s="15" t="str">
        <x:v>Пожежогасіння</x:v>
      </x:c>
      <x:c r="AO536" s="15" t="str">
        <x:v>not_found_in_top_search</x:v>
      </x:c>
    </x:row>
    <x:row r="537">
      <x:c r="A537" s="14" t="str">
        <x:v>W3-265</x:v>
      </x:c>
      <x:c r="B537" s="14" t="str">
        <x:v>Prozorro winners — 24.08</x:v>
      </x:c>
      <x:c r="C537" s="14" t="str">
        <x:v>НАЗАРЕНКО КАТЕРИНА ЮРІЇВНА</x:v>
      </x:c>
      <x:c r="D537" s="14" t="str">
        <x:v>Мости / інфраструктура</x:v>
      </x:c>
      <x:c r="E537" s="14" t="str">
        <x:v>Expansion discovery</x:v>
      </x:c>
      <x:c r="F537" s="17" t="str">
        <x:v>D3</x:v>
      </x:c>
      <x:c r="G537" s="14" t="str"/>
      <x:c r="H537" s="14" t="str">
        <x:v>Discovery розширення — 2 тижні</x:v>
      </x:c>
      <x:c r="I537" s="16" t="n">
        <x:v>1</x:v>
      </x:c>
      <x:c r="J537" s="16" t="n">
        <x:v>5</x:v>
      </x:c>
      <x:c r="K537" s="16" t="n">
        <x:v>4</x:v>
      </x:c>
      <x:c r="L537" s="16" t="n">
        <x:v>1</x:v>
      </x:c>
      <x:c r="M537" s="16" t="n">
        <x:v>5</x:v>
      </x:c>
      <x:c r="N537" s="16" t="n">
        <x:v>3</x:v>
      </x:c>
      <x:c r="O537" s="16" t="n">
        <x:v>5</x:v>
      </x:c>
      <x:c r="P537" s="16" t="n">
        <x:f>IF(COUNT(I537:O537)&lt;7,"",I537*8+J537*3+K537*2+L537*2+M537*2+N537*2+O537)</x:f>
        <x:v>54</x:v>
      </x:c>
      <x:c r="Q537" s="16" t="n">
        <x:f>IF(COUNT(J537:O537)&lt;6,"",J537*5+K537*4+M537*4+L537*3+N537*2+O537*2)</x:f>
        <x:v>80</x:v>
      </x:c>
      <x:c r="R537" s="14" t="str">
        <x:v>high</x:v>
      </x:c>
      <x:c r="S537" s="14" t="str">
        <x:v>official_prozorro_award_2025_2026</x:v>
      </x:c>
      <x:c r="T537" s="14" t="str">
        <x:v>official_prozorro_api</x:v>
      </x:c>
      <x:c r="U537" s="14" t="str">
        <x:v>Не контактували</x:v>
      </x:c>
      <x:c r="V537" s="15" t="str">
        <x:v>Workflow-audit outreach по UA-2026-08-06-002870-a; попросити 1 пакет здачі та вимоги проєкту</x:v>
      </x:c>
      <x:c r="W537" s="15" t="str">
        <x:v>Власник / виконавець; відповідальний за договір</x:v>
      </x:c>
      <x:c r="X537" s="15" t="str">
        <x:v>1 підтверджених перемог/договорів у Prozorro на 66 653 грн; 1 проєктів зі строком виконання не раніше 24.08.2026.</x:v>
      </x:c>
      <x:c r="Y537"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 строк до 2026-12-31. Попросити один знеособлений пакет здачі за цим workflow.</x:v>
      </x:c>
      <x:c r="Z537" s="15" t="str">
        <x:v>https://prozorro.gov.ua/tender/UA-2026-08-06-002870-a</x:v>
      </x:c>
      <x:c r="AA537" s="14" t="str">
        <x:v>3206513861</x:v>
      </x:c>
      <x:c r="AB537" s="14" t="str">
        <x:v>2026-08-24</x:v>
      </x:c>
      <x:c r="AC537" s="14" t="str"/>
      <x:c r="AD537" s="20" t="str"/>
      <x:c r="AE537" s="14" t="str"/>
      <x:c r="AF537" s="14" t="n">
        <x:v>49</x:v>
      </x:c>
      <x:c r="AG537" s="14" t="str">
        <x:v>I3</x:v>
      </x:c>
      <x:c r="AH537" s="14" t="n">
        <x:v>1</x:v>
      </x:c>
      <x:c r="AI537" s="14" t="n">
        <x:v>1</x:v>
      </x:c>
      <x:c r="AJ537" s="18" t="n">
        <x:v>66653</x:v>
      </x:c>
      <x:c r="AK537" s="14" t="str">
        <x:v>https://prozorro.gov.ua/tender/UA-2026-08-06-002870-a</x:v>
      </x:c>
      <x:c r="AL537" s="19" t="n">
        <x:v>46240.332046944444</x:v>
      </x:c>
      <x:c r="AM537" s="19" t="n">
        <x:v>46387</x:v>
      </x:c>
      <x:c r="AN537" s="15" t="str">
        <x:v>Мости / інфраструктура</x:v>
      </x:c>
      <x:c r="AO537" s="15" t="str">
        <x:v>not_found_in_top_search</x:v>
      </x:c>
    </x:row>
    <x:row r="538">
      <x:c r="A538" s="14" t="str">
        <x:v>W3-266</x:v>
      </x:c>
      <x:c r="B538" s="14" t="str">
        <x:v>Prozorro winners — 24.08</x:v>
      </x:c>
      <x:c r="C538" s="14" t="str">
        <x:v>РОМАНЕНКО ВАЛЕНТИНА ВОЛОДИМИРІВНА</x:v>
      </x:c>
      <x:c r="D538" s="14" t="str">
        <x:v>Сонячна енергетика</x:v>
      </x:c>
      <x:c r="E538" s="14" t="str">
        <x:v>Expansion discovery</x:v>
      </x:c>
      <x:c r="F538" s="17" t="str">
        <x:v>D3</x:v>
      </x:c>
      <x:c r="G538" s="14" t="str"/>
      <x:c r="H538" s="14" t="str">
        <x:v>Discovery розширення — 2 тижні</x:v>
      </x:c>
      <x:c r="I538" s="16" t="n">
        <x:v>1</x:v>
      </x:c>
      <x:c r="J538" s="16" t="n">
        <x:v>5</x:v>
      </x:c>
      <x:c r="K538" s="16" t="n">
        <x:v>4</x:v>
      </x:c>
      <x:c r="L538" s="16" t="n">
        <x:v>1</x:v>
      </x:c>
      <x:c r="M538" s="16" t="n">
        <x:v>5</x:v>
      </x:c>
      <x:c r="N538" s="16" t="n">
        <x:v>3</x:v>
      </x:c>
      <x:c r="O538" s="16" t="n">
        <x:v>5</x:v>
      </x:c>
      <x:c r="P538" s="16" t="n">
        <x:f>IF(COUNT(I538:O538)&lt;7,"",I538*8+J538*3+K538*2+L538*2+M538*2+N538*2+O538)</x:f>
        <x:v>54</x:v>
      </x:c>
      <x:c r="Q538" s="16" t="n">
        <x:f>IF(COUNT(J538:O538)&lt;6,"",J538*5+K538*4+M538*4+L538*3+N538*2+O538*2)</x:f>
        <x:v>80</x:v>
      </x:c>
      <x:c r="R538" s="14" t="str">
        <x:v>high</x:v>
      </x:c>
      <x:c r="S538" s="14" t="str">
        <x:v>official_prozorro_award_2025_2026</x:v>
      </x:c>
      <x:c r="T538" s="14" t="str">
        <x:v>official_prozorro_api</x:v>
      </x:c>
      <x:c r="U538" s="14" t="str">
        <x:v>Не контактували</x:v>
      </x:c>
      <x:c r="V538" s="15" t="str">
        <x:v>Workflow-audit outreach по UA-2026-08-14-006249-a; попросити 1 пакет здачі та вимоги проєкту</x:v>
      </x:c>
      <x:c r="W538" s="15" t="str">
        <x:v>Власник / виконавець; відповідальний за договір</x:v>
      </x:c>
      <x:c r="X538" s="15" t="str">
        <x:v>1 підтверджених перемог/договорів у Prozorro на 66 029 грн; 1 проєктів зі строком виконання не раніше 24.08.2026.</x:v>
      </x:c>
      <x:c r="Y538" s="15" t="str">
        <x:v>Комплектуючі матеріали для монтажу сонячної електростанції ; строк до 2026-12-31. Попросити один знеособлений пакет здачі за цим workflow.</x:v>
      </x:c>
      <x:c r="Z538" s="15" t="str">
        <x:v>https://prozorro.gov.ua/tender/UA-2026-08-14-006249-a</x:v>
      </x:c>
      <x:c r="AA538" s="14" t="str">
        <x:v>2506620985</x:v>
      </x:c>
      <x:c r="AB538" s="14" t="str">
        <x:v>2026-08-24</x:v>
      </x:c>
      <x:c r="AC538" s="14" t="str"/>
      <x:c r="AD538" s="20" t="str"/>
      <x:c r="AE538" s="14" t="str"/>
      <x:c r="AF538" s="14" t="n">
        <x:v>49</x:v>
      </x:c>
      <x:c r="AG538" s="14" t="str">
        <x:v>I3</x:v>
      </x:c>
      <x:c r="AH538" s="14" t="n">
        <x:v>1</x:v>
      </x:c>
      <x:c r="AI538" s="14" t="n">
        <x:v>1</x:v>
      </x:c>
      <x:c r="AJ538" s="18" t="n">
        <x:v>66029</x:v>
      </x:c>
      <x:c r="AK538" s="14" t="str">
        <x:v>https://prozorro.gov.ua/tender/UA-2026-08-14-006249-a</x:v>
      </x:c>
      <x:c r="AL538" s="19" t="n">
        <x:v>46248.43009769676</x:v>
      </x:c>
      <x:c r="AM538" s="19" t="n">
        <x:v>46387</x:v>
      </x:c>
      <x:c r="AN538" s="15" t="str">
        <x:v>Сонячна енергетика</x:v>
      </x:c>
      <x:c r="AO538" s="15" t="str">
        <x:v>not_found_in_top_search</x:v>
      </x:c>
    </x:row>
    <x:row r="539">
      <x:c r="A539" s="14" t="str">
        <x:v>W3-267</x:v>
      </x:c>
      <x:c r="B539" s="14" t="str">
        <x:v>Prozorro winners — 24.08</x:v>
      </x:c>
      <x:c r="C539" s="14" t="str">
        <x:v>ФОП Жовтун Олександра Реджебівна</x:v>
      </x:c>
      <x:c r="D539" s="14" t="str">
        <x:v>Безпека / СКУД / CCTV</x:v>
      </x:c>
      <x:c r="E539" s="14" t="str">
        <x:v>Expansion discovery</x:v>
      </x:c>
      <x:c r="F539" s="17" t="str">
        <x:v>D3</x:v>
      </x:c>
      <x:c r="G539" s="14" t="str"/>
      <x:c r="H539" s="14" t="str">
        <x:v>Discovery розширення — 2 тижні</x:v>
      </x:c>
      <x:c r="I539" s="16" t="n">
        <x:v>1</x:v>
      </x:c>
      <x:c r="J539" s="16" t="n">
        <x:v>5</x:v>
      </x:c>
      <x:c r="K539" s="16" t="n">
        <x:v>4</x:v>
      </x:c>
      <x:c r="L539" s="16" t="n">
        <x:v>1</x:v>
      </x:c>
      <x:c r="M539" s="16" t="n">
        <x:v>5</x:v>
      </x:c>
      <x:c r="N539" s="16" t="n">
        <x:v>3</x:v>
      </x:c>
      <x:c r="O539" s="16" t="n">
        <x:v>5</x:v>
      </x:c>
      <x:c r="P539" s="16" t="n">
        <x:f>IF(COUNT(I539:O539)&lt;7,"",I539*8+J539*3+K539*2+L539*2+M539*2+N539*2+O539)</x:f>
        <x:v>54</x:v>
      </x:c>
      <x:c r="Q539" s="16" t="n">
        <x:f>IF(COUNT(J539:O539)&lt;6,"",J539*5+K539*4+M539*4+L539*3+N539*2+O539*2)</x:f>
        <x:v>80</x:v>
      </x:c>
      <x:c r="R539" s="14" t="str">
        <x:v>high</x:v>
      </x:c>
      <x:c r="S539" s="14" t="str">
        <x:v>official_prozorro_award_2025_2026</x:v>
      </x:c>
      <x:c r="T539" s="14" t="str">
        <x:v>official_prozorro_api</x:v>
      </x:c>
      <x:c r="U539" s="14" t="str">
        <x:v>Не контактували</x:v>
      </x:c>
      <x:c r="V539" s="15" t="str">
        <x:v>Workflow-audit outreach по UA-2026-08-14-010513-a; попросити 1 пакет здачі та вимоги проєкту</x:v>
      </x:c>
      <x:c r="W539" s="15" t="str">
        <x:v>Власник / виконавець; відповідальний за договір</x:v>
      </x:c>
      <x:c r="X539" s="15" t="str">
        <x:v>1 підтверджених перемог/договорів у Prozorro на 63 600 грн; 1 проєктів зі строком виконання не раніше 24.08.2026.</x:v>
      </x:c>
      <x:c r="Y539" s="15" t="str">
        <x:v>Монтаж системи відеоспостереження; строк до 2026-12-31. Попросити один знеособлений пакет здачі за цим workflow.</x:v>
      </x:c>
      <x:c r="Z539" s="15" t="str">
        <x:v>https://prozorro.gov.ua/tender/UA-2026-08-14-010513-a</x:v>
      </x:c>
      <x:c r="AA539" s="14" t="str">
        <x:v>3332914667</x:v>
      </x:c>
      <x:c r="AB539" s="14" t="str">
        <x:v>2026-08-24</x:v>
      </x:c>
      <x:c r="AC539" s="14" t="str"/>
      <x:c r="AD539" s="20" t="str"/>
      <x:c r="AE539" s="14" t="str"/>
      <x:c r="AF539" s="14" t="n">
        <x:v>49</x:v>
      </x:c>
      <x:c r="AG539" s="14" t="str">
        <x:v>I3</x:v>
      </x:c>
      <x:c r="AH539" s="14" t="n">
        <x:v>1</x:v>
      </x:c>
      <x:c r="AI539" s="14" t="n">
        <x:v>1</x:v>
      </x:c>
      <x:c r="AJ539" s="18" t="n">
        <x:v>63600</x:v>
      </x:c>
      <x:c r="AK539" s="14" t="str">
        <x:v>https://prozorro.gov.ua/tender/UA-2026-08-14-010513-a</x:v>
      </x:c>
      <x:c r="AL539" s="19" t="n">
        <x:v>46248.55315047454</x:v>
      </x:c>
      <x:c r="AM539" s="19" t="n">
        <x:v>46387.59710648148</x:v>
      </x:c>
      <x:c r="AN539" s="15" t="str">
        <x:v>Безпека / СКУД / CCTV</x:v>
      </x:c>
      <x:c r="AO539" s="15" t="str">
        <x:v>not_found_in_top_search</x:v>
      </x:c>
    </x:row>
    <x:row r="540">
      <x:c r="A540" s="14" t="str">
        <x:v>W3-268</x:v>
      </x:c>
      <x:c r="B540" s="14" t="str">
        <x:v>Prozorro winners — 24.08</x:v>
      </x:c>
      <x:c r="C540" s="14" t="str">
        <x:v>БОДУ ДАНІЕЛЬ ЖАКОВИЧ</x:v>
      </x:c>
      <x:c r="D540" s="14" t="str">
        <x:v>Сонячна енергетика</x:v>
      </x:c>
      <x:c r="E540" s="14" t="str">
        <x:v>Expansion discovery</x:v>
      </x:c>
      <x:c r="F540" s="17" t="str">
        <x:v>D3</x:v>
      </x:c>
      <x:c r="G540" s="14" t="str"/>
      <x:c r="H540" s="14" t="str">
        <x:v>Discovery розширення — 2 тижні</x:v>
      </x:c>
      <x:c r="I540" s="16" t="n">
        <x:v>1</x:v>
      </x:c>
      <x:c r="J540" s="16" t="n">
        <x:v>5</x:v>
      </x:c>
      <x:c r="K540" s="16" t="n">
        <x:v>4</x:v>
      </x:c>
      <x:c r="L540" s="16" t="n">
        <x:v>1</x:v>
      </x:c>
      <x:c r="M540" s="16" t="n">
        <x:v>5</x:v>
      </x:c>
      <x:c r="N540" s="16" t="n">
        <x:v>3</x:v>
      </x:c>
      <x:c r="O540" s="16" t="n">
        <x:v>5</x:v>
      </x:c>
      <x:c r="P540" s="16" t="n">
        <x:f>IF(COUNT(I540:O540)&lt;7,"",I540*8+J540*3+K540*2+L540*2+M540*2+N540*2+O540)</x:f>
        <x:v>54</x:v>
      </x:c>
      <x:c r="Q540" s="16" t="n">
        <x:f>IF(COUNT(J540:O540)&lt;6,"",J540*5+K540*4+M540*4+L540*3+N540*2+O540*2)</x:f>
        <x:v>80</x:v>
      </x:c>
      <x:c r="R540" s="14" t="str">
        <x:v>high</x:v>
      </x:c>
      <x:c r="S540" s="14" t="str">
        <x:v>official_prozorro_award_2025_2026</x:v>
      </x:c>
      <x:c r="T540" s="14" t="str">
        <x:v>official_prozorro_api</x:v>
      </x:c>
      <x:c r="U540" s="14" t="str">
        <x:v>Не контактували</x:v>
      </x:c>
      <x:c r="V540" s="15" t="str">
        <x:v>Workflow-audit outreach по UA-2026-08-18-002619-a; попросити 1 пакет здачі та вимоги проєкту</x:v>
      </x:c>
      <x:c r="W540" s="15" t="str">
        <x:v>Власник / виконавець; відповідальний за договір</x:v>
      </x:c>
      <x:c r="X540" s="15" t="str">
        <x:v>1 підтверджених перемог/договорів у Prozorro на 54 361 грн; 1 проєктів зі строком виконання не раніше 24.08.2026.</x:v>
      </x:c>
      <x:c r="Y540" s="15" t="str">
        <x:v>Монтаж і пусконалагоджувальні роботи сонячної електростанції ; строк до 2026-08-31. Попросити один знеособлений пакет здачі за цим workflow.</x:v>
      </x:c>
      <x:c r="Z540" s="15" t="str">
        <x:v>https://prozorro.gov.ua/tender/UA-2026-08-18-002619-a</x:v>
      </x:c>
      <x:c r="AA540" s="14" t="str">
        <x:v>3493403975</x:v>
      </x:c>
      <x:c r="AB540" s="14" t="str">
        <x:v>2026-08-24</x:v>
      </x:c>
      <x:c r="AC540" s="14" t="str"/>
      <x:c r="AD540" s="20" t="str"/>
      <x:c r="AE540" s="14" t="str"/>
      <x:c r="AF540" s="14" t="n">
        <x:v>49</x:v>
      </x:c>
      <x:c r="AG540" s="14" t="str">
        <x:v>I3</x:v>
      </x:c>
      <x:c r="AH540" s="14" t="n">
        <x:v>1</x:v>
      </x:c>
      <x:c r="AI540" s="14" t="n">
        <x:v>1</x:v>
      </x:c>
      <x:c r="AJ540" s="18" t="n">
        <x:v>54361.13</x:v>
      </x:c>
      <x:c r="AK540" s="14" t="str">
        <x:v>https://prozorro.gov.ua/tender/UA-2026-08-18-002619-a</x:v>
      </x:c>
      <x:c r="AL540" s="19" t="n">
        <x:v>46252.3238228125</x:v>
      </x:c>
      <x:c r="AM540" s="19" t="n">
        <x:v>46265</x:v>
      </x:c>
      <x:c r="AN540" s="15" t="str">
        <x:v>Сонячна енергетика</x:v>
      </x:c>
      <x:c r="AO540" s="15" t="str">
        <x:v>not_found_in_top_search</x:v>
      </x:c>
    </x:row>
    <x:row r="541">
      <x:c r="A541" s="14" t="str">
        <x:v>W3-269</x:v>
      </x:c>
      <x:c r="B541" s="14" t="str">
        <x:v>Prozorro winners — 24.08</x:v>
      </x:c>
      <x:c r="C541" s="14" t="str">
        <x:v>НЕСУХ МИХАЙЛО МИХАЙЛОВИЧ</x:v>
      </x:c>
      <x:c r="D541" s="14" t="str">
        <x:v>Насосні станції</x:v>
      </x:c>
      <x:c r="E541" s="14" t="str">
        <x:v>Expansion discovery</x:v>
      </x:c>
      <x:c r="F541" s="17" t="str">
        <x:v>D3</x:v>
      </x:c>
      <x:c r="G541" s="14" t="str"/>
      <x:c r="H541" s="14" t="str">
        <x:v>Discovery розширення — 2 тижні</x:v>
      </x:c>
      <x:c r="I541" s="16" t="n">
        <x:v>1</x:v>
      </x:c>
      <x:c r="J541" s="16" t="n">
        <x:v>5</x:v>
      </x:c>
      <x:c r="K541" s="16" t="n">
        <x:v>4</x:v>
      </x:c>
      <x:c r="L541" s="16" t="n">
        <x:v>1</x:v>
      </x:c>
      <x:c r="M541" s="16" t="n">
        <x:v>5</x:v>
      </x:c>
      <x:c r="N541" s="16" t="n">
        <x:v>3</x:v>
      </x:c>
      <x:c r="O541" s="16" t="n">
        <x:v>5</x:v>
      </x:c>
      <x:c r="P541" s="16" t="n">
        <x:f>IF(COUNT(I541:O541)&lt;7,"",I541*8+J541*3+K541*2+L541*2+M541*2+N541*2+O541)</x:f>
        <x:v>54</x:v>
      </x:c>
      <x:c r="Q541" s="16" t="n">
        <x:f>IF(COUNT(J541:O541)&lt;6,"",J541*5+K541*4+M541*4+L541*3+N541*2+O541*2)</x:f>
        <x:v>80</x:v>
      </x:c>
      <x:c r="R541" s="14" t="str">
        <x:v>high</x:v>
      </x:c>
      <x:c r="S541" s="14" t="str">
        <x:v>official_prozorro_award_2025_2026</x:v>
      </x:c>
      <x:c r="T541" s="14" t="str">
        <x:v>official_prozorro_api</x:v>
      </x:c>
      <x:c r="U541" s="14" t="str">
        <x:v>Не контактували</x:v>
      </x:c>
      <x:c r="V541" s="15" t="str">
        <x:v>Workflow-audit outreach по UA-2026-07-29-008128-a; попросити 1 пакет здачі та вимоги проєкту</x:v>
      </x:c>
      <x:c r="W541" s="15" t="str">
        <x:v>Власник / виконавець; відповідальний за договір</x:v>
      </x:c>
      <x:c r="X541" s="15" t="str">
        <x:v>1 підтверджених перемог/договорів у Prozorro на 54 000 грн; 1 проєктів зі строком виконання не раніше 24.08.2026.</x:v>
      </x:c>
      <x:c r="Y541"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 строк до 2026-12-31. Попросити один знеособлений пакет здачі за цим workflow.</x:v>
      </x:c>
      <x:c r="Z541" s="15" t="str">
        <x:v>https://prozorro.gov.ua/tender/UA-2026-07-29-008128-a</x:v>
      </x:c>
      <x:c r="AA541" s="14" t="str">
        <x:v>2094503513</x:v>
      </x:c>
      <x:c r="AB541" s="14" t="str">
        <x:v>2026-08-24</x:v>
      </x:c>
      <x:c r="AC541" s="14" t="str"/>
      <x:c r="AD541" s="20" t="str"/>
      <x:c r="AE541" s="14" t="str"/>
      <x:c r="AF541" s="14" t="n">
        <x:v>49</x:v>
      </x:c>
      <x:c r="AG541" s="14" t="str">
        <x:v>I3</x:v>
      </x:c>
      <x:c r="AH541" s="14" t="n">
        <x:v>1</x:v>
      </x:c>
      <x:c r="AI541" s="14" t="n">
        <x:v>1</x:v>
      </x:c>
      <x:c r="AJ541" s="18" t="n">
        <x:v>54000</x:v>
      </x:c>
      <x:c r="AK541" s="14" t="str">
        <x:v>https://prozorro.gov.ua/tender/UA-2026-07-29-008128-a</x:v>
      </x:c>
      <x:c r="AL541" s="19" t="n">
        <x:v>46232.512961423614</x:v>
      </x:c>
      <x:c r="AM541" s="19" t="n">
        <x:v>46387</x:v>
      </x:c>
      <x:c r="AN541" s="15" t="str">
        <x:v>Насосні станції</x:v>
      </x:c>
      <x:c r="AO541" s="15" t="str">
        <x:v>not_found_in_top_search</x:v>
      </x:c>
    </x:row>
    <x:row r="542">
      <x:c r="A542" s="14" t="str">
        <x:v>W3-270</x:v>
      </x:c>
      <x:c r="B542" s="14" t="str">
        <x:v>Prozorro winners — 24.08</x:v>
      </x:c>
      <x:c r="C542" s="14" t="str">
        <x:v>ФОП Макін О В</x:v>
      </x:c>
      <x:c r="D542" s="14" t="str">
        <x:v>HVAC / ОВіК</x:v>
      </x:c>
      <x:c r="E542" s="14" t="str">
        <x:v>Pilot now</x:v>
      </x:c>
      <x:c r="F542" s="17" t="str">
        <x:v>P3</x:v>
      </x:c>
      <x:c r="G542" s="14" t="str"/>
      <x:c r="H542" s="14" t="str">
        <x:v>Пілот зараз — Н.14</x:v>
      </x:c>
      <x:c r="I542" s="16" t="n">
        <x:v>5</x:v>
      </x:c>
      <x:c r="J542" s="16" t="n">
        <x:v>5</x:v>
      </x:c>
      <x:c r="K542" s="16" t="n">
        <x:v>5</x:v>
      </x:c>
      <x:c r="L542" s="16" t="n">
        <x:v>1</x:v>
      </x:c>
      <x:c r="M542" s="16" t="n">
        <x:v>5</x:v>
      </x:c>
      <x:c r="N542" s="16" t="n">
        <x:v>3</x:v>
      </x:c>
      <x:c r="O542" s="16" t="n">
        <x:v>5</x:v>
      </x:c>
      <x:c r="P542" s="16" t="n">
        <x:f>IF(COUNT(I542:O542)&lt;7,"",I542*8+J542*3+K542*2+L542*2+M542*2+N542*2+O542)</x:f>
        <x:v>88</x:v>
      </x:c>
      <x:c r="Q542" s="16" t="n">
        <x:f>IF(COUNT(J542:O542)&lt;6,"",J542*5+K542*4+M542*4+L542*3+N542*2+O542*2)</x:f>
        <x:v>84</x:v>
      </x:c>
      <x:c r="R542" s="14" t="str">
        <x:v>high</x:v>
      </x:c>
      <x:c r="S542" s="14" t="str">
        <x:v>official_prozorro_award_2025_2026</x:v>
      </x:c>
      <x:c r="T542" s="14" t="str">
        <x:v>official_prozorro_api</x:v>
      </x:c>
      <x:c r="U542" s="14" t="str">
        <x:v>Не контактували</x:v>
      </x:c>
      <x:c r="V542" s="15" t="str">
        <x:v>Персоналізований free-pilot outreach по UA-2026-07-16-002589-a; попросити 1 пакет Н.14/Н.15</x:v>
      </x:c>
      <x:c r="W542" s="15" t="str">
        <x:v>Власник / виконавець; відповідальний за договір</x:v>
      </x:c>
      <x:c r="X542" s="15" t="str">
        <x:v>1 підтверджених перемог/договорів у Prozorro на 51 150 грн; 1 проєктів зі строком виконання не раніше 24.08.2026.</x:v>
      </x:c>
      <x:c r="Y542" s="15" t="str">
        <x:v>Електромонтажні роботи (монтаж вентиляційної системи); строк до 2026-12-31. Попросити один знеособлений пакет здачі за цим workflow.</x:v>
      </x:c>
      <x:c r="Z542" s="15" t="str">
        <x:v>https://prozorro.gov.ua/tender/UA-2026-07-16-002589-a</x:v>
      </x:c>
      <x:c r="AA542" s="14" t="str">
        <x:v>2558204430</x:v>
      </x:c>
      <x:c r="AB542" s="14" t="str">
        <x:v>2026-08-24</x:v>
      </x:c>
      <x:c r="AC542" s="14" t="str"/>
      <x:c r="AD542" s="20" t="str"/>
      <x:c r="AE542" s="14" t="str"/>
      <x:c r="AF542" s="14" t="n">
        <x:v>49</x:v>
      </x:c>
      <x:c r="AG542" s="14" t="str">
        <x:v>I3</x:v>
      </x:c>
      <x:c r="AH542" s="14" t="n">
        <x:v>1</x:v>
      </x:c>
      <x:c r="AI542" s="14" t="n">
        <x:v>1</x:v>
      </x:c>
      <x:c r="AJ542" s="18" t="n">
        <x:v>51150</x:v>
      </x:c>
      <x:c r="AK542" s="14" t="str">
        <x:v>https://prozorro.gov.ua/tender/UA-2026-07-16-002589-a</x:v>
      </x:c>
      <x:c r="AL542" s="19" t="n">
        <x:v>46219.33511291667</x:v>
      </x:c>
      <x:c r="AM542" s="19" t="n">
        <x:v>46387</x:v>
      </x:c>
      <x:c r="AN542" s="15" t="str">
        <x:v>HVAC / ОВіК</x:v>
      </x:c>
      <x:c r="AO542" s="15" t="str">
        <x:v>not_found_in_top_search</x:v>
      </x:c>
    </x:row>
    <x:row r="543">
      <x:c r="A543" s="14" t="str">
        <x:v>W3-271</x:v>
      </x:c>
      <x:c r="B543" s="14" t="str">
        <x:v>Prozorro winners — 24.08</x:v>
      </x:c>
      <x:c r="C543" s="14" t="str">
        <x:v>Бурков Віталій Анатолійович</x:v>
      </x:c>
      <x:c r="D543" s="14" t="str">
        <x:v>Пожежогасіння</x:v>
      </x:c>
      <x:c r="E543" s="14" t="str">
        <x:v>Expansion discovery</x:v>
      </x:c>
      <x:c r="F543" s="17" t="str">
        <x:v>D3</x:v>
      </x:c>
      <x:c r="G543" s="14" t="str"/>
      <x:c r="H543" s="14" t="str">
        <x:v>Discovery розширення — 2 тижні</x:v>
      </x:c>
      <x:c r="I543" s="16" t="n">
        <x:v>1</x:v>
      </x:c>
      <x:c r="J543" s="16" t="n">
        <x:v>5</x:v>
      </x:c>
      <x:c r="K543" s="16" t="n">
        <x:v>4</x:v>
      </x:c>
      <x:c r="L543" s="16" t="n">
        <x:v>1</x:v>
      </x:c>
      <x:c r="M543" s="16" t="n">
        <x:v>5</x:v>
      </x:c>
      <x:c r="N543" s="16" t="n">
        <x:v>3</x:v>
      </x:c>
      <x:c r="O543" s="16" t="n">
        <x:v>5</x:v>
      </x:c>
      <x:c r="P543" s="16" t="n">
        <x:f>IF(COUNT(I543:O543)&lt;7,"",I543*8+J543*3+K543*2+L543*2+M543*2+N543*2+O543)</x:f>
        <x:v>54</x:v>
      </x:c>
      <x:c r="Q543" s="16" t="n">
        <x:f>IF(COUNT(J543:O543)&lt;6,"",J543*5+K543*4+M543*4+L543*3+N543*2+O543*2)</x:f>
        <x:v>80</x:v>
      </x:c>
      <x:c r="R543" s="14" t="str">
        <x:v>high</x:v>
      </x:c>
      <x:c r="S543" s="14" t="str">
        <x:v>official_prozorro_award_2025_2026</x:v>
      </x:c>
      <x:c r="T543" s="14" t="str">
        <x:v>official_prozorro_api</x:v>
      </x:c>
      <x:c r="U543" s="14" t="str">
        <x:v>Не контактували</x:v>
      </x:c>
      <x:c r="V543" s="15" t="str">
        <x:v>Workflow-audit outreach по UA-2026-07-10-003474-a; попросити 1 пакет здачі та вимоги проєкту</x:v>
      </x:c>
      <x:c r="W543" s="15" t="str">
        <x:v>Власник / виконавець; відповідальний за договір</x:v>
      </x:c>
      <x:c r="X543" s="15" t="str">
        <x:v>1 підтверджених перемог/договорів у Prozorro на 49 956 грн; 1 проєктів зі строком виконання не раніше 24.08.2026.</x:v>
      </x:c>
      <x:c r="Y543" s="15" t="str">
        <x:v>Послуги з проектування, монтажу та пусконалагодження системи пожежної сигналізації, оповіщення про пожежу та управління евакуацією людей; строк до 2026-12-31. Попросити один знеособлений пакет здачі за цим workflow.</x:v>
      </x:c>
      <x:c r="Z543" s="15" t="str">
        <x:v>https://prozorro.gov.ua/tender/UA-2026-07-10-003474-a</x:v>
      </x:c>
      <x:c r="AA543" s="14" t="str">
        <x:v>2828322593</x:v>
      </x:c>
      <x:c r="AB543" s="14" t="str">
        <x:v>2026-08-24</x:v>
      </x:c>
      <x:c r="AC543" s="14" t="str"/>
      <x:c r="AD543" s="20" t="str"/>
      <x:c r="AE543" s="14" t="str"/>
      <x:c r="AF543" s="14" t="n">
        <x:v>49</x:v>
      </x:c>
      <x:c r="AG543" s="14" t="str">
        <x:v>I3</x:v>
      </x:c>
      <x:c r="AH543" s="14" t="n">
        <x:v>1</x:v>
      </x:c>
      <x:c r="AI543" s="14" t="n">
        <x:v>1</x:v>
      </x:c>
      <x:c r="AJ543" s="18" t="n">
        <x:v>49956</x:v>
      </x:c>
      <x:c r="AK543" s="14" t="str">
        <x:v>https://prozorro.gov.ua/tender/UA-2026-07-10-003474-a</x:v>
      </x:c>
      <x:c r="AL543" s="19" t="n">
        <x:v>46213.349758993056</x:v>
      </x:c>
      <x:c r="AM543" s="19" t="n">
        <x:v>46387</x:v>
      </x:c>
      <x:c r="AN543" s="15" t="str">
        <x:v>Пожежогасіння</x:v>
      </x:c>
      <x:c r="AO543" s="15" t="str">
        <x:v>not_found_in_top_search</x:v>
      </x:c>
    </x:row>
    <x:row r="544">
      <x:c r="A544" s="14" t="str">
        <x:v>W3-272</x:v>
      </x:c>
      <x:c r="B544" s="14" t="str">
        <x:v>Prozorro winners — 24.08</x:v>
      </x:c>
      <x:c r="C544" s="14" t="str">
        <x:v>ФОП Сапіга Михайло Євгенович</x:v>
      </x:c>
      <x:c r="D544" s="14" t="str">
        <x:v>Газопостачання / котельні</x:v>
      </x:c>
      <x:c r="E544" s="14" t="str">
        <x:v>Expansion discovery</x:v>
      </x:c>
      <x:c r="F544" s="17" t="str">
        <x:v>D3</x:v>
      </x:c>
      <x:c r="G544" s="14" t="str"/>
      <x:c r="H544" s="14" t="str">
        <x:v>Discovery розширення — 2 тижні</x:v>
      </x:c>
      <x:c r="I544" s="16" t="n">
        <x:v>1</x:v>
      </x:c>
      <x:c r="J544" s="16" t="n">
        <x:v>5</x:v>
      </x:c>
      <x:c r="K544" s="16" t="n">
        <x:v>4</x:v>
      </x:c>
      <x:c r="L544" s="16" t="n">
        <x:v>1</x:v>
      </x:c>
      <x:c r="M544" s="16" t="n">
        <x:v>5</x:v>
      </x:c>
      <x:c r="N544" s="16" t="n">
        <x:v>3</x:v>
      </x:c>
      <x:c r="O544" s="16" t="n">
        <x:v>5</x:v>
      </x:c>
      <x:c r="P544" s="16" t="n">
        <x:f>IF(COUNT(I544:O544)&lt;7,"",I544*8+J544*3+K544*2+L544*2+M544*2+N544*2+O544)</x:f>
        <x:v>54</x:v>
      </x:c>
      <x:c r="Q544" s="16" t="n">
        <x:f>IF(COUNT(J544:O544)&lt;6,"",J544*5+K544*4+M544*4+L544*3+N544*2+O544*2)</x:f>
        <x:v>80</x:v>
      </x:c>
      <x:c r="R544" s="14" t="str">
        <x:v>high</x:v>
      </x:c>
      <x:c r="S544" s="14" t="str">
        <x:v>official_prozorro_award_2025_2026</x:v>
      </x:c>
      <x:c r="T544" s="14" t="str">
        <x:v>official_prozorro_api</x:v>
      </x:c>
      <x:c r="U544" s="14" t="str">
        <x:v>Не контактували</x:v>
      </x:c>
      <x:c r="V544" s="15" t="str">
        <x:v>Workflow-audit outreach по UA-2026-08-20-006819-a; попросити 1 пакет здачі та вимоги проєкту</x:v>
      </x:c>
      <x:c r="W544" s="15" t="str">
        <x:v>Власник / виконавець; відповідальний за договір</x:v>
      </x:c>
      <x:c r="X544" s="15" t="str">
        <x:v>1 підтверджених перемог/договорів у Prozorro на 49 200 грн; 1 проєктів зі строком виконання не раніше 24.08.2026.</x:v>
      </x:c>
      <x:c r="Y544"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 строк до 2026-12-31. Попросити один знеособлений пакет здачі за цим workflow.</x:v>
      </x:c>
      <x:c r="Z544" s="15" t="str">
        <x:v>https://prozorro.gov.ua/tender/UA-2026-08-20-006819-a</x:v>
      </x:c>
      <x:c r="AA544" s="14" t="str">
        <x:v>2473003698</x:v>
      </x:c>
      <x:c r="AB544" s="14" t="str">
        <x:v>2026-08-24</x:v>
      </x:c>
      <x:c r="AC544" s="14" t="str"/>
      <x:c r="AD544" s="20" t="str"/>
      <x:c r="AE544" s="14" t="str"/>
      <x:c r="AF544" s="14" t="n">
        <x:v>49</x:v>
      </x:c>
      <x:c r="AG544" s="14" t="str">
        <x:v>I3</x:v>
      </x:c>
      <x:c r="AH544" s="14" t="n">
        <x:v>1</x:v>
      </x:c>
      <x:c r="AI544" s="14" t="n">
        <x:v>1</x:v>
      </x:c>
      <x:c r="AJ544" s="18" t="n">
        <x:v>49200</x:v>
      </x:c>
      <x:c r="AK544" s="14" t="str">
        <x:v>https://prozorro.gov.ua/tender/UA-2026-08-20-006819-a</x:v>
      </x:c>
      <x:c r="AL544" s="19" t="n">
        <x:v>46254.44403056713</x:v>
      </x:c>
      <x:c r="AM544" s="19" t="n">
        <x:v>46387.48663194444</x:v>
      </x:c>
      <x:c r="AN544" s="15" t="str">
        <x:v>Газопостачання / котельні</x:v>
      </x:c>
      <x:c r="AO544" s="15" t="str">
        <x:v>not_found_in_top_search</x:v>
      </x:c>
    </x:row>
    <x:row r="545">
      <x:c r="A545" s="14" t="str">
        <x:v>W3-273</x:v>
      </x:c>
      <x:c r="B545" s="14" t="str">
        <x:v>Prozorro winners — 24.08</x:v>
      </x:c>
      <x:c r="C545" s="14" t="str">
        <x:v>ІЗЮМСЬКА СВІТЛАНА ОЛЕКСАНДРІВНА</x:v>
      </x:c>
      <x:c r="D545" s="14" t="str">
        <x:v>Безпека / СКУД / CCTV</x:v>
      </x:c>
      <x:c r="E545" s="14" t="str">
        <x:v>Expansion discovery</x:v>
      </x:c>
      <x:c r="F545" s="17" t="str">
        <x:v>D3</x:v>
      </x:c>
      <x:c r="G545" s="14" t="str"/>
      <x:c r="H545" s="14" t="str">
        <x:v>Discovery розширення — 2 тижні</x:v>
      </x:c>
      <x:c r="I545" s="16" t="n">
        <x:v>1</x:v>
      </x:c>
      <x:c r="J545" s="16" t="n">
        <x:v>5</x:v>
      </x:c>
      <x:c r="K545" s="16" t="n">
        <x:v>4</x:v>
      </x:c>
      <x:c r="L545" s="16" t="n">
        <x:v>1</x:v>
      </x:c>
      <x:c r="M545" s="16" t="n">
        <x:v>5</x:v>
      </x:c>
      <x:c r="N545" s="16" t="n">
        <x:v>3</x:v>
      </x:c>
      <x:c r="O545" s="16" t="n">
        <x:v>5</x:v>
      </x:c>
      <x:c r="P545" s="16" t="n">
        <x:f>IF(COUNT(I545:O545)&lt;7,"",I545*8+J545*3+K545*2+L545*2+M545*2+N545*2+O545)</x:f>
        <x:v>54</x:v>
      </x:c>
      <x:c r="Q545" s="16" t="n">
        <x:f>IF(COUNT(J545:O545)&lt;6,"",J545*5+K545*4+M545*4+L545*3+N545*2+O545*2)</x:f>
        <x:v>80</x:v>
      </x:c>
      <x:c r="R545" s="14" t="str">
        <x:v>high</x:v>
      </x:c>
      <x:c r="S545" s="14" t="str">
        <x:v>official_prozorro_award_2025_2026</x:v>
      </x:c>
      <x:c r="T545" s="14" t="str">
        <x:v>official_prozorro_api</x:v>
      </x:c>
      <x:c r="U545" s="14" t="str">
        <x:v>Не контактували</x:v>
      </x:c>
      <x:c r="V545" s="15" t="str">
        <x:v>Workflow-audit outreach по UA-2026-08-12-008644-a; попросити 1 пакет здачі та вимоги проєкту</x:v>
      </x:c>
      <x:c r="W545" s="15" t="str">
        <x:v>Власник / виконавець; відповідальний за договір</x:v>
      </x:c>
      <x:c r="X545" s="15" t="str">
        <x:v>1 підтверджених перемог/договорів у Prozorro на 41 933 грн; 1 проєктів зі строком виконання не раніше 24.08.2026.</x:v>
      </x:c>
      <x:c r="Y545" s="15" t="str">
        <x:v>послуги з монтажу, установки системи відеоспостереження; строк до 2026-08-31. Попросити один знеособлений пакет здачі за цим workflow.</x:v>
      </x:c>
      <x:c r="Z545" s="15" t="str">
        <x:v>https://prozorro.gov.ua/tender/UA-2026-08-12-008644-a</x:v>
      </x:c>
      <x:c r="AA545" s="14" t="str">
        <x:v>2931010984</x:v>
      </x:c>
      <x:c r="AB545" s="14" t="str">
        <x:v>2026-08-24</x:v>
      </x:c>
      <x:c r="AC545" s="14" t="str"/>
      <x:c r="AD545" s="20" t="str"/>
      <x:c r="AE545" s="14" t="str"/>
      <x:c r="AF545" s="14" t="n">
        <x:v>49</x:v>
      </x:c>
      <x:c r="AG545" s="14" t="str">
        <x:v>I3</x:v>
      </x:c>
      <x:c r="AH545" s="14" t="n">
        <x:v>1</x:v>
      </x:c>
      <x:c r="AI545" s="14" t="n">
        <x:v>1</x:v>
      </x:c>
      <x:c r="AJ545" s="18" t="n">
        <x:v>41933</x:v>
      </x:c>
      <x:c r="AK545" s="14" t="str">
        <x:v>https://prozorro.gov.ua/tender/UA-2026-08-12-008644-a</x:v>
      </x:c>
      <x:c r="AL545" s="19" t="n">
        <x:v>46246.51809078704</x:v>
      </x:c>
      <x:c r="AM545" s="19" t="n">
        <x:v>46265</x:v>
      </x:c>
      <x:c r="AN545" s="15" t="str">
        <x:v>Безпека / СКУД / CCTV</x:v>
      </x:c>
      <x:c r="AO545" s="15" t="str">
        <x:v>not_found_in_top_search</x:v>
      </x:c>
    </x:row>
    <x:row r="546">
      <x:c r="A546" s="14" t="str">
        <x:v>W3-274</x:v>
      </x:c>
      <x:c r="B546" s="14" t="str">
        <x:v>Prozorro winners — 24.08</x:v>
      </x:c>
      <x:c r="C546" s="14" t="str">
        <x:v>Чернобильський Євген Володимирович</x:v>
      </x:c>
      <x:c r="D546" s="14" t="str">
        <x:v>Промисловий холод</x:v>
      </x:c>
      <x:c r="E546" s="14" t="str">
        <x:v>Expansion discovery</x:v>
      </x:c>
      <x:c r="F546" s="17" t="str">
        <x:v>D3</x:v>
      </x:c>
      <x:c r="G546" s="14" t="str"/>
      <x:c r="H546" s="14" t="str">
        <x:v>Discovery розширення — 2 тижні</x:v>
      </x:c>
      <x:c r="I546" s="16" t="n">
        <x:v>1</x:v>
      </x:c>
      <x:c r="J546" s="16" t="n">
        <x:v>5</x:v>
      </x:c>
      <x:c r="K546" s="16" t="n">
        <x:v>4</x:v>
      </x:c>
      <x:c r="L546" s="16" t="n">
        <x:v>1</x:v>
      </x:c>
      <x:c r="M546" s="16" t="n">
        <x:v>5</x:v>
      </x:c>
      <x:c r="N546" s="16" t="n">
        <x:v>3</x:v>
      </x:c>
      <x:c r="O546" s="16" t="n">
        <x:v>5</x:v>
      </x:c>
      <x:c r="P546" s="16" t="n">
        <x:f>IF(COUNT(I546:O546)&lt;7,"",I546*8+J546*3+K546*2+L546*2+M546*2+N546*2+O546)</x:f>
        <x:v>54</x:v>
      </x:c>
      <x:c r="Q546" s="16" t="n">
        <x:f>IF(COUNT(J546:O546)&lt;6,"",J546*5+K546*4+M546*4+L546*3+N546*2+O546*2)</x:f>
        <x:v>80</x:v>
      </x:c>
      <x:c r="R546" s="14" t="str">
        <x:v>high</x:v>
      </x:c>
      <x:c r="S546" s="14" t="str">
        <x:v>official_prozorro_award_2025_2026</x:v>
      </x:c>
      <x:c r="T546" s="14" t="str">
        <x:v>official_prozorro_api</x:v>
      </x:c>
      <x:c r="U546" s="14" t="str">
        <x:v>Не контактували</x:v>
      </x:c>
      <x:c r="V546" s="15" t="str">
        <x:v>Повторне звернення з новим тендерним сигналом UA-2026-08-07-000611-a; попросити 1 пакет здачі</x:v>
      </x:c>
      <x:c r="W546" s="15" t="str">
        <x:v>Власник / виконавець; відповідальний за договір</x:v>
      </x:c>
      <x:c r="X546" s="15" t="str">
        <x:v>1 підтверджених перемог/договорів у Prozorro на 41 625 грн; 1 проєктів зі строком виконання не раніше 24.08.2026.</x:v>
      </x:c>
      <x:c r="Y546" s="15" t="str">
        <x:v>Монтаж холодильного обладнання з підключенням до мереж (ДК 021:2015 50730000-1 Послуги з ремонту і технічного обслуговування охолоджувальних установок); строк до 2026-12-31. Попросити один знеособлений пакет здачі за цим workflow.</x:v>
      </x:c>
      <x:c r="Z546" s="15" t="str">
        <x:v>https://prozorro.gov.ua/tender/UA-2026-08-07-000749-a</x:v>
      </x:c>
      <x:c r="AA546" s="14" t="str">
        <x:v>2713905975</x:v>
      </x:c>
      <x:c r="AB546" s="14" t="str">
        <x:v>2026-08-24</x:v>
      </x:c>
      <x:c r="AC546" s="14" t="str"/>
      <x:c r="AD546" s="20" t="str"/>
      <x:c r="AE546" s="14" t="str"/>
      <x:c r="AF546" s="14" t="n">
        <x:v>52</x:v>
      </x:c>
      <x:c r="AG546" s="14" t="str">
        <x:v>I3</x:v>
      </x:c>
      <x:c r="AH546" s="14" t="n">
        <x:v>2</x:v>
      </x:c>
      <x:c r="AI546" s="14" t="n">
        <x:v>2</x:v>
      </x:c>
      <x:c r="AJ546" s="18" t="n">
        <x:v>75375</x:v>
      </x:c>
      <x:c r="AK546" s="14" t="str">
        <x:v>https://prozorro.gov.ua/tender/UA-2026-08-07-000611-a</x:v>
      </x:c>
      <x:c r="AL546" s="19" t="n">
        <x:v>46241.2542712963</x:v>
      </x:c>
      <x:c r="AM546" s="19" t="n">
        <x:v>46387</x:v>
      </x:c>
      <x:c r="AN546" s="15" t="str">
        <x:v>Промисловий холод</x:v>
      </x:c>
      <x:c r="AO546" s="15" t="str">
        <x:v>not_found_in_top_search</x:v>
      </x:c>
    </x:row>
    <x:row r="547">
      <x:c r="A547" s="14" t="str">
        <x:v>W3-275</x:v>
      </x:c>
      <x:c r="B547" s="14" t="str">
        <x:v>Prozorro winners — 24.08</x:v>
      </x:c>
      <x:c r="C547" s="14" t="str">
        <x:v>ФОП Дзюра М.І.</x:v>
      </x:c>
      <x:c r="D547" s="14" t="str">
        <x:v>Мости / інфраструктура</x:v>
      </x:c>
      <x:c r="E547" s="14" t="str">
        <x:v>Expansion discovery</x:v>
      </x:c>
      <x:c r="F547" s="17" t="str">
        <x:v>D3</x:v>
      </x:c>
      <x:c r="G547" s="14" t="str"/>
      <x:c r="H547" s="14" t="str">
        <x:v>Discovery розширення — 2 тижні</x:v>
      </x:c>
      <x:c r="I547" s="16" t="n">
        <x:v>1</x:v>
      </x:c>
      <x:c r="J547" s="16" t="n">
        <x:v>5</x:v>
      </x:c>
      <x:c r="K547" s="16" t="n">
        <x:v>4</x:v>
      </x:c>
      <x:c r="L547" s="16" t="n">
        <x:v>1</x:v>
      </x:c>
      <x:c r="M547" s="16" t="n">
        <x:v>5</x:v>
      </x:c>
      <x:c r="N547" s="16" t="n">
        <x:v>3</x:v>
      </x:c>
      <x:c r="O547" s="16" t="n">
        <x:v>5</x:v>
      </x:c>
      <x:c r="P547" s="16" t="n">
        <x:f>IF(COUNT(I547:O547)&lt;7,"",I547*8+J547*3+K547*2+L547*2+M547*2+N547*2+O547)</x:f>
        <x:v>54</x:v>
      </x:c>
      <x:c r="Q547" s="16" t="n">
        <x:f>IF(COUNT(J547:O547)&lt;6,"",J547*5+K547*4+M547*4+L547*3+N547*2+O547*2)</x:f>
        <x:v>80</x:v>
      </x:c>
      <x:c r="R547" s="14" t="str">
        <x:v>high</x:v>
      </x:c>
      <x:c r="S547" s="14" t="str">
        <x:v>official_prozorro_award_2025_2026</x:v>
      </x:c>
      <x:c r="T547" s="14" t="str">
        <x:v>official_prozorro_api</x:v>
      </x:c>
      <x:c r="U547" s="14" t="str">
        <x:v>Не контактували</x:v>
      </x:c>
      <x:c r="V547" s="15" t="str">
        <x:v>Workflow-audit outreach по UA-2026-08-20-002827-a; попросити 1 пакет здачі та вимоги проєкту</x:v>
      </x:c>
      <x:c r="W547" s="15" t="str">
        <x:v>Власник / виконавець; відповідальний за договір</x:v>
      </x:c>
      <x:c r="X547" s="15" t="str">
        <x:v>1 підтверджених перемог/договорів у Prozorro на 41 200 грн; 1 проєктів зі строком виконання не раніше 24.08.2026.</x:v>
      </x:c>
      <x:c r="Y547"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 строк до 2026-12-31. Попросити один знеособлений пакет здачі за цим workflow.</x:v>
      </x:c>
      <x:c r="Z547" s="15" t="str">
        <x:v>https://prozorro.gov.ua/tender/UA-2026-08-20-002827-a</x:v>
      </x:c>
      <x:c r="AA547" s="14" t="str">
        <x:v>1906205534</x:v>
      </x:c>
      <x:c r="AB547" s="14" t="str">
        <x:v>2026-08-24</x:v>
      </x:c>
      <x:c r="AC547" s="14" t="str"/>
      <x:c r="AD547" s="20" t="str"/>
      <x:c r="AE547" s="14" t="str"/>
      <x:c r="AF547" s="14" t="n">
        <x:v>49</x:v>
      </x:c>
      <x:c r="AG547" s="14" t="str">
        <x:v>I3</x:v>
      </x:c>
      <x:c r="AH547" s="14" t="n">
        <x:v>1</x:v>
      </x:c>
      <x:c r="AI547" s="14" t="n">
        <x:v>1</x:v>
      </x:c>
      <x:c r="AJ547" s="18" t="n">
        <x:v>41200</x:v>
      </x:c>
      <x:c r="AK547" s="14" t="str">
        <x:v>https://prozorro.gov.ua/tender/UA-2026-08-20-002827-a</x:v>
      </x:c>
      <x:c r="AL547" s="19" t="n">
        <x:v>46254.324462268516</x:v>
      </x:c>
      <x:c r="AM547" s="19" t="n">
        <x:v>46387</x:v>
      </x:c>
      <x:c r="AN547" s="15" t="str">
        <x:v>Мости / інфраструктура</x:v>
      </x:c>
      <x:c r="AO547" s="15" t="str">
        <x:v>not_found_in_top_search</x:v>
      </x:c>
    </x:row>
    <x:row r="548">
      <x:c r="A548" s="14" t="str">
        <x:v>W3-276</x:v>
      </x:c>
      <x:c r="B548" s="14" t="str">
        <x:v>Prozorro winners — 24.08</x:v>
      </x:c>
      <x:c r="C548" s="14" t="str">
        <x:v>ГАРБУЗ ОЛЕНА МИКОЛАЇВНА</x:v>
      </x:c>
      <x:c r="D548" s="14" t="str">
        <x:v>Промисловий холод</x:v>
      </x:c>
      <x:c r="E548" s="14" t="str">
        <x:v>Expansion discovery</x:v>
      </x:c>
      <x:c r="F548" s="17" t="str">
        <x:v>D3</x:v>
      </x:c>
      <x:c r="G548" s="14" t="str"/>
      <x:c r="H548" s="14" t="str">
        <x:v>Discovery розширення — 2 тижні</x:v>
      </x:c>
      <x:c r="I548" s="16" t="n">
        <x:v>1</x:v>
      </x:c>
      <x:c r="J548" s="16" t="n">
        <x:v>5</x:v>
      </x:c>
      <x:c r="K548" s="16" t="n">
        <x:v>4</x:v>
      </x:c>
      <x:c r="L548" s="16" t="n">
        <x:v>1</x:v>
      </x:c>
      <x:c r="M548" s="16" t="n">
        <x:v>5</x:v>
      </x:c>
      <x:c r="N548" s="16" t="n">
        <x:v>3</x:v>
      </x:c>
      <x:c r="O548" s="16" t="n">
        <x:v>5</x:v>
      </x:c>
      <x:c r="P548" s="16" t="n">
        <x:f>IF(COUNT(I548:O548)&lt;7,"",I548*8+J548*3+K548*2+L548*2+M548*2+N548*2+O548)</x:f>
        <x:v>54</x:v>
      </x:c>
      <x:c r="Q548" s="16" t="n">
        <x:f>IF(COUNT(J548:O548)&lt;6,"",J548*5+K548*4+M548*4+L548*3+N548*2+O548*2)</x:f>
        <x:v>80</x:v>
      </x:c>
      <x:c r="R548" s="14" t="str">
        <x:v>high</x:v>
      </x:c>
      <x:c r="S548" s="14" t="str">
        <x:v>official_prozorro_award_2025_2026</x:v>
      </x:c>
      <x:c r="T548" s="14" t="str">
        <x:v>official_prozorro_api</x:v>
      </x:c>
      <x:c r="U548" s="14" t="str">
        <x:v>Не контактували</x:v>
      </x:c>
      <x:c r="V548" s="15" t="str">
        <x:v>Workflow-audit outreach по UA-2026-08-14-003644-a; попросити 1 пакет здачі та вимоги проєкту</x:v>
      </x:c>
      <x:c r="W548" s="15" t="str">
        <x:v>Власник / виконавець; відповідальний за договір</x:v>
      </x:c>
      <x:c r="X548" s="15" t="str">
        <x:v>1 підтверджених перемог/договорів у Prozorro на 41 025 грн; 1 проєктів зі строком виконання не раніше 24.08.2026.</x:v>
      </x:c>
      <x:c r="Y548" s="15" t="str">
        <x:v>Послуги монтажу холодильного обладнання  згідно коду ДК 021: 2015: 50730000-1 Послуги з ремонту і технічного обслуговування охолоджувальних установок.; строк до 2026-08-30. Попросити один знеособлений пакет здачі за цим workflow.</x:v>
      </x:c>
      <x:c r="Z548" s="15" t="str">
        <x:v>https://prozorro.gov.ua/tender/UA-2026-08-14-003644-a</x:v>
      </x:c>
      <x:c r="AA548" s="14" t="str">
        <x:v>2602716885</x:v>
      </x:c>
      <x:c r="AB548" s="14" t="str">
        <x:v>2026-08-24</x:v>
      </x:c>
      <x:c r="AC548" s="14" t="str"/>
      <x:c r="AD548" s="20" t="str"/>
      <x:c r="AE548" s="14" t="str"/>
      <x:c r="AF548" s="14" t="n">
        <x:v>49</x:v>
      </x:c>
      <x:c r="AG548" s="14" t="str">
        <x:v>I3</x:v>
      </x:c>
      <x:c r="AH548" s="14" t="n">
        <x:v>1</x:v>
      </x:c>
      <x:c r="AI548" s="14" t="n">
        <x:v>1</x:v>
      </x:c>
      <x:c r="AJ548" s="18" t="n">
        <x:v>41025</x:v>
      </x:c>
      <x:c r="AK548" s="14" t="str">
        <x:v>https://prozorro.gov.ua/tender/UA-2026-08-14-003644-a</x:v>
      </x:c>
      <x:c r="AL548" s="19" t="n">
        <x:v>46248.34964133102</x:v>
      </x:c>
      <x:c r="AM548" s="19" t="n">
        <x:v>46264</x:v>
      </x:c>
      <x:c r="AN548" s="15" t="str">
        <x:v>Промисловий холод</x:v>
      </x:c>
      <x:c r="AO548" s="15" t="str">
        <x:v>not_found_in_top_search</x:v>
      </x:c>
    </x:row>
    <x:row r="549">
      <x:c r="A549" s="14" t="str">
        <x:v>W3-277</x:v>
      </x:c>
      <x:c r="B549" s="14" t="str">
        <x:v>Prozorro winners — 24.08</x:v>
      </x:c>
      <x:c r="C549" s="14" t="str">
        <x:v>ФОП Довганюк Вікторія Валеріївна</x:v>
      </x:c>
      <x:c r="D549" s="14" t="str">
        <x:v>Електромонтаж</x:v>
      </x:c>
      <x:c r="E549" s="14" t="str">
        <x:v>Pilot now</x:v>
      </x:c>
      <x:c r="F549" s="17" t="str">
        <x:v>P3</x:v>
      </x:c>
      <x:c r="G549" s="14" t="str"/>
      <x:c r="H549" s="14" t="str">
        <x:v>Пілот зараз — Н.15</x:v>
      </x:c>
      <x:c r="I549" s="16" t="n">
        <x:v>5</x:v>
      </x:c>
      <x:c r="J549" s="16" t="n">
        <x:v>5</x:v>
      </x:c>
      <x:c r="K549" s="16" t="n">
        <x:v>5</x:v>
      </x:c>
      <x:c r="L549" s="16" t="n">
        <x:v>1</x:v>
      </x:c>
      <x:c r="M549" s="16" t="n">
        <x:v>5</x:v>
      </x:c>
      <x:c r="N549" s="16" t="n">
        <x:v>3</x:v>
      </x:c>
      <x:c r="O549" s="16" t="n">
        <x:v>5</x:v>
      </x:c>
      <x:c r="P549" s="16" t="n">
        <x:f>IF(COUNT(I549:O549)&lt;7,"",I549*8+J549*3+K549*2+L549*2+M549*2+N549*2+O549)</x:f>
        <x:v>88</x:v>
      </x:c>
      <x:c r="Q549" s="16" t="n">
        <x:f>IF(COUNT(J549:O549)&lt;6,"",J549*5+K549*4+M549*4+L549*3+N549*2+O549*2)</x:f>
        <x:v>84</x:v>
      </x:c>
      <x:c r="R549" s="14" t="str">
        <x:v>high</x:v>
      </x:c>
      <x:c r="S549" s="14" t="str">
        <x:v>official_prozorro_award_2025_2026</x:v>
      </x:c>
      <x:c r="T549" s="14" t="str">
        <x:v>official_prozorro_api</x:v>
      </x:c>
      <x:c r="U549" s="14" t="str">
        <x:v>Не контактували</x:v>
      </x:c>
      <x:c r="V549" s="15" t="str">
        <x:v>Персоналізований free-pilot outreach по UA-2026-08-24-001409-a; попросити 1 пакет Н.14/Н.15</x:v>
      </x:c>
      <x:c r="W549" s="15" t="str">
        <x:v>Власник / виконавець; відповідальний за договір</x:v>
      </x:c>
      <x:c r="X549" s="15" t="str">
        <x:v>1 підтверджених перемог/договорів у Prozorro на 38 982 грн; 1 проєктів зі строком виконання не раніше 24.08.2026.</x:v>
      </x:c>
      <x:c r="Y549" s="15" t="str">
        <x:v>Електромонтажні роботи; строк до 2026-12-31. Попросити один знеособлений пакет здачі за цим workflow.</x:v>
      </x:c>
      <x:c r="Z549" s="15" t="str">
        <x:v>https://prozorro.gov.ua/tender/UA-2026-08-24-001409-a</x:v>
      </x:c>
      <x:c r="AA549" s="14" t="str">
        <x:v>3414011349</x:v>
      </x:c>
      <x:c r="AB549" s="14" t="str">
        <x:v>2026-08-24</x:v>
      </x:c>
      <x:c r="AC549" s="14" t="str"/>
      <x:c r="AD549" s="20" t="str"/>
      <x:c r="AE549" s="14" t="str"/>
      <x:c r="AF549" s="14" t="n">
        <x:v>49</x:v>
      </x:c>
      <x:c r="AG549" s="14" t="str">
        <x:v>I3</x:v>
      </x:c>
      <x:c r="AH549" s="14" t="n">
        <x:v>1</x:v>
      </x:c>
      <x:c r="AI549" s="14" t="n">
        <x:v>1</x:v>
      </x:c>
      <x:c r="AJ549" s="18" t="n">
        <x:v>38982</x:v>
      </x:c>
      <x:c r="AK549" s="14" t="str">
        <x:v>https://prozorro.gov.ua/tender/UA-2026-08-24-001409-a</x:v>
      </x:c>
      <x:c r="AL549" s="19" t="n">
        <x:v>46258.302548761574</x:v>
      </x:c>
      <x:c r="AM549" s="19" t="n">
        <x:v>46387.34575231482</x:v>
      </x:c>
      <x:c r="AN549" s="15" t="str">
        <x:v>Електромонтаж</x:v>
      </x:c>
      <x:c r="AO549" s="15" t="str">
        <x:v>not_found_in_top_search</x:v>
      </x:c>
    </x:row>
    <x:row r="550">
      <x:c r="A550" s="14" t="str">
        <x:v>W3-278</x:v>
      </x:c>
      <x:c r="B550" s="14" t="str">
        <x:v>Prozorro winners — 24.08</x:v>
      </x:c>
      <x:c r="C550" s="14" t="str">
        <x:v>ХОМЕНКО ВІТАЛІЙ ВІКТОРОВИЧ</x:v>
      </x:c>
      <x:c r="D550" s="14" t="str">
        <x:v>Безпека / СКУД / CCTV</x:v>
      </x:c>
      <x:c r="E550" s="14" t="str">
        <x:v>Expansion discovery</x:v>
      </x:c>
      <x:c r="F550" s="17" t="str">
        <x:v>D3</x:v>
      </x:c>
      <x:c r="G550" s="14" t="str"/>
      <x:c r="H550" s="14" t="str">
        <x:v>Discovery розширення — 2 тижні</x:v>
      </x:c>
      <x:c r="I550" s="16" t="n">
        <x:v>1</x:v>
      </x:c>
      <x:c r="J550" s="16" t="n">
        <x:v>5</x:v>
      </x:c>
      <x:c r="K550" s="16" t="n">
        <x:v>4</x:v>
      </x:c>
      <x:c r="L550" s="16" t="n">
        <x:v>1</x:v>
      </x:c>
      <x:c r="M550" s="16" t="n">
        <x:v>5</x:v>
      </x:c>
      <x:c r="N550" s="16" t="n">
        <x:v>3</x:v>
      </x:c>
      <x:c r="O550" s="16" t="n">
        <x:v>5</x:v>
      </x:c>
      <x:c r="P550" s="16" t="n">
        <x:f>IF(COUNT(I550:O550)&lt;7,"",I550*8+J550*3+K550*2+L550*2+M550*2+N550*2+O550)</x:f>
        <x:v>54</x:v>
      </x:c>
      <x:c r="Q550" s="16" t="n">
        <x:f>IF(COUNT(J550:O550)&lt;6,"",J550*5+K550*4+M550*4+L550*3+N550*2+O550*2)</x:f>
        <x:v>80</x:v>
      </x:c>
      <x:c r="R550" s="14" t="str">
        <x:v>high</x:v>
      </x:c>
      <x:c r="S550" s="14" t="str">
        <x:v>official_prozorro_award_2025_2026</x:v>
      </x:c>
      <x:c r="T550" s="14" t="str">
        <x:v>official_prozorro_api</x:v>
      </x:c>
      <x:c r="U550" s="14" t="str">
        <x:v>Не контактували</x:v>
      </x:c>
      <x:c r="V550" s="15" t="str">
        <x:v>Workflow-audit outreach по UA-2026-08-17-004383-a; попросити 1 пакет здачі та вимоги проєкту</x:v>
      </x:c>
      <x:c r="W550" s="15" t="str">
        <x:v>Власник / виконавець; відповідальний за договір</x:v>
      </x:c>
      <x:c r="X550" s="15" t="str">
        <x:v>1 підтверджених перемог/договорів у Prozorro на 37 962 грн; 1 проєктів зі строком виконання не раніше 24.08.2026.</x:v>
      </x:c>
      <x:c r="Y550"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 строк до 2026-12-31. Попросити один знеособлений пакет здачі за цим workflow.</x:v>
      </x:c>
      <x:c r="Z550" s="15" t="str">
        <x:v>https://prozorro.gov.ua/tender/UA-2026-08-17-004383-a</x:v>
      </x:c>
      <x:c r="AA550" s="14" t="str">
        <x:v>3339918455</x:v>
      </x:c>
      <x:c r="AB550" s="14" t="str">
        <x:v>2026-08-24</x:v>
      </x:c>
      <x:c r="AC550" s="14" t="str"/>
      <x:c r="AD550" s="20" t="str"/>
      <x:c r="AE550" s="14" t="str"/>
      <x:c r="AF550" s="14" t="n">
        <x:v>49</x:v>
      </x:c>
      <x:c r="AG550" s="14" t="str">
        <x:v>I3</x:v>
      </x:c>
      <x:c r="AH550" s="14" t="n">
        <x:v>1</x:v>
      </x:c>
      <x:c r="AI550" s="14" t="n">
        <x:v>1</x:v>
      </x:c>
      <x:c r="AJ550" s="18" t="n">
        <x:v>37962</x:v>
      </x:c>
      <x:c r="AK550" s="14" t="str">
        <x:v>https://prozorro.gov.ua/tender/UA-2026-08-17-004383-a</x:v>
      </x:c>
      <x:c r="AL550" s="19" t="n">
        <x:v>46251.375759664355</x:v>
      </x:c>
      <x:c r="AM550" s="19" t="n">
        <x:v>46387</x:v>
      </x:c>
      <x:c r="AN550" s="15" t="str">
        <x:v>Безпека / СКУД / CCTV</x:v>
      </x:c>
      <x:c r="AO550" s="15" t="str">
        <x:v>not_found_in_top_search</x:v>
      </x:c>
    </x:row>
    <x:row r="551">
      <x:c r="A551" s="14" t="str">
        <x:v>W3-279</x:v>
      </x:c>
      <x:c r="B551" s="14" t="str">
        <x:v>Prozorro winners — 24.08</x:v>
      </x:c>
      <x:c r="C551" s="14" t="str">
        <x:v>ФОП Олефіренко Андрій Анатолійович</x:v>
      </x:c>
      <x:c r="D551" s="14" t="str">
        <x:v>Безпека / СКУД / CCTV</x:v>
      </x:c>
      <x:c r="E551" s="14" t="str">
        <x:v>Expansion discovery</x:v>
      </x:c>
      <x:c r="F551" s="17" t="str">
        <x:v>D3</x:v>
      </x:c>
      <x:c r="G551" s="14" t="str"/>
      <x:c r="H551" s="14" t="str">
        <x:v>Discovery розширення — 2 тижні</x:v>
      </x:c>
      <x:c r="I551" s="16" t="n">
        <x:v>1</x:v>
      </x:c>
      <x:c r="J551" s="16" t="n">
        <x:v>5</x:v>
      </x:c>
      <x:c r="K551" s="16" t="n">
        <x:v>4</x:v>
      </x:c>
      <x:c r="L551" s="16" t="n">
        <x:v>1</x:v>
      </x:c>
      <x:c r="M551" s="16" t="n">
        <x:v>5</x:v>
      </x:c>
      <x:c r="N551" s="16" t="n">
        <x:v>3</x:v>
      </x:c>
      <x:c r="O551" s="16" t="n">
        <x:v>5</x:v>
      </x:c>
      <x:c r="P551" s="16" t="n">
        <x:f>IF(COUNT(I551:O551)&lt;7,"",I551*8+J551*3+K551*2+L551*2+M551*2+N551*2+O551)</x:f>
        <x:v>54</x:v>
      </x:c>
      <x:c r="Q551" s="16" t="n">
        <x:f>IF(COUNT(J551:O551)&lt;6,"",J551*5+K551*4+M551*4+L551*3+N551*2+O551*2)</x:f>
        <x:v>80</x:v>
      </x:c>
      <x:c r="R551" s="14" t="str">
        <x:v>high</x:v>
      </x:c>
      <x:c r="S551" s="14" t="str">
        <x:v>official_prozorro_award_2025_2026</x:v>
      </x:c>
      <x:c r="T551" s="14" t="str">
        <x:v>official_prozorro_api</x:v>
      </x:c>
      <x:c r="U551" s="14" t="str">
        <x:v>Не контактували</x:v>
      </x:c>
      <x:c r="V551" s="15" t="str">
        <x:v>Workflow-audit outreach по UA-2026-07-13-008065-a; попросити 1 пакет здачі та вимоги проєкту</x:v>
      </x:c>
      <x:c r="W551" s="15" t="str">
        <x:v>Власник / виконавець; відповідальний за договір</x:v>
      </x:c>
      <x:c r="X551" s="15" t="str">
        <x:v>1 підтверджених перемог/договорів у Prozorro на 34 162 грн; 1 проєктів зі строком виконання не раніше 24.08.2026.</x:v>
      </x:c>
      <x:c r="Y551" s="15" t="str">
        <x:v>Послуги  монтажні та пусконалагоджувальні роботи з монтажу системи відеоспостереження.; строк до 2026-12-25. Попросити один знеособлений пакет здачі за цим workflow.</x:v>
      </x:c>
      <x:c r="Z551" s="15" t="str">
        <x:v>https://prozorro.gov.ua/tender/UA-2026-07-13-008065-a</x:v>
      </x:c>
      <x:c r="AA551" s="14" t="str">
        <x:v>3195907118</x:v>
      </x:c>
      <x:c r="AB551" s="14" t="str">
        <x:v>2026-08-24</x:v>
      </x:c>
      <x:c r="AC551" s="14" t="str"/>
      <x:c r="AD551" s="20" t="str"/>
      <x:c r="AE551" s="14" t="str"/>
      <x:c r="AF551" s="14" t="n">
        <x:v>49</x:v>
      </x:c>
      <x:c r="AG551" s="14" t="str">
        <x:v>I3</x:v>
      </x:c>
      <x:c r="AH551" s="14" t="n">
        <x:v>1</x:v>
      </x:c>
      <x:c r="AI551" s="14" t="n">
        <x:v>1</x:v>
      </x:c>
      <x:c r="AJ551" s="18" t="n">
        <x:v>34162</x:v>
      </x:c>
      <x:c r="AK551" s="14" t="str">
        <x:v>https://prozorro.gov.ua/tender/UA-2026-07-13-008065-a</x:v>
      </x:c>
      <x:c r="AL551" s="19" t="n">
        <x:v>46216.51562196759</x:v>
      </x:c>
      <x:c r="AM551" s="19" t="n">
        <x:v>46381.556597222225</x:v>
      </x:c>
      <x:c r="AN551" s="15" t="str">
        <x:v>Безпека / СКУД / CCTV</x:v>
      </x:c>
      <x:c r="AO551" s="15" t="str">
        <x:v>not_found_in_top_search</x:v>
      </x:c>
    </x:row>
    <x:row r="552">
      <x:c r="A552" s="14" t="str">
        <x:v>W3-280</x:v>
      </x:c>
      <x:c r="B552" s="14" t="str">
        <x:v>Prozorro winners — 24.08</x:v>
      </x:c>
      <x:c r="C552" s="14" t="str">
        <x:v>ФОП Ткаченко.П.І</x:v>
      </x:c>
      <x:c r="D552" s="14" t="str">
        <x:v>Промисловий холод</x:v>
      </x:c>
      <x:c r="E552" s="14" t="str">
        <x:v>Expansion discovery</x:v>
      </x:c>
      <x:c r="F552" s="17" t="str">
        <x:v>D3</x:v>
      </x:c>
      <x:c r="G552" s="14" t="str"/>
      <x:c r="H552" s="14" t="str">
        <x:v>Discovery розширення — 2 тижні</x:v>
      </x:c>
      <x:c r="I552" s="16" t="n">
        <x:v>1</x:v>
      </x:c>
      <x:c r="J552" s="16" t="n">
        <x:v>5</x:v>
      </x:c>
      <x:c r="K552" s="16" t="n">
        <x:v>4</x:v>
      </x:c>
      <x:c r="L552" s="16" t="n">
        <x:v>1</x:v>
      </x:c>
      <x:c r="M552" s="16" t="n">
        <x:v>5</x:v>
      </x:c>
      <x:c r="N552" s="16" t="n">
        <x:v>3</x:v>
      </x:c>
      <x:c r="O552" s="16" t="n">
        <x:v>5</x:v>
      </x:c>
      <x:c r="P552" s="16" t="n">
        <x:f>IF(COUNT(I552:O552)&lt;7,"",I552*8+J552*3+K552*2+L552*2+M552*2+N552*2+O552)</x:f>
        <x:v>54</x:v>
      </x:c>
      <x:c r="Q552" s="16" t="n">
        <x:f>IF(COUNT(J552:O552)&lt;6,"",J552*5+K552*4+M552*4+L552*3+N552*2+O552*2)</x:f>
        <x:v>80</x:v>
      </x:c>
      <x:c r="R552" s="14" t="str">
        <x:v>high</x:v>
      </x:c>
      <x:c r="S552" s="14" t="str">
        <x:v>official_prozorro_award_2025_2026</x:v>
      </x:c>
      <x:c r="T552" s="14" t="str">
        <x:v>official_prozorro_api</x:v>
      </x:c>
      <x:c r="U552" s="14" t="str">
        <x:v>Не контактували</x:v>
      </x:c>
      <x:c r="V552" s="15" t="str">
        <x:v>Workflow-audit outreach по UA-2026-07-13-001172-a; попросити 1 пакет здачі та вимоги проєкту</x:v>
      </x:c>
      <x:c r="W552" s="15" t="str">
        <x:v>Власник / виконавець; відповідальний за договір</x:v>
      </x:c>
      <x:c r="X552" s="15" t="str">
        <x:v>1 підтверджених перемог/договорів у Prozorro на 30 965 грн; 1 проєктів зі строком виконання не раніше 24.08.2026.</x:v>
      </x:c>
      <x:c r="Y552" s="15" t="str">
        <x:v>Встановлення холодильного обладнання; строк до 2026-12-31. Попросити один знеособлений пакет здачі за цим workflow.</x:v>
      </x:c>
      <x:c r="Z552" s="15" t="str">
        <x:v>https://prozorro.gov.ua/tender/UA-2026-07-13-001172-a</x:v>
      </x:c>
      <x:c r="AA552" s="14" t="str">
        <x:v>2147602655</x:v>
      </x:c>
      <x:c r="AB552" s="14" t="str">
        <x:v>2026-08-24</x:v>
      </x:c>
      <x:c r="AC552" s="14" t="str"/>
      <x:c r="AD552" s="20" t="str"/>
      <x:c r="AE552" s="14" t="str"/>
      <x:c r="AF552" s="14" t="n">
        <x:v>49</x:v>
      </x:c>
      <x:c r="AG552" s="14" t="str">
        <x:v>I3</x:v>
      </x:c>
      <x:c r="AH552" s="14" t="n">
        <x:v>1</x:v>
      </x:c>
      <x:c r="AI552" s="14" t="n">
        <x:v>1</x:v>
      </x:c>
      <x:c r="AJ552" s="18" t="n">
        <x:v>30965</x:v>
      </x:c>
      <x:c r="AK552" s="14" t="str">
        <x:v>https://prozorro.gov.ua/tender/UA-2026-07-13-001172-a</x:v>
      </x:c>
      <x:c r="AL552" s="19" t="n">
        <x:v>46216.28865054398</x:v>
      </x:c>
      <x:c r="AM552" s="19" t="n">
        <x:v>46387</x:v>
      </x:c>
      <x:c r="AN552" s="15" t="str">
        <x:v>Промисловий холод</x:v>
      </x:c>
      <x:c r="AO552" s="15" t="str">
        <x:v>not_found_in_top_search</x:v>
      </x:c>
    </x:row>
    <x:row r="553">
      <x:c r="A553" s="14" t="str">
        <x:v>W3-281</x:v>
      </x:c>
      <x:c r="B553" s="14" t="str">
        <x:v>Prozorro winners — 24.08</x:v>
      </x:c>
      <x:c r="C553"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D553" s="14" t="str">
        <x:v>Водоочищення / очисні споруди</x:v>
      </x:c>
      <x:c r="E553" s="14" t="str">
        <x:v>Expansion discovery</x:v>
      </x:c>
      <x:c r="F553" s="17" t="str">
        <x:v>D3</x:v>
      </x:c>
      <x:c r="G553" s="14" t="str"/>
      <x:c r="H553" s="14" t="str">
        <x:v>Discovery розширення — 2 тижні</x:v>
      </x:c>
      <x:c r="I553" s="16" t="n">
        <x:v>1</x:v>
      </x:c>
      <x:c r="J553" s="16" t="n">
        <x:v>5</x:v>
      </x:c>
      <x:c r="K553" s="16" t="n">
        <x:v>4</x:v>
      </x:c>
      <x:c r="L553" s="16" t="n">
        <x:v>1</x:v>
      </x:c>
      <x:c r="M553" s="16" t="n">
        <x:v>5</x:v>
      </x:c>
      <x:c r="N553" s="16" t="n">
        <x:v>5</x:v>
      </x:c>
      <x:c r="O553" s="16" t="n">
        <x:v>5</x:v>
      </x:c>
      <x:c r="P553" s="16" t="n">
        <x:f>IF(COUNT(I553:O553)&lt;7,"",I553*8+J553*3+K553*2+L553*2+M553*2+N553*2+O553)</x:f>
        <x:v>58</x:v>
      </x:c>
      <x:c r="Q553" s="16" t="n">
        <x:f>IF(COUNT(J553:O553)&lt;6,"",J553*5+K553*4+M553*4+L553*3+N553*2+O553*2)</x:f>
        <x:v>84</x:v>
      </x:c>
      <x:c r="R553" s="14" t="str">
        <x:v>high</x:v>
      </x:c>
      <x:c r="S553" s="14" t="str">
        <x:v>official_prozorro_award_2025_2026</x:v>
      </x:c>
      <x:c r="T553" s="14" t="str">
        <x:v>official_prozorro_api</x:v>
      </x:c>
      <x:c r="U553" s="14" t="str">
        <x:v>Не контактували</x:v>
      </x:c>
      <x:c r="V553" s="15" t="str">
        <x:v>Workflow-audit outreach по UA-2026-07-06-002679-a; попросити 1 пакет здачі та вимоги проєкту</x:v>
      </x:c>
      <x:c r="W553" s="15" t="str">
        <x:v>Власник / директор; керівник ПТО; відповідальний за договори</x:v>
      </x:c>
      <x:c r="X553" s="15" t="str">
        <x:v>1 підтверджених перемог/договорів у Prozorro на 30 207 грн; 1 проєктів зі строком виконання не раніше 24.08.2026.</x:v>
      </x:c>
      <x:c r="Y553" s="15" t="str">
        <x:v>Виконання експертизи  проєкту будівництва  "Реконструкція очисних споруд та каналізаційної насосної станції" у  с. Созонівка Кропивницького району.; строк до 2026-12-31. Попросити один знеособлений пакет здачі за цим workflow.</x:v>
      </x:c>
      <x:c r="Z553" s="15" t="str">
        <x:v>https://prozorro.gov.ua/tender/UA-2026-07-06-002679-a</x:v>
      </x:c>
      <x:c r="AA553" s="14" t="str">
        <x:v>35851226</x:v>
      </x:c>
      <x:c r="AB553" s="14" t="str">
        <x:v>2026-08-24</x:v>
      </x:c>
      <x:c r="AC553" s="14" t="str"/>
      <x:c r="AD553" s="20" t="str"/>
      <x:c r="AE553" s="14" t="str"/>
      <x:c r="AF553" s="14" t="n">
        <x:v>49</x:v>
      </x:c>
      <x:c r="AG553" s="14" t="str">
        <x:v>I3</x:v>
      </x:c>
      <x:c r="AH553" s="14" t="n">
        <x:v>1</x:v>
      </x:c>
      <x:c r="AI553" s="14" t="n">
        <x:v>1</x:v>
      </x:c>
      <x:c r="AJ553" s="18" t="n">
        <x:v>30207.38</x:v>
      </x:c>
      <x:c r="AK553" s="14" t="str">
        <x:v>https://prozorro.gov.ua/tender/UA-2026-07-06-002679-a</x:v>
      </x:c>
      <x:c r="AL553" s="19" t="n">
        <x:v>46209.3442668287</x:v>
      </x:c>
      <x:c r="AM553" s="19" t="n">
        <x:v>46387</x:v>
      </x:c>
      <x:c r="AN553" s="15" t="str">
        <x:v>Водоочищення / очисні споруди; Насосні станції</x:v>
      </x:c>
      <x:c r="AO553" s="15" t="str">
        <x:v>not_found_in_top_search</x:v>
      </x:c>
    </x:row>
    <x:row r="554">
      <x:c r="A554" s="14" t="str">
        <x:v>W3-282</x:v>
      </x:c>
      <x:c r="B554" s="14" t="str">
        <x:v>Prozorro winners — 24.08</x:v>
      </x:c>
      <x:c r="C554" s="14" t="str">
        <x:v>КУЗИК РУСЛАН ВАСИЛЬОВИЧ</x:v>
      </x:c>
      <x:c r="D554" s="14" t="str">
        <x:v>Безпека / СКУД / CCTV</x:v>
      </x:c>
      <x:c r="E554" s="14" t="str">
        <x:v>Expansion discovery</x:v>
      </x:c>
      <x:c r="F554" s="17" t="str">
        <x:v>D3</x:v>
      </x:c>
      <x:c r="G554" s="14" t="str"/>
      <x:c r="H554" s="14" t="str">
        <x:v>Discovery розширення — 2 тижні</x:v>
      </x:c>
      <x:c r="I554" s="16" t="n">
        <x:v>1</x:v>
      </x:c>
      <x:c r="J554" s="16" t="n">
        <x:v>5</x:v>
      </x:c>
      <x:c r="K554" s="16" t="n">
        <x:v>4</x:v>
      </x:c>
      <x:c r="L554" s="16" t="n">
        <x:v>1</x:v>
      </x:c>
      <x:c r="M554" s="16" t="n">
        <x:v>5</x:v>
      </x:c>
      <x:c r="N554" s="16" t="n">
        <x:v>3</x:v>
      </x:c>
      <x:c r="O554" s="16" t="n">
        <x:v>5</x:v>
      </x:c>
      <x:c r="P554" s="16" t="n">
        <x:f>IF(COUNT(I554:O554)&lt;7,"",I554*8+J554*3+K554*2+L554*2+M554*2+N554*2+O554)</x:f>
        <x:v>54</x:v>
      </x:c>
      <x:c r="Q554" s="16" t="n">
        <x:f>IF(COUNT(J554:O554)&lt;6,"",J554*5+K554*4+M554*4+L554*3+N554*2+O554*2)</x:f>
        <x:v>80</x:v>
      </x:c>
      <x:c r="R554" s="14" t="str">
        <x:v>high</x:v>
      </x:c>
      <x:c r="S554" s="14" t="str">
        <x:v>official_prozorro_award_2025_2026</x:v>
      </x:c>
      <x:c r="T554" s="14" t="str">
        <x:v>official_prozorro_api</x:v>
      </x:c>
      <x:c r="U554" s="14" t="str">
        <x:v>Не контактували</x:v>
      </x:c>
      <x:c r="V554" s="15" t="str">
        <x:v>Workflow-audit outreach по UA-2026-08-06-011736-a; попросити 1 пакет здачі та вимоги проєкту</x:v>
      </x:c>
      <x:c r="W554" s="15" t="str">
        <x:v>Власник / виконавець; відповідальний за договір</x:v>
      </x:c>
      <x:c r="X554" s="15" t="str">
        <x:v>1 підтверджених перемог/договорів у Prozorro на 29 735 грн; 1 проєктів зі строком виконання не раніше 24.08.2026.</x:v>
      </x:c>
      <x:c r="Y554" s="15" t="str">
        <x:v>Послуги зі встановлення, монтажу та налаштування системи відеоспостереження в ЗДО; строк до 2026-08-31. Попросити один знеособлений пакет здачі за цим workflow.</x:v>
      </x:c>
      <x:c r="Z554" s="15" t="str">
        <x:v>https://prozorro.gov.ua/tender/UA-2026-08-06-011736-a</x:v>
      </x:c>
      <x:c r="AA554" s="14" t="str">
        <x:v>3315410237</x:v>
      </x:c>
      <x:c r="AB554" s="14" t="str">
        <x:v>2026-08-24</x:v>
      </x:c>
      <x:c r="AC554" s="14" t="str"/>
      <x:c r="AD554" s="20" t="str"/>
      <x:c r="AE554" s="14" t="str"/>
      <x:c r="AF554" s="14" t="n">
        <x:v>49</x:v>
      </x:c>
      <x:c r="AG554" s="14" t="str">
        <x:v>I3</x:v>
      </x:c>
      <x:c r="AH554" s="14" t="n">
        <x:v>1</x:v>
      </x:c>
      <x:c r="AI554" s="14" t="n">
        <x:v>1</x:v>
      </x:c>
      <x:c r="AJ554" s="18" t="n">
        <x:v>29735</x:v>
      </x:c>
      <x:c r="AK554" s="14" t="str">
        <x:v>https://prozorro.gov.ua/tender/UA-2026-08-06-011736-a</x:v>
      </x:c>
      <x:c r="AL554" s="19" t="n">
        <x:v>46240.683941585645</x:v>
      </x:c>
      <x:c r="AM554" s="19" t="n">
        <x:v>46265</x:v>
      </x:c>
      <x:c r="AN554" s="15" t="str">
        <x:v>Безпека / СКУД / CCTV</x:v>
      </x:c>
      <x:c r="AO554" s="15" t="str">
        <x:v>not_found_in_top_search</x:v>
      </x:c>
    </x:row>
    <x:row r="555">
      <x:c r="A555" s="14" t="str">
        <x:v>W3-283</x:v>
      </x:c>
      <x:c r="B555" s="14" t="str">
        <x:v>Prozorro winners — 24.08</x:v>
      </x:c>
      <x:c r="C555" s="14" t="str">
        <x:v>ФОП Фоменкова О.В.</x:v>
      </x:c>
      <x:c r="D555" s="14" t="str">
        <x:v>Мости / інфраструктура</x:v>
      </x:c>
      <x:c r="E555" s="14" t="str">
        <x:v>Expansion discovery</x:v>
      </x:c>
      <x:c r="F555" s="17" t="str">
        <x:v>D3</x:v>
      </x:c>
      <x:c r="G555" s="14" t="str"/>
      <x:c r="H555" s="14" t="str">
        <x:v>Discovery розширення — 2 тижні</x:v>
      </x:c>
      <x:c r="I555" s="16" t="n">
        <x:v>1</x:v>
      </x:c>
      <x:c r="J555" s="16" t="n">
        <x:v>5</x:v>
      </x:c>
      <x:c r="K555" s="16" t="n">
        <x:v>4</x:v>
      </x:c>
      <x:c r="L555" s="16" t="n">
        <x:v>1</x:v>
      </x:c>
      <x:c r="M555" s="16" t="n">
        <x:v>5</x:v>
      </x:c>
      <x:c r="N555" s="16" t="n">
        <x:v>3</x:v>
      </x:c>
      <x:c r="O555" s="16" t="n">
        <x:v>5</x:v>
      </x:c>
      <x:c r="P555" s="16" t="n">
        <x:f>IF(COUNT(I555:O555)&lt;7,"",I555*8+J555*3+K555*2+L555*2+M555*2+N555*2+O555)</x:f>
        <x:v>54</x:v>
      </x:c>
      <x:c r="Q555" s="16" t="n">
        <x:f>IF(COUNT(J555:O555)&lt;6,"",J555*5+K555*4+M555*4+L555*3+N555*2+O555*2)</x:f>
        <x:v>80</x:v>
      </x:c>
      <x:c r="R555" s="14" t="str">
        <x:v>high</x:v>
      </x:c>
      <x:c r="S555" s="14" t="str">
        <x:v>official_prozorro_award_2025_2026</x:v>
      </x:c>
      <x:c r="T555" s="14" t="str">
        <x:v>official_prozorro_api</x:v>
      </x:c>
      <x:c r="U555" s="14" t="str">
        <x:v>Не контактували</x:v>
      </x:c>
      <x:c r="V555" s="15" t="str">
        <x:v>Workflow-audit outreach по UA-2026-07-13-011130-a; попросити 1 пакет здачі та вимоги проєкту</x:v>
      </x:c>
      <x:c r="W555" s="15" t="str">
        <x:v>Власник / виконавець; відповідальний за договір</x:v>
      </x:c>
      <x:c r="X555" s="15" t="str">
        <x:v>1 підтверджених перемог/договорів у Prozorro на 25 000 грн; 1 проєктів зі строком виконання не раніше 24.08.2026.</x:v>
      </x:c>
      <x:c r="Y555"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 строк до 2026-12-31. Попросити один знеособлений пакет здачі за цим workflow.</x:v>
      </x:c>
      <x:c r="Z555" s="15" t="str">
        <x:v>https://prozorro.gov.ua/tender/UA-2026-07-13-011130-a</x:v>
      </x:c>
      <x:c r="AA555" s="14" t="str">
        <x:v>2715111789</x:v>
      </x:c>
      <x:c r="AB555" s="14" t="str">
        <x:v>2026-08-24</x:v>
      </x:c>
      <x:c r="AC555" s="14" t="str"/>
      <x:c r="AD555" s="20" t="str"/>
      <x:c r="AE555" s="14" t="str"/>
      <x:c r="AF555" s="14" t="n">
        <x:v>49</x:v>
      </x:c>
      <x:c r="AG555" s="14" t="str">
        <x:v>I3</x:v>
      </x:c>
      <x:c r="AH555" s="14" t="n">
        <x:v>1</x:v>
      </x:c>
      <x:c r="AI555" s="14" t="n">
        <x:v>1</x:v>
      </x:c>
      <x:c r="AJ555" s="18" t="n">
        <x:v>25000</x:v>
      </x:c>
      <x:c r="AK555" s="14" t="str">
        <x:v>https://prozorro.gov.ua/tender/UA-2026-07-13-011130-a</x:v>
      </x:c>
      <x:c r="AL555" s="19" t="n">
        <x:v>46216.628633657405</x:v>
      </x:c>
      <x:c r="AM555" s="19" t="n">
        <x:v>46387.67122685185</x:v>
      </x:c>
      <x:c r="AN555" s="15" t="str">
        <x:v>Мости / інфраструктура</x:v>
      </x:c>
      <x:c r="AO555" s="15" t="str">
        <x:v>not_found_in_top_search</x:v>
      </x:c>
    </x:row>
    <x:row r="556">
      <x:c r="A556" s="14" t="str">
        <x:v>W3-284</x:v>
      </x:c>
      <x:c r="B556" s="14" t="str">
        <x:v>Prozorro winners — 24.08</x:v>
      </x:c>
      <x:c r="C556" s="14" t="str">
        <x:v>Геба Володимир Антонович</x:v>
      </x:c>
      <x:c r="D556" s="14" t="str">
        <x:v>HVAC / ОВіК</x:v>
      </x:c>
      <x:c r="E556" s="14" t="str">
        <x:v>Pilot now</x:v>
      </x:c>
      <x:c r="F556" s="17" t="str">
        <x:v>P3</x:v>
      </x:c>
      <x:c r="G556" s="14" t="str"/>
      <x:c r="H556" s="14" t="str">
        <x:v>Пілот зараз — Н.14</x:v>
      </x:c>
      <x:c r="I556" s="16" t="n">
        <x:v>5</x:v>
      </x:c>
      <x:c r="J556" s="16" t="n">
        <x:v>5</x:v>
      </x:c>
      <x:c r="K556" s="16" t="n">
        <x:v>5</x:v>
      </x:c>
      <x:c r="L556" s="16" t="n">
        <x:v>1</x:v>
      </x:c>
      <x:c r="M556" s="16" t="n">
        <x:v>5</x:v>
      </x:c>
      <x:c r="N556" s="16" t="n">
        <x:v>3</x:v>
      </x:c>
      <x:c r="O556" s="16" t="n">
        <x:v>5</x:v>
      </x:c>
      <x:c r="P556" s="16" t="n">
        <x:f>IF(COUNT(I556:O556)&lt;7,"",I556*8+J556*3+K556*2+L556*2+M556*2+N556*2+O556)</x:f>
        <x:v>88</x:v>
      </x:c>
      <x:c r="Q556" s="16" t="n">
        <x:f>IF(COUNT(J556:O556)&lt;6,"",J556*5+K556*4+M556*4+L556*3+N556*2+O556*2)</x:f>
        <x:v>84</x:v>
      </x:c>
      <x:c r="R556" s="14" t="str">
        <x:v>high</x:v>
      </x:c>
      <x:c r="S556" s="14" t="str">
        <x:v>official_prozorro_award_2025_2026</x:v>
      </x:c>
      <x:c r="T556" s="14" t="str">
        <x:v>official_prozorro_api</x:v>
      </x:c>
      <x:c r="U556" s="14" t="str">
        <x:v>Не контактували</x:v>
      </x:c>
      <x:c r="V556" s="15" t="str">
        <x:v>Персоналізований free-pilot outreach по UA-2026-08-03-002707-a; попросити 1 пакет Н.14/Н.15</x:v>
      </x:c>
      <x:c r="W556" s="15" t="str">
        <x:v>Власник / виконавець; відповідальний за договір</x:v>
      </x:c>
      <x:c r="X556" s="15" t="str">
        <x:v>1 підтверджених перемог/договорів у Prozorro на 23 377 грн; 1 проєктів зі строком виконання не раніше 24.08.2026.</x:v>
      </x:c>
      <x:c r="Y556" s="15" t="str">
        <x:v>Послуги з поточного ремонту системи опалення (демонтаж, монтаж радіаторів системи опалення); строк до 2026-08-24. Попросити один знеособлений пакет здачі за цим workflow.</x:v>
      </x:c>
      <x:c r="Z556" s="15" t="str">
        <x:v>https://prozorro.gov.ua/tender/UA-2026-08-03-002707-a</x:v>
      </x:c>
      <x:c r="AA556" s="14" t="str">
        <x:v>3079916295</x:v>
      </x:c>
      <x:c r="AB556" s="14" t="str">
        <x:v>2026-08-24</x:v>
      </x:c>
      <x:c r="AC556" s="14" t="str"/>
      <x:c r="AD556" s="20" t="str"/>
      <x:c r="AE556" s="14" t="str"/>
      <x:c r="AF556" s="14" t="n">
        <x:v>49</x:v>
      </x:c>
      <x:c r="AG556" s="14" t="str">
        <x:v>I3</x:v>
      </x:c>
      <x:c r="AH556" s="14" t="n">
        <x:v>1</x:v>
      </x:c>
      <x:c r="AI556" s="14" t="n">
        <x:v>1</x:v>
      </x:c>
      <x:c r="AJ556" s="18" t="n">
        <x:v>23376.62</x:v>
      </x:c>
      <x:c r="AK556" s="14" t="str">
        <x:v>https://prozorro.gov.ua/tender/UA-2026-08-03-002707-a</x:v>
      </x:c>
      <x:c r="AL556" s="19" t="n">
        <x:v>46237.34082188657</x:v>
      </x:c>
      <x:c r="AM556" s="19" t="n">
        <x:v>46258.34303240741</x:v>
      </x:c>
      <x:c r="AN556" s="15" t="str">
        <x:v>HVAC / ОВіК</x:v>
      </x:c>
      <x:c r="AO556" s="15" t="str">
        <x:v>not_found_in_top_search</x:v>
      </x:c>
    </x:row>
    <x:row r="557">
      <x:c r="A557" s="14" t="str">
        <x:v>W3-285</x:v>
      </x:c>
      <x:c r="B557" s="14" t="str">
        <x:v>Prozorro winners — 24.08</x:v>
      </x:c>
      <x:c r="C557" s="14" t="str">
        <x:v>ЯСИНСЬКИЙ ВІТАЛІЙ ВОЛОДИМИРОВИЧ</x:v>
      </x:c>
      <x:c r="D557" s="14" t="str">
        <x:v>Безпека / СКУД / CCTV</x:v>
      </x:c>
      <x:c r="E557" s="14" t="str">
        <x:v>Expansion discovery</x:v>
      </x:c>
      <x:c r="F557" s="17" t="str">
        <x:v>D3</x:v>
      </x:c>
      <x:c r="G557" s="14" t="str"/>
      <x:c r="H557" s="14" t="str">
        <x:v>Discovery розширення — 2 тижні</x:v>
      </x:c>
      <x:c r="I557" s="16" t="n">
        <x:v>1</x:v>
      </x:c>
      <x:c r="J557" s="16" t="n">
        <x:v>5</x:v>
      </x:c>
      <x:c r="K557" s="16" t="n">
        <x:v>4</x:v>
      </x:c>
      <x:c r="L557" s="16" t="n">
        <x:v>1</x:v>
      </x:c>
      <x:c r="M557" s="16" t="n">
        <x:v>5</x:v>
      </x:c>
      <x:c r="N557" s="16" t="n">
        <x:v>3</x:v>
      </x:c>
      <x:c r="O557" s="16" t="n">
        <x:v>5</x:v>
      </x:c>
      <x:c r="P557" s="16" t="n">
        <x:f>IF(COUNT(I557:O557)&lt;7,"",I557*8+J557*3+K557*2+L557*2+M557*2+N557*2+O557)</x:f>
        <x:v>54</x:v>
      </x:c>
      <x:c r="Q557" s="16" t="n">
        <x:f>IF(COUNT(J557:O557)&lt;6,"",J557*5+K557*4+M557*4+L557*3+N557*2+O557*2)</x:f>
        <x:v>80</x:v>
      </x:c>
      <x:c r="R557" s="14" t="str">
        <x:v>high</x:v>
      </x:c>
      <x:c r="S557" s="14" t="str">
        <x:v>official_prozorro_award_2025_2026</x:v>
      </x:c>
      <x:c r="T557" s="14" t="str">
        <x:v>official_prozorro_api</x:v>
      </x:c>
      <x:c r="U557" s="14" t="str">
        <x:v>Не контактували</x:v>
      </x:c>
      <x:c r="V557" s="15" t="str">
        <x:v>Workflow-audit outreach по UA-2026-08-24-000723-a; попросити 1 пакет здачі та вимоги проєкту</x:v>
      </x:c>
      <x:c r="W557" s="15" t="str">
        <x:v>Власник / виконавець; відповідальний за договір</x:v>
      </x:c>
      <x:c r="X557" s="15" t="str">
        <x:v>1 підтверджених перемог/договорів у Prozorro на 22 076 грн; 1 проєктів зі строком виконання не раніше 24.08.2026.</x:v>
      </x:c>
      <x:c r="Y557" s="15" t="str">
        <x:v>Послуги з монтажу та налаштування системи відеоспостереження; строк до 2026-12-31. Попросити один знеособлений пакет здачі за цим workflow.</x:v>
      </x:c>
      <x:c r="Z557" s="15" t="str">
        <x:v>https://prozorro.gov.ua/tender/UA-2026-08-24-000723-a</x:v>
      </x:c>
      <x:c r="AA557" s="14" t="str">
        <x:v>3094208552</x:v>
      </x:c>
      <x:c r="AB557" s="14" t="str">
        <x:v>2026-08-24</x:v>
      </x:c>
      <x:c r="AC557" s="14" t="str"/>
      <x:c r="AD557" s="20" t="str"/>
      <x:c r="AE557" s="14" t="str"/>
      <x:c r="AF557" s="14" t="n">
        <x:v>49</x:v>
      </x:c>
      <x:c r="AG557" s="14" t="str">
        <x:v>I3</x:v>
      </x:c>
      <x:c r="AH557" s="14" t="n">
        <x:v>1</x:v>
      </x:c>
      <x:c r="AI557" s="14" t="n">
        <x:v>1</x:v>
      </x:c>
      <x:c r="AJ557" s="18" t="n">
        <x:v>22076</x:v>
      </x:c>
      <x:c r="AK557" s="14" t="str">
        <x:v>https://prozorro.gov.ua/tender/UA-2026-08-24-000723-a</x:v>
      </x:c>
      <x:c r="AL557" s="19" t="n">
        <x:v>46258.271759780095</x:v>
      </x:c>
      <x:c r="AM557" s="19" t="n">
        <x:v>46387</x:v>
      </x:c>
      <x:c r="AN557" s="15" t="str">
        <x:v>Безпека / СКУД / CCTV</x:v>
      </x:c>
      <x:c r="AO557" s="15" t="str">
        <x:v>not_found_in_top_search</x:v>
      </x:c>
    </x:row>
    <x:row r="558">
      <x:c r="A558" s="14" t="str">
        <x:v>W3-286</x:v>
      </x:c>
      <x:c r="B558" s="14" t="str">
        <x:v>Prozorro winners — 24.08</x:v>
      </x:c>
      <x:c r="C558" s="14" t="str">
        <x:v>КУЧЕРЕНКО МИХАЙЛО ОЛЕКСАНДРОВИЧ</x:v>
      </x:c>
      <x:c r="D558" s="14" t="str">
        <x:v>HVAC / ОВіК</x:v>
      </x:c>
      <x:c r="E558" s="14" t="str">
        <x:v>Pilot now</x:v>
      </x:c>
      <x:c r="F558" s="17" t="str">
        <x:v>P3</x:v>
      </x:c>
      <x:c r="G558" s="14" t="str"/>
      <x:c r="H558" s="14" t="str">
        <x:v>Пілот зараз — Н.14</x:v>
      </x:c>
      <x:c r="I558" s="16" t="n">
        <x:v>5</x:v>
      </x:c>
      <x:c r="J558" s="16" t="n">
        <x:v>5</x:v>
      </x:c>
      <x:c r="K558" s="16" t="n">
        <x:v>5</x:v>
      </x:c>
      <x:c r="L558" s="16" t="n">
        <x:v>1</x:v>
      </x:c>
      <x:c r="M558" s="16" t="n">
        <x:v>5</x:v>
      </x:c>
      <x:c r="N558" s="16" t="n">
        <x:v>3</x:v>
      </x:c>
      <x:c r="O558" s="16" t="n">
        <x:v>5</x:v>
      </x:c>
      <x:c r="P558" s="16" t="n">
        <x:f>IF(COUNT(I558:O558)&lt;7,"",I558*8+J558*3+K558*2+L558*2+M558*2+N558*2+O558)</x:f>
        <x:v>88</x:v>
      </x:c>
      <x:c r="Q558" s="16" t="n">
        <x:f>IF(COUNT(J558:O558)&lt;6,"",J558*5+K558*4+M558*4+L558*3+N558*2+O558*2)</x:f>
        <x:v>84</x:v>
      </x:c>
      <x:c r="R558" s="14" t="str">
        <x:v>high</x:v>
      </x:c>
      <x:c r="S558" s="14" t="str">
        <x:v>official_prozorro_award_2025_2026</x:v>
      </x:c>
      <x:c r="T558" s="14" t="str">
        <x:v>official_prozorro_api</x:v>
      </x:c>
      <x:c r="U558" s="14" t="str">
        <x:v>Не контактували</x:v>
      </x:c>
      <x:c r="V558" s="15" t="str">
        <x:v>Персоналізований free-pilot outreach по UA-2026-07-22-002387-a; попросити 1 пакет Н.14/Н.15</x:v>
      </x:c>
      <x:c r="W558" s="15" t="str">
        <x:v>Власник / виконавець; відповідальний за договір</x:v>
      </x:c>
      <x:c r="X558" s="15" t="str">
        <x:v>1 підтверджених перемог/договорів у Prozorro на 21 837 грн; 1 проєктів зі строком виконання не раніше 24.08.2026.</x:v>
      </x:c>
      <x:c r="Y558" s="15" t="str">
        <x:v>Послуги з монтажу радіатора, насосу до системи опалення та зливного механізму; строк до 2026-12-31. Попросити один знеособлений пакет здачі за цим workflow.</x:v>
      </x:c>
      <x:c r="Z558" s="15" t="str">
        <x:v>https://prozorro.gov.ua/tender/UA-2026-07-22-002387-a</x:v>
      </x:c>
      <x:c r="AA558" s="14" t="str">
        <x:v>2885301995</x:v>
      </x:c>
      <x:c r="AB558" s="14" t="str">
        <x:v>2026-08-24</x:v>
      </x:c>
      <x:c r="AC558" s="14" t="str"/>
      <x:c r="AD558" s="20" t="str"/>
      <x:c r="AE558" s="14" t="str"/>
      <x:c r="AF558" s="14" t="n">
        <x:v>49</x:v>
      </x:c>
      <x:c r="AG558" s="14" t="str">
        <x:v>I3</x:v>
      </x:c>
      <x:c r="AH558" s="14" t="n">
        <x:v>1</x:v>
      </x:c>
      <x:c r="AI558" s="14" t="n">
        <x:v>1</x:v>
      </x:c>
      <x:c r="AJ558" s="18" t="n">
        <x:v>21837.42</x:v>
      </x:c>
      <x:c r="AK558" s="14" t="str">
        <x:v>https://prozorro.gov.ua/tender/UA-2026-07-22-002387-a</x:v>
      </x:c>
      <x:c r="AL558" s="19" t="n">
        <x:v>46225.32407886574</x:v>
      </x:c>
      <x:c r="AM558" s="19" t="n">
        <x:v>46387</x:v>
      </x:c>
      <x:c r="AN558" s="15" t="str">
        <x:v>HVAC / ОВіК</x:v>
      </x:c>
      <x:c r="AO558" s="15" t="str">
        <x:v>not_found_in_top_search</x:v>
      </x:c>
    </x:row>
    <x:row r="559">
      <x:c r="A559" s="14" t="str">
        <x:v>W3-287</x:v>
      </x:c>
      <x:c r="B559" s="14" t="str">
        <x:v>Prozorro winners — 24.08</x:v>
      </x:c>
      <x:c r="C559" s="14" t="str">
        <x:v>Фізична особа-підприємець Стукалов Олександр Олександрович</x:v>
      </x:c>
      <x:c r="D559" s="14" t="str">
        <x:v>Безпека / СКУД / CCTV</x:v>
      </x:c>
      <x:c r="E559" s="14" t="str">
        <x:v>Expansion discovery</x:v>
      </x:c>
      <x:c r="F559" s="17" t="str">
        <x:v>D3</x:v>
      </x:c>
      <x:c r="G559" s="14" t="str"/>
      <x:c r="H559" s="14" t="str">
        <x:v>Discovery розширення — 2 тижні</x:v>
      </x:c>
      <x:c r="I559" s="16" t="n">
        <x:v>1</x:v>
      </x:c>
      <x:c r="J559" s="16" t="n">
        <x:v>5</x:v>
      </x:c>
      <x:c r="K559" s="16" t="n">
        <x:v>4</x:v>
      </x:c>
      <x:c r="L559" s="16" t="n">
        <x:v>1</x:v>
      </x:c>
      <x:c r="M559" s="16" t="n">
        <x:v>5</x:v>
      </x:c>
      <x:c r="N559" s="16" t="n">
        <x:v>3</x:v>
      </x:c>
      <x:c r="O559" s="16" t="n">
        <x:v>5</x:v>
      </x:c>
      <x:c r="P559" s="16" t="n">
        <x:f>IF(COUNT(I559:O559)&lt;7,"",I559*8+J559*3+K559*2+L559*2+M559*2+N559*2+O559)</x:f>
        <x:v>54</x:v>
      </x:c>
      <x:c r="Q559" s="16" t="n">
        <x:f>IF(COUNT(J559:O559)&lt;6,"",J559*5+K559*4+M559*4+L559*3+N559*2+O559*2)</x:f>
        <x:v>80</x:v>
      </x:c>
      <x:c r="R559" s="14" t="str">
        <x:v>high</x:v>
      </x:c>
      <x:c r="S559" s="14" t="str">
        <x:v>official_prozorro_award_2025_2026</x:v>
      </x:c>
      <x:c r="T559" s="14" t="str">
        <x:v>official_prozorro_api</x:v>
      </x:c>
      <x:c r="U559" s="14" t="str">
        <x:v>Не контактували</x:v>
      </x:c>
      <x:c r="V559" s="15" t="str">
        <x:v>Workflow-audit outreach по UA-2026-08-14-001348-a; попросити 1 пакет здачі та вимоги проєкту</x:v>
      </x:c>
      <x:c r="W559" s="15" t="str">
        <x:v>Власник / виконавець; відповідальний за договір</x:v>
      </x:c>
      <x:c r="X559" s="15" t="str">
        <x:v>1 підтверджених перемог/договорів у Prozorro на 21 749 грн; 1 проєктів зі строком виконання не раніше 24.08.2026.</x:v>
      </x:c>
      <x:c r="Y559"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 строк до 2026-12-31. Попросити один знеособлений пакет здачі за цим workflow.</x:v>
      </x:c>
      <x:c r="Z559" s="15" t="str">
        <x:v>https://prozorro.gov.ua/tender/UA-2026-08-14-001348-a</x:v>
      </x:c>
      <x:c r="AA559" s="14" t="str">
        <x:v>3064321858</x:v>
      </x:c>
      <x:c r="AB559" s="14" t="str">
        <x:v>2026-08-24</x:v>
      </x:c>
      <x:c r="AC559" s="14" t="str"/>
      <x:c r="AD559" s="20" t="str"/>
      <x:c r="AE559" s="14" t="str"/>
      <x:c r="AF559" s="14" t="n">
        <x:v>49</x:v>
      </x:c>
      <x:c r="AG559" s="14" t="str">
        <x:v>I3</x:v>
      </x:c>
      <x:c r="AH559" s="14" t="n">
        <x:v>1</x:v>
      </x:c>
      <x:c r="AI559" s="14" t="n">
        <x:v>1</x:v>
      </x:c>
      <x:c r="AJ559" s="18" t="n">
        <x:v>21749.12</x:v>
      </x:c>
      <x:c r="AK559" s="14" t="str">
        <x:v>https://prozorro.gov.ua/tender/UA-2026-08-14-001348-a</x:v>
      </x:c>
      <x:c r="AL559" s="19" t="n">
        <x:v>46248.28367704861</x:v>
      </x:c>
      <x:c r="AM559" s="19" t="n">
        <x:v>46387</x:v>
      </x:c>
      <x:c r="AN559" s="15" t="str">
        <x:v>Безпека / СКУД / CCTV</x:v>
      </x:c>
      <x:c r="AO559" s="15" t="str">
        <x:v>not_found_in_top_search</x:v>
      </x:c>
    </x:row>
    <x:row r="560">
      <x:c r="A560" s="14" t="str">
        <x:v>W3-288</x:v>
      </x:c>
      <x:c r="B560" s="14" t="str">
        <x:v>Prozorro winners — 24.08</x:v>
      </x:c>
      <x:c r="C560" s="14" t="str">
        <x:v>ПОЖАЙРИБКО БОРИС ЄВГЕНІЙОВИЧ</x:v>
      </x:c>
      <x:c r="D560" s="14" t="str">
        <x:v>Сонячна енергетика</x:v>
      </x:c>
      <x:c r="E560" s="14" t="str">
        <x:v>Expansion discovery</x:v>
      </x:c>
      <x:c r="F560" s="17" t="str">
        <x:v>D3</x:v>
      </x:c>
      <x:c r="G560" s="14" t="str"/>
      <x:c r="H560" s="14" t="str">
        <x:v>Discovery розширення — 2 тижні</x:v>
      </x:c>
      <x:c r="I560" s="16" t="n">
        <x:v>1</x:v>
      </x:c>
      <x:c r="J560" s="16" t="n">
        <x:v>5</x:v>
      </x:c>
      <x:c r="K560" s="16" t="n">
        <x:v>4</x:v>
      </x:c>
      <x:c r="L560" s="16" t="n">
        <x:v>1</x:v>
      </x:c>
      <x:c r="M560" s="16" t="n">
        <x:v>5</x:v>
      </x:c>
      <x:c r="N560" s="16" t="n">
        <x:v>3</x:v>
      </x:c>
      <x:c r="O560" s="16" t="n">
        <x:v>5</x:v>
      </x:c>
      <x:c r="P560" s="16" t="n">
        <x:f>IF(COUNT(I560:O560)&lt;7,"",I560*8+J560*3+K560*2+L560*2+M560*2+N560*2+O560)</x:f>
        <x:v>54</x:v>
      </x:c>
      <x:c r="Q560" s="16" t="n">
        <x:f>IF(COUNT(J560:O560)&lt;6,"",J560*5+K560*4+M560*4+L560*3+N560*2+O560*2)</x:f>
        <x:v>80</x:v>
      </x:c>
      <x:c r="R560" s="14" t="str">
        <x:v>high</x:v>
      </x:c>
      <x:c r="S560" s="14" t="str">
        <x:v>official_prozorro_award_2025_2026</x:v>
      </x:c>
      <x:c r="T560" s="14" t="str">
        <x:v>official_prozorro_api</x:v>
      </x:c>
      <x:c r="U560" s="14" t="str">
        <x:v>Не контактували</x:v>
      </x:c>
      <x:c r="V560" s="15" t="str">
        <x:v>Workflow-audit outreach по UA-2026-08-13-006658-a; попросити 1 пакет здачі та вимоги проєкту</x:v>
      </x:c>
      <x:c r="W560" s="15" t="str">
        <x:v>Власник / виконавець; відповідальний за договір</x:v>
      </x:c>
      <x:c r="X560" s="15" t="str">
        <x:v>1 підтверджених перемог/договорів у Prozorro на 20 822 грн; 1 проєктів зі строком виконання не раніше 24.08.2026.</x:v>
      </x:c>
      <x:c r="Y560"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2026-12-31. Попросити один знеособлений пакет здачі за цим workflow.</x:v>
      </x:c>
      <x:c r="Z560" s="15" t="str">
        <x:v>https://prozorro.gov.ua/tender/UA-2026-08-13-006658-a</x:v>
      </x:c>
      <x:c r="AA560" s="14" t="str">
        <x:v>2104915998</x:v>
      </x:c>
      <x:c r="AB560" s="14" t="str">
        <x:v>2026-08-24</x:v>
      </x:c>
      <x:c r="AC560" s="14" t="str"/>
      <x:c r="AD560" s="20" t="str"/>
      <x:c r="AE560" s="14" t="str"/>
      <x:c r="AF560" s="14" t="n">
        <x:v>49</x:v>
      </x:c>
      <x:c r="AG560" s="14" t="str">
        <x:v>I3</x:v>
      </x:c>
      <x:c r="AH560" s="14" t="n">
        <x:v>1</x:v>
      </x:c>
      <x:c r="AI560" s="14" t="n">
        <x:v>1</x:v>
      </x:c>
      <x:c r="AJ560" s="18" t="n">
        <x:v>20822</x:v>
      </x:c>
      <x:c r="AK560" s="14" t="str">
        <x:v>https://prozorro.gov.ua/tender/UA-2026-08-13-006658-a</x:v>
      </x:c>
      <x:c r="AL560" s="19" t="n">
        <x:v>46247.44847260417</x:v>
      </x:c>
      <x:c r="AM560" s="19" t="n">
        <x:v>46387</x:v>
      </x:c>
      <x:c r="AN560" s="15" t="str">
        <x:v>Сонячна енергетика</x:v>
      </x:c>
      <x:c r="AO560" s="15" t="str">
        <x:v>not_found_in_top_search</x:v>
      </x:c>
    </x:row>
    <x:row r="561">
      <x:c r="A561" s="14" t="str">
        <x:v>W3-289</x:v>
      </x:c>
      <x:c r="B561" s="14" t="str">
        <x:v>Prozorro winners — 24.08</x:v>
      </x:c>
      <x:c r="C561" s="14" t="str">
        <x:v>КРАВЦОВ ЯКІВ ОЛЕГОВИЧ</x:v>
      </x:c>
      <x:c r="D561" s="14" t="str">
        <x:v>Насосні станції</x:v>
      </x:c>
      <x:c r="E561" s="14" t="str">
        <x:v>Expansion discovery</x:v>
      </x:c>
      <x:c r="F561" s="17" t="str">
        <x:v>D3</x:v>
      </x:c>
      <x:c r="G561" s="14" t="str"/>
      <x:c r="H561" s="14" t="str">
        <x:v>Discovery розширення — 2 тижні</x:v>
      </x:c>
      <x:c r="I561" s="16" t="n">
        <x:v>1</x:v>
      </x:c>
      <x:c r="J561" s="16" t="n">
        <x:v>5</x:v>
      </x:c>
      <x:c r="K561" s="16" t="n">
        <x:v>4</x:v>
      </x:c>
      <x:c r="L561" s="16" t="n">
        <x:v>1</x:v>
      </x:c>
      <x:c r="M561" s="16" t="n">
        <x:v>5</x:v>
      </x:c>
      <x:c r="N561" s="16" t="n">
        <x:v>3</x:v>
      </x:c>
      <x:c r="O561" s="16" t="n">
        <x:v>5</x:v>
      </x:c>
      <x:c r="P561" s="16" t="n">
        <x:f>IF(COUNT(I561:O561)&lt;7,"",I561*8+J561*3+K561*2+L561*2+M561*2+N561*2+O561)</x:f>
        <x:v>54</x:v>
      </x:c>
      <x:c r="Q561" s="16" t="n">
        <x:f>IF(COUNT(J561:O561)&lt;6,"",J561*5+K561*4+M561*4+L561*3+N561*2+O561*2)</x:f>
        <x:v>80</x:v>
      </x:c>
      <x:c r="R561" s="14" t="str">
        <x:v>high</x:v>
      </x:c>
      <x:c r="S561" s="14" t="str">
        <x:v>official_prozorro_award_2025_2026</x:v>
      </x:c>
      <x:c r="T561" s="14" t="str">
        <x:v>official_prozorro_api</x:v>
      </x:c>
      <x:c r="U561" s="14" t="str">
        <x:v>Не контактували</x:v>
      </x:c>
      <x:c r="V561" s="15" t="str">
        <x:v>Workflow-audit outreach по UA-2026-08-10-004259-a; попросити 1 пакет здачі та вимоги проєкту</x:v>
      </x:c>
      <x:c r="W561" s="15" t="str">
        <x:v>Власник / виконавець; відповідальний за договір</x:v>
      </x:c>
      <x:c r="X561" s="15" t="str">
        <x:v>1 підтверджених перемог/договорів у Prozorro на 20 000 грн; 1 проєктів зі строком виконання не раніше 24.08.2026.</x:v>
      </x:c>
      <x:c r="Y561"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 строк до 2026-08-31. Попросити один знеособлений пакет здачі за цим workflow.</x:v>
      </x:c>
      <x:c r="Z561" s="15" t="str">
        <x:v>https://prozorro.gov.ua/tender/UA-2026-08-10-004259-a</x:v>
      </x:c>
      <x:c r="AA561" s="14" t="str">
        <x:v>3179623274</x:v>
      </x:c>
      <x:c r="AB561" s="14" t="str">
        <x:v>2026-08-24</x:v>
      </x:c>
      <x:c r="AC561" s="14" t="str"/>
      <x:c r="AD561" s="20" t="str"/>
      <x:c r="AE561" s="14" t="str"/>
      <x:c r="AF561" s="14" t="n">
        <x:v>49</x:v>
      </x:c>
      <x:c r="AG561" s="14" t="str">
        <x:v>I3</x:v>
      </x:c>
      <x:c r="AH561" s="14" t="n">
        <x:v>1</x:v>
      </x:c>
      <x:c r="AI561" s="14" t="n">
        <x:v>1</x:v>
      </x:c>
      <x:c r="AJ561" s="18" t="n">
        <x:v>20000</x:v>
      </x:c>
      <x:c r="AK561" s="14" t="str">
        <x:v>https://prozorro.gov.ua/tender/UA-2026-08-10-004259-a</x:v>
      </x:c>
      <x:c r="AL561" s="19" t="n">
        <x:v>46244.38618738426</x:v>
      </x:c>
      <x:c r="AM561" s="19" t="n">
        <x:v>46265</x:v>
      </x:c>
      <x:c r="AN561" s="15" t="str">
        <x:v>Насосні станції</x:v>
      </x:c>
      <x:c r="AO561" s="15" t="str">
        <x:v>not_found_in_top_search</x:v>
      </x:c>
    </x:row>
    <x:row r="562">
      <x:c r="A562" s="14" t="str">
        <x:v>W3-290</x:v>
      </x:c>
      <x:c r="B562" s="14" t="str">
        <x:v>Prozorro winners — 24.08</x:v>
      </x:c>
      <x:c r="C562" s="14" t="str">
        <x:v>ФОП Тертишник Сергій Миколайович</x:v>
      </x:c>
      <x:c r="D562" s="14" t="str">
        <x:v>Електромонтаж</x:v>
      </x:c>
      <x:c r="E562" s="14" t="str">
        <x:v>Pilot now</x:v>
      </x:c>
      <x:c r="F562" s="17" t="str">
        <x:v>P3</x:v>
      </x:c>
      <x:c r="G562" s="14" t="str"/>
      <x:c r="H562" s="14" t="str">
        <x:v>Пілот зараз — Н.15</x:v>
      </x:c>
      <x:c r="I562" s="16" t="n">
        <x:v>5</x:v>
      </x:c>
      <x:c r="J562" s="16" t="n">
        <x:v>5</x:v>
      </x:c>
      <x:c r="K562" s="16" t="n">
        <x:v>5</x:v>
      </x:c>
      <x:c r="L562" s="16" t="n">
        <x:v>1</x:v>
      </x:c>
      <x:c r="M562" s="16" t="n">
        <x:v>5</x:v>
      </x:c>
      <x:c r="N562" s="16" t="n">
        <x:v>3</x:v>
      </x:c>
      <x:c r="O562" s="16" t="n">
        <x:v>5</x:v>
      </x:c>
      <x:c r="P562" s="16" t="n">
        <x:f>IF(COUNT(I562:O562)&lt;7,"",I562*8+J562*3+K562*2+L562*2+M562*2+N562*2+O562)</x:f>
        <x:v>88</x:v>
      </x:c>
      <x:c r="Q562" s="16" t="n">
        <x:f>IF(COUNT(J562:O562)&lt;6,"",J562*5+K562*4+M562*4+L562*3+N562*2+O562*2)</x:f>
        <x:v>84</x:v>
      </x:c>
      <x:c r="R562" s="14" t="str">
        <x:v>high</x:v>
      </x:c>
      <x:c r="S562" s="14" t="str">
        <x:v>official_prozorro_award_2025_2026</x:v>
      </x:c>
      <x:c r="T562" s="14" t="str">
        <x:v>official_prozorro_api</x:v>
      </x:c>
      <x:c r="U562" s="14" t="str">
        <x:v>Не контактували</x:v>
      </x:c>
      <x:c r="V562" s="15" t="str">
        <x:v>Персоналізований free-pilot outreach по UA-2026-08-20-001719-a; попросити 1 пакет Н.14/Н.15</x:v>
      </x:c>
      <x:c r="W562" s="15" t="str">
        <x:v>Власник / виконавець; відповідальний за договір</x:v>
      </x:c>
      <x:c r="X562" s="15" t="str">
        <x:v>1 підтверджених перемог/договорів у Prozorro на 19 953 грн; 1 проєктів зі строком виконання не раніше 24.08.2026.</x:v>
      </x:c>
      <x:c r="Y562" s="15" t="str">
        <x:v>Електромонтажні роботи; строк до 2026-12-31. Попросити один знеособлений пакет здачі за цим workflow.</x:v>
      </x:c>
      <x:c r="Z562" s="15" t="str">
        <x:v>https://prozorro.gov.ua/tender/UA-2026-08-20-001719-a</x:v>
      </x:c>
      <x:c r="AA562" s="14" t="str">
        <x:v>3633807710</x:v>
      </x:c>
      <x:c r="AB562" s="14" t="str">
        <x:v>2026-08-24</x:v>
      </x:c>
      <x:c r="AC562" s="14" t="str"/>
      <x:c r="AD562" s="20" t="str"/>
      <x:c r="AE562" s="14" t="str"/>
      <x:c r="AF562" s="14" t="n">
        <x:v>49</x:v>
      </x:c>
      <x:c r="AG562" s="14" t="str">
        <x:v>I3</x:v>
      </x:c>
      <x:c r="AH562" s="14" t="n">
        <x:v>1</x:v>
      </x:c>
      <x:c r="AI562" s="14" t="n">
        <x:v>1</x:v>
      </x:c>
      <x:c r="AJ562" s="18" t="n">
        <x:v>19952.96</x:v>
      </x:c>
      <x:c r="AK562" s="14" t="str">
        <x:v>https://prozorro.gov.ua/tender/UA-2026-08-20-001719-a</x:v>
      </x:c>
      <x:c r="AL562" s="19" t="n">
        <x:v>46254.29946659722</x:v>
      </x:c>
      <x:c r="AM562" s="19" t="n">
        <x:v>46387.34100694444</x:v>
      </x:c>
      <x:c r="AN562" s="15" t="str">
        <x:v>Електромонтаж</x:v>
      </x:c>
      <x:c r="AO562" s="15" t="str">
        <x:v>not_found_in_top_search</x:v>
      </x:c>
    </x:row>
    <x:row r="563">
      <x:c r="A563" s="14" t="str">
        <x:v>W3-291</x:v>
      </x:c>
      <x:c r="B563" s="14" t="str">
        <x:v>Prozorro winners — 24.08</x:v>
      </x:c>
      <x:c r="C563" s="14" t="str">
        <x:v>Шелінговський  Віктор Антонович</x:v>
      </x:c>
      <x:c r="D563" s="14" t="str">
        <x:v>HVAC / ОВіК</x:v>
      </x:c>
      <x:c r="E563" s="14" t="str">
        <x:v>Pilot now</x:v>
      </x:c>
      <x:c r="F563" s="17" t="str">
        <x:v>P3</x:v>
      </x:c>
      <x:c r="G563" s="14" t="str"/>
      <x:c r="H563" s="14" t="str">
        <x:v>Пілот зараз — Н.14</x:v>
      </x:c>
      <x:c r="I563" s="16" t="n">
        <x:v>5</x:v>
      </x:c>
      <x:c r="J563" s="16" t="n">
        <x:v>5</x:v>
      </x:c>
      <x:c r="K563" s="16" t="n">
        <x:v>5</x:v>
      </x:c>
      <x:c r="L563" s="16" t="n">
        <x:v>1</x:v>
      </x:c>
      <x:c r="M563" s="16" t="n">
        <x:v>5</x:v>
      </x:c>
      <x:c r="N563" s="16" t="n">
        <x:v>3</x:v>
      </x:c>
      <x:c r="O563" s="16" t="n">
        <x:v>5</x:v>
      </x:c>
      <x:c r="P563" s="16" t="n">
        <x:f>IF(COUNT(I563:O563)&lt;7,"",I563*8+J563*3+K563*2+L563*2+M563*2+N563*2+O563)</x:f>
        <x:v>88</x:v>
      </x:c>
      <x:c r="Q563" s="16" t="n">
        <x:f>IF(COUNT(J563:O563)&lt;6,"",J563*5+K563*4+M563*4+L563*3+N563*2+O563*2)</x:f>
        <x:v>84</x:v>
      </x:c>
      <x:c r="R563" s="14" t="str">
        <x:v>high</x:v>
      </x:c>
      <x:c r="S563" s="14" t="str">
        <x:v>official_prozorro_award_2025_2026</x:v>
      </x:c>
      <x:c r="T563" s="14" t="str">
        <x:v>official_prozorro_api</x:v>
      </x:c>
      <x:c r="U563" s="14" t="str">
        <x:v>Не контактували</x:v>
      </x:c>
      <x:c r="V563" s="15" t="str">
        <x:v>Персоналізований free-pilot outreach по UA-2026-08-14-005615-a; попросити 1 пакет Н.14/Н.15</x:v>
      </x:c>
      <x:c r="W563" s="15" t="str">
        <x:v>Власник / виконавець; відповідальний за договір</x:v>
      </x:c>
      <x:c r="X563" s="15" t="str">
        <x:v>1 підтверджених перемог/договорів у Prozorro на 19 805 грн; 1 проєктів зі строком виконання не раніше 24.08.2026.</x:v>
      </x:c>
      <x:c r="Y563"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 строк до 2026-12-31. Попросити один знеособлений пакет здачі за цим workflow.</x:v>
      </x:c>
      <x:c r="Z563" s="15" t="str">
        <x:v>https://prozorro.gov.ua/tender/UA-2026-08-14-005615-a</x:v>
      </x:c>
      <x:c r="AA563" s="14" t="str">
        <x:v>2333919831</x:v>
      </x:c>
      <x:c r="AB563" s="14" t="str">
        <x:v>2026-08-24</x:v>
      </x:c>
      <x:c r="AC563" s="14" t="str"/>
      <x:c r="AD563" s="20" t="str"/>
      <x:c r="AE563" s="14" t="str"/>
      <x:c r="AF563" s="14" t="n">
        <x:v>49</x:v>
      </x:c>
      <x:c r="AG563" s="14" t="str">
        <x:v>I3</x:v>
      </x:c>
      <x:c r="AH563" s="14" t="n">
        <x:v>1</x:v>
      </x:c>
      <x:c r="AI563" s="14" t="n">
        <x:v>1</x:v>
      </x:c>
      <x:c r="AJ563" s="18" t="n">
        <x:v>19805.2</x:v>
      </x:c>
      <x:c r="AK563" s="14" t="str">
        <x:v>https://prozorro.gov.ua/tender/UA-2026-08-14-005615-a</x:v>
      </x:c>
      <x:c r="AL563" s="19" t="n">
        <x:v>46248.40554746528</x:v>
      </x:c>
      <x:c r="AM563" s="19" t="n">
        <x:v>46387</x:v>
      </x:c>
      <x:c r="AN563" s="15" t="str">
        <x:v>HVAC / ОВіК</x:v>
      </x:c>
      <x:c r="AO563" s="15" t="str">
        <x:v>not_found_in_top_search</x:v>
      </x:c>
    </x:row>
    <x:row r="564">
      <x:c r="A564" s="14" t="str">
        <x:v>W3-292</x:v>
      </x:c>
      <x:c r="B564" s="14" t="str">
        <x:v>Prozorro winners — 24.08</x:v>
      </x:c>
      <x:c r="C564" s="14" t="str">
        <x:v>ФОП Чорнобай Ігор Анатолійович</x:v>
      </x:c>
      <x:c r="D564" s="14" t="str">
        <x:v>Електромонтаж</x:v>
      </x:c>
      <x:c r="E564" s="14" t="str">
        <x:v>Pilot now</x:v>
      </x:c>
      <x:c r="F564" s="17" t="str">
        <x:v>P3</x:v>
      </x:c>
      <x:c r="G564" s="14" t="str"/>
      <x:c r="H564" s="14" t="str">
        <x:v>Пілот зараз — Н.15</x:v>
      </x:c>
      <x:c r="I564" s="16" t="n">
        <x:v>5</x:v>
      </x:c>
      <x:c r="J564" s="16" t="n">
        <x:v>5</x:v>
      </x:c>
      <x:c r="K564" s="16" t="n">
        <x:v>5</x:v>
      </x:c>
      <x:c r="L564" s="16" t="n">
        <x:v>1</x:v>
      </x:c>
      <x:c r="M564" s="16" t="n">
        <x:v>5</x:v>
      </x:c>
      <x:c r="N564" s="16" t="n">
        <x:v>3</x:v>
      </x:c>
      <x:c r="O564" s="16" t="n">
        <x:v>5</x:v>
      </x:c>
      <x:c r="P564" s="16" t="n">
        <x:f>IF(COUNT(I564:O564)&lt;7,"",I564*8+J564*3+K564*2+L564*2+M564*2+N564*2+O564)</x:f>
        <x:v>88</x:v>
      </x:c>
      <x:c r="Q564" s="16" t="n">
        <x:f>IF(COUNT(J564:O564)&lt;6,"",J564*5+K564*4+M564*4+L564*3+N564*2+O564*2)</x:f>
        <x:v>84</x:v>
      </x:c>
      <x:c r="R564" s="14" t="str">
        <x:v>high</x:v>
      </x:c>
      <x:c r="S564" s="14" t="str">
        <x:v>official_prozorro_award_2025_2026</x:v>
      </x:c>
      <x:c r="T564" s="14" t="str">
        <x:v>official_prozorro_api</x:v>
      </x:c>
      <x:c r="U564" s="14" t="str">
        <x:v>Не контактували</x:v>
      </x:c>
      <x:c r="V564" s="15" t="str">
        <x:v>Персоналізований free-pilot outreach по UA-2026-08-24-005216-a; попросити 1 пакет Н.14/Н.15</x:v>
      </x:c>
      <x:c r="W564" s="15" t="str">
        <x:v>Власник / виконавець; відповідальний за договір</x:v>
      </x:c>
      <x:c r="X564" s="15" t="str">
        <x:v>1 підтверджених перемог/договорів у Prozorro на 19 600 грн; 1 проєктів зі строком виконання не раніше 24.08.2026.</x:v>
      </x:c>
      <x:c r="Y564" s="15" t="str">
        <x:v>Електромонтажні роботи з  влаштування електроживлення бойлерів; строк до 2026-08-31. Попросити один знеособлений пакет здачі за цим workflow.</x:v>
      </x:c>
      <x:c r="Z564" s="15" t="str">
        <x:v>https://prozorro.gov.ua/tender/UA-2026-08-24-005216-a</x:v>
      </x:c>
      <x:c r="AA564" s="14" t="str">
        <x:v>2420414479</x:v>
      </x:c>
      <x:c r="AB564" s="14" t="str">
        <x:v>2026-08-24</x:v>
      </x:c>
      <x:c r="AC564" s="14" t="str"/>
      <x:c r="AD564" s="20" t="str"/>
      <x:c r="AE564" s="14" t="str"/>
      <x:c r="AF564" s="14" t="n">
        <x:v>49</x:v>
      </x:c>
      <x:c r="AG564" s="14" t="str">
        <x:v>I3</x:v>
      </x:c>
      <x:c r="AH564" s="14" t="n">
        <x:v>1</x:v>
      </x:c>
      <x:c r="AI564" s="14" t="n">
        <x:v>1</x:v>
      </x:c>
      <x:c r="AJ564" s="18" t="n">
        <x:v>19600</x:v>
      </x:c>
      <x:c r="AK564" s="14" t="str">
        <x:v>https://prozorro.gov.ua/tender/UA-2026-08-24-005216-a</x:v>
      </x:c>
      <x:c r="AL564" s="19" t="n">
        <x:v>46258.42393379629</x:v>
      </x:c>
      <x:c r="AM564" s="19" t="n">
        <x:v>46265.425775462965</x:v>
      </x:c>
      <x:c r="AN564" s="15" t="str">
        <x:v>Електромонтаж</x:v>
      </x:c>
      <x:c r="AO564" s="15" t="str">
        <x:v>not_found_in_top_search</x:v>
      </x:c>
    </x:row>
    <x:row r="565">
      <x:c r="A565" s="14" t="str">
        <x:v>W3-293</x:v>
      </x:c>
      <x:c r="B565" s="14" t="str">
        <x:v>Prozorro winners — 24.08</x:v>
      </x:c>
      <x:c r="C565" s="14" t="str">
        <x:v>МЕЛЬНИЧУК БОРИС МИХАЙЛОВИЧ</x:v>
      </x:c>
      <x:c r="D565" s="14" t="str">
        <x:v>Газопостачання / котельні</x:v>
      </x:c>
      <x:c r="E565" s="14" t="str">
        <x:v>Expansion discovery</x:v>
      </x:c>
      <x:c r="F565" s="17" t="str">
        <x:v>D3</x:v>
      </x:c>
      <x:c r="G565" s="14" t="str"/>
      <x:c r="H565" s="14" t="str">
        <x:v>Discovery розширення — 2 тижні</x:v>
      </x:c>
      <x:c r="I565" s="16" t="n">
        <x:v>1</x:v>
      </x:c>
      <x:c r="J565" s="16" t="n">
        <x:v>5</x:v>
      </x:c>
      <x:c r="K565" s="16" t="n">
        <x:v>4</x:v>
      </x:c>
      <x:c r="L565" s="16" t="n">
        <x:v>1</x:v>
      </x:c>
      <x:c r="M565" s="16" t="n">
        <x:v>5</x:v>
      </x:c>
      <x:c r="N565" s="16" t="n">
        <x:v>3</x:v>
      </x:c>
      <x:c r="O565" s="16" t="n">
        <x:v>5</x:v>
      </x:c>
      <x:c r="P565" s="16" t="n">
        <x:f>IF(COUNT(I565:O565)&lt;7,"",I565*8+J565*3+K565*2+L565*2+M565*2+N565*2+O565)</x:f>
        <x:v>54</x:v>
      </x:c>
      <x:c r="Q565" s="16" t="n">
        <x:f>IF(COUNT(J565:O565)&lt;6,"",J565*5+K565*4+M565*4+L565*3+N565*2+O565*2)</x:f>
        <x:v>80</x:v>
      </x:c>
      <x:c r="R565" s="14" t="str">
        <x:v>high</x:v>
      </x:c>
      <x:c r="S565" s="14" t="str">
        <x:v>official_prozorro_award_2025_2026</x:v>
      </x:c>
      <x:c r="T565" s="14" t="str">
        <x:v>official_prozorro_api</x:v>
      </x:c>
      <x:c r="U565" s="14" t="str">
        <x:v>Не контактували</x:v>
      </x:c>
      <x:c r="V565" s="15" t="str">
        <x:v>Workflow-audit outreach по UA-2026-07-27-004333-a; попросити 1 пакет здачі та вимоги проєкту</x:v>
      </x:c>
      <x:c r="W565" s="15" t="str">
        <x:v>Власник / виконавець; відповідальний за договір</x:v>
      </x:c>
      <x:c r="X565" s="15" t="str">
        <x:v>1 підтверджених перемог/договорів у Prozorro на 17 810 грн; 1 проєктів зі строком виконання не раніше 24.08.2026.</x:v>
      </x:c>
      <x:c r="Y565" s="15" t="str">
        <x:v>Послуги по монтажу та налаштуванню роботи установки підготовки води в приміщенні котельні; строк до 2026-12-31. Попросити один знеособлений пакет здачі за цим workflow.</x:v>
      </x:c>
      <x:c r="Z565" s="15" t="str">
        <x:v>https://prozorro.gov.ua/tender/UA-2026-07-27-004333-a</x:v>
      </x:c>
      <x:c r="AA565" s="14" t="str">
        <x:v>2162304537</x:v>
      </x:c>
      <x:c r="AB565" s="14" t="str">
        <x:v>2026-08-24</x:v>
      </x:c>
      <x:c r="AC565" s="14" t="str"/>
      <x:c r="AD565" s="20" t="str"/>
      <x:c r="AE565" s="14" t="str"/>
      <x:c r="AF565" s="14" t="n">
        <x:v>49</x:v>
      </x:c>
      <x:c r="AG565" s="14" t="str">
        <x:v>I3</x:v>
      </x:c>
      <x:c r="AH565" s="14" t="n">
        <x:v>1</x:v>
      </x:c>
      <x:c r="AI565" s="14" t="n">
        <x:v>1</x:v>
      </x:c>
      <x:c r="AJ565" s="18" t="n">
        <x:v>17810</x:v>
      </x:c>
      <x:c r="AK565" s="14" t="str">
        <x:v>https://prozorro.gov.ua/tender/UA-2026-07-27-004333-a</x:v>
      </x:c>
      <x:c r="AL565" s="19" t="n">
        <x:v>46230.387015671295</x:v>
      </x:c>
      <x:c r="AM565" s="19" t="n">
        <x:v>46387</x:v>
      </x:c>
      <x:c r="AN565" s="15" t="str">
        <x:v>Газопостачання / котельні</x:v>
      </x:c>
      <x:c r="AO565" s="15" t="str">
        <x:v>not_found_in_top_search</x:v>
      </x:c>
    </x:row>
    <x:row r="566">
      <x:c r="A566" s="14" t="str">
        <x:v>W3-294</x:v>
      </x:c>
      <x:c r="B566" s="14" t="str">
        <x:v>Prozorro winners — 24.08</x:v>
      </x:c>
      <x:c r="C566" s="14" t="str">
        <x:v>КРЕПС КОСТЯНТИН ЛЕОНІДОВИЧ</x:v>
      </x:c>
      <x:c r="D566" s="14" t="str">
        <x:v>HVAC / ОВіК</x:v>
      </x:c>
      <x:c r="E566" s="14" t="str">
        <x:v>Pilot now</x:v>
      </x:c>
      <x:c r="F566" s="17" t="str">
        <x:v>P3</x:v>
      </x:c>
      <x:c r="G566" s="14" t="str"/>
      <x:c r="H566" s="14" t="str">
        <x:v>Пілот зараз — Н.14</x:v>
      </x:c>
      <x:c r="I566" s="16" t="n">
        <x:v>5</x:v>
      </x:c>
      <x:c r="J566" s="16" t="n">
        <x:v>5</x:v>
      </x:c>
      <x:c r="K566" s="16" t="n">
        <x:v>5</x:v>
      </x:c>
      <x:c r="L566" s="16" t="n">
        <x:v>1</x:v>
      </x:c>
      <x:c r="M566" s="16" t="n">
        <x:v>5</x:v>
      </x:c>
      <x:c r="N566" s="16" t="n">
        <x:v>3</x:v>
      </x:c>
      <x:c r="O566" s="16" t="n">
        <x:v>5</x:v>
      </x:c>
      <x:c r="P566" s="16" t="n">
        <x:f>IF(COUNT(I566:O566)&lt;7,"",I566*8+J566*3+K566*2+L566*2+M566*2+N566*2+O566)</x:f>
        <x:v>88</x:v>
      </x:c>
      <x:c r="Q566" s="16" t="n">
        <x:f>IF(COUNT(J566:O566)&lt;6,"",J566*5+K566*4+M566*4+L566*3+N566*2+O566*2)</x:f>
        <x:v>84</x:v>
      </x:c>
      <x:c r="R566" s="14" t="str">
        <x:v>high</x:v>
      </x:c>
      <x:c r="S566" s="14" t="str">
        <x:v>official_prozorro_award_2025_2026</x:v>
      </x:c>
      <x:c r="T566" s="14" t="str">
        <x:v>official_prozorro_api</x:v>
      </x:c>
      <x:c r="U566" s="14" t="str">
        <x:v>Не контактували</x:v>
      </x:c>
      <x:c r="V566" s="15" t="str">
        <x:v>Персоналізований free-pilot outreach по UA-2026-07-16-004547-a; попросити 1 пакет Н.14/Н.15</x:v>
      </x:c>
      <x:c r="W566" s="15" t="str">
        <x:v>Власник / виконавець; відповідальний за договір</x:v>
      </x:c>
      <x:c r="X566" s="15" t="str">
        <x:v>1 підтверджених перемог/договорів у Prozorro на 16 992 грн; 1 проєктів зі строком виконання не раніше 24.08.2026.</x:v>
      </x:c>
      <x:c r="Y566" s="15" t="str">
        <x:v>Послуги з монтажу системи кондиціонування та вентиляції; строк до 2026-12-31. Попросити один знеособлений пакет здачі за цим workflow.</x:v>
      </x:c>
      <x:c r="Z566" s="15" t="str">
        <x:v>https://prozorro.gov.ua/tender/UA-2026-07-16-004547-a</x:v>
      </x:c>
      <x:c r="AA566" s="14" t="str">
        <x:v>3101901393</x:v>
      </x:c>
      <x:c r="AB566" s="14" t="str">
        <x:v>2026-08-24</x:v>
      </x:c>
      <x:c r="AC566" s="14" t="str"/>
      <x:c r="AD566" s="20" t="str"/>
      <x:c r="AE566" s="14" t="str"/>
      <x:c r="AF566" s="14" t="n">
        <x:v>49</x:v>
      </x:c>
      <x:c r="AG566" s="14" t="str">
        <x:v>I3</x:v>
      </x:c>
      <x:c r="AH566" s="14" t="n">
        <x:v>1</x:v>
      </x:c>
      <x:c r="AI566" s="14" t="n">
        <x:v>1</x:v>
      </x:c>
      <x:c r="AJ566" s="18" t="n">
        <x:v>16992</x:v>
      </x:c>
      <x:c r="AK566" s="14" t="str">
        <x:v>https://prozorro.gov.ua/tender/UA-2026-07-16-004547-a</x:v>
      </x:c>
      <x:c r="AL566" s="19" t="n">
        <x:v>46219.391331203704</x:v>
      </x:c>
      <x:c r="AM566" s="19" t="n">
        <x:v>46387</x:v>
      </x:c>
      <x:c r="AN566" s="15" t="str">
        <x:v>HVAC / ОВіК</x:v>
      </x:c>
      <x:c r="AO566" s="15" t="str">
        <x:v>not_found_in_top_search</x:v>
      </x:c>
    </x:row>
    <x:row r="567">
      <x:c r="A567" s="14" t="str">
        <x:v>W3-295</x:v>
      </x:c>
      <x:c r="B567" s="14" t="str">
        <x:v>Prozorro winners — 24.08</x:v>
      </x:c>
      <x:c r="C567" s="14" t="str">
        <x:v>Фізична особа-підприємець Кравченко Юлія Миколаївна</x:v>
      </x:c>
      <x:c r="D567" s="14" t="str">
        <x:v>Безпека / СКУД / CCTV</x:v>
      </x:c>
      <x:c r="E567" s="14" t="str">
        <x:v>Expansion discovery</x:v>
      </x:c>
      <x:c r="F567" s="17" t="str">
        <x:v>D3</x:v>
      </x:c>
      <x:c r="G567" s="14" t="str"/>
      <x:c r="H567" s="14" t="str">
        <x:v>Discovery розширення — 2 тижні</x:v>
      </x:c>
      <x:c r="I567" s="16" t="n">
        <x:v>1</x:v>
      </x:c>
      <x:c r="J567" s="16" t="n">
        <x:v>5</x:v>
      </x:c>
      <x:c r="K567" s="16" t="n">
        <x:v>4</x:v>
      </x:c>
      <x:c r="L567" s="16" t="n">
        <x:v>1</x:v>
      </x:c>
      <x:c r="M567" s="16" t="n">
        <x:v>5</x:v>
      </x:c>
      <x:c r="N567" s="16" t="n">
        <x:v>3</x:v>
      </x:c>
      <x:c r="O567" s="16" t="n">
        <x:v>5</x:v>
      </x:c>
      <x:c r="P567" s="16" t="n">
        <x:f>IF(COUNT(I567:O567)&lt;7,"",I567*8+J567*3+K567*2+L567*2+M567*2+N567*2+O567)</x:f>
        <x:v>54</x:v>
      </x:c>
      <x:c r="Q567" s="16" t="n">
        <x:f>IF(COUNT(J567:O567)&lt;6,"",J567*5+K567*4+M567*4+L567*3+N567*2+O567*2)</x:f>
        <x:v>80</x:v>
      </x:c>
      <x:c r="R567" s="14" t="str">
        <x:v>high</x:v>
      </x:c>
      <x:c r="S567" s="14" t="str">
        <x:v>official_prozorro_award_2025_2026</x:v>
      </x:c>
      <x:c r="T567" s="14" t="str">
        <x:v>official_prozorro_api</x:v>
      </x:c>
      <x:c r="U567" s="14" t="str">
        <x:v>Не контактували</x:v>
      </x:c>
      <x:c r="V567" s="15" t="str">
        <x:v>Workflow-audit outreach по UA-2026-07-29-010910-a; попросити 1 пакет здачі та вимоги проєкту</x:v>
      </x:c>
      <x:c r="W567" s="15" t="str">
        <x:v>Власник / виконавець; відповідальний за договір</x:v>
      </x:c>
      <x:c r="X567" s="15" t="str">
        <x:v>1 підтверджених перемог/договорів у Prozorro на 16 850 грн; 1 проєктів зі строком виконання не раніше 24.08.2026.</x:v>
      </x:c>
      <x:c r="Y567" s="15" t="str">
        <x:v>Монтаж системи відеоспостереження; строк до 2026-12-31. Попросити один знеособлений пакет здачі за цим workflow.</x:v>
      </x:c>
      <x:c r="Z567" s="15" t="str">
        <x:v>https://prozorro.gov.ua/tender/UA-2026-07-29-010910-a</x:v>
      </x:c>
      <x:c r="AA567" s="14" t="str">
        <x:v>3034523404</x:v>
      </x:c>
      <x:c r="AB567" s="14" t="str">
        <x:v>2026-08-24</x:v>
      </x:c>
      <x:c r="AC567" s="14" t="str"/>
      <x:c r="AD567" s="20" t="str"/>
      <x:c r="AE567" s="14" t="str"/>
      <x:c r="AF567" s="14" t="n">
        <x:v>49</x:v>
      </x:c>
      <x:c r="AG567" s="14" t="str">
        <x:v>I3</x:v>
      </x:c>
      <x:c r="AH567" s="14" t="n">
        <x:v>1</x:v>
      </x:c>
      <x:c r="AI567" s="14" t="n">
        <x:v>1</x:v>
      </x:c>
      <x:c r="AJ567" s="18" t="n">
        <x:v>16850</x:v>
      </x:c>
      <x:c r="AK567" s="14" t="str">
        <x:v>https://prozorro.gov.ua/tender/UA-2026-07-29-010910-a</x:v>
      </x:c>
      <x:c r="AL567" s="19" t="n">
        <x:v>46232.629361875</x:v>
      </x:c>
      <x:c r="AM567" s="19" t="n">
        <x:v>46387.673368055555</x:v>
      </x:c>
      <x:c r="AN567" s="15" t="str">
        <x:v>Безпека / СКУД / CCTV</x:v>
      </x:c>
      <x:c r="AO567" s="15" t="str">
        <x:v>not_found_in_top_search</x:v>
      </x:c>
    </x:row>
    <x:row r="568">
      <x:c r="A568" s="14" t="str">
        <x:v>W3-296</x:v>
      </x:c>
      <x:c r="B568" s="14" t="str">
        <x:v>Prozorro winners — 24.08</x:v>
      </x:c>
      <x:c r="C568" s="14" t="str">
        <x:v>РУДЕНКО ВІТАЛІЙ ВАСИЛЬОВИЧ</x:v>
      </x:c>
      <x:c r="D568" s="14" t="str">
        <x:v>HVAC / ОВіК</x:v>
      </x:c>
      <x:c r="E568" s="14" t="str">
        <x:v>Pilot now</x:v>
      </x:c>
      <x:c r="F568" s="17" t="str">
        <x:v>P3</x:v>
      </x:c>
      <x:c r="G568" s="14" t="str"/>
      <x:c r="H568" s="14" t="str">
        <x:v>Пілот зараз — Н.14</x:v>
      </x:c>
      <x:c r="I568" s="16" t="n">
        <x:v>5</x:v>
      </x:c>
      <x:c r="J568" s="16" t="n">
        <x:v>5</x:v>
      </x:c>
      <x:c r="K568" s="16" t="n">
        <x:v>5</x:v>
      </x:c>
      <x:c r="L568" s="16" t="n">
        <x:v>1</x:v>
      </x:c>
      <x:c r="M568" s="16" t="n">
        <x:v>5</x:v>
      </x:c>
      <x:c r="N568" s="16" t="n">
        <x:v>3</x:v>
      </x:c>
      <x:c r="O568" s="16" t="n">
        <x:v>5</x:v>
      </x:c>
      <x:c r="P568" s="16" t="n">
        <x:f>IF(COUNT(I568:O568)&lt;7,"",I568*8+J568*3+K568*2+L568*2+M568*2+N568*2+O568)</x:f>
        <x:v>88</x:v>
      </x:c>
      <x:c r="Q568" s="16" t="n">
        <x:f>IF(COUNT(J568:O568)&lt;6,"",J568*5+K568*4+M568*4+L568*3+N568*2+O568*2)</x:f>
        <x:v>84</x:v>
      </x:c>
      <x:c r="R568" s="14" t="str">
        <x:v>high</x:v>
      </x:c>
      <x:c r="S568" s="14" t="str">
        <x:v>official_prozorro_award_2025_2026</x:v>
      </x:c>
      <x:c r="T568" s="14" t="str">
        <x:v>official_prozorro_api</x:v>
      </x:c>
      <x:c r="U568" s="14" t="str">
        <x:v>Не контактували</x:v>
      </x:c>
      <x:c r="V568" s="15" t="str">
        <x:v>Персоналізований free-pilot outreach по UA-2026-08-06-010642-a; попросити 1 пакет Н.14/Н.15</x:v>
      </x:c>
      <x:c r="W568" s="15" t="str">
        <x:v>Власник / виконавець; відповідальний за договір</x:v>
      </x:c>
      <x:c r="X568" s="15" t="str">
        <x:v>1 підтверджених перемог/договорів у Prozorro на 14 700 грн; 1 проєктів зі строком виконання не раніше 24.08.2026.</x:v>
      </x:c>
      <x:c r="Y568"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 строк до 2026-10-15. Попросити один знеособлений пакет здачі за цим workflow.</x:v>
      </x:c>
      <x:c r="Z568" s="15" t="str">
        <x:v>https://prozorro.gov.ua/tender/UA-2026-08-06-010642-a</x:v>
      </x:c>
      <x:c r="AA568" s="14" t="str">
        <x:v>3019104154</x:v>
      </x:c>
      <x:c r="AB568" s="14" t="str">
        <x:v>2026-08-24</x:v>
      </x:c>
      <x:c r="AC568" s="14" t="str"/>
      <x:c r="AD568" s="20" t="str"/>
      <x:c r="AE568" s="14" t="str"/>
      <x:c r="AF568" s="14" t="n">
        <x:v>49</x:v>
      </x:c>
      <x:c r="AG568" s="14" t="str">
        <x:v>I3</x:v>
      </x:c>
      <x:c r="AH568" s="14" t="n">
        <x:v>1</x:v>
      </x:c>
      <x:c r="AI568" s="14" t="n">
        <x:v>1</x:v>
      </x:c>
      <x:c r="AJ568" s="18" t="n">
        <x:v>14700</x:v>
      </x:c>
      <x:c r="AK568" s="14" t="str">
        <x:v>https://prozorro.gov.ua/tender/UA-2026-08-06-010642-a</x:v>
      </x:c>
      <x:c r="AL568" s="19" t="n">
        <x:v>46240.571095162035</x:v>
      </x:c>
      <x:c r="AM568" s="19" t="n">
        <x:v>46310</x:v>
      </x:c>
      <x:c r="AN568" s="15" t="str">
        <x:v>HVAC / ОВіК</x:v>
      </x:c>
      <x:c r="AO568" s="15" t="str">
        <x:v>not_found_in_top_search</x:v>
      </x:c>
    </x:row>
    <x:row r="569">
      <x:c r="A569" s="14" t="str">
        <x:v>W3-297</x:v>
      </x:c>
      <x:c r="B569" s="14" t="str">
        <x:v>Prozorro winners — 24.08</x:v>
      </x:c>
      <x:c r="C569" s="14" t="str">
        <x:v>ФОП Богоніс Юрій Романович</x:v>
      </x:c>
      <x:c r="D569" s="14" t="str">
        <x:v>Електромонтаж</x:v>
      </x:c>
      <x:c r="E569" s="14" t="str">
        <x:v>Pilot now</x:v>
      </x:c>
      <x:c r="F569" s="17" t="str">
        <x:v>P3</x:v>
      </x:c>
      <x:c r="G569" s="14" t="str"/>
      <x:c r="H569" s="14" t="str">
        <x:v>Пілот зараз — Н.15</x:v>
      </x:c>
      <x:c r="I569" s="16" t="n">
        <x:v>5</x:v>
      </x:c>
      <x:c r="J569" s="16" t="n">
        <x:v>5</x:v>
      </x:c>
      <x:c r="K569" s="16" t="n">
        <x:v>5</x:v>
      </x:c>
      <x:c r="L569" s="16" t="n">
        <x:v>1</x:v>
      </x:c>
      <x:c r="M569" s="16" t="n">
        <x:v>5</x:v>
      </x:c>
      <x:c r="N569" s="16" t="n">
        <x:v>3</x:v>
      </x:c>
      <x:c r="O569" s="16" t="n">
        <x:v>5</x:v>
      </x:c>
      <x:c r="P569" s="16" t="n">
        <x:f>IF(COUNT(I569:O569)&lt;7,"",I569*8+J569*3+K569*2+L569*2+M569*2+N569*2+O569)</x:f>
        <x:v>88</x:v>
      </x:c>
      <x:c r="Q569" s="16" t="n">
        <x:f>IF(COUNT(J569:O569)&lt;6,"",J569*5+K569*4+M569*4+L569*3+N569*2+O569*2)</x:f>
        <x:v>84</x:v>
      </x:c>
      <x:c r="R569" s="14" t="str">
        <x:v>high</x:v>
      </x:c>
      <x:c r="S569" s="14" t="str">
        <x:v>official_prozorro_award_2025_2026</x:v>
      </x:c>
      <x:c r="T569" s="14" t="str">
        <x:v>official_prozorro_api</x:v>
      </x:c>
      <x:c r="U569" s="14" t="str">
        <x:v>Не контактували</x:v>
      </x:c>
      <x:c r="V569" s="15" t="str">
        <x:v>Персоналізований free-pilot outreach по UA-2026-07-23-010224-a; попросити 1 пакет Н.14/Н.15</x:v>
      </x:c>
      <x:c r="W569" s="15" t="str">
        <x:v>Власник / виконавець; відповідальний за договір</x:v>
      </x:c>
      <x:c r="X569" s="15" t="str">
        <x:v>1 підтверджених перемог/договорів у Prozorro на 14 500 грн; 1 проєктів зі строком виконання не раніше 24.08.2026.</x:v>
      </x:c>
      <x:c r="Y569" s="15" t="str">
        <x:v>Електромонтажні роботи; строк до 2026-12-31. Попросити один знеособлений пакет здачі за цим workflow.</x:v>
      </x:c>
      <x:c r="Z569" s="15" t="str">
        <x:v>https://prozorro.gov.ua/tender/UA-2026-07-23-010224-a</x:v>
      </x:c>
      <x:c r="AA569" s="14" t="str">
        <x:v>3768310975</x:v>
      </x:c>
      <x:c r="AB569" s="14" t="str">
        <x:v>2026-08-24</x:v>
      </x:c>
      <x:c r="AC569" s="14" t="str"/>
      <x:c r="AD569" s="20" t="str"/>
      <x:c r="AE569" s="14" t="str"/>
      <x:c r="AF569" s="14" t="n">
        <x:v>49</x:v>
      </x:c>
      <x:c r="AG569" s="14" t="str">
        <x:v>I3</x:v>
      </x:c>
      <x:c r="AH569" s="14" t="n">
        <x:v>1</x:v>
      </x:c>
      <x:c r="AI569" s="14" t="n">
        <x:v>1</x:v>
      </x:c>
      <x:c r="AJ569" s="18" t="n">
        <x:v>14500</x:v>
      </x:c>
      <x:c r="AK569" s="14" t="str">
        <x:v>https://prozorro.gov.ua/tender/UA-2026-07-23-010224-a</x:v>
      </x:c>
      <x:c r="AL569" s="19" t="n">
        <x:v>46226.547773101855</x:v>
      </x:c>
      <x:c r="AM569" s="19" t="n">
        <x:v>46387.591365740744</x:v>
      </x:c>
      <x:c r="AN569" s="15" t="str">
        <x:v>Електромонтаж</x:v>
      </x:c>
      <x:c r="AO569" s="15" t="str">
        <x:v>not_found_in_top_search</x:v>
      </x:c>
    </x:row>
    <x:row r="570">
      <x:c r="A570" s="14" t="str">
        <x:v>W3-298</x:v>
      </x:c>
      <x:c r="B570" s="14" t="str">
        <x:v>Prozorro winners — 24.08</x:v>
      </x:c>
      <x:c r="C570" s="14" t="str">
        <x:v>КАРПЕНКО СЕРГІЙ МИКОЛАЙОВИЧ</x:v>
      </x:c>
      <x:c r="D570" s="14" t="str">
        <x:v>Водоочищення / очисні споруди</x:v>
      </x:c>
      <x:c r="E570" s="14" t="str">
        <x:v>Expansion discovery</x:v>
      </x:c>
      <x:c r="F570" s="17" t="str">
        <x:v>D3</x:v>
      </x:c>
      <x:c r="G570" s="14" t="str"/>
      <x:c r="H570" s="14" t="str">
        <x:v>Discovery розширення — 2 тижні</x:v>
      </x:c>
      <x:c r="I570" s="16" t="n">
        <x:v>1</x:v>
      </x:c>
      <x:c r="J570" s="16" t="n">
        <x:v>5</x:v>
      </x:c>
      <x:c r="K570" s="16" t="n">
        <x:v>4</x:v>
      </x:c>
      <x:c r="L570" s="16" t="n">
        <x:v>1</x:v>
      </x:c>
      <x:c r="M570" s="16" t="n">
        <x:v>5</x:v>
      </x:c>
      <x:c r="N570" s="16" t="n">
        <x:v>3</x:v>
      </x:c>
      <x:c r="O570" s="16" t="n">
        <x:v>5</x:v>
      </x:c>
      <x:c r="P570" s="16" t="n">
        <x:f>IF(COUNT(I570:O570)&lt;7,"",I570*8+J570*3+K570*2+L570*2+M570*2+N570*2+O570)</x:f>
        <x:v>54</x:v>
      </x:c>
      <x:c r="Q570" s="16" t="n">
        <x:f>IF(COUNT(J570:O570)&lt;6,"",J570*5+K570*4+M570*4+L570*3+N570*2+O570*2)</x:f>
        <x:v>80</x:v>
      </x:c>
      <x:c r="R570" s="14" t="str">
        <x:v>high</x:v>
      </x:c>
      <x:c r="S570" s="14" t="str">
        <x:v>official_prozorro_award_2025_2026</x:v>
      </x:c>
      <x:c r="T570" s="14" t="str">
        <x:v>official_prozorro_api</x:v>
      </x:c>
      <x:c r="U570" s="14" t="str">
        <x:v>Не контактували</x:v>
      </x:c>
      <x:c r="V570" s="15" t="str">
        <x:v>Workflow-audit outreach по UA-2026-07-14-011049-a; попросити 1 пакет здачі та вимоги проєкту</x:v>
      </x:c>
      <x:c r="W570" s="15" t="str">
        <x:v>Власник / виконавець; відповідальний за договір</x:v>
      </x:c>
      <x:c r="X570" s="15" t="str">
        <x:v>1 підтверджених перемог/договорів у Prozorro на 13 650 грн; 1 проєктів зі строком виконання не раніше 24.08.2026.</x:v>
      </x:c>
      <x:c r="Y570"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 строк до 2026-12-31. Попросити один знеособлений пакет здачі за цим workflow.</x:v>
      </x:c>
      <x:c r="Z570" s="15" t="str">
        <x:v>https://prozorro.gov.ua/tender/UA-2026-07-14-011049-a</x:v>
      </x:c>
      <x:c r="AA570" s="14" t="str">
        <x:v>2821711877</x:v>
      </x:c>
      <x:c r="AB570" s="14" t="str">
        <x:v>2026-08-24</x:v>
      </x:c>
      <x:c r="AC570" s="14" t="str"/>
      <x:c r="AD570" s="20" t="str"/>
      <x:c r="AE570" s="14" t="str"/>
      <x:c r="AF570" s="14" t="n">
        <x:v>49</x:v>
      </x:c>
      <x:c r="AG570" s="14" t="str">
        <x:v>I3</x:v>
      </x:c>
      <x:c r="AH570" s="14" t="n">
        <x:v>1</x:v>
      </x:c>
      <x:c r="AI570" s="14" t="n">
        <x:v>1</x:v>
      </x:c>
      <x:c r="AJ570" s="18" t="n">
        <x:v>13650</x:v>
      </x:c>
      <x:c r="AK570" s="14" t="str">
        <x:v>https://prozorro.gov.ua/tender/UA-2026-07-14-011049-a</x:v>
      </x:c>
      <x:c r="AL570" s="19" t="n">
        <x:v>46217.56952267361</x:v>
      </x:c>
      <x:c r="AM570" s="19" t="n">
        <x:v>46387</x:v>
      </x:c>
      <x:c r="AN570" s="15" t="str">
        <x:v>Водоочищення / очисні споруди</x:v>
      </x:c>
      <x:c r="AO570" s="15" t="str">
        <x:v>not_found_in_top_search</x:v>
      </x:c>
    </x:row>
    <x:row r="571">
      <x:c r="A571" s="14" t="str">
        <x:v>W3-299</x:v>
      </x:c>
      <x:c r="B571" s="14" t="str">
        <x:v>Prozorro winners — 24.08</x:v>
      </x:c>
      <x:c r="C571" s="14" t="str">
        <x:v>ФОП Курєнков Сергій Олександрович</x:v>
      </x:c>
      <x:c r="D571" s="14" t="str">
        <x:v>Безпека / СКУД / CCTV</x:v>
      </x:c>
      <x:c r="E571" s="14" t="str">
        <x:v>Expansion discovery</x:v>
      </x:c>
      <x:c r="F571" s="17" t="str">
        <x:v>D3</x:v>
      </x:c>
      <x:c r="G571" s="14" t="str"/>
      <x:c r="H571" s="14" t="str">
        <x:v>Discovery розширення — 2 тижні</x:v>
      </x:c>
      <x:c r="I571" s="16" t="n">
        <x:v>1</x:v>
      </x:c>
      <x:c r="J571" s="16" t="n">
        <x:v>5</x:v>
      </x:c>
      <x:c r="K571" s="16" t="n">
        <x:v>4</x:v>
      </x:c>
      <x:c r="L571" s="16" t="n">
        <x:v>1</x:v>
      </x:c>
      <x:c r="M571" s="16" t="n">
        <x:v>5</x:v>
      </x:c>
      <x:c r="N571" s="16" t="n">
        <x:v>3</x:v>
      </x:c>
      <x:c r="O571" s="16" t="n">
        <x:v>5</x:v>
      </x:c>
      <x:c r="P571" s="16" t="n">
        <x:f>IF(COUNT(I571:O571)&lt;7,"",I571*8+J571*3+K571*2+L571*2+M571*2+N571*2+O571)</x:f>
        <x:v>54</x:v>
      </x:c>
      <x:c r="Q571" s="16" t="n">
        <x:f>IF(COUNT(J571:O571)&lt;6,"",J571*5+K571*4+M571*4+L571*3+N571*2+O571*2)</x:f>
        <x:v>80</x:v>
      </x:c>
      <x:c r="R571" s="14" t="str">
        <x:v>high</x:v>
      </x:c>
      <x:c r="S571" s="14" t="str">
        <x:v>official_prozorro_award_2025_2026</x:v>
      </x:c>
      <x:c r="T571" s="14" t="str">
        <x:v>official_prozorro_api</x:v>
      </x:c>
      <x:c r="U571" s="14" t="str">
        <x:v>Не контактували</x:v>
      </x:c>
      <x:c r="V571" s="15" t="str">
        <x:v>Workflow-audit outreach по UA-2026-07-22-007424-a; попросити 1 пакет здачі та вимоги проєкту</x:v>
      </x:c>
      <x:c r="W571" s="15" t="str">
        <x:v>Власник / виконавець; відповідальний за договір</x:v>
      </x:c>
      <x:c r="X571" s="15" t="str">
        <x:v>1 підтверджених перемог/договорів у Prozorro на 9 850 грн; 1 проєктів зі строком виконання не раніше 24.08.2026.</x:v>
      </x:c>
      <x:c r="Y571" s="15" t="str">
        <x:v>Послуги з монтажу системи відеоспостереження; строк до 2026-09-01. Попросити один знеособлений пакет здачі за цим workflow.</x:v>
      </x:c>
      <x:c r="Z571" s="15" t="str">
        <x:v>https://prozorro.gov.ua/tender/UA-2026-07-22-007424-a</x:v>
      </x:c>
      <x:c r="AA571" s="14" t="str">
        <x:v>3169902736</x:v>
      </x:c>
      <x:c r="AB571" s="14" t="str">
        <x:v>2026-08-24</x:v>
      </x:c>
      <x:c r="AC571" s="14" t="str"/>
      <x:c r="AD571" s="20" t="str"/>
      <x:c r="AE571" s="14" t="str"/>
      <x:c r="AF571" s="14" t="n">
        <x:v>49</x:v>
      </x:c>
      <x:c r="AG571" s="14" t="str">
        <x:v>I3</x:v>
      </x:c>
      <x:c r="AH571" s="14" t="n">
        <x:v>1</x:v>
      </x:c>
      <x:c r="AI571" s="14" t="n">
        <x:v>1</x:v>
      </x:c>
      <x:c r="AJ571" s="18" t="n">
        <x:v>9850</x:v>
      </x:c>
      <x:c r="AK571" s="14" t="str">
        <x:v>https://prozorro.gov.ua/tender/UA-2026-07-22-007424-a</x:v>
      </x:c>
      <x:c r="AL571" s="19" t="n">
        <x:v>46225.49115436342</x:v>
      </x:c>
      <x:c r="AM571" s="19" t="n">
        <x:v>46266.493113425924</x:v>
      </x:c>
      <x:c r="AN571" s="15" t="str">
        <x:v>Безпека / СКУД / CCTV</x:v>
      </x:c>
      <x:c r="AO571" s="15" t="str">
        <x:v>not_found_in_top_search</x:v>
      </x:c>
    </x:row>
    <x:row r="572">
      <x:c r="A572" s="14" t="str">
        <x:v>W3-300</x:v>
      </x:c>
      <x:c r="B572" s="14" t="str">
        <x:v>Prozorro winners — 24.08</x:v>
      </x:c>
      <x:c r="C572" s="14" t="str">
        <x:v>Макаров Сергій Вадимович</x:v>
      </x:c>
      <x:c r="D572" s="14" t="str">
        <x:v>Технологічні трубопроводи</x:v>
      </x:c>
      <x:c r="E572" s="14" t="str">
        <x:v>Expansion discovery</x:v>
      </x:c>
      <x:c r="F572" s="17" t="str">
        <x:v>D3</x:v>
      </x:c>
      <x:c r="G572" s="14" t="str"/>
      <x:c r="H572" s="14" t="str">
        <x:v>Discovery розширення — 2 тижні</x:v>
      </x:c>
      <x:c r="I572" s="16" t="n">
        <x:v>1</x:v>
      </x:c>
      <x:c r="J572" s="16" t="n">
        <x:v>5</x:v>
      </x:c>
      <x:c r="K572" s="16" t="n">
        <x:v>4</x:v>
      </x:c>
      <x:c r="L572" s="16" t="n">
        <x:v>1</x:v>
      </x:c>
      <x:c r="M572" s="16" t="n">
        <x:v>5</x:v>
      </x:c>
      <x:c r="N572" s="16" t="n">
        <x:v>3</x:v>
      </x:c>
      <x:c r="O572" s="16" t="n">
        <x:v>5</x:v>
      </x:c>
      <x:c r="P572" s="16" t="n">
        <x:f>IF(COUNT(I572:O572)&lt;7,"",I572*8+J572*3+K572*2+L572*2+M572*2+N572*2+O572)</x:f>
        <x:v>54</x:v>
      </x:c>
      <x:c r="Q572" s="16" t="n">
        <x:f>IF(COUNT(J572:O572)&lt;6,"",J572*5+K572*4+M572*4+L572*3+N572*2+O572*2)</x:f>
        <x:v>80</x:v>
      </x:c>
      <x:c r="R572" s="14" t="str">
        <x:v>high</x:v>
      </x:c>
      <x:c r="S572" s="14" t="str">
        <x:v>official_prozorro_award_2025_2026</x:v>
      </x:c>
      <x:c r="T572" s="14" t="str">
        <x:v>official_prozorro_api</x:v>
      </x:c>
      <x:c r="U572" s="14" t="str">
        <x:v>Не контактували</x:v>
      </x:c>
      <x:c r="V572" s="15" t="str">
        <x:v>Workflow-audit outreach по UA-2026-08-18-010605-a; попросити 1 пакет здачі та вимоги проєкту</x:v>
      </x:c>
      <x:c r="W572" s="15" t="str">
        <x:v>Власник / виконавець; відповідальний за договір</x:v>
      </x:c>
      <x:c r="X572" s="15" t="str">
        <x:v>1 підтверджених перемог/договорів у Prozorro на 9 799 грн; 1 проєктів зі строком виконання не раніше 24.08.2026.</x:v>
      </x:c>
      <x:c r="Y572"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 строк до 2026-12-10. Попросити один знеособлений пакет здачі за цим workflow.</x:v>
      </x:c>
      <x:c r="Z572" s="15" t="str">
        <x:v>https://prozorro.gov.ua/tender/UA-2026-08-18-010605-a</x:v>
      </x:c>
      <x:c r="AA572" s="14" t="str">
        <x:v>2858805352</x:v>
      </x:c>
      <x:c r="AB572" s="14" t="str">
        <x:v>2026-08-24</x:v>
      </x:c>
      <x:c r="AC572" s="14" t="str"/>
      <x:c r="AD572" s="20" t="str"/>
      <x:c r="AE572" s="14" t="str"/>
      <x:c r="AF572" s="14" t="n">
        <x:v>49</x:v>
      </x:c>
      <x:c r="AG572" s="14" t="str">
        <x:v>I3</x:v>
      </x:c>
      <x:c r="AH572" s="14" t="n">
        <x:v>1</x:v>
      </x:c>
      <x:c r="AI572" s="14" t="n">
        <x:v>1</x:v>
      </x:c>
      <x:c r="AJ572" s="18" t="n">
        <x:v>9798.8</x:v>
      </x:c>
      <x:c r="AK572" s="14" t="str">
        <x:v>https://prozorro.gov.ua/tender/UA-2026-08-18-010605-a</x:v>
      </x:c>
      <x:c r="AL572" s="19" t="n">
        <x:v>46252.551709074076</x:v>
      </x:c>
      <x:c r="AM572" s="19" t="n">
        <x:v>46366</x:v>
      </x:c>
      <x:c r="AN572" s="15" t="str">
        <x:v>Технологічні трубопроводи</x:v>
      </x:c>
      <x:c r="AO572" s="15" t="str">
        <x:v>not_found_in_top_search</x:v>
      </x:c>
    </x:row>
    <x:row r="573">
      <x:c r="A573" s="14" t="str">
        <x:v>W3-301</x:v>
      </x:c>
      <x:c r="B573" s="14" t="str">
        <x:v>Prozorro winners — 24.08</x:v>
      </x:c>
      <x:c r="C573" s="14" t="str">
        <x:v>ФОП Кметюк В.М.</x:v>
      </x:c>
      <x:c r="D573" s="14" t="str">
        <x:v>Електромонтаж</x:v>
      </x:c>
      <x:c r="E573" s="14" t="str">
        <x:v>Pilot now</x:v>
      </x:c>
      <x:c r="F573" s="17" t="str">
        <x:v>P3</x:v>
      </x:c>
      <x:c r="G573" s="14" t="str"/>
      <x:c r="H573" s="14" t="str">
        <x:v>Пілот зараз — Н.15</x:v>
      </x:c>
      <x:c r="I573" s="16" t="n">
        <x:v>5</x:v>
      </x:c>
      <x:c r="J573" s="16" t="n">
        <x:v>5</x:v>
      </x:c>
      <x:c r="K573" s="16" t="n">
        <x:v>5</x:v>
      </x:c>
      <x:c r="L573" s="16" t="n">
        <x:v>1</x:v>
      </x:c>
      <x:c r="M573" s="16" t="n">
        <x:v>5</x:v>
      </x:c>
      <x:c r="N573" s="16" t="n">
        <x:v>3</x:v>
      </x:c>
      <x:c r="O573" s="16" t="n">
        <x:v>5</x:v>
      </x:c>
      <x:c r="P573" s="16" t="n">
        <x:f>IF(COUNT(I573:O573)&lt;7,"",I573*8+J573*3+K573*2+L573*2+M573*2+N573*2+O573)</x:f>
        <x:v>88</x:v>
      </x:c>
      <x:c r="Q573" s="16" t="n">
        <x:f>IF(COUNT(J573:O573)&lt;6,"",J573*5+K573*4+M573*4+L573*3+N573*2+O573*2)</x:f>
        <x:v>84</x:v>
      </x:c>
      <x:c r="R573" s="14" t="str">
        <x:v>high</x:v>
      </x:c>
      <x:c r="S573" s="14" t="str">
        <x:v>official_prozorro_award_2025_2026</x:v>
      </x:c>
      <x:c r="T573" s="14" t="str">
        <x:v>official_prozorro_api</x:v>
      </x:c>
      <x:c r="U573" s="14" t="str">
        <x:v>Не контактували</x:v>
      </x:c>
      <x:c r="V573" s="15" t="str">
        <x:v>Персоналізований free-pilot outreach по UA-2026-08-24-003617-a; попросити 1 пакет Н.14/Н.15</x:v>
      </x:c>
      <x:c r="W573" s="15" t="str">
        <x:v>Власник / виконавець; відповідальний за договір</x:v>
      </x:c>
      <x:c r="X573" s="15" t="str">
        <x:v>1 підтверджених перемог/договорів у Prozorro на 8 938 грн; 1 проєктів зі строком виконання не раніше 24.08.2026.</x:v>
      </x:c>
      <x:c r="Y573" s="15" t="str">
        <x:v>електромонтажні роботи; строк до 2026-08-24. Попросити один знеособлений пакет здачі за цим workflow.</x:v>
      </x:c>
      <x:c r="Z573" s="15" t="str">
        <x:v>https://prozorro.gov.ua/tender/UA-2026-08-24-003617-a</x:v>
      </x:c>
      <x:c r="AA573" s="14" t="str">
        <x:v>3267715811</x:v>
      </x:c>
      <x:c r="AB573" s="14" t="str">
        <x:v>2026-08-24</x:v>
      </x:c>
      <x:c r="AC573" s="14" t="str"/>
      <x:c r="AD573" s="20" t="str"/>
      <x:c r="AE573" s="14" t="str"/>
      <x:c r="AF573" s="14" t="n">
        <x:v>49</x:v>
      </x:c>
      <x:c r="AG573" s="14" t="str">
        <x:v>I3</x:v>
      </x:c>
      <x:c r="AH573" s="14" t="n">
        <x:v>1</x:v>
      </x:c>
      <x:c r="AI573" s="14" t="n">
        <x:v>1</x:v>
      </x:c>
      <x:c r="AJ573" s="18" t="n">
        <x:v>8937.87</x:v>
      </x:c>
      <x:c r="AK573" s="14" t="str">
        <x:v>https://prozorro.gov.ua/tender/UA-2026-08-24-003617-a</x:v>
      </x:c>
      <x:c r="AL573" s="19" t="n">
        <x:v>46258.36646300926</x:v>
      </x:c>
      <x:c r="AM573" s="19" t="n">
        <x:v>46258</x:v>
      </x:c>
      <x:c r="AN573" s="15" t="str">
        <x:v>Електромонтаж</x:v>
      </x:c>
      <x:c r="AO573" s="15" t="str">
        <x:v>not_found_in_top_search</x:v>
      </x:c>
    </x:row>
    <x:row r="574">
      <x:c r="A574" s="14" t="str">
        <x:v>W3-302</x:v>
      </x:c>
      <x:c r="B574" s="14" t="str">
        <x:v>Prozorro winners — 24.08</x:v>
      </x:c>
      <x:c r="C574" s="14" t="str">
        <x:v>ФОП Бихно Віктор Віталійович</x:v>
      </x:c>
      <x:c r="D574" s="14" t="str">
        <x:v>Мости / інфраструктура</x:v>
      </x:c>
      <x:c r="E574" s="14" t="str">
        <x:v>Expansion discovery</x:v>
      </x:c>
      <x:c r="F574" s="17" t="str">
        <x:v>D3</x:v>
      </x:c>
      <x:c r="G574" s="14" t="str"/>
      <x:c r="H574" s="14" t="str">
        <x:v>Discovery розширення — 2 тижні</x:v>
      </x:c>
      <x:c r="I574" s="16" t="n">
        <x:v>1</x:v>
      </x:c>
      <x:c r="J574" s="16" t="n">
        <x:v>5</x:v>
      </x:c>
      <x:c r="K574" s="16" t="n">
        <x:v>4</x:v>
      </x:c>
      <x:c r="L574" s="16" t="n">
        <x:v>1</x:v>
      </x:c>
      <x:c r="M574" s="16" t="n">
        <x:v>5</x:v>
      </x:c>
      <x:c r="N574" s="16" t="n">
        <x:v>3</x:v>
      </x:c>
      <x:c r="O574" s="16" t="n">
        <x:v>5</x:v>
      </x:c>
      <x:c r="P574" s="16" t="n">
        <x:f>IF(COUNT(I574:O574)&lt;7,"",I574*8+J574*3+K574*2+L574*2+M574*2+N574*2+O574)</x:f>
        <x:v>54</x:v>
      </x:c>
      <x:c r="Q574" s="16" t="n">
        <x:f>IF(COUNT(J574:O574)&lt;6,"",J574*5+K574*4+M574*4+L574*3+N574*2+O574*2)</x:f>
        <x:v>80</x:v>
      </x:c>
      <x:c r="R574" s="14" t="str">
        <x:v>high</x:v>
      </x:c>
      <x:c r="S574" s="14" t="str">
        <x:v>official_prozorro_award_2025_2026</x:v>
      </x:c>
      <x:c r="T574" s="14" t="str">
        <x:v>official_prozorro_api</x:v>
      </x:c>
      <x:c r="U574" s="14" t="str">
        <x:v>Не контактували</x:v>
      </x:c>
      <x:c r="V574" s="15" t="str">
        <x:v>Workflow-audit outreach по UA-2026-08-17-007037-a; попросити 1 пакет здачі та вимоги проєкту</x:v>
      </x:c>
      <x:c r="W574" s="15" t="str">
        <x:v>Власник / виконавець; відповідальний за договір</x:v>
      </x:c>
      <x:c r="X574" s="15" t="str">
        <x:v>1 підтверджених перемог/договорів у Prozorro на 8 327 грн; 1 проєктів зі строком виконання не раніше 24.08.2026.</x:v>
      </x:c>
      <x:c r="Y574" s="15" t="str">
        <x:v>Здійснення технічного нагляду за наданням послуг із поточного ремонту мосту через р. Саксагань на сел. Більшовик; строк до 2026-09-20. Попросити один знеособлений пакет здачі за цим workflow.</x:v>
      </x:c>
      <x:c r="Z574" s="15" t="str">
        <x:v>https://prozorro.gov.ua/tender/UA-2026-08-17-007037-a</x:v>
      </x:c>
      <x:c r="AA574" s="14" t="str">
        <x:v>3726400913</x:v>
      </x:c>
      <x:c r="AB574" s="14" t="str">
        <x:v>2026-08-24</x:v>
      </x:c>
      <x:c r="AC574" s="14" t="str"/>
      <x:c r="AD574" s="20" t="str"/>
      <x:c r="AE574" s="14" t="str"/>
      <x:c r="AF574" s="14" t="n">
        <x:v>49</x:v>
      </x:c>
      <x:c r="AG574" s="14" t="str">
        <x:v>I3</x:v>
      </x:c>
      <x:c r="AH574" s="14" t="n">
        <x:v>1</x:v>
      </x:c>
      <x:c r="AI574" s="14" t="n">
        <x:v>1</x:v>
      </x:c>
      <x:c r="AJ574" s="18" t="n">
        <x:v>8327</x:v>
      </x:c>
      <x:c r="AK574" s="14" t="str">
        <x:v>https://prozorro.gov.ua/tender/UA-2026-08-17-007037-a</x:v>
      </x:c>
      <x:c r="AL574" s="19" t="n">
        <x:v>46251.46706481482</x:v>
      </x:c>
      <x:c r="AM574" s="19" t="n">
        <x:v>46285</x:v>
      </x:c>
      <x:c r="AN574" s="15" t="str">
        <x:v>Мости / інфраструктура</x:v>
      </x:c>
      <x:c r="AO574" s="15" t="str">
        <x:v>not_found_in_top_search</x:v>
      </x:c>
    </x:row>
    <x:row r="575">
      <x:c r="A575" s="14" t="str">
        <x:v>W3-303</x:v>
      </x:c>
      <x:c r="B575" s="14" t="str">
        <x:v>Prozorro winners — 24.08</x:v>
      </x:c>
      <x:c r="C575" s="14" t="str">
        <x:v>ГУЗАР ІГОР МИРОСЛАВОВИЧ</x:v>
      </x:c>
      <x:c r="D575" s="14" t="str">
        <x:v>Електромонтаж</x:v>
      </x:c>
      <x:c r="E575" s="14" t="str">
        <x:v>Pilot now</x:v>
      </x:c>
      <x:c r="F575" s="17" t="str">
        <x:v>P3</x:v>
      </x:c>
      <x:c r="G575" s="14" t="str"/>
      <x:c r="H575" s="14" t="str">
        <x:v>Пілот зараз — Н.15</x:v>
      </x:c>
      <x:c r="I575" s="16" t="n">
        <x:v>5</x:v>
      </x:c>
      <x:c r="J575" s="16" t="n">
        <x:v>5</x:v>
      </x:c>
      <x:c r="K575" s="16" t="n">
        <x:v>5</x:v>
      </x:c>
      <x:c r="L575" s="16" t="n">
        <x:v>1</x:v>
      </x:c>
      <x:c r="M575" s="16" t="n">
        <x:v>5</x:v>
      </x:c>
      <x:c r="N575" s="16" t="n">
        <x:v>3</x:v>
      </x:c>
      <x:c r="O575" s="16" t="n">
        <x:v>5</x:v>
      </x:c>
      <x:c r="P575" s="16" t="n">
        <x:f>IF(COUNT(I575:O575)&lt;7,"",I575*8+J575*3+K575*2+L575*2+M575*2+N575*2+O575)</x:f>
        <x:v>88</x:v>
      </x:c>
      <x:c r="Q575" s="16" t="n">
        <x:f>IF(COUNT(J575:O575)&lt;6,"",J575*5+K575*4+M575*4+L575*3+N575*2+O575*2)</x:f>
        <x:v>84</x:v>
      </x:c>
      <x:c r="R575" s="14" t="str">
        <x:v>high</x:v>
      </x:c>
      <x:c r="S575" s="14" t="str">
        <x:v>official_prozorro_award_2025_2026</x:v>
      </x:c>
      <x:c r="T575" s="14" t="str">
        <x:v>official_prozorro_api</x:v>
      </x:c>
      <x:c r="U575" s="14" t="str">
        <x:v>Не контактували</x:v>
      </x:c>
      <x:c r="V575" s="15" t="str">
        <x:v>Персоналізований free-pilot outreach по UA-2026-08-10-000273-a; попросити 1 пакет Н.14/Н.15</x:v>
      </x:c>
      <x:c r="W575" s="15" t="str">
        <x:v>Власник / виконавець; відповідальний за договір</x:v>
      </x:c>
      <x:c r="X575" s="15" t="str">
        <x:v>1 підтверджених перемог/договорів у Prozorro на 6 000 грн; 1 проєктів зі строком виконання не раніше 24.08.2026.</x:v>
      </x:c>
      <x:c r="Y575" s="15" t="str">
        <x:v>Електромонтажні роботи; строк до 2026-12-31. Попросити один знеособлений пакет здачі за цим workflow.</x:v>
      </x:c>
      <x:c r="Z575" s="15" t="str">
        <x:v>https://prozorro.gov.ua/tender/UA-2026-08-10-000273-a</x:v>
      </x:c>
      <x:c r="AA575" s="14" t="str">
        <x:v>2433815510</x:v>
      </x:c>
      <x:c r="AB575" s="14" t="str">
        <x:v>2026-08-24</x:v>
      </x:c>
      <x:c r="AC575" s="14" t="str"/>
      <x:c r="AD575" s="20" t="str"/>
      <x:c r="AE575" s="14" t="str"/>
      <x:c r="AF575" s="14" t="n">
        <x:v>49</x:v>
      </x:c>
      <x:c r="AG575" s="14" t="str">
        <x:v>I3</x:v>
      </x:c>
      <x:c r="AH575" s="14" t="n">
        <x:v>1</x:v>
      </x:c>
      <x:c r="AI575" s="14" t="n">
        <x:v>1</x:v>
      </x:c>
      <x:c r="AJ575" s="18" t="n">
        <x:v>6000</x:v>
      </x:c>
      <x:c r="AK575" s="14" t="str">
        <x:v>https://prozorro.gov.ua/tender/UA-2026-08-10-000273-a</x:v>
      </x:c>
      <x:c r="AL575" s="19" t="n">
        <x:v>46244.24487738426</x:v>
      </x:c>
      <x:c r="AM575" s="19" t="n">
        <x:v>46387</x:v>
      </x:c>
      <x:c r="AN575" s="15" t="str">
        <x:v>Електромонтаж</x:v>
      </x:c>
      <x:c r="AO575" s="15" t="str">
        <x:v>not_found_in_top_search</x:v>
      </x:c>
    </x:row>
    <x:row r="576">
      <x:c r="A576" s="14" t="str">
        <x:v>W3-304</x:v>
      </x:c>
      <x:c r="B576" s="14" t="str">
        <x:v>Prozorro winners — 24.08</x:v>
      </x:c>
      <x:c r="C576" s="14" t="str">
        <x:v>КОЧНОВ ОЛЕКСАНДР АНАТОЛІЙОВИЧ</x:v>
      </x:c>
      <x:c r="D576" s="14" t="str">
        <x:v>Електромонтаж</x:v>
      </x:c>
      <x:c r="E576" s="14" t="str">
        <x:v>Pilot now</x:v>
      </x:c>
      <x:c r="F576" s="17" t="str">
        <x:v>P3</x:v>
      </x:c>
      <x:c r="G576" s="14" t="str"/>
      <x:c r="H576" s="14" t="str">
        <x:v>Пілот зараз — Н.15</x:v>
      </x:c>
      <x:c r="I576" s="16" t="n">
        <x:v>5</x:v>
      </x:c>
      <x:c r="J576" s="16" t="n">
        <x:v>5</x:v>
      </x:c>
      <x:c r="K576" s="16" t="n">
        <x:v>5</x:v>
      </x:c>
      <x:c r="L576" s="16" t="n">
        <x:v>1</x:v>
      </x:c>
      <x:c r="M576" s="16" t="n">
        <x:v>5</x:v>
      </x:c>
      <x:c r="N576" s="16" t="n">
        <x:v>3</x:v>
      </x:c>
      <x:c r="O576" s="16" t="n">
        <x:v>5</x:v>
      </x:c>
      <x:c r="P576" s="16" t="n">
        <x:f>IF(COUNT(I576:O576)&lt;7,"",I576*8+J576*3+K576*2+L576*2+M576*2+N576*2+O576)</x:f>
        <x:v>88</x:v>
      </x:c>
      <x:c r="Q576" s="16" t="n">
        <x:f>IF(COUNT(J576:O576)&lt;6,"",J576*5+K576*4+M576*4+L576*3+N576*2+O576*2)</x:f>
        <x:v>84</x:v>
      </x:c>
      <x:c r="R576" s="14" t="str">
        <x:v>high</x:v>
      </x:c>
      <x:c r="S576" s="14" t="str">
        <x:v>official_prozorro_award_2025_2026</x:v>
      </x:c>
      <x:c r="T576" s="14" t="str">
        <x:v>official_prozorro_api</x:v>
      </x:c>
      <x:c r="U576" s="14" t="str">
        <x:v>Не контактували</x:v>
      </x:c>
      <x:c r="V576" s="15" t="str">
        <x:v>Персоналізований free-pilot outreach по UA-2026-07-27-007322-a; попросити 1 пакет Н.14/Н.15</x:v>
      </x:c>
      <x:c r="W576" s="15" t="str">
        <x:v>Власник / виконавець; відповідальний за договір</x:v>
      </x:c>
      <x:c r="X576" s="15" t="str">
        <x:v>1 підтверджених перемог/договорів у Prozorro на 6 000 грн; 1 проєктів зі строком виконання не раніше 24.08.2026.</x:v>
      </x:c>
      <x:c r="Y576" s="15" t="str">
        <x:v>Електромонтажні роботи; строк до 2026-12-31. Попросити один знеособлений пакет здачі за цим workflow.</x:v>
      </x:c>
      <x:c r="Z576" s="15" t="str">
        <x:v>https://prozorro.gov.ua/tender/UA-2026-07-27-007322-a</x:v>
      </x:c>
      <x:c r="AA576" s="14" t="str">
        <x:v>3210001651</x:v>
      </x:c>
      <x:c r="AB576" s="14" t="str">
        <x:v>2026-08-24</x:v>
      </x:c>
      <x:c r="AC576" s="14" t="str"/>
      <x:c r="AD576" s="20" t="str"/>
      <x:c r="AE576" s="14" t="str"/>
      <x:c r="AF576" s="14" t="n">
        <x:v>49</x:v>
      </x:c>
      <x:c r="AG576" s="14" t="str">
        <x:v>I3</x:v>
      </x:c>
      <x:c r="AH576" s="14" t="n">
        <x:v>1</x:v>
      </x:c>
      <x:c r="AI576" s="14" t="n">
        <x:v>1</x:v>
      </x:c>
      <x:c r="AJ576" s="18" t="n">
        <x:v>6000</x:v>
      </x:c>
      <x:c r="AK576" s="14" t="str">
        <x:v>https://prozorro.gov.ua/tender/UA-2026-07-27-007322-a</x:v>
      </x:c>
      <x:c r="AL576" s="19" t="n">
        <x:v>46230.49473087963</x:v>
      </x:c>
      <x:c r="AM576" s="19" t="n">
        <x:v>46387</x:v>
      </x:c>
      <x:c r="AN576" s="15" t="str">
        <x:v>Електромонтаж</x:v>
      </x:c>
      <x:c r="AO576" s="15" t="str">
        <x:v>not_found_in_top_search</x:v>
      </x:c>
    </x:row>
    <x:row r="577">
      <x:c r="A577" s="14" t="str">
        <x:v>W3-305</x:v>
      </x:c>
      <x:c r="B577" s="14" t="str">
        <x:v>Prozorro winners — 24.08</x:v>
      </x:c>
      <x:c r="C577" s="14" t="str">
        <x:v>ФОП Жданюк Андрій Васильйович</x:v>
      </x:c>
      <x:c r="D577" s="14" t="str">
        <x:v>Безпека / СКУД / CCTV</x:v>
      </x:c>
      <x:c r="E577" s="14" t="str">
        <x:v>Expansion discovery</x:v>
      </x:c>
      <x:c r="F577" s="17" t="str">
        <x:v>D3</x:v>
      </x:c>
      <x:c r="G577" s="14" t="str"/>
      <x:c r="H577" s="14" t="str">
        <x:v>Discovery розширення — 2 тижні</x:v>
      </x:c>
      <x:c r="I577" s="16" t="n">
        <x:v>1</x:v>
      </x:c>
      <x:c r="J577" s="16" t="n">
        <x:v>5</x:v>
      </x:c>
      <x:c r="K577" s="16" t="n">
        <x:v>4</x:v>
      </x:c>
      <x:c r="L577" s="16" t="n">
        <x:v>1</x:v>
      </x:c>
      <x:c r="M577" s="16" t="n">
        <x:v>5</x:v>
      </x:c>
      <x:c r="N577" s="16" t="n">
        <x:v>3</x:v>
      </x:c>
      <x:c r="O577" s="16" t="n">
        <x:v>5</x:v>
      </x:c>
      <x:c r="P577" s="16" t="n">
        <x:f>IF(COUNT(I577:O577)&lt;7,"",I577*8+J577*3+K577*2+L577*2+M577*2+N577*2+O577)</x:f>
        <x:v>54</x:v>
      </x:c>
      <x:c r="Q577" s="16" t="n">
        <x:f>IF(COUNT(J577:O577)&lt;6,"",J577*5+K577*4+M577*4+L577*3+N577*2+O577*2)</x:f>
        <x:v>80</x:v>
      </x:c>
      <x:c r="R577" s="14" t="str">
        <x:v>high</x:v>
      </x:c>
      <x:c r="S577" s="14" t="str">
        <x:v>official_prozorro_award_2025_2026</x:v>
      </x:c>
      <x:c r="T577" s="14" t="str">
        <x:v>official_prozorro_api</x:v>
      </x:c>
      <x:c r="U577" s="14" t="str">
        <x:v>Не контактували</x:v>
      </x:c>
      <x:c r="V577" s="15" t="str">
        <x:v>Workflow-audit outreach по UA-2026-07-30-003780-a; попросити 1 пакет здачі та вимоги проєкту</x:v>
      </x:c>
      <x:c r="W577" s="15" t="str">
        <x:v>Власник / виконавець; відповідальний за договір</x:v>
      </x:c>
      <x:c r="X577" s="15" t="str">
        <x:v>1 підтверджених перемог/договорів у Prozorro на 4 950 грн; 1 проєктів зі строком виконання не раніше 24.08.2026.</x:v>
      </x:c>
      <x:c r="Y577" s="15" t="str">
        <x:v>Послуги із монтажу і ремонту систем відеоспостереження та систем контроля доступу; строк до 2026-12-31. Попросити один знеособлений пакет здачі за цим workflow.</x:v>
      </x:c>
      <x:c r="Z577" s="15" t="str">
        <x:v>https://prozorro.gov.ua/tender/UA-2026-07-30-003780-a</x:v>
      </x:c>
      <x:c r="AA577" s="14" t="str">
        <x:v>3050412072</x:v>
      </x:c>
      <x:c r="AB577" s="14" t="str">
        <x:v>2026-08-24</x:v>
      </x:c>
      <x:c r="AC577" s="14" t="str"/>
      <x:c r="AD577" s="20" t="str"/>
      <x:c r="AE577" s="14" t="str"/>
      <x:c r="AF577" s="14" t="n">
        <x:v>49</x:v>
      </x:c>
      <x:c r="AG577" s="14" t="str">
        <x:v>I3</x:v>
      </x:c>
      <x:c r="AH577" s="14" t="n">
        <x:v>1</x:v>
      </x:c>
      <x:c r="AI577" s="14" t="n">
        <x:v>1</x:v>
      </x:c>
      <x:c r="AJ577" s="18" t="n">
        <x:v>4950</x:v>
      </x:c>
      <x:c r="AK577" s="14" t="str">
        <x:v>https://prozorro.gov.ua/tender/UA-2026-07-30-003780-a</x:v>
      </x:c>
      <x:c r="AL577" s="19" t="n">
        <x:v>46233.424376319446</x:v>
      </x:c>
      <x:c r="AM577" s="19" t="n">
        <x:v>46387.41515046296</x:v>
      </x:c>
      <x:c r="AN577" s="15" t="str">
        <x:v>Безпека / СКУД / CCTV</x:v>
      </x:c>
      <x:c r="AO577" s="15" t="str">
        <x:v>not_found_in_top_search</x:v>
      </x:c>
    </x:row>
    <x:row r="578">
      <x:c r="A578" s="14" t="str">
        <x:v>W3-306</x:v>
      </x:c>
      <x:c r="B578" s="14" t="str">
        <x:v>Prozorro winners — 24.08</x:v>
      </x:c>
      <x:c r="C578" s="14" t="str">
        <x:v>ПІВТОРАК АНАТОЛІЙ МИКОЛАЙОВИЧ</x:v>
      </x:c>
      <x:c r="D578" s="14" t="str">
        <x:v>Електромонтаж</x:v>
      </x:c>
      <x:c r="E578" s="14" t="str">
        <x:v>Pilot now</x:v>
      </x:c>
      <x:c r="F578" s="17" t="str">
        <x:v>P3</x:v>
      </x:c>
      <x:c r="G578" s="14" t="str"/>
      <x:c r="H578" s="14" t="str">
        <x:v>Пілот зараз — Н.15</x:v>
      </x:c>
      <x:c r="I578" s="16" t="n">
        <x:v>5</x:v>
      </x:c>
      <x:c r="J578" s="16" t="n">
        <x:v>5</x:v>
      </x:c>
      <x:c r="K578" s="16" t="n">
        <x:v>5</x:v>
      </x:c>
      <x:c r="L578" s="16" t="n">
        <x:v>1</x:v>
      </x:c>
      <x:c r="M578" s="16" t="n">
        <x:v>5</x:v>
      </x:c>
      <x:c r="N578" s="16" t="n">
        <x:v>3</x:v>
      </x:c>
      <x:c r="O578" s="16" t="n">
        <x:v>5</x:v>
      </x:c>
      <x:c r="P578" s="16" t="n">
        <x:f>IF(COUNT(I578:O578)&lt;7,"",I578*8+J578*3+K578*2+L578*2+M578*2+N578*2+O578)</x:f>
        <x:v>88</x:v>
      </x:c>
      <x:c r="Q578" s="16" t="n">
        <x:f>IF(COUNT(J578:O578)&lt;6,"",J578*5+K578*4+M578*4+L578*3+N578*2+O578*2)</x:f>
        <x:v>84</x:v>
      </x:c>
      <x:c r="R578" s="14" t="str">
        <x:v>high</x:v>
      </x:c>
      <x:c r="S578" s="14" t="str">
        <x:v>official_prozorro_award_2025_2026</x:v>
      </x:c>
      <x:c r="T578" s="14" t="str">
        <x:v>official_prozorro_api</x:v>
      </x:c>
      <x:c r="U578" s="14" t="str">
        <x:v>Не контактували</x:v>
      </x:c>
      <x:c r="V578" s="15" t="str">
        <x:v>Персоналізований free-pilot outreach по UA-2026-07-27-007001-a; попросити 1 пакет Н.14/Н.15</x:v>
      </x:c>
      <x:c r="W578" s="15" t="str">
        <x:v>Власник / виконавець; відповідальний за договір</x:v>
      </x:c>
      <x:c r="X578" s="15" t="str">
        <x:v>1 підтверджених перемог/договорів у Prozorro на 4 000 грн; 1 проєктів зі строком виконання не раніше 24.08.2026.</x:v>
      </x:c>
      <x:c r="Y578" s="15" t="str">
        <x:v>Електромонтажні роботи ; строк до 2026-12-31. Попросити один знеособлений пакет здачі за цим workflow.</x:v>
      </x:c>
      <x:c r="Z578" s="15" t="str">
        <x:v>https://prozorro.gov.ua/tender/UA-2026-07-27-007001-a</x:v>
      </x:c>
      <x:c r="AA578" s="14" t="str">
        <x:v>2411508616</x:v>
      </x:c>
      <x:c r="AB578" s="14" t="str">
        <x:v>2026-08-24</x:v>
      </x:c>
      <x:c r="AC578" s="14" t="str"/>
      <x:c r="AD578" s="20" t="str"/>
      <x:c r="AE578" s="14" t="str"/>
      <x:c r="AF578" s="14" t="n">
        <x:v>49</x:v>
      </x:c>
      <x:c r="AG578" s="14" t="str">
        <x:v>I3</x:v>
      </x:c>
      <x:c r="AH578" s="14" t="n">
        <x:v>1</x:v>
      </x:c>
      <x:c r="AI578" s="14" t="n">
        <x:v>1</x:v>
      </x:c>
      <x:c r="AJ578" s="18" t="n">
        <x:v>4000</x:v>
      </x:c>
      <x:c r="AK578" s="14" t="str">
        <x:v>https://prozorro.gov.ua/tender/UA-2026-07-27-007001-a</x:v>
      </x:c>
      <x:c r="AL578" s="19" t="n">
        <x:v>46230.48517842592</x:v>
      </x:c>
      <x:c r="AM578" s="19" t="n">
        <x:v>46387</x:v>
      </x:c>
      <x:c r="AN578" s="15" t="str">
        <x:v>Електромонтаж</x:v>
      </x:c>
      <x:c r="AO578" s="15" t="str">
        <x:v>not_found_in_top_search</x:v>
      </x:c>
    </x:row>
    <x:row r="579">
      <x:c r="A579" s="14" t="str">
        <x:v>W3-307</x:v>
      </x:c>
      <x:c r="B579" s="14" t="str">
        <x:v>Prozorro winners — 24.08</x:v>
      </x:c>
      <x:c r="C579" s="14" t="str">
        <x:v>Фізична особа-підприємець Ракчеєв Юрій В'ячеславович</x:v>
      </x:c>
      <x:c r="D579" s="14" t="str">
        <x:v>Електромонтаж</x:v>
      </x:c>
      <x:c r="E579" s="14" t="str">
        <x:v>Pilot now</x:v>
      </x:c>
      <x:c r="F579" s="17" t="str">
        <x:v>P3</x:v>
      </x:c>
      <x:c r="G579" s="14" t="str"/>
      <x:c r="H579" s="14" t="str">
        <x:v>Пілот зараз — Н.15</x:v>
      </x:c>
      <x:c r="I579" s="16" t="n">
        <x:v>5</x:v>
      </x:c>
      <x:c r="J579" s="16" t="n">
        <x:v>5</x:v>
      </x:c>
      <x:c r="K579" s="16" t="n">
        <x:v>5</x:v>
      </x:c>
      <x:c r="L579" s="16" t="n">
        <x:v>1</x:v>
      </x:c>
      <x:c r="M579" s="16" t="n">
        <x:v>5</x:v>
      </x:c>
      <x:c r="N579" s="16" t="n">
        <x:v>3</x:v>
      </x:c>
      <x:c r="O579" s="16" t="n">
        <x:v>5</x:v>
      </x:c>
      <x:c r="P579" s="16" t="n">
        <x:f>IF(COUNT(I579:O579)&lt;7,"",I579*8+J579*3+K579*2+L579*2+M579*2+N579*2+O579)</x:f>
        <x:v>88</x:v>
      </x:c>
      <x:c r="Q579" s="16" t="n">
        <x:f>IF(COUNT(J579:O579)&lt;6,"",J579*5+K579*4+M579*4+L579*3+N579*2+O579*2)</x:f>
        <x:v>84</x:v>
      </x:c>
      <x:c r="R579" s="14" t="str">
        <x:v>high</x:v>
      </x:c>
      <x:c r="S579" s="14" t="str">
        <x:v>official_prozorro_award_2025_2026</x:v>
      </x:c>
      <x:c r="T579" s="14" t="str">
        <x:v>official_prozorro_api</x:v>
      </x:c>
      <x:c r="U579" s="14" t="str">
        <x:v>Не контактували</x:v>
      </x:c>
      <x:c r="V579" s="15" t="str">
        <x:v>Персоналізований free-pilot outreach по UA-2026-08-20-011768-a; попросити 1 пакет Н.14/Н.15</x:v>
      </x:c>
      <x:c r="W579" s="15" t="str">
        <x:v>Власник / виконавець; відповідальний за договір</x:v>
      </x:c>
      <x:c r="X579" s="15" t="str">
        <x:v>1 підтверджених перемог/договорів у Prozorro на 3 700 грн; 1 проєктів зі строком виконання не раніше 24.08.2026.</x:v>
      </x:c>
      <x:c r="Y579" s="15" t="str">
        <x:v>Електромонтажні та пусконалагоджувальні роботи; строк до 2026-09-15. Попросити один знеособлений пакет здачі за цим workflow.</x:v>
      </x:c>
      <x:c r="Z579" s="15" t="str">
        <x:v>https://prozorro.gov.ua/tender/UA-2026-08-20-011768-a</x:v>
      </x:c>
      <x:c r="AA579" s="14" t="str">
        <x:v>3013618459</x:v>
      </x:c>
      <x:c r="AB579" s="14" t="str">
        <x:v>2026-08-24</x:v>
      </x:c>
      <x:c r="AC579" s="14" t="str"/>
      <x:c r="AD579" s="20" t="str"/>
      <x:c r="AE579" s="14" t="str"/>
      <x:c r="AF579" s="14" t="n">
        <x:v>49</x:v>
      </x:c>
      <x:c r="AG579" s="14" t="str">
        <x:v>I3</x:v>
      </x:c>
      <x:c r="AH579" s="14" t="n">
        <x:v>1</x:v>
      </x:c>
      <x:c r="AI579" s="14" t="n">
        <x:v>1</x:v>
      </x:c>
      <x:c r="AJ579" s="18" t="n">
        <x:v>3700</x:v>
      </x:c>
      <x:c r="AK579" s="14" t="str">
        <x:v>https://prozorro.gov.ua/tender/UA-2026-08-20-011768-a</x:v>
      </x:c>
      <x:c r="AL579" s="19" t="n">
        <x:v>46254.557632337965</x:v>
      </x:c>
      <x:c r="AM579" s="19" t="n">
        <x:v>46280</x:v>
      </x:c>
      <x:c r="AN579" s="15" t="str">
        <x:v>Електромонтаж</x:v>
      </x:c>
      <x:c r="AO579" s="15" t="str">
        <x:v>not_found_in_top_search</x:v>
      </x:c>
    </x:row>
    <x:row r="580">
      <x:c r="A580" s="14" t="str">
        <x:v>W3-308</x:v>
      </x:c>
      <x:c r="B580" s="14" t="str">
        <x:v>Prozorro winners — 24.08</x:v>
      </x:c>
      <x:c r="C580" s="14" t="str">
        <x:v>ФОП "Охрімчук Людмила Володимирівна"</x:v>
      </x:c>
      <x:c r="D580" s="14" t="str">
        <x:v>Насосні станції</x:v>
      </x:c>
      <x:c r="E580" s="14" t="str">
        <x:v>Expansion discovery</x:v>
      </x:c>
      <x:c r="F580" s="17" t="str">
        <x:v>D3</x:v>
      </x:c>
      <x:c r="G580" s="14" t="str"/>
      <x:c r="H580" s="14" t="str">
        <x:v>Discovery розширення — 2 тижні</x:v>
      </x:c>
      <x:c r="I580" s="16" t="n">
        <x:v>1</x:v>
      </x:c>
      <x:c r="J580" s="16" t="n">
        <x:v>5</x:v>
      </x:c>
      <x:c r="K580" s="16" t="n">
        <x:v>4</x:v>
      </x:c>
      <x:c r="L580" s="16" t="n">
        <x:v>1</x:v>
      </x:c>
      <x:c r="M580" s="16" t="n">
        <x:v>5</x:v>
      </x:c>
      <x:c r="N580" s="16" t="n">
        <x:v>3</x:v>
      </x:c>
      <x:c r="O580" s="16" t="n">
        <x:v>5</x:v>
      </x:c>
      <x:c r="P580" s="16" t="n">
        <x:f>IF(COUNT(I580:O580)&lt;7,"",I580*8+J580*3+K580*2+L580*2+M580*2+N580*2+O580)</x:f>
        <x:v>54</x:v>
      </x:c>
      <x:c r="Q580" s="16" t="n">
        <x:f>IF(COUNT(J580:O580)&lt;6,"",J580*5+K580*4+M580*4+L580*3+N580*2+O580*2)</x:f>
        <x:v>80</x:v>
      </x:c>
      <x:c r="R580" s="14" t="str">
        <x:v>high</x:v>
      </x:c>
      <x:c r="S580" s="14" t="str">
        <x:v>official_prozorro_award_2025_2026</x:v>
      </x:c>
      <x:c r="T580" s="14" t="str">
        <x:v>official_prozorro_api</x:v>
      </x:c>
      <x:c r="U580" s="14" t="str">
        <x:v>Не контактували</x:v>
      </x:c>
      <x:c r="V580" s="15" t="str">
        <x:v>Workflow-audit outreach по UA-2026-08-21-009995-a; попросити 1 пакет здачі та вимоги проєкту</x:v>
      </x:c>
      <x:c r="W580" s="15" t="str">
        <x:v>Власник / виконавець; відповідальний за договір</x:v>
      </x:c>
      <x:c r="X580" s="15" t="str">
        <x:v>1 підтверджених перемог/договорів у Prozorro на 3 560 грн; 1 проєктів зі строком виконання не раніше 24.08.2026.</x:v>
      </x:c>
      <x:c r="Y580"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 строк до 2026-08-27. Попросити один знеособлений пакет здачі за цим workflow.</x:v>
      </x:c>
      <x:c r="Z580" s="15" t="str">
        <x:v>https://prozorro.gov.ua/tender/UA-2026-08-21-009995-a</x:v>
      </x:c>
      <x:c r="AA580" s="14" t="str">
        <x:v>3165601120</x:v>
      </x:c>
      <x:c r="AB580" s="14" t="str">
        <x:v>2026-08-24</x:v>
      </x:c>
      <x:c r="AC580" s="14" t="str"/>
      <x:c r="AD580" s="20" t="str"/>
      <x:c r="AE580" s="14" t="str"/>
      <x:c r="AF580" s="14" t="n">
        <x:v>49</x:v>
      </x:c>
      <x:c r="AG580" s="14" t="str">
        <x:v>I3</x:v>
      </x:c>
      <x:c r="AH580" s="14" t="n">
        <x:v>1</x:v>
      </x:c>
      <x:c r="AI580" s="14" t="n">
        <x:v>1</x:v>
      </x:c>
      <x:c r="AJ580" s="18" t="n">
        <x:v>3560</x:v>
      </x:c>
      <x:c r="AK580" s="14" t="str">
        <x:v>https://prozorro.gov.ua/tender/UA-2026-08-21-009995-a</x:v>
      </x:c>
      <x:c r="AL580" s="19" t="n">
        <x:v>46255.510079976855</x:v>
      </x:c>
      <x:c r="AM580" s="19" t="n">
        <x:v>46261.51119212963</x:v>
      </x:c>
      <x:c r="AN580" s="15" t="str">
        <x:v>Насосні станції</x:v>
      </x:c>
      <x:c r="AO580" s="15" t="str">
        <x:v>not_found_in_top_search</x:v>
      </x:c>
    </x:row>
    <x:row r="581">
      <x:c r="A581" s="14" t="str">
        <x:v>W3-309</x:v>
      </x:c>
      <x:c r="B581" s="14" t="str">
        <x:v>Prozorro winners — 24.08</x:v>
      </x:c>
      <x:c r="C581" s="14" t="str">
        <x:v>Фізична особа-підприємець Бліщ Роман Дмитрович</x:v>
      </x:c>
      <x:c r="D581" s="14" t="str">
        <x:v>Мости / інфраструктура</x:v>
      </x:c>
      <x:c r="E581" s="14" t="str">
        <x:v>Expansion discovery</x:v>
      </x:c>
      <x:c r="F581" s="17" t="str">
        <x:v>D3</x:v>
      </x:c>
      <x:c r="G581" s="14" t="str"/>
      <x:c r="H581" s="14" t="str">
        <x:v>Discovery розширення — 2 тижні</x:v>
      </x:c>
      <x:c r="I581" s="16" t="n">
        <x:v>1</x:v>
      </x:c>
      <x:c r="J581" s="16" t="n">
        <x:v>5</x:v>
      </x:c>
      <x:c r="K581" s="16" t="n">
        <x:v>4</x:v>
      </x:c>
      <x:c r="L581" s="16" t="n">
        <x:v>1</x:v>
      </x:c>
      <x:c r="M581" s="16" t="n">
        <x:v>5</x:v>
      </x:c>
      <x:c r="N581" s="16" t="n">
        <x:v>3</x:v>
      </x:c>
      <x:c r="O581" s="16" t="n">
        <x:v>5</x:v>
      </x:c>
      <x:c r="P581" s="16" t="n">
        <x:f>IF(COUNT(I581:O581)&lt;7,"",I581*8+J581*3+K581*2+L581*2+M581*2+N581*2+O581)</x:f>
        <x:v>54</x:v>
      </x:c>
      <x:c r="Q581" s="16" t="n">
        <x:f>IF(COUNT(J581:O581)&lt;6,"",J581*5+K581*4+M581*4+L581*3+N581*2+O581*2)</x:f>
        <x:v>80</x:v>
      </x:c>
      <x:c r="R581" s="14" t="str">
        <x:v>high</x:v>
      </x:c>
      <x:c r="S581" s="14" t="str">
        <x:v>official_prozorro_award_2025_2026</x:v>
      </x:c>
      <x:c r="T581" s="14" t="str">
        <x:v>official_prozorro_api</x:v>
      </x:c>
      <x:c r="U581" s="14" t="str">
        <x:v>Не контактували</x:v>
      </x:c>
      <x:c r="V581" s="15" t="str">
        <x:v>Workflow-audit outreach по UA-2026-08-13-011741-a; попросити 1 пакет здачі та вимоги проєкту</x:v>
      </x:c>
      <x:c r="W581" s="15" t="str">
        <x:v>Власник / виконавець; відповідальний за договір</x:v>
      </x:c>
      <x:c r="X581" s="15" t="str">
        <x:v>1 підтверджених перемог/договорів у Prozorro на 2 500 грн; 1 проєктів зі строком виконання не раніше 24.08.2026.</x:v>
      </x:c>
      <x:c r="Y581"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581" s="15" t="str">
        <x:v>https://prozorro.gov.ua/tender/UA-2026-08-13-011741-a</x:v>
      </x:c>
      <x:c r="AA581" s="14" t="str">
        <x:v>2450716653</x:v>
      </x:c>
      <x:c r="AB581" s="14" t="str">
        <x:v>2026-08-24</x:v>
      </x:c>
      <x:c r="AC581" s="14" t="str"/>
      <x:c r="AD581" s="20" t="str"/>
      <x:c r="AE581" s="14" t="str"/>
      <x:c r="AF581" s="14" t="n">
        <x:v>49</x:v>
      </x:c>
      <x:c r="AG581" s="14" t="str">
        <x:v>I3</x:v>
      </x:c>
      <x:c r="AH581" s="14" t="n">
        <x:v>1</x:v>
      </x:c>
      <x:c r="AI581" s="14" t="n">
        <x:v>1</x:v>
      </x:c>
      <x:c r="AJ581" s="18" t="n">
        <x:v>2500</x:v>
      </x:c>
      <x:c r="AK581" s="14" t="str">
        <x:v>https://prozorro.gov.ua/tender/UA-2026-08-13-011741-a</x:v>
      </x:c>
      <x:c r="AL581" s="19" t="n">
        <x:v>46247.57161953704</x:v>
      </x:c>
      <x:c r="AM581" s="19" t="n">
        <x:v>46387</x:v>
      </x:c>
      <x:c r="AN581" s="15" t="str">
        <x:v>Мости / інфраструктура</x:v>
      </x:c>
      <x:c r="AO581" s="15" t="str">
        <x:v>not_found_in_top_search</x:v>
      </x:c>
    </x:row>
    <x:row r="582">
      <x:c r="A582" s="14" t="str">
        <x:v>W3-310</x:v>
      </x:c>
      <x:c r="B582" s="14" t="str">
        <x:v>Prozorro winners — 24.08</x:v>
      </x:c>
      <x:c r="C582" s="14" t="str">
        <x:v>ЯРЕМЧУК МАРІЯ АНДРІЇВНА</x:v>
      </x:c>
      <x:c r="D582" s="14" t="str">
        <x:v>HVAC / ОВіК</x:v>
      </x:c>
      <x:c r="E582" s="14" t="str">
        <x:v>Pilot now</x:v>
      </x:c>
      <x:c r="F582" s="17" t="str">
        <x:v>P3</x:v>
      </x:c>
      <x:c r="G582" s="14" t="str"/>
      <x:c r="H582" s="14" t="str">
        <x:v>Пілот зараз — Н.14</x:v>
      </x:c>
      <x:c r="I582" s="16" t="n">
        <x:v>5</x:v>
      </x:c>
      <x:c r="J582" s="16" t="n">
        <x:v>5</x:v>
      </x:c>
      <x:c r="K582" s="16" t="n">
        <x:v>5</x:v>
      </x:c>
      <x:c r="L582" s="16" t="n">
        <x:v>1</x:v>
      </x:c>
      <x:c r="M582" s="16" t="n">
        <x:v>5</x:v>
      </x:c>
      <x:c r="N582" s="16" t="n">
        <x:v>3</x:v>
      </x:c>
      <x:c r="O582" s="16" t="n">
        <x:v>5</x:v>
      </x:c>
      <x:c r="P582" s="16" t="n">
        <x:f>IF(COUNT(I582:O582)&lt;7,"",I582*8+J582*3+K582*2+L582*2+M582*2+N582*2+O582)</x:f>
        <x:v>88</x:v>
      </x:c>
      <x:c r="Q582" s="16" t="n">
        <x:f>IF(COUNT(J582:O582)&lt;6,"",J582*5+K582*4+M582*4+L582*3+N582*2+O582*2)</x:f>
        <x:v>84</x:v>
      </x:c>
      <x:c r="R582" s="14" t="str">
        <x:v>high</x:v>
      </x:c>
      <x:c r="S582" s="14" t="str">
        <x:v>official_prozorro_award_2025_2026</x:v>
      </x:c>
      <x:c r="T582" s="14" t="str">
        <x:v>official_prozorro_api</x:v>
      </x:c>
      <x:c r="U582" s="14" t="str">
        <x:v>Не контактували</x:v>
      </x:c>
      <x:c r="V582" s="15" t="str">
        <x:v>Персоналізований free-pilot outreach по UA-2026-07-21-006404-a; попросити 1 пакет Н.14/Н.15</x:v>
      </x:c>
      <x:c r="W582" s="15" t="str">
        <x:v>Власник / виконавець; відповідальний за договір</x:v>
      </x:c>
      <x:c r="X582" s="15" t="str">
        <x:v>1 підтверджених перемог/договорів у Prozorro на 1 810 грн; 1 проєктів зі строком виконання не раніше 24.08.2026.</x:v>
      </x:c>
      <x:c r="Y582" s="15" t="str">
        <x:v>Матеріали та комплектуючі для монтажу системи водяного опалення.; строк до 2026-12-31. Попросити один знеособлений пакет здачі за цим workflow.</x:v>
      </x:c>
      <x:c r="Z582" s="15" t="str">
        <x:v>https://prozorro.gov.ua/tender/UA-2026-07-21-006404-a</x:v>
      </x:c>
      <x:c r="AA582" s="14" t="str">
        <x:v>2535503908</x:v>
      </x:c>
      <x:c r="AB582" s="14" t="str">
        <x:v>2026-08-24</x:v>
      </x:c>
      <x:c r="AC582" s="14" t="str"/>
      <x:c r="AD582" s="20" t="str"/>
      <x:c r="AE582" s="14" t="str"/>
      <x:c r="AF582" s="14" t="n">
        <x:v>49</x:v>
      </x:c>
      <x:c r="AG582" s="14" t="str">
        <x:v>I3</x:v>
      </x:c>
      <x:c r="AH582" s="14" t="n">
        <x:v>1</x:v>
      </x:c>
      <x:c r="AI582" s="14" t="n">
        <x:v>1</x:v>
      </x:c>
      <x:c r="AJ582" s="18" t="n">
        <x:v>1810</x:v>
      </x:c>
      <x:c r="AK582" s="14" t="str">
        <x:v>https://prozorro.gov.ua/tender/UA-2026-07-21-006404-a</x:v>
      </x:c>
      <x:c r="AL582" s="19" t="n">
        <x:v>46224.45935636574</x:v>
      </x:c>
      <x:c r="AM582" s="19" t="n">
        <x:v>46387</x:v>
      </x:c>
      <x:c r="AN582" s="15" t="str">
        <x:v>HVAC / ОВіК</x:v>
      </x:c>
      <x:c r="AO582" s="15" t="str">
        <x:v>not_found_in_top_search</x:v>
      </x:c>
    </x:row>
    <x:row r="583">
      <x:c r="A583" s="14" t="str">
        <x:v>W3-311</x:v>
      </x:c>
      <x:c r="B583" s="14" t="str">
        <x:v>Prozorro winners — 24.08</x:v>
      </x:c>
      <x:c r="C583" s="14" t="str">
        <x:v>ФОП Пінтеску Ірина Володимирівна</x:v>
      </x:c>
      <x:c r="D583" s="14" t="str">
        <x:v>Мости / інфраструктура</x:v>
      </x:c>
      <x:c r="E583" s="14" t="str">
        <x:v>Expansion discovery</x:v>
      </x:c>
      <x:c r="F583" s="17" t="str">
        <x:v>D3</x:v>
      </x:c>
      <x:c r="G583" s="14" t="str"/>
      <x:c r="H583" s="14" t="str">
        <x:v>Discovery розширення — 2 тижні</x:v>
      </x:c>
      <x:c r="I583" s="16" t="n">
        <x:v>1</x:v>
      </x:c>
      <x:c r="J583" s="16" t="n">
        <x:v>5</x:v>
      </x:c>
      <x:c r="K583" s="16" t="n">
        <x:v>4</x:v>
      </x:c>
      <x:c r="L583" s="16" t="n">
        <x:v>2</x:v>
      </x:c>
      <x:c r="M583" s="16" t="n">
        <x:v>5</x:v>
      </x:c>
      <x:c r="N583" s="16" t="n">
        <x:v>3</x:v>
      </x:c>
      <x:c r="O583" s="16" t="n">
        <x:v>5</x:v>
      </x:c>
      <x:c r="P583" s="16" t="n">
        <x:f>IF(COUNT(I583:O583)&lt;7,"",I583*8+J583*3+K583*2+L583*2+M583*2+N583*2+O583)</x:f>
        <x:v>56</x:v>
      </x:c>
      <x:c r="Q583" s="16" t="n">
        <x:f>IF(COUNT(J583:O583)&lt;6,"",J583*5+K583*4+M583*4+L583*3+N583*2+O583*2)</x:f>
        <x:v>83</x:v>
      </x:c>
      <x:c r="R583" s="14" t="str">
        <x:v>high</x:v>
      </x:c>
      <x:c r="S583" s="14" t="str">
        <x:v>official_prozorro_award_2025_2026</x:v>
      </x:c>
      <x:c r="T583" s="14" t="str">
        <x:v>official_prozorro_api</x:v>
      </x:c>
      <x:c r="U583" s="14" t="str">
        <x:v>Не контактували</x:v>
      </x:c>
      <x:c r="V583" s="15" t="str">
        <x:v>Workflow-audit outreach по UA-2026-08-07-007492-a; попросити 1 пакет здачі та вимоги проєкту</x:v>
      </x:c>
      <x:c r="W583" s="15" t="str">
        <x:v>Власник / виконавець; відповідальний за договір</x:v>
      </x:c>
      <x:c r="X583" s="15" t="str">
        <x:v>1 підтверджених перемог/договорів у Prozorro на 272 400 грн; 0 проєктів зі строком виконання не раніше 24.08.2026.</x:v>
      </x:c>
      <x:c r="Y583"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 строк до 2026-08-15. Попросити один знеособлений пакет здачі за цим workflow.</x:v>
      </x:c>
      <x:c r="Z583" s="15" t="str">
        <x:v>https://prozorro.gov.ua/tender/UA-2026-08-07-007492-a</x:v>
      </x:c>
      <x:c r="AA583" s="14" t="str">
        <x:v>3052119989</x:v>
      </x:c>
      <x:c r="AB583" s="14" t="str">
        <x:v>2026-08-24</x:v>
      </x:c>
      <x:c r="AC583" s="14" t="str"/>
      <x:c r="AD583" s="20" t="str"/>
      <x:c r="AE583" s="14" t="str"/>
      <x:c r="AF583" s="14" t="n">
        <x:v>48</x:v>
      </x:c>
      <x:c r="AG583" s="14" t="str">
        <x:v>I3</x:v>
      </x:c>
      <x:c r="AH583" s="14" t="n">
        <x:v>1</x:v>
      </x:c>
      <x:c r="AI583" s="14" t="n">
        <x:v>0</x:v>
      </x:c>
      <x:c r="AJ583" s="18" t="n">
        <x:v>272400</x:v>
      </x:c>
      <x:c r="AK583" s="14" t="str">
        <x:v>https://prozorro.gov.ua/tender/UA-2026-08-07-007492-a</x:v>
      </x:c>
      <x:c r="AL583" s="19" t="n">
        <x:v>46241.46543015046</x:v>
      </x:c>
      <x:c r="AM583" s="19" t="n">
        <x:v>46249</x:v>
      </x:c>
      <x:c r="AN583" s="15" t="str">
        <x:v>Мости / інфраструктура</x:v>
      </x:c>
      <x:c r="AO583" s="15" t="str">
        <x:v>not_found_in_top_search</x:v>
      </x:c>
    </x:row>
    <x:row r="584">
      <x:c r="A584" s="14" t="str">
        <x:v>W3-312</x:v>
      </x:c>
      <x:c r="B584" s="14" t="str">
        <x:v>Prozorro winners — 24.08</x:v>
      </x:c>
      <x:c r="C584" s="14" t="str">
        <x:v>БАРАН МИХАЙЛО МИРОНОВИЧ</x:v>
      </x:c>
      <x:c r="D584" s="14" t="str">
        <x:v>Промисловий холод</x:v>
      </x:c>
      <x:c r="E584" s="14" t="str">
        <x:v>Expansion discovery</x:v>
      </x:c>
      <x:c r="F584" s="17" t="str">
        <x:v>D3</x:v>
      </x:c>
      <x:c r="G584" s="14" t="str"/>
      <x:c r="H584" s="14" t="str">
        <x:v>Discovery розширення — 2 тижні</x:v>
      </x:c>
      <x:c r="I584" s="16" t="n">
        <x:v>1</x:v>
      </x:c>
      <x:c r="J584" s="16" t="n">
        <x:v>5</x:v>
      </x:c>
      <x:c r="K584" s="16" t="n">
        <x:v>4</x:v>
      </x:c>
      <x:c r="L584" s="16" t="n">
        <x:v>2</x:v>
      </x:c>
      <x:c r="M584" s="16" t="n">
        <x:v>5</x:v>
      </x:c>
      <x:c r="N584" s="16" t="n">
        <x:v>3</x:v>
      </x:c>
      <x:c r="O584" s="16" t="n">
        <x:v>5</x:v>
      </x:c>
      <x:c r="P584" s="16" t="n">
        <x:f>IF(COUNT(I584:O584)&lt;7,"",I584*8+J584*3+K584*2+L584*2+M584*2+N584*2+O584)</x:f>
        <x:v>56</x:v>
      </x:c>
      <x:c r="Q584" s="16" t="n">
        <x:f>IF(COUNT(J584:O584)&lt;6,"",J584*5+K584*4+M584*4+L584*3+N584*2+O584*2)</x:f>
        <x:v>83</x:v>
      </x:c>
      <x:c r="R584" s="14" t="str">
        <x:v>high</x:v>
      </x:c>
      <x:c r="S584" s="14" t="str">
        <x:v>official_prozorro_award_2025_2026</x:v>
      </x:c>
      <x:c r="T584" s="14" t="str">
        <x:v>official_prozorro_api</x:v>
      </x:c>
      <x:c r="U584" s="14" t="str">
        <x:v>Не контактували</x:v>
      </x:c>
      <x:c r="V584" s="15" t="str">
        <x:v>Workflow-audit outreach по UA-2026-07-20-007339-a; попросити 1 пакет здачі та вимоги проєкту</x:v>
      </x:c>
      <x:c r="W584" s="15" t="str">
        <x:v>Власник / виконавець; відповідальний за договір</x:v>
      </x:c>
      <x:c r="X584" s="15" t="str">
        <x:v>1 підтверджених перемог/договорів у Prozorro на 128 160 грн; 0 проєктів зі строком виконання не раніше 24.08.2026.</x:v>
      </x:c>
      <x:c r="Y584"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 строк до 2026-07-31. Попросити один знеособлений пакет здачі за цим workflow.</x:v>
      </x:c>
      <x:c r="Z584" s="15" t="str">
        <x:v>https://prozorro.gov.ua/tender/UA-2026-07-20-007339-a</x:v>
      </x:c>
      <x:c r="AA584" s="14" t="str">
        <x:v>3272605818</x:v>
      </x:c>
      <x:c r="AB584" s="14" t="str">
        <x:v>2026-08-24</x:v>
      </x:c>
      <x:c r="AC584" s="14" t="str"/>
      <x:c r="AD584" s="20" t="str"/>
      <x:c r="AE584" s="14" t="str"/>
      <x:c r="AF584" s="14" t="n">
        <x:v>48</x:v>
      </x:c>
      <x:c r="AG584" s="14" t="str">
        <x:v>I3</x:v>
      </x:c>
      <x:c r="AH584" s="14" t="n">
        <x:v>1</x:v>
      </x:c>
      <x:c r="AI584" s="14" t="n">
        <x:v>0</x:v>
      </x:c>
      <x:c r="AJ584" s="18" t="n">
        <x:v>128160</x:v>
      </x:c>
      <x:c r="AK584" s="14" t="str">
        <x:v>https://prozorro.gov.ua/tender/UA-2026-07-20-007339-a</x:v>
      </x:c>
      <x:c r="AL584" s="19" t="n">
        <x:v>46223.503721168985</x:v>
      </x:c>
      <x:c r="AM584" s="19" t="n">
        <x:v>46234</x:v>
      </x:c>
      <x:c r="AN584" s="15" t="str">
        <x:v>Промисловий холод</x:v>
      </x:c>
      <x:c r="AO584" s="15" t="str">
        <x:v>not_found_in_top_search</x:v>
      </x:c>
    </x:row>
    <x:row r="585">
      <x:c r="A585" s="14" t="str">
        <x:v>W3-313</x:v>
      </x:c>
      <x:c r="B585" s="14" t="str">
        <x:v>Prozorro winners — 24.08</x:v>
      </x:c>
      <x:c r="C585" s="14" t="str">
        <x:v>ТОВАРИСТВО З ОБМЕЖЕНОЮ ВІДПОВІДАЛЬНІСТЮ "ГЕОДЕЗИЧНА КОМПАНІЯ "ГЕОПРОМ"</x:v>
      </x:c>
      <x:c r="D585" s="14" t="str">
        <x:v>Водоочищення / очисні споруди</x:v>
      </x:c>
      <x:c r="E585" s="14" t="str">
        <x:v>Expansion discovery</x:v>
      </x:c>
      <x:c r="F585" s="17" t="str">
        <x:v>D3</x:v>
      </x:c>
      <x:c r="G585" s="14" t="str"/>
      <x:c r="H585" s="14" t="str">
        <x:v>Discovery розширення — 2 тижні</x:v>
      </x:c>
      <x:c r="I585" s="16" t="n">
        <x:v>1</x:v>
      </x:c>
      <x:c r="J585" s="16" t="n">
        <x:v>5</x:v>
      </x:c>
      <x:c r="K585" s="16" t="n">
        <x:v>4</x:v>
      </x:c>
      <x:c r="L585" s="16" t="n">
        <x:v>1</x:v>
      </x:c>
      <x:c r="M585" s="16" t="n">
        <x:v>5</x:v>
      </x:c>
      <x:c r="N585" s="16" t="n">
        <x:v>5</x:v>
      </x:c>
      <x:c r="O585" s="16" t="n">
        <x:v>5</x:v>
      </x:c>
      <x:c r="P585" s="16" t="n">
        <x:f>IF(COUNT(I585:O585)&lt;7,"",I585*8+J585*3+K585*2+L585*2+M585*2+N585*2+O585)</x:f>
        <x:v>58</x:v>
      </x:c>
      <x:c r="Q585" s="16" t="n">
        <x:f>IF(COUNT(J585:O585)&lt;6,"",J585*5+K585*4+M585*4+L585*3+N585*2+O585*2)</x:f>
        <x:v>84</x:v>
      </x:c>
      <x:c r="R585" s="14" t="str">
        <x:v>high</x:v>
      </x:c>
      <x:c r="S585" s="14" t="str">
        <x:v>official_prozorro_award_2025_2026</x:v>
      </x:c>
      <x:c r="T585" s="14" t="str">
        <x:v>official_prozorro_api</x:v>
      </x:c>
      <x:c r="U585" s="14" t="str">
        <x:v>Не контактували</x:v>
      </x:c>
      <x:c r="V585" s="15" t="str">
        <x:v>Workflow-audit outreach по UA-2026-04-03-003509-a; попросити 1 пакет здачі та вимоги проєкту</x:v>
      </x:c>
      <x:c r="W585" s="15" t="str">
        <x:v>Власник / директор; керівник ПТО; відповідальний за договори</x:v>
      </x:c>
      <x:c r="X585" s="15" t="str">
        <x:v>2 підтверджених перемог/договорів у Prozorro на 89 763 грн; 2 проєктів зі строком виконання не раніше 24.08.2026.</x:v>
      </x:c>
      <x:c r="Y585"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 строк до 2026-12-31. Попросити один знеособлений пакет здачі за цим workflow.</x:v>
      </x:c>
      <x:c r="Z585" s="15" t="str">
        <x:v>https://prozorro.gov.ua/tender/UA-2026-04-03-003509-a</x:v>
      </x:c>
      <x:c r="AA585" s="14" t="str">
        <x:v>39747316</x:v>
      </x:c>
      <x:c r="AB585" s="14" t="str">
        <x:v>2026-08-24</x:v>
      </x:c>
      <x:c r="AC585" s="14" t="str"/>
      <x:c r="AD585" s="20" t="str"/>
      <x:c r="AE585" s="14" t="str"/>
      <x:c r="AF585" s="14" t="n">
        <x:v>48</x:v>
      </x:c>
      <x:c r="AG585" s="14" t="str">
        <x:v>I3</x:v>
      </x:c>
      <x:c r="AH585" s="14" t="n">
        <x:v>2</x:v>
      </x:c>
      <x:c r="AI585" s="14" t="n">
        <x:v>2</x:v>
      </x:c>
      <x:c r="AJ585" s="18" t="n">
        <x:v>89763</x:v>
      </x:c>
      <x:c r="AK585" s="14" t="str">
        <x:v>https://prozorro.gov.ua/tender/UA-2026-04-03-003509-a</x:v>
      </x:c>
      <x:c r="AL585" s="19" t="n">
        <x:v>46115.331812083336</x:v>
      </x:c>
      <x:c r="AM585" s="19" t="n">
        <x:v>46387</x:v>
      </x:c>
      <x:c r="AN585" s="15" t="str">
        <x:v>Водоочищення / очисні споруди</x:v>
      </x:c>
      <x:c r="AO585" s="15" t="str">
        <x:v>not_found_in_top_search</x:v>
      </x:c>
    </x:row>
    <x:row r="586">
      <x:c r="A586" s="14" t="str">
        <x:v>W3-314</x:v>
      </x:c>
      <x:c r="B586" s="14" t="str">
        <x:v>Prozorro winners — 24.08</x:v>
      </x:c>
      <x:c r="C586" s="14" t="str">
        <x:v>ФОП Городецький Володимир Володимирович</x:v>
      </x:c>
      <x:c r="D586" s="14" t="str">
        <x:v>Безпека / СКУД / CCTV</x:v>
      </x:c>
      <x:c r="E586" s="14" t="str">
        <x:v>Expansion discovery</x:v>
      </x:c>
      <x:c r="F586" s="17" t="str">
        <x:v>D3</x:v>
      </x:c>
      <x:c r="G586" s="14" t="str"/>
      <x:c r="H586" s="14" t="str">
        <x:v>Discovery розширення — 2 тижні</x:v>
      </x:c>
      <x:c r="I586" s="16" t="n">
        <x:v>1</x:v>
      </x:c>
      <x:c r="J586" s="16" t="n">
        <x:v>5</x:v>
      </x:c>
      <x:c r="K586" s="16" t="n">
        <x:v>4</x:v>
      </x:c>
      <x:c r="L586" s="16" t="n">
        <x:v>1</x:v>
      </x:c>
      <x:c r="M586" s="16" t="n">
        <x:v>5</x:v>
      </x:c>
      <x:c r="N586" s="16" t="n">
        <x:v>3</x:v>
      </x:c>
      <x:c r="O586" s="16" t="n">
        <x:v>5</x:v>
      </x:c>
      <x:c r="P586" s="16" t="n">
        <x:f>IF(COUNT(I586:O586)&lt;7,"",I586*8+J586*3+K586*2+L586*2+M586*2+N586*2+O586)</x:f>
        <x:v>54</x:v>
      </x:c>
      <x:c r="Q586" s="16" t="n">
        <x:f>IF(COUNT(J586:O586)&lt;6,"",J586*5+K586*4+M586*4+L586*3+N586*2+O586*2)</x:f>
        <x:v>80</x:v>
      </x:c>
      <x:c r="R586" s="14" t="str">
        <x:v>high</x:v>
      </x:c>
      <x:c r="S586" s="14" t="str">
        <x:v>official_prozorro_award_2025_2026</x:v>
      </x:c>
      <x:c r="T586" s="14" t="str">
        <x:v>official_prozorro_api</x:v>
      </x:c>
      <x:c r="U586" s="14" t="str">
        <x:v>Не контактували</x:v>
      </x:c>
      <x:c r="V586" s="15" t="str">
        <x:v>Workflow-audit outreach по UA-2026-07-08-003023-a; попросити 1 пакет здачі та вимоги проєкту</x:v>
      </x:c>
      <x:c r="W586" s="15" t="str">
        <x:v>Власник / виконавець; відповідальний за договір</x:v>
      </x:c>
      <x:c r="X586" s="15" t="str">
        <x:v>2 підтверджених перемог/договорів у Prozorro на 86 418 грн; 1 проєктів зі строком виконання не раніше 24.08.2026.</x:v>
      </x:c>
      <x:c r="Y586" s="15" t="str">
        <x:v>Послуги з монтажу та налагодження системи відеоспостереження; строк до 2026-12-31. Попросити один знеособлений пакет здачі за цим workflow.</x:v>
      </x:c>
      <x:c r="Z586" s="15" t="str">
        <x:v>https://prozorro.gov.ua/tender/UA-2026-07-08-003023-a</x:v>
      </x:c>
      <x:c r="AA586" s="14" t="str">
        <x:v>3114503914</x:v>
      </x:c>
      <x:c r="AB586" s="14" t="str">
        <x:v>2026-08-24</x:v>
      </x:c>
      <x:c r="AC586" s="14" t="str"/>
      <x:c r="AD586" s="20" t="str"/>
      <x:c r="AE586" s="14" t="str"/>
      <x:c r="AF586" s="14" t="n">
        <x:v>48</x:v>
      </x:c>
      <x:c r="AG586" s="14" t="str">
        <x:v>I3</x:v>
      </x:c>
      <x:c r="AH586" s="14" t="n">
        <x:v>2</x:v>
      </x:c>
      <x:c r="AI586" s="14" t="n">
        <x:v>1</x:v>
      </x:c>
      <x:c r="AJ586" s="18" t="n">
        <x:v>86418</x:v>
      </x:c>
      <x:c r="AK586" s="14" t="str">
        <x:v>https://prozorro.gov.ua/tender/UA-2026-07-08-003023-a</x:v>
      </x:c>
      <x:c r="AL586" s="19" t="n">
        <x:v>46211.336785775464</x:v>
      </x:c>
      <x:c r="AM586" s="19" t="n">
        <x:v>46387.38082175926</x:v>
      </x:c>
      <x:c r="AN586" s="15" t="str">
        <x:v>Безпека / СКУД / CCTV</x:v>
      </x:c>
      <x:c r="AO586" s="15" t="str">
        <x:v>not_found_in_top_search</x:v>
      </x:c>
    </x:row>
    <x:row r="587">
      <x:c r="A587" s="14" t="str">
        <x:v>W3-315</x:v>
      </x:c>
      <x:c r="B587" s="14" t="str">
        <x:v>Prozorro winners — 24.08</x:v>
      </x:c>
      <x:c r="C587" s="14" t="str">
        <x:v>ПРИВАТНЕ ПІДПРИЄМСТВО "ППА-СЕРВІС"</x:v>
      </x:c>
      <x:c r="D587" s="14" t="str">
        <x:v>Безпека / СКУД / CCTV</x:v>
      </x:c>
      <x:c r="E587" s="14" t="str">
        <x:v>Expansion discovery</x:v>
      </x:c>
      <x:c r="F587" s="17" t="str">
        <x:v>D3</x:v>
      </x:c>
      <x:c r="G587" s="14" t="str"/>
      <x:c r="H587" s="14" t="str">
        <x:v>Discovery розширення — 2 тижні</x:v>
      </x:c>
      <x:c r="I587" s="16" t="n">
        <x:v>1</x:v>
      </x:c>
      <x:c r="J587" s="16" t="n">
        <x:v>5</x:v>
      </x:c>
      <x:c r="K587" s="16" t="n">
        <x:v>4</x:v>
      </x:c>
      <x:c r="L587" s="16" t="n">
        <x:v>1</x:v>
      </x:c>
      <x:c r="M587" s="16" t="n">
        <x:v>5</x:v>
      </x:c>
      <x:c r="N587" s="16" t="n">
        <x:v>5</x:v>
      </x:c>
      <x:c r="O587" s="16" t="n">
        <x:v>5</x:v>
      </x:c>
      <x:c r="P587" s="16" t="n">
        <x:f>IF(COUNT(I587:O587)&lt;7,"",I587*8+J587*3+K587*2+L587*2+M587*2+N587*2+O587)</x:f>
        <x:v>58</x:v>
      </x:c>
      <x:c r="Q587" s="16" t="n">
        <x:f>IF(COUNT(J587:O587)&lt;6,"",J587*5+K587*4+M587*4+L587*3+N587*2+O587*2)</x:f>
        <x:v>84</x:v>
      </x:c>
      <x:c r="R587" s="14" t="str">
        <x:v>high</x:v>
      </x:c>
      <x:c r="S587" s="14" t="str">
        <x:v>official_prozorro_award_2025_2026</x:v>
      </x:c>
      <x:c r="T587" s="14" t="str">
        <x:v>official_prozorro_api</x:v>
      </x:c>
      <x:c r="U587" s="14" t="str">
        <x:v>Не контактували</x:v>
      </x:c>
      <x:c r="V587" s="15" t="str">
        <x:v>Workflow-audit outreach по UA-2026-04-08-000154-a; попросити 1 пакет здачі та вимоги проєкту</x:v>
      </x:c>
      <x:c r="W587" s="15" t="str">
        <x:v>Власник / директор; керівник ПТО; відповідальний за договори</x:v>
      </x:c>
      <x:c r="X587" s="15" t="str">
        <x:v>2 підтверджених перемог/договорів у Prozorro на 72 472 грн; 2 проєктів зі строком виконання не раніше 24.08.2026.</x:v>
      </x:c>
      <x:c r="Y587" s="15" t="str">
        <x:v>Послуги з монтажу та налаштування перепускної системи, а саме системи домофонного зв'язку та контролю доступу до неї; строк до 2026-12-31. Попросити один знеособлений пакет здачі за цим workflow.</x:v>
      </x:c>
      <x:c r="Z587" s="15" t="str">
        <x:v>https://prozorro.gov.ua/tender/UA-2026-04-08-000154-a</x:v>
      </x:c>
      <x:c r="AA587" s="14" t="str">
        <x:v>31188679</x:v>
      </x:c>
      <x:c r="AB587" s="14" t="str">
        <x:v>2026-08-24</x:v>
      </x:c>
      <x:c r="AC587" s="14" t="str"/>
      <x:c r="AD587" s="20" t="str"/>
      <x:c r="AE587" s="14" t="str"/>
      <x:c r="AF587" s="14" t="n">
        <x:v>48</x:v>
      </x:c>
      <x:c r="AG587" s="14" t="str">
        <x:v>I3</x:v>
      </x:c>
      <x:c r="AH587" s="14" t="n">
        <x:v>2</x:v>
      </x:c>
      <x:c r="AI587" s="14" t="n">
        <x:v>2</x:v>
      </x:c>
      <x:c r="AJ587" s="18" t="n">
        <x:v>72472</x:v>
      </x:c>
      <x:c r="AK587" s="14" t="str">
        <x:v>https://prozorro.gov.ua/tender/UA-2026-04-08-000154-a</x:v>
      </x:c>
      <x:c r="AL587" s="19" t="n">
        <x:v>46120.22883804398</x:v>
      </x:c>
      <x:c r="AM587" s="19" t="n">
        <x:v>46387</x:v>
      </x:c>
      <x:c r="AN587" s="15" t="str">
        <x:v>Безпека / СКУД / CCTV</x:v>
      </x:c>
      <x:c r="AO587" s="15" t="str">
        <x:v>not_found_in_top_search</x:v>
      </x:c>
    </x:row>
    <x:row r="588">
      <x:c r="A588" s="14" t="str">
        <x:v>W3-316</x:v>
      </x:c>
      <x:c r="B588" s="14" t="str">
        <x:v>Prozorro winners — 24.08</x:v>
      </x:c>
      <x:c r="C588" s="14" t="str">
        <x:v>Фізична особа-підприємець Петрук Олександр Володимирович</x:v>
      </x:c>
      <x:c r="D588" s="14" t="str">
        <x:v>Безпека / СКУД / CCTV</x:v>
      </x:c>
      <x:c r="E588" s="14" t="str">
        <x:v>Expansion discovery</x:v>
      </x:c>
      <x:c r="F588" s="17" t="str">
        <x:v>D3</x:v>
      </x:c>
      <x:c r="G588" s="14" t="str"/>
      <x:c r="H588" s="14" t="str">
        <x:v>Discovery розширення — 2 тижні</x:v>
      </x:c>
      <x:c r="I588" s="16" t="n">
        <x:v>1</x:v>
      </x:c>
      <x:c r="J588" s="16" t="n">
        <x:v>5</x:v>
      </x:c>
      <x:c r="K588" s="16" t="n">
        <x:v>4</x:v>
      </x:c>
      <x:c r="L588" s="16" t="n">
        <x:v>1</x:v>
      </x:c>
      <x:c r="M588" s="16" t="n">
        <x:v>5</x:v>
      </x:c>
      <x:c r="N588" s="16" t="n">
        <x:v>3</x:v>
      </x:c>
      <x:c r="O588" s="16" t="n">
        <x:v>5</x:v>
      </x:c>
      <x:c r="P588" s="16" t="n">
        <x:f>IF(COUNT(I588:O588)&lt;7,"",I588*8+J588*3+K588*2+L588*2+M588*2+N588*2+O588)</x:f>
        <x:v>54</x:v>
      </x:c>
      <x:c r="Q588" s="16" t="n">
        <x:f>IF(COUNT(J588:O588)&lt;6,"",J588*5+K588*4+M588*4+L588*3+N588*2+O588*2)</x:f>
        <x:v>80</x:v>
      </x:c>
      <x:c r="R588" s="14" t="str">
        <x:v>high</x:v>
      </x:c>
      <x:c r="S588" s="14" t="str">
        <x:v>official_prozorro_award_2025_2026</x:v>
      </x:c>
      <x:c r="T588" s="14" t="str">
        <x:v>official_prozorro_api</x:v>
      </x:c>
      <x:c r="U588" s="14" t="str">
        <x:v>Не контактували</x:v>
      </x:c>
      <x:c r="V588" s="15" t="str">
        <x:v>Workflow-audit outreach по UA-2026-06-01-010801-a; попросити 1 пакет здачі та вимоги проєкту</x:v>
      </x:c>
      <x:c r="W588" s="15" t="str">
        <x:v>Власник / виконавець; відповідальний за договір</x:v>
      </x:c>
      <x:c r="X588" s="15" t="str">
        <x:v>2 підтверджених перемог/договорів у Prozorro на 28 866 грн; 1 проєктів зі строком виконання не раніше 24.08.2026.</x:v>
      </x:c>
      <x:c r="Y588" s="15" t="str">
        <x:v>Послуги з монтажу системи відеоспостереження; строк до 2026-06-30. Попросити один знеособлений пакет здачі за цим workflow.</x:v>
      </x:c>
      <x:c r="Z588" s="15" t="str">
        <x:v>https://prozorro.gov.ua/tender/UA-2026-06-01-010801-a</x:v>
      </x:c>
      <x:c r="AA588" s="14" t="str">
        <x:v>3283004214</x:v>
      </x:c>
      <x:c r="AB588" s="14" t="str">
        <x:v>2026-08-24</x:v>
      </x:c>
      <x:c r="AC588" s="14" t="str"/>
      <x:c r="AD588" s="20" t="str"/>
      <x:c r="AE588" s="14" t="str"/>
      <x:c r="AF588" s="14" t="n">
        <x:v>48</x:v>
      </x:c>
      <x:c r="AG588" s="14" t="str">
        <x:v>I3</x:v>
      </x:c>
      <x:c r="AH588" s="14" t="n">
        <x:v>2</x:v>
      </x:c>
      <x:c r="AI588" s="14" t="n">
        <x:v>1</x:v>
      </x:c>
      <x:c r="AJ588" s="18" t="n">
        <x:v>28866</x:v>
      </x:c>
      <x:c r="AK588" s="14" t="str">
        <x:v>https://prozorro.gov.ua/tender/UA-2026-06-01-010801-a</x:v>
      </x:c>
      <x:c r="AL588" s="19" t="n">
        <x:v>46174.57358927083</x:v>
      </x:c>
      <x:c r="AM588" s="19" t="n">
        <x:v>46203</x:v>
      </x:c>
      <x:c r="AN588" s="15" t="str">
        <x:v>Безпека / СКУД / CCTV</x:v>
      </x:c>
      <x:c r="AO588" s="15" t="str">
        <x:v>not_found_in_top_search</x:v>
      </x:c>
    </x:row>
    <x:row r="589">
      <x:c r="A589" s="14" t="str">
        <x:v>W3-317</x:v>
      </x:c>
      <x:c r="B589" s="14" t="str">
        <x:v>Prozorro winners — 24.08</x:v>
      </x:c>
      <x:c r="C589" s="14" t="str">
        <x:v>МОСТОВЕНКО ІГОР ВОЛОДИМИРОВИЧ</x:v>
      </x:c>
      <x:c r="D589" s="14" t="str">
        <x:v>Електромонтаж</x:v>
      </x:c>
      <x:c r="E589" s="14" t="str">
        <x:v>Pilot now</x:v>
      </x:c>
      <x:c r="F589" s="17" t="str">
        <x:v>P3</x:v>
      </x:c>
      <x:c r="G589" s="14" t="str"/>
      <x:c r="H589" s="14" t="str">
        <x:v>Пілот зараз — Н.15</x:v>
      </x:c>
      <x:c r="I589" s="16" t="n">
        <x:v>5</x:v>
      </x:c>
      <x:c r="J589" s="16" t="n">
        <x:v>5</x:v>
      </x:c>
      <x:c r="K589" s="16" t="n">
        <x:v>5</x:v>
      </x:c>
      <x:c r="L589" s="16" t="n">
        <x:v>1</x:v>
      </x:c>
      <x:c r="M589" s="16" t="n">
        <x:v>5</x:v>
      </x:c>
      <x:c r="N589" s="16" t="n">
        <x:v>3</x:v>
      </x:c>
      <x:c r="O589" s="16" t="n">
        <x:v>5</x:v>
      </x:c>
      <x:c r="P589" s="16" t="n">
        <x:f>IF(COUNT(I589:O589)&lt;7,"",I589*8+J589*3+K589*2+L589*2+M589*2+N589*2+O589)</x:f>
        <x:v>88</x:v>
      </x:c>
      <x:c r="Q589" s="16" t="n">
        <x:f>IF(COUNT(J589:O589)&lt;6,"",J589*5+K589*4+M589*4+L589*3+N589*2+O589*2)</x:f>
        <x:v>84</x:v>
      </x:c>
      <x:c r="R589" s="14" t="str">
        <x:v>high</x:v>
      </x:c>
      <x:c r="S589" s="14" t="str">
        <x:v>official_prozorro_award_2025_2026</x:v>
      </x:c>
      <x:c r="T589" s="14" t="str">
        <x:v>official_prozorro_api</x:v>
      </x:c>
      <x:c r="U589" s="14" t="str">
        <x:v>Не контактували</x:v>
      </x:c>
      <x:c r="V589" s="15" t="str">
        <x:v>Персоналізований free-pilot outreach по UA-2026-07-08-007220-a; попросити 1 пакет Н.14/Н.15</x:v>
      </x:c>
      <x:c r="W589" s="15" t="str">
        <x:v>Власник / виконавець; відповідальний за договір</x:v>
      </x:c>
      <x:c r="X589" s="15" t="str">
        <x:v>2 підтверджених перемог/договорів у Prozorro на 5 000 грн; 1 проєктів зі строком виконання не раніше 24.08.2026.</x:v>
      </x:c>
      <x:c r="Y58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 строк до 2026-12-31. Попросити один знеособлений пакет здачі за цим workflow.</x:v>
      </x:c>
      <x:c r="Z589" s="15" t="str">
        <x:v>https://prozorro.gov.ua/tender/UA-2026-07-08-007220-a</x:v>
      </x:c>
      <x:c r="AA589" s="14" t="str">
        <x:v>2925317359</x:v>
      </x:c>
      <x:c r="AB589" s="14" t="str">
        <x:v>2026-08-24</x:v>
      </x:c>
      <x:c r="AC589" s="14" t="str"/>
      <x:c r="AD589" s="20" t="str"/>
      <x:c r="AE589" s="14" t="str"/>
      <x:c r="AF589" s="14" t="n">
        <x:v>48</x:v>
      </x:c>
      <x:c r="AG589" s="14" t="str">
        <x:v>I3</x:v>
      </x:c>
      <x:c r="AH589" s="14" t="n">
        <x:v>2</x:v>
      </x:c>
      <x:c r="AI589" s="14" t="n">
        <x:v>1</x:v>
      </x:c>
      <x:c r="AJ589" s="18" t="n">
        <x:v>5000</x:v>
      </x:c>
      <x:c r="AK589" s="14" t="str">
        <x:v>https://prozorro.gov.ua/tender/UA-2026-07-08-007220-a</x:v>
      </x:c>
      <x:c r="AL589" s="19" t="n">
        <x:v>46211.47979754629</x:v>
      </x:c>
      <x:c r="AM589" s="19" t="n">
        <x:v>46387</x:v>
      </x:c>
      <x:c r="AN589" s="15" t="str">
        <x:v>Електромонтаж</x:v>
      </x:c>
      <x:c r="AO589" s="15" t="str">
        <x:v>not_found_in_top_search</x:v>
      </x:c>
    </x:row>
    <x:row r="590">
      <x:c r="A590" s="14" t="str">
        <x:v>W3-318</x:v>
      </x:c>
      <x:c r="B590" s="14" t="str">
        <x:v>Prozorro winners — 24.08</x:v>
      </x:c>
      <x:c r="C590" s="14" t="str">
        <x:v>Фізична особа - підприємець Гумен Ігор Ігорович</x:v>
      </x:c>
      <x:c r="D590" s="14" t="str">
        <x:v>Безпека / СКУД / CCTV</x:v>
      </x:c>
      <x:c r="E590" s="14" t="str">
        <x:v>Expansion discovery</x:v>
      </x:c>
      <x:c r="F590" s="17" t="str">
        <x:v>D3</x:v>
      </x:c>
      <x:c r="G590" s="14" t="str"/>
      <x:c r="H590" s="14" t="str">
        <x:v>Discovery розширення — 2 тижні</x:v>
      </x:c>
      <x:c r="I590" s="16" t="n">
        <x:v>1</x:v>
      </x:c>
      <x:c r="J590" s="16" t="n">
        <x:v>5</x:v>
      </x:c>
      <x:c r="K590" s="16" t="n">
        <x:v>4</x:v>
      </x:c>
      <x:c r="L590" s="16" t="n">
        <x:v>1</x:v>
      </x:c>
      <x:c r="M590" s="16" t="n">
        <x:v>5</x:v>
      </x:c>
      <x:c r="N590" s="16" t="n">
        <x:v>3</x:v>
      </x:c>
      <x:c r="O590" s="16" t="n">
        <x:v>5</x:v>
      </x:c>
      <x:c r="P590" s="16" t="n">
        <x:f>IF(COUNT(I590:O590)&lt;7,"",I590*8+J590*3+K590*2+L590*2+M590*2+N590*2+O590)</x:f>
        <x:v>54</x:v>
      </x:c>
      <x:c r="Q590" s="16" t="n">
        <x:f>IF(COUNT(J590:O590)&lt;6,"",J590*5+K590*4+M590*4+L590*3+N590*2+O590*2)</x:f>
        <x:v>80</x:v>
      </x:c>
      <x:c r="R590" s="14" t="str">
        <x:v>high</x:v>
      </x:c>
      <x:c r="S590" s="14" t="str">
        <x:v>official_prozorro_award_2025_2026</x:v>
      </x:c>
      <x:c r="T590" s="14" t="str">
        <x:v>official_prozorro_api</x:v>
      </x:c>
      <x:c r="U590" s="14" t="str">
        <x:v>Не контактували</x:v>
      </x:c>
      <x:c r="V590" s="15" t="str">
        <x:v>Workflow-audit outreach по UA-2026-04-27-008025-a; попросити 1 пакет здачі та вимоги проєкту</x:v>
      </x:c>
      <x:c r="W590" s="15" t="str">
        <x:v>Власник / виконавець; відповідальний за договір</x:v>
      </x:c>
      <x:c r="X590" s="15" t="str">
        <x:v>3 підтверджених перемог/договорів у Prozorro на 2 130 грн; 0 проєктів зі строком виконання не раніше 24.08.2026.</x:v>
      </x:c>
      <x:c r="Y590" s="15" t="str">
        <x:v>Розетка "Luxel" для монтажу системи контролю доступу (домофонної системи) у ЗДО №75 Львівської міської ради (ДК 021:2015:31220000-4 - Елементи електричних схем); строк до 2026-07-30. Попросити один знеособлений пакет здачі за цим workflow.</x:v>
      </x:c>
      <x:c r="Z590" s="15" t="str">
        <x:v>https://prozorro.gov.ua/tender/UA-2026-04-27-008025-a</x:v>
      </x:c>
      <x:c r="AA590" s="14" t="str">
        <x:v>3346402459</x:v>
      </x:c>
      <x:c r="AB590" s="14" t="str">
        <x:v>2026-08-24</x:v>
      </x:c>
      <x:c r="AC590" s="14" t="str"/>
      <x:c r="AD590" s="20" t="str"/>
      <x:c r="AE590" s="14" t="str"/>
      <x:c r="AF590" s="14" t="n">
        <x:v>48</x:v>
      </x:c>
      <x:c r="AG590" s="14" t="str">
        <x:v>I3</x:v>
      </x:c>
      <x:c r="AH590" s="14" t="n">
        <x:v>3</x:v>
      </x:c>
      <x:c r="AI590" s="14" t="n">
        <x:v>0</x:v>
      </x:c>
      <x:c r="AJ590" s="18" t="n">
        <x:v>2130</x:v>
      </x:c>
      <x:c r="AK590" s="14" t="str">
        <x:v>https://prozorro.gov.ua/tender/UA-2026-04-27-008025-a</x:v>
      </x:c>
      <x:c r="AL590" s="19" t="n">
        <x:v>46139.473454189814</x:v>
      </x:c>
      <x:c r="AM590" s="19" t="n">
        <x:v>46233</x:v>
      </x:c>
      <x:c r="AN590" s="15" t="str">
        <x:v>Безпека / СКУД / CCTV</x:v>
      </x:c>
      <x:c r="AO590" s="15" t="str">
        <x:v>not_found_in_top_search</x:v>
      </x:c>
    </x:row>
    <x:row r="591">
      <x:c r="A591" s="14" t="str">
        <x:v>W3-319</x:v>
      </x:c>
      <x:c r="B591" s="14" t="str">
        <x:v>Prozorro winners — 24.08</x:v>
      </x:c>
      <x:c r="C591" s="14" t="str">
        <x:v>БРОДОВСЬКИЙ АНДРІЙ ПЕТРОВИЧ</x:v>
      </x:c>
      <x:c r="D591" s="14" t="str">
        <x:v>Газопостачання / котельні</x:v>
      </x:c>
      <x:c r="E591" s="14" t="str">
        <x:v>Expansion discovery</x:v>
      </x:c>
      <x:c r="F591" s="17" t="str">
        <x:v>D3</x:v>
      </x:c>
      <x:c r="G591" s="14" t="str"/>
      <x:c r="H591" s="14" t="str">
        <x:v>Discovery розширення — 2 тижні</x:v>
      </x:c>
      <x:c r="I591" s="16" t="n">
        <x:v>1</x:v>
      </x:c>
      <x:c r="J591" s="16" t="n">
        <x:v>5</x:v>
      </x:c>
      <x:c r="K591" s="16" t="n">
        <x:v>4</x:v>
      </x:c>
      <x:c r="L591" s="16" t="n">
        <x:v>4</x:v>
      </x:c>
      <x:c r="M591" s="16" t="n">
        <x:v>5</x:v>
      </x:c>
      <x:c r="N591" s="16" t="n">
        <x:v>3</x:v>
      </x:c>
      <x:c r="O591" s="16" t="n">
        <x:v>5</x:v>
      </x:c>
      <x:c r="P591" s="16" t="n">
        <x:f>IF(COUNT(I591:O591)&lt;7,"",I591*8+J591*3+K591*2+L591*2+M591*2+N591*2+O591)</x:f>
        <x:v>60</x:v>
      </x:c>
      <x:c r="Q591" s="16" t="n">
        <x:f>IF(COUNT(J591:O591)&lt;6,"",J591*5+K591*4+M591*4+L591*3+N591*2+O591*2)</x:f>
        <x:v>89</x:v>
      </x:c>
      <x:c r="R591" s="14" t="str">
        <x:v>high</x:v>
      </x:c>
      <x:c r="S591" s="14" t="str">
        <x:v>official_prozorro_award_2025_2026</x:v>
      </x:c>
      <x:c r="T591" s="14" t="str">
        <x:v>official_prozorro_api</x:v>
      </x:c>
      <x:c r="U591" s="14" t="str">
        <x:v>Не контактували</x:v>
      </x:c>
      <x:c r="V591" s="15" t="str">
        <x:v>Workflow-audit outreach по UA-2026-04-22-013301-a; попросити 1 пакет здачі та вимоги проєкту</x:v>
      </x:c>
      <x:c r="W591" s="15" t="str">
        <x:v>Власник / виконавець; відповідальний за договір</x:v>
      </x:c>
      <x:c r="X591" s="15" t="str">
        <x:v>1 підтверджених перемог/договорів у Prozorro на 2 552 942 грн; 1 проєктів зі строком виконання не раніше 24.08.2026.</x:v>
      </x:c>
      <x:c r="Y591"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 строк до 2026-08-31. Попросити один знеособлений пакет здачі за цим workflow.</x:v>
      </x:c>
      <x:c r="Z591" s="15" t="str">
        <x:v>https://prozorro.gov.ua/tender/UA-2026-04-22-013301-a</x:v>
      </x:c>
      <x:c r="AA591" s="14" t="str">
        <x:v>3223905592</x:v>
      </x:c>
      <x:c r="AB591" s="14" t="str">
        <x:v>2026-08-24</x:v>
      </x:c>
      <x:c r="AC591" s="14" t="str"/>
      <x:c r="AD591" s="20" t="str"/>
      <x:c r="AE591" s="14" t="str"/>
      <x:c r="AF591" s="14" t="n">
        <x:v>47</x:v>
      </x:c>
      <x:c r="AG591" s="14" t="str">
        <x:v>I3</x:v>
      </x:c>
      <x:c r="AH591" s="14" t="n">
        <x:v>1</x:v>
      </x:c>
      <x:c r="AI591" s="14" t="n">
        <x:v>1</x:v>
      </x:c>
      <x:c r="AJ591" s="18" t="n">
        <x:v>2552941.97</x:v>
      </x:c>
      <x:c r="AK591" s="14" t="str">
        <x:v>https://prozorro.gov.ua/tender/UA-2026-04-22-013301-a</x:v>
      </x:c>
      <x:c r="AL591" s="19" t="n">
        <x:v>46134.54516891204</x:v>
      </x:c>
      <x:c r="AM591" s="19" t="n">
        <x:v>46265</x:v>
      </x:c>
      <x:c r="AN591" s="15" t="str">
        <x:v>Газопостачання / котельні</x:v>
      </x:c>
      <x:c r="AO591" s="15" t="str">
        <x:v>not_found_in_top_search</x:v>
      </x:c>
    </x:row>
    <x:row r="592">
      <x:c r="A592" s="14" t="str">
        <x:v>W3-320</x:v>
      </x:c>
      <x:c r="B592" s="14" t="str">
        <x:v>Prozorro winners — 24.08</x:v>
      </x:c>
      <x:c r="C592" s="14" t="str">
        <x:v>ФОП Димидюк Олександр Миколайович</x:v>
      </x:c>
      <x:c r="D592" s="14" t="str">
        <x:v>Промисловий холод</x:v>
      </x:c>
      <x:c r="E592" s="14" t="str">
        <x:v>Expansion discovery</x:v>
      </x:c>
      <x:c r="F592" s="17" t="str">
        <x:v>D3</x:v>
      </x:c>
      <x:c r="G592" s="14" t="str"/>
      <x:c r="H592" s="14" t="str">
        <x:v>Discovery розширення — 2 тижні</x:v>
      </x:c>
      <x:c r="I592" s="16" t="n">
        <x:v>1</x:v>
      </x:c>
      <x:c r="J592" s="16" t="n">
        <x:v>5</x:v>
      </x:c>
      <x:c r="K592" s="16" t="n">
        <x:v>4</x:v>
      </x:c>
      <x:c r="L592" s="16" t="n">
        <x:v>4</x:v>
      </x:c>
      <x:c r="M592" s="16" t="n">
        <x:v>5</x:v>
      </x:c>
      <x:c r="N592" s="16" t="n">
        <x:v>3</x:v>
      </x:c>
      <x:c r="O592" s="16" t="n">
        <x:v>5</x:v>
      </x:c>
      <x:c r="P592" s="16" t="n">
        <x:f>IF(COUNT(I592:O592)&lt;7,"",I592*8+J592*3+K592*2+L592*2+M592*2+N592*2+O592)</x:f>
        <x:v>60</x:v>
      </x:c>
      <x:c r="Q592" s="16" t="n">
        <x:f>IF(COUNT(J592:O592)&lt;6,"",J592*5+K592*4+M592*4+L592*3+N592*2+O592*2)</x:f>
        <x:v>89</x:v>
      </x:c>
      <x:c r="R592" s="14" t="str">
        <x:v>high</x:v>
      </x:c>
      <x:c r="S592" s="14" t="str">
        <x:v>official_prozorro_award_2025_2026</x:v>
      </x:c>
      <x:c r="T592" s="14" t="str">
        <x:v>official_prozorro_api</x:v>
      </x:c>
      <x:c r="U592" s="14" t="str">
        <x:v>Не контактували</x:v>
      </x:c>
      <x:c r="V592" s="15" t="str">
        <x:v>Workflow-audit outreach по UA-2026-04-05-000075-a; попросити 1 пакет здачі та вимоги проєкту</x:v>
      </x:c>
      <x:c r="W592" s="15" t="str">
        <x:v>Власник / виконавець; відповідальний за договір</x:v>
      </x:c>
      <x:c r="X592" s="15" t="str">
        <x:v>2 підтверджених перемог/договорів у Prozorro на 2 450 000 грн; 0 проєктів зі строком виконання не раніше 24.08.2026.</x:v>
      </x:c>
      <x:c r="Y592" s="15" t="str">
        <x:v>Послуги з виготовлення та встановлення холодильного обладнання в існуючому підвальному приміщенні; строк до 2026-07-01. Попросити один знеособлений пакет здачі за цим workflow.</x:v>
      </x:c>
      <x:c r="Z592" s="15" t="str">
        <x:v>https://prozorro.gov.ua/tender/UA-2026-04-05-000075-a</x:v>
      </x:c>
      <x:c r="AA592" s="14" t="str">
        <x:v>3218015659</x:v>
      </x:c>
      <x:c r="AB592" s="14" t="str">
        <x:v>2026-08-24</x:v>
      </x:c>
      <x:c r="AC592" s="14" t="str"/>
      <x:c r="AD592" s="20" t="str"/>
      <x:c r="AE592" s="14" t="str"/>
      <x:c r="AF592" s="14" t="n">
        <x:v>47</x:v>
      </x:c>
      <x:c r="AG592" s="14" t="str">
        <x:v>I3</x:v>
      </x:c>
      <x:c r="AH592" s="14" t="n">
        <x:v>2</x:v>
      </x:c>
      <x:c r="AI592" s="14" t="n">
        <x:v>0</x:v>
      </x:c>
      <x:c r="AJ592" s="18" t="n">
        <x:v>2450000</x:v>
      </x:c>
      <x:c r="AK592" s="14" t="str">
        <x:v>https://prozorro.gov.ua/tender/UA-2026-04-05-000075-a</x:v>
      </x:c>
      <x:c r="AL592" s="19" t="n">
        <x:v>46132.21822082176</x:v>
      </x:c>
      <x:c r="AM592" s="19" t="n">
        <x:v>46204.32021990741</x:v>
      </x:c>
      <x:c r="AN592" s="15" t="str">
        <x:v>Промисловий холод</x:v>
      </x:c>
      <x:c r="AO592" s="15" t="str">
        <x:v>not_found_in_top_search</x:v>
      </x:c>
    </x:row>
    <x:row r="593">
      <x:c r="A593" s="14" t="str">
        <x:v>W3-321</x:v>
      </x:c>
      <x:c r="B593" s="14" t="str">
        <x:v>Prozorro winners — 24.08</x:v>
      </x:c>
      <x:c r="C593" s="14" t="str">
        <x:v>ФІЗИЧНА ОСОБА-ПІДПРИЄМЕЦЬ  ВАРИВОД СВІТЛАНАОЛЕКСІЇВНА </x:v>
      </x:c>
      <x:c r="D593" s="14" t="str">
        <x:v>Резервне живлення</x:v>
      </x:c>
      <x:c r="E593" s="14" t="str">
        <x:v>Expansion discovery</x:v>
      </x:c>
      <x:c r="F593" s="17" t="str">
        <x:v>D3</x:v>
      </x:c>
      <x:c r="G593" s="14" t="str"/>
      <x:c r="H593" s="14" t="str">
        <x:v>Discovery розширення — 2 тижні</x:v>
      </x:c>
      <x:c r="I593" s="16" t="n">
        <x:v>1</x:v>
      </x:c>
      <x:c r="J593" s="16" t="n">
        <x:v>5</x:v>
      </x:c>
      <x:c r="K593" s="16" t="n">
        <x:v>4</x:v>
      </x:c>
      <x:c r="L593" s="16" t="n">
        <x:v>2</x:v>
      </x:c>
      <x:c r="M593" s="16" t="n">
        <x:v>5</x:v>
      </x:c>
      <x:c r="N593" s="16" t="n">
        <x:v>3</x:v>
      </x:c>
      <x:c r="O593" s="16" t="n">
        <x:v>5</x:v>
      </x:c>
      <x:c r="P593" s="16" t="n">
        <x:f>IF(COUNT(I593:O593)&lt;7,"",I593*8+J593*3+K593*2+L593*2+M593*2+N593*2+O593)</x:f>
        <x:v>56</x:v>
      </x:c>
      <x:c r="Q593" s="16" t="n">
        <x:f>IF(COUNT(J593:O593)&lt;6,"",J593*5+K593*4+M593*4+L593*3+N593*2+O593*2)</x:f>
        <x:v>83</x:v>
      </x:c>
      <x:c r="R593" s="14" t="str">
        <x:v>high</x:v>
      </x:c>
      <x:c r="S593" s="14" t="str">
        <x:v>official_prozorro_award_2025_2026</x:v>
      </x:c>
      <x:c r="T593" s="14" t="str">
        <x:v>official_prozorro_api</x:v>
      </x:c>
      <x:c r="U593" s="14" t="str">
        <x:v>Не контактували</x:v>
      </x:c>
      <x:c r="V593" s="15" t="str">
        <x:v>Workflow-audit outreach по UA-2026-06-29-003504-a; попросити 1 пакет здачі та вимоги проєкту</x:v>
      </x:c>
      <x:c r="W593" s="15" t="str">
        <x:v>Власник / виконавець; відповідальний за договір</x:v>
      </x:c>
      <x:c r="X593" s="15" t="str">
        <x:v>1 підтверджених перемог/договорів у Prozorro на 400 000 грн; 1 проєктів зі строком виконання не раніше 24.08.2026.</x:v>
      </x:c>
      <x:c r="Y593"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 строк до 2026-12-31. Попросити один знеособлений пакет здачі за цим workflow.</x:v>
      </x:c>
      <x:c r="Z593" s="15" t="str">
        <x:v>https://prozorro.gov.ua/tender/UA-2026-06-29-003504-a</x:v>
      </x:c>
      <x:c r="AA593" s="14" t="str">
        <x:v>2394708105</x:v>
      </x:c>
      <x:c r="AB593" s="14" t="str">
        <x:v>2026-08-24</x:v>
      </x:c>
      <x:c r="AC593" s="14" t="str"/>
      <x:c r="AD593" s="20" t="str"/>
      <x:c r="AE593" s="14" t="str"/>
      <x:c r="AF593" s="14" t="n">
        <x:v>47</x:v>
      </x:c>
      <x:c r="AG593" s="14" t="str">
        <x:v>I3</x:v>
      </x:c>
      <x:c r="AH593" s="14" t="n">
        <x:v>1</x:v>
      </x:c>
      <x:c r="AI593" s="14" t="n">
        <x:v>1</x:v>
      </x:c>
      <x:c r="AJ593" s="18" t="n">
        <x:v>400000</x:v>
      </x:c>
      <x:c r="AK593" s="14" t="str">
        <x:v>https://prozorro.gov.ua/tender/UA-2026-06-29-003504-a</x:v>
      </x:c>
      <x:c r="AL593" s="19" t="n">
        <x:v>46202.35694439815</x:v>
      </x:c>
      <x:c r="AM593" s="19" t="n">
        <x:v>46387</x:v>
      </x:c>
      <x:c r="AN593" s="15" t="str">
        <x:v>Резервне живлення</x:v>
      </x:c>
      <x:c r="AO593" s="15" t="str">
        <x:v>not_found_in_top_search</x:v>
      </x:c>
    </x:row>
    <x:row r="594">
      <x:c r="A594" s="14" t="str">
        <x:v>W3-322</x:v>
      </x:c>
      <x:c r="B594" s="14" t="str">
        <x:v>Prozorro winners — 24.08</x:v>
      </x:c>
      <x:c r="C594" s="14" t="str">
        <x:v>ФОП "ДАЦКО ВОЛОДИМИР ОЛЕКСАНДРОВИЧ"</x:v>
      </x:c>
      <x:c r="D594" s="14" t="str">
        <x:v>Промисловий холод</x:v>
      </x:c>
      <x:c r="E594" s="14" t="str">
        <x:v>Expansion discovery</x:v>
      </x:c>
      <x:c r="F594" s="17" t="str">
        <x:v>D3</x:v>
      </x:c>
      <x:c r="G594" s="14" t="str"/>
      <x:c r="H594" s="14" t="str">
        <x:v>Discovery розширення — 2 тижні</x:v>
      </x:c>
      <x:c r="I594" s="16" t="n">
        <x:v>1</x:v>
      </x:c>
      <x:c r="J594" s="16" t="n">
        <x:v>5</x:v>
      </x:c>
      <x:c r="K594" s="16" t="n">
        <x:v>4</x:v>
      </x:c>
      <x:c r="L594" s="16" t="n">
        <x:v>2</x:v>
      </x:c>
      <x:c r="M594" s="16" t="n">
        <x:v>5</x:v>
      </x:c>
      <x:c r="N594" s="16" t="n">
        <x:v>3</x:v>
      </x:c>
      <x:c r="O594" s="16" t="n">
        <x:v>5</x:v>
      </x:c>
      <x:c r="P594" s="16" t="n">
        <x:f>IF(COUNT(I594:O594)&lt;7,"",I594*8+J594*3+K594*2+L594*2+M594*2+N594*2+O594)</x:f>
        <x:v>56</x:v>
      </x:c>
      <x:c r="Q594" s="16" t="n">
        <x:f>IF(COUNT(J594:O594)&lt;6,"",J594*5+K594*4+M594*4+L594*3+N594*2+O594*2)</x:f>
        <x:v>83</x:v>
      </x:c>
      <x:c r="R594" s="14" t="str">
        <x:v>high</x:v>
      </x:c>
      <x:c r="S594" s="14" t="str">
        <x:v>official_prozorro_award_2025_2026</x:v>
      </x:c>
      <x:c r="T594" s="14" t="str">
        <x:v>official_prozorro_api</x:v>
      </x:c>
      <x:c r="U594" s="14" t="str">
        <x:v>Не контактували</x:v>
      </x:c>
      <x:c r="V594" s="15" t="str">
        <x:v>Workflow-audit outreach по UA-2026-06-22-002485-a; попросити 1 пакет здачі та вимоги проєкту</x:v>
      </x:c>
      <x:c r="W594" s="15" t="str">
        <x:v>Власник / виконавець; відповідальний за договір</x:v>
      </x:c>
      <x:c r="X594" s="15" t="str">
        <x:v>1 підтверджених перемог/договорів у Prozorro на 342 000 грн; 1 проєктів зі строком виконання не раніше 24.08.2026.</x:v>
      </x:c>
      <x:c r="Y594"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 строк до 2026-08-31. Попросити один знеособлений пакет здачі за цим workflow.</x:v>
      </x:c>
      <x:c r="Z594" s="15" t="str">
        <x:v>https://prozorro.gov.ua/tender/UA-2026-06-22-002485-a</x:v>
      </x:c>
      <x:c r="AA594" s="14" t="str">
        <x:v>3277407176</x:v>
      </x:c>
      <x:c r="AB594" s="14" t="str">
        <x:v>2026-08-24</x:v>
      </x:c>
      <x:c r="AC594" s="14" t="str"/>
      <x:c r="AD594" s="20" t="str"/>
      <x:c r="AE594" s="14" t="str"/>
      <x:c r="AF594" s="14" t="n">
        <x:v>47</x:v>
      </x:c>
      <x:c r="AG594" s="14" t="str">
        <x:v>I3</x:v>
      </x:c>
      <x:c r="AH594" s="14" t="n">
        <x:v>1</x:v>
      </x:c>
      <x:c r="AI594" s="14" t="n">
        <x:v>1</x:v>
      </x:c>
      <x:c r="AJ594" s="18" t="n">
        <x:v>342000</x:v>
      </x:c>
      <x:c r="AK594" s="14" t="str">
        <x:v>https://prozorro.gov.ua/tender/UA-2026-06-22-002485-a</x:v>
      </x:c>
      <x:c r="AL594" s="19" t="n">
        <x:v>46205.56342530093</x:v>
      </x:c>
      <x:c r="AM594" s="19" t="n">
        <x:v>46265</x:v>
      </x:c>
      <x:c r="AN594" s="15" t="str">
        <x:v>Промисловий холод</x:v>
      </x:c>
      <x:c r="AO594" s="15" t="str">
        <x:v>not_found_in_top_search</x:v>
      </x:c>
    </x:row>
    <x:row r="595">
      <x:c r="A595" s="14" t="str">
        <x:v>W3-323</x:v>
      </x:c>
      <x:c r="B595" s="14" t="str">
        <x:v>Prozorro winners — 24.08</x:v>
      </x:c>
      <x:c r="C595" s="14" t="str">
        <x:v>ФОП Притова Люсьєна Володимирівна</x:v>
      </x:c>
      <x:c r="D595" s="14" t="str">
        <x:v>Насосні станції</x:v>
      </x:c>
      <x:c r="E595" s="14" t="str">
        <x:v>Expansion discovery</x:v>
      </x:c>
      <x:c r="F595" s="17" t="str">
        <x:v>D3</x:v>
      </x:c>
      <x:c r="G595" s="14" t="str"/>
      <x:c r="H595" s="14" t="str">
        <x:v>Discovery розширення — 2 тижні</x:v>
      </x:c>
      <x:c r="I595" s="16" t="n">
        <x:v>1</x:v>
      </x:c>
      <x:c r="J595" s="16" t="n">
        <x:v>5</x:v>
      </x:c>
      <x:c r="K595" s="16" t="n">
        <x:v>4</x:v>
      </x:c>
      <x:c r="L595" s="16" t="n">
        <x:v>2</x:v>
      </x:c>
      <x:c r="M595" s="16" t="n">
        <x:v>5</x:v>
      </x:c>
      <x:c r="N595" s="16" t="n">
        <x:v>3</x:v>
      </x:c>
      <x:c r="O595" s="16" t="n">
        <x:v>5</x:v>
      </x:c>
      <x:c r="P595" s="16" t="n">
        <x:f>IF(COUNT(I595:O595)&lt;7,"",I595*8+J595*3+K595*2+L595*2+M595*2+N595*2+O595)</x:f>
        <x:v>56</x:v>
      </x:c>
      <x:c r="Q595" s="16" t="n">
        <x:f>IF(COUNT(J595:O595)&lt;6,"",J595*5+K595*4+M595*4+L595*3+N595*2+O595*2)</x:f>
        <x:v>83</x:v>
      </x:c>
      <x:c r="R595" s="14" t="str">
        <x:v>high</x:v>
      </x:c>
      <x:c r="S595" s="14" t="str">
        <x:v>official_prozorro_award_2025_2026</x:v>
      </x:c>
      <x:c r="T595" s="14" t="str">
        <x:v>official_prozorro_api</x:v>
      </x:c>
      <x:c r="U595" s="14" t="str">
        <x:v>Не контактували</x:v>
      </x:c>
      <x:c r="V595" s="15" t="str">
        <x:v>Workflow-audit outreach по UA-2026-06-03-012857-a; попросити 1 пакет здачі та вимоги проєкту</x:v>
      </x:c>
      <x:c r="W595" s="15" t="str">
        <x:v>Власник / виконавець; відповідальний за договір</x:v>
      </x:c>
      <x:c r="X595" s="15" t="str">
        <x:v>1 підтверджених перемог/договорів у Prozorro на 220 000 грн; 1 проєктів зі строком виконання не раніше 24.08.2026.</x:v>
      </x:c>
      <x:c r="Y595"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 строк до 2026-12-31. Попросити один знеособлений пакет здачі за цим workflow.</x:v>
      </x:c>
      <x:c r="Z595" s="15" t="str">
        <x:v>https://prozorro.gov.ua/tender/UA-2026-06-03-012857-a</x:v>
      </x:c>
      <x:c r="AA595" s="14" t="str">
        <x:v>2944318767</x:v>
      </x:c>
      <x:c r="AB595" s="14" t="str">
        <x:v>2026-08-24</x:v>
      </x:c>
      <x:c r="AC595" s="14" t="str"/>
      <x:c r="AD595" s="20" t="str"/>
      <x:c r="AE595" s="14" t="str"/>
      <x:c r="AF595" s="14" t="n">
        <x:v>47</x:v>
      </x:c>
      <x:c r="AG595" s="14" t="str">
        <x:v>I3</x:v>
      </x:c>
      <x:c r="AH595" s="14" t="n">
        <x:v>1</x:v>
      </x:c>
      <x:c r="AI595" s="14" t="n">
        <x:v>1</x:v>
      </x:c>
      <x:c r="AJ595" s="18" t="n">
        <x:v>220000</x:v>
      </x:c>
      <x:c r="AK595" s="14" t="str">
        <x:v>https://prozorro.gov.ua/tender/UA-2026-06-03-012857-a</x:v>
      </x:c>
      <x:c r="AL595" s="19" t="n">
        <x:v>46176.571798703706</x:v>
      </x:c>
      <x:c r="AM595" s="19" t="n">
        <x:v>46387</x:v>
      </x:c>
      <x:c r="AN595" s="15" t="str">
        <x:v>Насосні станції</x:v>
      </x:c>
      <x:c r="AO595" s="15" t="str">
        <x:v>not_found_in_top_search</x:v>
      </x:c>
    </x:row>
    <x:row r="596">
      <x:c r="A596" s="14" t="str">
        <x:v>W3-324</x:v>
      </x:c>
      <x:c r="B596" s="14" t="str">
        <x:v>Prozorro winners — 24.08</x:v>
      </x:c>
      <x:c r="C596" s="14" t="str">
        <x:v>ЛИМАР ОЛЕКСАНДР АНАТОЛІЙОВИЧ</x:v>
      </x:c>
      <x:c r="D596" s="14" t="str">
        <x:v>Насосні станції</x:v>
      </x:c>
      <x:c r="E596" s="14" t="str">
        <x:v>Expansion discovery</x:v>
      </x:c>
      <x:c r="F596" s="17" t="str">
        <x:v>D3</x:v>
      </x:c>
      <x:c r="G596" s="14" t="str"/>
      <x:c r="H596" s="14" t="str">
        <x:v>Discovery розширення — 2 тижні</x:v>
      </x:c>
      <x:c r="I596" s="16" t="n">
        <x:v>1</x:v>
      </x:c>
      <x:c r="J596" s="16" t="n">
        <x:v>5</x:v>
      </x:c>
      <x:c r="K596" s="16" t="n">
        <x:v>4</x:v>
      </x:c>
      <x:c r="L596" s="16" t="n">
        <x:v>2</x:v>
      </x:c>
      <x:c r="M596" s="16" t="n">
        <x:v>5</x:v>
      </x:c>
      <x:c r="N596" s="16" t="n">
        <x:v>3</x:v>
      </x:c>
      <x:c r="O596" s="16" t="n">
        <x:v>5</x:v>
      </x:c>
      <x:c r="P596" s="16" t="n">
        <x:f>IF(COUNT(I596:O596)&lt;7,"",I596*8+J596*3+K596*2+L596*2+M596*2+N596*2+O596)</x:f>
        <x:v>56</x:v>
      </x:c>
      <x:c r="Q596" s="16" t="n">
        <x:f>IF(COUNT(J596:O596)&lt;6,"",J596*5+K596*4+M596*4+L596*3+N596*2+O596*2)</x:f>
        <x:v>83</x:v>
      </x:c>
      <x:c r="R596" s="14" t="str">
        <x:v>high</x:v>
      </x:c>
      <x:c r="S596" s="14" t="str">
        <x:v>official_prozorro_award_2025_2026</x:v>
      </x:c>
      <x:c r="T596" s="14" t="str">
        <x:v>official_prozorro_api</x:v>
      </x:c>
      <x:c r="U596" s="14" t="str">
        <x:v>Не контактували</x:v>
      </x:c>
      <x:c r="V596" s="15" t="str">
        <x:v>Workflow-audit outreach по UA-2026-06-25-011409-a; попросити 1 пакет здачі та вимоги проєкту</x:v>
      </x:c>
      <x:c r="W596" s="15" t="str">
        <x:v>Власник / виконавець; відповідальний за договір</x:v>
      </x:c>
      <x:c r="X596" s="15" t="str">
        <x:v>1 підтверджених перемог/договорів у Prozorro на 149 427 грн; 1 проєктів зі строком виконання не раніше 24.08.2026.</x:v>
      </x:c>
      <x:c r="Y596"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 строк до 2027-01-29. Попросити один знеособлений пакет здачі за цим workflow.</x:v>
      </x:c>
      <x:c r="Z596" s="15" t="str">
        <x:v>https://prozorro.gov.ua/tender/UA-2026-06-25-011409-a</x:v>
      </x:c>
      <x:c r="AA596" s="14" t="str">
        <x:v>3035717452</x:v>
      </x:c>
      <x:c r="AB596" s="14" t="str">
        <x:v>2026-08-24</x:v>
      </x:c>
      <x:c r="AC596" s="14" t="str"/>
      <x:c r="AD596" s="20" t="str"/>
      <x:c r="AE596" s="14" t="str"/>
      <x:c r="AF596" s="14" t="n">
        <x:v>47</x:v>
      </x:c>
      <x:c r="AG596" s="14" t="str">
        <x:v>I3</x:v>
      </x:c>
      <x:c r="AH596" s="14" t="n">
        <x:v>1</x:v>
      </x:c>
      <x:c r="AI596" s="14" t="n">
        <x:v>1</x:v>
      </x:c>
      <x:c r="AJ596" s="18" t="n">
        <x:v>149426.52</x:v>
      </x:c>
      <x:c r="AK596" s="14" t="str">
        <x:v>https://prozorro.gov.ua/tender/UA-2026-06-25-011409-a</x:v>
      </x:c>
      <x:c r="AL596" s="19" t="n">
        <x:v>46198.55497143519</x:v>
      </x:c>
      <x:c r="AM596" s="19" t="n">
        <x:v>46416</x:v>
      </x:c>
      <x:c r="AN596" s="15" t="str">
        <x:v>Насосні станції</x:v>
      </x:c>
      <x:c r="AO596" s="15" t="str">
        <x:v>not_found_in_top_search</x:v>
      </x:c>
    </x:row>
    <x:row r="597">
      <x:c r="A597" s="14" t="str">
        <x:v>W3-325</x:v>
      </x:c>
      <x:c r="B597" s="14" t="str">
        <x:v>Prozorro winners — 24.08</x:v>
      </x:c>
      <x:c r="C597" s="14" t="str">
        <x:v>ФОП РАКИЧ ІВАН ВАЛЕРІЙОВИЧ</x:v>
      </x:c>
      <x:c r="D597" s="14" t="str">
        <x:v>Газопостачання / котельні</x:v>
      </x:c>
      <x:c r="E597" s="14" t="str">
        <x:v>Expansion discovery</x:v>
      </x:c>
      <x:c r="F597" s="17" t="str">
        <x:v>D3</x:v>
      </x:c>
      <x:c r="G597" s="14" t="str"/>
      <x:c r="H597" s="14" t="str">
        <x:v>Discovery розширення — 2 тижні</x:v>
      </x:c>
      <x:c r="I597" s="16" t="n">
        <x:v>1</x:v>
      </x:c>
      <x:c r="J597" s="16" t="n">
        <x:v>5</x:v>
      </x:c>
      <x:c r="K597" s="16" t="n">
        <x:v>4</x:v>
      </x:c>
      <x:c r="L597" s="16" t="n">
        <x:v>2</x:v>
      </x:c>
      <x:c r="M597" s="16" t="n">
        <x:v>5</x:v>
      </x:c>
      <x:c r="N597" s="16" t="n">
        <x:v>3</x:v>
      </x:c>
      <x:c r="O597" s="16" t="n">
        <x:v>5</x:v>
      </x:c>
      <x:c r="P597" s="16" t="n">
        <x:f>IF(COUNT(I597:O597)&lt;7,"",I597*8+J597*3+K597*2+L597*2+M597*2+N597*2+O597)</x:f>
        <x:v>56</x:v>
      </x:c>
      <x:c r="Q597" s="16" t="n">
        <x:f>IF(COUNT(J597:O597)&lt;6,"",J597*5+K597*4+M597*4+L597*3+N597*2+O597*2)</x:f>
        <x:v>83</x:v>
      </x:c>
      <x:c r="R597" s="14" t="str">
        <x:v>high</x:v>
      </x:c>
      <x:c r="S597" s="14" t="str">
        <x:v>official_prozorro_award_2025_2026</x:v>
      </x:c>
      <x:c r="T597" s="14" t="str">
        <x:v>official_prozorro_api</x:v>
      </x:c>
      <x:c r="U597" s="14" t="str">
        <x:v>Не контактували</x:v>
      </x:c>
      <x:c r="V597" s="15" t="str">
        <x:v>Workflow-audit outreach по UA-2026-07-06-005716-a; попросити 1 пакет здачі та вимоги проєкту</x:v>
      </x:c>
      <x:c r="W597" s="15" t="str">
        <x:v>Власник / виконавець; відповідальний за договір</x:v>
      </x:c>
      <x:c r="X597" s="15" t="str">
        <x:v>1 підтверджених перемог/договорів у Prozorro на 102 553 грн; 1 проєктів зі строком виконання не раніше 24.08.2026.</x:v>
      </x:c>
      <x:c r="Y597"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 строк до 2026-12-31. Попросити один знеособлений пакет здачі за цим workflow.</x:v>
      </x:c>
      <x:c r="Z597" s="15" t="str">
        <x:v>https://prozorro.gov.ua/tender/UA-2026-07-06-005716-a</x:v>
      </x:c>
      <x:c r="AA597" s="14" t="str">
        <x:v>2825816131</x:v>
      </x:c>
      <x:c r="AB597" s="14" t="str">
        <x:v>2026-08-24</x:v>
      </x:c>
      <x:c r="AC597" s="14" t="str"/>
      <x:c r="AD597" s="20" t="str"/>
      <x:c r="AE597" s="14" t="str"/>
      <x:c r="AF597" s="14" t="n">
        <x:v>47</x:v>
      </x:c>
      <x:c r="AG597" s="14" t="str">
        <x:v>I3</x:v>
      </x:c>
      <x:c r="AH597" s="14" t="n">
        <x:v>1</x:v>
      </x:c>
      <x:c r="AI597" s="14" t="n">
        <x:v>1</x:v>
      </x:c>
      <x:c r="AJ597" s="18" t="n">
        <x:v>102553.13</x:v>
      </x:c>
      <x:c r="AK597" s="14" t="str">
        <x:v>https://prozorro.gov.ua/tender/UA-2026-07-06-005716-a</x:v>
      </x:c>
      <x:c r="AL597" s="19" t="n">
        <x:v>46209.461327337965</x:v>
      </x:c>
      <x:c r="AM597" s="19" t="n">
        <x:v>46387</x:v>
      </x:c>
      <x:c r="AN597" s="15" t="str">
        <x:v>Газопостачання / котельні</x:v>
      </x:c>
      <x:c r="AO597" s="15" t="str">
        <x:v>not_found_in_top_search</x:v>
      </x:c>
    </x:row>
    <x:row r="598">
      <x:c r="A598" s="14" t="str">
        <x:v>W3-326</x:v>
      </x:c>
      <x:c r="B598" s="14" t="str">
        <x:v>Prozorro winners — 24.08</x:v>
      </x:c>
      <x:c r="C598" s="14" t="str">
        <x:v>ТОВАРИСТВО З ОБМЕЖЕНОЮ ВІДПОВІДАЛЬНІСТЮ "БЕЗПЕКА УНІВЕРСАЛ"</x:v>
      </x:c>
      <x:c r="D598" s="14" t="str">
        <x:v>Безпека / СКУД / CCTV</x:v>
      </x:c>
      <x:c r="E598" s="14" t="str">
        <x:v>Expansion discovery</x:v>
      </x:c>
      <x:c r="F598" s="17" t="str">
        <x:v>D3</x:v>
      </x:c>
      <x:c r="G598" s="14" t="str"/>
      <x:c r="H598" s="14" t="str">
        <x:v>Discovery розширення — 2 тижні</x:v>
      </x:c>
      <x:c r="I598" s="16" t="n">
        <x:v>1</x:v>
      </x:c>
      <x:c r="J598" s="16" t="n">
        <x:v>5</x:v>
      </x:c>
      <x:c r="K598" s="16" t="n">
        <x:v>4</x:v>
      </x:c>
      <x:c r="L598" s="16" t="n">
        <x:v>1</x:v>
      </x:c>
      <x:c r="M598" s="16" t="n">
        <x:v>5</x:v>
      </x:c>
      <x:c r="N598" s="16" t="n">
        <x:v>5</x:v>
      </x:c>
      <x:c r="O598" s="16" t="n">
        <x:v>5</x:v>
      </x:c>
      <x:c r="P598" s="16" t="n">
        <x:f>IF(COUNT(I598:O598)&lt;7,"",I598*8+J598*3+K598*2+L598*2+M598*2+N598*2+O598)</x:f>
        <x:v>58</x:v>
      </x:c>
      <x:c r="Q598" s="16" t="n">
        <x:f>IF(COUNT(J598:O598)&lt;6,"",J598*5+K598*4+M598*4+L598*3+N598*2+O598*2)</x:f>
        <x:v>84</x:v>
      </x:c>
      <x:c r="R598" s="14" t="str">
        <x:v>high</x:v>
      </x:c>
      <x:c r="S598" s="14" t="str">
        <x:v>official_prozorro_award_2025_2026</x:v>
      </x:c>
      <x:c r="T598" s="14" t="str">
        <x:v>official_prozorro_api</x:v>
      </x:c>
      <x:c r="U598" s="14" t="str">
        <x:v>Не контактували</x:v>
      </x:c>
      <x:c r="V598" s="15" t="str">
        <x:v>Workflow-audit outreach по UA-2026-07-16-009633-a; попросити 1 пакет здачі та вимоги проєкту</x:v>
      </x:c>
      <x:c r="W598" s="15" t="str">
        <x:v>Власник / директор; керівник ПТО; відповідальний за договори</x:v>
      </x:c>
      <x:c r="X598" s="15" t="str">
        <x:v>1 підтверджених перемог/договорів у Prozorro на 61 468 грн; 0 проєктів зі строком виконання не раніше 24.08.2026.</x:v>
      </x:c>
      <x:c r="Y598" s="15" t="str">
        <x:v>послуги з монтажу та налаштування системи відеоспостереження; строк до 2026-07-26. Попросити один знеособлений пакет здачі за цим workflow.</x:v>
      </x:c>
      <x:c r="Z598" s="15" t="str">
        <x:v>https://prozorro.gov.ua/tender/UA-2026-07-16-009633-a</x:v>
      </x:c>
      <x:c r="AA598" s="14" t="str">
        <x:v>35798901</x:v>
      </x:c>
      <x:c r="AB598" s="14" t="str">
        <x:v>2026-08-24</x:v>
      </x:c>
      <x:c r="AC598" s="14" t="str"/>
      <x:c r="AD598" s="20" t="str"/>
      <x:c r="AE598" s="14" t="str"/>
      <x:c r="AF598" s="14" t="n">
        <x:v>47</x:v>
      </x:c>
      <x:c r="AG598" s="14" t="str">
        <x:v>I3</x:v>
      </x:c>
      <x:c r="AH598" s="14" t="n">
        <x:v>1</x:v>
      </x:c>
      <x:c r="AI598" s="14" t="n">
        <x:v>0</x:v>
      </x:c>
      <x:c r="AJ598" s="18" t="n">
        <x:v>61467.6</x:v>
      </x:c>
      <x:c r="AK598" s="14" t="str">
        <x:v>https://prozorro.gov.ua/tender/UA-2026-07-16-009633-a</x:v>
      </x:c>
      <x:c r="AL598" s="19" t="n">
        <x:v>46219.58351846065</x:v>
      </x:c>
      <x:c r="AM598" s="19" t="n">
        <x:v>46229</x:v>
      </x:c>
      <x:c r="AN598" s="15" t="str">
        <x:v>Безпека / СКУД / CCTV</x:v>
      </x:c>
      <x:c r="AO598" s="15" t="str">
        <x:v>not_found_in_top_search</x:v>
      </x:c>
    </x:row>
    <x:row r="599">
      <x:c r="A599" s="14" t="str">
        <x:v>W3-327</x:v>
      </x:c>
      <x:c r="B599" s="14" t="str">
        <x:v>Prozorro winners — 24.08</x:v>
      </x:c>
      <x:c r="C599" s="14" t="str">
        <x:v>ТОВАРИСТВО З ОБМЕЖЕНОЮ ВІДПОВІДАЛЬНІСТЮ "СІТІ - ХОЛДІНГ ІНСТАЛЯТОР"</x:v>
      </x:c>
      <x:c r="D599" s="14" t="str">
        <x:v>Безпека / СКУД / CCTV</x:v>
      </x:c>
      <x:c r="E599" s="14" t="str">
        <x:v>Expansion discovery</x:v>
      </x:c>
      <x:c r="F599" s="17" t="str">
        <x:v>D3</x:v>
      </x:c>
      <x:c r="G599" s="14" t="str"/>
      <x:c r="H599" s="14" t="str">
        <x:v>Discovery розширення — 2 тижні</x:v>
      </x:c>
      <x:c r="I599" s="16" t="n">
        <x:v>1</x:v>
      </x:c>
      <x:c r="J599" s="16" t="n">
        <x:v>5</x:v>
      </x:c>
      <x:c r="K599" s="16" t="n">
        <x:v>4</x:v>
      </x:c>
      <x:c r="L599" s="16" t="n">
        <x:v>1</x:v>
      </x:c>
      <x:c r="M599" s="16" t="n">
        <x:v>5</x:v>
      </x:c>
      <x:c r="N599" s="16" t="n">
        <x:v>5</x:v>
      </x:c>
      <x:c r="O599" s="16" t="n">
        <x:v>5</x:v>
      </x:c>
      <x:c r="P599" s="16" t="n">
        <x:f>IF(COUNT(I599:O599)&lt;7,"",I599*8+J599*3+K599*2+L599*2+M599*2+N599*2+O599)</x:f>
        <x:v>58</x:v>
      </x:c>
      <x:c r="Q599" s="16" t="n">
        <x:f>IF(COUNT(J599:O599)&lt;6,"",J599*5+K599*4+M599*4+L599*3+N599*2+O599*2)</x:f>
        <x:v>84</x:v>
      </x:c>
      <x:c r="R599" s="14" t="str">
        <x:v>high</x:v>
      </x:c>
      <x:c r="S599" s="14" t="str">
        <x:v>official_prozorro_award_2025_2026</x:v>
      </x:c>
      <x:c r="T599" s="14" t="str">
        <x:v>official_prozorro_api</x:v>
      </x:c>
      <x:c r="U599" s="14" t="str">
        <x:v>Не контактували</x:v>
      </x:c>
      <x:c r="V599" s="15" t="str">
        <x:v>Workflow-audit outreach по UA-2026-07-20-008886-a; попросити 1 пакет здачі та вимоги проєкту</x:v>
      </x:c>
      <x:c r="W599" s="15" t="str">
        <x:v>Власник / директор; керівник ПТО; відповідальний за договори</x:v>
      </x:c>
      <x:c r="X599" s="15" t="str">
        <x:v>1 підтверджених перемог/договорів у Prozorro на 16 944 грн; 0 проєктів зі строком виконання не раніше 24.08.2026.</x:v>
      </x:c>
      <x:c r="Y599" s="15" t="str">
        <x:v>Послуги з монтажу та налаштування системи відеоспостереження; строк до 2026-07-31. Попросити один знеособлений пакет здачі за цим workflow.</x:v>
      </x:c>
      <x:c r="Z599" s="15" t="str">
        <x:v>https://prozorro.gov.ua/tender/UA-2026-07-20-008886-a</x:v>
      </x:c>
      <x:c r="AA599" s="14" t="str">
        <x:v>35496150</x:v>
      </x:c>
      <x:c r="AB599" s="14" t="str">
        <x:v>2026-08-24</x:v>
      </x:c>
      <x:c r="AC599" s="14" t="str"/>
      <x:c r="AD599" s="20" t="str"/>
      <x:c r="AE599" s="14" t="str"/>
      <x:c r="AF599" s="14" t="n">
        <x:v>47</x:v>
      </x:c>
      <x:c r="AG599" s="14" t="str">
        <x:v>I3</x:v>
      </x:c>
      <x:c r="AH599" s="14" t="n">
        <x:v>1</x:v>
      </x:c>
      <x:c r="AI599" s="14" t="n">
        <x:v>0</x:v>
      </x:c>
      <x:c r="AJ599" s="18" t="n">
        <x:v>16944</x:v>
      </x:c>
      <x:c r="AK599" s="14" t="str">
        <x:v>https://prozorro.gov.ua/tender/UA-2026-07-20-008886-a</x:v>
      </x:c>
      <x:c r="AL599" s="19" t="n">
        <x:v>46223.54157770833</x:v>
      </x:c>
      <x:c r="AM599" s="19" t="n">
        <x:v>46234</x:v>
      </x:c>
      <x:c r="AN599" s="15" t="str">
        <x:v>Безпека / СКУД / CCTV</x:v>
      </x:c>
      <x:c r="AO599" s="15" t="str">
        <x:v>not_found_in_top_search</x:v>
      </x:c>
    </x:row>
    <x:row r="600">
      <x:c r="A600" s="14" t="str">
        <x:v>W3-328</x:v>
      </x:c>
      <x:c r="B600" s="14" t="str">
        <x:v>Prozorro winners — 24.08</x:v>
      </x:c>
      <x:c r="C600" s="14" t="str">
        <x:v>ПРИВАТНЕ ПІДПРИЄМСТВО "БЕРКУТ-НП"</x:v>
      </x:c>
      <x:c r="D600" s="14" t="str">
        <x:v>Безпека / СКУД / CCTV</x:v>
      </x:c>
      <x:c r="E600" s="14" t="str">
        <x:v>Expansion discovery</x:v>
      </x:c>
      <x:c r="F600" s="17" t="str">
        <x:v>D3</x:v>
      </x:c>
      <x:c r="G600" s="14" t="str"/>
      <x:c r="H600" s="14" t="str">
        <x:v>Discovery розширення — 2 тижні</x:v>
      </x:c>
      <x:c r="I600" s="16" t="n">
        <x:v>1</x:v>
      </x:c>
      <x:c r="J600" s="16" t="n">
        <x:v>5</x:v>
      </x:c>
      <x:c r="K600" s="16" t="n">
        <x:v>4</x:v>
      </x:c>
      <x:c r="L600" s="16" t="n">
        <x:v>1</x:v>
      </x:c>
      <x:c r="M600" s="16" t="n">
        <x:v>5</x:v>
      </x:c>
      <x:c r="N600" s="16" t="n">
        <x:v>5</x:v>
      </x:c>
      <x:c r="O600" s="16" t="n">
        <x:v>5</x:v>
      </x:c>
      <x:c r="P600" s="16" t="n">
        <x:f>IF(COUNT(I600:O600)&lt;7,"",I600*8+J600*3+K600*2+L600*2+M600*2+N600*2+O600)</x:f>
        <x:v>58</x:v>
      </x:c>
      <x:c r="Q600" s="16" t="n">
        <x:f>IF(COUNT(J600:O600)&lt;6,"",J600*5+K600*4+M600*4+L600*3+N600*2+O600*2)</x:f>
        <x:v>84</x:v>
      </x:c>
      <x:c r="R600" s="14" t="str">
        <x:v>high</x:v>
      </x:c>
      <x:c r="S600" s="14" t="str">
        <x:v>official_prozorro_award_2025_2026</x:v>
      </x:c>
      <x:c r="T600" s="14" t="str">
        <x:v>official_prozorro_api</x:v>
      </x:c>
      <x:c r="U600" s="14" t="str">
        <x:v>Не контактували</x:v>
      </x:c>
      <x:c r="V600" s="15" t="str">
        <x:v>Workflow-audit outreach по UA-2026-07-17-003668-a; попросити 1 пакет здачі та вимоги проєкту</x:v>
      </x:c>
      <x:c r="W600" s="15" t="str">
        <x:v>Власник / директор; керівник ПТО; відповідальний за договори</x:v>
      </x:c>
      <x:c r="X600" s="15" t="str">
        <x:v>1 підтверджених перемог/договорів у Prozorro на 16 655 грн; 0 проєктів зі строком виконання не раніше 24.08.2026.</x:v>
      </x:c>
      <x:c r="Y600"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 строк до 2026-07-31. Попросити один знеособлений пакет здачі за цим workflow.</x:v>
      </x:c>
      <x:c r="Z600" s="15" t="str">
        <x:v>https://prozorro.gov.ua/tender/UA-2026-07-17-003668-a</x:v>
      </x:c>
      <x:c r="AA600" s="14" t="str">
        <x:v>37857696</x:v>
      </x:c>
      <x:c r="AB600" s="14" t="str">
        <x:v>2026-08-24</x:v>
      </x:c>
      <x:c r="AC600" s="14" t="str"/>
      <x:c r="AD600" s="20" t="str"/>
      <x:c r="AE600" s="14" t="str"/>
      <x:c r="AF600" s="14" t="n">
        <x:v>47</x:v>
      </x:c>
      <x:c r="AG600" s="14" t="str">
        <x:v>I3</x:v>
      </x:c>
      <x:c r="AH600" s="14" t="n">
        <x:v>1</x:v>
      </x:c>
      <x:c r="AI600" s="14" t="n">
        <x:v>0</x:v>
      </x:c>
      <x:c r="AJ600" s="18" t="n">
        <x:v>16654.57</x:v>
      </x:c>
      <x:c r="AK600" s="14" t="str">
        <x:v>https://prozorro.gov.ua/tender/UA-2026-07-17-003668-a</x:v>
      </x:c>
      <x:c r="AL600" s="19" t="n">
        <x:v>46220.355459467595</x:v>
      </x:c>
      <x:c r="AM600" s="19" t="n">
        <x:v>46234</x:v>
      </x:c>
      <x:c r="AN600" s="15" t="str">
        <x:v>Безпека / СКУД / CCTV</x:v>
      </x:c>
      <x:c r="AO600" s="15" t="str">
        <x:v>not_found_in_top_search</x:v>
      </x:c>
    </x:row>
    <x:row r="601">
      <x:c r="A601" s="14" t="str">
        <x:v>W3-329</x:v>
      </x:c>
      <x:c r="B601" s="14" t="str">
        <x:v>Prozorro winners — 24.08</x:v>
      </x:c>
      <x:c r="C601" s="14" t="str">
        <x:v>ТОВАРИСТВО З ОБМЕЖЕНОЮ ВІДПОВІДАЛЬНІСТЮ "ПРОСТІР ЗАХИСТУ"</x:v>
      </x:c>
      <x:c r="D601" s="14" t="str">
        <x:v>Безпека / СКУД / CCTV</x:v>
      </x:c>
      <x:c r="E601" s="14" t="str">
        <x:v>Expansion discovery</x:v>
      </x:c>
      <x:c r="F601" s="17" t="str">
        <x:v>D3</x:v>
      </x:c>
      <x:c r="G601" s="14" t="str"/>
      <x:c r="H601" s="14" t="str">
        <x:v>Discovery розширення — 2 тижні</x:v>
      </x:c>
      <x:c r="I601" s="16" t="n">
        <x:v>1</x:v>
      </x:c>
      <x:c r="J601" s="16" t="n">
        <x:v>5</x:v>
      </x:c>
      <x:c r="K601" s="16" t="n">
        <x:v>4</x:v>
      </x:c>
      <x:c r="L601" s="16" t="n">
        <x:v>1</x:v>
      </x:c>
      <x:c r="M601" s="16" t="n">
        <x:v>5</x:v>
      </x:c>
      <x:c r="N601" s="16" t="n">
        <x:v>5</x:v>
      </x:c>
      <x:c r="O601" s="16" t="n">
        <x:v>5</x:v>
      </x:c>
      <x:c r="P601" s="16" t="n">
        <x:f>IF(COUNT(I601:O601)&lt;7,"",I601*8+J601*3+K601*2+L601*2+M601*2+N601*2+O601)</x:f>
        <x:v>58</x:v>
      </x:c>
      <x:c r="Q601" s="16" t="n">
        <x:f>IF(COUNT(J601:O601)&lt;6,"",J601*5+K601*4+M601*4+L601*3+N601*2+O601*2)</x:f>
        <x:v>84</x:v>
      </x:c>
      <x:c r="R601" s="14" t="str">
        <x:v>high</x:v>
      </x:c>
      <x:c r="S601" s="14" t="str">
        <x:v>official_prozorro_award_2025_2026</x:v>
      </x:c>
      <x:c r="T601" s="14" t="str">
        <x:v>official_prozorro_api</x:v>
      </x:c>
      <x:c r="U601" s="14" t="str">
        <x:v>Не контактували</x:v>
      </x:c>
      <x:c r="V601" s="15" t="str">
        <x:v>Workflow-audit outreach по UA-2026-07-10-008786-a; попросити 1 пакет здачі та вимоги проєкту</x:v>
      </x:c>
      <x:c r="W601" s="15" t="str">
        <x:v>Власник / директор; керівник ПТО; відповідальний за договори</x:v>
      </x:c>
      <x:c r="X601" s="15" t="str">
        <x:v>1 підтверджених перемог/договорів у Prozorro на 7 600 грн; 0 проєктів зі строком виконання не раніше 24.08.2026.</x:v>
      </x:c>
      <x:c r="Y601" s="15" t="str">
        <x:v>Послуга з монтажу системи відеоспостереження (4 камери); строк до 2026-07-28. Попросити один знеособлений пакет здачі за цим workflow.</x:v>
      </x:c>
      <x:c r="Z601" s="15" t="str">
        <x:v>https://prozorro.gov.ua/tender/UA-2026-07-10-008786-a</x:v>
      </x:c>
      <x:c r="AA601" s="14" t="str">
        <x:v>46266443</x:v>
      </x:c>
      <x:c r="AB601" s="14" t="str">
        <x:v>2026-08-24</x:v>
      </x:c>
      <x:c r="AC601" s="14" t="str"/>
      <x:c r="AD601" s="20" t="str"/>
      <x:c r="AE601" s="14" t="str"/>
      <x:c r="AF601" s="14" t="n">
        <x:v>47</x:v>
      </x:c>
      <x:c r="AG601" s="14" t="str">
        <x:v>I3</x:v>
      </x:c>
      <x:c r="AH601" s="14" t="n">
        <x:v>1</x:v>
      </x:c>
      <x:c r="AI601" s="14" t="n">
        <x:v>0</x:v>
      </x:c>
      <x:c r="AJ601" s="18" t="n">
        <x:v>7600</x:v>
      </x:c>
      <x:c r="AK601" s="14" t="str">
        <x:v>https://prozorro.gov.ua/tender/UA-2026-07-10-008786-a</x:v>
      </x:c>
      <x:c r="AL601" s="19" t="n">
        <x:v>46213.51147287037</x:v>
      </x:c>
      <x:c r="AM601" s="19" t="n">
        <x:v>46231</x:v>
      </x:c>
      <x:c r="AN601" s="15" t="str">
        <x:v>Безпека / СКУД / CCTV</x:v>
      </x:c>
      <x:c r="AO601" s="15" t="str">
        <x:v>not_found_in_top_search</x:v>
      </x:c>
    </x:row>
    <x:row r="602">
      <x:c r="A602" s="14" t="str">
        <x:v>W3-330</x:v>
      </x:c>
      <x:c r="B602" s="14" t="str">
        <x:v>Prozorro winners — 24.08</x:v>
      </x:c>
      <x:c r="C602" s="14" t="str">
        <x:v>ПРИВАТНЕ АКЦІОНЕРНЕ ТОВАРИСТВО «УКРСТАЛЬ КОНСТРУКЦІЯ»</x:v>
      </x:c>
      <x:c r="D602" s="14" t="str">
        <x:v>Ремонт і підсилення бетону</x:v>
      </x:c>
      <x:c r="E602" s="14" t="str">
        <x:v>Expansion discovery</x:v>
      </x:c>
      <x:c r="F602" s="17" t="str">
        <x:v>D3</x:v>
      </x:c>
      <x:c r="G602" s="14" t="str"/>
      <x:c r="H602" s="14" t="str">
        <x:v>Discovery розширення — 2 тижні</x:v>
      </x:c>
      <x:c r="I602" s="16" t="n">
        <x:v>1</x:v>
      </x:c>
      <x:c r="J602" s="16" t="n">
        <x:v>5</x:v>
      </x:c>
      <x:c r="K602" s="16" t="n">
        <x:v>4</x:v>
      </x:c>
      <x:c r="L602" s="16" t="n">
        <x:v>5</x:v>
      </x:c>
      <x:c r="M602" s="16" t="n">
        <x:v>5</x:v>
      </x:c>
      <x:c r="N602" s="16" t="n">
        <x:v>5</x:v>
      </x:c>
      <x:c r="O602" s="16" t="n">
        <x:v>5</x:v>
      </x:c>
      <x:c r="P602" s="16" t="n">
        <x:f>IF(COUNT(I602:O602)&lt;7,"",I602*8+J602*3+K602*2+L602*2+M602*2+N602*2+O602)</x:f>
        <x:v>66</x:v>
      </x:c>
      <x:c r="Q602" s="16" t="n">
        <x:f>IF(COUNT(J602:O602)&lt;6,"",J602*5+K602*4+M602*4+L602*3+N602*2+O602*2)</x:f>
        <x:v>96</x:v>
      </x:c>
      <x:c r="R602" s="14" t="str">
        <x:v>high</x:v>
      </x:c>
      <x:c r="S602" s="14" t="str">
        <x:v>official_prozorro_award_2025_2026</x:v>
      </x:c>
      <x:c r="T602" s="14" t="str">
        <x:v>official_prozorro_api</x:v>
      </x:c>
      <x:c r="U602" s="14" t="str">
        <x:v>Не контактували</x:v>
      </x:c>
      <x:c r="V602" s="15" t="str">
        <x:v>Workflow-audit outreach по UA-2025-12-19-018891-a; попросити 1 пакет здачі та вимоги проєкту</x:v>
      </x:c>
      <x:c r="W602" s="15" t="str">
        <x:v>Власник / директор; керівник ПТО; відповідальний за договори</x:v>
      </x:c>
      <x:c r="X602" s="15" t="str">
        <x:v>1 підтверджених перемог/договорів у Prozorro на 225 902 401 грн; 1 проєктів зі строком виконання не раніше 24.08.2026.</x:v>
      </x:c>
      <x:c r="Y602"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 строк до 2026-12-31. Попросити один знеособлений пакет здачі за цим workflow.</x:v>
      </x:c>
      <x:c r="Z602" s="15" t="str">
        <x:v>https://prozorro.gov.ua/tender/UA-2025-12-19-018891-a</x:v>
      </x:c>
      <x:c r="AA602" s="14" t="str">
        <x:v>01412868</x:v>
      </x:c>
      <x:c r="AB602" s="14" t="str">
        <x:v>2026-08-24</x:v>
      </x:c>
      <x:c r="AC602" s="14" t="str"/>
      <x:c r="AD602" s="20" t="str"/>
      <x:c r="AE602" s="14" t="str"/>
      <x:c r="AF602" s="14" t="n">
        <x:v>46</x:v>
      </x:c>
      <x:c r="AG602" s="14" t="str">
        <x:v>I3</x:v>
      </x:c>
      <x:c r="AH602" s="14" t="n">
        <x:v>1</x:v>
      </x:c>
      <x:c r="AI602" s="14" t="n">
        <x:v>1</x:v>
      </x:c>
      <x:c r="AJ602" s="18" t="n">
        <x:v>225902400.84</x:v>
      </x:c>
      <x:c r="AK602" s="14" t="str">
        <x:v>https://prozorro.gov.ua/tender/UA-2025-12-19-018891-a</x:v>
      </x:c>
      <x:c r="AL602" s="19" t="n">
        <x:v>46010.56347040509</x:v>
      </x:c>
      <x:c r="AM602" s="19" t="n">
        <x:v>46387</x:v>
      </x:c>
      <x:c r="AN602" s="15" t="str">
        <x:v>Ремонт і підсилення бетону</x:v>
      </x:c>
      <x:c r="AO602" s="15" t="str">
        <x:v>not_found_in_top_search</x:v>
      </x:c>
    </x:row>
    <x:row r="603">
      <x:c r="A603" s="14" t="str">
        <x:v>W3-331</x:v>
      </x:c>
      <x:c r="B603" s="14" t="str">
        <x:v>Prozorro winners — 24.08</x:v>
      </x:c>
      <x:c r="C603" s="14" t="str">
        <x:v>ТОВАРИСТВО З ОБМЕЖЕНОЮ ВІДПОВІДАЛЬНІСТЮ "ЗЕМЛЕБУДСЕРВІС"</x:v>
      </x:c>
      <x:c r="D603" s="14" t="str">
        <x:v>ГНБ / безтраншейні роботи</x:v>
      </x:c>
      <x:c r="E603" s="14" t="str">
        <x:v>Expansion discovery</x:v>
      </x:c>
      <x:c r="F603" s="17" t="str">
        <x:v>D3</x:v>
      </x:c>
      <x:c r="G603" s="14" t="str"/>
      <x:c r="H603" s="14" t="str">
        <x:v>Discovery розширення — 2 тижні</x:v>
      </x:c>
      <x:c r="I603" s="16" t="n">
        <x:v>1</x:v>
      </x:c>
      <x:c r="J603" s="16" t="n">
        <x:v>5</x:v>
      </x:c>
      <x:c r="K603" s="16" t="n">
        <x:v>4</x:v>
      </x:c>
      <x:c r="L603" s="16" t="n">
        <x:v>3</x:v>
      </x:c>
      <x:c r="M603" s="16" t="n">
        <x:v>5</x:v>
      </x:c>
      <x:c r="N603" s="16" t="n">
        <x:v>5</x:v>
      </x:c>
      <x:c r="O603" s="16" t="n">
        <x:v>5</x:v>
      </x:c>
      <x:c r="P603" s="16" t="n">
        <x:f>IF(COUNT(I603:O603)&lt;7,"",I603*8+J603*3+K603*2+L603*2+M603*2+N603*2+O603)</x:f>
        <x:v>62</x:v>
      </x:c>
      <x:c r="Q603" s="16" t="n">
        <x:f>IF(COUNT(J603:O603)&lt;6,"",J603*5+K603*4+M603*4+L603*3+N603*2+O603*2)</x:f>
        <x:v>90</x:v>
      </x:c>
      <x:c r="R603" s="14" t="str">
        <x:v>high</x:v>
      </x:c>
      <x:c r="S603" s="14" t="str">
        <x:v>official_prozorro_award_2025_2026</x:v>
      </x:c>
      <x:c r="T603" s="14" t="str">
        <x:v>official_prozorro_api</x:v>
      </x:c>
      <x:c r="U603" s="14" t="str">
        <x:v>Не контактували</x:v>
      </x:c>
      <x:c r="V603" s="15" t="str">
        <x:v>Workflow-audit outreach по UA-2026-03-10-005413-a; попросити 1 пакет здачі та вимоги проєкту</x:v>
      </x:c>
      <x:c r="W603" s="15" t="str">
        <x:v>Власник / директор; керівник ПТО; відповідальний за договори</x:v>
      </x:c>
      <x:c r="X603" s="15" t="str">
        <x:v>1 підтверджених перемог/договорів у Prozorro на 568 840 грн; 1 проєктів зі строком виконання не раніше 24.08.2026.</x:v>
      </x:c>
      <x:c r="Y603" s="15" t="str">
        <x:v>Влаштування футляру методом горизонтально направленого буріння по вул. Князів Коріатовичів,189 в м. Вінниця.
; строк до 2026-12-31. Попросити один знеособлений пакет здачі за цим workflow.</x:v>
      </x:c>
      <x:c r="Z603" s="15" t="str">
        <x:v>https://prozorro.gov.ua/tender/UA-2026-03-10-005413-a</x:v>
      </x:c>
      <x:c r="AA603" s="14" t="str">
        <x:v>40877796</x:v>
      </x:c>
      <x:c r="AB603" s="14" t="str">
        <x:v>2026-08-24</x:v>
      </x:c>
      <x:c r="AC603" s="14" t="str"/>
      <x:c r="AD603" s="20" t="str"/>
      <x:c r="AE603" s="14" t="str"/>
      <x:c r="AF603" s="14" t="n">
        <x:v>46</x:v>
      </x:c>
      <x:c r="AG603" s="14" t="str">
        <x:v>I3</x:v>
      </x:c>
      <x:c r="AH603" s="14" t="n">
        <x:v>1</x:v>
      </x:c>
      <x:c r="AI603" s="14" t="n">
        <x:v>1</x:v>
      </x:c>
      <x:c r="AJ603" s="18" t="n">
        <x:v>568839.71</x:v>
      </x:c>
      <x:c r="AK603" s="14" t="str">
        <x:v>https://prozorro.gov.ua/tender/UA-2026-03-10-005413-a</x:v>
      </x:c>
      <x:c r="AL603" s="19" t="n">
        <x:v>46091.593778622686</x:v>
      </x:c>
      <x:c r="AM603" s="19" t="n">
        <x:v>46387</x:v>
      </x:c>
      <x:c r="AN603" s="15" t="str">
        <x:v>ГНБ / безтраншейні роботи</x:v>
      </x:c>
      <x:c r="AO603" s="15" t="str">
        <x:v>not_found_in_top_search</x:v>
      </x:c>
    </x:row>
    <x:row r="604">
      <x:c r="A604" s="14" t="str">
        <x:v>W3-332</x:v>
      </x:c>
      <x:c r="B604" s="14" t="str">
        <x:v>Prozorro winners — 24.08</x:v>
      </x:c>
      <x:c r="C604" s="14" t="str">
        <x:v>ТОВ "Б КОМ"</x:v>
      </x:c>
      <x:c r="D604" s="14" t="str">
        <x:v>HVAC / ОВіК</x:v>
      </x:c>
      <x:c r="E604" s="14" t="str">
        <x:v>Pilot now</x:v>
      </x:c>
      <x:c r="F604" s="17" t="str">
        <x:v>P3</x:v>
      </x:c>
      <x:c r="G604" s="14" t="str"/>
      <x:c r="H604" s="14" t="str">
        <x:v>Пілот зараз — Н.14</x:v>
      </x:c>
      <x:c r="I604" s="16" t="n">
        <x:v>5</x:v>
      </x:c>
      <x:c r="J604" s="16" t="n">
        <x:v>5</x:v>
      </x:c>
      <x:c r="K604" s="16" t="n">
        <x:v>5</x:v>
      </x:c>
      <x:c r="L604" s="16" t="n">
        <x:v>1</x:v>
      </x:c>
      <x:c r="M604" s="16" t="n">
        <x:v>5</x:v>
      </x:c>
      <x:c r="N604" s="16" t="n">
        <x:v>5</x:v>
      </x:c>
      <x:c r="O604" s="16" t="n">
        <x:v>5</x:v>
      </x:c>
      <x:c r="P604" s="16" t="n">
        <x:f>IF(COUNT(I604:O604)&lt;7,"",I604*8+J604*3+K604*2+L604*2+M604*2+N604*2+O604)</x:f>
        <x:v>92</x:v>
      </x:c>
      <x:c r="Q604" s="16" t="n">
        <x:f>IF(COUNT(J604:O604)&lt;6,"",J604*5+K604*4+M604*4+L604*3+N604*2+O604*2)</x:f>
        <x:v>88</x:v>
      </x:c>
      <x:c r="R604" s="14" t="str">
        <x:v>high</x:v>
      </x:c>
      <x:c r="S604" s="14" t="str">
        <x:v>official_prozorro_award_2025_2026</x:v>
      </x:c>
      <x:c r="T604" s="14" t="str">
        <x:v>official_prozorro_api</x:v>
      </x:c>
      <x:c r="U604" s="14" t="str">
        <x:v>Не контактували</x:v>
      </x:c>
      <x:c r="V604" s="15" t="str">
        <x:v>Персоналізований free-pilot outreach по UA-2026-05-21-011487-a; попросити 1 пакет Н.14/Н.15</x:v>
      </x:c>
      <x:c r="W604" s="15" t="str">
        <x:v>Власник / директор; керівник ПТО; відповідальний за договори</x:v>
      </x:c>
      <x:c r="X604" s="15" t="str">
        <x:v>1 підтверджених перемог/договорів у Prozorro на 99 930 грн; 1 проєктів зі строком виконання не раніше 24.08.2026.</x:v>
      </x:c>
      <x:c r="Y604"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 строк до 2026-08-31. Попросити один знеособлений пакет здачі за цим workflow.</x:v>
      </x:c>
      <x:c r="Z604" s="15" t="str">
        <x:v>https://prozorro.gov.ua/tender/UA-2026-05-21-011487-a</x:v>
      </x:c>
      <x:c r="AA604" s="14" t="str">
        <x:v>44723522</x:v>
      </x:c>
      <x:c r="AB604" s="14" t="str">
        <x:v>2026-08-24</x:v>
      </x:c>
      <x:c r="AC604" s="14" t="str"/>
      <x:c r="AD604" s="20" t="str"/>
      <x:c r="AE604" s="14" t="str"/>
      <x:c r="AF604" s="14" t="n">
        <x:v>46</x:v>
      </x:c>
      <x:c r="AG604" s="14" t="str">
        <x:v>I3</x:v>
      </x:c>
      <x:c r="AH604" s="14" t="n">
        <x:v>1</x:v>
      </x:c>
      <x:c r="AI604" s="14" t="n">
        <x:v>1</x:v>
      </x:c>
      <x:c r="AJ604" s="18" t="n">
        <x:v>99930</x:v>
      </x:c>
      <x:c r="AK604" s="14" t="str">
        <x:v>https://prozorro.gov.ua/tender/UA-2026-05-21-011487-a</x:v>
      </x:c>
      <x:c r="AL604" s="19" t="n">
        <x:v>46163.544811087966</x:v>
      </x:c>
      <x:c r="AM604" s="19" t="n">
        <x:v>46265</x:v>
      </x:c>
      <x:c r="AN604" s="15" t="str">
        <x:v>HVAC / ОВіК</x:v>
      </x:c>
      <x:c r="AO604" s="15" t="str">
        <x:v>not_found_in_top_search</x:v>
      </x:c>
    </x:row>
    <x:row r="605">
      <x:c r="A605" s="14" t="str">
        <x:v>W3-333</x:v>
      </x:c>
      <x:c r="B605" s="14" t="str">
        <x:v>Prozorro winners — 24.08</x:v>
      </x:c>
      <x:c r="C605" s="14" t="str">
        <x:v>ТОВАРИСТВО З ОБМЕЖЕНОЮ ВІДПОВІДАЛЬНІСТЮ "ЖИТОМИРБУДПРОЕКТЕКСПЕРТИЗА"</x:v>
      </x:c>
      <x:c r="D605" s="14" t="str">
        <x:v>Насосні станції</x:v>
      </x:c>
      <x:c r="E605" s="14" t="str">
        <x:v>Expansion discovery</x:v>
      </x:c>
      <x:c r="F605" s="17" t="str">
        <x:v>D3</x:v>
      </x:c>
      <x:c r="G605" s="14" t="str"/>
      <x:c r="H605" s="14" t="str">
        <x:v>Discovery розширення — 2 тижні</x:v>
      </x:c>
      <x:c r="I605" s="16" t="n">
        <x:v>1</x:v>
      </x:c>
      <x:c r="J605" s="16" t="n">
        <x:v>5</x:v>
      </x:c>
      <x:c r="K605" s="16" t="n">
        <x:v>4</x:v>
      </x:c>
      <x:c r="L605" s="16" t="n">
        <x:v>1</x:v>
      </x:c>
      <x:c r="M605" s="16" t="n">
        <x:v>5</x:v>
      </x:c>
      <x:c r="N605" s="16" t="n">
        <x:v>5</x:v>
      </x:c>
      <x:c r="O605" s="16" t="n">
        <x:v>5</x:v>
      </x:c>
      <x:c r="P605" s="16" t="n">
        <x:f>IF(COUNT(I605:O605)&lt;7,"",I605*8+J605*3+K605*2+L605*2+M605*2+N605*2+O605)</x:f>
        <x:v>58</x:v>
      </x:c>
      <x:c r="Q605" s="16" t="n">
        <x:f>IF(COUNT(J605:O605)&lt;6,"",J605*5+K605*4+M605*4+L605*3+N605*2+O605*2)</x:f>
        <x:v>84</x:v>
      </x:c>
      <x:c r="R605" s="14" t="str">
        <x:v>high</x:v>
      </x:c>
      <x:c r="S605" s="14" t="str">
        <x:v>official_prozorro_award_2025_2026</x:v>
      </x:c>
      <x:c r="T605" s="14" t="str">
        <x:v>official_prozorro_api</x:v>
      </x:c>
      <x:c r="U605" s="14" t="str">
        <x:v>Не контактували</x:v>
      </x:c>
      <x:c r="V605" s="15" t="str">
        <x:v>Workflow-audit outreach по UA-2026-05-19-005355-a; попросити 1 пакет здачі та вимоги проєкту</x:v>
      </x:c>
      <x:c r="W605" s="15" t="str">
        <x:v>Власник / директор; керівник ПТО; відповідальний за договори</x:v>
      </x:c>
      <x:c r="X605" s="15" t="str">
        <x:v>1 підтверджених перемог/договорів у Prozorro на 99 476 грн; 1 проєктів зі строком виконання не раніше 24.08.2026.</x:v>
      </x:c>
      <x:c r="Y605"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 строк до 2026-09-16. Попросити один знеособлений пакет здачі за цим workflow.</x:v>
      </x:c>
      <x:c r="Z605" s="15" t="str">
        <x:v>https://prozorro.gov.ua/tender/UA-2026-05-19-005355-a</x:v>
      </x:c>
      <x:c r="AA605" s="14" t="str">
        <x:v>41523369</x:v>
      </x:c>
      <x:c r="AB605" s="14" t="str">
        <x:v>2026-08-24</x:v>
      </x:c>
      <x:c r="AC605" s="14" t="str"/>
      <x:c r="AD605" s="20" t="str"/>
      <x:c r="AE605" s="14" t="str"/>
      <x:c r="AF605" s="14" t="n">
        <x:v>46</x:v>
      </x:c>
      <x:c r="AG605" s="14" t="str">
        <x:v>I3</x:v>
      </x:c>
      <x:c r="AH605" s="14" t="n">
        <x:v>1</x:v>
      </x:c>
      <x:c r="AI605" s="14" t="n">
        <x:v>1</x:v>
      </x:c>
      <x:c r="AJ605" s="18" t="n">
        <x:v>99476.21</x:v>
      </x:c>
      <x:c r="AK605" s="14" t="str">
        <x:v>https://prozorro.gov.ua/tender/UA-2026-05-19-005355-a</x:v>
      </x:c>
      <x:c r="AL605" s="19" t="n">
        <x:v>46161.37153174768</x:v>
      </x:c>
      <x:c r="AM605" s="19" t="n">
        <x:v>46281</x:v>
      </x:c>
      <x:c r="AN605" s="15" t="str">
        <x:v>Насосні станції</x:v>
      </x:c>
      <x:c r="AO605" s="15" t="str">
        <x:v>not_found_in_top_search</x:v>
      </x:c>
    </x:row>
    <x:row r="606">
      <x:c r="A606" s="14" t="str">
        <x:v>W3-334</x:v>
      </x:c>
      <x:c r="B606" s="14" t="str">
        <x:v>Prozorro winners — 24.08</x:v>
      </x:c>
      <x:c r="C606" s="14" t="str">
        <x:v>МИКОЛАЇВСЬКЕ ОБЛАСНЕ СПЕЦІАЛІЗОВАНЕ РЕМОНТНО-БУДІВЕЛЬНЕ ПІДПРИЄМСТВО ПРОТИПОЖЕЖНИХ РОБІТ ДОБРОВІЛЬНОГО ПОЖЕЖНОГО ТОВАРИСТВА УКРАЇНИ</x:v>
      </x:c>
      <x:c r="D606" s="14" t="str">
        <x:v>Пожежогасіння</x:v>
      </x:c>
      <x:c r="E606" s="14" t="str">
        <x:v>Expansion discovery</x:v>
      </x:c>
      <x:c r="F606" s="17" t="str">
        <x:v>D3</x:v>
      </x:c>
      <x:c r="G606" s="14" t="str"/>
      <x:c r="H606" s="14" t="str">
        <x:v>Discovery розширення — 2 тижні</x:v>
      </x:c>
      <x:c r="I606" s="16" t="n">
        <x:v>1</x:v>
      </x:c>
      <x:c r="J606" s="16" t="n">
        <x:v>5</x:v>
      </x:c>
      <x:c r="K606" s="16" t="n">
        <x:v>4</x:v>
      </x:c>
      <x:c r="L606" s="16" t="n">
        <x:v>1</x:v>
      </x:c>
      <x:c r="M606" s="16" t="n">
        <x:v>5</x:v>
      </x:c>
      <x:c r="N606" s="16" t="n">
        <x:v>5</x:v>
      </x:c>
      <x:c r="O606" s="16" t="n">
        <x:v>5</x:v>
      </x:c>
      <x:c r="P606" s="16" t="n">
        <x:f>IF(COUNT(I606:O606)&lt;7,"",I606*8+J606*3+K606*2+L606*2+M606*2+N606*2+O606)</x:f>
        <x:v>58</x:v>
      </x:c>
      <x:c r="Q606" s="16" t="n">
        <x:f>IF(COUNT(J606:O606)&lt;6,"",J606*5+K606*4+M606*4+L606*3+N606*2+O606*2)</x:f>
        <x:v>84</x:v>
      </x:c>
      <x:c r="R606" s="14" t="str">
        <x:v>high</x:v>
      </x:c>
      <x:c r="S606" s="14" t="str">
        <x:v>official_prozorro_award_2025_2026</x:v>
      </x:c>
      <x:c r="T606" s="14" t="str">
        <x:v>official_prozorro_api</x:v>
      </x:c>
      <x:c r="U606" s="14" t="str">
        <x:v>Не контактували</x:v>
      </x:c>
      <x:c r="V606" s="15" t="str">
        <x:v>Workflow-audit outreach по UA-2026-07-06-006772-a; попросити 1 пакет здачі та вимоги проєкту</x:v>
      </x:c>
      <x:c r="W606" s="15" t="str">
        <x:v>Власник / директор; керівник ПТО; відповідальний за договори</x:v>
      </x:c>
      <x:c r="X606" s="15" t="str">
        <x:v>1 підтверджених перемог/договорів у Prozorro на 99 253 грн; 1 проєктів зі строком виконання не раніше 24.08.2026.</x:v>
      </x:c>
      <x:c r="Y606" s="15" t="str">
        <x:v>Послуги з розроблення проектної документації з монтажу системи пожежної сигналізації; строк до 2026-12-31. Попросити один знеособлений пакет здачі за цим workflow.</x:v>
      </x:c>
      <x:c r="Z606" s="15" t="str">
        <x:v>https://prozorro.gov.ua/tender/UA-2026-07-06-006772-a</x:v>
      </x:c>
      <x:c r="AA606" s="14" t="str">
        <x:v>00183041</x:v>
      </x:c>
      <x:c r="AB606" s="14" t="str">
        <x:v>2026-08-24</x:v>
      </x:c>
      <x:c r="AC606" s="14" t="str"/>
      <x:c r="AD606" s="20" t="str"/>
      <x:c r="AE606" s="14" t="str"/>
      <x:c r="AF606" s="14" t="n">
        <x:v>46</x:v>
      </x:c>
      <x:c r="AG606" s="14" t="str">
        <x:v>I3</x:v>
      </x:c>
      <x:c r="AH606" s="14" t="n">
        <x:v>1</x:v>
      </x:c>
      <x:c r="AI606" s="14" t="n">
        <x:v>1</x:v>
      </x:c>
      <x:c r="AJ606" s="18" t="n">
        <x:v>99253</x:v>
      </x:c>
      <x:c r="AK606" s="14" t="str">
        <x:v>https://prozorro.gov.ua/tender/UA-2026-07-06-006772-a</x:v>
      </x:c>
      <x:c r="AL606" s="19" t="n">
        <x:v>46209.492044074075</x:v>
      </x:c>
      <x:c r="AM606" s="19" t="n">
        <x:v>46387</x:v>
      </x:c>
      <x:c r="AN606" s="15" t="str">
        <x:v>Пожежогасіння</x:v>
      </x:c>
      <x:c r="AO606" s="15" t="str">
        <x:v>not_found_in_top_search</x:v>
      </x:c>
    </x:row>
    <x:row r="607">
      <x:c r="A607" s="14" t="str">
        <x:v>W3-335</x:v>
      </x:c>
      <x:c r="B607" s="14" t="str">
        <x:v>Prozorro winners — 24.08</x:v>
      </x:c>
      <x:c r="C607" s="14" t="str">
        <x:v>Комунальне підприємство "Житло-Експлуатація" Роменської міської ради"</x:v>
      </x:c>
      <x:c r="D607" s="14" t="str">
        <x:v>Мости / інфраструктура</x:v>
      </x:c>
      <x:c r="E607" s="14" t="str">
        <x:v>Expansion discovery</x:v>
      </x:c>
      <x:c r="F607" s="17" t="str">
        <x:v>D3</x:v>
      </x:c>
      <x:c r="G607" s="14" t="str"/>
      <x:c r="H607" s="14" t="str">
        <x:v>Discovery розширення — 2 тижні</x:v>
      </x:c>
      <x:c r="I607" s="16" t="n">
        <x:v>1</x:v>
      </x:c>
      <x:c r="J607" s="16" t="n">
        <x:v>5</x:v>
      </x:c>
      <x:c r="K607" s="16" t="n">
        <x:v>4</x:v>
      </x:c>
      <x:c r="L607" s="16" t="n">
        <x:v>1</x:v>
      </x:c>
      <x:c r="M607" s="16" t="n">
        <x:v>5</x:v>
      </x:c>
      <x:c r="N607" s="16" t="n">
        <x:v>5</x:v>
      </x:c>
      <x:c r="O607" s="16" t="n">
        <x:v>5</x:v>
      </x:c>
      <x:c r="P607" s="16" t="n">
        <x:f>IF(COUNT(I607:O607)&lt;7,"",I607*8+J607*3+K607*2+L607*2+M607*2+N607*2+O607)</x:f>
        <x:v>58</x:v>
      </x:c>
      <x:c r="Q607" s="16" t="n">
        <x:f>IF(COUNT(J607:O607)&lt;6,"",J607*5+K607*4+M607*4+L607*3+N607*2+O607*2)</x:f>
        <x:v>84</x:v>
      </x:c>
      <x:c r="R607" s="14" t="str">
        <x:v>high</x:v>
      </x:c>
      <x:c r="S607" s="14" t="str">
        <x:v>official_prozorro_award_2025_2026</x:v>
      </x:c>
      <x:c r="T607" s="14" t="str">
        <x:v>official_prozorro_api</x:v>
      </x:c>
      <x:c r="U607" s="14" t="str">
        <x:v>Не контактували</x:v>
      </x:c>
      <x:c r="V607" s="15" t="str">
        <x:v>Workflow-audit outreach по UA-2026-06-26-003746-a; попросити 1 пакет здачі та вимоги проєкту</x:v>
      </x:c>
      <x:c r="W607" s="15" t="str">
        <x:v>Власник / директор; керівник ПТО; відповідальний за договори</x:v>
      </x:c>
      <x:c r="X607" s="15" t="str">
        <x:v>1 підтверджених перемог/договорів у Prozorro на 98 979 грн; 1 проєктів зі строком виконання не раніше 24.08.2026.</x:v>
      </x:c>
      <x:c r="Y607" s="15" t="str">
        <x:v>Поточний ремонт мосту по вул. Покровський узвіз в м. Ромни Сумської області; строк до 2026-12-31. Попросити один знеособлений пакет здачі за цим workflow.</x:v>
      </x:c>
      <x:c r="Z607" s="15" t="str">
        <x:v>https://prozorro.gov.ua/tender/UA-2026-06-26-003746-a</x:v>
      </x:c>
      <x:c r="AA607" s="14" t="str">
        <x:v>34255061</x:v>
      </x:c>
      <x:c r="AB607" s="14" t="str">
        <x:v>2026-08-24</x:v>
      </x:c>
      <x:c r="AC607" s="14" t="str"/>
      <x:c r="AD607" s="20" t="str"/>
      <x:c r="AE607" s="14" t="str"/>
      <x:c r="AF607" s="14" t="n">
        <x:v>46</x:v>
      </x:c>
      <x:c r="AG607" s="14" t="str">
        <x:v>I3</x:v>
      </x:c>
      <x:c r="AH607" s="14" t="n">
        <x:v>1</x:v>
      </x:c>
      <x:c r="AI607" s="14" t="n">
        <x:v>1</x:v>
      </x:c>
      <x:c r="AJ607" s="18" t="n">
        <x:v>98979.06</x:v>
      </x:c>
      <x:c r="AK607" s="14" t="str">
        <x:v>https://prozorro.gov.ua/tender/UA-2026-06-26-003746-a</x:v>
      </x:c>
      <x:c r="AL607" s="19" t="n">
        <x:v>46199.346181469904</x:v>
      </x:c>
      <x:c r="AM607" s="19" t="n">
        <x:v>46387</x:v>
      </x:c>
      <x:c r="AN607" s="15" t="str">
        <x:v>Мости / інфраструктура</x:v>
      </x:c>
      <x:c r="AO607" s="15" t="str">
        <x:v>not_found_in_top_search</x:v>
      </x:c>
    </x:row>
    <x:row r="608">
      <x:c r="A608" s="14" t="str">
        <x:v>W3-336</x:v>
      </x:c>
      <x:c r="B608" s="14" t="str">
        <x:v>Prozorro winners — 24.08</x:v>
      </x:c>
      <x:c r="C608" s="14" t="str">
        <x:v>АТ"ІЦ"УКРГАЗТЕХНІКА"</x:v>
      </x:c>
      <x:c r="D608" s="14" t="str">
        <x:v>Газопостачання / котельні</x:v>
      </x:c>
      <x:c r="E608" s="14" t="str">
        <x:v>Expansion discovery</x:v>
      </x:c>
      <x:c r="F608" s="17" t="str">
        <x:v>D3</x:v>
      </x:c>
      <x:c r="G608" s="14" t="str">
        <x:v>ugt.com.ua</x:v>
      </x:c>
      <x:c r="H608" s="14" t="str">
        <x:v>Discovery розширення — 2 тижні</x:v>
      </x:c>
      <x:c r="I608" s="16" t="n">
        <x:v>1</x:v>
      </x:c>
      <x:c r="J608" s="16" t="n">
        <x:v>5</x:v>
      </x:c>
      <x:c r="K608" s="16" t="n">
        <x:v>4</x:v>
      </x:c>
      <x:c r="L608" s="16" t="n">
        <x:v>1</x:v>
      </x:c>
      <x:c r="M608" s="16" t="n">
        <x:v>5</x:v>
      </x:c>
      <x:c r="N608" s="16" t="n">
        <x:v>5</x:v>
      </x:c>
      <x:c r="O608" s="16" t="n">
        <x:v>5</x:v>
      </x:c>
      <x:c r="P608" s="16" t="n">
        <x:f>IF(COUNT(I608:O608)&lt;7,"",I608*8+J608*3+K608*2+L608*2+M608*2+N608*2+O608)</x:f>
        <x:v>58</x:v>
      </x:c>
      <x:c r="Q608" s="16" t="n">
        <x:f>IF(COUNT(J608:O608)&lt;6,"",J608*5+K608*4+M608*4+L608*3+N608*2+O608*2)</x:f>
        <x:v>84</x:v>
      </x:c>
      <x:c r="R608" s="14" t="str">
        <x:v>high</x:v>
      </x:c>
      <x:c r="S608" s="14" t="str">
        <x:v>official_prozorro_award_2025_2026</x:v>
      </x:c>
      <x:c r="T608" s="14" t="str">
        <x:v>official_prozorro_api</x:v>
      </x:c>
      <x:c r="U608" s="14" t="str">
        <x:v>Не контактували</x:v>
      </x:c>
      <x:c r="V608" s="15" t="str">
        <x:v>Workflow-audit outreach по UA-2026-04-30-007989-a; попросити 1 пакет здачі та вимоги проєкту</x:v>
      </x:c>
      <x:c r="W608" s="15" t="str">
        <x:v>Власник / директор; керівник ПТО; відповідальний за договори</x:v>
      </x:c>
      <x:c r="X608" s="15" t="str">
        <x:v>1 підтверджених перемог/договорів у Prozorro на 98 800 грн; 1 проєктів зі строком виконання не раніше 24.08.2026.</x:v>
      </x:c>
      <x:c r="Y60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 строк до 2026-12-31. Попросити один знеособлений пакет здачі за цим workflow.</x:v>
      </x:c>
      <x:c r="Z608" s="15" t="str">
        <x:v>https://prozorro.gov.ua/tender/UA-2026-04-30-007989-a</x:v>
      </x:c>
      <x:c r="AA608" s="14" t="str">
        <x:v>14073155</x:v>
      </x:c>
      <x:c r="AB608" s="14" t="str">
        <x:v>2026-08-24</x:v>
      </x:c>
      <x:c r="AC608" s="14" t="str"/>
      <x:c r="AD608" s="20" t="str"/>
      <x:c r="AE608" s="14" t="str"/>
      <x:c r="AF608" s="14" t="n">
        <x:v>46</x:v>
      </x:c>
      <x:c r="AG608" s="14" t="str">
        <x:v>I3</x:v>
      </x:c>
      <x:c r="AH608" s="14" t="n">
        <x:v>1</x:v>
      </x:c>
      <x:c r="AI608" s="14" t="n">
        <x:v>1</x:v>
      </x:c>
      <x:c r="AJ608" s="18" t="n">
        <x:v>98800</x:v>
      </x:c>
      <x:c r="AK608" s="14" t="str">
        <x:v>https://prozorro.gov.ua/tender/UA-2026-04-30-007989-a</x:v>
      </x:c>
      <x:c r="AL608" s="19" t="n">
        <x:v>46142.5013240625</x:v>
      </x:c>
      <x:c r="AM608" s="19" t="n">
        <x:v>46387</x:v>
      </x:c>
      <x:c r="AN608" s="15" t="str">
        <x:v>Газопостачання / котельні</x:v>
      </x:c>
      <x:c r="AO608" s="15" t="str">
        <x:v>supplier_provided_url</x:v>
      </x:c>
    </x:row>
    <x:row r="609">
      <x:c r="A609" s="14" t="str">
        <x:v>W3-337</x:v>
      </x:c>
      <x:c r="B609" s="14" t="str">
        <x:v>Prozorro winners — 24.08</x:v>
      </x:c>
      <x:c r="C609" s="14" t="str">
        <x:v>ТОВАРИСТВО З ОБМЕЖЕНОЮ ВІДПОВІДАЛЬНІСТЮ "ВЕКТОР БУД-ТОРГ"</x:v>
      </x:c>
      <x:c r="D609" s="14" t="str">
        <x:v>HVAC / ОВіК</x:v>
      </x:c>
      <x:c r="E609" s="14" t="str">
        <x:v>Pilot now</x:v>
      </x:c>
      <x:c r="F609" s="17" t="str">
        <x:v>P3</x:v>
      </x:c>
      <x:c r="G609" s="14" t="str"/>
      <x:c r="H609" s="14" t="str">
        <x:v>Пілот зараз — Н.14</x:v>
      </x:c>
      <x:c r="I609" s="16" t="n">
        <x:v>5</x:v>
      </x:c>
      <x:c r="J609" s="16" t="n">
        <x:v>5</x:v>
      </x:c>
      <x:c r="K609" s="16" t="n">
        <x:v>5</x:v>
      </x:c>
      <x:c r="L609" s="16" t="n">
        <x:v>1</x:v>
      </x:c>
      <x:c r="M609" s="16" t="n">
        <x:v>5</x:v>
      </x:c>
      <x:c r="N609" s="16" t="n">
        <x:v>5</x:v>
      </x:c>
      <x:c r="O609" s="16" t="n">
        <x:v>5</x:v>
      </x:c>
      <x:c r="P609" s="16" t="n">
        <x:f>IF(COUNT(I609:O609)&lt;7,"",I609*8+J609*3+K609*2+L609*2+M609*2+N609*2+O609)</x:f>
        <x:v>92</x:v>
      </x:c>
      <x:c r="Q609" s="16" t="n">
        <x:f>IF(COUNT(J609:O609)&lt;6,"",J609*5+K609*4+M609*4+L609*3+N609*2+O609*2)</x:f>
        <x:v>88</x:v>
      </x:c>
      <x:c r="R609" s="14" t="str">
        <x:v>high</x:v>
      </x:c>
      <x:c r="S609" s="14" t="str">
        <x:v>official_prozorro_award_2025_2026</x:v>
      </x:c>
      <x:c r="T609" s="14" t="str">
        <x:v>official_prozorro_api</x:v>
      </x:c>
      <x:c r="U609" s="14" t="str">
        <x:v>Не контактували</x:v>
      </x:c>
      <x:c r="V609" s="15" t="str">
        <x:v>Персоналізований free-pilot outreach по UA-2026-07-03-005222-a; попросити 1 пакет Н.14/Н.15</x:v>
      </x:c>
      <x:c r="W609" s="15" t="str">
        <x:v>Власник / директор; керівник ПТО; відповідальний за договори</x:v>
      </x:c>
      <x:c r="X609" s="15" t="str">
        <x:v>1 підтверджених перемог/договорів у Prozorro на 98 515 грн; 1 проєктів зі строком виконання не раніше 24.08.2026.</x:v>
      </x:c>
      <x:c r="Y609" s="15" t="str">
        <x:v>Послуги з монтажу та демонтажу системи опалення, труб, радіаторів Код ДК 021:2015 45330000-9 Водопровідні та санітарно-технічні роботи; строк до 2026-12-31. Попросити один знеособлений пакет здачі за цим workflow.</x:v>
      </x:c>
      <x:c r="Z609" s="15" t="str">
        <x:v>https://prozorro.gov.ua/tender/UA-2026-07-03-005222-a</x:v>
      </x:c>
      <x:c r="AA609" s="14" t="str">
        <x:v>41610262</x:v>
      </x:c>
      <x:c r="AB609" s="14" t="str">
        <x:v>2026-08-24</x:v>
      </x:c>
      <x:c r="AC609" s="14" t="str"/>
      <x:c r="AD609" s="20" t="str"/>
      <x:c r="AE609" s="14" t="str"/>
      <x:c r="AF609" s="14" t="n">
        <x:v>46</x:v>
      </x:c>
      <x:c r="AG609" s="14" t="str">
        <x:v>I3</x:v>
      </x:c>
      <x:c r="AH609" s="14" t="n">
        <x:v>1</x:v>
      </x:c>
      <x:c r="AI609" s="14" t="n">
        <x:v>1</x:v>
      </x:c>
      <x:c r="AJ609" s="18" t="n">
        <x:v>98515.14</x:v>
      </x:c>
      <x:c r="AK609" s="14" t="str">
        <x:v>https://prozorro.gov.ua/tender/UA-2026-07-03-005222-a</x:v>
      </x:c>
      <x:c r="AL609" s="19" t="n">
        <x:v>46206.41618704861</x:v>
      </x:c>
      <x:c r="AM609" s="19" t="n">
        <x:v>46387</x:v>
      </x:c>
      <x:c r="AN609" s="15" t="str">
        <x:v>HVAC / ОВіК</x:v>
      </x:c>
      <x:c r="AO609" s="15" t="str">
        <x:v>not_found_in_top_search</x:v>
      </x:c>
    </x:row>
    <x:row r="610">
      <x:c r="A610" s="14" t="str">
        <x:v>W3-338</x:v>
      </x:c>
      <x:c r="B610" s="14" t="str">
        <x:v>Prozorro winners — 24.08</x:v>
      </x:c>
      <x:c r="C610" s="14" t="str">
        <x:v>Товариство з обмеженою відповідальністю «КРИВБАСПРОЕКТ»</x:v>
      </x:c>
      <x:c r="D610" s="14" t="str">
        <x:v>Зовнішні мережі</x:v>
      </x:c>
      <x:c r="E610" s="14" t="str">
        <x:v>Expansion discovery</x:v>
      </x:c>
      <x:c r="F610" s="17" t="str">
        <x:v>D3</x:v>
      </x:c>
      <x:c r="G610" s="14" t="str"/>
      <x:c r="H610" s="14" t="str">
        <x:v>Discovery розширення — 2 тижні</x:v>
      </x:c>
      <x:c r="I610" s="16" t="n">
        <x:v>1</x:v>
      </x:c>
      <x:c r="J610" s="16" t="n">
        <x:v>5</x:v>
      </x:c>
      <x:c r="K610" s="16" t="n">
        <x:v>4</x:v>
      </x:c>
      <x:c r="L610" s="16" t="n">
        <x:v>1</x:v>
      </x:c>
      <x:c r="M610" s="16" t="n">
        <x:v>5</x:v>
      </x:c>
      <x:c r="N610" s="16" t="n">
        <x:v>5</x:v>
      </x:c>
      <x:c r="O610" s="16" t="n">
        <x:v>5</x:v>
      </x:c>
      <x:c r="P610" s="16" t="n">
        <x:f>IF(COUNT(I610:O610)&lt;7,"",I610*8+J610*3+K610*2+L610*2+M610*2+N610*2+O610)</x:f>
        <x:v>58</x:v>
      </x:c>
      <x:c r="Q610" s="16" t="n">
        <x:f>IF(COUNT(J610:O610)&lt;6,"",J610*5+K610*4+M610*4+L610*3+N610*2+O610*2)</x:f>
        <x:v>84</x:v>
      </x:c>
      <x:c r="R610" s="14" t="str">
        <x:v>high</x:v>
      </x:c>
      <x:c r="S610" s="14" t="str">
        <x:v>official_prozorro_award_2025_2026</x:v>
      </x:c>
      <x:c r="T610" s="14" t="str">
        <x:v>official_prozorro_api</x:v>
      </x:c>
      <x:c r="U610" s="14" t="str">
        <x:v>Не контактували</x:v>
      </x:c>
      <x:c r="V610" s="15" t="str">
        <x:v>Повторне звернення з новим тендерним сигналом UA-2025-11-26-002174-a; попросити 1 пакет здачі</x:v>
      </x:c>
      <x:c r="W610" s="15" t="str">
        <x:v>Власник / директор; керівник ПТО; відповідальний за договори</x:v>
      </x:c>
      <x:c r="X610" s="15" t="str">
        <x:v>1 підтверджених перемог/договорів у Prozorro на 93 984 грн; 1 проєктів зі строком виконання не раніше 24.08.2026.</x:v>
      </x:c>
      <x:c r="Y610"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610" s="15" t="str">
        <x:v>https://prozorro.gov.ua/tender/UA-2026-05-26-014763-a</x:v>
      </x:c>
      <x:c r="AA610" s="14" t="str">
        <x:v>45563913</x:v>
      </x:c>
      <x:c r="AB610" s="14" t="str">
        <x:v>2026-08-24</x:v>
      </x:c>
      <x:c r="AC610" s="14" t="str"/>
      <x:c r="AD610" s="20" t="str"/>
      <x:c r="AE610" s="14" t="str"/>
      <x:c r="AF610" s="14" t="n">
        <x:v>46</x:v>
      </x:c>
      <x:c r="AG610" s="14" t="str">
        <x:v>I3</x:v>
      </x:c>
      <x:c r="AH610" s="14" t="n">
        <x:v>2</x:v>
      </x:c>
      <x:c r="AI610" s="14" t="n">
        <x:v>1</x:v>
      </x:c>
      <x:c r="AJ610" s="18" t="n">
        <x:v>153183.89</x:v>
      </x:c>
      <x:c r="AK610" s="14" t="str">
        <x:v>https://prozorro.gov.ua/tender/UA-2025-11-26-002174-a</x:v>
      </x:c>
      <x:c r="AL610" s="19" t="n">
        <x:v>45987.33007293982</x:v>
      </x:c>
      <x:c r="AM610" s="19" t="n">
        <x:v>46022</x:v>
      </x:c>
      <x:c r="AN610" s="15" t="str">
        <x:v>Зовнішні мережі; Насосні станції</x:v>
      </x:c>
      <x:c r="AO610" s="15" t="str">
        <x:v>not_found_in_top_search</x:v>
      </x:c>
    </x:row>
    <x:row r="611">
      <x:c r="A611" s="14" t="str">
        <x:v>W3-339</x:v>
      </x:c>
      <x:c r="B611" s="14" t="str">
        <x:v>Prozorro winners — 24.08</x:v>
      </x:c>
      <x:c r="C611" s="14" t="str">
        <x:v>ПП Асоціація перевізників «Автоальянс»</x:v>
      </x:c>
      <x:c r="D611" s="14" t="str">
        <x:v>Пожежогасіння</x:v>
      </x:c>
      <x:c r="E611" s="14" t="str">
        <x:v>Expansion discovery</x:v>
      </x:c>
      <x:c r="F611" s="17" t="str">
        <x:v>D3</x:v>
      </x:c>
      <x:c r="G611" s="14" t="str"/>
      <x:c r="H611" s="14" t="str">
        <x:v>Discovery розширення — 2 тижні</x:v>
      </x:c>
      <x:c r="I611" s="16" t="n">
        <x:v>1</x:v>
      </x:c>
      <x:c r="J611" s="16" t="n">
        <x:v>5</x:v>
      </x:c>
      <x:c r="K611" s="16" t="n">
        <x:v>4</x:v>
      </x:c>
      <x:c r="L611" s="16" t="n">
        <x:v>1</x:v>
      </x:c>
      <x:c r="M611" s="16" t="n">
        <x:v>5</x:v>
      </x:c>
      <x:c r="N611" s="16" t="n">
        <x:v>5</x:v>
      </x:c>
      <x:c r="O611" s="16" t="n">
        <x:v>5</x:v>
      </x:c>
      <x:c r="P611" s="16" t="n">
        <x:f>IF(COUNT(I611:O611)&lt;7,"",I611*8+J611*3+K611*2+L611*2+M611*2+N611*2+O611)</x:f>
        <x:v>58</x:v>
      </x:c>
      <x:c r="Q611" s="16" t="n">
        <x:f>IF(COUNT(J611:O611)&lt;6,"",J611*5+K611*4+M611*4+L611*3+N611*2+O611*2)</x:f>
        <x:v>84</x:v>
      </x:c>
      <x:c r="R611" s="14" t="str">
        <x:v>high</x:v>
      </x:c>
      <x:c r="S611" s="14" t="str">
        <x:v>official_prozorro_award_2025_2026</x:v>
      </x:c>
      <x:c r="T611" s="14" t="str">
        <x:v>official_prozorro_api</x:v>
      </x:c>
      <x:c r="U611" s="14" t="str">
        <x:v>Не контактували</x:v>
      </x:c>
      <x:c r="V611" s="15" t="str">
        <x:v>Workflow-audit outreach по UA-2026-06-18-009132-a; попросити 1 пакет здачі та вимоги проєкту</x:v>
      </x:c>
      <x:c r="W611" s="15" t="str">
        <x:v>Власник / директор; керівник ПТО; відповідальний за договори</x:v>
      </x:c>
      <x:c r="X611" s="15" t="str">
        <x:v>1 підтверджених перемог/договорів у Prozorro на 86 996 грн; 1 проєктів зі строком виконання не раніше 24.08.2026.</x:v>
      </x:c>
      <x:c r="Y611" s="15" t="str">
        <x:v>Монтаж обладнання для системи автоматичної пожежної сигналізації та системи керування евакуюванням; строк до 2026-12-31. Попросити один знеособлений пакет здачі за цим workflow.</x:v>
      </x:c>
      <x:c r="Z611" s="15" t="str">
        <x:v>https://prozorro.gov.ua/tender/UA-2026-06-18-009132-a</x:v>
      </x:c>
      <x:c r="AA611" s="14" t="str">
        <x:v>32904165</x:v>
      </x:c>
      <x:c r="AB611" s="14" t="str">
        <x:v>2026-08-24</x:v>
      </x:c>
      <x:c r="AC611" s="14" t="str"/>
      <x:c r="AD611" s="20" t="str"/>
      <x:c r="AE611" s="14" t="str"/>
      <x:c r="AF611" s="14" t="n">
        <x:v>46</x:v>
      </x:c>
      <x:c r="AG611" s="14" t="str">
        <x:v>I3</x:v>
      </x:c>
      <x:c r="AH611" s="14" t="n">
        <x:v>1</x:v>
      </x:c>
      <x:c r="AI611" s="14" t="n">
        <x:v>1</x:v>
      </x:c>
      <x:c r="AJ611" s="18" t="n">
        <x:v>86995.95</x:v>
      </x:c>
      <x:c r="AK611" s="14" t="str">
        <x:v>https://prozorro.gov.ua/tender/UA-2026-06-18-009132-a</x:v>
      </x:c>
      <x:c r="AL611" s="19" t="n">
        <x:v>46191.49398172454</x:v>
      </x:c>
      <x:c r="AM611" s="19" t="n">
        <x:v>46387</x:v>
      </x:c>
      <x:c r="AN611" s="15" t="str">
        <x:v>Пожежогасіння</x:v>
      </x:c>
      <x:c r="AO611" s="15" t="str">
        <x:v>not_found_in_top_search</x:v>
      </x:c>
    </x:row>
    <x:row r="612">
      <x:c r="A612" s="14" t="str">
        <x:v>W3-340</x:v>
      </x:c>
      <x:c r="B612" s="14" t="str">
        <x:v>Prozorro winners — 24.08</x:v>
      </x:c>
      <x:c r="C612" s="14" t="str">
        <x:v>ТОВ "АЛЕГРО"</x:v>
      </x:c>
      <x:c r="D612" s="14" t="str">
        <x:v>Пожежогасіння</x:v>
      </x:c>
      <x:c r="E612" s="14" t="str">
        <x:v>Expansion discovery</x:v>
      </x:c>
      <x:c r="F612" s="17" t="str">
        <x:v>D3</x:v>
      </x:c>
      <x:c r="G612" s="14" t="str"/>
      <x:c r="H612" s="14" t="str">
        <x:v>Discovery розширення — 2 тижні</x:v>
      </x:c>
      <x:c r="I612" s="16" t="n">
        <x:v>1</x:v>
      </x:c>
      <x:c r="J612" s="16" t="n">
        <x:v>5</x:v>
      </x:c>
      <x:c r="K612" s="16" t="n">
        <x:v>4</x:v>
      </x:c>
      <x:c r="L612" s="16" t="n">
        <x:v>1</x:v>
      </x:c>
      <x:c r="M612" s="16" t="n">
        <x:v>5</x:v>
      </x:c>
      <x:c r="N612" s="16" t="n">
        <x:v>5</x:v>
      </x:c>
      <x:c r="O612" s="16" t="n">
        <x:v>5</x:v>
      </x:c>
      <x:c r="P612" s="16" t="n">
        <x:f>IF(COUNT(I612:O612)&lt;7,"",I612*8+J612*3+K612*2+L612*2+M612*2+N612*2+O612)</x:f>
        <x:v>58</x:v>
      </x:c>
      <x:c r="Q612" s="16" t="n">
        <x:f>IF(COUNT(J612:O612)&lt;6,"",J612*5+K612*4+M612*4+L612*3+N612*2+O612*2)</x:f>
        <x:v>84</x:v>
      </x:c>
      <x:c r="R612" s="14" t="str">
        <x:v>high</x:v>
      </x:c>
      <x:c r="S612" s="14" t="str">
        <x:v>official_prozorro_award_2025_2026</x:v>
      </x:c>
      <x:c r="T612" s="14" t="str">
        <x:v>official_prozorro_api</x:v>
      </x:c>
      <x:c r="U612" s="14" t="str">
        <x:v>Не контактували</x:v>
      </x:c>
      <x:c r="V612" s="15" t="str">
        <x:v>Workflow-audit outreach по UA-2026-06-16-005274-a; попросити 1 пакет здачі та вимоги проєкту</x:v>
      </x:c>
      <x:c r="W612" s="15" t="str">
        <x:v>Власник / директор; керівник ПТО; відповідальний за договори</x:v>
      </x:c>
      <x:c r="X612" s="15" t="str">
        <x:v>1 підтверджених перемог/договорів у Prozorro на 85 800 грн; 1 проєктів зі строком виконання не раніше 24.08.2026.</x:v>
      </x:c>
      <x:c r="Y612" s="15" t="str">
        <x:v>Послуга по монтажу пожежної сигналізації та встановлення системи оповіщення про пожежу та управління евакувцією людей на обєкті; строк до 2026-12-31. Попросити один знеособлений пакет здачі за цим workflow.</x:v>
      </x:c>
      <x:c r="Z612" s="15" t="str">
        <x:v>https://prozorro.gov.ua/tender/UA-2026-06-16-005274-a</x:v>
      </x:c>
      <x:c r="AA612" s="14" t="str">
        <x:v>20587243</x:v>
      </x:c>
      <x:c r="AB612" s="14" t="str">
        <x:v>2026-08-24</x:v>
      </x:c>
      <x:c r="AC612" s="14" t="str"/>
      <x:c r="AD612" s="20" t="str"/>
      <x:c r="AE612" s="14" t="str"/>
      <x:c r="AF612" s="14" t="n">
        <x:v>46</x:v>
      </x:c>
      <x:c r="AG612" s="14" t="str">
        <x:v>I3</x:v>
      </x:c>
      <x:c r="AH612" s="14" t="n">
        <x:v>1</x:v>
      </x:c>
      <x:c r="AI612" s="14" t="n">
        <x:v>1</x:v>
      </x:c>
      <x:c r="AJ612" s="18" t="n">
        <x:v>85800</x:v>
      </x:c>
      <x:c r="AK612" s="14" t="str">
        <x:v>https://prozorro.gov.ua/tender/UA-2026-06-16-005274-a</x:v>
      </x:c>
      <x:c r="AL612" s="19" t="n">
        <x:v>46189.37239056713</x:v>
      </x:c>
      <x:c r="AM612" s="19" t="n">
        <x:v>46387</x:v>
      </x:c>
      <x:c r="AN612" s="15" t="str">
        <x:v>Пожежогасіння</x:v>
      </x:c>
      <x:c r="AO612" s="15" t="str">
        <x:v>not_found_in_top_search</x:v>
      </x:c>
    </x:row>
    <x:row r="613">
      <x:c r="A613" s="14" t="str">
        <x:v>W3-341</x:v>
      </x:c>
      <x:c r="B613" s="14" t="str">
        <x:v>Prozorro winners — 24.08</x:v>
      </x:c>
      <x:c r="C613" s="14" t="str">
        <x:v>ТОВАРИСТВО З ОБМЕЖЕНОЮ ВІДПОВІДАЛЬНІСТЮ "БЕСТ ТЕХНОЛОДЖІ КОМПАНІ"</x:v>
      </x:c>
      <x:c r="D613" s="14" t="str">
        <x:v>Пожежогасіння</x:v>
      </x:c>
      <x:c r="E613" s="14" t="str">
        <x:v>Expansion discovery</x:v>
      </x:c>
      <x:c r="F613" s="17" t="str">
        <x:v>D3</x:v>
      </x:c>
      <x:c r="G613" s="14" t="str"/>
      <x:c r="H613" s="14" t="str">
        <x:v>Discovery розширення — 2 тижні</x:v>
      </x:c>
      <x:c r="I613" s="16" t="n">
        <x:v>1</x:v>
      </x:c>
      <x:c r="J613" s="16" t="n">
        <x:v>5</x:v>
      </x:c>
      <x:c r="K613" s="16" t="n">
        <x:v>4</x:v>
      </x:c>
      <x:c r="L613" s="16" t="n">
        <x:v>1</x:v>
      </x:c>
      <x:c r="M613" s="16" t="n">
        <x:v>5</x:v>
      </x:c>
      <x:c r="N613" s="16" t="n">
        <x:v>5</x:v>
      </x:c>
      <x:c r="O613" s="16" t="n">
        <x:v>5</x:v>
      </x:c>
      <x:c r="P613" s="16" t="n">
        <x:f>IF(COUNT(I613:O613)&lt;7,"",I613*8+J613*3+K613*2+L613*2+M613*2+N613*2+O613)</x:f>
        <x:v>58</x:v>
      </x:c>
      <x:c r="Q613" s="16" t="n">
        <x:f>IF(COUNT(J613:O613)&lt;6,"",J613*5+K613*4+M613*4+L613*3+N613*2+O613*2)</x:f>
        <x:v>84</x:v>
      </x:c>
      <x:c r="R613" s="14" t="str">
        <x:v>high</x:v>
      </x:c>
      <x:c r="S613" s="14" t="str">
        <x:v>official_prozorro_award_2025_2026</x:v>
      </x:c>
      <x:c r="T613" s="14" t="str">
        <x:v>official_prozorro_api</x:v>
      </x:c>
      <x:c r="U613" s="14" t="str">
        <x:v>Не контактували</x:v>
      </x:c>
      <x:c r="V613" s="15" t="str">
        <x:v>Повторне звернення з новим тендерним сигналом UA-2026-05-15-004582-a; попросити 1 пакет здачі</x:v>
      </x:c>
      <x:c r="W613" s="15" t="str">
        <x:v>Власник / директор; керівник ПТО; відповідальний за договори</x:v>
      </x:c>
      <x:c r="X613" s="15" t="str">
        <x:v>1 підтверджених перемог/договорів у Prozorro на 79 491 грн; 1 проєктів зі строком виконання не раніше 24.08.2026.</x:v>
      </x:c>
      <x:c r="Y613" s="15" t="str">
        <x:v>Послуги з поточного ремонту: монтажу й установки систем пожежної сигналізації та керування евакуюванням для кафедри безпілотних систем (будівлі 17/104, третій поверх); строк до 2026-08-30. Попросити один знеособлений пакет здачі за цим workflow.</x:v>
      </x:c>
      <x:c r="Z613" s="15" t="str">
        <x:v>https://prozorro.gov.ua/tender/UA-2026-06-25-012164-a</x:v>
      </x:c>
      <x:c r="AA613" s="14" t="str">
        <x:v>40753202</x:v>
      </x:c>
      <x:c r="AB613" s="14" t="str">
        <x:v>2026-08-24</x:v>
      </x:c>
      <x:c r="AC613" s="14" t="str"/>
      <x:c r="AD613" s="20" t="str"/>
      <x:c r="AE613" s="14" t="str"/>
      <x:c r="AF613" s="14" t="n">
        <x:v>46</x:v>
      </x:c>
      <x:c r="AG613" s="14" t="str">
        <x:v>I3</x:v>
      </x:c>
      <x:c r="AH613" s="14" t="n">
        <x:v>2</x:v>
      </x:c>
      <x:c r="AI613" s="14" t="n">
        <x:v>1</x:v>
      </x:c>
      <x:c r="AJ613" s="18" t="n">
        <x:v>161957.48</x:v>
      </x:c>
      <x:c r="AK613" s="14" t="str">
        <x:v>https://prozorro.gov.ua/tender/UA-2026-05-15-004582-a</x:v>
      </x:c>
      <x:c r="AL613" s="19" t="n">
        <x:v>46157.351415694444</x:v>
      </x:c>
      <x:c r="AM613" s="19" t="n">
        <x:v>46203</x:v>
      </x:c>
      <x:c r="AN613" s="15" t="str">
        <x:v>Пожежогасіння</x:v>
      </x:c>
      <x:c r="AO613" s="15" t="str">
        <x:v>not_found_in_top_search</x:v>
      </x:c>
    </x:row>
    <x:row r="614">
      <x:c r="A614" s="14" t="str">
        <x:v>W3-342</x:v>
      </x:c>
      <x:c r="B614" s="14" t="str">
        <x:v>Prozorro winners — 24.08</x:v>
      </x:c>
      <x:c r="C614" s="14" t="str">
        <x:v>ТзОВ "Системи безпеки "Захист"</x:v>
      </x:c>
      <x:c r="D614" s="14" t="str">
        <x:v>Безпека / СКУД / CCTV</x:v>
      </x:c>
      <x:c r="E614" s="14" t="str">
        <x:v>Expansion discovery</x:v>
      </x:c>
      <x:c r="F614" s="17" t="str">
        <x:v>D3</x:v>
      </x:c>
      <x:c r="G614" s="14" t="str"/>
      <x:c r="H614" s="14" t="str">
        <x:v>Discovery розширення — 2 тижні</x:v>
      </x:c>
      <x:c r="I614" s="16" t="n">
        <x:v>1</x:v>
      </x:c>
      <x:c r="J614" s="16" t="n">
        <x:v>5</x:v>
      </x:c>
      <x:c r="K614" s="16" t="n">
        <x:v>4</x:v>
      </x:c>
      <x:c r="L614" s="16" t="n">
        <x:v>1</x:v>
      </x:c>
      <x:c r="M614" s="16" t="n">
        <x:v>5</x:v>
      </x:c>
      <x:c r="N614" s="16" t="n">
        <x:v>5</x:v>
      </x:c>
      <x:c r="O614" s="16" t="n">
        <x:v>5</x:v>
      </x:c>
      <x:c r="P614" s="16" t="n">
        <x:f>IF(COUNT(I614:O614)&lt;7,"",I614*8+J614*3+K614*2+L614*2+M614*2+N614*2+O614)</x:f>
        <x:v>58</x:v>
      </x:c>
      <x:c r="Q614" s="16" t="n">
        <x:f>IF(COUNT(J614:O614)&lt;6,"",J614*5+K614*4+M614*4+L614*3+N614*2+O614*2)</x:f>
        <x:v>84</x:v>
      </x:c>
      <x:c r="R614" s="14" t="str">
        <x:v>high</x:v>
      </x:c>
      <x:c r="S614" s="14" t="str">
        <x:v>official_prozorro_award_2025_2026</x:v>
      </x:c>
      <x:c r="T614" s="14" t="str">
        <x:v>official_prozorro_api</x:v>
      </x:c>
      <x:c r="U614" s="14" t="str">
        <x:v>Не контактували</x:v>
      </x:c>
      <x:c r="V614" s="15" t="str">
        <x:v>Workflow-audit outreach по UA-2026-07-09-005038-a; попросити 1 пакет здачі та вимоги проєкту</x:v>
      </x:c>
      <x:c r="W614" s="15" t="str">
        <x:v>Власник / директор; керівник ПТО; відповідальний за договори</x:v>
      </x:c>
      <x:c r="X614" s="15" t="str">
        <x:v>1 підтверджених перемог/договорів у Prozorro на 77 282 грн; 1 проєктів зі строком виконання не раніше 24.08.2026.</x:v>
      </x:c>
      <x:c r="Y614" s="15" t="str">
        <x:v>Послуги з монтажу системи відеоспостереження; строк до 2026-12-31. Попросити один знеособлений пакет здачі за цим workflow.</x:v>
      </x:c>
      <x:c r="Z614" s="15" t="str">
        <x:v>https://prozorro.gov.ua/tender/UA-2026-07-09-005038-a</x:v>
      </x:c>
      <x:c r="AA614" s="14" t="str">
        <x:v>37574077</x:v>
      </x:c>
      <x:c r="AB614" s="14" t="str">
        <x:v>2026-08-24</x:v>
      </x:c>
      <x:c r="AC614" s="14" t="str"/>
      <x:c r="AD614" s="20" t="str"/>
      <x:c r="AE614" s="14" t="str"/>
      <x:c r="AF614" s="14" t="n">
        <x:v>46</x:v>
      </x:c>
      <x:c r="AG614" s="14" t="str">
        <x:v>I3</x:v>
      </x:c>
      <x:c r="AH614" s="14" t="n">
        <x:v>1</x:v>
      </x:c>
      <x:c r="AI614" s="14" t="n">
        <x:v>1</x:v>
      </x:c>
      <x:c r="AJ614" s="18" t="n">
        <x:v>77282.4</x:v>
      </x:c>
      <x:c r="AK614" s="14" t="str">
        <x:v>https://prozorro.gov.ua/tender/UA-2026-07-09-005038-a</x:v>
      </x:c>
      <x:c r="AL614" s="19" t="n">
        <x:v>46212.4003419213</x:v>
      </x:c>
      <x:c r="AM614" s="19" t="n">
        <x:v>46387.44368055555</x:v>
      </x:c>
      <x:c r="AN614" s="15" t="str">
        <x:v>Безпека / СКУД / CCTV</x:v>
      </x:c>
      <x:c r="AO614" s="15" t="str">
        <x:v>not_found_in_top_search</x:v>
      </x:c>
    </x:row>
    <x:row r="615">
      <x:c r="A615" s="14" t="str">
        <x:v>W3-343</x:v>
      </x:c>
      <x:c r="B615" s="14" t="str">
        <x:v>Prozorro winners — 24.08</x:v>
      </x:c>
      <x:c r="C615" s="14" t="str">
        <x:v>ТОВАРИСТВО З ОБМЕЖЕНОЮ ВІДПОВІДАЛЬНІСТЮ "СУЧАСНІ ТЕХНОЛОГІЇ БЕЗПЕКИ ПЛЮС"</x:v>
      </x:c>
      <x:c r="D615" s="14" t="str">
        <x:v>Пожежогасіння</x:v>
      </x:c>
      <x:c r="E615" s="14" t="str">
        <x:v>Expansion discovery</x:v>
      </x:c>
      <x:c r="F615" s="17" t="str">
        <x:v>D3</x:v>
      </x:c>
      <x:c r="G615" s="14" t="str"/>
      <x:c r="H615" s="14" t="str">
        <x:v>Discovery розширення — 2 тижні</x:v>
      </x:c>
      <x:c r="I615" s="16" t="n">
        <x:v>1</x:v>
      </x:c>
      <x:c r="J615" s="16" t="n">
        <x:v>5</x:v>
      </x:c>
      <x:c r="K615" s="16" t="n">
        <x:v>4</x:v>
      </x:c>
      <x:c r="L615" s="16" t="n">
        <x:v>1</x:v>
      </x:c>
      <x:c r="M615" s="16" t="n">
        <x:v>5</x:v>
      </x:c>
      <x:c r="N615" s="16" t="n">
        <x:v>5</x:v>
      </x:c>
      <x:c r="O615" s="16" t="n">
        <x:v>5</x:v>
      </x:c>
      <x:c r="P615" s="16" t="n">
        <x:f>IF(COUNT(I615:O615)&lt;7,"",I615*8+J615*3+K615*2+L615*2+M615*2+N615*2+O615)</x:f>
        <x:v>58</x:v>
      </x:c>
      <x:c r="Q615" s="16" t="n">
        <x:f>IF(COUNT(J615:O615)&lt;6,"",J615*5+K615*4+M615*4+L615*3+N615*2+O615*2)</x:f>
        <x:v>84</x:v>
      </x:c>
      <x:c r="R615" s="14" t="str">
        <x:v>high</x:v>
      </x:c>
      <x:c r="S615" s="14" t="str">
        <x:v>official_prozorro_award_2025_2026</x:v>
      </x:c>
      <x:c r="T615" s="14" t="str">
        <x:v>official_prozorro_api</x:v>
      </x:c>
      <x:c r="U615" s="14" t="str">
        <x:v>Не контактували</x:v>
      </x:c>
      <x:c r="V615" s="15" t="str">
        <x:v>Workflow-audit outreach по UA-2026-07-06-005633-a; попросити 1 пакет здачі та вимоги проєкту</x:v>
      </x:c>
      <x:c r="W615" s="15" t="str">
        <x:v>Власник / директор; керівник ПТО; відповідальний за договори</x:v>
      </x:c>
      <x:c r="X615" s="15" t="str">
        <x:v>1 підтверджених перемог/договорів у Prozorro на 65 816 грн; 1 проєктів зі строком виконання не раніше 24.08.2026.</x:v>
      </x:c>
      <x:c r="Y615"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 строк до 2026-12-31. Попросити один знеособлений пакет здачі за цим workflow.</x:v>
      </x:c>
      <x:c r="Z615" s="15" t="str">
        <x:v>https://prozorro.gov.ua/tender/UA-2026-07-06-005633-a</x:v>
      </x:c>
      <x:c r="AA615" s="14" t="str">
        <x:v>41143854</x:v>
      </x:c>
      <x:c r="AB615" s="14" t="str">
        <x:v>2026-08-24</x:v>
      </x:c>
      <x:c r="AC615" s="14" t="str"/>
      <x:c r="AD615" s="20" t="str"/>
      <x:c r="AE615" s="14" t="str"/>
      <x:c r="AF615" s="14" t="n">
        <x:v>46</x:v>
      </x:c>
      <x:c r="AG615" s="14" t="str">
        <x:v>I3</x:v>
      </x:c>
      <x:c r="AH615" s="14" t="n">
        <x:v>1</x:v>
      </x:c>
      <x:c r="AI615" s="14" t="n">
        <x:v>1</x:v>
      </x:c>
      <x:c r="AJ615" s="18" t="n">
        <x:v>65816.41</x:v>
      </x:c>
      <x:c r="AK615" s="14" t="str">
        <x:v>https://prozorro.gov.ua/tender/UA-2026-07-06-005633-a</x:v>
      </x:c>
      <x:c r="AL615" s="19" t="n">
        <x:v>46209.457452395836</x:v>
      </x:c>
      <x:c r="AM615" s="19" t="n">
        <x:v>46387</x:v>
      </x:c>
      <x:c r="AN615" s="15" t="str">
        <x:v>Пожежогасіння</x:v>
      </x:c>
      <x:c r="AO615" s="15" t="str">
        <x:v>not_found_in_top_search</x:v>
      </x:c>
    </x:row>
    <x:row r="616">
      <x:c r="A616" s="14" t="str">
        <x:v>W3-344</x:v>
      </x:c>
      <x:c r="B616" s="14" t="str">
        <x:v>Prozorro winners — 24.08</x:v>
      </x:c>
      <x:c r="C616" s="14" t="str">
        <x:v>ТОВАРИСТВО З ОБМЕЖЕНОЮ ВІДПОВІДАЛЬНІСТЮ "УКРВЕНТПРОМПОСТАЧ"</x:v>
      </x:c>
      <x:c r="D616" s="14" t="str">
        <x:v>HVAC / ОВіК</x:v>
      </x:c>
      <x:c r="E616" s="14" t="str">
        <x:v>Pilot now</x:v>
      </x:c>
      <x:c r="F616" s="17" t="str">
        <x:v>P3</x:v>
      </x:c>
      <x:c r="G616" s="14" t="str"/>
      <x:c r="H616" s="14" t="str">
        <x:v>Пілот зараз — Н.14</x:v>
      </x:c>
      <x:c r="I616" s="16" t="n">
        <x:v>5</x:v>
      </x:c>
      <x:c r="J616" s="16" t="n">
        <x:v>5</x:v>
      </x:c>
      <x:c r="K616" s="16" t="n">
        <x:v>5</x:v>
      </x:c>
      <x:c r="L616" s="16" t="n">
        <x:v>1</x:v>
      </x:c>
      <x:c r="M616" s="16" t="n">
        <x:v>5</x:v>
      </x:c>
      <x:c r="N616" s="16" t="n">
        <x:v>5</x:v>
      </x:c>
      <x:c r="O616" s="16" t="n">
        <x:v>5</x:v>
      </x:c>
      <x:c r="P616" s="16" t="n">
        <x:f>IF(COUNT(I616:O616)&lt;7,"",I616*8+J616*3+K616*2+L616*2+M616*2+N616*2+O616)</x:f>
        <x:v>92</x:v>
      </x:c>
      <x:c r="Q616" s="16" t="n">
        <x:f>IF(COUNT(J616:O616)&lt;6,"",J616*5+K616*4+M616*4+L616*3+N616*2+O616*2)</x:f>
        <x:v>88</x:v>
      </x:c>
      <x:c r="R616" s="14" t="str">
        <x:v>high</x:v>
      </x:c>
      <x:c r="S616" s="14" t="str">
        <x:v>official_prozorro_award_2025_2026</x:v>
      </x:c>
      <x:c r="T616" s="14" t="str">
        <x:v>official_prozorro_api</x:v>
      </x:c>
      <x:c r="U616" s="14" t="str">
        <x:v>Не контактували</x:v>
      </x:c>
      <x:c r="V616" s="15" t="str">
        <x:v>Персоналізований free-pilot outreach по UA-2026-06-16-013759-a; попросити 1 пакет Н.14/Н.15</x:v>
      </x:c>
      <x:c r="W616" s="15" t="str">
        <x:v>Власник / директор; керівник ПТО; відповідальний за договори</x:v>
      </x:c>
      <x:c r="X616" s="15" t="str">
        <x:v>1 підтверджених перемог/договорів у Prozorro на 65 075 грн; 1 проєктів зі строком виконання не раніше 24.08.2026.</x:v>
      </x:c>
      <x:c r="Y616" s="15" t="str">
        <x:v>Послуги з монтажу системи вентиляції в кабінеті денситометрії ; строк до 2026-12-31. Попросити один знеособлений пакет здачі за цим workflow.</x:v>
      </x:c>
      <x:c r="Z616" s="15" t="str">
        <x:v>https://prozorro.gov.ua/tender/UA-2026-06-16-013759-a</x:v>
      </x:c>
      <x:c r="AA616" s="14" t="str">
        <x:v>39101642</x:v>
      </x:c>
      <x:c r="AB616" s="14" t="str">
        <x:v>2026-08-24</x:v>
      </x:c>
      <x:c r="AC616" s="14" t="str"/>
      <x:c r="AD616" s="20" t="str"/>
      <x:c r="AE616" s="14" t="str"/>
      <x:c r="AF616" s="14" t="n">
        <x:v>46</x:v>
      </x:c>
      <x:c r="AG616" s="14" t="str">
        <x:v>I3</x:v>
      </x:c>
      <x:c r="AH616" s="14" t="n">
        <x:v>1</x:v>
      </x:c>
      <x:c r="AI616" s="14" t="n">
        <x:v>1</x:v>
      </x:c>
      <x:c r="AJ616" s="18" t="n">
        <x:v>65074.52</x:v>
      </x:c>
      <x:c r="AK616" s="14" t="str">
        <x:v>https://prozorro.gov.ua/tender/UA-2026-06-16-013759-a</x:v>
      </x:c>
      <x:c r="AL616" s="19" t="n">
        <x:v>46189.606119421296</x:v>
      </x:c>
      <x:c r="AM616" s="19" t="n">
        <x:v>46387</x:v>
      </x:c>
      <x:c r="AN616" s="15" t="str">
        <x:v>HVAC / ОВіК</x:v>
      </x:c>
      <x:c r="AO616" s="15" t="str">
        <x:v>not_found_in_top_search</x:v>
      </x:c>
    </x:row>
    <x:row r="617">
      <x:c r="A617" s="14" t="str">
        <x:v>W3-345</x:v>
      </x:c>
      <x:c r="B617" s="14" t="str">
        <x:v>Prozorro winners — 24.08</x:v>
      </x:c>
      <x:c r="C617" s="14" t="str">
        <x:v>ПРИВАТНЕ ПІДПРИЄМСТВО "ЛЬВІВБУДПРОЕКТ"</x:v>
      </x:c>
      <x:c r="D617" s="14" t="str">
        <x:v>Зовнішні мережі</x:v>
      </x:c>
      <x:c r="E617" s="14" t="str">
        <x:v>Expansion discovery</x:v>
      </x:c>
      <x:c r="F617" s="17" t="str">
        <x:v>D3</x:v>
      </x:c>
      <x:c r="G617" s="14" t="str"/>
      <x:c r="H617" s="14" t="str">
        <x:v>Discovery розширення — 2 тижні</x:v>
      </x:c>
      <x:c r="I617" s="16" t="n">
        <x:v>1</x:v>
      </x:c>
      <x:c r="J617" s="16" t="n">
        <x:v>5</x:v>
      </x:c>
      <x:c r="K617" s="16" t="n">
        <x:v>4</x:v>
      </x:c>
      <x:c r="L617" s="16" t="n">
        <x:v>1</x:v>
      </x:c>
      <x:c r="M617" s="16" t="n">
        <x:v>5</x:v>
      </x:c>
      <x:c r="N617" s="16" t="n">
        <x:v>5</x:v>
      </x:c>
      <x:c r="O617" s="16" t="n">
        <x:v>5</x:v>
      </x:c>
      <x:c r="P617" s="16" t="n">
        <x:f>IF(COUNT(I617:O617)&lt;7,"",I617*8+J617*3+K617*2+L617*2+M617*2+N617*2+O617)</x:f>
        <x:v>58</x:v>
      </x:c>
      <x:c r="Q617" s="16" t="n">
        <x:f>IF(COUNT(J617:O617)&lt;6,"",J617*5+K617*4+M617*4+L617*3+N617*2+O617*2)</x:f>
        <x:v>84</x:v>
      </x:c>
      <x:c r="R617" s="14" t="str">
        <x:v>high</x:v>
      </x:c>
      <x:c r="S617" s="14" t="str">
        <x:v>official_prozorro_award_2025_2026</x:v>
      </x:c>
      <x:c r="T617" s="14" t="str">
        <x:v>official_prozorro_api</x:v>
      </x:c>
      <x:c r="U617" s="14" t="str">
        <x:v>Не контактували</x:v>
      </x:c>
      <x:c r="V617" s="15" t="str">
        <x:v>Workflow-audit outreach по UA-2026-07-06-007744-a; попросити 1 пакет здачі та вимоги проєкту</x:v>
      </x:c>
      <x:c r="W617" s="15" t="str">
        <x:v>Власник / директор; керівник ПТО; відповідальний за договори</x:v>
      </x:c>
      <x:c r="X617" s="15" t="str">
        <x:v>1 підтверджених перемог/договорів у Prozorro на 64 080 грн; 1 проєктів зі строком виконання не раніше 24.08.2026.</x:v>
      </x:c>
      <x:c r="Y617"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строк до 2026-12-31. Попросити один знеособлений пакет здачі за цим workflow.</x:v>
      </x:c>
      <x:c r="Z617" s="15" t="str">
        <x:v>https://prozorro.gov.ua/tender/UA-2026-07-06-007744-a</x:v>
      </x:c>
      <x:c r="AA617" s="14" t="str">
        <x:v>35444777</x:v>
      </x:c>
      <x:c r="AB617" s="14" t="str">
        <x:v>2026-08-24</x:v>
      </x:c>
      <x:c r="AC617" s="14" t="str"/>
      <x:c r="AD617" s="20" t="str"/>
      <x:c r="AE617" s="14" t="str"/>
      <x:c r="AF617" s="14" t="n">
        <x:v>46</x:v>
      </x:c>
      <x:c r="AG617" s="14" t="str">
        <x:v>I3</x:v>
      </x:c>
      <x:c r="AH617" s="14" t="n">
        <x:v>1</x:v>
      </x:c>
      <x:c r="AI617" s="14" t="n">
        <x:v>1</x:v>
      </x:c>
      <x:c r="AJ617" s="18" t="n">
        <x:v>64080</x:v>
      </x:c>
      <x:c r="AK617" s="14" t="str">
        <x:v>https://prozorro.gov.ua/tender/UA-2026-07-06-007744-a</x:v>
      </x:c>
      <x:c r="AL617" s="19" t="n">
        <x:v>46209.51700655092</x:v>
      </x:c>
      <x:c r="AM617" s="19" t="n">
        <x:v>46387</x:v>
      </x:c>
      <x:c r="AN617" s="15" t="str">
        <x:v>Зовнішні мережі</x:v>
      </x:c>
      <x:c r="AO617" s="15" t="str">
        <x:v>not_found_in_top_search</x:v>
      </x:c>
    </x:row>
    <x:row r="618">
      <x:c r="A618" s="14" t="str">
        <x:v>W3-346</x:v>
      </x:c>
      <x:c r="B618" s="14" t="str">
        <x:v>Prozorro winners — 24.08</x:v>
      </x:c>
      <x:c r="C618" s="14" t="str">
        <x:v>УПРАВЛІННЯ ПОЛІЦІЇ ОХОРОНИ В КІРОВОГРАДСЬКІЙ ОБЛАСТІ</x:v>
      </x:c>
      <x:c r="D618" s="14" t="str">
        <x:v>Безпека / СКУД / CCTV</x:v>
      </x:c>
      <x:c r="E618" s="14" t="str">
        <x:v>Expansion discovery</x:v>
      </x:c>
      <x:c r="F618" s="17" t="str">
        <x:v>D3</x:v>
      </x:c>
      <x:c r="G618" s="14" t="str"/>
      <x:c r="H618" s="14" t="str">
        <x:v>Discovery розширення — 2 тижні</x:v>
      </x:c>
      <x:c r="I618" s="16" t="n">
        <x:v>1</x:v>
      </x:c>
      <x:c r="J618" s="16" t="n">
        <x:v>5</x:v>
      </x:c>
      <x:c r="K618" s="16" t="n">
        <x:v>4</x:v>
      </x:c>
      <x:c r="L618" s="16" t="n">
        <x:v>1</x:v>
      </x:c>
      <x:c r="M618" s="16" t="n">
        <x:v>5</x:v>
      </x:c>
      <x:c r="N618" s="16" t="n">
        <x:v>5</x:v>
      </x:c>
      <x:c r="O618" s="16" t="n">
        <x:v>5</x:v>
      </x:c>
      <x:c r="P618" s="16" t="n">
        <x:f>IF(COUNT(I618:O618)&lt;7,"",I618*8+J618*3+K618*2+L618*2+M618*2+N618*2+O618)</x:f>
        <x:v>58</x:v>
      </x:c>
      <x:c r="Q618" s="16" t="n">
        <x:f>IF(COUNT(J618:O618)&lt;6,"",J618*5+K618*4+M618*4+L618*3+N618*2+O618*2)</x:f>
        <x:v>84</x:v>
      </x:c>
      <x:c r="R618" s="14" t="str">
        <x:v>high</x:v>
      </x:c>
      <x:c r="S618" s="14" t="str">
        <x:v>official_prozorro_award_2025_2026</x:v>
      </x:c>
      <x:c r="T618" s="14" t="str">
        <x:v>official_prozorro_api</x:v>
      </x:c>
      <x:c r="U618" s="14" t="str">
        <x:v>Не контактували</x:v>
      </x:c>
      <x:c r="V618" s="15" t="str">
        <x:v>Workflow-audit outreach по UA-2026-06-09-008927-a; попросити 1 пакет здачі та вимоги проєкту</x:v>
      </x:c>
      <x:c r="W618" s="15" t="str">
        <x:v>Власник / директор; керівник ПТО; відповідальний за договори</x:v>
      </x:c>
      <x:c r="X618" s="15" t="str">
        <x:v>1 підтверджених перемог/договорів у Prozorro на 60 251 грн; 1 проєктів зі строком виконання не раніше 24.08.2026.</x:v>
      </x:c>
      <x:c r="Y618" s="15" t="str">
        <x:v>Монтаж робіт системи відеоспостереження; строк до 2026-12-31. Попросити один знеособлений пакет здачі за цим workflow.</x:v>
      </x:c>
      <x:c r="Z618" s="15" t="str">
        <x:v>https://prozorro.gov.ua/tender/UA-2026-06-09-008927-a</x:v>
      </x:c>
      <x:c r="AA618" s="14" t="str">
        <x:v>40109000</x:v>
      </x:c>
      <x:c r="AB618" s="14" t="str">
        <x:v>2026-08-24</x:v>
      </x:c>
      <x:c r="AC618" s="14" t="str"/>
      <x:c r="AD618" s="20" t="str"/>
      <x:c r="AE618" s="14" t="str"/>
      <x:c r="AF618" s="14" t="n">
        <x:v>46</x:v>
      </x:c>
      <x:c r="AG618" s="14" t="str">
        <x:v>I3</x:v>
      </x:c>
      <x:c r="AH618" s="14" t="n">
        <x:v>1</x:v>
      </x:c>
      <x:c r="AI618" s="14" t="n">
        <x:v>1</x:v>
      </x:c>
      <x:c r="AJ618" s="18" t="n">
        <x:v>60251.2</x:v>
      </x:c>
      <x:c r="AK618" s="14" t="str">
        <x:v>https://prozorro.gov.ua/tender/UA-2026-06-09-008927-a</x:v>
      </x:c>
      <x:c r="AL618" s="19" t="n">
        <x:v>46182.51376396991</x:v>
      </x:c>
      <x:c r="AM618" s="19" t="n">
        <x:v>46387</x:v>
      </x:c>
      <x:c r="AN618" s="15" t="str">
        <x:v>Безпека / СКУД / CCTV</x:v>
      </x:c>
      <x:c r="AO618" s="15" t="str">
        <x:v>not_found_in_top_search</x:v>
      </x:c>
    </x:row>
    <x:row r="619">
      <x:c r="A619" s="14" t="str">
        <x:v>W3-347</x:v>
      </x:c>
      <x:c r="B619" s="14" t="str">
        <x:v>Prozorro winners — 24.08</x:v>
      </x:c>
      <x:c r="C619" s="14" t="str">
        <x:v>ТОВАРИСТВО З ОБМЕЖЕНОЮ ВІДПОВІДАЛЬНІСТЮ "КОНСТРАКШН МАШИНЕРІ"</x:v>
      </x:c>
      <x:c r="D619" s="14" t="str">
        <x:v>Мости / інфраструктура</x:v>
      </x:c>
      <x:c r="E619" s="14" t="str">
        <x:v>Expansion discovery</x:v>
      </x:c>
      <x:c r="F619" s="17" t="str">
        <x:v>D3</x:v>
      </x:c>
      <x:c r="G619" s="14" t="str"/>
      <x:c r="H619" s="14" t="str">
        <x:v>Discovery розширення — 2 тижні</x:v>
      </x:c>
      <x:c r="I619" s="16" t="n">
        <x:v>1</x:v>
      </x:c>
      <x:c r="J619" s="16" t="n">
        <x:v>5</x:v>
      </x:c>
      <x:c r="K619" s="16" t="n">
        <x:v>4</x:v>
      </x:c>
      <x:c r="L619" s="16" t="n">
        <x:v>1</x:v>
      </x:c>
      <x:c r="M619" s="16" t="n">
        <x:v>5</x:v>
      </x:c>
      <x:c r="N619" s="16" t="n">
        <x:v>5</x:v>
      </x:c>
      <x:c r="O619" s="16" t="n">
        <x:v>5</x:v>
      </x:c>
      <x:c r="P619" s="16" t="n">
        <x:f>IF(COUNT(I619:O619)&lt;7,"",I619*8+J619*3+K619*2+L619*2+M619*2+N619*2+O619)</x:f>
        <x:v>58</x:v>
      </x:c>
      <x:c r="Q619" s="16" t="n">
        <x:f>IF(COUNT(J619:O619)&lt;6,"",J619*5+K619*4+M619*4+L619*3+N619*2+O619*2)</x:f>
        <x:v>84</x:v>
      </x:c>
      <x:c r="R619" s="14" t="str">
        <x:v>high</x:v>
      </x:c>
      <x:c r="S619" s="14" t="str">
        <x:v>official_prozorro_award_2025_2026</x:v>
      </x:c>
      <x:c r="T619" s="14" t="str">
        <x:v>official_prozorro_api</x:v>
      </x:c>
      <x:c r="U619" s="14" t="str">
        <x:v>Не контактували</x:v>
      </x:c>
      <x:c r="V619" s="15" t="str">
        <x:v>Workflow-audit outreach по UA-2026-06-02-002185-a; попросити 1 пакет здачі та вимоги проєкту</x:v>
      </x:c>
      <x:c r="W619" s="15" t="str">
        <x:v>Власник / директор; керівник ПТО; відповідальний за договори</x:v>
      </x:c>
      <x:c r="X619" s="15" t="str">
        <x:v>1 підтверджених перемог/договорів у Prozorro на 46 440 грн; 1 проєктів зі строком виконання не раніше 24.08.2026.</x:v>
      </x:c>
      <x:c r="Y619" s="15" t="str">
        <x:v>ДК 021:2015  63710000-9 «Послуги з обслуговування наземних видів транспорту» (Виклик спеціаліста, ремонт моста заднього, монтаж моста заднього); строк до 2026-12-31. Попросити один знеособлений пакет здачі за цим workflow.</x:v>
      </x:c>
      <x:c r="Z619" s="15" t="str">
        <x:v>https://prozorro.gov.ua/tender/UA-2026-06-02-002185-a</x:v>
      </x:c>
      <x:c r="AA619" s="14" t="str">
        <x:v>32828388</x:v>
      </x:c>
      <x:c r="AB619" s="14" t="str">
        <x:v>2026-08-24</x:v>
      </x:c>
      <x:c r="AC619" s="14" t="str"/>
      <x:c r="AD619" s="20" t="str"/>
      <x:c r="AE619" s="14" t="str"/>
      <x:c r="AF619" s="14" t="n">
        <x:v>46</x:v>
      </x:c>
      <x:c r="AG619" s="14" t="str">
        <x:v>I3</x:v>
      </x:c>
      <x:c r="AH619" s="14" t="n">
        <x:v>1</x:v>
      </x:c>
      <x:c r="AI619" s="14" t="n">
        <x:v>1</x:v>
      </x:c>
      <x:c r="AJ619" s="18" t="n">
        <x:v>46440</x:v>
      </x:c>
      <x:c r="AK619" s="14" t="str">
        <x:v>https://prozorro.gov.ua/tender/UA-2026-06-02-002185-a</x:v>
      </x:c>
      <x:c r="AL619" s="19" t="n">
        <x:v>46175.3111</x:v>
      </x:c>
      <x:c r="AM619" s="19" t="n">
        <x:v>46387</x:v>
      </x:c>
      <x:c r="AN619" s="15" t="str">
        <x:v>Мости / інфраструктура</x:v>
      </x:c>
      <x:c r="AO619" s="15" t="str">
        <x:v>not_found_in_top_search</x:v>
      </x:c>
    </x:row>
    <x:row r="620">
      <x:c r="A620" s="14" t="str">
        <x:v>W3-348</x:v>
      </x:c>
      <x:c r="B620" s="14" t="str">
        <x:v>Prozorro winners — 24.08</x:v>
      </x:c>
      <x:c r="C620" s="14" t="str">
        <x:v>ТОВАРИСТВО З ОБМЕЖЕНОЮ ВІДПОВІДАЛЬНІСТЮ "ФАІРГРУПСЕК'ЮРІТІ"</x:v>
      </x:c>
      <x:c r="D620" s="14" t="str">
        <x:v>Безпека / СКУД / CCTV</x:v>
      </x:c>
      <x:c r="E620" s="14" t="str">
        <x:v>Expansion discovery</x:v>
      </x:c>
      <x:c r="F620" s="17" t="str">
        <x:v>D3</x:v>
      </x:c>
      <x:c r="G620" s="14" t="str"/>
      <x:c r="H620" s="14" t="str">
        <x:v>Discovery розширення — 2 тижні</x:v>
      </x:c>
      <x:c r="I620" s="16" t="n">
        <x:v>1</x:v>
      </x:c>
      <x:c r="J620" s="16" t="n">
        <x:v>5</x:v>
      </x:c>
      <x:c r="K620" s="16" t="n">
        <x:v>4</x:v>
      </x:c>
      <x:c r="L620" s="16" t="n">
        <x:v>1</x:v>
      </x:c>
      <x:c r="M620" s="16" t="n">
        <x:v>5</x:v>
      </x:c>
      <x:c r="N620" s="16" t="n">
        <x:v>5</x:v>
      </x:c>
      <x:c r="O620" s="16" t="n">
        <x:v>5</x:v>
      </x:c>
      <x:c r="P620" s="16" t="n">
        <x:f>IF(COUNT(I620:O620)&lt;7,"",I620*8+J620*3+K620*2+L620*2+M620*2+N620*2+O620)</x:f>
        <x:v>58</x:v>
      </x:c>
      <x:c r="Q620" s="16" t="n">
        <x:f>IF(COUNT(J620:O620)&lt;6,"",J620*5+K620*4+M620*4+L620*3+N620*2+O620*2)</x:f>
        <x:v>84</x:v>
      </x:c>
      <x:c r="R620" s="14" t="str">
        <x:v>high</x:v>
      </x:c>
      <x:c r="S620" s="14" t="str">
        <x:v>official_prozorro_award_2025_2026</x:v>
      </x:c>
      <x:c r="T620" s="14" t="str">
        <x:v>official_prozorro_api</x:v>
      </x:c>
      <x:c r="U620" s="14" t="str">
        <x:v>Не контактували</x:v>
      </x:c>
      <x:c r="V620" s="15" t="str">
        <x:v>Workflow-audit outreach по UA-2026-05-06-001383-a; попросити 1 пакет здачі та вимоги проєкту</x:v>
      </x:c>
      <x:c r="W620" s="15" t="str">
        <x:v>Власник / директор; керівник ПТО; відповідальний за договори</x:v>
      </x:c>
      <x:c r="X620" s="15" t="str">
        <x:v>1 підтверджених перемог/договорів у Prozorro на 43 120 грн; 1 проєктів зі строком виконання не раніше 24.08.2026.</x:v>
      </x:c>
      <x:c r="Y620" s="15" t="str">
        <x:v>Послуга з монтажу системи контролю доступу (домофон) на об’єкті Замовника; строк до 2026-12-31. Попросити один знеособлений пакет здачі за цим workflow.</x:v>
      </x:c>
      <x:c r="Z620" s="15" t="str">
        <x:v>https://prozorro.gov.ua/tender/UA-2026-05-06-001383-a</x:v>
      </x:c>
      <x:c r="AA620" s="14" t="str">
        <x:v>36727061</x:v>
      </x:c>
      <x:c r="AB620" s="14" t="str">
        <x:v>2026-08-24</x:v>
      </x:c>
      <x:c r="AC620" s="14" t="str"/>
      <x:c r="AD620" s="20" t="str"/>
      <x:c r="AE620" s="14" t="str"/>
      <x:c r="AF620" s="14" t="n">
        <x:v>46</x:v>
      </x:c>
      <x:c r="AG620" s="14" t="str">
        <x:v>I3</x:v>
      </x:c>
      <x:c r="AH620" s="14" t="n">
        <x:v>1</x:v>
      </x:c>
      <x:c r="AI620" s="14" t="n">
        <x:v>1</x:v>
      </x:c>
      <x:c r="AJ620" s="18" t="n">
        <x:v>43120</x:v>
      </x:c>
      <x:c r="AK620" s="14" t="str">
        <x:v>https://prozorro.gov.ua/tender/UA-2026-05-06-001383-a</x:v>
      </x:c>
      <x:c r="AL620" s="19" t="n">
        <x:v>46148.28008561343</x:v>
      </x:c>
      <x:c r="AM620" s="19" t="n">
        <x:v>46387</x:v>
      </x:c>
      <x:c r="AN620" s="15" t="str">
        <x:v>Безпека / СКУД / CCTV</x:v>
      </x:c>
      <x:c r="AO620" s="15" t="str">
        <x:v>not_found_in_top_search</x:v>
      </x:c>
    </x:row>
    <x:row r="621">
      <x:c r="A621" s="14" t="str">
        <x:v>W3-349</x:v>
      </x:c>
      <x:c r="B621" s="14" t="str">
        <x:v>Prozorro winners — 24.08</x:v>
      </x:c>
      <x:c r="C621" s="14" t="str">
        <x:v>ТОВ "АЕРО КОМФОРТ"</x:v>
      </x:c>
      <x:c r="D621" s="14" t="str">
        <x:v>HVAC / ОВіК</x:v>
      </x:c>
      <x:c r="E621" s="14" t="str">
        <x:v>Pilot now</x:v>
      </x:c>
      <x:c r="F621" s="17" t="str">
        <x:v>P3</x:v>
      </x:c>
      <x:c r="G621" s="14" t="str"/>
      <x:c r="H621" s="14" t="str">
        <x:v>Пілот зараз — Н.14</x:v>
      </x:c>
      <x:c r="I621" s="16" t="n">
        <x:v>5</x:v>
      </x:c>
      <x:c r="J621" s="16" t="n">
        <x:v>5</x:v>
      </x:c>
      <x:c r="K621" s="16" t="n">
        <x:v>5</x:v>
      </x:c>
      <x:c r="L621" s="16" t="n">
        <x:v>1</x:v>
      </x:c>
      <x:c r="M621" s="16" t="n">
        <x:v>5</x:v>
      </x:c>
      <x:c r="N621" s="16" t="n">
        <x:v>5</x:v>
      </x:c>
      <x:c r="O621" s="16" t="n">
        <x:v>5</x:v>
      </x:c>
      <x:c r="P621" s="16" t="n">
        <x:f>IF(COUNT(I621:O621)&lt;7,"",I621*8+J621*3+K621*2+L621*2+M621*2+N621*2+O621)</x:f>
        <x:v>92</x:v>
      </x:c>
      <x:c r="Q621" s="16" t="n">
        <x:f>IF(COUNT(J621:O621)&lt;6,"",J621*5+K621*4+M621*4+L621*3+N621*2+O621*2)</x:f>
        <x:v>88</x:v>
      </x:c>
      <x:c r="R621" s="14" t="str">
        <x:v>high</x:v>
      </x:c>
      <x:c r="S621" s="14" t="str">
        <x:v>official_prozorro_award_2025_2026</x:v>
      </x:c>
      <x:c r="T621" s="14" t="str">
        <x:v>official_prozorro_api</x:v>
      </x:c>
      <x:c r="U621" s="14" t="str">
        <x:v>Не контактували</x:v>
      </x:c>
      <x:c r="V621" s="15" t="str">
        <x:v>Персоналізований free-pilot outreach по UA-2026-06-18-000748-a; попросити 1 пакет Н.14/Н.15</x:v>
      </x:c>
      <x:c r="W621" s="15" t="str">
        <x:v>Власник / директор; керівник ПТО; відповідальний за договори</x:v>
      </x:c>
      <x:c r="X621" s="15" t="str">
        <x:v>1 підтверджених перемог/договорів у Prozorro на 38 000 грн; 1 проєктів зі строком виконання не раніше 24.08.2026.</x:v>
      </x:c>
      <x:c r="Y621"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 строк до 2026-12-31. Попросити один знеособлений пакет здачі за цим workflow.</x:v>
      </x:c>
      <x:c r="Z621" s="15" t="str">
        <x:v>https://prozorro.gov.ua/tender/UA-2026-06-18-000748-a</x:v>
      </x:c>
      <x:c r="AA621" s="14" t="str">
        <x:v>45903480</x:v>
      </x:c>
      <x:c r="AB621" s="14" t="str">
        <x:v>2026-08-24</x:v>
      </x:c>
      <x:c r="AC621" s="14" t="str"/>
      <x:c r="AD621" s="20" t="str"/>
      <x:c r="AE621" s="14" t="str"/>
      <x:c r="AF621" s="14" t="n">
        <x:v>46</x:v>
      </x:c>
      <x:c r="AG621" s="14" t="str">
        <x:v>I3</x:v>
      </x:c>
      <x:c r="AH621" s="14" t="n">
        <x:v>1</x:v>
      </x:c>
      <x:c r="AI621" s="14" t="n">
        <x:v>1</x:v>
      </x:c>
      <x:c r="AJ621" s="18" t="n">
        <x:v>38000</x:v>
      </x:c>
      <x:c r="AK621" s="14" t="str">
        <x:v>https://prozorro.gov.ua/tender/UA-2026-06-18-000748-a</x:v>
      </x:c>
      <x:c r="AL621" s="19" t="n">
        <x:v>46191.25883753472</x:v>
      </x:c>
      <x:c r="AM621" s="19" t="n">
        <x:v>46387</x:v>
      </x:c>
      <x:c r="AN621" s="15" t="str">
        <x:v>HVAC / ОВіК</x:v>
      </x:c>
      <x:c r="AO621" s="15" t="str">
        <x:v>not_found_in_top_search</x:v>
      </x:c>
    </x:row>
    <x:row r="622">
      <x:c r="A622" s="14" t="str">
        <x:v>W3-350</x:v>
      </x:c>
      <x:c r="B622" s="14" t="str">
        <x:v>Prozorro winners — 24.08</x:v>
      </x:c>
      <x:c r="C622" s="14" t="str">
        <x:v>ТОВАРИСТВО З ОБМЕЖЕНОЮ ВІДПОВІДАЛЬНІСТЮ "ЕНЕРГО ЮА"</x:v>
      </x:c>
      <x:c r="D622" s="14" t="str">
        <x:v>Електромонтаж</x:v>
      </x:c>
      <x:c r="E622" s="14" t="str">
        <x:v>Pilot now</x:v>
      </x:c>
      <x:c r="F622" s="17" t="str">
        <x:v>P3</x:v>
      </x:c>
      <x:c r="G622" s="14" t="str"/>
      <x:c r="H622" s="14" t="str">
        <x:v>Пілот зараз — Н.15</x:v>
      </x:c>
      <x:c r="I622" s="16" t="n">
        <x:v>5</x:v>
      </x:c>
      <x:c r="J622" s="16" t="n">
        <x:v>5</x:v>
      </x:c>
      <x:c r="K622" s="16" t="n">
        <x:v>5</x:v>
      </x:c>
      <x:c r="L622" s="16" t="n">
        <x:v>1</x:v>
      </x:c>
      <x:c r="M622" s="16" t="n">
        <x:v>5</x:v>
      </x:c>
      <x:c r="N622" s="16" t="n">
        <x:v>5</x:v>
      </x:c>
      <x:c r="O622" s="16" t="n">
        <x:v>5</x:v>
      </x:c>
      <x:c r="P622" s="16" t="n">
        <x:f>IF(COUNT(I622:O622)&lt;7,"",I622*8+J622*3+K622*2+L622*2+M622*2+N622*2+O622)</x:f>
        <x:v>92</x:v>
      </x:c>
      <x:c r="Q622" s="16" t="n">
        <x:f>IF(COUNT(J622:O622)&lt;6,"",J622*5+K622*4+M622*4+L622*3+N622*2+O622*2)</x:f>
        <x:v>88</x:v>
      </x:c>
      <x:c r="R622" s="14" t="str">
        <x:v>high</x:v>
      </x:c>
      <x:c r="S622" s="14" t="str">
        <x:v>official_prozorro_award_2025_2026</x:v>
      </x:c>
      <x:c r="T622" s="14" t="str">
        <x:v>official_prozorro_api</x:v>
      </x:c>
      <x:c r="U622" s="14" t="str">
        <x:v>Не контактували</x:v>
      </x:c>
      <x:c r="V622" s="15" t="str">
        <x:v>Персоналізований free-pilot outreach по UA-2026-07-09-002350-a; попросити 1 пакет Н.14/Н.15</x:v>
      </x:c>
      <x:c r="W622" s="15" t="str">
        <x:v>Власник / директор; керівник ПТО; відповідальний за договори</x:v>
      </x:c>
      <x:c r="X622" s="15" t="str">
        <x:v>1 підтверджених перемог/договорів у Prozorro на 30 500 грн; 1 проєктів зі строком виконання не раніше 24.08.2026.</x:v>
      </x:c>
      <x:c r="Y62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 строк до 2026-12-31. Попросити один знеособлений пакет здачі за цим workflow.</x:v>
      </x:c>
      <x:c r="Z622" s="15" t="str">
        <x:v>https://prozorro.gov.ua/tender/UA-2026-07-09-002350-a</x:v>
      </x:c>
      <x:c r="AA622" s="14" t="str">
        <x:v>43821086</x:v>
      </x:c>
      <x:c r="AB622" s="14" t="str">
        <x:v>2026-08-24</x:v>
      </x:c>
      <x:c r="AC622" s="14" t="str"/>
      <x:c r="AD622" s="20" t="str"/>
      <x:c r="AE622" s="14" t="str"/>
      <x:c r="AF622" s="14" t="n">
        <x:v>46</x:v>
      </x:c>
      <x:c r="AG622" s="14" t="str">
        <x:v>I3</x:v>
      </x:c>
      <x:c r="AH622" s="14" t="n">
        <x:v>1</x:v>
      </x:c>
      <x:c r="AI622" s="14" t="n">
        <x:v>1</x:v>
      </x:c>
      <x:c r="AJ622" s="18" t="n">
        <x:v>30500</x:v>
      </x:c>
      <x:c r="AK622" s="14" t="str">
        <x:v>https://prozorro.gov.ua/tender/UA-2026-07-09-002350-a</x:v>
      </x:c>
      <x:c r="AL622" s="19" t="n">
        <x:v>46212.320446481484</x:v>
      </x:c>
      <x:c r="AM622" s="19" t="n">
        <x:v>46387</x:v>
      </x:c>
      <x:c r="AN622" s="15" t="str">
        <x:v>Електромонтаж</x:v>
      </x:c>
      <x:c r="AO622" s="15" t="str">
        <x:v>not_found_in_top_search</x:v>
      </x:c>
    </x:row>
    <x:row r="623">
      <x:c r="A623" s="14" t="str">
        <x:v>W3-351</x:v>
      </x:c>
      <x:c r="B623" s="14" t="str">
        <x:v>Prozorro winners — 24.08</x:v>
      </x:c>
      <x:c r="C623" s="14" t="str">
        <x:v>ТОВАРИСТВО З ОБМЕЖЕНОЮ ВІДПОВІДАЛЬНІСТЮ "БУДСЕРВІС-М"</x:v>
      </x:c>
      <x:c r="D623" s="14" t="str">
        <x:v>Електромонтаж</x:v>
      </x:c>
      <x:c r="E623" s="14" t="str">
        <x:v>Pilot now</x:v>
      </x:c>
      <x:c r="F623" s="17" t="str">
        <x:v>P3</x:v>
      </x:c>
      <x:c r="G623" s="14" t="str"/>
      <x:c r="H623" s="14" t="str">
        <x:v>Пілот зараз — Н.15</x:v>
      </x:c>
      <x:c r="I623" s="16" t="n">
        <x:v>5</x:v>
      </x:c>
      <x:c r="J623" s="16" t="n">
        <x:v>5</x:v>
      </x:c>
      <x:c r="K623" s="16" t="n">
        <x:v>5</x:v>
      </x:c>
      <x:c r="L623" s="16" t="n">
        <x:v>1</x:v>
      </x:c>
      <x:c r="M623" s="16" t="n">
        <x:v>5</x:v>
      </x:c>
      <x:c r="N623" s="16" t="n">
        <x:v>5</x:v>
      </x:c>
      <x:c r="O623" s="16" t="n">
        <x:v>5</x:v>
      </x:c>
      <x:c r="P623" s="16" t="n">
        <x:f>IF(COUNT(I623:O623)&lt;7,"",I623*8+J623*3+K623*2+L623*2+M623*2+N623*2+O623)</x:f>
        <x:v>92</x:v>
      </x:c>
      <x:c r="Q623" s="16" t="n">
        <x:f>IF(COUNT(J623:O623)&lt;6,"",J623*5+K623*4+M623*4+L623*3+N623*2+O623*2)</x:f>
        <x:v>88</x:v>
      </x:c>
      <x:c r="R623" s="14" t="str">
        <x:v>high</x:v>
      </x:c>
      <x:c r="S623" s="14" t="str">
        <x:v>official_prozorro_award_2025_2026</x:v>
      </x:c>
      <x:c r="T623" s="14" t="str">
        <x:v>official_prozorro_api</x:v>
      </x:c>
      <x:c r="U623" s="14" t="str">
        <x:v>Не контактували</x:v>
      </x:c>
      <x:c r="V623" s="15" t="str">
        <x:v>Персоналізований free-pilot outreach по UA-2026-05-22-011966-a; попросити 1 пакет Н.14/Н.15</x:v>
      </x:c>
      <x:c r="W623" s="15" t="str">
        <x:v>Власник / директор; керівник ПТО; відповідальний за договори</x:v>
      </x:c>
      <x:c r="X623" s="15" t="str">
        <x:v>1 підтверджених перемог/договорів у Prozorro на 28 132 грн; 1 проєктів зі строком виконання не раніше 24.08.2026.</x:v>
      </x:c>
      <x:c r="Y623" s="15" t="str">
        <x:v>Послуги з монтажу силових електричних мереж та прокладання кабелю у підвальному приміщенні; строк до 2026-12-31. Попросити один знеособлений пакет здачі за цим workflow.</x:v>
      </x:c>
      <x:c r="Z623" s="15" t="str">
        <x:v>https://prozorro.gov.ua/tender/UA-2026-05-22-011966-a</x:v>
      </x:c>
      <x:c r="AA623" s="14" t="str">
        <x:v>43288438</x:v>
      </x:c>
      <x:c r="AB623" s="14" t="str">
        <x:v>2026-08-24</x:v>
      </x:c>
      <x:c r="AC623" s="14" t="str"/>
      <x:c r="AD623" s="20" t="str"/>
      <x:c r="AE623" s="14" t="str"/>
      <x:c r="AF623" s="14" t="n">
        <x:v>46</x:v>
      </x:c>
      <x:c r="AG623" s="14" t="str">
        <x:v>I3</x:v>
      </x:c>
      <x:c r="AH623" s="14" t="n">
        <x:v>1</x:v>
      </x:c>
      <x:c r="AI623" s="14" t="n">
        <x:v>1</x:v>
      </x:c>
      <x:c r="AJ623" s="18" t="n">
        <x:v>28132</x:v>
      </x:c>
      <x:c r="AK623" s="14" t="str">
        <x:v>https://prozorro.gov.ua/tender/UA-2026-05-22-011966-a</x:v>
      </x:c>
      <x:c r="AL623" s="19" t="n">
        <x:v>46164.58131821759</x:v>
      </x:c>
      <x:c r="AM623" s="19" t="n">
        <x:v>46387</x:v>
      </x:c>
      <x:c r="AN623" s="15" t="str">
        <x:v>Електромонтаж</x:v>
      </x:c>
      <x:c r="AO623" s="15" t="str">
        <x:v>not_found_in_top_search</x:v>
      </x:c>
    </x:row>
    <x:row r="624">
      <x:c r="A624" s="14" t="str">
        <x:v>W3-352</x:v>
      </x:c>
      <x:c r="B624" s="14" t="str">
        <x:v>Prozorro winners — 24.08</x:v>
      </x:c>
      <x:c r="C624" s="14" t="str">
        <x:v>ПРИВАТНЕ ПІДПРИЄМСТВО "БУДМАЙСТЕР"</x:v>
      </x:c>
      <x:c r="D624" s="14" t="str">
        <x:v>Електромонтаж</x:v>
      </x:c>
      <x:c r="E624" s="14" t="str">
        <x:v>Pilot now</x:v>
      </x:c>
      <x:c r="F624" s="17" t="str">
        <x:v>P3</x:v>
      </x:c>
      <x:c r="G624" s="14" t="str"/>
      <x:c r="H624" s="14" t="str">
        <x:v>Пілот зараз — Н.15</x:v>
      </x:c>
      <x:c r="I624" s="16" t="n">
        <x:v>5</x:v>
      </x:c>
      <x:c r="J624" s="16" t="n">
        <x:v>5</x:v>
      </x:c>
      <x:c r="K624" s="16" t="n">
        <x:v>5</x:v>
      </x:c>
      <x:c r="L624" s="16" t="n">
        <x:v>1</x:v>
      </x:c>
      <x:c r="M624" s="16" t="n">
        <x:v>5</x:v>
      </x:c>
      <x:c r="N624" s="16" t="n">
        <x:v>5</x:v>
      </x:c>
      <x:c r="O624" s="16" t="n">
        <x:v>5</x:v>
      </x:c>
      <x:c r="P624" s="16" t="n">
        <x:f>IF(COUNT(I624:O624)&lt;7,"",I624*8+J624*3+K624*2+L624*2+M624*2+N624*2+O624)</x:f>
        <x:v>92</x:v>
      </x:c>
      <x:c r="Q624" s="16" t="n">
        <x:f>IF(COUNT(J624:O624)&lt;6,"",J624*5+K624*4+M624*4+L624*3+N624*2+O624*2)</x:f>
        <x:v>88</x:v>
      </x:c>
      <x:c r="R624" s="14" t="str">
        <x:v>high</x:v>
      </x:c>
      <x:c r="S624" s="14" t="str">
        <x:v>official_prozorro_award_2025_2026</x:v>
      </x:c>
      <x:c r="T624" s="14" t="str">
        <x:v>official_prozorro_api</x:v>
      </x:c>
      <x:c r="U624" s="14" t="str">
        <x:v>Не контактували</x:v>
      </x:c>
      <x:c r="V624" s="15" t="str">
        <x:v>Персоналізований free-pilot outreach по UA-2026-05-11-013243-a; попросити 1 пакет Н.14/Н.15</x:v>
      </x:c>
      <x:c r="W624" s="15" t="str">
        <x:v>Власник / директор; керівник ПТО; відповідальний за договори</x:v>
      </x:c>
      <x:c r="X624" s="15" t="str">
        <x:v>2 підтверджених перемог/договорів у Prozorro на 17 272 грн; 0 проєктів зі строком виконання не раніше 24.08.2026.</x:v>
      </x:c>
      <x:c r="Y624"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 строк до 2026-06-30. Попросити один знеособлений пакет здачі за цим workflow.</x:v>
      </x:c>
      <x:c r="Z624" s="15" t="str">
        <x:v>https://prozorro.gov.ua/tender/UA-2026-05-11-013243-a</x:v>
      </x:c>
      <x:c r="AA624" s="14" t="str">
        <x:v>31161259</x:v>
      </x:c>
      <x:c r="AB624" s="14" t="str">
        <x:v>2026-08-24</x:v>
      </x:c>
      <x:c r="AC624" s="14" t="str"/>
      <x:c r="AD624" s="20" t="str"/>
      <x:c r="AE624" s="14" t="str"/>
      <x:c r="AF624" s="14" t="n">
        <x:v>46</x:v>
      </x:c>
      <x:c r="AG624" s="14" t="str">
        <x:v>I3</x:v>
      </x:c>
      <x:c r="AH624" s="14" t="n">
        <x:v>2</x:v>
      </x:c>
      <x:c r="AI624" s="14" t="n">
        <x:v>0</x:v>
      </x:c>
      <x:c r="AJ624" s="18" t="n">
        <x:v>17272</x:v>
      </x:c>
      <x:c r="AK624" s="14" t="str">
        <x:v>https://prozorro.gov.ua/tender/UA-2026-05-11-013243-a</x:v>
      </x:c>
      <x:c r="AL624" s="19" t="n">
        <x:v>46153.587129837964</x:v>
      </x:c>
      <x:c r="AM624" s="19" t="n">
        <x:v>46203</x:v>
      </x:c>
      <x:c r="AN624" s="15" t="str">
        <x:v>Електромонтаж</x:v>
      </x:c>
      <x:c r="AO624" s="15" t="str">
        <x:v>not_found_in_top_search</x:v>
      </x:c>
    </x:row>
    <x:row r="625">
      <x:c r="A625" s="14" t="str">
        <x:v>W3-353</x:v>
      </x:c>
      <x:c r="B625" s="14" t="str">
        <x:v>Prozorro winners — 24.08</x:v>
      </x:c>
      <x:c r="C625" s="14" t="str">
        <x:v>ТОВ СМ Енерго</x:v>
      </x:c>
      <x:c r="D625" s="14" t="str">
        <x:v>Електромонтаж</x:v>
      </x:c>
      <x:c r="E625" s="14" t="str">
        <x:v>Pilot now</x:v>
      </x:c>
      <x:c r="F625" s="17" t="str">
        <x:v>P3</x:v>
      </x:c>
      <x:c r="G625" s="14" t="str"/>
      <x:c r="H625" s="14" t="str">
        <x:v>Пілот зараз — Н.15</x:v>
      </x:c>
      <x:c r="I625" s="16" t="n">
        <x:v>5</x:v>
      </x:c>
      <x:c r="J625" s="16" t="n">
        <x:v>5</x:v>
      </x:c>
      <x:c r="K625" s="16" t="n">
        <x:v>5</x:v>
      </x:c>
      <x:c r="L625" s="16" t="n">
        <x:v>1</x:v>
      </x:c>
      <x:c r="M625" s="16" t="n">
        <x:v>5</x:v>
      </x:c>
      <x:c r="N625" s="16" t="n">
        <x:v>5</x:v>
      </x:c>
      <x:c r="O625" s="16" t="n">
        <x:v>5</x:v>
      </x:c>
      <x:c r="P625" s="16" t="n">
        <x:f>IF(COUNT(I625:O625)&lt;7,"",I625*8+J625*3+K625*2+L625*2+M625*2+N625*2+O625)</x:f>
        <x:v>92</x:v>
      </x:c>
      <x:c r="Q625" s="16" t="n">
        <x:f>IF(COUNT(J625:O625)&lt;6,"",J625*5+K625*4+M625*4+L625*3+N625*2+O625*2)</x:f>
        <x:v>88</x:v>
      </x:c>
      <x:c r="R625" s="14" t="str">
        <x:v>high</x:v>
      </x:c>
      <x:c r="S625" s="14" t="str">
        <x:v>official_prozorro_award_2025_2026</x:v>
      </x:c>
      <x:c r="T625" s="14" t="str">
        <x:v>official_prozorro_api</x:v>
      </x:c>
      <x:c r="U625" s="14" t="str">
        <x:v>Не контактували</x:v>
      </x:c>
      <x:c r="V625" s="15" t="str">
        <x:v>Персоналізований free-pilot outreach по UA-2026-06-11-007574-a; попросити 1 пакет Н.14/Н.15</x:v>
      </x:c>
      <x:c r="W625" s="15" t="str">
        <x:v>Власник / директор; керівник ПТО; відповідальний за договори</x:v>
      </x:c>
      <x:c r="X625" s="15" t="str">
        <x:v>1 підтверджених перемог/договорів у Prozorro на 16 513 грн; 1 проєктів зі строком виконання не раніше 24.08.2026.</x:v>
      </x:c>
      <x:c r="Y625"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строк до 2026-12-31. Попросити один знеособлений пакет здачі за цим workflow.</x:v>
      </x:c>
      <x:c r="Z625" s="15" t="str">
        <x:v>https://prozorro.gov.ua/tender/UA-2026-06-11-007574-a</x:v>
      </x:c>
      <x:c r="AA625" s="14" t="str">
        <x:v>40971822</x:v>
      </x:c>
      <x:c r="AB625" s="14" t="str">
        <x:v>2026-08-24</x:v>
      </x:c>
      <x:c r="AC625" s="14" t="str"/>
      <x:c r="AD625" s="20" t="str"/>
      <x:c r="AE625" s="14" t="str"/>
      <x:c r="AF625" s="14" t="n">
        <x:v>46</x:v>
      </x:c>
      <x:c r="AG625" s="14" t="str">
        <x:v>I3</x:v>
      </x:c>
      <x:c r="AH625" s="14" t="n">
        <x:v>1</x:v>
      </x:c>
      <x:c r="AI625" s="14" t="n">
        <x:v>1</x:v>
      </x:c>
      <x:c r="AJ625" s="18" t="n">
        <x:v>16513</x:v>
      </x:c>
      <x:c r="AK625" s="14" t="str">
        <x:v>https://prozorro.gov.ua/tender/UA-2026-06-11-007574-a</x:v>
      </x:c>
      <x:c r="AL625" s="19" t="n">
        <x:v>46184.45582422454</x:v>
      </x:c>
      <x:c r="AM625" s="19" t="n">
        <x:v>46387</x:v>
      </x:c>
      <x:c r="AN625" s="15" t="str">
        <x:v>Електромонтаж</x:v>
      </x:c>
      <x:c r="AO625" s="15" t="str">
        <x:v>not_found_in_top_search</x:v>
      </x:c>
    </x:row>
    <x:row r="626">
      <x:c r="A626" s="14" t="str">
        <x:v>W3-354</x:v>
      </x:c>
      <x:c r="B626" s="14" t="str">
        <x:v>Prozorro winners — 24.08</x:v>
      </x:c>
      <x:c r="C626" s="14" t="str">
        <x:v>ПП "Технабуд-проект"</x:v>
      </x:c>
      <x:c r="D626" s="14" t="str">
        <x:v>HVAC / ОВіК</x:v>
      </x:c>
      <x:c r="E626" s="14" t="str">
        <x:v>Pilot now</x:v>
      </x:c>
      <x:c r="F626" s="17" t="str">
        <x:v>P3</x:v>
      </x:c>
      <x:c r="G626" s="14" t="str"/>
      <x:c r="H626" s="14" t="str">
        <x:v>Пілот зараз — Н.14</x:v>
      </x:c>
      <x:c r="I626" s="16" t="n">
        <x:v>5</x:v>
      </x:c>
      <x:c r="J626" s="16" t="n">
        <x:v>5</x:v>
      </x:c>
      <x:c r="K626" s="16" t="n">
        <x:v>5</x:v>
      </x:c>
      <x:c r="L626" s="16" t="n">
        <x:v>1</x:v>
      </x:c>
      <x:c r="M626" s="16" t="n">
        <x:v>5</x:v>
      </x:c>
      <x:c r="N626" s="16" t="n">
        <x:v>5</x:v>
      </x:c>
      <x:c r="O626" s="16" t="n">
        <x:v>5</x:v>
      </x:c>
      <x:c r="P626" s="16" t="n">
        <x:f>IF(COUNT(I626:O626)&lt;7,"",I626*8+J626*3+K626*2+L626*2+M626*2+N626*2+O626)</x:f>
        <x:v>92</x:v>
      </x:c>
      <x:c r="Q626" s="16" t="n">
        <x:f>IF(COUNT(J626:O626)&lt;6,"",J626*5+K626*4+M626*4+L626*3+N626*2+O626*2)</x:f>
        <x:v>88</x:v>
      </x:c>
      <x:c r="R626" s="14" t="str">
        <x:v>high</x:v>
      </x:c>
      <x:c r="S626" s="14" t="str">
        <x:v>official_prozorro_award_2025_2026</x:v>
      </x:c>
      <x:c r="T626" s="14" t="str">
        <x:v>official_prozorro_api</x:v>
      </x:c>
      <x:c r="U626" s="14" t="str">
        <x:v>Не контактували</x:v>
      </x:c>
      <x:c r="V626" s="15" t="str">
        <x:v>Персоналізований free-pilot outreach по UA-2026-05-11-014138-a; попросити 1 пакет Н.14/Н.15</x:v>
      </x:c>
      <x:c r="W626" s="15" t="str">
        <x:v>Власник / директор; керівник ПТО; відповідальний за договори</x:v>
      </x:c>
      <x:c r="X626" s="15" t="str">
        <x:v>1 підтверджених перемог/договорів у Prozorro на 14 225 грн; 1 проєктів зі строком виконання не раніше 24.08.2026.</x:v>
      </x:c>
      <x:c r="Y626"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626" s="15" t="str">
        <x:v>https://prozorro.gov.ua/tender/UA-2026-05-11-014138-a</x:v>
      </x:c>
      <x:c r="AA626" s="14" t="str">
        <x:v>42508781</x:v>
      </x:c>
      <x:c r="AB626" s="14" t="str">
        <x:v>2026-08-24</x:v>
      </x:c>
      <x:c r="AC626" s="14" t="str"/>
      <x:c r="AD626" s="20" t="str"/>
      <x:c r="AE626" s="14" t="str"/>
      <x:c r="AF626" s="14" t="n">
        <x:v>46</x:v>
      </x:c>
      <x:c r="AG626" s="14" t="str">
        <x:v>I3</x:v>
      </x:c>
      <x:c r="AH626" s="14" t="n">
        <x:v>1</x:v>
      </x:c>
      <x:c r="AI626" s="14" t="n">
        <x:v>1</x:v>
      </x:c>
      <x:c r="AJ626" s="18" t="n">
        <x:v>14224.77</x:v>
      </x:c>
      <x:c r="AK626" s="14" t="str">
        <x:v>https://prozorro.gov.ua/tender/UA-2026-05-11-014138-a</x:v>
      </x:c>
      <x:c r="AL626" s="19" t="n">
        <x:v>46153.73245244213</x:v>
      </x:c>
      <x:c r="AM626" s="19" t="n">
        <x:v>46387</x:v>
      </x:c>
      <x:c r="AN626" s="15" t="str">
        <x:v>HVAC / ОВіК</x:v>
      </x:c>
      <x:c r="AO626" s="15" t="str">
        <x:v>not_found_in_top_search</x:v>
      </x:c>
    </x:row>
    <x:row r="627">
      <x:c r="A627" s="14" t="str">
        <x:v>W3-355</x:v>
      </x:c>
      <x:c r="B627" s="14" t="str">
        <x:v>Prozorro winners — 24.08</x:v>
      </x:c>
      <x:c r="C627" s="14" t="str">
        <x:v>ПП"ІНСТАЛ ГРУП"</x:v>
      </x:c>
      <x:c r="D627" s="14" t="str">
        <x:v>Резервне живлення</x:v>
      </x:c>
      <x:c r="E627" s="14" t="str">
        <x:v>Expansion discovery</x:v>
      </x:c>
      <x:c r="F627" s="17" t="str">
        <x:v>D3</x:v>
      </x:c>
      <x:c r="G627" s="14" t="str"/>
      <x:c r="H627" s="14" t="str">
        <x:v>Discovery розширення — 2 тижні</x:v>
      </x:c>
      <x:c r="I627" s="16" t="n">
        <x:v>1</x:v>
      </x:c>
      <x:c r="J627" s="16" t="n">
        <x:v>5</x:v>
      </x:c>
      <x:c r="K627" s="16" t="n">
        <x:v>4</x:v>
      </x:c>
      <x:c r="L627" s="16" t="n">
        <x:v>1</x:v>
      </x:c>
      <x:c r="M627" s="16" t="n">
        <x:v>5</x:v>
      </x:c>
      <x:c r="N627" s="16" t="n">
        <x:v>5</x:v>
      </x:c>
      <x:c r="O627" s="16" t="n">
        <x:v>5</x:v>
      </x:c>
      <x:c r="P627" s="16" t="n">
        <x:f>IF(COUNT(I627:O627)&lt;7,"",I627*8+J627*3+K627*2+L627*2+M627*2+N627*2+O627)</x:f>
        <x:v>58</x:v>
      </x:c>
      <x:c r="Q627" s="16" t="n">
        <x:f>IF(COUNT(J627:O627)&lt;6,"",J627*5+K627*4+M627*4+L627*3+N627*2+O627*2)</x:f>
        <x:v>84</x:v>
      </x:c>
      <x:c r="R627" s="14" t="str">
        <x:v>high</x:v>
      </x:c>
      <x:c r="S627" s="14" t="str">
        <x:v>official_prozorro_award_2025_2026</x:v>
      </x:c>
      <x:c r="T627" s="14" t="str">
        <x:v>official_prozorro_api</x:v>
      </x:c>
      <x:c r="U627" s="14" t="str">
        <x:v>Не контактували</x:v>
      </x:c>
      <x:c r="V627" s="15" t="str">
        <x:v>Workflow-audit outreach по UA-2026-06-01-011179-a; попросити 1 пакет здачі та вимоги проєкту</x:v>
      </x:c>
      <x:c r="W627" s="15" t="str">
        <x:v>Власник / директор; керівник ПТО; відповідальний за договори</x:v>
      </x:c>
      <x:c r="X627" s="15" t="str">
        <x:v>1 підтверджених перемог/договорів у Prozorro на 12 500 грн; 1 проєктів зі строком виконання не раніше 24.08.2026.</x:v>
      </x:c>
      <x:c r="Y627" s="15" t="str">
        <x:v>Послуги з монтажу системи безперебійного живлення в приміщенні відділу "Центр надання адміністративних послуг" міської ради; строк до 2026-12-31. Попросити один знеособлений пакет здачі за цим workflow.</x:v>
      </x:c>
      <x:c r="Z627" s="15" t="str">
        <x:v>https://prozorro.gov.ua/tender/UA-2026-06-01-011179-a</x:v>
      </x:c>
      <x:c r="AA627" s="14" t="str">
        <x:v>39812632</x:v>
      </x:c>
      <x:c r="AB627" s="14" t="str">
        <x:v>2026-08-24</x:v>
      </x:c>
      <x:c r="AC627" s="14" t="str"/>
      <x:c r="AD627" s="20" t="str"/>
      <x:c r="AE627" s="14" t="str"/>
      <x:c r="AF627" s="14" t="n">
        <x:v>46</x:v>
      </x:c>
      <x:c r="AG627" s="14" t="str">
        <x:v>I3</x:v>
      </x:c>
      <x:c r="AH627" s="14" t="n">
        <x:v>1</x:v>
      </x:c>
      <x:c r="AI627" s="14" t="n">
        <x:v>1</x:v>
      </x:c>
      <x:c r="AJ627" s="18" t="n">
        <x:v>12500</x:v>
      </x:c>
      <x:c r="AK627" s="14" t="str">
        <x:v>https://prozorro.gov.ua/tender/UA-2026-06-01-011179-a</x:v>
      </x:c>
      <x:c r="AL627" s="19" t="n">
        <x:v>46174.57765310185</x:v>
      </x:c>
      <x:c r="AM627" s="19" t="n">
        <x:v>46387.611238425925</x:v>
      </x:c>
      <x:c r="AN627" s="15" t="str">
        <x:v>Резервне живлення</x:v>
      </x:c>
      <x:c r="AO627" s="15" t="str">
        <x:v>not_found_in_top_search</x:v>
      </x:c>
    </x:row>
    <x:row r="628">
      <x:c r="A628" s="14" t="str">
        <x:v>W3-356</x:v>
      </x:c>
      <x:c r="B628" s="14" t="str">
        <x:v>Prozorro winners — 24.08</x:v>
      </x:c>
      <x:c r="C628" s="14" t="str">
        <x:v>ТОВ "ДЕБІ СІСТЕМС"</x:v>
      </x:c>
      <x:c r="D628" s="14" t="str">
        <x:v>Безпека / СКУД / CCTV</x:v>
      </x:c>
      <x:c r="E628" s="14" t="str">
        <x:v>Expansion discovery</x:v>
      </x:c>
      <x:c r="F628" s="17" t="str">
        <x:v>D3</x:v>
      </x:c>
      <x:c r="G628" s="14" t="str"/>
      <x:c r="H628" s="14" t="str">
        <x:v>Discovery розширення — 2 тижні</x:v>
      </x:c>
      <x:c r="I628" s="16" t="n">
        <x:v>1</x:v>
      </x:c>
      <x:c r="J628" s="16" t="n">
        <x:v>5</x:v>
      </x:c>
      <x:c r="K628" s="16" t="n">
        <x:v>4</x:v>
      </x:c>
      <x:c r="L628" s="16" t="n">
        <x:v>1</x:v>
      </x:c>
      <x:c r="M628" s="16" t="n">
        <x:v>5</x:v>
      </x:c>
      <x:c r="N628" s="16" t="n">
        <x:v>5</x:v>
      </x:c>
      <x:c r="O628" s="16" t="n">
        <x:v>5</x:v>
      </x:c>
      <x:c r="P628" s="16" t="n">
        <x:f>IF(COUNT(I628:O628)&lt;7,"",I628*8+J628*3+K628*2+L628*2+M628*2+N628*2+O628)</x:f>
        <x:v>58</x:v>
      </x:c>
      <x:c r="Q628" s="16" t="n">
        <x:f>IF(COUNT(J628:O628)&lt;6,"",J628*5+K628*4+M628*4+L628*3+N628*2+O628*2)</x:f>
        <x:v>84</x:v>
      </x:c>
      <x:c r="R628" s="14" t="str">
        <x:v>high</x:v>
      </x:c>
      <x:c r="S628" s="14" t="str">
        <x:v>official_prozorro_award_2025_2026</x:v>
      </x:c>
      <x:c r="T628" s="14" t="str">
        <x:v>official_prozorro_api</x:v>
      </x:c>
      <x:c r="U628" s="14" t="str">
        <x:v>Не контактували</x:v>
      </x:c>
      <x:c r="V628" s="15" t="str">
        <x:v>Workflow-audit outreach по UA-2026-05-26-006079-a; попросити 1 пакет здачі та вимоги проєкту</x:v>
      </x:c>
      <x:c r="W628" s="15" t="str">
        <x:v>Власник / директор; керівник ПТО; відповідальний за договори</x:v>
      </x:c>
      <x:c r="X628" s="15" t="str">
        <x:v>1 підтверджених перемог/договорів у Prozorro на 11 788 грн; 1 проєктів зі строком виконання не раніше 24.08.2026.</x:v>
      </x:c>
      <x:c r="Y628" s="15" t="str">
        <x:v>Послуги з монтажу системи контролю доступу; строк до 2026-12-31. Попросити один знеособлений пакет здачі за цим workflow.</x:v>
      </x:c>
      <x:c r="Z628" s="15" t="str">
        <x:v>https://prozorro.gov.ua/tender/UA-2026-05-26-006079-a</x:v>
      </x:c>
      <x:c r="AA628" s="14" t="str">
        <x:v>45771603</x:v>
      </x:c>
      <x:c r="AB628" s="14" t="str">
        <x:v>2026-08-24</x:v>
      </x:c>
      <x:c r="AC628" s="14" t="str"/>
      <x:c r="AD628" s="20" t="str"/>
      <x:c r="AE628" s="14" t="str"/>
      <x:c r="AF628" s="14" t="n">
        <x:v>46</x:v>
      </x:c>
      <x:c r="AG628" s="14" t="str">
        <x:v>I3</x:v>
      </x:c>
      <x:c r="AH628" s="14" t="n">
        <x:v>1</x:v>
      </x:c>
      <x:c r="AI628" s="14" t="n">
        <x:v>1</x:v>
      </x:c>
      <x:c r="AJ628" s="18" t="n">
        <x:v>11788</x:v>
      </x:c>
      <x:c r="AK628" s="14" t="str">
        <x:v>https://prozorro.gov.ua/tender/UA-2026-05-26-006079-a</x:v>
      </x:c>
      <x:c r="AL628" s="19" t="n">
        <x:v>46168.38909778935</x:v>
      </x:c>
      <x:c r="AM628" s="19" t="n">
        <x:v>46387.42978009259</x:v>
      </x:c>
      <x:c r="AN628" s="15" t="str">
        <x:v>Безпека / СКУД / CCTV</x:v>
      </x:c>
      <x:c r="AO628" s="15" t="str">
        <x:v>not_found_in_top_search</x:v>
      </x:c>
    </x:row>
    <x:row r="629">
      <x:c r="A629" s="14" t="str">
        <x:v>W3-357</x:v>
      </x:c>
      <x:c r="B629" s="14" t="str">
        <x:v>Prozorro winners — 24.08</x:v>
      </x:c>
      <x:c r="C629" s="14" t="str">
        <x:v>ТОВАРИСТВО З ОБМЕЖЕНОЮ ВІДПОВІДАЛЬНІСТЮ "АКВАТЕПЛОБУД"</x:v>
      </x:c>
      <x:c r="D629" s="14" t="str">
        <x:v>Внутрішні сантехнічні системи</x:v>
      </x:c>
      <x:c r="E629" s="14" t="str">
        <x:v>Pilot now</x:v>
      </x:c>
      <x:c r="F629" s="17" t="str">
        <x:v>P3</x:v>
      </x:c>
      <x:c r="G629" s="14" t="str"/>
      <x:c r="H629" s="14" t="str">
        <x:v>Пілот зараз — Н.14</x:v>
      </x:c>
      <x:c r="I629" s="16" t="n">
        <x:v>5</x:v>
      </x:c>
      <x:c r="J629" s="16" t="n">
        <x:v>5</x:v>
      </x:c>
      <x:c r="K629" s="16" t="n">
        <x:v>5</x:v>
      </x:c>
      <x:c r="L629" s="16" t="n">
        <x:v>1</x:v>
      </x:c>
      <x:c r="M629" s="16" t="n">
        <x:v>5</x:v>
      </x:c>
      <x:c r="N629" s="16" t="n">
        <x:v>5</x:v>
      </x:c>
      <x:c r="O629" s="16" t="n">
        <x:v>5</x:v>
      </x:c>
      <x:c r="P629" s="16" t="n">
        <x:f>IF(COUNT(I629:O629)&lt;7,"",I629*8+J629*3+K629*2+L629*2+M629*2+N629*2+O629)</x:f>
        <x:v>92</x:v>
      </x:c>
      <x:c r="Q629" s="16" t="n">
        <x:f>IF(COUNT(J629:O629)&lt;6,"",J629*5+K629*4+M629*4+L629*3+N629*2+O629*2)</x:f>
        <x:v>88</x:v>
      </x:c>
      <x:c r="R629" s="14" t="str">
        <x:v>high</x:v>
      </x:c>
      <x:c r="S629" s="14" t="str">
        <x:v>official_prozorro_award_2025_2026</x:v>
      </x:c>
      <x:c r="T629" s="14" t="str">
        <x:v>official_prozorro_api</x:v>
      </x:c>
      <x:c r="U629" s="14" t="str">
        <x:v>Не контактували</x:v>
      </x:c>
      <x:c r="V629" s="15" t="str">
        <x:v>Персоналізований free-pilot outreach по UA-2026-05-25-003639-a; попросити 1 пакет Н.14/Н.15</x:v>
      </x:c>
      <x:c r="W629" s="15" t="str">
        <x:v>Власник / директор; керівник ПТО; відповідальний за договори</x:v>
      </x:c>
      <x:c r="X629" s="15" t="str">
        <x:v>1 підтверджених перемог/договорів у Prozorro на 11 500 грн; 1 проєктів зі строком виконання не раніше 24.08.2026.</x:v>
      </x:c>
      <x:c r="Y629"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 строк до 2026-12-31. Попросити один знеособлений пакет здачі за цим workflow.</x:v>
      </x:c>
      <x:c r="Z629" s="15" t="str">
        <x:v>https://prozorro.gov.ua/tender/UA-2026-05-25-003639-a</x:v>
      </x:c>
      <x:c r="AA629" s="14" t="str">
        <x:v>43233986</x:v>
      </x:c>
      <x:c r="AB629" s="14" t="str">
        <x:v>2026-08-24</x:v>
      </x:c>
      <x:c r="AC629" s="14" t="str"/>
      <x:c r="AD629" s="20" t="str"/>
      <x:c r="AE629" s="14" t="str"/>
      <x:c r="AF629" s="14" t="n">
        <x:v>46</x:v>
      </x:c>
      <x:c r="AG629" s="14" t="str">
        <x:v>I3</x:v>
      </x:c>
      <x:c r="AH629" s="14" t="n">
        <x:v>1</x:v>
      </x:c>
      <x:c r="AI629" s="14" t="n">
        <x:v>1</x:v>
      </x:c>
      <x:c r="AJ629" s="18" t="n">
        <x:v>11500</x:v>
      </x:c>
      <x:c r="AK629" s="14" t="str">
        <x:v>https://prozorro.gov.ua/tender/UA-2026-05-25-003639-a</x:v>
      </x:c>
      <x:c r="AL629" s="19" t="n">
        <x:v>46167.3453590162</x:v>
      </x:c>
      <x:c r="AM629" s="19" t="n">
        <x:v>46387</x:v>
      </x:c>
      <x:c r="AN629" s="15" t="str">
        <x:v>Внутрішні сантехнічні системи</x:v>
      </x:c>
      <x:c r="AO629" s="15" t="str">
        <x:v>not_found_in_top_search</x:v>
      </x:c>
    </x:row>
    <x:row r="630">
      <x:c r="A630" s="14" t="str">
        <x:v>W3-358</x:v>
      </x:c>
      <x:c r="B630" s="14" t="str">
        <x:v>Prozorro winners — 24.08</x:v>
      </x:c>
      <x:c r="C630" s="14" t="str">
        <x:v>ТОВАРИСТВО З ОБМЕЖЕНОЮ ВІДПОВІДАЛЬНІСТЮ "ЛАНГЕЙТ"</x:v>
      </x:c>
      <x:c r="D630" s="14" t="str">
        <x:v>Безпека / СКУД / CCTV</x:v>
      </x:c>
      <x:c r="E630" s="14" t="str">
        <x:v>Expansion discovery</x:v>
      </x:c>
      <x:c r="F630" s="17" t="str">
        <x:v>D3</x:v>
      </x:c>
      <x:c r="G630" s="14" t="str"/>
      <x:c r="H630" s="14" t="str">
        <x:v>Discovery розширення — 2 тижні</x:v>
      </x:c>
      <x:c r="I630" s="16" t="n">
        <x:v>1</x:v>
      </x:c>
      <x:c r="J630" s="16" t="n">
        <x:v>5</x:v>
      </x:c>
      <x:c r="K630" s="16" t="n">
        <x:v>4</x:v>
      </x:c>
      <x:c r="L630" s="16" t="n">
        <x:v>1</x:v>
      </x:c>
      <x:c r="M630" s="16" t="n">
        <x:v>5</x:v>
      </x:c>
      <x:c r="N630" s="16" t="n">
        <x:v>5</x:v>
      </x:c>
      <x:c r="O630" s="16" t="n">
        <x:v>5</x:v>
      </x:c>
      <x:c r="P630" s="16" t="n">
        <x:f>IF(COUNT(I630:O630)&lt;7,"",I630*8+J630*3+K630*2+L630*2+M630*2+N630*2+O630)</x:f>
        <x:v>58</x:v>
      </x:c>
      <x:c r="Q630" s="16" t="n">
        <x:f>IF(COUNT(J630:O630)&lt;6,"",J630*5+K630*4+M630*4+L630*3+N630*2+O630*2)</x:f>
        <x:v>84</x:v>
      </x:c>
      <x:c r="R630" s="14" t="str">
        <x:v>high</x:v>
      </x:c>
      <x:c r="S630" s="14" t="str">
        <x:v>official_prozorro_award_2025_2026</x:v>
      </x:c>
      <x:c r="T630" s="14" t="str">
        <x:v>official_prozorro_api</x:v>
      </x:c>
      <x:c r="U630" s="14" t="str">
        <x:v>Не контактували</x:v>
      </x:c>
      <x:c r="V630" s="15" t="str">
        <x:v>Повторне звернення з новим тендерним сигналом UA-2024-07-17-004747-a; попросити 1 пакет здачі</x:v>
      </x:c>
      <x:c r="W630" s="15" t="str">
        <x:v>Власник / директор; керівник ПТО; відповідальний за договори</x:v>
      </x:c>
      <x:c r="X630" s="15" t="str">
        <x:v>1 підтверджених перемог/договорів у Prozorro на 11 340 грн; 1 проєктів зі строком виконання не раніше 24.08.2026.</x:v>
      </x:c>
      <x:c r="Y630" s="15" t="str">
        <x:v>Послуги з монтажу та облаштування системи відеоспостереження; строк до 2026-12-31. Попросити один знеособлений пакет здачі за цим workflow.</x:v>
      </x:c>
      <x:c r="Z630" s="15" t="str">
        <x:v>https://prozorro.gov.ua/tender/UA-2026-07-06-009347-a</x:v>
      </x:c>
      <x:c r="AA630" s="14" t="str">
        <x:v>31396704</x:v>
      </x:c>
      <x:c r="AB630" s="14" t="str">
        <x:v>2026-08-24</x:v>
      </x:c>
      <x:c r="AC630" s="14" t="str"/>
      <x:c r="AD630" s="20" t="str"/>
      <x:c r="AE630" s="14" t="str"/>
      <x:c r="AF630" s="14" t="n">
        <x:v>46</x:v>
      </x:c>
      <x:c r="AG630" s="14" t="str">
        <x:v>I3</x:v>
      </x:c>
      <x:c r="AH630" s="14" t="n">
        <x:v>2</x:v>
      </x:c>
      <x:c r="AI630" s="14" t="n">
        <x:v>1</x:v>
      </x:c>
      <x:c r="AJ630" s="18" t="n">
        <x:v>28740</x:v>
      </x:c>
      <x:c r="AK630" s="14" t="str">
        <x:v>https://prozorro.gov.ua/tender/UA-2024-07-17-004747-a</x:v>
      </x:c>
      <x:c r="AL630" s="19" t="n">
        <x:v>45490.41494001157</x:v>
      </x:c>
      <x:c r="AM630" s="19" t="n">
        <x:v>45519.41324074074</x:v>
      </x:c>
      <x:c r="AN630" s="15" t="str">
        <x:v>Безпека / СКУД / CCTV; ВОЛЗ / телеком</x:v>
      </x:c>
      <x:c r="AO630" s="15" t="str">
        <x:v>not_found_in_top_search</x:v>
      </x:c>
    </x:row>
    <x:row r="631">
      <x:c r="A631" s="14" t="str">
        <x:v>W3-359</x:v>
      </x:c>
      <x:c r="B631" s="14" t="str">
        <x:v>Prozorro winners — 24.08</x:v>
      </x:c>
      <x:c r="C631" s="14" t="str">
        <x:v>ТОВАРИСТВО З ОБМЕЖЕНОЮ ВІДПОВІДАЛЬНІСТЮ "НВА ГРУП"</x:v>
      </x:c>
      <x:c r="D631" s="14" t="str">
        <x:v>Газопостачання / котельні</x:v>
      </x:c>
      <x:c r="E631" s="14" t="str">
        <x:v>Expansion discovery</x:v>
      </x:c>
      <x:c r="F631" s="17" t="str">
        <x:v>D3</x:v>
      </x:c>
      <x:c r="G631" s="14" t="str"/>
      <x:c r="H631" s="14" t="str">
        <x:v>Discovery розширення — 2 тижні</x:v>
      </x:c>
      <x:c r="I631" s="16" t="n">
        <x:v>1</x:v>
      </x:c>
      <x:c r="J631" s="16" t="n">
        <x:v>5</x:v>
      </x:c>
      <x:c r="K631" s="16" t="n">
        <x:v>4</x:v>
      </x:c>
      <x:c r="L631" s="16" t="n">
        <x:v>1</x:v>
      </x:c>
      <x:c r="M631" s="16" t="n">
        <x:v>5</x:v>
      </x:c>
      <x:c r="N631" s="16" t="n">
        <x:v>5</x:v>
      </x:c>
      <x:c r="O631" s="16" t="n">
        <x:v>5</x:v>
      </x:c>
      <x:c r="P631" s="16" t="n">
        <x:f>IF(COUNT(I631:O631)&lt;7,"",I631*8+J631*3+K631*2+L631*2+M631*2+N631*2+O631)</x:f>
        <x:v>58</x:v>
      </x:c>
      <x:c r="Q631" s="16" t="n">
        <x:f>IF(COUNT(J631:O631)&lt;6,"",J631*5+K631*4+M631*4+L631*3+N631*2+O631*2)</x:f>
        <x:v>84</x:v>
      </x:c>
      <x:c r="R631" s="14" t="str">
        <x:v>high</x:v>
      </x:c>
      <x:c r="S631" s="14" t="str">
        <x:v>official_prozorro_award_2025_2026</x:v>
      </x:c>
      <x:c r="T631" s="14" t="str">
        <x:v>official_prozorro_api</x:v>
      </x:c>
      <x:c r="U631" s="14" t="str">
        <x:v>Не контактували</x:v>
      </x:c>
      <x:c r="V631" s="15" t="str">
        <x:v>Workflow-audit outreach по UA-2026-05-08-002771-a; попросити 1 пакет здачі та вимоги проєкту</x:v>
      </x:c>
      <x:c r="W631" s="15" t="str">
        <x:v>Власник / директор; керівник ПТО; відповідальний за договори</x:v>
      </x:c>
      <x:c r="X631" s="15" t="str">
        <x:v>1 підтверджених перемог/договорів у Prozorro на 10 000 грн; 1 проєктів зі строком виконання не раніше 24.08.2026.</x:v>
      </x:c>
      <x:c r="Y631" s="15" t="str">
        <x:v>Консультаційні послуги щодо монтажу блочно – модульної твердопаливної котельної; строк до 2026-11-30. Попросити один знеособлений пакет здачі за цим workflow.</x:v>
      </x:c>
      <x:c r="Z631" s="15" t="str">
        <x:v>https://prozorro.gov.ua/tender/UA-2026-05-08-002771-a</x:v>
      </x:c>
      <x:c r="AA631" s="14" t="str">
        <x:v>38415749</x:v>
      </x:c>
      <x:c r="AB631" s="14" t="str">
        <x:v>2026-08-24</x:v>
      </x:c>
      <x:c r="AC631" s="14" t="str"/>
      <x:c r="AD631" s="20" t="str"/>
      <x:c r="AE631" s="14" t="str"/>
      <x:c r="AF631" s="14" t="n">
        <x:v>46</x:v>
      </x:c>
      <x:c r="AG631" s="14" t="str">
        <x:v>I3</x:v>
      </x:c>
      <x:c r="AH631" s="14" t="n">
        <x:v>1</x:v>
      </x:c>
      <x:c r="AI631" s="14" t="n">
        <x:v>1</x:v>
      </x:c>
      <x:c r="AJ631" s="18" t="n">
        <x:v>10000</x:v>
      </x:c>
      <x:c r="AK631" s="14" t="str">
        <x:v>https://prozorro.gov.ua/tender/UA-2026-05-08-002771-a</x:v>
      </x:c>
      <x:c r="AL631" s="19" t="n">
        <x:v>46150.317875092594</x:v>
      </x:c>
      <x:c r="AM631" s="19" t="n">
        <x:v>46356</x:v>
      </x:c>
      <x:c r="AN631" s="15" t="str">
        <x:v>Газопостачання / котельні</x:v>
      </x:c>
      <x:c r="AO631" s="15" t="str">
        <x:v>not_found_in_top_search</x:v>
      </x:c>
    </x:row>
    <x:row r="632">
      <x:c r="A632" s="14" t="str">
        <x:v>W3-360</x:v>
      </x:c>
      <x:c r="B632" s="14" t="str">
        <x:v>Prozorro winners — 24.08</x:v>
      </x:c>
      <x:c r="C632" s="14" t="str">
        <x:v>ФІЛІЯ ДП "УКРДЕРЖБУДЕКСПЕРТИЗА" У ЗАКАРПАТСЬКІЙ ОБЛАСТІ</x:v>
      </x:c>
      <x:c r="D632" s="14" t="str">
        <x:v>Сонячна енергетика</x:v>
      </x:c>
      <x:c r="E632" s="14" t="str">
        <x:v>Expansion discovery</x:v>
      </x:c>
      <x:c r="F632" s="17" t="str">
        <x:v>D3</x:v>
      </x:c>
      <x:c r="G632" s="14" t="str"/>
      <x:c r="H632" s="14" t="str">
        <x:v>Discovery розширення — 2 тижні</x:v>
      </x:c>
      <x:c r="I632" s="16" t="n">
        <x:v>1</x:v>
      </x:c>
      <x:c r="J632" s="16" t="n">
        <x:v>5</x:v>
      </x:c>
      <x:c r="K632" s="16" t="n">
        <x:v>4</x:v>
      </x:c>
      <x:c r="L632" s="16" t="n">
        <x:v>1</x:v>
      </x:c>
      <x:c r="M632" s="16" t="n">
        <x:v>5</x:v>
      </x:c>
      <x:c r="N632" s="16" t="n">
        <x:v>5</x:v>
      </x:c>
      <x:c r="O632" s="16" t="n">
        <x:v>5</x:v>
      </x:c>
      <x:c r="P632" s="16" t="n">
        <x:f>IF(COUNT(I632:O632)&lt;7,"",I632*8+J632*3+K632*2+L632*2+M632*2+N632*2+O632)</x:f>
        <x:v>58</x:v>
      </x:c>
      <x:c r="Q632" s="16" t="n">
        <x:f>IF(COUNT(J632:O632)&lt;6,"",J632*5+K632*4+M632*4+L632*3+N632*2+O632*2)</x:f>
        <x:v>84</x:v>
      </x:c>
      <x:c r="R632" s="14" t="str">
        <x:v>high</x:v>
      </x:c>
      <x:c r="S632" s="14" t="str">
        <x:v>official_prozorro_award_2025_2026</x:v>
      </x:c>
      <x:c r="T632" s="14" t="str">
        <x:v>official_prozorro_api</x:v>
      </x:c>
      <x:c r="U632" s="14" t="str">
        <x:v>Не контактували</x:v>
      </x:c>
      <x:c r="V632" s="15" t="str">
        <x:v>Workflow-audit outreach по UA-2026-05-06-005839-a; попросити 1 пакет здачі та вимоги проєкту</x:v>
      </x:c>
      <x:c r="W632" s="15" t="str">
        <x:v>Власник / директор; керівник ПТО; відповідальний за договори</x:v>
      </x:c>
      <x:c r="X632" s="15" t="str">
        <x:v>1 підтверджених перемог/договорів у Prozorro на 9 174 грн; 1 проєктів зі строком виконання не раніше 24.08.2026.</x:v>
      </x:c>
      <x:c r="Y632"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 строк до 2026-12-31. Попросити один знеособлений пакет здачі за цим workflow.</x:v>
      </x:c>
      <x:c r="Z632" s="15" t="str">
        <x:v>https://prozorro.gov.ua/tender/UA-2026-05-06-005839-a</x:v>
      </x:c>
      <x:c r="AA632" s="14" t="str">
        <x:v>35851205</x:v>
      </x:c>
      <x:c r="AB632" s="14" t="str">
        <x:v>2026-08-24</x:v>
      </x:c>
      <x:c r="AC632" s="14" t="str"/>
      <x:c r="AD632" s="20" t="str"/>
      <x:c r="AE632" s="14" t="str"/>
      <x:c r="AF632" s="14" t="n">
        <x:v>46</x:v>
      </x:c>
      <x:c r="AG632" s="14" t="str">
        <x:v>I3</x:v>
      </x:c>
      <x:c r="AH632" s="14" t="n">
        <x:v>1</x:v>
      </x:c>
      <x:c r="AI632" s="14" t="n">
        <x:v>1</x:v>
      </x:c>
      <x:c r="AJ632" s="18" t="n">
        <x:v>9173.78</x:v>
      </x:c>
      <x:c r="AK632" s="14" t="str">
        <x:v>https://prozorro.gov.ua/tender/UA-2026-05-06-005839-a</x:v>
      </x:c>
      <x:c r="AL632" s="19" t="n">
        <x:v>46148.38122380787</x:v>
      </x:c>
      <x:c r="AM632" s="19" t="n">
        <x:v>46387</x:v>
      </x:c>
      <x:c r="AN632" s="15" t="str">
        <x:v>Сонячна енергетика</x:v>
      </x:c>
      <x:c r="AO632" s="15" t="str">
        <x:v>not_found_in_top_search</x:v>
      </x:c>
    </x:row>
    <x:row r="633">
      <x:c r="A633" s="14" t="str">
        <x:v>W3-361</x:v>
      </x:c>
      <x:c r="B633" s="14" t="str">
        <x:v>Prozorro winners — 24.08</x:v>
      </x:c>
      <x:c r="C633" s="14" t="str">
        <x:v>КОМУНАЛЬНЕ ПІДПРИЄМСТВО "ДЖЕРЕЛО" МОГИЛІВСЬКОЇ СІЛЬСЬКОЇ РАДИ</x:v>
      </x:c>
      <x:c r="D633" s="14" t="str">
        <x:v>Газопостачання / котельні</x:v>
      </x:c>
      <x:c r="E633" s="14" t="str">
        <x:v>Expansion discovery</x:v>
      </x:c>
      <x:c r="F633" s="17" t="str">
        <x:v>D3</x:v>
      </x:c>
      <x:c r="G633" s="14" t="str"/>
      <x:c r="H633" s="14" t="str">
        <x:v>Discovery розширення — 2 тижні</x:v>
      </x:c>
      <x:c r="I633" s="16" t="n">
        <x:v>1</x:v>
      </x:c>
      <x:c r="J633" s="16" t="n">
        <x:v>5</x:v>
      </x:c>
      <x:c r="K633" s="16" t="n">
        <x:v>4</x:v>
      </x:c>
      <x:c r="L633" s="16" t="n">
        <x:v>1</x:v>
      </x:c>
      <x:c r="M633" s="16" t="n">
        <x:v>5</x:v>
      </x:c>
      <x:c r="N633" s="16" t="n">
        <x:v>5</x:v>
      </x:c>
      <x:c r="O633" s="16" t="n">
        <x:v>5</x:v>
      </x:c>
      <x:c r="P633" s="16" t="n">
        <x:f>IF(COUNT(I633:O633)&lt;7,"",I633*8+J633*3+K633*2+L633*2+M633*2+N633*2+O633)</x:f>
        <x:v>58</x:v>
      </x:c>
      <x:c r="Q633" s="16" t="n">
        <x:f>IF(COUNT(J633:O633)&lt;6,"",J633*5+K633*4+M633*4+L633*3+N633*2+O633*2)</x:f>
        <x:v>84</x:v>
      </x:c>
      <x:c r="R633" s="14" t="str">
        <x:v>high</x:v>
      </x:c>
      <x:c r="S633" s="14" t="str">
        <x:v>official_prozorro_award_2025_2026</x:v>
      </x:c>
      <x:c r="T633" s="14" t="str">
        <x:v>official_prozorro_api</x:v>
      </x:c>
      <x:c r="U633" s="14" t="str">
        <x:v>Не контактували</x:v>
      </x:c>
      <x:c r="V633" s="15" t="str">
        <x:v>Повторне звернення з новим тендерним сигналом UA-2026-02-04-003241-a; попросити 1 пакет здачі</x:v>
      </x:c>
      <x:c r="W633" s="15" t="str">
        <x:v>Власник / директор; керівник ПТО; відповідальний за договори</x:v>
      </x:c>
      <x:c r="X633" s="15" t="str">
        <x:v>1 підтверджених перемог/договорів у Prozorro на 5 015 грн; 1 проєктів зі строком виконання не раніше 24.08.2026.</x:v>
      </x:c>
      <x:c r="Y633" s="15" t="str">
        <x:v>Послуги з монтажу допоміжних металоконструкцій в котельні Могилівського ліцею ім.І.М. Шишканя вул.Панікахи, 6А; строк до 2026-12-31. Попросити один знеособлений пакет здачі за цим workflow.</x:v>
      </x:c>
      <x:c r="Z633" s="15" t="str">
        <x:v>https://prozorro.gov.ua/tender/UA-2026-06-30-003295-a</x:v>
      </x:c>
      <x:c r="AA633" s="14" t="str">
        <x:v>41470967</x:v>
      </x:c>
      <x:c r="AB633" s="14" t="str">
        <x:v>2026-08-24</x:v>
      </x:c>
      <x:c r="AC633" s="14" t="str"/>
      <x:c r="AD633" s="20" t="str"/>
      <x:c r="AE633" s="14" t="str"/>
      <x:c r="AF633" s="14" t="n">
        <x:v>46</x:v>
      </x:c>
      <x:c r="AG633" s="14" t="str">
        <x:v>I3</x:v>
      </x:c>
      <x:c r="AH633" s="14" t="n">
        <x:v>2</x:v>
      </x:c>
      <x:c r="AI633" s="14" t="n">
        <x:v>2</x:v>
      </x:c>
      <x:c r="AJ633" s="18" t="n">
        <x:v>14259.1</x:v>
      </x:c>
      <x:c r="AK633" s="14" t="str">
        <x:v>https://prozorro.gov.ua/tender/UA-2026-02-04-003241-a</x:v>
      </x:c>
      <x:c r="AL633" s="19" t="n">
        <x:v>46057.368560243056</x:v>
      </x:c>
      <x:c r="AM633" s="19" t="n">
        <x:v>46387</x:v>
      </x:c>
      <x:c r="AN633" s="15" t="str">
        <x:v>Газопостачання / котельні; Металоконструкції</x:v>
      </x:c>
      <x:c r="AO633" s="15" t="str">
        <x:v>not_found_in_top_search</x:v>
      </x:c>
    </x:row>
    <x:row r="634">
      <x:c r="A634" s="14" t="str">
        <x:v>W3-362</x:v>
      </x:c>
      <x:c r="B634" s="14" t="str">
        <x:v>Prozorro winners — 24.08</x:v>
      </x:c>
      <x:c r="C634" s="14" t="str">
        <x:v>ТОВ "РОЯЛ СТРОЙ ЛІМІТЕД"</x:v>
      </x:c>
      <x:c r="D634" s="14" t="str">
        <x:v>Резервне живлення</x:v>
      </x:c>
      <x:c r="E634" s="14" t="str">
        <x:v>Expansion discovery</x:v>
      </x:c>
      <x:c r="F634" s="17" t="str">
        <x:v>D3</x:v>
      </x:c>
      <x:c r="G634" s="14" t="str"/>
      <x:c r="H634" s="14" t="str">
        <x:v>Discovery розширення — 2 тижні</x:v>
      </x:c>
      <x:c r="I634" s="16" t="n">
        <x:v>1</x:v>
      </x:c>
      <x:c r="J634" s="16" t="n">
        <x:v>5</x:v>
      </x:c>
      <x:c r="K634" s="16" t="n">
        <x:v>4</x:v>
      </x:c>
      <x:c r="L634" s="16" t="n">
        <x:v>2</x:v>
      </x:c>
      <x:c r="M634" s="16" t="n">
        <x:v>5</x:v>
      </x:c>
      <x:c r="N634" s="16" t="n">
        <x:v>5</x:v>
      </x:c>
      <x:c r="O634" s="16" t="n">
        <x:v>5</x:v>
      </x:c>
      <x:c r="P634" s="16" t="n">
        <x:f>IF(COUNT(I634:O634)&lt;7,"",I634*8+J634*3+K634*2+L634*2+M634*2+N634*2+O634)</x:f>
        <x:v>60</x:v>
      </x:c>
      <x:c r="Q634" s="16" t="n">
        <x:f>IF(COUNT(J634:O634)&lt;6,"",J634*5+K634*4+M634*4+L634*3+N634*2+O634*2)</x:f>
        <x:v>87</x:v>
      </x:c>
      <x:c r="R634" s="14" t="str">
        <x:v>high</x:v>
      </x:c>
      <x:c r="S634" s="14" t="str">
        <x:v>official_prozorro_award_2025_2026</x:v>
      </x:c>
      <x:c r="T634" s="14" t="str">
        <x:v>official_prozorro_api</x:v>
      </x:c>
      <x:c r="U634" s="14" t="str">
        <x:v>Не контактували</x:v>
      </x:c>
      <x:c r="V634" s="15" t="str">
        <x:v>Workflow-audit outreach по UA-2026-05-01-007008-a; попросити 1 пакет здачі та вимоги проєкту</x:v>
      </x:c>
      <x:c r="W634" s="15" t="str">
        <x:v>Власник / директор; керівник ПТО; відповідальний за договори</x:v>
      </x:c>
      <x:c r="X634" s="15" t="str">
        <x:v>1 підтверджених перемог/договорів у Prozorro на 420 000 грн; 0 проєктів зі строком виконання не раніше 24.08.2026.</x:v>
      </x:c>
      <x:c r="Y634"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 строк до 2026-06-01. Попросити один знеособлений пакет здачі за цим workflow.</x:v>
      </x:c>
      <x:c r="Z634" s="15" t="str">
        <x:v>https://prozorro.gov.ua/tender/UA-2026-05-01-007008-a</x:v>
      </x:c>
      <x:c r="AA634" s="14" t="str">
        <x:v>40979308</x:v>
      </x:c>
      <x:c r="AB634" s="14" t="str">
        <x:v>2026-08-24</x:v>
      </x:c>
      <x:c r="AC634" s="14" t="str"/>
      <x:c r="AD634" s="20" t="str"/>
      <x:c r="AE634" s="14" t="str"/>
      <x:c r="AF634" s="14" t="n">
        <x:v>45</x:v>
      </x:c>
      <x:c r="AG634" s="14" t="str">
        <x:v>I3</x:v>
      </x:c>
      <x:c r="AH634" s="14" t="n">
        <x:v>1</x:v>
      </x:c>
      <x:c r="AI634" s="14" t="n">
        <x:v>0</x:v>
      </x:c>
      <x:c r="AJ634" s="18" t="n">
        <x:v>420000</x:v>
      </x:c>
      <x:c r="AK634" s="14" t="str">
        <x:v>https://prozorro.gov.ua/tender/UA-2026-05-01-007008-a</x:v>
      </x:c>
      <x:c r="AL634" s="19" t="n">
        <x:v>46143.43566216435</x:v>
      </x:c>
      <x:c r="AM634" s="19" t="n">
        <x:v>46174</x:v>
      </x:c>
      <x:c r="AN634" s="15" t="str">
        <x:v>Резервне живлення</x:v>
      </x:c>
      <x:c r="AO634" s="15" t="str">
        <x:v>not_found_in_top_search</x:v>
      </x:c>
    </x:row>
    <x:row r="635">
      <x:c r="A635" s="14" t="str">
        <x:v>W3-363</x:v>
      </x:c>
      <x:c r="B635" s="14" t="str">
        <x:v>Prozorro winners — 24.08</x:v>
      </x:c>
      <x:c r="C635" s="14" t="str">
        <x:v>Товариство з обмеженою відповідальністю «Вентресурс»</x:v>
      </x:c>
      <x:c r="D635" s="14" t="str">
        <x:v>HVAC / ОВіК</x:v>
      </x:c>
      <x:c r="E635" s="14" t="str">
        <x:v>Pilot now</x:v>
      </x:c>
      <x:c r="F635" s="17" t="str">
        <x:v>P3</x:v>
      </x:c>
      <x:c r="G635" s="14" t="str"/>
      <x:c r="H635" s="14" t="str">
        <x:v>Пілот зараз — Н.14</x:v>
      </x:c>
      <x:c r="I635" s="16" t="n">
        <x:v>5</x:v>
      </x:c>
      <x:c r="J635" s="16" t="n">
        <x:v>5</x:v>
      </x:c>
      <x:c r="K635" s="16" t="n">
        <x:v>5</x:v>
      </x:c>
      <x:c r="L635" s="16" t="n">
        <x:v>2</x:v>
      </x:c>
      <x:c r="M635" s="16" t="n">
        <x:v>5</x:v>
      </x:c>
      <x:c r="N635" s="16" t="n">
        <x:v>5</x:v>
      </x:c>
      <x:c r="O635" s="16" t="n">
        <x:v>5</x:v>
      </x:c>
      <x:c r="P635" s="16" t="n">
        <x:f>IF(COUNT(I635:O635)&lt;7,"",I635*8+J635*3+K635*2+L635*2+M635*2+N635*2+O635)</x:f>
        <x:v>94</x:v>
      </x:c>
      <x:c r="Q635" s="16" t="n">
        <x:f>IF(COUNT(J635:O635)&lt;6,"",J635*5+K635*4+M635*4+L635*3+N635*2+O635*2)</x:f>
        <x:v>91</x:v>
      </x:c>
      <x:c r="R635" s="14" t="str">
        <x:v>high</x:v>
      </x:c>
      <x:c r="S635" s="14" t="str">
        <x:v>official_prozorro_award_2025_2026</x:v>
      </x:c>
      <x:c r="T635" s="14" t="str">
        <x:v>official_prozorro_api</x:v>
      </x:c>
      <x:c r="U635" s="14" t="str">
        <x:v>Не контактували</x:v>
      </x:c>
      <x:c r="V635" s="15" t="str">
        <x:v>Повторне звернення з новим тендерним сигналом UA-2026-04-07-008920-a; попросити 1 пакет здачі</x:v>
      </x:c>
      <x:c r="W635" s="15" t="str">
        <x:v>Власник / директор; керівник ПТО; відповідальний за договори</x:v>
      </x:c>
      <x:c r="X635" s="15" t="str">
        <x:v>1 підтверджених перемог/договорів у Prozorro на 199 855 грн; 0 проєктів зі строком виконання не раніше 24.08.2026.</x:v>
      </x:c>
      <x:c r="Y635" s="15" t="str">
        <x:v>Монтаж приточно-витяжної системи вентиляції П-1, В-1 в приміщенні укриття КЗ КМР "Слобідська гімназія", с. Слобода, Обухівського району Київської області по вулиці Площа Слави 83                            ,6; строк до 2026-07-24. Попросити один знеособлений пакет здачі за цим workflow.</x:v>
      </x:c>
      <x:c r="Z635" s="15" t="str">
        <x:v>https://prozorro.gov.ua/tender/UA-2026-07-06-005832-a</x:v>
      </x:c>
      <x:c r="AA635" s="14" t="str">
        <x:v>37850973</x:v>
      </x:c>
      <x:c r="AB635" s="14" t="str">
        <x:v>2026-08-24</x:v>
      </x:c>
      <x:c r="AC635" s="14" t="str"/>
      <x:c r="AD635" s="20" t="str"/>
      <x:c r="AE635" s="14" t="str"/>
      <x:c r="AF635" s="14" t="n">
        <x:v>67</x:v>
      </x:c>
      <x:c r="AG635" s="14" t="str">
        <x:v>I2</x:v>
      </x:c>
      <x:c r="AH635" s="14" t="n">
        <x:v>6</x:v>
      </x:c>
      <x:c r="AI635" s="14" t="n">
        <x:v>0</x:v>
      </x:c>
      <x:c r="AJ635" s="18" t="n">
        <x:v>675443.21</x:v>
      </x:c>
      <x:c r="AK635" s="14" t="str">
        <x:v>https://prozorro.gov.ua/tender/UA-2026-04-07-008920-a</x:v>
      </x:c>
      <x:c r="AL635" s="19" t="n">
        <x:v>46119.49289219907</x:v>
      </x:c>
      <x:c r="AM635" s="19" t="n">
        <x:v>46140.482256944444</x:v>
      </x:c>
      <x:c r="AN635" s="15" t="str">
        <x:v>HVAC / ОВіК</x:v>
      </x:c>
      <x:c r="AO635" s="15" t="str">
        <x:v>not_found_in_top_search</x:v>
      </x:c>
    </x:row>
    <x:row r="636">
      <x:c r="A636" s="14" t="str">
        <x:v>W3-364</x:v>
      </x:c>
      <x:c r="B636" s="14" t="str">
        <x:v>Prozorro winners — 24.08</x:v>
      </x:c>
      <x:c r="C636" s="14" t="str">
        <x:v>ТОВАРИСТВО З ОБМЕЖЕНОЮ ВІДПОВІДАЛЬНІСТЮ "ЕНЕРГОДОСВІД"</x:v>
      </x:c>
      <x:c r="D636" s="14" t="str">
        <x:v>Електромонтаж</x:v>
      </x:c>
      <x:c r="E636" s="14" t="str">
        <x:v>Pilot now</x:v>
      </x:c>
      <x:c r="F636" s="17" t="str">
        <x:v>P3</x:v>
      </x:c>
      <x:c r="G636" s="14" t="str"/>
      <x:c r="H636" s="14" t="str">
        <x:v>Пілот зараз — Н.15</x:v>
      </x:c>
      <x:c r="I636" s="16" t="n">
        <x:v>5</x:v>
      </x:c>
      <x:c r="J636" s="16" t="n">
        <x:v>5</x:v>
      </x:c>
      <x:c r="K636" s="16" t="n">
        <x:v>5</x:v>
      </x:c>
      <x:c r="L636" s="16" t="n">
        <x:v>2</x:v>
      </x:c>
      <x:c r="M636" s="16" t="n">
        <x:v>5</x:v>
      </x:c>
      <x:c r="N636" s="16" t="n">
        <x:v>5</x:v>
      </x:c>
      <x:c r="O636" s="16" t="n">
        <x:v>5</x:v>
      </x:c>
      <x:c r="P636" s="16" t="n">
        <x:f>IF(COUNT(I636:O636)&lt;7,"",I636*8+J636*3+K636*2+L636*2+M636*2+N636*2+O636)</x:f>
        <x:v>94</x:v>
      </x:c>
      <x:c r="Q636" s="16" t="n">
        <x:f>IF(COUNT(J636:O636)&lt;6,"",J636*5+K636*4+M636*4+L636*3+N636*2+O636*2)</x:f>
        <x:v>91</x:v>
      </x:c>
      <x:c r="R636" s="14" t="str">
        <x:v>high</x:v>
      </x:c>
      <x:c r="S636" s="14" t="str">
        <x:v>official_prozorro_award_2025_2026</x:v>
      </x:c>
      <x:c r="T636" s="14" t="str">
        <x:v>official_prozorro_api</x:v>
      </x:c>
      <x:c r="U636" s="14" t="str">
        <x:v>Не контактували</x:v>
      </x:c>
      <x:c r="V636" s="15" t="str">
        <x:v>Повторне звернення з новим тендерним сигналом UA-2026-07-10-008367-a; попросити 1 пакет здачі</x:v>
      </x:c>
      <x:c r="W636" s="15" t="str">
        <x:v>Власник / директор; керівник ПТО; відповідальний за договори</x:v>
      </x:c>
      <x:c r="X636" s="15" t="str">
        <x:v>1 підтверджених перемог/договорів у Prozorro на 151 552 грн; 0 проєктів зі строком виконання не раніше 24.08.2026.</x:v>
      </x:c>
      <x:c r="Y636" s="15" t="str">
        <x:v>Послуги з монтажу зовнішніх електричних мереж  із встановленням кабельних муфт 0,4 кВ поліклініки №3 КП «ХМЛДЦ» по вул. Майборського (ДК 021:2015: 45310000-3 — Електромонтажні роботи).
; строк до 2026-07-31. Попросити один знеособлений пакет здачі за цим workflow.</x:v>
      </x:c>
      <x:c r="Z636" s="15" t="str">
        <x:v>https://prozorro.gov.ua/tender/UA-2026-06-19-005304-a</x:v>
      </x:c>
      <x:c r="AA636" s="14" t="str">
        <x:v>39962008</x:v>
      </x:c>
      <x:c r="AB636" s="14" t="str">
        <x:v>2026-08-24</x:v>
      </x:c>
      <x:c r="AC636" s="14" t="str"/>
      <x:c r="AD636" s="20" t="str"/>
      <x:c r="AE636" s="14" t="str"/>
      <x:c r="AF636" s="14" t="n">
        <x:v>52</x:v>
      </x:c>
      <x:c r="AG636" s="14" t="str">
        <x:v>I3</x:v>
      </x:c>
      <x:c r="AH636" s="14" t="n">
        <x:v>2</x:v>
      </x:c>
      <x:c r="AI636" s="14" t="n">
        <x:v>1</x:v>
      </x:c>
      <x:c r="AJ636" s="18" t="n">
        <x:v>228223.1</x:v>
      </x:c>
      <x:c r="AK636" s="14" t="str">
        <x:v>https://prozorro.gov.ua/tender/UA-2026-07-10-008367-a</x:v>
      </x:c>
      <x:c r="AL636" s="19" t="n">
        <x:v>46213.49931126158</x:v>
      </x:c>
      <x:c r="AM636" s="19" t="n">
        <x:v>46387</x:v>
      </x:c>
      <x:c r="AN636" s="15" t="str">
        <x:v>Електромонтаж</x:v>
      </x:c>
      <x:c r="AO636" s="15" t="str">
        <x:v>not_found_in_top_search</x:v>
      </x:c>
    </x:row>
    <x:row r="637">
      <x:c r="A637" s="14" t="str">
        <x:v>W3-365</x:v>
      </x:c>
      <x:c r="B637" s="14" t="str">
        <x:v>Prozorro winners — 24.08</x:v>
      </x:c>
      <x:c r="C637" s="14" t="str">
        <x:v>ТОВ "АМІКС-КОМПЛЕКС"</x:v>
      </x:c>
      <x:c r="D637" s="14" t="str">
        <x:v>Промисловий холод</x:v>
      </x:c>
      <x:c r="E637" s="14" t="str">
        <x:v>Expansion discovery</x:v>
      </x:c>
      <x:c r="F637" s="17" t="str">
        <x:v>D3</x:v>
      </x:c>
      <x:c r="G637" s="14" t="str"/>
      <x:c r="H637" s="14" t="str">
        <x:v>Discovery розширення — 2 тижні</x:v>
      </x:c>
      <x:c r="I637" s="16" t="n">
        <x:v>1</x:v>
      </x:c>
      <x:c r="J637" s="16" t="n">
        <x:v>5</x:v>
      </x:c>
      <x:c r="K637" s="16" t="n">
        <x:v>4</x:v>
      </x:c>
      <x:c r="L637" s="16" t="n">
        <x:v>2</x:v>
      </x:c>
      <x:c r="M637" s="16" t="n">
        <x:v>5</x:v>
      </x:c>
      <x:c r="N637" s="16" t="n">
        <x:v>5</x:v>
      </x:c>
      <x:c r="O637" s="16" t="n">
        <x:v>5</x:v>
      </x:c>
      <x:c r="P637" s="16" t="n">
        <x:f>IF(COUNT(I637:O637)&lt;7,"",I637*8+J637*3+K637*2+L637*2+M637*2+N637*2+O637)</x:f>
        <x:v>60</x:v>
      </x:c>
      <x:c r="Q637" s="16" t="n">
        <x:f>IF(COUNT(J637:O637)&lt;6,"",J637*5+K637*4+M637*4+L637*3+N637*2+O637*2)</x:f>
        <x:v>87</x:v>
      </x:c>
      <x:c r="R637" s="14" t="str">
        <x:v>high</x:v>
      </x:c>
      <x:c r="S637" s="14" t="str">
        <x:v>official_prozorro_award_2025_2026</x:v>
      </x:c>
      <x:c r="T637" s="14" t="str">
        <x:v>official_prozorro_api</x:v>
      </x:c>
      <x:c r="U637" s="14" t="str">
        <x:v>Не контактували</x:v>
      </x:c>
      <x:c r="V637" s="15" t="str">
        <x:v>Workflow-audit outreach по UA-2026-06-22-002065-a; попросити 1 пакет здачі та вимоги проєкту</x:v>
      </x:c>
      <x:c r="W637" s="15" t="str">
        <x:v>Власник / директор; керівник ПТО; відповідальний за договори</x:v>
      </x:c>
      <x:c r="X637" s="15" t="str">
        <x:v>1 підтверджених перемог/договорів у Prozorro на 145 080 грн; 0 проєктів зі строком виконання не раніше 24.08.2026.</x:v>
      </x:c>
      <x:c r="Y637"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637" s="15" t="str">
        <x:v>https://prozorro.gov.ua/tender/UA-2026-06-22-002065-a</x:v>
      </x:c>
      <x:c r="AA637" s="14" t="str">
        <x:v>39828887</x:v>
      </x:c>
      <x:c r="AB637" s="14" t="str">
        <x:v>2026-08-24</x:v>
      </x:c>
      <x:c r="AC637" s="14" t="str"/>
      <x:c r="AD637" s="20" t="str"/>
      <x:c r="AE637" s="14" t="str"/>
      <x:c r="AF637" s="14" t="n">
        <x:v>45</x:v>
      </x:c>
      <x:c r="AG637" s="14" t="str">
        <x:v>I3</x:v>
      </x:c>
      <x:c r="AH637" s="14" t="n">
        <x:v>1</x:v>
      </x:c>
      <x:c r="AI637" s="14" t="n">
        <x:v>0</x:v>
      </x:c>
      <x:c r="AJ637" s="18" t="n">
        <x:v>145080</x:v>
      </x:c>
      <x:c r="AK637" s="14" t="str">
        <x:v>https://prozorro.gov.ua/tender/UA-2026-06-22-002065-a</x:v>
      </x:c>
      <x:c r="AL637" s="19" t="n">
        <x:v>46211.45454412037</x:v>
      </x:c>
      <x:c r="AM637" s="19" t="n">
        <x:v>46234</x:v>
      </x:c>
      <x:c r="AN637" s="15" t="str">
        <x:v>Промисловий холод</x:v>
      </x:c>
      <x:c r="AO637" s="15" t="str">
        <x:v>not_found_in_top_search</x:v>
      </x:c>
    </x:row>
    <x:row r="638">
      <x:c r="A638" s="14" t="str">
        <x:v>W3-366</x:v>
      </x:c>
      <x:c r="B638" s="14" t="str">
        <x:v>Prozorro winners — 24.08</x:v>
      </x:c>
      <x:c r="C638" s="14" t="str">
        <x:v>ТОВАРИСТВО З ОБМЕЖЕНОЮ ВІДПОВІДАЛЬНІСТЮ "СПЕЦІАЛІЗОВАНІ ЕНЕРГЕТИЧНІ ТЕХНОЛОГІЇ"</x:v>
      </x:c>
      <x:c r="D638" s="14" t="str">
        <x:v>Сонячна енергетика</x:v>
      </x:c>
      <x:c r="E638" s="14" t="str">
        <x:v>Expansion discovery</x:v>
      </x:c>
      <x:c r="F638" s="17" t="str">
        <x:v>D3</x:v>
      </x:c>
      <x:c r="G638" s="14" t="str"/>
      <x:c r="H638" s="14" t="str">
        <x:v>Discovery розширення — 2 тижні</x:v>
      </x:c>
      <x:c r="I638" s="16" t="n">
        <x:v>1</x:v>
      </x:c>
      <x:c r="J638" s="16" t="n">
        <x:v>5</x:v>
      </x:c>
      <x:c r="K638" s="16" t="n">
        <x:v>4</x:v>
      </x:c>
      <x:c r="L638" s="16" t="n">
        <x:v>2</x:v>
      </x:c>
      <x:c r="M638" s="16" t="n">
        <x:v>5</x:v>
      </x:c>
      <x:c r="N638" s="16" t="n">
        <x:v>5</x:v>
      </x:c>
      <x:c r="O638" s="16" t="n">
        <x:v>5</x:v>
      </x:c>
      <x:c r="P638" s="16" t="n">
        <x:f>IF(COUNT(I638:O638)&lt;7,"",I638*8+J638*3+K638*2+L638*2+M638*2+N638*2+O638)</x:f>
        <x:v>60</x:v>
      </x:c>
      <x:c r="Q638" s="16" t="n">
        <x:f>IF(COUNT(J638:O638)&lt;6,"",J638*5+K638*4+M638*4+L638*3+N638*2+O638*2)</x:f>
        <x:v>87</x:v>
      </x:c>
      <x:c r="R638" s="14" t="str">
        <x:v>high</x:v>
      </x:c>
      <x:c r="S638" s="14" t="str">
        <x:v>official_prozorro_award_2025_2026</x:v>
      </x:c>
      <x:c r="T638" s="14" t="str">
        <x:v>official_prozorro_api</x:v>
      </x:c>
      <x:c r="U638" s="14" t="str">
        <x:v>Не контактували</x:v>
      </x:c>
      <x:c r="V638" s="15" t="str">
        <x:v>Workflow-audit outreach по UA-2026-06-01-006035-a; попросити 1 пакет здачі та вимоги проєкту</x:v>
      </x:c>
      <x:c r="W638" s="15" t="str">
        <x:v>Власник / директор; керівник ПТО; відповідальний за договори</x:v>
      </x:c>
      <x:c r="X638" s="15" t="str">
        <x:v>1 підтверджених перемог/договорів у Prozorro на 143 898 грн; 0 проєктів зі строком виконання не раніше 24.08.2026.</x:v>
      </x:c>
      <x:c r="Y638" s="15" t="str">
        <x:v>роботи (монтаж та підключення гібридної сонячної електростанції 25 кВт для власного споживання); строк до 2026-08-15. Попросити один знеособлений пакет здачі за цим workflow.</x:v>
      </x:c>
      <x:c r="Z638" s="15" t="str">
        <x:v>https://prozorro.gov.ua/tender/UA-2026-06-01-006035-a</x:v>
      </x:c>
      <x:c r="AA638" s="14" t="str">
        <x:v>37821649</x:v>
      </x:c>
      <x:c r="AB638" s="14" t="str">
        <x:v>2026-08-24</x:v>
      </x:c>
      <x:c r="AC638" s="14" t="str"/>
      <x:c r="AD638" s="20" t="str"/>
      <x:c r="AE638" s="14" t="str"/>
      <x:c r="AF638" s="14" t="n">
        <x:v>45</x:v>
      </x:c>
      <x:c r="AG638" s="14" t="str">
        <x:v>I3</x:v>
      </x:c>
      <x:c r="AH638" s="14" t="n">
        <x:v>1</x:v>
      </x:c>
      <x:c r="AI638" s="14" t="n">
        <x:v>0</x:v>
      </x:c>
      <x:c r="AJ638" s="18" t="n">
        <x:v>143898</x:v>
      </x:c>
      <x:c r="AK638" s="14" t="str">
        <x:v>https://prozorro.gov.ua/tender/UA-2026-06-01-006035-a</x:v>
      </x:c>
      <x:c r="AL638" s="19" t="n">
        <x:v>46174.43245354167</x:v>
      </x:c>
      <x:c r="AM638" s="19" t="n">
        <x:v>46249</x:v>
      </x:c>
      <x:c r="AN638" s="15" t="str">
        <x:v>Сонячна енергетика</x:v>
      </x:c>
      <x:c r="AO638" s="15" t="str">
        <x:v>not_found_in_top_search</x:v>
      </x:c>
    </x:row>
    <x:row r="639">
      <x:c r="A639" s="14" t="str">
        <x:v>W3-367</x:v>
      </x:c>
      <x:c r="B639" s="14" t="str">
        <x:v>Prozorro winners — 24.08</x:v>
      </x:c>
      <x:c r="C639" s="14" t="str">
        <x:v>Державне підприємство «ДЕРЖАВНИЙ НАУКОВО-ДОСЛІДНИЙ ТА ПРОЕКТНО-ВИШУКУВАЛЬНИЙ ІНСТИТУТ «НДІПРОЕКТРЕКОНСТРУКЦІЯ» Одеська філія</x:v>
      </x:c>
      <x:c r="D639" s="14" t="str">
        <x:v>Водоочищення / очисні споруди</x:v>
      </x:c>
      <x:c r="E639" s="14" t="str">
        <x:v>Expansion discovery</x:v>
      </x:c>
      <x:c r="F639" s="17" t="str">
        <x:v>D3</x:v>
      </x:c>
      <x:c r="G639" s="14" t="str"/>
      <x:c r="H639" s="14" t="str">
        <x:v>Discovery розширення — 2 тижні</x:v>
      </x:c>
      <x:c r="I639" s="16" t="n">
        <x:v>1</x:v>
      </x:c>
      <x:c r="J639" s="16" t="n">
        <x:v>5</x:v>
      </x:c>
      <x:c r="K639" s="16" t="n">
        <x:v>4</x:v>
      </x:c>
      <x:c r="L639" s="16" t="n">
        <x:v>2</x:v>
      </x:c>
      <x:c r="M639" s="16" t="n">
        <x:v>5</x:v>
      </x:c>
      <x:c r="N639" s="16" t="n">
        <x:v>5</x:v>
      </x:c>
      <x:c r="O639" s="16" t="n">
        <x:v>5</x:v>
      </x:c>
      <x:c r="P639" s="16" t="n">
        <x:f>IF(COUNT(I639:O639)&lt;7,"",I639*8+J639*3+K639*2+L639*2+M639*2+N639*2+O639)</x:f>
        <x:v>60</x:v>
      </x:c>
      <x:c r="Q639" s="16" t="n">
        <x:f>IF(COUNT(J639:O639)&lt;6,"",J639*5+K639*4+M639*4+L639*3+N639*2+O639*2)</x:f>
        <x:v>87</x:v>
      </x:c>
      <x:c r="R639" s="14" t="str">
        <x:v>high</x:v>
      </x:c>
      <x:c r="S639" s="14" t="str">
        <x:v>official_prozorro_award_2025_2026</x:v>
      </x:c>
      <x:c r="T639" s="14" t="str">
        <x:v>official_prozorro_api</x:v>
      </x:c>
      <x:c r="U639" s="14" t="str">
        <x:v>Не контактували</x:v>
      </x:c>
      <x:c r="V639" s="15" t="str">
        <x:v>Workflow-audit outreach по UA-2026-05-19-004414-a; попросити 1 пакет здачі та вимоги проєкту</x:v>
      </x:c>
      <x:c r="W639" s="15" t="str">
        <x:v>Власник / директор; керівник ПТО; відповідальний за договори</x:v>
      </x:c>
      <x:c r="X639" s="15" t="str">
        <x:v>1 підтверджених перемог/договорів у Prozorro на 139 890 грн; 0 проєктів зі строком виконання не раніше 24.08.2026.</x:v>
      </x:c>
      <x:c r="Y639"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 строк до 2026-06-16. Попросити один знеособлений пакет здачі за цим workflow.</x:v>
      </x:c>
      <x:c r="Z639" s="15" t="str">
        <x:v>https://prozorro.gov.ua/tender/UA-2026-05-19-004414-a</x:v>
      </x:c>
      <x:c r="AA639" s="14" t="str">
        <x:v>03329083</x:v>
      </x:c>
      <x:c r="AB639" s="14" t="str">
        <x:v>2026-08-24</x:v>
      </x:c>
      <x:c r="AC639" s="14" t="str"/>
      <x:c r="AD639" s="20" t="str"/>
      <x:c r="AE639" s="14" t="str"/>
      <x:c r="AF639" s="14" t="n">
        <x:v>45</x:v>
      </x:c>
      <x:c r="AG639" s="14" t="str">
        <x:v>I3</x:v>
      </x:c>
      <x:c r="AH639" s="14" t="n">
        <x:v>1</x:v>
      </x:c>
      <x:c r="AI639" s="14" t="n">
        <x:v>0</x:v>
      </x:c>
      <x:c r="AJ639" s="18" t="n">
        <x:v>139889.86</x:v>
      </x:c>
      <x:c r="AK639" s="14" t="str">
        <x:v>https://prozorro.gov.ua/tender/UA-2026-05-19-004414-a</x:v>
      </x:c>
      <x:c r="AL639" s="19" t="n">
        <x:v>46161.355033078704</x:v>
      </x:c>
      <x:c r="AM639" s="19" t="n">
        <x:v>46189.35413194444</x:v>
      </x:c>
      <x:c r="AN639" s="15" t="str">
        <x:v>Водоочищення / очисні споруди</x:v>
      </x:c>
      <x:c r="AO639" s="15" t="str">
        <x:v>not_found_in_top_search</x:v>
      </x:c>
    </x:row>
    <x:row r="640">
      <x:c r="A640" s="14" t="str">
        <x:v>W3-368</x:v>
      </x:c>
      <x:c r="B640" s="14" t="str">
        <x:v>Prozorro winners — 24.08</x:v>
      </x:c>
      <x:c r="C640" s="14" t="str">
        <x:v>ТОВ"Клімат контроль+"</x:v>
      </x:c>
      <x:c r="D640" s="14" t="str">
        <x:v>Резервне живлення</x:v>
      </x:c>
      <x:c r="E640" s="14" t="str">
        <x:v>Expansion discovery</x:v>
      </x:c>
      <x:c r="F640" s="17" t="str">
        <x:v>D3</x:v>
      </x:c>
      <x:c r="G640" s="14" t="str"/>
      <x:c r="H640" s="14" t="str">
        <x:v>Discovery розширення — 2 тижні</x:v>
      </x:c>
      <x:c r="I640" s="16" t="n">
        <x:v>1</x:v>
      </x:c>
      <x:c r="J640" s="16" t="n">
        <x:v>5</x:v>
      </x:c>
      <x:c r="K640" s="16" t="n">
        <x:v>4</x:v>
      </x:c>
      <x:c r="L640" s="16" t="n">
        <x:v>2</x:v>
      </x:c>
      <x:c r="M640" s="16" t="n">
        <x:v>5</x:v>
      </x:c>
      <x:c r="N640" s="16" t="n">
        <x:v>5</x:v>
      </x:c>
      <x:c r="O640" s="16" t="n">
        <x:v>5</x:v>
      </x:c>
      <x:c r="P640" s="16" t="n">
        <x:f>IF(COUNT(I640:O640)&lt;7,"",I640*8+J640*3+K640*2+L640*2+M640*2+N640*2+O640)</x:f>
        <x:v>60</x:v>
      </x:c>
      <x:c r="Q640" s="16" t="n">
        <x:f>IF(COUNT(J640:O640)&lt;6,"",J640*5+K640*4+M640*4+L640*3+N640*2+O640*2)</x:f>
        <x:v>87</x:v>
      </x:c>
      <x:c r="R640" s="14" t="str">
        <x:v>high</x:v>
      </x:c>
      <x:c r="S640" s="14" t="str">
        <x:v>official_prozorro_award_2025_2026</x:v>
      </x:c>
      <x:c r="T640" s="14" t="str">
        <x:v>official_prozorro_api</x:v>
      </x:c>
      <x:c r="U640" s="14" t="str">
        <x:v>Не контактували</x:v>
      </x:c>
      <x:c r="V640" s="15" t="str">
        <x:v>Workflow-audit outreach по UA-2026-06-08-007955-a; попросити 1 пакет здачі та вимоги проєкту</x:v>
      </x:c>
      <x:c r="W640" s="15" t="str">
        <x:v>Власник / директор; керівник ПТО; відповідальний за договори</x:v>
      </x:c>
      <x:c r="X640" s="15" t="str">
        <x:v>1 підтверджених перемог/договорів у Prozorro на 124 016 грн; 0 проєктів зі строком виконання не раніше 24.08.2026.</x:v>
      </x:c>
      <x:c r="Y640"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 строк до 2026-07-01. Попросити один знеособлений пакет здачі за цим workflow.</x:v>
      </x:c>
      <x:c r="Z640" s="15" t="str">
        <x:v>https://prozorro.gov.ua/tender/UA-2026-06-08-007955-a</x:v>
      </x:c>
      <x:c r="AA640" s="14" t="str">
        <x:v>44650140</x:v>
      </x:c>
      <x:c r="AB640" s="14" t="str">
        <x:v>2026-08-24</x:v>
      </x:c>
      <x:c r="AC640" s="14" t="str"/>
      <x:c r="AD640" s="20" t="str"/>
      <x:c r="AE640" s="14" t="str"/>
      <x:c r="AF640" s="14" t="n">
        <x:v>45</x:v>
      </x:c>
      <x:c r="AG640" s="14" t="str">
        <x:v>I3</x:v>
      </x:c>
      <x:c r="AH640" s="14" t="n">
        <x:v>1</x:v>
      </x:c>
      <x:c r="AI640" s="14" t="n">
        <x:v>0</x:v>
      </x:c>
      <x:c r="AJ640" s="18" t="n">
        <x:v>124016</x:v>
      </x:c>
      <x:c r="AK640" s="14" t="str">
        <x:v>https://prozorro.gov.ua/tender/UA-2026-06-08-007955-a</x:v>
      </x:c>
      <x:c r="AL640" s="19" t="n">
        <x:v>46181.48131082176</x:v>
      </x:c>
      <x:c r="AM640" s="19" t="n">
        <x:v>46204</x:v>
      </x:c>
      <x:c r="AN640" s="15" t="str">
        <x:v>Резервне живлення</x:v>
      </x:c>
      <x:c r="AO640" s="15" t="str">
        <x:v>not_found_in_top_search</x:v>
      </x:c>
    </x:row>
    <x:row r="641">
      <x:c r="A641" s="14" t="str">
        <x:v>W3-369</x:v>
      </x:c>
      <x:c r="B641" s="14" t="str">
        <x:v>Prozorro winners — 24.08</x:v>
      </x:c>
      <x:c r="C641" s="14" t="str">
        <x:v>ТОВ "ДНІПРОВОДПРОЕКТ"</x:v>
      </x:c>
      <x:c r="D641" s="14" t="str">
        <x:v>Водоочищення / очисні споруди</x:v>
      </x:c>
      <x:c r="E641" s="14" t="str">
        <x:v>Expansion discovery</x:v>
      </x:c>
      <x:c r="F641" s="17" t="str">
        <x:v>D3</x:v>
      </x:c>
      <x:c r="G641" s="14" t="str"/>
      <x:c r="H641" s="14" t="str">
        <x:v>Discovery розширення — 2 тижні</x:v>
      </x:c>
      <x:c r="I641" s="16" t="n">
        <x:v>1</x:v>
      </x:c>
      <x:c r="J641" s="16" t="n">
        <x:v>5</x:v>
      </x:c>
      <x:c r="K641" s="16" t="n">
        <x:v>4</x:v>
      </x:c>
      <x:c r="L641" s="16" t="n">
        <x:v>2</x:v>
      </x:c>
      <x:c r="M641" s="16" t="n">
        <x:v>5</x:v>
      </x:c>
      <x:c r="N641" s="16" t="n">
        <x:v>5</x:v>
      </x:c>
      <x:c r="O641" s="16" t="n">
        <x:v>5</x:v>
      </x:c>
      <x:c r="P641" s="16" t="n">
        <x:f>IF(COUNT(I641:O641)&lt;7,"",I641*8+J641*3+K641*2+L641*2+M641*2+N641*2+O641)</x:f>
        <x:v>60</x:v>
      </x:c>
      <x:c r="Q641" s="16" t="n">
        <x:f>IF(COUNT(J641:O641)&lt;6,"",J641*5+K641*4+M641*4+L641*3+N641*2+O641*2)</x:f>
        <x:v>87</x:v>
      </x:c>
      <x:c r="R641" s="14" t="str">
        <x:v>high</x:v>
      </x:c>
      <x:c r="S641" s="14" t="str">
        <x:v>official_prozorro_award_2025_2026</x:v>
      </x:c>
      <x:c r="T641" s="14" t="str">
        <x:v>official_prozorro_api</x:v>
      </x:c>
      <x:c r="U641" s="14" t="str">
        <x:v>Не контактували</x:v>
      </x:c>
      <x:c r="V641" s="15" t="str">
        <x:v>Workflow-audit outreach по UA-2026-05-14-001223-a; попросити 1 пакет здачі та вимоги проєкту</x:v>
      </x:c>
      <x:c r="W641" s="15" t="str">
        <x:v>Власник / директор; керівник ПТО; відповідальний за договори</x:v>
      </x:c>
      <x:c r="X641" s="15" t="str">
        <x:v>1 підтверджених перемог/договорів у Prozorro на 111 354 грн; 0 проєктів зі строком виконання не раніше 24.08.2026.</x:v>
      </x:c>
      <x:c r="Y641"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 строк до 2026-07-31. Попросити один знеособлений пакет здачі за цим workflow.</x:v>
      </x:c>
      <x:c r="Z641" s="15" t="str">
        <x:v>https://prozorro.gov.ua/tender/UA-2026-05-14-001223-a</x:v>
      </x:c>
      <x:c r="AA641" s="14" t="str">
        <x:v>35045202</x:v>
      </x:c>
      <x:c r="AB641" s="14" t="str">
        <x:v>2026-08-24</x:v>
      </x:c>
      <x:c r="AC641" s="14" t="str"/>
      <x:c r="AD641" s="20" t="str"/>
      <x:c r="AE641" s="14" t="str"/>
      <x:c r="AF641" s="14" t="n">
        <x:v>45</x:v>
      </x:c>
      <x:c r="AG641" s="14" t="str">
        <x:v>I3</x:v>
      </x:c>
      <x:c r="AH641" s="14" t="n">
        <x:v>1</x:v>
      </x:c>
      <x:c r="AI641" s="14" t="n">
        <x:v>0</x:v>
      </x:c>
      <x:c r="AJ641" s="18" t="n">
        <x:v>111354</x:v>
      </x:c>
      <x:c r="AK641" s="14" t="str">
        <x:v>https://prozorro.gov.ua/tender/UA-2026-05-14-001223-a</x:v>
      </x:c>
      <x:c r="AL641" s="19" t="n">
        <x:v>46156.27859652778</x:v>
      </x:c>
      <x:c r="AM641" s="19" t="n">
        <x:v>46234</x:v>
      </x:c>
      <x:c r="AN641" s="15" t="str">
        <x:v>Водоочищення / очисні споруди</x:v>
      </x:c>
      <x:c r="AO641" s="15" t="str">
        <x:v>not_found_in_top_search</x:v>
      </x:c>
    </x:row>
    <x:row r="642">
      <x:c r="A642" s="14" t="str">
        <x:v>W3-370</x:v>
      </x:c>
      <x:c r="B642" s="14" t="str">
        <x:v>Prozorro winners — 24.08</x:v>
      </x:c>
      <x:c r="C642" s="14" t="str">
        <x:v>ФОП Бичок Костянтин Вікторович</x:v>
      </x:c>
      <x:c r="D642" s="14" t="str">
        <x:v>Електромонтаж</x:v>
      </x:c>
      <x:c r="E642" s="14" t="str">
        <x:v>Pilot now</x:v>
      </x:c>
      <x:c r="F642" s="17" t="str">
        <x:v>P3</x:v>
      </x:c>
      <x:c r="G642" s="14" t="str"/>
      <x:c r="H642" s="14" t="str">
        <x:v>Пілот зараз — Н.15</x:v>
      </x:c>
      <x:c r="I642" s="16" t="n">
        <x:v>5</x:v>
      </x:c>
      <x:c r="J642" s="16" t="n">
        <x:v>5</x:v>
      </x:c>
      <x:c r="K642" s="16" t="n">
        <x:v>5</x:v>
      </x:c>
      <x:c r="L642" s="16" t="n">
        <x:v>1</x:v>
      </x:c>
      <x:c r="M642" s="16" t="n">
        <x:v>5</x:v>
      </x:c>
      <x:c r="N642" s="16" t="n">
        <x:v>3</x:v>
      </x:c>
      <x:c r="O642" s="16" t="n">
        <x:v>5</x:v>
      </x:c>
      <x:c r="P642" s="16" t="n">
        <x:f>IF(COUNT(I642:O642)&lt;7,"",I642*8+J642*3+K642*2+L642*2+M642*2+N642*2+O642)</x:f>
        <x:v>88</x:v>
      </x:c>
      <x:c r="Q642" s="16" t="n">
        <x:f>IF(COUNT(J642:O642)&lt;6,"",J642*5+K642*4+M642*4+L642*3+N642*2+O642*2)</x:f>
        <x:v>84</x:v>
      </x:c>
      <x:c r="R642" s="14" t="str">
        <x:v>high</x:v>
      </x:c>
      <x:c r="S642" s="14" t="str">
        <x:v>official_prozorro_award_2025_2026</x:v>
      </x:c>
      <x:c r="T642" s="14" t="str">
        <x:v>official_prozorro_api</x:v>
      </x:c>
      <x:c r="U642" s="14" t="str">
        <x:v>Не контактували</x:v>
      </x:c>
      <x:c r="V642" s="15" t="str">
        <x:v>Персоналізований free-pilot outreach по UA-2026-03-30-009078-a; попросити 1 пакет Н.14/Н.15</x:v>
      </x:c>
      <x:c r="W642" s="15" t="str">
        <x:v>Власник / виконавець; відповідальний за договір</x:v>
      </x:c>
      <x:c r="X642" s="15" t="str">
        <x:v>2 підтверджених перемог/договорів у Prozorro на 27 580 грн; 2 проєктів зі строком виконання не раніше 24.08.2026.</x:v>
      </x:c>
      <x:c r="Y642" s="15" t="str">
        <x:v>Послуги у сфері локальних мереж (встановлення роутера, налагодження ПК, прокладання витої пари, монтаж короба, прокладання електричного кабелю); строк до 2026-12-31. Попросити один знеособлений пакет здачі за цим workflow.</x:v>
      </x:c>
      <x:c r="Z642" s="15" t="str">
        <x:v>https://prozorro.gov.ua/tender/UA-2026-03-30-009078-a</x:v>
      </x:c>
      <x:c r="AA642" s="14" t="str">
        <x:v>3268604178</x:v>
      </x:c>
      <x:c r="AB642" s="14" t="str">
        <x:v>2026-08-24</x:v>
      </x:c>
      <x:c r="AC642" s="14" t="str"/>
      <x:c r="AD642" s="20" t="str"/>
      <x:c r="AE642" s="14" t="str"/>
      <x:c r="AF642" s="14" t="n">
        <x:v>45</x:v>
      </x:c>
      <x:c r="AG642" s="14" t="str">
        <x:v>I3</x:v>
      </x:c>
      <x:c r="AH642" s="14" t="n">
        <x:v>2</x:v>
      </x:c>
      <x:c r="AI642" s="14" t="n">
        <x:v>2</x:v>
      </x:c>
      <x:c r="AJ642" s="18" t="n">
        <x:v>27580</x:v>
      </x:c>
      <x:c r="AK642" s="14" t="str">
        <x:v>https://prozorro.gov.ua/tender/UA-2026-03-30-009078-a</x:v>
      </x:c>
      <x:c r="AL642" s="19" t="n">
        <x:v>46111.52540443287</x:v>
      </x:c>
      <x:c r="AM642" s="19" t="n">
        <x:v>46387.568333333336</x:v>
      </x:c>
      <x:c r="AN642" s="15" t="str">
        <x:v>Електромонтаж</x:v>
      </x:c>
      <x:c r="AO642" s="15" t="str">
        <x:v>not_found_in_top_search</x:v>
      </x:c>
    </x:row>
    <x:row r="643">
      <x:c r="A643" s="14" t="str">
        <x:v>W3-371</x:v>
      </x:c>
      <x:c r="B643" s="14" t="str">
        <x:v>Prozorro winners — 24.08</x:v>
      </x:c>
      <x:c r="C643" s="14" t="str">
        <x:v>ФОП ГОНЧАРУК ВОЛОДИМИР МИКОЛАЙОВИЧ</x:v>
      </x:c>
      <x:c r="D643" s="14" t="str">
        <x:v>HVAC / ОВіК</x:v>
      </x:c>
      <x:c r="E643" s="14" t="str">
        <x:v>Pilot now</x:v>
      </x:c>
      <x:c r="F643" s="17" t="str">
        <x:v>P3</x:v>
      </x:c>
      <x:c r="G643" s="14" t="str"/>
      <x:c r="H643" s="14" t="str">
        <x:v>Пілот зараз — Н.14</x:v>
      </x:c>
      <x:c r="I643" s="16" t="n">
        <x:v>5</x:v>
      </x:c>
      <x:c r="J643" s="16" t="n">
        <x:v>5</x:v>
      </x:c>
      <x:c r="K643" s="16" t="n">
        <x:v>5</x:v>
      </x:c>
      <x:c r="L643" s="16" t="n">
        <x:v>1</x:v>
      </x:c>
      <x:c r="M643" s="16" t="n">
        <x:v>5</x:v>
      </x:c>
      <x:c r="N643" s="16" t="n">
        <x:v>3</x:v>
      </x:c>
      <x:c r="O643" s="16" t="n">
        <x:v>5</x:v>
      </x:c>
      <x:c r="P643" s="16" t="n">
        <x:f>IF(COUNT(I643:O643)&lt;7,"",I643*8+J643*3+K643*2+L643*2+M643*2+N643*2+O643)</x:f>
        <x:v>88</x:v>
      </x:c>
      <x:c r="Q643" s="16" t="n">
        <x:f>IF(COUNT(J643:O643)&lt;6,"",J643*5+K643*4+M643*4+L643*3+N643*2+O643*2)</x:f>
        <x:v>84</x:v>
      </x:c>
      <x:c r="R643" s="14" t="str">
        <x:v>high</x:v>
      </x:c>
      <x:c r="S643" s="14" t="str">
        <x:v>official_prozorro_award_2025_2026</x:v>
      </x:c>
      <x:c r="T643" s="14" t="str">
        <x:v>official_prozorro_api</x:v>
      </x:c>
      <x:c r="U643" s="14" t="str">
        <x:v>Не контактували</x:v>
      </x:c>
      <x:c r="V643" s="15" t="str">
        <x:v>Персоналізований free-pilot outreach по UA-2026-03-09-013138-a; попросити 1 пакет Н.14/Н.15</x:v>
      </x:c>
      <x:c r="W643" s="15" t="str">
        <x:v>Власник / виконавець; відповідальний за договір</x:v>
      </x:c>
      <x:c r="X643" s="15" t="str">
        <x:v>2 підтверджених перемог/договорів у Prozorro на 9 300 грн; 2 проєктів зі строком виконання не раніше 24.08.2026.</x:v>
      </x:c>
      <x:c r="Y643" s="15" t="str">
        <x:v>Послуга з поточного ремонту системи опалення (демонтаж, монтаж радіаторів системи опалення); строк до 2026-12-31. Попросити один знеособлений пакет здачі за цим workflow.</x:v>
      </x:c>
      <x:c r="Z643" s="15" t="str">
        <x:v>https://prozorro.gov.ua/tender/UA-2026-03-09-013138-a</x:v>
      </x:c>
      <x:c r="AA643" s="14" t="str">
        <x:v>2761325735</x:v>
      </x:c>
      <x:c r="AB643" s="14" t="str">
        <x:v>2026-08-24</x:v>
      </x:c>
      <x:c r="AC643" s="14" t="str"/>
      <x:c r="AD643" s="20" t="str"/>
      <x:c r="AE643" s="14" t="str"/>
      <x:c r="AF643" s="14" t="n">
        <x:v>45</x:v>
      </x:c>
      <x:c r="AG643" s="14" t="str">
        <x:v>I3</x:v>
      </x:c>
      <x:c r="AH643" s="14" t="n">
        <x:v>2</x:v>
      </x:c>
      <x:c r="AI643" s="14" t="n">
        <x:v>2</x:v>
      </x:c>
      <x:c r="AJ643" s="18" t="n">
        <x:v>9300</x:v>
      </x:c>
      <x:c r="AK643" s="14" t="str">
        <x:v>https://prozorro.gov.ua/tender/UA-2026-03-09-013138-a</x:v>
      </x:c>
      <x:c r="AL643" s="19" t="n">
        <x:v>46090.64353076389</x:v>
      </x:c>
      <x:c r="AM643" s="19" t="n">
        <x:v>46387</x:v>
      </x:c>
      <x:c r="AN643" s="15" t="str">
        <x:v>HVAC / ОВіК</x:v>
      </x:c>
      <x:c r="AO643" s="15" t="str">
        <x:v>not_found_in_top_search</x:v>
      </x:c>
    </x:row>
    <x:row r="644">
      <x:c r="A644" s="14" t="str">
        <x:v>W3-372</x:v>
      </x:c>
      <x:c r="B644" s="14" t="str">
        <x:v>Prozorro winners — 24.08</x:v>
      </x:c>
      <x:c r="C644" s="14" t="str">
        <x:v>ФОП КРЯЧКО ВІТАЛІЙ ЮРІЙОВИЧ</x:v>
      </x:c>
      <x:c r="D644" s="14" t="str">
        <x:v>Електромонтаж</x:v>
      </x:c>
      <x:c r="E644" s="14" t="str">
        <x:v>Pilot now</x:v>
      </x:c>
      <x:c r="F644" s="17" t="str">
        <x:v>P3</x:v>
      </x:c>
      <x:c r="G644" s="14" t="str"/>
      <x:c r="H644" s="14" t="str">
        <x:v>Пілот зараз — Н.15</x:v>
      </x:c>
      <x:c r="I644" s="16" t="n">
        <x:v>5</x:v>
      </x:c>
      <x:c r="J644" s="16" t="n">
        <x:v>5</x:v>
      </x:c>
      <x:c r="K644" s="16" t="n">
        <x:v>5</x:v>
      </x:c>
      <x:c r="L644" s="16" t="n">
        <x:v>1</x:v>
      </x:c>
      <x:c r="M644" s="16" t="n">
        <x:v>5</x:v>
      </x:c>
      <x:c r="N644" s="16" t="n">
        <x:v>3</x:v>
      </x:c>
      <x:c r="O644" s="16" t="n">
        <x:v>5</x:v>
      </x:c>
      <x:c r="P644" s="16" t="n">
        <x:f>IF(COUNT(I644:O644)&lt;7,"",I644*8+J644*3+K644*2+L644*2+M644*2+N644*2+O644)</x:f>
        <x:v>88</x:v>
      </x:c>
      <x:c r="Q644" s="16" t="n">
        <x:f>IF(COUNT(J644:O644)&lt;6,"",J644*5+K644*4+M644*4+L644*3+N644*2+O644*2)</x:f>
        <x:v>84</x:v>
      </x:c>
      <x:c r="R644" s="14" t="str">
        <x:v>high</x:v>
      </x:c>
      <x:c r="S644" s="14" t="str">
        <x:v>official_prozorro_award_2025_2026</x:v>
      </x:c>
      <x:c r="T644" s="14" t="str">
        <x:v>official_prozorro_api</x:v>
      </x:c>
      <x:c r="U644" s="14" t="str">
        <x:v>Не контактували</x:v>
      </x:c>
      <x:c r="V644" s="15" t="str">
        <x:v>Персоналізований free-pilot outreach по UA-2026-07-10-007609-a; попросити 1 пакет Н.14/Н.15</x:v>
      </x:c>
      <x:c r="W644" s="15" t="str">
        <x:v>Власник / виконавець; відповідальний за договір</x:v>
      </x:c>
      <x:c r="X644" s="15" t="str">
        <x:v>1 підтверджених перемог/договорів у Prozorro на 95 900 грн; 0 проєктів зі строком виконання не раніше 24.08.2026.</x:v>
      </x:c>
      <x:c r="Y644"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 строк до 2026-07-31. Попросити один знеособлений пакет здачі за цим workflow.</x:v>
      </x:c>
      <x:c r="Z644" s="15" t="str">
        <x:v>https://prozorro.gov.ua/tender/UA-2026-07-10-007609-a</x:v>
      </x:c>
      <x:c r="AA644" s="14" t="str">
        <x:v>2815704419</x:v>
      </x:c>
      <x:c r="AB644" s="14" t="str">
        <x:v>2026-08-24</x:v>
      </x:c>
      <x:c r="AC644" s="14" t="str"/>
      <x:c r="AD644" s="20" t="str"/>
      <x:c r="AE644" s="14" t="str"/>
      <x:c r="AF644" s="14" t="n">
        <x:v>44</x:v>
      </x:c>
      <x:c r="AG644" s="14" t="str">
        <x:v>I3</x:v>
      </x:c>
      <x:c r="AH644" s="14" t="n">
        <x:v>1</x:v>
      </x:c>
      <x:c r="AI644" s="14" t="n">
        <x:v>0</x:v>
      </x:c>
      <x:c r="AJ644" s="18" t="n">
        <x:v>95900</x:v>
      </x:c>
      <x:c r="AK644" s="14" t="str">
        <x:v>https://prozorro.gov.ua/tender/UA-2026-07-10-007609-a</x:v>
      </x:c>
      <x:c r="AL644" s="19" t="n">
        <x:v>46213.47965162037</x:v>
      </x:c>
      <x:c r="AM644" s="19" t="n">
        <x:v>46234.87498842592</x:v>
      </x:c>
      <x:c r="AN644" s="15" t="str">
        <x:v>Електромонтаж</x:v>
      </x:c>
      <x:c r="AO644" s="15" t="str">
        <x:v>not_found_in_top_search</x:v>
      </x:c>
    </x:row>
    <x:row r="645">
      <x:c r="A645" s="14" t="str">
        <x:v>W3-373</x:v>
      </x:c>
      <x:c r="B645" s="14" t="str">
        <x:v>Prozorro winners — 24.08</x:v>
      </x:c>
      <x:c r="C645" s="14" t="str">
        <x:v>ПРОЙЧЕНКО ІВАН ІВАНОВИЧ</x:v>
      </x:c>
      <x:c r="D645" s="14" t="str">
        <x:v>Електромонтаж</x:v>
      </x:c>
      <x:c r="E645" s="14" t="str">
        <x:v>Pilot now</x:v>
      </x:c>
      <x:c r="F645" s="17" t="str">
        <x:v>P3</x:v>
      </x:c>
      <x:c r="G645" s="14" t="str"/>
      <x:c r="H645" s="14" t="str">
        <x:v>Пілот зараз — Н.15</x:v>
      </x:c>
      <x:c r="I645" s="16" t="n">
        <x:v>5</x:v>
      </x:c>
      <x:c r="J645" s="16" t="n">
        <x:v>5</x:v>
      </x:c>
      <x:c r="K645" s="16" t="n">
        <x:v>5</x:v>
      </x:c>
      <x:c r="L645" s="16" t="n">
        <x:v>1</x:v>
      </x:c>
      <x:c r="M645" s="16" t="n">
        <x:v>5</x:v>
      </x:c>
      <x:c r="N645" s="16" t="n">
        <x:v>3</x:v>
      </x:c>
      <x:c r="O645" s="16" t="n">
        <x:v>5</x:v>
      </x:c>
      <x:c r="P645" s="16" t="n">
        <x:f>IF(COUNT(I645:O645)&lt;7,"",I645*8+J645*3+K645*2+L645*2+M645*2+N645*2+O645)</x:f>
        <x:v>88</x:v>
      </x:c>
      <x:c r="Q645" s="16" t="n">
        <x:f>IF(COUNT(J645:O645)&lt;6,"",J645*5+K645*4+M645*4+L645*3+N645*2+O645*2)</x:f>
        <x:v>84</x:v>
      </x:c>
      <x:c r="R645" s="14" t="str">
        <x:v>high</x:v>
      </x:c>
      <x:c r="S645" s="14" t="str">
        <x:v>official_prozorro_award_2025_2026</x:v>
      </x:c>
      <x:c r="T645" s="14" t="str">
        <x:v>official_prozorro_api</x:v>
      </x:c>
      <x:c r="U645" s="14" t="str">
        <x:v>Не контактували</x:v>
      </x:c>
      <x:c r="V645" s="15" t="str">
        <x:v>Персоналізований free-pilot outreach по UA-2026-08-11-005325-a; попросити 1 пакет Н.14/Н.15</x:v>
      </x:c>
      <x:c r="W645" s="15" t="str">
        <x:v>Власник / виконавець; відповідальний за договір</x:v>
      </x:c>
      <x:c r="X645" s="15" t="str">
        <x:v>1 підтверджених перемог/договорів у Prozorro на 52 530 грн; 0 проєктів зі строком виконання не раніше 24.08.2026.</x:v>
      </x:c>
      <x:c r="Y645"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 строк до 2026-07-29. Попросити один знеособлений пакет здачі за цим workflow.</x:v>
      </x:c>
      <x:c r="Z645" s="15" t="str">
        <x:v>https://prozorro.gov.ua/tender/UA-2026-08-11-005325-a</x:v>
      </x:c>
      <x:c r="AA645" s="14" t="str">
        <x:v>3077618016</x:v>
      </x:c>
      <x:c r="AB645" s="14" t="str">
        <x:v>2026-08-24</x:v>
      </x:c>
      <x:c r="AC645" s="14" t="str"/>
      <x:c r="AD645" s="20" t="str"/>
      <x:c r="AE645" s="14" t="str"/>
      <x:c r="AF645" s="14" t="n">
        <x:v>44</x:v>
      </x:c>
      <x:c r="AG645" s="14" t="str">
        <x:v>I3</x:v>
      </x:c>
      <x:c r="AH645" s="14" t="n">
        <x:v>1</x:v>
      </x:c>
      <x:c r="AI645" s="14" t="n">
        <x:v>0</x:v>
      </x:c>
      <x:c r="AJ645" s="18" t="n">
        <x:v>52530</x:v>
      </x:c>
      <x:c r="AK645" s="14" t="str">
        <x:v>https://prozorro.gov.ua/tender/UA-2026-08-11-005325-a</x:v>
      </x:c>
      <x:c r="AL645" s="19" t="n">
        <x:v>46245.395472199074</x:v>
      </x:c>
      <x:c r="AM645" s="19" t="n">
        <x:v>46232</x:v>
      </x:c>
      <x:c r="AN645" s="15" t="str">
        <x:v>Електромонтаж</x:v>
      </x:c>
      <x:c r="AO645" s="15" t="str">
        <x:v>not_found_in_top_search</x:v>
      </x:c>
    </x:row>
    <x:row r="646">
      <x:c r="A646" s="14" t="str">
        <x:v>W3-374</x:v>
      </x:c>
      <x:c r="B646" s="14" t="str">
        <x:v>Prozorro winners — 24.08</x:v>
      </x:c>
      <x:c r="C646" s="14" t="str">
        <x:v>ПОПОВСЬКА ОКСАНА АНАТОЛІЇВНА</x:v>
      </x:c>
      <x:c r="D646" s="14" t="str">
        <x:v>Безпека / СКУД / CCTV</x:v>
      </x:c>
      <x:c r="E646" s="14" t="str">
        <x:v>Expansion discovery</x:v>
      </x:c>
      <x:c r="F646" s="17" t="str">
        <x:v>D3</x:v>
      </x:c>
      <x:c r="G646" s="14" t="str"/>
      <x:c r="H646" s="14" t="str">
        <x:v>Discovery розширення — 2 тижні</x:v>
      </x:c>
      <x:c r="I646" s="16" t="n">
        <x:v>1</x:v>
      </x:c>
      <x:c r="J646" s="16" t="n">
        <x:v>5</x:v>
      </x:c>
      <x:c r="K646" s="16" t="n">
        <x:v>4</x:v>
      </x:c>
      <x:c r="L646" s="16" t="n">
        <x:v>1</x:v>
      </x:c>
      <x:c r="M646" s="16" t="n">
        <x:v>5</x:v>
      </x:c>
      <x:c r="N646" s="16" t="n">
        <x:v>3</x:v>
      </x:c>
      <x:c r="O646" s="16" t="n">
        <x:v>5</x:v>
      </x:c>
      <x:c r="P646" s="16" t="n">
        <x:f>IF(COUNT(I646:O646)&lt;7,"",I646*8+J646*3+K646*2+L646*2+M646*2+N646*2+O646)</x:f>
        <x:v>54</x:v>
      </x:c>
      <x:c r="Q646" s="16" t="n">
        <x:f>IF(COUNT(J646:O646)&lt;6,"",J646*5+K646*4+M646*4+L646*3+N646*2+O646*2)</x:f>
        <x:v>80</x:v>
      </x:c>
      <x:c r="R646" s="14" t="str">
        <x:v>high</x:v>
      </x:c>
      <x:c r="S646" s="14" t="str">
        <x:v>official_prozorro_award_2025_2026</x:v>
      </x:c>
      <x:c r="T646" s="14" t="str">
        <x:v>official_prozorro_api</x:v>
      </x:c>
      <x:c r="U646" s="14" t="str">
        <x:v>Не контактували</x:v>
      </x:c>
      <x:c r="V646" s="15" t="str">
        <x:v>Workflow-audit outreach по UA-2026-07-22-002862-a; попросити 1 пакет здачі та вимоги проєкту</x:v>
      </x:c>
      <x:c r="W646" s="15" t="str">
        <x:v>Власник / виконавець; відповідальний за договір</x:v>
      </x:c>
      <x:c r="X646" s="15" t="str">
        <x:v>1 підтверджених перемог/договорів у Prozorro на 47 202 грн; 0 проєктів зі строком виконання не раніше 24.08.2026.</x:v>
      </x:c>
      <x:c r="Y646" s="15" t="str">
        <x:v>Послуги з монтажу системи відеоспостереження; строк до 2026-07-31. Попросити один знеособлений пакет здачі за цим workflow.</x:v>
      </x:c>
      <x:c r="Z646" s="15" t="str">
        <x:v>https://prozorro.gov.ua/tender/UA-2026-07-22-002862-a</x:v>
      </x:c>
      <x:c r="AA646" s="14" t="str">
        <x:v>2729308340</x:v>
      </x:c>
      <x:c r="AB646" s="14" t="str">
        <x:v>2026-08-24</x:v>
      </x:c>
      <x:c r="AC646" s="14" t="str"/>
      <x:c r="AD646" s="20" t="str"/>
      <x:c r="AE646" s="14" t="str"/>
      <x:c r="AF646" s="14" t="n">
        <x:v>44</x:v>
      </x:c>
      <x:c r="AG646" s="14" t="str">
        <x:v>I3</x:v>
      </x:c>
      <x:c r="AH646" s="14" t="n">
        <x:v>1</x:v>
      </x:c>
      <x:c r="AI646" s="14" t="n">
        <x:v>0</x:v>
      </x:c>
      <x:c r="AJ646" s="18" t="n">
        <x:v>47201.8</x:v>
      </x:c>
      <x:c r="AK646" s="14" t="str">
        <x:v>https://prozorro.gov.ua/tender/UA-2026-07-22-002862-a</x:v>
      </x:c>
      <x:c r="AL646" s="19" t="n">
        <x:v>46225.33639276621</x:v>
      </x:c>
      <x:c r="AM646" s="19" t="n">
        <x:v>46234</x:v>
      </x:c>
      <x:c r="AN646" s="15" t="str">
        <x:v>Безпека / СКУД / CCTV</x:v>
      </x:c>
      <x:c r="AO646" s="15" t="str">
        <x:v>not_found_in_top_search</x:v>
      </x:c>
    </x:row>
    <x:row r="647">
      <x:c r="A647" s="14" t="str">
        <x:v>W3-375</x:v>
      </x:c>
      <x:c r="B647" s="14" t="str">
        <x:v>Prozorro winners — 24.08</x:v>
      </x:c>
      <x:c r="C647" s="14" t="str">
        <x:v>Мельніковський Максим Олександрович</x:v>
      </x:c>
      <x:c r="D647" s="14" t="str">
        <x:v>Безпека / СКУД / CCTV</x:v>
      </x:c>
      <x:c r="E647" s="14" t="str">
        <x:v>Expansion discovery</x:v>
      </x:c>
      <x:c r="F647" s="17" t="str">
        <x:v>D3</x:v>
      </x:c>
      <x:c r="G647" s="14" t="str"/>
      <x:c r="H647" s="14" t="str">
        <x:v>Discovery розширення — 2 тижні</x:v>
      </x:c>
      <x:c r="I647" s="16" t="n">
        <x:v>1</x:v>
      </x:c>
      <x:c r="J647" s="16" t="n">
        <x:v>5</x:v>
      </x:c>
      <x:c r="K647" s="16" t="n">
        <x:v>4</x:v>
      </x:c>
      <x:c r="L647" s="16" t="n">
        <x:v>1</x:v>
      </x:c>
      <x:c r="M647" s="16" t="n">
        <x:v>5</x:v>
      </x:c>
      <x:c r="N647" s="16" t="n">
        <x:v>3</x:v>
      </x:c>
      <x:c r="O647" s="16" t="n">
        <x:v>5</x:v>
      </x:c>
      <x:c r="P647" s="16" t="n">
        <x:f>IF(COUNT(I647:O647)&lt;7,"",I647*8+J647*3+K647*2+L647*2+M647*2+N647*2+O647)</x:f>
        <x:v>54</x:v>
      </x:c>
      <x:c r="Q647" s="16" t="n">
        <x:f>IF(COUNT(J647:O647)&lt;6,"",J647*5+K647*4+M647*4+L647*3+N647*2+O647*2)</x:f>
        <x:v>80</x:v>
      </x:c>
      <x:c r="R647" s="14" t="str">
        <x:v>high</x:v>
      </x:c>
      <x:c r="S647" s="14" t="str">
        <x:v>official_prozorro_award_2025_2026</x:v>
      </x:c>
      <x:c r="T647" s="14" t="str">
        <x:v>official_prozorro_api</x:v>
      </x:c>
      <x:c r="U647" s="14" t="str">
        <x:v>Не контактували</x:v>
      </x:c>
      <x:c r="V647" s="15" t="str">
        <x:v>Workflow-audit outreach по UA-2026-08-03-003923-a; попросити 1 пакет здачі та вимоги проєкту</x:v>
      </x:c>
      <x:c r="W647" s="15" t="str">
        <x:v>Власник / виконавець; відповідальний за договір</x:v>
      </x:c>
      <x:c r="X647" s="15" t="str">
        <x:v>1 підтверджених перемог/договорів у Prozorro на 45 590 грн; 0 проєктів зі строком виконання не раніше 24.08.2026.</x:v>
      </x:c>
      <x:c r="Y647" s="15" t="str">
        <x:v>Послуги з монтажу та налагодження системи відеоспостереження; строк до 2026-08-14. Попросити один знеособлений пакет здачі за цим workflow.</x:v>
      </x:c>
      <x:c r="Z647" s="15" t="str">
        <x:v>https://prozorro.gov.ua/tender/UA-2026-08-03-003923-a</x:v>
      </x:c>
      <x:c r="AA647" s="14" t="str">
        <x:v>3177207373</x:v>
      </x:c>
      <x:c r="AB647" s="14" t="str">
        <x:v>2026-08-24</x:v>
      </x:c>
      <x:c r="AC647" s="14" t="str"/>
      <x:c r="AD647" s="20" t="str"/>
      <x:c r="AE647" s="14" t="str"/>
      <x:c r="AF647" s="14" t="n">
        <x:v>44</x:v>
      </x:c>
      <x:c r="AG647" s="14" t="str">
        <x:v>I3</x:v>
      </x:c>
      <x:c r="AH647" s="14" t="n">
        <x:v>1</x:v>
      </x:c>
      <x:c r="AI647" s="14" t="n">
        <x:v>0</x:v>
      </x:c>
      <x:c r="AJ647" s="18" t="n">
        <x:v>45590</x:v>
      </x:c>
      <x:c r="AK647" s="14" t="str">
        <x:v>https://prozorro.gov.ua/tender/UA-2026-08-03-003923-a</x:v>
      </x:c>
      <x:c r="AL647" s="19" t="n">
        <x:v>46237.37379709491</x:v>
      </x:c>
      <x:c r="AM647" s="19" t="n">
        <x:v>46248</x:v>
      </x:c>
      <x:c r="AN647" s="15" t="str">
        <x:v>Безпека / СКУД / CCTV</x:v>
      </x:c>
      <x:c r="AO647" s="15" t="str">
        <x:v>not_found_in_top_search</x:v>
      </x:c>
    </x:row>
    <x:row r="648">
      <x:c r="A648" s="14" t="str">
        <x:v>W3-376</x:v>
      </x:c>
      <x:c r="B648" s="14" t="str">
        <x:v>Prozorro winners — 24.08</x:v>
      </x:c>
      <x:c r="C648" s="14" t="str">
        <x:v>Антоненко Максим Юрійович</x:v>
      </x:c>
      <x:c r="D648" s="14" t="str">
        <x:v>Електромонтаж</x:v>
      </x:c>
      <x:c r="E648" s="14" t="str">
        <x:v>Pilot now</x:v>
      </x:c>
      <x:c r="F648" s="17" t="str">
        <x:v>P3</x:v>
      </x:c>
      <x:c r="G648" s="14" t="str"/>
      <x:c r="H648" s="14" t="str">
        <x:v>Пілот зараз — Н.15</x:v>
      </x:c>
      <x:c r="I648" s="16" t="n">
        <x:v>5</x:v>
      </x:c>
      <x:c r="J648" s="16" t="n">
        <x:v>5</x:v>
      </x:c>
      <x:c r="K648" s="16" t="n">
        <x:v>5</x:v>
      </x:c>
      <x:c r="L648" s="16" t="n">
        <x:v>1</x:v>
      </x:c>
      <x:c r="M648" s="16" t="n">
        <x:v>5</x:v>
      </x:c>
      <x:c r="N648" s="16" t="n">
        <x:v>3</x:v>
      </x:c>
      <x:c r="O648" s="16" t="n">
        <x:v>5</x:v>
      </x:c>
      <x:c r="P648" s="16" t="n">
        <x:f>IF(COUNT(I648:O648)&lt;7,"",I648*8+J648*3+K648*2+L648*2+M648*2+N648*2+O648)</x:f>
        <x:v>88</x:v>
      </x:c>
      <x:c r="Q648" s="16" t="n">
        <x:f>IF(COUNT(J648:O648)&lt;6,"",J648*5+K648*4+M648*4+L648*3+N648*2+O648*2)</x:f>
        <x:v>84</x:v>
      </x:c>
      <x:c r="R648" s="14" t="str">
        <x:v>high</x:v>
      </x:c>
      <x:c r="S648" s="14" t="str">
        <x:v>official_prozorro_award_2025_2026</x:v>
      </x:c>
      <x:c r="T648" s="14" t="str">
        <x:v>official_prozorro_api</x:v>
      </x:c>
      <x:c r="U648" s="14" t="str">
        <x:v>Не контактували</x:v>
      </x:c>
      <x:c r="V648" s="15" t="str">
        <x:v>Персоналізований free-pilot outreach по UA-2026-08-17-009902-a; попросити 1 пакет Н.14/Н.15</x:v>
      </x:c>
      <x:c r="W648" s="15" t="str">
        <x:v>Власник / виконавець; відповідальний за договір</x:v>
      </x:c>
      <x:c r="X648" s="15" t="str">
        <x:v>1 підтверджених перемог/договорів у Prozorro на 36 600 грн; 0 проєктів зі строком виконання не раніше 24.08.2026.</x:v>
      </x:c>
      <x:c r="Y648" s="15" t="str">
        <x:v>Електромонтажні роботи. Класифікація за ДК 021-2015 (CPV): 45310000-3 - Електромонтажні роботи; строк до 2026-08-17. Попросити один знеособлений пакет здачі за цим workflow.</x:v>
      </x:c>
      <x:c r="Z648" s="15" t="str">
        <x:v>https://prozorro.gov.ua/tender/UA-2026-08-17-009902-a</x:v>
      </x:c>
      <x:c r="AA648" s="14" t="str">
        <x:v>3716103678</x:v>
      </x:c>
      <x:c r="AB648" s="14" t="str">
        <x:v>2026-08-24</x:v>
      </x:c>
      <x:c r="AC648" s="14" t="str"/>
      <x:c r="AD648" s="20" t="str"/>
      <x:c r="AE648" s="14" t="str"/>
      <x:c r="AF648" s="14" t="n">
        <x:v>44</x:v>
      </x:c>
      <x:c r="AG648" s="14" t="str">
        <x:v>I3</x:v>
      </x:c>
      <x:c r="AH648" s="14" t="n">
        <x:v>1</x:v>
      </x:c>
      <x:c r="AI648" s="14" t="n">
        <x:v>0</x:v>
      </x:c>
      <x:c r="AJ648" s="18" t="n">
        <x:v>36600</x:v>
      </x:c>
      <x:c r="AK648" s="14" t="str">
        <x:v>https://prozorro.gov.ua/tender/UA-2026-08-17-009902-a</x:v>
      </x:c>
      <x:c r="AL648" s="19" t="n">
        <x:v>46251.53463201389</x:v>
      </x:c>
      <x:c r="AM648" s="19" t="n">
        <x:v>46251.53681712963</x:v>
      </x:c>
      <x:c r="AN648" s="15" t="str">
        <x:v>Електромонтаж</x:v>
      </x:c>
      <x:c r="AO648" s="15" t="str">
        <x:v>not_found_in_top_search</x:v>
      </x:c>
    </x:row>
    <x:row r="649">
      <x:c r="A649" s="14" t="str">
        <x:v>W3-377</x:v>
      </x:c>
      <x:c r="B649" s="14" t="str">
        <x:v>Prozorro winners — 24.08</x:v>
      </x:c>
      <x:c r="C649" s="14" t="str">
        <x:v>КОВАЛЕНКО ВОЛОДИМИР СЕРГІЙОВИЧ</x:v>
      </x:c>
      <x:c r="D649" s="14" t="str">
        <x:v>HVAC / ОВіК</x:v>
      </x:c>
      <x:c r="E649" s="14" t="str">
        <x:v>Pilot now</x:v>
      </x:c>
      <x:c r="F649" s="17" t="str">
        <x:v>P3</x:v>
      </x:c>
      <x:c r="G649" s="14" t="str"/>
      <x:c r="H649" s="14" t="str">
        <x:v>Пілот зараз — Н.14</x:v>
      </x:c>
      <x:c r="I649" s="16" t="n">
        <x:v>5</x:v>
      </x:c>
      <x:c r="J649" s="16" t="n">
        <x:v>5</x:v>
      </x:c>
      <x:c r="K649" s="16" t="n">
        <x:v>5</x:v>
      </x:c>
      <x:c r="L649" s="16" t="n">
        <x:v>1</x:v>
      </x:c>
      <x:c r="M649" s="16" t="n">
        <x:v>5</x:v>
      </x:c>
      <x:c r="N649" s="16" t="n">
        <x:v>3</x:v>
      </x:c>
      <x:c r="O649" s="16" t="n">
        <x:v>5</x:v>
      </x:c>
      <x:c r="P649" s="16" t="n">
        <x:f>IF(COUNT(I649:O649)&lt;7,"",I649*8+J649*3+K649*2+L649*2+M649*2+N649*2+O649)</x:f>
        <x:v>88</x:v>
      </x:c>
      <x:c r="Q649" s="16" t="n">
        <x:f>IF(COUNT(J649:O649)&lt;6,"",J649*5+K649*4+M649*4+L649*3+N649*2+O649*2)</x:f>
        <x:v>84</x:v>
      </x:c>
      <x:c r="R649" s="14" t="str">
        <x:v>high</x:v>
      </x:c>
      <x:c r="S649" s="14" t="str">
        <x:v>official_prozorro_award_2025_2026</x:v>
      </x:c>
      <x:c r="T649" s="14" t="str">
        <x:v>official_prozorro_api</x:v>
      </x:c>
      <x:c r="U649" s="14" t="str">
        <x:v>Не контактували</x:v>
      </x:c>
      <x:c r="V649" s="15" t="str">
        <x:v>Персоналізований free-pilot outreach по UA-2026-07-15-000429-a; попросити 1 пакет Н.14/Н.15</x:v>
      </x:c>
      <x:c r="W649" s="15" t="str">
        <x:v>Власник / виконавець; відповідальний за договір</x:v>
      </x:c>
      <x:c r="X649" s="15" t="str">
        <x:v>1 підтверджених перемог/договорів у Prozorro на 24 000 грн; 0 проєктів зі строком виконання не раніше 24.08.2026.</x:v>
      </x:c>
      <x:c r="Y649"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 строк до 2026-08-10. Попросити один знеособлений пакет здачі за цим workflow.</x:v>
      </x:c>
      <x:c r="Z649" s="15" t="str">
        <x:v>https://prozorro.gov.ua/tender/UA-2026-07-15-000429-a</x:v>
      </x:c>
      <x:c r="AA649" s="14" t="str">
        <x:v>3110919730</x:v>
      </x:c>
      <x:c r="AB649" s="14" t="str">
        <x:v>2026-08-24</x:v>
      </x:c>
      <x:c r="AC649" s="14" t="str"/>
      <x:c r="AD649" s="20" t="str"/>
      <x:c r="AE649" s="14" t="str"/>
      <x:c r="AF649" s="14" t="n">
        <x:v>44</x:v>
      </x:c>
      <x:c r="AG649" s="14" t="str">
        <x:v>I3</x:v>
      </x:c>
      <x:c r="AH649" s="14" t="n">
        <x:v>1</x:v>
      </x:c>
      <x:c r="AI649" s="14" t="n">
        <x:v>0</x:v>
      </x:c>
      <x:c r="AJ649" s="18" t="n">
        <x:v>24000</x:v>
      </x:c>
      <x:c r="AK649" s="14" t="str">
        <x:v>https://prozorro.gov.ua/tender/UA-2026-07-15-000429-a</x:v>
      </x:c>
      <x:c r="AL649" s="19" t="n">
        <x:v>46218.25353581019</x:v>
      </x:c>
      <x:c r="AM649" s="19" t="n">
        <x:v>46244</x:v>
      </x:c>
      <x:c r="AN649" s="15" t="str">
        <x:v>HVAC / ОВіК</x:v>
      </x:c>
      <x:c r="AO649" s="15" t="str">
        <x:v>not_found_in_top_search</x:v>
      </x:c>
    </x:row>
    <x:row r="650">
      <x:c r="A650" s="14" t="str">
        <x:v>W3-378</x:v>
      </x:c>
      <x:c r="B650" s="14" t="str">
        <x:v>Prozorro winners — 24.08</x:v>
      </x:c>
      <x:c r="C650" s="14" t="str">
        <x:v>Владов Дмитро Олексійович</x:v>
      </x:c>
      <x:c r="D650" s="14" t="str">
        <x:v>HVAC / ОВіК</x:v>
      </x:c>
      <x:c r="E650" s="14" t="str">
        <x:v>Pilot now</x:v>
      </x:c>
      <x:c r="F650" s="17" t="str">
        <x:v>P3</x:v>
      </x:c>
      <x:c r="G650" s="14" t="str"/>
      <x:c r="H650" s="14" t="str">
        <x:v>Пілот зараз — Н.14</x:v>
      </x:c>
      <x:c r="I650" s="16" t="n">
        <x:v>5</x:v>
      </x:c>
      <x:c r="J650" s="16" t="n">
        <x:v>5</x:v>
      </x:c>
      <x:c r="K650" s="16" t="n">
        <x:v>5</x:v>
      </x:c>
      <x:c r="L650" s="16" t="n">
        <x:v>1</x:v>
      </x:c>
      <x:c r="M650" s="16" t="n">
        <x:v>5</x:v>
      </x:c>
      <x:c r="N650" s="16" t="n">
        <x:v>3</x:v>
      </x:c>
      <x:c r="O650" s="16" t="n">
        <x:v>5</x:v>
      </x:c>
      <x:c r="P650" s="16" t="n">
        <x:f>IF(COUNT(I650:O650)&lt;7,"",I650*8+J650*3+K650*2+L650*2+M650*2+N650*2+O650)</x:f>
        <x:v>88</x:v>
      </x:c>
      <x:c r="Q650" s="16" t="n">
        <x:f>IF(COUNT(J650:O650)&lt;6,"",J650*5+K650*4+M650*4+L650*3+N650*2+O650*2)</x:f>
        <x:v>84</x:v>
      </x:c>
      <x:c r="R650" s="14" t="str">
        <x:v>high</x:v>
      </x:c>
      <x:c r="S650" s="14" t="str">
        <x:v>official_prozorro_award_2025_2026</x:v>
      </x:c>
      <x:c r="T650" s="14" t="str">
        <x:v>official_prozorro_api</x:v>
      </x:c>
      <x:c r="U650" s="14" t="str">
        <x:v>Не контактували</x:v>
      </x:c>
      <x:c r="V650" s="15" t="str">
        <x:v>Персоналізований free-pilot outreach по UA-2026-08-03-008838-a; попросити 1 пакет Н.14/Н.15</x:v>
      </x:c>
      <x:c r="W650" s="15" t="str">
        <x:v>Власник / виконавець; відповідальний за договір</x:v>
      </x:c>
      <x:c r="X650" s="15" t="str">
        <x:v>1 підтверджених перемог/договорів у Prozorro на 19 825 грн; 0 проєктів зі строком виконання не раніше 24.08.2026.</x:v>
      </x:c>
      <x:c r="Y650" s="15" t="str">
        <x:v>послуги з демонтажу та монтажу, перегрупуванню та підключенню до системи опалення сталевих та чавуних  радіаторів, прокладання труб; строк до 2026-08-04. Попросити один знеособлений пакет здачі за цим workflow.</x:v>
      </x:c>
      <x:c r="Z650" s="15" t="str">
        <x:v>https://prozorro.gov.ua/tender/UA-2026-08-03-008838-a</x:v>
      </x:c>
      <x:c r="AA650" s="14" t="str">
        <x:v>1916807599</x:v>
      </x:c>
      <x:c r="AB650" s="14" t="str">
        <x:v>2026-08-24</x:v>
      </x:c>
      <x:c r="AC650" s="14" t="str"/>
      <x:c r="AD650" s="20" t="str"/>
      <x:c r="AE650" s="14" t="str"/>
      <x:c r="AF650" s="14" t="n">
        <x:v>44</x:v>
      </x:c>
      <x:c r="AG650" s="14" t="str">
        <x:v>I3</x:v>
      </x:c>
      <x:c r="AH650" s="14" t="n">
        <x:v>1</x:v>
      </x:c>
      <x:c r="AI650" s="14" t="n">
        <x:v>0</x:v>
      </x:c>
      <x:c r="AJ650" s="18" t="n">
        <x:v>19825</x:v>
      </x:c>
      <x:c r="AK650" s="14" t="str">
        <x:v>https://prozorro.gov.ua/tender/UA-2026-08-03-008838-a</x:v>
      </x:c>
      <x:c r="AL650" s="19" t="n">
        <x:v>46237.53604215278</x:v>
      </x:c>
      <x:c r="AM650" s="19" t="n">
        <x:v>46238.532175925924</x:v>
      </x:c>
      <x:c r="AN650" s="15" t="str">
        <x:v>HVAC / ОВіК</x:v>
      </x:c>
      <x:c r="AO650" s="15" t="str">
        <x:v>not_found_in_top_search</x:v>
      </x:c>
    </x:row>
    <x:row r="651">
      <x:c r="A651" s="14" t="str">
        <x:v>W3-379</x:v>
      </x:c>
      <x:c r="B651" s="14" t="str">
        <x:v>Prozorro winners — 24.08</x:v>
      </x:c>
      <x:c r="C651" s="14" t="str">
        <x:v>ФОП Різник Руслан Сергійович</x:v>
      </x:c>
      <x:c r="D651" s="14" t="str">
        <x:v>Мости / інфраструктура</x:v>
      </x:c>
      <x:c r="E651" s="14" t="str">
        <x:v>Expansion discovery</x:v>
      </x:c>
      <x:c r="F651" s="17" t="str">
        <x:v>D3</x:v>
      </x:c>
      <x:c r="G651" s="14" t="str"/>
      <x:c r="H651" s="14" t="str">
        <x:v>Discovery розширення — 2 тижні</x:v>
      </x:c>
      <x:c r="I651" s="16" t="n">
        <x:v>1</x:v>
      </x:c>
      <x:c r="J651" s="16" t="n">
        <x:v>5</x:v>
      </x:c>
      <x:c r="K651" s="16" t="n">
        <x:v>4</x:v>
      </x:c>
      <x:c r="L651" s="16" t="n">
        <x:v>1</x:v>
      </x:c>
      <x:c r="M651" s="16" t="n">
        <x:v>5</x:v>
      </x:c>
      <x:c r="N651" s="16" t="n">
        <x:v>3</x:v>
      </x:c>
      <x:c r="O651" s="16" t="n">
        <x:v>5</x:v>
      </x:c>
      <x:c r="P651" s="16" t="n">
        <x:f>IF(COUNT(I651:O651)&lt;7,"",I651*8+J651*3+K651*2+L651*2+M651*2+N651*2+O651)</x:f>
        <x:v>54</x:v>
      </x:c>
      <x:c r="Q651" s="16" t="n">
        <x:f>IF(COUNT(J651:O651)&lt;6,"",J651*5+K651*4+M651*4+L651*3+N651*2+O651*2)</x:f>
        <x:v>80</x:v>
      </x:c>
      <x:c r="R651" s="14" t="str">
        <x:v>high</x:v>
      </x:c>
      <x:c r="S651" s="14" t="str">
        <x:v>official_prozorro_award_2025_2026</x:v>
      </x:c>
      <x:c r="T651" s="14" t="str">
        <x:v>official_prozorro_api</x:v>
      </x:c>
      <x:c r="U651" s="14" t="str">
        <x:v>Не контактували</x:v>
      </x:c>
      <x:c r="V651" s="15" t="str">
        <x:v>Workflow-audit outreach по UA-2026-07-16-010202-a; попросити 1 пакет здачі та вимоги проєкту</x:v>
      </x:c>
      <x:c r="W651" s="15" t="str">
        <x:v>Власник / виконавець; відповідальний за договір</x:v>
      </x:c>
      <x:c r="X651" s="15" t="str">
        <x:v>1 підтверджених перемог/договорів у Prozorro на 11 000 грн; 0 проєктів зі строком виконання не раніше 24.08.2026.</x:v>
      </x:c>
      <x:c r="Y651" s="15" t="str">
        <x:v>Ремонт переднього моста, ремонт задньої підвіски, заміна фільтрів і оливи, змащування автобуса; строк до 2026-07-25. Попросити один знеособлений пакет здачі за цим workflow.</x:v>
      </x:c>
      <x:c r="Z651" s="15" t="str">
        <x:v>https://prozorro.gov.ua/tender/UA-2026-07-16-010202-a</x:v>
      </x:c>
      <x:c r="AA651" s="14" t="str">
        <x:v>3468107094</x:v>
      </x:c>
      <x:c r="AB651" s="14" t="str">
        <x:v>2026-08-24</x:v>
      </x:c>
      <x:c r="AC651" s="14" t="str"/>
      <x:c r="AD651" s="20" t="str"/>
      <x:c r="AE651" s="14" t="str"/>
      <x:c r="AF651" s="14" t="n">
        <x:v>44</x:v>
      </x:c>
      <x:c r="AG651" s="14" t="str">
        <x:v>I3</x:v>
      </x:c>
      <x:c r="AH651" s="14" t="n">
        <x:v>1</x:v>
      </x:c>
      <x:c r="AI651" s="14" t="n">
        <x:v>0</x:v>
      </x:c>
      <x:c r="AJ651" s="18" t="n">
        <x:v>11000</x:v>
      </x:c>
      <x:c r="AK651" s="14" t="str">
        <x:v>https://prozorro.gov.ua/tender/UA-2026-07-16-010202-a</x:v>
      </x:c>
      <x:c r="AL651" s="19" t="n">
        <x:v>46219.61719828704</x:v>
      </x:c>
      <x:c r="AM651" s="19" t="n">
        <x:v>46228.61788194445</x:v>
      </x:c>
      <x:c r="AN651" s="15" t="str">
        <x:v>Мости / інфраструктура</x:v>
      </x:c>
      <x:c r="AO651" s="15" t="str">
        <x:v>not_found_in_top_search</x:v>
      </x:c>
    </x:row>
    <x:row r="652">
      <x:c r="A652" s="14" t="str">
        <x:v>W3-380</x:v>
      </x:c>
      <x:c r="B652" s="14" t="str">
        <x:v>Prozorro winners — 24.08</x:v>
      </x:c>
      <x:c r="C652" s="14" t="str">
        <x:v>ФОП ОПАНАСЮК ВОЛОДИМИР ЛЕОНІДОВИЧ</x:v>
      </x:c>
      <x:c r="D652" s="14" t="str">
        <x:v>HVAC / ОВіК</x:v>
      </x:c>
      <x:c r="E652" s="14" t="str">
        <x:v>Pilot now</x:v>
      </x:c>
      <x:c r="F652" s="17" t="str">
        <x:v>P3</x:v>
      </x:c>
      <x:c r="G652" s="14" t="str"/>
      <x:c r="H652" s="14" t="str">
        <x:v>Пілот зараз — Н.14</x:v>
      </x:c>
      <x:c r="I652" s="16" t="n">
        <x:v>5</x:v>
      </x:c>
      <x:c r="J652" s="16" t="n">
        <x:v>5</x:v>
      </x:c>
      <x:c r="K652" s="16" t="n">
        <x:v>5</x:v>
      </x:c>
      <x:c r="L652" s="16" t="n">
        <x:v>3</x:v>
      </x:c>
      <x:c r="M652" s="16" t="n">
        <x:v>5</x:v>
      </x:c>
      <x:c r="N652" s="16" t="n">
        <x:v>3</x:v>
      </x:c>
      <x:c r="O652" s="16" t="n">
        <x:v>5</x:v>
      </x:c>
      <x:c r="P652" s="16" t="n">
        <x:f>IF(COUNT(I652:O652)&lt;7,"",I652*8+J652*3+K652*2+L652*2+M652*2+N652*2+O652)</x:f>
        <x:v>92</x:v>
      </x:c>
      <x:c r="Q652" s="16" t="n">
        <x:f>IF(COUNT(J652:O652)&lt;6,"",J652*5+K652*4+M652*4+L652*3+N652*2+O652*2)</x:f>
        <x:v>90</x:v>
      </x:c>
      <x:c r="R652" s="14" t="str">
        <x:v>high</x:v>
      </x:c>
      <x:c r="S652" s="14" t="str">
        <x:v>official_prozorro_award_2025_2026</x:v>
      </x:c>
      <x:c r="T652" s="14" t="str">
        <x:v>official_prozorro_api</x:v>
      </x:c>
      <x:c r="U652" s="14" t="str">
        <x:v>Не контактували</x:v>
      </x:c>
      <x:c r="V652" s="15" t="str">
        <x:v>Персоналізований free-pilot outreach по UA-2026-03-18-007973-a; попросити 1 пакет Н.14/Н.15</x:v>
      </x:c>
      <x:c r="W652" s="15" t="str">
        <x:v>Власник / виконавець; відповідальний за договір</x:v>
      </x:c>
      <x:c r="X652" s="15" t="str">
        <x:v>1 підтверджених перемог/договорів у Prozorro на 839 738 грн; 1 проєктів зі строком виконання не раніше 24.08.2026.</x:v>
      </x:c>
      <x:c r="Y652" s="15" t="str">
        <x:v>Послуги з демонтажу та монтажу тимчасової тентової конструкції накриття басейну з технічним обслуговуванням системи вентиляції; строк до 2026-11-30. Попросити один знеособлений пакет здачі за цим workflow.</x:v>
      </x:c>
      <x:c r="Z652" s="15" t="str">
        <x:v>https://prozorro.gov.ua/tender/UA-2026-03-18-007973-a</x:v>
      </x:c>
      <x:c r="AA652" s="14" t="str">
        <x:v>3308815293</x:v>
      </x:c>
      <x:c r="AB652" s="14" t="str">
        <x:v>2026-08-24</x:v>
      </x:c>
      <x:c r="AC652" s="14" t="str"/>
      <x:c r="AD652" s="20" t="str"/>
      <x:c r="AE652" s="14" t="str"/>
      <x:c r="AF652" s="14" t="n">
        <x:v>43</x:v>
      </x:c>
      <x:c r="AG652" s="14" t="str">
        <x:v>I3</x:v>
      </x:c>
      <x:c r="AH652" s="14" t="n">
        <x:v>1</x:v>
      </x:c>
      <x:c r="AI652" s="14" t="n">
        <x:v>1</x:v>
      </x:c>
      <x:c r="AJ652" s="18" t="n">
        <x:v>839738.07</x:v>
      </x:c>
      <x:c r="AK652" s="14" t="str">
        <x:v>https://prozorro.gov.ua/tender/UA-2026-03-18-007973-a</x:v>
      </x:c>
      <x:c r="AL652" s="19" t="n">
        <x:v>46113.573004432874</x:v>
      </x:c>
      <x:c r="AM652" s="19" t="n">
        <x:v>46356</x:v>
      </x:c>
      <x:c r="AN652" s="15" t="str">
        <x:v>HVAC / ОВіК</x:v>
      </x:c>
      <x:c r="AO652" s="15" t="str">
        <x:v>not_found_in_top_search</x:v>
      </x:c>
    </x:row>
    <x:row r="653">
      <x:c r="A653" s="14" t="str">
        <x:v>W3-381</x:v>
      </x:c>
      <x:c r="B653" s="14" t="str">
        <x:v>Prozorro winners — 24.08</x:v>
      </x:c>
      <x:c r="C653" s="14" t="str">
        <x:v>ОМЕЛЬЧУК ВІКТОР ПАВЛОВИЧ</x:v>
      </x:c>
      <x:c r="D653" s="14" t="str">
        <x:v>Водоочищення / очисні споруди</x:v>
      </x:c>
      <x:c r="E653" s="14" t="str">
        <x:v>Expansion discovery</x:v>
      </x:c>
      <x:c r="F653" s="17" t="str">
        <x:v>D3</x:v>
      </x:c>
      <x:c r="G653" s="14" t="str"/>
      <x:c r="H653" s="14" t="str">
        <x:v>Discovery розширення — 2 тижні</x:v>
      </x:c>
      <x:c r="I653" s="16" t="n">
        <x:v>1</x:v>
      </x:c>
      <x:c r="J653" s="16" t="n">
        <x:v>5</x:v>
      </x:c>
      <x:c r="K653" s="16" t="n">
        <x:v>4</x:v>
      </x:c>
      <x:c r="L653" s="16" t="n">
        <x:v>1</x:v>
      </x:c>
      <x:c r="M653" s="16" t="n">
        <x:v>5</x:v>
      </x:c>
      <x:c r="N653" s="16" t="n">
        <x:v>3</x:v>
      </x:c>
      <x:c r="O653" s="16" t="n">
        <x:v>5</x:v>
      </x:c>
      <x:c r="P653" s="16" t="n">
        <x:f>IF(COUNT(I653:O653)&lt;7,"",I653*8+J653*3+K653*2+L653*2+M653*2+N653*2+O653)</x:f>
        <x:v>54</x:v>
      </x:c>
      <x:c r="Q653" s="16" t="n">
        <x:f>IF(COUNT(J653:O653)&lt;6,"",J653*5+K653*4+M653*4+L653*3+N653*2+O653*2)</x:f>
        <x:v>80</x:v>
      </x:c>
      <x:c r="R653" s="14" t="str">
        <x:v>high</x:v>
      </x:c>
      <x:c r="S653" s="14" t="str">
        <x:v>official_prozorro_award_2025_2026</x:v>
      </x:c>
      <x:c r="T653" s="14" t="str">
        <x:v>official_prozorro_api</x:v>
      </x:c>
      <x:c r="U653" s="14" t="str">
        <x:v>Не контактували</x:v>
      </x:c>
      <x:c r="V653" s="15" t="str">
        <x:v>Workflow-audit outreach по UA-2026-07-09-011277-a; попросити 1 пакет здачі та вимоги проєкту</x:v>
      </x:c>
      <x:c r="W653" s="15" t="str">
        <x:v>Власник / виконавець; відповідальний за договір</x:v>
      </x:c>
      <x:c r="X653" s="15" t="str">
        <x:v>1 підтверджених перемог/договорів у Prozorro на 99 651 грн; 1 проєктів зі строком виконання не раніше 24.08.2026.</x:v>
      </x:c>
      <x:c r="Y653"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 строк до 2026-12-31. Попросити один знеособлений пакет здачі за цим workflow.</x:v>
      </x:c>
      <x:c r="Z653" s="15" t="str">
        <x:v>https://prozorro.gov.ua/tender/UA-2026-07-09-011277-a</x:v>
      </x:c>
      <x:c r="AA653" s="14" t="str">
        <x:v>2522409470</x:v>
      </x:c>
      <x:c r="AB653" s="14" t="str">
        <x:v>2026-08-24</x:v>
      </x:c>
      <x:c r="AC653" s="14" t="str"/>
      <x:c r="AD653" s="20" t="str"/>
      <x:c r="AE653" s="14" t="str"/>
      <x:c r="AF653" s="14" t="n">
        <x:v>43</x:v>
      </x:c>
      <x:c r="AG653" s="14" t="str">
        <x:v>I3</x:v>
      </x:c>
      <x:c r="AH653" s="14" t="n">
        <x:v>1</x:v>
      </x:c>
      <x:c r="AI653" s="14" t="n">
        <x:v>1</x:v>
      </x:c>
      <x:c r="AJ653" s="18" t="n">
        <x:v>99651</x:v>
      </x:c>
      <x:c r="AK653" s="14" t="str">
        <x:v>https://prozorro.gov.ua/tender/UA-2026-07-09-011277-a</x:v>
      </x:c>
      <x:c r="AL653" s="19" t="n">
        <x:v>46212.63753219907</x:v>
      </x:c>
      <x:c r="AM653" s="19" t="n">
        <x:v>46387</x:v>
      </x:c>
      <x:c r="AN653" s="15" t="str">
        <x:v>Водоочищення / очисні споруди</x:v>
      </x:c>
      <x:c r="AO653" s="15" t="str">
        <x:v>not_found_in_top_search</x:v>
      </x:c>
    </x:row>
    <x:row r="654">
      <x:c r="A654" s="14" t="str">
        <x:v>W3-382</x:v>
      </x:c>
      <x:c r="B654" s="14" t="str">
        <x:v>Prozorro winners — 24.08</x:v>
      </x:c>
      <x:c r="C654" s="14" t="str">
        <x:v>МАКАРУХА МИХАЙЛО ІВАНОВИЧ</x:v>
      </x:c>
      <x:c r="D654" s="14" t="str">
        <x:v>HVAC / ОВіК</x:v>
      </x:c>
      <x:c r="E654" s="14" t="str">
        <x:v>Pilot now</x:v>
      </x:c>
      <x:c r="F654" s="17" t="str">
        <x:v>P3</x:v>
      </x:c>
      <x:c r="G654" s="14" t="str"/>
      <x:c r="H654" s="14" t="str">
        <x:v>Пілот зараз — Н.14</x:v>
      </x:c>
      <x:c r="I654" s="16" t="n">
        <x:v>5</x:v>
      </x:c>
      <x:c r="J654" s="16" t="n">
        <x:v>5</x:v>
      </x:c>
      <x:c r="K654" s="16" t="n">
        <x:v>5</x:v>
      </x:c>
      <x:c r="L654" s="16" t="n">
        <x:v>1</x:v>
      </x:c>
      <x:c r="M654" s="16" t="n">
        <x:v>5</x:v>
      </x:c>
      <x:c r="N654" s="16" t="n">
        <x:v>3</x:v>
      </x:c>
      <x:c r="O654" s="16" t="n">
        <x:v>5</x:v>
      </x:c>
      <x:c r="P654" s="16" t="n">
        <x:f>IF(COUNT(I654:O654)&lt;7,"",I654*8+J654*3+K654*2+L654*2+M654*2+N654*2+O654)</x:f>
        <x:v>88</x:v>
      </x:c>
      <x:c r="Q654" s="16" t="n">
        <x:f>IF(COUNT(J654:O654)&lt;6,"",J654*5+K654*4+M654*4+L654*3+N654*2+O654*2)</x:f>
        <x:v>84</x:v>
      </x:c>
      <x:c r="R654" s="14" t="str">
        <x:v>high</x:v>
      </x:c>
      <x:c r="S654" s="14" t="str">
        <x:v>official_prozorro_award_2025_2026</x:v>
      </x:c>
      <x:c r="T654" s="14" t="str">
        <x:v>official_prozorro_api</x:v>
      </x:c>
      <x:c r="U654" s="14" t="str">
        <x:v>Не контактували</x:v>
      </x:c>
      <x:c r="V654" s="15" t="str">
        <x:v>Персоналізований free-pilot outreach по UA-2026-06-05-011359-a; попросити 1 пакет Н.14/Н.15</x:v>
      </x:c>
      <x:c r="W654" s="15" t="str">
        <x:v>Власник / виконавець; відповідальний за договір</x:v>
      </x:c>
      <x:c r="X654" s="15" t="str">
        <x:v>1 підтверджених перемог/договорів у Prozorro на 96 596 грн; 1 проєктів зі строком виконання не раніше 24.08.2026.</x:v>
      </x:c>
      <x:c r="Y654"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 строк до 2026-12-31. Попросити один знеособлений пакет здачі за цим workflow.</x:v>
      </x:c>
      <x:c r="Z654" s="15" t="str">
        <x:v>https://prozorro.gov.ua/tender/UA-2026-06-05-011359-a</x:v>
      </x:c>
      <x:c r="AA654" s="14" t="str">
        <x:v>3283304577</x:v>
      </x:c>
      <x:c r="AB654" s="14" t="str">
        <x:v>2026-08-24</x:v>
      </x:c>
      <x:c r="AC654" s="14" t="str"/>
      <x:c r="AD654" s="20" t="str"/>
      <x:c r="AE654" s="14" t="str"/>
      <x:c r="AF654" s="14" t="n">
        <x:v>43</x:v>
      </x:c>
      <x:c r="AG654" s="14" t="str">
        <x:v>I3</x:v>
      </x:c>
      <x:c r="AH654" s="14" t="n">
        <x:v>1</x:v>
      </x:c>
      <x:c r="AI654" s="14" t="n">
        <x:v>1</x:v>
      </x:c>
      <x:c r="AJ654" s="18" t="n">
        <x:v>96595.64</x:v>
      </x:c>
      <x:c r="AK654" s="14" t="str">
        <x:v>https://prozorro.gov.ua/tender/UA-2026-06-05-011359-a</x:v>
      </x:c>
      <x:c r="AL654" s="19" t="n">
        <x:v>46178.56325513889</x:v>
      </x:c>
      <x:c r="AM654" s="19" t="n">
        <x:v>46387</x:v>
      </x:c>
      <x:c r="AN654" s="15" t="str">
        <x:v>HVAC / ОВіК</x:v>
      </x:c>
      <x:c r="AO654" s="15" t="str">
        <x:v>not_found_in_top_search</x:v>
      </x:c>
    </x:row>
    <x:row r="655">
      <x:c r="A655" s="14" t="str">
        <x:v>W3-383</x:v>
      </x:c>
      <x:c r="B655" s="14" t="str">
        <x:v>Prozorro winners — 24.08</x:v>
      </x:c>
      <x:c r="C655" s="14" t="str">
        <x:v>ФОП Льогких Дмитро Анатолійович</x:v>
      </x:c>
      <x:c r="D655" s="14" t="str">
        <x:v>Пожежогасіння</x:v>
      </x:c>
      <x:c r="E655" s="14" t="str">
        <x:v>Expansion discovery</x:v>
      </x:c>
      <x:c r="F655" s="17" t="str">
        <x:v>D3</x:v>
      </x:c>
      <x:c r="G655" s="14" t="str"/>
      <x:c r="H655" s="14" t="str">
        <x:v>Discovery розширення — 2 тижні</x:v>
      </x:c>
      <x:c r="I655" s="16" t="n">
        <x:v>1</x:v>
      </x:c>
      <x:c r="J655" s="16" t="n">
        <x:v>5</x:v>
      </x:c>
      <x:c r="K655" s="16" t="n">
        <x:v>4</x:v>
      </x:c>
      <x:c r="L655" s="16" t="n">
        <x:v>1</x:v>
      </x:c>
      <x:c r="M655" s="16" t="n">
        <x:v>5</x:v>
      </x:c>
      <x:c r="N655" s="16" t="n">
        <x:v>3</x:v>
      </x:c>
      <x:c r="O655" s="16" t="n">
        <x:v>5</x:v>
      </x:c>
      <x:c r="P655" s="16" t="n">
        <x:f>IF(COUNT(I655:O655)&lt;7,"",I655*8+J655*3+K655*2+L655*2+M655*2+N655*2+O655)</x:f>
        <x:v>54</x:v>
      </x:c>
      <x:c r="Q655" s="16" t="n">
        <x:f>IF(COUNT(J655:O655)&lt;6,"",J655*5+K655*4+M655*4+L655*3+N655*2+O655*2)</x:f>
        <x:v>80</x:v>
      </x:c>
      <x:c r="R655" s="14" t="str">
        <x:v>high</x:v>
      </x:c>
      <x:c r="S655" s="14" t="str">
        <x:v>official_prozorro_award_2025_2026</x:v>
      </x:c>
      <x:c r="T655" s="14" t="str">
        <x:v>official_prozorro_api</x:v>
      </x:c>
      <x:c r="U655" s="14" t="str">
        <x:v>Не контактували</x:v>
      </x:c>
      <x:c r="V655" s="15" t="str">
        <x:v>Workflow-audit outreach по UA-2026-06-02-013120-a; попросити 1 пакет здачі та вимоги проєкту</x:v>
      </x:c>
      <x:c r="W655" s="15" t="str">
        <x:v>Власник / виконавець; відповідальний за договір</x:v>
      </x:c>
      <x:c r="X655" s="15" t="str">
        <x:v>1 підтверджених перемог/договорів у Prozorro на 86 857 грн; 1 проєктів зі строком виконання не раніше 24.08.2026.</x:v>
      </x:c>
      <x:c r="Y655"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 строк до 2026-12-31. Попросити один знеособлений пакет здачі за цим workflow.</x:v>
      </x:c>
      <x:c r="Z655" s="15" t="str">
        <x:v>https://prozorro.gov.ua/tender/UA-2026-06-02-013120-a</x:v>
      </x:c>
      <x:c r="AA655" s="14" t="str">
        <x:v>3006011193</x:v>
      </x:c>
      <x:c r="AB655" s="14" t="str">
        <x:v>2026-08-24</x:v>
      </x:c>
      <x:c r="AC655" s="14" t="str"/>
      <x:c r="AD655" s="20" t="str"/>
      <x:c r="AE655" s="14" t="str"/>
      <x:c r="AF655" s="14" t="n">
        <x:v>43</x:v>
      </x:c>
      <x:c r="AG655" s="14" t="str">
        <x:v>I3</x:v>
      </x:c>
      <x:c r="AH655" s="14" t="n">
        <x:v>1</x:v>
      </x:c>
      <x:c r="AI655" s="14" t="n">
        <x:v>1</x:v>
      </x:c>
      <x:c r="AJ655" s="18" t="n">
        <x:v>86857.4</x:v>
      </x:c>
      <x:c r="AK655" s="14" t="str">
        <x:v>https://prozorro.gov.ua/tender/UA-2026-06-02-013120-a</x:v>
      </x:c>
      <x:c r="AL655" s="19" t="n">
        <x:v>46175.59332990741</x:v>
      </x:c>
      <x:c r="AM655" s="19" t="n">
        <x:v>46387</x:v>
      </x:c>
      <x:c r="AN655" s="15" t="str">
        <x:v>Пожежогасіння</x:v>
      </x:c>
      <x:c r="AO655" s="15" t="str">
        <x:v>not_found_in_top_search</x:v>
      </x:c>
    </x:row>
    <x:row r="656">
      <x:c r="A656" s="14" t="str">
        <x:v>W3-384</x:v>
      </x:c>
      <x:c r="B656" s="14" t="str">
        <x:v>Prozorro winners — 24.08</x:v>
      </x:c>
      <x:c r="C656" s="14" t="str">
        <x:v>ФОП Атясов Андрій Миколайович</x:v>
      </x:c>
      <x:c r="D656" s="14" t="str">
        <x:v>HVAC / ОВіК</x:v>
      </x:c>
      <x:c r="E656" s="14" t="str">
        <x:v>Pilot now</x:v>
      </x:c>
      <x:c r="F656" s="17" t="str">
        <x:v>P3</x:v>
      </x:c>
      <x:c r="G656" s="14" t="str"/>
      <x:c r="H656" s="14" t="str">
        <x:v>Пілот зараз — Н.14</x:v>
      </x:c>
      <x:c r="I656" s="16" t="n">
        <x:v>5</x:v>
      </x:c>
      <x:c r="J656" s="16" t="n">
        <x:v>5</x:v>
      </x:c>
      <x:c r="K656" s="16" t="n">
        <x:v>5</x:v>
      </x:c>
      <x:c r="L656" s="16" t="n">
        <x:v>1</x:v>
      </x:c>
      <x:c r="M656" s="16" t="n">
        <x:v>5</x:v>
      </x:c>
      <x:c r="N656" s="16" t="n">
        <x:v>3</x:v>
      </x:c>
      <x:c r="O656" s="16" t="n">
        <x:v>5</x:v>
      </x:c>
      <x:c r="P656" s="16" t="n">
        <x:f>IF(COUNT(I656:O656)&lt;7,"",I656*8+J656*3+K656*2+L656*2+M656*2+N656*2+O656)</x:f>
        <x:v>88</x:v>
      </x:c>
      <x:c r="Q656" s="16" t="n">
        <x:f>IF(COUNT(J656:O656)&lt;6,"",J656*5+K656*4+M656*4+L656*3+N656*2+O656*2)</x:f>
        <x:v>84</x:v>
      </x:c>
      <x:c r="R656" s="14" t="str">
        <x:v>high</x:v>
      </x:c>
      <x:c r="S656" s="14" t="str">
        <x:v>official_prozorro_award_2025_2026</x:v>
      </x:c>
      <x:c r="T656" s="14" t="str">
        <x:v>official_prozorro_api</x:v>
      </x:c>
      <x:c r="U656" s="14" t="str">
        <x:v>Не контактували</x:v>
      </x:c>
      <x:c r="V656" s="15" t="str">
        <x:v>Персоналізований free-pilot outreach по UA-2026-05-13-003291-a; попросити 1 пакет Н.14/Н.15</x:v>
      </x:c>
      <x:c r="W656" s="15" t="str">
        <x:v>Власник / виконавець; відповідальний за договір</x:v>
      </x:c>
      <x:c r="X656" s="15" t="str">
        <x:v>1 підтверджених перемог/договорів у Prozorro на 80 000 грн; 1 проєктів зі строком виконання не раніше 24.08.2026.</x:v>
      </x:c>
      <x:c r="Y656" s="15" t="str">
        <x:v>Монтаж буферної ємності системи опалення та димаря опалювального котла; строк до 2026-11-30. Попросити один знеособлений пакет здачі за цим workflow.</x:v>
      </x:c>
      <x:c r="Z656" s="15" t="str">
        <x:v>https://prozorro.gov.ua/tender/UA-2026-05-13-003291-a</x:v>
      </x:c>
      <x:c r="AA656" s="14" t="str">
        <x:v>2676702933</x:v>
      </x:c>
      <x:c r="AB656" s="14" t="str">
        <x:v>2026-08-24</x:v>
      </x:c>
      <x:c r="AC656" s="14" t="str"/>
      <x:c r="AD656" s="20" t="str"/>
      <x:c r="AE656" s="14" t="str"/>
      <x:c r="AF656" s="14" t="n">
        <x:v>43</x:v>
      </x:c>
      <x:c r="AG656" s="14" t="str">
        <x:v>I3</x:v>
      </x:c>
      <x:c r="AH656" s="14" t="n">
        <x:v>1</x:v>
      </x:c>
      <x:c r="AI656" s="14" t="n">
        <x:v>1</x:v>
      </x:c>
      <x:c r="AJ656" s="18" t="n">
        <x:v>80000</x:v>
      </x:c>
      <x:c r="AK656" s="14" t="str">
        <x:v>https://prozorro.gov.ua/tender/UA-2026-05-13-003291-a</x:v>
      </x:c>
      <x:c r="AL656" s="19" t="n">
        <x:v>46155.33405505787</x:v>
      </x:c>
      <x:c r="AM656" s="19" t="n">
        <x:v>46356.37567129629</x:v>
      </x:c>
      <x:c r="AN656" s="15" t="str">
        <x:v>HVAC / ОВіК</x:v>
      </x:c>
      <x:c r="AO656" s="15" t="str">
        <x:v>not_found_in_top_search</x:v>
      </x:c>
    </x:row>
    <x:row r="657">
      <x:c r="A657" s="14" t="str">
        <x:v>W3-385</x:v>
      </x:c>
      <x:c r="B657" s="14" t="str">
        <x:v>Prozorro winners — 24.08</x:v>
      </x:c>
      <x:c r="C657" s="14" t="str">
        <x:v>ФОП Буслаєв Дмитро Петрович</x:v>
      </x:c>
      <x:c r="D657" s="14" t="str">
        <x:v>Електромонтаж</x:v>
      </x:c>
      <x:c r="E657" s="14" t="str">
        <x:v>Pilot now</x:v>
      </x:c>
      <x:c r="F657" s="17" t="str">
        <x:v>P3</x:v>
      </x:c>
      <x:c r="G657" s="14" t="str"/>
      <x:c r="H657" s="14" t="str">
        <x:v>Пілот зараз — Н.15</x:v>
      </x:c>
      <x:c r="I657" s="16" t="n">
        <x:v>5</x:v>
      </x:c>
      <x:c r="J657" s="16" t="n">
        <x:v>5</x:v>
      </x:c>
      <x:c r="K657" s="16" t="n">
        <x:v>5</x:v>
      </x:c>
      <x:c r="L657" s="16" t="n">
        <x:v>1</x:v>
      </x:c>
      <x:c r="M657" s="16" t="n">
        <x:v>5</x:v>
      </x:c>
      <x:c r="N657" s="16" t="n">
        <x:v>3</x:v>
      </x:c>
      <x:c r="O657" s="16" t="n">
        <x:v>5</x:v>
      </x:c>
      <x:c r="P657" s="16" t="n">
        <x:f>IF(COUNT(I657:O657)&lt;7,"",I657*8+J657*3+K657*2+L657*2+M657*2+N657*2+O657)</x:f>
        <x:v>88</x:v>
      </x:c>
      <x:c r="Q657" s="16" t="n">
        <x:f>IF(COUNT(J657:O657)&lt;6,"",J657*5+K657*4+M657*4+L657*3+N657*2+O657*2)</x:f>
        <x:v>84</x:v>
      </x:c>
      <x:c r="R657" s="14" t="str">
        <x:v>high</x:v>
      </x:c>
      <x:c r="S657" s="14" t="str">
        <x:v>official_prozorro_award_2025_2026</x:v>
      </x:c>
      <x:c r="T657" s="14" t="str">
        <x:v>official_prozorro_api</x:v>
      </x:c>
      <x:c r="U657" s="14" t="str">
        <x:v>Не контактували</x:v>
      </x:c>
      <x:c r="V657" s="15" t="str">
        <x:v>Персоналізований free-pilot outreach по UA-2026-05-11-006522-a; попросити 1 пакет Н.14/Н.15</x:v>
      </x:c>
      <x:c r="W657" s="15" t="str">
        <x:v>Власник / виконавець; відповідальний за договір</x:v>
      </x:c>
      <x:c r="X657" s="15" t="str">
        <x:v>1 підтверджених перемог/договорів у Prozorro на 79 705 грн; 1 проєктів зі строком виконання не раніше 24.08.2026.</x:v>
      </x:c>
      <x:c r="Y657"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 строк до 2026-12-31. Попросити один знеособлений пакет здачі за цим workflow.</x:v>
      </x:c>
      <x:c r="Z657" s="15" t="str">
        <x:v>https://prozorro.gov.ua/tender/UA-2026-05-11-006522-a</x:v>
      </x:c>
      <x:c r="AA657" s="14" t="str">
        <x:v>2930816259</x:v>
      </x:c>
      <x:c r="AB657" s="14" t="str">
        <x:v>2026-08-24</x:v>
      </x:c>
      <x:c r="AC657" s="14" t="str"/>
      <x:c r="AD657" s="20" t="str"/>
      <x:c r="AE657" s="14" t="str"/>
      <x:c r="AF657" s="14" t="n">
        <x:v>43</x:v>
      </x:c>
      <x:c r="AG657" s="14" t="str">
        <x:v>I3</x:v>
      </x:c>
      <x:c r="AH657" s="14" t="n">
        <x:v>1</x:v>
      </x:c>
      <x:c r="AI657" s="14" t="n">
        <x:v>1</x:v>
      </x:c>
      <x:c r="AJ657" s="18" t="n">
        <x:v>79705</x:v>
      </x:c>
      <x:c r="AK657" s="14" t="str">
        <x:v>https://prozorro.gov.ua/tender/UA-2026-05-11-006522-a</x:v>
      </x:c>
      <x:c r="AL657" s="19" t="n">
        <x:v>46153.42331789352</x:v>
      </x:c>
      <x:c r="AM657" s="19" t="n">
        <x:v>46387.464641203704</x:v>
      </x:c>
      <x:c r="AN657" s="15" t="str">
        <x:v>Електромонтаж</x:v>
      </x:c>
      <x:c r="AO657" s="15" t="str">
        <x:v>not_found_in_top_search</x:v>
      </x:c>
    </x:row>
    <x:row r="658">
      <x:c r="A658" s="14" t="str">
        <x:v>W3-386</x:v>
      </x:c>
      <x:c r="B658" s="14" t="str">
        <x:v>Prozorro winners — 24.08</x:v>
      </x:c>
      <x:c r="C658" s="14" t="str">
        <x:v>ФОП Сологуб Богдан Михайлович</x:v>
      </x:c>
      <x:c r="D658" s="14" t="str">
        <x:v>Безпека / СКУД / CCTV</x:v>
      </x:c>
      <x:c r="E658" s="14" t="str">
        <x:v>Expansion discovery</x:v>
      </x:c>
      <x:c r="F658" s="17" t="str">
        <x:v>D3</x:v>
      </x:c>
      <x:c r="G658" s="14" t="str"/>
      <x:c r="H658" s="14" t="str">
        <x:v>Discovery розширення — 2 тижні</x:v>
      </x:c>
      <x:c r="I658" s="16" t="n">
        <x:v>1</x:v>
      </x:c>
      <x:c r="J658" s="16" t="n">
        <x:v>5</x:v>
      </x:c>
      <x:c r="K658" s="16" t="n">
        <x:v>4</x:v>
      </x:c>
      <x:c r="L658" s="16" t="n">
        <x:v>1</x:v>
      </x:c>
      <x:c r="M658" s="16" t="n">
        <x:v>5</x:v>
      </x:c>
      <x:c r="N658" s="16" t="n">
        <x:v>3</x:v>
      </x:c>
      <x:c r="O658" s="16" t="n">
        <x:v>5</x:v>
      </x:c>
      <x:c r="P658" s="16" t="n">
        <x:f>IF(COUNT(I658:O658)&lt;7,"",I658*8+J658*3+K658*2+L658*2+M658*2+N658*2+O658)</x:f>
        <x:v>54</x:v>
      </x:c>
      <x:c r="Q658" s="16" t="n">
        <x:f>IF(COUNT(J658:O658)&lt;6,"",J658*5+K658*4+M658*4+L658*3+N658*2+O658*2)</x:f>
        <x:v>80</x:v>
      </x:c>
      <x:c r="R658" s="14" t="str">
        <x:v>high</x:v>
      </x:c>
      <x:c r="S658" s="14" t="str">
        <x:v>official_prozorro_award_2025_2026</x:v>
      </x:c>
      <x:c r="T658" s="14" t="str">
        <x:v>official_prozorro_api</x:v>
      </x:c>
      <x:c r="U658" s="14" t="str">
        <x:v>Не контактували</x:v>
      </x:c>
      <x:c r="V658" s="15" t="str">
        <x:v>Workflow-audit outreach по UA-2026-06-19-012235-a; попросити 1 пакет здачі та вимоги проєкту</x:v>
      </x:c>
      <x:c r="W658" s="15" t="str">
        <x:v>Власник / виконавець; відповідальний за договір</x:v>
      </x:c>
      <x:c r="X658" s="15" t="str">
        <x:v>2 підтверджених перемог/договорів у Prozorro на 76 000 грн; 0 проєктів зі строком виконання не раніше 24.08.2026.</x:v>
      </x:c>
      <x:c r="Y658"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 строк до 2026-07-03. Попросити один знеособлений пакет здачі за цим workflow.</x:v>
      </x:c>
      <x:c r="Z658" s="15" t="str">
        <x:v>https://prozorro.gov.ua/tender/UA-2026-06-19-012235-a</x:v>
      </x:c>
      <x:c r="AA658" s="14" t="str">
        <x:v>3329403156</x:v>
      </x:c>
      <x:c r="AB658" s="14" t="str">
        <x:v>2026-08-24</x:v>
      </x:c>
      <x:c r="AC658" s="14" t="str"/>
      <x:c r="AD658" s="20" t="str"/>
      <x:c r="AE658" s="14" t="str"/>
      <x:c r="AF658" s="14" t="n">
        <x:v>43</x:v>
      </x:c>
      <x:c r="AG658" s="14" t="str">
        <x:v>I3</x:v>
      </x:c>
      <x:c r="AH658" s="14" t="n">
        <x:v>2</x:v>
      </x:c>
      <x:c r="AI658" s="14" t="n">
        <x:v>0</x:v>
      </x:c>
      <x:c r="AJ658" s="18" t="n">
        <x:v>76000</x:v>
      </x:c>
      <x:c r="AK658" s="14" t="str">
        <x:v>https://prozorro.gov.ua/tender/UA-2026-06-19-012235-a</x:v>
      </x:c>
      <x:c r="AL658" s="19" t="n">
        <x:v>46192.57537104167</x:v>
      </x:c>
      <x:c r="AM658" s="19" t="n">
        <x:v>46206</x:v>
      </x:c>
      <x:c r="AN658" s="15" t="str">
        <x:v>Безпека / СКУД / CCTV</x:v>
      </x:c>
      <x:c r="AO658" s="15" t="str">
        <x:v>not_found_in_top_search</x:v>
      </x:c>
    </x:row>
    <x:row r="659">
      <x:c r="A659" s="14" t="str">
        <x:v>W3-387</x:v>
      </x:c>
      <x:c r="B659" s="14" t="str">
        <x:v>Prozorro winners — 24.08</x:v>
      </x:c>
      <x:c r="C659" s="14" t="str">
        <x:v>КИРПОТА ВАДИМ ВІКТОРОВИЧ</x:v>
      </x:c>
      <x:c r="D659" s="14" t="str">
        <x:v>HVAC / ОВіК</x:v>
      </x:c>
      <x:c r="E659" s="14" t="str">
        <x:v>Pilot now</x:v>
      </x:c>
      <x:c r="F659" s="17" t="str">
        <x:v>P3</x:v>
      </x:c>
      <x:c r="G659" s="14" t="str"/>
      <x:c r="H659" s="14" t="str">
        <x:v>Пілот зараз — Н.14</x:v>
      </x:c>
      <x:c r="I659" s="16" t="n">
        <x:v>5</x:v>
      </x:c>
      <x:c r="J659" s="16" t="n">
        <x:v>5</x:v>
      </x:c>
      <x:c r="K659" s="16" t="n">
        <x:v>5</x:v>
      </x:c>
      <x:c r="L659" s="16" t="n">
        <x:v>1</x:v>
      </x:c>
      <x:c r="M659" s="16" t="n">
        <x:v>5</x:v>
      </x:c>
      <x:c r="N659" s="16" t="n">
        <x:v>3</x:v>
      </x:c>
      <x:c r="O659" s="16" t="n">
        <x:v>5</x:v>
      </x:c>
      <x:c r="P659" s="16" t="n">
        <x:f>IF(COUNT(I659:O659)&lt;7,"",I659*8+J659*3+K659*2+L659*2+M659*2+N659*2+O659)</x:f>
        <x:v>88</x:v>
      </x:c>
      <x:c r="Q659" s="16" t="n">
        <x:f>IF(COUNT(J659:O659)&lt;6,"",J659*5+K659*4+M659*4+L659*3+N659*2+O659*2)</x:f>
        <x:v>84</x:v>
      </x:c>
      <x:c r="R659" s="14" t="str">
        <x:v>high</x:v>
      </x:c>
      <x:c r="S659" s="14" t="str">
        <x:v>official_prozorro_award_2025_2026</x:v>
      </x:c>
      <x:c r="T659" s="14" t="str">
        <x:v>official_prozorro_api</x:v>
      </x:c>
      <x:c r="U659" s="14" t="str">
        <x:v>Не контактували</x:v>
      </x:c>
      <x:c r="V659" s="15" t="str">
        <x:v>Повторне звернення з новим тендерним сигналом UA-2025-02-25-003559-a; попросити 1 пакет здачі</x:v>
      </x:c>
      <x:c r="W659" s="15" t="str">
        <x:v>Власник / виконавець; відповідальний за договір</x:v>
      </x:c>
      <x:c r="X659" s="15" t="str">
        <x:v>1 підтверджених перемог/договорів у Prozorro на 75 000 грн; 1 проєктів зі строком виконання не раніше 24.08.2026.</x:v>
      </x:c>
      <x:c r="Y659" s="15" t="str">
        <x:v>Послуги з монтажу та обслуговування систем кондиціонування та вентиляції; строк до 2026-12-31. Попросити один знеособлений пакет здачі за цим workflow.</x:v>
      </x:c>
      <x:c r="Z659" s="15" t="str">
        <x:v>https://prozorro.gov.ua/tender/UA-2026-05-15-000062-a</x:v>
      </x:c>
      <x:c r="AA659" s="14" t="str">
        <x:v>3204302870</x:v>
      </x:c>
      <x:c r="AB659" s="14" t="str">
        <x:v>2026-08-24</x:v>
      </x:c>
      <x:c r="AC659" s="14" t="str"/>
      <x:c r="AD659" s="20" t="str"/>
      <x:c r="AE659" s="14" t="str"/>
      <x:c r="AF659" s="14" t="n">
        <x:v>43</x:v>
      </x:c>
      <x:c r="AG659" s="14" t="str">
        <x:v>I3</x:v>
      </x:c>
      <x:c r="AH659" s="14" t="n">
        <x:v>2</x:v>
      </x:c>
      <x:c r="AI659" s="14" t="n">
        <x:v>1</x:v>
      </x:c>
      <x:c r="AJ659" s="18" t="n">
        <x:v>170000</x:v>
      </x:c>
      <x:c r="AK659" s="14" t="str">
        <x:v>https://prozorro.gov.ua/tender/UA-2025-02-25-003559-a</x:v>
      </x:c>
      <x:c r="AL659" s="19" t="n">
        <x:v>45713.374196412035</x:v>
      </x:c>
      <x:c r="AM659" s="19" t="n">
        <x:v>46022</x:v>
      </x:c>
      <x:c r="AN659" s="15" t="str">
        <x:v>HVAC / ОВіК</x:v>
      </x:c>
      <x:c r="AO659" s="15" t="str">
        <x:v>not_found_in_top_search</x:v>
      </x:c>
    </x:row>
    <x:row r="660">
      <x:c r="A660" s="14" t="str">
        <x:v>W3-388</x:v>
      </x:c>
      <x:c r="B660" s="14" t="str">
        <x:v>Prozorro winners — 24.08</x:v>
      </x:c>
      <x:c r="C660" s="14" t="str">
        <x:v>ФОП Лобода Марія Василівна</x:v>
      </x:c>
      <x:c r="D660" s="14" t="str">
        <x:v>HVAC / ОВіК</x:v>
      </x:c>
      <x:c r="E660" s="14" t="str">
        <x:v>Pilot now</x:v>
      </x:c>
      <x:c r="F660" s="17" t="str">
        <x:v>P3</x:v>
      </x:c>
      <x:c r="G660" s="14" t="str"/>
      <x:c r="H660" s="14" t="str">
        <x:v>Пілот зараз — Н.14</x:v>
      </x:c>
      <x:c r="I660" s="16" t="n">
        <x:v>5</x:v>
      </x:c>
      <x:c r="J660" s="16" t="n">
        <x:v>5</x:v>
      </x:c>
      <x:c r="K660" s="16" t="n">
        <x:v>5</x:v>
      </x:c>
      <x:c r="L660" s="16" t="n">
        <x:v>1</x:v>
      </x:c>
      <x:c r="M660" s="16" t="n">
        <x:v>5</x:v>
      </x:c>
      <x:c r="N660" s="16" t="n">
        <x:v>3</x:v>
      </x:c>
      <x:c r="O660" s="16" t="n">
        <x:v>5</x:v>
      </x:c>
      <x:c r="P660" s="16" t="n">
        <x:f>IF(COUNT(I660:O660)&lt;7,"",I660*8+J660*3+K660*2+L660*2+M660*2+N660*2+O660)</x:f>
        <x:v>88</x:v>
      </x:c>
      <x:c r="Q660" s="16" t="n">
        <x:f>IF(COUNT(J660:O660)&lt;6,"",J660*5+K660*4+M660*4+L660*3+N660*2+O660*2)</x:f>
        <x:v>84</x:v>
      </x:c>
      <x:c r="R660" s="14" t="str">
        <x:v>high</x:v>
      </x:c>
      <x:c r="S660" s="14" t="str">
        <x:v>official_prozorro_award_2025_2026</x:v>
      </x:c>
      <x:c r="T660" s="14" t="str">
        <x:v>official_prozorro_api</x:v>
      </x:c>
      <x:c r="U660" s="14" t="str">
        <x:v>Не контактували</x:v>
      </x:c>
      <x:c r="V660" s="15" t="str">
        <x:v>Персоналізований free-pilot outreach по UA-2026-05-12-005333-a; попросити 1 пакет Н.14/Н.15</x:v>
      </x:c>
      <x:c r="W660" s="15" t="str">
        <x:v>Власник / виконавець; відповідальний за договір</x:v>
      </x:c>
      <x:c r="X660" s="15" t="str">
        <x:v>1 підтверджених перемог/договорів у Prozorro на 74 300 грн; 1 проєктів зі строком виконання не раніше 24.08.2026.</x:v>
      </x:c>
      <x:c r="Y660" s="15" t="str">
        <x:v>Монтаж водопровідних мереж, систем опалення та кондиціонування; строк до 2026-12-31. Попросити один знеособлений пакет здачі за цим workflow.</x:v>
      </x:c>
      <x:c r="Z660" s="15" t="str">
        <x:v>https://prozorro.gov.ua/tender/UA-2026-05-12-005333-a</x:v>
      </x:c>
      <x:c r="AA660" s="14" t="str">
        <x:v>3478613245</x:v>
      </x:c>
      <x:c r="AB660" s="14" t="str">
        <x:v>2026-08-24</x:v>
      </x:c>
      <x:c r="AC660" s="14" t="str"/>
      <x:c r="AD660" s="20" t="str"/>
      <x:c r="AE660" s="14" t="str"/>
      <x:c r="AF660" s="14" t="n">
        <x:v>43</x:v>
      </x:c>
      <x:c r="AG660" s="14" t="str">
        <x:v>I3</x:v>
      </x:c>
      <x:c r="AH660" s="14" t="n">
        <x:v>1</x:v>
      </x:c>
      <x:c r="AI660" s="14" t="n">
        <x:v>1</x:v>
      </x:c>
      <x:c r="AJ660" s="18" t="n">
        <x:v>74300</x:v>
      </x:c>
      <x:c r="AK660" s="14" t="str">
        <x:v>https://prozorro.gov.ua/tender/UA-2026-05-12-005333-a</x:v>
      </x:c>
      <x:c r="AL660" s="19" t="n">
        <x:v>46154.36841935185</x:v>
      </x:c>
      <x:c r="AM660" s="19" t="n">
        <x:v>46387.40935185185</x:v>
      </x:c>
      <x:c r="AN660" s="15" t="str">
        <x:v>HVAC / ОВіК</x:v>
      </x:c>
      <x:c r="AO660" s="15" t="str">
        <x:v>not_found_in_top_search</x:v>
      </x:c>
    </x:row>
    <x:row r="661">
      <x:c r="A661" s="14" t="str">
        <x:v>W3-389</x:v>
      </x:c>
      <x:c r="B661" s="14" t="str">
        <x:v>Prozorro winners — 24.08</x:v>
      </x:c>
      <x:c r="C661" s="14" t="str">
        <x:v>ДАНИЛЮК ВОЛОДИМИР ВАСИЛЬОВИЧ</x:v>
      </x:c>
      <x:c r="D661" s="14" t="str">
        <x:v>HVAC / ОВіК</x:v>
      </x:c>
      <x:c r="E661" s="14" t="str">
        <x:v>Pilot now</x:v>
      </x:c>
      <x:c r="F661" s="17" t="str">
        <x:v>P3</x:v>
      </x:c>
      <x:c r="G661" s="14" t="str"/>
      <x:c r="H661" s="14" t="str">
        <x:v>Пілот зараз — Н.14</x:v>
      </x:c>
      <x:c r="I661" s="16" t="n">
        <x:v>5</x:v>
      </x:c>
      <x:c r="J661" s="16" t="n">
        <x:v>5</x:v>
      </x:c>
      <x:c r="K661" s="16" t="n">
        <x:v>5</x:v>
      </x:c>
      <x:c r="L661" s="16" t="n">
        <x:v>1</x:v>
      </x:c>
      <x:c r="M661" s="16" t="n">
        <x:v>5</x:v>
      </x:c>
      <x:c r="N661" s="16" t="n">
        <x:v>3</x:v>
      </x:c>
      <x:c r="O661" s="16" t="n">
        <x:v>5</x:v>
      </x:c>
      <x:c r="P661" s="16" t="n">
        <x:f>IF(COUNT(I661:O661)&lt;7,"",I661*8+J661*3+K661*2+L661*2+M661*2+N661*2+O661)</x:f>
        <x:v>88</x:v>
      </x:c>
      <x:c r="Q661" s="16" t="n">
        <x:f>IF(COUNT(J661:O661)&lt;6,"",J661*5+K661*4+M661*4+L661*3+N661*2+O661*2)</x:f>
        <x:v>84</x:v>
      </x:c>
      <x:c r="R661" s="14" t="str">
        <x:v>high</x:v>
      </x:c>
      <x:c r="S661" s="14" t="str">
        <x:v>official_prozorro_award_2025_2026</x:v>
      </x:c>
      <x:c r="T661" s="14" t="str">
        <x:v>official_prozorro_api</x:v>
      </x:c>
      <x:c r="U661" s="14" t="str">
        <x:v>Не контактували</x:v>
      </x:c>
      <x:c r="V661" s="15" t="str">
        <x:v>Персоналізований free-pilot outreach по UA-2026-05-13-001714-a; попросити 1 пакет Н.14/Н.15</x:v>
      </x:c>
      <x:c r="W661" s="15" t="str">
        <x:v>Власник / виконавець; відповідальний за договір</x:v>
      </x:c>
      <x:c r="X661" s="15" t="str">
        <x:v>1 підтверджених перемог/договорів у Prozorro на 72 248 грн; 1 проєктів зі строком виконання не раніше 24.08.2026.</x:v>
      </x:c>
      <x:c r="Y661" s="15" t="str">
        <x:v>Послуга з монтажу системи опалення теплиці; строк до 2026-12-31. Попросити один знеособлений пакет здачі за цим workflow.</x:v>
      </x:c>
      <x:c r="Z661" s="15" t="str">
        <x:v>https://prozorro.gov.ua/tender/UA-2026-05-13-001714-a</x:v>
      </x:c>
      <x:c r="AA661" s="14" t="str">
        <x:v>3025618591</x:v>
      </x:c>
      <x:c r="AB661" s="14" t="str">
        <x:v>2026-08-24</x:v>
      </x:c>
      <x:c r="AC661" s="14" t="str"/>
      <x:c r="AD661" s="20" t="str"/>
      <x:c r="AE661" s="14" t="str"/>
      <x:c r="AF661" s="14" t="n">
        <x:v>43</x:v>
      </x:c>
      <x:c r="AG661" s="14" t="str">
        <x:v>I3</x:v>
      </x:c>
      <x:c r="AH661" s="14" t="n">
        <x:v>1</x:v>
      </x:c>
      <x:c r="AI661" s="14" t="n">
        <x:v>1</x:v>
      </x:c>
      <x:c r="AJ661" s="18" t="n">
        <x:v>72248</x:v>
      </x:c>
      <x:c r="AK661" s="14" t="str">
        <x:v>https://prozorro.gov.ua/tender/UA-2026-05-13-001714-a</x:v>
      </x:c>
      <x:c r="AL661" s="19" t="n">
        <x:v>46155.29248162037</x:v>
      </x:c>
      <x:c r="AM661" s="19" t="n">
        <x:v>46387</x:v>
      </x:c>
      <x:c r="AN661" s="15" t="str">
        <x:v>HVAC / ОВіК</x:v>
      </x:c>
      <x:c r="AO661" s="15" t="str">
        <x:v>not_found_in_top_search</x:v>
      </x:c>
    </x:row>
    <x:row r="662">
      <x:c r="A662" s="14" t="str">
        <x:v>W3-390</x:v>
      </x:c>
      <x:c r="B662" s="14" t="str">
        <x:v>Prozorro winners — 24.08</x:v>
      </x:c>
      <x:c r="C662" s="14" t="str">
        <x:v>ФОП "Іваненко Я.О."</x:v>
      </x:c>
      <x:c r="D662" s="14" t="str">
        <x:v>Мости / інфраструктура</x:v>
      </x:c>
      <x:c r="E662" s="14" t="str">
        <x:v>Expansion discovery</x:v>
      </x:c>
      <x:c r="F662" s="17" t="str">
        <x:v>D3</x:v>
      </x:c>
      <x:c r="G662" s="14" t="str"/>
      <x:c r="H662" s="14" t="str">
        <x:v>Discovery розширення — 2 тижні</x:v>
      </x:c>
      <x:c r="I662" s="16" t="n">
        <x:v>1</x:v>
      </x:c>
      <x:c r="J662" s="16" t="n">
        <x:v>5</x:v>
      </x:c>
      <x:c r="K662" s="16" t="n">
        <x:v>4</x:v>
      </x:c>
      <x:c r="L662" s="16" t="n">
        <x:v>1</x:v>
      </x:c>
      <x:c r="M662" s="16" t="n">
        <x:v>5</x:v>
      </x:c>
      <x:c r="N662" s="16" t="n">
        <x:v>3</x:v>
      </x:c>
      <x:c r="O662" s="16" t="n">
        <x:v>5</x:v>
      </x:c>
      <x:c r="P662" s="16" t="n">
        <x:f>IF(COUNT(I662:O662)&lt;7,"",I662*8+J662*3+K662*2+L662*2+M662*2+N662*2+O662)</x:f>
        <x:v>54</x:v>
      </x:c>
      <x:c r="Q662" s="16" t="n">
        <x:f>IF(COUNT(J662:O662)&lt;6,"",J662*5+K662*4+M662*4+L662*3+N662*2+O662*2)</x:f>
        <x:v>80</x:v>
      </x:c>
      <x:c r="R662" s="14" t="str">
        <x:v>high</x:v>
      </x:c>
      <x:c r="S662" s="14" t="str">
        <x:v>official_prozorro_award_2025_2026</x:v>
      </x:c>
      <x:c r="T662" s="14" t="str">
        <x:v>official_prozorro_api</x:v>
      </x:c>
      <x:c r="U662" s="14" t="str">
        <x:v>Не контактували</x:v>
      </x:c>
      <x:c r="V662" s="15" t="str">
        <x:v>Workflow-audit outreach по UA-2026-06-17-011922-a; попросити 1 пакет здачі та вимоги проєкту</x:v>
      </x:c>
      <x:c r="W662" s="15" t="str">
        <x:v>Власник / виконавець; відповідальний за договір</x:v>
      </x:c>
      <x:c r="X662" s="15" t="str">
        <x:v>1 підтверджених перемог/договорів у Prozorro на 69 840 грн; 1 проєктів зі строком виконання не раніше 24.08.2026.</x:v>
      </x:c>
      <x:c r="Y662" s="15" t="str">
        <x:v>Запчастини для ремонту автомобіля ЗІЛ ММЗ(редуктор заднього моста, ресора задня(16 листів)); строк до 2026-12-31. Попросити один знеособлений пакет здачі за цим workflow.</x:v>
      </x:c>
      <x:c r="Z662" s="15" t="str">
        <x:v>https://prozorro.gov.ua/tender/UA-2026-06-17-011922-a</x:v>
      </x:c>
      <x:c r="AA662" s="14" t="str">
        <x:v>3031114075</x:v>
      </x:c>
      <x:c r="AB662" s="14" t="str">
        <x:v>2026-08-24</x:v>
      </x:c>
      <x:c r="AC662" s="14" t="str"/>
      <x:c r="AD662" s="20" t="str"/>
      <x:c r="AE662" s="14" t="str"/>
      <x:c r="AF662" s="14" t="n">
        <x:v>43</x:v>
      </x:c>
      <x:c r="AG662" s="14" t="str">
        <x:v>I3</x:v>
      </x:c>
      <x:c r="AH662" s="14" t="n">
        <x:v>1</x:v>
      </x:c>
      <x:c r="AI662" s="14" t="n">
        <x:v>1</x:v>
      </x:c>
      <x:c r="AJ662" s="18" t="n">
        <x:v>69840</x:v>
      </x:c>
      <x:c r="AK662" s="14" t="str">
        <x:v>https://prozorro.gov.ua/tender/UA-2026-06-17-011922-a</x:v>
      </x:c>
      <x:c r="AL662" s="19" t="n">
        <x:v>46190.54853583333</x:v>
      </x:c>
      <x:c r="AM662" s="19" t="n">
        <x:v>46387</x:v>
      </x:c>
      <x:c r="AN662" s="15" t="str">
        <x:v>Мости / інфраструктура</x:v>
      </x:c>
      <x:c r="AO662" s="15" t="str">
        <x:v>not_found_in_top_search</x:v>
      </x:c>
    </x:row>
    <x:row r="663">
      <x:c r="A663" s="14" t="str">
        <x:v>W3-391</x:v>
      </x:c>
      <x:c r="B663" s="14" t="str">
        <x:v>Prozorro winners — 24.08</x:v>
      </x:c>
      <x:c r="C663" s="14" t="str">
        <x:v>Гейне-Голованова Юлія Володимирівна</x:v>
      </x:c>
      <x:c r="D663" s="14" t="str">
        <x:v>Пожежогасіння</x:v>
      </x:c>
      <x:c r="E663" s="14" t="str">
        <x:v>Expansion discovery</x:v>
      </x:c>
      <x:c r="F663" s="17" t="str">
        <x:v>D3</x:v>
      </x:c>
      <x:c r="G663" s="14" t="str"/>
      <x:c r="H663" s="14" t="str">
        <x:v>Discovery розширення — 2 тижні</x:v>
      </x:c>
      <x:c r="I663" s="16" t="n">
        <x:v>1</x:v>
      </x:c>
      <x:c r="J663" s="16" t="n">
        <x:v>5</x:v>
      </x:c>
      <x:c r="K663" s="16" t="n">
        <x:v>4</x:v>
      </x:c>
      <x:c r="L663" s="16" t="n">
        <x:v>1</x:v>
      </x:c>
      <x:c r="M663" s="16" t="n">
        <x:v>5</x:v>
      </x:c>
      <x:c r="N663" s="16" t="n">
        <x:v>3</x:v>
      </x:c>
      <x:c r="O663" s="16" t="n">
        <x:v>5</x:v>
      </x:c>
      <x:c r="P663" s="16" t="n">
        <x:f>IF(COUNT(I663:O663)&lt;7,"",I663*8+J663*3+K663*2+L663*2+M663*2+N663*2+O663)</x:f>
        <x:v>54</x:v>
      </x:c>
      <x:c r="Q663" s="16" t="n">
        <x:f>IF(COUNT(J663:O663)&lt;6,"",J663*5+K663*4+M663*4+L663*3+N663*2+O663*2)</x:f>
        <x:v>80</x:v>
      </x:c>
      <x:c r="R663" s="14" t="str">
        <x:v>high</x:v>
      </x:c>
      <x:c r="S663" s="14" t="str">
        <x:v>official_prozorro_award_2025_2026</x:v>
      </x:c>
      <x:c r="T663" s="14" t="str">
        <x:v>official_prozorro_api</x:v>
      </x:c>
      <x:c r="U663" s="14" t="str">
        <x:v>Не контактували</x:v>
      </x:c>
      <x:c r="V663" s="15" t="str">
        <x:v>Повторне звернення з новим тендерним сигналом UA-2025-12-29-001097-a; попросити 1 пакет здачі</x:v>
      </x:c>
      <x:c r="W663" s="15" t="str">
        <x:v>Власник / виконавець; відповідальний за договір</x:v>
      </x:c>
      <x:c r="X663" s="15" t="str">
        <x:v>1 підтверджених перемог/договорів у Prozorro на 62 949 грн; 1 проєктів зі строком виконання не раніше 24.08.2026.</x:v>
      </x:c>
      <x:c r="Y663" s="15" t="str">
        <x:v>Монтаж системи пожежної сигналізації, системи оповіщення про пожежу та системи централізованого пожежного спостереження в Комунальній установі " Корнинський заклад позашкільної освіти " Талант" Корнинської селищної ради; строк до 2026-12-31. Попросити один знеособлений пакет здачі за цим workflow.</x:v>
      </x:c>
      <x:c r="Z663" s="15" t="str">
        <x:v>https://prozorro.gov.ua/tender/UA-2026-06-25-000434-a</x:v>
      </x:c>
      <x:c r="AA663" s="14" t="str">
        <x:v>3194207541</x:v>
      </x:c>
      <x:c r="AB663" s="14" t="str">
        <x:v>2026-08-24</x:v>
      </x:c>
      <x:c r="AC663" s="14" t="str"/>
      <x:c r="AD663" s="20" t="str"/>
      <x:c r="AE663" s="14" t="str"/>
      <x:c r="AF663" s="14" t="n">
        <x:v>43</x:v>
      </x:c>
      <x:c r="AG663" s="14" t="str">
        <x:v>I3</x:v>
      </x:c>
      <x:c r="AH663" s="14" t="n">
        <x:v>2</x:v>
      </x:c>
      <x:c r="AI663" s="14" t="n">
        <x:v>1</x:v>
      </x:c>
      <x:c r="AJ663" s="18" t="n">
        <x:v>112948.66</x:v>
      </x:c>
      <x:c r="AK663" s="14" t="str">
        <x:v>https://prozorro.gov.ua/tender/UA-2025-12-29-001097-a</x:v>
      </x:c>
      <x:c r="AL663" s="19" t="n">
        <x:v>46020.32758694445</x:v>
      </x:c>
      <x:c r="AM663" s="19" t="n">
        <x:v>46022.916666655095</x:v>
      </x:c>
      <x:c r="AN663" s="15" t="str">
        <x:v>Пожежогасіння</x:v>
      </x:c>
      <x:c r="AO663" s="15" t="str">
        <x:v>not_found_in_top_search</x:v>
      </x:c>
    </x:row>
    <x:row r="664">
      <x:c r="A664" s="14" t="str">
        <x:v>W3-392</x:v>
      </x:c>
      <x:c r="B664" s="14" t="str">
        <x:v>Prozorro winners — 24.08</x:v>
      </x:c>
      <x:c r="C664" s="14" t="str">
        <x:v>МАРЗАН ВАЛЕРІЙ ПЕТРОВИЧ</x:v>
      </x:c>
      <x:c r="D664" s="14" t="str">
        <x:v>Промисловий холод</x:v>
      </x:c>
      <x:c r="E664" s="14" t="str">
        <x:v>Expansion discovery</x:v>
      </x:c>
      <x:c r="F664" s="17" t="str">
        <x:v>D3</x:v>
      </x:c>
      <x:c r="G664" s="14" t="str"/>
      <x:c r="H664" s="14" t="str">
        <x:v>Discovery розширення — 2 тижні</x:v>
      </x:c>
      <x:c r="I664" s="16" t="n">
        <x:v>1</x:v>
      </x:c>
      <x:c r="J664" s="16" t="n">
        <x:v>5</x:v>
      </x:c>
      <x:c r="K664" s="16" t="n">
        <x:v>4</x:v>
      </x:c>
      <x:c r="L664" s="16" t="n">
        <x:v>1</x:v>
      </x:c>
      <x:c r="M664" s="16" t="n">
        <x:v>5</x:v>
      </x:c>
      <x:c r="N664" s="16" t="n">
        <x:v>3</x:v>
      </x:c>
      <x:c r="O664" s="16" t="n">
        <x:v>5</x:v>
      </x:c>
      <x:c r="P664" s="16" t="n">
        <x:f>IF(COUNT(I664:O664)&lt;7,"",I664*8+J664*3+K664*2+L664*2+M664*2+N664*2+O664)</x:f>
        <x:v>54</x:v>
      </x:c>
      <x:c r="Q664" s="16" t="n">
        <x:f>IF(COUNT(J664:O664)&lt;6,"",J664*5+K664*4+M664*4+L664*3+N664*2+O664*2)</x:f>
        <x:v>80</x:v>
      </x:c>
      <x:c r="R664" s="14" t="str">
        <x:v>high</x:v>
      </x:c>
      <x:c r="S664" s="14" t="str">
        <x:v>official_prozorro_award_2025_2026</x:v>
      </x:c>
      <x:c r="T664" s="14" t="str">
        <x:v>official_prozorro_api</x:v>
      </x:c>
      <x:c r="U664" s="14" t="str">
        <x:v>Не контактували</x:v>
      </x:c>
      <x:c r="V664" s="15" t="str">
        <x:v>Workflow-audit outreach по UA-2026-07-06-008444-a; попросити 1 пакет здачі та вимоги проєкту</x:v>
      </x:c>
      <x:c r="W664" s="15" t="str">
        <x:v>Власник / виконавець; відповідальний за договір</x:v>
      </x:c>
      <x:c r="X664" s="15" t="str">
        <x:v>1 підтверджених перемог/договорів у Prozorro на 60 000 грн; 1 проєктів зі строком виконання не раніше 24.08.2026.</x:v>
      </x:c>
      <x:c r="Y664" s="15" t="str">
        <x:v>Кондиціонер Osaka STV-18 HH з монтажем за ДК 021:2015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664" s="15" t="str">
        <x:v>https://prozorro.gov.ua/tender/UA-2026-07-06-008444-a</x:v>
      </x:c>
      <x:c r="AA664" s="14" t="str">
        <x:v>2218713259</x:v>
      </x:c>
      <x:c r="AB664" s="14" t="str">
        <x:v>2026-08-24</x:v>
      </x:c>
      <x:c r="AC664" s="14" t="str"/>
      <x:c r="AD664" s="20" t="str"/>
      <x:c r="AE664" s="14" t="str"/>
      <x:c r="AF664" s="14" t="n">
        <x:v>43</x:v>
      </x:c>
      <x:c r="AG664" s="14" t="str">
        <x:v>I3</x:v>
      </x:c>
      <x:c r="AH664" s="14" t="n">
        <x:v>1</x:v>
      </x:c>
      <x:c r="AI664" s="14" t="n">
        <x:v>1</x:v>
      </x:c>
      <x:c r="AJ664" s="18" t="n">
        <x:v>60000</x:v>
      </x:c>
      <x:c r="AK664" s="14" t="str">
        <x:v>https://prozorro.gov.ua/tender/UA-2026-07-06-008444-a</x:v>
      </x:c>
      <x:c r="AL664" s="19" t="n">
        <x:v>46209.536425659724</x:v>
      </x:c>
      <x:c r="AM664" s="19" t="n">
        <x:v>46387</x:v>
      </x:c>
      <x:c r="AN664" s="15" t="str">
        <x:v>Промисловий холод</x:v>
      </x:c>
      <x:c r="AO664" s="15" t="str">
        <x:v>not_found_in_top_search</x:v>
      </x:c>
    </x:row>
    <x:row r="665">
      <x:c r="A665" s="14" t="str">
        <x:v>W3-393</x:v>
      </x:c>
      <x:c r="B665" s="14" t="str">
        <x:v>Prozorro winners — 24.08</x:v>
      </x:c>
      <x:c r="C665" s="14" t="str">
        <x:v>ВАЩЕНКО ВОЛОДИМИР ІВАНОВИЧ</x:v>
      </x:c>
      <x:c r="D665" s="14" t="str">
        <x:v>HVAC / ОВіК</x:v>
      </x:c>
      <x:c r="E665" s="14" t="str">
        <x:v>Pilot now</x:v>
      </x:c>
      <x:c r="F665" s="17" t="str">
        <x:v>P3</x:v>
      </x:c>
      <x:c r="G665" s="14" t="str"/>
      <x:c r="H665" s="14" t="str">
        <x:v>Пілот зараз — Н.14</x:v>
      </x:c>
      <x:c r="I665" s="16" t="n">
        <x:v>5</x:v>
      </x:c>
      <x:c r="J665" s="16" t="n">
        <x:v>5</x:v>
      </x:c>
      <x:c r="K665" s="16" t="n">
        <x:v>5</x:v>
      </x:c>
      <x:c r="L665" s="16" t="n">
        <x:v>1</x:v>
      </x:c>
      <x:c r="M665" s="16" t="n">
        <x:v>5</x:v>
      </x:c>
      <x:c r="N665" s="16" t="n">
        <x:v>3</x:v>
      </x:c>
      <x:c r="O665" s="16" t="n">
        <x:v>5</x:v>
      </x:c>
      <x:c r="P665" s="16" t="n">
        <x:f>IF(COUNT(I665:O665)&lt;7,"",I665*8+J665*3+K665*2+L665*2+M665*2+N665*2+O665)</x:f>
        <x:v>88</x:v>
      </x:c>
      <x:c r="Q665" s="16" t="n">
        <x:f>IF(COUNT(J665:O665)&lt;6,"",J665*5+K665*4+M665*4+L665*3+N665*2+O665*2)</x:f>
        <x:v>84</x:v>
      </x:c>
      <x:c r="R665" s="14" t="str">
        <x:v>high</x:v>
      </x:c>
      <x:c r="S665" s="14" t="str">
        <x:v>official_prozorro_award_2025_2026</x:v>
      </x:c>
      <x:c r="T665" s="14" t="str">
        <x:v>official_prozorro_api</x:v>
      </x:c>
      <x:c r="U665" s="14" t="str">
        <x:v>Не контактували</x:v>
      </x:c>
      <x:c r="V665" s="15" t="str">
        <x:v>Персоналізований free-pilot outreach по UA-2026-07-08-003640-a; попросити 1 пакет Н.14/Н.15</x:v>
      </x:c>
      <x:c r="W665" s="15" t="str">
        <x:v>Власник / виконавець; відповідальний за договір</x:v>
      </x:c>
      <x:c r="X665" s="15" t="str">
        <x:v>1 підтверджених перемог/договорів у Prozorro на 59 660 грн; 1 проєктів зі строком виконання не раніше 24.08.2026.</x:v>
      </x:c>
      <x:c r="Y665"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 строк до 2026-12-31. Попросити один знеособлений пакет здачі за цим workflow.</x:v>
      </x:c>
      <x:c r="Z665" s="15" t="str">
        <x:v>https://prozorro.gov.ua/tender/UA-2026-07-08-003640-a</x:v>
      </x:c>
      <x:c r="AA665" s="14" t="str">
        <x:v>2730510078</x:v>
      </x:c>
      <x:c r="AB665" s="14" t="str">
        <x:v>2026-08-24</x:v>
      </x:c>
      <x:c r="AC665" s="14" t="str"/>
      <x:c r="AD665" s="20" t="str"/>
      <x:c r="AE665" s="14" t="str"/>
      <x:c r="AF665" s="14" t="n">
        <x:v>43</x:v>
      </x:c>
      <x:c r="AG665" s="14" t="str">
        <x:v>I3</x:v>
      </x:c>
      <x:c r="AH665" s="14" t="n">
        <x:v>1</x:v>
      </x:c>
      <x:c r="AI665" s="14" t="n">
        <x:v>1</x:v>
      </x:c>
      <x:c r="AJ665" s="18" t="n">
        <x:v>59660</x:v>
      </x:c>
      <x:c r="AK665" s="14" t="str">
        <x:v>https://prozorro.gov.ua/tender/UA-2026-07-08-003640-a</x:v>
      </x:c>
      <x:c r="AL665" s="19" t="n">
        <x:v>46211.353690625</x:v>
      </x:c>
      <x:c r="AM665" s="19" t="n">
        <x:v>46387</x:v>
      </x:c>
      <x:c r="AN665" s="15" t="str">
        <x:v>HVAC / ОВіК</x:v>
      </x:c>
      <x:c r="AO665" s="15" t="str">
        <x:v>not_found_in_top_search</x:v>
      </x:c>
    </x:row>
    <x:row r="666">
      <x:c r="A666" s="14" t="str">
        <x:v>W3-394</x:v>
      </x:c>
      <x:c r="B666" s="14" t="str">
        <x:v>Prozorro winners — 24.08</x:v>
      </x:c>
      <x:c r="C666" s="14" t="str">
        <x:v>ФОП Поронюк Ольга Ігорівна</x:v>
      </x:c>
      <x:c r="D666" s="14" t="str">
        <x:v>Безпека / СКУД / CCTV</x:v>
      </x:c>
      <x:c r="E666" s="14" t="str">
        <x:v>Expansion discovery</x:v>
      </x:c>
      <x:c r="F666" s="17" t="str">
        <x:v>D3</x:v>
      </x:c>
      <x:c r="G666" s="14" t="str"/>
      <x:c r="H666" s="14" t="str">
        <x:v>Discovery розширення — 2 тижні</x:v>
      </x:c>
      <x:c r="I666" s="16" t="n">
        <x:v>1</x:v>
      </x:c>
      <x:c r="J666" s="16" t="n">
        <x:v>5</x:v>
      </x:c>
      <x:c r="K666" s="16" t="n">
        <x:v>4</x:v>
      </x:c>
      <x:c r="L666" s="16" t="n">
        <x:v>1</x:v>
      </x:c>
      <x:c r="M666" s="16" t="n">
        <x:v>5</x:v>
      </x:c>
      <x:c r="N666" s="16" t="n">
        <x:v>3</x:v>
      </x:c>
      <x:c r="O666" s="16" t="n">
        <x:v>5</x:v>
      </x:c>
      <x:c r="P666" s="16" t="n">
        <x:f>IF(COUNT(I666:O666)&lt;7,"",I666*8+J666*3+K666*2+L666*2+M666*2+N666*2+O666)</x:f>
        <x:v>54</x:v>
      </x:c>
      <x:c r="Q666" s="16" t="n">
        <x:f>IF(COUNT(J666:O666)&lt;6,"",J666*5+K666*4+M666*4+L666*3+N666*2+O666*2)</x:f>
        <x:v>80</x:v>
      </x:c>
      <x:c r="R666" s="14" t="str">
        <x:v>high</x:v>
      </x:c>
      <x:c r="S666" s="14" t="str">
        <x:v>official_prozorro_award_2025_2026</x:v>
      </x:c>
      <x:c r="T666" s="14" t="str">
        <x:v>official_prozorro_api</x:v>
      </x:c>
      <x:c r="U666" s="14" t="str">
        <x:v>Не контактували</x:v>
      </x:c>
      <x:c r="V666" s="15" t="str">
        <x:v>Workflow-audit outreach по UA-2026-06-29-005630-a; попросити 1 пакет здачі та вимоги проєкту</x:v>
      </x:c>
      <x:c r="W666" s="15" t="str">
        <x:v>Власник / виконавець; відповідальний за договір</x:v>
      </x:c>
      <x:c r="X666" s="15" t="str">
        <x:v>1 підтверджених перемог/договорів у Prozorro на 53 901 грн; 1 проєктів зі строком виконання не раніше 24.08.2026.</x:v>
      </x:c>
      <x:c r="Y666" s="15" t="str">
        <x:v>Послуги з монтажу та установки системи відеоспостереження; строк до 2026-08-31. Попросити один знеособлений пакет здачі за цим workflow.</x:v>
      </x:c>
      <x:c r="Z666" s="15" t="str">
        <x:v>https://prozorro.gov.ua/tender/UA-2026-06-29-005630-a</x:v>
      </x:c>
      <x:c r="AA666" s="14" t="str">
        <x:v>3261604001</x:v>
      </x:c>
      <x:c r="AB666" s="14" t="str">
        <x:v>2026-08-24</x:v>
      </x:c>
      <x:c r="AC666" s="14" t="str"/>
      <x:c r="AD666" s="20" t="str"/>
      <x:c r="AE666" s="14" t="str"/>
      <x:c r="AF666" s="14" t="n">
        <x:v>43</x:v>
      </x:c>
      <x:c r="AG666" s="14" t="str">
        <x:v>I3</x:v>
      </x:c>
      <x:c r="AH666" s="14" t="n">
        <x:v>1</x:v>
      </x:c>
      <x:c r="AI666" s="14" t="n">
        <x:v>1</x:v>
      </x:c>
      <x:c r="AJ666" s="18" t="n">
        <x:v>53901</x:v>
      </x:c>
      <x:c r="AK666" s="14" t="str">
        <x:v>https://prozorro.gov.ua/tender/UA-2026-06-29-005630-a</x:v>
      </x:c>
      <x:c r="AL666" s="19" t="n">
        <x:v>46202.44037795139</x:v>
      </x:c>
      <x:c r="AM666" s="19" t="n">
        <x:v>46265.44179398148</x:v>
      </x:c>
      <x:c r="AN666" s="15" t="str">
        <x:v>Безпека / СКУД / CCTV</x:v>
      </x:c>
      <x:c r="AO666" s="15" t="str">
        <x:v>not_found_in_top_search</x:v>
      </x:c>
    </x:row>
    <x:row r="667">
      <x:c r="A667" s="14" t="str">
        <x:v>W3-395</x:v>
      </x:c>
      <x:c r="B667" s="14" t="str">
        <x:v>Prozorro winners — 24.08</x:v>
      </x:c>
      <x:c r="C667" s="14" t="str">
        <x:v>ТОВ "БМП "Електросервіс"</x:v>
      </x:c>
      <x:c r="D667" s="14" t="str">
        <x:v>Електромонтаж</x:v>
      </x:c>
      <x:c r="E667" s="14" t="str">
        <x:v>Pilot now</x:v>
      </x:c>
      <x:c r="F667" s="17" t="str">
        <x:v>P3</x:v>
      </x:c>
      <x:c r="G667" s="14" t="str"/>
      <x:c r="H667" s="14" t="str">
        <x:v>Пілот зараз — Н.15</x:v>
      </x:c>
      <x:c r="I667" s="16" t="n">
        <x:v>5</x:v>
      </x:c>
      <x:c r="J667" s="16" t="n">
        <x:v>5</x:v>
      </x:c>
      <x:c r="K667" s="16" t="n">
        <x:v>5</x:v>
      </x:c>
      <x:c r="L667" s="16" t="n">
        <x:v>1</x:v>
      </x:c>
      <x:c r="M667" s="16" t="n">
        <x:v>5</x:v>
      </x:c>
      <x:c r="N667" s="16" t="n">
        <x:v>5</x:v>
      </x:c>
      <x:c r="O667" s="16" t="n">
        <x:v>5</x:v>
      </x:c>
      <x:c r="P667" s="16" t="n">
        <x:f>IF(COUNT(I667:O667)&lt;7,"",I667*8+J667*3+K667*2+L667*2+M667*2+N667*2+O667)</x:f>
        <x:v>92</x:v>
      </x:c>
      <x:c r="Q667" s="16" t="n">
        <x:f>IF(COUNT(J667:O667)&lt;6,"",J667*5+K667*4+M667*4+L667*3+N667*2+O667*2)</x:f>
        <x:v>88</x:v>
      </x:c>
      <x:c r="R667" s="14" t="str">
        <x:v>high</x:v>
      </x:c>
      <x:c r="S667" s="14" t="str">
        <x:v>official_prozorro_award_2025_2026</x:v>
      </x:c>
      <x:c r="T667" s="14" t="str">
        <x:v>official_prozorro_api</x:v>
      </x:c>
      <x:c r="U667" s="14" t="str">
        <x:v>Не контактували</x:v>
      </x:c>
      <x:c r="V667" s="15" t="str">
        <x:v>Персоналізований free-pilot outreach по UA-2026-03-26-000308-a; попросити 1 пакет Н.14/Н.15</x:v>
      </x:c>
      <x:c r="W667" s="15" t="str">
        <x:v>Власник / директор; керівник ПТО; відповідальний за договори</x:v>
      </x:c>
      <x:c r="X667" s="15" t="str">
        <x:v>2 підтверджених перемог/договорів у Prozorro на 50 809 грн; 1 проєктів зі строком виконання не раніше 24.08.2026.</x:v>
      </x:c>
      <x:c r="Y667" s="15" t="str">
        <x:v>Електровимірювальні роботи перехідного опору, опору ізоляції, петлі "фаза-нуль", контурів заземлення; строк до 2026-12-31. Попросити один знеособлений пакет здачі за цим workflow.</x:v>
      </x:c>
      <x:c r="Z667" s="15" t="str">
        <x:v>https://prozorro.gov.ua/tender/UA-2026-03-26-000308-a</x:v>
      </x:c>
      <x:c r="AA667" s="14" t="str">
        <x:v>42485094</x:v>
      </x:c>
      <x:c r="AB667" s="14" t="str">
        <x:v>2026-08-24</x:v>
      </x:c>
      <x:c r="AC667" s="14" t="str"/>
      <x:c r="AD667" s="20" t="str"/>
      <x:c r="AE667" s="14" t="str"/>
      <x:c r="AF667" s="14" t="n">
        <x:v>43</x:v>
      </x:c>
      <x:c r="AG667" s="14" t="str">
        <x:v>I3</x:v>
      </x:c>
      <x:c r="AH667" s="14" t="n">
        <x:v>2</x:v>
      </x:c>
      <x:c r="AI667" s="14" t="n">
        <x:v>1</x:v>
      </x:c>
      <x:c r="AJ667" s="18" t="n">
        <x:v>50808.8</x:v>
      </x:c>
      <x:c r="AK667" s="14" t="str">
        <x:v>https://prozorro.gov.ua/tender/UA-2026-03-26-000308-a</x:v>
      </x:c>
      <x:c r="AL667" s="19" t="n">
        <x:v>46107.27188730324</x:v>
      </x:c>
      <x:c r="AM667" s="19" t="n">
        <x:v>46387.27075231481</x:v>
      </x:c>
      <x:c r="AN667" s="15" t="str">
        <x:v>Електромонтаж</x:v>
      </x:c>
      <x:c r="AO667" s="15" t="str">
        <x:v>not_found_in_top_search</x:v>
      </x:c>
    </x:row>
    <x:row r="668">
      <x:c r="A668" s="14" t="str">
        <x:v>W3-396</x:v>
      </x:c>
      <x:c r="B668" s="14" t="str">
        <x:v>Prozorro winners — 24.08</x:v>
      </x:c>
      <x:c r="C668" s="14" t="str">
        <x:v>ФОП Ващенко Олег В'ячеславович</x:v>
      </x:c>
      <x:c r="D668" s="14" t="str">
        <x:v>HVAC / ОВіК</x:v>
      </x:c>
      <x:c r="E668" s="14" t="str">
        <x:v>Pilot now</x:v>
      </x:c>
      <x:c r="F668" s="17" t="str">
        <x:v>P3</x:v>
      </x:c>
      <x:c r="G668" s="14" t="str"/>
      <x:c r="H668" s="14" t="str">
        <x:v>Пілот зараз — Н.14</x:v>
      </x:c>
      <x:c r="I668" s="16" t="n">
        <x:v>5</x:v>
      </x:c>
      <x:c r="J668" s="16" t="n">
        <x:v>5</x:v>
      </x:c>
      <x:c r="K668" s="16" t="n">
        <x:v>5</x:v>
      </x:c>
      <x:c r="L668" s="16" t="n">
        <x:v>1</x:v>
      </x:c>
      <x:c r="M668" s="16" t="n">
        <x:v>5</x:v>
      </x:c>
      <x:c r="N668" s="16" t="n">
        <x:v>3</x:v>
      </x:c>
      <x:c r="O668" s="16" t="n">
        <x:v>5</x:v>
      </x:c>
      <x:c r="P668" s="16" t="n">
        <x:f>IF(COUNT(I668:O668)&lt;7,"",I668*8+J668*3+K668*2+L668*2+M668*2+N668*2+O668)</x:f>
        <x:v>88</x:v>
      </x:c>
      <x:c r="Q668" s="16" t="n">
        <x:f>IF(COUNT(J668:O668)&lt;6,"",J668*5+K668*4+M668*4+L668*3+N668*2+O668*2)</x:f>
        <x:v>84</x:v>
      </x:c>
      <x:c r="R668" s="14" t="str">
        <x:v>high</x:v>
      </x:c>
      <x:c r="S668" s="14" t="str">
        <x:v>official_prozorro_award_2025_2026</x:v>
      </x:c>
      <x:c r="T668" s="14" t="str">
        <x:v>official_prozorro_api</x:v>
      </x:c>
      <x:c r="U668" s="14" t="str">
        <x:v>Не контактували</x:v>
      </x:c>
      <x:c r="V668" s="15" t="str">
        <x:v>Персоналізований free-pilot outreach по UA-2026-06-24-002311-a; попросити 1 пакет Н.14/Н.15</x:v>
      </x:c>
      <x:c r="W668" s="15" t="str">
        <x:v>Власник / виконавець; відповідальний за договір</x:v>
      </x:c>
      <x:c r="X668" s="15" t="str">
        <x:v>1 підтверджених перемог/договорів у Prozorro на 49 294 грн; 1 проєктів зі строком виконання не раніше 24.08.2026.</x:v>
      </x:c>
      <x:c r="Y668" s="15" t="str">
        <x:v>Додаткове обладнання для безпосереднього монтажу припливно-витяжної системи вентиляції з рекуперацією тепла; строк до 2026-12-31. Попросити один знеособлений пакет здачі за цим workflow.</x:v>
      </x:c>
      <x:c r="Z668" s="15" t="str">
        <x:v>https://prozorro.gov.ua/tender/UA-2026-06-24-002311-a</x:v>
      </x:c>
      <x:c r="AA668" s="14" t="str">
        <x:v>3082719552</x:v>
      </x:c>
      <x:c r="AB668" s="14" t="str">
        <x:v>2026-08-24</x:v>
      </x:c>
      <x:c r="AC668" s="14" t="str"/>
      <x:c r="AD668" s="20" t="str"/>
      <x:c r="AE668" s="14" t="str"/>
      <x:c r="AF668" s="14" t="n">
        <x:v>43</x:v>
      </x:c>
      <x:c r="AG668" s="14" t="str">
        <x:v>I3</x:v>
      </x:c>
      <x:c r="AH668" s="14" t="n">
        <x:v>1</x:v>
      </x:c>
      <x:c r="AI668" s="14" t="n">
        <x:v>1</x:v>
      </x:c>
      <x:c r="AJ668" s="18" t="n">
        <x:v>49294</x:v>
      </x:c>
      <x:c r="AK668" s="14" t="str">
        <x:v>https://prozorro.gov.ua/tender/UA-2026-06-24-002311-a</x:v>
      </x:c>
      <x:c r="AL668" s="19" t="n">
        <x:v>46197.31053866898</x:v>
      </x:c>
      <x:c r="AM668" s="19" t="n">
        <x:v>46387.35335648148</x:v>
      </x:c>
      <x:c r="AN668" s="15" t="str">
        <x:v>HVAC / ОВіК</x:v>
      </x:c>
      <x:c r="AO668" s="15" t="str">
        <x:v>not_found_in_top_search</x:v>
      </x:c>
    </x:row>
    <x:row r="669">
      <x:c r="A669" s="14" t="str">
        <x:v>W3-397</x:v>
      </x:c>
      <x:c r="B669" s="14" t="str">
        <x:v>Prozorro winners — 24.08</x:v>
      </x:c>
      <x:c r="C669" s="14" t="str">
        <x:v>Фізична особа-підприємець Слободенюк Павло Іванович</x:v>
      </x:c>
      <x:c r="D669" s="14" t="str">
        <x:v>Безпека / СКУД / CCTV</x:v>
      </x:c>
      <x:c r="E669" s="14" t="str">
        <x:v>Expansion discovery</x:v>
      </x:c>
      <x:c r="F669" s="17" t="str">
        <x:v>D3</x:v>
      </x:c>
      <x:c r="G669" s="14" t="str"/>
      <x:c r="H669" s="14" t="str">
        <x:v>Discovery розширення — 2 тижні</x:v>
      </x:c>
      <x:c r="I669" s="16" t="n">
        <x:v>1</x:v>
      </x:c>
      <x:c r="J669" s="16" t="n">
        <x:v>5</x:v>
      </x:c>
      <x:c r="K669" s="16" t="n">
        <x:v>4</x:v>
      </x:c>
      <x:c r="L669" s="16" t="n">
        <x:v>1</x:v>
      </x:c>
      <x:c r="M669" s="16" t="n">
        <x:v>5</x:v>
      </x:c>
      <x:c r="N669" s="16" t="n">
        <x:v>3</x:v>
      </x:c>
      <x:c r="O669" s="16" t="n">
        <x:v>5</x:v>
      </x:c>
      <x:c r="P669" s="16" t="n">
        <x:f>IF(COUNT(I669:O669)&lt;7,"",I669*8+J669*3+K669*2+L669*2+M669*2+N669*2+O669)</x:f>
        <x:v>54</x:v>
      </x:c>
      <x:c r="Q669" s="16" t="n">
        <x:f>IF(COUNT(J669:O669)&lt;6,"",J669*5+K669*4+M669*4+L669*3+N669*2+O669*2)</x:f>
        <x:v>80</x:v>
      </x:c>
      <x:c r="R669" s="14" t="str">
        <x:v>high</x:v>
      </x:c>
      <x:c r="S669" s="14" t="str">
        <x:v>official_prozorro_award_2025_2026</x:v>
      </x:c>
      <x:c r="T669" s="14" t="str">
        <x:v>official_prozorro_api</x:v>
      </x:c>
      <x:c r="U669" s="14" t="str">
        <x:v>Не контактували</x:v>
      </x:c>
      <x:c r="V669" s="15" t="str">
        <x:v>Workflow-audit outreach по UA-2026-05-25-013477-a; попросити 1 пакет здачі та вимоги проєкту</x:v>
      </x:c>
      <x:c r="W669" s="15" t="str">
        <x:v>Власник / виконавець; відповідальний за договір</x:v>
      </x:c>
      <x:c r="X669" s="15" t="str">
        <x:v>1 підтверджених перемог/договорів у Prozorro на 39 206 грн; 1 проєктів зі строком виконання не раніше 24.08.2026.</x:v>
      </x:c>
      <x:c r="Y669" s="15" t="str">
        <x:v>Монтаж системи відеоспостереження; строк до 2026-12-31. Попросити один знеособлений пакет здачі за цим workflow.</x:v>
      </x:c>
      <x:c r="Z669" s="15" t="str">
        <x:v>https://prozorro.gov.ua/tender/UA-2026-05-25-013477-a</x:v>
      </x:c>
      <x:c r="AA669" s="14" t="str">
        <x:v>3416106495</x:v>
      </x:c>
      <x:c r="AB669" s="14" t="str">
        <x:v>2026-08-24</x:v>
      </x:c>
      <x:c r="AC669" s="14" t="str"/>
      <x:c r="AD669" s="20" t="str"/>
      <x:c r="AE669" s="14" t="str"/>
      <x:c r="AF669" s="14" t="n">
        <x:v>43</x:v>
      </x:c>
      <x:c r="AG669" s="14" t="str">
        <x:v>I3</x:v>
      </x:c>
      <x:c r="AH669" s="14" t="n">
        <x:v>1</x:v>
      </x:c>
      <x:c r="AI669" s="14" t="n">
        <x:v>1</x:v>
      </x:c>
      <x:c r="AJ669" s="18" t="n">
        <x:v>39206</x:v>
      </x:c>
      <x:c r="AK669" s="14" t="str">
        <x:v>https://prozorro.gov.ua/tender/UA-2026-05-25-013477-a</x:v>
      </x:c>
      <x:c r="AL669" s="19" t="n">
        <x:v>46167.60540934028</x:v>
      </x:c>
      <x:c r="AM669" s="19" t="n">
        <x:v>46387.64173611111</x:v>
      </x:c>
      <x:c r="AN669" s="15" t="str">
        <x:v>Безпека / СКУД / CCTV</x:v>
      </x:c>
      <x:c r="AO669" s="15" t="str">
        <x:v>not_found_in_top_search</x:v>
      </x:c>
    </x:row>
    <x:row r="670">
      <x:c r="A670" s="14" t="str">
        <x:v>W3-398</x:v>
      </x:c>
      <x:c r="B670" s="14" t="str">
        <x:v>Prozorro winners — 24.08</x:v>
      </x:c>
      <x:c r="C670" s="14" t="str">
        <x:v>КРАВЦОВА ДАРІЯ ОЛЕКСАНДРІВНА</x:v>
      </x:c>
      <x:c r="D670" s="14" t="str">
        <x:v>Теплові мережі</x:v>
      </x:c>
      <x:c r="E670" s="14" t="str">
        <x:v>Expansion discovery</x:v>
      </x:c>
      <x:c r="F670" s="17" t="str">
        <x:v>D3</x:v>
      </x:c>
      <x:c r="G670" s="14" t="str"/>
      <x:c r="H670" s="14" t="str">
        <x:v>Discovery розширення — 2 тижні</x:v>
      </x:c>
      <x:c r="I670" s="16" t="n">
        <x:v>1</x:v>
      </x:c>
      <x:c r="J670" s="16" t="n">
        <x:v>5</x:v>
      </x:c>
      <x:c r="K670" s="16" t="n">
        <x:v>4</x:v>
      </x:c>
      <x:c r="L670" s="16" t="n">
        <x:v>1</x:v>
      </x:c>
      <x:c r="M670" s="16" t="n">
        <x:v>5</x:v>
      </x:c>
      <x:c r="N670" s="16" t="n">
        <x:v>3</x:v>
      </x:c>
      <x:c r="O670" s="16" t="n">
        <x:v>5</x:v>
      </x:c>
      <x:c r="P670" s="16" t="n">
        <x:f>IF(COUNT(I670:O670)&lt;7,"",I670*8+J670*3+K670*2+L670*2+M670*2+N670*2+O670)</x:f>
        <x:v>54</x:v>
      </x:c>
      <x:c r="Q670" s="16" t="n">
        <x:f>IF(COUNT(J670:O670)&lt;6,"",J670*5+K670*4+M670*4+L670*3+N670*2+O670*2)</x:f>
        <x:v>80</x:v>
      </x:c>
      <x:c r="R670" s="14" t="str">
        <x:v>high</x:v>
      </x:c>
      <x:c r="S670" s="14" t="str">
        <x:v>official_prozorro_award_2025_2026</x:v>
      </x:c>
      <x:c r="T670" s="14" t="str">
        <x:v>official_prozorro_api</x:v>
      </x:c>
      <x:c r="U670" s="14" t="str">
        <x:v>Не контактували</x:v>
      </x:c>
      <x:c r="V670" s="15" t="str">
        <x:v>Workflow-audit outreach по UA-2026-07-08-007601-a; попросити 1 пакет здачі та вимоги проєкту</x:v>
      </x:c>
      <x:c r="W670" s="15" t="str">
        <x:v>Власник / виконавець; відповідальний за договір</x:v>
      </x:c>
      <x:c r="X670" s="15" t="str">
        <x:v>1 підтверджених перемог/договорів у Prozorro на 35 778 грн; 1 проєктів зі строком виконання не раніше 24.08.2026.</x:v>
      </x:c>
      <x:c r="Y670" s="15" t="str">
        <x:v>Авторський нагляд на об'єкті: "Реконструкція із заміною теплової мережі по вул. Привокзальна площа,5, м.Ірпінь; строк до 2026-09-30. Попросити один знеособлений пакет здачі за цим workflow.</x:v>
      </x:c>
      <x:c r="Z670" s="15" t="str">
        <x:v>https://prozorro.gov.ua/tender/UA-2026-07-08-007601-a</x:v>
      </x:c>
      <x:c r="AA670" s="14" t="str">
        <x:v>3313601482</x:v>
      </x:c>
      <x:c r="AB670" s="14" t="str">
        <x:v>2026-08-24</x:v>
      </x:c>
      <x:c r="AC670" s="14" t="str"/>
      <x:c r="AD670" s="20" t="str"/>
      <x:c r="AE670" s="14" t="str"/>
      <x:c r="AF670" s="14" t="n">
        <x:v>43</x:v>
      </x:c>
      <x:c r="AG670" s="14" t="str">
        <x:v>I3</x:v>
      </x:c>
      <x:c r="AH670" s="14" t="n">
        <x:v>1</x:v>
      </x:c>
      <x:c r="AI670" s="14" t="n">
        <x:v>1</x:v>
      </x:c>
      <x:c r="AJ670" s="18" t="n">
        <x:v>35778</x:v>
      </x:c>
      <x:c r="AK670" s="14" t="str">
        <x:v>https://prozorro.gov.ua/tender/UA-2026-07-08-007601-a</x:v>
      </x:c>
      <x:c r="AL670" s="19" t="n">
        <x:v>46211.4903653125</x:v>
      </x:c>
      <x:c r="AM670" s="19" t="n">
        <x:v>46295</x:v>
      </x:c>
      <x:c r="AN670" s="15" t="str">
        <x:v>Теплові мережі</x:v>
      </x:c>
      <x:c r="AO670" s="15" t="str">
        <x:v>not_found_in_top_search</x:v>
      </x:c>
    </x:row>
    <x:row r="671">
      <x:c r="A671" s="14" t="str">
        <x:v>W3-399</x:v>
      </x:c>
      <x:c r="B671" s="14" t="str">
        <x:v>Prozorro winners — 24.08</x:v>
      </x:c>
      <x:c r="C671" s="14" t="str">
        <x:v>ФОП Мрака Олеся Богданівна</x:v>
      </x:c>
      <x:c r="D671" s="14" t="str">
        <x:v>Безпека / СКУД / CCTV</x:v>
      </x:c>
      <x:c r="E671" s="14" t="str">
        <x:v>Expansion discovery</x:v>
      </x:c>
      <x:c r="F671" s="17" t="str">
        <x:v>D3</x:v>
      </x:c>
      <x:c r="G671" s="14" t="str"/>
      <x:c r="H671" s="14" t="str">
        <x:v>Discovery розширення — 2 тижні</x:v>
      </x:c>
      <x:c r="I671" s="16" t="n">
        <x:v>1</x:v>
      </x:c>
      <x:c r="J671" s="16" t="n">
        <x:v>5</x:v>
      </x:c>
      <x:c r="K671" s="16" t="n">
        <x:v>4</x:v>
      </x:c>
      <x:c r="L671" s="16" t="n">
        <x:v>1</x:v>
      </x:c>
      <x:c r="M671" s="16" t="n">
        <x:v>5</x:v>
      </x:c>
      <x:c r="N671" s="16" t="n">
        <x:v>3</x:v>
      </x:c>
      <x:c r="O671" s="16" t="n">
        <x:v>5</x:v>
      </x:c>
      <x:c r="P671" s="16" t="n">
        <x:f>IF(COUNT(I671:O671)&lt;7,"",I671*8+J671*3+K671*2+L671*2+M671*2+N671*2+O671)</x:f>
        <x:v>54</x:v>
      </x:c>
      <x:c r="Q671" s="16" t="n">
        <x:f>IF(COUNT(J671:O671)&lt;6,"",J671*5+K671*4+M671*4+L671*3+N671*2+O671*2)</x:f>
        <x:v>80</x:v>
      </x:c>
      <x:c r="R671" s="14" t="str">
        <x:v>high</x:v>
      </x:c>
      <x:c r="S671" s="14" t="str">
        <x:v>official_prozorro_award_2025_2026</x:v>
      </x:c>
      <x:c r="T671" s="14" t="str">
        <x:v>official_prozorro_api</x:v>
      </x:c>
      <x:c r="U671" s="14" t="str">
        <x:v>Не контактували</x:v>
      </x:c>
      <x:c r="V671" s="15" t="str">
        <x:v>Workflow-audit outreach по UA-2026-06-05-005357-a; попросити 1 пакет здачі та вимоги проєкту</x:v>
      </x:c>
      <x:c r="W671" s="15" t="str">
        <x:v>Власник / виконавець; відповідальний за договір</x:v>
      </x:c>
      <x:c r="X671" s="15" t="str">
        <x:v>1 підтверджених перемог/договорів у Prozorro на 35 514 грн; 1 проєктів зі строком виконання не раніше 24.08.2026.</x:v>
      </x:c>
      <x:c r="Y671"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 строк до 2026-12-31. Попросити один знеособлений пакет здачі за цим workflow.</x:v>
      </x:c>
      <x:c r="Z671" s="15" t="str">
        <x:v>https://prozorro.gov.ua/tender/UA-2026-06-05-005357-a</x:v>
      </x:c>
      <x:c r="AA671" s="14" t="str">
        <x:v>3222204349</x:v>
      </x:c>
      <x:c r="AB671" s="14" t="str">
        <x:v>2026-08-24</x:v>
      </x:c>
      <x:c r="AC671" s="14" t="str"/>
      <x:c r="AD671" s="20" t="str"/>
      <x:c r="AE671" s="14" t="str"/>
      <x:c r="AF671" s="14" t="n">
        <x:v>43</x:v>
      </x:c>
      <x:c r="AG671" s="14" t="str">
        <x:v>I3</x:v>
      </x:c>
      <x:c r="AH671" s="14" t="n">
        <x:v>1</x:v>
      </x:c>
      <x:c r="AI671" s="14" t="n">
        <x:v>1</x:v>
      </x:c>
      <x:c r="AJ671" s="18" t="n">
        <x:v>35514</x:v>
      </x:c>
      <x:c r="AK671" s="14" t="str">
        <x:v>https://prozorro.gov.ua/tender/UA-2026-06-05-005357-a</x:v>
      </x:c>
      <x:c r="AL671" s="19" t="n">
        <x:v>46178.372875706016</x:v>
      </x:c>
      <x:c r="AM671" s="19" t="n">
        <x:v>46387</x:v>
      </x:c>
      <x:c r="AN671" s="15" t="str">
        <x:v>Безпека / СКУД / CCTV</x:v>
      </x:c>
      <x:c r="AO671" s="15" t="str">
        <x:v>not_found_in_top_search</x:v>
      </x:c>
    </x:row>
    <x:row r="672">
      <x:c r="A672" s="14" t="str">
        <x:v>W3-400</x:v>
      </x:c>
      <x:c r="B672" s="14" t="str">
        <x:v>Prozorro winners — 24.08</x:v>
      </x:c>
      <x:c r="C672" s="14" t="str">
        <x:v>ТИЧИНА СЕРГІЙ МИКОЛАЙОВИЧ</x:v>
      </x:c>
      <x:c r="D672" s="14" t="str">
        <x:v>Промисловий холод</x:v>
      </x:c>
      <x:c r="E672" s="14" t="str">
        <x:v>Expansion discovery</x:v>
      </x:c>
      <x:c r="F672" s="17" t="str">
        <x:v>D3</x:v>
      </x:c>
      <x:c r="G672" s="14" t="str"/>
      <x:c r="H672" s="14" t="str">
        <x:v>Discovery розширення — 2 тижні</x:v>
      </x:c>
      <x:c r="I672" s="16" t="n">
        <x:v>1</x:v>
      </x:c>
      <x:c r="J672" s="16" t="n">
        <x:v>5</x:v>
      </x:c>
      <x:c r="K672" s="16" t="n">
        <x:v>4</x:v>
      </x:c>
      <x:c r="L672" s="16" t="n">
        <x:v>1</x:v>
      </x:c>
      <x:c r="M672" s="16" t="n">
        <x:v>5</x:v>
      </x:c>
      <x:c r="N672" s="16" t="n">
        <x:v>3</x:v>
      </x:c>
      <x:c r="O672" s="16" t="n">
        <x:v>5</x:v>
      </x:c>
      <x:c r="P672" s="16" t="n">
        <x:f>IF(COUNT(I672:O672)&lt;7,"",I672*8+J672*3+K672*2+L672*2+M672*2+N672*2+O672)</x:f>
        <x:v>54</x:v>
      </x:c>
      <x:c r="Q672" s="16" t="n">
        <x:f>IF(COUNT(J672:O672)&lt;6,"",J672*5+K672*4+M672*4+L672*3+N672*2+O672*2)</x:f>
        <x:v>80</x:v>
      </x:c>
      <x:c r="R672" s="14" t="str">
        <x:v>high</x:v>
      </x:c>
      <x:c r="S672" s="14" t="str">
        <x:v>official_prozorro_award_2025_2026</x:v>
      </x:c>
      <x:c r="T672" s="14" t="str">
        <x:v>official_prozorro_api</x:v>
      </x:c>
      <x:c r="U672" s="14" t="str">
        <x:v>Не контактували</x:v>
      </x:c>
      <x:c r="V672" s="15" t="str">
        <x:v>Workflow-audit outreach по UA-2026-07-06-007484-a; попросити 1 пакет здачі та вимоги проєкту</x:v>
      </x:c>
      <x:c r="W672" s="15" t="str">
        <x:v>Власник / виконавець; відповідальний за договір</x:v>
      </x:c>
      <x:c r="X672" s="15" t="str">
        <x:v>1 підтверджених перемог/договорів у Prozorro на 32 770 грн; 1 проєктів зі строком виконання не раніше 24.08.2026.</x:v>
      </x:c>
      <x:c r="Y672"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 строк до 2026-12-31. Попросити один знеособлений пакет здачі за цим workflow.</x:v>
      </x:c>
      <x:c r="Z672" s="15" t="str">
        <x:v>https://prozorro.gov.ua/tender/UA-2026-07-06-007484-a</x:v>
      </x:c>
      <x:c r="AA672" s="14" t="str">
        <x:v>2750313610</x:v>
      </x:c>
      <x:c r="AB672" s="14" t="str">
        <x:v>2026-08-24</x:v>
      </x:c>
      <x:c r="AC672" s="14" t="str"/>
      <x:c r="AD672" s="20" t="str"/>
      <x:c r="AE672" s="14" t="str"/>
      <x:c r="AF672" s="14" t="n">
        <x:v>43</x:v>
      </x:c>
      <x:c r="AG672" s="14" t="str">
        <x:v>I3</x:v>
      </x:c>
      <x:c r="AH672" s="14" t="n">
        <x:v>1</x:v>
      </x:c>
      <x:c r="AI672" s="14" t="n">
        <x:v>1</x:v>
      </x:c>
      <x:c r="AJ672" s="18" t="n">
        <x:v>32770</x:v>
      </x:c>
      <x:c r="AK672" s="14" t="str">
        <x:v>https://prozorro.gov.ua/tender/UA-2026-07-06-007484-a</x:v>
      </x:c>
      <x:c r="AL672" s="19" t="n">
        <x:v>46209.51092287037</x:v>
      </x:c>
      <x:c r="AM672" s="19" t="n">
        <x:v>46387</x:v>
      </x:c>
      <x:c r="AN672" s="15" t="str">
        <x:v>Промисловий холод</x:v>
      </x:c>
      <x:c r="AO672" s="15" t="str">
        <x:v>not_found_in_top_search</x:v>
      </x:c>
    </x:row>
    <x:row r="673">
      <x:c r="A673" s="14" t="str">
        <x:v>W3-401</x:v>
      </x:c>
      <x:c r="B673" s="14" t="str">
        <x:v>Prozorro winners — 24.08</x:v>
      </x:c>
      <x:c r="C673" s="14" t="str">
        <x:v>Іванець Дмитро Ігорович</x:v>
      </x:c>
      <x:c r="D673" s="14" t="str">
        <x:v>Сонячна енергетика</x:v>
      </x:c>
      <x:c r="E673" s="14" t="str">
        <x:v>Expansion discovery</x:v>
      </x:c>
      <x:c r="F673" s="17" t="str">
        <x:v>D3</x:v>
      </x:c>
      <x:c r="G673" s="14" t="str"/>
      <x:c r="H673" s="14" t="str">
        <x:v>Discovery розширення — 2 тижні</x:v>
      </x:c>
      <x:c r="I673" s="16" t="n">
        <x:v>1</x:v>
      </x:c>
      <x:c r="J673" s="16" t="n">
        <x:v>5</x:v>
      </x:c>
      <x:c r="K673" s="16" t="n">
        <x:v>4</x:v>
      </x:c>
      <x:c r="L673" s="16" t="n">
        <x:v>1</x:v>
      </x:c>
      <x:c r="M673" s="16" t="n">
        <x:v>5</x:v>
      </x:c>
      <x:c r="N673" s="16" t="n">
        <x:v>3</x:v>
      </x:c>
      <x:c r="O673" s="16" t="n">
        <x:v>5</x:v>
      </x:c>
      <x:c r="P673" s="16" t="n">
        <x:f>IF(COUNT(I673:O673)&lt;7,"",I673*8+J673*3+K673*2+L673*2+M673*2+N673*2+O673)</x:f>
        <x:v>54</x:v>
      </x:c>
      <x:c r="Q673" s="16" t="n">
        <x:f>IF(COUNT(J673:O673)&lt;6,"",J673*5+K673*4+M673*4+L673*3+N673*2+O673*2)</x:f>
        <x:v>80</x:v>
      </x:c>
      <x:c r="R673" s="14" t="str">
        <x:v>high</x:v>
      </x:c>
      <x:c r="S673" s="14" t="str">
        <x:v>official_prozorro_award_2025_2026</x:v>
      </x:c>
      <x:c r="T673" s="14" t="str">
        <x:v>official_prozorro_api</x:v>
      </x:c>
      <x:c r="U673" s="14" t="str">
        <x:v>Не контактували</x:v>
      </x:c>
      <x:c r="V673" s="15" t="str">
        <x:v>Workflow-audit outreach по UA-2026-06-02-000725-a; попросити 1 пакет здачі та вимоги проєкту</x:v>
      </x:c>
      <x:c r="W673" s="15" t="str">
        <x:v>Власник / виконавець; відповідальний за договір</x:v>
      </x:c>
      <x:c r="X673" s="15" t="str">
        <x:v>1 підтверджених перемог/договорів у Prozorro на 27 693 грн; 1 проєктів зі строком виконання не раніше 24.08.2026.</x:v>
      </x:c>
      <x:c r="Y673"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73" s="15" t="str">
        <x:v>https://prozorro.gov.ua/tender/UA-2026-06-02-000725-a</x:v>
      </x:c>
      <x:c r="AA673" s="14" t="str">
        <x:v>3097011118</x:v>
      </x:c>
      <x:c r="AB673" s="14" t="str">
        <x:v>2026-08-24</x:v>
      </x:c>
      <x:c r="AC673" s="14" t="str"/>
      <x:c r="AD673" s="20" t="str"/>
      <x:c r="AE673" s="14" t="str"/>
      <x:c r="AF673" s="14" t="n">
        <x:v>43</x:v>
      </x:c>
      <x:c r="AG673" s="14" t="str">
        <x:v>I3</x:v>
      </x:c>
      <x:c r="AH673" s="14" t="n">
        <x:v>1</x:v>
      </x:c>
      <x:c r="AI673" s="14" t="n">
        <x:v>1</x:v>
      </x:c>
      <x:c r="AJ673" s="18" t="n">
        <x:v>27693</x:v>
      </x:c>
      <x:c r="AK673" s="14" t="str">
        <x:v>https://prozorro.gov.ua/tender/UA-2026-06-02-000725-a</x:v>
      </x:c>
      <x:c r="AL673" s="19" t="n">
        <x:v>46175.26477175926</x:v>
      </x:c>
      <x:c r="AM673" s="19" t="n">
        <x:v>46265</x:v>
      </x:c>
      <x:c r="AN673" s="15" t="str">
        <x:v>Сонячна енергетика</x:v>
      </x:c>
      <x:c r="AO673" s="15" t="str">
        <x:v>not_found_in_top_search</x:v>
      </x:c>
    </x:row>
    <x:row r="674">
      <x:c r="A674" s="14" t="str">
        <x:v>W3-402</x:v>
      </x:c>
      <x:c r="B674" s="14" t="str">
        <x:v>Prozorro winners — 24.08</x:v>
      </x:c>
      <x:c r="C674" s="14" t="str">
        <x:v>ФОП Корабельський Дмитро Володимирович</x:v>
      </x:c>
      <x:c r="D674" s="14" t="str">
        <x:v>Безпека / СКУД / CCTV</x:v>
      </x:c>
      <x:c r="E674" s="14" t="str">
        <x:v>Expansion discovery</x:v>
      </x:c>
      <x:c r="F674" s="17" t="str">
        <x:v>D3</x:v>
      </x:c>
      <x:c r="G674" s="14" t="str"/>
      <x:c r="H674" s="14" t="str">
        <x:v>Discovery розширення — 2 тижні</x:v>
      </x:c>
      <x:c r="I674" s="16" t="n">
        <x:v>1</x:v>
      </x:c>
      <x:c r="J674" s="16" t="n">
        <x:v>5</x:v>
      </x:c>
      <x:c r="K674" s="16" t="n">
        <x:v>4</x:v>
      </x:c>
      <x:c r="L674" s="16" t="n">
        <x:v>1</x:v>
      </x:c>
      <x:c r="M674" s="16" t="n">
        <x:v>5</x:v>
      </x:c>
      <x:c r="N674" s="16" t="n">
        <x:v>3</x:v>
      </x:c>
      <x:c r="O674" s="16" t="n">
        <x:v>5</x:v>
      </x:c>
      <x:c r="P674" s="16" t="n">
        <x:f>IF(COUNT(I674:O674)&lt;7,"",I674*8+J674*3+K674*2+L674*2+M674*2+N674*2+O674)</x:f>
        <x:v>54</x:v>
      </x:c>
      <x:c r="Q674" s="16" t="n">
        <x:f>IF(COUNT(J674:O674)&lt;6,"",J674*5+K674*4+M674*4+L674*3+N674*2+O674*2)</x:f>
        <x:v>80</x:v>
      </x:c>
      <x:c r="R674" s="14" t="str">
        <x:v>high</x:v>
      </x:c>
      <x:c r="S674" s="14" t="str">
        <x:v>official_prozorro_award_2025_2026</x:v>
      </x:c>
      <x:c r="T674" s="14" t="str">
        <x:v>official_prozorro_api</x:v>
      </x:c>
      <x:c r="U674" s="14" t="str">
        <x:v>Не контактували</x:v>
      </x:c>
      <x:c r="V674" s="15" t="str">
        <x:v>Workflow-audit outreach по UA-2026-06-12-000137-a; попросити 1 пакет здачі та вимоги проєкту</x:v>
      </x:c>
      <x:c r="W674" s="15" t="str">
        <x:v>Власник / виконавець; відповідальний за договір</x:v>
      </x:c>
      <x:c r="X674" s="15" t="str">
        <x:v>1 підтверджених перемог/договорів у Prozorro на 24 175 грн; 1 проєктів зі строком виконання не раніше 24.08.2026.</x:v>
      </x:c>
      <x:c r="Y674" s="15" t="str">
        <x:v>Послуги з монтажу та налаштування системи відеоспостереження; строк до 2026-12-31. Попросити один знеособлений пакет здачі за цим workflow.</x:v>
      </x:c>
      <x:c r="Z674" s="15" t="str">
        <x:v>https://prozorro.gov.ua/tender/UA-2026-06-12-000137-a</x:v>
      </x:c>
      <x:c r="AA674" s="14" t="str">
        <x:v>3742802693</x:v>
      </x:c>
      <x:c r="AB674" s="14" t="str">
        <x:v>2026-08-24</x:v>
      </x:c>
      <x:c r="AC674" s="14" t="str"/>
      <x:c r="AD674" s="20" t="str"/>
      <x:c r="AE674" s="14" t="str"/>
      <x:c r="AF674" s="14" t="n">
        <x:v>43</x:v>
      </x:c>
      <x:c r="AG674" s="14" t="str">
        <x:v>I3</x:v>
      </x:c>
      <x:c r="AH674" s="14" t="n">
        <x:v>1</x:v>
      </x:c>
      <x:c r="AI674" s="14" t="n">
        <x:v>1</x:v>
      </x:c>
      <x:c r="AJ674" s="18" t="n">
        <x:v>24175</x:v>
      </x:c>
      <x:c r="AK674" s="14" t="str">
        <x:v>https://prozorro.gov.ua/tender/UA-2026-06-12-000137-a</x:v>
      </x:c>
      <x:c r="AL674" s="19" t="n">
        <x:v>46188.548678541665</x:v>
      </x:c>
      <x:c r="AM674" s="19" t="n">
        <x:v>46387.26008101852</x:v>
      </x:c>
      <x:c r="AN674" s="15" t="str">
        <x:v>Безпека / СКУД / CCTV</x:v>
      </x:c>
      <x:c r="AO674" s="15" t="str">
        <x:v>not_found_in_top_search</x:v>
      </x:c>
    </x:row>
    <x:row r="675">
      <x:c r="A675" s="14" t="str">
        <x:v>W3-403</x:v>
      </x:c>
      <x:c r="B675" s="14" t="str">
        <x:v>Prozorro winners — 24.08</x:v>
      </x:c>
      <x:c r="C675" s="14" t="str">
        <x:v>ІВАНДЮК ВІКТОР ВАСИЛЬОВИЧ</x:v>
      </x:c>
      <x:c r="D675" s="14" t="str">
        <x:v>Водоочищення / очисні споруди</x:v>
      </x:c>
      <x:c r="E675" s="14" t="str">
        <x:v>Expansion discovery</x:v>
      </x:c>
      <x:c r="F675" s="17" t="str">
        <x:v>D3</x:v>
      </x:c>
      <x:c r="G675" s="14" t="str"/>
      <x:c r="H675" s="14" t="str">
        <x:v>Discovery розширення — 2 тижні</x:v>
      </x:c>
      <x:c r="I675" s="16" t="n">
        <x:v>1</x:v>
      </x:c>
      <x:c r="J675" s="16" t="n">
        <x:v>5</x:v>
      </x:c>
      <x:c r="K675" s="16" t="n">
        <x:v>4</x:v>
      </x:c>
      <x:c r="L675" s="16" t="n">
        <x:v>1</x:v>
      </x:c>
      <x:c r="M675" s="16" t="n">
        <x:v>5</x:v>
      </x:c>
      <x:c r="N675" s="16" t="n">
        <x:v>3</x:v>
      </x:c>
      <x:c r="O675" s="16" t="n">
        <x:v>5</x:v>
      </x:c>
      <x:c r="P675" s="16" t="n">
        <x:f>IF(COUNT(I675:O675)&lt;7,"",I675*8+J675*3+K675*2+L675*2+M675*2+N675*2+O675)</x:f>
        <x:v>54</x:v>
      </x:c>
      <x:c r="Q675" s="16" t="n">
        <x:f>IF(COUNT(J675:O675)&lt;6,"",J675*5+K675*4+M675*4+L675*3+N675*2+O675*2)</x:f>
        <x:v>80</x:v>
      </x:c>
      <x:c r="R675" s="14" t="str">
        <x:v>high</x:v>
      </x:c>
      <x:c r="S675" s="14" t="str">
        <x:v>official_prozorro_award_2025_2026</x:v>
      </x:c>
      <x:c r="T675" s="14" t="str">
        <x:v>official_prozorro_api</x:v>
      </x:c>
      <x:c r="U675" s="14" t="str">
        <x:v>Не контактували</x:v>
      </x:c>
      <x:c r="V675" s="15" t="str">
        <x:v>Workflow-audit outreach по UA-2026-07-01-007304-a; попросити 1 пакет здачі та вимоги проєкту</x:v>
      </x:c>
      <x:c r="W675" s="15" t="str">
        <x:v>Власник / виконавець; відповідальний за договір</x:v>
      </x:c>
      <x:c r="X675" s="15" t="str">
        <x:v>1 підтверджених перемог/договорів у Prozorro на 22 902 грн; 1 проєктів зі строком виконання не раніше 24.08.2026.</x:v>
      </x:c>
      <x:c r="Y675" s="15" t="str">
        <x:v>Комплекс робіт по інженерно геодезичним вишукуванням на об*єкті "Реконструкція очисних споруд в м. Бобринець Кіровоградської області".; строк до 2026-12-31. Попросити один знеособлений пакет здачі за цим workflow.</x:v>
      </x:c>
      <x:c r="Z675" s="15" t="str">
        <x:v>https://prozorro.gov.ua/tender/UA-2026-07-01-007304-a</x:v>
      </x:c>
      <x:c r="AA675" s="14" t="str">
        <x:v>3028818933</x:v>
      </x:c>
      <x:c r="AB675" s="14" t="str">
        <x:v>2026-08-24</x:v>
      </x:c>
      <x:c r="AC675" s="14" t="str"/>
      <x:c r="AD675" s="20" t="str"/>
      <x:c r="AE675" s="14" t="str"/>
      <x:c r="AF675" s="14" t="n">
        <x:v>43</x:v>
      </x:c>
      <x:c r="AG675" s="14" t="str">
        <x:v>I3</x:v>
      </x:c>
      <x:c r="AH675" s="14" t="n">
        <x:v>1</x:v>
      </x:c>
      <x:c r="AI675" s="14" t="n">
        <x:v>1</x:v>
      </x:c>
      <x:c r="AJ675" s="18" t="n">
        <x:v>22902.06</x:v>
      </x:c>
      <x:c r="AK675" s="14" t="str">
        <x:v>https://prozorro.gov.ua/tender/UA-2026-07-01-007304-a</x:v>
      </x:c>
      <x:c r="AL675" s="19" t="n">
        <x:v>46204.518439074076</x:v>
      </x:c>
      <x:c r="AM675" s="19" t="n">
        <x:v>46387</x:v>
      </x:c>
      <x:c r="AN675" s="15" t="str">
        <x:v>Водоочищення / очисні споруди</x:v>
      </x:c>
      <x:c r="AO675" s="15" t="str">
        <x:v>not_found_in_top_search</x:v>
      </x:c>
    </x:row>
    <x:row r="676">
      <x:c r="A676" s="14" t="str">
        <x:v>W3-404</x:v>
      </x:c>
      <x:c r="B676" s="14" t="str">
        <x:v>Prozorro winners — 24.08</x:v>
      </x:c>
      <x:c r="C676" s="14" t="str">
        <x:v>ФОП Роман Віталій Васильович</x:v>
      </x:c>
      <x:c r="D676" s="14" t="str">
        <x:v>Безпека / СКУД / CCTV</x:v>
      </x:c>
      <x:c r="E676" s="14" t="str">
        <x:v>Expansion discovery</x:v>
      </x:c>
      <x:c r="F676" s="17" t="str">
        <x:v>D3</x:v>
      </x:c>
      <x:c r="G676" s="14" t="str"/>
      <x:c r="H676" s="14" t="str">
        <x:v>Discovery розширення — 2 тижні</x:v>
      </x:c>
      <x:c r="I676" s="16" t="n">
        <x:v>1</x:v>
      </x:c>
      <x:c r="J676" s="16" t="n">
        <x:v>5</x:v>
      </x:c>
      <x:c r="K676" s="16" t="n">
        <x:v>4</x:v>
      </x:c>
      <x:c r="L676" s="16" t="n">
        <x:v>1</x:v>
      </x:c>
      <x:c r="M676" s="16" t="n">
        <x:v>5</x:v>
      </x:c>
      <x:c r="N676" s="16" t="n">
        <x:v>3</x:v>
      </x:c>
      <x:c r="O676" s="16" t="n">
        <x:v>5</x:v>
      </x:c>
      <x:c r="P676" s="16" t="n">
        <x:f>IF(COUNT(I676:O676)&lt;7,"",I676*8+J676*3+K676*2+L676*2+M676*2+N676*2+O676)</x:f>
        <x:v>54</x:v>
      </x:c>
      <x:c r="Q676" s="16" t="n">
        <x:f>IF(COUNT(J676:O676)&lt;6,"",J676*5+K676*4+M676*4+L676*3+N676*2+O676*2)</x:f>
        <x:v>80</x:v>
      </x:c>
      <x:c r="R676" s="14" t="str">
        <x:v>high</x:v>
      </x:c>
      <x:c r="S676" s="14" t="str">
        <x:v>official_prozorro_award_2025_2026</x:v>
      </x:c>
      <x:c r="T676" s="14" t="str">
        <x:v>official_prozorro_api</x:v>
      </x:c>
      <x:c r="U676" s="14" t="str">
        <x:v>Не контактували</x:v>
      </x:c>
      <x:c r="V676" s="15" t="str">
        <x:v>Workflow-audit outreach по UA-2026-05-07-012002-a; попросити 1 пакет здачі та вимоги проєкту</x:v>
      </x:c>
      <x:c r="W676" s="15" t="str">
        <x:v>Власник / виконавець; відповідальний за договір</x:v>
      </x:c>
      <x:c r="X676" s="15" t="str">
        <x:v>1 підтверджених перемог/договорів у Prozorro на 21 825 грн; 1 проєктів зі строком виконання не раніше 24.08.2026.</x:v>
      </x:c>
      <x:c r="Y676" s="15" t="str">
        <x:v>Послуги з монтажу системи контролю доступу; строк до 2026-12-31. Попросити один знеособлений пакет здачі за цим workflow.</x:v>
      </x:c>
      <x:c r="Z676" s="15" t="str">
        <x:v>https://prozorro.gov.ua/tender/UA-2026-05-07-012002-a</x:v>
      </x:c>
      <x:c r="AA676" s="14" t="str">
        <x:v>3016409930</x:v>
      </x:c>
      <x:c r="AB676" s="14" t="str">
        <x:v>2026-08-24</x:v>
      </x:c>
      <x:c r="AC676" s="14" t="str"/>
      <x:c r="AD676" s="20" t="str"/>
      <x:c r="AE676" s="14" t="str"/>
      <x:c r="AF676" s="14" t="n">
        <x:v>43</x:v>
      </x:c>
      <x:c r="AG676" s="14" t="str">
        <x:v>I3</x:v>
      </x:c>
      <x:c r="AH676" s="14" t="n">
        <x:v>1</x:v>
      </x:c>
      <x:c r="AI676" s="14" t="n">
        <x:v>1</x:v>
      </x:c>
      <x:c r="AJ676" s="18" t="n">
        <x:v>21825</x:v>
      </x:c>
      <x:c r="AK676" s="14" t="str">
        <x:v>https://prozorro.gov.ua/tender/UA-2026-05-07-012002-a</x:v>
      </x:c>
      <x:c r="AL676" s="19" t="n">
        <x:v>46149.54091869213</x:v>
      </x:c>
      <x:c r="AM676" s="19" t="n">
        <x:v>46387.5783912037</x:v>
      </x:c>
      <x:c r="AN676" s="15" t="str">
        <x:v>Безпека / СКУД / CCTV</x:v>
      </x:c>
      <x:c r="AO676" s="15" t="str">
        <x:v>not_found_in_top_search</x:v>
      </x:c>
    </x:row>
    <x:row r="677">
      <x:c r="A677" s="14" t="str">
        <x:v>W3-405</x:v>
      </x:c>
      <x:c r="B677" s="14" t="str">
        <x:v>Prozorro winners — 24.08</x:v>
      </x:c>
      <x:c r="C677" s="14" t="str">
        <x:v>Фізична особа-підприємець Триндяк Богдан Григорович</x:v>
      </x:c>
      <x:c r="D677" s="14" t="str">
        <x:v>Водоочищення / очисні споруди</x:v>
      </x:c>
      <x:c r="E677" s="14" t="str">
        <x:v>Expansion discovery</x:v>
      </x:c>
      <x:c r="F677" s="17" t="str">
        <x:v>D3</x:v>
      </x:c>
      <x:c r="G677" s="14" t="str"/>
      <x:c r="H677" s="14" t="str">
        <x:v>Discovery розширення — 2 тижні</x:v>
      </x:c>
      <x:c r="I677" s="16" t="n">
        <x:v>1</x:v>
      </x:c>
      <x:c r="J677" s="16" t="n">
        <x:v>5</x:v>
      </x:c>
      <x:c r="K677" s="16" t="n">
        <x:v>4</x:v>
      </x:c>
      <x:c r="L677" s="16" t="n">
        <x:v>1</x:v>
      </x:c>
      <x:c r="M677" s="16" t="n">
        <x:v>5</x:v>
      </x:c>
      <x:c r="N677" s="16" t="n">
        <x:v>3</x:v>
      </x:c>
      <x:c r="O677" s="16" t="n">
        <x:v>5</x:v>
      </x:c>
      <x:c r="P677" s="16" t="n">
        <x:f>IF(COUNT(I677:O677)&lt;7,"",I677*8+J677*3+K677*2+L677*2+M677*2+N677*2+O677)</x:f>
        <x:v>54</x:v>
      </x:c>
      <x:c r="Q677" s="16" t="n">
        <x:f>IF(COUNT(J677:O677)&lt;6,"",J677*5+K677*4+M677*4+L677*3+N677*2+O677*2)</x:f>
        <x:v>80</x:v>
      </x:c>
      <x:c r="R677" s="14" t="str">
        <x:v>high</x:v>
      </x:c>
      <x:c r="S677" s="14" t="str">
        <x:v>official_prozorro_award_2025_2026</x:v>
      </x:c>
      <x:c r="T677" s="14" t="str">
        <x:v>official_prozorro_api</x:v>
      </x:c>
      <x:c r="U677" s="14" t="str">
        <x:v>Не контактували</x:v>
      </x:c>
      <x:c r="V677" s="15" t="str">
        <x:v>Workflow-audit outreach по UA-2026-06-30-005646-a; попросити 1 пакет здачі та вимоги проєкту</x:v>
      </x:c>
      <x:c r="W677" s="15" t="str">
        <x:v>Власник / виконавець; відповідальний за договір</x:v>
      </x:c>
      <x:c r="X677" s="15" t="str">
        <x:v>1 підтверджених перемог/договорів у Prozorro на 21 525 грн; 1 проєктів зі строком виконання не раніше 24.08.2026.</x:v>
      </x:c>
      <x:c r="Y677"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 строк до 2026-12-28. Попросити один знеособлений пакет здачі за цим workflow.</x:v>
      </x:c>
      <x:c r="Z677" s="15" t="str">
        <x:v>https://prozorro.gov.ua/tender/UA-2026-06-30-005646-a</x:v>
      </x:c>
      <x:c r="AA677" s="14" t="str">
        <x:v>2295118973</x:v>
      </x:c>
      <x:c r="AB677" s="14" t="str">
        <x:v>2026-08-24</x:v>
      </x:c>
      <x:c r="AC677" s="14" t="str"/>
      <x:c r="AD677" s="20" t="str"/>
      <x:c r="AE677" s="14" t="str"/>
      <x:c r="AF677" s="14" t="n">
        <x:v>43</x:v>
      </x:c>
      <x:c r="AG677" s="14" t="str">
        <x:v>I3</x:v>
      </x:c>
      <x:c r="AH677" s="14" t="n">
        <x:v>1</x:v>
      </x:c>
      <x:c r="AI677" s="14" t="n">
        <x:v>1</x:v>
      </x:c>
      <x:c r="AJ677" s="18" t="n">
        <x:v>21524.64</x:v>
      </x:c>
      <x:c r="AK677" s="14" t="str">
        <x:v>https://prozorro.gov.ua/tender/UA-2026-06-30-005646-a</x:v>
      </x:c>
      <x:c r="AL677" s="19" t="n">
        <x:v>46203.396445555554</x:v>
      </x:c>
      <x:c r="AM677" s="19" t="n">
        <x:v>46384</x:v>
      </x:c>
      <x:c r="AN677" s="15" t="str">
        <x:v>Водоочищення / очисні споруди</x:v>
      </x:c>
      <x:c r="AO677" s="15" t="str">
        <x:v>not_found_in_top_search</x:v>
      </x:c>
    </x:row>
    <x:row r="678">
      <x:c r="A678" s="14" t="str">
        <x:v>W3-406</x:v>
      </x:c>
      <x:c r="B678" s="14" t="str">
        <x:v>Prozorro winners — 24.08</x:v>
      </x:c>
      <x:c r="C678" s="14" t="str">
        <x:v>ФОП Дорош Ігор Григорович</x:v>
      </x:c>
      <x:c r="D678" s="14" t="str">
        <x:v>Пожежогасіння</x:v>
      </x:c>
      <x:c r="E678" s="14" t="str">
        <x:v>Expansion discovery</x:v>
      </x:c>
      <x:c r="F678" s="17" t="str">
        <x:v>D3</x:v>
      </x:c>
      <x:c r="G678" s="14" t="str"/>
      <x:c r="H678" s="14" t="str">
        <x:v>Discovery розширення — 2 тижні</x:v>
      </x:c>
      <x:c r="I678" s="16" t="n">
        <x:v>1</x:v>
      </x:c>
      <x:c r="J678" s="16" t="n">
        <x:v>5</x:v>
      </x:c>
      <x:c r="K678" s="16" t="n">
        <x:v>4</x:v>
      </x:c>
      <x:c r="L678" s="16" t="n">
        <x:v>1</x:v>
      </x:c>
      <x:c r="M678" s="16" t="n">
        <x:v>5</x:v>
      </x:c>
      <x:c r="N678" s="16" t="n">
        <x:v>3</x:v>
      </x:c>
      <x:c r="O678" s="16" t="n">
        <x:v>5</x:v>
      </x:c>
      <x:c r="P678" s="16" t="n">
        <x:f>IF(COUNT(I678:O678)&lt;7,"",I678*8+J678*3+K678*2+L678*2+M678*2+N678*2+O678)</x:f>
        <x:v>54</x:v>
      </x:c>
      <x:c r="Q678" s="16" t="n">
        <x:f>IF(COUNT(J678:O678)&lt;6,"",J678*5+K678*4+M678*4+L678*3+N678*2+O678*2)</x:f>
        <x:v>80</x:v>
      </x:c>
      <x:c r="R678" s="14" t="str">
        <x:v>high</x:v>
      </x:c>
      <x:c r="S678" s="14" t="str">
        <x:v>official_prozorro_award_2025_2026</x:v>
      </x:c>
      <x:c r="T678" s="14" t="str">
        <x:v>official_prozorro_api</x:v>
      </x:c>
      <x:c r="U678" s="14" t="str">
        <x:v>Не контактували</x:v>
      </x:c>
      <x:c r="V678" s="15" t="str">
        <x:v>Workflow-audit outreach по UA-2026-07-02-006539-a; попросити 1 пакет здачі та вимоги проєкту</x:v>
      </x:c>
      <x:c r="W678" s="15" t="str">
        <x:v>Власник / виконавець; відповідальний за договір</x:v>
      </x:c>
      <x:c r="X678" s="15" t="str">
        <x:v>1 підтверджених перемог/договорів у Prozorro на 15 870 грн; 1 проєктів зі строком виконання не раніше 24.08.2026.</x:v>
      </x:c>
      <x:c r="Y678" s="15" t="str">
        <x:v>Монтаж та пусконалагоджування системи пожежної сигналізації та системи оповіщення; строк до 2026-12-31. Попросити один знеособлений пакет здачі за цим workflow.</x:v>
      </x:c>
      <x:c r="Z678" s="15" t="str">
        <x:v>https://prozorro.gov.ua/tender/UA-2026-07-02-006539-a</x:v>
      </x:c>
      <x:c r="AA678" s="14" t="str">
        <x:v>2850617657</x:v>
      </x:c>
      <x:c r="AB678" s="14" t="str">
        <x:v>2026-08-24</x:v>
      </x:c>
      <x:c r="AC678" s="14" t="str"/>
      <x:c r="AD678" s="20" t="str"/>
      <x:c r="AE678" s="14" t="str"/>
      <x:c r="AF678" s="14" t="n">
        <x:v>43</x:v>
      </x:c>
      <x:c r="AG678" s="14" t="str">
        <x:v>I3</x:v>
      </x:c>
      <x:c r="AH678" s="14" t="n">
        <x:v>1</x:v>
      </x:c>
      <x:c r="AI678" s="14" t="n">
        <x:v>1</x:v>
      </x:c>
      <x:c r="AJ678" s="18" t="n">
        <x:v>15870.2</x:v>
      </x:c>
      <x:c r="AK678" s="14" t="str">
        <x:v>https://prozorro.gov.ua/tender/UA-2026-07-02-006539-a</x:v>
      </x:c>
      <x:c r="AL678" s="19" t="n">
        <x:v>46205.48432412037</x:v>
      </x:c>
      <x:c r="AM678" s="19" t="n">
        <x:v>46387.52408564815</x:v>
      </x:c>
      <x:c r="AN678" s="15" t="str">
        <x:v>Пожежогасіння</x:v>
      </x:c>
      <x:c r="AO678" s="15" t="str">
        <x:v>not_found_in_top_search</x:v>
      </x:c>
    </x:row>
    <x:row r="679">
      <x:c r="A679" s="14" t="str">
        <x:v>W3-407</x:v>
      </x:c>
      <x:c r="B679" s="14" t="str">
        <x:v>Prozorro winners — 24.08</x:v>
      </x:c>
      <x:c r="C679" s="14" t="str">
        <x:v>ФОП Пюрик Марія Василівна</x:v>
      </x:c>
      <x:c r="D679" s="14" t="str">
        <x:v>Електромонтаж</x:v>
      </x:c>
      <x:c r="E679" s="14" t="str">
        <x:v>Pilot now</x:v>
      </x:c>
      <x:c r="F679" s="17" t="str">
        <x:v>P3</x:v>
      </x:c>
      <x:c r="G679" s="14" t="str"/>
      <x:c r="H679" s="14" t="str">
        <x:v>Пілот зараз — Н.15</x:v>
      </x:c>
      <x:c r="I679" s="16" t="n">
        <x:v>5</x:v>
      </x:c>
      <x:c r="J679" s="16" t="n">
        <x:v>5</x:v>
      </x:c>
      <x:c r="K679" s="16" t="n">
        <x:v>5</x:v>
      </x:c>
      <x:c r="L679" s="16" t="n">
        <x:v>1</x:v>
      </x:c>
      <x:c r="M679" s="16" t="n">
        <x:v>5</x:v>
      </x:c>
      <x:c r="N679" s="16" t="n">
        <x:v>3</x:v>
      </x:c>
      <x:c r="O679" s="16" t="n">
        <x:v>5</x:v>
      </x:c>
      <x:c r="P679" s="16" t="n">
        <x:f>IF(COUNT(I679:O679)&lt;7,"",I679*8+J679*3+K679*2+L679*2+M679*2+N679*2+O679)</x:f>
        <x:v>88</x:v>
      </x:c>
      <x:c r="Q679" s="16" t="n">
        <x:f>IF(COUNT(J679:O679)&lt;6,"",J679*5+K679*4+M679*4+L679*3+N679*2+O679*2)</x:f>
        <x:v>84</x:v>
      </x:c>
      <x:c r="R679" s="14" t="str">
        <x:v>high</x:v>
      </x:c>
      <x:c r="S679" s="14" t="str">
        <x:v>official_prozorro_award_2025_2026</x:v>
      </x:c>
      <x:c r="T679" s="14" t="str">
        <x:v>official_prozorro_api</x:v>
      </x:c>
      <x:c r="U679" s="14" t="str">
        <x:v>Не контактували</x:v>
      </x:c>
      <x:c r="V679" s="15" t="str">
        <x:v>Повторне звернення з новим тендерним сигналом UA-2026-07-09-001752-a; попросити 1 пакет здачі</x:v>
      </x:c>
      <x:c r="W679" s="15" t="str">
        <x:v>Власник / виконавець; відповідальний за договір</x:v>
      </x:c>
      <x:c r="X679" s="15" t="str">
        <x:v>1 підтверджених перемог/договорів у Prozorro на 15 815 грн; 1 проєктів зі строком виконання не раніше 24.08.2026.</x:v>
      </x:c>
      <x:c r="Y679"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 строк до 2026-12-31. Попросити один знеособлений пакет здачі за цим workflow.</x:v>
      </x:c>
      <x:c r="Z679" s="15" t="str">
        <x:v>https://prozorro.gov.ua/tender/UA-2026-05-07-005317-a</x:v>
      </x:c>
      <x:c r="AA679" s="14" t="str">
        <x:v>3124005822</x:v>
      </x:c>
      <x:c r="AB679" s="14" t="str">
        <x:v>2026-08-24</x:v>
      </x:c>
      <x:c r="AC679" s="14" t="str"/>
      <x:c r="AD679" s="20" t="str"/>
      <x:c r="AE679" s="14" t="str"/>
      <x:c r="AF679" s="14" t="n">
        <x:v>43</x:v>
      </x:c>
      <x:c r="AG679" s="14" t="str">
        <x:v>I3</x:v>
      </x:c>
      <x:c r="AH679" s="14" t="n">
        <x:v>2</x:v>
      </x:c>
      <x:c r="AI679" s="14" t="n">
        <x:v>1</x:v>
      </x:c>
      <x:c r="AJ679" s="18" t="n">
        <x:v>113815</x:v>
      </x:c>
      <x:c r="AK679" s="14" t="str">
        <x:v>https://prozorro.gov.ua/tender/UA-2026-07-09-001752-a</x:v>
      </x:c>
      <x:c r="AL679" s="19" t="n">
        <x:v>46212.30352969907</x:v>
      </x:c>
      <x:c r="AM679" s="19" t="n">
        <x:v>46235.30552083333</x:v>
      </x:c>
      <x:c r="AN679" s="15" t="str">
        <x:v>Електромонтаж; Блискавкозахист / заземлення</x:v>
      </x:c>
      <x:c r="AO679" s="15" t="str">
        <x:v>not_found_in_top_search</x:v>
      </x:c>
    </x:row>
    <x:row r="680">
      <x:c r="A680" s="14" t="str">
        <x:v>W3-408</x:v>
      </x:c>
      <x:c r="B680" s="14" t="str">
        <x:v>Prozorro winners — 24.08</x:v>
      </x:c>
      <x:c r="C680" s="14" t="str">
        <x:v>ФОП Ткачук Ю.Ю.</x:v>
      </x:c>
      <x:c r="D680" s="14" t="str">
        <x:v>Безпека / СКУД / CCTV</x:v>
      </x:c>
      <x:c r="E680" s="14" t="str">
        <x:v>Expansion discovery</x:v>
      </x:c>
      <x:c r="F680" s="17" t="str">
        <x:v>D3</x:v>
      </x:c>
      <x:c r="G680" s="14" t="str"/>
      <x:c r="H680" s="14" t="str">
        <x:v>Discovery розширення — 2 тижні</x:v>
      </x:c>
      <x:c r="I680" s="16" t="n">
        <x:v>1</x:v>
      </x:c>
      <x:c r="J680" s="16" t="n">
        <x:v>5</x:v>
      </x:c>
      <x:c r="K680" s="16" t="n">
        <x:v>4</x:v>
      </x:c>
      <x:c r="L680" s="16" t="n">
        <x:v>1</x:v>
      </x:c>
      <x:c r="M680" s="16" t="n">
        <x:v>5</x:v>
      </x:c>
      <x:c r="N680" s="16" t="n">
        <x:v>3</x:v>
      </x:c>
      <x:c r="O680" s="16" t="n">
        <x:v>5</x:v>
      </x:c>
      <x:c r="P680" s="16" t="n">
        <x:f>IF(COUNT(I680:O680)&lt;7,"",I680*8+J680*3+K680*2+L680*2+M680*2+N680*2+O680)</x:f>
        <x:v>54</x:v>
      </x:c>
      <x:c r="Q680" s="16" t="n">
        <x:f>IF(COUNT(J680:O680)&lt;6,"",J680*5+K680*4+M680*4+L680*3+N680*2+O680*2)</x:f>
        <x:v>80</x:v>
      </x:c>
      <x:c r="R680" s="14" t="str">
        <x:v>high</x:v>
      </x:c>
      <x:c r="S680" s="14" t="str">
        <x:v>official_prozorro_award_2025_2026</x:v>
      </x:c>
      <x:c r="T680" s="14" t="str">
        <x:v>official_prozorro_api</x:v>
      </x:c>
      <x:c r="U680" s="14" t="str">
        <x:v>Не контактували</x:v>
      </x:c>
      <x:c r="V680" s="15" t="str">
        <x:v>Workflow-audit outreach по UA-2026-05-28-000899-a; попросити 1 пакет здачі та вимоги проєкту</x:v>
      </x:c>
      <x:c r="W680" s="15" t="str">
        <x:v>Власник / виконавець; відповідальний за договір</x:v>
      </x:c>
      <x:c r="X680" s="15" t="str">
        <x:v>1 підтверджених перемог/договорів у Prozorro на 12 000 грн; 1 проєктів зі строком виконання не раніше 24.08.2026.</x:v>
      </x:c>
      <x:c r="Y680" s="15" t="str">
        <x:v>Послуги з монтажу системи контролю доступу у приміщенні Косівської окружної прокуратури; строк до 2026-12-31. Попросити один знеособлений пакет здачі за цим workflow.</x:v>
      </x:c>
      <x:c r="Z680" s="15" t="str">
        <x:v>https://prozorro.gov.ua/tender/UA-2026-05-28-000899-a</x:v>
      </x:c>
      <x:c r="AA680" s="14" t="str">
        <x:v>3193923935</x:v>
      </x:c>
      <x:c r="AB680" s="14" t="str">
        <x:v>2026-08-24</x:v>
      </x:c>
      <x:c r="AC680" s="14" t="str"/>
      <x:c r="AD680" s="20" t="str"/>
      <x:c r="AE680" s="14" t="str"/>
      <x:c r="AF680" s="14" t="n">
        <x:v>43</x:v>
      </x:c>
      <x:c r="AG680" s="14" t="str">
        <x:v>I3</x:v>
      </x:c>
      <x:c r="AH680" s="14" t="n">
        <x:v>1</x:v>
      </x:c>
      <x:c r="AI680" s="14" t="n">
        <x:v>1</x:v>
      </x:c>
      <x:c r="AJ680" s="18" t="n">
        <x:v>12000</x:v>
      </x:c>
      <x:c r="AK680" s="14" t="str">
        <x:v>https://prozorro.gov.ua/tender/UA-2026-05-28-000899-a</x:v>
      </x:c>
      <x:c r="AL680" s="19" t="n">
        <x:v>46170.26546267361</x:v>
      </x:c>
      <x:c r="AM680" s="19" t="n">
        <x:v>46387</x:v>
      </x:c>
      <x:c r="AN680" s="15" t="str">
        <x:v>Безпека / СКУД / CCTV</x:v>
      </x:c>
      <x:c r="AO680" s="15" t="str">
        <x:v>not_found_in_top_search</x:v>
      </x:c>
    </x:row>
    <x:row r="681">
      <x:c r="A681" s="14" t="str">
        <x:v>W3-409</x:v>
      </x:c>
      <x:c r="B681" s="14" t="str">
        <x:v>Prozorro winners — 24.08</x:v>
      </x:c>
      <x:c r="C681" s="14" t="str">
        <x:v>НЕЧМОГЛОД АНДРІЙ ОЛЕКСАНДРОВИЧ</x:v>
      </x:c>
      <x:c r="D681" s="14" t="str">
        <x:v>Мости / інфраструктура</x:v>
      </x:c>
      <x:c r="E681" s="14" t="str">
        <x:v>Expansion discovery</x:v>
      </x:c>
      <x:c r="F681" s="17" t="str">
        <x:v>D3</x:v>
      </x:c>
      <x:c r="G681" s="14" t="str"/>
      <x:c r="H681" s="14" t="str">
        <x:v>Discovery розширення — 2 тижні</x:v>
      </x:c>
      <x:c r="I681" s="16" t="n">
        <x:v>1</x:v>
      </x:c>
      <x:c r="J681" s="16" t="n">
        <x:v>5</x:v>
      </x:c>
      <x:c r="K681" s="16" t="n">
        <x:v>4</x:v>
      </x:c>
      <x:c r="L681" s="16" t="n">
        <x:v>1</x:v>
      </x:c>
      <x:c r="M681" s="16" t="n">
        <x:v>5</x:v>
      </x:c>
      <x:c r="N681" s="16" t="n">
        <x:v>3</x:v>
      </x:c>
      <x:c r="O681" s="16" t="n">
        <x:v>5</x:v>
      </x:c>
      <x:c r="P681" s="16" t="n">
        <x:f>IF(COUNT(I681:O681)&lt;7,"",I681*8+J681*3+K681*2+L681*2+M681*2+N681*2+O681)</x:f>
        <x:v>54</x:v>
      </x:c>
      <x:c r="Q681" s="16" t="n">
        <x:f>IF(COUNT(J681:O681)&lt;6,"",J681*5+K681*4+M681*4+L681*3+N681*2+O681*2)</x:f>
        <x:v>80</x:v>
      </x:c>
      <x:c r="R681" s="14" t="str">
        <x:v>high</x:v>
      </x:c>
      <x:c r="S681" s="14" t="str">
        <x:v>official_prozorro_award_2025_2026</x:v>
      </x:c>
      <x:c r="T681" s="14" t="str">
        <x:v>official_prozorro_api</x:v>
      </x:c>
      <x:c r="U681" s="14" t="str">
        <x:v>Не контактували</x:v>
      </x:c>
      <x:c r="V681" s="15" t="str">
        <x:v>Workflow-audit outreach по UA-2026-06-02-010608-a; попросити 1 пакет здачі та вимоги проєкту</x:v>
      </x:c>
      <x:c r="W681" s="15" t="str">
        <x:v>Власник / виконавець; відповідальний за договір</x:v>
      </x:c>
      <x:c r="X681" s="15" t="str">
        <x:v>1 підтверджених перемог/договорів у Prozorro на 10 240 грн; 1 проєктів зі строком виконання не раніше 24.08.2026.</x:v>
      </x:c>
      <x:c r="Y681"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 строк до 2026-12-31. Попросити один знеособлений пакет здачі за цим workflow.</x:v>
      </x:c>
      <x:c r="Z681" s="15" t="str">
        <x:v>https://prozorro.gov.ua/tender/UA-2026-06-02-010608-a</x:v>
      </x:c>
      <x:c r="AA681" s="14" t="str">
        <x:v>2775613999</x:v>
      </x:c>
      <x:c r="AB681" s="14" t="str">
        <x:v>2026-08-24</x:v>
      </x:c>
      <x:c r="AC681" s="14" t="str"/>
      <x:c r="AD681" s="20" t="str"/>
      <x:c r="AE681" s="14" t="str"/>
      <x:c r="AF681" s="14" t="n">
        <x:v>43</x:v>
      </x:c>
      <x:c r="AG681" s="14" t="str">
        <x:v>I3</x:v>
      </x:c>
      <x:c r="AH681" s="14" t="n">
        <x:v>1</x:v>
      </x:c>
      <x:c r="AI681" s="14" t="n">
        <x:v>1</x:v>
      </x:c>
      <x:c r="AJ681" s="18" t="n">
        <x:v>10240</x:v>
      </x:c>
      <x:c r="AK681" s="14" t="str">
        <x:v>https://prozorro.gov.ua/tender/UA-2026-06-02-010608-a</x:v>
      </x:c>
      <x:c r="AL681" s="19" t="n">
        <x:v>46175.526990046295</x:v>
      </x:c>
      <x:c r="AM681" s="19" t="n">
        <x:v>46387</x:v>
      </x:c>
      <x:c r="AN681" s="15" t="str">
        <x:v>Мости / інфраструктура</x:v>
      </x:c>
      <x:c r="AO681" s="15" t="str">
        <x:v>not_found_in_top_search</x:v>
      </x:c>
    </x:row>
    <x:row r="682">
      <x:c r="A682" s="14" t="str">
        <x:v>W3-410</x:v>
      </x:c>
      <x:c r="B682" s="14" t="str">
        <x:v>Prozorro winners — 24.08</x:v>
      </x:c>
      <x:c r="C682" s="14" t="str">
        <x:v>ЧЕРЕДНІЧЕНКО ДМИТРО ІВАНОВИЧ</x:v>
      </x:c>
      <x:c r="D682" s="14" t="str">
        <x:v>Безпека / СКУД / CCTV</x:v>
      </x:c>
      <x:c r="E682" s="14" t="str">
        <x:v>Expansion discovery</x:v>
      </x:c>
      <x:c r="F682" s="17" t="str">
        <x:v>D3</x:v>
      </x:c>
      <x:c r="G682" s="14" t="str"/>
      <x:c r="H682" s="14" t="str">
        <x:v>Discovery розширення — 2 тижні</x:v>
      </x:c>
      <x:c r="I682" s="16" t="n">
        <x:v>1</x:v>
      </x:c>
      <x:c r="J682" s="16" t="n">
        <x:v>5</x:v>
      </x:c>
      <x:c r="K682" s="16" t="n">
        <x:v>4</x:v>
      </x:c>
      <x:c r="L682" s="16" t="n">
        <x:v>1</x:v>
      </x:c>
      <x:c r="M682" s="16" t="n">
        <x:v>5</x:v>
      </x:c>
      <x:c r="N682" s="16" t="n">
        <x:v>3</x:v>
      </x:c>
      <x:c r="O682" s="16" t="n">
        <x:v>5</x:v>
      </x:c>
      <x:c r="P682" s="16" t="n">
        <x:f>IF(COUNT(I682:O682)&lt;7,"",I682*8+J682*3+K682*2+L682*2+M682*2+N682*2+O682)</x:f>
        <x:v>54</x:v>
      </x:c>
      <x:c r="Q682" s="16" t="n">
        <x:f>IF(COUNT(J682:O682)&lt;6,"",J682*5+K682*4+M682*4+L682*3+N682*2+O682*2)</x:f>
        <x:v>80</x:v>
      </x:c>
      <x:c r="R682" s="14" t="str">
        <x:v>high</x:v>
      </x:c>
      <x:c r="S682" s="14" t="str">
        <x:v>official_prozorro_award_2025_2026</x:v>
      </x:c>
      <x:c r="T682" s="14" t="str">
        <x:v>official_prozorro_api</x:v>
      </x:c>
      <x:c r="U682" s="14" t="str">
        <x:v>Не контактували</x:v>
      </x:c>
      <x:c r="V682" s="15" t="str">
        <x:v>Workflow-audit outreach по UA-2026-07-07-001969-a; попросити 1 пакет здачі та вимоги проєкту</x:v>
      </x:c>
      <x:c r="W682" s="15" t="str">
        <x:v>Власник / виконавець; відповідальний за договір</x:v>
      </x:c>
      <x:c r="X682" s="15" t="str">
        <x:v>1 підтверджених перемог/договорів у Prozorro на 7 200 грн; 1 проєктів зі строком виконання не раніше 24.08.2026.</x:v>
      </x:c>
      <x:c r="Y682" s="15" t="str">
        <x:v>Послуги монтажу та налаштування системи відеоспостереження; строк до 2026-12-31. Попросити один знеособлений пакет здачі за цим workflow.</x:v>
      </x:c>
      <x:c r="Z682" s="15" t="str">
        <x:v>https://prozorro.gov.ua/tender/UA-2026-07-07-001969-a</x:v>
      </x:c>
      <x:c r="AA682" s="14" t="str">
        <x:v>3041613994</x:v>
      </x:c>
      <x:c r="AB682" s="14" t="str">
        <x:v>2026-08-24</x:v>
      </x:c>
      <x:c r="AC682" s="14" t="str"/>
      <x:c r="AD682" s="20" t="str"/>
      <x:c r="AE682" s="14" t="str"/>
      <x:c r="AF682" s="14" t="n">
        <x:v>43</x:v>
      </x:c>
      <x:c r="AG682" s="14" t="str">
        <x:v>I3</x:v>
      </x:c>
      <x:c r="AH682" s="14" t="n">
        <x:v>1</x:v>
      </x:c>
      <x:c r="AI682" s="14" t="n">
        <x:v>1</x:v>
      </x:c>
      <x:c r="AJ682" s="18" t="n">
        <x:v>7200</x:v>
      </x:c>
      <x:c r="AK682" s="14" t="str">
        <x:v>https://prozorro.gov.ua/tender/UA-2026-07-07-001969-a</x:v>
      </x:c>
      <x:c r="AL682" s="19" t="n">
        <x:v>46210.311359375</x:v>
      </x:c>
      <x:c r="AM682" s="19" t="n">
        <x:v>46387</x:v>
      </x:c>
      <x:c r="AN682" s="15" t="str">
        <x:v>Безпека / СКУД / CCTV</x:v>
      </x:c>
      <x:c r="AO682" s="15" t="str">
        <x:v>not_found_in_top_search</x:v>
      </x:c>
    </x:row>
    <x:row r="683">
      <x:c r="A683" s="14" t="str">
        <x:v>W3-411</x:v>
      </x:c>
      <x:c r="B683" s="14" t="str">
        <x:v>Prozorro winners — 24.08</x:v>
      </x:c>
      <x:c r="C683" s="14" t="str">
        <x:v>ШИПОША ОЛЕКСАНДР АНАТОЛІЙОВИЧ</x:v>
      </x:c>
      <x:c r="D683" s="14" t="str">
        <x:v>Сонячна енергетика</x:v>
      </x:c>
      <x:c r="E683" s="14" t="str">
        <x:v>Expansion discovery</x:v>
      </x:c>
      <x:c r="F683" s="17" t="str">
        <x:v>D3</x:v>
      </x:c>
      <x:c r="G683" s="14" t="str"/>
      <x:c r="H683" s="14" t="str">
        <x:v>Discovery розширення — 2 тижні</x:v>
      </x:c>
      <x:c r="I683" s="16" t="n">
        <x:v>1</x:v>
      </x:c>
      <x:c r="J683" s="16" t="n">
        <x:v>5</x:v>
      </x:c>
      <x:c r="K683" s="16" t="n">
        <x:v>4</x:v>
      </x:c>
      <x:c r="L683" s="16" t="n">
        <x:v>1</x:v>
      </x:c>
      <x:c r="M683" s="16" t="n">
        <x:v>5</x:v>
      </x:c>
      <x:c r="N683" s="16" t="n">
        <x:v>3</x:v>
      </x:c>
      <x:c r="O683" s="16" t="n">
        <x:v>5</x:v>
      </x:c>
      <x:c r="P683" s="16" t="n">
        <x:f>IF(COUNT(I683:O683)&lt;7,"",I683*8+J683*3+K683*2+L683*2+M683*2+N683*2+O683)</x:f>
        <x:v>54</x:v>
      </x:c>
      <x:c r="Q683" s="16" t="n">
        <x:f>IF(COUNT(J683:O683)&lt;6,"",J683*5+K683*4+M683*4+L683*3+N683*2+O683*2)</x:f>
        <x:v>80</x:v>
      </x:c>
      <x:c r="R683" s="14" t="str">
        <x:v>high</x:v>
      </x:c>
      <x:c r="S683" s="14" t="str">
        <x:v>official_prozorro_award_2025_2026</x:v>
      </x:c>
      <x:c r="T683" s="14" t="str">
        <x:v>official_prozorro_api</x:v>
      </x:c>
      <x:c r="U683" s="14" t="str">
        <x:v>Не контактували</x:v>
      </x:c>
      <x:c r="V683" s="15" t="str">
        <x:v>Workflow-audit outreach по UA-2026-06-01-009569-a; попросити 1 пакет здачі та вимоги проєкту</x:v>
      </x:c>
      <x:c r="W683" s="15" t="str">
        <x:v>Власник / виконавець; відповідальний за договір</x:v>
      </x:c>
      <x:c r="X683" s="15" t="str">
        <x:v>1 підтверджених перемог/договорів у Prozorro на 7 120 грн; 1 проєктів зі строком виконання не раніше 24.08.2026.</x:v>
      </x:c>
      <x:c r="Y683"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83" s="15" t="str">
        <x:v>https://prozorro.gov.ua/tender/UA-2026-06-01-009569-a</x:v>
      </x:c>
      <x:c r="AA683" s="14" t="str">
        <x:v>2888517635</x:v>
      </x:c>
      <x:c r="AB683" s="14" t="str">
        <x:v>2026-08-24</x:v>
      </x:c>
      <x:c r="AC683" s="14" t="str"/>
      <x:c r="AD683" s="20" t="str"/>
      <x:c r="AE683" s="14" t="str"/>
      <x:c r="AF683" s="14" t="n">
        <x:v>43</x:v>
      </x:c>
      <x:c r="AG683" s="14" t="str">
        <x:v>I3</x:v>
      </x:c>
      <x:c r="AH683" s="14" t="n">
        <x:v>1</x:v>
      </x:c>
      <x:c r="AI683" s="14" t="n">
        <x:v>1</x:v>
      </x:c>
      <x:c r="AJ683" s="18" t="n">
        <x:v>7120</x:v>
      </x:c>
      <x:c r="AK683" s="14" t="str">
        <x:v>https://prozorro.gov.ua/tender/UA-2026-06-01-009569-a</x:v>
      </x:c>
      <x:c r="AL683" s="19" t="n">
        <x:v>46174.526771689816</x:v>
      </x:c>
      <x:c r="AM683" s="19" t="n">
        <x:v>46265</x:v>
      </x:c>
      <x:c r="AN683" s="15" t="str">
        <x:v>Сонячна енергетика</x:v>
      </x:c>
      <x:c r="AO683" s="15" t="str">
        <x:v>not_found_in_top_search</x:v>
      </x:c>
    </x:row>
    <x:row r="684">
      <x:c r="A684" s="14" t="str">
        <x:v>W3-412</x:v>
      </x:c>
      <x:c r="B684" s="14" t="str">
        <x:v>Prozorro winners — 24.08</x:v>
      </x:c>
      <x:c r="C684" s="14" t="str">
        <x:v>Фізична особа-підприємець Зягун Микола Володимирович</x:v>
      </x:c>
      <x:c r="D684" s="14" t="str">
        <x:v>Безпека / СКУД / CCTV</x:v>
      </x:c>
      <x:c r="E684" s="14" t="str">
        <x:v>Expansion discovery</x:v>
      </x:c>
      <x:c r="F684" s="17" t="str">
        <x:v>D3</x:v>
      </x:c>
      <x:c r="G684" s="14" t="str"/>
      <x:c r="H684" s="14" t="str">
        <x:v>Discovery розширення — 2 тижні</x:v>
      </x:c>
      <x:c r="I684" s="16" t="n">
        <x:v>1</x:v>
      </x:c>
      <x:c r="J684" s="16" t="n">
        <x:v>5</x:v>
      </x:c>
      <x:c r="K684" s="16" t="n">
        <x:v>4</x:v>
      </x:c>
      <x:c r="L684" s="16" t="n">
        <x:v>1</x:v>
      </x:c>
      <x:c r="M684" s="16" t="n">
        <x:v>5</x:v>
      </x:c>
      <x:c r="N684" s="16" t="n">
        <x:v>3</x:v>
      </x:c>
      <x:c r="O684" s="16" t="n">
        <x:v>5</x:v>
      </x:c>
      <x:c r="P684" s="16" t="n">
        <x:f>IF(COUNT(I684:O684)&lt;7,"",I684*8+J684*3+K684*2+L684*2+M684*2+N684*2+O684)</x:f>
        <x:v>54</x:v>
      </x:c>
      <x:c r="Q684" s="16" t="n">
        <x:f>IF(COUNT(J684:O684)&lt;6,"",J684*5+K684*4+M684*4+L684*3+N684*2+O684*2)</x:f>
        <x:v>80</x:v>
      </x:c>
      <x:c r="R684" s="14" t="str">
        <x:v>high</x:v>
      </x:c>
      <x:c r="S684" s="14" t="str">
        <x:v>official_prozorro_award_2025_2026</x:v>
      </x:c>
      <x:c r="T684" s="14" t="str">
        <x:v>official_prozorro_api</x:v>
      </x:c>
      <x:c r="U684" s="14" t="str">
        <x:v>Не контактували</x:v>
      </x:c>
      <x:c r="V684" s="15" t="str">
        <x:v>Workflow-audit outreach по UA-2026-06-17-005254-a; попросити 1 пакет здачі та вимоги проєкту</x:v>
      </x:c>
      <x:c r="W684" s="15" t="str">
        <x:v>Власник / виконавець; відповідальний за договір</x:v>
      </x:c>
      <x:c r="X684" s="15" t="str">
        <x:v>1 підтверджених перемог/договорів у Prozorro на 5 616 грн; 1 проєктів зі строком виконання не раніше 24.08.2026.</x:v>
      </x:c>
      <x:c r="Y684" s="15" t="str">
        <x:v>Послуги по монтажу системи відеоспостереження; строк до 2026-12-31. Попросити один знеособлений пакет здачі за цим workflow.</x:v>
      </x:c>
      <x:c r="Z684" s="15" t="str">
        <x:v>https://prozorro.gov.ua/tender/UA-2026-06-17-005254-a</x:v>
      </x:c>
      <x:c r="AA684" s="14" t="str">
        <x:v>3045015151</x:v>
      </x:c>
      <x:c r="AB684" s="14" t="str">
        <x:v>2026-08-24</x:v>
      </x:c>
      <x:c r="AC684" s="14" t="str"/>
      <x:c r="AD684" s="20" t="str"/>
      <x:c r="AE684" s="14" t="str"/>
      <x:c r="AF684" s="14" t="n">
        <x:v>43</x:v>
      </x:c>
      <x:c r="AG684" s="14" t="str">
        <x:v>I3</x:v>
      </x:c>
      <x:c r="AH684" s="14" t="n">
        <x:v>1</x:v>
      </x:c>
      <x:c r="AI684" s="14" t="n">
        <x:v>1</x:v>
      </x:c>
      <x:c r="AJ684" s="18" t="n">
        <x:v>5616</x:v>
      </x:c>
      <x:c r="AK684" s="14" t="str">
        <x:v>https://prozorro.gov.ua/tender/UA-2026-06-17-005254-a</x:v>
      </x:c>
      <x:c r="AL684" s="19" t="n">
        <x:v>46190.376203148146</x:v>
      </x:c>
      <x:c r="AM684" s="19" t="n">
        <x:v>46387</x:v>
      </x:c>
      <x:c r="AN684" s="15" t="str">
        <x:v>Безпека / СКУД / CCTV</x:v>
      </x:c>
      <x:c r="AO684" s="15" t="str">
        <x:v>not_found_in_top_search</x:v>
      </x:c>
    </x:row>
    <x:row r="685">
      <x:c r="A685" s="14" t="str">
        <x:v>W3-413</x:v>
      </x:c>
      <x:c r="B685" s="14" t="str">
        <x:v>Prozorro winners — 24.08</x:v>
      </x:c>
      <x:c r="C685" s="14" t="str">
        <x:v>ФОП Синиця Олександр Олександрович</x:v>
      </x:c>
      <x:c r="D685" s="14" t="str">
        <x:v>Насосні станції</x:v>
      </x:c>
      <x:c r="E685" s="14" t="str">
        <x:v>Expansion discovery</x:v>
      </x:c>
      <x:c r="F685" s="17" t="str">
        <x:v>D3</x:v>
      </x:c>
      <x:c r="G685" s="14" t="str"/>
      <x:c r="H685" s="14" t="str">
        <x:v>Discovery розширення — 2 тижні</x:v>
      </x:c>
      <x:c r="I685" s="16" t="n">
        <x:v>1</x:v>
      </x:c>
      <x:c r="J685" s="16" t="n">
        <x:v>5</x:v>
      </x:c>
      <x:c r="K685" s="16" t="n">
        <x:v>4</x:v>
      </x:c>
      <x:c r="L685" s="16" t="n">
        <x:v>1</x:v>
      </x:c>
      <x:c r="M685" s="16" t="n">
        <x:v>5</x:v>
      </x:c>
      <x:c r="N685" s="16" t="n">
        <x:v>3</x:v>
      </x:c>
      <x:c r="O685" s="16" t="n">
        <x:v>5</x:v>
      </x:c>
      <x:c r="P685" s="16" t="n">
        <x:f>IF(COUNT(I685:O685)&lt;7,"",I685*8+J685*3+K685*2+L685*2+M685*2+N685*2+O685)</x:f>
        <x:v>54</x:v>
      </x:c>
      <x:c r="Q685" s="16" t="n">
        <x:f>IF(COUNT(J685:O685)&lt;6,"",J685*5+K685*4+M685*4+L685*3+N685*2+O685*2)</x:f>
        <x:v>80</x:v>
      </x:c>
      <x:c r="R685" s="14" t="str">
        <x:v>high</x:v>
      </x:c>
      <x:c r="S685" s="14" t="str">
        <x:v>official_prozorro_award_2025_2026</x:v>
      </x:c>
      <x:c r="T685" s="14" t="str">
        <x:v>official_prozorro_api</x:v>
      </x:c>
      <x:c r="U685" s="14" t="str">
        <x:v>Не контактували</x:v>
      </x:c>
      <x:c r="V685" s="15" t="str">
        <x:v>Workflow-audit outreach по UA-2026-05-05-006402-a; попросити 1 пакет здачі та вимоги проєкту</x:v>
      </x:c>
      <x:c r="W685" s="15" t="str">
        <x:v>Власник / виконавець; відповідальний за договір</x:v>
      </x:c>
      <x:c r="X685" s="15" t="str">
        <x:v>1 підтверджених перемог/договорів у Prozorro на 5 340 грн; 1 проєктів зі строком виконання не раніше 24.08.2026.</x:v>
      </x:c>
      <x:c r="Y685"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 строк до 2026-12-31. Попросити один знеособлений пакет здачі за цим workflow.</x:v>
      </x:c>
      <x:c r="Z685" s="15" t="str">
        <x:v>https://prozorro.gov.ua/tender/UA-2026-05-05-006402-a</x:v>
      </x:c>
      <x:c r="AA685" s="14" t="str">
        <x:v>3664310511</x:v>
      </x:c>
      <x:c r="AB685" s="14" t="str">
        <x:v>2026-08-24</x:v>
      </x:c>
      <x:c r="AC685" s="14" t="str"/>
      <x:c r="AD685" s="20" t="str"/>
      <x:c r="AE685" s="14" t="str"/>
      <x:c r="AF685" s="14" t="n">
        <x:v>43</x:v>
      </x:c>
      <x:c r="AG685" s="14" t="str">
        <x:v>I3</x:v>
      </x:c>
      <x:c r="AH685" s="14" t="n">
        <x:v>1</x:v>
      </x:c>
      <x:c r="AI685" s="14" t="n">
        <x:v>1</x:v>
      </x:c>
      <x:c r="AJ685" s="18" t="n">
        <x:v>5340</x:v>
      </x:c>
      <x:c r="AK685" s="14" t="str">
        <x:v>https://prozorro.gov.ua/tender/UA-2026-05-05-006402-a</x:v>
      </x:c>
      <x:c r="AL685" s="19" t="n">
        <x:v>46147.398541041664</x:v>
      </x:c>
      <x:c r="AM685" s="19" t="n">
        <x:v>46387.438784722224</x:v>
      </x:c>
      <x:c r="AN685" s="15" t="str">
        <x:v>Насосні станції</x:v>
      </x:c>
      <x:c r="AO685" s="15" t="str">
        <x:v>not_found_in_top_search</x:v>
      </x:c>
    </x:row>
    <x:row r="686">
      <x:c r="A686" s="14" t="str">
        <x:v>W3-414</x:v>
      </x:c>
      <x:c r="B686" s="14" t="str">
        <x:v>Prozorro winners — 24.08</x:v>
      </x:c>
      <x:c r="C686" s="14" t="str">
        <x:v>ФОП Семеник Олексій Сергійович</x:v>
      </x:c>
      <x:c r="D686" s="14" t="str">
        <x:v>HVAC / ОВіК</x:v>
      </x:c>
      <x:c r="E686" s="14" t="str">
        <x:v>Pilot now</x:v>
      </x:c>
      <x:c r="F686" s="17" t="str">
        <x:v>P3</x:v>
      </x:c>
      <x:c r="G686" s="14" t="str"/>
      <x:c r="H686" s="14" t="str">
        <x:v>Пілот зараз — Н.14</x:v>
      </x:c>
      <x:c r="I686" s="16" t="n">
        <x:v>5</x:v>
      </x:c>
      <x:c r="J686" s="16" t="n">
        <x:v>5</x:v>
      </x:c>
      <x:c r="K686" s="16" t="n">
        <x:v>5</x:v>
      </x:c>
      <x:c r="L686" s="16" t="n">
        <x:v>1</x:v>
      </x:c>
      <x:c r="M686" s="16" t="n">
        <x:v>5</x:v>
      </x:c>
      <x:c r="N686" s="16" t="n">
        <x:v>3</x:v>
      </x:c>
      <x:c r="O686" s="16" t="n">
        <x:v>5</x:v>
      </x:c>
      <x:c r="P686" s="16" t="n">
        <x:f>IF(COUNT(I686:O686)&lt;7,"",I686*8+J686*3+K686*2+L686*2+M686*2+N686*2+O686)</x:f>
        <x:v>88</x:v>
      </x:c>
      <x:c r="Q686" s="16" t="n">
        <x:f>IF(COUNT(J686:O686)&lt;6,"",J686*5+K686*4+M686*4+L686*3+N686*2+O686*2)</x:f>
        <x:v>84</x:v>
      </x:c>
      <x:c r="R686" s="14" t="str">
        <x:v>high</x:v>
      </x:c>
      <x:c r="S686" s="14" t="str">
        <x:v>official_prozorro_award_2025_2026</x:v>
      </x:c>
      <x:c r="T686" s="14" t="str">
        <x:v>official_prozorro_api</x:v>
      </x:c>
      <x:c r="U686" s="14" t="str">
        <x:v>Не контактували</x:v>
      </x:c>
      <x:c r="V686" s="15" t="str">
        <x:v>Персоналізований free-pilot outreach по UA-2026-04-30-007020-a; попросити 1 пакет Н.14/Н.15</x:v>
      </x:c>
      <x:c r="W686" s="15" t="str">
        <x:v>Власник / виконавець; відповідальний за договір</x:v>
      </x:c>
      <x:c r="X686" s="15" t="str">
        <x:v>1 підтверджених перемог/договорів у Prozorro на 5 000 грн; 1 проєктів зі строком виконання не раніше 24.08.2026.</x:v>
      </x:c>
      <x:c r="Y686"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 строк до 2026-12-31. Попросити один знеособлений пакет здачі за цим workflow.</x:v>
      </x:c>
      <x:c r="Z686" s="15" t="str">
        <x:v>https://prozorro.gov.ua/tender/UA-2026-04-30-007020-a</x:v>
      </x:c>
      <x:c r="AA686" s="14" t="str">
        <x:v>3299302258</x:v>
      </x:c>
      <x:c r="AB686" s="14" t="str">
        <x:v>2026-08-24</x:v>
      </x:c>
      <x:c r="AC686" s="14" t="str"/>
      <x:c r="AD686" s="20" t="str"/>
      <x:c r="AE686" s="14" t="str"/>
      <x:c r="AF686" s="14" t="n">
        <x:v>43</x:v>
      </x:c>
      <x:c r="AG686" s="14" t="str">
        <x:v>I3</x:v>
      </x:c>
      <x:c r="AH686" s="14" t="n">
        <x:v>1</x:v>
      </x:c>
      <x:c r="AI686" s="14" t="n">
        <x:v>1</x:v>
      </x:c>
      <x:c r="AJ686" s="18" t="n">
        <x:v>5000</x:v>
      </x:c>
      <x:c r="AK686" s="14" t="str">
        <x:v>https://prozorro.gov.ua/tender/UA-2026-04-30-007020-a</x:v>
      </x:c>
      <x:c r="AL686" s="19" t="n">
        <x:v>46142.47348383102</x:v>
      </x:c>
      <x:c r="AM686" s="19" t="n">
        <x:v>46387</x:v>
      </x:c>
      <x:c r="AN686" s="15" t="str">
        <x:v>HVAC / ОВіК</x:v>
      </x:c>
      <x:c r="AO686" s="15" t="str">
        <x:v>not_found_in_top_search</x:v>
      </x:c>
    </x:row>
    <x:row r="687">
      <x:c r="A687" s="14" t="str">
        <x:v>W3-415</x:v>
      </x:c>
      <x:c r="B687" s="14" t="str">
        <x:v>Prozorro winners — 24.08</x:v>
      </x:c>
      <x:c r="C687" s="14" t="str">
        <x:v>МАЛЬЦЕВ ВЯЧЕСЛАВ ВОЛОДИМИРОВИЧ</x:v>
      </x:c>
      <x:c r="D687" s="14" t="str">
        <x:v>Газопостачання / котельні</x:v>
      </x:c>
      <x:c r="E687" s="14" t="str">
        <x:v>Expansion discovery</x:v>
      </x:c>
      <x:c r="F687" s="17" t="str">
        <x:v>D3</x:v>
      </x:c>
      <x:c r="G687" s="14" t="str"/>
      <x:c r="H687" s="14" t="str">
        <x:v>Discovery розширення — 2 тижні</x:v>
      </x:c>
      <x:c r="I687" s="16" t="n">
        <x:v>1</x:v>
      </x:c>
      <x:c r="J687" s="16" t="n">
        <x:v>5</x:v>
      </x:c>
      <x:c r="K687" s="16" t="n">
        <x:v>4</x:v>
      </x:c>
      <x:c r="L687" s="16" t="n">
        <x:v>2</x:v>
      </x:c>
      <x:c r="M687" s="16" t="n">
        <x:v>5</x:v>
      </x:c>
      <x:c r="N687" s="16" t="n">
        <x:v>3</x:v>
      </x:c>
      <x:c r="O687" s="16" t="n">
        <x:v>5</x:v>
      </x:c>
      <x:c r="P687" s="16" t="n">
        <x:f>IF(COUNT(I687:O687)&lt;7,"",I687*8+J687*3+K687*2+L687*2+M687*2+N687*2+O687)</x:f>
        <x:v>56</x:v>
      </x:c>
      <x:c r="Q687" s="16" t="n">
        <x:f>IF(COUNT(J687:O687)&lt;6,"",J687*5+K687*4+M687*4+L687*3+N687*2+O687*2)</x:f>
        <x:v>83</x:v>
      </x:c>
      <x:c r="R687" s="14" t="str">
        <x:v>high</x:v>
      </x:c>
      <x:c r="S687" s="14" t="str">
        <x:v>official_prozorro_award_2025_2026</x:v>
      </x:c>
      <x:c r="T687" s="14" t="str">
        <x:v>official_prozorro_api</x:v>
      </x:c>
      <x:c r="U687" s="14" t="str">
        <x:v>Не контактували</x:v>
      </x:c>
      <x:c r="V687" s="15" t="str">
        <x:v>Workflow-audit outreach по UA-2026-05-18-007697-a; попросити 1 пакет здачі та вимоги проєкту</x:v>
      </x:c>
      <x:c r="W687" s="15" t="str">
        <x:v>Власник / виконавець; відповідальний за договір</x:v>
      </x:c>
      <x:c r="X687" s="15" t="str">
        <x:v>1 підтверджених перемог/договорів у Prozorro на 241 293 грн; 0 проєктів зі строком виконання не раніше 24.08.2026.</x:v>
      </x:c>
      <x:c r="Y687"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 строк до 2026-06-30. Попросити один знеособлений пакет здачі за цим workflow.</x:v>
      </x:c>
      <x:c r="Z687" s="15" t="str">
        <x:v>https://prozorro.gov.ua/tender/UA-2026-05-18-007697-a</x:v>
      </x:c>
      <x:c r="AA687" s="14" t="str">
        <x:v>3050226417</x:v>
      </x:c>
      <x:c r="AB687" s="14" t="str">
        <x:v>2026-08-24</x:v>
      </x:c>
      <x:c r="AC687" s="14" t="str"/>
      <x:c r="AD687" s="20" t="str"/>
      <x:c r="AE687" s="14" t="str"/>
      <x:c r="AF687" s="14" t="n">
        <x:v>42</x:v>
      </x:c>
      <x:c r="AG687" s="14" t="str">
        <x:v>I3</x:v>
      </x:c>
      <x:c r="AH687" s="14" t="n">
        <x:v>1</x:v>
      </x:c>
      <x:c r="AI687" s="14" t="n">
        <x:v>0</x:v>
      </x:c>
      <x:c r="AJ687" s="18" t="n">
        <x:v>241293.44</x:v>
      </x:c>
      <x:c r="AK687" s="14" t="str">
        <x:v>https://prozorro.gov.ua/tender/UA-2026-05-18-007697-a</x:v>
      </x:c>
      <x:c r="AL687" s="19" t="n">
        <x:v>46160.46988414352</x:v>
      </x:c>
      <x:c r="AM687" s="19" t="n">
        <x:v>46203</x:v>
      </x:c>
      <x:c r="AN687" s="15" t="str">
        <x:v>Газопостачання / котельні</x:v>
      </x:c>
      <x:c r="AO687" s="15" t="str">
        <x:v>not_found_in_top_search</x:v>
      </x:c>
    </x:row>
    <x:row r="688">
      <x:c r="A688" s="14" t="str">
        <x:v>W3-416</x:v>
      </x:c>
      <x:c r="B688" s="14" t="str">
        <x:v>Prozorro winners — 24.08</x:v>
      </x:c>
      <x:c r="C688" s="14" t="str">
        <x:v>ТзОВ "Інфоком"</x:v>
      </x:c>
      <x:c r="D688" s="14" t="str">
        <x:v>ГНБ / безтраншейні роботи</x:v>
      </x:c>
      <x:c r="E688" s="14" t="str">
        <x:v>Expansion discovery</x:v>
      </x:c>
      <x:c r="F688" s="17" t="str">
        <x:v>D3</x:v>
      </x:c>
      <x:c r="G688" s="14" t="str"/>
      <x:c r="H688" s="14" t="str">
        <x:v>Discovery розширення — 2 тижні</x:v>
      </x:c>
      <x:c r="I688" s="16" t="n">
        <x:v>1</x:v>
      </x:c>
      <x:c r="J688" s="16" t="n">
        <x:v>5</x:v>
      </x:c>
      <x:c r="K688" s="16" t="n">
        <x:v>4</x:v>
      </x:c>
      <x:c r="L688" s="16" t="n">
        <x:v>2</x:v>
      </x:c>
      <x:c r="M688" s="16" t="n">
        <x:v>5</x:v>
      </x:c>
      <x:c r="N688" s="16" t="n">
        <x:v>5</x:v>
      </x:c>
      <x:c r="O688" s="16" t="n">
        <x:v>5</x:v>
      </x:c>
      <x:c r="P688" s="16" t="n">
        <x:f>IF(COUNT(I688:O688)&lt;7,"",I688*8+J688*3+K688*2+L688*2+M688*2+N688*2+O688)</x:f>
        <x:v>60</x:v>
      </x:c>
      <x:c r="Q688" s="16" t="n">
        <x:f>IF(COUNT(J688:O688)&lt;6,"",J688*5+K688*4+M688*4+L688*3+N688*2+O688*2)</x:f>
        <x:v>87</x:v>
      </x:c>
      <x:c r="R688" s="14" t="str">
        <x:v>high</x:v>
      </x:c>
      <x:c r="S688" s="14" t="str">
        <x:v>official_prozorro_award_2025_2026</x:v>
      </x:c>
      <x:c r="T688" s="14" t="str">
        <x:v>official_prozorro_api</x:v>
      </x:c>
      <x:c r="U688" s="14" t="str">
        <x:v>Не контактували</x:v>
      </x:c>
      <x:c r="V688" s="15" t="str">
        <x:v>Повторне звернення з новим тендерним сигналом UA-2024-10-09-003692-a; попросити 1 пакет здачі</x:v>
      </x:c>
      <x:c r="W688" s="15" t="str">
        <x:v>Власник / директор; керівник ПТО; відповідальний за договори</x:v>
      </x:c>
      <x:c r="X688" s="15" t="str">
        <x:v>2 підтверджених перемог/договорів у Prozorro на 202 309 грн; 0 проєктів зі строком виконання не раніше 24.08.2026.</x:v>
      </x:c>
      <x:c r="Y688"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 строк до 2026-02-28. Попросити один знеособлений пакет здачі за цим workflow.</x:v>
      </x:c>
      <x:c r="Z688" s="15" t="str">
        <x:v>https://prozorro.gov.ua/tender/UA-2026-02-13-000625-a</x:v>
      </x:c>
      <x:c r="AA688" s="14" t="str">
        <x:v>25228900</x:v>
      </x:c>
      <x:c r="AB688" s="14" t="str">
        <x:v>2026-08-24</x:v>
      </x:c>
      <x:c r="AC688" s="14" t="str"/>
      <x:c r="AD688" s="20" t="str"/>
      <x:c r="AE688" s="14" t="str"/>
      <x:c r="AF688" s="14" t="n">
        <x:v>50</x:v>
      </x:c>
      <x:c r="AG688" s="14" t="str">
        <x:v>I3</x:v>
      </x:c>
      <x:c r="AH688" s="14" t="n">
        <x:v>5</x:v>
      </x:c>
      <x:c r="AI688" s="14" t="n">
        <x:v>0</x:v>
      </x:c>
      <x:c r="AJ688" s="18" t="n">
        <x:v>391083.70999999996</x:v>
      </x:c>
      <x:c r="AK688" s="14" t="str">
        <x:v>https://prozorro.gov.ua/tender/UA-2024-10-09-003692-a</x:v>
      </x:c>
      <x:c r="AL688" s="19" t="n">
        <x:v>45574.337673333335</x:v>
      </x:c>
      <x:c r="AM688" s="19" t="n">
        <x:v>45657.380324074074</x:v>
      </x:c>
      <x:c r="AN688" s="15" t="str">
        <x:v>ГНБ / безтраншейні роботи</x:v>
      </x:c>
      <x:c r="AO688" s="15" t="str">
        <x:v>not_found_in_top_search</x:v>
      </x:c>
    </x:row>
    <x:row r="689">
      <x:c r="A689" s="14" t="str">
        <x:v>W3-417</x:v>
      </x:c>
      <x:c r="B689" s="14" t="str">
        <x:v>Prozorro winners — 24.08</x:v>
      </x:c>
      <x:c r="C689" s="14" t="str">
        <x:v>Товариство з обмеженою відповідальністю "Ковельпроект"</x:v>
      </x:c>
      <x:c r="D689" s="14" t="str">
        <x:v>Водоочищення / очисні споруди</x:v>
      </x:c>
      <x:c r="E689" s="14" t="str">
        <x:v>Expansion discovery</x:v>
      </x:c>
      <x:c r="F689" s="17" t="str">
        <x:v>D3</x:v>
      </x:c>
      <x:c r="G689" s="14" t="str"/>
      <x:c r="H689" s="14" t="str">
        <x:v>Discovery розширення — 2 тижні</x:v>
      </x:c>
      <x:c r="I689" s="16" t="n">
        <x:v>1</x:v>
      </x:c>
      <x:c r="J689" s="16" t="n">
        <x:v>5</x:v>
      </x:c>
      <x:c r="K689" s="16" t="n">
        <x:v>4</x:v>
      </x:c>
      <x:c r="L689" s="16" t="n">
        <x:v>2</x:v>
      </x:c>
      <x:c r="M689" s="16" t="n">
        <x:v>5</x:v>
      </x:c>
      <x:c r="N689" s="16" t="n">
        <x:v>5</x:v>
      </x:c>
      <x:c r="O689" s="16" t="n">
        <x:v>5</x:v>
      </x:c>
      <x:c r="P689" s="16" t="n">
        <x:f>IF(COUNT(I689:O689)&lt;7,"",I689*8+J689*3+K689*2+L689*2+M689*2+N689*2+O689)</x:f>
        <x:v>60</x:v>
      </x:c>
      <x:c r="Q689" s="16" t="n">
        <x:f>IF(COUNT(J689:O689)&lt;6,"",J689*5+K689*4+M689*4+L689*3+N689*2+O689*2)</x:f>
        <x:v>87</x:v>
      </x:c>
      <x:c r="R689" s="14" t="str">
        <x:v>high</x:v>
      </x:c>
      <x:c r="S689" s="14" t="str">
        <x:v>official_prozorro_award_2025_2026</x:v>
      </x:c>
      <x:c r="T689" s="14" t="str">
        <x:v>official_prozorro_api</x:v>
      </x:c>
      <x:c r="U689" s="14" t="str">
        <x:v>Не контактували</x:v>
      </x:c>
      <x:c r="V689" s="15" t="str">
        <x:v>Повторне звернення з новим тендерним сигналом UA-2026-06-22-009670-a; попросити 1 пакет здачі</x:v>
      </x:c>
      <x:c r="W689" s="15" t="str">
        <x:v>Власник / директор; керівник ПТО; відповідальний за договори</x:v>
      </x:c>
      <x:c r="X689" s="15" t="str">
        <x:v>1 підтверджених перемог/договорів у Prozorro на 100 858 грн; 1 проєктів зі строком виконання не раніше 24.08.2026.</x:v>
      </x:c>
      <x:c r="Y689" s="15" t="str">
        <x:v>Реконструкція електромереж від КГУ на котельні с. Вербка, вул. Молодіжна, 13 до очисних споруд по вул. Грабовського в м. Ковель; строк до 2026-12-31. Попросити один знеособлений пакет здачі за цим workflow.</x:v>
      </x:c>
      <x:c r="Z689" s="15" t="str">
        <x:v>https://prozorro.gov.ua/tender/UA-2026-03-20-004544-a</x:v>
      </x:c>
      <x:c r="AA689" s="14" t="str">
        <x:v>45937126</x:v>
      </x:c>
      <x:c r="AB689" s="14" t="str">
        <x:v>2026-08-24</x:v>
      </x:c>
      <x:c r="AC689" s="14" t="str"/>
      <x:c r="AD689" s="20" t="str"/>
      <x:c r="AE689" s="14" t="str"/>
      <x:c r="AF689" s="14" t="n">
        <x:v>46</x:v>
      </x:c>
      <x:c r="AG689" s="14" t="str">
        <x:v>I3</x:v>
      </x:c>
      <x:c r="AH689" s="14" t="n">
        <x:v>2</x:v>
      </x:c>
      <x:c r="AI689" s="14" t="n">
        <x:v>2</x:v>
      </x:c>
      <x:c r="AJ689" s="18" t="n">
        <x:v>180358</x:v>
      </x:c>
      <x:c r="AK689" s="14" t="str">
        <x:v>https://prozorro.gov.ua/tender/UA-2026-06-22-009670-a</x:v>
      </x:c>
      <x:c r="AL689" s="19" t="n">
        <x:v>46195.51080287037</x:v>
      </x:c>
      <x:c r="AM689" s="19" t="n">
        <x:v>46387</x:v>
      </x:c>
      <x:c r="AN689" s="15" t="str">
        <x:v>Водоочищення / очисні споруди; Зовнішні мережі</x:v>
      </x:c>
      <x:c r="AO689" s="15" t="str">
        <x:v>not_found_in_top_search</x:v>
      </x:c>
    </x:row>
    <x:row r="690">
      <x:c r="A690" s="14" t="str">
        <x:v>W3-418</x:v>
      </x:c>
      <x:c r="B690" s="14" t="str">
        <x:v>Prozorro winners — 24.08</x:v>
      </x:c>
      <x:c r="C690" s="14" t="str">
        <x:v>ТОВАРИСТВО З ОБМЕЖЕНОЮ ВІДПОВІДАЛЬНІСТЮ З ІНОЗЕМНИМИ ІНВЕСТИЦІЯМИ "ЮРОМАШ"</x:v>
      </x:c>
      <x:c r="D690" s="14" t="str">
        <x:v>ГНБ / безтраншейні роботи</x:v>
      </x:c>
      <x:c r="E690" s="14" t="str">
        <x:v>Expansion discovery</x:v>
      </x:c>
      <x:c r="F690" s="17" t="str">
        <x:v>D3</x:v>
      </x:c>
      <x:c r="G690" s="14" t="str"/>
      <x:c r="H690" s="14" t="str">
        <x:v>Discovery розширення — 2 тижні</x:v>
      </x:c>
      <x:c r="I690" s="16" t="n">
        <x:v>1</x:v>
      </x:c>
      <x:c r="J690" s="16" t="n">
        <x:v>5</x:v>
      </x:c>
      <x:c r="K690" s="16" t="n">
        <x:v>4</x:v>
      </x:c>
      <x:c r="L690" s="16" t="n">
        <x:v>5</x:v>
      </x:c>
      <x:c r="M690" s="16" t="n">
        <x:v>5</x:v>
      </x:c>
      <x:c r="N690" s="16" t="n">
        <x:v>5</x:v>
      </x:c>
      <x:c r="O690" s="16" t="n">
        <x:v>5</x:v>
      </x:c>
      <x:c r="P690" s="16" t="n">
        <x:f>IF(COUNT(I690:O690)&lt;7,"",I690*8+J690*3+K690*2+L690*2+M690*2+N690*2+O690)</x:f>
        <x:v>66</x:v>
      </x:c>
      <x:c r="Q690" s="16" t="n">
        <x:f>IF(COUNT(J690:O690)&lt;6,"",J690*5+K690*4+M690*4+L690*3+N690*2+O690*2)</x:f>
        <x:v>96</x:v>
      </x:c>
      <x:c r="R690" s="14" t="str">
        <x:v>high</x:v>
      </x:c>
      <x:c r="S690" s="14" t="str">
        <x:v>official_prozorro_award_2025_2026</x:v>
      </x:c>
      <x:c r="T690" s="14" t="str">
        <x:v>official_prozorro_api</x:v>
      </x:c>
      <x:c r="U690" s="14" t="str">
        <x:v>Не контактували</x:v>
      </x:c>
      <x:c r="V690" s="15" t="str">
        <x:v>Workflow-audit outreach по UA-2025-10-01-003923-a; попросити 1 пакет здачі та вимоги проєкту</x:v>
      </x:c>
      <x:c r="W690" s="15" t="str">
        <x:v>Власник / директор; керівник ПТО; відповідальний за договори</x:v>
      </x:c>
      <x:c r="X690" s="15" t="str">
        <x:v>1 підтверджених перемог/договорів у Prozorro на 12 433 700 грн; 0 проєктів зі строком виконання не раніше 24.08.2026.</x:v>
      </x:c>
      <x:c r="Y690" s="15" t="str">
        <x:v>25Т-469_43130000-3 - Бурове обладнання (Установка горизонтально-направленого буріння); строк до 2025-12-31. Попросити один знеособлений пакет здачі за цим workflow.</x:v>
      </x:c>
      <x:c r="Z690" s="15" t="str">
        <x:v>https://prozorro.gov.ua/tender/UA-2025-10-01-003923-a</x:v>
      </x:c>
      <x:c r="AA690" s="14" t="str">
        <x:v>32849408</x:v>
      </x:c>
      <x:c r="AB690" s="14" t="str">
        <x:v>2026-08-24</x:v>
      </x:c>
      <x:c r="AC690" s="14" t="str"/>
      <x:c r="AD690" s="20" t="str"/>
      <x:c r="AE690" s="14" t="str"/>
      <x:c r="AF690" s="14" t="n">
        <x:v>41</x:v>
      </x:c>
      <x:c r="AG690" s="14" t="str">
        <x:v>I3</x:v>
      </x:c>
      <x:c r="AH690" s="14" t="n">
        <x:v>1</x:v>
      </x:c>
      <x:c r="AI690" s="14" t="n">
        <x:v>0</x:v>
      </x:c>
      <x:c r="AJ690" s="18" t="n">
        <x:v>12433700</x:v>
      </x:c>
      <x:c r="AK690" s="14" t="str">
        <x:v>https://prozorro.gov.ua/tender/UA-2025-10-01-003923-a</x:v>
      </x:c>
      <x:c r="AL690" s="19" t="n">
        <x:v>45960.35516327546</x:v>
      </x:c>
      <x:c r="AM690" s="19" t="n">
        <x:v>46022</x:v>
      </x:c>
      <x:c r="AN690" s="15" t="str">
        <x:v>ГНБ / безтраншейні роботи</x:v>
      </x:c>
      <x:c r="AO690" s="15" t="str">
        <x:v>not_found_in_top_search</x:v>
      </x:c>
    </x:row>
    <x:row r="691">
      <x:c r="A691" s="14" t="str">
        <x:v>W3-419</x:v>
      </x:c>
      <x:c r="B691" s="14" t="str">
        <x:v>Prozorro winners — 24.08</x:v>
      </x:c>
      <x:c r="C691" s="14" t="str">
        <x:v>ТОВАРИСТВО З ОБМЕЖЕНОЮ ВІДПОВІДАЛЬНІСТЮ "ВЕНТПРОМЕЛЕКТРОМОНТАЖ"</x:v>
      </x:c>
      <x:c r="D691" s="14" t="str">
        <x:v>HVAC / ОВіК</x:v>
      </x:c>
      <x:c r="E691" s="14" t="str">
        <x:v>Pilot now</x:v>
      </x:c>
      <x:c r="F691" s="17" t="str">
        <x:v>P3</x:v>
      </x:c>
      <x:c r="G691" s="14" t="str"/>
      <x:c r="H691" s="14" t="str">
        <x:v>Пілот зараз — Н.14</x:v>
      </x:c>
      <x:c r="I691" s="16" t="n">
        <x:v>5</x:v>
      </x:c>
      <x:c r="J691" s="16" t="n">
        <x:v>5</x:v>
      </x:c>
      <x:c r="K691" s="16" t="n">
        <x:v>5</x:v>
      </x:c>
      <x:c r="L691" s="16" t="n">
        <x:v>3</x:v>
      </x:c>
      <x:c r="M691" s="16" t="n">
        <x:v>5</x:v>
      </x:c>
      <x:c r="N691" s="16" t="n">
        <x:v>5</x:v>
      </x:c>
      <x:c r="O691" s="16" t="n">
        <x:v>5</x:v>
      </x:c>
      <x:c r="P691" s="16" t="n">
        <x:f>IF(COUNT(I691:O691)&lt;7,"",I691*8+J691*3+K691*2+L691*2+M691*2+N691*2+O691)</x:f>
        <x:v>96</x:v>
      </x:c>
      <x:c r="Q691" s="16" t="n">
        <x:f>IF(COUNT(J691:O691)&lt;6,"",J691*5+K691*4+M691*4+L691*3+N691*2+O691*2)</x:f>
        <x:v>94</x:v>
      </x:c>
      <x:c r="R691" s="14" t="str">
        <x:v>high</x:v>
      </x:c>
      <x:c r="S691" s="14" t="str">
        <x:v>official_prozorro_award_2025_2026</x:v>
      </x:c>
      <x:c r="T691" s="14" t="str">
        <x:v>official_prozorro_api</x:v>
      </x:c>
      <x:c r="U691" s="14" t="str">
        <x:v>Не контактували</x:v>
      </x:c>
      <x:c r="V691" s="15" t="str">
        <x:v>Персоналізований free-pilot outreach по UA-2026-01-12-006627-a; попросити 1 пакет Н.14/Н.15</x:v>
      </x:c>
      <x:c r="W691" s="15" t="str">
        <x:v>Власник / директор; керівник ПТО; відповідальний за договори</x:v>
      </x:c>
      <x:c r="X691" s="15" t="str">
        <x:v>1 підтверджених перемог/договорів у Prozorro на 1 098 000 грн; 0 проєктів зі строком виконання не раніше 24.08.2026.</x:v>
      </x:c>
      <x:c r="Y691" s="15" t="str">
        <x:v>Придбання, монтаж та пусконалагодження системи вентиляції ДНК-лабораторії.; строк до 2026-02-27. Попросити один знеособлений пакет здачі за цим workflow.</x:v>
      </x:c>
      <x:c r="Z691" s="15" t="str">
        <x:v>https://prozorro.gov.ua/tender/UA-2026-01-12-006627-a</x:v>
      </x:c>
      <x:c r="AA691" s="14" t="str">
        <x:v>41731677</x:v>
      </x:c>
      <x:c r="AB691" s="14" t="str">
        <x:v>2026-08-24</x:v>
      </x:c>
      <x:c r="AC691" s="14" t="str"/>
      <x:c r="AD691" s="20" t="str"/>
      <x:c r="AE691" s="14" t="str"/>
      <x:c r="AF691" s="14" t="n">
        <x:v>41</x:v>
      </x:c>
      <x:c r="AG691" s="14" t="str">
        <x:v>I3</x:v>
      </x:c>
      <x:c r="AH691" s="14" t="n">
        <x:v>1</x:v>
      </x:c>
      <x:c r="AI691" s="14" t="n">
        <x:v>0</x:v>
      </x:c>
      <x:c r="AJ691" s="18" t="n">
        <x:v>1098000</x:v>
      </x:c>
      <x:c r="AK691" s="14" t="str">
        <x:v>https://prozorro.gov.ua/tender/UA-2026-01-12-006627-a</x:v>
      </x:c>
      <x:c r="AL691" s="19" t="n">
        <x:v>46049.36088487269</x:v>
      </x:c>
      <x:c r="AM691" s="19" t="n">
        <x:v>46080</x:v>
      </x:c>
      <x:c r="AN691" s="15" t="str">
        <x:v>HVAC / ОВіК</x:v>
      </x:c>
      <x:c r="AO691" s="15" t="str">
        <x:v>not_found_in_top_search</x:v>
      </x:c>
    </x:row>
    <x:row r="692">
      <x:c r="A692" s="14" t="str">
        <x:v>W3-420</x:v>
      </x:c>
      <x:c r="B692" s="14" t="str">
        <x:v>Prozorro winners — 24.08</x:v>
      </x:c>
      <x:c r="C692" s="14" t="str">
        <x:v>ТОВ "ТОРГІВЕЛЬНИЙ ДІМ ВЕДА"</x:v>
      </x:c>
      <x:c r="D692" s="14" t="str">
        <x:v>HVAC / ОВіК</x:v>
      </x:c>
      <x:c r="E692" s="14" t="str">
        <x:v>Pilot now</x:v>
      </x:c>
      <x:c r="F692" s="17" t="str">
        <x:v>P3</x:v>
      </x:c>
      <x:c r="G692" s="14" t="str"/>
      <x:c r="H692" s="14" t="str">
        <x:v>Пілот зараз — Н.14</x:v>
      </x:c>
      <x:c r="I692" s="16" t="n">
        <x:v>5</x:v>
      </x:c>
      <x:c r="J692" s="16" t="n">
        <x:v>5</x:v>
      </x:c>
      <x:c r="K692" s="16" t="n">
        <x:v>5</x:v>
      </x:c>
      <x:c r="L692" s="16" t="n">
        <x:v>1</x:v>
      </x:c>
      <x:c r="M692" s="16" t="n">
        <x:v>5</x:v>
      </x:c>
      <x:c r="N692" s="16" t="n">
        <x:v>5</x:v>
      </x:c>
      <x:c r="O692" s="16" t="n">
        <x:v>5</x:v>
      </x:c>
      <x:c r="P692" s="16" t="n">
        <x:f>IF(COUNT(I692:O692)&lt;7,"",I692*8+J692*3+K692*2+L692*2+M692*2+N692*2+O692)</x:f>
        <x:v>92</x:v>
      </x:c>
      <x:c r="Q692" s="16" t="n">
        <x:f>IF(COUNT(J692:O692)&lt;6,"",J692*5+K692*4+M692*4+L692*3+N692*2+O692*2)</x:f>
        <x:v>88</x:v>
      </x:c>
      <x:c r="R692" s="14" t="str">
        <x:v>high</x:v>
      </x:c>
      <x:c r="S692" s="14" t="str">
        <x:v>official_prozorro_award_2025_2026</x:v>
      </x:c>
      <x:c r="T692" s="14" t="str">
        <x:v>official_prozorro_api</x:v>
      </x:c>
      <x:c r="U692" s="14" t="str">
        <x:v>Не контактували</x:v>
      </x:c>
      <x:c r="V692" s="15" t="str">
        <x:v>Персоналізований free-pilot outreach по UA-2026-05-19-014964-a; попросити 1 пакет Н.14/Н.15</x:v>
      </x:c>
      <x:c r="W692" s="15" t="str">
        <x:v>Власник / директор; керівник ПТО; відповідальний за договори</x:v>
      </x:c>
      <x:c r="X692" s="15" t="str">
        <x:v>1 підтверджених перемог/договорів у Prozorro на 75 000 грн; 0 проєктів зі строком виконання не раніше 24.08.2026.</x:v>
      </x:c>
      <x:c r="Y692"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 строк до 2026-07-01. Попросити один знеособлений пакет здачі за цим workflow.</x:v>
      </x:c>
      <x:c r="Z692" s="15" t="str">
        <x:v>https://prozorro.gov.ua/tender/UA-2026-05-19-014964-a</x:v>
      </x:c>
      <x:c r="AA692" s="14" t="str">
        <x:v>43070563</x:v>
      </x:c>
      <x:c r="AB692" s="14" t="str">
        <x:v>2026-08-24</x:v>
      </x:c>
      <x:c r="AC692" s="14" t="str"/>
      <x:c r="AD692" s="20" t="str"/>
      <x:c r="AE692" s="14" t="str"/>
      <x:c r="AF692" s="14" t="n">
        <x:v>41</x:v>
      </x:c>
      <x:c r="AG692" s="14" t="str">
        <x:v>I3</x:v>
      </x:c>
      <x:c r="AH692" s="14" t="n">
        <x:v>1</x:v>
      </x:c>
      <x:c r="AI692" s="14" t="n">
        <x:v>0</x:v>
      </x:c>
      <x:c r="AJ692" s="18" t="n">
        <x:v>75000</x:v>
      </x:c>
      <x:c r="AK692" s="14" t="str">
        <x:v>https://prozorro.gov.ua/tender/UA-2026-05-19-014964-a</x:v>
      </x:c>
      <x:c r="AL692" s="19" t="n">
        <x:v>46169.46751858796</x:v>
      </x:c>
      <x:c r="AM692" s="19" t="n">
        <x:v>46204</x:v>
      </x:c>
      <x:c r="AN692" s="15" t="str">
        <x:v>HVAC / ОВіК</x:v>
      </x:c>
      <x:c r="AO692" s="15" t="str">
        <x:v>not_found_in_top_search</x:v>
      </x:c>
    </x:row>
    <x:row r="693">
      <x:c r="A693" s="14" t="str">
        <x:v>W3-421</x:v>
      </x:c>
      <x:c r="B693" s="14" t="str">
        <x:v>Prozorro winners — 24.08</x:v>
      </x:c>
      <x:c r="C693" s="14" t="str">
        <x:v>ТОВАРИСТВО З ОБМЕЖЕНОЮ ВІДПОВІДАЛЬНІСТЮ "ОХОРОННЕ ПІДПРИЄМСТВО "ФОРТ"</x:v>
      </x:c>
      <x:c r="D693" s="14" t="str">
        <x:v>Безпека / СКУД / CCTV</x:v>
      </x:c>
      <x:c r="E693" s="14" t="str">
        <x:v>Expansion discovery</x:v>
      </x:c>
      <x:c r="F693" s="17" t="str">
        <x:v>D3</x:v>
      </x:c>
      <x:c r="G693" s="14" t="str"/>
      <x:c r="H693" s="14" t="str">
        <x:v>Discovery розширення — 2 тижні</x:v>
      </x:c>
      <x:c r="I693" s="16" t="n">
        <x:v>1</x:v>
      </x:c>
      <x:c r="J693" s="16" t="n">
        <x:v>5</x:v>
      </x:c>
      <x:c r="K693" s="16" t="n">
        <x:v>4</x:v>
      </x:c>
      <x:c r="L693" s="16" t="n">
        <x:v>1</x:v>
      </x:c>
      <x:c r="M693" s="16" t="n">
        <x:v>5</x:v>
      </x:c>
      <x:c r="N693" s="16" t="n">
        <x:v>5</x:v>
      </x:c>
      <x:c r="O693" s="16" t="n">
        <x:v>5</x:v>
      </x:c>
      <x:c r="P693" s="16" t="n">
        <x:f>IF(COUNT(I693:O693)&lt;7,"",I693*8+J693*3+K693*2+L693*2+M693*2+N693*2+O693)</x:f>
        <x:v>58</x:v>
      </x:c>
      <x:c r="Q693" s="16" t="n">
        <x:f>IF(COUNT(J693:O693)&lt;6,"",J693*5+K693*4+M693*4+L693*3+N693*2+O693*2)</x:f>
        <x:v>84</x:v>
      </x:c>
      <x:c r="R693" s="14" t="str">
        <x:v>high</x:v>
      </x:c>
      <x:c r="S693" s="14" t="str">
        <x:v>official_prozorro_award_2025_2026</x:v>
      </x:c>
      <x:c r="T693" s="14" t="str">
        <x:v>official_prozorro_api</x:v>
      </x:c>
      <x:c r="U693" s="14" t="str">
        <x:v>Не контактували</x:v>
      </x:c>
      <x:c r="V693" s="15" t="str">
        <x:v>Workflow-audit outreach по UA-2026-07-01-002439-a; попросити 1 пакет здачі та вимоги проєкту</x:v>
      </x:c>
      <x:c r="W693" s="15" t="str">
        <x:v>Власник / директор; керівник ПТО; відповідальний за договори</x:v>
      </x:c>
      <x:c r="X693" s="15" t="str">
        <x:v>1 підтверджених перемог/договорів у Prozorro на 73 321 грн; 0 проєктів зі строком виконання не раніше 24.08.2026.</x:v>
      </x:c>
      <x:c r="Y693" s="15" t="str">
        <x:v>Послуги зі встановлення контрольного обладнання код ДК 021:2015:51220000-0  (Монтаж та пусконалагоджувальні роботи системи контролю та управління доступом); строк до 2026-08-03. Попросити один знеособлений пакет здачі за цим workflow.</x:v>
      </x:c>
      <x:c r="Z693" s="15" t="str">
        <x:v>https://prozorro.gov.ua/tender/UA-2026-07-01-002439-a</x:v>
      </x:c>
      <x:c r="AA693" s="14" t="str">
        <x:v>32081955</x:v>
      </x:c>
      <x:c r="AB693" s="14" t="str">
        <x:v>2026-08-24</x:v>
      </x:c>
      <x:c r="AC693" s="14" t="str"/>
      <x:c r="AD693" s="20" t="str"/>
      <x:c r="AE693" s="14" t="str"/>
      <x:c r="AF693" s="14" t="n">
        <x:v>41</x:v>
      </x:c>
      <x:c r="AG693" s="14" t="str">
        <x:v>I3</x:v>
      </x:c>
      <x:c r="AH693" s="14" t="n">
        <x:v>1</x:v>
      </x:c>
      <x:c r="AI693" s="14" t="n">
        <x:v>0</x:v>
      </x:c>
      <x:c r="AJ693" s="18" t="n">
        <x:v>73321.2</x:v>
      </x:c>
      <x:c r="AK693" s="14" t="str">
        <x:v>https://prozorro.gov.ua/tender/UA-2026-07-01-002439-a</x:v>
      </x:c>
      <x:c r="AL693" s="19" t="n">
        <x:v>46204.362556064814</x:v>
      </x:c>
      <x:c r="AM693" s="19" t="n">
        <x:v>46237.34087962963</x:v>
      </x:c>
      <x:c r="AN693" s="15" t="str">
        <x:v>Безпека / СКУД / CCTV</x:v>
      </x:c>
      <x:c r="AO693" s="15" t="str">
        <x:v>not_found_in_top_search</x:v>
      </x:c>
    </x:row>
    <x:row r="694">
      <x:c r="A694" s="14" t="str">
        <x:v>W3-422</x:v>
      </x:c>
      <x:c r="B694" s="14" t="str">
        <x:v>Prozorro winners — 24.08</x:v>
      </x:c>
      <x:c r="C694" s="14" t="str">
        <x:v>Товариство з обмеженою відповідальністю "СЕРВІСРУМ"</x:v>
      </x:c>
      <x:c r="D694" s="14" t="str">
        <x:v>HVAC / ОВіК</x:v>
      </x:c>
      <x:c r="E694" s="14" t="str">
        <x:v>Pilot now</x:v>
      </x:c>
      <x:c r="F694" s="17" t="str">
        <x:v>P3</x:v>
      </x:c>
      <x:c r="G694" s="14" t="str"/>
      <x:c r="H694" s="14" t="str">
        <x:v>Пілот зараз — Н.14</x:v>
      </x:c>
      <x:c r="I694" s="16" t="n">
        <x:v>5</x:v>
      </x:c>
      <x:c r="J694" s="16" t="n">
        <x:v>5</x:v>
      </x:c>
      <x:c r="K694" s="16" t="n">
        <x:v>5</x:v>
      </x:c>
      <x:c r="L694" s="16" t="n">
        <x:v>1</x:v>
      </x:c>
      <x:c r="M694" s="16" t="n">
        <x:v>5</x:v>
      </x:c>
      <x:c r="N694" s="16" t="n">
        <x:v>5</x:v>
      </x:c>
      <x:c r="O694" s="16" t="n">
        <x:v>5</x:v>
      </x:c>
      <x:c r="P694" s="16" t="n">
        <x:f>IF(COUNT(I694:O694)&lt;7,"",I694*8+J694*3+K694*2+L694*2+M694*2+N694*2+O694)</x:f>
        <x:v>92</x:v>
      </x:c>
      <x:c r="Q694" s="16" t="n">
        <x:f>IF(COUNT(J694:O694)&lt;6,"",J694*5+K694*4+M694*4+L694*3+N694*2+O694*2)</x:f>
        <x:v>88</x:v>
      </x:c>
      <x:c r="R694" s="14" t="str">
        <x:v>high</x:v>
      </x:c>
      <x:c r="S694" s="14" t="str">
        <x:v>official_prozorro_award_2025_2026</x:v>
      </x:c>
      <x:c r="T694" s="14" t="str">
        <x:v>official_prozorro_api</x:v>
      </x:c>
      <x:c r="U694" s="14" t="str">
        <x:v>Не контактували</x:v>
      </x:c>
      <x:c r="V694" s="15" t="str">
        <x:v>Персоналізований free-pilot outreach по UA-2026-05-08-008912-a; попросити 1 пакет Н.14/Н.15</x:v>
      </x:c>
      <x:c r="W694" s="15" t="str">
        <x:v>Власник / директор; керівник ПТО; відповідальний за договори</x:v>
      </x:c>
      <x:c r="X694" s="15" t="str">
        <x:v>1 підтверджених перемог/договорів у Prozorro на 68 700 грн; 0 проєктів зі строком виконання не раніше 24.08.2026.</x:v>
      </x:c>
      <x:c r="Y694" s="15" t="str">
        <x:v>Комплекс послуг з монтажу водопровідних мереж та системи опалення за адресою м.Київ, вул. Євгена Чикаленка, буд. 34 Б, В; строк до 2026-05-31. Попросити один знеособлений пакет здачі за цим workflow.</x:v>
      </x:c>
      <x:c r="Z694" s="15" t="str">
        <x:v>https://prozorro.gov.ua/tender/UA-2026-05-08-008912-a</x:v>
      </x:c>
      <x:c r="AA694" s="14" t="str">
        <x:v>45408976</x:v>
      </x:c>
      <x:c r="AB694" s="14" t="str">
        <x:v>2026-08-24</x:v>
      </x:c>
      <x:c r="AC694" s="14" t="str"/>
      <x:c r="AD694" s="20" t="str"/>
      <x:c r="AE694" s="14" t="str"/>
      <x:c r="AF694" s="14" t="n">
        <x:v>41</x:v>
      </x:c>
      <x:c r="AG694" s="14" t="str">
        <x:v>I3</x:v>
      </x:c>
      <x:c r="AH694" s="14" t="n">
        <x:v>1</x:v>
      </x:c>
      <x:c r="AI694" s="14" t="n">
        <x:v>0</x:v>
      </x:c>
      <x:c r="AJ694" s="18" t="n">
        <x:v>68700</x:v>
      </x:c>
      <x:c r="AK694" s="14" t="str">
        <x:v>https://prozorro.gov.ua/tender/UA-2026-05-08-008912-a</x:v>
      </x:c>
      <x:c r="AL694" s="19" t="n">
        <x:v>46150.474411145835</x:v>
      </x:c>
      <x:c r="AM694" s="19" t="n">
        <x:v>46173</x:v>
      </x:c>
      <x:c r="AN694" s="15" t="str">
        <x:v>HVAC / ОВіК</x:v>
      </x:c>
      <x:c r="AO694" s="15" t="str">
        <x:v>not_found_in_top_search</x:v>
      </x:c>
    </x:row>
    <x:row r="695">
      <x:c r="A695" s="14" t="str">
        <x:v>W3-423</x:v>
      </x:c>
      <x:c r="B695" s="14" t="str">
        <x:v>Prozorro winners — 24.08</x:v>
      </x:c>
      <x:c r="C695" s="14" t="str">
        <x:v>ТОВАРИСТВО З ОБМЕЖЕНОЮ ВІДПОВІДАЛЬНІСТЮ "КОНСАЛТИНГОВА АГЕНЦІЯ "ГАЛІЛЕО"</x:v>
      </x:c>
      <x:c r="D695" s="14" t="str">
        <x:v>Насосні станції</x:v>
      </x:c>
      <x:c r="E695" s="14" t="str">
        <x:v>Expansion discovery</x:v>
      </x:c>
      <x:c r="F695" s="17" t="str">
        <x:v>D3</x:v>
      </x:c>
      <x:c r="G695" s="14" t="str"/>
      <x:c r="H695" s="14" t="str">
        <x:v>Discovery розширення — 2 тижні</x:v>
      </x:c>
      <x:c r="I695" s="16" t="n">
        <x:v>1</x:v>
      </x:c>
      <x:c r="J695" s="16" t="n">
        <x:v>5</x:v>
      </x:c>
      <x:c r="K695" s="16" t="n">
        <x:v>4</x:v>
      </x:c>
      <x:c r="L695" s="16" t="n">
        <x:v>1</x:v>
      </x:c>
      <x:c r="M695" s="16" t="n">
        <x:v>5</x:v>
      </x:c>
      <x:c r="N695" s="16" t="n">
        <x:v>5</x:v>
      </x:c>
      <x:c r="O695" s="16" t="n">
        <x:v>5</x:v>
      </x:c>
      <x:c r="P695" s="16" t="n">
        <x:f>IF(COUNT(I695:O695)&lt;7,"",I695*8+J695*3+K695*2+L695*2+M695*2+N695*2+O695)</x:f>
        <x:v>58</x:v>
      </x:c>
      <x:c r="Q695" s="16" t="n">
        <x:f>IF(COUNT(J695:O695)&lt;6,"",J695*5+K695*4+M695*4+L695*3+N695*2+O695*2)</x:f>
        <x:v>84</x:v>
      </x:c>
      <x:c r="R695" s="14" t="str">
        <x:v>high</x:v>
      </x:c>
      <x:c r="S695" s="14" t="str">
        <x:v>official_prozorro_award_2025_2026</x:v>
      </x:c>
      <x:c r="T695" s="14" t="str">
        <x:v>official_prozorro_api</x:v>
      </x:c>
      <x:c r="U695" s="14" t="str">
        <x:v>Не контактували</x:v>
      </x:c>
      <x:c r="V695" s="15" t="str">
        <x:v>Workflow-audit outreach по UA-2026-06-01-009371-a; попросити 1 пакет здачі та вимоги проєкту</x:v>
      </x:c>
      <x:c r="W695" s="15" t="str">
        <x:v>Власник / директор; керівник ПТО; відповідальний за договори</x:v>
      </x:c>
      <x:c r="X695" s="15" t="str">
        <x:v>1 підтверджених перемог/договорів у Prozorro на 68 352 грн; 0 проєктів зі строком виконання не раніше 24.08.2026.</x:v>
      </x:c>
      <x:c r="Y69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 строк до 2026-07-31. Попросити один знеособлений пакет здачі за цим workflow.</x:v>
      </x:c>
      <x:c r="Z695" s="15" t="str">
        <x:v>https://prozorro.gov.ua/tender/UA-2026-06-01-009371-a</x:v>
      </x:c>
      <x:c r="AA695" s="14" t="str">
        <x:v>40716972</x:v>
      </x:c>
      <x:c r="AB695" s="14" t="str">
        <x:v>2026-08-24</x:v>
      </x:c>
      <x:c r="AC695" s="14" t="str"/>
      <x:c r="AD695" s="20" t="str"/>
      <x:c r="AE695" s="14" t="str"/>
      <x:c r="AF695" s="14" t="n">
        <x:v>41</x:v>
      </x:c>
      <x:c r="AG695" s="14" t="str">
        <x:v>I3</x:v>
      </x:c>
      <x:c r="AH695" s="14" t="n">
        <x:v>1</x:v>
      </x:c>
      <x:c r="AI695" s="14" t="n">
        <x:v>0</x:v>
      </x:c>
      <x:c r="AJ695" s="18" t="n">
        <x:v>68352</x:v>
      </x:c>
      <x:c r="AK695" s="14" t="str">
        <x:v>https://prozorro.gov.ua/tender/UA-2026-06-01-009371-a</x:v>
      </x:c>
      <x:c r="AL695" s="19" t="n">
        <x:v>46174.522606666666</x:v>
      </x:c>
      <x:c r="AM695" s="19" t="n">
        <x:v>46234</x:v>
      </x:c>
      <x:c r="AN695" s="15" t="str">
        <x:v>Насосні станції</x:v>
      </x:c>
      <x:c r="AO695" s="15" t="str">
        <x:v>not_found_in_top_search</x:v>
      </x:c>
    </x:row>
    <x:row r="696">
      <x:c r="A696" s="14" t="str">
        <x:v>W3-424</x:v>
      </x:c>
      <x:c r="B696" s="14" t="str">
        <x:v>Prozorro winners — 24.08</x:v>
      </x:c>
      <x:c r="C696" s="14" t="str">
        <x:v>КУДРАЙ ПЕТРО МИКОЛАЙОВИЧ</x:v>
      </x:c>
      <x:c r="D696" s="14" t="str">
        <x:v>HVAC / ОВіК</x:v>
      </x:c>
      <x:c r="E696" s="14" t="str">
        <x:v>Pilot now</x:v>
      </x:c>
      <x:c r="F696" s="17" t="str">
        <x:v>P3</x:v>
      </x:c>
      <x:c r="G696" s="14" t="str"/>
      <x:c r="H696" s="14" t="str">
        <x:v>Пілот зараз — Н.14</x:v>
      </x:c>
      <x:c r="I696" s="16" t="n">
        <x:v>5</x:v>
      </x:c>
      <x:c r="J696" s="16" t="n">
        <x:v>5</x:v>
      </x:c>
      <x:c r="K696" s="16" t="n">
        <x:v>5</x:v>
      </x:c>
      <x:c r="L696" s="16" t="n">
        <x:v>1</x:v>
      </x:c>
      <x:c r="M696" s="16" t="n">
        <x:v>5</x:v>
      </x:c>
      <x:c r="N696" s="16" t="n">
        <x:v>3</x:v>
      </x:c>
      <x:c r="O696" s="16" t="n">
        <x:v>5</x:v>
      </x:c>
      <x:c r="P696" s="16" t="n">
        <x:f>IF(COUNT(I696:O696)&lt;7,"",I696*8+J696*3+K696*2+L696*2+M696*2+N696*2+O696)</x:f>
        <x:v>88</x:v>
      </x:c>
      <x:c r="Q696" s="16" t="n">
        <x:f>IF(COUNT(J696:O696)&lt;6,"",J696*5+K696*4+M696*4+L696*3+N696*2+O696*2)</x:f>
        <x:v>84</x:v>
      </x:c>
      <x:c r="R696" s="14" t="str">
        <x:v>high</x:v>
      </x:c>
      <x:c r="S696" s="14" t="str">
        <x:v>official_prozorro_award_2025_2026</x:v>
      </x:c>
      <x:c r="T696" s="14" t="str">
        <x:v>official_prozorro_api</x:v>
      </x:c>
      <x:c r="U696" s="14" t="str">
        <x:v>Не контактували</x:v>
      </x:c>
      <x:c r="V696" s="15" t="str">
        <x:v>Персоналізований free-pilot outreach по UA-2026-06-17-009046-a; попросити 1 пакет Н.14/Н.15</x:v>
      </x:c>
      <x:c r="W696" s="15" t="str">
        <x:v>Власник / виконавець; відповідальний за договір</x:v>
      </x:c>
      <x:c r="X696" s="15" t="str">
        <x:v>1 підтверджених перемог/договорів у Prozorro на 59 800 грн; 0 проєктів зі строком виконання не раніше 24.08.2026.</x:v>
      </x:c>
      <x:c r="Y69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2026-06-30. Попросити один знеособлений пакет здачі за цим workflow.</x:v>
      </x:c>
      <x:c r="Z696" s="15" t="str">
        <x:v>https://prozorro.gov.ua/tender/UA-2026-06-17-009046-a</x:v>
      </x:c>
      <x:c r="AA696" s="14" t="str">
        <x:v>2164313634</x:v>
      </x:c>
      <x:c r="AB696" s="14" t="str">
        <x:v>2026-08-24</x:v>
      </x:c>
      <x:c r="AC696" s="14" t="str"/>
      <x:c r="AD696" s="20" t="str"/>
      <x:c r="AE696" s="14" t="str"/>
      <x:c r="AF696" s="14" t="n">
        <x:v>41</x:v>
      </x:c>
      <x:c r="AG696" s="14" t="str">
        <x:v>I3</x:v>
      </x:c>
      <x:c r="AH696" s="14" t="n">
        <x:v>1</x:v>
      </x:c>
      <x:c r="AI696" s="14" t="n">
        <x:v>0</x:v>
      </x:c>
      <x:c r="AJ696" s="18" t="n">
        <x:v>59800</x:v>
      </x:c>
      <x:c r="AK696" s="14" t="str">
        <x:v>https://prozorro.gov.ua/tender/UA-2026-06-17-009046-a</x:v>
      </x:c>
      <x:c r="AL696" s="19" t="n">
        <x:v>46190.49012988426</x:v>
      </x:c>
      <x:c r="AM696" s="19" t="n">
        <x:v>46203</x:v>
      </x:c>
      <x:c r="AN696" s="15" t="str">
        <x:v>HVAC / ОВіК; Промисловий холод</x:v>
      </x:c>
      <x:c r="AO696" s="15" t="str">
        <x:v>not_found_in_top_search</x:v>
      </x:c>
    </x:row>
    <x:row r="697">
      <x:c r="A697" s="14" t="str">
        <x:v>W3-425</x:v>
      </x:c>
      <x:c r="B697" s="14" t="str">
        <x:v>Prozorro winners — 24.08</x:v>
      </x:c>
      <x:c r="C697" s="14" t="str">
        <x:v>ТОВАРИСТВО З ОБМЕЖЕНОЮ ВІДПОВІДАЛЬНІСТЮ ПІДПРИЄМСТВО "СПЕЦАВТОМАТИКА"</x:v>
      </x:c>
      <x:c r="D697" s="14" t="str">
        <x:v>Безпека / СКУД / CCTV</x:v>
      </x:c>
      <x:c r="E697" s="14" t="str">
        <x:v>Expansion discovery</x:v>
      </x:c>
      <x:c r="F697" s="17" t="str">
        <x:v>D3</x:v>
      </x:c>
      <x:c r="G697" s="14" t="str"/>
      <x:c r="H697" s="14" t="str">
        <x:v>Discovery розширення — 2 тижні</x:v>
      </x:c>
      <x:c r="I697" s="16" t="n">
        <x:v>1</x:v>
      </x:c>
      <x:c r="J697" s="16" t="n">
        <x:v>5</x:v>
      </x:c>
      <x:c r="K697" s="16" t="n">
        <x:v>4</x:v>
      </x:c>
      <x:c r="L697" s="16" t="n">
        <x:v>1</x:v>
      </x:c>
      <x:c r="M697" s="16" t="n">
        <x:v>5</x:v>
      </x:c>
      <x:c r="N697" s="16" t="n">
        <x:v>5</x:v>
      </x:c>
      <x:c r="O697" s="16" t="n">
        <x:v>5</x:v>
      </x:c>
      <x:c r="P697" s="16" t="n">
        <x:f>IF(COUNT(I697:O697)&lt;7,"",I697*8+J697*3+K697*2+L697*2+M697*2+N697*2+O697)</x:f>
        <x:v>58</x:v>
      </x:c>
      <x:c r="Q697" s="16" t="n">
        <x:f>IF(COUNT(J697:O697)&lt;6,"",J697*5+K697*4+M697*4+L697*3+N697*2+O697*2)</x:f>
        <x:v>84</x:v>
      </x:c>
      <x:c r="R697" s="14" t="str">
        <x:v>high</x:v>
      </x:c>
      <x:c r="S697" s="14" t="str">
        <x:v>official_prozorro_award_2025_2026</x:v>
      </x:c>
      <x:c r="T697" s="14" t="str">
        <x:v>official_prozorro_api</x:v>
      </x:c>
      <x:c r="U697" s="14" t="str">
        <x:v>Не контактували</x:v>
      </x:c>
      <x:c r="V697" s="15" t="str">
        <x:v>Workflow-audit outreach по UA-2026-05-06-010791-a; попросити 1 пакет здачі та вимоги проєкту</x:v>
      </x:c>
      <x:c r="W697" s="15" t="str">
        <x:v>Власник / директор; керівник ПТО; відповідальний за договори</x:v>
      </x:c>
      <x:c r="X697" s="15" t="str">
        <x:v>1 підтверджених перемог/договорів у Prozorro на 54 900 грн; 0 проєктів зі строком виконання не раніше 24.08.2026.</x:v>
      </x:c>
      <x:c r="Y697" s="15" t="str">
        <x:v>Монтаж та налаштування системи контролю доступу шлагбаума; строк до 2026-05-08. Попросити один знеособлений пакет здачі за цим workflow.</x:v>
      </x:c>
      <x:c r="Z697" s="15" t="str">
        <x:v>https://prozorro.gov.ua/tender/UA-2026-05-06-010791-a</x:v>
      </x:c>
      <x:c r="AA697" s="14" t="str">
        <x:v>25612046</x:v>
      </x:c>
      <x:c r="AB697" s="14" t="str">
        <x:v>2026-08-24</x:v>
      </x:c>
      <x:c r="AC697" s="14" t="str"/>
      <x:c r="AD697" s="20" t="str"/>
      <x:c r="AE697" s="14" t="str"/>
      <x:c r="AF697" s="14" t="n">
        <x:v>41</x:v>
      </x:c>
      <x:c r="AG697" s="14" t="str">
        <x:v>I3</x:v>
      </x:c>
      <x:c r="AH697" s="14" t="n">
        <x:v>1</x:v>
      </x:c>
      <x:c r="AI697" s="14" t="n">
        <x:v>0</x:v>
      </x:c>
      <x:c r="AJ697" s="18" t="n">
        <x:v>54900</x:v>
      </x:c>
      <x:c r="AK697" s="14" t="str">
        <x:v>https://prozorro.gov.ua/tender/UA-2026-05-06-010791-a</x:v>
      </x:c>
      <x:c r="AL697" s="19" t="n">
        <x:v>46148.51074971065</x:v>
      </x:c>
      <x:c r="AM697" s="19" t="n">
        <x:v>46150</x:v>
      </x:c>
      <x:c r="AN697" s="15" t="str">
        <x:v>Безпека / СКУД / CCTV</x:v>
      </x:c>
      <x:c r="AO697" s="15" t="str">
        <x:v>not_found_in_top_search</x:v>
      </x:c>
    </x:row>
    <x:row r="698">
      <x:c r="A698" s="14" t="str">
        <x:v>W3-426</x:v>
      </x:c>
      <x:c r="B698" s="14" t="str">
        <x:v>Prozorro winners — 24.08</x:v>
      </x:c>
      <x:c r="C698" s="14" t="str">
        <x:v>ТОВАРИСТВО З ОБМЕЖЕНОЮ ВІДПОВІДАЛЬНІСТЮ "ТЕРНОПІЛЬВОДПРОЕКТ"</x:v>
      </x:c>
      <x:c r="D698" s="14" t="str">
        <x:v>Мости / інфраструктура</x:v>
      </x:c>
      <x:c r="E698" s="14" t="str">
        <x:v>Expansion discovery</x:v>
      </x:c>
      <x:c r="F698" s="17" t="str">
        <x:v>D3</x:v>
      </x:c>
      <x:c r="G698" s="14" t="str"/>
      <x:c r="H698" s="14" t="str">
        <x:v>Discovery розширення — 2 тижні</x:v>
      </x:c>
      <x:c r="I698" s="16" t="n">
        <x:v>1</x:v>
      </x:c>
      <x:c r="J698" s="16" t="n">
        <x:v>5</x:v>
      </x:c>
      <x:c r="K698" s="16" t="n">
        <x:v>4</x:v>
      </x:c>
      <x:c r="L698" s="16" t="n">
        <x:v>1</x:v>
      </x:c>
      <x:c r="M698" s="16" t="n">
        <x:v>5</x:v>
      </x:c>
      <x:c r="N698" s="16" t="n">
        <x:v>5</x:v>
      </x:c>
      <x:c r="O698" s="16" t="n">
        <x:v>5</x:v>
      </x:c>
      <x:c r="P698" s="16" t="n">
        <x:f>IF(COUNT(I698:O698)&lt;7,"",I698*8+J698*3+K698*2+L698*2+M698*2+N698*2+O698)</x:f>
        <x:v>58</x:v>
      </x:c>
      <x:c r="Q698" s="16" t="n">
        <x:f>IF(COUNT(J698:O698)&lt;6,"",J698*5+K698*4+M698*4+L698*3+N698*2+O698*2)</x:f>
        <x:v>84</x:v>
      </x:c>
      <x:c r="R698" s="14" t="str">
        <x:v>high</x:v>
      </x:c>
      <x:c r="S698" s="14" t="str">
        <x:v>official_prozorro_award_2025_2026</x:v>
      </x:c>
      <x:c r="T698" s="14" t="str">
        <x:v>official_prozorro_api</x:v>
      </x:c>
      <x:c r="U698" s="14" t="str">
        <x:v>Не контактували</x:v>
      </x:c>
      <x:c r="V698" s="15" t="str">
        <x:v>Workflow-audit outreach по UA-2026-06-26-010257-a; попросити 1 пакет здачі та вимоги проєкту</x:v>
      </x:c>
      <x:c r="W698" s="15" t="str">
        <x:v>Власник / директор; керівник ПТО; відповідальний за договори</x:v>
      </x:c>
      <x:c r="X698" s="15" t="str">
        <x:v>1 підтверджених перемог/договорів у Prozorro на 54 230 грн; 0 проєктів зі строком виконання не раніше 24.08.2026.</x:v>
      </x:c>
      <x:c r="Y698"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2026-07-30. Попросити один знеособлений пакет здачі за цим workflow.</x:v>
      </x:c>
      <x:c r="Z698" s="15" t="str">
        <x:v>https://prozorro.gov.ua/tender/UA-2026-06-26-010257-a</x:v>
      </x:c>
      <x:c r="AA698" s="14" t="str">
        <x:v>01035182</x:v>
      </x:c>
      <x:c r="AB698" s="14" t="str">
        <x:v>2026-08-24</x:v>
      </x:c>
      <x:c r="AC698" s="14" t="str"/>
      <x:c r="AD698" s="20" t="str"/>
      <x:c r="AE698" s="14" t="str"/>
      <x:c r="AF698" s="14" t="n">
        <x:v>41</x:v>
      </x:c>
      <x:c r="AG698" s="14" t="str">
        <x:v>I3</x:v>
      </x:c>
      <x:c r="AH698" s="14" t="n">
        <x:v>1</x:v>
      </x:c>
      <x:c r="AI698" s="14" t="n">
        <x:v>0</x:v>
      </x:c>
      <x:c r="AJ698" s="18" t="n">
        <x:v>54230</x:v>
      </x:c>
      <x:c r="AK698" s="14" t="str">
        <x:v>https://prozorro.gov.ua/tender/UA-2026-06-26-010257-a</x:v>
      </x:c>
      <x:c r="AL698" s="19" t="n">
        <x:v>46199.54265590278</x:v>
      </x:c>
      <x:c r="AM698" s="19" t="n">
        <x:v>46233</x:v>
      </x:c>
      <x:c r="AN698" s="15" t="str">
        <x:v>Мости / інфраструктура</x:v>
      </x:c>
      <x:c r="AO698" s="15" t="str">
        <x:v>not_found_in_top_search</x:v>
      </x:c>
    </x:row>
    <x:row r="699">
      <x:c r="A699" s="14" t="str">
        <x:v>W3-427</x:v>
      </x:c>
      <x:c r="B699" s="14" t="str">
        <x:v>Prozorro winners — 24.08</x:v>
      </x:c>
      <x:c r="C699" s="14" t="str">
        <x:v>ПП Явір-2000</x:v>
      </x:c>
      <x:c r="D699" s="14" t="str">
        <x:v>Газопостачання / котельні</x:v>
      </x:c>
      <x:c r="E699" s="14" t="str">
        <x:v>Expansion discovery</x:v>
      </x:c>
      <x:c r="F699" s="17" t="str">
        <x:v>D3</x:v>
      </x:c>
      <x:c r="G699" s="14" t="str"/>
      <x:c r="H699" s="14" t="str">
        <x:v>Discovery розширення — 2 тижні</x:v>
      </x:c>
      <x:c r="I699" s="16" t="n">
        <x:v>1</x:v>
      </x:c>
      <x:c r="J699" s="16" t="n">
        <x:v>5</x:v>
      </x:c>
      <x:c r="K699" s="16" t="n">
        <x:v>4</x:v>
      </x:c>
      <x:c r="L699" s="16" t="n">
        <x:v>1</x:v>
      </x:c>
      <x:c r="M699" s="16" t="n">
        <x:v>5</x:v>
      </x:c>
      <x:c r="N699" s="16" t="n">
        <x:v>5</x:v>
      </x:c>
      <x:c r="O699" s="16" t="n">
        <x:v>5</x:v>
      </x:c>
      <x:c r="P699" s="16" t="n">
        <x:f>IF(COUNT(I699:O699)&lt;7,"",I699*8+J699*3+K699*2+L699*2+M699*2+N699*2+O699)</x:f>
        <x:v>58</x:v>
      </x:c>
      <x:c r="Q699" s="16" t="n">
        <x:f>IF(COUNT(J699:O699)&lt;6,"",J699*5+K699*4+M699*4+L699*3+N699*2+O699*2)</x:f>
        <x:v>84</x:v>
      </x:c>
      <x:c r="R699" s="14" t="str">
        <x:v>high</x:v>
      </x:c>
      <x:c r="S699" s="14" t="str">
        <x:v>official_prozorro_award_2025_2026</x:v>
      </x:c>
      <x:c r="T699" s="14" t="str">
        <x:v>official_prozorro_api</x:v>
      </x:c>
      <x:c r="U699" s="14" t="str">
        <x:v>Не контактували</x:v>
      </x:c>
      <x:c r="V699" s="15" t="str">
        <x:v>Повторне звернення з новим тендерним сигналом UA-2025-11-27-013570-a; попросити 1 пакет здачі</x:v>
      </x:c>
      <x:c r="W699" s="15" t="str">
        <x:v>Власник / директор; керівник ПТО; відповідальний за договори</x:v>
      </x:c>
      <x:c r="X699" s="15" t="str">
        <x:v>1 підтверджених перемог/договорів у Prozorro на 50 720 грн; 0 проєктів зі строком виконання не раніше 24.08.2026.</x:v>
      </x:c>
      <x:c r="Y699" s="15" t="str">
        <x:v>Роботи з проєктування та монтажу системи пожежної сигналізації на об’єкті: Приміщення духової котельні за адресою: м. Полтава, вул. Європейська, 68; строк до 2026-05-31. Попросити один знеособлений пакет здачі за цим workflow.</x:v>
      </x:c>
      <x:c r="Z699" s="15" t="str">
        <x:v>https://prozorro.gov.ua/tender/UA-2026-05-25-012079-a</x:v>
      </x:c>
      <x:c r="AA699" s="14" t="str">
        <x:v>31175036</x:v>
      </x:c>
      <x:c r="AB699" s="14" t="str">
        <x:v>2026-08-24</x:v>
      </x:c>
      <x:c r="AC699" s="14" t="str"/>
      <x:c r="AD699" s="20" t="str"/>
      <x:c r="AE699" s="14" t="str"/>
      <x:c r="AF699" s="14" t="n">
        <x:v>58</x:v>
      </x:c>
      <x:c r="AG699" s="14" t="str">
        <x:v>I2</x:v>
      </x:c>
      <x:c r="AH699" s="14" t="n">
        <x:v>5</x:v>
      </x:c>
      <x:c r="AI699" s="14" t="n">
        <x:v>3</x:v>
      </x:c>
      <x:c r="AJ699" s="18" t="n">
        <x:v>1417270.08</x:v>
      </x:c>
      <x:c r="AK699" s="14" t="str">
        <x:v>https://prozorro.gov.ua/tender/UA-2025-11-27-013570-a</x:v>
      </x:c>
      <x:c r="AL699" s="19" t="n">
        <x:v>45988.561781585646</x:v>
      </x:c>
      <x:c r="AM699" s="19" t="n">
        <x:v>46326</x:v>
      </x:c>
      <x:c r="AN699" s="15" t="str">
        <x:v>Газопостачання / котельні; Пожежогасіння; Промислова автоматизація / SCADA</x:v>
      </x:c>
      <x:c r="AO699" s="15" t="str">
        <x:v>not_found_in_top_search</x:v>
      </x:c>
    </x:row>
    <x:row r="700">
      <x:c r="A700" s="14" t="str">
        <x:v>W3-428</x:v>
      </x:c>
      <x:c r="B700" s="14" t="str">
        <x:v>Prozorro winners — 24.08</x:v>
      </x:c>
      <x:c r="C700" s="14" t="str">
        <x:v>ТзОВ фірма "АЛЕРТ КОМ"</x:v>
      </x:c>
      <x:c r="D700" s="14" t="str">
        <x:v>Пожежогасіння</x:v>
      </x:c>
      <x:c r="E700" s="14" t="str">
        <x:v>Expansion discovery</x:v>
      </x:c>
      <x:c r="F700" s="17" t="str">
        <x:v>D3</x:v>
      </x:c>
      <x:c r="G700" s="14" t="str"/>
      <x:c r="H700" s="14" t="str">
        <x:v>Discovery розширення — 2 тижні</x:v>
      </x:c>
      <x:c r="I700" s="16" t="n">
        <x:v>1</x:v>
      </x:c>
      <x:c r="J700" s="16" t="n">
        <x:v>5</x:v>
      </x:c>
      <x:c r="K700" s="16" t="n">
        <x:v>4</x:v>
      </x:c>
      <x:c r="L700" s="16" t="n">
        <x:v>1</x:v>
      </x:c>
      <x:c r="M700" s="16" t="n">
        <x:v>5</x:v>
      </x:c>
      <x:c r="N700" s="16" t="n">
        <x:v>5</x:v>
      </x:c>
      <x:c r="O700" s="16" t="n">
        <x:v>5</x:v>
      </x:c>
      <x:c r="P700" s="16" t="n">
        <x:f>IF(COUNT(I700:O700)&lt;7,"",I700*8+J700*3+K700*2+L700*2+M700*2+N700*2+O700)</x:f>
        <x:v>58</x:v>
      </x:c>
      <x:c r="Q700" s="16" t="n">
        <x:f>IF(COUNT(J700:O700)&lt;6,"",J700*5+K700*4+M700*4+L700*3+N700*2+O700*2)</x:f>
        <x:v>84</x:v>
      </x:c>
      <x:c r="R700" s="14" t="str">
        <x:v>high</x:v>
      </x:c>
      <x:c r="S700" s="14" t="str">
        <x:v>official_prozorro_award_2025_2026</x:v>
      </x:c>
      <x:c r="T700" s="14" t="str">
        <x:v>official_prozorro_api</x:v>
      </x:c>
      <x:c r="U700" s="14" t="str">
        <x:v>Не контактували</x:v>
      </x:c>
      <x:c r="V700" s="15" t="str">
        <x:v>Workflow-audit outreach по UA-2026-07-02-001567-a; попросити 1 пакет здачі та вимоги проєкту</x:v>
      </x:c>
      <x:c r="W700" s="15" t="str">
        <x:v>Власник / директор; керівник ПТО; відповідальний за договори</x:v>
      </x:c>
      <x:c r="X700" s="15" t="str">
        <x:v>1 підтверджених перемог/договорів у Prozorro на 30 789 грн; 0 проєктів зі строком виконання не раніше 24.08.2026.</x:v>
      </x:c>
      <x:c r="Y70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 строк до 2026-07-31. Попросити один знеособлений пакет здачі за цим workflow.</x:v>
      </x:c>
      <x:c r="Z700" s="15" t="str">
        <x:v>https://prozorro.gov.ua/tender/UA-2026-07-02-001567-a</x:v>
      </x:c>
      <x:c r="AA700" s="14" t="str">
        <x:v>30555702</x:v>
      </x:c>
      <x:c r="AB700" s="14" t="str">
        <x:v>2026-08-24</x:v>
      </x:c>
      <x:c r="AC700" s="14" t="str"/>
      <x:c r="AD700" s="20" t="str"/>
      <x:c r="AE700" s="14" t="str"/>
      <x:c r="AF700" s="14" t="n">
        <x:v>41</x:v>
      </x:c>
      <x:c r="AG700" s="14" t="str">
        <x:v>I3</x:v>
      </x:c>
      <x:c r="AH700" s="14" t="n">
        <x:v>1</x:v>
      </x:c>
      <x:c r="AI700" s="14" t="n">
        <x:v>0</x:v>
      </x:c>
      <x:c r="AJ700" s="18" t="n">
        <x:v>30789.34</x:v>
      </x:c>
      <x:c r="AK700" s="14" t="str">
        <x:v>https://prozorro.gov.ua/tender/UA-2026-07-02-001567-a</x:v>
      </x:c>
      <x:c r="AL700" s="19" t="n">
        <x:v>46205.301480277776</x:v>
      </x:c>
      <x:c r="AM700" s="19" t="n">
        <x:v>46234</x:v>
      </x:c>
      <x:c r="AN700" s="15" t="str">
        <x:v>Пожежогасіння</x:v>
      </x:c>
      <x:c r="AO700" s="15" t="str">
        <x:v>not_found_in_top_search</x:v>
      </x:c>
    </x:row>
    <x:row r="701">
      <x:c r="A701" s="14" t="str">
        <x:v>W3-429</x:v>
      </x:c>
      <x:c r="B701" s="14" t="str">
        <x:v>Prozorro winners — 24.08</x:v>
      </x:c>
      <x:c r="C701" s="14" t="str">
        <x:v>ТОВ "Файберлінк"</x:v>
      </x:c>
      <x:c r="D701" s="14" t="str">
        <x:v>Безпека / СКУД / CCTV</x:v>
      </x:c>
      <x:c r="E701" s="14" t="str">
        <x:v>Expansion discovery</x:v>
      </x:c>
      <x:c r="F701" s="17" t="str">
        <x:v>D3</x:v>
      </x:c>
      <x:c r="G701" s="14" t="str"/>
      <x:c r="H701" s="14" t="str">
        <x:v>Discovery розширення — 2 тижні</x:v>
      </x:c>
      <x:c r="I701" s="16" t="n">
        <x:v>1</x:v>
      </x:c>
      <x:c r="J701" s="16" t="n">
        <x:v>5</x:v>
      </x:c>
      <x:c r="K701" s="16" t="n">
        <x:v>4</x:v>
      </x:c>
      <x:c r="L701" s="16" t="n">
        <x:v>1</x:v>
      </x:c>
      <x:c r="M701" s="16" t="n">
        <x:v>5</x:v>
      </x:c>
      <x:c r="N701" s="16" t="n">
        <x:v>5</x:v>
      </x:c>
      <x:c r="O701" s="16" t="n">
        <x:v>5</x:v>
      </x:c>
      <x:c r="P701" s="16" t="n">
        <x:f>IF(COUNT(I701:O701)&lt;7,"",I701*8+J701*3+K701*2+L701*2+M701*2+N701*2+O701)</x:f>
        <x:v>58</x:v>
      </x:c>
      <x:c r="Q701" s="16" t="n">
        <x:f>IF(COUNT(J701:O701)&lt;6,"",J701*5+K701*4+M701*4+L701*3+N701*2+O701*2)</x:f>
        <x:v>84</x:v>
      </x:c>
      <x:c r="R701" s="14" t="str">
        <x:v>high</x:v>
      </x:c>
      <x:c r="S701" s="14" t="str">
        <x:v>official_prozorro_award_2025_2026</x:v>
      </x:c>
      <x:c r="T701" s="14" t="str">
        <x:v>official_prozorro_api</x:v>
      </x:c>
      <x:c r="U701" s="14" t="str">
        <x:v>Не контактували</x:v>
      </x:c>
      <x:c r="V701" s="15" t="str">
        <x:v>Workflow-audit outreach по UA-2026-06-02-004197-a; попросити 1 пакет здачі та вимоги проєкту</x:v>
      </x:c>
      <x:c r="W701" s="15" t="str">
        <x:v>Власник / директор; керівник ПТО; відповідальний за договори</x:v>
      </x:c>
      <x:c r="X701" s="15" t="str">
        <x:v>1 підтверджених перемог/договорів у Prozorro на 27 200 грн; 0 проєктів зі строком виконання не раніше 24.08.2026.</x:v>
      </x:c>
      <x:c r="Y701" s="15" t="str">
        <x:v>Послуги з монтажу системи відеоспостереження; строк до 2026-06-30. Попросити один знеособлений пакет здачі за цим workflow.</x:v>
      </x:c>
      <x:c r="Z701" s="15" t="str">
        <x:v>https://prozorro.gov.ua/tender/UA-2026-06-02-004197-a</x:v>
      </x:c>
      <x:c r="AA701" s="14" t="str">
        <x:v>39492269</x:v>
      </x:c>
      <x:c r="AB701" s="14" t="str">
        <x:v>2026-08-24</x:v>
      </x:c>
      <x:c r="AC701" s="14" t="str"/>
      <x:c r="AD701" s="20" t="str"/>
      <x:c r="AE701" s="14" t="str"/>
      <x:c r="AF701" s="14" t="n">
        <x:v>41</x:v>
      </x:c>
      <x:c r="AG701" s="14" t="str">
        <x:v>I3</x:v>
      </x:c>
      <x:c r="AH701" s="14" t="n">
        <x:v>1</x:v>
      </x:c>
      <x:c r="AI701" s="14" t="n">
        <x:v>0</x:v>
      </x:c>
      <x:c r="AJ701" s="18" t="n">
        <x:v>27200</x:v>
      </x:c>
      <x:c r="AK701" s="14" t="str">
        <x:v>https://prozorro.gov.ua/tender/UA-2026-06-02-004197-a</x:v>
      </x:c>
      <x:c r="AL701" s="19" t="n">
        <x:v>46175.35395547454</x:v>
      </x:c>
      <x:c r="AM701" s="19" t="n">
        <x:v>46203</x:v>
      </x:c>
      <x:c r="AN701" s="15" t="str">
        <x:v>Безпека / СКУД / CCTV</x:v>
      </x:c>
      <x:c r="AO701" s="15" t="str">
        <x:v>not_found_in_top_search</x:v>
      </x:c>
    </x:row>
    <x:row r="702">
      <x:c r="A702" s="14" t="str">
        <x:v>W3-430</x:v>
      </x:c>
      <x:c r="B702" s="14" t="str">
        <x:v>Prozorro winners — 24.08</x:v>
      </x:c>
      <x:c r="C702" s="14" t="str">
        <x:v>ТОВАРИСТВО З ОБМЕЖЕНОЮ ВІДПОВІДАЛЬНІСТЮ "ОХОРОНА-КОМПЛЕКС-ТИТАН"</x:v>
      </x:c>
      <x:c r="D702" s="14" t="str">
        <x:v>Пожежогасіння</x:v>
      </x:c>
      <x:c r="E702" s="14" t="str">
        <x:v>Expansion discovery</x:v>
      </x:c>
      <x:c r="F702" s="17" t="str">
        <x:v>D3</x:v>
      </x:c>
      <x:c r="G702" s="14" t="str"/>
      <x:c r="H702" s="14" t="str">
        <x:v>Discovery розширення — 2 тижні</x:v>
      </x:c>
      <x:c r="I702" s="16" t="n">
        <x:v>1</x:v>
      </x:c>
      <x:c r="J702" s="16" t="n">
        <x:v>5</x:v>
      </x:c>
      <x:c r="K702" s="16" t="n">
        <x:v>4</x:v>
      </x:c>
      <x:c r="L702" s="16" t="n">
        <x:v>1</x:v>
      </x:c>
      <x:c r="M702" s="16" t="n">
        <x:v>5</x:v>
      </x:c>
      <x:c r="N702" s="16" t="n">
        <x:v>5</x:v>
      </x:c>
      <x:c r="O702" s="16" t="n">
        <x:v>5</x:v>
      </x:c>
      <x:c r="P702" s="16" t="n">
        <x:f>IF(COUNT(I702:O702)&lt;7,"",I702*8+J702*3+K702*2+L702*2+M702*2+N702*2+O702)</x:f>
        <x:v>58</x:v>
      </x:c>
      <x:c r="Q702" s="16" t="n">
        <x:f>IF(COUNT(J702:O702)&lt;6,"",J702*5+K702*4+M702*4+L702*3+N702*2+O702*2)</x:f>
        <x:v>84</x:v>
      </x:c>
      <x:c r="R702" s="14" t="str">
        <x:v>high</x:v>
      </x:c>
      <x:c r="S702" s="14" t="str">
        <x:v>official_prozorro_award_2025_2026</x:v>
      </x:c>
      <x:c r="T702" s="14" t="str">
        <x:v>official_prozorro_api</x:v>
      </x:c>
      <x:c r="U702" s="14" t="str">
        <x:v>Не контактували</x:v>
      </x:c>
      <x:c r="V702" s="15" t="str">
        <x:v>Workflow-audit outreach по UA-2026-04-30-006603-a; попросити 1 пакет здачі та вимоги проєкту</x:v>
      </x:c>
      <x:c r="W702" s="15" t="str">
        <x:v>Власник / директор; керівник ПТО; відповідальний за договори</x:v>
      </x:c>
      <x:c r="X702" s="15" t="str">
        <x:v>1 підтверджених перемог/договорів у Prozorro на 26 502 грн; 0 проєктів зі строком виконання не раніше 24.08.2026.</x:v>
      </x:c>
      <x:c r="Y702" s="15" t="str">
        <x:v>Послуги зі встановлення протипожежного устаткування (монтаж та налагодження системи пожежної сигналізації); строк до 2026-05-31. Попросити один знеособлений пакет здачі за цим workflow.</x:v>
      </x:c>
      <x:c r="Z702" s="15" t="str">
        <x:v>https://prozorro.gov.ua/tender/UA-2026-04-30-006603-a</x:v>
      </x:c>
      <x:c r="AA702" s="14" t="str">
        <x:v>32639815</x:v>
      </x:c>
      <x:c r="AB702" s="14" t="str">
        <x:v>2026-08-24</x:v>
      </x:c>
      <x:c r="AC702" s="14" t="str"/>
      <x:c r="AD702" s="20" t="str"/>
      <x:c r="AE702" s="14" t="str"/>
      <x:c r="AF702" s="14" t="n">
        <x:v>41</x:v>
      </x:c>
      <x:c r="AG702" s="14" t="str">
        <x:v>I3</x:v>
      </x:c>
      <x:c r="AH702" s="14" t="n">
        <x:v>1</x:v>
      </x:c>
      <x:c r="AI702" s="14" t="n">
        <x:v>0</x:v>
      </x:c>
      <x:c r="AJ702" s="18" t="n">
        <x:v>26502.01</x:v>
      </x:c>
      <x:c r="AK702" s="14" t="str">
        <x:v>https://prozorro.gov.ua/tender/UA-2026-04-30-006603-a</x:v>
      </x:c>
      <x:c r="AL702" s="19" t="n">
        <x:v>46142.45822862269</x:v>
      </x:c>
      <x:c r="AM702" s="19" t="n">
        <x:v>46173</x:v>
      </x:c>
      <x:c r="AN702" s="15" t="str">
        <x:v>Пожежогасіння</x:v>
      </x:c>
      <x:c r="AO702" s="15" t="str">
        <x:v>not_found_in_top_search</x:v>
      </x:c>
    </x:row>
    <x:row r="703">
      <x:c r="A703" s="14" t="str">
        <x:v>W3-431</x:v>
      </x:c>
      <x:c r="B703" s="14" t="str">
        <x:v>Prozorro winners — 24.08</x:v>
      </x:c>
      <x:c r="C703" s="14" t="str">
        <x:v>ТОВАРИСТВО З ОБМЕЖЕНОЮ ВІДПОВІДАЛЬНІСТЮ "ЕКОФАКТОР ЧАРДЖ"</x:v>
      </x:c>
      <x:c r="D703" s="14" t="str">
        <x:v>Сонячна енергетика</x:v>
      </x:c>
      <x:c r="E703" s="14" t="str">
        <x:v>Expansion discovery</x:v>
      </x:c>
      <x:c r="F703" s="17" t="str">
        <x:v>D3</x:v>
      </x:c>
      <x:c r="G703" s="14" t="str"/>
      <x:c r="H703" s="14" t="str">
        <x:v>Discovery розширення — 2 тижні</x:v>
      </x:c>
      <x:c r="I703" s="16" t="n">
        <x:v>1</x:v>
      </x:c>
      <x:c r="J703" s="16" t="n">
        <x:v>5</x:v>
      </x:c>
      <x:c r="K703" s="16" t="n">
        <x:v>4</x:v>
      </x:c>
      <x:c r="L703" s="16" t="n">
        <x:v>1</x:v>
      </x:c>
      <x:c r="M703" s="16" t="n">
        <x:v>5</x:v>
      </x:c>
      <x:c r="N703" s="16" t="n">
        <x:v>5</x:v>
      </x:c>
      <x:c r="O703" s="16" t="n">
        <x:v>5</x:v>
      </x:c>
      <x:c r="P703" s="16" t="n">
        <x:f>IF(COUNT(I703:O703)&lt;7,"",I703*8+J703*3+K703*2+L703*2+M703*2+N703*2+O703)</x:f>
        <x:v>58</x:v>
      </x:c>
      <x:c r="Q703" s="16" t="n">
        <x:f>IF(COUNT(J703:O703)&lt;6,"",J703*5+K703*4+M703*4+L703*3+N703*2+O703*2)</x:f>
        <x:v>84</x:v>
      </x:c>
      <x:c r="R703" s="14" t="str">
        <x:v>high</x:v>
      </x:c>
      <x:c r="S703" s="14" t="str">
        <x:v>official_prozorro_award_2025_2026</x:v>
      </x:c>
      <x:c r="T703" s="14" t="str">
        <x:v>official_prozorro_api</x:v>
      </x:c>
      <x:c r="U703" s="14" t="str">
        <x:v>Не контактували</x:v>
      </x:c>
      <x:c r="V703" s="15" t="str">
        <x:v>Workflow-audit outreach по UA-2026-06-23-003080-a; попросити 1 пакет здачі та вимоги проєкту</x:v>
      </x:c>
      <x:c r="W703" s="15" t="str">
        <x:v>Власник / директор; керівник ПТО; відповідальний за договори</x:v>
      </x:c>
      <x:c r="X703" s="15" t="str">
        <x:v>1 підтверджених перемог/договорів у Prozorro на 25 194 грн; 0 проєктів зі строком виконання не раніше 24.08.2026.</x:v>
      </x:c>
      <x:c r="Y703" s="15" t="str">
        <x:v>Послуги зі встановленням джерел резервного живлення  (з монтажу сонячної електростанції); строк до 2026-06-30. Попросити один знеособлений пакет здачі за цим workflow.</x:v>
      </x:c>
      <x:c r="Z703" s="15" t="str">
        <x:v>https://prozorro.gov.ua/tender/UA-2026-06-23-003080-a</x:v>
      </x:c>
      <x:c r="AA703" s="14" t="str">
        <x:v>26568146</x:v>
      </x:c>
      <x:c r="AB703" s="14" t="str">
        <x:v>2026-08-24</x:v>
      </x:c>
      <x:c r="AC703" s="14" t="str"/>
      <x:c r="AD703" s="20" t="str"/>
      <x:c r="AE703" s="14" t="str"/>
      <x:c r="AF703" s="14" t="n">
        <x:v>41</x:v>
      </x:c>
      <x:c r="AG703" s="14" t="str">
        <x:v>I3</x:v>
      </x:c>
      <x:c r="AH703" s="14" t="n">
        <x:v>1</x:v>
      </x:c>
      <x:c r="AI703" s="14" t="n">
        <x:v>0</x:v>
      </x:c>
      <x:c r="AJ703" s="18" t="n">
        <x:v>25194</x:v>
      </x:c>
      <x:c r="AK703" s="14" t="str">
        <x:v>https://prozorro.gov.ua/tender/UA-2026-06-23-003080-a</x:v>
      </x:c>
      <x:c r="AL703" s="19" t="n">
        <x:v>46196.32071678241</x:v>
      </x:c>
      <x:c r="AM703" s="19" t="n">
        <x:v>46203</x:v>
      </x:c>
      <x:c r="AN703" s="15" t="str">
        <x:v>Сонячна енергетика</x:v>
      </x:c>
      <x:c r="AO703" s="15" t="str">
        <x:v>not_found_in_top_search</x:v>
      </x:c>
    </x:row>
    <x:row r="704">
      <x:c r="A704" s="14" t="str">
        <x:v>W3-432</x:v>
      </x:c>
      <x:c r="B704" s="14" t="str">
        <x:v>Prozorro winners — 24.08</x:v>
      </x:c>
      <x:c r="C704"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D704" s="14" t="str">
        <x:v>Електромонтаж</x:v>
      </x:c>
      <x:c r="E704" s="14" t="str">
        <x:v>Pilot now</x:v>
      </x:c>
      <x:c r="F704" s="17" t="str">
        <x:v>P3</x:v>
      </x:c>
      <x:c r="G704" s="14" t="str"/>
      <x:c r="H704" s="14" t="str">
        <x:v>Пілот зараз — Н.15</x:v>
      </x:c>
      <x:c r="I704" s="16" t="n">
        <x:v>5</x:v>
      </x:c>
      <x:c r="J704" s="16" t="n">
        <x:v>5</x:v>
      </x:c>
      <x:c r="K704" s="16" t="n">
        <x:v>5</x:v>
      </x:c>
      <x:c r="L704" s="16" t="n">
        <x:v>1</x:v>
      </x:c>
      <x:c r="M704" s="16" t="n">
        <x:v>5</x:v>
      </x:c>
      <x:c r="N704" s="16" t="n">
        <x:v>3</x:v>
      </x:c>
      <x:c r="O704" s="16" t="n">
        <x:v>5</x:v>
      </x:c>
      <x:c r="P704" s="16" t="n">
        <x:f>IF(COUNT(I704:O704)&lt;7,"",I704*8+J704*3+K704*2+L704*2+M704*2+N704*2+O704)</x:f>
        <x:v>88</x:v>
      </x:c>
      <x:c r="Q704" s="16" t="n">
        <x:f>IF(COUNT(J704:O704)&lt;6,"",J704*5+K704*4+M704*4+L704*3+N704*2+O704*2)</x:f>
        <x:v>84</x:v>
      </x:c>
      <x:c r="R704" s="14" t="str">
        <x:v>high</x:v>
      </x:c>
      <x:c r="S704" s="14" t="str">
        <x:v>official_prozorro_award_2025_2026</x:v>
      </x:c>
      <x:c r="T704" s="14" t="str">
        <x:v>official_prozorro_api</x:v>
      </x:c>
      <x:c r="U704" s="14" t="str">
        <x:v>Не контактували</x:v>
      </x:c>
      <x:c r="V704" s="15" t="str">
        <x:v>Персоналізований free-pilot outreach по UA-2026-04-17-011774-a; попросити 1 пакет Н.14/Н.15</x:v>
      </x:c>
      <x:c r="W704" s="15" t="str">
        <x:v>Власник / виконавець; відповідальний за договір</x:v>
      </x:c>
      <x:c r="X704" s="15" t="str">
        <x:v>2 підтверджених перемог/договорів у Prozorro на 7 500 грн; 1 проєктів зі строком виконання не раніше 24.08.2026.</x:v>
      </x:c>
      <x:c r="Y704"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 строк до 2026-12-31. Попросити один знеособлений пакет здачі за цим workflow.</x:v>
      </x:c>
      <x:c r="Z704" s="15" t="str">
        <x:v>https://prozorro.gov.ua/tender/UA-2026-04-17-011774-a</x:v>
      </x:c>
      <x:c r="AA704" s="14" t="str">
        <x:v>2226713797</x:v>
      </x:c>
      <x:c r="AB704" s="14" t="str">
        <x:v>2026-08-24</x:v>
      </x:c>
      <x:c r="AC704" s="14" t="str"/>
      <x:c r="AD704" s="20" t="str"/>
      <x:c r="AE704" s="14" t="str"/>
      <x:c r="AF704" s="14" t="n">
        <x:v>40</x:v>
      </x:c>
      <x:c r="AG704" s="14" t="str">
        <x:v>I3</x:v>
      </x:c>
      <x:c r="AH704" s="14" t="n">
        <x:v>2</x:v>
      </x:c>
      <x:c r="AI704" s="14" t="n">
        <x:v>1</x:v>
      </x:c>
      <x:c r="AJ704" s="18" t="n">
        <x:v>7500</x:v>
      </x:c>
      <x:c r="AK704" s="14" t="str">
        <x:v>https://prozorro.gov.ua/tender/UA-2026-04-17-011774-a</x:v>
      </x:c>
      <x:c r="AL704" s="19" t="n">
        <x:v>46129.57997133102</x:v>
      </x:c>
      <x:c r="AM704" s="19" t="n">
        <x:v>46387</x:v>
      </x:c>
      <x:c r="AN704" s="15" t="str">
        <x:v>Електромонтаж</x:v>
      </x:c>
      <x:c r="AO704" s="15" t="str">
        <x:v>not_found_in_top_search</x:v>
      </x:c>
    </x:row>
    <x:row r="705">
      <x:c r="A705" s="14" t="str">
        <x:v>W3-433</x:v>
      </x:c>
      <x:c r="B705" s="14" t="str">
        <x:v>Prozorro winners — 24.08</x:v>
      </x:c>
      <x:c r="C705" s="14" t="str">
        <x:v>СИДОРЕНКО СЕРГІЙ ВІКТОРОВИЧ</x:v>
      </x:c>
      <x:c r="D705" s="14" t="str">
        <x:v>Водоочищення / очисні споруди</x:v>
      </x:c>
      <x:c r="E705" s="14" t="str">
        <x:v>Expansion discovery</x:v>
      </x:c>
      <x:c r="F705" s="17" t="str">
        <x:v>D3</x:v>
      </x:c>
      <x:c r="G705" s="14" t="str"/>
      <x:c r="H705" s="14" t="str">
        <x:v>Discovery розширення — 2 тижні</x:v>
      </x:c>
      <x:c r="I705" s="16" t="n">
        <x:v>1</x:v>
      </x:c>
      <x:c r="J705" s="16" t="n">
        <x:v>5</x:v>
      </x:c>
      <x:c r="K705" s="16" t="n">
        <x:v>4</x:v>
      </x:c>
      <x:c r="L705" s="16" t="n">
        <x:v>2</x:v>
      </x:c>
      <x:c r="M705" s="16" t="n">
        <x:v>5</x:v>
      </x:c>
      <x:c r="N705" s="16" t="n">
        <x:v>3</x:v>
      </x:c>
      <x:c r="O705" s="16" t="n">
        <x:v>5</x:v>
      </x:c>
      <x:c r="P705" s="16" t="n">
        <x:f>IF(COUNT(I705:O705)&lt;7,"",I705*8+J705*3+K705*2+L705*2+M705*2+N705*2+O705)</x:f>
        <x:v>56</x:v>
      </x:c>
      <x:c r="Q705" s="16" t="n">
        <x:f>IF(COUNT(J705:O705)&lt;6,"",J705*5+K705*4+M705*4+L705*3+N705*2+O705*2)</x:f>
        <x:v>83</x:v>
      </x:c>
      <x:c r="R705" s="14" t="str">
        <x:v>high</x:v>
      </x:c>
      <x:c r="S705" s="14" t="str">
        <x:v>official_prozorro_award_2025_2026</x:v>
      </x:c>
      <x:c r="T705" s="14" t="str">
        <x:v>official_prozorro_api</x:v>
      </x:c>
      <x:c r="U705" s="14" t="str">
        <x:v>Не контактували</x:v>
      </x:c>
      <x:c r="V705" s="15" t="str">
        <x:v>Workflow-audit outreach по UA-2026-04-20-000865-a; попросити 1 пакет здачі та вимоги проєкту</x:v>
      </x:c>
      <x:c r="W705" s="15" t="str">
        <x:v>Власник / виконавець; відповідальний за договір</x:v>
      </x:c>
      <x:c r="X705" s="15" t="str">
        <x:v>1 підтверджених перемог/договорів у Prozorro на 380 000 грн; 1 проєктів зі строком виконання не раніше 24.08.2026.</x:v>
      </x:c>
      <x:c r="Y705"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 строк до 2026-12-31. Попросити один знеособлений пакет здачі за цим workflow.</x:v>
      </x:c>
      <x:c r="Z705" s="15" t="str">
        <x:v>https://prozorro.gov.ua/tender/UA-2026-04-20-000865-a</x:v>
      </x:c>
      <x:c r="AA705" s="14" t="str">
        <x:v>2977111590</x:v>
      </x:c>
      <x:c r="AB705" s="14" t="str">
        <x:v>2026-08-24</x:v>
      </x:c>
      <x:c r="AC705" s="14" t="str"/>
      <x:c r="AD705" s="20" t="str"/>
      <x:c r="AE705" s="14" t="str"/>
      <x:c r="AF705" s="14" t="n">
        <x:v>39</x:v>
      </x:c>
      <x:c r="AG705" s="14" t="str">
        <x:v>I3</x:v>
      </x:c>
      <x:c r="AH705" s="14" t="n">
        <x:v>1</x:v>
      </x:c>
      <x:c r="AI705" s="14" t="n">
        <x:v>1</x:v>
      </x:c>
      <x:c r="AJ705" s="18" t="n">
        <x:v>380000</x:v>
      </x:c>
      <x:c r="AK705" s="14" t="str">
        <x:v>https://prozorro.gov.ua/tender/UA-2026-04-20-000865-a</x:v>
      </x:c>
      <x:c r="AL705" s="19" t="n">
        <x:v>46132.27426259259</x:v>
      </x:c>
      <x:c r="AM705" s="19" t="n">
        <x:v>46387</x:v>
      </x:c>
      <x:c r="AN705" s="15" t="str">
        <x:v>Водоочищення / очисні споруди</x:v>
      </x:c>
      <x:c r="AO705" s="15" t="str">
        <x:v>not_found_in_top_search</x:v>
      </x:c>
    </x:row>
    <x:row r="706">
      <x:c r="A706" s="14" t="str">
        <x:v>W3-434</x:v>
      </x:c>
      <x:c r="B706" s="14" t="str">
        <x:v>Prozorro winners — 24.08</x:v>
      </x:c>
      <x:c r="C706" s="14" t="str">
        <x:v>ФОП ЛОГІНОВ ОЛЕКСАНДР ІВАНОВИЧ</x:v>
      </x:c>
      <x:c r="D706" s="14" t="str">
        <x:v>Медичні гази</x:v>
      </x:c>
      <x:c r="E706" s="14" t="str">
        <x:v>Expansion discovery</x:v>
      </x:c>
      <x:c r="F706" s="17" t="str">
        <x:v>D3</x:v>
      </x:c>
      <x:c r="G706" s="14" t="str"/>
      <x:c r="H706" s="14" t="str">
        <x:v>Discovery розширення — 2 тижні</x:v>
      </x:c>
      <x:c r="I706" s="16" t="n">
        <x:v>1</x:v>
      </x:c>
      <x:c r="J706" s="16" t="n">
        <x:v>5</x:v>
      </x:c>
      <x:c r="K706" s="16" t="n">
        <x:v>4</x:v>
      </x:c>
      <x:c r="L706" s="16" t="n">
        <x:v>2</x:v>
      </x:c>
      <x:c r="M706" s="16" t="n">
        <x:v>5</x:v>
      </x:c>
      <x:c r="N706" s="16" t="n">
        <x:v>3</x:v>
      </x:c>
      <x:c r="O706" s="16" t="n">
        <x:v>5</x:v>
      </x:c>
      <x:c r="P706" s="16" t="n">
        <x:f>IF(COUNT(I706:O706)&lt;7,"",I706*8+J706*3+K706*2+L706*2+M706*2+N706*2+O706)</x:f>
        <x:v>56</x:v>
      </x:c>
      <x:c r="Q706" s="16" t="n">
        <x:f>IF(COUNT(J706:O706)&lt;6,"",J706*5+K706*4+M706*4+L706*3+N706*2+O706*2)</x:f>
        <x:v>83</x:v>
      </x:c>
      <x:c r="R706" s="14" t="str">
        <x:v>high</x:v>
      </x:c>
      <x:c r="S706" s="14" t="str">
        <x:v>official_prozorro_award_2025_2026</x:v>
      </x:c>
      <x:c r="T706" s="14" t="str">
        <x:v>official_prozorro_api</x:v>
      </x:c>
      <x:c r="U706" s="14" t="str">
        <x:v>Не контактували</x:v>
      </x:c>
      <x:c r="V706" s="15" t="str">
        <x:v>Повторне звернення з новим тендерним сигналом UA-2026-08-06-005657-a; попросити 1 пакет здачі</x:v>
      </x:c>
      <x:c r="W706" s="15" t="str">
        <x:v>Власник / виконавець; відповідальний за договір</x:v>
      </x:c>
      <x:c r="X706" s="15" t="str">
        <x:v>1 підтверджених перемог/договорів у Prozorro на 245 395 грн; 1 проєктів зі строком виконання не раніше 24.08.2026.</x:v>
      </x:c>
      <x:c r="Y706"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 строк до 2026-12-22. Попросити один знеособлений пакет здачі за цим workflow.</x:v>
      </x:c>
      <x:c r="Z706" s="15" t="str">
        <x:v>https://prozorro.gov.ua/tender/UA-2026-03-18-001697-a</x:v>
      </x:c>
      <x:c r="AA706" s="14" t="str">
        <x:v>2444315539</x:v>
      </x:c>
      <x:c r="AB706" s="14" t="str">
        <x:v>2026-08-24</x:v>
      </x:c>
      <x:c r="AC706" s="14" t="str"/>
      <x:c r="AD706" s="20" t="str"/>
      <x:c r="AE706" s="14" t="str"/>
      <x:c r="AF706" s="14" t="n">
        <x:v>49</x:v>
      </x:c>
      <x:c r="AG706" s="14" t="str">
        <x:v>I3</x:v>
      </x:c>
      <x:c r="AH706" s="14" t="n">
        <x:v>2</x:v>
      </x:c>
      <x:c r="AI706" s="14" t="n">
        <x:v>2</x:v>
      </x:c>
      <x:c r="AJ706" s="18" t="n">
        <x:v>328689</x:v>
      </x:c>
      <x:c r="AK706" s="14" t="str">
        <x:v>https://prozorro.gov.ua/tender/UA-2026-08-06-005657-a</x:v>
      </x:c>
      <x:c r="AL706" s="19" t="n">
        <x:v>46248.29334256944</x:v>
      </x:c>
      <x:c r="AM706" s="19" t="n">
        <x:v>46378.46013888889</x:v>
      </x:c>
      <x:c r="AN706" s="15" t="str">
        <x:v>Медичні гази</x:v>
      </x:c>
      <x:c r="AO706" s="15" t="str">
        <x:v>not_found_in_top_search</x:v>
      </x:c>
    </x:row>
    <x:row r="707">
      <x:c r="A707" s="14" t="str">
        <x:v>W3-435</x:v>
      </x:c>
      <x:c r="B707" s="14" t="str">
        <x:v>Prozorro winners — 24.08</x:v>
      </x:c>
      <x:c r="C707" s="14" t="str">
        <x:v>ТОВ "Біляївська будівельна компанія"</x:v>
      </x:c>
      <x:c r="D707" s="14" t="str">
        <x:v>ГНБ / безтраншейні роботи</x:v>
      </x:c>
      <x:c r="E707" s="14" t="str">
        <x:v>Expansion discovery</x:v>
      </x:c>
      <x:c r="F707" s="17" t="str">
        <x:v>D3</x:v>
      </x:c>
      <x:c r="G707" s="14" t="str"/>
      <x:c r="H707" s="14" t="str">
        <x:v>Discovery розширення — 2 тижні</x:v>
      </x:c>
      <x:c r="I707" s="16" t="n">
        <x:v>1</x:v>
      </x:c>
      <x:c r="J707" s="16" t="n">
        <x:v>5</x:v>
      </x:c>
      <x:c r="K707" s="16" t="n">
        <x:v>4</x:v>
      </x:c>
      <x:c r="L707" s="16" t="n">
        <x:v>2</x:v>
      </x:c>
      <x:c r="M707" s="16" t="n">
        <x:v>5</x:v>
      </x:c>
      <x:c r="N707" s="16" t="n">
        <x:v>5</x:v>
      </x:c>
      <x:c r="O707" s="16" t="n">
        <x:v>5</x:v>
      </x:c>
      <x:c r="P707" s="16" t="n">
        <x:f>IF(COUNT(I707:O707)&lt;7,"",I707*8+J707*3+K707*2+L707*2+M707*2+N707*2+O707)</x:f>
        <x:v>60</x:v>
      </x:c>
      <x:c r="Q707" s="16" t="n">
        <x:f>IF(COUNT(J707:O707)&lt;6,"",J707*5+K707*4+M707*4+L707*3+N707*2+O707*2)</x:f>
        <x:v>87</x:v>
      </x:c>
      <x:c r="R707" s="14" t="str">
        <x:v>high</x:v>
      </x:c>
      <x:c r="S707" s="14" t="str">
        <x:v>official_prozorro_award_2025_2026</x:v>
      </x:c>
      <x:c r="T707" s="14" t="str">
        <x:v>official_prozorro_api</x:v>
      </x:c>
      <x:c r="U707" s="14" t="str">
        <x:v>Не контактували</x:v>
      </x:c>
      <x:c r="V707" s="15" t="str">
        <x:v>Workflow-audit outreach по UA-2025-11-21-002037-a; попросити 1 пакет здачі та вимоги проєкту</x:v>
      </x:c>
      <x:c r="W707" s="15" t="str">
        <x:v>Власник / директор; керівник ПТО; відповідальний за договори</x:v>
      </x:c>
      <x:c r="X707" s="15" t="str">
        <x:v>3 підтверджених перемог/договорів у Prozorro на 242 194 грн; 0 проєктів зі строком виконання не раніше 24.08.2026.</x:v>
      </x:c>
      <x:c r="Y707"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 строк до 2025-12-30. Попросити один знеособлений пакет здачі за цим workflow.</x:v>
      </x:c>
      <x:c r="Z707" s="15" t="str">
        <x:v>https://prozorro.gov.ua/tender/UA-2025-11-21-002037-a</x:v>
      </x:c>
      <x:c r="AA707" s="14" t="str">
        <x:v>41381317</x:v>
      </x:c>
      <x:c r="AB707" s="14" t="str">
        <x:v>2026-08-24</x:v>
      </x:c>
      <x:c r="AC707" s="14" t="str"/>
      <x:c r="AD707" s="20" t="str"/>
      <x:c r="AE707" s="14" t="str"/>
      <x:c r="AF707" s="14" t="n">
        <x:v>39</x:v>
      </x:c>
      <x:c r="AG707" s="14" t="str">
        <x:v>I3</x:v>
      </x:c>
      <x:c r="AH707" s="14" t="n">
        <x:v>3</x:v>
      </x:c>
      <x:c r="AI707" s="14" t="n">
        <x:v>0</x:v>
      </x:c>
      <x:c r="AJ707" s="18" t="n">
        <x:v>242193.6</x:v>
      </x:c>
      <x:c r="AK707" s="14" t="str">
        <x:v>https://prozorro.gov.ua/tender/UA-2025-11-21-002037-a</x:v>
      </x:c>
      <x:c r="AL707" s="19" t="n">
        <x:v>45982.33196025463</x:v>
      </x:c>
      <x:c r="AM707" s="19" t="n">
        <x:v>46021.33216435185</x:v>
      </x:c>
      <x:c r="AN707" s="15" t="str">
        <x:v>ГНБ / безтраншейні роботи</x:v>
      </x:c>
      <x:c r="AO707" s="15" t="str">
        <x:v>not_found_in_top_search</x:v>
      </x:c>
    </x:row>
    <x:row r="708">
      <x:c r="A708" s="14" t="str">
        <x:v>W3-436</x:v>
      </x:c>
      <x:c r="B708" s="14" t="str">
        <x:v>Prozorro winners — 24.08</x:v>
      </x:c>
      <x:c r="C708" s="14" t="str">
        <x:v>ФІЗИЧНА ОСОБА ПІДПРИЄМЕЦЬ ТРЯНОВ АНАТОЛІЙ АНАТОЛІЙОВИЧ</x:v>
      </x:c>
      <x:c r="D708" s="14" t="str">
        <x:v>Електромонтаж</x:v>
      </x:c>
      <x:c r="E708" s="14" t="str">
        <x:v>Pilot now</x:v>
      </x:c>
      <x:c r="F708" s="17" t="str">
        <x:v>P3</x:v>
      </x:c>
      <x:c r="G708" s="14" t="str"/>
      <x:c r="H708" s="14" t="str">
        <x:v>Пілот зараз — Н.15</x:v>
      </x:c>
      <x:c r="I708" s="16" t="n">
        <x:v>5</x:v>
      </x:c>
      <x:c r="J708" s="16" t="n">
        <x:v>5</x:v>
      </x:c>
      <x:c r="K708" s="16" t="n">
        <x:v>5</x:v>
      </x:c>
      <x:c r="L708" s="16" t="n">
        <x:v>2</x:v>
      </x:c>
      <x:c r="M708" s="16" t="n">
        <x:v>5</x:v>
      </x:c>
      <x:c r="N708" s="16" t="n">
        <x:v>3</x:v>
      </x:c>
      <x:c r="O708" s="16" t="n">
        <x:v>5</x:v>
      </x:c>
      <x:c r="P708" s="16" t="n">
        <x:f>IF(COUNT(I708:O708)&lt;7,"",I708*8+J708*3+K708*2+L708*2+M708*2+N708*2+O708)</x:f>
        <x:v>90</x:v>
      </x:c>
      <x:c r="Q708" s="16" t="n">
        <x:f>IF(COUNT(J708:O708)&lt;6,"",J708*5+K708*4+M708*4+L708*3+N708*2+O708*2)</x:f>
        <x:v>87</x:v>
      </x:c>
      <x:c r="R708" s="14" t="str">
        <x:v>high</x:v>
      </x:c>
      <x:c r="S708" s="14" t="str">
        <x:v>official_prozorro_award_2025_2026</x:v>
      </x:c>
      <x:c r="T708" s="14" t="str">
        <x:v>official_prozorro_api</x:v>
      </x:c>
      <x:c r="U708" s="14" t="str">
        <x:v>Не контактували</x:v>
      </x:c>
      <x:c r="V708" s="15" t="str">
        <x:v>Персоналізований free-pilot outreach по UA-2026-04-08-010233-a; попросити 1 пакет Н.14/Н.15</x:v>
      </x:c>
      <x:c r="W708" s="15" t="str">
        <x:v>Власник / виконавець; відповідальний за договір</x:v>
      </x:c>
      <x:c r="X708" s="15" t="str">
        <x:v>1 підтверджених перемог/договорів у Prozorro на 199 736 грн; 1 проєктів зі строком виконання не раніше 24.08.2026.</x:v>
      </x:c>
      <x:c r="Y708"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 строк до 2026-10-08. Попросити один знеособлений пакет здачі за цим workflow.</x:v>
      </x:c>
      <x:c r="Z708" s="15" t="str">
        <x:v>https://prozorro.gov.ua/tender/UA-2026-04-08-010233-a</x:v>
      </x:c>
      <x:c r="AA708" s="14" t="str">
        <x:v>3131519514</x:v>
      </x:c>
      <x:c r="AB708" s="14" t="str">
        <x:v>2026-08-24</x:v>
      </x:c>
      <x:c r="AC708" s="14" t="str"/>
      <x:c r="AD708" s="20" t="str"/>
      <x:c r="AE708" s="14" t="str"/>
      <x:c r="AF708" s="14" t="n">
        <x:v>39</x:v>
      </x:c>
      <x:c r="AG708" s="14" t="str">
        <x:v>I3</x:v>
      </x:c>
      <x:c r="AH708" s="14" t="n">
        <x:v>1</x:v>
      </x:c>
      <x:c r="AI708" s="14" t="n">
        <x:v>1</x:v>
      </x:c>
      <x:c r="AJ708" s="18" t="n">
        <x:v>199736.15</x:v>
      </x:c>
      <x:c r="AK708" s="14" t="str">
        <x:v>https://prozorro.gov.ua/tender/UA-2026-04-08-010233-a</x:v>
      </x:c>
      <x:c r="AL708" s="19" t="n">
        <x:v>46120.50775244213</x:v>
      </x:c>
      <x:c r="AM708" s="19" t="n">
        <x:v>46303.508888888886</x:v>
      </x:c>
      <x:c r="AN708" s="15" t="str">
        <x:v>Електромонтаж</x:v>
      </x:c>
      <x:c r="AO708" s="15" t="str">
        <x:v>not_found_in_top_search</x:v>
      </x:c>
    </x:row>
    <x:row r="709">
      <x:c r="A709" s="14" t="str">
        <x:v>W3-437</x:v>
      </x:c>
      <x:c r="B709" s="14" t="str">
        <x:v>Prozorro winners — 24.08</x:v>
      </x:c>
      <x:c r="C709" s="14" t="str">
        <x:v>ТОВАРИСТВО З ОБМЕЖЕНОЮ ВІДПОВІДАЛЬНІСТЮ "ПОЖЕЖНА БЕЗПЕКА-ЦЕНТР"</x:v>
      </x:c>
      <x:c r="D709" s="14" t="str">
        <x:v>Пожежогасіння</x:v>
      </x:c>
      <x:c r="E709" s="14" t="str">
        <x:v>Expansion discovery</x:v>
      </x:c>
      <x:c r="F709" s="17" t="str">
        <x:v>D3</x:v>
      </x:c>
      <x:c r="G709" s="14" t="str"/>
      <x:c r="H709" s="14" t="str">
        <x:v>Discovery розширення — 2 тижні</x:v>
      </x:c>
      <x:c r="I709" s="16" t="n">
        <x:v>1</x:v>
      </x:c>
      <x:c r="J709" s="16" t="n">
        <x:v>5</x:v>
      </x:c>
      <x:c r="K709" s="16" t="n">
        <x:v>4</x:v>
      </x:c>
      <x:c r="L709" s="16" t="n">
        <x:v>1</x:v>
      </x:c>
      <x:c r="M709" s="16" t="n">
        <x:v>5</x:v>
      </x:c>
      <x:c r="N709" s="16" t="n">
        <x:v>5</x:v>
      </x:c>
      <x:c r="O709" s="16" t="n">
        <x:v>5</x:v>
      </x:c>
      <x:c r="P709" s="16" t="n">
        <x:f>IF(COUNT(I709:O709)&lt;7,"",I709*8+J709*3+K709*2+L709*2+M709*2+N709*2+O709)</x:f>
        <x:v>58</x:v>
      </x:c>
      <x:c r="Q709" s="16" t="n">
        <x:f>IF(COUNT(J709:O709)&lt;6,"",J709*5+K709*4+M709*4+L709*3+N709*2+O709*2)</x:f>
        <x:v>84</x:v>
      </x:c>
      <x:c r="R709" s="14" t="str">
        <x:v>high</x:v>
      </x:c>
      <x:c r="S709" s="14" t="str">
        <x:v>official_prozorro_award_2025_2026</x:v>
      </x:c>
      <x:c r="T709" s="14" t="str">
        <x:v>official_prozorro_api</x:v>
      </x:c>
      <x:c r="U709" s="14" t="str">
        <x:v>Не контактували</x:v>
      </x:c>
      <x:c r="V709" s="15" t="str">
        <x:v>Повторне звернення з новим тендерним сигналом UA-2025-11-25-000459-a; попросити 1 пакет здачі</x:v>
      </x:c>
      <x:c r="W709" s="15" t="str">
        <x:v>Власник / директор; керівник ПТО; відповідальний за договори</x:v>
      </x:c>
      <x:c r="X709" s="15" t="str">
        <x:v>1 підтверджених перемог/договорів у Prozorro на 99 972 грн; 1 проєктів зі строком виконання не раніше 24.08.2026.</x:v>
      </x:c>
      <x:c r="Y709" s="15" t="str">
        <x:v>Послуги з монтажу системи  пожежної сигналізації та системи тривожних сповіщень; строк до 2026-12-31. Попросити один знеособлений пакет здачі за цим workflow.</x:v>
      </x:c>
      <x:c r="Z709" s="15" t="str">
        <x:v>https://prozorro.gov.ua/tender/UA-2026-04-24-004247-a</x:v>
      </x:c>
      <x:c r="AA709" s="14" t="str">
        <x:v>44930287</x:v>
      </x:c>
      <x:c r="AB709" s="14" t="str">
        <x:v>2026-08-24</x:v>
      </x:c>
      <x:c r="AC709" s="14" t="str"/>
      <x:c r="AD709" s="20" t="str"/>
      <x:c r="AE709" s="14" t="str"/>
      <x:c r="AF709" s="14" t="n">
        <x:v>66</x:v>
      </x:c>
      <x:c r="AG709" s="14" t="str">
        <x:v>I2</x:v>
      </x:c>
      <x:c r="AH709" s="14" t="n">
        <x:v>4</x:v>
      </x:c>
      <x:c r="AI709" s="14" t="n">
        <x:v>1</x:v>
      </x:c>
      <x:c r="AJ709" s="18" t="n">
        <x:v>305726.35</x:v>
      </x:c>
      <x:c r="AK709" s="14" t="str">
        <x:v>https://prozorro.gov.ua/tender/UA-2025-11-25-000459-a</x:v>
      </x:c>
      <x:c r="AL709" s="19" t="n">
        <x:v>45986.28103888889</x:v>
      </x:c>
      <x:c r="AM709" s="19" t="n">
        <x:v>46022.28202546296</x:v>
      </x:c>
      <x:c r="AN709" s="15" t="str">
        <x:v>Пожежогасіння; Пасивний вогнезахист; Блискавкозахист / заземлення</x:v>
      </x:c>
      <x:c r="AO709" s="15" t="str">
        <x:v>not_found_in_top_search</x:v>
      </x:c>
    </x:row>
    <x:row r="710">
      <x:c r="A710" s="14" t="str">
        <x:v>W3-438</x:v>
      </x:c>
      <x:c r="B710" s="14" t="str">
        <x:v>Prozorro winners — 24.08</x:v>
      </x:c>
      <x:c r="C710" s="14" t="str">
        <x:v>РАДЗИВІЛ ОЛЕКСАНДР АРКАДІЙОВИЧ</x:v>
      </x:c>
      <x:c r="D710" s="14" t="str">
        <x:v>Безпека / СКУД / CCTV</x:v>
      </x:c>
      <x:c r="E710" s="14" t="str">
        <x:v>Expansion discovery</x:v>
      </x:c>
      <x:c r="F710" s="17" t="str">
        <x:v>D3</x:v>
      </x:c>
      <x:c r="G710" s="14" t="str"/>
      <x:c r="H710" s="14" t="str">
        <x:v>Discovery розширення — 2 тижні</x:v>
      </x:c>
      <x:c r="I710" s="16" t="n">
        <x:v>1</x:v>
      </x:c>
      <x:c r="J710" s="16" t="n">
        <x:v>5</x:v>
      </x:c>
      <x:c r="K710" s="16" t="n">
        <x:v>4</x:v>
      </x:c>
      <x:c r="L710" s="16" t="n">
        <x:v>1</x:v>
      </x:c>
      <x:c r="M710" s="16" t="n">
        <x:v>5</x:v>
      </x:c>
      <x:c r="N710" s="16" t="n">
        <x:v>3</x:v>
      </x:c>
      <x:c r="O710" s="16" t="n">
        <x:v>5</x:v>
      </x:c>
      <x:c r="P710" s="16" t="n">
        <x:f>IF(COUNT(I710:O710)&lt;7,"",I710*8+J710*3+K710*2+L710*2+M710*2+N710*2+O710)</x:f>
        <x:v>54</x:v>
      </x:c>
      <x:c r="Q710" s="16" t="n">
        <x:f>IF(COUNT(J710:O710)&lt;6,"",J710*5+K710*4+M710*4+L710*3+N710*2+O710*2)</x:f>
        <x:v>80</x:v>
      </x:c>
      <x:c r="R710" s="14" t="str">
        <x:v>high</x:v>
      </x:c>
      <x:c r="S710" s="14" t="str">
        <x:v>official_prozorro_award_2025_2026</x:v>
      </x:c>
      <x:c r="T710" s="14" t="str">
        <x:v>official_prozorro_api</x:v>
      </x:c>
      <x:c r="U710" s="14" t="str">
        <x:v>Не контактували</x:v>
      </x:c>
      <x:c r="V710" s="15" t="str">
        <x:v>Workflow-audit outreach по UA-2026-06-25-007871-a; попросити 1 пакет здачі та вимоги проєкту</x:v>
      </x:c>
      <x:c r="W710" s="15" t="str">
        <x:v>Власник / виконавець; відповідальний за договір</x:v>
      </x:c>
      <x:c r="X710" s="15" t="str">
        <x:v>1 підтверджених перемог/договорів у Prozorro на 99 920 грн; 0 проєктів зі строком виконання не раніше 24.08.2026.</x:v>
      </x:c>
      <x:c r="Y710" s="15" t="str">
        <x:v>Послуги монтажу та налаштування системи  відеоспостереження; строк до 2026-07-20. Попросити один знеособлений пакет здачі за цим workflow.</x:v>
      </x:c>
      <x:c r="Z710" s="15" t="str">
        <x:v>https://prozorro.gov.ua/tender/UA-2026-06-25-007871-a</x:v>
      </x:c>
      <x:c r="AA710" s="14" t="str">
        <x:v>3023319734</x:v>
      </x:c>
      <x:c r="AB710" s="14" t="str">
        <x:v>2026-08-24</x:v>
      </x:c>
      <x:c r="AC710" s="14" t="str"/>
      <x:c r="AD710" s="20" t="str"/>
      <x:c r="AE710" s="14" t="str"/>
      <x:c r="AF710" s="14" t="n">
        <x:v>38</x:v>
      </x:c>
      <x:c r="AG710" s="14" t="str">
        <x:v>I3</x:v>
      </x:c>
      <x:c r="AH710" s="14" t="n">
        <x:v>1</x:v>
      </x:c>
      <x:c r="AI710" s="14" t="n">
        <x:v>0</x:v>
      </x:c>
      <x:c r="AJ710" s="18" t="n">
        <x:v>99920</x:v>
      </x:c>
      <x:c r="AK710" s="14" t="str">
        <x:v>https://prozorro.gov.ua/tender/UA-2026-06-25-007871-a</x:v>
      </x:c>
      <x:c r="AL710" s="19" t="n">
        <x:v>46198.47282954861</x:v>
      </x:c>
      <x:c r="AM710" s="19" t="n">
        <x:v>46223</x:v>
      </x:c>
      <x:c r="AN710" s="15" t="str">
        <x:v>Безпека / СКУД / CCTV</x:v>
      </x:c>
      <x:c r="AO710" s="15" t="str">
        <x:v>not_found_in_top_search</x:v>
      </x:c>
    </x:row>
    <x:row r="711">
      <x:c r="A711" s="14" t="str">
        <x:v>W3-439</x:v>
      </x:c>
      <x:c r="B711" s="14" t="str">
        <x:v>Prozorro winners — 24.08</x:v>
      </x:c>
      <x:c r="C711" s="14" t="str">
        <x:v>ІГНАТЮК ВАСИЛИНА ІВАНІВНА</x:v>
      </x:c>
      <x:c r="D711" s="14" t="str">
        <x:v>Сонячна енергетика</x:v>
      </x:c>
      <x:c r="E711" s="14" t="str">
        <x:v>Expansion discovery</x:v>
      </x:c>
      <x:c r="F711" s="17" t="str">
        <x:v>D3</x:v>
      </x:c>
      <x:c r="G711" s="14" t="str"/>
      <x:c r="H711" s="14" t="str">
        <x:v>Discovery розширення — 2 тижні</x:v>
      </x:c>
      <x:c r="I711" s="16" t="n">
        <x:v>1</x:v>
      </x:c>
      <x:c r="J711" s="16" t="n">
        <x:v>5</x:v>
      </x:c>
      <x:c r="K711" s="16" t="n">
        <x:v>4</x:v>
      </x:c>
      <x:c r="L711" s="16" t="n">
        <x:v>1</x:v>
      </x:c>
      <x:c r="M711" s="16" t="n">
        <x:v>5</x:v>
      </x:c>
      <x:c r="N711" s="16" t="n">
        <x:v>3</x:v>
      </x:c>
      <x:c r="O711" s="16" t="n">
        <x:v>5</x:v>
      </x:c>
      <x:c r="P711" s="16" t="n">
        <x:f>IF(COUNT(I711:O711)&lt;7,"",I711*8+J711*3+K711*2+L711*2+M711*2+N711*2+O711)</x:f>
        <x:v>54</x:v>
      </x:c>
      <x:c r="Q711" s="16" t="n">
        <x:f>IF(COUNT(J711:O711)&lt;6,"",J711*5+K711*4+M711*4+L711*3+N711*2+O711*2)</x:f>
        <x:v>80</x:v>
      </x:c>
      <x:c r="R711" s="14" t="str">
        <x:v>high</x:v>
      </x:c>
      <x:c r="S711" s="14" t="str">
        <x:v>official_prozorro_award_2025_2026</x:v>
      </x:c>
      <x:c r="T711" s="14" t="str">
        <x:v>official_prozorro_api</x:v>
      </x:c>
      <x:c r="U711" s="14" t="str">
        <x:v>Не контактували</x:v>
      </x:c>
      <x:c r="V711" s="15" t="str">
        <x:v>Workflow-audit outreach по UA-2026-05-18-010340-a; попросити 1 пакет здачі та вимоги проєкту</x:v>
      </x:c>
      <x:c r="W711" s="15" t="str">
        <x:v>Власник / виконавець; відповідальний за договір</x:v>
      </x:c>
      <x:c r="X711" s="15" t="str">
        <x:v>1 підтверджених перемог/договорів у Prozorro на 99 900 грн; 0 проєктів зі строком виконання не раніше 24.08.2026.</x:v>
      </x:c>
      <x:c r="Y711"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11" s="15" t="str">
        <x:v>https://prozorro.gov.ua/tender/UA-2026-05-18-010340-a</x:v>
      </x:c>
      <x:c r="AA711" s="14" t="str">
        <x:v>2448402807</x:v>
      </x:c>
      <x:c r="AB711" s="14" t="str">
        <x:v>2026-08-24</x:v>
      </x:c>
      <x:c r="AC711" s="14" t="str"/>
      <x:c r="AD711" s="20" t="str"/>
      <x:c r="AE711" s="14" t="str"/>
      <x:c r="AF711" s="14" t="n">
        <x:v>38</x:v>
      </x:c>
      <x:c r="AG711" s="14" t="str">
        <x:v>I3</x:v>
      </x:c>
      <x:c r="AH711" s="14" t="n">
        <x:v>1</x:v>
      </x:c>
      <x:c r="AI711" s="14" t="n">
        <x:v>0</x:v>
      </x:c>
      <x:c r="AJ711" s="18" t="n">
        <x:v>99900</x:v>
      </x:c>
      <x:c r="AK711" s="14" t="str">
        <x:v>https://prozorro.gov.ua/tender/UA-2026-05-18-010340-a</x:v>
      </x:c>
      <x:c r="AL711" s="19" t="n">
        <x:v>46160.528846863424</x:v>
      </x:c>
      <x:c r="AM711" s="19" t="n">
        <x:v>46203</x:v>
      </x:c>
      <x:c r="AN711" s="15" t="str">
        <x:v>Сонячна енергетика</x:v>
      </x:c>
      <x:c r="AO711" s="15" t="str">
        <x:v>not_found_in_top_search</x:v>
      </x:c>
    </x:row>
    <x:row r="712">
      <x:c r="A712" s="14" t="str">
        <x:v>W3-440</x:v>
      </x:c>
      <x:c r="B712" s="14" t="str">
        <x:v>Prozorro winners — 24.08</x:v>
      </x:c>
      <x:c r="C712" s="14" t="str">
        <x:v>ПП «КОЛЕКС»</x:v>
      </x:c>
      <x:c r="D712" s="14" t="str">
        <x:v>Пожежогасіння</x:v>
      </x:c>
      <x:c r="E712" s="14" t="str">
        <x:v>Expansion discovery</x:v>
      </x:c>
      <x:c r="F712" s="17" t="str">
        <x:v>D3</x:v>
      </x:c>
      <x:c r="G712" s="14" t="str"/>
      <x:c r="H712" s="14" t="str">
        <x:v>Discovery розширення — 2 тижні</x:v>
      </x:c>
      <x:c r="I712" s="16" t="n">
        <x:v>1</x:v>
      </x:c>
      <x:c r="J712" s="16" t="n">
        <x:v>5</x:v>
      </x:c>
      <x:c r="K712" s="16" t="n">
        <x:v>4</x:v>
      </x:c>
      <x:c r="L712" s="16" t="n">
        <x:v>1</x:v>
      </x:c>
      <x:c r="M712" s="16" t="n">
        <x:v>5</x:v>
      </x:c>
      <x:c r="N712" s="16" t="n">
        <x:v>5</x:v>
      </x:c>
      <x:c r="O712" s="16" t="n">
        <x:v>5</x:v>
      </x:c>
      <x:c r="P712" s="16" t="n">
        <x:f>IF(COUNT(I712:O712)&lt;7,"",I712*8+J712*3+K712*2+L712*2+M712*2+N712*2+O712)</x:f>
        <x:v>58</x:v>
      </x:c>
      <x:c r="Q712" s="16" t="n">
        <x:f>IF(COUNT(J712:O712)&lt;6,"",J712*5+K712*4+M712*4+L712*3+N712*2+O712*2)</x:f>
        <x:v>84</x:v>
      </x:c>
      <x:c r="R712" s="14" t="str">
        <x:v>high</x:v>
      </x:c>
      <x:c r="S712" s="14" t="str">
        <x:v>official_prozorro_award_2025_2026</x:v>
      </x:c>
      <x:c r="T712" s="14" t="str">
        <x:v>official_prozorro_api</x:v>
      </x:c>
      <x:c r="U712" s="14" t="str">
        <x:v>Не контактували</x:v>
      </x:c>
      <x:c r="V712" s="15" t="str">
        <x:v>Workflow-audit outreach по UA-2026-03-27-011149-a; попросити 1 пакет здачі та вимоги проєкту</x:v>
      </x:c>
      <x:c r="W712" s="15" t="str">
        <x:v>Власник / директор; керівник ПТО; відповідальний за договори</x:v>
      </x:c>
      <x:c r="X712" s="15" t="str">
        <x:v>1 підтверджених перемог/договорів у Prozorro на 94 275 грн; 1 проєктів зі строком виконання не раніше 24.08.2026.</x:v>
      </x:c>
      <x:c r="Y712" s="15" t="str">
        <x:v>Монтаж та налагодження системи охоронної та пожежної сигналізації; строк до 2026-12-31. Попросити один знеособлений пакет здачі за цим workflow.</x:v>
      </x:c>
      <x:c r="Z712" s="15" t="str">
        <x:v>https://prozorro.gov.ua/tender/UA-2026-03-27-011149-a</x:v>
      </x:c>
      <x:c r="AA712" s="14" t="str">
        <x:v>34606315</x:v>
      </x:c>
      <x:c r="AB712" s="14" t="str">
        <x:v>2026-08-24</x:v>
      </x:c>
      <x:c r="AC712" s="14" t="str"/>
      <x:c r="AD712" s="20" t="str"/>
      <x:c r="AE712" s="14" t="str"/>
      <x:c r="AF712" s="14" t="n">
        <x:v>38</x:v>
      </x:c>
      <x:c r="AG712" s="14" t="str">
        <x:v>I3</x:v>
      </x:c>
      <x:c r="AH712" s="14" t="n">
        <x:v>1</x:v>
      </x:c>
      <x:c r="AI712" s="14" t="n">
        <x:v>1</x:v>
      </x:c>
      <x:c r="AJ712" s="18" t="n">
        <x:v>94274.59</x:v>
      </x:c>
      <x:c r="AK712" s="14" t="str">
        <x:v>https://prozorro.gov.ua/tender/UA-2026-03-27-011149-a</x:v>
      </x:c>
      <x:c r="AL712" s="19" t="n">
        <x:v>46108.6047377662</x:v>
      </x:c>
      <x:c r="AM712" s="19" t="n">
        <x:v>46387</x:v>
      </x:c>
      <x:c r="AN712" s="15" t="str">
        <x:v>Пожежогасіння</x:v>
      </x:c>
      <x:c r="AO712" s="15" t="str">
        <x:v>not_found_in_top_search</x:v>
      </x:c>
    </x:row>
    <x:row r="713">
      <x:c r="A713" s="14" t="str">
        <x:v>W3-441</x:v>
      </x:c>
      <x:c r="B713" s="14" t="str">
        <x:v>Prozorro winners — 24.08</x:v>
      </x:c>
      <x:c r="C713" s="14" t="str">
        <x:v>ФОП Микитюк Микола Георгійович</x:v>
      </x:c>
      <x:c r="D713" s="14" t="str">
        <x:v>Газопостачання / котельні</x:v>
      </x:c>
      <x:c r="E713" s="14" t="str">
        <x:v>Expansion discovery</x:v>
      </x:c>
      <x:c r="F713" s="17" t="str">
        <x:v>D3</x:v>
      </x:c>
      <x:c r="G713" s="14" t="str"/>
      <x:c r="H713" s="14" t="str">
        <x:v>Discovery розширення — 2 тижні</x:v>
      </x:c>
      <x:c r="I713" s="16" t="n">
        <x:v>1</x:v>
      </x:c>
      <x:c r="J713" s="16" t="n">
        <x:v>5</x:v>
      </x:c>
      <x:c r="K713" s="16" t="n">
        <x:v>4</x:v>
      </x:c>
      <x:c r="L713" s="16" t="n">
        <x:v>1</x:v>
      </x:c>
      <x:c r="M713" s="16" t="n">
        <x:v>5</x:v>
      </x:c>
      <x:c r="N713" s="16" t="n">
        <x:v>3</x:v>
      </x:c>
      <x:c r="O713" s="16" t="n">
        <x:v>5</x:v>
      </x:c>
      <x:c r="P713" s="16" t="n">
        <x:f>IF(COUNT(I713:O713)&lt;7,"",I713*8+J713*3+K713*2+L713*2+M713*2+N713*2+O713)</x:f>
        <x:v>54</x:v>
      </x:c>
      <x:c r="Q713" s="16" t="n">
        <x:f>IF(COUNT(J713:O713)&lt;6,"",J713*5+K713*4+M713*4+L713*3+N713*2+O713*2)</x:f>
        <x:v>80</x:v>
      </x:c>
      <x:c r="R713" s="14" t="str">
        <x:v>high</x:v>
      </x:c>
      <x:c r="S713" s="14" t="str">
        <x:v>official_prozorro_award_2025_2026</x:v>
      </x:c>
      <x:c r="T713" s="14" t="str">
        <x:v>official_prozorro_api</x:v>
      </x:c>
      <x:c r="U713" s="14" t="str">
        <x:v>Не контактували</x:v>
      </x:c>
      <x:c r="V713" s="15" t="str">
        <x:v>Workflow-audit outreach по UA-2026-07-01-003861-a; попросити 1 пакет здачі та вимоги проєкту</x:v>
      </x:c>
      <x:c r="W713" s="15" t="str">
        <x:v>Власник / виконавець; відповідальний за договір</x:v>
      </x:c>
      <x:c r="X713" s="15" t="str">
        <x:v>1 підтверджених перемог/договорів у Prozorro на 88 970 грн; 0 проєктів зі строком виконання не раніше 24.08.2026.</x:v>
      </x:c>
      <x:c r="Y713" s="15" t="str">
        <x:v>Послуги з демонтажу та монтажу димової труби в котельні Мамаївського ЗДО; строк до 2026-07-31. Попросити один знеособлений пакет здачі за цим workflow.</x:v>
      </x:c>
      <x:c r="Z713" s="15" t="str">
        <x:v>https://prozorro.gov.ua/tender/UA-2026-07-01-003861-a</x:v>
      </x:c>
      <x:c r="AA713" s="14" t="str">
        <x:v>2307214319</x:v>
      </x:c>
      <x:c r="AB713" s="14" t="str">
        <x:v>2026-08-24</x:v>
      </x:c>
      <x:c r="AC713" s="14" t="str"/>
      <x:c r="AD713" s="20" t="str"/>
      <x:c r="AE713" s="14" t="str"/>
      <x:c r="AF713" s="14" t="n">
        <x:v>38</x:v>
      </x:c>
      <x:c r="AG713" s="14" t="str">
        <x:v>I3</x:v>
      </x:c>
      <x:c r="AH713" s="14" t="n">
        <x:v>1</x:v>
      </x:c>
      <x:c r="AI713" s="14" t="n">
        <x:v>0</x:v>
      </x:c>
      <x:c r="AJ713" s="18" t="n">
        <x:v>88970</x:v>
      </x:c>
      <x:c r="AK713" s="14" t="str">
        <x:v>https://prozorro.gov.ua/tender/UA-2026-07-01-003861-a</x:v>
      </x:c>
      <x:c r="AL713" s="19" t="n">
        <x:v>46204.3824987037</x:v>
      </x:c>
      <x:c r="AM713" s="19" t="n">
        <x:v>46234</x:v>
      </x:c>
      <x:c r="AN713" s="15" t="str">
        <x:v>Газопостачання / котельні</x:v>
      </x:c>
      <x:c r="AO713" s="15" t="str">
        <x:v>not_found_in_top_search</x:v>
      </x:c>
    </x:row>
    <x:row r="714">
      <x:c r="A714" s="14" t="str">
        <x:v>W3-442</x:v>
      </x:c>
      <x:c r="B714" s="14" t="str">
        <x:v>Prozorro winners — 24.08</x:v>
      </x:c>
      <x:c r="C714" s="14" t="str">
        <x:v>ДП "Укрдержекспертиза"</x:v>
      </x:c>
      <x:c r="D714" s="14" t="str">
        <x:v>Зовнішні мережі</x:v>
      </x:c>
      <x:c r="E714" s="14" t="str">
        <x:v>Expansion discovery</x:v>
      </x:c>
      <x:c r="F714" s="17" t="str">
        <x:v>D3</x:v>
      </x:c>
      <x:c r="G714" s="14" t="str"/>
      <x:c r="H714" s="14" t="str">
        <x:v>Discovery розширення — 2 тижні</x:v>
      </x:c>
      <x:c r="I714" s="16" t="n">
        <x:v>1</x:v>
      </x:c>
      <x:c r="J714" s="16" t="n">
        <x:v>5</x:v>
      </x:c>
      <x:c r="K714" s="16" t="n">
        <x:v>4</x:v>
      </x:c>
      <x:c r="L714" s="16" t="n">
        <x:v>1</x:v>
      </x:c>
      <x:c r="M714" s="16" t="n">
        <x:v>5</x:v>
      </x:c>
      <x:c r="N714" s="16" t="n">
        <x:v>5</x:v>
      </x:c>
      <x:c r="O714" s="16" t="n">
        <x:v>5</x:v>
      </x:c>
      <x:c r="P714" s="16" t="n">
        <x:f>IF(COUNT(I714:O714)&lt;7,"",I714*8+J714*3+K714*2+L714*2+M714*2+N714*2+O714)</x:f>
        <x:v>58</x:v>
      </x:c>
      <x:c r="Q714" s="16" t="n">
        <x:f>IF(COUNT(J714:O714)&lt;6,"",J714*5+K714*4+M714*4+L714*3+N714*2+O714*2)</x:f>
        <x:v>84</x:v>
      </x:c>
      <x:c r="R714" s="14" t="str">
        <x:v>high</x:v>
      </x:c>
      <x:c r="S714" s="14" t="str">
        <x:v>official_prozorro_award_2025_2026</x:v>
      </x:c>
      <x:c r="T714" s="14" t="str">
        <x:v>official_prozorro_api</x:v>
      </x:c>
      <x:c r="U714" s="14" t="str">
        <x:v>Не контактували</x:v>
      </x:c>
      <x:c r="V714" s="15" t="str">
        <x:v>Workflow-audit outreach по UA-2026-03-18-002291-a; попросити 1 пакет здачі та вимоги проєкту</x:v>
      </x:c>
      <x:c r="W714" s="15" t="str">
        <x:v>Власник / директор; керівник ПТО; відповідальний за договори</x:v>
      </x:c>
      <x:c r="X714" s="15" t="str">
        <x:v>1 підтверджених перемог/договорів у Prozorro на 79 819 грн; 1 проєктів зі строком виконання не раніше 24.08.2026.</x:v>
      </x:c>
      <x:c r="Y714"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 строк до 2026-12-31. Попросити один знеособлений пакет здачі за цим workflow.</x:v>
      </x:c>
      <x:c r="Z714" s="15" t="str">
        <x:v>https://prozorro.gov.ua/tender/UA-2026-03-18-002291-a</x:v>
      </x:c>
      <x:c r="AA714" s="14" t="str">
        <x:v>35917794</x:v>
      </x:c>
      <x:c r="AB714" s="14" t="str">
        <x:v>2026-08-24</x:v>
      </x:c>
      <x:c r="AC714" s="14" t="str"/>
      <x:c r="AD714" s="20" t="str"/>
      <x:c r="AE714" s="14" t="str"/>
      <x:c r="AF714" s="14" t="n">
        <x:v>38</x:v>
      </x:c>
      <x:c r="AG714" s="14" t="str">
        <x:v>I3</x:v>
      </x:c>
      <x:c r="AH714" s="14" t="n">
        <x:v>1</x:v>
      </x:c>
      <x:c r="AI714" s="14" t="n">
        <x:v>1</x:v>
      </x:c>
      <x:c r="AJ714" s="18" t="n">
        <x:v>79819.21</x:v>
      </x:c>
      <x:c r="AK714" s="14" t="str">
        <x:v>https://prozorro.gov.ua/tender/UA-2026-03-18-002291-a</x:v>
      </x:c>
      <x:c r="AL714" s="19" t="n">
        <x:v>46099.34066887732</x:v>
      </x:c>
      <x:c r="AM714" s="19" t="n">
        <x:v>46387</x:v>
      </x:c>
      <x:c r="AN714" s="15" t="str">
        <x:v>Зовнішні мережі</x:v>
      </x:c>
      <x:c r="AO714" s="15" t="str">
        <x:v>not_found_in_top_search</x:v>
      </x:c>
    </x:row>
    <x:row r="715">
      <x:c r="A715" s="14" t="str">
        <x:v>W3-443</x:v>
      </x:c>
      <x:c r="B715" s="14" t="str">
        <x:v>Prozorro winners — 24.08</x:v>
      </x:c>
      <x:c r="C715" s="14" t="str">
        <x:v>ТОВАРИСТВО З ОБМЕЖЕНОЮ ВІДПОВІДАЛЬНІСТЮ "БУД-ПРОЕКТ-СТРОЙ"</x:v>
      </x:c>
      <x:c r="D715" s="14" t="str">
        <x:v>Електромонтаж</x:v>
      </x:c>
      <x:c r="E715" s="14" t="str">
        <x:v>Pilot now</x:v>
      </x:c>
      <x:c r="F715" s="17" t="str">
        <x:v>P3</x:v>
      </x:c>
      <x:c r="G715" s="14" t="str"/>
      <x:c r="H715" s="14" t="str">
        <x:v>Пілот зараз — Н.15</x:v>
      </x:c>
      <x:c r="I715" s="16" t="n">
        <x:v>5</x:v>
      </x:c>
      <x:c r="J715" s="16" t="n">
        <x:v>5</x:v>
      </x:c>
      <x:c r="K715" s="16" t="n">
        <x:v>5</x:v>
      </x:c>
      <x:c r="L715" s="16" t="n">
        <x:v>1</x:v>
      </x:c>
      <x:c r="M715" s="16" t="n">
        <x:v>5</x:v>
      </x:c>
      <x:c r="N715" s="16" t="n">
        <x:v>5</x:v>
      </x:c>
      <x:c r="O715" s="16" t="n">
        <x:v>5</x:v>
      </x:c>
      <x:c r="P715" s="16" t="n">
        <x:f>IF(COUNT(I715:O715)&lt;7,"",I715*8+J715*3+K715*2+L715*2+M715*2+N715*2+O715)</x:f>
        <x:v>92</x:v>
      </x:c>
      <x:c r="Q715" s="16" t="n">
        <x:f>IF(COUNT(J715:O715)&lt;6,"",J715*5+K715*4+M715*4+L715*3+N715*2+O715*2)</x:f>
        <x:v>88</x:v>
      </x:c>
      <x:c r="R715" s="14" t="str">
        <x:v>high</x:v>
      </x:c>
      <x:c r="S715" s="14" t="str">
        <x:v>official_prozorro_award_2025_2026</x:v>
      </x:c>
      <x:c r="T715" s="14" t="str">
        <x:v>official_prozorro_api</x:v>
      </x:c>
      <x:c r="U715" s="14" t="str">
        <x:v>Не контактували</x:v>
      </x:c>
      <x:c r="V715" s="15" t="str">
        <x:v>Персоналізований free-pilot outreach по UA-2026-02-20-002524-a; попросити 1 пакет Н.14/Н.15</x:v>
      </x:c>
      <x:c r="W715" s="15" t="str">
        <x:v>Власник / директор; керівник ПТО; відповідальний за договори</x:v>
      </x:c>
      <x:c r="X715" s="15" t="str">
        <x:v>1 підтверджених перемог/договорів у Prozorro на 71 800 грн; 1 проєктів зі строком виконання не раніше 24.08.2026.</x:v>
      </x:c>
      <x:c r="Y715" s="15" t="str">
        <x:v>Послуги з будівництва та монтажу електричних мереж; строк до 2026-12-31. Попросити один знеособлений пакет здачі за цим workflow.</x:v>
      </x:c>
      <x:c r="Z715" s="15" t="str">
        <x:v>https://prozorro.gov.ua/tender/UA-2026-02-20-002524-a</x:v>
      </x:c>
      <x:c r="AA715" s="14" t="str">
        <x:v>41025681</x:v>
      </x:c>
      <x:c r="AB715" s="14" t="str">
        <x:v>2026-08-24</x:v>
      </x:c>
      <x:c r="AC715" s="14" t="str"/>
      <x:c r="AD715" s="20" t="str"/>
      <x:c r="AE715" s="14" t="str"/>
      <x:c r="AF715" s="14" t="n">
        <x:v>38</x:v>
      </x:c>
      <x:c r="AG715" s="14" t="str">
        <x:v>I3</x:v>
      </x:c>
      <x:c r="AH715" s="14" t="n">
        <x:v>1</x:v>
      </x:c>
      <x:c r="AI715" s="14" t="n">
        <x:v>1</x:v>
      </x:c>
      <x:c r="AJ715" s="18" t="n">
        <x:v>71800</x:v>
      </x:c>
      <x:c r="AK715" s="14" t="str">
        <x:v>https://prozorro.gov.ua/tender/UA-2026-02-20-002524-a</x:v>
      </x:c>
      <x:c r="AL715" s="19" t="n">
        <x:v>46073.35758332176</x:v>
      </x:c>
      <x:c r="AM715" s="19" t="n">
        <x:v>46387</x:v>
      </x:c>
      <x:c r="AN715" s="15" t="str">
        <x:v>Електромонтаж</x:v>
      </x:c>
      <x:c r="AO715" s="15" t="str">
        <x:v>not_found_in_top_search</x:v>
      </x:c>
    </x:row>
    <x:row r="716">
      <x:c r="A716" s="14" t="str">
        <x:v>W3-444</x:v>
      </x:c>
      <x:c r="B716" s="14" t="str">
        <x:v>Prozorro winners — 24.08</x:v>
      </x:c>
      <x:c r="C716" s="14" t="str">
        <x:v>ФОП Чабан І.В.</x:v>
      </x:c>
      <x:c r="D716" s="14" t="str">
        <x:v>Безпека / СКУД / CCTV</x:v>
      </x:c>
      <x:c r="E716" s="14" t="str">
        <x:v>Expansion discovery</x:v>
      </x:c>
      <x:c r="F716" s="17" t="str">
        <x:v>D3</x:v>
      </x:c>
      <x:c r="G716" s="14" t="str"/>
      <x:c r="H716" s="14" t="str">
        <x:v>Discovery розширення — 2 тижні</x:v>
      </x:c>
      <x:c r="I716" s="16" t="n">
        <x:v>1</x:v>
      </x:c>
      <x:c r="J716" s="16" t="n">
        <x:v>5</x:v>
      </x:c>
      <x:c r="K716" s="16" t="n">
        <x:v>4</x:v>
      </x:c>
      <x:c r="L716" s="16" t="n">
        <x:v>1</x:v>
      </x:c>
      <x:c r="M716" s="16" t="n">
        <x:v>5</x:v>
      </x:c>
      <x:c r="N716" s="16" t="n">
        <x:v>3</x:v>
      </x:c>
      <x:c r="O716" s="16" t="n">
        <x:v>5</x:v>
      </x:c>
      <x:c r="P716" s="16" t="n">
        <x:f>IF(COUNT(I716:O716)&lt;7,"",I716*8+J716*3+K716*2+L716*2+M716*2+N716*2+O716)</x:f>
        <x:v>54</x:v>
      </x:c>
      <x:c r="Q716" s="16" t="n">
        <x:f>IF(COUNT(J716:O716)&lt;6,"",J716*5+K716*4+M716*4+L716*3+N716*2+O716*2)</x:f>
        <x:v>80</x:v>
      </x:c>
      <x:c r="R716" s="14" t="str">
        <x:v>high</x:v>
      </x:c>
      <x:c r="S716" s="14" t="str">
        <x:v>official_prozorro_award_2025_2026</x:v>
      </x:c>
      <x:c r="T716" s="14" t="str">
        <x:v>official_prozorro_api</x:v>
      </x:c>
      <x:c r="U716" s="14" t="str">
        <x:v>Не контактували</x:v>
      </x:c>
      <x:c r="V716" s="15" t="str">
        <x:v>Workflow-audit outreach по UA-2026-06-25-011830-a; попросити 1 пакет здачі та вимоги проєкту</x:v>
      </x:c>
      <x:c r="W716" s="15" t="str">
        <x:v>Власник / виконавець; відповідальний за договір</x:v>
      </x:c>
      <x:c r="X716" s="15" t="str">
        <x:v>1 підтверджених перемог/договорів у Prozorro на 50 825 грн; 0 проєктів зі строком виконання не раніше 24.08.2026.</x:v>
      </x:c>
      <x:c r="Y716" s="15" t="str">
        <x:v>послуги з монтажу,установки системи відеоспостереження; строк до 2026-06-25. Попросити один знеособлений пакет здачі за цим workflow.</x:v>
      </x:c>
      <x:c r="Z716" s="15" t="str">
        <x:v>https://prozorro.gov.ua/tender/UA-2026-06-25-011830-a</x:v>
      </x:c>
      <x:c r="AA716" s="14" t="str">
        <x:v>3524713121</x:v>
      </x:c>
      <x:c r="AB716" s="14" t="str">
        <x:v>2026-08-24</x:v>
      </x:c>
      <x:c r="AC716" s="14" t="str"/>
      <x:c r="AD716" s="20" t="str"/>
      <x:c r="AE716" s="14" t="str"/>
      <x:c r="AF716" s="14" t="n">
        <x:v>38</x:v>
      </x:c>
      <x:c r="AG716" s="14" t="str">
        <x:v>I3</x:v>
      </x:c>
      <x:c r="AH716" s="14" t="n">
        <x:v>1</x:v>
      </x:c>
      <x:c r="AI716" s="14" t="n">
        <x:v>0</x:v>
      </x:c>
      <x:c r="AJ716" s="18" t="n">
        <x:v>50825</x:v>
      </x:c>
      <x:c r="AK716" s="14" t="str">
        <x:v>https://prozorro.gov.ua/tender/UA-2026-06-25-011830-a</x:v>
      </x:c>
      <x:c r="AL716" s="19" t="n">
        <x:v>46198.56511065972</x:v>
      </x:c>
      <x:c r="AM716" s="19" t="n">
        <x:v>46198</x:v>
      </x:c>
      <x:c r="AN716" s="15" t="str">
        <x:v>Безпека / СКУД / CCTV</x:v>
      </x:c>
      <x:c r="AO716" s="15" t="str">
        <x:v>not_found_in_top_search</x:v>
      </x:c>
    </x:row>
    <x:row r="717">
      <x:c r="A717" s="14" t="str">
        <x:v>W3-445</x:v>
      </x:c>
      <x:c r="B717" s="14" t="str">
        <x:v>Prozorro winners — 24.08</x:v>
      </x:c>
      <x:c r="C717" s="14" t="str">
        <x:v>ТОВАРИСТВО З ОБМЕЖЕНОЮ ВІДПОВІДАЛЬНІСТЮ "КОНСАЛТИНГ ЛТД"</x:v>
      </x:c>
      <x:c r="D717" s="14" t="str">
        <x:v>Резервне живлення</x:v>
      </x:c>
      <x:c r="E717" s="14" t="str">
        <x:v>Expansion discovery</x:v>
      </x:c>
      <x:c r="F717" s="17" t="str">
        <x:v>D3</x:v>
      </x:c>
      <x:c r="G717" s="14" t="str"/>
      <x:c r="H717" s="14" t="str">
        <x:v>Discovery розширення — 2 тижні</x:v>
      </x:c>
      <x:c r="I717" s="16" t="n">
        <x:v>1</x:v>
      </x:c>
      <x:c r="J717" s="16" t="n">
        <x:v>5</x:v>
      </x:c>
      <x:c r="K717" s="16" t="n">
        <x:v>4</x:v>
      </x:c>
      <x:c r="L717" s="16" t="n">
        <x:v>1</x:v>
      </x:c>
      <x:c r="M717" s="16" t="n">
        <x:v>5</x:v>
      </x:c>
      <x:c r="N717" s="16" t="n">
        <x:v>5</x:v>
      </x:c>
      <x:c r="O717" s="16" t="n">
        <x:v>5</x:v>
      </x:c>
      <x:c r="P717" s="16" t="n">
        <x:f>IF(COUNT(I717:O717)&lt;7,"",I717*8+J717*3+K717*2+L717*2+M717*2+N717*2+O717)</x:f>
        <x:v>58</x:v>
      </x:c>
      <x:c r="Q717" s="16" t="n">
        <x:f>IF(COUNT(J717:O717)&lt;6,"",J717*5+K717*4+M717*4+L717*3+N717*2+O717*2)</x:f>
        <x:v>84</x:v>
      </x:c>
      <x:c r="R717" s="14" t="str">
        <x:v>high</x:v>
      </x:c>
      <x:c r="S717" s="14" t="str">
        <x:v>official_prozorro_award_2025_2026</x:v>
      </x:c>
      <x:c r="T717" s="14" t="str">
        <x:v>official_prozorro_api</x:v>
      </x:c>
      <x:c r="U717" s="14" t="str">
        <x:v>Не контактували</x:v>
      </x:c>
      <x:c r="V717" s="15" t="str">
        <x:v>Workflow-audit outreach по UA-2026-01-21-004427-a; попросити 1 пакет здачі та вимоги проєкту</x:v>
      </x:c>
      <x:c r="W717" s="15" t="str">
        <x:v>Власник / директор; керівник ПТО; відповідальний за договори</x:v>
      </x:c>
      <x:c r="X717" s="15" t="str">
        <x:v>1 підтверджених перемог/договорів у Prozorro на 50 000 грн; 1 проєктів зі строком виконання не раніше 24.08.2026.</x:v>
      </x:c>
      <x:c r="Y717"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 строк до 2026-12-31. Попросити один знеособлений пакет здачі за цим workflow.</x:v>
      </x:c>
      <x:c r="Z717" s="15" t="str">
        <x:v>https://prozorro.gov.ua/tender/UA-2026-01-21-004427-a</x:v>
      </x:c>
      <x:c r="AA717" s="14" t="str">
        <x:v>34724383</x:v>
      </x:c>
      <x:c r="AB717" s="14" t="str">
        <x:v>2026-08-24</x:v>
      </x:c>
      <x:c r="AC717" s="14" t="str"/>
      <x:c r="AD717" s="20" t="str"/>
      <x:c r="AE717" s="14" t="str"/>
      <x:c r="AF717" s="14" t="n">
        <x:v>38</x:v>
      </x:c>
      <x:c r="AG717" s="14" t="str">
        <x:v>I3</x:v>
      </x:c>
      <x:c r="AH717" s="14" t="n">
        <x:v>1</x:v>
      </x:c>
      <x:c r="AI717" s="14" t="n">
        <x:v>1</x:v>
      </x:c>
      <x:c r="AJ717" s="18" t="n">
        <x:v>50000</x:v>
      </x:c>
      <x:c r="AK717" s="14" t="str">
        <x:v>https://prozorro.gov.ua/tender/UA-2026-01-21-004427-a</x:v>
      </x:c>
      <x:c r="AL717" s="19" t="n">
        <x:v>46043.37433818287</x:v>
      </x:c>
      <x:c r="AM717" s="19" t="n">
        <x:v>46387</x:v>
      </x:c>
      <x:c r="AN717" s="15" t="str">
        <x:v>Резервне живлення</x:v>
      </x:c>
      <x:c r="AO717" s="15" t="str">
        <x:v>not_found_in_top_search</x:v>
      </x:c>
    </x:row>
    <x:row r="718">
      <x:c r="A718" s="14" t="str">
        <x:v>W3-446</x:v>
      </x:c>
      <x:c r="B718" s="14" t="str">
        <x:v>Prozorro winners — 24.08</x:v>
      </x:c>
      <x:c r="C718" s="14" t="str">
        <x:v>ПП "Грантекс"</x:v>
      </x:c>
      <x:c r="D718" s="14" t="str">
        <x:v>Сонячна енергетика</x:v>
      </x:c>
      <x:c r="E718" s="14" t="str">
        <x:v>Expansion discovery</x:v>
      </x:c>
      <x:c r="F718" s="17" t="str">
        <x:v>D3</x:v>
      </x:c>
      <x:c r="G718" s="14" t="str"/>
      <x:c r="H718" s="14" t="str">
        <x:v>Discovery розширення — 2 тижні</x:v>
      </x:c>
      <x:c r="I718" s="16" t="n">
        <x:v>1</x:v>
      </x:c>
      <x:c r="J718" s="16" t="n">
        <x:v>5</x:v>
      </x:c>
      <x:c r="K718" s="16" t="n">
        <x:v>4</x:v>
      </x:c>
      <x:c r="L718" s="16" t="n">
        <x:v>1</x:v>
      </x:c>
      <x:c r="M718" s="16" t="n">
        <x:v>5</x:v>
      </x:c>
      <x:c r="N718" s="16" t="n">
        <x:v>5</x:v>
      </x:c>
      <x:c r="O718" s="16" t="n">
        <x:v>5</x:v>
      </x:c>
      <x:c r="P718" s="16" t="n">
        <x:f>IF(COUNT(I718:O718)&lt;7,"",I718*8+J718*3+K718*2+L718*2+M718*2+N718*2+O718)</x:f>
        <x:v>58</x:v>
      </x:c>
      <x:c r="Q718" s="16" t="n">
        <x:f>IF(COUNT(J718:O718)&lt;6,"",J718*5+K718*4+M718*4+L718*3+N718*2+O718*2)</x:f>
        <x:v>84</x:v>
      </x:c>
      <x:c r="R718" s="14" t="str">
        <x:v>high</x:v>
      </x:c>
      <x:c r="S718" s="14" t="str">
        <x:v>official_prozorro_award_2025_2026</x:v>
      </x:c>
      <x:c r="T718" s="14" t="str">
        <x:v>official_prozorro_api</x:v>
      </x:c>
      <x:c r="U718" s="14" t="str">
        <x:v>Не контактували</x:v>
      </x:c>
      <x:c r="V718" s="15" t="str">
        <x:v>Workflow-audit outreach по UA-2026-04-08-014234-a; попросити 1 пакет здачі та вимоги проєкту</x:v>
      </x:c>
      <x:c r="W718" s="15" t="str">
        <x:v>Власник / директор; керівник ПТО; відповідальний за договори</x:v>
      </x:c>
      <x:c r="X718" s="15" t="str">
        <x:v>1 підтверджених перемог/договорів у Prozorro на 48 670 грн; 1 проєктів зі строком виконання не раніше 24.08.2026.</x:v>
      </x:c>
      <x:c r="Y718" s="15" t="str">
        <x:v>Електротехнічне обладнання для монтажу сонячної електростанції; строк до 2026-12-31. Попросити один знеособлений пакет здачі за цим workflow.</x:v>
      </x:c>
      <x:c r="Z718" s="15" t="str">
        <x:v>https://prozorro.gov.ua/tender/UA-2026-04-08-014234-a</x:v>
      </x:c>
      <x:c r="AA718" s="14" t="str">
        <x:v>32729285</x:v>
      </x:c>
      <x:c r="AB718" s="14" t="str">
        <x:v>2026-08-24</x:v>
      </x:c>
      <x:c r="AC718" s="14" t="str"/>
      <x:c r="AD718" s="20" t="str"/>
      <x:c r="AE718" s="14" t="str"/>
      <x:c r="AF718" s="14" t="n">
        <x:v>38</x:v>
      </x:c>
      <x:c r="AG718" s="14" t="str">
        <x:v>I3</x:v>
      </x:c>
      <x:c r="AH718" s="14" t="n">
        <x:v>1</x:v>
      </x:c>
      <x:c r="AI718" s="14" t="n">
        <x:v>1</x:v>
      </x:c>
      <x:c r="AJ718" s="18" t="n">
        <x:v>48669.53</x:v>
      </x:c>
      <x:c r="AK718" s="14" t="str">
        <x:v>https://prozorro.gov.ua/tender/UA-2026-04-08-014234-a</x:v>
      </x:c>
      <x:c r="AL718" s="19" t="n">
        <x:v>46120.610908194445</x:v>
      </x:c>
      <x:c r="AM718" s="19" t="n">
        <x:v>46387</x:v>
      </x:c>
      <x:c r="AN718" s="15" t="str">
        <x:v>Сонячна енергетика</x:v>
      </x:c>
      <x:c r="AO718" s="15" t="str">
        <x:v>not_found_in_top_search</x:v>
      </x:c>
    </x:row>
    <x:row r="719">
      <x:c r="A719" s="14" t="str">
        <x:v>W3-447</x:v>
      </x:c>
      <x:c r="B719" s="14" t="str">
        <x:v>Prozorro winners — 24.08</x:v>
      </x:c>
      <x:c r="C719" s="14" t="str">
        <x:v>ТОВАРИСТВО З ОБМЕЖЕНОЮ ВІДПОВІДАЛЬНІСТЮ "АРТЛАЙН ІНТЕГРАЦІЯ"</x:v>
      </x:c>
      <x:c r="D719" s="14" t="str">
        <x:v>Резервне живлення</x:v>
      </x:c>
      <x:c r="E719" s="14" t="str">
        <x:v>Expansion discovery</x:v>
      </x:c>
      <x:c r="F719" s="17" t="str">
        <x:v>D3</x:v>
      </x:c>
      <x:c r="G719" s="14" t="str"/>
      <x:c r="H719" s="14" t="str">
        <x:v>Discovery розширення — 2 тижні</x:v>
      </x:c>
      <x:c r="I719" s="16" t="n">
        <x:v>1</x:v>
      </x:c>
      <x:c r="J719" s="16" t="n">
        <x:v>5</x:v>
      </x:c>
      <x:c r="K719" s="16" t="n">
        <x:v>4</x:v>
      </x:c>
      <x:c r="L719" s="16" t="n">
        <x:v>1</x:v>
      </x:c>
      <x:c r="M719" s="16" t="n">
        <x:v>5</x:v>
      </x:c>
      <x:c r="N719" s="16" t="n">
        <x:v>5</x:v>
      </x:c>
      <x:c r="O719" s="16" t="n">
        <x:v>5</x:v>
      </x:c>
      <x:c r="P719" s="16" t="n">
        <x:f>IF(COUNT(I719:O719)&lt;7,"",I719*8+J719*3+K719*2+L719*2+M719*2+N719*2+O719)</x:f>
        <x:v>58</x:v>
      </x:c>
      <x:c r="Q719" s="16" t="n">
        <x:f>IF(COUNT(J719:O719)&lt;6,"",J719*5+K719*4+M719*4+L719*3+N719*2+O719*2)</x:f>
        <x:v>84</x:v>
      </x:c>
      <x:c r="R719" s="14" t="str">
        <x:v>high</x:v>
      </x:c>
      <x:c r="S719" s="14" t="str">
        <x:v>official_prozorro_award_2025_2026</x:v>
      </x:c>
      <x:c r="T719" s="14" t="str">
        <x:v>official_prozorro_api</x:v>
      </x:c>
      <x:c r="U719" s="14" t="str">
        <x:v>Не контактували</x:v>
      </x:c>
      <x:c r="V719" s="15" t="str">
        <x:v>Повторне звернення з новим тендерним сигналом UA-2025-09-05-002422-a; попросити 1 пакет здачі</x:v>
      </x:c>
      <x:c r="W719" s="15" t="str">
        <x:v>Власник / директор; керівник ПТО; відповідальний за договори</x:v>
      </x:c>
      <x:c r="X719" s="15" t="str">
        <x:v>1 підтверджених перемог/договорів у Prozorro на 37 320 грн; 1 проєктів зі строком виконання не раніше 24.08.2026.</x:v>
      </x:c>
      <x:c r="Y719" s="15" t="str">
        <x:v>Послуги встановлення системи безперебійного живлення; строк до 2026-12-31. Попросити один знеособлений пакет здачі за цим workflow.</x:v>
      </x:c>
      <x:c r="Z719" s="15" t="str">
        <x:v>https://prozorro.gov.ua/tender/UA-2026-02-18-004664-a</x:v>
      </x:c>
      <x:c r="AA719" s="14" t="str">
        <x:v>40733799</x:v>
      </x:c>
      <x:c r="AB719" s="14" t="str">
        <x:v>2026-08-24</x:v>
      </x:c>
      <x:c r="AC719" s="14" t="str"/>
      <x:c r="AD719" s="20" t="str"/>
      <x:c r="AE719" s="14" t="str"/>
      <x:c r="AF719" s="14" t="n">
        <x:v>38</x:v>
      </x:c>
      <x:c r="AG719" s="14" t="str">
        <x:v>I3</x:v>
      </x:c>
      <x:c r="AH719" s="14" t="n">
        <x:v>2</x:v>
      </x:c>
      <x:c r="AI719" s="14" t="n">
        <x:v>1</x:v>
      </x:c>
      <x:c r="AJ719" s="18" t="n">
        <x:v>125467</x:v>
      </x:c>
      <x:c r="AK719" s="14" t="str">
        <x:v>https://prozorro.gov.ua/tender/UA-2025-09-05-002422-a</x:v>
      </x:c>
      <x:c r="AL719" s="19" t="n">
        <x:v>45905.30608782407</x:v>
      </x:c>
      <x:c r="AM719" s="19" t="n">
        <x:v>46022.916666655095</x:v>
      </x:c>
      <x:c r="AN719" s="15" t="str">
        <x:v>Резервне живлення</x:v>
      </x:c>
      <x:c r="AO719" s="15" t="str">
        <x:v>not_found_in_top_search</x:v>
      </x:c>
    </x:row>
    <x:row r="720">
      <x:c r="A720" s="14" t="str">
        <x:v>W3-448</x:v>
      </x:c>
      <x:c r="B720" s="14" t="str">
        <x:v>Prozorro winners — 24.08</x:v>
      </x:c>
      <x:c r="C720" s="14" t="str">
        <x:v>КОЖЕМЯКІНА ХРИСТИНА ВОЛОДИМИРІВНА</x:v>
      </x:c>
      <x:c r="D720" s="14" t="str">
        <x:v>HVAC / ОВіК</x:v>
      </x:c>
      <x:c r="E720" s="14" t="str">
        <x:v>Pilot now</x:v>
      </x:c>
      <x:c r="F720" s="17" t="str">
        <x:v>P3</x:v>
      </x:c>
      <x:c r="G720" s="14" t="str"/>
      <x:c r="H720" s="14" t="str">
        <x:v>Пілот зараз — Н.14</x:v>
      </x:c>
      <x:c r="I720" s="16" t="n">
        <x:v>5</x:v>
      </x:c>
      <x:c r="J720" s="16" t="n">
        <x:v>5</x:v>
      </x:c>
      <x:c r="K720" s="16" t="n">
        <x:v>5</x:v>
      </x:c>
      <x:c r="L720" s="16" t="n">
        <x:v>1</x:v>
      </x:c>
      <x:c r="M720" s="16" t="n">
        <x:v>5</x:v>
      </x:c>
      <x:c r="N720" s="16" t="n">
        <x:v>3</x:v>
      </x:c>
      <x:c r="O720" s="16" t="n">
        <x:v>5</x:v>
      </x:c>
      <x:c r="P720" s="16" t="n">
        <x:f>IF(COUNT(I720:O720)&lt;7,"",I720*8+J720*3+K720*2+L720*2+M720*2+N720*2+O720)</x:f>
        <x:v>88</x:v>
      </x:c>
      <x:c r="Q720" s="16" t="n">
        <x:f>IF(COUNT(J720:O720)&lt;6,"",J720*5+K720*4+M720*4+L720*3+N720*2+O720*2)</x:f>
        <x:v>84</x:v>
      </x:c>
      <x:c r="R720" s="14" t="str">
        <x:v>high</x:v>
      </x:c>
      <x:c r="S720" s="14" t="str">
        <x:v>official_prozorro_award_2025_2026</x:v>
      </x:c>
      <x:c r="T720" s="14" t="str">
        <x:v>official_prozorro_api</x:v>
      </x:c>
      <x:c r="U720" s="14" t="str">
        <x:v>Не контактували</x:v>
      </x:c>
      <x:c r="V720" s="15" t="str">
        <x:v>Персоналізований free-pilot outreach по UA-2026-06-24-009983-a; попросити 1 пакет Н.14/Н.15</x:v>
      </x:c>
      <x:c r="W720" s="15" t="str">
        <x:v>Власник / виконавець; відповідальний за договір</x:v>
      </x:c>
      <x:c r="X720" s="15" t="str">
        <x:v>1 підтверджених перемог/договорів у Prozorro на 31 000 грн; 0 проєктів зі строком виконання не раніше 24.08.2026.</x:v>
      </x:c>
      <x:c r="Y720" s="15" t="str">
        <x:v>Послуги з монтажу системи вентиляції та системи кондиціонування повітря у КЗ "ЗОШВСМ"ЗОР; строк до 2026-06-30. Попросити один знеособлений пакет здачі за цим workflow.</x:v>
      </x:c>
      <x:c r="Z720" s="15" t="str">
        <x:v>https://prozorro.gov.ua/tender/UA-2026-06-24-009983-a</x:v>
      </x:c>
      <x:c r="AA720" s="14" t="str">
        <x:v>3247111125</x:v>
      </x:c>
      <x:c r="AB720" s="14" t="str">
        <x:v>2026-08-24</x:v>
      </x:c>
      <x:c r="AC720" s="14" t="str"/>
      <x:c r="AD720" s="20" t="str"/>
      <x:c r="AE720" s="14" t="str"/>
      <x:c r="AF720" s="14" t="n">
        <x:v>38</x:v>
      </x:c>
      <x:c r="AG720" s="14" t="str">
        <x:v>I3</x:v>
      </x:c>
      <x:c r="AH720" s="14" t="n">
        <x:v>1</x:v>
      </x:c>
      <x:c r="AI720" s="14" t="n">
        <x:v>0</x:v>
      </x:c>
      <x:c r="AJ720" s="18" t="n">
        <x:v>31000</x:v>
      </x:c>
      <x:c r="AK720" s="14" t="str">
        <x:v>https://prozorro.gov.ua/tender/UA-2026-06-24-009983-a</x:v>
      </x:c>
      <x:c r="AL720" s="19" t="n">
        <x:v>46197.5185555787</x:v>
      </x:c>
      <x:c r="AM720" s="19" t="n">
        <x:v>46203</x:v>
      </x:c>
      <x:c r="AN720" s="15" t="str">
        <x:v>HVAC / ОВіК</x:v>
      </x:c>
      <x:c r="AO720" s="15" t="str">
        <x:v>not_found_in_top_search</x:v>
      </x:c>
    </x:row>
    <x:row r="721">
      <x:c r="A721" s="14" t="str">
        <x:v>W3-449</x:v>
      </x:c>
      <x:c r="B721" s="14" t="str">
        <x:v>Prozorro winners — 24.08</x:v>
      </x:c>
      <x:c r="C721" s="14" t="str">
        <x:v>ОСАДЧЕНКО ВАЛЕРІЙ ВАСИЛЬОВИЧ</x:v>
      </x:c>
      <x:c r="D721" s="14" t="str">
        <x:v>Резервне живлення</x:v>
      </x:c>
      <x:c r="E721" s="14" t="str">
        <x:v>Expansion discovery</x:v>
      </x:c>
      <x:c r="F721" s="17" t="str">
        <x:v>D3</x:v>
      </x:c>
      <x:c r="G721" s="14" t="str"/>
      <x:c r="H721" s="14" t="str">
        <x:v>Discovery розширення — 2 тижні</x:v>
      </x:c>
      <x:c r="I721" s="16" t="n">
        <x:v>1</x:v>
      </x:c>
      <x:c r="J721" s="16" t="n">
        <x:v>5</x:v>
      </x:c>
      <x:c r="K721" s="16" t="n">
        <x:v>4</x:v>
      </x:c>
      <x:c r="L721" s="16" t="n">
        <x:v>1</x:v>
      </x:c>
      <x:c r="M721" s="16" t="n">
        <x:v>5</x:v>
      </x:c>
      <x:c r="N721" s="16" t="n">
        <x:v>3</x:v>
      </x:c>
      <x:c r="O721" s="16" t="n">
        <x:v>5</x:v>
      </x:c>
      <x:c r="P721" s="16" t="n">
        <x:f>IF(COUNT(I721:O721)&lt;7,"",I721*8+J721*3+K721*2+L721*2+M721*2+N721*2+O721)</x:f>
        <x:v>54</x:v>
      </x:c>
      <x:c r="Q721" s="16" t="n">
        <x:f>IF(COUNT(J721:O721)&lt;6,"",J721*5+K721*4+M721*4+L721*3+N721*2+O721*2)</x:f>
        <x:v>80</x:v>
      </x:c>
      <x:c r="R721" s="14" t="str">
        <x:v>high</x:v>
      </x:c>
      <x:c r="S721" s="14" t="str">
        <x:v>official_prozorro_award_2025_2026</x:v>
      </x:c>
      <x:c r="T721" s="14" t="str">
        <x:v>official_prozorro_api</x:v>
      </x:c>
      <x:c r="U721" s="14" t="str">
        <x:v>Не контактували</x:v>
      </x:c>
      <x:c r="V721" s="15" t="str">
        <x:v>Workflow-audit outreach по UA-2026-05-20-001780-a; попросити 1 пакет здачі та вимоги проєкту</x:v>
      </x:c>
      <x:c r="W721" s="15" t="str">
        <x:v>Власник / виконавець; відповідальний за договір</x:v>
      </x:c>
      <x:c r="X721" s="15" t="str">
        <x:v>1 підтверджених перемог/договорів у Prozorro на 28 280 грн; 0 проєктів зі строком виконання не раніше 24.08.2026.</x:v>
      </x:c>
      <x:c r="Y721" s="15" t="str">
        <x:v>Монтаж, підключення, налаштування та здача в експлуатацію системи безперебійного живлення; строк до 2026-05-31. Попросити один знеособлений пакет здачі за цим workflow.</x:v>
      </x:c>
      <x:c r="Z721" s="15" t="str">
        <x:v>https://prozorro.gov.ua/tender/UA-2026-05-20-001780-a</x:v>
      </x:c>
      <x:c r="AA721" s="14" t="str">
        <x:v>2199015537</x:v>
      </x:c>
      <x:c r="AB721" s="14" t="str">
        <x:v>2026-08-24</x:v>
      </x:c>
      <x:c r="AC721" s="14" t="str"/>
      <x:c r="AD721" s="20" t="str"/>
      <x:c r="AE721" s="14" t="str"/>
      <x:c r="AF721" s="14" t="n">
        <x:v>38</x:v>
      </x:c>
      <x:c r="AG721" s="14" t="str">
        <x:v>I3</x:v>
      </x:c>
      <x:c r="AH721" s="14" t="n">
        <x:v>1</x:v>
      </x:c>
      <x:c r="AI721" s="14" t="n">
        <x:v>0</x:v>
      </x:c>
      <x:c r="AJ721" s="18" t="n">
        <x:v>28280</x:v>
      </x:c>
      <x:c r="AK721" s="14" t="str">
        <x:v>https://prozorro.gov.ua/tender/UA-2026-05-20-001780-a</x:v>
      </x:c>
      <x:c r="AL721" s="19" t="n">
        <x:v>46162.294158969904</x:v>
      </x:c>
      <x:c r="AM721" s="19" t="n">
        <x:v>46173</x:v>
      </x:c>
      <x:c r="AN721" s="15" t="str">
        <x:v>Резервне живлення</x:v>
      </x:c>
      <x:c r="AO721" s="15" t="str">
        <x:v>not_found_in_top_search</x:v>
      </x:c>
    </x:row>
    <x:row r="722">
      <x:c r="A722" s="14" t="str">
        <x:v>W3-450</x:v>
      </x:c>
      <x:c r="B722" s="14" t="str">
        <x:v>Prozorro winners — 24.08</x:v>
      </x:c>
      <x:c r="C722" s="14" t="str">
        <x:v>ФОП БОРСУК ІВАННА ПЕТРІВНА</x:v>
      </x:c>
      <x:c r="D722" s="14" t="str">
        <x:v>Безпека / СКУД / CCTV</x:v>
      </x:c>
      <x:c r="E722" s="14" t="str">
        <x:v>Expansion discovery</x:v>
      </x:c>
      <x:c r="F722" s="17" t="str">
        <x:v>D3</x:v>
      </x:c>
      <x:c r="G722" s="14" t="str"/>
      <x:c r="H722" s="14" t="str">
        <x:v>Discovery розширення — 2 тижні</x:v>
      </x:c>
      <x:c r="I722" s="16" t="n">
        <x:v>1</x:v>
      </x:c>
      <x:c r="J722" s="16" t="n">
        <x:v>5</x:v>
      </x:c>
      <x:c r="K722" s="16" t="n">
        <x:v>4</x:v>
      </x:c>
      <x:c r="L722" s="16" t="n">
        <x:v>1</x:v>
      </x:c>
      <x:c r="M722" s="16" t="n">
        <x:v>5</x:v>
      </x:c>
      <x:c r="N722" s="16" t="n">
        <x:v>3</x:v>
      </x:c>
      <x:c r="O722" s="16" t="n">
        <x:v>5</x:v>
      </x:c>
      <x:c r="P722" s="16" t="n">
        <x:f>IF(COUNT(I722:O722)&lt;7,"",I722*8+J722*3+K722*2+L722*2+M722*2+N722*2+O722)</x:f>
        <x:v>54</x:v>
      </x:c>
      <x:c r="Q722" s="16" t="n">
        <x:f>IF(COUNT(J722:O722)&lt;6,"",J722*5+K722*4+M722*4+L722*3+N722*2+O722*2)</x:f>
        <x:v>80</x:v>
      </x:c>
      <x:c r="R722" s="14" t="str">
        <x:v>high</x:v>
      </x:c>
      <x:c r="S722" s="14" t="str">
        <x:v>official_prozorro_award_2025_2026</x:v>
      </x:c>
      <x:c r="T722" s="14" t="str">
        <x:v>official_prozorro_api</x:v>
      </x:c>
      <x:c r="U722" s="14" t="str">
        <x:v>Не контактували</x:v>
      </x:c>
      <x:c r="V722" s="15" t="str">
        <x:v>Workflow-audit outreach по UA-2026-06-08-008397-a; попросити 1 пакет здачі та вимоги проєкту</x:v>
      </x:c>
      <x:c r="W722" s="15" t="str">
        <x:v>Власник / виконавець; відповідальний за договір</x:v>
      </x:c>
      <x:c r="X722" s="15" t="str">
        <x:v>1 підтверджених перемог/договорів у Prozorro на 23 396 грн; 0 проєктів зі строком виконання не раніше 24.08.2026.</x:v>
      </x:c>
      <x:c r="Y722" s="15" t="str">
        <x:v>Матеріали та обладнання для монтажу системи відеоспостереження (камера відеоспостереження); строк до 2026-06-10. Попросити один знеособлений пакет здачі за цим workflow.</x:v>
      </x:c>
      <x:c r="Z722" s="15" t="str">
        <x:v>https://prozorro.gov.ua/tender/UA-2026-06-08-008397-a</x:v>
      </x:c>
      <x:c r="AA722" s="14" t="str">
        <x:v>3446913988</x:v>
      </x:c>
      <x:c r="AB722" s="14" t="str">
        <x:v>2026-08-24</x:v>
      </x:c>
      <x:c r="AC722" s="14" t="str"/>
      <x:c r="AD722" s="20" t="str"/>
      <x:c r="AE722" s="14" t="str"/>
      <x:c r="AF722" s="14" t="n">
        <x:v>38</x:v>
      </x:c>
      <x:c r="AG722" s="14" t="str">
        <x:v>I3</x:v>
      </x:c>
      <x:c r="AH722" s="14" t="n">
        <x:v>1</x:v>
      </x:c>
      <x:c r="AI722" s="14" t="n">
        <x:v>0</x:v>
      </x:c>
      <x:c r="AJ722" s="18" t="n">
        <x:v>23396</x:v>
      </x:c>
      <x:c r="AK722" s="14" t="str">
        <x:v>https://prozorro.gov.ua/tender/UA-2026-06-08-008397-a</x:v>
      </x:c>
      <x:c r="AL722" s="19" t="n">
        <x:v>46181.49224665509</x:v>
      </x:c>
      <x:c r="AM722" s="19" t="n">
        <x:v>46183</x:v>
      </x:c>
      <x:c r="AN722" s="15" t="str">
        <x:v>Безпека / СКУД / CCTV</x:v>
      </x:c>
      <x:c r="AO722" s="15" t="str">
        <x:v>not_found_in_top_search</x:v>
      </x:c>
    </x:row>
    <x:row r="723">
      <x:c r="A723" s="14" t="str">
        <x:v>W3-451</x:v>
      </x:c>
      <x:c r="B723" s="14" t="str">
        <x:v>Prozorro winners — 24.08</x:v>
      </x:c>
      <x:c r="C723" s="14" t="str">
        <x:v>БЄЛЯЄВ СЕРГІЙ ВІКТОРОВИЧ</x:v>
      </x:c>
      <x:c r="D723" s="14" t="str">
        <x:v>Промисловий холод</x:v>
      </x:c>
      <x:c r="E723" s="14" t="str">
        <x:v>Expansion discovery</x:v>
      </x:c>
      <x:c r="F723" s="17" t="str">
        <x:v>D3</x:v>
      </x:c>
      <x:c r="G723" s="14" t="str"/>
      <x:c r="H723" s="14" t="str">
        <x:v>Discovery розширення — 2 тижні</x:v>
      </x:c>
      <x:c r="I723" s="16" t="n">
        <x:v>1</x:v>
      </x:c>
      <x:c r="J723" s="16" t="n">
        <x:v>5</x:v>
      </x:c>
      <x:c r="K723" s="16" t="n">
        <x:v>4</x:v>
      </x:c>
      <x:c r="L723" s="16" t="n">
        <x:v>1</x:v>
      </x:c>
      <x:c r="M723" s="16" t="n">
        <x:v>5</x:v>
      </x:c>
      <x:c r="N723" s="16" t="n">
        <x:v>3</x:v>
      </x:c>
      <x:c r="O723" s="16" t="n">
        <x:v>5</x:v>
      </x:c>
      <x:c r="P723" s="16" t="n">
        <x:f>IF(COUNT(I723:O723)&lt;7,"",I723*8+J723*3+K723*2+L723*2+M723*2+N723*2+O723)</x:f>
        <x:v>54</x:v>
      </x:c>
      <x:c r="Q723" s="16" t="n">
        <x:f>IF(COUNT(J723:O723)&lt;6,"",J723*5+K723*4+M723*4+L723*3+N723*2+O723*2)</x:f>
        <x:v>80</x:v>
      </x:c>
      <x:c r="R723" s="14" t="str">
        <x:v>high</x:v>
      </x:c>
      <x:c r="S723" s="14" t="str">
        <x:v>official_prozorro_award_2025_2026</x:v>
      </x:c>
      <x:c r="T723" s="14" t="str">
        <x:v>official_prozorro_api</x:v>
      </x:c>
      <x:c r="U723" s="14" t="str">
        <x:v>Не контактували</x:v>
      </x:c>
      <x:c r="V723" s="15" t="str">
        <x:v>Повторне звернення з новим тендерним сигналом UA-2025-07-16-000743-a; попросити 1 пакет здачі</x:v>
      </x:c>
      <x:c r="W723" s="15" t="str">
        <x:v>Власник / виконавець; відповідальний за договір</x:v>
      </x:c>
      <x:c r="X723" s="15" t="str">
        <x:v>1 підтверджених перемог/договорів у Prozorro на 21 800 грн; 0 проєктів зі строком виконання не раніше 24.08.2026.</x:v>
      </x:c>
      <x:c r="Y723" s="15" t="str">
        <x:v>Кондиціонер Osaka STV 07 HH з монтажем за ДК 021:2015 "42510000-4 Теплообмінники, кондиціонери повітря, холодильне обладнання та фільтрувальні пристрої"
; строк до 2026-05-31. Попросити один знеособлений пакет здачі за цим workflow.</x:v>
      </x:c>
      <x:c r="Z723" s="15" t="str">
        <x:v>https://prozorro.gov.ua/tender/UA-2026-05-18-008042-a</x:v>
      </x:c>
      <x:c r="AA723" s="14" t="str">
        <x:v>2296809197</x:v>
      </x:c>
      <x:c r="AB723" s="14" t="str">
        <x:v>2026-08-24</x:v>
      </x:c>
      <x:c r="AC723" s="14" t="str"/>
      <x:c r="AD723" s="20" t="str"/>
      <x:c r="AE723" s="14" t="str"/>
      <x:c r="AF723" s="14" t="n">
        <x:v>40</x:v>
      </x:c>
      <x:c r="AG723" s="14" t="str">
        <x:v>I3</x:v>
      </x:c>
      <x:c r="AH723" s="14" t="n">
        <x:v>3</x:v>
      </x:c>
      <x:c r="AI723" s="14" t="n">
        <x:v>0</x:v>
      </x:c>
      <x:c r="AJ723" s="18" t="n">
        <x:v>85360</x:v>
      </x:c>
      <x:c r="AK723" s="14" t="str">
        <x:v>https://prozorro.gov.ua/tender/UA-2025-07-16-000743-a</x:v>
      </x:c>
      <x:c r="AL723" s="19" t="n">
        <x:v>45854.269776458335</x:v>
      </x:c>
      <x:c r="AM723" s="19" t="n">
        <x:v>46022</x:v>
      </x:c>
      <x:c r="AN723" s="15" t="str">
        <x:v>Промисловий холод</x:v>
      </x:c>
      <x:c r="AO723" s="15" t="str">
        <x:v>not_found_in_top_search</x:v>
      </x:c>
    </x:row>
    <x:row r="724">
      <x:c r="A724" s="14" t="str">
        <x:v>W3-452</x:v>
      </x:c>
      <x:c r="B724" s="14" t="str">
        <x:v>Prozorro winners — 24.08</x:v>
      </x:c>
      <x:c r="C724" s="14" t="str">
        <x:v>ТОВ "ВЕНБЕСТ"-Харківська філія ТОВ "ВЕНБЕСТ"</x:v>
      </x:c>
      <x:c r="D724" s="14" t="str">
        <x:v>Пожежогасіння</x:v>
      </x:c>
      <x:c r="E724" s="14" t="str">
        <x:v>Expansion discovery</x:v>
      </x:c>
      <x:c r="F724" s="17" t="str">
        <x:v>D3</x:v>
      </x:c>
      <x:c r="G724" s="14" t="str"/>
      <x:c r="H724" s="14" t="str">
        <x:v>Discovery розширення — 2 тижні</x:v>
      </x:c>
      <x:c r="I724" s="16" t="n">
        <x:v>1</x:v>
      </x:c>
      <x:c r="J724" s="16" t="n">
        <x:v>5</x:v>
      </x:c>
      <x:c r="K724" s="16" t="n">
        <x:v>4</x:v>
      </x:c>
      <x:c r="L724" s="16" t="n">
        <x:v>1</x:v>
      </x:c>
      <x:c r="M724" s="16" t="n">
        <x:v>5</x:v>
      </x:c>
      <x:c r="N724" s="16" t="n">
        <x:v>5</x:v>
      </x:c>
      <x:c r="O724" s="16" t="n">
        <x:v>5</x:v>
      </x:c>
      <x:c r="P724" s="16" t="n">
        <x:f>IF(COUNT(I724:O724)&lt;7,"",I724*8+J724*3+K724*2+L724*2+M724*2+N724*2+O724)</x:f>
        <x:v>58</x:v>
      </x:c>
      <x:c r="Q724" s="16" t="n">
        <x:f>IF(COUNT(J724:O724)&lt;6,"",J724*5+K724*4+M724*4+L724*3+N724*2+O724*2)</x:f>
        <x:v>84</x:v>
      </x:c>
      <x:c r="R724" s="14" t="str">
        <x:v>high</x:v>
      </x:c>
      <x:c r="S724" s="14" t="str">
        <x:v>official_prozorro_award_2025_2026</x:v>
      </x:c>
      <x:c r="T724" s="14" t="str">
        <x:v>official_prozorro_api</x:v>
      </x:c>
      <x:c r="U724" s="14" t="str">
        <x:v>Не контактували</x:v>
      </x:c>
      <x:c r="V724" s="15" t="str">
        <x:v>Workflow-audit outreach по UA-2026-04-06-012301-a; попросити 1 пакет здачі та вимоги проєкту</x:v>
      </x:c>
      <x:c r="W724" s="15" t="str">
        <x:v>Власник / директор; керівник ПТО; відповідальний за договори</x:v>
      </x:c>
      <x:c r="X724" s="15" t="str">
        <x:v>1 підтверджених перемог/договорів у Prozorro на 12 749 грн; 1 проєктів зі строком виконання не раніше 24.08.2026.</x:v>
      </x:c>
      <x:c r="Y724" s="15" t="str">
        <x:v>Послуга з монтажу системи пожежної сигналізації; строк до 2026-12-31. Попросити один знеособлений пакет здачі за цим workflow.</x:v>
      </x:c>
      <x:c r="Z724" s="15" t="str">
        <x:v>https://prozorro.gov.ua/tender/UA-2026-04-06-012301-a</x:v>
      </x:c>
      <x:c r="AA724" s="14" t="str">
        <x:v>33307679</x:v>
      </x:c>
      <x:c r="AB724" s="14" t="str">
        <x:v>2026-08-24</x:v>
      </x:c>
      <x:c r="AC724" s="14" t="str"/>
      <x:c r="AD724" s="20" t="str"/>
      <x:c r="AE724" s="14" t="str"/>
      <x:c r="AF724" s="14" t="n">
        <x:v>38</x:v>
      </x:c>
      <x:c r="AG724" s="14" t="str">
        <x:v>I3</x:v>
      </x:c>
      <x:c r="AH724" s="14" t="n">
        <x:v>1</x:v>
      </x:c>
      <x:c r="AI724" s="14" t="n">
        <x:v>1</x:v>
      </x:c>
      <x:c r="AJ724" s="18" t="n">
        <x:v>12749</x:v>
      </x:c>
      <x:c r="AK724" s="14" t="str">
        <x:v>https://prozorro.gov.ua/tender/UA-2026-04-06-012301-a</x:v>
      </x:c>
      <x:c r="AL724" s="19" t="n">
        <x:v>46118.56968915509</x:v>
      </x:c>
      <x:c r="AM724" s="19" t="n">
        <x:v>46387</x:v>
      </x:c>
      <x:c r="AN724" s="15" t="str">
        <x:v>Пожежогасіння</x:v>
      </x:c>
      <x:c r="AO724" s="15" t="str">
        <x:v>not_found_in_top_search</x:v>
      </x:c>
    </x:row>
    <x:row r="725">
      <x:c r="A725" s="14" t="str">
        <x:v>W3-453</x:v>
      </x:c>
      <x:c r="B725" s="14" t="str">
        <x:v>Prozorro winners — 24.08</x:v>
      </x:c>
      <x:c r="C725" s="14" t="str">
        <x:v>ФОП  КОСИНСЬКИЙ ВАЛЕРІЙ МИХАЙЛОВИЧ</x:v>
      </x:c>
      <x:c r="D725" s="14" t="str">
        <x:v>ГНБ / безтраншейні роботи</x:v>
      </x:c>
      <x:c r="E725" s="14" t="str">
        <x:v>Expansion discovery</x:v>
      </x:c>
      <x:c r="F725" s="17" t="str">
        <x:v>D3</x:v>
      </x:c>
      <x:c r="G725" s="14" t="str"/>
      <x:c r="H725" s="14" t="str">
        <x:v>Discovery розширення — 2 тижні</x:v>
      </x:c>
      <x:c r="I725" s="16" t="n">
        <x:v>1</x:v>
      </x:c>
      <x:c r="J725" s="16" t="n">
        <x:v>5</x:v>
      </x:c>
      <x:c r="K725" s="16" t="n">
        <x:v>4</x:v>
      </x:c>
      <x:c r="L725" s="16" t="n">
        <x:v>1</x:v>
      </x:c>
      <x:c r="M725" s="16" t="n">
        <x:v>5</x:v>
      </x:c>
      <x:c r="N725" s="16" t="n">
        <x:v>3</x:v>
      </x:c>
      <x:c r="O725" s="16" t="n">
        <x:v>5</x:v>
      </x:c>
      <x:c r="P725" s="16" t="n">
        <x:f>IF(COUNT(I725:O725)&lt;7,"",I725*8+J725*3+K725*2+L725*2+M725*2+N725*2+O725)</x:f>
        <x:v>54</x:v>
      </x:c>
      <x:c r="Q725" s="16" t="n">
        <x:f>IF(COUNT(J725:O725)&lt;6,"",J725*5+K725*4+M725*4+L725*3+N725*2+O725*2)</x:f>
        <x:v>80</x:v>
      </x:c>
      <x:c r="R725" s="14" t="str">
        <x:v>high</x:v>
      </x:c>
      <x:c r="S725" s="14" t="str">
        <x:v>official_prozorro_award_2025_2026</x:v>
      </x:c>
      <x:c r="T725" s="14" t="str">
        <x:v>official_prozorro_api</x:v>
      </x:c>
      <x:c r="U725" s="14" t="str">
        <x:v>Не контактували</x:v>
      </x:c>
      <x:c r="V725" s="15" t="str">
        <x:v>Workflow-audit outreach по UA-2026-07-01-002295-a; попросити 1 пакет здачі та вимоги проєкту</x:v>
      </x:c>
      <x:c r="W725" s="15" t="str">
        <x:v>Власник / виконавець; відповідальний за договір</x:v>
      </x:c>
      <x:c r="X725" s="15" t="str">
        <x:v>1 підтверджених перемог/договорів у Prozorro на 10 800 грн; 0 проєктів зі строком виконання не раніше 24.08.2026.</x:v>
      </x:c>
      <x:c r="Y725" s="15" t="str">
        <x:v>Горизонтально-направлене буріння ґрунту довжиною 6м, глибиною 1,2м, діаметром 120мм; строк до 2026-07-31. Попросити один знеособлений пакет здачі за цим workflow.</x:v>
      </x:c>
      <x:c r="Z725" s="15" t="str">
        <x:v>https://prozorro.gov.ua/tender/UA-2026-07-01-002295-a</x:v>
      </x:c>
      <x:c r="AA725" s="14" t="str">
        <x:v>2210914319</x:v>
      </x:c>
      <x:c r="AB725" s="14" t="str">
        <x:v>2026-08-24</x:v>
      </x:c>
      <x:c r="AC725" s="14" t="str"/>
      <x:c r="AD725" s="20" t="str"/>
      <x:c r="AE725" s="14" t="str"/>
      <x:c r="AF725" s="14" t="n">
        <x:v>38</x:v>
      </x:c>
      <x:c r="AG725" s="14" t="str">
        <x:v>I3</x:v>
      </x:c>
      <x:c r="AH725" s="14" t="n">
        <x:v>1</x:v>
      </x:c>
      <x:c r="AI725" s="14" t="n">
        <x:v>0</x:v>
      </x:c>
      <x:c r="AJ725" s="18" t="n">
        <x:v>10800</x:v>
      </x:c>
      <x:c r="AK725" s="14" t="str">
        <x:v>https://prozorro.gov.ua/tender/UA-2026-07-01-002295-a</x:v>
      </x:c>
      <x:c r="AL725" s="19" t="n">
        <x:v>46204.33350625</x:v>
      </x:c>
      <x:c r="AM725" s="19" t="n">
        <x:v>46234</x:v>
      </x:c>
      <x:c r="AN725" s="15" t="str">
        <x:v>ГНБ / безтраншейні роботи</x:v>
      </x:c>
      <x:c r="AO725" s="15" t="str">
        <x:v>not_found_in_top_search</x:v>
      </x:c>
    </x:row>
    <x:row r="726">
      <x:c r="A726" s="14" t="str">
        <x:v>W3-454</x:v>
      </x:c>
      <x:c r="B726" s="14" t="str">
        <x:v>Prozorro winners — 24.08</x:v>
      </x:c>
      <x:c r="C726" s="14" t="str">
        <x:v>Блошенко Олександр Олександрович</x:v>
      </x:c>
      <x:c r="D726" s="14" t="str">
        <x:v>Сонячна енергетика</x:v>
      </x:c>
      <x:c r="E726" s="14" t="str">
        <x:v>Expansion discovery</x:v>
      </x:c>
      <x:c r="F726" s="17" t="str">
        <x:v>D3</x:v>
      </x:c>
      <x:c r="G726" s="14" t="str"/>
      <x:c r="H726" s="14" t="str">
        <x:v>Discovery розширення — 2 тижні</x:v>
      </x:c>
      <x:c r="I726" s="16" t="n">
        <x:v>1</x:v>
      </x:c>
      <x:c r="J726" s="16" t="n">
        <x:v>5</x:v>
      </x:c>
      <x:c r="K726" s="16" t="n">
        <x:v>4</x:v>
      </x:c>
      <x:c r="L726" s="16" t="n">
        <x:v>1</x:v>
      </x:c>
      <x:c r="M726" s="16" t="n">
        <x:v>5</x:v>
      </x:c>
      <x:c r="N726" s="16" t="n">
        <x:v>3</x:v>
      </x:c>
      <x:c r="O726" s="16" t="n">
        <x:v>5</x:v>
      </x:c>
      <x:c r="P726" s="16" t="n">
        <x:f>IF(COUNT(I726:O726)&lt;7,"",I726*8+J726*3+K726*2+L726*2+M726*2+N726*2+O726)</x:f>
        <x:v>54</x:v>
      </x:c>
      <x:c r="Q726" s="16" t="n">
        <x:f>IF(COUNT(J726:O726)&lt;6,"",J726*5+K726*4+M726*4+L726*3+N726*2+O726*2)</x:f>
        <x:v>80</x:v>
      </x:c>
      <x:c r="R726" s="14" t="str">
        <x:v>high</x:v>
      </x:c>
      <x:c r="S726" s="14" t="str">
        <x:v>official_prozorro_award_2025_2026</x:v>
      </x:c>
      <x:c r="T726" s="14" t="str">
        <x:v>official_prozorro_api</x:v>
      </x:c>
      <x:c r="U726" s="14" t="str">
        <x:v>Не контактували</x:v>
      </x:c>
      <x:c r="V726" s="15" t="str">
        <x:v>Workflow-audit outreach по UA-2026-05-18-010643-a; попросити 1 пакет здачі та вимоги проєкту</x:v>
      </x:c>
      <x:c r="W726" s="15" t="str">
        <x:v>Власник / виконавець; відповідальний за договір</x:v>
      </x:c>
      <x:c r="X726" s="15" t="str">
        <x:v>1 підтверджених перемог/договорів у Prozorro на 8 000 грн; 0 проєктів зі строком виконання не раніше 24.08.2026.</x:v>
      </x:c>
      <x:c r="Y726"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26" s="15" t="str">
        <x:v>https://prozorro.gov.ua/tender/UA-2026-05-18-010643-a</x:v>
      </x:c>
      <x:c r="AA726" s="14" t="str">
        <x:v>3309014950</x:v>
      </x:c>
      <x:c r="AB726" s="14" t="str">
        <x:v>2026-08-24</x:v>
      </x:c>
      <x:c r="AC726" s="14" t="str"/>
      <x:c r="AD726" s="20" t="str"/>
      <x:c r="AE726" s="14" t="str"/>
      <x:c r="AF726" s="14" t="n">
        <x:v>38</x:v>
      </x:c>
      <x:c r="AG726" s="14" t="str">
        <x:v>I3</x:v>
      </x:c>
      <x:c r="AH726" s="14" t="n">
        <x:v>1</x:v>
      </x:c>
      <x:c r="AI726" s="14" t="n">
        <x:v>0</x:v>
      </x:c>
      <x:c r="AJ726" s="18" t="n">
        <x:v>8000</x:v>
      </x:c>
      <x:c r="AK726" s="14" t="str">
        <x:v>https://prozorro.gov.ua/tender/UA-2026-05-18-010643-a</x:v>
      </x:c>
      <x:c r="AL726" s="19" t="n">
        <x:v>46160.5288471875</x:v>
      </x:c>
      <x:c r="AM726" s="19" t="n">
        <x:v>46203</x:v>
      </x:c>
      <x:c r="AN726" s="15" t="str">
        <x:v>Сонячна енергетика</x:v>
      </x:c>
      <x:c r="AO726" s="15" t="str">
        <x:v>not_found_in_top_search</x:v>
      </x:c>
    </x:row>
    <x:row r="727">
      <x:c r="A727" s="14" t="str">
        <x:v>W3-455</x:v>
      </x:c>
      <x:c r="B727" s="14" t="str">
        <x:v>Prozorro winners — 24.08</x:v>
      </x:c>
      <x:c r="C727" s="14" t="str">
        <x:v>Микитин Володимир Васильович</x:v>
      </x:c>
      <x:c r="D727" s="14" t="str">
        <x:v>Безпека / СКУД / CCTV</x:v>
      </x:c>
      <x:c r="E727" s="14" t="str">
        <x:v>Expansion discovery</x:v>
      </x:c>
      <x:c r="F727" s="17" t="str">
        <x:v>D3</x:v>
      </x:c>
      <x:c r="G727" s="14" t="str"/>
      <x:c r="H727" s="14" t="str">
        <x:v>Discovery розширення — 2 тижні</x:v>
      </x:c>
      <x:c r="I727" s="16" t="n">
        <x:v>1</x:v>
      </x:c>
      <x:c r="J727" s="16" t="n">
        <x:v>5</x:v>
      </x:c>
      <x:c r="K727" s="16" t="n">
        <x:v>4</x:v>
      </x:c>
      <x:c r="L727" s="16" t="n">
        <x:v>1</x:v>
      </x:c>
      <x:c r="M727" s="16" t="n">
        <x:v>5</x:v>
      </x:c>
      <x:c r="N727" s="16" t="n">
        <x:v>3</x:v>
      </x:c>
      <x:c r="O727" s="16" t="n">
        <x:v>5</x:v>
      </x:c>
      <x:c r="P727" s="16" t="n">
        <x:f>IF(COUNT(I727:O727)&lt;7,"",I727*8+J727*3+K727*2+L727*2+M727*2+N727*2+O727)</x:f>
        <x:v>54</x:v>
      </x:c>
      <x:c r="Q727" s="16" t="n">
        <x:f>IF(COUNT(J727:O727)&lt;6,"",J727*5+K727*4+M727*4+L727*3+N727*2+O727*2)</x:f>
        <x:v>80</x:v>
      </x:c>
      <x:c r="R727" s="14" t="str">
        <x:v>high</x:v>
      </x:c>
      <x:c r="S727" s="14" t="str">
        <x:v>official_prozorro_award_2025_2026</x:v>
      </x:c>
      <x:c r="T727" s="14" t="str">
        <x:v>official_prozorro_api</x:v>
      </x:c>
      <x:c r="U727" s="14" t="str">
        <x:v>Не контактували</x:v>
      </x:c>
      <x:c r="V727" s="15" t="str">
        <x:v>Workflow-audit outreach по UA-2026-07-06-009128-a; попросити 1 пакет здачі та вимоги проєкту</x:v>
      </x:c>
      <x:c r="W727" s="15" t="str">
        <x:v>Власник / виконавець; відповідальний за договір</x:v>
      </x:c>
      <x:c r="X727" s="15" t="str">
        <x:v>1 підтверджених перемог/договорів у Prozorro на 7 680 грн; 0 проєктів зі строком виконання не раніше 24.08.2026.</x:v>
      </x:c>
      <x:c r="Y727" s="15" t="str">
        <x:v>Монтаж та налаштування системи відеоспостереження; строк до 2026-07-31. Попросити один знеособлений пакет здачі за цим workflow.</x:v>
      </x:c>
      <x:c r="Z727" s="15" t="str">
        <x:v>https://prozorro.gov.ua/tender/UA-2026-07-06-009128-a</x:v>
      </x:c>
      <x:c r="AA727" s="14" t="str">
        <x:v>3217413037</x:v>
      </x:c>
      <x:c r="AB727" s="14" t="str">
        <x:v>2026-08-24</x:v>
      </x:c>
      <x:c r="AC727" s="14" t="str"/>
      <x:c r="AD727" s="20" t="str"/>
      <x:c r="AE727" s="14" t="str"/>
      <x:c r="AF727" s="14" t="n">
        <x:v>38</x:v>
      </x:c>
      <x:c r="AG727" s="14" t="str">
        <x:v>I3</x:v>
      </x:c>
      <x:c r="AH727" s="14" t="n">
        <x:v>1</x:v>
      </x:c>
      <x:c r="AI727" s="14" t="n">
        <x:v>0</x:v>
      </x:c>
      <x:c r="AJ727" s="18" t="n">
        <x:v>7680</x:v>
      </x:c>
      <x:c r="AK727" s="14" t="str">
        <x:v>https://prozorro.gov.ua/tender/UA-2026-07-06-009128-a</x:v>
      </x:c>
      <x:c r="AL727" s="19" t="n">
        <x:v>46209.55647822917</x:v>
      </x:c>
      <x:c r="AM727" s="19" t="n">
        <x:v>46234</x:v>
      </x:c>
      <x:c r="AN727" s="15" t="str">
        <x:v>Безпека / СКУД / CCTV</x:v>
      </x:c>
      <x:c r="AO727" s="15" t="str">
        <x:v>not_found_in_top_search</x:v>
      </x:c>
    </x:row>
    <x:row r="728">
      <x:c r="A728" s="14" t="str">
        <x:v>W3-456</x:v>
      </x:c>
      <x:c r="B728" s="14" t="str">
        <x:v>Prozorro winners — 24.08</x:v>
      </x:c>
      <x:c r="C728" s="14" t="str">
        <x:v>ЯКИМЕНКО ВІТАЛІЙ ВАСИЛЬОВИЧ</x:v>
      </x:c>
      <x:c r="D728" s="14" t="str">
        <x:v>Безпека / СКУД / CCTV</x:v>
      </x:c>
      <x:c r="E728" s="14" t="str">
        <x:v>Expansion discovery</x:v>
      </x:c>
      <x:c r="F728" s="17" t="str">
        <x:v>D3</x:v>
      </x:c>
      <x:c r="G728" s="14" t="str"/>
      <x:c r="H728" s="14" t="str">
        <x:v>Discovery розширення — 2 тижні</x:v>
      </x:c>
      <x:c r="I728" s="16" t="n">
        <x:v>1</x:v>
      </x:c>
      <x:c r="J728" s="16" t="n">
        <x:v>5</x:v>
      </x:c>
      <x:c r="K728" s="16" t="n">
        <x:v>4</x:v>
      </x:c>
      <x:c r="L728" s="16" t="n">
        <x:v>1</x:v>
      </x:c>
      <x:c r="M728" s="16" t="n">
        <x:v>5</x:v>
      </x:c>
      <x:c r="N728" s="16" t="n">
        <x:v>3</x:v>
      </x:c>
      <x:c r="O728" s="16" t="n">
        <x:v>5</x:v>
      </x:c>
      <x:c r="P728" s="16" t="n">
        <x:f>IF(COUNT(I728:O728)&lt;7,"",I728*8+J728*3+K728*2+L728*2+M728*2+N728*2+O728)</x:f>
        <x:v>54</x:v>
      </x:c>
      <x:c r="Q728" s="16" t="n">
        <x:f>IF(COUNT(J728:O728)&lt;6,"",J728*5+K728*4+M728*4+L728*3+N728*2+O728*2)</x:f>
        <x:v>80</x:v>
      </x:c>
      <x:c r="R728" s="14" t="str">
        <x:v>high</x:v>
      </x:c>
      <x:c r="S728" s="14" t="str">
        <x:v>official_prozorro_award_2025_2026</x:v>
      </x:c>
      <x:c r="T728" s="14" t="str">
        <x:v>official_prozorro_api</x:v>
      </x:c>
      <x:c r="U728" s="14" t="str">
        <x:v>Не контактували</x:v>
      </x:c>
      <x:c r="V728" s="15" t="str">
        <x:v>Workflow-audit outreach по UA-2026-06-12-005736-a; попросити 1 пакет здачі та вимоги проєкту</x:v>
      </x:c>
      <x:c r="W728" s="15" t="str">
        <x:v>Власник / виконавець; відповідальний за договір</x:v>
      </x:c>
      <x:c r="X728" s="15" t="str">
        <x:v>1 підтверджених перемог/договорів у Prozorro на 5 060 грн; 0 проєктів зі строком виконання не раніше 24.08.2026.</x:v>
      </x:c>
      <x:c r="Y728" s="15" t="str">
        <x:v>Послуги з монтажу та установки системи відеоспостереження; строк до 2026-06-12. Попросити один знеособлений пакет здачі за цим workflow.</x:v>
      </x:c>
      <x:c r="Z728" s="15" t="str">
        <x:v>https://prozorro.gov.ua/tender/UA-2026-06-12-005736-a</x:v>
      </x:c>
      <x:c r="AA728" s="14" t="str">
        <x:v>2703713476</x:v>
      </x:c>
      <x:c r="AB728" s="14" t="str">
        <x:v>2026-08-24</x:v>
      </x:c>
      <x:c r="AC728" s="14" t="str"/>
      <x:c r="AD728" s="20" t="str"/>
      <x:c r="AE728" s="14" t="str"/>
      <x:c r="AF728" s="14" t="n">
        <x:v>38</x:v>
      </x:c>
      <x:c r="AG728" s="14" t="str">
        <x:v>I3</x:v>
      </x:c>
      <x:c r="AH728" s="14" t="n">
        <x:v>1</x:v>
      </x:c>
      <x:c r="AI728" s="14" t="n">
        <x:v>0</x:v>
      </x:c>
      <x:c r="AJ728" s="18" t="n">
        <x:v>5060</x:v>
      </x:c>
      <x:c r="AK728" s="14" t="str">
        <x:v>https://prozorro.gov.ua/tender/UA-2026-06-12-005736-a</x:v>
      </x:c>
      <x:c r="AL728" s="19" t="n">
        <x:v>46185.38756188657</x:v>
      </x:c>
      <x:c r="AM728" s="19" t="n">
        <x:v>46185</x:v>
      </x:c>
      <x:c r="AN728" s="15" t="str">
        <x:v>Безпека / СКУД / CCTV</x:v>
      </x:c>
      <x:c r="AO728" s="15" t="str">
        <x:v>not_found_in_top_search</x:v>
      </x:c>
    </x:row>
    <x:row r="729">
      <x:c r="A729" s="14" t="str">
        <x:v>W3-457</x:v>
      </x:c>
      <x:c r="B729" s="14" t="str">
        <x:v>Prozorro winners — 24.08</x:v>
      </x:c>
      <x:c r="C729" s="14" t="str">
        <x:v>Фізична особа-підприємець Хоманець Валентина Іванівна</x:v>
      </x:c>
      <x:c r="D729" s="14" t="str">
        <x:v>Безпека / СКУД / CCTV</x:v>
      </x:c>
      <x:c r="E729" s="14" t="str">
        <x:v>Expansion discovery</x:v>
      </x:c>
      <x:c r="F729" s="17" t="str">
        <x:v>D3</x:v>
      </x:c>
      <x:c r="G729" s="14" t="str"/>
      <x:c r="H729" s="14" t="str">
        <x:v>Discovery розширення — 2 тижні</x:v>
      </x:c>
      <x:c r="I729" s="16" t="n">
        <x:v>1</x:v>
      </x:c>
      <x:c r="J729" s="16" t="n">
        <x:v>5</x:v>
      </x:c>
      <x:c r="K729" s="16" t="n">
        <x:v>4</x:v>
      </x:c>
      <x:c r="L729" s="16" t="n">
        <x:v>1</x:v>
      </x:c>
      <x:c r="M729" s="16" t="n">
        <x:v>5</x:v>
      </x:c>
      <x:c r="N729" s="16" t="n">
        <x:v>3</x:v>
      </x:c>
      <x:c r="O729" s="16" t="n">
        <x:v>5</x:v>
      </x:c>
      <x:c r="P729" s="16" t="n">
        <x:f>IF(COUNT(I729:O729)&lt;7,"",I729*8+J729*3+K729*2+L729*2+M729*2+N729*2+O729)</x:f>
        <x:v>54</x:v>
      </x:c>
      <x:c r="Q729" s="16" t="n">
        <x:f>IF(COUNT(J729:O729)&lt;6,"",J729*5+K729*4+M729*4+L729*3+N729*2+O729*2)</x:f>
        <x:v>80</x:v>
      </x:c>
      <x:c r="R729" s="14" t="str">
        <x:v>high</x:v>
      </x:c>
      <x:c r="S729" s="14" t="str">
        <x:v>official_prozorro_award_2025_2026</x:v>
      </x:c>
      <x:c r="T729" s="14" t="str">
        <x:v>official_prozorro_api</x:v>
      </x:c>
      <x:c r="U729" s="14" t="str">
        <x:v>Не контактували</x:v>
      </x:c>
      <x:c r="V729" s="15" t="str">
        <x:v>Workflow-audit outreach по UA-2026-05-13-005151-a; попросити 1 пакет здачі та вимоги проєкту</x:v>
      </x:c>
      <x:c r="W729" s="15" t="str">
        <x:v>Власник / виконавець; відповідальний за договір</x:v>
      </x:c>
      <x:c r="X729" s="15" t="str">
        <x:v>1 підтверджених перемог/договорів у Prozorro на 550 грн; 0 проєктів зі строком виконання не раніше 24.08.2026.</x:v>
      </x:c>
      <x:c r="Y729" s="15" t="str">
        <x:v>Кабель сигналізаційний для монтажу системи контролю доступу у ЗДО №51 Львівської міської ради (ДК 021:2015:44320000-9 - Кабелі та супутня продукція); строк до 2026-06-30. Попросити один знеособлений пакет здачі за цим workflow.</x:v>
      </x:c>
      <x:c r="Z729" s="15" t="str">
        <x:v>https://prozorro.gov.ua/tender/UA-2026-05-13-005151-a</x:v>
      </x:c>
      <x:c r="AA729" s="14" t="str">
        <x:v>2531503308</x:v>
      </x:c>
      <x:c r="AB729" s="14" t="str">
        <x:v>2026-08-24</x:v>
      </x:c>
      <x:c r="AC729" s="14" t="str"/>
      <x:c r="AD729" s="20" t="str"/>
      <x:c r="AE729" s="14" t="str"/>
      <x:c r="AF729" s="14" t="n">
        <x:v>38</x:v>
      </x:c>
      <x:c r="AG729" s="14" t="str">
        <x:v>I3</x:v>
      </x:c>
      <x:c r="AH729" s="14" t="n">
        <x:v>1</x:v>
      </x:c>
      <x:c r="AI729" s="14" t="n">
        <x:v>0</x:v>
      </x:c>
      <x:c r="AJ729" s="18" t="n">
        <x:v>550</x:v>
      </x:c>
      <x:c r="AK729" s="14" t="str">
        <x:v>https://prozorro.gov.ua/tender/UA-2026-05-13-005151-a</x:v>
      </x:c>
      <x:c r="AL729" s="19" t="n">
        <x:v>46155.37156013889</x:v>
      </x:c>
      <x:c r="AM729" s="19" t="n">
        <x:v>46203</x:v>
      </x:c>
      <x:c r="AN729" s="15" t="str">
        <x:v>Безпека / СКУД / CCTV</x:v>
      </x:c>
      <x:c r="AO729" s="15" t="str">
        <x:v>not_found_in_top_search</x:v>
      </x:c>
    </x:row>
    <x:row r="730">
      <x:c r="A730" s="14" t="str">
        <x:v>W3-458</x:v>
      </x:c>
      <x:c r="B730" s="14" t="str">
        <x:v>Prozorro winners — 24.08</x:v>
      </x:c>
      <x:c r="C730" s="14" t="str">
        <x:v>ТОВ "НГХ СЕРВІС"</x:v>
      </x:c>
      <x:c r="D730" s="14" t="str">
        <x:v>Технологічні трубопроводи</x:v>
      </x:c>
      <x:c r="E730" s="14" t="str">
        <x:v>Expansion discovery</x:v>
      </x:c>
      <x:c r="F730" s="17" t="str">
        <x:v>D3</x:v>
      </x:c>
      <x:c r="G730" s="14" t="str">
        <x:v>ogcs.com.ua</x:v>
      </x:c>
      <x:c r="H730" s="14" t="str">
        <x:v>Discovery розширення — 2 тижні</x:v>
      </x:c>
      <x:c r="I730" s="16" t="n">
        <x:v>1</x:v>
      </x:c>
      <x:c r="J730" s="16" t="n">
        <x:v>5</x:v>
      </x:c>
      <x:c r="K730" s="16" t="n">
        <x:v>4</x:v>
      </x:c>
      <x:c r="L730" s="16" t="n">
        <x:v>4</x:v>
      </x:c>
      <x:c r="M730" s="16" t="n">
        <x:v>5</x:v>
      </x:c>
      <x:c r="N730" s="16" t="n">
        <x:v>5</x:v>
      </x:c>
      <x:c r="O730" s="16" t="n">
        <x:v>5</x:v>
      </x:c>
      <x:c r="P730" s="16" t="n">
        <x:f>IF(COUNT(I730:O730)&lt;7,"",I730*8+J730*3+K730*2+L730*2+M730*2+N730*2+O730)</x:f>
        <x:v>64</x:v>
      </x:c>
      <x:c r="Q730" s="16" t="n">
        <x:f>IF(COUNT(J730:O730)&lt;6,"",J730*5+K730*4+M730*4+L730*3+N730*2+O730*2)</x:f>
        <x:v>93</x:v>
      </x:c>
      <x:c r="R730" s="14" t="str">
        <x:v>high</x:v>
      </x:c>
      <x:c r="S730" s="14" t="str">
        <x:v>official_prozorro_award_2025_2026</x:v>
      </x:c>
      <x:c r="T730" s="14" t="str">
        <x:v>official_prozorro_api</x:v>
      </x:c>
      <x:c r="U730" s="14" t="str">
        <x:v>Не контактували</x:v>
      </x:c>
      <x:c r="V730" s="15" t="str">
        <x:v>Повторне звернення з новим тендерним сигналом UA-2026-06-12-011530-a; попросити 1 пакет здачі</x:v>
      </x:c>
      <x:c r="W730" s="15" t="str">
        <x:v>Власник / директор; керівник ПТО; відповідальний за договори</x:v>
      </x:c>
      <x:c r="X730" s="15" t="str">
        <x:v>1 підтверджених перемог/договорів у Prozorro на 7 229 604 грн; 0 проєктів зі строком виконання не раніше 24.08.2026.</x:v>
      </x:c>
      <x:c r="Y730"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 строк до 2025-12-31. Попросити один знеособлений пакет здачі за цим workflow.</x:v>
      </x:c>
      <x:c r="Z730" s="15" t="str">
        <x:v>https://prozorro.gov.ua/tender/UA-2025-01-08-007081-a</x:v>
      </x:c>
      <x:c r="AA730" s="14" t="str">
        <x:v>38781431</x:v>
      </x:c>
      <x:c r="AB730" s="14" t="str">
        <x:v>2026-08-24</x:v>
      </x:c>
      <x:c r="AC730" s="14" t="str"/>
      <x:c r="AD730" s="20" t="str"/>
      <x:c r="AE730" s="14" t="str"/>
      <x:c r="AF730" s="14" t="n">
        <x:v>82</x:v>
      </x:c>
      <x:c r="AG730" s="14" t="str">
        <x:v>I1</x:v>
      </x:c>
      <x:c r="AH730" s="14" t="n">
        <x:v>4</x:v>
      </x:c>
      <x:c r="AI730" s="14" t="n">
        <x:v>1</x:v>
      </x:c>
      <x:c r="AJ730" s="18" t="n">
        <x:v>284892709.98</x:v>
      </x:c>
      <x:c r="AK730" s="14" t="str">
        <x:v>https://prozorro.gov.ua/tender/UA-2026-06-12-011530-a</x:v>
      </x:c>
      <x:c r="AL730" s="19" t="n">
        <x:v>46185.545990659724</x:v>
      </x:c>
      <x:c r="AM730" s="19" t="n">
        <x:v>46265</x:v>
      </x:c>
      <x:c r="AN730" s="15" t="str">
        <x:v>Технологічні трубопроводи; Стиснене повітря / компресорні</x:v>
      </x:c>
      <x:c r="AO730" s="15" t="str">
        <x:v>supplier_provided_url</x:v>
      </x:c>
    </x:row>
    <x:row r="731">
      <x:c r="A731" s="14" t="str">
        <x:v>W3-459</x:v>
      </x:c>
      <x:c r="B731" s="14" t="str">
        <x:v>Prozorro winners — 24.08</x:v>
      </x:c>
      <x:c r="C731" s="14" t="str">
        <x:v>ТОВ "МОНТАЖТРАНСГАЗ"</x:v>
      </x:c>
      <x:c r="D731" s="14" t="str">
        <x:v>Технологічні трубопроводи</x:v>
      </x:c>
      <x:c r="E731" s="14" t="str">
        <x:v>Expansion discovery</x:v>
      </x:c>
      <x:c r="F731" s="17" t="str">
        <x:v>D3</x:v>
      </x:c>
      <x:c r="G731" s="14" t="str"/>
      <x:c r="H731" s="14" t="str">
        <x:v>Discovery розширення — 2 тижні</x:v>
      </x:c>
      <x:c r="I731" s="16" t="n">
        <x:v>1</x:v>
      </x:c>
      <x:c r="J731" s="16" t="n">
        <x:v>5</x:v>
      </x:c>
      <x:c r="K731" s="16" t="n">
        <x:v>4</x:v>
      </x:c>
      <x:c r="L731" s="16" t="n">
        <x:v>4</x:v>
      </x:c>
      <x:c r="M731" s="16" t="n">
        <x:v>5</x:v>
      </x:c>
      <x:c r="N731" s="16" t="n">
        <x:v>5</x:v>
      </x:c>
      <x:c r="O731" s="16" t="n">
        <x:v>5</x:v>
      </x:c>
      <x:c r="P731" s="16" t="n">
        <x:f>IF(COUNT(I731:O731)&lt;7,"",I731*8+J731*3+K731*2+L731*2+M731*2+N731*2+O731)</x:f>
        <x:v>64</x:v>
      </x:c>
      <x:c r="Q731" s="16" t="n">
        <x:f>IF(COUNT(J731:O731)&lt;6,"",J731*5+K731*4+M731*4+L731*3+N731*2+O731*2)</x:f>
        <x:v>93</x:v>
      </x:c>
      <x:c r="R731" s="14" t="str">
        <x:v>high</x:v>
      </x:c>
      <x:c r="S731" s="14" t="str">
        <x:v>official_prozorro_award_2025_2026</x:v>
      </x:c>
      <x:c r="T731" s="14" t="str">
        <x:v>official_prozorro_api</x:v>
      </x:c>
      <x:c r="U731" s="14" t="str">
        <x:v>Не контактували</x:v>
      </x:c>
      <x:c r="V731" s="15" t="str">
        <x:v>Workflow-audit outreach по UA-2025-04-24-010173-a; попросити 1 пакет здачі та вимоги проєкту</x:v>
      </x:c>
      <x:c r="W731" s="15" t="str">
        <x:v>Власник / директор; керівник ПТО; відповідальний за договори</x:v>
      </x:c>
      <x:c r="X731" s="15" t="str">
        <x:v>1 підтверджених перемог/договорів у Prozorro на 6 210 180 грн; 0 проєктів зі строком виконання не раніше 24.08.2026.</x:v>
      </x:c>
      <x:c r="Y731" s="15" t="str">
        <x:v>Технічне переоснащення в частині відновлення товарно-сировинного парку ХХХ з монтажем внутрішньо-паркових технологічних трубопроводів та РВС; строк до 2025-12-31. Попросити один знеособлений пакет здачі за цим workflow.</x:v>
      </x:c>
      <x:c r="Z731" s="15" t="str">
        <x:v>https://prozorro.gov.ua/tender/UA-2025-04-24-010173-a</x:v>
      </x:c>
      <x:c r="AA731" s="14" t="str">
        <x:v>13958101</x:v>
      </x:c>
      <x:c r="AB731" s="14" t="str">
        <x:v>2026-08-24</x:v>
      </x:c>
      <x:c r="AC731" s="14" t="str"/>
      <x:c r="AD731" s="20" t="str"/>
      <x:c r="AE731" s="14" t="str"/>
      <x:c r="AF731" s="14" t="n">
        <x:v>37</x:v>
      </x:c>
      <x:c r="AG731" s="14" t="str">
        <x:v>I3</x:v>
      </x:c>
      <x:c r="AH731" s="14" t="n">
        <x:v>1</x:v>
      </x:c>
      <x:c r="AI731" s="14" t="n">
        <x:v>0</x:v>
      </x:c>
      <x:c r="AJ731" s="18" t="n">
        <x:v>6210180</x:v>
      </x:c>
      <x:c r="AK731" s="14" t="str">
        <x:v>https://prozorro.gov.ua/tender/UA-2025-04-24-010173-a</x:v>
      </x:c>
      <x:c r="AL731" s="19" t="n">
        <x:v>45806.45531452546</x:v>
      </x:c>
      <x:c r="AM731" s="19" t="n">
        <x:v>46022</x:v>
      </x:c>
      <x:c r="AN731" s="15" t="str">
        <x:v>Технологічні трубопроводи</x:v>
      </x:c>
      <x:c r="AO731" s="15" t="str">
        <x:v>not_found_in_top_search</x:v>
      </x:c>
    </x:row>
    <x:row r="732">
      <x:c r="A732" s="14" t="str">
        <x:v>W3-460</x:v>
      </x:c>
      <x:c r="B732" s="14" t="str">
        <x:v>Prozorro winners — 24.08</x:v>
      </x:c>
      <x:c r="C732" s="14" t="str">
        <x:v>ТОВ "ОДЕСАСПЕ­ЦЕНЕРГО"</x:v>
      </x:c>
      <x:c r="D732" s="14" t="str">
        <x:v>ГНБ / безтраншейні роботи</x:v>
      </x:c>
      <x:c r="E732" s="14" t="str">
        <x:v>Expansion discovery</x:v>
      </x:c>
      <x:c r="F732" s="17" t="str">
        <x:v>D3</x:v>
      </x:c>
      <x:c r="G732" s="14" t="str"/>
      <x:c r="H732" s="14" t="str">
        <x:v>Discovery розширення — 2 тижні</x:v>
      </x:c>
      <x:c r="I732" s="16" t="n">
        <x:v>1</x:v>
      </x:c>
      <x:c r="J732" s="16" t="n">
        <x:v>5</x:v>
      </x:c>
      <x:c r="K732" s="16" t="n">
        <x:v>4</x:v>
      </x:c>
      <x:c r="L732" s="16" t="n">
        <x:v>4</x:v>
      </x:c>
      <x:c r="M732" s="16" t="n">
        <x:v>5</x:v>
      </x:c>
      <x:c r="N732" s="16" t="n">
        <x:v>5</x:v>
      </x:c>
      <x:c r="O732" s="16" t="n">
        <x:v>5</x:v>
      </x:c>
      <x:c r="P732" s="16" t="n">
        <x:f>IF(COUNT(I732:O732)&lt;7,"",I732*8+J732*3+K732*2+L732*2+M732*2+N732*2+O732)</x:f>
        <x:v>64</x:v>
      </x:c>
      <x:c r="Q732" s="16" t="n">
        <x:f>IF(COUNT(J732:O732)&lt;6,"",J732*5+K732*4+M732*4+L732*3+N732*2+O732*2)</x:f>
        <x:v>93</x:v>
      </x:c>
      <x:c r="R732" s="14" t="str">
        <x:v>high</x:v>
      </x:c>
      <x:c r="S732" s="14" t="str">
        <x:v>official_prozorro_award_2025_2026</x:v>
      </x:c>
      <x:c r="T732" s="14" t="str">
        <x:v>official_prozorro_api</x:v>
      </x:c>
      <x:c r="U732" s="14" t="str">
        <x:v>Не контактували</x:v>
      </x:c>
      <x:c r="V732" s="15" t="str">
        <x:v>Workflow-audit outreach по UA-2025-08-08-003722-a; попросити 1 пакет здачі та вимоги проєкту</x:v>
      </x:c>
      <x:c r="W732" s="15" t="str">
        <x:v>Власник / директор; керівник ПТО; відповідальний за договори</x:v>
      </x:c>
      <x:c r="X732" s="15" t="str">
        <x:v>1 підтверджених перемог/договорів у Prozorro на 4 449 000 грн; 0 проєктів зі строком виконання не раніше 24.08.2026.</x:v>
      </x:c>
      <x:c r="Y732"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 строк до 2026-03-16. Попросити один знеособлений пакет здачі за цим workflow.</x:v>
      </x:c>
      <x:c r="Z732" s="15" t="str">
        <x:v>https://prozorro.gov.ua/tender/UA-2025-08-08-003722-a</x:v>
      </x:c>
      <x:c r="AA732" s="14" t="str">
        <x:v>34490487</x:v>
      </x:c>
      <x:c r="AB732" s="14" t="str">
        <x:v>2026-08-24</x:v>
      </x:c>
      <x:c r="AC732" s="14" t="str"/>
      <x:c r="AD732" s="20" t="str"/>
      <x:c r="AE732" s="14" t="str"/>
      <x:c r="AF732" s="14" t="n">
        <x:v>37</x:v>
      </x:c>
      <x:c r="AG732" s="14" t="str">
        <x:v>I3</x:v>
      </x:c>
      <x:c r="AH732" s="14" t="n">
        <x:v>1</x:v>
      </x:c>
      <x:c r="AI732" s="14" t="n">
        <x:v>0</x:v>
      </x:c>
      <x:c r="AJ732" s="18" t="n">
        <x:v>4449000</x:v>
      </x:c>
      <x:c r="AK732" s="14" t="str">
        <x:v>https://prozorro.gov.ua/tender/UA-2025-08-08-003722-a</x:v>
      </x:c>
      <x:c r="AL732" s="19" t="n">
        <x:v>45908.31016237268</x:v>
      </x:c>
      <x:c r="AM732" s="19" t="n">
        <x:v>46097</x:v>
      </x:c>
      <x:c r="AN732" s="15" t="str">
        <x:v>ГНБ / безтраншейні роботи</x:v>
      </x:c>
      <x:c r="AO732" s="15" t="str">
        <x:v>not_found_in_top_search</x:v>
      </x:c>
    </x:row>
    <x:row r="733">
      <x:c r="A733" s="14" t="str">
        <x:v>W3-461</x:v>
      </x:c>
      <x:c r="B733" s="14" t="str">
        <x:v>Prozorro winners — 24.08</x:v>
      </x:c>
      <x:c r="C733" s="14" t="str">
        <x:v>Науково-виробниче підприємство"Електропром" у формі ТОВ</x:v>
      </x:c>
      <x:c r="D733" s="14" t="str">
        <x:v>Електромонтаж</x:v>
      </x:c>
      <x:c r="E733" s="14" t="str">
        <x:v>Pilot now</x:v>
      </x:c>
      <x:c r="F733" s="17" t="str">
        <x:v>P3</x:v>
      </x:c>
      <x:c r="G733" s="14" t="str"/>
      <x:c r="H733" s="14" t="str">
        <x:v>Пілот зараз — Н.15</x:v>
      </x:c>
      <x:c r="I733" s="16" t="n">
        <x:v>5</x:v>
      </x:c>
      <x:c r="J733" s="16" t="n">
        <x:v>5</x:v>
      </x:c>
      <x:c r="K733" s="16" t="n">
        <x:v>5</x:v>
      </x:c>
      <x:c r="L733" s="16" t="n">
        <x:v>2</x:v>
      </x:c>
      <x:c r="M733" s="16" t="n">
        <x:v>5</x:v>
      </x:c>
      <x:c r="N733" s="16" t="n">
        <x:v>5</x:v>
      </x:c>
      <x:c r="O733" s="16" t="n">
        <x:v>5</x:v>
      </x:c>
      <x:c r="P733" s="16" t="n">
        <x:f>IF(COUNT(I733:O733)&lt;7,"",I733*8+J733*3+K733*2+L733*2+M733*2+N733*2+O733)</x:f>
        <x:v>94</x:v>
      </x:c>
      <x:c r="Q733" s="16" t="n">
        <x:f>IF(COUNT(J733:O733)&lt;6,"",J733*5+K733*4+M733*4+L733*3+N733*2+O733*2)</x:f>
        <x:v>91</x:v>
      </x:c>
      <x:c r="R733" s="14" t="str">
        <x:v>high</x:v>
      </x:c>
      <x:c r="S733" s="14" t="str">
        <x:v>official_prozorro_award_2025_2026</x:v>
      </x:c>
      <x:c r="T733" s="14" t="str">
        <x:v>official_prozorro_api</x:v>
      </x:c>
      <x:c r="U733" s="14" t="str">
        <x:v>Не контактували</x:v>
      </x:c>
      <x:c r="V733" s="15" t="str">
        <x:v>Персоналізований free-pilot outreach по UA-2026-04-16-004889-a; попросити 1 пакет Н.14/Н.15</x:v>
      </x:c>
      <x:c r="W733" s="15" t="str">
        <x:v>Власник / директор; керівник ПТО; відповідальний за договори</x:v>
      </x:c>
      <x:c r="X733" s="15" t="str">
        <x:v>1 підтверджених перемог/договорів у Prozorro на 389 416 грн; 0 проєктів зі строком виконання не раніше 24.08.2026.</x:v>
      </x:c>
      <x:c r="Y733" s="15" t="str">
        <x:v>Монтаж мереж  електричного кабелю 9-го під'їзду та 4-го під'їзду будинку за адресою: пл. Свободи, 5 в м. Харкові; строк до 2026-06-30. Попросити один знеособлений пакет здачі за цим workflow.</x:v>
      </x:c>
      <x:c r="Z733" s="15" t="str">
        <x:v>https://prozorro.gov.ua/tender/UA-2026-04-16-004889-a</x:v>
      </x:c>
      <x:c r="AA733" s="14" t="str">
        <x:v>14089096</x:v>
      </x:c>
      <x:c r="AB733" s="14" t="str">
        <x:v>2026-08-24</x:v>
      </x:c>
      <x:c r="AC733" s="14" t="str"/>
      <x:c r="AD733" s="20" t="str"/>
      <x:c r="AE733" s="14" t="str"/>
      <x:c r="AF733" s="14" t="n">
        <x:v>37</x:v>
      </x:c>
      <x:c r="AG733" s="14" t="str">
        <x:v>I3</x:v>
      </x:c>
      <x:c r="AH733" s="14" t="n">
        <x:v>1</x:v>
      </x:c>
      <x:c r="AI733" s="14" t="n">
        <x:v>0</x:v>
      </x:c>
      <x:c r="AJ733" s="18" t="n">
        <x:v>389415.6</x:v>
      </x:c>
      <x:c r="AK733" s="14" t="str">
        <x:v>https://prozorro.gov.ua/tender/UA-2026-04-16-004889-a</x:v>
      </x:c>
      <x:c r="AL733" s="19" t="n">
        <x:v>46128.366191064815</x:v>
      </x:c>
      <x:c r="AM733" s="19" t="n">
        <x:v>46203</x:v>
      </x:c>
      <x:c r="AN733" s="15" t="str">
        <x:v>Електромонтаж</x:v>
      </x:c>
      <x:c r="AO733" s="15" t="str">
        <x:v>not_found_in_top_search</x:v>
      </x:c>
    </x:row>
    <x:row r="734">
      <x:c r="A734" s="14" t="str">
        <x:v>W3-462</x:v>
      </x:c>
      <x:c r="B734" s="14" t="str">
        <x:v>Prozorro winners — 24.08</x:v>
      </x:c>
      <x:c r="C734" s="14" t="str">
        <x:v>КУЛЬЧИЦЬКИЙ ВОЛОДИМИР БОГДАНОВИЧ</x:v>
      </x:c>
      <x:c r="D734" s="14" t="str">
        <x:v>ГНБ / безтраншейні роботи</x:v>
      </x:c>
      <x:c r="E734" s="14" t="str">
        <x:v>Expansion discovery</x:v>
      </x:c>
      <x:c r="F734" s="17" t="str">
        <x:v>D3</x:v>
      </x:c>
      <x:c r="G734" s="14" t="str"/>
      <x:c r="H734" s="14" t="str">
        <x:v>Discovery розширення — 2 тижні</x:v>
      </x:c>
      <x:c r="I734" s="16" t="n">
        <x:v>1</x:v>
      </x:c>
      <x:c r="J734" s="16" t="n">
        <x:v>5</x:v>
      </x:c>
      <x:c r="K734" s="16" t="n">
        <x:v>4</x:v>
      </x:c>
      <x:c r="L734" s="16" t="n">
        <x:v>3</x:v>
      </x:c>
      <x:c r="M734" s="16" t="n">
        <x:v>5</x:v>
      </x:c>
      <x:c r="N734" s="16" t="n">
        <x:v>3</x:v>
      </x:c>
      <x:c r="O734" s="16" t="n">
        <x:v>5</x:v>
      </x:c>
      <x:c r="P734" s="16" t="n">
        <x:f>IF(COUNT(I734:O734)&lt;7,"",I734*8+J734*3+K734*2+L734*2+M734*2+N734*2+O734)</x:f>
        <x:v>58</x:v>
      </x:c>
      <x:c r="Q734" s="16" t="n">
        <x:f>IF(COUNT(J734:O734)&lt;6,"",J734*5+K734*4+M734*4+L734*3+N734*2+O734*2)</x:f>
        <x:v>86</x:v>
      </x:c>
      <x:c r="R734" s="14" t="str">
        <x:v>high</x:v>
      </x:c>
      <x:c r="S734" s="14" t="str">
        <x:v>official_prozorro_award_2025_2026</x:v>
      </x:c>
      <x:c r="T734" s="14" t="str">
        <x:v>official_prozorro_api</x:v>
      </x:c>
      <x:c r="U734" s="14" t="str">
        <x:v>Не контактували</x:v>
      </x:c>
      <x:c r="V734" s="15" t="str">
        <x:v>Повторне звернення з новим тендерним сигналом UA-2024-07-12-004311-a; попросити 1 пакет здачі</x:v>
      </x:c>
      <x:c r="W734" s="15" t="str">
        <x:v>Власник / виконавець; відповідальний за договір</x:v>
      </x:c>
      <x:c r="X734" s="15" t="str">
        <x:v>2 підтверджених перемог/договорів у Prozorro на 902 371 грн; 0 проєктів зі строком виконання не раніше 24.08.2026.</x:v>
      </x:c>
      <x:c r="Y734"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34" s="15" t="str">
        <x:v>https://prozorro.gov.ua/tender/UA-2025-11-26-006530-a</x:v>
      </x:c>
      <x:c r="AA734" s="14" t="str">
        <x:v>2497618018</x:v>
      </x:c>
      <x:c r="AB734" s="14" t="str">
        <x:v>2026-08-24</x:v>
      </x:c>
      <x:c r="AC734" s="14" t="str"/>
      <x:c r="AD734" s="20" t="str"/>
      <x:c r="AE734" s="14" t="str"/>
      <x:c r="AF734" s="14" t="n">
        <x:v>36</x:v>
      </x:c>
      <x:c r="AG734" s="14" t="str">
        <x:v>I3</x:v>
      </x:c>
      <x:c r="AH734" s="14" t="n">
        <x:v>4</x:v>
      </x:c>
      <x:c r="AI734" s="14" t="n">
        <x:v>0</x:v>
      </x:c>
      <x:c r="AJ734" s="18" t="n">
        <x:v>968839.44</x:v>
      </x:c>
      <x:c r="AK734" s="14" t="str">
        <x:v>https://prozorro.gov.ua/tender/UA-2024-07-12-004311-a</x:v>
      </x:c>
      <x:c r="AL734" s="19" t="n">
        <x:v>45485.39818945602</x:v>
      </x:c>
      <x:c r="AM734" s="19" t="n">
        <x:v>45657</x:v>
      </x:c>
      <x:c r="AN734" s="15" t="str">
        <x:v>ГНБ / безтраншейні роботи</x:v>
      </x:c>
      <x:c r="AO734" s="15" t="str">
        <x:v>not_found_in_top_search</x:v>
      </x:c>
    </x:row>
    <x:row r="735">
      <x:c r="A735" s="14" t="str">
        <x:v>W3-463</x:v>
      </x:c>
      <x:c r="B735" s="14" t="str">
        <x:v>Prozorro winners — 24.08</x:v>
      </x:c>
      <x:c r="C735" s="14" t="str">
        <x:v>ФОП "МЕРЕЖКО МИКИТА АНДРІЙОВИЧ"</x:v>
      </x:c>
      <x:c r="D735" s="14" t="str">
        <x:v>Промисловий холод</x:v>
      </x:c>
      <x:c r="E735" s="14" t="str">
        <x:v>Expansion discovery</x:v>
      </x:c>
      <x:c r="F735" s="17" t="str">
        <x:v>D3</x:v>
      </x:c>
      <x:c r="G735" s="14" t="str"/>
      <x:c r="H735" s="14" t="str">
        <x:v>Discovery розширення — 2 тижні</x:v>
      </x:c>
      <x:c r="I735" s="16" t="n">
        <x:v>1</x:v>
      </x:c>
      <x:c r="J735" s="16" t="n">
        <x:v>5</x:v>
      </x:c>
      <x:c r="K735" s="16" t="n">
        <x:v>4</x:v>
      </x:c>
      <x:c r="L735" s="16" t="n">
        <x:v>3</x:v>
      </x:c>
      <x:c r="M735" s="16" t="n">
        <x:v>5</x:v>
      </x:c>
      <x:c r="N735" s="16" t="n">
        <x:v>3</x:v>
      </x:c>
      <x:c r="O735" s="16" t="n">
        <x:v>5</x:v>
      </x:c>
      <x:c r="P735" s="16" t="n">
        <x:f>IF(COUNT(I735:O735)&lt;7,"",I735*8+J735*3+K735*2+L735*2+M735*2+N735*2+O735)</x:f>
        <x:v>58</x:v>
      </x:c>
      <x:c r="Q735" s="16" t="n">
        <x:f>IF(COUNT(J735:O735)&lt;6,"",J735*5+K735*4+M735*4+L735*3+N735*2+O735*2)</x:f>
        <x:v>86</x:v>
      </x:c>
      <x:c r="R735" s="14" t="str">
        <x:v>high</x:v>
      </x:c>
      <x:c r="S735" s="14" t="str">
        <x:v>official_prozorro_award_2025_2026</x:v>
      </x:c>
      <x:c r="T735" s="14" t="str">
        <x:v>official_prozorro_api</x:v>
      </x:c>
      <x:c r="U735" s="14" t="str">
        <x:v>Не контактували</x:v>
      </x:c>
      <x:c r="V735" s="15" t="str">
        <x:v>Workflow-audit outreach по UA-2025-12-15-018436-a; попросити 1 пакет здачі та вимоги проєкту</x:v>
      </x:c>
      <x:c r="W735" s="15" t="str">
        <x:v>Власник / виконавець; відповідальний за договір</x:v>
      </x:c>
      <x:c r="X735" s="15" t="str">
        <x:v>1 підтверджених перемог/договорів у Prozorro на 600 000 грн; 1 проєктів зі строком виконання не раніше 24.08.2026.</x:v>
      </x:c>
      <x:c r="Y735"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735" s="15" t="str">
        <x:v>https://prozorro.gov.ua/tender/UA-2025-12-15-018436-a</x:v>
      </x:c>
      <x:c r="AA735" s="14" t="str">
        <x:v>3408617498</x:v>
      </x:c>
      <x:c r="AB735" s="14" t="str">
        <x:v>2026-08-24</x:v>
      </x:c>
      <x:c r="AC735" s="14" t="str"/>
      <x:c r="AD735" s="20" t="str"/>
      <x:c r="AE735" s="14" t="str"/>
      <x:c r="AF735" s="14" t="n">
        <x:v>35</x:v>
      </x:c>
      <x:c r="AG735" s="14" t="str">
        <x:v>I3</x:v>
      </x:c>
      <x:c r="AH735" s="14" t="n">
        <x:v>1</x:v>
      </x:c>
      <x:c r="AI735" s="14" t="n">
        <x:v>1</x:v>
      </x:c>
      <x:c r="AJ735" s="18" t="n">
        <x:v>600000</x:v>
      </x:c>
      <x:c r="AK735" s="14" t="str">
        <x:v>https://prozorro.gov.ua/tender/UA-2025-12-15-018436-a</x:v>
      </x:c>
      <x:c r="AL735" s="19" t="n">
        <x:v>46014.59971059028</x:v>
      </x:c>
      <x:c r="AM735" s="19" t="n">
        <x:v>46387</x:v>
      </x:c>
      <x:c r="AN735" s="15" t="str">
        <x:v>Промисловий холод</x:v>
      </x:c>
      <x:c r="AO735" s="15" t="str">
        <x:v>not_found_in_top_search</x:v>
      </x:c>
    </x:row>
    <x:row r="736">
      <x:c r="A736" s="14" t="str">
        <x:v>W3-464</x:v>
      </x:c>
      <x:c r="B736" s="14" t="str">
        <x:v>Prozorro winners — 24.08</x:v>
      </x:c>
      <x:c r="C736" s="14" t="str">
        <x:v>РУМЯНЦЕВ РУСЛАН СЕРГІЙОВИЧ</x:v>
      </x:c>
      <x:c r="D736" s="14" t="str">
        <x:v>HVAC / ОВіК</x:v>
      </x:c>
      <x:c r="E736" s="14" t="str">
        <x:v>Pilot now</x:v>
      </x:c>
      <x:c r="F736" s="17" t="str">
        <x:v>P3</x:v>
      </x:c>
      <x:c r="G736" s="14" t="str"/>
      <x:c r="H736" s="14" t="str">
        <x:v>Пілот зараз — Н.14</x:v>
      </x:c>
      <x:c r="I736" s="16" t="n">
        <x:v>5</x:v>
      </x:c>
      <x:c r="J736" s="16" t="n">
        <x:v>5</x:v>
      </x:c>
      <x:c r="K736" s="16" t="n">
        <x:v>5</x:v>
      </x:c>
      <x:c r="L736" s="16" t="n">
        <x:v>1</x:v>
      </x:c>
      <x:c r="M736" s="16" t="n">
        <x:v>5</x:v>
      </x:c>
      <x:c r="N736" s="16" t="n">
        <x:v>3</x:v>
      </x:c>
      <x:c r="O736" s="16" t="n">
        <x:v>5</x:v>
      </x:c>
      <x:c r="P736" s="16" t="n">
        <x:f>IF(COUNT(I736:O736)&lt;7,"",I736*8+J736*3+K736*2+L736*2+M736*2+N736*2+O736)</x:f>
        <x:v>88</x:v>
      </x:c>
      <x:c r="Q736" s="16" t="n">
        <x:f>IF(COUNT(J736:O736)&lt;6,"",J736*5+K736*4+M736*4+L736*3+N736*2+O736*2)</x:f>
        <x:v>84</x:v>
      </x:c>
      <x:c r="R736" s="14" t="str">
        <x:v>high</x:v>
      </x:c>
      <x:c r="S736" s="14" t="str">
        <x:v>official_prozorro_award_2025_2026</x:v>
      </x:c>
      <x:c r="T736" s="14" t="str">
        <x:v>official_prozorro_api</x:v>
      </x:c>
      <x:c r="U736" s="14" t="str">
        <x:v>Не контактували</x:v>
      </x:c>
      <x:c r="V736" s="15" t="str">
        <x:v>Персоналізований free-pilot outreach по UA-2026-03-05-009153-a; попросити 1 пакет Н.14/Н.15</x:v>
      </x:c>
      <x:c r="W736" s="15" t="str">
        <x:v>Власник / виконавець; відповідальний за договір</x:v>
      </x:c>
      <x:c r="X736" s="15" t="str">
        <x:v>1 підтверджених перемог/договорів у Prozorro на 99 520 грн; 1 проєктів зі строком виконання не раніше 24.08.2026.</x:v>
      </x:c>
      <x:c r="Y736"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 строк до 2026-12-31. Попросити один знеособлений пакет здачі за цим workflow.</x:v>
      </x:c>
      <x:c r="Z736" s="15" t="str">
        <x:v>https://prozorro.gov.ua/tender/UA-2026-03-05-009153-a</x:v>
      </x:c>
      <x:c r="AA736" s="14" t="str">
        <x:v>2858401831</x:v>
      </x:c>
      <x:c r="AB736" s="14" t="str">
        <x:v>2026-08-24</x:v>
      </x:c>
      <x:c r="AC736" s="14" t="str"/>
      <x:c r="AD736" s="20" t="str"/>
      <x:c r="AE736" s="14" t="str"/>
      <x:c r="AF736" s="14" t="n">
        <x:v>35</x:v>
      </x:c>
      <x:c r="AG736" s="14" t="str">
        <x:v>I3</x:v>
      </x:c>
      <x:c r="AH736" s="14" t="n">
        <x:v>1</x:v>
      </x:c>
      <x:c r="AI736" s="14" t="n">
        <x:v>1</x:v>
      </x:c>
      <x:c r="AJ736" s="18" t="n">
        <x:v>99520</x:v>
      </x:c>
      <x:c r="AK736" s="14" t="str">
        <x:v>https://prozorro.gov.ua/tender/UA-2026-03-05-009153-a</x:v>
      </x:c>
      <x:c r="AL736" s="19" t="n">
        <x:v>46086.51481393519</x:v>
      </x:c>
      <x:c r="AM736" s="19" t="n">
        <x:v>46387</x:v>
      </x:c>
      <x:c r="AN736" s="15" t="str">
        <x:v>HVAC / ОВіК</x:v>
      </x:c>
      <x:c r="AO736" s="15" t="str">
        <x:v>not_found_in_top_search</x:v>
      </x:c>
    </x:row>
    <x:row r="737">
      <x:c r="A737" s="14" t="str">
        <x:v>W3-465</x:v>
      </x:c>
      <x:c r="B737" s="14" t="str">
        <x:v>Prozorro winners — 24.08</x:v>
      </x:c>
      <x:c r="C737" s="14" t="str">
        <x:v>ФОП Бортнік Роман Андрійович</x:v>
      </x:c>
      <x:c r="D737" s="14" t="str">
        <x:v>Сонячна енергетика</x:v>
      </x:c>
      <x:c r="E737" s="14" t="str">
        <x:v>Expansion discovery</x:v>
      </x:c>
      <x:c r="F737" s="17" t="str">
        <x:v>D3</x:v>
      </x:c>
      <x:c r="G737" s="14" t="str"/>
      <x:c r="H737" s="14" t="str">
        <x:v>Discovery розширення — 2 тижні</x:v>
      </x:c>
      <x:c r="I737" s="16" t="n">
        <x:v>1</x:v>
      </x:c>
      <x:c r="J737" s="16" t="n">
        <x:v>5</x:v>
      </x:c>
      <x:c r="K737" s="16" t="n">
        <x:v>4</x:v>
      </x:c>
      <x:c r="L737" s="16" t="n">
        <x:v>1</x:v>
      </x:c>
      <x:c r="M737" s="16" t="n">
        <x:v>5</x:v>
      </x:c>
      <x:c r="N737" s="16" t="n">
        <x:v>3</x:v>
      </x:c>
      <x:c r="O737" s="16" t="n">
        <x:v>5</x:v>
      </x:c>
      <x:c r="P737" s="16" t="n">
        <x:f>IF(COUNT(I737:O737)&lt;7,"",I737*8+J737*3+K737*2+L737*2+M737*2+N737*2+O737)</x:f>
        <x:v>54</x:v>
      </x:c>
      <x:c r="Q737" s="16" t="n">
        <x:f>IF(COUNT(J737:O737)&lt;6,"",J737*5+K737*4+M737*4+L737*3+N737*2+O737*2)</x:f>
        <x:v>80</x:v>
      </x:c>
      <x:c r="R737" s="14" t="str">
        <x:v>high</x:v>
      </x:c>
      <x:c r="S737" s="14" t="str">
        <x:v>official_prozorro_award_2025_2026</x:v>
      </x:c>
      <x:c r="T737" s="14" t="str">
        <x:v>official_prozorro_api</x:v>
      </x:c>
      <x:c r="U737" s="14" t="str">
        <x:v>Не контактували</x:v>
      </x:c>
      <x:c r="V737" s="15" t="str">
        <x:v>Workflow-audit outreach по UA-2026-01-08-004937-a; попросити 1 пакет здачі та вимоги проєкту</x:v>
      </x:c>
      <x:c r="W737" s="15" t="str">
        <x:v>Власник / виконавець; відповідальний за договір</x:v>
      </x:c>
      <x:c r="X737" s="15" t="str">
        <x:v>1 підтверджених перемог/договорів у Prozorro на 99 000 грн; 1 проєктів зі строком виконання не раніше 24.08.2026.</x:v>
      </x:c>
      <x:c r="Y737" s="15" t="str">
        <x:v>Послуги монтажу  сонячної електростанції; строк до 2026-12-31. Попросити один знеособлений пакет здачі за цим workflow.</x:v>
      </x:c>
      <x:c r="Z737" s="15" t="str">
        <x:v>https://prozorro.gov.ua/tender/UA-2026-01-08-004937-a</x:v>
      </x:c>
      <x:c r="AA737" s="14" t="str">
        <x:v>3376707477</x:v>
      </x:c>
      <x:c r="AB737" s="14" t="str">
        <x:v>2026-08-24</x:v>
      </x:c>
      <x:c r="AC737" s="14" t="str"/>
      <x:c r="AD737" s="20" t="str"/>
      <x:c r="AE737" s="14" t="str"/>
      <x:c r="AF737" s="14" t="n">
        <x:v>35</x:v>
      </x:c>
      <x:c r="AG737" s="14" t="str">
        <x:v>I3</x:v>
      </x:c>
      <x:c r="AH737" s="14" t="n">
        <x:v>1</x:v>
      </x:c>
      <x:c r="AI737" s="14" t="n">
        <x:v>1</x:v>
      </x:c>
      <x:c r="AJ737" s="18" t="n">
        <x:v>99000</x:v>
      </x:c>
      <x:c r="AK737" s="14" t="str">
        <x:v>https://prozorro.gov.ua/tender/UA-2026-01-08-004937-a</x:v>
      </x:c>
      <x:c r="AL737" s="19" t="n">
        <x:v>46030.520002083336</x:v>
      </x:c>
      <x:c r="AM737" s="19" t="n">
        <x:v>46387.52075231481</x:v>
      </x:c>
      <x:c r="AN737" s="15" t="str">
        <x:v>Сонячна енергетика</x:v>
      </x:c>
      <x:c r="AO737" s="15" t="str">
        <x:v>not_found_in_top_search</x:v>
      </x:c>
    </x:row>
    <x:row r="738">
      <x:c r="A738" s="14" t="str">
        <x:v>W3-466</x:v>
      </x:c>
      <x:c r="B738" s="14" t="str">
        <x:v>Prozorro winners — 24.08</x:v>
      </x:c>
      <x:c r="C738" s="14" t="str">
        <x:v>ФОП Дзюба Олександр Володимирович</x:v>
      </x:c>
      <x:c r="D738" s="14" t="str">
        <x:v>Промисловий холод</x:v>
      </x:c>
      <x:c r="E738" s="14" t="str">
        <x:v>Expansion discovery</x:v>
      </x:c>
      <x:c r="F738" s="17" t="str">
        <x:v>D3</x:v>
      </x:c>
      <x:c r="G738" s="14" t="str"/>
      <x:c r="H738" s="14" t="str">
        <x:v>Discovery розширення — 2 тижні</x:v>
      </x:c>
      <x:c r="I738" s="16" t="n">
        <x:v>1</x:v>
      </x:c>
      <x:c r="J738" s="16" t="n">
        <x:v>5</x:v>
      </x:c>
      <x:c r="K738" s="16" t="n">
        <x:v>4</x:v>
      </x:c>
      <x:c r="L738" s="16" t="n">
        <x:v>1</x:v>
      </x:c>
      <x:c r="M738" s="16" t="n">
        <x:v>5</x:v>
      </x:c>
      <x:c r="N738" s="16" t="n">
        <x:v>3</x:v>
      </x:c>
      <x:c r="O738" s="16" t="n">
        <x:v>5</x:v>
      </x:c>
      <x:c r="P738" s="16" t="n">
        <x:f>IF(COUNT(I738:O738)&lt;7,"",I738*8+J738*3+K738*2+L738*2+M738*2+N738*2+O738)</x:f>
        <x:v>54</x:v>
      </x:c>
      <x:c r="Q738" s="16" t="n">
        <x:f>IF(COUNT(J738:O738)&lt;6,"",J738*5+K738*4+M738*4+L738*3+N738*2+O738*2)</x:f>
        <x:v>80</x:v>
      </x:c>
      <x:c r="R738" s="14" t="str">
        <x:v>high</x:v>
      </x:c>
      <x:c r="S738" s="14" t="str">
        <x:v>official_prozorro_award_2025_2026</x:v>
      </x:c>
      <x:c r="T738" s="14" t="str">
        <x:v>official_prozorro_api</x:v>
      </x:c>
      <x:c r="U738" s="14" t="str">
        <x:v>Не контактували</x:v>
      </x:c>
      <x:c r="V738" s="15" t="str">
        <x:v>Workflow-audit outreach по UA-2026-03-24-003055-a; попросити 1 пакет здачі та вимоги проєкту</x:v>
      </x:c>
      <x:c r="W738" s="15" t="str">
        <x:v>Власник / виконавець; відповідальний за договір</x:v>
      </x:c>
      <x:c r="X738" s="15" t="str">
        <x:v>1 підтверджених перемог/договорів у Prozorro на 98 064 грн; 1 проєктів зі строком виконання не раніше 24.08.2026.</x:v>
      </x:c>
      <x:c r="Y738" s="15" t="str">
        <x:v>Послуги з монтажу/демонтажу холодильного обладнання; строк до 2026-12-31. Попросити один знеособлений пакет здачі за цим workflow.</x:v>
      </x:c>
      <x:c r="Z738" s="15" t="str">
        <x:v>https://prozorro.gov.ua/tender/UA-2026-03-24-003055-a</x:v>
      </x:c>
      <x:c r="AA738" s="14" t="str">
        <x:v>3017110871</x:v>
      </x:c>
      <x:c r="AB738" s="14" t="str">
        <x:v>2026-08-24</x:v>
      </x:c>
      <x:c r="AC738" s="14" t="str"/>
      <x:c r="AD738" s="20" t="str"/>
      <x:c r="AE738" s="14" t="str"/>
      <x:c r="AF738" s="14" t="n">
        <x:v>35</x:v>
      </x:c>
      <x:c r="AG738" s="14" t="str">
        <x:v>I3</x:v>
      </x:c>
      <x:c r="AH738" s="14" t="n">
        <x:v>1</x:v>
      </x:c>
      <x:c r="AI738" s="14" t="n">
        <x:v>1</x:v>
      </x:c>
      <x:c r="AJ738" s="18" t="n">
        <x:v>98064</x:v>
      </x:c>
      <x:c r="AK738" s="14" t="str">
        <x:v>https://prozorro.gov.ua/tender/UA-2026-03-24-003055-a</x:v>
      </x:c>
      <x:c r="AL738" s="19" t="n">
        <x:v>46105.356499421294</x:v>
      </x:c>
      <x:c r="AM738" s="19" t="n">
        <x:v>46387.35738425926</x:v>
      </x:c>
      <x:c r="AN738" s="15" t="str">
        <x:v>Промисловий холод</x:v>
      </x:c>
      <x:c r="AO738" s="15" t="str">
        <x:v>not_found_in_top_search</x:v>
      </x:c>
    </x:row>
    <x:row r="739">
      <x:c r="A739" s="14" t="str">
        <x:v>W3-467</x:v>
      </x:c>
      <x:c r="B739" s="14" t="str">
        <x:v>Prozorro winners — 24.08</x:v>
      </x:c>
      <x:c r="C739" s="14" t="str">
        <x:v>ПРИВАТНЕ ПІДПРИЄМСТВО "ІНСТАЛ ГРУП"</x:v>
      </x:c>
      <x:c r="D739" s="14" t="str">
        <x:v>Резервне живлення</x:v>
      </x:c>
      <x:c r="E739" s="14" t="str">
        <x:v>Expansion discovery</x:v>
      </x:c>
      <x:c r="F739" s="17" t="str">
        <x:v>D3</x:v>
      </x:c>
      <x:c r="G739" s="14" t="str"/>
      <x:c r="H739" s="14" t="str">
        <x:v>Discovery розширення — 2 тижні</x:v>
      </x:c>
      <x:c r="I739" s="16" t="n">
        <x:v>1</x:v>
      </x:c>
      <x:c r="J739" s="16" t="n">
        <x:v>5</x:v>
      </x:c>
      <x:c r="K739" s="16" t="n">
        <x:v>4</x:v>
      </x:c>
      <x:c r="L739" s="16" t="n">
        <x:v>1</x:v>
      </x:c>
      <x:c r="M739" s="16" t="n">
        <x:v>5</x:v>
      </x:c>
      <x:c r="N739" s="16" t="n">
        <x:v>5</x:v>
      </x:c>
      <x:c r="O739" s="16" t="n">
        <x:v>5</x:v>
      </x:c>
      <x:c r="P739" s="16" t="n">
        <x:f>IF(COUNT(I739:O739)&lt;7,"",I739*8+J739*3+K739*2+L739*2+M739*2+N739*2+O739)</x:f>
        <x:v>58</x:v>
      </x:c>
      <x:c r="Q739" s="16" t="n">
        <x:f>IF(COUNT(J739:O739)&lt;6,"",J739*5+K739*4+M739*4+L739*3+N739*2+O739*2)</x:f>
        <x:v>84</x:v>
      </x:c>
      <x:c r="R739" s="14" t="str">
        <x:v>high</x:v>
      </x:c>
      <x:c r="S739" s="14" t="str">
        <x:v>official_prozorro_award_2025_2026</x:v>
      </x:c>
      <x:c r="T739" s="14" t="str">
        <x:v>official_prozorro_api</x:v>
      </x:c>
      <x:c r="U739" s="14" t="str">
        <x:v>Не контактували</x:v>
      </x:c>
      <x:c r="V739" s="15" t="str">
        <x:v>Workflow-audit outreach по UA-2025-12-10-001371-a; попросити 1 пакет здачі та вимоги проєкту</x:v>
      </x:c>
      <x:c r="W739" s="15" t="str">
        <x:v>Власник / директор; керівник ПТО; відповідальний за договори</x:v>
      </x:c>
      <x:c r="X739" s="15" t="str">
        <x:v>3 підтверджених перемог/договорів у Prozorro на 46 000 грн; 0 проєктів зі строком виконання не раніше 24.08.2026.</x:v>
      </x:c>
      <x:c r="Y739" s="15" t="str">
        <x:v>Електромонтажні роботи (послуги з монтажу системи безперебійного живлення); строк до 2025-12-31. Попросити один знеособлений пакет здачі за цим workflow.</x:v>
      </x:c>
      <x:c r="Z739" s="15" t="str">
        <x:v>https://prozorro.gov.ua/tender/UA-2025-12-10-001371-a</x:v>
      </x:c>
      <x:c r="AA739" s="14" t="str">
        <x:v>39812602</x:v>
      </x:c>
      <x:c r="AB739" s="14" t="str">
        <x:v>2026-08-24</x:v>
      </x:c>
      <x:c r="AC739" s="14" t="str"/>
      <x:c r="AD739" s="20" t="str"/>
      <x:c r="AE739" s="14" t="str"/>
      <x:c r="AF739" s="14" t="n">
        <x:v>35</x:v>
      </x:c>
      <x:c r="AG739" s="14" t="str">
        <x:v>I3</x:v>
      </x:c>
      <x:c r="AH739" s="14" t="n">
        <x:v>3</x:v>
      </x:c>
      <x:c r="AI739" s="14" t="n">
        <x:v>0</x:v>
      </x:c>
      <x:c r="AJ739" s="18" t="n">
        <x:v>46000</x:v>
      </x:c>
      <x:c r="AK739" s="14" t="str">
        <x:v>https://prozorro.gov.ua/tender/UA-2025-12-10-001371-a</x:v>
      </x:c>
      <x:c r="AL739" s="19" t="n">
        <x:v>46001.31072509259</x:v>
      </x:c>
      <x:c r="AM739" s="19" t="n">
        <x:v>46022.31108796296</x:v>
      </x:c>
      <x:c r="AN739" s="15" t="str">
        <x:v>Резервне живлення</x:v>
      </x:c>
      <x:c r="AO739" s="15" t="str">
        <x:v>not_found_in_top_search</x:v>
      </x:c>
    </x:row>
    <x:row r="740">
      <x:c r="A740" s="14" t="str">
        <x:v>W3-468</x:v>
      </x:c>
      <x:c r="B740" s="14" t="str">
        <x:v>Prozorro winners — 24.08</x:v>
      </x:c>
      <x:c r="C740" s="14" t="str">
        <x:v>МАКОВІЙ ОЛЕКСАНДР ВІКТОРОВИЧ</x:v>
      </x:c>
      <x:c r="D740" s="14" t="str">
        <x:v>Електромонтаж</x:v>
      </x:c>
      <x:c r="E740" s="14" t="str">
        <x:v>Pilot now</x:v>
      </x:c>
      <x:c r="F740" s="17" t="str">
        <x:v>P3</x:v>
      </x:c>
      <x:c r="G740" s="14" t="str"/>
      <x:c r="H740" s="14" t="str">
        <x:v>Пілот зараз — Н.15</x:v>
      </x:c>
      <x:c r="I740" s="16" t="n">
        <x:v>5</x:v>
      </x:c>
      <x:c r="J740" s="16" t="n">
        <x:v>5</x:v>
      </x:c>
      <x:c r="K740" s="16" t="n">
        <x:v>5</x:v>
      </x:c>
      <x:c r="L740" s="16" t="n">
        <x:v>1</x:v>
      </x:c>
      <x:c r="M740" s="16" t="n">
        <x:v>5</x:v>
      </x:c>
      <x:c r="N740" s="16" t="n">
        <x:v>3</x:v>
      </x:c>
      <x:c r="O740" s="16" t="n">
        <x:v>5</x:v>
      </x:c>
      <x:c r="P740" s="16" t="n">
        <x:f>IF(COUNT(I740:O740)&lt;7,"",I740*8+J740*3+K740*2+L740*2+M740*2+N740*2+O740)</x:f>
        <x:v>88</x:v>
      </x:c>
      <x:c r="Q740" s="16" t="n">
        <x:f>IF(COUNT(J740:O740)&lt;6,"",J740*5+K740*4+M740*4+L740*3+N740*2+O740*2)</x:f>
        <x:v>84</x:v>
      </x:c>
      <x:c r="R740" s="14" t="str">
        <x:v>high</x:v>
      </x:c>
      <x:c r="S740" s="14" t="str">
        <x:v>official_prozorro_award_2025_2026</x:v>
      </x:c>
      <x:c r="T740" s="14" t="str">
        <x:v>official_prozorro_api</x:v>
      </x:c>
      <x:c r="U740" s="14" t="str">
        <x:v>Не контактували</x:v>
      </x:c>
      <x:c r="V740" s="15" t="str">
        <x:v>Персоналізований free-pilot outreach по UA-2026-02-02-000218-a; попросити 1 пакет Н.14/Н.15</x:v>
      </x:c>
      <x:c r="W740" s="15" t="str">
        <x:v>Власник / виконавець; відповідальний за договір</x:v>
      </x:c>
      <x:c r="X740" s="15" t="str">
        <x:v>1 підтверджених перемог/договорів у Prozorro на 22 315 грн; 1 проєктів зі строком виконання не раніше 24.08.2026.</x:v>
      </x:c>
      <x:c r="Y740"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строк до 2026-12-31. Попросити один знеособлений пакет здачі за цим workflow.</x:v>
      </x:c>
      <x:c r="Z740" s="15" t="str">
        <x:v>https://prozorro.gov.ua/tender/UA-2026-02-02-000218-a</x:v>
      </x:c>
      <x:c r="AA740" s="14" t="str">
        <x:v>3225620512</x:v>
      </x:c>
      <x:c r="AB740" s="14" t="str">
        <x:v>2026-08-24</x:v>
      </x:c>
      <x:c r="AC740" s="14" t="str"/>
      <x:c r="AD740" s="20" t="str"/>
      <x:c r="AE740" s="14" t="str"/>
      <x:c r="AF740" s="14" t="n">
        <x:v>35</x:v>
      </x:c>
      <x:c r="AG740" s="14" t="str">
        <x:v>I3</x:v>
      </x:c>
      <x:c r="AH740" s="14" t="n">
        <x:v>1</x:v>
      </x:c>
      <x:c r="AI740" s="14" t="n">
        <x:v>1</x:v>
      </x:c>
      <x:c r="AJ740" s="18" t="n">
        <x:v>22315</x:v>
      </x:c>
      <x:c r="AK740" s="14" t="str">
        <x:v>https://prozorro.gov.ua/tender/UA-2026-02-02-000218-a</x:v>
      </x:c>
      <x:c r="AL740" s="19" t="n">
        <x:v>46055.277131284725</x:v>
      </x:c>
      <x:c r="AM740" s="19" t="n">
        <x:v>46387</x:v>
      </x:c>
      <x:c r="AN740" s="15" t="str">
        <x:v>Електромонтаж</x:v>
      </x:c>
      <x:c r="AO740" s="15" t="str">
        <x:v>not_found_in_top_search</x:v>
      </x:c>
    </x:row>
    <x:row r="741">
      <x:c r="A741" s="14" t="str">
        <x:v>W3-469</x:v>
      </x:c>
      <x:c r="B741" s="14" t="str">
        <x:v>Prozorro winners — 24.08</x:v>
      </x:c>
      <x:c r="C741" s="14" t="str">
        <x:v>ГАВРИЩУК ТЕТЯНА ЯРОСЛАВІВНА</x:v>
      </x:c>
      <x:c r="D741" s="14" t="str">
        <x:v>HVAC / ОВіК</x:v>
      </x:c>
      <x:c r="E741" s="14" t="str">
        <x:v>Pilot now</x:v>
      </x:c>
      <x:c r="F741" s="17" t="str">
        <x:v>P3</x:v>
      </x:c>
      <x:c r="G741" s="14" t="str"/>
      <x:c r="H741" s="14" t="str">
        <x:v>Пілот зараз — Н.14</x:v>
      </x:c>
      <x:c r="I741" s="16" t="n">
        <x:v>5</x:v>
      </x:c>
      <x:c r="J741" s="16" t="n">
        <x:v>5</x:v>
      </x:c>
      <x:c r="K741" s="16" t="n">
        <x:v>5</x:v>
      </x:c>
      <x:c r="L741" s="16" t="n">
        <x:v>1</x:v>
      </x:c>
      <x:c r="M741" s="16" t="n">
        <x:v>5</x:v>
      </x:c>
      <x:c r="N741" s="16" t="n">
        <x:v>3</x:v>
      </x:c>
      <x:c r="O741" s="16" t="n">
        <x:v>5</x:v>
      </x:c>
      <x:c r="P741" s="16" t="n">
        <x:f>IF(COUNT(I741:O741)&lt;7,"",I741*8+J741*3+K741*2+L741*2+M741*2+N741*2+O741)</x:f>
        <x:v>88</x:v>
      </x:c>
      <x:c r="Q741" s="16" t="n">
        <x:f>IF(COUNT(J741:O741)&lt;6,"",J741*5+K741*4+M741*4+L741*3+N741*2+O741*2)</x:f>
        <x:v>84</x:v>
      </x:c>
      <x:c r="R741" s="14" t="str">
        <x:v>high</x:v>
      </x:c>
      <x:c r="S741" s="14" t="str">
        <x:v>official_prozorro_award_2025_2026</x:v>
      </x:c>
      <x:c r="T741" s="14" t="str">
        <x:v>official_prozorro_api</x:v>
      </x:c>
      <x:c r="U741" s="14" t="str">
        <x:v>Не контактували</x:v>
      </x:c>
      <x:c r="V741" s="15" t="str">
        <x:v>Персоналізований free-pilot outreach по UA-2026-03-11-009469-a; попросити 1 пакет Н.14/Н.15</x:v>
      </x:c>
      <x:c r="W741" s="15" t="str">
        <x:v>Власник / виконавець; відповідальний за договір</x:v>
      </x:c>
      <x:c r="X741" s="15" t="str">
        <x:v>1 підтверджених перемог/договорів у Prozorro на 21 058 грн; 1 проєктів зі строком виконання не раніше 24.08.2026.</x:v>
      </x:c>
      <x:c r="Y741" s="15" t="str">
        <x:v>Монтаж обладнання для системи вентиляції повітря; строк до 2026-12-31. Попросити один знеособлений пакет здачі за цим workflow.</x:v>
      </x:c>
      <x:c r="Z741" s="15" t="str">
        <x:v>https://prozorro.gov.ua/tender/UA-2026-03-11-009469-a</x:v>
      </x:c>
      <x:c r="AA741" s="14" t="str">
        <x:v>2964801488</x:v>
      </x:c>
      <x:c r="AB741" s="14" t="str">
        <x:v>2026-08-24</x:v>
      </x:c>
      <x:c r="AC741" s="14" t="str"/>
      <x:c r="AD741" s="20" t="str"/>
      <x:c r="AE741" s="14" t="str"/>
      <x:c r="AF741" s="14" t="n">
        <x:v>35</x:v>
      </x:c>
      <x:c r="AG741" s="14" t="str">
        <x:v>I3</x:v>
      </x:c>
      <x:c r="AH741" s="14" t="n">
        <x:v>1</x:v>
      </x:c>
      <x:c r="AI741" s="14" t="n">
        <x:v>1</x:v>
      </x:c>
      <x:c r="AJ741" s="18" t="n">
        <x:v>21058</x:v>
      </x:c>
      <x:c r="AK741" s="14" t="str">
        <x:v>https://prozorro.gov.ua/tender/UA-2026-03-11-009469-a</x:v>
      </x:c>
      <x:c r="AL741" s="19" t="n">
        <x:v>46092.52821265046</x:v>
      </x:c>
      <x:c r="AM741" s="19" t="n">
        <x:v>46387</x:v>
      </x:c>
      <x:c r="AN741" s="15" t="str">
        <x:v>HVAC / ОВіК</x:v>
      </x:c>
      <x:c r="AO741" s="15" t="str">
        <x:v>not_found_in_top_search</x:v>
      </x:c>
    </x:row>
    <x:row r="742">
      <x:c r="A742" s="14" t="str">
        <x:v>W3-470</x:v>
      </x:c>
      <x:c r="B742" s="14" t="str">
        <x:v>Prozorro winners — 24.08</x:v>
      </x:c>
      <x:c r="C742" s="14" t="str">
        <x:v>ФОП Ковальчук П. Я.</x:v>
      </x:c>
      <x:c r="D742" s="14" t="str">
        <x:v>Мости / інфраструктура</x:v>
      </x:c>
      <x:c r="E742" s="14" t="str">
        <x:v>Expansion discovery</x:v>
      </x:c>
      <x:c r="F742" s="17" t="str">
        <x:v>D3</x:v>
      </x:c>
      <x:c r="G742" s="14" t="str"/>
      <x:c r="H742" s="14" t="str">
        <x:v>Discovery розширення — 2 тижні</x:v>
      </x:c>
      <x:c r="I742" s="16" t="n">
        <x:v>1</x:v>
      </x:c>
      <x:c r="J742" s="16" t="n">
        <x:v>5</x:v>
      </x:c>
      <x:c r="K742" s="16" t="n">
        <x:v>4</x:v>
      </x:c>
      <x:c r="L742" s="16" t="n">
        <x:v>1</x:v>
      </x:c>
      <x:c r="M742" s="16" t="n">
        <x:v>5</x:v>
      </x:c>
      <x:c r="N742" s="16" t="n">
        <x:v>3</x:v>
      </x:c>
      <x:c r="O742" s="16" t="n">
        <x:v>5</x:v>
      </x:c>
      <x:c r="P742" s="16" t="n">
        <x:f>IF(COUNT(I742:O742)&lt;7,"",I742*8+J742*3+K742*2+L742*2+M742*2+N742*2+O742)</x:f>
        <x:v>54</x:v>
      </x:c>
      <x:c r="Q742" s="16" t="n">
        <x:f>IF(COUNT(J742:O742)&lt;6,"",J742*5+K742*4+M742*4+L742*3+N742*2+O742*2)</x:f>
        <x:v>80</x:v>
      </x:c>
      <x:c r="R742" s="14" t="str">
        <x:v>high</x:v>
      </x:c>
      <x:c r="S742" s="14" t="str">
        <x:v>official_prozorro_award_2025_2026</x:v>
      </x:c>
      <x:c r="T742" s="14" t="str">
        <x:v>official_prozorro_api</x:v>
      </x:c>
      <x:c r="U742" s="14" t="str">
        <x:v>Не контактували</x:v>
      </x:c>
      <x:c r="V742" s="15" t="str">
        <x:v>Workflow-audit outreach по UA-2026-04-17-004350-a; попросити 1 пакет здачі та вимоги проєкту</x:v>
      </x:c>
      <x:c r="W742" s="15" t="str">
        <x:v>Власник / виконавець; відповідальний за договір</x:v>
      </x:c>
      <x:c r="X742" s="15" t="str">
        <x:v>1 підтверджених перемог/договорів у Prozorro на 18 700 грн; 1 проєктів зі строком виконання не раніше 24.08.2026.</x:v>
      </x:c>
      <x:c r="Y742" s="15" t="str">
        <x:v>Ремонт заднього моста автобуса KING LONG; строк до 2026-12-31. Попросити один знеособлений пакет здачі за цим workflow.</x:v>
      </x:c>
      <x:c r="Z742" s="15" t="str">
        <x:v>https://prozorro.gov.ua/tender/UA-2026-04-17-004350-a</x:v>
      </x:c>
      <x:c r="AA742" s="14" t="str">
        <x:v>3529106677</x:v>
      </x:c>
      <x:c r="AB742" s="14" t="str">
        <x:v>2026-08-24</x:v>
      </x:c>
      <x:c r="AC742" s="14" t="str"/>
      <x:c r="AD742" s="20" t="str"/>
      <x:c r="AE742" s="14" t="str"/>
      <x:c r="AF742" s="14" t="n">
        <x:v>35</x:v>
      </x:c>
      <x:c r="AG742" s="14" t="str">
        <x:v>I3</x:v>
      </x:c>
      <x:c r="AH742" s="14" t="n">
        <x:v>1</x:v>
      </x:c>
      <x:c r="AI742" s="14" t="n">
        <x:v>1</x:v>
      </x:c>
      <x:c r="AJ742" s="18" t="n">
        <x:v>18700</x:v>
      </x:c>
      <x:c r="AK742" s="14" t="str">
        <x:v>https://prozorro.gov.ua/tender/UA-2026-04-17-004350-a</x:v>
      </x:c>
      <x:c r="AL742" s="19" t="n">
        <x:v>46129.35597673611</x:v>
      </x:c>
      <x:c r="AM742" s="19" t="n">
        <x:v>46387.39959490741</x:v>
      </x:c>
      <x:c r="AN742" s="15" t="str">
        <x:v>Мости / інфраструктура</x:v>
      </x:c>
      <x:c r="AO742" s="15" t="str">
        <x:v>not_found_in_top_search</x:v>
      </x:c>
    </x:row>
    <x:row r="743">
      <x:c r="A743" s="14" t="str">
        <x:v>W3-471</x:v>
      </x:c>
      <x:c r="B743" s="14" t="str">
        <x:v>Prozorro winners — 24.08</x:v>
      </x:c>
      <x:c r="C743" s="14" t="str">
        <x:v>ВІТИК ТАРАС РОМАНОВИЧ</x:v>
      </x:c>
      <x:c r="D743" s="14" t="str">
        <x:v>Безпека / СКУД / CCTV</x:v>
      </x:c>
      <x:c r="E743" s="14" t="str">
        <x:v>Expansion discovery</x:v>
      </x:c>
      <x:c r="F743" s="17" t="str">
        <x:v>D3</x:v>
      </x:c>
      <x:c r="G743" s="14" t="str"/>
      <x:c r="H743" s="14" t="str">
        <x:v>Discovery розширення — 2 тижні</x:v>
      </x:c>
      <x:c r="I743" s="16" t="n">
        <x:v>1</x:v>
      </x:c>
      <x:c r="J743" s="16" t="n">
        <x:v>5</x:v>
      </x:c>
      <x:c r="K743" s="16" t="n">
        <x:v>4</x:v>
      </x:c>
      <x:c r="L743" s="16" t="n">
        <x:v>1</x:v>
      </x:c>
      <x:c r="M743" s="16" t="n">
        <x:v>5</x:v>
      </x:c>
      <x:c r="N743" s="16" t="n">
        <x:v>3</x:v>
      </x:c>
      <x:c r="O743" s="16" t="n">
        <x:v>5</x:v>
      </x:c>
      <x:c r="P743" s="16" t="n">
        <x:f>IF(COUNT(I743:O743)&lt;7,"",I743*8+J743*3+K743*2+L743*2+M743*2+N743*2+O743)</x:f>
        <x:v>54</x:v>
      </x:c>
      <x:c r="Q743" s="16" t="n">
        <x:f>IF(COUNT(J743:O743)&lt;6,"",J743*5+K743*4+M743*4+L743*3+N743*2+O743*2)</x:f>
        <x:v>80</x:v>
      </x:c>
      <x:c r="R743" s="14" t="str">
        <x:v>high</x:v>
      </x:c>
      <x:c r="S743" s="14" t="str">
        <x:v>official_prozorro_award_2025_2026</x:v>
      </x:c>
      <x:c r="T743" s="14" t="str">
        <x:v>official_prozorro_api</x:v>
      </x:c>
      <x:c r="U743" s="14" t="str">
        <x:v>Не контактували</x:v>
      </x:c>
      <x:c r="V743" s="15" t="str">
        <x:v>Workflow-audit outreach по UA-2026-04-07-008585-a; попросити 1 пакет здачі та вимоги проєкту</x:v>
      </x:c>
      <x:c r="W743" s="15" t="str">
        <x:v>Власник / виконавець; відповідальний за договір</x:v>
      </x:c>
      <x:c r="X743" s="15" t="str">
        <x:v>1 підтверджених перемог/договорів у Prozorro на 14 387 грн; 1 проєктів зі строком виконання не раніше 24.08.2026.</x:v>
      </x:c>
      <x:c r="Y743" s="15" t="str">
        <x:v>Послуги з монтажу та налагоджування системи контролю доступу по вул.Стефаника,2; строк до 2026-12-31. Попросити один знеособлений пакет здачі за цим workflow.</x:v>
      </x:c>
      <x:c r="Z743" s="15" t="str">
        <x:v>https://prozorro.gov.ua/tender/UA-2026-04-07-008585-a</x:v>
      </x:c>
      <x:c r="AA743" s="14" t="str">
        <x:v>2746811436</x:v>
      </x:c>
      <x:c r="AB743" s="14" t="str">
        <x:v>2026-08-24</x:v>
      </x:c>
      <x:c r="AC743" s="14" t="str"/>
      <x:c r="AD743" s="20" t="str"/>
      <x:c r="AE743" s="14" t="str"/>
      <x:c r="AF743" s="14" t="n">
        <x:v>35</x:v>
      </x:c>
      <x:c r="AG743" s="14" t="str">
        <x:v>I3</x:v>
      </x:c>
      <x:c r="AH743" s="14" t="n">
        <x:v>1</x:v>
      </x:c>
      <x:c r="AI743" s="14" t="n">
        <x:v>1</x:v>
      </x:c>
      <x:c r="AJ743" s="18" t="n">
        <x:v>14387.31</x:v>
      </x:c>
      <x:c r="AK743" s="14" t="str">
        <x:v>https://prozorro.gov.ua/tender/UA-2026-04-07-008585-a</x:v>
      </x:c>
      <x:c r="AL743" s="19" t="n">
        <x:v>46119.47239679398</x:v>
      </x:c>
      <x:c r="AM743" s="19" t="n">
        <x:v>46387</x:v>
      </x:c>
      <x:c r="AN743" s="15" t="str">
        <x:v>Безпека / СКУД / CCTV</x:v>
      </x:c>
      <x:c r="AO743" s="15" t="str">
        <x:v>not_found_in_top_search</x:v>
      </x:c>
    </x:row>
    <x:row r="744">
      <x:c r="A744" s="14" t="str">
        <x:v>W3-472</x:v>
      </x:c>
      <x:c r="B744" s="14" t="str">
        <x:v>Prozorro winners — 24.08</x:v>
      </x:c>
      <x:c r="C744" s="14" t="str">
        <x:v>ФОП "Іванов Р.О."</x:v>
      </x:c>
      <x:c r="D744" s="14" t="str">
        <x:v>Промисловий холод</x:v>
      </x:c>
      <x:c r="E744" s="14" t="str">
        <x:v>Expansion discovery</x:v>
      </x:c>
      <x:c r="F744" s="17" t="str">
        <x:v>D3</x:v>
      </x:c>
      <x:c r="G744" s="14" t="str"/>
      <x:c r="H744" s="14" t="str">
        <x:v>Discovery розширення — 2 тижні</x:v>
      </x:c>
      <x:c r="I744" s="16" t="n">
        <x:v>1</x:v>
      </x:c>
      <x:c r="J744" s="16" t="n">
        <x:v>5</x:v>
      </x:c>
      <x:c r="K744" s="16" t="n">
        <x:v>4</x:v>
      </x:c>
      <x:c r="L744" s="16" t="n">
        <x:v>1</x:v>
      </x:c>
      <x:c r="M744" s="16" t="n">
        <x:v>5</x:v>
      </x:c>
      <x:c r="N744" s="16" t="n">
        <x:v>3</x:v>
      </x:c>
      <x:c r="O744" s="16" t="n">
        <x:v>5</x:v>
      </x:c>
      <x:c r="P744" s="16" t="n">
        <x:f>IF(COUNT(I744:O744)&lt;7,"",I744*8+J744*3+K744*2+L744*2+M744*2+N744*2+O744)</x:f>
        <x:v>54</x:v>
      </x:c>
      <x:c r="Q744" s="16" t="n">
        <x:f>IF(COUNT(J744:O744)&lt;6,"",J744*5+K744*4+M744*4+L744*3+N744*2+O744*2)</x:f>
        <x:v>80</x:v>
      </x:c>
      <x:c r="R744" s="14" t="str">
        <x:v>high</x:v>
      </x:c>
      <x:c r="S744" s="14" t="str">
        <x:v>official_prozorro_award_2025_2026</x:v>
      </x:c>
      <x:c r="T744" s="14" t="str">
        <x:v>official_prozorro_api</x:v>
      </x:c>
      <x:c r="U744" s="14" t="str">
        <x:v>Не контактували</x:v>
      </x:c>
      <x:c r="V744" s="15" t="str">
        <x:v>Workflow-audit outreach по UA-2026-03-03-000950-a; попросити 1 пакет здачі та вимоги проєкту</x:v>
      </x:c>
      <x:c r="W744" s="15" t="str">
        <x:v>Власник / виконавець; відповідальний за договір</x:v>
      </x:c>
      <x:c r="X744" s="15" t="str">
        <x:v>1 підтверджених перемог/договорів у Prozorro на 11 500 грн; 1 проєктів зі строком виконання не раніше 24.08.2026.</x:v>
      </x:c>
      <x:c r="Y744" s="15" t="str">
        <x:v>Монтаж та технічне обслуговування холодильного обладнання (холодильний кулбаїн Olmo ECO-COOL S3.1k).; строк до 2026-12-21. Попросити один знеособлений пакет здачі за цим workflow.</x:v>
      </x:c>
      <x:c r="Z744" s="15" t="str">
        <x:v>https://prozorro.gov.ua/tender/UA-2026-03-03-000950-a</x:v>
      </x:c>
      <x:c r="AA744" s="14" t="str">
        <x:v>2645312176</x:v>
      </x:c>
      <x:c r="AB744" s="14" t="str">
        <x:v>2026-08-24</x:v>
      </x:c>
      <x:c r="AC744" s="14" t="str"/>
      <x:c r="AD744" s="20" t="str"/>
      <x:c r="AE744" s="14" t="str"/>
      <x:c r="AF744" s="14" t="n">
        <x:v>35</x:v>
      </x:c>
      <x:c r="AG744" s="14" t="str">
        <x:v>I3</x:v>
      </x:c>
      <x:c r="AH744" s="14" t="n">
        <x:v>1</x:v>
      </x:c>
      <x:c r="AI744" s="14" t="n">
        <x:v>1</x:v>
      </x:c>
      <x:c r="AJ744" s="18" t="n">
        <x:v>11500</x:v>
      </x:c>
      <x:c r="AK744" s="14" t="str">
        <x:v>https://prozorro.gov.ua/tender/UA-2026-03-03-000950-a</x:v>
      </x:c>
      <x:c r="AL744" s="19" t="n">
        <x:v>46084.31268465278</x:v>
      </x:c>
      <x:c r="AM744" s="19" t="n">
        <x:v>46377.31267361111</x:v>
      </x:c>
      <x:c r="AN744" s="15" t="str">
        <x:v>Промисловий холод</x:v>
      </x:c>
      <x:c r="AO744" s="15" t="str">
        <x:v>not_found_in_top_search</x:v>
      </x:c>
    </x:row>
    <x:row r="745">
      <x:c r="A745" s="14" t="str">
        <x:v>W3-473</x:v>
      </x:c>
      <x:c r="B745" s="14" t="str">
        <x:v>Prozorro winners — 24.08</x:v>
      </x:c>
      <x:c r="C745" s="14" t="str">
        <x:v>ПОДОЛЯКА АНАТОЛІЙ МИКОЛАЙОВИЧ</x:v>
      </x:c>
      <x:c r="D745" s="14" t="str">
        <x:v>Електромонтаж</x:v>
      </x:c>
      <x:c r="E745" s="14" t="str">
        <x:v>Pilot now</x:v>
      </x:c>
      <x:c r="F745" s="17" t="str">
        <x:v>P3</x:v>
      </x:c>
      <x:c r="G745" s="14" t="str"/>
      <x:c r="H745" s="14" t="str">
        <x:v>Пілот зараз — Н.15</x:v>
      </x:c>
      <x:c r="I745" s="16" t="n">
        <x:v>5</x:v>
      </x:c>
      <x:c r="J745" s="16" t="n">
        <x:v>5</x:v>
      </x:c>
      <x:c r="K745" s="16" t="n">
        <x:v>5</x:v>
      </x:c>
      <x:c r="L745" s="16" t="n">
        <x:v>1</x:v>
      </x:c>
      <x:c r="M745" s="16" t="n">
        <x:v>5</x:v>
      </x:c>
      <x:c r="N745" s="16" t="n">
        <x:v>3</x:v>
      </x:c>
      <x:c r="O745" s="16" t="n">
        <x:v>5</x:v>
      </x:c>
      <x:c r="P745" s="16" t="n">
        <x:f>IF(COUNT(I745:O745)&lt;7,"",I745*8+J745*3+K745*2+L745*2+M745*2+N745*2+O745)</x:f>
        <x:v>88</x:v>
      </x:c>
      <x:c r="Q745" s="16" t="n">
        <x:f>IF(COUNT(J745:O745)&lt;6,"",J745*5+K745*4+M745*4+L745*3+N745*2+O745*2)</x:f>
        <x:v>84</x:v>
      </x:c>
      <x:c r="R745" s="14" t="str">
        <x:v>high</x:v>
      </x:c>
      <x:c r="S745" s="14" t="str">
        <x:v>official_prozorro_award_2025_2026</x:v>
      </x:c>
      <x:c r="T745" s="14" t="str">
        <x:v>official_prozorro_api</x:v>
      </x:c>
      <x:c r="U745" s="14" t="str">
        <x:v>Не контактували</x:v>
      </x:c>
      <x:c r="V745" s="15" t="str">
        <x:v>Персоналізований free-pilot outreach по UA-2026-01-09-007123-a; попросити 1 пакет Н.14/Н.15</x:v>
      </x:c>
      <x:c r="W745" s="15" t="str">
        <x:v>Власник / виконавець; відповідальний за договір</x:v>
      </x:c>
      <x:c r="X745" s="15" t="str">
        <x:v>2 підтверджених перемог/договорів у Prozorro на 8 300 грн; 0 проєктів зі строком виконання не раніше 24.08.2026.</x:v>
      </x:c>
      <x:c r="Y745"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 строк до 2026-01-31. Попросити один знеособлений пакет здачі за цим workflow.</x:v>
      </x:c>
      <x:c r="Z745" s="15" t="str">
        <x:v>https://prozorro.gov.ua/tender/UA-2026-01-09-007123-a</x:v>
      </x:c>
      <x:c r="AA745" s="14" t="str">
        <x:v>2099304597</x:v>
      </x:c>
      <x:c r="AB745" s="14" t="str">
        <x:v>2026-08-24</x:v>
      </x:c>
      <x:c r="AC745" s="14" t="str"/>
      <x:c r="AD745" s="20" t="str"/>
      <x:c r="AE745" s="14" t="str"/>
      <x:c r="AF745" s="14" t="n">
        <x:v>35</x:v>
      </x:c>
      <x:c r="AG745" s="14" t="str">
        <x:v>I3</x:v>
      </x:c>
      <x:c r="AH745" s="14" t="n">
        <x:v>2</x:v>
      </x:c>
      <x:c r="AI745" s="14" t="n">
        <x:v>0</x:v>
      </x:c>
      <x:c r="AJ745" s="18" t="n">
        <x:v>8300</x:v>
      </x:c>
      <x:c r="AK745" s="14" t="str">
        <x:v>https://prozorro.gov.ua/tender/UA-2026-01-09-007123-a</x:v>
      </x:c>
      <x:c r="AL745" s="19" t="n">
        <x:v>46031.57680336806</x:v>
      </x:c>
      <x:c r="AM745" s="19" t="n">
        <x:v>46053</x:v>
      </x:c>
      <x:c r="AN745" s="15" t="str">
        <x:v>Електромонтаж</x:v>
      </x:c>
      <x:c r="AO745" s="15" t="str">
        <x:v>not_found_in_top_search</x:v>
      </x:c>
    </x:row>
    <x:row r="746">
      <x:c r="A746" s="14" t="str">
        <x:v>W3-474</x:v>
      </x:c>
      <x:c r="B746" s="14" t="str">
        <x:v>Prozorro winners — 24.08</x:v>
      </x:c>
      <x:c r="C746" s="14" t="str">
        <x:v>ТОВАРИСТВО З ОБМЕЖЕНОЮ ВІД­ПО­ВІД­АЛЬ­НІ­СТЮ «БУДІВЕЛЬНІ СПОРУДИ МІСТА»</x:v>
      </x:c>
      <x:c r="D746" s="14" t="str">
        <x:v>ГНБ / безтраншейні роботи</x:v>
      </x:c>
      <x:c r="E746" s="14" t="str">
        <x:v>Expansion discovery</x:v>
      </x:c>
      <x:c r="F746" s="17" t="str">
        <x:v>D3</x:v>
      </x:c>
      <x:c r="G746" s="14" t="str"/>
      <x:c r="H746" s="14" t="str">
        <x:v>Discovery розширення — 2 тижні</x:v>
      </x:c>
      <x:c r="I746" s="16" t="n">
        <x:v>1</x:v>
      </x:c>
      <x:c r="J746" s="16" t="n">
        <x:v>5</x:v>
      </x:c>
      <x:c r="K746" s="16" t="n">
        <x:v>4</x:v>
      </x:c>
      <x:c r="L746" s="16" t="n">
        <x:v>2</x:v>
      </x:c>
      <x:c r="M746" s="16" t="n">
        <x:v>5</x:v>
      </x:c>
      <x:c r="N746" s="16" t="n">
        <x:v>5</x:v>
      </x:c>
      <x:c r="O746" s="16" t="n">
        <x:v>5</x:v>
      </x:c>
      <x:c r="P746" s="16" t="n">
        <x:f>IF(COUNT(I746:O746)&lt;7,"",I746*8+J746*3+K746*2+L746*2+M746*2+N746*2+O746)</x:f>
        <x:v>60</x:v>
      </x:c>
      <x:c r="Q746" s="16" t="n">
        <x:f>IF(COUNT(J746:O746)&lt;6,"",J746*5+K746*4+M746*4+L746*3+N746*2+O746*2)</x:f>
        <x:v>87</x:v>
      </x:c>
      <x:c r="R746" s="14" t="str">
        <x:v>high</x:v>
      </x:c>
      <x:c r="S746" s="14" t="str">
        <x:v>official_prozorro_award_2025_2026</x:v>
      </x:c>
      <x:c r="T746" s="14" t="str">
        <x:v>official_prozorro_api</x:v>
      </x:c>
      <x:c r="U746" s="14" t="str">
        <x:v>Не контактували</x:v>
      </x:c>
      <x:c r="V746" s="15" t="str">
        <x:v>Workflow-audit outreach по UA-2025-12-18-018759-a; попросити 1 пакет здачі та вимоги проєкту</x:v>
      </x:c>
      <x:c r="W746" s="15" t="str">
        <x:v>Власник / директор; керівник ПТО; відповідальний за договори</x:v>
      </x:c>
      <x:c r="X746" s="15" t="str">
        <x:v>2 підтверджених перемог/договорів у Prozorro на 333 690 грн; 0 проєктів зі строком виконання не раніше 24.08.2026.</x:v>
      </x:c>
      <x:c r="Y746" s="15" t="str">
        <x:v>Поточний ремонт частини водопроводу по вул. Житомирська, 85 методом горизонтально-направленого буріння в м. Звягель Житомирської області; строк до 2025-12-19. Попросити один знеособлений пакет здачі за цим workflow.</x:v>
      </x:c>
      <x:c r="Z746" s="15" t="str">
        <x:v>https://prozorro.gov.ua/tender/UA-2025-12-18-018759-a</x:v>
      </x:c>
      <x:c r="AA746" s="14" t="str">
        <x:v>43037877</x:v>
      </x:c>
      <x:c r="AB746" s="14" t="str">
        <x:v>2026-08-24</x:v>
      </x:c>
      <x:c r="AC746" s="14" t="str"/>
      <x:c r="AD746" s="20" t="str"/>
      <x:c r="AE746" s="14" t="str"/>
      <x:c r="AF746" s="14" t="n">
        <x:v>34</x:v>
      </x:c>
      <x:c r="AG746" s="14" t="str">
        <x:v>I3</x:v>
      </x:c>
      <x:c r="AH746" s="14" t="n">
        <x:v>2</x:v>
      </x:c>
      <x:c r="AI746" s="14" t="n">
        <x:v>0</x:v>
      </x:c>
      <x:c r="AJ746" s="18" t="n">
        <x:v>333690</x:v>
      </x:c>
      <x:c r="AK746" s="14" t="str">
        <x:v>https://prozorro.gov.ua/tender/UA-2025-12-18-018759-a</x:v>
      </x:c>
      <x:c r="AL746" s="19" t="n">
        <x:v>46009.57103386574</x:v>
      </x:c>
      <x:c r="AM746" s="19" t="n">
        <x:v>46010</x:v>
      </x:c>
      <x:c r="AN746" s="15" t="str">
        <x:v>ГНБ / безтраншейні роботи</x:v>
      </x:c>
      <x:c r="AO746" s="15" t="str">
        <x:v>not_found_in_top_search</x:v>
      </x:c>
    </x:row>
    <x:row r="747">
      <x:c r="A747" s="14" t="str">
        <x:v>W3-475</x:v>
      </x:c>
      <x:c r="B747" s="14" t="str">
        <x:v>Prozorro winners — 24.08</x:v>
      </x:c>
      <x:c r="C747" s="14" t="str">
        <x:v>ФОП АЛФІМОВ ІГОР ДМИТРОВИЧ</x:v>
      </x:c>
      <x:c r="D747" s="14" t="str">
        <x:v>Електромонтаж</x:v>
      </x:c>
      <x:c r="E747" s="14" t="str">
        <x:v>Pilot now</x:v>
      </x:c>
      <x:c r="F747" s="17" t="str">
        <x:v>P3</x:v>
      </x:c>
      <x:c r="G747" s="14" t="str"/>
      <x:c r="H747" s="14" t="str">
        <x:v>Пілот зараз — Н.15</x:v>
      </x:c>
      <x:c r="I747" s="16" t="n">
        <x:v>5</x:v>
      </x:c>
      <x:c r="J747" s="16" t="n">
        <x:v>5</x:v>
      </x:c>
      <x:c r="K747" s="16" t="n">
        <x:v>5</x:v>
      </x:c>
      <x:c r="L747" s="16" t="n">
        <x:v>2</x:v>
      </x:c>
      <x:c r="M747" s="16" t="n">
        <x:v>5</x:v>
      </x:c>
      <x:c r="N747" s="16" t="n">
        <x:v>3</x:v>
      </x:c>
      <x:c r="O747" s="16" t="n">
        <x:v>5</x:v>
      </x:c>
      <x:c r="P747" s="16" t="n">
        <x:f>IF(COUNT(I747:O747)&lt;7,"",I747*8+J747*3+K747*2+L747*2+M747*2+N747*2+O747)</x:f>
        <x:v>90</x:v>
      </x:c>
      <x:c r="Q747" s="16" t="n">
        <x:f>IF(COUNT(J747:O747)&lt;6,"",J747*5+K747*4+M747*4+L747*3+N747*2+O747*2)</x:f>
        <x:v>87</x:v>
      </x:c>
      <x:c r="R747" s="14" t="str">
        <x:v>high</x:v>
      </x:c>
      <x:c r="S747" s="14" t="str">
        <x:v>official_prozorro_award_2025_2026</x:v>
      </x:c>
      <x:c r="T747" s="14" t="str">
        <x:v>official_prozorro_api</x:v>
      </x:c>
      <x:c r="U747" s="14" t="str">
        <x:v>Не контактували</x:v>
      </x:c>
      <x:c r="V747" s="15" t="str">
        <x:v>Персоналізований free-pilot outreach по UA-2026-04-21-004189-a; попросити 1 пакет Н.14/Н.15</x:v>
      </x:c>
      <x:c r="W747" s="15" t="str">
        <x:v>Власник / виконавець; відповідальний за договір</x:v>
      </x:c>
      <x:c r="X747" s="15" t="str">
        <x:v>1 підтверджених перемог/договорів у Prozorro на 198 570 грн; 0 проєктів зі строком виконання не раніше 24.08.2026.</x:v>
      </x:c>
      <x:c r="Y74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 строк до 2026-05-15. Попросити один знеособлений пакет здачі за цим workflow.</x:v>
      </x:c>
      <x:c r="Z747" s="15" t="str">
        <x:v>https://prozorro.gov.ua/tender/UA-2026-04-21-004189-a</x:v>
      </x:c>
      <x:c r="AA747" s="14" t="str">
        <x:v>3413506156</x:v>
      </x:c>
      <x:c r="AB747" s="14" t="str">
        <x:v>2026-08-24</x:v>
      </x:c>
      <x:c r="AC747" s="14" t="str"/>
      <x:c r="AD747" s="20" t="str"/>
      <x:c r="AE747" s="14" t="str"/>
      <x:c r="AF747" s="14" t="n">
        <x:v>34</x:v>
      </x:c>
      <x:c r="AG747" s="14" t="str">
        <x:v>I3</x:v>
      </x:c>
      <x:c r="AH747" s="14" t="n">
        <x:v>1</x:v>
      </x:c>
      <x:c r="AI747" s="14" t="n">
        <x:v>0</x:v>
      </x:c>
      <x:c r="AJ747" s="18" t="n">
        <x:v>198569.6</x:v>
      </x:c>
      <x:c r="AK747" s="14" t="str">
        <x:v>https://prozorro.gov.ua/tender/UA-2026-04-21-004189-a</x:v>
      </x:c>
      <x:c r="AL747" s="19" t="n">
        <x:v>46133.36862380787</x:v>
      </x:c>
      <x:c r="AM747" s="19" t="n">
        <x:v>46157</x:v>
      </x:c>
      <x:c r="AN747" s="15" t="str">
        <x:v>Електромонтаж</x:v>
      </x:c>
      <x:c r="AO747" s="15" t="str">
        <x:v>not_found_in_top_search</x:v>
      </x:c>
    </x:row>
    <x:row r="748">
      <x:c r="A748" s="14" t="str">
        <x:v>W3-476</x:v>
      </x:c>
      <x:c r="B748" s="14" t="str">
        <x:v>Prozorro winners — 24.08</x:v>
      </x:c>
      <x:c r="C748" s="14" t="str">
        <x:v>ПП "Компанія Інсталбуд"</x:v>
      </x:c>
      <x:c r="D748" s="14" t="str">
        <x:v>ГНБ / безтраншейні роботи</x:v>
      </x:c>
      <x:c r="E748" s="14" t="str">
        <x:v>Expansion discovery</x:v>
      </x:c>
      <x:c r="F748" s="17" t="str">
        <x:v>D3</x:v>
      </x:c>
      <x:c r="G748" s="14" t="str"/>
      <x:c r="H748" s="14" t="str">
        <x:v>Discovery розширення — 2 тижні</x:v>
      </x:c>
      <x:c r="I748" s="16" t="n">
        <x:v>1</x:v>
      </x:c>
      <x:c r="J748" s="16" t="n">
        <x:v>5</x:v>
      </x:c>
      <x:c r="K748" s="16" t="n">
        <x:v>4</x:v>
      </x:c>
      <x:c r="L748" s="16" t="n">
        <x:v>2</x:v>
      </x:c>
      <x:c r="M748" s="16" t="n">
        <x:v>5</x:v>
      </x:c>
      <x:c r="N748" s="16" t="n">
        <x:v>5</x:v>
      </x:c>
      <x:c r="O748" s="16" t="n">
        <x:v>5</x:v>
      </x:c>
      <x:c r="P748" s="16" t="n">
        <x:f>IF(COUNT(I748:O748)&lt;7,"",I748*8+J748*3+K748*2+L748*2+M748*2+N748*2+O748)</x:f>
        <x:v>60</x:v>
      </x:c>
      <x:c r="Q748" s="16" t="n">
        <x:f>IF(COUNT(J748:O748)&lt;6,"",J748*5+K748*4+M748*4+L748*3+N748*2+O748*2)</x:f>
        <x:v>87</x:v>
      </x:c>
      <x:c r="R748" s="14" t="str">
        <x:v>high</x:v>
      </x:c>
      <x:c r="S748" s="14" t="str">
        <x:v>official_prozorro_award_2025_2026</x:v>
      </x:c>
      <x:c r="T748" s="14" t="str">
        <x:v>official_prozorro_api</x:v>
      </x:c>
      <x:c r="U748" s="14" t="str">
        <x:v>Не контактували</x:v>
      </x:c>
      <x:c r="V748" s="15" t="str">
        <x:v>Повторне звернення з новим тендерним сигналом UA-2024-12-09-009669-a; попросити 1 пакет здачі</x:v>
      </x:c>
      <x:c r="W748" s="15" t="str">
        <x:v>Власник / директор; керівник ПТО; відповідальний за договори</x:v>
      </x:c>
      <x:c r="X748" s="15" t="str">
        <x:v>2 підтверджених перемог/договорів у Prozorro на 148 477 грн; 0 проєктів зі строком виконання не раніше 24.08.2026.</x:v>
      </x:c>
      <x:c r="Y748" s="15" t="str">
        <x:v>Поточний ремонт водопроводу по вул. Сокальська, 2 в м.Шептицький Львівської області (Перехід доріг методом горизонтально-направленого буріння); строк до 2025-09-30. Попросити один знеособлений пакет здачі за цим workflow.</x:v>
      </x:c>
      <x:c r="Z748" s="15" t="str">
        <x:v>https://prozorro.gov.ua/tender/UA-2025-09-02-003676-a</x:v>
      </x:c>
      <x:c r="AA748" s="14" t="str">
        <x:v>33465397</x:v>
      </x:c>
      <x:c r="AB748" s="14" t="str">
        <x:v>2026-08-24</x:v>
      </x:c>
      <x:c r="AC748" s="14" t="str"/>
      <x:c r="AD748" s="20" t="str"/>
      <x:c r="AE748" s="14" t="str"/>
      <x:c r="AF748" s="14" t="n">
        <x:v>59</x:v>
      </x:c>
      <x:c r="AG748" s="14" t="str">
        <x:v>I2</x:v>
      </x:c>
      <x:c r="AH748" s="14" t="n">
        <x:v>6</x:v>
      </x:c>
      <x:c r="AI748" s="14" t="n">
        <x:v>0</x:v>
      </x:c>
      <x:c r="AJ748" s="18" t="n">
        <x:v>1430082.49</x:v>
      </x:c>
      <x:c r="AK748" s="14" t="str">
        <x:v>https://prozorro.gov.ua/tender/UA-2024-12-09-009669-a</x:v>
      </x:c>
      <x:c r="AL748" s="19" t="n">
        <x:v>45635.56451888889</x:v>
      </x:c>
      <x:c r="AM748" s="19" t="n">
        <x:v>45657.47255787037</x:v>
      </x:c>
      <x:c r="AN748" s="15" t="str">
        <x:v>ГНБ / безтраншейні роботи</x:v>
      </x:c>
      <x:c r="AO748" s="15" t="str">
        <x:v>not_found_in_top_search</x:v>
      </x:c>
    </x:row>
    <x:row r="749">
      <x:c r="A749" s="14" t="str">
        <x:v>W3-477</x:v>
      </x:c>
      <x:c r="B749" s="14" t="str">
        <x:v>Prozorro winners — 24.08</x:v>
      </x:c>
      <x:c r="C749" s="14" t="str">
        <x:v>ТОВ "ВІННИЦЯ БЛАГОУСТРІЙ"</x:v>
      </x:c>
      <x:c r="D749" s="14" t="str">
        <x:v>ГНБ / безтраншейні роботи</x:v>
      </x:c>
      <x:c r="E749" s="14" t="str">
        <x:v>Expansion discovery</x:v>
      </x:c>
      <x:c r="F749" s="17" t="str">
        <x:v>D3</x:v>
      </x:c>
      <x:c r="G749" s="14" t="str"/>
      <x:c r="H749" s="14" t="str">
        <x:v>Discovery розширення — 2 тижні</x:v>
      </x:c>
      <x:c r="I749" s="16" t="n">
        <x:v>1</x:v>
      </x:c>
      <x:c r="J749" s="16" t="n">
        <x:v>5</x:v>
      </x:c>
      <x:c r="K749" s="16" t="n">
        <x:v>4</x:v>
      </x:c>
      <x:c r="L749" s="16" t="n">
        <x:v>3</x:v>
      </x:c>
      <x:c r="M749" s="16" t="n">
        <x:v>5</x:v>
      </x:c>
      <x:c r="N749" s="16" t="n">
        <x:v>5</x:v>
      </x:c>
      <x:c r="O749" s="16" t="n">
        <x:v>5</x:v>
      </x:c>
      <x:c r="P749" s="16" t="n">
        <x:f>IF(COUNT(I749:O749)&lt;7,"",I749*8+J749*3+K749*2+L749*2+M749*2+N749*2+O749)</x:f>
        <x:v>62</x:v>
      </x:c>
      <x:c r="Q749" s="16" t="n">
        <x:f>IF(COUNT(J749:O749)&lt;6,"",J749*5+K749*4+M749*4+L749*3+N749*2+O749*2)</x:f>
        <x:v>90</x:v>
      </x:c>
      <x:c r="R749" s="14" t="str">
        <x:v>high</x:v>
      </x:c>
      <x:c r="S749" s="14" t="str">
        <x:v>official_prozorro_award_2025_2026</x:v>
      </x:c>
      <x:c r="T749" s="14" t="str">
        <x:v>official_prozorro_api</x:v>
      </x:c>
      <x:c r="U749" s="14" t="str">
        <x:v>Не контактували</x:v>
      </x:c>
      <x:c r="V749" s="15" t="str">
        <x:v>Workflow-audit outreach по UA-2025-11-28-001410-a; попросити 1 пакет здачі та вимоги проєкту</x:v>
      </x:c>
      <x:c r="W749" s="15" t="str">
        <x:v>Власник / директор; керівник ПТО; відповідальний за договори</x:v>
      </x:c>
      <x:c r="X749" s="15" t="str">
        <x:v>1 підтверджених перемог/договорів у Prozorro на 850 236 грн; 0 проєктів зі строком виконання не раніше 24.08.2026.</x:v>
      </x:c>
      <x:c r="Y749"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 строк до 2025-12-25. Попросити один знеособлений пакет здачі за цим workflow.</x:v>
      </x:c>
      <x:c r="Z749" s="15" t="str">
        <x:v>https://prozorro.gov.ua/tender/UA-2025-11-28-001410-a</x:v>
      </x:c>
      <x:c r="AA749" s="14" t="str">
        <x:v>41164193</x:v>
      </x:c>
      <x:c r="AB749" s="14" t="str">
        <x:v>2026-08-24</x:v>
      </x:c>
      <x:c r="AC749" s="14" t="str"/>
      <x:c r="AD749" s="20" t="str"/>
      <x:c r="AE749" s="14" t="str"/>
      <x:c r="AF749" s="14" t="n">
        <x:v>33</x:v>
      </x:c>
      <x:c r="AG749" s="14" t="str">
        <x:v>I3</x:v>
      </x:c>
      <x:c r="AH749" s="14" t="n">
        <x:v>1</x:v>
      </x:c>
      <x:c r="AI749" s="14" t="n">
        <x:v>0</x:v>
      </x:c>
      <x:c r="AJ749" s="18" t="n">
        <x:v>850235.84</x:v>
      </x:c>
      <x:c r="AK749" s="14" t="str">
        <x:v>https://prozorro.gov.ua/tender/UA-2025-11-28-001410-a</x:v>
      </x:c>
      <x:c r="AL749" s="19" t="n">
        <x:v>46000.647910300926</x:v>
      </x:c>
      <x:c r="AM749" s="19" t="n">
        <x:v>46016</x:v>
      </x:c>
      <x:c r="AN749" s="15" t="str">
        <x:v>ГНБ / безтраншейні роботи</x:v>
      </x:c>
      <x:c r="AO749" s="15" t="str">
        <x:v>not_found_in_top_search</x:v>
      </x:c>
    </x:row>
    <x:row r="750">
      <x:c r="A750" s="14" t="str">
        <x:v>W3-478</x:v>
      </x:c>
      <x:c r="B750" s="14" t="str">
        <x:v>Prozorro winners — 24.08</x:v>
      </x:c>
      <x:c r="C750" s="14" t="str">
        <x:v>ПрАТ Львівське спеціалізоване будівельно-монтажне управління №1</x:v>
      </x:c>
      <x:c r="D750" s="14" t="str">
        <x:v>ГНБ / безтраншейні роботи</x:v>
      </x:c>
      <x:c r="E750" s="14" t="str">
        <x:v>Expansion discovery</x:v>
      </x:c>
      <x:c r="F750" s="17" t="str">
        <x:v>D3</x:v>
      </x:c>
      <x:c r="G750" s="14" t="str"/>
      <x:c r="H750" s="14" t="str">
        <x:v>Discovery розширення — 2 тижні</x:v>
      </x:c>
      <x:c r="I750" s="16" t="n">
        <x:v>1</x:v>
      </x:c>
      <x:c r="J750" s="16" t="n">
        <x:v>5</x:v>
      </x:c>
      <x:c r="K750" s="16" t="n">
        <x:v>4</x:v>
      </x:c>
      <x:c r="L750" s="16" t="n">
        <x:v>3</x:v>
      </x:c>
      <x:c r="M750" s="16" t="n">
        <x:v>5</x:v>
      </x:c>
      <x:c r="N750" s="16" t="n">
        <x:v>5</x:v>
      </x:c>
      <x:c r="O750" s="16" t="n">
        <x:v>5</x:v>
      </x:c>
      <x:c r="P750" s="16" t="n">
        <x:f>IF(COUNT(I750:O750)&lt;7,"",I750*8+J750*3+K750*2+L750*2+M750*2+N750*2+O750)</x:f>
        <x:v>62</x:v>
      </x:c>
      <x:c r="Q750" s="16" t="n">
        <x:f>IF(COUNT(J750:O750)&lt;6,"",J750*5+K750*4+M750*4+L750*3+N750*2+O750*2)</x:f>
        <x:v>90</x:v>
      </x:c>
      <x:c r="R750" s="14" t="str">
        <x:v>high</x:v>
      </x:c>
      <x:c r="S750" s="14" t="str">
        <x:v>official_prozorro_award_2025_2026</x:v>
      </x:c>
      <x:c r="T750" s="14" t="str">
        <x:v>official_prozorro_api</x:v>
      </x:c>
      <x:c r="U750" s="14" t="str">
        <x:v>Не контактували</x:v>
      </x:c>
      <x:c r="V750" s="15" t="str">
        <x:v>Workflow-audit outreach по UA-2025-08-18-011728-a; попросити 1 пакет здачі та вимоги проєкту</x:v>
      </x:c>
      <x:c r="W750" s="15" t="str">
        <x:v>Власник / директор; керівник ПТО; відповідальний за договори</x:v>
      </x:c>
      <x:c r="X750" s="15" t="str">
        <x:v>1 підтверджених перемог/договорів у Prozorro на 571 027 грн; 0 проєктів зі строком виконання не раніше 24.08.2026.</x:v>
      </x:c>
      <x:c r="Y750"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 строк до 2025-12-31. Попросити один знеособлений пакет здачі за цим workflow.</x:v>
      </x:c>
      <x:c r="Z750" s="15" t="str">
        <x:v>https://prozorro.gov.ua/tender/UA-2025-08-18-011728-a</x:v>
      </x:c>
      <x:c r="AA750" s="14" t="str">
        <x:v>03335511</x:v>
      </x:c>
      <x:c r="AB750" s="14" t="str">
        <x:v>2026-08-24</x:v>
      </x:c>
      <x:c r="AC750" s="14" t="str"/>
      <x:c r="AD750" s="20" t="str"/>
      <x:c r="AE750" s="14" t="str"/>
      <x:c r="AF750" s="14" t="n">
        <x:v>33</x:v>
      </x:c>
      <x:c r="AG750" s="14" t="str">
        <x:v>I3</x:v>
      </x:c>
      <x:c r="AH750" s="14" t="n">
        <x:v>1</x:v>
      </x:c>
      <x:c r="AI750" s="14" t="n">
        <x:v>0</x:v>
      </x:c>
      <x:c r="AJ750" s="18" t="n">
        <x:v>571026.58</x:v>
      </x:c>
      <x:c r="AK750" s="14" t="str">
        <x:v>https://prozorro.gov.ua/tender/UA-2025-08-18-011728-a</x:v>
      </x:c>
      <x:c r="AL750" s="19" t="n">
        <x:v>45908.623008194445</x:v>
      </x:c>
      <x:c r="AM750" s="19" t="n">
        <x:v>46022</x:v>
      </x:c>
      <x:c r="AN750" s="15" t="str">
        <x:v>ГНБ / безтраншейні роботи</x:v>
      </x:c>
      <x:c r="AO750" s="15" t="str">
        <x:v>not_found_in_top_search</x:v>
      </x:c>
    </x:row>
    <x:row r="751">
      <x:c r="A751" s="14" t="str">
        <x:v>W3-479</x:v>
      </x:c>
      <x:c r="B751" s="14" t="str">
        <x:v>Prozorro winners — 24.08</x:v>
      </x:c>
      <x:c r="C751" s="14" t="str">
        <x:v>УПРАВЛІННЯ ПОЛІЦІЇ ОХОРОНИ В КИЇВСЬКІЙ ОБЛАСТІ</x:v>
      </x:c>
      <x:c r="D751" s="14" t="str">
        <x:v>Газопостачання / котельні</x:v>
      </x:c>
      <x:c r="E751" s="14" t="str">
        <x:v>Expansion discovery</x:v>
      </x:c>
      <x:c r="F751" s="17" t="str">
        <x:v>D3</x:v>
      </x:c>
      <x:c r="G751" s="14" t="str"/>
      <x:c r="H751" s="14" t="str">
        <x:v>Discovery розширення — 2 тижні</x:v>
      </x:c>
      <x:c r="I751" s="16" t="n">
        <x:v>1</x:v>
      </x:c>
      <x:c r="J751" s="16" t="n">
        <x:v>5</x:v>
      </x:c>
      <x:c r="K751" s="16" t="n">
        <x:v>4</x:v>
      </x:c>
      <x:c r="L751" s="16" t="n">
        <x:v>1</x:v>
      </x:c>
      <x:c r="M751" s="16" t="n">
        <x:v>5</x:v>
      </x:c>
      <x:c r="N751" s="16" t="n">
        <x:v>5</x:v>
      </x:c>
      <x:c r="O751" s="16" t="n">
        <x:v>5</x:v>
      </x:c>
      <x:c r="P751" s="16" t="n">
        <x:f>IF(COUNT(I751:O751)&lt;7,"",I751*8+J751*3+K751*2+L751*2+M751*2+N751*2+O751)</x:f>
        <x:v>58</x:v>
      </x:c>
      <x:c r="Q751" s="16" t="n">
        <x:f>IF(COUNT(J751:O751)&lt;6,"",J751*5+K751*4+M751*4+L751*3+N751*2+O751*2)</x:f>
        <x:v>84</x:v>
      </x:c>
      <x:c r="R751" s="14" t="str">
        <x:v>high</x:v>
      </x:c>
      <x:c r="S751" s="14" t="str">
        <x:v>official_prozorro_award_2025_2026</x:v>
      </x:c>
      <x:c r="T751" s="14" t="str">
        <x:v>official_prozorro_api</x:v>
      </x:c>
      <x:c r="U751" s="14" t="str">
        <x:v>Не контактували</x:v>
      </x:c>
      <x:c r="V751" s="15" t="str">
        <x:v>Повторне звернення з новим тендерним сигналом UA-2026-04-14-008013-a; попросити 1 пакет здачі</x:v>
      </x:c>
      <x:c r="W751" s="15" t="str">
        <x:v>Власник / директор; керівник ПТО; відповідальний за договори</x:v>
      </x:c>
      <x:c r="X751" s="15" t="str">
        <x:v>1 підтверджених перемог/договорів у Prozorro на 88 689 грн; 0 проєктів зі строком виконання не раніше 24.08.2026.</x:v>
      </x:c>
      <x:c r="Y751" s="15" t="str">
        <x:v>Монтаж, пусконалагоджування охоронно-тривожної системи сигналізації на об'єкті: котельня по вулиці Київський Шлях, 39-б; котельня по вулиці Нижній Вал, 1-а; котельня по вулиці Княгині Ольги, 1-г; котельня по вулиці Глібова, 3; котельня по вулиці Володимира Момота, 42-б; котельня по вулиці Соборна, 8-а; котельня по вулиці Привокзальна, 2-г; котельня по вулиці Соцмістечко, 242
(45310000-3	Електромонтажні роботи); строк до 2026-05-30. Попросити один знеособлений пакет здачі за цим workflow.</x:v>
      </x:c>
      <x:c r="Z751" s="15" t="str">
        <x:v>https://prozorro.gov.ua/tender/UA-2026-04-23-013132-a</x:v>
      </x:c>
      <x:c r="AA751" s="14" t="str">
        <x:v>40109063</x:v>
      </x:c>
      <x:c r="AB751" s="14" t="str">
        <x:v>2026-08-24</x:v>
      </x:c>
      <x:c r="AC751" s="14" t="str"/>
      <x:c r="AD751" s="20" t="str"/>
      <x:c r="AE751" s="14" t="str"/>
      <x:c r="AF751" s="14" t="n">
        <x:v>38</x:v>
      </x:c>
      <x:c r="AG751" s="14" t="str">
        <x:v>I3</x:v>
      </x:c>
      <x:c r="AH751" s="14" t="n">
        <x:v>2</x:v>
      </x:c>
      <x:c r="AI751" s="14" t="n">
        <x:v>1</x:v>
      </x:c>
      <x:c r="AJ751" s="18" t="n">
        <x:v>94918.14</x:v>
      </x:c>
      <x:c r="AK751" s="14" t="str">
        <x:v>https://prozorro.gov.ua/tender/UA-2026-04-14-008013-a</x:v>
      </x:c>
      <x:c r="AL751" s="19" t="n">
        <x:v>46126.50086414352</x:v>
      </x:c>
      <x:c r="AM751" s="19" t="n">
        <x:v>46387</x:v>
      </x:c>
      <x:c r="AN751" s="15" t="str">
        <x:v>Газопостачання / котельні; Пожежогасіння</x:v>
      </x:c>
      <x:c r="AO751" s="15" t="str">
        <x:v>not_found_in_top_search</x:v>
      </x:c>
    </x:row>
    <x:row r="752">
      <x:c r="A752" s="14" t="str">
        <x:v>W3-480</x:v>
      </x:c>
      <x:c r="B752" s="14" t="str">
        <x:v>Prozorro winners — 24.08</x:v>
      </x:c>
      <x:c r="C752" s="14" t="str">
        <x:v>ДЕРЖАВНЕ ПІДПРИЄМСТВО "ЖИЛКОМ"</x:v>
      </x:c>
      <x:c r="D752" s="14" t="str">
        <x:v>Зовнішні мережі</x:v>
      </x:c>
      <x:c r="E752" s="14" t="str">
        <x:v>Expansion discovery</x:v>
      </x:c>
      <x:c r="F752" s="17" t="str">
        <x:v>D3</x:v>
      </x:c>
      <x:c r="G752" s="14" t="str"/>
      <x:c r="H752" s="14" t="str">
        <x:v>Discovery розширення — 2 тижні</x:v>
      </x:c>
      <x:c r="I752" s="16" t="n">
        <x:v>1</x:v>
      </x:c>
      <x:c r="J752" s="16" t="n">
        <x:v>5</x:v>
      </x:c>
      <x:c r="K752" s="16" t="n">
        <x:v>4</x:v>
      </x:c>
      <x:c r="L752" s="16" t="n">
        <x:v>1</x:v>
      </x:c>
      <x:c r="M752" s="16" t="n">
        <x:v>5</x:v>
      </x:c>
      <x:c r="N752" s="16" t="n">
        <x:v>5</x:v>
      </x:c>
      <x:c r="O752" s="16" t="n">
        <x:v>5</x:v>
      </x:c>
      <x:c r="P752" s="16" t="n">
        <x:f>IF(COUNT(I752:O752)&lt;7,"",I752*8+J752*3+K752*2+L752*2+M752*2+N752*2+O752)</x:f>
        <x:v>58</x:v>
      </x:c>
      <x:c r="Q752" s="16" t="n">
        <x:f>IF(COUNT(J752:O752)&lt;6,"",J752*5+K752*4+M752*4+L752*3+N752*2+O752*2)</x:f>
        <x:v>84</x:v>
      </x:c>
      <x:c r="R752" s="14" t="str">
        <x:v>high</x:v>
      </x:c>
      <x:c r="S752" s="14" t="str">
        <x:v>official_prozorro_award_2025_2026</x:v>
      </x:c>
      <x:c r="T752" s="14" t="str">
        <x:v>official_prozorro_api</x:v>
      </x:c>
      <x:c r="U752" s="14" t="str">
        <x:v>Не контактували</x:v>
      </x:c>
      <x:c r="V752" s="15" t="str">
        <x:v>Workflow-audit outreach по UA-2026-04-09-006861-a; попросити 1 пакет здачі та вимоги проєкту</x:v>
      </x:c>
      <x:c r="W752" s="15" t="str">
        <x:v>Власник / директор; керівник ПТО; відповідальний за договори</x:v>
      </x:c>
      <x:c r="X752" s="15" t="str">
        <x:v>1 підтверджених перемог/договорів у Prozorro на 74 967 грн; 0 проєктів зі строком виконання не раніше 24.08.2026.</x:v>
      </x:c>
      <x:c r="Y752"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 строк до 2026-05-09. Попросити один знеособлений пакет здачі за цим workflow.</x:v>
      </x:c>
      <x:c r="Z752" s="15" t="str">
        <x:v>https://prozorro.gov.ua/tender/UA-2026-04-09-006861-a</x:v>
      </x:c>
      <x:c r="AA752" s="14" t="str">
        <x:v>32350021</x:v>
      </x:c>
      <x:c r="AB752" s="14" t="str">
        <x:v>2026-08-24</x:v>
      </x:c>
      <x:c r="AC752" s="14" t="str"/>
      <x:c r="AD752" s="20" t="str"/>
      <x:c r="AE752" s="14" t="str"/>
      <x:c r="AF752" s="14" t="n">
        <x:v>33</x:v>
      </x:c>
      <x:c r="AG752" s="14" t="str">
        <x:v>I3</x:v>
      </x:c>
      <x:c r="AH752" s="14" t="n">
        <x:v>1</x:v>
      </x:c>
      <x:c r="AI752" s="14" t="n">
        <x:v>0</x:v>
      </x:c>
      <x:c r="AJ752" s="18" t="n">
        <x:v>74966.69</x:v>
      </x:c>
      <x:c r="AK752" s="14" t="str">
        <x:v>https://prozorro.gov.ua/tender/UA-2026-04-09-006861-a</x:v>
      </x:c>
      <x:c r="AL752" s="19" t="n">
        <x:v>46121.44054548611</x:v>
      </x:c>
      <x:c r="AM752" s="19" t="n">
        <x:v>46151</x:v>
      </x:c>
      <x:c r="AN752" s="15" t="str">
        <x:v>Зовнішні мережі</x:v>
      </x:c>
      <x:c r="AO752" s="15" t="str">
        <x:v>not_found_in_top_search</x:v>
      </x:c>
    </x:row>
    <x:row r="753">
      <x:c r="A753" s="14" t="str">
        <x:v>W3-481</x:v>
      </x:c>
      <x:c r="B753" s="14" t="str">
        <x:v>Prozorro winners — 24.08</x:v>
      </x:c>
      <x:c r="C753" s="14" t="str">
        <x:v>Товариство з додатковою відповідальністю "БЗКУ АРДЕНЗ"</x:v>
      </x:c>
      <x:c r="D753" s="14" t="str">
        <x:v>Газопостачання / котельні</x:v>
      </x:c>
      <x:c r="E753" s="14" t="str">
        <x:v>Expansion discovery</x:v>
      </x:c>
      <x:c r="F753" s="17" t="str">
        <x:v>D3</x:v>
      </x:c>
      <x:c r="G753" s="14" t="str"/>
      <x:c r="H753" s="14" t="str">
        <x:v>Discovery розширення — 2 тижні</x:v>
      </x:c>
      <x:c r="I753" s="16" t="n">
        <x:v>1</x:v>
      </x:c>
      <x:c r="J753" s="16" t="n">
        <x:v>5</x:v>
      </x:c>
      <x:c r="K753" s="16" t="n">
        <x:v>4</x:v>
      </x:c>
      <x:c r="L753" s="16" t="n">
        <x:v>1</x:v>
      </x:c>
      <x:c r="M753" s="16" t="n">
        <x:v>5</x:v>
      </x:c>
      <x:c r="N753" s="16" t="n">
        <x:v>5</x:v>
      </x:c>
      <x:c r="O753" s="16" t="n">
        <x:v>5</x:v>
      </x:c>
      <x:c r="P753" s="16" t="n">
        <x:f>IF(COUNT(I753:O753)&lt;7,"",I753*8+J753*3+K753*2+L753*2+M753*2+N753*2+O753)</x:f>
        <x:v>58</x:v>
      </x:c>
      <x:c r="Q753" s="16" t="n">
        <x:f>IF(COUNT(J753:O753)&lt;6,"",J753*5+K753*4+M753*4+L753*3+N753*2+O753*2)</x:f>
        <x:v>84</x:v>
      </x:c>
      <x:c r="R753" s="14" t="str">
        <x:v>high</x:v>
      </x:c>
      <x:c r="S753" s="14" t="str">
        <x:v>official_prozorro_award_2025_2026</x:v>
      </x:c>
      <x:c r="T753" s="14" t="str">
        <x:v>official_prozorro_api</x:v>
      </x:c>
      <x:c r="U753" s="14" t="str">
        <x:v>Не контактували</x:v>
      </x:c>
      <x:c r="V753" s="15" t="str">
        <x:v>Workflow-audit outreach по UA-2026-03-25-004989-a; попросити 1 пакет здачі та вимоги проєкту</x:v>
      </x:c>
      <x:c r="W753" s="15" t="str">
        <x:v>Власник / директор; керівник ПТО; відповідальний за договори</x:v>
      </x:c>
      <x:c r="X753" s="15" t="str">
        <x:v>1 підтверджених перемог/договорів у Prozorro на 55 392 грн; 0 проєктів зі строком виконання не раніше 24.08.2026.</x:v>
      </x:c>
      <x:c r="Y753" s="15" t="str">
        <x:v>Послуги з монтажу та технологічне налагодження котельного обладнання, що розташоване в котельні за адресою м.Шостка, вул. Заводська,30; строк до 2026-04-24. Попросити один знеособлений пакет здачі за цим workflow.</x:v>
      </x:c>
      <x:c r="Z753" s="15" t="str">
        <x:v>https://prozorro.gov.ua/tender/UA-2026-03-25-004989-a</x:v>
      </x:c>
      <x:c r="AA753" s="14" t="str">
        <x:v>05495354</x:v>
      </x:c>
      <x:c r="AB753" s="14" t="str">
        <x:v>2026-08-24</x:v>
      </x:c>
      <x:c r="AC753" s="14" t="str"/>
      <x:c r="AD753" s="20" t="str"/>
      <x:c r="AE753" s="14" t="str"/>
      <x:c r="AF753" s="14" t="n">
        <x:v>33</x:v>
      </x:c>
      <x:c r="AG753" s="14" t="str">
        <x:v>I3</x:v>
      </x:c>
      <x:c r="AH753" s="14" t="n">
        <x:v>1</x:v>
      </x:c>
      <x:c r="AI753" s="14" t="n">
        <x:v>0</x:v>
      </x:c>
      <x:c r="AJ753" s="18" t="n">
        <x:v>55392</x:v>
      </x:c>
      <x:c r="AK753" s="14" t="str">
        <x:v>https://prozorro.gov.ua/tender/UA-2026-03-25-004989-a</x:v>
      </x:c>
      <x:c r="AL753" s="19" t="n">
        <x:v>46106.40369903935</x:v>
      </x:c>
      <x:c r="AM753" s="19" t="n">
        <x:v>46136.362662037034</x:v>
      </x:c>
      <x:c r="AN753" s="15" t="str">
        <x:v>Газопостачання / котельні</x:v>
      </x:c>
      <x:c r="AO753" s="15" t="str">
        <x:v>not_found_in_top_search</x:v>
      </x:c>
    </x:row>
    <x:row r="754">
      <x:c r="A754" s="14" t="str">
        <x:v>W3-482</x:v>
      </x:c>
      <x:c r="B754" s="14" t="str">
        <x:v>Prozorro winners — 24.08</x:v>
      </x:c>
      <x:c r="C754" s="14" t="str">
        <x:v>ТОВАРИСТВО З ОБМЕЖЕНОЮ ВІДПОВІДАЛЬНІСТЮ "ВЕТО"</x:v>
      </x:c>
      <x:c r="D754" s="14" t="str">
        <x:v>Пожежогасіння</x:v>
      </x:c>
      <x:c r="E754" s="14" t="str">
        <x:v>Expansion discovery</x:v>
      </x:c>
      <x:c r="F754" s="17" t="str">
        <x:v>D3</x:v>
      </x:c>
      <x:c r="G754" s="14" t="str"/>
      <x:c r="H754" s="14" t="str">
        <x:v>Discovery розширення — 2 тижні</x:v>
      </x:c>
      <x:c r="I754" s="16" t="n">
        <x:v>1</x:v>
      </x:c>
      <x:c r="J754" s="16" t="n">
        <x:v>5</x:v>
      </x:c>
      <x:c r="K754" s="16" t="n">
        <x:v>4</x:v>
      </x:c>
      <x:c r="L754" s="16" t="n">
        <x:v>1</x:v>
      </x:c>
      <x:c r="M754" s="16" t="n">
        <x:v>5</x:v>
      </x:c>
      <x:c r="N754" s="16" t="n">
        <x:v>5</x:v>
      </x:c>
      <x:c r="O754" s="16" t="n">
        <x:v>5</x:v>
      </x:c>
      <x:c r="P754" s="16" t="n">
        <x:f>IF(COUNT(I754:O754)&lt;7,"",I754*8+J754*3+K754*2+L754*2+M754*2+N754*2+O754)</x:f>
        <x:v>58</x:v>
      </x:c>
      <x:c r="Q754" s="16" t="n">
        <x:f>IF(COUNT(J754:O754)&lt;6,"",J754*5+K754*4+M754*4+L754*3+N754*2+O754*2)</x:f>
        <x:v>84</x:v>
      </x:c>
      <x:c r="R754" s="14" t="str">
        <x:v>high</x:v>
      </x:c>
      <x:c r="S754" s="14" t="str">
        <x:v>official_prozorro_award_2025_2026</x:v>
      </x:c>
      <x:c r="T754" s="14" t="str">
        <x:v>official_prozorro_api</x:v>
      </x:c>
      <x:c r="U754" s="14" t="str">
        <x:v>Не контактували</x:v>
      </x:c>
      <x:c r="V754" s="15" t="str">
        <x:v>Workflow-audit outreach по UA-2026-04-10-004562-a; попросити 1 пакет здачі та вимоги проєкту</x:v>
      </x:c>
      <x:c r="W754" s="15" t="str">
        <x:v>Власник / директор; керівник ПТО; відповідальний за договори</x:v>
      </x:c>
      <x:c r="X754" s="15" t="str">
        <x:v>1 підтверджених перемог/договорів у Prozorro на 28 128 грн; 0 проєктів зі строком виконання не раніше 24.08.2026.</x:v>
      </x:c>
      <x:c r="Y754" s="15" t="str">
        <x:v>Роботи з монтажу і наладки засобів системи пожежної сигналізації ; строк до 2026-04-30. Попросити один знеособлений пакет здачі за цим workflow.</x:v>
      </x:c>
      <x:c r="Z754" s="15" t="str">
        <x:v>https://prozorro.gov.ua/tender/UA-2026-04-10-004562-a</x:v>
      </x:c>
      <x:c r="AA754" s="14" t="str">
        <x:v>32653295</x:v>
      </x:c>
      <x:c r="AB754" s="14" t="str">
        <x:v>2026-08-24</x:v>
      </x:c>
      <x:c r="AC754" s="14" t="str"/>
      <x:c r="AD754" s="20" t="str"/>
      <x:c r="AE754" s="14" t="str"/>
      <x:c r="AF754" s="14" t="n">
        <x:v>33</x:v>
      </x:c>
      <x:c r="AG754" s="14" t="str">
        <x:v>I3</x:v>
      </x:c>
      <x:c r="AH754" s="14" t="n">
        <x:v>1</x:v>
      </x:c>
      <x:c r="AI754" s="14" t="n">
        <x:v>0</x:v>
      </x:c>
      <x:c r="AJ754" s="18" t="n">
        <x:v>28128</x:v>
      </x:c>
      <x:c r="AK754" s="14" t="str">
        <x:v>https://prozorro.gov.ua/tender/UA-2026-04-10-004562-a</x:v>
      </x:c>
      <x:c r="AL754" s="19" t="n">
        <x:v>46122.36283795139</x:v>
      </x:c>
      <x:c r="AM754" s="19" t="n">
        <x:v>46142</x:v>
      </x:c>
      <x:c r="AN754" s="15" t="str">
        <x:v>Пожежогасіння</x:v>
      </x:c>
      <x:c r="AO754" s="15" t="str">
        <x:v>not_found_in_top_search</x:v>
      </x:c>
    </x:row>
    <x:row r="755">
      <x:c r="A755" s="14" t="str">
        <x:v>W3-483</x:v>
      </x:c>
      <x:c r="B755" s="14" t="str">
        <x:v>Prozorro winners — 24.08</x:v>
      </x:c>
      <x:c r="C755" s="14" t="str">
        <x:v>ТОВ "Ротор-24"</x:v>
      </x:c>
      <x:c r="D755" s="14" t="str">
        <x:v>Електромонтаж</x:v>
      </x:c>
      <x:c r="E755" s="14" t="str">
        <x:v>Pilot now</x:v>
      </x:c>
      <x:c r="F755" s="17" t="str">
        <x:v>P3</x:v>
      </x:c>
      <x:c r="G755" s="14" t="str"/>
      <x:c r="H755" s="14" t="str">
        <x:v>Пілот зараз — Н.15</x:v>
      </x:c>
      <x:c r="I755" s="16" t="n">
        <x:v>5</x:v>
      </x:c>
      <x:c r="J755" s="16" t="n">
        <x:v>5</x:v>
      </x:c>
      <x:c r="K755" s="16" t="n">
        <x:v>5</x:v>
      </x:c>
      <x:c r="L755" s="16" t="n">
        <x:v>1</x:v>
      </x:c>
      <x:c r="M755" s="16" t="n">
        <x:v>5</x:v>
      </x:c>
      <x:c r="N755" s="16" t="n">
        <x:v>5</x:v>
      </x:c>
      <x:c r="O755" s="16" t="n">
        <x:v>5</x:v>
      </x:c>
      <x:c r="P755" s="16" t="n">
        <x:f>IF(COUNT(I755:O755)&lt;7,"",I755*8+J755*3+K755*2+L755*2+M755*2+N755*2+O755)</x:f>
        <x:v>92</x:v>
      </x:c>
      <x:c r="Q755" s="16" t="n">
        <x:f>IF(COUNT(J755:O755)&lt;6,"",J755*5+K755*4+M755*4+L755*3+N755*2+O755*2)</x:f>
        <x:v>88</x:v>
      </x:c>
      <x:c r="R755" s="14" t="str">
        <x:v>high</x:v>
      </x:c>
      <x:c r="S755" s="14" t="str">
        <x:v>official_prozorro_award_2025_2026</x:v>
      </x:c>
      <x:c r="T755" s="14" t="str">
        <x:v>official_prozorro_api</x:v>
      </x:c>
      <x:c r="U755" s="14" t="str">
        <x:v>Не контактували</x:v>
      </x:c>
      <x:c r="V755" s="15" t="str">
        <x:v>Персоналізований free-pilot outreach по UA-2026-04-07-006143-a; попросити 1 пакет Н.14/Н.15</x:v>
      </x:c>
      <x:c r="W755" s="15" t="str">
        <x:v>Власник / директор; керівник ПТО; відповідальний за договори</x:v>
      </x:c>
      <x:c r="X755" s="15" t="str">
        <x:v>1 підтверджених перемог/договорів у Prozorro на 15 630 грн; 0 проєктів зі строком виконання не раніше 24.08.2026.</x:v>
      </x:c>
      <x:c r="Y755" s="15" t="str">
        <x:v>Електровимірювальні роботи (вимірювння опору заземлення та ізоляції- за адресою:  вул.Лаврська 9 , корп. 24,26 та по вул. Велика Всильківська, 121 ); строк до 2026-04-10. Попросити один знеособлений пакет здачі за цим workflow.</x:v>
      </x:c>
      <x:c r="Z755" s="15" t="str">
        <x:v>https://prozorro.gov.ua/tender/UA-2026-04-07-006143-a</x:v>
      </x:c>
      <x:c r="AA755" s="14" t="str">
        <x:v>44505709</x:v>
      </x:c>
      <x:c r="AB755" s="14" t="str">
        <x:v>2026-08-24</x:v>
      </x:c>
      <x:c r="AC755" s="14" t="str"/>
      <x:c r="AD755" s="20" t="str"/>
      <x:c r="AE755" s="14" t="str"/>
      <x:c r="AF755" s="14" t="n">
        <x:v>33</x:v>
      </x:c>
      <x:c r="AG755" s="14" t="str">
        <x:v>I3</x:v>
      </x:c>
      <x:c r="AH755" s="14" t="n">
        <x:v>1</x:v>
      </x:c>
      <x:c r="AI755" s="14" t="n">
        <x:v>0</x:v>
      </x:c>
      <x:c r="AJ755" s="18" t="n">
        <x:v>15630</x:v>
      </x:c>
      <x:c r="AK755" s="14" t="str">
        <x:v>https://prozorro.gov.ua/tender/UA-2026-04-07-006143-a</x:v>
      </x:c>
      <x:c r="AL755" s="19" t="n">
        <x:v>46119.39454677083</x:v>
      </x:c>
      <x:c r="AM755" s="19" t="n">
        <x:v>46122</x:v>
      </x:c>
      <x:c r="AN755" s="15" t="str">
        <x:v>Електромонтаж</x:v>
      </x:c>
      <x:c r="AO755" s="15" t="str">
        <x:v>not_found_in_top_search</x:v>
      </x:c>
    </x:row>
    <x:row r="756">
      <x:c r="A756" s="14" t="str">
        <x:v>W3-484</x:v>
      </x:c>
      <x:c r="B756" s="14" t="str">
        <x:v>Prozorro winners — 24.08</x:v>
      </x:c>
      <x:c r="C756" s="14" t="str">
        <x:v>ПП "ЕВЕРЕСТ О"</x:v>
      </x:c>
      <x:c r="D756" s="14" t="str">
        <x:v>Газопостачання / котельні</x:v>
      </x:c>
      <x:c r="E756" s="14" t="str">
        <x:v>Expansion discovery</x:v>
      </x:c>
      <x:c r="F756" s="17" t="str">
        <x:v>D3</x:v>
      </x:c>
      <x:c r="G756" s="14" t="str"/>
      <x:c r="H756" s="14" t="str">
        <x:v>Discovery розширення — 2 тижні</x:v>
      </x:c>
      <x:c r="I756" s="16" t="n">
        <x:v>1</x:v>
      </x:c>
      <x:c r="J756" s="16" t="n">
        <x:v>5</x:v>
      </x:c>
      <x:c r="K756" s="16" t="n">
        <x:v>4</x:v>
      </x:c>
      <x:c r="L756" s="16" t="n">
        <x:v>1</x:v>
      </x:c>
      <x:c r="M756" s="16" t="n">
        <x:v>5</x:v>
      </x:c>
      <x:c r="N756" s="16" t="n">
        <x:v>5</x:v>
      </x:c>
      <x:c r="O756" s="16" t="n">
        <x:v>5</x:v>
      </x:c>
      <x:c r="P756" s="16" t="n">
        <x:f>IF(COUNT(I756:O756)&lt;7,"",I756*8+J756*3+K756*2+L756*2+M756*2+N756*2+O756)</x:f>
        <x:v>58</x:v>
      </x:c>
      <x:c r="Q756" s="16" t="n">
        <x:f>IF(COUNT(J756:O756)&lt;6,"",J756*5+K756*4+M756*4+L756*3+N756*2+O756*2)</x:f>
        <x:v>84</x:v>
      </x:c>
      <x:c r="R756" s="14" t="str">
        <x:v>high</x:v>
      </x:c>
      <x:c r="S756" s="14" t="str">
        <x:v>official_prozorro_award_2025_2026</x:v>
      </x:c>
      <x:c r="T756" s="14" t="str">
        <x:v>official_prozorro_api</x:v>
      </x:c>
      <x:c r="U756" s="14" t="str">
        <x:v>Не контактували</x:v>
      </x:c>
      <x:c r="V756" s="15" t="str">
        <x:v>Workflow-audit outreach по UA-2026-04-01-001928-a; попросити 1 пакет здачі та вимоги проєкту</x:v>
      </x:c>
      <x:c r="W756" s="15" t="str">
        <x:v>Власник / директор; керівник ПТО; відповідальний за договори</x:v>
      </x:c>
      <x:c r="X756" s="15" t="str">
        <x:v>1 підтверджених перемог/договорів у Prozorro на 8 599 грн; 0 проєктів зі строком виконання не раніше 24.08.2026.</x:v>
      </x:c>
      <x:c r="Y756" s="15" t="str">
        <x:v>Послуги з демонтажу, ремонту та монтажу протипожежного обладнання на котельні в м. Кременчуці; строк до 2026-05-12. Попросити один знеособлений пакет здачі за цим workflow.</x:v>
      </x:c>
      <x:c r="Z756" s="15" t="str">
        <x:v>https://prozorro.gov.ua/tender/UA-2026-04-01-001928-a</x:v>
      </x:c>
      <x:c r="AA756" s="14" t="str">
        <x:v>36274877</x:v>
      </x:c>
      <x:c r="AB756" s="14" t="str">
        <x:v>2026-08-24</x:v>
      </x:c>
      <x:c r="AC756" s="14" t="str"/>
      <x:c r="AD756" s="20" t="str"/>
      <x:c r="AE756" s="14" t="str"/>
      <x:c r="AF756" s="14" t="n">
        <x:v>33</x:v>
      </x:c>
      <x:c r="AG756" s="14" t="str">
        <x:v>I3</x:v>
      </x:c>
      <x:c r="AH756" s="14" t="n">
        <x:v>1</x:v>
      </x:c>
      <x:c r="AI756" s="14" t="n">
        <x:v>0</x:v>
      </x:c>
      <x:c r="AJ756" s="18" t="n">
        <x:v>8599.2</x:v>
      </x:c>
      <x:c r="AK756" s="14" t="str">
        <x:v>https://prozorro.gov.ua/tender/UA-2026-04-01-001928-a</x:v>
      </x:c>
      <x:c r="AL756" s="19" t="n">
        <x:v>46113.30135084491</x:v>
      </x:c>
      <x:c r="AM756" s="19" t="n">
        <x:v>46154.302199074074</x:v>
      </x:c>
      <x:c r="AN756" s="15" t="str">
        <x:v>Газопостачання / котельні</x:v>
      </x:c>
      <x:c r="AO756" s="15" t="str">
        <x:v>not_found_in_top_search</x:v>
      </x:c>
    </x:row>
    <x:row r="757">
      <x:c r="A757" s="14" t="str">
        <x:v>W3-485</x:v>
      </x:c>
      <x:c r="B757" s="14" t="str">
        <x:v>Prozorro winners — 24.08</x:v>
      </x:c>
      <x:c r="C757" s="14" t="str">
        <x:v>Фізична особа підприємець Корчемлюк Володимир Васильович</x:v>
      </x:c>
      <x:c r="D757" s="14" t="str">
        <x:v>Електромонтаж</x:v>
      </x:c>
      <x:c r="E757" s="14" t="str">
        <x:v>Pilot now</x:v>
      </x:c>
      <x:c r="F757" s="17" t="str">
        <x:v>P3</x:v>
      </x:c>
      <x:c r="G757" s="14" t="str"/>
      <x:c r="H757" s="14" t="str">
        <x:v>Пілот зараз — Н.15</x:v>
      </x:c>
      <x:c r="I757" s="16" t="n">
        <x:v>5</x:v>
      </x:c>
      <x:c r="J757" s="16" t="n">
        <x:v>5</x:v>
      </x:c>
      <x:c r="K757" s="16" t="n">
        <x:v>5</x:v>
      </x:c>
      <x:c r="L757" s="16" t="n">
        <x:v>1</x:v>
      </x:c>
      <x:c r="M757" s="16" t="n">
        <x:v>5</x:v>
      </x:c>
      <x:c r="N757" s="16" t="n">
        <x:v>3</x:v>
      </x:c>
      <x:c r="O757" s="16" t="n">
        <x:v>5</x:v>
      </x:c>
      <x:c r="P757" s="16" t="n">
        <x:f>IF(COUNT(I757:O757)&lt;7,"",I757*8+J757*3+K757*2+L757*2+M757*2+N757*2+O757)</x:f>
        <x:v>88</x:v>
      </x:c>
      <x:c r="Q757" s="16" t="n">
        <x:f>IF(COUNT(J757:O757)&lt;6,"",J757*5+K757*4+M757*4+L757*3+N757*2+O757*2)</x:f>
        <x:v>84</x:v>
      </x:c>
      <x:c r="R757" s="14" t="str">
        <x:v>high</x:v>
      </x:c>
      <x:c r="S757" s="14" t="str">
        <x:v>official_prozorro_award_2025_2026</x:v>
      </x:c>
      <x:c r="T757" s="14" t="str">
        <x:v>official_prozorro_api</x:v>
      </x:c>
      <x:c r="U757" s="14" t="str">
        <x:v>Не контактували</x:v>
      </x:c>
      <x:c r="V757" s="15" t="str">
        <x:v>Персоналізований free-pilot outreach по UA-2025-07-11-007985-a; попросити 1 пакет Н.14/Н.15</x:v>
      </x:c>
      <x:c r="W757" s="15" t="str">
        <x:v>Власник / виконавець; відповідальний за договір</x:v>
      </x:c>
      <x:c r="X757" s="15" t="str">
        <x:v>3 підтверджених перемог/договорів у Prozorro на 74 565 грн; 0 проєктів зі строком виконання не раніше 24.08.2026.</x:v>
      </x:c>
      <x:c r="Y757"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 строк до 2025-09-05. Попросити один знеособлений пакет здачі за цим workflow.</x:v>
      </x:c>
      <x:c r="Z757" s="15" t="str">
        <x:v>https://prozorro.gov.ua/tender/UA-2025-07-11-007985-a</x:v>
      </x:c>
      <x:c r="AA757" s="14" t="str">
        <x:v>2448308158</x:v>
      </x:c>
      <x:c r="AB757" s="14" t="str">
        <x:v>2026-08-24</x:v>
      </x:c>
      <x:c r="AC757" s="14" t="str"/>
      <x:c r="AD757" s="20" t="str"/>
      <x:c r="AE757" s="14" t="str"/>
      <x:c r="AF757" s="14" t="n">
        <x:v>32</x:v>
      </x:c>
      <x:c r="AG757" s="14" t="str">
        <x:v>I3</x:v>
      </x:c>
      <x:c r="AH757" s="14" t="n">
        <x:v>3</x:v>
      </x:c>
      <x:c r="AI757" s="14" t="n">
        <x:v>0</x:v>
      </x:c>
      <x:c r="AJ757" s="18" t="n">
        <x:v>74565.36</x:v>
      </x:c>
      <x:c r="AK757" s="14" t="str">
        <x:v>https://prozorro.gov.ua/tender/UA-2025-07-11-007985-a</x:v>
      </x:c>
      <x:c r="AL757" s="19" t="n">
        <x:v>45849.489091689815</x:v>
      </x:c>
      <x:c r="AM757" s="19" t="n">
        <x:v>45905.491481481484</x:v>
      </x:c>
      <x:c r="AN757" s="15" t="str">
        <x:v>Електромонтаж</x:v>
      </x:c>
      <x:c r="AO757" s="15" t="str">
        <x:v>not_found_in_top_search</x:v>
      </x:c>
    </x:row>
    <x:row r="758">
      <x:c r="A758" s="14" t="str">
        <x:v>W3-486</x:v>
      </x:c>
      <x:c r="B758" s="14" t="str">
        <x:v>Prozorro winners — 24.08</x:v>
      </x:c>
      <x:c r="C758" s="14" t="str">
        <x:v>Фізична особа - підприємець Хрущ Сергій Володимирович</x:v>
      </x:c>
      <x:c r="D758" s="14" t="str">
        <x:v>Резервне живлення</x:v>
      </x:c>
      <x:c r="E758" s="14" t="str">
        <x:v>Expansion discovery</x:v>
      </x:c>
      <x:c r="F758" s="17" t="str">
        <x:v>D3</x:v>
      </x:c>
      <x:c r="G758" s="14" t="str"/>
      <x:c r="H758" s="14" t="str">
        <x:v>Discovery розширення — 2 тижні</x:v>
      </x:c>
      <x:c r="I758" s="16" t="n">
        <x:v>1</x:v>
      </x:c>
      <x:c r="J758" s="16" t="n">
        <x:v>5</x:v>
      </x:c>
      <x:c r="K758" s="16" t="n">
        <x:v>4</x:v>
      </x:c>
      <x:c r="L758" s="16" t="n">
        <x:v>2</x:v>
      </x:c>
      <x:c r="M758" s="16" t="n">
        <x:v>5</x:v>
      </x:c>
      <x:c r="N758" s="16" t="n">
        <x:v>3</x:v>
      </x:c>
      <x:c r="O758" s="16" t="n">
        <x:v>5</x:v>
      </x:c>
      <x:c r="P758" s="16" t="n">
        <x:f>IF(COUNT(I758:O758)&lt;7,"",I758*8+J758*3+K758*2+L758*2+M758*2+N758*2+O758)</x:f>
        <x:v>56</x:v>
      </x:c>
      <x:c r="Q758" s="16" t="n">
        <x:f>IF(COUNT(J758:O758)&lt;6,"",J758*5+K758*4+M758*4+L758*3+N758*2+O758*2)</x:f>
        <x:v>83</x:v>
      </x:c>
      <x:c r="R758" s="14" t="str">
        <x:v>high</x:v>
      </x:c>
      <x:c r="S758" s="14" t="str">
        <x:v>official_prozorro_award_2025_2026</x:v>
      </x:c>
      <x:c r="T758" s="14" t="str">
        <x:v>official_prozorro_api</x:v>
      </x:c>
      <x:c r="U758" s="14" t="str">
        <x:v>Не контактували</x:v>
      </x:c>
      <x:c r="V758" s="15" t="str">
        <x:v>Workflow-audit outreach по UA-2025-12-23-016856-a; попросити 1 пакет здачі та вимоги проєкту</x:v>
      </x:c>
      <x:c r="W758" s="15" t="str">
        <x:v>Власник / виконавець; відповідальний за договір</x:v>
      </x:c>
      <x:c r="X758" s="15" t="str">
        <x:v>2 підтверджених перемог/договорів у Prozorro на 115 260 грн; 0 проєктів зі строком виконання не раніше 24.08.2026.</x:v>
      </x:c>
      <x:c r="Y758" s="15" t="str">
        <x:v>Послуги з монтажу джерел безперебійного живлення та системи резервного освітлення; строк до 2025-12-31. Попросити один знеособлений пакет здачі за цим workflow.</x:v>
      </x:c>
      <x:c r="Z758" s="15" t="str">
        <x:v>https://prozorro.gov.ua/tender/UA-2025-12-23-016856-a</x:v>
      </x:c>
      <x:c r="AA758" s="14" t="str">
        <x:v>3318711816</x:v>
      </x:c>
      <x:c r="AB758" s="14" t="str">
        <x:v>2026-08-24</x:v>
      </x:c>
      <x:c r="AC758" s="14" t="str"/>
      <x:c r="AD758" s="20" t="str"/>
      <x:c r="AE758" s="14" t="str"/>
      <x:c r="AF758" s="14" t="n">
        <x:v>31</x:v>
      </x:c>
      <x:c r="AG758" s="14" t="str">
        <x:v>I3</x:v>
      </x:c>
      <x:c r="AH758" s="14" t="n">
        <x:v>2</x:v>
      </x:c>
      <x:c r="AI758" s="14" t="n">
        <x:v>0</x:v>
      </x:c>
      <x:c r="AJ758" s="18" t="n">
        <x:v>115260</x:v>
      </x:c>
      <x:c r="AK758" s="14" t="str">
        <x:v>https://prozorro.gov.ua/tender/UA-2025-12-23-016856-a</x:v>
      </x:c>
      <x:c r="AL758" s="19" t="n">
        <x:v>46014.56969240741</x:v>
      </x:c>
      <x:c r="AM758" s="19" t="n">
        <x:v>46022.57048611111</x:v>
      </x:c>
      <x:c r="AN758" s="15" t="str">
        <x:v>Резервне живлення</x:v>
      </x:c>
      <x:c r="AO758" s="15" t="str">
        <x:v>not_found_in_top_search</x:v>
      </x:c>
    </x:row>
    <x:row r="759">
      <x:c r="A759" s="14" t="str">
        <x:v>W3-487</x:v>
      </x:c>
      <x:c r="B759" s="14" t="str">
        <x:v>Prozorro winners — 24.08</x:v>
      </x:c>
      <x:c r="C759" s="14" t="str">
        <x:v>ДОБРІНОВ СЕРГІЙ ПЕТРОВИЧ</x:v>
      </x:c>
      <x:c r="D759" s="14" t="str">
        <x:v>Електромонтаж</x:v>
      </x:c>
      <x:c r="E759" s="14" t="str">
        <x:v>Pilot now</x:v>
      </x:c>
      <x:c r="F759" s="17" t="str">
        <x:v>P3</x:v>
      </x:c>
      <x:c r="G759" s="14" t="str"/>
      <x:c r="H759" s="14" t="str">
        <x:v>Пілот зараз — Н.15</x:v>
      </x:c>
      <x:c r="I759" s="16" t="n">
        <x:v>5</x:v>
      </x:c>
      <x:c r="J759" s="16" t="n">
        <x:v>5</x:v>
      </x:c>
      <x:c r="K759" s="16" t="n">
        <x:v>5</x:v>
      </x:c>
      <x:c r="L759" s="16" t="n">
        <x:v>1</x:v>
      </x:c>
      <x:c r="M759" s="16" t="n">
        <x:v>5</x:v>
      </x:c>
      <x:c r="N759" s="16" t="n">
        <x:v>3</x:v>
      </x:c>
      <x:c r="O759" s="16" t="n">
        <x:v>5</x:v>
      </x:c>
      <x:c r="P759" s="16" t="n">
        <x:f>IF(COUNT(I759:O759)&lt;7,"",I759*8+J759*3+K759*2+L759*2+M759*2+N759*2+O759)</x:f>
        <x:v>88</x:v>
      </x:c>
      <x:c r="Q759" s="16" t="n">
        <x:f>IF(COUNT(J759:O759)&lt;6,"",J759*5+K759*4+M759*4+L759*3+N759*2+O759*2)</x:f>
        <x:v>84</x:v>
      </x:c>
      <x:c r="R759" s="14" t="str">
        <x:v>high</x:v>
      </x:c>
      <x:c r="S759" s="14" t="str">
        <x:v>official_prozorro_award_2025_2026</x:v>
      </x:c>
      <x:c r="T759" s="14" t="str">
        <x:v>official_prozorro_api</x:v>
      </x:c>
      <x:c r="U759" s="14" t="str">
        <x:v>Не контактували</x:v>
      </x:c>
      <x:c r="V759" s="15" t="str">
        <x:v>Персоналізований free-pilot outreach по UA-2026-04-15-010231-a; попросити 1 пакет Н.14/Н.15</x:v>
      </x:c>
      <x:c r="W759" s="15" t="str">
        <x:v>Власник / виконавець; відповідальний за договір</x:v>
      </x:c>
      <x:c r="X759" s="15" t="str">
        <x:v>1 підтверджених перемог/договорів у Prozorro на 92 560 грн; 0 проєктів зі строком виконання не раніше 24.08.2026.</x:v>
      </x:c>
      <x:c r="Y759"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 строк до 2026-07-04. Попросити один знеособлений пакет здачі за цим workflow.</x:v>
      </x:c>
      <x:c r="Z759" s="15" t="str">
        <x:v>https://prozorro.gov.ua/tender/UA-2026-04-15-010231-a</x:v>
      </x:c>
      <x:c r="AA759" s="14" t="str">
        <x:v>2347816559</x:v>
      </x:c>
      <x:c r="AB759" s="14" t="str">
        <x:v>2026-08-24</x:v>
      </x:c>
      <x:c r="AC759" s="14" t="str"/>
      <x:c r="AD759" s="20" t="str"/>
      <x:c r="AE759" s="14" t="str"/>
      <x:c r="AF759" s="14" t="n">
        <x:v>30</x:v>
      </x:c>
      <x:c r="AG759" s="14" t="str">
        <x:v>I3</x:v>
      </x:c>
      <x:c r="AH759" s="14" t="n">
        <x:v>1</x:v>
      </x:c>
      <x:c r="AI759" s="14" t="n">
        <x:v>0</x:v>
      </x:c>
      <x:c r="AJ759" s="18" t="n">
        <x:v>92560</x:v>
      </x:c>
      <x:c r="AK759" s="14" t="str">
        <x:v>https://prozorro.gov.ua/tender/UA-2026-04-15-010231-a</x:v>
      </x:c>
      <x:c r="AL759" s="19" t="n">
        <x:v>46127.52486856481</x:v>
      </x:c>
      <x:c r="AM759" s="19" t="n">
        <x:v>46207</x:v>
      </x:c>
      <x:c r="AN759" s="15" t="str">
        <x:v>Електромонтаж</x:v>
      </x:c>
      <x:c r="AO759" s="15" t="str">
        <x:v>not_found_in_top_search</x:v>
      </x:c>
    </x:row>
    <x:row r="760">
      <x:c r="A760" s="14" t="str">
        <x:v>W3-488</x:v>
      </x:c>
      <x:c r="B760" s="14" t="str">
        <x:v>Prozorro winners — 24.08</x:v>
      </x:c>
      <x:c r="C760" s="14" t="str">
        <x:v>Фізична особа-підприємець Ковач Семен Семенович</x:v>
      </x:c>
      <x:c r="D760" s="14" t="str">
        <x:v>Безпека / СКУД / CCTV</x:v>
      </x:c>
      <x:c r="E760" s="14" t="str">
        <x:v>Expansion discovery</x:v>
      </x:c>
      <x:c r="F760" s="17" t="str">
        <x:v>D3</x:v>
      </x:c>
      <x:c r="G760" s="14" t="str"/>
      <x:c r="H760" s="14" t="str">
        <x:v>Discovery розширення — 2 тижні</x:v>
      </x:c>
      <x:c r="I760" s="16" t="n">
        <x:v>1</x:v>
      </x:c>
      <x:c r="J760" s="16" t="n">
        <x:v>5</x:v>
      </x:c>
      <x:c r="K760" s="16" t="n">
        <x:v>4</x:v>
      </x:c>
      <x:c r="L760" s="16" t="n">
        <x:v>1</x:v>
      </x:c>
      <x:c r="M760" s="16" t="n">
        <x:v>5</x:v>
      </x:c>
      <x:c r="N760" s="16" t="n">
        <x:v>3</x:v>
      </x:c>
      <x:c r="O760" s="16" t="n">
        <x:v>5</x:v>
      </x:c>
      <x:c r="P760" s="16" t="n">
        <x:f>IF(COUNT(I760:O760)&lt;7,"",I760*8+J760*3+K760*2+L760*2+M760*2+N760*2+O760)</x:f>
        <x:v>54</x:v>
      </x:c>
      <x:c r="Q760" s="16" t="n">
        <x:f>IF(COUNT(J760:O760)&lt;6,"",J760*5+K760*4+M760*4+L760*3+N760*2+O760*2)</x:f>
        <x:v>80</x:v>
      </x:c>
      <x:c r="R760" s="14" t="str">
        <x:v>high</x:v>
      </x:c>
      <x:c r="S760" s="14" t="str">
        <x:v>official_prozorro_award_2025_2026</x:v>
      </x:c>
      <x:c r="T760" s="14" t="str">
        <x:v>official_prozorro_api</x:v>
      </x:c>
      <x:c r="U760" s="14" t="str">
        <x:v>Не контактували</x:v>
      </x:c>
      <x:c r="V760" s="15" t="str">
        <x:v>Workflow-audit outreach по UA-2026-04-17-000711-a; попросити 1 пакет здачі та вимоги проєкту</x:v>
      </x:c>
      <x:c r="W760" s="15" t="str">
        <x:v>Власник / виконавець; відповідальний за договір</x:v>
      </x:c>
      <x:c r="X760" s="15" t="str">
        <x:v>1 підтверджених перемог/договорів у Prozorro на 76 600 грн; 0 проєктів зі строком виконання не раніше 24.08.2026.</x:v>
      </x:c>
      <x:c r="Y76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 строк до 2026-06-30. Попросити один знеособлений пакет здачі за цим workflow.</x:v>
      </x:c>
      <x:c r="Z760" s="15" t="str">
        <x:v>https://prozorro.gov.ua/tender/UA-2026-04-17-000711-a</x:v>
      </x:c>
      <x:c r="AA760" s="14" t="str">
        <x:v>3076004037</x:v>
      </x:c>
      <x:c r="AB760" s="14" t="str">
        <x:v>2026-08-24</x:v>
      </x:c>
      <x:c r="AC760" s="14" t="str"/>
      <x:c r="AD760" s="20" t="str"/>
      <x:c r="AE760" s="14" t="str"/>
      <x:c r="AF760" s="14" t="n">
        <x:v>30</x:v>
      </x:c>
      <x:c r="AG760" s="14" t="str">
        <x:v>I3</x:v>
      </x:c>
      <x:c r="AH760" s="14" t="n">
        <x:v>1</x:v>
      </x:c>
      <x:c r="AI760" s="14" t="n">
        <x:v>0</x:v>
      </x:c>
      <x:c r="AJ760" s="18" t="n">
        <x:v>76600</x:v>
      </x:c>
      <x:c r="AK760" s="14" t="str">
        <x:v>https://prozorro.gov.ua/tender/UA-2026-04-17-000711-a</x:v>
      </x:c>
      <x:c r="AL760" s="19" t="n">
        <x:v>46129.26033920139</x:v>
      </x:c>
      <x:c r="AM760" s="19" t="n">
        <x:v>46203.26263888889</x:v>
      </x:c>
      <x:c r="AN760" s="15" t="str">
        <x:v>Безпека / СКУД / CCTV</x:v>
      </x:c>
      <x:c r="AO760" s="15" t="str">
        <x:v>not_found_in_top_search</x:v>
      </x:c>
    </x:row>
    <x:row r="761">
      <x:c r="A761" s="14" t="str">
        <x:v>W3-489</x:v>
      </x:c>
      <x:c r="B761" s="14" t="str">
        <x:v>Prozorro winners — 24.08</x:v>
      </x:c>
      <x:c r="C761" s="14" t="str">
        <x:v>ПРИВАТНЕ ПІДПРИЄМСТВО "ТЕРМО-БУД-СЕРВІС"</x:v>
      </x:c>
      <x:c r="D761" s="14" t="str">
        <x:v>HVAC / ОВіК</x:v>
      </x:c>
      <x:c r="E761" s="14" t="str">
        <x:v>Pilot now</x:v>
      </x:c>
      <x:c r="F761" s="17" t="str">
        <x:v>P3</x:v>
      </x:c>
      <x:c r="G761" s="14" t="str"/>
      <x:c r="H761" s="14" t="str">
        <x:v>Пілот зараз — Н.14</x:v>
      </x:c>
      <x:c r="I761" s="16" t="n">
        <x:v>5</x:v>
      </x:c>
      <x:c r="J761" s="16" t="n">
        <x:v>5</x:v>
      </x:c>
      <x:c r="K761" s="16" t="n">
        <x:v>5</x:v>
      </x:c>
      <x:c r="L761" s="16" t="n">
        <x:v>1</x:v>
      </x:c>
      <x:c r="M761" s="16" t="n">
        <x:v>5</x:v>
      </x:c>
      <x:c r="N761" s="16" t="n">
        <x:v>5</x:v>
      </x:c>
      <x:c r="O761" s="16" t="n">
        <x:v>5</x:v>
      </x:c>
      <x:c r="P761" s="16" t="n">
        <x:f>IF(COUNT(I761:O761)&lt;7,"",I761*8+J761*3+K761*2+L761*2+M761*2+N761*2+O761)</x:f>
        <x:v>92</x:v>
      </x:c>
      <x:c r="Q761" s="16" t="n">
        <x:f>IF(COUNT(J761:O761)&lt;6,"",J761*5+K761*4+M761*4+L761*3+N761*2+O761*2)</x:f>
        <x:v>88</x:v>
      </x:c>
      <x:c r="R761" s="14" t="str">
        <x:v>high</x:v>
      </x:c>
      <x:c r="S761" s="14" t="str">
        <x:v>official_prozorro_award_2025_2026</x:v>
      </x:c>
      <x:c r="T761" s="14" t="str">
        <x:v>official_prozorro_api</x:v>
      </x:c>
      <x:c r="U761" s="14" t="str">
        <x:v>Не контактували</x:v>
      </x:c>
      <x:c r="V761" s="15" t="str">
        <x:v>Персоналізований free-pilot outreach по UA-2025-12-16-024067-a; попросити 1 пакет Н.14/Н.15</x:v>
      </x:c>
      <x:c r="W761" s="15" t="str">
        <x:v>Власник / директор; керівник ПТО; відповідальний за договори</x:v>
      </x:c>
      <x:c r="X761" s="15" t="str">
        <x:v>2 підтверджених перемог/договорів у Prozorro на 76 536 грн; 0 проєктів зі строком виконання не раніше 24.08.2026.</x:v>
      </x:c>
      <x:c r="Y761" s="15" t="str">
        <x:v>Монтаж системи вентиляції; строк до 2025-12-19. Попросити один знеособлений пакет здачі за цим workflow.</x:v>
      </x:c>
      <x:c r="Z761" s="15" t="str">
        <x:v>https://prozorro.gov.ua/tender/UA-2025-12-16-024067-a</x:v>
      </x:c>
      <x:c r="AA761" s="14" t="str">
        <x:v>37076562</x:v>
      </x:c>
      <x:c r="AB761" s="14" t="str">
        <x:v>2026-08-24</x:v>
      </x:c>
      <x:c r="AC761" s="14" t="str"/>
      <x:c r="AD761" s="20" t="str"/>
      <x:c r="AE761" s="14" t="str"/>
      <x:c r="AF761" s="14" t="n">
        <x:v>30</x:v>
      </x:c>
      <x:c r="AG761" s="14" t="str">
        <x:v>I3</x:v>
      </x:c>
      <x:c r="AH761" s="14" t="n">
        <x:v>2</x:v>
      </x:c>
      <x:c r="AI761" s="14" t="n">
        <x:v>0</x:v>
      </x:c>
      <x:c r="AJ761" s="18" t="n">
        <x:v>76536</x:v>
      </x:c>
      <x:c r="AK761" s="14" t="str">
        <x:v>https://prozorro.gov.ua/tender/UA-2025-12-16-024067-a</x:v>
      </x:c>
      <x:c r="AL761" s="19" t="n">
        <x:v>46007.66713553241</x:v>
      </x:c>
      <x:c r="AM761" s="19" t="n">
        <x:v>46010</x:v>
      </x:c>
      <x:c r="AN761" s="15" t="str">
        <x:v>HVAC / ОВіК</x:v>
      </x:c>
      <x:c r="AO761" s="15" t="str">
        <x:v>not_found_in_top_search</x:v>
      </x:c>
    </x:row>
    <x:row r="762">
      <x:c r="A762" s="14" t="str">
        <x:v>W3-490</x:v>
      </x:c>
      <x:c r="B762" s="14" t="str">
        <x:v>Prozorro winners — 24.08</x:v>
      </x:c>
      <x:c r="C762" s="14" t="str">
        <x:v>ТОВ "Гармонія сонця"</x:v>
      </x:c>
      <x:c r="D762" s="14" t="str">
        <x:v>Резервне живлення</x:v>
      </x:c>
      <x:c r="E762" s="14" t="str">
        <x:v>Expansion discovery</x:v>
      </x:c>
      <x:c r="F762" s="17" t="str">
        <x:v>D3</x:v>
      </x:c>
      <x:c r="G762" s="14" t="str"/>
      <x:c r="H762" s="14" t="str">
        <x:v>Discovery розширення — 2 тижні</x:v>
      </x:c>
      <x:c r="I762" s="16" t="n">
        <x:v>1</x:v>
      </x:c>
      <x:c r="J762" s="16" t="n">
        <x:v>5</x:v>
      </x:c>
      <x:c r="K762" s="16" t="n">
        <x:v>4</x:v>
      </x:c>
      <x:c r="L762" s="16" t="n">
        <x:v>1</x:v>
      </x:c>
      <x:c r="M762" s="16" t="n">
        <x:v>5</x:v>
      </x:c>
      <x:c r="N762" s="16" t="n">
        <x:v>5</x:v>
      </x:c>
      <x:c r="O762" s="16" t="n">
        <x:v>5</x:v>
      </x:c>
      <x:c r="P762" s="16" t="n">
        <x:f>IF(COUNT(I762:O762)&lt;7,"",I762*8+J762*3+K762*2+L762*2+M762*2+N762*2+O762)</x:f>
        <x:v>58</x:v>
      </x:c>
      <x:c r="Q762" s="16" t="n">
        <x:f>IF(COUNT(J762:O762)&lt;6,"",J762*5+K762*4+M762*4+L762*3+N762*2+O762*2)</x:f>
        <x:v>84</x:v>
      </x:c>
      <x:c r="R762" s="14" t="str">
        <x:v>high</x:v>
      </x:c>
      <x:c r="S762" s="14" t="str">
        <x:v>official_prozorro_award_2025_2026</x:v>
      </x:c>
      <x:c r="T762" s="14" t="str">
        <x:v>official_prozorro_api</x:v>
      </x:c>
      <x:c r="U762" s="14" t="str">
        <x:v>Не контактували</x:v>
      </x:c>
      <x:c r="V762" s="15" t="str">
        <x:v>Повторне звернення з новим тендерним сигналом UA-2024-12-19-006046-a; попросити 1 пакет здачі</x:v>
      </x:c>
      <x:c r="W762" s="15" t="str">
        <x:v>Власник / директор; керівник ПТО; відповідальний за договори</x:v>
      </x:c>
      <x:c r="X762" s="15" t="str">
        <x:v>2 підтверджених перемог/договорів у Prozorro на 60 000 грн; 0 проєктів зі строком виконання не раніше 24.08.2026.</x:v>
      </x:c>
      <x:c r="Y762" s="15" t="str">
        <x:v>Встановлення комплекту системи безперебійного живлення (встановлення, монтаж та налаштування електричного обладнання Tesla Powerwall2); строк до 2025-12-31. Попросити один знеособлений пакет здачі за цим workflow.</x:v>
      </x:c>
      <x:c r="Z762" s="15" t="str">
        <x:v>https://prozorro.gov.ua/tender/UA-2025-08-22-002549-a</x:v>
      </x:c>
      <x:c r="AA762" s="14" t="str">
        <x:v>45494756</x:v>
      </x:c>
      <x:c r="AB762" s="14" t="str">
        <x:v>2026-08-24</x:v>
      </x:c>
      <x:c r="AC762" s="14" t="str"/>
      <x:c r="AD762" s="20" t="str"/>
      <x:c r="AE762" s="14" t="str"/>
      <x:c r="AF762" s="14" t="n">
        <x:v>30</x:v>
      </x:c>
      <x:c r="AG762" s="14" t="str">
        <x:v>I3</x:v>
      </x:c>
      <x:c r="AH762" s="14" t="n">
        <x:v>3</x:v>
      </x:c>
      <x:c r="AI762" s="14" t="n">
        <x:v>0</x:v>
      </x:c>
      <x:c r="AJ762" s="18" t="n">
        <x:v>91500</x:v>
      </x:c>
      <x:c r="AK762" s="14" t="str">
        <x:v>https://prozorro.gov.ua/tender/UA-2024-12-19-006046-a</x:v>
      </x:c>
      <x:c r="AL762" s="19" t="n">
        <x:v>45645.38893548611</x:v>
      </x:c>
      <x:c r="AM762" s="19" t="n">
        <x:v>45657.389328703706</x:v>
      </x:c>
      <x:c r="AN762" s="15" t="str">
        <x:v>Резервне живлення</x:v>
      </x:c>
      <x:c r="AO762" s="15" t="str">
        <x:v>not_found_in_top_search</x:v>
      </x:c>
    </x:row>
    <x:row r="763">
      <x:c r="A763" s="14" t="str">
        <x:v>W3-491</x:v>
      </x:c>
      <x:c r="B763" s="14" t="str">
        <x:v>Prozorro winners — 24.08</x:v>
      </x:c>
      <x:c r="C763" s="14" t="str">
        <x:v>НЕВАРЕНИХ ГАННА МИКОЛАЇВНА</x:v>
      </x:c>
      <x:c r="D763" s="14" t="str">
        <x:v>Газопостачання / котельні</x:v>
      </x:c>
      <x:c r="E763" s="14" t="str">
        <x:v>Expansion discovery</x:v>
      </x:c>
      <x:c r="F763" s="17" t="str">
        <x:v>D3</x:v>
      </x:c>
      <x:c r="G763" s="14" t="str"/>
      <x:c r="H763" s="14" t="str">
        <x:v>Discovery розширення — 2 тижні</x:v>
      </x:c>
      <x:c r="I763" s="16" t="n">
        <x:v>1</x:v>
      </x:c>
      <x:c r="J763" s="16" t="n">
        <x:v>5</x:v>
      </x:c>
      <x:c r="K763" s="16" t="n">
        <x:v>4</x:v>
      </x:c>
      <x:c r="L763" s="16" t="n">
        <x:v>1</x:v>
      </x:c>
      <x:c r="M763" s="16" t="n">
        <x:v>5</x:v>
      </x:c>
      <x:c r="N763" s="16" t="n">
        <x:v>3</x:v>
      </x:c>
      <x:c r="O763" s="16" t="n">
        <x:v>5</x:v>
      </x:c>
      <x:c r="P763" s="16" t="n">
        <x:f>IF(COUNT(I763:O763)&lt;7,"",I763*8+J763*3+K763*2+L763*2+M763*2+N763*2+O763)</x:f>
        <x:v>54</x:v>
      </x:c>
      <x:c r="Q763" s="16" t="n">
        <x:f>IF(COUNT(J763:O763)&lt;6,"",J763*5+K763*4+M763*4+L763*3+N763*2+O763*2)</x:f>
        <x:v>80</x:v>
      </x:c>
      <x:c r="R763" s="14" t="str">
        <x:v>high</x:v>
      </x:c>
      <x:c r="S763" s="14" t="str">
        <x:v>official_prozorro_award_2025_2026</x:v>
      </x:c>
      <x:c r="T763" s="14" t="str">
        <x:v>official_prozorro_api</x:v>
      </x:c>
      <x:c r="U763" s="14" t="str">
        <x:v>Не контактували</x:v>
      </x:c>
      <x:c r="V763" s="15" t="str">
        <x:v>Workflow-audit outreach по UA-2026-03-23-007547-a; попросити 1 пакет здачі та вимоги проєкту</x:v>
      </x:c>
      <x:c r="W763" s="15" t="str">
        <x:v>Власник / виконавець; відповідальний за договір</x:v>
      </x:c>
      <x:c r="X763" s="15" t="str">
        <x:v>1 підтверджених перемог/договорів у Prozorro на 53 694 грн; 0 проєктів зі строком виконання не раніше 24.08.2026.</x:v>
      </x:c>
      <x:c r="Y763"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 строк до 2026-06-30. Попросити один знеособлений пакет здачі за цим workflow.</x:v>
      </x:c>
      <x:c r="Z763" s="15" t="str">
        <x:v>https://prozorro.gov.ua/tender/UA-2026-03-23-007547-a</x:v>
      </x:c>
      <x:c r="AA763" s="14" t="str">
        <x:v>2515106803</x:v>
      </x:c>
      <x:c r="AB763" s="14" t="str">
        <x:v>2026-08-24</x:v>
      </x:c>
      <x:c r="AC763" s="14" t="str"/>
      <x:c r="AD763" s="20" t="str"/>
      <x:c r="AE763" s="14" t="str"/>
      <x:c r="AF763" s="14" t="n">
        <x:v>30</x:v>
      </x:c>
      <x:c r="AG763" s="14" t="str">
        <x:v>I3</x:v>
      </x:c>
      <x:c r="AH763" s="14" t="n">
        <x:v>1</x:v>
      </x:c>
      <x:c r="AI763" s="14" t="n">
        <x:v>0</x:v>
      </x:c>
      <x:c r="AJ763" s="18" t="n">
        <x:v>53694</x:v>
      </x:c>
      <x:c r="AK763" s="14" t="str">
        <x:v>https://prozorro.gov.ua/tender/UA-2026-03-23-007547-a</x:v>
      </x:c>
      <x:c r="AL763" s="19" t="n">
        <x:v>46104.57060160879</x:v>
      </x:c>
      <x:c r="AM763" s="19" t="n">
        <x:v>46203</x:v>
      </x:c>
      <x:c r="AN763" s="15" t="str">
        <x:v>Газопостачання / котельні</x:v>
      </x:c>
      <x:c r="AO763" s="15" t="str">
        <x:v>not_found_in_top_search</x:v>
      </x:c>
    </x:row>
    <x:row r="764">
      <x:c r="A764" s="14" t="str">
        <x:v>W3-492</x:v>
      </x:c>
      <x:c r="B764" s="14" t="str">
        <x:v>Prozorro winners — 24.08</x:v>
      </x:c>
      <x:c r="C764" s="14" t="str">
        <x:v>ТОВ «СЕКУР ІНТЕГРАЦІЯ»</x:v>
      </x:c>
      <x:c r="D764" s="14" t="str">
        <x:v>Безпека / СКУД / CCTV</x:v>
      </x:c>
      <x:c r="E764" s="14" t="str">
        <x:v>Expansion discovery</x:v>
      </x:c>
      <x:c r="F764" s="17" t="str">
        <x:v>D3</x:v>
      </x:c>
      <x:c r="G764" s="14" t="str"/>
      <x:c r="H764" s="14" t="str">
        <x:v>Discovery розширення — 2 тижні</x:v>
      </x:c>
      <x:c r="I764" s="16" t="n">
        <x:v>1</x:v>
      </x:c>
      <x:c r="J764" s="16" t="n">
        <x:v>5</x:v>
      </x:c>
      <x:c r="K764" s="16" t="n">
        <x:v>4</x:v>
      </x:c>
      <x:c r="L764" s="16" t="n">
        <x:v>1</x:v>
      </x:c>
      <x:c r="M764" s="16" t="n">
        <x:v>5</x:v>
      </x:c>
      <x:c r="N764" s="16" t="n">
        <x:v>5</x:v>
      </x:c>
      <x:c r="O764" s="16" t="n">
        <x:v>5</x:v>
      </x:c>
      <x:c r="P764" s="16" t="n">
        <x:f>IF(COUNT(I764:O764)&lt;7,"",I764*8+J764*3+K764*2+L764*2+M764*2+N764*2+O764)</x:f>
        <x:v>58</x:v>
      </x:c>
      <x:c r="Q764" s="16" t="n">
        <x:f>IF(COUNT(J764:O764)&lt;6,"",J764*5+K764*4+M764*4+L764*3+N764*2+O764*2)</x:f>
        <x:v>84</x:v>
      </x:c>
      <x:c r="R764" s="14" t="str">
        <x:v>high</x:v>
      </x:c>
      <x:c r="S764" s="14" t="str">
        <x:v>official_prozorro_award_2025_2026</x:v>
      </x:c>
      <x:c r="T764" s="14" t="str">
        <x:v>official_prozorro_api</x:v>
      </x:c>
      <x:c r="U764" s="14" t="str">
        <x:v>Не контактували</x:v>
      </x:c>
      <x:c r="V764" s="15" t="str">
        <x:v>Workflow-audit outreach по UA-2025-12-17-004604-a; попросити 1 пакет здачі та вимоги проєкту</x:v>
      </x:c>
      <x:c r="W764" s="15" t="str">
        <x:v>Власник / директор; керівник ПТО; відповідальний за договори</x:v>
      </x:c>
      <x:c r="X764" s="15" t="str">
        <x:v>2 підтверджених перемог/договорів у Prozorro на 30 612 грн; 0 проєктів зі строком виконання не раніше 24.08.2026.</x:v>
      </x:c>
      <x:c r="Y764" s="15" t="str">
        <x:v>Послуги з монтажу та пусконалагоджування системи контролю доступу; строк до 2025-12-24. Попросити один знеособлений пакет здачі за цим workflow.</x:v>
      </x:c>
      <x:c r="Z764" s="15" t="str">
        <x:v>https://prozorro.gov.ua/tender/UA-2025-12-17-004604-a</x:v>
      </x:c>
      <x:c r="AA764" s="14" t="str">
        <x:v>39328390</x:v>
      </x:c>
      <x:c r="AB764" s="14" t="str">
        <x:v>2026-08-24</x:v>
      </x:c>
      <x:c r="AC764" s="14" t="str"/>
      <x:c r="AD764" s="20" t="str"/>
      <x:c r="AE764" s="14" t="str"/>
      <x:c r="AF764" s="14" t="n">
        <x:v>30</x:v>
      </x:c>
      <x:c r="AG764" s="14" t="str">
        <x:v>I3</x:v>
      </x:c>
      <x:c r="AH764" s="14" t="n">
        <x:v>2</x:v>
      </x:c>
      <x:c r="AI764" s="14" t="n">
        <x:v>0</x:v>
      </x:c>
      <x:c r="AJ764" s="18" t="n">
        <x:v>30612</x:v>
      </x:c>
      <x:c r="AK764" s="14" t="str">
        <x:v>https://prozorro.gov.ua/tender/UA-2025-12-17-004604-a</x:v>
      </x:c>
      <x:c r="AL764" s="19" t="n">
        <x:v>46008.35794201389</x:v>
      </x:c>
      <x:c r="AM764" s="19" t="n">
        <x:v>46015</x:v>
      </x:c>
      <x:c r="AN764" s="15" t="str">
        <x:v>Безпека / СКУД / CCTV</x:v>
      </x:c>
      <x:c r="AO764" s="15" t="str">
        <x:v>not_found_in_top_search</x:v>
      </x:c>
    </x:row>
    <x:row r="765">
      <x:c r="A765" s="14" t="str">
        <x:v>W3-493</x:v>
      </x:c>
      <x:c r="B765" s="14" t="str">
        <x:v>Prozorro winners — 24.08</x:v>
      </x:c>
      <x:c r="C765" s="14" t="str">
        <x:v>ПП "ЕПТ"</x:v>
      </x:c>
      <x:c r="D765" s="14" t="str">
        <x:v>HVAC / ОВіК</x:v>
      </x:c>
      <x:c r="E765" s="14" t="str">
        <x:v>Pilot now</x:v>
      </x:c>
      <x:c r="F765" s="17" t="str">
        <x:v>P3</x:v>
      </x:c>
      <x:c r="G765" s="14" t="str"/>
      <x:c r="H765" s="14" t="str">
        <x:v>Пілот зараз — Н.14</x:v>
      </x:c>
      <x:c r="I765" s="16" t="n">
        <x:v>5</x:v>
      </x:c>
      <x:c r="J765" s="16" t="n">
        <x:v>5</x:v>
      </x:c>
      <x:c r="K765" s="16" t="n">
        <x:v>5</x:v>
      </x:c>
      <x:c r="L765" s="16" t="n">
        <x:v>1</x:v>
      </x:c>
      <x:c r="M765" s="16" t="n">
        <x:v>5</x:v>
      </x:c>
      <x:c r="N765" s="16" t="n">
        <x:v>5</x:v>
      </x:c>
      <x:c r="O765" s="16" t="n">
        <x:v>5</x:v>
      </x:c>
      <x:c r="P765" s="16" t="n">
        <x:f>IF(COUNT(I765:O765)&lt;7,"",I765*8+J765*3+K765*2+L765*2+M765*2+N765*2+O765)</x:f>
        <x:v>92</x:v>
      </x:c>
      <x:c r="Q765" s="16" t="n">
        <x:f>IF(COUNT(J765:O765)&lt;6,"",J765*5+K765*4+M765*4+L765*3+N765*2+O765*2)</x:f>
        <x:v>88</x:v>
      </x:c>
      <x:c r="R765" s="14" t="str">
        <x:v>high</x:v>
      </x:c>
      <x:c r="S765" s="14" t="str">
        <x:v>official_prozorro_award_2025_2026</x:v>
      </x:c>
      <x:c r="T765" s="14" t="str">
        <x:v>official_prozorro_api</x:v>
      </x:c>
      <x:c r="U765" s="14" t="str">
        <x:v>Не контактували</x:v>
      </x:c>
      <x:c r="V765" s="15" t="str">
        <x:v>Персоналізований free-pilot outreach по UA-2025-12-17-007470-a; попросити 1 пакет Н.14/Н.15</x:v>
      </x:c>
      <x:c r="W765" s="15" t="str">
        <x:v>Власник / директор; керівник ПТО; відповідальний за договори</x:v>
      </x:c>
      <x:c r="X765" s="15" t="str">
        <x:v>2 підтверджених перемог/договорів у Prozorro на 27 000 грн; 0 проєктів зі строком виконання не раніше 24.08.2026.</x:v>
      </x:c>
      <x:c r="Y765" s="15" t="str">
        <x:v>Монтаж витяжної системи вентиляції; строк до 2025-12-31. Попросити один знеособлений пакет здачі за цим workflow.</x:v>
      </x:c>
      <x:c r="Z765" s="15" t="str">
        <x:v>https://prozorro.gov.ua/tender/UA-2025-12-17-007470-a</x:v>
      </x:c>
      <x:c r="AA765" s="14" t="str">
        <x:v>37259687</x:v>
      </x:c>
      <x:c r="AB765" s="14" t="str">
        <x:v>2026-08-24</x:v>
      </x:c>
      <x:c r="AC765" s="14" t="str"/>
      <x:c r="AD765" s="20" t="str"/>
      <x:c r="AE765" s="14" t="str"/>
      <x:c r="AF765" s="14" t="n">
        <x:v>30</x:v>
      </x:c>
      <x:c r="AG765" s="14" t="str">
        <x:v>I3</x:v>
      </x:c>
      <x:c r="AH765" s="14" t="n">
        <x:v>2</x:v>
      </x:c>
      <x:c r="AI765" s="14" t="n">
        <x:v>0</x:v>
      </x:c>
      <x:c r="AJ765" s="18" t="n">
        <x:v>27000</x:v>
      </x:c>
      <x:c r="AK765" s="14" t="str">
        <x:v>https://prozorro.gov.ua/tender/UA-2025-12-17-007470-a</x:v>
      </x:c>
      <x:c r="AL765" s="19" t="n">
        <x:v>46008.39795467593</x:v>
      </x:c>
      <x:c r="AM765" s="19" t="n">
        <x:v>46022.916666655095</x:v>
      </x:c>
      <x:c r="AN765" s="15" t="str">
        <x:v>HVAC / ОВіК</x:v>
      </x:c>
      <x:c r="AO765" s="15" t="str">
        <x:v>not_found_in_top_search</x:v>
      </x:c>
    </x:row>
    <x:row r="766">
      <x:c r="A766" s="14" t="str">
        <x:v>W3-494</x:v>
      </x:c>
      <x:c r="B766" s="14" t="str">
        <x:v>Prozorro winners — 24.08</x:v>
      </x:c>
      <x:c r="C766" s="14" t="str">
        <x:v>ТОВАРИСТВО З ОБМЕЖЕНОЮ ВІДПОВІДАЛЬНІСТЮ ВИРОБНИЧЕ ПІДПРИЄМСТВО "ЕЛЕКТРОТЕХНІКА"</x:v>
      </x:c>
      <x:c r="D766" s="14" t="str">
        <x:v>Електромонтаж</x:v>
      </x:c>
      <x:c r="E766" s="14" t="str">
        <x:v>Pilot now</x:v>
      </x:c>
      <x:c r="F766" s="17" t="str">
        <x:v>P3</x:v>
      </x:c>
      <x:c r="G766" s="14" t="str"/>
      <x:c r="H766" s="14" t="str">
        <x:v>Пілот зараз — Н.15</x:v>
      </x:c>
      <x:c r="I766" s="16" t="n">
        <x:v>5</x:v>
      </x:c>
      <x:c r="J766" s="16" t="n">
        <x:v>5</x:v>
      </x:c>
      <x:c r="K766" s="16" t="n">
        <x:v>5</x:v>
      </x:c>
      <x:c r="L766" s="16" t="n">
        <x:v>1</x:v>
      </x:c>
      <x:c r="M766" s="16" t="n">
        <x:v>5</x:v>
      </x:c>
      <x:c r="N766" s="16" t="n">
        <x:v>5</x:v>
      </x:c>
      <x:c r="O766" s="16" t="n">
        <x:v>5</x:v>
      </x:c>
      <x:c r="P766" s="16" t="n">
        <x:f>IF(COUNT(I766:O766)&lt;7,"",I766*8+J766*3+K766*2+L766*2+M766*2+N766*2+O766)</x:f>
        <x:v>92</x:v>
      </x:c>
      <x:c r="Q766" s="16" t="n">
        <x:f>IF(COUNT(J766:O766)&lt;6,"",J766*5+K766*4+M766*4+L766*3+N766*2+O766*2)</x:f>
        <x:v>88</x:v>
      </x:c>
      <x:c r="R766" s="14" t="str">
        <x:v>high</x:v>
      </x:c>
      <x:c r="S766" s="14" t="str">
        <x:v>official_prozorro_award_2025_2026</x:v>
      </x:c>
      <x:c r="T766" s="14" t="str">
        <x:v>official_prozorro_api</x:v>
      </x:c>
      <x:c r="U766" s="14" t="str">
        <x:v>Не контактували</x:v>
      </x:c>
      <x:c r="V766" s="15" t="str">
        <x:v>Персоналізований free-pilot outreach по UA-2025-09-22-000985-a; попросити 1 пакет Н.14/Н.15</x:v>
      </x:c>
      <x:c r="W766" s="15" t="str">
        <x:v>Власник / директор; керівник ПТО; відповідальний за договори</x:v>
      </x:c>
      <x:c r="X766" s="15" t="str">
        <x:v>2 підтверджених перемог/договорів у Prozorro на 16 710 грн; 0 проєктів зі строком виконання не раніше 24.08.2026.</x:v>
      </x:c>
      <x:c r="Y766"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 строк до 2025-12-31. Попросити один знеособлений пакет здачі за цим workflow.</x:v>
      </x:c>
      <x:c r="Z766" s="15" t="str">
        <x:v>https://prozorro.gov.ua/tender/UA-2025-09-22-000985-a</x:v>
      </x:c>
      <x:c r="AA766" s="14" t="str">
        <x:v>14227397</x:v>
      </x:c>
      <x:c r="AB766" s="14" t="str">
        <x:v>2026-08-24</x:v>
      </x:c>
      <x:c r="AC766" s="14" t="str"/>
      <x:c r="AD766" s="20" t="str"/>
      <x:c r="AE766" s="14" t="str"/>
      <x:c r="AF766" s="14" t="n">
        <x:v>30</x:v>
      </x:c>
      <x:c r="AG766" s="14" t="str">
        <x:v>I3</x:v>
      </x:c>
      <x:c r="AH766" s="14" t="n">
        <x:v>2</x:v>
      </x:c>
      <x:c r="AI766" s="14" t="n">
        <x:v>0</x:v>
      </x:c>
      <x:c r="AJ766" s="18" t="n">
        <x:v>16710</x:v>
      </x:c>
      <x:c r="AK766" s="14" t="str">
        <x:v>https://prozorro.gov.ua/tender/UA-2025-09-22-000985-a</x:v>
      </x:c>
      <x:c r="AL766" s="19" t="n">
        <x:v>45922.27730739583</x:v>
      </x:c>
      <x:c r="AM766" s="19" t="n">
        <x:v>46022</x:v>
      </x:c>
      <x:c r="AN766" s="15" t="str">
        <x:v>Електромонтаж</x:v>
      </x:c>
      <x:c r="AO766" s="15" t="str">
        <x:v>not_found_in_top_search</x:v>
      </x:c>
    </x:row>
    <x:row r="767">
      <x:c r="A767" s="14" t="str">
        <x:v>W3-495</x:v>
      </x:c>
      <x:c r="B767" s="14" t="str">
        <x:v>Prozorro winners — 24.08</x:v>
      </x:c>
      <x:c r="C767" s="14" t="str">
        <x:v>ТОВ "Технолоджі Мувмент"</x:v>
      </x:c>
      <x:c r="D767" s="14" t="str">
        <x:v>Резервне живлення</x:v>
      </x:c>
      <x:c r="E767" s="14" t="str">
        <x:v>Expansion discovery</x:v>
      </x:c>
      <x:c r="F767" s="17" t="str">
        <x:v>D3</x:v>
      </x:c>
      <x:c r="G767" s="14" t="str"/>
      <x:c r="H767" s="14" t="str">
        <x:v>Discovery розширення — 2 тижні</x:v>
      </x:c>
      <x:c r="I767" s="16" t="n">
        <x:v>1</x:v>
      </x:c>
      <x:c r="J767" s="16" t="n">
        <x:v>5</x:v>
      </x:c>
      <x:c r="K767" s="16" t="n">
        <x:v>4</x:v>
      </x:c>
      <x:c r="L767" s="16" t="n">
        <x:v>1</x:v>
      </x:c>
      <x:c r="M767" s="16" t="n">
        <x:v>5</x:v>
      </x:c>
      <x:c r="N767" s="16" t="n">
        <x:v>5</x:v>
      </x:c>
      <x:c r="O767" s="16" t="n">
        <x:v>5</x:v>
      </x:c>
      <x:c r="P767" s="16" t="n">
        <x:f>IF(COUNT(I767:O767)&lt;7,"",I767*8+J767*3+K767*2+L767*2+M767*2+N767*2+O767)</x:f>
        <x:v>58</x:v>
      </x:c>
      <x:c r="Q767" s="16" t="n">
        <x:f>IF(COUNT(J767:O767)&lt;6,"",J767*5+K767*4+M767*4+L767*3+N767*2+O767*2)</x:f>
        <x:v>84</x:v>
      </x:c>
      <x:c r="R767" s="14" t="str">
        <x:v>high</x:v>
      </x:c>
      <x:c r="S767" s="14" t="str">
        <x:v>official_prozorro_award_2025_2026</x:v>
      </x:c>
      <x:c r="T767" s="14" t="str">
        <x:v>official_prozorro_api</x:v>
      </x:c>
      <x:c r="U767" s="14" t="str">
        <x:v>Не контактували</x:v>
      </x:c>
      <x:c r="V767" s="15" t="str">
        <x:v>Workflow-audit outreach по UA-2025-12-23-018432-a; попросити 1 пакет здачі та вимоги проєкту</x:v>
      </x:c>
      <x:c r="W767" s="15" t="str">
        <x:v>Власник / директор; керівник ПТО; відповідальний за договори</x:v>
      </x:c>
      <x:c r="X767" s="15" t="str">
        <x:v>2 підтверджених перемог/договорів у Prozorro на 15 900 грн; 0 проєктів зі строком виконання не раніше 24.08.2026.</x:v>
      </x:c>
      <x:c r="Y767" s="15" t="str">
        <x:v>Монтаж системи безперебійного живлення; строк до 2025-12-31. Попросити один знеособлений пакет здачі за цим workflow.</x:v>
      </x:c>
      <x:c r="Z767" s="15" t="str">
        <x:v>https://prozorro.gov.ua/tender/UA-2025-12-23-018432-a</x:v>
      </x:c>
      <x:c r="AA767" s="14" t="str">
        <x:v>43961513</x:v>
      </x:c>
      <x:c r="AB767" s="14" t="str">
        <x:v>2026-08-24</x:v>
      </x:c>
      <x:c r="AC767" s="14" t="str"/>
      <x:c r="AD767" s="20" t="str"/>
      <x:c r="AE767" s="14" t="str"/>
      <x:c r="AF767" s="14" t="n">
        <x:v>30</x:v>
      </x:c>
      <x:c r="AG767" s="14" t="str">
        <x:v>I3</x:v>
      </x:c>
      <x:c r="AH767" s="14" t="n">
        <x:v>2</x:v>
      </x:c>
      <x:c r="AI767" s="14" t="n">
        <x:v>0</x:v>
      </x:c>
      <x:c r="AJ767" s="18" t="n">
        <x:v>15900</x:v>
      </x:c>
      <x:c r="AK767" s="14" t="str">
        <x:v>https://prozorro.gov.ua/tender/UA-2025-12-23-018432-a</x:v>
      </x:c>
      <x:c r="AL767" s="19" t="n">
        <x:v>46014.593210416664</x:v>
      </x:c>
      <x:c r="AM767" s="19" t="n">
        <x:v>46022.59162037037</x:v>
      </x:c>
      <x:c r="AN767" s="15" t="str">
        <x:v>Резервне живлення</x:v>
      </x:c>
      <x:c r="AO767" s="15" t="str">
        <x:v>not_found_in_top_search</x:v>
      </x:c>
    </x:row>
    <x:row r="768">
      <x:c r="A768" s="14" t="str">
        <x:v>W3-496</x:v>
      </x:c>
      <x:c r="B768" s="14" t="str">
        <x:v>Prozorro winners — 24.08</x:v>
      </x:c>
      <x:c r="C768" s="14" t="str">
        <x:v>ПЕТРОВ ДМИТРО ОЛЕКСАНДРОВИЧ</x:v>
      </x:c>
      <x:c r="D768" s="14" t="str">
        <x:v>HVAC / ОВіК</x:v>
      </x:c>
      <x:c r="E768" s="14" t="str">
        <x:v>Pilot now</x:v>
      </x:c>
      <x:c r="F768" s="17" t="str">
        <x:v>P3</x:v>
      </x:c>
      <x:c r="G768" s="14" t="str"/>
      <x:c r="H768" s="14" t="str">
        <x:v>Пілот зараз — Н.14</x:v>
      </x:c>
      <x:c r="I768" s="16" t="n">
        <x:v>5</x:v>
      </x:c>
      <x:c r="J768" s="16" t="n">
        <x:v>5</x:v>
      </x:c>
      <x:c r="K768" s="16" t="n">
        <x:v>5</x:v>
      </x:c>
      <x:c r="L768" s="16" t="n">
        <x:v>1</x:v>
      </x:c>
      <x:c r="M768" s="16" t="n">
        <x:v>5</x:v>
      </x:c>
      <x:c r="N768" s="16" t="n">
        <x:v>3</x:v>
      </x:c>
      <x:c r="O768" s="16" t="n">
        <x:v>5</x:v>
      </x:c>
      <x:c r="P768" s="16" t="n">
        <x:f>IF(COUNT(I768:O768)&lt;7,"",I768*8+J768*3+K768*2+L768*2+M768*2+N768*2+O768)</x:f>
        <x:v>88</x:v>
      </x:c>
      <x:c r="Q768" s="16" t="n">
        <x:f>IF(COUNT(J768:O768)&lt;6,"",J768*5+K768*4+M768*4+L768*3+N768*2+O768*2)</x:f>
        <x:v>84</x:v>
      </x:c>
      <x:c r="R768" s="14" t="str">
        <x:v>high</x:v>
      </x:c>
      <x:c r="S768" s="14" t="str">
        <x:v>official_prozorro_award_2025_2026</x:v>
      </x:c>
      <x:c r="T768" s="14" t="str">
        <x:v>official_prozorro_api</x:v>
      </x:c>
      <x:c r="U768" s="14" t="str">
        <x:v>Не контактували</x:v>
      </x:c>
      <x:c r="V768" s="15" t="str">
        <x:v>Повторне звернення з новим тендерним сигналом UA-2026-06-10-000726-a; попросити 1 пакет здачі</x:v>
      </x:c>
      <x:c r="W768" s="15" t="str">
        <x:v>Власник / виконавець; відповідальний за договір</x:v>
      </x:c>
      <x:c r="X768" s="15" t="str">
        <x:v>1 підтверджених перемог/договорів у Prozorro на 15 623 грн; 0 проєктів зі строком виконання не раніше 24.08.2026.</x:v>
      </x:c>
      <x:c r="Y768" s="15" t="str">
        <x:v>Послуги з монтажу системи вентиляції; строк до 2026-04-30. Попросити один знеособлений пакет здачі за цим workflow.</x:v>
      </x:c>
      <x:c r="Z768" s="15" t="str">
        <x:v>https://prozorro.gov.ua/tender/UA-2026-03-23-004571-a</x:v>
      </x:c>
      <x:c r="AA768" s="14" t="str">
        <x:v>2464303831</x:v>
      </x:c>
      <x:c r="AB768" s="14" t="str">
        <x:v>2026-08-24</x:v>
      </x:c>
      <x:c r="AC768" s="14" t="str"/>
      <x:c r="AD768" s="20" t="str"/>
      <x:c r="AE768" s="14" t="str"/>
      <x:c r="AF768" s="14" t="n">
        <x:v>46</x:v>
      </x:c>
      <x:c r="AG768" s="14" t="str">
        <x:v>I3</x:v>
      </x:c>
      <x:c r="AH768" s="14" t="n">
        <x:v>2</x:v>
      </x:c>
      <x:c r="AI768" s="14" t="n">
        <x:v>0</x:v>
      </x:c>
      <x:c r="AJ768" s="18" t="n">
        <x:v>26676.46</x:v>
      </x:c>
      <x:c r="AK768" s="14" t="str">
        <x:v>https://prozorro.gov.ua/tender/UA-2026-06-10-000726-a</x:v>
      </x:c>
      <x:c r="AL768" s="19" t="n">
        <x:v>46183.259785636576</x:v>
      </x:c>
      <x:c r="AM768" s="19" t="n">
        <x:v>46203</x:v>
      </x:c>
      <x:c r="AN768" s="15" t="str">
        <x:v>HVAC / ОВіК; Промислова аспірація</x:v>
      </x:c>
      <x:c r="AO768" s="15" t="str">
        <x:v>not_found_in_top_search</x:v>
      </x:c>
    </x:row>
    <x:row r="769">
      <x:c r="A769" s="14" t="str">
        <x:v>W3-497</x:v>
      </x:c>
      <x:c r="B769" s="14" t="str">
        <x:v>Prozorro winners — 24.08</x:v>
      </x:c>
      <x:c r="C769" s="14" t="str">
        <x:v>ФОП Богдан Сергій Іванович</x:v>
      </x:c>
      <x:c r="D769" s="14" t="str">
        <x:v>Мости / інфраструктура</x:v>
      </x:c>
      <x:c r="E769" s="14" t="str">
        <x:v>Expansion discovery</x:v>
      </x:c>
      <x:c r="F769" s="17" t="str">
        <x:v>D3</x:v>
      </x:c>
      <x:c r="G769" s="14" t="str"/>
      <x:c r="H769" s="14" t="str">
        <x:v>Discovery розширення — 2 тижні</x:v>
      </x:c>
      <x:c r="I769" s="16" t="n">
        <x:v>1</x:v>
      </x:c>
      <x:c r="J769" s="16" t="n">
        <x:v>5</x:v>
      </x:c>
      <x:c r="K769" s="16" t="n">
        <x:v>4</x:v>
      </x:c>
      <x:c r="L769" s="16" t="n">
        <x:v>1</x:v>
      </x:c>
      <x:c r="M769" s="16" t="n">
        <x:v>5</x:v>
      </x:c>
      <x:c r="N769" s="16" t="n">
        <x:v>3</x:v>
      </x:c>
      <x:c r="O769" s="16" t="n">
        <x:v>5</x:v>
      </x:c>
      <x:c r="P769" s="16" t="n">
        <x:f>IF(COUNT(I769:O769)&lt;7,"",I769*8+J769*3+K769*2+L769*2+M769*2+N769*2+O769)</x:f>
        <x:v>54</x:v>
      </x:c>
      <x:c r="Q769" s="16" t="n">
        <x:f>IF(COUNT(J769:O769)&lt;6,"",J769*5+K769*4+M769*4+L769*3+N769*2+O769*2)</x:f>
        <x:v>80</x:v>
      </x:c>
      <x:c r="R769" s="14" t="str">
        <x:v>high</x:v>
      </x:c>
      <x:c r="S769" s="14" t="str">
        <x:v>official_prozorro_award_2025_2026</x:v>
      </x:c>
      <x:c r="T769" s="14" t="str">
        <x:v>official_prozorro_api</x:v>
      </x:c>
      <x:c r="U769" s="14" t="str">
        <x:v>Не контактували</x:v>
      </x:c>
      <x:c r="V769" s="15" t="str">
        <x:v>Workflow-audit outreach по UA-2026-02-14-000356-a; попросити 1 пакет здачі та вимоги проєкту</x:v>
      </x:c>
      <x:c r="W769" s="15" t="str">
        <x:v>Власник / виконавець; відповідальний за договір</x:v>
      </x:c>
      <x:c r="X769" s="15" t="str">
        <x:v>1 підтверджених перемог/договорів у Prozorro на 14 040 грн; 0 проєктів зі строком виконання не раніше 24.08.2026.</x:v>
      </x:c>
      <x:c r="Y769" s="15" t="str">
        <x:v>Ремонт моста КАМАЗ; строк до 2026-02-28. Попросити один знеособлений пакет здачі за цим workflow.</x:v>
      </x:c>
      <x:c r="Z769" s="15" t="str">
        <x:v>https://prozorro.gov.ua/tender/UA-2026-02-14-000356-a</x:v>
      </x:c>
      <x:c r="AA769" s="14" t="str">
        <x:v>2726615794</x:v>
      </x:c>
      <x:c r="AB769" s="14" t="str">
        <x:v>2026-08-24</x:v>
      </x:c>
      <x:c r="AC769" s="14" t="str"/>
      <x:c r="AD769" s="20" t="str"/>
      <x:c r="AE769" s="14" t="str"/>
      <x:c r="AF769" s="14" t="n">
        <x:v>30</x:v>
      </x:c>
      <x:c r="AG769" s="14" t="str">
        <x:v>I3</x:v>
      </x:c>
      <x:c r="AH769" s="14" t="n">
        <x:v>1</x:v>
      </x:c>
      <x:c r="AI769" s="14" t="n">
        <x:v>0</x:v>
      </x:c>
      <x:c r="AJ769" s="18" t="n">
        <x:v>14040</x:v>
      </x:c>
      <x:c r="AK769" s="14" t="str">
        <x:v>https://prozorro.gov.ua/tender/UA-2026-02-14-000356-a</x:v>
      </x:c>
      <x:c r="AL769" s="19" t="n">
        <x:v>46067.45584920139</x:v>
      </x:c>
      <x:c r="AM769" s="19" t="n">
        <x:v>46081.45789351852</x:v>
      </x:c>
      <x:c r="AN769" s="15" t="str">
        <x:v>Мости / інфраструктура</x:v>
      </x:c>
      <x:c r="AO769" s="15" t="str">
        <x:v>not_found_in_top_search</x:v>
      </x:c>
    </x:row>
    <x:row r="770">
      <x:c r="A770" s="14" t="str">
        <x:v>W3-498</x:v>
      </x:c>
      <x:c r="B770" s="14" t="str">
        <x:v>Prozorro winners — 24.08</x:v>
      </x:c>
      <x:c r="C770" s="14" t="str">
        <x:v>ФОП Голомоз Микола Федорович</x:v>
      </x:c>
      <x:c r="D770" s="14" t="str">
        <x:v>Сонячна енергетика</x:v>
      </x:c>
      <x:c r="E770" s="14" t="str">
        <x:v>Expansion discovery</x:v>
      </x:c>
      <x:c r="F770" s="17" t="str">
        <x:v>D3</x:v>
      </x:c>
      <x:c r="G770" s="14" t="str"/>
      <x:c r="H770" s="14" t="str">
        <x:v>Discovery розширення — 2 тижні</x:v>
      </x:c>
      <x:c r="I770" s="16" t="n">
        <x:v>1</x:v>
      </x:c>
      <x:c r="J770" s="16" t="n">
        <x:v>5</x:v>
      </x:c>
      <x:c r="K770" s="16" t="n">
        <x:v>4</x:v>
      </x:c>
      <x:c r="L770" s="16" t="n">
        <x:v>1</x:v>
      </x:c>
      <x:c r="M770" s="16" t="n">
        <x:v>5</x:v>
      </x:c>
      <x:c r="N770" s="16" t="n">
        <x:v>3</x:v>
      </x:c>
      <x:c r="O770" s="16" t="n">
        <x:v>5</x:v>
      </x:c>
      <x:c r="P770" s="16" t="n">
        <x:f>IF(COUNT(I770:O770)&lt;7,"",I770*8+J770*3+K770*2+L770*2+M770*2+N770*2+O770)</x:f>
        <x:v>54</x:v>
      </x:c>
      <x:c r="Q770" s="16" t="n">
        <x:f>IF(COUNT(J770:O770)&lt;6,"",J770*5+K770*4+M770*4+L770*3+N770*2+O770*2)</x:f>
        <x:v>80</x:v>
      </x:c>
      <x:c r="R770" s="14" t="str">
        <x:v>high</x:v>
      </x:c>
      <x:c r="S770" s="14" t="str">
        <x:v>official_prozorro_award_2025_2026</x:v>
      </x:c>
      <x:c r="T770" s="14" t="str">
        <x:v>official_prozorro_api</x:v>
      </x:c>
      <x:c r="U770" s="14" t="str">
        <x:v>Не контактували</x:v>
      </x:c>
      <x:c r="V770" s="15" t="str">
        <x:v>Workflow-audit outreach по UA-2026-03-09-003294-a; попросити 1 пакет здачі та вимоги проєкту</x:v>
      </x:c>
      <x:c r="W770" s="15" t="str">
        <x:v>Власник / виконавець; відповідальний за договір</x:v>
      </x:c>
      <x:c r="X770" s="15" t="str">
        <x:v>1 підтверджених перемог/договорів у Prozorro на 10 000 грн; 0 проєктів зі строком виконання не раніше 24.08.2026.</x:v>
      </x:c>
      <x:c r="Y770" s="15" t="str">
        <x:v>Технічний нагляд на об'єкті "Монтаж сонячної електростанції з накопичувачами енергії (аккумуляторами)"; строк до 2026-05-29. Попросити один знеособлений пакет здачі за цим workflow.</x:v>
      </x:c>
      <x:c r="Z770" s="15" t="str">
        <x:v>https://prozorro.gov.ua/tender/UA-2026-03-09-003294-a</x:v>
      </x:c>
      <x:c r="AA770" s="14" t="str">
        <x:v>2131015451</x:v>
      </x:c>
      <x:c r="AB770" s="14" t="str">
        <x:v>2026-08-24</x:v>
      </x:c>
      <x:c r="AC770" s="14" t="str"/>
      <x:c r="AD770" s="20" t="str"/>
      <x:c r="AE770" s="14" t="str"/>
      <x:c r="AF770" s="14" t="n">
        <x:v>30</x:v>
      </x:c>
      <x:c r="AG770" s="14" t="str">
        <x:v>I3</x:v>
      </x:c>
      <x:c r="AH770" s="14" t="n">
        <x:v>1</x:v>
      </x:c>
      <x:c r="AI770" s="14" t="n">
        <x:v>0</x:v>
      </x:c>
      <x:c r="AJ770" s="18" t="n">
        <x:v>10000</x:v>
      </x:c>
      <x:c r="AK770" s="14" t="str">
        <x:v>https://prozorro.gov.ua/tender/UA-2026-03-09-003294-a</x:v>
      </x:c>
      <x:c r="AL770" s="19" t="n">
        <x:v>46090.37973890046</x:v>
      </x:c>
      <x:c r="AM770" s="19" t="n">
        <x:v>46171</x:v>
      </x:c>
      <x:c r="AN770" s="15" t="str">
        <x:v>Сонячна енергетика</x:v>
      </x:c>
      <x:c r="AO770" s="15" t="str">
        <x:v>not_found_in_top_search</x:v>
      </x:c>
    </x:row>
    <x:row r="771">
      <x:c r="A771" s="14" t="str">
        <x:v>W3-499</x:v>
      </x:c>
      <x:c r="B771" s="14" t="str">
        <x:v>Prozorro winners — 24.08</x:v>
      </x:c>
      <x:c r="C771" s="14" t="str">
        <x:v>ПРИВАТНЕ ПІДПРИЄМСТВО "ПРОМТЕХВОД-Ч"</x:v>
      </x:c>
      <x:c r="D771" s="14" t="str">
        <x:v>ГНБ / безтраншейні роботи</x:v>
      </x:c>
      <x:c r="E771" s="14" t="str">
        <x:v>Expansion discovery</x:v>
      </x:c>
      <x:c r="F771" s="17" t="str">
        <x:v>D3</x:v>
      </x:c>
      <x:c r="G771" s="14" t="str"/>
      <x:c r="H771" s="14" t="str">
        <x:v>Discovery розширення — 2 тижні</x:v>
      </x:c>
      <x:c r="I771" s="16" t="n">
        <x:v>1</x:v>
      </x:c>
      <x:c r="J771" s="16" t="n">
        <x:v>5</x:v>
      </x:c>
      <x:c r="K771" s="16" t="n">
        <x:v>4</x:v>
      </x:c>
      <x:c r="L771" s="16" t="n">
        <x:v>1</x:v>
      </x:c>
      <x:c r="M771" s="16" t="n">
        <x:v>5</x:v>
      </x:c>
      <x:c r="N771" s="16" t="n">
        <x:v>5</x:v>
      </x:c>
      <x:c r="O771" s="16" t="n">
        <x:v>5</x:v>
      </x:c>
      <x:c r="P771" s="16" t="n">
        <x:f>IF(COUNT(I771:O771)&lt;7,"",I771*8+J771*3+K771*2+L771*2+M771*2+N771*2+O771)</x:f>
        <x:v>58</x:v>
      </x:c>
      <x:c r="Q771" s="16" t="n">
        <x:f>IF(COUNT(J771:O771)&lt;6,"",J771*5+K771*4+M771*4+L771*3+N771*2+O771*2)</x:f>
        <x:v>84</x:v>
      </x:c>
      <x:c r="R771" s="14" t="str">
        <x:v>high</x:v>
      </x:c>
      <x:c r="S771" s="14" t="str">
        <x:v>official_prozorro_award_2025_2026</x:v>
      </x:c>
      <x:c r="T771" s="14" t="str">
        <x:v>official_prozorro_api</x:v>
      </x:c>
      <x:c r="U771" s="14" t="str">
        <x:v>Не контактували</x:v>
      </x:c>
      <x:c r="V771" s="15" t="str">
        <x:v>Workflow-audit outreach по UA-2025-11-26-003686-a; попросити 1 пакет здачі та вимоги проєкту</x:v>
      </x:c>
      <x:c r="W771" s="15" t="str">
        <x:v>Власник / директор; керівник ПТО; відповідальний за договори</x:v>
      </x:c>
      <x:c r="X771" s="15" t="str">
        <x:v>2 підтверджених перемог/договорів у Prozorro на 8 816 грн; 0 проєктів зі строком виконання не раніше 24.08.2026.</x:v>
      </x:c>
      <x:c r="Y771"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1" s="15" t="str">
        <x:v>https://prozorro.gov.ua/tender/UA-2025-11-26-003686-a</x:v>
      </x:c>
      <x:c r="AA771" s="14" t="str">
        <x:v>35263361</x:v>
      </x:c>
      <x:c r="AB771" s="14" t="str">
        <x:v>2026-08-24</x:v>
      </x:c>
      <x:c r="AC771" s="14" t="str"/>
      <x:c r="AD771" s="20" t="str"/>
      <x:c r="AE771" s="14" t="str"/>
      <x:c r="AF771" s="14" t="n">
        <x:v>30</x:v>
      </x:c>
      <x:c r="AG771" s="14" t="str">
        <x:v>I3</x:v>
      </x:c>
      <x:c r="AH771" s="14" t="n">
        <x:v>2</x:v>
      </x:c>
      <x:c r="AI771" s="14" t="n">
        <x:v>0</x:v>
      </x:c>
      <x:c r="AJ771" s="18" t="n">
        <x:v>8816.4</x:v>
      </x:c>
      <x:c r="AK771" s="14" t="str">
        <x:v>https://prozorro.gov.ua/tender/UA-2025-11-26-003686-a</x:v>
      </x:c>
      <x:c r="AL771" s="19" t="n">
        <x:v>45987.3591599537</x:v>
      </x:c>
      <x:c r="AM771" s="19" t="n">
        <x:v>46022</x:v>
      </x:c>
      <x:c r="AN771" s="15" t="str">
        <x:v>ГНБ / безтраншейні роботи</x:v>
      </x:c>
      <x:c r="AO771" s="15" t="str">
        <x:v>not_found_in_top_search</x:v>
      </x:c>
    </x:row>
    <x:row r="772">
      <x:c r="A772" s="14" t="str">
        <x:v>W3-500</x:v>
      </x:c>
      <x:c r="B772" s="14" t="str">
        <x:v>Prozorro winners — 24.08</x:v>
      </x:c>
      <x:c r="C772" s="14" t="str">
        <x:v>ТОВАРИСТВО З ОБМЕЖЕНОЮ ВІДПОВІДАЛЬНІСТЮ "ВІНАКВАБУД"</x:v>
      </x:c>
      <x:c r="D772" s="14" t="str">
        <x:v>ГНБ / безтраншейні роботи</x:v>
      </x:c>
      <x:c r="E772" s="14" t="str">
        <x:v>Expansion discovery</x:v>
      </x:c>
      <x:c r="F772" s="17" t="str">
        <x:v>D3</x:v>
      </x:c>
      <x:c r="G772" s="14" t="str"/>
      <x:c r="H772" s="14" t="str">
        <x:v>Discovery розширення — 2 тижні</x:v>
      </x:c>
      <x:c r="I772" s="16" t="n">
        <x:v>1</x:v>
      </x:c>
      <x:c r="J772" s="16" t="n">
        <x:v>5</x:v>
      </x:c>
      <x:c r="K772" s="16" t="n">
        <x:v>4</x:v>
      </x:c>
      <x:c r="L772" s="16" t="n">
        <x:v>2</x:v>
      </x:c>
      <x:c r="M772" s="16" t="n">
        <x:v>5</x:v>
      </x:c>
      <x:c r="N772" s="16" t="n">
        <x:v>5</x:v>
      </x:c>
      <x:c r="O772" s="16" t="n">
        <x:v>5</x:v>
      </x:c>
      <x:c r="P772" s="16" t="n">
        <x:f>IF(COUNT(I772:O772)&lt;7,"",I772*8+J772*3+K772*2+L772*2+M772*2+N772*2+O772)</x:f>
        <x:v>60</x:v>
      </x:c>
      <x:c r="Q772" s="16" t="n">
        <x:f>IF(COUNT(J772:O772)&lt;6,"",J772*5+K772*4+M772*4+L772*3+N772*2+O772*2)</x:f>
        <x:v>87</x:v>
      </x:c>
      <x:c r="R772" s="14" t="str">
        <x:v>high</x:v>
      </x:c>
      <x:c r="S772" s="14" t="str">
        <x:v>official_prozorro_award_2025_2026</x:v>
      </x:c>
      <x:c r="T772" s="14" t="str">
        <x:v>official_prozorro_api</x:v>
      </x:c>
      <x:c r="U772" s="14" t="str">
        <x:v>Не контактували</x:v>
      </x:c>
      <x:c r="V772" s="15" t="str">
        <x:v>Workflow-audit outreach по UA-2025-04-24-010542-a; попросити 1 пакет здачі та вимоги проєкту</x:v>
      </x:c>
      <x:c r="W772" s="15" t="str">
        <x:v>Власник / директор; керівник ПТО; відповідальний за договори</x:v>
      </x:c>
      <x:c r="X772" s="15" t="str">
        <x:v>1 підтверджених перемог/договорів у Prozorro на 398 442 грн; 0 проєктів зі строком виконання не раніше 24.08.2026.</x:v>
      </x:c>
      <x:c r="Y772"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 строк до 2025-12-31. Попросити один знеособлений пакет здачі за цим workflow.</x:v>
      </x:c>
      <x:c r="Z772" s="15" t="str">
        <x:v>https://prozorro.gov.ua/tender/UA-2025-04-24-010542-a</x:v>
      </x:c>
      <x:c r="AA772" s="14" t="str">
        <x:v>43076612</x:v>
      </x:c>
      <x:c r="AB772" s="14" t="str">
        <x:v>2026-08-24</x:v>
      </x:c>
      <x:c r="AC772" s="14" t="str"/>
      <x:c r="AD772" s="20" t="str"/>
      <x:c r="AE772" s="14" t="str"/>
      <x:c r="AF772" s="14" t="n">
        <x:v>29</x:v>
      </x:c>
      <x:c r="AG772" s="14" t="str">
        <x:v>I3</x:v>
      </x:c>
      <x:c r="AH772" s="14" t="n">
        <x:v>1</x:v>
      </x:c>
      <x:c r="AI772" s="14" t="n">
        <x:v>0</x:v>
      </x:c>
      <x:c r="AJ772" s="18" t="n">
        <x:v>398441.92</x:v>
      </x:c>
      <x:c r="AK772" s="14" t="str">
        <x:v>https://prozorro.gov.ua/tender/UA-2025-04-24-010542-a</x:v>
      </x:c>
      <x:c r="AL772" s="19" t="n">
        <x:v>45771.539392847226</x:v>
      </x:c>
      <x:c r="AM772" s="19" t="n">
        <x:v>46022</x:v>
      </x:c>
      <x:c r="AN772" s="15" t="str">
        <x:v>ГНБ / безтраншейні роботи</x:v>
      </x:c>
      <x:c r="AO772" s="15" t="str">
        <x:v>not_found_in_top_search</x:v>
      </x:c>
    </x:row>
    <x:row r="773">
      <x:c r="A773" s="14" t="str">
        <x:v>W3-501</x:v>
      </x:c>
      <x:c r="B773" s="14" t="str">
        <x:v>Prozorro winners — 24.08</x:v>
      </x:c>
      <x:c r="C773" s="14" t="str">
        <x:v>ТОВ "Тім Білд"</x:v>
      </x:c>
      <x:c r="D773" s="14" t="str">
        <x:v>Технологічні трубопроводи</x:v>
      </x:c>
      <x:c r="E773" s="14" t="str">
        <x:v>Expansion discovery</x:v>
      </x:c>
      <x:c r="F773" s="17" t="str">
        <x:v>D3</x:v>
      </x:c>
      <x:c r="G773" s="14" t="str"/>
      <x:c r="H773" s="14" t="str">
        <x:v>Discovery розширення — 2 тижні</x:v>
      </x:c>
      <x:c r="I773" s="16" t="n">
        <x:v>1</x:v>
      </x:c>
      <x:c r="J773" s="16" t="n">
        <x:v>5</x:v>
      </x:c>
      <x:c r="K773" s="16" t="n">
        <x:v>4</x:v>
      </x:c>
      <x:c r="L773" s="16" t="n">
        <x:v>2</x:v>
      </x:c>
      <x:c r="M773" s="16" t="n">
        <x:v>5</x:v>
      </x:c>
      <x:c r="N773" s="16" t="n">
        <x:v>5</x:v>
      </x:c>
      <x:c r="O773" s="16" t="n">
        <x:v>5</x:v>
      </x:c>
      <x:c r="P773" s="16" t="n">
        <x:f>IF(COUNT(I773:O773)&lt;7,"",I773*8+J773*3+K773*2+L773*2+M773*2+N773*2+O773)</x:f>
        <x:v>60</x:v>
      </x:c>
      <x:c r="Q773" s="16" t="n">
        <x:f>IF(COUNT(J773:O773)&lt;6,"",J773*5+K773*4+M773*4+L773*3+N773*2+O773*2)</x:f>
        <x:v>87</x:v>
      </x:c>
      <x:c r="R773" s="14" t="str">
        <x:v>high</x:v>
      </x:c>
      <x:c r="S773" s="14" t="str">
        <x:v>official_prozorro_award_2025_2026</x:v>
      </x:c>
      <x:c r="T773" s="14" t="str">
        <x:v>official_prozorro_api</x:v>
      </x:c>
      <x:c r="U773" s="14" t="str">
        <x:v>Не контактували</x:v>
      </x:c>
      <x:c r="V773" s="15" t="str">
        <x:v>Workflow-audit outreach по UA-2025-06-06-006281-a; попросити 1 пакет здачі та вимоги проєкту</x:v>
      </x:c>
      <x:c r="W773" s="15" t="str">
        <x:v>Власник / директор; керівник ПТО; відповідальний за договори</x:v>
      </x:c>
      <x:c r="X773" s="15" t="str">
        <x:v>1 підтверджених перемог/договорів у Prozorro на 332 142 грн; 0 проєктів зі строком виконання не раніше 24.08.2026.</x:v>
      </x:c>
      <x:c r="Y773"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 строк до 2025-11-30. Попросити один знеособлений пакет здачі за цим workflow.</x:v>
      </x:c>
      <x:c r="Z773" s="15" t="str">
        <x:v>https://prozorro.gov.ua/tender/UA-2025-06-06-006281-a</x:v>
      </x:c>
      <x:c r="AA773" s="14" t="str">
        <x:v>41105693</x:v>
      </x:c>
      <x:c r="AB773" s="14" t="str">
        <x:v>2026-08-24</x:v>
      </x:c>
      <x:c r="AC773" s="14" t="str"/>
      <x:c r="AD773" s="20" t="str"/>
      <x:c r="AE773" s="14" t="str"/>
      <x:c r="AF773" s="14" t="n">
        <x:v>29</x:v>
      </x:c>
      <x:c r="AG773" s="14" t="str">
        <x:v>I3</x:v>
      </x:c>
      <x:c r="AH773" s="14" t="n">
        <x:v>1</x:v>
      </x:c>
      <x:c r="AI773" s="14" t="n">
        <x:v>0</x:v>
      </x:c>
      <x:c r="AJ773" s="18" t="n">
        <x:v>332142</x:v>
      </x:c>
      <x:c r="AK773" s="14" t="str">
        <x:v>https://prozorro.gov.ua/tender/UA-2025-06-06-006281-a</x:v>
      </x:c>
      <x:c r="AL773" s="19" t="n">
        <x:v>45814.41394949074</x:v>
      </x:c>
      <x:c r="AM773" s="19" t="n">
        <x:v>45991</x:v>
      </x:c>
      <x:c r="AN773" s="15" t="str">
        <x:v>Технологічні трубопроводи</x:v>
      </x:c>
      <x:c r="AO773" s="15" t="str">
        <x:v>not_found_in_top_search</x:v>
      </x:c>
    </x:row>
    <x:row r="774">
      <x:c r="A774" s="14" t="str">
        <x:v>W3-502</x:v>
      </x:c>
      <x:c r="B774" s="14" t="str">
        <x:v>Prozorro winners — 24.08</x:v>
      </x:c>
      <x:c r="C774" s="14" t="str">
        <x:v>ТОВАРИСТВО З ОБМЕЖЕНОЮ ВІДПОВІДАЛЬНІСТЮ "СТТ-АЛЬФА"</x:v>
      </x:c>
      <x:c r="D774" s="14" t="str">
        <x:v>ВОЛЗ / телеком</x:v>
      </x:c>
      <x:c r="E774" s="14" t="str">
        <x:v>Expansion discovery</x:v>
      </x:c>
      <x:c r="F774" s="17" t="str">
        <x:v>D3</x:v>
      </x:c>
      <x:c r="G774" s="14" t="str"/>
      <x:c r="H774" s="14" t="str">
        <x:v>Discovery розширення — 2 тижні</x:v>
      </x:c>
      <x:c r="I774" s="16" t="n">
        <x:v>1</x:v>
      </x:c>
      <x:c r="J774" s="16" t="n">
        <x:v>5</x:v>
      </x:c>
      <x:c r="K774" s="16" t="n">
        <x:v>4</x:v>
      </x:c>
      <x:c r="L774" s="16" t="n">
        <x:v>2</x:v>
      </x:c>
      <x:c r="M774" s="16" t="n">
        <x:v>5</x:v>
      </x:c>
      <x:c r="N774" s="16" t="n">
        <x:v>5</x:v>
      </x:c>
      <x:c r="O774" s="16" t="n">
        <x:v>5</x:v>
      </x:c>
      <x:c r="P774" s="16" t="n">
        <x:f>IF(COUNT(I774:O774)&lt;7,"",I774*8+J774*3+K774*2+L774*2+M774*2+N774*2+O774)</x:f>
        <x:v>60</x:v>
      </x:c>
      <x:c r="Q774" s="16" t="n">
        <x:f>IF(COUNT(J774:O774)&lt;6,"",J774*5+K774*4+M774*4+L774*3+N774*2+O774*2)</x:f>
        <x:v>87</x:v>
      </x:c>
      <x:c r="R774" s="14" t="str">
        <x:v>high</x:v>
      </x:c>
      <x:c r="S774" s="14" t="str">
        <x:v>official_prozorro_award_2025_2026</x:v>
      </x:c>
      <x:c r="T774" s="14" t="str">
        <x:v>official_prozorro_api</x:v>
      </x:c>
      <x:c r="U774" s="14" t="str">
        <x:v>Не контактували</x:v>
      </x:c>
      <x:c r="V774" s="15" t="str">
        <x:v>Повторне звернення з новим тендерним сигналом UA-2025-05-09-011925-a; попросити 1 пакет здачі</x:v>
      </x:c>
      <x:c r="W774" s="15" t="str">
        <x:v>Власник / директор; керівник ПТО; відповідальний за договори</x:v>
      </x:c>
      <x:c r="X774" s="15" t="str">
        <x:v>1 підтверджених перемог/договорів у Prozorro на 240 000 грн; 0 проєктів зі строком виконання не раніше 24.08.2026.</x:v>
      </x:c>
      <x:c r="Y774" s="15" t="str">
        <x:v>Роботи  по будівництву волоконно-оптичної ліній зв’язку для ПрАТ «Закарпаттяобленерго»: «ВОЛЗ Ужгородська філія – Укртелеком»; строк до 2025-11-30. Попросити один знеособлений пакет здачі за цим workflow.</x:v>
      </x:c>
      <x:c r="Z774" s="15" t="str">
        <x:v>https://prozorro.gov.ua/tender/UA-2025-01-01-001875-a</x:v>
      </x:c>
      <x:c r="AA774" s="14" t="str">
        <x:v>37013937</x:v>
      </x:c>
      <x:c r="AB774" s="14" t="str">
        <x:v>2026-08-24</x:v>
      </x:c>
      <x:c r="AC774" s="14" t="str"/>
      <x:c r="AD774" s="20" t="str"/>
      <x:c r="AE774" s="14" t="str"/>
      <x:c r="AF774" s="14" t="n">
        <x:v>30</x:v>
      </x:c>
      <x:c r="AG774" s="14" t="str">
        <x:v>I3</x:v>
      </x:c>
      <x:c r="AH774" s="14" t="n">
        <x:v>2</x:v>
      </x:c>
      <x:c r="AI774" s="14" t="n">
        <x:v>0</x:v>
      </x:c>
      <x:c r="AJ774" s="18" t="n">
        <x:v>320000</x:v>
      </x:c>
      <x:c r="AK774" s="14" t="str">
        <x:v>https://prozorro.gov.ua/tender/UA-2025-05-09-011925-a</x:v>
      </x:c>
      <x:c r="AL774" s="19" t="n">
        <x:v>45786.54898666667</x:v>
      </x:c>
      <x:c r="AM774" s="19" t="n">
        <x:v>45839</x:v>
      </x:c>
      <x:c r="AN774" s="15" t="str">
        <x:v>ВОЛЗ / телеком</x:v>
      </x:c>
      <x:c r="AO774" s="15" t="str">
        <x:v>not_found_in_top_search</x:v>
      </x:c>
    </x:row>
    <x:row r="775">
      <x:c r="A775" s="14" t="str">
        <x:v>W3-503</x:v>
      </x:c>
      <x:c r="B775" s="14" t="str">
        <x:v>Prozorro winners — 24.08</x:v>
      </x:c>
      <x:c r="C775" s="14" t="str">
        <x:v>Товариство з обмеженою відповідальністю "Елітар"</x:v>
      </x:c>
      <x:c r="D775" s="14" t="str">
        <x:v>ГНБ / безтраншейні роботи</x:v>
      </x:c>
      <x:c r="E775" s="14" t="str">
        <x:v>Expansion discovery</x:v>
      </x:c>
      <x:c r="F775" s="17" t="str">
        <x:v>D3</x:v>
      </x:c>
      <x:c r="G775" s="14" t="str"/>
      <x:c r="H775" s="14" t="str">
        <x:v>Discovery розширення — 2 тижні</x:v>
      </x:c>
      <x:c r="I775" s="16" t="n">
        <x:v>1</x:v>
      </x:c>
      <x:c r="J775" s="16" t="n">
        <x:v>5</x:v>
      </x:c>
      <x:c r="K775" s="16" t="n">
        <x:v>4</x:v>
      </x:c>
      <x:c r="L775" s="16" t="n">
        <x:v>2</x:v>
      </x:c>
      <x:c r="M775" s="16" t="n">
        <x:v>5</x:v>
      </x:c>
      <x:c r="N775" s="16" t="n">
        <x:v>5</x:v>
      </x:c>
      <x:c r="O775" s="16" t="n">
        <x:v>5</x:v>
      </x:c>
      <x:c r="P775" s="16" t="n">
        <x:f>IF(COUNT(I775:O775)&lt;7,"",I775*8+J775*3+K775*2+L775*2+M775*2+N775*2+O775)</x:f>
        <x:v>60</x:v>
      </x:c>
      <x:c r="Q775" s="16" t="n">
        <x:f>IF(COUNT(J775:O775)&lt;6,"",J775*5+K775*4+M775*4+L775*3+N775*2+O775*2)</x:f>
        <x:v>87</x:v>
      </x:c>
      <x:c r="R775" s="14" t="str">
        <x:v>high</x:v>
      </x:c>
      <x:c r="S775" s="14" t="str">
        <x:v>official_prozorro_award_2025_2026</x:v>
      </x:c>
      <x:c r="T775" s="14" t="str">
        <x:v>official_prozorro_api</x:v>
      </x:c>
      <x:c r="U775" s="14" t="str">
        <x:v>Не контактували</x:v>
      </x:c>
      <x:c r="V775" s="15" t="str">
        <x:v>Повторне звернення з новим тендерним сигналом UA-2024-11-25-017403-a; попросити 1 пакет здачі</x:v>
      </x:c>
      <x:c r="W775" s="15" t="str">
        <x:v>Власник / директор; керівник ПТО; відповідальний за договори</x:v>
      </x:c>
      <x:c r="X775" s="15" t="str">
        <x:v>1 підтверджених перемог/договорів у Prozorro на 168 130 грн; 0 проєктів зі строком виконання не раніше 24.08.2026.</x:v>
      </x:c>
      <x:c r="Y775" s="15" t="str">
        <x:v>Роботи з прокладання водопровідної мережі Д-200 мм методом горизонтально-направленого буріння через частину дороги.; строк до 2025-02-20. Попросити один знеособлений пакет здачі за цим workflow.</x:v>
      </x:c>
      <x:c r="Z775" s="15" t="str">
        <x:v>https://prozorro.gov.ua/tender/UA-2025-01-24-004278-a</x:v>
      </x:c>
      <x:c r="AA775" s="14" t="str">
        <x:v>32549968</x:v>
      </x:c>
      <x:c r="AB775" s="14" t="str">
        <x:v>2026-08-24</x:v>
      </x:c>
      <x:c r="AC775" s="14" t="str"/>
      <x:c r="AD775" s="20" t="str"/>
      <x:c r="AE775" s="14" t="str"/>
      <x:c r="AF775" s="14" t="n">
        <x:v>40</x:v>
      </x:c>
      <x:c r="AG775" s="14" t="str">
        <x:v>I3</x:v>
      </x:c>
      <x:c r="AH775" s="14" t="n">
        <x:v>3</x:v>
      </x:c>
      <x:c r="AI775" s="14" t="n">
        <x:v>0</x:v>
      </x:c>
      <x:c r="AJ775" s="18" t="n">
        <x:v>364621.2</x:v>
      </x:c>
      <x:c r="AK775" s="14" t="str">
        <x:v>https://prozorro.gov.ua/tender/UA-2024-11-25-017403-a</x:v>
      </x:c>
      <x:c r="AL775" s="19" t="n">
        <x:v>45621.623676759256</x:v>
      </x:c>
      <x:c r="AM775" s="19" t="n">
        <x:v>45657</x:v>
      </x:c>
      <x:c r="AN775" s="15" t="str">
        <x:v>ГНБ / безтраншейні роботи</x:v>
      </x:c>
      <x:c r="AO775" s="15" t="str">
        <x:v>not_found_in_top_search</x:v>
      </x:c>
    </x:row>
    <x:row r="776">
      <x:c r="A776" s="14" t="str">
        <x:v>W3-504</x:v>
      </x:c>
      <x:c r="B776" s="14" t="str">
        <x:v>Prozorro winners — 24.08</x:v>
      </x:c>
      <x:c r="C776" s="14" t="str">
        <x:v>ТОВ "КЛІМАТ-ЕКСПЕРТ"</x:v>
      </x:c>
      <x:c r="D776" s="14" t="str">
        <x:v>Промисловий холод</x:v>
      </x:c>
      <x:c r="E776" s="14" t="str">
        <x:v>Expansion discovery</x:v>
      </x:c>
      <x:c r="F776" s="17" t="str">
        <x:v>D3</x:v>
      </x:c>
      <x:c r="G776" s="14" t="str"/>
      <x:c r="H776" s="14" t="str">
        <x:v>Discovery розширення — 2 тижні</x:v>
      </x:c>
      <x:c r="I776" s="16" t="n">
        <x:v>1</x:v>
      </x:c>
      <x:c r="J776" s="16" t="n">
        <x:v>5</x:v>
      </x:c>
      <x:c r="K776" s="16" t="n">
        <x:v>4</x:v>
      </x:c>
      <x:c r="L776" s="16" t="n">
        <x:v>2</x:v>
      </x:c>
      <x:c r="M776" s="16" t="n">
        <x:v>5</x:v>
      </x:c>
      <x:c r="N776" s="16" t="n">
        <x:v>5</x:v>
      </x:c>
      <x:c r="O776" s="16" t="n">
        <x:v>5</x:v>
      </x:c>
      <x:c r="P776" s="16" t="n">
        <x:f>IF(COUNT(I776:O776)&lt;7,"",I776*8+J776*3+K776*2+L776*2+M776*2+N776*2+O776)</x:f>
        <x:v>60</x:v>
      </x:c>
      <x:c r="Q776" s="16" t="n">
        <x:f>IF(COUNT(J776:O776)&lt;6,"",J776*5+K776*4+M776*4+L776*3+N776*2+O776*2)</x:f>
        <x:v>87</x:v>
      </x:c>
      <x:c r="R776" s="14" t="str">
        <x:v>high</x:v>
      </x:c>
      <x:c r="S776" s="14" t="str">
        <x:v>official_prozorro_award_2025_2026</x:v>
      </x:c>
      <x:c r="T776" s="14" t="str">
        <x:v>official_prozorro_api</x:v>
      </x:c>
      <x:c r="U776" s="14" t="str">
        <x:v>Не контактували</x:v>
      </x:c>
      <x:c r="V776" s="15" t="str">
        <x:v>Workflow-audit outreach по UA-2025-11-28-009910-a; попросити 1 пакет здачі та вимоги проєкту</x:v>
      </x:c>
      <x:c r="W776" s="15" t="str">
        <x:v>Власник / директор; керівник ПТО; відповідальний за договори</x:v>
      </x:c>
      <x:c r="X776" s="15" t="str">
        <x:v>1 підтверджених перемог/договорів у Prozorro на 129 999 грн; 0 проєктів зі строком виконання не раніше 24.08.2026.</x:v>
      </x:c>
      <x:c r="Y776" s="15" t="str">
        <x:v>Кондиціонери спліт-системи з монтажем (ДК 021:2015 код 42510000-4 Теплообмінники, кондиціонери повітря, холодильне обладнання та фільтрувальні пристрої); строк до 2025-12-29. Попросити один знеособлений пакет здачі за цим workflow.</x:v>
      </x:c>
      <x:c r="Z776" s="15" t="str">
        <x:v>https://prozorro.gov.ua/tender/UA-2025-11-28-009910-a</x:v>
      </x:c>
      <x:c r="AA776" s="14" t="str">
        <x:v>43105056</x:v>
      </x:c>
      <x:c r="AB776" s="14" t="str">
        <x:v>2026-08-24</x:v>
      </x:c>
      <x:c r="AC776" s="14" t="str"/>
      <x:c r="AD776" s="20" t="str"/>
      <x:c r="AE776" s="14" t="str"/>
      <x:c r="AF776" s="14" t="n">
        <x:v>29</x:v>
      </x:c>
      <x:c r="AG776" s="14" t="str">
        <x:v>I3</x:v>
      </x:c>
      <x:c r="AH776" s="14" t="n">
        <x:v>1</x:v>
      </x:c>
      <x:c r="AI776" s="14" t="n">
        <x:v>0</x:v>
      </x:c>
      <x:c r="AJ776" s="18" t="n">
        <x:v>129999</x:v>
      </x:c>
      <x:c r="AK776" s="14" t="str">
        <x:v>https://prozorro.gov.ua/tender/UA-2025-11-28-009910-a</x:v>
      </x:c>
      <x:c r="AL776" s="19" t="n">
        <x:v>46000.588347997684</x:v>
      </x:c>
      <x:c r="AM776" s="19" t="n">
        <x:v>46020</x:v>
      </x:c>
      <x:c r="AN776" s="15" t="str">
        <x:v>Промисловий холод</x:v>
      </x:c>
      <x:c r="AO776" s="15" t="str">
        <x:v>not_found_in_top_search</x:v>
      </x:c>
    </x:row>
    <x:row r="777">
      <x:c r="A777" s="14" t="str">
        <x:v>W3-505</x:v>
      </x:c>
      <x:c r="B777" s="14" t="str">
        <x:v>Prozorro winners — 24.08</x:v>
      </x:c>
      <x:c r="C777" s="14" t="str">
        <x:v>ІЩУК ІГОР ІВАНОВИЧ</x:v>
      </x:c>
      <x:c r="D777" s="14" t="str">
        <x:v>HVAC / ОВіК</x:v>
      </x:c>
      <x:c r="E777" s="14" t="str">
        <x:v>Pilot now</x:v>
      </x:c>
      <x:c r="F777" s="17" t="str">
        <x:v>P3</x:v>
      </x:c>
      <x:c r="G777" s="14" t="str"/>
      <x:c r="H777" s="14" t="str">
        <x:v>Пілот зараз — Н.14</x:v>
      </x:c>
      <x:c r="I777" s="16" t="n">
        <x:v>5</x:v>
      </x:c>
      <x:c r="J777" s="16" t="n">
        <x:v>5</x:v>
      </x:c>
      <x:c r="K777" s="16" t="n">
        <x:v>5</x:v>
      </x:c>
      <x:c r="L777" s="16" t="n">
        <x:v>1</x:v>
      </x:c>
      <x:c r="M777" s="16" t="n">
        <x:v>5</x:v>
      </x:c>
      <x:c r="N777" s="16" t="n">
        <x:v>3</x:v>
      </x:c>
      <x:c r="O777" s="16" t="n">
        <x:v>5</x:v>
      </x:c>
      <x:c r="P777" s="16" t="n">
        <x:f>IF(COUNT(I777:O777)&lt;7,"",I777*8+J777*3+K777*2+L777*2+M777*2+N777*2+O777)</x:f>
        <x:v>88</x:v>
      </x:c>
      <x:c r="Q777" s="16" t="n">
        <x:f>IF(COUNT(J777:O777)&lt;6,"",J777*5+K777*4+M777*4+L777*3+N777*2+O777*2)</x:f>
        <x:v>84</x:v>
      </x:c>
      <x:c r="R777" s="14" t="str">
        <x:v>high</x:v>
      </x:c>
      <x:c r="S777" s="14" t="str">
        <x:v>official_prozorro_award_2025_2026</x:v>
      </x:c>
      <x:c r="T777" s="14" t="str">
        <x:v>official_prozorro_api</x:v>
      </x:c>
      <x:c r="U777" s="14" t="str">
        <x:v>Не контактували</x:v>
      </x:c>
      <x:c r="V777" s="15" t="str">
        <x:v>Персоналізований free-pilot outreach по UA-2025-12-18-017182-a; попросити 1 пакет Н.14/Н.15</x:v>
      </x:c>
      <x:c r="W777" s="15" t="str">
        <x:v>Власник / виконавець; відповідальний за договір</x:v>
      </x:c>
      <x:c r="X777" s="15" t="str">
        <x:v>2 підтверджених перемог/договорів у Prozorro на 20 450 грн; 0 проєктів зі строком виконання не раніше 24.08.2026.</x:v>
      </x:c>
      <x:c r="Y777" s="15" t="str">
        <x:v>Послуги з монтажу системи опалення за адресою: м.Тернопіль, вул.Р.Купчинського,14; строк до 2025-12-31. Попросити один знеособлений пакет здачі за цим workflow.</x:v>
      </x:c>
      <x:c r="Z777" s="15" t="str">
        <x:v>https://prozorro.gov.ua/tender/UA-2025-12-18-017182-a</x:v>
      </x:c>
      <x:c r="AA777" s="14" t="str">
        <x:v>2598101832</x:v>
      </x:c>
      <x:c r="AB777" s="14" t="str">
        <x:v>2026-08-24</x:v>
      </x:c>
      <x:c r="AC777" s="14" t="str"/>
      <x:c r="AD777" s="20" t="str"/>
      <x:c r="AE777" s="14" t="str"/>
      <x:c r="AF777" s="14" t="n">
        <x:v>27</x:v>
      </x:c>
      <x:c r="AG777" s="14" t="str">
        <x:v>I3</x:v>
      </x:c>
      <x:c r="AH777" s="14" t="n">
        <x:v>2</x:v>
      </x:c>
      <x:c r="AI777" s="14" t="n">
        <x:v>0</x:v>
      </x:c>
      <x:c r="AJ777" s="18" t="n">
        <x:v>20450</x:v>
      </x:c>
      <x:c r="AK777" s="14" t="str">
        <x:v>https://prozorro.gov.ua/tender/UA-2025-12-18-017182-a</x:v>
      </x:c>
      <x:c r="AL777" s="19" t="n">
        <x:v>46009.55050619213</x:v>
      </x:c>
      <x:c r="AM777" s="19" t="n">
        <x:v>46022.916666655095</x:v>
      </x:c>
      <x:c r="AN777" s="15" t="str">
        <x:v>HVAC / ОВіК</x:v>
      </x:c>
      <x:c r="AO777" s="15" t="str">
        <x:v>not_found_in_top_search</x:v>
      </x:c>
    </x:row>
    <x:row r="778">
      <x:c r="A778" s="14" t="str">
        <x:v>W3-506</x:v>
      </x:c>
      <x:c r="B778" s="14" t="str">
        <x:v>Prozorro winners — 24.08</x:v>
      </x:c>
      <x:c r="C778" s="14" t="str">
        <x:v>ОЛЕКСІЄНКО ВОЛОДИМИР ВАЛЕНТИНОВИЧ</x:v>
      </x:c>
      <x:c r="D778" s="14" t="str">
        <x:v>Електромонтаж</x:v>
      </x:c>
      <x:c r="E778" s="14" t="str">
        <x:v>Pilot now</x:v>
      </x:c>
      <x:c r="F778" s="17" t="str">
        <x:v>P3</x:v>
      </x:c>
      <x:c r="G778" s="14" t="str"/>
      <x:c r="H778" s="14" t="str">
        <x:v>Пілот зараз — Н.15</x:v>
      </x:c>
      <x:c r="I778" s="16" t="n">
        <x:v>5</x:v>
      </x:c>
      <x:c r="J778" s="16" t="n">
        <x:v>5</x:v>
      </x:c>
      <x:c r="K778" s="16" t="n">
        <x:v>5</x:v>
      </x:c>
      <x:c r="L778" s="16" t="n">
        <x:v>1</x:v>
      </x:c>
      <x:c r="M778" s="16" t="n">
        <x:v>5</x:v>
      </x:c>
      <x:c r="N778" s="16" t="n">
        <x:v>3</x:v>
      </x:c>
      <x:c r="O778" s="16" t="n">
        <x:v>5</x:v>
      </x:c>
      <x:c r="P778" s="16" t="n">
        <x:f>IF(COUNT(I778:O778)&lt;7,"",I778*8+J778*3+K778*2+L778*2+M778*2+N778*2+O778)</x:f>
        <x:v>88</x:v>
      </x:c>
      <x:c r="Q778" s="16" t="n">
        <x:f>IF(COUNT(J778:O778)&lt;6,"",J778*5+K778*4+M778*4+L778*3+N778*2+O778*2)</x:f>
        <x:v>84</x:v>
      </x:c>
      <x:c r="R778" s="14" t="str">
        <x:v>high</x:v>
      </x:c>
      <x:c r="S778" s="14" t="str">
        <x:v>official_prozorro_award_2025_2026</x:v>
      </x:c>
      <x:c r="T778" s="14" t="str">
        <x:v>official_prozorro_api</x:v>
      </x:c>
      <x:c r="U778" s="14" t="str">
        <x:v>Не контактували</x:v>
      </x:c>
      <x:c r="V778" s="15" t="str">
        <x:v>Персоналізований free-pilot outreach по UA-2025-11-21-005492-a; попросити 1 пакет Н.14/Н.15</x:v>
      </x:c>
      <x:c r="W778" s="15" t="str">
        <x:v>Власник / виконавець; відповідальний за договір</x:v>
      </x:c>
      <x:c r="X778" s="15" t="str">
        <x:v>2 підтверджених перемог/договорів у Prozorro на 16 000 грн; 0 проєктів зі строком виконання не раніше 24.08.2026.</x:v>
      </x:c>
      <x:c r="Y778"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 строк до 2025-12-31. Попросити один знеособлений пакет здачі за цим workflow.</x:v>
      </x:c>
      <x:c r="Z778" s="15" t="str">
        <x:v>https://prozorro.gov.ua/tender/UA-2025-11-21-005492-a</x:v>
      </x:c>
      <x:c r="AA778" s="14" t="str">
        <x:v>2455604611</x:v>
      </x:c>
      <x:c r="AB778" s="14" t="str">
        <x:v>2026-08-24</x:v>
      </x:c>
      <x:c r="AC778" s="14" t="str"/>
      <x:c r="AD778" s="20" t="str"/>
      <x:c r="AE778" s="14" t="str"/>
      <x:c r="AF778" s="14" t="n">
        <x:v>27</x:v>
      </x:c>
      <x:c r="AG778" s="14" t="str">
        <x:v>I3</x:v>
      </x:c>
      <x:c r="AH778" s="14" t="n">
        <x:v>2</x:v>
      </x:c>
      <x:c r="AI778" s="14" t="n">
        <x:v>0</x:v>
      </x:c>
      <x:c r="AJ778" s="18" t="n">
        <x:v>16000</x:v>
      </x:c>
      <x:c r="AK778" s="14" t="str">
        <x:v>https://prozorro.gov.ua/tender/UA-2025-11-21-005492-a</x:v>
      </x:c>
      <x:c r="AL778" s="19" t="n">
        <x:v>45982.397251319446</x:v>
      </x:c>
      <x:c r="AM778" s="19" t="n">
        <x:v>46022</x:v>
      </x:c>
      <x:c r="AN778" s="15" t="str">
        <x:v>Електромонтаж</x:v>
      </x:c>
      <x:c r="AO778" s="15" t="str">
        <x:v>not_found_in_top_search</x:v>
      </x:c>
    </x:row>
    <x:row r="779">
      <x:c r="A779" s="14" t="str">
        <x:v>W3-507</x:v>
      </x:c>
      <x:c r="B779" s="14" t="str">
        <x:v>Prozorro winners — 24.08</x:v>
      </x:c>
      <x:c r="C779" s="14" t="str">
        <x:v>ВАЩИШИН ВОЛОДИМИР МИХАЙЛОВИЧ</x:v>
      </x:c>
      <x:c r="D779" s="14" t="str">
        <x:v>ГНБ / безтраншейні роботи</x:v>
      </x:c>
      <x:c r="E779" s="14" t="str">
        <x:v>Expansion discovery</x:v>
      </x:c>
      <x:c r="F779" s="17" t="str">
        <x:v>D3</x:v>
      </x:c>
      <x:c r="G779" s="14" t="str"/>
      <x:c r="H779" s="14" t="str">
        <x:v>Discovery розширення — 2 тижні</x:v>
      </x:c>
      <x:c r="I779" s="16" t="n">
        <x:v>1</x:v>
      </x:c>
      <x:c r="J779" s="16" t="n">
        <x:v>5</x:v>
      </x:c>
      <x:c r="K779" s="16" t="n">
        <x:v>4</x:v>
      </x:c>
      <x:c r="L779" s="16" t="n">
        <x:v>1</x:v>
      </x:c>
      <x:c r="M779" s="16" t="n">
        <x:v>5</x:v>
      </x:c>
      <x:c r="N779" s="16" t="n">
        <x:v>3</x:v>
      </x:c>
      <x:c r="O779" s="16" t="n">
        <x:v>5</x:v>
      </x:c>
      <x:c r="P779" s="16" t="n">
        <x:f>IF(COUNT(I779:O779)&lt;7,"",I779*8+J779*3+K779*2+L779*2+M779*2+N779*2+O779)</x:f>
        <x:v>54</x:v>
      </x:c>
      <x:c r="Q779" s="16" t="n">
        <x:f>IF(COUNT(J779:O779)&lt;6,"",J779*5+K779*4+M779*4+L779*3+N779*2+O779*2)</x:f>
        <x:v>80</x:v>
      </x:c>
      <x:c r="R779" s="14" t="str">
        <x:v>high</x:v>
      </x:c>
      <x:c r="S779" s="14" t="str">
        <x:v>official_prozorro_award_2025_2026</x:v>
      </x:c>
      <x:c r="T779" s="14" t="str">
        <x:v>official_prozorro_api</x:v>
      </x:c>
      <x:c r="U779" s="14" t="str">
        <x:v>Не контактували</x:v>
      </x:c>
      <x:c r="V779" s="15" t="str">
        <x:v>Workflow-audit outreach по UA-2025-11-26-006748-a; попросити 1 пакет здачі та вимоги проєкту</x:v>
      </x:c>
      <x:c r="W779" s="15" t="str">
        <x:v>Власник / виконавець; відповідальний за договір</x:v>
      </x:c>
      <x:c r="X779" s="15" t="str">
        <x:v>2 підтверджених перемог/договорів у Prozorro на 11 601 грн; 0 проєктів зі строком виконання не раніше 24.08.2026.</x:v>
      </x:c>
      <x:c r="Y779"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9" s="15" t="str">
        <x:v>https://prozorro.gov.ua/tender/UA-2025-11-26-006748-a</x:v>
      </x:c>
      <x:c r="AA779" s="14" t="str">
        <x:v>2254112355</x:v>
      </x:c>
      <x:c r="AB779" s="14" t="str">
        <x:v>2026-08-24</x:v>
      </x:c>
      <x:c r="AC779" s="14" t="str"/>
      <x:c r="AD779" s="20" t="str"/>
      <x:c r="AE779" s="14" t="str"/>
      <x:c r="AF779" s="14" t="n">
        <x:v>27</x:v>
      </x:c>
      <x:c r="AG779" s="14" t="str">
        <x:v>I3</x:v>
      </x:c>
      <x:c r="AH779" s="14" t="n">
        <x:v>2</x:v>
      </x:c>
      <x:c r="AI779" s="14" t="n">
        <x:v>0</x:v>
      </x:c>
      <x:c r="AJ779" s="18" t="n">
        <x:v>11601.05</x:v>
      </x:c>
      <x:c r="AK779" s="14" t="str">
        <x:v>https://prozorro.gov.ua/tender/UA-2025-11-26-006748-a</x:v>
      </x:c>
      <x:c r="AL779" s="19" t="n">
        <x:v>45987.4106021412</x:v>
      </x:c>
      <x:c r="AM779" s="19" t="n">
        <x:v>46022</x:v>
      </x:c>
      <x:c r="AN779" s="15" t="str">
        <x:v>ГНБ / безтраншейні роботи</x:v>
      </x:c>
      <x:c r="AO779" s="15" t="str">
        <x:v>not_found_in_top_search</x:v>
      </x:c>
    </x:row>
    <x:row r="780">
      <x:c r="A780" s="14" t="str">
        <x:v>W3-508</x:v>
      </x:c>
      <x:c r="B780" s="14" t="str">
        <x:v>Prozorro winners — 24.08</x:v>
      </x:c>
      <x:c r="C780" s="14" t="str">
        <x:v>ПОГИБА АНДРІЙ ВОЛОДИМИРОВИЧ</x:v>
      </x:c>
      <x:c r="D780" s="14" t="str">
        <x:v>Газопостачання / котельні</x:v>
      </x:c>
      <x:c r="E780" s="14" t="str">
        <x:v>Expansion discovery</x:v>
      </x:c>
      <x:c r="F780" s="17" t="str">
        <x:v>D3</x:v>
      </x:c>
      <x:c r="G780" s="14" t="str"/>
      <x:c r="H780" s="14" t="str">
        <x:v>Discovery розширення — 2 тижні</x:v>
      </x:c>
      <x:c r="I780" s="16" t="n">
        <x:v>1</x:v>
      </x:c>
      <x:c r="J780" s="16" t="n">
        <x:v>5</x:v>
      </x:c>
      <x:c r="K780" s="16" t="n">
        <x:v>4</x:v>
      </x:c>
      <x:c r="L780" s="16" t="n">
        <x:v>2</x:v>
      </x:c>
      <x:c r="M780" s="16" t="n">
        <x:v>5</x:v>
      </x:c>
      <x:c r="N780" s="16" t="n">
        <x:v>3</x:v>
      </x:c>
      <x:c r="O780" s="16" t="n">
        <x:v>5</x:v>
      </x:c>
      <x:c r="P780" s="16" t="n">
        <x:f>IF(COUNT(I780:O780)&lt;7,"",I780*8+J780*3+K780*2+L780*2+M780*2+N780*2+O780)</x:f>
        <x:v>56</x:v>
      </x:c>
      <x:c r="Q780" s="16" t="n">
        <x:f>IF(COUNT(J780:O780)&lt;6,"",J780*5+K780*4+M780*4+L780*3+N780*2+O780*2)</x:f>
        <x:v>83</x:v>
      </x:c>
      <x:c r="R780" s="14" t="str">
        <x:v>high</x:v>
      </x:c>
      <x:c r="S780" s="14" t="str">
        <x:v>official_prozorro_award_2025_2026</x:v>
      </x:c>
      <x:c r="T780" s="14" t="str">
        <x:v>official_prozorro_api</x:v>
      </x:c>
      <x:c r="U780" s="14" t="str">
        <x:v>Не контактували</x:v>
      </x:c>
      <x:c r="V780" s="15" t="str">
        <x:v>Повторне звернення з новим тендерним сигналом UA-2024-07-30-009061-a; попросити 1 пакет здачі</x:v>
      </x:c>
      <x:c r="W780" s="15" t="str">
        <x:v>Власник / виконавець; відповідальний за договір</x:v>
      </x:c>
      <x:c r="X780" s="15" t="str">
        <x:v>1 підтверджених перемог/договорів у Prozorro на 169 988 грн; 0 проєктів зі строком виконання не раніше 24.08.2026.</x:v>
      </x:c>
      <x:c r="Y780" s="15" t="str">
        <x:v>Послуги по демонтажу та монтажу системи димоходу котельні; строк до 2025-12-31. Попросити один знеособлений пакет здачі за цим workflow.</x:v>
      </x:c>
      <x:c r="Z780" s="15" t="str">
        <x:v>https://prozorro.gov.ua/tender/UA-2025-11-24-002038-a</x:v>
      </x:c>
      <x:c r="AA780" s="14" t="str">
        <x:v>2874505737</x:v>
      </x:c>
      <x:c r="AB780" s="14" t="str">
        <x:v>2026-08-24</x:v>
      </x:c>
      <x:c r="AC780" s="14" t="str"/>
      <x:c r="AD780" s="20" t="str"/>
      <x:c r="AE780" s="14" t="str"/>
      <x:c r="AF780" s="14" t="n">
        <x:v>26</x:v>
      </x:c>
      <x:c r="AG780" s="14" t="str">
        <x:v>I3</x:v>
      </x:c>
      <x:c r="AH780" s="14" t="n">
        <x:v>2</x:v>
      </x:c>
      <x:c r="AI780" s="14" t="n">
        <x:v>0</x:v>
      </x:c>
      <x:c r="AJ780" s="18" t="n">
        <x:v>175487.72</x:v>
      </x:c>
      <x:c r="AK780" s="14" t="str">
        <x:v>https://prozorro.gov.ua/tender/UA-2024-07-30-009061-a</x:v>
      </x:c>
      <x:c r="AL780" s="19" t="n">
        <x:v>45503.58954800926</x:v>
      </x:c>
      <x:c r="AM780" s="19" t="n">
        <x:v>45518</x:v>
      </x:c>
      <x:c r="AN780" s="15" t="str">
        <x:v>Газопостачання / котельні; Промислові котельні</x:v>
      </x:c>
      <x:c r="AO780" s="15" t="str">
        <x:v>not_found_in_top_search</x:v>
      </x:c>
    </x:row>
    <x:row r="781">
      <x:c r="A781" s="14" t="str">
        <x:v>W3-509</x:v>
      </x:c>
      <x:c r="B781" s="14" t="str">
        <x:v>Prozorro winners — 24.08</x:v>
      </x:c>
      <x:c r="C781" s="14" t="str">
        <x:v>ТОВ " ХОЛОД-МАРКЕТ"</x:v>
      </x:c>
      <x:c r="D781" s="14" t="str">
        <x:v>Промисловий холод</x:v>
      </x:c>
      <x:c r="E781" s="14" t="str">
        <x:v>Expansion discovery</x:v>
      </x:c>
      <x:c r="F781" s="17" t="str">
        <x:v>D3</x:v>
      </x:c>
      <x:c r="G781" s="14" t="str"/>
      <x:c r="H781" s="14" t="str">
        <x:v>Discovery розширення — 2 тижні</x:v>
      </x:c>
      <x:c r="I781" s="16" t="n">
        <x:v>1</x:v>
      </x:c>
      <x:c r="J781" s="16" t="n">
        <x:v>5</x:v>
      </x:c>
      <x:c r="K781" s="16" t="n">
        <x:v>4</x:v>
      </x:c>
      <x:c r="L781" s="16" t="n">
        <x:v>1</x:v>
      </x:c>
      <x:c r="M781" s="16" t="n">
        <x:v>5</x:v>
      </x:c>
      <x:c r="N781" s="16" t="n">
        <x:v>5</x:v>
      </x:c>
      <x:c r="O781" s="16" t="n">
        <x:v>5</x:v>
      </x:c>
      <x:c r="P781" s="16" t="n">
        <x:f>IF(COUNT(I781:O781)&lt;7,"",I781*8+J781*3+K781*2+L781*2+M781*2+N781*2+O781)</x:f>
        <x:v>58</x:v>
      </x:c>
      <x:c r="Q781" s="16" t="n">
        <x:f>IF(COUNT(J781:O781)&lt;6,"",J781*5+K781*4+M781*4+L781*3+N781*2+O781*2)</x:f>
        <x:v>84</x:v>
      </x:c>
      <x:c r="R781" s="14" t="str">
        <x:v>high</x:v>
      </x:c>
      <x:c r="S781" s="14" t="str">
        <x:v>official_prozorro_award_2025_2026</x:v>
      </x:c>
      <x:c r="T781" s="14" t="str">
        <x:v>official_prozorro_api</x:v>
      </x:c>
      <x:c r="U781" s="14" t="str">
        <x:v>Не контактували</x:v>
      </x:c>
      <x:c r="V781" s="15" t="str">
        <x:v>Workflow-audit outreach по UA-2025-08-06-010195-a; попросити 1 пакет здачі та вимоги проєкту</x:v>
      </x:c>
      <x:c r="W781" s="15" t="str">
        <x:v>Власник / директор; керівник ПТО; відповідальний за договори</x:v>
      </x:c>
      <x:c r="X781" s="15" t="str">
        <x:v>1 підтверджених перемог/договорів у Prozorro на 96 000 грн; 0 проєктів зі строком виконання не раніше 24.08.2026.</x:v>
      </x:c>
      <x:c r="Y781" s="15" t="str">
        <x:v>Послуги з монтажу/демонтажу холодильного обладнання; строк до 2025-12-31. Попросити один знеособлений пакет здачі за цим workflow.</x:v>
      </x:c>
      <x:c r="Z781" s="15" t="str">
        <x:v>https://prozorro.gov.ua/tender/UA-2025-08-06-010195-a</x:v>
      </x:c>
      <x:c r="AA781" s="14" t="str">
        <x:v>35064513</x:v>
      </x:c>
      <x:c r="AB781" s="14" t="str">
        <x:v>2026-08-24</x:v>
      </x:c>
      <x:c r="AC781" s="14" t="str"/>
      <x:c r="AD781" s="20" t="str"/>
      <x:c r="AE781" s="14" t="str"/>
      <x:c r="AF781" s="14" t="n">
        <x:v>25</x:v>
      </x:c>
      <x:c r="AG781" s="14" t="str">
        <x:v>I3</x:v>
      </x:c>
      <x:c r="AH781" s="14" t="n">
        <x:v>1</x:v>
      </x:c>
      <x:c r="AI781" s="14" t="n">
        <x:v>0</x:v>
      </x:c>
      <x:c r="AJ781" s="18" t="n">
        <x:v>96000</x:v>
      </x:c>
      <x:c r="AK781" s="14" t="str">
        <x:v>https://prozorro.gov.ua/tender/UA-2025-08-06-010195-a</x:v>
      </x:c>
      <x:c r="AL781" s="19" t="n">
        <x:v>45875.55539864583</x:v>
      </x:c>
      <x:c r="AM781" s="19" t="n">
        <x:v>46022.59888888889</x:v>
      </x:c>
      <x:c r="AN781" s="15" t="str">
        <x:v>Промисловий холод</x:v>
      </x:c>
      <x:c r="AO781" s="15" t="str">
        <x:v>not_found_in_top_search</x:v>
      </x:c>
    </x:row>
    <x:row r="782">
      <x:c r="A782" s="14" t="str">
        <x:v>W3-510</x:v>
      </x:c>
      <x:c r="B782" s="14" t="str">
        <x:v>Prozorro winners — 24.08</x:v>
      </x:c>
      <x:c r="C782" s="14" t="str">
        <x:v>Товариство з обмеженою відповідальністю "Інженерно-виробнича фірма "РІВАС"</x:v>
      </x:c>
      <x:c r="D782" s="14" t="str">
        <x:v>ВОЛЗ / телеком</x:v>
      </x:c>
      <x:c r="E782" s="14" t="str">
        <x:v>Expansion discovery</x:v>
      </x:c>
      <x:c r="F782" s="17" t="str">
        <x:v>D3</x:v>
      </x:c>
      <x:c r="G782" s="14" t="str"/>
      <x:c r="H782" s="14" t="str">
        <x:v>Discovery розширення — 2 тижні</x:v>
      </x:c>
      <x:c r="I782" s="16" t="n">
        <x:v>1</x:v>
      </x:c>
      <x:c r="J782" s="16" t="n">
        <x:v>5</x:v>
      </x:c>
      <x:c r="K782" s="16" t="n">
        <x:v>4</x:v>
      </x:c>
      <x:c r="L782" s="16" t="n">
        <x:v>1</x:v>
      </x:c>
      <x:c r="M782" s="16" t="n">
        <x:v>5</x:v>
      </x:c>
      <x:c r="N782" s="16" t="n">
        <x:v>5</x:v>
      </x:c>
      <x:c r="O782" s="16" t="n">
        <x:v>5</x:v>
      </x:c>
      <x:c r="P782" s="16" t="n">
        <x:f>IF(COUNT(I782:O782)&lt;7,"",I782*8+J782*3+K782*2+L782*2+M782*2+N782*2+O782)</x:f>
        <x:v>58</x:v>
      </x:c>
      <x:c r="Q782" s="16" t="n">
        <x:f>IF(COUNT(J782:O782)&lt;6,"",J782*5+K782*4+M782*4+L782*3+N782*2+O782*2)</x:f>
        <x:v>84</x:v>
      </x:c>
      <x:c r="R782" s="14" t="str">
        <x:v>high</x:v>
      </x:c>
      <x:c r="S782" s="14" t="str">
        <x:v>official_prozorro_award_2025_2026</x:v>
      </x:c>
      <x:c r="T782" s="14" t="str">
        <x:v>official_prozorro_api</x:v>
      </x:c>
      <x:c r="U782" s="14" t="str">
        <x:v>Не контактували</x:v>
      </x:c>
      <x:c r="V782" s="15" t="str">
        <x:v>Workflow-audit outreach по UA-2025-02-04-011367-a; попросити 1 пакет здачі та вимоги проєкту</x:v>
      </x:c>
      <x:c r="W782" s="15" t="str">
        <x:v>Власник / директор; керівник ПТО; відповідальний за договори</x:v>
      </x:c>
      <x:c r="X782" s="15" t="str">
        <x:v>1 підтверджених перемог/договорів у Prozorro на 82 902 грн; 0 проєктів зі строком виконання не раніше 24.08.2026.</x:v>
      </x:c>
      <x:c r="Y782" s="15" t="str">
        <x:v>Роботи з нового будівництва сегменту ВОЛЗ від пров. Донбасівський, 17 до вул. Новий Побут, 12; строк до 2025-03-31. Попросити один знеособлений пакет здачі за цим workflow.</x:v>
      </x:c>
      <x:c r="Z782" s="15" t="str">
        <x:v>https://prozorro.gov.ua/tender/UA-2025-02-04-011367-a</x:v>
      </x:c>
      <x:c r="AA782" s="14" t="str">
        <x:v>21227104</x:v>
      </x:c>
      <x:c r="AB782" s="14" t="str">
        <x:v>2026-08-24</x:v>
      </x:c>
      <x:c r="AC782" s="14" t="str"/>
      <x:c r="AD782" s="20" t="str"/>
      <x:c r="AE782" s="14" t="str"/>
      <x:c r="AF782" s="14" t="n">
        <x:v>25</x:v>
      </x:c>
      <x:c r="AG782" s="14" t="str">
        <x:v>I3</x:v>
      </x:c>
      <x:c r="AH782" s="14" t="n">
        <x:v>1</x:v>
      </x:c>
      <x:c r="AI782" s="14" t="n">
        <x:v>0</x:v>
      </x:c>
      <x:c r="AJ782" s="18" t="n">
        <x:v>82902.16</x:v>
      </x:c>
      <x:c r="AK782" s="14" t="str">
        <x:v>https://prozorro.gov.ua/tender/UA-2025-02-04-011367-a</x:v>
      </x:c>
      <x:c r="AL782" s="19" t="n">
        <x:v>45692.53341179398</x:v>
      </x:c>
      <x:c r="AM782" s="19" t="n">
        <x:v>45747</x:v>
      </x:c>
      <x:c r="AN782" s="15" t="str">
        <x:v>ВОЛЗ / телеком</x:v>
      </x:c>
      <x:c r="AO782" s="15" t="str">
        <x:v>not_found_in_top_search</x:v>
      </x:c>
    </x:row>
    <x:row r="783">
      <x:c r="A783" s="14" t="str">
        <x:v>W3-511</x:v>
      </x:c>
      <x:c r="B783" s="14" t="str">
        <x:v>Prozorro winners — 24.08</x:v>
      </x:c>
      <x:c r="C783" s="14" t="str">
        <x:v>ТОВАРИСТВО З ОБМЕЖЕНОЮ ВІДПОВІДАЛЬНІСТЮ "ВИРОБНИЧО-СЕРВІСНА КОМПАНІЯ МЕДТЕХОКСІГЕН"</x:v>
      </x:c>
      <x:c r="D783" s="14" t="str">
        <x:v>Медичні гази</x:v>
      </x:c>
      <x:c r="E783" s="14" t="str">
        <x:v>Expansion discovery</x:v>
      </x:c>
      <x:c r="F783" s="17" t="str">
        <x:v>D3</x:v>
      </x:c>
      <x:c r="G783" s="14" t="str"/>
      <x:c r="H783" s="14" t="str">
        <x:v>Discovery розширення — 2 тижні</x:v>
      </x:c>
      <x:c r="I783" s="16" t="n">
        <x:v>1</x:v>
      </x:c>
      <x:c r="J783" s="16" t="n">
        <x:v>5</x:v>
      </x:c>
      <x:c r="K783" s="16" t="n">
        <x:v>4</x:v>
      </x:c>
      <x:c r="L783" s="16" t="n">
        <x:v>1</x:v>
      </x:c>
      <x:c r="M783" s="16" t="n">
        <x:v>5</x:v>
      </x:c>
      <x:c r="N783" s="16" t="n">
        <x:v>5</x:v>
      </x:c>
      <x:c r="O783" s="16" t="n">
        <x:v>5</x:v>
      </x:c>
      <x:c r="P783" s="16" t="n">
        <x:f>IF(COUNT(I783:O783)&lt;7,"",I783*8+J783*3+K783*2+L783*2+M783*2+N783*2+O783)</x:f>
        <x:v>58</x:v>
      </x:c>
      <x:c r="Q783" s="16" t="n">
        <x:f>IF(COUNT(J783:O783)&lt;6,"",J783*5+K783*4+M783*4+L783*3+N783*2+O783*2)</x:f>
        <x:v>84</x:v>
      </x:c>
      <x:c r="R783" s="14" t="str">
        <x:v>high</x:v>
      </x:c>
      <x:c r="S783" s="14" t="str">
        <x:v>official_prozorro_award_2025_2026</x:v>
      </x:c>
      <x:c r="T783" s="14" t="str">
        <x:v>official_prozorro_api</x:v>
      </x:c>
      <x:c r="U783" s="14" t="str">
        <x:v>Не контактували</x:v>
      </x:c>
      <x:c r="V783" s="15" t="str">
        <x:v>Повторне звернення з новим тендерним сигналом UA-2024-11-13-003692-a; попросити 1 пакет здачі</x:v>
      </x:c>
      <x:c r="W783" s="15" t="str">
        <x:v>Власник / директор; керівник ПТО; відповідальний за договори</x:v>
      </x:c>
      <x:c r="X783" s="15" t="str">
        <x:v>1 підтверджених перемог/договорів у Prozorro на 66 290 грн; 0 проєктів зі строком виконання не раніше 24.08.2026.</x:v>
      </x:c>
      <x:c r="Y783"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 строк до 2025-11-14. Попросити один знеособлений пакет здачі за цим workflow.</x:v>
      </x:c>
      <x:c r="Z783" s="15" t="str">
        <x:v>https://prozorro.gov.ua/tender/UA-2025-11-03-008134-a</x:v>
      </x:c>
      <x:c r="AA783" s="14" t="str">
        <x:v>44470933</x:v>
      </x:c>
      <x:c r="AB783" s="14" t="str">
        <x:v>2026-08-24</x:v>
      </x:c>
      <x:c r="AC783" s="14" t="str"/>
      <x:c r="AD783" s="20" t="str"/>
      <x:c r="AE783" s="14" t="str"/>
      <x:c r="AF783" s="14" t="n">
        <x:v>26</x:v>
      </x:c>
      <x:c r="AG783" s="14" t="str">
        <x:v>I3</x:v>
      </x:c>
      <x:c r="AH783" s="14" t="n">
        <x:v>2</x:v>
      </x:c>
      <x:c r="AI783" s="14" t="n">
        <x:v>0</x:v>
      </x:c>
      <x:c r="AJ783" s="18" t="n">
        <x:v>106965.89000000001</x:v>
      </x:c>
      <x:c r="AK783" s="14" t="str">
        <x:v>https://prozorro.gov.ua/tender/UA-2024-11-13-003692-a</x:v>
      </x:c>
      <x:c r="AL783" s="19" t="n">
        <x:v>45609.58302783565</x:v>
      </x:c>
      <x:c r="AM783" s="19" t="n">
        <x:v>45618</x:v>
      </x:c>
      <x:c r="AN783" s="15" t="str">
        <x:v>Медичні гази</x:v>
      </x:c>
      <x:c r="AO783" s="15" t="str">
        <x:v>not_found_in_top_search</x:v>
      </x:c>
    </x:row>
    <x:row r="784">
      <x:c r="A784" s="14" t="str">
        <x:v>W3-512</x:v>
      </x:c>
      <x:c r="B784" s="14" t="str">
        <x:v>Prozorro winners — 24.08</x:v>
      </x:c>
      <x:c r="C784" s="14" t="str">
        <x:v>ТОВАРИСТВО З ОБМЕЖЕНОЮ ВІДПОВІДАЛЬНІСТЮ "ІНВЕСТИЦІЙНО-БУДІВЕЛЬНА ФІРМА "ЄВРОБУДСЕРВІС"</x:v>
      </x:c>
      <x:c r="D784" s="14" t="str">
        <x:v>Електромонтаж</x:v>
      </x:c>
      <x:c r="E784" s="14" t="str">
        <x:v>Pilot now</x:v>
      </x:c>
      <x:c r="F784" s="17" t="str">
        <x:v>P3</x:v>
      </x:c>
      <x:c r="G784" s="14" t="str"/>
      <x:c r="H784" s="14" t="str">
        <x:v>Пілот зараз — Н.15</x:v>
      </x:c>
      <x:c r="I784" s="16" t="n">
        <x:v>5</x:v>
      </x:c>
      <x:c r="J784" s="16" t="n">
        <x:v>5</x:v>
      </x:c>
      <x:c r="K784" s="16" t="n">
        <x:v>5</x:v>
      </x:c>
      <x:c r="L784" s="16" t="n">
        <x:v>1</x:v>
      </x:c>
      <x:c r="M784" s="16" t="n">
        <x:v>5</x:v>
      </x:c>
      <x:c r="N784" s="16" t="n">
        <x:v>5</x:v>
      </x:c>
      <x:c r="O784" s="16" t="n">
        <x:v>5</x:v>
      </x:c>
      <x:c r="P784" s="16" t="n">
        <x:f>IF(COUNT(I784:O784)&lt;7,"",I784*8+J784*3+K784*2+L784*2+M784*2+N784*2+O784)</x:f>
        <x:v>92</x:v>
      </x:c>
      <x:c r="Q784" s="16" t="n">
        <x:f>IF(COUNT(J784:O784)&lt;6,"",J784*5+K784*4+M784*4+L784*3+N784*2+O784*2)</x:f>
        <x:v>88</x:v>
      </x:c>
      <x:c r="R784" s="14" t="str">
        <x:v>high</x:v>
      </x:c>
      <x:c r="S784" s="14" t="str">
        <x:v>official_prozorro_award_2025_2026</x:v>
      </x:c>
      <x:c r="T784" s="14" t="str">
        <x:v>official_prozorro_api</x:v>
      </x:c>
      <x:c r="U784" s="14" t="str">
        <x:v>Не контактували</x:v>
      </x:c>
      <x:c r="V784" s="15" t="str">
        <x:v>Персоналізований free-pilot outreach по UA-2025-10-20-008856-a; попросити 1 пакет Н.14/Н.15</x:v>
      </x:c>
      <x:c r="W784" s="15" t="str">
        <x:v>Власник / директор; керівник ПТО; відповідальний за договори</x:v>
      </x:c>
      <x:c r="X784" s="15" t="str">
        <x:v>1 підтверджених перемог/договорів у Prozorro на 64 145 грн; 0 проєктів зі строком виконання не раніше 24.08.2026.</x:v>
      </x:c>
      <x:c r="Y784" s="15" t="str">
        <x:v>Послуги з демонтажу та монтажу шаф керування вуличним освітленням (без під"єднання до електричних мереж) у м. Трускавець; строк до 2025-11-30. Попросити один знеособлений пакет здачі за цим workflow.</x:v>
      </x:c>
      <x:c r="Z784" s="15" t="str">
        <x:v>https://prozorro.gov.ua/tender/UA-2025-10-20-008856-a</x:v>
      </x:c>
      <x:c r="AA784" s="14" t="str">
        <x:v>34744813</x:v>
      </x:c>
      <x:c r="AB784" s="14" t="str">
        <x:v>2026-08-24</x:v>
      </x:c>
      <x:c r="AC784" s="14" t="str"/>
      <x:c r="AD784" s="20" t="str"/>
      <x:c r="AE784" s="14" t="str"/>
      <x:c r="AF784" s="14" t="n">
        <x:v>25</x:v>
      </x:c>
      <x:c r="AG784" s="14" t="str">
        <x:v>I3</x:v>
      </x:c>
      <x:c r="AH784" s="14" t="n">
        <x:v>1</x:v>
      </x:c>
      <x:c r="AI784" s="14" t="n">
        <x:v>0</x:v>
      </x:c>
      <x:c r="AJ784" s="18" t="n">
        <x:v>64144.65</x:v>
      </x:c>
      <x:c r="AK784" s="14" t="str">
        <x:v>https://prozorro.gov.ua/tender/UA-2025-10-20-008856-a</x:v>
      </x:c>
      <x:c r="AL784" s="19" t="n">
        <x:v>45950.46692756945</x:v>
      </x:c>
      <x:c r="AM784" s="19" t="n">
        <x:v>45991</x:v>
      </x:c>
      <x:c r="AN784" s="15" t="str">
        <x:v>Електромонтаж</x:v>
      </x:c>
      <x:c r="AO784" s="15" t="str">
        <x:v>not_found_in_top_search</x:v>
      </x:c>
    </x:row>
    <x:row r="785">
      <x:c r="A785" s="14" t="str">
        <x:v>W3-513</x:v>
      </x:c>
      <x:c r="B785" s="14" t="str">
        <x:v>Prozorro winners — 24.08</x:v>
      </x:c>
      <x:c r="C785" s="14" t="str">
        <x:v>ПРИВАТНЕ ПІДПРИЄМСТВО "ПРОФДЕЗІНФЕКЦІЯ КОНТАКТ"</x:v>
      </x:c>
      <x:c r="D785" s="14" t="str">
        <x:v>Внутрішні сантехнічні системи</x:v>
      </x:c>
      <x:c r="E785" s="14" t="str">
        <x:v>Pilot now</x:v>
      </x:c>
      <x:c r="F785" s="17" t="str">
        <x:v>P3</x:v>
      </x:c>
      <x:c r="G785" s="14" t="str"/>
      <x:c r="H785" s="14" t="str">
        <x:v>Пілот зараз — Н.14</x:v>
      </x:c>
      <x:c r="I785" s="16" t="n">
        <x:v>5</x:v>
      </x:c>
      <x:c r="J785" s="16" t="n">
        <x:v>5</x:v>
      </x:c>
      <x:c r="K785" s="16" t="n">
        <x:v>5</x:v>
      </x:c>
      <x:c r="L785" s="16" t="n">
        <x:v>1</x:v>
      </x:c>
      <x:c r="M785" s="16" t="n">
        <x:v>5</x:v>
      </x:c>
      <x:c r="N785" s="16" t="n">
        <x:v>5</x:v>
      </x:c>
      <x:c r="O785" s="16" t="n">
        <x:v>5</x:v>
      </x:c>
      <x:c r="P785" s="16" t="n">
        <x:f>IF(COUNT(I785:O785)&lt;7,"",I785*8+J785*3+K785*2+L785*2+M785*2+N785*2+O785)</x:f>
        <x:v>92</x:v>
      </x:c>
      <x:c r="Q785" s="16" t="n">
        <x:f>IF(COUNT(J785:O785)&lt;6,"",J785*5+K785*4+M785*4+L785*3+N785*2+O785*2)</x:f>
        <x:v>88</x:v>
      </x:c>
      <x:c r="R785" s="14" t="str">
        <x:v>high</x:v>
      </x:c>
      <x:c r="S785" s="14" t="str">
        <x:v>official_prozorro_award_2025_2026</x:v>
      </x:c>
      <x:c r="T785" s="14" t="str">
        <x:v>official_prozorro_api</x:v>
      </x:c>
      <x:c r="U785" s="14" t="str">
        <x:v>Не контактували</x:v>
      </x:c>
      <x:c r="V785" s="15" t="str">
        <x:v>Персоналізований free-pilot outreach по UA-2025-07-21-001538-a; попросити 1 пакет Н.14/Н.15</x:v>
      </x:c>
      <x:c r="W785" s="15" t="str">
        <x:v>Власник / директор; керівник ПТО; відповідальний за договори</x:v>
      </x:c>
      <x:c r="X785" s="15" t="str">
        <x:v>1 підтверджених перемог/договорів у Prozorro на 63 000 грн; 0 проєктів зі строком виконання не раніше 24.08.2026.</x:v>
      </x:c>
      <x:c r="Y785"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 строк до 2025-12-31. Попросити один знеособлений пакет здачі за цим workflow.</x:v>
      </x:c>
      <x:c r="Z785" s="15" t="str">
        <x:v>https://prozorro.gov.ua/tender/UA-2025-07-21-001538-a</x:v>
      </x:c>
      <x:c r="AA785" s="14" t="str">
        <x:v>39516090</x:v>
      </x:c>
      <x:c r="AB785" s="14" t="str">
        <x:v>2026-08-24</x:v>
      </x:c>
      <x:c r="AC785" s="14" t="str"/>
      <x:c r="AD785" s="20" t="str"/>
      <x:c r="AE785" s="14" t="str"/>
      <x:c r="AF785" s="14" t="n">
        <x:v>25</x:v>
      </x:c>
      <x:c r="AG785" s="14" t="str">
        <x:v>I3</x:v>
      </x:c>
      <x:c r="AH785" s="14" t="n">
        <x:v>1</x:v>
      </x:c>
      <x:c r="AI785" s="14" t="n">
        <x:v>0</x:v>
      </x:c>
      <x:c r="AJ785" s="18" t="n">
        <x:v>63000</x:v>
      </x:c>
      <x:c r="AK785" s="14" t="str">
        <x:v>https://prozorro.gov.ua/tender/UA-2025-07-21-001538-a</x:v>
      </x:c>
      <x:c r="AL785" s="19" t="n">
        <x:v>45859.34798907407</x:v>
      </x:c>
      <x:c r="AM785" s="19" t="n">
        <x:v>46022</x:v>
      </x:c>
      <x:c r="AN785" s="15" t="str">
        <x:v>Внутрішні сантехнічні системи</x:v>
      </x:c>
      <x:c r="AO785" s="15" t="str">
        <x:v>not_found_in_top_search</x:v>
      </x:c>
    </x:row>
    <x:row r="786">
      <x:c r="A786" s="14" t="str">
        <x:v>W3-514</x:v>
      </x:c>
      <x:c r="B786" s="14" t="str">
        <x:v>Prozorro winners — 24.08</x:v>
      </x:c>
      <x:c r="C786" s="14" t="str">
        <x:v>ТОВАРИСТВО З ОБМЕЖЕНОЮ ВІДПОВІДАЛЬНІСТЮ "АЙР ТЕХНОЛОДЖІ СИСТЕМС КЛІМАТ"</x:v>
      </x:c>
      <x:c r="D786" s="14" t="str">
        <x:v>HVAC / ОВіК</x:v>
      </x:c>
      <x:c r="E786" s="14" t="str">
        <x:v>Pilot now</x:v>
      </x:c>
      <x:c r="F786" s="17" t="str">
        <x:v>P3</x:v>
      </x:c>
      <x:c r="G786" s="14" t="str"/>
      <x:c r="H786" s="14" t="str">
        <x:v>Пілот зараз — Н.14</x:v>
      </x:c>
      <x:c r="I786" s="16" t="n">
        <x:v>5</x:v>
      </x:c>
      <x:c r="J786" s="16" t="n">
        <x:v>5</x:v>
      </x:c>
      <x:c r="K786" s="16" t="n">
        <x:v>5</x:v>
      </x:c>
      <x:c r="L786" s="16" t="n">
        <x:v>1</x:v>
      </x:c>
      <x:c r="M786" s="16" t="n">
        <x:v>5</x:v>
      </x:c>
      <x:c r="N786" s="16" t="n">
        <x:v>5</x:v>
      </x:c>
      <x:c r="O786" s="16" t="n">
        <x:v>5</x:v>
      </x:c>
      <x:c r="P786" s="16" t="n">
        <x:f>IF(COUNT(I786:O786)&lt;7,"",I786*8+J786*3+K786*2+L786*2+M786*2+N786*2+O786)</x:f>
        <x:v>92</x:v>
      </x:c>
      <x:c r="Q786" s="16" t="n">
        <x:f>IF(COUNT(J786:O786)&lt;6,"",J786*5+K786*4+M786*4+L786*3+N786*2+O786*2)</x:f>
        <x:v>88</x:v>
      </x:c>
      <x:c r="R786" s="14" t="str">
        <x:v>high</x:v>
      </x:c>
      <x:c r="S786" s="14" t="str">
        <x:v>official_prozorro_award_2025_2026</x:v>
      </x:c>
      <x:c r="T786" s="14" t="str">
        <x:v>official_prozorro_api</x:v>
      </x:c>
      <x:c r="U786" s="14" t="str">
        <x:v>Не контактували</x:v>
      </x:c>
      <x:c r="V786" s="15" t="str">
        <x:v>Персоналізований free-pilot outreach по UA-2025-12-01-005105-a; попросити 1 пакет Н.14/Н.15</x:v>
      </x:c>
      <x:c r="W786" s="15" t="str">
        <x:v>Власник / директор; керівник ПТО; відповідальний за договори</x:v>
      </x:c>
      <x:c r="X786" s="15" t="str">
        <x:v>1 підтверджених перемог/договорів у Prozorro на 62 286 грн; 0 проєктів зі строком виконання не раніше 24.08.2026.</x:v>
      </x:c>
      <x:c r="Y786" s="15" t="str">
        <x:v>Виконання робіт з монтажу системи вентиляції; строк до 2025-12-31. Попросити один знеособлений пакет здачі за цим workflow.</x:v>
      </x:c>
      <x:c r="Z786" s="15" t="str">
        <x:v>https://prozorro.gov.ua/tender/UA-2025-12-01-005105-a</x:v>
      </x:c>
      <x:c r="AA786" s="14" t="str">
        <x:v>44678370</x:v>
      </x:c>
      <x:c r="AB786" s="14" t="str">
        <x:v>2026-08-24</x:v>
      </x:c>
      <x:c r="AC786" s="14" t="str"/>
      <x:c r="AD786" s="20" t="str"/>
      <x:c r="AE786" s="14" t="str"/>
      <x:c r="AF786" s="14" t="n">
        <x:v>25</x:v>
      </x:c>
      <x:c r="AG786" s="14" t="str">
        <x:v>I3</x:v>
      </x:c>
      <x:c r="AH786" s="14" t="n">
        <x:v>1</x:v>
      </x:c>
      <x:c r="AI786" s="14" t="n">
        <x:v>0</x:v>
      </x:c>
      <x:c r="AJ786" s="18" t="n">
        <x:v>62286.3</x:v>
      </x:c>
      <x:c r="AK786" s="14" t="str">
        <x:v>https://prozorro.gov.ua/tender/UA-2025-12-01-005105-a</x:v>
      </x:c>
      <x:c r="AL786" s="19" t="n">
        <x:v>45992.40095383102</x:v>
      </x:c>
      <x:c r="AM786" s="19" t="n">
        <x:v>46022</x:v>
      </x:c>
      <x:c r="AN786" s="15" t="str">
        <x:v>HVAC / ОВіК</x:v>
      </x:c>
      <x:c r="AO786" s="15" t="str">
        <x:v>not_found_in_top_search</x:v>
      </x:c>
    </x:row>
    <x:row r="787">
      <x:c r="A787" s="14" t="str">
        <x:v>W3-515</x:v>
      </x:c>
      <x:c r="B787" s="14" t="str">
        <x:v>Prozorro winners — 24.08</x:v>
      </x:c>
      <x:c r="C787" s="14" t="str">
        <x:v>КОМУНАЛЬНИЙ ЗАКЛАД "РЕГІОНАЛЬНИЙ ІНФОРМАЦІЙНО - КОМП'ЮТЕРНИЙ ЦЕНТР" РІВНЕНСЬКОЇ ОБЛАСНОЇ РАДИ</x:v>
      </x:c>
      <x:c r="D787" s="14" t="str">
        <x:v>Електромонтаж</x:v>
      </x:c>
      <x:c r="E787" s="14" t="str">
        <x:v>Pilot now</x:v>
      </x:c>
      <x:c r="F787" s="17" t="str">
        <x:v>P3</x:v>
      </x:c>
      <x:c r="G787" s="14" t="str"/>
      <x:c r="H787" s="14" t="str">
        <x:v>Пілот зараз — Н.15</x:v>
      </x:c>
      <x:c r="I787" s="16" t="n">
        <x:v>5</x:v>
      </x:c>
      <x:c r="J787" s="16" t="n">
        <x:v>5</x:v>
      </x:c>
      <x:c r="K787" s="16" t="n">
        <x:v>5</x:v>
      </x:c>
      <x:c r="L787" s="16" t="n">
        <x:v>1</x:v>
      </x:c>
      <x:c r="M787" s="16" t="n">
        <x:v>5</x:v>
      </x:c>
      <x:c r="N787" s="16" t="n">
        <x:v>5</x:v>
      </x:c>
      <x:c r="O787" s="16" t="n">
        <x:v>5</x:v>
      </x:c>
      <x:c r="P787" s="16" t="n">
        <x:f>IF(COUNT(I787:O787)&lt;7,"",I787*8+J787*3+K787*2+L787*2+M787*2+N787*2+O787)</x:f>
        <x:v>92</x:v>
      </x:c>
      <x:c r="Q787" s="16" t="n">
        <x:f>IF(COUNT(J787:O787)&lt;6,"",J787*5+K787*4+M787*4+L787*3+N787*2+O787*2)</x:f>
        <x:v>88</x:v>
      </x:c>
      <x:c r="R787" s="14" t="str">
        <x:v>high</x:v>
      </x:c>
      <x:c r="S787" s="14" t="str">
        <x:v>official_prozorro_award_2025_2026</x:v>
      </x:c>
      <x:c r="T787" s="14" t="str">
        <x:v>official_prozorro_api</x:v>
      </x:c>
      <x:c r="U787" s="14" t="str">
        <x:v>Не контактували</x:v>
      </x:c>
      <x:c r="V787" s="15" t="str">
        <x:v>Повторне звернення з новим тендерним сигналом UA-2026-06-01-006043-a; попросити 1 пакет здачі</x:v>
      </x:c>
      <x:c r="W787" s="15" t="str">
        <x:v>Власник / директор; керівник ПТО; відповідальний за договори</x:v>
      </x:c>
      <x:c r="X787" s="15" t="str">
        <x:v>1 підтверджених перемог/договорів у Prozorro на 60 000 грн; 0 проєктів зі строком виконання не раніше 24.08.2026.</x:v>
      </x:c>
      <x:c r="Y787" s="15" t="str">
        <x:v>Послуги з монтажу та налаштування електричного обладнання для побудови бездротової  Wi-Fi мережі за адресою: м. Рівне, вулиця Словацького, 10; строк до 2025-12-31. Попросити один знеособлений пакет здачі за цим workflow.</x:v>
      </x:c>
      <x:c r="Z787" s="15" t="str">
        <x:v>https://prozorro.gov.ua/tender/UA-2025-12-19-007239-a</x:v>
      </x:c>
      <x:c r="AA787" s="14" t="str">
        <x:v>25797844</x:v>
      </x:c>
      <x:c r="AB787" s="14" t="str">
        <x:v>2026-08-24</x:v>
      </x:c>
      <x:c r="AC787" s="14" t="str"/>
      <x:c r="AD787" s="20" t="str"/>
      <x:c r="AE787" s="14" t="str"/>
      <x:c r="AF787" s="14" t="n">
        <x:v>46</x:v>
      </x:c>
      <x:c r="AG787" s="14" t="str">
        <x:v>I3</x:v>
      </x:c>
      <x:c r="AH787" s="14" t="n">
        <x:v>2</x:v>
      </x:c>
      <x:c r="AI787" s="14" t="n">
        <x:v>1</x:v>
      </x:c>
      <x:c r="AJ787" s="18" t="n">
        <x:v>131531</x:v>
      </x:c>
      <x:c r="AK787" s="14" t="str">
        <x:v>https://prozorro.gov.ua/tender/UA-2026-06-01-006043-a</x:v>
      </x:c>
      <x:c r="AL787" s="19" t="n">
        <x:v>46174.433404166666</x:v>
      </x:c>
      <x:c r="AM787" s="19" t="n">
        <x:v>46387</x:v>
      </x:c>
      <x:c r="AN787" s="15" t="str">
        <x:v>Електромонтаж; СКС / BMS / слаботочка</x:v>
      </x:c>
      <x:c r="AO787" s="15" t="str">
        <x:v>not_found_in_top_search</x:v>
      </x:c>
    </x:row>
    <x:row r="788">
      <x:c r="A788" s="14" t="str">
        <x:v>W3-516</x:v>
      </x:c>
      <x:c r="B788" s="14" t="str">
        <x:v>Prozorro winners — 24.08</x:v>
      </x:c>
      <x:c r="C788" s="14" t="str">
        <x:v>ПП "Профіт - ресурс"</x:v>
      </x:c>
      <x:c r="D788" s="14" t="str">
        <x:v>Електромонтаж</x:v>
      </x:c>
      <x:c r="E788" s="14" t="str">
        <x:v>Pilot now</x:v>
      </x:c>
      <x:c r="F788" s="17" t="str">
        <x:v>P3</x:v>
      </x:c>
      <x:c r="G788" s="14" t="str"/>
      <x:c r="H788" s="14" t="str">
        <x:v>Пілот зараз — Н.15</x:v>
      </x:c>
      <x:c r="I788" s="16" t="n">
        <x:v>5</x:v>
      </x:c>
      <x:c r="J788" s="16" t="n">
        <x:v>5</x:v>
      </x:c>
      <x:c r="K788" s="16" t="n">
        <x:v>5</x:v>
      </x:c>
      <x:c r="L788" s="16" t="n">
        <x:v>1</x:v>
      </x:c>
      <x:c r="M788" s="16" t="n">
        <x:v>5</x:v>
      </x:c>
      <x:c r="N788" s="16" t="n">
        <x:v>5</x:v>
      </x:c>
      <x:c r="O788" s="16" t="n">
        <x:v>5</x:v>
      </x:c>
      <x:c r="P788" s="16" t="n">
        <x:f>IF(COUNT(I788:O788)&lt;7,"",I788*8+J788*3+K788*2+L788*2+M788*2+N788*2+O788)</x:f>
        <x:v>92</x:v>
      </x:c>
      <x:c r="Q788" s="16" t="n">
        <x:f>IF(COUNT(J788:O788)&lt;6,"",J788*5+K788*4+M788*4+L788*3+N788*2+O788*2)</x:f>
        <x:v>88</x:v>
      </x:c>
      <x:c r="R788" s="14" t="str">
        <x:v>high</x:v>
      </x:c>
      <x:c r="S788" s="14" t="str">
        <x:v>official_prozorro_award_2025_2026</x:v>
      </x:c>
      <x:c r="T788" s="14" t="str">
        <x:v>official_prozorro_api</x:v>
      </x:c>
      <x:c r="U788" s="14" t="str">
        <x:v>Не контактували</x:v>
      </x:c>
      <x:c r="V788" s="15" t="str">
        <x:v>Персоналізований free-pilot outreach по UA-2025-12-02-013511-a; попросити 1 пакет Н.14/Н.15</x:v>
      </x:c>
      <x:c r="W788" s="15" t="str">
        <x:v>Власник / директор; керівник ПТО; відповідальний за договори</x:v>
      </x:c>
      <x:c r="X788" s="15" t="str">
        <x:v>1 підтверджених перемог/договорів у Prozorro на 46 000 грн; 0 проєктів зі строком виконання не раніше 24.08.2026.</x:v>
      </x:c>
      <x:c r="Y788" s="15" t="str">
        <x:v>Послуги з улаштування (монтаж) електричних мереж (ДК 021:2015: 45310000-3 - Електромонтажні роботи).; строк до 2025-12-31. Попросити один знеособлений пакет здачі за цим workflow.</x:v>
      </x:c>
      <x:c r="Z788" s="15" t="str">
        <x:v>https://prozorro.gov.ua/tender/UA-2025-12-02-013511-a</x:v>
      </x:c>
      <x:c r="AA788" s="14" t="str">
        <x:v>32021016</x:v>
      </x:c>
      <x:c r="AB788" s="14" t="str">
        <x:v>2026-08-24</x:v>
      </x:c>
      <x:c r="AC788" s="14" t="str"/>
      <x:c r="AD788" s="20" t="str"/>
      <x:c r="AE788" s="14" t="str"/>
      <x:c r="AF788" s="14" t="n">
        <x:v>25</x:v>
      </x:c>
      <x:c r="AG788" s="14" t="str">
        <x:v>I3</x:v>
      </x:c>
      <x:c r="AH788" s="14" t="n">
        <x:v>1</x:v>
      </x:c>
      <x:c r="AI788" s="14" t="n">
        <x:v>0</x:v>
      </x:c>
      <x:c r="AJ788" s="18" t="n">
        <x:v>46000</x:v>
      </x:c>
      <x:c r="AK788" s="14" t="str">
        <x:v>https://prozorro.gov.ua/tender/UA-2025-12-02-013511-a</x:v>
      </x:c>
      <x:c r="AL788" s="19" t="n">
        <x:v>45993.54686398148</x:v>
      </x:c>
      <x:c r="AM788" s="19" t="n">
        <x:v>46022.916666655095</x:v>
      </x:c>
      <x:c r="AN788" s="15" t="str">
        <x:v>Електромонтаж</x:v>
      </x:c>
      <x:c r="AO788" s="15" t="str">
        <x:v>not_found_in_top_search</x:v>
      </x:c>
    </x:row>
    <x:row r="789">
      <x:c r="A789" s="14" t="str">
        <x:v>W3-517</x:v>
      </x:c>
      <x:c r="B789" s="14" t="str">
        <x:v>Prozorro winners — 24.08</x:v>
      </x:c>
      <x:c r="C789" s="14" t="str">
        <x:v>ТОВАРИСТВО З ОБМЕЖЕНОЮ ВІДПОВІДАЛЬНІСТЮ "ЄВРОКОМФОРТ-ІФ"</x:v>
      </x:c>
      <x:c r="D789" s="14" t="str">
        <x:v>HVAC / ОВіК</x:v>
      </x:c>
      <x:c r="E789" s="14" t="str">
        <x:v>Pilot now</x:v>
      </x:c>
      <x:c r="F789" s="17" t="str">
        <x:v>P3</x:v>
      </x:c>
      <x:c r="G789" s="14" t="str"/>
      <x:c r="H789" s="14" t="str">
        <x:v>Пілот зараз — Н.14</x:v>
      </x:c>
      <x:c r="I789" s="16" t="n">
        <x:v>5</x:v>
      </x:c>
      <x:c r="J789" s="16" t="n">
        <x:v>5</x:v>
      </x:c>
      <x:c r="K789" s="16" t="n">
        <x:v>5</x:v>
      </x:c>
      <x:c r="L789" s="16" t="n">
        <x:v>1</x:v>
      </x:c>
      <x:c r="M789" s="16" t="n">
        <x:v>5</x:v>
      </x:c>
      <x:c r="N789" s="16" t="n">
        <x:v>5</x:v>
      </x:c>
      <x:c r="O789" s="16" t="n">
        <x:v>5</x:v>
      </x:c>
      <x:c r="P789" s="16" t="n">
        <x:f>IF(COUNT(I789:O789)&lt;7,"",I789*8+J789*3+K789*2+L789*2+M789*2+N789*2+O789)</x:f>
        <x:v>92</x:v>
      </x:c>
      <x:c r="Q789" s="16" t="n">
        <x:f>IF(COUNT(J789:O789)&lt;6,"",J789*5+K789*4+M789*4+L789*3+N789*2+O789*2)</x:f>
        <x:v>88</x:v>
      </x:c>
      <x:c r="R789" s="14" t="str">
        <x:v>high</x:v>
      </x:c>
      <x:c r="S789" s="14" t="str">
        <x:v>official_prozorro_award_2025_2026</x:v>
      </x:c>
      <x:c r="T789" s="14" t="str">
        <x:v>official_prozorro_api</x:v>
      </x:c>
      <x:c r="U789" s="14" t="str">
        <x:v>Не контактували</x:v>
      </x:c>
      <x:c r="V789" s="15" t="str">
        <x:v>Персоналізований free-pilot outreach по UA-2025-12-18-011206-a; попросити 1 пакет Н.14/Н.15</x:v>
      </x:c>
      <x:c r="W789" s="15" t="str">
        <x:v>Власник / директор; керівник ПТО; відповідальний за договори</x:v>
      </x:c>
      <x:c r="X789" s="15" t="str">
        <x:v>1 підтверджених перемог/договорів у Prozorro на 45 000 грн; 0 проєктів зі строком виконання не раніше 24.08.2026.</x:v>
      </x:c>
      <x:c r="Y789" s="15" t="str">
        <x:v>Послуги з монтажу системи вентиляції в Росільнянському ліцеї.; строк до 2025-12-31. Попросити один знеособлений пакет здачі за цим workflow.</x:v>
      </x:c>
      <x:c r="Z789" s="15" t="str">
        <x:v>https://prozorro.gov.ua/tender/UA-2025-12-18-011206-a</x:v>
      </x:c>
      <x:c r="AA789" s="14" t="str">
        <x:v>37409865</x:v>
      </x:c>
      <x:c r="AB789" s="14" t="str">
        <x:v>2026-08-24</x:v>
      </x:c>
      <x:c r="AC789" s="14" t="str"/>
      <x:c r="AD789" s="20" t="str"/>
      <x:c r="AE789" s="14" t="str"/>
      <x:c r="AF789" s="14" t="n">
        <x:v>25</x:v>
      </x:c>
      <x:c r="AG789" s="14" t="str">
        <x:v>I3</x:v>
      </x:c>
      <x:c r="AH789" s="14" t="n">
        <x:v>1</x:v>
      </x:c>
      <x:c r="AI789" s="14" t="n">
        <x:v>0</x:v>
      </x:c>
      <x:c r="AJ789" s="18" t="n">
        <x:v>45000</x:v>
      </x:c>
      <x:c r="AK789" s="14" t="str">
        <x:v>https://prozorro.gov.ua/tender/UA-2025-12-18-011206-a</x:v>
      </x:c>
      <x:c r="AL789" s="19" t="n">
        <x:v>46009.456794791666</x:v>
      </x:c>
      <x:c r="AM789" s="19" t="n">
        <x:v>46022.916666655095</x:v>
      </x:c>
      <x:c r="AN789" s="15" t="str">
        <x:v>HVAC / ОВіК</x:v>
      </x:c>
      <x:c r="AO789" s="15" t="str">
        <x:v>not_found_in_top_search</x:v>
      </x:c>
    </x:row>
    <x:row r="790">
      <x:c r="A790" s="14" t="str">
        <x:v>W3-518</x:v>
      </x:c>
      <x:c r="B790" s="14" t="str">
        <x:v>Prozorro winners — 24.08</x:v>
      </x:c>
      <x:c r="C790" s="14" t="str">
        <x:v>ТОВ "Екопайпсистемс"</x:v>
      </x:c>
      <x:c r="D790" s="14" t="str">
        <x:v>ГНБ / безтраншейні роботи</x:v>
      </x:c>
      <x:c r="E790" s="14" t="str">
        <x:v>Expansion discovery</x:v>
      </x:c>
      <x:c r="F790" s="17" t="str">
        <x:v>D3</x:v>
      </x:c>
      <x:c r="G790" s="14" t="str"/>
      <x:c r="H790" s="14" t="str">
        <x:v>Discovery розширення — 2 тижні</x:v>
      </x:c>
      <x:c r="I790" s="16" t="n">
        <x:v>1</x:v>
      </x:c>
      <x:c r="J790" s="16" t="n">
        <x:v>5</x:v>
      </x:c>
      <x:c r="K790" s="16" t="n">
        <x:v>4</x:v>
      </x:c>
      <x:c r="L790" s="16" t="n">
        <x:v>1</x:v>
      </x:c>
      <x:c r="M790" s="16" t="n">
        <x:v>5</x:v>
      </x:c>
      <x:c r="N790" s="16" t="n">
        <x:v>5</x:v>
      </x:c>
      <x:c r="O790" s="16" t="n">
        <x:v>5</x:v>
      </x:c>
      <x:c r="P790" s="16" t="n">
        <x:f>IF(COUNT(I790:O790)&lt;7,"",I790*8+J790*3+K790*2+L790*2+M790*2+N790*2+O790)</x:f>
        <x:v>58</x:v>
      </x:c>
      <x:c r="Q790" s="16" t="n">
        <x:f>IF(COUNT(J790:O790)&lt;6,"",J790*5+K790*4+M790*4+L790*3+N790*2+O790*2)</x:f>
        <x:v>84</x:v>
      </x:c>
      <x:c r="R790" s="14" t="str">
        <x:v>high</x:v>
      </x:c>
      <x:c r="S790" s="14" t="str">
        <x:v>official_prozorro_award_2025_2026</x:v>
      </x:c>
      <x:c r="T790" s="14" t="str">
        <x:v>official_prozorro_api</x:v>
      </x:c>
      <x:c r="U790" s="14" t="str">
        <x:v>Не контактували</x:v>
      </x:c>
      <x:c r="V790" s="15" t="str">
        <x:v>Workflow-audit outreach по UA-2025-06-11-012030-a; попросити 1 пакет здачі та вимоги проєкту</x:v>
      </x:c>
      <x:c r="W790" s="15" t="str">
        <x:v>Власник / директор; керівник ПТО; відповідальний за договори</x:v>
      </x:c>
      <x:c r="X790" s="15" t="str">
        <x:v>1 підтверджених перемог/договорів у Prozorro на 43 200 грн; 0 проєктів зі строком виконання не раніше 24.08.2026.</x:v>
      </x:c>
      <x:c r="Y790" s="15" t="str">
        <x:v>Послуги з горизонтально направленого буріння; строк до 2025-07-31. Попросити один знеособлений пакет здачі за цим workflow.</x:v>
      </x:c>
      <x:c r="Z790" s="15" t="str">
        <x:v>https://prozorro.gov.ua/tender/UA-2025-06-11-012030-a</x:v>
      </x:c>
      <x:c r="AA790" s="14" t="str">
        <x:v>44981347</x:v>
      </x:c>
      <x:c r="AB790" s="14" t="str">
        <x:v>2026-08-24</x:v>
      </x:c>
      <x:c r="AC790" s="14" t="str"/>
      <x:c r="AD790" s="20" t="str"/>
      <x:c r="AE790" s="14" t="str"/>
      <x:c r="AF790" s="14" t="n">
        <x:v>25</x:v>
      </x:c>
      <x:c r="AG790" s="14" t="str">
        <x:v>I3</x:v>
      </x:c>
      <x:c r="AH790" s="14" t="n">
        <x:v>1</x:v>
      </x:c>
      <x:c r="AI790" s="14" t="n">
        <x:v>0</x:v>
      </x:c>
      <x:c r="AJ790" s="18" t="n">
        <x:v>43200</x:v>
      </x:c>
      <x:c r="AK790" s="14" t="str">
        <x:v>https://prozorro.gov.ua/tender/UA-2025-06-11-012030-a</x:v>
      </x:c>
      <x:c r="AL790" s="19" t="n">
        <x:v>45819.56320146991</x:v>
      </x:c>
      <x:c r="AM790" s="19" t="n">
        <x:v>45869</x:v>
      </x:c>
      <x:c r="AN790" s="15" t="str">
        <x:v>ГНБ / безтраншейні роботи</x:v>
      </x:c>
      <x:c r="AO790" s="15" t="str">
        <x:v>not_found_in_top_search</x:v>
      </x:c>
    </x:row>
    <x:row r="791">
      <x:c r="A791" s="14" t="str">
        <x:v>W3-519</x:v>
      </x:c>
      <x:c r="B791" s="14" t="str">
        <x:v>Prozorro winners — 24.08</x:v>
      </x:c>
      <x:c r="C791" s="14" t="str">
        <x:v>ТОВ "Компанія Техноклімат"</x:v>
      </x:c>
      <x:c r="D791" s="14" t="str">
        <x:v>HVAC / ОВіК</x:v>
      </x:c>
      <x:c r="E791" s="14" t="str">
        <x:v>Pilot now</x:v>
      </x:c>
      <x:c r="F791" s="17" t="str">
        <x:v>P3</x:v>
      </x:c>
      <x:c r="G791" s="14" t="str"/>
      <x:c r="H791" s="14" t="str">
        <x:v>Пілот зараз — Н.14</x:v>
      </x:c>
      <x:c r="I791" s="16" t="n">
        <x:v>5</x:v>
      </x:c>
      <x:c r="J791" s="16" t="n">
        <x:v>5</x:v>
      </x:c>
      <x:c r="K791" s="16" t="n">
        <x:v>5</x:v>
      </x:c>
      <x:c r="L791" s="16" t="n">
        <x:v>1</x:v>
      </x:c>
      <x:c r="M791" s="16" t="n">
        <x:v>5</x:v>
      </x:c>
      <x:c r="N791" s="16" t="n">
        <x:v>5</x:v>
      </x:c>
      <x:c r="O791" s="16" t="n">
        <x:v>5</x:v>
      </x:c>
      <x:c r="P791" s="16" t="n">
        <x:f>IF(COUNT(I791:O791)&lt;7,"",I791*8+J791*3+K791*2+L791*2+M791*2+N791*2+O791)</x:f>
        <x:v>92</x:v>
      </x:c>
      <x:c r="Q791" s="16" t="n">
        <x:f>IF(COUNT(J791:O791)&lt;6,"",J791*5+K791*4+M791*4+L791*3+N791*2+O791*2)</x:f>
        <x:v>88</x:v>
      </x:c>
      <x:c r="R791" s="14" t="str">
        <x:v>high</x:v>
      </x:c>
      <x:c r="S791" s="14" t="str">
        <x:v>official_prozorro_award_2025_2026</x:v>
      </x:c>
      <x:c r="T791" s="14" t="str">
        <x:v>official_prozorro_api</x:v>
      </x:c>
      <x:c r="U791" s="14" t="str">
        <x:v>Не контактували</x:v>
      </x:c>
      <x:c r="V791" s="15" t="str">
        <x:v>Персоналізований free-pilot outreach по UA-2025-12-02-014509-a; попросити 1 пакет Н.14/Н.15</x:v>
      </x:c>
      <x:c r="W791" s="15" t="str">
        <x:v>Власник / директор; керівник ПТО; відповідальний за договори</x:v>
      </x:c>
      <x:c r="X791" s="15" t="str">
        <x:v>1 підтверджених перемог/договорів у Prozorro на 41 621 грн; 0 проєктів зі строком виконання не раніше 24.08.2026.</x:v>
      </x:c>
      <x:c r="Y791" s="15" t="str">
        <x:v>Монтаж системи вентиляції; строк до 2025-12-26. Попросити один знеособлений пакет здачі за цим workflow.</x:v>
      </x:c>
      <x:c r="Z791" s="15" t="str">
        <x:v>https://prozorro.gov.ua/tender/UA-2025-12-02-014509-a</x:v>
      </x:c>
      <x:c r="AA791" s="14" t="str">
        <x:v>36941776</x:v>
      </x:c>
      <x:c r="AB791" s="14" t="str">
        <x:v>2026-08-24</x:v>
      </x:c>
      <x:c r="AC791" s="14" t="str"/>
      <x:c r="AD791" s="20" t="str"/>
      <x:c r="AE791" s="14" t="str"/>
      <x:c r="AF791" s="14" t="n">
        <x:v>25</x:v>
      </x:c>
      <x:c r="AG791" s="14" t="str">
        <x:v>I3</x:v>
      </x:c>
      <x:c r="AH791" s="14" t="n">
        <x:v>1</x:v>
      </x:c>
      <x:c r="AI791" s="14" t="n">
        <x:v>0</x:v>
      </x:c>
      <x:c r="AJ791" s="18" t="n">
        <x:v>41620.98</x:v>
      </x:c>
      <x:c r="AK791" s="14" t="str">
        <x:v>https://prozorro.gov.ua/tender/UA-2025-12-02-014509-a</x:v>
      </x:c>
      <x:c r="AL791" s="19" t="n">
        <x:v>45993.56170215278</x:v>
      </x:c>
      <x:c r="AM791" s="19" t="n">
        <x:v>46017</x:v>
      </x:c>
      <x:c r="AN791" s="15" t="str">
        <x:v>HVAC / ОВіК</x:v>
      </x:c>
      <x:c r="AO791" s="15" t="str">
        <x:v>not_found_in_top_search</x:v>
      </x:c>
    </x:row>
    <x:row r="792">
      <x:c r="A792" s="14" t="str">
        <x:v>W3-520</x:v>
      </x:c>
      <x:c r="B792" s="14" t="str">
        <x:v>Prozorro winners — 24.08</x:v>
      </x:c>
      <x:c r="C792" s="14" t="str">
        <x:v>ТОВАРИСТВО З ОБМЕЖЕНОЮ ВІДПОВІДАЛЬНІСТЮ "ЄВРОМЕРЕЖА"</x:v>
      </x:c>
      <x:c r="D792" s="14" t="str">
        <x:v>Електромонтаж</x:v>
      </x:c>
      <x:c r="E792" s="14" t="str">
        <x:v>Pilot now</x:v>
      </x:c>
      <x:c r="F792" s="17" t="str">
        <x:v>P3</x:v>
      </x:c>
      <x:c r="G792" s="14" t="str"/>
      <x:c r="H792" s="14" t="str">
        <x:v>Пілот зараз — Н.15</x:v>
      </x:c>
      <x:c r="I792" s="16" t="n">
        <x:v>5</x:v>
      </x:c>
      <x:c r="J792" s="16" t="n">
        <x:v>5</x:v>
      </x:c>
      <x:c r="K792" s="16" t="n">
        <x:v>5</x:v>
      </x:c>
      <x:c r="L792" s="16" t="n">
        <x:v>1</x:v>
      </x:c>
      <x:c r="M792" s="16" t="n">
        <x:v>5</x:v>
      </x:c>
      <x:c r="N792" s="16" t="n">
        <x:v>5</x:v>
      </x:c>
      <x:c r="O792" s="16" t="n">
        <x:v>5</x:v>
      </x:c>
      <x:c r="P792" s="16" t="n">
        <x:f>IF(COUNT(I792:O792)&lt;7,"",I792*8+J792*3+K792*2+L792*2+M792*2+N792*2+O792)</x:f>
        <x:v>92</x:v>
      </x:c>
      <x:c r="Q792" s="16" t="n">
        <x:f>IF(COUNT(J792:O792)&lt;6,"",J792*5+K792*4+M792*4+L792*3+N792*2+O792*2)</x:f>
        <x:v>88</x:v>
      </x:c>
      <x:c r="R792" s="14" t="str">
        <x:v>high</x:v>
      </x:c>
      <x:c r="S792" s="14" t="str">
        <x:v>official_prozorro_award_2025_2026</x:v>
      </x:c>
      <x:c r="T792" s="14" t="str">
        <x:v>official_prozorro_api</x:v>
      </x:c>
      <x:c r="U792" s="14" t="str">
        <x:v>Не контактували</x:v>
      </x:c>
      <x:c r="V792" s="15" t="str">
        <x:v>Персоналізований free-pilot outreach по UA-2025-12-05-003275-a; попросити 1 пакет Н.14/Н.15</x:v>
      </x:c>
      <x:c r="W792" s="15" t="str">
        <x:v>Власник / директор; керівник ПТО; відповідальний за договори</x:v>
      </x:c>
      <x:c r="X792" s="15" t="str">
        <x:v>1 підтверджених перемог/договорів у Prozorro на 40 725 грн; 0 проєктів зі строком виконання не раніше 24.08.2026.</x:v>
      </x:c>
      <x:c r="Y792"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 строк до 2025-12-18. Попросити один знеособлений пакет здачі за цим workflow.</x:v>
      </x:c>
      <x:c r="Z792" s="15" t="str">
        <x:v>https://prozorro.gov.ua/tender/UA-2025-12-05-003275-a</x:v>
      </x:c>
      <x:c r="AA792" s="14" t="str">
        <x:v>45074837</x:v>
      </x:c>
      <x:c r="AB792" s="14" t="str">
        <x:v>2026-08-24</x:v>
      </x:c>
      <x:c r="AC792" s="14" t="str"/>
      <x:c r="AD792" s="20" t="str"/>
      <x:c r="AE792" s="14" t="str"/>
      <x:c r="AF792" s="14" t="n">
        <x:v>25</x:v>
      </x:c>
      <x:c r="AG792" s="14" t="str">
        <x:v>I3</x:v>
      </x:c>
      <x:c r="AH792" s="14" t="n">
        <x:v>1</x:v>
      </x:c>
      <x:c r="AI792" s="14" t="n">
        <x:v>0</x:v>
      </x:c>
      <x:c r="AJ792" s="18" t="n">
        <x:v>40725</x:v>
      </x:c>
      <x:c r="AK792" s="14" t="str">
        <x:v>https://prozorro.gov.ua/tender/UA-2025-12-05-003275-a</x:v>
      </x:c>
      <x:c r="AL792" s="19" t="n">
        <x:v>45996.344294814815</x:v>
      </x:c>
      <x:c r="AM792" s="19" t="n">
        <x:v>46009</x:v>
      </x:c>
      <x:c r="AN792" s="15" t="str">
        <x:v>Електромонтаж</x:v>
      </x:c>
      <x:c r="AO792" s="15" t="str">
        <x:v>not_found_in_top_search</x:v>
      </x:c>
    </x:row>
    <x:row r="793">
      <x:c r="A793" s="14" t="str">
        <x:v>W3-521</x:v>
      </x:c>
      <x:c r="B793" s="14" t="str">
        <x:v>Prozorro winners — 24.08</x:v>
      </x:c>
      <x:c r="C793" s="14" t="str">
        <x:v>АТ "Тернопільобленерго"Підволочиський РЕМ</x:v>
      </x:c>
      <x:c r="D793" s="14" t="str">
        <x:v>Електромонтаж</x:v>
      </x:c>
      <x:c r="E793" s="14" t="str">
        <x:v>Pilot now</x:v>
      </x:c>
      <x:c r="F793" s="17" t="str">
        <x:v>P3</x:v>
      </x:c>
      <x:c r="G793" s="14" t="str"/>
      <x:c r="H793" s="14" t="str">
        <x:v>Пілот зараз — Н.15</x:v>
      </x:c>
      <x:c r="I793" s="16" t="n">
        <x:v>5</x:v>
      </x:c>
      <x:c r="J793" s="16" t="n">
        <x:v>5</x:v>
      </x:c>
      <x:c r="K793" s="16" t="n">
        <x:v>5</x:v>
      </x:c>
      <x:c r="L793" s="16" t="n">
        <x:v>1</x:v>
      </x:c>
      <x:c r="M793" s="16" t="n">
        <x:v>5</x:v>
      </x:c>
      <x:c r="N793" s="16" t="n">
        <x:v>5</x:v>
      </x:c>
      <x:c r="O793" s="16" t="n">
        <x:v>5</x:v>
      </x:c>
      <x:c r="P793" s="16" t="n">
        <x:f>IF(COUNT(I793:O793)&lt;7,"",I793*8+J793*3+K793*2+L793*2+M793*2+N793*2+O793)</x:f>
        <x:v>92</x:v>
      </x:c>
      <x:c r="Q793" s="16" t="n">
        <x:f>IF(COUNT(J793:O793)&lt;6,"",J793*5+K793*4+M793*4+L793*3+N793*2+O793*2)</x:f>
        <x:v>88</x:v>
      </x:c>
      <x:c r="R793" s="14" t="str">
        <x:v>high</x:v>
      </x:c>
      <x:c r="S793" s="14" t="str">
        <x:v>official_prozorro_award_2025_2026</x:v>
      </x:c>
      <x:c r="T793" s="14" t="str">
        <x:v>official_prozorro_api</x:v>
      </x:c>
      <x:c r="U793" s="14" t="str">
        <x:v>Не контактували</x:v>
      </x:c>
      <x:c r="V793" s="15" t="str">
        <x:v>Персоналізований free-pilot outreach по UA-2025-12-10-011455-a; попросити 1 пакет Н.14/Н.15</x:v>
      </x:c>
      <x:c r="W793" s="15" t="str">
        <x:v>Власник / директор; керівник ПТО; відповідальний за договори</x:v>
      </x:c>
      <x:c r="X793" s="15" t="str">
        <x:v>1 підтверджених перемог/договорів у Prozorro на 36 729 грн; 0 проєктів зі строком виконання не раніше 24.08.2026.</x:v>
      </x:c>
      <x:c r="Y793" s="15" t="str">
        <x:v>Послуги з монтажу електричних мереж у приміщенні за адресою: Тернопільська обл., Тернопільський р-н., с. Підволочиськ, вул. Залізнична 1; строк до 2025-12-31. Попросити один знеособлений пакет здачі за цим workflow.</x:v>
      </x:c>
      <x:c r="Z793" s="15" t="str">
        <x:v>https://prozorro.gov.ua/tender/UA-2025-12-10-011455-a</x:v>
      </x:c>
      <x:c r="AA793" s="14" t="str">
        <x:v>21165171</x:v>
      </x:c>
      <x:c r="AB793" s="14" t="str">
        <x:v>2026-08-24</x:v>
      </x:c>
      <x:c r="AC793" s="14" t="str"/>
      <x:c r="AD793" s="20" t="str"/>
      <x:c r="AE793" s="14" t="str"/>
      <x:c r="AF793" s="14" t="n">
        <x:v>25</x:v>
      </x:c>
      <x:c r="AG793" s="14" t="str">
        <x:v>I3</x:v>
      </x:c>
      <x:c r="AH793" s="14" t="n">
        <x:v>1</x:v>
      </x:c>
      <x:c r="AI793" s="14" t="n">
        <x:v>0</x:v>
      </x:c>
      <x:c r="AJ793" s="18" t="n">
        <x:v>36729.24</x:v>
      </x:c>
      <x:c r="AK793" s="14" t="str">
        <x:v>https://prozorro.gov.ua/tender/UA-2025-12-10-011455-a</x:v>
      </x:c>
      <x:c r="AL793" s="19" t="n">
        <x:v>46001.49003201389</x:v>
      </x:c>
      <x:c r="AM793" s="19" t="n">
        <x:v>46022.490578703706</x:v>
      </x:c>
      <x:c r="AN793" s="15" t="str">
        <x:v>Електромонтаж</x:v>
      </x:c>
      <x:c r="AO793" s="15" t="str">
        <x:v>not_found_in_top_search</x:v>
      </x:c>
    </x:row>
    <x:row r="794">
      <x:c r="A794" s="14" t="str">
        <x:v>W3-522</x:v>
      </x:c>
      <x:c r="B794" s="14" t="str">
        <x:v>Prozorro winners — 24.08</x:v>
      </x:c>
      <x:c r="C794" s="14" t="str">
        <x:v>ТОВ ФОРМАТОР_ЕНЕРГО"</x:v>
      </x:c>
      <x:c r="D794" s="14" t="str">
        <x:v>Електромонтаж</x:v>
      </x:c>
      <x:c r="E794" s="14" t="str">
        <x:v>Pilot now</x:v>
      </x:c>
      <x:c r="F794" s="17" t="str">
        <x:v>P3</x:v>
      </x:c>
      <x:c r="G794" s="14" t="str"/>
      <x:c r="H794" s="14" t="str">
        <x:v>Пілот зараз — Н.15</x:v>
      </x:c>
      <x:c r="I794" s="16" t="n">
        <x:v>5</x:v>
      </x:c>
      <x:c r="J794" s="16" t="n">
        <x:v>5</x:v>
      </x:c>
      <x:c r="K794" s="16" t="n">
        <x:v>5</x:v>
      </x:c>
      <x:c r="L794" s="16" t="n">
        <x:v>1</x:v>
      </x:c>
      <x:c r="M794" s="16" t="n">
        <x:v>5</x:v>
      </x:c>
      <x:c r="N794" s="16" t="n">
        <x:v>5</x:v>
      </x:c>
      <x:c r="O794" s="16" t="n">
        <x:v>5</x:v>
      </x:c>
      <x:c r="P794" s="16" t="n">
        <x:f>IF(COUNT(I794:O794)&lt;7,"",I794*8+J794*3+K794*2+L794*2+M794*2+N794*2+O794)</x:f>
        <x:v>92</x:v>
      </x:c>
      <x:c r="Q794" s="16" t="n">
        <x:f>IF(COUNT(J794:O794)&lt;6,"",J794*5+K794*4+M794*4+L794*3+N794*2+O794*2)</x:f>
        <x:v>88</x:v>
      </x:c>
      <x:c r="R794" s="14" t="str">
        <x:v>high</x:v>
      </x:c>
      <x:c r="S794" s="14" t="str">
        <x:v>official_prozorro_award_2025_2026</x:v>
      </x:c>
      <x:c r="T794" s="14" t="str">
        <x:v>official_prozorro_api</x:v>
      </x:c>
      <x:c r="U794" s="14" t="str">
        <x:v>Не контактували</x:v>
      </x:c>
      <x:c r="V794" s="15" t="str">
        <x:v>Персоналізований free-pilot outreach по UA-2025-04-25-004627-a; попросити 1 пакет Н.14/Н.15</x:v>
      </x:c>
      <x:c r="W794" s="15" t="str">
        <x:v>Власник / директор; керівник ПТО; відповідальний за договори</x:v>
      </x:c>
      <x:c r="X794" s="15" t="str">
        <x:v>1 підтверджених перемог/договорів у Prozorro на 36 110 грн; 0 проєктів зі строком виконання не раніше 24.08.2026.</x:v>
      </x:c>
      <x:c r="Y794" s="15" t="str">
        <x:v>Послуги по електровимірювальним роботам та ремонту контуру заземлення; строк до 2025-12-31. Попросити один знеособлений пакет здачі за цим workflow.</x:v>
      </x:c>
      <x:c r="Z794" s="15" t="str">
        <x:v>https://prozorro.gov.ua/tender/UA-2025-04-25-004627-a</x:v>
      </x:c>
      <x:c r="AA794" s="14" t="str">
        <x:v>41991944</x:v>
      </x:c>
      <x:c r="AB794" s="14" t="str">
        <x:v>2026-08-24</x:v>
      </x:c>
      <x:c r="AC794" s="14" t="str"/>
      <x:c r="AD794" s="20" t="str"/>
      <x:c r="AE794" s="14" t="str"/>
      <x:c r="AF794" s="14" t="n">
        <x:v>25</x:v>
      </x:c>
      <x:c r="AG794" s="14" t="str">
        <x:v>I3</x:v>
      </x:c>
      <x:c r="AH794" s="14" t="n">
        <x:v>1</x:v>
      </x:c>
      <x:c r="AI794" s="14" t="n">
        <x:v>0</x:v>
      </x:c>
      <x:c r="AJ794" s="18" t="n">
        <x:v>36110</x:v>
      </x:c>
      <x:c r="AK794" s="14" t="str">
        <x:v>https://prozorro.gov.ua/tender/UA-2025-04-25-004627-a</x:v>
      </x:c>
      <x:c r="AL794" s="19" t="n">
        <x:v>45772.36460800926</x:v>
      </x:c>
      <x:c r="AM794" s="19" t="n">
        <x:v>46022.916666655095</x:v>
      </x:c>
      <x:c r="AN794" s="15" t="str">
        <x:v>Електромонтаж</x:v>
      </x:c>
      <x:c r="AO794" s="15" t="str">
        <x:v>not_found_in_top_search</x:v>
      </x:c>
    </x:row>
    <x:row r="795">
      <x:c r="A795" s="14" t="str">
        <x:v>W3-523</x:v>
      </x:c>
      <x:c r="B795" s="14" t="str">
        <x:v>Prozorro winners — 24.08</x:v>
      </x:c>
      <x:c r="C795" s="14" t="str">
        <x:v>ТОВАРИСТВО З ОБМЕЖЕНОЮ ВІДПОВІДАЛЬНІСТЮ "МЕДГАЗ"</x:v>
      </x:c>
      <x:c r="D795" s="14" t="str">
        <x:v>Медичні гази</x:v>
      </x:c>
      <x:c r="E795" s="14" t="str">
        <x:v>Expansion discovery</x:v>
      </x:c>
      <x:c r="F795" s="17" t="str">
        <x:v>D3</x:v>
      </x:c>
      <x:c r="G795" s="14" t="str"/>
      <x:c r="H795" s="14" t="str">
        <x:v>Discovery розширення — 2 тижні</x:v>
      </x:c>
      <x:c r="I795" s="16" t="n">
        <x:v>1</x:v>
      </x:c>
      <x:c r="J795" s="16" t="n">
        <x:v>5</x:v>
      </x:c>
      <x:c r="K795" s="16" t="n">
        <x:v>4</x:v>
      </x:c>
      <x:c r="L795" s="16" t="n">
        <x:v>1</x:v>
      </x:c>
      <x:c r="M795" s="16" t="n">
        <x:v>5</x:v>
      </x:c>
      <x:c r="N795" s="16" t="n">
        <x:v>5</x:v>
      </x:c>
      <x:c r="O795" s="16" t="n">
        <x:v>5</x:v>
      </x:c>
      <x:c r="P795" s="16" t="n">
        <x:f>IF(COUNT(I795:O795)&lt;7,"",I795*8+J795*3+K795*2+L795*2+M795*2+N795*2+O795)</x:f>
        <x:v>58</x:v>
      </x:c>
      <x:c r="Q795" s="16" t="n">
        <x:f>IF(COUNT(J795:O795)&lt;6,"",J795*5+K795*4+M795*4+L795*3+N795*2+O795*2)</x:f>
        <x:v>84</x:v>
      </x:c>
      <x:c r="R795" s="14" t="str">
        <x:v>high</x:v>
      </x:c>
      <x:c r="S795" s="14" t="str">
        <x:v>official_prozorro_award_2025_2026</x:v>
      </x:c>
      <x:c r="T795" s="14" t="str">
        <x:v>official_prozorro_api</x:v>
      </x:c>
      <x:c r="U795" s="14" t="str">
        <x:v>Не контактували</x:v>
      </x:c>
      <x:c r="V795" s="15" t="str">
        <x:v>Workflow-audit outreach по UA-2025-08-27-009000-a; попросити 1 пакет здачі та вимоги проєкту</x:v>
      </x:c>
      <x:c r="W795" s="15" t="str">
        <x:v>Власник / директор; керівник ПТО; відповідальний за договори</x:v>
      </x:c>
      <x:c r="X795" s="15" t="str">
        <x:v>1 підтверджених перемог/договорів у Prozorro на 22 008 грн; 0 проєктів зі строком виконання не раніше 24.08.2026.</x:v>
      </x:c>
      <x:c r="Y795"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 строк до 2025-12-31. Попросити один знеособлений пакет здачі за цим workflow.</x:v>
      </x:c>
      <x:c r="Z795" s="15" t="str">
        <x:v>https://prozorro.gov.ua/tender/UA-2025-08-27-009000-a</x:v>
      </x:c>
      <x:c r="AA795" s="14" t="str">
        <x:v>40519037</x:v>
      </x:c>
      <x:c r="AB795" s="14" t="str">
        <x:v>2026-08-24</x:v>
      </x:c>
      <x:c r="AC795" s="14" t="str"/>
      <x:c r="AD795" s="20" t="str"/>
      <x:c r="AE795" s="14" t="str"/>
      <x:c r="AF795" s="14" t="n">
        <x:v>25</x:v>
      </x:c>
      <x:c r="AG795" s="14" t="str">
        <x:v>I3</x:v>
      </x:c>
      <x:c r="AH795" s="14" t="n">
        <x:v>1</x:v>
      </x:c>
      <x:c r="AI795" s="14" t="n">
        <x:v>0</x:v>
      </x:c>
      <x:c r="AJ795" s="18" t="n">
        <x:v>22008</x:v>
      </x:c>
      <x:c r="AK795" s="14" t="str">
        <x:v>https://prozorro.gov.ua/tender/UA-2025-08-27-009000-a</x:v>
      </x:c>
      <x:c r="AL795" s="19" t="n">
        <x:v>45896.545817893515</x:v>
      </x:c>
      <x:c r="AM795" s="19" t="n">
        <x:v>46022</x:v>
      </x:c>
      <x:c r="AN795" s="15" t="str">
        <x:v>Медичні гази</x:v>
      </x:c>
      <x:c r="AO795" s="15" t="str">
        <x:v>not_found_in_top_search</x:v>
      </x:c>
    </x:row>
    <x:row r="796">
      <x:c r="A796" s="14" t="str">
        <x:v>W3-524</x:v>
      </x:c>
      <x:c r="B796" s="14" t="str">
        <x:v>Prozorro winners — 24.08</x:v>
      </x:c>
      <x:c r="C796" s="14" t="str">
        <x:v>ТОВ "УКРБУДТЕХНАГЛЯД-ЧЕРНІГІВ"</x:v>
      </x:c>
      <x:c r="D796" s="14" t="str">
        <x:v>Внутрішні сантехнічні системи</x:v>
      </x:c>
      <x:c r="E796" s="14" t="str">
        <x:v>Pilot now</x:v>
      </x:c>
      <x:c r="F796" s="17" t="str">
        <x:v>P3</x:v>
      </x:c>
      <x:c r="G796" s="14" t="str"/>
      <x:c r="H796" s="14" t="str">
        <x:v>Пілот зараз — Н.14</x:v>
      </x:c>
      <x:c r="I796" s="16" t="n">
        <x:v>5</x:v>
      </x:c>
      <x:c r="J796" s="16" t="n">
        <x:v>5</x:v>
      </x:c>
      <x:c r="K796" s="16" t="n">
        <x:v>5</x:v>
      </x:c>
      <x:c r="L796" s="16" t="n">
        <x:v>1</x:v>
      </x:c>
      <x:c r="M796" s="16" t="n">
        <x:v>5</x:v>
      </x:c>
      <x:c r="N796" s="16" t="n">
        <x:v>5</x:v>
      </x:c>
      <x:c r="O796" s="16" t="n">
        <x:v>5</x:v>
      </x:c>
      <x:c r="P796" s="16" t="n">
        <x:f>IF(COUNT(I796:O796)&lt;7,"",I796*8+J796*3+K796*2+L796*2+M796*2+N796*2+O796)</x:f>
        <x:v>92</x:v>
      </x:c>
      <x:c r="Q796" s="16" t="n">
        <x:f>IF(COUNT(J796:O796)&lt;6,"",J796*5+K796*4+M796*4+L796*3+N796*2+O796*2)</x:f>
        <x:v>88</x:v>
      </x:c>
      <x:c r="R796" s="14" t="str">
        <x:v>high</x:v>
      </x:c>
      <x:c r="S796" s="14" t="str">
        <x:v>official_prozorro_award_2025_2026</x:v>
      </x:c>
      <x:c r="T796" s="14" t="str">
        <x:v>official_prozorro_api</x:v>
      </x:c>
      <x:c r="U796" s="14" t="str">
        <x:v>Не контактували</x:v>
      </x:c>
      <x:c r="V796" s="15" t="str">
        <x:v>Персоналізований free-pilot outreach по UA-2025-12-03-015536-a; попросити 1 пакет Н.14/Н.15</x:v>
      </x:c>
      <x:c r="W796" s="15" t="str">
        <x:v>Власник / директор; керівник ПТО; відповідальний за договори</x:v>
      </x:c>
      <x:c r="X796" s="15" t="str">
        <x:v>1 підтверджених перемог/договорів у Prozorro на 19 900 грн; 0 проєктів зі строком виконання не раніше 24.08.2026.</x:v>
      </x:c>
      <x:c r="Y796"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 строк до 2025-12-31. Попросити один знеособлений пакет здачі за цим workflow.</x:v>
      </x:c>
      <x:c r="Z796" s="15" t="str">
        <x:v>https://prozorro.gov.ua/tender/UA-2025-12-03-015536-a</x:v>
      </x:c>
      <x:c r="AA796" s="14" t="str">
        <x:v>37632903</x:v>
      </x:c>
      <x:c r="AB796" s="14" t="str">
        <x:v>2026-08-24</x:v>
      </x:c>
      <x:c r="AC796" s="14" t="str"/>
      <x:c r="AD796" s="20" t="str"/>
      <x:c r="AE796" s="14" t="str"/>
      <x:c r="AF796" s="14" t="n">
        <x:v>25</x:v>
      </x:c>
      <x:c r="AG796" s="14" t="str">
        <x:v>I3</x:v>
      </x:c>
      <x:c r="AH796" s="14" t="n">
        <x:v>1</x:v>
      </x:c>
      <x:c r="AI796" s="14" t="n">
        <x:v>0</x:v>
      </x:c>
      <x:c r="AJ796" s="18" t="n">
        <x:v>19900</x:v>
      </x:c>
      <x:c r="AK796" s="14" t="str">
        <x:v>https://prozorro.gov.ua/tender/UA-2025-12-03-015536-a</x:v>
      </x:c>
      <x:c r="AL796" s="19" t="n">
        <x:v>45994.558611863424</x:v>
      </x:c>
      <x:c r="AM796" s="19" t="n">
        <x:v>46022.559849537036</x:v>
      </x:c>
      <x:c r="AN796" s="15" t="str">
        <x:v>Внутрішні сантехнічні системи</x:v>
      </x:c>
      <x:c r="AO796" s="15" t="str">
        <x:v>not_found_in_top_search</x:v>
      </x:c>
    </x:row>
    <x:row r="797">
      <x:c r="A797" s="14" t="str">
        <x:v>W3-525</x:v>
      </x:c>
      <x:c r="B797" s="14" t="str">
        <x:v>Prozorro winners — 24.08</x:v>
      </x:c>
      <x:c r="C797" s="14" t="str">
        <x:v>ТОВАРИСТВО З ОБМЕЖЕНОЮ ВІДПОВІДАЛЬНІСТЮ "ПРОДТОВАРИ-Т"</x:v>
      </x:c>
      <x:c r="D797" s="14" t="str">
        <x:v>Електромонтаж</x:v>
      </x:c>
      <x:c r="E797" s="14" t="str">
        <x:v>Pilot now</x:v>
      </x:c>
      <x:c r="F797" s="17" t="str">
        <x:v>P3</x:v>
      </x:c>
      <x:c r="G797" s="14" t="str"/>
      <x:c r="H797" s="14" t="str">
        <x:v>Пілот зараз — Н.15</x:v>
      </x:c>
      <x:c r="I797" s="16" t="n">
        <x:v>5</x:v>
      </x:c>
      <x:c r="J797" s="16" t="n">
        <x:v>5</x:v>
      </x:c>
      <x:c r="K797" s="16" t="n">
        <x:v>5</x:v>
      </x:c>
      <x:c r="L797" s="16" t="n">
        <x:v>1</x:v>
      </x:c>
      <x:c r="M797" s="16" t="n">
        <x:v>5</x:v>
      </x:c>
      <x:c r="N797" s="16" t="n">
        <x:v>5</x:v>
      </x:c>
      <x:c r="O797" s="16" t="n">
        <x:v>5</x:v>
      </x:c>
      <x:c r="P797" s="16" t="n">
        <x:f>IF(COUNT(I797:O797)&lt;7,"",I797*8+J797*3+K797*2+L797*2+M797*2+N797*2+O797)</x:f>
        <x:v>92</x:v>
      </x:c>
      <x:c r="Q797" s="16" t="n">
        <x:f>IF(COUNT(J797:O797)&lt;6,"",J797*5+K797*4+M797*4+L797*3+N797*2+O797*2)</x:f>
        <x:v>88</x:v>
      </x:c>
      <x:c r="R797" s="14" t="str">
        <x:v>high</x:v>
      </x:c>
      <x:c r="S797" s="14" t="str">
        <x:v>official_prozorro_award_2025_2026</x:v>
      </x:c>
      <x:c r="T797" s="14" t="str">
        <x:v>official_prozorro_api</x:v>
      </x:c>
      <x:c r="U797" s="14" t="str">
        <x:v>Не контактували</x:v>
      </x:c>
      <x:c r="V797" s="15" t="str">
        <x:v>Персоналізований free-pilot outreach по UA-2025-07-04-004123-a; попросити 1 пакет Н.14/Н.15</x:v>
      </x:c>
      <x:c r="W797" s="15" t="str">
        <x:v>Власник / директор; керівник ПТО; відповідальний за договори</x:v>
      </x:c>
      <x:c r="X797" s="15" t="str">
        <x:v>1 підтверджених перемог/договорів у Prozorro на 18 500 грн; 0 проєктів зі строком виконання не раніше 24.08.2026.</x:v>
      </x:c>
      <x:c r="Y797" s="15" t="str">
        <x:v>Електровимірювальні роботи; строк до 2025-12-31. Попросити один знеособлений пакет здачі за цим workflow.</x:v>
      </x:c>
      <x:c r="Z797" s="15" t="str">
        <x:v>https://prozorro.gov.ua/tender/UA-2025-07-04-004123-a</x:v>
      </x:c>
      <x:c r="AA797" s="14" t="str">
        <x:v>34402940</x:v>
      </x:c>
      <x:c r="AB797" s="14" t="str">
        <x:v>2026-08-24</x:v>
      </x:c>
      <x:c r="AC797" s="14" t="str"/>
      <x:c r="AD797" s="20" t="str"/>
      <x:c r="AE797" s="14" t="str"/>
      <x:c r="AF797" s="14" t="n">
        <x:v>25</x:v>
      </x:c>
      <x:c r="AG797" s="14" t="str">
        <x:v>I3</x:v>
      </x:c>
      <x:c r="AH797" s="14" t="n">
        <x:v>1</x:v>
      </x:c>
      <x:c r="AI797" s="14" t="n">
        <x:v>0</x:v>
      </x:c>
      <x:c r="AJ797" s="18" t="n">
        <x:v>18500</x:v>
      </x:c>
      <x:c r="AK797" s="14" t="str">
        <x:v>https://prozorro.gov.ua/tender/UA-2025-07-04-004123-a</x:v>
      </x:c>
      <x:c r="AL797" s="19" t="n">
        <x:v>45842.36780934028</x:v>
      </x:c>
      <x:c r="AM797" s="19" t="n">
        <x:v>46022</x:v>
      </x:c>
      <x:c r="AN797" s="15" t="str">
        <x:v>Електромонтаж</x:v>
      </x:c>
      <x:c r="AO797" s="15" t="str">
        <x:v>not_found_in_top_search</x:v>
      </x:c>
    </x:row>
    <x:row r="798">
      <x:c r="A798" s="14" t="str">
        <x:v>W3-526</x:v>
      </x:c>
      <x:c r="B798" s="14" t="str">
        <x:v>Prozorro winners — 24.08</x:v>
      </x:c>
      <x:c r="C798" s="14" t="str">
        <x:v>ТОВАРИСТВО З ОБМЕЖЕНОЮ ВІДПОВІДАЛЬНІСТЮ "Е-ВИМІРЮВАННЯ"</x:v>
      </x:c>
      <x:c r="D798" s="14" t="str">
        <x:v>Електромонтаж</x:v>
      </x:c>
      <x:c r="E798" s="14" t="str">
        <x:v>Pilot now</x:v>
      </x:c>
      <x:c r="F798" s="17" t="str">
        <x:v>P3</x:v>
      </x:c>
      <x:c r="G798" s="14" t="str"/>
      <x:c r="H798" s="14" t="str">
        <x:v>Пілот зараз — Н.15</x:v>
      </x:c>
      <x:c r="I798" s="16" t="n">
        <x:v>5</x:v>
      </x:c>
      <x:c r="J798" s="16" t="n">
        <x:v>5</x:v>
      </x:c>
      <x:c r="K798" s="16" t="n">
        <x:v>5</x:v>
      </x:c>
      <x:c r="L798" s="16" t="n">
        <x:v>1</x:v>
      </x:c>
      <x:c r="M798" s="16" t="n">
        <x:v>5</x:v>
      </x:c>
      <x:c r="N798" s="16" t="n">
        <x:v>5</x:v>
      </x:c>
      <x:c r="O798" s="16" t="n">
        <x:v>5</x:v>
      </x:c>
      <x:c r="P798" s="16" t="n">
        <x:f>IF(COUNT(I798:O798)&lt;7,"",I798*8+J798*3+K798*2+L798*2+M798*2+N798*2+O798)</x:f>
        <x:v>92</x:v>
      </x:c>
      <x:c r="Q798" s="16" t="n">
        <x:f>IF(COUNT(J798:O798)&lt;6,"",J798*5+K798*4+M798*4+L798*3+N798*2+O798*2)</x:f>
        <x:v>88</x:v>
      </x:c>
      <x:c r="R798" s="14" t="str">
        <x:v>high</x:v>
      </x:c>
      <x:c r="S798" s="14" t="str">
        <x:v>official_prozorro_award_2025_2026</x:v>
      </x:c>
      <x:c r="T798" s="14" t="str">
        <x:v>official_prozorro_api</x:v>
      </x:c>
      <x:c r="U798" s="14" t="str">
        <x:v>Не контактували</x:v>
      </x:c>
      <x:c r="V798" s="15" t="str">
        <x:v>Персоналізований free-pilot outreach по UA-2025-09-10-014597-a; попросити 1 пакет Н.14/Н.15</x:v>
      </x:c>
      <x:c r="W798" s="15" t="str">
        <x:v>Власник / директор; керівник ПТО; відповідальний за договори</x:v>
      </x:c>
      <x:c r="X798" s="15" t="str">
        <x:v>1 підтверджених перемог/договорів у Prozorro на 16 010 грн; 0 проєктів зі строком виконання не раніше 24.08.2026.</x:v>
      </x:c>
      <x:c r="Y798"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 строк до 2025-12-31. Попросити один знеособлений пакет здачі за цим workflow.</x:v>
      </x:c>
      <x:c r="Z798" s="15" t="str">
        <x:v>https://prozorro.gov.ua/tender/UA-2025-09-10-014597-a</x:v>
      </x:c>
      <x:c r="AA798" s="14" t="str">
        <x:v>39092565</x:v>
      </x:c>
      <x:c r="AB798" s="14" t="str">
        <x:v>2026-08-24</x:v>
      </x:c>
      <x:c r="AC798" s="14" t="str"/>
      <x:c r="AD798" s="20" t="str"/>
      <x:c r="AE798" s="14" t="str"/>
      <x:c r="AF798" s="14" t="n">
        <x:v>25</x:v>
      </x:c>
      <x:c r="AG798" s="14" t="str">
        <x:v>I3</x:v>
      </x:c>
      <x:c r="AH798" s="14" t="n">
        <x:v>1</x:v>
      </x:c>
      <x:c r="AI798" s="14" t="n">
        <x:v>0</x:v>
      </x:c>
      <x:c r="AJ798" s="18" t="n">
        <x:v>16010</x:v>
      </x:c>
      <x:c r="AK798" s="14" t="str">
        <x:v>https://prozorro.gov.ua/tender/UA-2025-09-10-014597-a</x:v>
      </x:c>
      <x:c r="AL798" s="19" t="n">
        <x:v>45910.830912708334</x:v>
      </x:c>
      <x:c r="AM798" s="19" t="n">
        <x:v>46022</x:v>
      </x:c>
      <x:c r="AN798" s="15" t="str">
        <x:v>Електромонтаж</x:v>
      </x:c>
      <x:c r="AO798" s="15" t="str">
        <x:v>not_found_in_top_search</x:v>
      </x:c>
    </x:row>
    <x:row r="799">
      <x:c r="A799" s="14" t="str">
        <x:v>W3-527</x:v>
      </x:c>
      <x:c r="B799" s="14" t="str">
        <x:v>Prozorro winners — 24.08</x:v>
      </x:c>
      <x:c r="C799" s="14" t="str">
        <x:v>ПРИВАТНЕ ПІДПРИЄМСТВО "ЕНЕРГІЯ"</x:v>
      </x:c>
      <x:c r="D799" s="14" t="str">
        <x:v>Електромонтаж</x:v>
      </x:c>
      <x:c r="E799" s="14" t="str">
        <x:v>Pilot now</x:v>
      </x:c>
      <x:c r="F799" s="17" t="str">
        <x:v>P3</x:v>
      </x:c>
      <x:c r="G799" s="14" t="str"/>
      <x:c r="H799" s="14" t="str">
        <x:v>Пілот зараз — Н.15</x:v>
      </x:c>
      <x:c r="I799" s="16" t="n">
        <x:v>5</x:v>
      </x:c>
      <x:c r="J799" s="16" t="n">
        <x:v>5</x:v>
      </x:c>
      <x:c r="K799" s="16" t="n">
        <x:v>5</x:v>
      </x:c>
      <x:c r="L799" s="16" t="n">
        <x:v>1</x:v>
      </x:c>
      <x:c r="M799" s="16" t="n">
        <x:v>5</x:v>
      </x:c>
      <x:c r="N799" s="16" t="n">
        <x:v>5</x:v>
      </x:c>
      <x:c r="O799" s="16" t="n">
        <x:v>5</x:v>
      </x:c>
      <x:c r="P799" s="16" t="n">
        <x:f>IF(COUNT(I799:O799)&lt;7,"",I799*8+J799*3+K799*2+L799*2+M799*2+N799*2+O799)</x:f>
        <x:v>92</x:v>
      </x:c>
      <x:c r="Q799" s="16" t="n">
        <x:f>IF(COUNT(J799:O799)&lt;6,"",J799*5+K799*4+M799*4+L799*3+N799*2+O799*2)</x:f>
        <x:v>88</x:v>
      </x:c>
      <x:c r="R799" s="14" t="str">
        <x:v>high</x:v>
      </x:c>
      <x:c r="S799" s="14" t="str">
        <x:v>official_prozorro_award_2025_2026</x:v>
      </x:c>
      <x:c r="T799" s="14" t="str">
        <x:v>official_prozorro_api</x:v>
      </x:c>
      <x:c r="U799" s="14" t="str">
        <x:v>Не контактували</x:v>
      </x:c>
      <x:c r="V799" s="15" t="str">
        <x:v>Персоналізований free-pilot outreach по UA-2025-07-16-006359-a; попросити 1 пакет Н.14/Н.15</x:v>
      </x:c>
      <x:c r="W799" s="15" t="str">
        <x:v>Власник / директор; керівник ПТО; відповідальний за договори</x:v>
      </x:c>
      <x:c r="X799" s="15" t="str">
        <x:v>1 підтверджених перемог/договорів у Prozorro на 7 961 грн; 0 проєктів зі строком виконання не раніше 24.08.2026.</x:v>
      </x:c>
      <x:c r="Y799"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 строк до 2025-09-01. Попросити один знеособлений пакет здачі за цим workflow.</x:v>
      </x:c>
      <x:c r="Z799" s="15" t="str">
        <x:v>https://prozorro.gov.ua/tender/UA-2025-07-16-006359-a</x:v>
      </x:c>
      <x:c r="AA799" s="14" t="str">
        <x:v>30849893</x:v>
      </x:c>
      <x:c r="AB799" s="14" t="str">
        <x:v>2026-08-24</x:v>
      </x:c>
      <x:c r="AC799" s="14" t="str"/>
      <x:c r="AD799" s="20" t="str"/>
      <x:c r="AE799" s="14" t="str"/>
      <x:c r="AF799" s="14" t="n">
        <x:v>25</x:v>
      </x:c>
      <x:c r="AG799" s="14" t="str">
        <x:v>I3</x:v>
      </x:c>
      <x:c r="AH799" s="14" t="n">
        <x:v>1</x:v>
      </x:c>
      <x:c r="AI799" s="14" t="n">
        <x:v>0</x:v>
      </x:c>
      <x:c r="AJ799" s="18" t="n">
        <x:v>7960.8</x:v>
      </x:c>
      <x:c r="AK799" s="14" t="str">
        <x:v>https://prozorro.gov.ua/tender/UA-2025-07-16-006359-a</x:v>
      </x:c>
      <x:c r="AL799" s="19" t="n">
        <x:v>45854.474600891204</x:v>
      </x:c>
      <x:c r="AM799" s="19" t="n">
        <x:v>45901</x:v>
      </x:c>
      <x:c r="AN799" s="15" t="str">
        <x:v>Електромонтаж</x:v>
      </x:c>
      <x:c r="AO799" s="15" t="str">
        <x:v>not_found_in_top_search</x:v>
      </x:c>
    </x:row>
    <x:row r="800">
      <x:c r="A800" s="14" t="str">
        <x:v>W3-528</x:v>
      </x:c>
      <x:c r="B800" s="14" t="str">
        <x:v>Prozorro winners — 24.08</x:v>
      </x:c>
      <x:c r="C800" s="14" t="str">
        <x:v>Управління поліції охорони в Івано-Франківській області</x:v>
      </x:c>
      <x:c r="D800" s="14" t="str">
        <x:v>Резервне живлення</x:v>
      </x:c>
      <x:c r="E800" s="14" t="str">
        <x:v>Expansion discovery</x:v>
      </x:c>
      <x:c r="F800" s="17" t="str">
        <x:v>D3</x:v>
      </x:c>
      <x:c r="G800" s="14" t="str"/>
      <x:c r="H800" s="14" t="str">
        <x:v>Discovery розширення — 2 тижні</x:v>
      </x:c>
      <x:c r="I800" s="16" t="n">
        <x:v>1</x:v>
      </x:c>
      <x:c r="J800" s="16" t="n">
        <x:v>5</x:v>
      </x:c>
      <x:c r="K800" s="16" t="n">
        <x:v>4</x:v>
      </x:c>
      <x:c r="L800" s="16" t="n">
        <x:v>1</x:v>
      </x:c>
      <x:c r="M800" s="16" t="n">
        <x:v>5</x:v>
      </x:c>
      <x:c r="N800" s="16" t="n">
        <x:v>5</x:v>
      </x:c>
      <x:c r="O800" s="16" t="n">
        <x:v>5</x:v>
      </x:c>
      <x:c r="P800" s="16" t="n">
        <x:f>IF(COUNT(I800:O800)&lt;7,"",I800*8+J800*3+K800*2+L800*2+M800*2+N800*2+O800)</x:f>
        <x:v>58</x:v>
      </x:c>
      <x:c r="Q800" s="16" t="n">
        <x:f>IF(COUNT(J800:O800)&lt;6,"",J800*5+K800*4+M800*4+L800*3+N800*2+O800*2)</x:f>
        <x:v>84</x:v>
      </x:c>
      <x:c r="R800" s="14" t="str">
        <x:v>high</x:v>
      </x:c>
      <x:c r="S800" s="14" t="str">
        <x:v>official_prozorro_award_2025_2026</x:v>
      </x:c>
      <x:c r="T800" s="14" t="str">
        <x:v>official_prozorro_api</x:v>
      </x:c>
      <x:c r="U800" s="14" t="str">
        <x:v>Не контактували</x:v>
      </x:c>
      <x:c r="V800" s="15" t="str">
        <x:v>Повторне звернення з новим тендерним сигналом UA-2026-03-30-008662-a; попросити 1 пакет здачі</x:v>
      </x:c>
      <x:c r="W800" s="15" t="str">
        <x:v>Власник / директор; керівник ПТО; відповідальний за договори</x:v>
      </x:c>
      <x:c r="X800" s="15" t="str">
        <x:v>1 підтверджених перемог/договорів у Prozorro на 5 054 грн; 0 проєктів зі строком виконання не раніше 24.08.2026.</x:v>
      </x:c>
      <x:c r="Y800" s="15" t="str">
        <x:v>послуги монтажу блоку безперебійного живлення з акумулятором для системи охоронної сигналізації; строк до 2025-12-31. Попросити один знеособлений пакет здачі за цим workflow.</x:v>
      </x:c>
      <x:c r="Z800" s="15" t="str">
        <x:v>https://prozorro.gov.ua/tender/UA-2025-12-17-021884-a</x:v>
      </x:c>
      <x:c r="AA800" s="14" t="str">
        <x:v>40108892</x:v>
      </x:c>
      <x:c r="AB800" s="14" t="str">
        <x:v>2026-08-24</x:v>
      </x:c>
      <x:c r="AC800" s="14" t="str"/>
      <x:c r="AD800" s="20" t="str"/>
      <x:c r="AE800" s="14" t="str"/>
      <x:c r="AF800" s="14" t="n">
        <x:v>48</x:v>
      </x:c>
      <x:c r="AG800" s="14" t="str">
        <x:v>I3</x:v>
      </x:c>
      <x:c r="AH800" s="14" t="n">
        <x:v>3</x:v>
      </x:c>
      <x:c r="AI800" s="14" t="n">
        <x:v>2</x:v>
      </x:c>
      <x:c r="AJ800" s="18" t="n">
        <x:v>53579.61</x:v>
      </x:c>
      <x:c r="AK800" s="14" t="str">
        <x:v>https://prozorro.gov.ua/tender/UA-2026-03-30-008662-a</x:v>
      </x:c>
      <x:c r="AL800" s="19" t="n">
        <x:v>46111.512726886576</x:v>
      </x:c>
      <x:c r="AM800" s="19" t="n">
        <x:v>46387</x:v>
      </x:c>
      <x:c r="AN800" s="15" t="str">
        <x:v>Резервне живлення; Пожежогасіння</x:v>
      </x:c>
      <x:c r="AO800" s="15" t="str">
        <x:v>not_found_in_top_search</x:v>
      </x:c>
    </x:row>
    <x:row r="801">
      <x:c r="A801" s="14" t="str">
        <x:v>W3-529</x:v>
      </x:c>
      <x:c r="B801" s="14" t="str">
        <x:v>Prozorro winners — 24.08</x:v>
      </x:c>
      <x:c r="C801" s="14" t="str">
        <x:v>ТОВАРИСТВО З ОБМЕЖЕНОЮ ВІДПОВІДАЛЬНІСТЮ "ВІНБУДСТАНДАРТ"</x:v>
      </x:c>
      <x:c r="D801" s="14" t="str">
        <x:v>ГНБ / безтраншейні роботи</x:v>
      </x:c>
      <x:c r="E801" s="14" t="str">
        <x:v>Expansion discovery</x:v>
      </x:c>
      <x:c r="F801" s="17" t="str">
        <x:v>D3</x:v>
      </x:c>
      <x:c r="G801" s="14" t="str"/>
      <x:c r="H801" s="14" t="str">
        <x:v>Discovery розширення — 2 тижні</x:v>
      </x:c>
      <x:c r="I801" s="16" t="n">
        <x:v>1</x:v>
      </x:c>
      <x:c r="J801" s="16" t="n">
        <x:v>5</x:v>
      </x:c>
      <x:c r="K801" s="16" t="n">
        <x:v>4</x:v>
      </x:c>
      <x:c r="L801" s="16" t="n">
        <x:v>1</x:v>
      </x:c>
      <x:c r="M801" s="16" t="n">
        <x:v>5</x:v>
      </x:c>
      <x:c r="N801" s="16" t="n">
        <x:v>5</x:v>
      </x:c>
      <x:c r="O801" s="16" t="n">
        <x:v>5</x:v>
      </x:c>
      <x:c r="P801" s="16" t="n">
        <x:f>IF(COUNT(I801:O801)&lt;7,"",I801*8+J801*3+K801*2+L801*2+M801*2+N801*2+O801)</x:f>
        <x:v>58</x:v>
      </x:c>
      <x:c r="Q801" s="16" t="n">
        <x:f>IF(COUNT(J801:O801)&lt;6,"",J801*5+K801*4+M801*4+L801*3+N801*2+O801*2)</x:f>
        <x:v>84</x:v>
      </x:c>
      <x:c r="R801" s="14" t="str">
        <x:v>high</x:v>
      </x:c>
      <x:c r="S801" s="14" t="str">
        <x:v>official_prozorro_award_2025_2026</x:v>
      </x:c>
      <x:c r="T801" s="14" t="str">
        <x:v>official_prozorro_api</x:v>
      </x:c>
      <x:c r="U801" s="14" t="str">
        <x:v>Не контактували</x:v>
      </x:c>
      <x:c r="V801" s="15" t="str">
        <x:v>Workflow-audit outreach по UA-2025-05-12-013357-a; попросити 1 пакет здачі та вимоги проєкту</x:v>
      </x:c>
      <x:c r="W801" s="15" t="str">
        <x:v>Власник / директор; керівник ПТО; відповідальний за договори</x:v>
      </x:c>
      <x:c r="X801" s="15" t="str">
        <x:v>1 підтверджених перемог/договорів у Prozorro на 4 767 грн; 0 проєктів зі строком виконання не раніше 24.08.2026.</x:v>
      </x:c>
      <x:c r="Y801"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 строк до 2025-12-31. Попросити один знеособлений пакет здачі за цим workflow.</x:v>
      </x:c>
      <x:c r="Z801" s="15" t="str">
        <x:v>https://prozorro.gov.ua/tender/UA-2025-05-12-013357-a</x:v>
      </x:c>
      <x:c r="AA801" s="14" t="str">
        <x:v>45583746</x:v>
      </x:c>
      <x:c r="AB801" s="14" t="str">
        <x:v>2026-08-24</x:v>
      </x:c>
      <x:c r="AC801" s="14" t="str"/>
      <x:c r="AD801" s="20" t="str"/>
      <x:c r="AE801" s="14" t="str"/>
      <x:c r="AF801" s="14" t="n">
        <x:v>25</x:v>
      </x:c>
      <x:c r="AG801" s="14" t="str">
        <x:v>I3</x:v>
      </x:c>
      <x:c r="AH801" s="14" t="n">
        <x:v>1</x:v>
      </x:c>
      <x:c r="AI801" s="14" t="n">
        <x:v>0</x:v>
      </x:c>
      <x:c r="AJ801" s="18" t="n">
        <x:v>4766.5</x:v>
      </x:c>
      <x:c r="AK801" s="14" t="str">
        <x:v>https://prozorro.gov.ua/tender/UA-2025-05-12-013357-a</x:v>
      </x:c>
      <x:c r="AL801" s="19" t="n">
        <x:v>45789.587581203705</x:v>
      </x:c>
      <x:c r="AM801" s="19" t="n">
        <x:v>46022</x:v>
      </x:c>
      <x:c r="AN801" s="15" t="str">
        <x:v>ГНБ / безтраншейні роботи</x:v>
      </x:c>
      <x:c r="AO801" s="15" t="str">
        <x:v>not_found_in_top_search</x:v>
      </x:c>
    </x:row>
    <x:row r="802">
      <x:c r="A802" s="14" t="str">
        <x:v>W3-530</x:v>
      </x:c>
      <x:c r="B802" s="14" t="str">
        <x:v>Prozorro winners — 24.08</x:v>
      </x:c>
      <x:c r="C802" s="14" t="str">
        <x:v>ДАНИЛЬЧЕНКО ЮЛІЙ ЕДУАРДОВИЧ</x:v>
      </x:c>
      <x:c r="D802" s="14" t="str">
        <x:v>HVAC / ОВіК</x:v>
      </x:c>
      <x:c r="E802" s="14" t="str">
        <x:v>Pilot now</x:v>
      </x:c>
      <x:c r="F802" s="17" t="str">
        <x:v>P3</x:v>
      </x:c>
      <x:c r="G802" s="14" t="str"/>
      <x:c r="H802" s="14" t="str">
        <x:v>Пілот зараз — Н.14</x:v>
      </x:c>
      <x:c r="I802" s="16" t="n">
        <x:v>5</x:v>
      </x:c>
      <x:c r="J802" s="16" t="n">
        <x:v>5</x:v>
      </x:c>
      <x:c r="K802" s="16" t="n">
        <x:v>5</x:v>
      </x:c>
      <x:c r="L802" s="16" t="n">
        <x:v>1</x:v>
      </x:c>
      <x:c r="M802" s="16" t="n">
        <x:v>5</x:v>
      </x:c>
      <x:c r="N802" s="16" t="n">
        <x:v>3</x:v>
      </x:c>
      <x:c r="O802" s="16" t="n">
        <x:v>5</x:v>
      </x:c>
      <x:c r="P802" s="16" t="n">
        <x:f>IF(COUNT(I802:O802)&lt;7,"",I802*8+J802*3+K802*2+L802*2+M802*2+N802*2+O802)</x:f>
        <x:v>88</x:v>
      </x:c>
      <x:c r="Q802" s="16" t="n">
        <x:f>IF(COUNT(J802:O802)&lt;6,"",J802*5+K802*4+M802*4+L802*3+N802*2+O802*2)</x:f>
        <x:v>84</x:v>
      </x:c>
      <x:c r="R802" s="14" t="str">
        <x:v>high</x:v>
      </x:c>
      <x:c r="S802" s="14" t="str">
        <x:v>official_prozorro_award_2025_2026</x:v>
      </x:c>
      <x:c r="T802" s="14" t="str">
        <x:v>official_prozorro_api</x:v>
      </x:c>
      <x:c r="U802" s="14" t="str">
        <x:v>Не контактували</x:v>
      </x:c>
      <x:c r="V802" s="15" t="str">
        <x:v>Персоналізований free-pilot outreach по UA-2025-12-22-007149-a; попросити 1 пакет Н.14/Н.15</x:v>
      </x:c>
      <x:c r="W802" s="15" t="str">
        <x:v>Власник / виконавець; відповідальний за договір</x:v>
      </x:c>
      <x:c r="X802" s="15" t="str">
        <x:v>1 підтверджених перемог/договорів у Prozorro на 98 657 грн; 0 проєктів зі строком виконання не раніше 24.08.2026.</x:v>
      </x:c>
      <x:c r="Y802" s="15" t="str">
        <x:v>Послуги з монтажу твердотопливного котла та під'єднання до існуючої системи опалення; строк до 2025-12-26. Попросити один знеособлений пакет здачі за цим workflow.</x:v>
      </x:c>
      <x:c r="Z802" s="15" t="str">
        <x:v>https://prozorro.gov.ua/tender/UA-2025-12-22-007149-a</x:v>
      </x:c>
      <x:c r="AA802" s="14" t="str">
        <x:v>3122511676</x:v>
      </x:c>
      <x:c r="AB802" s="14" t="str">
        <x:v>2026-08-24</x:v>
      </x:c>
      <x:c r="AC802" s="14" t="str"/>
      <x:c r="AD802" s="20" t="str"/>
      <x:c r="AE802" s="14" t="str"/>
      <x:c r="AF802" s="14" t="n">
        <x:v>22</x:v>
      </x:c>
      <x:c r="AG802" s="14" t="str">
        <x:v>I3</x:v>
      </x:c>
      <x:c r="AH802" s="14" t="n">
        <x:v>1</x:v>
      </x:c>
      <x:c r="AI802" s="14" t="n">
        <x:v>0</x:v>
      </x:c>
      <x:c r="AJ802" s="18" t="n">
        <x:v>98656.8</x:v>
      </x:c>
      <x:c r="AK802" s="14" t="str">
        <x:v>https://prozorro.gov.ua/tender/UA-2025-12-22-007149-a</x:v>
      </x:c>
      <x:c r="AL802" s="19" t="n">
        <x:v>46013.4062894213</x:v>
      </x:c>
      <x:c r="AM802" s="19" t="n">
        <x:v>46017</x:v>
      </x:c>
      <x:c r="AN802" s="15" t="str">
        <x:v>HVAC / ОВіК</x:v>
      </x:c>
      <x:c r="AO802" s="15" t="str">
        <x:v>not_found_in_top_search</x:v>
      </x:c>
    </x:row>
    <x:row r="803">
      <x:c r="A803" s="14" t="str">
        <x:v>W3-531</x:v>
      </x:c>
      <x:c r="B803" s="14" t="str">
        <x:v>Prozorro winners — 24.08</x:v>
      </x:c>
      <x:c r="C803" s="14" t="str">
        <x:v>ФО-П РЕГІДА ГЕННАДІЙ ВІТАЛІЙОВИЧ</x:v>
      </x:c>
      <x:c r="D803" s="14" t="str">
        <x:v>ВОЛЗ / телеком</x:v>
      </x:c>
      <x:c r="E803" s="14" t="str">
        <x:v>Expansion discovery</x:v>
      </x:c>
      <x:c r="F803" s="17" t="str">
        <x:v>D3</x:v>
      </x:c>
      <x:c r="G803" s="14" t="str"/>
      <x:c r="H803" s="14" t="str">
        <x:v>Discovery розширення — 2 тижні</x:v>
      </x:c>
      <x:c r="I803" s="16" t="n">
        <x:v>1</x:v>
      </x:c>
      <x:c r="J803" s="16" t="n">
        <x:v>5</x:v>
      </x:c>
      <x:c r="K803" s="16" t="n">
        <x:v>4</x:v>
      </x:c>
      <x:c r="L803" s="16" t="n">
        <x:v>1</x:v>
      </x:c>
      <x:c r="M803" s="16" t="n">
        <x:v>5</x:v>
      </x:c>
      <x:c r="N803" s="16" t="n">
        <x:v>3</x:v>
      </x:c>
      <x:c r="O803" s="16" t="n">
        <x:v>5</x:v>
      </x:c>
      <x:c r="P803" s="16" t="n">
        <x:f>IF(COUNT(I803:O803)&lt;7,"",I803*8+J803*3+K803*2+L803*2+M803*2+N803*2+O803)</x:f>
        <x:v>54</x:v>
      </x:c>
      <x:c r="Q803" s="16" t="n">
        <x:f>IF(COUNT(J803:O803)&lt;6,"",J803*5+K803*4+M803*4+L803*3+N803*2+O803*2)</x:f>
        <x:v>80</x:v>
      </x:c>
      <x:c r="R803" s="14" t="str">
        <x:v>high</x:v>
      </x:c>
      <x:c r="S803" s="14" t="str">
        <x:v>official_prozorro_award_2025_2026</x:v>
      </x:c>
      <x:c r="T803" s="14" t="str">
        <x:v>official_prozorro_api</x:v>
      </x:c>
      <x:c r="U803" s="14" t="str">
        <x:v>Не контактували</x:v>
      </x:c>
      <x:c r="V803" s="15" t="str">
        <x:v>Workflow-audit outreach по UA-2025-06-13-000441-a; попросити 1 пакет здачі та вимоги проєкту</x:v>
      </x:c>
      <x:c r="W803" s="15" t="str">
        <x:v>Власник / виконавець; відповідальний за договір</x:v>
      </x:c>
      <x:c r="X803" s="15" t="str">
        <x:v>1 підтверджених перемог/договорів у Prozorro на 97 030 грн; 0 проєктів зі строком виконання не раніше 24.08.2026.</x:v>
      </x:c>
      <x:c r="Y803"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 строк до 2025-12-31. Попросити один знеособлений пакет здачі за цим workflow.</x:v>
      </x:c>
      <x:c r="Z803" s="15" t="str">
        <x:v>https://prozorro.gov.ua/tender/UA-2025-06-13-000441-a</x:v>
      </x:c>
      <x:c r="AA803" s="14" t="str">
        <x:v>2191532230</x:v>
      </x:c>
      <x:c r="AB803" s="14" t="str">
        <x:v>2026-08-24</x:v>
      </x:c>
      <x:c r="AC803" s="14" t="str"/>
      <x:c r="AD803" s="20" t="str"/>
      <x:c r="AE803" s="14" t="str"/>
      <x:c r="AF803" s="14" t="n">
        <x:v>22</x:v>
      </x:c>
      <x:c r="AG803" s="14" t="str">
        <x:v>I3</x:v>
      </x:c>
      <x:c r="AH803" s="14" t="n">
        <x:v>1</x:v>
      </x:c>
      <x:c r="AI803" s="14" t="n">
        <x:v>0</x:v>
      </x:c>
      <x:c r="AJ803" s="18" t="n">
        <x:v>97030</x:v>
      </x:c>
      <x:c r="AK803" s="14" t="str">
        <x:v>https://prozorro.gov.ua/tender/UA-2025-06-13-000441-a</x:v>
      </x:c>
      <x:c r="AL803" s="19" t="n">
        <x:v>45821.2460830787</x:v>
      </x:c>
      <x:c r="AM803" s="19" t="n">
        <x:v>46022</x:v>
      </x:c>
      <x:c r="AN803" s="15" t="str">
        <x:v>ВОЛЗ / телеком</x:v>
      </x:c>
      <x:c r="AO803" s="15" t="str">
        <x:v>not_found_in_top_search</x:v>
      </x:c>
    </x:row>
    <x:row r="804">
      <x:c r="A804" s="14" t="str">
        <x:v>W3-532</x:v>
      </x:c>
      <x:c r="B804" s="14" t="str">
        <x:v>Prozorro winners — 24.08</x:v>
      </x:c>
      <x:c r="C804" s="14" t="str">
        <x:v>ФОП Сидорівський В.М.</x:v>
      </x:c>
      <x:c r="D804" s="14" t="str">
        <x:v>Сонячна енергетика</x:v>
      </x:c>
      <x:c r="E804" s="14" t="str">
        <x:v>Expansion discovery</x:v>
      </x:c>
      <x:c r="F804" s="17" t="str">
        <x:v>D3</x:v>
      </x:c>
      <x:c r="G804" s="14" t="str"/>
      <x:c r="H804" s="14" t="str">
        <x:v>Discovery розширення — 2 тижні</x:v>
      </x:c>
      <x:c r="I804" s="16" t="n">
        <x:v>1</x:v>
      </x:c>
      <x:c r="J804" s="16" t="n">
        <x:v>5</x:v>
      </x:c>
      <x:c r="K804" s="16" t="n">
        <x:v>4</x:v>
      </x:c>
      <x:c r="L804" s="16" t="n">
        <x:v>1</x:v>
      </x:c>
      <x:c r="M804" s="16" t="n">
        <x:v>5</x:v>
      </x:c>
      <x:c r="N804" s="16" t="n">
        <x:v>3</x:v>
      </x:c>
      <x:c r="O804" s="16" t="n">
        <x:v>5</x:v>
      </x:c>
      <x:c r="P804" s="16" t="n">
        <x:f>IF(COUNT(I804:O804)&lt;7,"",I804*8+J804*3+K804*2+L804*2+M804*2+N804*2+O804)</x:f>
        <x:v>54</x:v>
      </x:c>
      <x:c r="Q804" s="16" t="n">
        <x:f>IF(COUNT(J804:O804)&lt;6,"",J804*5+K804*4+M804*4+L804*3+N804*2+O804*2)</x:f>
        <x:v>80</x:v>
      </x:c>
      <x:c r="R804" s="14" t="str">
        <x:v>high</x:v>
      </x:c>
      <x:c r="S804" s="14" t="str">
        <x:v>official_prozorro_award_2025_2026</x:v>
      </x:c>
      <x:c r="T804" s="14" t="str">
        <x:v>official_prozorro_api</x:v>
      </x:c>
      <x:c r="U804" s="14" t="str">
        <x:v>Не контактували</x:v>
      </x:c>
      <x:c r="V804" s="15" t="str">
        <x:v>Workflow-audit outreach по UA-2025-12-17-021013-a; попросити 1 пакет здачі та вимоги проєкту</x:v>
      </x:c>
      <x:c r="W804" s="15" t="str">
        <x:v>Власник / виконавець; відповідальний за договір</x:v>
      </x:c>
      <x:c r="X804" s="15" t="str">
        <x:v>1 підтверджених перемог/договорів у Prozorro на 95 000 грн; 0 проєктів зі строком виконання не раніше 24.08.2026.</x:v>
      </x:c>
      <x:c r="Y804" s="15" t="str">
        <x:v>монтаж сонячної електростанції; строк до 2025-12-31. Попросити один знеособлений пакет здачі за цим workflow.</x:v>
      </x:c>
      <x:c r="Z804" s="15" t="str">
        <x:v>https://prozorro.gov.ua/tender/UA-2025-12-17-021013-a</x:v>
      </x:c>
      <x:c r="AA804" s="14" t="str">
        <x:v>2534309035</x:v>
      </x:c>
      <x:c r="AB804" s="14" t="str">
        <x:v>2026-08-24</x:v>
      </x:c>
      <x:c r="AC804" s="14" t="str"/>
      <x:c r="AD804" s="20" t="str"/>
      <x:c r="AE804" s="14" t="str"/>
      <x:c r="AF804" s="14" t="n">
        <x:v>22</x:v>
      </x:c>
      <x:c r="AG804" s="14" t="str">
        <x:v>I3</x:v>
      </x:c>
      <x:c r="AH804" s="14" t="n">
        <x:v>1</x:v>
      </x:c>
      <x:c r="AI804" s="14" t="n">
        <x:v>0</x:v>
      </x:c>
      <x:c r="AJ804" s="18" t="n">
        <x:v>95000</x:v>
      </x:c>
      <x:c r="AK804" s="14" t="str">
        <x:v>https://prozorro.gov.ua/tender/UA-2025-12-17-021013-a</x:v>
      </x:c>
      <x:c r="AL804" s="19" t="n">
        <x:v>46008.60146755787</x:v>
      </x:c>
      <x:c r="AM804" s="19" t="n">
        <x:v>46022.60365740741</x:v>
      </x:c>
      <x:c r="AN804" s="15" t="str">
        <x:v>Сонячна енергетика</x:v>
      </x:c>
      <x:c r="AO804" s="15" t="str">
        <x:v>not_found_in_top_search</x:v>
      </x:c>
    </x:row>
    <x:row r="805">
      <x:c r="A805" s="14" t="str">
        <x:v>W3-533</x:v>
      </x:c>
      <x:c r="B805" s="14" t="str">
        <x:v>Prozorro winners — 24.08</x:v>
      </x:c>
      <x:c r="C805" s="14" t="str">
        <x:v>КИРПА СЕРГІЙ БОРИСОВИЧ</x:v>
      </x:c>
      <x:c r="D805" s="14" t="str">
        <x:v>Промисловий холод</x:v>
      </x:c>
      <x:c r="E805" s="14" t="str">
        <x:v>Expansion discovery</x:v>
      </x:c>
      <x:c r="F805" s="17" t="str">
        <x:v>D3</x:v>
      </x:c>
      <x:c r="G805" s="14" t="str"/>
      <x:c r="H805" s="14" t="str">
        <x:v>Discovery розширення — 2 тижні</x:v>
      </x:c>
      <x:c r="I805" s="16" t="n">
        <x:v>1</x:v>
      </x:c>
      <x:c r="J805" s="16" t="n">
        <x:v>5</x:v>
      </x:c>
      <x:c r="K805" s="16" t="n">
        <x:v>4</x:v>
      </x:c>
      <x:c r="L805" s="16" t="n">
        <x:v>1</x:v>
      </x:c>
      <x:c r="M805" s="16" t="n">
        <x:v>5</x:v>
      </x:c>
      <x:c r="N805" s="16" t="n">
        <x:v>3</x:v>
      </x:c>
      <x:c r="O805" s="16" t="n">
        <x:v>5</x:v>
      </x:c>
      <x:c r="P805" s="16" t="n">
        <x:f>IF(COUNT(I805:O805)&lt;7,"",I805*8+J805*3+K805*2+L805*2+M805*2+N805*2+O805)</x:f>
        <x:v>54</x:v>
      </x:c>
      <x:c r="Q805" s="16" t="n">
        <x:f>IF(COUNT(J805:O805)&lt;6,"",J805*5+K805*4+M805*4+L805*3+N805*2+O805*2)</x:f>
        <x:v>80</x:v>
      </x:c>
      <x:c r="R805" s="14" t="str">
        <x:v>high</x:v>
      </x:c>
      <x:c r="S805" s="14" t="str">
        <x:v>official_prozorro_award_2025_2026</x:v>
      </x:c>
      <x:c r="T805" s="14" t="str">
        <x:v>official_prozorro_api</x:v>
      </x:c>
      <x:c r="U805" s="14" t="str">
        <x:v>Не контактували</x:v>
      </x:c>
      <x:c r="V805" s="15" t="str">
        <x:v>Workflow-audit outreach по UA-2025-11-28-013574-a; попросити 1 пакет здачі та вимоги проєкту</x:v>
      </x:c>
      <x:c r="W805" s="15" t="str">
        <x:v>Власник / виконавець; відповідальний за договір</x:v>
      </x:c>
      <x:c r="X805" s="15" t="str">
        <x:v>1 підтверджених перемог/договорів у Prozorro на 84 796 грн; 0 проєктів зі строком виконання не раніше 24.08.2026.</x:v>
      </x:c>
      <x:c r="Y805" s="15" t="str">
        <x:v>Кондиціонери із комплектом для монтажу ДК 021:2015:42510000-4 Теплообмінники, кондиціонери повітря, холодильне обладнання та фільтрувальні пристрої; строк до 2025-12-05. Попросити один знеособлений пакет здачі за цим workflow.</x:v>
      </x:c>
      <x:c r="Z805" s="15" t="str">
        <x:v>https://prozorro.gov.ua/tender/UA-2025-11-28-013574-a</x:v>
      </x:c>
      <x:c r="AA805" s="14" t="str">
        <x:v>2764511934</x:v>
      </x:c>
      <x:c r="AB805" s="14" t="str">
        <x:v>2026-08-24</x:v>
      </x:c>
      <x:c r="AC805" s="14" t="str"/>
      <x:c r="AD805" s="20" t="str"/>
      <x:c r="AE805" s="14" t="str"/>
      <x:c r="AF805" s="14" t="n">
        <x:v>22</x:v>
      </x:c>
      <x:c r="AG805" s="14" t="str">
        <x:v>I3</x:v>
      </x:c>
      <x:c r="AH805" s="14" t="n">
        <x:v>1</x:v>
      </x:c>
      <x:c r="AI805" s="14" t="n">
        <x:v>0</x:v>
      </x:c>
      <x:c r="AJ805" s="18" t="n">
        <x:v>84796</x:v>
      </x:c>
      <x:c r="AK805" s="14" t="str">
        <x:v>https://prozorro.gov.ua/tender/UA-2025-11-28-013574-a</x:v>
      </x:c>
      <x:c r="AL805" s="19" t="n">
        <x:v>45989.583615</x:v>
      </x:c>
      <x:c r="AM805" s="19" t="n">
        <x:v>45996</x:v>
      </x:c>
      <x:c r="AN805" s="15" t="str">
        <x:v>Промисловий холод</x:v>
      </x:c>
      <x:c r="AO805" s="15" t="str">
        <x:v>not_found_in_top_search</x:v>
      </x:c>
    </x:row>
    <x:row r="806">
      <x:c r="A806" s="14" t="str">
        <x:v>W3-534</x:v>
      </x:c>
      <x:c r="B806" s="14" t="str">
        <x:v>Prozorro winners — 24.08</x:v>
      </x:c>
      <x:c r="C806" s="14" t="str">
        <x:v>ФОП ЦЬОХ ГАЛИНА СТАНІСЛАВІВНА</x:v>
      </x:c>
      <x:c r="D806" s="14" t="str">
        <x:v>Електромонтаж</x:v>
      </x:c>
      <x:c r="E806" s="14" t="str">
        <x:v>Pilot now</x:v>
      </x:c>
      <x:c r="F806" s="17" t="str">
        <x:v>P3</x:v>
      </x:c>
      <x:c r="G806" s="14" t="str"/>
      <x:c r="H806" s="14" t="str">
        <x:v>Пілот зараз — Н.15</x:v>
      </x:c>
      <x:c r="I806" s="16" t="n">
        <x:v>5</x:v>
      </x:c>
      <x:c r="J806" s="16" t="n">
        <x:v>5</x:v>
      </x:c>
      <x:c r="K806" s="16" t="n">
        <x:v>5</x:v>
      </x:c>
      <x:c r="L806" s="16" t="n">
        <x:v>1</x:v>
      </x:c>
      <x:c r="M806" s="16" t="n">
        <x:v>5</x:v>
      </x:c>
      <x:c r="N806" s="16" t="n">
        <x:v>3</x:v>
      </x:c>
      <x:c r="O806" s="16" t="n">
        <x:v>5</x:v>
      </x:c>
      <x:c r="P806" s="16" t="n">
        <x:f>IF(COUNT(I806:O806)&lt;7,"",I806*8+J806*3+K806*2+L806*2+M806*2+N806*2+O806)</x:f>
        <x:v>88</x:v>
      </x:c>
      <x:c r="Q806" s="16" t="n">
        <x:f>IF(COUNT(J806:O806)&lt;6,"",J806*5+K806*4+M806*4+L806*3+N806*2+O806*2)</x:f>
        <x:v>84</x:v>
      </x:c>
      <x:c r="R806" s="14" t="str">
        <x:v>high</x:v>
      </x:c>
      <x:c r="S806" s="14" t="str">
        <x:v>official_prozorro_award_2025_2026</x:v>
      </x:c>
      <x:c r="T806" s="14" t="str">
        <x:v>official_prozorro_api</x:v>
      </x:c>
      <x:c r="U806" s="14" t="str">
        <x:v>Не контактували</x:v>
      </x:c>
      <x:c r="V806" s="15" t="str">
        <x:v>Персоналізований free-pilot outreach по UA-2025-09-16-013936-a; попросити 1 пакет Н.14/Н.15</x:v>
      </x:c>
      <x:c r="W806" s="15" t="str">
        <x:v>Власник / виконавець; відповідальний за договір</x:v>
      </x:c>
      <x:c r="X806" s="15" t="str">
        <x:v>1 підтверджених перемог/договорів у Prozorro на 55 000 грн; 0 проєктів зі строком виконання не раніше 24.08.2026.</x:v>
      </x:c>
      <x:c r="Y806" s="15" t="str">
        <x:v>Послуги по виконанню електровимірювальних робіт, проведенню перевірки системи заземлення та виготовлення технічної документації; строк до 2025-10-10. Попросити один знеособлений пакет здачі за цим workflow.</x:v>
      </x:c>
      <x:c r="Z806" s="15" t="str">
        <x:v>https://prozorro.gov.ua/tender/UA-2025-09-16-013936-a</x:v>
      </x:c>
      <x:c r="AA806" s="14" t="str">
        <x:v>2602706188</x:v>
      </x:c>
      <x:c r="AB806" s="14" t="str">
        <x:v>2026-08-24</x:v>
      </x:c>
      <x:c r="AC806" s="14" t="str"/>
      <x:c r="AD806" s="20" t="str"/>
      <x:c r="AE806" s="14" t="str"/>
      <x:c r="AF806" s="14" t="n">
        <x:v>22</x:v>
      </x:c>
      <x:c r="AG806" s="14" t="str">
        <x:v>I3</x:v>
      </x:c>
      <x:c r="AH806" s="14" t="n">
        <x:v>1</x:v>
      </x:c>
      <x:c r="AI806" s="14" t="n">
        <x:v>0</x:v>
      </x:c>
      <x:c r="AJ806" s="18" t="n">
        <x:v>55000</x:v>
      </x:c>
      <x:c r="AK806" s="14" t="str">
        <x:v>https://prozorro.gov.ua/tender/UA-2025-09-16-013936-a</x:v>
      </x:c>
      <x:c r="AL806" s="19" t="n">
        <x:v>45924.55775303241</x:v>
      </x:c>
      <x:c r="AM806" s="19" t="n">
        <x:v>45940</x:v>
      </x:c>
      <x:c r="AN806" s="15" t="str">
        <x:v>Електромонтаж</x:v>
      </x:c>
      <x:c r="AO806" s="15" t="str">
        <x:v>not_found_in_top_search</x:v>
      </x:c>
    </x:row>
    <x:row r="807">
      <x:c r="A807" s="14" t="str">
        <x:v>W3-535</x:v>
      </x:c>
      <x:c r="B807" s="14" t="str">
        <x:v>Prozorro winners — 24.08</x:v>
      </x:c>
      <x:c r="C807" s="14" t="str">
        <x:v>Фізична особа-підприємець Кисельов Олександр Сергійович</x:v>
      </x:c>
      <x:c r="D807" s="14" t="str">
        <x:v>Резервне живлення</x:v>
      </x:c>
      <x:c r="E807" s="14" t="str">
        <x:v>Expansion discovery</x:v>
      </x:c>
      <x:c r="F807" s="17" t="str">
        <x:v>D3</x:v>
      </x:c>
      <x:c r="G807" s="14" t="str"/>
      <x:c r="H807" s="14" t="str">
        <x:v>Discovery розширення — 2 тижні</x:v>
      </x:c>
      <x:c r="I807" s="16" t="n">
        <x:v>1</x:v>
      </x:c>
      <x:c r="J807" s="16" t="n">
        <x:v>5</x:v>
      </x:c>
      <x:c r="K807" s="16" t="n">
        <x:v>4</x:v>
      </x:c>
      <x:c r="L807" s="16" t="n">
        <x:v>1</x:v>
      </x:c>
      <x:c r="M807" s="16" t="n">
        <x:v>5</x:v>
      </x:c>
      <x:c r="N807" s="16" t="n">
        <x:v>3</x:v>
      </x:c>
      <x:c r="O807" s="16" t="n">
        <x:v>5</x:v>
      </x:c>
      <x:c r="P807" s="16" t="n">
        <x:f>IF(COUNT(I807:O807)&lt;7,"",I807*8+J807*3+K807*2+L807*2+M807*2+N807*2+O807)</x:f>
        <x:v>54</x:v>
      </x:c>
      <x:c r="Q807" s="16" t="n">
        <x:f>IF(COUNT(J807:O807)&lt;6,"",J807*5+K807*4+M807*4+L807*3+N807*2+O807*2)</x:f>
        <x:v>80</x:v>
      </x:c>
      <x:c r="R807" s="14" t="str">
        <x:v>high</x:v>
      </x:c>
      <x:c r="S807" s="14" t="str">
        <x:v>official_prozorro_award_2025_2026</x:v>
      </x:c>
      <x:c r="T807" s="14" t="str">
        <x:v>official_prozorro_api</x:v>
      </x:c>
      <x:c r="U807" s="14" t="str">
        <x:v>Не контактували</x:v>
      </x:c>
      <x:c r="V807" s="15" t="str">
        <x:v>Workflow-audit outreach по UA-2025-12-11-016854-a; попросити 1 пакет здачі та вимоги проєкту</x:v>
      </x:c>
      <x:c r="W807" s="15" t="str">
        <x:v>Власник / виконавець; відповідальний за договір</x:v>
      </x:c>
      <x:c r="X807" s="15" t="str">
        <x:v>1 підтверджених перемог/договорів у Prozorro на 51 000 грн; 0 проєктів зі строком виконання не раніше 24.08.2026.</x:v>
      </x:c>
      <x:c r="Y807"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 строк до 2025-12-09. Попросити один знеособлений пакет здачі за цим workflow.</x:v>
      </x:c>
      <x:c r="Z807" s="15" t="str">
        <x:v>https://prozorro.gov.ua/tender/UA-2025-12-11-016854-a</x:v>
      </x:c>
      <x:c r="AA807" s="14" t="str">
        <x:v>3473503555</x:v>
      </x:c>
      <x:c r="AB807" s="14" t="str">
        <x:v>2026-08-24</x:v>
      </x:c>
      <x:c r="AC807" s="14" t="str"/>
      <x:c r="AD807" s="20" t="str"/>
      <x:c r="AE807" s="14" t="str"/>
      <x:c r="AF807" s="14" t="n">
        <x:v>22</x:v>
      </x:c>
      <x:c r="AG807" s="14" t="str">
        <x:v>I3</x:v>
      </x:c>
      <x:c r="AH807" s="14" t="n">
        <x:v>1</x:v>
      </x:c>
      <x:c r="AI807" s="14" t="n">
        <x:v>0</x:v>
      </x:c>
      <x:c r="AJ807" s="18" t="n">
        <x:v>51000</x:v>
      </x:c>
      <x:c r="AK807" s="14" t="str">
        <x:v>https://prozorro.gov.ua/tender/UA-2025-12-11-016854-a</x:v>
      </x:c>
      <x:c r="AL807" s="19" t="n">
        <x:v>46002.561358831015</x:v>
      </x:c>
      <x:c r="AM807" s="19" t="n">
        <x:v>46000</x:v>
      </x:c>
      <x:c r="AN807" s="15" t="str">
        <x:v>Резервне живлення</x:v>
      </x:c>
      <x:c r="AO807" s="15" t="str">
        <x:v>not_found_in_top_search</x:v>
      </x:c>
    </x:row>
    <x:row r="808">
      <x:c r="A808" s="14" t="str">
        <x:v>W3-536</x:v>
      </x:c>
      <x:c r="B808" s="14" t="str">
        <x:v>Prozorro winners — 24.08</x:v>
      </x:c>
      <x:c r="C808" s="14" t="str">
        <x:v>ПЕТРУК МИКОЛА ВОЛОДИМИРОВИЧ</x:v>
      </x:c>
      <x:c r="D808" s="14" t="str">
        <x:v>Електромонтаж</x:v>
      </x:c>
      <x:c r="E808" s="14" t="str">
        <x:v>Pilot now</x:v>
      </x:c>
      <x:c r="F808" s="17" t="str">
        <x:v>P3</x:v>
      </x:c>
      <x:c r="G808" s="14" t="str"/>
      <x:c r="H808" s="14" t="str">
        <x:v>Пілот зараз — Н.15</x:v>
      </x:c>
      <x:c r="I808" s="16" t="n">
        <x:v>5</x:v>
      </x:c>
      <x:c r="J808" s="16" t="n">
        <x:v>5</x:v>
      </x:c>
      <x:c r="K808" s="16" t="n">
        <x:v>5</x:v>
      </x:c>
      <x:c r="L808" s="16" t="n">
        <x:v>1</x:v>
      </x:c>
      <x:c r="M808" s="16" t="n">
        <x:v>5</x:v>
      </x:c>
      <x:c r="N808" s="16" t="n">
        <x:v>3</x:v>
      </x:c>
      <x:c r="O808" s="16" t="n">
        <x:v>5</x:v>
      </x:c>
      <x:c r="P808" s="16" t="n">
        <x:f>IF(COUNT(I808:O808)&lt;7,"",I808*8+J808*3+K808*2+L808*2+M808*2+N808*2+O808)</x:f>
        <x:v>88</x:v>
      </x:c>
      <x:c r="Q808" s="16" t="n">
        <x:f>IF(COUNT(J808:O808)&lt;6,"",J808*5+K808*4+M808*4+L808*3+N808*2+O808*2)</x:f>
        <x:v>84</x:v>
      </x:c>
      <x:c r="R808" s="14" t="str">
        <x:v>high</x:v>
      </x:c>
      <x:c r="S808" s="14" t="str">
        <x:v>official_prozorro_award_2025_2026</x:v>
      </x:c>
      <x:c r="T808" s="14" t="str">
        <x:v>official_prozorro_api</x:v>
      </x:c>
      <x:c r="U808" s="14" t="str">
        <x:v>Не контактували</x:v>
      </x:c>
      <x:c r="V808" s="15" t="str">
        <x:v>Персоналізований free-pilot outreach по UA-2025-12-22-009110-a; попросити 1 пакет Н.14/Н.15</x:v>
      </x:c>
      <x:c r="W808" s="15" t="str">
        <x:v>Власник / виконавець; відповідальний за договір</x:v>
      </x:c>
      <x:c r="X808" s="15" t="str">
        <x:v>1 підтверджених перемог/договорів у Prozorro на 33 100 грн; 0 проєктів зі строком виконання не раніше 24.08.2026.</x:v>
      </x:c>
      <x:c r="Y808"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 строк до 2025-12-31. Попросити один знеособлений пакет здачі за цим workflow.</x:v>
      </x:c>
      <x:c r="Z808" s="15" t="str">
        <x:v>https://prozorro.gov.ua/tender/UA-2025-12-22-009110-a</x:v>
      </x:c>
      <x:c r="AA808" s="14" t="str">
        <x:v>1862822250</x:v>
      </x:c>
      <x:c r="AB808" s="14" t="str">
        <x:v>2026-08-24</x:v>
      </x:c>
      <x:c r="AC808" s="14" t="str"/>
      <x:c r="AD808" s="20" t="str"/>
      <x:c r="AE808" s="14" t="str"/>
      <x:c r="AF808" s="14" t="n">
        <x:v>22</x:v>
      </x:c>
      <x:c r="AG808" s="14" t="str">
        <x:v>I3</x:v>
      </x:c>
      <x:c r="AH808" s="14" t="n">
        <x:v>1</x:v>
      </x:c>
      <x:c r="AI808" s="14" t="n">
        <x:v>0</x:v>
      </x:c>
      <x:c r="AJ808" s="18" t="n">
        <x:v>33100</x:v>
      </x:c>
      <x:c r="AK808" s="14" t="str">
        <x:v>https://prozorro.gov.ua/tender/UA-2025-12-22-009110-a</x:v>
      </x:c>
      <x:c r="AL808" s="19" t="n">
        <x:v>46013.441212349535</x:v>
      </x:c>
      <x:c r="AM808" s="19" t="n">
        <x:v>46022</x:v>
      </x:c>
      <x:c r="AN808" s="15" t="str">
        <x:v>Електромонтаж</x:v>
      </x:c>
      <x:c r="AO808" s="15" t="str">
        <x:v>not_found_in_top_search</x:v>
      </x:c>
    </x:row>
    <x:row r="809">
      <x:c r="A809" s="14" t="str">
        <x:v>W3-537</x:v>
      </x:c>
      <x:c r="B809" s="14" t="str">
        <x:v>Prozorro winners — 24.08</x:v>
      </x:c>
      <x:c r="C809" s="14" t="str">
        <x:v>ІЛІКА ВАСИЛЬ АНАТОЛІЙОВИЧ</x:v>
      </x:c>
      <x:c r="D809" s="14" t="str">
        <x:v>Резервне живлення</x:v>
      </x:c>
      <x:c r="E809" s="14" t="str">
        <x:v>Expansion discovery</x:v>
      </x:c>
      <x:c r="F809" s="17" t="str">
        <x:v>D3</x:v>
      </x:c>
      <x:c r="G809" s="14" t="str"/>
      <x:c r="H809" s="14" t="str">
        <x:v>Discovery розширення — 2 тижні</x:v>
      </x:c>
      <x:c r="I809" s="16" t="n">
        <x:v>1</x:v>
      </x:c>
      <x:c r="J809" s="16" t="n">
        <x:v>5</x:v>
      </x:c>
      <x:c r="K809" s="16" t="n">
        <x:v>4</x:v>
      </x:c>
      <x:c r="L809" s="16" t="n">
        <x:v>1</x:v>
      </x:c>
      <x:c r="M809" s="16" t="n">
        <x:v>5</x:v>
      </x:c>
      <x:c r="N809" s="16" t="n">
        <x:v>3</x:v>
      </x:c>
      <x:c r="O809" s="16" t="n">
        <x:v>5</x:v>
      </x:c>
      <x:c r="P809" s="16" t="n">
        <x:f>IF(COUNT(I809:O809)&lt;7,"",I809*8+J809*3+K809*2+L809*2+M809*2+N809*2+O809)</x:f>
        <x:v>54</x:v>
      </x:c>
      <x:c r="Q809" s="16" t="n">
        <x:f>IF(COUNT(J809:O809)&lt;6,"",J809*5+K809*4+M809*4+L809*3+N809*2+O809*2)</x:f>
        <x:v>80</x:v>
      </x:c>
      <x:c r="R809" s="14" t="str">
        <x:v>high</x:v>
      </x:c>
      <x:c r="S809" s="14" t="str">
        <x:v>official_prozorro_award_2025_2026</x:v>
      </x:c>
      <x:c r="T809" s="14" t="str">
        <x:v>official_prozorro_api</x:v>
      </x:c>
      <x:c r="U809" s="14" t="str">
        <x:v>Не контактували</x:v>
      </x:c>
      <x:c r="V809" s="15" t="str">
        <x:v>Workflow-audit outreach по UA-2025-04-03-014446-a; попросити 1 пакет здачі та вимоги проєкту</x:v>
      </x:c>
      <x:c r="W809" s="15" t="str">
        <x:v>Власник / виконавець; відповідальний за договір</x:v>
      </x:c>
      <x:c r="X809" s="15" t="str">
        <x:v>1 підтверджених перемог/договорів у Prozorro на 31 000 грн; 0 проєктів зі строком виконання не раніше 24.08.2026.</x:v>
      </x:c>
      <x:c r="Y809" s="15" t="str">
        <x:v>Послуги з монтажу системи безперебійного живлення; строк до 2025-12-31. Попросити один знеособлений пакет здачі за цим workflow.</x:v>
      </x:c>
      <x:c r="Z809" s="15" t="str">
        <x:v>https://prozorro.gov.ua/tender/UA-2025-04-03-014446-a</x:v>
      </x:c>
      <x:c r="AA809" s="14" t="str">
        <x:v>3325109871</x:v>
      </x:c>
      <x:c r="AB809" s="14" t="str">
        <x:v>2026-08-24</x:v>
      </x:c>
      <x:c r="AC809" s="14" t="str"/>
      <x:c r="AD809" s="20" t="str"/>
      <x:c r="AE809" s="14" t="str"/>
      <x:c r="AF809" s="14" t="n">
        <x:v>22</x:v>
      </x:c>
      <x:c r="AG809" s="14" t="str">
        <x:v>I3</x:v>
      </x:c>
      <x:c r="AH809" s="14" t="n">
        <x:v>1</x:v>
      </x:c>
      <x:c r="AI809" s="14" t="n">
        <x:v>0</x:v>
      </x:c>
      <x:c r="AJ809" s="18" t="n">
        <x:v>31000</x:v>
      </x:c>
      <x:c r="AK809" s="14" t="str">
        <x:v>https://prozorro.gov.ua/tender/UA-2025-04-03-014446-a</x:v>
      </x:c>
      <x:c r="AL809" s="19" t="n">
        <x:v>45750.721517337966</x:v>
      </x:c>
      <x:c r="AM809" s="19" t="n">
        <x:v>46022</x:v>
      </x:c>
      <x:c r="AN809" s="15" t="str">
        <x:v>Резервне живлення</x:v>
      </x:c>
      <x:c r="AO809" s="15" t="str">
        <x:v>not_found_in_top_search</x:v>
      </x:c>
    </x:row>
    <x:row r="810">
      <x:c r="A810" s="14" t="str">
        <x:v>W3-538</x:v>
      </x:c>
      <x:c r="B810" s="14" t="str">
        <x:v>Prozorro winners — 24.08</x:v>
      </x:c>
      <x:c r="C810" s="14" t="str">
        <x:v>МИХАЙЛЮК МАРІЯ ІВАНІВНА</x:v>
      </x:c>
      <x:c r="D810" s="14" t="str">
        <x:v>Електромонтаж</x:v>
      </x:c>
      <x:c r="E810" s="14" t="str">
        <x:v>Pilot now</x:v>
      </x:c>
      <x:c r="F810" s="17" t="str">
        <x:v>P3</x:v>
      </x:c>
      <x:c r="G810" s="14" t="str"/>
      <x:c r="H810" s="14" t="str">
        <x:v>Пілот зараз — Н.15</x:v>
      </x:c>
      <x:c r="I810" s="16" t="n">
        <x:v>5</x:v>
      </x:c>
      <x:c r="J810" s="16" t="n">
        <x:v>5</x:v>
      </x:c>
      <x:c r="K810" s="16" t="n">
        <x:v>5</x:v>
      </x:c>
      <x:c r="L810" s="16" t="n">
        <x:v>1</x:v>
      </x:c>
      <x:c r="M810" s="16" t="n">
        <x:v>5</x:v>
      </x:c>
      <x:c r="N810" s="16" t="n">
        <x:v>3</x:v>
      </x:c>
      <x:c r="O810" s="16" t="n">
        <x:v>5</x:v>
      </x:c>
      <x:c r="P810" s="16" t="n">
        <x:f>IF(COUNT(I810:O810)&lt;7,"",I810*8+J810*3+K810*2+L810*2+M810*2+N810*2+O810)</x:f>
        <x:v>88</x:v>
      </x:c>
      <x:c r="Q810" s="16" t="n">
        <x:f>IF(COUNT(J810:O810)&lt;6,"",J810*5+K810*4+M810*4+L810*3+N810*2+O810*2)</x:f>
        <x:v>84</x:v>
      </x:c>
      <x:c r="R810" s="14" t="str">
        <x:v>high</x:v>
      </x:c>
      <x:c r="S810" s="14" t="str">
        <x:v>official_prozorro_award_2025_2026</x:v>
      </x:c>
      <x:c r="T810" s="14" t="str">
        <x:v>official_prozorro_api</x:v>
      </x:c>
      <x:c r="U810" s="14" t="str">
        <x:v>Не контактували</x:v>
      </x:c>
      <x:c r="V810" s="15" t="str">
        <x:v>Персоналізований free-pilot outreach по UA-2025-12-11-008571-a; попросити 1 пакет Н.14/Н.15</x:v>
      </x:c>
      <x:c r="W810" s="15" t="str">
        <x:v>Власник / виконавець; відповідальний за договір</x:v>
      </x:c>
      <x:c r="X810" s="15" t="str">
        <x:v>1 підтверджених перемог/договорів у Prozorro на 30 400 грн; 0 проєктів зі строком виконання не раніше 24.08.2026.</x:v>
      </x:c>
      <x:c r="Y810" s="15" t="str">
        <x:v>послуги з монтажу та налаштування електричної мережі; строк до 2025-12-31. Попросити один знеособлений пакет здачі за цим workflow.</x:v>
      </x:c>
      <x:c r="Z810" s="15" t="str">
        <x:v>https://prozorro.gov.ua/tender/UA-2025-12-11-008571-a</x:v>
      </x:c>
      <x:c r="AA810" s="14" t="str">
        <x:v>3612006961</x:v>
      </x:c>
      <x:c r="AB810" s="14" t="str">
        <x:v>2026-08-24</x:v>
      </x:c>
      <x:c r="AC810" s="14" t="str"/>
      <x:c r="AD810" s="20" t="str"/>
      <x:c r="AE810" s="14" t="str"/>
      <x:c r="AF810" s="14" t="n">
        <x:v>22</x:v>
      </x:c>
      <x:c r="AG810" s="14" t="str">
        <x:v>I3</x:v>
      </x:c>
      <x:c r="AH810" s="14" t="n">
        <x:v>1</x:v>
      </x:c>
      <x:c r="AI810" s="14" t="n">
        <x:v>0</x:v>
      </x:c>
      <x:c r="AJ810" s="18" t="n">
        <x:v>30400</x:v>
      </x:c>
      <x:c r="AK810" s="14" t="str">
        <x:v>https://prozorro.gov.ua/tender/UA-2025-12-11-008571-a</x:v>
      </x:c>
      <x:c r="AL810" s="19" t="n">
        <x:v>46002.42301488426</x:v>
      </x:c>
      <x:c r="AM810" s="19" t="n">
        <x:v>46022</x:v>
      </x:c>
      <x:c r="AN810" s="15" t="str">
        <x:v>Електромонтаж</x:v>
      </x:c>
      <x:c r="AO810" s="15" t="str">
        <x:v>not_found_in_top_search</x:v>
      </x:c>
    </x:row>
    <x:row r="811">
      <x:c r="A811" s="14" t="str">
        <x:v>W3-539</x:v>
      </x:c>
      <x:c r="B811" s="14" t="str">
        <x:v>Prozorro winners — 24.08</x:v>
      </x:c>
      <x:c r="C811" s="14" t="str">
        <x:v>ФОП Майданець Катерина Олександрівна</x:v>
      </x:c>
      <x:c r="D811" s="14" t="str">
        <x:v>Безпека / СКУД / CCTV</x:v>
      </x:c>
      <x:c r="E811" s="14" t="str">
        <x:v>Expansion discovery</x:v>
      </x:c>
      <x:c r="F811" s="17" t="str">
        <x:v>D3</x:v>
      </x:c>
      <x:c r="G811" s="14" t="str"/>
      <x:c r="H811" s="14" t="str">
        <x:v>Discovery розширення — 2 тижні</x:v>
      </x:c>
      <x:c r="I811" s="16" t="n">
        <x:v>1</x:v>
      </x:c>
      <x:c r="J811" s="16" t="n">
        <x:v>5</x:v>
      </x:c>
      <x:c r="K811" s="16" t="n">
        <x:v>4</x:v>
      </x:c>
      <x:c r="L811" s="16" t="n">
        <x:v>1</x:v>
      </x:c>
      <x:c r="M811" s="16" t="n">
        <x:v>5</x:v>
      </x:c>
      <x:c r="N811" s="16" t="n">
        <x:v>3</x:v>
      </x:c>
      <x:c r="O811" s="16" t="n">
        <x:v>5</x:v>
      </x:c>
      <x:c r="P811" s="16" t="n">
        <x:f>IF(COUNT(I811:O811)&lt;7,"",I811*8+J811*3+K811*2+L811*2+M811*2+N811*2+O811)</x:f>
        <x:v>54</x:v>
      </x:c>
      <x:c r="Q811" s="16" t="n">
        <x:f>IF(COUNT(J811:O811)&lt;6,"",J811*5+K811*4+M811*4+L811*3+N811*2+O811*2)</x:f>
        <x:v>80</x:v>
      </x:c>
      <x:c r="R811" s="14" t="str">
        <x:v>high</x:v>
      </x:c>
      <x:c r="S811" s="14" t="str">
        <x:v>official_prozorro_award_2025_2026</x:v>
      </x:c>
      <x:c r="T811" s="14" t="str">
        <x:v>official_prozorro_api</x:v>
      </x:c>
      <x:c r="U811" s="14" t="str">
        <x:v>Не контактували</x:v>
      </x:c>
      <x:c r="V811" s="15" t="str">
        <x:v>Workflow-audit outreach по UA-2025-12-17-016354-a; попросити 1 пакет здачі та вимоги проєкту</x:v>
      </x:c>
      <x:c r="W811" s="15" t="str">
        <x:v>Власник / виконавець; відповідальний за договір</x:v>
      </x:c>
      <x:c r="X811" s="15" t="str">
        <x:v>1 підтверджених перемог/договорів у Prozorro на 29 302 грн; 0 проєктів зі строком виконання не раніше 24.08.2026.</x:v>
      </x:c>
      <x:c r="Y811" s="15" t="str">
        <x:v>послуги з монтажу та налаштування системи контролю доступу; строк до 2025-12-31. Попросити один знеособлений пакет здачі за цим workflow.</x:v>
      </x:c>
      <x:c r="Z811" s="15" t="str">
        <x:v>https://prozorro.gov.ua/tender/UA-2025-12-17-016354-a</x:v>
      </x:c>
      <x:c r="AA811" s="14" t="str">
        <x:v>3321004687</x:v>
      </x:c>
      <x:c r="AB811" s="14" t="str">
        <x:v>2026-08-24</x:v>
      </x:c>
      <x:c r="AC811" s="14" t="str"/>
      <x:c r="AD811" s="20" t="str"/>
      <x:c r="AE811" s="14" t="str"/>
      <x:c r="AF811" s="14" t="n">
        <x:v>22</x:v>
      </x:c>
      <x:c r="AG811" s="14" t="str">
        <x:v>I3</x:v>
      </x:c>
      <x:c r="AH811" s="14" t="n">
        <x:v>1</x:v>
      </x:c>
      <x:c r="AI811" s="14" t="n">
        <x:v>0</x:v>
      </x:c>
      <x:c r="AJ811" s="18" t="n">
        <x:v>29302</x:v>
      </x:c>
      <x:c r="AK811" s="14" t="str">
        <x:v>https://prozorro.gov.ua/tender/UA-2025-12-17-016354-a</x:v>
      </x:c>
      <x:c r="AL811" s="19" t="n">
        <x:v>46008.550614733795</x:v>
      </x:c>
      <x:c r="AM811" s="19" t="n">
        <x:v>46022.54587962963</x:v>
      </x:c>
      <x:c r="AN811" s="15" t="str">
        <x:v>Безпека / СКУД / CCTV</x:v>
      </x:c>
      <x:c r="AO811" s="15" t="str">
        <x:v>not_found_in_top_search</x:v>
      </x:c>
    </x:row>
    <x:row r="812">
      <x:c r="A812" s="14" t="str">
        <x:v>W3-540</x:v>
      </x:c>
      <x:c r="B812" s="14" t="str">
        <x:v>Prozorro winners — 24.08</x:v>
      </x:c>
      <x:c r="C812" s="14" t="str">
        <x:v>ФОП Білак М. М.</x:v>
      </x:c>
      <x:c r="D812" s="14" t="str">
        <x:v>Електромонтаж</x:v>
      </x:c>
      <x:c r="E812" s="14" t="str">
        <x:v>Pilot now</x:v>
      </x:c>
      <x:c r="F812" s="17" t="str">
        <x:v>P3</x:v>
      </x:c>
      <x:c r="G812" s="14" t="str"/>
      <x:c r="H812" s="14" t="str">
        <x:v>Пілот зараз — Н.15</x:v>
      </x:c>
      <x:c r="I812" s="16" t="n">
        <x:v>5</x:v>
      </x:c>
      <x:c r="J812" s="16" t="n">
        <x:v>5</x:v>
      </x:c>
      <x:c r="K812" s="16" t="n">
        <x:v>5</x:v>
      </x:c>
      <x:c r="L812" s="16" t="n">
        <x:v>1</x:v>
      </x:c>
      <x:c r="M812" s="16" t="n">
        <x:v>5</x:v>
      </x:c>
      <x:c r="N812" s="16" t="n">
        <x:v>3</x:v>
      </x:c>
      <x:c r="O812" s="16" t="n">
        <x:v>5</x:v>
      </x:c>
      <x:c r="P812" s="16" t="n">
        <x:f>IF(COUNT(I812:O812)&lt;7,"",I812*8+J812*3+K812*2+L812*2+M812*2+N812*2+O812)</x:f>
        <x:v>88</x:v>
      </x:c>
      <x:c r="Q812" s="16" t="n">
        <x:f>IF(COUNT(J812:O812)&lt;6,"",J812*5+K812*4+M812*4+L812*3+N812*2+O812*2)</x:f>
        <x:v>84</x:v>
      </x:c>
      <x:c r="R812" s="14" t="str">
        <x:v>high</x:v>
      </x:c>
      <x:c r="S812" s="14" t="str">
        <x:v>official_prozorro_award_2025_2026</x:v>
      </x:c>
      <x:c r="T812" s="14" t="str">
        <x:v>official_prozorro_api</x:v>
      </x:c>
      <x:c r="U812" s="14" t="str">
        <x:v>Не контактували</x:v>
      </x:c>
      <x:c r="V812" s="15" t="str">
        <x:v>Повторне звернення з новим тендерним сигналом UA-2026-05-13-000013-a; попросити 1 пакет здачі</x:v>
      </x:c>
      <x:c r="W812" s="15" t="str">
        <x:v>Власник / виконавець; відповідальний за договір</x:v>
      </x:c>
      <x:c r="X812" s="15" t="str">
        <x:v>1 підтверджених перемог/договорів у Prozorro на 24 865 грн; 0 проєктів зі строком виконання не раніше 24.08.2026.</x:v>
      </x:c>
      <x:c r="Y812"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 строк до 2025-12-31. Попросити один знеособлений пакет здачі за цим workflow.</x:v>
      </x:c>
      <x:c r="Z812" s="15" t="str">
        <x:v>https://prozorro.gov.ua/tender/UA-2025-07-08-006713-a</x:v>
      </x:c>
      <x:c r="AA812" s="14" t="str">
        <x:v>3356200378</x:v>
      </x:c>
      <x:c r="AB812" s="14" t="str">
        <x:v>2026-08-24</x:v>
      </x:c>
      <x:c r="AC812" s="14" t="str"/>
      <x:c r="AD812" s="20" t="str"/>
      <x:c r="AE812" s="14" t="str"/>
      <x:c r="AF812" s="14" t="n">
        <x:v>72</x:v>
      </x:c>
      <x:c r="AG812" s="14" t="str">
        <x:v>I2</x:v>
      </x:c>
      <x:c r="AH812" s="14" t="n">
        <x:v>5</x:v>
      </x:c>
      <x:c r="AI812" s="14" t="n">
        <x:v>1</x:v>
      </x:c>
      <x:c r="AJ812" s="18" t="n">
        <x:v>240222</x:v>
      </x:c>
      <x:c r="AK812" s="14" t="str">
        <x:v>https://prozorro.gov.ua/tender/UA-2026-05-13-000013-a</x:v>
      </x:c>
      <x:c r="AL812" s="19" t="n">
        <x:v>46154.89117909722</x:v>
      </x:c>
      <x:c r="AM812" s="19" t="n">
        <x:v>46387</x:v>
      </x:c>
      <x:c r="AN812" s="15" t="str">
        <x:v>Електромонтаж; Блискавкозахист / заземлення</x:v>
      </x:c>
      <x:c r="AO812" s="15" t="str">
        <x:v>not_found_in_top_search</x:v>
      </x:c>
    </x:row>
    <x:row r="813">
      <x:c r="A813" s="14" t="str">
        <x:v>W3-541</x:v>
      </x:c>
      <x:c r="B813" s="14" t="str">
        <x:v>Prozorro winners — 24.08</x:v>
      </x:c>
      <x:c r="C813" s="14" t="str">
        <x:v>ФОП Меркушева Анна Олександрівна</x:v>
      </x:c>
      <x:c r="D813" s="14" t="str">
        <x:v>HVAC / ОВіК</x:v>
      </x:c>
      <x:c r="E813" s="14" t="str">
        <x:v>Pilot now</x:v>
      </x:c>
      <x:c r="F813" s="17" t="str">
        <x:v>P3</x:v>
      </x:c>
      <x:c r="G813" s="14" t="str"/>
      <x:c r="H813" s="14" t="str">
        <x:v>Пілот зараз — Н.14</x:v>
      </x:c>
      <x:c r="I813" s="16" t="n">
        <x:v>5</x:v>
      </x:c>
      <x:c r="J813" s="16" t="n">
        <x:v>5</x:v>
      </x:c>
      <x:c r="K813" s="16" t="n">
        <x:v>5</x:v>
      </x:c>
      <x:c r="L813" s="16" t="n">
        <x:v>1</x:v>
      </x:c>
      <x:c r="M813" s="16" t="n">
        <x:v>5</x:v>
      </x:c>
      <x:c r="N813" s="16" t="n">
        <x:v>3</x:v>
      </x:c>
      <x:c r="O813" s="16" t="n">
        <x:v>5</x:v>
      </x:c>
      <x:c r="P813" s="16" t="n">
        <x:f>IF(COUNT(I813:O813)&lt;7,"",I813*8+J813*3+K813*2+L813*2+M813*2+N813*2+O813)</x:f>
        <x:v>88</x:v>
      </x:c>
      <x:c r="Q813" s="16" t="n">
        <x:f>IF(COUNT(J813:O813)&lt;6,"",J813*5+K813*4+M813*4+L813*3+N813*2+O813*2)</x:f>
        <x:v>84</x:v>
      </x:c>
      <x:c r="R813" s="14" t="str">
        <x:v>high</x:v>
      </x:c>
      <x:c r="S813" s="14" t="str">
        <x:v>official_prozorro_award_2025_2026</x:v>
      </x:c>
      <x:c r="T813" s="14" t="str">
        <x:v>official_prozorro_api</x:v>
      </x:c>
      <x:c r="U813" s="14" t="str">
        <x:v>Не контактували</x:v>
      </x:c>
      <x:c r="V813" s="15" t="str">
        <x:v>Персоналізований free-pilot outreach по UA-2025-10-28-010075-a; попросити 1 пакет Н.14/Н.15</x:v>
      </x:c>
      <x:c r="W813" s="15" t="str">
        <x:v>Власник / виконавець; відповідальний за договір</x:v>
      </x:c>
      <x:c r="X813" s="15" t="str">
        <x:v>1 підтверджених перемог/договорів у Prozorro на 22 130 грн; 0 проєктів зі строком виконання не раніше 24.08.2026.</x:v>
      </x:c>
      <x:c r="Y813" s="15" t="str">
        <x:v>Закупівля послуг з монтажу системи опалення; строк до 2025-12-31. Попросити один знеособлений пакет здачі за цим workflow.</x:v>
      </x:c>
      <x:c r="Z813" s="15" t="str">
        <x:v>https://prozorro.gov.ua/tender/UA-2025-10-28-010075-a</x:v>
      </x:c>
      <x:c r="AA813" s="14" t="str">
        <x:v>3417005720</x:v>
      </x:c>
      <x:c r="AB813" s="14" t="str">
        <x:v>2026-08-24</x:v>
      </x:c>
      <x:c r="AC813" s="14" t="str"/>
      <x:c r="AD813" s="20" t="str"/>
      <x:c r="AE813" s="14" t="str"/>
      <x:c r="AF813" s="14" t="n">
        <x:v>22</x:v>
      </x:c>
      <x:c r="AG813" s="14" t="str">
        <x:v>I3</x:v>
      </x:c>
      <x:c r="AH813" s="14" t="n">
        <x:v>1</x:v>
      </x:c>
      <x:c r="AI813" s="14" t="n">
        <x:v>0</x:v>
      </x:c>
      <x:c r="AJ813" s="18" t="n">
        <x:v>22130</x:v>
      </x:c>
      <x:c r="AK813" s="14" t="str">
        <x:v>https://prozorro.gov.ua/tender/UA-2025-10-28-010075-a</x:v>
      </x:c>
      <x:c r="AL813" s="19" t="n">
        <x:v>45958.52176607639</x:v>
      </x:c>
      <x:c r="AM813" s="19" t="n">
        <x:v>46022.916666655095</x:v>
      </x:c>
      <x:c r="AN813" s="15" t="str">
        <x:v>HVAC / ОВіК</x:v>
      </x:c>
      <x:c r="AO813" s="15" t="str">
        <x:v>not_found_in_top_search</x:v>
      </x:c>
    </x:row>
    <x:row r="814">
      <x:c r="A814" s="14" t="str">
        <x:v>W3-542</x:v>
      </x:c>
      <x:c r="B814" s="14" t="str">
        <x:v>Prozorro winners — 24.08</x:v>
      </x:c>
      <x:c r="C814" s="14" t="str">
        <x:v>Фізична особа-підприємець БЄЛОНОГОВ ГЛІБ ВІКТОРОВИЧ</x:v>
      </x:c>
      <x:c r="D814" s="14" t="str">
        <x:v>Електромонтаж</x:v>
      </x:c>
      <x:c r="E814" s="14" t="str">
        <x:v>Pilot now</x:v>
      </x:c>
      <x:c r="F814" s="17" t="str">
        <x:v>P3</x:v>
      </x:c>
      <x:c r="G814" s="14" t="str"/>
      <x:c r="H814" s="14" t="str">
        <x:v>Пілот зараз — Н.15</x:v>
      </x:c>
      <x:c r="I814" s="16" t="n">
        <x:v>5</x:v>
      </x:c>
      <x:c r="J814" s="16" t="n">
        <x:v>5</x:v>
      </x:c>
      <x:c r="K814" s="16" t="n">
        <x:v>5</x:v>
      </x:c>
      <x:c r="L814" s="16" t="n">
        <x:v>1</x:v>
      </x:c>
      <x:c r="M814" s="16" t="n">
        <x:v>5</x:v>
      </x:c>
      <x:c r="N814" s="16" t="n">
        <x:v>3</x:v>
      </x:c>
      <x:c r="O814" s="16" t="n">
        <x:v>5</x:v>
      </x:c>
      <x:c r="P814" s="16" t="n">
        <x:f>IF(COUNT(I814:O814)&lt;7,"",I814*8+J814*3+K814*2+L814*2+M814*2+N814*2+O814)</x:f>
        <x:v>88</x:v>
      </x:c>
      <x:c r="Q814" s="16" t="n">
        <x:f>IF(COUNT(J814:O814)&lt;6,"",J814*5+K814*4+M814*4+L814*3+N814*2+O814*2)</x:f>
        <x:v>84</x:v>
      </x:c>
      <x:c r="R814" s="14" t="str">
        <x:v>high</x:v>
      </x:c>
      <x:c r="S814" s="14" t="str">
        <x:v>official_prozorro_award_2025_2026</x:v>
      </x:c>
      <x:c r="T814" s="14" t="str">
        <x:v>official_prozorro_api</x:v>
      </x:c>
      <x:c r="U814" s="14" t="str">
        <x:v>Не контактували</x:v>
      </x:c>
      <x:c r="V814" s="15" t="str">
        <x:v>Персоналізований free-pilot outreach по UA-2025-12-18-002656-a; попросити 1 пакет Н.14/Н.15</x:v>
      </x:c>
      <x:c r="W814" s="15" t="str">
        <x:v>Власник / виконавець; відповідальний за договір</x:v>
      </x:c>
      <x:c r="X814" s="15" t="str">
        <x:v>1 підтверджених перемог/договорів у Prozorro на 20 650 грн; 0 проєктів зі строком виконання не раніше 24.08.2026.</x:v>
      </x:c>
      <x:c r="Y814" s="15" t="str">
        <x:v>Послуги з монтажу та налаштування електричного обладнання та електричної мережі, підключення генератора; строк до 2025-12-22. Попросити один знеособлений пакет здачі за цим workflow.</x:v>
      </x:c>
      <x:c r="Z814" s="15" t="str">
        <x:v>https://prozorro.gov.ua/tender/UA-2025-12-18-002656-a</x:v>
      </x:c>
      <x:c r="AA814" s="14" t="str">
        <x:v>2771206338</x:v>
      </x:c>
      <x:c r="AB814" s="14" t="str">
        <x:v>2026-08-24</x:v>
      </x:c>
      <x:c r="AC814" s="14" t="str"/>
      <x:c r="AD814" s="20" t="str"/>
      <x:c r="AE814" s="14" t="str"/>
      <x:c r="AF814" s="14" t="n">
        <x:v>22</x:v>
      </x:c>
      <x:c r="AG814" s="14" t="str">
        <x:v>I3</x:v>
      </x:c>
      <x:c r="AH814" s="14" t="n">
        <x:v>1</x:v>
      </x:c>
      <x:c r="AI814" s="14" t="n">
        <x:v>0</x:v>
      </x:c>
      <x:c r="AJ814" s="18" t="n">
        <x:v>20650</x:v>
      </x:c>
      <x:c r="AK814" s="14" t="str">
        <x:v>https://prozorro.gov.ua/tender/UA-2025-12-18-002656-a</x:v>
      </x:c>
      <x:c r="AL814" s="19" t="n">
        <x:v>46009.32575747685</x:v>
      </x:c>
      <x:c r="AM814" s="19" t="n">
        <x:v>46013</x:v>
      </x:c>
      <x:c r="AN814" s="15" t="str">
        <x:v>Електромонтаж</x:v>
      </x:c>
      <x:c r="AO814" s="15" t="str">
        <x:v>not_found_in_top_search</x:v>
      </x:c>
    </x:row>
    <x:row r="815">
      <x:c r="A815" s="14" t="str">
        <x:v>W3-543</x:v>
      </x:c>
      <x:c r="B815" s="14" t="str">
        <x:v>Prozorro winners — 24.08</x:v>
      </x:c>
      <x:c r="C815" s="14" t="str">
        <x:v>ШИМЧУК СЕРГІЙ ЄВСТАФІЙОВИЧ</x:v>
      </x:c>
      <x:c r="D815" s="14" t="str">
        <x:v>HVAC / ОВіК</x:v>
      </x:c>
      <x:c r="E815" s="14" t="str">
        <x:v>Pilot now</x:v>
      </x:c>
      <x:c r="F815" s="17" t="str">
        <x:v>P3</x:v>
      </x:c>
      <x:c r="G815" s="14" t="str"/>
      <x:c r="H815" s="14" t="str">
        <x:v>Пілот зараз — Н.14</x:v>
      </x:c>
      <x:c r="I815" s="16" t="n">
        <x:v>5</x:v>
      </x:c>
      <x:c r="J815" s="16" t="n">
        <x:v>5</x:v>
      </x:c>
      <x:c r="K815" s="16" t="n">
        <x:v>5</x:v>
      </x:c>
      <x:c r="L815" s="16" t="n">
        <x:v>1</x:v>
      </x:c>
      <x:c r="M815" s="16" t="n">
        <x:v>5</x:v>
      </x:c>
      <x:c r="N815" s="16" t="n">
        <x:v>3</x:v>
      </x:c>
      <x:c r="O815" s="16" t="n">
        <x:v>5</x:v>
      </x:c>
      <x:c r="P815" s="16" t="n">
        <x:f>IF(COUNT(I815:O815)&lt;7,"",I815*8+J815*3+K815*2+L815*2+M815*2+N815*2+O815)</x:f>
        <x:v>88</x:v>
      </x:c>
      <x:c r="Q815" s="16" t="n">
        <x:f>IF(COUNT(J815:O815)&lt;6,"",J815*5+K815*4+M815*4+L815*3+N815*2+O815*2)</x:f>
        <x:v>84</x:v>
      </x:c>
      <x:c r="R815" s="14" t="str">
        <x:v>high</x:v>
      </x:c>
      <x:c r="S815" s="14" t="str">
        <x:v>official_prozorro_award_2025_2026</x:v>
      </x:c>
      <x:c r="T815" s="14" t="str">
        <x:v>official_prozorro_api</x:v>
      </x:c>
      <x:c r="U815" s="14" t="str">
        <x:v>Не контактували</x:v>
      </x:c>
      <x:c r="V815" s="15" t="str">
        <x:v>Персоналізований free-pilot outreach по UA-2025-12-22-008729-a; попросити 1 пакет Н.14/Н.15</x:v>
      </x:c>
      <x:c r="W815" s="15" t="str">
        <x:v>Власник / виконавець; відповідальний за договір</x:v>
      </x:c>
      <x:c r="X815" s="15" t="str">
        <x:v>1 підтверджених перемог/договорів у Prozorro на 18 100 грн; 0 проєктів зі строком виконання не раніше 24.08.2026.</x:v>
      </x:c>
      <x:c r="Y815" s="15" t="str">
        <x:v>Послуги по монтажу системи опалення та кондиціонування; строк до 2025-12-26. Попросити один знеособлений пакет здачі за цим workflow.</x:v>
      </x:c>
      <x:c r="Z815" s="15" t="str">
        <x:v>https://prozorro.gov.ua/tender/UA-2025-12-22-008729-a</x:v>
      </x:c>
      <x:c r="AA815" s="14" t="str">
        <x:v>2389802056</x:v>
      </x:c>
      <x:c r="AB815" s="14" t="str">
        <x:v>2026-08-24</x:v>
      </x:c>
      <x:c r="AC815" s="14" t="str"/>
      <x:c r="AD815" s="20" t="str"/>
      <x:c r="AE815" s="14" t="str"/>
      <x:c r="AF815" s="14" t="n">
        <x:v>22</x:v>
      </x:c>
      <x:c r="AG815" s="14" t="str">
        <x:v>I3</x:v>
      </x:c>
      <x:c r="AH815" s="14" t="n">
        <x:v>1</x:v>
      </x:c>
      <x:c r="AI815" s="14" t="n">
        <x:v>0</x:v>
      </x:c>
      <x:c r="AJ815" s="18" t="n">
        <x:v>18100</x:v>
      </x:c>
      <x:c r="AK815" s="14" t="str">
        <x:v>https://prozorro.gov.ua/tender/UA-2025-12-22-008729-a</x:v>
      </x:c>
      <x:c r="AL815" s="19" t="n">
        <x:v>46013.436637280094</x:v>
      </x:c>
      <x:c r="AM815" s="19" t="n">
        <x:v>46017</x:v>
      </x:c>
      <x:c r="AN815" s="15" t="str">
        <x:v>HVAC / ОВіК</x:v>
      </x:c>
      <x:c r="AO815" s="15" t="str">
        <x:v>not_found_in_top_search</x:v>
      </x:c>
    </x:row>
    <x:row r="816">
      <x:c r="A816" s="14" t="str">
        <x:v>W3-544</x:v>
      </x:c>
      <x:c r="B816" s="14" t="str">
        <x:v>Prozorro winners — 24.08</x:v>
      </x:c>
      <x:c r="C816" s="14" t="str">
        <x:v>Тимків Володимир Ярославович</x:v>
      </x:c>
      <x:c r="D816" s="14" t="str">
        <x:v>HVAC / ОВіК</x:v>
      </x:c>
      <x:c r="E816" s="14" t="str">
        <x:v>Pilot now</x:v>
      </x:c>
      <x:c r="F816" s="17" t="str">
        <x:v>P3</x:v>
      </x:c>
      <x:c r="G816" s="14" t="str"/>
      <x:c r="H816" s="14" t="str">
        <x:v>Пілот зараз — Н.14</x:v>
      </x:c>
      <x:c r="I816" s="16" t="n">
        <x:v>5</x:v>
      </x:c>
      <x:c r="J816" s="16" t="n">
        <x:v>5</x:v>
      </x:c>
      <x:c r="K816" s="16" t="n">
        <x:v>5</x:v>
      </x:c>
      <x:c r="L816" s="16" t="n">
        <x:v>1</x:v>
      </x:c>
      <x:c r="M816" s="16" t="n">
        <x:v>5</x:v>
      </x:c>
      <x:c r="N816" s="16" t="n">
        <x:v>3</x:v>
      </x:c>
      <x:c r="O816" s="16" t="n">
        <x:v>5</x:v>
      </x:c>
      <x:c r="P816" s="16" t="n">
        <x:f>IF(COUNT(I816:O816)&lt;7,"",I816*8+J816*3+K816*2+L816*2+M816*2+N816*2+O816)</x:f>
        <x:v>88</x:v>
      </x:c>
      <x:c r="Q816" s="16" t="n">
        <x:f>IF(COUNT(J816:O816)&lt;6,"",J816*5+K816*4+M816*4+L816*3+N816*2+O816*2)</x:f>
        <x:v>84</x:v>
      </x:c>
      <x:c r="R816" s="14" t="str">
        <x:v>high</x:v>
      </x:c>
      <x:c r="S816" s="14" t="str">
        <x:v>official_prozorro_award_2025_2026</x:v>
      </x:c>
      <x:c r="T816" s="14" t="str">
        <x:v>official_prozorro_api</x:v>
      </x:c>
      <x:c r="U816" s="14" t="str">
        <x:v>Не контактували</x:v>
      </x:c>
      <x:c r="V816" s="15" t="str">
        <x:v>Повторне звернення з новим тендерним сигналом UA-2025-11-17-009979-a; попросити 1 пакет здачі</x:v>
      </x:c>
      <x:c r="W816" s="15" t="str">
        <x:v>Власник / виконавець; відповідальний за договір</x:v>
      </x:c>
      <x:c r="X816" s="15" t="str">
        <x:v>1 підтверджених перемог/договорів у Prozorro на 10 570 грн; 0 проєктів зі строком виконання не раніше 24.08.2026.</x:v>
      </x:c>
      <x:c r="Y816" s="15" t="str">
        <x:v>Монтаж системи вентиляції; строк до 2025-12-31. Попросити один знеособлений пакет здачі за цим workflow.</x:v>
      </x:c>
      <x:c r="Z816" s="15" t="str">
        <x:v>https://prozorro.gov.ua/tender/UA-2025-12-18-013725-a</x:v>
      </x:c>
      <x:c r="AA816" s="14" t="str">
        <x:v>3060706854</x:v>
      </x:c>
      <x:c r="AB816" s="14" t="str">
        <x:v>2026-08-24</x:v>
      </x:c>
      <x:c r="AC816" s="14" t="str"/>
      <x:c r="AD816" s="20" t="str"/>
      <x:c r="AE816" s="14" t="str"/>
      <x:c r="AF816" s="14" t="n">
        <x:v>55</x:v>
      </x:c>
      <x:c r="AG816" s="14" t="str">
        <x:v>I3</x:v>
      </x:c>
      <x:c r="AH816" s="14" t="n">
        <x:v>5</x:v>
      </x:c>
      <x:c r="AI816" s="14" t="n">
        <x:v>0</x:v>
      </x:c>
      <x:c r="AJ816" s="18" t="n">
        <x:v>62284</x:v>
      </x:c>
      <x:c r="AK816" s="14" t="str">
        <x:v>https://prozorro.gov.ua/tender/UA-2025-11-17-009979-a</x:v>
      </x:c>
      <x:c r="AL816" s="19" t="n">
        <x:v>45978.52153534722</x:v>
      </x:c>
      <x:c r="AM816" s="19" t="n">
        <x:v>46022.51920138889</x:v>
      </x:c>
      <x:c r="AN816" s="15" t="str">
        <x:v>HVAC / ОВіК</x:v>
      </x:c>
      <x:c r="AO816" s="15" t="str">
        <x:v>not_found_in_top_search</x:v>
      </x:c>
    </x:row>
    <x:row r="817">
      <x:c r="A817" s="14" t="str">
        <x:v>W3-545</x:v>
      </x:c>
      <x:c r="B817" s="14" t="str">
        <x:v>Prozorro winners — 24.08</x:v>
      </x:c>
      <x:c r="C817" s="14" t="str">
        <x:v>ФОП Напаснюк Інна Валеріївна</x:v>
      </x:c>
      <x:c r="D817" s="14" t="str">
        <x:v>Резервне живлення</x:v>
      </x:c>
      <x:c r="E817" s="14" t="str">
        <x:v>Expansion discovery</x:v>
      </x:c>
      <x:c r="F817" s="17" t="str">
        <x:v>D3</x:v>
      </x:c>
      <x:c r="G817" s="14" t="str"/>
      <x:c r="H817" s="14" t="str">
        <x:v>Discovery розширення — 2 тижні</x:v>
      </x:c>
      <x:c r="I817" s="16" t="n">
        <x:v>1</x:v>
      </x:c>
      <x:c r="J817" s="16" t="n">
        <x:v>5</x:v>
      </x:c>
      <x:c r="K817" s="16" t="n">
        <x:v>4</x:v>
      </x:c>
      <x:c r="L817" s="16" t="n">
        <x:v>1</x:v>
      </x:c>
      <x:c r="M817" s="16" t="n">
        <x:v>5</x:v>
      </x:c>
      <x:c r="N817" s="16" t="n">
        <x:v>3</x:v>
      </x:c>
      <x:c r="O817" s="16" t="n">
        <x:v>5</x:v>
      </x:c>
      <x:c r="P817" s="16" t="n">
        <x:f>IF(COUNT(I817:O817)&lt;7,"",I817*8+J817*3+K817*2+L817*2+M817*2+N817*2+O817)</x:f>
        <x:v>54</x:v>
      </x:c>
      <x:c r="Q817" s="16" t="n">
        <x:f>IF(COUNT(J817:O817)&lt;6,"",J817*5+K817*4+M817*4+L817*3+N817*2+O817*2)</x:f>
        <x:v>80</x:v>
      </x:c>
      <x:c r="R817" s="14" t="str">
        <x:v>high</x:v>
      </x:c>
      <x:c r="S817" s="14" t="str">
        <x:v>official_prozorro_award_2025_2026</x:v>
      </x:c>
      <x:c r="T817" s="14" t="str">
        <x:v>official_prozorro_api</x:v>
      </x:c>
      <x:c r="U817" s="14" t="str">
        <x:v>Не контактували</x:v>
      </x:c>
      <x:c r="V817" s="15" t="str">
        <x:v>Workflow-audit outreach по UA-2025-12-18-024456-a; попросити 1 пакет здачі та вимоги проєкту</x:v>
      </x:c>
      <x:c r="W817" s="15" t="str">
        <x:v>Власник / виконавець; відповідальний за договір</x:v>
      </x:c>
      <x:c r="X817" s="15" t="str">
        <x:v>1 підтверджених перемог/договорів у Prozorro на 8 900 грн; 0 проєктів зі строком виконання не раніше 24.08.2026.</x:v>
      </x:c>
      <x:c r="Y817"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 строк до 2025-12-30. Попросити один знеособлений пакет здачі за цим workflow.</x:v>
      </x:c>
      <x:c r="Z817" s="15" t="str">
        <x:v>https://prozorro.gov.ua/tender/UA-2025-12-18-024456-a</x:v>
      </x:c>
      <x:c r="AA817" s="14" t="str">
        <x:v>2855817427</x:v>
      </x:c>
      <x:c r="AB817" s="14" t="str">
        <x:v>2026-08-24</x:v>
      </x:c>
      <x:c r="AC817" s="14" t="str"/>
      <x:c r="AD817" s="20" t="str"/>
      <x:c r="AE817" s="14" t="str"/>
      <x:c r="AF817" s="14" t="n">
        <x:v>22</x:v>
      </x:c>
      <x:c r="AG817" s="14" t="str">
        <x:v>I3</x:v>
      </x:c>
      <x:c r="AH817" s="14" t="n">
        <x:v>1</x:v>
      </x:c>
      <x:c r="AI817" s="14" t="n">
        <x:v>0</x:v>
      </x:c>
      <x:c r="AJ817" s="18" t="n">
        <x:v>8900</x:v>
      </x:c>
      <x:c r="AK817" s="14" t="str">
        <x:v>https://prozorro.gov.ua/tender/UA-2025-12-18-024456-a</x:v>
      </x:c>
      <x:c r="AL817" s="19" t="n">
        <x:v>46009.690366967596</x:v>
      </x:c>
      <x:c r="AM817" s="19" t="n">
        <x:v>46021.69065972222</x:v>
      </x:c>
      <x:c r="AN817" s="15" t="str">
        <x:v>Резервне живлення</x:v>
      </x:c>
      <x:c r="AO817" s="15" t="str">
        <x:v>not_found_in_top_search</x:v>
      </x:c>
    </x:row>
    <x:row r="818">
      <x:c r="A818" s="14" t="str">
        <x:v>W3-546</x:v>
      </x:c>
      <x:c r="B818" s="14" t="str">
        <x:v>Prozorro winners — 24.08</x:v>
      </x:c>
      <x:c r="C818" s="14" t="str">
        <x:v>Сердюк Олексій Григорович</x:v>
      </x:c>
      <x:c r="D818" s="14" t="str">
        <x:v>Електромонтаж</x:v>
      </x:c>
      <x:c r="E818" s="14" t="str">
        <x:v>Pilot now</x:v>
      </x:c>
      <x:c r="F818" s="17" t="str">
        <x:v>P3</x:v>
      </x:c>
      <x:c r="G818" s="14" t="str"/>
      <x:c r="H818" s="14" t="str">
        <x:v>Пілот зараз — Н.15</x:v>
      </x:c>
      <x:c r="I818" s="16" t="n">
        <x:v>5</x:v>
      </x:c>
      <x:c r="J818" s="16" t="n">
        <x:v>5</x:v>
      </x:c>
      <x:c r="K818" s="16" t="n">
        <x:v>5</x:v>
      </x:c>
      <x:c r="L818" s="16" t="n">
        <x:v>1</x:v>
      </x:c>
      <x:c r="M818" s="16" t="n">
        <x:v>5</x:v>
      </x:c>
      <x:c r="N818" s="16" t="n">
        <x:v>3</x:v>
      </x:c>
      <x:c r="O818" s="16" t="n">
        <x:v>5</x:v>
      </x:c>
      <x:c r="P818" s="16" t="n">
        <x:f>IF(COUNT(I818:O818)&lt;7,"",I818*8+J818*3+K818*2+L818*2+M818*2+N818*2+O818)</x:f>
        <x:v>88</x:v>
      </x:c>
      <x:c r="Q818" s="16" t="n">
        <x:f>IF(COUNT(J818:O818)&lt;6,"",J818*5+K818*4+M818*4+L818*3+N818*2+O818*2)</x:f>
        <x:v>84</x:v>
      </x:c>
      <x:c r="R818" s="14" t="str">
        <x:v>high</x:v>
      </x:c>
      <x:c r="S818" s="14" t="str">
        <x:v>official_prozorro_award_2025_2026</x:v>
      </x:c>
      <x:c r="T818" s="14" t="str">
        <x:v>official_prozorro_api</x:v>
      </x:c>
      <x:c r="U818" s="14" t="str">
        <x:v>Не контактували</x:v>
      </x:c>
      <x:c r="V818" s="15" t="str">
        <x:v>Персоналізований free-pilot outreach по UA-2025-10-08-008132-a; попросити 1 пакет Н.14/Н.15</x:v>
      </x:c>
      <x:c r="W818" s="15" t="str">
        <x:v>Власник / виконавець; відповідальний за договір</x:v>
      </x:c>
      <x:c r="X818" s="15" t="str">
        <x:v>1 підтверджених перемог/договорів у Prozorro на 5 000 грн; 0 проєктів зі строком виконання не раніше 24.08.2026.</x:v>
      </x:c>
      <x:c r="Y818"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2025-12-31. Попросити один знеособлений пакет здачі за цим workflow.</x:v>
      </x:c>
      <x:c r="Z818" s="15" t="str">
        <x:v>https://prozorro.gov.ua/tender/UA-2025-10-08-008132-a</x:v>
      </x:c>
      <x:c r="AA818" s="14" t="str">
        <x:v>2963012655</x:v>
      </x:c>
      <x:c r="AB818" s="14" t="str">
        <x:v>2026-08-24</x:v>
      </x:c>
      <x:c r="AC818" s="14" t="str"/>
      <x:c r="AD818" s="20" t="str"/>
      <x:c r="AE818" s="14" t="str"/>
      <x:c r="AF818" s="14" t="n">
        <x:v>22</x:v>
      </x:c>
      <x:c r="AG818" s="14" t="str">
        <x:v>I3</x:v>
      </x:c>
      <x:c r="AH818" s="14" t="n">
        <x:v>1</x:v>
      </x:c>
      <x:c r="AI818" s="14" t="n">
        <x:v>0</x:v>
      </x:c>
      <x:c r="AJ818" s="18" t="n">
        <x:v>5000.4</x:v>
      </x:c>
      <x:c r="AK818" s="14" t="str">
        <x:v>https://prozorro.gov.ua/tender/UA-2025-10-08-008132-a</x:v>
      </x:c>
      <x:c r="AL818" s="19" t="n">
        <x:v>45938.455317962966</x:v>
      </x:c>
      <x:c r="AM818" s="19" t="n">
        <x:v>46022</x:v>
      </x:c>
      <x:c r="AN818" s="15" t="str">
        <x:v>Електромонтаж</x:v>
      </x:c>
      <x:c r="AO818" s="15" t="str">
        <x:v>not_found_in_top_search</x:v>
      </x:c>
    </x:row>
    <x:row r="819">
      <x:c r="A819" s="14" t="str">
        <x:v>W3-547</x:v>
      </x:c>
      <x:c r="B819" s="14" t="str">
        <x:v>Prozorro winners — 24.08</x:v>
      </x:c>
      <x:c r="C819" s="14" t="str">
        <x:v>ФОП Кривов'яз Олександр Михайлович</x:v>
      </x:c>
      <x:c r="D819" s="14" t="str">
        <x:v>Електромонтаж</x:v>
      </x:c>
      <x:c r="E819" s="14" t="str">
        <x:v>Pilot now</x:v>
      </x:c>
      <x:c r="F819" s="17" t="str">
        <x:v>P3</x:v>
      </x:c>
      <x:c r="G819" s="14" t="str"/>
      <x:c r="H819" s="14" t="str">
        <x:v>Пілот зараз — Н.15</x:v>
      </x:c>
      <x:c r="I819" s="16" t="n">
        <x:v>5</x:v>
      </x:c>
      <x:c r="J819" s="16" t="n">
        <x:v>5</x:v>
      </x:c>
      <x:c r="K819" s="16" t="n">
        <x:v>5</x:v>
      </x:c>
      <x:c r="L819" s="16" t="n">
        <x:v>1</x:v>
      </x:c>
      <x:c r="M819" s="16" t="n">
        <x:v>5</x:v>
      </x:c>
      <x:c r="N819" s="16" t="n">
        <x:v>3</x:v>
      </x:c>
      <x:c r="O819" s="16" t="n">
        <x:v>5</x:v>
      </x:c>
      <x:c r="P819" s="16" t="n">
        <x:f>IF(COUNT(I819:O819)&lt;7,"",I819*8+J819*3+K819*2+L819*2+M819*2+N819*2+O819)</x:f>
        <x:v>88</x:v>
      </x:c>
      <x:c r="Q819" s="16" t="n">
        <x:f>IF(COUNT(J819:O819)&lt;6,"",J819*5+K819*4+M819*4+L819*3+N819*2+O819*2)</x:f>
        <x:v>84</x:v>
      </x:c>
      <x:c r="R819" s="14" t="str">
        <x:v>high</x:v>
      </x:c>
      <x:c r="S819" s="14" t="str">
        <x:v>official_prozorro_award_2025_2026</x:v>
      </x:c>
      <x:c r="T819" s="14" t="str">
        <x:v>official_prozorro_api</x:v>
      </x:c>
      <x:c r="U819" s="14" t="str">
        <x:v>Не контактували</x:v>
      </x:c>
      <x:c r="V819" s="15" t="str">
        <x:v>Персоналізований free-pilot outreach по UA-2025-10-03-002607-a; попросити 1 пакет Н.14/Н.15</x:v>
      </x:c>
      <x:c r="W819" s="15" t="str">
        <x:v>Власник / виконавець; відповідальний за договір</x:v>
      </x:c>
      <x:c r="X819" s="15" t="str">
        <x:v>1 підтверджених перемог/договорів у Prozorro на 2 400 грн; 0 проєктів зі строком виконання не раніше 24.08.2026.</x:v>
      </x:c>
      <x:c r="Y819"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 строк до 2025-12-31. Попросити один знеособлений пакет здачі за цим workflow.</x:v>
      </x:c>
      <x:c r="Z819" s="15" t="str">
        <x:v>https://prozorro.gov.ua/tender/UA-2025-10-03-002607-a</x:v>
      </x:c>
      <x:c r="AA819" s="14" t="str">
        <x:v>2312507773</x:v>
      </x:c>
      <x:c r="AB819" s="14" t="str">
        <x:v>2026-08-24</x:v>
      </x:c>
      <x:c r="AC819" s="14" t="str"/>
      <x:c r="AD819" s="20" t="str"/>
      <x:c r="AE819" s="14" t="str"/>
      <x:c r="AF819" s="14" t="n">
        <x:v>22</x:v>
      </x:c>
      <x:c r="AG819" s="14" t="str">
        <x:v>I3</x:v>
      </x:c>
      <x:c r="AH819" s="14" t="n">
        <x:v>1</x:v>
      </x:c>
      <x:c r="AI819" s="14" t="n">
        <x:v>0</x:v>
      </x:c>
      <x:c r="AJ819" s="18" t="n">
        <x:v>2400</x:v>
      </x:c>
      <x:c r="AK819" s="14" t="str">
        <x:v>https://prozorro.gov.ua/tender/UA-2025-10-03-002607-a</x:v>
      </x:c>
      <x:c r="AL819" s="19" t="n">
        <x:v>45933.31513700231</x:v>
      </x:c>
      <x:c r="AM819" s="19" t="n">
        <x:v>46022.916666655095</x:v>
      </x:c>
      <x:c r="AN819" s="15" t="str">
        <x:v>Електромонтаж</x:v>
      </x:c>
      <x:c r="AO819" s="15" t="str">
        <x:v>not_found_in_top_search</x:v>
      </x:c>
    </x:row>
    <x:row r="820">
      <x:c r="A820" s="14" t="str">
        <x:v>W4-001</x:v>
      </x:c>
      <x:c r="B820" s="14" t="str">
        <x:v>Prozorro expansion — 24.08</x:v>
      </x:c>
      <x:c r="C820" s="14" t="str">
        <x:v>ПРИВАТНЕ ПІДПРИЄМСТВО "ІНЖЕНЕРНО-ВИРОБНИЧИЙ ЦЕНТР "ВЕКТОР"</x:v>
      </x:c>
      <x:c r="D820" s="14" t="str">
        <x:v>Металоконструкції</x:v>
      </x:c>
      <x:c r="E820" s="14" t="str">
        <x:v>Expansion discovery</x:v>
      </x:c>
      <x:c r="F820" s="17" t="str">
        <x:v>D1</x:v>
      </x:c>
      <x:c r="G820" s="14" t="str"/>
      <x:c r="H820" s="14" t="str">
        <x:v>Discovery розширення — 2 тижні</x:v>
      </x:c>
      <x:c r="I820" s="16" t="n">
        <x:v>1</x:v>
      </x:c>
      <x:c r="J820" s="16" t="n">
        <x:v>5</x:v>
      </x:c>
      <x:c r="K820" s="16" t="n">
        <x:v>5</x:v>
      </x:c>
      <x:c r="L820" s="16" t="n">
        <x:v>5</x:v>
      </x:c>
      <x:c r="M820" s="16" t="n">
        <x:v>5</x:v>
      </x:c>
      <x:c r="N820" s="16" t="n">
        <x:v>5</x:v>
      </x:c>
      <x:c r="O820" s="16" t="n">
        <x:v>3</x:v>
      </x:c>
      <x:c r="P820" s="16" t="n">
        <x:f>IF(COUNT(I820:O820)&lt;7,"",I820*8+J820*3+K820*2+L820*2+M820*2+N820*2+O820)</x:f>
        <x:v>66</x:v>
      </x:c>
      <x:c r="Q820" s="16" t="n">
        <x:f>IF(COUNT(J820:O820)&lt;6,"",J820*5+K820*4+M820*4+L820*3+N820*2+O820*2)</x:f>
        <x:v>96</x:v>
      </x:c>
      <x:c r="R820" s="14" t="str">
        <x:v>high</x:v>
      </x:c>
      <x:c r="S820" s="14" t="str">
        <x:v>official_prozorro_award_2024_2026</x:v>
      </x:c>
      <x:c r="T820" s="14" t="str">
        <x:v>official_prozorro_api</x:v>
      </x:c>
      <x:c r="U820" s="14" t="str">
        <x:v>Не контактували</x:v>
      </x:c>
      <x:c r="V820" s="15" t="str">
        <x:v>Повторне звернення з новим тендерним сигналом UA-2024-05-16-007206-a; попросити 1 пакет здачі</x:v>
      </x:c>
      <x:c r="W820" s="15" t="str">
        <x:v>Власник / директор; керівник ПТО; відповідальний за договори</x:v>
      </x:c>
      <x:c r="X820" s="15" t="str">
        <x:v>6 нових підтверджених перемог/договорів у Prozorro на 59 410 983 грн; 2 зі строком виконання не раніше 24.08.2026.</x:v>
      </x:c>
      <x:c r="Y820" s="15" t="str">
        <x:v>45220000-5 – Інженерні та будівельні роботи (Виготовлення та монтаж металоконструкцій поряд з с. Глазунівка (за межами населених пунктів Харківської області), додаткові роботи); строк до 2026-12-31. Попросити один знеособлений пакет здачі за цим workflow.</x:v>
      </x:c>
      <x:c r="Z820" s="15" t="str">
        <x:v>https://prozorro.gov.ua/tender/UA-2026-08-21-008336-a</x:v>
      </x:c>
      <x:c r="AA820" s="14" t="str">
        <x:v>37131764</x:v>
      </x:c>
      <x:c r="AB820" s="14" t="str">
        <x:v>2026-08-24</x:v>
      </x:c>
      <x:c r="AC820" s="14" t="str"/>
      <x:c r="AD820" s="20" t="str"/>
      <x:c r="AE820" s="14" t="str"/>
      <x:c r="AF820" s="14" t="n">
        <x:v>96</x:v>
      </x:c>
      <x:c r="AG820" s="14" t="str">
        <x:v>I1</x:v>
      </x:c>
      <x:c r="AH820" s="14" t="n">
        <x:v>8</x:v>
      </x:c>
      <x:c r="AI820" s="14" t="n">
        <x:v>2</x:v>
      </x:c>
      <x:c r="AJ820" s="18" t="n">
        <x:v>262568981.24</x:v>
      </x:c>
      <x:c r="AK820" s="14" t="str">
        <x:v>https://prozorro.gov.ua/tender/UA-2024-05-16-007206-a</x:v>
      </x:c>
      <x:c r="AL820" s="19" t="n">
        <x:v>45530.613676030094</x:v>
      </x:c>
      <x:c r="AM820" s="19" t="n">
        <x:v>45930</x:v>
      </x:c>
      <x:c r="AN820" s="15" t="str">
        <x:v>Металоконструкції; Промислова теплоізоляція; Стиснене повітря / компресорні</x:v>
      </x:c>
      <x:c r="AO820" s="15" t="str">
        <x:v>browser_verified_registry_profile_2026-08-24</x:v>
      </x:c>
    </x:row>
    <x:row r="821">
      <x:c r="A821" s="14" t="str">
        <x:v>W4-002</x:v>
      </x:c>
      <x:c r="B821" s="14" t="str">
        <x:v>Prozorro expansion — 24.08</x:v>
      </x:c>
      <x:c r="C821" s="14" t="str">
        <x:v>ТОВ "СТАРБУДКО­НТРАКТ"</x:v>
      </x:c>
      <x:c r="D821" s="14" t="str">
        <x:v>Фасади та скління</x:v>
      </x:c>
      <x:c r="E821" s="14" t="str">
        <x:v>Expansion discovery</x:v>
      </x:c>
      <x:c r="F821" s="17" t="str">
        <x:v>D1</x:v>
      </x:c>
      <x:c r="G821" s="14" t="str"/>
      <x:c r="H821" s="14" t="str">
        <x:v>Discovery розширення — 2 тижні</x:v>
      </x:c>
      <x:c r="I821" s="16" t="n">
        <x:v>1</x:v>
      </x:c>
      <x:c r="J821" s="16" t="n">
        <x:v>5</x:v>
      </x:c>
      <x:c r="K821" s="16" t="n">
        <x:v>5</x:v>
      </x:c>
      <x:c r="L821" s="16" t="n">
        <x:v>5</x:v>
      </x:c>
      <x:c r="M821" s="16" t="n">
        <x:v>5</x:v>
      </x:c>
      <x:c r="N821" s="16" t="n">
        <x:v>5</x:v>
      </x:c>
      <x:c r="O821" s="16" t="n">
        <x:v>3</x:v>
      </x:c>
      <x:c r="P821" s="16" t="n">
        <x:f>IF(COUNT(I821:O821)&lt;7,"",I821*8+J821*3+K821*2+L821*2+M821*2+N821*2+O821)</x:f>
        <x:v>66</x:v>
      </x:c>
      <x:c r="Q821" s="16" t="n">
        <x:f>IF(COUNT(J821:O821)&lt;6,"",J821*5+K821*4+M821*4+L821*3+N821*2+O821*2)</x:f>
        <x:v>96</x:v>
      </x:c>
      <x:c r="R821" s="14" t="str">
        <x:v>high</x:v>
      </x:c>
      <x:c r="S821" s="14" t="str">
        <x:v>official_prozorro_award_2024_2026</x:v>
      </x:c>
      <x:c r="T821" s="14" t="str">
        <x:v>official_prozorro_api</x:v>
      </x:c>
      <x:c r="U821" s="14" t="str">
        <x:v>Не контактували</x:v>
      </x:c>
      <x:c r="V821" s="15" t="str">
        <x:v>Workflow-audit outreach по UA-2026-07-30-006599-a; попросити 1 пакет здачі та вимоги проєкту</x:v>
      </x:c>
      <x:c r="W821" s="15" t="str">
        <x:v>Власник / директор; керівник ПТО; відповідальний за договори</x:v>
      </x:c>
      <x:c r="X821" s="15" t="str">
        <x:v>4 нових підтверджених перемог/договорів у Prozorro на 182 389 571 грн; 4 зі строком виконання не раніше 24.08.2026.</x:v>
      </x:c>
      <x:c r="Y821"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 строк до 2026-12-20. Попросити один знеособлений пакет здачі за цим workflow.</x:v>
      </x:c>
      <x:c r="Z821" s="15" t="str">
        <x:v>https://prozorro.gov.ua/tender/UA-2026-07-30-006599-a</x:v>
      </x:c>
      <x:c r="AA821" s="14" t="str">
        <x:v>40630948</x:v>
      </x:c>
      <x:c r="AB821" s="14" t="str">
        <x:v>2026-08-24</x:v>
      </x:c>
      <x:c r="AC821" s="14" t="str"/>
      <x:c r="AD821" s="20" t="str"/>
      <x:c r="AE821" s="14" t="str"/>
      <x:c r="AF821" s="14" t="n">
        <x:v>93</x:v>
      </x:c>
      <x:c r="AG821" s="14" t="str">
        <x:v>I1</x:v>
      </x:c>
      <x:c r="AH821" s="14" t="n">
        <x:v>4</x:v>
      </x:c>
      <x:c r="AI821" s="14" t="n">
        <x:v>4</x:v>
      </x:c>
      <x:c r="AJ821" s="18" t="n">
        <x:v>182389571.16</x:v>
      </x:c>
      <x:c r="AK821" s="14" t="str">
        <x:v>https://prozorro.gov.ua/tender/UA-2026-07-30-006599-a</x:v>
      </x:c>
      <x:c r="AL821" s="19" t="n">
        <x:v>46252.31335655093</x:v>
      </x:c>
      <x:c r="AM821" s="19" t="n">
        <x:v>46376</x:v>
      </x:c>
      <x:c r="AN821" s="15" t="str">
        <x:v>Фасади та скління</x:v>
      </x:c>
      <x:c r="AO821" s="15" t="str">
        <x:v>not_found_in_top_search</x:v>
      </x:c>
    </x:row>
    <x:row r="822">
      <x:c r="A822" s="14" t="str">
        <x:v>W4-003</x:v>
      </x:c>
      <x:c r="B822" s="14" t="str">
        <x:v>Prozorro expansion — 24.08</x:v>
      </x:c>
      <x:c r="C822" s="14" t="str">
        <x:v>ПРИВАТНЕ ПІДПРИЄМСТВО "ДНЕПРОСТРОЙ"</x:v>
      </x:c>
      <x:c r="D822" s="14" t="str">
        <x:v>Фасади та скління</x:v>
      </x:c>
      <x:c r="E822" s="14" t="str">
        <x:v>Expansion discovery</x:v>
      </x:c>
      <x:c r="F822" s="17" t="str">
        <x:v>D1</x:v>
      </x:c>
      <x:c r="G822" s="14" t="str"/>
      <x:c r="H822" s="14" t="str">
        <x:v>Discovery розширення — 2 тижні</x:v>
      </x:c>
      <x:c r="I822" s="16" t="n">
        <x:v>1</x:v>
      </x:c>
      <x:c r="J822" s="16" t="n">
        <x:v>5</x:v>
      </x:c>
      <x:c r="K822" s="16" t="n">
        <x:v>5</x:v>
      </x:c>
      <x:c r="L822" s="16" t="n">
        <x:v>5</x:v>
      </x:c>
      <x:c r="M822" s="16" t="n">
        <x:v>5</x:v>
      </x:c>
      <x:c r="N822" s="16" t="n">
        <x:v>5</x:v>
      </x:c>
      <x:c r="O822" s="16" t="n">
        <x:v>3</x:v>
      </x:c>
      <x:c r="P822" s="16" t="n">
        <x:f>IF(COUNT(I822:O822)&lt;7,"",I822*8+J822*3+K822*2+L822*2+M822*2+N822*2+O822)</x:f>
        <x:v>66</x:v>
      </x:c>
      <x:c r="Q822" s="16" t="n">
        <x:f>IF(COUNT(J822:O822)&lt;6,"",J822*5+K822*4+M822*4+L822*3+N822*2+O822*2)</x:f>
        <x:v>96</x:v>
      </x:c>
      <x:c r="R822" s="14" t="str">
        <x:v>high</x:v>
      </x:c>
      <x:c r="S822" s="14" t="str">
        <x:v>official_prozorro_award_2024_2026</x:v>
      </x:c>
      <x:c r="T822" s="14" t="str">
        <x:v>official_prozorro_api</x:v>
      </x:c>
      <x:c r="U822" s="14" t="str">
        <x:v>Не контактували</x:v>
      </x:c>
      <x:c r="V822" s="15" t="str">
        <x:v>Workflow-audit outreach по UA-2026-08-06-007625-a; попросити 1 пакет здачі та вимоги проєкту</x:v>
      </x:c>
      <x:c r="W822" s="15" t="str">
        <x:v>Власник / директор; керівник ПТО; відповідальний за договори</x:v>
      </x:c>
      <x:c r="X822" s="15" t="str">
        <x:v>6 нових підтверджених перемог/договорів у Prozorro на 69 577 557 грн; 6 зі строком виконання не раніше 24.08.2026.</x:v>
      </x:c>
      <x:c r="Y822" s="15" t="str">
        <x:v>"Капітальний ремонт з утеплення фасадів житлової будівлі за адресою: вул. Калинова, буд.104 у м. Дніпрі" - заходи з енергозбереження. Коригування; строк до 2026-12-31. Попросити один знеособлений пакет здачі за цим workflow.</x:v>
      </x:c>
      <x:c r="Z822" s="15" t="str">
        <x:v>https://prozorro.gov.ua/tender/UA-2026-08-06-007625-a</x:v>
      </x:c>
      <x:c r="AA822" s="14" t="str">
        <x:v>42032443</x:v>
      </x:c>
      <x:c r="AB822" s="14" t="str">
        <x:v>2026-08-24</x:v>
      </x:c>
      <x:c r="AC822" s="14" t="str"/>
      <x:c r="AD822" s="20" t="str"/>
      <x:c r="AE822" s="14" t="str"/>
      <x:c r="AF822" s="14" t="n">
        <x:v>93</x:v>
      </x:c>
      <x:c r="AG822" s="14" t="str">
        <x:v>I1</x:v>
      </x:c>
      <x:c r="AH822" s="14" t="n">
        <x:v>6</x:v>
      </x:c>
      <x:c r="AI822" s="14" t="n">
        <x:v>6</x:v>
      </x:c>
      <x:c r="AJ822" s="18" t="n">
        <x:v>69577557.09</x:v>
      </x:c>
      <x:c r="AK822" s="14" t="str">
        <x:v>https://prozorro.gov.ua/tender/UA-2026-08-06-007625-a</x:v>
      </x:c>
      <x:c r="AL822" s="19" t="n">
        <x:v>46240.48320391204</x:v>
      </x:c>
      <x:c r="AM822" s="19" t="n">
        <x:v>46387</x:v>
      </x:c>
      <x:c r="AN822" s="15" t="str">
        <x:v>Фасади та скління</x:v>
      </x:c>
      <x:c r="AO822" s="15" t="str">
        <x:v>not_found_in_top_search</x:v>
      </x:c>
    </x:row>
    <x:row r="823">
      <x:c r="A823" s="14" t="str">
        <x:v>W4-004</x:v>
      </x:c>
      <x:c r="B823" s="14" t="str">
        <x:v>Prozorro expansion — 24.08</x:v>
      </x:c>
      <x:c r="C823" s="14" t="str">
        <x:v>Товариство з обмеженою відповідальністю "КМК ЕЛЕКТРО"</x:v>
      </x:c>
      <x:c r="D823" s="14" t="str">
        <x:v>Підстанції / силові мережі</x:v>
      </x:c>
      <x:c r="E823" s="14" t="str">
        <x:v>Pilot now</x:v>
      </x:c>
      <x:c r="F823" s="17" t="str">
        <x:v>P1</x:v>
      </x:c>
      <x:c r="G823" s="14" t="str"/>
      <x:c r="H823" s="14" t="str">
        <x:v>Пілот зараз — Н.15 subset</x:v>
      </x:c>
      <x:c r="I823" s="16" t="n">
        <x:v>4</x:v>
      </x:c>
      <x:c r="J823" s="16" t="n">
        <x:v>5</x:v>
      </x:c>
      <x:c r="K823" s="16" t="n">
        <x:v>5</x:v>
      </x:c>
      <x:c r="L823" s="16" t="n">
        <x:v>5</x:v>
      </x:c>
      <x:c r="M823" s="16" t="n">
        <x:v>5</x:v>
      </x:c>
      <x:c r="N823" s="16" t="n">
        <x:v>5</x:v>
      </x:c>
      <x:c r="O823" s="16" t="n">
        <x:v>3</x:v>
      </x:c>
      <x:c r="P823" s="16" t="n">
        <x:f>IF(COUNT(I823:O823)&lt;7,"",I823*8+J823*3+K823*2+L823*2+M823*2+N823*2+O823)</x:f>
        <x:v>90</x:v>
      </x:c>
      <x:c r="Q823" s="16" t="n">
        <x:f>IF(COUNT(J823:O823)&lt;6,"",J823*5+K823*4+M823*4+L823*3+N823*2+O823*2)</x:f>
        <x:v>96</x:v>
      </x:c>
      <x:c r="R823" s="14" t="str">
        <x:v>high</x:v>
      </x:c>
      <x:c r="S823" s="14" t="str">
        <x:v>official_prozorro_award_2024_2026</x:v>
      </x:c>
      <x:c r="T823" s="14" t="str">
        <x:v>official_prozorro_api</x:v>
      </x:c>
      <x:c r="U823" s="14" t="str">
        <x:v>Не контактували</x:v>
      </x:c>
      <x:c r="V823" s="15" t="str">
        <x:v>Персоналізований free-pilot outreach по UA-2026-07-28-007920-a; попросити 1 пакет Н.14/Н.15</x:v>
      </x:c>
      <x:c r="W823" s="15" t="str">
        <x:v>Власник / директор; керівник ПТО; відповідальний за договори</x:v>
      </x:c>
      <x:c r="X823" s="15" t="str">
        <x:v>15 нових підтверджених перемог/договорів у Prozorro на 27 599 642 грн; 12 зі строком виконання не раніше 24.08.2026.</x:v>
      </x:c>
      <x:c r="Y823" s="15" t="str">
        <x:v>"Нове будівництво трансформаторної підстанції ТП-10/0,4 кВ №746 та відгалуження ПЛ-10 кВ за адресою: с. Підзахаричі, Усть-Путильська сільська рада, Вижницький район, Чернівецька область" (Замовники: Семенюк Ю.М. ТУ 0036320502261240210000001, Горланова О.М. ТУ 000769090626124)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3" s="15" t="str">
        <x:v>https://prozorro.gov.ua/tender/UA-2026-07-28-007920-a</x:v>
      </x:c>
      <x:c r="AA823" s="14" t="str">
        <x:v>40858527</x:v>
      </x:c>
      <x:c r="AB823" s="14" t="str">
        <x:v>2026-08-24</x:v>
      </x:c>
      <x:c r="AC823" s="14" t="str"/>
      <x:c r="AD823" s="20" t="str"/>
      <x:c r="AE823" s="14" t="str"/>
      <x:c r="AF823" s="14" t="n">
        <x:v>93</x:v>
      </x:c>
      <x:c r="AG823" s="14" t="str">
        <x:v>I1</x:v>
      </x:c>
      <x:c r="AH823" s="14" t="n">
        <x:v>15</x:v>
      </x:c>
      <x:c r="AI823" s="14" t="n">
        <x:v>12</x:v>
      </x:c>
      <x:c r="AJ823" s="18" t="n">
        <x:v>27599642.19</x:v>
      </x:c>
      <x:c r="AK823" s="14" t="str">
        <x:v>https://prozorro.gov.ua/tender/UA-2026-07-28-007920-a</x:v>
      </x:c>
      <x:c r="AL823" s="19" t="n">
        <x:v>46246.27789215278</x:v>
      </x:c>
      <x:c r="AM823" s="19" t="n">
        <x:v>46356</x:v>
      </x:c>
      <x:c r="AN823" s="15" t="str">
        <x:v>Підстанції / силові мережі</x:v>
      </x:c>
      <x:c r="AO823" s="15" t="str">
        <x:v>browser_verified_industry_profile_2026-08-24</x:v>
      </x:c>
    </x:row>
    <x:row r="824">
      <x:c r="A824" s="14" t="str">
        <x:v>W4-005</x:v>
      </x:c>
      <x:c r="B824" s="14" t="str">
        <x:v>Prozorro expansion — 24.08</x:v>
      </x:c>
      <x:c r="C824" s="14" t="str">
        <x:v>ДОЧІРНЄ ПІДПРИЄМСТВО "ВІННИЦЬКА МЕХАНІЗОВАНА КОЛОНА" ПРИВАТНОГО АКЦІОНЕРНОГО ТОВАРИСТВА "КИЇВСІЛЬЕЛЕКТРО"</x:v>
      </x:c>
      <x:c r="D824" s="14" t="str">
        <x:v>Підстанції / силові мережі</x:v>
      </x:c>
      <x:c r="E824" s="14" t="str">
        <x:v>Pilot now</x:v>
      </x:c>
      <x:c r="F824" s="17" t="str">
        <x:v>P1</x:v>
      </x:c>
      <x:c r="G824" s="14" t="str"/>
      <x:c r="H824" s="14" t="str">
        <x:v>Пілот зараз — Н.15 subset</x:v>
      </x:c>
      <x:c r="I824" s="16" t="n">
        <x:v>4</x:v>
      </x:c>
      <x:c r="J824" s="16" t="n">
        <x:v>5</x:v>
      </x:c>
      <x:c r="K824" s="16" t="n">
        <x:v>5</x:v>
      </x:c>
      <x:c r="L824" s="16" t="n">
        <x:v>5</x:v>
      </x:c>
      <x:c r="M824" s="16" t="n">
        <x:v>5</x:v>
      </x:c>
      <x:c r="N824" s="16" t="n">
        <x:v>5</x:v>
      </x:c>
      <x:c r="O824" s="16" t="n">
        <x:v>3</x:v>
      </x:c>
      <x:c r="P824" s="16" t="n">
        <x:f>IF(COUNT(I824:O824)&lt;7,"",I824*8+J824*3+K824*2+L824*2+M824*2+N824*2+O824)</x:f>
        <x:v>90</x:v>
      </x:c>
      <x:c r="Q824" s="16" t="n">
        <x:f>IF(COUNT(J824:O824)&lt;6,"",J824*5+K824*4+M824*4+L824*3+N824*2+O824*2)</x:f>
        <x:v>96</x:v>
      </x:c>
      <x:c r="R824" s="14" t="str">
        <x:v>high</x:v>
      </x:c>
      <x:c r="S824" s="14" t="str">
        <x:v>official_prozorro_award_2024_2026</x:v>
      </x:c>
      <x:c r="T824" s="14" t="str">
        <x:v>official_prozorro_api</x:v>
      </x:c>
      <x:c r="U824" s="14" t="str">
        <x:v>Не контактували</x:v>
      </x:c>
      <x:c r="V824" s="15" t="str">
        <x:v>Персоналізований free-pilot outreach по UA-2026-07-28-006431-a; попросити 1 пакет Н.14/Н.15</x:v>
      </x:c>
      <x:c r="W824" s="15" t="str">
        <x:v>Власник / директор; керівник ПТО; відповідальний за договори</x:v>
      </x:c>
      <x:c r="X824" s="15" t="str">
        <x:v>7 нових підтверджених перемог/договорів у Prozorro на 21 323 337 грн; 7 зі строком виконання не раніше 24.08.2026.</x:v>
      </x:c>
      <x:c r="Y824"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4" s="15" t="str">
        <x:v>https://prozorro.gov.ua/tender/UA-2026-07-28-006431-a</x:v>
      </x:c>
      <x:c r="AA824" s="14" t="str">
        <x:v>00132351</x:v>
      </x:c>
      <x:c r="AB824" s="14" t="str">
        <x:v>2026-08-24</x:v>
      </x:c>
      <x:c r="AC824" s="14" t="str"/>
      <x:c r="AD824" s="20" t="str"/>
      <x:c r="AE824" s="14" t="str"/>
      <x:c r="AF824" s="14" t="n">
        <x:v>93</x:v>
      </x:c>
      <x:c r="AG824" s="14" t="str">
        <x:v>I1</x:v>
      </x:c>
      <x:c r="AH824" s="14" t="n">
        <x:v>7</x:v>
      </x:c>
      <x:c r="AI824" s="14" t="n">
        <x:v>7</x:v>
      </x:c>
      <x:c r="AJ824" s="18" t="n">
        <x:v>21323337.23</x:v>
      </x:c>
      <x:c r="AK824" s="14" t="str">
        <x:v>https://prozorro.gov.ua/tender/UA-2026-07-28-006431-a</x:v>
      </x:c>
      <x:c r="AL824" s="19" t="n">
        <x:v>46246.25897275463</x:v>
      </x:c>
      <x:c r="AM824" s="19" t="n">
        <x:v>46356</x:v>
      </x:c>
      <x:c r="AN824" s="15" t="str">
        <x:v>Підстанції / силові мережі</x:v>
      </x:c>
      <x:c r="AO824" s="15" t="str">
        <x:v>not_found_in_top_search</x:v>
      </x:c>
    </x:row>
    <x:row r="825">
      <x:c r="A825" s="14" t="str">
        <x:v>W4-006</x:v>
      </x:c>
      <x:c r="B825" s="14" t="str">
        <x:v>Prozorro expansion — 24.08</x:v>
      </x:c>
      <x:c r="C825" s="14" t="str">
        <x:v>ТОВ "ГРІНФОР ЛТД"</x:v>
      </x:c>
      <x:c r="D825" s="14" t="str">
        <x:v>Підстанції / силові мережі</x:v>
      </x:c>
      <x:c r="E825" s="14" t="str">
        <x:v>Pilot now</x:v>
      </x:c>
      <x:c r="F825" s="17" t="str">
        <x:v>P1</x:v>
      </x:c>
      <x:c r="G825" s="14" t="str"/>
      <x:c r="H825" s="14" t="str">
        <x:v>Пілот зараз — Н.15 subset</x:v>
      </x:c>
      <x:c r="I825" s="16" t="n">
        <x:v>4</x:v>
      </x:c>
      <x:c r="J825" s="16" t="n">
        <x:v>5</x:v>
      </x:c>
      <x:c r="K825" s="16" t="n">
        <x:v>5</x:v>
      </x:c>
      <x:c r="L825" s="16" t="n">
        <x:v>5</x:v>
      </x:c>
      <x:c r="M825" s="16" t="n">
        <x:v>5</x:v>
      </x:c>
      <x:c r="N825" s="16" t="n">
        <x:v>5</x:v>
      </x:c>
      <x:c r="O825" s="16" t="n">
        <x:v>3</x:v>
      </x:c>
      <x:c r="P825" s="16" t="n">
        <x:f>IF(COUNT(I825:O825)&lt;7,"",I825*8+J825*3+K825*2+L825*2+M825*2+N825*2+O825)</x:f>
        <x:v>90</x:v>
      </x:c>
      <x:c r="Q825" s="16" t="n">
        <x:f>IF(COUNT(J825:O825)&lt;6,"",J825*5+K825*4+M825*4+L825*3+N825*2+O825*2)</x:f>
        <x:v>96</x:v>
      </x:c>
      <x:c r="R825" s="14" t="str">
        <x:v>high</x:v>
      </x:c>
      <x:c r="S825" s="14" t="str">
        <x:v>official_prozorro_award_2024_2026</x:v>
      </x:c>
      <x:c r="T825" s="14" t="str">
        <x:v>official_prozorro_api</x:v>
      </x:c>
      <x:c r="U825" s="14" t="str">
        <x:v>Не контактували</x:v>
      </x:c>
      <x:c r="V825" s="15" t="str">
        <x:v>Персоналізований free-pilot outreach по UA-2026-07-01-007953-a; попросити 1 пакет Н.14/Н.15</x:v>
      </x:c>
      <x:c r="W825" s="15" t="str">
        <x:v>Власник / директор; керівник ПТО; відповідальний за договори</x:v>
      </x:c>
      <x:c r="X825" s="15" t="str">
        <x:v>5 нових підтверджених перемог/договорів у Prozorro на 15 141 780 грн; 2 зі строком виконання не раніше 24.08.2026.</x:v>
      </x:c>
      <x:c r="Y825" s="15" t="str">
        <x:v>«Нове будівництво трансформаторної підстанції ТП-10/0,4 кВ №155 та відгалуження ПЛ-10 кВ за адресою: с. Годинівка, Острицька сільська рада, Чернівецький район, Чернівецька область» 45231000-5 Будівництво трубопроводів, ліній звязку та електропередач.
; строк до 2026-10-31. Попросити один знеособлений пакет здачі за цим workflow.</x:v>
      </x:c>
      <x:c r="Z825" s="15" t="str">
        <x:v>https://prozorro.gov.ua/tender/UA-2026-07-01-007953-a</x:v>
      </x:c>
      <x:c r="AA825" s="14" t="str">
        <x:v>41005068</x:v>
      </x:c>
      <x:c r="AB825" s="14" t="str">
        <x:v>2026-08-24</x:v>
      </x:c>
      <x:c r="AC825" s="14" t="str"/>
      <x:c r="AD825" s="20" t="str"/>
      <x:c r="AE825" s="14" t="str"/>
      <x:c r="AF825" s="14" t="n">
        <x:v>93</x:v>
      </x:c>
      <x:c r="AG825" s="14" t="str">
        <x:v>I1</x:v>
      </x:c>
      <x:c r="AH825" s="14" t="n">
        <x:v>5</x:v>
      </x:c>
      <x:c r="AI825" s="14" t="n">
        <x:v>2</x:v>
      </x:c>
      <x:c r="AJ825" s="18" t="n">
        <x:v>15141779.54</x:v>
      </x:c>
      <x:c r="AK825" s="14" t="str">
        <x:v>https://prozorro.gov.ua/tender/UA-2026-07-01-007953-a</x:v>
      </x:c>
      <x:c r="AL825" s="19" t="n">
        <x:v>46219.45606680556</x:v>
      </x:c>
      <x:c r="AM825" s="19" t="n">
        <x:v>46326</x:v>
      </x:c>
      <x:c r="AN825" s="15" t="str">
        <x:v>Підстанції / силові мережі</x:v>
      </x:c>
      <x:c r="AO825" s="15" t="str">
        <x:v>not_found_in_top_search</x:v>
      </x:c>
    </x:row>
    <x:row r="826">
      <x:c r="A826" s="14" t="str">
        <x:v>W4-007</x:v>
      </x:c>
      <x:c r="B826" s="14" t="str">
        <x:v>Prozorro expansion — 24.08</x:v>
      </x:c>
      <x:c r="C826" s="14" t="str">
        <x:v>ТОВАРИСТВО З ОБМЕЖЕНОЮ ВІДПОВІДАЛЬНІСТЮ "АСФАЛЬТНО-БЕТОННИЙ ЗАВОД "ЄВРОБУД-АСФАЛЬТ"</x:v>
      </x:c>
      <x:c r="D826" s="14" t="str">
        <x:v>Дорожні роботи</x:v>
      </x:c>
      <x:c r="E826" s="14" t="str">
        <x:v>Expansion discovery</x:v>
      </x:c>
      <x:c r="F826" s="17" t="str">
        <x:v>D1</x:v>
      </x:c>
      <x:c r="G826" s="14" t="str"/>
      <x:c r="H826" s="14" t="str">
        <x:v>Discovery розширення — 2 тижні</x:v>
      </x:c>
      <x:c r="I826" s="16" t="n">
        <x:v>1</x:v>
      </x:c>
      <x:c r="J826" s="16" t="n">
        <x:v>5</x:v>
      </x:c>
      <x:c r="K826" s="16" t="n">
        <x:v>4</x:v>
      </x:c>
      <x:c r="L826" s="16" t="n">
        <x:v>4</x:v>
      </x:c>
      <x:c r="M826" s="16" t="n">
        <x:v>5</x:v>
      </x:c>
      <x:c r="N826" s="16" t="n">
        <x:v>5</x:v>
      </x:c>
      <x:c r="O826" s="16" t="n">
        <x:v>3</x:v>
      </x:c>
      <x:c r="P826" s="16" t="n">
        <x:f>IF(COUNT(I826:O826)&lt;7,"",I826*8+J826*3+K826*2+L826*2+M826*2+N826*2+O826)</x:f>
        <x:v>62</x:v>
      </x:c>
      <x:c r="Q826" s="16" t="n">
        <x:f>IF(COUNT(J826:O826)&lt;6,"",J826*5+K826*4+M826*4+L826*3+N826*2+O826*2)</x:f>
        <x:v>89</x:v>
      </x:c>
      <x:c r="R826" s="14" t="str">
        <x:v>high</x:v>
      </x:c>
      <x:c r="S826" s="14" t="str">
        <x:v>official_prozorro_award_2024_2026</x:v>
      </x:c>
      <x:c r="T826" s="14" t="str">
        <x:v>official_prozorro_api</x:v>
      </x:c>
      <x:c r="U826" s="14" t="str">
        <x:v>Не контактували</x:v>
      </x:c>
      <x:c r="V826" s="15" t="str">
        <x:v>Workflow-audit outreach по UA-2026-08-19-002082-a; попросити 1 пакет здачі та вимоги проєкту</x:v>
      </x:c>
      <x:c r="W826" s="15" t="str">
        <x:v>Власник / директор; керівник ПТО; відповідальний за договори</x:v>
      </x:c>
      <x:c r="X826" s="15" t="str">
        <x:v>4 нових підтверджених перемог/договорів у Prozorro на 5 633 602 грн; 4 зі строком виконання не раніше 24.08.2026.</x:v>
      </x:c>
      <x:c r="Y826" s="15" t="str">
        <x:v>Капітальний ремонт дорожнього покриття вулиці Городищенська в селі Пристроми Бориспільського району Київської області; строк до 2026-12-31. Попросити один знеособлений пакет здачі за цим workflow.</x:v>
      </x:c>
      <x:c r="Z826" s="15" t="str">
        <x:v>https://prozorro.gov.ua/tender/UA-2026-08-19-002082-a</x:v>
      </x:c>
      <x:c r="AA826" s="14" t="str">
        <x:v>42094651</x:v>
      </x:c>
      <x:c r="AB826" s="14" t="str">
        <x:v>2026-08-24</x:v>
      </x:c>
      <x:c r="AC826" s="14" t="str"/>
      <x:c r="AD826" s="20" t="str"/>
      <x:c r="AE826" s="14" t="str"/>
      <x:c r="AF826" s="14" t="n">
        <x:v>92</x:v>
      </x:c>
      <x:c r="AG826" s="14" t="str">
        <x:v>I1</x:v>
      </x:c>
      <x:c r="AH826" s="14" t="n">
        <x:v>4</x:v>
      </x:c>
      <x:c r="AI826" s="14" t="n">
        <x:v>4</x:v>
      </x:c>
      <x:c r="AJ826" s="18" t="n">
        <x:v>5633601.71</x:v>
      </x:c>
      <x:c r="AK826" s="14" t="str">
        <x:v>https://prozorro.gov.ua/tender/UA-2026-08-19-002082-a</x:v>
      </x:c>
      <x:c r="AL826" s="19" t="n">
        <x:v>46253.30979371528</x:v>
      </x:c>
      <x:c r="AM826" s="19" t="n">
        <x:v>46387.35289351852</x:v>
      </x:c>
      <x:c r="AN826" s="15" t="str">
        <x:v>Дорожні роботи; Зливова каналізація / дренаж</x:v>
      </x:c>
      <x:c r="AO826" s="15" t="str">
        <x:v>not_found_in_top_search</x:v>
      </x:c>
    </x:row>
    <x:row r="827">
      <x:c r="A827" s="14" t="str">
        <x:v>W4-008</x:v>
      </x:c>
      <x:c r="B827" s="14" t="str">
        <x:v>Prozorro expansion — 24.08</x:v>
      </x:c>
      <x:c r="C827" s="14" t="str">
        <x:v>ТзОВ "Автомагістраль-ІФ"</x:v>
      </x:c>
      <x:c r="D827" s="14" t="str">
        <x:v>Дорожні роботи</x:v>
      </x:c>
      <x:c r="E827" s="14" t="str">
        <x:v>Expansion discovery</x:v>
      </x:c>
      <x:c r="F827" s="17" t="str">
        <x:v>D1</x:v>
      </x:c>
      <x:c r="G827" s="14" t="str"/>
      <x:c r="H827" s="14" t="str">
        <x:v>Discovery розширення — 2 тижні</x:v>
      </x:c>
      <x:c r="I827" s="16" t="n">
        <x:v>1</x:v>
      </x:c>
      <x:c r="J827" s="16" t="n">
        <x:v>5</x:v>
      </x:c>
      <x:c r="K827" s="16" t="n">
        <x:v>4</x:v>
      </x:c>
      <x:c r="L827" s="16" t="n">
        <x:v>4</x:v>
      </x:c>
      <x:c r="M827" s="16" t="n">
        <x:v>5</x:v>
      </x:c>
      <x:c r="N827" s="16" t="n">
        <x:v>5</x:v>
      </x:c>
      <x:c r="O827" s="16" t="n">
        <x:v>3</x:v>
      </x:c>
      <x:c r="P827" s="16" t="n">
        <x:f>IF(COUNT(I827:O827)&lt;7,"",I827*8+J827*3+K827*2+L827*2+M827*2+N827*2+O827)</x:f>
        <x:v>62</x:v>
      </x:c>
      <x:c r="Q827" s="16" t="n">
        <x:f>IF(COUNT(J827:O827)&lt;6,"",J827*5+K827*4+M827*4+L827*3+N827*2+O827*2)</x:f>
        <x:v>89</x:v>
      </x:c>
      <x:c r="R827" s="14" t="str">
        <x:v>high</x:v>
      </x:c>
      <x:c r="S827" s="14" t="str">
        <x:v>official_prozorro_award_2024_2026</x:v>
      </x:c>
      <x:c r="T827" s="14" t="str">
        <x:v>official_prozorro_api</x:v>
      </x:c>
      <x:c r="U827" s="14" t="str">
        <x:v>Не контактували</x:v>
      </x:c>
      <x:c r="V827" s="15" t="str">
        <x:v>Workflow-audit outreach по UA-2026-08-19-010249-a; попросити 1 пакет здачі та вимоги проєкту</x:v>
      </x:c>
      <x:c r="W827" s="15" t="str">
        <x:v>Власник / директор; керівник ПТО; відповідальний за договори</x:v>
      </x:c>
      <x:c r="X827" s="15" t="str">
        <x:v>8 нових підтверджених перемог/договорів у Prozorro на 9 914 812 грн; 8 зі строком виконання не раніше 24.08.2026.</x:v>
      </x:c>
      <x:c r="Y827" s="15" t="str">
        <x:v>Капітальний ремонт дорожнього покриття вул. Грушевського (від буд. № 6) в с. Майдан Ямницької сільської ради Івано-Франківської області; строк до 2026-12-31. Попросити один знеособлений пакет здачі за цим workflow.</x:v>
      </x:c>
      <x:c r="Z827" s="15" t="str">
        <x:v>https://prozorro.gov.ua/tender/UA-2026-08-19-010249-a</x:v>
      </x:c>
      <x:c r="AA827" s="14" t="str">
        <x:v>39053510</x:v>
      </x:c>
      <x:c r="AB827" s="14" t="str">
        <x:v>2026-08-24</x:v>
      </x:c>
      <x:c r="AC827" s="14" t="str"/>
      <x:c r="AD827" s="20" t="str"/>
      <x:c r="AE827" s="14" t="str"/>
      <x:c r="AF827" s="14" t="n">
        <x:v>89</x:v>
      </x:c>
      <x:c r="AG827" s="14" t="str">
        <x:v>I1</x:v>
      </x:c>
      <x:c r="AH827" s="14" t="n">
        <x:v>8</x:v>
      </x:c>
      <x:c r="AI827" s="14" t="n">
        <x:v>8</x:v>
      </x:c>
      <x:c r="AJ827" s="18" t="n">
        <x:v>9914811.6</x:v>
      </x:c>
      <x:c r="AK827" s="14" t="str">
        <x:v>https://prozorro.gov.ua/tender/UA-2026-08-19-010249-a</x:v>
      </x:c>
      <x:c r="AL827" s="19" t="n">
        <x:v>46253.526178622684</x:v>
      </x:c>
      <x:c r="AM827" s="19" t="n">
        <x:v>46387</x:v>
      </x:c>
      <x:c r="AN827" s="15" t="str">
        <x:v>Дорожні роботи</x:v>
      </x:c>
      <x:c r="AO827" s="15" t="str">
        <x:v>not_found_in_top_search</x:v>
      </x:c>
    </x:row>
    <x:row r="828">
      <x:c r="A828" s="14" t="str">
        <x:v>W4-009</x:v>
      </x:c>
      <x:c r="B828" s="14" t="str">
        <x:v>Prozorro expansion — 24.08</x:v>
      </x:c>
      <x:c r="C828" s="14" t="str">
        <x:v>Товариство з обмеженою відповідальністю "Енергобуд-5"</x:v>
      </x:c>
      <x:c r="D828" s="14" t="str">
        <x:v>Внутрішні сантехнічні системи</x:v>
      </x:c>
      <x:c r="E828" s="14" t="str">
        <x:v>Pilot now</x:v>
      </x:c>
      <x:c r="F828" s="17" t="str">
        <x:v>P1</x:v>
      </x:c>
      <x:c r="G828" s="14" t="str"/>
      <x:c r="H828" s="14" t="str">
        <x:v>Пілот зараз — Н.14</x:v>
      </x:c>
      <x:c r="I828" s="16" t="n">
        <x:v>5</x:v>
      </x:c>
      <x:c r="J828" s="16" t="n">
        <x:v>5</x:v>
      </x:c>
      <x:c r="K828" s="16" t="n">
        <x:v>4</x:v>
      </x:c>
      <x:c r="L828" s="16" t="n">
        <x:v>4</x:v>
      </x:c>
      <x:c r="M828" s="16" t="n">
        <x:v>5</x:v>
      </x:c>
      <x:c r="N828" s="16" t="n">
        <x:v>5</x:v>
      </x:c>
      <x:c r="O828" s="16" t="n">
        <x:v>3</x:v>
      </x:c>
      <x:c r="P828" s="16" t="n">
        <x:f>IF(COUNT(I828:O828)&lt;7,"",I828*8+J828*3+K828*2+L828*2+M828*2+N828*2+O828)</x:f>
        <x:v>94</x:v>
      </x:c>
      <x:c r="Q828" s="16" t="n">
        <x:f>IF(COUNT(J828:O828)&lt;6,"",J828*5+K828*4+M828*4+L828*3+N828*2+O828*2)</x:f>
        <x:v>89</x:v>
      </x:c>
      <x:c r="R828" s="14" t="str">
        <x:v>high</x:v>
      </x:c>
      <x:c r="S828" s="14" t="str">
        <x:v>official_prozorro_award_2024_2026</x:v>
      </x:c>
      <x:c r="T828" s="14" t="str">
        <x:v>official_prozorro_api</x:v>
      </x:c>
      <x:c r="U828" s="14" t="str">
        <x:v>Не контактували</x:v>
      </x:c>
      <x:c r="V828" s="15" t="str">
        <x:v>Персоналізований free-pilot outreach по UA-2026-07-20-000458-a; попросити 1 пакет Н.14/Н.15</x:v>
      </x:c>
      <x:c r="W828" s="15" t="str">
        <x:v>Власник / директор; керівник ПТО; відповідальний за договори</x:v>
      </x:c>
      <x:c r="X828" s="15" t="str">
        <x:v>25 нових підтверджених перемог/договорів у Prozorro на 6 597 394 грн; 1 зі строком виконання не раніше 24.08.2026.</x:v>
      </x:c>
      <x:c r="Y82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 строк до 2026-08-31. Попросити один знеособлений пакет здачі за цим workflow.</x:v>
      </x:c>
      <x:c r="Z828" s="15" t="str">
        <x:v>https://prozorro.gov.ua/tender/UA-2026-07-20-000458-a</x:v>
      </x:c>
      <x:c r="AA828" s="14" t="str">
        <x:v>43323126</x:v>
      </x:c>
      <x:c r="AB828" s="14" t="str">
        <x:v>2026-08-24</x:v>
      </x:c>
      <x:c r="AC828" s="14" t="str"/>
      <x:c r="AD828" s="20" t="str"/>
      <x:c r="AE828" s="14" t="str"/>
      <x:c r="AF828" s="14" t="n">
        <x:v>89</x:v>
      </x:c>
      <x:c r="AG828" s="14" t="str">
        <x:v>I1</x:v>
      </x:c>
      <x:c r="AH828" s="14" t="n">
        <x:v>25</x:v>
      </x:c>
      <x:c r="AI828" s="14" t="n">
        <x:v>1</x:v>
      </x:c>
      <x:c r="AJ828" s="18" t="n">
        <x:v>6597394.39</x:v>
      </x:c>
      <x:c r="AK828" s="14" t="str">
        <x:v>https://prozorro.gov.ua/tender/UA-2026-07-20-000458-a</x:v>
      </x:c>
      <x:c r="AL828" s="19" t="n">
        <x:v>46232.42025981481</x:v>
      </x:c>
      <x:c r="AM828" s="19" t="n">
        <x:v>46265</x:v>
      </x:c>
      <x:c r="AN828" s="15" t="str">
        <x:v>Внутрішні сантехнічні системи</x:v>
      </x:c>
      <x:c r="AO828" s="15" t="str">
        <x:v>not_found_in_top_search</x:v>
      </x:c>
    </x:row>
    <x:row r="829">
      <x:c r="A829" s="14" t="str">
        <x:v>W4-010</x:v>
      </x:c>
      <x:c r="B829" s="14" t="str">
        <x:v>Prozorro expansion — 24.08</x:v>
      </x:c>
      <x:c r="C829" s="14" t="str">
        <x:v>ТОВАРИСТВО З ОБМЕЖЕНОЮ ВІДПОВІДАЛЬНІСТЮ "ШЛЯХОВИК-Т"</x:v>
      </x:c>
      <x:c r="D829" s="14" t="str">
        <x:v>Дорожні роботи</x:v>
      </x:c>
      <x:c r="E829" s="14" t="str">
        <x:v>Expansion discovery</x:v>
      </x:c>
      <x:c r="F829" s="17" t="str">
        <x:v>D1</x:v>
      </x:c>
      <x:c r="G829" s="14" t="str"/>
      <x:c r="H829" s="14" t="str">
        <x:v>Discovery розширення — 2 тижні</x:v>
      </x:c>
      <x:c r="I829" s="16" t="n">
        <x:v>1</x:v>
      </x:c>
      <x:c r="J829" s="16" t="n">
        <x:v>5</x:v>
      </x:c>
      <x:c r="K829" s="16" t="n">
        <x:v>4</x:v>
      </x:c>
      <x:c r="L829" s="16" t="n">
        <x:v>4</x:v>
      </x:c>
      <x:c r="M829" s="16" t="n">
        <x:v>5</x:v>
      </x:c>
      <x:c r="N829" s="16" t="n">
        <x:v>5</x:v>
      </x:c>
      <x:c r="O829" s="16" t="n">
        <x:v>3</x:v>
      </x:c>
      <x:c r="P829" s="16" t="n">
        <x:f>IF(COUNT(I829:O829)&lt;7,"",I829*8+J829*3+K829*2+L829*2+M829*2+N829*2+O829)</x:f>
        <x:v>62</x:v>
      </x:c>
      <x:c r="Q829" s="16" t="n">
        <x:f>IF(COUNT(J829:O829)&lt;6,"",J829*5+K829*4+M829*4+L829*3+N829*2+O829*2)</x:f>
        <x:v>89</x:v>
      </x:c>
      <x:c r="R829" s="14" t="str">
        <x:v>high</x:v>
      </x:c>
      <x:c r="S829" s="14" t="str">
        <x:v>official_prozorro_award_2024_2026</x:v>
      </x:c>
      <x:c r="T829" s="14" t="str">
        <x:v>official_prozorro_api</x:v>
      </x:c>
      <x:c r="U829" s="14" t="str">
        <x:v>Не контактували</x:v>
      </x:c>
      <x:c r="V829" s="15" t="str">
        <x:v>Повторне звернення з новим тендерним сигналом UA-2025-11-26-014908-a; попросити 1 пакет здачі</x:v>
      </x:c>
      <x:c r="W829" s="15" t="str">
        <x:v>Власник / директор; керівник ПТО; відповідальний за договори</x:v>
      </x:c>
      <x:c r="X829" s="15" t="str">
        <x:v>4 нових підтверджених перемог/договорів у Prozorro на 2 187 864 грн; 4 зі строком виконання не раніше 24.08.2026.</x:v>
      </x:c>
      <x:c r="Y829" s="15" t="str">
        <x:v>Капітальний ремонт дорожнього покриття вулиці Проектна в с. Прибужани Львівського району Львівської області; строк до 2026-12-31. Попросити один знеособлений пакет здачі за цим workflow.</x:v>
      </x:c>
      <x:c r="Z829" s="15" t="str">
        <x:v>https://prozorro.gov.ua/tender/UA-2026-07-23-005306-a</x:v>
      </x:c>
      <x:c r="AA829" s="14" t="str">
        <x:v>42844920</x:v>
      </x:c>
      <x:c r="AB829" s="14" t="str">
        <x:v>2026-08-24</x:v>
      </x:c>
      <x:c r="AC829" s="14" t="str"/>
      <x:c r="AD829" s="20" t="str"/>
      <x:c r="AE829" s="14" t="str"/>
      <x:c r="AF829" s="14" t="n">
        <x:v>89</x:v>
      </x:c>
      <x:c r="AG829" s="14" t="str">
        <x:v>I1</x:v>
      </x:c>
      <x:c r="AH829" s="14" t="n">
        <x:v>5</x:v>
      </x:c>
      <x:c r="AI829" s="14" t="n">
        <x:v>4</x:v>
      </x:c>
      <x:c r="AJ829" s="18" t="n">
        <x:v>4301023.49</x:v>
      </x:c>
      <x:c r="AK829" s="14" t="str">
        <x:v>https://prozorro.gov.ua/tender/UA-2025-11-26-014908-a</x:v>
      </x:c>
      <x:c r="AL829" s="19" t="n">
        <x:v>45987.573691006946</x:v>
      </x:c>
      <x:c r="AM829" s="19" t="n">
        <x:v>46022.916666655095</x:v>
      </x:c>
      <x:c r="AN829" s="15" t="str">
        <x:v>Дорожні роботи; Залізнична інфраструктура</x:v>
      </x:c>
      <x:c r="AO829" s="15" t="str">
        <x:v>not_found_in_top_search</x:v>
      </x:c>
    </x:row>
    <x:row r="830">
      <x:c r="A830" s="14" t="str">
        <x:v>W4-011</x:v>
      </x:c>
      <x:c r="B830" s="14" t="str">
        <x:v>Prozorro expansion — 24.08</x:v>
      </x:c>
      <x:c r="C830" s="14" t="str">
        <x:v>ДНІПРОПЕТРОВСЬКА ФІЛІЯ ТОВАРИСТВА З ОБМЕЖЕНОЮ ВІДПОВІДАЛЬНІСТЮ "ГАЗОРОЗПОДІЛЬНІ МЕРЕЖІ УКРАЇНИ"</x:v>
      </x:c>
      <x:c r="D830" s="14" t="str">
        <x:v>Газові мережі</x:v>
      </x:c>
      <x:c r="E830" s="14" t="str">
        <x:v>Expansion discovery</x:v>
      </x:c>
      <x:c r="F830" s="17" t="str">
        <x:v>D1</x:v>
      </x:c>
      <x:c r="G830" s="14" t="str"/>
      <x:c r="H830" s="14" t="str">
        <x:v>Discovery розширення — 2 тижні</x:v>
      </x:c>
      <x:c r="I830" s="16" t="n">
        <x:v>1</x:v>
      </x:c>
      <x:c r="J830" s="16" t="n">
        <x:v>5</x:v>
      </x:c>
      <x:c r="K830" s="16" t="n">
        <x:v>5</x:v>
      </x:c>
      <x:c r="L830" s="16" t="n">
        <x:v>4</x:v>
      </x:c>
      <x:c r="M830" s="16" t="n">
        <x:v>5</x:v>
      </x:c>
      <x:c r="N830" s="16" t="n">
        <x:v>5</x:v>
      </x:c>
      <x:c r="O830" s="16" t="n">
        <x:v>3</x:v>
      </x:c>
      <x:c r="P830" s="16" t="n">
        <x:f>IF(COUNT(I830:O830)&lt;7,"",I830*8+J830*3+K830*2+L830*2+M830*2+N830*2+O830)</x:f>
        <x:v>64</x:v>
      </x:c>
      <x:c r="Q830" s="16" t="n">
        <x:f>IF(COUNT(J830:O830)&lt;6,"",J830*5+K830*4+M830*4+L830*3+N830*2+O830*2)</x:f>
        <x:v>93</x:v>
      </x:c>
      <x:c r="R830" s="14" t="str">
        <x:v>high</x:v>
      </x:c>
      <x:c r="S830" s="14" t="str">
        <x:v>official_prozorro_award_2024_2026</x:v>
      </x:c>
      <x:c r="T830" s="14" t="str">
        <x:v>official_prozorro_api</x:v>
      </x:c>
      <x:c r="U830" s="14" t="str">
        <x:v>Не контактували</x:v>
      </x:c>
      <x:c r="V830" s="15" t="str">
        <x:v>Workflow-audit outreach по UA-2026-07-17-008708-a; попросити 1 пакет здачі та вимоги проєкту</x:v>
      </x:c>
      <x:c r="W830" s="15" t="str">
        <x:v>Власник / директор; керівник ПТО; відповідальний за договори</x:v>
      </x:c>
      <x:c r="X830" s="15" t="str">
        <x:v>5 нових підтверджених перемог/договорів у Prozorro на 2 077 754 грн; 2 зі строком виконання не раніше 24.08.2026.</x:v>
      </x:c>
      <x:c r="Y830"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 строк до 2026-12-20. Попросити один знеособлений пакет здачі за цим workflow.</x:v>
      </x:c>
      <x:c r="Z830" s="15" t="str">
        <x:v>https://prozorro.gov.ua/tender/UA-2026-07-17-008708-a</x:v>
      </x:c>
      <x:c r="AA830" s="14" t="str">
        <x:v>45261177</x:v>
      </x:c>
      <x:c r="AB830" s="14" t="str">
        <x:v>2026-08-24</x:v>
      </x:c>
      <x:c r="AC830" s="14" t="str"/>
      <x:c r="AD830" s="20" t="str"/>
      <x:c r="AE830" s="14" t="str"/>
      <x:c r="AF830" s="14" t="n">
        <x:v>89</x:v>
      </x:c>
      <x:c r="AG830" s="14" t="str">
        <x:v>I1</x:v>
      </x:c>
      <x:c r="AH830" s="14" t="n">
        <x:v>5</x:v>
      </x:c>
      <x:c r="AI830" s="14" t="n">
        <x:v>2</x:v>
      </x:c>
      <x:c r="AJ830" s="18" t="n">
        <x:v>2077754.23</x:v>
      </x:c>
      <x:c r="AK830" s="14" t="str">
        <x:v>https://prozorro.gov.ua/tender/UA-2026-07-17-008708-a</x:v>
      </x:c>
      <x:c r="AL830" s="19" t="n">
        <x:v>46220.518606909725</x:v>
      </x:c>
      <x:c r="AM830" s="19" t="n">
        <x:v>46376</x:v>
      </x:c>
      <x:c r="AN830" s="15" t="str">
        <x:v>Газові мережі</x:v>
      </x:c>
      <x:c r="AO830" s="15" t="str">
        <x:v>not_found_in_top_search</x:v>
      </x:c>
    </x:row>
    <x:row r="831">
      <x:c r="A831" s="14" t="str">
        <x:v>W4-012</x:v>
      </x:c>
      <x:c r="B831" s="14" t="str">
        <x:v>Prozorro expansion — 24.08</x:v>
      </x:c>
      <x:c r="C831" s="14" t="str">
        <x:v>ТОВАРИСТВО З ОБМЕЖЕНОЮ ВІДПОВІДАЛЬНІСТЮ "РОУДБУДПІВДЕНЬ"</x:v>
      </x:c>
      <x:c r="D831" s="14" t="str">
        <x:v>Дорожні роботи</x:v>
      </x:c>
      <x:c r="E831" s="14" t="str">
        <x:v>Expansion discovery</x:v>
      </x:c>
      <x:c r="F831" s="17" t="str">
        <x:v>D1</x:v>
      </x:c>
      <x:c r="G831" s="14" t="str"/>
      <x:c r="H831" s="14" t="str">
        <x:v>Discovery розширення — 2 тижні</x:v>
      </x:c>
      <x:c r="I831" s="16" t="n">
        <x:v>1</x:v>
      </x:c>
      <x:c r="J831" s="16" t="n">
        <x:v>5</x:v>
      </x:c>
      <x:c r="K831" s="16" t="n">
        <x:v>4</x:v>
      </x:c>
      <x:c r="L831" s="16" t="n">
        <x:v>5</x:v>
      </x:c>
      <x:c r="M831" s="16" t="n">
        <x:v>5</x:v>
      </x:c>
      <x:c r="N831" s="16" t="n">
        <x:v>5</x:v>
      </x:c>
      <x:c r="O831" s="16" t="n">
        <x:v>3</x:v>
      </x:c>
      <x:c r="P831" s="16" t="n">
        <x:f>IF(COUNT(I831:O831)&lt;7,"",I831*8+J831*3+K831*2+L831*2+M831*2+N831*2+O831)</x:f>
        <x:v>64</x:v>
      </x:c>
      <x:c r="Q831" s="16" t="n">
        <x:f>IF(COUNT(J831:O831)&lt;6,"",J831*5+K831*4+M831*4+L831*3+N831*2+O831*2)</x:f>
        <x:v>92</x:v>
      </x:c>
      <x:c r="R831" s="14" t="str">
        <x:v>high</x:v>
      </x:c>
      <x:c r="S831" s="14" t="str">
        <x:v>official_prozorro_award_2024_2026</x:v>
      </x:c>
      <x:c r="T831" s="14" t="str">
        <x:v>official_prozorro_api</x:v>
      </x:c>
      <x:c r="U831" s="14" t="str">
        <x:v>Не контактували</x:v>
      </x:c>
      <x:c r="V831" s="15" t="str">
        <x:v>Workflow-audit outreach по UA-2026-06-29-010772-a; попросити 1 пакет здачі та вимоги проєкту</x:v>
      </x:c>
      <x:c r="W831" s="15" t="str">
        <x:v>Власник / директор; керівник ПТО; відповідальний за договори</x:v>
      </x:c>
      <x:c r="X831" s="15" t="str">
        <x:v>3 нових підтверджених перемог/договорів у Prozorro на 16 991 947 грн; 3 зі строком виконання не раніше 24.08.2026.</x:v>
      </x:c>
      <x:c r="Y831" s="15" t="str">
        <x:v>Капітальний ремонт дорожнього покриття по вул. Західна в селі Фонтанка, Одеського району, Одеської області; строк до 2027-01-31. Попросити один знеособлений пакет здачі за цим workflow.</x:v>
      </x:c>
      <x:c r="Z831" s="15" t="str">
        <x:v>https://prozorro.gov.ua/tender/UA-2026-06-29-010772-a</x:v>
      </x:c>
      <x:c r="AA831" s="14" t="str">
        <x:v>46063475</x:v>
      </x:c>
      <x:c r="AB831" s="14" t="str">
        <x:v>2026-08-24</x:v>
      </x:c>
      <x:c r="AC831" s="14" t="str"/>
      <x:c r="AD831" s="20" t="str"/>
      <x:c r="AE831" s="14" t="str"/>
      <x:c r="AF831" s="14" t="n">
        <x:v>88</x:v>
      </x:c>
      <x:c r="AG831" s="14" t="str">
        <x:v>I1</x:v>
      </x:c>
      <x:c r="AH831" s="14" t="n">
        <x:v>3</x:v>
      </x:c>
      <x:c r="AI831" s="14" t="n">
        <x:v>3</x:v>
      </x:c>
      <x:c r="AJ831" s="18" t="n">
        <x:v>16991947.14</x:v>
      </x:c>
      <x:c r="AK831" s="14" t="str">
        <x:v>https://prozorro.gov.ua/tender/UA-2026-06-29-010772-a</x:v>
      </x:c>
      <x:c r="AL831" s="19" t="n">
        <x:v>46223.28764188657</x:v>
      </x:c>
      <x:c r="AM831" s="19" t="n">
        <x:v>46418.61666666667</x:v>
      </x:c>
      <x:c r="AN831" s="15" t="str">
        <x:v>Дорожні роботи</x:v>
      </x:c>
      <x:c r="AO831" s="15" t="str">
        <x:v>not_found_in_top_search</x:v>
      </x:c>
    </x:row>
    <x:row r="832">
      <x:c r="A832" s="14" t="str">
        <x:v>W4-013</x:v>
      </x:c>
      <x:c r="B832" s="14" t="str">
        <x:v>Prozorro expansion — 24.08</x:v>
      </x:c>
      <x:c r="C832" s="14" t="str">
        <x:v>ТОВАРИСТВО З ОБМЕЖЕНОЮ ВІДПОВІДАЛЬНІСТЮ "ШЛЯХОВИК - МКІ"</x:v>
      </x:c>
      <x:c r="D832" s="14" t="str">
        <x:v>Дорожні роботи</x:v>
      </x:c>
      <x:c r="E832" s="14" t="str">
        <x:v>Expansion discovery</x:v>
      </x:c>
      <x:c r="F832" s="17" t="str">
        <x:v>D1</x:v>
      </x:c>
      <x:c r="G832" s="14" t="str"/>
      <x:c r="H832" s="14" t="str">
        <x:v>Discovery розширення — 2 тижні</x:v>
      </x:c>
      <x:c r="I832" s="16" t="n">
        <x:v>1</x:v>
      </x:c>
      <x:c r="J832" s="16" t="n">
        <x:v>5</x:v>
      </x:c>
      <x:c r="K832" s="16" t="n">
        <x:v>4</x:v>
      </x:c>
      <x:c r="L832" s="16" t="n">
        <x:v>5</x:v>
      </x:c>
      <x:c r="M832" s="16" t="n">
        <x:v>5</x:v>
      </x:c>
      <x:c r="N832" s="16" t="n">
        <x:v>5</x:v>
      </x:c>
      <x:c r="O832" s="16" t="n">
        <x:v>3</x:v>
      </x:c>
      <x:c r="P832" s="16" t="n">
        <x:f>IF(COUNT(I832:O832)&lt;7,"",I832*8+J832*3+K832*2+L832*2+M832*2+N832*2+O832)</x:f>
        <x:v>64</x:v>
      </x:c>
      <x:c r="Q832" s="16" t="n">
        <x:f>IF(COUNT(J832:O832)&lt;6,"",J832*5+K832*4+M832*4+L832*3+N832*2+O832*2)</x:f>
        <x:v>92</x:v>
      </x:c>
      <x:c r="R832" s="14" t="str">
        <x:v>high</x:v>
      </x:c>
      <x:c r="S832" s="14" t="str">
        <x:v>official_prozorro_award_2024_2026</x:v>
      </x:c>
      <x:c r="T832" s="14" t="str">
        <x:v>official_prozorro_api</x:v>
      </x:c>
      <x:c r="U832" s="14" t="str">
        <x:v>Не контактували</x:v>
      </x:c>
      <x:c r="V832" s="15" t="str">
        <x:v>Workflow-audit outreach по UA-2026-08-04-009104-a; попросити 1 пакет здачі та вимоги проєкту</x:v>
      </x:c>
      <x:c r="W832" s="15" t="str">
        <x:v>Власник / директор; керівник ПТО; відповідальний за договори</x:v>
      </x:c>
      <x:c r="X832" s="15" t="str">
        <x:v>3 нових підтверджених перемог/договорів у Prozorro на 11 160 861 грн; 3 зі строком виконання не раніше 24.08.2026.</x:v>
      </x:c>
      <x:c r="Y832" s="15" t="str">
        <x:v>Капітальний ремонт дорожнього покриття по вул.Ентузіастів в м.Іллінці Вінницької області (КОРИГУВАННЯ); строк до 2026-12-31. Попросити один знеособлений пакет здачі за цим workflow.</x:v>
      </x:c>
      <x:c r="Z832" s="15" t="str">
        <x:v>https://prozorro.gov.ua/tender/UA-2026-08-04-009104-a</x:v>
      </x:c>
      <x:c r="AA832" s="14" t="str">
        <x:v>36928095</x:v>
      </x:c>
      <x:c r="AB832" s="14" t="str">
        <x:v>2026-08-24</x:v>
      </x:c>
      <x:c r="AC832" s="14" t="str"/>
      <x:c r="AD832" s="20" t="str"/>
      <x:c r="AE832" s="14" t="str"/>
      <x:c r="AF832" s="14" t="n">
        <x:v>88</x:v>
      </x:c>
      <x:c r="AG832" s="14" t="str">
        <x:v>I1</x:v>
      </x:c>
      <x:c r="AH832" s="14" t="n">
        <x:v>3</x:v>
      </x:c>
      <x:c r="AI832" s="14" t="n">
        <x:v>3</x:v>
      </x:c>
      <x:c r="AJ832" s="18" t="n">
        <x:v>11160861.03</x:v>
      </x:c>
      <x:c r="AK832" s="14" t="str">
        <x:v>https://prozorro.gov.ua/tender/UA-2026-08-04-009104-a</x:v>
      </x:c>
      <x:c r="AL832" s="19" t="n">
        <x:v>46254.33833980324</x:v>
      </x:c>
      <x:c r="AM832" s="19" t="n">
        <x:v>46387</x:v>
      </x:c>
      <x:c r="AN832" s="15" t="str">
        <x:v>Дорожні роботи</x:v>
      </x:c>
      <x:c r="AO832" s="15" t="str">
        <x:v>not_found_in_top_search</x:v>
      </x:c>
    </x:row>
    <x:row r="833">
      <x:c r="A833" s="14" t="str">
        <x:v>W4-014</x:v>
      </x:c>
      <x:c r="B833" s="14" t="str">
        <x:v>Prozorro expansion — 24.08</x:v>
      </x:c>
      <x:c r="C833" s="14" t="str">
        <x:v>Товариство з обмеженою відповідальністю "Техно-Буд-Центр"</x:v>
      </x:c>
      <x:c r="D833" s="14" t="str">
        <x:v>Підстанції / силові мережі</x:v>
      </x:c>
      <x:c r="E833" s="14" t="str">
        <x:v>Pilot now</x:v>
      </x:c>
      <x:c r="F833" s="17" t="str">
        <x:v>P1</x:v>
      </x:c>
      <x:c r="G833" s="14" t="str"/>
      <x:c r="H833" s="14" t="str">
        <x:v>Пілот зараз — Н.15 subset</x:v>
      </x:c>
      <x:c r="I833" s="16" t="n">
        <x:v>4</x:v>
      </x:c>
      <x:c r="J833" s="16" t="n">
        <x:v>5</x:v>
      </x:c>
      <x:c r="K833" s="16" t="n">
        <x:v>5</x:v>
      </x:c>
      <x:c r="L833" s="16" t="n">
        <x:v>5</x:v>
      </x:c>
      <x:c r="M833" s="16" t="n">
        <x:v>5</x:v>
      </x:c>
      <x:c r="N833" s="16" t="n">
        <x:v>5</x:v>
      </x:c>
      <x:c r="O833" s="16" t="n">
        <x:v>3</x:v>
      </x:c>
      <x:c r="P833" s="16" t="n">
        <x:f>IF(COUNT(I833:O833)&lt;7,"",I833*8+J833*3+K833*2+L833*2+M833*2+N833*2+O833)</x:f>
        <x:v>90</x:v>
      </x:c>
      <x:c r="Q833" s="16" t="n">
        <x:f>IF(COUNT(J833:O833)&lt;6,"",J833*5+K833*4+M833*4+L833*3+N833*2+O833*2)</x:f>
        <x:v>96</x:v>
      </x:c>
      <x:c r="R833" s="14" t="str">
        <x:v>high</x:v>
      </x:c>
      <x:c r="S833" s="14" t="str">
        <x:v>official_prozorro_award_2024_2026</x:v>
      </x:c>
      <x:c r="T833" s="14" t="str">
        <x:v>official_prozorro_api</x:v>
      </x:c>
      <x:c r="U833" s="14" t="str">
        <x:v>Не контактували</x:v>
      </x:c>
      <x:c r="V833" s="15" t="str">
        <x:v>Повторне звернення з новим тендерним сигналом UA-2025-06-20-000902-a; попросити 1 пакет здачі</x:v>
      </x:c>
      <x:c r="W833" s="15" t="str">
        <x:v>Власник / директор; керівник ПТО; відповідальний за договори</x:v>
      </x:c>
      <x:c r="X833" s="15" t="str">
        <x:v>4 нових підтверджених перемог/договорів у Prozorro на 351 960 000 грн; 4 зі строком виконання не раніше 24.08.2026.</x:v>
      </x:c>
      <x:c r="Y833" s="15" t="str">
        <x:v>Реконструкція електричної підстанції ПС-110/35/10 кВ Чортків № 40, з влаштуванням ІІ рівня інженерного захисту трансформатора; строк до 2027-12-31. Попросити один знеособлений пакет здачі за цим workflow.</x:v>
      </x:c>
      <x:c r="Z833" s="15" t="str">
        <x:v>https://prozorro.gov.ua/tender/UA-2026-05-04-011795-a</x:v>
      </x:c>
      <x:c r="AA833" s="14" t="str">
        <x:v>33768346</x:v>
      </x:c>
      <x:c r="AB833" s="14" t="str">
        <x:v>2026-08-24</x:v>
      </x:c>
      <x:c r="AC833" s="14" t="str"/>
      <x:c r="AD833" s="20" t="str"/>
      <x:c r="AE833" s="14" t="str"/>
      <x:c r="AF833" s="14" t="n">
        <x:v>87</x:v>
      </x:c>
      <x:c r="AG833" s="14" t="str">
        <x:v>I1</x:v>
      </x:c>
      <x:c r="AH833" s="14" t="n">
        <x:v>5</x:v>
      </x:c>
      <x:c r="AI833" s="14" t="n">
        <x:v>4</x:v>
      </x:c>
      <x:c r="AJ833" s="18" t="n">
        <x:v>381939410</x:v>
      </x:c>
      <x:c r="AK833" s="14" t="str">
        <x:v>https://prozorro.gov.ua/tender/UA-2025-06-20-000902-a</x:v>
      </x:c>
      <x:c r="AL833" s="19" t="n">
        <x:v>45911.60363625</x:v>
      </x:c>
      <x:c r="AM833" s="19" t="n">
        <x:v>46234</x:v>
      </x:c>
      <x:c r="AN833" s="15" t="str">
        <x:v>Підстанції / силові мережі; Зовнішні мережі</x:v>
      </x:c>
      <x:c r="AO833" s="15" t="str">
        <x:v>not_found_in_top_search</x:v>
      </x:c>
    </x:row>
    <x:row r="834">
      <x:c r="A834" s="14" t="str">
        <x:v>W4-015</x:v>
      </x:c>
      <x:c r="B834" s="14" t="str">
        <x:v>Prozorro expansion — 24.08</x:v>
      </x:c>
      <x:c r="C834" s="14" t="str">
        <x:v>ТОВАРИСТВО З ОБМЕЖЕНОЮ ВІДПОВІДАЛЬНІСТЮ "ДЖИВЕРСБУД"</x:v>
      </x:c>
      <x:c r="D834" s="14" t="str">
        <x:v>Промислова теплоізоляція</x:v>
      </x:c>
      <x:c r="E834" s="14" t="str">
        <x:v>Expansion discovery</x:v>
      </x:c>
      <x:c r="F834" s="17" t="str">
        <x:v>D1</x:v>
      </x:c>
      <x:c r="G834" s="14" t="str">
        <x:v>gversbud.com.ua</x:v>
      </x:c>
      <x:c r="H834" s="14" t="str">
        <x:v>Discovery розширення — 2 тижні</x:v>
      </x:c>
      <x:c r="I834" s="16" t="n">
        <x:v>1</x:v>
      </x:c>
      <x:c r="J834" s="16" t="n">
        <x:v>5</x:v>
      </x:c>
      <x:c r="K834" s="16" t="n">
        <x:v>5</x:v>
      </x:c>
      <x:c r="L834" s="16" t="n">
        <x:v>5</x:v>
      </x:c>
      <x:c r="M834" s="16" t="n">
        <x:v>5</x:v>
      </x:c>
      <x:c r="N834" s="16" t="n">
        <x:v>5</x:v>
      </x:c>
      <x:c r="O834" s="16" t="n">
        <x:v>5</x:v>
      </x:c>
      <x:c r="P834" s="16" t="n">
        <x:f>IF(COUNT(I834:O834)&lt;7,"",I834*8+J834*3+K834*2+L834*2+M834*2+N834*2+O834)</x:f>
        <x:v>68</x:v>
      </x:c>
      <x:c r="Q834" s="16" t="n">
        <x:f>IF(COUNT(J834:O834)&lt;6,"",J834*5+K834*4+M834*4+L834*3+N834*2+O834*2)</x:f>
        <x:v>100</x:v>
      </x:c>
      <x:c r="R834" s="14" t="str">
        <x:v>high</x:v>
      </x:c>
      <x:c r="S834" s="14" t="str">
        <x:v>official_prozorro_award_2024_2026</x:v>
      </x:c>
      <x:c r="T834" s="14" t="str">
        <x:v>official_prozorro_api</x:v>
      </x:c>
      <x:c r="U834" s="14" t="str">
        <x:v>Не контактували</x:v>
      </x:c>
      <x:c r="V834" s="15" t="str">
        <x:v>Workflow-audit outreach по UA-2026-06-05-011674-a; попросити 1 пакет здачі та вимоги проєкту</x:v>
      </x:c>
      <x:c r="W834" s="15" t="str">
        <x:v>Власник / директор; керівник ПТО; відповідальний за договори</x:v>
      </x:c>
      <x:c r="X834" s="15" t="str">
        <x:v>5 нових підтверджених перемог/договорів у Prozorro на 64 789 622 грн; 1 зі строком виконання не раніше 24.08.2026.</x:v>
      </x:c>
      <x:c r="Y834"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 строк до 2026-11-30. Попросити один знеособлений пакет здачі за цим workflow.</x:v>
      </x:c>
      <x:c r="Z834" s="15" t="str">
        <x:v>https://prozorro.gov.ua/tender/UA-2026-06-05-011674-a</x:v>
      </x:c>
      <x:c r="AA834" s="14" t="str">
        <x:v>38306994</x:v>
      </x:c>
      <x:c r="AB834" s="14" t="str">
        <x:v>2026-08-24</x:v>
      </x:c>
      <x:c r="AC834" s="14" t="str"/>
      <x:c r="AD834" s="20" t="str"/>
      <x:c r="AE834" s="14" t="str"/>
      <x:c r="AF834" s="14" t="n">
        <x:v>87</x:v>
      </x:c>
      <x:c r="AG834" s="14" t="str">
        <x:v>I1</x:v>
      </x:c>
      <x:c r="AH834" s="14" t="n">
        <x:v>5</x:v>
      </x:c>
      <x:c r="AI834" s="14" t="n">
        <x:v>1</x:v>
      </x:c>
      <x:c r="AJ834" s="18" t="n">
        <x:v>64789621.68</x:v>
      </x:c>
      <x:c r="AK834" s="14" t="str">
        <x:v>https://prozorro.gov.ua/tender/UA-2026-06-05-011674-a</x:v>
      </x:c>
      <x:c r="AL834" s="19" t="n">
        <x:v>46204.50575207176</x:v>
      </x:c>
      <x:c r="AM834" s="19" t="n">
        <x:v>46356</x:v>
      </x:c>
      <x:c r="AN834" s="15" t="str">
        <x:v>Промислова теплоізоляція</x:v>
      </x:c>
      <x:c r="AO834" s="15" t="str">
        <x:v>supplier_provided_domain_present_2026-08-24</x:v>
      </x:c>
    </x:row>
    <x:row r="835">
      <x:c r="A835" s="14" t="str">
        <x:v>W4-016</x:v>
      </x:c>
      <x:c r="B835" s="14" t="str">
        <x:v>Prozorro expansion — 24.08</x:v>
      </x:c>
      <x:c r="C835" s="14" t="str">
        <x:v>ПРИВАТНЕ ПІДПРИЄМСТВО "ПОЖЗАБЕЗПЕЧЕННЯ Л"</x:v>
      </x:c>
      <x:c r="D835" s="14" t="str">
        <x:v>Пасивний вогнезахист</x:v>
      </x:c>
      <x:c r="E835" s="14" t="str">
        <x:v>Expansion discovery</x:v>
      </x:c>
      <x:c r="F835" s="17" t="str">
        <x:v>D1</x:v>
      </x:c>
      <x:c r="G835" s="14" t="str"/>
      <x:c r="H835" s="14" t="str">
        <x:v>Discovery розширення — 2 тижні</x:v>
      </x:c>
      <x:c r="I835" s="16" t="n">
        <x:v>1</x:v>
      </x:c>
      <x:c r="J835" s="16" t="n">
        <x:v>5</x:v>
      </x:c>
      <x:c r="K835" s="16" t="n">
        <x:v>5</x:v>
      </x:c>
      <x:c r="L835" s="16" t="n">
        <x:v>3</x:v>
      </x:c>
      <x:c r="M835" s="16" t="n">
        <x:v>5</x:v>
      </x:c>
      <x:c r="N835" s="16" t="n">
        <x:v>5</x:v>
      </x:c>
      <x:c r="O835" s="16" t="n">
        <x:v>3</x:v>
      </x:c>
      <x:c r="P835" s="16" t="n">
        <x:f>IF(COUNT(I835:O835)&lt;7,"",I835*8+J835*3+K835*2+L835*2+M835*2+N835*2+O835)</x:f>
        <x:v>62</x:v>
      </x:c>
      <x:c r="Q835" s="16" t="n">
        <x:f>IF(COUNT(J835:O835)&lt;6,"",J835*5+K835*4+M835*4+L835*3+N835*2+O835*2)</x:f>
        <x:v>90</x:v>
      </x:c>
      <x:c r="R835" s="14" t="str">
        <x:v>high</x:v>
      </x:c>
      <x:c r="S835" s="14" t="str">
        <x:v>official_prozorro_award_2024_2026</x:v>
      </x:c>
      <x:c r="T835" s="14" t="str">
        <x:v>official_prozorro_api</x:v>
      </x:c>
      <x:c r="U835" s="14" t="str">
        <x:v>Не контактували</x:v>
      </x:c>
      <x:c r="V835" s="15" t="str">
        <x:v>Workflow-audit outreach по UA-2026-07-21-006593-a; попросити 1 пакет здачі та вимоги проєкту</x:v>
      </x:c>
      <x:c r="W835" s="15" t="str">
        <x:v>Власник / директор; керівник ПТО; відповідальний за договори</x:v>
      </x:c>
      <x:c r="X835" s="15" t="str">
        <x:v>6 нових підтверджених перемог/договорів у Prozorro на 749 917 грн; 6 зі строком виконання не раніше 24.08.2026.</x:v>
      </x:c>
      <x:c r="Y835" s="15" t="str">
        <x:v>Поверхнева вогнезахисна обробка дерев'яних конструкцій дахів будівель на об’єктах Західного ТУОМ 45450000-6 Інші завершальні будівельні роботи; строк до 2026-11-30. Попросити один знеособлений пакет здачі за цим workflow.</x:v>
      </x:c>
      <x:c r="Z835" s="15" t="str">
        <x:v>https://prozorro.gov.ua/tender/UA-2026-07-21-006593-a</x:v>
      </x:c>
      <x:c r="AA835" s="14" t="str">
        <x:v>42441853</x:v>
      </x:c>
      <x:c r="AB835" s="14" t="str">
        <x:v>2026-08-24</x:v>
      </x:c>
      <x:c r="AC835" s="14" t="str"/>
      <x:c r="AD835" s="20" t="str"/>
      <x:c r="AE835" s="14" t="str"/>
      <x:c r="AF835" s="14" t="n">
        <x:v>85</x:v>
      </x:c>
      <x:c r="AG835" s="14" t="str">
        <x:v>I1</x:v>
      </x:c>
      <x:c r="AH835" s="14" t="n">
        <x:v>6</x:v>
      </x:c>
      <x:c r="AI835" s="14" t="n">
        <x:v>6</x:v>
      </x:c>
      <x:c r="AJ835" s="18" t="n">
        <x:v>749916.56</x:v>
      </x:c>
      <x:c r="AK835" s="14" t="str">
        <x:v>https://prozorro.gov.ua/tender/UA-2026-07-21-006593-a</x:v>
      </x:c>
      <x:c r="AL835" s="19" t="n">
        <x:v>46248.35216333334</x:v>
      </x:c>
      <x:c r="AM835" s="19" t="n">
        <x:v>46356</x:v>
      </x:c>
      <x:c r="AN835" s="15" t="str">
        <x:v>Пасивний вогнезахист</x:v>
      </x:c>
      <x:c r="AO835" s="15" t="str">
        <x:v>not_found_in_top_search</x:v>
      </x:c>
    </x:row>
    <x:row r="836">
      <x:c r="A836" s="14" t="str">
        <x:v>W4-017</x:v>
      </x:c>
      <x:c r="B836" s="14" t="str">
        <x:v>Prozorro expansion — 24.08</x:v>
      </x:c>
      <x:c r="C836" s="14" t="str">
        <x:v>ТОВАРИСТВО З ОБМЕЖЕНОЮ ВІДПОВІДАЛЬНІСТЮ "А С Е К "</x:v>
      </x:c>
      <x:c r="D836" s="14" t="str">
        <x:v>Пасивний вогнезахист</x:v>
      </x:c>
      <x:c r="E836" s="14" t="str">
        <x:v>Expansion discovery</x:v>
      </x:c>
      <x:c r="F836" s="17" t="str">
        <x:v>D1</x:v>
      </x:c>
      <x:c r="G836" s="14" t="str"/>
      <x:c r="H836" s="14" t="str">
        <x:v>Discovery розширення — 2 тижні</x:v>
      </x:c>
      <x:c r="I836" s="16" t="n">
        <x:v>1</x:v>
      </x:c>
      <x:c r="J836" s="16" t="n">
        <x:v>5</x:v>
      </x:c>
      <x:c r="K836" s="16" t="n">
        <x:v>5</x:v>
      </x:c>
      <x:c r="L836" s="16" t="n">
        <x:v>3</x:v>
      </x:c>
      <x:c r="M836" s="16" t="n">
        <x:v>5</x:v>
      </x:c>
      <x:c r="N836" s="16" t="n">
        <x:v>5</x:v>
      </x:c>
      <x:c r="O836" s="16" t="n">
        <x:v>3</x:v>
      </x:c>
      <x:c r="P836" s="16" t="n">
        <x:f>IF(COUNT(I836:O836)&lt;7,"",I836*8+J836*3+K836*2+L836*2+M836*2+N836*2+O836)</x:f>
        <x:v>62</x:v>
      </x:c>
      <x:c r="Q836" s="16" t="n">
        <x:f>IF(COUNT(J836:O836)&lt;6,"",J836*5+K836*4+M836*4+L836*3+N836*2+O836*2)</x:f>
        <x:v>90</x:v>
      </x:c>
      <x:c r="R836" s="14" t="str">
        <x:v>high</x:v>
      </x:c>
      <x:c r="S836" s="14" t="str">
        <x:v>official_prozorro_award_2024_2026</x:v>
      </x:c>
      <x:c r="T836" s="14" t="str">
        <x:v>official_prozorro_api</x:v>
      </x:c>
      <x:c r="U836" s="14" t="str">
        <x:v>Не контактували</x:v>
      </x:c>
      <x:c r="V836" s="15" t="str">
        <x:v>Workflow-audit outreach по UA-2026-08-21-009412-a; попросити 1 пакет здачі та вимоги проєкту</x:v>
      </x:c>
      <x:c r="W836" s="15" t="str">
        <x:v>Власник / директор; керівник ПТО; відповідальний за договори</x:v>
      </x:c>
      <x:c r="X836" s="15" t="str">
        <x:v>4 нових підтверджених перемог/договорів у Prozorro на 649 126 грн; 3 зі строком виконання не раніше 24.08.2026.</x:v>
      </x:c>
      <x:c r="Y836" s="15" t="str">
        <x:v>Поточний ремонт: послуги з вогнезахисної обробки (просочення) дерев'яних конструкцій горищ; строк до 2026-09-30. Попросити один знеособлений пакет здачі за цим workflow.</x:v>
      </x:c>
      <x:c r="Z836" s="15" t="str">
        <x:v>https://prozorro.gov.ua/tender/UA-2026-08-21-009412-a</x:v>
      </x:c>
      <x:c r="AA836" s="14" t="str">
        <x:v>41293928</x:v>
      </x:c>
      <x:c r="AB836" s="14" t="str">
        <x:v>2026-08-24</x:v>
      </x:c>
      <x:c r="AC836" s="14" t="str"/>
      <x:c r="AD836" s="20" t="str"/>
      <x:c r="AE836" s="14" t="str"/>
      <x:c r="AF836" s="14" t="n">
        <x:v>85</x:v>
      </x:c>
      <x:c r="AG836" s="14" t="str">
        <x:v>I1</x:v>
      </x:c>
      <x:c r="AH836" s="14" t="n">
        <x:v>4</x:v>
      </x:c>
      <x:c r="AI836" s="14" t="n">
        <x:v>3</x:v>
      </x:c>
      <x:c r="AJ836" s="18" t="n">
        <x:v>649125.6</x:v>
      </x:c>
      <x:c r="AK836" s="14" t="str">
        <x:v>https://prozorro.gov.ua/tender/UA-2026-08-21-009412-a</x:v>
      </x:c>
      <x:c r="AL836" s="19" t="n">
        <x:v>46255.498246296294</x:v>
      </x:c>
      <x:c r="AM836" s="19" t="n">
        <x:v>46295</x:v>
      </x:c>
      <x:c r="AN836" s="15" t="str">
        <x:v>Пасивний вогнезахист</x:v>
      </x:c>
      <x:c r="AO836" s="15" t="str">
        <x:v>not_found_in_top_search</x:v>
      </x:c>
    </x:row>
    <x:row r="837">
      <x:c r="A837" s="14" t="str">
        <x:v>W4-018</x:v>
      </x:c>
      <x:c r="B837" s="14" t="str">
        <x:v>Prozorro expansion — 24.08</x:v>
      </x:c>
      <x:c r="C837" s="14" t="str">
        <x:v>ТОВАРИСТВО З ОБМЕЖЕНОЮ ВІДПОВІДАЛЬНІСТЮ "ТМП ТРАНСБУД"</x:v>
      </x:c>
      <x:c r="D837" s="14" t="str">
        <x:v>Дорожні роботи</x:v>
      </x:c>
      <x:c r="E837" s="14" t="str">
        <x:v>Expansion discovery</x:v>
      </x:c>
      <x:c r="F837" s="17" t="str">
        <x:v>D1</x:v>
      </x:c>
      <x:c r="G837" s="14" t="str"/>
      <x:c r="H837" s="14" t="str">
        <x:v>Discovery розширення — 2 тижні</x:v>
      </x:c>
      <x:c r="I837" s="16" t="n">
        <x:v>1</x:v>
      </x:c>
      <x:c r="J837" s="16" t="n">
        <x:v>5</x:v>
      </x:c>
      <x:c r="K837" s="16" t="n">
        <x:v>4</x:v>
      </x:c>
      <x:c r="L837" s="16" t="n">
        <x:v>4</x:v>
      </x:c>
      <x:c r="M837" s="16" t="n">
        <x:v>5</x:v>
      </x:c>
      <x:c r="N837" s="16" t="n">
        <x:v>5</x:v>
      </x:c>
      <x:c r="O837" s="16" t="n">
        <x:v>3</x:v>
      </x:c>
      <x:c r="P837" s="16" t="n">
        <x:f>IF(COUNT(I837:O837)&lt;7,"",I837*8+J837*3+K837*2+L837*2+M837*2+N837*2+O837)</x:f>
        <x:v>62</x:v>
      </x:c>
      <x:c r="Q837" s="16" t="n">
        <x:f>IF(COUNT(J837:O837)&lt;6,"",J837*5+K837*4+M837*4+L837*3+N837*2+O837*2)</x:f>
        <x:v>89</x:v>
      </x:c>
      <x:c r="R837" s="14" t="str">
        <x:v>high</x:v>
      </x:c>
      <x:c r="S837" s="14" t="str">
        <x:v>official_prozorro_award_2024_2026</x:v>
      </x:c>
      <x:c r="T837" s="14" t="str">
        <x:v>official_prozorro_api</x:v>
      </x:c>
      <x:c r="U837" s="14" t="str">
        <x:v>Не контактували</x:v>
      </x:c>
      <x:c r="V837" s="15" t="str">
        <x:v>Workflow-audit outreach по UA-2026-08-11-007824-a; попросити 1 пакет здачі та вимоги проєкту</x:v>
      </x:c>
      <x:c r="W837" s="15" t="str">
        <x:v>Власник / директор; керівник ПТО; відповідальний за договори</x:v>
      </x:c>
      <x:c r="X837" s="15" t="str">
        <x:v>3 нових підтверджених перемог/договорів у Prozorro на 7 843 301 грн; 3 зі строком виконання не раніше 24.08.2026.</x:v>
      </x:c>
      <x:c r="Y837"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 строк до 2026-11-30. Попросити один знеособлений пакет здачі за цим workflow.</x:v>
      </x:c>
      <x:c r="Z837" s="15" t="str">
        <x:v>https://prozorro.gov.ua/tender/UA-2026-08-11-007824-a</x:v>
      </x:c>
      <x:c r="AA837" s="14" t="str">
        <x:v>43019994</x:v>
      </x:c>
      <x:c r="AB837" s="14" t="str">
        <x:v>2026-08-24</x:v>
      </x:c>
      <x:c r="AC837" s="14" t="str"/>
      <x:c r="AD837" s="20" t="str"/>
      <x:c r="AE837" s="14" t="str"/>
      <x:c r="AF837" s="14" t="n">
        <x:v>84</x:v>
      </x:c>
      <x:c r="AG837" s="14" t="str">
        <x:v>I1</x:v>
      </x:c>
      <x:c r="AH837" s="14" t="n">
        <x:v>3</x:v>
      </x:c>
      <x:c r="AI837" s="14" t="n">
        <x:v>3</x:v>
      </x:c>
      <x:c r="AJ837" s="18" t="n">
        <x:v>7843300.94</x:v>
      </x:c>
      <x:c r="AK837" s="14" t="str">
        <x:v>https://prozorro.gov.ua/tender/UA-2026-08-11-007824-a</x:v>
      </x:c>
      <x:c r="AL837" s="19" t="n">
        <x:v>46245.47782792824</x:v>
      </x:c>
      <x:c r="AM837" s="19" t="n">
        <x:v>46356</x:v>
      </x:c>
      <x:c r="AN837" s="15" t="str">
        <x:v>Дорожні роботи</x:v>
      </x:c>
      <x:c r="AO837" s="15" t="str">
        <x:v>not_found_in_top_search</x:v>
      </x:c>
    </x:row>
    <x:row r="838">
      <x:c r="A838" s="14" t="str">
        <x:v>W4-019</x:v>
      </x:c>
      <x:c r="B838" s="14" t="str">
        <x:v>Prozorro expansion — 24.08</x:v>
      </x:c>
      <x:c r="C838"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D838" s="14" t="str">
        <x:v>Пасивний вогнезахист</x:v>
      </x:c>
      <x:c r="E838" s="14" t="str">
        <x:v>Expansion discovery</x:v>
      </x:c>
      <x:c r="F838" s="17" t="str">
        <x:v>D1</x:v>
      </x:c>
      <x:c r="G838" s="14" t="str"/>
      <x:c r="H838" s="14" t="str">
        <x:v>Discovery розширення — 2 тижні</x:v>
      </x:c>
      <x:c r="I838" s="16" t="n">
        <x:v>1</x:v>
      </x:c>
      <x:c r="J838" s="16" t="n">
        <x:v>5</x:v>
      </x:c>
      <x:c r="K838" s="16" t="n">
        <x:v>5</x:v>
      </x:c>
      <x:c r="L838" s="16" t="n">
        <x:v>2</x:v>
      </x:c>
      <x:c r="M838" s="16" t="n">
        <x:v>5</x:v>
      </x:c>
      <x:c r="N838" s="16" t="n">
        <x:v>5</x:v>
      </x:c>
      <x:c r="O838" s="16" t="n">
        <x:v>3</x:v>
      </x:c>
      <x:c r="P838" s="16" t="n">
        <x:f>IF(COUNT(I838:O838)&lt;7,"",I838*8+J838*3+K838*2+L838*2+M838*2+N838*2+O838)</x:f>
        <x:v>60</x:v>
      </x:c>
      <x:c r="Q838" s="16" t="n">
        <x:f>IF(COUNT(J838:O838)&lt;6,"",J838*5+K838*4+M838*4+L838*3+N838*2+O838*2)</x:f>
        <x:v>87</x:v>
      </x:c>
      <x:c r="R838" s="14" t="str">
        <x:v>high</x:v>
      </x:c>
      <x:c r="S838" s="14" t="str">
        <x:v>official_prozorro_award_2024_2026</x:v>
      </x:c>
      <x:c r="T838" s="14" t="str">
        <x:v>official_prozorro_api</x:v>
      </x:c>
      <x:c r="U838" s="14" t="str">
        <x:v>Не контактували</x:v>
      </x:c>
      <x:c r="V838" s="15" t="str">
        <x:v>Workflow-audit outreach по UA-2026-07-30-010044-a; попросити 1 пакет здачі та вимоги проєкту</x:v>
      </x:c>
      <x:c r="W838" s="15" t="str">
        <x:v>Власник / директор; керівник ПТО; відповідальний за договори</x:v>
      </x:c>
      <x:c r="X838" s="15" t="str">
        <x:v>6 нових підтверджених перемог/договорів у Prozorro на 338 002 грн; 2 зі строком виконання не раніше 24.08.2026.</x:v>
      </x:c>
      <x:c r="Y838" s="15" t="str">
        <x:v>Послуги та заходи із захисту приміщення, а саме проведення вогнезахисної обробки дерев’яних конструкцій горищних приміщень; строк до 2026-08-31. Попросити один знеособлений пакет здачі за цим workflow.</x:v>
      </x:c>
      <x:c r="Z838" s="15" t="str">
        <x:v>https://prozorro.gov.ua/tender/UA-2026-07-30-010044-a</x:v>
      </x:c>
      <x:c r="AA838" s="14" t="str">
        <x:v>43674679</x:v>
      </x:c>
      <x:c r="AB838" s="14" t="str">
        <x:v>2026-08-24</x:v>
      </x:c>
      <x:c r="AC838" s="14" t="str"/>
      <x:c r="AD838" s="20" t="str"/>
      <x:c r="AE838" s="14" t="str"/>
      <x:c r="AF838" s="14" t="n">
        <x:v>84</x:v>
      </x:c>
      <x:c r="AG838" s="14" t="str">
        <x:v>I1</x:v>
      </x:c>
      <x:c r="AH838" s="14" t="n">
        <x:v>6</x:v>
      </x:c>
      <x:c r="AI838" s="14" t="n">
        <x:v>2</x:v>
      </x:c>
      <x:c r="AJ838" s="18" t="n">
        <x:v>338001.7</x:v>
      </x:c>
      <x:c r="AK838" s="14" t="str">
        <x:v>https://prozorro.gov.ua/tender/UA-2026-07-30-010044-a</x:v>
      </x:c>
      <x:c r="AL838" s="19" t="n">
        <x:v>46233.59981547454</x:v>
      </x:c>
      <x:c r="AM838" s="19" t="n">
        <x:v>46265.58628472222</x:v>
      </x:c>
      <x:c r="AN838" s="15" t="str">
        <x:v>Пасивний вогнезахист; Пожежогасіння</x:v>
      </x:c>
      <x:c r="AO838" s="15" t="str">
        <x:v>not_found_in_top_search</x:v>
      </x:c>
    </x:row>
    <x:row r="839">
      <x:c r="A839" s="14" t="str">
        <x:v>W4-020</x:v>
      </x:c>
      <x:c r="B839" s="14" t="str">
        <x:v>Prozorro expansion — 24.08</x:v>
      </x:c>
      <x:c r="C839" s="14" t="str">
        <x:v>ПРИВАТНЕ ПІДПРИЄМСТВО "БУДІВЕЛЬНИК ПЛЮС"</x:v>
      </x:c>
      <x:c r="D839" s="14" t="str">
        <x:v>Зливова каналізація / дренаж</x:v>
      </x:c>
      <x:c r="E839" s="14" t="str">
        <x:v>Expansion discovery</x:v>
      </x:c>
      <x:c r="F839" s="17" t="str">
        <x:v>D1</x:v>
      </x:c>
      <x:c r="G839" s="14" t="str"/>
      <x:c r="H839" s="14" t="str">
        <x:v>Discovery розширення — 2 тижні</x:v>
      </x:c>
      <x:c r="I839" s="16" t="n">
        <x:v>1</x:v>
      </x:c>
      <x:c r="J839" s="16" t="n">
        <x:v>5</x:v>
      </x:c>
      <x:c r="K839" s="16" t="n">
        <x:v>5</x:v>
      </x:c>
      <x:c r="L839" s="16" t="n">
        <x:v>4</x:v>
      </x:c>
      <x:c r="M839" s="16" t="n">
        <x:v>5</x:v>
      </x:c>
      <x:c r="N839" s="16" t="n">
        <x:v>5</x:v>
      </x:c>
      <x:c r="O839" s="16" t="n">
        <x:v>3</x:v>
      </x:c>
      <x:c r="P839" s="16" t="n">
        <x:f>IF(COUNT(I839:O839)&lt;7,"",I839*8+J839*3+K839*2+L839*2+M839*2+N839*2+O839)</x:f>
        <x:v>64</x:v>
      </x:c>
      <x:c r="Q839" s="16" t="n">
        <x:f>IF(COUNT(J839:O839)&lt;6,"",J839*5+K839*4+M839*4+L839*3+N839*2+O839*2)</x:f>
        <x:v>93</x:v>
      </x:c>
      <x:c r="R839" s="14" t="str">
        <x:v>high</x:v>
      </x:c>
      <x:c r="S839" s="14" t="str">
        <x:v>official_prozorro_award_2024_2026</x:v>
      </x:c>
      <x:c r="T839" s="14" t="str">
        <x:v>official_prozorro_api</x:v>
      </x:c>
      <x:c r="U839" s="14" t="str">
        <x:v>Не контактували</x:v>
      </x:c>
      <x:c r="V839" s="15" t="str">
        <x:v>Workflow-audit outreach по UA-2026-06-11-003374-a; попросити 1 пакет здачі та вимоги проєкту</x:v>
      </x:c>
      <x:c r="W839" s="15" t="str">
        <x:v>Власник / директор; керівник ПТО; відповідальний за договори</x:v>
      </x:c>
      <x:c r="X839" s="15" t="str">
        <x:v>37 нових підтверджених перемог/договорів у Prozorro на 7 090 749 грн; 28 зі строком виконання не раніше 24.08.2026.</x:v>
      </x:c>
      <x:c r="Y83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 строк до 2026-12-31. Попросити один знеособлений пакет здачі за цим workflow.</x:v>
      </x:c>
      <x:c r="Z839" s="15" t="str">
        <x:v>https://prozorro.gov.ua/tender/UA-2026-06-11-003374-a</x:v>
      </x:c>
      <x:c r="AA839" s="14" t="str">
        <x:v>40499241</x:v>
      </x:c>
      <x:c r="AB839" s="14" t="str">
        <x:v>2026-08-24</x:v>
      </x:c>
      <x:c r="AC839" s="14" t="str"/>
      <x:c r="AD839" s="20" t="str"/>
      <x:c r="AE839" s="14" t="str"/>
      <x:c r="AF839" s="14" t="n">
        <x:v>83</x:v>
      </x:c>
      <x:c r="AG839" s="14" t="str">
        <x:v>I1</x:v>
      </x:c>
      <x:c r="AH839" s="14" t="n">
        <x:v>37</x:v>
      </x:c>
      <x:c r="AI839" s="14" t="n">
        <x:v>28</x:v>
      </x:c>
      <x:c r="AJ839" s="18" t="n">
        <x:v>7090749.44</x:v>
      </x:c>
      <x:c r="AK839" s="14" t="str">
        <x:v>https://prozorro.gov.ua/tender/UA-2026-06-11-003374-a</x:v>
      </x:c>
      <x:c r="AL839" s="19" t="n">
        <x:v>46184.333747268516</x:v>
      </x:c>
      <x:c r="AM839" s="19" t="n">
        <x:v>46387</x:v>
      </x:c>
      <x:c r="AN839" s="15" t="str">
        <x:v>Зливова каналізація / дренаж</x:v>
      </x:c>
      <x:c r="AO839" s="15" t="str">
        <x:v>not_found_in_top_search</x:v>
      </x:c>
    </x:row>
    <x:row r="840">
      <x:c r="A840" s="14" t="str">
        <x:v>W4-021</x:v>
      </x:c>
      <x:c r="B840" s="14" t="str">
        <x:v>Prozorro expansion — 24.08</x:v>
      </x:c>
      <x:c r="C840" s="14" t="str">
        <x:v>ТОВАРИСТВО З ОБМЕЖЕНОЮ ВІДПОВІДАЛЬНІСТЮ "БОГАРТ БУД"</x:v>
      </x:c>
      <x:c r="D840" s="14" t="str">
        <x:v>Підстанції / силові мережі</x:v>
      </x:c>
      <x:c r="E840" s="14" t="str">
        <x:v>Pilot now</x:v>
      </x:c>
      <x:c r="F840" s="17" t="str">
        <x:v>P1</x:v>
      </x:c>
      <x:c r="G840" s="14" t="str"/>
      <x:c r="H840" s="14" t="str">
        <x:v>Пілот зараз — Н.15 subset</x:v>
      </x:c>
      <x:c r="I840" s="16" t="n">
        <x:v>4</x:v>
      </x:c>
      <x:c r="J840" s="16" t="n">
        <x:v>5</x:v>
      </x:c>
      <x:c r="K840" s="16" t="n">
        <x:v>5</x:v>
      </x:c>
      <x:c r="L840" s="16" t="n">
        <x:v>5</x:v>
      </x:c>
      <x:c r="M840" s="16" t="n">
        <x:v>5</x:v>
      </x:c>
      <x:c r="N840" s="16" t="n">
        <x:v>5</x:v>
      </x:c>
      <x:c r="O840" s="16" t="n">
        <x:v>3</x:v>
      </x:c>
      <x:c r="P840" s="16" t="n">
        <x:f>IF(COUNT(I840:O840)&lt;7,"",I840*8+J840*3+K840*2+L840*2+M840*2+N840*2+O840)</x:f>
        <x:v>90</x:v>
      </x:c>
      <x:c r="Q840" s="16" t="n">
        <x:f>IF(COUNT(J840:O840)&lt;6,"",J840*5+K840*4+M840*4+L840*3+N840*2+O840*2)</x:f>
        <x:v>96</x:v>
      </x:c>
      <x:c r="R840" s="14" t="str">
        <x:v>high</x:v>
      </x:c>
      <x:c r="S840" s="14" t="str">
        <x:v>official_prozorro_award_2024_2026</x:v>
      </x:c>
      <x:c r="T840" s="14" t="str">
        <x:v>official_prozorro_api</x:v>
      </x:c>
      <x:c r="U840" s="14" t="str">
        <x:v>Не контактували</x:v>
      </x:c>
      <x:c r="V840" s="15" t="str">
        <x:v>Персоналізований free-pilot outreach по UA-2026-05-25-011121-a; попросити 1 пакет Н.14/Н.15</x:v>
      </x:c>
      <x:c r="W840" s="15" t="str">
        <x:v>Власник / директор; керівник ПТО; відповідальний за договори</x:v>
      </x:c>
      <x:c r="X840" s="15" t="str">
        <x:v>3 нових підтверджених перемог/договорів у Prozorro на 346 065 429 грн; 3 зі строком виконання не раніше 24.08.2026.</x:v>
      </x:c>
      <x:c r="Y840" s="15" t="str">
        <x:v>Реконструкція електричної підстанції №2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840" s="15" t="str">
        <x:v>https://prozorro.gov.ua/tender/UA-2026-05-25-011121-a</x:v>
      </x:c>
      <x:c r="AA840" s="14" t="str">
        <x:v>35987296</x:v>
      </x:c>
      <x:c r="AB840" s="14" t="str">
        <x:v>2026-08-24</x:v>
      </x:c>
      <x:c r="AC840" s="14" t="str"/>
      <x:c r="AD840" s="20" t="str"/>
      <x:c r="AE840" s="14" t="str"/>
      <x:c r="AF840" s="14" t="n">
        <x:v>82</x:v>
      </x:c>
      <x:c r="AG840" s="14" t="str">
        <x:v>I1</x:v>
      </x:c>
      <x:c r="AH840" s="14" t="n">
        <x:v>3</x:v>
      </x:c>
      <x:c r="AI840" s="14" t="n">
        <x:v>3</x:v>
      </x:c>
      <x:c r="AJ840" s="18" t="n">
        <x:v>346065428.8</x:v>
      </x:c>
      <x:c r="AK840" s="14" t="str">
        <x:v>https://prozorro.gov.ua/tender/UA-2026-05-25-011121-a</x:v>
      </x:c>
      <x:c r="AL840" s="19" t="n">
        <x:v>46167.53875150463</x:v>
      </x:c>
      <x:c r="AM840" s="19" t="n">
        <x:v>46752</x:v>
      </x:c>
      <x:c r="AN840" s="15" t="str">
        <x:v>Підстанції / силові мережі</x:v>
      </x:c>
      <x:c r="AO840" s="15" t="str">
        <x:v>not_found_in_top_search</x:v>
      </x:c>
    </x:row>
    <x:row r="841">
      <x:c r="A841" s="14" t="str">
        <x:v>W4-022</x:v>
      </x:c>
      <x:c r="B841" s="14" t="str">
        <x:v>Prozorro expansion — 24.08</x:v>
      </x:c>
      <x:c r="C841" s="14" t="str">
        <x:v>Товариство з обмеженою відповідальністю «БУДІВЕЛЬНА КОМПАНІЯ «ВОЛМАКС»</x:v>
      </x:c>
      <x:c r="D841" s="14" t="str">
        <x:v>Підстанції / силові мережі</x:v>
      </x:c>
      <x:c r="E841" s="14" t="str">
        <x:v>Pilot now</x:v>
      </x:c>
      <x:c r="F841" s="17" t="str">
        <x:v>P1</x:v>
      </x:c>
      <x:c r="G841" s="14" t="str"/>
      <x:c r="H841" s="14" t="str">
        <x:v>Пілот зараз — Н.15 subset</x:v>
      </x:c>
      <x:c r="I841" s="16" t="n">
        <x:v>4</x:v>
      </x:c>
      <x:c r="J841" s="16" t="n">
        <x:v>5</x:v>
      </x:c>
      <x:c r="K841" s="16" t="n">
        <x:v>5</x:v>
      </x:c>
      <x:c r="L841" s="16" t="n">
        <x:v>5</x:v>
      </x:c>
      <x:c r="M841" s="16" t="n">
        <x:v>5</x:v>
      </x:c>
      <x:c r="N841" s="16" t="n">
        <x:v>5</x:v>
      </x:c>
      <x:c r="O841" s="16" t="n">
        <x:v>3</x:v>
      </x:c>
      <x:c r="P841" s="16" t="n">
        <x:f>IF(COUNT(I841:O841)&lt;7,"",I841*8+J841*3+K841*2+L841*2+M841*2+N841*2+O841)</x:f>
        <x:v>90</x:v>
      </x:c>
      <x:c r="Q841" s="16" t="n">
        <x:f>IF(COUNT(J841:O841)&lt;6,"",J841*5+K841*4+M841*4+L841*3+N841*2+O841*2)</x:f>
        <x:v>96</x:v>
      </x:c>
      <x:c r="R841" s="14" t="str">
        <x:v>high</x:v>
      </x:c>
      <x:c r="S841" s="14" t="str">
        <x:v>official_prozorro_award_2024_2026</x:v>
      </x:c>
      <x:c r="T841" s="14" t="str">
        <x:v>official_prozorro_api</x:v>
      </x:c>
      <x:c r="U841" s="14" t="str">
        <x:v>Не контактували</x:v>
      </x:c>
      <x:c r="V841" s="15" t="str">
        <x:v>Персоналізований free-pilot outreach по UA-2026-05-01-009188-a; попросити 1 пакет Н.14/Н.15</x:v>
      </x:c>
      <x:c r="W841" s="15" t="str">
        <x:v>Власник / директор; керівник ПТО; відповідальний за договори</x:v>
      </x:c>
      <x:c r="X841" s="15" t="str">
        <x:v>3 нових підтверджених перемог/договорів у Prozorro на 218 793 622 грн; 3 зі строком виконання не раніше 24.08.2026.</x:v>
      </x:c>
      <x:c r="Y841"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41" s="15" t="str">
        <x:v>https://prozorro.gov.ua/tender/UA-2026-05-01-009188-a</x:v>
      </x:c>
      <x:c r="AA841" s="14" t="str">
        <x:v>42740436</x:v>
      </x:c>
      <x:c r="AB841" s="14" t="str">
        <x:v>2026-08-24</x:v>
      </x:c>
      <x:c r="AC841" s="14" t="str"/>
      <x:c r="AD841" s="20" t="str"/>
      <x:c r="AE841" s="14" t="str"/>
      <x:c r="AF841" s="14" t="n">
        <x:v>82</x:v>
      </x:c>
      <x:c r="AG841" s="14" t="str">
        <x:v>I1</x:v>
      </x:c>
      <x:c r="AH841" s="14" t="n">
        <x:v>3</x:v>
      </x:c>
      <x:c r="AI841" s="14" t="n">
        <x:v>3</x:v>
      </x:c>
      <x:c r="AJ841" s="18" t="n">
        <x:v>218793622.46</x:v>
      </x:c>
      <x:c r="AK841" s="14" t="str">
        <x:v>https://prozorro.gov.ua/tender/UA-2026-05-01-009188-a</x:v>
      </x:c>
      <x:c r="AL841" s="19" t="n">
        <x:v>46143.50153450231</x:v>
      </x:c>
      <x:c r="AM841" s="19" t="n">
        <x:v>46752.54452546296</x:v>
      </x:c>
      <x:c r="AN841" s="15" t="str">
        <x:v>Підстанції / силові мережі</x:v>
      </x:c>
      <x:c r="AO841" s="15" t="str">
        <x:v>not_found_in_top_search</x:v>
      </x:c>
    </x:row>
    <x:row r="842">
      <x:c r="A842" s="14" t="str">
        <x:v>W4-023</x:v>
      </x:c>
      <x:c r="B842" s="14" t="str">
        <x:v>Prozorro expansion — 24.08</x:v>
      </x:c>
      <x:c r="C842" s="14" t="str">
        <x:v>ПРИВАТНЕ ПІДПРИЄМСТВО "ЕЛІТБУД-1"</x:v>
      </x:c>
      <x:c r="D842" s="14" t="str">
        <x:v>Підстанції / силові мережі</x:v>
      </x:c>
      <x:c r="E842" s="14" t="str">
        <x:v>Pilot now</x:v>
      </x:c>
      <x:c r="F842" s="17" t="str">
        <x:v>P1</x:v>
      </x:c>
      <x:c r="G842" s="14" t="str"/>
      <x:c r="H842" s="14" t="str">
        <x:v>Пілот зараз — Н.15 subset</x:v>
      </x:c>
      <x:c r="I842" s="16" t="n">
        <x:v>4</x:v>
      </x:c>
      <x:c r="J842" s="16" t="n">
        <x:v>5</x:v>
      </x:c>
      <x:c r="K842" s="16" t="n">
        <x:v>5</x:v>
      </x:c>
      <x:c r="L842" s="16" t="n">
        <x:v>5</x:v>
      </x:c>
      <x:c r="M842" s="16" t="n">
        <x:v>5</x:v>
      </x:c>
      <x:c r="N842" s="16" t="n">
        <x:v>5</x:v>
      </x:c>
      <x:c r="O842" s="16" t="n">
        <x:v>3</x:v>
      </x:c>
      <x:c r="P842" s="16" t="n">
        <x:f>IF(COUNT(I842:O842)&lt;7,"",I842*8+J842*3+K842*2+L842*2+M842*2+N842*2+O842)</x:f>
        <x:v>90</x:v>
      </x:c>
      <x:c r="Q842" s="16" t="n">
        <x:f>IF(COUNT(J842:O842)&lt;6,"",J842*5+K842*4+M842*4+L842*3+N842*2+O842*2)</x:f>
        <x:v>96</x:v>
      </x:c>
      <x:c r="R842" s="14" t="str">
        <x:v>high</x:v>
      </x:c>
      <x:c r="S842" s="14" t="str">
        <x:v>official_prozorro_award_2024_2026</x:v>
      </x:c>
      <x:c r="T842" s="14" t="str">
        <x:v>official_prozorro_api</x:v>
      </x:c>
      <x:c r="U842" s="14" t="str">
        <x:v>Не контактували</x:v>
      </x:c>
      <x:c r="V842" s="15" t="str">
        <x:v>Персоналізований free-pilot outreach по UA-2026-05-01-011583-a; попросити 1 пакет Н.14/Н.15</x:v>
      </x:c>
      <x:c r="W842" s="15" t="str">
        <x:v>Власник / директор; керівник ПТО; відповідальний за договори</x:v>
      </x:c>
      <x:c r="X842" s="15" t="str">
        <x:v>3 нових підтверджених перемог/договорів у Prozorro на 204 750 000 грн; 3 зі строком виконання не раніше 24.08.2026.</x:v>
      </x:c>
      <x:c r="Y842"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 строк до 2027-03-31. Попросити один знеособлений пакет здачі за цим workflow.</x:v>
      </x:c>
      <x:c r="Z842" s="15" t="str">
        <x:v>https://prozorro.gov.ua/tender/UA-2026-05-01-011583-a</x:v>
      </x:c>
      <x:c r="AA842" s="14" t="str">
        <x:v>33555092</x:v>
      </x:c>
      <x:c r="AB842" s="14" t="str">
        <x:v>2026-08-24</x:v>
      </x:c>
      <x:c r="AC842" s="14" t="str"/>
      <x:c r="AD842" s="20" t="str"/>
      <x:c r="AE842" s="14" t="str"/>
      <x:c r="AF842" s="14" t="n">
        <x:v>82</x:v>
      </x:c>
      <x:c r="AG842" s="14" t="str">
        <x:v>I1</x:v>
      </x:c>
      <x:c r="AH842" s="14" t="n">
        <x:v>3</x:v>
      </x:c>
      <x:c r="AI842" s="14" t="n">
        <x:v>3</x:v>
      </x:c>
      <x:c r="AJ842" s="18" t="n">
        <x:v>204750000</x:v>
      </x:c>
      <x:c r="AK842" s="14" t="str">
        <x:v>https://prozorro.gov.ua/tender/UA-2026-05-01-011583-a</x:v>
      </x:c>
      <x:c r="AL842" s="19" t="n">
        <x:v>46143.615071342596</x:v>
      </x:c>
      <x:c r="AM842" s="19" t="n">
        <x:v>46477</x:v>
      </x:c>
      <x:c r="AN842" s="15" t="str">
        <x:v>Підстанції / силові мережі</x:v>
      </x:c>
      <x:c r="AO842" s="15" t="str">
        <x:v>not_found_in_top_search</x:v>
      </x:c>
    </x:row>
    <x:row r="843">
      <x:c r="A843" s="14" t="str">
        <x:v>W4-024</x:v>
      </x:c>
      <x:c r="B843" s="14" t="str">
        <x:v>Prozorro expansion — 24.08</x:v>
      </x:c>
      <x:c r="C843" s="14" t="str">
        <x:v>ТОВАРИСТВО З ОБМЕЖЕНОЮ ВІДПОВІДАЛЬНІСТЮ "ДОРІНВЕСТКАПІТАЛ"</x:v>
      </x:c>
      <x:c r="D843" s="14" t="str">
        <x:v>Підстанції / силові мережі</x:v>
      </x:c>
      <x:c r="E843" s="14" t="str">
        <x:v>Pilot now</x:v>
      </x:c>
      <x:c r="F843" s="17" t="str">
        <x:v>P1</x:v>
      </x:c>
      <x:c r="G843" s="14" t="str"/>
      <x:c r="H843" s="14" t="str">
        <x:v>Пілот зараз — Н.15 subset</x:v>
      </x:c>
      <x:c r="I843" s="16" t="n">
        <x:v>4</x:v>
      </x:c>
      <x:c r="J843" s="16" t="n">
        <x:v>5</x:v>
      </x:c>
      <x:c r="K843" s="16" t="n">
        <x:v>5</x:v>
      </x:c>
      <x:c r="L843" s="16" t="n">
        <x:v>5</x:v>
      </x:c>
      <x:c r="M843" s="16" t="n">
        <x:v>5</x:v>
      </x:c>
      <x:c r="N843" s="16" t="n">
        <x:v>5</x:v>
      </x:c>
      <x:c r="O843" s="16" t="n">
        <x:v>3</x:v>
      </x:c>
      <x:c r="P843" s="16" t="n">
        <x:f>IF(COUNT(I843:O843)&lt;7,"",I843*8+J843*3+K843*2+L843*2+M843*2+N843*2+O843)</x:f>
        <x:v>90</x:v>
      </x:c>
      <x:c r="Q843" s="16" t="n">
        <x:f>IF(COUNT(J843:O843)&lt;6,"",J843*5+K843*4+M843*4+L843*3+N843*2+O843*2)</x:f>
        <x:v>96</x:v>
      </x:c>
      <x:c r="R843" s="14" t="str">
        <x:v>high</x:v>
      </x:c>
      <x:c r="S843" s="14" t="str">
        <x:v>official_prozorro_award_2024_2026</x:v>
      </x:c>
      <x:c r="T843" s="14" t="str">
        <x:v>official_prozorro_api</x:v>
      </x:c>
      <x:c r="U843" s="14" t="str">
        <x:v>Не контактували</x:v>
      </x:c>
      <x:c r="V843" s="15" t="str">
        <x:v>Персоналізований free-pilot outreach по UA-2026-05-01-010622-a; попросити 1 пакет Н.14/Н.15</x:v>
      </x:c>
      <x:c r="W843" s="15" t="str">
        <x:v>Власник / директор; керівник ПТО; відповідальний за договори</x:v>
      </x:c>
      <x:c r="X843" s="15" t="str">
        <x:v>3 нових підтверджених перемог/договорів у Prozorro на 204 750 000 грн; 3 зі строком виконання не раніше 24.08.2026.</x:v>
      </x:c>
      <x:c r="Y843"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 строк до 2027-03-31. Попросити один знеособлений пакет здачі за цим workflow.</x:v>
      </x:c>
      <x:c r="Z843" s="15" t="str">
        <x:v>https://prozorro.gov.ua/tender/UA-2026-05-01-010622-a</x:v>
      </x:c>
      <x:c r="AA843" s="14" t="str">
        <x:v>40946419</x:v>
      </x:c>
      <x:c r="AB843" s="14" t="str">
        <x:v>2026-08-24</x:v>
      </x:c>
      <x:c r="AC843" s="14" t="str"/>
      <x:c r="AD843" s="20" t="str"/>
      <x:c r="AE843" s="14" t="str"/>
      <x:c r="AF843" s="14" t="n">
        <x:v>82</x:v>
      </x:c>
      <x:c r="AG843" s="14" t="str">
        <x:v>I1</x:v>
      </x:c>
      <x:c r="AH843" s="14" t="n">
        <x:v>3</x:v>
      </x:c>
      <x:c r="AI843" s="14" t="n">
        <x:v>3</x:v>
      </x:c>
      <x:c r="AJ843" s="18" t="n">
        <x:v>204750000</x:v>
      </x:c>
      <x:c r="AK843" s="14" t="str">
        <x:v>https://prozorro.gov.ua/tender/UA-2026-05-01-010622-a</x:v>
      </x:c>
      <x:c r="AL843" s="19" t="n">
        <x:v>46143.57805596065</x:v>
      </x:c>
      <x:c r="AM843" s="19" t="n">
        <x:v>46477</x:v>
      </x:c>
      <x:c r="AN843" s="15" t="str">
        <x:v>Підстанції / силові мережі</x:v>
      </x:c>
      <x:c r="AO843" s="15" t="str">
        <x:v>not_found_in_top_search</x:v>
      </x:c>
    </x:row>
    <x:row r="844">
      <x:c r="A844" s="14" t="str">
        <x:v>W4-025</x:v>
      </x:c>
      <x:c r="B844" s="14" t="str">
        <x:v>Prozorro expansion — 24.08</x:v>
      </x:c>
      <x:c r="C844" s="14" t="str">
        <x:v>ТОВАРИСТВО З ОБМЕЖЕНОЮ ВІДПОВІДАЛЬНІСТЮ "ЕНЕРГОКАНАЛ"</x:v>
      </x:c>
      <x:c r="D844" s="14" t="str">
        <x:v>Теплові мережі</x:v>
      </x:c>
      <x:c r="E844" s="14" t="str">
        <x:v>Expansion discovery</x:v>
      </x:c>
      <x:c r="F844" s="17" t="str">
        <x:v>D1</x:v>
      </x:c>
      <x:c r="G844" s="14" t="str"/>
      <x:c r="H844" s="14" t="str">
        <x:v>Discovery розширення — 2 тижні</x:v>
      </x:c>
      <x:c r="I844" s="16" t="n">
        <x:v>1</x:v>
      </x:c>
      <x:c r="J844" s="16" t="n">
        <x:v>5</x:v>
      </x:c>
      <x:c r="K844" s="16" t="n">
        <x:v>4</x:v>
      </x:c>
      <x:c r="L844" s="16" t="n">
        <x:v>5</x:v>
      </x:c>
      <x:c r="M844" s="16" t="n">
        <x:v>5</x:v>
      </x:c>
      <x:c r="N844" s="16" t="n">
        <x:v>5</x:v>
      </x:c>
      <x:c r="O844" s="16" t="n">
        <x:v>3</x:v>
      </x:c>
      <x:c r="P844" s="16" t="n">
        <x:f>IF(COUNT(I844:O844)&lt;7,"",I844*8+J844*3+K844*2+L844*2+M844*2+N844*2+O844)</x:f>
        <x:v>64</x:v>
      </x:c>
      <x:c r="Q844" s="16" t="n">
        <x:f>IF(COUNT(J844:O844)&lt;6,"",J844*5+K844*4+M844*4+L844*3+N844*2+O844*2)</x:f>
        <x:v>92</x:v>
      </x:c>
      <x:c r="R844" s="14" t="str">
        <x:v>high</x:v>
      </x:c>
      <x:c r="S844" s="14" t="str">
        <x:v>official_prozorro_award_2024_2026</x:v>
      </x:c>
      <x:c r="T844" s="14" t="str">
        <x:v>official_prozorro_api</x:v>
      </x:c>
      <x:c r="U844" s="14" t="str">
        <x:v>Не контактували</x:v>
      </x:c>
      <x:c r="V844" s="15" t="str">
        <x:v>Повторне звернення з новим тендерним сигналом UA-2025-11-13-016060-a; попросити 1 пакет здачі</x:v>
      </x:c>
      <x:c r="W844" s="15" t="str">
        <x:v>Власник / директор; керівник ПТО; відповідальний за договори</x:v>
      </x:c>
      <x:c r="X844" s="15" t="str">
        <x:v>3 нових підтверджених перемог/договорів у Prozorro на 42 405 197 грн; 3 зі строком виконання не раніше 24.08.2026.</x:v>
      </x:c>
      <x:c r="Y844" s="15" t="str">
        <x:v>Реконструкція (відновлення) теплових мереж на ділянці від МК 4808 до МК 4810 по вул. Клочківській в м. Харкові. Ділянка від МК 4808 до МК 4809  
(код ДК 021:2015 – 45454000 -4 - Реконструкція)
; строк до 2026-11-30. Попросити один знеособлений пакет здачі за цим workflow.</x:v>
      </x:c>
      <x:c r="Z844" s="15" t="str">
        <x:v>https://prozorro.gov.ua/tender/UA-2026-05-29-006686-a</x:v>
      </x:c>
      <x:c r="AA844" s="14" t="str">
        <x:v>45678552</x:v>
      </x:c>
      <x:c r="AB844" s="14" t="str">
        <x:v>2026-08-24</x:v>
      </x:c>
      <x:c r="AC844" s="14" t="str"/>
      <x:c r="AD844" s="20" t="str"/>
      <x:c r="AE844" s="14" t="str"/>
      <x:c r="AF844" s="14" t="n">
        <x:v>82</x:v>
      </x:c>
      <x:c r="AG844" s="14" t="str">
        <x:v>I1</x:v>
      </x:c>
      <x:c r="AH844" s="14" t="n">
        <x:v>4</x:v>
      </x:c>
      <x:c r="AI844" s="14" t="n">
        <x:v>3</x:v>
      </x:c>
      <x:c r="AJ844" s="18" t="n">
        <x:v>42977416.9</x:v>
      </x:c>
      <x:c r="AK844" s="14" t="str">
        <x:v>https://prozorro.gov.ua/tender/UA-2025-11-13-016060-a</x:v>
      </x:c>
      <x:c r="AL844" s="19" t="n">
        <x:v>45974.653170300924</x:v>
      </x:c>
      <x:c r="AM844" s="19" t="n">
        <x:v>46010</x:v>
      </x:c>
      <x:c r="AN844" s="15" t="str">
        <x:v>Теплові мережі; Зовнішні мережі</x:v>
      </x:c>
      <x:c r="AO844" s="15" t="str">
        <x:v>not_found_in_top_search</x:v>
      </x:c>
    </x:row>
    <x:row r="845">
      <x:c r="A845" s="14" t="str">
        <x:v>W4-026</x:v>
      </x:c>
      <x:c r="B845" s="14" t="str">
        <x:v>Prozorro expansion — 24.08</x:v>
      </x:c>
      <x:c r="C845" s="14" t="str">
        <x:v>ТОВ "ПП ВІВ"</x:v>
      </x:c>
      <x:c r="D845" s="14" t="str">
        <x:v>Електромонтаж</x:v>
      </x:c>
      <x:c r="E845" s="14" t="str">
        <x:v>Pilot now</x:v>
      </x:c>
      <x:c r="F845" s="17" t="str">
        <x:v>P1</x:v>
      </x:c>
      <x:c r="G845" s="14" t="str"/>
      <x:c r="H845" s="14" t="str">
        <x:v>Пілот зараз — Н.15</x:v>
      </x:c>
      <x:c r="I845" s="16" t="n">
        <x:v>5</x:v>
      </x:c>
      <x:c r="J845" s="16" t="n">
        <x:v>5</x:v>
      </x:c>
      <x:c r="K845" s="16" t="n">
        <x:v>4</x:v>
      </x:c>
      <x:c r="L845" s="16" t="n">
        <x:v>2</x:v>
      </x:c>
      <x:c r="M845" s="16" t="n">
        <x:v>5</x:v>
      </x:c>
      <x:c r="N845" s="16" t="n">
        <x:v>5</x:v>
      </x:c>
      <x:c r="O845" s="16" t="n">
        <x:v>3</x:v>
      </x:c>
      <x:c r="P845" s="16" t="n">
        <x:f>IF(COUNT(I845:O845)&lt;7,"",I845*8+J845*3+K845*2+L845*2+M845*2+N845*2+O845)</x:f>
        <x:v>90</x:v>
      </x:c>
      <x:c r="Q845" s="16" t="n">
        <x:f>IF(COUNT(J845:O845)&lt;6,"",J845*5+K845*4+M845*4+L845*3+N845*2+O845*2)</x:f>
        <x:v>83</x:v>
      </x:c>
      <x:c r="R845" s="14" t="str">
        <x:v>high</x:v>
      </x:c>
      <x:c r="S845" s="14" t="str">
        <x:v>official_prozorro_award_2024_2026</x:v>
      </x:c>
      <x:c r="T845" s="14" t="str">
        <x:v>official_prozorro_api</x:v>
      </x:c>
      <x:c r="U845" s="14" t="str">
        <x:v>Не контактували</x:v>
      </x:c>
      <x:c r="V845" s="15" t="str">
        <x:v>Персоналізований free-pilot outreach по UA-2026-07-21-003036-a; попросити 1 пакет Н.14/Н.15</x:v>
      </x:c>
      <x:c r="W845" s="15" t="str">
        <x:v>Власник / директор; керівник ПТО; відповідальний за договори</x:v>
      </x:c>
      <x:c r="X845" s="15" t="str">
        <x:v>4 нових підтверджених перемог/договорів у Prozorro на 447 452 грн; 4 зі строком виконання не раніше 24.08.2026.</x:v>
      </x:c>
      <x:c r="Y845" s="15" t="str">
        <x:v>Електромонтажні роботи; строк до 2026-12-31. Попросити один знеособлений пакет здачі за цим workflow.</x:v>
      </x:c>
      <x:c r="Z845" s="15" t="str">
        <x:v>https://prozorro.gov.ua/tender/UA-2026-07-21-003036-a</x:v>
      </x:c>
      <x:c r="AA845" s="14" t="str">
        <x:v>37323736</x:v>
      </x:c>
      <x:c r="AB845" s="14" t="str">
        <x:v>2026-08-24</x:v>
      </x:c>
      <x:c r="AC845" s="14" t="str"/>
      <x:c r="AD845" s="20" t="str"/>
      <x:c r="AE845" s="14" t="str"/>
      <x:c r="AF845" s="14" t="n">
        <x:v>81</x:v>
      </x:c>
      <x:c r="AG845" s="14" t="str">
        <x:v>I1</x:v>
      </x:c>
      <x:c r="AH845" s="14" t="n">
        <x:v>4</x:v>
      </x:c>
      <x:c r="AI845" s="14" t="n">
        <x:v>4</x:v>
      </x:c>
      <x:c r="AJ845" s="18" t="n">
        <x:v>447452.4</x:v>
      </x:c>
      <x:c r="AK845" s="14" t="str">
        <x:v>https://prozorro.gov.ua/tender/UA-2026-07-21-003036-a</x:v>
      </x:c>
      <x:c r="AL845" s="19" t="n">
        <x:v>46224.334973287034</x:v>
      </x:c>
      <x:c r="AM845" s="19" t="n">
        <x:v>46387</x:v>
      </x:c>
      <x:c r="AN845" s="15" t="str">
        <x:v>Електромонтаж</x:v>
      </x:c>
      <x:c r="AO845" s="15" t="str">
        <x:v>not_found_in_top_search</x:v>
      </x:c>
    </x:row>
    <x:row r="846">
      <x:c r="A846" s="14" t="str">
        <x:v>W4-027</x:v>
      </x:c>
      <x:c r="B846" s="14" t="str">
        <x:v>Prozorro expansion — 24.08</x:v>
      </x:c>
      <x:c r="C846" s="14" t="str">
        <x:v>ФОП Сироїжко Катерина Вікторівна</x:v>
      </x:c>
      <x:c r="D846" s="14" t="str">
        <x:v>Пасивний вогнезахист</x:v>
      </x:c>
      <x:c r="E846" s="14" t="str">
        <x:v>Expansion discovery</x:v>
      </x:c>
      <x:c r="F846" s="17" t="str">
        <x:v>D1</x:v>
      </x:c>
      <x:c r="G846" s="14" t="str"/>
      <x:c r="H846" s="14" t="str">
        <x:v>Discovery розширення — 2 тижні</x:v>
      </x:c>
      <x:c r="I846" s="16" t="n">
        <x:v>1</x:v>
      </x:c>
      <x:c r="J846" s="16" t="n">
        <x:v>5</x:v>
      </x:c>
      <x:c r="K846" s="16" t="n">
        <x:v>5</x:v>
      </x:c>
      <x:c r="L846" s="16" t="n">
        <x:v>2</x:v>
      </x:c>
      <x:c r="M846" s="16" t="n">
        <x:v>5</x:v>
      </x:c>
      <x:c r="N846" s="16" t="n">
        <x:v>3</x:v>
      </x:c>
      <x:c r="O846" s="16" t="n">
        <x:v>3</x:v>
      </x:c>
      <x:c r="P846" s="16" t="n">
        <x:f>IF(COUNT(I846:O846)&lt;7,"",I846*8+J846*3+K846*2+L846*2+M846*2+N846*2+O846)</x:f>
        <x:v>56</x:v>
      </x:c>
      <x:c r="Q846" s="16" t="n">
        <x:f>IF(COUNT(J846:O846)&lt;6,"",J846*5+K846*4+M846*4+L846*3+N846*2+O846*2)</x:f>
        <x:v>83</x:v>
      </x:c>
      <x:c r="R846" s="14" t="str">
        <x:v>high</x:v>
      </x:c>
      <x:c r="S846" s="14" t="str">
        <x:v>official_prozorro_award_2024_2026</x:v>
      </x:c>
      <x:c r="T846" s="14" t="str">
        <x:v>official_prozorro_api</x:v>
      </x:c>
      <x:c r="U846" s="14" t="str">
        <x:v>Не контактували</x:v>
      </x:c>
      <x:c r="V846" s="15" t="str">
        <x:v>Повторне звернення з новим тендерним сигналом UA-2025-09-24-012605-a; попросити 1 пакет здачі</x:v>
      </x:c>
      <x:c r="W846" s="15" t="str">
        <x:v>Власник / виконавець; відповідальний за договір</x:v>
      </x:c>
      <x:c r="X846" s="15" t="str">
        <x:v>5 нових підтверджених перемог/договорів у Prozorro на 347 360 грн; 5 зі строком виконання не раніше 24.08.2026.</x:v>
      </x:c>
      <x:c r="Y846" s="15" t="str">
        <x:v>Вогнезахисна обробка дерев'яних конструкцій.; строк до 2026-12-05. Попросити один знеособлений пакет здачі за цим workflow.</x:v>
      </x:c>
      <x:c r="Z846" s="15" t="str">
        <x:v>https://prozorro.gov.ua/tender/UA-2026-08-18-004261-a</x:v>
      </x:c>
      <x:c r="AA846" s="14" t="str">
        <x:v>3575202082</x:v>
      </x:c>
      <x:c r="AB846" s="14" t="str">
        <x:v>2026-08-24</x:v>
      </x:c>
      <x:c r="AC846" s="14" t="str"/>
      <x:c r="AD846" s="20" t="str"/>
      <x:c r="AE846" s="14" t="str"/>
      <x:c r="AF846" s="14" t="n">
        <x:v>81</x:v>
      </x:c>
      <x:c r="AG846" s="14" t="str">
        <x:v>I1</x:v>
      </x:c>
      <x:c r="AH846" s="14" t="n">
        <x:v>6</x:v>
      </x:c>
      <x:c r="AI846" s="14" t="n">
        <x:v>5</x:v>
      </x:c>
      <x:c r="AJ846" s="18" t="n">
        <x:v>446050.58999999997</x:v>
      </x:c>
      <x:c r="AK846" s="14" t="str">
        <x:v>https://prozorro.gov.ua/tender/UA-2025-09-24-012605-a</x:v>
      </x:c>
      <x:c r="AL846" s="19" t="n">
        <x:v>45924.54095519676</x:v>
      </x:c>
      <x:c r="AM846" s="19" t="n">
        <x:v>46022</x:v>
      </x:c>
      <x:c r="AN846" s="15" t="str">
        <x:v>Пасивний вогнезахист; Блискавкозахист / заземлення</x:v>
      </x:c>
      <x:c r="AO846" s="15" t="str">
        <x:v>not_found_in_top_search</x:v>
      </x:c>
    </x:row>
    <x:row r="847">
      <x:c r="A847" s="14" t="str">
        <x:v>W4-028</x:v>
      </x:c>
      <x:c r="B847" s="14" t="str">
        <x:v>Prozorro expansion — 24.08</x:v>
      </x:c>
      <x:c r="C847" s="14" t="str">
        <x:v>ТОВАРИСТВО З ОБМЕЖЕНОЮ ВІДПОВІДАЛЬНІСТЮ "ГЕРБОР-ХОЛДІНГ"</x:v>
      </x:c>
      <x:c r="D847" s="14" t="str">
        <x:v>Металоконструкції</x:v>
      </x:c>
      <x:c r="E847" s="14" t="str">
        <x:v>Expansion discovery</x:v>
      </x:c>
      <x:c r="F847" s="17" t="str">
        <x:v>D1</x:v>
      </x:c>
      <x:c r="G847" s="14" t="str"/>
      <x:c r="H847" s="14" t="str">
        <x:v>Discovery розширення — 2 тижні</x:v>
      </x:c>
      <x:c r="I847" s="16" t="n">
        <x:v>1</x:v>
      </x:c>
      <x:c r="J847" s="16" t="n">
        <x:v>5</x:v>
      </x:c>
      <x:c r="K847" s="16" t="n">
        <x:v>5</x:v>
      </x:c>
      <x:c r="L847" s="16" t="n">
        <x:v>2</x:v>
      </x:c>
      <x:c r="M847" s="16" t="n">
        <x:v>5</x:v>
      </x:c>
      <x:c r="N847" s="16" t="n">
        <x:v>5</x:v>
      </x:c>
      <x:c r="O847" s="16" t="n">
        <x:v>3</x:v>
      </x:c>
      <x:c r="P847" s="16" t="n">
        <x:f>IF(COUNT(I847:O847)&lt;7,"",I847*8+J847*3+K847*2+L847*2+M847*2+N847*2+O847)</x:f>
        <x:v>60</x:v>
      </x:c>
      <x:c r="Q847" s="16" t="n">
        <x:f>IF(COUNT(J847:O847)&lt;6,"",J847*5+K847*4+M847*4+L847*3+N847*2+O847*2)</x:f>
        <x:v>87</x:v>
      </x:c>
      <x:c r="R847" s="14" t="str">
        <x:v>high</x:v>
      </x:c>
      <x:c r="S847" s="14" t="str">
        <x:v>official_prozorro_award_2024_2026</x:v>
      </x:c>
      <x:c r="T847" s="14" t="str">
        <x:v>official_prozorro_api</x:v>
      </x:c>
      <x:c r="U847" s="14" t="str">
        <x:v>Не контактували</x:v>
      </x:c>
      <x:c r="V847" s="15" t="str">
        <x:v>Workflow-audit outreach по UA-2026-08-17-003676-a; попросити 1 пакет здачі та вимоги проєкту</x:v>
      </x:c>
      <x:c r="W847" s="15" t="str">
        <x:v>Власник / директор; керівник ПТО; відповідальний за договори</x:v>
      </x:c>
      <x:c r="X847" s="15" t="str">
        <x:v>4 нових підтверджених перемог/договорів у Prozorro на 216 617 грн; 1 зі строком виконання не раніше 24.08.2026.</x:v>
      </x:c>
      <x:c r="Y847" s="15" t="str">
        <x:v>Послуги з благоустрою міста: «Монтаж та встановлення металоконструкції Дошки пам’яті»; строк до 2026-12-31. Попросити один знеособлений пакет здачі за цим workflow.</x:v>
      </x:c>
      <x:c r="Z847" s="15" t="str">
        <x:v>https://prozorro.gov.ua/tender/UA-2026-08-17-003676-a</x:v>
      </x:c>
      <x:c r="AA847" s="14" t="str">
        <x:v>30088756</x:v>
      </x:c>
      <x:c r="AB847" s="14" t="str">
        <x:v>2026-08-24</x:v>
      </x:c>
      <x:c r="AC847" s="14" t="str"/>
      <x:c r="AD847" s="20" t="str"/>
      <x:c r="AE847" s="14" t="str"/>
      <x:c r="AF847" s="14" t="n">
        <x:v>81</x:v>
      </x:c>
      <x:c r="AG847" s="14" t="str">
        <x:v>I1</x:v>
      </x:c>
      <x:c r="AH847" s="14" t="n">
        <x:v>4</x:v>
      </x:c>
      <x:c r="AI847" s="14" t="n">
        <x:v>1</x:v>
      </x:c>
      <x:c r="AJ847" s="18" t="n">
        <x:v>216616.6</x:v>
      </x:c>
      <x:c r="AK847" s="14" t="str">
        <x:v>https://prozorro.gov.ua/tender/UA-2026-08-17-003676-a</x:v>
      </x:c>
      <x:c r="AL847" s="19" t="n">
        <x:v>46251.36031866898</x:v>
      </x:c>
      <x:c r="AM847" s="19" t="n">
        <x:v>46387</x:v>
      </x:c>
      <x:c r="AN847" s="15" t="str">
        <x:v>Металоконструкції</x:v>
      </x:c>
      <x:c r="AO847" s="15" t="str">
        <x:v>not_found_in_top_search</x:v>
      </x:c>
    </x:row>
    <x:row r="848">
      <x:c r="A848" s="14" t="str">
        <x:v>W4-029</x:v>
      </x:c>
      <x:c r="B848" s="14" t="str">
        <x:v>Prozorro expansion — 24.08</x:v>
      </x:c>
      <x:c r="C848" s="14" t="str">
        <x:v>МПП "Агроенергосервіс"</x:v>
      </x:c>
      <x:c r="D848" s="14" t="str">
        <x:v>Електромонтаж</x:v>
      </x:c>
      <x:c r="E848" s="14" t="str">
        <x:v>Pilot now</x:v>
      </x:c>
      <x:c r="F848" s="17" t="str">
        <x:v>P1</x:v>
      </x:c>
      <x:c r="G848" s="14" t="str"/>
      <x:c r="H848" s="14" t="str">
        <x:v>Пілот зараз — Н.15</x:v>
      </x:c>
      <x:c r="I848" s="16" t="n">
        <x:v>5</x:v>
      </x:c>
      <x:c r="J848" s="16" t="n">
        <x:v>5</x:v>
      </x:c>
      <x:c r="K848" s="16" t="n">
        <x:v>4</x:v>
      </x:c>
      <x:c r="L848" s="16" t="n">
        <x:v>2</x:v>
      </x:c>
      <x:c r="M848" s="16" t="n">
        <x:v>5</x:v>
      </x:c>
      <x:c r="N848" s="16" t="n">
        <x:v>5</x:v>
      </x:c>
      <x:c r="O848" s="16" t="n">
        <x:v>3</x:v>
      </x:c>
      <x:c r="P848" s="16" t="n">
        <x:f>IF(COUNT(I848:O848)&lt;7,"",I848*8+J848*3+K848*2+L848*2+M848*2+N848*2+O848)</x:f>
        <x:v>90</x:v>
      </x:c>
      <x:c r="Q848" s="16" t="n">
        <x:f>IF(COUNT(J848:O848)&lt;6,"",J848*5+K848*4+M848*4+L848*3+N848*2+O848*2)</x:f>
        <x:v>83</x:v>
      </x:c>
      <x:c r="R848" s="14" t="str">
        <x:v>high</x:v>
      </x:c>
      <x:c r="S848" s="14" t="str">
        <x:v>official_prozorro_award_2024_2026</x:v>
      </x:c>
      <x:c r="T848" s="14" t="str">
        <x:v>official_prozorro_api</x:v>
      </x:c>
      <x:c r="U848" s="14" t="str">
        <x:v>Не контактували</x:v>
      </x:c>
      <x:c r="V848" s="15" t="str">
        <x:v>Персоналізований free-pilot outreach по UA-2026-08-24-004736-a; попросити 1 пакет Н.14/Н.15</x:v>
      </x:c>
      <x:c r="W848" s="15" t="str">
        <x:v>Власник / директор; керівник ПТО; відповідальний за договори</x:v>
      </x:c>
      <x:c r="X848" s="15" t="str">
        <x:v>5 нових підтверджених перемог/договорів у Prozorro на 113 401 грн; 5 зі строком виконання не раніше 24.08.2026.</x:v>
      </x:c>
      <x:c r="Y848" s="15" t="str">
        <x:v>Електромонтажні роботи електропроводки та електроарматури укриття Калузького СБК,(ДК 021-2015-45310000-3 - Електромонтажні роботи); строк до 2026-12-31. Попросити один знеособлений пакет здачі за цим workflow.</x:v>
      </x:c>
      <x:c r="Z848" s="15" t="str">
        <x:v>https://prozorro.gov.ua/tender/UA-2026-08-24-004736-a</x:v>
      </x:c>
      <x:c r="AA848" s="14" t="str">
        <x:v>23628267</x:v>
      </x:c>
      <x:c r="AB848" s="14" t="str">
        <x:v>2026-08-24</x:v>
      </x:c>
      <x:c r="AC848" s="14" t="str"/>
      <x:c r="AD848" s="20" t="str"/>
      <x:c r="AE848" s="14" t="str"/>
      <x:c r="AF848" s="14" t="n">
        <x:v>81</x:v>
      </x:c>
      <x:c r="AG848" s="14" t="str">
        <x:v>I1</x:v>
      </x:c>
      <x:c r="AH848" s="14" t="n">
        <x:v>5</x:v>
      </x:c>
      <x:c r="AI848" s="14" t="n">
        <x:v>5</x:v>
      </x:c>
      <x:c r="AJ848" s="18" t="n">
        <x:v>113401</x:v>
      </x:c>
      <x:c r="AK848" s="14" t="str">
        <x:v>https://prozorro.gov.ua/tender/UA-2026-08-24-004736-a</x:v>
      </x:c>
      <x:c r="AL848" s="19" t="n">
        <x:v>46258.40389858796</x:v>
      </x:c>
      <x:c r="AM848" s="19" t="n">
        <x:v>46387.446435185186</x:v>
      </x:c>
      <x:c r="AN848" s="15" t="str">
        <x:v>Електромонтаж</x:v>
      </x:c>
      <x:c r="AO848" s="15" t="str">
        <x:v>not_found_in_top_search</x:v>
      </x:c>
    </x:row>
    <x:row r="849">
      <x:c r="A849" s="14" t="str">
        <x:v>W4-030</x:v>
      </x:c>
      <x:c r="B849" s="14" t="str">
        <x:v>Prozorro expansion — 24.08</x:v>
      </x:c>
      <x:c r="C849" s="14" t="str">
        <x:v>ТОВАРИСТВО З ОБМЕЖЕНОЮ ВІД­ПО­ВІД­АЛЬ­НІ­СТЮ «ГА­ЗО­РОЗ­ПО­ДІЛЬ­НІ МЕРЕЖІ УКРАЇНИ»</x:v>
      </x:c>
      <x:c r="D849" s="14" t="str">
        <x:v>Газові мережі</x:v>
      </x:c>
      <x:c r="E849" s="14" t="str">
        <x:v>Expansion discovery</x:v>
      </x:c>
      <x:c r="F849" s="17" t="str">
        <x:v>D1</x:v>
      </x:c>
      <x:c r="G849" s="14" t="str">
        <x:v>grmu.com.ua</x:v>
      </x:c>
      <x:c r="H849" s="14" t="str">
        <x:v>Discovery розширення — 2 тижні</x:v>
      </x:c>
      <x:c r="I849" s="16" t="n">
        <x:v>1</x:v>
      </x:c>
      <x:c r="J849" s="16" t="n">
        <x:v>5</x:v>
      </x:c>
      <x:c r="K849" s="16" t="n">
        <x:v>5</x:v>
      </x:c>
      <x:c r="L849" s="16" t="n">
        <x:v>3</x:v>
      </x:c>
      <x:c r="M849" s="16" t="n">
        <x:v>5</x:v>
      </x:c>
      <x:c r="N849" s="16" t="n">
        <x:v>5</x:v>
      </x:c>
      <x:c r="O849" s="16" t="n">
        <x:v>5</x:v>
      </x:c>
      <x:c r="P849" s="16" t="n">
        <x:f>IF(COUNT(I849:O849)&lt;7,"",I849*8+J849*3+K849*2+L849*2+M849*2+N849*2+O849)</x:f>
        <x:v>64</x:v>
      </x:c>
      <x:c r="Q849" s="16" t="n">
        <x:f>IF(COUNT(J849:O849)&lt;6,"",J849*5+K849*4+M849*4+L849*3+N849*2+O849*2)</x:f>
        <x:v>94</x:v>
      </x:c>
      <x:c r="R849" s="14" t="str">
        <x:v>high</x:v>
      </x:c>
      <x:c r="S849" s="14" t="str">
        <x:v>official_prozorro_award_2024_2026</x:v>
      </x:c>
      <x:c r="T849" s="14" t="str">
        <x:v>official_prozorro_api</x:v>
      </x:c>
      <x:c r="U849" s="14" t="str">
        <x:v>Не контактували</x:v>
      </x:c>
      <x:c r="V849" s="15" t="str">
        <x:v>Workflow-audit outreach по UA-2026-08-06-000198-a; попросити 1 пакет здачі та вимоги проєкту</x:v>
      </x:c>
      <x:c r="W849" s="15" t="str">
        <x:v>Власник / директор; керівник ПТО; відповідальний за договори</x:v>
      </x:c>
      <x:c r="X849" s="15" t="str">
        <x:v>3 нових підтверджених перемог/договорів у Prozorro на 1 174 771 грн; 3 зі строком виконання не раніше 24.08.2026.</x:v>
      </x:c>
      <x:c r="Y849"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 строк до 2026-12-31. Попросити один знеособлений пакет здачі за цим workflow.</x:v>
      </x:c>
      <x:c r="Z849" s="15" t="str">
        <x:v>https://prozorro.gov.ua/tender/UA-2026-08-06-000198-a</x:v>
      </x:c>
      <x:c r="AA849" s="14" t="str">
        <x:v>44907200</x:v>
      </x:c>
      <x:c r="AB849" s="14" t="str">
        <x:v>2026-08-24</x:v>
      </x:c>
      <x:c r="AC849" s="14" t="str"/>
      <x:c r="AD849" s="20" t="str"/>
      <x:c r="AE849" s="14" t="str"/>
      <x:c r="AF849" s="14" t="n">
        <x:v>80</x:v>
      </x:c>
      <x:c r="AG849" s="14" t="str">
        <x:v>I1</x:v>
      </x:c>
      <x:c r="AH849" s="14" t="n">
        <x:v>3</x:v>
      </x:c>
      <x:c r="AI849" s="14" t="n">
        <x:v>3</x:v>
      </x:c>
      <x:c r="AJ849" s="18" t="n">
        <x:v>1174771.06</x:v>
      </x:c>
      <x:c r="AK849" s="14" t="str">
        <x:v>https://prozorro.gov.ua/tender/UA-2026-08-06-000198-a</x:v>
      </x:c>
      <x:c r="AL849" s="19" t="n">
        <x:v>46240.22657821759</x:v>
      </x:c>
      <x:c r="AM849" s="19" t="n">
        <x:v>46387.916655092595</x:v>
      </x:c>
      <x:c r="AN849" s="15" t="str">
        <x:v>Газові мережі</x:v>
      </x:c>
      <x:c r="AO849" s="15" t="str">
        <x:v>supplier_provided_url</x:v>
      </x:c>
    </x:row>
    <x:row r="850">
      <x:c r="A850" s="14" t="str">
        <x:v>W4-031</x:v>
      </x:c>
      <x:c r="B850" s="14" t="str">
        <x:v>Prozorro expansion — 24.08</x:v>
      </x:c>
      <x:c r="C850" s="14" t="str">
        <x:v>ТОВАРИСТВО З ОБМЕЖЕНОЮ ВІДПОВІДАЛЬНІСТЮ "ЕПІЦЕНТР К"</x:v>
      </x:c>
      <x:c r="D850" s="14" t="str">
        <x:v>Покрівлі та гідроізоляція</x:v>
      </x:c>
      <x:c r="E850" s="14" t="str">
        <x:v>Expansion discovery</x:v>
      </x:c>
      <x:c r="F850" s="17" t="str">
        <x:v>D1</x:v>
      </x:c>
      <x:c r="G850" s="14" t="str"/>
      <x:c r="H850" s="14" t="str">
        <x:v>Discovery розширення — 2 тижні</x:v>
      </x:c>
      <x:c r="I850" s="16" t="n">
        <x:v>1</x:v>
      </x:c>
      <x:c r="J850" s="16" t="n">
        <x:v>5</x:v>
      </x:c>
      <x:c r="K850" s="16" t="n">
        <x:v>5</x:v>
      </x:c>
      <x:c r="L850" s="16" t="n">
        <x:v>1</x:v>
      </x:c>
      <x:c r="M850" s="16" t="n">
        <x:v>5</x:v>
      </x:c>
      <x:c r="N850" s="16" t="n">
        <x:v>5</x:v>
      </x:c>
      <x:c r="O850" s="16" t="n">
        <x:v>3</x:v>
      </x:c>
      <x:c r="P850" s="16" t="n">
        <x:f>IF(COUNT(I850:O850)&lt;7,"",I850*8+J850*3+K850*2+L850*2+M850*2+N850*2+O850)</x:f>
        <x:v>58</x:v>
      </x:c>
      <x:c r="Q850" s="16" t="n">
        <x:f>IF(COUNT(J850:O850)&lt;6,"",J850*5+K850*4+M850*4+L850*3+N850*2+O850*2)</x:f>
        <x:v>84</x:v>
      </x:c>
      <x:c r="R850" s="14" t="str">
        <x:v>high</x:v>
      </x:c>
      <x:c r="S850" s="14" t="str">
        <x:v>official_prozorro_award_2024_2026</x:v>
      </x:c>
      <x:c r="T850" s="14" t="str">
        <x:v>official_prozorro_api</x:v>
      </x:c>
      <x:c r="U850" s="14" t="str">
        <x:v>Не контактували</x:v>
      </x:c>
      <x:c r="V850" s="15" t="str">
        <x:v>Workflow-audit outreach по UA-2026-07-23-003074-a; попросити 1 пакет здачі та вимоги проєкту</x:v>
      </x:c>
      <x:c r="W850" s="15" t="str">
        <x:v>Власник / директор; керівник ПТО; відповідальний за договори</x:v>
      </x:c>
      <x:c r="X850" s="15" t="str">
        <x:v>6 нових підтверджених перемог/договорів у Prozorro на 59 299 грн; 2 зі строком виконання не раніше 24.08.2026.</x:v>
      </x:c>
      <x:c r="Y850" s="15" t="str">
        <x:v>Матеріали для проведення ремонтних робіт господарським способом (Клей для плитки, Суміш гідроізоляційна ); строк до 2026-12-31. Попросити один знеособлений пакет здачі за цим workflow.</x:v>
      </x:c>
      <x:c r="Z850" s="15" t="str">
        <x:v>https://prozorro.gov.ua/tender/UA-2026-07-23-003074-a</x:v>
      </x:c>
      <x:c r="AA850" s="14" t="str">
        <x:v>32490244</x:v>
      </x:c>
      <x:c r="AB850" s="14" t="str">
        <x:v>2026-08-24</x:v>
      </x:c>
      <x:c r="AC850" s="14" t="str"/>
      <x:c r="AD850" s="20" t="str"/>
      <x:c r="AE850" s="14" t="str"/>
      <x:c r="AF850" s="14" t="n">
        <x:v>80</x:v>
      </x:c>
      <x:c r="AG850" s="14" t="str">
        <x:v>I1</x:v>
      </x:c>
      <x:c r="AH850" s="14" t="n">
        <x:v>6</x:v>
      </x:c>
      <x:c r="AI850" s="14" t="n">
        <x:v>2</x:v>
      </x:c>
      <x:c r="AJ850" s="18" t="n">
        <x:v>59298.92</x:v>
      </x:c>
      <x:c r="AK850" s="14" t="str">
        <x:v>https://prozorro.gov.ua/tender/UA-2026-07-23-003074-a</x:v>
      </x:c>
      <x:c r="AL850" s="19" t="n">
        <x:v>46230.248755243054</x:v>
      </x:c>
      <x:c r="AM850" s="19" t="n">
        <x:v>46387</x:v>
      </x:c>
      <x:c r="AN850" s="15" t="str">
        <x:v>Покрівлі та гідроізоляція; Електромонтаж</x:v>
      </x:c>
      <x:c r="AO850" s="15" t="str">
        <x:v>not_found_in_top_search</x:v>
      </x:c>
    </x:row>
    <x:row r="851">
      <x:c r="A851" s="14" t="str">
        <x:v>W4-032</x:v>
      </x:c>
      <x:c r="B851" s="14" t="str">
        <x:v>Prozorro expansion — 24.08</x:v>
      </x:c>
      <x:c r="C851" s="14" t="str">
        <x:v>ПРИВАТНЕ ПІДПРИЄМСТВО "ГРІН ТАУН"</x:v>
      </x:c>
      <x:c r="D851" s="14" t="str">
        <x:v>Благоустрій</x:v>
      </x:c>
      <x:c r="E851" s="14" t="str">
        <x:v>Expansion discovery</x:v>
      </x:c>
      <x:c r="F851" s="17" t="str">
        <x:v>D1</x:v>
      </x:c>
      <x:c r="G851" s="14" t="str"/>
      <x:c r="H851" s="14" t="str">
        <x:v>Discovery розширення — 2 тижні</x:v>
      </x:c>
      <x:c r="I851" s="16" t="n">
        <x:v>1</x:v>
      </x:c>
      <x:c r="J851" s="16" t="n">
        <x:v>5</x:v>
      </x:c>
      <x:c r="K851" s="16" t="n">
        <x:v>4</x:v>
      </x:c>
      <x:c r="L851" s="16" t="n">
        <x:v>5</x:v>
      </x:c>
      <x:c r="M851" s="16" t="n">
        <x:v>5</x:v>
      </x:c>
      <x:c r="N851" s="16" t="n">
        <x:v>5</x:v>
      </x:c>
      <x:c r="O851" s="16" t="n">
        <x:v>3</x:v>
      </x:c>
      <x:c r="P851" s="16" t="n">
        <x:f>IF(COUNT(I851:O851)&lt;7,"",I851*8+J851*3+K851*2+L851*2+M851*2+N851*2+O851)</x:f>
        <x:v>64</x:v>
      </x:c>
      <x:c r="Q851" s="16" t="n">
        <x:f>IF(COUNT(J851:O851)&lt;6,"",J851*5+K851*4+M851*4+L851*3+N851*2+O851*2)</x:f>
        <x:v>92</x:v>
      </x:c>
      <x:c r="R851" s="14" t="str">
        <x:v>high</x:v>
      </x:c>
      <x:c r="S851" s="14" t="str">
        <x:v>official_prozorro_award_2024_2026</x:v>
      </x:c>
      <x:c r="T851" s="14" t="str">
        <x:v>official_prozorro_api</x:v>
      </x:c>
      <x:c r="U851" s="14" t="str">
        <x:v>Не контактували</x:v>
      </x:c>
      <x:c r="V851" s="15" t="str">
        <x:v>Workflow-audit outreach по UA-2026-01-15-000258-a; попросити 1 пакет здачі та вимоги проєкту</x:v>
      </x:c>
      <x:c r="W851" s="15" t="str">
        <x:v>Власник / директор; керівник ПТО; відповідальний за договори</x:v>
      </x:c>
      <x:c r="X851" s="15" t="str">
        <x:v>15 нових підтверджених перемог/договорів у Prozorro на 19 213 823 грн; 1 зі строком виконання не раніше 24.08.2026.</x:v>
      </x:c>
      <x:c r="Y851"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 строк до 2026-08-31. Попросити один знеособлений пакет здачі за цим workflow.</x:v>
      </x:c>
      <x:c r="Z851" s="15" t="str">
        <x:v>https://prozorro.gov.ua/tender/UA-2026-01-15-000258-a</x:v>
      </x:c>
      <x:c r="AA851" s="14" t="str">
        <x:v>43281170</x:v>
      </x:c>
      <x:c r="AB851" s="14" t="str">
        <x:v>2026-08-24</x:v>
      </x:c>
      <x:c r="AC851" s="14" t="str"/>
      <x:c r="AD851" s="20" t="str"/>
      <x:c r="AE851" s="14" t="str"/>
      <x:c r="AF851" s="14" t="n">
        <x:v>79</x:v>
      </x:c>
      <x:c r="AG851" s="14" t="str">
        <x:v>I1</x:v>
      </x:c>
      <x:c r="AH851" s="14" t="n">
        <x:v>15</x:v>
      </x:c>
      <x:c r="AI851" s="14" t="n">
        <x:v>1</x:v>
      </x:c>
      <x:c r="AJ851" s="18" t="n">
        <x:v>19213823</x:v>
      </x:c>
      <x:c r="AK851" s="14" t="str">
        <x:v>https://prozorro.gov.ua/tender/UA-2026-01-15-000258-a</x:v>
      </x:c>
      <x:c r="AL851" s="19" t="n">
        <x:v>46045.608558125</x:v>
      </x:c>
      <x:c r="AM851" s="19" t="n">
        <x:v>46265</x:v>
      </x:c>
      <x:c r="AN851" s="15" t="str">
        <x:v>Благоустрій</x:v>
      </x:c>
      <x:c r="AO851" s="15" t="str">
        <x:v>not_found_in_top_search</x:v>
      </x:c>
    </x:row>
    <x:row r="852">
      <x:c r="A852" s="14" t="str">
        <x:v>W4-033</x:v>
      </x:c>
      <x:c r="B852" s="14" t="str">
        <x:v>Prozorro expansion — 24.08</x:v>
      </x:c>
      <x:c r="C852" s="14" t="str">
        <x:v>ПРИВАТНЕ ПІДПРИЄМСТВО "ПОЖЕЖНИЙ СЕРВІС"</x:v>
      </x:c>
      <x:c r="D852" s="14" t="str">
        <x:v>Пожежогасіння</x:v>
      </x:c>
      <x:c r="E852" s="14" t="str">
        <x:v>Expansion discovery</x:v>
      </x:c>
      <x:c r="F852" s="17" t="str">
        <x:v>D1</x:v>
      </x:c>
      <x:c r="G852" s="14" t="str"/>
      <x:c r="H852" s="14" t="str">
        <x:v>Discovery розширення — 2 тижні</x:v>
      </x:c>
      <x:c r="I852" s="16" t="n">
        <x:v>1</x:v>
      </x:c>
      <x:c r="J852" s="16" t="n">
        <x:v>5</x:v>
      </x:c>
      <x:c r="K852" s="16" t="n">
        <x:v>5</x:v>
      </x:c>
      <x:c r="L852" s="16" t="n">
        <x:v>3</x:v>
      </x:c>
      <x:c r="M852" s="16" t="n">
        <x:v>5</x:v>
      </x:c>
      <x:c r="N852" s="16" t="n">
        <x:v>5</x:v>
      </x:c>
      <x:c r="O852" s="16" t="n">
        <x:v>3</x:v>
      </x:c>
      <x:c r="P852" s="16" t="n">
        <x:f>IF(COUNT(I852:O852)&lt;7,"",I852*8+J852*3+K852*2+L852*2+M852*2+N852*2+O852)</x:f>
        <x:v>62</x:v>
      </x:c>
      <x:c r="Q852" s="16" t="n">
        <x:f>IF(COUNT(J852:O852)&lt;6,"",J852*5+K852*4+M852*4+L852*3+N852*2+O852*2)</x:f>
        <x:v>90</x:v>
      </x:c>
      <x:c r="R852" s="14" t="str">
        <x:v>high</x:v>
      </x:c>
      <x:c r="S852" s="14" t="str">
        <x:v>official_prozorro_award_2024_2026</x:v>
      </x:c>
      <x:c r="T852" s="14" t="str">
        <x:v>official_prozorro_api</x:v>
      </x:c>
      <x:c r="U852" s="14" t="str">
        <x:v>Не контактували</x:v>
      </x:c>
      <x:c r="V852" s="15" t="str">
        <x:v>Workflow-audit outreach по UA-2026-06-30-002541-a; попросити 1 пакет здачі та вимоги проєкту</x:v>
      </x:c>
      <x:c r="W852" s="15" t="str">
        <x:v>Власник / директор; керівник ПТО; відповідальний за договори</x:v>
      </x:c>
      <x:c r="X852" s="15" t="str">
        <x:v>5 нових підтверджених перемог/договорів у Prozorro на 1 435 959 грн; 5 зі строком виконання не раніше 24.08.2026.</x:v>
      </x:c>
      <x:c r="Y852"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 строк до 2026-11-30. Попросити один знеособлений пакет здачі за цим workflow.</x:v>
      </x:c>
      <x:c r="Z852" s="15" t="str">
        <x:v>https://prozorro.gov.ua/tender/UA-2026-06-30-002541-a</x:v>
      </x:c>
      <x:c r="AA852" s="14" t="str">
        <x:v>42324108</x:v>
      </x:c>
      <x:c r="AB852" s="14" t="str">
        <x:v>2026-08-24</x:v>
      </x:c>
      <x:c r="AC852" s="14" t="str"/>
      <x:c r="AD852" s="20" t="str"/>
      <x:c r="AE852" s="14" t="str"/>
      <x:c r="AF852" s="14" t="n">
        <x:v>79</x:v>
      </x:c>
      <x:c r="AG852" s="14" t="str">
        <x:v>I1</x:v>
      </x:c>
      <x:c r="AH852" s="14" t="n">
        <x:v>5</x:v>
      </x:c>
      <x:c r="AI852" s="14" t="n">
        <x:v>5</x:v>
      </x:c>
      <x:c r="AJ852" s="18" t="n">
        <x:v>1435958.64</x:v>
      </x:c>
      <x:c r="AK852" s="14" t="str">
        <x:v>https://prozorro.gov.ua/tender/UA-2026-06-30-002541-a</x:v>
      </x:c>
      <x:c r="AL852" s="19" t="n">
        <x:v>46203.31821943287</x:v>
      </x:c>
      <x:c r="AM852" s="19" t="n">
        <x:v>46356</x:v>
      </x:c>
      <x:c r="AN852" s="15" t="str">
        <x:v>Пожежогасіння</x:v>
      </x:c>
      <x:c r="AO852" s="15" t="str">
        <x:v>not_found_in_top_search</x:v>
      </x:c>
    </x:row>
    <x:row r="853">
      <x:c r="A853" s="14" t="str">
        <x:v>W4-034</x:v>
      </x:c>
      <x:c r="B853" s="14" t="str">
        <x:v>Prozorro expansion — 24.08</x:v>
      </x:c>
      <x:c r="C853" s="14" t="str">
        <x:v>Товариство з обмеженою відповідальністю «БК АШЕР»</x:v>
      </x:c>
      <x:c r="D853" s="14" t="str">
        <x:v>Дорожні роботи</x:v>
      </x:c>
      <x:c r="E853" s="14" t="str">
        <x:v>Expansion discovery</x:v>
      </x:c>
      <x:c r="F853" s="17" t="str">
        <x:v>D1</x:v>
      </x:c>
      <x:c r="G853" s="14" t="str"/>
      <x:c r="H853" s="14" t="str">
        <x:v>Discovery розширення — 2 тижні</x:v>
      </x:c>
      <x:c r="I853" s="16" t="n">
        <x:v>1</x:v>
      </x:c>
      <x:c r="J853" s="16" t="n">
        <x:v>5</x:v>
      </x:c>
      <x:c r="K853" s="16" t="n">
        <x:v>4</x:v>
      </x:c>
      <x:c r="L853" s="16" t="n">
        <x:v>5</x:v>
      </x:c>
      <x:c r="M853" s="16" t="n">
        <x:v>5</x:v>
      </x:c>
      <x:c r="N853" s="16" t="n">
        <x:v>5</x:v>
      </x:c>
      <x:c r="O853" s="16" t="n">
        <x:v>3</x:v>
      </x:c>
      <x:c r="P853" s="16" t="n">
        <x:f>IF(COUNT(I853:O853)&lt;7,"",I853*8+J853*3+K853*2+L853*2+M853*2+N853*2+O853)</x:f>
        <x:v>64</x:v>
      </x:c>
      <x:c r="Q853" s="16" t="n">
        <x:f>IF(COUNT(J853:O853)&lt;6,"",J853*5+K853*4+M853*4+L853*3+N853*2+O853*2)</x:f>
        <x:v>92</x:v>
      </x:c>
      <x:c r="R853" s="14" t="str">
        <x:v>high</x:v>
      </x:c>
      <x:c r="S853" s="14" t="str">
        <x:v>official_prozorro_award_2024_2026</x:v>
      </x:c>
      <x:c r="T853" s="14" t="str">
        <x:v>official_prozorro_api</x:v>
      </x:c>
      <x:c r="U853" s="14" t="str">
        <x:v>Не контактували</x:v>
      </x:c>
      <x:c r="V853" s="15" t="str">
        <x:v>Workflow-audit outreach по UA-2026-07-07-005091-a; попросити 1 пакет здачі та вимоги проєкту</x:v>
      </x:c>
      <x:c r="W853" s="15" t="str">
        <x:v>Власник / директор; керівник ПТО; відповідальний за договори</x:v>
      </x:c>
      <x:c r="X853" s="15" t="str">
        <x:v>2 нових підтверджених перемог/договорів у Prozorro на 17 222 862 грн; 2 зі строком виконання не раніше 24.08.2026.</x:v>
      </x:c>
      <x:c r="Y853" s="15" t="str">
        <x:v>Капітальний ремонт дорожнього покриття (частково) по вулиці Благовіщенській міста Валки Богодухівського району Харківської області; строк до 2026-12-31. Попросити один знеособлений пакет здачі за цим workflow.</x:v>
      </x:c>
      <x:c r="Z853" s="15" t="str">
        <x:v>https://prozorro.gov.ua/tender/UA-2026-07-07-005091-a</x:v>
      </x:c>
      <x:c r="AA853" s="14" t="str">
        <x:v>45800665</x:v>
      </x:c>
      <x:c r="AB853" s="14" t="str">
        <x:v>2026-08-24</x:v>
      </x:c>
      <x:c r="AC853" s="14" t="str"/>
      <x:c r="AD853" s="20" t="str"/>
      <x:c r="AE853" s="14" t="str"/>
      <x:c r="AF853" s="14" t="n">
        <x:v>78</x:v>
      </x:c>
      <x:c r="AG853" s="14" t="str">
        <x:v>I1</x:v>
      </x:c>
      <x:c r="AH853" s="14" t="n">
        <x:v>2</x:v>
      </x:c>
      <x:c r="AI853" s="14" t="n">
        <x:v>2</x:v>
      </x:c>
      <x:c r="AJ853" s="18" t="n">
        <x:v>17222862.4</x:v>
      </x:c>
      <x:c r="AK853" s="14" t="str">
        <x:v>https://prozorro.gov.ua/tender/UA-2026-07-07-005091-a</x:v>
      </x:c>
      <x:c r="AL853" s="19" t="n">
        <x:v>46231.51664258102</x:v>
      </x:c>
      <x:c r="AM853" s="19" t="n">
        <x:v>46387</x:v>
      </x:c>
      <x:c r="AN853" s="15" t="str">
        <x:v>Дорожні роботи</x:v>
      </x:c>
      <x:c r="AO853" s="15" t="str">
        <x:v>not_found_in_top_search</x:v>
      </x:c>
    </x:row>
    <x:row r="854">
      <x:c r="A854" s="14" t="str">
        <x:v>W4-035</x:v>
      </x:c>
      <x:c r="B854" s="14" t="str">
        <x:v>Prozorro expansion — 24.08</x:v>
      </x:c>
      <x:c r="C854" s="14" t="str">
        <x:v>ТОВАРИСТВО З ОБМЕЖЕНОЮ ВІДПОВІДАЛЬНІСТЮ "ЗАВОД ЄВРОФОРМАТ"</x:v>
      </x:c>
      <x:c r="D854" s="14" t="str">
        <x:v>Ліфти та підйомники</x:v>
      </x:c>
      <x:c r="E854" s="14" t="str">
        <x:v>Expansion discovery</x:v>
      </x:c>
      <x:c r="F854" s="17" t="str">
        <x:v>D1</x:v>
      </x:c>
      <x:c r="G854" s="14" t="str"/>
      <x:c r="H854" s="14" t="str">
        <x:v>Discovery розширення — 2 тижні</x:v>
      </x:c>
      <x:c r="I854" s="16" t="n">
        <x:v>1</x:v>
      </x:c>
      <x:c r="J854" s="16" t="n">
        <x:v>5</x:v>
      </x:c>
      <x:c r="K854" s="16" t="n">
        <x:v>4</x:v>
      </x:c>
      <x:c r="L854" s="16" t="n">
        <x:v>5</x:v>
      </x:c>
      <x:c r="M854" s="16" t="n">
        <x:v>5</x:v>
      </x:c>
      <x:c r="N854" s="16" t="n">
        <x:v>5</x:v>
      </x:c>
      <x:c r="O854" s="16" t="n">
        <x:v>3</x:v>
      </x:c>
      <x:c r="P854" s="16" t="n">
        <x:f>IF(COUNT(I854:O854)&lt;7,"",I854*8+J854*3+K854*2+L854*2+M854*2+N854*2+O854)</x:f>
        <x:v>64</x:v>
      </x:c>
      <x:c r="Q854" s="16" t="n">
        <x:f>IF(COUNT(J854:O854)&lt;6,"",J854*5+K854*4+M854*4+L854*3+N854*2+O854*2)</x:f>
        <x:v>92</x:v>
      </x:c>
      <x:c r="R854" s="14" t="str">
        <x:v>high</x:v>
      </x:c>
      <x:c r="S854" s="14" t="str">
        <x:v>official_prozorro_award_2024_2026</x:v>
      </x:c>
      <x:c r="T854" s="14" t="str">
        <x:v>official_prozorro_api</x:v>
      </x:c>
      <x:c r="U854" s="14" t="str">
        <x:v>Не контактували</x:v>
      </x:c>
      <x:c r="V854" s="15" t="str">
        <x:v>Workflow-audit outreach по UA-2026-06-19-007993-a; попросити 1 пакет здачі та вимоги проєкту</x:v>
      </x:c>
      <x:c r="W854" s="15" t="str">
        <x:v>Власник / директор; керівник ПТО; відповідальний за договори</x:v>
      </x:c>
      <x:c r="X854" s="15" t="str">
        <x:v>2 нових підтверджених перемог/договорів у Prozorro на 12 550 734 грн; 2 зі строком виконання не раніше 24.08.2026.</x:v>
      </x:c>
      <x:c r="Y854"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 строк до 2026-12-26. Попросити один знеособлений пакет здачі за цим workflow.</x:v>
      </x:c>
      <x:c r="Z854" s="15" t="str">
        <x:v>https://prozorro.gov.ua/tender/UA-2026-06-19-007993-a</x:v>
      </x:c>
      <x:c r="AA854" s="14" t="str">
        <x:v>31724919</x:v>
      </x:c>
      <x:c r="AB854" s="14" t="str">
        <x:v>2026-08-24</x:v>
      </x:c>
      <x:c r="AC854" s="14" t="str"/>
      <x:c r="AD854" s="20" t="str"/>
      <x:c r="AE854" s="14" t="str"/>
      <x:c r="AF854" s="14" t="n">
        <x:v>78</x:v>
      </x:c>
      <x:c r="AG854" s="14" t="str">
        <x:v>I1</x:v>
      </x:c>
      <x:c r="AH854" s="14" t="n">
        <x:v>2</x:v>
      </x:c>
      <x:c r="AI854" s="14" t="n">
        <x:v>2</x:v>
      </x:c>
      <x:c r="AJ854" s="18" t="n">
        <x:v>12550734.34</x:v>
      </x:c>
      <x:c r="AK854" s="14" t="str">
        <x:v>https://prozorro.gov.ua/tender/UA-2026-06-19-007993-a</x:v>
      </x:c>
      <x:c r="AL854" s="19" t="n">
        <x:v>46220.55030538194</x:v>
      </x:c>
      <x:c r="AM854" s="19" t="n">
        <x:v>46382</x:v>
      </x:c>
      <x:c r="AN854" s="15" t="str">
        <x:v>Ліфти та підйомники</x:v>
      </x:c>
      <x:c r="AO854" s="15" t="str">
        <x:v>not_found_in_top_search</x:v>
      </x:c>
    </x:row>
    <x:row r="855">
      <x:c r="A855" s="14" t="str">
        <x:v>W4-036</x:v>
      </x:c>
      <x:c r="B855" s="14" t="str">
        <x:v>Prozorro expansion — 24.08</x:v>
      </x:c>
      <x:c r="C855" s="14" t="str">
        <x:v>ФІРМА "МИР" - ТОВАРИСТВО З ОБМЕЖЕНОЮ ВІДПОВІДАЛЬНІСТЮ</x:v>
      </x:c>
      <x:c r="D855" s="14" t="str">
        <x:v>Теплові мережі</x:v>
      </x:c>
      <x:c r="E855" s="14" t="str">
        <x:v>Expansion discovery</x:v>
      </x:c>
      <x:c r="F855" s="17" t="str">
        <x:v>D1</x:v>
      </x:c>
      <x:c r="G855" s="14" t="str"/>
      <x:c r="H855" s="14" t="str">
        <x:v>Discovery розширення — 2 тижні</x:v>
      </x:c>
      <x:c r="I855" s="16" t="n">
        <x:v>1</x:v>
      </x:c>
      <x:c r="J855" s="16" t="n">
        <x:v>5</x:v>
      </x:c>
      <x:c r="K855" s="16" t="n">
        <x:v>4</x:v>
      </x:c>
      <x:c r="L855" s="16" t="n">
        <x:v>4</x:v>
      </x:c>
      <x:c r="M855" s="16" t="n">
        <x:v>5</x:v>
      </x:c>
      <x:c r="N855" s="16" t="n">
        <x:v>5</x:v>
      </x:c>
      <x:c r="O855" s="16" t="n">
        <x:v>3</x:v>
      </x:c>
      <x:c r="P855" s="16" t="n">
        <x:f>IF(COUNT(I855:O855)&lt;7,"",I855*8+J855*3+K855*2+L855*2+M855*2+N855*2+O855)</x:f>
        <x:v>62</x:v>
      </x:c>
      <x:c r="Q855" s="16" t="n">
        <x:f>IF(COUNT(J855:O855)&lt;6,"",J855*5+K855*4+M855*4+L855*3+N855*2+O855*2)</x:f>
        <x:v>89</x:v>
      </x:c>
      <x:c r="R855" s="14" t="str">
        <x:v>high</x:v>
      </x:c>
      <x:c r="S855" s="14" t="str">
        <x:v>official_prozorro_award_2024_2026</x:v>
      </x:c>
      <x:c r="T855" s="14" t="str">
        <x:v>official_prozorro_api</x:v>
      </x:c>
      <x:c r="U855" s="14" t="str">
        <x:v>Не контактували</x:v>
      </x:c>
      <x:c r="V855" s="15" t="str">
        <x:v>Повторне звернення з новим тендерним сигналом UA-2026-04-03-007526-a; попросити 1 пакет здачі</x:v>
      </x:c>
      <x:c r="W855" s="15" t="str">
        <x:v>Власник / директор; керівник ПТО; відповідальний за договори</x:v>
      </x:c>
      <x:c r="X855" s="15" t="str">
        <x:v>3 нових підтверджених перемог/договорів у Prozorro на 5 356 621 грн; 1 зі строком виконання не раніше 24.08.2026.</x:v>
      </x:c>
      <x:c r="Y855" s="15" t="str">
        <x:v>ДК 021:2015 45454000-4 Реконструкція. Реконструкція об'єкту КП «Харківські теплові мережі» шляхом встановлення КГУ за адресою: **** в м. Харкові. Четверта черга будівництва фундаментів під КГУ
; строк до 2026-07-03. Попросити один знеособлений пакет здачі за цим workflow.</x:v>
      </x:c>
      <x:c r="Z855" s="15" t="str">
        <x:v>https://prozorro.gov.ua/tender/UA-2026-06-16-012929-a</x:v>
      </x:c>
      <x:c r="AA855" s="14" t="str">
        <x:v>23470569</x:v>
      </x:c>
      <x:c r="AB855" s="14" t="str">
        <x:v>2026-08-24</x:v>
      </x:c>
      <x:c r="AC855" s="14" t="str"/>
      <x:c r="AD855" s="20" t="str"/>
      <x:c r="AE855" s="14" t="str"/>
      <x:c r="AF855" s="14" t="n">
        <x:v>78</x:v>
      </x:c>
      <x:c r="AG855" s="14" t="str">
        <x:v>I1</x:v>
      </x:c>
      <x:c r="AH855" s="14" t="n">
        <x:v>4</x:v>
      </x:c>
      <x:c r="AI855" s="14" t="n">
        <x:v>1</x:v>
      </x:c>
      <x:c r="AJ855" s="18" t="n">
        <x:v>8980130.43</x:v>
      </x:c>
      <x:c r="AK855" s="14" t="str">
        <x:v>https://prozorro.gov.ua/tender/UA-2026-04-03-007526-a</x:v>
      </x:c>
      <x:c r="AL855" s="19" t="n">
        <x:v>46115.44907444444</x:v>
      </x:c>
      <x:c r="AM855" s="19" t="n">
        <x:v>46188</x:v>
      </x:c>
      <x:c r="AN855" s="15" t="str">
        <x:v>Теплові мережі; Насосні станції</x:v>
      </x:c>
      <x:c r="AO855" s="15" t="str">
        <x:v>not_found_in_top_search</x:v>
      </x:c>
    </x:row>
    <x:row r="856">
      <x:c r="A856" s="14" t="str">
        <x:v>W4-037</x:v>
      </x:c>
      <x:c r="B856" s="14" t="str">
        <x:v>Prozorro expansion — 24.08</x:v>
      </x:c>
      <x:c r="C856" s="14" t="str">
        <x:v>Фізична особа підприємець Лісовий Анатолій Миколайович</x:v>
      </x:c>
      <x:c r="D856" s="14" t="str">
        <x:v>Пасивний вогнезахист</x:v>
      </x:c>
      <x:c r="E856" s="14" t="str">
        <x:v>Expansion discovery</x:v>
      </x:c>
      <x:c r="F856" s="17" t="str">
        <x:v>D1</x:v>
      </x:c>
      <x:c r="G856" s="14" t="str"/>
      <x:c r="H856" s="14" t="str">
        <x:v>Discovery розширення — 2 тижні</x:v>
      </x:c>
      <x:c r="I856" s="16" t="n">
        <x:v>1</x:v>
      </x:c>
      <x:c r="J856" s="16" t="n">
        <x:v>5</x:v>
      </x:c>
      <x:c r="K856" s="16" t="n">
        <x:v>5</x:v>
      </x:c>
      <x:c r="L856" s="16" t="n">
        <x:v>2</x:v>
      </x:c>
      <x:c r="M856" s="16" t="n">
        <x:v>5</x:v>
      </x:c>
      <x:c r="N856" s="16" t="n">
        <x:v>3</x:v>
      </x:c>
      <x:c r="O856" s="16" t="n">
        <x:v>3</x:v>
      </x:c>
      <x:c r="P856" s="16" t="n">
        <x:f>IF(COUNT(I856:O856)&lt;7,"",I856*8+J856*3+K856*2+L856*2+M856*2+N856*2+O856)</x:f>
        <x:v>56</x:v>
      </x:c>
      <x:c r="Q856" s="16" t="n">
        <x:f>IF(COUNT(J856:O856)&lt;6,"",J856*5+K856*4+M856*4+L856*3+N856*2+O856*2)</x:f>
        <x:v>83</x:v>
      </x:c>
      <x:c r="R856" s="14" t="str">
        <x:v>high</x:v>
      </x:c>
      <x:c r="S856" s="14" t="str">
        <x:v>official_prozorro_award_2024_2026</x:v>
      </x:c>
      <x:c r="T856" s="14" t="str">
        <x:v>official_prozorro_api</x:v>
      </x:c>
      <x:c r="U856" s="14" t="str">
        <x:v>Не контактували</x:v>
      </x:c>
      <x:c r="V856" s="15" t="str">
        <x:v>Workflow-audit outreach по UA-2026-07-16-010389-a; попросити 1 пакет здачі та вимоги проєкту</x:v>
      </x:c>
      <x:c r="W856" s="15" t="str">
        <x:v>Власник / виконавець; відповідальний за договір</x:v>
      </x:c>
      <x:c r="X856" s="15" t="str">
        <x:v>5 нових підтверджених перемог/договорів у Prozorro на 382 556 грн; 5 зі строком виконання не раніше 24.08.2026.</x:v>
      </x:c>
      <x:c r="Y856" s="15" t="str">
        <x:v>Послуги з вогнезахисної обробки дерев*яних конструкцій горища на об*єкті: Сошниківський ліцей (3 будівлі окремостоячі); строк до 2026-12-31. Попросити один знеособлений пакет здачі за цим workflow.</x:v>
      </x:c>
      <x:c r="Z856" s="15" t="str">
        <x:v>https://prozorro.gov.ua/tender/UA-2026-07-16-010389-a</x:v>
      </x:c>
      <x:c r="AA856" s="14" t="str">
        <x:v>2273504439</x:v>
      </x:c>
      <x:c r="AB856" s="14" t="str">
        <x:v>2026-08-24</x:v>
      </x:c>
      <x:c r="AC856" s="14" t="str"/>
      <x:c r="AD856" s="20" t="str"/>
      <x:c r="AE856" s="14" t="str"/>
      <x:c r="AF856" s="14" t="n">
        <x:v>78</x:v>
      </x:c>
      <x:c r="AG856" s="14" t="str">
        <x:v>I1</x:v>
      </x:c>
      <x:c r="AH856" s="14" t="n">
        <x:v>5</x:v>
      </x:c>
      <x:c r="AI856" s="14" t="n">
        <x:v>5</x:v>
      </x:c>
      <x:c r="AJ856" s="18" t="n">
        <x:v>382556</x:v>
      </x:c>
      <x:c r="AK856" s="14" t="str">
        <x:v>https://prozorro.gov.ua/tender/UA-2026-07-16-010389-a</x:v>
      </x:c>
      <x:c r="AL856" s="19" t="n">
        <x:v>46219.64207666666</x:v>
      </x:c>
      <x:c r="AM856" s="19" t="n">
        <x:v>46387.68547453704</x:v>
      </x:c>
      <x:c r="AN856" s="15" t="str">
        <x:v>Пасивний вогнезахист</x:v>
      </x:c>
      <x:c r="AO856" s="15" t="str">
        <x:v>not_found_in_top_search</x:v>
      </x:c>
    </x:row>
    <x:row r="857">
      <x:c r="A857" s="14" t="str">
        <x:v>W4-038</x:v>
      </x:c>
      <x:c r="B857" s="14" t="str">
        <x:v>Prozorro expansion — 24.08</x:v>
      </x:c>
      <x:c r="C857" s="14" t="str">
        <x:v>ТОВ "МЕРЕЖА М"</x:v>
      </x:c>
      <x:c r="D857" s="14" t="str">
        <x:v>Металоконструкції</x:v>
      </x:c>
      <x:c r="E857" s="14" t="str">
        <x:v>Expansion discovery</x:v>
      </x:c>
      <x:c r="F857" s="17" t="str">
        <x:v>D1</x:v>
      </x:c>
      <x:c r="G857" s="14" t="str"/>
      <x:c r="H857" s="14" t="str">
        <x:v>Discovery розширення — 2 тижні</x:v>
      </x:c>
      <x:c r="I857" s="16" t="n">
        <x:v>1</x:v>
      </x:c>
      <x:c r="J857" s="16" t="n">
        <x:v>5</x:v>
      </x:c>
      <x:c r="K857" s="16" t="n">
        <x:v>5</x:v>
      </x:c>
      <x:c r="L857" s="16" t="n">
        <x:v>1</x:v>
      </x:c>
      <x:c r="M857" s="16" t="n">
        <x:v>5</x:v>
      </x:c>
      <x:c r="N857" s="16" t="n">
        <x:v>5</x:v>
      </x:c>
      <x:c r="O857" s="16" t="n">
        <x:v>3</x:v>
      </x:c>
      <x:c r="P857" s="16" t="n">
        <x:f>IF(COUNT(I857:O857)&lt;7,"",I857*8+J857*3+K857*2+L857*2+M857*2+N857*2+O857)</x:f>
        <x:v>58</x:v>
      </x:c>
      <x:c r="Q857" s="16" t="n">
        <x:f>IF(COUNT(J857:O857)&lt;6,"",J857*5+K857*4+M857*4+L857*3+N857*2+O857*2)</x:f>
        <x:v>84</x:v>
      </x:c>
      <x:c r="R857" s="14" t="str">
        <x:v>high</x:v>
      </x:c>
      <x:c r="S857" s="14" t="str">
        <x:v>official_prozorro_award_2024_2026</x:v>
      </x:c>
      <x:c r="T857" s="14" t="str">
        <x:v>official_prozorro_api</x:v>
      </x:c>
      <x:c r="U857" s="14" t="str">
        <x:v>Не контактували</x:v>
      </x:c>
      <x:c r="V857" s="15" t="str">
        <x:v>Workflow-audit outreach по UA-2026-08-12-007416-a; попросити 1 пакет здачі та вимоги проєкту</x:v>
      </x:c>
      <x:c r="W857" s="15" t="str">
        <x:v>Власник / директор; керівник ПТО; відповідальний за договори</x:v>
      </x:c>
      <x:c r="X857" s="15" t="str">
        <x:v>5 нових підтверджених перемог/договорів у Prozorro на 33 600 грн; 1 зі строком виконання не раніше 24.08.2026.</x:v>
      </x:c>
      <x:c r="Y857" s="15" t="str">
        <x:v>монтаж металоконструкцій з двосторонніми інформаційними стендами, код ДК 021-2015: 45220000-5 Інженерні та будівельні роботи; строк до 2026-09-10. Попросити один знеособлений пакет здачі за цим workflow.</x:v>
      </x:c>
      <x:c r="Z857" s="15" t="str">
        <x:v>https://prozorro.gov.ua/tender/UA-2026-08-12-007416-a</x:v>
      </x:c>
      <x:c r="AA857" s="14" t="str">
        <x:v>33873646</x:v>
      </x:c>
      <x:c r="AB857" s="14" t="str">
        <x:v>2026-08-24</x:v>
      </x:c>
      <x:c r="AC857" s="14" t="str"/>
      <x:c r="AD857" s="20" t="str"/>
      <x:c r="AE857" s="14" t="str"/>
      <x:c r="AF857" s="14" t="n">
        <x:v>77</x:v>
      </x:c>
      <x:c r="AG857" s="14" t="str">
        <x:v>I1</x:v>
      </x:c>
      <x:c r="AH857" s="14" t="n">
        <x:v>5</x:v>
      </x:c>
      <x:c r="AI857" s="14" t="n">
        <x:v>1</x:v>
      </x:c>
      <x:c r="AJ857" s="18" t="n">
        <x:v>33600</x:v>
      </x:c>
      <x:c r="AK857" s="14" t="str">
        <x:v>https://prozorro.gov.ua/tender/UA-2026-08-12-007416-a</x:v>
      </x:c>
      <x:c r="AL857" s="19" t="n">
        <x:v>46246.49559135416</x:v>
      </x:c>
      <x:c r="AM857" s="19" t="n">
        <x:v>46275.483773148146</x:v>
      </x:c>
      <x:c r="AN857" s="15" t="str">
        <x:v>Металоконструкції</x:v>
      </x:c>
      <x:c r="AO857" s="15" t="str">
        <x:v>not_found_in_top_search</x:v>
      </x:c>
    </x:row>
    <x:row r="858">
      <x:c r="A858" s="14" t="str">
        <x:v>W4-039</x:v>
      </x:c>
      <x:c r="B858" s="14" t="str">
        <x:v>Prozorro expansion — 24.08</x:v>
      </x:c>
      <x:c r="C858" s="14" t="str">
        <x:v>ПРИВАТНЕ ПІДПРИЄМСТВО "ЮТА"</x:v>
      </x:c>
      <x:c r="D858" s="14" t="str">
        <x:v>Електромонтаж</x:v>
      </x:c>
      <x:c r="E858" s="14" t="str">
        <x:v>Pilot now</x:v>
      </x:c>
      <x:c r="F858" s="17" t="str">
        <x:v>P1</x:v>
      </x:c>
      <x:c r="G858" s="14" t="str"/>
      <x:c r="H858" s="14" t="str">
        <x:v>Пілот зараз — Н.15</x:v>
      </x:c>
      <x:c r="I858" s="16" t="n">
        <x:v>5</x:v>
      </x:c>
      <x:c r="J858" s="16" t="n">
        <x:v>5</x:v>
      </x:c>
      <x:c r="K858" s="16" t="n">
        <x:v>4</x:v>
      </x:c>
      <x:c r="L858" s="16" t="n">
        <x:v>2</x:v>
      </x:c>
      <x:c r="M858" s="16" t="n">
        <x:v>5</x:v>
      </x:c>
      <x:c r="N858" s="16" t="n">
        <x:v>5</x:v>
      </x:c>
      <x:c r="O858" s="16" t="n">
        <x:v>3</x:v>
      </x:c>
      <x:c r="P858" s="16" t="n">
        <x:f>IF(COUNT(I858:O858)&lt;7,"",I858*8+J858*3+K858*2+L858*2+M858*2+N858*2+O858)</x:f>
        <x:v>90</x:v>
      </x:c>
      <x:c r="Q858" s="16" t="n">
        <x:f>IF(COUNT(J858:O858)&lt;6,"",J858*5+K858*4+M858*4+L858*3+N858*2+O858*2)</x:f>
        <x:v>83</x:v>
      </x:c>
      <x:c r="R858" s="14" t="str">
        <x:v>high</x:v>
      </x:c>
      <x:c r="S858" s="14" t="str">
        <x:v>official_prozorro_award_2024_2026</x:v>
      </x:c>
      <x:c r="T858" s="14" t="str">
        <x:v>official_prozorro_api</x:v>
      </x:c>
      <x:c r="U858" s="14" t="str">
        <x:v>Не контактували</x:v>
      </x:c>
      <x:c r="V858" s="15" t="str">
        <x:v>Персоналізований free-pilot outreach по UA-2026-08-04-004312-a; попросити 1 пакет Н.14/Н.15</x:v>
      </x:c>
      <x:c r="W858" s="15" t="str">
        <x:v>Власник / директор; керівник ПТО; відповідальний за договори</x:v>
      </x:c>
      <x:c r="X858" s="15" t="str">
        <x:v>3 нових підтверджених перемог/договорів у Prozorro на 189 231 грн; 3 зі строком виконання не раніше 24.08.2026.</x:v>
      </x:c>
      <x:c r="Y858" s="15" t="str">
        <x:v>45310000-3 Електромонтажні роботи; строк до 2026-12-31. Попросити один знеособлений пакет здачі за цим workflow.</x:v>
      </x:c>
      <x:c r="Z858" s="15" t="str">
        <x:v>https://prozorro.gov.ua/tender/UA-2026-08-04-004312-a</x:v>
      </x:c>
      <x:c r="AA858" s="14" t="str">
        <x:v>30821160</x:v>
      </x:c>
      <x:c r="AB858" s="14" t="str">
        <x:v>2026-08-24</x:v>
      </x:c>
      <x:c r="AC858" s="14" t="str"/>
      <x:c r="AD858" s="20" t="str"/>
      <x:c r="AE858" s="14" t="str"/>
      <x:c r="AF858" s="14" t="n">
        <x:v>76</x:v>
      </x:c>
      <x:c r="AG858" s="14" t="str">
        <x:v>I1</x:v>
      </x:c>
      <x:c r="AH858" s="14" t="n">
        <x:v>3</x:v>
      </x:c>
      <x:c r="AI858" s="14" t="n">
        <x:v>3</x:v>
      </x:c>
      <x:c r="AJ858" s="18" t="n">
        <x:v>189231</x:v>
      </x:c>
      <x:c r="AK858" s="14" t="str">
        <x:v>https://prozorro.gov.ua/tender/UA-2026-08-04-004312-a</x:v>
      </x:c>
      <x:c r="AL858" s="19" t="n">
        <x:v>46238.36984387731</x:v>
      </x:c>
      <x:c r="AM858" s="19" t="n">
        <x:v>46387</x:v>
      </x:c>
      <x:c r="AN858" s="15" t="str">
        <x:v>Електромонтаж</x:v>
      </x:c>
      <x:c r="AO858" s="15" t="str">
        <x:v>not_found_in_top_search</x:v>
      </x:c>
    </x:row>
    <x:row r="859">
      <x:c r="A859" s="14" t="str">
        <x:v>W4-040</x:v>
      </x:c>
      <x:c r="B859" s="14" t="str">
        <x:v>Prozorro expansion — 24.08</x:v>
      </x:c>
      <x:c r="C859" s="14" t="str">
        <x:v>ПП "ЗЕЛЕНА КРАЇНА"</x:v>
      </x:c>
      <x:c r="D859" s="14" t="str">
        <x:v>Благоустрій</x:v>
      </x:c>
      <x:c r="E859" s="14" t="str">
        <x:v>Expansion discovery</x:v>
      </x:c>
      <x:c r="F859" s="17" t="str">
        <x:v>D1</x:v>
      </x:c>
      <x:c r="G859" s="14" t="str"/>
      <x:c r="H859" s="14" t="str">
        <x:v>Discovery розширення — 2 тижні</x:v>
      </x:c>
      <x:c r="I859" s="16" t="n">
        <x:v>1</x:v>
      </x:c>
      <x:c r="J859" s="16" t="n">
        <x:v>5</x:v>
      </x:c>
      <x:c r="K859" s="16" t="n">
        <x:v>4</x:v>
      </x:c>
      <x:c r="L859" s="16" t="n">
        <x:v>4</x:v>
      </x:c>
      <x:c r="M859" s="16" t="n">
        <x:v>5</x:v>
      </x:c>
      <x:c r="N859" s="16" t="n">
        <x:v>5</x:v>
      </x:c>
      <x:c r="O859" s="16" t="n">
        <x:v>3</x:v>
      </x:c>
      <x:c r="P859" s="16" t="n">
        <x:f>IF(COUNT(I859:O859)&lt;7,"",I859*8+J859*3+K859*2+L859*2+M859*2+N859*2+O859)</x:f>
        <x:v>62</x:v>
      </x:c>
      <x:c r="Q859" s="16" t="n">
        <x:f>IF(COUNT(J859:O859)&lt;6,"",J859*5+K859*4+M859*4+L859*3+N859*2+O859*2)</x:f>
        <x:v>89</x:v>
      </x:c>
      <x:c r="R859" s="14" t="str">
        <x:v>high</x:v>
      </x:c>
      <x:c r="S859" s="14" t="str">
        <x:v>official_prozorro_award_2024_2026</x:v>
      </x:c>
      <x:c r="T859" s="14" t="str">
        <x:v>official_prozorro_api</x:v>
      </x:c>
      <x:c r="U859" s="14" t="str">
        <x:v>Не контактували</x:v>
      </x:c>
      <x:c r="V859" s="15" t="str">
        <x:v>Workflow-audit outreach по UA-2026-03-03-006192-a; попросити 1 пакет здачі та вимоги проєкту</x:v>
      </x:c>
      <x:c r="W859" s="15" t="str">
        <x:v>Власник / директор; керівник ПТО; відповідальний за договори</x:v>
      </x:c>
      <x:c r="X859" s="15" t="str">
        <x:v>5 нових підтверджених перемог/договорів у Prozorro на 6 218 406 грн; 3 зі строком виконання не раніше 24.08.2026.</x:v>
      </x:c>
      <x:c r="Y85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59" s="15" t="str">
        <x:v>https://prozorro.gov.ua/tender/UA-2026-03-03-006192-a</x:v>
      </x:c>
      <x:c r="AA859" s="14" t="str">
        <x:v>36390906</x:v>
      </x:c>
      <x:c r="AB859" s="14" t="str">
        <x:v>2026-08-24</x:v>
      </x:c>
      <x:c r="AC859" s="14" t="str"/>
      <x:c r="AD859" s="20" t="str"/>
      <x:c r="AE859" s="14" t="str"/>
      <x:c r="AF859" s="14" t="n">
        <x:v>75</x:v>
      </x:c>
      <x:c r="AG859" s="14" t="str">
        <x:v>I1</x:v>
      </x:c>
      <x:c r="AH859" s="14" t="n">
        <x:v>5</x:v>
      </x:c>
      <x:c r="AI859" s="14" t="n">
        <x:v>3</x:v>
      </x:c>
      <x:c r="AJ859" s="18" t="n">
        <x:v>6218406</x:v>
      </x:c>
      <x:c r="AK859" s="14" t="str">
        <x:v>https://prozorro.gov.ua/tender/UA-2026-03-03-006192-a</x:v>
      </x:c>
      <x:c r="AL859" s="19" t="n">
        <x:v>46094.512283634256</x:v>
      </x:c>
      <x:c r="AM859" s="19" t="n">
        <x:v>46387.4303125</x:v>
      </x:c>
      <x:c r="AN859" s="15" t="str">
        <x:v>Благоустрій</x:v>
      </x:c>
      <x:c r="AO859" s="15" t="str">
        <x:v>not_found_in_top_search</x:v>
      </x:c>
    </x:row>
    <x:row r="860">
      <x:c r="A860" s="14" t="str">
        <x:v>W4-041</x:v>
      </x:c>
      <x:c r="B860" s="14" t="str">
        <x:v>Prozorro expansion — 24.08</x:v>
      </x:c>
      <x:c r="C860" s="14" t="str">
        <x:v>ТОВАРИСТВО З ОБМЕЖЕНОЮ ВІДПОВІДАЛЬНІСТЮ "ПРОСТІР+"</x:v>
      </x:c>
      <x:c r="D860" s="14" t="str">
        <x:v>Благоустрій</x:v>
      </x:c>
      <x:c r="E860" s="14" t="str">
        <x:v>Expansion discovery</x:v>
      </x:c>
      <x:c r="F860" s="17" t="str">
        <x:v>D1</x:v>
      </x:c>
      <x:c r="G860" s="14" t="str"/>
      <x:c r="H860" s="14" t="str">
        <x:v>Discovery розширення — 2 тижні</x:v>
      </x:c>
      <x:c r="I860" s="16" t="n">
        <x:v>1</x:v>
      </x:c>
      <x:c r="J860" s="16" t="n">
        <x:v>5</x:v>
      </x:c>
      <x:c r="K860" s="16" t="n">
        <x:v>4</x:v>
      </x:c>
      <x:c r="L860" s="16" t="n">
        <x:v>4</x:v>
      </x:c>
      <x:c r="M860" s="16" t="n">
        <x:v>5</x:v>
      </x:c>
      <x:c r="N860" s="16" t="n">
        <x:v>5</x:v>
      </x:c>
      <x:c r="O860" s="16" t="n">
        <x:v>3</x:v>
      </x:c>
      <x:c r="P860" s="16" t="n">
        <x:f>IF(COUNT(I860:O860)&lt;7,"",I860*8+J860*3+K860*2+L860*2+M860*2+N860*2+O860)</x:f>
        <x:v>62</x:v>
      </x:c>
      <x:c r="Q860" s="16" t="n">
        <x:f>IF(COUNT(J860:O860)&lt;6,"",J860*5+K860*4+M860*4+L860*3+N860*2+O860*2)</x:f>
        <x:v>89</x:v>
      </x:c>
      <x:c r="R860" s="14" t="str">
        <x:v>high</x:v>
      </x:c>
      <x:c r="S860" s="14" t="str">
        <x:v>official_prozorro_award_2024_2026</x:v>
      </x:c>
      <x:c r="T860" s="14" t="str">
        <x:v>official_prozorro_api</x:v>
      </x:c>
      <x:c r="U860" s="14" t="str">
        <x:v>Не контактували</x:v>
      </x:c>
      <x:c r="V860" s="15" t="str">
        <x:v>Workflow-audit outreach по UA-2026-03-03-006192-a; попросити 1 пакет здачі та вимоги проєкту</x:v>
      </x:c>
      <x:c r="W860" s="15" t="str">
        <x:v>Власник / директор; керівник ПТО; відповідальний за договори</x:v>
      </x:c>
      <x:c r="X860" s="15" t="str">
        <x:v>5 нових підтверджених перемог/договорів у Prozorro на 3 640 250 грн; 3 зі строком виконання не раніше 24.08.2026.</x:v>
      </x:c>
      <x:c r="Y860"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60" s="15" t="str">
        <x:v>https://prozorro.gov.ua/tender/UA-2026-03-03-006192-a</x:v>
      </x:c>
      <x:c r="AA860" s="14" t="str">
        <x:v>43990005</x:v>
      </x:c>
      <x:c r="AB860" s="14" t="str">
        <x:v>2026-08-24</x:v>
      </x:c>
      <x:c r="AC860" s="14" t="str"/>
      <x:c r="AD860" s="20" t="str"/>
      <x:c r="AE860" s="14" t="str"/>
      <x:c r="AF860" s="14" t="n">
        <x:v>75</x:v>
      </x:c>
      <x:c r="AG860" s="14" t="str">
        <x:v>I1</x:v>
      </x:c>
      <x:c r="AH860" s="14" t="n">
        <x:v>5</x:v>
      </x:c>
      <x:c r="AI860" s="14" t="n">
        <x:v>3</x:v>
      </x:c>
      <x:c r="AJ860" s="18" t="n">
        <x:v>3640250</x:v>
      </x:c>
      <x:c r="AK860" s="14" t="str">
        <x:v>https://prozorro.gov.ua/tender/UA-2026-03-03-006192-a</x:v>
      </x:c>
      <x:c r="AL860" s="19" t="n">
        <x:v>46094.51964327546</x:v>
      </x:c>
      <x:c r="AM860" s="19" t="n">
        <x:v>46387.4303125</x:v>
      </x:c>
      <x:c r="AN860" s="15" t="str">
        <x:v>Благоустрій</x:v>
      </x:c>
      <x:c r="AO860" s="15" t="str">
        <x:v>not_found_in_top_search</x:v>
      </x:c>
    </x:row>
    <x:row r="861">
      <x:c r="A861" s="14" t="str">
        <x:v>W4-042</x:v>
      </x:c>
      <x:c r="B861" s="14" t="str">
        <x:v>Prozorro expansion — 24.08</x:v>
      </x:c>
      <x:c r="C861" s="14" t="str">
        <x:v>ТОВАРИСТВО З ОБМЕЖЕНОЮ ВІДПОВІДАЛЬНІСТЮ "КАРІД"</x:v>
      </x:c>
      <x:c r="D861" s="14" t="str">
        <x:v>Внутрішні сантехнічні системи</x:v>
      </x:c>
      <x:c r="E861" s="14" t="str">
        <x:v>Pilot now</x:v>
      </x:c>
      <x:c r="F861" s="17" t="str">
        <x:v>P1</x:v>
      </x:c>
      <x:c r="G861" s="14" t="str"/>
      <x:c r="H861" s="14" t="str">
        <x:v>Пілот зараз — Н.14</x:v>
      </x:c>
      <x:c r="I861" s="16" t="n">
        <x:v>5</x:v>
      </x:c>
      <x:c r="J861" s="16" t="n">
        <x:v>5</x:v>
      </x:c>
      <x:c r="K861" s="16" t="n">
        <x:v>4</x:v>
      </x:c>
      <x:c r="L861" s="16" t="n">
        <x:v>2</x:v>
      </x:c>
      <x:c r="M861" s="16" t="n">
        <x:v>5</x:v>
      </x:c>
      <x:c r="N861" s="16" t="n">
        <x:v>5</x:v>
      </x:c>
      <x:c r="O861" s="16" t="n">
        <x:v>3</x:v>
      </x:c>
      <x:c r="P861" s="16" t="n">
        <x:f>IF(COUNT(I861:O861)&lt;7,"",I861*8+J861*3+K861*2+L861*2+M861*2+N861*2+O861)</x:f>
        <x:v>90</x:v>
      </x:c>
      <x:c r="Q861" s="16" t="n">
        <x:f>IF(COUNT(J861:O861)&lt;6,"",J861*5+K861*4+M861*4+L861*3+N861*2+O861*2)</x:f>
        <x:v>83</x:v>
      </x:c>
      <x:c r="R861" s="14" t="str">
        <x:v>high</x:v>
      </x:c>
      <x:c r="S861" s="14" t="str">
        <x:v>official_prozorro_award_2024_2026</x:v>
      </x:c>
      <x:c r="T861" s="14" t="str">
        <x:v>official_prozorro_api</x:v>
      </x:c>
      <x:c r="U861" s="14" t="str">
        <x:v>Не контактували</x:v>
      </x:c>
      <x:c r="V861" s="15" t="str">
        <x:v>Персоналізований free-pilot outreach по UA-2026-05-14-001152-a; попросити 1 пакет Н.14/Н.15</x:v>
      </x:c>
      <x:c r="W861" s="15" t="str">
        <x:v>Власник / директор; керівник ПТО; відповідальний за договори</x:v>
      </x:c>
      <x:c r="X861" s="15" t="str">
        <x:v>8 нових підтверджених перемог/договорів у Prozorro на 164 564 грн; 0 зі строком виконання не раніше 24.08.2026.</x:v>
      </x:c>
      <x:c r="Y861"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 строк до 2026-06-27. Попросити один знеособлений пакет здачі за цим workflow.</x:v>
      </x:c>
      <x:c r="Z861" s="15" t="str">
        <x:v>https://prozorro.gov.ua/tender/UA-2026-05-14-001152-a</x:v>
      </x:c>
      <x:c r="AA861" s="14" t="str">
        <x:v>44549133</x:v>
      </x:c>
      <x:c r="AB861" s="14" t="str">
        <x:v>2026-08-24</x:v>
      </x:c>
      <x:c r="AC861" s="14" t="str"/>
      <x:c r="AD861" s="20" t="str"/>
      <x:c r="AE861" s="14" t="str"/>
      <x:c r="AF861" s="14" t="n">
        <x:v>75</x:v>
      </x:c>
      <x:c r="AG861" s="14" t="str">
        <x:v>I1</x:v>
      </x:c>
      <x:c r="AH861" s="14" t="n">
        <x:v>8</x:v>
      </x:c>
      <x:c r="AI861" s="14" t="n">
        <x:v>0</x:v>
      </x:c>
      <x:c r="AJ861" s="18" t="n">
        <x:v>164564.1</x:v>
      </x:c>
      <x:c r="AK861" s="14" t="str">
        <x:v>https://prozorro.gov.ua/tender/UA-2026-05-14-001152-a</x:v>
      </x:c>
      <x:c r="AL861" s="19" t="n">
        <x:v>46156.2769825</x:v>
      </x:c>
      <x:c r="AM861" s="19" t="n">
        <x:v>46200</x:v>
      </x:c>
      <x:c r="AN861" s="15" t="str">
        <x:v>Внутрішні сантехнічні системи</x:v>
      </x:c>
      <x:c r="AO861" s="15" t="str">
        <x:v>not_found_in_top_search</x:v>
      </x:c>
    </x:row>
    <x:row r="862">
      <x:c r="A862" s="14" t="str">
        <x:v>W4-043</x:v>
      </x:c>
      <x:c r="B862" s="14" t="str">
        <x:v>Prozorro expansion — 24.08</x:v>
      </x:c>
      <x:c r="C862" s="14" t="str">
        <x:v>ТОВАРИСТВО З ОБМЕЖЕНОЮ ВІДПОВІДАЛЬНІСТЮ "СЕРВІСЕНЕРГОГРУП"</x:v>
      </x:c>
      <x:c r="D862" s="14" t="str">
        <x:v>Газові мережі</x:v>
      </x:c>
      <x:c r="E862" s="14" t="str">
        <x:v>Expansion discovery</x:v>
      </x:c>
      <x:c r="F862" s="17" t="str">
        <x:v>D2</x:v>
      </x:c>
      <x:c r="G862" s="14" t="str"/>
      <x:c r="H862" s="14" t="str">
        <x:v>Discovery розширення — 2 тижні</x:v>
      </x:c>
      <x:c r="I862" s="16" t="n">
        <x:v>1</x:v>
      </x:c>
      <x:c r="J862" s="16" t="n">
        <x:v>5</x:v>
      </x:c>
      <x:c r="K862" s="16" t="n">
        <x:v>5</x:v>
      </x:c>
      <x:c r="L862" s="16" t="n">
        <x:v>4</x:v>
      </x:c>
      <x:c r="M862" s="16" t="n">
        <x:v>5</x:v>
      </x:c>
      <x:c r="N862" s="16" t="n">
        <x:v>5</x:v>
      </x:c>
      <x:c r="O862" s="16" t="n">
        <x:v>3</x:v>
      </x:c>
      <x:c r="P862" s="16" t="n">
        <x:f>IF(COUNT(I862:O862)&lt;7,"",I862*8+J862*3+K862*2+L862*2+M862*2+N862*2+O862)</x:f>
        <x:v>64</x:v>
      </x:c>
      <x:c r="Q862" s="16" t="n">
        <x:f>IF(COUNT(J862:O862)&lt;6,"",J862*5+K862*4+M862*4+L862*3+N862*2+O862*2)</x:f>
        <x:v>93</x:v>
      </x:c>
      <x:c r="R862" s="14" t="str">
        <x:v>high</x:v>
      </x:c>
      <x:c r="S862" s="14" t="str">
        <x:v>official_prozorro_award_2024_2026</x:v>
      </x:c>
      <x:c r="T862" s="14" t="str">
        <x:v>official_prozorro_api</x:v>
      </x:c>
      <x:c r="U862" s="14" t="str">
        <x:v>Не контактували</x:v>
      </x:c>
      <x:c r="V862" s="15" t="str">
        <x:v>Workflow-audit outreach по UA-2026-07-28-009537-a; попросити 1 пакет здачі та вимоги проєкту</x:v>
      </x:c>
      <x:c r="W862" s="15" t="str">
        <x:v>Власник / директор; керівник ПТО; відповідальний за договори</x:v>
      </x:c>
      <x:c r="X862" s="15" t="str">
        <x:v>2 нових підтверджених перемог/договорів у Prozorro на 4 790 000 грн; 2 зі строком виконання не раніше 24.08.2026.</x:v>
      </x:c>
      <x:c r="Y862"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 строк до 2027-12-30. Попросити один знеособлений пакет здачі за цим workflow.</x:v>
      </x:c>
      <x:c r="Z862" s="15" t="str">
        <x:v>https://prozorro.gov.ua/tender/UA-2026-07-28-009537-a</x:v>
      </x:c>
      <x:c r="AA862" s="14" t="str">
        <x:v>31524371</x:v>
      </x:c>
      <x:c r="AB862" s="14" t="str">
        <x:v>2026-08-24</x:v>
      </x:c>
      <x:c r="AC862" s="14" t="str"/>
      <x:c r="AD862" s="20" t="str"/>
      <x:c r="AE862" s="14" t="str"/>
      <x:c r="AF862" s="14" t="n">
        <x:v>74</x:v>
      </x:c>
      <x:c r="AG862" s="14" t="str">
        <x:v>I2</x:v>
      </x:c>
      <x:c r="AH862" s="14" t="n">
        <x:v>2</x:v>
      </x:c>
      <x:c r="AI862" s="14" t="n">
        <x:v>2</x:v>
      </x:c>
      <x:c r="AJ862" s="18" t="n">
        <x:v>4790000</x:v>
      </x:c>
      <x:c r="AK862" s="14" t="str">
        <x:v>https://prozorro.gov.ua/tender/UA-2026-07-28-009537-a</x:v>
      </x:c>
      <x:c r="AL862" s="19" t="n">
        <x:v>46252.259784131944</x:v>
      </x:c>
      <x:c r="AM862" s="19" t="n">
        <x:v>46751</x:v>
      </x:c>
      <x:c r="AN862" s="15" t="str">
        <x:v>Газові мережі</x:v>
      </x:c>
      <x:c r="AO862" s="15" t="str">
        <x:v>not_found_in_top_search</x:v>
      </x:c>
    </x:row>
    <x:row r="863">
      <x:c r="A863" s="14" t="str">
        <x:v>W4-044</x:v>
      </x:c>
      <x:c r="B863" s="14" t="str">
        <x:v>Prozorro expansion — 24.08</x:v>
      </x:c>
      <x:c r="C863" s="14" t="str">
        <x:v>ПрАТ Уманський "Агрошляхбуд"</x:v>
      </x:c>
      <x:c r="D863" s="14" t="str">
        <x:v>Дорожні роботи</x:v>
      </x:c>
      <x:c r="E863" s="14" t="str">
        <x:v>Expansion discovery</x:v>
      </x:c>
      <x:c r="F863" s="17" t="str">
        <x:v>D2</x:v>
      </x:c>
      <x:c r="G863" s="14" t="str"/>
      <x:c r="H863" s="14" t="str">
        <x:v>Discovery розширення — 2 тижні</x:v>
      </x:c>
      <x:c r="I863" s="16" t="n">
        <x:v>1</x:v>
      </x:c>
      <x:c r="J863" s="16" t="n">
        <x:v>5</x:v>
      </x:c>
      <x:c r="K863" s="16" t="n">
        <x:v>4</x:v>
      </x:c>
      <x:c r="L863" s="16" t="n">
        <x:v>4</x:v>
      </x:c>
      <x:c r="M863" s="16" t="n">
        <x:v>5</x:v>
      </x:c>
      <x:c r="N863" s="16" t="n">
        <x:v>5</x:v>
      </x:c>
      <x:c r="O863" s="16" t="n">
        <x:v>3</x:v>
      </x:c>
      <x:c r="P863" s="16" t="n">
        <x:f>IF(COUNT(I863:O863)&lt;7,"",I863*8+J863*3+K863*2+L863*2+M863*2+N863*2+O863)</x:f>
        <x:v>62</x:v>
      </x:c>
      <x:c r="Q863" s="16" t="n">
        <x:f>IF(COUNT(J863:O863)&lt;6,"",J863*5+K863*4+M863*4+L863*3+N863*2+O863*2)</x:f>
        <x:v>89</x:v>
      </x:c>
      <x:c r="R863" s="14" t="str">
        <x:v>high</x:v>
      </x:c>
      <x:c r="S863" s="14" t="str">
        <x:v>official_prozorro_award_2024_2026</x:v>
      </x:c>
      <x:c r="T863" s="14" t="str">
        <x:v>official_prozorro_api</x:v>
      </x:c>
      <x:c r="U863" s="14" t="str">
        <x:v>Не контактували</x:v>
      </x:c>
      <x:c r="V863" s="15" t="str">
        <x:v>Workflow-audit outreach по UA-2026-07-17-007487-a; попросити 1 пакет здачі та вимоги проєкту</x:v>
      </x:c>
      <x:c r="W863" s="15" t="str">
        <x:v>Власник / директор; керівник ПТО; відповідальний за договори</x:v>
      </x:c>
      <x:c r="X863" s="15" t="str">
        <x:v>2 нових підтверджених перемог/договорів у Prozorro на 4 663 324 грн; 2 зі строком виконання не раніше 24.08.2026.</x:v>
      </x:c>
      <x:c r="Y863" s="15" t="str">
        <x:v>Капітальний ремонт дорожнього покриття по вул. Вишнева в с. Дмитрушки Уманського району Черкаської області (Коригування); строк до 2026-12-31. Попросити один знеособлений пакет здачі за цим workflow.</x:v>
      </x:c>
      <x:c r="Z863" s="15" t="str">
        <x:v>https://prozorro.gov.ua/tender/UA-2026-07-17-007487-a</x:v>
      </x:c>
      <x:c r="AA863" s="14" t="str">
        <x:v>03582422</x:v>
      </x:c>
      <x:c r="AB863" s="14" t="str">
        <x:v>2026-08-24</x:v>
      </x:c>
      <x:c r="AC863" s="14" t="str"/>
      <x:c r="AD863" s="20" t="str"/>
      <x:c r="AE863" s="14" t="str"/>
      <x:c r="AF863" s="14" t="n">
        <x:v>74</x:v>
      </x:c>
      <x:c r="AG863" s="14" t="str">
        <x:v>I2</x:v>
      </x:c>
      <x:c r="AH863" s="14" t="n">
        <x:v>2</x:v>
      </x:c>
      <x:c r="AI863" s="14" t="n">
        <x:v>2</x:v>
      </x:c>
      <x:c r="AJ863" s="18" t="n">
        <x:v>4663324.27</x:v>
      </x:c>
      <x:c r="AK863" s="14" t="str">
        <x:v>https://prozorro.gov.ua/tender/UA-2026-07-17-007487-a</x:v>
      </x:c>
      <x:c r="AL863" s="19" t="n">
        <x:v>46240.3182280787</x:v>
      </x:c>
      <x:c r="AM863" s="19" t="n">
        <x:v>46387</x:v>
      </x:c>
      <x:c r="AN863" s="15" t="str">
        <x:v>Дорожні роботи</x:v>
      </x:c>
      <x:c r="AO863" s="15" t="str">
        <x:v>not_found_in_top_search</x:v>
      </x:c>
    </x:row>
    <x:row r="864">
      <x:c r="A864" s="14" t="str">
        <x:v>W4-045</x:v>
      </x:c>
      <x:c r="B864" s="14" t="str">
        <x:v>Prozorro expansion — 24.08</x:v>
      </x:c>
      <x:c r="C864" s="14" t="str">
        <x:v>ТОВ "АСФАЛЬТ ПЛЮС"</x:v>
      </x:c>
      <x:c r="D864" s="14" t="str">
        <x:v>Дорожні роботи</x:v>
      </x:c>
      <x:c r="E864" s="14" t="str">
        <x:v>Expansion discovery</x:v>
      </x:c>
      <x:c r="F864" s="17" t="str">
        <x:v>D2</x:v>
      </x:c>
      <x:c r="G864" s="14" t="str"/>
      <x:c r="H864" s="14" t="str">
        <x:v>Discovery розширення — 2 тижні</x:v>
      </x:c>
      <x:c r="I864" s="16" t="n">
        <x:v>1</x:v>
      </x:c>
      <x:c r="J864" s="16" t="n">
        <x:v>5</x:v>
      </x:c>
      <x:c r="K864" s="16" t="n">
        <x:v>4</x:v>
      </x:c>
      <x:c r="L864" s="16" t="n">
        <x:v>4</x:v>
      </x:c>
      <x:c r="M864" s="16" t="n">
        <x:v>5</x:v>
      </x:c>
      <x:c r="N864" s="16" t="n">
        <x:v>5</x:v>
      </x:c>
      <x:c r="O864" s="16" t="n">
        <x:v>3</x:v>
      </x:c>
      <x:c r="P864" s="16" t="n">
        <x:f>IF(COUNT(I864:O864)&lt;7,"",I864*8+J864*3+K864*2+L864*2+M864*2+N864*2+O864)</x:f>
        <x:v>62</x:v>
      </x:c>
      <x:c r="Q864" s="16" t="n">
        <x:f>IF(COUNT(J864:O864)&lt;6,"",J864*5+K864*4+M864*4+L864*3+N864*2+O864*2)</x:f>
        <x:v>89</x:v>
      </x:c>
      <x:c r="R864" s="14" t="str">
        <x:v>high</x:v>
      </x:c>
      <x:c r="S864" s="14" t="str">
        <x:v>official_prozorro_award_2024_2026</x:v>
      </x:c>
      <x:c r="T864" s="14" t="str">
        <x:v>official_prozorro_api</x:v>
      </x:c>
      <x:c r="U864" s="14" t="str">
        <x:v>Не контактували</x:v>
      </x:c>
      <x:c r="V864" s="15" t="str">
        <x:v>Workflow-audit outreach по UA-2026-06-17-013679-a; попросити 1 пакет здачі та вимоги проєкту</x:v>
      </x:c>
      <x:c r="W864" s="15" t="str">
        <x:v>Власник / директор; керівник ПТО; відповідальний за договори</x:v>
      </x:c>
      <x:c r="X864" s="15" t="str">
        <x:v>2 нових підтверджених перемог/договорів у Prozorro на 4 626 947 грн; 2 зі строком виконання не раніше 24.08.2026.</x:v>
      </x:c>
      <x:c r="Y864" s="15" t="str">
        <x:v>Капітальний ремонт дорожнього покриття пров. Дмитра Пилипчука в с. Глибочиця Житомирського району Житомирської області; строк до 2026-11-30. Попросити один знеособлений пакет здачі за цим workflow.</x:v>
      </x:c>
      <x:c r="Z864" s="15" t="str">
        <x:v>https://prozorro.gov.ua/tender/UA-2026-06-17-013679-a</x:v>
      </x:c>
      <x:c r="AA864" s="14" t="str">
        <x:v>41198416</x:v>
      </x:c>
      <x:c r="AB864" s="14" t="str">
        <x:v>2026-08-24</x:v>
      </x:c>
      <x:c r="AC864" s="14" t="str"/>
      <x:c r="AD864" s="20" t="str"/>
      <x:c r="AE864" s="14" t="str"/>
      <x:c r="AF864" s="14" t="n">
        <x:v>74</x:v>
      </x:c>
      <x:c r="AG864" s="14" t="str">
        <x:v>I2</x:v>
      </x:c>
      <x:c r="AH864" s="14" t="n">
        <x:v>2</x:v>
      </x:c>
      <x:c r="AI864" s="14" t="n">
        <x:v>2</x:v>
      </x:c>
      <x:c r="AJ864" s="18" t="n">
        <x:v>4626947.17</x:v>
      </x:c>
      <x:c r="AK864" s="14" t="str">
        <x:v>https://prozorro.gov.ua/tender/UA-2026-06-17-013679-a</x:v>
      </x:c>
      <x:c r="AL864" s="19" t="n">
        <x:v>46213.350110520834</x:v>
      </x:c>
      <x:c r="AM864" s="19" t="n">
        <x:v>46356</x:v>
      </x:c>
      <x:c r="AN864" s="15" t="str">
        <x:v>Дорожні роботи</x:v>
      </x:c>
      <x:c r="AO864" s="15" t="str">
        <x:v>not_found_in_top_search</x:v>
      </x:c>
    </x:row>
    <x:row r="865">
      <x:c r="A865" s="14" t="str">
        <x:v>W4-046</x:v>
      </x:c>
      <x:c r="B865" s="14" t="str">
        <x:v>Prozorro expansion — 24.08</x:v>
      </x:c>
      <x:c r="C865" s="14" t="str">
        <x:v>ТОВ «2ВКОМ»</x:v>
      </x:c>
      <x:c r="D865" s="14" t="str">
        <x:v>СКС / BMS / слаботочка</x:v>
      </x:c>
      <x:c r="E865" s="14" t="str">
        <x:v>Expansion discovery</x:v>
      </x:c>
      <x:c r="F865" s="17" t="str">
        <x:v>D2</x:v>
      </x:c>
      <x:c r="G865" s="14" t="str"/>
      <x:c r="H865" s="14" t="str">
        <x:v>Discovery розширення — 2 тижні</x:v>
      </x:c>
      <x:c r="I865" s="16" t="n">
        <x:v>2</x:v>
      </x:c>
      <x:c r="J865" s="16" t="n">
        <x:v>5</x:v>
      </x:c>
      <x:c r="K865" s="16" t="n">
        <x:v>4</x:v>
      </x:c>
      <x:c r="L865" s="16" t="n">
        <x:v>4</x:v>
      </x:c>
      <x:c r="M865" s="16" t="n">
        <x:v>5</x:v>
      </x:c>
      <x:c r="N865" s="16" t="n">
        <x:v>5</x:v>
      </x:c>
      <x:c r="O865" s="16" t="n">
        <x:v>3</x:v>
      </x:c>
      <x:c r="P865" s="16" t="n">
        <x:f>IF(COUNT(I865:O865)&lt;7,"",I865*8+J865*3+K865*2+L865*2+M865*2+N865*2+O865)</x:f>
        <x:v>70</x:v>
      </x:c>
      <x:c r="Q865" s="16" t="n">
        <x:f>IF(COUNT(J865:O865)&lt;6,"",J865*5+K865*4+M865*4+L865*3+N865*2+O865*2)</x:f>
        <x:v>89</x:v>
      </x:c>
      <x:c r="R865" s="14" t="str">
        <x:v>high</x:v>
      </x:c>
      <x:c r="S865" s="14" t="str">
        <x:v>official_prozorro_award_2024_2026</x:v>
      </x:c>
      <x:c r="T865" s="14" t="str">
        <x:v>official_prozorro_api</x:v>
      </x:c>
      <x:c r="U865" s="14" t="str">
        <x:v>Не контактували</x:v>
      </x:c>
      <x:c r="V865" s="15" t="str">
        <x:v>Workflow-audit outreach по UA-2026-07-20-010471-a; попросити 1 пакет здачі та вимоги проєкту</x:v>
      </x:c>
      <x:c r="W865" s="15" t="str">
        <x:v>Власник / директор; керівник ПТО; відповідальний за договори</x:v>
      </x:c>
      <x:c r="X865" s="15" t="str">
        <x:v>2 нових підтверджених перемог/договорів у Prozorro на 2 886 004 грн; 1 зі строком виконання не раніше 24.08.2026.</x:v>
      </x:c>
      <x:c r="Y865" s="15" t="str">
        <x:v>Послуги з монтажу/демонтажу структурованих кабельних систем (резервний постачальник) (ID тендера на "tender.privatbank.ua":PB-2026-05-19-3069701)  (Звіт про укладення договору); строк до 2027-07-13. Попросити один знеособлений пакет здачі за цим workflow.</x:v>
      </x:c>
      <x:c r="Z865" s="15" t="str">
        <x:v>https://prozorro.gov.ua/tender/UA-2026-07-20-010471-a</x:v>
      </x:c>
      <x:c r="AA865" s="14" t="str">
        <x:v>44486283</x:v>
      </x:c>
      <x:c r="AB865" s="14" t="str">
        <x:v>2026-08-24</x:v>
      </x:c>
      <x:c r="AC865" s="14" t="str"/>
      <x:c r="AD865" s="20" t="str"/>
      <x:c r="AE865" s="14" t="str"/>
      <x:c r="AF865" s="14" t="n">
        <x:v>74</x:v>
      </x:c>
      <x:c r="AG865" s="14" t="str">
        <x:v>I2</x:v>
      </x:c>
      <x:c r="AH865" s="14" t="n">
        <x:v>2</x:v>
      </x:c>
      <x:c r="AI865" s="14" t="n">
        <x:v>1</x:v>
      </x:c>
      <x:c r="AJ865" s="18" t="n">
        <x:v>2886004</x:v>
      </x:c>
      <x:c r="AK865" s="14" t="str">
        <x:v>https://prozorro.gov.ua/tender/UA-2026-07-20-010471-a</x:v>
      </x:c>
      <x:c r="AL865" s="19" t="n">
        <x:v>46223.591051261574</x:v>
      </x:c>
      <x:c r="AM865" s="19" t="n">
        <x:v>46581</x:v>
      </x:c>
      <x:c r="AN865" s="15" t="str">
        <x:v>СКС / BMS / слаботочка</x:v>
      </x:c>
      <x:c r="AO865" s="15" t="str">
        <x:v>not_found_in_top_search</x:v>
      </x:c>
    </x:row>
    <x:row r="866">
      <x:c r="A866" s="14" t="str">
        <x:v>W4-047</x:v>
      </x:c>
      <x:c r="B866" s="14" t="str">
        <x:v>Prozorro expansion — 24.08</x:v>
      </x:c>
      <x:c r="C866" s="14" t="str">
        <x:v>ТОВАРИСТВО З ОБМЕЖЕНОЮ ВІДПОВІДАЛЬНІСТЮ "ТЕПЛОСПЕЦСЕРВІС"</x:v>
      </x:c>
      <x:c r="D866" s="14" t="str">
        <x:v>Внутрішні сантехнічні системи</x:v>
      </x:c>
      <x:c r="E866" s="14" t="str">
        <x:v>Pilot now</x:v>
      </x:c>
      <x:c r="F866" s="17" t="str">
        <x:v>P2</x:v>
      </x:c>
      <x:c r="G866" s="14" t="str"/>
      <x:c r="H866" s="14" t="str">
        <x:v>Пілот зараз — Н.14</x:v>
      </x:c>
      <x:c r="I866" s="16" t="n">
        <x:v>5</x:v>
      </x:c>
      <x:c r="J866" s="16" t="n">
        <x:v>5</x:v>
      </x:c>
      <x:c r="K866" s="16" t="n">
        <x:v>4</x:v>
      </x:c>
      <x:c r="L866" s="16" t="n">
        <x:v>3</x:v>
      </x:c>
      <x:c r="M866" s="16" t="n">
        <x:v>5</x:v>
      </x:c>
      <x:c r="N866" s="16" t="n">
        <x:v>5</x:v>
      </x:c>
      <x:c r="O866" s="16" t="n">
        <x:v>3</x:v>
      </x:c>
      <x:c r="P866" s="16" t="n">
        <x:f>IF(COUNT(I866:O866)&lt;7,"",I866*8+J866*3+K866*2+L866*2+M866*2+N866*2+O866)</x:f>
        <x:v>92</x:v>
      </x:c>
      <x:c r="Q866" s="16" t="n">
        <x:f>IF(COUNT(J866:O866)&lt;6,"",J866*5+K866*4+M866*4+L866*3+N866*2+O866*2)</x:f>
        <x:v>86</x:v>
      </x:c>
      <x:c r="R866" s="14" t="str">
        <x:v>high</x:v>
      </x:c>
      <x:c r="S866" s="14" t="str">
        <x:v>official_prozorro_award_2024_2026</x:v>
      </x:c>
      <x:c r="T866" s="14" t="str">
        <x:v>official_prozorro_api</x:v>
      </x:c>
      <x:c r="U866" s="14" t="str">
        <x:v>Не контактували</x:v>
      </x:c>
      <x:c r="V866" s="15" t="str">
        <x:v>Персоналізований free-pilot outreach по UA-2026-05-29-002929-a; попросити 1 пакет Н.14/Н.15</x:v>
      </x:c>
      <x:c r="W866" s="15" t="str">
        <x:v>Власник / директор; керівник ПТО; відповідальний за договори</x:v>
      </x:c>
      <x:c r="X866" s="15" t="str">
        <x:v>3 нових підтверджених перемог/договорів у Prozorro на 1 233 242 грн; 0 зі строком виконання не раніше 24.08.2026.</x:v>
      </x:c>
      <x:c r="Y866"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 строк до 2026-07-01. Попросити один знеособлений пакет здачі за цим workflow.</x:v>
      </x:c>
      <x:c r="Z866" s="15" t="str">
        <x:v>https://prozorro.gov.ua/tender/UA-2026-05-29-002929-a</x:v>
      </x:c>
      <x:c r="AA866" s="14" t="str">
        <x:v>40171972</x:v>
      </x:c>
      <x:c r="AB866" s="14" t="str">
        <x:v>2026-08-24</x:v>
      </x:c>
      <x:c r="AC866" s="14" t="str"/>
      <x:c r="AD866" s="20" t="str"/>
      <x:c r="AE866" s="14" t="str"/>
      <x:c r="AF866" s="14" t="n">
        <x:v>74</x:v>
      </x:c>
      <x:c r="AG866" s="14" t="str">
        <x:v>I2</x:v>
      </x:c>
      <x:c r="AH866" s="14" t="n">
        <x:v>3</x:v>
      </x:c>
      <x:c r="AI866" s="14" t="n">
        <x:v>0</x:v>
      </x:c>
      <x:c r="AJ866" s="18" t="n">
        <x:v>1233242.4</x:v>
      </x:c>
      <x:c r="AK866" s="14" t="str">
        <x:v>https://prozorro.gov.ua/tender/UA-2026-05-29-002929-a</x:v>
      </x:c>
      <x:c r="AL866" s="19" t="n">
        <x:v>46171.340794930555</x:v>
      </x:c>
      <x:c r="AM866" s="19" t="n">
        <x:v>46204</x:v>
      </x:c>
      <x:c r="AN866" s="15" t="str">
        <x:v>Внутрішні сантехнічні системи</x:v>
      </x:c>
      <x:c r="AO866" s="15" t="str">
        <x:v>not_found_in_top_search</x:v>
      </x:c>
    </x:row>
    <x:row r="867">
      <x:c r="A867" s="14" t="str">
        <x:v>W4-048</x:v>
      </x:c>
      <x:c r="B867" s="14" t="str">
        <x:v>Prozorro expansion — 24.08</x:v>
      </x:c>
      <x:c r="C867" s="14" t="str">
        <x:v>ТОВ "Українські технологічні продукти"</x:v>
      </x:c>
      <x:c r="D867" s="14" t="str">
        <x:v>Електромонтаж</x:v>
      </x:c>
      <x:c r="E867" s="14" t="str">
        <x:v>Pilot now</x:v>
      </x:c>
      <x:c r="F867" s="17" t="str">
        <x:v>P2</x:v>
      </x:c>
      <x:c r="G867" s="14" t="str"/>
      <x:c r="H867" s="14" t="str">
        <x:v>Пілот зараз — Н.15</x:v>
      </x:c>
      <x:c r="I867" s="16" t="n">
        <x:v>5</x:v>
      </x:c>
      <x:c r="J867" s="16" t="n">
        <x:v>5</x:v>
      </x:c>
      <x:c r="K867" s="16" t="n">
        <x:v>4</x:v>
      </x:c>
      <x:c r="L867" s="16" t="n">
        <x:v>3</x:v>
      </x:c>
      <x:c r="M867" s="16" t="n">
        <x:v>5</x:v>
      </x:c>
      <x:c r="N867" s="16" t="n">
        <x:v>5</x:v>
      </x:c>
      <x:c r="O867" s="16" t="n">
        <x:v>3</x:v>
      </x:c>
      <x:c r="P867" s="16" t="n">
        <x:f>IF(COUNT(I867:O867)&lt;7,"",I867*8+J867*3+K867*2+L867*2+M867*2+N867*2+O867)</x:f>
        <x:v>92</x:v>
      </x:c>
      <x:c r="Q867" s="16" t="n">
        <x:f>IF(COUNT(J867:O867)&lt;6,"",J867*5+K867*4+M867*4+L867*3+N867*2+O867*2)</x:f>
        <x:v>86</x:v>
      </x:c>
      <x:c r="R867" s="14" t="str">
        <x:v>high</x:v>
      </x:c>
      <x:c r="S867" s="14" t="str">
        <x:v>official_prozorro_award_2024_2026</x:v>
      </x:c>
      <x:c r="T867" s="14" t="str">
        <x:v>official_prozorro_api</x:v>
      </x:c>
      <x:c r="U867" s="14" t="str">
        <x:v>Не контактували</x:v>
      </x:c>
      <x:c r="V867" s="15" t="str">
        <x:v>Персоналізований free-pilot outreach по UA-2026-07-16-001234-a; попросити 1 пакет Н.14/Н.15</x:v>
      </x:c>
      <x:c r="W867" s="15" t="str">
        <x:v>Власник / директор; керівник ПТО; відповідальний за договори</x:v>
      </x:c>
      <x:c r="X867" s="15" t="str">
        <x:v>2 нових підтверджених перемог/договорів у Prozorro на 808 220 грн; 2 зі строком виконання не раніше 24.08.2026.</x:v>
      </x:c>
      <x:c r="Y867" s="15" t="str">
        <x:v>Електромонтажні роботи; строк до 2026-12-31. Попросити один знеособлений пакет здачі за цим workflow.</x:v>
      </x:c>
      <x:c r="Z867" s="15" t="str">
        <x:v>https://prozorro.gov.ua/tender/UA-2026-07-16-001234-a</x:v>
      </x:c>
      <x:c r="AA867" s="14" t="str">
        <x:v>25498828</x:v>
      </x:c>
      <x:c r="AB867" s="14" t="str">
        <x:v>2026-08-24</x:v>
      </x:c>
      <x:c r="AC867" s="14" t="str"/>
      <x:c r="AD867" s="20" t="str"/>
      <x:c r="AE867" s="14" t="str"/>
      <x:c r="AF867" s="14" t="n">
        <x:v>73</x:v>
      </x:c>
      <x:c r="AG867" s="14" t="str">
        <x:v>I2</x:v>
      </x:c>
      <x:c r="AH867" s="14" t="n">
        <x:v>2</x:v>
      </x:c>
      <x:c r="AI867" s="14" t="n">
        <x:v>2</x:v>
      </x:c>
      <x:c r="AJ867" s="18" t="n">
        <x:v>808220</x:v>
      </x:c>
      <x:c r="AK867" s="14" t="str">
        <x:v>https://prozorro.gov.ua/tender/UA-2026-07-16-001234-a</x:v>
      </x:c>
      <x:c r="AL867" s="19" t="n">
        <x:v>46219.289856006944</x:v>
      </x:c>
      <x:c r="AM867" s="19" t="n">
        <x:v>46387</x:v>
      </x:c>
      <x:c r="AN867" s="15" t="str">
        <x:v>Електромонтаж; Пожежогасіння</x:v>
      </x:c>
      <x:c r="AO867" s="15" t="str">
        <x:v>not_found_in_top_search</x:v>
      </x:c>
    </x:row>
    <x:row r="868">
      <x:c r="A868" s="14" t="str">
        <x:v>W4-049</x:v>
      </x:c>
      <x:c r="B868" s="14" t="str">
        <x:v>Prozorro expansion — 24.08</x:v>
      </x:c>
      <x:c r="C868" s="14" t="str">
        <x:v>ТОВ "СІД-АВТОМАТИКА"</x:v>
      </x:c>
      <x:c r="D868" s="14" t="str">
        <x:v>Газові мережі</x:v>
      </x:c>
      <x:c r="E868" s="14" t="str">
        <x:v>Expansion discovery</x:v>
      </x:c>
      <x:c r="F868" s="17" t="str">
        <x:v>D2</x:v>
      </x:c>
      <x:c r="G868" s="14" t="str"/>
      <x:c r="H868" s="14" t="str">
        <x:v>Discovery розширення — 2 тижні</x:v>
      </x:c>
      <x:c r="I868" s="16" t="n">
        <x:v>1</x:v>
      </x:c>
      <x:c r="J868" s="16" t="n">
        <x:v>5</x:v>
      </x:c>
      <x:c r="K868" s="16" t="n">
        <x:v>5</x:v>
      </x:c>
      <x:c r="L868" s="16" t="n">
        <x:v>5</x:v>
      </x:c>
      <x:c r="M868" s="16" t="n">
        <x:v>5</x:v>
      </x:c>
      <x:c r="N868" s="16" t="n">
        <x:v>5</x:v>
      </x:c>
      <x:c r="O868" s="16" t="n">
        <x:v>3</x:v>
      </x:c>
      <x:c r="P868" s="16" t="n">
        <x:f>IF(COUNT(I868:O868)&lt;7,"",I868*8+J868*3+K868*2+L868*2+M868*2+N868*2+O868)</x:f>
        <x:v>66</x:v>
      </x:c>
      <x:c r="Q868" s="16" t="n">
        <x:f>IF(COUNT(J868:O868)&lt;6,"",J868*5+K868*4+M868*4+L868*3+N868*2+O868*2)</x:f>
        <x:v>96</x:v>
      </x:c>
      <x:c r="R868" s="14" t="str">
        <x:v>high</x:v>
      </x:c>
      <x:c r="S868" s="14" t="str">
        <x:v>official_prozorro_award_2024_2026</x:v>
      </x:c>
      <x:c r="T868" s="14" t="str">
        <x:v>official_prozorro_api</x:v>
      </x:c>
      <x:c r="U868" s="14" t="str">
        <x:v>Не контактували</x:v>
      </x:c>
      <x:c r="V868" s="15" t="str">
        <x:v>Workflow-audit outreach по UA-2026-02-25-011863-a; попросити 1 пакет здачі та вимоги проєкту</x:v>
      </x:c>
      <x:c r="W868" s="15" t="str">
        <x:v>Власник / директор; керівник ПТО; відповідальний за договори</x:v>
      </x:c>
      <x:c r="X868" s="15" t="str">
        <x:v>2 нових підтверджених перемог/договорів у Prozorro на 427 740 909 грн; 2 зі строком виконання не раніше 24.08.2026.</x:v>
      </x:c>
      <x:c r="Y868"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 строк до 2028-06-24. Попросити один знеособлений пакет здачі за цим workflow.</x:v>
      </x:c>
      <x:c r="Z868" s="15" t="str">
        <x:v>https://prozorro.gov.ua/tender/UA-2026-02-25-011863-a</x:v>
      </x:c>
      <x:c r="AA868" s="14" t="str">
        <x:v>37002951</x:v>
      </x:c>
      <x:c r="AB868" s="14" t="str">
        <x:v>2026-08-24</x:v>
      </x:c>
      <x:c r="AC868" s="14" t="str"/>
      <x:c r="AD868" s="20" t="str"/>
      <x:c r="AE868" s="14" t="str"/>
      <x:c r="AF868" s="14" t="n">
        <x:v>72</x:v>
      </x:c>
      <x:c r="AG868" s="14" t="str">
        <x:v>I2</x:v>
      </x:c>
      <x:c r="AH868" s="14" t="n">
        <x:v>2</x:v>
      </x:c>
      <x:c r="AI868" s="14" t="n">
        <x:v>2</x:v>
      </x:c>
      <x:c r="AJ868" s="18" t="n">
        <x:v>427740909.2</x:v>
      </x:c>
      <x:c r="AK868" s="14" t="str">
        <x:v>https://prozorro.gov.ua/tender/UA-2026-02-25-011863-a</x:v>
      </x:c>
      <x:c r="AL868" s="19" t="n">
        <x:v>46139.310971099534</x:v>
      </x:c>
      <x:c r="AM868" s="19" t="n">
        <x:v>46928</x:v>
      </x:c>
      <x:c r="AN868" s="15" t="str">
        <x:v>Газові мережі</x:v>
      </x:c>
      <x:c r="AO868" s="15" t="str">
        <x:v>not_found_in_top_search</x:v>
      </x:c>
    </x:row>
    <x:row r="869">
      <x:c r="A869" s="14" t="str">
        <x:v>W4-050</x:v>
      </x:c>
      <x:c r="B869" s="14" t="str">
        <x:v>Prozorro expansion — 24.08</x:v>
      </x:c>
      <x:c r="C869" s="14" t="str">
        <x:v>Консорціум «РЕНЕСАНС УКРАЇНА»</x:v>
      </x:c>
      <x:c r="D869" s="14" t="str">
        <x:v>Підстанції / силові мережі</x:v>
      </x:c>
      <x:c r="E869" s="14" t="str">
        <x:v>Pilot now</x:v>
      </x:c>
      <x:c r="F869" s="17" t="str">
        <x:v>P2</x:v>
      </x:c>
      <x:c r="G869" s="14" t="str"/>
      <x:c r="H869" s="14" t="str">
        <x:v>Пілот зараз — Н.15 subset</x:v>
      </x:c>
      <x:c r="I869" s="16" t="n">
        <x:v>4</x:v>
      </x:c>
      <x:c r="J869" s="16" t="n">
        <x:v>5</x:v>
      </x:c>
      <x:c r="K869" s="16" t="n">
        <x:v>5</x:v>
      </x:c>
      <x:c r="L869" s="16" t="n">
        <x:v>5</x:v>
      </x:c>
      <x:c r="M869" s="16" t="n">
        <x:v>5</x:v>
      </x:c>
      <x:c r="N869" s="16" t="n">
        <x:v>5</x:v>
      </x:c>
      <x:c r="O869" s="16" t="n">
        <x:v>3</x:v>
      </x:c>
      <x:c r="P869" s="16" t="n">
        <x:f>IF(COUNT(I869:O869)&lt;7,"",I869*8+J869*3+K869*2+L869*2+M869*2+N869*2+O869)</x:f>
        <x:v>90</x:v>
      </x:c>
      <x:c r="Q869" s="16" t="n">
        <x:f>IF(COUNT(J869:O869)&lt;6,"",J869*5+K869*4+M869*4+L869*3+N869*2+O869*2)</x:f>
        <x:v>96</x:v>
      </x:c>
      <x:c r="R869" s="14" t="str">
        <x:v>high</x:v>
      </x:c>
      <x:c r="S869" s="14" t="str">
        <x:v>official_prozorro_award_2024_2026</x:v>
      </x:c>
      <x:c r="T869" s="14" t="str">
        <x:v>official_prozorro_api</x:v>
      </x:c>
      <x:c r="U869" s="14" t="str">
        <x:v>Не контактували</x:v>
      </x:c>
      <x:c r="V869" s="15" t="str">
        <x:v>Персоналізований free-pilot outreach по UA-2026-05-01-007791-a; попросити 1 пакет Н.14/Н.15</x:v>
      </x:c>
      <x:c r="W869" s="15" t="str">
        <x:v>Власник / директор; керівник ПТО; відповідальний за договори</x:v>
      </x:c>
      <x:c r="X869" s="15" t="str">
        <x:v>2 нових підтверджених перемог/договорів у Prozorro на 150 765 381 грн; 2 зі строком виконання не раніше 24.08.2026.</x:v>
      </x:c>
      <x:c r="Y869"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869" s="15" t="str">
        <x:v>https://prozorro.gov.ua/tender/UA-2026-05-01-007791-a</x:v>
      </x:c>
      <x:c r="AA869" s="14" t="str">
        <x:v>45823902</x:v>
      </x:c>
      <x:c r="AB869" s="14" t="str">
        <x:v>2026-08-24</x:v>
      </x:c>
      <x:c r="AC869" s="14" t="str"/>
      <x:c r="AD869" s="20" t="str"/>
      <x:c r="AE869" s="14" t="str"/>
      <x:c r="AF869" s="14" t="n">
        <x:v>72</x:v>
      </x:c>
      <x:c r="AG869" s="14" t="str">
        <x:v>I2</x:v>
      </x:c>
      <x:c r="AH869" s="14" t="n">
        <x:v>2</x:v>
      </x:c>
      <x:c r="AI869" s="14" t="n">
        <x:v>2</x:v>
      </x:c>
      <x:c r="AJ869" s="18" t="n">
        <x:v>150765380.66</x:v>
      </x:c>
      <x:c r="AK869" s="14" t="str">
        <x:v>https://prozorro.gov.ua/tender/UA-2026-05-01-007791-a</x:v>
      </x:c>
      <x:c r="AL869" s="19" t="n">
        <x:v>46143.473261377316</x:v>
      </x:c>
      <x:c r="AM869" s="19" t="n">
        <x:v>46752.50622685185</x:v>
      </x:c>
      <x:c r="AN869" s="15" t="str">
        <x:v>Підстанції / силові мережі</x:v>
      </x:c>
      <x:c r="AO869" s="15" t="str">
        <x:v>not_found_in_top_search</x:v>
      </x:c>
    </x:row>
    <x:row r="870">
      <x:c r="A870" s="14" t="str">
        <x:v>W4-051</x:v>
      </x:c>
      <x:c r="B870" s="14" t="str">
        <x:v>Prozorro expansion — 24.08</x:v>
      </x:c>
      <x:c r="C870" s="14" t="str">
        <x:v>ТОВАРИСТВО З ОБМЕЖЕНОЮ ВІДПОВІДАЛЬНІСТЮ «ФІРМА «МЖК-СЕРВІС»</x:v>
      </x:c>
      <x:c r="D870" s="14" t="str">
        <x:v>Підстанції / силові мережі</x:v>
      </x:c>
      <x:c r="E870" s="14" t="str">
        <x:v>Pilot now</x:v>
      </x:c>
      <x:c r="F870" s="17" t="str">
        <x:v>P2</x:v>
      </x:c>
      <x:c r="G870" s="14" t="str"/>
      <x:c r="H870" s="14" t="str">
        <x:v>Пілот зараз — Н.15 subset</x:v>
      </x:c>
      <x:c r="I870" s="16" t="n">
        <x:v>4</x:v>
      </x:c>
      <x:c r="J870" s="16" t="n">
        <x:v>5</x:v>
      </x:c>
      <x:c r="K870" s="16" t="n">
        <x:v>5</x:v>
      </x:c>
      <x:c r="L870" s="16" t="n">
        <x:v>5</x:v>
      </x:c>
      <x:c r="M870" s="16" t="n">
        <x:v>5</x:v>
      </x:c>
      <x:c r="N870" s="16" t="n">
        <x:v>5</x:v>
      </x:c>
      <x:c r="O870" s="16" t="n">
        <x:v>3</x:v>
      </x:c>
      <x:c r="P870" s="16" t="n">
        <x:f>IF(COUNT(I870:O870)&lt;7,"",I870*8+J870*3+K870*2+L870*2+M870*2+N870*2+O870)</x:f>
        <x:v>90</x:v>
      </x:c>
      <x:c r="Q870" s="16" t="n">
        <x:f>IF(COUNT(J870:O870)&lt;6,"",J870*5+K870*4+M870*4+L870*3+N870*2+O870*2)</x:f>
        <x:v>96</x:v>
      </x:c>
      <x:c r="R870" s="14" t="str">
        <x:v>high</x:v>
      </x:c>
      <x:c r="S870" s="14" t="str">
        <x:v>official_prozorro_award_2024_2026</x:v>
      </x:c>
      <x:c r="T870" s="14" t="str">
        <x:v>official_prozorro_api</x:v>
      </x:c>
      <x:c r="U870" s="14" t="str">
        <x:v>Не контактували</x:v>
      </x:c>
      <x:c r="V870" s="15" t="str">
        <x:v>Персоналізований free-pilot outreach по UA-2026-05-01-009896-a; попросити 1 пакет Н.14/Н.15</x:v>
      </x:c>
      <x:c r="W870" s="15" t="str">
        <x:v>Власник / директор; керівник ПТО; відповідальний за договори</x:v>
      </x:c>
      <x:c r="X870" s="15" t="str">
        <x:v>2 нових підтверджених перемог/договорів у Prozorro на 143 991 261 грн; 2 зі строком виконання не раніше 24.08.2026.</x:v>
      </x:c>
      <x:c r="Y870"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70" s="15" t="str">
        <x:v>https://prozorro.gov.ua/tender/UA-2026-05-01-009896-a</x:v>
      </x:c>
      <x:c r="AA870" s="14" t="str">
        <x:v>14239928</x:v>
      </x:c>
      <x:c r="AB870" s="14" t="str">
        <x:v>2026-08-24</x:v>
      </x:c>
      <x:c r="AC870" s="14" t="str"/>
      <x:c r="AD870" s="20" t="str"/>
      <x:c r="AE870" s="14" t="str"/>
      <x:c r="AF870" s="14" t="n">
        <x:v>72</x:v>
      </x:c>
      <x:c r="AG870" s="14" t="str">
        <x:v>I2</x:v>
      </x:c>
      <x:c r="AH870" s="14" t="n">
        <x:v>2</x:v>
      </x:c>
      <x:c r="AI870" s="14" t="n">
        <x:v>2</x:v>
      </x:c>
      <x:c r="AJ870" s="18" t="n">
        <x:v>143991260.62</x:v>
      </x:c>
      <x:c r="AK870" s="14" t="str">
        <x:v>https://prozorro.gov.ua/tender/UA-2026-05-01-009896-a</x:v>
      </x:c>
      <x:c r="AL870" s="19" t="n">
        <x:v>46143.52077792824</x:v>
      </x:c>
      <x:c r="AM870" s="19" t="n">
        <x:v>46752.563564814816</x:v>
      </x:c>
      <x:c r="AN870" s="15" t="str">
        <x:v>Підстанції / силові мережі</x:v>
      </x:c>
      <x:c r="AO870" s="15" t="str">
        <x:v>not_found_in_top_search</x:v>
      </x:c>
    </x:row>
    <x:row r="871">
      <x:c r="A871" s="14" t="str">
        <x:v>W4-052</x:v>
      </x:c>
      <x:c r="B871" s="14" t="str">
        <x:v>Prozorro expansion — 24.08</x:v>
      </x:c>
      <x:c r="C871" s="14" t="str">
        <x:v>Комунальне підприємство "Комплекс з експлуатації об`єктів водозниження і зливової каналізації"</x:v>
      </x:c>
      <x:c r="D871" s="14" t="str">
        <x:v>Зливова каналізація / дренаж</x:v>
      </x:c>
      <x:c r="E871" s="14" t="str">
        <x:v>Expansion discovery</x:v>
      </x:c>
      <x:c r="F871" s="17" t="str">
        <x:v>D2</x:v>
      </x:c>
      <x:c r="G871" s="14" t="str"/>
      <x:c r="H871" s="14" t="str">
        <x:v>Discovery розширення — 2 тижні</x:v>
      </x:c>
      <x:c r="I871" s="16" t="n">
        <x:v>1</x:v>
      </x:c>
      <x:c r="J871" s="16" t="n">
        <x:v>5</x:v>
      </x:c>
      <x:c r="K871" s="16" t="n">
        <x:v>5</x:v>
      </x:c>
      <x:c r="L871" s="16" t="n">
        <x:v>5</x:v>
      </x:c>
      <x:c r="M871" s="16" t="n">
        <x:v>5</x:v>
      </x:c>
      <x:c r="N871" s="16" t="n">
        <x:v>5</x:v>
      </x:c>
      <x:c r="O871" s="16" t="n">
        <x:v>3</x:v>
      </x:c>
      <x:c r="P871" s="16" t="n">
        <x:f>IF(COUNT(I871:O871)&lt;7,"",I871*8+J871*3+K871*2+L871*2+M871*2+N871*2+O871)</x:f>
        <x:v>66</x:v>
      </x:c>
      <x:c r="Q871" s="16" t="n">
        <x:f>IF(COUNT(J871:O871)&lt;6,"",J871*5+K871*4+M871*4+L871*3+N871*2+O871*2)</x:f>
        <x:v>96</x:v>
      </x:c>
      <x:c r="R871" s="14" t="str">
        <x:v>high</x:v>
      </x:c>
      <x:c r="S871" s="14" t="str">
        <x:v>official_prozorro_award_2024_2026</x:v>
      </x:c>
      <x:c r="T871" s="14" t="str">
        <x:v>official_prozorro_api</x:v>
      </x:c>
      <x:c r="U871" s="14" t="str">
        <x:v>Не контактували</x:v>
      </x:c>
      <x:c r="V871" s="15" t="str">
        <x:v>Workflow-audit outreach по UA-2026-05-15-003630-a; попросити 1 пакет здачі та вимоги проєкту</x:v>
      </x:c>
      <x:c r="W871" s="15" t="str">
        <x:v>Власник / директор; керівник ПТО; відповідальний за договори</x:v>
      </x:c>
      <x:c r="X871" s="15" t="str">
        <x:v>2 нових підтверджених перемог/договорів у Prozorro на 57 653 914 грн; 2 зі строком виконання не раніше 24.08.2026.</x:v>
      </x:c>
      <x:c r="Y871"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 строк до 2027-12-31. Попросити один знеособлений пакет здачі за цим workflow.</x:v>
      </x:c>
      <x:c r="Z871" s="15" t="str">
        <x:v>https://prozorro.gov.ua/tender/UA-2026-05-15-003630-a</x:v>
      </x:c>
      <x:c r="AA871" s="14" t="str">
        <x:v>34953769</x:v>
      </x:c>
      <x:c r="AB871" s="14" t="str">
        <x:v>2026-08-24</x:v>
      </x:c>
      <x:c r="AC871" s="14" t="str"/>
      <x:c r="AD871" s="20" t="str"/>
      <x:c r="AE871" s="14" t="str"/>
      <x:c r="AF871" s="14" t="n">
        <x:v>72</x:v>
      </x:c>
      <x:c r="AG871" s="14" t="str">
        <x:v>I2</x:v>
      </x:c>
      <x:c r="AH871" s="14" t="n">
        <x:v>2</x:v>
      </x:c>
      <x:c r="AI871" s="14" t="n">
        <x:v>2</x:v>
      </x:c>
      <x:c r="AJ871" s="18" t="n">
        <x:v>57653913.6</x:v>
      </x:c>
      <x:c r="AK871" s="14" t="str">
        <x:v>https://prozorro.gov.ua/tender/UA-2026-05-15-003630-a</x:v>
      </x:c>
      <x:c r="AL871" s="19" t="n">
        <x:v>46175.46733432871</x:v>
      </x:c>
      <x:c r="AM871" s="19" t="n">
        <x:v>46752.916655092595</x:v>
      </x:c>
      <x:c r="AN871" s="15" t="str">
        <x:v>Зливова каналізація / дренаж</x:v>
      </x:c>
      <x:c r="AO871" s="15" t="str">
        <x:v>not_found_in_top_search</x:v>
      </x:c>
    </x:row>
    <x:row r="872">
      <x:c r="A872" s="14" t="str">
        <x:v>W4-053</x:v>
      </x:c>
      <x:c r="B872" s="14" t="str">
        <x:v>Prozorro expansion — 24.08</x:v>
      </x:c>
      <x:c r="C872" s="14" t="str">
        <x:v>ТОВАРИСТВО З ОБМЕЖЕНОЮ ВІДПОВІДАЛЬНІСТЮ "СПЕЦБУД-3 ЛТД"</x:v>
      </x:c>
      <x:c r="D872" s="14" t="str">
        <x:v>Теплові мережі</x:v>
      </x:c>
      <x:c r="E872" s="14" t="str">
        <x:v>Expansion discovery</x:v>
      </x:c>
      <x:c r="F872" s="17" t="str">
        <x:v>D2</x:v>
      </x:c>
      <x:c r="G872" s="14" t="str"/>
      <x:c r="H872" s="14" t="str">
        <x:v>Discovery розширення — 2 тижні</x:v>
      </x:c>
      <x:c r="I872" s="16" t="n">
        <x:v>1</x:v>
      </x:c>
      <x:c r="J872" s="16" t="n">
        <x:v>5</x:v>
      </x:c>
      <x:c r="K872" s="16" t="n">
        <x:v>4</x:v>
      </x:c>
      <x:c r="L872" s="16" t="n">
        <x:v>5</x:v>
      </x:c>
      <x:c r="M872" s="16" t="n">
        <x:v>5</x:v>
      </x:c>
      <x:c r="N872" s="16" t="n">
        <x:v>5</x:v>
      </x:c>
      <x:c r="O872" s="16" t="n">
        <x:v>3</x:v>
      </x:c>
      <x:c r="P872" s="16" t="n">
        <x:f>IF(COUNT(I872:O872)&lt;7,"",I872*8+J872*3+K872*2+L872*2+M872*2+N872*2+O872)</x:f>
        <x:v>64</x:v>
      </x:c>
      <x:c r="Q872" s="16" t="n">
        <x:f>IF(COUNT(J872:O872)&lt;6,"",J872*5+K872*4+M872*4+L872*3+N872*2+O872*2)</x:f>
        <x:v>92</x:v>
      </x:c>
      <x:c r="R872" s="14" t="str">
        <x:v>high</x:v>
      </x:c>
      <x:c r="S872" s="14" t="str">
        <x:v>official_prozorro_award_2024_2026</x:v>
      </x:c>
      <x:c r="T872" s="14" t="str">
        <x:v>official_prozorro_api</x:v>
      </x:c>
      <x:c r="U872" s="14" t="str">
        <x:v>Не контактували</x:v>
      </x:c>
      <x:c r="V872" s="15" t="str">
        <x:v>Workflow-audit outreach по UA-2026-07-03-009034-a; попросити 1 пакет здачі та вимоги проєкту</x:v>
      </x:c>
      <x:c r="W872" s="15" t="str">
        <x:v>Власник / директор; керівник ПТО; відповідальний за договори</x:v>
      </x:c>
      <x:c r="X872" s="15" t="str">
        <x:v>2 нових підтверджених перемог/договорів у Prozorro на 37 054 824 грн; 2 зі строком виконання не раніше 24.08.2026.</x:v>
      </x:c>
      <x:c r="Y872"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 строк до 2026-10-31. Попросити один знеособлений пакет здачі за цим workflow.</x:v>
      </x:c>
      <x:c r="Z872" s="15" t="str">
        <x:v>https://prozorro.gov.ua/tender/UA-2026-07-03-009034-a</x:v>
      </x:c>
      <x:c r="AA872" s="14" t="str">
        <x:v>43130685</x:v>
      </x:c>
      <x:c r="AB872" s="14" t="str">
        <x:v>2026-08-24</x:v>
      </x:c>
      <x:c r="AC872" s="14" t="str"/>
      <x:c r="AD872" s="20" t="str"/>
      <x:c r="AE872" s="14" t="str"/>
      <x:c r="AF872" s="14" t="n">
        <x:v>72</x:v>
      </x:c>
      <x:c r="AG872" s="14" t="str">
        <x:v>I2</x:v>
      </x:c>
      <x:c r="AH872" s="14" t="n">
        <x:v>2</x:v>
      </x:c>
      <x:c r="AI872" s="14" t="n">
        <x:v>2</x:v>
      </x:c>
      <x:c r="AJ872" s="18" t="n">
        <x:v>37054823.95</x:v>
      </x:c>
      <x:c r="AK872" s="14" t="str">
        <x:v>https://prozorro.gov.ua/tender/UA-2026-07-03-009034-a</x:v>
      </x:c>
      <x:c r="AL872" s="19" t="n">
        <x:v>46206.53805685185</x:v>
      </x:c>
      <x:c r="AM872" s="19" t="n">
        <x:v>46326</x:v>
      </x:c>
      <x:c r="AN872" s="15" t="str">
        <x:v>Теплові мережі</x:v>
      </x:c>
      <x:c r="AO872" s="15" t="str">
        <x:v>not_found_in_top_search</x:v>
      </x:c>
    </x:row>
    <x:row r="873">
      <x:c r="A873" s="14" t="str">
        <x:v>W4-054</x:v>
      </x:c>
      <x:c r="B873" s="14" t="str">
        <x:v>Prozorro expansion — 24.08</x:v>
      </x:c>
      <x:c r="C873" s="14" t="str">
        <x:v>ФОП КРАСОВСЬКИЙ АНАТОЛІЙ ФЕДОРОВИЧ</x:v>
      </x:c>
      <x:c r="D873" s="14" t="str">
        <x:v>Благоустрій</x:v>
      </x:c>
      <x:c r="E873" s="14" t="str">
        <x:v>Expansion discovery</x:v>
      </x:c>
      <x:c r="F873" s="17" t="str">
        <x:v>D2</x:v>
      </x:c>
      <x:c r="G873" s="14" t="str"/>
      <x:c r="H873" s="14" t="str">
        <x:v>Discovery розширення — 2 тижні</x:v>
      </x:c>
      <x:c r="I873" s="16" t="n">
        <x:v>1</x:v>
      </x:c>
      <x:c r="J873" s="16" t="n">
        <x:v>5</x:v>
      </x:c>
      <x:c r="K873" s="16" t="n">
        <x:v>4</x:v>
      </x:c>
      <x:c r="L873" s="16" t="n">
        <x:v>4</x:v>
      </x:c>
      <x:c r="M873" s="16" t="n">
        <x:v>5</x:v>
      </x:c>
      <x:c r="N873" s="16" t="n">
        <x:v>3</x:v>
      </x:c>
      <x:c r="O873" s="16" t="n">
        <x:v>3</x:v>
      </x:c>
      <x:c r="P873" s="16" t="n">
        <x:f>IF(COUNT(I873:O873)&lt;7,"",I873*8+J873*3+K873*2+L873*2+M873*2+N873*2+O873)</x:f>
        <x:v>58</x:v>
      </x:c>
      <x:c r="Q873" s="16" t="n">
        <x:f>IF(COUNT(J873:O873)&lt;6,"",J873*5+K873*4+M873*4+L873*3+N873*2+O873*2)</x:f>
        <x:v>85</x:v>
      </x:c>
      <x:c r="R873" s="14" t="str">
        <x:v>high</x:v>
      </x:c>
      <x:c r="S873" s="14" t="str">
        <x:v>official_prozorro_award_2024_2026</x:v>
      </x:c>
      <x:c r="T873" s="14" t="str">
        <x:v>official_prozorro_api</x:v>
      </x:c>
      <x:c r="U873" s="14" t="str">
        <x:v>Не контактували</x:v>
      </x:c>
      <x:c r="V873" s="15" t="str">
        <x:v>Workflow-audit outreach по UA-2026-02-02-011636-a; попросити 1 пакет здачі та вимоги проєкту</x:v>
      </x:c>
      <x:c r="W873" s="15" t="str">
        <x:v>Власник / виконавець; відповідальний за договір</x:v>
      </x:c>
      <x:c r="X873" s="15" t="str">
        <x:v>4 нових підтверджених перемог/договорів у Prozorro на 5 844 750 грн; 2 зі строком виконання не раніше 24.08.2026.</x:v>
      </x:c>
      <x:c r="Y873"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 строк до 2026-11-30. Попросити один знеособлений пакет здачі за цим workflow.</x:v>
      </x:c>
      <x:c r="Z873" s="15" t="str">
        <x:v>https://prozorro.gov.ua/tender/UA-2026-02-02-011636-a</x:v>
      </x:c>
      <x:c r="AA873" s="14" t="str">
        <x:v>1925715017</x:v>
      </x:c>
      <x:c r="AB873" s="14" t="str">
        <x:v>2026-08-24</x:v>
      </x:c>
      <x:c r="AC873" s="14" t="str"/>
      <x:c r="AD873" s="20" t="str"/>
      <x:c r="AE873" s="14" t="str"/>
      <x:c r="AF873" s="14" t="n">
        <x:v>72</x:v>
      </x:c>
      <x:c r="AG873" s="14" t="str">
        <x:v>I2</x:v>
      </x:c>
      <x:c r="AH873" s="14" t="n">
        <x:v>4</x:v>
      </x:c>
      <x:c r="AI873" s="14" t="n">
        <x:v>2</x:v>
      </x:c>
      <x:c r="AJ873" s="18" t="n">
        <x:v>5844750</x:v>
      </x:c>
      <x:c r="AK873" s="14" t="str">
        <x:v>https://prozorro.gov.ua/tender/UA-2026-02-02-011636-a</x:v>
      </x:c>
      <x:c r="AL873" s="19" t="n">
        <x:v>46069.48929460648</x:v>
      </x:c>
      <x:c r="AM873" s="19" t="n">
        <x:v>46356.583761574075</x:v>
      </x:c>
      <x:c r="AN873" s="15" t="str">
        <x:v>Благоустрій</x:v>
      </x:c>
      <x:c r="AO873" s="15" t="str">
        <x:v>not_found_in_top_search</x:v>
      </x:c>
    </x:row>
    <x:row r="874">
      <x:c r="A874" s="14" t="str">
        <x:v>W4-055</x:v>
      </x:c>
      <x:c r="B874" s="14" t="str">
        <x:v>Prozorro expansion — 24.08</x:v>
      </x:c>
      <x:c r="C874" s="14" t="str">
        <x:v>ФОП БИКОВ ДМИТРО МИКОЛАЙОВИЧ</x:v>
      </x:c>
      <x:c r="D874" s="14" t="str">
        <x:v>Благоустрій</x:v>
      </x:c>
      <x:c r="E874" s="14" t="str">
        <x:v>Expansion discovery</x:v>
      </x:c>
      <x:c r="F874" s="17" t="str">
        <x:v>D2</x:v>
      </x:c>
      <x:c r="G874" s="14" t="str"/>
      <x:c r="H874" s="14" t="str">
        <x:v>Discovery розширення — 2 тижні</x:v>
      </x:c>
      <x:c r="I874" s="16" t="n">
        <x:v>1</x:v>
      </x:c>
      <x:c r="J874" s="16" t="n">
        <x:v>5</x:v>
      </x:c>
      <x:c r="K874" s="16" t="n">
        <x:v>4</x:v>
      </x:c>
      <x:c r="L874" s="16" t="n">
        <x:v>4</x:v>
      </x:c>
      <x:c r="M874" s="16" t="n">
        <x:v>5</x:v>
      </x:c>
      <x:c r="N874" s="16" t="n">
        <x:v>3</x:v>
      </x:c>
      <x:c r="O874" s="16" t="n">
        <x:v>3</x:v>
      </x:c>
      <x:c r="P874" s="16" t="n">
        <x:f>IF(COUNT(I874:O874)&lt;7,"",I874*8+J874*3+K874*2+L874*2+M874*2+N874*2+O874)</x:f>
        <x:v>58</x:v>
      </x:c>
      <x:c r="Q874" s="16" t="n">
        <x:f>IF(COUNT(J874:O874)&lt;6,"",J874*5+K874*4+M874*4+L874*3+N874*2+O874*2)</x:f>
        <x:v>85</x:v>
      </x:c>
      <x:c r="R874" s="14" t="str">
        <x:v>high</x:v>
      </x:c>
      <x:c r="S874" s="14" t="str">
        <x:v>official_prozorro_award_2024_2026</x:v>
      </x:c>
      <x:c r="T874" s="14" t="str">
        <x:v>official_prozorro_api</x:v>
      </x:c>
      <x:c r="U874" s="14" t="str">
        <x:v>Не контактували</x:v>
      </x:c>
      <x:c r="V874" s="15" t="str">
        <x:v>Workflow-audit outreach по UA-2026-03-03-006192-a; попросити 1 пакет здачі та вимоги проєкту</x:v>
      </x:c>
      <x:c r="W874" s="15" t="str">
        <x:v>Власник / виконавець; відповідальний за договір</x:v>
      </x:c>
      <x:c r="X874" s="15" t="str">
        <x:v>4 нових підтверджених перемог/договорів у Prozorro на 3 081 700 грн; 3 зі строком виконання не раніше 24.08.2026.</x:v>
      </x:c>
      <x:c r="Y874"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74" s="15" t="str">
        <x:v>https://prozorro.gov.ua/tender/UA-2026-03-03-006192-a</x:v>
      </x:c>
      <x:c r="AA874" s="14" t="str">
        <x:v>2697801834</x:v>
      </x:c>
      <x:c r="AB874" s="14" t="str">
        <x:v>2026-08-24</x:v>
      </x:c>
      <x:c r="AC874" s="14" t="str"/>
      <x:c r="AD874" s="20" t="str"/>
      <x:c r="AE874" s="14" t="str"/>
      <x:c r="AF874" s="14" t="n">
        <x:v>72</x:v>
      </x:c>
      <x:c r="AG874" s="14" t="str">
        <x:v>I2</x:v>
      </x:c>
      <x:c r="AH874" s="14" t="n">
        <x:v>4</x:v>
      </x:c>
      <x:c r="AI874" s="14" t="n">
        <x:v>3</x:v>
      </x:c>
      <x:c r="AJ874" s="18" t="n">
        <x:v>3081700</x:v>
      </x:c>
      <x:c r="AK874" s="14" t="str">
        <x:v>https://prozorro.gov.ua/tender/UA-2026-03-03-006192-a</x:v>
      </x:c>
      <x:c r="AL874" s="19" t="n">
        <x:v>46094.51776982639</x:v>
      </x:c>
      <x:c r="AM874" s="19" t="n">
        <x:v>46387.4303125</x:v>
      </x:c>
      <x:c r="AN874" s="15" t="str">
        <x:v>Благоустрій</x:v>
      </x:c>
      <x:c r="AO874" s="15" t="str">
        <x:v>not_found_in_top_search</x:v>
      </x:c>
    </x:row>
    <x:row r="875">
      <x:c r="A875" s="14" t="str">
        <x:v>W4-056</x:v>
      </x:c>
      <x:c r="B875" s="14" t="str">
        <x:v>Prozorro expansion — 24.08</x:v>
      </x:c>
      <x:c r="C875" s="14" t="str">
        <x:v>Фізична особа-підприємець Бересток Олександр Юрійович</x:v>
      </x:c>
      <x:c r="D875" s="14" t="str">
        <x:v>Пасивний вогнезахист</x:v>
      </x:c>
      <x:c r="E875" s="14" t="str">
        <x:v>Expansion discovery</x:v>
      </x:c>
      <x:c r="F875" s="17" t="str">
        <x:v>D2</x:v>
      </x:c>
      <x:c r="G875" s="14" t="str"/>
      <x:c r="H875" s="14" t="str">
        <x:v>Discovery розширення — 2 тижні</x:v>
      </x:c>
      <x:c r="I875" s="16" t="n">
        <x:v>1</x:v>
      </x:c>
      <x:c r="J875" s="16" t="n">
        <x:v>5</x:v>
      </x:c>
      <x:c r="K875" s="16" t="n">
        <x:v>5</x:v>
      </x:c>
      <x:c r="L875" s="16" t="n">
        <x:v>1</x:v>
      </x:c>
      <x:c r="M875" s="16" t="n">
        <x:v>5</x:v>
      </x:c>
      <x:c r="N875" s="16" t="n">
        <x:v>3</x:v>
      </x:c>
      <x:c r="O875" s="16" t="n">
        <x:v>3</x:v>
      </x:c>
      <x:c r="P875" s="16" t="n">
        <x:f>IF(COUNT(I875:O875)&lt;7,"",I875*8+J875*3+K875*2+L875*2+M875*2+N875*2+O875)</x:f>
        <x:v>54</x:v>
      </x:c>
      <x:c r="Q875" s="16" t="n">
        <x:f>IF(COUNT(J875:O875)&lt;6,"",J875*5+K875*4+M875*4+L875*3+N875*2+O875*2)</x:f>
        <x:v>80</x:v>
      </x:c>
      <x:c r="R875" s="14" t="str">
        <x:v>high</x:v>
      </x:c>
      <x:c r="S875" s="14" t="str">
        <x:v>official_prozorro_award_2024_2026</x:v>
      </x:c>
      <x:c r="T875" s="14" t="str">
        <x:v>official_prozorro_api</x:v>
      </x:c>
      <x:c r="U875" s="14" t="str">
        <x:v>Не контактували</x:v>
      </x:c>
      <x:c r="V875" s="15" t="str">
        <x:v>Workflow-audit outreach по UA-2026-07-10-009730-a; попросити 1 пакет здачі та вимоги проєкту</x:v>
      </x:c>
      <x:c r="W875" s="15" t="str">
        <x:v>Власник / виконавець; відповідальний за договір</x:v>
      </x:c>
      <x:c r="X875" s="15" t="str">
        <x:v>3 нових підтверджених перемог/договорів у Prozorro на 55 376 грн; 2 зі строком виконання не раніше 24.08.2026.</x:v>
      </x:c>
      <x:c r="Y875" s="15" t="str">
        <x:v>Проведення вогнезахисної обробки (просочення) дерев'яних конструкцій; строк до 2026-12-31. Попросити один знеособлений пакет здачі за цим workflow.</x:v>
      </x:c>
      <x:c r="Z875" s="15" t="str">
        <x:v>https://prozorro.gov.ua/tender/UA-2026-07-10-009730-a</x:v>
      </x:c>
      <x:c r="AA875" s="14" t="str">
        <x:v>2979700512</x:v>
      </x:c>
      <x:c r="AB875" s="14" t="str">
        <x:v>2026-08-24</x:v>
      </x:c>
      <x:c r="AC875" s="14" t="str"/>
      <x:c r="AD875" s="20" t="str"/>
      <x:c r="AE875" s="14" t="str"/>
      <x:c r="AF875" s="14" t="n">
        <x:v>72</x:v>
      </x:c>
      <x:c r="AG875" s="14" t="str">
        <x:v>I2</x:v>
      </x:c>
      <x:c r="AH875" s="14" t="n">
        <x:v>3</x:v>
      </x:c>
      <x:c r="AI875" s="14" t="n">
        <x:v>2</x:v>
      </x:c>
      <x:c r="AJ875" s="18" t="n">
        <x:v>55375.8</x:v>
      </x:c>
      <x:c r="AK875" s="14" t="str">
        <x:v>https://prozorro.gov.ua/tender/UA-2026-07-10-009730-a</x:v>
      </x:c>
      <x:c r="AL875" s="19" t="n">
        <x:v>46213.54082267361</x:v>
      </x:c>
      <x:c r="AM875" s="19" t="n">
        <x:v>46387.583333333336</x:v>
      </x:c>
      <x:c r="AN875" s="15" t="str">
        <x:v>Пасивний вогнезахист</x:v>
      </x:c>
      <x:c r="AO875" s="15" t="str">
        <x:v>not_found_in_top_search</x:v>
      </x:c>
    </x:row>
    <x:row r="876">
      <x:c r="A876" s="14" t="str">
        <x:v>W4-057</x:v>
      </x:c>
      <x:c r="B876" s="14" t="str">
        <x:v>Prozorro expansion — 24.08</x:v>
      </x:c>
      <x:c r="C876" s="14" t="str">
        <x:v>Підсадний Андрій Васильович</x:v>
      </x:c>
      <x:c r="D876" s="14" t="str">
        <x:v>Електромонтаж</x:v>
      </x:c>
      <x:c r="E876" s="14" t="str">
        <x:v>Pilot now</x:v>
      </x:c>
      <x:c r="F876" s="17" t="str">
        <x:v>P2</x:v>
      </x:c>
      <x:c r="G876" s="14" t="str"/>
      <x:c r="H876" s="14" t="str">
        <x:v>Пілот зараз — Н.15</x:v>
      </x:c>
      <x:c r="I876" s="16" t="n">
        <x:v>5</x:v>
      </x:c>
      <x:c r="J876" s="16" t="n">
        <x:v>5</x:v>
      </x:c>
      <x:c r="K876" s="16" t="n">
        <x:v>4</x:v>
      </x:c>
      <x:c r="L876" s="16" t="n">
        <x:v>1</x:v>
      </x:c>
      <x:c r="M876" s="16" t="n">
        <x:v>5</x:v>
      </x:c>
      <x:c r="N876" s="16" t="n">
        <x:v>3</x:v>
      </x:c>
      <x:c r="O876" s="16" t="n">
        <x:v>3</x:v>
      </x:c>
      <x:c r="P876" s="16" t="n">
        <x:f>IF(COUNT(I876:O876)&lt;7,"",I876*8+J876*3+K876*2+L876*2+M876*2+N876*2+O876)</x:f>
        <x:v>84</x:v>
      </x:c>
      <x:c r="Q876" s="16" t="n">
        <x:f>IF(COUNT(J876:O876)&lt;6,"",J876*5+K876*4+M876*4+L876*3+N876*2+O876*2)</x:f>
        <x:v>76</x:v>
      </x:c>
      <x:c r="R876" s="14" t="str">
        <x:v>high</x:v>
      </x:c>
      <x:c r="S876" s="14" t="str">
        <x:v>official_prozorro_award_2024_2026</x:v>
      </x:c>
      <x:c r="T876" s="14" t="str">
        <x:v>official_prozorro_api</x:v>
      </x:c>
      <x:c r="U876" s="14" t="str">
        <x:v>Не контактували</x:v>
      </x:c>
      <x:c r="V876" s="15" t="str">
        <x:v>Персоналізований free-pilot outreach по UA-2026-07-20-000344-a; попросити 1 пакет Н.14/Н.15</x:v>
      </x:c>
      <x:c r="W876" s="15" t="str">
        <x:v>Власник / виконавець; відповідальний за договір</x:v>
      </x:c>
      <x:c r="X876" s="15" t="str">
        <x:v>3 нових підтверджених перемог/договорів у Prozorro на 48 312 грн; 0 зі строком виконання не раніше 24.08.2026.</x:v>
      </x:c>
      <x:c r="Y876" s="15" t="str">
        <x:v>Електромонтажні роботи; строк до 2026-07-31. Попросити один знеособлений пакет здачі за цим workflow.</x:v>
      </x:c>
      <x:c r="Z876" s="15" t="str">
        <x:v>https://prozorro.gov.ua/tender/UA-2026-07-20-000344-a</x:v>
      </x:c>
      <x:c r="AA876" s="14" t="str">
        <x:v>3358210931</x:v>
      </x:c>
      <x:c r="AB876" s="14" t="str">
        <x:v>2026-08-24</x:v>
      </x:c>
      <x:c r="AC876" s="14" t="str"/>
      <x:c r="AD876" s="20" t="str"/>
      <x:c r="AE876" s="14" t="str"/>
      <x:c r="AF876" s="14" t="n">
        <x:v>72</x:v>
      </x:c>
      <x:c r="AG876" s="14" t="str">
        <x:v>I2</x:v>
      </x:c>
      <x:c r="AH876" s="14" t="n">
        <x:v>3</x:v>
      </x:c>
      <x:c r="AI876" s="14" t="n">
        <x:v>0</x:v>
      </x:c>
      <x:c r="AJ876" s="18" t="n">
        <x:v>48311.68</x:v>
      </x:c>
      <x:c r="AK876" s="14" t="str">
        <x:v>https://prozorro.gov.ua/tender/UA-2026-07-20-000344-a</x:v>
      </x:c>
      <x:c r="AL876" s="19" t="n">
        <x:v>46223.24819734954</x:v>
      </x:c>
      <x:c r="AM876" s="19" t="n">
        <x:v>46234.25100694445</x:v>
      </x:c>
      <x:c r="AN876" s="15" t="str">
        <x:v>Електромонтаж</x:v>
      </x:c>
      <x:c r="AO876" s="15" t="str">
        <x:v>not_found_in_top_search</x:v>
      </x:c>
    </x:row>
    <x:row r="877">
      <x:c r="A877" s="14" t="str">
        <x:v>W4-058</x:v>
      </x:c>
      <x:c r="B877" s="14" t="str">
        <x:v>Prozorro expansion — 24.08</x:v>
      </x:c>
      <x:c r="C877" s="14" t="str">
        <x:v>УПРАВЛІННЯ ПОЛІЦІЇ ОХОРОНИ В ХМЕЛЬНИЦЬКІЙ ОБЛАСТІ</x:v>
      </x:c>
      <x:c r="D877" s="14" t="str">
        <x:v>Електромонтаж</x:v>
      </x:c>
      <x:c r="E877" s="14" t="str">
        <x:v>Pilot now</x:v>
      </x:c>
      <x:c r="F877" s="17" t="str">
        <x:v>P2</x:v>
      </x:c>
      <x:c r="G877" s="14" t="str"/>
      <x:c r="H877" s="14" t="str">
        <x:v>Пілот зараз — Н.15</x:v>
      </x:c>
      <x:c r="I877" s="16" t="n">
        <x:v>5</x:v>
      </x:c>
      <x:c r="J877" s="16" t="n">
        <x:v>5</x:v>
      </x:c>
      <x:c r="K877" s="16" t="n">
        <x:v>4</x:v>
      </x:c>
      <x:c r="L877" s="16" t="n">
        <x:v>1</x:v>
      </x:c>
      <x:c r="M877" s="16" t="n">
        <x:v>5</x:v>
      </x:c>
      <x:c r="N877" s="16" t="n">
        <x:v>5</x:v>
      </x:c>
      <x:c r="O877" s="16" t="n">
        <x:v>3</x:v>
      </x:c>
      <x:c r="P877" s="16" t="n">
        <x:f>IF(COUNT(I877:O877)&lt;7,"",I877*8+J877*3+K877*2+L877*2+M877*2+N877*2+O877)</x:f>
        <x:v>88</x:v>
      </x:c>
      <x:c r="Q877" s="16" t="n">
        <x:f>IF(COUNT(J877:O877)&lt;6,"",J877*5+K877*4+M877*4+L877*3+N877*2+O877*2)</x:f>
        <x:v>80</x:v>
      </x:c>
      <x:c r="R877" s="14" t="str">
        <x:v>high</x:v>
      </x:c>
      <x:c r="S877" s="14" t="str">
        <x:v>official_prozorro_award_2024_2026</x:v>
      </x:c>
      <x:c r="T877" s="14" t="str">
        <x:v>official_prozorro_api</x:v>
      </x:c>
      <x:c r="U877" s="14" t="str">
        <x:v>Не контактували</x:v>
      </x:c>
      <x:c r="V877" s="15" t="str">
        <x:v>Персоналізований free-pilot outreach по UA-2026-08-03-010215-a; попросити 1 пакет Н.14/Н.15</x:v>
      </x:c>
      <x:c r="W877" s="15" t="str">
        <x:v>Власник / директор; керівник ПТО; відповідальний за договори</x:v>
      </x:c>
      <x:c r="X877" s="15" t="str">
        <x:v>3 нових підтверджених перемог/договорів у Prozorro на 6 454 грн; 3 зі строком виконання не раніше 24.08.2026.</x:v>
      </x:c>
      <x:c r="Y877" s="15" t="str">
        <x:v>Електромонтажні роботи (Встановлення системи охоронної сигналізації).; строк до 2026-12-31. Попросити один знеособлений пакет здачі за цим workflow.</x:v>
      </x:c>
      <x:c r="Z877" s="15" t="str">
        <x:v>https://prozorro.gov.ua/tender/UA-2026-08-03-010215-a</x:v>
      </x:c>
      <x:c r="AA877" s="14" t="str">
        <x:v>40108929</x:v>
      </x:c>
      <x:c r="AB877" s="14" t="str">
        <x:v>2026-08-24</x:v>
      </x:c>
      <x:c r="AC877" s="14" t="str"/>
      <x:c r="AD877" s="20" t="str"/>
      <x:c r="AE877" s="14" t="str"/>
      <x:c r="AF877" s="14" t="n">
        <x:v>72</x:v>
      </x:c>
      <x:c r="AG877" s="14" t="str">
        <x:v>I2</x:v>
      </x:c>
      <x:c r="AH877" s="14" t="n">
        <x:v>3</x:v>
      </x:c>
      <x:c r="AI877" s="14" t="n">
        <x:v>3</x:v>
      </x:c>
      <x:c r="AJ877" s="18" t="n">
        <x:v>6454.46</x:v>
      </x:c>
      <x:c r="AK877" s="14" t="str">
        <x:v>https://prozorro.gov.ua/tender/UA-2026-08-03-010215-a</x:v>
      </x:c>
      <x:c r="AL877" s="19" t="n">
        <x:v>46237.567040277776</x:v>
      </x:c>
      <x:c r="AM877" s="19" t="n">
        <x:v>46387.60917824074</x:v>
      </x:c>
      <x:c r="AN877" s="15" t="str">
        <x:v>Електромонтаж</x:v>
      </x:c>
      <x:c r="AO877" s="15" t="str">
        <x:v>not_found_in_top_search</x:v>
      </x:c>
    </x:row>
    <x:row r="878">
      <x:c r="A878" s="14" t="str">
        <x:v>W4-059</x:v>
      </x:c>
      <x:c r="B878" s="14" t="str">
        <x:v>Prozorro expansion — 24.08</x:v>
      </x:c>
      <x:c r="C878" s="14" t="str">
        <x:v>ТОВ "ТОП ФАЄР"</x:v>
      </x:c>
      <x:c r="D878" s="14" t="str">
        <x:v>Пожежогасіння</x:v>
      </x:c>
      <x:c r="E878" s="14" t="str">
        <x:v>Expansion discovery</x:v>
      </x:c>
      <x:c r="F878" s="17" t="str">
        <x:v>D2</x:v>
      </x:c>
      <x:c r="G878" s="14" t="str"/>
      <x:c r="H878" s="14" t="str">
        <x:v>Discovery розширення — 2 тижні</x:v>
      </x:c>
      <x:c r="I878" s="16" t="n">
        <x:v>1</x:v>
      </x:c>
      <x:c r="J878" s="16" t="n">
        <x:v>5</x:v>
      </x:c>
      <x:c r="K878" s="16" t="n">
        <x:v>5</x:v>
      </x:c>
      <x:c r="L878" s="16" t="n">
        <x:v>4</x:v>
      </x:c>
      <x:c r="M878" s="16" t="n">
        <x:v>5</x:v>
      </x:c>
      <x:c r="N878" s="16" t="n">
        <x:v>5</x:v>
      </x:c>
      <x:c r="O878" s="16" t="n">
        <x:v>3</x:v>
      </x:c>
      <x:c r="P878" s="16" t="n">
        <x:f>IF(COUNT(I878:O878)&lt;7,"",I878*8+J878*3+K878*2+L878*2+M878*2+N878*2+O878)</x:f>
        <x:v>64</x:v>
      </x:c>
      <x:c r="Q878" s="16" t="n">
        <x:f>IF(COUNT(J878:O878)&lt;6,"",J878*5+K878*4+M878*4+L878*3+N878*2+O878*2)</x:f>
        <x:v>93</x:v>
      </x:c>
      <x:c r="R878" s="14" t="str">
        <x:v>high</x:v>
      </x:c>
      <x:c r="S878" s="14" t="str">
        <x:v>official_prozorro_award_2024_2026</x:v>
      </x:c>
      <x:c r="T878" s="14" t="str">
        <x:v>official_prozorro_api</x:v>
      </x:c>
      <x:c r="U878" s="14" t="str">
        <x:v>Не контактували</x:v>
      </x:c>
      <x:c r="V878" s="15" t="str">
        <x:v>Повторне звернення з новим тендерним сигналом UA-2026-03-31-003010-a; попросити 1 пакет здачі</x:v>
      </x:c>
      <x:c r="W878" s="15" t="str">
        <x:v>Власник / директор; керівник ПТО; відповідальний за договори</x:v>
      </x:c>
      <x:c r="X878" s="15" t="str">
        <x:v>2 нових підтверджених перемог/договорів у Prozorro на 5 850 686 грн; 1 зі строком виконання не раніше 24.08.2026.</x:v>
      </x:c>
      <x:c r="Y878" s="15" t="str">
        <x:v>Капітальний ремонт. Монтаж системи автоматичної пожежної сигналізації, оповіщення людей про пожежу та передавання тривожних сповіщень у Сумській початковій школі № 30 «Унікум» Сумської міської ради (корпус А) за адресою: Сумська область, м. Суми, вул. Сірка Івана, 2А; строк до 2026-12-31. Попросити один знеособлений пакет здачі за цим workflow.</x:v>
      </x:c>
      <x:c r="Z878" s="15" t="str">
        <x:v>https://prozorro.gov.ua/tender/UA-2026-06-16-011230-a</x:v>
      </x:c>
      <x:c r="AA878" s="14" t="str">
        <x:v>42082117</x:v>
      </x:c>
      <x:c r="AB878" s="14" t="str">
        <x:v>2026-08-24</x:v>
      </x:c>
      <x:c r="AC878" s="14" t="str"/>
      <x:c r="AD878" s="20" t="str"/>
      <x:c r="AE878" s="14" t="str"/>
      <x:c r="AF878" s="14" t="n">
        <x:v>71</x:v>
      </x:c>
      <x:c r="AG878" s="14" t="str">
        <x:v>I2</x:v>
      </x:c>
      <x:c r="AH878" s="14" t="n">
        <x:v>3</x:v>
      </x:c>
      <x:c r="AI878" s="14" t="n">
        <x:v>2</x:v>
      </x:c>
      <x:c r="AJ878" s="18" t="n">
        <x:v>19299685.78</x:v>
      </x:c>
      <x:c r="AK878" s="14" t="str">
        <x:v>https://prozorro.gov.ua/tender/UA-2026-03-31-003010-a</x:v>
      </x:c>
      <x:c r="AL878" s="19" t="n">
        <x:v>46136.47898063657</x:v>
      </x:c>
      <x:c r="AM878" s="19" t="n">
        <x:v>46296</x:v>
      </x:c>
      <x:c r="AN878" s="15" t="str">
        <x:v>Пожежогасіння; Водоочищення / очисні споруди; Сонячна енергетика</x:v>
      </x:c>
      <x:c r="AO878" s="15" t="str">
        <x:v>not_found_in_top_search</x:v>
      </x:c>
    </x:row>
    <x:row r="879">
      <x:c r="A879" s="14" t="str">
        <x:v>W4-060</x:v>
      </x:c>
      <x:c r="B879" s="14" t="str">
        <x:v>Prozorro expansion — 24.08</x:v>
      </x:c>
      <x:c r="C879" s="14" t="str">
        <x:v>ФОП Бут Андрій Борисович</x:v>
      </x:c>
      <x:c r="D879" s="14" t="str">
        <x:v>Дорожні роботи</x:v>
      </x:c>
      <x:c r="E879" s="14" t="str">
        <x:v>Expansion discovery</x:v>
      </x:c>
      <x:c r="F879" s="17" t="str">
        <x:v>D2</x:v>
      </x:c>
      <x:c r="G879" s="14" t="str"/>
      <x:c r="H879" s="14" t="str">
        <x:v>Discovery розширення — 2 тижні</x:v>
      </x:c>
      <x:c r="I879" s="16" t="n">
        <x:v>1</x:v>
      </x:c>
      <x:c r="J879" s="16" t="n">
        <x:v>5</x:v>
      </x:c>
      <x:c r="K879" s="16" t="n">
        <x:v>4</x:v>
      </x:c>
      <x:c r="L879" s="16" t="n">
        <x:v>4</x:v>
      </x:c>
      <x:c r="M879" s="16" t="n">
        <x:v>5</x:v>
      </x:c>
      <x:c r="N879" s="16" t="n">
        <x:v>3</x:v>
      </x:c>
      <x:c r="O879" s="16" t="n">
        <x:v>3</x:v>
      </x:c>
      <x:c r="P879" s="16" t="n">
        <x:f>IF(COUNT(I879:O879)&lt;7,"",I879*8+J879*3+K879*2+L879*2+M879*2+N879*2+O879)</x:f>
        <x:v>58</x:v>
      </x:c>
      <x:c r="Q879" s="16" t="n">
        <x:f>IF(COUNT(J879:O879)&lt;6,"",J879*5+K879*4+M879*4+L879*3+N879*2+O879*2)</x:f>
        <x:v>85</x:v>
      </x:c>
      <x:c r="R879" s="14" t="str">
        <x:v>high</x:v>
      </x:c>
      <x:c r="S879" s="14" t="str">
        <x:v>official_prozorro_award_2024_2026</x:v>
      </x:c>
      <x:c r="T879" s="14" t="str">
        <x:v>official_prozorro_api</x:v>
      </x:c>
      <x:c r="U879" s="14" t="str">
        <x:v>Не контактували</x:v>
      </x:c>
      <x:c r="V879" s="15" t="str">
        <x:v>Workflow-audit outreach по UA-2026-08-19-002810-a; попросити 1 пакет здачі та вимоги проєкту</x:v>
      </x:c>
      <x:c r="W879" s="15" t="str">
        <x:v>Власник / виконавець; відповідальний за договір</x:v>
      </x:c>
      <x:c r="X879" s="15" t="str">
        <x:v>2 нових підтверджених перемог/договорів у Prozorro на 2 830 345 грн; 2 зі строком виконання не раніше 24.08.2026.</x:v>
      </x:c>
      <x:c r="Y879" s="15" t="str">
        <x:v>Капітальний ремонт дорожнього покриття частини вул. Зелена в с. Білогородка Бучанського району Київської області; строк до 2027-04-30. Попросити один знеособлений пакет здачі за цим workflow.</x:v>
      </x:c>
      <x:c r="Z879" s="15" t="str">
        <x:v>https://prozorro.gov.ua/tender/UA-2026-08-19-002810-a</x:v>
      </x:c>
      <x:c r="AA879" s="14" t="str">
        <x:v>3140413794</x:v>
      </x:c>
      <x:c r="AB879" s="14" t="str">
        <x:v>2026-08-24</x:v>
      </x:c>
      <x:c r="AC879" s="14" t="str"/>
      <x:c r="AD879" s="20" t="str"/>
      <x:c r="AE879" s="14" t="str"/>
      <x:c r="AF879" s="14" t="n">
        <x:v>71</x:v>
      </x:c>
      <x:c r="AG879" s="14" t="str">
        <x:v>I2</x:v>
      </x:c>
      <x:c r="AH879" s="14" t="n">
        <x:v>2</x:v>
      </x:c>
      <x:c r="AI879" s="14" t="n">
        <x:v>2</x:v>
      </x:c>
      <x:c r="AJ879" s="18" t="n">
        <x:v>2830345</x:v>
      </x:c>
      <x:c r="AK879" s="14" t="str">
        <x:v>https://prozorro.gov.ua/tender/UA-2026-08-19-002810-a</x:v>
      </x:c>
      <x:c r="AL879" s="19" t="n">
        <x:v>46253.329425219905</x:v>
      </x:c>
      <x:c r="AM879" s="19" t="n">
        <x:v>46507.32910879629</x:v>
      </x:c>
      <x:c r="AN879" s="15" t="str">
        <x:v>Дорожні роботи</x:v>
      </x:c>
      <x:c r="AO879" s="15" t="str">
        <x:v>not_found_in_top_search</x:v>
      </x:c>
    </x:row>
    <x:row r="880">
      <x:c r="A880" s="14" t="str">
        <x:v>W4-061</x:v>
      </x:c>
      <x:c r="B880" s="14" t="str">
        <x:v>Prozorro expansion — 24.08</x:v>
      </x:c>
      <x:c r="C880" s="14" t="str">
        <x:v>ТОВАРИСТВО З ОБМЕЖЕНОЮ ВІДПОВІДАЛЬНІСТЮ "НЕЗАЛЕЖНИЙ АУДИТ ТА ІНСПЕКТУВАННЯ СФЕРИ БЕЗПЕКИ"</x:v>
      </x:c>
      <x:c r="D880" s="14" t="str">
        <x:v>Пожежогасіння</x:v>
      </x:c>
      <x:c r="E880" s="14" t="str">
        <x:v>Expansion discovery</x:v>
      </x:c>
      <x:c r="F880" s="17" t="str">
        <x:v>D2</x:v>
      </x:c>
      <x:c r="G880" s="14" t="str"/>
      <x:c r="H880" s="14" t="str">
        <x:v>Discovery розширення — 2 тижні</x:v>
      </x:c>
      <x:c r="I880" s="16" t="n">
        <x:v>1</x:v>
      </x:c>
      <x:c r="J880" s="16" t="n">
        <x:v>5</x:v>
      </x:c>
      <x:c r="K880" s="16" t="n">
        <x:v>5</x:v>
      </x:c>
      <x:c r="L880" s="16" t="n">
        <x:v>1</x:v>
      </x:c>
      <x:c r="M880" s="16" t="n">
        <x:v>5</x:v>
      </x:c>
      <x:c r="N880" s="16" t="n">
        <x:v>5</x:v>
      </x:c>
      <x:c r="O880" s="16" t="n">
        <x:v>3</x:v>
      </x:c>
      <x:c r="P880" s="16" t="n">
        <x:f>IF(COUNT(I880:O880)&lt;7,"",I880*8+J880*3+K880*2+L880*2+M880*2+N880*2+O880)</x:f>
        <x:v>58</x:v>
      </x:c>
      <x:c r="Q880" s="16" t="n">
        <x:f>IF(COUNT(J880:O880)&lt;6,"",J880*5+K880*4+M880*4+L880*3+N880*2+O880*2)</x:f>
        <x:v>84</x:v>
      </x:c>
      <x:c r="R880" s="14" t="str">
        <x:v>high</x:v>
      </x:c>
      <x:c r="S880" s="14" t="str">
        <x:v>official_prozorro_award_2024_2026</x:v>
      </x:c>
      <x:c r="T880" s="14" t="str">
        <x:v>official_prozorro_api</x:v>
      </x:c>
      <x:c r="U880" s="14" t="str">
        <x:v>Не контактували</x:v>
      </x:c>
      <x:c r="V880" s="15" t="str">
        <x:v>Workflow-audit outreach по UA-2026-06-30-003263-a; попросити 1 пакет здачі та вимоги проєкту</x:v>
      </x:c>
      <x:c r="W880" s="15" t="str">
        <x:v>Власник / директор; керівник ПТО; відповідальний за договори</x:v>
      </x:c>
      <x:c r="X880" s="15" t="str">
        <x:v>4 нових підтверджених перемог/договорів у Prozorro на 68 000 грн; 4 зі строком виконання не раніше 24.08.2026.</x:v>
      </x:c>
      <x:c r="Y880"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 строк до 2026-11-30. Попросити один знеособлений пакет здачі за цим workflow.</x:v>
      </x:c>
      <x:c r="Z880" s="15" t="str">
        <x:v>https://prozorro.gov.ua/tender/UA-2026-06-30-003263-a</x:v>
      </x:c>
      <x:c r="AA880" s="14" t="str">
        <x:v>43658374</x:v>
      </x:c>
      <x:c r="AB880" s="14" t="str">
        <x:v>2026-08-24</x:v>
      </x:c>
      <x:c r="AC880" s="14" t="str"/>
      <x:c r="AD880" s="20" t="str"/>
      <x:c r="AE880" s="14" t="str"/>
      <x:c r="AF880" s="14" t="n">
        <x:v>71</x:v>
      </x:c>
      <x:c r="AG880" s="14" t="str">
        <x:v>I2</x:v>
      </x:c>
      <x:c r="AH880" s="14" t="n">
        <x:v>4</x:v>
      </x:c>
      <x:c r="AI880" s="14" t="n">
        <x:v>4</x:v>
      </x:c>
      <x:c r="AJ880" s="18" t="n">
        <x:v>68000</x:v>
      </x:c>
      <x:c r="AK880" s="14" t="str">
        <x:v>https://prozorro.gov.ua/tender/UA-2026-06-30-003263-a</x:v>
      </x:c>
      <x:c r="AL880" s="19" t="n">
        <x:v>46203.33663611111</x:v>
      </x:c>
      <x:c r="AM880" s="19" t="n">
        <x:v>46356</x:v>
      </x:c>
      <x:c r="AN880" s="15" t="str">
        <x:v>Пожежогасіння</x:v>
      </x:c>
      <x:c r="AO880" s="15" t="str">
        <x:v>not_found_in_top_search</x:v>
      </x:c>
    </x:row>
    <x:row r="881">
      <x:c r="A881" s="14" t="str">
        <x:v>W4-062</x:v>
      </x:c>
      <x:c r="B881" s="14" t="str">
        <x:v>Prozorro expansion — 24.08</x:v>
      </x:c>
      <x:c r="C881" s="14" t="str">
        <x:v>ТОВАРИСТВО З ОБМЕЖЕНОЮ ВІДПОВІДАЛЬНІСТЮ "СТРОГАЗ"</x:v>
      </x:c>
      <x:c r="D881" s="14" t="str">
        <x:v>Газові мережі</x:v>
      </x:c>
      <x:c r="E881" s="14" t="str">
        <x:v>Expansion discovery</x:v>
      </x:c>
      <x:c r="F881" s="17" t="str">
        <x:v>D2</x:v>
      </x:c>
      <x:c r="G881" s="14" t="str"/>
      <x:c r="H881" s="14" t="str">
        <x:v>Discovery розширення — 2 тижні</x:v>
      </x:c>
      <x:c r="I881" s="16" t="n">
        <x:v>1</x:v>
      </x:c>
      <x:c r="J881" s="16" t="n">
        <x:v>5</x:v>
      </x:c>
      <x:c r="K881" s="16" t="n">
        <x:v>5</x:v>
      </x:c>
      <x:c r="L881" s="16" t="n">
        <x:v>4</x:v>
      </x:c>
      <x:c r="M881" s="16" t="n">
        <x:v>5</x:v>
      </x:c>
      <x:c r="N881" s="16" t="n">
        <x:v>5</x:v>
      </x:c>
      <x:c r="O881" s="16" t="n">
        <x:v>3</x:v>
      </x:c>
      <x:c r="P881" s="16" t="n">
        <x:f>IF(COUNT(I881:O881)&lt;7,"",I881*8+J881*3+K881*2+L881*2+M881*2+N881*2+O881)</x:f>
        <x:v>64</x:v>
      </x:c>
      <x:c r="Q881" s="16" t="n">
        <x:f>IF(COUNT(J881:O881)&lt;6,"",J881*5+K881*4+M881*4+L881*3+N881*2+O881*2)</x:f>
        <x:v>93</x:v>
      </x:c>
      <x:c r="R881" s="14" t="str">
        <x:v>high</x:v>
      </x:c>
      <x:c r="S881" s="14" t="str">
        <x:v>official_prozorro_award_2024_2026</x:v>
      </x:c>
      <x:c r="T881" s="14" t="str">
        <x:v>official_prozorro_api</x:v>
      </x:c>
      <x:c r="U881" s="14" t="str">
        <x:v>Не контактували</x:v>
      </x:c>
      <x:c r="V881" s="15" t="str">
        <x:v>Workflow-audit outreach по UA-2026-02-23-006403-a; попросити 1 пакет здачі та вимоги проєкту</x:v>
      </x:c>
      <x:c r="W881" s="15" t="str">
        <x:v>Власник / директор; керівник ПТО; відповідальний за договори</x:v>
      </x:c>
      <x:c r="X881" s="15" t="str">
        <x:v>3 нових підтверджених перемог/договорів у Prozorro на 3 178 017 грн; 1 зі строком виконання не раніше 24.08.2026.</x:v>
      </x:c>
      <x:c r="Y881" s="15" t="str">
        <x:v>«Нове будівництво газопроводу по вул. Абрикосовій в с. Хортиця Запорізького району Запорізької області; строк до 2026-12-31. Попросити один знеособлений пакет здачі за цим workflow.</x:v>
      </x:c>
      <x:c r="Z881" s="15" t="str">
        <x:v>https://prozorro.gov.ua/tender/UA-2026-02-23-006403-a</x:v>
      </x:c>
      <x:c r="AA881" s="14" t="str">
        <x:v>39958735</x:v>
      </x:c>
      <x:c r="AB881" s="14" t="str">
        <x:v>2026-08-24</x:v>
      </x:c>
      <x:c r="AC881" s="14" t="str"/>
      <x:c r="AD881" s="20" t="str"/>
      <x:c r="AE881" s="14" t="str"/>
      <x:c r="AF881" s="14" t="n">
        <x:v>70</x:v>
      </x:c>
      <x:c r="AG881" s="14" t="str">
        <x:v>I2</x:v>
      </x:c>
      <x:c r="AH881" s="14" t="n">
        <x:v>3</x:v>
      </x:c>
      <x:c r="AI881" s="14" t="n">
        <x:v>1</x:v>
      </x:c>
      <x:c r="AJ881" s="18" t="n">
        <x:v>3178017.22</x:v>
      </x:c>
      <x:c r="AK881" s="14" t="str">
        <x:v>https://prozorro.gov.ua/tender/UA-2026-02-23-006403-a</x:v>
      </x:c>
      <x:c r="AL881" s="19" t="n">
        <x:v>46105.46075315972</x:v>
      </x:c>
      <x:c r="AM881" s="19" t="n">
        <x:v>46387</x:v>
      </x:c>
      <x:c r="AN881" s="15" t="str">
        <x:v>Газові мережі</x:v>
      </x:c>
      <x:c r="AO881" s="15" t="str">
        <x:v>not_found_in_top_search</x:v>
      </x:c>
    </x:row>
    <x:row r="882">
      <x:c r="A882" s="14" t="str">
        <x:v>W4-063</x:v>
      </x:c>
      <x:c r="B882" s="14" t="str">
        <x:v>Prozorro expansion — 24.08</x:v>
      </x:c>
      <x:c r="C882" s="14" t="str">
        <x:v>ТОВАРИСТВО З ОБМЕЖЕНОЮ ВІДПОВІДАЛЬНІСТЮ "АРБОРИСТ ЕКО"</x:v>
      </x:c>
      <x:c r="D882" s="14" t="str">
        <x:v>Благоустрій</x:v>
      </x:c>
      <x:c r="E882" s="14" t="str">
        <x:v>Expansion discovery</x:v>
      </x:c>
      <x:c r="F882" s="17" t="str">
        <x:v>D2</x:v>
      </x:c>
      <x:c r="G882" s="14" t="str"/>
      <x:c r="H882" s="14" t="str">
        <x:v>Discovery розширення — 2 тижні</x:v>
      </x:c>
      <x:c r="I882" s="16" t="n">
        <x:v>1</x:v>
      </x:c>
      <x:c r="J882" s="16" t="n">
        <x:v>5</x:v>
      </x:c>
      <x:c r="K882" s="16" t="n">
        <x:v>4</x:v>
      </x:c>
      <x:c r="L882" s="16" t="n">
        <x:v>4</x:v>
      </x:c>
      <x:c r="M882" s="16" t="n">
        <x:v>5</x:v>
      </x:c>
      <x:c r="N882" s="16" t="n">
        <x:v>5</x:v>
      </x:c>
      <x:c r="O882" s="16" t="n">
        <x:v>3</x:v>
      </x:c>
      <x:c r="P882" s="16" t="n">
        <x:f>IF(COUNT(I882:O882)&lt;7,"",I882*8+J882*3+K882*2+L882*2+M882*2+N882*2+O882)</x:f>
        <x:v>62</x:v>
      </x:c>
      <x:c r="Q882" s="16" t="n">
        <x:f>IF(COUNT(J882:O882)&lt;6,"",J882*5+K882*4+M882*4+L882*3+N882*2+O882*2)</x:f>
        <x:v>89</x:v>
      </x:c>
      <x:c r="R882" s="14" t="str">
        <x:v>high</x:v>
      </x:c>
      <x:c r="S882" s="14" t="str">
        <x:v>official_prozorro_award_2024_2026</x:v>
      </x:c>
      <x:c r="T882" s="14" t="str">
        <x:v>official_prozorro_api</x:v>
      </x:c>
      <x:c r="U882" s="14" t="str">
        <x:v>Не контактували</x:v>
      </x:c>
      <x:c r="V882" s="15" t="str">
        <x:v>Workflow-audit outreach по UA-2026-03-03-006192-a; попросити 1 пакет здачі та вимоги проєкту</x:v>
      </x:c>
      <x:c r="W882" s="15" t="str">
        <x:v>Власник / директор; керівник ПТО; відповідальний за договори</x:v>
      </x:c>
      <x:c r="X882" s="15" t="str">
        <x:v>3 нових підтверджених перемог/договорів у Prozorro на 3 001 700 грн; 2 зі строком виконання не раніше 24.08.2026.</x:v>
      </x:c>
      <x:c r="Y882"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82" s="15" t="str">
        <x:v>https://prozorro.gov.ua/tender/UA-2026-03-03-006192-a</x:v>
      </x:c>
      <x:c r="AA882" s="14" t="str">
        <x:v>44939929</x:v>
      </x:c>
      <x:c r="AB882" s="14" t="str">
        <x:v>2026-08-24</x:v>
      </x:c>
      <x:c r="AC882" s="14" t="str"/>
      <x:c r="AD882" s="20" t="str"/>
      <x:c r="AE882" s="14" t="str"/>
      <x:c r="AF882" s="14" t="n">
        <x:v>70</x:v>
      </x:c>
      <x:c r="AG882" s="14" t="str">
        <x:v>I2</x:v>
      </x:c>
      <x:c r="AH882" s="14" t="n">
        <x:v>3</x:v>
      </x:c>
      <x:c r="AI882" s="14" t="n">
        <x:v>2</x:v>
      </x:c>
      <x:c r="AJ882" s="18" t="n">
        <x:v>3001700</x:v>
      </x:c>
      <x:c r="AK882" s="14" t="str">
        <x:v>https://prozorro.gov.ua/tender/UA-2026-03-03-006192-a</x:v>
      </x:c>
      <x:c r="AL882" s="19" t="n">
        <x:v>46094.520546493055</x:v>
      </x:c>
      <x:c r="AM882" s="19" t="n">
        <x:v>46387.4303125</x:v>
      </x:c>
      <x:c r="AN882" s="15" t="str">
        <x:v>Благоустрій</x:v>
      </x:c>
      <x:c r="AO882" s="15" t="str">
        <x:v>not_found_in_top_search</x:v>
      </x:c>
    </x:row>
    <x:row r="883">
      <x:c r="A883" s="14" t="str">
        <x:v>W4-064</x:v>
      </x:c>
      <x:c r="B883" s="14" t="str">
        <x:v>Prozorro expansion — 24.08</x:v>
      </x:c>
      <x:c r="C883" s="14" t="str">
        <x:v>ТОВ Амструд</x:v>
      </x:c>
      <x:c r="D883" s="14" t="str">
        <x:v>Дорожні роботи</x:v>
      </x:c>
      <x:c r="E883" s="14" t="str">
        <x:v>Expansion discovery</x:v>
      </x:c>
      <x:c r="F883" s="17" t="str">
        <x:v>D2</x:v>
      </x:c>
      <x:c r="G883" s="14" t="str"/>
      <x:c r="H883" s="14" t="str">
        <x:v>Discovery розширення — 2 тижні</x:v>
      </x:c>
      <x:c r="I883" s="16" t="n">
        <x:v>1</x:v>
      </x:c>
      <x:c r="J883" s="16" t="n">
        <x:v>5</x:v>
      </x:c>
      <x:c r="K883" s="16" t="n">
        <x:v>4</x:v>
      </x:c>
      <x:c r="L883" s="16" t="n">
        <x:v>3</x:v>
      </x:c>
      <x:c r="M883" s="16" t="n">
        <x:v>5</x:v>
      </x:c>
      <x:c r="N883" s="16" t="n">
        <x:v>5</x:v>
      </x:c>
      <x:c r="O883" s="16" t="n">
        <x:v>3</x:v>
      </x:c>
      <x:c r="P883" s="16" t="n">
        <x:f>IF(COUNT(I883:O883)&lt;7,"",I883*8+J883*3+K883*2+L883*2+M883*2+N883*2+O883)</x:f>
        <x:v>60</x:v>
      </x:c>
      <x:c r="Q883" s="16" t="n">
        <x:f>IF(COUNT(J883:O883)&lt;6,"",J883*5+K883*4+M883*4+L883*3+N883*2+O883*2)</x:f>
        <x:v>86</x:v>
      </x:c>
      <x:c r="R883" s="14" t="str">
        <x:v>high</x:v>
      </x:c>
      <x:c r="S883" s="14" t="str">
        <x:v>official_prozorro_award_2024_2026</x:v>
      </x:c>
      <x:c r="T883" s="14" t="str">
        <x:v>official_prozorro_api</x:v>
      </x:c>
      <x:c r="U883" s="14" t="str">
        <x:v>Не контактували</x:v>
      </x:c>
      <x:c r="V883" s="15" t="str">
        <x:v>Workflow-audit outreach по UA-2026-08-12-005710-a; попросити 1 пакет здачі та вимоги проєкту</x:v>
      </x:c>
      <x:c r="W883" s="15" t="str">
        <x:v>Власник / директор; керівник ПТО; відповідальний за договори</x:v>
      </x:c>
      <x:c r="X883" s="15" t="str">
        <x:v>2 нових підтверджених перемог/договорів у Prozorro на 1 688 064 грн; 2 зі строком виконання не раніше 24.08.2026.</x:v>
      </x:c>
      <x:c r="Y883" s="15" t="str">
        <x:v>Капітальний ремонт дорожнього покриття по вул. Благовісна в с. Щасливе Бориспільського району Київської області; строк до 2026-12-31. Попросити один знеособлений пакет здачі за цим workflow.</x:v>
      </x:c>
      <x:c r="Z883" s="15" t="str">
        <x:v>https://prozorro.gov.ua/tender/UA-2026-08-12-005710-a</x:v>
      </x:c>
      <x:c r="AA883" s="14" t="str">
        <x:v>39865269</x:v>
      </x:c>
      <x:c r="AB883" s="14" t="str">
        <x:v>2026-08-24</x:v>
      </x:c>
      <x:c r="AC883" s="14" t="str"/>
      <x:c r="AD883" s="20" t="str"/>
      <x:c r="AE883" s="14" t="str"/>
      <x:c r="AF883" s="14" t="n">
        <x:v>70</x:v>
      </x:c>
      <x:c r="AG883" s="14" t="str">
        <x:v>I2</x:v>
      </x:c>
      <x:c r="AH883" s="14" t="n">
        <x:v>2</x:v>
      </x:c>
      <x:c r="AI883" s="14" t="n">
        <x:v>2</x:v>
      </x:c>
      <x:c r="AJ883" s="18" t="n">
        <x:v>1688063.54</x:v>
      </x:c>
      <x:c r="AK883" s="14" t="str">
        <x:v>https://prozorro.gov.ua/tender/UA-2026-08-12-005710-a</x:v>
      </x:c>
      <x:c r="AL883" s="19" t="n">
        <x:v>46246.42828355324</x:v>
      </x:c>
      <x:c r="AM883" s="19" t="n">
        <x:v>46387.47287037037</x:v>
      </x:c>
      <x:c r="AN883" s="15" t="str">
        <x:v>Дорожні роботи</x:v>
      </x:c>
      <x:c r="AO883" s="15" t="str">
        <x:v>not_found_in_top_search</x:v>
      </x:c>
    </x:row>
    <x:row r="884">
      <x:c r="A884" s="14" t="str">
        <x:v>W4-065</x:v>
      </x:c>
      <x:c r="B884" s="14" t="str">
        <x:v>Prozorro expansion — 24.08</x:v>
      </x:c>
      <x:c r="C884" s="14" t="str">
        <x:v>ТОВАРИСТВО З ОБМЕЖЕНОЮ ВІДПОВІДАЛЬНІСТЮ "НАДІЙНА ОСЕЛЯ В"</x:v>
      </x:c>
      <x:c r="D884" s="14" t="str">
        <x:v>Металоконструкції</x:v>
      </x:c>
      <x:c r="E884" s="14" t="str">
        <x:v>Expansion discovery</x:v>
      </x:c>
      <x:c r="F884" s="17" t="str">
        <x:v>D2</x:v>
      </x:c>
      <x:c r="G884" s="14" t="str"/>
      <x:c r="H884" s="14" t="str">
        <x:v>Discovery розширення — 2 тижні</x:v>
      </x:c>
      <x:c r="I884" s="16" t="n">
        <x:v>1</x:v>
      </x:c>
      <x:c r="J884" s="16" t="n">
        <x:v>5</x:v>
      </x:c>
      <x:c r="K884" s="16" t="n">
        <x:v>5</x:v>
      </x:c>
      <x:c r="L884" s="16" t="n">
        <x:v>3</x:v>
      </x:c>
      <x:c r="M884" s="16" t="n">
        <x:v>5</x:v>
      </x:c>
      <x:c r="N884" s="16" t="n">
        <x:v>5</x:v>
      </x:c>
      <x:c r="O884" s="16" t="n">
        <x:v>3</x:v>
      </x:c>
      <x:c r="P884" s="16" t="n">
        <x:f>IF(COUNT(I884:O884)&lt;7,"",I884*8+J884*3+K884*2+L884*2+M884*2+N884*2+O884)</x:f>
        <x:v>62</x:v>
      </x:c>
      <x:c r="Q884" s="16" t="n">
        <x:f>IF(COUNT(J884:O884)&lt;6,"",J884*5+K884*4+M884*4+L884*3+N884*2+O884*2)</x:f>
        <x:v>90</x:v>
      </x:c>
      <x:c r="R884" s="14" t="str">
        <x:v>high</x:v>
      </x:c>
      <x:c r="S884" s="14" t="str">
        <x:v>official_prozorro_award_2024_2026</x:v>
      </x:c>
      <x:c r="T884" s="14" t="str">
        <x:v>official_prozorro_api</x:v>
      </x:c>
      <x:c r="U884" s="14" t="str">
        <x:v>Не контактували</x:v>
      </x:c>
      <x:c r="V884" s="15" t="str">
        <x:v>Workflow-audit outreach по UA-2026-07-10-005670-a; попросити 1 пакет здачі та вимоги проєкту</x:v>
      </x:c>
      <x:c r="W884" s="15" t="str">
        <x:v>Власник / директор; керівник ПТО; відповідальний за договори</x:v>
      </x:c>
      <x:c r="X884" s="15" t="str">
        <x:v>2 нових підтверджених перемог/договорів у Prozorro на 848 116 грн; 0 зі строком виконання не раніше 24.08.2026.</x:v>
      </x:c>
      <x:c r="Y884" s="15" t="str">
        <x:v>виготовлення,збирання та монтаж металоконструкцій  складу для зберігання пелетів у Зорянському ліцеї; строк до 2026-07-14. Попросити один знеособлений пакет здачі за цим workflow.</x:v>
      </x:c>
      <x:c r="Z884" s="15" t="str">
        <x:v>https://prozorro.gov.ua/tender/UA-2026-07-10-005670-a</x:v>
      </x:c>
      <x:c r="AA884" s="14" t="str">
        <x:v>39337866</x:v>
      </x:c>
      <x:c r="AB884" s="14" t="str">
        <x:v>2026-08-24</x:v>
      </x:c>
      <x:c r="AC884" s="14" t="str"/>
      <x:c r="AD884" s="20" t="str"/>
      <x:c r="AE884" s="14" t="str"/>
      <x:c r="AF884" s="14" t="n">
        <x:v>70</x:v>
      </x:c>
      <x:c r="AG884" s="14" t="str">
        <x:v>I2</x:v>
      </x:c>
      <x:c r="AH884" s="14" t="n">
        <x:v>2</x:v>
      </x:c>
      <x:c r="AI884" s="14" t="n">
        <x:v>0</x:v>
      </x:c>
      <x:c r="AJ884" s="18" t="n">
        <x:v>848115.66</x:v>
      </x:c>
      <x:c r="AK884" s="14" t="str">
        <x:v>https://prozorro.gov.ua/tender/UA-2026-07-10-005670-a</x:v>
      </x:c>
      <x:c r="AL884" s="19" t="n">
        <x:v>46213.415942893516</x:v>
      </x:c>
      <x:c r="AM884" s="19" t="n">
        <x:v>46217</x:v>
      </x:c>
      <x:c r="AN884" s="15" t="str">
        <x:v>Металоконструкції</x:v>
      </x:c>
      <x:c r="AO884" s="15" t="str">
        <x:v>not_found_in_top_search</x:v>
      </x:c>
    </x:row>
    <x:row r="885">
      <x:c r="A885" s="14" t="str">
        <x:v>W4-066</x:v>
      </x:c>
      <x:c r="B885" s="14" t="str">
        <x:v>Prozorro expansion — 24.08</x:v>
      </x:c>
      <x:c r="C885" s="14" t="str">
        <x:v>ПП "СК-ПОДІЛЛЯ"</x:v>
      </x:c>
      <x:c r="D885" s="14" t="str">
        <x:v>Електромонтаж</x:v>
      </x:c>
      <x:c r="E885" s="14" t="str">
        <x:v>Pilot now</x:v>
      </x:c>
      <x:c r="F885" s="17" t="str">
        <x:v>P2</x:v>
      </x:c>
      <x:c r="G885" s="14" t="str"/>
      <x:c r="H885" s="14" t="str">
        <x:v>Пілот зараз — Н.15</x:v>
      </x:c>
      <x:c r="I885" s="16" t="n">
        <x:v>5</x:v>
      </x:c>
      <x:c r="J885" s="16" t="n">
        <x:v>5</x:v>
      </x:c>
      <x:c r="K885" s="16" t="n">
        <x:v>4</x:v>
      </x:c>
      <x:c r="L885" s="16" t="n">
        <x:v>3</x:v>
      </x:c>
      <x:c r="M885" s="16" t="n">
        <x:v>5</x:v>
      </x:c>
      <x:c r="N885" s="16" t="n">
        <x:v>5</x:v>
      </x:c>
      <x:c r="O885" s="16" t="n">
        <x:v>3</x:v>
      </x:c>
      <x:c r="P885" s="16" t="n">
        <x:f>IF(COUNT(I885:O885)&lt;7,"",I885*8+J885*3+K885*2+L885*2+M885*2+N885*2+O885)</x:f>
        <x:v>92</x:v>
      </x:c>
      <x:c r="Q885" s="16" t="n">
        <x:f>IF(COUNT(J885:O885)&lt;6,"",J885*5+K885*4+M885*4+L885*3+N885*2+O885*2)</x:f>
        <x:v>86</x:v>
      </x:c>
      <x:c r="R885" s="14" t="str">
        <x:v>high</x:v>
      </x:c>
      <x:c r="S885" s="14" t="str">
        <x:v>official_prozorro_award_2024_2026</x:v>
      </x:c>
      <x:c r="T885" s="14" t="str">
        <x:v>official_prozorro_api</x:v>
      </x:c>
      <x:c r="U885" s="14" t="str">
        <x:v>Не контактували</x:v>
      </x:c>
      <x:c r="V885" s="15" t="str">
        <x:v>Повторне звернення з новим тендерним сигналом UA-2026-04-15-005950-a; попросити 1 пакет здачі</x:v>
      </x:c>
      <x:c r="W885" s="15" t="str">
        <x:v>Власник / директор; керівник ПТО; відповідальний за договори</x:v>
      </x:c>
      <x:c r="X885" s="15" t="str">
        <x:v>2 нових підтверджених перемог/договорів у Prozorro на 838 648 грн; 0 зі строком виконання не раніше 24.08.2026.</x:v>
      </x:c>
      <x:c r="Y885" s="15" t="str">
        <x:v>Електромонтажні роботи; строк до 2026-07-31. Попросити один знеособлений пакет здачі за цим workflow.</x:v>
      </x:c>
      <x:c r="Z885" s="15" t="str">
        <x:v>https://prozorro.gov.ua/tender/UA-2026-07-10-010479-a</x:v>
      </x:c>
      <x:c r="AA885" s="14" t="str">
        <x:v>43108790</x:v>
      </x:c>
      <x:c r="AB885" s="14" t="str">
        <x:v>2026-08-24</x:v>
      </x:c>
      <x:c r="AC885" s="14" t="str"/>
      <x:c r="AD885" s="20" t="str"/>
      <x:c r="AE885" s="14" t="str"/>
      <x:c r="AF885" s="14" t="n">
        <x:v>70</x:v>
      </x:c>
      <x:c r="AG885" s="14" t="str">
        <x:v>I2</x:v>
      </x:c>
      <x:c r="AH885" s="14" t="n">
        <x:v>3</x:v>
      </x:c>
      <x:c r="AI885" s="14" t="n">
        <x:v>1</x:v>
      </x:c>
      <x:c r="AJ885" s="18" t="n">
        <x:v>1337935.6</x:v>
      </x:c>
      <x:c r="AK885" s="14" t="str">
        <x:v>https://prozorro.gov.ua/tender/UA-2026-04-15-005950-a</x:v>
      </x:c>
      <x:c r="AL885" s="19" t="n">
        <x:v>46127.41543148148</x:v>
      </x:c>
      <x:c r="AM885" s="19" t="n">
        <x:v>46387</x:v>
      </x:c>
      <x:c r="AN885" s="15" t="str">
        <x:v>Електромонтаж; Ремонт і підсилення бетону</x:v>
      </x:c>
      <x:c r="AO885" s="15" t="str">
        <x:v>not_found_in_top_search</x:v>
      </x:c>
    </x:row>
    <x:row r="886">
      <x:c r="A886" s="14" t="str">
        <x:v>W4-067</x:v>
      </x:c>
      <x:c r="B886" s="14" t="str">
        <x:v>Prozorro expansion — 24.08</x:v>
      </x:c>
      <x:c r="C886"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D886" s="14" t="str">
        <x:v>Пасивний вогнезахист</x:v>
      </x:c>
      <x:c r="E886" s="14" t="str">
        <x:v>Expansion discovery</x:v>
      </x:c>
      <x:c r="F886" s="17" t="str">
        <x:v>D2</x:v>
      </x:c>
      <x:c r="G886" s="14" t="str"/>
      <x:c r="H886" s="14" t="str">
        <x:v>Discovery розширення — 2 тижні</x:v>
      </x:c>
      <x:c r="I886" s="16" t="n">
        <x:v>1</x:v>
      </x:c>
      <x:c r="J886" s="16" t="n">
        <x:v>5</x:v>
      </x:c>
      <x:c r="K886" s="16" t="n">
        <x:v>5</x:v>
      </x:c>
      <x:c r="L886" s="16" t="n">
        <x:v>2</x:v>
      </x:c>
      <x:c r="M886" s="16" t="n">
        <x:v>5</x:v>
      </x:c>
      <x:c r="N886" s="16" t="n">
        <x:v>3</x:v>
      </x:c>
      <x:c r="O886" s="16" t="n">
        <x:v>3</x:v>
      </x:c>
      <x:c r="P886" s="16" t="n">
        <x:f>IF(COUNT(I886:O886)&lt;7,"",I886*8+J886*3+K886*2+L886*2+M886*2+N886*2+O886)</x:f>
        <x:v>56</x:v>
      </x:c>
      <x:c r="Q886" s="16" t="n">
        <x:f>IF(COUNT(J886:O886)&lt;6,"",J886*5+K886*4+M886*4+L886*3+N886*2+O886*2)</x:f>
        <x:v>83</x:v>
      </x:c>
      <x:c r="R886" s="14" t="str">
        <x:v>high</x:v>
      </x:c>
      <x:c r="S886" s="14" t="str">
        <x:v>official_prozorro_award_2024_2026</x:v>
      </x:c>
      <x:c r="T886" s="14" t="str">
        <x:v>official_prozorro_api</x:v>
      </x:c>
      <x:c r="U886" s="14" t="str">
        <x:v>Не контактували</x:v>
      </x:c>
      <x:c r="V886" s="15" t="str">
        <x:v>Workflow-audit outreach по UA-2026-07-09-002848-a; попросити 1 пакет здачі та вимоги проєкту</x:v>
      </x:c>
      <x:c r="W886" s="15" t="str">
        <x:v>Власник / виконавець; відповідальний за договір</x:v>
      </x:c>
      <x:c r="X886" s="15" t="str">
        <x:v>3 нових підтверджених перемог/договорів у Prozorro на 180 000 грн; 3 зі строком виконання не раніше 24.08.2026.</x:v>
      </x:c>
      <x:c r="Y886" s="15" t="str">
        <x:v>послуга з вогнезахисної  обробки дерев'яних конструкцій даху ; строк до 2026-12-31. Попросити один знеособлений пакет здачі за цим workflow.</x:v>
      </x:c>
      <x:c r="Z886" s="15" t="str">
        <x:v>https://prozorro.gov.ua/tender/UA-2026-07-09-002848-a</x:v>
      </x:c>
      <x:c r="AA886" s="14" t="str">
        <x:v>3082908695</x:v>
      </x:c>
      <x:c r="AB886" s="14" t="str">
        <x:v>2026-08-24</x:v>
      </x:c>
      <x:c r="AC886" s="14" t="str"/>
      <x:c r="AD886" s="20" t="str"/>
      <x:c r="AE886" s="14" t="str"/>
      <x:c r="AF886" s="14" t="n">
        <x:v>70</x:v>
      </x:c>
      <x:c r="AG886" s="14" t="str">
        <x:v>I2</x:v>
      </x:c>
      <x:c r="AH886" s="14" t="n">
        <x:v>3</x:v>
      </x:c>
      <x:c r="AI886" s="14" t="n">
        <x:v>3</x:v>
      </x:c>
      <x:c r="AJ886" s="18" t="n">
        <x:v>180000</x:v>
      </x:c>
      <x:c r="AK886" s="14" t="str">
        <x:v>https://prozorro.gov.ua/tender/UA-2026-07-09-002848-a</x:v>
      </x:c>
      <x:c r="AL886" s="19" t="n">
        <x:v>46212.33465424769</x:v>
      </x:c>
      <x:c r="AM886" s="19" t="n">
        <x:v>46387</x:v>
      </x:c>
      <x:c r="AN886" s="15" t="str">
        <x:v>Пасивний вогнезахист</x:v>
      </x:c>
      <x:c r="AO886" s="15" t="str">
        <x:v>not_found_in_top_search</x:v>
      </x:c>
    </x:row>
    <x:row r="887">
      <x:c r="A887" s="14" t="str">
        <x:v>W4-068</x:v>
      </x:c>
      <x:c r="B887" s="14" t="str">
        <x:v>Prozorro expansion — 24.08</x:v>
      </x:c>
      <x:c r="C887" s="14" t="str">
        <x:v>ПОНОМАРЕНКО ОЛЕКСАНДР РОМАНОВИЧ</x:v>
      </x:c>
      <x:c r="D887" s="14" t="str">
        <x:v>Пасивний вогнезахист</x:v>
      </x:c>
      <x:c r="E887" s="14" t="str">
        <x:v>Expansion discovery</x:v>
      </x:c>
      <x:c r="F887" s="17" t="str">
        <x:v>D2</x:v>
      </x:c>
      <x:c r="G887" s="14" t="str"/>
      <x:c r="H887" s="14" t="str">
        <x:v>Discovery розширення — 2 тижні</x:v>
      </x:c>
      <x:c r="I887" s="16" t="n">
        <x:v>1</x:v>
      </x:c>
      <x:c r="J887" s="16" t="n">
        <x:v>5</x:v>
      </x:c>
      <x:c r="K887" s="16" t="n">
        <x:v>5</x:v>
      </x:c>
      <x:c r="L887" s="16" t="n">
        <x:v>2</x:v>
      </x:c>
      <x:c r="M887" s="16" t="n">
        <x:v>5</x:v>
      </x:c>
      <x:c r="N887" s="16" t="n">
        <x:v>3</x:v>
      </x:c>
      <x:c r="O887" s="16" t="n">
        <x:v>3</x:v>
      </x:c>
      <x:c r="P887" s="16" t="n">
        <x:f>IF(COUNT(I887:O887)&lt;7,"",I887*8+J887*3+K887*2+L887*2+M887*2+N887*2+O887)</x:f>
        <x:v>56</x:v>
      </x:c>
      <x:c r="Q887" s="16" t="n">
        <x:f>IF(COUNT(J887:O887)&lt;6,"",J887*5+K887*4+M887*4+L887*3+N887*2+O887*2)</x:f>
        <x:v>83</x:v>
      </x:c>
      <x:c r="R887" s="14" t="str">
        <x:v>high</x:v>
      </x:c>
      <x:c r="S887" s="14" t="str">
        <x:v>official_prozorro_award_2024_2026</x:v>
      </x:c>
      <x:c r="T887" s="14" t="str">
        <x:v>official_prozorro_api</x:v>
      </x:c>
      <x:c r="U887" s="14" t="str">
        <x:v>Не контактували</x:v>
      </x:c>
      <x:c r="V887" s="15" t="str">
        <x:v>Workflow-audit outreach по UA-2026-05-28-006068-a; попросити 1 пакет здачі та вимоги проєкту</x:v>
      </x:c>
      <x:c r="W887" s="15" t="str">
        <x:v>Власник / виконавець; відповідальний за договір</x:v>
      </x:c>
      <x:c r="X887" s="15" t="str">
        <x:v>3 нових підтверджених перемог/договорів у Prozorro на 132 204 грн; 3 зі строком виконання не раніше 24.08.2026.</x:v>
      </x:c>
      <x:c r="Y887" s="15" t="str">
        <x:v>Вогнезахисна обробка будівельних конструкцій горища; строк до 2026-12-31. Попросити один знеособлений пакет здачі за цим workflow.</x:v>
      </x:c>
      <x:c r="Z887" s="15" t="str">
        <x:v>https://prozorro.gov.ua/tender/UA-2026-05-28-006068-a</x:v>
      </x:c>
      <x:c r="AA887" s="14" t="str">
        <x:v>2262116093</x:v>
      </x:c>
      <x:c r="AB887" s="14" t="str">
        <x:v>2026-08-24</x:v>
      </x:c>
      <x:c r="AC887" s="14" t="str"/>
      <x:c r="AD887" s="20" t="str"/>
      <x:c r="AE887" s="14" t="str"/>
      <x:c r="AF887" s="14" t="n">
        <x:v>70</x:v>
      </x:c>
      <x:c r="AG887" s="14" t="str">
        <x:v>I2</x:v>
      </x:c>
      <x:c r="AH887" s="14" t="n">
        <x:v>3</x:v>
      </x:c>
      <x:c r="AI887" s="14" t="n">
        <x:v>3</x:v>
      </x:c>
      <x:c r="AJ887" s="18" t="n">
        <x:v>132204</x:v>
      </x:c>
      <x:c r="AK887" s="14" t="str">
        <x:v>https://prozorro.gov.ua/tender/UA-2026-05-28-006068-a</x:v>
      </x:c>
      <x:c r="AL887" s="19" t="n">
        <x:v>46170.41308081018</x:v>
      </x:c>
      <x:c r="AM887" s="19" t="n">
        <x:v>46387</x:v>
      </x:c>
      <x:c r="AN887" s="15" t="str">
        <x:v>Пасивний вогнезахист</x:v>
      </x:c>
      <x:c r="AO887" s="15" t="str">
        <x:v>not_found_in_top_search</x:v>
      </x:c>
    </x:row>
    <x:row r="888">
      <x:c r="A888" s="14" t="str">
        <x:v>W4-069</x:v>
      </x:c>
      <x:c r="B888" s="14" t="str">
        <x:v>Prozorro expansion — 24.08</x:v>
      </x:c>
      <x:c r="C888" s="14" t="str">
        <x:v>ТОВАРИСТВО З ОБМЕЖЕНОЮ ВІДПОВІДАЛЬНІСТЮ «БУДІВЕЛЬНО-МОНТАЖНЕ УПРАВЛІННЯ № 460»</x:v>
      </x:c>
      <x:c r="D888" s="14" t="str">
        <x:v>Теплові мережі</x:v>
      </x:c>
      <x:c r="E888" s="14" t="str">
        <x:v>Expansion discovery</x:v>
      </x:c>
      <x:c r="F888" s="17" t="str">
        <x:v>D2</x:v>
      </x:c>
      <x:c r="G888" s="14" t="str"/>
      <x:c r="H888" s="14" t="str">
        <x:v>Discovery розширення — 2 тижні</x:v>
      </x:c>
      <x:c r="I888" s="16" t="n">
        <x:v>1</x:v>
      </x:c>
      <x:c r="J888" s="16" t="n">
        <x:v>5</x:v>
      </x:c>
      <x:c r="K888" s="16" t="n">
        <x:v>4</x:v>
      </x:c>
      <x:c r="L888" s="16" t="n">
        <x:v>5</x:v>
      </x:c>
      <x:c r="M888" s="16" t="n">
        <x:v>5</x:v>
      </x:c>
      <x:c r="N888" s="16" t="n">
        <x:v>5</x:v>
      </x:c>
      <x:c r="O888" s="16" t="n">
        <x:v>3</x:v>
      </x:c>
      <x:c r="P888" s="16" t="n">
        <x:f>IF(COUNT(I888:O888)&lt;7,"",I888*8+J888*3+K888*2+L888*2+M888*2+N888*2+O888)</x:f>
        <x:v>64</x:v>
      </x:c>
      <x:c r="Q888" s="16" t="n">
        <x:f>IF(COUNT(J888:O888)&lt;6,"",J888*5+K888*4+M888*4+L888*3+N888*2+O888*2)</x:f>
        <x:v>92</x:v>
      </x:c>
      <x:c r="R888" s="14" t="str">
        <x:v>high</x:v>
      </x:c>
      <x:c r="S888" s="14" t="str">
        <x:v>official_prozorro_award_2024_2026</x:v>
      </x:c>
      <x:c r="T888" s="14" t="str">
        <x:v>official_prozorro_api</x:v>
      </x:c>
      <x:c r="U888" s="14" t="str">
        <x:v>Не контактували</x:v>
      </x:c>
      <x:c r="V888" s="15" t="str">
        <x:v>Workflow-audit outreach по UA-2026-07-23-003234-a; попросити 1 пакет здачі та вимоги проєкту</x:v>
      </x:c>
      <x:c r="W888" s="15" t="str">
        <x:v>Власник / директор; керівник ПТО; відповідальний за договори</x:v>
      </x:c>
      <x:c r="X888" s="15" t="str">
        <x:v>1 нових підтверджених перемог/договорів у Prozorro на 57 926 868 грн; 1 зі строком виконання не раніше 24.08.2026.</x:v>
      </x:c>
      <x:c r="Y888"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 строк до 2026-12-30. Попросити один знеособлений пакет здачі за цим workflow.</x:v>
      </x:c>
      <x:c r="Z888" s="15" t="str">
        <x:v>https://prozorro.gov.ua/tender/UA-2026-07-23-003234-a</x:v>
      </x:c>
      <x:c r="AA888" s="14" t="str">
        <x:v>42316673</x:v>
      </x:c>
      <x:c r="AB888" s="14" t="str">
        <x:v>2026-08-24</x:v>
      </x:c>
      <x:c r="AC888" s="14" t="str"/>
      <x:c r="AD888" s="20" t="str"/>
      <x:c r="AE888" s="14" t="str"/>
      <x:c r="AF888" s="14" t="n">
        <x:v>68</x:v>
      </x:c>
      <x:c r="AG888" s="14" t="str">
        <x:v>I2</x:v>
      </x:c>
      <x:c r="AH888" s="14" t="n">
        <x:v>1</x:v>
      </x:c>
      <x:c r="AI888" s="14" t="n">
        <x:v>1</x:v>
      </x:c>
      <x:c r="AJ888" s="18" t="n">
        <x:v>57926867.77</x:v>
      </x:c>
      <x:c r="AK888" s="14" t="str">
        <x:v>https://prozorro.gov.ua/tender/UA-2026-07-23-003234-a</x:v>
      </x:c>
      <x:c r="AL888" s="19" t="n">
        <x:v>46226.34141623843</x:v>
      </x:c>
      <x:c r="AM888" s="19" t="n">
        <x:v>46386</x:v>
      </x:c>
      <x:c r="AN888" s="15" t="str">
        <x:v>Теплові мережі</x:v>
      </x:c>
      <x:c r="AO888" s="15" t="str">
        <x:v>not_found_in_top_search</x:v>
      </x:c>
    </x:row>
    <x:row r="889">
      <x:c r="A889" s="14" t="str">
        <x:v>W4-070</x:v>
      </x:c>
      <x:c r="B889" s="14" t="str">
        <x:v>Prozorro expansion — 24.08</x:v>
      </x:c>
      <x:c r="C889" s="14" t="str">
        <x:v>ТОВАРИСТВО З ОБМЕЖЕНОЮ ВІДПОВІДАЛЬНІСТЮ "РЕГДОРСТРОЙ"</x:v>
      </x:c>
      <x:c r="D889" s="14" t="str">
        <x:v>Дорожні роботи</x:v>
      </x:c>
      <x:c r="E889" s="14" t="str">
        <x:v>Expansion discovery</x:v>
      </x:c>
      <x:c r="F889" s="17" t="str">
        <x:v>D2</x:v>
      </x:c>
      <x:c r="G889" s="14" t="str"/>
      <x:c r="H889" s="14" t="str">
        <x:v>Discovery розширення — 2 тижні</x:v>
      </x:c>
      <x:c r="I889" s="16" t="n">
        <x:v>1</x:v>
      </x:c>
      <x:c r="J889" s="16" t="n">
        <x:v>5</x:v>
      </x:c>
      <x:c r="K889" s="16" t="n">
        <x:v>4</x:v>
      </x:c>
      <x:c r="L889" s="16" t="n">
        <x:v>5</x:v>
      </x:c>
      <x:c r="M889" s="16" t="n">
        <x:v>5</x:v>
      </x:c>
      <x:c r="N889" s="16" t="n">
        <x:v>5</x:v>
      </x:c>
      <x:c r="O889" s="16" t="n">
        <x:v>3</x:v>
      </x:c>
      <x:c r="P889" s="16" t="n">
        <x:f>IF(COUNT(I889:O889)&lt;7,"",I889*8+J889*3+K889*2+L889*2+M889*2+N889*2+O889)</x:f>
        <x:v>64</x:v>
      </x:c>
      <x:c r="Q889" s="16" t="n">
        <x:f>IF(COUNT(J889:O889)&lt;6,"",J889*5+K889*4+M889*4+L889*3+N889*2+O889*2)</x:f>
        <x:v>92</x:v>
      </x:c>
      <x:c r="R889" s="14" t="str">
        <x:v>high</x:v>
      </x:c>
      <x:c r="S889" s="14" t="str">
        <x:v>official_prozorro_award_2024_2026</x:v>
      </x:c>
      <x:c r="T889" s="14" t="str">
        <x:v>official_prozorro_api</x:v>
      </x:c>
      <x:c r="U889" s="14" t="str">
        <x:v>Не контактували</x:v>
      </x:c>
      <x:c r="V889" s="15" t="str">
        <x:v>Workflow-audit outreach по UA-2026-07-22-001836-a; попросити 1 пакет здачі та вимоги проєкту</x:v>
      </x:c>
      <x:c r="W889" s="15" t="str">
        <x:v>Власник / директор; керівник ПТО; відповідальний за договори</x:v>
      </x:c>
      <x:c r="X889" s="15" t="str">
        <x:v>1 нових підтверджених перемог/договорів у Prozorro на 43 155 679 грн; 1 зі строком виконання не раніше 24.08.2026.</x:v>
      </x:c>
      <x:c r="Y889"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 строк до 2026-11-30. Попросити один знеособлений пакет здачі за цим workflow.</x:v>
      </x:c>
      <x:c r="Z889" s="15" t="str">
        <x:v>https://prozorro.gov.ua/tender/UA-2026-07-22-001836-a</x:v>
      </x:c>
      <x:c r="AA889" s="14" t="str">
        <x:v>39391847</x:v>
      </x:c>
      <x:c r="AB889" s="14" t="str">
        <x:v>2026-08-24</x:v>
      </x:c>
      <x:c r="AC889" s="14" t="str"/>
      <x:c r="AD889" s="20" t="str"/>
      <x:c r="AE889" s="14" t="str"/>
      <x:c r="AF889" s="14" t="n">
        <x:v>68</x:v>
      </x:c>
      <x:c r="AG889" s="14" t="str">
        <x:v>I2</x:v>
      </x:c>
      <x:c r="AH889" s="14" t="n">
        <x:v>1</x:v>
      </x:c>
      <x:c r="AI889" s="14" t="n">
        <x:v>1</x:v>
      </x:c>
      <x:c r="AJ889" s="18" t="n">
        <x:v>43155678.8</x:v>
      </x:c>
      <x:c r="AK889" s="14" t="str">
        <x:v>https://prozorro.gov.ua/tender/UA-2026-07-22-001836-a</x:v>
      </x:c>
      <x:c r="AL889" s="19" t="n">
        <x:v>46241.351182314815</x:v>
      </x:c>
      <x:c r="AM889" s="19" t="n">
        <x:v>46356</x:v>
      </x:c>
      <x:c r="AN889" s="15" t="str">
        <x:v>Дорожні роботи</x:v>
      </x:c>
      <x:c r="AO889" s="15" t="str">
        <x:v>not_found_in_top_search</x:v>
      </x:c>
    </x:row>
    <x:row r="890">
      <x:c r="A890" s="14" t="str">
        <x:v>W4-071</x:v>
      </x:c>
      <x:c r="B890" s="14" t="str">
        <x:v>Prozorro expansion — 24.08</x:v>
      </x:c>
      <x:c r="C890" s="14" t="str">
        <x:v>ПП "МЕГАПРОМБУДІМПЕКС"</x:v>
      </x:c>
      <x:c r="D890" s="14" t="str">
        <x:v>Дорожні роботи</x:v>
      </x:c>
      <x:c r="E890" s="14" t="str">
        <x:v>Expansion discovery</x:v>
      </x:c>
      <x:c r="F890" s="17" t="str">
        <x:v>D2</x:v>
      </x:c>
      <x:c r="G890" s="14" t="str"/>
      <x:c r="H890" s="14" t="str">
        <x:v>Discovery розширення — 2 тижні</x:v>
      </x:c>
      <x:c r="I890" s="16" t="n">
        <x:v>1</x:v>
      </x:c>
      <x:c r="J890" s="16" t="n">
        <x:v>5</x:v>
      </x:c>
      <x:c r="K890" s="16" t="n">
        <x:v>4</x:v>
      </x:c>
      <x:c r="L890" s="16" t="n">
        <x:v>5</x:v>
      </x:c>
      <x:c r="M890" s="16" t="n">
        <x:v>5</x:v>
      </x:c>
      <x:c r="N890" s="16" t="n">
        <x:v>5</x:v>
      </x:c>
      <x:c r="O890" s="16" t="n">
        <x:v>3</x:v>
      </x:c>
      <x:c r="P890" s="16" t="n">
        <x:f>IF(COUNT(I890:O890)&lt;7,"",I890*8+J890*3+K890*2+L890*2+M890*2+N890*2+O890)</x:f>
        <x:v>64</x:v>
      </x:c>
      <x:c r="Q890" s="16" t="n">
        <x:f>IF(COUNT(J890:O890)&lt;6,"",J890*5+K890*4+M890*4+L890*3+N890*2+O890*2)</x:f>
        <x:v>92</x:v>
      </x:c>
      <x:c r="R890" s="14" t="str">
        <x:v>high</x:v>
      </x:c>
      <x:c r="S890" s="14" t="str">
        <x:v>official_prozorro_award_2024_2026</x:v>
      </x:c>
      <x:c r="T890" s="14" t="str">
        <x:v>official_prozorro_api</x:v>
      </x:c>
      <x:c r="U890" s="14" t="str">
        <x:v>Не контактували</x:v>
      </x:c>
      <x:c r="V890" s="15" t="str">
        <x:v>Workflow-audit outreach по UA-2026-07-03-008401-a; попросити 1 пакет здачі та вимоги проєкту</x:v>
      </x:c>
      <x:c r="W890" s="15" t="str">
        <x:v>Власник / директор; керівник ПТО; відповідальний за договори</x:v>
      </x:c>
      <x:c r="X890" s="15" t="str">
        <x:v>1 нових підтверджених перемог/договорів у Prozorro на 22 506 445 грн; 1 зі строком виконання не раніше 24.08.2026.</x:v>
      </x:c>
      <x:c r="Y890" s="15" t="str">
        <x:v>Капітальний ремонт дорожнього покриття для благоустрою населеного пункту с.Ямпіль Львівського району Львівської області; строк до 2027-12-31. Попросити один знеособлений пакет здачі за цим workflow.</x:v>
      </x:c>
      <x:c r="Z890" s="15" t="str">
        <x:v>https://prozorro.gov.ua/tender/UA-2026-07-03-008401-a</x:v>
      </x:c>
      <x:c r="AA890" s="14" t="str">
        <x:v>41275610</x:v>
      </x:c>
      <x:c r="AB890" s="14" t="str">
        <x:v>2026-08-24</x:v>
      </x:c>
      <x:c r="AC890" s="14" t="str"/>
      <x:c r="AD890" s="20" t="str"/>
      <x:c r="AE890" s="14" t="str"/>
      <x:c r="AF890" s="14" t="n">
        <x:v>68</x:v>
      </x:c>
      <x:c r="AG890" s="14" t="str">
        <x:v>I2</x:v>
      </x:c>
      <x:c r="AH890" s="14" t="n">
        <x:v>1</x:v>
      </x:c>
      <x:c r="AI890" s="14" t="n">
        <x:v>1</x:v>
      </x:c>
      <x:c r="AJ890" s="18" t="n">
        <x:v>22506444.58</x:v>
      </x:c>
      <x:c r="AK890" s="14" t="str">
        <x:v>https://prozorro.gov.ua/tender/UA-2026-07-03-008401-a</x:v>
      </x:c>
      <x:c r="AL890" s="19" t="n">
        <x:v>46225.36542894676</x:v>
      </x:c>
      <x:c r="AM890" s="19" t="n">
        <x:v>46752</x:v>
      </x:c>
      <x:c r="AN890" s="15" t="str">
        <x:v>Дорожні роботи</x:v>
      </x:c>
      <x:c r="AO890" s="15" t="str">
        <x:v>not_found_in_top_search</x:v>
      </x:c>
    </x:row>
    <x:row r="891">
      <x:c r="A891" s="14" t="str">
        <x:v>W4-072</x:v>
      </x:c>
      <x:c r="B891" s="14" t="str">
        <x:v>Prozorro expansion — 24.08</x:v>
      </x:c>
      <x:c r="C891" s="14" t="str">
        <x:v>ТОВАРИСТВО З ОБМЕЖЕНОЮ ВІДПОВІДАЛЬНІСТЮ "ІНВЕНТУМ УКРАЇНА"</x:v>
      </x:c>
      <x:c r="D891" s="14" t="str">
        <x:v>Теплові мережі</x:v>
      </x:c>
      <x:c r="E891" s="14" t="str">
        <x:v>Expansion discovery</x:v>
      </x:c>
      <x:c r="F891" s="17" t="str">
        <x:v>D2</x:v>
      </x:c>
      <x:c r="G891" s="14" t="str">
        <x:v>inventum.com.ua</x:v>
      </x:c>
      <x:c r="H891" s="14" t="str">
        <x:v>Discovery розширення — 2 тижні</x:v>
      </x:c>
      <x:c r="I891" s="16" t="n">
        <x:v>1</x:v>
      </x:c>
      <x:c r="J891" s="16" t="n">
        <x:v>5</x:v>
      </x:c>
      <x:c r="K891" s="16" t="n">
        <x:v>4</x:v>
      </x:c>
      <x:c r="L891" s="16" t="n">
        <x:v>5</x:v>
      </x:c>
      <x:c r="M891" s="16" t="n">
        <x:v>5</x:v>
      </x:c>
      <x:c r="N891" s="16" t="n">
        <x:v>5</x:v>
      </x:c>
      <x:c r="O891" s="16" t="n">
        <x:v>5</x:v>
      </x:c>
      <x:c r="P891" s="16" t="n">
        <x:f>IF(COUNT(I891:O891)&lt;7,"",I891*8+J891*3+K891*2+L891*2+M891*2+N891*2+O891)</x:f>
        <x:v>66</x:v>
      </x:c>
      <x:c r="Q891" s="16" t="n">
        <x:f>IF(COUNT(J891:O891)&lt;6,"",J891*5+K891*4+M891*4+L891*3+N891*2+O891*2)</x:f>
        <x:v>96</x:v>
      </x:c>
      <x:c r="R891" s="14" t="str">
        <x:v>high</x:v>
      </x:c>
      <x:c r="S891" s="14" t="str">
        <x:v>official_prozorro_award_2024_2026</x:v>
      </x:c>
      <x:c r="T891" s="14" t="str">
        <x:v>official_prozorro_api</x:v>
      </x:c>
      <x:c r="U891" s="14" t="str">
        <x:v>Не контактували</x:v>
      </x:c>
      <x:c r="V891" s="15" t="str">
        <x:v>Workflow-audit outreach по UA-2026-08-11-011450-a; попросити 1 пакет здачі та вимоги проєкту</x:v>
      </x:c>
      <x:c r="W891" s="15" t="str">
        <x:v>Власник / директор; керівник ПТО; відповідальний за договори</x:v>
      </x:c>
      <x:c r="X891" s="15" t="str">
        <x:v>1 нових підтверджених перемог/договорів у Prozorro на 22 132 445 грн; 1 зі строком виконання не раніше 24.08.2026.</x:v>
      </x:c>
      <x:c r="Y891"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 строк до 2026-12-30. Попросити один знеособлений пакет здачі за цим workflow.</x:v>
      </x:c>
      <x:c r="Z891" s="15" t="str">
        <x:v>https://prozorro.gov.ua/tender/UA-2026-08-11-011450-a</x:v>
      </x:c>
      <x:c r="AA891" s="14" t="str">
        <x:v>36437713</x:v>
      </x:c>
      <x:c r="AB891" s="14" t="str">
        <x:v>2026-08-24</x:v>
      </x:c>
      <x:c r="AC891" s="14" t="str"/>
      <x:c r="AD891" s="20" t="str"/>
      <x:c r="AE891" s="14" t="str"/>
      <x:c r="AF891" s="14" t="n">
        <x:v>68</x:v>
      </x:c>
      <x:c r="AG891" s="14" t="str">
        <x:v>I2</x:v>
      </x:c>
      <x:c r="AH891" s="14" t="n">
        <x:v>1</x:v>
      </x:c>
      <x:c r="AI891" s="14" t="n">
        <x:v>1</x:v>
      </x:c>
      <x:c r="AJ891" s="18" t="n">
        <x:v>22132444.68</x:v>
      </x:c>
      <x:c r="AK891" s="14" t="str">
        <x:v>https://prozorro.gov.ua/tender/UA-2026-08-11-011450-a</x:v>
      </x:c>
      <x:c r="AL891" s="19" t="n">
        <x:v>46245.56234253472</x:v>
      </x:c>
      <x:c r="AM891" s="19" t="n">
        <x:v>46386</x:v>
      </x:c>
      <x:c r="AN891" s="15" t="str">
        <x:v>Теплові мережі</x:v>
      </x:c>
      <x:c r="AO891" s="15" t="str">
        <x:v>supplier_provided_url</x:v>
      </x:c>
    </x:row>
    <x:row r="892">
      <x:c r="A892" s="14" t="str">
        <x:v>W4-073</x:v>
      </x:c>
      <x:c r="B892" s="14" t="str">
        <x:v>Prozorro expansion — 24.08</x:v>
      </x:c>
      <x:c r="C892" s="14" t="str">
        <x:v>ТОВАРИСТВО З ОБМЕЖЕНОЮ ВІДПОВІДАЛЬНІСТЮ "УБПГ ПРОМІНЬ"</x:v>
      </x:c>
      <x:c r="D892" s="14" t="str">
        <x:v>Зовнішнє освітлення</x:v>
      </x:c>
      <x:c r="E892" s="14" t="str">
        <x:v>Pilot now</x:v>
      </x:c>
      <x:c r="F892" s="17" t="str">
        <x:v>P2</x:v>
      </x:c>
      <x:c r="G892" s="14" t="str"/>
      <x:c r="H892" s="14" t="str">
        <x:v>Пілот зараз — Н.15 subset</x:v>
      </x:c>
      <x:c r="I892" s="16" t="n">
        <x:v>4</x:v>
      </x:c>
      <x:c r="J892" s="16" t="n">
        <x:v>5</x:v>
      </x:c>
      <x:c r="K892" s="16" t="n">
        <x:v>4</x:v>
      </x:c>
      <x:c r="L892" s="16" t="n">
        <x:v>5</x:v>
      </x:c>
      <x:c r="M892" s="16" t="n">
        <x:v>5</x:v>
      </x:c>
      <x:c r="N892" s="16" t="n">
        <x:v>5</x:v>
      </x:c>
      <x:c r="O892" s="16" t="n">
        <x:v>3</x:v>
      </x:c>
      <x:c r="P892" s="16" t="n">
        <x:f>IF(COUNT(I892:O892)&lt;7,"",I892*8+J892*3+K892*2+L892*2+M892*2+N892*2+O892)</x:f>
        <x:v>88</x:v>
      </x:c>
      <x:c r="Q892" s="16" t="n">
        <x:f>IF(COUNT(J892:O892)&lt;6,"",J892*5+K892*4+M892*4+L892*3+N892*2+O892*2)</x:f>
        <x:v>92</x:v>
      </x:c>
      <x:c r="R892" s="14" t="str">
        <x:v>high</x:v>
      </x:c>
      <x:c r="S892" s="14" t="str">
        <x:v>official_prozorro_award_2024_2026</x:v>
      </x:c>
      <x:c r="T892" s="14" t="str">
        <x:v>official_prozorro_api</x:v>
      </x:c>
      <x:c r="U892" s="14" t="str">
        <x:v>Не контактували</x:v>
      </x:c>
      <x:c r="V892" s="15" t="str">
        <x:v>Персоналізований free-pilot outreach по UA-2026-07-16-006271-a; попросити 1 пакет Н.14/Н.15</x:v>
      </x:c>
      <x:c r="W892" s="15" t="str">
        <x:v>Власник / директор; керівник ПТО; відповідальний за договори</x:v>
      </x:c>
      <x:c r="X892" s="15" t="str">
        <x:v>1 нових підтверджених перемог/договорів у Prozorro на 20 827 561 грн; 1 зі строком виконання не раніше 24.08.2026.</x:v>
      </x:c>
      <x:c r="Y892"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 строк до 2026-12-18. Попросити один знеособлений пакет здачі за цим workflow.</x:v>
      </x:c>
      <x:c r="Z892" s="15" t="str">
        <x:v>https://prozorro.gov.ua/tender/UA-2026-07-16-006271-a</x:v>
      </x:c>
      <x:c r="AA892" s="14" t="str">
        <x:v>42706856</x:v>
      </x:c>
      <x:c r="AB892" s="14" t="str">
        <x:v>2026-08-24</x:v>
      </x:c>
      <x:c r="AC892" s="14" t="str"/>
      <x:c r="AD892" s="20" t="str"/>
      <x:c r="AE892" s="14" t="str"/>
      <x:c r="AF892" s="14" t="n">
        <x:v>68</x:v>
      </x:c>
      <x:c r="AG892" s="14" t="str">
        <x:v>I2</x:v>
      </x:c>
      <x:c r="AH892" s="14" t="n">
        <x:v>1</x:v>
      </x:c>
      <x:c r="AI892" s="14" t="n">
        <x:v>1</x:v>
      </x:c>
      <x:c r="AJ892" s="18" t="n">
        <x:v>20827560.93</x:v>
      </x:c>
      <x:c r="AK892" s="14" t="str">
        <x:v>https://prozorro.gov.ua/tender/UA-2026-07-16-006271-a</x:v>
      </x:c>
      <x:c r="AL892" s="19" t="n">
        <x:v>46240.565397175924</x:v>
      </x:c>
      <x:c r="AM892" s="19" t="n">
        <x:v>46374</x:v>
      </x:c>
      <x:c r="AN892" s="15" t="str">
        <x:v>Зовнішнє освітлення</x:v>
      </x:c>
      <x:c r="AO892" s="15" t="str">
        <x:v>not_found_in_top_search</x:v>
      </x:c>
    </x:row>
    <x:row r="893">
      <x:c r="A893" s="14" t="str">
        <x:v>W4-074</x:v>
      </x:c>
      <x:c r="B893" s="14" t="str">
        <x:v>Prozorro expansion — 24.08</x:v>
      </x:c>
      <x:c r="C893" s="14" t="str">
        <x:v>ТОВАРИСТВО З ОБМЕЖЕНОЮ ВІДПОВІДАЛЬНІСТЮ "ПРОМАТОМ"</x:v>
      </x:c>
      <x:c r="D893" s="14" t="str">
        <x:v>Підстанції / силові мережі</x:v>
      </x:c>
      <x:c r="E893" s="14" t="str">
        <x:v>Pilot now</x:v>
      </x:c>
      <x:c r="F893" s="17" t="str">
        <x:v>P2</x:v>
      </x:c>
      <x:c r="G893" s="14" t="str"/>
      <x:c r="H893" s="14" t="str">
        <x:v>Пілот зараз — Н.15 subset</x:v>
      </x:c>
      <x:c r="I893" s="16" t="n">
        <x:v>4</x:v>
      </x:c>
      <x:c r="J893" s="16" t="n">
        <x:v>5</x:v>
      </x:c>
      <x:c r="K893" s="16" t="n">
        <x:v>5</x:v>
      </x:c>
      <x:c r="L893" s="16" t="n">
        <x:v>5</x:v>
      </x:c>
      <x:c r="M893" s="16" t="n">
        <x:v>5</x:v>
      </x:c>
      <x:c r="N893" s="16" t="n">
        <x:v>5</x:v>
      </x:c>
      <x:c r="O893" s="16" t="n">
        <x:v>3</x:v>
      </x:c>
      <x:c r="P893" s="16" t="n">
        <x:f>IF(COUNT(I893:O893)&lt;7,"",I893*8+J893*3+K893*2+L893*2+M893*2+N893*2+O893)</x:f>
        <x:v>90</x:v>
      </x:c>
      <x:c r="Q893" s="16" t="n">
        <x:f>IF(COUNT(J893:O893)&lt;6,"",J893*5+K893*4+M893*4+L893*3+N893*2+O893*2)</x:f>
        <x:v>96</x:v>
      </x:c>
      <x:c r="R893" s="14" t="str">
        <x:v>high</x:v>
      </x:c>
      <x:c r="S893" s="14" t="str">
        <x:v>official_prozorro_award_2024_2026</x:v>
      </x:c>
      <x:c r="T893" s="14" t="str">
        <x:v>official_prozorro_api</x:v>
      </x:c>
      <x:c r="U893" s="14" t="str">
        <x:v>Не контактували</x:v>
      </x:c>
      <x:c r="V893" s="15" t="str">
        <x:v>Персоналізований free-pilot outreach по UA-2026-07-30-009707-a; попросити 1 пакет Н.14/Н.15</x:v>
      </x:c>
      <x:c r="W893" s="15" t="str">
        <x:v>Власник / директор; керівник ПТО; відповідальний за договори</x:v>
      </x:c>
      <x:c r="X893" s="15" t="str">
        <x:v>1 нових підтверджених перемог/договорів у Prozorro на 11 281 352 грн; 1 зі строком виконання не раніше 24.08.2026.</x:v>
      </x:c>
      <x:c r="Y893"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 строк до 2026-12-31. Попросити один знеособлений пакет здачі за цим workflow.</x:v>
      </x:c>
      <x:c r="Z893" s="15" t="str">
        <x:v>https://prozorro.gov.ua/tender/UA-2026-07-30-009707-a</x:v>
      </x:c>
      <x:c r="AA893" s="14" t="str">
        <x:v>24932636</x:v>
      </x:c>
      <x:c r="AB893" s="14" t="str">
        <x:v>2026-08-24</x:v>
      </x:c>
      <x:c r="AC893" s="14" t="str"/>
      <x:c r="AD893" s="20" t="str"/>
      <x:c r="AE893" s="14" t="str"/>
      <x:c r="AF893" s="14" t="n">
        <x:v>68</x:v>
      </x:c>
      <x:c r="AG893" s="14" t="str">
        <x:v>I2</x:v>
      </x:c>
      <x:c r="AH893" s="14" t="n">
        <x:v>1</x:v>
      </x:c>
      <x:c r="AI893" s="14" t="n">
        <x:v>1</x:v>
      </x:c>
      <x:c r="AJ893" s="18" t="n">
        <x:v>11281352</x:v>
      </x:c>
      <x:c r="AK893" s="14" t="str">
        <x:v>https://prozorro.gov.ua/tender/UA-2026-07-30-009707-a</x:v>
      </x:c>
      <x:c r="AL893" s="19" t="n">
        <x:v>46253.475685625</x:v>
      </x:c>
      <x:c r="AM893" s="19" t="n">
        <x:v>46387</x:v>
      </x:c>
      <x:c r="AN893" s="15" t="str">
        <x:v>Підстанції / силові мережі</x:v>
      </x:c>
      <x:c r="AO893" s="15" t="str">
        <x:v>not_found_in_top_search</x:v>
      </x:c>
    </x:row>
    <x:row r="894">
      <x:c r="A894" s="14" t="str">
        <x:v>W4-075</x:v>
      </x:c>
      <x:c r="B894" s="14" t="str">
        <x:v>Prozorro expansion — 24.08</x:v>
      </x:c>
      <x:c r="C894" s="14" t="str">
        <x:v>ТОВАРИСТВО З ОБМЕЖЕНОЮ ВІДПОВІДАЛЬНІСТЮ "ІНЖЕНЕРНО-ТЕХНІЧНИЙ ЦЕНТР РЕМБУДСЕРВІС"</x:v>
      </x:c>
      <x:c r="D894" s="14" t="str">
        <x:v>Газові мережі</x:v>
      </x:c>
      <x:c r="E894" s="14" t="str">
        <x:v>Expansion discovery</x:v>
      </x:c>
      <x:c r="F894" s="17" t="str">
        <x:v>D2</x:v>
      </x:c>
      <x:c r="G894" s="14" t="str"/>
      <x:c r="H894" s="14" t="str">
        <x:v>Discovery розширення — 2 тижні</x:v>
      </x:c>
      <x:c r="I894" s="16" t="n">
        <x:v>1</x:v>
      </x:c>
      <x:c r="J894" s="16" t="n">
        <x:v>5</x:v>
      </x:c>
      <x:c r="K894" s="16" t="n">
        <x:v>5</x:v>
      </x:c>
      <x:c r="L894" s="16" t="n">
        <x:v>4</x:v>
      </x:c>
      <x:c r="M894" s="16" t="n">
        <x:v>5</x:v>
      </x:c>
      <x:c r="N894" s="16" t="n">
        <x:v>5</x:v>
      </x:c>
      <x:c r="O894" s="16" t="n">
        <x:v>3</x:v>
      </x:c>
      <x:c r="P894" s="16" t="n">
        <x:f>IF(COUNT(I894:O894)&lt;7,"",I894*8+J894*3+K894*2+L894*2+M894*2+N894*2+O894)</x:f>
        <x:v>64</x:v>
      </x:c>
      <x:c r="Q894" s="16" t="n">
        <x:f>IF(COUNT(J894:O894)&lt;6,"",J894*5+K894*4+M894*4+L894*3+N894*2+O894*2)</x:f>
        <x:v>93</x:v>
      </x:c>
      <x:c r="R894" s="14" t="str">
        <x:v>high</x:v>
      </x:c>
      <x:c r="S894" s="14" t="str">
        <x:v>official_prozorro_award_2024_2026</x:v>
      </x:c>
      <x:c r="T894" s="14" t="str">
        <x:v>official_prozorro_api</x:v>
      </x:c>
      <x:c r="U894" s="14" t="str">
        <x:v>Не контактували</x:v>
      </x:c>
      <x:c r="V894" s="15" t="str">
        <x:v>Workflow-audit outreach по UA-2026-05-11-011932-a; попросити 1 пакет здачі та вимоги проєкту</x:v>
      </x:c>
      <x:c r="W894" s="15" t="str">
        <x:v>Власник / директор; керівник ПТО; відповідальний за договори</x:v>
      </x:c>
      <x:c r="X894" s="15" t="str">
        <x:v>2 нових підтверджених перемог/договорів у Prozorro на 5 550 563 грн; 2 зі строком виконання не раніше 24.08.2026.</x:v>
      </x:c>
      <x:c r="Y894"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 строк до 2026-11-14. Попросити один знеособлений пакет здачі за цим workflow.</x:v>
      </x:c>
      <x:c r="Z894" s="15" t="str">
        <x:v>https://prozorro.gov.ua/tender/UA-2026-05-11-011932-a</x:v>
      </x:c>
      <x:c r="AA894" s="14" t="str">
        <x:v>32360202</x:v>
      </x:c>
      <x:c r="AB894" s="14" t="str">
        <x:v>2026-08-24</x:v>
      </x:c>
      <x:c r="AC894" s="14" t="str"/>
      <x:c r="AD894" s="20" t="str"/>
      <x:c r="AE894" s="14" t="str"/>
      <x:c r="AF894" s="14" t="n">
        <x:v>68</x:v>
      </x:c>
      <x:c r="AG894" s="14" t="str">
        <x:v>I2</x:v>
      </x:c>
      <x:c r="AH894" s="14" t="n">
        <x:v>2</x:v>
      </x:c>
      <x:c r="AI894" s="14" t="n">
        <x:v>2</x:v>
      </x:c>
      <x:c r="AJ894" s="18" t="n">
        <x:v>5550563</x:v>
      </x:c>
      <x:c r="AK894" s="14" t="str">
        <x:v>https://prozorro.gov.ua/tender/UA-2026-05-11-011932-a</x:v>
      </x:c>
      <x:c r="AL894" s="19" t="n">
        <x:v>46184.378605335645</x:v>
      </x:c>
      <x:c r="AM894" s="19" t="n">
        <x:v>46340</x:v>
      </x:c>
      <x:c r="AN894" s="15" t="str">
        <x:v>Газові мережі</x:v>
      </x:c>
      <x:c r="AO894" s="15" t="str">
        <x:v>not_found_in_top_search</x:v>
      </x:c>
    </x:row>
    <x:row r="895">
      <x:c r="A895" s="14" t="str">
        <x:v>W4-076</x:v>
      </x:c>
      <x:c r="B895" s="14" t="str">
        <x:v>Prozorro expansion — 24.08</x:v>
      </x:c>
      <x:c r="C895" s="14" t="str">
        <x:v>ТОВАРИСТВО З ОБМЕЖЕНОЮ ВІДПОВІДАЛЬНІСТЮ "ЛІФТ-ЕКО"</x:v>
      </x:c>
      <x:c r="D895" s="14" t="str">
        <x:v>Ліфти та підйомники</x:v>
      </x:c>
      <x:c r="E895" s="14" t="str">
        <x:v>Expansion discovery</x:v>
      </x:c>
      <x:c r="F895" s="17" t="str">
        <x:v>D2</x:v>
      </x:c>
      <x:c r="G895" s="14" t="str"/>
      <x:c r="H895" s="14" t="str">
        <x:v>Discovery розширення — 2 тижні</x:v>
      </x:c>
      <x:c r="I895" s="16" t="n">
        <x:v>1</x:v>
      </x:c>
      <x:c r="J895" s="16" t="n">
        <x:v>5</x:v>
      </x:c>
      <x:c r="K895" s="16" t="n">
        <x:v>4</x:v>
      </x:c>
      <x:c r="L895" s="16" t="n">
        <x:v>4</x:v>
      </x:c>
      <x:c r="M895" s="16" t="n">
        <x:v>5</x:v>
      </x:c>
      <x:c r="N895" s="16" t="n">
        <x:v>5</x:v>
      </x:c>
      <x:c r="O895" s="16" t="n">
        <x:v>3</x:v>
      </x:c>
      <x:c r="P895" s="16" t="n">
        <x:f>IF(COUNT(I895:O895)&lt;7,"",I895*8+J895*3+K895*2+L895*2+M895*2+N895*2+O895)</x:f>
        <x:v>62</x:v>
      </x:c>
      <x:c r="Q895" s="16" t="n">
        <x:f>IF(COUNT(J895:O895)&lt;6,"",J895*5+K895*4+M895*4+L895*3+N895*2+O895*2)</x:f>
        <x:v>89</x:v>
      </x:c>
      <x:c r="R895" s="14" t="str">
        <x:v>high</x:v>
      </x:c>
      <x:c r="S895" s="14" t="str">
        <x:v>official_prozorro_award_2024_2026</x:v>
      </x:c>
      <x:c r="T895" s="14" t="str">
        <x:v>official_prozorro_api</x:v>
      </x:c>
      <x:c r="U895" s="14" t="str">
        <x:v>Не контактували</x:v>
      </x:c>
      <x:c r="V895" s="15" t="str">
        <x:v>Workflow-audit outreach по UA-2025-11-20-005399-a; попросити 1 пакет здачі та вимоги проєкту</x:v>
      </x:c>
      <x:c r="W895" s="15" t="str">
        <x:v>Власник / директор; керівник ПТО; відповідальний за договори</x:v>
      </x:c>
      <x:c r="X895" s="15" t="str">
        <x:v>15 нових підтверджених перемог/договорів у Prozorro на 3 370 800 грн; 0 зі строком виконання не раніше 24.08.2026.</x:v>
      </x:c>
      <x:c r="Y895"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 строк до 2025-12-31. Попросити один знеособлений пакет здачі за цим workflow.</x:v>
      </x:c>
      <x:c r="Z895" s="15" t="str">
        <x:v>https://prozorro.gov.ua/tender/UA-2025-11-20-005399-a</x:v>
      </x:c>
      <x:c r="AA895" s="14" t="str">
        <x:v>31658533</x:v>
      </x:c>
      <x:c r="AB895" s="14" t="str">
        <x:v>2026-08-24</x:v>
      </x:c>
      <x:c r="AC895" s="14" t="str"/>
      <x:c r="AD895" s="20" t="str"/>
      <x:c r="AE895" s="14" t="str"/>
      <x:c r="AF895" s="14" t="n">
        <x:v>67</x:v>
      </x:c>
      <x:c r="AG895" s="14" t="str">
        <x:v>I2</x:v>
      </x:c>
      <x:c r="AH895" s="14" t="n">
        <x:v>15</x:v>
      </x:c>
      <x:c r="AI895" s="14" t="n">
        <x:v>0</x:v>
      </x:c>
      <x:c r="AJ895" s="18" t="n">
        <x:v>3370799.9</x:v>
      </x:c>
      <x:c r="AK895" s="14" t="str">
        <x:v>https://prozorro.gov.ua/tender/UA-2025-11-20-005399-a</x:v>
      </x:c>
      <x:c r="AL895" s="19" t="n">
        <x:v>45981.39438121528</x:v>
      </x:c>
      <x:c r="AM895" s="19" t="n">
        <x:v>46022.916666655095</x:v>
      </x:c>
      <x:c r="AN895" s="15" t="str">
        <x:v>Ліфти та підйомники</x:v>
      </x:c>
      <x:c r="AO895" s="15" t="str">
        <x:v>not_found_in_top_search</x:v>
      </x:c>
    </x:row>
    <x:row r="896">
      <x:c r="A896" s="14" t="str">
        <x:v>W4-077</x:v>
      </x:c>
      <x:c r="B896" s="14" t="str">
        <x:v>Prozorro expansion — 24.08</x:v>
      </x:c>
      <x:c r="C896" s="14" t="str">
        <x:v>ЗАЙКО КАТЕРИНА МИКОЛАЇВНА</x:v>
      </x:c>
      <x:c r="D896" s="14" t="str">
        <x:v>Фасади та скління</x:v>
      </x:c>
      <x:c r="E896" s="14" t="str">
        <x:v>Expansion discovery</x:v>
      </x:c>
      <x:c r="F896" s="17" t="str">
        <x:v>D2</x:v>
      </x:c>
      <x:c r="G896" s="14" t="str"/>
      <x:c r="H896" s="14" t="str">
        <x:v>Discovery розширення — 2 тижні</x:v>
      </x:c>
      <x:c r="I896" s="16" t="n">
        <x:v>1</x:v>
      </x:c>
      <x:c r="J896" s="16" t="n">
        <x:v>5</x:v>
      </x:c>
      <x:c r="K896" s="16" t="n">
        <x:v>5</x:v>
      </x:c>
      <x:c r="L896" s="16" t="n">
        <x:v>2</x:v>
      </x:c>
      <x:c r="M896" s="16" t="n">
        <x:v>5</x:v>
      </x:c>
      <x:c r="N896" s="16" t="n">
        <x:v>3</x:v>
      </x:c>
      <x:c r="O896" s="16" t="n">
        <x:v>3</x:v>
      </x:c>
      <x:c r="P896" s="16" t="n">
        <x:f>IF(COUNT(I896:O896)&lt;7,"",I896*8+J896*3+K896*2+L896*2+M896*2+N896*2+O896)</x:f>
        <x:v>56</x:v>
      </x:c>
      <x:c r="Q896" s="16" t="n">
        <x:f>IF(COUNT(J896:O896)&lt;6,"",J896*5+K896*4+M896*4+L896*3+N896*2+O896*2)</x:f>
        <x:v>83</x:v>
      </x:c>
      <x:c r="R896" s="14" t="str">
        <x:v>high</x:v>
      </x:c>
      <x:c r="S896" s="14" t="str">
        <x:v>official_prozorro_award_2024_2026</x:v>
      </x:c>
      <x:c r="T896" s="14" t="str">
        <x:v>official_prozorro_api</x:v>
      </x:c>
      <x:c r="U896" s="14" t="str">
        <x:v>Не контактували</x:v>
      </x:c>
      <x:c r="V896" s="15" t="str">
        <x:v>Workflow-audit outreach по UA-2026-04-09-007443-a; попросити 1 пакет здачі та вимоги проєкту</x:v>
      </x:c>
      <x:c r="W896" s="15" t="str">
        <x:v>Власник / виконавець; відповідальний за договір</x:v>
      </x:c>
      <x:c r="X896" s="15" t="str">
        <x:v>13 нових підтверджених перемог/договорів у Prozorro на 389 474 грн; 0 зі строком виконання не раніше 24.08.2026.</x:v>
      </x:c>
      <x:c r="Y896" s="15" t="str">
        <x:v>Матеріали, будівельні матеріали, інвентар та інструменти для утеплення фасаду (проведення заходів з енергозбереження); строк до 2026-04-19. Попросити один знеособлений пакет здачі за цим workflow.</x:v>
      </x:c>
      <x:c r="Z896" s="15" t="str">
        <x:v>https://prozorro.gov.ua/tender/UA-2026-04-09-007443-a</x:v>
      </x:c>
      <x:c r="AA896" s="14" t="str">
        <x:v>3284809749</x:v>
      </x:c>
      <x:c r="AB896" s="14" t="str">
        <x:v>2026-08-24</x:v>
      </x:c>
      <x:c r="AC896" s="14" t="str"/>
      <x:c r="AD896" s="20" t="str"/>
      <x:c r="AE896" s="14" t="str"/>
      <x:c r="AF896" s="14" t="n">
        <x:v>67</x:v>
      </x:c>
      <x:c r="AG896" s="14" t="str">
        <x:v>I2</x:v>
      </x:c>
      <x:c r="AH896" s="14" t="n">
        <x:v>13</x:v>
      </x:c>
      <x:c r="AI896" s="14" t="n">
        <x:v>0</x:v>
      </x:c>
      <x:c r="AJ896" s="18" t="n">
        <x:v>389474.49</x:v>
      </x:c>
      <x:c r="AK896" s="14" t="str">
        <x:v>https://prozorro.gov.ua/tender/UA-2026-04-09-007443-a</x:v>
      </x:c>
      <x:c r="AL896" s="19" t="n">
        <x:v>46121.46168209491</x:v>
      </x:c>
      <x:c r="AM896" s="19" t="n">
        <x:v>46131</x:v>
      </x:c>
      <x:c r="AN896" s="15" t="str">
        <x:v>Фасади та скління</x:v>
      </x:c>
      <x:c r="AO896" s="15" t="str">
        <x:v>not_found_in_top_search</x:v>
      </x:c>
    </x:row>
    <x:row r="897">
      <x:c r="A897" s="14" t="str">
        <x:v>W4-078</x:v>
      </x:c>
      <x:c r="B897" s="14" t="str">
        <x:v>Prozorro expansion — 24.08</x:v>
      </x:c>
      <x:c r="C897" s="14" t="str">
        <x:v>ФОП ЗАВАЛКО МИКОЛА МИКОЛАЙОВИЧ</x:v>
      </x:c>
      <x:c r="D897" s="14" t="str">
        <x:v>Металоконструкції</x:v>
      </x:c>
      <x:c r="E897" s="14" t="str">
        <x:v>Expansion discovery</x:v>
      </x:c>
      <x:c r="F897" s="17" t="str">
        <x:v>D2</x:v>
      </x:c>
      <x:c r="G897" s="14" t="str"/>
      <x:c r="H897" s="14" t="str">
        <x:v>Discovery розширення — 2 тижні</x:v>
      </x:c>
      <x:c r="I897" s="16" t="n">
        <x:v>1</x:v>
      </x:c>
      <x:c r="J897" s="16" t="n">
        <x:v>5</x:v>
      </x:c>
      <x:c r="K897" s="16" t="n">
        <x:v>5</x:v>
      </x:c>
      <x:c r="L897" s="16" t="n">
        <x:v>2</x:v>
      </x:c>
      <x:c r="M897" s="16" t="n">
        <x:v>5</x:v>
      </x:c>
      <x:c r="N897" s="16" t="n">
        <x:v>3</x:v>
      </x:c>
      <x:c r="O897" s="16" t="n">
        <x:v>3</x:v>
      </x:c>
      <x:c r="P897" s="16" t="n">
        <x:f>IF(COUNT(I897:O897)&lt;7,"",I897*8+J897*3+K897*2+L897*2+M897*2+N897*2+O897)</x:f>
        <x:v>56</x:v>
      </x:c>
      <x:c r="Q897" s="16" t="n">
        <x:f>IF(COUNT(J897:O897)&lt;6,"",J897*5+K897*4+M897*4+L897*3+N897*2+O897*2)</x:f>
        <x:v>83</x:v>
      </x:c>
      <x:c r="R897" s="14" t="str">
        <x:v>high</x:v>
      </x:c>
      <x:c r="S897" s="14" t="str">
        <x:v>official_prozorro_award_2024_2026</x:v>
      </x:c>
      <x:c r="T897" s="14" t="str">
        <x:v>official_prozorro_api</x:v>
      </x:c>
      <x:c r="U897" s="14" t="str">
        <x:v>Не контактували</x:v>
      </x:c>
      <x:c r="V897" s="15" t="str">
        <x:v>Workflow-audit outreach по UA-2026-06-19-010393-a; попросити 1 пакет здачі та вимоги проєкту</x:v>
      </x:c>
      <x:c r="W897" s="15" t="str">
        <x:v>Власник / виконавець; відповідальний за договір</x:v>
      </x:c>
      <x:c r="X897" s="15" t="str">
        <x:v>3 нових підтверджених перемог/договорів у Prozorro на 254 000 грн; 2 зі строком виконання не раніше 24.08.2026.</x:v>
      </x:c>
      <x:c r="Y897"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 строк до 2026-12-31. Попросити один знеособлений пакет здачі за цим workflow.</x:v>
      </x:c>
      <x:c r="Z897" s="15" t="str">
        <x:v>https://prozorro.gov.ua/tender/UA-2026-06-19-010393-a</x:v>
      </x:c>
      <x:c r="AA897" s="14" t="str">
        <x:v>2904306973</x:v>
      </x:c>
      <x:c r="AB897" s="14" t="str">
        <x:v>2026-08-24</x:v>
      </x:c>
      <x:c r="AC897" s="14" t="str"/>
      <x:c r="AD897" s="20" t="str"/>
      <x:c r="AE897" s="14" t="str"/>
      <x:c r="AF897" s="14" t="n">
        <x:v>67</x:v>
      </x:c>
      <x:c r="AG897" s="14" t="str">
        <x:v>I2</x:v>
      </x:c>
      <x:c r="AH897" s="14" t="n">
        <x:v>3</x:v>
      </x:c>
      <x:c r="AI897" s="14" t="n">
        <x:v>2</x:v>
      </x:c>
      <x:c r="AJ897" s="18" t="n">
        <x:v>254000</x:v>
      </x:c>
      <x:c r="AK897" s="14" t="str">
        <x:v>https://prozorro.gov.ua/tender/UA-2026-06-19-010393-a</x:v>
      </x:c>
      <x:c r="AL897" s="19" t="n">
        <x:v>46192.51492900463</x:v>
      </x:c>
      <x:c r="AM897" s="19" t="n">
        <x:v>46387</x:v>
      </x:c>
      <x:c r="AN897" s="15" t="str">
        <x:v>Металоконструкції</x:v>
      </x:c>
      <x:c r="AO897" s="15" t="str">
        <x:v>not_found_in_top_search</x:v>
      </x:c>
    </x:row>
    <x:row r="898">
      <x:c r="A898" s="14" t="str">
        <x:v>W4-079</x:v>
      </x:c>
      <x:c r="B898" s="14" t="str">
        <x:v>Prozorro expansion — 24.08</x:v>
      </x:c>
      <x:c r="C898" s="14" t="str">
        <x:v>ТОВАРИСТВО З ОБМЕЖЕНОЮ ВІДПОВІДАЛЬНІСТЮ "АЛЬБА - ТЕХСЕРВІС"</x:v>
      </x:c>
      <x:c r="D898" s="14" t="str">
        <x:v>Пожежогасіння</x:v>
      </x:c>
      <x:c r="E898" s="14" t="str">
        <x:v>Expansion discovery</x:v>
      </x:c>
      <x:c r="F898" s="17" t="str">
        <x:v>D2</x:v>
      </x:c>
      <x:c r="G898" s="14" t="str"/>
      <x:c r="H898" s="14" t="str">
        <x:v>Discovery розширення — 2 тижні</x:v>
      </x:c>
      <x:c r="I898" s="16" t="n">
        <x:v>1</x:v>
      </x:c>
      <x:c r="J898" s="16" t="n">
        <x:v>5</x:v>
      </x:c>
      <x:c r="K898" s="16" t="n">
        <x:v>5</x:v>
      </x:c>
      <x:c r="L898" s="16" t="n">
        <x:v>2</x:v>
      </x:c>
      <x:c r="M898" s="16" t="n">
        <x:v>5</x:v>
      </x:c>
      <x:c r="N898" s="16" t="n">
        <x:v>5</x:v>
      </x:c>
      <x:c r="O898" s="16" t="n">
        <x:v>3</x:v>
      </x:c>
      <x:c r="P898" s="16" t="n">
        <x:f>IF(COUNT(I898:O898)&lt;7,"",I898*8+J898*3+K898*2+L898*2+M898*2+N898*2+O898)</x:f>
        <x:v>60</x:v>
      </x:c>
      <x:c r="Q898" s="16" t="n">
        <x:f>IF(COUNT(J898:O898)&lt;6,"",J898*5+K898*4+M898*4+L898*3+N898*2+O898*2)</x:f>
        <x:v>87</x:v>
      </x:c>
      <x:c r="R898" s="14" t="str">
        <x:v>high</x:v>
      </x:c>
      <x:c r="S898" s="14" t="str">
        <x:v>official_prozorro_award_2024_2026</x:v>
      </x:c>
      <x:c r="T898" s="14" t="str">
        <x:v>official_prozorro_api</x:v>
      </x:c>
      <x:c r="U898" s="14" t="str">
        <x:v>Не контактували</x:v>
      </x:c>
      <x:c r="V898" s="15" t="str">
        <x:v>Workflow-audit outreach по UA-2026-08-19-009214-a; попросити 1 пакет здачі та вимоги проєкту</x:v>
      </x:c>
      <x:c r="W898" s="15" t="str">
        <x:v>Власник / директор; керівник ПТО; відповідальний за договори</x:v>
      </x:c>
      <x:c r="X898" s="15" t="str">
        <x:v>2 нових підтверджених перемог/договорів у Prozorro на 478 580 грн; 1 зі строком виконання не раніше 24.08.2026.</x:v>
      </x:c>
      <x:c r="Y898"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 строк до 2026-10-30. Попросити один знеособлений пакет здачі за цим workflow.</x:v>
      </x:c>
      <x:c r="Z898" s="15" t="str">
        <x:v>https://prozorro.gov.ua/tender/UA-2026-08-19-009214-a</x:v>
      </x:c>
      <x:c r="AA898" s="14" t="str">
        <x:v>34744043</x:v>
      </x:c>
      <x:c r="AB898" s="14" t="str">
        <x:v>2026-08-24</x:v>
      </x:c>
      <x:c r="AC898" s="14" t="str"/>
      <x:c r="AD898" s="20" t="str"/>
      <x:c r="AE898" s="14" t="str"/>
      <x:c r="AF898" s="14" t="n">
        <x:v>66</x:v>
      </x:c>
      <x:c r="AG898" s="14" t="str">
        <x:v>I2</x:v>
      </x:c>
      <x:c r="AH898" s="14" t="n">
        <x:v>2</x:v>
      </x:c>
      <x:c r="AI898" s="14" t="n">
        <x:v>1</x:v>
      </x:c>
      <x:c r="AJ898" s="18" t="n">
        <x:v>478579.68</x:v>
      </x:c>
      <x:c r="AK898" s="14" t="str">
        <x:v>https://prozorro.gov.ua/tender/UA-2026-08-19-009214-a</x:v>
      </x:c>
      <x:c r="AL898" s="19" t="n">
        <x:v>46253.50338994213</x:v>
      </x:c>
      <x:c r="AM898" s="19" t="n">
        <x:v>46325</x:v>
      </x:c>
      <x:c r="AN898" s="15" t="str">
        <x:v>Пожежогасіння</x:v>
      </x:c>
      <x:c r="AO898" s="15" t="str">
        <x:v>not_found_in_top_search</x:v>
      </x:c>
    </x:row>
    <x:row r="899">
      <x:c r="A899" s="14" t="str">
        <x:v>W4-080</x:v>
      </x:c>
      <x:c r="B899" s="14" t="str">
        <x:v>Prozorro expansion — 24.08</x:v>
      </x:c>
      <x:c r="C899" s="14" t="str">
        <x:v>ГАВАЖУК МИХАЙЛО ПИЛИПОВИЧ</x:v>
      </x:c>
      <x:c r="D899" s="14" t="str">
        <x:v>Пасивний вогнезахист</x:v>
      </x:c>
      <x:c r="E899" s="14" t="str">
        <x:v>Expansion discovery</x:v>
      </x:c>
      <x:c r="F899" s="17" t="str">
        <x:v>D2</x:v>
      </x:c>
      <x:c r="G899" s="14" t="str"/>
      <x:c r="H899" s="14" t="str">
        <x:v>Discovery розширення — 2 тижні</x:v>
      </x:c>
      <x:c r="I899" s="16" t="n">
        <x:v>1</x:v>
      </x:c>
      <x:c r="J899" s="16" t="n">
        <x:v>5</x:v>
      </x:c>
      <x:c r="K899" s="16" t="n">
        <x:v>5</x:v>
      </x:c>
      <x:c r="L899" s="16" t="n">
        <x:v>2</x:v>
      </x:c>
      <x:c r="M899" s="16" t="n">
        <x:v>5</x:v>
      </x:c>
      <x:c r="N899" s="16" t="n">
        <x:v>3</x:v>
      </x:c>
      <x:c r="O899" s="16" t="n">
        <x:v>3</x:v>
      </x:c>
      <x:c r="P899" s="16" t="n">
        <x:f>IF(COUNT(I899:O899)&lt;7,"",I899*8+J899*3+K899*2+L899*2+M899*2+N899*2+O899)</x:f>
        <x:v>56</x:v>
      </x:c>
      <x:c r="Q899" s="16" t="n">
        <x:f>IF(COUNT(J899:O899)&lt;6,"",J899*5+K899*4+M899*4+L899*3+N899*2+O899*2)</x:f>
        <x:v>83</x:v>
      </x:c>
      <x:c r="R899" s="14" t="str">
        <x:v>high</x:v>
      </x:c>
      <x:c r="S899" s="14" t="str">
        <x:v>official_prozorro_award_2024_2026</x:v>
      </x:c>
      <x:c r="T899" s="14" t="str">
        <x:v>official_prozorro_api</x:v>
      </x:c>
      <x:c r="U899" s="14" t="str">
        <x:v>Не контактували</x:v>
      </x:c>
      <x:c r="V899" s="15" t="str">
        <x:v>Workflow-audit outreach по UA-2026-08-24-001381-a; попросити 1 пакет здачі та вимоги проєкту</x:v>
      </x:c>
      <x:c r="W899" s="15" t="str">
        <x:v>Власник / виконавець; відповідальний за договір</x:v>
      </x:c>
      <x:c r="X899" s="15" t="str">
        <x:v>2 нових підтверджених перемог/договорів у Prozorro на 199 993 грн; 2 зі строком виконання не раніше 24.08.2026.</x:v>
      </x:c>
      <x:c r="Y899"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 строк до 2026-12-31. Попросити один знеособлений пакет здачі за цим workflow.</x:v>
      </x:c>
      <x:c r="Z899" s="15" t="str">
        <x:v>https://prozorro.gov.ua/tender/UA-2026-08-24-001381-a</x:v>
      </x:c>
      <x:c r="AA899" s="14" t="str">
        <x:v>1931213575</x:v>
      </x:c>
      <x:c r="AB899" s="14" t="str">
        <x:v>2026-08-24</x:v>
      </x:c>
      <x:c r="AC899" s="14" t="str"/>
      <x:c r="AD899" s="20" t="str"/>
      <x:c r="AE899" s="14" t="str"/>
      <x:c r="AF899" s="14" t="n">
        <x:v>66</x:v>
      </x:c>
      <x:c r="AG899" s="14" t="str">
        <x:v>I2</x:v>
      </x:c>
      <x:c r="AH899" s="14" t="n">
        <x:v>2</x:v>
      </x:c>
      <x:c r="AI899" s="14" t="n">
        <x:v>2</x:v>
      </x:c>
      <x:c r="AJ899" s="18" t="n">
        <x:v>199993</x:v>
      </x:c>
      <x:c r="AK899" s="14" t="str">
        <x:v>https://prozorro.gov.ua/tender/UA-2026-08-24-001381-a</x:v>
      </x:c>
      <x:c r="AL899" s="19" t="n">
        <x:v>46258.33028866898</x:v>
      </x:c>
      <x:c r="AM899" s="19" t="n">
        <x:v>46387</x:v>
      </x:c>
      <x:c r="AN899" s="15" t="str">
        <x:v>Пасивний вогнезахист</x:v>
      </x:c>
      <x:c r="AO899" s="15" t="str">
        <x:v>not_found_in_top_search</x:v>
      </x:c>
    </x:row>
    <x:row r="900">
      <x:c r="A900" s="14" t="str">
        <x:v>W4-081</x:v>
      </x:c>
      <x:c r="B900" s="14" t="str">
        <x:v>Prozorro expansion — 24.08</x:v>
      </x:c>
      <x:c r="C900" s="14" t="str">
        <x:v>ПІНЧУК НАТАЛІЯ МИКОЛАЇВНА</x:v>
      </x:c>
      <x:c r="D900" s="14" t="str">
        <x:v>Дорожні роботи</x:v>
      </x:c>
      <x:c r="E900" s="14" t="str">
        <x:v>Expansion discovery</x:v>
      </x:c>
      <x:c r="F900" s="17" t="str">
        <x:v>D2</x:v>
      </x:c>
      <x:c r="G900" s="14" t="str"/>
      <x:c r="H900" s="14" t="str">
        <x:v>Discovery розширення — 2 тижні</x:v>
      </x:c>
      <x:c r="I900" s="16" t="n">
        <x:v>1</x:v>
      </x:c>
      <x:c r="J900" s="16" t="n">
        <x:v>5</x:v>
      </x:c>
      <x:c r="K900" s="16" t="n">
        <x:v>4</x:v>
      </x:c>
      <x:c r="L900" s="16" t="n">
        <x:v>2</x:v>
      </x:c>
      <x:c r="M900" s="16" t="n">
        <x:v>5</x:v>
      </x:c>
      <x:c r="N900" s="16" t="n">
        <x:v>3</x:v>
      </x:c>
      <x:c r="O900" s="16" t="n">
        <x:v>3</x:v>
      </x:c>
      <x:c r="P900" s="16" t="n">
        <x:f>IF(COUNT(I900:O900)&lt;7,"",I900*8+J900*3+K900*2+L900*2+M900*2+N900*2+O900)</x:f>
        <x:v>54</x:v>
      </x:c>
      <x:c r="Q900" s="16" t="n">
        <x:f>IF(COUNT(J900:O900)&lt;6,"",J900*5+K900*4+M900*4+L900*3+N900*2+O900*2)</x:f>
        <x:v>79</x:v>
      </x:c>
      <x:c r="R900" s="14" t="str">
        <x:v>high</x:v>
      </x:c>
      <x:c r="S900" s="14" t="str">
        <x:v>official_prozorro_award_2024_2026</x:v>
      </x:c>
      <x:c r="T900" s="14" t="str">
        <x:v>official_prozorro_api</x:v>
      </x:c>
      <x:c r="U900" s="14" t="str">
        <x:v>Не контактували</x:v>
      </x:c>
      <x:c r="V900" s="15" t="str">
        <x:v>Workflow-audit outreach по UA-2026-08-18-009613-a; попросити 1 пакет здачі та вимоги проєкту</x:v>
      </x:c>
      <x:c r="W900" s="15" t="str">
        <x:v>Власник / виконавець; відповідальний за договір</x:v>
      </x:c>
      <x:c r="X900" s="15" t="str">
        <x:v>2 нових підтверджених перемог/договорів у Prozorro на 180 922 грн; 2 зі строком виконання не раніше 24.08.2026.</x:v>
      </x:c>
      <x:c r="Y900" s="15" t="str">
        <x:v>Капітальний ремонт дорожнього покриття по вул. Лугова в м.Чуднів Житомирського району Житомирської області (Проектно- кошторисна документація ); строк до 2026-12-31. Попросити один знеособлений пакет здачі за цим workflow.</x:v>
      </x:c>
      <x:c r="Z900" s="15" t="str">
        <x:v>https://prozorro.gov.ua/tender/UA-2026-08-18-009613-a</x:v>
      </x:c>
      <x:c r="AA900" s="14" t="str">
        <x:v>3018600866</x:v>
      </x:c>
      <x:c r="AB900" s="14" t="str">
        <x:v>2026-08-24</x:v>
      </x:c>
      <x:c r="AC900" s="14" t="str"/>
      <x:c r="AD900" s="20" t="str"/>
      <x:c r="AE900" s="14" t="str"/>
      <x:c r="AF900" s="14" t="n">
        <x:v>66</x:v>
      </x:c>
      <x:c r="AG900" s="14" t="str">
        <x:v>I2</x:v>
      </x:c>
      <x:c r="AH900" s="14" t="n">
        <x:v>2</x:v>
      </x:c>
      <x:c r="AI900" s="14" t="n">
        <x:v>2</x:v>
      </x:c>
      <x:c r="AJ900" s="18" t="n">
        <x:v>180922.48</x:v>
      </x:c>
      <x:c r="AK900" s="14" t="str">
        <x:v>https://prozorro.gov.ua/tender/UA-2026-08-18-009613-a</x:v>
      </x:c>
      <x:c r="AL900" s="19" t="n">
        <x:v>46252.515171203704</x:v>
      </x:c>
      <x:c r="AM900" s="19" t="n">
        <x:v>46387</x:v>
      </x:c>
      <x:c r="AN900" s="15" t="str">
        <x:v>Дорожні роботи</x:v>
      </x:c>
      <x:c r="AO900" s="15" t="str">
        <x:v>not_found_in_top_search</x:v>
      </x:c>
    </x:row>
    <x:row r="901">
      <x:c r="A901" s="14" t="str">
        <x:v>W4-082</x:v>
      </x:c>
      <x:c r="B901" s="14" t="str">
        <x:v>Prozorro expansion — 24.08</x:v>
      </x:c>
      <x:c r="C901" s="14" t="str">
        <x:v>ТОВАРИСТВО З ОБМЕЖЕНОЮ ВІДПОВІДАЛЬНІСТЮ "Науково-виробниче підприємство "Еко-моніторинг"</x:v>
      </x:c>
      <x:c r="D901" s="14" t="str">
        <x:v>Зливова каналізація / дренаж</x:v>
      </x:c>
      <x:c r="E901" s="14" t="str">
        <x:v>Expansion discovery</x:v>
      </x:c>
      <x:c r="F901" s="17" t="str">
        <x:v>D2</x:v>
      </x:c>
      <x:c r="G901" s="14" t="str"/>
      <x:c r="H901" s="14" t="str">
        <x:v>Discovery розширення — 2 тижні</x:v>
      </x:c>
      <x:c r="I901" s="16" t="n">
        <x:v>1</x:v>
      </x:c>
      <x:c r="J901" s="16" t="n">
        <x:v>5</x:v>
      </x:c>
      <x:c r="K901" s="16" t="n">
        <x:v>5</x:v>
      </x:c>
      <x:c r="L901" s="16" t="n">
        <x:v>2</x:v>
      </x:c>
      <x:c r="M901" s="16" t="n">
        <x:v>5</x:v>
      </x:c>
      <x:c r="N901" s="16" t="n">
        <x:v>5</x:v>
      </x:c>
      <x:c r="O901" s="16" t="n">
        <x:v>3</x:v>
      </x:c>
      <x:c r="P901" s="16" t="n">
        <x:f>IF(COUNT(I901:O901)&lt;7,"",I901*8+J901*3+K901*2+L901*2+M901*2+N901*2+O901)</x:f>
        <x:v>60</x:v>
      </x:c>
      <x:c r="Q901" s="16" t="n">
        <x:f>IF(COUNT(J901:O901)&lt;6,"",J901*5+K901*4+M901*4+L901*3+N901*2+O901*2)</x:f>
        <x:v>87</x:v>
      </x:c>
      <x:c r="R901" s="14" t="str">
        <x:v>high</x:v>
      </x:c>
      <x:c r="S901" s="14" t="str">
        <x:v>official_prozorro_award_2024_2026</x:v>
      </x:c>
      <x:c r="T901" s="14" t="str">
        <x:v>official_prozorro_api</x:v>
      </x:c>
      <x:c r="U901" s="14" t="str">
        <x:v>Не контактували</x:v>
      </x:c>
      <x:c r="V901" s="15" t="str">
        <x:v>Workflow-audit outreach по UA-2026-07-21-008580-a; попросити 1 пакет здачі та вимоги проєкту</x:v>
      </x:c>
      <x:c r="W901" s="15" t="str">
        <x:v>Власник / директор; керівник ПТО; відповідальний за договори</x:v>
      </x:c>
      <x:c r="X901" s="15" t="str">
        <x:v>2 нових підтверджених перемог/договорів у Prozorro на 171 900 грн; 0 зі строком виконання не раніше 24.08.2026.</x:v>
      </x:c>
      <x:c r="Y901"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 строк до 2026-08-20. Попросити один знеособлений пакет здачі за цим workflow.</x:v>
      </x:c>
      <x:c r="Z901" s="15" t="str">
        <x:v>https://prozorro.gov.ua/tender/UA-2026-07-21-008580-a</x:v>
      </x:c>
      <x:c r="AA901" s="14" t="str">
        <x:v>45857381</x:v>
      </x:c>
      <x:c r="AB901" s="14" t="str">
        <x:v>2026-08-24</x:v>
      </x:c>
      <x:c r="AC901" s="14" t="str"/>
      <x:c r="AD901" s="20" t="str"/>
      <x:c r="AE901" s="14" t="str"/>
      <x:c r="AF901" s="14" t="n">
        <x:v>66</x:v>
      </x:c>
      <x:c r="AG901" s="14" t="str">
        <x:v>I2</x:v>
      </x:c>
      <x:c r="AH901" s="14" t="n">
        <x:v>2</x:v>
      </x:c>
      <x:c r="AI901" s="14" t="n">
        <x:v>0</x:v>
      </x:c>
      <x:c r="AJ901" s="18" t="n">
        <x:v>171900</x:v>
      </x:c>
      <x:c r="AK901" s="14" t="str">
        <x:v>https://prozorro.gov.ua/tender/UA-2026-07-21-008580-a</x:v>
      </x:c>
      <x:c r="AL901" s="19" t="n">
        <x:v>46224.51214429398</x:v>
      </x:c>
      <x:c r="AM901" s="19" t="n">
        <x:v>46254</x:v>
      </x:c>
      <x:c r="AN901" s="15" t="str">
        <x:v>Зливова каналізація / дренаж</x:v>
      </x:c>
      <x:c r="AO901" s="15" t="str">
        <x:v>not_found_in_top_search</x:v>
      </x:c>
    </x:row>
    <x:row r="902">
      <x:c r="A902" s="14" t="str">
        <x:v>W4-083</x:v>
      </x:c>
      <x:c r="B902" s="14" t="str">
        <x:v>Prozorro expansion — 24.08</x:v>
      </x:c>
      <x:c r="C902" s="14" t="str">
        <x:v>ТОВАРИСТВО З ОБМЕЖЕНОЮ ВІДПОВІДАЛЬНІСТЮ "СПЕЦМОНТАЖ-2"</x:v>
      </x:c>
      <x:c r="D902" s="14" t="str">
        <x:v>Пасивний вогнезахист</x:v>
      </x:c>
      <x:c r="E902" s="14" t="str">
        <x:v>Expansion discovery</x:v>
      </x:c>
      <x:c r="F902" s="17" t="str">
        <x:v>D2</x:v>
      </x:c>
      <x:c r="G902" s="14" t="str"/>
      <x:c r="H902" s="14" t="str">
        <x:v>Discovery розширення — 2 тижні</x:v>
      </x:c>
      <x:c r="I902" s="16" t="n">
        <x:v>1</x:v>
      </x:c>
      <x:c r="J902" s="16" t="n">
        <x:v>5</x:v>
      </x:c>
      <x:c r="K902" s="16" t="n">
        <x:v>5</x:v>
      </x:c>
      <x:c r="L902" s="16" t="n">
        <x:v>2</x:v>
      </x:c>
      <x:c r="M902" s="16" t="n">
        <x:v>5</x:v>
      </x:c>
      <x:c r="N902" s="16" t="n">
        <x:v>5</x:v>
      </x:c>
      <x:c r="O902" s="16" t="n">
        <x:v>3</x:v>
      </x:c>
      <x:c r="P902" s="16" t="n">
        <x:f>IF(COUNT(I902:O902)&lt;7,"",I902*8+J902*3+K902*2+L902*2+M902*2+N902*2+O902)</x:f>
        <x:v>60</x:v>
      </x:c>
      <x:c r="Q902" s="16" t="n">
        <x:f>IF(COUNT(J902:O902)&lt;6,"",J902*5+K902*4+M902*4+L902*3+N902*2+O902*2)</x:f>
        <x:v>87</x:v>
      </x:c>
      <x:c r="R902" s="14" t="str">
        <x:v>high</x:v>
      </x:c>
      <x:c r="S902" s="14" t="str">
        <x:v>official_prozorro_award_2024_2026</x:v>
      </x:c>
      <x:c r="T902" s="14" t="str">
        <x:v>official_prozorro_api</x:v>
      </x:c>
      <x:c r="U902" s="14" t="str">
        <x:v>Не контактували</x:v>
      </x:c>
      <x:c r="V902" s="15" t="str">
        <x:v>Workflow-audit outreach по UA-2026-08-11-009839-a; попросити 1 пакет здачі та вимоги проєкту</x:v>
      </x:c>
      <x:c r="W902" s="15" t="str">
        <x:v>Власник / директор; керівник ПТО; відповідальний за договори</x:v>
      </x:c>
      <x:c r="X902" s="15" t="str">
        <x:v>2 нових підтверджених перемог/договорів у Prozorro на 164 944 грн; 2 зі строком виконання не раніше 24.08.2026.</x:v>
      </x:c>
      <x:c r="Y902" s="15" t="str">
        <x:v>Послуги з вогнезахисної обробки дерев'яних конструкцій; строк до 2026-12-31. Попросити один знеособлений пакет здачі за цим workflow.</x:v>
      </x:c>
      <x:c r="Z902" s="15" t="str">
        <x:v>https://prozorro.gov.ua/tender/UA-2026-08-11-009839-a</x:v>
      </x:c>
      <x:c r="AA902" s="14" t="str">
        <x:v>13440054</x:v>
      </x:c>
      <x:c r="AB902" s="14" t="str">
        <x:v>2026-08-24</x:v>
      </x:c>
      <x:c r="AC902" s="14" t="str"/>
      <x:c r="AD902" s="20" t="str"/>
      <x:c r="AE902" s="14" t="str"/>
      <x:c r="AF902" s="14" t="n">
        <x:v>66</x:v>
      </x:c>
      <x:c r="AG902" s="14" t="str">
        <x:v>I2</x:v>
      </x:c>
      <x:c r="AH902" s="14" t="n">
        <x:v>2</x:v>
      </x:c>
      <x:c r="AI902" s="14" t="n">
        <x:v>2</x:v>
      </x:c>
      <x:c r="AJ902" s="18" t="n">
        <x:v>164943.87</x:v>
      </x:c>
      <x:c r="AK902" s="14" t="str">
        <x:v>https://prozorro.gov.ua/tender/UA-2026-08-11-009839-a</x:v>
      </x:c>
      <x:c r="AL902" s="19" t="n">
        <x:v>46245.52364234954</x:v>
      </x:c>
      <x:c r="AM902" s="19" t="n">
        <x:v>46387</x:v>
      </x:c>
      <x:c r="AN902" s="15" t="str">
        <x:v>Пасивний вогнезахист</x:v>
      </x:c>
      <x:c r="AO902" s="15" t="str">
        <x:v>not_found_in_top_search</x:v>
      </x:c>
    </x:row>
    <x:row r="903">
      <x:c r="A903" s="14" t="str">
        <x:v>W4-084</x:v>
      </x:c>
      <x:c r="B903" s="14" t="str">
        <x:v>Prozorro expansion — 24.08</x:v>
      </x:c>
      <x:c r="C903" s="14" t="str">
        <x:v>ФОП Ламбурх Михайло Іванович</x:v>
      </x:c>
      <x:c r="D903" s="14" t="str">
        <x:v>Пасивний вогнезахист</x:v>
      </x:c>
      <x:c r="E903" s="14" t="str">
        <x:v>Expansion discovery</x:v>
      </x:c>
      <x:c r="F903" s="17" t="str">
        <x:v>D2</x:v>
      </x:c>
      <x:c r="G903" s="14" t="str"/>
      <x:c r="H903" s="14" t="str">
        <x:v>Discovery розширення — 2 тижні</x:v>
      </x:c>
      <x:c r="I903" s="16" t="n">
        <x:v>1</x:v>
      </x:c>
      <x:c r="J903" s="16" t="n">
        <x:v>5</x:v>
      </x:c>
      <x:c r="K903" s="16" t="n">
        <x:v>5</x:v>
      </x:c>
      <x:c r="L903" s="16" t="n">
        <x:v>2</x:v>
      </x:c>
      <x:c r="M903" s="16" t="n">
        <x:v>5</x:v>
      </x:c>
      <x:c r="N903" s="16" t="n">
        <x:v>3</x:v>
      </x:c>
      <x:c r="O903" s="16" t="n">
        <x:v>3</x:v>
      </x:c>
      <x:c r="P903" s="16" t="n">
        <x:f>IF(COUNT(I903:O903)&lt;7,"",I903*8+J903*3+K903*2+L903*2+M903*2+N903*2+O903)</x:f>
        <x:v>56</x:v>
      </x:c>
      <x:c r="Q903" s="16" t="n">
        <x:f>IF(COUNT(J903:O903)&lt;6,"",J903*5+K903*4+M903*4+L903*3+N903*2+O903*2)</x:f>
        <x:v>83</x:v>
      </x:c>
      <x:c r="R903" s="14" t="str">
        <x:v>high</x:v>
      </x:c>
      <x:c r="S903" s="14" t="str">
        <x:v>official_prozorro_award_2024_2026</x:v>
      </x:c>
      <x:c r="T903" s="14" t="str">
        <x:v>official_prozorro_api</x:v>
      </x:c>
      <x:c r="U903" s="14" t="str">
        <x:v>Не контактували</x:v>
      </x:c>
      <x:c r="V903" s="15" t="str">
        <x:v>Workflow-audit outreach по UA-2026-07-15-004041-a; попросити 1 пакет здачі та вимоги проєкту</x:v>
      </x:c>
      <x:c r="W903" s="15" t="str">
        <x:v>Власник / виконавець; відповідальний за договір</x:v>
      </x:c>
      <x:c r="X903" s="15" t="str">
        <x:v>2 нових підтверджених перемог/договорів у Prozorro на 150 535 грн; 2 зі строком виконання не раніше 24.08.2026.</x:v>
      </x:c>
      <x:c r="Y903" s="15" t="str">
        <x:v>Вогнезахисна обробка дерев'яних конструкцій покрівлі даху; строк до 2026-12-31. Попросити один знеособлений пакет здачі за цим workflow.</x:v>
      </x:c>
      <x:c r="Z903" s="15" t="str">
        <x:v>https://prozorro.gov.ua/tender/UA-2026-07-15-004041-a</x:v>
      </x:c>
      <x:c r="AA903" s="14" t="str">
        <x:v>2198622773</x:v>
      </x:c>
      <x:c r="AB903" s="14" t="str">
        <x:v>2026-08-24</x:v>
      </x:c>
      <x:c r="AC903" s="14" t="str"/>
      <x:c r="AD903" s="20" t="str"/>
      <x:c r="AE903" s="14" t="str"/>
      <x:c r="AF903" s="14" t="n">
        <x:v>66</x:v>
      </x:c>
      <x:c r="AG903" s="14" t="str">
        <x:v>I2</x:v>
      </x:c>
      <x:c r="AH903" s="14" t="n">
        <x:v>2</x:v>
      </x:c>
      <x:c r="AI903" s="14" t="n">
        <x:v>2</x:v>
      </x:c>
      <x:c r="AJ903" s="18" t="n">
        <x:v>150534.9</x:v>
      </x:c>
      <x:c r="AK903" s="14" t="str">
        <x:v>https://prozorro.gov.ua/tender/UA-2026-07-15-004041-a</x:v>
      </x:c>
      <x:c r="AL903" s="19" t="n">
        <x:v>46218.373037488425</x:v>
      </x:c>
      <x:c r="AM903" s="19" t="n">
        <x:v>46387</x:v>
      </x:c>
      <x:c r="AN903" s="15" t="str">
        <x:v>Пасивний вогнезахист</x:v>
      </x:c>
      <x:c r="AO903" s="15" t="str">
        <x:v>not_found_in_top_search</x:v>
      </x:c>
    </x:row>
    <x:row r="904">
      <x:c r="A904" s="14" t="str">
        <x:v>W4-085</x:v>
      </x:c>
      <x:c r="B904" s="14" t="str">
        <x:v>Prozorro expansion — 24.08</x:v>
      </x:c>
      <x:c r="C904" s="14" t="str">
        <x:v>ІВАШУТА РОМАН СТАНІСЛАВОВИЧ</x:v>
      </x:c>
      <x:c r="D904" s="14" t="str">
        <x:v>Металоконструкції</x:v>
      </x:c>
      <x:c r="E904" s="14" t="str">
        <x:v>Expansion discovery</x:v>
      </x:c>
      <x:c r="F904" s="17" t="str">
        <x:v>D2</x:v>
      </x:c>
      <x:c r="G904" s="14" t="str"/>
      <x:c r="H904" s="14" t="str">
        <x:v>Discovery розширення — 2 тижні</x:v>
      </x:c>
      <x:c r="I904" s="16" t="n">
        <x:v>1</x:v>
      </x:c>
      <x:c r="J904" s="16" t="n">
        <x:v>5</x:v>
      </x:c>
      <x:c r="K904" s="16" t="n">
        <x:v>5</x:v>
      </x:c>
      <x:c r="L904" s="16" t="n">
        <x:v>2</x:v>
      </x:c>
      <x:c r="M904" s="16" t="n">
        <x:v>5</x:v>
      </x:c>
      <x:c r="N904" s="16" t="n">
        <x:v>3</x:v>
      </x:c>
      <x:c r="O904" s="16" t="n">
        <x:v>3</x:v>
      </x:c>
      <x:c r="P904" s="16" t="n">
        <x:f>IF(COUNT(I904:O904)&lt;7,"",I904*8+J904*3+K904*2+L904*2+M904*2+N904*2+O904)</x:f>
        <x:v>56</x:v>
      </x:c>
      <x:c r="Q904" s="16" t="n">
        <x:f>IF(COUNT(J904:O904)&lt;6,"",J904*5+K904*4+M904*4+L904*3+N904*2+O904*2)</x:f>
        <x:v>83</x:v>
      </x:c>
      <x:c r="R904" s="14" t="str">
        <x:v>high</x:v>
      </x:c>
      <x:c r="S904" s="14" t="str">
        <x:v>official_prozorro_award_2024_2026</x:v>
      </x:c>
      <x:c r="T904" s="14" t="str">
        <x:v>official_prozorro_api</x:v>
      </x:c>
      <x:c r="U904" s="14" t="str">
        <x:v>Не контактували</x:v>
      </x:c>
      <x:c r="V904" s="15" t="str">
        <x:v>Workflow-audit outreach по UA-2026-08-10-006518-a; попросити 1 пакет здачі та вимоги проєкту</x:v>
      </x:c>
      <x:c r="W904" s="15" t="str">
        <x:v>Власник / виконавець; відповідальний за договір</x:v>
      </x:c>
      <x:c r="X904" s="15" t="str">
        <x:v>2 нових підтверджених перемог/договорів у Prozorro на 126 880 грн; 0 зі строком виконання не раніше 24.08.2026.</x:v>
      </x:c>
      <x:c r="Y904" s="15" t="str">
        <x:v>Виготовлення та монтаж алюмінієво композитних панелей (АКП) на металоконструкції стендів Алеї Слави, габаритним розміром 1160мм.*1500мм.; строк до 2026-08-06. Попросити один знеособлений пакет здачі за цим workflow.</x:v>
      </x:c>
      <x:c r="Z904" s="15" t="str">
        <x:v>https://prozorro.gov.ua/tender/UA-2026-08-10-006518-a</x:v>
      </x:c>
      <x:c r="AA904" s="14" t="str">
        <x:v>3314608572</x:v>
      </x:c>
      <x:c r="AB904" s="14" t="str">
        <x:v>2026-08-24</x:v>
      </x:c>
      <x:c r="AC904" s="14" t="str"/>
      <x:c r="AD904" s="20" t="str"/>
      <x:c r="AE904" s="14" t="str"/>
      <x:c r="AF904" s="14" t="n">
        <x:v>66</x:v>
      </x:c>
      <x:c r="AG904" s="14" t="str">
        <x:v>I2</x:v>
      </x:c>
      <x:c r="AH904" s="14" t="n">
        <x:v>2</x:v>
      </x:c>
      <x:c r="AI904" s="14" t="n">
        <x:v>0</x:v>
      </x:c>
      <x:c r="AJ904" s="18" t="n">
        <x:v>126880</x:v>
      </x:c>
      <x:c r="AK904" s="14" t="str">
        <x:v>https://prozorro.gov.ua/tender/UA-2026-08-10-006518-a</x:v>
      </x:c>
      <x:c r="AL904" s="19" t="n">
        <x:v>46244.47195049768</x:v>
      </x:c>
      <x:c r="AM904" s="19" t="n">
        <x:v>46240</x:v>
      </x:c>
      <x:c r="AN904" s="15" t="str">
        <x:v>Металоконструкції</x:v>
      </x:c>
      <x:c r="AO904" s="15" t="str">
        <x:v>not_found_in_top_search</x:v>
      </x:c>
    </x:row>
    <x:row r="905">
      <x:c r="A905" s="14" t="str">
        <x:v>W4-086</x:v>
      </x:c>
      <x:c r="B905" s="14" t="str">
        <x:v>Prozorro expansion — 24.08</x:v>
      </x:c>
      <x:c r="C905" s="14" t="str">
        <x:v>ФОП Мітла Олександр Вікторович</x:v>
      </x:c>
      <x:c r="D905" s="14" t="str">
        <x:v>Пасивний вогнезахист</x:v>
      </x:c>
      <x:c r="E905" s="14" t="str">
        <x:v>Expansion discovery</x:v>
      </x:c>
      <x:c r="F905" s="17" t="str">
        <x:v>D2</x:v>
      </x:c>
      <x:c r="G905" s="14" t="str"/>
      <x:c r="H905" s="14" t="str">
        <x:v>Discovery розширення — 2 тижні</x:v>
      </x:c>
      <x:c r="I905" s="16" t="n">
        <x:v>1</x:v>
      </x:c>
      <x:c r="J905" s="16" t="n">
        <x:v>5</x:v>
      </x:c>
      <x:c r="K905" s="16" t="n">
        <x:v>5</x:v>
      </x:c>
      <x:c r="L905" s="16" t="n">
        <x:v>2</x:v>
      </x:c>
      <x:c r="M905" s="16" t="n">
        <x:v>5</x:v>
      </x:c>
      <x:c r="N905" s="16" t="n">
        <x:v>3</x:v>
      </x:c>
      <x:c r="O905" s="16" t="n">
        <x:v>3</x:v>
      </x:c>
      <x:c r="P905" s="16" t="n">
        <x:f>IF(COUNT(I905:O905)&lt;7,"",I905*8+J905*3+K905*2+L905*2+M905*2+N905*2+O905)</x:f>
        <x:v>56</x:v>
      </x:c>
      <x:c r="Q905" s="16" t="n">
        <x:f>IF(COUNT(J905:O905)&lt;6,"",J905*5+K905*4+M905*4+L905*3+N905*2+O905*2)</x:f>
        <x:v>83</x:v>
      </x:c>
      <x:c r="R905" s="14" t="str">
        <x:v>high</x:v>
      </x:c>
      <x:c r="S905" s="14" t="str">
        <x:v>official_prozorro_award_2024_2026</x:v>
      </x:c>
      <x:c r="T905" s="14" t="str">
        <x:v>official_prozorro_api</x:v>
      </x:c>
      <x:c r="U905" s="14" t="str">
        <x:v>Не контактували</x:v>
      </x:c>
      <x:c r="V905" s="15" t="str">
        <x:v>Workflow-audit outreach по UA-2026-08-05-000369-a; попросити 1 пакет здачі та вимоги проєкту</x:v>
      </x:c>
      <x:c r="W905" s="15" t="str">
        <x:v>Власник / виконавець; відповідальний за договір</x:v>
      </x:c>
      <x:c r="X905" s="15" t="str">
        <x:v>2 нових підтверджених перемог/договорів у Prozorro на 101 886 грн; 1 зі строком виконання не раніше 24.08.2026.</x:v>
      </x:c>
      <x:c r="Y905" s="15" t="str">
        <x:v>Послуги з вогнезахисної обробки дерев'яних конструкцій; строк до 2026-12-31. Попросити один знеособлений пакет здачі за цим workflow.</x:v>
      </x:c>
      <x:c r="Z905" s="15" t="str">
        <x:v>https://prozorro.gov.ua/tender/UA-2026-08-05-000369-a</x:v>
      </x:c>
      <x:c r="AA905" s="14" t="str">
        <x:v>2199615492</x:v>
      </x:c>
      <x:c r="AB905" s="14" t="str">
        <x:v>2026-08-24</x:v>
      </x:c>
      <x:c r="AC905" s="14" t="str"/>
      <x:c r="AD905" s="20" t="str"/>
      <x:c r="AE905" s="14" t="str"/>
      <x:c r="AF905" s="14" t="n">
        <x:v>66</x:v>
      </x:c>
      <x:c r="AG905" s="14" t="str">
        <x:v>I2</x:v>
      </x:c>
      <x:c r="AH905" s="14" t="n">
        <x:v>2</x:v>
      </x:c>
      <x:c r="AI905" s="14" t="n">
        <x:v>1</x:v>
      </x:c>
      <x:c r="AJ905" s="18" t="n">
        <x:v>101886.4</x:v>
      </x:c>
      <x:c r="AK905" s="14" t="str">
        <x:v>https://prozorro.gov.ua/tender/UA-2026-08-05-000369-a</x:v>
      </x:c>
      <x:c r="AL905" s="19" t="n">
        <x:v>46239.244112789354</x:v>
      </x:c>
      <x:c r="AM905" s="19" t="n">
        <x:v>46387.28613425926</x:v>
      </x:c>
      <x:c r="AN905" s="15" t="str">
        <x:v>Пасивний вогнезахист</x:v>
      </x:c>
      <x:c r="AO905" s="15" t="str">
        <x:v>not_found_in_top_search</x:v>
      </x:c>
    </x:row>
    <x:row r="906">
      <x:c r="A906" s="14" t="str">
        <x:v>W4-087</x:v>
      </x:c>
      <x:c r="B906" s="14" t="str">
        <x:v>Prozorro expansion — 24.08</x:v>
      </x:c>
      <x:c r="C906" s="14" t="str">
        <x:v>ТОВАРИСТВО З ОБМЕЖЕНОЮ ВІДПОВІДАЛЬНІСТЮ "А ГРУП ІНЖИНІРІНГ"</x:v>
      </x:c>
      <x:c r="D906" s="14" t="str">
        <x:v>Теплові мережі</x:v>
      </x:c>
      <x:c r="E906" s="14" t="str">
        <x:v>Expansion discovery</x:v>
      </x:c>
      <x:c r="F906" s="17" t="str">
        <x:v>D2</x:v>
      </x:c>
      <x:c r="G906" s="14" t="str"/>
      <x:c r="H906" s="14" t="str">
        <x:v>Discovery розширення — 2 тижні</x:v>
      </x:c>
      <x:c r="I906" s="16" t="n">
        <x:v>1</x:v>
      </x:c>
      <x:c r="J906" s="16" t="n">
        <x:v>5</x:v>
      </x:c>
      <x:c r="K906" s="16" t="n">
        <x:v>4</x:v>
      </x:c>
      <x:c r="L906" s="16" t="n">
        <x:v>4</x:v>
      </x:c>
      <x:c r="M906" s="16" t="n">
        <x:v>5</x:v>
      </x:c>
      <x:c r="N906" s="16" t="n">
        <x:v>5</x:v>
      </x:c>
      <x:c r="O906" s="16" t="n">
        <x:v>3</x:v>
      </x:c>
      <x:c r="P906" s="16" t="n">
        <x:f>IF(COUNT(I906:O906)&lt;7,"",I906*8+J906*3+K906*2+L906*2+M906*2+N906*2+O906)</x:f>
        <x:v>62</x:v>
      </x:c>
      <x:c r="Q906" s="16" t="n">
        <x:f>IF(COUNT(J906:O906)&lt;6,"",J906*5+K906*4+M906*4+L906*3+N906*2+O906*2)</x:f>
        <x:v>89</x:v>
      </x:c>
      <x:c r="R906" s="14" t="str">
        <x:v>high</x:v>
      </x:c>
      <x:c r="S906" s="14" t="str">
        <x:v>official_prozorro_award_2024_2026</x:v>
      </x:c>
      <x:c r="T906" s="14" t="str">
        <x:v>official_prozorro_api</x:v>
      </x:c>
      <x:c r="U906" s="14" t="str">
        <x:v>Не контактували</x:v>
      </x:c>
      <x:c r="V906" s="15" t="str">
        <x:v>Workflow-audit outreach по UA-2026-07-14-010455-a; попросити 1 пакет здачі та вимоги проєкту</x:v>
      </x:c>
      <x:c r="W906" s="15" t="str">
        <x:v>Власник / директор; керівник ПТО; відповідальний за договори</x:v>
      </x:c>
      <x:c r="X906" s="15" t="str">
        <x:v>1 нових підтверджених перемог/договорів у Prozorro на 9 781 587 грн; 1 зі строком виконання не раніше 24.08.2026.</x:v>
      </x:c>
      <x:c r="Y906"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 строк до 2026-10-20. Попросити один знеособлений пакет здачі за цим workflow.</x:v>
      </x:c>
      <x:c r="Z906" s="15" t="str">
        <x:v>https://prozorro.gov.ua/tender/UA-2026-07-14-010455-a</x:v>
      </x:c>
      <x:c r="AA906" s="14" t="str">
        <x:v>45071726</x:v>
      </x:c>
      <x:c r="AB906" s="14" t="str">
        <x:v>2026-08-24</x:v>
      </x:c>
      <x:c r="AC906" s="14" t="str"/>
      <x:c r="AD906" s="20" t="str"/>
      <x:c r="AE906" s="14" t="str"/>
      <x:c r="AF906" s="14" t="n">
        <x:v>64</x:v>
      </x:c>
      <x:c r="AG906" s="14" t="str">
        <x:v>I2</x:v>
      </x:c>
      <x:c r="AH906" s="14" t="n">
        <x:v>1</x:v>
      </x:c>
      <x:c r="AI906" s="14" t="n">
        <x:v>1</x:v>
      </x:c>
      <x:c r="AJ906" s="18" t="n">
        <x:v>9781586.62</x:v>
      </x:c>
      <x:c r="AK906" s="14" t="str">
        <x:v>https://prozorro.gov.ua/tender/UA-2026-07-14-010455-a</x:v>
      </x:c>
      <x:c r="AL906" s="19" t="n">
        <x:v>46217.562367893515</x:v>
      </x:c>
      <x:c r="AM906" s="19" t="n">
        <x:v>46315</x:v>
      </x:c>
      <x:c r="AN906" s="15" t="str">
        <x:v>Теплові мережі</x:v>
      </x:c>
      <x:c r="AO906" s="15" t="str">
        <x:v>not_found_in_top_search</x:v>
      </x:c>
    </x:row>
    <x:row r="907">
      <x:c r="A907" s="14" t="str">
        <x:v>W4-088</x:v>
      </x:c>
      <x:c r="B907" s="14" t="str">
        <x:v>Prozorro expansion — 24.08</x:v>
      </x:c>
      <x:c r="C907" s="14" t="str">
        <x:v>ТОВ «ОЛІМП-БЕЗПЕКА СЕРВІС»</x:v>
      </x:c>
      <x:c r="D907" s="14" t="str">
        <x:v>СКС / BMS / слаботочка</x:v>
      </x:c>
      <x:c r="E907" s="14" t="str">
        <x:v>Expansion discovery</x:v>
      </x:c>
      <x:c r="F907" s="17" t="str">
        <x:v>D2</x:v>
      </x:c>
      <x:c r="G907" s="14" t="str">
        <x:v>olimp-bezpeka.com.ua</x:v>
      </x:c>
      <x:c r="H907" s="14" t="str">
        <x:v>Discovery розширення — 2 тижні</x:v>
      </x:c>
      <x:c r="I907" s="16" t="n">
        <x:v>2</x:v>
      </x:c>
      <x:c r="J907" s="16" t="n">
        <x:v>5</x:v>
      </x:c>
      <x:c r="K907" s="16" t="n">
        <x:v>4</x:v>
      </x:c>
      <x:c r="L907" s="16" t="n">
        <x:v>4</x:v>
      </x:c>
      <x:c r="M907" s="16" t="n">
        <x:v>5</x:v>
      </x:c>
      <x:c r="N907" s="16" t="n">
        <x:v>5</x:v>
      </x:c>
      <x:c r="O907" s="16" t="n">
        <x:v>5</x:v>
      </x:c>
      <x:c r="P907" s="16" t="n">
        <x:f>IF(COUNT(I907:O907)&lt;7,"",I907*8+J907*3+K907*2+L907*2+M907*2+N907*2+O907)</x:f>
        <x:v>72</x:v>
      </x:c>
      <x:c r="Q907" s="16" t="n">
        <x:f>IF(COUNT(J907:O907)&lt;6,"",J907*5+K907*4+M907*4+L907*3+N907*2+O907*2)</x:f>
        <x:v>93</x:v>
      </x:c>
      <x:c r="R907" s="14" t="str">
        <x:v>high</x:v>
      </x:c>
      <x:c r="S907" s="14" t="str">
        <x:v>official_prozorro_award_2024_2026</x:v>
      </x:c>
      <x:c r="T907" s="14" t="str">
        <x:v>official_prozorro_api</x:v>
      </x:c>
      <x:c r="U907" s="14" t="str">
        <x:v>Не контактували</x:v>
      </x:c>
      <x:c r="V907" s="15" t="str">
        <x:v>Workflow-audit outreach по UA-2026-07-20-010204-a; попросити 1 пакет здачі та вимоги проєкту</x:v>
      </x:c>
      <x:c r="W907" s="15" t="str">
        <x:v>Власник / директор; керівник ПТО; відповідальний за договори</x:v>
      </x:c>
      <x:c r="X907" s="15" t="str">
        <x:v>1 нових підтверджених перемог/договорів у Prozorro на 7 544 016 грн; 1 зі строком виконання не раніше 24.08.2026.</x:v>
      </x:c>
      <x:c r="Y907" s="15" t="str">
        <x:v>Послуги з монтажу/демонтажу структурованих кабельних систем (основний постачальник) (ID тендера на "tender.privatbank.ua": PB-2026-05-19-3069701)  (Звіт про укладення договору); строк до 2027-07-12. Попросити один знеособлений пакет здачі за цим workflow.</x:v>
      </x:c>
      <x:c r="Z907" s="15" t="str">
        <x:v>https://prozorro.gov.ua/tender/UA-2026-07-20-010204-a</x:v>
      </x:c>
      <x:c r="AA907" s="14" t="str">
        <x:v>39171573</x:v>
      </x:c>
      <x:c r="AB907" s="14" t="str">
        <x:v>2026-08-24</x:v>
      </x:c>
      <x:c r="AC907" s="14" t="str"/>
      <x:c r="AD907" s="20" t="str"/>
      <x:c r="AE907" s="14" t="str"/>
      <x:c r="AF907" s="14" t="n">
        <x:v>64</x:v>
      </x:c>
      <x:c r="AG907" s="14" t="str">
        <x:v>I2</x:v>
      </x:c>
      <x:c r="AH907" s="14" t="n">
        <x:v>1</x:v>
      </x:c>
      <x:c r="AI907" s="14" t="n">
        <x:v>1</x:v>
      </x:c>
      <x:c r="AJ907" s="18" t="n">
        <x:v>7544016</x:v>
      </x:c>
      <x:c r="AK907" s="14" t="str">
        <x:v>https://prozorro.gov.ua/tender/UA-2026-07-20-010204-a</x:v>
      </x:c>
      <x:c r="AL907" s="19" t="n">
        <x:v>46223.57894912037</x:v>
      </x:c>
      <x:c r="AM907" s="19" t="n">
        <x:v>46580</x:v>
      </x:c>
      <x:c r="AN907" s="15" t="str">
        <x:v>СКС / BMS / слаботочка</x:v>
      </x:c>
      <x:c r="AO907" s="15" t="str">
        <x:v>supplier_provided_url</x:v>
      </x:c>
    </x:row>
    <x:row r="908">
      <x:c r="A908" s="14" t="str">
        <x:v>W4-089</x:v>
      </x:c>
      <x:c r="B908" s="14" t="str">
        <x:v>Prozorro expansion — 24.08</x:v>
      </x:c>
      <x:c r="C908" s="14" t="str">
        <x:v>ТОВАРИСТВО З ОБМЕЖЕНОЮ ВІДПОВІДАЛЬНІСТЮ "ПРОЕКТ-ВР"</x:v>
      </x:c>
      <x:c r="D908" s="14" t="str">
        <x:v>Дорожні роботи</x:v>
      </x:c>
      <x:c r="E908" s="14" t="str">
        <x:v>Expansion discovery</x:v>
      </x:c>
      <x:c r="F908" s="17" t="str">
        <x:v>D2</x:v>
      </x:c>
      <x:c r="G908" s="14" t="str"/>
      <x:c r="H908" s="14" t="str">
        <x:v>Discovery розширення — 2 тижні</x:v>
      </x:c>
      <x:c r="I908" s="16" t="n">
        <x:v>1</x:v>
      </x:c>
      <x:c r="J908" s="16" t="n">
        <x:v>5</x:v>
      </x:c>
      <x:c r="K908" s="16" t="n">
        <x:v>4</x:v>
      </x:c>
      <x:c r="L908" s="16" t="n">
        <x:v>4</x:v>
      </x:c>
      <x:c r="M908" s="16" t="n">
        <x:v>5</x:v>
      </x:c>
      <x:c r="N908" s="16" t="n">
        <x:v>5</x:v>
      </x:c>
      <x:c r="O908" s="16" t="n">
        <x:v>3</x:v>
      </x:c>
      <x:c r="P908" s="16" t="n">
        <x:f>IF(COUNT(I908:O908)&lt;7,"",I908*8+J908*3+K908*2+L908*2+M908*2+N908*2+O908)</x:f>
        <x:v>62</x:v>
      </x:c>
      <x:c r="Q908" s="16" t="n">
        <x:f>IF(COUNT(J908:O908)&lt;6,"",J908*5+K908*4+M908*4+L908*3+N908*2+O908*2)</x:f>
        <x:v>89</x:v>
      </x:c>
      <x:c r="R908" s="14" t="str">
        <x:v>high</x:v>
      </x:c>
      <x:c r="S908" s="14" t="str">
        <x:v>official_prozorro_award_2024_2026</x:v>
      </x:c>
      <x:c r="T908" s="14" t="str">
        <x:v>official_prozorro_api</x:v>
      </x:c>
      <x:c r="U908" s="14" t="str">
        <x:v>Не контактували</x:v>
      </x:c>
      <x:c r="V908" s="15" t="str">
        <x:v>Workflow-audit outreach по UA-2026-07-21-011349-a; попросити 1 пакет здачі та вимоги проєкту</x:v>
      </x:c>
      <x:c r="W908" s="15" t="str">
        <x:v>Власник / директор; керівник ПТО; відповідальний за договори</x:v>
      </x:c>
      <x:c r="X908" s="15" t="str">
        <x:v>1 нових підтверджених перемог/договорів у Prozorro на 7 465 121 грн; 1 зі строком виконання не раніше 24.08.2026.</x:v>
      </x:c>
      <x:c r="Y908"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 строк до 2026-11-30. Попросити один знеособлений пакет здачі за цим workflow.</x:v>
      </x:c>
      <x:c r="Z908" s="15" t="str">
        <x:v>https://prozorro.gov.ua/tender/UA-2026-07-21-011349-a</x:v>
      </x:c>
      <x:c r="AA908" s="14" t="str">
        <x:v>42711080</x:v>
      </x:c>
      <x:c r="AB908" s="14" t="str">
        <x:v>2026-08-24</x:v>
      </x:c>
      <x:c r="AC908" s="14" t="str"/>
      <x:c r="AD908" s="20" t="str"/>
      <x:c r="AE908" s="14" t="str"/>
      <x:c r="AF908" s="14" t="n">
        <x:v>64</x:v>
      </x:c>
      <x:c r="AG908" s="14" t="str">
        <x:v>I2</x:v>
      </x:c>
      <x:c r="AH908" s="14" t="n">
        <x:v>1</x:v>
      </x:c>
      <x:c r="AI908" s="14" t="n">
        <x:v>1</x:v>
      </x:c>
      <x:c r="AJ908" s="18" t="n">
        <x:v>7465121</x:v>
      </x:c>
      <x:c r="AK908" s="14" t="str">
        <x:v>https://prozorro.gov.ua/tender/UA-2026-07-21-011349-a</x:v>
      </x:c>
      <x:c r="AL908" s="19" t="n">
        <x:v>46240.300790381945</x:v>
      </x:c>
      <x:c r="AM908" s="19" t="n">
        <x:v>46356</x:v>
      </x:c>
      <x:c r="AN908" s="15" t="str">
        <x:v>Дорожні роботи</x:v>
      </x:c>
      <x:c r="AO908" s="15" t="str">
        <x:v>not_found_in_top_search</x:v>
      </x:c>
    </x:row>
    <x:row r="909">
      <x:c r="A909" s="14" t="str">
        <x:v>W4-090</x:v>
      </x:c>
      <x:c r="B909" s="14" t="str">
        <x:v>Prozorro expansion — 24.08</x:v>
      </x:c>
      <x:c r="C909" s="14" t="str">
        <x:v>ТОВ "МОМОТ-БЕТОН"</x:v>
      </x:c>
      <x:c r="D909" s="14" t="str">
        <x:v>Промислові підлоги та бетон</x:v>
      </x:c>
      <x:c r="E909" s="14" t="str">
        <x:v>Expansion discovery</x:v>
      </x:c>
      <x:c r="F909" s="17" t="str">
        <x:v>D2</x:v>
      </x:c>
      <x:c r="G909" s="14" t="str">
        <x:v>momotbeton.com.ua</x:v>
      </x:c>
      <x:c r="H909" s="14" t="str">
        <x:v>Discovery розширення — 2 тижні</x:v>
      </x:c>
      <x:c r="I909" s="16" t="n">
        <x:v>1</x:v>
      </x:c>
      <x:c r="J909" s="16" t="n">
        <x:v>5</x:v>
      </x:c>
      <x:c r="K909" s="16" t="n">
        <x:v>5</x:v>
      </x:c>
      <x:c r="L909" s="16" t="n">
        <x:v>4</x:v>
      </x:c>
      <x:c r="M909" s="16" t="n">
        <x:v>5</x:v>
      </x:c>
      <x:c r="N909" s="16" t="n">
        <x:v>5</x:v>
      </x:c>
      <x:c r="O909" s="16" t="n">
        <x:v>5</x:v>
      </x:c>
      <x:c r="P909" s="16" t="n">
        <x:f>IF(COUNT(I909:O909)&lt;7,"",I909*8+J909*3+K909*2+L909*2+M909*2+N909*2+O909)</x:f>
        <x:v>66</x:v>
      </x:c>
      <x:c r="Q909" s="16" t="n">
        <x:f>IF(COUNT(J909:O909)&lt;6,"",J909*5+K909*4+M909*4+L909*3+N909*2+O909*2)</x:f>
        <x:v>97</x:v>
      </x:c>
      <x:c r="R909" s="14" t="str">
        <x:v>high</x:v>
      </x:c>
      <x:c r="S909" s="14" t="str">
        <x:v>official_prozorro_award_2024_2026</x:v>
      </x:c>
      <x:c r="T909" s="14" t="str">
        <x:v>official_prozorro_api</x:v>
      </x:c>
      <x:c r="U909" s="14" t="str">
        <x:v>Не контактували</x:v>
      </x:c>
      <x:c r="V909" s="15" t="str">
        <x:v>Workflow-audit outreach по UA-2026-08-04-009701-a; попросити 1 пакет здачі та вимоги проєкту</x:v>
      </x:c>
      <x:c r="W909" s="15" t="str">
        <x:v>Власник / директор; керівник ПТО; відповідальний за договори</x:v>
      </x:c>
      <x:c r="X909" s="15" t="str">
        <x:v>1 нових підтверджених перемог/договорів у Prozorro на 7 015 694 грн; 1 зі строком виконання не раніше 24.08.2026.</x:v>
      </x:c>
      <x:c r="Y909"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 строк до 2026-09-30. Попросити один знеособлений пакет здачі за цим workflow.</x:v>
      </x:c>
      <x:c r="Z909" s="15" t="str">
        <x:v>https://prozorro.gov.ua/tender/UA-2026-08-04-009701-a</x:v>
      </x:c>
      <x:c r="AA909" s="14" t="str">
        <x:v>33608856</x:v>
      </x:c>
      <x:c r="AB909" s="14" t="str">
        <x:v>2026-08-24</x:v>
      </x:c>
      <x:c r="AC909" s="14" t="str"/>
      <x:c r="AD909" s="20" t="str"/>
      <x:c r="AE909" s="14" t="str"/>
      <x:c r="AF909" s="14" t="n">
        <x:v>64</x:v>
      </x:c>
      <x:c r="AG909" s="14" t="str">
        <x:v>I2</x:v>
      </x:c>
      <x:c r="AH909" s="14" t="n">
        <x:v>1</x:v>
      </x:c>
      <x:c r="AI909" s="14" t="n">
        <x:v>1</x:v>
      </x:c>
      <x:c r="AJ909" s="18" t="n">
        <x:v>7015693.56</x:v>
      </x:c>
      <x:c r="AK909" s="14" t="str">
        <x:v>https://prozorro.gov.ua/tender/UA-2026-08-04-009701-a</x:v>
      </x:c>
      <x:c r="AL909" s="19" t="n">
        <x:v>46252.52768299769</x:v>
      </x:c>
      <x:c r="AM909" s="19" t="n">
        <x:v>46295</x:v>
      </x:c>
      <x:c r="AN909" s="15" t="str">
        <x:v>Промислові підлоги та бетон</x:v>
      </x:c>
      <x:c r="AO909" s="15" t="str">
        <x:v>supplier_provided_url</x:v>
      </x:c>
    </x:row>
    <x:row r="910">
      <x:c r="A910" s="14" t="str">
        <x:v>W4-091</x:v>
      </x:c>
      <x:c r="B910" s="14" t="str">
        <x:v>Prozorro expansion — 24.08</x:v>
      </x:c>
      <x:c r="C910" s="14" t="str">
        <x:v>ТОВАРИСТВО З ОБМЕЖЕНОЮ ВІД­ПО­ВІД­АЛЬ­НІ­СТЮ «ВИРОБНИЧО-КОМЕРЦІЙНА ФІРМА „УРАРТУ“»</x:v>
      </x:c>
      <x:c r="D910" s="14" t="str">
        <x:v>Дорожні роботи</x:v>
      </x:c>
      <x:c r="E910" s="14" t="str">
        <x:v>Expansion discovery</x:v>
      </x:c>
      <x:c r="F910" s="17" t="str">
        <x:v>D2</x:v>
      </x:c>
      <x:c r="G910" s="14" t="str"/>
      <x:c r="H910" s="14" t="str">
        <x:v>Discovery розширення — 2 тижні</x:v>
      </x:c>
      <x:c r="I910" s="16" t="n">
        <x:v>1</x:v>
      </x:c>
      <x:c r="J910" s="16" t="n">
        <x:v>5</x:v>
      </x:c>
      <x:c r="K910" s="16" t="n">
        <x:v>4</x:v>
      </x:c>
      <x:c r="L910" s="16" t="n">
        <x:v>4</x:v>
      </x:c>
      <x:c r="M910" s="16" t="n">
        <x:v>5</x:v>
      </x:c>
      <x:c r="N910" s="16" t="n">
        <x:v>5</x:v>
      </x:c>
      <x:c r="O910" s="16" t="n">
        <x:v>3</x:v>
      </x:c>
      <x:c r="P910" s="16" t="n">
        <x:f>IF(COUNT(I910:O910)&lt;7,"",I910*8+J910*3+K910*2+L910*2+M910*2+N910*2+O910)</x:f>
        <x:v>62</x:v>
      </x:c>
      <x:c r="Q910" s="16" t="n">
        <x:f>IF(COUNT(J910:O910)&lt;6,"",J910*5+K910*4+M910*4+L910*3+N910*2+O910*2)</x:f>
        <x:v>89</x:v>
      </x:c>
      <x:c r="R910" s="14" t="str">
        <x:v>high</x:v>
      </x:c>
      <x:c r="S910" s="14" t="str">
        <x:v>official_prozorro_award_2024_2026</x:v>
      </x:c>
      <x:c r="T910" s="14" t="str">
        <x:v>official_prozorro_api</x:v>
      </x:c>
      <x:c r="U910" s="14" t="str">
        <x:v>Не контактували</x:v>
      </x:c>
      <x:c r="V910" s="15" t="str">
        <x:v>Workflow-audit outreach по UA-2026-08-04-000010-a; попросити 1 пакет здачі та вимоги проєкту</x:v>
      </x:c>
      <x:c r="W910" s="15" t="str">
        <x:v>Власник / директор; керівник ПТО; відповідальний за договори</x:v>
      </x:c>
      <x:c r="X910" s="15" t="str">
        <x:v>1 нових підтверджених перемог/договорів у Prozorro на 6 000 672 грн; 1 зі строком виконання не раніше 24.08.2026.</x:v>
      </x:c>
      <x:c r="Y910" s="15" t="str">
        <x:v>«Капітальний ремонт дорожнього покриття по вул. Свободи в селищі Черняхів Житомирського району Житомирської області. Коригування»; строк до 2026-12-31. Попросити один знеособлений пакет здачі за цим workflow.</x:v>
      </x:c>
      <x:c r="Z910" s="15" t="str">
        <x:v>https://prozorro.gov.ua/tender/UA-2026-08-04-000010-a</x:v>
      </x:c>
      <x:c r="AA910" s="14" t="str">
        <x:v>13577250</x:v>
      </x:c>
      <x:c r="AB910" s="14" t="str">
        <x:v>2026-08-24</x:v>
      </x:c>
      <x:c r="AC910" s="14" t="str"/>
      <x:c r="AD910" s="20" t="str"/>
      <x:c r="AE910" s="14" t="str"/>
      <x:c r="AF910" s="14" t="n">
        <x:v>64</x:v>
      </x:c>
      <x:c r="AG910" s="14" t="str">
        <x:v>I2</x:v>
      </x:c>
      <x:c r="AH910" s="14" t="n">
        <x:v>1</x:v>
      </x:c>
      <x:c r="AI910" s="14" t="n">
        <x:v>1</x:v>
      </x:c>
      <x:c r="AJ910" s="18" t="n">
        <x:v>6000672</x:v>
      </x:c>
      <x:c r="AK910" s="14" t="str">
        <x:v>https://prozorro.gov.ua/tender/UA-2026-08-04-000010-a</x:v>
      </x:c>
      <x:c r="AL910" s="19" t="n">
        <x:v>46257.83594481481</x:v>
      </x:c>
      <x:c r="AM910" s="19" t="n">
        <x:v>46387</x:v>
      </x:c>
      <x:c r="AN910" s="15" t="str">
        <x:v>Дорожні роботи</x:v>
      </x:c>
      <x:c r="AO910" s="15" t="str">
        <x:v>not_found_in_top_search</x:v>
      </x:c>
    </x:row>
    <x:row r="911">
      <x:c r="A911" s="14" t="str">
        <x:v>W4-092</x:v>
      </x:c>
      <x:c r="B911" s="14" t="str">
        <x:v>Prozorro expansion — 24.08</x:v>
      </x:c>
      <x:c r="C911" s="14" t="str">
        <x:v>ПРИВАТНЕ ПІДПРИЄМСТВО "ВІК-2000"</x:v>
      </x:c>
      <x:c r="D911" s="14" t="str">
        <x:v>Фасади та скління</x:v>
      </x:c>
      <x:c r="E911" s="14" t="str">
        <x:v>Expansion discovery</x:v>
      </x:c>
      <x:c r="F911" s="17" t="str">
        <x:v>D2</x:v>
      </x:c>
      <x:c r="G911" s="14" t="str"/>
      <x:c r="H911" s="14" t="str">
        <x:v>Discovery розширення — 2 тижні</x:v>
      </x:c>
      <x:c r="I911" s="16" t="n">
        <x:v>1</x:v>
      </x:c>
      <x:c r="J911" s="16" t="n">
        <x:v>5</x:v>
      </x:c>
      <x:c r="K911" s="16" t="n">
        <x:v>5</x:v>
      </x:c>
      <x:c r="L911" s="16" t="n">
        <x:v>4</x:v>
      </x:c>
      <x:c r="M911" s="16" t="n">
        <x:v>5</x:v>
      </x:c>
      <x:c r="N911" s="16" t="n">
        <x:v>5</x:v>
      </x:c>
      <x:c r="O911" s="16" t="n">
        <x:v>3</x:v>
      </x:c>
      <x:c r="P911" s="16" t="n">
        <x:f>IF(COUNT(I911:O911)&lt;7,"",I911*8+J911*3+K911*2+L911*2+M911*2+N911*2+O911)</x:f>
        <x:v>64</x:v>
      </x:c>
      <x:c r="Q911" s="16" t="n">
        <x:f>IF(COUNT(J911:O911)&lt;6,"",J911*5+K911*4+M911*4+L911*3+N911*2+O911*2)</x:f>
        <x:v>93</x:v>
      </x:c>
      <x:c r="R911" s="14" t="str">
        <x:v>high</x:v>
      </x:c>
      <x:c r="S911" s="14" t="str">
        <x:v>official_prozorro_award_2024_2026</x:v>
      </x:c>
      <x:c r="T911" s="14" t="str">
        <x:v>official_prozorro_api</x:v>
      </x:c>
      <x:c r="U911" s="14" t="str">
        <x:v>Не контактували</x:v>
      </x:c>
      <x:c r="V911" s="15" t="str">
        <x:v>Workflow-audit outreach по UA-2026-06-24-007551-a; попросити 1 пакет здачі та вимоги проєкту</x:v>
      </x:c>
      <x:c r="W911" s="15" t="str">
        <x:v>Власник / директор; керівник ПТО; відповідальний за договори</x:v>
      </x:c>
      <x:c r="X911" s="15" t="str">
        <x:v>1 нових підтверджених перемог/договорів у Prozorro на 4 700 000 грн; 1 зі строком виконання не раніше 24.08.2026.</x:v>
      </x:c>
      <x:c r="Y911"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 строк до 2026-10-23. Попросити один знеособлений пакет здачі за цим workflow.</x:v>
      </x:c>
      <x:c r="Z911" s="15" t="str">
        <x:v>https://prozorro.gov.ua/tender/UA-2026-06-24-007551-a</x:v>
      </x:c>
      <x:c r="AA911" s="14" t="str">
        <x:v>32138084</x:v>
      </x:c>
      <x:c r="AB911" s="14" t="str">
        <x:v>2026-08-24</x:v>
      </x:c>
      <x:c r="AC911" s="14" t="str"/>
      <x:c r="AD911" s="20" t="str"/>
      <x:c r="AE911" s="14" t="str"/>
      <x:c r="AF911" s="14" t="n">
        <x:v>64</x:v>
      </x:c>
      <x:c r="AG911" s="14" t="str">
        <x:v>I2</x:v>
      </x:c>
      <x:c r="AH911" s="14" t="n">
        <x:v>1</x:v>
      </x:c>
      <x:c r="AI911" s="14" t="n">
        <x:v>1</x:v>
      </x:c>
      <x:c r="AJ911" s="18" t="n">
        <x:v>4700000</x:v>
      </x:c>
      <x:c r="AK911" s="14" t="str">
        <x:v>https://prozorro.gov.ua/tender/UA-2026-06-24-007551-a</x:v>
      </x:c>
      <x:c r="AL911" s="19" t="n">
        <x:v>46226.56429509259</x:v>
      </x:c>
      <x:c r="AM911" s="19" t="n">
        <x:v>46318.46420138889</x:v>
      </x:c>
      <x:c r="AN911" s="15" t="str">
        <x:v>Фасади та скління</x:v>
      </x:c>
      <x:c r="AO911" s="15" t="str">
        <x:v>not_found_in_top_search</x:v>
      </x:c>
    </x:row>
    <x:row r="912">
      <x:c r="A912" s="14" t="str">
        <x:v>W4-093</x:v>
      </x:c>
      <x:c r="B912" s="14" t="str">
        <x:v>Prozorro expansion — 24.08</x:v>
      </x:c>
      <x:c r="C912" s="14" t="str">
        <x:v>ТОВ "ФДС БУД"</x:v>
      </x:c>
      <x:c r="D912" s="14" t="str">
        <x:v>Фасади та скління</x:v>
      </x:c>
      <x:c r="E912" s="14" t="str">
        <x:v>Expansion discovery</x:v>
      </x:c>
      <x:c r="F912" s="17" t="str">
        <x:v>D2</x:v>
      </x:c>
      <x:c r="G912" s="14" t="str"/>
      <x:c r="H912" s="14" t="str">
        <x:v>Discovery розширення — 2 тижні</x:v>
      </x:c>
      <x:c r="I912" s="16" t="n">
        <x:v>1</x:v>
      </x:c>
      <x:c r="J912" s="16" t="n">
        <x:v>5</x:v>
      </x:c>
      <x:c r="K912" s="16" t="n">
        <x:v>5</x:v>
      </x:c>
      <x:c r="L912" s="16" t="n">
        <x:v>4</x:v>
      </x:c>
      <x:c r="M912" s="16" t="n">
        <x:v>5</x:v>
      </x:c>
      <x:c r="N912" s="16" t="n">
        <x:v>5</x:v>
      </x:c>
      <x:c r="O912" s="16" t="n">
        <x:v>3</x:v>
      </x:c>
      <x:c r="P912" s="16" t="n">
        <x:f>IF(COUNT(I912:O912)&lt;7,"",I912*8+J912*3+K912*2+L912*2+M912*2+N912*2+O912)</x:f>
        <x:v>64</x:v>
      </x:c>
      <x:c r="Q912" s="16" t="n">
        <x:f>IF(COUNT(J912:O912)&lt;6,"",J912*5+K912*4+M912*4+L912*3+N912*2+O912*2)</x:f>
        <x:v>93</x:v>
      </x:c>
      <x:c r="R912" s="14" t="str">
        <x:v>high</x:v>
      </x:c>
      <x:c r="S912" s="14" t="str">
        <x:v>official_prozorro_award_2024_2026</x:v>
      </x:c>
      <x:c r="T912" s="14" t="str">
        <x:v>official_prozorro_api</x:v>
      </x:c>
      <x:c r="U912" s="14" t="str">
        <x:v>Не контактували</x:v>
      </x:c>
      <x:c r="V912" s="15" t="str">
        <x:v>Workflow-audit outreach по UA-2026-06-22-006983-a; попросити 1 пакет здачі та вимоги проєкту</x:v>
      </x:c>
      <x:c r="W912" s="15" t="str">
        <x:v>Власник / директор; керівник ПТО; відповідальний за договори</x:v>
      </x:c>
      <x:c r="X912" s="15" t="str">
        <x:v>1 нових підтверджених перемог/договорів у Prozorro на 4 580 351 грн; 1 зі строком виконання не раніше 24.08.2026.</x:v>
      </x:c>
      <x:c r="Y912"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 строк до 2026-12-18. Попросити один знеособлений пакет здачі за цим workflow.</x:v>
      </x:c>
      <x:c r="Z912" s="15" t="str">
        <x:v>https://prozorro.gov.ua/tender/UA-2026-06-22-006983-a</x:v>
      </x:c>
      <x:c r="AA912" s="14" t="str">
        <x:v>43459201</x:v>
      </x:c>
      <x:c r="AB912" s="14" t="str">
        <x:v>2026-08-24</x:v>
      </x:c>
      <x:c r="AC912" s="14" t="str"/>
      <x:c r="AD912" s="20" t="str"/>
      <x:c r="AE912" s="14" t="str"/>
      <x:c r="AF912" s="14" t="n">
        <x:v>64</x:v>
      </x:c>
      <x:c r="AG912" s="14" t="str">
        <x:v>I2</x:v>
      </x:c>
      <x:c r="AH912" s="14" t="n">
        <x:v>1</x:v>
      </x:c>
      <x:c r="AI912" s="14" t="n">
        <x:v>1</x:v>
      </x:c>
      <x:c r="AJ912" s="18" t="n">
        <x:v>4580350.8</x:v>
      </x:c>
      <x:c r="AK912" s="14" t="str">
        <x:v>https://prozorro.gov.ua/tender/UA-2026-06-22-006983-a</x:v>
      </x:c>
      <x:c r="AL912" s="19" t="n">
        <x:v>46219.5630991088</x:v>
      </x:c>
      <x:c r="AM912" s="19" t="n">
        <x:v>46374</x:v>
      </x:c>
      <x:c r="AN912" s="15" t="str">
        <x:v>Фасади та скління</x:v>
      </x:c>
      <x:c r="AO912" s="15" t="str">
        <x:v>not_found_in_top_search</x:v>
      </x:c>
    </x:row>
    <x:row r="913">
      <x:c r="A913" s="14" t="str">
        <x:v>W4-094</x:v>
      </x:c>
      <x:c r="B913" s="14" t="str">
        <x:v>Prozorro expansion — 24.08</x:v>
      </x:c>
      <x:c r="C913" s="14" t="str">
        <x:v>ТОВАРИСТВО З ОБМЕЖЕНОЮ ВІДПОВІДАЛЬНІСТЮ "ПЕРША ДОРОЖНЬО-БУДІВЕЛЬНА КОМПАНІЯ "ЦЕНТР"</x:v>
      </x:c>
      <x:c r="D913" s="14" t="str">
        <x:v>Покрівлі та гідроізоляція</x:v>
      </x:c>
      <x:c r="E913" s="14" t="str">
        <x:v>Expansion discovery</x:v>
      </x:c>
      <x:c r="F913" s="17" t="str">
        <x:v>D2</x:v>
      </x:c>
      <x:c r="G913" s="14" t="str"/>
      <x:c r="H913" s="14" t="str">
        <x:v>Discovery розширення — 2 тижні</x:v>
      </x:c>
      <x:c r="I913" s="16" t="n">
        <x:v>1</x:v>
      </x:c>
      <x:c r="J913" s="16" t="n">
        <x:v>5</x:v>
      </x:c>
      <x:c r="K913" s="16" t="n">
        <x:v>5</x:v>
      </x:c>
      <x:c r="L913" s="16" t="n">
        <x:v>4</x:v>
      </x:c>
      <x:c r="M913" s="16" t="n">
        <x:v>5</x:v>
      </x:c>
      <x:c r="N913" s="16" t="n">
        <x:v>5</x:v>
      </x:c>
      <x:c r="O913" s="16" t="n">
        <x:v>3</x:v>
      </x:c>
      <x:c r="P913" s="16" t="n">
        <x:f>IF(COUNT(I913:O913)&lt;7,"",I913*8+J913*3+K913*2+L913*2+M913*2+N913*2+O913)</x:f>
        <x:v>64</x:v>
      </x:c>
      <x:c r="Q913" s="16" t="n">
        <x:f>IF(COUNT(J913:O913)&lt;6,"",J913*5+K913*4+M913*4+L913*3+N913*2+O913*2)</x:f>
        <x:v>93</x:v>
      </x:c>
      <x:c r="R913" s="14" t="str">
        <x:v>high</x:v>
      </x:c>
      <x:c r="S913" s="14" t="str">
        <x:v>official_prozorro_award_2024_2026</x:v>
      </x:c>
      <x:c r="T913" s="14" t="str">
        <x:v>official_prozorro_api</x:v>
      </x:c>
      <x:c r="U913" s="14" t="str">
        <x:v>Не контактували</x:v>
      </x:c>
      <x:c r="V913" s="15" t="str">
        <x:v>Workflow-audit outreach по UA-2026-07-16-010739-a; попросити 1 пакет здачі та вимоги проєкту</x:v>
      </x:c>
      <x:c r="W913" s="15" t="str">
        <x:v>Власник / директор; керівник ПТО; відповідальний за договори</x:v>
      </x:c>
      <x:c r="X913" s="15" t="str">
        <x:v>1 нових підтверджених перемог/договорів у Prozorro на 4 272 060 грн; 1 зі строком виконання не раніше 24.08.2026.</x:v>
      </x:c>
      <x:c r="Y913"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 строк до 2026-11-30. Попросити один знеособлений пакет здачі за цим workflow.</x:v>
      </x:c>
      <x:c r="Z913" s="15" t="str">
        <x:v>https://prozorro.gov.ua/tender/UA-2026-07-16-010739-a</x:v>
      </x:c>
      <x:c r="AA913" s="14" t="str">
        <x:v>42525676</x:v>
      </x:c>
      <x:c r="AB913" s="14" t="str">
        <x:v>2026-08-24</x:v>
      </x:c>
      <x:c r="AC913" s="14" t="str"/>
      <x:c r="AD913" s="20" t="str"/>
      <x:c r="AE913" s="14" t="str"/>
      <x:c r="AF913" s="14" t="n">
        <x:v>64</x:v>
      </x:c>
      <x:c r="AG913" s="14" t="str">
        <x:v>I2</x:v>
      </x:c>
      <x:c r="AH913" s="14" t="n">
        <x:v>1</x:v>
      </x:c>
      <x:c r="AI913" s="14" t="n">
        <x:v>1</x:v>
      </x:c>
      <x:c r="AJ913" s="18" t="n">
        <x:v>4272060</x:v>
      </x:c>
      <x:c r="AK913" s="14" t="str">
        <x:v>https://prozorro.gov.ua/tender/UA-2026-07-16-010739-a</x:v>
      </x:c>
      <x:c r="AL913" s="19" t="n">
        <x:v>46231.673560208335</x:v>
      </x:c>
      <x:c r="AM913" s="19" t="n">
        <x:v>46356</x:v>
      </x:c>
      <x:c r="AN913" s="15" t="str">
        <x:v>Покрівлі та гідроізоляція</x:v>
      </x:c>
      <x:c r="AO913" s="15" t="str">
        <x:v>not_found_in_top_search</x:v>
      </x:c>
    </x:row>
    <x:row r="914">
      <x:c r="A914" s="14" t="str">
        <x:v>W4-095</x:v>
      </x:c>
      <x:c r="B914" s="14" t="str">
        <x:v>Prozorro expansion — 24.08</x:v>
      </x:c>
      <x:c r="C914" s="14" t="str">
        <x:v>Товариство з обмеженою відповідальністю "Інтеграл БУД"</x:v>
      </x:c>
      <x:c r="D914" s="14" t="str">
        <x:v>Металоконструкції</x:v>
      </x:c>
      <x:c r="E914" s="14" t="str">
        <x:v>Expansion discovery</x:v>
      </x:c>
      <x:c r="F914" s="17" t="str">
        <x:v>D2</x:v>
      </x:c>
      <x:c r="G914" s="14" t="str"/>
      <x:c r="H914" s="14" t="str">
        <x:v>Discovery розширення — 2 тижні</x:v>
      </x:c>
      <x:c r="I914" s="16" t="n">
        <x:v>1</x:v>
      </x:c>
      <x:c r="J914" s="16" t="n">
        <x:v>5</x:v>
      </x:c>
      <x:c r="K914" s="16" t="n">
        <x:v>5</x:v>
      </x:c>
      <x:c r="L914" s="16" t="n">
        <x:v>4</x:v>
      </x:c>
      <x:c r="M914" s="16" t="n">
        <x:v>5</x:v>
      </x:c>
      <x:c r="N914" s="16" t="n">
        <x:v>5</x:v>
      </x:c>
      <x:c r="O914" s="16" t="n">
        <x:v>3</x:v>
      </x:c>
      <x:c r="P914" s="16" t="n">
        <x:f>IF(COUNT(I914:O914)&lt;7,"",I914*8+J914*3+K914*2+L914*2+M914*2+N914*2+O914)</x:f>
        <x:v>64</x:v>
      </x:c>
      <x:c r="Q914" s="16" t="n">
        <x:f>IF(COUNT(J914:O914)&lt;6,"",J914*5+K914*4+M914*4+L914*3+N914*2+O914*2)</x:f>
        <x:v>93</x:v>
      </x:c>
      <x:c r="R914" s="14" t="str">
        <x:v>high</x:v>
      </x:c>
      <x:c r="S914" s="14" t="str">
        <x:v>official_prozorro_award_2024_2026</x:v>
      </x:c>
      <x:c r="T914" s="14" t="str">
        <x:v>official_prozorro_api</x:v>
      </x:c>
      <x:c r="U914" s="14" t="str">
        <x:v>Не контактували</x:v>
      </x:c>
      <x:c r="V914" s="15" t="str">
        <x:v>Workflow-audit outreach по UA-2026-08-24-007022-a; попросити 1 пакет здачі та вимоги проєкту</x:v>
      </x:c>
      <x:c r="W914" s="15" t="str">
        <x:v>Власник / директор; керівник ПТО; відповідальний за договори</x:v>
      </x:c>
      <x:c r="X914" s="15" t="str">
        <x:v>1 нових підтверджених перемог/договорів у Prozorro на 3 315 243 грн; 1 зі строком виконання не раніше 24.08.2026.</x:v>
      </x:c>
      <x:c r="Y914"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 строк до 2027-06-30. Попросити один знеособлений пакет здачі за цим workflow.</x:v>
      </x:c>
      <x:c r="Z914" s="15" t="str">
        <x:v>https://prozorro.gov.ua/tender/UA-2026-08-24-007022-a</x:v>
      </x:c>
      <x:c r="AA914" s="14" t="str">
        <x:v>45615290</x:v>
      </x:c>
      <x:c r="AB914" s="14" t="str">
        <x:v>2026-08-24</x:v>
      </x:c>
      <x:c r="AC914" s="14" t="str"/>
      <x:c r="AD914" s="20" t="str"/>
      <x:c r="AE914" s="14" t="str"/>
      <x:c r="AF914" s="14" t="n">
        <x:v>64</x:v>
      </x:c>
      <x:c r="AG914" s="14" t="str">
        <x:v>I2</x:v>
      </x:c>
      <x:c r="AH914" s="14" t="n">
        <x:v>1</x:v>
      </x:c>
      <x:c r="AI914" s="14" t="n">
        <x:v>1</x:v>
      </x:c>
      <x:c r="AJ914" s="18" t="n">
        <x:v>3315242.86</x:v>
      </x:c>
      <x:c r="AK914" s="14" t="str">
        <x:v>https://prozorro.gov.ua/tender/UA-2026-08-24-007022-a</x:v>
      </x:c>
      <x:c r="AL914" s="19" t="n">
        <x:v>46258.48974554398</x:v>
      </x:c>
      <x:c r="AM914" s="19" t="n">
        <x:v>46568</x:v>
      </x:c>
      <x:c r="AN914" s="15" t="str">
        <x:v>Металоконструкції</x:v>
      </x:c>
      <x:c r="AO914" s="15" t="str">
        <x:v>not_found_in_top_search</x:v>
      </x:c>
    </x:row>
    <x:row r="915">
      <x:c r="A915" s="14" t="str">
        <x:v>W4-096</x:v>
      </x:c>
      <x:c r="B915" s="14" t="str">
        <x:v>Prozorro expansion — 24.08</x:v>
      </x:c>
      <x:c r="C915" s="14" t="str">
        <x:v>ТОВАРИСТВО З ОБМЕЖЕНОЮ ВІДПОВІДАЛЬНІСТЮ "ЕНЕРҐО-ІНВЕСТ"</x:v>
      </x:c>
      <x:c r="D915" s="14" t="str">
        <x:v>Теплові мережі</x:v>
      </x:c>
      <x:c r="E915" s="14" t="str">
        <x:v>Expansion discovery</x:v>
      </x:c>
      <x:c r="F915" s="17" t="str">
        <x:v>D2</x:v>
      </x:c>
      <x:c r="G915" s="14" t="str"/>
      <x:c r="H915" s="14" t="str">
        <x:v>Discovery розширення — 2 тижні</x:v>
      </x:c>
      <x:c r="I915" s="16" t="n">
        <x:v>1</x:v>
      </x:c>
      <x:c r="J915" s="16" t="n">
        <x:v>5</x:v>
      </x:c>
      <x:c r="K915" s="16" t="n">
        <x:v>4</x:v>
      </x:c>
      <x:c r="L915" s="16" t="n">
        <x:v>4</x:v>
      </x:c>
      <x:c r="M915" s="16" t="n">
        <x:v>5</x:v>
      </x:c>
      <x:c r="N915" s="16" t="n">
        <x:v>5</x:v>
      </x:c>
      <x:c r="O915" s="16" t="n">
        <x:v>3</x:v>
      </x:c>
      <x:c r="P915" s="16" t="n">
        <x:f>IF(COUNT(I915:O915)&lt;7,"",I915*8+J915*3+K915*2+L915*2+M915*2+N915*2+O915)</x:f>
        <x:v>62</x:v>
      </x:c>
      <x:c r="Q915" s="16" t="n">
        <x:f>IF(COUNT(J915:O915)&lt;6,"",J915*5+K915*4+M915*4+L915*3+N915*2+O915*2)</x:f>
        <x:v>89</x:v>
      </x:c>
      <x:c r="R915" s="14" t="str">
        <x:v>high</x:v>
      </x:c>
      <x:c r="S915" s="14" t="str">
        <x:v>official_prozorro_award_2024_2026</x:v>
      </x:c>
      <x:c r="T915" s="14" t="str">
        <x:v>official_prozorro_api</x:v>
      </x:c>
      <x:c r="U915" s="14" t="str">
        <x:v>Не контактували</x:v>
      </x:c>
      <x:c r="V915" s="15" t="str">
        <x:v>Повторне звернення з новим тендерним сигналом UA-2026-07-29-011575-a; попросити 1 пакет здачі</x:v>
      </x:c>
      <x:c r="W915" s="15" t="str">
        <x:v>Власник / директор; керівник ПТО; відповідальний за договори</x:v>
      </x:c>
      <x:c r="X915" s="15" t="str">
        <x:v>1 нових підтверджених перемог/договорів у Prozorro на 3 180 422 грн; 1 зі строком виконання не раніше 24.08.2026.</x:v>
      </x:c>
      <x:c r="Y91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Системи зв’язку; строк до 2026-12-30. Попросити один знеособлений пакет здачі за цим workflow.</x:v>
      </x:c>
      <x:c r="Z915" s="15" t="str">
        <x:v>https://prozorro.gov.ua/tender/UA-2026-07-21-011936-a</x:v>
      </x:c>
      <x:c r="AA915" s="14" t="str">
        <x:v>33439880</x:v>
      </x:c>
      <x:c r="AB915" s="14" t="str">
        <x:v>2026-08-24</x:v>
      </x:c>
      <x:c r="AC915" s="14" t="str"/>
      <x:c r="AD915" s="20" t="str"/>
      <x:c r="AE915" s="14" t="str"/>
      <x:c r="AF915" s="14" t="n">
        <x:v>93</x:v>
      </x:c>
      <x:c r="AG915" s="14" t="str">
        <x:v>I1</x:v>
      </x:c>
      <x:c r="AH915" s="14" t="n">
        <x:v>7</x:v>
      </x:c>
      <x:c r="AI915" s="14" t="n">
        <x:v>4</x:v>
      </x:c>
      <x:c r="AJ915" s="18" t="n">
        <x:v>86015698.30000001</x:v>
      </x:c>
      <x:c r="AK915" s="14" t="str">
        <x:v>https://prozorro.gov.ua/tender/UA-2026-07-29-011575-a</x:v>
      </x:c>
      <x:c r="AL915" s="19" t="n">
        <x:v>46252.56904988426</x:v>
      </x:c>
      <x:c r="AM915" s="19" t="n">
        <x:v>46377</x:v>
      </x:c>
      <x:c r="AN915" s="15" t="str">
        <x:v>Теплові мережі; Теплові пункти</x:v>
      </x:c>
      <x:c r="AO915" s="15" t="str">
        <x:v>not_found_in_top_search</x:v>
      </x:c>
    </x:row>
    <x:row r="916">
      <x:c r="A916" s="14" t="str">
        <x:v>W4-097</x:v>
      </x:c>
      <x:c r="B916" s="14" t="str">
        <x:v>Prozorro expansion — 24.08</x:v>
      </x:c>
      <x:c r="C916" s="14" t="str">
        <x:v>ПП "КОМФОРТ-СКОЛЕ"</x:v>
      </x:c>
      <x:c r="D916" s="14" t="str">
        <x:v>Фасади та скління</x:v>
      </x:c>
      <x:c r="E916" s="14" t="str">
        <x:v>Expansion discovery</x:v>
      </x:c>
      <x:c r="F916" s="17" t="str">
        <x:v>D2</x:v>
      </x:c>
      <x:c r="G916" s="14" t="str"/>
      <x:c r="H916" s="14" t="str">
        <x:v>Discovery розширення — 2 тижні</x:v>
      </x:c>
      <x:c r="I916" s="16" t="n">
        <x:v>1</x:v>
      </x:c>
      <x:c r="J916" s="16" t="n">
        <x:v>5</x:v>
      </x:c>
      <x:c r="K916" s="16" t="n">
        <x:v>5</x:v>
      </x:c>
      <x:c r="L916" s="16" t="n">
        <x:v>4</x:v>
      </x:c>
      <x:c r="M916" s="16" t="n">
        <x:v>5</x:v>
      </x:c>
      <x:c r="N916" s="16" t="n">
        <x:v>5</x:v>
      </x:c>
      <x:c r="O916" s="16" t="n">
        <x:v>3</x:v>
      </x:c>
      <x:c r="P916" s="16" t="n">
        <x:f>IF(COUNT(I916:O916)&lt;7,"",I916*8+J916*3+K916*2+L916*2+M916*2+N916*2+O916)</x:f>
        <x:v>64</x:v>
      </x:c>
      <x:c r="Q916" s="16" t="n">
        <x:f>IF(COUNT(J916:O916)&lt;6,"",J916*5+K916*4+M916*4+L916*3+N916*2+O916*2)</x:f>
        <x:v>93</x:v>
      </x:c>
      <x:c r="R916" s="14" t="str">
        <x:v>high</x:v>
      </x:c>
      <x:c r="S916" s="14" t="str">
        <x:v>official_prozorro_award_2024_2026</x:v>
      </x:c>
      <x:c r="T916" s="14" t="str">
        <x:v>official_prozorro_api</x:v>
      </x:c>
      <x:c r="U916" s="14" t="str">
        <x:v>Не контактували</x:v>
      </x:c>
      <x:c r="V916" s="15" t="str">
        <x:v>Workflow-audit outreach по UA-2026-06-26-000900-a; попросити 1 пакет здачі та вимоги проєкту</x:v>
      </x:c>
      <x:c r="W916" s="15" t="str">
        <x:v>Власник / директор; керівник ПТО; відповідальний за договори</x:v>
      </x:c>
      <x:c r="X916" s="15" t="str">
        <x:v>1 нових підтверджених перемог/договорів у Prozorro на 3 135 910 грн; 1 зі строком виконання не раніше 24.08.2026.</x:v>
      </x:c>
      <x:c r="Y916"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 строк до 2026-12-15. Попросити один знеособлений пакет здачі за цим workflow.</x:v>
      </x:c>
      <x:c r="Z916" s="15" t="str">
        <x:v>https://prozorro.gov.ua/tender/UA-2026-06-26-000900-a</x:v>
      </x:c>
      <x:c r="AA916" s="14" t="str">
        <x:v>41425076</x:v>
      </x:c>
      <x:c r="AB916" s="14" t="str">
        <x:v>2026-08-24</x:v>
      </x:c>
      <x:c r="AC916" s="14" t="str"/>
      <x:c r="AD916" s="20" t="str"/>
      <x:c r="AE916" s="14" t="str"/>
      <x:c r="AF916" s="14" t="n">
        <x:v>64</x:v>
      </x:c>
      <x:c r="AG916" s="14" t="str">
        <x:v>I2</x:v>
      </x:c>
      <x:c r="AH916" s="14" t="n">
        <x:v>1</x:v>
      </x:c>
      <x:c r="AI916" s="14" t="n">
        <x:v>1</x:v>
      </x:c>
      <x:c r="AJ916" s="18" t="n">
        <x:v>3135909.6</x:v>
      </x:c>
      <x:c r="AK916" s="14" t="str">
        <x:v>https://prozorro.gov.ua/tender/UA-2026-06-26-000900-a</x:v>
      </x:c>
      <x:c r="AL916" s="19" t="n">
        <x:v>46220.49480984954</x:v>
      </x:c>
      <x:c r="AM916" s="19" t="n">
        <x:v>46371</x:v>
      </x:c>
      <x:c r="AN916" s="15" t="str">
        <x:v>Фасади та скління</x:v>
      </x:c>
      <x:c r="AO916" s="15" t="str">
        <x:v>not_found_in_top_search</x:v>
      </x:c>
    </x:row>
    <x:row r="917">
      <x:c r="A917" s="14" t="str">
        <x:v>W4-098</x:v>
      </x:c>
      <x:c r="B917" s="14" t="str">
        <x:v>Prozorro expansion — 24.08</x:v>
      </x:c>
      <x:c r="C917" s="14" t="str">
        <x:v>Товариство з обмеженою відповідальністю «Конкріт-К»</x:v>
      </x:c>
      <x:c r="D917" s="14" t="str">
        <x:v>Підстанції / силові мережі</x:v>
      </x:c>
      <x:c r="E917" s="14" t="str">
        <x:v>Pilot now</x:v>
      </x:c>
      <x:c r="F917" s="17" t="str">
        <x:v>P2</x:v>
      </x:c>
      <x:c r="G917" s="14" t="str"/>
      <x:c r="H917" s="14" t="str">
        <x:v>Пілот зараз — Н.15 subset</x:v>
      </x:c>
      <x:c r="I917" s="16" t="n">
        <x:v>4</x:v>
      </x:c>
      <x:c r="J917" s="16" t="n">
        <x:v>5</x:v>
      </x:c>
      <x:c r="K917" s="16" t="n">
        <x:v>5</x:v>
      </x:c>
      <x:c r="L917" s="16" t="n">
        <x:v>4</x:v>
      </x:c>
      <x:c r="M917" s="16" t="n">
        <x:v>5</x:v>
      </x:c>
      <x:c r="N917" s="16" t="n">
        <x:v>5</x:v>
      </x:c>
      <x:c r="O917" s="16" t="n">
        <x:v>3</x:v>
      </x:c>
      <x:c r="P917" s="16" t="n">
        <x:f>IF(COUNT(I917:O917)&lt;7,"",I917*8+J917*3+K917*2+L917*2+M917*2+N917*2+O917)</x:f>
        <x:v>88</x:v>
      </x:c>
      <x:c r="Q917" s="16" t="n">
        <x:f>IF(COUNT(J917:O917)&lt;6,"",J917*5+K917*4+M917*4+L917*3+N917*2+O917*2)</x:f>
        <x:v>93</x:v>
      </x:c>
      <x:c r="R917" s="14" t="str">
        <x:v>high</x:v>
      </x:c>
      <x:c r="S917" s="14" t="str">
        <x:v>official_prozorro_award_2024_2026</x:v>
      </x:c>
      <x:c r="T917" s="14" t="str">
        <x:v>official_prozorro_api</x:v>
      </x:c>
      <x:c r="U917" s="14" t="str">
        <x:v>Не контактували</x:v>
      </x:c>
      <x:c r="V917" s="15" t="str">
        <x:v>Персоналізований free-pilot outreach по UA-2026-08-21-000282-a; попросити 1 пакет Н.14/Н.15</x:v>
      </x:c>
      <x:c r="W917" s="15" t="str">
        <x:v>Власник / директор; керівник ПТО; відповідальний за договори</x:v>
      </x:c>
      <x:c r="X917" s="15" t="str">
        <x:v>1 нових підтверджених перемог/договорів у Prozorro на 3 078 000 грн; 1 зі строком виконання не раніше 24.08.2026.</x:v>
      </x:c>
      <x:c r="Y917"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 строк до 2026-10-31. Попросити один знеособлений пакет здачі за цим workflow.</x:v>
      </x:c>
      <x:c r="Z917" s="15" t="str">
        <x:v>https://prozorro.gov.ua/tender/UA-2026-08-21-000282-a</x:v>
      </x:c>
      <x:c r="AA917" s="14" t="str">
        <x:v>40790176</x:v>
      </x:c>
      <x:c r="AB917" s="14" t="str">
        <x:v>2026-08-24</x:v>
      </x:c>
      <x:c r="AC917" s="14" t="str"/>
      <x:c r="AD917" s="20" t="str"/>
      <x:c r="AE917" s="14" t="str"/>
      <x:c r="AF917" s="14" t="n">
        <x:v>64</x:v>
      </x:c>
      <x:c r="AG917" s="14" t="str">
        <x:v>I2</x:v>
      </x:c>
      <x:c r="AH917" s="14" t="n">
        <x:v>1</x:v>
      </x:c>
      <x:c r="AI917" s="14" t="n">
        <x:v>1</x:v>
      </x:c>
      <x:c r="AJ917" s="18" t="n">
        <x:v>3078000</x:v>
      </x:c>
      <x:c r="AK917" s="14" t="str">
        <x:v>https://prozorro.gov.ua/tender/UA-2026-08-21-000282-a</x:v>
      </x:c>
      <x:c r="AL917" s="19" t="n">
        <x:v>46255.23443013889</x:v>
      </x:c>
      <x:c r="AM917" s="19" t="n">
        <x:v>46326</x:v>
      </x:c>
      <x:c r="AN917" s="15" t="str">
        <x:v>Підстанції / силові мережі</x:v>
      </x:c>
      <x:c r="AO917" s="15" t="str">
        <x:v>not_found_in_top_search</x:v>
      </x:c>
    </x:row>
    <x:row r="918">
      <x:c r="A918" s="14" t="str">
        <x:v>W4-099</x:v>
      </x:c>
      <x:c r="B918" s="14" t="str">
        <x:v>Prozorro expansion — 24.08</x:v>
      </x:c>
      <x:c r="C918" s="14" t="str">
        <x:v>ТОВ "БУДІВЕЛЬНА КОМПАНІЯ "МЕГА СТАЙЛ""</x:v>
      </x:c>
      <x:c r="D918" s="14" t="str">
        <x:v>Фасади та скління</x:v>
      </x:c>
      <x:c r="E918" s="14" t="str">
        <x:v>Expansion discovery</x:v>
      </x:c>
      <x:c r="F918" s="17" t="str">
        <x:v>D2</x:v>
      </x:c>
      <x:c r="G918" s="14" t="str"/>
      <x:c r="H918" s="14" t="str">
        <x:v>Discovery розширення — 2 тижні</x:v>
      </x:c>
      <x:c r="I918" s="16" t="n">
        <x:v>1</x:v>
      </x:c>
      <x:c r="J918" s="16" t="n">
        <x:v>5</x:v>
      </x:c>
      <x:c r="K918" s="16" t="n">
        <x:v>5</x:v>
      </x:c>
      <x:c r="L918" s="16" t="n">
        <x:v>4</x:v>
      </x:c>
      <x:c r="M918" s="16" t="n">
        <x:v>5</x:v>
      </x:c>
      <x:c r="N918" s="16" t="n">
        <x:v>5</x:v>
      </x:c>
      <x:c r="O918" s="16" t="n">
        <x:v>3</x:v>
      </x:c>
      <x:c r="P918" s="16" t="n">
        <x:f>IF(COUNT(I918:O918)&lt;7,"",I918*8+J918*3+K918*2+L918*2+M918*2+N918*2+O918)</x:f>
        <x:v>64</x:v>
      </x:c>
      <x:c r="Q918" s="16" t="n">
        <x:f>IF(COUNT(J918:O918)&lt;6,"",J918*5+K918*4+M918*4+L918*3+N918*2+O918*2)</x:f>
        <x:v>93</x:v>
      </x:c>
      <x:c r="R918" s="14" t="str">
        <x:v>high</x:v>
      </x:c>
      <x:c r="S918" s="14" t="str">
        <x:v>official_prozorro_award_2024_2026</x:v>
      </x:c>
      <x:c r="T918" s="14" t="str">
        <x:v>official_prozorro_api</x:v>
      </x:c>
      <x:c r="U918" s="14" t="str">
        <x:v>Не контактували</x:v>
      </x:c>
      <x:c r="V918" s="15" t="str">
        <x:v>Workflow-audit outreach по UA-2026-07-22-012021-a; попросити 1 пакет здачі та вимоги проєкту</x:v>
      </x:c>
      <x:c r="W918" s="15" t="str">
        <x:v>Власник / директор; керівник ПТО; відповідальний за договори</x:v>
      </x:c>
      <x:c r="X918" s="15" t="str">
        <x:v>1 нових підтверджених перемог/договорів у Prozorro на 2 388 705 грн; 1 зі строком виконання не раніше 24.08.2026.</x:v>
      </x:c>
      <x:c r="Y918"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 строк до 2026-11-30. Попросити один знеособлений пакет здачі за цим workflow.</x:v>
      </x:c>
      <x:c r="Z918" s="15" t="str">
        <x:v>https://prozorro.gov.ua/tender/UA-2026-07-22-012021-a</x:v>
      </x:c>
      <x:c r="AA918" s="14" t="str">
        <x:v>41235604</x:v>
      </x:c>
      <x:c r="AB918" s="14" t="str">
        <x:v>2026-08-24</x:v>
      </x:c>
      <x:c r="AC918" s="14" t="str"/>
      <x:c r="AD918" s="20" t="str"/>
      <x:c r="AE918" s="14" t="str"/>
      <x:c r="AF918" s="14" t="n">
        <x:v>64</x:v>
      </x:c>
      <x:c r="AG918" s="14" t="str">
        <x:v>I2</x:v>
      </x:c>
      <x:c r="AH918" s="14" t="n">
        <x:v>1</x:v>
      </x:c>
      <x:c r="AI918" s="14" t="n">
        <x:v>1</x:v>
      </x:c>
      <x:c r="AJ918" s="18" t="n">
        <x:v>2388705.13</x:v>
      </x:c>
      <x:c r="AK918" s="14" t="str">
        <x:v>https://prozorro.gov.ua/tender/UA-2026-07-22-012021-a</x:v>
      </x:c>
      <x:c r="AL918" s="19" t="n">
        <x:v>46241.527910439814</x:v>
      </x:c>
      <x:c r="AM918" s="19" t="n">
        <x:v>46356</x:v>
      </x:c>
      <x:c r="AN918" s="15" t="str">
        <x:v>Фасади та скління</x:v>
      </x:c>
      <x:c r="AO918" s="15" t="str">
        <x:v>not_found_in_top_search</x:v>
      </x:c>
    </x:row>
    <x:row r="919">
      <x:c r="A919" s="14" t="str">
        <x:v>W4-100</x:v>
      </x:c>
      <x:c r="B919" s="14" t="str">
        <x:v>Prozorro expansion — 24.08</x:v>
      </x:c>
      <x:c r="C919" s="14" t="str">
        <x:v>ГРИГОРУК АНДРІЙ ВАЛЕНТИНОВИЧ</x:v>
      </x:c>
      <x:c r="D919" s="14" t="str">
        <x:v>Теплові мережі</x:v>
      </x:c>
      <x:c r="E919" s="14" t="str">
        <x:v>Expansion discovery</x:v>
      </x:c>
      <x:c r="F919" s="17" t="str">
        <x:v>D2</x:v>
      </x:c>
      <x:c r="G919" s="14" t="str"/>
      <x:c r="H919" s="14" t="str">
        <x:v>Discovery розширення — 2 тижні</x:v>
      </x:c>
      <x:c r="I919" s="16" t="n">
        <x:v>1</x:v>
      </x:c>
      <x:c r="J919" s="16" t="n">
        <x:v>5</x:v>
      </x:c>
      <x:c r="K919" s="16" t="n">
        <x:v>4</x:v>
      </x:c>
      <x:c r="L919" s="16" t="n">
        <x:v>3</x:v>
      </x:c>
      <x:c r="M919" s="16" t="n">
        <x:v>5</x:v>
      </x:c>
      <x:c r="N919" s="16" t="n">
        <x:v>3</x:v>
      </x:c>
      <x:c r="O919" s="16" t="n">
        <x:v>3</x:v>
      </x:c>
      <x:c r="P919" s="16" t="n">
        <x:f>IF(COUNT(I919:O919)&lt;7,"",I919*8+J919*3+K919*2+L919*2+M919*2+N919*2+O919)</x:f>
        <x:v>56</x:v>
      </x:c>
      <x:c r="Q919" s="16" t="n">
        <x:f>IF(COUNT(J919:O919)&lt;6,"",J919*5+K919*4+M919*4+L919*3+N919*2+O919*2)</x:f>
        <x:v>82</x:v>
      </x:c>
      <x:c r="R919" s="14" t="str">
        <x:v>high</x:v>
      </x:c>
      <x:c r="S919" s="14" t="str">
        <x:v>official_prozorro_award_2024_2026</x:v>
      </x:c>
      <x:c r="T919" s="14" t="str">
        <x:v>official_prozorro_api</x:v>
      </x:c>
      <x:c r="U919" s="14" t="str">
        <x:v>Не контактували</x:v>
      </x:c>
      <x:c r="V919" s="15" t="str">
        <x:v>Workflow-audit outreach по UA-2026-05-05-014439-a; попросити 1 пакет здачі та вимоги проєкту</x:v>
      </x:c>
      <x:c r="W919" s="15" t="str">
        <x:v>Власник / виконавець; відповідальний за договір</x:v>
      </x:c>
      <x:c r="X919" s="15" t="str">
        <x:v>2 нових підтверджених перемог/договорів у Prozorro на 1 909 758 грн; 2 зі строком виконання не раніше 24.08.2026.</x:v>
      </x:c>
      <x:c r="Y919" s="15" t="str">
        <x:v>Розробка робочого проекту по об’єкту: «Реконструкція ділянки теплової мережі вул. Академіка Філатова від ТК1019 до ТК3024, м. Одеса» ; строк до 2026-09-30. Попросити один знеособлений пакет здачі за цим workflow.</x:v>
      </x:c>
      <x:c r="Z919" s="15" t="str">
        <x:v>https://prozorro.gov.ua/tender/UA-2026-05-05-014439-a</x:v>
      </x:c>
      <x:c r="AA919" s="14" t="str">
        <x:v>3030017093</x:v>
      </x:c>
      <x:c r="AB919" s="14" t="str">
        <x:v>2026-08-24</x:v>
      </x:c>
      <x:c r="AC919" s="14" t="str"/>
      <x:c r="AD919" s="20" t="str"/>
      <x:c r="AE919" s="14" t="str"/>
      <x:c r="AF919" s="14" t="n">
        <x:v>64</x:v>
      </x:c>
      <x:c r="AG919" s="14" t="str">
        <x:v>I2</x:v>
      </x:c>
      <x:c r="AH919" s="14" t="n">
        <x:v>2</x:v>
      </x:c>
      <x:c r="AI919" s="14" t="n">
        <x:v>2</x:v>
      </x:c>
      <x:c r="AJ919" s="18" t="n">
        <x:v>1909757.92</x:v>
      </x:c>
      <x:c r="AK919" s="14" t="str">
        <x:v>https://prozorro.gov.ua/tender/UA-2026-05-05-014439-a</x:v>
      </x:c>
      <x:c r="AL919" s="19" t="n">
        <x:v>46147.60100513889</x:v>
      </x:c>
      <x:c r="AM919" s="19" t="n">
        <x:v>46295</x:v>
      </x:c>
      <x:c r="AN919" s="15" t="str">
        <x:v>Теплові мережі</x:v>
      </x:c>
      <x:c r="AO919" s="15" t="str">
        <x:v>not_found_in_top_search</x:v>
      </x:c>
    </x:row>
    <x:row r="920">
      <x:c r="A920" s="14" t="str">
        <x:v>W4-101</x:v>
      </x:c>
      <x:c r="B920" s="14" t="str">
        <x:v>Prozorro expansion — 24.08</x:v>
      </x:c>
      <x:c r="C920" s="14" t="str">
        <x:v>ТОВАРИСТВО З ОБМЕЖЕНОЮ ВІДПОВІДАЛЬНІСТЮ "ОПТІМА СЕРВІСБУД"</x:v>
      </x:c>
      <x:c r="D920" s="14" t="str">
        <x:v>Пожежогасіння</x:v>
      </x:c>
      <x:c r="E920" s="14" t="str">
        <x:v>Expansion discovery</x:v>
      </x:c>
      <x:c r="F920" s="17" t="str">
        <x:v>D2</x:v>
      </x:c>
      <x:c r="G920" s="14" t="str"/>
      <x:c r="H920" s="14" t="str">
        <x:v>Discovery розширення — 2 тижні</x:v>
      </x:c>
      <x:c r="I920" s="16" t="n">
        <x:v>1</x:v>
      </x:c>
      <x:c r="J920" s="16" t="n">
        <x:v>5</x:v>
      </x:c>
      <x:c r="K920" s="16" t="n">
        <x:v>5</x:v>
      </x:c>
      <x:c r="L920" s="16" t="n">
        <x:v>3</x:v>
      </x:c>
      <x:c r="M920" s="16" t="n">
        <x:v>5</x:v>
      </x:c>
      <x:c r="N920" s="16" t="n">
        <x:v>5</x:v>
      </x:c>
      <x:c r="O920" s="16" t="n">
        <x:v>3</x:v>
      </x:c>
      <x:c r="P920" s="16" t="n">
        <x:f>IF(COUNT(I920:O920)&lt;7,"",I920*8+J920*3+K920*2+L920*2+M920*2+N920*2+O920)</x:f>
        <x:v>62</x:v>
      </x:c>
      <x:c r="Q920" s="16" t="n">
        <x:f>IF(COUNT(J920:O920)&lt;6,"",J920*5+K920*4+M920*4+L920*3+N920*2+O920*2)</x:f>
        <x:v>90</x:v>
      </x:c>
      <x:c r="R920" s="14" t="str">
        <x:v>high</x:v>
      </x:c>
      <x:c r="S920" s="14" t="str">
        <x:v>official_prozorro_award_2024_2026</x:v>
      </x:c>
      <x:c r="T920" s="14" t="str">
        <x:v>official_prozorro_api</x:v>
      </x:c>
      <x:c r="U920" s="14" t="str">
        <x:v>Не контактували</x:v>
      </x:c>
      <x:c r="V920" s="15" t="str">
        <x:v>Workflow-audit outreach по UA-2026-06-26-001296-a; попросити 1 пакет здачі та вимоги проєкту</x:v>
      </x:c>
      <x:c r="W920" s="15" t="str">
        <x:v>Власник / директор; керівник ПТО; відповідальний за договори</x:v>
      </x:c>
      <x:c r="X920" s="15" t="str">
        <x:v>2 нових підтверджених перемог/договорів у Prozorro на 846 301 грн; 2 зі строком виконання не раніше 24.08.2026.</x:v>
      </x:c>
      <x:c r="Y920"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 строк до 2026-12-31. Попросити один знеособлений пакет здачі за цим workflow.</x:v>
      </x:c>
      <x:c r="Z920" s="15" t="str">
        <x:v>https://prozorro.gov.ua/tender/UA-2026-06-26-001296-a</x:v>
      </x:c>
      <x:c r="AA920" s="14" t="str">
        <x:v>46051810</x:v>
      </x:c>
      <x:c r="AB920" s="14" t="str">
        <x:v>2026-08-24</x:v>
      </x:c>
      <x:c r="AC920" s="14" t="str"/>
      <x:c r="AD920" s="20" t="str"/>
      <x:c r="AE920" s="14" t="str"/>
      <x:c r="AF920" s="14" t="n">
        <x:v>64</x:v>
      </x:c>
      <x:c r="AG920" s="14" t="str">
        <x:v>I2</x:v>
      </x:c>
      <x:c r="AH920" s="14" t="n">
        <x:v>2</x:v>
      </x:c>
      <x:c r="AI920" s="14" t="n">
        <x:v>2</x:v>
      </x:c>
      <x:c r="AJ920" s="18" t="n">
        <x:v>846300.66</x:v>
      </x:c>
      <x:c r="AK920" s="14" t="str">
        <x:v>https://prozorro.gov.ua/tender/UA-2026-06-26-001296-a</x:v>
      </x:c>
      <x:c r="AL920" s="19" t="n">
        <x:v>46209.55905646991</x:v>
      </x:c>
      <x:c r="AM920" s="19" t="n">
        <x:v>46387</x:v>
      </x:c>
      <x:c r="AN920" s="15" t="str">
        <x:v>Пожежогасіння</x:v>
      </x:c>
      <x:c r="AO920" s="15" t="str">
        <x:v>not_found_in_top_search</x:v>
      </x:c>
    </x:row>
    <x:row r="921">
      <x:c r="A921" s="14" t="str">
        <x:v>W4-102</x:v>
      </x:c>
      <x:c r="B921" s="14" t="str">
        <x:v>Prozorro expansion — 24.08</x:v>
      </x:c>
      <x:c r="C921" s="14" t="str">
        <x:v>ТОВ "ПІВНІЧ-БУДПОСТАЧ"</x:v>
      </x:c>
      <x:c r="D921" s="14" t="str">
        <x:v>Внутрішні сантехнічні системи</x:v>
      </x:c>
      <x:c r="E921" s="14" t="str">
        <x:v>Pilot now</x:v>
      </x:c>
      <x:c r="F921" s="17" t="str">
        <x:v>P2</x:v>
      </x:c>
      <x:c r="G921" s="14" t="str">
        <x:v>pbp.cn.ua</x:v>
      </x:c>
      <x:c r="H921" s="14" t="str">
        <x:v>Пілот зараз — Н.14</x:v>
      </x:c>
      <x:c r="I921" s="16" t="n">
        <x:v>5</x:v>
      </x:c>
      <x:c r="J921" s="16" t="n">
        <x:v>5</x:v>
      </x:c>
      <x:c r="K921" s="16" t="n">
        <x:v>4</x:v>
      </x:c>
      <x:c r="L921" s="16" t="n">
        <x:v>3</x:v>
      </x:c>
      <x:c r="M921" s="16" t="n">
        <x:v>5</x:v>
      </x:c>
      <x:c r="N921" s="16" t="n">
        <x:v>5</x:v>
      </x:c>
      <x:c r="O921" s="16" t="n">
        <x:v>5</x:v>
      </x:c>
      <x:c r="P921" s="16" t="n">
        <x:f>IF(COUNT(I921:O921)&lt;7,"",I921*8+J921*3+K921*2+L921*2+M921*2+N921*2+O921)</x:f>
        <x:v>94</x:v>
      </x:c>
      <x:c r="Q921" s="16" t="n">
        <x:f>IF(COUNT(J921:O921)&lt;6,"",J921*5+K921*4+M921*4+L921*3+N921*2+O921*2)</x:f>
        <x:v>90</x:v>
      </x:c>
      <x:c r="R921" s="14" t="str">
        <x:v>high</x:v>
      </x:c>
      <x:c r="S921" s="14" t="str">
        <x:v>official_prozorro_award_2024_2026</x:v>
      </x:c>
      <x:c r="T921" s="14" t="str">
        <x:v>official_prozorro_api</x:v>
      </x:c>
      <x:c r="U921" s="14" t="str">
        <x:v>Не контактували</x:v>
      </x:c>
      <x:c r="V921" s="15" t="str">
        <x:v>Персоналізований free-pilot outreach по UA-2026-05-21-008427-a; попросити 1 пакет Н.14/Н.15</x:v>
      </x:c>
      <x:c r="W921" s="15" t="str">
        <x:v>Власник / директор; керівник ПТО; відповідальний за договори</x:v>
      </x:c>
      <x:c r="X921" s="15" t="str">
        <x:v>2 нових підтверджених перемог/договорів у Prozorro на 716 569 грн; 0 зі строком виконання не раніше 24.08.2026.</x:v>
      </x:c>
      <x:c r="Y921"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 строк до 2026-07-20. Попросити один знеособлений пакет здачі за цим workflow.</x:v>
      </x:c>
      <x:c r="Z921" s="15" t="str">
        <x:v>https://prozorro.gov.ua/tender/UA-2026-05-21-008427-a</x:v>
      </x:c>
      <x:c r="AA921" s="14" t="str">
        <x:v>38423262</x:v>
      </x:c>
      <x:c r="AB921" s="14" t="str">
        <x:v>2026-08-24</x:v>
      </x:c>
      <x:c r="AC921" s="14" t="str"/>
      <x:c r="AD921" s="20" t="str"/>
      <x:c r="AE921" s="14" t="str"/>
      <x:c r="AF921" s="14" t="n">
        <x:v>64</x:v>
      </x:c>
      <x:c r="AG921" s="14" t="str">
        <x:v>I2</x:v>
      </x:c>
      <x:c r="AH921" s="14" t="n">
        <x:v>2</x:v>
      </x:c>
      <x:c r="AI921" s="14" t="n">
        <x:v>0</x:v>
      </x:c>
      <x:c r="AJ921" s="18" t="n">
        <x:v>716569.4</x:v>
      </x:c>
      <x:c r="AK921" s="14" t="str">
        <x:v>https://prozorro.gov.ua/tender/UA-2026-05-21-008427-a</x:v>
      </x:c>
      <x:c r="AL921" s="19" t="n">
        <x:v>46173.617653229165</x:v>
      </x:c>
      <x:c r="AM921" s="19" t="n">
        <x:v>46223</x:v>
      </x:c>
      <x:c r="AN921" s="15" t="str">
        <x:v>Внутрішні сантехнічні системи</x:v>
      </x:c>
      <x:c r="AO921" s="15" t="str">
        <x:v>supplier_provided_url</x:v>
      </x:c>
    </x:row>
    <x:row r="922">
      <x:c r="A922" s="14" t="str">
        <x:v>W4-103</x:v>
      </x:c>
      <x:c r="B922" s="14" t="str">
        <x:v>Prozorro expansion — 24.08</x:v>
      </x:c>
      <x:c r="C922" s="14" t="str">
        <x:v>Приватне підприємство "Компанія "Астра"</x:v>
      </x:c>
      <x:c r="D922" s="14" t="str">
        <x:v>Ліфти та підйомники</x:v>
      </x:c>
      <x:c r="E922" s="14" t="str">
        <x:v>Expansion discovery</x:v>
      </x:c>
      <x:c r="F922" s="17" t="str">
        <x:v>D2</x:v>
      </x:c>
      <x:c r="G922" s="14" t="str"/>
      <x:c r="H922" s="14" t="str">
        <x:v>Discovery розширення — 2 тижні</x:v>
      </x:c>
      <x:c r="I922" s="16" t="n">
        <x:v>1</x:v>
      </x:c>
      <x:c r="J922" s="16" t="n">
        <x:v>5</x:v>
      </x:c>
      <x:c r="K922" s="16" t="n">
        <x:v>4</x:v>
      </x:c>
      <x:c r="L922" s="16" t="n">
        <x:v>3</x:v>
      </x:c>
      <x:c r="M922" s="16" t="n">
        <x:v>5</x:v>
      </x:c>
      <x:c r="N922" s="16" t="n">
        <x:v>5</x:v>
      </x:c>
      <x:c r="O922" s="16" t="n">
        <x:v>3</x:v>
      </x:c>
      <x:c r="P922" s="16" t="n">
        <x:f>IF(COUNT(I922:O922)&lt;7,"",I922*8+J922*3+K922*2+L922*2+M922*2+N922*2+O922)</x:f>
        <x:v>60</x:v>
      </x:c>
      <x:c r="Q922" s="16" t="n">
        <x:f>IF(COUNT(J922:O922)&lt;6,"",J922*5+K922*4+M922*4+L922*3+N922*2+O922*2)</x:f>
        <x:v>86</x:v>
      </x:c>
      <x:c r="R922" s="14" t="str">
        <x:v>high</x:v>
      </x:c>
      <x:c r="S922" s="14" t="str">
        <x:v>official_prozorro_award_2024_2026</x:v>
      </x:c>
      <x:c r="T922" s="14" t="str">
        <x:v>official_prozorro_api</x:v>
      </x:c>
      <x:c r="U922" s="14" t="str">
        <x:v>Не контактували</x:v>
      </x:c>
      <x:c r="V922" s="15" t="str">
        <x:v>Workflow-audit outreach по UA-2025-11-21-012362-a; попросити 1 пакет здачі та вимоги проєкту</x:v>
      </x:c>
      <x:c r="W922" s="15" t="str">
        <x:v>Власник / директор; керівник ПТО; відповідальний за договори</x:v>
      </x:c>
      <x:c r="X922" s="15" t="str">
        <x:v>6 нових підтверджених перемог/договорів у Prozorro на 1 489 761 грн; 0 зі строком виконання не раніше 24.08.2026.</x:v>
      </x:c>
      <x:c r="Y922"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 строк до 2025-12-31. Попросити один знеособлений пакет здачі за цим workflow.</x:v>
      </x:c>
      <x:c r="Z922" s="15" t="str">
        <x:v>https://prozorro.gov.ua/tender/UA-2025-11-21-012362-a</x:v>
      </x:c>
      <x:c r="AA922" s="14" t="str">
        <x:v>30477310</x:v>
      </x:c>
      <x:c r="AB922" s="14" t="str">
        <x:v>2026-08-24</x:v>
      </x:c>
      <x:c r="AC922" s="14" t="str"/>
      <x:c r="AD922" s="20" t="str"/>
      <x:c r="AE922" s="14" t="str"/>
      <x:c r="AF922" s="14" t="n">
        <x:v>63</x:v>
      </x:c>
      <x:c r="AG922" s="14" t="str">
        <x:v>I2</x:v>
      </x:c>
      <x:c r="AH922" s="14" t="n">
        <x:v>6</x:v>
      </x:c>
      <x:c r="AI922" s="14" t="n">
        <x:v>0</x:v>
      </x:c>
      <x:c r="AJ922" s="18" t="n">
        <x:v>1489761.31</x:v>
      </x:c>
      <x:c r="AK922" s="14" t="str">
        <x:v>https://prozorro.gov.ua/tender/UA-2025-11-21-012362-a</x:v>
      </x:c>
      <x:c r="AL922" s="19" t="n">
        <x:v>45982.544711759256</x:v>
      </x:c>
      <x:c r="AM922" s="19" t="n">
        <x:v>46022.916666655095</x:v>
      </x:c>
      <x:c r="AN922" s="15" t="str">
        <x:v>Ліфти та підйомники</x:v>
      </x:c>
      <x:c r="AO922" s="15" t="str">
        <x:v>not_found_in_top_search</x:v>
      </x:c>
    </x:row>
    <x:row r="923">
      <x:c r="A923" s="14" t="str">
        <x:v>W4-104</x:v>
      </x:c>
      <x:c r="B923" s="14" t="str">
        <x:v>Prozorro expansion — 24.08</x:v>
      </x:c>
      <x:c r="C923" s="14" t="str">
        <x:v>ПРИВАТНЕ ПІДПРИЄМСТВО "ДОРОЖНЬО-КАНАЛІЗАЦІЙНЕ УПРАВЛІННЯ"</x:v>
      </x:c>
      <x:c r="D923" s="14" t="str">
        <x:v>Зливова каналізація / дренаж</x:v>
      </x:c>
      <x:c r="E923" s="14" t="str">
        <x:v>Expansion discovery</x:v>
      </x:c>
      <x:c r="F923" s="17" t="str">
        <x:v>D2</x:v>
      </x:c>
      <x:c r="G923" s="14" t="str"/>
      <x:c r="H923" s="14" t="str">
        <x:v>Discovery розширення — 2 тижні</x:v>
      </x:c>
      <x:c r="I923" s="16" t="n">
        <x:v>1</x:v>
      </x:c>
      <x:c r="J923" s="16" t="n">
        <x:v>5</x:v>
      </x:c>
      <x:c r="K923" s="16" t="n">
        <x:v>5</x:v>
      </x:c>
      <x:c r="L923" s="16" t="n">
        <x:v>3</x:v>
      </x:c>
      <x:c r="M923" s="16" t="n">
        <x:v>5</x:v>
      </x:c>
      <x:c r="N923" s="16" t="n">
        <x:v>5</x:v>
      </x:c>
      <x:c r="O923" s="16" t="n">
        <x:v>3</x:v>
      </x:c>
      <x:c r="P923" s="16" t="n">
        <x:f>IF(COUNT(I923:O923)&lt;7,"",I923*8+J923*3+K923*2+L923*2+M923*2+N923*2+O923)</x:f>
        <x:v>62</x:v>
      </x:c>
      <x:c r="Q923" s="16" t="n">
        <x:f>IF(COUNT(J923:O923)&lt;6,"",J923*5+K923*4+M923*4+L923*3+N923*2+O923*2)</x:f>
        <x:v>90</x:v>
      </x:c>
      <x:c r="R923" s="14" t="str">
        <x:v>high</x:v>
      </x:c>
      <x:c r="S923" s="14" t="str">
        <x:v>official_prozorro_award_2024_2026</x:v>
      </x:c>
      <x:c r="T923" s="14" t="str">
        <x:v>official_prozorro_api</x:v>
      </x:c>
      <x:c r="U923" s="14" t="str">
        <x:v>Не контактували</x:v>
      </x:c>
      <x:c r="V923" s="15" t="str">
        <x:v>Workflow-audit outreach по UA-2025-10-31-010457-a; попросити 1 пакет здачі та вимоги проєкту</x:v>
      </x:c>
      <x:c r="W923" s="15" t="str">
        <x:v>Власник / директор; керівник ПТО; відповідальний за договори</x:v>
      </x:c>
      <x:c r="X923" s="15" t="str">
        <x:v>9 нових підтверджених перемог/договорів у Prozorro на 1 359 004 грн; 0 зі строком виконання не раніше 24.08.2026.</x:v>
      </x:c>
      <x:c r="Y923"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 строк до 2025-12-31. Попросити один знеособлений пакет здачі за цим workflow.</x:v>
      </x:c>
      <x:c r="Z923" s="15" t="str">
        <x:v>https://prozorro.gov.ua/tender/UA-2025-10-31-010457-a</x:v>
      </x:c>
      <x:c r="AA923" s="14" t="str">
        <x:v>31948190</x:v>
      </x:c>
      <x:c r="AB923" s="14" t="str">
        <x:v>2026-08-24</x:v>
      </x:c>
      <x:c r="AC923" s="14" t="str"/>
      <x:c r="AD923" s="20" t="str"/>
      <x:c r="AE923" s="14" t="str"/>
      <x:c r="AF923" s="14" t="n">
        <x:v>63</x:v>
      </x:c>
      <x:c r="AG923" s="14" t="str">
        <x:v>I2</x:v>
      </x:c>
      <x:c r="AH923" s="14" t="n">
        <x:v>9</x:v>
      </x:c>
      <x:c r="AI923" s="14" t="n">
        <x:v>0</x:v>
      </x:c>
      <x:c r="AJ923" s="18" t="n">
        <x:v>1359004.28</x:v>
      </x:c>
      <x:c r="AK923" s="14" t="str">
        <x:v>https://prozorro.gov.ua/tender/UA-2025-10-31-010457-a</x:v>
      </x:c>
      <x:c r="AL923" s="19" t="n">
        <x:v>45961.59212631945</x:v>
      </x:c>
      <x:c r="AM923" s="19" t="n">
        <x:v>46022.59478009259</x:v>
      </x:c>
      <x:c r="AN923" s="15" t="str">
        <x:v>Зливова каналізація / дренаж</x:v>
      </x:c>
      <x:c r="AO923" s="15" t="str">
        <x:v>not_found_in_top_search</x:v>
      </x:c>
    </x:row>
    <x:row r="924">
      <x:c r="A924" s="14" t="str">
        <x:v>W4-105</x:v>
      </x:c>
      <x:c r="B924" s="14" t="str">
        <x:v>Prozorro expansion — 24.08</x:v>
      </x:c>
      <x:c r="C924" s="14" t="str">
        <x:v>Товариство з обмеженою відповідальністю «Ростдорстрой» (ТОВ «РДС»)</x:v>
      </x:c>
      <x:c r="D924" s="14" t="str">
        <x:v>Підстанції / силові мережі</x:v>
      </x:c>
      <x:c r="E924" s="14" t="str">
        <x:v>Pilot now</x:v>
      </x:c>
      <x:c r="F924" s="17" t="str">
        <x:v>P2</x:v>
      </x:c>
      <x:c r="G924" s="14" t="str"/>
      <x:c r="H924" s="14" t="str">
        <x:v>Пілот зараз — Н.15 subset</x:v>
      </x:c>
      <x:c r="I924" s="16" t="n">
        <x:v>4</x:v>
      </x:c>
      <x:c r="J924" s="16" t="n">
        <x:v>5</x:v>
      </x:c>
      <x:c r="K924" s="16" t="n">
        <x:v>5</x:v>
      </x:c>
      <x:c r="L924" s="16" t="n">
        <x:v>5</x:v>
      </x:c>
      <x:c r="M924" s="16" t="n">
        <x:v>5</x:v>
      </x:c>
      <x:c r="N924" s="16" t="n">
        <x:v>5</x:v>
      </x:c>
      <x:c r="O924" s="16" t="n">
        <x:v>3</x:v>
      </x:c>
      <x:c r="P924" s="16" t="n">
        <x:f>IF(COUNT(I924:O924)&lt;7,"",I924*8+J924*3+K924*2+L924*2+M924*2+N924*2+O924)</x:f>
        <x:v>90</x:v>
      </x:c>
      <x:c r="Q924" s="16" t="n">
        <x:f>IF(COUNT(J924:O924)&lt;6,"",J924*5+K924*4+M924*4+L924*3+N924*2+O924*2)</x:f>
        <x:v>96</x:v>
      </x:c>
      <x:c r="R924" s="14" t="str">
        <x:v>high</x:v>
      </x:c>
      <x:c r="S924" s="14" t="str">
        <x:v>official_prozorro_award_2024_2026</x:v>
      </x:c>
      <x:c r="T924" s="14" t="str">
        <x:v>official_prozorro_api</x:v>
      </x:c>
      <x:c r="U924" s="14" t="str">
        <x:v>Не контактували</x:v>
      </x:c>
      <x:c r="V924" s="15" t="str">
        <x:v>Персоналізований free-pilot outreach по UA-2026-06-29-005179-a; попросити 1 пакет Н.14/Н.15</x:v>
      </x:c>
      <x:c r="W924" s="15" t="str">
        <x:v>Власник / директор; керівник ПТО; відповідальний за договори</x:v>
      </x:c>
      <x:c r="X924" s="15" t="str">
        <x:v>1 нових підтверджених перемог/договорів у Prozorro на 499 662 076 грн; 1 зі строком виконання не раніше 24.08.2026.</x:v>
      </x:c>
      <x:c r="Y924" s="15" t="str">
        <x:v>Реконструкція електричної підстанції «Об’єкт», VI черга – Улаштування фізичного захисту АТ-2» (додатковий договір до договору про закупівлю робіт від 04.07.2023 № 100-02-23); строк до 2026-12-31. Попросити один знеособлений пакет здачі за цим workflow.</x:v>
      </x:c>
      <x:c r="Z924" s="15" t="str">
        <x:v>https://prozorro.gov.ua/tender/UA-2026-06-29-005179-a</x:v>
      </x:c>
      <x:c r="AA924" s="14" t="str">
        <x:v>33658865</x:v>
      </x:c>
      <x:c r="AB924" s="14" t="str">
        <x:v>2026-08-24</x:v>
      </x:c>
      <x:c r="AC924" s="14" t="str"/>
      <x:c r="AD924" s="20" t="str"/>
      <x:c r="AE924" s="14" t="str"/>
      <x:c r="AF924" s="14" t="n">
        <x:v>62</x:v>
      </x:c>
      <x:c r="AG924" s="14" t="str">
        <x:v>I2</x:v>
      </x:c>
      <x:c r="AH924" s="14" t="n">
        <x:v>1</x:v>
      </x:c>
      <x:c r="AI924" s="14" t="n">
        <x:v>1</x:v>
      </x:c>
      <x:c r="AJ924" s="18" t="n">
        <x:v>499662076</x:v>
      </x:c>
      <x:c r="AK924" s="14" t="str">
        <x:v>https://prozorro.gov.ua/tender/UA-2026-06-29-005179-a</x:v>
      </x:c>
      <x:c r="AL924" s="19" t="n">
        <x:v>46202.419989560185</x:v>
      </x:c>
      <x:c r="AM924" s="19" t="n">
        <x:v>46387</x:v>
      </x:c>
      <x:c r="AN924" s="15" t="str">
        <x:v>Підстанції / силові мережі</x:v>
      </x:c>
      <x:c r="AO924" s="15" t="str">
        <x:v>not_found_in_top_search</x:v>
      </x:c>
    </x:row>
    <x:row r="925">
      <x:c r="A925" s="14" t="str">
        <x:v>W4-106</x:v>
      </x:c>
      <x:c r="B925" s="14" t="str">
        <x:v>Prozorro expansion — 24.08</x:v>
      </x:c>
      <x:c r="C925" s="14" t="str">
        <x:v>ТОВАРИСТВО З ОБМЕЖЕНОЮ ВІДПОВІДАЛЬНІСТЮ "РІТЕЙЛЕР КОМПАНІ"</x:v>
      </x:c>
      <x:c r="D925" s="14" t="str">
        <x:v>Підстанції / силові мережі</x:v>
      </x:c>
      <x:c r="E925" s="14" t="str">
        <x:v>Pilot now</x:v>
      </x:c>
      <x:c r="F925" s="17" t="str">
        <x:v>P2</x:v>
      </x:c>
      <x:c r="G925" s="14" t="str"/>
      <x:c r="H925" s="14" t="str">
        <x:v>Пілот зараз — Н.15 subset</x:v>
      </x:c>
      <x:c r="I925" s="16" t="n">
        <x:v>4</x:v>
      </x:c>
      <x:c r="J925" s="16" t="n">
        <x:v>5</x:v>
      </x:c>
      <x:c r="K925" s="16" t="n">
        <x:v>5</x:v>
      </x:c>
      <x:c r="L925" s="16" t="n">
        <x:v>5</x:v>
      </x:c>
      <x:c r="M925" s="16" t="n">
        <x:v>5</x:v>
      </x:c>
      <x:c r="N925" s="16" t="n">
        <x:v>5</x:v>
      </x:c>
      <x:c r="O925" s="16" t="n">
        <x:v>3</x:v>
      </x:c>
      <x:c r="P925" s="16" t="n">
        <x:f>IF(COUNT(I925:O925)&lt;7,"",I925*8+J925*3+K925*2+L925*2+M925*2+N925*2+O925)</x:f>
        <x:v>90</x:v>
      </x:c>
      <x:c r="Q925" s="16" t="n">
        <x:f>IF(COUNT(J925:O925)&lt;6,"",J925*5+K925*4+M925*4+L925*3+N925*2+O925*2)</x:f>
        <x:v>96</x:v>
      </x:c>
      <x:c r="R925" s="14" t="str">
        <x:v>high</x:v>
      </x:c>
      <x:c r="S925" s="14" t="str">
        <x:v>official_prozorro_award_2024_2026</x:v>
      </x:c>
      <x:c r="T925" s="14" t="str">
        <x:v>official_prozorro_api</x:v>
      </x:c>
      <x:c r="U925" s="14" t="str">
        <x:v>Не контактували</x:v>
      </x:c>
      <x:c r="V925" s="15" t="str">
        <x:v>Персоналізований free-pilot outreach по UA-2026-06-02-002857-a; попросити 1 пакет Н.14/Н.15</x:v>
      </x:c>
      <x:c r="W925" s="15" t="str">
        <x:v>Власник / директор; керівник ПТО; відповідальний за договори</x:v>
      </x:c>
      <x:c r="X925" s="15" t="str">
        <x:v>1 нових підтверджених перемог/договорів у Prozorro на 111 056 928 грн; 1 зі строком виконання не раніше 24.08.2026.</x:v>
      </x:c>
      <x:c r="Y925" s="15" t="str">
        <x:v>Реконструкція електричної підстанції №3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5" s="15" t="str">
        <x:v>https://prozorro.gov.ua/tender/UA-2026-06-02-002857-a</x:v>
      </x:c>
      <x:c r="AA925" s="14" t="str">
        <x:v>39889714</x:v>
      </x:c>
      <x:c r="AB925" s="14" t="str">
        <x:v>2026-08-24</x:v>
      </x:c>
      <x:c r="AC925" s="14" t="str"/>
      <x:c r="AD925" s="20" t="str"/>
      <x:c r="AE925" s="14" t="str"/>
      <x:c r="AF925" s="14" t="n">
        <x:v>62</x:v>
      </x:c>
      <x:c r="AG925" s="14" t="str">
        <x:v>I2</x:v>
      </x:c>
      <x:c r="AH925" s="14" t="n">
        <x:v>1</x:v>
      </x:c>
      <x:c r="AI925" s="14" t="n">
        <x:v>1</x:v>
      </x:c>
      <x:c r="AJ925" s="18" t="n">
        <x:v>111056928</x:v>
      </x:c>
      <x:c r="AK925" s="14" t="str">
        <x:v>https://prozorro.gov.ua/tender/UA-2026-06-02-002857-a</x:v>
      </x:c>
      <x:c r="AL925" s="19" t="n">
        <x:v>46175.327697939814</x:v>
      </x:c>
      <x:c r="AM925" s="19" t="n">
        <x:v>46752</x:v>
      </x:c>
      <x:c r="AN925" s="15" t="str">
        <x:v>Підстанції / силові мережі</x:v>
      </x:c>
      <x:c r="AO925" s="15" t="str">
        <x:v>not_found_in_top_search</x:v>
      </x:c>
    </x:row>
    <x:row r="926">
      <x:c r="A926" s="14" t="str">
        <x:v>W4-107</x:v>
      </x:c>
      <x:c r="B926" s="14" t="str">
        <x:v>Prozorro expansion — 24.08</x:v>
      </x:c>
      <x:c r="C926" s="14" t="str">
        <x:v>ТОВАРИСТВО З ОБМЕЖЕНОЮ ВІДПОВІДАЛЬНІСТЮ "ЄВРО БУД СІСТЕМ"</x:v>
      </x:c>
      <x:c r="D926" s="14" t="str">
        <x:v>Підстанції / силові мережі</x:v>
      </x:c>
      <x:c r="E926" s="14" t="str">
        <x:v>Pilot now</x:v>
      </x:c>
      <x:c r="F926" s="17" t="str">
        <x:v>P2</x:v>
      </x:c>
      <x:c r="G926" s="14" t="str"/>
      <x:c r="H926" s="14" t="str">
        <x:v>Пілот зараз — Н.15 subset</x:v>
      </x:c>
      <x:c r="I926" s="16" t="n">
        <x:v>4</x:v>
      </x:c>
      <x:c r="J926" s="16" t="n">
        <x:v>5</x:v>
      </x:c>
      <x:c r="K926" s="16" t="n">
        <x:v>5</x:v>
      </x:c>
      <x:c r="L926" s="16" t="n">
        <x:v>5</x:v>
      </x:c>
      <x:c r="M926" s="16" t="n">
        <x:v>5</x:v>
      </x:c>
      <x:c r="N926" s="16" t="n">
        <x:v>5</x:v>
      </x:c>
      <x:c r="O926" s="16" t="n">
        <x:v>3</x:v>
      </x:c>
      <x:c r="P926" s="16" t="n">
        <x:f>IF(COUNT(I926:O926)&lt;7,"",I926*8+J926*3+K926*2+L926*2+M926*2+N926*2+O926)</x:f>
        <x:v>90</x:v>
      </x:c>
      <x:c r="Q926" s="16" t="n">
        <x:f>IF(COUNT(J926:O926)&lt;6,"",J926*5+K926*4+M926*4+L926*3+N926*2+O926*2)</x:f>
        <x:v>96</x:v>
      </x:c>
      <x:c r="R926" s="14" t="str">
        <x:v>high</x:v>
      </x:c>
      <x:c r="S926" s="14" t="str">
        <x:v>official_prozorro_award_2024_2026</x:v>
      </x:c>
      <x:c r="T926" s="14" t="str">
        <x:v>official_prozorro_api</x:v>
      </x:c>
      <x:c r="U926" s="14" t="str">
        <x:v>Не контактували</x:v>
      </x:c>
      <x:c r="V926" s="15" t="str">
        <x:v>Персоналізований free-pilot outreach по UA-2026-06-04-010000-a; попросити 1 пакет Н.14/Н.15</x:v>
      </x:c>
      <x:c r="W926" s="15" t="str">
        <x:v>Власник / директор; керівник ПТО; відповідальний за договори</x:v>
      </x:c>
      <x:c r="X926" s="15" t="str">
        <x:v>1 нових підтверджених перемог/договорів у Prozorro на 110 966 459 грн; 1 зі строком виконання не раніше 24.08.2026.</x:v>
      </x:c>
      <x:c r="Y926" s="15" t="str">
        <x:v>Реконструкція електричної підстанції №8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6" s="15" t="str">
        <x:v>https://prozorro.gov.ua/tender/UA-2026-06-04-010000-a</x:v>
      </x:c>
      <x:c r="AA926" s="14" t="str">
        <x:v>42508467</x:v>
      </x:c>
      <x:c r="AB926" s="14" t="str">
        <x:v>2026-08-24</x:v>
      </x:c>
      <x:c r="AC926" s="14" t="str"/>
      <x:c r="AD926" s="20" t="str"/>
      <x:c r="AE926" s="14" t="str"/>
      <x:c r="AF926" s="14" t="n">
        <x:v>62</x:v>
      </x:c>
      <x:c r="AG926" s="14" t="str">
        <x:v>I2</x:v>
      </x:c>
      <x:c r="AH926" s="14" t="n">
        <x:v>1</x:v>
      </x:c>
      <x:c r="AI926" s="14" t="n">
        <x:v>1</x:v>
      </x:c>
      <x:c r="AJ926" s="18" t="n">
        <x:v>110966458.8</x:v>
      </x:c>
      <x:c r="AK926" s="14" t="str">
        <x:v>https://prozorro.gov.ua/tender/UA-2026-06-04-010000-a</x:v>
      </x:c>
      <x:c r="AL926" s="19" t="n">
        <x:v>46177.508375694444</x:v>
      </x:c>
      <x:c r="AM926" s="19" t="n">
        <x:v>46752</x:v>
      </x:c>
      <x:c r="AN926" s="15" t="str">
        <x:v>Підстанції / силові мережі</x:v>
      </x:c>
      <x:c r="AO926" s="15" t="str">
        <x:v>not_found_in_top_search</x:v>
      </x:c>
    </x:row>
    <x:row r="927">
      <x:c r="A927" s="14" t="str">
        <x:v>W4-108</x:v>
      </x:c>
      <x:c r="B927" s="14" t="str">
        <x:v>Prozorro expansion — 24.08</x:v>
      </x:c>
      <x:c r="C927" s="14" t="str">
        <x:v>ТОВАРИСТВО З ОБМЕЖЕНОЮ ВІДПОВІДАЛЬНІСТЮ "ІВП "ІНТОП"</x:v>
      </x:c>
      <x:c r="D927" s="14" t="str">
        <x:v>Підстанції / силові мережі</x:v>
      </x:c>
      <x:c r="E927" s="14" t="str">
        <x:v>Pilot now</x:v>
      </x:c>
      <x:c r="F927" s="17" t="str">
        <x:v>P2</x:v>
      </x:c>
      <x:c r="G927" s="14" t="str"/>
      <x:c r="H927" s="14" t="str">
        <x:v>Пілот зараз — Н.15 subset</x:v>
      </x:c>
      <x:c r="I927" s="16" t="n">
        <x:v>4</x:v>
      </x:c>
      <x:c r="J927" s="16" t="n">
        <x:v>5</x:v>
      </x:c>
      <x:c r="K927" s="16" t="n">
        <x:v>5</x:v>
      </x:c>
      <x:c r="L927" s="16" t="n">
        <x:v>5</x:v>
      </x:c>
      <x:c r="M927" s="16" t="n">
        <x:v>5</x:v>
      </x:c>
      <x:c r="N927" s="16" t="n">
        <x:v>5</x:v>
      </x:c>
      <x:c r="O927" s="16" t="n">
        <x:v>3</x:v>
      </x:c>
      <x:c r="P927" s="16" t="n">
        <x:f>IF(COUNT(I927:O927)&lt;7,"",I927*8+J927*3+K927*2+L927*2+M927*2+N927*2+O927)</x:f>
        <x:v>90</x:v>
      </x:c>
      <x:c r="Q927" s="16" t="n">
        <x:f>IF(COUNT(J927:O927)&lt;6,"",J927*5+K927*4+M927*4+L927*3+N927*2+O927*2)</x:f>
        <x:v>96</x:v>
      </x:c>
      <x:c r="R927" s="14" t="str">
        <x:v>high</x:v>
      </x:c>
      <x:c r="S927" s="14" t="str">
        <x:v>official_prozorro_award_2024_2026</x:v>
      </x:c>
      <x:c r="T927" s="14" t="str">
        <x:v>official_prozorro_api</x:v>
      </x:c>
      <x:c r="U927" s="14" t="str">
        <x:v>Не контактували</x:v>
      </x:c>
      <x:c r="V927" s="15" t="str">
        <x:v>Персоналізований free-pilot outreach по UA-2026-05-21-012686-a; попросити 1 пакет Н.14/Н.15</x:v>
      </x:c>
      <x:c r="W927" s="15" t="str">
        <x:v>Власник / директор; керівник ПТО; відповідальний за договори</x:v>
      </x:c>
      <x:c r="X927" s="15" t="str">
        <x:v>1 нових підтверджених перемог/договорів у Prozorro на 102 808 656 грн; 1 зі строком виконання не раніше 24.08.2026.</x:v>
      </x:c>
      <x:c r="Y927" s="15" t="str">
        <x:v>Реконструкція електричної підстанції №9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7" s="15" t="str">
        <x:v>https://prozorro.gov.ua/tender/UA-2026-05-21-012686-a</x:v>
      </x:c>
      <x:c r="AA927" s="14" t="str">
        <x:v>35808343</x:v>
      </x:c>
      <x:c r="AB927" s="14" t="str">
        <x:v>2026-08-24</x:v>
      </x:c>
      <x:c r="AC927" s="14" t="str"/>
      <x:c r="AD927" s="20" t="str"/>
      <x:c r="AE927" s="14" t="str"/>
      <x:c r="AF927" s="14" t="n">
        <x:v>62</x:v>
      </x:c>
      <x:c r="AG927" s="14" t="str">
        <x:v>I2</x:v>
      </x:c>
      <x:c r="AH927" s="14" t="n">
        <x:v>1</x:v>
      </x:c>
      <x:c r="AI927" s="14" t="n">
        <x:v>1</x:v>
      </x:c>
      <x:c r="AJ927" s="18" t="n">
        <x:v>102808656</x:v>
      </x:c>
      <x:c r="AK927" s="14" t="str">
        <x:v>https://prozorro.gov.ua/tender/UA-2026-05-21-012686-a</x:v>
      </x:c>
      <x:c r="AL927" s="19" t="n">
        <x:v>46163.58369450232</x:v>
      </x:c>
      <x:c r="AM927" s="19" t="n">
        <x:v>46752</x:v>
      </x:c>
      <x:c r="AN927" s="15" t="str">
        <x:v>Підстанції / силові мережі</x:v>
      </x:c>
      <x:c r="AO927" s="15" t="str">
        <x:v>not_found_in_top_search</x:v>
      </x:c>
    </x:row>
    <x:row r="928">
      <x:c r="A928" s="14" t="str">
        <x:v>W4-109</x:v>
      </x:c>
      <x:c r="B928" s="14" t="str">
        <x:v>Prozorro expansion — 24.08</x:v>
      </x:c>
      <x:c r="C928" s="14" t="str">
        <x:v>ТОВАРИСТВО З ОБМЕЖЕНОЮ ВІДПОВІДАЛЬНІСТЮ "ЄВРОБУД ПЛЮС"</x:v>
      </x:c>
      <x:c r="D928" s="14" t="str">
        <x:v>Підстанції / силові мережі</x:v>
      </x:c>
      <x:c r="E928" s="14" t="str">
        <x:v>Pilot now</x:v>
      </x:c>
      <x:c r="F928" s="17" t="str">
        <x:v>P2</x:v>
      </x:c>
      <x:c r="G928" s="14" t="str"/>
      <x:c r="H928" s="14" t="str">
        <x:v>Пілот зараз — Н.15 subset</x:v>
      </x:c>
      <x:c r="I928" s="16" t="n">
        <x:v>4</x:v>
      </x:c>
      <x:c r="J928" s="16" t="n">
        <x:v>5</x:v>
      </x:c>
      <x:c r="K928" s="16" t="n">
        <x:v>5</x:v>
      </x:c>
      <x:c r="L928" s="16" t="n">
        <x:v>5</x:v>
      </x:c>
      <x:c r="M928" s="16" t="n">
        <x:v>5</x:v>
      </x:c>
      <x:c r="N928" s="16" t="n">
        <x:v>5</x:v>
      </x:c>
      <x:c r="O928" s="16" t="n">
        <x:v>3</x:v>
      </x:c>
      <x:c r="P928" s="16" t="n">
        <x:f>IF(COUNT(I928:O928)&lt;7,"",I928*8+J928*3+K928*2+L928*2+M928*2+N928*2+O928)</x:f>
        <x:v>90</x:v>
      </x:c>
      <x:c r="Q928" s="16" t="n">
        <x:f>IF(COUNT(J928:O928)&lt;6,"",J928*5+K928*4+M928*4+L928*3+N928*2+O928*2)</x:f>
        <x:v>96</x:v>
      </x:c>
      <x:c r="R928" s="14" t="str">
        <x:v>high</x:v>
      </x:c>
      <x:c r="S928" s="14" t="str">
        <x:v>official_prozorro_award_2024_2026</x:v>
      </x:c>
      <x:c r="T928" s="14" t="str">
        <x:v>official_prozorro_api</x:v>
      </x:c>
      <x:c r="U928" s="14" t="str">
        <x:v>Не контактували</x:v>
      </x:c>
      <x:c r="V928" s="15" t="str">
        <x:v>Персоналізований free-pilot outreach по UA-2026-05-21-001610-a; попросити 1 пакет Н.14/Н.15</x:v>
      </x:c>
      <x:c r="W928" s="15" t="str">
        <x:v>Власник / директор; керівник ПТО; відповідальний за договори</x:v>
      </x:c>
      <x:c r="X928" s="15" t="str">
        <x:v>1 нових підтверджених перемог/договорів у Prozorro на 94 312 295 грн; 1 зі строком виконання не раніше 24.08.2026.</x:v>
      </x:c>
      <x:c r="Y928" s="15" t="str">
        <x:v>Реконструкція електричної підстанції №5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8" s="15" t="str">
        <x:v>https://prozorro.gov.ua/tender/UA-2026-05-21-001610-a</x:v>
      </x:c>
      <x:c r="AA928" s="14" t="str">
        <x:v>34898640</x:v>
      </x:c>
      <x:c r="AB928" s="14" t="str">
        <x:v>2026-08-24</x:v>
      </x:c>
      <x:c r="AC928" s="14" t="str"/>
      <x:c r="AD928" s="20" t="str"/>
      <x:c r="AE928" s="14" t="str"/>
      <x:c r="AF928" s="14" t="n">
        <x:v>62</x:v>
      </x:c>
      <x:c r="AG928" s="14" t="str">
        <x:v>I2</x:v>
      </x:c>
      <x:c r="AH928" s="14" t="n">
        <x:v>1</x:v>
      </x:c>
      <x:c r="AI928" s="14" t="n">
        <x:v>1</x:v>
      </x:c>
      <x:c r="AJ928" s="18" t="n">
        <x:v>94312294.8</x:v>
      </x:c>
      <x:c r="AK928" s="14" t="str">
        <x:v>https://prozorro.gov.ua/tender/UA-2026-05-21-001610-a</x:v>
      </x:c>
      <x:c r="AL928" s="19" t="n">
        <x:v>46163.30135616898</x:v>
      </x:c>
      <x:c r="AM928" s="19" t="n">
        <x:v>46752</x:v>
      </x:c>
      <x:c r="AN928" s="15" t="str">
        <x:v>Підстанції / силові мережі</x:v>
      </x:c>
      <x:c r="AO928" s="15" t="str">
        <x:v>not_found_in_top_search</x:v>
      </x:c>
    </x:row>
    <x:row r="929">
      <x:c r="A929" s="14" t="str">
        <x:v>W4-110</x:v>
      </x:c>
      <x:c r="B929" s="14" t="str">
        <x:v>Prozorro expansion — 24.08</x:v>
      </x:c>
      <x:c r="C929" s="14" t="str">
        <x:v>Товариство з обмеженою відповідальністю «Бахмачгазбудсервіс»</x:v>
      </x:c>
      <x:c r="D929" s="14" t="str">
        <x:v>Підстанції / силові мережі</x:v>
      </x:c>
      <x:c r="E929" s="14" t="str">
        <x:v>Pilot now</x:v>
      </x:c>
      <x:c r="F929" s="17" t="str">
        <x:v>P2</x:v>
      </x:c>
      <x:c r="G929" s="14" t="str"/>
      <x:c r="H929" s="14" t="str">
        <x:v>Пілот зараз — Н.15 subset</x:v>
      </x:c>
      <x:c r="I929" s="16" t="n">
        <x:v>4</x:v>
      </x:c>
      <x:c r="J929" s="16" t="n">
        <x:v>5</x:v>
      </x:c>
      <x:c r="K929" s="16" t="n">
        <x:v>5</x:v>
      </x:c>
      <x:c r="L929" s="16" t="n">
        <x:v>5</x:v>
      </x:c>
      <x:c r="M929" s="16" t="n">
        <x:v>5</x:v>
      </x:c>
      <x:c r="N929" s="16" t="n">
        <x:v>5</x:v>
      </x:c>
      <x:c r="O929" s="16" t="n">
        <x:v>3</x:v>
      </x:c>
      <x:c r="P929" s="16" t="n">
        <x:f>IF(COUNT(I929:O929)&lt;7,"",I929*8+J929*3+K929*2+L929*2+M929*2+N929*2+O929)</x:f>
        <x:v>90</x:v>
      </x:c>
      <x:c r="Q929" s="16" t="n">
        <x:f>IF(COUNT(J929:O929)&lt;6,"",J929*5+K929*4+M929*4+L929*3+N929*2+O929*2)</x:f>
        <x:v>96</x:v>
      </x:c>
      <x:c r="R929" s="14" t="str">
        <x:v>high</x:v>
      </x:c>
      <x:c r="S929" s="14" t="str">
        <x:v>official_prozorro_award_2024_2026</x:v>
      </x:c>
      <x:c r="T929" s="14" t="str">
        <x:v>official_prozorro_api</x:v>
      </x:c>
      <x:c r="U929" s="14" t="str">
        <x:v>Не контактували</x:v>
      </x:c>
      <x:c r="V929" s="15" t="str">
        <x:v>Персоналізований free-pilot outreach по UA-2026-04-30-011256-a; попросити 1 пакет Н.14/Н.15</x:v>
      </x:c>
      <x:c r="W929" s="15" t="str">
        <x:v>Власник / директор; керівник ПТО; відповідальний за договори</x:v>
      </x:c>
      <x:c r="X929" s="15" t="str">
        <x:v>1 нових підтверджених перемог/договорів у Prozorro на 76 387 907 грн; 1 зі строком виконання не раніше 24.08.2026.</x:v>
      </x:c>
      <x:c r="Y929"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929" s="15" t="str">
        <x:v>https://prozorro.gov.ua/tender/UA-2026-04-30-011256-a</x:v>
      </x:c>
      <x:c r="AA929" s="14" t="str">
        <x:v>35800585</x:v>
      </x:c>
      <x:c r="AB929" s="14" t="str">
        <x:v>2026-08-24</x:v>
      </x:c>
      <x:c r="AC929" s="14" t="str"/>
      <x:c r="AD929" s="20" t="str"/>
      <x:c r="AE929" s="14" t="str"/>
      <x:c r="AF929" s="14" t="n">
        <x:v>62</x:v>
      </x:c>
      <x:c r="AG929" s="14" t="str">
        <x:v>I2</x:v>
      </x:c>
      <x:c r="AH929" s="14" t="n">
        <x:v>1</x:v>
      </x:c>
      <x:c r="AI929" s="14" t="n">
        <x:v>1</x:v>
      </x:c>
      <x:c r="AJ929" s="18" t="n">
        <x:v>76387907</x:v>
      </x:c>
      <x:c r="AK929" s="14" t="str">
        <x:v>https://prozorro.gov.ua/tender/UA-2026-04-30-011256-a</x:v>
      </x:c>
      <x:c r="AL929" s="19" t="n">
        <x:v>46142.638039722224</x:v>
      </x:c>
      <x:c r="AM929" s="19" t="n">
        <x:v>46752.67875</x:v>
      </x:c>
      <x:c r="AN929" s="15" t="str">
        <x:v>Підстанції / силові мережі</x:v>
      </x:c>
      <x:c r="AO929" s="15" t="str">
        <x:v>not_found_in_top_search</x:v>
      </x:c>
    </x:row>
    <x:row r="930">
      <x:c r="A930" s="14" t="str">
        <x:v>W4-111</x:v>
      </x:c>
      <x:c r="B930" s="14" t="str">
        <x:v>Prozorro expansion — 24.08</x:v>
      </x:c>
      <x:c r="C930" s="14" t="str">
        <x:v>Приватне акціонерне товариство «Шляхове ремонтно-будівельне управління № 82»</x:v>
      </x:c>
      <x:c r="D930" s="14" t="str">
        <x:v>Підстанції / силові мережі</x:v>
      </x:c>
      <x:c r="E930" s="14" t="str">
        <x:v>Pilot now</x:v>
      </x:c>
      <x:c r="F930" s="17" t="str">
        <x:v>P2</x:v>
      </x:c>
      <x:c r="G930" s="14" t="str"/>
      <x:c r="H930" s="14" t="str">
        <x:v>Пілот зараз — Н.15 subset</x:v>
      </x:c>
      <x:c r="I930" s="16" t="n">
        <x:v>4</x:v>
      </x:c>
      <x:c r="J930" s="16" t="n">
        <x:v>5</x:v>
      </x:c>
      <x:c r="K930" s="16" t="n">
        <x:v>5</x:v>
      </x:c>
      <x:c r="L930" s="16" t="n">
        <x:v>5</x:v>
      </x:c>
      <x:c r="M930" s="16" t="n">
        <x:v>5</x:v>
      </x:c>
      <x:c r="N930" s="16" t="n">
        <x:v>5</x:v>
      </x:c>
      <x:c r="O930" s="16" t="n">
        <x:v>3</x:v>
      </x:c>
      <x:c r="P930" s="16" t="n">
        <x:f>IF(COUNT(I930:O930)&lt;7,"",I930*8+J930*3+K930*2+L930*2+M930*2+N930*2+O930)</x:f>
        <x:v>90</x:v>
      </x:c>
      <x:c r="Q930" s="16" t="n">
        <x:f>IF(COUNT(J930:O930)&lt;6,"",J930*5+K930*4+M930*4+L930*3+N930*2+O930*2)</x:f>
        <x:v>96</x:v>
      </x:c>
      <x:c r="R930" s="14" t="str">
        <x:v>high</x:v>
      </x:c>
      <x:c r="S930" s="14" t="str">
        <x:v>official_prozorro_award_2024_2026</x:v>
      </x:c>
      <x:c r="T930" s="14" t="str">
        <x:v>official_prozorro_api</x:v>
      </x:c>
      <x:c r="U930" s="14" t="str">
        <x:v>Не контактували</x:v>
      </x:c>
      <x:c r="V930" s="15" t="str">
        <x:v>Персоналізований free-pilot outreach по UA-2026-05-04-005146-a; попросити 1 пакет Н.14/Н.15</x:v>
      </x:c>
      <x:c r="W930" s="15" t="str">
        <x:v>Власник / директор; керівник ПТО; відповідальний за договори</x:v>
      </x:c>
      <x:c r="X930" s="15" t="str">
        <x:v>1 нових підтверджених перемог/договорів у Prozorro на 74 440 938 грн; 1 зі строком виконання не раніше 24.08.2026.</x:v>
      </x:c>
      <x:c r="Y930"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930" s="15" t="str">
        <x:v>https://prozorro.gov.ua/tender/UA-2026-05-04-005146-a</x:v>
      </x:c>
      <x:c r="AA930" s="14" t="str">
        <x:v>03448244</x:v>
      </x:c>
      <x:c r="AB930" s="14" t="str">
        <x:v>2026-08-24</x:v>
      </x:c>
      <x:c r="AC930" s="14" t="str"/>
      <x:c r="AD930" s="20" t="str"/>
      <x:c r="AE930" s="14" t="str"/>
      <x:c r="AF930" s="14" t="n">
        <x:v>62</x:v>
      </x:c>
      <x:c r="AG930" s="14" t="str">
        <x:v>I2</x:v>
      </x:c>
      <x:c r="AH930" s="14" t="n">
        <x:v>1</x:v>
      </x:c>
      <x:c r="AI930" s="14" t="n">
        <x:v>1</x:v>
      </x:c>
      <x:c r="AJ930" s="18" t="n">
        <x:v>74440938</x:v>
      </x:c>
      <x:c r="AK930" s="14" t="str">
        <x:v>https://prozorro.gov.ua/tender/UA-2026-05-04-005146-a</x:v>
      </x:c>
      <x:c r="AL930" s="19" t="n">
        <x:v>46146.382662268516</x:v>
      </x:c>
      <x:c r="AM930" s="19" t="n">
        <x:v>46752.42422453704</x:v>
      </x:c>
      <x:c r="AN930" s="15" t="str">
        <x:v>Підстанції / силові мережі</x:v>
      </x:c>
      <x:c r="AO930" s="15" t="str">
        <x:v>not_found_in_top_search</x:v>
      </x:c>
    </x:row>
    <x:row r="931">
      <x:c r="A931" s="14" t="str">
        <x:v>W4-112</x:v>
      </x:c>
      <x:c r="B931" s="14" t="str">
        <x:v>Prozorro expansion — 24.08</x:v>
      </x:c>
      <x:c r="C931" s="14" t="str">
        <x:v>ТОВ "Будівельне Підприємство "Регіонбудмонтаж"</x:v>
      </x:c>
      <x:c r="D931" s="14" t="str">
        <x:v>Теплові мережі</x:v>
      </x:c>
      <x:c r="E931" s="14" t="str">
        <x:v>Expansion discovery</x:v>
      </x:c>
      <x:c r="F931" s="17" t="str">
        <x:v>D2</x:v>
      </x:c>
      <x:c r="G931" s="14" t="str"/>
      <x:c r="H931" s="14" t="str">
        <x:v>Discovery розширення — 2 тижні</x:v>
      </x:c>
      <x:c r="I931" s="16" t="n">
        <x:v>1</x:v>
      </x:c>
      <x:c r="J931" s="16" t="n">
        <x:v>5</x:v>
      </x:c>
      <x:c r="K931" s="16" t="n">
        <x:v>4</x:v>
      </x:c>
      <x:c r="L931" s="16" t="n">
        <x:v>5</x:v>
      </x:c>
      <x:c r="M931" s="16" t="n">
        <x:v>5</x:v>
      </x:c>
      <x:c r="N931" s="16" t="n">
        <x:v>5</x:v>
      </x:c>
      <x:c r="O931" s="16" t="n">
        <x:v>3</x:v>
      </x:c>
      <x:c r="P931" s="16" t="n">
        <x:f>IF(COUNT(I931:O931)&lt;7,"",I931*8+J931*3+K931*2+L931*2+M931*2+N931*2+O931)</x:f>
        <x:v>64</x:v>
      </x:c>
      <x:c r="Q931" s="16" t="n">
        <x:f>IF(COUNT(J931:O931)&lt;6,"",J931*5+K931*4+M931*4+L931*3+N931*2+O931*2)</x:f>
        <x:v>92</x:v>
      </x:c>
      <x:c r="R931" s="14" t="str">
        <x:v>high</x:v>
      </x:c>
      <x:c r="S931" s="14" t="str">
        <x:v>official_prozorro_award_2024_2026</x:v>
      </x:c>
      <x:c r="T931" s="14" t="str">
        <x:v>official_prozorro_api</x:v>
      </x:c>
      <x:c r="U931" s="14" t="str">
        <x:v>Не контактували</x:v>
      </x:c>
      <x:c r="V931" s="15" t="str">
        <x:v>Workflow-audit outreach по UA-2026-05-08-007865-a; попросити 1 пакет здачі та вимоги проєкту</x:v>
      </x:c>
      <x:c r="W931" s="15" t="str">
        <x:v>Власник / директор; керівник ПТО; відповідальний за договори</x:v>
      </x:c>
      <x:c r="X931" s="15" t="str">
        <x:v>1 нових підтверджених перемог/договорів у Prozorro на 31 470 734 грн; 1 зі строком виконання не раніше 24.08.2026.</x:v>
      </x:c>
      <x:c r="Y931"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 строк до 2026-11-30. Попросити один знеособлений пакет здачі за цим workflow.</x:v>
      </x:c>
      <x:c r="Z931" s="15" t="str">
        <x:v>https://prozorro.gov.ua/tender/UA-2026-05-08-007865-a</x:v>
      </x:c>
      <x:c r="AA931" s="14" t="str">
        <x:v>40113394</x:v>
      </x:c>
      <x:c r="AB931" s="14" t="str">
        <x:v>2026-08-24</x:v>
      </x:c>
      <x:c r="AC931" s="14" t="str"/>
      <x:c r="AD931" s="20" t="str"/>
      <x:c r="AE931" s="14" t="str"/>
      <x:c r="AF931" s="14" t="n">
        <x:v>62</x:v>
      </x:c>
      <x:c r="AG931" s="14" t="str">
        <x:v>I2</x:v>
      </x:c>
      <x:c r="AH931" s="14" t="n">
        <x:v>1</x:v>
      </x:c>
      <x:c r="AI931" s="14" t="n">
        <x:v>1</x:v>
      </x:c>
      <x:c r="AJ931" s="18" t="n">
        <x:v>31470734</x:v>
      </x:c>
      <x:c r="AK931" s="14" t="str">
        <x:v>https://prozorro.gov.ua/tender/UA-2026-05-08-007865-a</x:v>
      </x:c>
      <x:c r="AL931" s="19" t="n">
        <x:v>46172.33759278935</x:v>
      </x:c>
      <x:c r="AM931" s="19" t="n">
        <x:v>46356.916655092595</x:v>
      </x:c>
      <x:c r="AN931" s="15" t="str">
        <x:v>Теплові мережі</x:v>
      </x:c>
      <x:c r="AO931" s="15" t="str">
        <x:v>not_found_in_top_search</x:v>
      </x:c>
    </x:row>
    <x:row r="932">
      <x:c r="A932" s="14" t="str">
        <x:v>W4-113</x:v>
      </x:c>
      <x:c r="B932" s="14" t="str">
        <x:v>Prozorro expansion — 24.08</x:v>
      </x:c>
      <x:c r="C932" s="14" t="str">
        <x:v>ТОВ Прогрес-92</x:v>
      </x:c>
      <x:c r="D932" s="14" t="str">
        <x:v>Теплові мережі</x:v>
      </x:c>
      <x:c r="E932" s="14" t="str">
        <x:v>Expansion discovery</x:v>
      </x:c>
      <x:c r="F932" s="17" t="str">
        <x:v>D2</x:v>
      </x:c>
      <x:c r="G932" s="14" t="str"/>
      <x:c r="H932" s="14" t="str">
        <x:v>Discovery розширення — 2 тижні</x:v>
      </x:c>
      <x:c r="I932" s="16" t="n">
        <x:v>1</x:v>
      </x:c>
      <x:c r="J932" s="16" t="n">
        <x:v>5</x:v>
      </x:c>
      <x:c r="K932" s="16" t="n">
        <x:v>4</x:v>
      </x:c>
      <x:c r="L932" s="16" t="n">
        <x:v>5</x:v>
      </x:c>
      <x:c r="M932" s="16" t="n">
        <x:v>5</x:v>
      </x:c>
      <x:c r="N932" s="16" t="n">
        <x:v>5</x:v>
      </x:c>
      <x:c r="O932" s="16" t="n">
        <x:v>3</x:v>
      </x:c>
      <x:c r="P932" s="16" t="n">
        <x:f>IF(COUNT(I932:O932)&lt;7,"",I932*8+J932*3+K932*2+L932*2+M932*2+N932*2+O932)</x:f>
        <x:v>64</x:v>
      </x:c>
      <x:c r="Q932" s="16" t="n">
        <x:f>IF(COUNT(J932:O932)&lt;6,"",J932*5+K932*4+M932*4+L932*3+N932*2+O932*2)</x:f>
        <x:v>92</x:v>
      </x:c>
      <x:c r="R932" s="14" t="str">
        <x:v>high</x:v>
      </x:c>
      <x:c r="S932" s="14" t="str">
        <x:v>official_prozorro_award_2024_2026</x:v>
      </x:c>
      <x:c r="T932" s="14" t="str">
        <x:v>official_prozorro_api</x:v>
      </x:c>
      <x:c r="U932" s="14" t="str">
        <x:v>Не контактували</x:v>
      </x:c>
      <x:c r="V932" s="15" t="str">
        <x:v>Workflow-audit outreach по UA-2026-04-07-012294-a; попросити 1 пакет здачі та вимоги проєкту</x:v>
      </x:c>
      <x:c r="W932" s="15" t="str">
        <x:v>Власник / директор; керівник ПТО; відповідальний за договори</x:v>
      </x:c>
      <x:c r="X932" s="15" t="str">
        <x:v>1 нових підтверджених перемог/договорів у Prozorro на 21 059 158 грн; 1 зі строком виконання не раніше 24.08.2026.</x:v>
      </x:c>
      <x:c r="Y932" s="15" t="str">
        <x:v>Реконструкція теплових мереж котельні РК-11 від РК-11 по вул. Отаманів Соколовських, 6 до ТК-1 в м.Житомирі (коригування); строк до 2026-12-31. Попросити один знеособлений пакет здачі за цим workflow.</x:v>
      </x:c>
      <x:c r="Z932" s="15" t="str">
        <x:v>https://prozorro.gov.ua/tender/UA-2026-04-07-012294-a</x:v>
      </x:c>
      <x:c r="AA932" s="14" t="str">
        <x:v>19117928</x:v>
      </x:c>
      <x:c r="AB932" s="14" t="str">
        <x:v>2026-08-24</x:v>
      </x:c>
      <x:c r="AC932" s="14" t="str"/>
      <x:c r="AD932" s="20" t="str"/>
      <x:c r="AE932" s="14" t="str"/>
      <x:c r="AF932" s="14" t="n">
        <x:v>62</x:v>
      </x:c>
      <x:c r="AG932" s="14" t="str">
        <x:v>I2</x:v>
      </x:c>
      <x:c r="AH932" s="14" t="n">
        <x:v>1</x:v>
      </x:c>
      <x:c r="AI932" s="14" t="n">
        <x:v>1</x:v>
      </x:c>
      <x:c r="AJ932" s="18" t="n">
        <x:v>21059157.6</x:v>
      </x:c>
      <x:c r="AK932" s="14" t="str">
        <x:v>https://prozorro.gov.ua/tender/UA-2026-04-07-012294-a</x:v>
      </x:c>
      <x:c r="AL932" s="19" t="n">
        <x:v>46139.53436651621</x:v>
      </x:c>
      <x:c r="AM932" s="19" t="n">
        <x:v>46387</x:v>
      </x:c>
      <x:c r="AN932" s="15" t="str">
        <x:v>Теплові мережі</x:v>
      </x:c>
      <x:c r="AO932" s="15" t="str">
        <x:v>not_found_in_top_search</x:v>
      </x:c>
    </x:row>
    <x:row r="933">
      <x:c r="A933" s="14" t="str">
        <x:v>W4-114</x:v>
      </x:c>
      <x:c r="B933" s="14" t="str">
        <x:v>Prozorro expansion — 24.08</x:v>
      </x:c>
      <x:c r="C933" s="14" t="str">
        <x:v>ТОВАРИСТВО З ОБМЕЖЕНОЮ ВІДПОВІДАЛЬНІСТЮ "КОМПАНІЯ ПОДІЛЬСЬКА ДОРОЖНЯ"</x:v>
      </x:c>
      <x:c r="D933" s="14" t="str">
        <x:v>Підстанції / силові мережі</x:v>
      </x:c>
      <x:c r="E933" s="14" t="str">
        <x:v>Pilot now</x:v>
      </x:c>
      <x:c r="F933" s="17" t="str">
        <x:v>P2</x:v>
      </x:c>
      <x:c r="G933" s="14" t="str"/>
      <x:c r="H933" s="14" t="str">
        <x:v>Пілот зараз — Н.15 subset</x:v>
      </x:c>
      <x:c r="I933" s="16" t="n">
        <x:v>4</x:v>
      </x:c>
      <x:c r="J933" s="16" t="n">
        <x:v>5</x:v>
      </x:c>
      <x:c r="K933" s="16" t="n">
        <x:v>5</x:v>
      </x:c>
      <x:c r="L933" s="16" t="n">
        <x:v>5</x:v>
      </x:c>
      <x:c r="M933" s="16" t="n">
        <x:v>5</x:v>
      </x:c>
      <x:c r="N933" s="16" t="n">
        <x:v>5</x:v>
      </x:c>
      <x:c r="O933" s="16" t="n">
        <x:v>3</x:v>
      </x:c>
      <x:c r="P933" s="16" t="n">
        <x:f>IF(COUNT(I933:O933)&lt;7,"",I933*8+J933*3+K933*2+L933*2+M933*2+N933*2+O933)</x:f>
        <x:v>90</x:v>
      </x:c>
      <x:c r="Q933" s="16" t="n">
        <x:f>IF(COUNT(J933:O933)&lt;6,"",J933*5+K933*4+M933*4+L933*3+N933*2+O933*2)</x:f>
        <x:v>96</x:v>
      </x:c>
      <x:c r="R933" s="14" t="str">
        <x:v>high</x:v>
      </x:c>
      <x:c r="S933" s="14" t="str">
        <x:v>official_prozorro_award_2024_2026</x:v>
      </x:c>
      <x:c r="T933" s="14" t="str">
        <x:v>official_prozorro_api</x:v>
      </x:c>
      <x:c r="U933" s="14" t="str">
        <x:v>Не контактували</x:v>
      </x:c>
      <x:c r="V933" s="15" t="str">
        <x:v>Персоналізований free-pilot outreach по UA-2026-04-16-008559-a; попросити 1 пакет Н.14/Н.15</x:v>
      </x:c>
      <x:c r="W933" s="15" t="str">
        <x:v>Власник / директор; керівник ПТО; відповідальний за договори</x:v>
      </x:c>
      <x:c r="X933" s="15" t="str">
        <x:v>1 нових підтверджених перемог/договорів у Prozorro на 14 549 997 грн; 1 зі строком виконання не раніше 24.08.2026.</x:v>
      </x:c>
      <x:c r="Y933"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 строк до 2026-12-31. Попросити один знеособлений пакет здачі за цим workflow.</x:v>
      </x:c>
      <x:c r="Z933" s="15" t="str">
        <x:v>https://prozorro.gov.ua/tender/UA-2026-04-16-008559-a</x:v>
      </x:c>
      <x:c r="AA933" s="14" t="str">
        <x:v>42598058</x:v>
      </x:c>
      <x:c r="AB933" s="14" t="str">
        <x:v>2026-08-24</x:v>
      </x:c>
      <x:c r="AC933" s="14" t="str"/>
      <x:c r="AD933" s="20" t="str"/>
      <x:c r="AE933" s="14" t="str"/>
      <x:c r="AF933" s="14" t="n">
        <x:v>62</x:v>
      </x:c>
      <x:c r="AG933" s="14" t="str">
        <x:v>I2</x:v>
      </x:c>
      <x:c r="AH933" s="14" t="n">
        <x:v>1</x:v>
      </x:c>
      <x:c r="AI933" s="14" t="n">
        <x:v>1</x:v>
      </x:c>
      <x:c r="AJ933" s="18" t="n">
        <x:v>14549996.65</x:v>
      </x:c>
      <x:c r="AK933" s="14" t="str">
        <x:v>https://prozorro.gov.ua/tender/UA-2026-04-16-008559-a</x:v>
      </x:c>
      <x:c r="AL933" s="19" t="n">
        <x:v>46146.22212475695</x:v>
      </x:c>
      <x:c r="AM933" s="19" t="n">
        <x:v>46387</x:v>
      </x:c>
      <x:c r="AN933" s="15" t="str">
        <x:v>Підстанції / силові мережі</x:v>
      </x:c>
      <x:c r="AO933" s="15" t="str">
        <x:v>not_found_in_top_search</x:v>
      </x:c>
    </x:row>
    <x:row r="934">
      <x:c r="A934" s="14" t="str">
        <x:v>W4-115</x:v>
      </x:c>
      <x:c r="B934" s="14" t="str">
        <x:v>Prozorro expansion — 24.08</x:v>
      </x:c>
      <x:c r="C934" s="14" t="str">
        <x:v>ТОВАРИСТВО З ОБМЕЖЕНОЮ ВІДПОВІДАЛЬНІСТЮ ФІРМА "ЕНЕРГІЯ"
</x:v>
      </x:c>
      <x:c r="D934" s="14" t="str">
        <x:v>Підстанції / силові мережі</x:v>
      </x:c>
      <x:c r="E934" s="14" t="str">
        <x:v>Pilot now</x:v>
      </x:c>
      <x:c r="F934" s="17" t="str">
        <x:v>P2</x:v>
      </x:c>
      <x:c r="G934" s="14" t="str"/>
      <x:c r="H934" s="14" t="str">
        <x:v>Пілот зараз — Н.15 subset</x:v>
      </x:c>
      <x:c r="I934" s="16" t="n">
        <x:v>4</x:v>
      </x:c>
      <x:c r="J934" s="16" t="n">
        <x:v>5</x:v>
      </x:c>
      <x:c r="K934" s="16" t="n">
        <x:v>5</x:v>
      </x:c>
      <x:c r="L934" s="16" t="n">
        <x:v>5</x:v>
      </x:c>
      <x:c r="M934" s="16" t="n">
        <x:v>5</x:v>
      </x:c>
      <x:c r="N934" s="16" t="n">
        <x:v>5</x:v>
      </x:c>
      <x:c r="O934" s="16" t="n">
        <x:v>3</x:v>
      </x:c>
      <x:c r="P934" s="16" t="n">
        <x:f>IF(COUNT(I934:O934)&lt;7,"",I934*8+J934*3+K934*2+L934*2+M934*2+N934*2+O934)</x:f>
        <x:v>90</x:v>
      </x:c>
      <x:c r="Q934" s="16" t="n">
        <x:f>IF(COUNT(J934:O934)&lt;6,"",J934*5+K934*4+M934*4+L934*3+N934*2+O934*2)</x:f>
        <x:v>96</x:v>
      </x:c>
      <x:c r="R934" s="14" t="str">
        <x:v>high</x:v>
      </x:c>
      <x:c r="S934" s="14" t="str">
        <x:v>official_prozorro_award_2024_2026</x:v>
      </x:c>
      <x:c r="T934" s="14" t="str">
        <x:v>official_prozorro_api</x:v>
      </x:c>
      <x:c r="U934" s="14" t="str">
        <x:v>Не контактували</x:v>
      </x:c>
      <x:c r="V934" s="15" t="str">
        <x:v>Персоналізований free-pilot outreach по UA-2026-06-04-014139-a; попросити 1 пакет Н.14/Н.15</x:v>
      </x:c>
      <x:c r="W934" s="15" t="str">
        <x:v>Власник / директор; керівник ПТО; відповідальний за договори</x:v>
      </x:c>
      <x:c r="X934" s="15" t="str">
        <x:v>1 нових підтверджених перемог/договорів у Prozorro на 12 870 100 грн; 1 зі строком виконання не раніше 24.08.2026.</x:v>
      </x:c>
      <x:c r="Y934"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 строк до 2026-12-31. Попросити один знеособлений пакет здачі за цим workflow.</x:v>
      </x:c>
      <x:c r="Z934" s="15" t="str">
        <x:v>https://prozorro.gov.ua/tender/UA-2026-06-04-014139-a</x:v>
      </x:c>
      <x:c r="AA934" s="14" t="str">
        <x:v>23059622</x:v>
      </x:c>
      <x:c r="AB934" s="14" t="str">
        <x:v>2026-08-24</x:v>
      </x:c>
      <x:c r="AC934" s="14" t="str"/>
      <x:c r="AD934" s="20" t="str"/>
      <x:c r="AE934" s="14" t="str"/>
      <x:c r="AF934" s="14" t="n">
        <x:v>62</x:v>
      </x:c>
      <x:c r="AG934" s="14" t="str">
        <x:v>I2</x:v>
      </x:c>
      <x:c r="AH934" s="14" t="n">
        <x:v>1</x:v>
      </x:c>
      <x:c r="AI934" s="14" t="n">
        <x:v>1</x:v>
      </x:c>
      <x:c r="AJ934" s="18" t="n">
        <x:v>12870100.22</x:v>
      </x:c>
      <x:c r="AK934" s="14" t="str">
        <x:v>https://prozorro.gov.ua/tender/UA-2026-06-04-014139-a</x:v>
      </x:c>
      <x:c r="AL934" s="19" t="n">
        <x:v>46196.351273402775</x:v>
      </x:c>
      <x:c r="AM934" s="19" t="n">
        <x:v>46387</x:v>
      </x:c>
      <x:c r="AN934" s="15" t="str">
        <x:v>Підстанції / силові мережі</x:v>
      </x:c>
      <x:c r="AO934" s="15" t="str">
        <x:v>not_found_in_top_search</x:v>
      </x:c>
    </x:row>
    <x:row r="935">
      <x:c r="A935" s="14" t="str">
        <x:v>W4-116</x:v>
      </x:c>
      <x:c r="B935" s="14" t="str">
        <x:v>Prozorro expansion — 24.08</x:v>
      </x:c>
      <x:c r="C935" s="14" t="str">
        <x:v>ТОВ "ДНІПРО - БУДСЕРВІС"</x:v>
      </x:c>
      <x:c r="D935" s="14" t="str">
        <x:v>Фасади та скління</x:v>
      </x:c>
      <x:c r="E935" s="14" t="str">
        <x:v>Expansion discovery</x:v>
      </x:c>
      <x:c r="F935" s="17" t="str">
        <x:v>D2</x:v>
      </x:c>
      <x:c r="G935" s="14" t="str"/>
      <x:c r="H935" s="14" t="str">
        <x:v>Discovery розширення — 2 тижні</x:v>
      </x:c>
      <x:c r="I935" s="16" t="n">
        <x:v>1</x:v>
      </x:c>
      <x:c r="J935" s="16" t="n">
        <x:v>5</x:v>
      </x:c>
      <x:c r="K935" s="16" t="n">
        <x:v>5</x:v>
      </x:c>
      <x:c r="L935" s="16" t="n">
        <x:v>5</x:v>
      </x:c>
      <x:c r="M935" s="16" t="n">
        <x:v>5</x:v>
      </x:c>
      <x:c r="N935" s="16" t="n">
        <x:v>5</x:v>
      </x:c>
      <x:c r="O935" s="16" t="n">
        <x:v>3</x:v>
      </x:c>
      <x:c r="P935" s="16" t="n">
        <x:f>IF(COUNT(I935:O935)&lt;7,"",I935*8+J935*3+K935*2+L935*2+M935*2+N935*2+O935)</x:f>
        <x:v>66</x:v>
      </x:c>
      <x:c r="Q935" s="16" t="n">
        <x:f>IF(COUNT(J935:O935)&lt;6,"",J935*5+K935*4+M935*4+L935*3+N935*2+O935*2)</x:f>
        <x:v>96</x:v>
      </x:c>
      <x:c r="R935" s="14" t="str">
        <x:v>high</x:v>
      </x:c>
      <x:c r="S935" s="14" t="str">
        <x:v>official_prozorro_award_2024_2026</x:v>
      </x:c>
      <x:c r="T935" s="14" t="str">
        <x:v>official_prozorro_api</x:v>
      </x:c>
      <x:c r="U935" s="14" t="str">
        <x:v>Не контактували</x:v>
      </x:c>
      <x:c r="V935" s="15" t="str">
        <x:v>Workflow-audit outreach по UA-2026-05-25-013338-a; попросити 1 пакет здачі та вимоги проєкту</x:v>
      </x:c>
      <x:c r="W935" s="15" t="str">
        <x:v>Власник / директор; керівник ПТО; відповідальний за договори</x:v>
      </x:c>
      <x:c r="X935" s="15" t="str">
        <x:v>1 нових підтверджених перемог/договорів у Prozorro на 11 288 824 грн; 1 зі строком виконання не раніше 24.08.2026.</x:v>
      </x:c>
      <x:c r="Y935" s="15" t="str">
        <x:v>«Капітальний ремонт з утеплення фасадів житлової будівлі за адресою: вул. Нaбeрeжнa Заводська, буд. 143-А у м. Дніпрі» - заходи з енергозбереження; строк до 2027-12-31. Попросити один знеособлений пакет здачі за цим workflow.</x:v>
      </x:c>
      <x:c r="Z935" s="15" t="str">
        <x:v>https://prozorro.gov.ua/tender/UA-2026-05-25-013338-a</x:v>
      </x:c>
      <x:c r="AA935" s="14" t="str">
        <x:v>40594397</x:v>
      </x:c>
      <x:c r="AB935" s="14" t="str">
        <x:v>2026-08-24</x:v>
      </x:c>
      <x:c r="AC935" s="14" t="str"/>
      <x:c r="AD935" s="20" t="str"/>
      <x:c r="AE935" s="14" t="str"/>
      <x:c r="AF935" s="14" t="n">
        <x:v>62</x:v>
      </x:c>
      <x:c r="AG935" s="14" t="str">
        <x:v>I2</x:v>
      </x:c>
      <x:c r="AH935" s="14" t="n">
        <x:v>1</x:v>
      </x:c>
      <x:c r="AI935" s="14" t="n">
        <x:v>1</x:v>
      </x:c>
      <x:c r="AJ935" s="18" t="n">
        <x:v>11288824.29</x:v>
      </x:c>
      <x:c r="AK935" s="14" t="str">
        <x:v>https://prozorro.gov.ua/tender/UA-2026-05-25-013338-a</x:v>
      </x:c>
      <x:c r="AL935" s="19" t="n">
        <x:v>46182.38914377315</x:v>
      </x:c>
      <x:c r="AM935" s="19" t="n">
        <x:v>46752</x:v>
      </x:c>
      <x:c r="AN935" s="15" t="str">
        <x:v>Фасади та скління</x:v>
      </x:c>
      <x:c r="AO935" s="15" t="str">
        <x:v>not_found_in_top_search</x:v>
      </x:c>
    </x:row>
    <x:row r="936">
      <x:c r="A936" s="14" t="str">
        <x:v>W4-117</x:v>
      </x:c>
      <x:c r="B936" s="14" t="str">
        <x:v>Prozorro expansion — 24.08</x:v>
      </x:c>
      <x:c r="C936" s="14" t="str">
        <x:v>ТОВ "БУДІВЕЛЬНА КОМПАНІЯ "СТАНДАРТ ІНВЕСТ"</x:v>
      </x:c>
      <x:c r="D936" s="14" t="str">
        <x:v>Фасади та скління</x:v>
      </x:c>
      <x:c r="E936" s="14" t="str">
        <x:v>Expansion discovery</x:v>
      </x:c>
      <x:c r="F936" s="17" t="str">
        <x:v>D2</x:v>
      </x:c>
      <x:c r="G936" s="14" t="str"/>
      <x:c r="H936" s="14" t="str">
        <x:v>Discovery розширення — 2 тижні</x:v>
      </x:c>
      <x:c r="I936" s="16" t="n">
        <x:v>1</x:v>
      </x:c>
      <x:c r="J936" s="16" t="n">
        <x:v>5</x:v>
      </x:c>
      <x:c r="K936" s="16" t="n">
        <x:v>5</x:v>
      </x:c>
      <x:c r="L936" s="16" t="n">
        <x:v>5</x:v>
      </x:c>
      <x:c r="M936" s="16" t="n">
        <x:v>5</x:v>
      </x:c>
      <x:c r="N936" s="16" t="n">
        <x:v>5</x:v>
      </x:c>
      <x:c r="O936" s="16" t="n">
        <x:v>3</x:v>
      </x:c>
      <x:c r="P936" s="16" t="n">
        <x:f>IF(COUNT(I936:O936)&lt;7,"",I936*8+J936*3+K936*2+L936*2+M936*2+N936*2+O936)</x:f>
        <x:v>66</x:v>
      </x:c>
      <x:c r="Q936" s="16" t="n">
        <x:f>IF(COUNT(J936:O936)&lt;6,"",J936*5+K936*4+M936*4+L936*3+N936*2+O936*2)</x:f>
        <x:v>96</x:v>
      </x:c>
      <x:c r="R936" s="14" t="str">
        <x:v>high</x:v>
      </x:c>
      <x:c r="S936" s="14" t="str">
        <x:v>official_prozorro_award_2024_2026</x:v>
      </x:c>
      <x:c r="T936" s="14" t="str">
        <x:v>official_prozorro_api</x:v>
      </x:c>
      <x:c r="U936" s="14" t="str">
        <x:v>Не контактували</x:v>
      </x:c>
      <x:c r="V936" s="15" t="str">
        <x:v>Workflow-audit outreach по UA-2026-05-22-006255-a; попросити 1 пакет здачі та вимоги проєкту</x:v>
      </x:c>
      <x:c r="W936" s="15" t="str">
        <x:v>Власник / директор; керівник ПТО; відповідальний за договори</x:v>
      </x:c>
      <x:c r="X936" s="15" t="str">
        <x:v>1 нових підтверджених перемог/договорів у Prozorro на 10 712 686 грн; 1 зі строком виконання не раніше 24.08.2026.</x:v>
      </x:c>
      <x:c r="Y936" s="15" t="str">
        <x:v>"Капітальний ремонт з утеплення фасадів житлової будівлі за адресою: ж/м Пaрус, буд. 6 у м. Днiпрi" - заходи з енергозбереження; строк до 2027-12-31. Попросити один знеособлений пакет здачі за цим workflow.</x:v>
      </x:c>
      <x:c r="Z936" s="15" t="str">
        <x:v>https://prozorro.gov.ua/tender/UA-2026-05-22-006255-a</x:v>
      </x:c>
      <x:c r="AA936" s="14" t="str">
        <x:v>45651742</x:v>
      </x:c>
      <x:c r="AB936" s="14" t="str">
        <x:v>2026-08-24</x:v>
      </x:c>
      <x:c r="AC936" s="14" t="str"/>
      <x:c r="AD936" s="20" t="str"/>
      <x:c r="AE936" s="14" t="str"/>
      <x:c r="AF936" s="14" t="n">
        <x:v>62</x:v>
      </x:c>
      <x:c r="AG936" s="14" t="str">
        <x:v>I2</x:v>
      </x:c>
      <x:c r="AH936" s="14" t="n">
        <x:v>1</x:v>
      </x:c>
      <x:c r="AI936" s="14" t="n">
        <x:v>1</x:v>
      </x:c>
      <x:c r="AJ936" s="18" t="n">
        <x:v>10712686.16</x:v>
      </x:c>
      <x:c r="AK936" s="14" t="str">
        <x:v>https://prozorro.gov.ua/tender/UA-2026-05-22-006255-a</x:v>
      </x:c>
      <x:c r="AL936" s="19" t="n">
        <x:v>46182.43734564815</x:v>
      </x:c>
      <x:c r="AM936" s="19" t="n">
        <x:v>46752</x:v>
      </x:c>
      <x:c r="AN936" s="15" t="str">
        <x:v>Фасади та скління</x:v>
      </x:c>
      <x:c r="AO936" s="15" t="str">
        <x:v>not_found_in_top_search</x:v>
      </x:c>
    </x:row>
    <x:row r="937">
      <x:c r="A937" s="14" t="str">
        <x:v>W4-118</x:v>
      </x:c>
      <x:c r="B937" s="14" t="str">
        <x:v>Prozorro expansion — 24.08</x:v>
      </x:c>
      <x:c r="C937" s="14" t="str">
        <x:v>ЯКИМЧУК ОЛЕГ ВІКТОРОВИЧ</x:v>
      </x:c>
      <x:c r="D937" s="14" t="str">
        <x:v>Електромонтаж</x:v>
      </x:c>
      <x:c r="E937" s="14" t="str">
        <x:v>Pilot now</x:v>
      </x:c>
      <x:c r="F937" s="17" t="str">
        <x:v>P2</x:v>
      </x:c>
      <x:c r="G937" s="14" t="str"/>
      <x:c r="H937" s="14" t="str">
        <x:v>Пілот зараз — Н.15</x:v>
      </x:c>
      <x:c r="I937" s="16" t="n">
        <x:v>5</x:v>
      </x:c>
      <x:c r="J937" s="16" t="n">
        <x:v>5</x:v>
      </x:c>
      <x:c r="K937" s="16" t="n">
        <x:v>4</x:v>
      </x:c>
      <x:c r="L937" s="16" t="n">
        <x:v>1</x:v>
      </x:c>
      <x:c r="M937" s="16" t="n">
        <x:v>5</x:v>
      </x:c>
      <x:c r="N937" s="16" t="n">
        <x:v>3</x:v>
      </x:c>
      <x:c r="O937" s="16" t="n">
        <x:v>3</x:v>
      </x:c>
      <x:c r="P937" s="16" t="n">
        <x:f>IF(COUNT(I937:O937)&lt;7,"",I937*8+J937*3+K937*2+L937*2+M937*2+N937*2+O937)</x:f>
        <x:v>84</x:v>
      </x:c>
      <x:c r="Q937" s="16" t="n">
        <x:f>IF(COUNT(J937:O937)&lt;6,"",J937*5+K937*4+M937*4+L937*3+N937*2+O937*2)</x:f>
        <x:v>76</x:v>
      </x:c>
      <x:c r="R937" s="14" t="str">
        <x:v>high</x:v>
      </x:c>
      <x:c r="S937" s="14" t="str">
        <x:v>official_prozorro_award_2024_2026</x:v>
      </x:c>
      <x:c r="T937" s="14" t="str">
        <x:v>official_prozorro_api</x:v>
      </x:c>
      <x:c r="U937" s="14" t="str">
        <x:v>Не контактували</x:v>
      </x:c>
      <x:c r="V937" s="15" t="str">
        <x:v>Персоналізований free-pilot outreach по UA-2026-07-20-001774-a; попросити 1 пакет Н.14/Н.15</x:v>
      </x:c>
      <x:c r="W937" s="15" t="str">
        <x:v>Власник / виконавець; відповідальний за договір</x:v>
      </x:c>
      <x:c r="X937" s="15" t="str">
        <x:v>2 нових підтверджених перемог/договорів у Prozorro на 74 700 грн; 2 зі строком виконання не раніше 24.08.2026.</x:v>
      </x:c>
      <x:c r="Y937" s="15" t="str">
        <x:v>Електромонтажні роботи; строк до 2026-12-31. Попросити один знеособлений пакет здачі за цим workflow.</x:v>
      </x:c>
      <x:c r="Z937" s="15" t="str">
        <x:v>https://prozorro.gov.ua/tender/UA-2026-07-20-001774-a</x:v>
      </x:c>
      <x:c r="AA937" s="14" t="str">
        <x:v>2959416133</x:v>
      </x:c>
      <x:c r="AB937" s="14" t="str">
        <x:v>2026-08-24</x:v>
      </x:c>
      <x:c r="AC937" s="14" t="str"/>
      <x:c r="AD937" s="20" t="str"/>
      <x:c r="AE937" s="14" t="str"/>
      <x:c r="AF937" s="14" t="n">
        <x:v>62</x:v>
      </x:c>
      <x:c r="AG937" s="14" t="str">
        <x:v>I2</x:v>
      </x:c>
      <x:c r="AH937" s="14" t="n">
        <x:v>2</x:v>
      </x:c>
      <x:c r="AI937" s="14" t="n">
        <x:v>2</x:v>
      </x:c>
      <x:c r="AJ937" s="18" t="n">
        <x:v>74700</x:v>
      </x:c>
      <x:c r="AK937" s="14" t="str">
        <x:v>https://prozorro.gov.ua/tender/UA-2026-07-20-001774-a</x:v>
      </x:c>
      <x:c r="AL937" s="19" t="n">
        <x:v>46223.315741342594</x:v>
      </x:c>
      <x:c r="AM937" s="19" t="n">
        <x:v>46387</x:v>
      </x:c>
      <x:c r="AN937" s="15" t="str">
        <x:v>Електромонтаж</x:v>
      </x:c>
      <x:c r="AO937" s="15" t="str">
        <x:v>not_found_in_top_search</x:v>
      </x:c>
    </x:row>
    <x:row r="938">
      <x:c r="A938" s="14" t="str">
        <x:v>W4-119</x:v>
      </x:c>
      <x:c r="B938" s="14" t="str">
        <x:v>Prozorro expansion — 24.08</x:v>
      </x:c>
      <x:c r="C938" s="14" t="str">
        <x:v>Товариство з обмеженою відповідальністю "СПЕЦМОТАЖСЕРВІС К"</x:v>
      </x:c>
      <x:c r="D938" s="14" t="str">
        <x:v>Електромонтаж</x:v>
      </x:c>
      <x:c r="E938" s="14" t="str">
        <x:v>Pilot now</x:v>
      </x:c>
      <x:c r="F938" s="17" t="str">
        <x:v>P2</x:v>
      </x:c>
      <x:c r="G938" s="14" t="str"/>
      <x:c r="H938" s="14" t="str">
        <x:v>Пілот зараз — Н.15</x:v>
      </x:c>
      <x:c r="I938" s="16" t="n">
        <x:v>5</x:v>
      </x:c>
      <x:c r="J938" s="16" t="n">
        <x:v>5</x:v>
      </x:c>
      <x:c r="K938" s="16" t="n">
        <x:v>4</x:v>
      </x:c>
      <x:c r="L938" s="16" t="n">
        <x:v>1</x:v>
      </x:c>
      <x:c r="M938" s="16" t="n">
        <x:v>5</x:v>
      </x:c>
      <x:c r="N938" s="16" t="n">
        <x:v>5</x:v>
      </x:c>
      <x:c r="O938" s="16" t="n">
        <x:v>3</x:v>
      </x:c>
      <x:c r="P938" s="16" t="n">
        <x:f>IF(COUNT(I938:O938)&lt;7,"",I938*8+J938*3+K938*2+L938*2+M938*2+N938*2+O938)</x:f>
        <x:v>88</x:v>
      </x:c>
      <x:c r="Q938" s="16" t="n">
        <x:f>IF(COUNT(J938:O938)&lt;6,"",J938*5+K938*4+M938*4+L938*3+N938*2+O938*2)</x:f>
        <x:v>80</x:v>
      </x:c>
      <x:c r="R938" s="14" t="str">
        <x:v>high</x:v>
      </x:c>
      <x:c r="S938" s="14" t="str">
        <x:v>official_prozorro_award_2024_2026</x:v>
      </x:c>
      <x:c r="T938" s="14" t="str">
        <x:v>official_prozorro_api</x:v>
      </x:c>
      <x:c r="U938" s="14" t="str">
        <x:v>Не контактували</x:v>
      </x:c>
      <x:c r="V938" s="15" t="str">
        <x:v>Персоналізований free-pilot outreach по UA-2026-07-20-011438-a; попросити 1 пакет Н.14/Н.15</x:v>
      </x:c>
      <x:c r="W938" s="15" t="str">
        <x:v>Власник / директор; керівник ПТО; відповідальний за договори</x:v>
      </x:c>
      <x:c r="X938" s="15" t="str">
        <x:v>2 нових підтверджених перемог/договорів у Prozorro на 68 282 грн; 1 зі строком виконання не раніше 24.08.2026.</x:v>
      </x:c>
      <x:c r="Y938" s="15" t="str">
        <x:v>Електромонтажні роботи (підключення ДБЖ); строк до 2026-07-31. Попросити один знеособлений пакет здачі за цим workflow.</x:v>
      </x:c>
      <x:c r="Z938" s="15" t="str">
        <x:v>https://prozorro.gov.ua/tender/UA-2026-07-20-011438-a</x:v>
      </x:c>
      <x:c r="AA938" s="14" t="str">
        <x:v>39235474</x:v>
      </x:c>
      <x:c r="AB938" s="14" t="str">
        <x:v>2026-08-24</x:v>
      </x:c>
      <x:c r="AC938" s="14" t="str"/>
      <x:c r="AD938" s="20" t="str"/>
      <x:c r="AE938" s="14" t="str"/>
      <x:c r="AF938" s="14" t="n">
        <x:v>62</x:v>
      </x:c>
      <x:c r="AG938" s="14" t="str">
        <x:v>I2</x:v>
      </x:c>
      <x:c r="AH938" s="14" t="n">
        <x:v>2</x:v>
      </x:c>
      <x:c r="AI938" s="14" t="n">
        <x:v>1</x:v>
      </x:c>
      <x:c r="AJ938" s="18" t="n">
        <x:v>68282</x:v>
      </x:c>
      <x:c r="AK938" s="14" t="str">
        <x:v>https://prozorro.gov.ua/tender/UA-2026-07-20-011438-a</x:v>
      </x:c>
      <x:c r="AL938" s="19" t="n">
        <x:v>46223.82915002315</x:v>
      </x:c>
      <x:c r="AM938" s="19" t="n">
        <x:v>46234</x:v>
      </x:c>
      <x:c r="AN938" s="15" t="str">
        <x:v>Електромонтаж</x:v>
      </x:c>
      <x:c r="AO938" s="15" t="str">
        <x:v>not_found_in_top_search</x:v>
      </x:c>
    </x:row>
    <x:row r="939">
      <x:c r="A939" s="14" t="str">
        <x:v>W4-120</x:v>
      </x:c>
      <x:c r="B939" s="14" t="str">
        <x:v>Prozorro expansion — 24.08</x:v>
      </x:c>
      <x:c r="C939" s="14" t="str">
        <x:v>ЗАХОЖАЙ АНДРІЙ ОЛЕКСАНДРОВИЧ</x:v>
      </x:c>
      <x:c r="D939" s="14" t="str">
        <x:v>СКС / BMS / слаботочка</x:v>
      </x:c>
      <x:c r="E939" s="14" t="str">
        <x:v>Expansion discovery</x:v>
      </x:c>
      <x:c r="F939" s="17" t="str">
        <x:v>D2</x:v>
      </x:c>
      <x:c r="G939" s="14" t="str"/>
      <x:c r="H939" s="14" t="str">
        <x:v>Discovery розширення — 2 тижні</x:v>
      </x:c>
      <x:c r="I939" s="16" t="n">
        <x:v>2</x:v>
      </x:c>
      <x:c r="J939" s="16" t="n">
        <x:v>5</x:v>
      </x:c>
      <x:c r="K939" s="16" t="n">
        <x:v>4</x:v>
      </x:c>
      <x:c r="L939" s="16" t="n">
        <x:v>1</x:v>
      </x:c>
      <x:c r="M939" s="16" t="n">
        <x:v>5</x:v>
      </x:c>
      <x:c r="N939" s="16" t="n">
        <x:v>3</x:v>
      </x:c>
      <x:c r="O939" s="16" t="n">
        <x:v>3</x:v>
      </x:c>
      <x:c r="P939" s="16" t="n">
        <x:f>IF(COUNT(I939:O939)&lt;7,"",I939*8+J939*3+K939*2+L939*2+M939*2+N939*2+O939)</x:f>
        <x:v>60</x:v>
      </x:c>
      <x:c r="Q939" s="16" t="n">
        <x:f>IF(COUNT(J939:O939)&lt;6,"",J939*5+K939*4+M939*4+L939*3+N939*2+O939*2)</x:f>
        <x:v>76</x:v>
      </x:c>
      <x:c r="R939" s="14" t="str">
        <x:v>high</x:v>
      </x:c>
      <x:c r="S939" s="14" t="str">
        <x:v>official_prozorro_award_2024_2026</x:v>
      </x:c>
      <x:c r="T939" s="14" t="str">
        <x:v>official_prozorro_api</x:v>
      </x:c>
      <x:c r="U939" s="14" t="str">
        <x:v>Не контактували</x:v>
      </x:c>
      <x:c r="V939" s="15" t="str">
        <x:v>Workflow-audit outreach по UA-2026-08-12-006997-a; попросити 1 пакет здачі та вимоги проєкту</x:v>
      </x:c>
      <x:c r="W939" s="15" t="str">
        <x:v>Власник / виконавець; відповідальний за договір</x:v>
      </x:c>
      <x:c r="X939" s="15" t="str">
        <x:v>2 нових підтверджених перемог/договорів у Prozorro на 68 042 грн; 2 зі строком виконання не раніше 24.08.2026.</x:v>
      </x:c>
      <x:c r="Y939" s="15" t="str">
        <x:v>Послуги з монтажу (подовження) структурованої кабельної системи локальної мережі; строк до 2026-12-31. Попросити один знеособлений пакет здачі за цим workflow.</x:v>
      </x:c>
      <x:c r="Z939" s="15" t="str">
        <x:v>https://prozorro.gov.ua/tender/UA-2026-08-12-006997-a</x:v>
      </x:c>
      <x:c r="AA939" s="14" t="str">
        <x:v>2833015472</x:v>
      </x:c>
      <x:c r="AB939" s="14" t="str">
        <x:v>2026-08-24</x:v>
      </x:c>
      <x:c r="AC939" s="14" t="str"/>
      <x:c r="AD939" s="20" t="str"/>
      <x:c r="AE939" s="14" t="str"/>
      <x:c r="AF939" s="14" t="n">
        <x:v>62</x:v>
      </x:c>
      <x:c r="AG939" s="14" t="str">
        <x:v>I2</x:v>
      </x:c>
      <x:c r="AH939" s="14" t="n">
        <x:v>2</x:v>
      </x:c>
      <x:c r="AI939" s="14" t="n">
        <x:v>2</x:v>
      </x:c>
      <x:c r="AJ939" s="18" t="n">
        <x:v>68042</x:v>
      </x:c>
      <x:c r="AK939" s="14" t="str">
        <x:v>https://prozorro.gov.ua/tender/UA-2026-08-12-006997-a</x:v>
      </x:c>
      <x:c r="AL939" s="19" t="n">
        <x:v>46246.47007652778</x:v>
      </x:c>
      <x:c r="AM939" s="19" t="n">
        <x:v>46387</x:v>
      </x:c>
      <x:c r="AN939" s="15" t="str">
        <x:v>СКС / BMS / слаботочка</x:v>
      </x:c>
      <x:c r="AO939" s="15" t="str">
        <x:v>not_found_in_top_search</x:v>
      </x:c>
    </x:row>
    <x:row r="940">
      <x:c r="A940" s="14" t="str">
        <x:v>W4-121</x:v>
      </x:c>
      <x:c r="B940" s="14" t="str">
        <x:v>Prozorro expansion — 24.08</x:v>
      </x:c>
      <x:c r="C940" s="14" t="str">
        <x:v>Фізична особа-підприємець Панич Олександр Олександрович</x:v>
      </x:c>
      <x:c r="D940" s="14" t="str">
        <x:v>Фасади та скління</x:v>
      </x:c>
      <x:c r="E940" s="14" t="str">
        <x:v>Expansion discovery</x:v>
      </x:c>
      <x:c r="F940" s="17" t="str">
        <x:v>D2</x:v>
      </x:c>
      <x:c r="G940" s="14" t="str"/>
      <x:c r="H940" s="14" t="str">
        <x:v>Discovery розширення — 2 тижні</x:v>
      </x:c>
      <x:c r="I940" s="16" t="n">
        <x:v>1</x:v>
      </x:c>
      <x:c r="J940" s="16" t="n">
        <x:v>5</x:v>
      </x:c>
      <x:c r="K940" s="16" t="n">
        <x:v>5</x:v>
      </x:c>
      <x:c r="L940" s="16" t="n">
        <x:v>3</x:v>
      </x:c>
      <x:c r="M940" s="16" t="n">
        <x:v>5</x:v>
      </x:c>
      <x:c r="N940" s="16" t="n">
        <x:v>3</x:v>
      </x:c>
      <x:c r="O940" s="16" t="n">
        <x:v>3</x:v>
      </x:c>
      <x:c r="P940" s="16" t="n">
        <x:f>IF(COUNT(I940:O940)&lt;7,"",I940*8+J940*3+K940*2+L940*2+M940*2+N940*2+O940)</x:f>
        <x:v>58</x:v>
      </x:c>
      <x:c r="Q940" s="16" t="n">
        <x:f>IF(COUNT(J940:O940)&lt;6,"",J940*5+K940*4+M940*4+L940*3+N940*2+O940*2)</x:f>
        <x:v>86</x:v>
      </x:c>
      <x:c r="R940" s="14" t="str">
        <x:v>high</x:v>
      </x:c>
      <x:c r="S940" s="14" t="str">
        <x:v>official_prozorro_award_2024_2026</x:v>
      </x:c>
      <x:c r="T940" s="14" t="str">
        <x:v>official_prozorro_api</x:v>
      </x:c>
      <x:c r="U940" s="14" t="str">
        <x:v>Не контактували</x:v>
      </x:c>
      <x:c r="V940" s="15" t="str">
        <x:v>Workflow-audit outreach по UA-2026-06-03-014079-a; попросити 1 пакет здачі та вимоги проєкту</x:v>
      </x:c>
      <x:c r="W940" s="15" t="str">
        <x:v>Власник / виконавець; відповідальний за договір</x:v>
      </x:c>
      <x:c r="X940" s="15" t="str">
        <x:v>2 нових підтверджених перемог/договорів у Prozorro на 828 124 грн; 2 зі строком виконання не раніше 24.08.2026.</x:v>
      </x:c>
      <x:c r="Y940"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 строк до 2026-12-31. Попросити один знеособлений пакет здачі за цим workflow.</x:v>
      </x:c>
      <x:c r="Z940" s="15" t="str">
        <x:v>https://prozorro.gov.ua/tender/UA-2026-06-03-014079-a</x:v>
      </x:c>
      <x:c r="AA940" s="14" t="str">
        <x:v>2514306479</x:v>
      </x:c>
      <x:c r="AB940" s="14" t="str">
        <x:v>2026-08-24</x:v>
      </x:c>
      <x:c r="AC940" s="14" t="str"/>
      <x:c r="AD940" s="20" t="str"/>
      <x:c r="AE940" s="14" t="str"/>
      <x:c r="AF940" s="14" t="n">
        <x:v>61</x:v>
      </x:c>
      <x:c r="AG940" s="14" t="str">
        <x:v>I2</x:v>
      </x:c>
      <x:c r="AH940" s="14" t="n">
        <x:v>2</x:v>
      </x:c>
      <x:c r="AI940" s="14" t="n">
        <x:v>2</x:v>
      </x:c>
      <x:c r="AJ940" s="18" t="n">
        <x:v>828124</x:v>
      </x:c>
      <x:c r="AK940" s="14" t="str">
        <x:v>https://prozorro.gov.ua/tender/UA-2026-06-03-014079-a</x:v>
      </x:c>
      <x:c r="AL940" s="19" t="n">
        <x:v>46176.68069144676</x:v>
      </x:c>
      <x:c r="AM940" s="19" t="n">
        <x:v>46387</x:v>
      </x:c>
      <x:c r="AN940" s="15" t="str">
        <x:v>Фасади та скління</x:v>
      </x:c>
      <x:c r="AO940" s="15" t="str">
        <x:v>not_found_in_top_search</x:v>
      </x:c>
    </x:row>
    <x:row r="941">
      <x:c r="A941" s="14" t="str">
        <x:v>W4-122</x:v>
      </x:c>
      <x:c r="B941" s="14" t="str">
        <x:v>Prozorro expansion — 24.08</x:v>
      </x:c>
      <x:c r="C941" s="14" t="str">
        <x:v>ТзОВ "ІДАС"</x:v>
      </x:c>
      <x:c r="D941" s="14" t="str">
        <x:v>Водоочищення / очисні споруди</x:v>
      </x:c>
      <x:c r="E941" s="14" t="str">
        <x:v>Expansion discovery</x:v>
      </x:c>
      <x:c r="F941" s="17" t="str">
        <x:v>D2</x:v>
      </x:c>
      <x:c r="G941" s="14" t="str"/>
      <x:c r="H941" s="14" t="str">
        <x:v>Discovery розширення — 2 тижні</x:v>
      </x:c>
      <x:c r="I941" s="16" t="n">
        <x:v>1</x:v>
      </x:c>
      <x:c r="J941" s="16" t="n">
        <x:v>5</x:v>
      </x:c>
      <x:c r="K941" s="16" t="n">
        <x:v>4</x:v>
      </x:c>
      <x:c r="L941" s="16" t="n">
        <x:v>4</x:v>
      </x:c>
      <x:c r="M941" s="16" t="n">
        <x:v>5</x:v>
      </x:c>
      <x:c r="N941" s="16" t="n">
        <x:v>5</x:v>
      </x:c>
      <x:c r="O941" s="16" t="n">
        <x:v>3</x:v>
      </x:c>
      <x:c r="P941" s="16" t="n">
        <x:f>IF(COUNT(I941:O941)&lt;7,"",I941*8+J941*3+K941*2+L941*2+M941*2+N941*2+O941)</x:f>
        <x:v>62</x:v>
      </x:c>
      <x:c r="Q941" s="16" t="n">
        <x:f>IF(COUNT(J941:O941)&lt;6,"",J941*5+K941*4+M941*4+L941*3+N941*2+O941*2)</x:f>
        <x:v>89</x:v>
      </x:c>
      <x:c r="R941" s="14" t="str">
        <x:v>high</x:v>
      </x:c>
      <x:c r="S941" s="14" t="str">
        <x:v>official_prozorro_award_2024_2026</x:v>
      </x:c>
      <x:c r="T941" s="14" t="str">
        <x:v>official_prozorro_api</x:v>
      </x:c>
      <x:c r="U941" s="14" t="str">
        <x:v>Не контактували</x:v>
      </x:c>
      <x:c r="V941" s="15" t="str">
        <x:v>Workflow-audit outreach по UA-2026-03-05-003979-a; попросити 1 пакет здачі та вимоги проєкту</x:v>
      </x:c>
      <x:c r="W941" s="15" t="str">
        <x:v>Власник / директор; керівник ПТО; відповідальний за договори</x:v>
      </x:c>
      <x:c r="X941" s="15" t="str">
        <x:v>2 нових підтверджених перемог/договорів у Prozorro на 5 055 836 грн; 1 зі строком виконання не раніше 24.08.2026.</x:v>
      </x:c>
      <x:c r="Y941"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941" s="15" t="str">
        <x:v>https://prozorro.gov.ua/tender/UA-2026-03-05-003979-a</x:v>
      </x:c>
      <x:c r="AA941" s="14" t="str">
        <x:v>35676561</x:v>
      </x:c>
      <x:c r="AB941" s="14" t="str">
        <x:v>2026-08-24</x:v>
      </x:c>
      <x:c r="AC941" s="14" t="str"/>
      <x:c r="AD941" s="20" t="str"/>
      <x:c r="AE941" s="14" t="str"/>
      <x:c r="AF941" s="14" t="n">
        <x:v>60</x:v>
      </x:c>
      <x:c r="AG941" s="14" t="str">
        <x:v>I2</x:v>
      </x:c>
      <x:c r="AH941" s="14" t="n">
        <x:v>2</x:v>
      </x:c>
      <x:c r="AI941" s="14" t="n">
        <x:v>1</x:v>
      </x:c>
      <x:c r="AJ941" s="18" t="n">
        <x:v>5055836</x:v>
      </x:c>
      <x:c r="AK941" s="14" t="str">
        <x:v>https://prozorro.gov.ua/tender/UA-2026-03-05-003979-a</x:v>
      </x:c>
      <x:c r="AL941" s="19" t="n">
        <x:v>46086.3936946875</x:v>
      </x:c>
      <x:c r="AM941" s="19" t="n">
        <x:v>46387.380844907406</x:v>
      </x:c>
      <x:c r="AN941" s="15" t="str">
        <x:v>Водоочищення / очисні споруди</x:v>
      </x:c>
      <x:c r="AO941" s="15" t="str">
        <x:v>not_found_in_top_search</x:v>
      </x:c>
    </x:row>
    <x:row r="942">
      <x:c r="A942" s="14" t="str">
        <x:v>W4-123</x:v>
      </x:c>
      <x:c r="B942" s="14" t="str">
        <x:v>Prozorro expansion — 24.08</x:v>
      </x:c>
      <x:c r="C942" s="14" t="str">
        <x:v>ТОВ «ПАН ЮКРЕЙН БІЛДІНГ»</x:v>
      </x:c>
      <x:c r="D942" s="14" t="str">
        <x:v>Зовнішнє освітлення</x:v>
      </x:c>
      <x:c r="E942" s="14" t="str">
        <x:v>Pilot now</x:v>
      </x:c>
      <x:c r="F942" s="17" t="str">
        <x:v>P2</x:v>
      </x:c>
      <x:c r="G942" s="14" t="str"/>
      <x:c r="H942" s="14" t="str">
        <x:v>Пілот зараз — Н.15 subset</x:v>
      </x:c>
      <x:c r="I942" s="16" t="n">
        <x:v>4</x:v>
      </x:c>
      <x:c r="J942" s="16" t="n">
        <x:v>5</x:v>
      </x:c>
      <x:c r="K942" s="16" t="n">
        <x:v>4</x:v>
      </x:c>
      <x:c r="L942" s="16" t="n">
        <x:v>4</x:v>
      </x:c>
      <x:c r="M942" s="16" t="n">
        <x:v>5</x:v>
      </x:c>
      <x:c r="N942" s="16" t="n">
        <x:v>5</x:v>
      </x:c>
      <x:c r="O942" s="16" t="n">
        <x:v>3</x:v>
      </x:c>
      <x:c r="P942" s="16" t="n">
        <x:f>IF(COUNT(I942:O942)&lt;7,"",I942*8+J942*3+K942*2+L942*2+M942*2+N942*2+O942)</x:f>
        <x:v>86</x:v>
      </x:c>
      <x:c r="Q942" s="16" t="n">
        <x:f>IF(COUNT(J942:O942)&lt;6,"",J942*5+K942*4+M942*4+L942*3+N942*2+O942*2)</x:f>
        <x:v>89</x:v>
      </x:c>
      <x:c r="R942" s="14" t="str">
        <x:v>high</x:v>
      </x:c>
      <x:c r="S942" s="14" t="str">
        <x:v>official_prozorro_award_2024_2026</x:v>
      </x:c>
      <x:c r="T942" s="14" t="str">
        <x:v>official_prozorro_api</x:v>
      </x:c>
      <x:c r="U942" s="14" t="str">
        <x:v>Не контактували</x:v>
      </x:c>
      <x:c r="V942" s="15" t="str">
        <x:v>Персоналізований free-pilot outreach по UA-2026-04-15-009576-a; попросити 1 пакет Н.14/Н.15</x:v>
      </x:c>
      <x:c r="W942" s="15" t="str">
        <x:v>Власник / директор; керівник ПТО; відповідальний за договори</x:v>
      </x:c>
      <x:c r="X942" s="15" t="str">
        <x:v>2 нових підтверджених перемог/договорів у Prozorro на 2 780 033 грн; 2 зі строком виконання не раніше 24.08.2026.</x:v>
      </x:c>
      <x:c r="Y942"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 строк до 2026-12-31. Попросити один знеособлений пакет здачі за цим workflow.</x:v>
      </x:c>
      <x:c r="Z942" s="15" t="str">
        <x:v>https://prozorro.gov.ua/tender/UA-2026-04-15-009576-a</x:v>
      </x:c>
      <x:c r="AA942" s="14" t="str">
        <x:v>44660473</x:v>
      </x:c>
      <x:c r="AB942" s="14" t="str">
        <x:v>2026-08-24</x:v>
      </x:c>
      <x:c r="AC942" s="14" t="str"/>
      <x:c r="AD942" s="20" t="str"/>
      <x:c r="AE942" s="14" t="str"/>
      <x:c r="AF942" s="14" t="n">
        <x:v>60</x:v>
      </x:c>
      <x:c r="AG942" s="14" t="str">
        <x:v>I2</x:v>
      </x:c>
      <x:c r="AH942" s="14" t="n">
        <x:v>2</x:v>
      </x:c>
      <x:c r="AI942" s="14" t="n">
        <x:v>2</x:v>
      </x:c>
      <x:c r="AJ942" s="18" t="n">
        <x:v>2780033.36</x:v>
      </x:c>
      <x:c r="AK942" s="14" t="str">
        <x:v>https://prozorro.gov.ua/tender/UA-2026-04-15-009576-a</x:v>
      </x:c>
      <x:c r="AL942" s="19" t="n">
        <x:v>46127.51432056713</x:v>
      </x:c>
      <x:c r="AM942" s="19" t="n">
        <x:v>46387.556076388886</x:v>
      </x:c>
      <x:c r="AN942" s="15" t="str">
        <x:v>Зовнішнє освітлення</x:v>
      </x:c>
      <x:c r="AO942" s="15" t="str">
        <x:v>not_found_in_top_search</x:v>
      </x:c>
    </x:row>
    <x:row r="943">
      <x:c r="A943" s="14" t="str">
        <x:v>W4-124</x:v>
      </x:c>
      <x:c r="B943" s="14" t="str">
        <x:v>Prozorro expansion — 24.08</x:v>
      </x:c>
      <x:c r="C943" s="14" t="str">
        <x:v>ТОВ "ВОЛЬТАЖ ГРУП"</x:v>
      </x:c>
      <x:c r="D943" s="14" t="str">
        <x:v>Підстанції / силові мережі</x:v>
      </x:c>
      <x:c r="E943" s="14" t="str">
        <x:v>Pilot now</x:v>
      </x:c>
      <x:c r="F943" s="17" t="str">
        <x:v>P2</x:v>
      </x:c>
      <x:c r="G943" s="14" t="str">
        <x:v>voltageg.com</x:v>
      </x:c>
      <x:c r="H943" s="14" t="str">
        <x:v>Пілот зараз — Н.15 subset</x:v>
      </x:c>
      <x:c r="I943" s="16" t="n">
        <x:v>4</x:v>
      </x:c>
      <x:c r="J943" s="16" t="n">
        <x:v>5</x:v>
      </x:c>
      <x:c r="K943" s="16" t="n">
        <x:v>5</x:v>
      </x:c>
      <x:c r="L943" s="16" t="n">
        <x:v>3</x:v>
      </x:c>
      <x:c r="M943" s="16" t="n">
        <x:v>5</x:v>
      </x:c>
      <x:c r="N943" s="16" t="n">
        <x:v>5</x:v>
      </x:c>
      <x:c r="O943" s="16" t="n">
        <x:v>5</x:v>
      </x:c>
      <x:c r="P943" s="16" t="n">
        <x:f>IF(COUNT(I943:O943)&lt;7,"",I943*8+J943*3+K943*2+L943*2+M943*2+N943*2+O943)</x:f>
        <x:v>88</x:v>
      </x:c>
      <x:c r="Q943" s="16" t="n">
        <x:f>IF(COUNT(J943:O943)&lt;6,"",J943*5+K943*4+M943*4+L943*3+N943*2+O943*2)</x:f>
        <x:v>94</x:v>
      </x:c>
      <x:c r="R943" s="14" t="str">
        <x:v>high</x:v>
      </x:c>
      <x:c r="S943" s="14" t="str">
        <x:v>official_prozorro_award_2024_2026</x:v>
      </x:c>
      <x:c r="T943" s="14" t="str">
        <x:v>official_prozorro_api</x:v>
      </x:c>
      <x:c r="U943" s="14" t="str">
        <x:v>Не контактували</x:v>
      </x:c>
      <x:c r="V943" s="15" t="str">
        <x:v>Персоналізований free-pilot outreach по UA-2026-07-13-001954-a; попросити 1 пакет Н.14/Н.15</x:v>
      </x:c>
      <x:c r="W943" s="15" t="str">
        <x:v>Власник / директор; керівник ПТО; відповідальний за договори</x:v>
      </x:c>
      <x:c r="X943" s="15" t="str">
        <x:v>1 нових підтверджених перемог/договорів у Prozorro на 1 888 285 грн; 1 зі строком виконання не раніше 24.08.2026.</x:v>
      </x:c>
      <x:c r="Y943"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 строк до 2026-12-31. Попросити один знеособлений пакет здачі за цим workflow.</x:v>
      </x:c>
      <x:c r="Z943" s="15" t="str">
        <x:v>https://prozorro.gov.ua/tender/UA-2026-07-13-001954-a</x:v>
      </x:c>
      <x:c r="AA943" s="14" t="str">
        <x:v>36685404</x:v>
      </x:c>
      <x:c r="AB943" s="14" t="str">
        <x:v>2026-08-24</x:v>
      </x:c>
      <x:c r="AC943" s="14" t="str"/>
      <x:c r="AD943" s="20" t="str"/>
      <x:c r="AE943" s="14" t="str"/>
      <x:c r="AF943" s="14" t="n">
        <x:v>60</x:v>
      </x:c>
      <x:c r="AG943" s="14" t="str">
        <x:v>I2</x:v>
      </x:c>
      <x:c r="AH943" s="14" t="n">
        <x:v>1</x:v>
      </x:c>
      <x:c r="AI943" s="14" t="n">
        <x:v>1</x:v>
      </x:c>
      <x:c r="AJ943" s="18" t="n">
        <x:v>1888285</x:v>
      </x:c>
      <x:c r="AK943" s="14" t="str">
        <x:v>https://prozorro.gov.ua/tender/UA-2026-07-13-001954-a</x:v>
      </x:c>
      <x:c r="AL943" s="19" t="n">
        <x:v>46237.37735952546</x:v>
      </x:c>
      <x:c r="AM943" s="19" t="n">
        <x:v>46387</x:v>
      </x:c>
      <x:c r="AN943" s="15" t="str">
        <x:v>Підстанції / силові мережі</x:v>
      </x:c>
      <x:c r="AO943" s="15" t="str">
        <x:v>supplier_provided_url</x:v>
      </x:c>
    </x:row>
    <x:row r="944">
      <x:c r="A944" s="14" t="str">
        <x:v>W4-125</x:v>
      </x:c>
      <x:c r="B944" s="14" t="str">
        <x:v>Prozorro expansion — 24.08</x:v>
      </x:c>
      <x:c r="C944" s="14" t="str">
        <x:v>ТОВ "КРАЇНА БУДСЕРВІС"</x:v>
      </x:c>
      <x:c r="D944" s="14" t="str">
        <x:v>Фасади та скління</x:v>
      </x:c>
      <x:c r="E944" s="14" t="str">
        <x:v>Expansion discovery</x:v>
      </x:c>
      <x:c r="F944" s="17" t="str">
        <x:v>D2</x:v>
      </x:c>
      <x:c r="G944" s="14" t="str"/>
      <x:c r="H944" s="14" t="str">
        <x:v>Discovery розширення — 2 тижні</x:v>
      </x:c>
      <x:c r="I944" s="16" t="n">
        <x:v>1</x:v>
      </x:c>
      <x:c r="J944" s="16" t="n">
        <x:v>5</x:v>
      </x:c>
      <x:c r="K944" s="16" t="n">
        <x:v>5</x:v>
      </x:c>
      <x:c r="L944" s="16" t="n">
        <x:v>3</x:v>
      </x:c>
      <x:c r="M944" s="16" t="n">
        <x:v>5</x:v>
      </x:c>
      <x:c r="N944" s="16" t="n">
        <x:v>5</x:v>
      </x:c>
      <x:c r="O944" s="16" t="n">
        <x:v>3</x:v>
      </x:c>
      <x:c r="P944" s="16" t="n">
        <x:f>IF(COUNT(I944:O944)&lt;7,"",I944*8+J944*3+K944*2+L944*2+M944*2+N944*2+O944)</x:f>
        <x:v>62</x:v>
      </x:c>
      <x:c r="Q944" s="16" t="n">
        <x:f>IF(COUNT(J944:O944)&lt;6,"",J944*5+K944*4+M944*4+L944*3+N944*2+O944*2)</x:f>
        <x:v>90</x:v>
      </x:c>
      <x:c r="R944" s="14" t="str">
        <x:v>high</x:v>
      </x:c>
      <x:c r="S944" s="14" t="str">
        <x:v>official_prozorro_award_2024_2026</x:v>
      </x:c>
      <x:c r="T944" s="14" t="str">
        <x:v>official_prozorro_api</x:v>
      </x:c>
      <x:c r="U944" s="14" t="str">
        <x:v>Не контактували</x:v>
      </x:c>
      <x:c r="V944" s="15" t="str">
        <x:v>Workflow-audit outreach по UA-2026-07-28-004847-a; попросити 1 пакет здачі та вимоги проєкту</x:v>
      </x:c>
      <x:c r="W944" s="15" t="str">
        <x:v>Власник / директор; керівник ПТО; відповідальний за договори</x:v>
      </x:c>
      <x:c r="X944" s="15" t="str">
        <x:v>1 нових підтверджених перемог/договорів у Prozorro на 1 619 220 грн; 1 зі строком виконання не раніше 24.08.2026.</x:v>
      </x:c>
      <x:c r="Y944"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 строк до 2026-12-31. Попросити один знеособлений пакет здачі за цим workflow.</x:v>
      </x:c>
      <x:c r="Z944" s="15" t="str">
        <x:v>https://prozorro.gov.ua/tender/UA-2026-07-28-004847-a</x:v>
      </x:c>
      <x:c r="AA944" s="14" t="str">
        <x:v>42141004</x:v>
      </x:c>
      <x:c r="AB944" s="14" t="str">
        <x:v>2026-08-24</x:v>
      </x:c>
      <x:c r="AC944" s="14" t="str"/>
      <x:c r="AD944" s="20" t="str"/>
      <x:c r="AE944" s="14" t="str"/>
      <x:c r="AF944" s="14" t="n">
        <x:v>60</x:v>
      </x:c>
      <x:c r="AG944" s="14" t="str">
        <x:v>I2</x:v>
      </x:c>
      <x:c r="AH944" s="14" t="n">
        <x:v>1</x:v>
      </x:c>
      <x:c r="AI944" s="14" t="n">
        <x:v>1</x:v>
      </x:c>
      <x:c r="AJ944" s="18" t="n">
        <x:v>1619219.72</x:v>
      </x:c>
      <x:c r="AK944" s="14" t="str">
        <x:v>https://prozorro.gov.ua/tender/UA-2026-07-28-004847-a</x:v>
      </x:c>
      <x:c r="AL944" s="19" t="n">
        <x:v>46241.38702224537</x:v>
      </x:c>
      <x:c r="AM944" s="19" t="n">
        <x:v>46387.42690972222</x:v>
      </x:c>
      <x:c r="AN944" s="15" t="str">
        <x:v>Фасади та скління</x:v>
      </x:c>
      <x:c r="AO944" s="15" t="str">
        <x:v>not_found_in_top_search</x:v>
      </x:c>
    </x:row>
    <x:row r="945">
      <x:c r="A945" s="14" t="str">
        <x:v>W4-126</x:v>
      </x:c>
      <x:c r="B945" s="14" t="str">
        <x:v>Prozorro expansion — 24.08</x:v>
      </x:c>
      <x:c r="C945" s="14" t="str">
        <x:v>ТОВАРИСТВО З ОБМЕЖЕНОЮ ВІДПОВІДАЛЬНІСТЮ "БУДІВЕЛЬНА ПЕРСПЕКТИВА"</x:v>
      </x:c>
      <x:c r="D945" s="14" t="str">
        <x:v>Пожежогасіння</x:v>
      </x:c>
      <x:c r="E945" s="14" t="str">
        <x:v>Expansion discovery</x:v>
      </x:c>
      <x:c r="F945" s="17" t="str">
        <x:v>D2</x:v>
      </x:c>
      <x:c r="G945" s="14" t="str"/>
      <x:c r="H945" s="14" t="str">
        <x:v>Discovery розширення — 2 тижні</x:v>
      </x:c>
      <x:c r="I945" s="16" t="n">
        <x:v>1</x:v>
      </x:c>
      <x:c r="J945" s="16" t="n">
        <x:v>5</x:v>
      </x:c>
      <x:c r="K945" s="16" t="n">
        <x:v>5</x:v>
      </x:c>
      <x:c r="L945" s="16" t="n">
        <x:v>3</x:v>
      </x:c>
      <x:c r="M945" s="16" t="n">
        <x:v>5</x:v>
      </x:c>
      <x:c r="N945" s="16" t="n">
        <x:v>5</x:v>
      </x:c>
      <x:c r="O945" s="16" t="n">
        <x:v>3</x:v>
      </x:c>
      <x:c r="P945" s="16" t="n">
        <x:f>IF(COUNT(I945:O945)&lt;7,"",I945*8+J945*3+K945*2+L945*2+M945*2+N945*2+O945)</x:f>
        <x:v>62</x:v>
      </x:c>
      <x:c r="Q945" s="16" t="n">
        <x:f>IF(COUNT(J945:O945)&lt;6,"",J945*5+K945*4+M945*4+L945*3+N945*2+O945*2)</x:f>
        <x:v>90</x:v>
      </x:c>
      <x:c r="R945" s="14" t="str">
        <x:v>high</x:v>
      </x:c>
      <x:c r="S945" s="14" t="str">
        <x:v>official_prozorro_award_2024_2026</x:v>
      </x:c>
      <x:c r="T945" s="14" t="str">
        <x:v>official_prozorro_api</x:v>
      </x:c>
      <x:c r="U945" s="14" t="str">
        <x:v>Не контактували</x:v>
      </x:c>
      <x:c r="V945" s="15" t="str">
        <x:v>Workflow-audit outreach по UA-2026-06-16-013340-a; попросити 1 пакет здачі та вимоги проєкту</x:v>
      </x:c>
      <x:c r="W945" s="15" t="str">
        <x:v>Власник / директор; керівник ПТО; відповідальний за договори</x:v>
      </x:c>
      <x:c r="X945" s="15" t="str">
        <x:v>1 нових підтверджених перемог/договорів у Prozorro на 1 499 900 грн; 1 зі строком виконання не раніше 24.08.2026.</x:v>
      </x:c>
      <x:c r="Y945"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 строк до 2026-10-30. Попросити один знеособлений пакет здачі за цим workflow.</x:v>
      </x:c>
      <x:c r="Z945" s="15" t="str">
        <x:v>https://prozorro.gov.ua/tender/UA-2026-06-16-013340-a</x:v>
      </x:c>
      <x:c r="AA945" s="14" t="str">
        <x:v>45068069</x:v>
      </x:c>
      <x:c r="AB945" s="14" t="str">
        <x:v>2026-08-24</x:v>
      </x:c>
      <x:c r="AC945" s="14" t="str"/>
      <x:c r="AD945" s="20" t="str"/>
      <x:c r="AE945" s="14" t="str"/>
      <x:c r="AF945" s="14" t="n">
        <x:v>60</x:v>
      </x:c>
      <x:c r="AG945" s="14" t="str">
        <x:v>I2</x:v>
      </x:c>
      <x:c r="AH945" s="14" t="n">
        <x:v>1</x:v>
      </x:c>
      <x:c r="AI945" s="14" t="n">
        <x:v>1</x:v>
      </x:c>
      <x:c r="AJ945" s="18" t="n">
        <x:v>1499900</x:v>
      </x:c>
      <x:c r="AK945" s="14" t="str">
        <x:v>https://prozorro.gov.ua/tender/UA-2026-06-16-013340-a</x:v>
      </x:c>
      <x:c r="AL945" s="19" t="n">
        <x:v>46219.37161141204</x:v>
      </x:c>
      <x:c r="AM945" s="19" t="n">
        <x:v>46325.62451388889</x:v>
      </x:c>
      <x:c r="AN945" s="15" t="str">
        <x:v>Пожежогасіння</x:v>
      </x:c>
      <x:c r="AO945" s="15" t="str">
        <x:v>not_found_in_top_search</x:v>
      </x:c>
    </x:row>
    <x:row r="946">
      <x:c r="A946" s="14" t="str">
        <x:v>W4-127</x:v>
      </x:c>
      <x:c r="B946" s="14" t="str">
        <x:v>Prozorro expansion — 24.08</x:v>
      </x:c>
      <x:c r="C946" s="14" t="str">
        <x:v>Мале підприємство «Каскад»</x:v>
      </x:c>
      <x:c r="D946" s="14" t="str">
        <x:v>Дорожні роботи</x:v>
      </x:c>
      <x:c r="E946" s="14" t="str">
        <x:v>Expansion discovery</x:v>
      </x:c>
      <x:c r="F946" s="17" t="str">
        <x:v>D2</x:v>
      </x:c>
      <x:c r="G946" s="14" t="str"/>
      <x:c r="H946" s="14" t="str">
        <x:v>Discovery розширення — 2 тижні</x:v>
      </x:c>
      <x:c r="I946" s="16" t="n">
        <x:v>1</x:v>
      </x:c>
      <x:c r="J946" s="16" t="n">
        <x:v>5</x:v>
      </x:c>
      <x:c r="K946" s="16" t="n">
        <x:v>4</x:v>
      </x:c>
      <x:c r="L946" s="16" t="n">
        <x:v>3</x:v>
      </x:c>
      <x:c r="M946" s="16" t="n">
        <x:v>5</x:v>
      </x:c>
      <x:c r="N946" s="16" t="n">
        <x:v>5</x:v>
      </x:c>
      <x:c r="O946" s="16" t="n">
        <x:v>3</x:v>
      </x:c>
      <x:c r="P946" s="16" t="n">
        <x:f>IF(COUNT(I946:O946)&lt;7,"",I946*8+J946*3+K946*2+L946*2+M946*2+N946*2+O946)</x:f>
        <x:v>60</x:v>
      </x:c>
      <x:c r="Q946" s="16" t="n">
        <x:f>IF(COUNT(J946:O946)&lt;6,"",J946*5+K946*4+M946*4+L946*3+N946*2+O946*2)</x:f>
        <x:v>86</x:v>
      </x:c>
      <x:c r="R946" s="14" t="str">
        <x:v>high</x:v>
      </x:c>
      <x:c r="S946" s="14" t="str">
        <x:v>official_prozorro_award_2024_2026</x:v>
      </x:c>
      <x:c r="T946" s="14" t="str">
        <x:v>official_prozorro_api</x:v>
      </x:c>
      <x:c r="U946" s="14" t="str">
        <x:v>Не контактували</x:v>
      </x:c>
      <x:c r="V946" s="15" t="str">
        <x:v>Workflow-audit outreach по UA-2026-08-19-008944-a; попросити 1 пакет здачі та вимоги проєкту</x:v>
      </x:c>
      <x:c r="W946" s="15" t="str">
        <x:v>Власник / директор; керівник ПТО; відповідальний за договори</x:v>
      </x:c>
      <x:c r="X946" s="15" t="str">
        <x:v>1 нових підтверджених перемог/договорів у Prozorro на 1 498 803 грн; 1 зі строком виконання не раніше 24.08.2026.</x:v>
      </x:c>
      <x:c r="Y946" s="15" t="str">
        <x:v>Капітальний ремонт твердого дорожнього покриття на території Східного РЕМ ПрАТ «Львівобленерго» в м. Броди; строк до 2026-12-31. Попросити один знеособлений пакет здачі за цим workflow.</x:v>
      </x:c>
      <x:c r="Z946" s="15" t="str">
        <x:v>https://prozorro.gov.ua/tender/UA-2026-08-19-008944-a</x:v>
      </x:c>
      <x:c r="AA946" s="14" t="str">
        <x:v>06953617</x:v>
      </x:c>
      <x:c r="AB946" s="14" t="str">
        <x:v>2026-08-24</x:v>
      </x:c>
      <x:c r="AC946" s="14" t="str"/>
      <x:c r="AD946" s="20" t="str"/>
      <x:c r="AE946" s="14" t="str"/>
      <x:c r="AF946" s="14" t="n">
        <x:v>60</x:v>
      </x:c>
      <x:c r="AG946" s="14" t="str">
        <x:v>I2</x:v>
      </x:c>
      <x:c r="AH946" s="14" t="n">
        <x:v>1</x:v>
      </x:c>
      <x:c r="AI946" s="14" t="n">
        <x:v>1</x:v>
      </x:c>
      <x:c r="AJ946" s="18" t="n">
        <x:v>1498803.38</x:v>
      </x:c>
      <x:c r="AK946" s="14" t="str">
        <x:v>https://prozorro.gov.ua/tender/UA-2026-08-19-008944-a</x:v>
      </x:c>
      <x:c r="AL946" s="19" t="n">
        <x:v>46253.499517118056</x:v>
      </x:c>
      <x:c r="AM946" s="19" t="n">
        <x:v>46387.54146990741</x:v>
      </x:c>
      <x:c r="AN946" s="15" t="str">
        <x:v>Дорожні роботи</x:v>
      </x:c>
      <x:c r="AO946" s="15" t="str">
        <x:v>not_found_in_top_search</x:v>
      </x:c>
    </x:row>
    <x:row r="947">
      <x:c r="A947" s="14" t="str">
        <x:v>W4-128</x:v>
      </x:c>
      <x:c r="B947" s="14" t="str">
        <x:v>Prozorro expansion — 24.08</x:v>
      </x:c>
      <x:c r="C947" s="14" t="str">
        <x:v>АКЦІОНЕРНЕ ТОВАРИСТВО "ДТЕК ДНІПРОВСЬКІ ЕЛЕКТРОМЕРЕЖІ"</x:v>
      </x:c>
      <x:c r="D947" s="14" t="str">
        <x:v>Електромонтаж</x:v>
      </x:c>
      <x:c r="E947" s="14" t="str">
        <x:v>Pilot now</x:v>
      </x:c>
      <x:c r="F947" s="17" t="str">
        <x:v>P2</x:v>
      </x:c>
      <x:c r="G947" s="14" t="str"/>
      <x:c r="H947" s="14" t="str">
        <x:v>Пілот зараз — Н.15</x:v>
      </x:c>
      <x:c r="I947" s="16" t="n">
        <x:v>5</x:v>
      </x:c>
      <x:c r="J947" s="16" t="n">
        <x:v>5</x:v>
      </x:c>
      <x:c r="K947" s="16" t="n">
        <x:v>4</x:v>
      </x:c>
      <x:c r="L947" s="16" t="n">
        <x:v>3</x:v>
      </x:c>
      <x:c r="M947" s="16" t="n">
        <x:v>5</x:v>
      </x:c>
      <x:c r="N947" s="16" t="n">
        <x:v>5</x:v>
      </x:c>
      <x:c r="O947" s="16" t="n">
        <x:v>3</x:v>
      </x:c>
      <x:c r="P947" s="16" t="n">
        <x:f>IF(COUNT(I947:O947)&lt;7,"",I947*8+J947*3+K947*2+L947*2+M947*2+N947*2+O947)</x:f>
        <x:v>92</x:v>
      </x:c>
      <x:c r="Q947" s="16" t="n">
        <x:f>IF(COUNT(J947:O947)&lt;6,"",J947*5+K947*4+M947*4+L947*3+N947*2+O947*2)</x:f>
        <x:v>86</x:v>
      </x:c>
      <x:c r="R947" s="14" t="str">
        <x:v>high</x:v>
      </x:c>
      <x:c r="S947" s="14" t="str">
        <x:v>official_prozorro_award_2024_2026</x:v>
      </x:c>
      <x:c r="T947" s="14" t="str">
        <x:v>official_prozorro_api</x:v>
      </x:c>
      <x:c r="U947" s="14" t="str">
        <x:v>Не контактували</x:v>
      </x:c>
      <x:c r="V947" s="15" t="str">
        <x:v>Персоналізований free-pilot outreach по UA-2026-08-14-009806-a; попросити 1 пакет Н.14/Н.15</x:v>
      </x:c>
      <x:c r="W947" s="15" t="str">
        <x:v>Власник / директор; керівник ПТО; відповідальний за договори</x:v>
      </x:c>
      <x:c r="X947" s="15" t="str">
        <x:v>1 нових підтверджених перемог/договорів у Prozorro на 1 434 614 грн; 1 зі строком виконання не раніше 24.08.2026.</x:v>
      </x:c>
      <x:c r="Y947" s="15" t="str">
        <x:v>ДК 021:2015: 45310000-3 Електромонтажні роботи; строк до 2027-08-12. Попросити один знеособлений пакет здачі за цим workflow.</x:v>
      </x:c>
      <x:c r="Z947" s="15" t="str">
        <x:v>https://prozorro.gov.ua/tender/UA-2026-08-14-009806-a</x:v>
      </x:c>
      <x:c r="AA947" s="14" t="str">
        <x:v>23359034</x:v>
      </x:c>
      <x:c r="AB947" s="14" t="str">
        <x:v>2026-08-24</x:v>
      </x:c>
      <x:c r="AC947" s="14" t="str"/>
      <x:c r="AD947" s="20" t="str"/>
      <x:c r="AE947" s="14" t="str"/>
      <x:c r="AF947" s="14" t="n">
        <x:v>60</x:v>
      </x:c>
      <x:c r="AG947" s="14" t="str">
        <x:v>I2</x:v>
      </x:c>
      <x:c r="AH947" s="14" t="n">
        <x:v>1</x:v>
      </x:c>
      <x:c r="AI947" s="14" t="n">
        <x:v>1</x:v>
      </x:c>
      <x:c r="AJ947" s="18" t="n">
        <x:v>1434614.4</x:v>
      </x:c>
      <x:c r="AK947" s="14" t="str">
        <x:v>https://prozorro.gov.ua/tender/UA-2026-08-14-009806-a</x:v>
      </x:c>
      <x:c r="AL947" s="19" t="n">
        <x:v>46248.52846707176</x:v>
      </x:c>
      <x:c r="AM947" s="19" t="n">
        <x:v>46611</x:v>
      </x:c>
      <x:c r="AN947" s="15" t="str">
        <x:v>Електромонтаж</x:v>
      </x:c>
      <x:c r="AO947" s="15" t="str">
        <x:v>not_found_in_top_search</x:v>
      </x:c>
    </x:row>
    <x:row r="948">
      <x:c r="A948" s="14" t="str">
        <x:v>W4-129</x:v>
      </x:c>
      <x:c r="B948" s="14" t="str">
        <x:v>Prozorro expansion — 24.08</x:v>
      </x:c>
      <x:c r="C948" s="14" t="str">
        <x:v>ТОВАРИСТВО З ОБМЕЖЕНОЮ ВІДПОВІДАЛЬНІСТЮ "ДОРОС ЛТД"</x:v>
      </x:c>
      <x:c r="D948" s="14" t="str">
        <x:v>Дорожні роботи</x:v>
      </x:c>
      <x:c r="E948" s="14" t="str">
        <x:v>Expansion discovery</x:v>
      </x:c>
      <x:c r="F948" s="17" t="str">
        <x:v>D2</x:v>
      </x:c>
      <x:c r="G948" s="14" t="str"/>
      <x:c r="H948" s="14" t="str">
        <x:v>Discovery розширення — 2 тижні</x:v>
      </x:c>
      <x:c r="I948" s="16" t="n">
        <x:v>1</x:v>
      </x:c>
      <x:c r="J948" s="16" t="n">
        <x:v>5</x:v>
      </x:c>
      <x:c r="K948" s="16" t="n">
        <x:v>4</x:v>
      </x:c>
      <x:c r="L948" s="16" t="n">
        <x:v>3</x:v>
      </x:c>
      <x:c r="M948" s="16" t="n">
        <x:v>5</x:v>
      </x:c>
      <x:c r="N948" s="16" t="n">
        <x:v>5</x:v>
      </x:c>
      <x:c r="O948" s="16" t="n">
        <x:v>3</x:v>
      </x:c>
      <x:c r="P948" s="16" t="n">
        <x:f>IF(COUNT(I948:O948)&lt;7,"",I948*8+J948*3+K948*2+L948*2+M948*2+N948*2+O948)</x:f>
        <x:v>60</x:v>
      </x:c>
      <x:c r="Q948" s="16" t="n">
        <x:f>IF(COUNT(J948:O948)&lt;6,"",J948*5+K948*4+M948*4+L948*3+N948*2+O948*2)</x:f>
        <x:v>86</x:v>
      </x:c>
      <x:c r="R948" s="14" t="str">
        <x:v>high</x:v>
      </x:c>
      <x:c r="S948" s="14" t="str">
        <x:v>official_prozorro_award_2024_2026</x:v>
      </x:c>
      <x:c r="T948" s="14" t="str">
        <x:v>official_prozorro_api</x:v>
      </x:c>
      <x:c r="U948" s="14" t="str">
        <x:v>Не контактували</x:v>
      </x:c>
      <x:c r="V948" s="15" t="str">
        <x:v>Workflow-audit outreach по UA-2026-08-06-012166-a; попросити 1 пакет здачі та вимоги проєкту</x:v>
      </x:c>
      <x:c r="W948" s="15" t="str">
        <x:v>Власник / директор; керівник ПТО; відповідальний за договори</x:v>
      </x:c>
      <x:c r="X948" s="15" t="str">
        <x:v>1 нових підтверджених перемог/договорів у Prozorro на 1 388 965 грн; 1 зі строком виконання не раніше 24.08.2026.</x:v>
      </x:c>
      <x:c r="Y948" s="15" t="str">
        <x:v>Капітальний ремонт дорожнього покриття по вул. Шкільна,7 в с.Августівка Одеського району Одеської області; строк до 2026-12-31. Попросити один знеособлений пакет здачі за цим workflow.</x:v>
      </x:c>
      <x:c r="Z948" s="15" t="str">
        <x:v>https://prozorro.gov.ua/tender/UA-2026-08-06-012166-a</x:v>
      </x:c>
      <x:c r="AA948" s="14" t="str">
        <x:v>41363104</x:v>
      </x:c>
      <x:c r="AB948" s="14" t="str">
        <x:v>2026-08-24</x:v>
      </x:c>
      <x:c r="AC948" s="14" t="str"/>
      <x:c r="AD948" s="20" t="str"/>
      <x:c r="AE948" s="14" t="str"/>
      <x:c r="AF948" s="14" t="n">
        <x:v>60</x:v>
      </x:c>
      <x:c r="AG948" s="14" t="str">
        <x:v>I2</x:v>
      </x:c>
      <x:c r="AH948" s="14" t="n">
        <x:v>1</x:v>
      </x:c>
      <x:c r="AI948" s="14" t="n">
        <x:v>1</x:v>
      </x:c>
      <x:c r="AJ948" s="18" t="n">
        <x:v>1388964.79</x:v>
      </x:c>
      <x:c r="AK948" s="14" t="str">
        <x:v>https://prozorro.gov.ua/tender/UA-2026-08-06-012166-a</x:v>
      </x:c>
      <x:c r="AL948" s="19" t="n">
        <x:v>46240.78557736111</x:v>
      </x:c>
      <x:c r="AM948" s="19" t="n">
        <x:v>46387</x:v>
      </x:c>
      <x:c r="AN948" s="15" t="str">
        <x:v>Дорожні роботи</x:v>
      </x:c>
      <x:c r="AO948" s="15" t="str">
        <x:v>not_found_in_top_search</x:v>
      </x:c>
    </x:row>
    <x:row r="949">
      <x:c r="A949" s="14" t="str">
        <x:v>W4-130</x:v>
      </x:c>
      <x:c r="B949" s="14" t="str">
        <x:v>Prozorro expansion — 24.08</x:v>
      </x:c>
      <x:c r="C949" s="14" t="str">
        <x:v>Науково-виробнича приватна фірма "Альба-сек'юріті"</x:v>
      </x:c>
      <x:c r="D949" s="14" t="str">
        <x:v>Пожежогасіння</x:v>
      </x:c>
      <x:c r="E949" s="14" t="str">
        <x:v>Expansion discovery</x:v>
      </x:c>
      <x:c r="F949" s="17" t="str">
        <x:v>D2</x:v>
      </x:c>
      <x:c r="G949" s="14" t="str"/>
      <x:c r="H949" s="14" t="str">
        <x:v>Discovery розширення — 2 тижні</x:v>
      </x:c>
      <x:c r="I949" s="16" t="n">
        <x:v>1</x:v>
      </x:c>
      <x:c r="J949" s="16" t="n">
        <x:v>5</x:v>
      </x:c>
      <x:c r="K949" s="16" t="n">
        <x:v>5</x:v>
      </x:c>
      <x:c r="L949" s="16" t="n">
        <x:v>3</x:v>
      </x:c>
      <x:c r="M949" s="16" t="n">
        <x:v>5</x:v>
      </x:c>
      <x:c r="N949" s="16" t="n">
        <x:v>5</x:v>
      </x:c>
      <x:c r="O949" s="16" t="n">
        <x:v>3</x:v>
      </x:c>
      <x:c r="P949" s="16" t="n">
        <x:f>IF(COUNT(I949:O949)&lt;7,"",I949*8+J949*3+K949*2+L949*2+M949*2+N949*2+O949)</x:f>
        <x:v>62</x:v>
      </x:c>
      <x:c r="Q949" s="16" t="n">
        <x:f>IF(COUNT(J949:O949)&lt;6,"",J949*5+K949*4+M949*4+L949*3+N949*2+O949*2)</x:f>
        <x:v>90</x:v>
      </x:c>
      <x:c r="R949" s="14" t="str">
        <x:v>high</x:v>
      </x:c>
      <x:c r="S949" s="14" t="str">
        <x:v>official_prozorro_award_2024_2026</x:v>
      </x:c>
      <x:c r="T949" s="14" t="str">
        <x:v>official_prozorro_api</x:v>
      </x:c>
      <x:c r="U949" s="14" t="str">
        <x:v>Не контактували</x:v>
      </x:c>
      <x:c r="V949" s="15" t="str">
        <x:v>Workflow-audit outreach по UA-2026-07-08-008856-a; попросити 1 пакет здачі та вимоги проєкту</x:v>
      </x:c>
      <x:c r="W949" s="15" t="str">
        <x:v>Власник / директор; керівник ПТО; відповідальний за договори</x:v>
      </x:c>
      <x:c r="X949" s="15" t="str">
        <x:v>1 нових підтверджених перемог/договорів у Prozorro на 1 327 585 грн; 1 зі строком виконання не раніше 24.08.2026.</x:v>
      </x:c>
      <x:c r="Y949"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 строк до 2026-10-30. Попросити один знеособлений пакет здачі за цим workflow.</x:v>
      </x:c>
      <x:c r="Z949" s="15" t="str">
        <x:v>https://prozorro.gov.ua/tender/UA-2026-07-08-008856-a</x:v>
      </x:c>
      <x:c r="AA949" s="14" t="str">
        <x:v>30698638</x:v>
      </x:c>
      <x:c r="AB949" s="14" t="str">
        <x:v>2026-08-24</x:v>
      </x:c>
      <x:c r="AC949" s="14" t="str"/>
      <x:c r="AD949" s="20" t="str"/>
      <x:c r="AE949" s="14" t="str"/>
      <x:c r="AF949" s="14" t="n">
        <x:v>60</x:v>
      </x:c>
      <x:c r="AG949" s="14" t="str">
        <x:v>I2</x:v>
      </x:c>
      <x:c r="AH949" s="14" t="n">
        <x:v>1</x:v>
      </x:c>
      <x:c r="AI949" s="14" t="n">
        <x:v>1</x:v>
      </x:c>
      <x:c r="AJ949" s="18" t="n">
        <x:v>1327585</x:v>
      </x:c>
      <x:c r="AK949" s="14" t="str">
        <x:v>https://prozorro.gov.ua/tender/UA-2026-07-08-008856-a</x:v>
      </x:c>
      <x:c r="AL949" s="19" t="n">
        <x:v>46233.70918571759</x:v>
      </x:c>
      <x:c r="AM949" s="19" t="n">
        <x:v>46325.56681712963</x:v>
      </x:c>
      <x:c r="AN949" s="15" t="str">
        <x:v>Пожежогасіння</x:v>
      </x:c>
      <x:c r="AO949" s="15" t="str">
        <x:v>not_found_in_top_search</x:v>
      </x:c>
    </x:row>
    <x:row r="950">
      <x:c r="A950" s="14" t="str">
        <x:v>W4-131</x:v>
      </x:c>
      <x:c r="B950" s="14" t="str">
        <x:v>Prozorro expansion — 24.08</x:v>
      </x:c>
      <x:c r="C950" s="14" t="str">
        <x:v>ТОВАРИСТВО З ОБМЕЖЕНОЮ ВІДПОВІДАЛЬНІСТЮ "ПРАЙМ УЛАН-БУД"</x:v>
      </x:c>
      <x:c r="D950" s="14" t="str">
        <x:v>Дорожні роботи</x:v>
      </x:c>
      <x:c r="E950" s="14" t="str">
        <x:v>Expansion discovery</x:v>
      </x:c>
      <x:c r="F950" s="17" t="str">
        <x:v>D2</x:v>
      </x:c>
      <x:c r="G950" s="14" t="str"/>
      <x:c r="H950" s="14" t="str">
        <x:v>Discovery розширення — 2 тижні</x:v>
      </x:c>
      <x:c r="I950" s="16" t="n">
        <x:v>1</x:v>
      </x:c>
      <x:c r="J950" s="16" t="n">
        <x:v>5</x:v>
      </x:c>
      <x:c r="K950" s="16" t="n">
        <x:v>4</x:v>
      </x:c>
      <x:c r="L950" s="16" t="n">
        <x:v>3</x:v>
      </x:c>
      <x:c r="M950" s="16" t="n">
        <x:v>5</x:v>
      </x:c>
      <x:c r="N950" s="16" t="n">
        <x:v>5</x:v>
      </x:c>
      <x:c r="O950" s="16" t="n">
        <x:v>3</x:v>
      </x:c>
      <x:c r="P950" s="16" t="n">
        <x:f>IF(COUNT(I950:O950)&lt;7,"",I950*8+J950*3+K950*2+L950*2+M950*2+N950*2+O950)</x:f>
        <x:v>60</x:v>
      </x:c>
      <x:c r="Q950" s="16" t="n">
        <x:f>IF(COUNT(J950:O950)&lt;6,"",J950*5+K950*4+M950*4+L950*3+N950*2+O950*2)</x:f>
        <x:v>86</x:v>
      </x:c>
      <x:c r="R950" s="14" t="str">
        <x:v>high</x:v>
      </x:c>
      <x:c r="S950" s="14" t="str">
        <x:v>official_prozorro_award_2024_2026</x:v>
      </x:c>
      <x:c r="T950" s="14" t="str">
        <x:v>official_prozorro_api</x:v>
      </x:c>
      <x:c r="U950" s="14" t="str">
        <x:v>Не контактували</x:v>
      </x:c>
      <x:c r="V950" s="15" t="str">
        <x:v>Workflow-audit outreach по UA-2026-08-21-011848-a; попросити 1 пакет здачі та вимоги проєкту</x:v>
      </x:c>
      <x:c r="W950" s="15" t="str">
        <x:v>Власник / директор; керівник ПТО; відповідальний за договори</x:v>
      </x:c>
      <x:c r="X950" s="15" t="str">
        <x:v>1 нових підтверджених перемог/договорів у Prozorro на 1 193 784 грн; 1 зі строком виконання не раніше 24.08.2026.</x:v>
      </x:c>
      <x:c r="Y950" s="15" t="str">
        <x:v>Капітальний ремонт дорожнього покриття вулиці Садибна (від будинку №55 до будинку №6) в селі Пултівці Вінницького району Вінницької області; строк до 2026-12-31. Попросити один знеособлений пакет здачі за цим workflow.</x:v>
      </x:c>
      <x:c r="Z950" s="15" t="str">
        <x:v>https://prozorro.gov.ua/tender/UA-2026-08-21-011848-a</x:v>
      </x:c>
      <x:c r="AA950" s="14" t="str">
        <x:v>45981175</x:v>
      </x:c>
      <x:c r="AB950" s="14" t="str">
        <x:v>2026-08-24</x:v>
      </x:c>
      <x:c r="AC950" s="14" t="str"/>
      <x:c r="AD950" s="20" t="str"/>
      <x:c r="AE950" s="14" t="str"/>
      <x:c r="AF950" s="14" t="n">
        <x:v>60</x:v>
      </x:c>
      <x:c r="AG950" s="14" t="str">
        <x:v>I2</x:v>
      </x:c>
      <x:c r="AH950" s="14" t="n">
        <x:v>1</x:v>
      </x:c>
      <x:c r="AI950" s="14" t="n">
        <x:v>1</x:v>
      </x:c>
      <x:c r="AJ950" s="18" t="n">
        <x:v>1193784</x:v>
      </x:c>
      <x:c r="AK950" s="14" t="str">
        <x:v>https://prozorro.gov.ua/tender/UA-2026-08-21-011848-a</x:v>
      </x:c>
      <x:c r="AL950" s="19" t="n">
        <x:v>46255.56247351852</x:v>
      </x:c>
      <x:c r="AM950" s="19" t="n">
        <x:v>46387</x:v>
      </x:c>
      <x:c r="AN950" s="15" t="str">
        <x:v>Дорожні роботи</x:v>
      </x:c>
      <x:c r="AO950" s="15" t="str">
        <x:v>not_found_in_top_search</x:v>
      </x:c>
    </x:row>
    <x:row r="951">
      <x:c r="A951" s="14" t="str">
        <x:v>W4-132</x:v>
      </x:c>
      <x:c r="B951" s="14" t="str">
        <x:v>Prozorro expansion — 24.08</x:v>
      </x:c>
      <x:c r="C951" s="14" t="str">
        <x:v>ТОВАРИСТВО З ОБМЕЖЕНОЮ ВІДПОВІДАЛЬНІСТЮ "ВОЛБУД"</x:v>
      </x:c>
      <x:c r="D951" s="14" t="str">
        <x:v>Фасади та скління</x:v>
      </x:c>
      <x:c r="E951" s="14" t="str">
        <x:v>Expansion discovery</x:v>
      </x:c>
      <x:c r="F951" s="17" t="str">
        <x:v>D2</x:v>
      </x:c>
      <x:c r="G951" s="14" t="str"/>
      <x:c r="H951" s="14" t="str">
        <x:v>Discovery розширення — 2 тижні</x:v>
      </x:c>
      <x:c r="I951" s="16" t="n">
        <x:v>1</x:v>
      </x:c>
      <x:c r="J951" s="16" t="n">
        <x:v>5</x:v>
      </x:c>
      <x:c r="K951" s="16" t="n">
        <x:v>5</x:v>
      </x:c>
      <x:c r="L951" s="16" t="n">
        <x:v>3</x:v>
      </x:c>
      <x:c r="M951" s="16" t="n">
        <x:v>5</x:v>
      </x:c>
      <x:c r="N951" s="16" t="n">
        <x:v>5</x:v>
      </x:c>
      <x:c r="O951" s="16" t="n">
        <x:v>3</x:v>
      </x:c>
      <x:c r="P951" s="16" t="n">
        <x:f>IF(COUNT(I951:O951)&lt;7,"",I951*8+J951*3+K951*2+L951*2+M951*2+N951*2+O951)</x:f>
        <x:v>62</x:v>
      </x:c>
      <x:c r="Q951" s="16" t="n">
        <x:f>IF(COUNT(J951:O951)&lt;6,"",J951*5+K951*4+M951*4+L951*3+N951*2+O951*2)</x:f>
        <x:v>90</x:v>
      </x:c>
      <x:c r="R951" s="14" t="str">
        <x:v>high</x:v>
      </x:c>
      <x:c r="S951" s="14" t="str">
        <x:v>official_prozorro_award_2024_2026</x:v>
      </x:c>
      <x:c r="T951" s="14" t="str">
        <x:v>official_prozorro_api</x:v>
      </x:c>
      <x:c r="U951" s="14" t="str">
        <x:v>Не контактували</x:v>
      </x:c>
      <x:c r="V951" s="15" t="str">
        <x:v>Workflow-audit outreach по UA-2026-08-12-008210-a; попросити 1 пакет здачі та вимоги проєкту</x:v>
      </x:c>
      <x:c r="W951" s="15" t="str">
        <x:v>Власник / директор; керівник ПТО; відповідальний за договори</x:v>
      </x:c>
      <x:c r="X951" s="15" t="str">
        <x:v>1 нових підтверджених перемог/договорів у Prozorro на 1 126 628 грн; 1 зі строком виконання не раніше 24.08.2026.</x:v>
      </x:c>
      <x:c r="Y951"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 строк до 2026-09-30. Попросити один знеособлений пакет здачі за цим workflow.</x:v>
      </x:c>
      <x:c r="Z951" s="15" t="str">
        <x:v>https://prozorro.gov.ua/tender/UA-2026-08-12-008210-a</x:v>
      </x:c>
      <x:c r="AA951" s="14" t="str">
        <x:v>40299777</x:v>
      </x:c>
      <x:c r="AB951" s="14" t="str">
        <x:v>2026-08-24</x:v>
      </x:c>
      <x:c r="AC951" s="14" t="str"/>
      <x:c r="AD951" s="20" t="str"/>
      <x:c r="AE951" s="14" t="str"/>
      <x:c r="AF951" s="14" t="n">
        <x:v>60</x:v>
      </x:c>
      <x:c r="AG951" s="14" t="str">
        <x:v>I2</x:v>
      </x:c>
      <x:c r="AH951" s="14" t="n">
        <x:v>1</x:v>
      </x:c>
      <x:c r="AI951" s="14" t="n">
        <x:v>1</x:v>
      </x:c>
      <x:c r="AJ951" s="18" t="n">
        <x:v>1126628.4</x:v>
      </x:c>
      <x:c r="AK951" s="14" t="str">
        <x:v>https://prozorro.gov.ua/tender/UA-2026-08-12-008210-a</x:v>
      </x:c>
      <x:c r="AL951" s="19" t="n">
        <x:v>46246.50013625</x:v>
      </x:c>
      <x:c r="AM951" s="19" t="n">
        <x:v>46295</x:v>
      </x:c>
      <x:c r="AN951" s="15" t="str">
        <x:v>Фасади та скління</x:v>
      </x:c>
      <x:c r="AO951" s="15" t="str">
        <x:v>not_found_in_top_search</x:v>
      </x:c>
    </x:row>
    <x:row r="952">
      <x:c r="A952" s="14" t="str">
        <x:v>W4-133</x:v>
      </x:c>
      <x:c r="B952" s="14" t="str">
        <x:v>Prozorro expansion — 24.08</x:v>
      </x:c>
      <x:c r="C952" s="14" t="str">
        <x:v>Товариство з обмеженою відповідальністю «ТСК-БУДСЕРВІС»</x:v>
      </x:c>
      <x:c r="D952" s="14" t="str">
        <x:v>Покрівлі та гідроізоляція</x:v>
      </x:c>
      <x:c r="E952" s="14" t="str">
        <x:v>Expansion discovery</x:v>
      </x:c>
      <x:c r="F952" s="17" t="str">
        <x:v>D2</x:v>
      </x:c>
      <x:c r="G952" s="14" t="str"/>
      <x:c r="H952" s="14" t="str">
        <x:v>Discovery розширення — 2 тижні</x:v>
      </x:c>
      <x:c r="I952" s="16" t="n">
        <x:v>1</x:v>
      </x:c>
      <x:c r="J952" s="16" t="n">
        <x:v>5</x:v>
      </x:c>
      <x:c r="K952" s="16" t="n">
        <x:v>5</x:v>
      </x:c>
      <x:c r="L952" s="16" t="n">
        <x:v>3</x:v>
      </x:c>
      <x:c r="M952" s="16" t="n">
        <x:v>5</x:v>
      </x:c>
      <x:c r="N952" s="16" t="n">
        <x:v>5</x:v>
      </x:c>
      <x:c r="O952" s="16" t="n">
        <x:v>3</x:v>
      </x:c>
      <x:c r="P952" s="16" t="n">
        <x:f>IF(COUNT(I952:O952)&lt;7,"",I952*8+J952*3+K952*2+L952*2+M952*2+N952*2+O952)</x:f>
        <x:v>62</x:v>
      </x:c>
      <x:c r="Q952" s="16" t="n">
        <x:f>IF(COUNT(J952:O952)&lt;6,"",J952*5+K952*4+M952*4+L952*3+N952*2+O952*2)</x:f>
        <x:v>90</x:v>
      </x:c>
      <x:c r="R952" s="14" t="str">
        <x:v>high</x:v>
      </x:c>
      <x:c r="S952" s="14" t="str">
        <x:v>official_prozorro_award_2024_2026</x:v>
      </x:c>
      <x:c r="T952" s="14" t="str">
        <x:v>official_prozorro_api</x:v>
      </x:c>
      <x:c r="U952" s="14" t="str">
        <x:v>Не контактували</x:v>
      </x:c>
      <x:c r="V952" s="15" t="str">
        <x:v>Workflow-audit outreach по UA-2026-08-06-006048-a; попросити 1 пакет здачі та вимоги проєкту</x:v>
      </x:c>
      <x:c r="W952" s="15" t="str">
        <x:v>Власник / директор; керівник ПТО; відповідальний за договори</x:v>
      </x:c>
      <x:c r="X952" s="15" t="str">
        <x:v>1 нових підтверджених перемог/договорів у Prozorro на 1 083 785 грн; 1 зі строком виконання не раніше 24.08.2026.</x:v>
      </x:c>
      <x:c r="Y952" s="15" t="str">
        <x:v>Покрівельні роботи та інші спеціалізовані будівельні роботи  (Капітальний ремонт покрівлі будівлі); строк до 2026-12-31. Попросити один знеособлений пакет здачі за цим workflow.</x:v>
      </x:c>
      <x:c r="Z952" s="15" t="str">
        <x:v>https://prozorro.gov.ua/tender/UA-2026-08-06-006048-a</x:v>
      </x:c>
      <x:c r="AA952" s="14" t="str">
        <x:v>45881759</x:v>
      </x:c>
      <x:c r="AB952" s="14" t="str">
        <x:v>2026-08-24</x:v>
      </x:c>
      <x:c r="AC952" s="14" t="str"/>
      <x:c r="AD952" s="20" t="str"/>
      <x:c r="AE952" s="14" t="str"/>
      <x:c r="AF952" s="14" t="n">
        <x:v>60</x:v>
      </x:c>
      <x:c r="AG952" s="14" t="str">
        <x:v>I2</x:v>
      </x:c>
      <x:c r="AH952" s="14" t="n">
        <x:v>1</x:v>
      </x:c>
      <x:c r="AI952" s="14" t="n">
        <x:v>1</x:v>
      </x:c>
      <x:c r="AJ952" s="18" t="n">
        <x:v>1083785</x:v>
      </x:c>
      <x:c r="AK952" s="14" t="str">
        <x:v>https://prozorro.gov.ua/tender/UA-2026-08-06-006048-a</x:v>
      </x:c>
      <x:c r="AL952" s="19" t="n">
        <x:v>46240.43107309028</x:v>
      </x:c>
      <x:c r="AM952" s="19" t="n">
        <x:v>46387</x:v>
      </x:c>
      <x:c r="AN952" s="15" t="str">
        <x:v>Покрівлі та гідроізоляція</x:v>
      </x:c>
      <x:c r="AO952" s="15" t="str">
        <x:v>not_found_in_top_search</x:v>
      </x:c>
    </x:row>
    <x:row r="953">
      <x:c r="A953" s="14" t="str">
        <x:v>W4-134</x:v>
      </x:c>
      <x:c r="B953" s="14" t="str">
        <x:v>Prozorro expansion — 24.08</x:v>
      </x:c>
      <x:c r="C953" s="14" t="str">
        <x:v>ТОВАРИСТВО З ОБМЕЖЕНОЮ ВІДПОВІДАЛЬНІСТЮ "ДОР-ЛІДЕР"</x:v>
      </x:c>
      <x:c r="D953" s="14" t="str">
        <x:v>Дорожні роботи</x:v>
      </x:c>
      <x:c r="E953" s="14" t="str">
        <x:v>Expansion discovery</x:v>
      </x:c>
      <x:c r="F953" s="17" t="str">
        <x:v>D2</x:v>
      </x:c>
      <x:c r="G953" s="14" t="str"/>
      <x:c r="H953" s="14" t="str">
        <x:v>Discovery розширення — 2 тижні</x:v>
      </x:c>
      <x:c r="I953" s="16" t="n">
        <x:v>1</x:v>
      </x:c>
      <x:c r="J953" s="16" t="n">
        <x:v>5</x:v>
      </x:c>
      <x:c r="K953" s="16" t="n">
        <x:v>4</x:v>
      </x:c>
      <x:c r="L953" s="16" t="n">
        <x:v>3</x:v>
      </x:c>
      <x:c r="M953" s="16" t="n">
        <x:v>5</x:v>
      </x:c>
      <x:c r="N953" s="16" t="n">
        <x:v>5</x:v>
      </x:c>
      <x:c r="O953" s="16" t="n">
        <x:v>3</x:v>
      </x:c>
      <x:c r="P953" s="16" t="n">
        <x:f>IF(COUNT(I953:O953)&lt;7,"",I953*8+J953*3+K953*2+L953*2+M953*2+N953*2+O953)</x:f>
        <x:v>60</x:v>
      </x:c>
      <x:c r="Q953" s="16" t="n">
        <x:f>IF(COUNT(J953:O953)&lt;6,"",J953*5+K953*4+M953*4+L953*3+N953*2+O953*2)</x:f>
        <x:v>86</x:v>
      </x:c>
      <x:c r="R953" s="14" t="str">
        <x:v>high</x:v>
      </x:c>
      <x:c r="S953" s="14" t="str">
        <x:v>official_prozorro_award_2024_2026</x:v>
      </x:c>
      <x:c r="T953" s="14" t="str">
        <x:v>official_prozorro_api</x:v>
      </x:c>
      <x:c r="U953" s="14" t="str">
        <x:v>Не контактували</x:v>
      </x:c>
      <x:c r="V953" s="15" t="str">
        <x:v>Workflow-audit outreach по UA-2026-07-31-004720-a; попросити 1 пакет здачі та вимоги проєкту</x:v>
      </x:c>
      <x:c r="W953" s="15" t="str">
        <x:v>Власник / директор; керівник ПТО; відповідальний за договори</x:v>
      </x:c>
      <x:c r="X953" s="15" t="str">
        <x:v>1 нових підтверджених перемог/договорів у Prozorro на 1 058 753 грн; 1 зі строком виконання не раніше 24.08.2026.</x:v>
      </x:c>
      <x:c r="Y953" s="15" t="str">
        <x:v>Капітальний ремонт дорожнього покриття до кладовища в с. Руденька Житомирського району Житомирської області; строк до 2026-11-30. Попросити один знеособлений пакет здачі за цим workflow.</x:v>
      </x:c>
      <x:c r="Z953" s="15" t="str">
        <x:v>https://prozorro.gov.ua/tender/UA-2026-07-31-004720-a</x:v>
      </x:c>
      <x:c r="AA953" s="14" t="str">
        <x:v>37997091</x:v>
      </x:c>
      <x:c r="AB953" s="14" t="str">
        <x:v>2026-08-24</x:v>
      </x:c>
      <x:c r="AC953" s="14" t="str"/>
      <x:c r="AD953" s="20" t="str"/>
      <x:c r="AE953" s="14" t="str"/>
      <x:c r="AF953" s="14" t="n">
        <x:v>60</x:v>
      </x:c>
      <x:c r="AG953" s="14" t="str">
        <x:v>I2</x:v>
      </x:c>
      <x:c r="AH953" s="14" t="n">
        <x:v>1</x:v>
      </x:c>
      <x:c r="AI953" s="14" t="n">
        <x:v>1</x:v>
      </x:c>
      <x:c r="AJ953" s="18" t="n">
        <x:v>1058753.21</x:v>
      </x:c>
      <x:c r="AK953" s="14" t="str">
        <x:v>https://prozorro.gov.ua/tender/UA-2026-07-31-004720-a</x:v>
      </x:c>
      <x:c r="AL953" s="19" t="n">
        <x:v>46234.4255759375</x:v>
      </x:c>
      <x:c r="AM953" s="19" t="n">
        <x:v>46356</x:v>
      </x:c>
      <x:c r="AN953" s="15" t="str">
        <x:v>Дорожні роботи</x:v>
      </x:c>
      <x:c r="AO953" s="15" t="str">
        <x:v>not_found_in_top_search</x:v>
      </x:c>
    </x:row>
    <x:row r="954">
      <x:c r="A954" s="14" t="str">
        <x:v>W4-135</x:v>
      </x:c>
      <x:c r="B954" s="14" t="str">
        <x:v>Prozorro expansion — 24.08</x:v>
      </x:c>
      <x:c r="C954" s="14" t="str">
        <x:v>ГОРОДЕНКІВСЬКЕ ТОВАРИСТВО З ОБМЕЖЕНОЮ ВІДПОВІДАЛЬНІСТЮ "ШЛЯХОВИК"</x:v>
      </x:c>
      <x:c r="D954" s="14" t="str">
        <x:v>Дорожні роботи</x:v>
      </x:c>
      <x:c r="E954" s="14" t="str">
        <x:v>Expansion discovery</x:v>
      </x:c>
      <x:c r="F954" s="17" t="str">
        <x:v>D2</x:v>
      </x:c>
      <x:c r="G954" s="14" t="str"/>
      <x:c r="H954" s="14" t="str">
        <x:v>Discovery розширення — 2 тижні</x:v>
      </x:c>
      <x:c r="I954" s="16" t="n">
        <x:v>1</x:v>
      </x:c>
      <x:c r="J954" s="16" t="n">
        <x:v>5</x:v>
      </x:c>
      <x:c r="K954" s="16" t="n">
        <x:v>4</x:v>
      </x:c>
      <x:c r="L954" s="16" t="n">
        <x:v>3</x:v>
      </x:c>
      <x:c r="M954" s="16" t="n">
        <x:v>5</x:v>
      </x:c>
      <x:c r="N954" s="16" t="n">
        <x:v>5</x:v>
      </x:c>
      <x:c r="O954" s="16" t="n">
        <x:v>3</x:v>
      </x:c>
      <x:c r="P954" s="16" t="n">
        <x:f>IF(COUNT(I954:O954)&lt;7,"",I954*8+J954*3+K954*2+L954*2+M954*2+N954*2+O954)</x:f>
        <x:v>60</x:v>
      </x:c>
      <x:c r="Q954" s="16" t="n">
        <x:f>IF(COUNT(J954:O954)&lt;6,"",J954*5+K954*4+M954*4+L954*3+N954*2+O954*2)</x:f>
        <x:v>86</x:v>
      </x:c>
      <x:c r="R954" s="14" t="str">
        <x:v>high</x:v>
      </x:c>
      <x:c r="S954" s="14" t="str">
        <x:v>official_prozorro_award_2024_2026</x:v>
      </x:c>
      <x:c r="T954" s="14" t="str">
        <x:v>official_prozorro_api</x:v>
      </x:c>
      <x:c r="U954" s="14" t="str">
        <x:v>Не контактували</x:v>
      </x:c>
      <x:c r="V954" s="15" t="str">
        <x:v>Workflow-audit outreach по UA-2026-07-17-006414-a; попросити 1 пакет здачі та вимоги проєкту</x:v>
      </x:c>
      <x:c r="W954" s="15" t="str">
        <x:v>Власник / директор; керівник ПТО; відповідальний за договори</x:v>
      </x:c>
      <x:c r="X954" s="15" t="str">
        <x:v>1 нових підтверджених перемог/договорів у Prozorro на 973 360 грн; 1 зі строком виконання не раніше 24.08.2026.</x:v>
      </x:c>
      <x:c r="Y954" s="15" t="str">
        <x:v>Капітальний ремонт дорожнього покриття вул.М.Грушевського в с. Далешове Коломийського району Івано-Франківської області; строк до 2026-12-31. Попросити один знеособлений пакет здачі за цим workflow.</x:v>
      </x:c>
      <x:c r="Z954" s="15" t="str">
        <x:v>https://prozorro.gov.ua/tender/UA-2026-07-17-006414-a</x:v>
      </x:c>
      <x:c r="AA954" s="14" t="str">
        <x:v>03578136</x:v>
      </x:c>
      <x:c r="AB954" s="14" t="str">
        <x:v>2026-08-24</x:v>
      </x:c>
      <x:c r="AC954" s="14" t="str"/>
      <x:c r="AD954" s="20" t="str"/>
      <x:c r="AE954" s="14" t="str"/>
      <x:c r="AF954" s="14" t="n">
        <x:v>60</x:v>
      </x:c>
      <x:c r="AG954" s="14" t="str">
        <x:v>I2</x:v>
      </x:c>
      <x:c r="AH954" s="14" t="n">
        <x:v>1</x:v>
      </x:c>
      <x:c r="AI954" s="14" t="n">
        <x:v>1</x:v>
      </x:c>
      <x:c r="AJ954" s="18" t="n">
        <x:v>973359.6</x:v>
      </x:c>
      <x:c r="AK954" s="14" t="str">
        <x:v>https://prozorro.gov.ua/tender/UA-2026-07-17-006414-a</x:v>
      </x:c>
      <x:c r="AL954" s="19" t="n">
        <x:v>46220.45236708334</x:v>
      </x:c>
      <x:c r="AM954" s="19" t="n">
        <x:v>46387</x:v>
      </x:c>
      <x:c r="AN954" s="15" t="str">
        <x:v>Дорожні роботи</x:v>
      </x:c>
      <x:c r="AO954" s="15" t="str">
        <x:v>not_found_in_top_search</x:v>
      </x:c>
    </x:row>
    <x:row r="955">
      <x:c r="A955" s="14" t="str">
        <x:v>W4-136</x:v>
      </x:c>
      <x:c r="B955" s="14" t="str">
        <x:v>Prozorro expansion — 24.08</x:v>
      </x:c>
      <x:c r="C955" s="14" t="str">
        <x:v>ТОВАРИСТВО З ОБМЕЖЕНОЮ ВІДПОВІДАЛЬНІСТЮ "БДУ МУШ"</x:v>
      </x:c>
      <x:c r="D955" s="14" t="str">
        <x:v>Дорожні роботи</x:v>
      </x:c>
      <x:c r="E955" s="14" t="str">
        <x:v>Expansion discovery</x:v>
      </x:c>
      <x:c r="F955" s="17" t="str">
        <x:v>D2</x:v>
      </x:c>
      <x:c r="G955" s="14" t="str"/>
      <x:c r="H955" s="14" t="str">
        <x:v>Discovery розширення — 2 тижні</x:v>
      </x:c>
      <x:c r="I955" s="16" t="n">
        <x:v>1</x:v>
      </x:c>
      <x:c r="J955" s="16" t="n">
        <x:v>5</x:v>
      </x:c>
      <x:c r="K955" s="16" t="n">
        <x:v>4</x:v>
      </x:c>
      <x:c r="L955" s="16" t="n">
        <x:v>3</x:v>
      </x:c>
      <x:c r="M955" s="16" t="n">
        <x:v>5</x:v>
      </x:c>
      <x:c r="N955" s="16" t="n">
        <x:v>5</x:v>
      </x:c>
      <x:c r="O955" s="16" t="n">
        <x:v>3</x:v>
      </x:c>
      <x:c r="P955" s="16" t="n">
        <x:f>IF(COUNT(I955:O955)&lt;7,"",I955*8+J955*3+K955*2+L955*2+M955*2+N955*2+O955)</x:f>
        <x:v>60</x:v>
      </x:c>
      <x:c r="Q955" s="16" t="n">
        <x:f>IF(COUNT(J955:O955)&lt;6,"",J955*5+K955*4+M955*4+L955*3+N955*2+O955*2)</x:f>
        <x:v>86</x:v>
      </x:c>
      <x:c r="R955" s="14" t="str">
        <x:v>high</x:v>
      </x:c>
      <x:c r="S955" s="14" t="str">
        <x:v>official_prozorro_award_2024_2026</x:v>
      </x:c>
      <x:c r="T955" s="14" t="str">
        <x:v>official_prozorro_api</x:v>
      </x:c>
      <x:c r="U955" s="14" t="str">
        <x:v>Не контактували</x:v>
      </x:c>
      <x:c r="V955" s="15" t="str">
        <x:v>Workflow-audit outreach по UA-2026-08-19-003865-a; попросити 1 пакет здачі та вимоги проєкту</x:v>
      </x:c>
      <x:c r="W955" s="15" t="str">
        <x:v>Власник / директор; керівник ПТО; відповідальний за договори</x:v>
      </x:c>
      <x:c r="X955" s="15" t="str">
        <x:v>1 нових підтверджених перемог/договорів у Prozorro на 957 502 грн; 1 зі строком виконання не раніше 24.08.2026.</x:v>
      </x:c>
      <x:c r="Y955" s="15" t="str">
        <x:v>Капітальний ремонт дорожнього покриття по вул.Андрія Мізенка  в с. Собківка Уманського району Черкаської області ; строк до 2026-12-31. Попросити один знеособлений пакет здачі за цим workflow.</x:v>
      </x:c>
      <x:c r="Z955" s="15" t="str">
        <x:v>https://prozorro.gov.ua/tender/UA-2026-08-19-003865-a</x:v>
      </x:c>
      <x:c r="AA955" s="14" t="str">
        <x:v>43399625</x:v>
      </x:c>
      <x:c r="AB955" s="14" t="str">
        <x:v>2026-08-24</x:v>
      </x:c>
      <x:c r="AC955" s="14" t="str"/>
      <x:c r="AD955" s="20" t="str"/>
      <x:c r="AE955" s="14" t="str"/>
      <x:c r="AF955" s="14" t="n">
        <x:v>60</x:v>
      </x:c>
      <x:c r="AG955" s="14" t="str">
        <x:v>I2</x:v>
      </x:c>
      <x:c r="AH955" s="14" t="n">
        <x:v>1</x:v>
      </x:c>
      <x:c r="AI955" s="14" t="n">
        <x:v>1</x:v>
      </x:c>
      <x:c r="AJ955" s="18" t="n">
        <x:v>957501.6</x:v>
      </x:c>
      <x:c r="AK955" s="14" t="str">
        <x:v>https://prozorro.gov.ua/tender/UA-2026-08-19-003865-a</x:v>
      </x:c>
      <x:c r="AL955" s="19" t="n">
        <x:v>46253.3617634375</x:v>
      </x:c>
      <x:c r="AM955" s="19" t="n">
        <x:v>46387</x:v>
      </x:c>
      <x:c r="AN955" s="15" t="str">
        <x:v>Дорожні роботи</x:v>
      </x:c>
      <x:c r="AO955" s="15" t="str">
        <x:v>not_found_in_top_search</x:v>
      </x:c>
    </x:row>
    <x:row r="956">
      <x:c r="A956" s="14" t="str">
        <x:v>W4-137</x:v>
      </x:c>
      <x:c r="B956" s="14" t="str">
        <x:v>Prozorro expansion — 24.08</x:v>
      </x:c>
      <x:c r="C956" s="14" t="str">
        <x:v>АТ "ІВП "ВНІПІТРАНСГАЗ"</x:v>
      </x:c>
      <x:c r="D956" s="14" t="str">
        <x:v>Газові мережі</x:v>
      </x:c>
      <x:c r="E956" s="14" t="str">
        <x:v>Expansion discovery</x:v>
      </x:c>
      <x:c r="F956" s="17" t="str">
        <x:v>D2</x:v>
      </x:c>
      <x:c r="G956" s="14" t="str"/>
      <x:c r="H956" s="14" t="str">
        <x:v>Discovery розширення — 2 тижні</x:v>
      </x:c>
      <x:c r="I956" s="16" t="n">
        <x:v>1</x:v>
      </x:c>
      <x:c r="J956" s="16" t="n">
        <x:v>5</x:v>
      </x:c>
      <x:c r="K956" s="16" t="n">
        <x:v>5</x:v>
      </x:c>
      <x:c r="L956" s="16" t="n">
        <x:v>3</x:v>
      </x:c>
      <x:c r="M956" s="16" t="n">
        <x:v>5</x:v>
      </x:c>
      <x:c r="N956" s="16" t="n">
        <x:v>5</x:v>
      </x:c>
      <x:c r="O956" s="16" t="n">
        <x:v>3</x:v>
      </x:c>
      <x:c r="P956" s="16" t="n">
        <x:f>IF(COUNT(I956:O956)&lt;7,"",I956*8+J956*3+K956*2+L956*2+M956*2+N956*2+O956)</x:f>
        <x:v>62</x:v>
      </x:c>
      <x:c r="Q956" s="16" t="n">
        <x:f>IF(COUNT(J956:O956)&lt;6,"",J956*5+K956*4+M956*4+L956*3+N956*2+O956*2)</x:f>
        <x:v>90</x:v>
      </x:c>
      <x:c r="R956" s="14" t="str">
        <x:v>high</x:v>
      </x:c>
      <x:c r="S956" s="14" t="str">
        <x:v>official_prozorro_award_2024_2026</x:v>
      </x:c>
      <x:c r="T956" s="14" t="str">
        <x:v>official_prozorro_api</x:v>
      </x:c>
      <x:c r="U956" s="14" t="str">
        <x:v>Не контактували</x:v>
      </x:c>
      <x:c r="V956" s="15" t="str">
        <x:v>Повторне звернення з новим тендерним сигналом UA-2026-07-23-011171-a; попросити 1 пакет здачі</x:v>
      </x:c>
      <x:c r="W956" s="15" t="str">
        <x:v>Власник / директор; керівник ПТО; відповідальний за договори</x:v>
      </x:c>
      <x:c r="X956" s="15" t="str">
        <x:v>1 нових підтверджених перемог/договорів у Prozorro на 867 000 грн; 1 зі строком виконання не раніше 24.08.2026.</x:v>
      </x:c>
      <x:c r="Y956" s="15" t="str">
        <x:v>Проектно-вишукувальні роботи по об’єкту: «Будівництво установки катодного захисту на км 120,383 магістрального газопроводу «Диканька – Кременчук – Кривий Ріг» в Кременчуцькому районі Полтавської області» (коригування ПД) (Стадії «Проект» та «Робоча документація») (Будівельні роботи та поточний ремонт); строк до 2027-07-07. Попросити один знеособлений пакет здачі за цим workflow.</x:v>
      </x:c>
      <x:c r="Z956" s="15" t="str">
        <x:v>https://prozorro.gov.ua/tender/UA-2026-07-22-000893-a</x:v>
      </x:c>
      <x:c r="AA956" s="14" t="str">
        <x:v>00158652</x:v>
      </x:c>
      <x:c r="AB956" s="14" t="str">
        <x:v>2026-08-24</x:v>
      </x:c>
      <x:c r="AC956" s="14" t="str"/>
      <x:c r="AD956" s="20" t="str"/>
      <x:c r="AE956" s="14" t="str"/>
      <x:c r="AF956" s="14" t="n">
        <x:v>74</x:v>
      </x:c>
      <x:c r="AG956" s="14" t="str">
        <x:v>I2</x:v>
      </x:c>
      <x:c r="AH956" s="14" t="n">
        <x:v>3</x:v>
      </x:c>
      <x:c r="AI956" s="14" t="n">
        <x:v>3</x:v>
      </x:c>
      <x:c r="AJ956" s="18" t="n">
        <x:v>5625950</x:v>
      </x:c>
      <x:c r="AK956" s="14" t="str">
        <x:v>https://prozorro.gov.ua/tender/UA-2026-07-23-011171-a</x:v>
      </x:c>
      <x:c r="AL956" s="19" t="n">
        <x:v>46226.57400741898</x:v>
      </x:c>
      <x:c r="AM956" s="19" t="n">
        <x:v>46643</x:v>
      </x:c>
      <x:c r="AN956" s="15" t="str">
        <x:v>Газові мережі; Стиснене повітря / компресорні</x:v>
      </x:c>
      <x:c r="AO956" s="15" t="str">
        <x:v>not_found_in_top_search</x:v>
      </x:c>
    </x:row>
    <x:row r="957">
      <x:c r="A957" s="14" t="str">
        <x:v>W4-138</x:v>
      </x:c>
      <x:c r="B957" s="14" t="str">
        <x:v>Prozorro expansion — 24.08</x:v>
      </x:c>
      <x:c r="C957" s="14" t="str">
        <x:v>ТОВАРИСТВО З ОБМЕЖЕНОЮ ВІДПОВІДАЛЬНІСТЮ "АГРОШЛЯХБУДСЕРВІС"</x:v>
      </x:c>
      <x:c r="D957" s="14" t="str">
        <x:v>Дорожні роботи</x:v>
      </x:c>
      <x:c r="E957" s="14" t="str">
        <x:v>Expansion discovery</x:v>
      </x:c>
      <x:c r="F957" s="17" t="str">
        <x:v>D2</x:v>
      </x:c>
      <x:c r="G957" s="14" t="str"/>
      <x:c r="H957" s="14" t="str">
        <x:v>Discovery розширення — 2 тижні</x:v>
      </x:c>
      <x:c r="I957" s="16" t="n">
        <x:v>1</x:v>
      </x:c>
      <x:c r="J957" s="16" t="n">
        <x:v>5</x:v>
      </x:c>
      <x:c r="K957" s="16" t="n">
        <x:v>4</x:v>
      </x:c>
      <x:c r="L957" s="16" t="n">
        <x:v>3</x:v>
      </x:c>
      <x:c r="M957" s="16" t="n">
        <x:v>5</x:v>
      </x:c>
      <x:c r="N957" s="16" t="n">
        <x:v>5</x:v>
      </x:c>
      <x:c r="O957" s="16" t="n">
        <x:v>3</x:v>
      </x:c>
      <x:c r="P957" s="16" t="n">
        <x:f>IF(COUNT(I957:O957)&lt;7,"",I957*8+J957*3+K957*2+L957*2+M957*2+N957*2+O957)</x:f>
        <x:v>60</x:v>
      </x:c>
      <x:c r="Q957" s="16" t="n">
        <x:f>IF(COUNT(J957:O957)&lt;6,"",J957*5+K957*4+M957*4+L957*3+N957*2+O957*2)</x:f>
        <x:v>86</x:v>
      </x:c>
      <x:c r="R957" s="14" t="str">
        <x:v>high</x:v>
      </x:c>
      <x:c r="S957" s="14" t="str">
        <x:v>official_prozorro_award_2024_2026</x:v>
      </x:c>
      <x:c r="T957" s="14" t="str">
        <x:v>official_prozorro_api</x:v>
      </x:c>
      <x:c r="U957" s="14" t="str">
        <x:v>Не контактували</x:v>
      </x:c>
      <x:c r="V957" s="15" t="str">
        <x:v>Workflow-audit outreach по UA-2026-08-07-008463-a; попросити 1 пакет здачі та вимоги проєкту</x:v>
      </x:c>
      <x:c r="W957" s="15" t="str">
        <x:v>Власник / директор; керівник ПТО; відповідальний за договори</x:v>
      </x:c>
      <x:c r="X957" s="15" t="str">
        <x:v>1 нових підтверджених перемог/договорів у Prozorro на 815 184 грн; 1 зі строком виконання не раніше 24.08.2026.</x:v>
      </x:c>
      <x:c r="Y957" s="15" t="str">
        <x:v>Капітальний ремонт частини дорожнього покриття по вул. Білокур в м.Ірпінь Бучанського району Київської області; строк до 2026-09-30. Попросити один знеособлений пакет здачі за цим workflow.</x:v>
      </x:c>
      <x:c r="Z957" s="15" t="str">
        <x:v>https://prozorro.gov.ua/tender/UA-2026-08-07-008463-a</x:v>
      </x:c>
      <x:c r="AA957" s="14" t="str">
        <x:v>03580676</x:v>
      </x:c>
      <x:c r="AB957" s="14" t="str">
        <x:v>2026-08-24</x:v>
      </x:c>
      <x:c r="AC957" s="14" t="str"/>
      <x:c r="AD957" s="20" t="str"/>
      <x:c r="AE957" s="14" t="str"/>
      <x:c r="AF957" s="14" t="n">
        <x:v>60</x:v>
      </x:c>
      <x:c r="AG957" s="14" t="str">
        <x:v>I2</x:v>
      </x:c>
      <x:c r="AH957" s="14" t="n">
        <x:v>1</x:v>
      </x:c>
      <x:c r="AI957" s="14" t="n">
        <x:v>1</x:v>
      </x:c>
      <x:c r="AJ957" s="18" t="n">
        <x:v>815184.02</x:v>
      </x:c>
      <x:c r="AK957" s="14" t="str">
        <x:v>https://prozorro.gov.ua/tender/UA-2026-08-07-008463-a</x:v>
      </x:c>
      <x:c r="AL957" s="19" t="n">
        <x:v>46241.490000474536</x:v>
      </x:c>
      <x:c r="AM957" s="19" t="n">
        <x:v>46295</x:v>
      </x:c>
      <x:c r="AN957" s="15" t="str">
        <x:v>Дорожні роботи</x:v>
      </x:c>
      <x:c r="AO957" s="15" t="str">
        <x:v>not_found_in_top_search</x:v>
      </x:c>
    </x:row>
    <x:row r="958">
      <x:c r="A958" s="14" t="str">
        <x:v>W4-139</x:v>
      </x:c>
      <x:c r="B958" s="14" t="str">
        <x:v>Prozorro expansion — 24.08</x:v>
      </x:c>
      <x:c r="C958" s="14" t="str">
        <x:v>ТОВ «Прогресдорбуд»</x:v>
      </x:c>
      <x:c r="D958" s="14" t="str">
        <x:v>Дорожні роботи</x:v>
      </x:c>
      <x:c r="E958" s="14" t="str">
        <x:v>Expansion discovery</x:v>
      </x:c>
      <x:c r="F958" s="17" t="str">
        <x:v>D2</x:v>
      </x:c>
      <x:c r="G958" s="14" t="str"/>
      <x:c r="H958" s="14" t="str">
        <x:v>Discovery розширення — 2 тижні</x:v>
      </x:c>
      <x:c r="I958" s="16" t="n">
        <x:v>1</x:v>
      </x:c>
      <x:c r="J958" s="16" t="n">
        <x:v>5</x:v>
      </x:c>
      <x:c r="K958" s="16" t="n">
        <x:v>4</x:v>
      </x:c>
      <x:c r="L958" s="16" t="n">
        <x:v>3</x:v>
      </x:c>
      <x:c r="M958" s="16" t="n">
        <x:v>5</x:v>
      </x:c>
      <x:c r="N958" s="16" t="n">
        <x:v>5</x:v>
      </x:c>
      <x:c r="O958" s="16" t="n">
        <x:v>3</x:v>
      </x:c>
      <x:c r="P958" s="16" t="n">
        <x:f>IF(COUNT(I958:O958)&lt;7,"",I958*8+J958*3+K958*2+L958*2+M958*2+N958*2+O958)</x:f>
        <x:v>60</x:v>
      </x:c>
      <x:c r="Q958" s="16" t="n">
        <x:f>IF(COUNT(J958:O958)&lt;6,"",J958*5+K958*4+M958*4+L958*3+N958*2+O958*2)</x:f>
        <x:v>86</x:v>
      </x:c>
      <x:c r="R958" s="14" t="str">
        <x:v>high</x:v>
      </x:c>
      <x:c r="S958" s="14" t="str">
        <x:v>official_prozorro_award_2024_2026</x:v>
      </x:c>
      <x:c r="T958" s="14" t="str">
        <x:v>official_prozorro_api</x:v>
      </x:c>
      <x:c r="U958" s="14" t="str">
        <x:v>Не контактували</x:v>
      </x:c>
      <x:c r="V958" s="15" t="str">
        <x:v>Workflow-audit outreach по UA-2026-07-31-005940-a; попросити 1 пакет здачі та вимоги проєкту</x:v>
      </x:c>
      <x:c r="W958" s="15" t="str">
        <x:v>Власник / директор; керівник ПТО; відповідальний за договори</x:v>
      </x:c>
      <x:c r="X958" s="15" t="str">
        <x:v>1 нових підтверджених перемог/договорів у Prozorro на 798 140 грн; 1 зі строком виконання не раніше 24.08.2026.</x:v>
      </x:c>
      <x:c r="Y958" s="15" t="str">
        <x:v>Капітальний ремонт (відновлення) дорожнього покриття по вул. Садова в селі Степанівка  Роздільнянського району Одеської області; строк до 2026-08-31. Попросити один знеособлений пакет здачі за цим workflow.</x:v>
      </x:c>
      <x:c r="Z958" s="15" t="str">
        <x:v>https://prozorro.gov.ua/tender/UA-2026-07-31-005940-a</x:v>
      </x:c>
      <x:c r="AA958" s="14" t="str">
        <x:v>40603406</x:v>
      </x:c>
      <x:c r="AB958" s="14" t="str">
        <x:v>2026-08-24</x:v>
      </x:c>
      <x:c r="AC958" s="14" t="str"/>
      <x:c r="AD958" s="20" t="str"/>
      <x:c r="AE958" s="14" t="str"/>
      <x:c r="AF958" s="14" t="n">
        <x:v>60</x:v>
      </x:c>
      <x:c r="AG958" s="14" t="str">
        <x:v>I2</x:v>
      </x:c>
      <x:c r="AH958" s="14" t="n">
        <x:v>1</x:v>
      </x:c>
      <x:c r="AI958" s="14" t="n">
        <x:v>1</x:v>
      </x:c>
      <x:c r="AJ958" s="18" t="n">
        <x:v>798140.4</x:v>
      </x:c>
      <x:c r="AK958" s="14" t="str">
        <x:v>https://prozorro.gov.ua/tender/UA-2026-07-31-005940-a</x:v>
      </x:c>
      <x:c r="AL958" s="19" t="n">
        <x:v>46234.47586230324</x:v>
      </x:c>
      <x:c r="AM958" s="19" t="n">
        <x:v>46265.47790509259</x:v>
      </x:c>
      <x:c r="AN958" s="15" t="str">
        <x:v>Дорожні роботи</x:v>
      </x:c>
      <x:c r="AO958" s="15" t="str">
        <x:v>not_found_in_top_search</x:v>
      </x:c>
    </x:row>
    <x:row r="959">
      <x:c r="A959" s="14" t="str">
        <x:v>W4-140</x:v>
      </x:c>
      <x:c r="B959" s="14" t="str">
        <x:v>Prozorro expansion — 24.08</x:v>
      </x:c>
      <x:c r="C959" s="14" t="str">
        <x:v>ФОП Дзюба Олег Володимирович</x:v>
      </x:c>
      <x:c r="D959" s="14" t="str">
        <x:v>Ліфти та підйомники</x:v>
      </x:c>
      <x:c r="E959" s="14" t="str">
        <x:v>Expansion discovery</x:v>
      </x:c>
      <x:c r="F959" s="17" t="str">
        <x:v>D2</x:v>
      </x:c>
      <x:c r="G959" s="14" t="str"/>
      <x:c r="H959" s="14" t="str">
        <x:v>Discovery розширення — 2 тижні</x:v>
      </x:c>
      <x:c r="I959" s="16" t="n">
        <x:v>1</x:v>
      </x:c>
      <x:c r="J959" s="16" t="n">
        <x:v>5</x:v>
      </x:c>
      <x:c r="K959" s="16" t="n">
        <x:v>4</x:v>
      </x:c>
      <x:c r="L959" s="16" t="n">
        <x:v>3</x:v>
      </x:c>
      <x:c r="M959" s="16" t="n">
        <x:v>5</x:v>
      </x:c>
      <x:c r="N959" s="16" t="n">
        <x:v>3</x:v>
      </x:c>
      <x:c r="O959" s="16" t="n">
        <x:v>3</x:v>
      </x:c>
      <x:c r="P959" s="16" t="n">
        <x:f>IF(COUNT(I959:O959)&lt;7,"",I959*8+J959*3+K959*2+L959*2+M959*2+N959*2+O959)</x:f>
        <x:v>56</x:v>
      </x:c>
      <x:c r="Q959" s="16" t="n">
        <x:f>IF(COUNT(J959:O959)&lt;6,"",J959*5+K959*4+M959*4+L959*3+N959*2+O959*2)</x:f>
        <x:v>82</x:v>
      </x:c>
      <x:c r="R959" s="14" t="str">
        <x:v>high</x:v>
      </x:c>
      <x:c r="S959" s="14" t="str">
        <x:v>official_prozorro_award_2024_2026</x:v>
      </x:c>
      <x:c r="T959" s="14" t="str">
        <x:v>official_prozorro_api</x:v>
      </x:c>
      <x:c r="U959" s="14" t="str">
        <x:v>Не контактували</x:v>
      </x:c>
      <x:c r="V959" s="15" t="str">
        <x:v>Workflow-audit outreach по UA-2025-06-17-003792-a; попросити 1 пакет здачі та вимоги проєкту</x:v>
      </x:c>
      <x:c r="W959" s="15" t="str">
        <x:v>Власник / виконавець; відповідальний за договір</x:v>
      </x:c>
      <x:c r="X959" s="15" t="str">
        <x:v>6 нових підтверджених перемог/договорів у Prozorro на 717 779 грн; 0 зі строком виконання не раніше 24.08.2026.</x:v>
      </x:c>
      <x:c r="Y959"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 строк до 2025-12-31. Попросити один знеособлений пакет здачі за цим workflow.</x:v>
      </x:c>
      <x:c r="Z959" s="15" t="str">
        <x:v>https://prozorro.gov.ua/tender/UA-2025-06-17-003792-a</x:v>
      </x:c>
      <x:c r="AA959" s="14" t="str">
        <x:v>3199505212</x:v>
      </x:c>
      <x:c r="AB959" s="14" t="str">
        <x:v>2026-08-24</x:v>
      </x:c>
      <x:c r="AC959" s="14" t="str"/>
      <x:c r="AD959" s="20" t="str"/>
      <x:c r="AE959" s="14" t="str"/>
      <x:c r="AF959" s="14" t="n">
        <x:v>60</x:v>
      </x:c>
      <x:c r="AG959" s="14" t="str">
        <x:v>I2</x:v>
      </x:c>
      <x:c r="AH959" s="14" t="n">
        <x:v>6</x:v>
      </x:c>
      <x:c r="AI959" s="14" t="n">
        <x:v>0</x:v>
      </x:c>
      <x:c r="AJ959" s="18" t="n">
        <x:v>717778.53</x:v>
      </x:c>
      <x:c r="AK959" s="14" t="str">
        <x:v>https://prozorro.gov.ua/tender/UA-2025-06-17-003792-a</x:v>
      </x:c>
      <x:c r="AL959" s="19" t="n">
        <x:v>45825.34077283565</x:v>
      </x:c>
      <x:c r="AM959" s="19" t="n">
        <x:v>46022.916666655095</x:v>
      </x:c>
      <x:c r="AN959" s="15" t="str">
        <x:v>Ліфти та підйомники</x:v>
      </x:c>
      <x:c r="AO959" s="15" t="str">
        <x:v>not_found_in_top_search</x:v>
      </x:c>
    </x:row>
    <x:row r="960">
      <x:c r="A960" s="14" t="str">
        <x:v>W4-141</x:v>
      </x:c>
      <x:c r="B960" s="14" t="str">
        <x:v>Prozorro expansion — 24.08</x:v>
      </x:c>
      <x:c r="C960" s="14" t="str">
        <x:v>ТОВ "Дорбуд-11"</x:v>
      </x:c>
      <x:c r="D960" s="14" t="str">
        <x:v>Дорожні роботи</x:v>
      </x:c>
      <x:c r="E960" s="14" t="str">
        <x:v>Expansion discovery</x:v>
      </x:c>
      <x:c r="F960" s="17" t="str">
        <x:v>D2</x:v>
      </x:c>
      <x:c r="G960" s="14" t="str"/>
      <x:c r="H960" s="14" t="str">
        <x:v>Discovery розширення — 2 тижні</x:v>
      </x:c>
      <x:c r="I960" s="16" t="n">
        <x:v>1</x:v>
      </x:c>
      <x:c r="J960" s="16" t="n">
        <x:v>5</x:v>
      </x:c>
      <x:c r="K960" s="16" t="n">
        <x:v>4</x:v>
      </x:c>
      <x:c r="L960" s="16" t="n">
        <x:v>3</x:v>
      </x:c>
      <x:c r="M960" s="16" t="n">
        <x:v>5</x:v>
      </x:c>
      <x:c r="N960" s="16" t="n">
        <x:v>5</x:v>
      </x:c>
      <x:c r="O960" s="16" t="n">
        <x:v>3</x:v>
      </x:c>
      <x:c r="P960" s="16" t="n">
        <x:f>IF(COUNT(I960:O960)&lt;7,"",I960*8+J960*3+K960*2+L960*2+M960*2+N960*2+O960)</x:f>
        <x:v>60</x:v>
      </x:c>
      <x:c r="Q960" s="16" t="n">
        <x:f>IF(COUNT(J960:O960)&lt;6,"",J960*5+K960*4+M960*4+L960*3+N960*2+O960*2)</x:f>
        <x:v>86</x:v>
      </x:c>
      <x:c r="R960" s="14" t="str">
        <x:v>high</x:v>
      </x:c>
      <x:c r="S960" s="14" t="str">
        <x:v>official_prozorro_award_2024_2026</x:v>
      </x:c>
      <x:c r="T960" s="14" t="str">
        <x:v>official_prozorro_api</x:v>
      </x:c>
      <x:c r="U960" s="14" t="str">
        <x:v>Не контактували</x:v>
      </x:c>
      <x:c r="V960" s="15" t="str">
        <x:v>Workflow-audit outreach по UA-2026-07-30-009221-a; попросити 1 пакет здачі та вимоги проєкту</x:v>
      </x:c>
      <x:c r="W960" s="15" t="str">
        <x:v>Власник / директор; керівник ПТО; відповідальний за договори</x:v>
      </x:c>
      <x:c r="X960" s="15" t="str">
        <x:v>1 нових підтверджених перемог/договорів у Prozorro на 677 557 грн; 1 зі строком виконання не раніше 24.08.2026.</x:v>
      </x:c>
      <x:c r="Y960" s="15" t="str">
        <x:v>Капітальний ремонт дорожнього покриття частини вул. Прорізна в с. Святопетрівське Бучанського району Київської області; строк до 2027-04-30. Попросити один знеособлений пакет здачі за цим workflow.</x:v>
      </x:c>
      <x:c r="Z960" s="15" t="str">
        <x:v>https://prozorro.gov.ua/tender/UA-2026-07-30-009221-a</x:v>
      </x:c>
      <x:c r="AA960" s="14" t="str">
        <x:v>41272096</x:v>
      </x:c>
      <x:c r="AB960" s="14" t="str">
        <x:v>2026-08-24</x:v>
      </x:c>
      <x:c r="AC960" s="14" t="str"/>
      <x:c r="AD960" s="20" t="str"/>
      <x:c r="AE960" s="14" t="str"/>
      <x:c r="AF960" s="14" t="n">
        <x:v>60</x:v>
      </x:c>
      <x:c r="AG960" s="14" t="str">
        <x:v>I2</x:v>
      </x:c>
      <x:c r="AH960" s="14" t="n">
        <x:v>1</x:v>
      </x:c>
      <x:c r="AI960" s="14" t="n">
        <x:v>1</x:v>
      </x:c>
      <x:c r="AJ960" s="18" t="n">
        <x:v>677557.34</x:v>
      </x:c>
      <x:c r="AK960" s="14" t="str">
        <x:v>https://prozorro.gov.ua/tender/UA-2026-07-30-009221-a</x:v>
      </x:c>
      <x:c r="AL960" s="19" t="n">
        <x:v>46233.55473364583</x:v>
      </x:c>
      <x:c r="AM960" s="19" t="n">
        <x:v>46507.557280092595</x:v>
      </x:c>
      <x:c r="AN960" s="15" t="str">
        <x:v>Дорожні роботи</x:v>
      </x:c>
      <x:c r="AO960" s="15" t="str">
        <x:v>not_found_in_top_search</x:v>
      </x:c>
    </x:row>
    <x:row r="961">
      <x:c r="A961" s="14" t="str">
        <x:v>W4-142</x:v>
      </x:c>
      <x:c r="B961" s="14" t="str">
        <x:v>Prozorro expansion — 24.08</x:v>
      </x:c>
      <x:c r="C961" s="14" t="str">
        <x:v>Приватне підприємство "Канів-граніт"</x:v>
      </x:c>
      <x:c r="D961" s="14" t="str">
        <x:v>Дорожні роботи</x:v>
      </x:c>
      <x:c r="E961" s="14" t="str">
        <x:v>Expansion discovery</x:v>
      </x:c>
      <x:c r="F961" s="17" t="str">
        <x:v>D2</x:v>
      </x:c>
      <x:c r="G961" s="14" t="str"/>
      <x:c r="H961" s="14" t="str">
        <x:v>Discovery розширення — 2 тижні</x:v>
      </x:c>
      <x:c r="I961" s="16" t="n">
        <x:v>1</x:v>
      </x:c>
      <x:c r="J961" s="16" t="n">
        <x:v>5</x:v>
      </x:c>
      <x:c r="K961" s="16" t="n">
        <x:v>4</x:v>
      </x:c>
      <x:c r="L961" s="16" t="n">
        <x:v>3</x:v>
      </x:c>
      <x:c r="M961" s="16" t="n">
        <x:v>5</x:v>
      </x:c>
      <x:c r="N961" s="16" t="n">
        <x:v>5</x:v>
      </x:c>
      <x:c r="O961" s="16" t="n">
        <x:v>3</x:v>
      </x:c>
      <x:c r="P961" s="16" t="n">
        <x:f>IF(COUNT(I961:O961)&lt;7,"",I961*8+J961*3+K961*2+L961*2+M961*2+N961*2+O961)</x:f>
        <x:v>60</x:v>
      </x:c>
      <x:c r="Q961" s="16" t="n">
        <x:f>IF(COUNT(J961:O961)&lt;6,"",J961*5+K961*4+M961*4+L961*3+N961*2+O961*2)</x:f>
        <x:v>86</x:v>
      </x:c>
      <x:c r="R961" s="14" t="str">
        <x:v>high</x:v>
      </x:c>
      <x:c r="S961" s="14" t="str">
        <x:v>official_prozorro_award_2024_2026</x:v>
      </x:c>
      <x:c r="T961" s="14" t="str">
        <x:v>official_prozorro_api</x:v>
      </x:c>
      <x:c r="U961" s="14" t="str">
        <x:v>Не контактували</x:v>
      </x:c>
      <x:c r="V961" s="15" t="str">
        <x:v>Workflow-audit outreach по UA-2026-07-20-009003-a; попросити 1 пакет здачі та вимоги проєкту</x:v>
      </x:c>
      <x:c r="W961" s="15" t="str">
        <x:v>Власник / директор; керівник ПТО; відповідальний за договори</x:v>
      </x:c>
      <x:c r="X961" s="15" t="str">
        <x:v>1 нових підтверджених перемог/договорів у Prozorro на 666 545 грн; 1 зі строком виконання не раніше 24.08.2026.</x:v>
      </x:c>
      <x:c r="Y961" s="15" t="str">
        <x:v>Капітальний ремонт дорожнього покриття по вул.Садова с.Гельмязів Золотоніського району Черкаської області; строк до 2026-12-31. Попросити один знеособлений пакет здачі за цим workflow.</x:v>
      </x:c>
      <x:c r="Z961" s="15" t="str">
        <x:v>https://prozorro.gov.ua/tender/UA-2026-07-20-009003-a</x:v>
      </x:c>
      <x:c r="AA961" s="14" t="str">
        <x:v>14207791</x:v>
      </x:c>
      <x:c r="AB961" s="14" t="str">
        <x:v>2026-08-24</x:v>
      </x:c>
      <x:c r="AC961" s="14" t="str"/>
      <x:c r="AD961" s="20" t="str"/>
      <x:c r="AE961" s="14" t="str"/>
      <x:c r="AF961" s="14" t="n">
        <x:v>60</x:v>
      </x:c>
      <x:c r="AG961" s="14" t="str">
        <x:v>I2</x:v>
      </x:c>
      <x:c r="AH961" s="14" t="n">
        <x:v>1</x:v>
      </x:c>
      <x:c r="AI961" s="14" t="n">
        <x:v>1</x:v>
      </x:c>
      <x:c r="AJ961" s="18" t="n">
        <x:v>666544.8</x:v>
      </x:c>
      <x:c r="AK961" s="14" t="str">
        <x:v>https://prozorro.gov.ua/tender/UA-2026-07-20-009003-a</x:v>
      </x:c>
      <x:c r="AL961" s="19" t="n">
        <x:v>46223.543688854166</x:v>
      </x:c>
      <x:c r="AM961" s="19" t="n">
        <x:v>46387</x:v>
      </x:c>
      <x:c r="AN961" s="15" t="str">
        <x:v>Дорожні роботи</x:v>
      </x:c>
      <x:c r="AO961" s="15" t="str">
        <x:v>not_found_in_top_search</x:v>
      </x:c>
    </x:row>
    <x:row r="962">
      <x:c r="A962" s="14" t="str">
        <x:v>W4-143</x:v>
      </x:c>
      <x:c r="B962" s="14" t="str">
        <x:v>Prozorro expansion — 24.08</x:v>
      </x:c>
      <x:c r="C962" s="14" t="str">
        <x:v>ТОВАРИСТВО З ОБМЕЖЕНОЮ ВІДПОВІДАЛЬНІСТЮ "БУДІВЕЛЬНА КОМПАНІЯ "ВІАКОМ"</x:v>
      </x:c>
      <x:c r="D962" s="14" t="str">
        <x:v>Дорожні роботи</x:v>
      </x:c>
      <x:c r="E962" s="14" t="str">
        <x:v>Expansion discovery</x:v>
      </x:c>
      <x:c r="F962" s="17" t="str">
        <x:v>D2</x:v>
      </x:c>
      <x:c r="G962" s="14" t="str"/>
      <x:c r="H962" s="14" t="str">
        <x:v>Discovery розширення — 2 тижні</x:v>
      </x:c>
      <x:c r="I962" s="16" t="n">
        <x:v>1</x:v>
      </x:c>
      <x:c r="J962" s="16" t="n">
        <x:v>5</x:v>
      </x:c>
      <x:c r="K962" s="16" t="n">
        <x:v>4</x:v>
      </x:c>
      <x:c r="L962" s="16" t="n">
        <x:v>3</x:v>
      </x:c>
      <x:c r="M962" s="16" t="n">
        <x:v>5</x:v>
      </x:c>
      <x:c r="N962" s="16" t="n">
        <x:v>5</x:v>
      </x:c>
      <x:c r="O962" s="16" t="n">
        <x:v>3</x:v>
      </x:c>
      <x:c r="P962" s="16" t="n">
        <x:f>IF(COUNT(I962:O962)&lt;7,"",I962*8+J962*3+K962*2+L962*2+M962*2+N962*2+O962)</x:f>
        <x:v>60</x:v>
      </x:c>
      <x:c r="Q962" s="16" t="n">
        <x:f>IF(COUNT(J962:O962)&lt;6,"",J962*5+K962*4+M962*4+L962*3+N962*2+O962*2)</x:f>
        <x:v>86</x:v>
      </x:c>
      <x:c r="R962" s="14" t="str">
        <x:v>high</x:v>
      </x:c>
      <x:c r="S962" s="14" t="str">
        <x:v>official_prozorro_award_2024_2026</x:v>
      </x:c>
      <x:c r="T962" s="14" t="str">
        <x:v>official_prozorro_api</x:v>
      </x:c>
      <x:c r="U962" s="14" t="str">
        <x:v>Не контактували</x:v>
      </x:c>
      <x:c r="V962" s="15" t="str">
        <x:v>Workflow-audit outreach по UA-2026-08-17-011911-a; попросити 1 пакет здачі та вимоги проєкту</x:v>
      </x:c>
      <x:c r="W962" s="15" t="str">
        <x:v>Власник / директор; керівник ПТО; відповідальний за договори</x:v>
      </x:c>
      <x:c r="X962" s="15" t="str">
        <x:v>1 нових підтверджених перемог/договорів у Prozorro на 627 432 грн; 1 зі строком виконання не раніше 24.08.2026.</x:v>
      </x:c>
      <x:c r="Y962" s="15" t="str">
        <x:v>Капітальний ремонт дорожнього покриття перехрестя вулиць Мазепи-Вербицького в м.Новояворівськ Львівської області; строк до 2026-12-31. Попросити один знеособлений пакет здачі за цим workflow.</x:v>
      </x:c>
      <x:c r="Z962" s="15" t="str">
        <x:v>https://prozorro.gov.ua/tender/UA-2026-08-17-011911-a</x:v>
      </x:c>
      <x:c r="AA962" s="14" t="str">
        <x:v>42818575</x:v>
      </x:c>
      <x:c r="AB962" s="14" t="str">
        <x:v>2026-08-24</x:v>
      </x:c>
      <x:c r="AC962" s="14" t="str"/>
      <x:c r="AD962" s="20" t="str"/>
      <x:c r="AE962" s="14" t="str"/>
      <x:c r="AF962" s="14" t="n">
        <x:v>60</x:v>
      </x:c>
      <x:c r="AG962" s="14" t="str">
        <x:v>I2</x:v>
      </x:c>
      <x:c r="AH962" s="14" t="n">
        <x:v>1</x:v>
      </x:c>
      <x:c r="AI962" s="14" t="n">
        <x:v>1</x:v>
      </x:c>
      <x:c r="AJ962" s="18" t="n">
        <x:v>627432</x:v>
      </x:c>
      <x:c r="AK962" s="14" t="str">
        <x:v>https://prozorro.gov.ua/tender/UA-2026-08-17-011911-a</x:v>
      </x:c>
      <x:c r="AL962" s="19" t="n">
        <x:v>46251.598258645834</x:v>
      </x:c>
      <x:c r="AM962" s="19" t="n">
        <x:v>46387</x:v>
      </x:c>
      <x:c r="AN962" s="15" t="str">
        <x:v>Дорожні роботи</x:v>
      </x:c>
      <x:c r="AO962" s="15" t="str">
        <x:v>not_found_in_top_search</x:v>
      </x:c>
    </x:row>
    <x:row r="963">
      <x:c r="A963" s="14" t="str">
        <x:v>W4-144</x:v>
      </x:c>
      <x:c r="B963" s="14" t="str">
        <x:v>Prozorro expansion — 24.08</x:v>
      </x:c>
      <x:c r="C963" s="14" t="str">
        <x:v>ТОВАРИСТВО З ОБМЕЖЕНОЮ ВІДПОВІДАЛЬНІСТЮ "БУДІВНИЙ ДВІР"</x:v>
      </x:c>
      <x:c r="D963" s="14" t="str">
        <x:v>Дорожні роботи</x:v>
      </x:c>
      <x:c r="E963" s="14" t="str">
        <x:v>Expansion discovery</x:v>
      </x:c>
      <x:c r="F963" s="17" t="str">
        <x:v>D2</x:v>
      </x:c>
      <x:c r="G963" s="14" t="str"/>
      <x:c r="H963" s="14" t="str">
        <x:v>Discovery розширення — 2 тижні</x:v>
      </x:c>
      <x:c r="I963" s="16" t="n">
        <x:v>1</x:v>
      </x:c>
      <x:c r="J963" s="16" t="n">
        <x:v>5</x:v>
      </x:c>
      <x:c r="K963" s="16" t="n">
        <x:v>4</x:v>
      </x:c>
      <x:c r="L963" s="16" t="n">
        <x:v>3</x:v>
      </x:c>
      <x:c r="M963" s="16" t="n">
        <x:v>5</x:v>
      </x:c>
      <x:c r="N963" s="16" t="n">
        <x:v>5</x:v>
      </x:c>
      <x:c r="O963" s="16" t="n">
        <x:v>3</x:v>
      </x:c>
      <x:c r="P963" s="16" t="n">
        <x:f>IF(COUNT(I963:O963)&lt;7,"",I963*8+J963*3+K963*2+L963*2+M963*2+N963*2+O963)</x:f>
        <x:v>60</x:v>
      </x:c>
      <x:c r="Q963" s="16" t="n">
        <x:f>IF(COUNT(J963:O963)&lt;6,"",J963*5+K963*4+M963*4+L963*3+N963*2+O963*2)</x:f>
        <x:v>86</x:v>
      </x:c>
      <x:c r="R963" s="14" t="str">
        <x:v>high</x:v>
      </x:c>
      <x:c r="S963" s="14" t="str">
        <x:v>official_prozorro_award_2024_2026</x:v>
      </x:c>
      <x:c r="T963" s="14" t="str">
        <x:v>official_prozorro_api</x:v>
      </x:c>
      <x:c r="U963" s="14" t="str">
        <x:v>Не контактували</x:v>
      </x:c>
      <x:c r="V963" s="15" t="str">
        <x:v>Workflow-audit outreach по UA-2026-08-05-000787-a; попросити 1 пакет здачі та вимоги проєкту</x:v>
      </x:c>
      <x:c r="W963" s="15" t="str">
        <x:v>Власник / директор; керівник ПТО; відповідальний за договори</x:v>
      </x:c>
      <x:c r="X963" s="15" t="str">
        <x:v>1 нових підтверджених перемог/договорів у Prozorro на 620 788 грн; 1 зі строком виконання не раніше 24.08.2026.</x:v>
      </x:c>
      <x:c r="Y963" s="15" t="str">
        <x:v>Капітальний ремонт дорожнього покриття по вул. Захисників України в с-ще Рогань, Харківського району, Харківської області; строк до 2026-12-31. Попросити один знеособлений пакет здачі за цим workflow.</x:v>
      </x:c>
      <x:c r="Z963" s="15" t="str">
        <x:v>https://prozorro.gov.ua/tender/UA-2026-08-05-000787-a</x:v>
      </x:c>
      <x:c r="AA963" s="14" t="str">
        <x:v>36647065</x:v>
      </x:c>
      <x:c r="AB963" s="14" t="str">
        <x:v>2026-08-24</x:v>
      </x:c>
      <x:c r="AC963" s="14" t="str"/>
      <x:c r="AD963" s="20" t="str"/>
      <x:c r="AE963" s="14" t="str"/>
      <x:c r="AF963" s="14" t="n">
        <x:v>60</x:v>
      </x:c>
      <x:c r="AG963" s="14" t="str">
        <x:v>I2</x:v>
      </x:c>
      <x:c r="AH963" s="14" t="n">
        <x:v>1</x:v>
      </x:c>
      <x:c r="AI963" s="14" t="n">
        <x:v>1</x:v>
      </x:c>
      <x:c r="AJ963" s="18" t="n">
        <x:v>620788.45</x:v>
      </x:c>
      <x:c r="AK963" s="14" t="str">
        <x:v>https://prozorro.gov.ua/tender/UA-2026-08-05-000787-a</x:v>
      </x:c>
      <x:c r="AL963" s="19" t="n">
        <x:v>46239.26417909722</x:v>
      </x:c>
      <x:c r="AM963" s="19" t="n">
        <x:v>46387</x:v>
      </x:c>
      <x:c r="AN963" s="15" t="str">
        <x:v>Дорожні роботи</x:v>
      </x:c>
      <x:c r="AO963" s="15" t="str">
        <x:v>not_found_in_top_search</x:v>
      </x:c>
    </x:row>
    <x:row r="964">
      <x:c r="A964" s="14" t="str">
        <x:v>W4-145</x:v>
      </x:c>
      <x:c r="B964" s="14" t="str">
        <x:v>Prozorro expansion — 24.08</x:v>
      </x:c>
      <x:c r="C964" s="14" t="str">
        <x:v>ТОВАРИСТВО З ОБМЕЖЕНОЮ ВІДПОВІДАЛЬНІСТЮ "В.О."</x:v>
      </x:c>
      <x:c r="D964" s="14" t="str">
        <x:v>Фасади та скління</x:v>
      </x:c>
      <x:c r="E964" s="14" t="str">
        <x:v>Expansion discovery</x:v>
      </x:c>
      <x:c r="F964" s="17" t="str">
        <x:v>D2</x:v>
      </x:c>
      <x:c r="G964" s="14" t="str"/>
      <x:c r="H964" s="14" t="str">
        <x:v>Discovery розширення — 2 тижні</x:v>
      </x:c>
      <x:c r="I964" s="16" t="n">
        <x:v>1</x:v>
      </x:c>
      <x:c r="J964" s="16" t="n">
        <x:v>5</x:v>
      </x:c>
      <x:c r="K964" s="16" t="n">
        <x:v>5</x:v>
      </x:c>
      <x:c r="L964" s="16" t="n">
        <x:v>3</x:v>
      </x:c>
      <x:c r="M964" s="16" t="n">
        <x:v>5</x:v>
      </x:c>
      <x:c r="N964" s="16" t="n">
        <x:v>5</x:v>
      </x:c>
      <x:c r="O964" s="16" t="n">
        <x:v>3</x:v>
      </x:c>
      <x:c r="P964" s="16" t="n">
        <x:f>IF(COUNT(I964:O964)&lt;7,"",I964*8+J964*3+K964*2+L964*2+M964*2+N964*2+O964)</x:f>
        <x:v>62</x:v>
      </x:c>
      <x:c r="Q964" s="16" t="n">
        <x:f>IF(COUNT(J964:O964)&lt;6,"",J964*5+K964*4+M964*4+L964*3+N964*2+O964*2)</x:f>
        <x:v>90</x:v>
      </x:c>
      <x:c r="R964" s="14" t="str">
        <x:v>high</x:v>
      </x:c>
      <x:c r="S964" s="14" t="str">
        <x:v>official_prozorro_award_2024_2026</x:v>
      </x:c>
      <x:c r="T964" s="14" t="str">
        <x:v>official_prozorro_api</x:v>
      </x:c>
      <x:c r="U964" s="14" t="str">
        <x:v>Не контактували</x:v>
      </x:c>
      <x:c r="V964" s="15" t="str">
        <x:v>Workflow-audit outreach по UA-2026-08-13-012473-a; попросити 1 пакет здачі та вимоги проєкту</x:v>
      </x:c>
      <x:c r="W964" s="15" t="str">
        <x:v>Власник / директор; керівник ПТО; відповідальний за договори</x:v>
      </x:c>
      <x:c r="X964" s="15" t="str">
        <x:v>1 нових підтверджених перемог/договорів у Prozorro на 551 918 грн; 1 зі строком виконання не раніше 24.08.2026.</x:v>
      </x:c>
      <x:c r="Y964" s="15" t="str">
        <x:v>Капітальний ремонт з утепленням стіни бокового фасаду житлового будинку по пр. Л. Українки, 1 в м. Калуш Івано-Франківської обл.; строк до 2026-12-31. Попросити один знеособлений пакет здачі за цим workflow.</x:v>
      </x:c>
      <x:c r="Z964" s="15" t="str">
        <x:v>https://prozorro.gov.ua/tender/UA-2026-08-13-012473-a</x:v>
      </x:c>
      <x:c r="AA964" s="14" t="str">
        <x:v>34623828</x:v>
      </x:c>
      <x:c r="AB964" s="14" t="str">
        <x:v>2026-08-24</x:v>
      </x:c>
      <x:c r="AC964" s="14" t="str"/>
      <x:c r="AD964" s="20" t="str"/>
      <x:c r="AE964" s="14" t="str"/>
      <x:c r="AF964" s="14" t="n">
        <x:v>60</x:v>
      </x:c>
      <x:c r="AG964" s="14" t="str">
        <x:v>I2</x:v>
      </x:c>
      <x:c r="AH964" s="14" t="n">
        <x:v>1</x:v>
      </x:c>
      <x:c r="AI964" s="14" t="n">
        <x:v>1</x:v>
      </x:c>
      <x:c r="AJ964" s="18" t="n">
        <x:v>551917.63</x:v>
      </x:c>
      <x:c r="AK964" s="14" t="str">
        <x:v>https://prozorro.gov.ua/tender/UA-2026-08-13-012473-a</x:v>
      </x:c>
      <x:c r="AL964" s="19" t="n">
        <x:v>46247.614911770834</x:v>
      </x:c>
      <x:c r="AM964" s="19" t="n">
        <x:v>46387</x:v>
      </x:c>
      <x:c r="AN964" s="15" t="str">
        <x:v>Фасади та скління</x:v>
      </x:c>
      <x:c r="AO964" s="15" t="str">
        <x:v>not_found_in_top_search</x:v>
      </x:c>
    </x:row>
    <x:row r="965">
      <x:c r="A965" s="14" t="str">
        <x:v>W4-146</x:v>
      </x:c>
      <x:c r="B965" s="14" t="str">
        <x:v>Prozorro expansion — 24.08</x:v>
      </x:c>
      <x:c r="C965" s="14" t="str">
        <x:v>ТОВАРИСТВО З ОБМЕЖЕНОЮ ВІДПОВІДАЛЬНІСТЮ "АГРОШЛЯХБУД"</x:v>
      </x:c>
      <x:c r="D965" s="14" t="str">
        <x:v>Дорожні роботи</x:v>
      </x:c>
      <x:c r="E965" s="14" t="str">
        <x:v>Expansion discovery</x:v>
      </x:c>
      <x:c r="F965" s="17" t="str">
        <x:v>D2</x:v>
      </x:c>
      <x:c r="G965" s="14" t="str"/>
      <x:c r="H965" s="14" t="str">
        <x:v>Discovery розширення — 2 тижні</x:v>
      </x:c>
      <x:c r="I965" s="16" t="n">
        <x:v>1</x:v>
      </x:c>
      <x:c r="J965" s="16" t="n">
        <x:v>5</x:v>
      </x:c>
      <x:c r="K965" s="16" t="n">
        <x:v>4</x:v>
      </x:c>
      <x:c r="L965" s="16" t="n">
        <x:v>3</x:v>
      </x:c>
      <x:c r="M965" s="16" t="n">
        <x:v>5</x:v>
      </x:c>
      <x:c r="N965" s="16" t="n">
        <x:v>5</x:v>
      </x:c>
      <x:c r="O965" s="16" t="n">
        <x:v>3</x:v>
      </x:c>
      <x:c r="P965" s="16" t="n">
        <x:f>IF(COUNT(I965:O965)&lt;7,"",I965*8+J965*3+K965*2+L965*2+M965*2+N965*2+O965)</x:f>
        <x:v>60</x:v>
      </x:c>
      <x:c r="Q965" s="16" t="n">
        <x:f>IF(COUNT(J965:O965)&lt;6,"",J965*5+K965*4+M965*4+L965*3+N965*2+O965*2)</x:f>
        <x:v>86</x:v>
      </x:c>
      <x:c r="R965" s="14" t="str">
        <x:v>high</x:v>
      </x:c>
      <x:c r="S965" s="14" t="str">
        <x:v>official_prozorro_award_2024_2026</x:v>
      </x:c>
      <x:c r="T965" s="14" t="str">
        <x:v>official_prozorro_api</x:v>
      </x:c>
      <x:c r="U965" s="14" t="str">
        <x:v>Не контактували</x:v>
      </x:c>
      <x:c r="V965" s="15" t="str">
        <x:v>Workflow-audit outreach по UA-2026-08-20-010199-a; попросити 1 пакет здачі та вимоги проєкту</x:v>
      </x:c>
      <x:c r="W965" s="15" t="str">
        <x:v>Власник / директор; керівник ПТО; відповідальний за договори</x:v>
      </x:c>
      <x:c r="X965" s="15" t="str">
        <x:v>1 нових підтверджених перемог/договорів у Prozorro на 504 608 грн; 1 зі строком виконання не раніше 24.08.2026.</x:v>
      </x:c>
      <x:c r="Y965" s="15" t="str">
        <x:v>Капітальний ремонт дорожнього покриття від буд №2 до буд.№ 22 по вул.Молодіжна в с.Гурівське Роздільнянського району Одеської області; строк до 2026-12-31. Попросити один знеособлений пакет здачі за цим workflow.</x:v>
      </x:c>
      <x:c r="Z965" s="15" t="str">
        <x:v>https://prozorro.gov.ua/tender/UA-2026-08-20-010199-a</x:v>
      </x:c>
      <x:c r="AA965" s="14" t="str">
        <x:v>05407344</x:v>
      </x:c>
      <x:c r="AB965" s="14" t="str">
        <x:v>2026-08-24</x:v>
      </x:c>
      <x:c r="AC965" s="14" t="str"/>
      <x:c r="AD965" s="20" t="str"/>
      <x:c r="AE965" s="14" t="str"/>
      <x:c r="AF965" s="14" t="n">
        <x:v>60</x:v>
      </x:c>
      <x:c r="AG965" s="14" t="str">
        <x:v>I2</x:v>
      </x:c>
      <x:c r="AH965" s="14" t="n">
        <x:v>1</x:v>
      </x:c>
      <x:c r="AI965" s="14" t="n">
        <x:v>1</x:v>
      </x:c>
      <x:c r="AJ965" s="18" t="n">
        <x:v>504608.4</x:v>
      </x:c>
      <x:c r="AK965" s="14" t="str">
        <x:v>https://prozorro.gov.ua/tender/UA-2026-08-20-010199-a</x:v>
      </x:c>
      <x:c r="AL965" s="19" t="n">
        <x:v>46254.52290949074</x:v>
      </x:c>
      <x:c r="AM965" s="19" t="n">
        <x:v>46387</x:v>
      </x:c>
      <x:c r="AN965" s="15" t="str">
        <x:v>Дорожні роботи</x:v>
      </x:c>
      <x:c r="AO965" s="15" t="str">
        <x:v>not_found_in_top_search</x:v>
      </x:c>
    </x:row>
    <x:row r="966">
      <x:c r="A966" s="14" t="str">
        <x:v>W4-147</x:v>
      </x:c>
      <x:c r="B966" s="14" t="str">
        <x:v>Prozorro expansion — 24.08</x:v>
      </x:c>
      <x:c r="C966" s="14" t="str">
        <x:v>ТОВАРИСТВО З ОБМЕЖЕНОЮ ВІДПОВІДАЛЬНІСТЮ "БУДЛАЙТ ДНІПРО"</x:v>
      </x:c>
      <x:c r="D966" s="14" t="str">
        <x:v>Фасади та скління</x:v>
      </x:c>
      <x:c r="E966" s="14" t="str">
        <x:v>Expansion discovery</x:v>
      </x:c>
      <x:c r="F966" s="17" t="str">
        <x:v>D2</x:v>
      </x:c>
      <x:c r="G966" s="14" t="str"/>
      <x:c r="H966" s="14" t="str">
        <x:v>Discovery розширення — 2 тижні</x:v>
      </x:c>
      <x:c r="I966" s="16" t="n">
        <x:v>1</x:v>
      </x:c>
      <x:c r="J966" s="16" t="n">
        <x:v>5</x:v>
      </x:c>
      <x:c r="K966" s="16" t="n">
        <x:v>5</x:v>
      </x:c>
      <x:c r="L966" s="16" t="n">
        <x:v>2</x:v>
      </x:c>
      <x:c r="M966" s="16" t="n">
        <x:v>5</x:v>
      </x:c>
      <x:c r="N966" s="16" t="n">
        <x:v>5</x:v>
      </x:c>
      <x:c r="O966" s="16" t="n">
        <x:v>3</x:v>
      </x:c>
      <x:c r="P966" s="16" t="n">
        <x:f>IF(COUNT(I966:O966)&lt;7,"",I966*8+J966*3+K966*2+L966*2+M966*2+N966*2+O966)</x:f>
        <x:v>60</x:v>
      </x:c>
      <x:c r="Q966" s="16" t="n">
        <x:f>IF(COUNT(J966:O966)&lt;6,"",J966*5+K966*4+M966*4+L966*3+N966*2+O966*2)</x:f>
        <x:v>87</x:v>
      </x:c>
      <x:c r="R966" s="14" t="str">
        <x:v>high</x:v>
      </x:c>
      <x:c r="S966" s="14" t="str">
        <x:v>official_prozorro_award_2024_2026</x:v>
      </x:c>
      <x:c r="T966" s="14" t="str">
        <x:v>official_prozorro_api</x:v>
      </x:c>
      <x:c r="U966" s="14" t="str">
        <x:v>Не контактували</x:v>
      </x:c>
      <x:c r="V966" s="15" t="str">
        <x:v>Workflow-audit outreach по UA-2026-06-25-008189-a; попросити 1 пакет здачі та вимоги проєкту</x:v>
      </x:c>
      <x:c r="W966" s="15" t="str">
        <x:v>Власник / директор; керівник ПТО; відповідальний за договори</x:v>
      </x:c>
      <x:c r="X966" s="15" t="str">
        <x:v>2 нових підтверджених перемог/договорів у Prozorro на 191 172 грн; 2 зі строком виконання не раніше 24.08.2026.</x:v>
      </x:c>
      <x:c r="Y966"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 строк до 2026-12-31. Попросити один знеособлений пакет здачі за цим workflow.</x:v>
      </x:c>
      <x:c r="Z966" s="15" t="str">
        <x:v>https://prozorro.gov.ua/tender/UA-2026-06-25-008189-a</x:v>
      </x:c>
      <x:c r="AA966" s="14" t="str">
        <x:v>45738702</x:v>
      </x:c>
      <x:c r="AB966" s="14" t="str">
        <x:v>2026-08-24</x:v>
      </x:c>
      <x:c r="AC966" s="14" t="str"/>
      <x:c r="AD966" s="20" t="str"/>
      <x:c r="AE966" s="14" t="str"/>
      <x:c r="AF966" s="14" t="n">
        <x:v>60</x:v>
      </x:c>
      <x:c r="AG966" s="14" t="str">
        <x:v>I2</x:v>
      </x:c>
      <x:c r="AH966" s="14" t="n">
        <x:v>2</x:v>
      </x:c>
      <x:c r="AI966" s="14" t="n">
        <x:v>2</x:v>
      </x:c>
      <x:c r="AJ966" s="18" t="n">
        <x:v>191172</x:v>
      </x:c>
      <x:c r="AK966" s="14" t="str">
        <x:v>https://prozorro.gov.ua/tender/UA-2026-06-25-008189-a</x:v>
      </x:c>
      <x:c r="AL966" s="19" t="n">
        <x:v>46198.48100581019</x:v>
      </x:c>
      <x:c r="AM966" s="19" t="n">
        <x:v>46387</x:v>
      </x:c>
      <x:c r="AN966" s="15" t="str">
        <x:v>Фасади та скління</x:v>
      </x:c>
      <x:c r="AO966" s="15" t="str">
        <x:v>not_found_in_top_search</x:v>
      </x:c>
    </x:row>
    <x:row r="967">
      <x:c r="A967" s="14" t="str">
        <x:v>W4-148</x:v>
      </x:c>
      <x:c r="B967" s="14" t="str">
        <x:v>Prozorro expansion — 24.08</x:v>
      </x:c>
      <x:c r="C967" s="14" t="str">
        <x:v>ТОВАРИСТВО З ОБМЕЖЕНОЮ ВІДПОВІДАЛЬНІСТЮ "ІНТЕРЗАХИСТ-УКРАЇНА"</x:v>
      </x:c>
      <x:c r="D967" s="14" t="str">
        <x:v>Пасивний вогнезахист</x:v>
      </x:c>
      <x:c r="E967" s="14" t="str">
        <x:v>Expansion discovery</x:v>
      </x:c>
      <x:c r="F967" s="17" t="str">
        <x:v>D2</x:v>
      </x:c>
      <x:c r="G967" s="14" t="str"/>
      <x:c r="H967" s="14" t="str">
        <x:v>Discovery розширення — 2 тижні</x:v>
      </x:c>
      <x:c r="I967" s="16" t="n">
        <x:v>1</x:v>
      </x:c>
      <x:c r="J967" s="16" t="n">
        <x:v>5</x:v>
      </x:c>
      <x:c r="K967" s="16" t="n">
        <x:v>5</x:v>
      </x:c>
      <x:c r="L967" s="16" t="n">
        <x:v>2</x:v>
      </x:c>
      <x:c r="M967" s="16" t="n">
        <x:v>5</x:v>
      </x:c>
      <x:c r="N967" s="16" t="n">
        <x:v>5</x:v>
      </x:c>
      <x:c r="O967" s="16" t="n">
        <x:v>3</x:v>
      </x:c>
      <x:c r="P967" s="16" t="n">
        <x:f>IF(COUNT(I967:O967)&lt;7,"",I967*8+J967*3+K967*2+L967*2+M967*2+N967*2+O967)</x:f>
        <x:v>60</x:v>
      </x:c>
      <x:c r="Q967" s="16" t="n">
        <x:f>IF(COUNT(J967:O967)&lt;6,"",J967*5+K967*4+M967*4+L967*3+N967*2+O967*2)</x:f>
        <x:v>87</x:v>
      </x:c>
      <x:c r="R967" s="14" t="str">
        <x:v>high</x:v>
      </x:c>
      <x:c r="S967" s="14" t="str">
        <x:v>official_prozorro_award_2024_2026</x:v>
      </x:c>
      <x:c r="T967" s="14" t="str">
        <x:v>official_prozorro_api</x:v>
      </x:c>
      <x:c r="U967" s="14" t="str">
        <x:v>Не контактували</x:v>
      </x:c>
      <x:c r="V967" s="15" t="str">
        <x:v>Workflow-audit outreach по UA-2026-07-06-003896-a; попросити 1 пакет здачі та вимоги проєкту</x:v>
      </x:c>
      <x:c r="W967" s="15" t="str">
        <x:v>Власник / директор; керівник ПТО; відповідальний за договори</x:v>
      </x:c>
      <x:c r="X967" s="15" t="str">
        <x:v>2 нових підтверджених перемог/договорів у Prozorro на 165 012 грн; 2 зі строком виконання не раніше 24.08.2026.</x:v>
      </x:c>
      <x:c r="Y967" s="15" t="str">
        <x:v>Послуги з просочування деревини. 
Вогнезахисна обробка дерев'яних конструкцій горища будівлі Кременчуцької гімназії № 2; строк до 2026-12-31. Попросити один знеособлений пакет здачі за цим workflow.</x:v>
      </x:c>
      <x:c r="Z967" s="15" t="str">
        <x:v>https://prozorro.gov.ua/tender/UA-2026-07-06-003896-a</x:v>
      </x:c>
      <x:c r="AA967" s="14" t="str">
        <x:v>42259081</x:v>
      </x:c>
      <x:c r="AB967" s="14" t="str">
        <x:v>2026-08-24</x:v>
      </x:c>
      <x:c r="AC967" s="14" t="str"/>
      <x:c r="AD967" s="20" t="str"/>
      <x:c r="AE967" s="14" t="str"/>
      <x:c r="AF967" s="14" t="n">
        <x:v>60</x:v>
      </x:c>
      <x:c r="AG967" s="14" t="str">
        <x:v>I2</x:v>
      </x:c>
      <x:c r="AH967" s="14" t="n">
        <x:v>2</x:v>
      </x:c>
      <x:c r="AI967" s="14" t="n">
        <x:v>2</x:v>
      </x:c>
      <x:c r="AJ967" s="18" t="n">
        <x:v>165012.2</x:v>
      </x:c>
      <x:c r="AK967" s="14" t="str">
        <x:v>https://prozorro.gov.ua/tender/UA-2026-07-06-003896-a</x:v>
      </x:c>
      <x:c r="AL967" s="19" t="n">
        <x:v>46209.38064425926</x:v>
      </x:c>
      <x:c r="AM967" s="19" t="n">
        <x:v>46387</x:v>
      </x:c>
      <x:c r="AN967" s="15" t="str">
        <x:v>Пасивний вогнезахист</x:v>
      </x:c>
      <x:c r="AO967" s="15" t="str">
        <x:v>not_found_in_top_search</x:v>
      </x:c>
    </x:row>
    <x:row r="968">
      <x:c r="A968" s="14" t="str">
        <x:v>W4-149</x:v>
      </x:c>
      <x:c r="B968" s="14" t="str">
        <x:v>Prozorro expansion — 24.08</x:v>
      </x:c>
      <x:c r="C968" s="14" t="str">
        <x:v>ПОЛТАВСЬКЕ ОБЛАСНЕ СПЕЦІАЛІЗОВАНЕ РЕМОНТНО-БУДІВЕЛЬНЕ ПІДПРИЄМСТВО ПРОТИПОЖЕЖНИХ РОБІТ ДОБРОВІЛЬНОГО ПОЖЕЖНОГО ТОВАРИСТВА УКРАЇНИ</x:v>
      </x:c>
      <x:c r="D968" s="14" t="str">
        <x:v>Пасивний вогнезахист</x:v>
      </x:c>
      <x:c r="E968" s="14" t="str">
        <x:v>Expansion discovery</x:v>
      </x:c>
      <x:c r="F968" s="17" t="str">
        <x:v>D2</x:v>
      </x:c>
      <x:c r="G968" s="14" t="str"/>
      <x:c r="H968" s="14" t="str">
        <x:v>Discovery розширення — 2 тижні</x:v>
      </x:c>
      <x:c r="I968" s="16" t="n">
        <x:v>1</x:v>
      </x:c>
      <x:c r="J968" s="16" t="n">
        <x:v>5</x:v>
      </x:c>
      <x:c r="K968" s="16" t="n">
        <x:v>5</x:v>
      </x:c>
      <x:c r="L968" s="16" t="n">
        <x:v>2</x:v>
      </x:c>
      <x:c r="M968" s="16" t="n">
        <x:v>5</x:v>
      </x:c>
      <x:c r="N968" s="16" t="n">
        <x:v>5</x:v>
      </x:c>
      <x:c r="O968" s="16" t="n">
        <x:v>3</x:v>
      </x:c>
      <x:c r="P968" s="16" t="n">
        <x:f>IF(COUNT(I968:O968)&lt;7,"",I968*8+J968*3+K968*2+L968*2+M968*2+N968*2+O968)</x:f>
        <x:v>60</x:v>
      </x:c>
      <x:c r="Q968" s="16" t="n">
        <x:f>IF(COUNT(J968:O968)&lt;6,"",J968*5+K968*4+M968*4+L968*3+N968*2+O968*2)</x:f>
        <x:v>87</x:v>
      </x:c>
      <x:c r="R968" s="14" t="str">
        <x:v>high</x:v>
      </x:c>
      <x:c r="S968" s="14" t="str">
        <x:v>official_prozorro_award_2024_2026</x:v>
      </x:c>
      <x:c r="T968" s="14" t="str">
        <x:v>official_prozorro_api</x:v>
      </x:c>
      <x:c r="U968" s="14" t="str">
        <x:v>Не контактували</x:v>
      </x:c>
      <x:c r="V968" s="15" t="str">
        <x:v>Workflow-audit outreach по UA-2026-06-12-005338-a; попросити 1 пакет здачі та вимоги проєкту</x:v>
      </x:c>
      <x:c r="W968" s="15" t="str">
        <x:v>Власник / директор; керівник ПТО; відповідальний за договори</x:v>
      </x:c>
      <x:c r="X968" s="15" t="str">
        <x:v>2 нових підтверджених перемог/договорів у Prozorro на 136 260 грн; 2 зі строком виконання не раніше 24.08.2026.</x:v>
      </x:c>
      <x:c r="Y968" s="15" t="str">
        <x:v>Послуги з вогнезахисної обробки дерев’яних конструкцій даху будівлі; строк до 2026-12-31. Попросити один знеособлений пакет здачі за цим workflow.</x:v>
      </x:c>
      <x:c r="Z968" s="15" t="str">
        <x:v>https://prozorro.gov.ua/tender/UA-2026-06-12-005338-a</x:v>
      </x:c>
      <x:c r="AA968" s="14" t="str">
        <x:v>00183087</x:v>
      </x:c>
      <x:c r="AB968" s="14" t="str">
        <x:v>2026-08-24</x:v>
      </x:c>
      <x:c r="AC968" s="14" t="str"/>
      <x:c r="AD968" s="20" t="str"/>
      <x:c r="AE968" s="14" t="str"/>
      <x:c r="AF968" s="14" t="n">
        <x:v>60</x:v>
      </x:c>
      <x:c r="AG968" s="14" t="str">
        <x:v>I2</x:v>
      </x:c>
      <x:c r="AH968" s="14" t="n">
        <x:v>2</x:v>
      </x:c>
      <x:c r="AI968" s="14" t="n">
        <x:v>2</x:v>
      </x:c>
      <x:c r="AJ968" s="18" t="n">
        <x:v>136260</x:v>
      </x:c>
      <x:c r="AK968" s="14" t="str">
        <x:v>https://prozorro.gov.ua/tender/UA-2026-06-12-005338-a</x:v>
      </x:c>
      <x:c r="AL968" s="19" t="n">
        <x:v>46185.37672460648</x:v>
      </x:c>
      <x:c r="AM968" s="19" t="n">
        <x:v>46387</x:v>
      </x:c>
      <x:c r="AN968" s="15" t="str">
        <x:v>Пасивний вогнезахист</x:v>
      </x:c>
      <x:c r="AO968" s="15" t="str">
        <x:v>not_found_in_top_search</x:v>
      </x:c>
    </x:row>
    <x:row r="969">
      <x:c r="A969" s="14" t="str">
        <x:v>W4-150</x:v>
      </x:c>
      <x:c r="B969" s="14" t="str">
        <x:v>Prozorro expansion — 24.08</x:v>
      </x:c>
      <x:c r="C969" s="14" t="str">
        <x:v>ПРИВАТНЕ ПІДПРИЄМСТВО "УКРПОЖБУД"</x:v>
      </x:c>
      <x:c r="D969" s="14" t="str">
        <x:v>Пасивний вогнезахист</x:v>
      </x:c>
      <x:c r="E969" s="14" t="str">
        <x:v>Expansion discovery</x:v>
      </x:c>
      <x:c r="F969" s="17" t="str">
        <x:v>D2</x:v>
      </x:c>
      <x:c r="G969" s="14" t="str"/>
      <x:c r="H969" s="14" t="str">
        <x:v>Discovery розширення — 2 тижні</x:v>
      </x:c>
      <x:c r="I969" s="16" t="n">
        <x:v>1</x:v>
      </x:c>
      <x:c r="J969" s="16" t="n">
        <x:v>5</x:v>
      </x:c>
      <x:c r="K969" s="16" t="n">
        <x:v>5</x:v>
      </x:c>
      <x:c r="L969" s="16" t="n">
        <x:v>2</x:v>
      </x:c>
      <x:c r="M969" s="16" t="n">
        <x:v>5</x:v>
      </x:c>
      <x:c r="N969" s="16" t="n">
        <x:v>5</x:v>
      </x:c>
      <x:c r="O969" s="16" t="n">
        <x:v>3</x:v>
      </x:c>
      <x:c r="P969" s="16" t="n">
        <x:f>IF(COUNT(I969:O969)&lt;7,"",I969*8+J969*3+K969*2+L969*2+M969*2+N969*2+O969)</x:f>
        <x:v>60</x:v>
      </x:c>
      <x:c r="Q969" s="16" t="n">
        <x:f>IF(COUNT(J969:O969)&lt;6,"",J969*5+K969*4+M969*4+L969*3+N969*2+O969*2)</x:f>
        <x:v>87</x:v>
      </x:c>
      <x:c r="R969" s="14" t="str">
        <x:v>high</x:v>
      </x:c>
      <x:c r="S969" s="14" t="str">
        <x:v>official_prozorro_award_2024_2026</x:v>
      </x:c>
      <x:c r="T969" s="14" t="str">
        <x:v>official_prozorro_api</x:v>
      </x:c>
      <x:c r="U969" s="14" t="str">
        <x:v>Не контактували</x:v>
      </x:c>
      <x:c r="V969" s="15" t="str">
        <x:v>Повторне звернення з новим тендерним сигналом UA-2026-05-25-003789-a; попросити 1 пакет здачі</x:v>
      </x:c>
      <x:c r="W969" s="15" t="str">
        <x:v>Власник / директор; керівник ПТО; відповідальний за договори</x:v>
      </x:c>
      <x:c r="X969" s="15" t="str">
        <x:v>2 нових підтверджених перемог/договорів у Prozorro на 128 649 грн; 2 зі строком виконання не раніше 24.08.2026.</x:v>
      </x:c>
      <x:c r="Y969" s="15" t="str">
        <x:v>Вогнезахисна обробка дерев'яних конструкцій горища будівлі ; строк до 2026-12-31. Попросити один знеособлений пакет здачі за цим workflow.</x:v>
      </x:c>
      <x:c r="Z969" s="15" t="str">
        <x:v>https://prozorro.gov.ua/tender/UA-2026-06-10-014253-a</x:v>
      </x:c>
      <x:c r="AA969" s="14" t="str">
        <x:v>45613529</x:v>
      </x:c>
      <x:c r="AB969" s="14" t="str">
        <x:v>2026-08-24</x:v>
      </x:c>
      <x:c r="AC969" s="14" t="str"/>
      <x:c r="AD969" s="20" t="str"/>
      <x:c r="AE969" s="14" t="str"/>
      <x:c r="AF969" s="14" t="n">
        <x:v>60</x:v>
      </x:c>
      <x:c r="AG969" s="14" t="str">
        <x:v>I2</x:v>
      </x:c>
      <x:c r="AH969" s="14" t="n">
        <x:v>3</x:v>
      </x:c>
      <x:c r="AI969" s="14" t="n">
        <x:v>2</x:v>
      </x:c>
      <x:c r="AJ969" s="18" t="n">
        <x:v>315610.93</x:v>
      </x:c>
      <x:c r="AK969" s="14" t="str">
        <x:v>https://prozorro.gov.ua/tender/UA-2026-05-25-003789-a</x:v>
      </x:c>
      <x:c r="AL969" s="19" t="n">
        <x:v>46167.34834642361</x:v>
      </x:c>
      <x:c r="AM969" s="19" t="n">
        <x:v>46218</x:v>
      </x:c>
      <x:c r="AN969" s="15" t="str">
        <x:v>Пасивний вогнезахист; Блискавкозахист / заземлення</x:v>
      </x:c>
      <x:c r="AO969" s="15" t="str">
        <x:v>not_found_in_top_search</x:v>
      </x:c>
    </x:row>
    <x:row r="970">
      <x:c r="A970" s="14" t="str">
        <x:v>W4-151</x:v>
      </x:c>
      <x:c r="B970" s="14" t="str">
        <x:v>Prozorro expansion — 24.08</x:v>
      </x:c>
      <x:c r="C970" s="14" t="str">
        <x:v>ПРИВАТНЕ ПІДПРИЄМСТВО "ЄВРОПОЖЕЖСЕРВІС"</x:v>
      </x:c>
      <x:c r="D970" s="14" t="str">
        <x:v>Пожежогасіння</x:v>
      </x:c>
      <x:c r="E970" s="14" t="str">
        <x:v>Expansion discovery</x:v>
      </x:c>
      <x:c r="F970" s="17" t="str">
        <x:v>D2</x:v>
      </x:c>
      <x:c r="G970" s="14" t="str"/>
      <x:c r="H970" s="14" t="str">
        <x:v>Discovery розширення — 2 тижні</x:v>
      </x:c>
      <x:c r="I970" s="16" t="n">
        <x:v>1</x:v>
      </x:c>
      <x:c r="J970" s="16" t="n">
        <x:v>5</x:v>
      </x:c>
      <x:c r="K970" s="16" t="n">
        <x:v>5</x:v>
      </x:c>
      <x:c r="L970" s="16" t="n">
        <x:v>2</x:v>
      </x:c>
      <x:c r="M970" s="16" t="n">
        <x:v>5</x:v>
      </x:c>
      <x:c r="N970" s="16" t="n">
        <x:v>5</x:v>
      </x:c>
      <x:c r="O970" s="16" t="n">
        <x:v>3</x:v>
      </x:c>
      <x:c r="P970" s="16" t="n">
        <x:f>IF(COUNT(I970:O970)&lt;7,"",I970*8+J970*3+K970*2+L970*2+M970*2+N970*2+O970)</x:f>
        <x:v>60</x:v>
      </x:c>
      <x:c r="Q970" s="16" t="n">
        <x:f>IF(COUNT(J970:O970)&lt;6,"",J970*5+K970*4+M970*4+L970*3+N970*2+O970*2)</x:f>
        <x:v>87</x:v>
      </x:c>
      <x:c r="R970" s="14" t="str">
        <x:v>high</x:v>
      </x:c>
      <x:c r="S970" s="14" t="str">
        <x:v>official_prozorro_award_2024_2026</x:v>
      </x:c>
      <x:c r="T970" s="14" t="str">
        <x:v>official_prozorro_api</x:v>
      </x:c>
      <x:c r="U970" s="14" t="str">
        <x:v>Не контактували</x:v>
      </x:c>
      <x:c r="V970" s="15" t="str">
        <x:v>Workflow-audit outreach по UA-2026-06-25-013319-a; попросити 1 пакет здачі та вимоги проєкту</x:v>
      </x:c>
      <x:c r="W970" s="15" t="str">
        <x:v>Власник / директор; керівник ПТО; відповідальний за договори</x:v>
      </x:c>
      <x:c r="X970" s="15" t="str">
        <x:v>2 нових підтверджених перемог/договорів у Prozorro на 112 462 грн; 2 зі строком виконання не раніше 24.08.2026.</x:v>
      </x:c>
      <x:c r="Y970"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 строк до 2026-08-31. Попросити один знеособлений пакет здачі за цим workflow.</x:v>
      </x:c>
      <x:c r="Z970" s="15" t="str">
        <x:v>https://prozorro.gov.ua/tender/UA-2026-06-25-013319-a</x:v>
      </x:c>
      <x:c r="AA970" s="14" t="str">
        <x:v>40672967</x:v>
      </x:c>
      <x:c r="AB970" s="14" t="str">
        <x:v>2026-08-24</x:v>
      </x:c>
      <x:c r="AC970" s="14" t="str"/>
      <x:c r="AD970" s="20" t="str"/>
      <x:c r="AE970" s="14" t="str"/>
      <x:c r="AF970" s="14" t="n">
        <x:v>60</x:v>
      </x:c>
      <x:c r="AG970" s="14" t="str">
        <x:v>I2</x:v>
      </x:c>
      <x:c r="AH970" s="14" t="n">
        <x:v>2</x:v>
      </x:c>
      <x:c r="AI970" s="14" t="n">
        <x:v>2</x:v>
      </x:c>
      <x:c r="AJ970" s="18" t="n">
        <x:v>112461.78</x:v>
      </x:c>
      <x:c r="AK970" s="14" t="str">
        <x:v>https://prozorro.gov.ua/tender/UA-2026-06-25-013319-a</x:v>
      </x:c>
      <x:c r="AL970" s="19" t="n">
        <x:v>46198.715830706016</x:v>
      </x:c>
      <x:c r="AM970" s="19" t="n">
        <x:v>46265</x:v>
      </x:c>
      <x:c r="AN970" s="15" t="str">
        <x:v>Пожежогасіння</x:v>
      </x:c>
      <x:c r="AO970" s="15" t="str">
        <x:v>not_found_in_top_search</x:v>
      </x:c>
    </x:row>
    <x:row r="971">
      <x:c r="A971" s="14" t="str">
        <x:v>W4-152</x:v>
      </x:c>
      <x:c r="B971" s="14" t="str">
        <x:v>Prozorro expansion — 24.08</x:v>
      </x:c>
      <x:c r="C971" s="14" t="str">
        <x:v>ПРИВАТНЕ ПІДПРИЄМСТВО "БУТТЕКС"</x:v>
      </x:c>
      <x:c r="D971" s="14" t="str">
        <x:v>Ліфти та підйомники</x:v>
      </x:c>
      <x:c r="E971" s="14" t="str">
        <x:v>Expansion discovery</x:v>
      </x:c>
      <x:c r="F971" s="17" t="str">
        <x:v>D2</x:v>
      </x:c>
      <x:c r="G971" s="14" t="str"/>
      <x:c r="H971" s="14" t="str">
        <x:v>Discovery розширення — 2 тижні</x:v>
      </x:c>
      <x:c r="I971" s="16" t="n">
        <x:v>1</x:v>
      </x:c>
      <x:c r="J971" s="16" t="n">
        <x:v>5</x:v>
      </x:c>
      <x:c r="K971" s="16" t="n">
        <x:v>4</x:v>
      </x:c>
      <x:c r="L971" s="16" t="n">
        <x:v>2</x:v>
      </x:c>
      <x:c r="M971" s="16" t="n">
        <x:v>5</x:v>
      </x:c>
      <x:c r="N971" s="16" t="n">
        <x:v>5</x:v>
      </x:c>
      <x:c r="O971" s="16" t="n">
        <x:v>3</x:v>
      </x:c>
      <x:c r="P971" s="16" t="n">
        <x:f>IF(COUNT(I971:O971)&lt;7,"",I971*8+J971*3+K971*2+L971*2+M971*2+N971*2+O971)</x:f>
        <x:v>58</x:v>
      </x:c>
      <x:c r="Q971" s="16" t="n">
        <x:f>IF(COUNT(J971:O971)&lt;6,"",J971*5+K971*4+M971*4+L971*3+N971*2+O971*2)</x:f>
        <x:v>83</x:v>
      </x:c>
      <x:c r="R971" s="14" t="str">
        <x:v>high</x:v>
      </x:c>
      <x:c r="S971" s="14" t="str">
        <x:v>official_prozorro_award_2024_2026</x:v>
      </x:c>
      <x:c r="T971" s="14" t="str">
        <x:v>official_prozorro_api</x:v>
      </x:c>
      <x:c r="U971" s="14" t="str">
        <x:v>Не контактували</x:v>
      </x:c>
      <x:c r="V971" s="15" t="str">
        <x:v>Workflow-audit outreach по UA-2025-11-20-004979-a; попросити 1 пакет здачі та вимоги проєкту</x:v>
      </x:c>
      <x:c r="W971" s="15" t="str">
        <x:v>Власник / директор; керівник ПТО; відповідальний за договори</x:v>
      </x:c>
      <x:c r="X971" s="15" t="str">
        <x:v>6 нових підтверджених перемог/договорів у Prozorro на 124 700 грн; 0 зі строком виконання не раніше 24.08.2026.</x:v>
      </x:c>
      <x:c r="Y971" s="15" t="str">
        <x:v>45313000-4 Монтаж ліфтів та ескалаторів - Ремонт пасажирських ліфтів; строк до 2025-12-31. Попросити один знеособлений пакет здачі за цим workflow.</x:v>
      </x:c>
      <x:c r="Z971" s="15" t="str">
        <x:v>https://prozorro.gov.ua/tender/UA-2025-11-20-004979-a</x:v>
      </x:c>
      <x:c r="AA971" s="14" t="str">
        <x:v>36217960</x:v>
      </x:c>
      <x:c r="AB971" s="14" t="str">
        <x:v>2026-08-24</x:v>
      </x:c>
      <x:c r="AC971" s="14" t="str"/>
      <x:c r="AD971" s="20" t="str"/>
      <x:c r="AE971" s="14" t="str"/>
      <x:c r="AF971" s="14" t="n">
        <x:v>59</x:v>
      </x:c>
      <x:c r="AG971" s="14" t="str">
        <x:v>I2</x:v>
      </x:c>
      <x:c r="AH971" s="14" t="n">
        <x:v>6</x:v>
      </x:c>
      <x:c r="AI971" s="14" t="n">
        <x:v>0</x:v>
      </x:c>
      <x:c r="AJ971" s="18" t="n">
        <x:v>124700</x:v>
      </x:c>
      <x:c r="AK971" s="14" t="str">
        <x:v>https://prozorro.gov.ua/tender/UA-2025-11-20-004979-a</x:v>
      </x:c>
      <x:c r="AL971" s="19" t="n">
        <x:v>45981.39589423611</x:v>
      </x:c>
      <x:c r="AM971" s="19" t="n">
        <x:v>46022</x:v>
      </x:c>
      <x:c r="AN971" s="15" t="str">
        <x:v>Ліфти та підйомники</x:v>
      </x:c>
      <x:c r="AO971" s="15" t="str">
        <x:v>not_found_in_top_search</x:v>
      </x:c>
    </x:row>
    <x:row r="972">
      <x:c r="A972" s="14" t="str">
        <x:v>W4-153</x:v>
      </x:c>
      <x:c r="B972" s="14" t="str">
        <x:v>Prozorro expansion — 24.08</x:v>
      </x:c>
      <x:c r="C972" s="14" t="str">
        <x:v>Фізична особа підприємець Марчук Анатолій Дмитрович</x:v>
      </x:c>
      <x:c r="D972" s="14" t="str">
        <x:v>Пасивний вогнезахист</x:v>
      </x:c>
      <x:c r="E972" s="14" t="str">
        <x:v>Expansion discovery</x:v>
      </x:c>
      <x:c r="F972" s="17" t="str">
        <x:v>D2</x:v>
      </x:c>
      <x:c r="G972" s="14" t="str"/>
      <x:c r="H972" s="14" t="str">
        <x:v>Discovery розширення — 2 тижні</x:v>
      </x:c>
      <x:c r="I972" s="16" t="n">
        <x:v>1</x:v>
      </x:c>
      <x:c r="J972" s="16" t="n">
        <x:v>5</x:v>
      </x:c>
      <x:c r="K972" s="16" t="n">
        <x:v>5</x:v>
      </x:c>
      <x:c r="L972" s="16" t="n">
        <x:v>1</x:v>
      </x:c>
      <x:c r="M972" s="16" t="n">
        <x:v>5</x:v>
      </x:c>
      <x:c r="N972" s="16" t="n">
        <x:v>3</x:v>
      </x:c>
      <x:c r="O972" s="16" t="n">
        <x:v>3</x:v>
      </x:c>
      <x:c r="P972" s="16" t="n">
        <x:f>IF(COUNT(I972:O972)&lt;7,"",I972*8+J972*3+K972*2+L972*2+M972*2+N972*2+O972)</x:f>
        <x:v>54</x:v>
      </x:c>
      <x:c r="Q972" s="16" t="n">
        <x:f>IF(COUNT(J972:O972)&lt;6,"",J972*5+K972*4+M972*4+L972*3+N972*2+O972*2)</x:f>
        <x:v>80</x:v>
      </x:c>
      <x:c r="R972" s="14" t="str">
        <x:v>high</x:v>
      </x:c>
      <x:c r="S972" s="14" t="str">
        <x:v>official_prozorro_award_2024_2026</x:v>
      </x:c>
      <x:c r="T972" s="14" t="str">
        <x:v>official_prozorro_api</x:v>
      </x:c>
      <x:c r="U972" s="14" t="str">
        <x:v>Не контактували</x:v>
      </x:c>
      <x:c r="V972" s="15" t="str">
        <x:v>Workflow-audit outreach по UA-2026-08-24-003079-a; попросити 1 пакет здачі та вимоги проєкту</x:v>
      </x:c>
      <x:c r="W972" s="15" t="str">
        <x:v>Власник / виконавець; відповідальний за договір</x:v>
      </x:c>
      <x:c r="X972" s="15" t="str">
        <x:v>2 нових підтверджених перемог/договорів у Prozorro на 44 400 грн; 2 зі строком виконання не раніше 24.08.2026.</x:v>
      </x:c>
      <x:c r="Y972" s="15" t="str">
        <x:v>Послуги з виконання робіт з вогнезахисної обробки дерев’яних конструкцій та тканинних декорацій вистави "Літепло"; строк до 2026-12-31. Попросити один знеособлений пакет здачі за цим workflow.</x:v>
      </x:c>
      <x:c r="Z972" s="15" t="str">
        <x:v>https://prozorro.gov.ua/tender/UA-2026-08-24-003079-a</x:v>
      </x:c>
      <x:c r="AA972" s="14" t="str">
        <x:v>2787811910</x:v>
      </x:c>
      <x:c r="AB972" s="14" t="str">
        <x:v>2026-08-24</x:v>
      </x:c>
      <x:c r="AC972" s="14" t="str"/>
      <x:c r="AD972" s="20" t="str"/>
      <x:c r="AE972" s="14" t="str"/>
      <x:c r="AF972" s="14" t="n">
        <x:v>59</x:v>
      </x:c>
      <x:c r="AG972" s="14" t="str">
        <x:v>I2</x:v>
      </x:c>
      <x:c r="AH972" s="14" t="n">
        <x:v>2</x:v>
      </x:c>
      <x:c r="AI972" s="14" t="n">
        <x:v>2</x:v>
      </x:c>
      <x:c r="AJ972" s="18" t="n">
        <x:v>44400</x:v>
      </x:c>
      <x:c r="AK972" s="14" t="str">
        <x:v>https://prozorro.gov.ua/tender/UA-2026-08-24-003079-a</x:v>
      </x:c>
      <x:c r="AL972" s="19" t="n">
        <x:v>46258.35331721065</x:v>
      </x:c>
      <x:c r="AM972" s="19" t="n">
        <x:v>46387.395682870374</x:v>
      </x:c>
      <x:c r="AN972" s="15" t="str">
        <x:v>Пасивний вогнезахист</x:v>
      </x:c>
      <x:c r="AO972" s="15" t="str">
        <x:v>not_found_in_top_search</x:v>
      </x:c>
    </x:row>
    <x:row r="973">
      <x:c r="A973" s="14" t="str">
        <x:v>W4-154</x:v>
      </x:c>
      <x:c r="B973" s="14" t="str">
        <x:v>Prozorro expansion — 24.08</x:v>
      </x:c>
      <x:c r="C973" s="14" t="str">
        <x:v>ТОВАРИСТВО З ОБМЕЖЕНОЮ ВІДПОВІДАЛЬНІСТЮ "ОРГАГРОБУД-2012"</x:v>
      </x:c>
      <x:c r="D973" s="14" t="str">
        <x:v>Металоконструкції</x:v>
      </x:c>
      <x:c r="E973" s="14" t="str">
        <x:v>Expansion discovery</x:v>
      </x:c>
      <x:c r="F973" s="17" t="str">
        <x:v>D2</x:v>
      </x:c>
      <x:c r="G973" s="14" t="str"/>
      <x:c r="H973" s="14" t="str">
        <x:v>Discovery розширення — 2 тижні</x:v>
      </x:c>
      <x:c r="I973" s="16" t="n">
        <x:v>1</x:v>
      </x:c>
      <x:c r="J973" s="16" t="n">
        <x:v>5</x:v>
      </x:c>
      <x:c r="K973" s="16" t="n">
        <x:v>5</x:v>
      </x:c>
      <x:c r="L973" s="16" t="n">
        <x:v>1</x:v>
      </x:c>
      <x:c r="M973" s="16" t="n">
        <x:v>5</x:v>
      </x:c>
      <x:c r="N973" s="16" t="n">
        <x:v>5</x:v>
      </x:c>
      <x:c r="O973" s="16" t="n">
        <x:v>3</x:v>
      </x:c>
      <x:c r="P973" s="16" t="n">
        <x:f>IF(COUNT(I973:O973)&lt;7,"",I973*8+J973*3+K973*2+L973*2+M973*2+N973*2+O973)</x:f>
        <x:v>58</x:v>
      </x:c>
      <x:c r="Q973" s="16" t="n">
        <x:f>IF(COUNT(J973:O973)&lt;6,"",J973*5+K973*4+M973*4+L973*3+N973*2+O973*2)</x:f>
        <x:v>84</x:v>
      </x:c>
      <x:c r="R973" s="14" t="str">
        <x:v>high</x:v>
      </x:c>
      <x:c r="S973" s="14" t="str">
        <x:v>official_prozorro_award_2024_2026</x:v>
      </x:c>
      <x:c r="T973" s="14" t="str">
        <x:v>official_prozorro_api</x:v>
      </x:c>
      <x:c r="U973" s="14" t="str">
        <x:v>Не контактували</x:v>
      </x:c>
      <x:c r="V973" s="15" t="str">
        <x:v>Workflow-audit outreach по UA-2026-06-15-009957-a; попросити 1 пакет здачі та вимоги проєкту</x:v>
      </x:c>
      <x:c r="W973" s="15" t="str">
        <x:v>Власник / директор; керівник ПТО; відповідальний за договори</x:v>
      </x:c>
      <x:c r="X973" s="15" t="str">
        <x:v>2 нових підтверджених перемог/договорів у Prozorro на 25 968 грн; 1 зі строком виконання не раніше 24.08.2026.</x:v>
      </x:c>
      <x:c r="Y973" s="15" t="str">
        <x:v>Монтаж металоконструкцій паркану з сітки рабиці в кутику (7 секцій) (код згідно ЄЗС ДК 021:2015: 45340000-2 Зведення огорож, монтаж поручнів і захисних засобів); строк до 2026-12-31. Попросити один знеособлений пакет здачі за цим workflow.</x:v>
      </x:c>
      <x:c r="Z973" s="15" t="str">
        <x:v>https://prozorro.gov.ua/tender/UA-2026-06-15-009957-a</x:v>
      </x:c>
      <x:c r="AA973" s="14" t="str">
        <x:v>31379102</x:v>
      </x:c>
      <x:c r="AB973" s="14" t="str">
        <x:v>2026-08-24</x:v>
      </x:c>
      <x:c r="AC973" s="14" t="str"/>
      <x:c r="AD973" s="20" t="str"/>
      <x:c r="AE973" s="14" t="str"/>
      <x:c r="AF973" s="14" t="n">
        <x:v>59</x:v>
      </x:c>
      <x:c r="AG973" s="14" t="str">
        <x:v>I2</x:v>
      </x:c>
      <x:c r="AH973" s="14" t="n">
        <x:v>2</x:v>
      </x:c>
      <x:c r="AI973" s="14" t="n">
        <x:v>1</x:v>
      </x:c>
      <x:c r="AJ973" s="18" t="n">
        <x:v>25968</x:v>
      </x:c>
      <x:c r="AK973" s="14" t="str">
        <x:v>https://prozorro.gov.ua/tender/UA-2026-06-15-009957-a</x:v>
      </x:c>
      <x:c r="AL973" s="19" t="n">
        <x:v>46188.523856875</x:v>
      </x:c>
      <x:c r="AM973" s="19" t="n">
        <x:v>46387</x:v>
      </x:c>
      <x:c r="AN973" s="15" t="str">
        <x:v>Металоконструкції; HVAC / ОВіК</x:v>
      </x:c>
      <x:c r="AO973" s="15" t="str">
        <x:v>not_found_in_top_search</x:v>
      </x:c>
    </x:row>
    <x:row r="974">
      <x:c r="A974" s="14" t="str">
        <x:v>W4-155</x:v>
      </x:c>
      <x:c r="B974" s="14" t="str">
        <x:v>Prozorro expansion — 24.08</x:v>
      </x:c>
      <x:c r="C974" s="14" t="str">
        <x:v>ТОВАРИСТВО З ОБМЕЖЕНОЮ ВІДПОВІДАЛЬНІСТЮ "ІНФО ТЕХ СЕРВІС"</x:v>
      </x:c>
      <x:c r="D974" s="14" t="str">
        <x:v>Дорожні роботи</x:v>
      </x:c>
      <x:c r="E974" s="14" t="str">
        <x:v>Expansion discovery</x:v>
      </x:c>
      <x:c r="F974" s="17" t="str">
        <x:v>D2</x:v>
      </x:c>
      <x:c r="G974" s="14" t="str"/>
      <x:c r="H974" s="14" t="str">
        <x:v>Discovery розширення — 2 тижні</x:v>
      </x:c>
      <x:c r="I974" s="16" t="n">
        <x:v>1</x:v>
      </x:c>
      <x:c r="J974" s="16" t="n">
        <x:v>5</x:v>
      </x:c>
      <x:c r="K974" s="16" t="n">
        <x:v>4</x:v>
      </x:c>
      <x:c r="L974" s="16" t="n">
        <x:v>4</x:v>
      </x:c>
      <x:c r="M974" s="16" t="n">
        <x:v>5</x:v>
      </x:c>
      <x:c r="N974" s="16" t="n">
        <x:v>5</x:v>
      </x:c>
      <x:c r="O974" s="16" t="n">
        <x:v>3</x:v>
      </x:c>
      <x:c r="P974" s="16" t="n">
        <x:f>IF(COUNT(I974:O974)&lt;7,"",I974*8+J974*3+K974*2+L974*2+M974*2+N974*2+O974)</x:f>
        <x:v>62</x:v>
      </x:c>
      <x:c r="Q974" s="16" t="n">
        <x:f>IF(COUNT(J974:O974)&lt;6,"",J974*5+K974*4+M974*4+L974*3+N974*2+O974*2)</x:f>
        <x:v>89</x:v>
      </x:c>
      <x:c r="R974" s="14" t="str">
        <x:v>high</x:v>
      </x:c>
      <x:c r="S974" s="14" t="str">
        <x:v>official_prozorro_award_2024_2026</x:v>
      </x:c>
      <x:c r="T974" s="14" t="str">
        <x:v>official_prozorro_api</x:v>
      </x:c>
      <x:c r="U974" s="14" t="str">
        <x:v>Не контактували</x:v>
      </x:c>
      <x:c r="V974" s="15" t="str">
        <x:v>Workflow-audit outreach по UA-2026-06-17-014030-a; попросити 1 пакет здачі та вимоги проєкту</x:v>
      </x:c>
      <x:c r="W974" s="15" t="str">
        <x:v>Власник / директор; керівник ПТО; відповідальний за договори</x:v>
      </x:c>
      <x:c r="X974" s="15" t="str">
        <x:v>1 нових підтверджених перемог/договорів у Prozorro на 7 197 312 грн; 1 зі строком виконання не раніше 24.08.2026.</x:v>
      </x:c>
      <x:c r="Y974" s="15" t="str">
        <x:v>Капітальний ремонт дорожнього покриття автодороги по вул. Кошова в м. Самар Дніпропетровської області; строк до 2026-12-20. Попросити один знеособлений пакет здачі за цим workflow.</x:v>
      </x:c>
      <x:c r="Z974" s="15" t="str">
        <x:v>https://prozorro.gov.ua/tender/UA-2026-06-17-014030-a</x:v>
      </x:c>
      <x:c r="AA974" s="14" t="str">
        <x:v>45147454</x:v>
      </x:c>
      <x:c r="AB974" s="14" t="str">
        <x:v>2026-08-24</x:v>
      </x:c>
      <x:c r="AC974" s="14" t="str"/>
      <x:c r="AD974" s="20" t="str"/>
      <x:c r="AE974" s="14" t="str"/>
      <x:c r="AF974" s="14" t="n">
        <x:v>58</x:v>
      </x:c>
      <x:c r="AG974" s="14" t="str">
        <x:v>I2</x:v>
      </x:c>
      <x:c r="AH974" s="14" t="n">
        <x:v>1</x:v>
      </x:c>
      <x:c r="AI974" s="14" t="n">
        <x:v>1</x:v>
      </x:c>
      <x:c r="AJ974" s="18" t="n">
        <x:v>7197311.84</x:v>
      </x:c>
      <x:c r="AK974" s="14" t="str">
        <x:v>https://prozorro.gov.ua/tender/UA-2026-06-17-014030-a</x:v>
      </x:c>
      <x:c r="AL974" s="19" t="n">
        <x:v>46205.71441153935</x:v>
      </x:c>
      <x:c r="AM974" s="19" t="n">
        <x:v>46376</x:v>
      </x:c>
      <x:c r="AN974" s="15" t="str">
        <x:v>Дорожні роботи</x:v>
      </x:c>
      <x:c r="AO974" s="15" t="str">
        <x:v>not_found_in_top_search</x:v>
      </x:c>
    </x:row>
    <x:row r="975">
      <x:c r="A975" s="14" t="str">
        <x:v>W4-156</x:v>
      </x:c>
      <x:c r="B975" s="14" t="str">
        <x:v>Prozorro expansion — 24.08</x:v>
      </x:c>
      <x:c r="C975" s="14" t="str">
        <x:v>ПРИВАТНЕ ПІДПРИЄМСТВО "СМАРТ ЛІФТ"</x:v>
      </x:c>
      <x:c r="D975" s="14" t="str">
        <x:v>Ліфти та підйомники</x:v>
      </x:c>
      <x:c r="E975" s="14" t="str">
        <x:v>Expansion discovery</x:v>
      </x:c>
      <x:c r="F975" s="17" t="str">
        <x:v>D2</x:v>
      </x:c>
      <x:c r="G975" s="14" t="str">
        <x:v>smartlift.com.ua</x:v>
      </x:c>
      <x:c r="H975" s="14" t="str">
        <x:v>Discovery розширення — 2 тижні</x:v>
      </x:c>
      <x:c r="I975" s="16" t="n">
        <x:v>1</x:v>
      </x:c>
      <x:c r="J975" s="16" t="n">
        <x:v>5</x:v>
      </x:c>
      <x:c r="K975" s="16" t="n">
        <x:v>4</x:v>
      </x:c>
      <x:c r="L975" s="16" t="n">
        <x:v>4</x:v>
      </x:c>
      <x:c r="M975" s="16" t="n">
        <x:v>5</x:v>
      </x:c>
      <x:c r="N975" s="16" t="n">
        <x:v>5</x:v>
      </x:c>
      <x:c r="O975" s="16" t="n">
        <x:v>5</x:v>
      </x:c>
      <x:c r="P975" s="16" t="n">
        <x:f>IF(COUNT(I975:O975)&lt;7,"",I975*8+J975*3+K975*2+L975*2+M975*2+N975*2+O975)</x:f>
        <x:v>64</x:v>
      </x:c>
      <x:c r="Q975" s="16" t="n">
        <x:f>IF(COUNT(J975:O975)&lt;6,"",J975*5+K975*4+M975*4+L975*3+N975*2+O975*2)</x:f>
        <x:v>93</x:v>
      </x:c>
      <x:c r="R975" s="14" t="str">
        <x:v>high</x:v>
      </x:c>
      <x:c r="S975" s="14" t="str">
        <x:v>official_prozorro_award_2024_2026</x:v>
      </x:c>
      <x:c r="T975" s="14" t="str">
        <x:v>official_prozorro_api</x:v>
      </x:c>
      <x:c r="U975" s="14" t="str">
        <x:v>Не контактували</x:v>
      </x:c>
      <x:c r="V975" s="15" t="str">
        <x:v>Workflow-audit outreach по UA-2026-04-28-010580-a; попросити 1 пакет здачі та вимоги проєкту</x:v>
      </x:c>
      <x:c r="W975" s="15" t="str">
        <x:v>Власник / директор; керівник ПТО; відповідальний за договори</x:v>
      </x:c>
      <x:c r="X975" s="15" t="str">
        <x:v>1 нових підтверджених перемог/договорів у Prozorro на 4 695 112 грн; 1 зі строком виконання не раніше 24.08.2026.</x:v>
      </x:c>
      <x:c r="Y975"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 строк до 2027-12-31. Попросити один знеособлений пакет здачі за цим workflow.</x:v>
      </x:c>
      <x:c r="Z975" s="15" t="str">
        <x:v>https://prozorro.gov.ua/tender/UA-2026-04-28-010580-a</x:v>
      </x:c>
      <x:c r="AA975" s="14" t="str">
        <x:v>42194936</x:v>
      </x:c>
      <x:c r="AB975" s="14" t="str">
        <x:v>2026-08-24</x:v>
      </x:c>
      <x:c r="AC975" s="14" t="str"/>
      <x:c r="AD975" s="20" t="str"/>
      <x:c r="AE975" s="14" t="str"/>
      <x:c r="AF975" s="14" t="n">
        <x:v>58</x:v>
      </x:c>
      <x:c r="AG975" s="14" t="str">
        <x:v>I2</x:v>
      </x:c>
      <x:c r="AH975" s="14" t="n">
        <x:v>1</x:v>
      </x:c>
      <x:c r="AI975" s="14" t="n">
        <x:v>1</x:v>
      </x:c>
      <x:c r="AJ975" s="18" t="n">
        <x:v>4695111.95</x:v>
      </x:c>
      <x:c r="AK975" s="14" t="str">
        <x:v>https://prozorro.gov.ua/tender/UA-2026-04-28-010580-a</x:v>
      </x:c>
      <x:c r="AL975" s="19" t="n">
        <x:v>46162.29879832176</x:v>
      </x:c>
      <x:c r="AM975" s="19" t="n">
        <x:v>46752.55453703704</x:v>
      </x:c>
      <x:c r="AN975" s="15" t="str">
        <x:v>Ліфти та підйомники</x:v>
      </x:c>
      <x:c r="AO975" s="15" t="str">
        <x:v>supplier_provided_url</x:v>
      </x:c>
    </x:row>
    <x:row r="976">
      <x:c r="A976" s="14" t="str">
        <x:v>W4-157</x:v>
      </x:c>
      <x:c r="B976" s="14" t="str">
        <x:v>Prozorro expansion — 24.08</x:v>
      </x:c>
      <x:c r="C976" s="14" t="str">
        <x:v>ТОВАРИСТВО З ОБМЕЖЕНОЮ ВІДПОВІДАЛЬНІСТЮ "СПЕЦРЕМ"</x:v>
      </x:c>
      <x:c r="D976" s="14" t="str">
        <x:v>Теплові мережі</x:v>
      </x:c>
      <x:c r="E976" s="14" t="str">
        <x:v>Expansion discovery</x:v>
      </x:c>
      <x:c r="F976" s="17" t="str">
        <x:v>D2</x:v>
      </x:c>
      <x:c r="G976" s="14" t="str"/>
      <x:c r="H976" s="14" t="str">
        <x:v>Discovery розширення — 2 тижні</x:v>
      </x:c>
      <x:c r="I976" s="16" t="n">
        <x:v>1</x:v>
      </x:c>
      <x:c r="J976" s="16" t="n">
        <x:v>5</x:v>
      </x:c>
      <x:c r="K976" s="16" t="n">
        <x:v>4</x:v>
      </x:c>
      <x:c r="L976" s="16" t="n">
        <x:v>4</x:v>
      </x:c>
      <x:c r="M976" s="16" t="n">
        <x:v>5</x:v>
      </x:c>
      <x:c r="N976" s="16" t="n">
        <x:v>5</x:v>
      </x:c>
      <x:c r="O976" s="16" t="n">
        <x:v>3</x:v>
      </x:c>
      <x:c r="P976" s="16" t="n">
        <x:f>IF(COUNT(I976:O976)&lt;7,"",I976*8+J976*3+K976*2+L976*2+M976*2+N976*2+O976)</x:f>
        <x:v>62</x:v>
      </x:c>
      <x:c r="Q976" s="16" t="n">
        <x:f>IF(COUNT(J976:O976)&lt;6,"",J976*5+K976*4+M976*4+L976*3+N976*2+O976*2)</x:f>
        <x:v>89</x:v>
      </x:c>
      <x:c r="R976" s="14" t="str">
        <x:v>high</x:v>
      </x:c>
      <x:c r="S976" s="14" t="str">
        <x:v>official_prozorro_award_2024_2026</x:v>
      </x:c>
      <x:c r="T976" s="14" t="str">
        <x:v>official_prozorro_api</x:v>
      </x:c>
      <x:c r="U976" s="14" t="str">
        <x:v>Не контактували</x:v>
      </x:c>
      <x:c r="V976" s="15" t="str">
        <x:v>Workflow-audit outreach по UA-2026-04-25-000265-a; попросити 1 пакет здачі та вимоги проєкту</x:v>
      </x:c>
      <x:c r="W976" s="15" t="str">
        <x:v>Власник / директор; керівник ПТО; відповідальний за договори</x:v>
      </x:c>
      <x:c r="X976" s="15" t="str">
        <x:v>1 нових підтверджених перемог/договорів у Prozorro на 4 015 902 грн; 1 зі строком виконання не раніше 24.08.2026.</x:v>
      </x:c>
      <x:c r="Y976" s="15" t="str">
        <x:v>Реконструкція (відновлення) теплових мереж на ділянці від МК4162 до ВТ4162-3 по вул. Данилевського в м. Харкові  (код ДК 021:2015 – 45454000 -4 - Реконструкція)
; строк до 2026-10-30. Попросити один знеособлений пакет здачі за цим workflow.</x:v>
      </x:c>
      <x:c r="Z976" s="15" t="str">
        <x:v>https://prozorro.gov.ua/tender/UA-2026-04-25-000265-a</x:v>
      </x:c>
      <x:c r="AA976" s="14" t="str">
        <x:v>39621928</x:v>
      </x:c>
      <x:c r="AB976" s="14" t="str">
        <x:v>2026-08-24</x:v>
      </x:c>
      <x:c r="AC976" s="14" t="str"/>
      <x:c r="AD976" s="20" t="str"/>
      <x:c r="AE976" s="14" t="str"/>
      <x:c r="AF976" s="14" t="n">
        <x:v>58</x:v>
      </x:c>
      <x:c r="AG976" s="14" t="str">
        <x:v>I2</x:v>
      </x:c>
      <x:c r="AH976" s="14" t="n">
        <x:v>1</x:v>
      </x:c>
      <x:c r="AI976" s="14" t="n">
        <x:v>1</x:v>
      </x:c>
      <x:c r="AJ976" s="18" t="n">
        <x:v>4015901.51</x:v>
      </x:c>
      <x:c r="AK976" s="14" t="str">
        <x:v>https://prozorro.gov.ua/tender/UA-2026-04-25-000265-a</x:v>
      </x:c>
      <x:c r="AL976" s="19" t="n">
        <x:v>46157.462898460646</x:v>
      </x:c>
      <x:c r="AM976" s="19" t="n">
        <x:v>46325.916655092595</x:v>
      </x:c>
      <x:c r="AN976" s="15" t="str">
        <x:v>Теплові мережі</x:v>
      </x:c>
      <x:c r="AO976" s="15" t="str">
        <x:v>not_found_in_top_search</x:v>
      </x:c>
    </x:row>
    <x:row r="977">
      <x:c r="A977" s="14" t="str">
        <x:v>W4-158</x:v>
      </x:c>
      <x:c r="B977" s="14" t="str">
        <x:v>Prozorro expansion — 24.08</x:v>
      </x:c>
      <x:c r="C977" s="14" t="str">
        <x:v>ТОВ Лабораторія НК та ТД</x:v>
      </x:c>
      <x:c r="D977" s="14" t="str">
        <x:v>Фасади та скління</x:v>
      </x:c>
      <x:c r="E977" s="14" t="str">
        <x:v>Expansion discovery</x:v>
      </x:c>
      <x:c r="F977" s="17" t="str">
        <x:v>D2</x:v>
      </x:c>
      <x:c r="G977" s="14" t="str"/>
      <x:c r="H977" s="14" t="str">
        <x:v>Discovery розширення — 2 тижні</x:v>
      </x:c>
      <x:c r="I977" s="16" t="n">
        <x:v>1</x:v>
      </x:c>
      <x:c r="J977" s="16" t="n">
        <x:v>5</x:v>
      </x:c>
      <x:c r="K977" s="16" t="n">
        <x:v>5</x:v>
      </x:c>
      <x:c r="L977" s="16" t="n">
        <x:v>4</x:v>
      </x:c>
      <x:c r="M977" s="16" t="n">
        <x:v>5</x:v>
      </x:c>
      <x:c r="N977" s="16" t="n">
        <x:v>5</x:v>
      </x:c>
      <x:c r="O977" s="16" t="n">
        <x:v>3</x:v>
      </x:c>
      <x:c r="P977" s="16" t="n">
        <x:f>IF(COUNT(I977:O977)&lt;7,"",I977*8+J977*3+K977*2+L977*2+M977*2+N977*2+O977)</x:f>
        <x:v>64</x:v>
      </x:c>
      <x:c r="Q977" s="16" t="n">
        <x:f>IF(COUNT(J977:O977)&lt;6,"",J977*5+K977*4+M977*4+L977*3+N977*2+O977*2)</x:f>
        <x:v>93</x:v>
      </x:c>
      <x:c r="R977" s="14" t="str">
        <x:v>high</x:v>
      </x:c>
      <x:c r="S977" s="14" t="str">
        <x:v>official_prozorro_award_2024_2026</x:v>
      </x:c>
      <x:c r="T977" s="14" t="str">
        <x:v>official_prozorro_api</x:v>
      </x:c>
      <x:c r="U977" s="14" t="str">
        <x:v>Не контактували</x:v>
      </x:c>
      <x:c r="V977" s="15" t="str">
        <x:v>Workflow-audit outreach по UA-2026-05-07-005266-a; попросити 1 пакет здачі та вимоги проєкту</x:v>
      </x:c>
      <x:c r="W977" s="15" t="str">
        <x:v>Власник / директор; керівник ПТО; відповідальний за договори</x:v>
      </x:c>
      <x:c r="X977" s="15" t="str">
        <x:v>1 нових підтверджених перемог/договорів у Prozorro на 3 189 942 грн; 1 зі строком виконання не раніше 24.08.2026.</x:v>
      </x:c>
      <x:c r="Y977"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 строк до 2026-12-25. Попросити один знеособлений пакет здачі за цим workflow.</x:v>
      </x:c>
      <x:c r="Z977" s="15" t="str">
        <x:v>https://prozorro.gov.ua/tender/UA-2026-05-07-005266-a</x:v>
      </x:c>
      <x:c r="AA977" s="14" t="str">
        <x:v>31445850</x:v>
      </x:c>
      <x:c r="AB977" s="14" t="str">
        <x:v>2026-08-24</x:v>
      </x:c>
      <x:c r="AC977" s="14" t="str"/>
      <x:c r="AD977" s="20" t="str"/>
      <x:c r="AE977" s="14" t="str"/>
      <x:c r="AF977" s="14" t="n">
        <x:v>58</x:v>
      </x:c>
      <x:c r="AG977" s="14" t="str">
        <x:v>I2</x:v>
      </x:c>
      <x:c r="AH977" s="14" t="n">
        <x:v>1</x:v>
      </x:c>
      <x:c r="AI977" s="14" t="n">
        <x:v>1</x:v>
      </x:c>
      <x:c r="AJ977" s="18" t="n">
        <x:v>3189942</x:v>
      </x:c>
      <x:c r="AK977" s="14" t="str">
        <x:v>https://prozorro.gov.ua/tender/UA-2026-05-07-005266-a</x:v>
      </x:c>
      <x:c r="AL977" s="19" t="n">
        <x:v>46163.52417451389</x:v>
      </x:c>
      <x:c r="AM977" s="19" t="n">
        <x:v>46381</x:v>
      </x:c>
      <x:c r="AN977" s="15" t="str">
        <x:v>Фасади та скління</x:v>
      </x:c>
      <x:c r="AO977" s="15" t="str">
        <x:v>not_found_in_top_search</x:v>
      </x:c>
    </x:row>
    <x:row r="978">
      <x:c r="A978" s="14" t="str">
        <x:v>W4-159</x:v>
      </x:c>
      <x:c r="B978" s="14" t="str">
        <x:v>Prozorro expansion — 24.08</x:v>
      </x:c>
      <x:c r="C978" s="14" t="str">
        <x:v>Товариство з обмеженою відповідальністю "Технології для бізнесу"</x:v>
      </x:c>
      <x:c r="D978" s="14" t="str">
        <x:v>СКС / BMS / слаботочка</x:v>
      </x:c>
      <x:c r="E978" s="14" t="str">
        <x:v>Expansion discovery</x:v>
      </x:c>
      <x:c r="F978" s="17" t="str">
        <x:v>D2</x:v>
      </x:c>
      <x:c r="G978" s="14" t="str"/>
      <x:c r="H978" s="14" t="str">
        <x:v>Discovery розширення — 2 тижні</x:v>
      </x:c>
      <x:c r="I978" s="16" t="n">
        <x:v>2</x:v>
      </x:c>
      <x:c r="J978" s="16" t="n">
        <x:v>5</x:v>
      </x:c>
      <x:c r="K978" s="16" t="n">
        <x:v>4</x:v>
      </x:c>
      <x:c r="L978" s="16" t="n">
        <x:v>3</x:v>
      </x:c>
      <x:c r="M978" s="16" t="n">
        <x:v>5</x:v>
      </x:c>
      <x:c r="N978" s="16" t="n">
        <x:v>5</x:v>
      </x:c>
      <x:c r="O978" s="16" t="n">
        <x:v>3</x:v>
      </x:c>
      <x:c r="P978" s="16" t="n">
        <x:f>IF(COUNT(I978:O978)&lt;7,"",I978*8+J978*3+K978*2+L978*2+M978*2+N978*2+O978)</x:f>
        <x:v>68</x:v>
      </x:c>
      <x:c r="Q978" s="16" t="n">
        <x:f>IF(COUNT(J978:O978)&lt;6,"",J978*5+K978*4+M978*4+L978*3+N978*2+O978*2)</x:f>
        <x:v>86</x:v>
      </x:c>
      <x:c r="R978" s="14" t="str">
        <x:v>high</x:v>
      </x:c>
      <x:c r="S978" s="14" t="str">
        <x:v>official_prozorro_award_2024_2026</x:v>
      </x:c>
      <x:c r="T978" s="14" t="str">
        <x:v>official_prozorro_api</x:v>
      </x:c>
      <x:c r="U978" s="14" t="str">
        <x:v>Не контактували</x:v>
      </x:c>
      <x:c r="V978" s="15" t="str">
        <x:v>Workflow-audit outreach по UA-2025-04-02-002590-a; попросити 1 пакет здачі та вимоги проєкту</x:v>
      </x:c>
      <x:c r="W978" s="15" t="str">
        <x:v>Власник / директор; керівник ПТО; відповідальний за договори</x:v>
      </x:c>
      <x:c r="X978" s="15" t="str">
        <x:v>3 нових підтверджених перемог/договорів у Prozorro на 1 873 500 грн; 0 зі строком виконання не раніше 24.08.2026.</x:v>
      </x:c>
      <x:c r="Y978"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 строк до 2025-05-15. Попросити один знеособлений пакет здачі за цим workflow.</x:v>
      </x:c>
      <x:c r="Z978" s="15" t="str">
        <x:v>https://prozorro.gov.ua/tender/UA-2025-04-02-002590-a</x:v>
      </x:c>
      <x:c r="AA978" s="14" t="str">
        <x:v>19331194</x:v>
      </x:c>
      <x:c r="AB978" s="14" t="str">
        <x:v>2026-08-24</x:v>
      </x:c>
      <x:c r="AC978" s="14" t="str"/>
      <x:c r="AD978" s="20" t="str"/>
      <x:c r="AE978" s="14" t="str"/>
      <x:c r="AF978" s="14" t="n">
        <x:v>58</x:v>
      </x:c>
      <x:c r="AG978" s="14" t="str">
        <x:v>I2</x:v>
      </x:c>
      <x:c r="AH978" s="14" t="n">
        <x:v>3</x:v>
      </x:c>
      <x:c r="AI978" s="14" t="n">
        <x:v>0</x:v>
      </x:c>
      <x:c r="AJ978" s="18" t="n">
        <x:v>1873500</x:v>
      </x:c>
      <x:c r="AK978" s="14" t="str">
        <x:v>https://prozorro.gov.ua/tender/UA-2025-04-02-002590-a</x:v>
      </x:c>
      <x:c r="AL978" s="19" t="n">
        <x:v>45758.3641950463</x:v>
      </x:c>
      <x:c r="AM978" s="19" t="n">
        <x:v>45792</x:v>
      </x:c>
      <x:c r="AN978" s="15" t="str">
        <x:v>СКС / BMS / слаботочка</x:v>
      </x:c>
      <x:c r="AO978" s="15" t="str">
        <x:v>not_found_in_top_search</x:v>
      </x:c>
    </x:row>
    <x:row r="979">
      <x:c r="A979" s="14" t="str">
        <x:v>W4-160</x:v>
      </x:c>
      <x:c r="B979" s="14" t="str">
        <x:v>Prozorro expansion — 24.08</x:v>
      </x:c>
      <x:c r="C979" s="14" t="str">
        <x:v>ФОП Ільченко Олександр Олександрович</x:v>
      </x:c>
      <x:c r="D979" s="14" t="str">
        <x:v>Благоустрій</x:v>
      </x:c>
      <x:c r="E979" s="14" t="str">
        <x:v>Expansion discovery</x:v>
      </x:c>
      <x:c r="F979" s="17" t="str">
        <x:v>D2</x:v>
      </x:c>
      <x:c r="G979" s="14" t="str"/>
      <x:c r="H979" s="14" t="str">
        <x:v>Discovery розширення — 2 тижні</x:v>
      </x:c>
      <x:c r="I979" s="16" t="n">
        <x:v>1</x:v>
      </x:c>
      <x:c r="J979" s="16" t="n">
        <x:v>5</x:v>
      </x:c>
      <x:c r="K979" s="16" t="n">
        <x:v>4</x:v>
      </x:c>
      <x:c r="L979" s="16" t="n">
        <x:v>3</x:v>
      </x:c>
      <x:c r="M979" s="16" t="n">
        <x:v>5</x:v>
      </x:c>
      <x:c r="N979" s="16" t="n">
        <x:v>3</x:v>
      </x:c>
      <x:c r="O979" s="16" t="n">
        <x:v>3</x:v>
      </x:c>
      <x:c r="P979" s="16" t="n">
        <x:f>IF(COUNT(I979:O979)&lt;7,"",I979*8+J979*3+K979*2+L979*2+M979*2+N979*2+O979)</x:f>
        <x:v>56</x:v>
      </x:c>
      <x:c r="Q979" s="16" t="n">
        <x:f>IF(COUNT(J979:O979)&lt;6,"",J979*5+K979*4+M979*4+L979*3+N979*2+O979*2)</x:f>
        <x:v>82</x:v>
      </x:c>
      <x:c r="R979" s="14" t="str">
        <x:v>high</x:v>
      </x:c>
      <x:c r="S979" s="14" t="str">
        <x:v>official_prozorro_award_2024_2026</x:v>
      </x:c>
      <x:c r="T979" s="14" t="str">
        <x:v>official_prozorro_api</x:v>
      </x:c>
      <x:c r="U979" s="14" t="str">
        <x:v>Не контактували</x:v>
      </x:c>
      <x:c r="V979" s="15" t="str">
        <x:v>Workflow-audit outreach по UA-2026-03-03-006192-a; попросити 1 пакет здачі та вимоги проєкту</x:v>
      </x:c>
      <x:c r="W979" s="15" t="str">
        <x:v>Власник / виконавець; відповідальний за договір</x:v>
      </x:c>
      <x:c r="X979" s="15" t="str">
        <x:v>3 нових підтверджених перемог/договорів у Prozorro на 1 827 343 грн; 2 зі строком виконання не раніше 24.08.2026.</x:v>
      </x:c>
      <x:c r="Y97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979" s="15" t="str">
        <x:v>https://prozorro.gov.ua/tender/UA-2026-03-03-006192-a</x:v>
      </x:c>
      <x:c r="AA979" s="14" t="str">
        <x:v>3372207010</x:v>
      </x:c>
      <x:c r="AB979" s="14" t="str">
        <x:v>2026-08-24</x:v>
      </x:c>
      <x:c r="AC979" s="14" t="str"/>
      <x:c r="AD979" s="20" t="str"/>
      <x:c r="AE979" s="14" t="str"/>
      <x:c r="AF979" s="14" t="n">
        <x:v>58</x:v>
      </x:c>
      <x:c r="AG979" s="14" t="str">
        <x:v>I2</x:v>
      </x:c>
      <x:c r="AH979" s="14" t="n">
        <x:v>3</x:v>
      </x:c>
      <x:c r="AI979" s="14" t="n">
        <x:v>2</x:v>
      </x:c>
      <x:c r="AJ979" s="18" t="n">
        <x:v>1827343</x:v>
      </x:c>
      <x:c r="AK979" s="14" t="str">
        <x:v>https://prozorro.gov.ua/tender/UA-2026-03-03-006192-a</x:v>
      </x:c>
      <x:c r="AL979" s="19" t="n">
        <x:v>46094.51362167824</x:v>
      </x:c>
      <x:c r="AM979" s="19" t="n">
        <x:v>46387.4303125</x:v>
      </x:c>
      <x:c r="AN979" s="15" t="str">
        <x:v>Благоустрій</x:v>
      </x:c>
      <x:c r="AO979" s="15" t="str">
        <x:v>not_found_in_top_search</x:v>
      </x:c>
    </x:row>
    <x:row r="980">
      <x:c r="A980" s="14" t="str">
        <x:v>W4-161</x:v>
      </x:c>
      <x:c r="B980" s="14" t="str">
        <x:v>Prozorro expansion — 24.08</x:v>
      </x:c>
      <x:c r="C980" s="14" t="str">
        <x:v>Товариство з обмеженою відповідальністю "БМЗ БУД"</x:v>
      </x:c>
      <x:c r="D980" s="14" t="str">
        <x:v>Промислові підлоги та бетон</x:v>
      </x:c>
      <x:c r="E980" s="14" t="str">
        <x:v>Expansion discovery</x:v>
      </x:c>
      <x:c r="F980" s="17" t="str">
        <x:v>D2</x:v>
      </x:c>
      <x:c r="G980" s="14" t="str"/>
      <x:c r="H980" s="14" t="str">
        <x:v>Discovery розширення — 2 тижні</x:v>
      </x:c>
      <x:c r="I980" s="16" t="n">
        <x:v>1</x:v>
      </x:c>
      <x:c r="J980" s="16" t="n">
        <x:v>5</x:v>
      </x:c>
      <x:c r="K980" s="16" t="n">
        <x:v>5</x:v>
      </x:c>
      <x:c r="L980" s="16" t="n">
        <x:v>3</x:v>
      </x:c>
      <x:c r="M980" s="16" t="n">
        <x:v>5</x:v>
      </x:c>
      <x:c r="N980" s="16" t="n">
        <x:v>5</x:v>
      </x:c>
      <x:c r="O980" s="16" t="n">
        <x:v>3</x:v>
      </x:c>
      <x:c r="P980" s="16" t="n">
        <x:f>IF(COUNT(I980:O980)&lt;7,"",I980*8+J980*3+K980*2+L980*2+M980*2+N980*2+O980)</x:f>
        <x:v>62</x:v>
      </x:c>
      <x:c r="Q980" s="16" t="n">
        <x:f>IF(COUNT(J980:O980)&lt;6,"",J980*5+K980*4+M980*4+L980*3+N980*2+O980*2)</x:f>
        <x:v>90</x:v>
      </x:c>
      <x:c r="R980" s="14" t="str">
        <x:v>high</x:v>
      </x:c>
      <x:c r="S980" s="14" t="str">
        <x:v>official_prozorro_award_2024_2026</x:v>
      </x:c>
      <x:c r="T980" s="14" t="str">
        <x:v>official_prozorro_api</x:v>
      </x:c>
      <x:c r="U980" s="14" t="str">
        <x:v>Не контактували</x:v>
      </x:c>
      <x:c r="V980" s="15" t="str">
        <x:v>Workflow-audit outreach по UA-2025-12-05-000564-a; попросити 1 пакет здачі та вимоги проєкту</x:v>
      </x:c>
      <x:c r="W980" s="15" t="str">
        <x:v>Власник / директор; керівник ПТО; відповідальний за договори</x:v>
      </x:c>
      <x:c r="X980" s="15" t="str">
        <x:v>3 нових підтверджених перемог/договорів у Prozorro на 984 265 грн; 0 зі строком виконання не раніше 24.08.2026.</x:v>
      </x:c>
      <x:c r="Y980"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 строк до 2025-12-31. Попросити один знеособлений пакет здачі за цим workflow.</x:v>
      </x:c>
      <x:c r="Z980" s="15" t="str">
        <x:v>https://prozorro.gov.ua/tender/UA-2025-12-05-000564-a</x:v>
      </x:c>
      <x:c r="AA980" s="14" t="str">
        <x:v>38774807</x:v>
      </x:c>
      <x:c r="AB980" s="14" t="str">
        <x:v>2026-08-24</x:v>
      </x:c>
      <x:c r="AC980" s="14" t="str"/>
      <x:c r="AD980" s="20" t="str"/>
      <x:c r="AE980" s="14" t="str"/>
      <x:c r="AF980" s="14" t="n">
        <x:v>58</x:v>
      </x:c>
      <x:c r="AG980" s="14" t="str">
        <x:v>I2</x:v>
      </x:c>
      <x:c r="AH980" s="14" t="n">
        <x:v>3</x:v>
      </x:c>
      <x:c r="AI980" s="14" t="n">
        <x:v>0</x:v>
      </x:c>
      <x:c r="AJ980" s="18" t="n">
        <x:v>984265.46</x:v>
      </x:c>
      <x:c r="AK980" s="14" t="str">
        <x:v>https://prozorro.gov.ua/tender/UA-2025-12-05-000564-a</x:v>
      </x:c>
      <x:c r="AL980" s="19" t="n">
        <x:v>45996.28315358796</x:v>
      </x:c>
      <x:c r="AM980" s="19" t="n">
        <x:v>46022.916666655095</x:v>
      </x:c>
      <x:c r="AN980" s="15" t="str">
        <x:v>Промислові підлоги та бетон</x:v>
      </x:c>
      <x:c r="AO980" s="15" t="str">
        <x:v>not_found_in_top_search</x:v>
      </x:c>
    </x:row>
    <x:row r="981">
      <x:c r="A981" s="14" t="str">
        <x:v>W4-162</x:v>
      </x:c>
      <x:c r="B981" s="14" t="str">
        <x:v>Prozorro expansion — 24.08</x:v>
      </x:c>
      <x:c r="C981" s="14" t="str">
        <x:v>ФОП ТКАЧЕНКО МАРИНА АНДРІЇВНА</x:v>
      </x:c>
      <x:c r="D981" s="14" t="str">
        <x:v>Благоустрій</x:v>
      </x:c>
      <x:c r="E981" s="14" t="str">
        <x:v>Expansion discovery</x:v>
      </x:c>
      <x:c r="F981" s="17" t="str">
        <x:v>D3</x:v>
      </x:c>
      <x:c r="G981" s="14" t="str"/>
      <x:c r="H981" s="14" t="str">
        <x:v>Discovery розширення — 2 тижні</x:v>
      </x:c>
      <x:c r="I981" s="16" t="n">
        <x:v>1</x:v>
      </x:c>
      <x:c r="J981" s="16" t="n">
        <x:v>5</x:v>
      </x:c>
      <x:c r="K981" s="16" t="n">
        <x:v>4</x:v>
      </x:c>
      <x:c r="L981" s="16" t="n">
        <x:v>4</x:v>
      </x:c>
      <x:c r="M981" s="16" t="n">
        <x:v>5</x:v>
      </x:c>
      <x:c r="N981" s="16" t="n">
        <x:v>3</x:v>
      </x:c>
      <x:c r="O981" s="16" t="n">
        <x:v>3</x:v>
      </x:c>
      <x:c r="P981" s="16" t="n">
        <x:f>IF(COUNT(I981:O981)&lt;7,"",I981*8+J981*3+K981*2+L981*2+M981*2+N981*2+O981)</x:f>
        <x:v>58</x:v>
      </x:c>
      <x:c r="Q981" s="16" t="n">
        <x:f>IF(COUNT(J981:O981)&lt;6,"",J981*5+K981*4+M981*4+L981*3+N981*2+O981*2)</x:f>
        <x:v>85</x:v>
      </x:c>
      <x:c r="R981" s="14" t="str">
        <x:v>high</x:v>
      </x:c>
      <x:c r="S981" s="14" t="str">
        <x:v>official_prozorro_award_2024_2026</x:v>
      </x:c>
      <x:c r="T981" s="14" t="str">
        <x:v>official_prozorro_api</x:v>
      </x:c>
      <x:c r="U981" s="14" t="str">
        <x:v>Не контактували</x:v>
      </x:c>
      <x:c r="V981" s="15" t="str">
        <x:v>Workflow-audit outreach по UA-2026-01-05-002701-a; попросити 1 пакет здачі та вимоги проєкту</x:v>
      </x:c>
      <x:c r="W981" s="15" t="str">
        <x:v>Власник / виконавець; відповідальний за договір</x:v>
      </x:c>
      <x:c r="X981" s="15" t="str">
        <x:v>2 нових підтверджених перемог/договорів у Prozorro на 3 924 000 грн; 1 зі строком виконання не раніше 24.08.2026.</x:v>
      </x:c>
      <x:c r="Y981"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 строк до 2026-12-31. Попросити один знеособлений пакет здачі за цим workflow.</x:v>
      </x:c>
      <x:c r="Z981" s="15" t="str">
        <x:v>https://prozorro.gov.ua/tender/UA-2026-01-05-002701-a</x:v>
      </x:c>
      <x:c r="AA981" s="14" t="str">
        <x:v>2630121501</x:v>
      </x:c>
      <x:c r="AB981" s="14" t="str">
        <x:v>2026-08-24</x:v>
      </x:c>
      <x:c r="AC981" s="14" t="str"/>
      <x:c r="AD981" s="20" t="str"/>
      <x:c r="AE981" s="14" t="str"/>
      <x:c r="AF981" s="14" t="n">
        <x:v>57</x:v>
      </x:c>
      <x:c r="AG981" s="14" t="str">
        <x:v>I3</x:v>
      </x:c>
      <x:c r="AH981" s="14" t="n">
        <x:v>2</x:v>
      </x:c>
      <x:c r="AI981" s="14" t="n">
        <x:v>1</x:v>
      </x:c>
      <x:c r="AJ981" s="18" t="n">
        <x:v>3924000</x:v>
      </x:c>
      <x:c r="AK981" s="14" t="str">
        <x:v>https://prozorro.gov.ua/tender/UA-2026-01-05-002701-a</x:v>
      </x:c>
      <x:c r="AL981" s="19" t="n">
        <x:v>46041.52252884259</x:v>
      </x:c>
      <x:c r="AM981" s="19" t="n">
        <x:v>46387.42568287037</x:v>
      </x:c>
      <x:c r="AN981" s="15" t="str">
        <x:v>Благоустрій</x:v>
      </x:c>
      <x:c r="AO981" s="15" t="str">
        <x:v>not_found_in_top_search</x:v>
      </x:c>
    </x:row>
    <x:row r="982">
      <x:c r="A982" s="14" t="str">
        <x:v>W4-163</x:v>
      </x:c>
      <x:c r="B982" s="14" t="str">
        <x:v>Prozorro expansion — 24.08</x:v>
      </x:c>
      <x:c r="C982" s="14" t="str">
        <x:v>ФОП Панасюк Анатолій Олександрович</x:v>
      </x:c>
      <x:c r="D982" s="14" t="str">
        <x:v>Внутрішні сантехнічні системи</x:v>
      </x:c>
      <x:c r="E982" s="14" t="str">
        <x:v>Pilot now</x:v>
      </x:c>
      <x:c r="F982" s="17" t="str">
        <x:v>P3</x:v>
      </x:c>
      <x:c r="G982" s="14" t="str"/>
      <x:c r="H982" s="14" t="str">
        <x:v>Пілот зараз — Н.14</x:v>
      </x:c>
      <x:c r="I982" s="16" t="n">
        <x:v>5</x:v>
      </x:c>
      <x:c r="J982" s="16" t="n">
        <x:v>5</x:v>
      </x:c>
      <x:c r="K982" s="16" t="n">
        <x:v>4</x:v>
      </x:c>
      <x:c r="L982" s="16" t="n">
        <x:v>2</x:v>
      </x:c>
      <x:c r="M982" s="16" t="n">
        <x:v>5</x:v>
      </x:c>
      <x:c r="N982" s="16" t="n">
        <x:v>3</x:v>
      </x:c>
      <x:c r="O982" s="16" t="n">
        <x:v>3</x:v>
      </x:c>
      <x:c r="P982" s="16" t="n">
        <x:f>IF(COUNT(I982:O982)&lt;7,"",I982*8+J982*3+K982*2+L982*2+M982*2+N982*2+O982)</x:f>
        <x:v>86</x:v>
      </x:c>
      <x:c r="Q982" s="16" t="n">
        <x:f>IF(COUNT(J982:O982)&lt;6,"",J982*5+K982*4+M982*4+L982*3+N982*2+O982*2)</x:f>
        <x:v>79</x:v>
      </x:c>
      <x:c r="R982" s="14" t="str">
        <x:v>high</x:v>
      </x:c>
      <x:c r="S982" s="14" t="str">
        <x:v>official_prozorro_award_2024_2026</x:v>
      </x:c>
      <x:c r="T982" s="14" t="str">
        <x:v>official_prozorro_api</x:v>
      </x:c>
      <x:c r="U982" s="14" t="str">
        <x:v>Не контактували</x:v>
      </x:c>
      <x:c r="V982" s="15" t="str">
        <x:v>Персоналізований free-pilot outreach по UA-2026-06-01-011966-a; попросити 1 пакет Н.14/Н.15</x:v>
      </x:c>
      <x:c r="W982" s="15" t="str">
        <x:v>Власник / виконавець; відповідальний за договір</x:v>
      </x:c>
      <x:c r="X982" s="15" t="str">
        <x:v>2 нових підтверджених перемог/договорів у Prozorro на 303 740 грн; 0 зі строком виконання не раніше 24.08.2026.</x:v>
      </x:c>
      <x:c r="Y982"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 строк до 2026-06-04. Попросити один знеособлений пакет здачі за цим workflow.</x:v>
      </x:c>
      <x:c r="Z982" s="15" t="str">
        <x:v>https://prozorro.gov.ua/tender/UA-2026-06-01-011966-a</x:v>
      </x:c>
      <x:c r="AA982" s="14" t="str">
        <x:v>2752409654</x:v>
      </x:c>
      <x:c r="AB982" s="14" t="str">
        <x:v>2026-08-24</x:v>
      </x:c>
      <x:c r="AC982" s="14" t="str"/>
      <x:c r="AD982" s="20" t="str"/>
      <x:c r="AE982" s="14" t="str"/>
      <x:c r="AF982" s="14" t="n">
        <x:v>57</x:v>
      </x:c>
      <x:c r="AG982" s="14" t="str">
        <x:v>I3</x:v>
      </x:c>
      <x:c r="AH982" s="14" t="n">
        <x:v>2</x:v>
      </x:c>
      <x:c r="AI982" s="14" t="n">
        <x:v>0</x:v>
      </x:c>
      <x:c r="AJ982" s="18" t="n">
        <x:v>303740</x:v>
      </x:c>
      <x:c r="AK982" s="14" t="str">
        <x:v>https://prozorro.gov.ua/tender/UA-2026-06-01-011966-a</x:v>
      </x:c>
      <x:c r="AL982" s="19" t="n">
        <x:v>46174.59931658565</x:v>
      </x:c>
      <x:c r="AM982" s="19" t="n">
        <x:v>46177.60040509259</x:v>
      </x:c>
      <x:c r="AN982" s="15" t="str">
        <x:v>Внутрішні сантехнічні системи</x:v>
      </x:c>
      <x:c r="AO982" s="15" t="str">
        <x:v>not_found_in_top_search</x:v>
      </x:c>
    </x:row>
    <x:row r="983">
      <x:c r="A983" s="14" t="str">
        <x:v>W4-164</x:v>
      </x:c>
      <x:c r="B983" s="14" t="str">
        <x:v>Prozorro expansion — 24.08</x:v>
      </x:c>
      <x:c r="C983" s="14" t="str">
        <x:v>ТОВ Облсумиліфт</x:v>
      </x:c>
      <x:c r="D983" s="14" t="str">
        <x:v>Ліфти та підйомники</x:v>
      </x:c>
      <x:c r="E983" s="14" t="str">
        <x:v>Expansion discovery</x:v>
      </x:c>
      <x:c r="F983" s="17" t="str">
        <x:v>D3</x:v>
      </x:c>
      <x:c r="G983" s="14" t="str"/>
      <x:c r="H983" s="14" t="str">
        <x:v>Discovery розширення — 2 тижні</x:v>
      </x:c>
      <x:c r="I983" s="16" t="n">
        <x:v>1</x:v>
      </x:c>
      <x:c r="J983" s="16" t="n">
        <x:v>5</x:v>
      </x:c>
      <x:c r="K983" s="16" t="n">
        <x:v>4</x:v>
      </x:c>
      <x:c r="L983" s="16" t="n">
        <x:v>5</x:v>
      </x:c>
      <x:c r="M983" s="16" t="n">
        <x:v>5</x:v>
      </x:c>
      <x:c r="N983" s="16" t="n">
        <x:v>5</x:v>
      </x:c>
      <x:c r="O983" s="16" t="n">
        <x:v>3</x:v>
      </x:c>
      <x:c r="P983" s="16" t="n">
        <x:f>IF(COUNT(I983:O983)&lt;7,"",I983*8+J983*3+K983*2+L983*2+M983*2+N983*2+O983)</x:f>
        <x:v>64</x:v>
      </x:c>
      <x:c r="Q983" s="16" t="n">
        <x:f>IF(COUNT(J983:O983)&lt;6,"",J983*5+K983*4+M983*4+L983*3+N983*2+O983*2)</x:f>
        <x:v>92</x:v>
      </x:c>
      <x:c r="R983" s="14" t="str">
        <x:v>high</x:v>
      </x:c>
      <x:c r="S983" s="14" t="str">
        <x:v>official_prozorro_award_2024_2026</x:v>
      </x:c>
      <x:c r="T983" s="14" t="str">
        <x:v>official_prozorro_api</x:v>
      </x:c>
      <x:c r="U983" s="14" t="str">
        <x:v>Не контактували</x:v>
      </x:c>
      <x:c r="V983" s="15" t="str">
        <x:v>Workflow-audit outreach по UA-2025-06-24-013705-a; попросити 1 пакет здачі та вимоги проєкту</x:v>
      </x:c>
      <x:c r="W983" s="15" t="str">
        <x:v>Власник / директор; керівник ПТО; відповідальний за договори</x:v>
      </x:c>
      <x:c r="X983" s="15" t="str">
        <x:v>2 нових підтверджених перемог/договорів у Prozorro на 11 071 699 грн; 0 зі строком виконання не раніше 24.08.2026.</x:v>
      </x:c>
      <x:c r="Y983"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 строк до 2026-04-30. Попросити один знеособлений пакет здачі за цим workflow.</x:v>
      </x:c>
      <x:c r="Z983" s="15" t="str">
        <x:v>https://prozorro.gov.ua/tender/UA-2025-06-24-013705-a</x:v>
      </x:c>
      <x:c r="AA983" s="14" t="str">
        <x:v>34743296</x:v>
      </x:c>
      <x:c r="AB983" s="14" t="str">
        <x:v>2026-08-24</x:v>
      </x:c>
      <x:c r="AC983" s="14" t="str"/>
      <x:c r="AD983" s="20" t="str"/>
      <x:c r="AE983" s="14" t="str"/>
      <x:c r="AF983" s="14" t="n">
        <x:v>56</x:v>
      </x:c>
      <x:c r="AG983" s="14" t="str">
        <x:v>I3</x:v>
      </x:c>
      <x:c r="AH983" s="14" t="n">
        <x:v>2</x:v>
      </x:c>
      <x:c r="AI983" s="14" t="n">
        <x:v>0</x:v>
      </x:c>
      <x:c r="AJ983" s="18" t="n">
        <x:v>11071699.35</x:v>
      </x:c>
      <x:c r="AK983" s="14" t="str">
        <x:v>https://prozorro.gov.ua/tender/UA-2025-06-24-013705-a</x:v>
      </x:c>
      <x:c r="AL983" s="19" t="n">
        <x:v>45855.30308842593</x:v>
      </x:c>
      <x:c r="AM983" s="19" t="n">
        <x:v>46142</x:v>
      </x:c>
      <x:c r="AN983" s="15" t="str">
        <x:v>Ліфти та підйомники</x:v>
      </x:c>
      <x:c r="AO983" s="15" t="str">
        <x:v>not_found_in_top_search</x:v>
      </x:c>
    </x:row>
    <x:row r="984">
      <x:c r="A984" s="14" t="str">
        <x:v>W4-165</x:v>
      </x:c>
      <x:c r="B984" s="14" t="str">
        <x:v>Prozorro expansion — 24.08</x:v>
      </x:c>
      <x:c r="C984" s="14" t="str">
        <x:v>ТОВ "АЛД Інжиніринг та будівництво"</x:v>
      </x:c>
      <x:c r="D984" s="14" t="str">
        <x:v>Газові мережі</x:v>
      </x:c>
      <x:c r="E984" s="14" t="str">
        <x:v>Expansion discovery</x:v>
      </x:c>
      <x:c r="F984" s="17" t="str">
        <x:v>D3</x:v>
      </x:c>
      <x:c r="G984" s="14" t="str"/>
      <x:c r="H984" s="14" t="str">
        <x:v>Discovery розширення — 2 тижні</x:v>
      </x:c>
      <x:c r="I984" s="16" t="n">
        <x:v>1</x:v>
      </x:c>
      <x:c r="J984" s="16" t="n">
        <x:v>5</x:v>
      </x:c>
      <x:c r="K984" s="16" t="n">
        <x:v>5</x:v>
      </x:c>
      <x:c r="L984" s="16" t="n">
        <x:v>3</x:v>
      </x:c>
      <x:c r="M984" s="16" t="n">
        <x:v>5</x:v>
      </x:c>
      <x:c r="N984" s="16" t="n">
        <x:v>5</x:v>
      </x:c>
      <x:c r="O984" s="16" t="n">
        <x:v>3</x:v>
      </x:c>
      <x:c r="P984" s="16" t="n">
        <x:f>IF(COUNT(I984:O984)&lt;7,"",I984*8+J984*3+K984*2+L984*2+M984*2+N984*2+O984)</x:f>
        <x:v>62</x:v>
      </x:c>
      <x:c r="Q984" s="16" t="n">
        <x:f>IF(COUNT(J984:O984)&lt;6,"",J984*5+K984*4+M984*4+L984*3+N984*2+O984*2)</x:f>
        <x:v>90</x:v>
      </x:c>
      <x:c r="R984" s="14" t="str">
        <x:v>high</x:v>
      </x:c>
      <x:c r="S984" s="14" t="str">
        <x:v>official_prozorro_award_2024_2026</x:v>
      </x:c>
      <x:c r="T984" s="14" t="str">
        <x:v>official_prozorro_api</x:v>
      </x:c>
      <x:c r="U984" s="14" t="str">
        <x:v>Не контактували</x:v>
      </x:c>
      <x:c r="V984" s="15" t="str">
        <x:v>Workflow-audit outreach по UA-2025-12-29-007792-a; попросити 1 пакет здачі та вимоги проєкту</x:v>
      </x:c>
      <x:c r="W984" s="15" t="str">
        <x:v>Власник / директор; керівник ПТО; відповідальний за договори</x:v>
      </x:c>
      <x:c r="X984" s="15" t="str">
        <x:v>2 нових підтверджених перемог/договорів у Prozorro на 1 485 782 грн; 0 зі строком виконання не раніше 24.08.2026.</x:v>
      </x:c>
      <x:c r="Y984"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 строк до 2026-03-29. Попросити один знеособлений пакет здачі за цим workflow.</x:v>
      </x:c>
      <x:c r="Z984" s="15" t="str">
        <x:v>https://prozorro.gov.ua/tender/UA-2025-12-29-007792-a</x:v>
      </x:c>
      <x:c r="AA984" s="14" t="str">
        <x:v>43173964</x:v>
      </x:c>
      <x:c r="AB984" s="14" t="str">
        <x:v>2026-08-24</x:v>
      </x:c>
      <x:c r="AC984" s="14" t="str"/>
      <x:c r="AD984" s="20" t="str"/>
      <x:c r="AE984" s="14" t="str"/>
      <x:c r="AF984" s="14" t="n">
        <x:v>56</x:v>
      </x:c>
      <x:c r="AG984" s="14" t="str">
        <x:v>I3</x:v>
      </x:c>
      <x:c r="AH984" s="14" t="n">
        <x:v>2</x:v>
      </x:c>
      <x:c r="AI984" s="14" t="n">
        <x:v>0</x:v>
      </x:c>
      <x:c r="AJ984" s="18" t="n">
        <x:v>1485782.4</x:v>
      </x:c>
      <x:c r="AK984" s="14" t="str">
        <x:v>https://prozorro.gov.ua/tender/UA-2025-12-29-007792-a</x:v>
      </x:c>
      <x:c r="AL984" s="19" t="n">
        <x:v>46020.544460694444</x:v>
      </x:c>
      <x:c r="AM984" s="19" t="n">
        <x:v>46110</x:v>
      </x:c>
      <x:c r="AN984" s="15" t="str">
        <x:v>Газові мережі</x:v>
      </x:c>
      <x:c r="AO984" s="15" t="str">
        <x:v>not_found_in_top_search</x:v>
      </x:c>
    </x:row>
    <x:row r="985">
      <x:c r="A985" s="14" t="str">
        <x:v>W4-166</x:v>
      </x:c>
      <x:c r="B985" s="14" t="str">
        <x:v>Prozorro expansion — 24.08</x:v>
      </x:c>
      <x:c r="C985" s="14" t="str">
        <x:v>ТОВ "ВК "ПРОГРЕС""</x:v>
      </x:c>
      <x:c r="D985" s="14" t="str">
        <x:v>Покрівлі та гідроізоляція</x:v>
      </x:c>
      <x:c r="E985" s="14" t="str">
        <x:v>Expansion discovery</x:v>
      </x:c>
      <x:c r="F985" s="17" t="str">
        <x:v>D3</x:v>
      </x:c>
      <x:c r="G985" s="14" t="str"/>
      <x:c r="H985" s="14" t="str">
        <x:v>Discovery розширення — 2 тижні</x:v>
      </x:c>
      <x:c r="I985" s="16" t="n">
        <x:v>1</x:v>
      </x:c>
      <x:c r="J985" s="16" t="n">
        <x:v>5</x:v>
      </x:c>
      <x:c r="K985" s="16" t="n">
        <x:v>5</x:v>
      </x:c>
      <x:c r="L985" s="16" t="n">
        <x:v>2</x:v>
      </x:c>
      <x:c r="M985" s="16" t="n">
        <x:v>5</x:v>
      </x:c>
      <x:c r="N985" s="16" t="n">
        <x:v>5</x:v>
      </x:c>
      <x:c r="O985" s="16" t="n">
        <x:v>3</x:v>
      </x:c>
      <x:c r="P985" s="16" t="n">
        <x:f>IF(COUNT(I985:O985)&lt;7,"",I985*8+J985*3+K985*2+L985*2+M985*2+N985*2+O985)</x:f>
        <x:v>60</x:v>
      </x:c>
      <x:c r="Q985" s="16" t="n">
        <x:f>IF(COUNT(J985:O985)&lt;6,"",J985*5+K985*4+M985*4+L985*3+N985*2+O985*2)</x:f>
        <x:v>87</x:v>
      </x:c>
      <x:c r="R985" s="14" t="str">
        <x:v>high</x:v>
      </x:c>
      <x:c r="S985" s="14" t="str">
        <x:v>official_prozorro_award_2024_2026</x:v>
      </x:c>
      <x:c r="T985" s="14" t="str">
        <x:v>official_prozorro_api</x:v>
      </x:c>
      <x:c r="U985" s="14" t="str">
        <x:v>Не контактували</x:v>
      </x:c>
      <x:c r="V985" s="15" t="str">
        <x:v>Workflow-audit outreach по UA-2026-07-20-009259-a; попросити 1 пакет здачі та вимоги проєкту</x:v>
      </x:c>
      <x:c r="W985" s="15" t="str">
        <x:v>Власник / директор; керівник ПТО; відповідальний за договори</x:v>
      </x:c>
      <x:c r="X985" s="15" t="str">
        <x:v>1 нових підтверджених перемог/договорів у Prozorro на 400 000 грн; 1 зі строком виконання не раніше 24.08.2026.</x:v>
      </x:c>
      <x:c r="Y985"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 строк до 2026-12-31. Попросити один знеособлений пакет здачі за цим workflow.</x:v>
      </x:c>
      <x:c r="Z985" s="15" t="str">
        <x:v>https://prozorro.gov.ua/tender/UA-2026-07-20-009259-a</x:v>
      </x:c>
      <x:c r="AA985" s="14" t="str">
        <x:v>36878631</x:v>
      </x:c>
      <x:c r="AB985" s="14" t="str">
        <x:v>2026-08-24</x:v>
      </x:c>
      <x:c r="AC985" s="14" t="str"/>
      <x:c r="AD985" s="20" t="str"/>
      <x:c r="AE985" s="14" t="str"/>
      <x:c r="AF985" s="14" t="n">
        <x:v>56</x:v>
      </x:c>
      <x:c r="AG985" s="14" t="str">
        <x:v>I3</x:v>
      </x:c>
      <x:c r="AH985" s="14" t="n">
        <x:v>1</x:v>
      </x:c>
      <x:c r="AI985" s="14" t="n">
        <x:v>1</x:v>
      </x:c>
      <x:c r="AJ985" s="18" t="n">
        <x:v>400000</x:v>
      </x:c>
      <x:c r="AK985" s="14" t="str">
        <x:v>https://prozorro.gov.ua/tender/UA-2026-07-20-009259-a</x:v>
      </x:c>
      <x:c r="AL985" s="19" t="n">
        <x:v>46234.388149722225</x:v>
      </x:c>
      <x:c r="AM985" s="19" t="n">
        <x:v>46387</x:v>
      </x:c>
      <x:c r="AN985" s="15" t="str">
        <x:v>Покрівлі та гідроізоляція</x:v>
      </x:c>
      <x:c r="AO985" s="15" t="str">
        <x:v>not_found_in_top_search</x:v>
      </x:c>
    </x:row>
    <x:row r="986">
      <x:c r="A986" s="14" t="str">
        <x:v>W4-167</x:v>
      </x:c>
      <x:c r="B986" s="14" t="str">
        <x:v>Prozorro expansion — 24.08</x:v>
      </x:c>
      <x:c r="C986" s="14" t="str">
        <x:v>СІРА АНАСТАСІЯ ПАВЛІВНА</x:v>
      </x:c>
      <x:c r="D986" s="14" t="str">
        <x:v>Пожежогасіння</x:v>
      </x:c>
      <x:c r="E986" s="14" t="str">
        <x:v>Expansion discovery</x:v>
      </x:c>
      <x:c r="F986" s="17" t="str">
        <x:v>D3</x:v>
      </x:c>
      <x:c r="G986" s="14" t="str"/>
      <x:c r="H986" s="14" t="str">
        <x:v>Discovery розширення — 2 тижні</x:v>
      </x:c>
      <x:c r="I986" s="16" t="n">
        <x:v>1</x:v>
      </x:c>
      <x:c r="J986" s="16" t="n">
        <x:v>5</x:v>
      </x:c>
      <x:c r="K986" s="16" t="n">
        <x:v>5</x:v>
      </x:c>
      <x:c r="L986" s="16" t="n">
        <x:v>2</x:v>
      </x:c>
      <x:c r="M986" s="16" t="n">
        <x:v>5</x:v>
      </x:c>
      <x:c r="N986" s="16" t="n">
        <x:v>3</x:v>
      </x:c>
      <x:c r="O986" s="16" t="n">
        <x:v>3</x:v>
      </x:c>
      <x:c r="P986" s="16" t="n">
        <x:f>IF(COUNT(I986:O986)&lt;7,"",I986*8+J986*3+K986*2+L986*2+M986*2+N986*2+O986)</x:f>
        <x:v>56</x:v>
      </x:c>
      <x:c r="Q986" s="16" t="n">
        <x:f>IF(COUNT(J986:O986)&lt;6,"",J986*5+K986*4+M986*4+L986*3+N986*2+O986*2)</x:f>
        <x:v>83</x:v>
      </x:c>
      <x:c r="R986" s="14" t="str">
        <x:v>high</x:v>
      </x:c>
      <x:c r="S986" s="14" t="str">
        <x:v>official_prozorro_award_2024_2026</x:v>
      </x:c>
      <x:c r="T986" s="14" t="str">
        <x:v>official_prozorro_api</x:v>
      </x:c>
      <x:c r="U986" s="14" t="str">
        <x:v>Не контактували</x:v>
      </x:c>
      <x:c r="V986" s="15" t="str">
        <x:v>Workflow-audit outreach по UA-2026-08-07-006697-a; попросити 1 пакет здачі та вимоги проєкту</x:v>
      </x:c>
      <x:c r="W986" s="15" t="str">
        <x:v>Власник / виконавець; відповідальний за договір</x:v>
      </x:c>
      <x:c r="X986" s="15" t="str">
        <x:v>1 нових підтверджених перемог/договорів у Prozorro на 342 311 грн; 1 зі строком виконання не раніше 24.08.2026.</x:v>
      </x:c>
      <x:c r="Y986"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 строк до 2026-11-02. Попросити один знеособлений пакет здачі за цим workflow.</x:v>
      </x:c>
      <x:c r="Z986" s="15" t="str">
        <x:v>https://prozorro.gov.ua/tender/UA-2026-08-07-006697-a</x:v>
      </x:c>
      <x:c r="AA986" s="14" t="str">
        <x:v>3168019084</x:v>
      </x:c>
      <x:c r="AB986" s="14" t="str">
        <x:v>2026-08-24</x:v>
      </x:c>
      <x:c r="AC986" s="14" t="str"/>
      <x:c r="AD986" s="20" t="str"/>
      <x:c r="AE986" s="14" t="str"/>
      <x:c r="AF986" s="14" t="n">
        <x:v>56</x:v>
      </x:c>
      <x:c r="AG986" s="14" t="str">
        <x:v>I3</x:v>
      </x:c>
      <x:c r="AH986" s="14" t="n">
        <x:v>1</x:v>
      </x:c>
      <x:c r="AI986" s="14" t="n">
        <x:v>1</x:v>
      </x:c>
      <x:c r="AJ986" s="18" t="n">
        <x:v>342311</x:v>
      </x:c>
      <x:c r="AK986" s="14" t="str">
        <x:v>https://prozorro.gov.ua/tender/UA-2026-08-07-006697-a</x:v>
      </x:c>
      <x:c r="AL986" s="19" t="n">
        <x:v>46241.44266673611</x:v>
      </x:c>
      <x:c r="AM986" s="19" t="n">
        <x:v>46328</x:v>
      </x:c>
      <x:c r="AN986" s="15" t="str">
        <x:v>Пожежогасіння</x:v>
      </x:c>
      <x:c r="AO986" s="15" t="str">
        <x:v>not_found_in_top_search</x:v>
      </x:c>
    </x:row>
    <x:row r="987">
      <x:c r="A987" s="14" t="str">
        <x:v>W4-168</x:v>
      </x:c>
      <x:c r="B987" s="14" t="str">
        <x:v>Prozorro expansion — 24.08</x:v>
      </x:c>
      <x:c r="C987" s="14" t="str">
        <x:v>ПП "Будінвест-2017"</x:v>
      </x:c>
      <x:c r="D987" s="14" t="str">
        <x:v>Дорожні роботи</x:v>
      </x:c>
      <x:c r="E987" s="14" t="str">
        <x:v>Expansion discovery</x:v>
      </x:c>
      <x:c r="F987" s="17" t="str">
        <x:v>D3</x:v>
      </x:c>
      <x:c r="G987" s="14" t="str"/>
      <x:c r="H987" s="14" t="str">
        <x:v>Discovery розширення — 2 тижні</x:v>
      </x:c>
      <x:c r="I987" s="16" t="n">
        <x:v>1</x:v>
      </x:c>
      <x:c r="J987" s="16" t="n">
        <x:v>5</x:v>
      </x:c>
      <x:c r="K987" s="16" t="n">
        <x:v>4</x:v>
      </x:c>
      <x:c r="L987" s="16" t="n">
        <x:v>2</x:v>
      </x:c>
      <x:c r="M987" s="16" t="n">
        <x:v>5</x:v>
      </x:c>
      <x:c r="N987" s="16" t="n">
        <x:v>5</x:v>
      </x:c>
      <x:c r="O987" s="16" t="n">
        <x:v>3</x:v>
      </x:c>
      <x:c r="P987" s="16" t="n">
        <x:f>IF(COUNT(I987:O987)&lt;7,"",I987*8+J987*3+K987*2+L987*2+M987*2+N987*2+O987)</x:f>
        <x:v>58</x:v>
      </x:c>
      <x:c r="Q987" s="16" t="n">
        <x:f>IF(COUNT(J987:O987)&lt;6,"",J987*5+K987*4+M987*4+L987*3+N987*2+O987*2)</x:f>
        <x:v>83</x:v>
      </x:c>
      <x:c r="R987" s="14" t="str">
        <x:v>high</x:v>
      </x:c>
      <x:c r="S987" s="14" t="str">
        <x:v>official_prozorro_award_2024_2026</x:v>
      </x:c>
      <x:c r="T987" s="14" t="str">
        <x:v>official_prozorro_api</x:v>
      </x:c>
      <x:c r="U987" s="14" t="str">
        <x:v>Не контактували</x:v>
      </x:c>
      <x:c r="V987" s="15" t="str">
        <x:v>Workflow-audit outreach по UA-2026-08-19-007009-a; попросити 1 пакет здачі та вимоги проєкту</x:v>
      </x:c>
      <x:c r="W987" s="15" t="str">
        <x:v>Власник / директор; керівник ПТО; відповідальний за договори</x:v>
      </x:c>
      <x:c r="X987" s="15" t="str">
        <x:v>1 нових підтверджених перемог/договорів у Prozorro на 296 118 грн; 1 зі строком виконання не раніше 24.08.2026.</x:v>
      </x:c>
      <x:c r="Y987" s="15" t="str">
        <x:v>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987" s="15" t="str">
        <x:v>https://prozorro.gov.ua/tender/UA-2026-08-19-007009-a</x:v>
      </x:c>
      <x:c r="AA987" s="14" t="str">
        <x:v>41415466</x:v>
      </x:c>
      <x:c r="AB987" s="14" t="str">
        <x:v>2026-08-24</x:v>
      </x:c>
      <x:c r="AC987" s="14" t="str"/>
      <x:c r="AD987" s="20" t="str"/>
      <x:c r="AE987" s="14" t="str"/>
      <x:c r="AF987" s="14" t="n">
        <x:v>56</x:v>
      </x:c>
      <x:c r="AG987" s="14" t="str">
        <x:v>I3</x:v>
      </x:c>
      <x:c r="AH987" s="14" t="n">
        <x:v>1</x:v>
      </x:c>
      <x:c r="AI987" s="14" t="n">
        <x:v>1</x:v>
      </x:c>
      <x:c r="AJ987" s="18" t="n">
        <x:v>296118</x:v>
      </x:c>
      <x:c r="AK987" s="14" t="str">
        <x:v>https://prozorro.gov.ua/tender/UA-2026-08-19-007009-a</x:v>
      </x:c>
      <x:c r="AL987" s="19" t="n">
        <x:v>46253.44711681713</x:v>
      </x:c>
      <x:c r="AM987" s="19" t="n">
        <x:v>46387</x:v>
      </x:c>
      <x:c r="AN987" s="15" t="str">
        <x:v>Дорожні роботи</x:v>
      </x:c>
      <x:c r="AO987" s="15" t="str">
        <x:v>not_found_in_top_search</x:v>
      </x:c>
    </x:row>
    <x:row r="988">
      <x:c r="A988" s="14" t="str">
        <x:v>W4-169</x:v>
      </x:c>
      <x:c r="B988" s="14" t="str">
        <x:v>Prozorro expansion — 24.08</x:v>
      </x:c>
      <x:c r="C988" s="14" t="str">
        <x:v>ПП "РЕЙДЕР"</x:v>
      </x:c>
      <x:c r="D988" s="14" t="str">
        <x:v>Пасивний вогнезахист</x:v>
      </x:c>
      <x:c r="E988" s="14" t="str">
        <x:v>Expansion discovery</x:v>
      </x:c>
      <x:c r="F988" s="17" t="str">
        <x:v>D3</x:v>
      </x:c>
      <x:c r="G988" s="14" t="str"/>
      <x:c r="H988" s="14" t="str">
        <x:v>Discovery розширення — 2 тижні</x:v>
      </x:c>
      <x:c r="I988" s="16" t="n">
        <x:v>1</x:v>
      </x:c>
      <x:c r="J988" s="16" t="n">
        <x:v>5</x:v>
      </x:c>
      <x:c r="K988" s="16" t="n">
        <x:v>5</x:v>
      </x:c>
      <x:c r="L988" s="16" t="n">
        <x:v>2</x:v>
      </x:c>
      <x:c r="M988" s="16" t="n">
        <x:v>5</x:v>
      </x:c>
      <x:c r="N988" s="16" t="n">
        <x:v>5</x:v>
      </x:c>
      <x:c r="O988" s="16" t="n">
        <x:v>3</x:v>
      </x:c>
      <x:c r="P988" s="16" t="n">
        <x:f>IF(COUNT(I988:O988)&lt;7,"",I988*8+J988*3+K988*2+L988*2+M988*2+N988*2+O988)</x:f>
        <x:v>60</x:v>
      </x:c>
      <x:c r="Q988" s="16" t="n">
        <x:f>IF(COUNT(J988:O988)&lt;6,"",J988*5+K988*4+M988*4+L988*3+N988*2+O988*2)</x:f>
        <x:v>87</x:v>
      </x:c>
      <x:c r="R988" s="14" t="str">
        <x:v>high</x:v>
      </x:c>
      <x:c r="S988" s="14" t="str">
        <x:v>official_prozorro_award_2024_2026</x:v>
      </x:c>
      <x:c r="T988" s="14" t="str">
        <x:v>official_prozorro_api</x:v>
      </x:c>
      <x:c r="U988" s="14" t="str">
        <x:v>Не контактували</x:v>
      </x:c>
      <x:c r="V988" s="15" t="str">
        <x:v>Workflow-audit outreach по UA-2026-08-13-000512-a; попросити 1 пакет здачі та вимоги проєкту</x:v>
      </x:c>
      <x:c r="W988" s="15" t="str">
        <x:v>Власник / директор; керівник ПТО; відповідальний за договори</x:v>
      </x:c>
      <x:c r="X988" s="15" t="str">
        <x:v>1 нових підтверджених перемог/договорів у Prozorro на 266 382 грн; 1 зі строком виконання не раніше 24.08.2026.</x:v>
      </x:c>
      <x:c r="Y988" s="15" t="str">
        <x:v>Вогнезахисна обробка дерев’яних конструкцій Кривошиїнської гімназії Сквирської міської ради Київської області; строк до 2026-09-30. Попросити один знеособлений пакет здачі за цим workflow.</x:v>
      </x:c>
      <x:c r="Z988" s="15" t="str">
        <x:v>https://prozorro.gov.ua/tender/UA-2026-08-13-000512-a</x:v>
      </x:c>
      <x:c r="AA988" s="14" t="str">
        <x:v>30320090</x:v>
      </x:c>
      <x:c r="AB988" s="14" t="str">
        <x:v>2026-08-24</x:v>
      </x:c>
      <x:c r="AC988" s="14" t="str"/>
      <x:c r="AD988" s="20" t="str"/>
      <x:c r="AE988" s="14" t="str"/>
      <x:c r="AF988" s="14" t="n">
        <x:v>56</x:v>
      </x:c>
      <x:c r="AG988" s="14" t="str">
        <x:v>I3</x:v>
      </x:c>
      <x:c r="AH988" s="14" t="n">
        <x:v>1</x:v>
      </x:c>
      <x:c r="AI988" s="14" t="n">
        <x:v>1</x:v>
      </x:c>
      <x:c r="AJ988" s="18" t="n">
        <x:v>266382.15</x:v>
      </x:c>
      <x:c r="AK988" s="14" t="str">
        <x:v>https://prozorro.gov.ua/tender/UA-2026-08-13-000512-a</x:v>
      </x:c>
      <x:c r="AL988" s="19" t="n">
        <x:v>46255.52383841435</x:v>
      </x:c>
      <x:c r="AM988" s="19" t="n">
        <x:v>46295.2487962963</x:v>
      </x:c>
      <x:c r="AN988" s="15" t="str">
        <x:v>Пасивний вогнезахист</x:v>
      </x:c>
      <x:c r="AO988" s="15" t="str">
        <x:v>not_found_in_top_search</x:v>
      </x:c>
    </x:row>
    <x:row r="989">
      <x:c r="A989" s="14" t="str">
        <x:v>W4-170</x:v>
      </x:c>
      <x:c r="B989" s="14" t="str">
        <x:v>Prozorro expansion — 24.08</x:v>
      </x:c>
      <x:c r="C989" s="14" t="str">
        <x:v>ТОВАРИСТВО З ОБМЕЖЕНОЮ ВІДПОВІДАЛЬНІСТЮ "ЕЛЕКТРИК СОЛЮШНС"</x:v>
      </x:c>
      <x:c r="D989" s="14" t="str">
        <x:v>Пасивний вогнезахист</x:v>
      </x:c>
      <x:c r="E989" s="14" t="str">
        <x:v>Expansion discovery</x:v>
      </x:c>
      <x:c r="F989" s="17" t="str">
        <x:v>D3</x:v>
      </x:c>
      <x:c r="G989" s="14" t="str"/>
      <x:c r="H989" s="14" t="str">
        <x:v>Discovery розширення — 2 тижні</x:v>
      </x:c>
      <x:c r="I989" s="16" t="n">
        <x:v>1</x:v>
      </x:c>
      <x:c r="J989" s="16" t="n">
        <x:v>5</x:v>
      </x:c>
      <x:c r="K989" s="16" t="n">
        <x:v>5</x:v>
      </x:c>
      <x:c r="L989" s="16" t="n">
        <x:v>2</x:v>
      </x:c>
      <x:c r="M989" s="16" t="n">
        <x:v>5</x:v>
      </x:c>
      <x:c r="N989" s="16" t="n">
        <x:v>5</x:v>
      </x:c>
      <x:c r="O989" s="16" t="n">
        <x:v>3</x:v>
      </x:c>
      <x:c r="P989" s="16" t="n">
        <x:f>IF(COUNT(I989:O989)&lt;7,"",I989*8+J989*3+K989*2+L989*2+M989*2+N989*2+O989)</x:f>
        <x:v>60</x:v>
      </x:c>
      <x:c r="Q989" s="16" t="n">
        <x:f>IF(COUNT(J989:O989)&lt;6,"",J989*5+K989*4+M989*4+L989*3+N989*2+O989*2)</x:f>
        <x:v>87</x:v>
      </x:c>
      <x:c r="R989" s="14" t="str">
        <x:v>high</x:v>
      </x:c>
      <x:c r="S989" s="14" t="str">
        <x:v>official_prozorro_award_2024_2026</x:v>
      </x:c>
      <x:c r="T989" s="14" t="str">
        <x:v>official_prozorro_api</x:v>
      </x:c>
      <x:c r="U989" s="14" t="str">
        <x:v>Не контактували</x:v>
      </x:c>
      <x:c r="V989" s="15" t="str">
        <x:v>Workflow-audit outreach по UA-2026-08-11-011818-a; попросити 1 пакет здачі та вимоги проєкту</x:v>
      </x:c>
      <x:c r="W989" s="15" t="str">
        <x:v>Власник / директор; керівник ПТО; відповідальний за договори</x:v>
      </x:c>
      <x:c r="X989" s="15" t="str">
        <x:v>1 нових підтверджених перемог/договорів у Prozorro на 249 233 грн; 1 зі строком виконання не раніше 24.08.2026.</x:v>
      </x:c>
      <x:c r="Y989" s="15" t="str">
        <x:v>Послуги з вогнезахисної обробки дерев'яних конструкцій даху будівлі майстерень код за ДК 021:2015 77220000-8 Послуги з просочування деревини; строк до 2026-09-30. Попросити один знеособлений пакет здачі за цим workflow.</x:v>
      </x:c>
      <x:c r="Z989" s="15" t="str">
        <x:v>https://prozorro.gov.ua/tender/UA-2026-08-11-011818-a</x:v>
      </x:c>
      <x:c r="AA989" s="14" t="str">
        <x:v>43330966</x:v>
      </x:c>
      <x:c r="AB989" s="14" t="str">
        <x:v>2026-08-24</x:v>
      </x:c>
      <x:c r="AC989" s="14" t="str"/>
      <x:c r="AD989" s="20" t="str"/>
      <x:c r="AE989" s="14" t="str"/>
      <x:c r="AF989" s="14" t="n">
        <x:v>56</x:v>
      </x:c>
      <x:c r="AG989" s="14" t="str">
        <x:v>I3</x:v>
      </x:c>
      <x:c r="AH989" s="14" t="n">
        <x:v>1</x:v>
      </x:c>
      <x:c r="AI989" s="14" t="n">
        <x:v>1</x:v>
      </x:c>
      <x:c r="AJ989" s="18" t="n">
        <x:v>249232.6</x:v>
      </x:c>
      <x:c r="AK989" s="14" t="str">
        <x:v>https://prozorro.gov.ua/tender/UA-2026-08-11-011818-a</x:v>
      </x:c>
      <x:c r="AL989" s="19" t="n">
        <x:v>46254.546691655094</x:v>
      </x:c>
      <x:c r="AM989" s="19" t="n">
        <x:v>46295.57832175926</x:v>
      </x:c>
      <x:c r="AN989" s="15" t="str">
        <x:v>Пасивний вогнезахист</x:v>
      </x:c>
      <x:c r="AO989" s="15" t="str">
        <x:v>not_found_in_top_search</x:v>
      </x:c>
    </x:row>
    <x:row r="990">
      <x:c r="A990" s="14" t="str">
        <x:v>W4-171</x:v>
      </x:c>
      <x:c r="B990" s="14" t="str">
        <x:v>Prozorro expansion — 24.08</x:v>
      </x:c>
      <x:c r="C990" s="14" t="str">
        <x:v>Приватне підприємство "КВМ-БУД"</x:v>
      </x:c>
      <x:c r="D990" s="14" t="str">
        <x:v>Фасади та скління</x:v>
      </x:c>
      <x:c r="E990" s="14" t="str">
        <x:v>Expansion discovery</x:v>
      </x:c>
      <x:c r="F990" s="17" t="str">
        <x:v>D3</x:v>
      </x:c>
      <x:c r="G990" s="14" t="str"/>
      <x:c r="H990" s="14" t="str">
        <x:v>Discovery розширення — 2 тижні</x:v>
      </x:c>
      <x:c r="I990" s="16" t="n">
        <x:v>1</x:v>
      </x:c>
      <x:c r="J990" s="16" t="n">
        <x:v>5</x:v>
      </x:c>
      <x:c r="K990" s="16" t="n">
        <x:v>5</x:v>
      </x:c>
      <x:c r="L990" s="16" t="n">
        <x:v>2</x:v>
      </x:c>
      <x:c r="M990" s="16" t="n">
        <x:v>5</x:v>
      </x:c>
      <x:c r="N990" s="16" t="n">
        <x:v>5</x:v>
      </x:c>
      <x:c r="O990" s="16" t="n">
        <x:v>3</x:v>
      </x:c>
      <x:c r="P990" s="16" t="n">
        <x:f>IF(COUNT(I990:O990)&lt;7,"",I990*8+J990*3+K990*2+L990*2+M990*2+N990*2+O990)</x:f>
        <x:v>60</x:v>
      </x:c>
      <x:c r="Q990" s="16" t="n">
        <x:f>IF(COUNT(J990:O990)&lt;6,"",J990*5+K990*4+M990*4+L990*3+N990*2+O990*2)</x:f>
        <x:v>87</x:v>
      </x:c>
      <x:c r="R990" s="14" t="str">
        <x:v>high</x:v>
      </x:c>
      <x:c r="S990" s="14" t="str">
        <x:v>official_prozorro_award_2024_2026</x:v>
      </x:c>
      <x:c r="T990" s="14" t="str">
        <x:v>official_prozorro_api</x:v>
      </x:c>
      <x:c r="U990" s="14" t="str">
        <x:v>Не контактували</x:v>
      </x:c>
      <x:c r="V990" s="15" t="str">
        <x:v>Workflow-audit outreach по UA-2026-08-24-002559-a; попросити 1 пакет здачі та вимоги проєкту</x:v>
      </x:c>
      <x:c r="W990" s="15" t="str">
        <x:v>Власник / директор; керівник ПТО; відповідальний за договори</x:v>
      </x:c>
      <x:c r="X990" s="15" t="str">
        <x:v>1 нових підтверджених перемог/договорів у Prozorro на 165 943 грн; 1 зі строком виконання не раніше 24.08.2026.</x:v>
      </x:c>
      <x:c r="Y990"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 строк до 2026-08-26. Попросити один знеособлений пакет здачі за цим workflow.</x:v>
      </x:c>
      <x:c r="Z990" s="15" t="str">
        <x:v>https://prozorro.gov.ua/tender/UA-2026-08-24-002559-a</x:v>
      </x:c>
      <x:c r="AA990" s="14" t="str">
        <x:v>33977422</x:v>
      </x:c>
      <x:c r="AB990" s="14" t="str">
        <x:v>2026-08-24</x:v>
      </x:c>
      <x:c r="AC990" s="14" t="str"/>
      <x:c r="AD990" s="20" t="str"/>
      <x:c r="AE990" s="14" t="str"/>
      <x:c r="AF990" s="14" t="n">
        <x:v>56</x:v>
      </x:c>
      <x:c r="AG990" s="14" t="str">
        <x:v>I3</x:v>
      </x:c>
      <x:c r="AH990" s="14" t="n">
        <x:v>1</x:v>
      </x:c>
      <x:c r="AI990" s="14" t="n">
        <x:v>1</x:v>
      </x:c>
      <x:c r="AJ990" s="18" t="n">
        <x:v>165943.29</x:v>
      </x:c>
      <x:c r="AK990" s="14" t="str">
        <x:v>https://prozorro.gov.ua/tender/UA-2026-08-24-002559-a</x:v>
      </x:c>
      <x:c r="AL990" s="19" t="n">
        <x:v>46258.33909663194</x:v>
      </x:c>
      <x:c r="AM990" s="19" t="n">
        <x:v>46260.34030092593</x:v>
      </x:c>
      <x:c r="AN990" s="15" t="str">
        <x:v>Фасади та скління</x:v>
      </x:c>
      <x:c r="AO990" s="15" t="str">
        <x:v>not_found_in_top_search</x:v>
      </x:c>
    </x:row>
    <x:row r="991">
      <x:c r="A991" s="14" t="str">
        <x:v>W4-172</x:v>
      </x:c>
      <x:c r="B991" s="14" t="str">
        <x:v>Prozorro expansion — 24.08</x:v>
      </x:c>
      <x:c r="C991" s="14" t="str">
        <x:v>ТОВАРИСТВО З ОБМЕЖЕНОЮ ВІДПОВІДАЛЬНІСТЮ "ВОГНЕБОРЕЦЬ БУД"</x:v>
      </x:c>
      <x:c r="D991" s="14" t="str">
        <x:v>Пасивний вогнезахист</x:v>
      </x:c>
      <x:c r="E991" s="14" t="str">
        <x:v>Expansion discovery</x:v>
      </x:c>
      <x:c r="F991" s="17" t="str">
        <x:v>D3</x:v>
      </x:c>
      <x:c r="G991" s="14" t="str"/>
      <x:c r="H991" s="14" t="str">
        <x:v>Discovery розширення — 2 тижні</x:v>
      </x:c>
      <x:c r="I991" s="16" t="n">
        <x:v>1</x:v>
      </x:c>
      <x:c r="J991" s="16" t="n">
        <x:v>5</x:v>
      </x:c>
      <x:c r="K991" s="16" t="n">
        <x:v>5</x:v>
      </x:c>
      <x:c r="L991" s="16" t="n">
        <x:v>2</x:v>
      </x:c>
      <x:c r="M991" s="16" t="n">
        <x:v>5</x:v>
      </x:c>
      <x:c r="N991" s="16" t="n">
        <x:v>5</x:v>
      </x:c>
      <x:c r="O991" s="16" t="n">
        <x:v>3</x:v>
      </x:c>
      <x:c r="P991" s="16" t="n">
        <x:f>IF(COUNT(I991:O991)&lt;7,"",I991*8+J991*3+K991*2+L991*2+M991*2+N991*2+O991)</x:f>
        <x:v>60</x:v>
      </x:c>
      <x:c r="Q991" s="16" t="n">
        <x:f>IF(COUNT(J991:O991)&lt;6,"",J991*5+K991*4+M991*4+L991*3+N991*2+O991*2)</x:f>
        <x:v>87</x:v>
      </x:c>
      <x:c r="R991" s="14" t="str">
        <x:v>high</x:v>
      </x:c>
      <x:c r="S991" s="14" t="str">
        <x:v>official_prozorro_award_2024_2026</x:v>
      </x:c>
      <x:c r="T991" s="14" t="str">
        <x:v>official_prozorro_api</x:v>
      </x:c>
      <x:c r="U991" s="14" t="str">
        <x:v>Не контактували</x:v>
      </x:c>
      <x:c r="V991" s="15" t="str">
        <x:v>Workflow-audit outreach по UA-2026-08-03-000598-a; попросити 1 пакет здачі та вимоги проєкту</x:v>
      </x:c>
      <x:c r="W991" s="15" t="str">
        <x:v>Власник / директор; керівник ПТО; відповідальний за договори</x:v>
      </x:c>
      <x:c r="X991" s="15" t="str">
        <x:v>1 нових підтверджених перемог/договорів у Prozorro на 155 005 грн; 1 зі строком виконання не раніше 24.08.2026.</x:v>
      </x:c>
      <x:c r="Y991" s="15" t="str">
        <x:v>Поточний ремонт даху(Вогнезахисна обробка дерев'яних конструкцій даху горищного  приміщення); строк до 2026-12-31. Попросити один знеособлений пакет здачі за цим workflow.</x:v>
      </x:c>
      <x:c r="Z991" s="15" t="str">
        <x:v>https://prozorro.gov.ua/tender/UA-2026-08-03-000598-a</x:v>
      </x:c>
      <x:c r="AA991" s="14" t="str">
        <x:v>41277340</x:v>
      </x:c>
      <x:c r="AB991" s="14" t="str">
        <x:v>2026-08-24</x:v>
      </x:c>
      <x:c r="AC991" s="14" t="str"/>
      <x:c r="AD991" s="20" t="str"/>
      <x:c r="AE991" s="14" t="str"/>
      <x:c r="AF991" s="14" t="n">
        <x:v>56</x:v>
      </x:c>
      <x:c r="AG991" s="14" t="str">
        <x:v>I3</x:v>
      </x:c>
      <x:c r="AH991" s="14" t="n">
        <x:v>1</x:v>
      </x:c>
      <x:c r="AI991" s="14" t="n">
        <x:v>1</x:v>
      </x:c>
      <x:c r="AJ991" s="18" t="n">
        <x:v>155005.2</x:v>
      </x:c>
      <x:c r="AK991" s="14" t="str">
        <x:v>https://prozorro.gov.ua/tender/UA-2026-08-03-000598-a</x:v>
      </x:c>
      <x:c r="AL991" s="19" t="n">
        <x:v>46237.269434594906</x:v>
      </x:c>
      <x:c r="AM991" s="19" t="n">
        <x:v>46387</x:v>
      </x:c>
      <x:c r="AN991" s="15" t="str">
        <x:v>Пасивний вогнезахист</x:v>
      </x:c>
      <x:c r="AO991" s="15" t="str">
        <x:v>not_found_in_top_search</x:v>
      </x:c>
    </x:row>
    <x:row r="992">
      <x:c r="A992" s="14" t="str">
        <x:v>W4-173</x:v>
      </x:c>
      <x:c r="B992" s="14" t="str">
        <x:v>Prozorro expansion — 24.08</x:v>
      </x:c>
      <x:c r="C992" s="14" t="str">
        <x:v>ПРИВАТНЕ ПІДПРИЄМСТВО "ПОЖЦЕНТР"</x:v>
      </x:c>
      <x:c r="D992" s="14" t="str">
        <x:v>Пасивний вогнезахист</x:v>
      </x:c>
      <x:c r="E992" s="14" t="str">
        <x:v>Expansion discovery</x:v>
      </x:c>
      <x:c r="F992" s="17" t="str">
        <x:v>D3</x:v>
      </x:c>
      <x:c r="G992" s="14" t="str"/>
      <x:c r="H992" s="14" t="str">
        <x:v>Discovery розширення — 2 тижні</x:v>
      </x:c>
      <x:c r="I992" s="16" t="n">
        <x:v>1</x:v>
      </x:c>
      <x:c r="J992" s="16" t="n">
        <x:v>5</x:v>
      </x:c>
      <x:c r="K992" s="16" t="n">
        <x:v>5</x:v>
      </x:c>
      <x:c r="L992" s="16" t="n">
        <x:v>2</x:v>
      </x:c>
      <x:c r="M992" s="16" t="n">
        <x:v>5</x:v>
      </x:c>
      <x:c r="N992" s="16" t="n">
        <x:v>5</x:v>
      </x:c>
      <x:c r="O992" s="16" t="n">
        <x:v>3</x:v>
      </x:c>
      <x:c r="P992" s="16" t="n">
        <x:f>IF(COUNT(I992:O992)&lt;7,"",I992*8+J992*3+K992*2+L992*2+M992*2+N992*2+O992)</x:f>
        <x:v>60</x:v>
      </x:c>
      <x:c r="Q992" s="16" t="n">
        <x:f>IF(COUNT(J992:O992)&lt;6,"",J992*5+K992*4+M992*4+L992*3+N992*2+O992*2)</x:f>
        <x:v>87</x:v>
      </x:c>
      <x:c r="R992" s="14" t="str">
        <x:v>high</x:v>
      </x:c>
      <x:c r="S992" s="14" t="str">
        <x:v>official_prozorro_award_2024_2026</x:v>
      </x:c>
      <x:c r="T992" s="14" t="str">
        <x:v>official_prozorro_api</x:v>
      </x:c>
      <x:c r="U992" s="14" t="str">
        <x:v>Не контактували</x:v>
      </x:c>
      <x:c r="V992" s="15" t="str">
        <x:v>Workflow-audit outreach по UA-2026-08-13-002422-a; попросити 1 пакет здачі та вимоги проєкту</x:v>
      </x:c>
      <x:c r="W992" s="15" t="str">
        <x:v>Власник / директор; керівник ПТО; відповідальний за договори</x:v>
      </x:c>
      <x:c r="X992" s="15" t="str">
        <x:v>1 нових підтверджених перемог/договорів у Prozorro на 145 200 грн; 0 зі строком виконання не раніше 24.08.2026.</x:v>
      </x:c>
      <x:c r="Y992" s="15" t="str">
        <x:v>
Послуги з проведення вогнезахисної обробки (просочування деревяних конструкцій в приміщеннях  Дніпровського ліцею; строк до 2026-08-13. Попросити один знеособлений пакет здачі за цим workflow.</x:v>
      </x:c>
      <x:c r="Z992" s="15" t="str">
        <x:v>https://prozorro.gov.ua/tender/UA-2026-08-13-002422-a</x:v>
      </x:c>
      <x:c r="AA992" s="14" t="str">
        <x:v>30619226</x:v>
      </x:c>
      <x:c r="AB992" s="14" t="str">
        <x:v>2026-08-24</x:v>
      </x:c>
      <x:c r="AC992" s="14" t="str"/>
      <x:c r="AD992" s="20" t="str"/>
      <x:c r="AE992" s="14" t="str"/>
      <x:c r="AF992" s="14" t="n">
        <x:v>56</x:v>
      </x:c>
      <x:c r="AG992" s="14" t="str">
        <x:v>I3</x:v>
      </x:c>
      <x:c r="AH992" s="14" t="n">
        <x:v>1</x:v>
      </x:c>
      <x:c r="AI992" s="14" t="n">
        <x:v>0</x:v>
      </x:c>
      <x:c r="AJ992" s="18" t="n">
        <x:v>145200</x:v>
      </x:c>
      <x:c r="AK992" s="14" t="str">
        <x:v>https://prozorro.gov.ua/tender/UA-2026-08-13-002422-a</x:v>
      </x:c>
      <x:c r="AL992" s="19" t="n">
        <x:v>46247.31666153935</x:v>
      </x:c>
      <x:c r="AM992" s="19" t="n">
        <x:v>46247</x:v>
      </x:c>
      <x:c r="AN992" s="15" t="str">
        <x:v>Пасивний вогнезахист</x:v>
      </x:c>
      <x:c r="AO992" s="15" t="str">
        <x:v>not_found_in_top_search</x:v>
      </x:c>
    </x:row>
    <x:row r="993">
      <x:c r="A993" s="14" t="str">
        <x:v>W4-174</x:v>
      </x:c>
      <x:c r="B993" s="14" t="str">
        <x:v>Prozorro expansion — 24.08</x:v>
      </x:c>
      <x:c r="C993" s="14" t="str">
        <x:v>ТОВАРИСТВО З ОБМЕЖЕНОЮ ВІДПОВІДАЛЬНІСТЮ "ГАМАЮН-ЛІФТ"</x:v>
      </x:c>
      <x:c r="D993" s="14" t="str">
        <x:v>Ліфти та підйомники</x:v>
      </x:c>
      <x:c r="E993" s="14" t="str">
        <x:v>Expansion discovery</x:v>
      </x:c>
      <x:c r="F993" s="17" t="str">
        <x:v>D3</x:v>
      </x:c>
      <x:c r="G993" s="14" t="str"/>
      <x:c r="H993" s="14" t="str">
        <x:v>Discovery розширення — 2 тижні</x:v>
      </x:c>
      <x:c r="I993" s="16" t="n">
        <x:v>1</x:v>
      </x:c>
      <x:c r="J993" s="16" t="n">
        <x:v>5</x:v>
      </x:c>
      <x:c r="K993" s="16" t="n">
        <x:v>4</x:v>
      </x:c>
      <x:c r="L993" s="16" t="n">
        <x:v>1</x:v>
      </x:c>
      <x:c r="M993" s="16" t="n">
        <x:v>5</x:v>
      </x:c>
      <x:c r="N993" s="16" t="n">
        <x:v>5</x:v>
      </x:c>
      <x:c r="O993" s="16" t="n">
        <x:v>3</x:v>
      </x:c>
      <x:c r="P993" s="16" t="n">
        <x:f>IF(COUNT(I993:O993)&lt;7,"",I993*8+J993*3+K993*2+L993*2+M993*2+N993*2+O993)</x:f>
        <x:v>56</x:v>
      </x:c>
      <x:c r="Q993" s="16" t="n">
        <x:f>IF(COUNT(J993:O993)&lt;6,"",J993*5+K993*4+M993*4+L993*3+N993*2+O993*2)</x:f>
        <x:v>80</x:v>
      </x:c>
      <x:c r="R993" s="14" t="str">
        <x:v>high</x:v>
      </x:c>
      <x:c r="S993" s="14" t="str">
        <x:v>official_prozorro_award_2024_2026</x:v>
      </x:c>
      <x:c r="T993" s="14" t="str">
        <x:v>official_prozorro_api</x:v>
      </x:c>
      <x:c r="U993" s="14" t="str">
        <x:v>Не контактували</x:v>
      </x:c>
      <x:c r="V993" s="15" t="str">
        <x:v>Workflow-audit outreach по UA-2026-05-01-005784-a; попросити 1 пакет здачі та вимоги проєкту</x:v>
      </x:c>
      <x:c r="W993" s="15" t="str">
        <x:v>Власник / директор; керівник ПТО; відповідальний за договори</x:v>
      </x:c>
      <x:c r="X993" s="15" t="str">
        <x:v>2 нових підтверджених перемог/договорів у Prozorro на 48 738 грн; 1 зі строком виконання не раніше 24.08.2026.</x:v>
      </x:c>
      <x:c r="Y993"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 строк до 2026-12-31. Попросити один знеособлений пакет здачі за цим workflow.</x:v>
      </x:c>
      <x:c r="Z993" s="15" t="str">
        <x:v>https://prozorro.gov.ua/tender/UA-2026-05-01-005784-a</x:v>
      </x:c>
      <x:c r="AA993" s="14" t="str">
        <x:v>45223330</x:v>
      </x:c>
      <x:c r="AB993" s="14" t="str">
        <x:v>2026-08-24</x:v>
      </x:c>
      <x:c r="AC993" s="14" t="str"/>
      <x:c r="AD993" s="20" t="str"/>
      <x:c r="AE993" s="14" t="str"/>
      <x:c r="AF993" s="14" t="n">
        <x:v>56</x:v>
      </x:c>
      <x:c r="AG993" s="14" t="str">
        <x:v>I3</x:v>
      </x:c>
      <x:c r="AH993" s="14" t="n">
        <x:v>2</x:v>
      </x:c>
      <x:c r="AI993" s="14" t="n">
        <x:v>1</x:v>
      </x:c>
      <x:c r="AJ993" s="18" t="n">
        <x:v>48737.86</x:v>
      </x:c>
      <x:c r="AK993" s="14" t="str">
        <x:v>https://prozorro.gov.ua/tender/UA-2026-05-01-005784-a</x:v>
      </x:c>
      <x:c r="AL993" s="19" t="n">
        <x:v>46143.39037824074</x:v>
      </x:c>
      <x:c r="AM993" s="19" t="n">
        <x:v>46387</x:v>
      </x:c>
      <x:c r="AN993" s="15" t="str">
        <x:v>Ліфти та підйомники</x:v>
      </x:c>
      <x:c r="AO993" s="15" t="str">
        <x:v>not_found_in_top_search</x:v>
      </x:c>
    </x:row>
    <x:row r="994">
      <x:c r="A994" s="14" t="str">
        <x:v>W4-175</x:v>
      </x:c>
      <x:c r="B994" s="14" t="str">
        <x:v>Prozorro expansion — 24.08</x:v>
      </x:c>
      <x:c r="C994" s="14" t="str">
        <x:v>ФІЛІЯ "КОНОТОПСЬКИЙ РАЙОН ЕЛЕКТРИЧНИХ МЕРЕЖ" АКЦІОНЕРНОГО ТОВАРИСТВА "СУМИОБЛЕНЕРГО"</x:v>
      </x:c>
      <x:c r="D994" s="14" t="str">
        <x:v>Електромонтаж</x:v>
      </x:c>
      <x:c r="E994" s="14" t="str">
        <x:v>Pilot now</x:v>
      </x:c>
      <x:c r="F994" s="17" t="str">
        <x:v>P3</x:v>
      </x:c>
      <x:c r="G994" s="14" t="str"/>
      <x:c r="H994" s="14" t="str">
        <x:v>Пілот зараз — Н.15</x:v>
      </x:c>
      <x:c r="I994" s="16" t="n">
        <x:v>5</x:v>
      </x:c>
      <x:c r="J994" s="16" t="n">
        <x:v>5</x:v>
      </x:c>
      <x:c r="K994" s="16" t="n">
        <x:v>4</x:v>
      </x:c>
      <x:c r="L994" s="16" t="n">
        <x:v>1</x:v>
      </x:c>
      <x:c r="M994" s="16" t="n">
        <x:v>5</x:v>
      </x:c>
      <x:c r="N994" s="16" t="n">
        <x:v>5</x:v>
      </x:c>
      <x:c r="O994" s="16" t="n">
        <x:v>3</x:v>
      </x:c>
      <x:c r="P994" s="16" t="n">
        <x:f>IF(COUNT(I994:O994)&lt;7,"",I994*8+J994*3+K994*2+L994*2+M994*2+N994*2+O994)</x:f>
        <x:v>88</x:v>
      </x:c>
      <x:c r="Q994" s="16" t="n">
        <x:f>IF(COUNT(J994:O994)&lt;6,"",J994*5+K994*4+M994*4+L994*3+N994*2+O994*2)</x:f>
        <x:v>80</x:v>
      </x:c>
      <x:c r="R994" s="14" t="str">
        <x:v>high</x:v>
      </x:c>
      <x:c r="S994" s="14" t="str">
        <x:v>official_prozorro_award_2024_2026</x:v>
      </x:c>
      <x:c r="T994" s="14" t="str">
        <x:v>official_prozorro_api</x:v>
      </x:c>
      <x:c r="U994" s="14" t="str">
        <x:v>Не контактували</x:v>
      </x:c>
      <x:c r="V994" s="15" t="str">
        <x:v>Персоналізований free-pilot outreach по UA-2026-07-06-007294-a; попросити 1 пакет Н.14/Н.15</x:v>
      </x:c>
      <x:c r="W994" s="15" t="str">
        <x:v>Власник / директор; керівник ПТО; відповідальний за договори</x:v>
      </x:c>
      <x:c r="X994" s="15" t="str">
        <x:v>2 нових підтверджених перемог/договорів у Prozorro на 18 274 грн; 2 зі строком виконання не раніше 24.08.2026.</x:v>
      </x:c>
      <x:c r="Y994" s="15" t="str">
        <x:v>Електромонтажні роботи; строк до 2026-12-31. Попросити один знеособлений пакет здачі за цим workflow.</x:v>
      </x:c>
      <x:c r="Z994" s="15" t="str">
        <x:v>https://prozorro.gov.ua/tender/UA-2026-07-06-007294-a</x:v>
      </x:c>
      <x:c r="AA994" s="14" t="str">
        <x:v>37785192</x:v>
      </x:c>
      <x:c r="AB994" s="14" t="str">
        <x:v>2026-08-24</x:v>
      </x:c>
      <x:c r="AC994" s="14" t="str"/>
      <x:c r="AD994" s="20" t="str"/>
      <x:c r="AE994" s="14" t="str"/>
      <x:c r="AF994" s="14" t="n">
        <x:v>56</x:v>
      </x:c>
      <x:c r="AG994" s="14" t="str">
        <x:v>I3</x:v>
      </x:c>
      <x:c r="AH994" s="14" t="n">
        <x:v>2</x:v>
      </x:c>
      <x:c r="AI994" s="14" t="n">
        <x:v>2</x:v>
      </x:c>
      <x:c r="AJ994" s="18" t="n">
        <x:v>18274.19</x:v>
      </x:c>
      <x:c r="AK994" s="14" t="str">
        <x:v>https://prozorro.gov.ua/tender/UA-2026-07-06-007294-a</x:v>
      </x:c>
      <x:c r="AL994" s="19" t="n">
        <x:v>46209.505622627315</x:v>
      </x:c>
      <x:c r="AM994" s="19" t="n">
        <x:v>46387</x:v>
      </x:c>
      <x:c r="AN994" s="15" t="str">
        <x:v>Електромонтаж</x:v>
      </x:c>
      <x:c r="AO994" s="15" t="str">
        <x:v>not_found_in_top_search</x:v>
      </x:c>
    </x:row>
    <x:row r="995">
      <x:c r="A995" s="14" t="str">
        <x:v>W4-176</x:v>
      </x:c>
      <x:c r="B995" s="14" t="str">
        <x:v>Prozorro expansion — 24.08</x:v>
      </x:c>
      <x:c r="C995" s="14" t="str">
        <x:v>КОМУНАЛЬНЕ ПІДПРИЄМСТВО "РЕМБУДСЕРВІС" ГОРІШНЬОПЛАВНІВСЬКОЇ МІСЬКОЇ РАДИ КРЕМЕНЧУЦЬКОГО РАЙОНУ ПОЛТАВСЬКОЇ ОБЛАСТІ</x:v>
      </x:c>
      <x:c r="D995" s="14" t="str">
        <x:v>Внутрішні сантехнічні системи</x:v>
      </x:c>
      <x:c r="E995" s="14" t="str">
        <x:v>Pilot now</x:v>
      </x:c>
      <x:c r="F995" s="17" t="str">
        <x:v>P3</x:v>
      </x:c>
      <x:c r="G995" s="14" t="str"/>
      <x:c r="H995" s="14" t="str">
        <x:v>Пілот зараз — Н.14</x:v>
      </x:c>
      <x:c r="I995" s="16" t="n">
        <x:v>5</x:v>
      </x:c>
      <x:c r="J995" s="16" t="n">
        <x:v>5</x:v>
      </x:c>
      <x:c r="K995" s="16" t="n">
        <x:v>4</x:v>
      </x:c>
      <x:c r="L995" s="16" t="n">
        <x:v>1</x:v>
      </x:c>
      <x:c r="M995" s="16" t="n">
        <x:v>5</x:v>
      </x:c>
      <x:c r="N995" s="16" t="n">
        <x:v>5</x:v>
      </x:c>
      <x:c r="O995" s="16" t="n">
        <x:v>3</x:v>
      </x:c>
      <x:c r="P995" s="16" t="n">
        <x:f>IF(COUNT(I995:O995)&lt;7,"",I995*8+J995*3+K995*2+L995*2+M995*2+N995*2+O995)</x:f>
        <x:v>88</x:v>
      </x:c>
      <x:c r="Q995" s="16" t="n">
        <x:f>IF(COUNT(J995:O995)&lt;6,"",J995*5+K995*4+M995*4+L995*3+N995*2+O995*2)</x:f>
        <x:v>80</x:v>
      </x:c>
      <x:c r="R995" s="14" t="str">
        <x:v>high</x:v>
      </x:c>
      <x:c r="S995" s="14" t="str">
        <x:v>official_prozorro_award_2024_2026</x:v>
      </x:c>
      <x:c r="T995" s="14" t="str">
        <x:v>official_prozorro_api</x:v>
      </x:c>
      <x:c r="U995" s="14" t="str">
        <x:v>Не контактували</x:v>
      </x:c>
      <x:c r="V995" s="15" t="str">
        <x:v>Персоналізований free-pilot outreach по UA-2026-05-07-004202-a; попросити 1 пакет Н.14/Н.15</x:v>
      </x:c>
      <x:c r="W995" s="15" t="str">
        <x:v>Власник / директор; керівник ПТО; відповідальний за договори</x:v>
      </x:c>
      <x:c r="X995" s="15" t="str">
        <x:v>2 нових підтверджених перемог/договорів у Prozorro на 10 064 грн; 2 зі строком виконання не раніше 24.08.2026.</x:v>
      </x:c>
      <x:c r="Y995"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 строк до 2026-12-31. Попросити один знеособлений пакет здачі за цим workflow.</x:v>
      </x:c>
      <x:c r="Z995" s="15" t="str">
        <x:v>https://prozorro.gov.ua/tender/UA-2026-05-07-004202-a</x:v>
      </x:c>
      <x:c r="AA995" s="14" t="str">
        <x:v>42299936</x:v>
      </x:c>
      <x:c r="AB995" s="14" t="str">
        <x:v>2026-08-24</x:v>
      </x:c>
      <x:c r="AC995" s="14" t="str"/>
      <x:c r="AD995" s="20" t="str"/>
      <x:c r="AE995" s="14" t="str"/>
      <x:c r="AF995" s="14" t="n">
        <x:v>56</x:v>
      </x:c>
      <x:c r="AG995" s="14" t="str">
        <x:v>I3</x:v>
      </x:c>
      <x:c r="AH995" s="14" t="n">
        <x:v>2</x:v>
      </x:c>
      <x:c r="AI995" s="14" t="n">
        <x:v>2</x:v>
      </x:c>
      <x:c r="AJ995" s="18" t="n">
        <x:v>10064.4</x:v>
      </x:c>
      <x:c r="AK995" s="14" t="str">
        <x:v>https://prozorro.gov.ua/tender/UA-2026-05-07-004202-a</x:v>
      </x:c>
      <x:c r="AL995" s="19" t="n">
        <x:v>46149.34135824074</x:v>
      </x:c>
      <x:c r="AM995" s="19" t="n">
        <x:v>46387</x:v>
      </x:c>
      <x:c r="AN995" s="15" t="str">
        <x:v>Внутрішні сантехнічні системи</x:v>
      </x:c>
      <x:c r="AO995" s="15" t="str">
        <x:v>not_found_in_top_search</x:v>
      </x:c>
    </x:row>
    <x:row r="996">
      <x:c r="A996" s="14" t="str">
        <x:v>W4-177</x:v>
      </x:c>
      <x:c r="B996" s="14" t="str">
        <x:v>Prozorro expansion — 24.08</x:v>
      </x:c>
      <x:c r="C996" s="14" t="str">
        <x:v>ФОП КОРОБКІН АНТОН АНАТОЛІЙОВИЧ</x:v>
      </x:c>
      <x:c r="D996" s="14" t="str">
        <x:v>Внутрішні сантехнічні системи</x:v>
      </x:c>
      <x:c r="E996" s="14" t="str">
        <x:v>Pilot now</x:v>
      </x:c>
      <x:c r="F996" s="17" t="str">
        <x:v>P3</x:v>
      </x:c>
      <x:c r="G996" s="14" t="str"/>
      <x:c r="H996" s="14" t="str">
        <x:v>Пілот зараз — Н.14</x:v>
      </x:c>
      <x:c r="I996" s="16" t="n">
        <x:v>5</x:v>
      </x:c>
      <x:c r="J996" s="16" t="n">
        <x:v>5</x:v>
      </x:c>
      <x:c r="K996" s="16" t="n">
        <x:v>4</x:v>
      </x:c>
      <x:c r="L996" s="16" t="n">
        <x:v>4</x:v>
      </x:c>
      <x:c r="M996" s="16" t="n">
        <x:v>5</x:v>
      </x:c>
      <x:c r="N996" s="16" t="n">
        <x:v>3</x:v>
      </x:c>
      <x:c r="O996" s="16" t="n">
        <x:v>3</x:v>
      </x:c>
      <x:c r="P996" s="16" t="n">
        <x:f>IF(COUNT(I996:O996)&lt;7,"",I996*8+J996*3+K996*2+L996*2+M996*2+N996*2+O996)</x:f>
        <x:v>90</x:v>
      </x:c>
      <x:c r="Q996" s="16" t="n">
        <x:f>IF(COUNT(J996:O996)&lt;6,"",J996*5+K996*4+M996*4+L996*3+N996*2+O996*2)</x:f>
        <x:v>85</x:v>
      </x:c>
      <x:c r="R996" s="14" t="str">
        <x:v>high</x:v>
      </x:c>
      <x:c r="S996" s="14" t="str">
        <x:v>official_prozorro_award_2024_2026</x:v>
      </x:c>
      <x:c r="T996" s="14" t="str">
        <x:v>official_prozorro_api</x:v>
      </x:c>
      <x:c r="U996" s="14" t="str">
        <x:v>Не контактували</x:v>
      </x:c>
      <x:c r="V996" s="15" t="str">
        <x:v>Персоналізований free-pilot outreach по UA-2026-06-18-014259-a; попросити 1 пакет Н.14/Н.15</x:v>
      </x:c>
      <x:c r="W996" s="15" t="str">
        <x:v>Власник / виконавець; відповідальний за договір</x:v>
      </x:c>
      <x:c r="X996" s="15" t="str">
        <x:v>1 нових підтверджених перемог/договорів у Prozorro на 3 790 578 грн; 1 зі строком виконання не раніше 24.08.2026.</x:v>
      </x:c>
      <x:c r="Y996"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 строк до 2026-12-28. Попросити один знеособлений пакет здачі за цим workflow.</x:v>
      </x:c>
      <x:c r="Z996" s="15" t="str">
        <x:v>https://prozorro.gov.ua/tender/UA-2026-06-18-014259-a</x:v>
      </x:c>
      <x:c r="AA996" s="14" t="str">
        <x:v>3077820613</x:v>
      </x:c>
      <x:c r="AB996" s="14" t="str">
        <x:v>2026-08-24</x:v>
      </x:c>
      <x:c r="AC996" s="14" t="str"/>
      <x:c r="AD996" s="20" t="str"/>
      <x:c r="AE996" s="14" t="str"/>
      <x:c r="AF996" s="14" t="n">
        <x:v>55</x:v>
      </x:c>
      <x:c r="AG996" s="14" t="str">
        <x:v>I3</x:v>
      </x:c>
      <x:c r="AH996" s="14" t="n">
        <x:v>1</x:v>
      </x:c>
      <x:c r="AI996" s="14" t="n">
        <x:v>1</x:v>
      </x:c>
      <x:c r="AJ996" s="18" t="n">
        <x:v>3790577.62</x:v>
      </x:c>
      <x:c r="AK996" s="14" t="str">
        <x:v>https://prozorro.gov.ua/tender/UA-2026-06-18-014259-a</x:v>
      </x:c>
      <x:c r="AL996" s="19" t="n">
        <x:v>46206.5426603125</x:v>
      </x:c>
      <x:c r="AM996" s="19" t="n">
        <x:v>46384</x:v>
      </x:c>
      <x:c r="AN996" s="15" t="str">
        <x:v>Внутрішні сантехнічні системи</x:v>
      </x:c>
      <x:c r="AO996" s="15" t="str">
        <x:v>not_found_in_top_search</x:v>
      </x:c>
    </x:row>
    <x:row r="997">
      <x:c r="A997" s="14" t="str">
        <x:v>W4-178</x:v>
      </x:c>
      <x:c r="B997" s="14" t="str">
        <x:v>Prozorro expansion — 24.08</x:v>
      </x:c>
      <x:c r="C997" s="14" t="str">
        <x:v>Товариство з обмеженою відповідальністю "І. Б. К. Девелопмент"</x:v>
      </x:c>
      <x:c r="D997" s="14" t="str">
        <x:v>Благоустрій</x:v>
      </x:c>
      <x:c r="E997" s="14" t="str">
        <x:v>Expansion discovery</x:v>
      </x:c>
      <x:c r="F997" s="17" t="str">
        <x:v>D3</x:v>
      </x:c>
      <x:c r="G997" s="14" t="str"/>
      <x:c r="H997" s="14" t="str">
        <x:v>Discovery розширення — 2 тижні</x:v>
      </x:c>
      <x:c r="I997" s="16" t="n">
        <x:v>1</x:v>
      </x:c>
      <x:c r="J997" s="16" t="n">
        <x:v>5</x:v>
      </x:c>
      <x:c r="K997" s="16" t="n">
        <x:v>4</x:v>
      </x:c>
      <x:c r="L997" s="16" t="n">
        <x:v>5</x:v>
      </x:c>
      <x:c r="M997" s="16" t="n">
        <x:v>5</x:v>
      </x:c>
      <x:c r="N997" s="16" t="n">
        <x:v>5</x:v>
      </x:c>
      <x:c r="O997" s="16" t="n">
        <x:v>3</x:v>
      </x:c>
      <x:c r="P997" s="16" t="n">
        <x:f>IF(COUNT(I997:O997)&lt;7,"",I997*8+J997*3+K997*2+L997*2+M997*2+N997*2+O997)</x:f>
        <x:v>64</x:v>
      </x:c>
      <x:c r="Q997" s="16" t="n">
        <x:f>IF(COUNT(J997:O997)&lt;6,"",J997*5+K997*4+M997*4+L997*3+N997*2+O997*2)</x:f>
        <x:v>92</x:v>
      </x:c>
      <x:c r="R997" s="14" t="str">
        <x:v>high</x:v>
      </x:c>
      <x:c r="S997" s="14" t="str">
        <x:v>official_prozorro_award_2024_2026</x:v>
      </x:c>
      <x:c r="T997" s="14" t="str">
        <x:v>official_prozorro_api</x:v>
      </x:c>
      <x:c r="U997" s="14" t="str">
        <x:v>Не контактували</x:v>
      </x:c>
      <x:c r="V997" s="15" t="str">
        <x:v>Workflow-audit outreach по UA-2025-12-27-002867-a; попросити 1 пакет здачі та вимоги проєкту</x:v>
      </x:c>
      <x:c r="W997" s="15" t="str">
        <x:v>Власник / директор; керівник ПТО; відповідальний за договори</x:v>
      </x:c>
      <x:c r="X997" s="15" t="str">
        <x:v>1 нових підтверджених перемог/договорів у Prozorro на 165 209 192 грн; 1 зі строком виконання не раніше 24.08.2026.</x:v>
      </x:c>
      <x:c r="Y997"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 строк до 2026-12-20. Попросити один знеособлений пакет здачі за цим workflow.</x:v>
      </x:c>
      <x:c r="Z997" s="15" t="str">
        <x:v>https://prozorro.gov.ua/tender/UA-2025-12-27-002867-a</x:v>
      </x:c>
      <x:c r="AA997" s="14" t="str">
        <x:v>38831585</x:v>
      </x:c>
      <x:c r="AB997" s="14" t="str">
        <x:v>2026-08-24</x:v>
      </x:c>
      <x:c r="AC997" s="14" t="str"/>
      <x:c r="AD997" s="20" t="str"/>
      <x:c r="AE997" s="14" t="str"/>
      <x:c r="AF997" s="14" t="n">
        <x:v>54</x:v>
      </x:c>
      <x:c r="AG997" s="14" t="str">
        <x:v>I3</x:v>
      </x:c>
      <x:c r="AH997" s="14" t="n">
        <x:v>1</x:v>
      </x:c>
      <x:c r="AI997" s="14" t="n">
        <x:v>1</x:v>
      </x:c>
      <x:c r="AJ997" s="18" t="n">
        <x:v>165209192.05</x:v>
      </x:c>
      <x:c r="AK997" s="14" t="str">
        <x:v>https://prozorro.gov.ua/tender/UA-2025-12-27-002867-a</x:v>
      </x:c>
      <x:c r="AL997" s="19" t="n">
        <x:v>46047.888237824074</x:v>
      </x:c>
      <x:c r="AM997" s="19" t="n">
        <x:v>46376</x:v>
      </x:c>
      <x:c r="AN997" s="15" t="str">
        <x:v>Благоустрій</x:v>
      </x:c>
      <x:c r="AO997" s="15" t="str">
        <x:v>not_found_in_top_search</x:v>
      </x:c>
    </x:row>
    <x:row r="998">
      <x:c r="A998" s="14" t="str">
        <x:v>W4-179</x:v>
      </x:c>
      <x:c r="B998" s="14" t="str">
        <x:v>Prozorro expansion — 24.08</x:v>
      </x:c>
      <x:c r="C998" s="14" t="str">
        <x:v>ТОВАРИСТВО З ОБМЕЖЕНОЮ ВІДПОВІДАЛЬНІСТЮ "ВОРСКЛА ЕНЕРДЖІЗ"</x:v>
      </x:c>
      <x:c r="D998" s="14" t="str">
        <x:v>Зовнішнє освітлення</x:v>
      </x:c>
      <x:c r="E998" s="14" t="str">
        <x:v>Pilot now</x:v>
      </x:c>
      <x:c r="F998" s="17" t="str">
        <x:v>P3</x:v>
      </x:c>
      <x:c r="G998" s="14" t="str">
        <x:v>emp707.com</x:v>
      </x:c>
      <x:c r="H998" s="14" t="str">
        <x:v>Пілот зараз — Н.15 subset</x:v>
      </x:c>
      <x:c r="I998" s="16" t="n">
        <x:v>4</x:v>
      </x:c>
      <x:c r="J998" s="16" t="n">
        <x:v>5</x:v>
      </x:c>
      <x:c r="K998" s="16" t="n">
        <x:v>4</x:v>
      </x:c>
      <x:c r="L998" s="16" t="n">
        <x:v>5</x:v>
      </x:c>
      <x:c r="M998" s="16" t="n">
        <x:v>5</x:v>
      </x:c>
      <x:c r="N998" s="16" t="n">
        <x:v>5</x:v>
      </x:c>
      <x:c r="O998" s="16" t="n">
        <x:v>5</x:v>
      </x:c>
      <x:c r="P998" s="16" t="n">
        <x:f>IF(COUNT(I998:O998)&lt;7,"",I998*8+J998*3+K998*2+L998*2+M998*2+N998*2+O998)</x:f>
        <x:v>90</x:v>
      </x:c>
      <x:c r="Q998" s="16" t="n">
        <x:f>IF(COUNT(J998:O998)&lt;6,"",J998*5+K998*4+M998*4+L998*3+N998*2+O998*2)</x:f>
        <x:v>96</x:v>
      </x:c>
      <x:c r="R998" s="14" t="str">
        <x:v>high</x:v>
      </x:c>
      <x:c r="S998" s="14" t="str">
        <x:v>official_prozorro_award_2024_2026</x:v>
      </x:c>
      <x:c r="T998" s="14" t="str">
        <x:v>official_prozorro_api</x:v>
      </x:c>
      <x:c r="U998" s="14" t="str">
        <x:v>Не контактували</x:v>
      </x:c>
      <x:c r="V998" s="15" t="str">
        <x:v>Персоналізований free-pilot outreach по UA-2026-03-07-000658-a; попросити 1 пакет Н.14/Н.15</x:v>
      </x:c>
      <x:c r="W998" s="15" t="str">
        <x:v>Власник / директор; керівник ПТО; відповідальний за договори</x:v>
      </x:c>
      <x:c r="X998" s="15" t="str">
        <x:v>1 нових підтверджених перемог/договорів у Prozorro на 54 224 337 грн; 1 зі строком виконання не раніше 24.08.2026.</x:v>
      </x:c>
      <x:c r="Y998" s="15" t="str">
        <x:v>Будівництво мереж зовнішнього освітлення мкр Бортничі. Коригування  (за ДК 021:2015 код 45310000-3: Електромонтажні роботи)		
; строк до 2027-12-30. Попросити один знеособлений пакет здачі за цим workflow.</x:v>
      </x:c>
      <x:c r="Z998" s="15" t="str">
        <x:v>https://prozorro.gov.ua/tender/UA-2026-03-07-000658-a</x:v>
      </x:c>
      <x:c r="AA998" s="14" t="str">
        <x:v>40015384</x:v>
      </x:c>
      <x:c r="AB998" s="14" t="str">
        <x:v>2026-08-24</x:v>
      </x:c>
      <x:c r="AC998" s="14" t="str"/>
      <x:c r="AD998" s="20" t="str"/>
      <x:c r="AE998" s="14" t="str"/>
      <x:c r="AF998" s="14" t="n">
        <x:v>54</x:v>
      </x:c>
      <x:c r="AG998" s="14" t="str">
        <x:v>I3</x:v>
      </x:c>
      <x:c r="AH998" s="14" t="n">
        <x:v>1</x:v>
      </x:c>
      <x:c r="AI998" s="14" t="n">
        <x:v>1</x:v>
      </x:c>
      <x:c r="AJ998" s="18" t="n">
        <x:v>54224336.86</x:v>
      </x:c>
      <x:c r="AK998" s="14" t="str">
        <x:v>https://prozorro.gov.ua/tender/UA-2026-03-07-000658-a</x:v>
      </x:c>
      <x:c r="AL998" s="19" t="n">
        <x:v>46114.81425215278</x:v>
      </x:c>
      <x:c r="AM998" s="19" t="n">
        <x:v>46751</x:v>
      </x:c>
      <x:c r="AN998" s="15" t="str">
        <x:v>Зовнішнє освітлення</x:v>
      </x:c>
      <x:c r="AO998" s="15" t="str">
        <x:v>supplier_provided_url</x:v>
      </x:c>
    </x:row>
    <x:row r="999">
      <x:c r="A999" s="14" t="str">
        <x:v>W4-180</x:v>
      </x:c>
      <x:c r="B999" s="14" t="str">
        <x:v>Prozorro expansion — 24.08</x:v>
      </x:c>
      <x:c r="C999" s="14" t="str">
        <x:v>ТОВ "Компанія Барбакан"</x:v>
      </x:c>
      <x:c r="D999" s="14" t="str">
        <x:v>Водоочищення / очисні споруди</x:v>
      </x:c>
      <x:c r="E999" s="14" t="str">
        <x:v>Expansion discovery</x:v>
      </x:c>
      <x:c r="F999" s="17" t="str">
        <x:v>D3</x:v>
      </x:c>
      <x:c r="G999" s="14" t="str"/>
      <x:c r="H999" s="14" t="str">
        <x:v>Discovery розширення — 2 тижні</x:v>
      </x:c>
      <x:c r="I999" s="16" t="n">
        <x:v>1</x:v>
      </x:c>
      <x:c r="J999" s="16" t="n">
        <x:v>5</x:v>
      </x:c>
      <x:c r="K999" s="16" t="n">
        <x:v>4</x:v>
      </x:c>
      <x:c r="L999" s="16" t="n">
        <x:v>5</x:v>
      </x:c>
      <x:c r="M999" s="16" t="n">
        <x:v>5</x:v>
      </x:c>
      <x:c r="N999" s="16" t="n">
        <x:v>5</x:v>
      </x:c>
      <x:c r="O999" s="16" t="n">
        <x:v>3</x:v>
      </x:c>
      <x:c r="P999" s="16" t="n">
        <x:f>IF(COUNT(I999:O999)&lt;7,"",I999*8+J999*3+K999*2+L999*2+M999*2+N999*2+O999)</x:f>
        <x:v>64</x:v>
      </x:c>
      <x:c r="Q999" s="16" t="n">
        <x:f>IF(COUNT(J999:O999)&lt;6,"",J999*5+K999*4+M999*4+L999*3+N999*2+O999*2)</x:f>
        <x:v>92</x:v>
      </x:c>
      <x:c r="R999" s="14" t="str">
        <x:v>high</x:v>
      </x:c>
      <x:c r="S999" s="14" t="str">
        <x:v>official_prozorro_award_2024_2026</x:v>
      </x:c>
      <x:c r="T999" s="14" t="str">
        <x:v>official_prozorro_api</x:v>
      </x:c>
      <x:c r="U999" s="14" t="str">
        <x:v>Не контактували</x:v>
      </x:c>
      <x:c r="V999" s="15" t="str">
        <x:v>Workflow-audit outreach по UA-2025-12-19-018733-a; попросити 1 пакет здачі та вимоги проєкту</x:v>
      </x:c>
      <x:c r="W999" s="15" t="str">
        <x:v>Власник / директор; керівник ПТО; відповідальний за договори</x:v>
      </x:c>
      <x:c r="X999" s="15" t="str">
        <x:v>1 нових підтверджених перемог/договорів у Prozorro на 48 503 016 грн; 1 зі строком виконання не раніше 24.08.2026.</x:v>
      </x:c>
      <x:c r="Y999"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 строк до 2027-04-30. Попросити один знеособлений пакет здачі за цим workflow.</x:v>
      </x:c>
      <x:c r="Z999" s="15" t="str">
        <x:v>https://prozorro.gov.ua/tender/UA-2025-12-19-018733-a</x:v>
      </x:c>
      <x:c r="AA999" s="14" t="str">
        <x:v>41159796</x:v>
      </x:c>
      <x:c r="AB999" s="14" t="str">
        <x:v>2026-08-24</x:v>
      </x:c>
      <x:c r="AC999" s="14" t="str"/>
      <x:c r="AD999" s="20" t="str"/>
      <x:c r="AE999" s="14" t="str"/>
      <x:c r="AF999" s="14" t="n">
        <x:v>54</x:v>
      </x:c>
      <x:c r="AG999" s="14" t="str">
        <x:v>I3</x:v>
      </x:c>
      <x:c r="AH999" s="14" t="n">
        <x:v>1</x:v>
      </x:c>
      <x:c r="AI999" s="14" t="n">
        <x:v>1</x:v>
      </x:c>
      <x:c r="AJ999" s="18" t="n">
        <x:v>48503015.74</x:v>
      </x:c>
      <x:c r="AK999" s="14" t="str">
        <x:v>https://prozorro.gov.ua/tender/UA-2025-12-19-018733-a</x:v>
      </x:c>
      <x:c r="AL999" s="19" t="n">
        <x:v>46136.464919502316</x:v>
      </x:c>
      <x:c r="AM999" s="19" t="n">
        <x:v>46507</x:v>
      </x:c>
      <x:c r="AN999" s="15" t="str">
        <x:v>Водоочищення / очисні споруди</x:v>
      </x:c>
      <x:c r="AO999" s="15" t="str">
        <x:v>not_found_in_top_search</x:v>
      </x:c>
    </x:row>
    <x:row r="1000">
      <x:c r="A1000" s="14" t="str">
        <x:v>W4-181</x:v>
      </x:c>
      <x:c r="B1000" s="14" t="str">
        <x:v>Prozorro expansion — 24.08</x:v>
      </x:c>
      <x:c r="C1000" s="14" t="str">
        <x:v>ТОВ "АМ ПРОФМОНТАЖ"</x:v>
      </x:c>
      <x:c r="D1000" s="14" t="str">
        <x:v>Теплові мережі</x:v>
      </x:c>
      <x:c r="E1000" s="14" t="str">
        <x:v>Expansion discovery</x:v>
      </x:c>
      <x:c r="F1000" s="17" t="str">
        <x:v>D3</x:v>
      </x:c>
      <x:c r="G1000" s="14" t="str"/>
      <x:c r="H1000" s="14" t="str">
        <x:v>Discovery розширення — 2 тижні</x:v>
      </x:c>
      <x:c r="I1000" s="16" t="n">
        <x:v>1</x:v>
      </x:c>
      <x:c r="J1000" s="16" t="n">
        <x:v>5</x:v>
      </x:c>
      <x:c r="K1000" s="16" t="n">
        <x:v>4</x:v>
      </x:c>
      <x:c r="L1000" s="16" t="n">
        <x:v>5</x:v>
      </x:c>
      <x:c r="M1000" s="16" t="n">
        <x:v>5</x:v>
      </x:c>
      <x:c r="N1000" s="16" t="n">
        <x:v>5</x:v>
      </x:c>
      <x:c r="O1000" s="16" t="n">
        <x:v>3</x:v>
      </x:c>
      <x:c r="P1000" s="16" t="n">
        <x:f>IF(COUNT(I1000:O1000)&lt;7,"",I1000*8+J1000*3+K1000*2+L1000*2+M1000*2+N1000*2+O1000)</x:f>
        <x:v>64</x:v>
      </x:c>
      <x:c r="Q1000" s="16" t="n">
        <x:f>IF(COUNT(J1000:O1000)&lt;6,"",J1000*5+K1000*4+M1000*4+L1000*3+N1000*2+O1000*2)</x:f>
        <x:v>92</x:v>
      </x:c>
      <x:c r="R1000" s="14" t="str">
        <x:v>high</x:v>
      </x:c>
      <x:c r="S1000" s="14" t="str">
        <x:v>official_prozorro_award_2024_2026</x:v>
      </x:c>
      <x:c r="T1000" s="14" t="str">
        <x:v>official_prozorro_api</x:v>
      </x:c>
      <x:c r="U1000" s="14" t="str">
        <x:v>Не контактували</x:v>
      </x:c>
      <x:c r="V1000" s="15" t="str">
        <x:v>Workflow-audit outreach по UA-2026-03-07-000313-a; попросити 1 пакет здачі та вимоги проєкту</x:v>
      </x:c>
      <x:c r="W1000" s="15" t="str">
        <x:v>Власник / директор; керівник ПТО; відповідальний за договори</x:v>
      </x:c>
      <x:c r="X1000" s="15" t="str">
        <x:v>1 нових підтверджених перемог/договорів у Prozorro на 29 236 582 грн; 1 зі строком виконання не раніше 24.08.2026.</x:v>
      </x:c>
      <x:c r="Y1000" s="15" t="str">
        <x:v>Реконструкція (відновлення) теплових мереж на ділянці від МК 5110 до МК 5111 по вул. Гвардійців-Широнінців в м. Харкові (код ДК: 021:2015-45454000-4-Реконструкція)
; строк до 2026-11-30. Попросити один знеособлений пакет здачі за цим workflow.</x:v>
      </x:c>
      <x:c r="Z1000" s="15" t="str">
        <x:v>https://prozorro.gov.ua/tender/UA-2026-03-07-000313-a</x:v>
      </x:c>
      <x:c r="AA1000" s="14" t="str">
        <x:v>45223194</x:v>
      </x:c>
      <x:c r="AB1000" s="14" t="str">
        <x:v>2026-08-24</x:v>
      </x:c>
      <x:c r="AC1000" s="14" t="str"/>
      <x:c r="AD1000" s="20" t="str"/>
      <x:c r="AE1000" s="14" t="str"/>
      <x:c r="AF1000" s="14" t="n">
        <x:v>54</x:v>
      </x:c>
      <x:c r="AG1000" s="14" t="str">
        <x:v>I3</x:v>
      </x:c>
      <x:c r="AH1000" s="14" t="n">
        <x:v>1</x:v>
      </x:c>
      <x:c r="AI1000" s="14" t="n">
        <x:v>1</x:v>
      </x:c>
      <x:c r="AJ1000" s="18" t="n">
        <x:v>29236582</x:v>
      </x:c>
      <x:c r="AK1000" s="14" t="str">
        <x:v>https://prozorro.gov.ua/tender/UA-2026-03-07-000313-a</x:v>
      </x:c>
      <x:c r="AL1000" s="19" t="n">
        <x:v>46129.5406844213</x:v>
      </x:c>
      <x:c r="AM1000" s="19" t="n">
        <x:v>46356.916655092595</x:v>
      </x:c>
      <x:c r="AN1000" s="15" t="str">
        <x:v>Теплові мережі</x:v>
      </x:c>
      <x:c r="AO1000" s="15" t="str">
        <x:v>not_found_in_top_search</x:v>
      </x:c>
    </x:row>
    <x:row r="1001">
      <x:c r="A1001" s="14" t="str">
        <x:v>W4-182</x:v>
      </x:c>
      <x:c r="B1001" s="14" t="str">
        <x:v>Prozorro expansion — 24.08</x:v>
      </x:c>
      <x:c r="C1001" s="14" t="str">
        <x:v>ТОВАРИСТВО З ОБМЕЖЕНОЮ ВІДПОВІДАЛЬНІСТЮ "УКРАЇНСЬКА БУДІВЕЛЬНА ФІРМА "БУД-КОНЦЕРН"</x:v>
      </x:c>
      <x:c r="D1001" s="14" t="str">
        <x:v>Зовнішнє освітлення</x:v>
      </x:c>
      <x:c r="E1001" s="14" t="str">
        <x:v>Pilot now</x:v>
      </x:c>
      <x:c r="F1001" s="17" t="str">
        <x:v>P3</x:v>
      </x:c>
      <x:c r="G1001" s="14" t="str"/>
      <x:c r="H1001" s="14" t="str">
        <x:v>Пілот зараз — Н.15 subset</x:v>
      </x:c>
      <x:c r="I1001" s="16" t="n">
        <x:v>4</x:v>
      </x:c>
      <x:c r="J1001" s="16" t="n">
        <x:v>5</x:v>
      </x:c>
      <x:c r="K1001" s="16" t="n">
        <x:v>4</x:v>
      </x:c>
      <x:c r="L1001" s="16" t="n">
        <x:v>5</x:v>
      </x:c>
      <x:c r="M1001" s="16" t="n">
        <x:v>5</x:v>
      </x:c>
      <x:c r="N1001" s="16" t="n">
        <x:v>5</x:v>
      </x:c>
      <x:c r="O1001" s="16" t="n">
        <x:v>3</x:v>
      </x:c>
      <x:c r="P1001" s="16" t="n">
        <x:f>IF(COUNT(I1001:O1001)&lt;7,"",I1001*8+J1001*3+K1001*2+L1001*2+M1001*2+N1001*2+O1001)</x:f>
        <x:v>88</x:v>
      </x:c>
      <x:c r="Q1001" s="16" t="n">
        <x:f>IF(COUNT(J1001:O1001)&lt;6,"",J1001*5+K1001*4+M1001*4+L1001*3+N1001*2+O1001*2)</x:f>
        <x:v>92</x:v>
      </x:c>
      <x:c r="R1001" s="14" t="str">
        <x:v>high</x:v>
      </x:c>
      <x:c r="S1001" s="14" t="str">
        <x:v>official_prozorro_award_2024_2026</x:v>
      </x:c>
      <x:c r="T1001" s="14" t="str">
        <x:v>official_prozorro_api</x:v>
      </x:c>
      <x:c r="U1001" s="14" t="str">
        <x:v>Не контактували</x:v>
      </x:c>
      <x:c r="V1001" s="15" t="str">
        <x:v>Персоналізований free-pilot outreach по UA-2026-03-07-000688-a; попросити 1 пакет Н.14/Н.15</x:v>
      </x:c>
      <x:c r="W1001" s="15" t="str">
        <x:v>Власник / директор; керівник ПТО; відповідальний за договори</x:v>
      </x:c>
      <x:c r="X1001" s="15" t="str">
        <x:v>1 нових підтверджених перемог/договорів у Prozorro на 12 027 770 грн; 1 зі строком виконання не раніше 24.08.2026.</x:v>
      </x:c>
      <x:c r="Y1001" s="15" t="str">
        <x:v>Будівництво мереж зовнішнього освітлення мікрорайону Осокорки по вул. Колекторній. Коригування  (за ДК 021:2015 код 45310000-3: Електромонтажні роботи)			
; строк до 2027-12-30. Попросити один знеособлений пакет здачі за цим workflow.</x:v>
      </x:c>
      <x:c r="Z1001" s="15" t="str">
        <x:v>https://prozorro.gov.ua/tender/UA-2026-03-07-000688-a</x:v>
      </x:c>
      <x:c r="AA1001" s="14" t="str">
        <x:v>42333400</x:v>
      </x:c>
      <x:c r="AB1001" s="14" t="str">
        <x:v>2026-08-24</x:v>
      </x:c>
      <x:c r="AC1001" s="14" t="str"/>
      <x:c r="AD1001" s="20" t="str"/>
      <x:c r="AE1001" s="14" t="str"/>
      <x:c r="AF1001" s="14" t="n">
        <x:v>54</x:v>
      </x:c>
      <x:c r="AG1001" s="14" t="str">
        <x:v>I3</x:v>
      </x:c>
      <x:c r="AH1001" s="14" t="n">
        <x:v>1</x:v>
      </x:c>
      <x:c r="AI1001" s="14" t="n">
        <x:v>1</x:v>
      </x:c>
      <x:c r="AJ1001" s="18" t="n">
        <x:v>12027770.02</x:v>
      </x:c>
      <x:c r="AK1001" s="14" t="str">
        <x:v>https://prozorro.gov.ua/tender/UA-2026-03-07-000688-a</x:v>
      </x:c>
      <x:c r="AL1001" s="19" t="n">
        <x:v>46114.810099814815</x:v>
      </x:c>
      <x:c r="AM1001" s="19" t="n">
        <x:v>46751</x:v>
      </x:c>
      <x:c r="AN1001" s="15" t="str">
        <x:v>Зовнішнє освітлення</x:v>
      </x:c>
      <x:c r="AO1001" s="15" t="str">
        <x:v>not_found_in_top_search</x:v>
      </x:c>
    </x:row>
    <x:row r="1002">
      <x:c r="A1002" s="14" t="str">
        <x:v>W4-183</x:v>
      </x:c>
      <x:c r="B1002" s="14" t="str">
        <x:v>Prozorro expansion — 24.08</x:v>
      </x:c>
      <x:c r="C1002" s="14" t="str">
        <x:v>ТОВ "БУДІВЕЛЬНА ФІРМА "ХІМЗАХИСТ"</x:v>
      </x:c>
      <x:c r="D1002" s="14" t="str">
        <x:v>Покрівлі та гідроізоляція</x:v>
      </x:c>
      <x:c r="E1002" s="14" t="str">
        <x:v>Expansion discovery</x:v>
      </x:c>
      <x:c r="F1002" s="17" t="str">
        <x:v>D3</x:v>
      </x:c>
      <x:c r="G1002" s="14" t="str"/>
      <x:c r="H1002" s="14" t="str">
        <x:v>Discovery розширення — 2 тижні</x:v>
      </x:c>
      <x:c r="I1002" s="16" t="n">
        <x:v>1</x:v>
      </x:c>
      <x:c r="J1002" s="16" t="n">
        <x:v>5</x:v>
      </x:c>
      <x:c r="K1002" s="16" t="n">
        <x:v>5</x:v>
      </x:c>
      <x:c r="L1002" s="16" t="n">
        <x:v>3</x:v>
      </x:c>
      <x:c r="M1002" s="16" t="n">
        <x:v>5</x:v>
      </x:c>
      <x:c r="N1002" s="16" t="n">
        <x:v>5</x:v>
      </x:c>
      <x:c r="O1002" s="16" t="n">
        <x:v>3</x:v>
      </x:c>
      <x:c r="P1002" s="16" t="n">
        <x:f>IF(COUNT(I1002:O1002)&lt;7,"",I1002*8+J1002*3+K1002*2+L1002*2+M1002*2+N1002*2+O1002)</x:f>
        <x:v>62</x:v>
      </x:c>
      <x:c r="Q1002" s="16" t="n">
        <x:f>IF(COUNT(J1002:O1002)&lt;6,"",J1002*5+K1002*4+M1002*4+L1002*3+N1002*2+O1002*2)</x:f>
        <x:v>90</x:v>
      </x:c>
      <x:c r="R1002" s="14" t="str">
        <x:v>high</x:v>
      </x:c>
      <x:c r="S1002" s="14" t="str">
        <x:v>official_prozorro_award_2024_2026</x:v>
      </x:c>
      <x:c r="T1002" s="14" t="str">
        <x:v>official_prozorro_api</x:v>
      </x:c>
      <x:c r="U1002" s="14" t="str">
        <x:v>Не контактували</x:v>
      </x:c>
      <x:c r="V1002" s="15" t="str">
        <x:v>Workflow-audit outreach по UA-2026-05-21-003661-a; попросити 1 пакет здачі та вимоги проєкту</x:v>
      </x:c>
      <x:c r="W1002" s="15" t="str">
        <x:v>Власник / директор; керівник ПТО; відповідальний за договори</x:v>
      </x:c>
      <x:c r="X1002" s="15" t="str">
        <x:v>1 нових підтверджених перемог/договорів у Prozorro на 1 516 000 грн; 1 зі строком виконання не раніше 24.08.2026.</x:v>
      </x:c>
      <x:c r="Y1002"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 строк до 2026-12-31. Попросити один знеособлений пакет здачі за цим workflow.</x:v>
      </x:c>
      <x:c r="Z1002" s="15" t="str">
        <x:v>https://prozorro.gov.ua/tender/UA-2026-05-21-003661-a</x:v>
      </x:c>
      <x:c r="AA1002" s="14" t="str">
        <x:v>38869215</x:v>
      </x:c>
      <x:c r="AB1002" s="14" t="str">
        <x:v>2026-08-24</x:v>
      </x:c>
      <x:c r="AC1002" s="14" t="str"/>
      <x:c r="AD1002" s="20" t="str"/>
      <x:c r="AE1002" s="14" t="str"/>
      <x:c r="AF1002" s="14" t="n">
        <x:v>54</x:v>
      </x:c>
      <x:c r="AG1002" s="14" t="str">
        <x:v>I3</x:v>
      </x:c>
      <x:c r="AH1002" s="14" t="n">
        <x:v>1</x:v>
      </x:c>
      <x:c r="AI1002" s="14" t="n">
        <x:v>1</x:v>
      </x:c>
      <x:c r="AJ1002" s="18" t="n">
        <x:v>1516000</x:v>
      </x:c>
      <x:c r="AK1002" s="14" t="str">
        <x:v>https://prozorro.gov.ua/tender/UA-2026-05-21-003661-a</x:v>
      </x:c>
      <x:c r="AL1002" s="19" t="n">
        <x:v>46189.43104575232</x:v>
      </x:c>
      <x:c r="AM1002" s="19" t="n">
        <x:v>46387</x:v>
      </x:c>
      <x:c r="AN1002" s="15" t="str">
        <x:v>Покрівлі та гідроізоляція</x:v>
      </x:c>
      <x:c r="AO1002" s="15" t="str">
        <x:v>not_found_in_top_search</x:v>
      </x:c>
    </x:row>
    <x:row r="1003">
      <x:c r="A1003" s="14" t="str">
        <x:v>W4-184</x:v>
      </x:c>
      <x:c r="B1003" s="14" t="str">
        <x:v>Prozorro expansion — 24.08</x:v>
      </x:c>
      <x:c r="C1003" s="14" t="str">
        <x:v>ТОВАРИСТВО З ОБМЕЖЕНОЮ ВІДПОВІДАЛЬНІСТЮ "ІНЖЕНЕРНО-БУДІВЕЛЬНА КОМПАНІЯ ДАРВЕКС"</x:v>
      </x:c>
      <x:c r="D1003" s="14" t="str">
        <x:v>Дорожні роботи</x:v>
      </x:c>
      <x:c r="E1003" s="14" t="str">
        <x:v>Expansion discovery</x:v>
      </x:c>
      <x:c r="F1003" s="17" t="str">
        <x:v>D3</x:v>
      </x:c>
      <x:c r="G1003" s="14" t="str"/>
      <x:c r="H1003" s="14" t="str">
        <x:v>Discovery розширення — 2 тижні</x:v>
      </x:c>
      <x:c r="I1003" s="16" t="n">
        <x:v>1</x:v>
      </x:c>
      <x:c r="J1003" s="16" t="n">
        <x:v>5</x:v>
      </x:c>
      <x:c r="K1003" s="16" t="n">
        <x:v>4</x:v>
      </x:c>
      <x:c r="L1003" s="16" t="n">
        <x:v>3</x:v>
      </x:c>
      <x:c r="M1003" s="16" t="n">
        <x:v>5</x:v>
      </x:c>
      <x:c r="N1003" s="16" t="n">
        <x:v>5</x:v>
      </x:c>
      <x:c r="O1003" s="16" t="n">
        <x:v>3</x:v>
      </x:c>
      <x:c r="P1003" s="16" t="n">
        <x:f>IF(COUNT(I1003:O1003)&lt;7,"",I1003*8+J1003*3+K1003*2+L1003*2+M1003*2+N1003*2+O1003)</x:f>
        <x:v>60</x:v>
      </x:c>
      <x:c r="Q1003" s="16" t="n">
        <x:f>IF(COUNT(J1003:O1003)&lt;6,"",J1003*5+K1003*4+M1003*4+L1003*3+N1003*2+O1003*2)</x:f>
        <x:v>86</x:v>
      </x:c>
      <x:c r="R1003" s="14" t="str">
        <x:v>high</x:v>
      </x:c>
      <x:c r="S1003" s="14" t="str">
        <x:v>official_prozorro_award_2024_2026</x:v>
      </x:c>
      <x:c r="T1003" s="14" t="str">
        <x:v>official_prozorro_api</x:v>
      </x:c>
      <x:c r="U1003" s="14" t="str">
        <x:v>Не контактували</x:v>
      </x:c>
      <x:c r="V1003" s="15" t="str">
        <x:v>Workflow-audit outreach по UA-2026-06-26-001510-a; попросити 1 пакет здачі та вимоги проєкту</x:v>
      </x:c>
      <x:c r="W1003" s="15" t="str">
        <x:v>Власник / директор; керівник ПТО; відповідальний за договори</x:v>
      </x:c>
      <x:c r="X1003" s="15" t="str">
        <x:v>1 нових підтверджених перемог/договорів у Prozorro на 1 489 973 грн; 1 зі строком виконання не раніше 24.08.2026.</x:v>
      </x:c>
      <x:c r="Y1003" s="15" t="str">
        <x:v>Капітальний ремонт дорожнього покриття та тротуарних доріжок Бориспільського ліцею "Патріот"; строк до 2026-08-31. Попросити один знеособлений пакет здачі за цим workflow.</x:v>
      </x:c>
      <x:c r="Z1003" s="15" t="str">
        <x:v>https://prozorro.gov.ua/tender/UA-2026-06-26-001510-a</x:v>
      </x:c>
      <x:c r="AA1003" s="14" t="str">
        <x:v>40827326</x:v>
      </x:c>
      <x:c r="AB1003" s="14" t="str">
        <x:v>2026-08-24</x:v>
      </x:c>
      <x:c r="AC1003" s="14" t="str"/>
      <x:c r="AD1003" s="20" t="str"/>
      <x:c r="AE1003" s="14" t="str"/>
      <x:c r="AF1003" s="14" t="n">
        <x:v>54</x:v>
      </x:c>
      <x:c r="AG1003" s="14" t="str">
        <x:v>I3</x:v>
      </x:c>
      <x:c r="AH1003" s="14" t="n">
        <x:v>1</x:v>
      </x:c>
      <x:c r="AI1003" s="14" t="n">
        <x:v>1</x:v>
      </x:c>
      <x:c r="AJ1003" s="18" t="n">
        <x:v>1489972.79</x:v>
      </x:c>
      <x:c r="AK1003" s="14" t="str">
        <x:v>https://prozorro.gov.ua/tender/UA-2026-06-26-001510-a</x:v>
      </x:c>
      <x:c r="AL1003" s="19" t="n">
        <x:v>46199.290874467595</x:v>
      </x:c>
      <x:c r="AM1003" s="19" t="n">
        <x:v>46265</x:v>
      </x:c>
      <x:c r="AN1003" s="15" t="str">
        <x:v>Дорожні роботи</x:v>
      </x:c>
      <x:c r="AO1003" s="15" t="str">
        <x:v>not_found_in_top_search</x:v>
      </x:c>
    </x:row>
    <x:row r="1004">
      <x:c r="A1004" s="14" t="str">
        <x:v>W4-185</x:v>
      </x:c>
      <x:c r="B1004" s="14" t="str">
        <x:v>Prozorro expansion — 24.08</x:v>
      </x:c>
      <x:c r="C1004" s="14" t="str">
        <x:v>ТОВАРИСТВО З ОБМЕЖЕНОЮ ВІДПОВІДАЛЬНІСТЮ "ПРОДЖЕКТ ЮА"</x:v>
      </x:c>
      <x:c r="D1004" s="14" t="str">
        <x:v>Пожежогасіння</x:v>
      </x:c>
      <x:c r="E1004" s="14" t="str">
        <x:v>Expansion discovery</x:v>
      </x:c>
      <x:c r="F1004" s="17" t="str">
        <x:v>D3</x:v>
      </x:c>
      <x:c r="G1004" s="14" t="str"/>
      <x:c r="H1004" s="14" t="str">
        <x:v>Discovery розширення — 2 тижні</x:v>
      </x:c>
      <x:c r="I1004" s="16" t="n">
        <x:v>1</x:v>
      </x:c>
      <x:c r="J1004" s="16" t="n">
        <x:v>5</x:v>
      </x:c>
      <x:c r="K1004" s="16" t="n">
        <x:v>5</x:v>
      </x:c>
      <x:c r="L1004" s="16" t="n">
        <x:v>3</x:v>
      </x:c>
      <x:c r="M1004" s="16" t="n">
        <x:v>5</x:v>
      </x:c>
      <x:c r="N1004" s="16" t="n">
        <x:v>5</x:v>
      </x:c>
      <x:c r="O1004" s="16" t="n">
        <x:v>3</x:v>
      </x:c>
      <x:c r="P1004" s="16" t="n">
        <x:f>IF(COUNT(I1004:O1004)&lt;7,"",I1004*8+J1004*3+K1004*2+L1004*2+M1004*2+N1004*2+O1004)</x:f>
        <x:v>62</x:v>
      </x:c>
      <x:c r="Q1004" s="16" t="n">
        <x:f>IF(COUNT(J1004:O1004)&lt;6,"",J1004*5+K1004*4+M1004*4+L1004*3+N1004*2+O1004*2)</x:f>
        <x:v>90</x:v>
      </x:c>
      <x:c r="R1004" s="14" t="str">
        <x:v>high</x:v>
      </x:c>
      <x:c r="S1004" s="14" t="str">
        <x:v>official_prozorro_award_2024_2026</x:v>
      </x:c>
      <x:c r="T1004" s="14" t="str">
        <x:v>official_prozorro_api</x:v>
      </x:c>
      <x:c r="U1004" s="14" t="str">
        <x:v>Не контактували</x:v>
      </x:c>
      <x:c r="V1004" s="15" t="str">
        <x:v>Workflow-audit outreach по UA-2026-06-04-004876-a; попросити 1 пакет здачі та вимоги проєкту</x:v>
      </x:c>
      <x:c r="W1004" s="15" t="str">
        <x:v>Власник / директор; керівник ПТО; відповідальний за договори</x:v>
      </x:c>
      <x:c r="X1004" s="15" t="str">
        <x:v>1 нових підтверджених перемог/договорів у Prozorro на 1 399 999 грн; 1 зі строком виконання не раніше 24.08.2026.</x:v>
      </x:c>
      <x:c r="Y1004"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 строк до 2026-08-31. Попросити один знеособлений пакет здачі за цим workflow.</x:v>
      </x:c>
      <x:c r="Z1004" s="15" t="str">
        <x:v>https://prozorro.gov.ua/tender/UA-2026-06-04-004876-a</x:v>
      </x:c>
      <x:c r="AA1004" s="14" t="str">
        <x:v>45531352</x:v>
      </x:c>
      <x:c r="AB1004" s="14" t="str">
        <x:v>2026-08-24</x:v>
      </x:c>
      <x:c r="AC1004" s="14" t="str"/>
      <x:c r="AD1004" s="20" t="str"/>
      <x:c r="AE1004" s="14" t="str"/>
      <x:c r="AF1004" s="14" t="n">
        <x:v>54</x:v>
      </x:c>
      <x:c r="AG1004" s="14" t="str">
        <x:v>I3</x:v>
      </x:c>
      <x:c r="AH1004" s="14" t="n">
        <x:v>1</x:v>
      </x:c>
      <x:c r="AI1004" s="14" t="n">
        <x:v>1</x:v>
      </x:c>
      <x:c r="AJ1004" s="18" t="n">
        <x:v>1399999</x:v>
      </x:c>
      <x:c r="AK1004" s="14" t="str">
        <x:v>https://prozorro.gov.ua/tender/UA-2026-06-04-004876-a</x:v>
      </x:c>
      <x:c r="AL1004" s="19" t="n">
        <x:v>46198.44237420139</x:v>
      </x:c>
      <x:c r="AM1004" s="19" t="n">
        <x:v>46265</x:v>
      </x:c>
      <x:c r="AN1004" s="15" t="str">
        <x:v>Пожежогасіння</x:v>
      </x:c>
      <x:c r="AO1004" s="15" t="str">
        <x:v>not_found_in_top_search</x:v>
      </x:c>
    </x:row>
    <x:row r="1005">
      <x:c r="A1005" s="14" t="str">
        <x:v>W4-186</x:v>
      </x:c>
      <x:c r="B1005" s="14" t="str">
        <x:v>Prozorro expansion — 24.08</x:v>
      </x:c>
      <x:c r="C1005" s="14" t="str">
        <x:v>ТОВАРИСТВО З ОБМЕЖЕНОЮ ВІДПОВІДАЛЬНІСТЮ "УРАРТУ АМО"</x:v>
      </x:c>
      <x:c r="D1005" s="14" t="str">
        <x:v>Дорожні роботи</x:v>
      </x:c>
      <x:c r="E1005" s="14" t="str">
        <x:v>Expansion discovery</x:v>
      </x:c>
      <x:c r="F1005" s="17" t="str">
        <x:v>D3</x:v>
      </x:c>
      <x:c r="G1005" s="14" t="str"/>
      <x:c r="H1005" s="14" t="str">
        <x:v>Discovery розширення — 2 тижні</x:v>
      </x:c>
      <x:c r="I1005" s="16" t="n">
        <x:v>1</x:v>
      </x:c>
      <x:c r="J1005" s="16" t="n">
        <x:v>5</x:v>
      </x:c>
      <x:c r="K1005" s="16" t="n">
        <x:v>4</x:v>
      </x:c>
      <x:c r="L1005" s="16" t="n">
        <x:v>3</x:v>
      </x:c>
      <x:c r="M1005" s="16" t="n">
        <x:v>5</x:v>
      </x:c>
      <x:c r="N1005" s="16" t="n">
        <x:v>5</x:v>
      </x:c>
      <x:c r="O1005" s="16" t="n">
        <x:v>3</x:v>
      </x:c>
      <x:c r="P1005" s="16" t="n">
        <x:f>IF(COUNT(I1005:O1005)&lt;7,"",I1005*8+J1005*3+K1005*2+L1005*2+M1005*2+N1005*2+O1005)</x:f>
        <x:v>60</x:v>
      </x:c>
      <x:c r="Q1005" s="16" t="n">
        <x:f>IF(COUNT(J1005:O1005)&lt;6,"",J1005*5+K1005*4+M1005*4+L1005*3+N1005*2+O1005*2)</x:f>
        <x:v>86</x:v>
      </x:c>
      <x:c r="R1005" s="14" t="str">
        <x:v>high</x:v>
      </x:c>
      <x:c r="S1005" s="14" t="str">
        <x:v>official_prozorro_award_2024_2026</x:v>
      </x:c>
      <x:c r="T1005" s="14" t="str">
        <x:v>official_prozorro_api</x:v>
      </x:c>
      <x:c r="U1005" s="14" t="str">
        <x:v>Не контактували</x:v>
      </x:c>
      <x:c r="V1005" s="15" t="str">
        <x:v>Workflow-audit outreach по UA-2026-07-06-008355-a; попросити 1 пакет здачі та вимоги проєкту</x:v>
      </x:c>
      <x:c r="W1005" s="15" t="str">
        <x:v>Власник / директор; керівник ПТО; відповідальний за договори</x:v>
      </x:c>
      <x:c r="X1005" s="15" t="str">
        <x:v>1 нових підтверджених перемог/договорів у Prozorro на 1 395 646 грн; 1 зі строком виконання не раніше 24.08.2026.</x:v>
      </x:c>
      <x:c r="Y1005" s="15" t="str">
        <x:v>Капітальний ремонт частини дорожнього покриття по провулку Будівельний в селищі Коцюбинське Київської області; строк до 2026-08-31. Попросити один знеособлений пакет здачі за цим workflow.</x:v>
      </x:c>
      <x:c r="Z1005" s="15" t="str">
        <x:v>https://prozorro.gov.ua/tender/UA-2026-07-06-008355-a</x:v>
      </x:c>
      <x:c r="AA1005" s="14" t="str">
        <x:v>37606234</x:v>
      </x:c>
      <x:c r="AB1005" s="14" t="str">
        <x:v>2026-08-24</x:v>
      </x:c>
      <x:c r="AC1005" s="14" t="str"/>
      <x:c r="AD1005" s="20" t="str"/>
      <x:c r="AE1005" s="14" t="str"/>
      <x:c r="AF1005" s="14" t="n">
        <x:v>54</x:v>
      </x:c>
      <x:c r="AG1005" s="14" t="str">
        <x:v>I3</x:v>
      </x:c>
      <x:c r="AH1005" s="14" t="n">
        <x:v>1</x:v>
      </x:c>
      <x:c r="AI1005" s="14" t="n">
        <x:v>1</x:v>
      </x:c>
      <x:c r="AJ1005" s="18" t="n">
        <x:v>1395646.36</x:v>
      </x:c>
      <x:c r="AK1005" s="14" t="str">
        <x:v>https://prozorro.gov.ua/tender/UA-2026-07-06-008355-a</x:v>
      </x:c>
      <x:c r="AL1005" s="19" t="n">
        <x:v>46209.533540358796</x:v>
      </x:c>
      <x:c r="AM1005" s="19" t="n">
        <x:v>46265</x:v>
      </x:c>
      <x:c r="AN1005" s="15" t="str">
        <x:v>Дорожні роботи</x:v>
      </x:c>
      <x:c r="AO1005" s="15" t="str">
        <x:v>not_found_in_top_search</x:v>
      </x:c>
    </x:row>
    <x:row r="1006">
      <x:c r="A1006" s="14" t="str">
        <x:v>W4-187</x:v>
      </x:c>
      <x:c r="B1006" s="14" t="str">
        <x:v>Prozorro expansion — 24.08</x:v>
      </x:c>
      <x:c r="C1006" s="14" t="str">
        <x:v>ПАЧЕС ТАРАС ГЕОРГІЙОВИЧ</x:v>
      </x:c>
      <x:c r="D1006" s="14" t="str">
        <x:v>Теплові мережі</x:v>
      </x:c>
      <x:c r="E1006" s="14" t="str">
        <x:v>Expansion discovery</x:v>
      </x:c>
      <x:c r="F1006" s="17" t="str">
        <x:v>D3</x:v>
      </x:c>
      <x:c r="G1006" s="14" t="str"/>
      <x:c r="H1006" s="14" t="str">
        <x:v>Discovery розширення — 2 тижні</x:v>
      </x:c>
      <x:c r="I1006" s="16" t="n">
        <x:v>1</x:v>
      </x:c>
      <x:c r="J1006" s="16" t="n">
        <x:v>5</x:v>
      </x:c>
      <x:c r="K1006" s="16" t="n">
        <x:v>4</x:v>
      </x:c>
      <x:c r="L1006" s="16" t="n">
        <x:v>3</x:v>
      </x:c>
      <x:c r="M1006" s="16" t="n">
        <x:v>5</x:v>
      </x:c>
      <x:c r="N1006" s="16" t="n">
        <x:v>3</x:v>
      </x:c>
      <x:c r="O1006" s="16" t="n">
        <x:v>3</x:v>
      </x:c>
      <x:c r="P1006" s="16" t="n">
        <x:f>IF(COUNT(I1006:O1006)&lt;7,"",I1006*8+J1006*3+K1006*2+L1006*2+M1006*2+N1006*2+O1006)</x:f>
        <x:v>56</x:v>
      </x:c>
      <x:c r="Q1006" s="16" t="n">
        <x:f>IF(COUNT(J1006:O1006)&lt;6,"",J1006*5+K1006*4+M1006*4+L1006*3+N1006*2+O1006*2)</x:f>
        <x:v>82</x:v>
      </x:c>
      <x:c r="R1006" s="14" t="str">
        <x:v>high</x:v>
      </x:c>
      <x:c r="S1006" s="14" t="str">
        <x:v>official_prozorro_award_2024_2026</x:v>
      </x:c>
      <x:c r="T1006" s="14" t="str">
        <x:v>official_prozorro_api</x:v>
      </x:c>
      <x:c r="U1006" s="14" t="str">
        <x:v>Не контактували</x:v>
      </x:c>
      <x:c r="V1006" s="15" t="str">
        <x:v>Workflow-audit outreach по UA-2026-05-05-014502-a; попросити 1 пакет здачі та вимоги проєкту</x:v>
      </x:c>
      <x:c r="W1006" s="15" t="str">
        <x:v>Власник / виконавець; відповідальний за договір</x:v>
      </x:c>
      <x:c r="X1006" s="15" t="str">
        <x:v>1 нових підтверджених перемог/договорів у Prozorro на 923 825 грн; 1 зі строком виконання не раніше 24.08.2026.</x:v>
      </x:c>
      <x:c r="Y1006" s="15" t="str">
        <x:v>Розробка робочого проекту по об’єкту: «Реконструкція ділянки теплової мережі вул. Владислава Бувалкіна від ТК1032 до ТК2030, м. Одеса» ; строк до 2026-09-30. Попросити один знеособлений пакет здачі за цим workflow.</x:v>
      </x:c>
      <x:c r="Z1006" s="15" t="str">
        <x:v>https://prozorro.gov.ua/tender/UA-2026-05-05-014502-a</x:v>
      </x:c>
      <x:c r="AA1006" s="14" t="str">
        <x:v>2958304091</x:v>
      </x:c>
      <x:c r="AB1006" s="14" t="str">
        <x:v>2026-08-24</x:v>
      </x:c>
      <x:c r="AC1006" s="14" t="str"/>
      <x:c r="AD1006" s="20" t="str"/>
      <x:c r="AE1006" s="14" t="str"/>
      <x:c r="AF1006" s="14" t="n">
        <x:v>54</x:v>
      </x:c>
      <x:c r="AG1006" s="14" t="str">
        <x:v>I3</x:v>
      </x:c>
      <x:c r="AH1006" s="14" t="n">
        <x:v>1</x:v>
      </x:c>
      <x:c r="AI1006" s="14" t="n">
        <x:v>1</x:v>
      </x:c>
      <x:c r="AJ1006" s="18" t="n">
        <x:v>923825.48</x:v>
      </x:c>
      <x:c r="AK1006" s="14" t="str">
        <x:v>https://prozorro.gov.ua/tender/UA-2026-05-05-014502-a</x:v>
      </x:c>
      <x:c r="AL1006" s="19" t="n">
        <x:v>46147.60565925926</x:v>
      </x:c>
      <x:c r="AM1006" s="19" t="n">
        <x:v>46295</x:v>
      </x:c>
      <x:c r="AN1006" s="15" t="str">
        <x:v>Теплові мережі</x:v>
      </x:c>
      <x:c r="AO1006" s="15" t="str">
        <x:v>not_found_in_top_search</x:v>
      </x:c>
    </x:row>
    <x:row r="1007">
      <x:c r="A1007" s="14" t="str">
        <x:v>W4-188</x:v>
      </x:c>
      <x:c r="B1007" s="14" t="str">
        <x:v>Prozorro expansion — 24.08</x:v>
      </x:c>
      <x:c r="C1007" s="14" t="str">
        <x:v>ПРИВАТНЕ ПІДПРИЄМСТВО "ТАУРУСС"</x:v>
      </x:c>
      <x:c r="D1007" s="14" t="str">
        <x:v>HVAC / ОВіК</x:v>
      </x:c>
      <x:c r="E1007" s="14" t="str">
        <x:v>Pilot now</x:v>
      </x:c>
      <x:c r="F1007" s="17" t="str">
        <x:v>P3</x:v>
      </x:c>
      <x:c r="G1007" s="14" t="str"/>
      <x:c r="H1007" s="14" t="str">
        <x:v>Пілот зараз — Н.14</x:v>
      </x:c>
      <x:c r="I1007" s="16" t="n">
        <x:v>5</x:v>
      </x:c>
      <x:c r="J1007" s="16" t="n">
        <x:v>5</x:v>
      </x:c>
      <x:c r="K1007" s="16" t="n">
        <x:v>4</x:v>
      </x:c>
      <x:c r="L1007" s="16" t="n">
        <x:v>3</x:v>
      </x:c>
      <x:c r="M1007" s="16" t="n">
        <x:v>5</x:v>
      </x:c>
      <x:c r="N1007" s="16" t="n">
        <x:v>5</x:v>
      </x:c>
      <x:c r="O1007" s="16" t="n">
        <x:v>3</x:v>
      </x:c>
      <x:c r="P1007" s="16" t="n">
        <x:f>IF(COUNT(I1007:O1007)&lt;7,"",I1007*8+J1007*3+K1007*2+L1007*2+M1007*2+N1007*2+O1007)</x:f>
        <x:v>92</x:v>
      </x:c>
      <x:c r="Q1007" s="16" t="n">
        <x:f>IF(COUNT(J1007:O1007)&lt;6,"",J1007*5+K1007*4+M1007*4+L1007*3+N1007*2+O1007*2)</x:f>
        <x:v>86</x:v>
      </x:c>
      <x:c r="R1007" s="14" t="str">
        <x:v>high</x:v>
      </x:c>
      <x:c r="S1007" s="14" t="str">
        <x:v>official_prozorro_award_2024_2026</x:v>
      </x:c>
      <x:c r="T1007" s="14" t="str">
        <x:v>official_prozorro_api</x:v>
      </x:c>
      <x:c r="U1007" s="14" t="str">
        <x:v>Не контактували</x:v>
      </x:c>
      <x:c r="V1007" s="15" t="str">
        <x:v>Персоналізований free-pilot outreach по UA-2026-04-28-009940-a; попросити 1 пакет Н.14/Н.15</x:v>
      </x:c>
      <x:c r="W1007" s="15" t="str">
        <x:v>Власник / директор; керівник ПТО; відповідальний за договори</x:v>
      </x:c>
      <x:c r="X1007" s="15" t="str">
        <x:v>1 нових підтверджених перемог/договорів у Prozorro на 671 229 грн; 0 зі строком виконання не раніше 24.08.2026.</x:v>
      </x:c>
      <x:c r="Y1007"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 строк до 2026-07-28. Попросити один знеособлений пакет здачі за цим workflow.</x:v>
      </x:c>
      <x:c r="Z1007" s="15" t="str">
        <x:v>https://prozorro.gov.ua/tender/UA-2026-04-28-009940-a</x:v>
      </x:c>
      <x:c r="AA1007" s="14" t="str">
        <x:v>35244291</x:v>
      </x:c>
      <x:c r="AB1007" s="14" t="str">
        <x:v>2026-08-24</x:v>
      </x:c>
      <x:c r="AC1007" s="14" t="str"/>
      <x:c r="AD1007" s="20" t="str"/>
      <x:c r="AE1007" s="14" t="str"/>
      <x:c r="AF1007" s="14" t="n">
        <x:v>54</x:v>
      </x:c>
      <x:c r="AG1007" s="14" t="str">
        <x:v>I3</x:v>
      </x:c>
      <x:c r="AH1007" s="14" t="n">
        <x:v>1</x:v>
      </x:c>
      <x:c r="AI1007" s="14" t="n">
        <x:v>0</x:v>
      </x:c>
      <x:c r="AJ1007" s="18" t="n">
        <x:v>671229</x:v>
      </x:c>
      <x:c r="AK1007" s="14" t="str">
        <x:v>https://prozorro.gov.ua/tender/UA-2026-04-28-009940-a</x:v>
      </x:c>
      <x:c r="AL1007" s="19" t="n">
        <x:v>46140.506007523145</x:v>
      </x:c>
      <x:c r="AM1007" s="19" t="n">
        <x:v>46231</x:v>
      </x:c>
      <x:c r="AN1007" s="15" t="str">
        <x:v>HVAC / ОВіК</x:v>
      </x:c>
      <x:c r="AO1007" s="15" t="str">
        <x:v>not_found_in_top_search</x:v>
      </x:c>
    </x:row>
    <x:row r="1008">
      <x:c r="A1008" s="14" t="str">
        <x:v>W4-189</x:v>
      </x:c>
      <x:c r="B1008" s="14" t="str">
        <x:v>Prozorro expansion — 24.08</x:v>
      </x:c>
      <x:c r="C1008" s="14" t="str">
        <x:v>ТОВАРИСТВО З ОБМЕЖЕНОЮ ВІДПОВІДАЛЬНІСТЮ "БЕЗПЕЧНА ОСЕЛЯ"</x:v>
      </x:c>
      <x:c r="D1008" s="14" t="str">
        <x:v>Пожежогасіння</x:v>
      </x:c>
      <x:c r="E1008" s="14" t="str">
        <x:v>Expansion discovery</x:v>
      </x:c>
      <x:c r="F1008" s="17" t="str">
        <x:v>D3</x:v>
      </x:c>
      <x:c r="G1008" s="14" t="str"/>
      <x:c r="H1008" s="14" t="str">
        <x:v>Discovery розширення — 2 тижні</x:v>
      </x:c>
      <x:c r="I1008" s="16" t="n">
        <x:v>1</x:v>
      </x:c>
      <x:c r="J1008" s="16" t="n">
        <x:v>5</x:v>
      </x:c>
      <x:c r="K1008" s="16" t="n">
        <x:v>5</x:v>
      </x:c>
      <x:c r="L1008" s="16" t="n">
        <x:v>3</x:v>
      </x:c>
      <x:c r="M1008" s="16" t="n">
        <x:v>5</x:v>
      </x:c>
      <x:c r="N1008" s="16" t="n">
        <x:v>5</x:v>
      </x:c>
      <x:c r="O1008" s="16" t="n">
        <x:v>3</x:v>
      </x:c>
      <x:c r="P1008" s="16" t="n">
        <x:f>IF(COUNT(I1008:O1008)&lt;7,"",I1008*8+J1008*3+K1008*2+L1008*2+M1008*2+N1008*2+O1008)</x:f>
        <x:v>62</x:v>
      </x:c>
      <x:c r="Q1008" s="16" t="n">
        <x:f>IF(COUNT(J1008:O1008)&lt;6,"",J1008*5+K1008*4+M1008*4+L1008*3+N1008*2+O1008*2)</x:f>
        <x:v>90</x:v>
      </x:c>
      <x:c r="R1008" s="14" t="str">
        <x:v>high</x:v>
      </x:c>
      <x:c r="S1008" s="14" t="str">
        <x:v>official_prozorro_award_2024_2026</x:v>
      </x:c>
      <x:c r="T1008" s="14" t="str">
        <x:v>official_prozorro_api</x:v>
      </x:c>
      <x:c r="U1008" s="14" t="str">
        <x:v>Не контактували</x:v>
      </x:c>
      <x:c r="V1008" s="15" t="str">
        <x:v>Workflow-audit outreach по UA-2026-06-09-014054-a; попросити 1 пакет здачі та вимоги проєкту</x:v>
      </x:c>
      <x:c r="W1008" s="15" t="str">
        <x:v>Власник / директор; керівник ПТО; відповідальний за договори</x:v>
      </x:c>
      <x:c r="X1008" s="15" t="str">
        <x:v>1 нових підтверджених перемог/договорів у Prozorro на 590 000 грн; 1 зі строком виконання не раніше 24.08.2026.</x:v>
      </x:c>
      <x:c r="Y1008"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 строк до 2026-11-30. Попросити один знеособлений пакет здачі за цим workflow.</x:v>
      </x:c>
      <x:c r="Z1008" s="15" t="str">
        <x:v>https://prozorro.gov.ua/tender/UA-2026-06-09-014054-a</x:v>
      </x:c>
      <x:c r="AA1008" s="14" t="str">
        <x:v>44904037</x:v>
      </x:c>
      <x:c r="AB1008" s="14" t="str">
        <x:v>2026-08-24</x:v>
      </x:c>
      <x:c r="AC1008" s="14" t="str"/>
      <x:c r="AD1008" s="20" t="str"/>
      <x:c r="AE1008" s="14" t="str"/>
      <x:c r="AF1008" s="14" t="n">
        <x:v>54</x:v>
      </x:c>
      <x:c r="AG1008" s="14" t="str">
        <x:v>I3</x:v>
      </x:c>
      <x:c r="AH1008" s="14" t="n">
        <x:v>1</x:v>
      </x:c>
      <x:c r="AI1008" s="14" t="n">
        <x:v>1</x:v>
      </x:c>
      <x:c r="AJ1008" s="18" t="n">
        <x:v>590000</x:v>
      </x:c>
      <x:c r="AK1008" s="14" t="str">
        <x:v>https://prozorro.gov.ua/tender/UA-2026-06-09-014054-a</x:v>
      </x:c>
      <x:c r="AL1008" s="19" t="n">
        <x:v>46195.593609247684</x:v>
      </x:c>
      <x:c r="AM1008" s="19" t="n">
        <x:v>46356</x:v>
      </x:c>
      <x:c r="AN1008" s="15" t="str">
        <x:v>Пожежогасіння</x:v>
      </x:c>
      <x:c r="AO1008" s="15" t="str">
        <x:v>not_found_in_top_search</x:v>
      </x:c>
    </x:row>
    <x:row r="1009">
      <x:c r="A1009" s="14" t="str">
        <x:v>W4-190</x:v>
      </x:c>
      <x:c r="B1009" s="14" t="str">
        <x:v>Prozorro expansion — 24.08</x:v>
      </x:c>
      <x:c r="C1009" s="14" t="str">
        <x:v>Комунальне підприємство "Рівненський міський трест зеленого господарства"</x:v>
      </x:c>
      <x:c r="D1009" s="14" t="str">
        <x:v>Промислові підлоги та бетон</x:v>
      </x:c>
      <x:c r="E1009" s="14" t="str">
        <x:v>Expansion discovery</x:v>
      </x:c>
      <x:c r="F1009" s="17" t="str">
        <x:v>D3</x:v>
      </x:c>
      <x:c r="G1009" s="14" t="str"/>
      <x:c r="H1009" s="14" t="str">
        <x:v>Discovery розширення — 2 тижні</x:v>
      </x:c>
      <x:c r="I1009" s="16" t="n">
        <x:v>1</x:v>
      </x:c>
      <x:c r="J1009" s="16" t="n">
        <x:v>5</x:v>
      </x:c>
      <x:c r="K1009" s="16" t="n">
        <x:v>5</x:v>
      </x:c>
      <x:c r="L1009" s="16" t="n">
        <x:v>2</x:v>
      </x:c>
      <x:c r="M1009" s="16" t="n">
        <x:v>5</x:v>
      </x:c>
      <x:c r="N1009" s="16" t="n">
        <x:v>5</x:v>
      </x:c>
      <x:c r="O1009" s="16" t="n">
        <x:v>3</x:v>
      </x:c>
      <x:c r="P1009" s="16" t="n">
        <x:f>IF(COUNT(I1009:O1009)&lt;7,"",I1009*8+J1009*3+K1009*2+L1009*2+M1009*2+N1009*2+O1009)</x:f>
        <x:v>60</x:v>
      </x:c>
      <x:c r="Q1009" s="16" t="n">
        <x:f>IF(COUNT(J1009:O1009)&lt;6,"",J1009*5+K1009*4+M1009*4+L1009*3+N1009*2+O1009*2)</x:f>
        <x:v>87</x:v>
      </x:c>
      <x:c r="R1009" s="14" t="str">
        <x:v>high</x:v>
      </x:c>
      <x:c r="S1009" s="14" t="str">
        <x:v>official_prozorro_award_2024_2026</x:v>
      </x:c>
      <x:c r="T1009" s="14" t="str">
        <x:v>official_prozorro_api</x:v>
      </x:c>
      <x:c r="U1009" s="14" t="str">
        <x:v>Не контактували</x:v>
      </x:c>
      <x:c r="V1009" s="15" t="str">
        <x:v>Workflow-audit outreach по UA-2025-07-11-000608-a; попросити 1 пакет здачі та вимоги проєкту</x:v>
      </x:c>
      <x:c r="W1009" s="15" t="str">
        <x:v>Власник / директор; керівник ПТО; відповідальний за договори</x:v>
      </x:c>
      <x:c r="X1009" s="15" t="str">
        <x:v>3 нових підтверджених перемог/договорів у Prozorro на 241 055 грн; 0 зі строком виконання не раніше 24.08.2026.</x:v>
      </x:c>
      <x:c r="Y1009"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 строк до 2025-12-31. Попросити один знеособлений пакет здачі за цим workflow.</x:v>
      </x:c>
      <x:c r="Z1009" s="15" t="str">
        <x:v>https://prozorro.gov.ua/tender/UA-2025-07-11-000608-a</x:v>
      </x:c>
      <x:c r="AA1009" s="14" t="str">
        <x:v>05506230</x:v>
      </x:c>
      <x:c r="AB1009" s="14" t="str">
        <x:v>2026-08-24</x:v>
      </x:c>
      <x:c r="AC1009" s="14" t="str"/>
      <x:c r="AD1009" s="20" t="str"/>
      <x:c r="AE1009" s="14" t="str"/>
      <x:c r="AF1009" s="14" t="n">
        <x:v>54</x:v>
      </x:c>
      <x:c r="AG1009" s="14" t="str">
        <x:v>I3</x:v>
      </x:c>
      <x:c r="AH1009" s="14" t="n">
        <x:v>3</x:v>
      </x:c>
      <x:c r="AI1009" s="14" t="n">
        <x:v>0</x:v>
      </x:c>
      <x:c r="AJ1009" s="18" t="n">
        <x:v>241055.38</x:v>
      </x:c>
      <x:c r="AK1009" s="14" t="str">
        <x:v>https://prozorro.gov.ua/tender/UA-2025-07-11-000608-a</x:v>
      </x:c>
      <x:c r="AL1009" s="19" t="n">
        <x:v>45849.25704787037</x:v>
      </x:c>
      <x:c r="AM1009" s="19" t="n">
        <x:v>46022.916666655095</x:v>
      </x:c>
      <x:c r="AN1009" s="15" t="str">
        <x:v>Промислові підлоги та бетон</x:v>
      </x:c>
      <x:c r="AO1009" s="15" t="str">
        <x:v>not_found_in_top_search</x:v>
      </x:c>
    </x:row>
    <x:row r="1010">
      <x:c r="A1010" s="14" t="str">
        <x:v>W4-191</x:v>
      </x:c>
      <x:c r="B1010" s="14" t="str">
        <x:v>Prozorro expansion — 24.08</x:v>
      </x:c>
      <x:c r="C1010" s="14" t="str">
        <x:v>ФОП Орлов В Ю</x:v>
      </x:c>
      <x:c r="D1010" s="14" t="str">
        <x:v>Покрівлі та гідроізоляція</x:v>
      </x:c>
      <x:c r="E1010" s="14" t="str">
        <x:v>Expansion discovery</x:v>
      </x:c>
      <x:c r="F1010" s="17" t="str">
        <x:v>D3</x:v>
      </x:c>
      <x:c r="G1010" s="14" t="str"/>
      <x:c r="H1010" s="14" t="str">
        <x:v>Discovery розширення — 2 тижні</x:v>
      </x:c>
      <x:c r="I1010" s="16" t="n">
        <x:v>1</x:v>
      </x:c>
      <x:c r="J1010" s="16" t="n">
        <x:v>5</x:v>
      </x:c>
      <x:c r="K1010" s="16" t="n">
        <x:v>5</x:v>
      </x:c>
      <x:c r="L1010" s="16" t="n">
        <x:v>2</x:v>
      </x:c>
      <x:c r="M1010" s="16" t="n">
        <x:v>5</x:v>
      </x:c>
      <x:c r="N1010" s="16" t="n">
        <x:v>3</x:v>
      </x:c>
      <x:c r="O1010" s="16" t="n">
        <x:v>3</x:v>
      </x:c>
      <x:c r="P1010" s="16" t="n">
        <x:f>IF(COUNT(I1010:O1010)&lt;7,"",I1010*8+J1010*3+K1010*2+L1010*2+M1010*2+N1010*2+O1010)</x:f>
        <x:v>56</x:v>
      </x:c>
      <x:c r="Q1010" s="16" t="n">
        <x:f>IF(COUNT(J1010:O1010)&lt;6,"",J1010*5+K1010*4+M1010*4+L1010*3+N1010*2+O1010*2)</x:f>
        <x:v>83</x:v>
      </x:c>
      <x:c r="R1010" s="14" t="str">
        <x:v>high</x:v>
      </x:c>
      <x:c r="S1010" s="14" t="str">
        <x:v>official_prozorro_award_2024_2026</x:v>
      </x:c>
      <x:c r="T1010" s="14" t="str">
        <x:v>official_prozorro_api</x:v>
      </x:c>
      <x:c r="U1010" s="14" t="str">
        <x:v>Не контактували</x:v>
      </x:c>
      <x:c r="V1010" s="15" t="str">
        <x:v>Workflow-audit outreach по UA-2026-07-29-006939-a; попросити 1 пакет здачі та вимоги проєкту</x:v>
      </x:c>
      <x:c r="W1010" s="15" t="str">
        <x:v>Власник / виконавець; відповідальний за договір</x:v>
      </x:c>
      <x:c r="X1010" s="15" t="str">
        <x:v>1 нових підтверджених перемог/договорів у Prozorro на 367 183 грн; 1 зі строком виконання не раніше 24.08.2026.</x:v>
      </x:c>
      <x:c r="Y1010" s="15" t="str">
        <x:v>Поточний ремонт даху будівлі пункту здоров'я "Грушівка" (ДК 021:2015: 45260000-7 — Покрівельні будівельні роботи та інші спеціалізовані будівельні роботи); строк до 2026-10-30. Попросити один знеособлений пакет здачі за цим workflow.</x:v>
      </x:c>
      <x:c r="Z1010" s="15" t="str">
        <x:v>https://prozorro.gov.ua/tender/UA-2026-07-29-006939-a</x:v>
      </x:c>
      <x:c r="AA1010" s="14" t="str">
        <x:v>3198918433</x:v>
      </x:c>
      <x:c r="AB1010" s="14" t="str">
        <x:v>2026-08-24</x:v>
      </x:c>
      <x:c r="AC1010" s="14" t="str"/>
      <x:c r="AD1010" s="20" t="str"/>
      <x:c r="AE1010" s="14" t="str"/>
      <x:c r="AF1010" s="14" t="n">
        <x:v>53</x:v>
      </x:c>
      <x:c r="AG1010" s="14" t="str">
        <x:v>I3</x:v>
      </x:c>
      <x:c r="AH1010" s="14" t="n">
        <x:v>1</x:v>
      </x:c>
      <x:c r="AI1010" s="14" t="n">
        <x:v>1</x:v>
      </x:c>
      <x:c r="AJ1010" s="18" t="n">
        <x:v>367182.54</x:v>
      </x:c>
      <x:c r="AK1010" s="14" t="str">
        <x:v>https://prozorro.gov.ua/tender/UA-2026-07-29-006939-a</x:v>
      </x:c>
      <x:c r="AL1010" s="19" t="n">
        <x:v>46247.49372357639</x:v>
      </x:c>
      <x:c r="AM1010" s="19" t="n">
        <x:v>46325</x:v>
      </x:c>
      <x:c r="AN1010" s="15" t="str">
        <x:v>Покрівлі та гідроізоляція</x:v>
      </x:c>
      <x:c r="AO1010" s="15" t="str">
        <x:v>not_found_in_top_search</x:v>
      </x:c>
    </x:row>
    <x:row r="1011">
      <x:c r="A1011" s="14" t="str">
        <x:v>W4-192</x:v>
      </x:c>
      <x:c r="B1011" s="14" t="str">
        <x:v>Prozorro expansion — 24.08</x:v>
      </x:c>
      <x:c r="C1011" s="14" t="str">
        <x:v>Фізична особа-підприємець Козодой Ілля Вікторович</x:v>
      </x:c>
      <x:c r="D1011" s="14" t="str">
        <x:v>Фасади та скління</x:v>
      </x:c>
      <x:c r="E1011" s="14" t="str">
        <x:v>Expansion discovery</x:v>
      </x:c>
      <x:c r="F1011" s="17" t="str">
        <x:v>D3</x:v>
      </x:c>
      <x:c r="G1011" s="14" t="str"/>
      <x:c r="H1011" s="14" t="str">
        <x:v>Discovery розширення — 2 тижні</x:v>
      </x:c>
      <x:c r="I1011" s="16" t="n">
        <x:v>1</x:v>
      </x:c>
      <x:c r="J1011" s="16" t="n">
        <x:v>5</x:v>
      </x:c>
      <x:c r="K1011" s="16" t="n">
        <x:v>5</x:v>
      </x:c>
      <x:c r="L1011" s="16" t="n">
        <x:v>2</x:v>
      </x:c>
      <x:c r="M1011" s="16" t="n">
        <x:v>5</x:v>
      </x:c>
      <x:c r="N1011" s="16" t="n">
        <x:v>3</x:v>
      </x:c>
      <x:c r="O1011" s="16" t="n">
        <x:v>3</x:v>
      </x:c>
      <x:c r="P1011" s="16" t="n">
        <x:f>IF(COUNT(I1011:O1011)&lt;7,"",I1011*8+J1011*3+K1011*2+L1011*2+M1011*2+N1011*2+O1011)</x:f>
        <x:v>56</x:v>
      </x:c>
      <x:c r="Q1011" s="16" t="n">
        <x:f>IF(COUNT(J1011:O1011)&lt;6,"",J1011*5+K1011*4+M1011*4+L1011*3+N1011*2+O1011*2)</x:f>
        <x:v>83</x:v>
      </x:c>
      <x:c r="R1011" s="14" t="str">
        <x:v>high</x:v>
      </x:c>
      <x:c r="S1011" s="14" t="str">
        <x:v>official_prozorro_award_2024_2026</x:v>
      </x:c>
      <x:c r="T1011" s="14" t="str">
        <x:v>official_prozorro_api</x:v>
      </x:c>
      <x:c r="U1011" s="14" t="str">
        <x:v>Не контактували</x:v>
      </x:c>
      <x:c r="V1011" s="15" t="str">
        <x:v>Workflow-audit outreach по UA-2026-07-24-004920-a; попросити 1 пакет здачі та вимоги проєкту</x:v>
      </x:c>
      <x:c r="W1011" s="15" t="str">
        <x:v>Власник / виконавець; відповідальний за договір</x:v>
      </x:c>
      <x:c r="X1011" s="15" t="str">
        <x:v>1 нових підтверджених перемог/договорів у Prozorro на 348 000 грн; 1 зі строком виконання не раніше 24.08.2026.</x:v>
      </x:c>
      <x:c r="Y1011"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 строк до 2026-08-31. Попросити один знеособлений пакет здачі за цим workflow.</x:v>
      </x:c>
      <x:c r="Z1011" s="15" t="str">
        <x:v>https://prozorro.gov.ua/tender/UA-2026-07-24-004920-a</x:v>
      </x:c>
      <x:c r="AA1011" s="14" t="str">
        <x:v>3421211857</x:v>
      </x:c>
      <x:c r="AB1011" s="14" t="str">
        <x:v>2026-08-24</x:v>
      </x:c>
      <x:c r="AC1011" s="14" t="str"/>
      <x:c r="AD1011" s="20" t="str"/>
      <x:c r="AE1011" s="14" t="str"/>
      <x:c r="AF1011" s="14" t="n">
        <x:v>53</x:v>
      </x:c>
      <x:c r="AG1011" s="14" t="str">
        <x:v>I3</x:v>
      </x:c>
      <x:c r="AH1011" s="14" t="n">
        <x:v>1</x:v>
      </x:c>
      <x:c r="AI1011" s="14" t="n">
        <x:v>1</x:v>
      </x:c>
      <x:c r="AJ1011" s="18" t="n">
        <x:v>348000</x:v>
      </x:c>
      <x:c r="AK1011" s="14" t="str">
        <x:v>https://prozorro.gov.ua/tender/UA-2026-07-24-004920-a</x:v>
      </x:c>
      <x:c r="AL1011" s="19" t="n">
        <x:v>46227.39575037037</x:v>
      </x:c>
      <x:c r="AM1011" s="19" t="n">
        <x:v>46265</x:v>
      </x:c>
      <x:c r="AN1011" s="15" t="str">
        <x:v>Фасади та скління</x:v>
      </x:c>
      <x:c r="AO1011" s="15" t="str">
        <x:v>not_found_in_top_search</x:v>
      </x:c>
    </x:row>
    <x:row r="1012">
      <x:c r="A1012" s="14" t="str">
        <x:v>W4-193</x:v>
      </x:c>
      <x:c r="B1012" s="14" t="str">
        <x:v>Prozorro expansion — 24.08</x:v>
      </x:c>
      <x:c r="C1012" s="14" t="str">
        <x:v>ФОП КОХАСЬ МАКСИМ МИКОЛАЙОВИЧ</x:v>
      </x:c>
      <x:c r="D1012" s="14" t="str">
        <x:v>Фасади та скління</x:v>
      </x:c>
      <x:c r="E1012" s="14" t="str">
        <x:v>Expansion discovery</x:v>
      </x:c>
      <x:c r="F1012" s="17" t="str">
        <x:v>D3</x:v>
      </x:c>
      <x:c r="G1012" s="14" t="str"/>
      <x:c r="H1012" s="14" t="str">
        <x:v>Discovery розширення — 2 тижні</x:v>
      </x:c>
      <x:c r="I1012" s="16" t="n">
        <x:v>1</x:v>
      </x:c>
      <x:c r="J1012" s="16" t="n">
        <x:v>5</x:v>
      </x:c>
      <x:c r="K1012" s="16" t="n">
        <x:v>5</x:v>
      </x:c>
      <x:c r="L1012" s="16" t="n">
        <x:v>2</x:v>
      </x:c>
      <x:c r="M1012" s="16" t="n">
        <x:v>5</x:v>
      </x:c>
      <x:c r="N1012" s="16" t="n">
        <x:v>3</x:v>
      </x:c>
      <x:c r="O1012" s="16" t="n">
        <x:v>3</x:v>
      </x:c>
      <x:c r="P1012" s="16" t="n">
        <x:f>IF(COUNT(I1012:O1012)&lt;7,"",I1012*8+J1012*3+K1012*2+L1012*2+M1012*2+N1012*2+O1012)</x:f>
        <x:v>56</x:v>
      </x:c>
      <x:c r="Q1012" s="16" t="n">
        <x:f>IF(COUNT(J1012:O1012)&lt;6,"",J1012*5+K1012*4+M1012*4+L1012*3+N1012*2+O1012*2)</x:f>
        <x:v>83</x:v>
      </x:c>
      <x:c r="R1012" s="14" t="str">
        <x:v>high</x:v>
      </x:c>
      <x:c r="S1012" s="14" t="str">
        <x:v>official_prozorro_award_2024_2026</x:v>
      </x:c>
      <x:c r="T1012" s="14" t="str">
        <x:v>official_prozorro_api</x:v>
      </x:c>
      <x:c r="U1012" s="14" t="str">
        <x:v>Не контактували</x:v>
      </x:c>
      <x:c r="V1012" s="15" t="str">
        <x:v>Workflow-audit outreach по UA-2026-08-06-010644-a; попросити 1 пакет здачі та вимоги проєкту</x:v>
      </x:c>
      <x:c r="W1012" s="15" t="str">
        <x:v>Власник / виконавець; відповідальний за договір</x:v>
      </x:c>
      <x:c r="X1012" s="15" t="str">
        <x:v>1 нових підтверджених перемог/договорів у Prozorro на 199 133 грн; 1 зі строком виконання не раніше 24.08.2026.</x:v>
      </x:c>
      <x:c r="Y1012"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 строк до 2026-09-05. Попросити один знеособлений пакет здачі за цим workflow.</x:v>
      </x:c>
      <x:c r="Z1012" s="15" t="str">
        <x:v>https://prozorro.gov.ua/tender/UA-2026-08-06-010644-a</x:v>
      </x:c>
      <x:c r="AA1012" s="14" t="str">
        <x:v>3055718992</x:v>
      </x:c>
      <x:c r="AB1012" s="14" t="str">
        <x:v>2026-08-24</x:v>
      </x:c>
      <x:c r="AC1012" s="14" t="str"/>
      <x:c r="AD1012" s="20" t="str"/>
      <x:c r="AE1012" s="14" t="str"/>
      <x:c r="AF1012" s="14" t="n">
        <x:v>53</x:v>
      </x:c>
      <x:c r="AG1012" s="14" t="str">
        <x:v>I3</x:v>
      </x:c>
      <x:c r="AH1012" s="14" t="n">
        <x:v>1</x:v>
      </x:c>
      <x:c r="AI1012" s="14" t="n">
        <x:v>1</x:v>
      </x:c>
      <x:c r="AJ1012" s="18" t="n">
        <x:v>199133</x:v>
      </x:c>
      <x:c r="AK1012" s="14" t="str">
        <x:v>https://prozorro.gov.ua/tender/UA-2026-08-06-010644-a</x:v>
      </x:c>
      <x:c r="AL1012" s="19" t="n">
        <x:v>46240.57026796296</x:v>
      </x:c>
      <x:c r="AM1012" s="19" t="n">
        <x:v>46270</x:v>
      </x:c>
      <x:c r="AN1012" s="15" t="str">
        <x:v>Фасади та скління</x:v>
      </x:c>
      <x:c r="AO1012" s="15" t="str">
        <x:v>not_found_in_top_search</x:v>
      </x:c>
    </x:row>
    <x:row r="1013">
      <x:c r="A1013" s="14" t="str">
        <x:v>W4-194</x:v>
      </x:c>
      <x:c r="B1013" s="14" t="str">
        <x:v>Prozorro expansion — 24.08</x:v>
      </x:c>
      <x:c r="C1013" s="14" t="str">
        <x:v>ФОП Васильців Володимир Романович</x:v>
      </x:c>
      <x:c r="D1013" s="14" t="str">
        <x:v>HVAC / ОВіК</x:v>
      </x:c>
      <x:c r="E1013" s="14" t="str">
        <x:v>Pilot now</x:v>
      </x:c>
      <x:c r="F1013" s="17" t="str">
        <x:v>P3</x:v>
      </x:c>
      <x:c r="G1013" s="14" t="str"/>
      <x:c r="H1013" s="14" t="str">
        <x:v>Пілот зараз — Н.14</x:v>
      </x:c>
      <x:c r="I1013" s="16" t="n">
        <x:v>5</x:v>
      </x:c>
      <x:c r="J1013" s="16" t="n">
        <x:v>5</x:v>
      </x:c>
      <x:c r="K1013" s="16" t="n">
        <x:v>4</x:v>
      </x:c>
      <x:c r="L1013" s="16" t="n">
        <x:v>1</x:v>
      </x:c>
      <x:c r="M1013" s="16" t="n">
        <x:v>5</x:v>
      </x:c>
      <x:c r="N1013" s="16" t="n">
        <x:v>3</x:v>
      </x:c>
      <x:c r="O1013" s="16" t="n">
        <x:v>3</x:v>
      </x:c>
      <x:c r="P1013" s="16" t="n">
        <x:f>IF(COUNT(I1013:O1013)&lt;7,"",I1013*8+J1013*3+K1013*2+L1013*2+M1013*2+N1013*2+O1013)</x:f>
        <x:v>84</x:v>
      </x:c>
      <x:c r="Q1013" s="16" t="n">
        <x:f>IF(COUNT(J1013:O1013)&lt;6,"",J1013*5+K1013*4+M1013*4+L1013*3+N1013*2+O1013*2)</x:f>
        <x:v>76</x:v>
      </x:c>
      <x:c r="R1013" s="14" t="str">
        <x:v>high</x:v>
      </x:c>
      <x:c r="S1013" s="14" t="str">
        <x:v>official_prozorro_award_2024_2026</x:v>
      </x:c>
      <x:c r="T1013" s="14" t="str">
        <x:v>official_prozorro_api</x:v>
      </x:c>
      <x:c r="U1013" s="14" t="str">
        <x:v>Не контактували</x:v>
      </x:c>
      <x:c r="V1013" s="15" t="str">
        <x:v>Персоналізований free-pilot outreach по UA-2026-07-09-008623-a; попросити 1 пакет Н.14/Н.15</x:v>
      </x:c>
      <x:c r="W1013" s="15" t="str">
        <x:v>Власник / виконавець; відповідальний за договір</x:v>
      </x:c>
      <x:c r="X1013" s="15" t="str">
        <x:v>2 нових підтверджених перемог/договорів у Prozorro на 53 062 грн; 1 зі строком виконання не раніше 24.08.2026.</x:v>
      </x:c>
      <x:c r="Y1013" s="15" t="str">
        <x:v>Послуги з монтажу та обслуговування вентиляційного обладнання; строк до 2026-12-31. Попросити один знеособлений пакет здачі за цим workflow.</x:v>
      </x:c>
      <x:c r="Z1013" s="15" t="str">
        <x:v>https://prozorro.gov.ua/tender/UA-2026-07-09-008623-a</x:v>
      </x:c>
      <x:c r="AA1013" s="14" t="str">
        <x:v>2237902291</x:v>
      </x:c>
      <x:c r="AB1013" s="14" t="str">
        <x:v>2026-08-24</x:v>
      </x:c>
      <x:c r="AC1013" s="14" t="str"/>
      <x:c r="AD1013" s="20" t="str"/>
      <x:c r="AE1013" s="14" t="str"/>
      <x:c r="AF1013" s="14" t="n">
        <x:v>53</x:v>
      </x:c>
      <x:c r="AG1013" s="14" t="str">
        <x:v>I3</x:v>
      </x:c>
      <x:c r="AH1013" s="14" t="n">
        <x:v>2</x:v>
      </x:c>
      <x:c r="AI1013" s="14" t="n">
        <x:v>1</x:v>
      </x:c>
      <x:c r="AJ1013" s="18" t="n">
        <x:v>53062</x:v>
      </x:c>
      <x:c r="AK1013" s="14" t="str">
        <x:v>https://prozorro.gov.ua/tender/UA-2026-07-09-008623-a</x:v>
      </x:c>
      <x:c r="AL1013" s="19" t="n">
        <x:v>46212.51836148148</x:v>
      </x:c>
      <x:c r="AM1013" s="19" t="n">
        <x:v>46387</x:v>
      </x:c>
      <x:c r="AN1013" s="15" t="str">
        <x:v>HVAC / ОВіК</x:v>
      </x:c>
      <x:c r="AO1013" s="15" t="str">
        <x:v>not_found_in_top_search</x:v>
      </x:c>
    </x:row>
    <x:row r="1014">
      <x:c r="A1014" s="14" t="str">
        <x:v>W4-195</x:v>
      </x:c>
      <x:c r="B1014" s="14" t="str">
        <x:v>Prozorro expansion — 24.08</x:v>
      </x:c>
      <x:c r="C1014" s="14" t="str">
        <x:v>ТОВ "Карат-Ліфткомплект"</x:v>
      </x:c>
      <x:c r="D1014" s="14" t="str">
        <x:v>Ліфти та підйомники</x:v>
      </x:c>
      <x:c r="E1014" s="14" t="str">
        <x:v>Expansion discovery</x:v>
      </x:c>
      <x:c r="F1014" s="17" t="str">
        <x:v>D3</x:v>
      </x:c>
      <x:c r="G1014" s="14" t="str">
        <x:v>karatlift.com.ua</x:v>
      </x:c>
      <x:c r="H1014" s="14" t="str">
        <x:v>Discovery розширення — 2 тижні</x:v>
      </x:c>
      <x:c r="I1014" s="16" t="n">
        <x:v>1</x:v>
      </x:c>
      <x:c r="J1014" s="16" t="n">
        <x:v>5</x:v>
      </x:c>
      <x:c r="K1014" s="16" t="n">
        <x:v>4</x:v>
      </x:c>
      <x:c r="L1014" s="16" t="n">
        <x:v>4</x:v>
      </x:c>
      <x:c r="M1014" s="16" t="n">
        <x:v>5</x:v>
      </x:c>
      <x:c r="N1014" s="16" t="n">
        <x:v>5</x:v>
      </x:c>
      <x:c r="O1014" s="16" t="n">
        <x:v>5</x:v>
      </x:c>
      <x:c r="P1014" s="16" t="n">
        <x:f>IF(COUNT(I1014:O1014)&lt;7,"",I1014*8+J1014*3+K1014*2+L1014*2+M1014*2+N1014*2+O1014)</x:f>
        <x:v>64</x:v>
      </x:c>
      <x:c r="Q1014" s="16" t="n">
        <x:f>IF(COUNT(J1014:O1014)&lt;6,"",J1014*5+K1014*4+M1014*4+L1014*3+N1014*2+O1014*2)</x:f>
        <x:v>93</x:v>
      </x:c>
      <x:c r="R1014" s="14" t="str">
        <x:v>high</x:v>
      </x:c>
      <x:c r="S1014" s="14" t="str">
        <x:v>official_prozorro_award_2024_2026</x:v>
      </x:c>
      <x:c r="T1014" s="14" t="str">
        <x:v>official_prozorro_api</x:v>
      </x:c>
      <x:c r="U1014" s="14" t="str">
        <x:v>Не контактували</x:v>
      </x:c>
      <x:c r="V1014" s="15" t="str">
        <x:v>Workflow-audit outreach по UA-2025-09-17-012213-a; попросити 1 пакет здачі та вимоги проєкту</x:v>
      </x:c>
      <x:c r="W1014" s="15" t="str">
        <x:v>Власник / директор; керівник ПТО; відповідальний за договори</x:v>
      </x:c>
      <x:c r="X1014" s="15" t="str">
        <x:v>2 нових підтверджених перемог/договорів у Prozorro на 8 253 845 грн; 0 зі строком виконання не раніше 24.08.2026.</x:v>
      </x:c>
      <x:c r="Y1014"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 строк до 2026-04-30. Попросити один знеособлений пакет здачі за цим workflow.</x:v>
      </x:c>
      <x:c r="Z1014" s="15" t="str">
        <x:v>https://prozorro.gov.ua/tender/UA-2025-09-17-012213-a</x:v>
      </x:c>
      <x:c r="AA1014" s="14" t="str">
        <x:v>31801847</x:v>
      </x:c>
      <x:c r="AB1014" s="14" t="str">
        <x:v>2026-08-24</x:v>
      </x:c>
      <x:c r="AC1014" s="14" t="str"/>
      <x:c r="AD1014" s="20" t="str"/>
      <x:c r="AE1014" s="14" t="str"/>
      <x:c r="AF1014" s="14" t="n">
        <x:v>52</x:v>
      </x:c>
      <x:c r="AG1014" s="14" t="str">
        <x:v>I3</x:v>
      </x:c>
      <x:c r="AH1014" s="14" t="n">
        <x:v>2</x:v>
      </x:c>
      <x:c r="AI1014" s="14" t="n">
        <x:v>0</x:v>
      </x:c>
      <x:c r="AJ1014" s="18" t="n">
        <x:v>8253844.8</x:v>
      </x:c>
      <x:c r="AK1014" s="14" t="str">
        <x:v>https://prozorro.gov.ua/tender/UA-2025-09-17-012213-a</x:v>
      </x:c>
      <x:c r="AL1014" s="19" t="n">
        <x:v>45944.47334105324</x:v>
      </x:c>
      <x:c r="AM1014" s="19" t="n">
        <x:v>46142</x:v>
      </x:c>
      <x:c r="AN1014" s="15" t="str">
        <x:v>Ліфти та підйомники</x:v>
      </x:c>
      <x:c r="AO1014" s="15" t="str">
        <x:v>supplier_provided_url</x:v>
      </x:c>
    </x:row>
    <x:row r="1015">
      <x:c r="A1015" s="14" t="str">
        <x:v>W4-196</x:v>
      </x:c>
      <x:c r="B1015" s="14" t="str">
        <x:v>Prozorro expansion — 24.08</x:v>
      </x:c>
      <x:c r="C1015" s="14" t="str">
        <x:v>ТОВАРИСТВО З ОБМЕЖЕНОЮ ВІДПОВІДАЛЬНІСТЮ "ВІННИЦЯ ПРОЕКТ-БУД"</x:v>
      </x:c>
      <x:c r="D1015" s="14" t="str">
        <x:v>Зливова каналізація / дренаж</x:v>
      </x:c>
      <x:c r="E1015" s="14" t="str">
        <x:v>Expansion discovery</x:v>
      </x:c>
      <x:c r="F1015" s="17" t="str">
        <x:v>D3</x:v>
      </x:c>
      <x:c r="G1015" s="14" t="str"/>
      <x:c r="H1015" s="14" t="str">
        <x:v>Discovery розширення — 2 тижні</x:v>
      </x:c>
      <x:c r="I1015" s="16" t="n">
        <x:v>1</x:v>
      </x:c>
      <x:c r="J1015" s="16" t="n">
        <x:v>5</x:v>
      </x:c>
      <x:c r="K1015" s="16" t="n">
        <x:v>5</x:v>
      </x:c>
      <x:c r="L1015" s="16" t="n">
        <x:v>4</x:v>
      </x:c>
      <x:c r="M1015" s="16" t="n">
        <x:v>5</x:v>
      </x:c>
      <x:c r="N1015" s="16" t="n">
        <x:v>5</x:v>
      </x:c>
      <x:c r="O1015" s="16" t="n">
        <x:v>3</x:v>
      </x:c>
      <x:c r="P1015" s="16" t="n">
        <x:f>IF(COUNT(I1015:O1015)&lt;7,"",I1015*8+J1015*3+K1015*2+L1015*2+M1015*2+N1015*2+O1015)</x:f>
        <x:v>64</x:v>
      </x:c>
      <x:c r="Q1015" s="16" t="n">
        <x:f>IF(COUNT(J1015:O1015)&lt;6,"",J1015*5+K1015*4+M1015*4+L1015*3+N1015*2+O1015*2)</x:f>
        <x:v>93</x:v>
      </x:c>
      <x:c r="R1015" s="14" t="str">
        <x:v>high</x:v>
      </x:c>
      <x:c r="S1015" s="14" t="str">
        <x:v>official_prozorro_award_2024_2026</x:v>
      </x:c>
      <x:c r="T1015" s="14" t="str">
        <x:v>official_prozorro_api</x:v>
      </x:c>
      <x:c r="U1015" s="14" t="str">
        <x:v>Не контактували</x:v>
      </x:c>
      <x:c r="V1015" s="15" t="str">
        <x:v>Workflow-audit outreach по UA-2025-10-20-009451-a; попросити 1 пакет здачі та вимоги проєкту</x:v>
      </x:c>
      <x:c r="W1015" s="15" t="str">
        <x:v>Власник / директор; керівник ПТО; відповідальний за договори</x:v>
      </x:c>
      <x:c r="X1015" s="15" t="str">
        <x:v>2 нових підтверджених перемог/договорів у Prozorro на 7 013 010 грн; 0 зі строком виконання не раніше 24.08.2026.</x:v>
      </x:c>
      <x:c r="Y1015" s="15" t="str">
        <x:v>Нове будівництво зливової каналізації по вул. Винниченка в м.Козятин Хмільницького району Вінницької області (Коригування); строк до 2025-12-15. Попросити один знеособлений пакет здачі за цим workflow.</x:v>
      </x:c>
      <x:c r="Z1015" s="15" t="str">
        <x:v>https://prozorro.gov.ua/tender/UA-2025-10-20-009451-a</x:v>
      </x:c>
      <x:c r="AA1015" s="14" t="str">
        <x:v>38635748</x:v>
      </x:c>
      <x:c r="AB1015" s="14" t="str">
        <x:v>2026-08-24</x:v>
      </x:c>
      <x:c r="AC1015" s="14" t="str"/>
      <x:c r="AD1015" s="20" t="str"/>
      <x:c r="AE1015" s="14" t="str"/>
      <x:c r="AF1015" s="14" t="n">
        <x:v>52</x:v>
      </x:c>
      <x:c r="AG1015" s="14" t="str">
        <x:v>I3</x:v>
      </x:c>
      <x:c r="AH1015" s="14" t="n">
        <x:v>2</x:v>
      </x:c>
      <x:c r="AI1015" s="14" t="n">
        <x:v>0</x:v>
      </x:c>
      <x:c r="AJ1015" s="18" t="n">
        <x:v>7013010.44</x:v>
      </x:c>
      <x:c r="AK1015" s="14" t="str">
        <x:v>https://prozorro.gov.ua/tender/UA-2025-10-20-009451-a</x:v>
      </x:c>
      <x:c r="AL1015" s="19" t="n">
        <x:v>45950.483668078705</x:v>
      </x:c>
      <x:c r="AM1015" s="19" t="n">
        <x:v>46006</x:v>
      </x:c>
      <x:c r="AN1015" s="15" t="str">
        <x:v>Зливова каналізація / дренаж</x:v>
      </x:c>
      <x:c r="AO1015" s="15" t="str">
        <x:v>not_found_in_top_search</x:v>
      </x:c>
    </x:row>
    <x:row r="1016">
      <x:c r="A1016" s="14" t="str">
        <x:v>W4-197</x:v>
      </x:c>
      <x:c r="B1016" s="14" t="str">
        <x:v>Prozorro expansion — 24.08</x:v>
      </x:c>
      <x:c r="C1016" s="14" t="str">
        <x:v>ТОВ "АЙ ТІ СЕРВІС ГРУП"</x:v>
      </x:c>
      <x:c r="D1016" s="14" t="str">
        <x:v>СКС / BMS / слаботочка</x:v>
      </x:c>
      <x:c r="E1016" s="14" t="str">
        <x:v>Expansion discovery</x:v>
      </x:c>
      <x:c r="F1016" s="17" t="str">
        <x:v>D3</x:v>
      </x:c>
      <x:c r="G1016" s="14" t="str"/>
      <x:c r="H1016" s="14" t="str">
        <x:v>Discovery розширення — 2 тижні</x:v>
      </x:c>
      <x:c r="I1016" s="16" t="n">
        <x:v>2</x:v>
      </x:c>
      <x:c r="J1016" s="16" t="n">
        <x:v>5</x:v>
      </x:c>
      <x:c r="K1016" s="16" t="n">
        <x:v>4</x:v>
      </x:c>
      <x:c r="L1016" s="16" t="n">
        <x:v>4</x:v>
      </x:c>
      <x:c r="M1016" s="16" t="n">
        <x:v>5</x:v>
      </x:c>
      <x:c r="N1016" s="16" t="n">
        <x:v>5</x:v>
      </x:c>
      <x:c r="O1016" s="16" t="n">
        <x:v>3</x:v>
      </x:c>
      <x:c r="P1016" s="16" t="n">
        <x:f>IF(COUNT(I1016:O1016)&lt;7,"",I1016*8+J1016*3+K1016*2+L1016*2+M1016*2+N1016*2+O1016)</x:f>
        <x:v>70</x:v>
      </x:c>
      <x:c r="Q1016" s="16" t="n">
        <x:f>IF(COUNT(J1016:O1016)&lt;6,"",J1016*5+K1016*4+M1016*4+L1016*3+N1016*2+O1016*2)</x:f>
        <x:v>89</x:v>
      </x:c>
      <x:c r="R1016" s="14" t="str">
        <x:v>high</x:v>
      </x:c>
      <x:c r="S1016" s="14" t="str">
        <x:v>official_prozorro_award_2024_2026</x:v>
      </x:c>
      <x:c r="T1016" s="14" t="str">
        <x:v>official_prozorro_api</x:v>
      </x:c>
      <x:c r="U1016" s="14" t="str">
        <x:v>Не контактували</x:v>
      </x:c>
      <x:c r="V1016" s="15" t="str">
        <x:v>Workflow-audit outreach по UA-2025-06-20-010429-a; попросити 1 пакет здачі та вимоги проєкту</x:v>
      </x:c>
      <x:c r="W1016" s="15" t="str">
        <x:v>Власник / директор; керівник ПТО; відповідальний за договори</x:v>
      </x:c>
      <x:c r="X1016" s="15" t="str">
        <x:v>2 нових підтверджених перемог/договорів у Prozorro на 6 244 000 грн; 0 зі строком виконання не раніше 24.08.2026.</x:v>
      </x:c>
      <x:c r="Y1016" s="15" t="str">
        <x:v>Послуги з монтажу/демонтажу структурованих кабельних систем (основний постачальник) (ID тендера на "tender.privatbank.ua": PB-2025-05-05-3062054) (Звіт про укладення договору); строк до 2026-06-18. Попросити один знеособлений пакет здачі за цим workflow.</x:v>
      </x:c>
      <x:c r="Z1016" s="15" t="str">
        <x:v>https://prozorro.gov.ua/tender/UA-2025-06-20-010429-a</x:v>
      </x:c>
      <x:c r="AA1016" s="14" t="str">
        <x:v>39719320</x:v>
      </x:c>
      <x:c r="AB1016" s="14" t="str">
        <x:v>2026-08-24</x:v>
      </x:c>
      <x:c r="AC1016" s="14" t="str"/>
      <x:c r="AD1016" s="20" t="str"/>
      <x:c r="AE1016" s="14" t="str"/>
      <x:c r="AF1016" s="14" t="n">
        <x:v>52</x:v>
      </x:c>
      <x:c r="AG1016" s="14" t="str">
        <x:v>I3</x:v>
      </x:c>
      <x:c r="AH1016" s="14" t="n">
        <x:v>2</x:v>
      </x:c>
      <x:c r="AI1016" s="14" t="n">
        <x:v>0</x:v>
      </x:c>
      <x:c r="AJ1016" s="18" t="n">
        <x:v>6244000</x:v>
      </x:c>
      <x:c r="AK1016" s="14" t="str">
        <x:v>https://prozorro.gov.ua/tender/UA-2025-06-20-010429-a</x:v>
      </x:c>
      <x:c r="AL1016" s="19" t="n">
        <x:v>45828.52449840278</x:v>
      </x:c>
      <x:c r="AM1016" s="19" t="n">
        <x:v>46191</x:v>
      </x:c>
      <x:c r="AN1016" s="15" t="str">
        <x:v>СКС / BMS / слаботочка</x:v>
      </x:c>
      <x:c r="AO1016" s="15" t="str">
        <x:v>not_found_in_top_search</x:v>
      </x:c>
    </x:row>
    <x:row r="1017">
      <x:c r="A1017" s="14" t="str">
        <x:v>W4-198</x:v>
      </x:c>
      <x:c r="B1017" s="14" t="str">
        <x:v>Prozorro expansion — 24.08</x:v>
      </x:c>
      <x:c r="C1017" s="14" t="str">
        <x:v>АКЦІОНЕРНЕ ТОВАРИСТВО "ХАРКІВОБЛЕНЕРГО"</x:v>
      </x:c>
      <x:c r="D1017" s="14" t="str">
        <x:v>Підстанції / силові мережі</x:v>
      </x:c>
      <x:c r="E1017" s="14" t="str">
        <x:v>Pilot now</x:v>
      </x:c>
      <x:c r="F1017" s="17" t="str">
        <x:v>P3</x:v>
      </x:c>
      <x:c r="G1017" s="14" t="str">
        <x:v>oblenergo.kharkov.ua</x:v>
      </x:c>
      <x:c r="H1017" s="14" t="str">
        <x:v>Пілот зараз — Н.15 subset</x:v>
      </x:c>
      <x:c r="I1017" s="16" t="n">
        <x:v>4</x:v>
      </x:c>
      <x:c r="J1017" s="16" t="n">
        <x:v>5</x:v>
      </x:c>
      <x:c r="K1017" s="16" t="n">
        <x:v>5</x:v>
      </x:c>
      <x:c r="L1017" s="16" t="n">
        <x:v>4</x:v>
      </x:c>
      <x:c r="M1017" s="16" t="n">
        <x:v>5</x:v>
      </x:c>
      <x:c r="N1017" s="16" t="n">
        <x:v>5</x:v>
      </x:c>
      <x:c r="O1017" s="16" t="n">
        <x:v>5</x:v>
      </x:c>
      <x:c r="P1017" s="16" t="n">
        <x:f>IF(COUNT(I1017:O1017)&lt;7,"",I1017*8+J1017*3+K1017*2+L1017*2+M1017*2+N1017*2+O1017)</x:f>
        <x:v>90</x:v>
      </x:c>
      <x:c r="Q1017" s="16" t="n">
        <x:f>IF(COUNT(J1017:O1017)&lt;6,"",J1017*5+K1017*4+M1017*4+L1017*3+N1017*2+O1017*2)</x:f>
        <x:v>97</x:v>
      </x:c>
      <x:c r="R1017" s="14" t="str">
        <x:v>high</x:v>
      </x:c>
      <x:c r="S1017" s="14" t="str">
        <x:v>official_prozorro_award_2024_2026</x:v>
      </x:c>
      <x:c r="T1017" s="14" t="str">
        <x:v>official_prozorro_api</x:v>
      </x:c>
      <x:c r="U1017" s="14" t="str">
        <x:v>Не контактували</x:v>
      </x:c>
      <x:c r="V1017" s="15" t="str">
        <x:v>Персоналізований free-pilot outreach по UA-2025-09-15-010654-a; попросити 1 пакет Н.14/Н.15</x:v>
      </x:c>
      <x:c r="W1017" s="15" t="str">
        <x:v>Власник / директор; керівник ПТО; відповідальний за договори</x:v>
      </x:c>
      <x:c r="X1017" s="15" t="str">
        <x:v>2 нових підтверджених перемог/договорів у Prozorro на 5 172 713 грн; 0 зі строком виконання не раніше 24.08.2026.</x:v>
      </x:c>
      <x:c r="Y1017" s="15" t="str">
        <x:v>Тимчасове приєднання до електричних мереж ОСР: «Реконструкція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строк до 2025-12-31. Попросити один знеособлений пакет здачі за цим workflow.</x:v>
      </x:c>
      <x:c r="Z1017" s="15" t="str">
        <x:v>https://prozorro.gov.ua/tender/UA-2025-09-15-010654-a</x:v>
      </x:c>
      <x:c r="AA1017" s="14" t="str">
        <x:v>00131954</x:v>
      </x:c>
      <x:c r="AB1017" s="14" t="str">
        <x:v>2026-08-24</x:v>
      </x:c>
      <x:c r="AC1017" s="14" t="str"/>
      <x:c r="AD1017" s="20" t="str"/>
      <x:c r="AE1017" s="14" t="str"/>
      <x:c r="AF1017" s="14" t="n">
        <x:v>52</x:v>
      </x:c>
      <x:c r="AG1017" s="14" t="str">
        <x:v>I3</x:v>
      </x:c>
      <x:c r="AH1017" s="14" t="n">
        <x:v>2</x:v>
      </x:c>
      <x:c r="AI1017" s="14" t="n">
        <x:v>0</x:v>
      </x:c>
      <x:c r="AJ1017" s="18" t="n">
        <x:v>5172713</x:v>
      </x:c>
      <x:c r="AK1017" s="14" t="str">
        <x:v>https://prozorro.gov.ua/tender/UA-2025-09-15-010654-a</x:v>
      </x:c>
      <x:c r="AL1017" s="19" t="n">
        <x:v>45915.53555408565</x:v>
      </x:c>
      <x:c r="AM1017" s="19" t="n">
        <x:v>46022.916655092595</x:v>
      </x:c>
      <x:c r="AN1017" s="15" t="str">
        <x:v>Підстанції / силові мережі</x:v>
      </x:c>
      <x:c r="AO1017" s="15" t="str">
        <x:v>supplier_provided_url</x:v>
      </x:c>
    </x:row>
    <x:row r="1018">
      <x:c r="A1018" s="14" t="str">
        <x:v>W4-199</x:v>
      </x:c>
      <x:c r="B1018" s="14" t="str">
        <x:v>Prozorro expansion — 24.08</x:v>
      </x:c>
      <x:c r="C1018" s="14" t="str">
        <x:v>ТОВАРИСТВО З ОБМЕЖЕНОЮ ВІДПОВІДАЛЬНІСТЮ "ОХОРОННО-ПОЖЕЖНИЙ ЗАХИСТ"</x:v>
      </x:c>
      <x:c r="D1018" s="14" t="str">
        <x:v>Пожежогасіння</x:v>
      </x:c>
      <x:c r="E1018" s="14" t="str">
        <x:v>Expansion discovery</x:v>
      </x:c>
      <x:c r="F1018" s="17" t="str">
        <x:v>D3</x:v>
      </x:c>
      <x:c r="G1018" s="14" t="str"/>
      <x:c r="H1018" s="14" t="str">
        <x:v>Discovery розширення — 2 тижні</x:v>
      </x:c>
      <x:c r="I1018" s="16" t="n">
        <x:v>1</x:v>
      </x:c>
      <x:c r="J1018" s="16" t="n">
        <x:v>5</x:v>
      </x:c>
      <x:c r="K1018" s="16" t="n">
        <x:v>5</x:v>
      </x:c>
      <x:c r="L1018" s="16" t="n">
        <x:v>4</x:v>
      </x:c>
      <x:c r="M1018" s="16" t="n">
        <x:v>5</x:v>
      </x:c>
      <x:c r="N1018" s="16" t="n">
        <x:v>5</x:v>
      </x:c>
      <x:c r="O1018" s="16" t="n">
        <x:v>3</x:v>
      </x:c>
      <x:c r="P1018" s="16" t="n">
        <x:f>IF(COUNT(I1018:O1018)&lt;7,"",I1018*8+J1018*3+K1018*2+L1018*2+M1018*2+N1018*2+O1018)</x:f>
        <x:v>64</x:v>
      </x:c>
      <x:c r="Q1018" s="16" t="n">
        <x:f>IF(COUNT(J1018:O1018)&lt;6,"",J1018*5+K1018*4+M1018*4+L1018*3+N1018*2+O1018*2)</x:f>
        <x:v>93</x:v>
      </x:c>
      <x:c r="R1018" s="14" t="str">
        <x:v>high</x:v>
      </x:c>
      <x:c r="S1018" s="14" t="str">
        <x:v>official_prozorro_award_2024_2026</x:v>
      </x:c>
      <x:c r="T1018" s="14" t="str">
        <x:v>official_prozorro_api</x:v>
      </x:c>
      <x:c r="U1018" s="14" t="str">
        <x:v>Не контактували</x:v>
      </x:c>
      <x:c r="V1018" s="15" t="str">
        <x:v>Workflow-audit outreach по UA-2025-08-04-002856-a; попросити 1 пакет здачі та вимоги проєкту</x:v>
      </x:c>
      <x:c r="W1018" s="15" t="str">
        <x:v>Власник / директор; керівник ПТО; відповідальний за договори</x:v>
      </x:c>
      <x:c r="X1018" s="15" t="str">
        <x:v>2 нових підтверджених перемог/договорів у Prozorro на 2 002 000 грн; 0 зі строком виконання не раніше 24.08.2026.</x:v>
      </x:c>
      <x:c r="Y1018" s="15" t="str">
        <x:v>Монтаж системи пожежної сигналізації, системи керування евакуюванням в частині оповіщення про пожежу та системи автоматичного пожежогасіння в приміщеннях поліклініки, лікарні та аптеки, що розташовані за адресою: м. Кропивницький, вул. Героїв-рятувальників (Волкова), 3. Капітальний ремонт системи протипожежного захисту будівлі ДУ «ТМО МВС України по Кіровоградській області»
код за Єдиним закупівельним словником 45310000-3 Електромонтажні роботи; строк до 2025-11-28. Попросити один знеособлений пакет здачі за цим workflow.</x:v>
      </x:c>
      <x:c r="Z1018" s="15" t="str">
        <x:v>https://prozorro.gov.ua/tender/UA-2025-08-04-002856-a</x:v>
      </x:c>
      <x:c r="AA1018" s="14" t="str">
        <x:v>41274114</x:v>
      </x:c>
      <x:c r="AB1018" s="14" t="str">
        <x:v>2026-08-24</x:v>
      </x:c>
      <x:c r="AC1018" s="14" t="str"/>
      <x:c r="AD1018" s="20" t="str"/>
      <x:c r="AE1018" s="14" t="str"/>
      <x:c r="AF1018" s="14" t="n">
        <x:v>52</x:v>
      </x:c>
      <x:c r="AG1018" s="14" t="str">
        <x:v>I3</x:v>
      </x:c>
      <x:c r="AH1018" s="14" t="n">
        <x:v>2</x:v>
      </x:c>
      <x:c r="AI1018" s="14" t="n">
        <x:v>0</x:v>
      </x:c>
      <x:c r="AJ1018" s="18" t="n">
        <x:v>2002000</x:v>
      </x:c>
      <x:c r="AK1018" s="14" t="str">
        <x:v>https://prozorro.gov.ua/tender/UA-2025-08-04-002856-a</x:v>
      </x:c>
      <x:c r="AL1018" s="19" t="n">
        <x:v>45903.44850763889</x:v>
      </x:c>
      <x:c r="AM1018" s="19" t="n">
        <x:v>45989</x:v>
      </x:c>
      <x:c r="AN1018" s="15" t="str">
        <x:v>Пожежогасіння</x:v>
      </x:c>
      <x:c r="AO1018" s="15" t="str">
        <x:v>not_found_in_top_search</x:v>
      </x:c>
    </x:row>
    <x:row r="1019">
      <x:c r="A1019" s="14" t="str">
        <x:v>W4-200</x:v>
      </x:c>
      <x:c r="B1019" s="14" t="str">
        <x:v>Prozorro expansion — 24.08</x:v>
      </x:c>
      <x:c r="C1019" s="14" t="str">
        <x:v>ТОВАРИСТВО З ОБМЕЖЕНОЮ ВІДПОВІДАЛЬНІСТЮ "АВАНТБУД МОНТАЖ"</x:v>
      </x:c>
      <x:c r="D1019" s="14" t="str">
        <x:v>Металоконструкції</x:v>
      </x:c>
      <x:c r="E1019" s="14" t="str">
        <x:v>Expansion discovery</x:v>
      </x:c>
      <x:c r="F1019" s="17" t="str">
        <x:v>D3</x:v>
      </x:c>
      <x:c r="G1019" s="14" t="str"/>
      <x:c r="H1019" s="14" t="str">
        <x:v>Discovery розширення — 2 тижні</x:v>
      </x:c>
      <x:c r="I1019" s="16" t="n">
        <x:v>1</x:v>
      </x:c>
      <x:c r="J1019" s="16" t="n">
        <x:v>5</x:v>
      </x:c>
      <x:c r="K1019" s="16" t="n">
        <x:v>5</x:v>
      </x:c>
      <x:c r="L1019" s="16" t="n">
        <x:v>2</x:v>
      </x:c>
      <x:c r="M1019" s="16" t="n">
        <x:v>5</x:v>
      </x:c>
      <x:c r="N1019" s="16" t="n">
        <x:v>5</x:v>
      </x:c>
      <x:c r="O1019" s="16" t="n">
        <x:v>3</x:v>
      </x:c>
      <x:c r="P1019" s="16" t="n">
        <x:f>IF(COUNT(I1019:O1019)&lt;7,"",I1019*8+J1019*3+K1019*2+L1019*2+M1019*2+N1019*2+O1019)</x:f>
        <x:v>60</x:v>
      </x:c>
      <x:c r="Q1019" s="16" t="n">
        <x:f>IF(COUNT(J1019:O1019)&lt;6,"",J1019*5+K1019*4+M1019*4+L1019*3+N1019*2+O1019*2)</x:f>
        <x:v>87</x:v>
      </x:c>
      <x:c r="R1019" s="14" t="str">
        <x:v>high</x:v>
      </x:c>
      <x:c r="S1019" s="14" t="str">
        <x:v>official_prozorro_award_2024_2026</x:v>
      </x:c>
      <x:c r="T1019" s="14" t="str">
        <x:v>official_prozorro_api</x:v>
      </x:c>
      <x:c r="U1019" s="14" t="str">
        <x:v>Не контактували</x:v>
      </x:c>
      <x:c r="V1019" s="15" t="str">
        <x:v>Повторне звернення з новим тендерним сигналом UA-2024-03-22-005432-a; попросити 1 пакет здачі</x:v>
      </x:c>
      <x:c r="W1019" s="15" t="str">
        <x:v>Власник / директор; керівник ПТО; відповідальний за договори</x:v>
      </x:c>
      <x:c r="X1019" s="15" t="str">
        <x:v>2 нових підтверджених перемог/договорів у Prozorro на 399 247 грн; 0 зі строком виконання не раніше 24.08.2026.</x:v>
      </x:c>
      <x:c r="Y1019" s="15" t="str">
        <x:v>Роботи по об'єкту: Монтаж металоконструкцій в приміщенні T-II Управління поліції охорони в Сумській області; строк до 2025-12-31. Попросити один знеособлений пакет здачі за цим workflow.</x:v>
      </x:c>
      <x:c r="Z1019" s="15" t="str">
        <x:v>https://prozorro.gov.ua/tender/UA-2025-12-30-004471-a</x:v>
      </x:c>
      <x:c r="AA1019" s="14" t="str">
        <x:v>42802345</x:v>
      </x:c>
      <x:c r="AB1019" s="14" t="str">
        <x:v>2026-08-24</x:v>
      </x:c>
      <x:c r="AC1019" s="14" t="str"/>
      <x:c r="AD1019" s="20" t="str"/>
      <x:c r="AE1019" s="14" t="str"/>
      <x:c r="AF1019" s="14" t="n">
        <x:v>52</x:v>
      </x:c>
      <x:c r="AG1019" s="14" t="str">
        <x:v>I3</x:v>
      </x:c>
      <x:c r="AH1019" s="14" t="n">
        <x:v>3</x:v>
      </x:c>
      <x:c r="AI1019" s="14" t="n">
        <x:v>0</x:v>
      </x:c>
      <x:c r="AJ1019" s="18" t="n">
        <x:v>536820.49</x:v>
      </x:c>
      <x:c r="AK1019" s="14" t="str">
        <x:v>https://prozorro.gov.ua/tender/UA-2024-03-22-005432-a</x:v>
      </x:c>
      <x:c r="AL1019" s="19" t="n">
        <x:v>45373.43391733796</x:v>
      </x:c>
      <x:c r="AM1019" s="19" t="n">
        <x:v>45427</x:v>
      </x:c>
      <x:c r="AN1019" s="15" t="str">
        <x:v>Металоконструкції; Ремонт і підсилення бетону</x:v>
      </x:c>
      <x:c r="AO1019" s="15" t="str">
        <x:v>not_found_in_top_search</x:v>
      </x:c>
    </x:row>
    <x:row r="1020">
      <x:c r="A1020" s="14" t="str">
        <x:v>W4-201</x:v>
      </x:c>
      <x:c r="B1020" s="14" t="str">
        <x:v>Prozorro expansion — 24.08</x:v>
      </x:c>
      <x:c r="C1020" s="14" t="str">
        <x:v>КОЛЕКТИВНЕ ПІДПРИЄМСТВО "ЗОДЧИЙ"</x:v>
      </x:c>
      <x:c r="D1020" s="14" t="str">
        <x:v>Водоочищення / очисні споруди</x:v>
      </x:c>
      <x:c r="E1020" s="14" t="str">
        <x:v>Expansion discovery</x:v>
      </x:c>
      <x:c r="F1020" s="17" t="str">
        <x:v>D3</x:v>
      </x:c>
      <x:c r="G1020" s="14" t="str"/>
      <x:c r="H1020" s="14" t="str">
        <x:v>Discovery розширення — 2 тижні</x:v>
      </x:c>
      <x:c r="I1020" s="16" t="n">
        <x:v>1</x:v>
      </x:c>
      <x:c r="J1020" s="16" t="n">
        <x:v>5</x:v>
      </x:c>
      <x:c r="K1020" s="16" t="n">
        <x:v>4</x:v>
      </x:c>
      <x:c r="L1020" s="16" t="n">
        <x:v>2</x:v>
      </x:c>
      <x:c r="M1020" s="16" t="n">
        <x:v>5</x:v>
      </x:c>
      <x:c r="N1020" s="16" t="n">
        <x:v>5</x:v>
      </x:c>
      <x:c r="O1020" s="16" t="n">
        <x:v>3</x:v>
      </x:c>
      <x:c r="P1020" s="16" t="n">
        <x:f>IF(COUNT(I1020:O1020)&lt;7,"",I1020*8+J1020*3+K1020*2+L1020*2+M1020*2+N1020*2+O1020)</x:f>
        <x:v>58</x:v>
      </x:c>
      <x:c r="Q1020" s="16" t="n">
        <x:f>IF(COUNT(J1020:O1020)&lt;6,"",J1020*5+K1020*4+M1020*4+L1020*3+N1020*2+O1020*2)</x:f>
        <x:v>83</x:v>
      </x:c>
      <x:c r="R1020" s="14" t="str">
        <x:v>high</x:v>
      </x:c>
      <x:c r="S1020" s="14" t="str">
        <x:v>official_prozorro_award_2024_2026</x:v>
      </x:c>
      <x:c r="T1020" s="14" t="str">
        <x:v>official_prozorro_api</x:v>
      </x:c>
      <x:c r="U1020" s="14" t="str">
        <x:v>Не контактували</x:v>
      </x:c>
      <x:c r="V1020" s="15" t="str">
        <x:v>Workflow-audit outreach по UA-2026-03-16-001854-a; попросити 1 пакет здачі та вимоги проєкту</x:v>
      </x:c>
      <x:c r="W1020" s="15" t="str">
        <x:v>Власник / директор; керівник ПТО; відповідальний за договори</x:v>
      </x:c>
      <x:c r="X1020" s="15" t="str">
        <x:v>2 нових підтверджених перемог/договорів у Prozorro на 392 571 грн; 1 зі строком виконання не раніше 24.08.2026.</x:v>
      </x:c>
      <x:c r="Y1020"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 строк до 2026-12-31. Попросити один знеособлений пакет здачі за цим workflow.</x:v>
      </x:c>
      <x:c r="Z1020" s="15" t="str">
        <x:v>https://prozorro.gov.ua/tender/UA-2026-03-16-001854-a</x:v>
      </x:c>
      <x:c r="AA1020" s="14" t="str">
        <x:v>00690565</x:v>
      </x:c>
      <x:c r="AB1020" s="14" t="str">
        <x:v>2026-08-24</x:v>
      </x:c>
      <x:c r="AC1020" s="14" t="str"/>
      <x:c r="AD1020" s="20" t="str"/>
      <x:c r="AE1020" s="14" t="str"/>
      <x:c r="AF1020" s="14" t="n">
        <x:v>52</x:v>
      </x:c>
      <x:c r="AG1020" s="14" t="str">
        <x:v>I3</x:v>
      </x:c>
      <x:c r="AH1020" s="14" t="n">
        <x:v>2</x:v>
      </x:c>
      <x:c r="AI1020" s="14" t="n">
        <x:v>1</x:v>
      </x:c>
      <x:c r="AJ1020" s="18" t="n">
        <x:v>392571.12</x:v>
      </x:c>
      <x:c r="AK1020" s="14" t="str">
        <x:v>https://prozorro.gov.ua/tender/UA-2026-03-16-001854-a</x:v>
      </x:c>
      <x:c r="AL1020" s="19" t="n">
        <x:v>46097.34537703704</x:v>
      </x:c>
      <x:c r="AM1020" s="19" t="n">
        <x:v>46387</x:v>
      </x:c>
      <x:c r="AN1020" s="15" t="str">
        <x:v>Водоочищення / очисні споруди</x:v>
      </x:c>
      <x:c r="AO1020" s="15" t="str">
        <x:v>not_found_in_top_search</x:v>
      </x:c>
    </x:row>
    <x:row r="1021">
      <x:c r="A1021" s="14" t="str">
        <x:v>W4-202</x:v>
      </x:c>
      <x:c r="B1021" s="14" t="str">
        <x:v>Prozorro expansion — 24.08</x:v>
      </x:c>
      <x:c r="C1021" s="14" t="str">
        <x:v>ФОП "Коврига Алла Сергіївна"</x:v>
      </x:c>
      <x:c r="D1021" s="14" t="str">
        <x:v>Внутрішні сантехнічні системи</x:v>
      </x:c>
      <x:c r="E1021" s="14" t="str">
        <x:v>Pilot now</x:v>
      </x:c>
      <x:c r="F1021" s="17" t="str">
        <x:v>P3</x:v>
      </x:c>
      <x:c r="G1021" s="14" t="str"/>
      <x:c r="H1021" s="14" t="str">
        <x:v>Пілот зараз — Н.14</x:v>
      </x:c>
      <x:c r="I1021" s="16" t="n">
        <x:v>5</x:v>
      </x:c>
      <x:c r="J1021" s="16" t="n">
        <x:v>5</x:v>
      </x:c>
      <x:c r="K1021" s="16" t="n">
        <x:v>4</x:v>
      </x:c>
      <x:c r="L1021" s="16" t="n">
        <x:v>2</x:v>
      </x:c>
      <x:c r="M1021" s="16" t="n">
        <x:v>5</x:v>
      </x:c>
      <x:c r="N1021" s="16" t="n">
        <x:v>3</x:v>
      </x:c>
      <x:c r="O1021" s="16" t="n">
        <x:v>3</x:v>
      </x:c>
      <x:c r="P1021" s="16" t="n">
        <x:f>IF(COUNT(I1021:O1021)&lt;7,"",I1021*8+J1021*3+K1021*2+L1021*2+M1021*2+N1021*2+O1021)</x:f>
        <x:v>86</x:v>
      </x:c>
      <x:c r="Q1021" s="16" t="n">
        <x:f>IF(COUNT(J1021:O1021)&lt;6,"",J1021*5+K1021*4+M1021*4+L1021*3+N1021*2+O1021*2)</x:f>
        <x:v>79</x:v>
      </x:c>
      <x:c r="R1021" s="14" t="str">
        <x:v>high</x:v>
      </x:c>
      <x:c r="S1021" s="14" t="str">
        <x:v>official_prozorro_award_2024_2026</x:v>
      </x:c>
      <x:c r="T1021" s="14" t="str">
        <x:v>official_prozorro_api</x:v>
      </x:c>
      <x:c r="U1021" s="14" t="str">
        <x:v>Не контактували</x:v>
      </x:c>
      <x:c r="V1021" s="15" t="str">
        <x:v>Персоналізований free-pilot outreach по UA-2026-04-20-007432-a; попросити 1 пакет Н.14/Н.15</x:v>
      </x:c>
      <x:c r="W1021" s="15" t="str">
        <x:v>Власник / виконавець; відповідальний за договір</x:v>
      </x:c>
      <x:c r="X1021" s="15" t="str">
        <x:v>2 нових підтверджених перемог/договорів у Prozorro на 283 471 грн; 1 зі строком виконання не раніше 24.08.2026.</x:v>
      </x:c>
      <x:c r="Y1021"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 строк до 2026-12-31. Попросити один знеособлений пакет здачі за цим workflow.</x:v>
      </x:c>
      <x:c r="Z1021" s="15" t="str">
        <x:v>https://prozorro.gov.ua/tender/UA-2026-04-20-007432-a</x:v>
      </x:c>
      <x:c r="AA1021" s="14" t="str">
        <x:v>2955915181</x:v>
      </x:c>
      <x:c r="AB1021" s="14" t="str">
        <x:v>2026-08-24</x:v>
      </x:c>
      <x:c r="AC1021" s="14" t="str"/>
      <x:c r="AD1021" s="20" t="str"/>
      <x:c r="AE1021" s="14" t="str"/>
      <x:c r="AF1021" s="14" t="n">
        <x:v>52</x:v>
      </x:c>
      <x:c r="AG1021" s="14" t="str">
        <x:v>I3</x:v>
      </x:c>
      <x:c r="AH1021" s="14" t="n">
        <x:v>2</x:v>
      </x:c>
      <x:c r="AI1021" s="14" t="n">
        <x:v>1</x:v>
      </x:c>
      <x:c r="AJ1021" s="18" t="n">
        <x:v>283470.86</x:v>
      </x:c>
      <x:c r="AK1021" s="14" t="str">
        <x:v>https://prozorro.gov.ua/tender/UA-2026-04-20-007432-a</x:v>
      </x:c>
      <x:c r="AL1021" s="19" t="n">
        <x:v>46132.47215336806</x:v>
      </x:c>
      <x:c r="AM1021" s="19" t="n">
        <x:v>46387</x:v>
      </x:c>
      <x:c r="AN1021" s="15" t="str">
        <x:v>Внутрішні сантехнічні системи</x:v>
      </x:c>
      <x:c r="AO1021" s="15" t="str">
        <x:v>not_found_in_top_search</x:v>
      </x:c>
    </x:row>
    <x:row r="1022">
      <x:c r="A1022" s="14" t="str">
        <x:v>W4-203</x:v>
      </x:c>
      <x:c r="B1022" s="14" t="str">
        <x:v>Prozorro expansion — 24.08</x:v>
      </x:c>
      <x:c r="C1022" s="14" t="str">
        <x:v>ТОВАРИСТВО З ОБМЕЖЕНОЮ ВІДПОВІДАЛЬНІСТЮ "ЕЛ-КОМ СЕРВІС"</x:v>
      </x:c>
      <x:c r="D1022" s="14" t="str">
        <x:v>Пасивний вогнезахист</x:v>
      </x:c>
      <x:c r="E1022" s="14" t="str">
        <x:v>Expansion discovery</x:v>
      </x:c>
      <x:c r="F1022" s="17" t="str">
        <x:v>D3</x:v>
      </x:c>
      <x:c r="G1022" s="14" t="str"/>
      <x:c r="H1022" s="14" t="str">
        <x:v>Discovery розширення — 2 тижні</x:v>
      </x:c>
      <x:c r="I1022" s="16" t="n">
        <x:v>1</x:v>
      </x:c>
      <x:c r="J1022" s="16" t="n">
        <x:v>5</x:v>
      </x:c>
      <x:c r="K1022" s="16" t="n">
        <x:v>5</x:v>
      </x:c>
      <x:c r="L1022" s="16" t="n">
        <x:v>1</x:v>
      </x:c>
      <x:c r="M1022" s="16" t="n">
        <x:v>5</x:v>
      </x:c>
      <x:c r="N1022" s="16" t="n">
        <x:v>5</x:v>
      </x:c>
      <x:c r="O1022" s="16" t="n">
        <x:v>3</x:v>
      </x:c>
      <x:c r="P1022" s="16" t="n">
        <x:f>IF(COUNT(I1022:O1022)&lt;7,"",I1022*8+J1022*3+K1022*2+L1022*2+M1022*2+N1022*2+O1022)</x:f>
        <x:v>58</x:v>
      </x:c>
      <x:c r="Q1022" s="16" t="n">
        <x:f>IF(COUNT(J1022:O1022)&lt;6,"",J1022*5+K1022*4+M1022*4+L1022*3+N1022*2+O1022*2)</x:f>
        <x:v>84</x:v>
      </x:c>
      <x:c r="R1022" s="14" t="str">
        <x:v>high</x:v>
      </x:c>
      <x:c r="S1022" s="14" t="str">
        <x:v>official_prozorro_award_2024_2026</x:v>
      </x:c>
      <x:c r="T1022" s="14" t="str">
        <x:v>official_prozorro_api</x:v>
      </x:c>
      <x:c r="U1022" s="14" t="str">
        <x:v>Не контактували</x:v>
      </x:c>
      <x:c r="V1022" s="15" t="str">
        <x:v>Workflow-audit outreach по UA-2026-08-03-005363-a; попросити 1 пакет здачі та вимоги проєкту</x:v>
      </x:c>
      <x:c r="W1022" s="15" t="str">
        <x:v>Власник / директор; керівник ПТО; відповідальний за договори</x:v>
      </x:c>
      <x:c r="X1022" s="15" t="str">
        <x:v>1 нових підтверджених перемог/договорів у Prozorro на 100 000 грн; 1 зі строком виконання не раніше 24.08.2026.</x:v>
      </x:c>
      <x:c r="Y1022" s="15" t="str">
        <x:v>Послуги з обробки (просоченню) вогнезахисними сумішами дерев'яних конструкцій горищних приміщень ДК 021:2015 77220000-8(Послуги з просочування деревини); строк до 2026-12-31. Попросити один знеособлений пакет здачі за цим workflow.</x:v>
      </x:c>
      <x:c r="Z1022" s="15" t="str">
        <x:v>https://prozorro.gov.ua/tender/UA-2026-08-03-005363-a</x:v>
      </x:c>
      <x:c r="AA1022" s="14" t="str">
        <x:v>37509034</x:v>
      </x:c>
      <x:c r="AB1022" s="14" t="str">
        <x:v>2026-08-24</x:v>
      </x:c>
      <x:c r="AC1022" s="14" t="str"/>
      <x:c r="AD1022" s="20" t="str"/>
      <x:c r="AE1022" s="14" t="str"/>
      <x:c r="AF1022" s="14" t="n">
        <x:v>52</x:v>
      </x:c>
      <x:c r="AG1022" s="14" t="str">
        <x:v>I3</x:v>
      </x:c>
      <x:c r="AH1022" s="14" t="n">
        <x:v>1</x:v>
      </x:c>
      <x:c r="AI1022" s="14" t="n">
        <x:v>1</x:v>
      </x:c>
      <x:c r="AJ1022" s="18" t="n">
        <x:v>99999.58</x:v>
      </x:c>
      <x:c r="AK1022" s="14" t="str">
        <x:v>https://prozorro.gov.ua/tender/UA-2026-08-03-005363-a</x:v>
      </x:c>
      <x:c r="AL1022" s="19" t="n">
        <x:v>46237.43174412037</x:v>
      </x:c>
      <x:c r="AM1022" s="19" t="n">
        <x:v>46387</x:v>
      </x:c>
      <x:c r="AN1022" s="15" t="str">
        <x:v>Пасивний вогнезахист</x:v>
      </x:c>
      <x:c r="AO1022" s="15" t="str">
        <x:v>not_found_in_top_search</x:v>
      </x:c>
    </x:row>
    <x:row r="1023">
      <x:c r="A1023" s="14" t="str">
        <x:v>W4-204</x:v>
      </x:c>
      <x:c r="B1023" s="14" t="str">
        <x:v>Prozorro expansion — 24.08</x:v>
      </x:c>
      <x:c r="C1023" s="14" t="str">
        <x:v>ПРИВАТНЕ ВИРОБНИЧО-ПОБУТОВЕ МАЛЕ ПІДПРИЄМСТВО "ЗАГРАВА"</x:v>
      </x:c>
      <x:c r="D1023" s="14" t="str">
        <x:v>Пасивний вогнезахист</x:v>
      </x:c>
      <x:c r="E1023" s="14" t="str">
        <x:v>Expansion discovery</x:v>
      </x:c>
      <x:c r="F1023" s="17" t="str">
        <x:v>D3</x:v>
      </x:c>
      <x:c r="G1023" s="14" t="str"/>
      <x:c r="H1023" s="14" t="str">
        <x:v>Discovery розширення — 2 тижні</x:v>
      </x:c>
      <x:c r="I1023" s="16" t="n">
        <x:v>1</x:v>
      </x:c>
      <x:c r="J1023" s="16" t="n">
        <x:v>5</x:v>
      </x:c>
      <x:c r="K1023" s="16" t="n">
        <x:v>5</x:v>
      </x:c>
      <x:c r="L1023" s="16" t="n">
        <x:v>1</x:v>
      </x:c>
      <x:c r="M1023" s="16" t="n">
        <x:v>5</x:v>
      </x:c>
      <x:c r="N1023" s="16" t="n">
        <x:v>5</x:v>
      </x:c>
      <x:c r="O1023" s="16" t="n">
        <x:v>3</x:v>
      </x:c>
      <x:c r="P1023" s="16" t="n">
        <x:f>IF(COUNT(I1023:O1023)&lt;7,"",I1023*8+J1023*3+K1023*2+L1023*2+M1023*2+N1023*2+O1023)</x:f>
        <x:v>58</x:v>
      </x:c>
      <x:c r="Q1023" s="16" t="n">
        <x:f>IF(COUNT(J1023:O1023)&lt;6,"",J1023*5+K1023*4+M1023*4+L1023*3+N1023*2+O1023*2)</x:f>
        <x:v>84</x:v>
      </x:c>
      <x:c r="R1023" s="14" t="str">
        <x:v>high</x:v>
      </x:c>
      <x:c r="S1023" s="14" t="str">
        <x:v>official_prozorro_award_2024_2026</x:v>
      </x:c>
      <x:c r="T1023" s="14" t="str">
        <x:v>official_prozorro_api</x:v>
      </x:c>
      <x:c r="U1023" s="14" t="str">
        <x:v>Не контактували</x:v>
      </x:c>
      <x:c r="V1023" s="15" t="str">
        <x:v>Workflow-audit outreach по UA-2026-08-19-005688-a; попросити 1 пакет здачі та вимоги проєкту</x:v>
      </x:c>
      <x:c r="W1023" s="15" t="str">
        <x:v>Власник / директор; керівник ПТО; відповідальний за договори</x:v>
      </x:c>
      <x:c r="X1023" s="15" t="str">
        <x:v>1 нових підтверджених перемог/договорів у Prozorro на 92 478 грн; 1 зі строком виконання не раніше 24.08.2026.</x:v>
      </x:c>
      <x:c r="Y1023" s="15" t="str">
        <x:v>Вогнезахисна обробка дерев'яних конструкцій (77220000-8 Послуги з просочування деревини); строк до 2026-12-31. Попросити один знеособлений пакет здачі за цим workflow.</x:v>
      </x:c>
      <x:c r="Z1023" s="15" t="str">
        <x:v>https://prozorro.gov.ua/tender/UA-2026-08-19-005688-a</x:v>
      </x:c>
      <x:c r="AA1023" s="14" t="str">
        <x:v>22415246</x:v>
      </x:c>
      <x:c r="AB1023" s="14" t="str">
        <x:v>2026-08-24</x:v>
      </x:c>
      <x:c r="AC1023" s="14" t="str"/>
      <x:c r="AD1023" s="20" t="str"/>
      <x:c r="AE1023" s="14" t="str"/>
      <x:c r="AF1023" s="14" t="n">
        <x:v>52</x:v>
      </x:c>
      <x:c r="AG1023" s="14" t="str">
        <x:v>I3</x:v>
      </x:c>
      <x:c r="AH1023" s="14" t="n">
        <x:v>1</x:v>
      </x:c>
      <x:c r="AI1023" s="14" t="n">
        <x:v>1</x:v>
      </x:c>
      <x:c r="AJ1023" s="18" t="n">
        <x:v>92478</x:v>
      </x:c>
      <x:c r="AK1023" s="14" t="str">
        <x:v>https://prozorro.gov.ua/tender/UA-2026-08-19-005688-a</x:v>
      </x:c>
      <x:c r="AL1023" s="19" t="n">
        <x:v>46253.40298442129</x:v>
      </x:c>
      <x:c r="AM1023" s="19" t="n">
        <x:v>46387</x:v>
      </x:c>
      <x:c r="AN1023" s="15" t="str">
        <x:v>Пасивний вогнезахист</x:v>
      </x:c>
      <x:c r="AO1023" s="15" t="str">
        <x:v>not_found_in_top_search</x:v>
      </x:c>
    </x:row>
    <x:row r="1024">
      <x:c r="A1024" s="14" t="str">
        <x:v>W4-205</x:v>
      </x:c>
      <x:c r="B1024" s="14" t="str">
        <x:v>Prozorro expansion — 24.08</x:v>
      </x:c>
      <x:c r="C1024" s="14" t="str">
        <x:v>ЧЕРНЕЙ ІЛЛЯ ВАСИЛЬОВИЧ</x:v>
      </x:c>
      <x:c r="D1024" s="14" t="str">
        <x:v>Пасивний вогнезахист</x:v>
      </x:c>
      <x:c r="E1024" s="14" t="str">
        <x:v>Expansion discovery</x:v>
      </x:c>
      <x:c r="F1024" s="17" t="str">
        <x:v>D3</x:v>
      </x:c>
      <x:c r="G1024" s="14" t="str"/>
      <x:c r="H1024" s="14" t="str">
        <x:v>Discovery розширення — 2 тижні</x:v>
      </x:c>
      <x:c r="I1024" s="16" t="n">
        <x:v>1</x:v>
      </x:c>
      <x:c r="J1024" s="16" t="n">
        <x:v>5</x:v>
      </x:c>
      <x:c r="K1024" s="16" t="n">
        <x:v>5</x:v>
      </x:c>
      <x:c r="L1024" s="16" t="n">
        <x:v>1</x:v>
      </x:c>
      <x:c r="M1024" s="16" t="n">
        <x:v>5</x:v>
      </x:c>
      <x:c r="N1024" s="16" t="n">
        <x:v>3</x:v>
      </x:c>
      <x:c r="O1024" s="16" t="n">
        <x:v>3</x:v>
      </x:c>
      <x:c r="P1024" s="16" t="n">
        <x:f>IF(COUNT(I1024:O1024)&lt;7,"",I1024*8+J1024*3+K1024*2+L1024*2+M1024*2+N1024*2+O1024)</x:f>
        <x:v>54</x:v>
      </x:c>
      <x:c r="Q1024" s="16" t="n">
        <x:f>IF(COUNT(J1024:O1024)&lt;6,"",J1024*5+K1024*4+M1024*4+L1024*3+N1024*2+O1024*2)</x:f>
        <x:v>80</x:v>
      </x:c>
      <x:c r="R1024" s="14" t="str">
        <x:v>high</x:v>
      </x:c>
      <x:c r="S1024" s="14" t="str">
        <x:v>official_prozorro_award_2024_2026</x:v>
      </x:c>
      <x:c r="T1024" s="14" t="str">
        <x:v>official_prozorro_api</x:v>
      </x:c>
      <x:c r="U1024" s="14" t="str">
        <x:v>Не контактували</x:v>
      </x:c>
      <x:c r="V1024" s="15" t="str">
        <x:v>Workflow-audit outreach по UA-2026-08-08-000272-a; попросити 1 пакет здачі та вимоги проєкту</x:v>
      </x:c>
      <x:c r="W1024" s="15" t="str">
        <x:v>Власник / виконавець; відповідальний за договір</x:v>
      </x:c>
      <x:c r="X1024" s="15" t="str">
        <x:v>1 нових підтверджених перемог/договорів у Prozorro на 88 902 грн; 0 зі строком виконання не раніше 24.08.2026.</x:v>
      </x:c>
      <x:c r="Y1024" s="15" t="str">
        <x:v>021:2015 77220000-8 послуги з поточного ремонту: вогнезахисна обробка (просочування) дерев'яних конструкцій покрівлі ОЗО «Волоківський ліцей»; строк до 2026-08-18. Попросити один знеособлений пакет здачі за цим workflow.</x:v>
      </x:c>
      <x:c r="Z1024" s="15" t="str">
        <x:v>https://prozorro.gov.ua/tender/UA-2026-08-08-000272-a</x:v>
      </x:c>
      <x:c r="AA1024" s="14" t="str">
        <x:v>2641420514</x:v>
      </x:c>
      <x:c r="AB1024" s="14" t="str">
        <x:v>2026-08-24</x:v>
      </x:c>
      <x:c r="AC1024" s="14" t="str"/>
      <x:c r="AD1024" s="20" t="str"/>
      <x:c r="AE1024" s="14" t="str"/>
      <x:c r="AF1024" s="14" t="n">
        <x:v>52</x:v>
      </x:c>
      <x:c r="AG1024" s="14" t="str">
        <x:v>I3</x:v>
      </x:c>
      <x:c r="AH1024" s="14" t="n">
        <x:v>1</x:v>
      </x:c>
      <x:c r="AI1024" s="14" t="n">
        <x:v>0</x:v>
      </x:c>
      <x:c r="AJ1024" s="18" t="n">
        <x:v>88902</x:v>
      </x:c>
      <x:c r="AK1024" s="14" t="str">
        <x:v>https://prozorro.gov.ua/tender/UA-2026-08-08-000272-a</x:v>
      </x:c>
      <x:c r="AL1024" s="19" t="n">
        <x:v>46242.39114797454</x:v>
      </x:c>
      <x:c r="AM1024" s="19" t="n">
        <x:v>46252</x:v>
      </x:c>
      <x:c r="AN1024" s="15" t="str">
        <x:v>Пасивний вогнезахист</x:v>
      </x:c>
      <x:c r="AO1024" s="15" t="str">
        <x:v>not_found_in_top_search</x:v>
      </x:c>
    </x:row>
    <x:row r="1025">
      <x:c r="A1025" s="14" t="str">
        <x:v>W4-206</x:v>
      </x:c>
      <x:c r="B1025" s="14" t="str">
        <x:v>Prozorro expansion — 24.08</x:v>
      </x:c>
      <x:c r="C1025" s="14" t="str">
        <x:v>ТОВАРИСТВО З ОБМЕЖЕНОЮ ВІДПОВІДАЛЬНІСТЮ "ПРО-СВК"</x:v>
      </x:c>
      <x:c r="D1025" s="14" t="str">
        <x:v>HVAC / ОВіК</x:v>
      </x:c>
      <x:c r="E1025" s="14" t="str">
        <x:v>Pilot now</x:v>
      </x:c>
      <x:c r="F1025" s="17" t="str">
        <x:v>P3</x:v>
      </x:c>
      <x:c r="G1025" s="14" t="str"/>
      <x:c r="H1025" s="14" t="str">
        <x:v>Пілот зараз — Н.14</x:v>
      </x:c>
      <x:c r="I1025" s="16" t="n">
        <x:v>5</x:v>
      </x:c>
      <x:c r="J1025" s="16" t="n">
        <x:v>5</x:v>
      </x:c>
      <x:c r="K1025" s="16" t="n">
        <x:v>4</x:v>
      </x:c>
      <x:c r="L1025" s="16" t="n">
        <x:v>1</x:v>
      </x:c>
      <x:c r="M1025" s="16" t="n">
        <x:v>5</x:v>
      </x:c>
      <x:c r="N1025" s="16" t="n">
        <x:v>5</x:v>
      </x:c>
      <x:c r="O1025" s="16" t="n">
        <x:v>3</x:v>
      </x:c>
      <x:c r="P1025" s="16" t="n">
        <x:f>IF(COUNT(I1025:O1025)&lt;7,"",I1025*8+J1025*3+K1025*2+L1025*2+M1025*2+N1025*2+O1025)</x:f>
        <x:v>88</x:v>
      </x:c>
      <x:c r="Q1025" s="16" t="n">
        <x:f>IF(COUNT(J1025:O1025)&lt;6,"",J1025*5+K1025*4+M1025*4+L1025*3+N1025*2+O1025*2)</x:f>
        <x:v>80</x:v>
      </x:c>
      <x:c r="R1025" s="14" t="str">
        <x:v>high</x:v>
      </x:c>
      <x:c r="S1025" s="14" t="str">
        <x:v>official_prozorro_award_2024_2026</x:v>
      </x:c>
      <x:c r="T1025" s="14" t="str">
        <x:v>official_prozorro_api</x:v>
      </x:c>
      <x:c r="U1025" s="14" t="str">
        <x:v>Не контактували</x:v>
      </x:c>
      <x:c r="V1025" s="15" t="str">
        <x:v>Персоналізований free-pilot outreach по UA-2026-07-17-008977-a; попросити 1 пакет Н.14/Н.15</x:v>
      </x:c>
      <x:c r="W1025" s="15" t="str">
        <x:v>Власник / директор; керівник ПТО; відповідальний за договори</x:v>
      </x:c>
      <x:c r="X1025" s="15" t="str">
        <x:v>1 нових підтверджених перемог/договорів у Prozorro на 85 000 грн; 1 зі строком виконання не раніше 24.08.2026.</x:v>
      </x:c>
      <x:c r="Y1025"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 строк до 2026-12-31. Попросити один знеособлений пакет здачі за цим workflow.</x:v>
      </x:c>
      <x:c r="Z1025" s="15" t="str">
        <x:v>https://prozorro.gov.ua/tender/UA-2026-07-17-008977-a</x:v>
      </x:c>
      <x:c r="AA1025" s="14" t="str">
        <x:v>44001527</x:v>
      </x:c>
      <x:c r="AB1025" s="14" t="str">
        <x:v>2026-08-24</x:v>
      </x:c>
      <x:c r="AC1025" s="14" t="str"/>
      <x:c r="AD1025" s="20" t="str"/>
      <x:c r="AE1025" s="14" t="str"/>
      <x:c r="AF1025" s="14" t="n">
        <x:v>52</x:v>
      </x:c>
      <x:c r="AG1025" s="14" t="str">
        <x:v>I3</x:v>
      </x:c>
      <x:c r="AH1025" s="14" t="n">
        <x:v>1</x:v>
      </x:c>
      <x:c r="AI1025" s="14" t="n">
        <x:v>1</x:v>
      </x:c>
      <x:c r="AJ1025" s="18" t="n">
        <x:v>85000</x:v>
      </x:c>
      <x:c r="AK1025" s="14" t="str">
        <x:v>https://prozorro.gov.ua/tender/UA-2026-07-17-008977-a</x:v>
      </x:c>
      <x:c r="AL1025" s="19" t="n">
        <x:v>46220.52470538195</x:v>
      </x:c>
      <x:c r="AM1025" s="19" t="n">
        <x:v>46387</x:v>
      </x:c>
      <x:c r="AN1025" s="15" t="str">
        <x:v>HVAC / ОВіК</x:v>
      </x:c>
      <x:c r="AO1025" s="15" t="str">
        <x:v>not_found_in_top_search</x:v>
      </x:c>
    </x:row>
    <x:row r="1026">
      <x:c r="A1026" s="14" t="str">
        <x:v>W4-207</x:v>
      </x:c>
      <x:c r="B1026" s="14" t="str">
        <x:v>Prozorro expansion — 24.08</x:v>
      </x:c>
      <x:c r="C1026" s="14" t="str">
        <x:v>Пупинін Руслан Валентинович</x:v>
      </x:c>
      <x:c r="D1026" s="14" t="str">
        <x:v>Електромонтаж</x:v>
      </x:c>
      <x:c r="E1026" s="14" t="str">
        <x:v>Pilot now</x:v>
      </x:c>
      <x:c r="F1026" s="17" t="str">
        <x:v>P3</x:v>
      </x:c>
      <x:c r="G1026" s="14" t="str"/>
      <x:c r="H1026" s="14" t="str">
        <x:v>Пілот зараз — Н.15</x:v>
      </x:c>
      <x:c r="I1026" s="16" t="n">
        <x:v>5</x:v>
      </x:c>
      <x:c r="J1026" s="16" t="n">
        <x:v>5</x:v>
      </x:c>
      <x:c r="K1026" s="16" t="n">
        <x:v>4</x:v>
      </x:c>
      <x:c r="L1026" s="16" t="n">
        <x:v>1</x:v>
      </x:c>
      <x:c r="M1026" s="16" t="n">
        <x:v>5</x:v>
      </x:c>
      <x:c r="N1026" s="16" t="n">
        <x:v>3</x:v>
      </x:c>
      <x:c r="O1026" s="16" t="n">
        <x:v>3</x:v>
      </x:c>
      <x:c r="P1026" s="16" t="n">
        <x:f>IF(COUNT(I1026:O1026)&lt;7,"",I1026*8+J1026*3+K1026*2+L1026*2+M1026*2+N1026*2+O1026)</x:f>
        <x:v>84</x:v>
      </x:c>
      <x:c r="Q1026" s="16" t="n">
        <x:f>IF(COUNT(J1026:O1026)&lt;6,"",J1026*5+K1026*4+M1026*4+L1026*3+N1026*2+O1026*2)</x:f>
        <x:v>76</x:v>
      </x:c>
      <x:c r="R1026" s="14" t="str">
        <x:v>high</x:v>
      </x:c>
      <x:c r="S1026" s="14" t="str">
        <x:v>official_prozorro_award_2024_2026</x:v>
      </x:c>
      <x:c r="T1026" s="14" t="str">
        <x:v>official_prozorro_api</x:v>
      </x:c>
      <x:c r="U1026" s="14" t="str">
        <x:v>Не контактували</x:v>
      </x:c>
      <x:c r="V1026" s="15" t="str">
        <x:v>Персоналізований free-pilot outreach по UA-2026-07-23-007865-a; попросити 1 пакет Н.14/Н.15</x:v>
      </x:c>
      <x:c r="W1026" s="15" t="str">
        <x:v>Власник / виконавець; відповідальний за договір</x:v>
      </x:c>
      <x:c r="X1026" s="15" t="str">
        <x:v>1 нових підтверджених перемог/договорів у Prozorro на 84 450 грн; 1 зі строком виконання не раніше 24.08.2026.</x:v>
      </x:c>
      <x:c r="Y1026" s="15" t="str">
        <x:v>45310000-3 - Електромонтажні роботи
; строк до 2026-10-29. Попросити один знеособлений пакет здачі за цим workflow.</x:v>
      </x:c>
      <x:c r="Z1026" s="15" t="str">
        <x:v>https://prozorro.gov.ua/tender/UA-2026-07-23-007865-a</x:v>
      </x:c>
      <x:c r="AA1026" s="14" t="str">
        <x:v>2511121975</x:v>
      </x:c>
      <x:c r="AB1026" s="14" t="str">
        <x:v>2026-08-24</x:v>
      </x:c>
      <x:c r="AC1026" s="14" t="str"/>
      <x:c r="AD1026" s="20" t="str"/>
      <x:c r="AE1026" s="14" t="str"/>
      <x:c r="AF1026" s="14" t="n">
        <x:v>52</x:v>
      </x:c>
      <x:c r="AG1026" s="14" t="str">
        <x:v>I3</x:v>
      </x:c>
      <x:c r="AH1026" s="14" t="n">
        <x:v>1</x:v>
      </x:c>
      <x:c r="AI1026" s="14" t="n">
        <x:v>1</x:v>
      </x:c>
      <x:c r="AJ1026" s="18" t="n">
        <x:v>84450</x:v>
      </x:c>
      <x:c r="AK1026" s="14" t="str">
        <x:v>https://prozorro.gov.ua/tender/UA-2026-07-23-007865-a</x:v>
      </x:c>
      <x:c r="AL1026" s="19" t="n">
        <x:v>46226.489712256945</x:v>
      </x:c>
      <x:c r="AM1026" s="19" t="n">
        <x:v>46324</x:v>
      </x:c>
      <x:c r="AN1026" s="15" t="str">
        <x:v>Електромонтаж</x:v>
      </x:c>
      <x:c r="AO1026" s="15" t="str">
        <x:v>not_found_in_top_search</x:v>
      </x:c>
    </x:row>
    <x:row r="1027">
      <x:c r="A1027" s="14" t="str">
        <x:v>W4-208</x:v>
      </x:c>
      <x:c r="B1027" s="14" t="str">
        <x:v>Prozorro expansion — 24.08</x:v>
      </x:c>
      <x:c r="C1027" s="14" t="str">
        <x:v>ІЛЬЧЕНКО ІРИНА ЛЕОНІДІВНА</x:v>
      </x:c>
      <x:c r="D1027" s="14" t="str">
        <x:v>Пожежогасіння</x:v>
      </x:c>
      <x:c r="E1027" s="14" t="str">
        <x:v>Expansion discovery</x:v>
      </x:c>
      <x:c r="F1027" s="17" t="str">
        <x:v>D3</x:v>
      </x:c>
      <x:c r="G1027" s="14" t="str"/>
      <x:c r="H1027" s="14" t="str">
        <x:v>Discovery розширення — 2 тижні</x:v>
      </x:c>
      <x:c r="I1027" s="16" t="n">
        <x:v>1</x:v>
      </x:c>
      <x:c r="J1027" s="16" t="n">
        <x:v>5</x:v>
      </x:c>
      <x:c r="K1027" s="16" t="n">
        <x:v>5</x:v>
      </x:c>
      <x:c r="L1027" s="16" t="n">
        <x:v>1</x:v>
      </x:c>
      <x:c r="M1027" s="16" t="n">
        <x:v>5</x:v>
      </x:c>
      <x:c r="N1027" s="16" t="n">
        <x:v>3</x:v>
      </x:c>
      <x:c r="O1027" s="16" t="n">
        <x:v>3</x:v>
      </x:c>
      <x:c r="P1027" s="16" t="n">
        <x:f>IF(COUNT(I1027:O1027)&lt;7,"",I1027*8+J1027*3+K1027*2+L1027*2+M1027*2+N1027*2+O1027)</x:f>
        <x:v>54</x:v>
      </x:c>
      <x:c r="Q1027" s="16" t="n">
        <x:f>IF(COUNT(J1027:O1027)&lt;6,"",J1027*5+K1027*4+M1027*4+L1027*3+N1027*2+O1027*2)</x:f>
        <x:v>80</x:v>
      </x:c>
      <x:c r="R1027" s="14" t="str">
        <x:v>high</x:v>
      </x:c>
      <x:c r="S1027" s="14" t="str">
        <x:v>official_prozorro_award_2024_2026</x:v>
      </x:c>
      <x:c r="T1027" s="14" t="str">
        <x:v>official_prozorro_api</x:v>
      </x:c>
      <x:c r="U1027" s="14" t="str">
        <x:v>Не контактували</x:v>
      </x:c>
      <x:c r="V1027" s="15" t="str">
        <x:v>Workflow-audit outreach по UA-2026-07-28-007524-a; попросити 1 пакет здачі та вимоги проєкту</x:v>
      </x:c>
      <x:c r="W1027" s="15" t="str">
        <x:v>Власник / виконавець; відповідальний за договір</x:v>
      </x:c>
      <x:c r="X1027" s="15" t="str">
        <x:v>1 нових підтверджених перемог/договорів у Prozorro на 84 320 грн; 1 зі строком виконання не раніше 24.08.2026.</x:v>
      </x:c>
      <x:c r="Y1027"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 строк до 2026-12-31. Попросити один знеособлений пакет здачі за цим workflow.</x:v>
      </x:c>
      <x:c r="Z1027" s="15" t="str">
        <x:v>https://prozorro.gov.ua/tender/UA-2026-07-28-007524-a</x:v>
      </x:c>
      <x:c r="AA1027" s="14" t="str">
        <x:v>2918011427</x:v>
      </x:c>
      <x:c r="AB1027" s="14" t="str">
        <x:v>2026-08-24</x:v>
      </x:c>
      <x:c r="AC1027" s="14" t="str"/>
      <x:c r="AD1027" s="20" t="str"/>
      <x:c r="AE1027" s="14" t="str"/>
      <x:c r="AF1027" s="14" t="n">
        <x:v>52</x:v>
      </x:c>
      <x:c r="AG1027" s="14" t="str">
        <x:v>I3</x:v>
      </x:c>
      <x:c r="AH1027" s="14" t="n">
        <x:v>1</x:v>
      </x:c>
      <x:c r="AI1027" s="14" t="n">
        <x:v>1</x:v>
      </x:c>
      <x:c r="AJ1027" s="18" t="n">
        <x:v>84320.1</x:v>
      </x:c>
      <x:c r="AK1027" s="14" t="str">
        <x:v>https://prozorro.gov.ua/tender/UA-2026-07-28-007524-a</x:v>
      </x:c>
      <x:c r="AL1027" s="19" t="n">
        <x:v>46231.480336099536</x:v>
      </x:c>
      <x:c r="AM1027" s="19" t="n">
        <x:v>46387</x:v>
      </x:c>
      <x:c r="AN1027" s="15" t="str">
        <x:v>Пожежогасіння</x:v>
      </x:c>
      <x:c r="AO1027" s="15" t="str">
        <x:v>not_found_in_top_search</x:v>
      </x:c>
    </x:row>
    <x:row r="1028">
      <x:c r="A1028" s="14" t="str">
        <x:v>W4-209</x:v>
      </x:c>
      <x:c r="B1028" s="14" t="str">
        <x:v>Prozorro expansion — 24.08</x:v>
      </x:c>
      <x:c r="C1028" s="14" t="str">
        <x:v>ТОВАРИСТВО З ОБМЕЖЕНОЮ ВІДПОВІДАЛЬНІСТЮ "АЛЬТ-БУД"</x:v>
      </x:c>
      <x:c r="D1028" s="14" t="str">
        <x:v>Електромонтаж</x:v>
      </x:c>
      <x:c r="E1028" s="14" t="str">
        <x:v>Pilot now</x:v>
      </x:c>
      <x:c r="F1028" s="17" t="str">
        <x:v>P3</x:v>
      </x:c>
      <x:c r="G1028" s="14" t="str"/>
      <x:c r="H1028" s="14" t="str">
        <x:v>Пілот зараз — Н.15</x:v>
      </x:c>
      <x:c r="I1028" s="16" t="n">
        <x:v>5</x:v>
      </x:c>
      <x:c r="J1028" s="16" t="n">
        <x:v>5</x:v>
      </x:c>
      <x:c r="K1028" s="16" t="n">
        <x:v>4</x:v>
      </x:c>
      <x:c r="L1028" s="16" t="n">
        <x:v>1</x:v>
      </x:c>
      <x:c r="M1028" s="16" t="n">
        <x:v>5</x:v>
      </x:c>
      <x:c r="N1028" s="16" t="n">
        <x:v>5</x:v>
      </x:c>
      <x:c r="O1028" s="16" t="n">
        <x:v>3</x:v>
      </x:c>
      <x:c r="P1028" s="16" t="n">
        <x:f>IF(COUNT(I1028:O1028)&lt;7,"",I1028*8+J1028*3+K1028*2+L1028*2+M1028*2+N1028*2+O1028)</x:f>
        <x:v>88</x:v>
      </x:c>
      <x:c r="Q1028" s="16" t="n">
        <x:f>IF(COUNT(J1028:O1028)&lt;6,"",J1028*5+K1028*4+M1028*4+L1028*3+N1028*2+O1028*2)</x:f>
        <x:v>80</x:v>
      </x:c>
      <x:c r="R1028" s="14" t="str">
        <x:v>high</x:v>
      </x:c>
      <x:c r="S1028" s="14" t="str">
        <x:v>official_prozorro_award_2024_2026</x:v>
      </x:c>
      <x:c r="T1028" s="14" t="str">
        <x:v>official_prozorro_api</x:v>
      </x:c>
      <x:c r="U1028" s="14" t="str">
        <x:v>Не контактували</x:v>
      </x:c>
      <x:c r="V1028" s="15" t="str">
        <x:v>Персоналізований free-pilot outreach по UA-2026-08-11-005184-a; попросити 1 пакет Н.14/Н.15</x:v>
      </x:c>
      <x:c r="W1028" s="15" t="str">
        <x:v>Власник / директор; керівник ПТО; відповідальний за договори</x:v>
      </x:c>
      <x:c r="X1028" s="15" t="str">
        <x:v>1 нових підтверджених перемог/договорів у Prozorro на 77 914 грн; 1 зі строком виконання не раніше 24.08.2026.</x:v>
      </x:c>
      <x:c r="Y1028" s="15" t="str">
        <x:v>Електромонтажні роботи (Заміна та встановлення електричних світильників); строк до 2026-12-31. Попросити один знеособлений пакет здачі за цим workflow.</x:v>
      </x:c>
      <x:c r="Z1028" s="15" t="str">
        <x:v>https://prozorro.gov.ua/tender/UA-2026-08-11-005184-a</x:v>
      </x:c>
      <x:c r="AA1028" s="14" t="str">
        <x:v>41163027</x:v>
      </x:c>
      <x:c r="AB1028" s="14" t="str">
        <x:v>2026-08-24</x:v>
      </x:c>
      <x:c r="AC1028" s="14" t="str"/>
      <x:c r="AD1028" s="20" t="str"/>
      <x:c r="AE1028" s="14" t="str"/>
      <x:c r="AF1028" s="14" t="n">
        <x:v>52</x:v>
      </x:c>
      <x:c r="AG1028" s="14" t="str">
        <x:v>I3</x:v>
      </x:c>
      <x:c r="AH1028" s="14" t="n">
        <x:v>1</x:v>
      </x:c>
      <x:c r="AI1028" s="14" t="n">
        <x:v>1</x:v>
      </x:c>
      <x:c r="AJ1028" s="18" t="n">
        <x:v>77914</x:v>
      </x:c>
      <x:c r="AK1028" s="14" t="str">
        <x:v>https://prozorro.gov.ua/tender/UA-2026-08-11-005184-a</x:v>
      </x:c>
      <x:c r="AL1028" s="19" t="n">
        <x:v>46245.38613431713</x:v>
      </x:c>
      <x:c r="AM1028" s="19" t="n">
        <x:v>46387</x:v>
      </x:c>
      <x:c r="AN1028" s="15" t="str">
        <x:v>Електромонтаж</x:v>
      </x:c>
      <x:c r="AO1028" s="15" t="str">
        <x:v>not_found_in_top_search</x:v>
      </x:c>
    </x:row>
    <x:row r="1029">
      <x:c r="A1029" s="14" t="str">
        <x:v>W4-210</x:v>
      </x:c>
      <x:c r="B1029" s="14" t="str">
        <x:v>Prozorro expansion — 24.08</x:v>
      </x:c>
      <x:c r="C1029" s="14" t="str">
        <x:v>ТОВАРИСТВО З ОБМЕЖЕНОЮ ВІДПОВІДАЛЬНІСТЮ "ЦИФРОВІ ОХОРОННІ СИСТЕМИ"</x:v>
      </x:c>
      <x:c r="D1029" s="14" t="str">
        <x:v>Пожежогасіння</x:v>
      </x:c>
      <x:c r="E1029" s="14" t="str">
        <x:v>Expansion discovery</x:v>
      </x:c>
      <x:c r="F1029" s="17" t="str">
        <x:v>D3</x:v>
      </x:c>
      <x:c r="G1029" s="14" t="str"/>
      <x:c r="H1029" s="14" t="str">
        <x:v>Discovery розширення — 2 тижні</x:v>
      </x:c>
      <x:c r="I1029" s="16" t="n">
        <x:v>1</x:v>
      </x:c>
      <x:c r="J1029" s="16" t="n">
        <x:v>5</x:v>
      </x:c>
      <x:c r="K1029" s="16" t="n">
        <x:v>5</x:v>
      </x:c>
      <x:c r="L1029" s="16" t="n">
        <x:v>1</x:v>
      </x:c>
      <x:c r="M1029" s="16" t="n">
        <x:v>5</x:v>
      </x:c>
      <x:c r="N1029" s="16" t="n">
        <x:v>5</x:v>
      </x:c>
      <x:c r="O1029" s="16" t="n">
        <x:v>3</x:v>
      </x:c>
      <x:c r="P1029" s="16" t="n">
        <x:f>IF(COUNT(I1029:O1029)&lt;7,"",I1029*8+J1029*3+K1029*2+L1029*2+M1029*2+N1029*2+O1029)</x:f>
        <x:v>58</x:v>
      </x:c>
      <x:c r="Q1029" s="16" t="n">
        <x:f>IF(COUNT(J1029:O1029)&lt;6,"",J1029*5+K1029*4+M1029*4+L1029*3+N1029*2+O1029*2)</x:f>
        <x:v>84</x:v>
      </x:c>
      <x:c r="R1029" s="14" t="str">
        <x:v>high</x:v>
      </x:c>
      <x:c r="S1029" s="14" t="str">
        <x:v>official_prozorro_award_2024_2026</x:v>
      </x:c>
      <x:c r="T1029" s="14" t="str">
        <x:v>official_prozorro_api</x:v>
      </x:c>
      <x:c r="U1029" s="14" t="str">
        <x:v>Не контактували</x:v>
      </x:c>
      <x:c r="V1029" s="15" t="str">
        <x:v>Workflow-audit outreach по UA-2026-07-17-007218-a; попросити 1 пакет здачі та вимоги проєкту</x:v>
      </x:c>
      <x:c r="W1029" s="15" t="str">
        <x:v>Власник / директор; керівник ПТО; відповідальний за договори</x:v>
      </x:c>
      <x:c r="X1029" s="15" t="str">
        <x:v>1 нових підтверджених перемог/договорів у Prozorro на 74 698 грн; 1 зі строком виконання не раніше 24.08.2026.</x:v>
      </x:c>
      <x:c r="Y1029"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 строк до 2026-12-31. Попросити один знеособлений пакет здачі за цим workflow.</x:v>
      </x:c>
      <x:c r="Z1029" s="15" t="str">
        <x:v>https://prozorro.gov.ua/tender/UA-2026-07-17-007218-a</x:v>
      </x:c>
      <x:c r="AA1029" s="14" t="str">
        <x:v>34112644</x:v>
      </x:c>
      <x:c r="AB1029" s="14" t="str">
        <x:v>2026-08-24</x:v>
      </x:c>
      <x:c r="AC1029" s="14" t="str"/>
      <x:c r="AD1029" s="20" t="str"/>
      <x:c r="AE1029" s="14" t="str"/>
      <x:c r="AF1029" s="14" t="n">
        <x:v>52</x:v>
      </x:c>
      <x:c r="AG1029" s="14" t="str">
        <x:v>I3</x:v>
      </x:c>
      <x:c r="AH1029" s="14" t="n">
        <x:v>1</x:v>
      </x:c>
      <x:c r="AI1029" s="14" t="n">
        <x:v>1</x:v>
      </x:c>
      <x:c r="AJ1029" s="18" t="n">
        <x:v>74697.68</x:v>
      </x:c>
      <x:c r="AK1029" s="14" t="str">
        <x:v>https://prozorro.gov.ua/tender/UA-2026-07-17-007218-a</x:v>
      </x:c>
      <x:c r="AL1029" s="19" t="n">
        <x:v>46220.47823332176</x:v>
      </x:c>
      <x:c r="AM1029" s="19" t="n">
        <x:v>46387</x:v>
      </x:c>
      <x:c r="AN1029" s="15" t="str">
        <x:v>Пожежогасіння</x:v>
      </x:c>
      <x:c r="AO1029" s="15" t="str">
        <x:v>not_found_in_top_search</x:v>
      </x:c>
    </x:row>
    <x:row r="1030">
      <x:c r="A1030" s="14" t="str">
        <x:v>W4-211</x:v>
      </x:c>
      <x:c r="B1030" s="14" t="str">
        <x:v>Prozorro expansion — 24.08</x:v>
      </x:c>
      <x:c r="C1030" s="14" t="str">
        <x:v>ГЛУШКО АНДРІЙ ІВАНОВИЧ</x:v>
      </x:c>
      <x:c r="D1030" s="14" t="str">
        <x:v>Фасади та скління</x:v>
      </x:c>
      <x:c r="E1030" s="14" t="str">
        <x:v>Expansion discovery</x:v>
      </x:c>
      <x:c r="F1030" s="17" t="str">
        <x:v>D3</x:v>
      </x:c>
      <x:c r="G1030" s="14" t="str"/>
      <x:c r="H1030" s="14" t="str">
        <x:v>Discovery розширення — 2 тижні</x:v>
      </x:c>
      <x:c r="I1030" s="16" t="n">
        <x:v>1</x:v>
      </x:c>
      <x:c r="J1030" s="16" t="n">
        <x:v>5</x:v>
      </x:c>
      <x:c r="K1030" s="16" t="n">
        <x:v>5</x:v>
      </x:c>
      <x:c r="L1030" s="16" t="n">
        <x:v>1</x:v>
      </x:c>
      <x:c r="M1030" s="16" t="n">
        <x:v>5</x:v>
      </x:c>
      <x:c r="N1030" s="16" t="n">
        <x:v>3</x:v>
      </x:c>
      <x:c r="O1030" s="16" t="n">
        <x:v>3</x:v>
      </x:c>
      <x:c r="P1030" s="16" t="n">
        <x:f>IF(COUNT(I1030:O1030)&lt;7,"",I1030*8+J1030*3+K1030*2+L1030*2+M1030*2+N1030*2+O1030)</x:f>
        <x:v>54</x:v>
      </x:c>
      <x:c r="Q1030" s="16" t="n">
        <x:f>IF(COUNT(J1030:O1030)&lt;6,"",J1030*5+K1030*4+M1030*4+L1030*3+N1030*2+O1030*2)</x:f>
        <x:v>80</x:v>
      </x:c>
      <x:c r="R1030" s="14" t="str">
        <x:v>high</x:v>
      </x:c>
      <x:c r="S1030" s="14" t="str">
        <x:v>official_prozorro_award_2024_2026</x:v>
      </x:c>
      <x:c r="T1030" s="14" t="str">
        <x:v>official_prozorro_api</x:v>
      </x:c>
      <x:c r="U1030" s="14" t="str">
        <x:v>Не контактували</x:v>
      </x:c>
      <x:c r="V1030" s="15" t="str">
        <x:v>Workflow-audit outreach по UA-2026-08-18-000384-a; попросити 1 пакет здачі та вимоги проєкту</x:v>
      </x:c>
      <x:c r="W1030" s="15" t="str">
        <x:v>Власник / виконавець; відповідальний за договір</x:v>
      </x:c>
      <x:c r="X1030" s="15" t="str">
        <x:v>1 нових підтверджених перемог/договорів у Prozorro на 71 938 грн; 1 зі строком виконання не раніше 24.08.2026.</x:v>
      </x:c>
      <x:c r="Y1030" s="15" t="str">
        <x:v>Утеплення фасаду будівлі адміністративного корпусу за адресою: Закарпатська обл., Берегівський р-н, с. Верхні Ремети, вул. Виноградна, буд. 26а; строк до 2026-08-31. Попросити один знеособлений пакет здачі за цим workflow.</x:v>
      </x:c>
      <x:c r="Z1030" s="15" t="str">
        <x:v>https://prozorro.gov.ua/tender/UA-2026-08-18-000384-a</x:v>
      </x:c>
      <x:c r="AA1030" s="14" t="str">
        <x:v>2793023496</x:v>
      </x:c>
      <x:c r="AB1030" s="14" t="str">
        <x:v>2026-08-24</x:v>
      </x:c>
      <x:c r="AC1030" s="14" t="str"/>
      <x:c r="AD1030" s="20" t="str"/>
      <x:c r="AE1030" s="14" t="str"/>
      <x:c r="AF1030" s="14" t="n">
        <x:v>52</x:v>
      </x:c>
      <x:c r="AG1030" s="14" t="str">
        <x:v>I3</x:v>
      </x:c>
      <x:c r="AH1030" s="14" t="n">
        <x:v>1</x:v>
      </x:c>
      <x:c r="AI1030" s="14" t="n">
        <x:v>1</x:v>
      </x:c>
      <x:c r="AJ1030" s="18" t="n">
        <x:v>71938</x:v>
      </x:c>
      <x:c r="AK1030" s="14" t="str">
        <x:v>https://prozorro.gov.ua/tender/UA-2026-08-18-000384-a</x:v>
      </x:c>
      <x:c r="AL1030" s="19" t="n">
        <x:v>46252.247176689816</x:v>
      </x:c>
      <x:c r="AM1030" s="19" t="n">
        <x:v>46265</x:v>
      </x:c>
      <x:c r="AN1030" s="15" t="str">
        <x:v>Фасади та скління</x:v>
      </x:c>
      <x:c r="AO1030" s="15" t="str">
        <x:v>not_found_in_top_search</x:v>
      </x:c>
    </x:row>
    <x:row r="1031">
      <x:c r="A1031" s="14" t="str">
        <x:v>W4-212</x:v>
      </x:c>
      <x:c r="B1031" s="14" t="str">
        <x:v>Prozorro expansion — 24.08</x:v>
      </x:c>
      <x:c r="C1031" s="14" t="str">
        <x:v>ПП "ПОЖБУДПРОЄКТ"</x:v>
      </x:c>
      <x:c r="D1031" s="14" t="str">
        <x:v>Пожежогасіння</x:v>
      </x:c>
      <x:c r="E1031" s="14" t="str">
        <x:v>Expansion discovery</x:v>
      </x:c>
      <x:c r="F1031" s="17" t="str">
        <x:v>D3</x:v>
      </x:c>
      <x:c r="G1031" s="14" t="str"/>
      <x:c r="H1031" s="14" t="str">
        <x:v>Discovery розширення — 2 тижні</x:v>
      </x:c>
      <x:c r="I1031" s="16" t="n">
        <x:v>1</x:v>
      </x:c>
      <x:c r="J1031" s="16" t="n">
        <x:v>5</x:v>
      </x:c>
      <x:c r="K1031" s="16" t="n">
        <x:v>5</x:v>
      </x:c>
      <x:c r="L1031" s="16" t="n">
        <x:v>1</x:v>
      </x:c>
      <x:c r="M1031" s="16" t="n">
        <x:v>5</x:v>
      </x:c>
      <x:c r="N1031" s="16" t="n">
        <x:v>5</x:v>
      </x:c>
      <x:c r="O1031" s="16" t="n">
        <x:v>3</x:v>
      </x:c>
      <x:c r="P1031" s="16" t="n">
        <x:f>IF(COUNT(I1031:O1031)&lt;7,"",I1031*8+J1031*3+K1031*2+L1031*2+M1031*2+N1031*2+O1031)</x:f>
        <x:v>58</x:v>
      </x:c>
      <x:c r="Q1031" s="16" t="n">
        <x:f>IF(COUNT(J1031:O1031)&lt;6,"",J1031*5+K1031*4+M1031*4+L1031*3+N1031*2+O1031*2)</x:f>
        <x:v>84</x:v>
      </x:c>
      <x:c r="R1031" s="14" t="str">
        <x:v>high</x:v>
      </x:c>
      <x:c r="S1031" s="14" t="str">
        <x:v>official_prozorro_award_2024_2026</x:v>
      </x:c>
      <x:c r="T1031" s="14" t="str">
        <x:v>official_prozorro_api</x:v>
      </x:c>
      <x:c r="U1031" s="14" t="str">
        <x:v>Не контактували</x:v>
      </x:c>
      <x:c r="V1031" s="15" t="str">
        <x:v>Workflow-audit outreach по UA-2026-08-24-001229-a; попросити 1 пакет здачі та вимоги проєкту</x:v>
      </x:c>
      <x:c r="W1031" s="15" t="str">
        <x:v>Власник / директор; керівник ПТО; відповідальний за договори</x:v>
      </x:c>
      <x:c r="X1031" s="15" t="str">
        <x:v>1 нових підтверджених перемог/договорів у Prozorro на 68 202 грн; 1 зі строком виконання не раніше 24.08.2026.</x:v>
      </x:c>
      <x:c r="Y1031"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 строк до 2026-12-31. Попросити один знеособлений пакет здачі за цим workflow.</x:v>
      </x:c>
      <x:c r="Z1031" s="15" t="str">
        <x:v>https://prozorro.gov.ua/tender/UA-2026-08-24-001229-a</x:v>
      </x:c>
      <x:c r="AA1031" s="14" t="str">
        <x:v>42651509</x:v>
      </x:c>
      <x:c r="AB1031" s="14" t="str">
        <x:v>2026-08-24</x:v>
      </x:c>
      <x:c r="AC1031" s="14" t="str"/>
      <x:c r="AD1031" s="20" t="str"/>
      <x:c r="AE1031" s="14" t="str"/>
      <x:c r="AF1031" s="14" t="n">
        <x:v>52</x:v>
      </x:c>
      <x:c r="AG1031" s="14" t="str">
        <x:v>I3</x:v>
      </x:c>
      <x:c r="AH1031" s="14" t="n">
        <x:v>1</x:v>
      </x:c>
      <x:c r="AI1031" s="14" t="n">
        <x:v>1</x:v>
      </x:c>
      <x:c r="AJ1031" s="18" t="n">
        <x:v>68202.44</x:v>
      </x:c>
      <x:c r="AK1031" s="14" t="str">
        <x:v>https://prozorro.gov.ua/tender/UA-2026-08-24-001229-a</x:v>
      </x:c>
      <x:c r="AL1031" s="19" t="n">
        <x:v>46258.29532291667</x:v>
      </x:c>
      <x:c r="AM1031" s="19" t="n">
        <x:v>46387.338692129626</x:v>
      </x:c>
      <x:c r="AN1031" s="15" t="str">
        <x:v>Пожежогасіння</x:v>
      </x:c>
      <x:c r="AO1031" s="15" t="str">
        <x:v>not_found_in_top_search</x:v>
      </x:c>
    </x:row>
    <x:row r="1032">
      <x:c r="A1032" s="14" t="str">
        <x:v>W4-213</x:v>
      </x:c>
      <x:c r="B1032" s="14" t="str">
        <x:v>Prozorro expansion — 24.08</x:v>
      </x:c>
      <x:c r="C1032" s="14" t="str">
        <x:v>ТОВ "Ж.Б.КОНСТРАКШН"</x:v>
      </x:c>
      <x:c r="D1032" s="14" t="str">
        <x:v>Електромонтаж</x:v>
      </x:c>
      <x:c r="E1032" s="14" t="str">
        <x:v>Pilot now</x:v>
      </x:c>
      <x:c r="F1032" s="17" t="str">
        <x:v>P3</x:v>
      </x:c>
      <x:c r="G1032" s="14" t="str"/>
      <x:c r="H1032" s="14" t="str">
        <x:v>Пілот зараз — Н.15</x:v>
      </x:c>
      <x:c r="I1032" s="16" t="n">
        <x:v>5</x:v>
      </x:c>
      <x:c r="J1032" s="16" t="n">
        <x:v>5</x:v>
      </x:c>
      <x:c r="K1032" s="16" t="n">
        <x:v>4</x:v>
      </x:c>
      <x:c r="L1032" s="16" t="n">
        <x:v>1</x:v>
      </x:c>
      <x:c r="M1032" s="16" t="n">
        <x:v>5</x:v>
      </x:c>
      <x:c r="N1032" s="16" t="n">
        <x:v>5</x:v>
      </x:c>
      <x:c r="O1032" s="16" t="n">
        <x:v>3</x:v>
      </x:c>
      <x:c r="P1032" s="16" t="n">
        <x:f>IF(COUNT(I1032:O1032)&lt;7,"",I1032*8+J1032*3+K1032*2+L1032*2+M1032*2+N1032*2+O1032)</x:f>
        <x:v>88</x:v>
      </x:c>
      <x:c r="Q1032" s="16" t="n">
        <x:f>IF(COUNT(J1032:O1032)&lt;6,"",J1032*5+K1032*4+M1032*4+L1032*3+N1032*2+O1032*2)</x:f>
        <x:v>80</x:v>
      </x:c>
      <x:c r="R1032" s="14" t="str">
        <x:v>high</x:v>
      </x:c>
      <x:c r="S1032" s="14" t="str">
        <x:v>official_prozorro_award_2024_2026</x:v>
      </x:c>
      <x:c r="T1032" s="14" t="str">
        <x:v>official_prozorro_api</x:v>
      </x:c>
      <x:c r="U1032" s="14" t="str">
        <x:v>Не контактували</x:v>
      </x:c>
      <x:c r="V1032" s="15" t="str">
        <x:v>Персоналізований free-pilot outreach по UA-2026-08-07-001705-a; попросити 1 пакет Н.14/Н.15</x:v>
      </x:c>
      <x:c r="W1032" s="15" t="str">
        <x:v>Власник / директор; керівник ПТО; відповідальний за договори</x:v>
      </x:c>
      <x:c r="X1032" s="15" t="str">
        <x:v>1 нових підтверджених перемог/договорів у Prozorro на 68 040 грн; 1 зі строком виконання не раніше 24.08.2026.</x:v>
      </x:c>
      <x:c r="Y1032" s="15" t="str">
        <x:v>електромонтажні роботи с. Бабинці, вул. Незламності ,70 А; строк до 2026-12-31. Попросити один знеособлений пакет здачі за цим workflow.</x:v>
      </x:c>
      <x:c r="Z1032" s="15" t="str">
        <x:v>https://prozorro.gov.ua/tender/UA-2026-08-07-001705-a</x:v>
      </x:c>
      <x:c r="AA1032" s="14" t="str">
        <x:v>45596315</x:v>
      </x:c>
      <x:c r="AB1032" s="14" t="str">
        <x:v>2026-08-24</x:v>
      </x:c>
      <x:c r="AC1032" s="14" t="str"/>
      <x:c r="AD1032" s="20" t="str"/>
      <x:c r="AE1032" s="14" t="str"/>
      <x:c r="AF1032" s="14" t="n">
        <x:v>52</x:v>
      </x:c>
      <x:c r="AG1032" s="14" t="str">
        <x:v>I3</x:v>
      </x:c>
      <x:c r="AH1032" s="14" t="n">
        <x:v>1</x:v>
      </x:c>
      <x:c r="AI1032" s="14" t="n">
        <x:v>1</x:v>
      </x:c>
      <x:c r="AJ1032" s="18" t="n">
        <x:v>68040</x:v>
      </x:c>
      <x:c r="AK1032" s="14" t="str">
        <x:v>https://prozorro.gov.ua/tender/UA-2026-08-07-001705-a</x:v>
      </x:c>
      <x:c r="AL1032" s="19" t="n">
        <x:v>46241.298255960646</x:v>
      </x:c>
      <x:c r="AM1032" s="19" t="n">
        <x:v>46387</x:v>
      </x:c>
      <x:c r="AN1032" s="15" t="str">
        <x:v>Електромонтаж</x:v>
      </x:c>
      <x:c r="AO1032" s="15" t="str">
        <x:v>not_found_in_top_search</x:v>
      </x:c>
    </x:row>
    <x:row r="1033">
      <x:c r="A1033" s="14" t="str">
        <x:v>W4-214</x:v>
      </x:c>
      <x:c r="B1033" s="14" t="str">
        <x:v>Prozorro expansion — 24.08</x:v>
      </x:c>
      <x:c r="C1033" s="14" t="str">
        <x:v>ТОВАРИСТВО З ОБМЕЖЕНОЮ ВІДПОВІДАЛЬНІСТЮ "ЛІДЕР 77"</x:v>
      </x:c>
      <x:c r="D1033" s="14" t="str">
        <x:v>Покрівлі та гідроізоляція</x:v>
      </x:c>
      <x:c r="E1033" s="14" t="str">
        <x:v>Expansion discovery</x:v>
      </x:c>
      <x:c r="F1033" s="17" t="str">
        <x:v>D3</x:v>
      </x:c>
      <x:c r="G1033" s="14" t="str"/>
      <x:c r="H1033" s="14" t="str">
        <x:v>Discovery розширення — 2 тижні</x:v>
      </x:c>
      <x:c r="I1033" s="16" t="n">
        <x:v>1</x:v>
      </x:c>
      <x:c r="J1033" s="16" t="n">
        <x:v>5</x:v>
      </x:c>
      <x:c r="K1033" s="16" t="n">
        <x:v>5</x:v>
      </x:c>
      <x:c r="L1033" s="16" t="n">
        <x:v>1</x:v>
      </x:c>
      <x:c r="M1033" s="16" t="n">
        <x:v>5</x:v>
      </x:c>
      <x:c r="N1033" s="16" t="n">
        <x:v>5</x:v>
      </x:c>
      <x:c r="O1033" s="16" t="n">
        <x:v>3</x:v>
      </x:c>
      <x:c r="P1033" s="16" t="n">
        <x:f>IF(COUNT(I1033:O1033)&lt;7,"",I1033*8+J1033*3+K1033*2+L1033*2+M1033*2+N1033*2+O1033)</x:f>
        <x:v>58</x:v>
      </x:c>
      <x:c r="Q1033" s="16" t="n">
        <x:f>IF(COUNT(J1033:O1033)&lt;6,"",J1033*5+K1033*4+M1033*4+L1033*3+N1033*2+O1033*2)</x:f>
        <x:v>84</x:v>
      </x:c>
      <x:c r="R1033" s="14" t="str">
        <x:v>high</x:v>
      </x:c>
      <x:c r="S1033" s="14" t="str">
        <x:v>official_prozorro_award_2024_2026</x:v>
      </x:c>
      <x:c r="T1033" s="14" t="str">
        <x:v>official_prozorro_api</x:v>
      </x:c>
      <x:c r="U1033" s="14" t="str">
        <x:v>Не контактували</x:v>
      </x:c>
      <x:c r="V1033" s="15" t="str">
        <x:v>Workflow-audit outreach по UA-2026-07-20-000705-a; попросити 1 пакет здачі та вимоги проєкту</x:v>
      </x:c>
      <x:c r="W1033" s="15" t="str">
        <x:v>Власник / директор; керівник ПТО; відповідальний за договори</x:v>
      </x:c>
      <x:c r="X1033" s="15" t="str">
        <x:v>1 нових підтверджених перемог/договорів у Prozorro на 65 530 грн; 1 зі строком виконання не раніше 24.08.2026.</x:v>
      </x:c>
      <x:c r="Y1033"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 строк до 2026-12-31. Попросити один знеособлений пакет здачі за цим workflow.</x:v>
      </x:c>
      <x:c r="Z1033" s="15" t="str">
        <x:v>https://prozorro.gov.ua/tender/UA-2026-07-20-000705-a</x:v>
      </x:c>
      <x:c r="AA1033" s="14" t="str">
        <x:v>42898048</x:v>
      </x:c>
      <x:c r="AB1033" s="14" t="str">
        <x:v>2026-08-24</x:v>
      </x:c>
      <x:c r="AC1033" s="14" t="str"/>
      <x:c r="AD1033" s="20" t="str"/>
      <x:c r="AE1033" s="14" t="str"/>
      <x:c r="AF1033" s="14" t="n">
        <x:v>52</x:v>
      </x:c>
      <x:c r="AG1033" s="14" t="str">
        <x:v>I3</x:v>
      </x:c>
      <x:c r="AH1033" s="14" t="n">
        <x:v>1</x:v>
      </x:c>
      <x:c r="AI1033" s="14" t="n">
        <x:v>1</x:v>
      </x:c>
      <x:c r="AJ1033" s="18" t="n">
        <x:v>65529.6</x:v>
      </x:c>
      <x:c r="AK1033" s="14" t="str">
        <x:v>https://prozorro.gov.ua/tender/UA-2026-07-20-000705-a</x:v>
      </x:c>
      <x:c r="AL1033" s="19" t="n">
        <x:v>46223.27212579861</x:v>
      </x:c>
      <x:c r="AM1033" s="19" t="n">
        <x:v>46387</x:v>
      </x:c>
      <x:c r="AN1033" s="15" t="str">
        <x:v>Покрівлі та гідроізоляція</x:v>
      </x:c>
      <x:c r="AO1033" s="15" t="str">
        <x:v>not_found_in_top_search</x:v>
      </x:c>
    </x:row>
    <x:row r="1034">
      <x:c r="A1034" s="14" t="str">
        <x:v>W4-215</x:v>
      </x:c>
      <x:c r="B1034" s="14" t="str">
        <x:v>Prozorro expansion — 24.08</x:v>
      </x:c>
      <x:c r="C1034" s="14" t="str">
        <x:v>МЕЛЮХ ОЛЕКСАНДР ЯКОВИЧ</x:v>
      </x:c>
      <x:c r="D1034" s="14" t="str">
        <x:v>Пожежогасіння</x:v>
      </x:c>
      <x:c r="E1034" s="14" t="str">
        <x:v>Expansion discovery</x:v>
      </x:c>
      <x:c r="F1034" s="17" t="str">
        <x:v>D3</x:v>
      </x:c>
      <x:c r="G1034" s="14" t="str"/>
      <x:c r="H1034" s="14" t="str">
        <x:v>Discovery розширення — 2 тижні</x:v>
      </x:c>
      <x:c r="I1034" s="16" t="n">
        <x:v>1</x:v>
      </x:c>
      <x:c r="J1034" s="16" t="n">
        <x:v>5</x:v>
      </x:c>
      <x:c r="K1034" s="16" t="n">
        <x:v>5</x:v>
      </x:c>
      <x:c r="L1034" s="16" t="n">
        <x:v>1</x:v>
      </x:c>
      <x:c r="M1034" s="16" t="n">
        <x:v>5</x:v>
      </x:c>
      <x:c r="N1034" s="16" t="n">
        <x:v>3</x:v>
      </x:c>
      <x:c r="O1034" s="16" t="n">
        <x:v>3</x:v>
      </x:c>
      <x:c r="P1034" s="16" t="n">
        <x:f>IF(COUNT(I1034:O1034)&lt;7,"",I1034*8+J1034*3+K1034*2+L1034*2+M1034*2+N1034*2+O1034)</x:f>
        <x:v>54</x:v>
      </x:c>
      <x:c r="Q1034" s="16" t="n">
        <x:f>IF(COUNT(J1034:O1034)&lt;6,"",J1034*5+K1034*4+M1034*4+L1034*3+N1034*2+O1034*2)</x:f>
        <x:v>80</x:v>
      </x:c>
      <x:c r="R1034" s="14" t="str">
        <x:v>high</x:v>
      </x:c>
      <x:c r="S1034" s="14" t="str">
        <x:v>official_prozorro_award_2024_2026</x:v>
      </x:c>
      <x:c r="T1034" s="14" t="str">
        <x:v>official_prozorro_api</x:v>
      </x:c>
      <x:c r="U1034" s="14" t="str">
        <x:v>Не контактували</x:v>
      </x:c>
      <x:c r="V1034" s="15" t="str">
        <x:v>Workflow-audit outreach по UA-2026-07-27-005192-a; попросити 1 пакет здачі та вимоги проєкту</x:v>
      </x:c>
      <x:c r="W1034" s="15" t="str">
        <x:v>Власник / виконавець; відповідальний за договір</x:v>
      </x:c>
      <x:c r="X1034" s="15" t="str">
        <x:v>1 нових підтверджених перемог/договорів у Prozorro на 63 955 грн; 1 зі строком виконання не раніше 24.08.2026.</x:v>
      </x:c>
      <x:c r="Y1034"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 строк до 2026-12-31. Попросити один знеособлений пакет здачі за цим workflow.</x:v>
      </x:c>
      <x:c r="Z1034" s="15" t="str">
        <x:v>https://prozorro.gov.ua/tender/UA-2026-07-27-005192-a</x:v>
      </x:c>
      <x:c r="AA1034" s="14" t="str">
        <x:v>2330708930</x:v>
      </x:c>
      <x:c r="AB1034" s="14" t="str">
        <x:v>2026-08-24</x:v>
      </x:c>
      <x:c r="AC1034" s="14" t="str"/>
      <x:c r="AD1034" s="20" t="str"/>
      <x:c r="AE1034" s="14" t="str"/>
      <x:c r="AF1034" s="14" t="n">
        <x:v>52</x:v>
      </x:c>
      <x:c r="AG1034" s="14" t="str">
        <x:v>I3</x:v>
      </x:c>
      <x:c r="AH1034" s="14" t="n">
        <x:v>1</x:v>
      </x:c>
      <x:c r="AI1034" s="14" t="n">
        <x:v>1</x:v>
      </x:c>
      <x:c r="AJ1034" s="18" t="n">
        <x:v>63955.48</x:v>
      </x:c>
      <x:c r="AK1034" s="14" t="str">
        <x:v>https://prozorro.gov.ua/tender/UA-2026-07-27-005192-a</x:v>
      </x:c>
      <x:c r="AL1034" s="19" t="n">
        <x:v>46230.417593715276</x:v>
      </x:c>
      <x:c r="AM1034" s="19" t="n">
        <x:v>46387</x:v>
      </x:c>
      <x:c r="AN1034" s="15" t="str">
        <x:v>Пожежогасіння</x:v>
      </x:c>
      <x:c r="AO1034" s="15" t="str">
        <x:v>not_found_in_top_search</x:v>
      </x:c>
    </x:row>
    <x:row r="1035">
      <x:c r="A1035" s="14" t="str">
        <x:v>W4-216</x:v>
      </x:c>
      <x:c r="B1035" s="14" t="str">
        <x:v>Prozorro expansion — 24.08</x:v>
      </x:c>
      <x:c r="C1035" s="14" t="str">
        <x:v>ШВЕЦЬ СЕРГІЙ АНАТОЛІЙОВИЧ</x:v>
      </x:c>
      <x:c r="D1035" s="14" t="str">
        <x:v>Електромонтаж</x:v>
      </x:c>
      <x:c r="E1035" s="14" t="str">
        <x:v>Pilot now</x:v>
      </x:c>
      <x:c r="F1035" s="17" t="str">
        <x:v>P3</x:v>
      </x:c>
      <x:c r="G1035" s="14" t="str"/>
      <x:c r="H1035" s="14" t="str">
        <x:v>Пілот зараз — Н.15</x:v>
      </x:c>
      <x:c r="I1035" s="16" t="n">
        <x:v>5</x:v>
      </x:c>
      <x:c r="J1035" s="16" t="n">
        <x:v>5</x:v>
      </x:c>
      <x:c r="K1035" s="16" t="n">
        <x:v>4</x:v>
      </x:c>
      <x:c r="L1035" s="16" t="n">
        <x:v>1</x:v>
      </x:c>
      <x:c r="M1035" s="16" t="n">
        <x:v>5</x:v>
      </x:c>
      <x:c r="N1035" s="16" t="n">
        <x:v>3</x:v>
      </x:c>
      <x:c r="O1035" s="16" t="n">
        <x:v>3</x:v>
      </x:c>
      <x:c r="P1035" s="16" t="n">
        <x:f>IF(COUNT(I1035:O1035)&lt;7,"",I1035*8+J1035*3+K1035*2+L1035*2+M1035*2+N1035*2+O1035)</x:f>
        <x:v>84</x:v>
      </x:c>
      <x:c r="Q1035" s="16" t="n">
        <x:f>IF(COUNT(J1035:O1035)&lt;6,"",J1035*5+K1035*4+M1035*4+L1035*3+N1035*2+O1035*2)</x:f>
        <x:v>76</x:v>
      </x:c>
      <x:c r="R1035" s="14" t="str">
        <x:v>high</x:v>
      </x:c>
      <x:c r="S1035" s="14" t="str">
        <x:v>official_prozorro_award_2024_2026</x:v>
      </x:c>
      <x:c r="T1035" s="14" t="str">
        <x:v>official_prozorro_api</x:v>
      </x:c>
      <x:c r="U1035" s="14" t="str">
        <x:v>Не контактували</x:v>
      </x:c>
      <x:c r="V1035" s="15" t="str">
        <x:v>Персоналізований free-pilot outreach по UA-2026-08-04-000285-a; попросити 1 пакет Н.14/Н.15</x:v>
      </x:c>
      <x:c r="W1035" s="15" t="str">
        <x:v>Власник / виконавець; відповідальний за договір</x:v>
      </x:c>
      <x:c r="X1035" s="15" t="str">
        <x:v>1 нових підтверджених перемог/договорів у Prozorro на 62 583 грн; 0 зі строком виконання не раніше 24.08.2026.</x:v>
      </x:c>
      <x:c r="Y1035" s="15" t="str">
        <x:v>45310000-3 Електромонтажні роботи; строк до 2026-08-10. Попросити один знеособлений пакет здачі за цим workflow.</x:v>
      </x:c>
      <x:c r="Z1035" s="15" t="str">
        <x:v>https://prozorro.gov.ua/tender/UA-2026-08-04-000285-a</x:v>
      </x:c>
      <x:c r="AA1035" s="14" t="str">
        <x:v>2637906097</x:v>
      </x:c>
      <x:c r="AB1035" s="14" t="str">
        <x:v>2026-08-24</x:v>
      </x:c>
      <x:c r="AC1035" s="14" t="str"/>
      <x:c r="AD1035" s="20" t="str"/>
      <x:c r="AE1035" s="14" t="str"/>
      <x:c r="AF1035" s="14" t="n">
        <x:v>52</x:v>
      </x:c>
      <x:c r="AG1035" s="14" t="str">
        <x:v>I3</x:v>
      </x:c>
      <x:c r="AH1035" s="14" t="n">
        <x:v>1</x:v>
      </x:c>
      <x:c r="AI1035" s="14" t="n">
        <x:v>0</x:v>
      </x:c>
      <x:c r="AJ1035" s="18" t="n">
        <x:v>62582.92</x:v>
      </x:c>
      <x:c r="AK1035" s="14" t="str">
        <x:v>https://prozorro.gov.ua/tender/UA-2026-08-04-000285-a</x:v>
      </x:c>
      <x:c r="AL1035" s="19" t="n">
        <x:v>46238.236587453706</x:v>
      </x:c>
      <x:c r="AM1035" s="19" t="n">
        <x:v>46244</x:v>
      </x:c>
      <x:c r="AN1035" s="15" t="str">
        <x:v>Електромонтаж</x:v>
      </x:c>
      <x:c r="AO1035" s="15" t="str">
        <x:v>not_found_in_top_search</x:v>
      </x:c>
    </x:row>
    <x:row r="1036">
      <x:c r="A1036" s="14" t="str">
        <x:v>W4-217</x:v>
      </x:c>
      <x:c r="B1036" s="14" t="str">
        <x:v>Prozorro expansion — 24.08</x:v>
      </x:c>
      <x:c r="C1036" s="14" t="str">
        <x:v>ПОХИЛЮК ВАСИЛЬ ІВАНОВИЧ</x:v>
      </x:c>
      <x:c r="D1036" s="14" t="str">
        <x:v>Електромонтаж</x:v>
      </x:c>
      <x:c r="E1036" s="14" t="str">
        <x:v>Pilot now</x:v>
      </x:c>
      <x:c r="F1036" s="17" t="str">
        <x:v>P3</x:v>
      </x:c>
      <x:c r="G1036" s="14" t="str"/>
      <x:c r="H1036" s="14" t="str">
        <x:v>Пілот зараз — Н.15</x:v>
      </x:c>
      <x:c r="I1036" s="16" t="n">
        <x:v>5</x:v>
      </x:c>
      <x:c r="J1036" s="16" t="n">
        <x:v>5</x:v>
      </x:c>
      <x:c r="K1036" s="16" t="n">
        <x:v>4</x:v>
      </x:c>
      <x:c r="L1036" s="16" t="n">
        <x:v>1</x:v>
      </x:c>
      <x:c r="M1036" s="16" t="n">
        <x:v>5</x:v>
      </x:c>
      <x:c r="N1036" s="16" t="n">
        <x:v>3</x:v>
      </x:c>
      <x:c r="O1036" s="16" t="n">
        <x:v>3</x:v>
      </x:c>
      <x:c r="P1036" s="16" t="n">
        <x:f>IF(COUNT(I1036:O1036)&lt;7,"",I1036*8+J1036*3+K1036*2+L1036*2+M1036*2+N1036*2+O1036)</x:f>
        <x:v>84</x:v>
      </x:c>
      <x:c r="Q1036" s="16" t="n">
        <x:f>IF(COUNT(J1036:O1036)&lt;6,"",J1036*5+K1036*4+M1036*4+L1036*3+N1036*2+O1036*2)</x:f>
        <x:v>76</x:v>
      </x:c>
      <x:c r="R1036" s="14" t="str">
        <x:v>high</x:v>
      </x:c>
      <x:c r="S1036" s="14" t="str">
        <x:v>official_prozorro_award_2024_2026</x:v>
      </x:c>
      <x:c r="T1036" s="14" t="str">
        <x:v>official_prozorro_api</x:v>
      </x:c>
      <x:c r="U1036" s="14" t="str">
        <x:v>Не контактували</x:v>
      </x:c>
      <x:c r="V1036" s="15" t="str">
        <x:v>Персоналізований free-pilot outreach по UA-2026-08-20-008459-a; попросити 1 пакет Н.14/Н.15</x:v>
      </x:c>
      <x:c r="W1036" s="15" t="str">
        <x:v>Власник / виконавець; відповідальний за договір</x:v>
      </x:c>
      <x:c r="X1036" s="15" t="str">
        <x:v>1 нових підтверджених перемог/договорів у Prozorro на 62 500 грн; 0 зі строком виконання не раніше 24.08.2026.</x:v>
      </x:c>
      <x:c r="Y1036" s="15" t="str">
        <x:v>ДК021:2015:45310000-3 Електромонтажні роботи (Надання послуг по електромонтажним роботам в Мошнівському ліцеї Мошнівської сільської ради); строк до 2026-08-19. Попросити один знеособлений пакет здачі за цим workflow.</x:v>
      </x:c>
      <x:c r="Z1036" s="15" t="str">
        <x:v>https://prozorro.gov.ua/tender/UA-2026-08-20-008459-a</x:v>
      </x:c>
      <x:c r="AA1036" s="14" t="str">
        <x:v>1867306995</x:v>
      </x:c>
      <x:c r="AB1036" s="14" t="str">
        <x:v>2026-08-24</x:v>
      </x:c>
      <x:c r="AC1036" s="14" t="str"/>
      <x:c r="AD1036" s="20" t="str"/>
      <x:c r="AE1036" s="14" t="str"/>
      <x:c r="AF1036" s="14" t="n">
        <x:v>52</x:v>
      </x:c>
      <x:c r="AG1036" s="14" t="str">
        <x:v>I3</x:v>
      </x:c>
      <x:c r="AH1036" s="14" t="n">
        <x:v>1</x:v>
      </x:c>
      <x:c r="AI1036" s="14" t="n">
        <x:v>0</x:v>
      </x:c>
      <x:c r="AJ1036" s="18" t="n">
        <x:v>62500</x:v>
      </x:c>
      <x:c r="AK1036" s="14" t="str">
        <x:v>https://prozorro.gov.ua/tender/UA-2026-08-20-008459-a</x:v>
      </x:c>
      <x:c r="AL1036" s="19" t="n">
        <x:v>46254.48641186343</x:v>
      </x:c>
      <x:c r="AM1036" s="19" t="n">
        <x:v>46253</x:v>
      </x:c>
      <x:c r="AN1036" s="15" t="str">
        <x:v>Електромонтаж</x:v>
      </x:c>
      <x:c r="AO1036" s="15" t="str">
        <x:v>not_found_in_top_search</x:v>
      </x:c>
    </x:row>
    <x:row r="1037">
      <x:c r="A1037" s="14" t="str">
        <x:v>W4-218</x:v>
      </x:c>
      <x:c r="B1037" s="14" t="str">
        <x:v>Prozorro expansion — 24.08</x:v>
      </x:c>
      <x:c r="C1037" s="14" t="str">
        <x:v>ЛЕХТО ГАЛИНА ВОЛОДИМИРІВНА</x:v>
      </x:c>
      <x:c r="D1037" s="14" t="str">
        <x:v>Покрівлі та гідроізоляція</x:v>
      </x:c>
      <x:c r="E1037" s="14" t="str">
        <x:v>Expansion discovery</x:v>
      </x:c>
      <x:c r="F1037" s="17" t="str">
        <x:v>D3</x:v>
      </x:c>
      <x:c r="G1037" s="14" t="str"/>
      <x:c r="H1037" s="14" t="str">
        <x:v>Discovery розширення — 2 тижні</x:v>
      </x:c>
      <x:c r="I1037" s="16" t="n">
        <x:v>1</x:v>
      </x:c>
      <x:c r="J1037" s="16" t="n">
        <x:v>5</x:v>
      </x:c>
      <x:c r="K1037" s="16" t="n">
        <x:v>5</x:v>
      </x:c>
      <x:c r="L1037" s="16" t="n">
        <x:v>1</x:v>
      </x:c>
      <x:c r="M1037" s="16" t="n">
        <x:v>5</x:v>
      </x:c>
      <x:c r="N1037" s="16" t="n">
        <x:v>3</x:v>
      </x:c>
      <x:c r="O1037" s="16" t="n">
        <x:v>3</x:v>
      </x:c>
      <x:c r="P1037" s="16" t="n">
        <x:f>IF(COUNT(I1037:O1037)&lt;7,"",I1037*8+J1037*3+K1037*2+L1037*2+M1037*2+N1037*2+O1037)</x:f>
        <x:v>54</x:v>
      </x:c>
      <x:c r="Q1037" s="16" t="n">
        <x:f>IF(COUNT(J1037:O1037)&lt;6,"",J1037*5+K1037*4+M1037*4+L1037*3+N1037*2+O1037*2)</x:f>
        <x:v>80</x:v>
      </x:c>
      <x:c r="R1037" s="14" t="str">
        <x:v>high</x:v>
      </x:c>
      <x:c r="S1037" s="14" t="str">
        <x:v>official_prozorro_award_2024_2026</x:v>
      </x:c>
      <x:c r="T1037" s="14" t="str">
        <x:v>official_prozorro_api</x:v>
      </x:c>
      <x:c r="U1037" s="14" t="str">
        <x:v>Не контактували</x:v>
      </x:c>
      <x:c r="V1037" s="15" t="str">
        <x:v>Повторне звернення з новим тендерним сигналом UA-2025-10-10-000247-a; попросити 1 пакет здачі</x:v>
      </x:c>
      <x:c r="W1037" s="15" t="str">
        <x:v>Власник / виконавець; відповідальний за договір</x:v>
      </x:c>
      <x:c r="X1037" s="15" t="str">
        <x:v>1 нових підтверджених перемог/договорів у Prozorro на 49 984 грн; 1 зі строком виконання не раніше 24.08.2026.</x:v>
      </x:c>
      <x:c r="Y1037" s="15" t="str">
        <x:v>Покрівельні роботи та інші спеціалізовані будівельні роботи (Послуги з поточного ремонту покрівлі Гімназії № 2 Горішньоплавнівської міської ради Кременчуцького району Полтавської області. Частковий ремонт покрівлі із рулонних матеріалів. Ремонт покриттів навколо парапетів та інших виступних частин на даху. Забезпечення щільності примикання гідроізоляційного килиму до різних виступних конструкцій на покрівлі. Укріплення, дрібний ремонт парапетів, брандмауерів)   ; строк до 2026-12-31. Попросити один знеособлений пакет здачі за цим workflow.</x:v>
      </x:c>
      <x:c r="Z1037" s="15" t="str">
        <x:v>https://prozorro.gov.ua/tender/UA-2026-07-23-000304-a</x:v>
      </x:c>
      <x:c r="AA1037" s="14" t="str">
        <x:v>2282105881</x:v>
      </x:c>
      <x:c r="AB1037" s="14" t="str">
        <x:v>2026-08-24</x:v>
      </x:c>
      <x:c r="AC1037" s="14" t="str"/>
      <x:c r="AD1037" s="20" t="str"/>
      <x:c r="AE1037" s="14" t="str"/>
      <x:c r="AF1037" s="14" t="n">
        <x:v>52</x:v>
      </x:c>
      <x:c r="AG1037" s="14" t="str">
        <x:v>I3</x:v>
      </x:c>
      <x:c r="AH1037" s="14" t="n">
        <x:v>2</x:v>
      </x:c>
      <x:c r="AI1037" s="14" t="n">
        <x:v>1</x:v>
      </x:c>
      <x:c r="AJ1037" s="18" t="n">
        <x:v>539918.26</x:v>
      </x:c>
      <x:c r="AK1037" s="14" t="str">
        <x:v>https://prozorro.gov.ua/tender/UA-2025-10-10-000247-a</x:v>
      </x:c>
      <x:c r="AL1037" s="19" t="n">
        <x:v>45940.22908572917</x:v>
      </x:c>
      <x:c r="AM1037" s="19" t="n">
        <x:v>46022.916666655095</x:v>
      </x:c>
      <x:c r="AN1037" s="15" t="str">
        <x:v>Покрівлі та гідроізоляція; Ремонт і підсилення бетону</x:v>
      </x:c>
      <x:c r="AO1037" s="15" t="str">
        <x:v>not_found_in_top_search</x:v>
      </x:c>
    </x:row>
    <x:row r="1038">
      <x:c r="A1038" s="14" t="str">
        <x:v>W4-219</x:v>
      </x:c>
      <x:c r="B1038" s="14" t="str">
        <x:v>Prozorro expansion — 24.08</x:v>
      </x:c>
      <x:c r="C1038" s="14" t="str">
        <x:v>ГИРЯ ВАЛЕРІЙ АНДРІЙОВИЧ</x:v>
      </x:c>
      <x:c r="D1038" s="14" t="str">
        <x:v>Пасивний вогнезахист</x:v>
      </x:c>
      <x:c r="E1038" s="14" t="str">
        <x:v>Expansion discovery</x:v>
      </x:c>
      <x:c r="F1038" s="17" t="str">
        <x:v>D3</x:v>
      </x:c>
      <x:c r="G1038" s="14" t="str"/>
      <x:c r="H1038" s="14" t="str">
        <x:v>Discovery розширення — 2 тижні</x:v>
      </x:c>
      <x:c r="I1038" s="16" t="n">
        <x:v>1</x:v>
      </x:c>
      <x:c r="J1038" s="16" t="n">
        <x:v>5</x:v>
      </x:c>
      <x:c r="K1038" s="16" t="n">
        <x:v>5</x:v>
      </x:c>
      <x:c r="L1038" s="16" t="n">
        <x:v>1</x:v>
      </x:c>
      <x:c r="M1038" s="16" t="n">
        <x:v>5</x:v>
      </x:c>
      <x:c r="N1038" s="16" t="n">
        <x:v>3</x:v>
      </x:c>
      <x:c r="O1038" s="16" t="n">
        <x:v>3</x:v>
      </x:c>
      <x:c r="P1038" s="16" t="n">
        <x:f>IF(COUNT(I1038:O1038)&lt;7,"",I1038*8+J1038*3+K1038*2+L1038*2+M1038*2+N1038*2+O1038)</x:f>
        <x:v>54</x:v>
      </x:c>
      <x:c r="Q1038" s="16" t="n">
        <x:f>IF(COUNT(J1038:O1038)&lt;6,"",J1038*5+K1038*4+M1038*4+L1038*3+N1038*2+O1038*2)</x:f>
        <x:v>80</x:v>
      </x:c>
      <x:c r="R1038" s="14" t="str">
        <x:v>high</x:v>
      </x:c>
      <x:c r="S1038" s="14" t="str">
        <x:v>official_prozorro_award_2024_2026</x:v>
      </x:c>
      <x:c r="T1038" s="14" t="str">
        <x:v>official_prozorro_api</x:v>
      </x:c>
      <x:c r="U1038" s="14" t="str">
        <x:v>Не контактували</x:v>
      </x:c>
      <x:c r="V1038" s="15" t="str">
        <x:v>Workflow-audit outreach по UA-2026-08-03-010480-a; попросити 1 пакет здачі та вимоги проєкту</x:v>
      </x:c>
      <x:c r="W1038" s="15" t="str">
        <x:v>Власник / виконавець; відповідальний за договір</x:v>
      </x:c>
      <x:c r="X1038" s="15" t="str">
        <x:v>1 нових підтверджених перемог/договорів у Prozorro на 49 251 грн; 1 зі строком виконання не раніше 24.08.2026.</x:v>
      </x:c>
      <x:c r="Y1038" s="15" t="str">
        <x:v>Послуги з просочування деревини (Вогнезахисна  обробка дерев’яних конструкцій горища за адресою: м. Київ , вул. Маричанська, 4.) ; строк до 2026-12-31. Попросити один знеособлений пакет здачі за цим workflow.</x:v>
      </x:c>
      <x:c r="Z1038" s="15" t="str">
        <x:v>https://prozorro.gov.ua/tender/UA-2026-08-03-010480-a</x:v>
      </x:c>
      <x:c r="AA1038" s="14" t="str">
        <x:v>2960021353</x:v>
      </x:c>
      <x:c r="AB1038" s="14" t="str">
        <x:v>2026-08-24</x:v>
      </x:c>
      <x:c r="AC1038" s="14" t="str"/>
      <x:c r="AD1038" s="20" t="str"/>
      <x:c r="AE1038" s="14" t="str"/>
      <x:c r="AF1038" s="14" t="n">
        <x:v>52</x:v>
      </x:c>
      <x:c r="AG1038" s="14" t="str">
        <x:v>I3</x:v>
      </x:c>
      <x:c r="AH1038" s="14" t="n">
        <x:v>1</x:v>
      </x:c>
      <x:c r="AI1038" s="14" t="n">
        <x:v>1</x:v>
      </x:c>
      <x:c r="AJ1038" s="18" t="n">
        <x:v>49251.19</x:v>
      </x:c>
      <x:c r="AK1038" s="14" t="str">
        <x:v>https://prozorro.gov.ua/tender/UA-2026-08-03-010480-a</x:v>
      </x:c>
      <x:c r="AL1038" s="19" t="n">
        <x:v>46237.57262935185</x:v>
      </x:c>
      <x:c r="AM1038" s="19" t="n">
        <x:v>46387</x:v>
      </x:c>
      <x:c r="AN1038" s="15" t="str">
        <x:v>Пасивний вогнезахист</x:v>
      </x:c>
      <x:c r="AO1038" s="15" t="str">
        <x:v>not_found_in_top_search</x:v>
      </x:c>
    </x:row>
    <x:row r="1039">
      <x:c r="A1039" s="14" t="str">
        <x:v>W4-220</x:v>
      </x:c>
      <x:c r="B1039" s="14" t="str">
        <x:v>Prozorro expansion — 24.08</x:v>
      </x:c>
      <x:c r="C1039" s="14" t="str">
        <x:v>ВЕЛИКООЛЕКСАНДРІВСЬКЕ ПІДПРИЄМСТВО "КОМСЕРВІС"</x:v>
      </x:c>
      <x:c r="D1039" s="14" t="str">
        <x:v>Металоконструкції</x:v>
      </x:c>
      <x:c r="E1039" s="14" t="str">
        <x:v>Expansion discovery</x:v>
      </x:c>
      <x:c r="F1039" s="17" t="str">
        <x:v>D3</x:v>
      </x:c>
      <x:c r="G1039" s="14" t="str"/>
      <x:c r="H1039" s="14" t="str">
        <x:v>Discovery розширення — 2 тижні</x:v>
      </x:c>
      <x:c r="I1039" s="16" t="n">
        <x:v>1</x:v>
      </x:c>
      <x:c r="J1039" s="16" t="n">
        <x:v>5</x:v>
      </x:c>
      <x:c r="K1039" s="16" t="n">
        <x:v>5</x:v>
      </x:c>
      <x:c r="L1039" s="16" t="n">
        <x:v>1</x:v>
      </x:c>
      <x:c r="M1039" s="16" t="n">
        <x:v>5</x:v>
      </x:c>
      <x:c r="N1039" s="16" t="n">
        <x:v>5</x:v>
      </x:c>
      <x:c r="O1039" s="16" t="n">
        <x:v>3</x:v>
      </x:c>
      <x:c r="P1039" s="16" t="n">
        <x:f>IF(COUNT(I1039:O1039)&lt;7,"",I1039*8+J1039*3+K1039*2+L1039*2+M1039*2+N1039*2+O1039)</x:f>
        <x:v>58</x:v>
      </x:c>
      <x:c r="Q1039" s="16" t="n">
        <x:f>IF(COUNT(J1039:O1039)&lt;6,"",J1039*5+K1039*4+M1039*4+L1039*3+N1039*2+O1039*2)</x:f>
        <x:v>84</x:v>
      </x:c>
      <x:c r="R1039" s="14" t="str">
        <x:v>high</x:v>
      </x:c>
      <x:c r="S1039" s="14" t="str">
        <x:v>official_prozorro_award_2024_2026</x:v>
      </x:c>
      <x:c r="T1039" s="14" t="str">
        <x:v>official_prozorro_api</x:v>
      </x:c>
      <x:c r="U1039" s="14" t="str">
        <x:v>Не контактували</x:v>
      </x:c>
      <x:c r="V1039" s="15" t="str">
        <x:v>Workflow-audit outreach по UA-2026-08-05-003245-a; попросити 1 пакет здачі та вимоги проєкту</x:v>
      </x:c>
      <x:c r="W1039" s="15" t="str">
        <x:v>Власник / директор; керівник ПТО; відповідальний за договори</x:v>
      </x:c>
      <x:c r="X1039" s="15" t="str">
        <x:v>1 нових підтверджених перемог/договорів у Prozorro на 45 000 грн; 1 зі строком виконання не раніше 24.08.2026.</x:v>
      </x:c>
      <x:c r="Y1039" s="15" t="str">
        <x:v>Послуги по встановленню та монтажу металоконструкцій; строк до 2026-12-31. Попросити один знеособлений пакет здачі за цим workflow.</x:v>
      </x:c>
      <x:c r="Z1039" s="15" t="str">
        <x:v>https://prozorro.gov.ua/tender/UA-2026-08-05-003245-a</x:v>
      </x:c>
      <x:c r="AA1039" s="14" t="str">
        <x:v>34074946</x:v>
      </x:c>
      <x:c r="AB1039" s="14" t="str">
        <x:v>2026-08-24</x:v>
      </x:c>
      <x:c r="AC1039" s="14" t="str"/>
      <x:c r="AD1039" s="20" t="str"/>
      <x:c r="AE1039" s="14" t="str"/>
      <x:c r="AF1039" s="14" t="n">
        <x:v>52</x:v>
      </x:c>
      <x:c r="AG1039" s="14" t="str">
        <x:v>I3</x:v>
      </x:c>
      <x:c r="AH1039" s="14" t="n">
        <x:v>1</x:v>
      </x:c>
      <x:c r="AI1039" s="14" t="n">
        <x:v>1</x:v>
      </x:c>
      <x:c r="AJ1039" s="18" t="n">
        <x:v>45000</x:v>
      </x:c>
      <x:c r="AK1039" s="14" t="str">
        <x:v>https://prozorro.gov.ua/tender/UA-2026-08-05-003245-a</x:v>
      </x:c>
      <x:c r="AL1039" s="19" t="n">
        <x:v>46239.33666228009</x:v>
      </x:c>
      <x:c r="AM1039" s="19" t="n">
        <x:v>46387</x:v>
      </x:c>
      <x:c r="AN1039" s="15" t="str">
        <x:v>Металоконструкції</x:v>
      </x:c>
      <x:c r="AO1039" s="15" t="str">
        <x:v>not_found_in_top_search</x:v>
      </x:c>
    </x:row>
    <x:row r="1040">
      <x:c r="A1040" s="14" t="str">
        <x:v>W4-221</x:v>
      </x:c>
      <x:c r="B1040" s="14" t="str">
        <x:v>Prozorro expansion — 24.08</x:v>
      </x:c>
      <x:c r="C1040" s="14" t="str">
        <x:v>БОЧКАЙ АТТІЛА АТТІЛОВИЧ</x:v>
      </x:c>
      <x:c r="D1040" s="14" t="str">
        <x:v>Електромонтаж</x:v>
      </x:c>
      <x:c r="E1040" s="14" t="str">
        <x:v>Pilot now</x:v>
      </x:c>
      <x:c r="F1040" s="17" t="str">
        <x:v>P3</x:v>
      </x:c>
      <x:c r="G1040" s="14" t="str"/>
      <x:c r="H1040" s="14" t="str">
        <x:v>Пілот зараз — Н.15</x:v>
      </x:c>
      <x:c r="I1040" s="16" t="n">
        <x:v>5</x:v>
      </x:c>
      <x:c r="J1040" s="16" t="n">
        <x:v>5</x:v>
      </x:c>
      <x:c r="K1040" s="16" t="n">
        <x:v>4</x:v>
      </x:c>
      <x:c r="L1040" s="16" t="n">
        <x:v>1</x:v>
      </x:c>
      <x:c r="M1040" s="16" t="n">
        <x:v>5</x:v>
      </x:c>
      <x:c r="N1040" s="16" t="n">
        <x:v>3</x:v>
      </x:c>
      <x:c r="O1040" s="16" t="n">
        <x:v>3</x:v>
      </x:c>
      <x:c r="P1040" s="16" t="n">
        <x:f>IF(COUNT(I1040:O1040)&lt;7,"",I1040*8+J1040*3+K1040*2+L1040*2+M1040*2+N1040*2+O1040)</x:f>
        <x:v>84</x:v>
      </x:c>
      <x:c r="Q1040" s="16" t="n">
        <x:f>IF(COUNT(J1040:O1040)&lt;6,"",J1040*5+K1040*4+M1040*4+L1040*3+N1040*2+O1040*2)</x:f>
        <x:v>76</x:v>
      </x:c>
      <x:c r="R1040" s="14" t="str">
        <x:v>high</x:v>
      </x:c>
      <x:c r="S1040" s="14" t="str">
        <x:v>official_prozorro_award_2024_2026</x:v>
      </x:c>
      <x:c r="T1040" s="14" t="str">
        <x:v>official_prozorro_api</x:v>
      </x:c>
      <x:c r="U1040" s="14" t="str">
        <x:v>Не контактували</x:v>
      </x:c>
      <x:c r="V1040" s="15" t="str">
        <x:v>Персоналізований free-pilot outreach по UA-2026-08-21-008629-a; попросити 1 пакет Н.14/Н.15</x:v>
      </x:c>
      <x:c r="W1040" s="15" t="str">
        <x:v>Власник / виконавець; відповідальний за договір</x:v>
      </x:c>
      <x:c r="X1040" s="15" t="str">
        <x:v>1 нових підтверджених перемог/договорів у Prozorro на 38 890 грн; 1 зі строком виконання не раніше 24.08.2026.</x:v>
      </x:c>
      <x:c r="Y1040" s="15" t="str">
        <x:v>ДК 021:2015 - 45310000-3 Електромонтажні роботи; строк до 2026-12-31. Попросити один знеособлений пакет здачі за цим workflow.</x:v>
      </x:c>
      <x:c r="Z1040" s="15" t="str">
        <x:v>https://prozorro.gov.ua/tender/UA-2026-08-21-008629-a</x:v>
      </x:c>
      <x:c r="AA1040" s="14" t="str">
        <x:v>2926919370</x:v>
      </x:c>
      <x:c r="AB1040" s="14" t="str">
        <x:v>2026-08-24</x:v>
      </x:c>
      <x:c r="AC1040" s="14" t="str"/>
      <x:c r="AD1040" s="20" t="str"/>
      <x:c r="AE1040" s="14" t="str"/>
      <x:c r="AF1040" s="14" t="n">
        <x:v>52</x:v>
      </x:c>
      <x:c r="AG1040" s="14" t="str">
        <x:v>I3</x:v>
      </x:c>
      <x:c r="AH1040" s="14" t="n">
        <x:v>1</x:v>
      </x:c>
      <x:c r="AI1040" s="14" t="n">
        <x:v>1</x:v>
      </x:c>
      <x:c r="AJ1040" s="18" t="n">
        <x:v>38890</x:v>
      </x:c>
      <x:c r="AK1040" s="14" t="str">
        <x:v>https://prozorro.gov.ua/tender/UA-2026-08-21-008629-a</x:v>
      </x:c>
      <x:c r="AL1040" s="19" t="n">
        <x:v>46255.47831796296</x:v>
      </x:c>
      <x:c r="AM1040" s="19" t="n">
        <x:v>46387</x:v>
      </x:c>
      <x:c r="AN1040" s="15" t="str">
        <x:v>Електромонтаж</x:v>
      </x:c>
      <x:c r="AO1040" s="15" t="str">
        <x:v>not_found_in_top_search</x:v>
      </x:c>
    </x:row>
    <x:row r="1041">
      <x:c r="A1041" s="14" t="str">
        <x:v>W4-222</x:v>
      </x:c>
      <x:c r="B1041" s="14" t="str">
        <x:v>Prozorro expansion — 24.08</x:v>
      </x:c>
      <x:c r="C1041" s="14" t="str">
        <x:v>ПП "КОМ-СЕРВІС"</x:v>
      </x:c>
      <x:c r="D1041" s="14" t="str">
        <x:v>Електромонтаж</x:v>
      </x:c>
      <x:c r="E1041" s="14" t="str">
        <x:v>Pilot now</x:v>
      </x:c>
      <x:c r="F1041" s="17" t="str">
        <x:v>P3</x:v>
      </x:c>
      <x:c r="G1041" s="14" t="str"/>
      <x:c r="H1041" s="14" t="str">
        <x:v>Пілот зараз — Н.15</x:v>
      </x:c>
      <x:c r="I1041" s="16" t="n">
        <x:v>5</x:v>
      </x:c>
      <x:c r="J1041" s="16" t="n">
        <x:v>5</x:v>
      </x:c>
      <x:c r="K1041" s="16" t="n">
        <x:v>4</x:v>
      </x:c>
      <x:c r="L1041" s="16" t="n">
        <x:v>1</x:v>
      </x:c>
      <x:c r="M1041" s="16" t="n">
        <x:v>5</x:v>
      </x:c>
      <x:c r="N1041" s="16" t="n">
        <x:v>5</x:v>
      </x:c>
      <x:c r="O1041" s="16" t="n">
        <x:v>3</x:v>
      </x:c>
      <x:c r="P1041" s="16" t="n">
        <x:f>IF(COUNT(I1041:O1041)&lt;7,"",I1041*8+J1041*3+K1041*2+L1041*2+M1041*2+N1041*2+O1041)</x:f>
        <x:v>88</x:v>
      </x:c>
      <x:c r="Q1041" s="16" t="n">
        <x:f>IF(COUNT(J1041:O1041)&lt;6,"",J1041*5+K1041*4+M1041*4+L1041*3+N1041*2+O1041*2)</x:f>
        <x:v>80</x:v>
      </x:c>
      <x:c r="R1041" s="14" t="str">
        <x:v>high</x:v>
      </x:c>
      <x:c r="S1041" s="14" t="str">
        <x:v>official_prozorro_award_2024_2026</x:v>
      </x:c>
      <x:c r="T1041" s="14" t="str">
        <x:v>official_prozorro_api</x:v>
      </x:c>
      <x:c r="U1041" s="14" t="str">
        <x:v>Не контактували</x:v>
      </x:c>
      <x:c r="V1041" s="15" t="str">
        <x:v>Персоналізований free-pilot outreach по UA-2026-07-13-005772-a; попросити 1 пакет Н.14/Н.15</x:v>
      </x:c>
      <x:c r="W1041" s="15" t="str">
        <x:v>Власник / директор; керівник ПТО; відповідальний за договори</x:v>
      </x:c>
      <x:c r="X1041" s="15" t="str">
        <x:v>1 нових підтверджених перемог/договорів у Prozorro на 34 900 грн; 1 зі строком виконання не раніше 24.08.2026.</x:v>
      </x:c>
      <x:c r="Y1041" s="15" t="str">
        <x:v>Електромонтажні роботи; строк до 2026-12-31. Попросити один знеособлений пакет здачі за цим workflow.</x:v>
      </x:c>
      <x:c r="Z1041" s="15" t="str">
        <x:v>https://prozorro.gov.ua/tender/UA-2026-07-13-005772-a</x:v>
      </x:c>
      <x:c r="AA1041" s="14" t="str">
        <x:v>32129394</x:v>
      </x:c>
      <x:c r="AB1041" s="14" t="str">
        <x:v>2026-08-24</x:v>
      </x:c>
      <x:c r="AC1041" s="14" t="str"/>
      <x:c r="AD1041" s="20" t="str"/>
      <x:c r="AE1041" s="14" t="str"/>
      <x:c r="AF1041" s="14" t="n">
        <x:v>52</x:v>
      </x:c>
      <x:c r="AG1041" s="14" t="str">
        <x:v>I3</x:v>
      </x:c>
      <x:c r="AH1041" s="14" t="n">
        <x:v>1</x:v>
      </x:c>
      <x:c r="AI1041" s="14" t="n">
        <x:v>1</x:v>
      </x:c>
      <x:c r="AJ1041" s="18" t="n">
        <x:v>34900</x:v>
      </x:c>
      <x:c r="AK1041" s="14" t="str">
        <x:v>https://prozorro.gov.ua/tender/UA-2026-07-13-005772-a</x:v>
      </x:c>
      <x:c r="AL1041" s="19" t="n">
        <x:v>46216.44903820602</x:v>
      </x:c>
      <x:c r="AM1041" s="19" t="n">
        <x:v>46387</x:v>
      </x:c>
      <x:c r="AN1041" s="15" t="str">
        <x:v>Електромонтаж</x:v>
      </x:c>
      <x:c r="AO1041" s="15" t="str">
        <x:v>not_found_in_top_search</x:v>
      </x:c>
    </x:row>
    <x:row r="1042">
      <x:c r="A1042" s="14" t="str">
        <x:v>W4-223</x:v>
      </x:c>
      <x:c r="B1042" s="14" t="str">
        <x:v>Prozorro expansion — 24.08</x:v>
      </x:c>
      <x:c r="C1042" s="14" t="str">
        <x:v>Товариство з обмеженою відповідальністю "Белсім-Електро"</x:v>
      </x:c>
      <x:c r="D1042" s="14" t="str">
        <x:v>Електромонтаж</x:v>
      </x:c>
      <x:c r="E1042" s="14" t="str">
        <x:v>Pilot now</x:v>
      </x:c>
      <x:c r="F1042" s="17" t="str">
        <x:v>P3</x:v>
      </x:c>
      <x:c r="G1042" s="14" t="str"/>
      <x:c r="H1042" s="14" t="str">
        <x:v>Пілот зараз — Н.15</x:v>
      </x:c>
      <x:c r="I1042" s="16" t="n">
        <x:v>5</x:v>
      </x:c>
      <x:c r="J1042" s="16" t="n">
        <x:v>5</x:v>
      </x:c>
      <x:c r="K1042" s="16" t="n">
        <x:v>4</x:v>
      </x:c>
      <x:c r="L1042" s="16" t="n">
        <x:v>1</x:v>
      </x:c>
      <x:c r="M1042" s="16" t="n">
        <x:v>5</x:v>
      </x:c>
      <x:c r="N1042" s="16" t="n">
        <x:v>5</x:v>
      </x:c>
      <x:c r="O1042" s="16" t="n">
        <x:v>3</x:v>
      </x:c>
      <x:c r="P1042" s="16" t="n">
        <x:f>IF(COUNT(I1042:O1042)&lt;7,"",I1042*8+J1042*3+K1042*2+L1042*2+M1042*2+N1042*2+O1042)</x:f>
        <x:v>88</x:v>
      </x:c>
      <x:c r="Q1042" s="16" t="n">
        <x:f>IF(COUNT(J1042:O1042)&lt;6,"",J1042*5+K1042*4+M1042*4+L1042*3+N1042*2+O1042*2)</x:f>
        <x:v>80</x:v>
      </x:c>
      <x:c r="R1042" s="14" t="str">
        <x:v>high</x:v>
      </x:c>
      <x:c r="S1042" s="14" t="str">
        <x:v>official_prozorro_award_2024_2026</x:v>
      </x:c>
      <x:c r="T1042" s="14" t="str">
        <x:v>official_prozorro_api</x:v>
      </x:c>
      <x:c r="U1042" s="14" t="str">
        <x:v>Не контактували</x:v>
      </x:c>
      <x:c r="V1042" s="15" t="str">
        <x:v>Персоналізований free-pilot outreach по UA-2026-08-11-011482-a; попросити 1 пакет Н.14/Н.15</x:v>
      </x:c>
      <x:c r="W1042" s="15" t="str">
        <x:v>Власник / директор; керівник ПТО; відповідальний за договори</x:v>
      </x:c>
      <x:c r="X1042" s="15" t="str">
        <x:v>1 нових підтверджених перемог/договорів у Prozorro на 33 325 грн; 1 зі строком виконання не раніше 24.08.2026.</x:v>
      </x:c>
      <x:c r="Y1042" s="15" t="str">
        <x:v>Виконання зовнішніх електромонтажних робіт (ремонт системи електромережі), ДК 021:2015 45310000-3 Електромонтажні роботи; строк до 2026-12-31. Попросити один знеособлений пакет здачі за цим workflow.</x:v>
      </x:c>
      <x:c r="Z1042" s="15" t="str">
        <x:v>https://prozorro.gov.ua/tender/UA-2026-08-11-011482-a</x:v>
      </x:c>
      <x:c r="AA1042" s="14" t="str">
        <x:v>34388125</x:v>
      </x:c>
      <x:c r="AB1042" s="14" t="str">
        <x:v>2026-08-24</x:v>
      </x:c>
      <x:c r="AC1042" s="14" t="str"/>
      <x:c r="AD1042" s="20" t="str"/>
      <x:c r="AE1042" s="14" t="str"/>
      <x:c r="AF1042" s="14" t="n">
        <x:v>52</x:v>
      </x:c>
      <x:c r="AG1042" s="14" t="str">
        <x:v>I3</x:v>
      </x:c>
      <x:c r="AH1042" s="14" t="n">
        <x:v>1</x:v>
      </x:c>
      <x:c r="AI1042" s="14" t="n">
        <x:v>1</x:v>
      </x:c>
      <x:c r="AJ1042" s="18" t="n">
        <x:v>33325.2</x:v>
      </x:c>
      <x:c r="AK1042" s="14" t="str">
        <x:v>https://prozorro.gov.ua/tender/UA-2026-08-11-011482-a</x:v>
      </x:c>
      <x:c r="AL1042" s="19" t="n">
        <x:v>46245.5631933912</x:v>
      </x:c>
      <x:c r="AM1042" s="19" t="n">
        <x:v>46387</x:v>
      </x:c>
      <x:c r="AN1042" s="15" t="str">
        <x:v>Електромонтаж</x:v>
      </x:c>
      <x:c r="AO1042" s="15" t="str">
        <x:v>not_found_in_top_search</x:v>
      </x:c>
    </x:row>
    <x:row r="1043">
      <x:c r="A1043" s="14" t="str">
        <x:v>W4-224</x:v>
      </x:c>
      <x:c r="B1043" s="14" t="str">
        <x:v>Prozorro expansion — 24.08</x:v>
      </x:c>
      <x:c r="C1043" s="14" t="str">
        <x:v>ТОВАРИСТВО З ОБМЕЖЕНОЮ ВІДПОВІДАЛЬНІСТЮ «ПРАЙМЕЛЕКТРО»</x:v>
      </x:c>
      <x:c r="D1043" s="14" t="str">
        <x:v>Електромонтаж</x:v>
      </x:c>
      <x:c r="E1043" s="14" t="str">
        <x:v>Pilot now</x:v>
      </x:c>
      <x:c r="F1043" s="17" t="str">
        <x:v>P3</x:v>
      </x:c>
      <x:c r="G1043" s="14" t="str"/>
      <x:c r="H1043" s="14" t="str">
        <x:v>Пілот зараз — Н.15</x:v>
      </x:c>
      <x:c r="I1043" s="16" t="n">
        <x:v>5</x:v>
      </x:c>
      <x:c r="J1043" s="16" t="n">
        <x:v>5</x:v>
      </x:c>
      <x:c r="K1043" s="16" t="n">
        <x:v>4</x:v>
      </x:c>
      <x:c r="L1043" s="16" t="n">
        <x:v>1</x:v>
      </x:c>
      <x:c r="M1043" s="16" t="n">
        <x:v>5</x:v>
      </x:c>
      <x:c r="N1043" s="16" t="n">
        <x:v>5</x:v>
      </x:c>
      <x:c r="O1043" s="16" t="n">
        <x:v>3</x:v>
      </x:c>
      <x:c r="P1043" s="16" t="n">
        <x:f>IF(COUNT(I1043:O1043)&lt;7,"",I1043*8+J1043*3+K1043*2+L1043*2+M1043*2+N1043*2+O1043)</x:f>
        <x:v>88</x:v>
      </x:c>
      <x:c r="Q1043" s="16" t="n">
        <x:f>IF(COUNT(J1043:O1043)&lt;6,"",J1043*5+K1043*4+M1043*4+L1043*3+N1043*2+O1043*2)</x:f>
        <x:v>80</x:v>
      </x:c>
      <x:c r="R1043" s="14" t="str">
        <x:v>high</x:v>
      </x:c>
      <x:c r="S1043" s="14" t="str">
        <x:v>official_prozorro_award_2024_2026</x:v>
      </x:c>
      <x:c r="T1043" s="14" t="str">
        <x:v>official_prozorro_api</x:v>
      </x:c>
      <x:c r="U1043" s="14" t="str">
        <x:v>Не контактували</x:v>
      </x:c>
      <x:c r="V1043" s="15" t="str">
        <x:v>Персоналізований free-pilot outreach по UA-2026-07-27-003841-a; попросити 1 пакет Н.14/Н.15</x:v>
      </x:c>
      <x:c r="W1043" s="15" t="str">
        <x:v>Власник / директор; керівник ПТО; відповідальний за договори</x:v>
      </x:c>
      <x:c r="X1043" s="15" t="str">
        <x:v>1 нових підтверджених перемог/договорів у Prozorro на 31 200 грн; 1 зі строком виконання не раніше 24.08.2026.</x:v>
      </x:c>
      <x:c r="Y1043" s="15" t="str">
        <x:v>Код за ДК 021:2015: 45310000-3 — Електромонтажні роботи (електромонтажні роботи); строк до 2026-12-31. Попросити один знеособлений пакет здачі за цим workflow.</x:v>
      </x:c>
      <x:c r="Z1043" s="15" t="str">
        <x:v>https://prozorro.gov.ua/tender/UA-2026-07-27-003841-a</x:v>
      </x:c>
      <x:c r="AA1043" s="14" t="str">
        <x:v>43112697</x:v>
      </x:c>
      <x:c r="AB1043" s="14" t="str">
        <x:v>2026-08-24</x:v>
      </x:c>
      <x:c r="AC1043" s="14" t="str"/>
      <x:c r="AD1043" s="20" t="str"/>
      <x:c r="AE1043" s="14" t="str"/>
      <x:c r="AF1043" s="14" t="n">
        <x:v>52</x:v>
      </x:c>
      <x:c r="AG1043" s="14" t="str">
        <x:v>I3</x:v>
      </x:c>
      <x:c r="AH1043" s="14" t="n">
        <x:v>1</x:v>
      </x:c>
      <x:c r="AI1043" s="14" t="n">
        <x:v>1</x:v>
      </x:c>
      <x:c r="AJ1043" s="18" t="n">
        <x:v>31200</x:v>
      </x:c>
      <x:c r="AK1043" s="14" t="str">
        <x:v>https://prozorro.gov.ua/tender/UA-2026-07-27-003841-a</x:v>
      </x:c>
      <x:c r="AL1043" s="19" t="n">
        <x:v>46230.36579619213</x:v>
      </x:c>
      <x:c r="AM1043" s="19" t="n">
        <x:v>46387</x:v>
      </x:c>
      <x:c r="AN1043" s="15" t="str">
        <x:v>Електромонтаж</x:v>
      </x:c>
      <x:c r="AO1043" s="15" t="str">
        <x:v>not_found_in_top_search</x:v>
      </x:c>
    </x:row>
    <x:row r="1044">
      <x:c r="A1044" s="14" t="str">
        <x:v>W4-225</x:v>
      </x:c>
      <x:c r="B1044" s="14" t="str">
        <x:v>Prozorro expansion — 24.08</x:v>
      </x:c>
      <x:c r="C1044" s="14" t="str">
        <x:v>БОГОХВАЛ ОЛЕГ ГРИГОРОВИЧ</x:v>
      </x:c>
      <x:c r="D1044" s="14" t="str">
        <x:v>Електромонтаж</x:v>
      </x:c>
      <x:c r="E1044" s="14" t="str">
        <x:v>Pilot now</x:v>
      </x:c>
      <x:c r="F1044" s="17" t="str">
        <x:v>P3</x:v>
      </x:c>
      <x:c r="G1044" s="14" t="str"/>
      <x:c r="H1044" s="14" t="str">
        <x:v>Пілот зараз — Н.15</x:v>
      </x:c>
      <x:c r="I1044" s="16" t="n">
        <x:v>5</x:v>
      </x:c>
      <x:c r="J1044" s="16" t="n">
        <x:v>5</x:v>
      </x:c>
      <x:c r="K1044" s="16" t="n">
        <x:v>4</x:v>
      </x:c>
      <x:c r="L1044" s="16" t="n">
        <x:v>1</x:v>
      </x:c>
      <x:c r="M1044" s="16" t="n">
        <x:v>5</x:v>
      </x:c>
      <x:c r="N1044" s="16" t="n">
        <x:v>3</x:v>
      </x:c>
      <x:c r="O1044" s="16" t="n">
        <x:v>3</x:v>
      </x:c>
      <x:c r="P1044" s="16" t="n">
        <x:f>IF(COUNT(I1044:O1044)&lt;7,"",I1044*8+J1044*3+K1044*2+L1044*2+M1044*2+N1044*2+O1044)</x:f>
        <x:v>84</x:v>
      </x:c>
      <x:c r="Q1044" s="16" t="n">
        <x:f>IF(COUNT(J1044:O1044)&lt;6,"",J1044*5+K1044*4+M1044*4+L1044*3+N1044*2+O1044*2)</x:f>
        <x:v>76</x:v>
      </x:c>
      <x:c r="R1044" s="14" t="str">
        <x:v>high</x:v>
      </x:c>
      <x:c r="S1044" s="14" t="str">
        <x:v>official_prozorro_award_2024_2026</x:v>
      </x:c>
      <x:c r="T1044" s="14" t="str">
        <x:v>official_prozorro_api</x:v>
      </x:c>
      <x:c r="U1044" s="14" t="str">
        <x:v>Не контактували</x:v>
      </x:c>
      <x:c r="V1044" s="15" t="str">
        <x:v>Персоналізований free-pilot outreach по UA-2026-08-12-008965-a; попросити 1 пакет Н.14/Н.15</x:v>
      </x:c>
      <x:c r="W1044" s="15" t="str">
        <x:v>Власник / виконавець; відповідальний за договір</x:v>
      </x:c>
      <x:c r="X1044" s="15" t="str">
        <x:v>1 нових підтверджених перемог/договорів у Prozorro на 29 967 грн; 0 зі строком виконання не раніше 24.08.2026.</x:v>
      </x:c>
      <x:c r="Y1044" s="15" t="str">
        <x:v>Електромонтажні роботи по встановленню сирени оповіщення; строк до 2026-08-12. Попросити один знеособлений пакет здачі за цим workflow.</x:v>
      </x:c>
      <x:c r="Z1044" s="15" t="str">
        <x:v>https://prozorro.gov.ua/tender/UA-2026-08-12-008965-a</x:v>
      </x:c>
      <x:c r="AA1044" s="14" t="str">
        <x:v>1813504018</x:v>
      </x:c>
      <x:c r="AB1044" s="14" t="str">
        <x:v>2026-08-24</x:v>
      </x:c>
      <x:c r="AC1044" s="14" t="str"/>
      <x:c r="AD1044" s="20" t="str"/>
      <x:c r="AE1044" s="14" t="str"/>
      <x:c r="AF1044" s="14" t="n">
        <x:v>52</x:v>
      </x:c>
      <x:c r="AG1044" s="14" t="str">
        <x:v>I3</x:v>
      </x:c>
      <x:c r="AH1044" s="14" t="n">
        <x:v>1</x:v>
      </x:c>
      <x:c r="AI1044" s="14" t="n">
        <x:v>0</x:v>
      </x:c>
      <x:c r="AJ1044" s="18" t="n">
        <x:v>29967.15</x:v>
      </x:c>
      <x:c r="AK1044" s="14" t="str">
        <x:v>https://prozorro.gov.ua/tender/UA-2026-08-12-008965-a</x:v>
      </x:c>
      <x:c r="AL1044" s="19" t="n">
        <x:v>46246.51773314815</x:v>
      </x:c>
      <x:c r="AM1044" s="19" t="n">
        <x:v>46246</x:v>
      </x:c>
      <x:c r="AN1044" s="15" t="str">
        <x:v>Електромонтаж</x:v>
      </x:c>
      <x:c r="AO1044" s="15" t="str">
        <x:v>not_found_in_top_search</x:v>
      </x:c>
    </x:row>
    <x:row r="1045">
      <x:c r="A1045" s="14" t="str">
        <x:v>W4-226</x:v>
      </x:c>
      <x:c r="B1045" s="14" t="str">
        <x:v>Prozorro expansion — 24.08</x:v>
      </x:c>
      <x:c r="C1045" s="14" t="str">
        <x:v>ПРИВАТНЕ БУДІВЕЛЬНЕ ПІДПРИЄМСТВО "ЕНЕРГОСТАЛЬ"</x:v>
      </x:c>
      <x:c r="D1045" s="14" t="str">
        <x:v>Металоконструкції</x:v>
      </x:c>
      <x:c r="E1045" s="14" t="str">
        <x:v>Expansion discovery</x:v>
      </x:c>
      <x:c r="F1045" s="17" t="str">
        <x:v>D3</x:v>
      </x:c>
      <x:c r="G1045" s="14" t="str"/>
      <x:c r="H1045" s="14" t="str">
        <x:v>Discovery розширення — 2 тижні</x:v>
      </x:c>
      <x:c r="I1045" s="16" t="n">
        <x:v>1</x:v>
      </x:c>
      <x:c r="J1045" s="16" t="n">
        <x:v>5</x:v>
      </x:c>
      <x:c r="K1045" s="16" t="n">
        <x:v>5</x:v>
      </x:c>
      <x:c r="L1045" s="16" t="n">
        <x:v>1</x:v>
      </x:c>
      <x:c r="M1045" s="16" t="n">
        <x:v>5</x:v>
      </x:c>
      <x:c r="N1045" s="16" t="n">
        <x:v>5</x:v>
      </x:c>
      <x:c r="O1045" s="16" t="n">
        <x:v>3</x:v>
      </x:c>
      <x:c r="P1045" s="16" t="n">
        <x:f>IF(COUNT(I1045:O1045)&lt;7,"",I1045*8+J1045*3+K1045*2+L1045*2+M1045*2+N1045*2+O1045)</x:f>
        <x:v>58</x:v>
      </x:c>
      <x:c r="Q1045" s="16" t="n">
        <x:f>IF(COUNT(J1045:O1045)&lt;6,"",J1045*5+K1045*4+M1045*4+L1045*3+N1045*2+O1045*2)</x:f>
        <x:v>84</x:v>
      </x:c>
      <x:c r="R1045" s="14" t="str">
        <x:v>high</x:v>
      </x:c>
      <x:c r="S1045" s="14" t="str">
        <x:v>official_prozorro_award_2024_2026</x:v>
      </x:c>
      <x:c r="T1045" s="14" t="str">
        <x:v>official_prozorro_api</x:v>
      </x:c>
      <x:c r="U1045" s="14" t="str">
        <x:v>Не контактували</x:v>
      </x:c>
      <x:c r="V1045" s="15" t="str">
        <x:v>Workflow-audit outreach по UA-2026-07-14-002767-a; попросити 1 пакет здачі та вимоги проєкту</x:v>
      </x:c>
      <x:c r="W1045" s="15" t="str">
        <x:v>Власник / директор; керівник ПТО; відповідальний за договори</x:v>
      </x:c>
      <x:c r="X1045" s="15" t="str">
        <x:v>1 нових підтверджених перемог/договорів у Prozorro на 29 472 грн; 1 зі строком виконання не раніше 24.08.2026.</x:v>
      </x:c>
      <x:c r="Y1045" s="15" t="str">
        <x:v>Послуги з монтажу металоконструкції на території Михайло-Коцюбинського ЗДО "Пролісок" (ДК 021:2015 45220000-9 Інженерні та будівельні роботи); строк до 2026-12-31. Попросити один знеособлений пакет здачі за цим workflow.</x:v>
      </x:c>
      <x:c r="Z1045" s="15" t="str">
        <x:v>https://prozorro.gov.ua/tender/UA-2026-07-14-002767-a</x:v>
      </x:c>
      <x:c r="AA1045" s="14" t="str">
        <x:v>31275441</x:v>
      </x:c>
      <x:c r="AB1045" s="14" t="str">
        <x:v>2026-08-24</x:v>
      </x:c>
      <x:c r="AC1045" s="14" t="str"/>
      <x:c r="AD1045" s="20" t="str"/>
      <x:c r="AE1045" s="14" t="str"/>
      <x:c r="AF1045" s="14" t="n">
        <x:v>52</x:v>
      </x:c>
      <x:c r="AG1045" s="14" t="str">
        <x:v>I3</x:v>
      </x:c>
      <x:c r="AH1045" s="14" t="n">
        <x:v>1</x:v>
      </x:c>
      <x:c r="AI1045" s="14" t="n">
        <x:v>1</x:v>
      </x:c>
      <x:c r="AJ1045" s="18" t="n">
        <x:v>29472</x:v>
      </x:c>
      <x:c r="AK1045" s="14" t="str">
        <x:v>https://prozorro.gov.ua/tender/UA-2026-07-14-002767-a</x:v>
      </x:c>
      <x:c r="AL1045" s="19" t="n">
        <x:v>46217.32753390046</x:v>
      </x:c>
      <x:c r="AM1045" s="19" t="n">
        <x:v>46387</x:v>
      </x:c>
      <x:c r="AN1045" s="15" t="str">
        <x:v>Металоконструкції</x:v>
      </x:c>
      <x:c r="AO1045" s="15" t="str">
        <x:v>not_found_in_top_search</x:v>
      </x:c>
    </x:row>
    <x:row r="1046">
      <x:c r="A1046" s="14" t="str">
        <x:v>W4-227</x:v>
      </x:c>
      <x:c r="B1046" s="14" t="str">
        <x:v>Prozorro expansion — 24.08</x:v>
      </x:c>
      <x:c r="C1046" s="14" t="str">
        <x:v>ТОВАРИСТВО З ОБМЕЖЕНОЮ ВІДПОВІДАЛЬНІСТЮ "ЗОРТЕКС-СЕРВІС"</x:v>
      </x:c>
      <x:c r="D1046" s="14" t="str">
        <x:v>Електромонтаж</x:v>
      </x:c>
      <x:c r="E1046" s="14" t="str">
        <x:v>Pilot now</x:v>
      </x:c>
      <x:c r="F1046" s="17" t="str">
        <x:v>P3</x:v>
      </x:c>
      <x:c r="G1046" s="14" t="str"/>
      <x:c r="H1046" s="14" t="str">
        <x:v>Пілот зараз — Н.15</x:v>
      </x:c>
      <x:c r="I1046" s="16" t="n">
        <x:v>5</x:v>
      </x:c>
      <x:c r="J1046" s="16" t="n">
        <x:v>5</x:v>
      </x:c>
      <x:c r="K1046" s="16" t="n">
        <x:v>4</x:v>
      </x:c>
      <x:c r="L1046" s="16" t="n">
        <x:v>1</x:v>
      </x:c>
      <x:c r="M1046" s="16" t="n">
        <x:v>5</x:v>
      </x:c>
      <x:c r="N1046" s="16" t="n">
        <x:v>5</x:v>
      </x:c>
      <x:c r="O1046" s="16" t="n">
        <x:v>3</x:v>
      </x:c>
      <x:c r="P1046" s="16" t="n">
        <x:f>IF(COUNT(I1046:O1046)&lt;7,"",I1046*8+J1046*3+K1046*2+L1046*2+M1046*2+N1046*2+O1046)</x:f>
        <x:v>88</x:v>
      </x:c>
      <x:c r="Q1046" s="16" t="n">
        <x:f>IF(COUNT(J1046:O1046)&lt;6,"",J1046*5+K1046*4+M1046*4+L1046*3+N1046*2+O1046*2)</x:f>
        <x:v>80</x:v>
      </x:c>
      <x:c r="R1046" s="14" t="str">
        <x:v>high</x:v>
      </x:c>
      <x:c r="S1046" s="14" t="str">
        <x:v>official_prozorro_award_2024_2026</x:v>
      </x:c>
      <x:c r="T1046" s="14" t="str">
        <x:v>official_prozorro_api</x:v>
      </x:c>
      <x:c r="U1046" s="14" t="str">
        <x:v>Не контактували</x:v>
      </x:c>
      <x:c r="V1046" s="15" t="str">
        <x:v>Персоналізований free-pilot outreach по UA-2026-08-05-004853-a; попросити 1 пакет Н.14/Н.15</x:v>
      </x:c>
      <x:c r="W1046" s="15" t="str">
        <x:v>Власник / директор; керівник ПТО; відповідальний за договори</x:v>
      </x:c>
      <x:c r="X1046" s="15" t="str">
        <x:v>1 нових підтверджених перемог/договорів у Prozorro на 29 161 грн; 1 зі строком виконання не раніше 24.08.2026.</x:v>
      </x:c>
      <x:c r="Y1046" s="15" t="str">
        <x:v> Електромонтажні роботи (Поточний ремонт навчального корпусу №1 (електромонтажні роботи),м.Івано-Франківськ ,вул.Коновальця,72А); строк до 2026-12-31. Попросити один знеособлений пакет здачі за цим workflow.</x:v>
      </x:c>
      <x:c r="Z1046" s="15" t="str">
        <x:v>https://prozorro.gov.ua/tender/UA-2026-08-05-004853-a</x:v>
      </x:c>
      <x:c r="AA1046" s="14" t="str">
        <x:v>30475528</x:v>
      </x:c>
      <x:c r="AB1046" s="14" t="str">
        <x:v>2026-08-24</x:v>
      </x:c>
      <x:c r="AC1046" s="14" t="str"/>
      <x:c r="AD1046" s="20" t="str"/>
      <x:c r="AE1046" s="14" t="str"/>
      <x:c r="AF1046" s="14" t="n">
        <x:v>52</x:v>
      </x:c>
      <x:c r="AG1046" s="14" t="str">
        <x:v>I3</x:v>
      </x:c>
      <x:c r="AH1046" s="14" t="n">
        <x:v>1</x:v>
      </x:c>
      <x:c r="AI1046" s="14" t="n">
        <x:v>1</x:v>
      </x:c>
      <x:c r="AJ1046" s="18" t="n">
        <x:v>29160.64</x:v>
      </x:c>
      <x:c r="AK1046" s="14" t="str">
        <x:v>https://prozorro.gov.ua/tender/UA-2026-08-05-004853-a</x:v>
      </x:c>
      <x:c r="AL1046" s="19" t="n">
        <x:v>46239.37818479167</x:v>
      </x:c>
      <x:c r="AM1046" s="19" t="n">
        <x:v>46387</x:v>
      </x:c>
      <x:c r="AN1046" s="15" t="str">
        <x:v>Електромонтаж</x:v>
      </x:c>
      <x:c r="AO1046" s="15" t="str">
        <x:v>not_found_in_top_search</x:v>
      </x:c>
    </x:row>
    <x:row r="1047">
      <x:c r="A1047" s="14" t="str">
        <x:v>W4-228</x:v>
      </x:c>
      <x:c r="B1047" s="14" t="str">
        <x:v>Prozorro expansion — 24.08</x:v>
      </x:c>
      <x:c r="C1047" s="14" t="str">
        <x:v>ТзОВ "Будресурс ІГ"</x:v>
      </x:c>
      <x:c r="D1047" s="14" t="str">
        <x:v>Електромонтаж</x:v>
      </x:c>
      <x:c r="E1047" s="14" t="str">
        <x:v>Pilot now</x:v>
      </x:c>
      <x:c r="F1047" s="17" t="str">
        <x:v>P3</x:v>
      </x:c>
      <x:c r="G1047" s="14" t="str"/>
      <x:c r="H1047" s="14" t="str">
        <x:v>Пілот зараз — Н.15</x:v>
      </x:c>
      <x:c r="I1047" s="16" t="n">
        <x:v>5</x:v>
      </x:c>
      <x:c r="J1047" s="16" t="n">
        <x:v>5</x:v>
      </x:c>
      <x:c r="K1047" s="16" t="n">
        <x:v>4</x:v>
      </x:c>
      <x:c r="L1047" s="16" t="n">
        <x:v>1</x:v>
      </x:c>
      <x:c r="M1047" s="16" t="n">
        <x:v>5</x:v>
      </x:c>
      <x:c r="N1047" s="16" t="n">
        <x:v>5</x:v>
      </x:c>
      <x:c r="O1047" s="16" t="n">
        <x:v>3</x:v>
      </x:c>
      <x:c r="P1047" s="16" t="n">
        <x:f>IF(COUNT(I1047:O1047)&lt;7,"",I1047*8+J1047*3+K1047*2+L1047*2+M1047*2+N1047*2+O1047)</x:f>
        <x:v>88</x:v>
      </x:c>
      <x:c r="Q1047" s="16" t="n">
        <x:f>IF(COUNT(J1047:O1047)&lt;6,"",J1047*5+K1047*4+M1047*4+L1047*3+N1047*2+O1047*2)</x:f>
        <x:v>80</x:v>
      </x:c>
      <x:c r="R1047" s="14" t="str">
        <x:v>high</x:v>
      </x:c>
      <x:c r="S1047" s="14" t="str">
        <x:v>official_prozorro_award_2024_2026</x:v>
      </x:c>
      <x:c r="T1047" s="14" t="str">
        <x:v>official_prozorro_api</x:v>
      </x:c>
      <x:c r="U1047" s="14" t="str">
        <x:v>Не контактували</x:v>
      </x:c>
      <x:c r="V1047" s="15" t="str">
        <x:v>Персоналізований free-pilot outreach по UA-2026-07-17-006071-a; попросити 1 пакет Н.14/Н.15</x:v>
      </x:c>
      <x:c r="W1047" s="15" t="str">
        <x:v>Власник / директор; керівник ПТО; відповідальний за договори</x:v>
      </x:c>
      <x:c r="X1047" s="15" t="str">
        <x:v>1 нових підтверджених перемог/договорів у Prozorro на 27 469 грн; 1 зі строком виконання не раніше 24.08.2026.</x:v>
      </x:c>
      <x:c r="Y1047" s="15" t="str">
        <x:v>Електромонтажні роботи; строк до 2026-12-31. Попросити один знеособлений пакет здачі за цим workflow.</x:v>
      </x:c>
      <x:c r="Z1047" s="15" t="str">
        <x:v>https://prozorro.gov.ua/tender/UA-2026-07-17-006071-a</x:v>
      </x:c>
      <x:c r="AA1047" s="14" t="str">
        <x:v>35562693</x:v>
      </x:c>
      <x:c r="AB1047" s="14" t="str">
        <x:v>2026-08-24</x:v>
      </x:c>
      <x:c r="AC1047" s="14" t="str"/>
      <x:c r="AD1047" s="20" t="str"/>
      <x:c r="AE1047" s="14" t="str"/>
      <x:c r="AF1047" s="14" t="n">
        <x:v>52</x:v>
      </x:c>
      <x:c r="AG1047" s="14" t="str">
        <x:v>I3</x:v>
      </x:c>
      <x:c r="AH1047" s="14" t="n">
        <x:v>1</x:v>
      </x:c>
      <x:c r="AI1047" s="14" t="n">
        <x:v>1</x:v>
      </x:c>
      <x:c r="AJ1047" s="18" t="n">
        <x:v>27469.23</x:v>
      </x:c>
      <x:c r="AK1047" s="14" t="str">
        <x:v>https://prozorro.gov.ua/tender/UA-2026-07-17-006071-a</x:v>
      </x:c>
      <x:c r="AL1047" s="19" t="n">
        <x:v>46220.44082846065</x:v>
      </x:c>
      <x:c r="AM1047" s="19" t="n">
        <x:v>46387.48459490741</x:v>
      </x:c>
      <x:c r="AN1047" s="15" t="str">
        <x:v>Електромонтаж</x:v>
      </x:c>
      <x:c r="AO1047" s="15" t="str">
        <x:v>not_found_in_top_search</x:v>
      </x:c>
    </x:row>
    <x:row r="1048">
      <x:c r="A1048" s="14" t="str">
        <x:v>W4-229</x:v>
      </x:c>
      <x:c r="B1048" s="14" t="str">
        <x:v>Prozorro expansion — 24.08</x:v>
      </x:c>
      <x:c r="C1048" s="14" t="str">
        <x:v>ПОЛЯКОВ ПАВЛО ОЛЕГОВИЧ</x:v>
      </x:c>
      <x:c r="D1048" s="14" t="str">
        <x:v>Електромонтаж</x:v>
      </x:c>
      <x:c r="E1048" s="14" t="str">
        <x:v>Pilot now</x:v>
      </x:c>
      <x:c r="F1048" s="17" t="str">
        <x:v>P3</x:v>
      </x:c>
      <x:c r="G1048" s="14" t="str"/>
      <x:c r="H1048" s="14" t="str">
        <x:v>Пілот зараз — Н.15</x:v>
      </x:c>
      <x:c r="I1048" s="16" t="n">
        <x:v>5</x:v>
      </x:c>
      <x:c r="J1048" s="16" t="n">
        <x:v>5</x:v>
      </x:c>
      <x:c r="K1048" s="16" t="n">
        <x:v>4</x:v>
      </x:c>
      <x:c r="L1048" s="16" t="n">
        <x:v>1</x:v>
      </x:c>
      <x:c r="M1048" s="16" t="n">
        <x:v>5</x:v>
      </x:c>
      <x:c r="N1048" s="16" t="n">
        <x:v>3</x:v>
      </x:c>
      <x:c r="O1048" s="16" t="n">
        <x:v>3</x:v>
      </x:c>
      <x:c r="P1048" s="16" t="n">
        <x:f>IF(COUNT(I1048:O1048)&lt;7,"",I1048*8+J1048*3+K1048*2+L1048*2+M1048*2+N1048*2+O1048)</x:f>
        <x:v>84</x:v>
      </x:c>
      <x:c r="Q1048" s="16" t="n">
        <x:f>IF(COUNT(J1048:O1048)&lt;6,"",J1048*5+K1048*4+M1048*4+L1048*3+N1048*2+O1048*2)</x:f>
        <x:v>76</x:v>
      </x:c>
      <x:c r="R1048" s="14" t="str">
        <x:v>high</x:v>
      </x:c>
      <x:c r="S1048" s="14" t="str">
        <x:v>official_prozorro_award_2024_2026</x:v>
      </x:c>
      <x:c r="T1048" s="14" t="str">
        <x:v>official_prozorro_api</x:v>
      </x:c>
      <x:c r="U1048" s="14" t="str">
        <x:v>Не контактували</x:v>
      </x:c>
      <x:c r="V1048" s="15" t="str">
        <x:v>Персоналізований free-pilot outreach по UA-2026-07-22-002968-a; попросити 1 пакет Н.14/Н.15</x:v>
      </x:c>
      <x:c r="W1048" s="15" t="str">
        <x:v>Власник / виконавець; відповідальний за договір</x:v>
      </x:c>
      <x:c r="X1048" s="15" t="str">
        <x:v>1 нових підтверджених перемог/договорів у Prozorro на 22 100 грн; 1 зі строком виконання не раніше 24.08.2026.</x:v>
      </x:c>
      <x:c r="Y1048" s="15" t="str">
        <x:v>Електромонтажні роботи (Монтажні роботи та введення в експлуатацію СЕС); строк до 2026-08-31. Попросити один знеособлений пакет здачі за цим workflow.</x:v>
      </x:c>
      <x:c r="Z1048" s="15" t="str">
        <x:v>https://prozorro.gov.ua/tender/UA-2026-07-22-002968-a</x:v>
      </x:c>
      <x:c r="AA1048" s="14" t="str">
        <x:v>3302711552</x:v>
      </x:c>
      <x:c r="AB1048" s="14" t="str">
        <x:v>2026-08-24</x:v>
      </x:c>
      <x:c r="AC1048" s="14" t="str"/>
      <x:c r="AD1048" s="20" t="str"/>
      <x:c r="AE1048" s="14" t="str"/>
      <x:c r="AF1048" s="14" t="n">
        <x:v>52</x:v>
      </x:c>
      <x:c r="AG1048" s="14" t="str">
        <x:v>I3</x:v>
      </x:c>
      <x:c r="AH1048" s="14" t="n">
        <x:v>1</x:v>
      </x:c>
      <x:c r="AI1048" s="14" t="n">
        <x:v>1</x:v>
      </x:c>
      <x:c r="AJ1048" s="18" t="n">
        <x:v>22100</x:v>
      </x:c>
      <x:c r="AK1048" s="14" t="str">
        <x:v>https://prozorro.gov.ua/tender/UA-2026-07-22-002968-a</x:v>
      </x:c>
      <x:c r="AL1048" s="19" t="n">
        <x:v>46225.34049125</x:v>
      </x:c>
      <x:c r="AM1048" s="19" t="n">
        <x:v>46265</x:v>
      </x:c>
      <x:c r="AN1048" s="15" t="str">
        <x:v>Електромонтаж</x:v>
      </x:c>
      <x:c r="AO1048" s="15" t="str">
        <x:v>not_found_in_top_search</x:v>
      </x:c>
    </x:row>
    <x:row r="1049">
      <x:c r="A1049" s="14" t="str">
        <x:v>W4-230</x:v>
      </x:c>
      <x:c r="B1049" s="14" t="str">
        <x:v>Prozorro expansion — 24.08</x:v>
      </x:c>
      <x:c r="C1049" s="14" t="str">
        <x:v>ТОВАРИСТВО З ОБМЕЖЕНОЮ ВІДПОВІДАЛЬНІСТЮ "УКРКОМ ЛАЙН"</x:v>
      </x:c>
      <x:c r="D1049" s="14" t="str">
        <x:v>Електромонтаж</x:v>
      </x:c>
      <x:c r="E1049" s="14" t="str">
        <x:v>Pilot now</x:v>
      </x:c>
      <x:c r="F1049" s="17" t="str">
        <x:v>P3</x:v>
      </x:c>
      <x:c r="G1049" s="14" t="str"/>
      <x:c r="H1049" s="14" t="str">
        <x:v>Пілот зараз — Н.15</x:v>
      </x:c>
      <x:c r="I1049" s="16" t="n">
        <x:v>5</x:v>
      </x:c>
      <x:c r="J1049" s="16" t="n">
        <x:v>5</x:v>
      </x:c>
      <x:c r="K1049" s="16" t="n">
        <x:v>4</x:v>
      </x:c>
      <x:c r="L1049" s="16" t="n">
        <x:v>1</x:v>
      </x:c>
      <x:c r="M1049" s="16" t="n">
        <x:v>5</x:v>
      </x:c>
      <x:c r="N1049" s="16" t="n">
        <x:v>5</x:v>
      </x:c>
      <x:c r="O1049" s="16" t="n">
        <x:v>3</x:v>
      </x:c>
      <x:c r="P1049" s="16" t="n">
        <x:f>IF(COUNT(I1049:O1049)&lt;7,"",I1049*8+J1049*3+K1049*2+L1049*2+M1049*2+N1049*2+O1049)</x:f>
        <x:v>88</x:v>
      </x:c>
      <x:c r="Q1049" s="16" t="n">
        <x:f>IF(COUNT(J1049:O1049)&lt;6,"",J1049*5+K1049*4+M1049*4+L1049*3+N1049*2+O1049*2)</x:f>
        <x:v>80</x:v>
      </x:c>
      <x:c r="R1049" s="14" t="str">
        <x:v>high</x:v>
      </x:c>
      <x:c r="S1049" s="14" t="str">
        <x:v>official_prozorro_award_2024_2026</x:v>
      </x:c>
      <x:c r="T1049" s="14" t="str">
        <x:v>official_prozorro_api</x:v>
      </x:c>
      <x:c r="U1049" s="14" t="str">
        <x:v>Не контактували</x:v>
      </x:c>
      <x:c r="V1049" s="15" t="str">
        <x:v>Персоналізований free-pilot outreach по UA-2026-08-11-000774-a; попросити 1 пакет Н.14/Н.15</x:v>
      </x:c>
      <x:c r="W1049" s="15" t="str">
        <x:v>Власник / директор; керівник ПТО; відповідальний за договори</x:v>
      </x:c>
      <x:c r="X1049" s="15" t="str">
        <x:v>1 нових підтверджених перемог/договорів у Prozorro на 17 808 грн; 0 зі строком виконання не раніше 24.08.2026.</x:v>
      </x:c>
      <x:c r="Y1049" s="15" t="str">
        <x:v>Електромонтажні роботи (послуга з ремонту пошкодженої волоконнооптичної лінії зв'язку)
(код ДК 021:2015 - 45310000-3 Електромонтажні роботи); строк до 2026-08-17. Попросити один знеособлений пакет здачі за цим workflow.</x:v>
      </x:c>
      <x:c r="Z1049" s="15" t="str">
        <x:v>https://prozorro.gov.ua/tender/UA-2026-08-11-000774-a</x:v>
      </x:c>
      <x:c r="AA1049" s="14" t="str">
        <x:v>36217871</x:v>
      </x:c>
      <x:c r="AB1049" s="14" t="str">
        <x:v>2026-08-24</x:v>
      </x:c>
      <x:c r="AC1049" s="14" t="str"/>
      <x:c r="AD1049" s="20" t="str"/>
      <x:c r="AE1049" s="14" t="str"/>
      <x:c r="AF1049" s="14" t="n">
        <x:v>52</x:v>
      </x:c>
      <x:c r="AG1049" s="14" t="str">
        <x:v>I3</x:v>
      </x:c>
      <x:c r="AH1049" s="14" t="n">
        <x:v>1</x:v>
      </x:c>
      <x:c r="AI1049" s="14" t="n">
        <x:v>0</x:v>
      </x:c>
      <x:c r="AJ1049" s="18" t="n">
        <x:v>17808</x:v>
      </x:c>
      <x:c r="AK1049" s="14" t="str">
        <x:v>https://prozorro.gov.ua/tender/UA-2026-08-11-000774-a</x:v>
      </x:c>
      <x:c r="AL1049" s="19" t="n">
        <x:v>46245.26150061343</x:v>
      </x:c>
      <x:c r="AM1049" s="19" t="n">
        <x:v>46251</x:v>
      </x:c>
      <x:c r="AN1049" s="15" t="str">
        <x:v>Електромонтаж</x:v>
      </x:c>
      <x:c r="AO1049" s="15" t="str">
        <x:v>not_found_in_top_search</x:v>
      </x:c>
    </x:row>
    <x:row r="1050">
      <x:c r="A1050" s="14" t="str">
        <x:v>W4-231</x:v>
      </x:c>
      <x:c r="B1050" s="14" t="str">
        <x:v>Prozorro expansion — 24.08</x:v>
      </x:c>
      <x:c r="C1050" s="14" t="str">
        <x:v>ТОВАРИСТВО З ОБМЕЖЕНОЮ ВІДПОВІДАЛЬНІСТЮ "БАРС ГРУП"</x:v>
      </x:c>
      <x:c r="D1050" s="14" t="str">
        <x:v>Пасивний вогнезахист</x:v>
      </x:c>
      <x:c r="E1050" s="14" t="str">
        <x:v>Expansion discovery</x:v>
      </x:c>
      <x:c r="F1050" s="17" t="str">
        <x:v>D3</x:v>
      </x:c>
      <x:c r="G1050" s="14" t="str"/>
      <x:c r="H1050" s="14" t="str">
        <x:v>Discovery розширення — 2 тижні</x:v>
      </x:c>
      <x:c r="I1050" s="16" t="n">
        <x:v>1</x:v>
      </x:c>
      <x:c r="J1050" s="16" t="n">
        <x:v>5</x:v>
      </x:c>
      <x:c r="K1050" s="16" t="n">
        <x:v>5</x:v>
      </x:c>
      <x:c r="L1050" s="16" t="n">
        <x:v>1</x:v>
      </x:c>
      <x:c r="M1050" s="16" t="n">
        <x:v>5</x:v>
      </x:c>
      <x:c r="N1050" s="16" t="n">
        <x:v>5</x:v>
      </x:c>
      <x:c r="O1050" s="16" t="n">
        <x:v>3</x:v>
      </x:c>
      <x:c r="P1050" s="16" t="n">
        <x:f>IF(COUNT(I1050:O1050)&lt;7,"",I1050*8+J1050*3+K1050*2+L1050*2+M1050*2+N1050*2+O1050)</x:f>
        <x:v>58</x:v>
      </x:c>
      <x:c r="Q1050" s="16" t="n">
        <x:f>IF(COUNT(J1050:O1050)&lt;6,"",J1050*5+K1050*4+M1050*4+L1050*3+N1050*2+O1050*2)</x:f>
        <x:v>84</x:v>
      </x:c>
      <x:c r="R1050" s="14" t="str">
        <x:v>high</x:v>
      </x:c>
      <x:c r="S1050" s="14" t="str">
        <x:v>official_prozorro_award_2024_2026</x:v>
      </x:c>
      <x:c r="T1050" s="14" t="str">
        <x:v>official_prozorro_api</x:v>
      </x:c>
      <x:c r="U1050" s="14" t="str">
        <x:v>Не контактували</x:v>
      </x:c>
      <x:c r="V1050" s="15" t="str">
        <x:v>Workflow-audit outreach по UA-2026-08-12-006724-a; попросити 1 пакет здачі та вимоги проєкту</x:v>
      </x:c>
      <x:c r="W1050" s="15" t="str">
        <x:v>Власник / директор; керівник ПТО; відповідальний за договори</x:v>
      </x:c>
      <x:c r="X1050" s="15" t="str">
        <x:v>1 нових підтверджених перемог/договорів у Prozorro на 15 608 грн; 1 зі строком виконання не раніше 24.08.2026.</x:v>
      </x:c>
      <x:c r="Y1050" s="15" t="str">
        <x:v>Вогнезахисна обробка дерев'яних конструкцій покрівлі будівлі Скалівсько-Хуторського МПТБ; строк до 2026-12-31. Попросити один знеособлений пакет здачі за цим workflow.</x:v>
      </x:c>
      <x:c r="Z1050" s="15" t="str">
        <x:v>https://prozorro.gov.ua/tender/UA-2026-08-12-006724-a</x:v>
      </x:c>
      <x:c r="AA1050" s="14" t="str">
        <x:v>38606502</x:v>
      </x:c>
      <x:c r="AB1050" s="14" t="str">
        <x:v>2026-08-24</x:v>
      </x:c>
      <x:c r="AC1050" s="14" t="str"/>
      <x:c r="AD1050" s="20" t="str"/>
      <x:c r="AE1050" s="14" t="str"/>
      <x:c r="AF1050" s="14" t="n">
        <x:v>52</x:v>
      </x:c>
      <x:c r="AG1050" s="14" t="str">
        <x:v>I3</x:v>
      </x:c>
      <x:c r="AH1050" s="14" t="n">
        <x:v>1</x:v>
      </x:c>
      <x:c r="AI1050" s="14" t="n">
        <x:v>1</x:v>
      </x:c>
      <x:c r="AJ1050" s="18" t="n">
        <x:v>15608.4</x:v>
      </x:c>
      <x:c r="AK1050" s="14" t="str">
        <x:v>https://prozorro.gov.ua/tender/UA-2026-08-12-006724-a</x:v>
      </x:c>
      <x:c r="AL1050" s="19" t="n">
        <x:v>46246.46270398148</x:v>
      </x:c>
      <x:c r="AM1050" s="19" t="n">
        <x:v>46387</x:v>
      </x:c>
      <x:c r="AN1050" s="15" t="str">
        <x:v>Пасивний вогнезахист</x:v>
      </x:c>
      <x:c r="AO1050" s="15" t="str">
        <x:v>not_found_in_top_search</x:v>
      </x:c>
    </x:row>
    <x:row r="1051">
      <x:c r="A1051" s="14" t="str">
        <x:v>W4-232</x:v>
      </x:c>
      <x:c r="B1051" s="14" t="str">
        <x:v>Prozorro expansion — 24.08</x:v>
      </x:c>
      <x:c r="C1051" s="14" t="str">
        <x:v>ЗАЙОНЧКІВСЬКИЙ ВІКТОР ЦЕЗАРОВИЧ</x:v>
      </x:c>
      <x:c r="D1051" s="14" t="str">
        <x:v>Пасивний вогнезахист</x:v>
      </x:c>
      <x:c r="E1051" s="14" t="str">
        <x:v>Expansion discovery</x:v>
      </x:c>
      <x:c r="F1051" s="17" t="str">
        <x:v>D3</x:v>
      </x:c>
      <x:c r="G1051" s="14" t="str"/>
      <x:c r="H1051" s="14" t="str">
        <x:v>Discovery розширення — 2 тижні</x:v>
      </x:c>
      <x:c r="I1051" s="16" t="n">
        <x:v>1</x:v>
      </x:c>
      <x:c r="J1051" s="16" t="n">
        <x:v>5</x:v>
      </x:c>
      <x:c r="K1051" s="16" t="n">
        <x:v>5</x:v>
      </x:c>
      <x:c r="L1051" s="16" t="n">
        <x:v>1</x:v>
      </x:c>
      <x:c r="M1051" s="16" t="n">
        <x:v>5</x:v>
      </x:c>
      <x:c r="N1051" s="16" t="n">
        <x:v>3</x:v>
      </x:c>
      <x:c r="O1051" s="16" t="n">
        <x:v>3</x:v>
      </x:c>
      <x:c r="P1051" s="16" t="n">
        <x:f>IF(COUNT(I1051:O1051)&lt;7,"",I1051*8+J1051*3+K1051*2+L1051*2+M1051*2+N1051*2+O1051)</x:f>
        <x:v>54</x:v>
      </x:c>
      <x:c r="Q1051" s="16" t="n">
        <x:f>IF(COUNT(J1051:O1051)&lt;6,"",J1051*5+K1051*4+M1051*4+L1051*3+N1051*2+O1051*2)</x:f>
        <x:v>80</x:v>
      </x:c>
      <x:c r="R1051" s="14" t="str">
        <x:v>high</x:v>
      </x:c>
      <x:c r="S1051" s="14" t="str">
        <x:v>official_prozorro_award_2024_2026</x:v>
      </x:c>
      <x:c r="T1051" s="14" t="str">
        <x:v>official_prozorro_api</x:v>
      </x:c>
      <x:c r="U1051" s="14" t="str">
        <x:v>Не контактували</x:v>
      </x:c>
      <x:c r="V1051" s="15" t="str">
        <x:v>Workflow-audit outreach по UA-2026-08-05-008366-a; попросити 1 пакет здачі та вимоги проєкту</x:v>
      </x:c>
      <x:c r="W1051" s="15" t="str">
        <x:v>Власник / виконавець; відповідальний за договір</x:v>
      </x:c>
      <x:c r="X1051" s="15" t="str">
        <x:v>1 нових підтверджених перемог/договорів у Prozorro на 13 000 грн; 1 зі строком виконання не раніше 24.08.2026.</x:v>
      </x:c>
      <x:c r="Y1051" s="15" t="str">
        <x:v>Послуги з проведення вогнезахисної обробки (просочування) дерев'яних конструкцій горища; строк до 2026-08-31. Попросити один знеособлений пакет здачі за цим workflow.</x:v>
      </x:c>
      <x:c r="Z1051" s="15" t="str">
        <x:v>https://prozorro.gov.ua/tender/UA-2026-08-05-008366-a</x:v>
      </x:c>
      <x:c r="AA1051" s="14" t="str">
        <x:v>2390613314</x:v>
      </x:c>
      <x:c r="AB1051" s="14" t="str">
        <x:v>2026-08-24</x:v>
      </x:c>
      <x:c r="AC1051" s="14" t="str"/>
      <x:c r="AD1051" s="20" t="str"/>
      <x:c r="AE1051" s="14" t="str"/>
      <x:c r="AF1051" s="14" t="n">
        <x:v>52</x:v>
      </x:c>
      <x:c r="AG1051" s="14" t="str">
        <x:v>I3</x:v>
      </x:c>
      <x:c r="AH1051" s="14" t="n">
        <x:v>1</x:v>
      </x:c>
      <x:c r="AI1051" s="14" t="n">
        <x:v>1</x:v>
      </x:c>
      <x:c r="AJ1051" s="18" t="n">
        <x:v>13000</x:v>
      </x:c>
      <x:c r="AK1051" s="14" t="str">
        <x:v>https://prozorro.gov.ua/tender/UA-2026-08-05-008366-a</x:v>
      </x:c>
      <x:c r="AL1051" s="19" t="n">
        <x:v>46239.49423005787</x:v>
      </x:c>
      <x:c r="AM1051" s="19" t="n">
        <x:v>46265</x:v>
      </x:c>
      <x:c r="AN1051" s="15" t="str">
        <x:v>Пасивний вогнезахист</x:v>
      </x:c>
      <x:c r="AO1051" s="15" t="str">
        <x:v>not_found_in_top_search</x:v>
      </x:c>
    </x:row>
    <x:row r="1052">
      <x:c r="A1052" s="14" t="str">
        <x:v>W4-233</x:v>
      </x:c>
      <x:c r="B1052" s="14" t="str">
        <x:v>Prozorro expansion — 24.08</x:v>
      </x:c>
      <x:c r="C1052" s="14" t="str">
        <x:v>МАЛЕ ПІДПРИЄМСТВО "ВІКТОРІЯ"</x:v>
      </x:c>
      <x:c r="D1052" s="14" t="str">
        <x:v>Внутрішні сантехнічні системи</x:v>
      </x:c>
      <x:c r="E1052" s="14" t="str">
        <x:v>Pilot now</x:v>
      </x:c>
      <x:c r="F1052" s="17" t="str">
        <x:v>P3</x:v>
      </x:c>
      <x:c r="G1052" s="14" t="str"/>
      <x:c r="H1052" s="14" t="str">
        <x:v>Пілот зараз — Н.14</x:v>
      </x:c>
      <x:c r="I1052" s="16" t="n">
        <x:v>5</x:v>
      </x:c>
      <x:c r="J1052" s="16" t="n">
        <x:v>5</x:v>
      </x:c>
      <x:c r="K1052" s="16" t="n">
        <x:v>4</x:v>
      </x:c>
      <x:c r="L1052" s="16" t="n">
        <x:v>1</x:v>
      </x:c>
      <x:c r="M1052" s="16" t="n">
        <x:v>5</x:v>
      </x:c>
      <x:c r="N1052" s="16" t="n">
        <x:v>5</x:v>
      </x:c>
      <x:c r="O1052" s="16" t="n">
        <x:v>3</x:v>
      </x:c>
      <x:c r="P1052" s="16" t="n">
        <x:f>IF(COUNT(I1052:O1052)&lt;7,"",I1052*8+J1052*3+K1052*2+L1052*2+M1052*2+N1052*2+O1052)</x:f>
        <x:v>88</x:v>
      </x:c>
      <x:c r="Q1052" s="16" t="n">
        <x:f>IF(COUNT(J1052:O1052)&lt;6,"",J1052*5+K1052*4+M1052*4+L1052*3+N1052*2+O1052*2)</x:f>
        <x:v>80</x:v>
      </x:c>
      <x:c r="R1052" s="14" t="str">
        <x:v>high</x:v>
      </x:c>
      <x:c r="S1052" s="14" t="str">
        <x:v>official_prozorro_award_2024_2026</x:v>
      </x:c>
      <x:c r="T1052" s="14" t="str">
        <x:v>official_prozorro_api</x:v>
      </x:c>
      <x:c r="U1052" s="14" t="str">
        <x:v>Не контактували</x:v>
      </x:c>
      <x:c r="V1052" s="15" t="str">
        <x:v>Персоналізований free-pilot outreach по UA-2026-07-17-001739-a; попросити 1 пакет Н.14/Н.15</x:v>
      </x:c>
      <x:c r="W1052" s="15" t="str">
        <x:v>Власник / директор; керівник ПТО; відповідальний за договори</x:v>
      </x:c>
      <x:c r="X1052" s="15" t="str">
        <x:v>1 нових підтверджених перемог/договорів у Prozorro на 11 909 грн; 1 зі строком виконання не раніше 24.08.2026.</x:v>
      </x:c>
      <x:c r="Y1052"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 строк до 2026-12-31. Попросити один знеособлений пакет здачі за цим workflow.</x:v>
      </x:c>
      <x:c r="Z1052" s="15" t="str">
        <x:v>https://prozorro.gov.ua/tender/UA-2026-07-17-001739-a</x:v>
      </x:c>
      <x:c r="AA1052" s="14" t="str">
        <x:v>14029409</x:v>
      </x:c>
      <x:c r="AB1052" s="14" t="str">
        <x:v>2026-08-24</x:v>
      </x:c>
      <x:c r="AC1052" s="14" t="str"/>
      <x:c r="AD1052" s="20" t="str"/>
      <x:c r="AE1052" s="14" t="str"/>
      <x:c r="AF1052" s="14" t="n">
        <x:v>52</x:v>
      </x:c>
      <x:c r="AG1052" s="14" t="str">
        <x:v>I3</x:v>
      </x:c>
      <x:c r="AH1052" s="14" t="n">
        <x:v>1</x:v>
      </x:c>
      <x:c r="AI1052" s="14" t="n">
        <x:v>1</x:v>
      </x:c>
      <x:c r="AJ1052" s="18" t="n">
        <x:v>11908.8</x:v>
      </x:c>
      <x:c r="AK1052" s="14" t="str">
        <x:v>https://prozorro.gov.ua/tender/UA-2026-07-17-001739-a</x:v>
      </x:c>
      <x:c r="AL1052" s="19" t="n">
        <x:v>46220.30670662037</x:v>
      </x:c>
      <x:c r="AM1052" s="19" t="n">
        <x:v>46387</x:v>
      </x:c>
      <x:c r="AN1052" s="15" t="str">
        <x:v>Внутрішні сантехнічні системи</x:v>
      </x:c>
      <x:c r="AO1052" s="15" t="str">
        <x:v>not_found_in_top_search</x:v>
      </x:c>
    </x:row>
    <x:row r="1053">
      <x:c r="A1053" s="14" t="str">
        <x:v>W4-234</x:v>
      </x:c>
      <x:c r="B1053" s="14" t="str">
        <x:v>Prozorro expansion — 24.08</x:v>
      </x:c>
      <x:c r="C1053" s="14" t="str">
        <x:v>КОРЧЕВНИЙ ОЛЕКСІЙ ІГОРОВИЧ</x:v>
      </x:c>
      <x:c r="D1053" s="14" t="str">
        <x:v>Електромонтаж</x:v>
      </x:c>
      <x:c r="E1053" s="14" t="str">
        <x:v>Pilot now</x:v>
      </x:c>
      <x:c r="F1053" s="17" t="str">
        <x:v>P3</x:v>
      </x:c>
      <x:c r="G1053" s="14" t="str"/>
      <x:c r="H1053" s="14" t="str">
        <x:v>Пілот зараз — Н.15</x:v>
      </x:c>
      <x:c r="I1053" s="16" t="n">
        <x:v>5</x:v>
      </x:c>
      <x:c r="J1053" s="16" t="n">
        <x:v>5</x:v>
      </x:c>
      <x:c r="K1053" s="16" t="n">
        <x:v>4</x:v>
      </x:c>
      <x:c r="L1053" s="16" t="n">
        <x:v>1</x:v>
      </x:c>
      <x:c r="M1053" s="16" t="n">
        <x:v>5</x:v>
      </x:c>
      <x:c r="N1053" s="16" t="n">
        <x:v>3</x:v>
      </x:c>
      <x:c r="O1053" s="16" t="n">
        <x:v>3</x:v>
      </x:c>
      <x:c r="P1053" s="16" t="n">
        <x:f>IF(COUNT(I1053:O1053)&lt;7,"",I1053*8+J1053*3+K1053*2+L1053*2+M1053*2+N1053*2+O1053)</x:f>
        <x:v>84</x:v>
      </x:c>
      <x:c r="Q1053" s="16" t="n">
        <x:f>IF(COUNT(J1053:O1053)&lt;6,"",J1053*5+K1053*4+M1053*4+L1053*3+N1053*2+O1053*2)</x:f>
        <x:v>76</x:v>
      </x:c>
      <x:c r="R1053" s="14" t="str">
        <x:v>high</x:v>
      </x:c>
      <x:c r="S1053" s="14" t="str">
        <x:v>official_prozorro_award_2024_2026</x:v>
      </x:c>
      <x:c r="T1053" s="14" t="str">
        <x:v>official_prozorro_api</x:v>
      </x:c>
      <x:c r="U1053" s="14" t="str">
        <x:v>Не контактували</x:v>
      </x:c>
      <x:c r="V1053" s="15" t="str">
        <x:v>Персоналізований free-pilot outreach по UA-2026-07-28-003781-a; попросити 1 пакет Н.14/Н.15</x:v>
      </x:c>
      <x:c r="W1053" s="15" t="str">
        <x:v>Власник / виконавець; відповідальний за договір</x:v>
      </x:c>
      <x:c r="X1053" s="15" t="str">
        <x:v>1 нових підтверджених перемог/договорів у Prozorro на 11 530 грн; 1 зі строком виконання не раніше 24.08.2026.</x:v>
      </x:c>
      <x:c r="Y1053" s="15" t="str">
        <x:v>45310000-3 Електромонтажні роботи; строк до 2026-12-31. Попросити один знеособлений пакет здачі за цим workflow.</x:v>
      </x:c>
      <x:c r="Z1053" s="15" t="str">
        <x:v>https://prozorro.gov.ua/tender/UA-2026-07-28-003781-a</x:v>
      </x:c>
      <x:c r="AA1053" s="14" t="str">
        <x:v>3036122096</x:v>
      </x:c>
      <x:c r="AB1053" s="14" t="str">
        <x:v>2026-08-24</x:v>
      </x:c>
      <x:c r="AC1053" s="14" t="str"/>
      <x:c r="AD1053" s="20" t="str"/>
      <x:c r="AE1053" s="14" t="str"/>
      <x:c r="AF1053" s="14" t="n">
        <x:v>52</x:v>
      </x:c>
      <x:c r="AG1053" s="14" t="str">
        <x:v>I3</x:v>
      </x:c>
      <x:c r="AH1053" s="14" t="n">
        <x:v>1</x:v>
      </x:c>
      <x:c r="AI1053" s="14" t="n">
        <x:v>1</x:v>
      </x:c>
      <x:c r="AJ1053" s="18" t="n">
        <x:v>11530</x:v>
      </x:c>
      <x:c r="AK1053" s="14" t="str">
        <x:v>https://prozorro.gov.ua/tender/UA-2026-07-28-003781-a</x:v>
      </x:c>
      <x:c r="AL1053" s="19" t="n">
        <x:v>46231.35433361111</x:v>
      </x:c>
      <x:c r="AM1053" s="19" t="n">
        <x:v>46387</x:v>
      </x:c>
      <x:c r="AN1053" s="15" t="str">
        <x:v>Електромонтаж</x:v>
      </x:c>
      <x:c r="AO1053" s="15" t="str">
        <x:v>not_found_in_top_search</x:v>
      </x:c>
    </x:row>
    <x:row r="1054">
      <x:c r="A1054" s="14" t="str">
        <x:v>W4-235</x:v>
      </x:c>
      <x:c r="B1054" s="14" t="str">
        <x:v>Prozorro expansion — 24.08</x:v>
      </x:c>
      <x:c r="C1054" s="14" t="str">
        <x:v>ПП «ЕЛЕКТРОН-ІЧНЯ»</x:v>
      </x:c>
      <x:c r="D1054" s="14" t="str">
        <x:v>Електромонтаж</x:v>
      </x:c>
      <x:c r="E1054" s="14" t="str">
        <x:v>Pilot now</x:v>
      </x:c>
      <x:c r="F1054" s="17" t="str">
        <x:v>P3</x:v>
      </x:c>
      <x:c r="G1054" s="14" t="str"/>
      <x:c r="H1054" s="14" t="str">
        <x:v>Пілот зараз — Н.15</x:v>
      </x:c>
      <x:c r="I1054" s="16" t="n">
        <x:v>5</x:v>
      </x:c>
      <x:c r="J1054" s="16" t="n">
        <x:v>5</x:v>
      </x:c>
      <x:c r="K1054" s="16" t="n">
        <x:v>4</x:v>
      </x:c>
      <x:c r="L1054" s="16" t="n">
        <x:v>1</x:v>
      </x:c>
      <x:c r="M1054" s="16" t="n">
        <x:v>5</x:v>
      </x:c>
      <x:c r="N1054" s="16" t="n">
        <x:v>5</x:v>
      </x:c>
      <x:c r="O1054" s="16" t="n">
        <x:v>3</x:v>
      </x:c>
      <x:c r="P1054" s="16" t="n">
        <x:f>IF(COUNT(I1054:O1054)&lt;7,"",I1054*8+J1054*3+K1054*2+L1054*2+M1054*2+N1054*2+O1054)</x:f>
        <x:v>88</x:v>
      </x:c>
      <x:c r="Q1054" s="16" t="n">
        <x:f>IF(COUNT(J1054:O1054)&lt;6,"",J1054*5+K1054*4+M1054*4+L1054*3+N1054*2+O1054*2)</x:f>
        <x:v>80</x:v>
      </x:c>
      <x:c r="R1054" s="14" t="str">
        <x:v>high</x:v>
      </x:c>
      <x:c r="S1054" s="14" t="str">
        <x:v>official_prozorro_award_2024_2026</x:v>
      </x:c>
      <x:c r="T1054" s="14" t="str">
        <x:v>official_prozorro_api</x:v>
      </x:c>
      <x:c r="U1054" s="14" t="str">
        <x:v>Не контактували</x:v>
      </x:c>
      <x:c r="V1054" s="15" t="str">
        <x:v>Персоналізований free-pilot outreach по UA-2026-08-17-007633-a; попросити 1 пакет Н.14/Н.15</x:v>
      </x:c>
      <x:c r="W1054" s="15" t="str">
        <x:v>Власник / директор; керівник ПТО; відповідальний за договори</x:v>
      </x:c>
      <x:c r="X1054" s="15" t="str">
        <x:v>1 нових підтверджених перемог/договорів у Prozorro на 11 160 грн; 1 зі строком виконання не раніше 24.08.2026.</x:v>
      </x:c>
      <x:c r="Y1054" s="15" t="str">
        <x:v>Електромонтажні роботи по влаштуванню внутрішніх електричних мереж (код за ЕЗС ДК 021:2015 45310000-3 - Електромонтажні роботи); строк до 2026-12-31. Попросити один знеособлений пакет здачі за цим workflow.</x:v>
      </x:c>
      <x:c r="Z1054" s="15" t="str">
        <x:v>https://prozorro.gov.ua/tender/UA-2026-08-17-007633-a</x:v>
      </x:c>
      <x:c r="AA1054" s="14" t="str">
        <x:v>36080405</x:v>
      </x:c>
      <x:c r="AB1054" s="14" t="str">
        <x:v>2026-08-24</x:v>
      </x:c>
      <x:c r="AC1054" s="14" t="str"/>
      <x:c r="AD1054" s="20" t="str"/>
      <x:c r="AE1054" s="14" t="str"/>
      <x:c r="AF1054" s="14" t="n">
        <x:v>52</x:v>
      </x:c>
      <x:c r="AG1054" s="14" t="str">
        <x:v>I3</x:v>
      </x:c>
      <x:c r="AH1054" s="14" t="n">
        <x:v>1</x:v>
      </x:c>
      <x:c r="AI1054" s="14" t="n">
        <x:v>1</x:v>
      </x:c>
      <x:c r="AJ1054" s="18" t="n">
        <x:v>11160</x:v>
      </x:c>
      <x:c r="AK1054" s="14" t="str">
        <x:v>https://prozorro.gov.ua/tender/UA-2026-08-17-007633-a</x:v>
      </x:c>
      <x:c r="AL1054" s="19" t="n">
        <x:v>46251.48332384259</x:v>
      </x:c>
      <x:c r="AM1054" s="19" t="n">
        <x:v>46387.52746527778</x:v>
      </x:c>
      <x:c r="AN1054" s="15" t="str">
        <x:v>Електромонтаж</x:v>
      </x:c>
      <x:c r="AO1054" s="15" t="str">
        <x:v>not_found_in_top_search</x:v>
      </x:c>
    </x:row>
    <x:row r="1055">
      <x:c r="A1055" s="14" t="str">
        <x:v>W4-236</x:v>
      </x:c>
      <x:c r="B1055" s="14" t="str">
        <x:v>Prozorro expansion — 24.08</x:v>
      </x:c>
      <x:c r="C1055" s="14" t="str">
        <x:v>УПРАВЛІННЯ ПОЛІЦІЇ ОХОРОНИ В МИКОЛАЇВСЬКІЙ ОБЛАСТІ</x:v>
      </x:c>
      <x:c r="D1055" s="14" t="str">
        <x:v>Електромонтаж</x:v>
      </x:c>
      <x:c r="E1055" s="14" t="str">
        <x:v>Pilot now</x:v>
      </x:c>
      <x:c r="F1055" s="17" t="str">
        <x:v>P3</x:v>
      </x:c>
      <x:c r="G1055" s="14" t="str"/>
      <x:c r="H1055" s="14" t="str">
        <x:v>Пілот зараз — Н.15</x:v>
      </x:c>
      <x:c r="I1055" s="16" t="n">
        <x:v>5</x:v>
      </x:c>
      <x:c r="J1055" s="16" t="n">
        <x:v>5</x:v>
      </x:c>
      <x:c r="K1055" s="16" t="n">
        <x:v>4</x:v>
      </x:c>
      <x:c r="L1055" s="16" t="n">
        <x:v>1</x:v>
      </x:c>
      <x:c r="M1055" s="16" t="n">
        <x:v>5</x:v>
      </x:c>
      <x:c r="N1055" s="16" t="n">
        <x:v>5</x:v>
      </x:c>
      <x:c r="O1055" s="16" t="n">
        <x:v>3</x:v>
      </x:c>
      <x:c r="P1055" s="16" t="n">
        <x:f>IF(COUNT(I1055:O1055)&lt;7,"",I1055*8+J1055*3+K1055*2+L1055*2+M1055*2+N1055*2+O1055)</x:f>
        <x:v>88</x:v>
      </x:c>
      <x:c r="Q1055" s="16" t="n">
        <x:f>IF(COUNT(J1055:O1055)&lt;6,"",J1055*5+K1055*4+M1055*4+L1055*3+N1055*2+O1055*2)</x:f>
        <x:v>80</x:v>
      </x:c>
      <x:c r="R1055" s="14" t="str">
        <x:v>high</x:v>
      </x:c>
      <x:c r="S1055" s="14" t="str">
        <x:v>official_prozorro_award_2024_2026</x:v>
      </x:c>
      <x:c r="T1055" s="14" t="str">
        <x:v>official_prozorro_api</x:v>
      </x:c>
      <x:c r="U1055" s="14" t="str">
        <x:v>Не контактували</x:v>
      </x:c>
      <x:c r="V1055" s="15" t="str">
        <x:v>Повторне звернення з новим тендерним сигналом UA-2026-03-24-005608-a; попросити 1 пакет здачі</x:v>
      </x:c>
      <x:c r="W1055" s="15" t="str">
        <x:v>Власник / директор; керівник ПТО; відповідальний за договори</x:v>
      </x:c>
      <x:c r="X1055" s="15" t="str">
        <x:v>1 нових підтверджених перемог/договорів у Prozorro на 8 337 грн; 1 зі строком виконання не раніше 24.08.2026.</x:v>
      </x:c>
      <x:c r="Y1055" s="15" t="str">
        <x:v>Електромонтажні роботи (Встановлення систем охоронної сигналізації); строк до 2026-08-31. Попросити один знеособлений пакет здачі за цим workflow.</x:v>
      </x:c>
      <x:c r="Z1055" s="15" t="str">
        <x:v>https://prozorro.gov.ua/tender/UA-2026-08-19-005962-a</x:v>
      </x:c>
      <x:c r="AA1055" s="14" t="str">
        <x:v>40109016</x:v>
      </x:c>
      <x:c r="AB1055" s="14" t="str">
        <x:v>2026-08-24</x:v>
      </x:c>
      <x:c r="AC1055" s="14" t="str"/>
      <x:c r="AD1055" s="20" t="str"/>
      <x:c r="AE1055" s="14" t="str"/>
      <x:c r="AF1055" s="14" t="n">
        <x:v>52</x:v>
      </x:c>
      <x:c r="AG1055" s="14" t="str">
        <x:v>I3</x:v>
      </x:c>
      <x:c r="AH1055" s="14" t="n">
        <x:v>2</x:v>
      </x:c>
      <x:c r="AI1055" s="14" t="n">
        <x:v>2</x:v>
      </x:c>
      <x:c r="AJ1055" s="18" t="n">
        <x:v>78040.22</x:v>
      </x:c>
      <x:c r="AK1055" s="14" t="str">
        <x:v>https://prozorro.gov.ua/tender/UA-2026-03-24-005608-a</x:v>
      </x:c>
      <x:c r="AL1055" s="19" t="n">
        <x:v>46105.40913947917</x:v>
      </x:c>
      <x:c r="AM1055" s="19" t="n">
        <x:v>46387</x:v>
      </x:c>
      <x:c r="AN1055" s="15" t="str">
        <x:v>Електромонтаж; Промислова електрика / ПНР</x:v>
      </x:c>
      <x:c r="AO1055" s="15" t="str">
        <x:v>not_found_in_top_search</x:v>
      </x:c>
    </x:row>
    <x:row r="1056">
      <x:c r="A1056" s="14" t="str">
        <x:v>W4-237</x:v>
      </x:c>
      <x:c r="B1056" s="14" t="str">
        <x:v>Prozorro expansion — 24.08</x:v>
      </x:c>
      <x:c r="C1056" s="14" t="str">
        <x:v>ЛАВРИК ВОЛОДИМИР МИКОЛАЙОВИЧ</x:v>
      </x:c>
      <x:c r="D1056" s="14" t="str">
        <x:v>Пасивний вогнезахист</x:v>
      </x:c>
      <x:c r="E1056" s="14" t="str">
        <x:v>Expansion discovery</x:v>
      </x:c>
      <x:c r="F1056" s="17" t="str">
        <x:v>D3</x:v>
      </x:c>
      <x:c r="G1056" s="14" t="str"/>
      <x:c r="H1056" s="14" t="str">
        <x:v>Discovery розширення — 2 тижні</x:v>
      </x:c>
      <x:c r="I1056" s="16" t="n">
        <x:v>1</x:v>
      </x:c>
      <x:c r="J1056" s="16" t="n">
        <x:v>5</x:v>
      </x:c>
      <x:c r="K1056" s="16" t="n">
        <x:v>5</x:v>
      </x:c>
      <x:c r="L1056" s="16" t="n">
        <x:v>1</x:v>
      </x:c>
      <x:c r="M1056" s="16" t="n">
        <x:v>5</x:v>
      </x:c>
      <x:c r="N1056" s="16" t="n">
        <x:v>3</x:v>
      </x:c>
      <x:c r="O1056" s="16" t="n">
        <x:v>3</x:v>
      </x:c>
      <x:c r="P1056" s="16" t="n">
        <x:f>IF(COUNT(I1056:O1056)&lt;7,"",I1056*8+J1056*3+K1056*2+L1056*2+M1056*2+N1056*2+O1056)</x:f>
        <x:v>54</x:v>
      </x:c>
      <x:c r="Q1056" s="16" t="n">
        <x:f>IF(COUNT(J1056:O1056)&lt;6,"",J1056*5+K1056*4+M1056*4+L1056*3+N1056*2+O1056*2)</x:f>
        <x:v>80</x:v>
      </x:c>
      <x:c r="R1056" s="14" t="str">
        <x:v>high</x:v>
      </x:c>
      <x:c r="S1056" s="14" t="str">
        <x:v>official_prozorro_award_2024_2026</x:v>
      </x:c>
      <x:c r="T1056" s="14" t="str">
        <x:v>official_prozorro_api</x:v>
      </x:c>
      <x:c r="U1056" s="14" t="str">
        <x:v>Не контактували</x:v>
      </x:c>
      <x:c r="V1056" s="15" t="str">
        <x:v>Workflow-audit outreach по UA-2026-08-19-001035-a; попросити 1 пакет здачі та вимоги проєкту</x:v>
      </x:c>
      <x:c r="W1056" s="15" t="str">
        <x:v>Власник / виконавець; відповідальний за договір</x:v>
      </x:c>
      <x:c r="X1056" s="15" t="str">
        <x:v>1 нових підтверджених перемог/договорів у Prozorro на 7 760 грн; 1 зі строком виконання не раніше 24.08.2026.</x:v>
      </x:c>
      <x:c r="Y1056"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 строк до 2026-08-31. Попросити один знеособлений пакет здачі за цим workflow.</x:v>
      </x:c>
      <x:c r="Z1056" s="15" t="str">
        <x:v>https://prozorro.gov.ua/tender/UA-2026-08-19-001035-a</x:v>
      </x:c>
      <x:c r="AA1056" s="14" t="str">
        <x:v>2447102099</x:v>
      </x:c>
      <x:c r="AB1056" s="14" t="str">
        <x:v>2026-08-24</x:v>
      </x:c>
      <x:c r="AC1056" s="14" t="str"/>
      <x:c r="AD1056" s="20" t="str"/>
      <x:c r="AE1056" s="14" t="str"/>
      <x:c r="AF1056" s="14" t="n">
        <x:v>52</x:v>
      </x:c>
      <x:c r="AG1056" s="14" t="str">
        <x:v>I3</x:v>
      </x:c>
      <x:c r="AH1056" s="14" t="n">
        <x:v>1</x:v>
      </x:c>
      <x:c r="AI1056" s="14" t="n">
        <x:v>1</x:v>
      </x:c>
      <x:c r="AJ1056" s="18" t="n">
        <x:v>7759.9</x:v>
      </x:c>
      <x:c r="AK1056" s="14" t="str">
        <x:v>https://prozorro.gov.ua/tender/UA-2026-08-19-001035-a</x:v>
      </x:c>
      <x:c r="AL1056" s="19" t="n">
        <x:v>46253.29624150463</x:v>
      </x:c>
      <x:c r="AM1056" s="19" t="n">
        <x:v>46265</x:v>
      </x:c>
      <x:c r="AN1056" s="15" t="str">
        <x:v>Пасивний вогнезахист</x:v>
      </x:c>
      <x:c r="AO1056" s="15" t="str">
        <x:v>not_found_in_top_search</x:v>
      </x:c>
    </x:row>
    <x:row r="1057">
      <x:c r="A1057" s="14" t="str">
        <x:v>W4-238</x:v>
      </x:c>
      <x:c r="B1057" s="14" t="str">
        <x:v>Prozorro expansion — 24.08</x:v>
      </x:c>
      <x:c r="C1057" s="14" t="str">
        <x:v>СТРУКТУРНА ОДИНИЦЯ "ГАЙСИНСЬКІ ЕЛЕКТРИЧНІ МЕРЕЖІ" АКЦІОНЕРНОГО ТОВАРИСТВА "ВІННИЦЯОБЛЕНЕРГО"</x:v>
      </x:c>
      <x:c r="D1057" s="14" t="str">
        <x:v>Електромонтаж</x:v>
      </x:c>
      <x:c r="E1057" s="14" t="str">
        <x:v>Pilot now</x:v>
      </x:c>
      <x:c r="F1057" s="17" t="str">
        <x:v>P3</x:v>
      </x:c>
      <x:c r="G1057" s="14" t="str"/>
      <x:c r="H1057" s="14" t="str">
        <x:v>Пілот зараз — Н.15</x:v>
      </x:c>
      <x:c r="I1057" s="16" t="n">
        <x:v>5</x:v>
      </x:c>
      <x:c r="J1057" s="16" t="n">
        <x:v>5</x:v>
      </x:c>
      <x:c r="K1057" s="16" t="n">
        <x:v>4</x:v>
      </x:c>
      <x:c r="L1057" s="16" t="n">
        <x:v>1</x:v>
      </x:c>
      <x:c r="M1057" s="16" t="n">
        <x:v>5</x:v>
      </x:c>
      <x:c r="N1057" s="16" t="n">
        <x:v>5</x:v>
      </x:c>
      <x:c r="O1057" s="16" t="n">
        <x:v>3</x:v>
      </x:c>
      <x:c r="P1057" s="16" t="n">
        <x:f>IF(COUNT(I1057:O1057)&lt;7,"",I1057*8+J1057*3+K1057*2+L1057*2+M1057*2+N1057*2+O1057)</x:f>
        <x:v>88</x:v>
      </x:c>
      <x:c r="Q1057" s="16" t="n">
        <x:f>IF(COUNT(J1057:O1057)&lt;6,"",J1057*5+K1057*4+M1057*4+L1057*3+N1057*2+O1057*2)</x:f>
        <x:v>80</x:v>
      </x:c>
      <x:c r="R1057" s="14" t="str">
        <x:v>high</x:v>
      </x:c>
      <x:c r="S1057" s="14" t="str">
        <x:v>official_prozorro_award_2024_2026</x:v>
      </x:c>
      <x:c r="T1057" s="14" t="str">
        <x:v>official_prozorro_api</x:v>
      </x:c>
      <x:c r="U1057" s="14" t="str">
        <x:v>Не контактували</x:v>
      </x:c>
      <x:c r="V1057" s="15" t="str">
        <x:v>Персоналізований free-pilot outreach по UA-2026-07-13-009244-a; попросити 1 пакет Н.14/Н.15</x:v>
      </x:c>
      <x:c r="W1057" s="15" t="str">
        <x:v>Власник / директор; керівник ПТО; відповідальний за договори</x:v>
      </x:c>
      <x:c r="X1057" s="15" t="str">
        <x:v>1 нових підтверджених перемог/договорів у Prozorro на 7 105 грн; 1 зі строком виконання не раніше 24.08.2026.</x:v>
      </x:c>
      <x:c r="Y1057" s="15" t="str">
        <x:v>Електромонтажні роботи; строк до 2026-12-31. Попросити один знеособлений пакет здачі за цим workflow.</x:v>
      </x:c>
      <x:c r="Z1057" s="15" t="str">
        <x:v>https://prozorro.gov.ua/tender/UA-2026-07-13-009244-a</x:v>
      </x:c>
      <x:c r="AA1057" s="14" t="str">
        <x:v>25509897</x:v>
      </x:c>
      <x:c r="AB1057" s="14" t="str">
        <x:v>2026-08-24</x:v>
      </x:c>
      <x:c r="AC1057" s="14" t="str"/>
      <x:c r="AD1057" s="20" t="str"/>
      <x:c r="AE1057" s="14" t="str"/>
      <x:c r="AF1057" s="14" t="n">
        <x:v>52</x:v>
      </x:c>
      <x:c r="AG1057" s="14" t="str">
        <x:v>I3</x:v>
      </x:c>
      <x:c r="AH1057" s="14" t="n">
        <x:v>1</x:v>
      </x:c>
      <x:c r="AI1057" s="14" t="n">
        <x:v>1</x:v>
      </x:c>
      <x:c r="AJ1057" s="18" t="n">
        <x:v>7105.45</x:v>
      </x:c>
      <x:c r="AK1057" s="14" t="str">
        <x:v>https://prozorro.gov.ua/tender/UA-2026-07-13-009244-a</x:v>
      </x:c>
      <x:c r="AL1057" s="19" t="n">
        <x:v>46216.53856612268</x:v>
      </x:c>
      <x:c r="AM1057" s="19" t="n">
        <x:v>46387</x:v>
      </x:c>
      <x:c r="AN1057" s="15" t="str">
        <x:v>Електромонтаж</x:v>
      </x:c>
      <x:c r="AO1057" s="15" t="str">
        <x:v>not_found_in_top_search</x:v>
      </x:c>
    </x:row>
    <x:row r="1058">
      <x:c r="A1058" s="14" t="str">
        <x:v>W4-239</x:v>
      </x:c>
      <x:c r="B1058" s="14" t="str">
        <x:v>Prozorro expansion — 24.08</x:v>
      </x:c>
      <x:c r="C1058" s="14" t="str">
        <x:v>Товариство з обмеженою відповідальністю «Нетішин Інвентаризація»</x:v>
      </x:c>
      <x:c r="D1058" s="14" t="str">
        <x:v>Підстанції / силові мережі</x:v>
      </x:c>
      <x:c r="E1058" s="14" t="str">
        <x:v>Pilot now</x:v>
      </x:c>
      <x:c r="F1058" s="17" t="str">
        <x:v>P3</x:v>
      </x:c>
      <x:c r="G1058" s="14" t="str"/>
      <x:c r="H1058" s="14" t="str">
        <x:v>Пілот зараз — Н.15 subset</x:v>
      </x:c>
      <x:c r="I1058" s="16" t="n">
        <x:v>4</x:v>
      </x:c>
      <x:c r="J1058" s="16" t="n">
        <x:v>5</x:v>
      </x:c>
      <x:c r="K1058" s="16" t="n">
        <x:v>5</x:v>
      </x:c>
      <x:c r="L1058" s="16" t="n">
        <x:v>1</x:v>
      </x:c>
      <x:c r="M1058" s="16" t="n">
        <x:v>5</x:v>
      </x:c>
      <x:c r="N1058" s="16" t="n">
        <x:v>5</x:v>
      </x:c>
      <x:c r="O1058" s="16" t="n">
        <x:v>3</x:v>
      </x:c>
      <x:c r="P1058" s="16" t="n">
        <x:f>IF(COUNT(I1058:O1058)&lt;7,"",I1058*8+J1058*3+K1058*2+L1058*2+M1058*2+N1058*2+O1058)</x:f>
        <x:v>82</x:v>
      </x:c>
      <x:c r="Q1058" s="16" t="n">
        <x:f>IF(COUNT(J1058:O1058)&lt;6,"",J1058*5+K1058*4+M1058*4+L1058*3+N1058*2+O1058*2)</x:f>
        <x:v>84</x:v>
      </x:c>
      <x:c r="R1058" s="14" t="str">
        <x:v>high</x:v>
      </x:c>
      <x:c r="S1058" s="14" t="str">
        <x:v>official_prozorro_award_2024_2026</x:v>
      </x:c>
      <x:c r="T1058" s="14" t="str">
        <x:v>official_prozorro_api</x:v>
      </x:c>
      <x:c r="U1058" s="14" t="str">
        <x:v>Не контактували</x:v>
      </x:c>
      <x:c r="V1058" s="15" t="str">
        <x:v>Персоналізований free-pilot outreach по UA-2026-08-19-000635-a; попросити 1 пакет Н.14/Н.15</x:v>
      </x:c>
      <x:c r="W1058" s="15" t="str">
        <x:v>Власник / директор; керівник ПТО; відповідальний за договори</x:v>
      </x:c>
      <x:c r="X1058" s="15" t="str">
        <x:v>1 нових підтверджених перемог/договорів у Prozorro на 7 000 грн; 1 зі строком виконання не раніше 24.08.2026.</x:v>
      </x:c>
      <x:c r="Y1058"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 строк до 2026-09-10. Попросити один знеособлений пакет здачі за цим workflow.</x:v>
      </x:c>
      <x:c r="Z1058" s="15" t="str">
        <x:v>https://prozorro.gov.ua/tender/UA-2026-08-19-000635-a</x:v>
      </x:c>
      <x:c r="AA1058" s="14" t="str">
        <x:v>38535725</x:v>
      </x:c>
      <x:c r="AB1058" s="14" t="str">
        <x:v>2026-08-24</x:v>
      </x:c>
      <x:c r="AC1058" s="14" t="str"/>
      <x:c r="AD1058" s="20" t="str"/>
      <x:c r="AE1058" s="14" t="str"/>
      <x:c r="AF1058" s="14" t="n">
        <x:v>52</x:v>
      </x:c>
      <x:c r="AG1058" s="14" t="str">
        <x:v>I3</x:v>
      </x:c>
      <x:c r="AH1058" s="14" t="n">
        <x:v>1</x:v>
      </x:c>
      <x:c r="AI1058" s="14" t="n">
        <x:v>1</x:v>
      </x:c>
      <x:c r="AJ1058" s="18" t="n">
        <x:v>7000</x:v>
      </x:c>
      <x:c r="AK1058" s="14" t="str">
        <x:v>https://prozorro.gov.ua/tender/UA-2026-08-19-000635-a</x:v>
      </x:c>
      <x:c r="AL1058" s="19" t="n">
        <x:v>46253.258312060185</x:v>
      </x:c>
      <x:c r="AM1058" s="19" t="n">
        <x:v>46275</x:v>
      </x:c>
      <x:c r="AN1058" s="15" t="str">
        <x:v>Підстанції / силові мережі</x:v>
      </x:c>
      <x:c r="AO1058" s="15" t="str">
        <x:v>not_found_in_top_search</x:v>
      </x:c>
    </x:row>
    <x:row r="1059">
      <x:c r="A1059" s="14" t="str">
        <x:v>W4-240</x:v>
      </x:c>
      <x:c r="B1059" s="14" t="str">
        <x:v>Prozorro expansion — 24.08</x:v>
      </x:c>
      <x:c r="C1059" s="14" t="str">
        <x:v>СОЛОВЙОВ КОСТЯНТИН ІВАНОВИЧ</x:v>
      </x:c>
      <x:c r="D1059" s="14" t="str">
        <x:v>Електромонтаж</x:v>
      </x:c>
      <x:c r="E1059" s="14" t="str">
        <x:v>Pilot now</x:v>
      </x:c>
      <x:c r="F1059" s="17" t="str">
        <x:v>P3</x:v>
      </x:c>
      <x:c r="G1059" s="14" t="str"/>
      <x:c r="H1059" s="14" t="str">
        <x:v>Пілот зараз — Н.15</x:v>
      </x:c>
      <x:c r="I1059" s="16" t="n">
        <x:v>5</x:v>
      </x:c>
      <x:c r="J1059" s="16" t="n">
        <x:v>5</x:v>
      </x:c>
      <x:c r="K1059" s="16" t="n">
        <x:v>4</x:v>
      </x:c>
      <x:c r="L1059" s="16" t="n">
        <x:v>1</x:v>
      </x:c>
      <x:c r="M1059" s="16" t="n">
        <x:v>5</x:v>
      </x:c>
      <x:c r="N1059" s="16" t="n">
        <x:v>3</x:v>
      </x:c>
      <x:c r="O1059" s="16" t="n">
        <x:v>3</x:v>
      </x:c>
      <x:c r="P1059" s="16" t="n">
        <x:f>IF(COUNT(I1059:O1059)&lt;7,"",I1059*8+J1059*3+K1059*2+L1059*2+M1059*2+N1059*2+O1059)</x:f>
        <x:v>84</x:v>
      </x:c>
      <x:c r="Q1059" s="16" t="n">
        <x:f>IF(COUNT(J1059:O1059)&lt;6,"",J1059*5+K1059*4+M1059*4+L1059*3+N1059*2+O1059*2)</x:f>
        <x:v>76</x:v>
      </x:c>
      <x:c r="R1059" s="14" t="str">
        <x:v>high</x:v>
      </x:c>
      <x:c r="S1059" s="14" t="str">
        <x:v>official_prozorro_award_2024_2026</x:v>
      </x:c>
      <x:c r="T1059" s="14" t="str">
        <x:v>official_prozorro_api</x:v>
      </x:c>
      <x:c r="U1059" s="14" t="str">
        <x:v>Не контактували</x:v>
      </x:c>
      <x:c r="V1059" s="15" t="str">
        <x:v>Персоналізований free-pilot outreach по UA-2026-08-04-008648-a; попросити 1 пакет Н.14/Н.15</x:v>
      </x:c>
      <x:c r="W1059" s="15" t="str">
        <x:v>Власник / виконавець; відповідальний за договір</x:v>
      </x:c>
      <x:c r="X1059" s="15" t="str">
        <x:v>1 нових підтверджених перемог/договорів у Prozorro на 5 170 грн; 1 зі строком виконання не раніше 24.08.2026.</x:v>
      </x:c>
      <x:c r="Y1059" s="15" t="str">
        <x:v>45310000 - 3 «Електромонтажні роботи»; строк до 2026-12-31. Попросити один знеособлений пакет здачі за цим workflow.</x:v>
      </x:c>
      <x:c r="Z1059" s="15" t="str">
        <x:v>https://prozorro.gov.ua/tender/UA-2026-08-04-008648-a</x:v>
      </x:c>
      <x:c r="AA1059" s="14" t="str">
        <x:v>2587309335</x:v>
      </x:c>
      <x:c r="AB1059" s="14" t="str">
        <x:v>2026-08-24</x:v>
      </x:c>
      <x:c r="AC1059" s="14" t="str"/>
      <x:c r="AD1059" s="20" t="str"/>
      <x:c r="AE1059" s="14" t="str"/>
      <x:c r="AF1059" s="14" t="n">
        <x:v>52</x:v>
      </x:c>
      <x:c r="AG1059" s="14" t="str">
        <x:v>I3</x:v>
      </x:c>
      <x:c r="AH1059" s="14" t="n">
        <x:v>1</x:v>
      </x:c>
      <x:c r="AI1059" s="14" t="n">
        <x:v>1</x:v>
      </x:c>
      <x:c r="AJ1059" s="18" t="n">
        <x:v>5170</x:v>
      </x:c>
      <x:c r="AK1059" s="14" t="str">
        <x:v>https://prozorro.gov.ua/tender/UA-2026-08-04-008648-a</x:v>
      </x:c>
      <x:c r="AL1059" s="19" t="n">
        <x:v>46238.50361935185</x:v>
      </x:c>
      <x:c r="AM1059" s="19" t="n">
        <x:v>46387</x:v>
      </x:c>
      <x:c r="AN1059" s="15" t="str">
        <x:v>Електромонтаж</x:v>
      </x:c>
      <x:c r="AO1059" s="15" t="str">
        <x:v>not_found_in_top_search</x:v>
      </x:c>
    </x:row>
    <x:row r="1060">
      <x:c r="A1060" s="14" t="str">
        <x:v>W4-241</x:v>
      </x:c>
      <x:c r="B1060" s="14" t="str">
        <x:v>Prozorro expansion — 24.08</x:v>
      </x:c>
      <x:c r="C1060" s="14" t="str">
        <x:v>Приватне підприємство "Агентство Консалт"</x:v>
      </x:c>
      <x:c r="D1060" s="14" t="str">
        <x:v>Зовнішнє освітлення</x:v>
      </x:c>
      <x:c r="E1060" s="14" t="str">
        <x:v>Pilot now</x:v>
      </x:c>
      <x:c r="F1060" s="17" t="str">
        <x:v>P3</x:v>
      </x:c>
      <x:c r="G1060" s="14" t="str"/>
      <x:c r="H1060" s="14" t="str">
        <x:v>Пілот зараз — Н.15 subset</x:v>
      </x:c>
      <x:c r="I1060" s="16" t="n">
        <x:v>4</x:v>
      </x:c>
      <x:c r="J1060" s="16" t="n">
        <x:v>5</x:v>
      </x:c>
      <x:c r="K1060" s="16" t="n">
        <x:v>4</x:v>
      </x:c>
      <x:c r="L1060" s="16" t="n">
        <x:v>1</x:v>
      </x:c>
      <x:c r="M1060" s="16" t="n">
        <x:v>5</x:v>
      </x:c>
      <x:c r="N1060" s="16" t="n">
        <x:v>5</x:v>
      </x:c>
      <x:c r="O1060" s="16" t="n">
        <x:v>3</x:v>
      </x:c>
      <x:c r="P1060" s="16" t="n">
        <x:f>IF(COUNT(I1060:O1060)&lt;7,"",I1060*8+J1060*3+K1060*2+L1060*2+M1060*2+N1060*2+O1060)</x:f>
        <x:v>80</x:v>
      </x:c>
      <x:c r="Q1060" s="16" t="n">
        <x:f>IF(COUNT(J1060:O1060)&lt;6,"",J1060*5+K1060*4+M1060*4+L1060*3+N1060*2+O1060*2)</x:f>
        <x:v>80</x:v>
      </x:c>
      <x:c r="R1060" s="14" t="str">
        <x:v>high</x:v>
      </x:c>
      <x:c r="S1060" s="14" t="str">
        <x:v>official_prozorro_award_2024_2026</x:v>
      </x:c>
      <x:c r="T1060" s="14" t="str">
        <x:v>official_prozorro_api</x:v>
      </x:c>
      <x:c r="U1060" s="14" t="str">
        <x:v>Не контактували</x:v>
      </x:c>
      <x:c r="V1060" s="15" t="str">
        <x:v>Персоналізований free-pilot outreach по UA-2026-07-29-010307-a; попросити 1 пакет Н.14/Н.15</x:v>
      </x:c>
      <x:c r="W1060" s="15" t="str">
        <x:v>Власник / директор; керівник ПТО; відповідальний за договори</x:v>
      </x:c>
      <x:c r="X1060" s="15" t="str">
        <x:v>1 нових підтверджених перемог/договорів у Prozorro на 3 723 грн; 1 зі строком виконання не раніше 24.08.2026.</x:v>
      </x:c>
      <x:c r="Y1060"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 строк до 2026-12-31. Попросити один знеособлений пакет здачі за цим workflow.</x:v>
      </x:c>
      <x:c r="Z1060" s="15" t="str">
        <x:v>https://prozorro.gov.ua/tender/UA-2026-07-29-010307-a</x:v>
      </x:c>
      <x:c r="AA1060" s="14" t="str">
        <x:v>42470109</x:v>
      </x:c>
      <x:c r="AB1060" s="14" t="str">
        <x:v>2026-08-24</x:v>
      </x:c>
      <x:c r="AC1060" s="14" t="str"/>
      <x:c r="AD1060" s="20" t="str"/>
      <x:c r="AE1060" s="14" t="str"/>
      <x:c r="AF1060" s="14" t="n">
        <x:v>52</x:v>
      </x:c>
      <x:c r="AG1060" s="14" t="str">
        <x:v>I3</x:v>
      </x:c>
      <x:c r="AH1060" s="14" t="n">
        <x:v>1</x:v>
      </x:c>
      <x:c r="AI1060" s="14" t="n">
        <x:v>1</x:v>
      </x:c>
      <x:c r="AJ1060" s="18" t="n">
        <x:v>3723</x:v>
      </x:c>
      <x:c r="AK1060" s="14" t="str">
        <x:v>https://prozorro.gov.ua/tender/UA-2026-07-29-010307-a</x:v>
      </x:c>
      <x:c r="AL1060" s="19" t="n">
        <x:v>46232.57761734954</x:v>
      </x:c>
      <x:c r="AM1060" s="19" t="n">
        <x:v>46387</x:v>
      </x:c>
      <x:c r="AN1060" s="15" t="str">
        <x:v>Зовнішнє освітлення</x:v>
      </x:c>
      <x:c r="AO1060" s="15" t="str">
        <x:v>not_found_in_top_search</x:v>
      </x:c>
    </x:row>
    <x:row r="1061">
      <x:c r="A1061" s="14" t="str">
        <x:v>W4-242</x:v>
      </x:c>
      <x:c r="B1061" s="14" t="str">
        <x:v>Prozorro expansion — 24.08</x:v>
      </x:c>
      <x:c r="C1061" s="14" t="str">
        <x:v>БУЧАЦЬКИЙ РАЙОН ЕЛЕКТРИЧНИХ МЕРЕЖ АКЦІОНЕРНОГО ТОВАРИСТВА "ТЕРНОПІЛЬОБЛЕНЕРГО"</x:v>
      </x:c>
      <x:c r="D1061" s="14" t="str">
        <x:v>Електромонтаж</x:v>
      </x:c>
      <x:c r="E1061" s="14" t="str">
        <x:v>Pilot now</x:v>
      </x:c>
      <x:c r="F1061" s="17" t="str">
        <x:v>P3</x:v>
      </x:c>
      <x:c r="G1061" s="14" t="str"/>
      <x:c r="H1061" s="14" t="str">
        <x:v>Пілот зараз — Н.15</x:v>
      </x:c>
      <x:c r="I1061" s="16" t="n">
        <x:v>5</x:v>
      </x:c>
      <x:c r="J1061" s="16" t="n">
        <x:v>5</x:v>
      </x:c>
      <x:c r="K1061" s="16" t="n">
        <x:v>4</x:v>
      </x:c>
      <x:c r="L1061" s="16" t="n">
        <x:v>1</x:v>
      </x:c>
      <x:c r="M1061" s="16" t="n">
        <x:v>5</x:v>
      </x:c>
      <x:c r="N1061" s="16" t="n">
        <x:v>5</x:v>
      </x:c>
      <x:c r="O1061" s="16" t="n">
        <x:v>3</x:v>
      </x:c>
      <x:c r="P1061" s="16" t="n">
        <x:f>IF(COUNT(I1061:O1061)&lt;7,"",I1061*8+J1061*3+K1061*2+L1061*2+M1061*2+N1061*2+O1061)</x:f>
        <x:v>88</x:v>
      </x:c>
      <x:c r="Q1061" s="16" t="n">
        <x:f>IF(COUNT(J1061:O1061)&lt;6,"",J1061*5+K1061*4+M1061*4+L1061*3+N1061*2+O1061*2)</x:f>
        <x:v>80</x:v>
      </x:c>
      <x:c r="R1061" s="14" t="str">
        <x:v>high</x:v>
      </x:c>
      <x:c r="S1061" s="14" t="str">
        <x:v>official_prozorro_award_2024_2026</x:v>
      </x:c>
      <x:c r="T1061" s="14" t="str">
        <x:v>official_prozorro_api</x:v>
      </x:c>
      <x:c r="U1061" s="14" t="str">
        <x:v>Не контактували</x:v>
      </x:c>
      <x:c r="V1061" s="15" t="str">
        <x:v>Персоналізований free-pilot outreach по UA-2026-07-29-009260-a; попросити 1 пакет Н.14/Н.15</x:v>
      </x:c>
      <x:c r="W1061" s="15" t="str">
        <x:v>Власник / директор; керівник ПТО; відповідальний за договори</x:v>
      </x:c>
      <x:c r="X1061" s="15" t="str">
        <x:v>1 нових підтверджених перемог/договорів у Prozorro на 3 304 грн; 1 зі строком виконання не раніше 24.08.2026.</x:v>
      </x:c>
      <x:c r="Y1061" s="15" t="str">
        <x:v> Електромонтажні роботи (Ремонтно-будівельні роботи); строк до 2026-08-28. Попросити один знеособлений пакет здачі за цим workflow.</x:v>
      </x:c>
      <x:c r="Z1061" s="15" t="str">
        <x:v>https://prozorro.gov.ua/tender/UA-2026-07-29-009260-a</x:v>
      </x:c>
      <x:c r="AA1061" s="14" t="str">
        <x:v>25781978</x:v>
      </x:c>
      <x:c r="AB1061" s="14" t="str">
        <x:v>2026-08-24</x:v>
      </x:c>
      <x:c r="AC1061" s="14" t="str"/>
      <x:c r="AD1061" s="20" t="str"/>
      <x:c r="AE1061" s="14" t="str"/>
      <x:c r="AF1061" s="14" t="n">
        <x:v>52</x:v>
      </x:c>
      <x:c r="AG1061" s="14" t="str">
        <x:v>I3</x:v>
      </x:c>
      <x:c r="AH1061" s="14" t="n">
        <x:v>1</x:v>
      </x:c>
      <x:c r="AI1061" s="14" t="n">
        <x:v>1</x:v>
      </x:c>
      <x:c r="AJ1061" s="18" t="n">
        <x:v>3303.66</x:v>
      </x:c>
      <x:c r="AK1061" s="14" t="str">
        <x:v>https://prozorro.gov.ua/tender/UA-2026-07-29-009260-a</x:v>
      </x:c>
      <x:c r="AL1061" s="19" t="n">
        <x:v>46232.544782233796</x:v>
      </x:c>
      <x:c r="AM1061" s="19" t="n">
        <x:v>46262</x:v>
      </x:c>
      <x:c r="AN1061" s="15" t="str">
        <x:v>Електромонтаж</x:v>
      </x:c>
      <x:c r="AO1061" s="15" t="str">
        <x:v>not_found_in_top_search</x:v>
      </x:c>
    </x:row>
    <x:row r="1062">
      <x:c r="A1062" s="14" t="str">
        <x:v>W4-243</x:v>
      </x:c>
      <x:c r="B1062" s="14" t="str">
        <x:v>Prozorro expansion — 24.08</x:v>
      </x:c>
      <x:c r="C1062" s="14" t="str">
        <x:v>ЯКОВЕНКО ДМИТРО МИКОЛАЙОВИЧ</x:v>
      </x:c>
      <x:c r="D1062" s="14" t="str">
        <x:v>Дорожні роботи</x:v>
      </x:c>
      <x:c r="E1062" s="14" t="str">
        <x:v>Expansion discovery</x:v>
      </x:c>
      <x:c r="F1062" s="17" t="str">
        <x:v>D3</x:v>
      </x:c>
      <x:c r="G1062" s="14" t="str"/>
      <x:c r="H1062" s="14" t="str">
        <x:v>Discovery розширення — 2 тижні</x:v>
      </x:c>
      <x:c r="I1062" s="16" t="n">
        <x:v>1</x:v>
      </x:c>
      <x:c r="J1062" s="16" t="n">
        <x:v>5</x:v>
      </x:c>
      <x:c r="K1062" s="16" t="n">
        <x:v>4</x:v>
      </x:c>
      <x:c r="L1062" s="16" t="n">
        <x:v>1</x:v>
      </x:c>
      <x:c r="M1062" s="16" t="n">
        <x:v>5</x:v>
      </x:c>
      <x:c r="N1062" s="16" t="n">
        <x:v>3</x:v>
      </x:c>
      <x:c r="O1062" s="16" t="n">
        <x:v>3</x:v>
      </x:c>
      <x:c r="P1062" s="16" t="n">
        <x:f>IF(COUNT(I1062:O1062)&lt;7,"",I1062*8+J1062*3+K1062*2+L1062*2+M1062*2+N1062*2+O1062)</x:f>
        <x:v>52</x:v>
      </x:c>
      <x:c r="Q1062" s="16" t="n">
        <x:f>IF(COUNT(J1062:O1062)&lt;6,"",J1062*5+K1062*4+M1062*4+L1062*3+N1062*2+O1062*2)</x:f>
        <x:v>76</x:v>
      </x:c>
      <x:c r="R1062" s="14" t="str">
        <x:v>high</x:v>
      </x:c>
      <x:c r="S1062" s="14" t="str">
        <x:v>official_prozorro_award_2024_2026</x:v>
      </x:c>
      <x:c r="T1062" s="14" t="str">
        <x:v>official_prozorro_api</x:v>
      </x:c>
      <x:c r="U1062" s="14" t="str">
        <x:v>Не контактували</x:v>
      </x:c>
      <x:c r="V1062" s="15" t="str">
        <x:v>Workflow-audit outreach по UA-2026-08-17-000707-a; попросити 1 пакет здачі та вимоги проєкту</x:v>
      </x:c>
      <x:c r="W1062" s="15" t="str">
        <x:v>Власник / виконавець; відповідальний за договір</x:v>
      </x:c>
      <x:c r="X1062" s="15" t="str">
        <x:v>1 нових підтверджених перемог/договорів у Prozorro на 2 707 грн; 1 зі строком виконання не раніше 24.08.2026.</x:v>
      </x:c>
      <x:c r="Y1062"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 строк до 2026-12-31. Попросити один знеособлений пакет здачі за цим workflow.</x:v>
      </x:c>
      <x:c r="Z1062" s="15" t="str">
        <x:v>https://prozorro.gov.ua/tender/UA-2026-08-17-000707-a</x:v>
      </x:c>
      <x:c r="AA1062" s="14" t="str">
        <x:v>2944810335</x:v>
      </x:c>
      <x:c r="AB1062" s="14" t="str">
        <x:v>2026-08-24</x:v>
      </x:c>
      <x:c r="AC1062" s="14" t="str"/>
      <x:c r="AD1062" s="20" t="str"/>
      <x:c r="AE1062" s="14" t="str"/>
      <x:c r="AF1062" s="14" t="n">
        <x:v>52</x:v>
      </x:c>
      <x:c r="AG1062" s="14" t="str">
        <x:v>I3</x:v>
      </x:c>
      <x:c r="AH1062" s="14" t="n">
        <x:v>1</x:v>
      </x:c>
      <x:c r="AI1062" s="14" t="n">
        <x:v>1</x:v>
      </x:c>
      <x:c r="AJ1062" s="18" t="n">
        <x:v>2707</x:v>
      </x:c>
      <x:c r="AK1062" s="14" t="str">
        <x:v>https://prozorro.gov.ua/tender/UA-2026-08-17-000707-a</x:v>
      </x:c>
      <x:c r="AL1062" s="19" t="n">
        <x:v>46251.26941988426</x:v>
      </x:c>
      <x:c r="AM1062" s="19" t="n">
        <x:v>46387</x:v>
      </x:c>
      <x:c r="AN1062" s="15" t="str">
        <x:v>Дорожні роботи</x:v>
      </x:c>
      <x:c r="AO1062" s="15" t="str">
        <x:v>not_found_in_top_search</x:v>
      </x:c>
    </x:row>
    <x:row r="1063">
      <x:c r="A1063" s="14" t="str">
        <x:v>W4-244</x:v>
      </x:c>
      <x:c r="B1063" s="14" t="str">
        <x:v>Prozorro expansion — 24.08</x:v>
      </x:c>
      <x:c r="C1063" s="14" t="str">
        <x:v>КОМУНАЛЬНЕ ПІДПРИЄМСТВО "СМОЛІНСЬКИЙ БЛАГОУСТРІЙ" СМОЛІНСЬКОЇ СЕЛИЩНОЇ РАДИ</x:v>
      </x:c>
      <x:c r="D1063" s="14" t="str">
        <x:v>Електромонтаж</x:v>
      </x:c>
      <x:c r="E1063" s="14" t="str">
        <x:v>Pilot now</x:v>
      </x:c>
      <x:c r="F1063" s="17" t="str">
        <x:v>P3</x:v>
      </x:c>
      <x:c r="G1063" s="14" t="str"/>
      <x:c r="H1063" s="14" t="str">
        <x:v>Пілот зараз — Н.15</x:v>
      </x:c>
      <x:c r="I1063" s="16" t="n">
        <x:v>5</x:v>
      </x:c>
      <x:c r="J1063" s="16" t="n">
        <x:v>5</x:v>
      </x:c>
      <x:c r="K1063" s="16" t="n">
        <x:v>4</x:v>
      </x:c>
      <x:c r="L1063" s="16" t="n">
        <x:v>1</x:v>
      </x:c>
      <x:c r="M1063" s="16" t="n">
        <x:v>5</x:v>
      </x:c>
      <x:c r="N1063" s="16" t="n">
        <x:v>5</x:v>
      </x:c>
      <x:c r="O1063" s="16" t="n">
        <x:v>3</x:v>
      </x:c>
      <x:c r="P1063" s="16" t="n">
        <x:f>IF(COUNT(I1063:O1063)&lt;7,"",I1063*8+J1063*3+K1063*2+L1063*2+M1063*2+N1063*2+O1063)</x:f>
        <x:v>88</x:v>
      </x:c>
      <x:c r="Q1063" s="16" t="n">
        <x:f>IF(COUNT(J1063:O1063)&lt;6,"",J1063*5+K1063*4+M1063*4+L1063*3+N1063*2+O1063*2)</x:f>
        <x:v>80</x:v>
      </x:c>
      <x:c r="R1063" s="14" t="str">
        <x:v>high</x:v>
      </x:c>
      <x:c r="S1063" s="14" t="str">
        <x:v>official_prozorro_award_2024_2026</x:v>
      </x:c>
      <x:c r="T1063" s="14" t="str">
        <x:v>official_prozorro_api</x:v>
      </x:c>
      <x:c r="U1063" s="14" t="str">
        <x:v>Не контактували</x:v>
      </x:c>
      <x:c r="V1063" s="15" t="str">
        <x:v>Персоналізований free-pilot outreach по UA-2026-08-04-000421-a; попросити 1 пакет Н.14/Н.15</x:v>
      </x:c>
      <x:c r="W1063" s="15" t="str">
        <x:v>Власник / директор; керівник ПТО; відповідальний за договори</x:v>
      </x:c>
      <x:c r="X1063" s="15" t="str">
        <x:v>1 нових підтверджених перемог/договорів у Prozorro на 2 370 грн; 1 зі строком виконання не раніше 24.08.2026.</x:v>
      </x:c>
      <x:c r="Y1063" s="15" t="str">
        <x:v>45310000-3 - Електромонтажні роботи (послуга техніка-електрика ); строк до 2026-12-31. Попросити один знеособлений пакет здачі за цим workflow.</x:v>
      </x:c>
      <x:c r="Z1063" s="15" t="str">
        <x:v>https://prozorro.gov.ua/tender/UA-2026-08-04-000421-a</x:v>
      </x:c>
      <x:c r="AA1063" s="14" t="str">
        <x:v>46139067</x:v>
      </x:c>
      <x:c r="AB1063" s="14" t="str">
        <x:v>2026-08-24</x:v>
      </x:c>
      <x:c r="AC1063" s="14" t="str"/>
      <x:c r="AD1063" s="20" t="str"/>
      <x:c r="AE1063" s="14" t="str"/>
      <x:c r="AF1063" s="14" t="n">
        <x:v>52</x:v>
      </x:c>
      <x:c r="AG1063" s="14" t="str">
        <x:v>I3</x:v>
      </x:c>
      <x:c r="AH1063" s="14" t="n">
        <x:v>1</x:v>
      </x:c>
      <x:c r="AI1063" s="14" t="n">
        <x:v>1</x:v>
      </x:c>
      <x:c r="AJ1063" s="18" t="n">
        <x:v>2370</x:v>
      </x:c>
      <x:c r="AK1063" s="14" t="str">
        <x:v>https://prozorro.gov.ua/tender/UA-2026-08-04-000421-a</x:v>
      </x:c>
      <x:c r="AL1063" s="19" t="n">
        <x:v>46238.245259375</x:v>
      </x:c>
      <x:c r="AM1063" s="19" t="n">
        <x:v>46387</x:v>
      </x:c>
      <x:c r="AN1063" s="15" t="str">
        <x:v>Електромонтаж</x:v>
      </x:c>
      <x:c r="AO1063" s="15" t="str">
        <x:v>not_found_in_top_search</x:v>
      </x:c>
    </x:row>
    <x:row r="1064">
      <x:c r="A1064" s="14" t="str">
        <x:v>W4-245</x:v>
      </x:c>
      <x:c r="B1064" s="14" t="str">
        <x:v>Prozorro expansion — 24.08</x:v>
      </x:c>
      <x:c r="C1064" s="14" t="str">
        <x:v>ТОВАРИСТВО З ОБМЕЖЕНОЮ ВІДПОВІДАЛЬНІСТЮ "АЛЬФОРГ"</x:v>
      </x:c>
      <x:c r="D1064" s="14" t="str">
        <x:v>Електромонтаж</x:v>
      </x:c>
      <x:c r="E1064" s="14" t="str">
        <x:v>Pilot now</x:v>
      </x:c>
      <x:c r="F1064" s="17" t="str">
        <x:v>P3</x:v>
      </x:c>
      <x:c r="G1064" s="14" t="str"/>
      <x:c r="H1064" s="14" t="str">
        <x:v>Пілот зараз — Н.15</x:v>
      </x:c>
      <x:c r="I1064" s="16" t="n">
        <x:v>5</x:v>
      </x:c>
      <x:c r="J1064" s="16" t="n">
        <x:v>5</x:v>
      </x:c>
      <x:c r="K1064" s="16" t="n">
        <x:v>4</x:v>
      </x:c>
      <x:c r="L1064" s="16" t="n">
        <x:v>1</x:v>
      </x:c>
      <x:c r="M1064" s="16" t="n">
        <x:v>5</x:v>
      </x:c>
      <x:c r="N1064" s="16" t="n">
        <x:v>5</x:v>
      </x:c>
      <x:c r="O1064" s="16" t="n">
        <x:v>3</x:v>
      </x:c>
      <x:c r="P1064" s="16" t="n">
        <x:f>IF(COUNT(I1064:O1064)&lt;7,"",I1064*8+J1064*3+K1064*2+L1064*2+M1064*2+N1064*2+O1064)</x:f>
        <x:v>88</x:v>
      </x:c>
      <x:c r="Q1064" s="16" t="n">
        <x:f>IF(COUNT(J1064:O1064)&lt;6,"",J1064*5+K1064*4+M1064*4+L1064*3+N1064*2+O1064*2)</x:f>
        <x:v>80</x:v>
      </x:c>
      <x:c r="R1064" s="14" t="str">
        <x:v>high</x:v>
      </x:c>
      <x:c r="S1064" s="14" t="str">
        <x:v>official_prozorro_award_2024_2026</x:v>
      </x:c>
      <x:c r="T1064" s="14" t="str">
        <x:v>official_prozorro_api</x:v>
      </x:c>
      <x:c r="U1064" s="14" t="str">
        <x:v>Не контактували</x:v>
      </x:c>
      <x:c r="V1064" s="15" t="str">
        <x:v>Персоналізований free-pilot outreach по UA-2026-08-12-009871-a; попросити 1 пакет Н.14/Н.15</x:v>
      </x:c>
      <x:c r="W1064" s="15" t="str">
        <x:v>Власник / директор; керівник ПТО; відповідальний за договори</x:v>
      </x:c>
      <x:c r="X1064" s="15" t="str">
        <x:v>1 нових підтверджених перемог/договорів у Prozorro на 1 560 грн; 1 зі строком виконання не раніше 24.08.2026.</x:v>
      </x:c>
      <x:c r="Y1064" s="15" t="str">
        <x:v>ДК 021:2015 45310000-3 Електромонтажні роботи; строк до 2026-08-31. Попросити один знеособлений пакет здачі за цим workflow.</x:v>
      </x:c>
      <x:c r="Z1064" s="15" t="str">
        <x:v>https://prozorro.gov.ua/tender/UA-2026-08-12-009871-a</x:v>
      </x:c>
      <x:c r="AA1064" s="14" t="str">
        <x:v>33675634</x:v>
      </x:c>
      <x:c r="AB1064" s="14" t="str">
        <x:v>2026-08-24</x:v>
      </x:c>
      <x:c r="AC1064" s="14" t="str"/>
      <x:c r="AD1064" s="20" t="str"/>
      <x:c r="AE1064" s="14" t="str"/>
      <x:c r="AF1064" s="14" t="n">
        <x:v>52</x:v>
      </x:c>
      <x:c r="AG1064" s="14" t="str">
        <x:v>I3</x:v>
      </x:c>
      <x:c r="AH1064" s="14" t="n">
        <x:v>1</x:v>
      </x:c>
      <x:c r="AI1064" s="14" t="n">
        <x:v>1</x:v>
      </x:c>
      <x:c r="AJ1064" s="18" t="n">
        <x:v>1560</x:v>
      </x:c>
      <x:c r="AK1064" s="14" t="str">
        <x:v>https://prozorro.gov.ua/tender/UA-2026-08-12-009871-a</x:v>
      </x:c>
      <x:c r="AL1064" s="19" t="n">
        <x:v>46246.53829916667</x:v>
      </x:c>
      <x:c r="AM1064" s="19" t="n">
        <x:v>46265</x:v>
      </x:c>
      <x:c r="AN1064" s="15" t="str">
        <x:v>Електромонтаж</x:v>
      </x:c>
      <x:c r="AO1064" s="15" t="str">
        <x:v>not_found_in_top_search</x:v>
      </x:c>
    </x:row>
    <x:row r="1065">
      <x:c r="A1065" s="14" t="str">
        <x:v>W4-246</x:v>
      </x:c>
      <x:c r="B1065" s="14" t="str">
        <x:v>Prozorro expansion — 24.08</x:v>
      </x:c>
      <x:c r="C1065" s="14" t="str">
        <x:v>КП "Благоустрій Сервіс"</x:v>
      </x:c>
      <x:c r="D1065" s="14" t="str">
        <x:v>Електромонтаж</x:v>
      </x:c>
      <x:c r="E1065" s="14" t="str">
        <x:v>Pilot now</x:v>
      </x:c>
      <x:c r="F1065" s="17" t="str">
        <x:v>P3</x:v>
      </x:c>
      <x:c r="G1065" s="14" t="str"/>
      <x:c r="H1065" s="14" t="str">
        <x:v>Пілот зараз — Н.15</x:v>
      </x:c>
      <x:c r="I1065" s="16" t="n">
        <x:v>5</x:v>
      </x:c>
      <x:c r="J1065" s="16" t="n">
        <x:v>5</x:v>
      </x:c>
      <x:c r="K1065" s="16" t="n">
        <x:v>4</x:v>
      </x:c>
      <x:c r="L1065" s="16" t="n">
        <x:v>1</x:v>
      </x:c>
      <x:c r="M1065" s="16" t="n">
        <x:v>5</x:v>
      </x:c>
      <x:c r="N1065" s="16" t="n">
        <x:v>5</x:v>
      </x:c>
      <x:c r="O1065" s="16" t="n">
        <x:v>3</x:v>
      </x:c>
      <x:c r="P1065" s="16" t="n">
        <x:f>IF(COUNT(I1065:O1065)&lt;7,"",I1065*8+J1065*3+K1065*2+L1065*2+M1065*2+N1065*2+O1065)</x:f>
        <x:v>88</x:v>
      </x:c>
      <x:c r="Q1065" s="16" t="n">
        <x:f>IF(COUNT(J1065:O1065)&lt;6,"",J1065*5+K1065*4+M1065*4+L1065*3+N1065*2+O1065*2)</x:f>
        <x:v>80</x:v>
      </x:c>
      <x:c r="R1065" s="14" t="str">
        <x:v>high</x:v>
      </x:c>
      <x:c r="S1065" s="14" t="str">
        <x:v>official_prozorro_award_2024_2026</x:v>
      </x:c>
      <x:c r="T1065" s="14" t="str">
        <x:v>official_prozorro_api</x:v>
      </x:c>
      <x:c r="U1065" s="14" t="str">
        <x:v>Не контактували</x:v>
      </x:c>
      <x:c r="V1065" s="15" t="str">
        <x:v>Персоналізований free-pilot outreach по UA-2026-08-11-005157-a; попросити 1 пакет Н.14/Н.15</x:v>
      </x:c>
      <x:c r="W1065" s="15" t="str">
        <x:v>Власник / директор; керівник ПТО; відповідальний за договори</x:v>
      </x:c>
      <x:c r="X1065" s="15" t="str">
        <x:v>1 нових підтверджених перемог/договорів у Prozorro на 813 грн; 1 зі строком виконання не раніше 24.08.2026.</x:v>
      </x:c>
      <x:c r="Y1065" s="15" t="str">
        <x:v>45310000-3 - Електромонтажні роботи (Монтаж пот.світильників); строк до 2026-12-31. Попросити один знеособлений пакет здачі за цим workflow.</x:v>
      </x:c>
      <x:c r="Z1065" s="15" t="str">
        <x:v>https://prozorro.gov.ua/tender/UA-2026-08-11-005157-a</x:v>
      </x:c>
      <x:c r="AA1065" s="14" t="str">
        <x:v>41615779</x:v>
      </x:c>
      <x:c r="AB1065" s="14" t="str">
        <x:v>2026-08-24</x:v>
      </x:c>
      <x:c r="AC1065" s="14" t="str"/>
      <x:c r="AD1065" s="20" t="str"/>
      <x:c r="AE1065" s="14" t="str"/>
      <x:c r="AF1065" s="14" t="n">
        <x:v>52</x:v>
      </x:c>
      <x:c r="AG1065" s="14" t="str">
        <x:v>I3</x:v>
      </x:c>
      <x:c r="AH1065" s="14" t="n">
        <x:v>1</x:v>
      </x:c>
      <x:c r="AI1065" s="14" t="n">
        <x:v>1</x:v>
      </x:c>
      <x:c r="AJ1065" s="18" t="n">
        <x:v>813</x:v>
      </x:c>
      <x:c r="AK1065" s="14" t="str">
        <x:v>https://prozorro.gov.ua/tender/UA-2026-08-11-005157-a</x:v>
      </x:c>
      <x:c r="AL1065" s="19" t="n">
        <x:v>46245.38756800926</x:v>
      </x:c>
      <x:c r="AM1065" s="19" t="n">
        <x:v>46387.429710648146</x:v>
      </x:c>
      <x:c r="AN1065" s="15" t="str">
        <x:v>Електромонтаж</x:v>
      </x:c>
      <x:c r="AO1065" s="15" t="str">
        <x:v>not_found_in_top_search</x:v>
      </x:c>
    </x:row>
    <x:row r="1066">
      <x:c r="A1066" s="14" t="str">
        <x:v>W4-247</x:v>
      </x:c>
      <x:c r="B1066" s="14" t="str">
        <x:v>Prozorro expansion — 24.08</x:v>
      </x:c>
      <x:c r="C1066" s="14" t="str">
        <x:v>ТОВАРИСТВО З ОБМЕЖЕНОЮ ВІДПОВІДАЛЬНІСТЮ "ДОНЕТ"</x:v>
      </x:c>
      <x:c r="D1066" s="14" t="str">
        <x:v>Електромонтаж</x:v>
      </x:c>
      <x:c r="E1066" s="14" t="str">
        <x:v>Pilot now</x:v>
      </x:c>
      <x:c r="F1066" s="17" t="str">
        <x:v>P3</x:v>
      </x:c>
      <x:c r="G1066" s="14" t="str"/>
      <x:c r="H1066" s="14" t="str">
        <x:v>Пілот зараз — Н.15</x:v>
      </x:c>
      <x:c r="I1066" s="16" t="n">
        <x:v>5</x:v>
      </x:c>
      <x:c r="J1066" s="16" t="n">
        <x:v>5</x:v>
      </x:c>
      <x:c r="K1066" s="16" t="n">
        <x:v>4</x:v>
      </x:c>
      <x:c r="L1066" s="16" t="n">
        <x:v>1</x:v>
      </x:c>
      <x:c r="M1066" s="16" t="n">
        <x:v>5</x:v>
      </x:c>
      <x:c r="N1066" s="16" t="n">
        <x:v>5</x:v>
      </x:c>
      <x:c r="O1066" s="16" t="n">
        <x:v>3</x:v>
      </x:c>
      <x:c r="P1066" s="16" t="n">
        <x:f>IF(COUNT(I1066:O1066)&lt;7,"",I1066*8+J1066*3+K1066*2+L1066*2+M1066*2+N1066*2+O1066)</x:f>
        <x:v>88</x:v>
      </x:c>
      <x:c r="Q1066" s="16" t="n">
        <x:f>IF(COUNT(J1066:O1066)&lt;6,"",J1066*5+K1066*4+M1066*4+L1066*3+N1066*2+O1066*2)</x:f>
        <x:v>80</x:v>
      </x:c>
      <x:c r="R1066" s="14" t="str">
        <x:v>high</x:v>
      </x:c>
      <x:c r="S1066" s="14" t="str">
        <x:v>official_prozorro_award_2024_2026</x:v>
      </x:c>
      <x:c r="T1066" s="14" t="str">
        <x:v>official_prozorro_api</x:v>
      </x:c>
      <x:c r="U1066" s="14" t="str">
        <x:v>Не контактували</x:v>
      </x:c>
      <x:c r="V1066" s="15" t="str">
        <x:v>Персоналізований free-pilot outreach по UA-2026-08-20-010070-a; попросити 1 пакет Н.14/Н.15</x:v>
      </x:c>
      <x:c r="W1066" s="15" t="str">
        <x:v>Власник / директор; керівник ПТО; відповідальний за договори</x:v>
      </x:c>
      <x:c r="X1066" s="15" t="str">
        <x:v>1 нових підтверджених перемог/договорів у Prozorro на 200 грн; 1 зі строком виконання не раніше 24.08.2026.</x:v>
      </x:c>
      <x:c r="Y1066" s="15" t="str">
        <x:v>ДК 021:2015: 45310000-3 — Електромонтажні роботи; строк до 2026-12-31. Попросити один знеособлений пакет здачі за цим workflow.</x:v>
      </x:c>
      <x:c r="Z1066" s="15" t="str">
        <x:v>https://prozorro.gov.ua/tender/UA-2026-08-20-010070-a</x:v>
      </x:c>
      <x:c r="AA1066" s="14" t="str">
        <x:v>39211668</x:v>
      </x:c>
      <x:c r="AB1066" s="14" t="str">
        <x:v>2026-08-24</x:v>
      </x:c>
      <x:c r="AC1066" s="14" t="str"/>
      <x:c r="AD1066" s="20" t="str"/>
      <x:c r="AE1066" s="14" t="str"/>
      <x:c r="AF1066" s="14" t="n">
        <x:v>52</x:v>
      </x:c>
      <x:c r="AG1066" s="14" t="str">
        <x:v>I3</x:v>
      </x:c>
      <x:c r="AH1066" s="14" t="n">
        <x:v>1</x:v>
      </x:c>
      <x:c r="AI1066" s="14" t="n">
        <x:v>1</x:v>
      </x:c>
      <x:c r="AJ1066" s="18" t="n">
        <x:v>200</x:v>
      </x:c>
      <x:c r="AK1066" s="14" t="str">
        <x:v>https://prozorro.gov.ua/tender/UA-2026-08-20-010070-a</x:v>
      </x:c>
      <x:c r="AL1066" s="19" t="n">
        <x:v>46254.52286972222</x:v>
      </x:c>
      <x:c r="AM1066" s="19" t="n">
        <x:v>46387</x:v>
      </x:c>
      <x:c r="AN1066" s="15" t="str">
        <x:v>Електромонтаж</x:v>
      </x:c>
      <x:c r="AO1066" s="15" t="str">
        <x:v>not_found_in_top_search</x:v>
      </x:c>
    </x:row>
    <x:row r="1067">
      <x:c r="A1067" s="14" t="str">
        <x:v>W4-248</x:v>
      </x:c>
      <x:c r="B1067" s="14" t="str">
        <x:v>Prozorro expansion — 24.08</x:v>
      </x:c>
      <x:c r="C1067" s="14" t="str">
        <x:v>Фізична особа - підприємець Шибіко Олег Анатолійович</x:v>
      </x:c>
      <x:c r="D1067" s="14" t="str">
        <x:v>Зовнішнє освітлення</x:v>
      </x:c>
      <x:c r="E1067" s="14" t="str">
        <x:v>Pilot now</x:v>
      </x:c>
      <x:c r="F1067" s="17" t="str">
        <x:v>P3</x:v>
      </x:c>
      <x:c r="G1067" s="14" t="str"/>
      <x:c r="H1067" s="14" t="str">
        <x:v>Пілот зараз — Н.15 subset</x:v>
      </x:c>
      <x:c r="I1067" s="16" t="n">
        <x:v>4</x:v>
      </x:c>
      <x:c r="J1067" s="16" t="n">
        <x:v>5</x:v>
      </x:c>
      <x:c r="K1067" s="16" t="n">
        <x:v>4</x:v>
      </x:c>
      <x:c r="L1067" s="16" t="n">
        <x:v>3</x:v>
      </x:c>
      <x:c r="M1067" s="16" t="n">
        <x:v>5</x:v>
      </x:c>
      <x:c r="N1067" s="16" t="n">
        <x:v>3</x:v>
      </x:c>
      <x:c r="O1067" s="16" t="n">
        <x:v>3</x:v>
      </x:c>
      <x:c r="P1067" s="16" t="n">
        <x:f>IF(COUNT(I1067:O1067)&lt;7,"",I1067*8+J1067*3+K1067*2+L1067*2+M1067*2+N1067*2+O1067)</x:f>
        <x:v>80</x:v>
      </x:c>
      <x:c r="Q1067" s="16" t="n">
        <x:f>IF(COUNT(J1067:O1067)&lt;6,"",J1067*5+K1067*4+M1067*4+L1067*3+N1067*2+O1067*2)</x:f>
        <x:v>82</x:v>
      </x:c>
      <x:c r="R1067" s="14" t="str">
        <x:v>high</x:v>
      </x:c>
      <x:c r="S1067" s="14" t="str">
        <x:v>official_prozorro_award_2024_2026</x:v>
      </x:c>
      <x:c r="T1067" s="14" t="str">
        <x:v>official_prozorro_api</x:v>
      </x:c>
      <x:c r="U1067" s="14" t="str">
        <x:v>Не контактували</x:v>
      </x:c>
      <x:c r="V1067" s="15" t="str">
        <x:v>Персоналізований free-pilot outreach по UA-2026-06-18-010988-a; попросити 1 пакет Н.14/Н.15</x:v>
      </x:c>
      <x:c r="W1067" s="15" t="str">
        <x:v>Власник / виконавець; відповідальний за договір</x:v>
      </x:c>
      <x:c r="X1067" s="15" t="str">
        <x:v>1 нових підтверджених перемог/договорів у Prozorro на 1 198 677 грн; 1 зі строком виконання не раніше 24.08.2026.</x:v>
      </x:c>
      <x:c r="Y1067"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 строк до 2026-09-30. Попросити один знеособлений пакет здачі за цим workflow.</x:v>
      </x:c>
      <x:c r="Z1067" s="15" t="str">
        <x:v>https://prozorro.gov.ua/tender/UA-2026-06-18-010988-a</x:v>
      </x:c>
      <x:c r="AA1067" s="14" t="str">
        <x:v>3238819530</x:v>
      </x:c>
      <x:c r="AB1067" s="14" t="str">
        <x:v>2026-08-24</x:v>
      </x:c>
      <x:c r="AC1067" s="14" t="str"/>
      <x:c r="AD1067" s="20" t="str"/>
      <x:c r="AE1067" s="14" t="str"/>
      <x:c r="AF1067" s="14" t="n">
        <x:v>51</x:v>
      </x:c>
      <x:c r="AG1067" s="14" t="str">
        <x:v>I3</x:v>
      </x:c>
      <x:c r="AH1067" s="14" t="n">
        <x:v>1</x:v>
      </x:c>
      <x:c r="AI1067" s="14" t="n">
        <x:v>1</x:v>
      </x:c>
      <x:c r="AJ1067" s="18" t="n">
        <x:v>1198676.55</x:v>
      </x:c>
      <x:c r="AK1067" s="14" t="str">
        <x:v>https://prozorro.gov.ua/tender/UA-2026-06-18-010988-a</x:v>
      </x:c>
      <x:c r="AL1067" s="19" t="n">
        <x:v>46191.53902491898</x:v>
      </x:c>
      <x:c r="AM1067" s="19" t="n">
        <x:v>46295.5366087963</x:v>
      </x:c>
      <x:c r="AN1067" s="15" t="str">
        <x:v>Зовнішнє освітлення</x:v>
      </x:c>
      <x:c r="AO1067" s="15" t="str">
        <x:v>not_found_in_top_search</x:v>
      </x:c>
    </x:row>
    <x:row r="1068">
      <x:c r="A1068" s="14" t="str">
        <x:v>W4-249</x:v>
      </x:c>
      <x:c r="B1068" s="14" t="str">
        <x:v>Prozorro expansion — 24.08</x:v>
      </x:c>
      <x:c r="C1068" s="14" t="str">
        <x:v>ТОВАРИСТВО З ОБМЕЖЕНОЮ ВІДПОВІДАЛЬНІСТЮ «ЕКСПОНЕНТАБУД»</x:v>
      </x:c>
      <x:c r="D1068" s="14" t="str">
        <x:v>Водоочищення / очисні споруди</x:v>
      </x:c>
      <x:c r="E1068" s="14" t="str">
        <x:v>Expansion discovery</x:v>
      </x:c>
      <x:c r="F1068" s="17" t="str">
        <x:v>D3</x:v>
      </x:c>
      <x:c r="G1068" s="14" t="str"/>
      <x:c r="H1068" s="14" t="str">
        <x:v>Discovery розширення — 2 тижні</x:v>
      </x:c>
      <x:c r="I1068" s="16" t="n">
        <x:v>1</x:v>
      </x:c>
      <x:c r="J1068" s="16" t="n">
        <x:v>5</x:v>
      </x:c>
      <x:c r="K1068" s="16" t="n">
        <x:v>4</x:v>
      </x:c>
      <x:c r="L1068" s="16" t="n">
        <x:v>4</x:v>
      </x:c>
      <x:c r="M1068" s="16" t="n">
        <x:v>5</x:v>
      </x:c>
      <x:c r="N1068" s="16" t="n">
        <x:v>5</x:v>
      </x:c>
      <x:c r="O1068" s="16" t="n">
        <x:v>3</x:v>
      </x:c>
      <x:c r="P1068" s="16" t="n">
        <x:f>IF(COUNT(I1068:O1068)&lt;7,"",I1068*8+J1068*3+K1068*2+L1068*2+M1068*2+N1068*2+O1068)</x:f>
        <x:v>62</x:v>
      </x:c>
      <x:c r="Q1068" s="16" t="n">
        <x:f>IF(COUNT(J1068:O1068)&lt;6,"",J1068*5+K1068*4+M1068*4+L1068*3+N1068*2+O1068*2)</x:f>
        <x:v>89</x:v>
      </x:c>
      <x:c r="R1068" s="14" t="str">
        <x:v>high</x:v>
      </x:c>
      <x:c r="S1068" s="14" t="str">
        <x:v>official_prozorro_award_2024_2026</x:v>
      </x:c>
      <x:c r="T1068" s="14" t="str">
        <x:v>official_prozorro_api</x:v>
      </x:c>
      <x:c r="U1068" s="14" t="str">
        <x:v>Не контактували</x:v>
      </x:c>
      <x:c r="V1068" s="15" t="str">
        <x:v>Workflow-audit outreach по UA-2025-12-30-005731-a; попросити 1 пакет здачі та вимоги проєкту</x:v>
      </x:c>
      <x:c r="W1068" s="15" t="str">
        <x:v>Власник / директор; керівник ПТО; відповідальний за договори</x:v>
      </x:c>
      <x:c r="X1068" s="15" t="str">
        <x:v>1 нових підтверджених перемог/договорів у Prozorro на 9 248 220 грн; 0 зі строком виконання не раніше 24.08.2026.</x:v>
      </x:c>
      <x:c r="Y1068"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 строк до 2026-01-31. Попросити один знеособлений пакет здачі за цим workflow.</x:v>
      </x:c>
      <x:c r="Z1068" s="15" t="str">
        <x:v>https://prozorro.gov.ua/tender/UA-2025-12-30-005731-a</x:v>
      </x:c>
      <x:c r="AA1068" s="14" t="str">
        <x:v>43750639</x:v>
      </x:c>
      <x:c r="AB1068" s="14" t="str">
        <x:v>2026-08-24</x:v>
      </x:c>
      <x:c r="AC1068" s="14" t="str"/>
      <x:c r="AD1068" s="20" t="str"/>
      <x:c r="AE1068" s="14" t="str"/>
      <x:c r="AF1068" s="14" t="n">
        <x:v>50</x:v>
      </x:c>
      <x:c r="AG1068" s="14" t="str">
        <x:v>I3</x:v>
      </x:c>
      <x:c r="AH1068" s="14" t="n">
        <x:v>1</x:v>
      </x:c>
      <x:c r="AI1068" s="14" t="n">
        <x:v>0</x:v>
      </x:c>
      <x:c r="AJ1068" s="18" t="n">
        <x:v>9248219.52</x:v>
      </x:c>
      <x:c r="AK1068" s="14" t="str">
        <x:v>https://prozorro.gov.ua/tender/UA-2025-12-30-005731-a</x:v>
      </x:c>
      <x:c r="AL1068" s="19" t="n">
        <x:v>46021.49623435185</x:v>
      </x:c>
      <x:c r="AM1068" s="19" t="n">
        <x:v>46053</x:v>
      </x:c>
      <x:c r="AN1068" s="15" t="str">
        <x:v>Водоочищення / очисні споруди</x:v>
      </x:c>
      <x:c r="AO1068" s="15" t="str">
        <x:v>not_found_in_top_search</x:v>
      </x:c>
    </x:row>
    <x:row r="1069">
      <x:c r="A1069" s="14" t="str">
        <x:v>W4-250</x:v>
      </x:c>
      <x:c r="B1069" s="14" t="str">
        <x:v>Prozorro expansion — 24.08</x:v>
      </x:c>
      <x:c r="C1069" s="14" t="str">
        <x:v>Приватне багатопрофільне підприємство «Вимал»</x:v>
      </x:c>
      <x:c r="D1069" s="14" t="str">
        <x:v>Водоочищення / очисні споруди</x:v>
      </x:c>
      <x:c r="E1069" s="14" t="str">
        <x:v>Expansion discovery</x:v>
      </x:c>
      <x:c r="F1069" s="17" t="str">
        <x:v>D3</x:v>
      </x:c>
      <x:c r="G1069" s="14" t="str"/>
      <x:c r="H1069" s="14" t="str">
        <x:v>Discovery розширення — 2 тижні</x:v>
      </x:c>
      <x:c r="I1069" s="16" t="n">
        <x:v>1</x:v>
      </x:c>
      <x:c r="J1069" s="16" t="n">
        <x:v>5</x:v>
      </x:c>
      <x:c r="K1069" s="16" t="n">
        <x:v>4</x:v>
      </x:c>
      <x:c r="L1069" s="16" t="n">
        <x:v>4</x:v>
      </x:c>
      <x:c r="M1069" s="16" t="n">
        <x:v>5</x:v>
      </x:c>
      <x:c r="N1069" s="16" t="n">
        <x:v>5</x:v>
      </x:c>
      <x:c r="O1069" s="16" t="n">
        <x:v>3</x:v>
      </x:c>
      <x:c r="P1069" s="16" t="n">
        <x:f>IF(COUNT(I1069:O1069)&lt;7,"",I1069*8+J1069*3+K1069*2+L1069*2+M1069*2+N1069*2+O1069)</x:f>
        <x:v>62</x:v>
      </x:c>
      <x:c r="Q1069" s="16" t="n">
        <x:f>IF(COUNT(J1069:O1069)&lt;6,"",J1069*5+K1069*4+M1069*4+L1069*3+N1069*2+O1069*2)</x:f>
        <x:v>89</x:v>
      </x:c>
      <x:c r="R1069" s="14" t="str">
        <x:v>high</x:v>
      </x:c>
      <x:c r="S1069" s="14" t="str">
        <x:v>official_prozorro_award_2024_2026</x:v>
      </x:c>
      <x:c r="T1069" s="14" t="str">
        <x:v>official_prozorro_api</x:v>
      </x:c>
      <x:c r="U1069" s="14" t="str">
        <x:v>Не контактували</x:v>
      </x:c>
      <x:c r="V1069" s="15" t="str">
        <x:v>Workflow-audit outreach по UA-2026-02-12-011167-a; попросити 1 пакет здачі та вимоги проєкту</x:v>
      </x:c>
      <x:c r="W1069" s="15" t="str">
        <x:v>Власник / директор; керівник ПТО; відповідальний за договори</x:v>
      </x:c>
      <x:c r="X1069" s="15" t="str">
        <x:v>1 нових підтверджених перемог/договорів у Prozorro на 3 330 475 грн; 0 зі строком виконання не раніше 24.08.2026.</x:v>
      </x:c>
      <x:c r="Y1069"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 строк до 2026-03-31. Попросити один знеособлений пакет здачі за цим workflow.</x:v>
      </x:c>
      <x:c r="Z1069" s="15" t="str">
        <x:v>https://prozorro.gov.ua/tender/UA-2026-02-12-011167-a</x:v>
      </x:c>
      <x:c r="AA1069" s="14" t="str">
        <x:v>14224631</x:v>
      </x:c>
      <x:c r="AB1069" s="14" t="str">
        <x:v>2026-08-24</x:v>
      </x:c>
      <x:c r="AC1069" s="14" t="str"/>
      <x:c r="AD1069" s="20" t="str"/>
      <x:c r="AE1069" s="14" t="str"/>
      <x:c r="AF1069" s="14" t="n">
        <x:v>50</x:v>
      </x:c>
      <x:c r="AG1069" s="14" t="str">
        <x:v>I3</x:v>
      </x:c>
      <x:c r="AH1069" s="14" t="n">
        <x:v>1</x:v>
      </x:c>
      <x:c r="AI1069" s="14" t="n">
        <x:v>0</x:v>
      </x:c>
      <x:c r="AJ1069" s="18" t="n">
        <x:v>3330475.17</x:v>
      </x:c>
      <x:c r="AK1069" s="14" t="str">
        <x:v>https://prozorro.gov.ua/tender/UA-2026-02-12-011167-a</x:v>
      </x:c>
      <x:c r="AL1069" s="19" t="n">
        <x:v>46065.57695744213</x:v>
      </x:c>
      <x:c r="AM1069" s="19" t="n">
        <x:v>46112.53383101852</x:v>
      </x:c>
      <x:c r="AN1069" s="15" t="str">
        <x:v>Водоочищення / очисні споруди</x:v>
      </x:c>
      <x:c r="AO1069" s="15" t="str">
        <x:v>not_found_in_top_search</x:v>
      </x:c>
    </x:row>
    <x:row r="1070">
      <x:c r="A1070" s="14" t="str">
        <x:v>W4-251</x:v>
      </x:c>
      <x:c r="B1070" s="14" t="str">
        <x:v>Prozorro expansion — 24.08</x:v>
      </x:c>
      <x:c r="C1070" s="14" t="str">
        <x:v>ТОВ "НВП УКРЕКСПЕРТПРОЕКТ"</x:v>
      </x:c>
      <x:c r="D1070" s="14" t="str">
        <x:v>Газові мережі</x:v>
      </x:c>
      <x:c r="E1070" s="14" t="str">
        <x:v>Expansion discovery</x:v>
      </x:c>
      <x:c r="F1070" s="17" t="str">
        <x:v>D3</x:v>
      </x:c>
      <x:c r="G1070" s="14" t="str"/>
      <x:c r="H1070" s="14" t="str">
        <x:v>Discovery розширення — 2 тижні</x:v>
      </x:c>
      <x:c r="I1070" s="16" t="n">
        <x:v>1</x:v>
      </x:c>
      <x:c r="J1070" s="16" t="n">
        <x:v>5</x:v>
      </x:c>
      <x:c r="K1070" s="16" t="n">
        <x:v>5</x:v>
      </x:c>
      <x:c r="L1070" s="16" t="n">
        <x:v>4</x:v>
      </x:c>
      <x:c r="M1070" s="16" t="n">
        <x:v>5</x:v>
      </x:c>
      <x:c r="N1070" s="16" t="n">
        <x:v>5</x:v>
      </x:c>
      <x:c r="O1070" s="16" t="n">
        <x:v>3</x:v>
      </x:c>
      <x:c r="P1070" s="16" t="n">
        <x:f>IF(COUNT(I1070:O1070)&lt;7,"",I1070*8+J1070*3+K1070*2+L1070*2+M1070*2+N1070*2+O1070)</x:f>
        <x:v>64</x:v>
      </x:c>
      <x:c r="Q1070" s="16" t="n">
        <x:f>IF(COUNT(J1070:O1070)&lt;6,"",J1070*5+K1070*4+M1070*4+L1070*3+N1070*2+O1070*2)</x:f>
        <x:v>93</x:v>
      </x:c>
      <x:c r="R1070" s="14" t="str">
        <x:v>high</x:v>
      </x:c>
      <x:c r="S1070" s="14" t="str">
        <x:v>official_prozorro_award_2024_2026</x:v>
      </x:c>
      <x:c r="T1070" s="14" t="str">
        <x:v>official_prozorro_api</x:v>
      </x:c>
      <x:c r="U1070" s="14" t="str">
        <x:v>Не контактували</x:v>
      </x:c>
      <x:c r="V1070" s="15" t="str">
        <x:v>Повторне звернення з новим тендерним сигналом UA-2026-03-18-006041-a; попросити 1 пакет здачі</x:v>
      </x:c>
      <x:c r="W1070" s="15" t="str">
        <x:v>Власник / директор; керівник ПТО; відповідальний за договори</x:v>
      </x:c>
      <x:c r="X1070" s="15" t="str">
        <x:v>1 нових підтверджених перемог/договорів у Prozorro на 2 498 000 грн; 1 зі строком виконання не раніше 24.08.2026.</x:v>
      </x:c>
      <x:c r="Y1070" s="15" t="str">
        <x:v>Проектно-вишукувальні роботи по об’єкту: «Будівництво газопроводу-перемички між магістральним газопроводом «Острогожськ – Шебелинка» та магістральним газопроводом «Шебелинка – Бєлгород» в Ізюмському районі Харківській області» (Стадії «Проект» та «Робоча документація») (Будівельні роботи та поточний ремонт); строк до 2027-06-01. Попросити один знеособлений пакет здачі за цим workflow.</x:v>
      </x:c>
      <x:c r="Z1070" s="15" t="str">
        <x:v>https://prozorro.gov.ua/tender/UA-2026-02-26-009666-a</x:v>
      </x:c>
      <x:c r="AA1070" s="14" t="str">
        <x:v>43697785</x:v>
      </x:c>
      <x:c r="AB1070" s="14" t="str">
        <x:v>2026-08-24</x:v>
      </x:c>
      <x:c r="AC1070" s="14" t="str"/>
      <x:c r="AD1070" s="20" t="str"/>
      <x:c r="AE1070" s="14" t="str"/>
      <x:c r="AF1070" s="14" t="n">
        <x:v>60</x:v>
      </x:c>
      <x:c r="AG1070" s="14" t="str">
        <x:v>I2</x:v>
      </x:c>
      <x:c r="AH1070" s="14" t="n">
        <x:v>3</x:v>
      </x:c>
      <x:c r="AI1070" s="14" t="n">
        <x:v>3</x:v>
      </x:c>
      <x:c r="AJ1070" s="18" t="n">
        <x:v>6796599</x:v>
      </x:c>
      <x:c r="AK1070" s="14" t="str">
        <x:v>https://prozorro.gov.ua/tender/UA-2026-03-18-006041-a</x:v>
      </x:c>
      <x:c r="AL1070" s="19" t="n">
        <x:v>46121.242313807874</x:v>
      </x:c>
      <x:c r="AM1070" s="19" t="n">
        <x:v>46559</x:v>
      </x:c>
      <x:c r="AN1070" s="15" t="str">
        <x:v>Газові мережі; Стиснене повітря / компресорні</x:v>
      </x:c>
      <x:c r="AO1070" s="15" t="str">
        <x:v>not_found_in_top_search</x:v>
      </x:c>
    </x:row>
    <x:row r="1071">
      <x:c r="A1071" s="14" t="str">
        <x:v>W4-252</x:v>
      </x:c>
      <x:c r="B1071" s="14" t="str">
        <x:v>Prozorro expansion — 24.08</x:v>
      </x:c>
      <x:c r="C1071" s="14" t="str">
        <x:v>ТОВ "ПОЖБЕЗПЕКАСЕРВІС"</x:v>
      </x:c>
      <x:c r="D1071" s="14" t="str">
        <x:v>Пожежогасіння</x:v>
      </x:c>
      <x:c r="E1071" s="14" t="str">
        <x:v>Expansion discovery</x:v>
      </x:c>
      <x:c r="F1071" s="17" t="str">
        <x:v>D3</x:v>
      </x:c>
      <x:c r="G1071" s="14" t="str"/>
      <x:c r="H1071" s="14" t="str">
        <x:v>Discovery розширення — 2 тижні</x:v>
      </x:c>
      <x:c r="I1071" s="16" t="n">
        <x:v>1</x:v>
      </x:c>
      <x:c r="J1071" s="16" t="n">
        <x:v>5</x:v>
      </x:c>
      <x:c r="K1071" s="16" t="n">
        <x:v>5</x:v>
      </x:c>
      <x:c r="L1071" s="16" t="n">
        <x:v>2</x:v>
      </x:c>
      <x:c r="M1071" s="16" t="n">
        <x:v>5</x:v>
      </x:c>
      <x:c r="N1071" s="16" t="n">
        <x:v>5</x:v>
      </x:c>
      <x:c r="O1071" s="16" t="n">
        <x:v>3</x:v>
      </x:c>
      <x:c r="P1071" s="16" t="n">
        <x:f>IF(COUNT(I1071:O1071)&lt;7,"",I1071*8+J1071*3+K1071*2+L1071*2+M1071*2+N1071*2+O1071)</x:f>
        <x:v>60</x:v>
      </x:c>
      <x:c r="Q1071" s="16" t="n">
        <x:f>IF(COUNT(J1071:O1071)&lt;6,"",J1071*5+K1071*4+M1071*4+L1071*3+N1071*2+O1071*2)</x:f>
        <x:v>87</x:v>
      </x:c>
      <x:c r="R1071" s="14" t="str">
        <x:v>high</x:v>
      </x:c>
      <x:c r="S1071" s="14" t="str">
        <x:v>official_prozorro_award_2024_2026</x:v>
      </x:c>
      <x:c r="T1071" s="14" t="str">
        <x:v>official_prozorro_api</x:v>
      </x:c>
      <x:c r="U1071" s="14" t="str">
        <x:v>Не контактували</x:v>
      </x:c>
      <x:c r="V1071" s="15" t="str">
        <x:v>Workflow-audit outreach по UA-2026-06-05-004679-a; попросити 1 пакет здачі та вимоги проєкту</x:v>
      </x:c>
      <x:c r="W1071" s="15" t="str">
        <x:v>Власник / директор; керівник ПТО; відповідальний за договори</x:v>
      </x:c>
      <x:c r="X1071" s="15" t="str">
        <x:v>1 нових підтверджених перемог/договорів у Prozorro на 461 014 грн; 1 зі строком виконання не раніше 24.08.2026.</x:v>
      </x:c>
      <x:c r="Y1071"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 строк до 2026-12-21. Попросити один знеособлений пакет здачі за цим workflow.</x:v>
      </x:c>
      <x:c r="Z1071" s="15" t="str">
        <x:v>https://prozorro.gov.ua/tender/UA-2026-06-05-004679-a</x:v>
      </x:c>
      <x:c r="AA1071" s="14" t="str">
        <x:v>43558875</x:v>
      </x:c>
      <x:c r="AB1071" s="14" t="str">
        <x:v>2026-08-24</x:v>
      </x:c>
      <x:c r="AC1071" s="14" t="str"/>
      <x:c r="AD1071" s="20" t="str"/>
      <x:c r="AE1071" s="14" t="str"/>
      <x:c r="AF1071" s="14" t="n">
        <x:v>50</x:v>
      </x:c>
      <x:c r="AG1071" s="14" t="str">
        <x:v>I3</x:v>
      </x:c>
      <x:c r="AH1071" s="14" t="n">
        <x:v>1</x:v>
      </x:c>
      <x:c r="AI1071" s="14" t="n">
        <x:v>1</x:v>
      </x:c>
      <x:c r="AJ1071" s="18" t="n">
        <x:v>461013.9</x:v>
      </x:c>
      <x:c r="AK1071" s="14" t="str">
        <x:v>https://prozorro.gov.ua/tender/UA-2026-06-05-004679-a</x:v>
      </x:c>
      <x:c r="AL1071" s="19" t="n">
        <x:v>46189.310627569444</x:v>
      </x:c>
      <x:c r="AM1071" s="19" t="n">
        <x:v>46377</x:v>
      </x:c>
      <x:c r="AN1071" s="15" t="str">
        <x:v>Пожежогасіння</x:v>
      </x:c>
      <x:c r="AO1071" s="15" t="str">
        <x:v>not_found_in_top_search</x:v>
      </x:c>
    </x:row>
    <x:row r="1072">
      <x:c r="A1072" s="14" t="str">
        <x:v>W4-253</x:v>
      </x:c>
      <x:c r="B1072" s="14" t="str">
        <x:v>Prozorro expansion — 24.08</x:v>
      </x:c>
      <x:c r="C1072" s="14" t="str">
        <x:v>ЧМИХУН МИХАЙЛО ОЛЕКСАНДРОВИЧ</x:v>
      </x:c>
      <x:c r="D1072" s="14" t="str">
        <x:v>Внутрішні сантехнічні системи</x:v>
      </x:c>
      <x:c r="E1072" s="14" t="str">
        <x:v>Pilot now</x:v>
      </x:c>
      <x:c r="F1072" s="17" t="str">
        <x:v>P3</x:v>
      </x:c>
      <x:c r="G1072" s="14" t="str"/>
      <x:c r="H1072" s="14" t="str">
        <x:v>Пілот зараз — Н.14</x:v>
      </x:c>
      <x:c r="I1072" s="16" t="n">
        <x:v>5</x:v>
      </x:c>
      <x:c r="J1072" s="16" t="n">
        <x:v>5</x:v>
      </x:c>
      <x:c r="K1072" s="16" t="n">
        <x:v>4</x:v>
      </x:c>
      <x:c r="L1072" s="16" t="n">
        <x:v>2</x:v>
      </x:c>
      <x:c r="M1072" s="16" t="n">
        <x:v>5</x:v>
      </x:c>
      <x:c r="N1072" s="16" t="n">
        <x:v>3</x:v>
      </x:c>
      <x:c r="O1072" s="16" t="n">
        <x:v>3</x:v>
      </x:c>
      <x:c r="P1072" s="16" t="n">
        <x:f>IF(COUNT(I1072:O1072)&lt;7,"",I1072*8+J1072*3+K1072*2+L1072*2+M1072*2+N1072*2+O1072)</x:f>
        <x:v>86</x:v>
      </x:c>
      <x:c r="Q1072" s="16" t="n">
        <x:f>IF(COUNT(J1072:O1072)&lt;6,"",J1072*5+K1072*4+M1072*4+L1072*3+N1072*2+O1072*2)</x:f>
        <x:v>79</x:v>
      </x:c>
      <x:c r="R1072" s="14" t="str">
        <x:v>high</x:v>
      </x:c>
      <x:c r="S1072" s="14" t="str">
        <x:v>official_prozorro_award_2024_2026</x:v>
      </x:c>
      <x:c r="T1072" s="14" t="str">
        <x:v>official_prozorro_api</x:v>
      </x:c>
      <x:c r="U1072" s="14" t="str">
        <x:v>Не контактували</x:v>
      </x:c>
      <x:c r="V1072" s="15" t="str">
        <x:v>Персоналізований free-pilot outreach по UA-2026-06-08-008920-a; попросити 1 пакет Н.14/Н.15</x:v>
      </x:c>
      <x:c r="W1072" s="15" t="str">
        <x:v>Власник / виконавець; відповідальний за договір</x:v>
      </x:c>
      <x:c r="X1072" s="15" t="str">
        <x:v>1 нових підтверджених перемог/договорів у Prozorro на 420 202 грн; 0 зі строком виконання не раніше 24.08.2026.</x:v>
      </x:c>
      <x:c r="Y1072"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 строк до 2026-07-15. Попросити один знеособлений пакет здачі за цим workflow.</x:v>
      </x:c>
      <x:c r="Z1072" s="15" t="str">
        <x:v>https://prozorro.gov.ua/tender/UA-2026-06-08-008920-a</x:v>
      </x:c>
      <x:c r="AA1072" s="14" t="str">
        <x:v>3161702299</x:v>
      </x:c>
      <x:c r="AB1072" s="14" t="str">
        <x:v>2026-08-24</x:v>
      </x:c>
      <x:c r="AC1072" s="14" t="str"/>
      <x:c r="AD1072" s="20" t="str"/>
      <x:c r="AE1072" s="14" t="str"/>
      <x:c r="AF1072" s="14" t="n">
        <x:v>50</x:v>
      </x:c>
      <x:c r="AG1072" s="14" t="str">
        <x:v>I3</x:v>
      </x:c>
      <x:c r="AH1072" s="14" t="n">
        <x:v>1</x:v>
      </x:c>
      <x:c r="AI1072" s="14" t="n">
        <x:v>0</x:v>
      </x:c>
      <x:c r="AJ1072" s="18" t="n">
        <x:v>420202.31</x:v>
      </x:c>
      <x:c r="AK1072" s="14" t="str">
        <x:v>https://prozorro.gov.ua/tender/UA-2026-06-08-008920-a</x:v>
      </x:c>
      <x:c r="AL1072" s="19" t="n">
        <x:v>46181.50200851852</x:v>
      </x:c>
      <x:c r="AM1072" s="19" t="n">
        <x:v>46218</x:v>
      </x:c>
      <x:c r="AN1072" s="15" t="str">
        <x:v>Внутрішні сантехнічні системи</x:v>
      </x:c>
      <x:c r="AO1072" s="15" t="str">
        <x:v>not_found_in_top_search</x:v>
      </x:c>
    </x:row>
    <x:row r="1073">
      <x:c r="A1073" s="14" t="str">
        <x:v>W4-254</x:v>
      </x:c>
      <x:c r="B1073" s="14" t="str">
        <x:v>Prozorro expansion — 24.08</x:v>
      </x:c>
      <x:c r="C1073" s="14" t="str">
        <x:v>ПП ГРАНД-ГАЗ-СЕРВІС</x:v>
      </x:c>
      <x:c r="D1073" s="14" t="str">
        <x:v>Фасади та скління</x:v>
      </x:c>
      <x:c r="E1073" s="14" t="str">
        <x:v>Expansion discovery</x:v>
      </x:c>
      <x:c r="F1073" s="17" t="str">
        <x:v>D3</x:v>
      </x:c>
      <x:c r="G1073" s="14" t="str"/>
      <x:c r="H1073" s="14" t="str">
        <x:v>Discovery розширення — 2 тижні</x:v>
      </x:c>
      <x:c r="I1073" s="16" t="n">
        <x:v>1</x:v>
      </x:c>
      <x:c r="J1073" s="16" t="n">
        <x:v>5</x:v>
      </x:c>
      <x:c r="K1073" s="16" t="n">
        <x:v>5</x:v>
      </x:c>
      <x:c r="L1073" s="16" t="n">
        <x:v>2</x:v>
      </x:c>
      <x:c r="M1073" s="16" t="n">
        <x:v>5</x:v>
      </x:c>
      <x:c r="N1073" s="16" t="n">
        <x:v>5</x:v>
      </x:c>
      <x:c r="O1073" s="16" t="n">
        <x:v>3</x:v>
      </x:c>
      <x:c r="P1073" s="16" t="n">
        <x:f>IF(COUNT(I1073:O1073)&lt;7,"",I1073*8+J1073*3+K1073*2+L1073*2+M1073*2+N1073*2+O1073)</x:f>
        <x:v>60</x:v>
      </x:c>
      <x:c r="Q1073" s="16" t="n">
        <x:f>IF(COUNT(J1073:O1073)&lt;6,"",J1073*5+K1073*4+M1073*4+L1073*3+N1073*2+O1073*2)</x:f>
        <x:v>87</x:v>
      </x:c>
      <x:c r="R1073" s="14" t="str">
        <x:v>high</x:v>
      </x:c>
      <x:c r="S1073" s="14" t="str">
        <x:v>official_prozorro_award_2024_2026</x:v>
      </x:c>
      <x:c r="T1073" s="14" t="str">
        <x:v>official_prozorro_api</x:v>
      </x:c>
      <x:c r="U1073" s="14" t="str">
        <x:v>Не контактували</x:v>
      </x:c>
      <x:c r="V1073" s="15" t="str">
        <x:v>Workflow-audit outreach по UA-2026-05-25-009621-a; попросити 1 пакет здачі та вимоги проєкту</x:v>
      </x:c>
      <x:c r="W1073" s="15" t="str">
        <x:v>Власник / директор; керівник ПТО; відповідальний за договори</x:v>
      </x:c>
      <x:c r="X1073" s="15" t="str">
        <x:v>1 нових підтверджених перемог/договорів у Prozorro на 419 807 грн; 1 зі строком виконання не раніше 24.08.2026.</x:v>
      </x:c>
      <x:c r="Y1073" s="15" t="str">
        <x:v>Послуги поточного ремонту з утепленням фасаду Барабойської гімназії Дальницької сільської ради за адресою: Одеська область, Одеський район, с.Барабой, вул.Соборності,102; строк до 2026-08-31. Попросити один знеособлений пакет здачі за цим workflow.</x:v>
      </x:c>
      <x:c r="Z1073" s="15" t="str">
        <x:v>https://prozorro.gov.ua/tender/UA-2026-05-25-009621-a</x:v>
      </x:c>
      <x:c r="AA1073" s="14" t="str">
        <x:v>33424125</x:v>
      </x:c>
      <x:c r="AB1073" s="14" t="str">
        <x:v>2026-08-24</x:v>
      </x:c>
      <x:c r="AC1073" s="14" t="str"/>
      <x:c r="AD1073" s="20" t="str"/>
      <x:c r="AE1073" s="14" t="str"/>
      <x:c r="AF1073" s="14" t="n">
        <x:v>50</x:v>
      </x:c>
      <x:c r="AG1073" s="14" t="str">
        <x:v>I3</x:v>
      </x:c>
      <x:c r="AH1073" s="14" t="n">
        <x:v>1</x:v>
      </x:c>
      <x:c r="AI1073" s="14" t="n">
        <x:v>1</x:v>
      </x:c>
      <x:c r="AJ1073" s="18" t="n">
        <x:v>419806.63</x:v>
      </x:c>
      <x:c r="AK1073" s="14" t="str">
        <x:v>https://prozorro.gov.ua/tender/UA-2026-05-25-009621-a</x:v>
      </x:c>
      <x:c r="AL1073" s="19" t="n">
        <x:v>46178.533731180556</x:v>
      </x:c>
      <x:c r="AM1073" s="19" t="n">
        <x:v>46265</x:v>
      </x:c>
      <x:c r="AN1073" s="15" t="str">
        <x:v>Фасади та скління</x:v>
      </x:c>
      <x:c r="AO1073" s="15" t="str">
        <x:v>not_found_in_top_search</x:v>
      </x:c>
    </x:row>
    <x:row r="1074">
      <x:c r="A1074" s="14" t="str">
        <x:v>W4-255</x:v>
      </x:c>
      <x:c r="B1074" s="14" t="str">
        <x:v>Prozorro expansion — 24.08</x:v>
      </x:c>
      <x:c r="C1074" s="14" t="str">
        <x:v>КОЛЕКТИВНЕ ПІДПРИЄМСТВО "ХАРКІВСПЕЦПРОМ"</x:v>
      </x:c>
      <x:c r="D1074" s="14" t="str">
        <x:v>Пасивний вогнезахист</x:v>
      </x:c>
      <x:c r="E1074" s="14" t="str">
        <x:v>Expansion discovery</x:v>
      </x:c>
      <x:c r="F1074" s="17" t="str">
        <x:v>D3</x:v>
      </x:c>
      <x:c r="G1074" s="14" t="str"/>
      <x:c r="H1074" s="14" t="str">
        <x:v>Discovery розширення — 2 тижні</x:v>
      </x:c>
      <x:c r="I1074" s="16" t="n">
        <x:v>1</x:v>
      </x:c>
      <x:c r="J1074" s="16" t="n">
        <x:v>5</x:v>
      </x:c>
      <x:c r="K1074" s="16" t="n">
        <x:v>5</x:v>
      </x:c>
      <x:c r="L1074" s="16" t="n">
        <x:v>2</x:v>
      </x:c>
      <x:c r="M1074" s="16" t="n">
        <x:v>5</x:v>
      </x:c>
      <x:c r="N1074" s="16" t="n">
        <x:v>5</x:v>
      </x:c>
      <x:c r="O1074" s="16" t="n">
        <x:v>3</x:v>
      </x:c>
      <x:c r="P1074" s="16" t="n">
        <x:f>IF(COUNT(I1074:O1074)&lt;7,"",I1074*8+J1074*3+K1074*2+L1074*2+M1074*2+N1074*2+O1074)</x:f>
        <x:v>60</x:v>
      </x:c>
      <x:c r="Q1074" s="16" t="n">
        <x:f>IF(COUNT(J1074:O1074)&lt;6,"",J1074*5+K1074*4+M1074*4+L1074*3+N1074*2+O1074*2)</x:f>
        <x:v>87</x:v>
      </x:c>
      <x:c r="R1074" s="14" t="str">
        <x:v>high</x:v>
      </x:c>
      <x:c r="S1074" s="14" t="str">
        <x:v>official_prozorro_award_2024_2026</x:v>
      </x:c>
      <x:c r="T1074" s="14" t="str">
        <x:v>official_prozorro_api</x:v>
      </x:c>
      <x:c r="U1074" s="14" t="str">
        <x:v>Не контактували</x:v>
      </x:c>
      <x:c r="V1074" s="15" t="str">
        <x:v>Workflow-audit outreach по UA-2026-06-24-010620-a; попросити 1 пакет здачі та вимоги проєкту</x:v>
      </x:c>
      <x:c r="W1074" s="15" t="str">
        <x:v>Власник / директор; керівник ПТО; відповідальний за договори</x:v>
      </x:c>
      <x:c r="X1074" s="15" t="str">
        <x:v>1 нових підтверджених перемог/договорів у Prozorro на 299 880 грн; 1 зі строком виконання не раніше 24.08.2026.</x:v>
      </x:c>
      <x:c r="Y1074" s="15" t="str">
        <x:v>послуги з вогнезахисної обробки (просочування) дерев'яних конструкцій елементів горища; строк до 2026-11-30. Попросити один знеособлений пакет здачі за цим workflow.</x:v>
      </x:c>
      <x:c r="Z1074" s="15" t="str">
        <x:v>https://prozorro.gov.ua/tender/UA-2026-06-24-010620-a</x:v>
      </x:c>
      <x:c r="AA1074" s="14" t="str">
        <x:v>30652954</x:v>
      </x:c>
      <x:c r="AB1074" s="14" t="str">
        <x:v>2026-08-24</x:v>
      </x:c>
      <x:c r="AC1074" s="14" t="str"/>
      <x:c r="AD1074" s="20" t="str"/>
      <x:c r="AE1074" s="14" t="str"/>
      <x:c r="AF1074" s="14" t="n">
        <x:v>50</x:v>
      </x:c>
      <x:c r="AG1074" s="14" t="str">
        <x:v>I3</x:v>
      </x:c>
      <x:c r="AH1074" s="14" t="n">
        <x:v>1</x:v>
      </x:c>
      <x:c r="AI1074" s="14" t="n">
        <x:v>1</x:v>
      </x:c>
      <x:c r="AJ1074" s="18" t="n">
        <x:v>299880</x:v>
      </x:c>
      <x:c r="AK1074" s="14" t="str">
        <x:v>https://prozorro.gov.ua/tender/UA-2026-06-24-010620-a</x:v>
      </x:c>
      <x:c r="AL1074" s="19" t="n">
        <x:v>46212.57579563657</x:v>
      </x:c>
      <x:c r="AM1074" s="19" t="n">
        <x:v>46356</x:v>
      </x:c>
      <x:c r="AN1074" s="15" t="str">
        <x:v>Пасивний вогнезахист</x:v>
      </x:c>
      <x:c r="AO1074" s="15" t="str">
        <x:v>not_found_in_top_search</x:v>
      </x:c>
    </x:row>
    <x:row r="1075">
      <x:c r="A1075" s="14" t="str">
        <x:v>W4-256</x:v>
      </x:c>
      <x:c r="B1075" s="14" t="str">
        <x:v>Prozorro expansion — 24.08</x:v>
      </x:c>
      <x:c r="C1075" s="14" t="str">
        <x:v>ПП "Безпека Херсон"</x:v>
      </x:c>
      <x:c r="D1075" s="14" t="str">
        <x:v>Пожежогасіння</x:v>
      </x:c>
      <x:c r="E1075" s="14" t="str">
        <x:v>Expansion discovery</x:v>
      </x:c>
      <x:c r="F1075" s="17" t="str">
        <x:v>D3</x:v>
      </x:c>
      <x:c r="G1075" s="14" t="str"/>
      <x:c r="H1075" s="14" t="str">
        <x:v>Discovery розширення — 2 тижні</x:v>
      </x:c>
      <x:c r="I1075" s="16" t="n">
        <x:v>1</x:v>
      </x:c>
      <x:c r="J1075" s="16" t="n">
        <x:v>5</x:v>
      </x:c>
      <x:c r="K1075" s="16" t="n">
        <x:v>5</x:v>
      </x:c>
      <x:c r="L1075" s="16" t="n">
        <x:v>2</x:v>
      </x:c>
      <x:c r="M1075" s="16" t="n">
        <x:v>5</x:v>
      </x:c>
      <x:c r="N1075" s="16" t="n">
        <x:v>5</x:v>
      </x:c>
      <x:c r="O1075" s="16" t="n">
        <x:v>3</x:v>
      </x:c>
      <x:c r="P1075" s="16" t="n">
        <x:f>IF(COUNT(I1075:O1075)&lt;7,"",I1075*8+J1075*3+K1075*2+L1075*2+M1075*2+N1075*2+O1075)</x:f>
        <x:v>60</x:v>
      </x:c>
      <x:c r="Q1075" s="16" t="n">
        <x:f>IF(COUNT(J1075:O1075)&lt;6,"",J1075*5+K1075*4+M1075*4+L1075*3+N1075*2+O1075*2)</x:f>
        <x:v>87</x:v>
      </x:c>
      <x:c r="R1075" s="14" t="str">
        <x:v>high</x:v>
      </x:c>
      <x:c r="S1075" s="14" t="str">
        <x:v>official_prozorro_award_2024_2026</x:v>
      </x:c>
      <x:c r="T1075" s="14" t="str">
        <x:v>official_prozorro_api</x:v>
      </x:c>
      <x:c r="U1075" s="14" t="str">
        <x:v>Не контактували</x:v>
      </x:c>
      <x:c r="V1075" s="15" t="str">
        <x:v>Workflow-audit outreach по UA-2026-07-07-009769-a; попросити 1 пакет здачі та вимоги проєкту</x:v>
      </x:c>
      <x:c r="W1075" s="15" t="str">
        <x:v>Власник / директор; керівник ПТО; відповідальний за договори</x:v>
      </x:c>
      <x:c r="X1075" s="15" t="str">
        <x:v>1 нових підтверджених перемог/договорів у Prozorro на 277 769 грн; 1 зі строком виконання не раніше 24.08.2026.</x:v>
      </x:c>
      <x:c r="Y1075"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 строк до 2026-12-31. Попросити один знеособлений пакет здачі за цим workflow.</x:v>
      </x:c>
      <x:c r="Z1075" s="15" t="str">
        <x:v>https://prozorro.gov.ua/tender/UA-2026-07-07-009769-a</x:v>
      </x:c>
      <x:c r="AA1075" s="14" t="str">
        <x:v>37631339</x:v>
      </x:c>
      <x:c r="AB1075" s="14" t="str">
        <x:v>2026-08-24</x:v>
      </x:c>
      <x:c r="AC1075" s="14" t="str"/>
      <x:c r="AD1075" s="20" t="str"/>
      <x:c r="AE1075" s="14" t="str"/>
      <x:c r="AF1075" s="14" t="n">
        <x:v>50</x:v>
      </x:c>
      <x:c r="AG1075" s="14" t="str">
        <x:v>I3</x:v>
      </x:c>
      <x:c r="AH1075" s="14" t="n">
        <x:v>1</x:v>
      </x:c>
      <x:c r="AI1075" s="14" t="n">
        <x:v>1</x:v>
      </x:c>
      <x:c r="AJ1075" s="18" t="n">
        <x:v>277769</x:v>
      </x:c>
      <x:c r="AK1075" s="14" t="str">
        <x:v>https://prozorro.gov.ua/tender/UA-2026-07-07-009769-a</x:v>
      </x:c>
      <x:c r="AL1075" s="19" t="n">
        <x:v>46210.56008609954</x:v>
      </x:c>
      <x:c r="AM1075" s="19" t="n">
        <x:v>46387.60166666667</x:v>
      </x:c>
      <x:c r="AN1075" s="15" t="str">
        <x:v>Пожежогасіння</x:v>
      </x:c>
      <x:c r="AO1075" s="15" t="str">
        <x:v>not_found_in_top_search</x:v>
      </x:c>
    </x:row>
    <x:row r="1076">
      <x:c r="A1076" s="14" t="str">
        <x:v>W4-257</x:v>
      </x:c>
      <x:c r="B1076" s="14" t="str">
        <x:v>Prozorro expansion — 24.08</x:v>
      </x:c>
      <x:c r="C1076" s="14" t="str">
        <x:v>КАЛЬНОЙ ДМИТРО ВІКТОРОВИЧ</x:v>
      </x:c>
      <x:c r="D1076" s="14" t="str">
        <x:v>Фасади та скління</x:v>
      </x:c>
      <x:c r="E1076" s="14" t="str">
        <x:v>Expansion discovery</x:v>
      </x:c>
      <x:c r="F1076" s="17" t="str">
        <x:v>D3</x:v>
      </x:c>
      <x:c r="G1076" s="14" t="str"/>
      <x:c r="H1076" s="14" t="str">
        <x:v>Discovery розширення — 2 тижні</x:v>
      </x:c>
      <x:c r="I1076" s="16" t="n">
        <x:v>1</x:v>
      </x:c>
      <x:c r="J1076" s="16" t="n">
        <x:v>5</x:v>
      </x:c>
      <x:c r="K1076" s="16" t="n">
        <x:v>5</x:v>
      </x:c>
      <x:c r="L1076" s="16" t="n">
        <x:v>2</x:v>
      </x:c>
      <x:c r="M1076" s="16" t="n">
        <x:v>5</x:v>
      </x:c>
      <x:c r="N1076" s="16" t="n">
        <x:v>3</x:v>
      </x:c>
      <x:c r="O1076" s="16" t="n">
        <x:v>3</x:v>
      </x:c>
      <x:c r="P1076" s="16" t="n">
        <x:f>IF(COUNT(I1076:O1076)&lt;7,"",I1076*8+J1076*3+K1076*2+L1076*2+M1076*2+N1076*2+O1076)</x:f>
        <x:v>56</x:v>
      </x:c>
      <x:c r="Q1076" s="16" t="n">
        <x:f>IF(COUNT(J1076:O1076)&lt;6,"",J1076*5+K1076*4+M1076*4+L1076*3+N1076*2+O1076*2)</x:f>
        <x:v>83</x:v>
      </x:c>
      <x:c r="R1076" s="14" t="str">
        <x:v>high</x:v>
      </x:c>
      <x:c r="S1076" s="14" t="str">
        <x:v>official_prozorro_award_2024_2026</x:v>
      </x:c>
      <x:c r="T1076" s="14" t="str">
        <x:v>official_prozorro_api</x:v>
      </x:c>
      <x:c r="U1076" s="14" t="str">
        <x:v>Не контактували</x:v>
      </x:c>
      <x:c r="V1076" s="15" t="str">
        <x:v>Workflow-audit outreach по UA-2026-05-22-000967-a; попросити 1 пакет здачі та вимоги проєкту</x:v>
      </x:c>
      <x:c r="W1076" s="15" t="str">
        <x:v>Власник / виконавець; відповідальний за договір</x:v>
      </x:c>
      <x:c r="X1076" s="15" t="str">
        <x:v>1 нових підтверджених перемог/договорів у Prozorro на 199 499 грн; 0 зі строком виконання не раніше 24.08.2026.</x:v>
      </x:c>
      <x:c r="Y1076" s="15" t="str">
        <x:v>послуги з часткового утеплення фасаду установи; строк до 2026-07-01. Попросити один знеособлений пакет здачі за цим workflow.</x:v>
      </x:c>
      <x:c r="Z1076" s="15" t="str">
        <x:v>https://prozorro.gov.ua/tender/UA-2026-05-22-000967-a</x:v>
      </x:c>
      <x:c r="AA1076" s="14" t="str">
        <x:v>2488309479</x:v>
      </x:c>
      <x:c r="AB1076" s="14" t="str">
        <x:v>2026-08-24</x:v>
      </x:c>
      <x:c r="AC1076" s="14" t="str"/>
      <x:c r="AD1076" s="20" t="str"/>
      <x:c r="AE1076" s="14" t="str"/>
      <x:c r="AF1076" s="14" t="n">
        <x:v>50</x:v>
      </x:c>
      <x:c r="AG1076" s="14" t="str">
        <x:v>I3</x:v>
      </x:c>
      <x:c r="AH1076" s="14" t="n">
        <x:v>1</x:v>
      </x:c>
      <x:c r="AI1076" s="14" t="n">
        <x:v>0</x:v>
      </x:c>
      <x:c r="AJ1076" s="18" t="n">
        <x:v>199499</x:v>
      </x:c>
      <x:c r="AK1076" s="14" t="str">
        <x:v>https://prozorro.gov.ua/tender/UA-2026-05-22-000967-a</x:v>
      </x:c>
      <x:c r="AL1076" s="19" t="n">
        <x:v>46164.26954340278</x:v>
      </x:c>
      <x:c r="AM1076" s="19" t="n">
        <x:v>46204</x:v>
      </x:c>
      <x:c r="AN1076" s="15" t="str">
        <x:v>Фасади та скління</x:v>
      </x:c>
      <x:c r="AO1076" s="15" t="str">
        <x:v>not_found_in_top_search</x:v>
      </x:c>
    </x:row>
    <x:row r="1077">
      <x:c r="A1077" s="14" t="str">
        <x:v>W4-258</x:v>
      </x:c>
      <x:c r="B1077" s="14" t="str">
        <x:v>Prozorro expansion — 24.08</x:v>
      </x:c>
      <x:c r="C1077" s="14" t="str">
        <x:v>ТОВ «ЗЕЛЕНА СИСТЕМА»</x:v>
      </x:c>
      <x:c r="D1077" s="14" t="str">
        <x:v>Електромонтаж</x:v>
      </x:c>
      <x:c r="E1077" s="14" t="str">
        <x:v>Pilot now</x:v>
      </x:c>
      <x:c r="F1077" s="17" t="str">
        <x:v>P3</x:v>
      </x:c>
      <x:c r="G1077" s="14" t="str"/>
      <x:c r="H1077" s="14" t="str">
        <x:v>Пілот зараз — Н.15</x:v>
      </x:c>
      <x:c r="I1077" s="16" t="n">
        <x:v>5</x:v>
      </x:c>
      <x:c r="J1077" s="16" t="n">
        <x:v>5</x:v>
      </x:c>
      <x:c r="K1077" s="16" t="n">
        <x:v>4</x:v>
      </x:c>
      <x:c r="L1077" s="16" t="n">
        <x:v>2</x:v>
      </x:c>
      <x:c r="M1077" s="16" t="n">
        <x:v>5</x:v>
      </x:c>
      <x:c r="N1077" s="16" t="n">
        <x:v>5</x:v>
      </x:c>
      <x:c r="O1077" s="16" t="n">
        <x:v>3</x:v>
      </x:c>
      <x:c r="P1077" s="16" t="n">
        <x:f>IF(COUNT(I1077:O1077)&lt;7,"",I1077*8+J1077*3+K1077*2+L1077*2+M1077*2+N1077*2+O1077)</x:f>
        <x:v>90</x:v>
      </x:c>
      <x:c r="Q1077" s="16" t="n">
        <x:f>IF(COUNT(J1077:O1077)&lt;6,"",J1077*5+K1077*4+M1077*4+L1077*3+N1077*2+O1077*2)</x:f>
        <x:v>83</x:v>
      </x:c>
      <x:c r="R1077" s="14" t="str">
        <x:v>high</x:v>
      </x:c>
      <x:c r="S1077" s="14" t="str">
        <x:v>official_prozorro_award_2024_2026</x:v>
      </x:c>
      <x:c r="T1077" s="14" t="str">
        <x:v>official_prozorro_api</x:v>
      </x:c>
      <x:c r="U1077" s="14" t="str">
        <x:v>Не контактували</x:v>
      </x:c>
      <x:c r="V1077" s="15" t="str">
        <x:v>Персоналізований free-pilot outreach по UA-2026-06-22-009216-a; попросити 1 пакет Н.14/Н.15</x:v>
      </x:c>
      <x:c r="W1077" s="15" t="str">
        <x:v>Власник / директор; керівник ПТО; відповідальний за договори</x:v>
      </x:c>
      <x:c r="X1077" s="15" t="str">
        <x:v>1 нових підтверджених перемог/договорів у Prozorro на 198 196 грн; 1 зі строком виконання не раніше 24.08.2026.</x:v>
      </x:c>
      <x:c r="Y1077" s="15" t="str">
        <x:v>Електромонтажні роботи; строк до 2026-12-31. Попросити один знеособлений пакет здачі за цим workflow.</x:v>
      </x:c>
      <x:c r="Z1077" s="15" t="str">
        <x:v>https://prozorro.gov.ua/tender/UA-2026-06-22-009216-a</x:v>
      </x:c>
      <x:c r="AA1077" s="14" t="str">
        <x:v>38191604</x:v>
      </x:c>
      <x:c r="AB1077" s="14" t="str">
        <x:v>2026-08-24</x:v>
      </x:c>
      <x:c r="AC1077" s="14" t="str"/>
      <x:c r="AD1077" s="20" t="str"/>
      <x:c r="AE1077" s="14" t="str"/>
      <x:c r="AF1077" s="14" t="n">
        <x:v>50</x:v>
      </x:c>
      <x:c r="AG1077" s="14" t="str">
        <x:v>I3</x:v>
      </x:c>
      <x:c r="AH1077" s="14" t="n">
        <x:v>1</x:v>
      </x:c>
      <x:c r="AI1077" s="14" t="n">
        <x:v>1</x:v>
      </x:c>
      <x:c r="AJ1077" s="18" t="n">
        <x:v>198196</x:v>
      </x:c>
      <x:c r="AK1077" s="14" t="str">
        <x:v>https://prozorro.gov.ua/tender/UA-2026-06-22-009216-a</x:v>
      </x:c>
      <x:c r="AL1077" s="19" t="n">
        <x:v>46195.50056107639</x:v>
      </x:c>
      <x:c r="AM1077" s="19" t="n">
        <x:v>46387</x:v>
      </x:c>
      <x:c r="AN1077" s="15" t="str">
        <x:v>Електромонтаж</x:v>
      </x:c>
      <x:c r="AO1077" s="15" t="str">
        <x:v>not_found_in_top_search</x:v>
      </x:c>
    </x:row>
    <x:row r="1078">
      <x:c r="A1078" s="14" t="str">
        <x:v>W4-259</x:v>
      </x:c>
      <x:c r="B1078" s="14" t="str">
        <x:v>Prozorro expansion — 24.08</x:v>
      </x:c>
      <x:c r="C1078" s="14" t="str">
        <x:v>Приватне підприємство «Асфальтбуд»</x:v>
      </x:c>
      <x:c r="D1078" s="14" t="str">
        <x:v>Газові мережі</x:v>
      </x:c>
      <x:c r="E1078" s="14" t="str">
        <x:v>Expansion discovery</x:v>
      </x:c>
      <x:c r="F1078" s="17" t="str">
        <x:v>D3</x:v>
      </x:c>
      <x:c r="G1078" s="14" t="str"/>
      <x:c r="H1078" s="14" t="str">
        <x:v>Discovery розширення — 2 тижні</x:v>
      </x:c>
      <x:c r="I1078" s="16" t="n">
        <x:v>1</x:v>
      </x:c>
      <x:c r="J1078" s="16" t="n">
        <x:v>5</x:v>
      </x:c>
      <x:c r="K1078" s="16" t="n">
        <x:v>5</x:v>
      </x:c>
      <x:c r="L1078" s="16" t="n">
        <x:v>2</x:v>
      </x:c>
      <x:c r="M1078" s="16" t="n">
        <x:v>5</x:v>
      </x:c>
      <x:c r="N1078" s="16" t="n">
        <x:v>5</x:v>
      </x:c>
      <x:c r="O1078" s="16" t="n">
        <x:v>3</x:v>
      </x:c>
      <x:c r="P1078" s="16" t="n">
        <x:f>IF(COUNT(I1078:O1078)&lt;7,"",I1078*8+J1078*3+K1078*2+L1078*2+M1078*2+N1078*2+O1078)</x:f>
        <x:v>60</x:v>
      </x:c>
      <x:c r="Q1078" s="16" t="n">
        <x:f>IF(COUNT(J1078:O1078)&lt;6,"",J1078*5+K1078*4+M1078*4+L1078*3+N1078*2+O1078*2)</x:f>
        <x:v>87</x:v>
      </x:c>
      <x:c r="R1078" s="14" t="str">
        <x:v>high</x:v>
      </x:c>
      <x:c r="S1078" s="14" t="str">
        <x:v>official_prozorro_award_2024_2026</x:v>
      </x:c>
      <x:c r="T1078" s="14" t="str">
        <x:v>official_prozorro_api</x:v>
      </x:c>
      <x:c r="U1078" s="14" t="str">
        <x:v>Не контактували</x:v>
      </x:c>
      <x:c r="V1078" s="15" t="str">
        <x:v>Workflow-audit outreach по UA-2026-07-02-009614-a; попросити 1 пакет здачі та вимоги проєкту</x:v>
      </x:c>
      <x:c r="W1078" s="15" t="str">
        <x:v>Власник / директор; керівник ПТО; відповідальний за договори</x:v>
      </x:c>
      <x:c r="X1078" s="15" t="str">
        <x:v>1 нових підтверджених перемог/договорів у Prozorro на 165 574 грн; 1 зі строком виконання не раніше 24.08.2026.</x:v>
      </x:c>
      <x:c r="Y1078"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 строк до 2026-12-31. Попросити один знеособлений пакет здачі за цим workflow.</x:v>
      </x:c>
      <x:c r="Z1078" s="15" t="str">
        <x:v>https://prozorro.gov.ua/tender/UA-2026-07-02-009614-a</x:v>
      </x:c>
      <x:c r="AA1078" s="14" t="str">
        <x:v>39288442</x:v>
      </x:c>
      <x:c r="AB1078" s="14" t="str">
        <x:v>2026-08-24</x:v>
      </x:c>
      <x:c r="AC1078" s="14" t="str"/>
      <x:c r="AD1078" s="20" t="str"/>
      <x:c r="AE1078" s="14" t="str"/>
      <x:c r="AF1078" s="14" t="n">
        <x:v>50</x:v>
      </x:c>
      <x:c r="AG1078" s="14" t="str">
        <x:v>I3</x:v>
      </x:c>
      <x:c r="AH1078" s="14" t="n">
        <x:v>1</x:v>
      </x:c>
      <x:c r="AI1078" s="14" t="n">
        <x:v>1</x:v>
      </x:c>
      <x:c r="AJ1078" s="18" t="n">
        <x:v>165573.93</x:v>
      </x:c>
      <x:c r="AK1078" s="14" t="str">
        <x:v>https://prozorro.gov.ua/tender/UA-2026-07-02-009614-a</x:v>
      </x:c>
      <x:c r="AL1078" s="19" t="n">
        <x:v>46206.219883032405</x:v>
      </x:c>
      <x:c r="AM1078" s="19" t="n">
        <x:v>46387.61833333333</x:v>
      </x:c>
      <x:c r="AN1078" s="15" t="str">
        <x:v>Газові мережі</x:v>
      </x:c>
      <x:c r="AO1078" s="15" t="str">
        <x:v>not_found_in_top_search</x:v>
      </x:c>
    </x:row>
    <x:row r="1079">
      <x:c r="A1079" s="14" t="str">
        <x:v>W4-260</x:v>
      </x:c>
      <x:c r="B1079" s="14" t="str">
        <x:v>Prozorro expansion — 24.08</x:v>
      </x:c>
      <x:c r="C1079" s="14" t="str">
        <x:v>КРУПСЬКИЙ КОСТЯНТИН ВІКТОРОВИЧ</x:v>
      </x:c>
      <x:c r="D1079" s="14" t="str">
        <x:v>Внутрішні сантехнічні системи</x:v>
      </x:c>
      <x:c r="E1079" s="14" t="str">
        <x:v>Pilot now</x:v>
      </x:c>
      <x:c r="F1079" s="17" t="str">
        <x:v>P3</x:v>
      </x:c>
      <x:c r="G1079" s="14" t="str"/>
      <x:c r="H1079" s="14" t="str">
        <x:v>Пілот зараз — Н.14</x:v>
      </x:c>
      <x:c r="I1079" s="16" t="n">
        <x:v>5</x:v>
      </x:c>
      <x:c r="J1079" s="16" t="n">
        <x:v>5</x:v>
      </x:c>
      <x:c r="K1079" s="16" t="n">
        <x:v>4</x:v>
      </x:c>
      <x:c r="L1079" s="16" t="n">
        <x:v>2</x:v>
      </x:c>
      <x:c r="M1079" s="16" t="n">
        <x:v>5</x:v>
      </x:c>
      <x:c r="N1079" s="16" t="n">
        <x:v>3</x:v>
      </x:c>
      <x:c r="O1079" s="16" t="n">
        <x:v>3</x:v>
      </x:c>
      <x:c r="P1079" s="16" t="n">
        <x:f>IF(COUNT(I1079:O1079)&lt;7,"",I1079*8+J1079*3+K1079*2+L1079*2+M1079*2+N1079*2+O1079)</x:f>
        <x:v>86</x:v>
      </x:c>
      <x:c r="Q1079" s="16" t="n">
        <x:f>IF(COUNT(J1079:O1079)&lt;6,"",J1079*5+K1079*4+M1079*4+L1079*3+N1079*2+O1079*2)</x:f>
        <x:v>79</x:v>
      </x:c>
      <x:c r="R1079" s="14" t="str">
        <x:v>high</x:v>
      </x:c>
      <x:c r="S1079" s="14" t="str">
        <x:v>official_prozorro_award_2024_2026</x:v>
      </x:c>
      <x:c r="T1079" s="14" t="str">
        <x:v>official_prozorro_api</x:v>
      </x:c>
      <x:c r="U1079" s="14" t="str">
        <x:v>Не контактували</x:v>
      </x:c>
      <x:c r="V1079" s="15" t="str">
        <x:v>Персоналізований free-pilot outreach по UA-2026-05-22-001007-a; попросити 1 пакет Н.14/Н.15</x:v>
      </x:c>
      <x:c r="W1079" s="15" t="str">
        <x:v>Власник / виконавець; відповідальний за договір</x:v>
      </x:c>
      <x:c r="X1079" s="15" t="str">
        <x:v>1 нових підтверджених перемог/договорів у Prozorro на 158 544 грн; 0 зі строком виконання не раніше 24.08.2026.</x:v>
      </x:c>
      <x:c r="Y1079"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 строк до 2026-07-01. Попросити один знеособлений пакет здачі за цим workflow.</x:v>
      </x:c>
      <x:c r="Z1079" s="15" t="str">
        <x:v>https://prozorro.gov.ua/tender/UA-2026-05-22-001007-a</x:v>
      </x:c>
      <x:c r="AA1079" s="14" t="str">
        <x:v>3173603918</x:v>
      </x:c>
      <x:c r="AB1079" s="14" t="str">
        <x:v>2026-08-24</x:v>
      </x:c>
      <x:c r="AC1079" s="14" t="str"/>
      <x:c r="AD1079" s="20" t="str"/>
      <x:c r="AE1079" s="14" t="str"/>
      <x:c r="AF1079" s="14" t="n">
        <x:v>50</x:v>
      </x:c>
      <x:c r="AG1079" s="14" t="str">
        <x:v>I3</x:v>
      </x:c>
      <x:c r="AH1079" s="14" t="n">
        <x:v>1</x:v>
      </x:c>
      <x:c r="AI1079" s="14" t="n">
        <x:v>0</x:v>
      </x:c>
      <x:c r="AJ1079" s="18" t="n">
        <x:v>158543.52</x:v>
      </x:c>
      <x:c r="AK1079" s="14" t="str">
        <x:v>https://prozorro.gov.ua/tender/UA-2026-05-22-001007-a</x:v>
      </x:c>
      <x:c r="AL1079" s="19" t="n">
        <x:v>46164.27059743056</x:v>
      </x:c>
      <x:c r="AM1079" s="19" t="n">
        <x:v>46204</x:v>
      </x:c>
      <x:c r="AN1079" s="15" t="str">
        <x:v>Внутрішні сантехнічні системи</x:v>
      </x:c>
      <x:c r="AO1079" s="15" t="str">
        <x:v>not_found_in_top_search</x:v>
      </x:c>
    </x:row>
    <x:row r="1080">
      <x:c r="A1080" s="14" t="str">
        <x:v>W4-261</x:v>
      </x:c>
      <x:c r="B1080" s="14" t="str">
        <x:v>Prozorro expansion — 24.08</x:v>
      </x:c>
      <x:c r="C1080" s="14" t="str">
        <x:v>Товариство з обмеженою відповідальністю "М-105"</x:v>
      </x:c>
      <x:c r="D1080" s="14" t="str">
        <x:v>Дорожні роботи</x:v>
      </x:c>
      <x:c r="E1080" s="14" t="str">
        <x:v>Expansion discovery</x:v>
      </x:c>
      <x:c r="F1080" s="17" t="str">
        <x:v>D3</x:v>
      </x:c>
      <x:c r="G1080" s="14" t="str"/>
      <x:c r="H1080" s="14" t="str">
        <x:v>Discovery розширення — 2 тижні</x:v>
      </x:c>
      <x:c r="I1080" s="16" t="n">
        <x:v>1</x:v>
      </x:c>
      <x:c r="J1080" s="16" t="n">
        <x:v>5</x:v>
      </x:c>
      <x:c r="K1080" s="16" t="n">
        <x:v>4</x:v>
      </x:c>
      <x:c r="L1080" s="16" t="n">
        <x:v>2</x:v>
      </x:c>
      <x:c r="M1080" s="16" t="n">
        <x:v>5</x:v>
      </x:c>
      <x:c r="N1080" s="16" t="n">
        <x:v>5</x:v>
      </x:c>
      <x:c r="O1080" s="16" t="n">
        <x:v>3</x:v>
      </x:c>
      <x:c r="P1080" s="16" t="n">
        <x:f>IF(COUNT(I1080:O1080)&lt;7,"",I1080*8+J1080*3+K1080*2+L1080*2+M1080*2+N1080*2+O1080)</x:f>
        <x:v>58</x:v>
      </x:c>
      <x:c r="Q1080" s="16" t="n">
        <x:f>IF(COUNT(J1080:O1080)&lt;6,"",J1080*5+K1080*4+M1080*4+L1080*3+N1080*2+O1080*2)</x:f>
        <x:v>83</x:v>
      </x:c>
      <x:c r="R1080" s="14" t="str">
        <x:v>high</x:v>
      </x:c>
      <x:c r="S1080" s="14" t="str">
        <x:v>official_prozorro_award_2024_2026</x:v>
      </x:c>
      <x:c r="T1080" s="14" t="str">
        <x:v>official_prozorro_api</x:v>
      </x:c>
      <x:c r="U1080" s="14" t="str">
        <x:v>Не контактували</x:v>
      </x:c>
      <x:c r="V1080" s="15" t="str">
        <x:v>Workflow-audit outreach по UA-2026-06-25-001092-a; попросити 1 пакет здачі та вимоги проєкту</x:v>
      </x:c>
      <x:c r="W1080" s="15" t="str">
        <x:v>Власник / директор; керівник ПТО; відповідальний за договори</x:v>
      </x:c>
      <x:c r="X1080" s="15" t="str">
        <x:v>1 нових підтверджених перемог/договорів у Prozorro на 149 814 грн; 1 зі строком виконання не раніше 24.08.2026.</x:v>
      </x:c>
      <x:c r="Y1080" s="15" t="str">
        <x:v>Капітальний ремонт дорожнього покриття по вулиці Довбуша в селі Пасічна Пасічнянської ТГ; строк до 2026-12-31. Попросити один знеособлений пакет здачі за цим workflow.</x:v>
      </x:c>
      <x:c r="Z1080" s="15" t="str">
        <x:v>https://prozorro.gov.ua/tender/UA-2026-06-25-001092-a</x:v>
      </x:c>
      <x:c r="AA1080" s="14" t="str">
        <x:v>43633454</x:v>
      </x:c>
      <x:c r="AB1080" s="14" t="str">
        <x:v>2026-08-24</x:v>
      </x:c>
      <x:c r="AC1080" s="14" t="str"/>
      <x:c r="AD1080" s="20" t="str"/>
      <x:c r="AE1080" s="14" t="str"/>
      <x:c r="AF1080" s="14" t="n">
        <x:v>50</x:v>
      </x:c>
      <x:c r="AG1080" s="14" t="str">
        <x:v>I3</x:v>
      </x:c>
      <x:c r="AH1080" s="14" t="n">
        <x:v>1</x:v>
      </x:c>
      <x:c r="AI1080" s="14" t="n">
        <x:v>1</x:v>
      </x:c>
      <x:c r="AJ1080" s="18" t="n">
        <x:v>149813.96</x:v>
      </x:c>
      <x:c r="AK1080" s="14" t="str">
        <x:v>https://prozorro.gov.ua/tender/UA-2026-06-25-001092-a</x:v>
      </x:c>
      <x:c r="AL1080" s="19" t="n">
        <x:v>46198.27031103009</x:v>
      </x:c>
      <x:c r="AM1080" s="19" t="n">
        <x:v>46387</x:v>
      </x:c>
      <x:c r="AN1080" s="15" t="str">
        <x:v>Дорожні роботи</x:v>
      </x:c>
      <x:c r="AO1080" s="15" t="str">
        <x:v>not_found_in_top_search</x:v>
      </x:c>
    </x:row>
    <x:row r="1081">
      <x:c r="A1081" s="14" t="str">
        <x:v>W4-262</x:v>
      </x:c>
      <x:c r="B1081" s="14" t="str">
        <x:v>Prozorro expansion — 24.08</x:v>
      </x:c>
      <x:c r="C1081" s="14" t="str">
        <x:v>ТОВАРИСТВО З ОБМЕЖЕНОЮ ВІДПОВІДАЛЬНІСТЮ "ПРОЕКТ БЕЗПЕКА"</x:v>
      </x:c>
      <x:c r="D1081" s="14" t="str">
        <x:v>Пожежогасіння</x:v>
      </x:c>
      <x:c r="E1081" s="14" t="str">
        <x:v>Expansion discovery</x:v>
      </x:c>
      <x:c r="F1081" s="17" t="str">
        <x:v>D3</x:v>
      </x:c>
      <x:c r="G1081" s="14" t="str"/>
      <x:c r="H1081" s="14" t="str">
        <x:v>Discovery розширення — 2 тижні</x:v>
      </x:c>
      <x:c r="I1081" s="16" t="n">
        <x:v>1</x:v>
      </x:c>
      <x:c r="J1081" s="16" t="n">
        <x:v>5</x:v>
      </x:c>
      <x:c r="K1081" s="16" t="n">
        <x:v>5</x:v>
      </x:c>
      <x:c r="L1081" s="16" t="n">
        <x:v>2</x:v>
      </x:c>
      <x:c r="M1081" s="16" t="n">
        <x:v>5</x:v>
      </x:c>
      <x:c r="N1081" s="16" t="n">
        <x:v>5</x:v>
      </x:c>
      <x:c r="O1081" s="16" t="n">
        <x:v>3</x:v>
      </x:c>
      <x:c r="P1081" s="16" t="n">
        <x:f>IF(COUNT(I1081:O1081)&lt;7,"",I1081*8+J1081*3+K1081*2+L1081*2+M1081*2+N1081*2+O1081)</x:f>
        <x:v>60</x:v>
      </x:c>
      <x:c r="Q1081" s="16" t="n">
        <x:f>IF(COUNT(J1081:O1081)&lt;6,"",J1081*5+K1081*4+M1081*4+L1081*3+N1081*2+O1081*2)</x:f>
        <x:v>87</x:v>
      </x:c>
      <x:c r="R1081" s="14" t="str">
        <x:v>high</x:v>
      </x:c>
      <x:c r="S1081" s="14" t="str">
        <x:v>official_prozorro_award_2024_2026</x:v>
      </x:c>
      <x:c r="T1081" s="14" t="str">
        <x:v>official_prozorro_api</x:v>
      </x:c>
      <x:c r="U1081" s="14" t="str">
        <x:v>Не контактували</x:v>
      </x:c>
      <x:c r="V1081" s="15" t="str">
        <x:v>Workflow-audit outreach по UA-2026-07-08-007873-a; попросити 1 пакет здачі та вимоги проєкту</x:v>
      </x:c>
      <x:c r="W1081" s="15" t="str">
        <x:v>Власник / директор; керівник ПТО; відповідальний за договори</x:v>
      </x:c>
      <x:c r="X1081" s="15" t="str">
        <x:v>1 нових підтверджених перемог/договорів у Prozorro на 146 251 грн; 1 зі строком виконання не раніше 24.08.2026.</x:v>
      </x:c>
      <x:c r="Y1081"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 строк до 2026-09-01. Попросити один знеособлений пакет здачі за цим workflow.</x:v>
      </x:c>
      <x:c r="Z1081" s="15" t="str">
        <x:v>https://prozorro.gov.ua/tender/UA-2026-07-08-007873-a</x:v>
      </x:c>
      <x:c r="AA1081" s="14" t="str">
        <x:v>43618373</x:v>
      </x:c>
      <x:c r="AB1081" s="14" t="str">
        <x:v>2026-08-24</x:v>
      </x:c>
      <x:c r="AC1081" s="14" t="str"/>
      <x:c r="AD1081" s="20" t="str"/>
      <x:c r="AE1081" s="14" t="str"/>
      <x:c r="AF1081" s="14" t="n">
        <x:v>50</x:v>
      </x:c>
      <x:c r="AG1081" s="14" t="str">
        <x:v>I3</x:v>
      </x:c>
      <x:c r="AH1081" s="14" t="n">
        <x:v>1</x:v>
      </x:c>
      <x:c r="AI1081" s="14" t="n">
        <x:v>1</x:v>
      </x:c>
      <x:c r="AJ1081" s="18" t="n">
        <x:v>146250.96</x:v>
      </x:c>
      <x:c r="AK1081" s="14" t="str">
        <x:v>https://prozorro.gov.ua/tender/UA-2026-07-08-007873-a</x:v>
      </x:c>
      <x:c r="AL1081" s="19" t="n">
        <x:v>46211.4979665625</x:v>
      </x:c>
      <x:c r="AM1081" s="19" t="n">
        <x:v>46266</x:v>
      </x:c>
      <x:c r="AN1081" s="15" t="str">
        <x:v>Пожежогасіння</x:v>
      </x:c>
      <x:c r="AO1081" s="15" t="str">
        <x:v>not_found_in_top_search</x:v>
      </x:c>
    </x:row>
    <x:row r="1082">
      <x:c r="A1082" s="14" t="str">
        <x:v>W4-263</x:v>
      </x:c>
      <x:c r="B1082" s="14" t="str">
        <x:v>Prozorro expansion — 24.08</x:v>
      </x:c>
      <x:c r="C1082" s="14" t="str">
        <x:v>ТОВАРИСТВО З ОБМЕЖЕНОЮ ВІДПОВІДАЛЬНІСТЮ "ВАН-БУД"</x:v>
      </x:c>
      <x:c r="D1082" s="14" t="str">
        <x:v>Покрівлі та гідроізоляція</x:v>
      </x:c>
      <x:c r="E1082" s="14" t="str">
        <x:v>Expansion discovery</x:v>
      </x:c>
      <x:c r="F1082" s="17" t="str">
        <x:v>D3</x:v>
      </x:c>
      <x:c r="G1082" s="14" t="str"/>
      <x:c r="H1082" s="14" t="str">
        <x:v>Discovery розширення — 2 тижні</x:v>
      </x:c>
      <x:c r="I1082" s="16" t="n">
        <x:v>1</x:v>
      </x:c>
      <x:c r="J1082" s="16" t="n">
        <x:v>5</x:v>
      </x:c>
      <x:c r="K1082" s="16" t="n">
        <x:v>5</x:v>
      </x:c>
      <x:c r="L1082" s="16" t="n">
        <x:v>2</x:v>
      </x:c>
      <x:c r="M1082" s="16" t="n">
        <x:v>5</x:v>
      </x:c>
      <x:c r="N1082" s="16" t="n">
        <x:v>5</x:v>
      </x:c>
      <x:c r="O1082" s="16" t="n">
        <x:v>3</x:v>
      </x:c>
      <x:c r="P1082" s="16" t="n">
        <x:f>IF(COUNT(I1082:O1082)&lt;7,"",I1082*8+J1082*3+K1082*2+L1082*2+M1082*2+N1082*2+O1082)</x:f>
        <x:v>60</x:v>
      </x:c>
      <x:c r="Q1082" s="16" t="n">
        <x:f>IF(COUNT(J1082:O1082)&lt;6,"",J1082*5+K1082*4+M1082*4+L1082*3+N1082*2+O1082*2)</x:f>
        <x:v>87</x:v>
      </x:c>
      <x:c r="R1082" s="14" t="str">
        <x:v>high</x:v>
      </x:c>
      <x:c r="S1082" s="14" t="str">
        <x:v>official_prozorro_award_2024_2026</x:v>
      </x:c>
      <x:c r="T1082" s="14" t="str">
        <x:v>official_prozorro_api</x:v>
      </x:c>
      <x:c r="U1082" s="14" t="str">
        <x:v>Не контактували</x:v>
      </x:c>
      <x:c r="V1082" s="15" t="str">
        <x:v>Повторне звернення з новим тендерним сигналом UA-2025-11-26-000583-a; попросити 1 пакет здачі</x:v>
      </x:c>
      <x:c r="W1082" s="15" t="str">
        <x:v>Власник / директор; керівник ПТО; відповідальний за договори</x:v>
      </x:c>
      <x:c r="X1082" s="15" t="str">
        <x:v>1 нових підтверджених перемог/договорів у Prozorro на 144 856 грн; 1 зі строком виконання не раніше 24.08.2026.</x:v>
      </x:c>
      <x:c r="Y1082" s="15" t="str">
        <x:v>Поточний ремонт покрівлі (покрівельні роботи та інші спеціалізовані будівельні роботи); строк до 2026-12-31. Попросити один знеособлений пакет здачі за цим workflow.</x:v>
      </x:c>
      <x:c r="Z1082" s="15" t="str">
        <x:v>https://prozorro.gov.ua/tender/UA-2026-07-07-006189-a</x:v>
      </x:c>
      <x:c r="AA1082" s="14" t="str">
        <x:v>33896328</x:v>
      </x:c>
      <x:c r="AB1082" s="14" t="str">
        <x:v>2026-08-24</x:v>
      </x:c>
      <x:c r="AC1082" s="14" t="str"/>
      <x:c r="AD1082" s="20" t="str"/>
      <x:c r="AE1082" s="14" t="str"/>
      <x:c r="AF1082" s="14" t="n">
        <x:v>50</x:v>
      </x:c>
      <x:c r="AG1082" s="14" t="str">
        <x:v>I3</x:v>
      </x:c>
      <x:c r="AH1082" s="14" t="n">
        <x:v>2</x:v>
      </x:c>
      <x:c r="AI1082" s="14" t="n">
        <x:v>1</x:v>
      </x:c>
      <x:c r="AJ1082" s="18" t="n">
        <x:v>322145.65</x:v>
      </x:c>
      <x:c r="AK1082" s="14" t="str">
        <x:v>https://prozorro.gov.ua/tender/UA-2025-11-26-000583-a</x:v>
      </x:c>
      <x:c r="AL1082" s="19" t="n">
        <x:v>45987.284185543984</x:v>
      </x:c>
      <x:c r="AM1082" s="19" t="n">
        <x:v>46022</x:v>
      </x:c>
      <x:c r="AN1082" s="15" t="str">
        <x:v>Покрівлі та гідроізоляція; Резервне живлення</x:v>
      </x:c>
      <x:c r="AO1082" s="15" t="str">
        <x:v>not_found_in_top_search</x:v>
      </x:c>
    </x:row>
    <x:row r="1083">
      <x:c r="A1083" s="14" t="str">
        <x:v>W4-264</x:v>
      </x:c>
      <x:c r="B1083" s="14" t="str">
        <x:v>Prozorro expansion — 24.08</x:v>
      </x:c>
      <x:c r="C1083" s="14" t="str">
        <x:v>ФОП РИЖИХ АНДРІЙ ІГОРОВИЧ</x:v>
      </x:c>
      <x:c r="D1083" s="14" t="str">
        <x:v>HVAC / ОВіК</x:v>
      </x:c>
      <x:c r="E1083" s="14" t="str">
        <x:v>Pilot now</x:v>
      </x:c>
      <x:c r="F1083" s="17" t="str">
        <x:v>P3</x:v>
      </x:c>
      <x:c r="G1083" s="14" t="str"/>
      <x:c r="H1083" s="14" t="str">
        <x:v>Пілот зараз — Н.14</x:v>
      </x:c>
      <x:c r="I1083" s="16" t="n">
        <x:v>5</x:v>
      </x:c>
      <x:c r="J1083" s="16" t="n">
        <x:v>5</x:v>
      </x:c>
      <x:c r="K1083" s="16" t="n">
        <x:v>4</x:v>
      </x:c>
      <x:c r="L1083" s="16" t="n">
        <x:v>1</x:v>
      </x:c>
      <x:c r="M1083" s="16" t="n">
        <x:v>5</x:v>
      </x:c>
      <x:c r="N1083" s="16" t="n">
        <x:v>3</x:v>
      </x:c>
      <x:c r="O1083" s="16" t="n">
        <x:v>3</x:v>
      </x:c>
      <x:c r="P1083" s="16" t="n">
        <x:f>IF(COUNT(I1083:O1083)&lt;7,"",I1083*8+J1083*3+K1083*2+L1083*2+M1083*2+N1083*2+O1083)</x:f>
        <x:v>84</x:v>
      </x:c>
      <x:c r="Q1083" s="16" t="n">
        <x:f>IF(COUNT(J1083:O1083)&lt;6,"",J1083*5+K1083*4+M1083*4+L1083*3+N1083*2+O1083*2)</x:f>
        <x:v>76</x:v>
      </x:c>
      <x:c r="R1083" s="14" t="str">
        <x:v>high</x:v>
      </x:c>
      <x:c r="S1083" s="14" t="str">
        <x:v>official_prozorro_award_2024_2026</x:v>
      </x:c>
      <x:c r="T1083" s="14" t="str">
        <x:v>official_prozorro_api</x:v>
      </x:c>
      <x:c r="U1083" s="14" t="str">
        <x:v>Не контактували</x:v>
      </x:c>
      <x:c r="V1083" s="15" t="str">
        <x:v>Персоналізований free-pilot outreach по UA-2025-08-15-004713-a; попросити 1 пакет Н.14/Н.15</x:v>
      </x:c>
      <x:c r="W1083" s="15" t="str">
        <x:v>Власник / виконавець; відповідальний за договір</x:v>
      </x:c>
      <x:c r="X1083" s="15" t="str">
        <x:v>3 нових підтверджених перемог/договорів у Prozorro на 69 700 грн; 0 зі строком виконання не раніше 24.08.2026.</x:v>
      </x:c>
      <x:c r="Y1083" s="15" t="str">
        <x:v>Послуги з монтажу, демонтажу, ремонту та сервісного обслуговування холодильного обладнання, систем вентиляції та кондиціювання; строк до 2025-12-31. Попросити один знеособлений пакет здачі за цим workflow.</x:v>
      </x:c>
      <x:c r="Z1083" s="15" t="str">
        <x:v>https://prozorro.gov.ua/tender/UA-2025-08-15-004713-a</x:v>
      </x:c>
      <x:c r="AA1083" s="14" t="str">
        <x:v>3011512852</x:v>
      </x:c>
      <x:c r="AB1083" s="14" t="str">
        <x:v>2026-08-24</x:v>
      </x:c>
      <x:c r="AC1083" s="14" t="str"/>
      <x:c r="AD1083" s="20" t="str"/>
      <x:c r="AE1083" s="14" t="str"/>
      <x:c r="AF1083" s="14" t="n">
        <x:v>50</x:v>
      </x:c>
      <x:c r="AG1083" s="14" t="str">
        <x:v>I3</x:v>
      </x:c>
      <x:c r="AH1083" s="14" t="n">
        <x:v>3</x:v>
      </x:c>
      <x:c r="AI1083" s="14" t="n">
        <x:v>0</x:v>
      </x:c>
      <x:c r="AJ1083" s="18" t="n">
        <x:v>69700</x:v>
      </x:c>
      <x:c r="AK1083" s="14" t="str">
        <x:v>https://prozorro.gov.ua/tender/UA-2025-08-15-004713-a</x:v>
      </x:c>
      <x:c r="AL1083" s="19" t="n">
        <x:v>45884.382174722225</x:v>
      </x:c>
      <x:c r="AM1083" s="19" t="n">
        <x:v>46022</x:v>
      </x:c>
      <x:c r="AN1083" s="15" t="str">
        <x:v>HVAC / ОВіК</x:v>
      </x:c>
      <x:c r="AO1083" s="15" t="str">
        <x:v>not_found_in_top_search</x:v>
      </x:c>
    </x:row>
    <x:row r="1084">
      <x:c r="A1084" s="14" t="str">
        <x:v>W4-265</x:v>
      </x:c>
      <x:c r="B1084" s="14" t="str">
        <x:v>Prozorro expansion — 24.08</x:v>
      </x:c>
      <x:c r="C1084" s="14" t="str">
        <x:v>КУКУРІКА РУСЛАН ВАЛЕРІЙОВИЧ</x:v>
      </x:c>
      <x:c r="D1084" s="14" t="str">
        <x:v>Металоконструкції</x:v>
      </x:c>
      <x:c r="E1084" s="14" t="str">
        <x:v>Expansion discovery</x:v>
      </x:c>
      <x:c r="F1084" s="17" t="str">
        <x:v>D3</x:v>
      </x:c>
      <x:c r="G1084" s="14" t="str"/>
      <x:c r="H1084" s="14" t="str">
        <x:v>Discovery розширення — 2 тижні</x:v>
      </x:c>
      <x:c r="I1084" s="16" t="n">
        <x:v>1</x:v>
      </x:c>
      <x:c r="J1084" s="16" t="n">
        <x:v>5</x:v>
      </x:c>
      <x:c r="K1084" s="16" t="n">
        <x:v>5</x:v>
      </x:c>
      <x:c r="L1084" s="16" t="n">
        <x:v>1</x:v>
      </x:c>
      <x:c r="M1084" s="16" t="n">
        <x:v>5</x:v>
      </x:c>
      <x:c r="N1084" s="16" t="n">
        <x:v>3</x:v>
      </x:c>
      <x:c r="O1084" s="16" t="n">
        <x:v>3</x:v>
      </x:c>
      <x:c r="P1084" s="16" t="n">
        <x:f>IF(COUNT(I1084:O1084)&lt;7,"",I1084*8+J1084*3+K1084*2+L1084*2+M1084*2+N1084*2+O1084)</x:f>
        <x:v>54</x:v>
      </x:c>
      <x:c r="Q1084" s="16" t="n">
        <x:f>IF(COUNT(J1084:O1084)&lt;6,"",J1084*5+K1084*4+M1084*4+L1084*3+N1084*2+O1084*2)</x:f>
        <x:v>80</x:v>
      </x:c>
      <x:c r="R1084" s="14" t="str">
        <x:v>high</x:v>
      </x:c>
      <x:c r="S1084" s="14" t="str">
        <x:v>official_prozorro_award_2024_2026</x:v>
      </x:c>
      <x:c r="T1084" s="14" t="str">
        <x:v>official_prozorro_api</x:v>
      </x:c>
      <x:c r="U1084" s="14" t="str">
        <x:v>Не контактували</x:v>
      </x:c>
      <x:c r="V1084" s="15" t="str">
        <x:v>Workflow-audit outreach по UA-2025-06-11-003347-a; попросити 1 пакет здачі та вимоги проєкту</x:v>
      </x:c>
      <x:c r="W1084" s="15" t="str">
        <x:v>Власник / виконавець; відповідальний за договір</x:v>
      </x:c>
      <x:c r="X1084" s="15" t="str">
        <x:v>3 нових підтверджених перемог/договорів у Prozorro на 64 050 грн; 0 зі строком виконання не раніше 24.08.2026.</x:v>
      </x:c>
      <x:c r="Y1084" s="15" t="str">
        <x:v>Послуги з виготовлення та монтажу металоконструкцій; строк до 2025-08-31. Попросити один знеособлений пакет здачі за цим workflow.</x:v>
      </x:c>
      <x:c r="Z1084" s="15" t="str">
        <x:v>https://prozorro.gov.ua/tender/UA-2025-06-11-003347-a</x:v>
      </x:c>
      <x:c r="AA1084" s="14" t="str">
        <x:v>2785811130</x:v>
      </x:c>
      <x:c r="AB1084" s="14" t="str">
        <x:v>2026-08-24</x:v>
      </x:c>
      <x:c r="AC1084" s="14" t="str"/>
      <x:c r="AD1084" s="20" t="str"/>
      <x:c r="AE1084" s="14" t="str"/>
      <x:c r="AF1084" s="14" t="n">
        <x:v>50</x:v>
      </x:c>
      <x:c r="AG1084" s="14" t="str">
        <x:v>I3</x:v>
      </x:c>
      <x:c r="AH1084" s="14" t="n">
        <x:v>3</x:v>
      </x:c>
      <x:c r="AI1084" s="14" t="n">
        <x:v>0</x:v>
      </x:c>
      <x:c r="AJ1084" s="18" t="n">
        <x:v>64050</x:v>
      </x:c>
      <x:c r="AK1084" s="14" t="str">
        <x:v>https://prozorro.gov.ua/tender/UA-2025-06-11-003347-a</x:v>
      </x:c>
      <x:c r="AL1084" s="19" t="n">
        <x:v>45819.3383777662</x:v>
      </x:c>
      <x:c r="AM1084" s="19" t="n">
        <x:v>45900</x:v>
      </x:c>
      <x:c r="AN1084" s="15" t="str">
        <x:v>Металоконструкції</x:v>
      </x:c>
      <x:c r="AO1084" s="15" t="str">
        <x:v>not_found_in_top_search</x:v>
      </x:c>
    </x:row>
    <x:row r="1085">
      <x:c r="A1085" s="14" t="str">
        <x:v>W4-266</x:v>
      </x:c>
      <x:c r="B1085" s="14" t="str">
        <x:v>Prozorro expansion — 24.08</x:v>
      </x:c>
      <x:c r="C1085" s="14" t="str">
        <x:v>ФОП КОЧІН ВІКТОР ПАВЛОВИЧ</x:v>
      </x:c>
      <x:c r="D1085" s="14" t="str">
        <x:v>Внутрішні сантехнічні системи</x:v>
      </x:c>
      <x:c r="E1085" s="14" t="str">
        <x:v>Pilot now</x:v>
      </x:c>
      <x:c r="F1085" s="17" t="str">
        <x:v>P3</x:v>
      </x:c>
      <x:c r="G1085" s="14" t="str"/>
      <x:c r="H1085" s="14" t="str">
        <x:v>Пілот зараз — Н.14</x:v>
      </x:c>
      <x:c r="I1085" s="16" t="n">
        <x:v>5</x:v>
      </x:c>
      <x:c r="J1085" s="16" t="n">
        <x:v>5</x:v>
      </x:c>
      <x:c r="K1085" s="16" t="n">
        <x:v>4</x:v>
      </x:c>
      <x:c r="L1085" s="16" t="n">
        <x:v>2</x:v>
      </x:c>
      <x:c r="M1085" s="16" t="n">
        <x:v>5</x:v>
      </x:c>
      <x:c r="N1085" s="16" t="n">
        <x:v>3</x:v>
      </x:c>
      <x:c r="O1085" s="16" t="n">
        <x:v>3</x:v>
      </x:c>
      <x:c r="P1085" s="16" t="n">
        <x:f>IF(COUNT(I1085:O1085)&lt;7,"",I1085*8+J1085*3+K1085*2+L1085*2+M1085*2+N1085*2+O1085)</x:f>
        <x:v>86</x:v>
      </x:c>
      <x:c r="Q1085" s="16" t="n">
        <x:f>IF(COUNT(J1085:O1085)&lt;6,"",J1085*5+K1085*4+M1085*4+L1085*3+N1085*2+O1085*2)</x:f>
        <x:v>79</x:v>
      </x:c>
      <x:c r="R1085" s="14" t="str">
        <x:v>high</x:v>
      </x:c>
      <x:c r="S1085" s="14" t="str">
        <x:v>official_prozorro_award_2024_2026</x:v>
      </x:c>
      <x:c r="T1085" s="14" t="str">
        <x:v>official_prozorro_api</x:v>
      </x:c>
      <x:c r="U1085" s="14" t="str">
        <x:v>Не контактували</x:v>
      </x:c>
      <x:c r="V1085" s="15" t="str">
        <x:v>Персоналізований free-pilot outreach по UA-2026-02-24-009162-a; попросити 1 пакет Н.14/Н.15</x:v>
      </x:c>
      <x:c r="W1085" s="15" t="str">
        <x:v>Власник / виконавець; відповідальний за договір</x:v>
      </x:c>
      <x:c r="X1085" s="15" t="str">
        <x:v>2 нових підтверджених перемог/договорів у Prozorro на 399 885 грн; 2 зі строком виконання не раніше 24.08.2026.</x:v>
      </x:c>
      <x:c r="Y1085"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 строк до 2026-12-31. Попросити один знеособлений пакет здачі за цим workflow.</x:v>
      </x:c>
      <x:c r="Z1085" s="15" t="str">
        <x:v>https://prozorro.gov.ua/tender/UA-2026-02-24-009162-a</x:v>
      </x:c>
      <x:c r="AA1085" s="14" t="str">
        <x:v>2835404632</x:v>
      </x:c>
      <x:c r="AB1085" s="14" t="str">
        <x:v>2026-08-24</x:v>
      </x:c>
      <x:c r="AC1085" s="14" t="str"/>
      <x:c r="AD1085" s="20" t="str"/>
      <x:c r="AE1085" s="14" t="str"/>
      <x:c r="AF1085" s="14" t="n">
        <x:v>49</x:v>
      </x:c>
      <x:c r="AG1085" s="14" t="str">
        <x:v>I3</x:v>
      </x:c>
      <x:c r="AH1085" s="14" t="n">
        <x:v>2</x:v>
      </x:c>
      <x:c r="AI1085" s="14" t="n">
        <x:v>2</x:v>
      </x:c>
      <x:c r="AJ1085" s="18" t="n">
        <x:v>399884.99</x:v>
      </x:c>
      <x:c r="AK1085" s="14" t="str">
        <x:v>https://prozorro.gov.ua/tender/UA-2026-02-24-009162-a</x:v>
      </x:c>
      <x:c r="AL1085" s="19" t="n">
        <x:v>46077.51951358796</x:v>
      </x:c>
      <x:c r="AM1085" s="19" t="n">
        <x:v>46387</x:v>
      </x:c>
      <x:c r="AN1085" s="15" t="str">
        <x:v>Внутрішні сантехнічні системи</x:v>
      </x:c>
      <x:c r="AO1085" s="15" t="str">
        <x:v>not_found_in_top_search</x:v>
      </x:c>
    </x:row>
    <x:row r="1086">
      <x:c r="A1086" s="14" t="str">
        <x:v>W4-267</x:v>
      </x:c>
      <x:c r="B1086" s="14" t="str">
        <x:v>Prozorro expansion — 24.08</x:v>
      </x:c>
      <x:c r="C1086" s="14" t="str">
        <x:v>Фізична особа-підприємець Тесленко Олександр Анатолійович</x:v>
      </x:c>
      <x:c r="D1086" s="14" t="str">
        <x:v>Електромонтаж</x:v>
      </x:c>
      <x:c r="E1086" s="14" t="str">
        <x:v>Pilot now</x:v>
      </x:c>
      <x:c r="F1086" s="17" t="str">
        <x:v>P3</x:v>
      </x:c>
      <x:c r="G1086" s="14" t="str"/>
      <x:c r="H1086" s="14" t="str">
        <x:v>Пілот зараз — Н.15</x:v>
      </x:c>
      <x:c r="I1086" s="16" t="n">
        <x:v>5</x:v>
      </x:c>
      <x:c r="J1086" s="16" t="n">
        <x:v>5</x:v>
      </x:c>
      <x:c r="K1086" s="16" t="n">
        <x:v>4</x:v>
      </x:c>
      <x:c r="L1086" s="16" t="n">
        <x:v>1</x:v>
      </x:c>
      <x:c r="M1086" s="16" t="n">
        <x:v>5</x:v>
      </x:c>
      <x:c r="N1086" s="16" t="n">
        <x:v>3</x:v>
      </x:c>
      <x:c r="O1086" s="16" t="n">
        <x:v>3</x:v>
      </x:c>
      <x:c r="P1086" s="16" t="n">
        <x:f>IF(COUNT(I1086:O1086)&lt;7,"",I1086*8+J1086*3+K1086*2+L1086*2+M1086*2+N1086*2+O1086)</x:f>
        <x:v>84</x:v>
      </x:c>
      <x:c r="Q1086" s="16" t="n">
        <x:f>IF(COUNT(J1086:O1086)&lt;6,"",J1086*5+K1086*4+M1086*4+L1086*3+N1086*2+O1086*2)</x:f>
        <x:v>76</x:v>
      </x:c>
      <x:c r="R1086" s="14" t="str">
        <x:v>high</x:v>
      </x:c>
      <x:c r="S1086" s="14" t="str">
        <x:v>official_prozorro_award_2024_2026</x:v>
      </x:c>
      <x:c r="T1086" s="14" t="str">
        <x:v>official_prozorro_api</x:v>
      </x:c>
      <x:c r="U1086" s="14" t="str">
        <x:v>Не контактували</x:v>
      </x:c>
      <x:c r="V1086" s="15" t="str">
        <x:v>Персоналізований free-pilot outreach по UA-2026-07-31-004732-a; попросити 1 пакет Н.14/Н.15</x:v>
      </x:c>
      <x:c r="W1086" s="15" t="str">
        <x:v>Власник / виконавець; відповідальний за договір</x:v>
      </x:c>
      <x:c r="X1086" s="15" t="str">
        <x:v>1 нових підтверджених перемог/договорів у Prozorro на 99 890 грн; 0 зі строком виконання не раніше 24.08.2026.</x:v>
      </x:c>
      <x:c r="Y1086" s="15" t="str">
        <x:v>Послуги з електромонтажних робіт; строк до 2026-08-17. Попросити один знеособлений пакет здачі за цим workflow.</x:v>
      </x:c>
      <x:c r="Z1086" s="15" t="str">
        <x:v>https://prozorro.gov.ua/tender/UA-2026-07-31-004732-a</x:v>
      </x:c>
      <x:c r="AA1086" s="14" t="str">
        <x:v>2883315896</x:v>
      </x:c>
      <x:c r="AB1086" s="14" t="str">
        <x:v>2026-08-24</x:v>
      </x:c>
      <x:c r="AC1086" s="14" t="str"/>
      <x:c r="AD1086" s="20" t="str"/>
      <x:c r="AE1086" s="14" t="str"/>
      <x:c r="AF1086" s="14" t="n">
        <x:v>49</x:v>
      </x:c>
      <x:c r="AG1086" s="14" t="str">
        <x:v>I3</x:v>
      </x:c>
      <x:c r="AH1086" s="14" t="n">
        <x:v>1</x:v>
      </x:c>
      <x:c r="AI1086" s="14" t="n">
        <x:v>0</x:v>
      </x:c>
      <x:c r="AJ1086" s="18" t="n">
        <x:v>99890</x:v>
      </x:c>
      <x:c r="AK1086" s="14" t="str">
        <x:v>https://prozorro.gov.ua/tender/UA-2026-07-31-004732-a</x:v>
      </x:c>
      <x:c r="AL1086" s="19" t="n">
        <x:v>46234.42401953704</x:v>
      </x:c>
      <x:c r="AM1086" s="19" t="n">
        <x:v>46251</x:v>
      </x:c>
      <x:c r="AN1086" s="15" t="str">
        <x:v>Електромонтаж</x:v>
      </x:c>
      <x:c r="AO1086" s="15" t="str">
        <x:v>not_found_in_top_search</x:v>
      </x:c>
    </x:row>
    <x:row r="1087">
      <x:c r="A1087" s="14" t="str">
        <x:v>W4-268</x:v>
      </x:c>
      <x:c r="B1087" s="14" t="str">
        <x:v>Prozorro expansion — 24.08</x:v>
      </x:c>
      <x:c r="C1087" s="14" t="str">
        <x:v>ФОП Шульга Олександр Андрійович</x:v>
      </x:c>
      <x:c r="D1087" s="14" t="str">
        <x:v>Пасивний вогнезахист</x:v>
      </x:c>
      <x:c r="E1087" s="14" t="str">
        <x:v>Expansion discovery</x:v>
      </x:c>
      <x:c r="F1087" s="17" t="str">
        <x:v>D3</x:v>
      </x:c>
      <x:c r="G1087" s="14" t="str"/>
      <x:c r="H1087" s="14" t="str">
        <x:v>Discovery розширення — 2 тижні</x:v>
      </x:c>
      <x:c r="I1087" s="16" t="n">
        <x:v>1</x:v>
      </x:c>
      <x:c r="J1087" s="16" t="n">
        <x:v>5</x:v>
      </x:c>
      <x:c r="K1087" s="16" t="n">
        <x:v>5</x:v>
      </x:c>
      <x:c r="L1087" s="16" t="n">
        <x:v>1</x:v>
      </x:c>
      <x:c r="M1087" s="16" t="n">
        <x:v>5</x:v>
      </x:c>
      <x:c r="N1087" s="16" t="n">
        <x:v>3</x:v>
      </x:c>
      <x:c r="O1087" s="16" t="n">
        <x:v>3</x:v>
      </x:c>
      <x:c r="P1087" s="16" t="n">
        <x:f>IF(COUNT(I1087:O1087)&lt;7,"",I1087*8+J1087*3+K1087*2+L1087*2+M1087*2+N1087*2+O1087)</x:f>
        <x:v>54</x:v>
      </x:c>
      <x:c r="Q1087" s="16" t="n">
        <x:f>IF(COUNT(J1087:O1087)&lt;6,"",J1087*5+K1087*4+M1087*4+L1087*3+N1087*2+O1087*2)</x:f>
        <x:v>80</x:v>
      </x:c>
      <x:c r="R1087" s="14" t="str">
        <x:v>high</x:v>
      </x:c>
      <x:c r="S1087" s="14" t="str">
        <x:v>official_prozorro_award_2024_2026</x:v>
      </x:c>
      <x:c r="T1087" s="14" t="str">
        <x:v>official_prozorro_api</x:v>
      </x:c>
      <x:c r="U1087" s="14" t="str">
        <x:v>Не контактували</x:v>
      </x:c>
      <x:c r="V1087" s="15" t="str">
        <x:v>Workflow-audit outreach по UA-2026-07-24-002917-a; попросити 1 пакет здачі та вимоги проєкту</x:v>
      </x:c>
      <x:c r="W1087" s="15" t="str">
        <x:v>Власник / виконавець; відповідальний за договір</x:v>
      </x:c>
      <x:c r="X1087" s="15" t="str">
        <x:v>1 нових підтверджених перемог/договорів у Prozorro на 86 470 грн; 1 зі строком виконання не раніше 24.08.2026.</x:v>
      </x:c>
      <x:c r="Y1087"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 строк до 2026-12-31. Попросити один знеособлений пакет здачі за цим workflow.</x:v>
      </x:c>
      <x:c r="Z1087" s="15" t="str">
        <x:v>https://prozorro.gov.ua/tender/UA-2026-07-24-002917-a</x:v>
      </x:c>
      <x:c r="AA1087" s="14" t="str">
        <x:v>2022816950</x:v>
      </x:c>
      <x:c r="AB1087" s="14" t="str">
        <x:v>2026-08-24</x:v>
      </x:c>
      <x:c r="AC1087" s="14" t="str"/>
      <x:c r="AD1087" s="20" t="str"/>
      <x:c r="AE1087" s="14" t="str"/>
      <x:c r="AF1087" s="14" t="n">
        <x:v>49</x:v>
      </x:c>
      <x:c r="AG1087" s="14" t="str">
        <x:v>I3</x:v>
      </x:c>
      <x:c r="AH1087" s="14" t="n">
        <x:v>1</x:v>
      </x:c>
      <x:c r="AI1087" s="14" t="n">
        <x:v>1</x:v>
      </x:c>
      <x:c r="AJ1087" s="18" t="n">
        <x:v>86469.79</x:v>
      </x:c>
      <x:c r="AK1087" s="14" t="str">
        <x:v>https://prozorro.gov.ua/tender/UA-2026-07-24-002917-a</x:v>
      </x:c>
      <x:c r="AL1087" s="19" t="n">
        <x:v>46227.33447059028</x:v>
      </x:c>
      <x:c r="AM1087" s="19" t="n">
        <x:v>46387</x:v>
      </x:c>
      <x:c r="AN1087" s="15" t="str">
        <x:v>Пасивний вогнезахист</x:v>
      </x:c>
      <x:c r="AO1087" s="15" t="str">
        <x:v>not_found_in_top_search</x:v>
      </x:c>
    </x:row>
    <x:row r="1088">
      <x:c r="A1088" s="14" t="str">
        <x:v>W4-269</x:v>
      </x:c>
      <x:c r="B1088" s="14" t="str">
        <x:v>Prozorro expansion — 24.08</x:v>
      </x:c>
      <x:c r="C1088" s="14" t="str">
        <x:v>ФОП Шатківська Аліна Вадимівна</x:v>
      </x:c>
      <x:c r="D1088" s="14" t="str">
        <x:v>Пасивний вогнезахист</x:v>
      </x:c>
      <x:c r="E1088" s="14" t="str">
        <x:v>Expansion discovery</x:v>
      </x:c>
      <x:c r="F1088" s="17" t="str">
        <x:v>D3</x:v>
      </x:c>
      <x:c r="G1088" s="14" t="str"/>
      <x:c r="H1088" s="14" t="str">
        <x:v>Discovery розширення — 2 тижні</x:v>
      </x:c>
      <x:c r="I1088" s="16" t="n">
        <x:v>1</x:v>
      </x:c>
      <x:c r="J1088" s="16" t="n">
        <x:v>5</x:v>
      </x:c>
      <x:c r="K1088" s="16" t="n">
        <x:v>5</x:v>
      </x:c>
      <x:c r="L1088" s="16" t="n">
        <x:v>1</x:v>
      </x:c>
      <x:c r="M1088" s="16" t="n">
        <x:v>5</x:v>
      </x:c>
      <x:c r="N1088" s="16" t="n">
        <x:v>3</x:v>
      </x:c>
      <x:c r="O1088" s="16" t="n">
        <x:v>3</x:v>
      </x:c>
      <x:c r="P1088" s="16" t="n">
        <x:f>IF(COUNT(I1088:O1088)&lt;7,"",I1088*8+J1088*3+K1088*2+L1088*2+M1088*2+N1088*2+O1088)</x:f>
        <x:v>54</x:v>
      </x:c>
      <x:c r="Q1088" s="16" t="n">
        <x:f>IF(COUNT(J1088:O1088)&lt;6,"",J1088*5+K1088*4+M1088*4+L1088*3+N1088*2+O1088*2)</x:f>
        <x:v>80</x:v>
      </x:c>
      <x:c r="R1088" s="14" t="str">
        <x:v>high</x:v>
      </x:c>
      <x:c r="S1088" s="14" t="str">
        <x:v>official_prozorro_award_2024_2026</x:v>
      </x:c>
      <x:c r="T1088" s="14" t="str">
        <x:v>official_prozorro_api</x:v>
      </x:c>
      <x:c r="U1088" s="14" t="str">
        <x:v>Не контактували</x:v>
      </x:c>
      <x:c r="V1088" s="15" t="str">
        <x:v>Workflow-audit outreach по UA-2026-08-06-007180-a; попросити 1 пакет здачі та вимоги проєкту</x:v>
      </x:c>
      <x:c r="W1088" s="15" t="str">
        <x:v>Власник / виконавець; відповідальний за договір</x:v>
      </x:c>
      <x:c r="X1088" s="15" t="str">
        <x:v>1 нових підтверджених перемог/договорів у Prozorro на 82 252 грн; 1 зі строком виконання не раніше 24.08.2026.</x:v>
      </x:c>
      <x:c r="Y1088" s="15" t="str">
        <x:v>Послуги з вогнезахисної обробки дерев'яних конструкцій та їх деталей даху; строк до 2026-12-31. Попросити один знеособлений пакет здачі за цим workflow.</x:v>
      </x:c>
      <x:c r="Z1088" s="15" t="str">
        <x:v>https://prozorro.gov.ua/tender/UA-2026-08-06-007180-a</x:v>
      </x:c>
      <x:c r="AA1088" s="14" t="str">
        <x:v>3305902962</x:v>
      </x:c>
      <x:c r="AB1088" s="14" t="str">
        <x:v>2026-08-24</x:v>
      </x:c>
      <x:c r="AC1088" s="14" t="str"/>
      <x:c r="AD1088" s="20" t="str"/>
      <x:c r="AE1088" s="14" t="str"/>
      <x:c r="AF1088" s="14" t="n">
        <x:v>49</x:v>
      </x:c>
      <x:c r="AG1088" s="14" t="str">
        <x:v>I3</x:v>
      </x:c>
      <x:c r="AH1088" s="14" t="n">
        <x:v>1</x:v>
      </x:c>
      <x:c r="AI1088" s="14" t="n">
        <x:v>1</x:v>
      </x:c>
      <x:c r="AJ1088" s="18" t="n">
        <x:v>82252.47</x:v>
      </x:c>
      <x:c r="AK1088" s="14" t="str">
        <x:v>https://prozorro.gov.ua/tender/UA-2026-08-06-007180-a</x:v>
      </x:c>
      <x:c r="AL1088" s="19" t="n">
        <x:v>46240.47086918981</x:v>
      </x:c>
      <x:c r="AM1088" s="19" t="n">
        <x:v>46387</x:v>
      </x:c>
      <x:c r="AN1088" s="15" t="str">
        <x:v>Пасивний вогнезахист</x:v>
      </x:c>
      <x:c r="AO1088" s="15" t="str">
        <x:v>not_found_in_top_search</x:v>
      </x:c>
    </x:row>
    <x:row r="1089">
      <x:c r="A1089" s="14" t="str">
        <x:v>W4-270</x:v>
      </x:c>
      <x:c r="B1089" s="14" t="str">
        <x:v>Prozorro expansion — 24.08</x:v>
      </x:c>
      <x:c r="C1089" s="14" t="str">
        <x:v>ФОП Томащук Валерій Вячеславович</x:v>
      </x:c>
      <x:c r="D1089" s="14" t="str">
        <x:v>Покрівлі та гідроізоляція</x:v>
      </x:c>
      <x:c r="E1089" s="14" t="str">
        <x:v>Expansion discovery</x:v>
      </x:c>
      <x:c r="F1089" s="17" t="str">
        <x:v>D3</x:v>
      </x:c>
      <x:c r="G1089" s="14" t="str"/>
      <x:c r="H1089" s="14" t="str">
        <x:v>Discovery розширення — 2 тижні</x:v>
      </x:c>
      <x:c r="I1089" s="16" t="n">
        <x:v>1</x:v>
      </x:c>
      <x:c r="J1089" s="16" t="n">
        <x:v>5</x:v>
      </x:c>
      <x:c r="K1089" s="16" t="n">
        <x:v>5</x:v>
      </x:c>
      <x:c r="L1089" s="16" t="n">
        <x:v>1</x:v>
      </x:c>
      <x:c r="M1089" s="16" t="n">
        <x:v>5</x:v>
      </x:c>
      <x:c r="N1089" s="16" t="n">
        <x:v>3</x:v>
      </x:c>
      <x:c r="O1089" s="16" t="n">
        <x:v>3</x:v>
      </x:c>
      <x:c r="P1089" s="16" t="n">
        <x:f>IF(COUNT(I1089:O1089)&lt;7,"",I1089*8+J1089*3+K1089*2+L1089*2+M1089*2+N1089*2+O1089)</x:f>
        <x:v>54</x:v>
      </x:c>
      <x:c r="Q1089" s="16" t="n">
        <x:f>IF(COUNT(J1089:O1089)&lt;6,"",J1089*5+K1089*4+M1089*4+L1089*3+N1089*2+O1089*2)</x:f>
        <x:v>80</x:v>
      </x:c>
      <x:c r="R1089" s="14" t="str">
        <x:v>high</x:v>
      </x:c>
      <x:c r="S1089" s="14" t="str">
        <x:v>official_prozorro_award_2024_2026</x:v>
      </x:c>
      <x:c r="T1089" s="14" t="str">
        <x:v>official_prozorro_api</x:v>
      </x:c>
      <x:c r="U1089" s="14" t="str">
        <x:v>Не контактували</x:v>
      </x:c>
      <x:c r="V1089" s="15" t="str">
        <x:v>Workflow-audit outreach по UA-2026-08-10-000886-a; попросити 1 пакет здачі та вимоги проєкту</x:v>
      </x:c>
      <x:c r="W1089" s="15" t="str">
        <x:v>Власник / виконавець; відповідальний за договір</x:v>
      </x:c>
      <x:c r="X1089" s="15" t="str">
        <x:v>1 нових підтверджених перемог/договорів у Prozorro на 52 490 грн; 1 зі строком виконання не раніше 24.08.2026.</x:v>
      </x:c>
      <x:c r="Y1089" s="15" t="str">
        <x:v>Покрівельні роботи (поточний ремонт (відновлення)покрівлі даху; строк до 2026-08-31. Попросити один знеособлений пакет здачі за цим workflow.</x:v>
      </x:c>
      <x:c r="Z1089" s="15" t="str">
        <x:v>https://prozorro.gov.ua/tender/UA-2026-08-10-000886-a</x:v>
      </x:c>
      <x:c r="AA1089" s="14" t="str">
        <x:v>2186514150</x:v>
      </x:c>
      <x:c r="AB1089" s="14" t="str">
        <x:v>2026-08-24</x:v>
      </x:c>
      <x:c r="AC1089" s="14" t="str"/>
      <x:c r="AD1089" s="20" t="str"/>
      <x:c r="AE1089" s="14" t="str"/>
      <x:c r="AF1089" s="14" t="n">
        <x:v>49</x:v>
      </x:c>
      <x:c r="AG1089" s="14" t="str">
        <x:v>I3</x:v>
      </x:c>
      <x:c r="AH1089" s="14" t="n">
        <x:v>1</x:v>
      </x:c>
      <x:c r="AI1089" s="14" t="n">
        <x:v>1</x:v>
      </x:c>
      <x:c r="AJ1089" s="18" t="n">
        <x:v>52490</x:v>
      </x:c>
      <x:c r="AK1089" s="14" t="str">
        <x:v>https://prozorro.gov.ua/tender/UA-2026-08-10-000886-a</x:v>
      </x:c>
      <x:c r="AL1089" s="19" t="n">
        <x:v>46244.281348530094</x:v>
      </x:c>
      <x:c r="AM1089" s="19" t="n">
        <x:v>46265</x:v>
      </x:c>
      <x:c r="AN1089" s="15" t="str">
        <x:v>Покрівлі та гідроізоляція</x:v>
      </x:c>
      <x:c r="AO1089" s="15" t="str">
        <x:v>not_found_in_top_search</x:v>
      </x:c>
    </x:row>
    <x:row r="1090">
      <x:c r="A1090" s="14" t="str">
        <x:v>W4-271</x:v>
      </x:c>
      <x:c r="B1090" s="14" t="str">
        <x:v>Prozorro expansion — 24.08</x:v>
      </x:c>
      <x:c r="C1090" s="14" t="str">
        <x:v>ФОП Небесний Руслан Зіновійович</x:v>
      </x:c>
      <x:c r="D1090" s="14" t="str">
        <x:v>Пасивний вогнезахист</x:v>
      </x:c>
      <x:c r="E1090" s="14" t="str">
        <x:v>Expansion discovery</x:v>
      </x:c>
      <x:c r="F1090" s="17" t="str">
        <x:v>D3</x:v>
      </x:c>
      <x:c r="G1090" s="14" t="str"/>
      <x:c r="H1090" s="14" t="str">
        <x:v>Discovery розширення — 2 тижні</x:v>
      </x:c>
      <x:c r="I1090" s="16" t="n">
        <x:v>1</x:v>
      </x:c>
      <x:c r="J1090" s="16" t="n">
        <x:v>5</x:v>
      </x:c>
      <x:c r="K1090" s="16" t="n">
        <x:v>5</x:v>
      </x:c>
      <x:c r="L1090" s="16" t="n">
        <x:v>1</x:v>
      </x:c>
      <x:c r="M1090" s="16" t="n">
        <x:v>5</x:v>
      </x:c>
      <x:c r="N1090" s="16" t="n">
        <x:v>3</x:v>
      </x:c>
      <x:c r="O1090" s="16" t="n">
        <x:v>3</x:v>
      </x:c>
      <x:c r="P1090" s="16" t="n">
        <x:f>IF(COUNT(I1090:O1090)&lt;7,"",I1090*8+J1090*3+K1090*2+L1090*2+M1090*2+N1090*2+O1090)</x:f>
        <x:v>54</x:v>
      </x:c>
      <x:c r="Q1090" s="16" t="n">
        <x:f>IF(COUNT(J1090:O1090)&lt;6,"",J1090*5+K1090*4+M1090*4+L1090*3+N1090*2+O1090*2)</x:f>
        <x:v>80</x:v>
      </x:c>
      <x:c r="R1090" s="14" t="str">
        <x:v>high</x:v>
      </x:c>
      <x:c r="S1090" s="14" t="str">
        <x:v>official_prozorro_award_2024_2026</x:v>
      </x:c>
      <x:c r="T1090" s="14" t="str">
        <x:v>official_prozorro_api</x:v>
      </x:c>
      <x:c r="U1090" s="14" t="str">
        <x:v>Не контактували</x:v>
      </x:c>
      <x:c r="V1090" s="15" t="str">
        <x:v>Workflow-audit outreach по UA-2026-07-24-009923-a; попросити 1 пакет здачі та вимоги проєкту</x:v>
      </x:c>
      <x:c r="W1090" s="15" t="str">
        <x:v>Власник / виконавець; відповідальний за договір</x:v>
      </x:c>
      <x:c r="X1090" s="15" t="str">
        <x:v>1 нових підтверджених перемог/договорів у Prozorro на 49 500 грн; 1 зі строком виконання не раніше 24.08.2026.</x:v>
      </x:c>
      <x:c r="Y1090" s="15" t="str">
        <x:v>Вогнезахисна поверхнева обробка дерев'яних конструкцій даху будівлі; строк до 2026-12-31. Попросити один знеособлений пакет здачі за цим workflow.</x:v>
      </x:c>
      <x:c r="Z1090" s="15" t="str">
        <x:v>https://prozorro.gov.ua/tender/UA-2026-07-24-009923-a</x:v>
      </x:c>
      <x:c r="AA1090" s="14" t="str">
        <x:v>2536315230</x:v>
      </x:c>
      <x:c r="AB1090" s="14" t="str">
        <x:v>2026-08-24</x:v>
      </x:c>
      <x:c r="AC1090" s="14" t="str"/>
      <x:c r="AD1090" s="20" t="str"/>
      <x:c r="AE1090" s="14" t="str"/>
      <x:c r="AF1090" s="14" t="n">
        <x:v>49</x:v>
      </x:c>
      <x:c r="AG1090" s="14" t="str">
        <x:v>I3</x:v>
      </x:c>
      <x:c r="AH1090" s="14" t="n">
        <x:v>1</x:v>
      </x:c>
      <x:c r="AI1090" s="14" t="n">
        <x:v>1</x:v>
      </x:c>
      <x:c r="AJ1090" s="18" t="n">
        <x:v>49500</x:v>
      </x:c>
      <x:c r="AK1090" s="14" t="str">
        <x:v>https://prozorro.gov.ua/tender/UA-2026-07-24-009923-a</x:v>
      </x:c>
      <x:c r="AL1090" s="19" t="n">
        <x:v>46227.5737687963</x:v>
      </x:c>
      <x:c r="AM1090" s="19" t="n">
        <x:v>46387</x:v>
      </x:c>
      <x:c r="AN1090" s="15" t="str">
        <x:v>Пасивний вогнезахист</x:v>
      </x:c>
      <x:c r="AO1090" s="15" t="str">
        <x:v>not_found_in_top_search</x:v>
      </x:c>
    </x:row>
    <x:row r="1091">
      <x:c r="A1091" s="14" t="str">
        <x:v>W4-272</x:v>
      </x:c>
      <x:c r="B1091" s="14" t="str">
        <x:v>Prozorro expansion — 24.08</x:v>
      </x:c>
      <x:c r="C1091" s="14" t="str">
        <x:v>ФОП Кавінський В.В.</x:v>
      </x:c>
      <x:c r="D1091" s="14" t="str">
        <x:v>Благоустрій</x:v>
      </x:c>
      <x:c r="E1091" s="14" t="str">
        <x:v>Expansion discovery</x:v>
      </x:c>
      <x:c r="F1091" s="17" t="str">
        <x:v>D3</x:v>
      </x:c>
      <x:c r="G1091" s="14" t="str"/>
      <x:c r="H1091" s="14" t="str">
        <x:v>Discovery розширення — 2 тижні</x:v>
      </x:c>
      <x:c r="I1091" s="16" t="n">
        <x:v>1</x:v>
      </x:c>
      <x:c r="J1091" s="16" t="n">
        <x:v>5</x:v>
      </x:c>
      <x:c r="K1091" s="16" t="n">
        <x:v>4</x:v>
      </x:c>
      <x:c r="L1091" s="16" t="n">
        <x:v>1</x:v>
      </x:c>
      <x:c r="M1091" s="16" t="n">
        <x:v>5</x:v>
      </x:c>
      <x:c r="N1091" s="16" t="n">
        <x:v>3</x:v>
      </x:c>
      <x:c r="O1091" s="16" t="n">
        <x:v>3</x:v>
      </x:c>
      <x:c r="P1091" s="16" t="n">
        <x:f>IF(COUNT(I1091:O1091)&lt;7,"",I1091*8+J1091*3+K1091*2+L1091*2+M1091*2+N1091*2+O1091)</x:f>
        <x:v>52</x:v>
      </x:c>
      <x:c r="Q1091" s="16" t="n">
        <x:f>IF(COUNT(J1091:O1091)&lt;6,"",J1091*5+K1091*4+M1091*4+L1091*3+N1091*2+O1091*2)</x:f>
        <x:v>76</x:v>
      </x:c>
      <x:c r="R1091" s="14" t="str">
        <x:v>high</x:v>
      </x:c>
      <x:c r="S1091" s="14" t="str">
        <x:v>official_prozorro_award_2024_2026</x:v>
      </x:c>
      <x:c r="T1091" s="14" t="str">
        <x:v>official_prozorro_api</x:v>
      </x:c>
      <x:c r="U1091" s="14" t="str">
        <x:v>Не контактували</x:v>
      </x:c>
      <x:c r="V1091" s="15" t="str">
        <x:v>Workflow-audit outreach по UA-2026-07-28-000868-a; попросити 1 пакет здачі та вимоги проєкту</x:v>
      </x:c>
      <x:c r="W1091" s="15" t="str">
        <x:v>Власник / виконавець; відповідальний за договір</x:v>
      </x:c>
      <x:c r="X1091" s="15" t="str">
        <x:v>1 нових підтверджених перемог/договорів у Prozorro на 44 500 грн; 1 зі строком виконання не раніше 24.08.2026.</x:v>
      </x:c>
      <x:c r="Y1091"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 строк до 2026-12-31. Попросити один знеособлений пакет здачі за цим workflow.</x:v>
      </x:c>
      <x:c r="Z1091" s="15" t="str">
        <x:v>https://prozorro.gov.ua/tender/UA-2026-07-28-000868-a</x:v>
      </x:c>
      <x:c r="AA1091" s="14" t="str">
        <x:v>2907210917</x:v>
      </x:c>
      <x:c r="AB1091" s="14" t="str">
        <x:v>2026-08-24</x:v>
      </x:c>
      <x:c r="AC1091" s="14" t="str"/>
      <x:c r="AD1091" s="20" t="str"/>
      <x:c r="AE1091" s="14" t="str"/>
      <x:c r="AF1091" s="14" t="n">
        <x:v>49</x:v>
      </x:c>
      <x:c r="AG1091" s="14" t="str">
        <x:v>I3</x:v>
      </x:c>
      <x:c r="AH1091" s="14" t="n">
        <x:v>1</x:v>
      </x:c>
      <x:c r="AI1091" s="14" t="n">
        <x:v>1</x:v>
      </x:c>
      <x:c r="AJ1091" s="18" t="n">
        <x:v>44500</x:v>
      </x:c>
      <x:c r="AK1091" s="14" t="str">
        <x:v>https://prozorro.gov.ua/tender/UA-2026-07-28-000868-a</x:v>
      </x:c>
      <x:c r="AL1091" s="19" t="n">
        <x:v>46231.269331979165</x:v>
      </x:c>
      <x:c r="AM1091" s="19" t="n">
        <x:v>46387</x:v>
      </x:c>
      <x:c r="AN1091" s="15" t="str">
        <x:v>Благоустрій</x:v>
      </x:c>
      <x:c r="AO1091" s="15" t="str">
        <x:v>not_found_in_top_search</x:v>
      </x:c>
    </x:row>
    <x:row r="1092">
      <x:c r="A1092" s="14" t="str">
        <x:v>W4-273</x:v>
      </x:c>
      <x:c r="B1092" s="14" t="str">
        <x:v>Prozorro expansion — 24.08</x:v>
      </x:c>
      <x:c r="C1092" s="14" t="str">
        <x:v>ФОП Воєвода О.С</x:v>
      </x:c>
      <x:c r="D1092" s="14" t="str">
        <x:v>Промислова теплоізоляція</x:v>
      </x:c>
      <x:c r="E1092" s="14" t="str">
        <x:v>Expansion discovery</x:v>
      </x:c>
      <x:c r="F1092" s="17" t="str">
        <x:v>D3</x:v>
      </x:c>
      <x:c r="G1092" s="14" t="str"/>
      <x:c r="H1092" s="14" t="str">
        <x:v>Discovery розширення — 2 тижні</x:v>
      </x:c>
      <x:c r="I1092" s="16" t="n">
        <x:v>1</x:v>
      </x:c>
      <x:c r="J1092" s="16" t="n">
        <x:v>5</x:v>
      </x:c>
      <x:c r="K1092" s="16" t="n">
        <x:v>5</x:v>
      </x:c>
      <x:c r="L1092" s="16" t="n">
        <x:v>1</x:v>
      </x:c>
      <x:c r="M1092" s="16" t="n">
        <x:v>5</x:v>
      </x:c>
      <x:c r="N1092" s="16" t="n">
        <x:v>3</x:v>
      </x:c>
      <x:c r="O1092" s="16" t="n">
        <x:v>3</x:v>
      </x:c>
      <x:c r="P1092" s="16" t="n">
        <x:f>IF(COUNT(I1092:O1092)&lt;7,"",I1092*8+J1092*3+K1092*2+L1092*2+M1092*2+N1092*2+O1092)</x:f>
        <x:v>54</x:v>
      </x:c>
      <x:c r="Q1092" s="16" t="n">
        <x:f>IF(COUNT(J1092:O1092)&lt;6,"",J1092*5+K1092*4+M1092*4+L1092*3+N1092*2+O1092*2)</x:f>
        <x:v>80</x:v>
      </x:c>
      <x:c r="R1092" s="14" t="str">
        <x:v>high</x:v>
      </x:c>
      <x:c r="S1092" s="14" t="str">
        <x:v>official_prozorro_award_2024_2026</x:v>
      </x:c>
      <x:c r="T1092" s="14" t="str">
        <x:v>official_prozorro_api</x:v>
      </x:c>
      <x:c r="U1092" s="14" t="str">
        <x:v>Не контактували</x:v>
      </x:c>
      <x:c r="V1092" s="15" t="str">
        <x:v>Workflow-audit outreach по UA-2026-08-24-006228-a; попросити 1 пакет здачі та вимоги проєкту</x:v>
      </x:c>
      <x:c r="W1092" s="15" t="str">
        <x:v>Власник / виконавець; відповідальний за договір</x:v>
      </x:c>
      <x:c r="X1092" s="15" t="str">
        <x:v>1 нових підтверджених перемог/договорів у Prozorro на 18 480 грн; 1 зі строком виконання не раніше 24.08.2026.</x:v>
      </x:c>
      <x:c r="Y1092" s="15" t="str">
        <x:v>Послуги з технічного обслуговування системи опалення(теплоізоляція трубопроводів тепломережі, герметизація вводів та запуск системи опалення); строк до 2026-12-31. Попросити один знеособлений пакет здачі за цим workflow.</x:v>
      </x:c>
      <x:c r="Z1092" s="15" t="str">
        <x:v>https://prozorro.gov.ua/tender/UA-2026-08-24-006228-a</x:v>
      </x:c>
      <x:c r="AA1092" s="14" t="str">
        <x:v>2931306364</x:v>
      </x:c>
      <x:c r="AB1092" s="14" t="str">
        <x:v>2026-08-24</x:v>
      </x:c>
      <x:c r="AC1092" s="14" t="str"/>
      <x:c r="AD1092" s="20" t="str"/>
      <x:c r="AE1092" s="14" t="str"/>
      <x:c r="AF1092" s="14" t="n">
        <x:v>49</x:v>
      </x:c>
      <x:c r="AG1092" s="14" t="str">
        <x:v>I3</x:v>
      </x:c>
      <x:c r="AH1092" s="14" t="n">
        <x:v>1</x:v>
      </x:c>
      <x:c r="AI1092" s="14" t="n">
        <x:v>1</x:v>
      </x:c>
      <x:c r="AJ1092" s="18" t="n">
        <x:v>18480</x:v>
      </x:c>
      <x:c r="AK1092" s="14" t="str">
        <x:v>https://prozorro.gov.ua/tender/UA-2026-08-24-006228-a</x:v>
      </x:c>
      <x:c r="AL1092" s="19" t="n">
        <x:v>46258.46276378472</x:v>
      </x:c>
      <x:c r="AM1092" s="19" t="n">
        <x:v>46387</x:v>
      </x:c>
      <x:c r="AN1092" s="15" t="str">
        <x:v>Промислова теплоізоляція</x:v>
      </x:c>
      <x:c r="AO1092" s="15" t="str">
        <x:v>not_found_in_top_search</x:v>
      </x:c>
    </x:row>
    <x:row r="1093">
      <x:c r="A1093" s="14" t="str">
        <x:v>W4-274</x:v>
      </x:c>
      <x:c r="B1093" s="14" t="str">
        <x:v>Prozorro expansion — 24.08</x:v>
      </x:c>
      <x:c r="C1093" s="14" t="str">
        <x:v>ФОП Гриневич Дмитро Олегович</x:v>
      </x:c>
      <x:c r="D1093" s="14" t="str">
        <x:v>Електромонтаж</x:v>
      </x:c>
      <x:c r="E1093" s="14" t="str">
        <x:v>Pilot now</x:v>
      </x:c>
      <x:c r="F1093" s="17" t="str">
        <x:v>P3</x:v>
      </x:c>
      <x:c r="G1093" s="14" t="str"/>
      <x:c r="H1093" s="14" t="str">
        <x:v>Пілот зараз — Н.15</x:v>
      </x:c>
      <x:c r="I1093" s="16" t="n">
        <x:v>5</x:v>
      </x:c>
      <x:c r="J1093" s="16" t="n">
        <x:v>5</x:v>
      </x:c>
      <x:c r="K1093" s="16" t="n">
        <x:v>4</x:v>
      </x:c>
      <x:c r="L1093" s="16" t="n">
        <x:v>1</x:v>
      </x:c>
      <x:c r="M1093" s="16" t="n">
        <x:v>5</x:v>
      </x:c>
      <x:c r="N1093" s="16" t="n">
        <x:v>3</x:v>
      </x:c>
      <x:c r="O1093" s="16" t="n">
        <x:v>3</x:v>
      </x:c>
      <x:c r="P1093" s="16" t="n">
        <x:f>IF(COUNT(I1093:O1093)&lt;7,"",I1093*8+J1093*3+K1093*2+L1093*2+M1093*2+N1093*2+O1093)</x:f>
        <x:v>84</x:v>
      </x:c>
      <x:c r="Q1093" s="16" t="n">
        <x:f>IF(COUNT(J1093:O1093)&lt;6,"",J1093*5+K1093*4+M1093*4+L1093*3+N1093*2+O1093*2)</x:f>
        <x:v>76</x:v>
      </x:c>
      <x:c r="R1093" s="14" t="str">
        <x:v>high</x:v>
      </x:c>
      <x:c r="S1093" s="14" t="str">
        <x:v>official_prozorro_award_2024_2026</x:v>
      </x:c>
      <x:c r="T1093" s="14" t="str">
        <x:v>official_prozorro_api</x:v>
      </x:c>
      <x:c r="U1093" s="14" t="str">
        <x:v>Не контактували</x:v>
      </x:c>
      <x:c r="V1093" s="15" t="str">
        <x:v>Персоналізований free-pilot outreach по UA-2026-08-18-002319-a; попросити 1 пакет Н.14/Н.15</x:v>
      </x:c>
      <x:c r="W1093" s="15" t="str">
        <x:v>Власник / виконавець; відповідальний за договір</x:v>
      </x:c>
      <x:c r="X1093" s="15" t="str">
        <x:v>1 нових підтверджених перемог/договорів у Prozorro на 17 250 грн; 1 зі строком виконання не раніше 24.08.2026.</x:v>
      </x:c>
      <x:c r="Y1093" s="15" t="str">
        <x:v>електромонтажні роботи в найпростішому укритті (з'єднання в розподільчих коробках); строк до 2026-12-31. Попросити один знеособлений пакет здачі за цим workflow.</x:v>
      </x:c>
      <x:c r="Z1093" s="15" t="str">
        <x:v>https://prozorro.gov.ua/tender/UA-2026-08-18-002319-a</x:v>
      </x:c>
      <x:c r="AA1093" s="14" t="str">
        <x:v>3050220050</x:v>
      </x:c>
      <x:c r="AB1093" s="14" t="str">
        <x:v>2026-08-24</x:v>
      </x:c>
      <x:c r="AC1093" s="14" t="str"/>
      <x:c r="AD1093" s="20" t="str"/>
      <x:c r="AE1093" s="14" t="str"/>
      <x:c r="AF1093" s="14" t="n">
        <x:v>49</x:v>
      </x:c>
      <x:c r="AG1093" s="14" t="str">
        <x:v>I3</x:v>
      </x:c>
      <x:c r="AH1093" s="14" t="n">
        <x:v>1</x:v>
      </x:c>
      <x:c r="AI1093" s="14" t="n">
        <x:v>1</x:v>
      </x:c>
      <x:c r="AJ1093" s="18" t="n">
        <x:v>17250</x:v>
      </x:c>
      <x:c r="AK1093" s="14" t="str">
        <x:v>https://prozorro.gov.ua/tender/UA-2026-08-18-002319-a</x:v>
      </x:c>
      <x:c r="AL1093" s="19" t="n">
        <x:v>46252.32178733796</x:v>
      </x:c>
      <x:c r="AM1093" s="19" t="n">
        <x:v>46387.36038194445</x:v>
      </x:c>
      <x:c r="AN1093" s="15" t="str">
        <x:v>Електромонтаж</x:v>
      </x:c>
      <x:c r="AO1093" s="15" t="str">
        <x:v>not_found_in_top_search</x:v>
      </x:c>
    </x:row>
    <x:row r="1094">
      <x:c r="A1094" s="14" t="str">
        <x:v>W4-275</x:v>
      </x:c>
      <x:c r="B1094" s="14" t="str">
        <x:v>Prozorro expansion — 24.08</x:v>
      </x:c>
      <x:c r="C1094" s="14" t="str">
        <x:v>ФОП "СЕМБРАТОВИЧ МИРОСЛАВ ІВАНОВИЧ"</x:v>
      </x:c>
      <x:c r="D1094" s="14" t="str">
        <x:v>Електромонтаж</x:v>
      </x:c>
      <x:c r="E1094" s="14" t="str">
        <x:v>Pilot now</x:v>
      </x:c>
      <x:c r="F1094" s="17" t="str">
        <x:v>P3</x:v>
      </x:c>
      <x:c r="G1094" s="14" t="str"/>
      <x:c r="H1094" s="14" t="str">
        <x:v>Пілот зараз — Н.15</x:v>
      </x:c>
      <x:c r="I1094" s="16" t="n">
        <x:v>5</x:v>
      </x:c>
      <x:c r="J1094" s="16" t="n">
        <x:v>5</x:v>
      </x:c>
      <x:c r="K1094" s="16" t="n">
        <x:v>4</x:v>
      </x:c>
      <x:c r="L1094" s="16" t="n">
        <x:v>1</x:v>
      </x:c>
      <x:c r="M1094" s="16" t="n">
        <x:v>5</x:v>
      </x:c>
      <x:c r="N1094" s="16" t="n">
        <x:v>3</x:v>
      </x:c>
      <x:c r="O1094" s="16" t="n">
        <x:v>3</x:v>
      </x:c>
      <x:c r="P1094" s="16" t="n">
        <x:f>IF(COUNT(I1094:O1094)&lt;7,"",I1094*8+J1094*3+K1094*2+L1094*2+M1094*2+N1094*2+O1094)</x:f>
        <x:v>84</x:v>
      </x:c>
      <x:c r="Q1094" s="16" t="n">
        <x:f>IF(COUNT(J1094:O1094)&lt;6,"",J1094*5+K1094*4+M1094*4+L1094*3+N1094*2+O1094*2)</x:f>
        <x:v>76</x:v>
      </x:c>
      <x:c r="R1094" s="14" t="str">
        <x:v>high</x:v>
      </x:c>
      <x:c r="S1094" s="14" t="str">
        <x:v>official_prozorro_award_2024_2026</x:v>
      </x:c>
      <x:c r="T1094" s="14" t="str">
        <x:v>official_prozorro_api</x:v>
      </x:c>
      <x:c r="U1094" s="14" t="str">
        <x:v>Не контактували</x:v>
      </x:c>
      <x:c r="V1094" s="15" t="str">
        <x:v>Персоналізований free-pilot outreach по UA-2026-07-23-006971-a; попросити 1 пакет Н.14/Н.15</x:v>
      </x:c>
      <x:c r="W1094" s="15" t="str">
        <x:v>Власник / виконавець; відповідальний за договір</x:v>
      </x:c>
      <x:c r="X1094" s="15" t="str">
        <x:v>1 нових підтверджених перемог/договорів у Prozorro на 16 300 грн; 1 зі строком виконання не раніше 24.08.2026.</x:v>
      </x:c>
      <x:c r="Y1094" s="15" t="str">
        <x:v>Електромонтажні роботи (підключення обладнання для безперервного подання електричної енергії) 45310000-3 — Електромонтажні роботи; строк до 2026-12-31. Попросити один знеособлений пакет здачі за цим workflow.</x:v>
      </x:c>
      <x:c r="Z1094" s="15" t="str">
        <x:v>https://prozorro.gov.ua/tender/UA-2026-07-23-006971-a</x:v>
      </x:c>
      <x:c r="AA1094" s="14" t="str">
        <x:v>2180107673</x:v>
      </x:c>
      <x:c r="AB1094" s="14" t="str">
        <x:v>2026-08-24</x:v>
      </x:c>
      <x:c r="AC1094" s="14" t="str"/>
      <x:c r="AD1094" s="20" t="str"/>
      <x:c r="AE1094" s="14" t="str"/>
      <x:c r="AF1094" s="14" t="n">
        <x:v>49</x:v>
      </x:c>
      <x:c r="AG1094" s="14" t="str">
        <x:v>I3</x:v>
      </x:c>
      <x:c r="AH1094" s="14" t="n">
        <x:v>1</x:v>
      </x:c>
      <x:c r="AI1094" s="14" t="n">
        <x:v>1</x:v>
      </x:c>
      <x:c r="AJ1094" s="18" t="n">
        <x:v>16300</x:v>
      </x:c>
      <x:c r="AK1094" s="14" t="str">
        <x:v>https://prozorro.gov.ua/tender/UA-2026-07-23-006971-a</x:v>
      </x:c>
      <x:c r="AL1094" s="19" t="n">
        <x:v>46226.467342337965</x:v>
      </x:c>
      <x:c r="AM1094" s="19" t="n">
        <x:v>46387</x:v>
      </x:c>
      <x:c r="AN1094" s="15" t="str">
        <x:v>Електромонтаж</x:v>
      </x:c>
      <x:c r="AO1094" s="15" t="str">
        <x:v>not_found_in_top_search</x:v>
      </x:c>
    </x:row>
    <x:row r="1095">
      <x:c r="A1095" s="14" t="str">
        <x:v>W4-276</x:v>
      </x:c>
      <x:c r="B1095" s="14" t="str">
        <x:v>Prozorro expansion — 24.08</x:v>
      </x:c>
      <x:c r="C1095" s="14" t="str">
        <x:v>ФОП Питель Богдан Михайлович</x:v>
      </x:c>
      <x:c r="D1095" s="14" t="str">
        <x:v>Фасади та скління</x:v>
      </x:c>
      <x:c r="E1095" s="14" t="str">
        <x:v>Expansion discovery</x:v>
      </x:c>
      <x:c r="F1095" s="17" t="str">
        <x:v>D3</x:v>
      </x:c>
      <x:c r="G1095" s="14" t="str"/>
      <x:c r="H1095" s="14" t="str">
        <x:v>Discovery розширення — 2 тижні</x:v>
      </x:c>
      <x:c r="I1095" s="16" t="n">
        <x:v>1</x:v>
      </x:c>
      <x:c r="J1095" s="16" t="n">
        <x:v>5</x:v>
      </x:c>
      <x:c r="K1095" s="16" t="n">
        <x:v>5</x:v>
      </x:c>
      <x:c r="L1095" s="16" t="n">
        <x:v>1</x:v>
      </x:c>
      <x:c r="M1095" s="16" t="n">
        <x:v>5</x:v>
      </x:c>
      <x:c r="N1095" s="16" t="n">
        <x:v>3</x:v>
      </x:c>
      <x:c r="O1095" s="16" t="n">
        <x:v>3</x:v>
      </x:c>
      <x:c r="P1095" s="16" t="n">
        <x:f>IF(COUNT(I1095:O1095)&lt;7,"",I1095*8+J1095*3+K1095*2+L1095*2+M1095*2+N1095*2+O1095)</x:f>
        <x:v>54</x:v>
      </x:c>
      <x:c r="Q1095" s="16" t="n">
        <x:f>IF(COUNT(J1095:O1095)&lt;6,"",J1095*5+K1095*4+M1095*4+L1095*3+N1095*2+O1095*2)</x:f>
        <x:v>80</x:v>
      </x:c>
      <x:c r="R1095" s="14" t="str">
        <x:v>high</x:v>
      </x:c>
      <x:c r="S1095" s="14" t="str">
        <x:v>official_prozorro_award_2024_2026</x:v>
      </x:c>
      <x:c r="T1095" s="14" t="str">
        <x:v>official_prozorro_api</x:v>
      </x:c>
      <x:c r="U1095" s="14" t="str">
        <x:v>Не контактували</x:v>
      </x:c>
      <x:c r="V1095" s="15" t="str">
        <x:v>Workflow-audit outreach по UA-2026-08-07-004825-a; попросити 1 пакет здачі та вимоги проєкту</x:v>
      </x:c>
      <x:c r="W1095" s="15" t="str">
        <x:v>Власник / виконавець; відповідальний за договір</x:v>
      </x:c>
      <x:c r="X1095" s="15" t="str">
        <x:v>1 нових підтверджених перемог/договорів у Prozorro на 12 215 грн; 1 зі строком виконання не раніше 24.08.2026.</x:v>
      </x:c>
      <x:c r="Y1095"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 строк до 2026-12-31. Попросити один знеособлений пакет здачі за цим workflow.</x:v>
      </x:c>
      <x:c r="Z1095" s="15" t="str">
        <x:v>https://prozorro.gov.ua/tender/UA-2026-08-07-004825-a</x:v>
      </x:c>
      <x:c r="AA1095" s="14" t="str">
        <x:v>2899903292</x:v>
      </x:c>
      <x:c r="AB1095" s="14" t="str">
        <x:v>2026-08-24</x:v>
      </x:c>
      <x:c r="AC1095" s="14" t="str"/>
      <x:c r="AD1095" s="20" t="str"/>
      <x:c r="AE1095" s="14" t="str"/>
      <x:c r="AF1095" s="14" t="n">
        <x:v>49</x:v>
      </x:c>
      <x:c r="AG1095" s="14" t="str">
        <x:v>I3</x:v>
      </x:c>
      <x:c r="AH1095" s="14" t="n">
        <x:v>1</x:v>
      </x:c>
      <x:c r="AI1095" s="14" t="n">
        <x:v>1</x:v>
      </x:c>
      <x:c r="AJ1095" s="18" t="n">
        <x:v>12215</x:v>
      </x:c>
      <x:c r="AK1095" s="14" t="str">
        <x:v>https://prozorro.gov.ua/tender/UA-2026-08-07-004825-a</x:v>
      </x:c>
      <x:c r="AL1095" s="19" t="n">
        <x:v>46241.37848824074</x:v>
      </x:c>
      <x:c r="AM1095" s="19" t="n">
        <x:v>46387.420590277776</x:v>
      </x:c>
      <x:c r="AN1095" s="15" t="str">
        <x:v>Фасади та скління</x:v>
      </x:c>
      <x:c r="AO1095" s="15" t="str">
        <x:v>not_found_in_top_search</x:v>
      </x:c>
    </x:row>
    <x:row r="1096">
      <x:c r="A1096" s="14" t="str">
        <x:v>W4-277</x:v>
      </x:c>
      <x:c r="B1096" s="14" t="str">
        <x:v>Prozorro expansion — 24.08</x:v>
      </x:c>
      <x:c r="C1096" s="14" t="str">
        <x:v>ФІЗИЧНА ОСОБА-ПІДПРИЄМЕЦЬ КОКІН ГЕННАДІЙ ВІКТОРОВИЧ</x:v>
      </x:c>
      <x:c r="D1096" s="14" t="str">
        <x:v>Металоконструкції</x:v>
      </x:c>
      <x:c r="E1096" s="14" t="str">
        <x:v>Expansion discovery</x:v>
      </x:c>
      <x:c r="F1096" s="17" t="str">
        <x:v>D3</x:v>
      </x:c>
      <x:c r="G1096" s="14" t="str"/>
      <x:c r="H1096" s="14" t="str">
        <x:v>Discovery розширення — 2 тижні</x:v>
      </x:c>
      <x:c r="I1096" s="16" t="n">
        <x:v>1</x:v>
      </x:c>
      <x:c r="J1096" s="16" t="n">
        <x:v>5</x:v>
      </x:c>
      <x:c r="K1096" s="16" t="n">
        <x:v>5</x:v>
      </x:c>
      <x:c r="L1096" s="16" t="n">
        <x:v>1</x:v>
      </x:c>
      <x:c r="M1096" s="16" t="n">
        <x:v>5</x:v>
      </x:c>
      <x:c r="N1096" s="16" t="n">
        <x:v>3</x:v>
      </x:c>
      <x:c r="O1096" s="16" t="n">
        <x:v>3</x:v>
      </x:c>
      <x:c r="P1096" s="16" t="n">
        <x:f>IF(COUNT(I1096:O1096)&lt;7,"",I1096*8+J1096*3+K1096*2+L1096*2+M1096*2+N1096*2+O1096)</x:f>
        <x:v>54</x:v>
      </x:c>
      <x:c r="Q1096" s="16" t="n">
        <x:f>IF(COUNT(J1096:O1096)&lt;6,"",J1096*5+K1096*4+M1096*4+L1096*3+N1096*2+O1096*2)</x:f>
        <x:v>80</x:v>
      </x:c>
      <x:c r="R1096" s="14" t="str">
        <x:v>high</x:v>
      </x:c>
      <x:c r="S1096" s="14" t="str">
        <x:v>official_prozorro_award_2024_2026</x:v>
      </x:c>
      <x:c r="T1096" s="14" t="str">
        <x:v>official_prozorro_api</x:v>
      </x:c>
      <x:c r="U1096" s="14" t="str">
        <x:v>Не контактували</x:v>
      </x:c>
      <x:c r="V1096" s="15" t="str">
        <x:v>Workflow-audit outreach по UA-2026-08-12-008026-a; попросити 1 пакет здачі та вимоги проєкту</x:v>
      </x:c>
      <x:c r="W1096" s="15" t="str">
        <x:v>Власник / виконавець; відповідальний за договір</x:v>
      </x:c>
      <x:c r="X1096" s="15" t="str">
        <x:v>1 нових підтверджених перемог/договорів у Prozorro на 7 500 грн; 1 зі строком виконання не раніше 24.08.2026.</x:v>
      </x:c>
      <x:c r="Y1096" s="15" t="str">
        <x:v>Монтаж металоконструкцій для розміщення інформаційних стендів, код ДК 021:2015:45220000-5 Інженерні будівельні роботи. ; строк до 2026-09-30. Попросити один знеособлений пакет здачі за цим workflow.</x:v>
      </x:c>
      <x:c r="Z1096" s="15" t="str">
        <x:v>https://prozorro.gov.ua/tender/UA-2026-08-12-008026-a</x:v>
      </x:c>
      <x:c r="AA1096" s="14" t="str">
        <x:v>2440808957</x:v>
      </x:c>
      <x:c r="AB1096" s="14" t="str">
        <x:v>2026-08-24</x:v>
      </x:c>
      <x:c r="AC1096" s="14" t="str"/>
      <x:c r="AD1096" s="20" t="str"/>
      <x:c r="AE1096" s="14" t="str"/>
      <x:c r="AF1096" s="14" t="n">
        <x:v>49</x:v>
      </x:c>
      <x:c r="AG1096" s="14" t="str">
        <x:v>I3</x:v>
      </x:c>
      <x:c r="AH1096" s="14" t="n">
        <x:v>1</x:v>
      </x:c>
      <x:c r="AI1096" s="14" t="n">
        <x:v>1</x:v>
      </x:c>
      <x:c r="AJ1096" s="18" t="n">
        <x:v>7500</x:v>
      </x:c>
      <x:c r="AK1096" s="14" t="str">
        <x:v>https://prozorro.gov.ua/tender/UA-2026-08-12-008026-a</x:v>
      </x:c>
      <x:c r="AL1096" s="19" t="n">
        <x:v>46246.496185104166</x:v>
      </x:c>
      <x:c r="AM1096" s="19" t="n">
        <x:v>46295</x:v>
      </x:c>
      <x:c r="AN1096" s="15" t="str">
        <x:v>Металоконструкції</x:v>
      </x:c>
      <x:c r="AO1096" s="15" t="str">
        <x:v>not_found_in_top_search</x:v>
      </x:c>
    </x:row>
    <x:row r="1097">
      <x:c r="A1097" s="14" t="str">
        <x:v>W4-278</x:v>
      </x:c>
      <x:c r="B1097" s="14" t="str">
        <x:v>Prozorro expansion — 24.08</x:v>
      </x:c>
      <x:c r="C1097" s="14" t="str">
        <x:v>Фізична особа-підприємець Баран Михайло Зеновійович</x:v>
      </x:c>
      <x:c r="D1097" s="14" t="str">
        <x:v>Електромонтаж</x:v>
      </x:c>
      <x:c r="E1097" s="14" t="str">
        <x:v>Pilot now</x:v>
      </x:c>
      <x:c r="F1097" s="17" t="str">
        <x:v>P3</x:v>
      </x:c>
      <x:c r="G1097" s="14" t="str"/>
      <x:c r="H1097" s="14" t="str">
        <x:v>Пілот зараз — Н.15</x:v>
      </x:c>
      <x:c r="I1097" s="16" t="n">
        <x:v>5</x:v>
      </x:c>
      <x:c r="J1097" s="16" t="n">
        <x:v>5</x:v>
      </x:c>
      <x:c r="K1097" s="16" t="n">
        <x:v>4</x:v>
      </x:c>
      <x:c r="L1097" s="16" t="n">
        <x:v>1</x:v>
      </x:c>
      <x:c r="M1097" s="16" t="n">
        <x:v>5</x:v>
      </x:c>
      <x:c r="N1097" s="16" t="n">
        <x:v>3</x:v>
      </x:c>
      <x:c r="O1097" s="16" t="n">
        <x:v>3</x:v>
      </x:c>
      <x:c r="P1097" s="16" t="n">
        <x:f>IF(COUNT(I1097:O1097)&lt;7,"",I1097*8+J1097*3+K1097*2+L1097*2+M1097*2+N1097*2+O1097)</x:f>
        <x:v>84</x:v>
      </x:c>
      <x:c r="Q1097" s="16" t="n">
        <x:f>IF(COUNT(J1097:O1097)&lt;6,"",J1097*5+K1097*4+M1097*4+L1097*3+N1097*2+O1097*2)</x:f>
        <x:v>76</x:v>
      </x:c>
      <x:c r="R1097" s="14" t="str">
        <x:v>high</x:v>
      </x:c>
      <x:c r="S1097" s="14" t="str">
        <x:v>official_prozorro_award_2024_2026</x:v>
      </x:c>
      <x:c r="T1097" s="14" t="str">
        <x:v>official_prozorro_api</x:v>
      </x:c>
      <x:c r="U1097" s="14" t="str">
        <x:v>Не контактували</x:v>
      </x:c>
      <x:c r="V1097" s="15" t="str">
        <x:v>Персоналізований free-pilot outreach по UA-2026-08-19-010724-a; попросити 1 пакет Н.14/Н.15</x:v>
      </x:c>
      <x:c r="W1097" s="15" t="str">
        <x:v>Власник / виконавець; відповідальний за договір</x:v>
      </x:c>
      <x:c r="X1097" s="15" t="str">
        <x:v>1 нових підтверджених перемог/договорів у Prozorro на 7 348 грн; 1 зі строком виконання не раніше 24.08.2026.</x:v>
      </x:c>
      <x:c r="Y1097" s="15" t="str">
        <x:v>Електромонтажні роботи у приміщенні Великоходачківського ліцею.; строк до 2026-12-31. Попросити один знеособлений пакет здачі за цим workflow.</x:v>
      </x:c>
      <x:c r="Z1097" s="15" t="str">
        <x:v>https://prozorro.gov.ua/tender/UA-2026-08-19-010724-a</x:v>
      </x:c>
      <x:c r="AA1097" s="14" t="str">
        <x:v>2540602293</x:v>
      </x:c>
      <x:c r="AB1097" s="14" t="str">
        <x:v>2026-08-24</x:v>
      </x:c>
      <x:c r="AC1097" s="14" t="str"/>
      <x:c r="AD1097" s="20" t="str"/>
      <x:c r="AE1097" s="14" t="str"/>
      <x:c r="AF1097" s="14" t="n">
        <x:v>49</x:v>
      </x:c>
      <x:c r="AG1097" s="14" t="str">
        <x:v>I3</x:v>
      </x:c>
      <x:c r="AH1097" s="14" t="n">
        <x:v>1</x:v>
      </x:c>
      <x:c r="AI1097" s="14" t="n">
        <x:v>1</x:v>
      </x:c>
      <x:c r="AJ1097" s="18" t="n">
        <x:v>7348</x:v>
      </x:c>
      <x:c r="AK1097" s="14" t="str">
        <x:v>https://prozorro.gov.ua/tender/UA-2026-08-19-010724-a</x:v>
      </x:c>
      <x:c r="AL1097" s="19" t="n">
        <x:v>46253.53641262731</x:v>
      </x:c>
      <x:c r="AM1097" s="19" t="n">
        <x:v>46387</x:v>
      </x:c>
      <x:c r="AN1097" s="15" t="str">
        <x:v>Електромонтаж</x:v>
      </x:c>
      <x:c r="AO1097" s="15" t="str">
        <x:v>not_found_in_top_search</x:v>
      </x:c>
    </x:row>
    <x:row r="1098">
      <x:c r="A1098" s="14" t="str">
        <x:v>W4-279</x:v>
      </x:c>
      <x:c r="B1098" s="14" t="str">
        <x:v>Prozorro expansion — 24.08</x:v>
      </x:c>
      <x:c r="C1098" s="14" t="str">
        <x:v>ФОП ФЕСЮК АНДРІЙ ВАСИЛЬОВИЧ</x:v>
      </x:c>
      <x:c r="D1098" s="14" t="str">
        <x:v>Фасади та скління</x:v>
      </x:c>
      <x:c r="E1098" s="14" t="str">
        <x:v>Expansion discovery</x:v>
      </x:c>
      <x:c r="F1098" s="17" t="str">
        <x:v>D3</x:v>
      </x:c>
      <x:c r="G1098" s="14" t="str"/>
      <x:c r="H1098" s="14" t="str">
        <x:v>Discovery розширення — 2 тижні</x:v>
      </x:c>
      <x:c r="I1098" s="16" t="n">
        <x:v>1</x:v>
      </x:c>
      <x:c r="J1098" s="16" t="n">
        <x:v>5</x:v>
      </x:c>
      <x:c r="K1098" s="16" t="n">
        <x:v>5</x:v>
      </x:c>
      <x:c r="L1098" s="16" t="n">
        <x:v>1</x:v>
      </x:c>
      <x:c r="M1098" s="16" t="n">
        <x:v>5</x:v>
      </x:c>
      <x:c r="N1098" s="16" t="n">
        <x:v>3</x:v>
      </x:c>
      <x:c r="O1098" s="16" t="n">
        <x:v>3</x:v>
      </x:c>
      <x:c r="P1098" s="16" t="n">
        <x:f>IF(COUNT(I1098:O1098)&lt;7,"",I1098*8+J1098*3+K1098*2+L1098*2+M1098*2+N1098*2+O1098)</x:f>
        <x:v>54</x:v>
      </x:c>
      <x:c r="Q1098" s="16" t="n">
        <x:f>IF(COUNT(J1098:O1098)&lt;6,"",J1098*5+K1098*4+M1098*4+L1098*3+N1098*2+O1098*2)</x:f>
        <x:v>80</x:v>
      </x:c>
      <x:c r="R1098" s="14" t="str">
        <x:v>high</x:v>
      </x:c>
      <x:c r="S1098" s="14" t="str">
        <x:v>official_prozorro_award_2024_2026</x:v>
      </x:c>
      <x:c r="T1098" s="14" t="str">
        <x:v>official_prozorro_api</x:v>
      </x:c>
      <x:c r="U1098" s="14" t="str">
        <x:v>Не контактували</x:v>
      </x:c>
      <x:c r="V1098" s="15" t="str">
        <x:v>Workflow-audit outreach по UA-2026-08-14-011857-a; попросити 1 пакет здачі та вимоги проєкту</x:v>
      </x:c>
      <x:c r="W1098" s="15" t="str">
        <x:v>Власник / виконавець; відповідальний за договір</x:v>
      </x:c>
      <x:c r="X1098" s="15" t="str">
        <x:v>1 нових підтверджених перемог/договорів у Prozorro на 7 020 грн; 1 зі строком виконання не раніше 24.08.2026.</x:v>
      </x:c>
      <x:c r="Y1098" s="15" t="str">
        <x:v>Мінеральна вата для утеплення фасаду школи; строк до 2026-12-31. Попросити один знеособлений пакет здачі за цим workflow.</x:v>
      </x:c>
      <x:c r="Z1098" s="15" t="str">
        <x:v>https://prozorro.gov.ua/tender/UA-2026-08-14-011857-a</x:v>
      </x:c>
      <x:c r="AA1098" s="14" t="str">
        <x:v>2869310453</x:v>
      </x:c>
      <x:c r="AB1098" s="14" t="str">
        <x:v>2026-08-24</x:v>
      </x:c>
      <x:c r="AC1098" s="14" t="str"/>
      <x:c r="AD1098" s="20" t="str"/>
      <x:c r="AE1098" s="14" t="str"/>
      <x:c r="AF1098" s="14" t="n">
        <x:v>49</x:v>
      </x:c>
      <x:c r="AG1098" s="14" t="str">
        <x:v>I3</x:v>
      </x:c>
      <x:c r="AH1098" s="14" t="n">
        <x:v>1</x:v>
      </x:c>
      <x:c r="AI1098" s="14" t="n">
        <x:v>1</x:v>
      </x:c>
      <x:c r="AJ1098" s="18" t="n">
        <x:v>7020</x:v>
      </x:c>
      <x:c r="AK1098" s="14" t="str">
        <x:v>https://prozorro.gov.ua/tender/UA-2026-08-14-011857-a</x:v>
      </x:c>
      <x:c r="AL1098" s="19" t="n">
        <x:v>46248.73824773148</x:v>
      </x:c>
      <x:c r="AM1098" s="19" t="n">
        <x:v>46387</x:v>
      </x:c>
      <x:c r="AN1098" s="15" t="str">
        <x:v>Фасади та скління</x:v>
      </x:c>
      <x:c r="AO1098" s="15" t="str">
        <x:v>not_found_in_top_search</x:v>
      </x:c>
    </x:row>
    <x:row r="1099">
      <x:c r="A1099" s="14" t="str">
        <x:v>W4-280</x:v>
      </x:c>
      <x:c r="B1099" s="14" t="str">
        <x:v>Prozorro expansion — 24.08</x:v>
      </x:c>
      <x:c r="C1099" s="14" t="str">
        <x:v>ФОП Максимів Ігор Васильович</x:v>
      </x:c>
      <x:c r="D1099" s="14" t="str">
        <x:v>Дорожні роботи</x:v>
      </x:c>
      <x:c r="E1099" s="14" t="str">
        <x:v>Expansion discovery</x:v>
      </x:c>
      <x:c r="F1099" s="17" t="str">
        <x:v>D3</x:v>
      </x:c>
      <x:c r="G1099" s="14" t="str"/>
      <x:c r="H1099" s="14" t="str">
        <x:v>Discovery розширення — 2 тижні</x:v>
      </x:c>
      <x:c r="I1099" s="16" t="n">
        <x:v>1</x:v>
      </x:c>
      <x:c r="J1099" s="16" t="n">
        <x:v>5</x:v>
      </x:c>
      <x:c r="K1099" s="16" t="n">
        <x:v>4</x:v>
      </x:c>
      <x:c r="L1099" s="16" t="n">
        <x:v>1</x:v>
      </x:c>
      <x:c r="M1099" s="16" t="n">
        <x:v>5</x:v>
      </x:c>
      <x:c r="N1099" s="16" t="n">
        <x:v>3</x:v>
      </x:c>
      <x:c r="O1099" s="16" t="n">
        <x:v>3</x:v>
      </x:c>
      <x:c r="P1099" s="16" t="n">
        <x:f>IF(COUNT(I1099:O1099)&lt;7,"",I1099*8+J1099*3+K1099*2+L1099*2+M1099*2+N1099*2+O1099)</x:f>
        <x:v>52</x:v>
      </x:c>
      <x:c r="Q1099" s="16" t="n">
        <x:f>IF(COUNT(J1099:O1099)&lt;6,"",J1099*5+K1099*4+M1099*4+L1099*3+N1099*2+O1099*2)</x:f>
        <x:v>76</x:v>
      </x:c>
      <x:c r="R1099" s="14" t="str">
        <x:v>high</x:v>
      </x:c>
      <x:c r="S1099" s="14" t="str">
        <x:v>official_prozorro_award_2024_2026</x:v>
      </x:c>
      <x:c r="T1099" s="14" t="str">
        <x:v>official_prozorro_api</x:v>
      </x:c>
      <x:c r="U1099" s="14" t="str">
        <x:v>Не контактували</x:v>
      </x:c>
      <x:c r="V1099" s="15" t="str">
        <x:v>Workflow-audit outreach по UA-2026-08-19-008483-a; попросити 1 пакет здачі та вимоги проєкту</x:v>
      </x:c>
      <x:c r="W1099" s="15" t="str">
        <x:v>Власник / виконавець; відповідальний за договір</x:v>
      </x:c>
      <x:c r="X1099" s="15" t="str">
        <x:v>1 нових підтверджених перемог/договорів у Prozorro на 3 874 грн; 1 зі строком виконання не раніше 24.08.2026.</x:v>
      </x:c>
      <x:c r="Y1099"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1099" s="15" t="str">
        <x:v>https://prozorro.gov.ua/tender/UA-2026-08-19-008483-a</x:v>
      </x:c>
      <x:c r="AA1099" s="14" t="str">
        <x:v>2377803157</x:v>
      </x:c>
      <x:c r="AB1099" s="14" t="str">
        <x:v>2026-08-24</x:v>
      </x:c>
      <x:c r="AC1099" s="14" t="str"/>
      <x:c r="AD1099" s="20" t="str"/>
      <x:c r="AE1099" s="14" t="str"/>
      <x:c r="AF1099" s="14" t="n">
        <x:v>49</x:v>
      </x:c>
      <x:c r="AG1099" s="14" t="str">
        <x:v>I3</x:v>
      </x:c>
      <x:c r="AH1099" s="14" t="n">
        <x:v>1</x:v>
      </x:c>
      <x:c r="AI1099" s="14" t="n">
        <x:v>1</x:v>
      </x:c>
      <x:c r="AJ1099" s="18" t="n">
        <x:v>3874</x:v>
      </x:c>
      <x:c r="AK1099" s="14" t="str">
        <x:v>https://prozorro.gov.ua/tender/UA-2026-08-19-008483-a</x:v>
      </x:c>
      <x:c r="AL1099" s="19" t="n">
        <x:v>46253.48644085648</x:v>
      </x:c>
      <x:c r="AM1099" s="19" t="n">
        <x:v>46387</x:v>
      </x:c>
      <x:c r="AN1099" s="15" t="str">
        <x:v>Дорожні роботи</x:v>
      </x:c>
      <x:c r="AO1099" s="15" t="str">
        <x:v>not_found_in_top_search</x:v>
      </x:c>
    </x:row>
    <x:row r="1100">
      <x:c r="A1100" s="14" t="str">
        <x:v>W4-281</x:v>
      </x:c>
      <x:c r="B1100" s="14" t="str">
        <x:v>Prozorro expansion — 24.08</x:v>
      </x:c>
      <x:c r="C1100" s="14" t="str">
        <x:v>ФОП Горобець Сергій Олександрович</x:v>
      </x:c>
      <x:c r="D1100" s="14" t="str">
        <x:v>Дорожні роботи</x:v>
      </x:c>
      <x:c r="E1100" s="14" t="str">
        <x:v>Expansion discovery</x:v>
      </x:c>
      <x:c r="F1100" s="17" t="str">
        <x:v>D3</x:v>
      </x:c>
      <x:c r="G1100" s="14" t="str"/>
      <x:c r="H1100" s="14" t="str">
        <x:v>Discovery розширення — 2 тижні</x:v>
      </x:c>
      <x:c r="I1100" s="16" t="n">
        <x:v>1</x:v>
      </x:c>
      <x:c r="J1100" s="16" t="n">
        <x:v>5</x:v>
      </x:c>
      <x:c r="K1100" s="16" t="n">
        <x:v>4</x:v>
      </x:c>
      <x:c r="L1100" s="16" t="n">
        <x:v>1</x:v>
      </x:c>
      <x:c r="M1100" s="16" t="n">
        <x:v>5</x:v>
      </x:c>
      <x:c r="N1100" s="16" t="n">
        <x:v>3</x:v>
      </x:c>
      <x:c r="O1100" s="16" t="n">
        <x:v>3</x:v>
      </x:c>
      <x:c r="P1100" s="16" t="n">
        <x:f>IF(COUNT(I1100:O1100)&lt;7,"",I1100*8+J1100*3+K1100*2+L1100*2+M1100*2+N1100*2+O1100)</x:f>
        <x:v>52</x:v>
      </x:c>
      <x:c r="Q1100" s="16" t="n">
        <x:f>IF(COUNT(J1100:O1100)&lt;6,"",J1100*5+K1100*4+M1100*4+L1100*3+N1100*2+O1100*2)</x:f>
        <x:v>76</x:v>
      </x:c>
      <x:c r="R1100" s="14" t="str">
        <x:v>high</x:v>
      </x:c>
      <x:c r="S1100" s="14" t="str">
        <x:v>official_prozorro_award_2024_2026</x:v>
      </x:c>
      <x:c r="T1100" s="14" t="str">
        <x:v>official_prozorro_api</x:v>
      </x:c>
      <x:c r="U1100" s="14" t="str">
        <x:v>Не контактували</x:v>
      </x:c>
      <x:c r="V1100" s="15" t="str">
        <x:v>Workflow-audit outreach по UA-2026-08-18-000250-a; попросити 1 пакет здачі та вимоги проєкту</x:v>
      </x:c>
      <x:c r="W1100" s="15" t="str">
        <x:v>Власник / виконавець; відповідальний за договір</x:v>
      </x:c>
      <x:c r="X1100" s="15" t="str">
        <x:v>1 нових підтверджених перемог/договорів у Prozorro на 3 640 грн; 1 зі строком виконання не раніше 24.08.2026.</x:v>
      </x:c>
      <x:c r="Y1100"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 строк до 2026-12-31. Попросити один знеособлений пакет здачі за цим workflow.</x:v>
      </x:c>
      <x:c r="Z1100" s="15" t="str">
        <x:v>https://prozorro.gov.ua/tender/UA-2026-08-18-000250-a</x:v>
      </x:c>
      <x:c r="AA1100" s="14" t="str">
        <x:v>3011103593</x:v>
      </x:c>
      <x:c r="AB1100" s="14" t="str">
        <x:v>2026-08-24</x:v>
      </x:c>
      <x:c r="AC1100" s="14" t="str"/>
      <x:c r="AD1100" s="20" t="str"/>
      <x:c r="AE1100" s="14" t="str"/>
      <x:c r="AF1100" s="14" t="n">
        <x:v>49</x:v>
      </x:c>
      <x:c r="AG1100" s="14" t="str">
        <x:v>I3</x:v>
      </x:c>
      <x:c r="AH1100" s="14" t="n">
        <x:v>1</x:v>
      </x:c>
      <x:c r="AI1100" s="14" t="n">
        <x:v>1</x:v>
      </x:c>
      <x:c r="AJ1100" s="18" t="n">
        <x:v>3640</x:v>
      </x:c>
      <x:c r="AK1100" s="14" t="str">
        <x:v>https://prozorro.gov.ua/tender/UA-2026-08-18-000250-a</x:v>
      </x:c>
      <x:c r="AL1100" s="19" t="n">
        <x:v>46252.237138449076</x:v>
      </x:c>
      <x:c r="AM1100" s="19" t="n">
        <x:v>46387.279814814814</x:v>
      </x:c>
      <x:c r="AN1100" s="15" t="str">
        <x:v>Дорожні роботи</x:v>
      </x:c>
      <x:c r="AO1100" s="15" t="str">
        <x:v>not_found_in_top_search</x:v>
      </x:c>
    </x:row>
    <x:row r="1101">
      <x:c r="A1101" s="14" t="str">
        <x:v>W4-282</x:v>
      </x:c>
      <x:c r="B1101" s="14" t="str">
        <x:v>Prozorro expansion — 24.08</x:v>
      </x:c>
      <x:c r="C1101" s="14" t="str">
        <x:v>ФОП Коцюк Борис Романович</x:v>
      </x:c>
      <x:c r="D1101" s="14" t="str">
        <x:v>Електромонтаж</x:v>
      </x:c>
      <x:c r="E1101" s="14" t="str">
        <x:v>Pilot now</x:v>
      </x:c>
      <x:c r="F1101" s="17" t="str">
        <x:v>P3</x:v>
      </x:c>
      <x:c r="G1101" s="14" t="str"/>
      <x:c r="H1101" s="14" t="str">
        <x:v>Пілот зараз — Н.15</x:v>
      </x:c>
      <x:c r="I1101" s="16" t="n">
        <x:v>5</x:v>
      </x:c>
      <x:c r="J1101" s="16" t="n">
        <x:v>5</x:v>
      </x:c>
      <x:c r="K1101" s="16" t="n">
        <x:v>4</x:v>
      </x:c>
      <x:c r="L1101" s="16" t="n">
        <x:v>1</x:v>
      </x:c>
      <x:c r="M1101" s="16" t="n">
        <x:v>5</x:v>
      </x:c>
      <x:c r="N1101" s="16" t="n">
        <x:v>3</x:v>
      </x:c>
      <x:c r="O1101" s="16" t="n">
        <x:v>3</x:v>
      </x:c>
      <x:c r="P1101" s="16" t="n">
        <x:f>IF(COUNT(I1101:O1101)&lt;7,"",I1101*8+J1101*3+K1101*2+L1101*2+M1101*2+N1101*2+O1101)</x:f>
        <x:v>84</x:v>
      </x:c>
      <x:c r="Q1101" s="16" t="n">
        <x:f>IF(COUNT(J1101:O1101)&lt;6,"",J1101*5+K1101*4+M1101*4+L1101*3+N1101*2+O1101*2)</x:f>
        <x:v>76</x:v>
      </x:c>
      <x:c r="R1101" s="14" t="str">
        <x:v>high</x:v>
      </x:c>
      <x:c r="S1101" s="14" t="str">
        <x:v>official_prozorro_award_2024_2026</x:v>
      </x:c>
      <x:c r="T1101" s="14" t="str">
        <x:v>official_prozorro_api</x:v>
      </x:c>
      <x:c r="U1101" s="14" t="str">
        <x:v>Не контактували</x:v>
      </x:c>
      <x:c r="V1101" s="15" t="str">
        <x:v>Персоналізований free-pilot outreach по UA-2026-07-15-002987-a; попросити 1 пакет Н.14/Н.15</x:v>
      </x:c>
      <x:c r="W1101" s="15" t="str">
        <x:v>Власник / виконавець; відповідальний за договір</x:v>
      </x:c>
      <x:c r="X1101" s="15" t="str">
        <x:v>1 нових підтверджених перемог/договорів у Prozorro на 3 237 грн; 1 зі строком виконання не раніше 24.08.2026.</x:v>
      </x:c>
      <x:c r="Y1101" s="15" t="str">
        <x:v>Електромонтажні роботи; строк до 2026-12-31. Попросити один знеособлений пакет здачі за цим workflow.</x:v>
      </x:c>
      <x:c r="Z1101" s="15" t="str">
        <x:v>https://prozorro.gov.ua/tender/UA-2026-07-15-002987-a</x:v>
      </x:c>
      <x:c r="AA1101" s="14" t="str">
        <x:v>2492415058</x:v>
      </x:c>
      <x:c r="AB1101" s="14" t="str">
        <x:v>2026-08-24</x:v>
      </x:c>
      <x:c r="AC1101" s="14" t="str"/>
      <x:c r="AD1101" s="20" t="str"/>
      <x:c r="AE1101" s="14" t="str"/>
      <x:c r="AF1101" s="14" t="n">
        <x:v>49</x:v>
      </x:c>
      <x:c r="AG1101" s="14" t="str">
        <x:v>I3</x:v>
      </x:c>
      <x:c r="AH1101" s="14" t="n">
        <x:v>1</x:v>
      </x:c>
      <x:c r="AI1101" s="14" t="n">
        <x:v>1</x:v>
      </x:c>
      <x:c r="AJ1101" s="18" t="n">
        <x:v>3237</x:v>
      </x:c>
      <x:c r="AK1101" s="14" t="str">
        <x:v>https://prozorro.gov.ua/tender/UA-2026-07-15-002987-a</x:v>
      </x:c>
      <x:c r="AL1101" s="19" t="n">
        <x:v>46218.347446087966</x:v>
      </x:c>
      <x:c r="AM1101" s="19" t="n">
        <x:v>46387.38861111111</x:v>
      </x:c>
      <x:c r="AN1101" s="15" t="str">
        <x:v>Електромонтаж</x:v>
      </x:c>
      <x:c r="AO1101" s="15" t="str">
        <x:v>not_found_in_top_search</x:v>
      </x:c>
    </x:row>
    <x:row r="1102">
      <x:c r="A1102" s="14" t="str">
        <x:v>W4-283</x:v>
      </x:c>
      <x:c r="B1102" s="14" t="str">
        <x:v>Prozorro expansion — 24.08</x:v>
      </x:c>
      <x:c r="C1102" s="14" t="str">
        <x:v>ТОВАРИСТВО З ОБМЕЖЕНОЮ ВІДПОВІДАЛЬНІСТЮ "ВЕЛЬТУМ-ЗАПОРІЖЖЯ"</x:v>
      </x:c>
      <x:c r="D1102" s="14" t="str">
        <x:v>Благоустрій</x:v>
      </x:c>
      <x:c r="E1102" s="14" t="str">
        <x:v>Expansion discovery</x:v>
      </x:c>
      <x:c r="F1102" s="17" t="str">
        <x:v>D3</x:v>
      </x:c>
      <x:c r="G1102" s="14" t="str"/>
      <x:c r="H1102" s="14" t="str">
        <x:v>Discovery розширення — 2 тижні</x:v>
      </x:c>
      <x:c r="I1102" s="16" t="n">
        <x:v>1</x:v>
      </x:c>
      <x:c r="J1102" s="16" t="n">
        <x:v>5</x:v>
      </x:c>
      <x:c r="K1102" s="16" t="n">
        <x:v>4</x:v>
      </x:c>
      <x:c r="L1102" s="16" t="n">
        <x:v>3</x:v>
      </x:c>
      <x:c r="M1102" s="16" t="n">
        <x:v>5</x:v>
      </x:c>
      <x:c r="N1102" s="16" t="n">
        <x:v>5</x:v>
      </x:c>
      <x:c r="O1102" s="16" t="n">
        <x:v>3</x:v>
      </x:c>
      <x:c r="P1102" s="16" t="n">
        <x:f>IF(COUNT(I1102:O1102)&lt;7,"",I1102*8+J1102*3+K1102*2+L1102*2+M1102*2+N1102*2+O1102)</x:f>
        <x:v>60</x:v>
      </x:c>
      <x:c r="Q1102" s="16" t="n">
        <x:f>IF(COUNT(J1102:O1102)&lt;6,"",J1102*5+K1102*4+M1102*4+L1102*3+N1102*2+O1102*2)</x:f>
        <x:v>86</x:v>
      </x:c>
      <x:c r="R1102" s="14" t="str">
        <x:v>high</x:v>
      </x:c>
      <x:c r="S1102" s="14" t="str">
        <x:v>official_prozorro_award_2024_2026</x:v>
      </x:c>
      <x:c r="T1102" s="14" t="str">
        <x:v>official_prozorro_api</x:v>
      </x:c>
      <x:c r="U1102" s="14" t="str">
        <x:v>Не контактували</x:v>
      </x:c>
      <x:c r="V1102" s="15" t="str">
        <x:v>Workflow-audit outreach по UA-2025-07-03-003993-a; попросити 1 пакет здачі та вимоги проєкту</x:v>
      </x:c>
      <x:c r="W1102" s="15" t="str">
        <x:v>Власник / директор; керівник ПТО; відповідальний за договори</x:v>
      </x:c>
      <x:c r="X1102" s="15" t="str">
        <x:v>2 нових підтверджених перемог/договорів у Prozorro на 999 999 грн; 0 зі строком виконання не раніше 24.08.2026.</x:v>
      </x:c>
      <x:c r="Y1102"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 строк до 2025-12-31. Попросити один знеособлений пакет здачі за цим workflow.</x:v>
      </x:c>
      <x:c r="Z1102" s="15" t="str">
        <x:v>https://prozorro.gov.ua/tender/UA-2025-07-03-003993-a</x:v>
      </x:c>
      <x:c r="AA1102" s="14" t="str">
        <x:v>35924440</x:v>
      </x:c>
      <x:c r="AB1102" s="14" t="str">
        <x:v>2026-08-24</x:v>
      </x:c>
      <x:c r="AC1102" s="14" t="str"/>
      <x:c r="AD1102" s="20" t="str"/>
      <x:c r="AE1102" s="14" t="str"/>
      <x:c r="AF1102" s="14" t="n">
        <x:v>48</x:v>
      </x:c>
      <x:c r="AG1102" s="14" t="str">
        <x:v>I3</x:v>
      </x:c>
      <x:c r="AH1102" s="14" t="n">
        <x:v>2</x:v>
      </x:c>
      <x:c r="AI1102" s="14" t="n">
        <x:v>0</x:v>
      </x:c>
      <x:c r="AJ1102" s="18" t="n">
        <x:v>999998.91</x:v>
      </x:c>
      <x:c r="AK1102" s="14" t="str">
        <x:v>https://prozorro.gov.ua/tender/UA-2025-07-03-003993-a</x:v>
      </x:c>
      <x:c r="AL1102" s="19" t="n">
        <x:v>45841.353248831016</x:v>
      </x:c>
      <x:c r="AM1102" s="19" t="n">
        <x:v>46022</x:v>
      </x:c>
      <x:c r="AN1102" s="15" t="str">
        <x:v>Благоустрій</x:v>
      </x:c>
      <x:c r="AO1102" s="15" t="str">
        <x:v>not_found_in_top_search</x:v>
      </x:c>
    </x:row>
    <x:row r="1103">
      <x:c r="A1103" s="14" t="str">
        <x:v>W4-284</x:v>
      </x:c>
      <x:c r="B1103" s="14" t="str">
        <x:v>Prozorro expansion — 24.08</x:v>
      </x:c>
      <x:c r="C1103" s="14" t="str">
        <x:v>ТОВАРИСТВО З ОБМЕЖЕНОЮ ВІДПОВІДАЛЬНІСТЮ "ФАЙМІТЕК БУДГАРАНТ"</x:v>
      </x:c>
      <x:c r="D1103" s="14" t="str">
        <x:v>Пожежогасіння</x:v>
      </x:c>
      <x:c r="E1103" s="14" t="str">
        <x:v>Expansion discovery</x:v>
      </x:c>
      <x:c r="F1103" s="17" t="str">
        <x:v>D3</x:v>
      </x:c>
      <x:c r="G1103" s="14" t="str"/>
      <x:c r="H1103" s="14" t="str">
        <x:v>Discovery розширення — 2 тижні</x:v>
      </x:c>
      <x:c r="I1103" s="16" t="n">
        <x:v>1</x:v>
      </x:c>
      <x:c r="J1103" s="16" t="n">
        <x:v>5</x:v>
      </x:c>
      <x:c r="K1103" s="16" t="n">
        <x:v>5</x:v>
      </x:c>
      <x:c r="L1103" s="16" t="n">
        <x:v>3</x:v>
      </x:c>
      <x:c r="M1103" s="16" t="n">
        <x:v>5</x:v>
      </x:c>
      <x:c r="N1103" s="16" t="n">
        <x:v>5</x:v>
      </x:c>
      <x:c r="O1103" s="16" t="n">
        <x:v>3</x:v>
      </x:c>
      <x:c r="P1103" s="16" t="n">
        <x:f>IF(COUNT(I1103:O1103)&lt;7,"",I1103*8+J1103*3+K1103*2+L1103*2+M1103*2+N1103*2+O1103)</x:f>
        <x:v>62</x:v>
      </x:c>
      <x:c r="Q1103" s="16" t="n">
        <x:f>IF(COUNT(J1103:O1103)&lt;6,"",J1103*5+K1103*4+M1103*4+L1103*3+N1103*2+O1103*2)</x:f>
        <x:v>90</x:v>
      </x:c>
      <x:c r="R1103" s="14" t="str">
        <x:v>high</x:v>
      </x:c>
      <x:c r="S1103" s="14" t="str">
        <x:v>official_prozorro_award_2024_2026</x:v>
      </x:c>
      <x:c r="T1103" s="14" t="str">
        <x:v>official_prozorro_api</x:v>
      </x:c>
      <x:c r="U1103" s="14" t="str">
        <x:v>Не контактували</x:v>
      </x:c>
      <x:c r="V1103" s="15" t="str">
        <x:v>Workflow-audit outreach по UA-2025-12-17-016581-a; попросити 1 пакет здачі та вимоги проєкту</x:v>
      </x:c>
      <x:c r="W1103" s="15" t="str">
        <x:v>Власник / директор; керівник ПТО; відповідальний за договори</x:v>
      </x:c>
      <x:c r="X1103" s="15" t="str">
        <x:v>2 нових підтверджених перемог/договорів у Prozorro на 622 880 грн; 0 зі строком виконання не раніше 24.08.2026.</x:v>
      </x:c>
      <x:c r="Y1103"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 строк до 2025-12-24. Попросити один знеособлений пакет здачі за цим workflow.</x:v>
      </x:c>
      <x:c r="Z1103" s="15" t="str">
        <x:v>https://prozorro.gov.ua/tender/UA-2025-12-17-016581-a</x:v>
      </x:c>
      <x:c r="AA1103" s="14" t="str">
        <x:v>45410241</x:v>
      </x:c>
      <x:c r="AB1103" s="14" t="str">
        <x:v>2026-08-24</x:v>
      </x:c>
      <x:c r="AC1103" s="14" t="str"/>
      <x:c r="AD1103" s="20" t="str"/>
      <x:c r="AE1103" s="14" t="str"/>
      <x:c r="AF1103" s="14" t="n">
        <x:v>48</x:v>
      </x:c>
      <x:c r="AG1103" s="14" t="str">
        <x:v>I3</x:v>
      </x:c>
      <x:c r="AH1103" s="14" t="n">
        <x:v>2</x:v>
      </x:c>
      <x:c r="AI1103" s="14" t="n">
        <x:v>0</x:v>
      </x:c>
      <x:c r="AJ1103" s="18" t="n">
        <x:v>622880</x:v>
      </x:c>
      <x:c r="AK1103" s="14" t="str">
        <x:v>https://prozorro.gov.ua/tender/UA-2025-12-17-016581-a</x:v>
      </x:c>
      <x:c r="AL1103" s="19" t="n">
        <x:v>46008.54755956018</x:v>
      </x:c>
      <x:c r="AM1103" s="19" t="n">
        <x:v>46015</x:v>
      </x:c>
      <x:c r="AN1103" s="15" t="str">
        <x:v>Пожежогасіння</x:v>
      </x:c>
      <x:c r="AO1103" s="15" t="str">
        <x:v>not_found_in_top_search</x:v>
      </x:c>
    </x:row>
    <x:row r="1104">
      <x:c r="A1104" s="14" t="str">
        <x:v>W4-285</x:v>
      </x:c>
      <x:c r="B1104" s="14" t="str">
        <x:v>Prozorro expansion — 24.08</x:v>
      </x:c>
      <x:c r="C1104" s="14" t="str">
        <x:v>ТОВАРИСТВО З ОБМЕЖЕНОЮ ВІДПОВІДАЛЬНІСТЮ "ЄВРОФЕСТ"</x:v>
      </x:c>
      <x:c r="D1104" s="14" t="str">
        <x:v>Пожежогасіння</x:v>
      </x:c>
      <x:c r="E1104" s="14" t="str">
        <x:v>Expansion discovery</x:v>
      </x:c>
      <x:c r="F1104" s="17" t="str">
        <x:v>D3</x:v>
      </x:c>
      <x:c r="G1104" s="14" t="str"/>
      <x:c r="H1104" s="14" t="str">
        <x:v>Discovery розширення — 2 тижні</x:v>
      </x:c>
      <x:c r="I1104" s="16" t="n">
        <x:v>1</x:v>
      </x:c>
      <x:c r="J1104" s="16" t="n">
        <x:v>5</x:v>
      </x:c>
      <x:c r="K1104" s="16" t="n">
        <x:v>5</x:v>
      </x:c>
      <x:c r="L1104" s="16" t="n">
        <x:v>1</x:v>
      </x:c>
      <x:c r="M1104" s="16" t="n">
        <x:v>5</x:v>
      </x:c>
      <x:c r="N1104" s="16" t="n">
        <x:v>5</x:v>
      </x:c>
      <x:c r="O1104" s="16" t="n">
        <x:v>3</x:v>
      </x:c>
      <x:c r="P1104" s="16" t="n">
        <x:f>IF(COUNT(I1104:O1104)&lt;7,"",I1104*8+J1104*3+K1104*2+L1104*2+M1104*2+N1104*2+O1104)</x:f>
        <x:v>58</x:v>
      </x:c>
      <x:c r="Q1104" s="16" t="n">
        <x:f>IF(COUNT(J1104:O1104)&lt;6,"",J1104*5+K1104*4+M1104*4+L1104*3+N1104*2+O1104*2)</x:f>
        <x:v>84</x:v>
      </x:c>
      <x:c r="R1104" s="14" t="str">
        <x:v>high</x:v>
      </x:c>
      <x:c r="S1104" s="14" t="str">
        <x:v>official_prozorro_award_2024_2026</x:v>
      </x:c>
      <x:c r="T1104" s="14" t="str">
        <x:v>official_prozorro_api</x:v>
      </x:c>
      <x:c r="U1104" s="14" t="str">
        <x:v>Не контактували</x:v>
      </x:c>
      <x:c r="V1104" s="15" t="str">
        <x:v>Workflow-audit outreach по UA-2026-04-22-015848-a; попросити 1 пакет здачі та вимоги проєкту</x:v>
      </x:c>
      <x:c r="W1104" s="15" t="str">
        <x:v>Власник / директор; керівник ПТО; відповідальний за договори</x:v>
      </x:c>
      <x:c r="X1104" s="15" t="str">
        <x:v>2 нових підтверджених перемог/договорів у Prozorro на 70 860 грн; 2 зі строком виконання не раніше 24.08.2026.</x:v>
      </x:c>
      <x:c r="Y1104" s="15" t="str">
        <x:v>Демонтаж, монтаж 5 шт. СПД-3 та заміна елементів, налаштування системи пожежної сигналізації у зв’язку з проведенням  ремонтних робіт; строк до 2026-12-31. Попросити один знеособлений пакет здачі за цим workflow.</x:v>
      </x:c>
      <x:c r="Z1104" s="15" t="str">
        <x:v>https://prozorro.gov.ua/tender/UA-2026-04-22-015848-a</x:v>
      </x:c>
      <x:c r="AA1104" s="14" t="str">
        <x:v>37610680</x:v>
      </x:c>
      <x:c r="AB1104" s="14" t="str">
        <x:v>2026-08-24</x:v>
      </x:c>
      <x:c r="AC1104" s="14" t="str"/>
      <x:c r="AD1104" s="20" t="str"/>
      <x:c r="AE1104" s="14" t="str"/>
      <x:c r="AF1104" s="14" t="n">
        <x:v>48</x:v>
      </x:c>
      <x:c r="AG1104" s="14" t="str">
        <x:v>I3</x:v>
      </x:c>
      <x:c r="AH1104" s="14" t="n">
        <x:v>2</x:v>
      </x:c>
      <x:c r="AI1104" s="14" t="n">
        <x:v>2</x:v>
      </x:c>
      <x:c r="AJ1104" s="18" t="n">
        <x:v>70860.34</x:v>
      </x:c>
      <x:c r="AK1104" s="14" t="str">
        <x:v>https://prozorro.gov.ua/tender/UA-2026-04-22-015848-a</x:v>
      </x:c>
      <x:c r="AL1104" s="19" t="n">
        <x:v>46134.713291238426</x:v>
      </x:c>
      <x:c r="AM1104" s="19" t="n">
        <x:v>46387</x:v>
      </x:c>
      <x:c r="AN1104" s="15" t="str">
        <x:v>Пожежогасіння</x:v>
      </x:c>
      <x:c r="AO1104" s="15" t="str">
        <x:v>not_found_in_top_search</x:v>
      </x:c>
    </x:row>
    <x:row r="1105">
      <x:c r="A1105" s="14" t="str">
        <x:v>W4-286</x:v>
      </x:c>
      <x:c r="B1105" s="14" t="str">
        <x:v>Prozorro expansion — 24.08</x:v>
      </x:c>
      <x:c r="C1105" s="14" t="str">
        <x:v>ТОВ "ГРУПА КОМПАНІЙ МЕТ-ІНОКС"</x:v>
      </x:c>
      <x:c r="D1105" s="14" t="str">
        <x:v>Металоконструкції</x:v>
      </x:c>
      <x:c r="E1105" s="14" t="str">
        <x:v>Expansion discovery</x:v>
      </x:c>
      <x:c r="F1105" s="17" t="str">
        <x:v>D3</x:v>
      </x:c>
      <x:c r="G1105" s="14" t="str"/>
      <x:c r="H1105" s="14" t="str">
        <x:v>Discovery розширення — 2 тижні</x:v>
      </x:c>
      <x:c r="I1105" s="16" t="n">
        <x:v>1</x:v>
      </x:c>
      <x:c r="J1105" s="16" t="n">
        <x:v>5</x:v>
      </x:c>
      <x:c r="K1105" s="16" t="n">
        <x:v>5</x:v>
      </x:c>
      <x:c r="L1105" s="16" t="n">
        <x:v>1</x:v>
      </x:c>
      <x:c r="M1105" s="16" t="n">
        <x:v>5</x:v>
      </x:c>
      <x:c r="N1105" s="16" t="n">
        <x:v>5</x:v>
      </x:c>
      <x:c r="O1105" s="16" t="n">
        <x:v>3</x:v>
      </x:c>
      <x:c r="P1105" s="16" t="n">
        <x:f>IF(COUNT(I1105:O1105)&lt;7,"",I1105*8+J1105*3+K1105*2+L1105*2+M1105*2+N1105*2+O1105)</x:f>
        <x:v>58</x:v>
      </x:c>
      <x:c r="Q1105" s="16" t="n">
        <x:f>IF(COUNT(J1105:O1105)&lt;6,"",J1105*5+K1105*4+M1105*4+L1105*3+N1105*2+O1105*2)</x:f>
        <x:v>84</x:v>
      </x:c>
      <x:c r="R1105" s="14" t="str">
        <x:v>high</x:v>
      </x:c>
      <x:c r="S1105" s="14" t="str">
        <x:v>official_prozorro_award_2024_2026</x:v>
      </x:c>
      <x:c r="T1105" s="14" t="str">
        <x:v>official_prozorro_api</x:v>
      </x:c>
      <x:c r="U1105" s="14" t="str">
        <x:v>Не контактували</x:v>
      </x:c>
      <x:c r="V1105" s="15" t="str">
        <x:v>Workflow-audit outreach по UA-2026-01-23-002373-a; попросити 1 пакет здачі та вимоги проєкту</x:v>
      </x:c>
      <x:c r="W1105" s="15" t="str">
        <x:v>Власник / директор; керівник ПТО; відповідальний за договори</x:v>
      </x:c>
      <x:c r="X1105" s="15" t="str">
        <x:v>2 нових підтверджених перемог/договорів у Prozorro на 50 770 грн; 1 зі строком виконання не раніше 24.08.2026.</x:v>
      </x:c>
      <x:c r="Y1105" s="15" t="str">
        <x:v>Монтаж металоконструкцій з нержавіючої сталі; строк до 2026-12-31. Попросити один знеособлений пакет здачі за цим workflow.</x:v>
      </x:c>
      <x:c r="Z1105" s="15" t="str">
        <x:v>https://prozorro.gov.ua/tender/UA-2026-01-23-002373-a</x:v>
      </x:c>
      <x:c r="AA1105" s="14" t="str">
        <x:v>42013326</x:v>
      </x:c>
      <x:c r="AB1105" s="14" t="str">
        <x:v>2026-08-24</x:v>
      </x:c>
      <x:c r="AC1105" s="14" t="str"/>
      <x:c r="AD1105" s="20" t="str"/>
      <x:c r="AE1105" s="14" t="str"/>
      <x:c r="AF1105" s="14" t="n">
        <x:v>48</x:v>
      </x:c>
      <x:c r="AG1105" s="14" t="str">
        <x:v>I3</x:v>
      </x:c>
      <x:c r="AH1105" s="14" t="n">
        <x:v>2</x:v>
      </x:c>
      <x:c r="AI1105" s="14" t="n">
        <x:v>1</x:v>
      </x:c>
      <x:c r="AJ1105" s="18" t="n">
        <x:v>50769.6</x:v>
      </x:c>
      <x:c r="AK1105" s="14" t="str">
        <x:v>https://prozorro.gov.ua/tender/UA-2026-01-23-002373-a</x:v>
      </x:c>
      <x:c r="AL1105" s="19" t="n">
        <x:v>46045.334928993056</x:v>
      </x:c>
      <x:c r="AM1105" s="19" t="n">
        <x:v>46387.916666655095</x:v>
      </x:c>
      <x:c r="AN1105" s="15" t="str">
        <x:v>Металоконструкції</x:v>
      </x:c>
      <x:c r="AO1105" s="15" t="str">
        <x:v>not_found_in_top_search</x:v>
      </x:c>
    </x:row>
    <x:row r="1106">
      <x:c r="A1106" s="14" t="str">
        <x:v>W4-287</x:v>
      </x:c>
      <x:c r="B1106" s="14" t="str">
        <x:v>Prozorro expansion — 24.08</x:v>
      </x:c>
      <x:c r="C1106" s="14" t="str">
        <x:v>Валентій Ігор Юрійович</x:v>
      </x:c>
      <x:c r="D1106" s="14" t="str">
        <x:v>СКС / BMS / слаботочка</x:v>
      </x:c>
      <x:c r="E1106" s="14" t="str">
        <x:v>Expansion discovery</x:v>
      </x:c>
      <x:c r="F1106" s="17" t="str">
        <x:v>D3</x:v>
      </x:c>
      <x:c r="G1106" s="14" t="str"/>
      <x:c r="H1106" s="14" t="str">
        <x:v>Discovery розширення — 2 тижні</x:v>
      </x:c>
      <x:c r="I1106" s="16" t="n">
        <x:v>2</x:v>
      </x:c>
      <x:c r="J1106" s="16" t="n">
        <x:v>5</x:v>
      </x:c>
      <x:c r="K1106" s="16" t="n">
        <x:v>4</x:v>
      </x:c>
      <x:c r="L1106" s="16" t="n">
        <x:v>1</x:v>
      </x:c>
      <x:c r="M1106" s="16" t="n">
        <x:v>5</x:v>
      </x:c>
      <x:c r="N1106" s="16" t="n">
        <x:v>3</x:v>
      </x:c>
      <x:c r="O1106" s="16" t="n">
        <x:v>3</x:v>
      </x:c>
      <x:c r="P1106" s="16" t="n">
        <x:f>IF(COUNT(I1106:O1106)&lt;7,"",I1106*8+J1106*3+K1106*2+L1106*2+M1106*2+N1106*2+O1106)</x:f>
        <x:v>60</x:v>
      </x:c>
      <x:c r="Q1106" s="16" t="n">
        <x:f>IF(COUNT(J1106:O1106)&lt;6,"",J1106*5+K1106*4+M1106*4+L1106*3+N1106*2+O1106*2)</x:f>
        <x:v>76</x:v>
      </x:c>
      <x:c r="R1106" s="14" t="str">
        <x:v>high</x:v>
      </x:c>
      <x:c r="S1106" s="14" t="str">
        <x:v>official_prozorro_award_2024_2026</x:v>
      </x:c>
      <x:c r="T1106" s="14" t="str">
        <x:v>official_prozorro_api</x:v>
      </x:c>
      <x:c r="U1106" s="14" t="str">
        <x:v>Не контактували</x:v>
      </x:c>
      <x:c r="V1106" s="15" t="str">
        <x:v>Workflow-audit outreach по UA-2026-03-16-000840-a; попросити 1 пакет здачі та вимоги проєкту</x:v>
      </x:c>
      <x:c r="W1106" s="15" t="str">
        <x:v>Власник / виконавець; відповідальний за договір</x:v>
      </x:c>
      <x:c r="X1106" s="15" t="str">
        <x:v>2 нових підтверджених перемог/договорів у Prozorro на 47 920 грн; 0 зі строком виконання не раніше 24.08.2026.</x:v>
      </x:c>
      <x:c r="Y1106"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 строк до 2026-03-31. Попросити один знеособлений пакет здачі за цим workflow.</x:v>
      </x:c>
      <x:c r="Z1106" s="15" t="str">
        <x:v>https://prozorro.gov.ua/tender/UA-2026-03-16-000840-a</x:v>
      </x:c>
      <x:c r="AA1106" s="14" t="str">
        <x:v>3410801836</x:v>
      </x:c>
      <x:c r="AB1106" s="14" t="str">
        <x:v>2026-08-24</x:v>
      </x:c>
      <x:c r="AC1106" s="14" t="str"/>
      <x:c r="AD1106" s="20" t="str"/>
      <x:c r="AE1106" s="14" t="str"/>
      <x:c r="AF1106" s="14" t="n">
        <x:v>48</x:v>
      </x:c>
      <x:c r="AG1106" s="14" t="str">
        <x:v>I3</x:v>
      </x:c>
      <x:c r="AH1106" s="14" t="n">
        <x:v>2</x:v>
      </x:c>
      <x:c r="AI1106" s="14" t="n">
        <x:v>0</x:v>
      </x:c>
      <x:c r="AJ1106" s="18" t="n">
        <x:v>47920</x:v>
      </x:c>
      <x:c r="AK1106" s="14" t="str">
        <x:v>https://prozorro.gov.ua/tender/UA-2026-03-16-000840-a</x:v>
      </x:c>
      <x:c r="AL1106" s="19" t="n">
        <x:v>46097.3363925</x:v>
      </x:c>
      <x:c r="AM1106" s="19" t="n">
        <x:v>46112</x:v>
      </x:c>
      <x:c r="AN1106" s="15" t="str">
        <x:v>СКС / BMS / слаботочка</x:v>
      </x:c>
      <x:c r="AO1106" s="15" t="str">
        <x:v>not_found_in_top_search</x:v>
      </x:c>
    </x:row>
    <x:row r="1107">
      <x:c r="A1107" s="14" t="str">
        <x:v>W4-288</x:v>
      </x:c>
      <x:c r="B1107" s="14" t="str">
        <x:v>Prozorro expansion — 24.08</x:v>
      </x:c>
      <x:c r="C1107" s="14" t="str">
        <x:v>ТОВАРИСТВО З ОБМЕЖЕНОЮ ВІДПОВІДАЛЬНІСТЮ "СИСТЕМИ ОХОРОНИ ПЛЮС"</x:v>
      </x:c>
      <x:c r="D1107" s="14" t="str">
        <x:v>Пожежогасіння</x:v>
      </x:c>
      <x:c r="E1107" s="14" t="str">
        <x:v>Expansion discovery</x:v>
      </x:c>
      <x:c r="F1107" s="17" t="str">
        <x:v>D3</x:v>
      </x:c>
      <x:c r="G1107" s="14" t="str"/>
      <x:c r="H1107" s="14" t="str">
        <x:v>Discovery розширення — 2 тижні</x:v>
      </x:c>
      <x:c r="I1107" s="16" t="n">
        <x:v>1</x:v>
      </x:c>
      <x:c r="J1107" s="16" t="n">
        <x:v>5</x:v>
      </x:c>
      <x:c r="K1107" s="16" t="n">
        <x:v>5</x:v>
      </x:c>
      <x:c r="L1107" s="16" t="n">
        <x:v>1</x:v>
      </x:c>
      <x:c r="M1107" s="16" t="n">
        <x:v>5</x:v>
      </x:c>
      <x:c r="N1107" s="16" t="n">
        <x:v>5</x:v>
      </x:c>
      <x:c r="O1107" s="16" t="n">
        <x:v>3</x:v>
      </x:c>
      <x:c r="P1107" s="16" t="n">
        <x:f>IF(COUNT(I1107:O1107)&lt;7,"",I1107*8+J1107*3+K1107*2+L1107*2+M1107*2+N1107*2+O1107)</x:f>
        <x:v>58</x:v>
      </x:c>
      <x:c r="Q1107" s="16" t="n">
        <x:f>IF(COUNT(J1107:O1107)&lt;6,"",J1107*5+K1107*4+M1107*4+L1107*3+N1107*2+O1107*2)</x:f>
        <x:v>84</x:v>
      </x:c>
      <x:c r="R1107" s="14" t="str">
        <x:v>high</x:v>
      </x:c>
      <x:c r="S1107" s="14" t="str">
        <x:v>official_prozorro_award_2024_2026</x:v>
      </x:c>
      <x:c r="T1107" s="14" t="str">
        <x:v>official_prozorro_api</x:v>
      </x:c>
      <x:c r="U1107" s="14" t="str">
        <x:v>Не контактували</x:v>
      </x:c>
      <x:c r="V1107" s="15" t="str">
        <x:v>Workflow-audit outreach по UA-2026-03-27-001338-a; попросити 1 пакет здачі та вимоги проєкту</x:v>
      </x:c>
      <x:c r="W1107" s="15" t="str">
        <x:v>Власник / директор; керівник ПТО; відповідальний за договори</x:v>
      </x:c>
      <x:c r="X1107" s="15" t="str">
        <x:v>2 нових підтверджених перемог/договорів у Prozorro на 2 228 грн; 2 зі строком виконання не раніше 24.08.2026.</x:v>
      </x:c>
      <x:c r="Y1107" s="15" t="str">
        <x:v>Придбання товару для монтажу системи пожежної сигналізації (Саморізи 100 шт., дюбелі 100 шт., монтажний набір); строк до 2026-12-31. Попросити один знеособлений пакет здачі за цим workflow.</x:v>
      </x:c>
      <x:c r="Z1107" s="15" t="str">
        <x:v>https://prozorro.gov.ua/tender/UA-2026-03-27-001338-a</x:v>
      </x:c>
      <x:c r="AA1107" s="14" t="str">
        <x:v>44609600</x:v>
      </x:c>
      <x:c r="AB1107" s="14" t="str">
        <x:v>2026-08-24</x:v>
      </x:c>
      <x:c r="AC1107" s="14" t="str"/>
      <x:c r="AD1107" s="20" t="str"/>
      <x:c r="AE1107" s="14" t="str"/>
      <x:c r="AF1107" s="14" t="n">
        <x:v>48</x:v>
      </x:c>
      <x:c r="AG1107" s="14" t="str">
        <x:v>I3</x:v>
      </x:c>
      <x:c r="AH1107" s="14" t="n">
        <x:v>2</x:v>
      </x:c>
      <x:c r="AI1107" s="14" t="n">
        <x:v>2</x:v>
      </x:c>
      <x:c r="AJ1107" s="18" t="n">
        <x:v>2228</x:v>
      </x:c>
      <x:c r="AK1107" s="14" t="str">
        <x:v>https://prozorro.gov.ua/tender/UA-2026-03-27-001338-a</x:v>
      </x:c>
      <x:c r="AL1107" s="19" t="n">
        <x:v>46108.31962449074</x:v>
      </x:c>
      <x:c r="AM1107" s="19" t="n">
        <x:v>46387</x:v>
      </x:c>
      <x:c r="AN1107" s="15" t="str">
        <x:v>Пожежогасіння</x:v>
      </x:c>
      <x:c r="AO1107" s="15" t="str">
        <x:v>not_found_in_top_search</x:v>
      </x:c>
    </x:row>
    <x:row r="1108">
      <x:c r="A1108" s="14" t="str">
        <x:v>W4-289</x:v>
      </x:c>
      <x:c r="B1108" s="14" t="str">
        <x:v>Prozorro expansion — 24.08</x:v>
      </x:c>
      <x:c r="C1108" s="14" t="str">
        <x:v>фізична особа підприємець Штанько Віталій Володимирович</x:v>
      </x:c>
      <x:c r="D1108" s="14" t="str">
        <x:v>Фасади та скління</x:v>
      </x:c>
      <x:c r="E1108" s="14" t="str">
        <x:v>Expansion discovery</x:v>
      </x:c>
      <x:c r="F1108" s="17" t="str">
        <x:v>D3</x:v>
      </x:c>
      <x:c r="G1108" s="14" t="str"/>
      <x:c r="H1108" s="14" t="str">
        <x:v>Discovery розширення — 2 тижні</x:v>
      </x:c>
      <x:c r="I1108" s="16" t="n">
        <x:v>1</x:v>
      </x:c>
      <x:c r="J1108" s="16" t="n">
        <x:v>5</x:v>
      </x:c>
      <x:c r="K1108" s="16" t="n">
        <x:v>5</x:v>
      </x:c>
      <x:c r="L1108" s="16" t="n">
        <x:v>2</x:v>
      </x:c>
      <x:c r="M1108" s="16" t="n">
        <x:v>5</x:v>
      </x:c>
      <x:c r="N1108" s="16" t="n">
        <x:v>3</x:v>
      </x:c>
      <x:c r="O1108" s="16" t="n">
        <x:v>3</x:v>
      </x:c>
      <x:c r="P1108" s="16" t="n">
        <x:f>IF(COUNT(I1108:O1108)&lt;7,"",I1108*8+J1108*3+K1108*2+L1108*2+M1108*2+N1108*2+O1108)</x:f>
        <x:v>56</x:v>
      </x:c>
      <x:c r="Q1108" s="16" t="n">
        <x:f>IF(COUNT(J1108:O1108)&lt;6,"",J1108*5+K1108*4+M1108*4+L1108*3+N1108*2+O1108*2)</x:f>
        <x:v>83</x:v>
      </x:c>
      <x:c r="R1108" s="14" t="str">
        <x:v>high</x:v>
      </x:c>
      <x:c r="S1108" s="14" t="str">
        <x:v>official_prozorro_award_2024_2026</x:v>
      </x:c>
      <x:c r="T1108" s="14" t="str">
        <x:v>official_prozorro_api</x:v>
      </x:c>
      <x:c r="U1108" s="14" t="str">
        <x:v>Не контактували</x:v>
      </x:c>
      <x:c r="V1108" s="15" t="str">
        <x:v>Workflow-audit outreach по UA-2026-06-23-002868-a; попросити 1 пакет здачі та вимоги проєкту</x:v>
      </x:c>
      <x:c r="W1108" s="15" t="str">
        <x:v>Власник / виконавець; відповідальний за договір</x:v>
      </x:c>
      <x:c r="X1108" s="15" t="str">
        <x:v>1 нових підтверджених перемог/договорів у Prozorro на 195 663 грн; 1 зі строком виконання не раніше 24.08.2026.</x:v>
      </x:c>
      <x:c r="Y1108" s="15" t="str">
        <x:v>поточний ремонт частини фасаду з утеплення стін КП ЖКГ "Липоводолинське" за адресою: вул. Полтавська, 18, с-ще Липова Долина, Сумська обл.; строк до 2026-10-01. Попросити один знеособлений пакет здачі за цим workflow.</x:v>
      </x:c>
      <x:c r="Z1108" s="15" t="str">
        <x:v>https://prozorro.gov.ua/tender/UA-2026-06-23-002868-a</x:v>
      </x:c>
      <x:c r="AA1108" s="14" t="str">
        <x:v>2961316679</x:v>
      </x:c>
      <x:c r="AB1108" s="14" t="str">
        <x:v>2026-08-24</x:v>
      </x:c>
      <x:c r="AC1108" s="14" t="str"/>
      <x:c r="AD1108" s="20" t="str"/>
      <x:c r="AE1108" s="14" t="str"/>
      <x:c r="AF1108" s="14" t="n">
        <x:v>47</x:v>
      </x:c>
      <x:c r="AG1108" s="14" t="str">
        <x:v>I3</x:v>
      </x:c>
      <x:c r="AH1108" s="14" t="n">
        <x:v>1</x:v>
      </x:c>
      <x:c r="AI1108" s="14" t="n">
        <x:v>1</x:v>
      </x:c>
      <x:c r="AJ1108" s="18" t="n">
        <x:v>195662.9</x:v>
      </x:c>
      <x:c r="AK1108" s="14" t="str">
        <x:v>https://prozorro.gov.ua/tender/UA-2026-06-23-002868-a</x:v>
      </x:c>
      <x:c r="AL1108" s="19" t="n">
        <x:v>46196.318579039355</x:v>
      </x:c>
      <x:c r="AM1108" s="19" t="n">
        <x:v>46296.31893518518</x:v>
      </x:c>
      <x:c r="AN1108" s="15" t="str">
        <x:v>Фасади та скління</x:v>
      </x:c>
      <x:c r="AO1108" s="15" t="str">
        <x:v>not_found_in_top_search</x:v>
      </x:c>
    </x:row>
    <x:row r="1109">
      <x:c r="A1109" s="14" t="str">
        <x:v>W4-290</x:v>
      </x:c>
      <x:c r="B1109" s="14" t="str">
        <x:v>Prozorro expansion — 24.08</x:v>
      </x:c>
      <x:c r="C1109" s="14" t="str">
        <x:v>ФОП Науменко Володимир Васильович</x:v>
      </x:c>
      <x:c r="D1109" s="14" t="str">
        <x:v>Внутрішні сантехнічні системи</x:v>
      </x:c>
      <x:c r="E1109" s="14" t="str">
        <x:v>Pilot now</x:v>
      </x:c>
      <x:c r="F1109" s="17" t="str">
        <x:v>P3</x:v>
      </x:c>
      <x:c r="G1109" s="14" t="str"/>
      <x:c r="H1109" s="14" t="str">
        <x:v>Пілот зараз — Н.14</x:v>
      </x:c>
      <x:c r="I1109" s="16" t="n">
        <x:v>5</x:v>
      </x:c>
      <x:c r="J1109" s="16" t="n">
        <x:v>5</x:v>
      </x:c>
      <x:c r="K1109" s="16" t="n">
        <x:v>4</x:v>
      </x:c>
      <x:c r="L1109" s="16" t="n">
        <x:v>2</x:v>
      </x:c>
      <x:c r="M1109" s="16" t="n">
        <x:v>5</x:v>
      </x:c>
      <x:c r="N1109" s="16" t="n">
        <x:v>3</x:v>
      </x:c>
      <x:c r="O1109" s="16" t="n">
        <x:v>3</x:v>
      </x:c>
      <x:c r="P1109" s="16" t="n">
        <x:f>IF(COUNT(I1109:O1109)&lt;7,"",I1109*8+J1109*3+K1109*2+L1109*2+M1109*2+N1109*2+O1109)</x:f>
        <x:v>86</x:v>
      </x:c>
      <x:c r="Q1109" s="16" t="n">
        <x:f>IF(COUNT(J1109:O1109)&lt;6,"",J1109*5+K1109*4+M1109*4+L1109*3+N1109*2+O1109*2)</x:f>
        <x:v>79</x:v>
      </x:c>
      <x:c r="R1109" s="14" t="str">
        <x:v>high</x:v>
      </x:c>
      <x:c r="S1109" s="14" t="str">
        <x:v>official_prozorro_award_2024_2026</x:v>
      </x:c>
      <x:c r="T1109" s="14" t="str">
        <x:v>official_prozorro_api</x:v>
      </x:c>
      <x:c r="U1109" s="14" t="str">
        <x:v>Не контактували</x:v>
      </x:c>
      <x:c r="V1109" s="15" t="str">
        <x:v>Персоналізований free-pilot outreach по UA-2026-05-12-014485-a; попросити 1 пакет Н.14/Н.15</x:v>
      </x:c>
      <x:c r="W1109" s="15" t="str">
        <x:v>Власник / виконавець; відповідальний за договір</x:v>
      </x:c>
      <x:c r="X1109" s="15" t="str">
        <x:v>1 нових підтверджених перемог/договорів у Prozorro на 183 543 грн; 0 зі строком виконання не раніше 24.08.2026.</x:v>
      </x:c>
      <x:c r="Y1109"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 строк до 2026-05-20. Попросити один знеособлений пакет здачі за цим workflow.</x:v>
      </x:c>
      <x:c r="Z1109" s="15" t="str">
        <x:v>https://prozorro.gov.ua/tender/UA-2026-05-12-014485-a</x:v>
      </x:c>
      <x:c r="AA1109" s="14" t="str">
        <x:v>3074816911</x:v>
      </x:c>
      <x:c r="AB1109" s="14" t="str">
        <x:v>2026-08-24</x:v>
      </x:c>
      <x:c r="AC1109" s="14" t="str"/>
      <x:c r="AD1109" s="20" t="str"/>
      <x:c r="AE1109" s="14" t="str"/>
      <x:c r="AF1109" s="14" t="n">
        <x:v>47</x:v>
      </x:c>
      <x:c r="AG1109" s="14" t="str">
        <x:v>I3</x:v>
      </x:c>
      <x:c r="AH1109" s="14" t="n">
        <x:v>1</x:v>
      </x:c>
      <x:c r="AI1109" s="14" t="n">
        <x:v>0</x:v>
      </x:c>
      <x:c r="AJ1109" s="18" t="n">
        <x:v>183543</x:v>
      </x:c>
      <x:c r="AK1109" s="14" t="str">
        <x:v>https://prozorro.gov.ua/tender/UA-2026-05-12-014485-a</x:v>
      </x:c>
      <x:c r="AL1109" s="19" t="n">
        <x:v>46154.59973944444</x:v>
      </x:c>
      <x:c r="AM1109" s="19" t="n">
        <x:v>46162.602175925924</x:v>
      </x:c>
      <x:c r="AN1109" s="15" t="str">
        <x:v>Внутрішні сантехнічні системи</x:v>
      </x:c>
      <x:c r="AO1109" s="15" t="str">
        <x:v>not_found_in_top_search</x:v>
      </x:c>
    </x:row>
    <x:row r="1110">
      <x:c r="A1110" s="14" t="str">
        <x:v>W4-291</x:v>
      </x:c>
      <x:c r="B1110" s="14" t="str">
        <x:v>Prozorro expansion — 24.08</x:v>
      </x:c>
      <x:c r="C1110" s="14" t="str">
        <x:v>Фізична особа підприємець Кернасюк Людмила Валеріївна</x:v>
      </x:c>
      <x:c r="D1110" s="14" t="str">
        <x:v>Електромонтаж</x:v>
      </x:c>
      <x:c r="E1110" s="14" t="str">
        <x:v>Pilot now</x:v>
      </x:c>
      <x:c r="F1110" s="17" t="str">
        <x:v>P3</x:v>
      </x:c>
      <x:c r="G1110" s="14" t="str"/>
      <x:c r="H1110" s="14" t="str">
        <x:v>Пілот зараз — Н.15</x:v>
      </x:c>
      <x:c r="I1110" s="16" t="n">
        <x:v>5</x:v>
      </x:c>
      <x:c r="J1110" s="16" t="n">
        <x:v>5</x:v>
      </x:c>
      <x:c r="K1110" s="16" t="n">
        <x:v>4</x:v>
      </x:c>
      <x:c r="L1110" s="16" t="n">
        <x:v>2</x:v>
      </x:c>
      <x:c r="M1110" s="16" t="n">
        <x:v>5</x:v>
      </x:c>
      <x:c r="N1110" s="16" t="n">
        <x:v>3</x:v>
      </x:c>
      <x:c r="O1110" s="16" t="n">
        <x:v>3</x:v>
      </x:c>
      <x:c r="P1110" s="16" t="n">
        <x:f>IF(COUNT(I1110:O1110)&lt;7,"",I1110*8+J1110*3+K1110*2+L1110*2+M1110*2+N1110*2+O1110)</x:f>
        <x:v>86</x:v>
      </x:c>
      <x:c r="Q1110" s="16" t="n">
        <x:f>IF(COUNT(J1110:O1110)&lt;6,"",J1110*5+K1110*4+M1110*4+L1110*3+N1110*2+O1110*2)</x:f>
        <x:v>79</x:v>
      </x:c>
      <x:c r="R1110" s="14" t="str">
        <x:v>high</x:v>
      </x:c>
      <x:c r="S1110" s="14" t="str">
        <x:v>official_prozorro_award_2024_2026</x:v>
      </x:c>
      <x:c r="T1110" s="14" t="str">
        <x:v>official_prozorro_api</x:v>
      </x:c>
      <x:c r="U1110" s="14" t="str">
        <x:v>Не контактували</x:v>
      </x:c>
      <x:c r="V1110" s="15" t="str">
        <x:v>Персоналізований free-pilot outreach по UA-2026-07-02-003000-a; попросити 1 пакет Н.14/Н.15</x:v>
      </x:c>
      <x:c r="W1110" s="15" t="str">
        <x:v>Власник / виконавець; відповідальний за договір</x:v>
      </x:c>
      <x:c r="X1110" s="15" t="str">
        <x:v>1 нових підтверджених перемог/договорів у Prozorro на 181 728 грн; 0 зі строком виконання не раніше 24.08.2026.</x:v>
      </x:c>
      <x:c r="Y1110" s="15" t="str">
        <x:v>Електромонтажні роботи; строк до 2026-08-15. Попросити один знеособлений пакет здачі за цим workflow.</x:v>
      </x:c>
      <x:c r="Z1110" s="15" t="str">
        <x:v>https://prozorro.gov.ua/tender/UA-2026-07-02-003000-a</x:v>
      </x:c>
      <x:c r="AA1110" s="14" t="str">
        <x:v>3455204341</x:v>
      </x:c>
      <x:c r="AB1110" s="14" t="str">
        <x:v>2026-08-24</x:v>
      </x:c>
      <x:c r="AC1110" s="14" t="str"/>
      <x:c r="AD1110" s="20" t="str"/>
      <x:c r="AE1110" s="14" t="str"/>
      <x:c r="AF1110" s="14" t="n">
        <x:v>47</x:v>
      </x:c>
      <x:c r="AG1110" s="14" t="str">
        <x:v>I3</x:v>
      </x:c>
      <x:c r="AH1110" s="14" t="n">
        <x:v>1</x:v>
      </x:c>
      <x:c r="AI1110" s="14" t="n">
        <x:v>0</x:v>
      </x:c>
      <x:c r="AJ1110" s="18" t="n">
        <x:v>181728</x:v>
      </x:c>
      <x:c r="AK1110" s="14" t="str">
        <x:v>https://prozorro.gov.ua/tender/UA-2026-07-02-003000-a</x:v>
      </x:c>
      <x:c r="AL1110" s="19" t="n">
        <x:v>46205.3456399537</x:v>
      </x:c>
      <x:c r="AM1110" s="19" t="n">
        <x:v>46249</x:v>
      </x:c>
      <x:c r="AN1110" s="15" t="str">
        <x:v>Електромонтаж</x:v>
      </x:c>
      <x:c r="AO1110" s="15" t="str">
        <x:v>not_found_in_top_search</x:v>
      </x:c>
    </x:row>
    <x:row r="1111">
      <x:c r="A1111" s="14" t="str">
        <x:v>W4-292</x:v>
      </x:c>
      <x:c r="B1111" s="14" t="str">
        <x:v>Prozorro expansion — 24.08</x:v>
      </x:c>
      <x:c r="C1111" s="14" t="str">
        <x:v>ФОП Димарчук Леонід Олексійович</x:v>
      </x:c>
      <x:c r="D1111" s="14" t="str">
        <x:v>Металоконструкції</x:v>
      </x:c>
      <x:c r="E1111" s="14" t="str">
        <x:v>Expansion discovery</x:v>
      </x:c>
      <x:c r="F1111" s="17" t="str">
        <x:v>D3</x:v>
      </x:c>
      <x:c r="G1111" s="14" t="str"/>
      <x:c r="H1111" s="14" t="str">
        <x:v>Discovery розширення — 2 тижні</x:v>
      </x:c>
      <x:c r="I1111" s="16" t="n">
        <x:v>1</x:v>
      </x:c>
      <x:c r="J1111" s="16" t="n">
        <x:v>5</x:v>
      </x:c>
      <x:c r="K1111" s="16" t="n">
        <x:v>5</x:v>
      </x:c>
      <x:c r="L1111" s="16" t="n">
        <x:v>2</x:v>
      </x:c>
      <x:c r="M1111" s="16" t="n">
        <x:v>5</x:v>
      </x:c>
      <x:c r="N1111" s="16" t="n">
        <x:v>3</x:v>
      </x:c>
      <x:c r="O1111" s="16" t="n">
        <x:v>3</x:v>
      </x:c>
      <x:c r="P1111" s="16" t="n">
        <x:f>IF(COUNT(I1111:O1111)&lt;7,"",I1111*8+J1111*3+K1111*2+L1111*2+M1111*2+N1111*2+O1111)</x:f>
        <x:v>56</x:v>
      </x:c>
      <x:c r="Q1111" s="16" t="n">
        <x:f>IF(COUNT(J1111:O1111)&lt;6,"",J1111*5+K1111*4+M1111*4+L1111*3+N1111*2+O1111*2)</x:f>
        <x:v>83</x:v>
      </x:c>
      <x:c r="R1111" s="14" t="str">
        <x:v>high</x:v>
      </x:c>
      <x:c r="S1111" s="14" t="str">
        <x:v>official_prozorro_award_2024_2026</x:v>
      </x:c>
      <x:c r="T1111" s="14" t="str">
        <x:v>official_prozorro_api</x:v>
      </x:c>
      <x:c r="U1111" s="14" t="str">
        <x:v>Не контактували</x:v>
      </x:c>
      <x:c r="V1111" s="15" t="str">
        <x:v>Workflow-audit outreach по UA-2026-05-18-013000-a; попросити 1 пакет здачі та вимоги проєкту</x:v>
      </x:c>
      <x:c r="W1111" s="15" t="str">
        <x:v>Власник / виконавець; відповідальний за договір</x:v>
      </x:c>
      <x:c r="X1111" s="15" t="str">
        <x:v>1 нових підтверджених перемог/договорів у Prozorro на 149 996 грн; 1 зі строком виконання не раніше 24.08.2026.</x:v>
      </x:c>
      <x:c r="Y1111"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 строк до 2026-12-31. Попросити один знеособлений пакет здачі за цим workflow.</x:v>
      </x:c>
      <x:c r="Z1111" s="15" t="str">
        <x:v>https://prozorro.gov.ua/tender/UA-2026-05-18-013000-a</x:v>
      </x:c>
      <x:c r="AA1111" s="14" t="str">
        <x:v>2228210214</x:v>
      </x:c>
      <x:c r="AB1111" s="14" t="str">
        <x:v>2026-08-24</x:v>
      </x:c>
      <x:c r="AC1111" s="14" t="str"/>
      <x:c r="AD1111" s="20" t="str"/>
      <x:c r="AE1111" s="14" t="str"/>
      <x:c r="AF1111" s="14" t="n">
        <x:v>47</x:v>
      </x:c>
      <x:c r="AG1111" s="14" t="str">
        <x:v>I3</x:v>
      </x:c>
      <x:c r="AH1111" s="14" t="n">
        <x:v>1</x:v>
      </x:c>
      <x:c r="AI1111" s="14" t="n">
        <x:v>1</x:v>
      </x:c>
      <x:c r="AJ1111" s="18" t="n">
        <x:v>149996</x:v>
      </x:c>
      <x:c r="AK1111" s="14" t="str">
        <x:v>https://prozorro.gov.ua/tender/UA-2026-05-18-013000-a</x:v>
      </x:c>
      <x:c r="AL1111" s="19" t="n">
        <x:v>46160.58425644676</x:v>
      </x:c>
      <x:c r="AM1111" s="19" t="n">
        <x:v>46387.626851851855</x:v>
      </x:c>
      <x:c r="AN1111" s="15" t="str">
        <x:v>Металоконструкції</x:v>
      </x:c>
      <x:c r="AO1111" s="15" t="str">
        <x:v>not_found_in_top_search</x:v>
      </x:c>
    </x:row>
    <x:row r="1112">
      <x:c r="A1112" s="14" t="str">
        <x:v>W4-293</x:v>
      </x:c>
      <x:c r="B1112" s="14" t="str">
        <x:v>Prozorro expansion — 24.08</x:v>
      </x:c>
      <x:c r="C1112" s="14" t="str">
        <x:v>ТОВАРИСТВО З ОБМЕЖЕНОЮ ВІДПОВІДАЛЬНІСТЮ "КОСТА-ПРОЕКТ"</x:v>
      </x:c>
      <x:c r="D1112" s="14" t="str">
        <x:v>Газові мережі</x:v>
      </x:c>
      <x:c r="E1112" s="14" t="str">
        <x:v>Expansion discovery</x:v>
      </x:c>
      <x:c r="F1112" s="17" t="str">
        <x:v>D3</x:v>
      </x:c>
      <x:c r="G1112" s="14" t="str"/>
      <x:c r="H1112" s="14" t="str">
        <x:v>Discovery розширення — 2 тижні</x:v>
      </x:c>
      <x:c r="I1112" s="16" t="n">
        <x:v>1</x:v>
      </x:c>
      <x:c r="J1112" s="16" t="n">
        <x:v>5</x:v>
      </x:c>
      <x:c r="K1112" s="16" t="n">
        <x:v>5</x:v>
      </x:c>
      <x:c r="L1112" s="16" t="n">
        <x:v>5</x:v>
      </x:c>
      <x:c r="M1112" s="16" t="n">
        <x:v>5</x:v>
      </x:c>
      <x:c r="N1112" s="16" t="n">
        <x:v>5</x:v>
      </x:c>
      <x:c r="O1112" s="16" t="n">
        <x:v>3</x:v>
      </x:c>
      <x:c r="P1112" s="16" t="n">
        <x:f>IF(COUNT(I1112:O1112)&lt;7,"",I1112*8+J1112*3+K1112*2+L1112*2+M1112*2+N1112*2+O1112)</x:f>
        <x:v>66</x:v>
      </x:c>
      <x:c r="Q1112" s="16" t="n">
        <x:f>IF(COUNT(J1112:O1112)&lt;6,"",J1112*5+K1112*4+M1112*4+L1112*3+N1112*2+O1112*2)</x:f>
        <x:v>96</x:v>
      </x:c>
      <x:c r="R1112" s="14" t="str">
        <x:v>high</x:v>
      </x:c>
      <x:c r="S1112" s="14" t="str">
        <x:v>official_prozorro_award_2024_2026</x:v>
      </x:c>
      <x:c r="T1112" s="14" t="str">
        <x:v>official_prozorro_api</x:v>
      </x:c>
      <x:c r="U1112" s="14" t="str">
        <x:v>Не контактували</x:v>
      </x:c>
      <x:c r="V1112" s="15" t="str">
        <x:v>Workflow-audit outreach по UA-2025-06-19-010686-a; попросити 1 пакет здачі та вимоги проєкту</x:v>
      </x:c>
      <x:c r="W1112" s="15" t="str">
        <x:v>Власник / директор; керівник ПТО; відповідальний за договори</x:v>
      </x:c>
      <x:c r="X1112" s="15" t="str">
        <x:v>1 нових підтверджених перемог/договорів у Prozorro на 323 020 000 грн; 1 зі строком виконання не раніше 24.08.2026.</x:v>
      </x:c>
      <x:c r="Y1112"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 строк до 2028-10-21. Попросити один знеособлений пакет здачі за цим workflow.</x:v>
      </x:c>
      <x:c r="Z1112" s="15" t="str">
        <x:v>https://prozorro.gov.ua/tender/UA-2025-06-19-010686-a</x:v>
      </x:c>
      <x:c r="AA1112" s="14" t="str">
        <x:v>34980441</x:v>
      </x:c>
      <x:c r="AB1112" s="14" t="str">
        <x:v>2026-08-24</x:v>
      </x:c>
      <x:c r="AC1112" s="14" t="str"/>
      <x:c r="AD1112" s="20" t="str"/>
      <x:c r="AE1112" s="14" t="str"/>
      <x:c r="AF1112" s="14" t="n">
        <x:v>46</x:v>
      </x:c>
      <x:c r="AG1112" s="14" t="str">
        <x:v>I3</x:v>
      </x:c>
      <x:c r="AH1112" s="14" t="n">
        <x:v>1</x:v>
      </x:c>
      <x:c r="AI1112" s="14" t="n">
        <x:v>1</x:v>
      </x:c>
      <x:c r="AJ1112" s="18" t="n">
        <x:v>323020000</x:v>
      </x:c>
      <x:c r="AK1112" s="14" t="str">
        <x:v>https://prozorro.gov.ua/tender/UA-2025-06-19-010686-a</x:v>
      </x:c>
      <x:c r="AL1112" s="19" t="n">
        <x:v>45867.32840100695</x:v>
      </x:c>
      <x:c r="AM1112" s="19" t="n">
        <x:v>47047</x:v>
      </x:c>
      <x:c r="AN1112" s="15" t="str">
        <x:v>Газові мережі</x:v>
      </x:c>
      <x:c r="AO1112" s="15" t="str">
        <x:v>not_found_in_top_search</x:v>
      </x:c>
    </x:row>
    <x:row r="1113">
      <x:c r="A1113" s="14" t="str">
        <x:v>W4-294</x:v>
      </x:c>
      <x:c r="B1113" s="14" t="str">
        <x:v>Prozorro expansion — 24.08</x:v>
      </x:c>
      <x:c r="C1113" s="14" t="str">
        <x:v>ТОВАРИСТВО З ОБМЕЖЕНОЮ ВІДПОВІДАЛЬНІСТЮ «ГАРАНТ ЕНЕРГО»</x:v>
      </x:c>
      <x:c r="D1113" s="14" t="str">
        <x:v>Металоконструкції</x:v>
      </x:c>
      <x:c r="E1113" s="14" t="str">
        <x:v>Expansion discovery</x:v>
      </x:c>
      <x:c r="F1113" s="17" t="str">
        <x:v>D3</x:v>
      </x:c>
      <x:c r="G1113" s="14" t="str"/>
      <x:c r="H1113" s="14" t="str">
        <x:v>Discovery розширення — 2 тижні</x:v>
      </x:c>
      <x:c r="I1113" s="16" t="n">
        <x:v>1</x:v>
      </x:c>
      <x:c r="J1113" s="16" t="n">
        <x:v>5</x:v>
      </x:c>
      <x:c r="K1113" s="16" t="n">
        <x:v>5</x:v>
      </x:c>
      <x:c r="L1113" s="16" t="n">
        <x:v>5</x:v>
      </x:c>
      <x:c r="M1113" s="16" t="n">
        <x:v>5</x:v>
      </x:c>
      <x:c r="N1113" s="16" t="n">
        <x:v>5</x:v>
      </x:c>
      <x:c r="O1113" s="16" t="n">
        <x:v>3</x:v>
      </x:c>
      <x:c r="P1113" s="16" t="n">
        <x:f>IF(COUNT(I1113:O1113)&lt;7,"",I1113*8+J1113*3+K1113*2+L1113*2+M1113*2+N1113*2+O1113)</x:f>
        <x:v>66</x:v>
      </x:c>
      <x:c r="Q1113" s="16" t="n">
        <x:f>IF(COUNT(J1113:O1113)&lt;6,"",J1113*5+K1113*4+M1113*4+L1113*3+N1113*2+O1113*2)</x:f>
        <x:v>96</x:v>
      </x:c>
      <x:c r="R1113" s="14" t="str">
        <x:v>high</x:v>
      </x:c>
      <x:c r="S1113" s="14" t="str">
        <x:v>official_prozorro_award_2024_2026</x:v>
      </x:c>
      <x:c r="T1113" s="14" t="str">
        <x:v>official_prozorro_api</x:v>
      </x:c>
      <x:c r="U1113" s="14" t="str">
        <x:v>Не контактували</x:v>
      </x:c>
      <x:c r="V1113" s="15" t="str">
        <x:v>Workflow-audit outreach по UA-2025-11-10-015696-a; попросити 1 пакет здачі та вимоги проєкту</x:v>
      </x:c>
      <x:c r="W1113" s="15" t="str">
        <x:v>Власник / директор; керівник ПТО; відповідальний за договори</x:v>
      </x:c>
      <x:c r="X1113" s="15" t="str">
        <x:v>1 нових підтверджених перемог/договорів у Prozorro на 164 097 930 грн; 0 зі строком виконання не раніше 24.08.2026.</x:v>
      </x:c>
      <x:c r="Y1113"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 строк до 2025-12-22. Попросити один знеособлений пакет здачі за цим workflow.</x:v>
      </x:c>
      <x:c r="Z1113" s="15" t="str">
        <x:v>https://prozorro.gov.ua/tender/UA-2025-11-10-015696-a</x:v>
      </x:c>
      <x:c r="AA1113" s="14" t="str">
        <x:v>40836016</x:v>
      </x:c>
      <x:c r="AB1113" s="14" t="str">
        <x:v>2026-08-24</x:v>
      </x:c>
      <x:c r="AC1113" s="14" t="str"/>
      <x:c r="AD1113" s="20" t="str"/>
      <x:c r="AE1113" s="14" t="str"/>
      <x:c r="AF1113" s="14" t="n">
        <x:v>46</x:v>
      </x:c>
      <x:c r="AG1113" s="14" t="str">
        <x:v>I3</x:v>
      </x:c>
      <x:c r="AH1113" s="14" t="n">
        <x:v>1</x:v>
      </x:c>
      <x:c r="AI1113" s="14" t="n">
        <x:v>0</x:v>
      </x:c>
      <x:c r="AJ1113" s="18" t="n">
        <x:v>164097929.51</x:v>
      </x:c>
      <x:c r="AK1113" s="14" t="str">
        <x:v>https://prozorro.gov.ua/tender/UA-2025-11-10-015696-a</x:v>
      </x:c>
      <x:c r="AL1113" s="19" t="n">
        <x:v>45971.70612681713</x:v>
      </x:c>
      <x:c r="AM1113" s="19" t="n">
        <x:v>46013</x:v>
      </x:c>
      <x:c r="AN1113" s="15" t="str">
        <x:v>Металоконструкції</x:v>
      </x:c>
      <x:c r="AO1113" s="15" t="str">
        <x:v>not_found_in_top_search</x:v>
      </x:c>
    </x:row>
    <x:row r="1114">
      <x:c r="A1114" s="14" t="str">
        <x:v>W4-295</x:v>
      </x:c>
      <x:c r="B1114" s="14" t="str">
        <x:v>Prozorro expansion — 24.08</x:v>
      </x:c>
      <x:c r="C1114" s="14" t="str">
        <x:v>ТОВАРИСТВО З ОБМЕЖЕНОЮ ВІДПОВІДАЛЬНІСТЮ "НАУКОВО - ВИРОБНИЧА ФІРМА "ТЕРМОУНІВЕРСАЛ"</x:v>
      </x:c>
      <x:c r="D1114" s="14" t="str">
        <x:v>Водоочищення / очисні споруди</x:v>
      </x:c>
      <x:c r="E1114" s="14" t="str">
        <x:v>Expansion discovery</x:v>
      </x:c>
      <x:c r="F1114" s="17" t="str">
        <x:v>D3</x:v>
      </x:c>
      <x:c r="G1114" s="14" t="str"/>
      <x:c r="H1114" s="14" t="str">
        <x:v>Discovery розширення — 2 тижні</x:v>
      </x:c>
      <x:c r="I1114" s="16" t="n">
        <x:v>1</x:v>
      </x:c>
      <x:c r="J1114" s="16" t="n">
        <x:v>5</x:v>
      </x:c>
      <x:c r="K1114" s="16" t="n">
        <x:v>4</x:v>
      </x:c>
      <x:c r="L1114" s="16" t="n">
        <x:v>5</x:v>
      </x:c>
      <x:c r="M1114" s="16" t="n">
        <x:v>5</x:v>
      </x:c>
      <x:c r="N1114" s="16" t="n">
        <x:v>5</x:v>
      </x:c>
      <x:c r="O1114" s="16" t="n">
        <x:v>3</x:v>
      </x:c>
      <x:c r="P1114" s="16" t="n">
        <x:f>IF(COUNT(I1114:O1114)&lt;7,"",I1114*8+J1114*3+K1114*2+L1114*2+M1114*2+N1114*2+O1114)</x:f>
        <x:v>64</x:v>
      </x:c>
      <x:c r="Q1114" s="16" t="n">
        <x:f>IF(COUNT(J1114:O1114)&lt;6,"",J1114*5+K1114*4+M1114*4+L1114*3+N1114*2+O1114*2)</x:f>
        <x:v>92</x:v>
      </x:c>
      <x:c r="R1114" s="14" t="str">
        <x:v>high</x:v>
      </x:c>
      <x:c r="S1114" s="14" t="str">
        <x:v>official_prozorro_award_2024_2026</x:v>
      </x:c>
      <x:c r="T1114" s="14" t="str">
        <x:v>official_prozorro_api</x:v>
      </x:c>
      <x:c r="U1114" s="14" t="str">
        <x:v>Не контактували</x:v>
      </x:c>
      <x:c r="V1114" s="15" t="str">
        <x:v>Workflow-audit outreach по UA-2025-10-15-005999-a; попросити 1 пакет здачі та вимоги проєкту</x:v>
      </x:c>
      <x:c r="W1114" s="15" t="str">
        <x:v>Власник / директор; керівник ПТО; відповідальний за договори</x:v>
      </x:c>
      <x:c r="X1114" s="15" t="str">
        <x:v>1 нових підтверджених перемог/договорів у Prozorro на 62 313 414 грн; 1 зі строком виконання не раніше 24.08.2026.</x:v>
      </x:c>
      <x:c r="Y1114"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 строк до 2028-12-31. Попросити один знеособлений пакет здачі за цим workflow.</x:v>
      </x:c>
      <x:c r="Z1114" s="15" t="str">
        <x:v>https://prozorro.gov.ua/tender/UA-2025-10-15-005999-a</x:v>
      </x:c>
      <x:c r="AA1114" s="14" t="str">
        <x:v>34788625</x:v>
      </x:c>
      <x:c r="AB1114" s="14" t="str">
        <x:v>2026-08-24</x:v>
      </x:c>
      <x:c r="AC1114" s="14" t="str"/>
      <x:c r="AD1114" s="20" t="str"/>
      <x:c r="AE1114" s="14" t="str"/>
      <x:c r="AF1114" s="14" t="n">
        <x:v>46</x:v>
      </x:c>
      <x:c r="AG1114" s="14" t="str">
        <x:v>I3</x:v>
      </x:c>
      <x:c r="AH1114" s="14" t="n">
        <x:v>1</x:v>
      </x:c>
      <x:c r="AI1114" s="14" t="n">
        <x:v>1</x:v>
      </x:c>
      <x:c r="AJ1114" s="18" t="n">
        <x:v>62313414.14</x:v>
      </x:c>
      <x:c r="AK1114" s="14" t="str">
        <x:v>https://prozorro.gov.ua/tender/UA-2025-10-15-005999-a</x:v>
      </x:c>
      <x:c r="AL1114" s="19" t="n">
        <x:v>45971.386779328706</x:v>
      </x:c>
      <x:c r="AM1114" s="19" t="n">
        <x:v>47118</x:v>
      </x:c>
      <x:c r="AN1114" s="15" t="str">
        <x:v>Водоочищення / очисні споруди</x:v>
      </x:c>
      <x:c r="AO1114" s="15" t="str">
        <x:v>not_found_in_top_search</x:v>
      </x:c>
    </x:row>
    <x:row r="1115">
      <x:c r="A1115" s="14" t="str">
        <x:v>W4-296</x:v>
      </x:c>
      <x:c r="B1115" s="14" t="str">
        <x:v>Prozorro expansion — 24.08</x:v>
      </x:c>
      <x:c r="C1115" s="14" t="str">
        <x:v>ТОВАРИСТВО З ОБМЕЖЕНОЮ ВІДПОВІДАЛЬНІСТЮ "СТРОЙТРАНСАВТО"</x:v>
      </x:c>
      <x:c r="D1115" s="14" t="str">
        <x:v>Водоочищення / очисні споруди</x:v>
      </x:c>
      <x:c r="E1115" s="14" t="str">
        <x:v>Expansion discovery</x:v>
      </x:c>
      <x:c r="F1115" s="17" t="str">
        <x:v>D3</x:v>
      </x:c>
      <x:c r="G1115" s="14" t="str"/>
      <x:c r="H1115" s="14" t="str">
        <x:v>Discovery розширення — 2 тижні</x:v>
      </x:c>
      <x:c r="I1115" s="16" t="n">
        <x:v>1</x:v>
      </x:c>
      <x:c r="J1115" s="16" t="n">
        <x:v>5</x:v>
      </x:c>
      <x:c r="K1115" s="16" t="n">
        <x:v>4</x:v>
      </x:c>
      <x:c r="L1115" s="16" t="n">
        <x:v>5</x:v>
      </x:c>
      <x:c r="M1115" s="16" t="n">
        <x:v>5</x:v>
      </x:c>
      <x:c r="N1115" s="16" t="n">
        <x:v>5</x:v>
      </x:c>
      <x:c r="O1115" s="16" t="n">
        <x:v>3</x:v>
      </x:c>
      <x:c r="P1115" s="16" t="n">
        <x:f>IF(COUNT(I1115:O1115)&lt;7,"",I1115*8+J1115*3+K1115*2+L1115*2+M1115*2+N1115*2+O1115)</x:f>
        <x:v>64</x:v>
      </x:c>
      <x:c r="Q1115" s="16" t="n">
        <x:f>IF(COUNT(J1115:O1115)&lt;6,"",J1115*5+K1115*4+M1115*4+L1115*3+N1115*2+O1115*2)</x:f>
        <x:v>92</x:v>
      </x:c>
      <x:c r="R1115" s="14" t="str">
        <x:v>high</x:v>
      </x:c>
      <x:c r="S1115" s="14" t="str">
        <x:v>official_prozorro_award_2024_2026</x:v>
      </x:c>
      <x:c r="T1115" s="14" t="str">
        <x:v>official_prozorro_api</x:v>
      </x:c>
      <x:c r="U1115" s="14" t="str">
        <x:v>Не контактували</x:v>
      </x:c>
      <x:c r="V1115" s="15" t="str">
        <x:v>Workflow-audit outreach по UA-2025-06-24-003590-a; попросити 1 пакет здачі та вимоги проєкту</x:v>
      </x:c>
      <x:c r="W1115" s="15" t="str">
        <x:v>Власник / директор; керівник ПТО; відповідальний за договори</x:v>
      </x:c>
      <x:c r="X1115" s="15" t="str">
        <x:v>1 нових підтверджених перемог/договорів у Prozorro на 48 150 000 грн; 0 зі строком виконання не раніше 24.08.2026.</x:v>
      </x:c>
      <x:c r="Y1115"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 строк до 2026-04-30. Попросити один знеособлений пакет здачі за цим workflow.</x:v>
      </x:c>
      <x:c r="Z1115" s="15" t="str">
        <x:v>https://prozorro.gov.ua/tender/UA-2025-06-24-003590-a</x:v>
      </x:c>
      <x:c r="AA1115" s="14" t="str">
        <x:v>32563469</x:v>
      </x:c>
      <x:c r="AB1115" s="14" t="str">
        <x:v>2026-08-24</x:v>
      </x:c>
      <x:c r="AC1115" s="14" t="str"/>
      <x:c r="AD1115" s="20" t="str"/>
      <x:c r="AE1115" s="14" t="str"/>
      <x:c r="AF1115" s="14" t="n">
        <x:v>46</x:v>
      </x:c>
      <x:c r="AG1115" s="14" t="str">
        <x:v>I3</x:v>
      </x:c>
      <x:c r="AH1115" s="14" t="n">
        <x:v>1</x:v>
      </x:c>
      <x:c r="AI1115" s="14" t="n">
        <x:v>0</x:v>
      </x:c>
      <x:c r="AJ1115" s="18" t="n">
        <x:v>48150000</x:v>
      </x:c>
      <x:c r="AK1115" s="14" t="str">
        <x:v>https://prozorro.gov.ua/tender/UA-2025-06-24-003590-a</x:v>
      </x:c>
      <x:c r="AL1115" s="19" t="n">
        <x:v>45902.34417775463</x:v>
      </x:c>
      <x:c r="AM1115" s="19" t="n">
        <x:v>46142.87498842592</x:v>
      </x:c>
      <x:c r="AN1115" s="15" t="str">
        <x:v>Водоочищення / очисні споруди</x:v>
      </x:c>
      <x:c r="AO1115" s="15" t="str">
        <x:v>not_found_in_top_search</x:v>
      </x:c>
    </x:row>
    <x:row r="1116">
      <x:c r="A1116" s="14" t="str">
        <x:v>W4-297</x:v>
      </x:c>
      <x:c r="B1116" s="14" t="str">
        <x:v>Prozorro expansion — 24.08</x:v>
      </x:c>
      <x:c r="C1116" s="14" t="str">
        <x:v>ТОВ "ВЕЛЬТ КАПІТАЛ"</x:v>
      </x:c>
      <x:c r="D1116" s="14" t="str">
        <x:v>Водоочищення / очисні споруди</x:v>
      </x:c>
      <x:c r="E1116" s="14" t="str">
        <x:v>Expansion discovery</x:v>
      </x:c>
      <x:c r="F1116" s="17" t="str">
        <x:v>D3</x:v>
      </x:c>
      <x:c r="G1116" s="14" t="str"/>
      <x:c r="H1116" s="14" t="str">
        <x:v>Discovery розширення — 2 тижні</x:v>
      </x:c>
      <x:c r="I1116" s="16" t="n">
        <x:v>1</x:v>
      </x:c>
      <x:c r="J1116" s="16" t="n">
        <x:v>5</x:v>
      </x:c>
      <x:c r="K1116" s="16" t="n">
        <x:v>4</x:v>
      </x:c>
      <x:c r="L1116" s="16" t="n">
        <x:v>5</x:v>
      </x:c>
      <x:c r="M1116" s="16" t="n">
        <x:v>5</x:v>
      </x:c>
      <x:c r="N1116" s="16" t="n">
        <x:v>5</x:v>
      </x:c>
      <x:c r="O1116" s="16" t="n">
        <x:v>3</x:v>
      </x:c>
      <x:c r="P1116" s="16" t="n">
        <x:f>IF(COUNT(I1116:O1116)&lt;7,"",I1116*8+J1116*3+K1116*2+L1116*2+M1116*2+N1116*2+O1116)</x:f>
        <x:v>64</x:v>
      </x:c>
      <x:c r="Q1116" s="16" t="n">
        <x:f>IF(COUNT(J1116:O1116)&lt;6,"",J1116*5+K1116*4+M1116*4+L1116*3+N1116*2+O1116*2)</x:f>
        <x:v>92</x:v>
      </x:c>
      <x:c r="R1116" s="14" t="str">
        <x:v>high</x:v>
      </x:c>
      <x:c r="S1116" s="14" t="str">
        <x:v>official_prozorro_award_2024_2026</x:v>
      </x:c>
      <x:c r="T1116" s="14" t="str">
        <x:v>official_prozorro_api</x:v>
      </x:c>
      <x:c r="U1116" s="14" t="str">
        <x:v>Не контактували</x:v>
      </x:c>
      <x:c r="V1116" s="15" t="str">
        <x:v>Workflow-audit outreach по UA-2025-10-13-014721-a; попросити 1 пакет здачі та вимоги проєкту</x:v>
      </x:c>
      <x:c r="W1116" s="15" t="str">
        <x:v>Власник / директор; керівник ПТО; відповідальний за договори</x:v>
      </x:c>
      <x:c r="X1116" s="15" t="str">
        <x:v>1 нових підтверджених перемог/договорів у Prozorro на 44 779 644 грн; 1 зі строком виконання не раніше 24.08.2026.</x:v>
      </x:c>
      <x:c r="Y1116" s="15" t="str">
        <x:v>«Реконструкція каналізаційних очисних споруд в м. Сокаль Львівської області, із зменшенням продуктивності до 10 тис. м3/добу» (коригування). 2 черга; строк до 2026-08-31. Попросити один знеособлений пакет здачі за цим workflow.</x:v>
      </x:c>
      <x:c r="Z1116" s="15" t="str">
        <x:v>https://prozorro.gov.ua/tender/UA-2025-10-13-014721-a</x:v>
      </x:c>
      <x:c r="AA1116" s="14" t="str">
        <x:v>40266233</x:v>
      </x:c>
      <x:c r="AB1116" s="14" t="str">
        <x:v>2026-08-24</x:v>
      </x:c>
      <x:c r="AC1116" s="14" t="str"/>
      <x:c r="AD1116" s="20" t="str"/>
      <x:c r="AE1116" s="14" t="str"/>
      <x:c r="AF1116" s="14" t="n">
        <x:v>46</x:v>
      </x:c>
      <x:c r="AG1116" s="14" t="str">
        <x:v>I3</x:v>
      </x:c>
      <x:c r="AH1116" s="14" t="n">
        <x:v>1</x:v>
      </x:c>
      <x:c r="AI1116" s="14" t="n">
        <x:v>1</x:v>
      </x:c>
      <x:c r="AJ1116" s="18" t="n">
        <x:v>44779643.86</x:v>
      </x:c>
      <x:c r="AK1116" s="14" t="str">
        <x:v>https://prozorro.gov.ua/tender/UA-2025-10-13-014721-a</x:v>
      </x:c>
      <x:c r="AL1116" s="19" t="n">
        <x:v>45960.60660180556</x:v>
      </x:c>
      <x:c r="AM1116" s="19" t="n">
        <x:v>46265</x:v>
      </x:c>
      <x:c r="AN1116" s="15" t="str">
        <x:v>Водоочищення / очисні споруди</x:v>
      </x:c>
      <x:c r="AO1116" s="15" t="str">
        <x:v>not_found_in_top_search</x:v>
      </x:c>
    </x:row>
    <x:row r="1117">
      <x:c r="A1117" s="14" t="str">
        <x:v>W4-298</x:v>
      </x:c>
      <x:c r="B1117" s="14" t="str">
        <x:v>Prozorro expansion — 24.08</x:v>
      </x:c>
      <x:c r="C1117" s="14" t="str">
        <x:v>Приватне підприємство "ВВК-Стиль"</x:v>
      </x:c>
      <x:c r="D1117" s="14" t="str">
        <x:v>Газові мережі</x:v>
      </x:c>
      <x:c r="E1117" s="14" t="str">
        <x:v>Expansion discovery</x:v>
      </x:c>
      <x:c r="F1117" s="17" t="str">
        <x:v>D3</x:v>
      </x:c>
      <x:c r="G1117" s="14" t="str"/>
      <x:c r="H1117" s="14" t="str">
        <x:v>Discovery розширення — 2 тижні</x:v>
      </x:c>
      <x:c r="I1117" s="16" t="n">
        <x:v>1</x:v>
      </x:c>
      <x:c r="J1117" s="16" t="n">
        <x:v>5</x:v>
      </x:c>
      <x:c r="K1117" s="16" t="n">
        <x:v>5</x:v>
      </x:c>
      <x:c r="L1117" s="16" t="n">
        <x:v>5</x:v>
      </x:c>
      <x:c r="M1117" s="16" t="n">
        <x:v>5</x:v>
      </x:c>
      <x:c r="N1117" s="16" t="n">
        <x:v>5</x:v>
      </x:c>
      <x:c r="O1117" s="16" t="n">
        <x:v>3</x:v>
      </x:c>
      <x:c r="P1117" s="16" t="n">
        <x:f>IF(COUNT(I1117:O1117)&lt;7,"",I1117*8+J1117*3+K1117*2+L1117*2+M1117*2+N1117*2+O1117)</x:f>
        <x:v>66</x:v>
      </x:c>
      <x:c r="Q1117" s="16" t="n">
        <x:f>IF(COUNT(J1117:O1117)&lt;6,"",J1117*5+K1117*4+M1117*4+L1117*3+N1117*2+O1117*2)</x:f>
        <x:v>96</x:v>
      </x:c>
      <x:c r="R1117" s="14" t="str">
        <x:v>high</x:v>
      </x:c>
      <x:c r="S1117" s="14" t="str">
        <x:v>official_prozorro_award_2024_2026</x:v>
      </x:c>
      <x:c r="T1117" s="14" t="str">
        <x:v>official_prozorro_api</x:v>
      </x:c>
      <x:c r="U1117" s="14" t="str">
        <x:v>Не контактували</x:v>
      </x:c>
      <x:c r="V1117" s="15" t="str">
        <x:v>Workflow-audit outreach по UA-2025-06-03-006498-a; попросити 1 пакет здачі та вимоги проєкту</x:v>
      </x:c>
      <x:c r="W1117" s="15" t="str">
        <x:v>Власник / директор; керівник ПТО; відповідальний за договори</x:v>
      </x:c>
      <x:c r="X1117" s="15" t="str">
        <x:v>1 нових підтверджених перемог/договорів у Prozorro на 17 194 278 грн; 0 зі строком виконання не раніше 24.08.2026.</x:v>
      </x:c>
      <x:c r="Y1117"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 строк до 2025-12-25. Попросити один знеособлений пакет здачі за цим workflow.</x:v>
      </x:c>
      <x:c r="Z1117" s="15" t="str">
        <x:v>https://prozorro.gov.ua/tender/UA-2025-06-03-006498-a</x:v>
      </x:c>
      <x:c r="AA1117" s="14" t="str">
        <x:v>35860052</x:v>
      </x:c>
      <x:c r="AB1117" s="14" t="str">
        <x:v>2026-08-24</x:v>
      </x:c>
      <x:c r="AC1117" s="14" t="str"/>
      <x:c r="AD1117" s="20" t="str"/>
      <x:c r="AE1117" s="14" t="str"/>
      <x:c r="AF1117" s="14" t="n">
        <x:v>46</x:v>
      </x:c>
      <x:c r="AG1117" s="14" t="str">
        <x:v>I3</x:v>
      </x:c>
      <x:c r="AH1117" s="14" t="n">
        <x:v>1</x:v>
      </x:c>
      <x:c r="AI1117" s="14" t="n">
        <x:v>0</x:v>
      </x:c>
      <x:c r="AJ1117" s="18" t="n">
        <x:v>17194277.98</x:v>
      </x:c>
      <x:c r="AK1117" s="14" t="str">
        <x:v>https://prozorro.gov.ua/tender/UA-2025-06-03-006498-a</x:v>
      </x:c>
      <x:c r="AL1117" s="19" t="n">
        <x:v>45833.50682054398</x:v>
      </x:c>
      <x:c r="AM1117" s="19" t="n">
        <x:v>46016</x:v>
      </x:c>
      <x:c r="AN1117" s="15" t="str">
        <x:v>Газові мережі</x:v>
      </x:c>
      <x:c r="AO1117" s="15" t="str">
        <x:v>not_found_in_top_search</x:v>
      </x:c>
    </x:row>
    <x:row r="1118">
      <x:c r="A1118" s="14" t="str">
        <x:v>W4-299</x:v>
      </x:c>
      <x:c r="B1118" s="14" t="str">
        <x:v>Prozorro expansion — 24.08</x:v>
      </x:c>
      <x:c r="C1118" s="14" t="str">
        <x:v>ТОВ "ЛМ ЛІФТМЕХАНІКА"</x:v>
      </x:c>
      <x:c r="D1118" s="14" t="str">
        <x:v>Ліфти та підйомники</x:v>
      </x:c>
      <x:c r="E1118" s="14" t="str">
        <x:v>Expansion discovery</x:v>
      </x:c>
      <x:c r="F1118" s="17" t="str">
        <x:v>D3</x:v>
      </x:c>
      <x:c r="G1118" s="14" t="str"/>
      <x:c r="H1118" s="14" t="str">
        <x:v>Discovery розширення — 2 тижні</x:v>
      </x:c>
      <x:c r="I1118" s="16" t="n">
        <x:v>1</x:v>
      </x:c>
      <x:c r="J1118" s="16" t="n">
        <x:v>5</x:v>
      </x:c>
      <x:c r="K1118" s="16" t="n">
        <x:v>4</x:v>
      </x:c>
      <x:c r="L1118" s="16" t="n">
        <x:v>5</x:v>
      </x:c>
      <x:c r="M1118" s="16" t="n">
        <x:v>5</x:v>
      </x:c>
      <x:c r="N1118" s="16" t="n">
        <x:v>5</x:v>
      </x:c>
      <x:c r="O1118" s="16" t="n">
        <x:v>3</x:v>
      </x:c>
      <x:c r="P1118" s="16" t="n">
        <x:f>IF(COUNT(I1118:O1118)&lt;7,"",I1118*8+J1118*3+K1118*2+L1118*2+M1118*2+N1118*2+O1118)</x:f>
        <x:v>64</x:v>
      </x:c>
      <x:c r="Q1118" s="16" t="n">
        <x:f>IF(COUNT(J1118:O1118)&lt;6,"",J1118*5+K1118*4+M1118*4+L1118*3+N1118*2+O1118*2)</x:f>
        <x:v>92</x:v>
      </x:c>
      <x:c r="R1118" s="14" t="str">
        <x:v>high</x:v>
      </x:c>
      <x:c r="S1118" s="14" t="str">
        <x:v>official_prozorro_award_2024_2026</x:v>
      </x:c>
      <x:c r="T1118" s="14" t="str">
        <x:v>official_prozorro_api</x:v>
      </x:c>
      <x:c r="U1118" s="14" t="str">
        <x:v>Не контактували</x:v>
      </x:c>
      <x:c r="V1118" s="15" t="str">
        <x:v>Workflow-audit outreach по UA-2025-05-16-005620-a; попросити 1 пакет здачі та вимоги проєкту</x:v>
      </x:c>
      <x:c r="W1118" s="15" t="str">
        <x:v>Власник / директор; керівник ПТО; відповідальний за договори</x:v>
      </x:c>
      <x:c r="X1118" s="15" t="str">
        <x:v>1 нових підтверджених перемог/договорів у Prozorro на 12 250 160 грн; 0 зі строком виконання не раніше 24.08.2026.</x:v>
      </x:c>
      <x:c r="Y1118" s="15" t="str">
        <x:v>Технічне переоснащення будівлі Національного банку України в м. Київ, вул. Пухівська, 7-А (заміна двох вантажних ліфтів 3200 кг) - 42410000-3; строк до 2025-12-12. Попросити один знеособлений пакет здачі за цим workflow.</x:v>
      </x:c>
      <x:c r="Z1118" s="15" t="str">
        <x:v>https://prozorro.gov.ua/tender/UA-2025-05-16-005620-a</x:v>
      </x:c>
      <x:c r="AA1118" s="14" t="str">
        <x:v>34933962</x:v>
      </x:c>
      <x:c r="AB1118" s="14" t="str">
        <x:v>2026-08-24</x:v>
      </x:c>
      <x:c r="AC1118" s="14" t="str"/>
      <x:c r="AD1118" s="20" t="str"/>
      <x:c r="AE1118" s="14" t="str"/>
      <x:c r="AF1118" s="14" t="n">
        <x:v>46</x:v>
      </x:c>
      <x:c r="AG1118" s="14" t="str">
        <x:v>I3</x:v>
      </x:c>
      <x:c r="AH1118" s="14" t="n">
        <x:v>1</x:v>
      </x:c>
      <x:c r="AI1118" s="14" t="n">
        <x:v>0</x:v>
      </x:c>
      <x:c r="AJ1118" s="18" t="n">
        <x:v>12250160</x:v>
      </x:c>
      <x:c r="AK1118" s="14" t="str">
        <x:v>https://prozorro.gov.ua/tender/UA-2025-05-16-005620-a</x:v>
      </x:c>
      <x:c r="AL1118" s="19" t="n">
        <x:v>45810.61867200232</x:v>
      </x:c>
      <x:c r="AM1118" s="19" t="n">
        <x:v>46003</x:v>
      </x:c>
      <x:c r="AN1118" s="15" t="str">
        <x:v>Ліфти та підйомники</x:v>
      </x:c>
      <x:c r="AO1118" s="15" t="str">
        <x:v>not_found_in_top_search</x:v>
      </x:c>
    </x:row>
    <x:row r="1119">
      <x:c r="A1119" s="14" t="str">
        <x:v>W4-300</x:v>
      </x:c>
      <x:c r="B1119" s="14" t="str">
        <x:v>Prozorro expansion — 24.08</x:v>
      </x:c>
      <x:c r="C1119" s="14" t="str">
        <x:v>ТОВ "Бікор"</x:v>
      </x:c>
      <x:c r="D1119" s="14" t="str">
        <x:v>Газові мережі</x:v>
      </x:c>
      <x:c r="E1119" s="14" t="str">
        <x:v>Expansion discovery</x:v>
      </x:c>
      <x:c r="F1119" s="17" t="str">
        <x:v>D3</x:v>
      </x:c>
      <x:c r="G1119" s="14" t="str">
        <x:v>bikor.com</x:v>
      </x:c>
      <x:c r="H1119" s="14" t="str">
        <x:v>Discovery розширення — 2 тижні</x:v>
      </x:c>
      <x:c r="I1119" s="16" t="n">
        <x:v>1</x:v>
      </x:c>
      <x:c r="J1119" s="16" t="n">
        <x:v>5</x:v>
      </x:c>
      <x:c r="K1119" s="16" t="n">
        <x:v>5</x:v>
      </x:c>
      <x:c r="L1119" s="16" t="n">
        <x:v>3</x:v>
      </x:c>
      <x:c r="M1119" s="16" t="n">
        <x:v>5</x:v>
      </x:c>
      <x:c r="N1119" s="16" t="n">
        <x:v>5</x:v>
      </x:c>
      <x:c r="O1119" s="16" t="n">
        <x:v>5</x:v>
      </x:c>
      <x:c r="P1119" s="16" t="n">
        <x:f>IF(COUNT(I1119:O1119)&lt;7,"",I1119*8+J1119*3+K1119*2+L1119*2+M1119*2+N1119*2+O1119)</x:f>
        <x:v>64</x:v>
      </x:c>
      <x:c r="Q1119" s="16" t="n">
        <x:f>IF(COUNT(J1119:O1119)&lt;6,"",J1119*5+K1119*4+M1119*4+L1119*3+N1119*2+O1119*2)</x:f>
        <x:v>94</x:v>
      </x:c>
      <x:c r="R1119" s="14" t="str">
        <x:v>high</x:v>
      </x:c>
      <x:c r="S1119" s="14" t="str">
        <x:v>official_prozorro_award_2024_2026</x:v>
      </x:c>
      <x:c r="T1119" s="14" t="str">
        <x:v>official_prozorro_api</x:v>
      </x:c>
      <x:c r="U1119" s="14" t="str">
        <x:v>Не контактували</x:v>
      </x:c>
      <x:c r="V1119" s="15" t="str">
        <x:v>Workflow-audit outreach по UA-2026-02-19-014159-a; попросити 1 пакет здачі та вимоги проєкту</x:v>
      </x:c>
      <x:c r="W1119" s="15" t="str">
        <x:v>Власник / директор; керівник ПТО; відповідальний за договори</x:v>
      </x:c>
      <x:c r="X1119" s="15" t="str">
        <x:v>1 нових підтверджених перемог/договорів у Prozorro на 1 766 671 грн; 1 зі строком виконання не раніше 24.08.2026.</x:v>
      </x:c>
      <x:c r="Y1119"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 строк до 2026-10-16. Попросити один знеособлений пакет здачі за цим workflow.</x:v>
      </x:c>
      <x:c r="Z1119" s="15" t="str">
        <x:v>https://prozorro.gov.ua/tender/UA-2026-02-19-014159-a</x:v>
      </x:c>
      <x:c r="AA1119" s="14" t="str">
        <x:v>21637291</x:v>
      </x:c>
      <x:c r="AB1119" s="14" t="str">
        <x:v>2026-08-24</x:v>
      </x:c>
      <x:c r="AC1119" s="14" t="str"/>
      <x:c r="AD1119" s="20" t="str"/>
      <x:c r="AE1119" s="14" t="str"/>
      <x:c r="AF1119" s="14" t="n">
        <x:v>46</x:v>
      </x:c>
      <x:c r="AG1119" s="14" t="str">
        <x:v>I3</x:v>
      </x:c>
      <x:c r="AH1119" s="14" t="n">
        <x:v>1</x:v>
      </x:c>
      <x:c r="AI1119" s="14" t="n">
        <x:v>1</x:v>
      </x:c>
      <x:c r="AJ1119" s="18" t="n">
        <x:v>1766670.88</x:v>
      </x:c>
      <x:c r="AK1119" s="14" t="str">
        <x:v>https://prozorro.gov.ua/tender/UA-2026-02-19-014159-a</x:v>
      </x:c>
      <x:c r="AL1119" s="19" t="n">
        <x:v>46072.66332238426</x:v>
      </x:c>
      <x:c r="AM1119" s="19" t="n">
        <x:v>46311</x:v>
      </x:c>
      <x:c r="AN1119" s="15" t="str">
        <x:v>Газові мережі</x:v>
      </x:c>
      <x:c r="AO1119" s="15" t="str">
        <x:v>supplier_provided_url</x:v>
      </x:c>
    </x:row>
    <x:row r="1120">
      <x:c r="A1120" s="14" t="str">
        <x:v>W4-301</x:v>
      </x:c>
      <x:c r="B1120" s="14" t="str">
        <x:v>Prozorro expansion — 24.08</x:v>
      </x:c>
      <x:c r="C1120" s="14" t="str">
        <x:v>ТзОВ "ЮНІБУД ЕНЕРГОСЕРВІС"</x:v>
      </x:c>
      <x:c r="D1120" s="14" t="str">
        <x:v>Водоочищення / очисні споруди</x:v>
      </x:c>
      <x:c r="E1120" s="14" t="str">
        <x:v>Expansion discovery</x:v>
      </x:c>
      <x:c r="F1120" s="17" t="str">
        <x:v>D3</x:v>
      </x:c>
      <x:c r="G1120" s="14" t="str"/>
      <x:c r="H1120" s="14" t="str">
        <x:v>Discovery розширення — 2 тижні</x:v>
      </x:c>
      <x:c r="I1120" s="16" t="n">
        <x:v>1</x:v>
      </x:c>
      <x:c r="J1120" s="16" t="n">
        <x:v>5</x:v>
      </x:c>
      <x:c r="K1120" s="16" t="n">
        <x:v>4</x:v>
      </x:c>
      <x:c r="L1120" s="16" t="n">
        <x:v>3</x:v>
      </x:c>
      <x:c r="M1120" s="16" t="n">
        <x:v>5</x:v>
      </x:c>
      <x:c r="N1120" s="16" t="n">
        <x:v>5</x:v>
      </x:c>
      <x:c r="O1120" s="16" t="n">
        <x:v>3</x:v>
      </x:c>
      <x:c r="P1120" s="16" t="n">
        <x:f>IF(COUNT(I1120:O1120)&lt;7,"",I1120*8+J1120*3+K1120*2+L1120*2+M1120*2+N1120*2+O1120)</x:f>
        <x:v>60</x:v>
      </x:c>
      <x:c r="Q1120" s="16" t="n">
        <x:f>IF(COUNT(J1120:O1120)&lt;6,"",J1120*5+K1120*4+M1120*4+L1120*3+N1120*2+O1120*2)</x:f>
        <x:v>86</x:v>
      </x:c>
      <x:c r="R1120" s="14" t="str">
        <x:v>high</x:v>
      </x:c>
      <x:c r="S1120" s="14" t="str">
        <x:v>official_prozorro_award_2024_2026</x:v>
      </x:c>
      <x:c r="T1120" s="14" t="str">
        <x:v>official_prozorro_api</x:v>
      </x:c>
      <x:c r="U1120" s="14" t="str">
        <x:v>Не контактували</x:v>
      </x:c>
      <x:c r="V1120" s="15" t="str">
        <x:v>Workflow-audit outreach по UA-2026-02-26-011558-a; попросити 1 пакет здачі та вимоги проєкту</x:v>
      </x:c>
      <x:c r="W1120" s="15" t="str">
        <x:v>Власник / директор; керівник ПТО; відповідальний за договори</x:v>
      </x:c>
      <x:c r="X1120" s="15" t="str">
        <x:v>1 нових підтверджених перемог/договорів у Prozorro на 1 455 628 грн; 1 зі строком виконання не раніше 24.08.2026.</x:v>
      </x:c>
      <x:c r="Y1120"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 строк до 2026-12-31. Попросити один знеособлений пакет здачі за цим workflow.</x:v>
      </x:c>
      <x:c r="Z1120" s="15" t="str">
        <x:v>https://prozorro.gov.ua/tender/UA-2026-02-26-011558-a</x:v>
      </x:c>
      <x:c r="AA1120" s="14" t="str">
        <x:v>35676598</x:v>
      </x:c>
      <x:c r="AB1120" s="14" t="str">
        <x:v>2026-08-24</x:v>
      </x:c>
      <x:c r="AC1120" s="14" t="str"/>
      <x:c r="AD1120" s="20" t="str"/>
      <x:c r="AE1120" s="14" t="str"/>
      <x:c r="AF1120" s="14" t="n">
        <x:v>46</x:v>
      </x:c>
      <x:c r="AG1120" s="14" t="str">
        <x:v>I3</x:v>
      </x:c>
      <x:c r="AH1120" s="14" t="n">
        <x:v>1</x:v>
      </x:c>
      <x:c r="AI1120" s="14" t="n">
        <x:v>1</x:v>
      </x:c>
      <x:c r="AJ1120" s="18" t="n">
        <x:v>1455627.9</x:v>
      </x:c>
      <x:c r="AK1120" s="14" t="str">
        <x:v>https://prozorro.gov.ua/tender/UA-2026-02-26-011558-a</x:v>
      </x:c>
      <x:c r="AL1120" s="19" t="n">
        <x:v>46079.610269398145</x:v>
      </x:c>
      <x:c r="AM1120" s="19" t="n">
        <x:v>46387.60875</x:v>
      </x:c>
      <x:c r="AN1120" s="15" t="str">
        <x:v>Водоочищення / очисні споруди</x:v>
      </x:c>
      <x:c r="AO1120" s="15" t="str">
        <x:v>not_found_in_top_search</x:v>
      </x:c>
    </x:row>
    <x:row r="1121">
      <x:c r="A1121" s="14" t="str">
        <x:v>W4-302</x:v>
      </x:c>
      <x:c r="B1121" s="14" t="str">
        <x:v>Prozorro expansion — 24.08</x:v>
      </x:c>
      <x:c r="C1121" s="14" t="str">
        <x:v>ТОВ БУДІВЕЛЬНА КОМПАНІЯ РЕЗИДЕНЦІЯ БУД ІНВЕСТ</x:v>
      </x:c>
      <x:c r="D1121" s="14" t="str">
        <x:v>Металоконструкції</x:v>
      </x:c>
      <x:c r="E1121" s="14" t="str">
        <x:v>Expansion discovery</x:v>
      </x:c>
      <x:c r="F1121" s="17" t="str">
        <x:v>D3</x:v>
      </x:c>
      <x:c r="G1121" s="14" t="str"/>
      <x:c r="H1121" s="14" t="str">
        <x:v>Discovery розширення — 2 тижні</x:v>
      </x:c>
      <x:c r="I1121" s="16" t="n">
        <x:v>1</x:v>
      </x:c>
      <x:c r="J1121" s="16" t="n">
        <x:v>5</x:v>
      </x:c>
      <x:c r="K1121" s="16" t="n">
        <x:v>5</x:v>
      </x:c>
      <x:c r="L1121" s="16" t="n">
        <x:v>3</x:v>
      </x:c>
      <x:c r="M1121" s="16" t="n">
        <x:v>5</x:v>
      </x:c>
      <x:c r="N1121" s="16" t="n">
        <x:v>5</x:v>
      </x:c>
      <x:c r="O1121" s="16" t="n">
        <x:v>3</x:v>
      </x:c>
      <x:c r="P1121" s="16" t="n">
        <x:f>IF(COUNT(I1121:O1121)&lt;7,"",I1121*8+J1121*3+K1121*2+L1121*2+M1121*2+N1121*2+O1121)</x:f>
        <x:v>62</x:v>
      </x:c>
      <x:c r="Q1121" s="16" t="n">
        <x:f>IF(COUNT(J1121:O1121)&lt;6,"",J1121*5+K1121*4+M1121*4+L1121*3+N1121*2+O1121*2)</x:f>
        <x:v>90</x:v>
      </x:c>
      <x:c r="R1121" s="14" t="str">
        <x:v>high</x:v>
      </x:c>
      <x:c r="S1121" s="14" t="str">
        <x:v>official_prozorro_award_2024_2026</x:v>
      </x:c>
      <x:c r="T1121" s="14" t="str">
        <x:v>official_prozorro_api</x:v>
      </x:c>
      <x:c r="U1121" s="14" t="str">
        <x:v>Не контактували</x:v>
      </x:c>
      <x:c r="V1121" s="15" t="str">
        <x:v>Workflow-audit outreach по UA-2026-02-09-007647-a; попросити 1 пакет здачі та вимоги проєкту</x:v>
      </x:c>
      <x:c r="W1121" s="15" t="str">
        <x:v>Власник / директор; керівник ПТО; відповідальний за договори</x:v>
      </x:c>
      <x:c r="X1121" s="15" t="str">
        <x:v>1 нових підтверджених перемог/договорів у Prozorro на 1 206 110 грн; 1 зі строком виконання не раніше 24.08.2026.</x:v>
      </x:c>
      <x:c r="Y1121"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 строк до 2026-12-31. Попросити один знеособлений пакет здачі за цим workflow.</x:v>
      </x:c>
      <x:c r="Z1121" s="15" t="str">
        <x:v>https://prozorro.gov.ua/tender/UA-2026-02-09-007647-a</x:v>
      </x:c>
      <x:c r="AA1121" s="14" t="str">
        <x:v>44968635</x:v>
      </x:c>
      <x:c r="AB1121" s="14" t="str">
        <x:v>2026-08-24</x:v>
      </x:c>
      <x:c r="AC1121" s="14" t="str"/>
      <x:c r="AD1121" s="20" t="str"/>
      <x:c r="AE1121" s="14" t="str"/>
      <x:c r="AF1121" s="14" t="n">
        <x:v>46</x:v>
      </x:c>
      <x:c r="AG1121" s="14" t="str">
        <x:v>I3</x:v>
      </x:c>
      <x:c r="AH1121" s="14" t="n">
        <x:v>1</x:v>
      </x:c>
      <x:c r="AI1121" s="14" t="n">
        <x:v>1</x:v>
      </x:c>
      <x:c r="AJ1121" s="18" t="n">
        <x:v>1206109.66</x:v>
      </x:c>
      <x:c r="AK1121" s="14" t="str">
        <x:v>https://prozorro.gov.ua/tender/UA-2026-02-09-007647-a</x:v>
      </x:c>
      <x:c r="AL1121" s="19" t="n">
        <x:v>46062.49102826389</x:v>
      </x:c>
      <x:c r="AM1121" s="19" t="n">
        <x:v>46387</x:v>
      </x:c>
      <x:c r="AN1121" s="15" t="str">
        <x:v>Металоконструкції</x:v>
      </x:c>
      <x:c r="AO1121" s="15" t="str">
        <x:v>not_found_in_top_search</x:v>
      </x:c>
    </x:row>
    <x:row r="1122">
      <x:c r="A1122" s="14" t="str">
        <x:v>W4-303</x:v>
      </x:c>
      <x:c r="B1122" s="14" t="str">
        <x:v>Prozorro expansion — 24.08</x:v>
      </x:c>
      <x:c r="C1122" s="14" t="str">
        <x:v>ТОВАРИСТВО З ОБМЕЖЕНОЮ ВІДПОВІДАЛЬНІСТЮ "БУДІВЕЛЬНА КОМПАНІЯ "ХОРТІС"</x:v>
      </x:c>
      <x:c r="D1122" s="14" t="str">
        <x:v>Внутрішні сантехнічні системи</x:v>
      </x:c>
      <x:c r="E1122" s="14" t="str">
        <x:v>Pilot now</x:v>
      </x:c>
      <x:c r="F1122" s="17" t="str">
        <x:v>P3</x:v>
      </x:c>
      <x:c r="G1122" s="14" t="str"/>
      <x:c r="H1122" s="14" t="str">
        <x:v>Пілот зараз — Н.14</x:v>
      </x:c>
      <x:c r="I1122" s="16" t="n">
        <x:v>5</x:v>
      </x:c>
      <x:c r="J1122" s="16" t="n">
        <x:v>5</x:v>
      </x:c>
      <x:c r="K1122" s="16" t="n">
        <x:v>4</x:v>
      </x:c>
      <x:c r="L1122" s="16" t="n">
        <x:v>3</x:v>
      </x:c>
      <x:c r="M1122" s="16" t="n">
        <x:v>5</x:v>
      </x:c>
      <x:c r="N1122" s="16" t="n">
        <x:v>5</x:v>
      </x:c>
      <x:c r="O1122" s="16" t="n">
        <x:v>3</x:v>
      </x:c>
      <x:c r="P1122" s="16" t="n">
        <x:f>IF(COUNT(I1122:O1122)&lt;7,"",I1122*8+J1122*3+K1122*2+L1122*2+M1122*2+N1122*2+O1122)</x:f>
        <x:v>92</x:v>
      </x:c>
      <x:c r="Q1122" s="16" t="n">
        <x:f>IF(COUNT(J1122:O1122)&lt;6,"",J1122*5+K1122*4+M1122*4+L1122*3+N1122*2+O1122*2)</x:f>
        <x:v>86</x:v>
      </x:c>
      <x:c r="R1122" s="14" t="str">
        <x:v>high</x:v>
      </x:c>
      <x:c r="S1122" s="14" t="str">
        <x:v>official_prozorro_award_2024_2026</x:v>
      </x:c>
      <x:c r="T1122" s="14" t="str">
        <x:v>official_prozorro_api</x:v>
      </x:c>
      <x:c r="U1122" s="14" t="str">
        <x:v>Не контактували</x:v>
      </x:c>
      <x:c r="V1122" s="15" t="str">
        <x:v>Персоналізований free-pilot outreach по UA-2026-04-13-004602-a; попросити 1 пакет Н.14/Н.15</x:v>
      </x:c>
      <x:c r="W1122" s="15" t="str">
        <x:v>Власник / директор; керівник ПТО; відповідальний за договори</x:v>
      </x:c>
      <x:c r="X1122" s="15" t="str">
        <x:v>1 нових підтверджених перемог/договорів у Prozorro на 667 219 грн; 1 зі строком виконання не раніше 24.08.2026.</x:v>
      </x:c>
      <x:c r="Y1122"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 строк до 2026-08-31. Попросити один знеособлений пакет здачі за цим workflow.</x:v>
      </x:c>
      <x:c r="Z1122" s="15" t="str">
        <x:v>https://prozorro.gov.ua/tender/UA-2026-04-13-004602-a</x:v>
      </x:c>
      <x:c r="AA1122" s="14" t="str">
        <x:v>45861115</x:v>
      </x:c>
      <x:c r="AB1122" s="14" t="str">
        <x:v>2026-08-24</x:v>
      </x:c>
      <x:c r="AC1122" s="14" t="str"/>
      <x:c r="AD1122" s="20" t="str"/>
      <x:c r="AE1122" s="14" t="str"/>
      <x:c r="AF1122" s="14" t="n">
        <x:v>46</x:v>
      </x:c>
      <x:c r="AG1122" s="14" t="str">
        <x:v>I3</x:v>
      </x:c>
      <x:c r="AH1122" s="14" t="n">
        <x:v>1</x:v>
      </x:c>
      <x:c r="AI1122" s="14" t="n">
        <x:v>1</x:v>
      </x:c>
      <x:c r="AJ1122" s="18" t="n">
        <x:v>667219.2</x:v>
      </x:c>
      <x:c r="AK1122" s="14" t="str">
        <x:v>https://prozorro.gov.ua/tender/UA-2026-04-13-004602-a</x:v>
      </x:c>
      <x:c r="AL1122" s="19" t="n">
        <x:v>46135.29312325231</x:v>
      </x:c>
      <x:c r="AM1122" s="19" t="n">
        <x:v>46265</x:v>
      </x:c>
      <x:c r="AN1122" s="15" t="str">
        <x:v>Внутрішні сантехнічні системи</x:v>
      </x:c>
      <x:c r="AO1122" s="15" t="str">
        <x:v>not_found_in_top_search</x:v>
      </x:c>
    </x:row>
    <x:row r="1123">
      <x:c r="A1123" s="14" t="str">
        <x:v>W4-304</x:v>
      </x:c>
      <x:c r="B1123" s="14" t="str">
        <x:v>Prozorro expansion — 24.08</x:v>
      </x:c>
      <x:c r="C1123" s="14" t="str">
        <x:v>ТОВ "ПРОФБУДМОНТАЖ"</x:v>
      </x:c>
      <x:c r="D1123" s="14" t="str">
        <x:v>Пасивний вогнезахист</x:v>
      </x:c>
      <x:c r="E1123" s="14" t="str">
        <x:v>Expansion discovery</x:v>
      </x:c>
      <x:c r="F1123" s="17" t="str">
        <x:v>D3</x:v>
      </x:c>
      <x:c r="G1123" s="14" t="str"/>
      <x:c r="H1123" s="14" t="str">
        <x:v>Discovery розширення — 2 тижні</x:v>
      </x:c>
      <x:c r="I1123" s="16" t="n">
        <x:v>1</x:v>
      </x:c>
      <x:c r="J1123" s="16" t="n">
        <x:v>5</x:v>
      </x:c>
      <x:c r="K1123" s="16" t="n">
        <x:v>5</x:v>
      </x:c>
      <x:c r="L1123" s="16" t="n">
        <x:v>1</x:v>
      </x:c>
      <x:c r="M1123" s="16" t="n">
        <x:v>5</x:v>
      </x:c>
      <x:c r="N1123" s="16" t="n">
        <x:v>5</x:v>
      </x:c>
      <x:c r="O1123" s="16" t="n">
        <x:v>3</x:v>
      </x:c>
      <x:c r="P1123" s="16" t="n">
        <x:f>IF(COUNT(I1123:O1123)&lt;7,"",I1123*8+J1123*3+K1123*2+L1123*2+M1123*2+N1123*2+O1123)</x:f>
        <x:v>58</x:v>
      </x:c>
      <x:c r="Q1123" s="16" t="n">
        <x:f>IF(COUNT(J1123:O1123)&lt;6,"",J1123*5+K1123*4+M1123*4+L1123*3+N1123*2+O1123*2)</x:f>
        <x:v>84</x:v>
      </x:c>
      <x:c r="R1123" s="14" t="str">
        <x:v>high</x:v>
      </x:c>
      <x:c r="S1123" s="14" t="str">
        <x:v>official_prozorro_award_2024_2026</x:v>
      </x:c>
      <x:c r="T1123" s="14" t="str">
        <x:v>official_prozorro_api</x:v>
      </x:c>
      <x:c r="U1123" s="14" t="str">
        <x:v>Не контактували</x:v>
      </x:c>
      <x:c r="V1123" s="15" t="str">
        <x:v>Workflow-audit outreach по UA-2026-07-08-000260-a; попросити 1 пакет здачі та вимоги проєкту</x:v>
      </x:c>
      <x:c r="W1123" s="15" t="str">
        <x:v>Власник / директор; керівник ПТО; відповідальний за договори</x:v>
      </x:c>
      <x:c r="X1123" s="15" t="str">
        <x:v>1 нових підтверджених перемог/договорів у Prozorro на 99 995 грн; 0 зі строком виконання не раніше 24.08.2026.</x:v>
      </x:c>
      <x:c r="Y1123" s="15" t="str">
        <x:v>Послуги з вогнезахисної обробки дерев'яних конструкцій (ДК 021: 2015: 77220000-8 Послуги з просочування деревини); строк до 2026-08-20. Попросити один знеособлений пакет здачі за цим workflow.</x:v>
      </x:c>
      <x:c r="Z1123" s="15" t="str">
        <x:v>https://prozorro.gov.ua/tender/UA-2026-07-08-000260-a</x:v>
      </x:c>
      <x:c r="AA1123" s="14" t="str">
        <x:v>44940342</x:v>
      </x:c>
      <x:c r="AB1123" s="14" t="str">
        <x:v>2026-08-24</x:v>
      </x:c>
      <x:c r="AC1123" s="14" t="str"/>
      <x:c r="AD1123" s="20" t="str"/>
      <x:c r="AE1123" s="14" t="str"/>
      <x:c r="AF1123" s="14" t="n">
        <x:v>46</x:v>
      </x:c>
      <x:c r="AG1123" s="14" t="str">
        <x:v>I3</x:v>
      </x:c>
      <x:c r="AH1123" s="14" t="n">
        <x:v>1</x:v>
      </x:c>
      <x:c r="AI1123" s="14" t="n">
        <x:v>0</x:v>
      </x:c>
      <x:c r="AJ1123" s="18" t="n">
        <x:v>99994.72</x:v>
      </x:c>
      <x:c r="AK1123" s="14" t="str">
        <x:v>https://prozorro.gov.ua/tender/UA-2026-07-08-000260-a</x:v>
      </x:c>
      <x:c r="AL1123" s="19" t="n">
        <x:v>46211.24026814815</x:v>
      </x:c>
      <x:c r="AM1123" s="19" t="n">
        <x:v>46254.2416087963</x:v>
      </x:c>
      <x:c r="AN1123" s="15" t="str">
        <x:v>Пасивний вогнезахист</x:v>
      </x:c>
      <x:c r="AO1123" s="15" t="str">
        <x:v>not_found_in_top_search</x:v>
      </x:c>
    </x:row>
    <x:row r="1124">
      <x:c r="A1124" s="14" t="str">
        <x:v>W4-305</x:v>
      </x:c>
      <x:c r="B1124" s="14" t="str">
        <x:v>Prozorro expansion — 24.08</x:v>
      </x:c>
      <x:c r="C1124" s="14" t="str">
        <x:v>ТОВ "Будівельна фірма "ЕЛІТБУД"</x:v>
      </x:c>
      <x:c r="D1124" s="14" t="str">
        <x:v>Металоконструкції</x:v>
      </x:c>
      <x:c r="E1124" s="14" t="str">
        <x:v>Expansion discovery</x:v>
      </x:c>
      <x:c r="F1124" s="17" t="str">
        <x:v>D3</x:v>
      </x:c>
      <x:c r="G1124" s="14" t="str"/>
      <x:c r="H1124" s="14" t="str">
        <x:v>Discovery розширення — 2 тижні</x:v>
      </x:c>
      <x:c r="I1124" s="16" t="n">
        <x:v>1</x:v>
      </x:c>
      <x:c r="J1124" s="16" t="n">
        <x:v>5</x:v>
      </x:c>
      <x:c r="K1124" s="16" t="n">
        <x:v>5</x:v>
      </x:c>
      <x:c r="L1124" s="16" t="n">
        <x:v>1</x:v>
      </x:c>
      <x:c r="M1124" s="16" t="n">
        <x:v>5</x:v>
      </x:c>
      <x:c r="N1124" s="16" t="n">
        <x:v>5</x:v>
      </x:c>
      <x:c r="O1124" s="16" t="n">
        <x:v>3</x:v>
      </x:c>
      <x:c r="P1124" s="16" t="n">
        <x:f>IF(COUNT(I1124:O1124)&lt;7,"",I1124*8+J1124*3+K1124*2+L1124*2+M1124*2+N1124*2+O1124)</x:f>
        <x:v>58</x:v>
      </x:c>
      <x:c r="Q1124" s="16" t="n">
        <x:f>IF(COUNT(J1124:O1124)&lt;6,"",J1124*5+K1124*4+M1124*4+L1124*3+N1124*2+O1124*2)</x:f>
        <x:v>84</x:v>
      </x:c>
      <x:c r="R1124" s="14" t="str">
        <x:v>high</x:v>
      </x:c>
      <x:c r="S1124" s="14" t="str">
        <x:v>official_prozorro_award_2024_2026</x:v>
      </x:c>
      <x:c r="T1124" s="14" t="str">
        <x:v>official_prozorro_api</x:v>
      </x:c>
      <x:c r="U1124" s="14" t="str">
        <x:v>Не контактували</x:v>
      </x:c>
      <x:c r="V1124" s="15" t="str">
        <x:v>Workflow-audit outreach по UA-2026-06-04-005064-a; попросити 1 пакет здачі та вимоги проєкту</x:v>
      </x:c>
      <x:c r="W1124" s="15" t="str">
        <x:v>Власник / директор; керівник ПТО; відповідальний за договори</x:v>
      </x:c>
      <x:c r="X1124" s="15" t="str">
        <x:v>1 нових підтверджених перемог/договорів у Prozorro на 99 994 грн; 1 зі строком виконання не раніше 24.08.2026.</x:v>
      </x:c>
      <x:c r="Y1124"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 строк до 2026-12-31. Попросити один знеособлений пакет здачі за цим workflow.</x:v>
      </x:c>
      <x:c r="Z1124" s="15" t="str">
        <x:v>https://prozorro.gov.ua/tender/UA-2026-06-04-005064-a</x:v>
      </x:c>
      <x:c r="AA1124" s="14" t="str">
        <x:v>41631772</x:v>
      </x:c>
      <x:c r="AB1124" s="14" t="str">
        <x:v>2026-08-24</x:v>
      </x:c>
      <x:c r="AC1124" s="14" t="str"/>
      <x:c r="AD1124" s="20" t="str"/>
      <x:c r="AE1124" s="14" t="str"/>
      <x:c r="AF1124" s="14" t="n">
        <x:v>46</x:v>
      </x:c>
      <x:c r="AG1124" s="14" t="str">
        <x:v>I3</x:v>
      </x:c>
      <x:c r="AH1124" s="14" t="n">
        <x:v>1</x:v>
      </x:c>
      <x:c r="AI1124" s="14" t="n">
        <x:v>1</x:v>
      </x:c>
      <x:c r="AJ1124" s="18" t="n">
        <x:v>99993.7</x:v>
      </x:c>
      <x:c r="AK1124" s="14" t="str">
        <x:v>https://prozorro.gov.ua/tender/UA-2026-06-04-005064-a</x:v>
      </x:c>
      <x:c r="AL1124" s="19" t="n">
        <x:v>46177.36738856482</x:v>
      </x:c>
      <x:c r="AM1124" s="19" t="n">
        <x:v>46387.40935185185</x:v>
      </x:c>
      <x:c r="AN1124" s="15" t="str">
        <x:v>Металоконструкції</x:v>
      </x:c>
      <x:c r="AO1124" s="15" t="str">
        <x:v>not_found_in_top_search</x:v>
      </x:c>
    </x:row>
    <x:row r="1125">
      <x:c r="A1125" s="14" t="str">
        <x:v>W4-306</x:v>
      </x:c>
      <x:c r="B1125" s="14" t="str">
        <x:v>Prozorro expansion — 24.08</x:v>
      </x:c>
      <x:c r="C1125" s="14" t="str">
        <x:v>ПП"АС-КО"</x:v>
      </x:c>
      <x:c r="D1125" s="14" t="str">
        <x:v>Пасивний вогнезахист</x:v>
      </x:c>
      <x:c r="E1125" s="14" t="str">
        <x:v>Expansion discovery</x:v>
      </x:c>
      <x:c r="F1125" s="17" t="str">
        <x:v>D3</x:v>
      </x:c>
      <x:c r="G1125" s="14" t="str"/>
      <x:c r="H1125" s="14" t="str">
        <x:v>Discovery розширення — 2 тижні</x:v>
      </x:c>
      <x:c r="I1125" s="16" t="n">
        <x:v>1</x:v>
      </x:c>
      <x:c r="J1125" s="16" t="n">
        <x:v>5</x:v>
      </x:c>
      <x:c r="K1125" s="16" t="n">
        <x:v>5</x:v>
      </x:c>
      <x:c r="L1125" s="16" t="n">
        <x:v>1</x:v>
      </x:c>
      <x:c r="M1125" s="16" t="n">
        <x:v>5</x:v>
      </x:c>
      <x:c r="N1125" s="16" t="n">
        <x:v>5</x:v>
      </x:c>
      <x:c r="O1125" s="16" t="n">
        <x:v>3</x:v>
      </x:c>
      <x:c r="P1125" s="16" t="n">
        <x:f>IF(COUNT(I1125:O1125)&lt;7,"",I1125*8+J1125*3+K1125*2+L1125*2+M1125*2+N1125*2+O1125)</x:f>
        <x:v>58</x:v>
      </x:c>
      <x:c r="Q1125" s="16" t="n">
        <x:f>IF(COUNT(J1125:O1125)&lt;6,"",J1125*5+K1125*4+M1125*4+L1125*3+N1125*2+O1125*2)</x:f>
        <x:v>84</x:v>
      </x:c>
      <x:c r="R1125" s="14" t="str">
        <x:v>high</x:v>
      </x:c>
      <x:c r="S1125" s="14" t="str">
        <x:v>official_prozorro_award_2024_2026</x:v>
      </x:c>
      <x:c r="T1125" s="14" t="str">
        <x:v>official_prozorro_api</x:v>
      </x:c>
      <x:c r="U1125" s="14" t="str">
        <x:v>Не контактували</x:v>
      </x:c>
      <x:c r="V1125" s="15" t="str">
        <x:v>Workflow-audit outreach по UA-2026-07-06-010297-a; попросити 1 пакет здачі та вимоги проєкту</x:v>
      </x:c>
      <x:c r="W1125" s="15" t="str">
        <x:v>Власник / директор; керівник ПТО; відповідальний за договори</x:v>
      </x:c>
      <x:c r="X1125" s="15" t="str">
        <x:v>1 нових підтверджених перемог/договорів у Prozorro на 99 926 грн; 1 зі строком виконання не раніше 24.08.2026.</x:v>
      </x:c>
      <x:c r="Y1125" s="15" t="str">
        <x:v>Обробка дерев'яних конструкцій приміщень вогнезахисним розчином 	 77220000-8 - Послуги з просочування деревини; строк до 2026-12-31. Попросити один знеособлений пакет здачі за цим workflow.</x:v>
      </x:c>
      <x:c r="Z1125" s="15" t="str">
        <x:v>https://prozorro.gov.ua/tender/UA-2026-07-06-010297-a</x:v>
      </x:c>
      <x:c r="AA1125" s="14" t="str">
        <x:v>34401360</x:v>
      </x:c>
      <x:c r="AB1125" s="14" t="str">
        <x:v>2026-08-24</x:v>
      </x:c>
      <x:c r="AC1125" s="14" t="str"/>
      <x:c r="AD1125" s="20" t="str"/>
      <x:c r="AE1125" s="14" t="str"/>
      <x:c r="AF1125" s="14" t="n">
        <x:v>46</x:v>
      </x:c>
      <x:c r="AG1125" s="14" t="str">
        <x:v>I3</x:v>
      </x:c>
      <x:c r="AH1125" s="14" t="n">
        <x:v>1</x:v>
      </x:c>
      <x:c r="AI1125" s="14" t="n">
        <x:v>1</x:v>
      </x:c>
      <x:c r="AJ1125" s="18" t="n">
        <x:v>99926.4</x:v>
      </x:c>
      <x:c r="AK1125" s="14" t="str">
        <x:v>https://prozorro.gov.ua/tender/UA-2026-07-06-010297-a</x:v>
      </x:c>
      <x:c r="AL1125" s="19" t="n">
        <x:v>46209.65258140046</x:v>
      </x:c>
      <x:c r="AM1125" s="19" t="n">
        <x:v>46387.666493055556</x:v>
      </x:c>
      <x:c r="AN1125" s="15" t="str">
        <x:v>Пасивний вогнезахист</x:v>
      </x:c>
      <x:c r="AO1125" s="15" t="str">
        <x:v>not_found_in_top_search</x:v>
      </x:c>
    </x:row>
    <x:row r="1126">
      <x:c r="A1126" s="14" t="str">
        <x:v>W4-307</x:v>
      </x:c>
      <x:c r="B1126" s="14" t="str">
        <x:v>Prozorro expansion — 24.08</x:v>
      </x:c>
      <x:c r="C1126" s="14" t="str">
        <x:v>ЧЕРНІВЕЦЬКЕ ОБЛАСНЕ СПЕЦІАЛІЗОВАНЕ РЕМОНТНО-БУДІВЕЛЬНЕ ПІДПРИЄМСТВО ПРОТИПОЖЕЖНИХ РОБІТ ДОБРОВІЛЬНОГО ПОЖЕЖНОГО ТОВАРИСТВА УКРАЇНИ</x:v>
      </x:c>
      <x:c r="D1126" s="14" t="str">
        <x:v>Пасивний вогнезахист</x:v>
      </x:c>
      <x:c r="E1126" s="14" t="str">
        <x:v>Expansion discovery</x:v>
      </x:c>
      <x:c r="F1126" s="17" t="str">
        <x:v>D3</x:v>
      </x:c>
      <x:c r="G1126" s="14" t="str"/>
      <x:c r="H1126" s="14" t="str">
        <x:v>Discovery розширення — 2 тижні</x:v>
      </x:c>
      <x:c r="I1126" s="16" t="n">
        <x:v>1</x:v>
      </x:c>
      <x:c r="J1126" s="16" t="n">
        <x:v>5</x:v>
      </x:c>
      <x:c r="K1126" s="16" t="n">
        <x:v>5</x:v>
      </x:c>
      <x:c r="L1126" s="16" t="n">
        <x:v>1</x:v>
      </x:c>
      <x:c r="M1126" s="16" t="n">
        <x:v>5</x:v>
      </x:c>
      <x:c r="N1126" s="16" t="n">
        <x:v>5</x:v>
      </x:c>
      <x:c r="O1126" s="16" t="n">
        <x:v>3</x:v>
      </x:c>
      <x:c r="P1126" s="16" t="n">
        <x:f>IF(COUNT(I1126:O1126)&lt;7,"",I1126*8+J1126*3+K1126*2+L1126*2+M1126*2+N1126*2+O1126)</x:f>
        <x:v>58</x:v>
      </x:c>
      <x:c r="Q1126" s="16" t="n">
        <x:f>IF(COUNT(J1126:O1126)&lt;6,"",J1126*5+K1126*4+M1126*4+L1126*3+N1126*2+O1126*2)</x:f>
        <x:v>84</x:v>
      </x:c>
      <x:c r="R1126" s="14" t="str">
        <x:v>high</x:v>
      </x:c>
      <x:c r="S1126" s="14" t="str">
        <x:v>official_prozorro_award_2024_2026</x:v>
      </x:c>
      <x:c r="T1126" s="14" t="str">
        <x:v>official_prozorro_api</x:v>
      </x:c>
      <x:c r="U1126" s="14" t="str">
        <x:v>Не контактували</x:v>
      </x:c>
      <x:c r="V1126" s="15" t="str">
        <x:v>Workflow-audit outreach по UA-2026-06-22-006172-a; попросити 1 пакет здачі та вимоги проєкту</x:v>
      </x:c>
      <x:c r="W1126" s="15" t="str">
        <x:v>Власник / директор; керівник ПТО; відповідальний за договори</x:v>
      </x:c>
      <x:c r="X1126" s="15" t="str">
        <x:v>1 нових підтверджених перемог/договорів у Prozorro на 99 869 грн; 1 зі строком виконання не раніше 24.08.2026.</x:v>
      </x:c>
      <x:c r="Y1126" s="15" t="str">
        <x:v>Послуги протипожежного призначення-Вогнезахисна обробка дерев"яних конструкцій горища в приміщеннях Чернівецького ВПУР; строк до 2026-12-31. Попросити один знеособлений пакет здачі за цим workflow.</x:v>
      </x:c>
      <x:c r="Z1126" s="15" t="str">
        <x:v>https://prozorro.gov.ua/tender/UA-2026-06-22-006172-a</x:v>
      </x:c>
      <x:c r="AA1126" s="14" t="str">
        <x:v>00183176</x:v>
      </x:c>
      <x:c r="AB1126" s="14" t="str">
        <x:v>2026-08-24</x:v>
      </x:c>
      <x:c r="AC1126" s="14" t="str"/>
      <x:c r="AD1126" s="20" t="str"/>
      <x:c r="AE1126" s="14" t="str"/>
      <x:c r="AF1126" s="14" t="n">
        <x:v>46</x:v>
      </x:c>
      <x:c r="AG1126" s="14" t="str">
        <x:v>I3</x:v>
      </x:c>
      <x:c r="AH1126" s="14" t="n">
        <x:v>1</x:v>
      </x:c>
      <x:c r="AI1126" s="14" t="n">
        <x:v>1</x:v>
      </x:c>
      <x:c r="AJ1126" s="18" t="n">
        <x:v>99868.86</x:v>
      </x:c>
      <x:c r="AK1126" s="14" t="str">
        <x:v>https://prozorro.gov.ua/tender/UA-2026-06-22-006172-a</x:v>
      </x:c>
      <x:c r="AL1126" s="19" t="n">
        <x:v>46195.41080334491</x:v>
      </x:c>
      <x:c r="AM1126" s="19" t="n">
        <x:v>46387</x:v>
      </x:c>
      <x:c r="AN1126" s="15" t="str">
        <x:v>Пасивний вогнезахист</x:v>
      </x:c>
      <x:c r="AO1126" s="15" t="str">
        <x:v>not_found_in_top_search</x:v>
      </x:c>
    </x:row>
    <x:row r="1127">
      <x:c r="A1127" s="14" t="str">
        <x:v>W4-308</x:v>
      </x:c>
      <x:c r="B1127" s="14" t="str">
        <x:v>Prozorro expansion — 24.08</x:v>
      </x:c>
      <x:c r="C1127" s="14" t="str">
        <x:v>ЖУРАВЕЛЬ ВАДИМ ВІКТОРОВИЧ</x:v>
      </x:c>
      <x:c r="D1127" s="14" t="str">
        <x:v>СКС / BMS / слаботочка</x:v>
      </x:c>
      <x:c r="E1127" s="14" t="str">
        <x:v>Expansion discovery</x:v>
      </x:c>
      <x:c r="F1127" s="17" t="str">
        <x:v>D3</x:v>
      </x:c>
      <x:c r="G1127" s="14" t="str"/>
      <x:c r="H1127" s="14" t="str">
        <x:v>Discovery розширення — 2 тижні</x:v>
      </x:c>
      <x:c r="I1127" s="16" t="n">
        <x:v>2</x:v>
      </x:c>
      <x:c r="J1127" s="16" t="n">
        <x:v>5</x:v>
      </x:c>
      <x:c r="K1127" s="16" t="n">
        <x:v>4</x:v>
      </x:c>
      <x:c r="L1127" s="16" t="n">
        <x:v>1</x:v>
      </x:c>
      <x:c r="M1127" s="16" t="n">
        <x:v>5</x:v>
      </x:c>
      <x:c r="N1127" s="16" t="n">
        <x:v>3</x:v>
      </x:c>
      <x:c r="O1127" s="16" t="n">
        <x:v>3</x:v>
      </x:c>
      <x:c r="P1127" s="16" t="n">
        <x:f>IF(COUNT(I1127:O1127)&lt;7,"",I1127*8+J1127*3+K1127*2+L1127*2+M1127*2+N1127*2+O1127)</x:f>
        <x:v>60</x:v>
      </x:c>
      <x:c r="Q1127" s="16" t="n">
        <x:f>IF(COUNT(J1127:O1127)&lt;6,"",J1127*5+K1127*4+M1127*4+L1127*3+N1127*2+O1127*2)</x:f>
        <x:v>76</x:v>
      </x:c>
      <x:c r="R1127" s="14" t="str">
        <x:v>high</x:v>
      </x:c>
      <x:c r="S1127" s="14" t="str">
        <x:v>official_prozorro_award_2024_2026</x:v>
      </x:c>
      <x:c r="T1127" s="14" t="str">
        <x:v>official_prozorro_api</x:v>
      </x:c>
      <x:c r="U1127" s="14" t="str">
        <x:v>Не контактували</x:v>
      </x:c>
      <x:c r="V1127" s="15" t="str">
        <x:v>Workflow-audit outreach по UA-2026-05-14-006335-a; попросити 1 пакет здачі та вимоги проєкту</x:v>
      </x:c>
      <x:c r="W1127" s="15" t="str">
        <x:v>Власник / виконавець; відповідальний за договір</x:v>
      </x:c>
      <x:c r="X1127" s="15" t="str">
        <x:v>1 нових підтверджених перемог/договорів у Prozorro на 99 475 грн; 1 зі строком виконання не раніше 24.08.2026.</x:v>
      </x:c>
      <x:c r="Y1127"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 строк до 2026-12-25. Попросити один знеособлений пакет здачі за цим workflow.</x:v>
      </x:c>
      <x:c r="Z1127" s="15" t="str">
        <x:v>https://prozorro.gov.ua/tender/UA-2026-05-14-006335-a</x:v>
      </x:c>
      <x:c r="AA1127" s="14" t="str">
        <x:v>3039017156</x:v>
      </x:c>
      <x:c r="AB1127" s="14" t="str">
        <x:v>2026-08-24</x:v>
      </x:c>
      <x:c r="AC1127" s="14" t="str"/>
      <x:c r="AD1127" s="20" t="str"/>
      <x:c r="AE1127" s="14" t="str"/>
      <x:c r="AF1127" s="14" t="n">
        <x:v>46</x:v>
      </x:c>
      <x:c r="AG1127" s="14" t="str">
        <x:v>I3</x:v>
      </x:c>
      <x:c r="AH1127" s="14" t="n">
        <x:v>1</x:v>
      </x:c>
      <x:c r="AI1127" s="14" t="n">
        <x:v>1</x:v>
      </x:c>
      <x:c r="AJ1127" s="18" t="n">
        <x:v>99475</x:v>
      </x:c>
      <x:c r="AK1127" s="14" t="str">
        <x:v>https://prozorro.gov.ua/tender/UA-2026-05-14-006335-a</x:v>
      </x:c>
      <x:c r="AL1127" s="19" t="n">
        <x:v>46156.39875957176</x:v>
      </x:c>
      <x:c r="AM1127" s="19" t="n">
        <x:v>46381</x:v>
      </x:c>
      <x:c r="AN1127" s="15" t="str">
        <x:v>СКС / BMS / слаботочка</x:v>
      </x:c>
      <x:c r="AO1127" s="15" t="str">
        <x:v>not_found_in_top_search</x:v>
      </x:c>
    </x:row>
    <x:row r="1128">
      <x:c r="A1128" s="14" t="str">
        <x:v>W4-309</x:v>
      </x:c>
      <x:c r="B1128" s="14" t="str">
        <x:v>Prozorro expansion — 24.08</x:v>
      </x:c>
      <x:c r="C1128" s="14" t="str">
        <x:v>ПП «ЕКСПЕРТНО-ТЕХНІЧНИЙ ЦЕНТР»</x:v>
      </x:c>
      <x:c r="D1128" s="14" t="str">
        <x:v>Пасивний вогнезахист</x:v>
      </x:c>
      <x:c r="E1128" s="14" t="str">
        <x:v>Expansion discovery</x:v>
      </x:c>
      <x:c r="F1128" s="17" t="str">
        <x:v>D3</x:v>
      </x:c>
      <x:c r="G1128" s="14" t="str"/>
      <x:c r="H1128" s="14" t="str">
        <x:v>Discovery розширення — 2 тижні</x:v>
      </x:c>
      <x:c r="I1128" s="16" t="n">
        <x:v>1</x:v>
      </x:c>
      <x:c r="J1128" s="16" t="n">
        <x:v>5</x:v>
      </x:c>
      <x:c r="K1128" s="16" t="n">
        <x:v>5</x:v>
      </x:c>
      <x:c r="L1128" s="16" t="n">
        <x:v>1</x:v>
      </x:c>
      <x:c r="M1128" s="16" t="n">
        <x:v>5</x:v>
      </x:c>
      <x:c r="N1128" s="16" t="n">
        <x:v>5</x:v>
      </x:c>
      <x:c r="O1128" s="16" t="n">
        <x:v>3</x:v>
      </x:c>
      <x:c r="P1128" s="16" t="n">
        <x:f>IF(COUNT(I1128:O1128)&lt;7,"",I1128*8+J1128*3+K1128*2+L1128*2+M1128*2+N1128*2+O1128)</x:f>
        <x:v>58</x:v>
      </x:c>
      <x:c r="Q1128" s="16" t="n">
        <x:f>IF(COUNT(J1128:O1128)&lt;6,"",J1128*5+K1128*4+M1128*4+L1128*3+N1128*2+O1128*2)</x:f>
        <x:v>84</x:v>
      </x:c>
      <x:c r="R1128" s="14" t="str">
        <x:v>high</x:v>
      </x:c>
      <x:c r="S1128" s="14" t="str">
        <x:v>official_prozorro_award_2024_2026</x:v>
      </x:c>
      <x:c r="T1128" s="14" t="str">
        <x:v>official_prozorro_api</x:v>
      </x:c>
      <x:c r="U1128" s="14" t="str">
        <x:v>Не контактували</x:v>
      </x:c>
      <x:c r="V1128" s="15" t="str">
        <x:v>Workflow-audit outreach по UA-2026-07-09-001616-a; попросити 1 пакет здачі та вимоги проєкту</x:v>
      </x:c>
      <x:c r="W1128" s="15" t="str">
        <x:v>Власник / директор; керівник ПТО; відповідальний за договори</x:v>
      </x:c>
      <x:c r="X1128" s="15" t="str">
        <x:v>1 нових підтверджених перемог/договорів у Prozorro на 92 018 грн; 1 зі строком виконання не раніше 24.08.2026.</x:v>
      </x:c>
      <x:c r="Y1128" s="15" t="str">
        <x:v>Послуги з вогнезахисної обробки дерев’яних конструкцій; строк до 2026-12-31. Попросити один знеособлений пакет здачі за цим workflow.</x:v>
      </x:c>
      <x:c r="Z1128" s="15" t="str">
        <x:v>https://prozorro.gov.ua/tender/UA-2026-07-09-001616-a</x:v>
      </x:c>
      <x:c r="AA1128" s="14" t="str">
        <x:v>32882068</x:v>
      </x:c>
      <x:c r="AB1128" s="14" t="str">
        <x:v>2026-08-24</x:v>
      </x:c>
      <x:c r="AC1128" s="14" t="str"/>
      <x:c r="AD1128" s="20" t="str"/>
      <x:c r="AE1128" s="14" t="str"/>
      <x:c r="AF1128" s="14" t="n">
        <x:v>46</x:v>
      </x:c>
      <x:c r="AG1128" s="14" t="str">
        <x:v>I3</x:v>
      </x:c>
      <x:c r="AH1128" s="14" t="n">
        <x:v>1</x:v>
      </x:c>
      <x:c r="AI1128" s="14" t="n">
        <x:v>1</x:v>
      </x:c>
      <x:c r="AJ1128" s="18" t="n">
        <x:v>92018.24</x:v>
      </x:c>
      <x:c r="AK1128" s="14" t="str">
        <x:v>https://prozorro.gov.ua/tender/UA-2026-07-09-001616-a</x:v>
      </x:c>
      <x:c r="AL1128" s="19" t="n">
        <x:v>46212.29889259259</x:v>
      </x:c>
      <x:c r="AM1128" s="19" t="n">
        <x:v>46387.34315972222</x:v>
      </x:c>
      <x:c r="AN1128" s="15" t="str">
        <x:v>Пасивний вогнезахист</x:v>
      </x:c>
      <x:c r="AO1128" s="15" t="str">
        <x:v>not_found_in_top_search</x:v>
      </x:c>
    </x:row>
    <x:row r="1129">
      <x:c r="A1129" s="14" t="str">
        <x:v>W4-310</x:v>
      </x:c>
      <x:c r="B1129" s="14" t="str">
        <x:v>Prozorro expansion — 24.08</x:v>
      </x:c>
      <x:c r="C1129" s="14" t="str">
        <x:v>ПРИВАТНЕ ПІДПРИЄМСТВО "РЕМБУДВЕСТ"</x:v>
      </x:c>
      <x:c r="D1129" s="14" t="str">
        <x:v>Фасади та скління</x:v>
      </x:c>
      <x:c r="E1129" s="14" t="str">
        <x:v>Expansion discovery</x:v>
      </x:c>
      <x:c r="F1129" s="17" t="str">
        <x:v>D3</x:v>
      </x:c>
      <x:c r="G1129" s="14" t="str"/>
      <x:c r="H1129" s="14" t="str">
        <x:v>Discovery розширення — 2 тижні</x:v>
      </x:c>
      <x:c r="I1129" s="16" t="n">
        <x:v>1</x:v>
      </x:c>
      <x:c r="J1129" s="16" t="n">
        <x:v>5</x:v>
      </x:c>
      <x:c r="K1129" s="16" t="n">
        <x:v>5</x:v>
      </x:c>
      <x:c r="L1129" s="16" t="n">
        <x:v>1</x:v>
      </x:c>
      <x:c r="M1129" s="16" t="n">
        <x:v>5</x:v>
      </x:c>
      <x:c r="N1129" s="16" t="n">
        <x:v>5</x:v>
      </x:c>
      <x:c r="O1129" s="16" t="n">
        <x:v>3</x:v>
      </x:c>
      <x:c r="P1129" s="16" t="n">
        <x:f>IF(COUNT(I1129:O1129)&lt;7,"",I1129*8+J1129*3+K1129*2+L1129*2+M1129*2+N1129*2+O1129)</x:f>
        <x:v>58</x:v>
      </x:c>
      <x:c r="Q1129" s="16" t="n">
        <x:f>IF(COUNT(J1129:O1129)&lt;6,"",J1129*5+K1129*4+M1129*4+L1129*3+N1129*2+O1129*2)</x:f>
        <x:v>84</x:v>
      </x:c>
      <x:c r="R1129" s="14" t="str">
        <x:v>high</x:v>
      </x:c>
      <x:c r="S1129" s="14" t="str">
        <x:v>official_prozorro_award_2024_2026</x:v>
      </x:c>
      <x:c r="T1129" s="14" t="str">
        <x:v>official_prozorro_api</x:v>
      </x:c>
      <x:c r="U1129" s="14" t="str">
        <x:v>Не контактували</x:v>
      </x:c>
      <x:c r="V1129" s="15" t="str">
        <x:v>Workflow-audit outreach по UA-2026-06-23-012816-a; попросити 1 пакет здачі та вимоги проєкту</x:v>
      </x:c>
      <x:c r="W1129" s="15" t="str">
        <x:v>Власник / директор; керівник ПТО; відповідальний за договори</x:v>
      </x:c>
      <x:c r="X1129" s="15" t="str">
        <x:v>1 нових підтверджених перемог/договорів у Prozorro на 78 014 грн; 1 зі строком виконання не раніше 24.08.2026.</x:v>
      </x:c>
      <x:c r="Y1129" s="15" t="str">
        <x:v>Поточний ремонт (утеплення) частини фасаду; строк до 2026-12-31. Попросити один знеособлений пакет здачі за цим workflow.</x:v>
      </x:c>
      <x:c r="Z1129" s="15" t="str">
        <x:v>https://prozorro.gov.ua/tender/UA-2026-06-23-012816-a</x:v>
      </x:c>
      <x:c r="AA1129" s="14" t="str">
        <x:v>34160237</x:v>
      </x:c>
      <x:c r="AB1129" s="14" t="str">
        <x:v>2026-08-24</x:v>
      </x:c>
      <x:c r="AC1129" s="14" t="str"/>
      <x:c r="AD1129" s="20" t="str"/>
      <x:c r="AE1129" s="14" t="str"/>
      <x:c r="AF1129" s="14" t="n">
        <x:v>46</x:v>
      </x:c>
      <x:c r="AG1129" s="14" t="str">
        <x:v>I3</x:v>
      </x:c>
      <x:c r="AH1129" s="14" t="n">
        <x:v>1</x:v>
      </x:c>
      <x:c r="AI1129" s="14" t="n">
        <x:v>1</x:v>
      </x:c>
      <x:c r="AJ1129" s="18" t="n">
        <x:v>78014</x:v>
      </x:c>
      <x:c r="AK1129" s="14" t="str">
        <x:v>https://prozorro.gov.ua/tender/UA-2026-06-23-012816-a</x:v>
      </x:c>
      <x:c r="AL1129" s="19" t="n">
        <x:v>46196.56746586806</x:v>
      </x:c>
      <x:c r="AM1129" s="19" t="n">
        <x:v>46387</x:v>
      </x:c>
      <x:c r="AN1129" s="15" t="str">
        <x:v>Фасади та скління</x:v>
      </x:c>
      <x:c r="AO1129" s="15" t="str">
        <x:v>not_found_in_top_search</x:v>
      </x:c>
    </x:row>
    <x:row r="1130">
      <x:c r="A1130" s="14" t="str">
        <x:v>W4-311</x:v>
      </x:c>
      <x:c r="B1130" s="14" t="str">
        <x:v>Prozorro expansion — 24.08</x:v>
      </x:c>
      <x:c r="C1130" s="14" t="str">
        <x:v>МАРТИНЮК ВАСИЛЬ ІВАНОВИЧ</x:v>
      </x:c>
      <x:c r="D1130" s="14" t="str">
        <x:v>Пасивний вогнезахист</x:v>
      </x:c>
      <x:c r="E1130" s="14" t="str">
        <x:v>Expansion discovery</x:v>
      </x:c>
      <x:c r="F1130" s="17" t="str">
        <x:v>D3</x:v>
      </x:c>
      <x:c r="G1130" s="14" t="str"/>
      <x:c r="H1130" s="14" t="str">
        <x:v>Discovery розширення — 2 тижні</x:v>
      </x:c>
      <x:c r="I1130" s="16" t="n">
        <x:v>1</x:v>
      </x:c>
      <x:c r="J1130" s="16" t="n">
        <x:v>5</x:v>
      </x:c>
      <x:c r="K1130" s="16" t="n">
        <x:v>5</x:v>
      </x:c>
      <x:c r="L1130" s="16" t="n">
        <x:v>1</x:v>
      </x:c>
      <x:c r="M1130" s="16" t="n">
        <x:v>5</x:v>
      </x:c>
      <x:c r="N1130" s="16" t="n">
        <x:v>3</x:v>
      </x:c>
      <x:c r="O1130" s="16" t="n">
        <x:v>3</x:v>
      </x:c>
      <x:c r="P1130" s="16" t="n">
        <x:f>IF(COUNT(I1130:O1130)&lt;7,"",I1130*8+J1130*3+K1130*2+L1130*2+M1130*2+N1130*2+O1130)</x:f>
        <x:v>54</x:v>
      </x:c>
      <x:c r="Q1130" s="16" t="n">
        <x:f>IF(COUNT(J1130:O1130)&lt;6,"",J1130*5+K1130*4+M1130*4+L1130*3+N1130*2+O1130*2)</x:f>
        <x:v>80</x:v>
      </x:c>
      <x:c r="R1130" s="14" t="str">
        <x:v>high</x:v>
      </x:c>
      <x:c r="S1130" s="14" t="str">
        <x:v>official_prozorro_award_2024_2026</x:v>
      </x:c>
      <x:c r="T1130" s="14" t="str">
        <x:v>official_prozorro_api</x:v>
      </x:c>
      <x:c r="U1130" s="14" t="str">
        <x:v>Не контактували</x:v>
      </x:c>
      <x:c r="V1130" s="15" t="str">
        <x:v>Workflow-audit outreach по UA-2026-06-02-013254-a; попросити 1 пакет здачі та вимоги проєкту</x:v>
      </x:c>
      <x:c r="W1130" s="15" t="str">
        <x:v>Власник / виконавець; відповідальний за договір</x:v>
      </x:c>
      <x:c r="X1130" s="15" t="str">
        <x:v>1 нових підтверджених перемог/договорів у Prozorro на 73 809 грн; 0 зі строком виконання не раніше 24.08.2026.</x:v>
      </x:c>
      <x:c r="Y1130" s="15" t="str">
        <x:v>Послуги вогнезахисної обробки дерев'яних конструкцій горища будівлі закладу; строк до 2026-07-30. Попросити один знеособлений пакет здачі за цим workflow.</x:v>
      </x:c>
      <x:c r="Z1130" s="15" t="str">
        <x:v>https://prozorro.gov.ua/tender/UA-2026-06-02-013254-a</x:v>
      </x:c>
      <x:c r="AA1130" s="14" t="str">
        <x:v>1904417691</x:v>
      </x:c>
      <x:c r="AB1130" s="14" t="str">
        <x:v>2026-08-24</x:v>
      </x:c>
      <x:c r="AC1130" s="14" t="str"/>
      <x:c r="AD1130" s="20" t="str"/>
      <x:c r="AE1130" s="14" t="str"/>
      <x:c r="AF1130" s="14" t="n">
        <x:v>46</x:v>
      </x:c>
      <x:c r="AG1130" s="14" t="str">
        <x:v>I3</x:v>
      </x:c>
      <x:c r="AH1130" s="14" t="n">
        <x:v>1</x:v>
      </x:c>
      <x:c r="AI1130" s="14" t="n">
        <x:v>0</x:v>
      </x:c>
      <x:c r="AJ1130" s="18" t="n">
        <x:v>73808.52</x:v>
      </x:c>
      <x:c r="AK1130" s="14" t="str">
        <x:v>https://prozorro.gov.ua/tender/UA-2026-06-02-013254-a</x:v>
      </x:c>
      <x:c r="AL1130" s="19" t="n">
        <x:v>46175.602759733796</x:v>
      </x:c>
      <x:c r="AM1130" s="19" t="n">
        <x:v>46233</x:v>
      </x:c>
      <x:c r="AN1130" s="15" t="str">
        <x:v>Пасивний вогнезахист</x:v>
      </x:c>
      <x:c r="AO1130" s="15" t="str">
        <x:v>not_found_in_top_search</x:v>
      </x:c>
    </x:row>
    <x:row r="1131">
      <x:c r="A1131" s="14" t="str">
        <x:v>W4-312</x:v>
      </x:c>
      <x:c r="B1131" s="14" t="str">
        <x:v>Prozorro expansion — 24.08</x:v>
      </x:c>
      <x:c r="C1131" s="14" t="str">
        <x:v>ТРЕТЯКОВ ОЛЕКСАНДР МИКОЛАЙОВИЧ</x:v>
      </x:c>
      <x:c r="D1131" s="14" t="str">
        <x:v>Електромонтаж</x:v>
      </x:c>
      <x:c r="E1131" s="14" t="str">
        <x:v>Pilot now</x:v>
      </x:c>
      <x:c r="F1131" s="17" t="str">
        <x:v>P3</x:v>
      </x:c>
      <x:c r="G1131" s="14" t="str"/>
      <x:c r="H1131" s="14" t="str">
        <x:v>Пілот зараз — Н.15</x:v>
      </x:c>
      <x:c r="I1131" s="16" t="n">
        <x:v>5</x:v>
      </x:c>
      <x:c r="J1131" s="16" t="n">
        <x:v>5</x:v>
      </x:c>
      <x:c r="K1131" s="16" t="n">
        <x:v>4</x:v>
      </x:c>
      <x:c r="L1131" s="16" t="n">
        <x:v>1</x:v>
      </x:c>
      <x:c r="M1131" s="16" t="n">
        <x:v>5</x:v>
      </x:c>
      <x:c r="N1131" s="16" t="n">
        <x:v>3</x:v>
      </x:c>
      <x:c r="O1131" s="16" t="n">
        <x:v>3</x:v>
      </x:c>
      <x:c r="P1131" s="16" t="n">
        <x:f>IF(COUNT(I1131:O1131)&lt;7,"",I1131*8+J1131*3+K1131*2+L1131*2+M1131*2+N1131*2+O1131)</x:f>
        <x:v>84</x:v>
      </x:c>
      <x:c r="Q1131" s="16" t="n">
        <x:f>IF(COUNT(J1131:O1131)&lt;6,"",J1131*5+K1131*4+M1131*4+L1131*3+N1131*2+O1131*2)</x:f>
        <x:v>76</x:v>
      </x:c>
      <x:c r="R1131" s="14" t="str">
        <x:v>high</x:v>
      </x:c>
      <x:c r="S1131" s="14" t="str">
        <x:v>official_prozorro_award_2024_2026</x:v>
      </x:c>
      <x:c r="T1131" s="14" t="str">
        <x:v>official_prozorro_api</x:v>
      </x:c>
      <x:c r="U1131" s="14" t="str">
        <x:v>Не контактували</x:v>
      </x:c>
      <x:c r="V1131" s="15" t="str">
        <x:v>Персоналізований free-pilot outreach по UA-2026-06-30-006602-a; попросити 1 пакет Н.14/Н.15</x:v>
      </x:c>
      <x:c r="W1131" s="15" t="str">
        <x:v>Власник / виконавець; відповідальний за договір</x:v>
      </x:c>
      <x:c r="X1131" s="15" t="str">
        <x:v>1 нових підтверджених перемог/договорів у Prozorro на 69 326 грн; 1 зі строком виконання не раніше 24.08.2026.</x:v>
      </x:c>
      <x:c r="Y1131" s="15" t="str">
        <x:v>Електромонтажні роботи; строк до 2026-12-31. Попросити один знеособлений пакет здачі за цим workflow.</x:v>
      </x:c>
      <x:c r="Z1131" s="15" t="str">
        <x:v>https://prozorro.gov.ua/tender/UA-2026-06-30-006602-a</x:v>
      </x:c>
      <x:c r="AA1131" s="14" t="str">
        <x:v>3024120575</x:v>
      </x:c>
      <x:c r="AB1131" s="14" t="str">
        <x:v>2026-08-24</x:v>
      </x:c>
      <x:c r="AC1131" s="14" t="str"/>
      <x:c r="AD1131" s="20" t="str"/>
      <x:c r="AE1131" s="14" t="str"/>
      <x:c r="AF1131" s="14" t="n">
        <x:v>46</x:v>
      </x:c>
      <x:c r="AG1131" s="14" t="str">
        <x:v>I3</x:v>
      </x:c>
      <x:c r="AH1131" s="14" t="n">
        <x:v>1</x:v>
      </x:c>
      <x:c r="AI1131" s="14" t="n">
        <x:v>1</x:v>
      </x:c>
      <x:c r="AJ1131" s="18" t="n">
        <x:v>69326</x:v>
      </x:c>
      <x:c r="AK1131" s="14" t="str">
        <x:v>https://prozorro.gov.ua/tender/UA-2026-06-30-006602-a</x:v>
      </x:c>
      <x:c r="AL1131" s="19" t="n">
        <x:v>46203.42682944444</x:v>
      </x:c>
      <x:c r="AM1131" s="19" t="n">
        <x:v>46387</x:v>
      </x:c>
      <x:c r="AN1131" s="15" t="str">
        <x:v>Електромонтаж</x:v>
      </x:c>
      <x:c r="AO1131" s="15" t="str">
        <x:v>not_found_in_top_search</x:v>
      </x:c>
    </x:row>
    <x:row r="1132">
      <x:c r="A1132" s="14" t="str">
        <x:v>W4-313</x:v>
      </x:c>
      <x:c r="B1132" s="14" t="str">
        <x:v>Prozorro expansion — 24.08</x:v>
      </x:c>
      <x:c r="C1132" s="14" t="str">
        <x:v>СТРІЛЕЦЬ ВАЛЕРІЙ ВІКТОРОВИЧ</x:v>
      </x:c>
      <x:c r="D1132" s="14" t="str">
        <x:v>Пасивний вогнезахист</x:v>
      </x:c>
      <x:c r="E1132" s="14" t="str">
        <x:v>Expansion discovery</x:v>
      </x:c>
      <x:c r="F1132" s="17" t="str">
        <x:v>D3</x:v>
      </x:c>
      <x:c r="G1132" s="14" t="str"/>
      <x:c r="H1132" s="14" t="str">
        <x:v>Discovery розширення — 2 тижні</x:v>
      </x:c>
      <x:c r="I1132" s="16" t="n">
        <x:v>1</x:v>
      </x:c>
      <x:c r="J1132" s="16" t="n">
        <x:v>5</x:v>
      </x:c>
      <x:c r="K1132" s="16" t="n">
        <x:v>5</x:v>
      </x:c>
      <x:c r="L1132" s="16" t="n">
        <x:v>1</x:v>
      </x:c>
      <x:c r="M1132" s="16" t="n">
        <x:v>5</x:v>
      </x:c>
      <x:c r="N1132" s="16" t="n">
        <x:v>3</x:v>
      </x:c>
      <x:c r="O1132" s="16" t="n">
        <x:v>3</x:v>
      </x:c>
      <x:c r="P1132" s="16" t="n">
        <x:f>IF(COUNT(I1132:O1132)&lt;7,"",I1132*8+J1132*3+K1132*2+L1132*2+M1132*2+N1132*2+O1132)</x:f>
        <x:v>54</x:v>
      </x:c>
      <x:c r="Q1132" s="16" t="n">
        <x:f>IF(COUNT(J1132:O1132)&lt;6,"",J1132*5+K1132*4+M1132*4+L1132*3+N1132*2+O1132*2)</x:f>
        <x:v>80</x:v>
      </x:c>
      <x:c r="R1132" s="14" t="str">
        <x:v>high</x:v>
      </x:c>
      <x:c r="S1132" s="14" t="str">
        <x:v>official_prozorro_award_2024_2026</x:v>
      </x:c>
      <x:c r="T1132" s="14" t="str">
        <x:v>official_prozorro_api</x:v>
      </x:c>
      <x:c r="U1132" s="14" t="str">
        <x:v>Не контактували</x:v>
      </x:c>
      <x:c r="V1132" s="15" t="str">
        <x:v>Workflow-audit outreach по UA-2026-06-19-004898-a; попросити 1 пакет здачі та вимоги проєкту</x:v>
      </x:c>
      <x:c r="W1132" s="15" t="str">
        <x:v>Власник / виконавець; відповідальний за договір</x:v>
      </x:c>
      <x:c r="X1132" s="15" t="str">
        <x:v>1 нових підтверджених перемог/договорів у Prozorro на 64 000 грн; 0 зі строком виконання не раніше 24.08.2026.</x:v>
      </x:c>
      <x:c r="Y1132" s="15" t="str">
        <x:v>Послуги з розробки робочого проекту: послуги з вогнезахисної обробки дерев’яних конструкцій будівлі; строк до 2026-07-03. Попросити один знеособлений пакет здачі за цим workflow.</x:v>
      </x:c>
      <x:c r="Z1132" s="15" t="str">
        <x:v>https://prozorro.gov.ua/tender/UA-2026-06-19-004898-a</x:v>
      </x:c>
      <x:c r="AA1132" s="14" t="str">
        <x:v>3014424599</x:v>
      </x:c>
      <x:c r="AB1132" s="14" t="str">
        <x:v>2026-08-24</x:v>
      </x:c>
      <x:c r="AC1132" s="14" t="str"/>
      <x:c r="AD1132" s="20" t="str"/>
      <x:c r="AE1132" s="14" t="str"/>
      <x:c r="AF1132" s="14" t="n">
        <x:v>46</x:v>
      </x:c>
      <x:c r="AG1132" s="14" t="str">
        <x:v>I3</x:v>
      </x:c>
      <x:c r="AH1132" s="14" t="n">
        <x:v>1</x:v>
      </x:c>
      <x:c r="AI1132" s="14" t="n">
        <x:v>0</x:v>
      </x:c>
      <x:c r="AJ1132" s="18" t="n">
        <x:v>64000</x:v>
      </x:c>
      <x:c r="AK1132" s="14" t="str">
        <x:v>https://prozorro.gov.ua/tender/UA-2026-06-19-004898-a</x:v>
      </x:c>
      <x:c r="AL1132" s="19" t="n">
        <x:v>46192.360662037034</x:v>
      </x:c>
      <x:c r="AM1132" s="19" t="n">
        <x:v>46206</x:v>
      </x:c>
      <x:c r="AN1132" s="15" t="str">
        <x:v>Пасивний вогнезахист</x:v>
      </x:c>
      <x:c r="AO1132" s="15" t="str">
        <x:v>not_found_in_top_search</x:v>
      </x:c>
    </x:row>
    <x:row r="1133">
      <x:c r="A1133" s="14" t="str">
        <x:v>W4-314</x:v>
      </x:c>
      <x:c r="B1133" s="14" t="str">
        <x:v>Prozorro expansion — 24.08</x:v>
      </x:c>
      <x:c r="C1133" s="14" t="str">
        <x:v>ПП "МОНТАЖСЕРВІС"</x:v>
      </x:c>
      <x:c r="D1133" s="14" t="str">
        <x:v>Металоконструкції</x:v>
      </x:c>
      <x:c r="E1133" s="14" t="str">
        <x:v>Expansion discovery</x:v>
      </x:c>
      <x:c r="F1133" s="17" t="str">
        <x:v>D3</x:v>
      </x:c>
      <x:c r="G1133" s="14" t="str"/>
      <x:c r="H1133" s="14" t="str">
        <x:v>Discovery розширення — 2 тижні</x:v>
      </x:c>
      <x:c r="I1133" s="16" t="n">
        <x:v>1</x:v>
      </x:c>
      <x:c r="J1133" s="16" t="n">
        <x:v>5</x:v>
      </x:c>
      <x:c r="K1133" s="16" t="n">
        <x:v>5</x:v>
      </x:c>
      <x:c r="L1133" s="16" t="n">
        <x:v>1</x:v>
      </x:c>
      <x:c r="M1133" s="16" t="n">
        <x:v>5</x:v>
      </x:c>
      <x:c r="N1133" s="16" t="n">
        <x:v>5</x:v>
      </x:c>
      <x:c r="O1133" s="16" t="n">
        <x:v>3</x:v>
      </x:c>
      <x:c r="P1133" s="16" t="n">
        <x:f>IF(COUNT(I1133:O1133)&lt;7,"",I1133*8+J1133*3+K1133*2+L1133*2+M1133*2+N1133*2+O1133)</x:f>
        <x:v>58</x:v>
      </x:c>
      <x:c r="Q1133" s="16" t="n">
        <x:f>IF(COUNT(J1133:O1133)&lt;6,"",J1133*5+K1133*4+M1133*4+L1133*3+N1133*2+O1133*2)</x:f>
        <x:v>84</x:v>
      </x:c>
      <x:c r="R1133" s="14" t="str">
        <x:v>high</x:v>
      </x:c>
      <x:c r="S1133" s="14" t="str">
        <x:v>official_prozorro_award_2024_2026</x:v>
      </x:c>
      <x:c r="T1133" s="14" t="str">
        <x:v>official_prozorro_api</x:v>
      </x:c>
      <x:c r="U1133" s="14" t="str">
        <x:v>Не контактували</x:v>
      </x:c>
      <x:c r="V1133" s="15" t="str">
        <x:v>Workflow-audit outreach по UA-2026-06-09-007086-a; попросити 1 пакет здачі та вимоги проєкту</x:v>
      </x:c>
      <x:c r="W1133" s="15" t="str">
        <x:v>Власник / директор; керівник ПТО; відповідальний за договори</x:v>
      </x:c>
      <x:c r="X1133" s="15" t="str">
        <x:v>1 нових підтверджених перемог/договорів у Prozorro на 63 420 грн; 1 зі строком виконання не раніше 24.08.2026.</x:v>
      </x:c>
      <x:c r="Y1133" s="15" t="str">
        <x:v>Послуги з виготовлення та монтажу дверей і металоконструкцій за адресою Вінницька обл., Гайсинський р-н, м. Ладижин, вул. Хлібозаводська, 6; строк до 2026-12-31. Попросити один знеособлений пакет здачі за цим workflow.</x:v>
      </x:c>
      <x:c r="Z1133" s="15" t="str">
        <x:v>https://prozorro.gov.ua/tender/UA-2026-06-09-007086-a</x:v>
      </x:c>
      <x:c r="AA1133" s="14" t="str">
        <x:v>32278731</x:v>
      </x:c>
      <x:c r="AB1133" s="14" t="str">
        <x:v>2026-08-24</x:v>
      </x:c>
      <x:c r="AC1133" s="14" t="str"/>
      <x:c r="AD1133" s="20" t="str"/>
      <x:c r="AE1133" s="14" t="str"/>
      <x:c r="AF1133" s="14" t="n">
        <x:v>46</x:v>
      </x:c>
      <x:c r="AG1133" s="14" t="str">
        <x:v>I3</x:v>
      </x:c>
      <x:c r="AH1133" s="14" t="n">
        <x:v>1</x:v>
      </x:c>
      <x:c r="AI1133" s="14" t="n">
        <x:v>1</x:v>
      </x:c>
      <x:c r="AJ1133" s="18" t="n">
        <x:v>63419.76</x:v>
      </x:c>
      <x:c r="AK1133" s="14" t="str">
        <x:v>https://prozorro.gov.ua/tender/UA-2026-06-09-007086-a</x:v>
      </x:c>
      <x:c r="AL1133" s="19" t="n">
        <x:v>46182.430593969904</x:v>
      </x:c>
      <x:c r="AM1133" s="19" t="n">
        <x:v>46387</x:v>
      </x:c>
      <x:c r="AN1133" s="15" t="str">
        <x:v>Металоконструкції</x:v>
      </x:c>
      <x:c r="AO1133" s="15" t="str">
        <x:v>not_found_in_top_search</x:v>
      </x:c>
    </x:row>
    <x:row r="1134">
      <x:c r="A1134" s="14" t="str">
        <x:v>W4-315</x:v>
      </x:c>
      <x:c r="B1134" s="14" t="str">
        <x:v>Prozorro expansion — 24.08</x:v>
      </x:c>
      <x:c r="C1134" s="14" t="str">
        <x:v>ТОВ "Вогнеборець 101"</x:v>
      </x:c>
      <x:c r="D1134" s="14" t="str">
        <x:v>Пожежогасіння</x:v>
      </x:c>
      <x:c r="E1134" s="14" t="str">
        <x:v>Expansion discovery</x:v>
      </x:c>
      <x:c r="F1134" s="17" t="str">
        <x:v>D3</x:v>
      </x:c>
      <x:c r="G1134" s="14" t="str"/>
      <x:c r="H1134" s="14" t="str">
        <x:v>Discovery розширення — 2 тижні</x:v>
      </x:c>
      <x:c r="I1134" s="16" t="n">
        <x:v>1</x:v>
      </x:c>
      <x:c r="J1134" s="16" t="n">
        <x:v>5</x:v>
      </x:c>
      <x:c r="K1134" s="16" t="n">
        <x:v>5</x:v>
      </x:c>
      <x:c r="L1134" s="16" t="n">
        <x:v>1</x:v>
      </x:c>
      <x:c r="M1134" s="16" t="n">
        <x:v>5</x:v>
      </x:c>
      <x:c r="N1134" s="16" t="n">
        <x:v>5</x:v>
      </x:c>
      <x:c r="O1134" s="16" t="n">
        <x:v>3</x:v>
      </x:c>
      <x:c r="P1134" s="16" t="n">
        <x:f>IF(COUNT(I1134:O1134)&lt;7,"",I1134*8+J1134*3+K1134*2+L1134*2+M1134*2+N1134*2+O1134)</x:f>
        <x:v>58</x:v>
      </x:c>
      <x:c r="Q1134" s="16" t="n">
        <x:f>IF(COUNT(J1134:O1134)&lt;6,"",J1134*5+K1134*4+M1134*4+L1134*3+N1134*2+O1134*2)</x:f>
        <x:v>84</x:v>
      </x:c>
      <x:c r="R1134" s="14" t="str">
        <x:v>high</x:v>
      </x:c>
      <x:c r="S1134" s="14" t="str">
        <x:v>official_prozorro_award_2024_2026</x:v>
      </x:c>
      <x:c r="T1134" s="14" t="str">
        <x:v>official_prozorro_api</x:v>
      </x:c>
      <x:c r="U1134" s="14" t="str">
        <x:v>Не контактували</x:v>
      </x:c>
      <x:c r="V1134" s="15" t="str">
        <x:v>Workflow-audit outreach по UA-2026-06-29-012307-a; попросити 1 пакет здачі та вимоги проєкту</x:v>
      </x:c>
      <x:c r="W1134" s="15" t="str">
        <x:v>Власник / директор; керівник ПТО; відповідальний за договори</x:v>
      </x:c>
      <x:c r="X1134" s="15" t="str">
        <x:v>1 нових підтверджених перемог/договорів у Prozorro на 58 900 грн; 1 зі строком виконання не раніше 24.08.2026.</x:v>
      </x:c>
      <x:c r="Y1134"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 строк до 2026-12-31. Попросити один знеособлений пакет здачі за цим workflow.</x:v>
      </x:c>
      <x:c r="Z1134" s="15" t="str">
        <x:v>https://prozorro.gov.ua/tender/UA-2026-06-29-012307-a</x:v>
      </x:c>
      <x:c r="AA1134" s="14" t="str">
        <x:v>41359936</x:v>
      </x:c>
      <x:c r="AB1134" s="14" t="str">
        <x:v>2026-08-24</x:v>
      </x:c>
      <x:c r="AC1134" s="14" t="str"/>
      <x:c r="AD1134" s="20" t="str"/>
      <x:c r="AE1134" s="14" t="str"/>
      <x:c r="AF1134" s="14" t="n">
        <x:v>46</x:v>
      </x:c>
      <x:c r="AG1134" s="14" t="str">
        <x:v>I3</x:v>
      </x:c>
      <x:c r="AH1134" s="14" t="n">
        <x:v>1</x:v>
      </x:c>
      <x:c r="AI1134" s="14" t="n">
        <x:v>1</x:v>
      </x:c>
      <x:c r="AJ1134" s="18" t="n">
        <x:v>58900</x:v>
      </x:c>
      <x:c r="AK1134" s="14" t="str">
        <x:v>https://prozorro.gov.ua/tender/UA-2026-06-29-012307-a</x:v>
      </x:c>
      <x:c r="AL1134" s="19" t="n">
        <x:v>46202.80076734954</x:v>
      </x:c>
      <x:c r="AM1134" s="19" t="n">
        <x:v>46387.844351851854</x:v>
      </x:c>
      <x:c r="AN1134" s="15" t="str">
        <x:v>Пожежогасіння</x:v>
      </x:c>
      <x:c r="AO1134" s="15" t="str">
        <x:v>not_found_in_top_search</x:v>
      </x:c>
    </x:row>
    <x:row r="1135">
      <x:c r="A1135" s="14" t="str">
        <x:v>W4-316</x:v>
      </x:c>
      <x:c r="B1135" s="14" t="str">
        <x:v>Prozorro expansion — 24.08</x:v>
      </x:c>
      <x:c r="C1135" s="14" t="str">
        <x:v>ЛЕУС ВІТАЛІЙ МИКОЛАЙОВИЧ</x:v>
      </x:c>
      <x:c r="D1135" s="14" t="str">
        <x:v>Зливова каналізація / дренаж</x:v>
      </x:c>
      <x:c r="E1135" s="14" t="str">
        <x:v>Expansion discovery</x:v>
      </x:c>
      <x:c r="F1135" s="17" t="str">
        <x:v>D3</x:v>
      </x:c>
      <x:c r="G1135" s="14" t="str"/>
      <x:c r="H1135" s="14" t="str">
        <x:v>Discovery розширення — 2 тижні</x:v>
      </x:c>
      <x:c r="I1135" s="16" t="n">
        <x:v>1</x:v>
      </x:c>
      <x:c r="J1135" s="16" t="n">
        <x:v>5</x:v>
      </x:c>
      <x:c r="K1135" s="16" t="n">
        <x:v>5</x:v>
      </x:c>
      <x:c r="L1135" s="16" t="n">
        <x:v>1</x:v>
      </x:c>
      <x:c r="M1135" s="16" t="n">
        <x:v>5</x:v>
      </x:c>
      <x:c r="N1135" s="16" t="n">
        <x:v>3</x:v>
      </x:c>
      <x:c r="O1135" s="16" t="n">
        <x:v>3</x:v>
      </x:c>
      <x:c r="P1135" s="16" t="n">
        <x:f>IF(COUNT(I1135:O1135)&lt;7,"",I1135*8+J1135*3+K1135*2+L1135*2+M1135*2+N1135*2+O1135)</x:f>
        <x:v>54</x:v>
      </x:c>
      <x:c r="Q1135" s="16" t="n">
        <x:f>IF(COUNT(J1135:O1135)&lt;6,"",J1135*5+K1135*4+M1135*4+L1135*3+N1135*2+O1135*2)</x:f>
        <x:v>80</x:v>
      </x:c>
      <x:c r="R1135" s="14" t="str">
        <x:v>high</x:v>
      </x:c>
      <x:c r="S1135" s="14" t="str">
        <x:v>official_prozorro_award_2024_2026</x:v>
      </x:c>
      <x:c r="T1135" s="14" t="str">
        <x:v>official_prozorro_api</x:v>
      </x:c>
      <x:c r="U1135" s="14" t="str">
        <x:v>Не контактували</x:v>
      </x:c>
      <x:c r="V1135" s="15" t="str">
        <x:v>Workflow-audit outreach по UA-2026-07-09-009043-a; попросити 1 пакет здачі та вимоги проєкту</x:v>
      </x:c>
      <x:c r="W1135" s="15" t="str">
        <x:v>Власник / виконавець; відповідальний за договір</x:v>
      </x:c>
      <x:c r="X1135" s="15" t="str">
        <x:v>1 нових підтверджених перемог/договорів у Prozorro на 57 013 грн; 0 зі строком виконання не раніше 24.08.2026.</x:v>
      </x:c>
      <x:c r="Y1135"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 строк до 2026-08-01. Попросити один знеособлений пакет здачі за цим workflow.</x:v>
      </x:c>
      <x:c r="Z1135" s="15" t="str">
        <x:v>https://prozorro.gov.ua/tender/UA-2026-07-09-009043-a</x:v>
      </x:c>
      <x:c r="AA1135" s="14" t="str">
        <x:v>2232101130</x:v>
      </x:c>
      <x:c r="AB1135" s="14" t="str">
        <x:v>2026-08-24</x:v>
      </x:c>
      <x:c r="AC1135" s="14" t="str"/>
      <x:c r="AD1135" s="20" t="str"/>
      <x:c r="AE1135" s="14" t="str"/>
      <x:c r="AF1135" s="14" t="n">
        <x:v>46</x:v>
      </x:c>
      <x:c r="AG1135" s="14" t="str">
        <x:v>I3</x:v>
      </x:c>
      <x:c r="AH1135" s="14" t="n">
        <x:v>1</x:v>
      </x:c>
      <x:c r="AI1135" s="14" t="n">
        <x:v>0</x:v>
      </x:c>
      <x:c r="AJ1135" s="18" t="n">
        <x:v>57012.65</x:v>
      </x:c>
      <x:c r="AK1135" s="14" t="str">
        <x:v>https://prozorro.gov.ua/tender/UA-2026-07-09-009043-a</x:v>
      </x:c>
      <x:c r="AL1135" s="19" t="n">
        <x:v>46212.52986858796</x:v>
      </x:c>
      <x:c r="AM1135" s="19" t="n">
        <x:v>46235</x:v>
      </x:c>
      <x:c r="AN1135" s="15" t="str">
        <x:v>Зливова каналізація / дренаж</x:v>
      </x:c>
      <x:c r="AO1135" s="15" t="str">
        <x:v>not_found_in_top_search</x:v>
      </x:c>
    </x:row>
    <x:row r="1136">
      <x:c r="A1136" s="14" t="str">
        <x:v>W4-317</x:v>
      </x:c>
      <x:c r="B1136" s="14" t="str">
        <x:v>Prozorro expansion — 24.08</x:v>
      </x:c>
      <x:c r="C1136" s="14" t="str">
        <x:v>ПРИВАТНЕ ПІДПРИЄМСТВО "ВИРОБНИЧО-КОМЕРЦІЙНИЙ ЦЕНТР "ГРАНД"</x:v>
      </x:c>
      <x:c r="D1136" s="14" t="str">
        <x:v>Пасивний вогнезахист</x:v>
      </x:c>
      <x:c r="E1136" s="14" t="str">
        <x:v>Expansion discovery</x:v>
      </x:c>
      <x:c r="F1136" s="17" t="str">
        <x:v>D3</x:v>
      </x:c>
      <x:c r="G1136" s="14" t="str"/>
      <x:c r="H1136" s="14" t="str">
        <x:v>Discovery розширення — 2 тижні</x:v>
      </x:c>
      <x:c r="I1136" s="16" t="n">
        <x:v>1</x:v>
      </x:c>
      <x:c r="J1136" s="16" t="n">
        <x:v>5</x:v>
      </x:c>
      <x:c r="K1136" s="16" t="n">
        <x:v>5</x:v>
      </x:c>
      <x:c r="L1136" s="16" t="n">
        <x:v>1</x:v>
      </x:c>
      <x:c r="M1136" s="16" t="n">
        <x:v>5</x:v>
      </x:c>
      <x:c r="N1136" s="16" t="n">
        <x:v>5</x:v>
      </x:c>
      <x:c r="O1136" s="16" t="n">
        <x:v>3</x:v>
      </x:c>
      <x:c r="P1136" s="16" t="n">
        <x:f>IF(COUNT(I1136:O1136)&lt;7,"",I1136*8+J1136*3+K1136*2+L1136*2+M1136*2+N1136*2+O1136)</x:f>
        <x:v>58</x:v>
      </x:c>
      <x:c r="Q1136" s="16" t="n">
        <x:f>IF(COUNT(J1136:O1136)&lt;6,"",J1136*5+K1136*4+M1136*4+L1136*3+N1136*2+O1136*2)</x:f>
        <x:v>84</x:v>
      </x:c>
      <x:c r="R1136" s="14" t="str">
        <x:v>high</x:v>
      </x:c>
      <x:c r="S1136" s="14" t="str">
        <x:v>official_prozorro_award_2024_2026</x:v>
      </x:c>
      <x:c r="T1136" s="14" t="str">
        <x:v>official_prozorro_api</x:v>
      </x:c>
      <x:c r="U1136" s="14" t="str">
        <x:v>Не контактували</x:v>
      </x:c>
      <x:c r="V1136" s="15" t="str">
        <x:v>Workflow-audit outreach по UA-2026-06-24-009787-a; попросити 1 пакет здачі та вимоги проєкту</x:v>
      </x:c>
      <x:c r="W1136" s="15" t="str">
        <x:v>Власник / директор; керівник ПТО; відповідальний за договори</x:v>
      </x:c>
      <x:c r="X1136" s="15" t="str">
        <x:v>1 нових підтверджених перемог/договорів у Prozorro на 56 763 грн; 1 зі строком виконання не раніше 24.08.2026.</x:v>
      </x:c>
      <x:c r="Y1136" s="15" t="str">
        <x:v>Послуги з вогнезахисної обробки (просочення) дерев'яних конструкцій покрівлі; строк до 2026-12-31. Попросити один знеособлений пакет здачі за цим workflow.</x:v>
      </x:c>
      <x:c r="Z1136" s="15" t="str">
        <x:v>https://prozorro.gov.ua/tender/UA-2026-06-24-009787-a</x:v>
      </x:c>
      <x:c r="AA1136" s="14" t="str">
        <x:v>42409385</x:v>
      </x:c>
      <x:c r="AB1136" s="14" t="str">
        <x:v>2026-08-24</x:v>
      </x:c>
      <x:c r="AC1136" s="14" t="str"/>
      <x:c r="AD1136" s="20" t="str"/>
      <x:c r="AE1136" s="14" t="str"/>
      <x:c r="AF1136" s="14" t="n">
        <x:v>46</x:v>
      </x:c>
      <x:c r="AG1136" s="14" t="str">
        <x:v>I3</x:v>
      </x:c>
      <x:c r="AH1136" s="14" t="n">
        <x:v>1</x:v>
      </x:c>
      <x:c r="AI1136" s="14" t="n">
        <x:v>1</x:v>
      </x:c>
      <x:c r="AJ1136" s="18" t="n">
        <x:v>56763</x:v>
      </x:c>
      <x:c r="AK1136" s="14" t="str">
        <x:v>https://prozorro.gov.ua/tender/UA-2026-06-24-009787-a</x:v>
      </x:c>
      <x:c r="AL1136" s="19" t="n">
        <x:v>46197.513817430554</x:v>
      </x:c>
      <x:c r="AM1136" s="19" t="n">
        <x:v>46387</x:v>
      </x:c>
      <x:c r="AN1136" s="15" t="str">
        <x:v>Пасивний вогнезахист</x:v>
      </x:c>
      <x:c r="AO1136" s="15" t="str">
        <x:v>not_found_in_top_search</x:v>
      </x:c>
    </x:row>
    <x:row r="1137">
      <x:c r="A1137" s="14" t="str">
        <x:v>W4-318</x:v>
      </x:c>
      <x:c r="B1137" s="14" t="str">
        <x:v>Prozorro expansion — 24.08</x:v>
      </x:c>
      <x:c r="C1137" s="14" t="str">
        <x:v>Товариство з обмеженою відповідальністю "БК Дніпробуд-Сервіс"</x:v>
      </x:c>
      <x:c r="D1137" s="14" t="str">
        <x:v>Металоконструкції</x:v>
      </x:c>
      <x:c r="E1137" s="14" t="str">
        <x:v>Expansion discovery</x:v>
      </x:c>
      <x:c r="F1137" s="17" t="str">
        <x:v>D3</x:v>
      </x:c>
      <x:c r="G1137" s="14" t="str"/>
      <x:c r="H1137" s="14" t="str">
        <x:v>Discovery розширення — 2 тижні</x:v>
      </x:c>
      <x:c r="I1137" s="16" t="n">
        <x:v>1</x:v>
      </x:c>
      <x:c r="J1137" s="16" t="n">
        <x:v>5</x:v>
      </x:c>
      <x:c r="K1137" s="16" t="n">
        <x:v>5</x:v>
      </x:c>
      <x:c r="L1137" s="16" t="n">
        <x:v>1</x:v>
      </x:c>
      <x:c r="M1137" s="16" t="n">
        <x:v>5</x:v>
      </x:c>
      <x:c r="N1137" s="16" t="n">
        <x:v>5</x:v>
      </x:c>
      <x:c r="O1137" s="16" t="n">
        <x:v>3</x:v>
      </x:c>
      <x:c r="P1137" s="16" t="n">
        <x:f>IF(COUNT(I1137:O1137)&lt;7,"",I1137*8+J1137*3+K1137*2+L1137*2+M1137*2+N1137*2+O1137)</x:f>
        <x:v>58</x:v>
      </x:c>
      <x:c r="Q1137" s="16" t="n">
        <x:f>IF(COUNT(J1137:O1137)&lt;6,"",J1137*5+K1137*4+M1137*4+L1137*3+N1137*2+O1137*2)</x:f>
        <x:v>84</x:v>
      </x:c>
      <x:c r="R1137" s="14" t="str">
        <x:v>high</x:v>
      </x:c>
      <x:c r="S1137" s="14" t="str">
        <x:v>official_prozorro_award_2024_2026</x:v>
      </x:c>
      <x:c r="T1137" s="14" t="str">
        <x:v>official_prozorro_api</x:v>
      </x:c>
      <x:c r="U1137" s="14" t="str">
        <x:v>Не контактували</x:v>
      </x:c>
      <x:c r="V1137" s="15" t="str">
        <x:v>Workflow-audit outreach по UA-2026-05-18-013252-a; попросити 1 пакет здачі та вимоги проєкту</x:v>
      </x:c>
      <x:c r="W1137" s="15" t="str">
        <x:v>Власник / директор; керівник ПТО; відповідальний за договори</x:v>
      </x:c>
      <x:c r="X1137" s="15" t="str">
        <x:v>1 нових підтверджених перемог/договорів у Prozorro на 53 142 грн; 1 зі строком виконання не раніше 24.08.2026.</x:v>
      </x:c>
      <x:c r="Y1137"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 строк до 2026-12-31. Попросити один знеособлений пакет здачі за цим workflow.</x:v>
      </x:c>
      <x:c r="Z1137" s="15" t="str">
        <x:v>https://prozorro.gov.ua/tender/UA-2026-05-18-013252-a</x:v>
      </x:c>
      <x:c r="AA1137" s="14" t="str">
        <x:v>39014471</x:v>
      </x:c>
      <x:c r="AB1137" s="14" t="str">
        <x:v>2026-08-24</x:v>
      </x:c>
      <x:c r="AC1137" s="14" t="str"/>
      <x:c r="AD1137" s="20" t="str"/>
      <x:c r="AE1137" s="14" t="str"/>
      <x:c r="AF1137" s="14" t="n">
        <x:v>46</x:v>
      </x:c>
      <x:c r="AG1137" s="14" t="str">
        <x:v>I3</x:v>
      </x:c>
      <x:c r="AH1137" s="14" t="n">
        <x:v>1</x:v>
      </x:c>
      <x:c r="AI1137" s="14" t="n">
        <x:v>1</x:v>
      </x:c>
      <x:c r="AJ1137" s="18" t="n">
        <x:v>53142</x:v>
      </x:c>
      <x:c r="AK1137" s="14" t="str">
        <x:v>https://prozorro.gov.ua/tender/UA-2026-05-18-013252-a</x:v>
      </x:c>
      <x:c r="AL1137" s="19" t="n">
        <x:v>46160.592352175925</x:v>
      </x:c>
      <x:c r="AM1137" s="19" t="n">
        <x:v>46387</x:v>
      </x:c>
      <x:c r="AN1137" s="15" t="str">
        <x:v>Металоконструкції</x:v>
      </x:c>
      <x:c r="AO1137" s="15" t="str">
        <x:v>not_found_in_top_search</x:v>
      </x:c>
    </x:row>
    <x:row r="1138">
      <x:c r="A1138" s="14" t="str">
        <x:v>W4-319</x:v>
      </x:c>
      <x:c r="B1138" s="14" t="str">
        <x:v>Prozorro expansion — 24.08</x:v>
      </x:c>
      <x:c r="C1138" s="14" t="str">
        <x:v>Бондаренко Віталій Юрійович</x:v>
      </x:c>
      <x:c r="D1138" s="14" t="str">
        <x:v>Пасивний вогнезахист</x:v>
      </x:c>
      <x:c r="E1138" s="14" t="str">
        <x:v>Expansion discovery</x:v>
      </x:c>
      <x:c r="F1138" s="17" t="str">
        <x:v>D3</x:v>
      </x:c>
      <x:c r="G1138" s="14" t="str"/>
      <x:c r="H1138" s="14" t="str">
        <x:v>Discovery розширення — 2 тижні</x:v>
      </x:c>
      <x:c r="I1138" s="16" t="n">
        <x:v>1</x:v>
      </x:c>
      <x:c r="J1138" s="16" t="n">
        <x:v>5</x:v>
      </x:c>
      <x:c r="K1138" s="16" t="n">
        <x:v>5</x:v>
      </x:c>
      <x:c r="L1138" s="16" t="n">
        <x:v>1</x:v>
      </x:c>
      <x:c r="M1138" s="16" t="n">
        <x:v>5</x:v>
      </x:c>
      <x:c r="N1138" s="16" t="n">
        <x:v>3</x:v>
      </x:c>
      <x:c r="O1138" s="16" t="n">
        <x:v>3</x:v>
      </x:c>
      <x:c r="P1138" s="16" t="n">
        <x:f>IF(COUNT(I1138:O1138)&lt;7,"",I1138*8+J1138*3+K1138*2+L1138*2+M1138*2+N1138*2+O1138)</x:f>
        <x:v>54</x:v>
      </x:c>
      <x:c r="Q1138" s="16" t="n">
        <x:f>IF(COUNT(J1138:O1138)&lt;6,"",J1138*5+K1138*4+M1138*4+L1138*3+N1138*2+O1138*2)</x:f>
        <x:v>80</x:v>
      </x:c>
      <x:c r="R1138" s="14" t="str">
        <x:v>high</x:v>
      </x:c>
      <x:c r="S1138" s="14" t="str">
        <x:v>official_prozorro_award_2024_2026</x:v>
      </x:c>
      <x:c r="T1138" s="14" t="str">
        <x:v>official_prozorro_api</x:v>
      </x:c>
      <x:c r="U1138" s="14" t="str">
        <x:v>Не контактували</x:v>
      </x:c>
      <x:c r="V1138" s="15" t="str">
        <x:v>Повторне звернення з новим тендерним сигналом UA-2025-09-09-003596-a; попросити 1 пакет здачі</x:v>
      </x:c>
      <x:c r="W1138" s="15" t="str">
        <x:v>Власник / виконавець; відповідальний за договір</x:v>
      </x:c>
      <x:c r="X1138" s="15" t="str">
        <x:v>1 нових підтверджених перемог/договорів у Prozorro на 51 980 грн; 1 зі строком виконання не раніше 24.08.2026.</x:v>
      </x:c>
      <x:c r="Y1138" s="15" t="str">
        <x:v>Послуги з вогнезахисної обробки дерев'яних конструкцій адмінприміщення м. Кропивницький вул. Велика Перспективна, 33; строк до 2026-11-30. Попросити один знеособлений пакет здачі за цим workflow.</x:v>
      </x:c>
      <x:c r="Z1138" s="15" t="str">
        <x:v>https://prozorro.gov.ua/tender/UA-2026-06-25-008807-a</x:v>
      </x:c>
      <x:c r="AA1138" s="14" t="str">
        <x:v>3349606212</x:v>
      </x:c>
      <x:c r="AB1138" s="14" t="str">
        <x:v>2026-08-24</x:v>
      </x:c>
      <x:c r="AC1138" s="14" t="str"/>
      <x:c r="AD1138" s="20" t="str"/>
      <x:c r="AE1138" s="14" t="str"/>
      <x:c r="AF1138" s="14" t="n">
        <x:v>46</x:v>
      </x:c>
      <x:c r="AG1138" s="14" t="str">
        <x:v>I3</x:v>
      </x:c>
      <x:c r="AH1138" s="14" t="n">
        <x:v>2</x:v>
      </x:c>
      <x:c r="AI1138" s="14" t="n">
        <x:v>1</x:v>
      </x:c>
      <x:c r="AJ1138" s="18" t="n">
        <x:v>115980</x:v>
      </x:c>
      <x:c r="AK1138" s="14" t="str">
        <x:v>https://prozorro.gov.ua/tender/UA-2025-09-09-003596-a</x:v>
      </x:c>
      <x:c r="AL1138" s="19" t="n">
        <x:v>45909.33651770833</x:v>
      </x:c>
      <x:c r="AM1138" s="19" t="n">
        <x:v>46022</x:v>
      </x:c>
      <x:c r="AN1138" s="15" t="str">
        <x:v>Пасивний вогнезахист; Блискавкозахист / заземлення</x:v>
      </x:c>
      <x:c r="AO1138" s="15" t="str">
        <x:v>not_found_in_top_search</x:v>
      </x:c>
    </x:row>
    <x:row r="1139">
      <x:c r="A1139" s="14" t="str">
        <x:v>W4-320</x:v>
      </x:c>
      <x:c r="B1139" s="14" t="str">
        <x:v>Prozorro expansion — 24.08</x:v>
      </x:c>
      <x:c r="C1139" s="14" t="str">
        <x:v>Криворучко Роман Андрійович</x:v>
      </x:c>
      <x:c r="D1139" s="14" t="str">
        <x:v>СКС / BMS / слаботочка</x:v>
      </x:c>
      <x:c r="E1139" s="14" t="str">
        <x:v>Expansion discovery</x:v>
      </x:c>
      <x:c r="F1139" s="17" t="str">
        <x:v>D3</x:v>
      </x:c>
      <x:c r="G1139" s="14" t="str"/>
      <x:c r="H1139" s="14" t="str">
        <x:v>Discovery розширення — 2 тижні</x:v>
      </x:c>
      <x:c r="I1139" s="16" t="n">
        <x:v>2</x:v>
      </x:c>
      <x:c r="J1139" s="16" t="n">
        <x:v>5</x:v>
      </x:c>
      <x:c r="K1139" s="16" t="n">
        <x:v>4</x:v>
      </x:c>
      <x:c r="L1139" s="16" t="n">
        <x:v>1</x:v>
      </x:c>
      <x:c r="M1139" s="16" t="n">
        <x:v>5</x:v>
      </x:c>
      <x:c r="N1139" s="16" t="n">
        <x:v>3</x:v>
      </x:c>
      <x:c r="O1139" s="16" t="n">
        <x:v>3</x:v>
      </x:c>
      <x:c r="P1139" s="16" t="n">
        <x:f>IF(COUNT(I1139:O1139)&lt;7,"",I1139*8+J1139*3+K1139*2+L1139*2+M1139*2+N1139*2+O1139)</x:f>
        <x:v>60</x:v>
      </x:c>
      <x:c r="Q1139" s="16" t="n">
        <x:f>IF(COUNT(J1139:O1139)&lt;6,"",J1139*5+K1139*4+M1139*4+L1139*3+N1139*2+O1139*2)</x:f>
        <x:v>76</x:v>
      </x:c>
      <x:c r="R1139" s="14" t="str">
        <x:v>high</x:v>
      </x:c>
      <x:c r="S1139" s="14" t="str">
        <x:v>official_prozorro_award_2024_2026</x:v>
      </x:c>
      <x:c r="T1139" s="14" t="str">
        <x:v>official_prozorro_api</x:v>
      </x:c>
      <x:c r="U1139" s="14" t="str">
        <x:v>Не контактували</x:v>
      </x:c>
      <x:c r="V1139" s="15" t="str">
        <x:v>Workflow-audit outreach по UA-2026-05-19-011859-a; попросити 1 пакет здачі та вимоги проєкту</x:v>
      </x:c>
      <x:c r="W1139" s="15" t="str">
        <x:v>Власник / виконавець; відповідальний за договір</x:v>
      </x:c>
      <x:c r="X1139" s="15" t="str">
        <x:v>1 нових підтверджених перемог/договорів у Prozorro на 48 500 грн; 1 зі строком виконання не раніше 24.08.2026.</x:v>
      </x:c>
      <x:c r="Y1139" s="15" t="str">
        <x:v>Послуги з монтажу структурованих кабельних систем і ін. м.Львів; строк до 2026-12-31. Попросити один знеособлений пакет здачі за цим workflow.</x:v>
      </x:c>
      <x:c r="Z1139" s="15" t="str">
        <x:v>https://prozorro.gov.ua/tender/UA-2026-05-19-011859-a</x:v>
      </x:c>
      <x:c r="AA1139" s="14" t="str">
        <x:v>3576202472</x:v>
      </x:c>
      <x:c r="AB1139" s="14" t="str">
        <x:v>2026-08-24</x:v>
      </x:c>
      <x:c r="AC1139" s="14" t="str"/>
      <x:c r="AD1139" s="20" t="str"/>
      <x:c r="AE1139" s="14" t="str"/>
      <x:c r="AF1139" s="14" t="n">
        <x:v>46</x:v>
      </x:c>
      <x:c r="AG1139" s="14" t="str">
        <x:v>I3</x:v>
      </x:c>
      <x:c r="AH1139" s="14" t="n">
        <x:v>1</x:v>
      </x:c>
      <x:c r="AI1139" s="14" t="n">
        <x:v>1</x:v>
      </x:c>
      <x:c r="AJ1139" s="18" t="n">
        <x:v>48500</x:v>
      </x:c>
      <x:c r="AK1139" s="14" t="str">
        <x:v>https://prozorro.gov.ua/tender/UA-2026-05-19-011859-a</x:v>
      </x:c>
      <x:c r="AL1139" s="19" t="n">
        <x:v>46161.53695164352</x:v>
      </x:c>
      <x:c r="AM1139" s="19" t="n">
        <x:v>46387</x:v>
      </x:c>
      <x:c r="AN1139" s="15" t="str">
        <x:v>СКС / BMS / слаботочка</x:v>
      </x:c>
      <x:c r="AO1139" s="15" t="str">
        <x:v>not_found_in_top_search</x:v>
      </x:c>
    </x:row>
    <x:row r="1140">
      <x:c r="A1140" s="14" t="str">
        <x:v>W4-321</x:v>
      </x:c>
      <x:c r="B1140" s="14" t="str">
        <x:v>Prozorro expansion — 24.08</x:v>
      </x:c>
      <x:c r="C1140" s="14" t="str">
        <x:v>ДРОБУШ ЄВГЕН ВАСИЛЬОВИЧ</x:v>
      </x:c>
      <x:c r="D1140" s="14" t="str">
        <x:v>Внутрішні сантехнічні системи</x:v>
      </x:c>
      <x:c r="E1140" s="14" t="str">
        <x:v>Pilot now</x:v>
      </x:c>
      <x:c r="F1140" s="17" t="str">
        <x:v>P3</x:v>
      </x:c>
      <x:c r="G1140" s="14" t="str"/>
      <x:c r="H1140" s="14" t="str">
        <x:v>Пілот зараз — Н.14</x:v>
      </x:c>
      <x:c r="I1140" s="16" t="n">
        <x:v>5</x:v>
      </x:c>
      <x:c r="J1140" s="16" t="n">
        <x:v>5</x:v>
      </x:c>
      <x:c r="K1140" s="16" t="n">
        <x:v>4</x:v>
      </x:c>
      <x:c r="L1140" s="16" t="n">
        <x:v>1</x:v>
      </x:c>
      <x:c r="M1140" s="16" t="n">
        <x:v>5</x:v>
      </x:c>
      <x:c r="N1140" s="16" t="n">
        <x:v>3</x:v>
      </x:c>
      <x:c r="O1140" s="16" t="n">
        <x:v>3</x:v>
      </x:c>
      <x:c r="P1140" s="16" t="n">
        <x:f>IF(COUNT(I1140:O1140)&lt;7,"",I1140*8+J1140*3+K1140*2+L1140*2+M1140*2+N1140*2+O1140)</x:f>
        <x:v>84</x:v>
      </x:c>
      <x:c r="Q1140" s="16" t="n">
        <x:f>IF(COUNT(J1140:O1140)&lt;6,"",J1140*5+K1140*4+M1140*4+L1140*3+N1140*2+O1140*2)</x:f>
        <x:v>76</x:v>
      </x:c>
      <x:c r="R1140" s="14" t="str">
        <x:v>high</x:v>
      </x:c>
      <x:c r="S1140" s="14" t="str">
        <x:v>official_prozorro_award_2024_2026</x:v>
      </x:c>
      <x:c r="T1140" s="14" t="str">
        <x:v>official_prozorro_api</x:v>
      </x:c>
      <x:c r="U1140" s="14" t="str">
        <x:v>Не контактували</x:v>
      </x:c>
      <x:c r="V1140" s="15" t="str">
        <x:v>Персоналізований free-pilot outreach по UA-2026-05-25-005490-a; попросити 1 пакет Н.14/Н.15</x:v>
      </x:c>
      <x:c r="W1140" s="15" t="str">
        <x:v>Власник / виконавець; відповідальний за договір</x:v>
      </x:c>
      <x:c r="X1140" s="15" t="str">
        <x:v>1 нових підтверджених перемог/договорів у Prozorro на 46 856 грн; 0 зі строком виконання не раніше 24.08.2026.</x:v>
      </x:c>
      <x:c r="Y1140"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 строк до 2026-07-04. Попросити один знеособлений пакет здачі за цим workflow.</x:v>
      </x:c>
      <x:c r="Z1140" s="15" t="str">
        <x:v>https://prozorro.gov.ua/tender/UA-2026-05-25-005490-a</x:v>
      </x:c>
      <x:c r="AA1140" s="14" t="str">
        <x:v>3005918273</x:v>
      </x:c>
      <x:c r="AB1140" s="14" t="str">
        <x:v>2026-08-24</x:v>
      </x:c>
      <x:c r="AC1140" s="14" t="str"/>
      <x:c r="AD1140" s="20" t="str"/>
      <x:c r="AE1140" s="14" t="str"/>
      <x:c r="AF1140" s="14" t="n">
        <x:v>46</x:v>
      </x:c>
      <x:c r="AG1140" s="14" t="str">
        <x:v>I3</x:v>
      </x:c>
      <x:c r="AH1140" s="14" t="n">
        <x:v>1</x:v>
      </x:c>
      <x:c r="AI1140" s="14" t="n">
        <x:v>0</x:v>
      </x:c>
      <x:c r="AJ1140" s="18" t="n">
        <x:v>46855.93</x:v>
      </x:c>
      <x:c r="AK1140" s="14" t="str">
        <x:v>https://prozorro.gov.ua/tender/UA-2026-05-25-005490-a</x:v>
      </x:c>
      <x:c r="AL1140" s="19" t="n">
        <x:v>46167.39012002315</x:v>
      </x:c>
      <x:c r="AM1140" s="19" t="n">
        <x:v>46207</x:v>
      </x:c>
      <x:c r="AN1140" s="15" t="str">
        <x:v>Внутрішні сантехнічні системи</x:v>
      </x:c>
      <x:c r="AO1140" s="15" t="str">
        <x:v>not_found_in_top_search</x:v>
      </x:c>
    </x:row>
    <x:row r="1141">
      <x:c r="A1141" s="14" t="str">
        <x:v>W4-322</x:v>
      </x:c>
      <x:c r="B1141" s="14" t="str">
        <x:v>Prozorro expansion — 24.08</x:v>
      </x:c>
      <x:c r="C1141" s="14" t="str">
        <x:v>ТОВ "Укрпожбуд"</x:v>
      </x:c>
      <x:c r="D1141" s="14" t="str">
        <x:v>Пасивний вогнезахист</x:v>
      </x:c>
      <x:c r="E1141" s="14" t="str">
        <x:v>Expansion discovery</x:v>
      </x:c>
      <x:c r="F1141" s="17" t="str">
        <x:v>D3</x:v>
      </x:c>
      <x:c r="G1141" s="14" t="str"/>
      <x:c r="H1141" s="14" t="str">
        <x:v>Discovery розширення — 2 тижні</x:v>
      </x:c>
      <x:c r="I1141" s="16" t="n">
        <x:v>1</x:v>
      </x:c>
      <x:c r="J1141" s="16" t="n">
        <x:v>5</x:v>
      </x:c>
      <x:c r="K1141" s="16" t="n">
        <x:v>5</x:v>
      </x:c>
      <x:c r="L1141" s="16" t="n">
        <x:v>1</x:v>
      </x:c>
      <x:c r="M1141" s="16" t="n">
        <x:v>5</x:v>
      </x:c>
      <x:c r="N1141" s="16" t="n">
        <x:v>5</x:v>
      </x:c>
      <x:c r="O1141" s="16" t="n">
        <x:v>3</x:v>
      </x:c>
      <x:c r="P1141" s="16" t="n">
        <x:f>IF(COUNT(I1141:O1141)&lt;7,"",I1141*8+J1141*3+K1141*2+L1141*2+M1141*2+N1141*2+O1141)</x:f>
        <x:v>58</x:v>
      </x:c>
      <x:c r="Q1141" s="16" t="n">
        <x:f>IF(COUNT(J1141:O1141)&lt;6,"",J1141*5+K1141*4+M1141*4+L1141*3+N1141*2+O1141*2)</x:f>
        <x:v>84</x:v>
      </x:c>
      <x:c r="R1141" s="14" t="str">
        <x:v>high</x:v>
      </x:c>
      <x:c r="S1141" s="14" t="str">
        <x:v>official_prozorro_award_2024_2026</x:v>
      </x:c>
      <x:c r="T1141" s="14" t="str">
        <x:v>official_prozorro_api</x:v>
      </x:c>
      <x:c r="U1141" s="14" t="str">
        <x:v>Не контактували</x:v>
      </x:c>
      <x:c r="V1141" s="15" t="str">
        <x:v>Workflow-audit outreach по UA-2026-06-16-007573-a; попросити 1 пакет здачі та вимоги проєкту</x:v>
      </x:c>
      <x:c r="W1141" s="15" t="str">
        <x:v>Власник / директор; керівник ПТО; відповідальний за договори</x:v>
      </x:c>
      <x:c r="X1141" s="15" t="str">
        <x:v>1 нових підтверджених перемог/договорів у Prozorro на 45 965 грн; 0 зі строком виконання не раніше 24.08.2026.</x:v>
      </x:c>
      <x:c r="Y1141" s="15" t="str">
        <x:v>Вогнезахисна обробка дерев'яних конструкцій горища будівлі; строк до 2026-07-15. Попросити один знеособлений пакет здачі за цим workflow.</x:v>
      </x:c>
      <x:c r="Z1141" s="15" t="str">
        <x:v>https://prozorro.gov.ua/tender/UA-2026-06-16-007573-a</x:v>
      </x:c>
      <x:c r="AA1141" s="14" t="str">
        <x:v>43007135</x:v>
      </x:c>
      <x:c r="AB1141" s="14" t="str">
        <x:v>2026-08-24</x:v>
      </x:c>
      <x:c r="AC1141" s="14" t="str"/>
      <x:c r="AD1141" s="20" t="str"/>
      <x:c r="AE1141" s="14" t="str"/>
      <x:c r="AF1141" s="14" t="n">
        <x:v>46</x:v>
      </x:c>
      <x:c r="AG1141" s="14" t="str">
        <x:v>I3</x:v>
      </x:c>
      <x:c r="AH1141" s="14" t="n">
        <x:v>1</x:v>
      </x:c>
      <x:c r="AI1141" s="14" t="n">
        <x:v>0</x:v>
      </x:c>
      <x:c r="AJ1141" s="18" t="n">
        <x:v>45965.4</x:v>
      </x:c>
      <x:c r="AK1141" s="14" t="str">
        <x:v>https://prozorro.gov.ua/tender/UA-2026-06-16-007573-a</x:v>
      </x:c>
      <x:c r="AL1141" s="19" t="n">
        <x:v>46189.46294755787</x:v>
      </x:c>
      <x:c r="AM1141" s="19" t="n">
        <x:v>46218.45502314815</x:v>
      </x:c>
      <x:c r="AN1141" s="15" t="str">
        <x:v>Пасивний вогнезахист</x:v>
      </x:c>
      <x:c r="AO1141" s="15" t="str">
        <x:v>not_found_in_top_search</x:v>
      </x:c>
    </x:row>
    <x:row r="1142">
      <x:c r="A1142" s="14" t="str">
        <x:v>W4-323</x:v>
      </x:c>
      <x:c r="B1142" s="14" t="str">
        <x:v>Prozorro expansion — 24.08</x:v>
      </x:c>
      <x:c r="C1142" s="14" t="str">
        <x:v>ТОВАРИСТВО З ОБМЕЖЕНОЮ ВІДПОВІДАЛЬНІСТЮ "ПОЖДУМА-РІВНЕ"</x:v>
      </x:c>
      <x:c r="D1142" s="14" t="str">
        <x:v>Пасивний вогнезахист</x:v>
      </x:c>
      <x:c r="E1142" s="14" t="str">
        <x:v>Expansion discovery</x:v>
      </x:c>
      <x:c r="F1142" s="17" t="str">
        <x:v>D3</x:v>
      </x:c>
      <x:c r="G1142" s="14" t="str"/>
      <x:c r="H1142" s="14" t="str">
        <x:v>Discovery розширення — 2 тижні</x:v>
      </x:c>
      <x:c r="I1142" s="16" t="n">
        <x:v>1</x:v>
      </x:c>
      <x:c r="J1142" s="16" t="n">
        <x:v>5</x:v>
      </x:c>
      <x:c r="K1142" s="16" t="n">
        <x:v>5</x:v>
      </x:c>
      <x:c r="L1142" s="16" t="n">
        <x:v>1</x:v>
      </x:c>
      <x:c r="M1142" s="16" t="n">
        <x:v>5</x:v>
      </x:c>
      <x:c r="N1142" s="16" t="n">
        <x:v>5</x:v>
      </x:c>
      <x:c r="O1142" s="16" t="n">
        <x:v>3</x:v>
      </x:c>
      <x:c r="P1142" s="16" t="n">
        <x:f>IF(COUNT(I1142:O1142)&lt;7,"",I1142*8+J1142*3+K1142*2+L1142*2+M1142*2+N1142*2+O1142)</x:f>
        <x:v>58</x:v>
      </x:c>
      <x:c r="Q1142" s="16" t="n">
        <x:f>IF(COUNT(J1142:O1142)&lt;6,"",J1142*5+K1142*4+M1142*4+L1142*3+N1142*2+O1142*2)</x:f>
        <x:v>84</x:v>
      </x:c>
      <x:c r="R1142" s="14" t="str">
        <x:v>high</x:v>
      </x:c>
      <x:c r="S1142" s="14" t="str">
        <x:v>official_prozorro_award_2024_2026</x:v>
      </x:c>
      <x:c r="T1142" s="14" t="str">
        <x:v>official_prozorro_api</x:v>
      </x:c>
      <x:c r="U1142" s="14" t="str">
        <x:v>Не контактували</x:v>
      </x:c>
      <x:c r="V1142" s="15" t="str">
        <x:v>Workflow-audit outreach по UA-2026-05-25-010533-a; попросити 1 пакет здачі та вимоги проєкту</x:v>
      </x:c>
      <x:c r="W1142" s="15" t="str">
        <x:v>Власник / директор; керівник ПТО; відповідальний за договори</x:v>
      </x:c>
      <x:c r="X1142" s="15" t="str">
        <x:v>1 нових підтверджених перемог/договорів у Prozorro на 43 801 грн; 0 зі строком виконання не раніше 24.08.2026.</x:v>
      </x:c>
      <x:c r="Y1142" s="15" t="str">
        <x:v>Послуги з обробки вогнезахисним розчином дерев'яних конструкцій покрівлі приміщення; строк до 2026-07-24. Попросити один знеособлений пакет здачі за цим workflow.</x:v>
      </x:c>
      <x:c r="Z1142" s="15" t="str">
        <x:v>https://prozorro.gov.ua/tender/UA-2026-05-25-010533-a</x:v>
      </x:c>
      <x:c r="AA1142" s="14" t="str">
        <x:v>43407331</x:v>
      </x:c>
      <x:c r="AB1142" s="14" t="str">
        <x:v>2026-08-24</x:v>
      </x:c>
      <x:c r="AC1142" s="14" t="str"/>
      <x:c r="AD1142" s="20" t="str"/>
      <x:c r="AE1142" s="14" t="str"/>
      <x:c r="AF1142" s="14" t="n">
        <x:v>46</x:v>
      </x:c>
      <x:c r="AG1142" s="14" t="str">
        <x:v>I3</x:v>
      </x:c>
      <x:c r="AH1142" s="14" t="n">
        <x:v>1</x:v>
      </x:c>
      <x:c r="AI1142" s="14" t="n">
        <x:v>0</x:v>
      </x:c>
      <x:c r="AJ1142" s="18" t="n">
        <x:v>43801.38</x:v>
      </x:c>
      <x:c r="AK1142" s="14" t="str">
        <x:v>https://prozorro.gov.ua/tender/UA-2026-05-25-010533-a</x:v>
      </x:c>
      <x:c r="AL1142" s="19" t="n">
        <x:v>46167.522205625</x:v>
      </x:c>
      <x:c r="AM1142" s="19" t="n">
        <x:v>46227</x:v>
      </x:c>
      <x:c r="AN1142" s="15" t="str">
        <x:v>Пасивний вогнезахист</x:v>
      </x:c>
      <x:c r="AO1142" s="15" t="str">
        <x:v>not_found_in_top_search</x:v>
      </x:c>
    </x:row>
    <x:row r="1143">
      <x:c r="A1143" s="14" t="str">
        <x:v>W4-324</x:v>
      </x:c>
      <x:c r="B1143" s="14" t="str">
        <x:v>Prozorro expansion — 24.08</x:v>
      </x:c>
      <x:c r="C1143" s="14" t="str">
        <x:v>ТОВАРИСТВО З ОБМЕЖЕНОЮ ВІДПОВІДАЛЬНІСТЮ "ХМЕЛЬНИЦЬКИЙ - ПОЖЕЖНЕ СПОСТЕРЕЖЕННЯ"</x:v>
      </x:c>
      <x:c r="D1143" s="14" t="str">
        <x:v>Пожежогасіння</x:v>
      </x:c>
      <x:c r="E1143" s="14" t="str">
        <x:v>Expansion discovery</x:v>
      </x:c>
      <x:c r="F1143" s="17" t="str">
        <x:v>D3</x:v>
      </x:c>
      <x:c r="G1143" s="14" t="str"/>
      <x:c r="H1143" s="14" t="str">
        <x:v>Discovery розширення — 2 тижні</x:v>
      </x:c>
      <x:c r="I1143" s="16" t="n">
        <x:v>1</x:v>
      </x:c>
      <x:c r="J1143" s="16" t="n">
        <x:v>5</x:v>
      </x:c>
      <x:c r="K1143" s="16" t="n">
        <x:v>5</x:v>
      </x:c>
      <x:c r="L1143" s="16" t="n">
        <x:v>1</x:v>
      </x:c>
      <x:c r="M1143" s="16" t="n">
        <x:v>5</x:v>
      </x:c>
      <x:c r="N1143" s="16" t="n">
        <x:v>5</x:v>
      </x:c>
      <x:c r="O1143" s="16" t="n">
        <x:v>3</x:v>
      </x:c>
      <x:c r="P1143" s="16" t="n">
        <x:f>IF(COUNT(I1143:O1143)&lt;7,"",I1143*8+J1143*3+K1143*2+L1143*2+M1143*2+N1143*2+O1143)</x:f>
        <x:v>58</x:v>
      </x:c>
      <x:c r="Q1143" s="16" t="n">
        <x:f>IF(COUNT(J1143:O1143)&lt;6,"",J1143*5+K1143*4+M1143*4+L1143*3+N1143*2+O1143*2)</x:f>
        <x:v>84</x:v>
      </x:c>
      <x:c r="R1143" s="14" t="str">
        <x:v>high</x:v>
      </x:c>
      <x:c r="S1143" s="14" t="str">
        <x:v>official_prozorro_award_2024_2026</x:v>
      </x:c>
      <x:c r="T1143" s="14" t="str">
        <x:v>official_prozorro_api</x:v>
      </x:c>
      <x:c r="U1143" s="14" t="str">
        <x:v>Не контактували</x:v>
      </x:c>
      <x:c r="V1143" s="15" t="str">
        <x:v>Workflow-audit outreach по UA-2026-06-05-007391-a; попросити 1 пакет здачі та вимоги проєкту</x:v>
      </x:c>
      <x:c r="W1143" s="15" t="str">
        <x:v>Власник / директор; керівник ПТО; відповідальний за договори</x:v>
      </x:c>
      <x:c r="X1143" s="15" t="str">
        <x:v>1 нових підтверджених перемог/договорів у Prozorro на 43 110 грн; 1 зі строком виконання не раніше 24.08.2026.</x:v>
      </x:c>
      <x:c r="Y1143" s="15" t="str">
        <x:v>Послуги з монтажу системи пожежної сигналізації в приміщенні МКП "Хмельницькводоканал" за адресою: м.Хмельницький, вул. Водопровідна, 75; строк до 2026-12-31. Попросити один знеособлений пакет здачі за цим workflow.</x:v>
      </x:c>
      <x:c r="Z1143" s="15" t="str">
        <x:v>https://prozorro.gov.ua/tender/UA-2026-06-05-007391-a</x:v>
      </x:c>
      <x:c r="AA1143" s="14" t="str">
        <x:v>33071974</x:v>
      </x:c>
      <x:c r="AB1143" s="14" t="str">
        <x:v>2026-08-24</x:v>
      </x:c>
      <x:c r="AC1143" s="14" t="str"/>
      <x:c r="AD1143" s="20" t="str"/>
      <x:c r="AE1143" s="14" t="str"/>
      <x:c r="AF1143" s="14" t="n">
        <x:v>46</x:v>
      </x:c>
      <x:c r="AG1143" s="14" t="str">
        <x:v>I3</x:v>
      </x:c>
      <x:c r="AH1143" s="14" t="n">
        <x:v>1</x:v>
      </x:c>
      <x:c r="AI1143" s="14" t="n">
        <x:v>1</x:v>
      </x:c>
      <x:c r="AJ1143" s="18" t="n">
        <x:v>43110.2</x:v>
      </x:c>
      <x:c r="AK1143" s="14" t="str">
        <x:v>https://prozorro.gov.ua/tender/UA-2026-06-05-007391-a</x:v>
      </x:c>
      <x:c r="AL1143" s="19" t="n">
        <x:v>46178.442513761576</x:v>
      </x:c>
      <x:c r="AM1143" s="19" t="n">
        <x:v>46387</x:v>
      </x:c>
      <x:c r="AN1143" s="15" t="str">
        <x:v>Пожежогасіння</x:v>
      </x:c>
      <x:c r="AO1143" s="15" t="str">
        <x:v>not_found_in_top_search</x:v>
      </x:c>
    </x:row>
    <x:row r="1144">
      <x:c r="A1144" s="14" t="str">
        <x:v>W4-325</x:v>
      </x:c>
      <x:c r="B1144" s="14" t="str">
        <x:v>Prozorro expansion — 24.08</x:v>
      </x:c>
      <x:c r="C1144" s="14" t="str">
        <x:v>КОСИК ВІТАЛІЙ ОЛЕКСІЙОВИЧ</x:v>
      </x:c>
      <x:c r="D1144" s="14" t="str">
        <x:v>Електромонтаж</x:v>
      </x:c>
      <x:c r="E1144" s="14" t="str">
        <x:v>Pilot now</x:v>
      </x:c>
      <x:c r="F1144" s="17" t="str">
        <x:v>P3</x:v>
      </x:c>
      <x:c r="G1144" s="14" t="str"/>
      <x:c r="H1144" s="14" t="str">
        <x:v>Пілот зараз — Н.15</x:v>
      </x:c>
      <x:c r="I1144" s="16" t="n">
        <x:v>5</x:v>
      </x:c>
      <x:c r="J1144" s="16" t="n">
        <x:v>5</x:v>
      </x:c>
      <x:c r="K1144" s="16" t="n">
        <x:v>4</x:v>
      </x:c>
      <x:c r="L1144" s="16" t="n">
        <x:v>1</x:v>
      </x:c>
      <x:c r="M1144" s="16" t="n">
        <x:v>5</x:v>
      </x:c>
      <x:c r="N1144" s="16" t="n">
        <x:v>3</x:v>
      </x:c>
      <x:c r="O1144" s="16" t="n">
        <x:v>3</x:v>
      </x:c>
      <x:c r="P1144" s="16" t="n">
        <x:f>IF(COUNT(I1144:O1144)&lt;7,"",I1144*8+J1144*3+K1144*2+L1144*2+M1144*2+N1144*2+O1144)</x:f>
        <x:v>84</x:v>
      </x:c>
      <x:c r="Q1144" s="16" t="n">
        <x:f>IF(COUNT(J1144:O1144)&lt;6,"",J1144*5+K1144*4+M1144*4+L1144*3+N1144*2+O1144*2)</x:f>
        <x:v>76</x:v>
      </x:c>
      <x:c r="R1144" s="14" t="str">
        <x:v>high</x:v>
      </x:c>
      <x:c r="S1144" s="14" t="str">
        <x:v>official_prozorro_award_2024_2026</x:v>
      </x:c>
      <x:c r="T1144" s="14" t="str">
        <x:v>official_prozorro_api</x:v>
      </x:c>
      <x:c r="U1144" s="14" t="str">
        <x:v>Не контактували</x:v>
      </x:c>
      <x:c r="V1144" s="15" t="str">
        <x:v>Персоналізований free-pilot outreach по UA-2026-07-01-001050-a; попросити 1 пакет Н.14/Н.15</x:v>
      </x:c>
      <x:c r="W1144" s="15" t="str">
        <x:v>Власник / виконавець; відповідальний за договір</x:v>
      </x:c>
      <x:c r="X1144" s="15" t="str">
        <x:v>1 нових підтверджених перемог/договорів у Prozorro на 39 968 грн; 1 зі строком виконання не раніше 24.08.2026.</x:v>
      </x:c>
      <x:c r="Y1144" s="15" t="str">
        <x:v>Електромонтажні роботи; строк до 2026-12-31. Попросити один знеособлений пакет здачі за цим workflow.</x:v>
      </x:c>
      <x:c r="Z1144" s="15" t="str">
        <x:v>https://prozorro.gov.ua/tender/UA-2026-07-01-001050-a</x:v>
      </x:c>
      <x:c r="AA1144" s="14" t="str">
        <x:v>2915916952</x:v>
      </x:c>
      <x:c r="AB1144" s="14" t="str">
        <x:v>2026-08-24</x:v>
      </x:c>
      <x:c r="AC1144" s="14" t="str"/>
      <x:c r="AD1144" s="20" t="str"/>
      <x:c r="AE1144" s="14" t="str"/>
      <x:c r="AF1144" s="14" t="n">
        <x:v>46</x:v>
      </x:c>
      <x:c r="AG1144" s="14" t="str">
        <x:v>I3</x:v>
      </x:c>
      <x:c r="AH1144" s="14" t="n">
        <x:v>1</x:v>
      </x:c>
      <x:c r="AI1144" s="14" t="n">
        <x:v>1</x:v>
      </x:c>
      <x:c r="AJ1144" s="18" t="n">
        <x:v>39968</x:v>
      </x:c>
      <x:c r="AK1144" s="14" t="str">
        <x:v>https://prozorro.gov.ua/tender/UA-2026-07-01-001050-a</x:v>
      </x:c>
      <x:c r="AL1144" s="19" t="n">
        <x:v>46204.28866402778</x:v>
      </x:c>
      <x:c r="AM1144" s="19" t="n">
        <x:v>46387</x:v>
      </x:c>
      <x:c r="AN1144" s="15" t="str">
        <x:v>Електромонтаж</x:v>
      </x:c>
      <x:c r="AO1144" s="15" t="str">
        <x:v>not_found_in_top_search</x:v>
      </x:c>
    </x:row>
    <x:row r="1145">
      <x:c r="A1145" s="14" t="str">
        <x:v>W4-326</x:v>
      </x:c>
      <x:c r="B1145" s="14" t="str">
        <x:v>Prozorro expansion — 24.08</x:v>
      </x:c>
      <x:c r="C1145" s="14" t="str">
        <x:v>ТОВАРИСТВО З ОБМЕЖЕНОЮ ВІДПОВІДАЛЬНІСТЮ "УКРБУД-КОНТРАКТ"</x:v>
      </x:c>
      <x:c r="D1145" s="14" t="str">
        <x:v>Покрівлі та гідроізоляція</x:v>
      </x:c>
      <x:c r="E1145" s="14" t="str">
        <x:v>Expansion discovery</x:v>
      </x:c>
      <x:c r="F1145" s="17" t="str">
        <x:v>D3</x:v>
      </x:c>
      <x:c r="G1145" s="14" t="str"/>
      <x:c r="H1145" s="14" t="str">
        <x:v>Discovery розширення — 2 тижні</x:v>
      </x:c>
      <x:c r="I1145" s="16" t="n">
        <x:v>1</x:v>
      </x:c>
      <x:c r="J1145" s="16" t="n">
        <x:v>5</x:v>
      </x:c>
      <x:c r="K1145" s="16" t="n">
        <x:v>5</x:v>
      </x:c>
      <x:c r="L1145" s="16" t="n">
        <x:v>1</x:v>
      </x:c>
      <x:c r="M1145" s="16" t="n">
        <x:v>5</x:v>
      </x:c>
      <x:c r="N1145" s="16" t="n">
        <x:v>5</x:v>
      </x:c>
      <x:c r="O1145" s="16" t="n">
        <x:v>3</x:v>
      </x:c>
      <x:c r="P1145" s="16" t="n">
        <x:f>IF(COUNT(I1145:O1145)&lt;7,"",I1145*8+J1145*3+K1145*2+L1145*2+M1145*2+N1145*2+O1145)</x:f>
        <x:v>58</x:v>
      </x:c>
      <x:c r="Q1145" s="16" t="n">
        <x:f>IF(COUNT(J1145:O1145)&lt;6,"",J1145*5+K1145*4+M1145*4+L1145*3+N1145*2+O1145*2)</x:f>
        <x:v>84</x:v>
      </x:c>
      <x:c r="R1145" s="14" t="str">
        <x:v>high</x:v>
      </x:c>
      <x:c r="S1145" s="14" t="str">
        <x:v>official_prozorro_award_2024_2026</x:v>
      </x:c>
      <x:c r="T1145" s="14" t="str">
        <x:v>official_prozorro_api</x:v>
      </x:c>
      <x:c r="U1145" s="14" t="str">
        <x:v>Не контактували</x:v>
      </x:c>
      <x:c r="V1145" s="15" t="str">
        <x:v>Workflow-audit outreach по UA-2026-06-03-000978-a; попросити 1 пакет здачі та вимоги проєкту</x:v>
      </x:c>
      <x:c r="W1145" s="15" t="str">
        <x:v>Власник / директор; керівник ПТО; відповідальний за договори</x:v>
      </x:c>
      <x:c r="X1145" s="15" t="str">
        <x:v>1 нових підтверджених перемог/договорів у Prozorro на 36 696 грн; 0 зі строком виконання не раніше 24.08.2026.</x:v>
      </x:c>
      <x:c r="Y1145"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 строк до 2026-06-05. Попросити один знеособлений пакет здачі за цим workflow.</x:v>
      </x:c>
      <x:c r="Z1145" s="15" t="str">
        <x:v>https://prozorro.gov.ua/tender/UA-2026-06-03-000978-a</x:v>
      </x:c>
      <x:c r="AA1145" s="14" t="str">
        <x:v>38985773</x:v>
      </x:c>
      <x:c r="AB1145" s="14" t="str">
        <x:v>2026-08-24</x:v>
      </x:c>
      <x:c r="AC1145" s="14" t="str"/>
      <x:c r="AD1145" s="20" t="str"/>
      <x:c r="AE1145" s="14" t="str"/>
      <x:c r="AF1145" s="14" t="n">
        <x:v>46</x:v>
      </x:c>
      <x:c r="AG1145" s="14" t="str">
        <x:v>I3</x:v>
      </x:c>
      <x:c r="AH1145" s="14" t="n">
        <x:v>1</x:v>
      </x:c>
      <x:c r="AI1145" s="14" t="n">
        <x:v>0</x:v>
      </x:c>
      <x:c r="AJ1145" s="18" t="n">
        <x:v>36695.76</x:v>
      </x:c>
      <x:c r="AK1145" s="14" t="str">
        <x:v>https://prozorro.gov.ua/tender/UA-2026-06-03-000978-a</x:v>
      </x:c>
      <x:c r="AL1145" s="19" t="n">
        <x:v>46176.271440254626</x:v>
      </x:c>
      <x:c r="AM1145" s="19" t="n">
        <x:v>46178</x:v>
      </x:c>
      <x:c r="AN1145" s="15" t="str">
        <x:v>Покрівлі та гідроізоляція</x:v>
      </x:c>
      <x:c r="AO1145" s="15" t="str">
        <x:v>not_found_in_top_search</x:v>
      </x:c>
    </x:row>
    <x:row r="1146">
      <x:c r="A1146" s="14" t="str">
        <x:v>W4-327</x:v>
      </x:c>
      <x:c r="B1146" s="14" t="str">
        <x:v>Prozorro expansion — 24.08</x:v>
      </x:c>
      <x:c r="C1146" s="14" t="str">
        <x:v>ГАБІДУЛЛІН ВІКТОР ФАРІТОВИЧ</x:v>
      </x:c>
      <x:c r="D1146" s="14" t="str">
        <x:v>Електромонтаж</x:v>
      </x:c>
      <x:c r="E1146" s="14" t="str">
        <x:v>Pilot now</x:v>
      </x:c>
      <x:c r="F1146" s="17" t="str">
        <x:v>P3</x:v>
      </x:c>
      <x:c r="G1146" s="14" t="str"/>
      <x:c r="H1146" s="14" t="str">
        <x:v>Пілот зараз — Н.15</x:v>
      </x:c>
      <x:c r="I1146" s="16" t="n">
        <x:v>5</x:v>
      </x:c>
      <x:c r="J1146" s="16" t="n">
        <x:v>5</x:v>
      </x:c>
      <x:c r="K1146" s="16" t="n">
        <x:v>4</x:v>
      </x:c>
      <x:c r="L1146" s="16" t="n">
        <x:v>1</x:v>
      </x:c>
      <x:c r="M1146" s="16" t="n">
        <x:v>5</x:v>
      </x:c>
      <x:c r="N1146" s="16" t="n">
        <x:v>3</x:v>
      </x:c>
      <x:c r="O1146" s="16" t="n">
        <x:v>3</x:v>
      </x:c>
      <x:c r="P1146" s="16" t="n">
        <x:f>IF(COUNT(I1146:O1146)&lt;7,"",I1146*8+J1146*3+K1146*2+L1146*2+M1146*2+N1146*2+O1146)</x:f>
        <x:v>84</x:v>
      </x:c>
      <x:c r="Q1146" s="16" t="n">
        <x:f>IF(COUNT(J1146:O1146)&lt;6,"",J1146*5+K1146*4+M1146*4+L1146*3+N1146*2+O1146*2)</x:f>
        <x:v>76</x:v>
      </x:c>
      <x:c r="R1146" s="14" t="str">
        <x:v>high</x:v>
      </x:c>
      <x:c r="S1146" s="14" t="str">
        <x:v>official_prozorro_award_2024_2026</x:v>
      </x:c>
      <x:c r="T1146" s="14" t="str">
        <x:v>official_prozorro_api</x:v>
      </x:c>
      <x:c r="U1146" s="14" t="str">
        <x:v>Не контактували</x:v>
      </x:c>
      <x:c r="V1146" s="15" t="str">
        <x:v>Персоналізований free-pilot outreach по UA-2026-07-02-001674-a; попросити 1 пакет Н.14/Н.15</x:v>
      </x:c>
      <x:c r="W1146" s="15" t="str">
        <x:v>Власник / виконавець; відповідальний за договір</x:v>
      </x:c>
      <x:c r="X1146" s="15" t="str">
        <x:v>1 нових підтверджених перемог/договорів у Prozorro на 35 000 грн; 1 зі строком виконання не раніше 24.08.2026.</x:v>
      </x:c>
      <x:c r="Y1146" s="15" t="str">
        <x:v>Електромонтажні роботи; строк до 2026-12-31. Попросити один знеособлений пакет здачі за цим workflow.</x:v>
      </x:c>
      <x:c r="Z1146" s="15" t="str">
        <x:v>https://prozorro.gov.ua/tender/UA-2026-07-02-001674-a</x:v>
      </x:c>
      <x:c r="AA1146" s="14" t="str">
        <x:v>2939812514</x:v>
      </x:c>
      <x:c r="AB1146" s="14" t="str">
        <x:v>2026-08-24</x:v>
      </x:c>
      <x:c r="AC1146" s="14" t="str"/>
      <x:c r="AD1146" s="20" t="str"/>
      <x:c r="AE1146" s="14" t="str"/>
      <x:c r="AF1146" s="14" t="n">
        <x:v>46</x:v>
      </x:c>
      <x:c r="AG1146" s="14" t="str">
        <x:v>I3</x:v>
      </x:c>
      <x:c r="AH1146" s="14" t="n">
        <x:v>1</x:v>
      </x:c>
      <x:c r="AI1146" s="14" t="n">
        <x:v>1</x:v>
      </x:c>
      <x:c r="AJ1146" s="18" t="n">
        <x:v>35000</x:v>
      </x:c>
      <x:c r="AK1146" s="14" t="str">
        <x:v>https://prozorro.gov.ua/tender/UA-2026-07-02-001674-a</x:v>
      </x:c>
      <x:c r="AL1146" s="19" t="n">
        <x:v>46205.30629163195</x:v>
      </x:c>
      <x:c r="AM1146" s="19" t="n">
        <x:v>46387</x:v>
      </x:c>
      <x:c r="AN1146" s="15" t="str">
        <x:v>Електромонтаж</x:v>
      </x:c>
      <x:c r="AO1146" s="15" t="str">
        <x:v>not_found_in_top_search</x:v>
      </x:c>
    </x:row>
    <x:row r="1147">
      <x:c r="A1147" s="14" t="str">
        <x:v>W4-328</x:v>
      </x:c>
      <x:c r="B1147" s="14" t="str">
        <x:v>Prozorro expansion — 24.08</x:v>
      </x:c>
      <x:c r="C1147" s="14" t="str">
        <x:v>ТОВ "ГРАНД ТЕСЛА"</x:v>
      </x:c>
      <x:c r="D1147" s="14" t="str">
        <x:v>Теплові мережі</x:v>
      </x:c>
      <x:c r="E1147" s="14" t="str">
        <x:v>Expansion discovery</x:v>
      </x:c>
      <x:c r="F1147" s="17" t="str">
        <x:v>D3</x:v>
      </x:c>
      <x:c r="G1147" s="14" t="str"/>
      <x:c r="H1147" s="14" t="str">
        <x:v>Discovery розширення — 2 тижні</x:v>
      </x:c>
      <x:c r="I1147" s="16" t="n">
        <x:v>1</x:v>
      </x:c>
      <x:c r="J1147" s="16" t="n">
        <x:v>5</x:v>
      </x:c>
      <x:c r="K1147" s="16" t="n">
        <x:v>4</x:v>
      </x:c>
      <x:c r="L1147" s="16" t="n">
        <x:v>1</x:v>
      </x:c>
      <x:c r="M1147" s="16" t="n">
        <x:v>5</x:v>
      </x:c>
      <x:c r="N1147" s="16" t="n">
        <x:v>5</x:v>
      </x:c>
      <x:c r="O1147" s="16" t="n">
        <x:v>3</x:v>
      </x:c>
      <x:c r="P1147" s="16" t="n">
        <x:f>IF(COUNT(I1147:O1147)&lt;7,"",I1147*8+J1147*3+K1147*2+L1147*2+M1147*2+N1147*2+O1147)</x:f>
        <x:v>56</x:v>
      </x:c>
      <x:c r="Q1147" s="16" t="n">
        <x:f>IF(COUNT(J1147:O1147)&lt;6,"",J1147*5+K1147*4+M1147*4+L1147*3+N1147*2+O1147*2)</x:f>
        <x:v>80</x:v>
      </x:c>
      <x:c r="R1147" s="14" t="str">
        <x:v>high</x:v>
      </x:c>
      <x:c r="S1147" s="14" t="str">
        <x:v>official_prozorro_award_2024_2026</x:v>
      </x:c>
      <x:c r="T1147" s="14" t="str">
        <x:v>official_prozorro_api</x:v>
      </x:c>
      <x:c r="U1147" s="14" t="str">
        <x:v>Не контактували</x:v>
      </x:c>
      <x:c r="V1147" s="15" t="str">
        <x:v>Workflow-audit outreach по UA-2026-05-20-007485-a; попросити 1 пакет здачі та вимоги проєкту</x:v>
      </x:c>
      <x:c r="W1147" s="15" t="str">
        <x:v>Власник / директор; керівник ПТО; відповідальний за договори</x:v>
      </x:c>
      <x:c r="X1147" s="15" t="str">
        <x:v>1 нових підтверджених перемог/договорів у Prozorro на 34 000 грн; 1 зі строком виконання не раніше 24.08.2026.</x:v>
      </x:c>
      <x:c r="Y1147"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 строк до 2026-12-31. Попросити один знеособлений пакет здачі за цим workflow.</x:v>
      </x:c>
      <x:c r="Z1147" s="15" t="str">
        <x:v>https://prozorro.gov.ua/tender/UA-2026-05-20-007485-a</x:v>
      </x:c>
      <x:c r="AA1147" s="14" t="str">
        <x:v>39002560</x:v>
      </x:c>
      <x:c r="AB1147" s="14" t="str">
        <x:v>2026-08-24</x:v>
      </x:c>
      <x:c r="AC1147" s="14" t="str"/>
      <x:c r="AD1147" s="20" t="str"/>
      <x:c r="AE1147" s="14" t="str"/>
      <x:c r="AF1147" s="14" t="n">
        <x:v>46</x:v>
      </x:c>
      <x:c r="AG1147" s="14" t="str">
        <x:v>I3</x:v>
      </x:c>
      <x:c r="AH1147" s="14" t="n">
        <x:v>1</x:v>
      </x:c>
      <x:c r="AI1147" s="14" t="n">
        <x:v>1</x:v>
      </x:c>
      <x:c r="AJ1147" s="18" t="n">
        <x:v>34000</x:v>
      </x:c>
      <x:c r="AK1147" s="14" t="str">
        <x:v>https://prozorro.gov.ua/tender/UA-2026-05-20-007485-a</x:v>
      </x:c>
      <x:c r="AL1147" s="19" t="n">
        <x:v>46162.44405479167</x:v>
      </x:c>
      <x:c r="AM1147" s="19" t="n">
        <x:v>46387.48658564815</x:v>
      </x:c>
      <x:c r="AN1147" s="15" t="str">
        <x:v>Теплові мережі</x:v>
      </x:c>
      <x:c r="AO1147" s="15" t="str">
        <x:v>not_found_in_top_search</x:v>
      </x:c>
    </x:row>
    <x:row r="1148">
      <x:c r="A1148" s="14" t="str">
        <x:v>W4-329</x:v>
      </x:c>
      <x:c r="B1148" s="14" t="str">
        <x:v>Prozorro expansion — 24.08</x:v>
      </x:c>
      <x:c r="C1148" s="14" t="str">
        <x:v>Приватне підприємство «Чернівціелектромонтаж»</x:v>
      </x:c>
      <x:c r="D1148" s="14" t="str">
        <x:v>Електромонтаж</x:v>
      </x:c>
      <x:c r="E1148" s="14" t="str">
        <x:v>Pilot now</x:v>
      </x:c>
      <x:c r="F1148" s="17" t="str">
        <x:v>P3</x:v>
      </x:c>
      <x:c r="G1148" s="14" t="str"/>
      <x:c r="H1148" s="14" t="str">
        <x:v>Пілот зараз — Н.15</x:v>
      </x:c>
      <x:c r="I1148" s="16" t="n">
        <x:v>5</x:v>
      </x:c>
      <x:c r="J1148" s="16" t="n">
        <x:v>5</x:v>
      </x:c>
      <x:c r="K1148" s="16" t="n">
        <x:v>4</x:v>
      </x:c>
      <x:c r="L1148" s="16" t="n">
        <x:v>1</x:v>
      </x:c>
      <x:c r="M1148" s="16" t="n">
        <x:v>5</x:v>
      </x:c>
      <x:c r="N1148" s="16" t="n">
        <x:v>5</x:v>
      </x:c>
      <x:c r="O1148" s="16" t="n">
        <x:v>3</x:v>
      </x:c>
      <x:c r="P1148" s="16" t="n">
        <x:f>IF(COUNT(I1148:O1148)&lt;7,"",I1148*8+J1148*3+K1148*2+L1148*2+M1148*2+N1148*2+O1148)</x:f>
        <x:v>88</x:v>
      </x:c>
      <x:c r="Q1148" s="16" t="n">
        <x:f>IF(COUNT(J1148:O1148)&lt;6,"",J1148*5+K1148*4+M1148*4+L1148*3+N1148*2+O1148*2)</x:f>
        <x:v>80</x:v>
      </x:c>
      <x:c r="R1148" s="14" t="str">
        <x:v>high</x:v>
      </x:c>
      <x:c r="S1148" s="14" t="str">
        <x:v>official_prozorro_award_2024_2026</x:v>
      </x:c>
      <x:c r="T1148" s="14" t="str">
        <x:v>official_prozorro_api</x:v>
      </x:c>
      <x:c r="U1148" s="14" t="str">
        <x:v>Не контактували</x:v>
      </x:c>
      <x:c r="V1148" s="15" t="str">
        <x:v>Персоналізований free-pilot outreach по UA-2026-06-17-001453-a; попросити 1 пакет Н.14/Н.15</x:v>
      </x:c>
      <x:c r="W1148" s="15" t="str">
        <x:v>Власник / директор; керівник ПТО; відповідальний за договори</x:v>
      </x:c>
      <x:c r="X1148" s="15" t="str">
        <x:v>1 нових підтверджених перемог/договорів у Prozorro на 27 080 грн; 0 зі строком виконання не раніше 24.08.2026.</x:v>
      </x:c>
      <x:c r="Y1148" s="15" t="str">
        <x:v>Електромонтажні роботи; строк до 2026-06-30. Попросити один знеособлений пакет здачі за цим workflow.</x:v>
      </x:c>
      <x:c r="Z1148" s="15" t="str">
        <x:v>https://prozorro.gov.ua/tender/UA-2026-06-17-001453-a</x:v>
      </x:c>
      <x:c r="AA1148" s="14" t="str">
        <x:v>31963973</x:v>
      </x:c>
      <x:c r="AB1148" s="14" t="str">
        <x:v>2026-08-24</x:v>
      </x:c>
      <x:c r="AC1148" s="14" t="str"/>
      <x:c r="AD1148" s="20" t="str"/>
      <x:c r="AE1148" s="14" t="str"/>
      <x:c r="AF1148" s="14" t="n">
        <x:v>46</x:v>
      </x:c>
      <x:c r="AG1148" s="14" t="str">
        <x:v>I3</x:v>
      </x:c>
      <x:c r="AH1148" s="14" t="n">
        <x:v>1</x:v>
      </x:c>
      <x:c r="AI1148" s="14" t="n">
        <x:v>0</x:v>
      </x:c>
      <x:c r="AJ1148" s="18" t="n">
        <x:v>27080.4</x:v>
      </x:c>
      <x:c r="AK1148" s="14" t="str">
        <x:v>https://prozorro.gov.ua/tender/UA-2026-06-17-001453-a</x:v>
      </x:c>
      <x:c r="AL1148" s="19" t="n">
        <x:v>46190.2865359375</x:v>
      </x:c>
      <x:c r="AM1148" s="19" t="n">
        <x:v>46203.28797453704</x:v>
      </x:c>
      <x:c r="AN1148" s="15" t="str">
        <x:v>Електромонтаж</x:v>
      </x:c>
      <x:c r="AO1148" s="15" t="str">
        <x:v>not_found_in_top_search</x:v>
      </x:c>
    </x:row>
    <x:row r="1149">
      <x:c r="A1149" s="14" t="str">
        <x:v>W4-330</x:v>
      </x:c>
      <x:c r="B1149" s="14" t="str">
        <x:v>Prozorro expansion — 24.08</x:v>
      </x:c>
      <x:c r="C1149" s="14" t="str">
        <x:v>ТОВАРИСТВО З ОБМЕЖЕНОЮ ВІДПОВІДАЛЬНІСТЮ "БК ГЕФЕСТ"</x:v>
      </x:c>
      <x:c r="D1149" s="14" t="str">
        <x:v>Металоконструкції</x:v>
      </x:c>
      <x:c r="E1149" s="14" t="str">
        <x:v>Expansion discovery</x:v>
      </x:c>
      <x:c r="F1149" s="17" t="str">
        <x:v>D3</x:v>
      </x:c>
      <x:c r="G1149" s="14" t="str"/>
      <x:c r="H1149" s="14" t="str">
        <x:v>Discovery розширення — 2 тижні</x:v>
      </x:c>
      <x:c r="I1149" s="16" t="n">
        <x:v>1</x:v>
      </x:c>
      <x:c r="J1149" s="16" t="n">
        <x:v>5</x:v>
      </x:c>
      <x:c r="K1149" s="16" t="n">
        <x:v>5</x:v>
      </x:c>
      <x:c r="L1149" s="16" t="n">
        <x:v>1</x:v>
      </x:c>
      <x:c r="M1149" s="16" t="n">
        <x:v>5</x:v>
      </x:c>
      <x:c r="N1149" s="16" t="n">
        <x:v>5</x:v>
      </x:c>
      <x:c r="O1149" s="16" t="n">
        <x:v>3</x:v>
      </x:c>
      <x:c r="P1149" s="16" t="n">
        <x:f>IF(COUNT(I1149:O1149)&lt;7,"",I1149*8+J1149*3+K1149*2+L1149*2+M1149*2+N1149*2+O1149)</x:f>
        <x:v>58</x:v>
      </x:c>
      <x:c r="Q1149" s="16" t="n">
        <x:f>IF(COUNT(J1149:O1149)&lt;6,"",J1149*5+K1149*4+M1149*4+L1149*3+N1149*2+O1149*2)</x:f>
        <x:v>84</x:v>
      </x:c>
      <x:c r="R1149" s="14" t="str">
        <x:v>high</x:v>
      </x:c>
      <x:c r="S1149" s="14" t="str">
        <x:v>official_prozorro_award_2024_2026</x:v>
      </x:c>
      <x:c r="T1149" s="14" t="str">
        <x:v>official_prozorro_api</x:v>
      </x:c>
      <x:c r="U1149" s="14" t="str">
        <x:v>Не контактували</x:v>
      </x:c>
      <x:c r="V1149" s="15" t="str">
        <x:v>Workflow-audit outreach по UA-2026-06-08-009490-a; попросити 1 пакет здачі та вимоги проєкту</x:v>
      </x:c>
      <x:c r="W1149" s="15" t="str">
        <x:v>Власник / директор; керівник ПТО; відповідальний за договори</x:v>
      </x:c>
      <x:c r="X1149" s="15" t="str">
        <x:v>1 нових підтверджених перемог/договорів у Prozorro на 24 145 грн; 0 зі строком виконання не раніше 24.08.2026.</x:v>
      </x:c>
      <x:c r="Y1149"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 строк до 2026-06-29. Попросити один знеособлений пакет здачі за цим workflow.</x:v>
      </x:c>
      <x:c r="Z1149" s="15" t="str">
        <x:v>https://prozorro.gov.ua/tender/UA-2026-06-08-009490-a</x:v>
      </x:c>
      <x:c r="AA1149" s="14" t="str">
        <x:v>40992114</x:v>
      </x:c>
      <x:c r="AB1149" s="14" t="str">
        <x:v>2026-08-24</x:v>
      </x:c>
      <x:c r="AC1149" s="14" t="str"/>
      <x:c r="AD1149" s="20" t="str"/>
      <x:c r="AE1149" s="14" t="str"/>
      <x:c r="AF1149" s="14" t="n">
        <x:v>46</x:v>
      </x:c>
      <x:c r="AG1149" s="14" t="str">
        <x:v>I3</x:v>
      </x:c>
      <x:c r="AH1149" s="14" t="n">
        <x:v>1</x:v>
      </x:c>
      <x:c r="AI1149" s="14" t="n">
        <x:v>0</x:v>
      </x:c>
      <x:c r="AJ1149" s="18" t="n">
        <x:v>24144.82</x:v>
      </x:c>
      <x:c r="AK1149" s="14" t="str">
        <x:v>https://prozorro.gov.ua/tender/UA-2026-06-08-009490-a</x:v>
      </x:c>
      <x:c r="AL1149" s="19" t="n">
        <x:v>46181.5134081713</x:v>
      </x:c>
      <x:c r="AM1149" s="19" t="n">
        <x:v>46202</x:v>
      </x:c>
      <x:c r="AN1149" s="15" t="str">
        <x:v>Металоконструкції</x:v>
      </x:c>
      <x:c r="AO1149" s="15" t="str">
        <x:v>not_found_in_top_search</x:v>
      </x:c>
    </x:row>
    <x:row r="1150">
      <x:c r="A1150" s="14" t="str">
        <x:v>W4-331</x:v>
      </x:c>
      <x:c r="B1150" s="14" t="str">
        <x:v>Prozorro expansion — 24.08</x:v>
      </x:c>
      <x:c r="C1150" s="14" t="str">
        <x:v>Приватне підприємство "Електромонтаж-ТС"</x:v>
      </x:c>
      <x:c r="D1150" s="14" t="str">
        <x:v>Зовнішнє освітлення</x:v>
      </x:c>
      <x:c r="E1150" s="14" t="str">
        <x:v>Pilot now</x:v>
      </x:c>
      <x:c r="F1150" s="17" t="str">
        <x:v>P3</x:v>
      </x:c>
      <x:c r="G1150" s="14" t="str"/>
      <x:c r="H1150" s="14" t="str">
        <x:v>Пілот зараз — Н.15 subset</x:v>
      </x:c>
      <x:c r="I1150" s="16" t="n">
        <x:v>4</x:v>
      </x:c>
      <x:c r="J1150" s="16" t="n">
        <x:v>5</x:v>
      </x:c>
      <x:c r="K1150" s="16" t="n">
        <x:v>4</x:v>
      </x:c>
      <x:c r="L1150" s="16" t="n">
        <x:v>1</x:v>
      </x:c>
      <x:c r="M1150" s="16" t="n">
        <x:v>5</x:v>
      </x:c>
      <x:c r="N1150" s="16" t="n">
        <x:v>5</x:v>
      </x:c>
      <x:c r="O1150" s="16" t="n">
        <x:v>3</x:v>
      </x:c>
      <x:c r="P1150" s="16" t="n">
        <x:f>IF(COUNT(I1150:O1150)&lt;7,"",I1150*8+J1150*3+K1150*2+L1150*2+M1150*2+N1150*2+O1150)</x:f>
        <x:v>80</x:v>
      </x:c>
      <x:c r="Q1150" s="16" t="n">
        <x:f>IF(COUNT(J1150:O1150)&lt;6,"",J1150*5+K1150*4+M1150*4+L1150*3+N1150*2+O1150*2)</x:f>
        <x:v>80</x:v>
      </x:c>
      <x:c r="R1150" s="14" t="str">
        <x:v>high</x:v>
      </x:c>
      <x:c r="S1150" s="14" t="str">
        <x:v>official_prozorro_award_2024_2026</x:v>
      </x:c>
      <x:c r="T1150" s="14" t="str">
        <x:v>official_prozorro_api</x:v>
      </x:c>
      <x:c r="U1150" s="14" t="str">
        <x:v>Не контактували</x:v>
      </x:c>
      <x:c r="V1150" s="15" t="str">
        <x:v>Персоналізований free-pilot outreach по UA-2026-06-15-008177-a; попросити 1 пакет Н.14/Н.15</x:v>
      </x:c>
      <x:c r="W1150" s="15" t="str">
        <x:v>Власник / директор; керівник ПТО; відповідальний за договори</x:v>
      </x:c>
      <x:c r="X1150" s="15" t="str">
        <x:v>1 нових підтверджених перемог/договорів у Prozorro на 23 866 грн; 0 зі строком виконання не раніше 24.08.2026.</x:v>
      </x:c>
      <x:c r="Y1150" s="15" t="str">
        <x:v>Приєднання до електричних мереж по об’єкту: Нове будівництво мереж зовнішнього освітлення по вул. Східній, 1-му, 2-му, 3-му провулках Східних в м. Вінниці; строк до 2026-07-22. Попросити один знеособлений пакет здачі за цим workflow.</x:v>
      </x:c>
      <x:c r="Z1150" s="15" t="str">
        <x:v>https://prozorro.gov.ua/tender/UA-2026-06-15-008177-a</x:v>
      </x:c>
      <x:c r="AA1150" s="14" t="str">
        <x:v>37690847</x:v>
      </x:c>
      <x:c r="AB1150" s="14" t="str">
        <x:v>2026-08-24</x:v>
      </x:c>
      <x:c r="AC1150" s="14" t="str"/>
      <x:c r="AD1150" s="20" t="str"/>
      <x:c r="AE1150" s="14" t="str"/>
      <x:c r="AF1150" s="14" t="n">
        <x:v>46</x:v>
      </x:c>
      <x:c r="AG1150" s="14" t="str">
        <x:v>I3</x:v>
      </x:c>
      <x:c r="AH1150" s="14" t="n">
        <x:v>1</x:v>
      </x:c>
      <x:c r="AI1150" s="14" t="n">
        <x:v>0</x:v>
      </x:c>
      <x:c r="AJ1150" s="18" t="n">
        <x:v>23865.6</x:v>
      </x:c>
      <x:c r="AK1150" s="14" t="str">
        <x:v>https://prozorro.gov.ua/tender/UA-2026-06-15-008177-a</x:v>
      </x:c>
      <x:c r="AL1150" s="19" t="n">
        <x:v>46188.48525194445</x:v>
      </x:c>
      <x:c r="AM1150" s="19" t="n">
        <x:v>46225</x:v>
      </x:c>
      <x:c r="AN1150" s="15" t="str">
        <x:v>Зовнішнє освітлення</x:v>
      </x:c>
      <x:c r="AO1150" s="15" t="str">
        <x:v>not_found_in_top_search</x:v>
      </x:c>
    </x:row>
    <x:row r="1151">
      <x:c r="A1151" s="14" t="str">
        <x:v>W4-332</x:v>
      </x:c>
      <x:c r="B1151" s="14" t="str">
        <x:v>Prozorro expansion — 24.08</x:v>
      </x:c>
      <x:c r="C1151" s="14" t="str">
        <x:v>ПП "Протон"</x:v>
      </x:c>
      <x:c r="D1151" s="14" t="str">
        <x:v>Електромонтаж</x:v>
      </x:c>
      <x:c r="E1151" s="14" t="str">
        <x:v>Pilot now</x:v>
      </x:c>
      <x:c r="F1151" s="17" t="str">
        <x:v>P3</x:v>
      </x:c>
      <x:c r="G1151" s="14" t="str"/>
      <x:c r="H1151" s="14" t="str">
        <x:v>Пілот зараз — Н.15</x:v>
      </x:c>
      <x:c r="I1151" s="16" t="n">
        <x:v>5</x:v>
      </x:c>
      <x:c r="J1151" s="16" t="n">
        <x:v>5</x:v>
      </x:c>
      <x:c r="K1151" s="16" t="n">
        <x:v>4</x:v>
      </x:c>
      <x:c r="L1151" s="16" t="n">
        <x:v>1</x:v>
      </x:c>
      <x:c r="M1151" s="16" t="n">
        <x:v>5</x:v>
      </x:c>
      <x:c r="N1151" s="16" t="n">
        <x:v>5</x:v>
      </x:c>
      <x:c r="O1151" s="16" t="n">
        <x:v>3</x:v>
      </x:c>
      <x:c r="P1151" s="16" t="n">
        <x:f>IF(COUNT(I1151:O1151)&lt;7,"",I1151*8+J1151*3+K1151*2+L1151*2+M1151*2+N1151*2+O1151)</x:f>
        <x:v>88</x:v>
      </x:c>
      <x:c r="Q1151" s="16" t="n">
        <x:f>IF(COUNT(J1151:O1151)&lt;6,"",J1151*5+K1151*4+M1151*4+L1151*3+N1151*2+O1151*2)</x:f>
        <x:v>80</x:v>
      </x:c>
      <x:c r="R1151" s="14" t="str">
        <x:v>high</x:v>
      </x:c>
      <x:c r="S1151" s="14" t="str">
        <x:v>official_prozorro_award_2024_2026</x:v>
      </x:c>
      <x:c r="T1151" s="14" t="str">
        <x:v>official_prozorro_api</x:v>
      </x:c>
      <x:c r="U1151" s="14" t="str">
        <x:v>Не контактували</x:v>
      </x:c>
      <x:c r="V1151" s="15" t="str">
        <x:v>Персоналізований free-pilot outreach по UA-2026-06-29-010093-a; попросити 1 пакет Н.14/Н.15</x:v>
      </x:c>
      <x:c r="W1151" s="15" t="str">
        <x:v>Власник / директор; керівник ПТО; відповідальний за договори</x:v>
      </x:c>
      <x:c r="X1151" s="15" t="str">
        <x:v>1 нових підтверджених перемог/договорів у Prozorro на 21 006 грн; 1 зі строком виконання не раніше 24.08.2026.</x:v>
      </x:c>
      <x:c r="Y1151" s="15" t="str">
        <x:v>Електромонтажні роботи; строк до 2026-12-31. Попросити один знеособлений пакет здачі за цим workflow.</x:v>
      </x:c>
      <x:c r="Z1151" s="15" t="str">
        <x:v>https://prozorro.gov.ua/tender/UA-2026-06-29-010093-a</x:v>
      </x:c>
      <x:c r="AA1151" s="14" t="str">
        <x:v>31180088</x:v>
      </x:c>
      <x:c r="AB1151" s="14" t="str">
        <x:v>2026-08-24</x:v>
      </x:c>
      <x:c r="AC1151" s="14" t="str"/>
      <x:c r="AD1151" s="20" t="str"/>
      <x:c r="AE1151" s="14" t="str"/>
      <x:c r="AF1151" s="14" t="n">
        <x:v>46</x:v>
      </x:c>
      <x:c r="AG1151" s="14" t="str">
        <x:v>I3</x:v>
      </x:c>
      <x:c r="AH1151" s="14" t="n">
        <x:v>1</x:v>
      </x:c>
      <x:c r="AI1151" s="14" t="n">
        <x:v>1</x:v>
      </x:c>
      <x:c r="AJ1151" s="18" t="n">
        <x:v>21005.98</x:v>
      </x:c>
      <x:c r="AK1151" s="14" t="str">
        <x:v>https://prozorro.gov.ua/tender/UA-2026-06-29-010093-a</x:v>
      </x:c>
      <x:c r="AL1151" s="19" t="n">
        <x:v>46202.55400350694</x:v>
      </x:c>
      <x:c r="AM1151" s="19" t="n">
        <x:v>46387.597395833334</x:v>
      </x:c>
      <x:c r="AN1151" s="15" t="str">
        <x:v>Електромонтаж</x:v>
      </x:c>
      <x:c r="AO1151" s="15" t="str">
        <x:v>not_found_in_top_search</x:v>
      </x:c>
    </x:row>
    <x:row r="1152">
      <x:c r="A1152" s="14" t="str">
        <x:v>W4-333</x:v>
      </x:c>
      <x:c r="B1152" s="14" t="str">
        <x:v>Prozorro expansion — 24.08</x:v>
      </x:c>
      <x:c r="C1152" s="14" t="str">
        <x:v>Товариство з обмеженою відповідальністю "Стройкапітал"</x:v>
      </x:c>
      <x:c r="D1152" s="14" t="str">
        <x:v>Покрівлі та гідроізоляція</x:v>
      </x:c>
      <x:c r="E1152" s="14" t="str">
        <x:v>Expansion discovery</x:v>
      </x:c>
      <x:c r="F1152" s="17" t="str">
        <x:v>D3</x:v>
      </x:c>
      <x:c r="G1152" s="14" t="str"/>
      <x:c r="H1152" s="14" t="str">
        <x:v>Discovery розширення — 2 тижні</x:v>
      </x:c>
      <x:c r="I1152" s="16" t="n">
        <x:v>1</x:v>
      </x:c>
      <x:c r="J1152" s="16" t="n">
        <x:v>5</x:v>
      </x:c>
      <x:c r="K1152" s="16" t="n">
        <x:v>5</x:v>
      </x:c>
      <x:c r="L1152" s="16" t="n">
        <x:v>1</x:v>
      </x:c>
      <x:c r="M1152" s="16" t="n">
        <x:v>5</x:v>
      </x:c>
      <x:c r="N1152" s="16" t="n">
        <x:v>5</x:v>
      </x:c>
      <x:c r="O1152" s="16" t="n">
        <x:v>3</x:v>
      </x:c>
      <x:c r="P1152" s="16" t="n">
        <x:f>IF(COUNT(I1152:O1152)&lt;7,"",I1152*8+J1152*3+K1152*2+L1152*2+M1152*2+N1152*2+O1152)</x:f>
        <x:v>58</x:v>
      </x:c>
      <x:c r="Q1152" s="16" t="n">
        <x:f>IF(COUNT(J1152:O1152)&lt;6,"",J1152*5+K1152*4+M1152*4+L1152*3+N1152*2+O1152*2)</x:f>
        <x:v>84</x:v>
      </x:c>
      <x:c r="R1152" s="14" t="str">
        <x:v>high</x:v>
      </x:c>
      <x:c r="S1152" s="14" t="str">
        <x:v>official_prozorro_award_2024_2026</x:v>
      </x:c>
      <x:c r="T1152" s="14" t="str">
        <x:v>official_prozorro_api</x:v>
      </x:c>
      <x:c r="U1152" s="14" t="str">
        <x:v>Не контактували</x:v>
      </x:c>
      <x:c r="V1152" s="15" t="str">
        <x:v>Workflow-audit outreach по UA-2026-06-08-011678-a; попросити 1 пакет здачі та вимоги проєкту</x:v>
      </x:c>
      <x:c r="W1152" s="15" t="str">
        <x:v>Власник / директор; керівник ПТО; відповідальний за договори</x:v>
      </x:c>
      <x:c r="X1152" s="15" t="str">
        <x:v>1 нових підтверджених перемог/договорів у Prozorro на 17 961 грн; 1 зі строком виконання не раніше 24.08.2026.</x:v>
      </x:c>
      <x:c r="Y1152"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 строк до 2026-12-31. Попросити один знеособлений пакет здачі за цим workflow.</x:v>
      </x:c>
      <x:c r="Z1152" s="15" t="str">
        <x:v>https://prozorro.gov.ua/tender/UA-2026-06-08-011678-a</x:v>
      </x:c>
      <x:c r="AA1152" s="14" t="str">
        <x:v>38262748</x:v>
      </x:c>
      <x:c r="AB1152" s="14" t="str">
        <x:v>2026-08-24</x:v>
      </x:c>
      <x:c r="AC1152" s="14" t="str"/>
      <x:c r="AD1152" s="20" t="str"/>
      <x:c r="AE1152" s="14" t="str"/>
      <x:c r="AF1152" s="14" t="n">
        <x:v>46</x:v>
      </x:c>
      <x:c r="AG1152" s="14" t="str">
        <x:v>I3</x:v>
      </x:c>
      <x:c r="AH1152" s="14" t="n">
        <x:v>1</x:v>
      </x:c>
      <x:c r="AI1152" s="14" t="n">
        <x:v>1</x:v>
      </x:c>
      <x:c r="AJ1152" s="18" t="n">
        <x:v>17960.74</x:v>
      </x:c>
      <x:c r="AK1152" s="14" t="str">
        <x:v>https://prozorro.gov.ua/tender/UA-2026-06-08-011678-a</x:v>
      </x:c>
      <x:c r="AL1152" s="19" t="n">
        <x:v>46181.55960361111</x:v>
      </x:c>
      <x:c r="AM1152" s="19" t="n">
        <x:v>46387</x:v>
      </x:c>
      <x:c r="AN1152" s="15" t="str">
        <x:v>Покрівлі та гідроізоляція</x:v>
      </x:c>
      <x:c r="AO1152" s="15" t="str">
        <x:v>not_found_in_top_search</x:v>
      </x:c>
    </x:row>
    <x:row r="1153">
      <x:c r="A1153" s="14" t="str">
        <x:v>W4-334</x:v>
      </x:c>
      <x:c r="B1153" s="14" t="str">
        <x:v>Prozorro expansion — 24.08</x:v>
      </x:c>
      <x:c r="C1153" s="14" t="str">
        <x:v>ТОВАРИСТВО З ОБМЕЖЕНОЮ ВІДПОВІДАЛЬНІСТЮ "ПРОМБУД-КОМ"</x:v>
      </x:c>
      <x:c r="D1153" s="14" t="str">
        <x:v>Пасивний вогнезахист</x:v>
      </x:c>
      <x:c r="E1153" s="14" t="str">
        <x:v>Expansion discovery</x:v>
      </x:c>
      <x:c r="F1153" s="17" t="str">
        <x:v>D3</x:v>
      </x:c>
      <x:c r="G1153" s="14" t="str"/>
      <x:c r="H1153" s="14" t="str">
        <x:v>Discovery розширення — 2 тижні</x:v>
      </x:c>
      <x:c r="I1153" s="16" t="n">
        <x:v>1</x:v>
      </x:c>
      <x:c r="J1153" s="16" t="n">
        <x:v>5</x:v>
      </x:c>
      <x:c r="K1153" s="16" t="n">
        <x:v>5</x:v>
      </x:c>
      <x:c r="L1153" s="16" t="n">
        <x:v>1</x:v>
      </x:c>
      <x:c r="M1153" s="16" t="n">
        <x:v>5</x:v>
      </x:c>
      <x:c r="N1153" s="16" t="n">
        <x:v>5</x:v>
      </x:c>
      <x:c r="O1153" s="16" t="n">
        <x:v>3</x:v>
      </x:c>
      <x:c r="P1153" s="16" t="n">
        <x:f>IF(COUNT(I1153:O1153)&lt;7,"",I1153*8+J1153*3+K1153*2+L1153*2+M1153*2+N1153*2+O1153)</x:f>
        <x:v>58</x:v>
      </x:c>
      <x:c r="Q1153" s="16" t="n">
        <x:f>IF(COUNT(J1153:O1153)&lt;6,"",J1153*5+K1153*4+M1153*4+L1153*3+N1153*2+O1153*2)</x:f>
        <x:v>84</x:v>
      </x:c>
      <x:c r="R1153" s="14" t="str">
        <x:v>high</x:v>
      </x:c>
      <x:c r="S1153" s="14" t="str">
        <x:v>official_prozorro_award_2024_2026</x:v>
      </x:c>
      <x:c r="T1153" s="14" t="str">
        <x:v>official_prozorro_api</x:v>
      </x:c>
      <x:c r="U1153" s="14" t="str">
        <x:v>Не контактували</x:v>
      </x:c>
      <x:c r="V1153" s="15" t="str">
        <x:v>Workflow-audit outreach по UA-2026-06-09-010663-a; попросити 1 пакет здачі та вимоги проєкту</x:v>
      </x:c>
      <x:c r="W1153" s="15" t="str">
        <x:v>Власник / директор; керівник ПТО; відповідальний за договори</x:v>
      </x:c>
      <x:c r="X1153" s="15" t="str">
        <x:v>1 нових підтверджених перемог/договорів у Prozorro на 16 605 грн; 1 зі строком виконання не раніше 24.08.2026.</x:v>
      </x:c>
      <x:c r="Y1153" s="15" t="str">
        <x:v>Послуги з вогнезахисної обробки (просочення) дерев'яних конструкцій горища приміщення; строк до 2026-12-31. Попросити один знеособлений пакет здачі за цим workflow.</x:v>
      </x:c>
      <x:c r="Z1153" s="15" t="str">
        <x:v>https://prozorro.gov.ua/tender/UA-2026-06-09-010663-a</x:v>
      </x:c>
      <x:c r="AA1153" s="14" t="str">
        <x:v>38278241</x:v>
      </x:c>
      <x:c r="AB1153" s="14" t="str">
        <x:v>2026-08-24</x:v>
      </x:c>
      <x:c r="AC1153" s="14" t="str"/>
      <x:c r="AD1153" s="20" t="str"/>
      <x:c r="AE1153" s="14" t="str"/>
      <x:c r="AF1153" s="14" t="n">
        <x:v>46</x:v>
      </x:c>
      <x:c r="AG1153" s="14" t="str">
        <x:v>I3</x:v>
      </x:c>
      <x:c r="AH1153" s="14" t="n">
        <x:v>1</x:v>
      </x:c>
      <x:c r="AI1153" s="14" t="n">
        <x:v>1</x:v>
      </x:c>
      <x:c r="AJ1153" s="18" t="n">
        <x:v>16605</x:v>
      </x:c>
      <x:c r="AK1153" s="14" t="str">
        <x:v>https://prozorro.gov.ua/tender/UA-2026-06-09-010663-a</x:v>
      </x:c>
      <x:c r="AL1153" s="19" t="n">
        <x:v>46182.51632142361</x:v>
      </x:c>
      <x:c r="AM1153" s="19" t="n">
        <x:v>46387.916655092595</x:v>
      </x:c>
      <x:c r="AN1153" s="15" t="str">
        <x:v>Пасивний вогнезахист</x:v>
      </x:c>
      <x:c r="AO1153" s="15" t="str">
        <x:v>not_found_in_top_search</x:v>
      </x:c>
    </x:row>
    <x:row r="1154">
      <x:c r="A1154" s="14" t="str">
        <x:v>W4-335</x:v>
      </x:c>
      <x:c r="B1154" s="14" t="str">
        <x:v>Prozorro expansion — 24.08</x:v>
      </x:c>
      <x:c r="C1154" s="14" t="str">
        <x:v>ЗАХІДНИЙ РЕГІОНАЛЬНИЙ ЦЕНТР СТРАХОВОГО ФОНДУ ДОКУМЕНТАЦІЇ</x:v>
      </x:c>
      <x:c r="D1154" s="14" t="str">
        <x:v>Теплові мережі</x:v>
      </x:c>
      <x:c r="E1154" s="14" t="str">
        <x:v>Expansion discovery</x:v>
      </x:c>
      <x:c r="F1154" s="17" t="str">
        <x:v>D3</x:v>
      </x:c>
      <x:c r="G1154" s="14" t="str"/>
      <x:c r="H1154" s="14" t="str">
        <x:v>Discovery розширення — 2 тижні</x:v>
      </x:c>
      <x:c r="I1154" s="16" t="n">
        <x:v>1</x:v>
      </x:c>
      <x:c r="J1154" s="16" t="n">
        <x:v>5</x:v>
      </x:c>
      <x:c r="K1154" s="16" t="n">
        <x:v>4</x:v>
      </x:c>
      <x:c r="L1154" s="16" t="n">
        <x:v>1</x:v>
      </x:c>
      <x:c r="M1154" s="16" t="n">
        <x:v>5</x:v>
      </x:c>
      <x:c r="N1154" s="16" t="n">
        <x:v>5</x:v>
      </x:c>
      <x:c r="O1154" s="16" t="n">
        <x:v>3</x:v>
      </x:c>
      <x:c r="P1154" s="16" t="n">
        <x:f>IF(COUNT(I1154:O1154)&lt;7,"",I1154*8+J1154*3+K1154*2+L1154*2+M1154*2+N1154*2+O1154)</x:f>
        <x:v>56</x:v>
      </x:c>
      <x:c r="Q1154" s="16" t="n">
        <x:f>IF(COUNT(J1154:O1154)&lt;6,"",J1154*5+K1154*4+M1154*4+L1154*3+N1154*2+O1154*2)</x:f>
        <x:v>80</x:v>
      </x:c>
      <x:c r="R1154" s="14" t="str">
        <x:v>high</x:v>
      </x:c>
      <x:c r="S1154" s="14" t="str">
        <x:v>official_prozorro_award_2024_2026</x:v>
      </x:c>
      <x:c r="T1154" s="14" t="str">
        <x:v>official_prozorro_api</x:v>
      </x:c>
      <x:c r="U1154" s="14" t="str">
        <x:v>Не контактували</x:v>
      </x:c>
      <x:c r="V1154" s="15" t="str">
        <x:v>Workflow-audit outreach по UA-2026-04-27-000608-a; попросити 1 пакет здачі та вимоги проєкту</x:v>
      </x:c>
      <x:c r="W1154" s="15" t="str">
        <x:v>Власник / директор; керівник ПТО; відповідальний за договори</x:v>
      </x:c>
      <x:c r="X1154" s="15" t="str">
        <x:v>1 нових підтверджених перемог/договорів у Prozorro на 16 480 грн; 0 зі строком виконання не раніше 24.08.2026.</x:v>
      </x:c>
      <x:c r="Y1154" s="15" t="str">
        <x:v>Виконання робіт з виготовлення документів страхового фонду документації (СФД) по об’єкту: «Реконструкція теплової мережі від магістральних теплових мереж до станції знезалізнення води»; строк до 2026-05-30. Попросити один знеособлений пакет здачі за цим workflow.</x:v>
      </x:c>
      <x:c r="Z1154" s="15" t="str">
        <x:v>https://prozorro.gov.ua/tender/UA-2026-04-27-000608-a</x:v>
      </x:c>
      <x:c r="AA1154" s="14" t="str">
        <x:v>14321191</x:v>
      </x:c>
      <x:c r="AB1154" s="14" t="str">
        <x:v>2026-08-24</x:v>
      </x:c>
      <x:c r="AC1154" s="14" t="str"/>
      <x:c r="AD1154" s="20" t="str"/>
      <x:c r="AE1154" s="14" t="str"/>
      <x:c r="AF1154" s="14" t="n">
        <x:v>46</x:v>
      </x:c>
      <x:c r="AG1154" s="14" t="str">
        <x:v>I3</x:v>
      </x:c>
      <x:c r="AH1154" s="14" t="n">
        <x:v>1</x:v>
      </x:c>
      <x:c r="AI1154" s="14" t="n">
        <x:v>0</x:v>
      </x:c>
      <x:c r="AJ1154" s="18" t="n">
        <x:v>16479.91</x:v>
      </x:c>
      <x:c r="AK1154" s="14" t="str">
        <x:v>https://prozorro.gov.ua/tender/UA-2026-04-27-000608-a</x:v>
      </x:c>
      <x:c r="AL1154" s="19" t="n">
        <x:v>46139.26210053241</x:v>
      </x:c>
      <x:c r="AM1154" s="19" t="n">
        <x:v>46172</x:v>
      </x:c>
      <x:c r="AN1154" s="15" t="str">
        <x:v>Теплові мережі</x:v>
      </x:c>
      <x:c r="AO1154" s="15" t="str">
        <x:v>not_found_in_top_search</x:v>
      </x:c>
    </x:row>
    <x:row r="1155">
      <x:c r="A1155" s="14" t="str">
        <x:v>W4-336</x:v>
      </x:c>
      <x:c r="B1155" s="14" t="str">
        <x:v>Prozorro expansion — 24.08</x:v>
      </x:c>
      <x:c r="C1155" s="14" t="str">
        <x:v>Привате підприємство "Сокіл"</x:v>
      </x:c>
      <x:c r="D1155" s="14" t="str">
        <x:v>Пожежогасіння</x:v>
      </x:c>
      <x:c r="E1155" s="14" t="str">
        <x:v>Expansion discovery</x:v>
      </x:c>
      <x:c r="F1155" s="17" t="str">
        <x:v>D3</x:v>
      </x:c>
      <x:c r="G1155" s="14" t="str"/>
      <x:c r="H1155" s="14" t="str">
        <x:v>Discovery розширення — 2 тижні</x:v>
      </x:c>
      <x:c r="I1155" s="16" t="n">
        <x:v>1</x:v>
      </x:c>
      <x:c r="J1155" s="16" t="n">
        <x:v>5</x:v>
      </x:c>
      <x:c r="K1155" s="16" t="n">
        <x:v>5</x:v>
      </x:c>
      <x:c r="L1155" s="16" t="n">
        <x:v>1</x:v>
      </x:c>
      <x:c r="M1155" s="16" t="n">
        <x:v>5</x:v>
      </x:c>
      <x:c r="N1155" s="16" t="n">
        <x:v>5</x:v>
      </x:c>
      <x:c r="O1155" s="16" t="n">
        <x:v>3</x:v>
      </x:c>
      <x:c r="P1155" s="16" t="n">
        <x:f>IF(COUNT(I1155:O1155)&lt;7,"",I1155*8+J1155*3+K1155*2+L1155*2+M1155*2+N1155*2+O1155)</x:f>
        <x:v>58</x:v>
      </x:c>
      <x:c r="Q1155" s="16" t="n">
        <x:f>IF(COUNT(J1155:O1155)&lt;6,"",J1155*5+K1155*4+M1155*4+L1155*3+N1155*2+O1155*2)</x:f>
        <x:v>84</x:v>
      </x:c>
      <x:c r="R1155" s="14" t="str">
        <x:v>high</x:v>
      </x:c>
      <x:c r="S1155" s="14" t="str">
        <x:v>official_prozorro_award_2024_2026</x:v>
      </x:c>
      <x:c r="T1155" s="14" t="str">
        <x:v>official_prozorro_api</x:v>
      </x:c>
      <x:c r="U1155" s="14" t="str">
        <x:v>Не контактували</x:v>
      </x:c>
      <x:c r="V1155" s="15" t="str">
        <x:v>Workflow-audit outreach по UA-2026-05-27-000137-a; попросити 1 пакет здачі та вимоги проєкту</x:v>
      </x:c>
      <x:c r="W1155" s="15" t="str">
        <x:v>Власник / директор; керівник ПТО; відповідальний за договори</x:v>
      </x:c>
      <x:c r="X1155" s="15" t="str">
        <x:v>1 нових підтверджених перемог/договорів у Prozorro на 14 000 грн; 1 зі строком виконання не раніше 24.08.2026.</x:v>
      </x:c>
      <x:c r="Y1155"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 строк до 2026-12-31. Попросити один знеособлений пакет здачі за цим workflow.</x:v>
      </x:c>
      <x:c r="Z1155" s="15" t="str">
        <x:v>https://prozorro.gov.ua/tender/UA-2026-05-27-000137-a</x:v>
      </x:c>
      <x:c r="AA1155" s="14" t="str">
        <x:v>32794862</x:v>
      </x:c>
      <x:c r="AB1155" s="14" t="str">
        <x:v>2026-08-24</x:v>
      </x:c>
      <x:c r="AC1155" s="14" t="str"/>
      <x:c r="AD1155" s="20" t="str"/>
      <x:c r="AE1155" s="14" t="str"/>
      <x:c r="AF1155" s="14" t="n">
        <x:v>46</x:v>
      </x:c>
      <x:c r="AG1155" s="14" t="str">
        <x:v>I3</x:v>
      </x:c>
      <x:c r="AH1155" s="14" t="n">
        <x:v>1</x:v>
      </x:c>
      <x:c r="AI1155" s="14" t="n">
        <x:v>1</x:v>
      </x:c>
      <x:c r="AJ1155" s="18" t="n">
        <x:v>14000</x:v>
      </x:c>
      <x:c r="AK1155" s="14" t="str">
        <x:v>https://prozorro.gov.ua/tender/UA-2026-05-27-000137-a</x:v>
      </x:c>
      <x:c r="AL1155" s="19" t="n">
        <x:v>46169.22172875</x:v>
      </x:c>
      <x:c r="AM1155" s="19" t="n">
        <x:v>46387</x:v>
      </x:c>
      <x:c r="AN1155" s="15" t="str">
        <x:v>Пожежогасіння</x:v>
      </x:c>
      <x:c r="AO1155" s="15" t="str">
        <x:v>not_found_in_top_search</x:v>
      </x:c>
    </x:row>
    <x:row r="1156">
      <x:c r="A1156" s="14" t="str">
        <x:v>W4-337</x:v>
      </x:c>
      <x:c r="B1156" s="14" t="str">
        <x:v>Prozorro expansion — 24.08</x:v>
      </x:c>
      <x:c r="C1156" s="14" t="str">
        <x:v>ТОВАРИСТВО З ОБМЕЖЕНОЮ ВІДПОВІДАЛЬНІСТЮ "Виробничо-комерційне підприємство "АРМАТ"</x:v>
      </x:c>
      <x:c r="D1156" s="14" t="str">
        <x:v>Електромонтаж</x:v>
      </x:c>
      <x:c r="E1156" s="14" t="str">
        <x:v>Pilot now</x:v>
      </x:c>
      <x:c r="F1156" s="17" t="str">
        <x:v>P3</x:v>
      </x:c>
      <x:c r="G1156" s="14" t="str"/>
      <x:c r="H1156" s="14" t="str">
        <x:v>Пілот зараз — Н.15</x:v>
      </x:c>
      <x:c r="I1156" s="16" t="n">
        <x:v>5</x:v>
      </x:c>
      <x:c r="J1156" s="16" t="n">
        <x:v>5</x:v>
      </x:c>
      <x:c r="K1156" s="16" t="n">
        <x:v>4</x:v>
      </x:c>
      <x:c r="L1156" s="16" t="n">
        <x:v>1</x:v>
      </x:c>
      <x:c r="M1156" s="16" t="n">
        <x:v>5</x:v>
      </x:c>
      <x:c r="N1156" s="16" t="n">
        <x:v>5</x:v>
      </x:c>
      <x:c r="O1156" s="16" t="n">
        <x:v>3</x:v>
      </x:c>
      <x:c r="P1156" s="16" t="n">
        <x:f>IF(COUNT(I1156:O1156)&lt;7,"",I1156*8+J1156*3+K1156*2+L1156*2+M1156*2+N1156*2+O1156)</x:f>
        <x:v>88</x:v>
      </x:c>
      <x:c r="Q1156" s="16" t="n">
        <x:f>IF(COUNT(J1156:O1156)&lt;6,"",J1156*5+K1156*4+M1156*4+L1156*3+N1156*2+O1156*2)</x:f>
        <x:v>80</x:v>
      </x:c>
      <x:c r="R1156" s="14" t="str">
        <x:v>high</x:v>
      </x:c>
      <x:c r="S1156" s="14" t="str">
        <x:v>official_prozorro_award_2024_2026</x:v>
      </x:c>
      <x:c r="T1156" s="14" t="str">
        <x:v>official_prozorro_api</x:v>
      </x:c>
      <x:c r="U1156" s="14" t="str">
        <x:v>Не контактували</x:v>
      </x:c>
      <x:c r="V1156" s="15" t="str">
        <x:v>Персоналізований free-pilot outreach по UA-2026-06-17-011352-a; попросити 1 пакет Н.14/Н.15</x:v>
      </x:c>
      <x:c r="W1156" s="15" t="str">
        <x:v>Власник / директор; керівник ПТО; відповідальний за договори</x:v>
      </x:c>
      <x:c r="X1156" s="15" t="str">
        <x:v>1 нових підтверджених перемог/договорів у Prozorro на 13 500 грн; 1 зі строком виконання не раніше 24.08.2026.</x:v>
      </x:c>
      <x:c r="Y1156" s="15" t="str">
        <x:v>Електромонтажні роботи; строк до 2026-12-31. Попросити один знеособлений пакет здачі за цим workflow.</x:v>
      </x:c>
      <x:c r="Z1156" s="15" t="str">
        <x:v>https://prozorro.gov.ua/tender/UA-2026-06-17-011352-a</x:v>
      </x:c>
      <x:c r="AA1156" s="14" t="str">
        <x:v>45673499</x:v>
      </x:c>
      <x:c r="AB1156" s="14" t="str">
        <x:v>2026-08-24</x:v>
      </x:c>
      <x:c r="AC1156" s="14" t="str"/>
      <x:c r="AD1156" s="20" t="str"/>
      <x:c r="AE1156" s="14" t="str"/>
      <x:c r="AF1156" s="14" t="n">
        <x:v>46</x:v>
      </x:c>
      <x:c r="AG1156" s="14" t="str">
        <x:v>I3</x:v>
      </x:c>
      <x:c r="AH1156" s="14" t="n">
        <x:v>1</x:v>
      </x:c>
      <x:c r="AI1156" s="14" t="n">
        <x:v>1</x:v>
      </x:c>
      <x:c r="AJ1156" s="18" t="n">
        <x:v>13500</x:v>
      </x:c>
      <x:c r="AK1156" s="14" t="str">
        <x:v>https://prozorro.gov.ua/tender/UA-2026-06-17-011352-a</x:v>
      </x:c>
      <x:c r="AL1156" s="19" t="n">
        <x:v>46190.543794502315</x:v>
      </x:c>
      <x:c r="AM1156" s="19" t="n">
        <x:v>46387</x:v>
      </x:c>
      <x:c r="AN1156" s="15" t="str">
        <x:v>Електромонтаж</x:v>
      </x:c>
      <x:c r="AO1156" s="15" t="str">
        <x:v>not_found_in_top_search</x:v>
      </x:c>
    </x:row>
    <x:row r="1157">
      <x:c r="A1157" s="14" t="str">
        <x:v>W4-338</x:v>
      </x:c>
      <x:c r="B1157" s="14" t="str">
        <x:v>Prozorro expansion — 24.08</x:v>
      </x:c>
      <x:c r="C1157" s="14" t="str">
        <x:v>ТОВАРИСТВО З ОБМЕЖЕНОЮ ВІДПОВІДАЛЬНІСТЮ "ЛАННЕР"</x:v>
      </x:c>
      <x:c r="D1157" s="14" t="str">
        <x:v>Пожежогасіння</x:v>
      </x:c>
      <x:c r="E1157" s="14" t="str">
        <x:v>Expansion discovery</x:v>
      </x:c>
      <x:c r="F1157" s="17" t="str">
        <x:v>D3</x:v>
      </x:c>
      <x:c r="G1157" s="14" t="str"/>
      <x:c r="H1157" s="14" t="str">
        <x:v>Discovery розширення — 2 тижні</x:v>
      </x:c>
      <x:c r="I1157" s="16" t="n">
        <x:v>1</x:v>
      </x:c>
      <x:c r="J1157" s="16" t="n">
        <x:v>5</x:v>
      </x:c>
      <x:c r="K1157" s="16" t="n">
        <x:v>5</x:v>
      </x:c>
      <x:c r="L1157" s="16" t="n">
        <x:v>1</x:v>
      </x:c>
      <x:c r="M1157" s="16" t="n">
        <x:v>5</x:v>
      </x:c>
      <x:c r="N1157" s="16" t="n">
        <x:v>5</x:v>
      </x:c>
      <x:c r="O1157" s="16" t="n">
        <x:v>3</x:v>
      </x:c>
      <x:c r="P1157" s="16" t="n">
        <x:f>IF(COUNT(I1157:O1157)&lt;7,"",I1157*8+J1157*3+K1157*2+L1157*2+M1157*2+N1157*2+O1157)</x:f>
        <x:v>58</x:v>
      </x:c>
      <x:c r="Q1157" s="16" t="n">
        <x:f>IF(COUNT(J1157:O1157)&lt;6,"",J1157*5+K1157*4+M1157*4+L1157*3+N1157*2+O1157*2)</x:f>
        <x:v>84</x:v>
      </x:c>
      <x:c r="R1157" s="14" t="str">
        <x:v>high</x:v>
      </x:c>
      <x:c r="S1157" s="14" t="str">
        <x:v>official_prozorro_award_2024_2026</x:v>
      </x:c>
      <x:c r="T1157" s="14" t="str">
        <x:v>official_prozorro_api</x:v>
      </x:c>
      <x:c r="U1157" s="14" t="str">
        <x:v>Не контактували</x:v>
      </x:c>
      <x:c r="V1157" s="15" t="str">
        <x:v>Workflow-audit outreach по UA-2026-06-03-003489-a; попросити 1 пакет здачі та вимоги проєкту</x:v>
      </x:c>
      <x:c r="W1157" s="15" t="str">
        <x:v>Власник / директор; керівник ПТО; відповідальний за договори</x:v>
      </x:c>
      <x:c r="X1157" s="15" t="str">
        <x:v>1 нових підтверджених перемог/договорів у Prozorro на 12 552 грн; 0 зі строком виконання не раніше 24.08.2026.</x:v>
      </x:c>
      <x:c r="Y115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 строк до 2026-06-17. Попросити один знеособлений пакет здачі за цим workflow.</x:v>
      </x:c>
      <x:c r="Z1157" s="15" t="str">
        <x:v>https://prozorro.gov.ua/tender/UA-2026-06-03-003489-a</x:v>
      </x:c>
      <x:c r="AA1157" s="14" t="str">
        <x:v>39531653</x:v>
      </x:c>
      <x:c r="AB1157" s="14" t="str">
        <x:v>2026-08-24</x:v>
      </x:c>
      <x:c r="AC1157" s="14" t="str"/>
      <x:c r="AD1157" s="20" t="str"/>
      <x:c r="AE1157" s="14" t="str"/>
      <x:c r="AF1157" s="14" t="n">
        <x:v>46</x:v>
      </x:c>
      <x:c r="AG1157" s="14" t="str">
        <x:v>I3</x:v>
      </x:c>
      <x:c r="AH1157" s="14" t="n">
        <x:v>1</x:v>
      </x:c>
      <x:c r="AI1157" s="14" t="n">
        <x:v>0</x:v>
      </x:c>
      <x:c r="AJ1157" s="18" t="n">
        <x:v>12552</x:v>
      </x:c>
      <x:c r="AK1157" s="14" t="str">
        <x:v>https://prozorro.gov.ua/tender/UA-2026-06-03-003489-a</x:v>
      </x:c>
      <x:c r="AL1157" s="19" t="n">
        <x:v>46176.33633157407</x:v>
      </x:c>
      <x:c r="AM1157" s="19" t="n">
        <x:v>46190</x:v>
      </x:c>
      <x:c r="AN1157" s="15" t="str">
        <x:v>Пожежогасіння</x:v>
      </x:c>
      <x:c r="AO1157" s="15" t="str">
        <x:v>not_found_in_top_search</x:v>
      </x:c>
    </x:row>
    <x:row r="1158">
      <x:c r="A1158" s="14" t="str">
        <x:v>W4-339</x:v>
      </x:c>
      <x:c r="B1158" s="14" t="str">
        <x:v>Prozorro expansion — 24.08</x:v>
      </x:c>
      <x:c r="C1158" s="14" t="str">
        <x:v>ТОВАРИСТВО З ОБМЕЖЕНОЮ ВІДПОВІДАЛЬНІСТЮ " ЕНЕРГОСЕРВІС ЛТД"</x:v>
      </x:c>
      <x:c r="D1158" s="14" t="str">
        <x:v>Електромонтаж</x:v>
      </x:c>
      <x:c r="E1158" s="14" t="str">
        <x:v>Pilot now</x:v>
      </x:c>
      <x:c r="F1158" s="17" t="str">
        <x:v>P3</x:v>
      </x:c>
      <x:c r="G1158" s="14" t="str"/>
      <x:c r="H1158" s="14" t="str">
        <x:v>Пілот зараз — Н.15</x:v>
      </x:c>
      <x:c r="I1158" s="16" t="n">
        <x:v>5</x:v>
      </x:c>
      <x:c r="J1158" s="16" t="n">
        <x:v>5</x:v>
      </x:c>
      <x:c r="K1158" s="16" t="n">
        <x:v>4</x:v>
      </x:c>
      <x:c r="L1158" s="16" t="n">
        <x:v>1</x:v>
      </x:c>
      <x:c r="M1158" s="16" t="n">
        <x:v>5</x:v>
      </x:c>
      <x:c r="N1158" s="16" t="n">
        <x:v>5</x:v>
      </x:c>
      <x:c r="O1158" s="16" t="n">
        <x:v>3</x:v>
      </x:c>
      <x:c r="P1158" s="16" t="n">
        <x:f>IF(COUNT(I1158:O1158)&lt;7,"",I1158*8+J1158*3+K1158*2+L1158*2+M1158*2+N1158*2+O1158)</x:f>
        <x:v>88</x:v>
      </x:c>
      <x:c r="Q1158" s="16" t="n">
        <x:f>IF(COUNT(J1158:O1158)&lt;6,"",J1158*5+K1158*4+M1158*4+L1158*3+N1158*2+O1158*2)</x:f>
        <x:v>80</x:v>
      </x:c>
      <x:c r="R1158" s="14" t="str">
        <x:v>high</x:v>
      </x:c>
      <x:c r="S1158" s="14" t="str">
        <x:v>official_prozorro_award_2024_2026</x:v>
      </x:c>
      <x:c r="T1158" s="14" t="str">
        <x:v>official_prozorro_api</x:v>
      </x:c>
      <x:c r="U1158" s="14" t="str">
        <x:v>Не контактували</x:v>
      </x:c>
      <x:c r="V1158" s="15" t="str">
        <x:v>Персоналізований free-pilot outreach по UA-2026-07-07-004237-a; попросити 1 пакет Н.14/Н.15</x:v>
      </x:c>
      <x:c r="W1158" s="15" t="str">
        <x:v>Власник / директор; керівник ПТО; відповідальний за договори</x:v>
      </x:c>
      <x:c r="X1158" s="15" t="str">
        <x:v>1 нових підтверджених перемог/договорів у Prozorro на 12 421 грн; 1 зі строком виконання не раніше 24.08.2026.</x:v>
      </x:c>
      <x:c r="Y1158" s="15" t="str">
        <x:v>поточний ремонт(електромонтажні роботи); строк до 2026-12-31. Попросити один знеособлений пакет здачі за цим workflow.</x:v>
      </x:c>
      <x:c r="Z1158" s="15" t="str">
        <x:v>https://prozorro.gov.ua/tender/UA-2026-07-07-004237-a</x:v>
      </x:c>
      <x:c r="AA1158" s="14" t="str">
        <x:v>23059711</x:v>
      </x:c>
      <x:c r="AB1158" s="14" t="str">
        <x:v>2026-08-24</x:v>
      </x:c>
      <x:c r="AC1158" s="14" t="str"/>
      <x:c r="AD1158" s="20" t="str"/>
      <x:c r="AE1158" s="14" t="str"/>
      <x:c r="AF1158" s="14" t="n">
        <x:v>46</x:v>
      </x:c>
      <x:c r="AG1158" s="14" t="str">
        <x:v>I3</x:v>
      </x:c>
      <x:c r="AH1158" s="14" t="n">
        <x:v>1</x:v>
      </x:c>
      <x:c r="AI1158" s="14" t="n">
        <x:v>1</x:v>
      </x:c>
      <x:c r="AJ1158" s="18" t="n">
        <x:v>12421</x:v>
      </x:c>
      <x:c r="AK1158" s="14" t="str">
        <x:v>https://prozorro.gov.ua/tender/UA-2026-07-07-004237-a</x:v>
      </x:c>
      <x:c r="AL1158" s="19" t="n">
        <x:v>46210.3759903125</x:v>
      </x:c>
      <x:c r="AM1158" s="19" t="n">
        <x:v>46387</x:v>
      </x:c>
      <x:c r="AN1158" s="15" t="str">
        <x:v>Електромонтаж</x:v>
      </x:c>
      <x:c r="AO1158" s="15" t="str">
        <x:v>not_found_in_top_search</x:v>
      </x:c>
    </x:row>
    <x:row r="1159">
      <x:c r="A1159" s="14" t="str">
        <x:v>W4-340</x:v>
      </x:c>
      <x:c r="B1159" s="14" t="str">
        <x:v>Prozorro expansion — 24.08</x:v>
      </x:c>
      <x:c r="C1159" s="14" t="str">
        <x:v>Товариство з обмеженою відповідальністю "СТРАЖ-В"</x:v>
      </x:c>
      <x:c r="D1159" s="14" t="str">
        <x:v>Пожежогасіння</x:v>
      </x:c>
      <x:c r="E1159" s="14" t="str">
        <x:v>Expansion discovery</x:v>
      </x:c>
      <x:c r="F1159" s="17" t="str">
        <x:v>D3</x:v>
      </x:c>
      <x:c r="G1159" s="14" t="str"/>
      <x:c r="H1159" s="14" t="str">
        <x:v>Discovery розширення — 2 тижні</x:v>
      </x:c>
      <x:c r="I1159" s="16" t="n">
        <x:v>1</x:v>
      </x:c>
      <x:c r="J1159" s="16" t="n">
        <x:v>5</x:v>
      </x:c>
      <x:c r="K1159" s="16" t="n">
        <x:v>5</x:v>
      </x:c>
      <x:c r="L1159" s="16" t="n">
        <x:v>1</x:v>
      </x:c>
      <x:c r="M1159" s="16" t="n">
        <x:v>5</x:v>
      </x:c>
      <x:c r="N1159" s="16" t="n">
        <x:v>5</x:v>
      </x:c>
      <x:c r="O1159" s="16" t="n">
        <x:v>3</x:v>
      </x:c>
      <x:c r="P1159" s="16" t="n">
        <x:f>IF(COUNT(I1159:O1159)&lt;7,"",I1159*8+J1159*3+K1159*2+L1159*2+M1159*2+N1159*2+O1159)</x:f>
        <x:v>58</x:v>
      </x:c>
      <x:c r="Q1159" s="16" t="n">
        <x:f>IF(COUNT(J1159:O1159)&lt;6,"",J1159*5+K1159*4+M1159*4+L1159*3+N1159*2+O1159*2)</x:f>
        <x:v>84</x:v>
      </x:c>
      <x:c r="R1159" s="14" t="str">
        <x:v>high</x:v>
      </x:c>
      <x:c r="S1159" s="14" t="str">
        <x:v>official_prozorro_award_2024_2026</x:v>
      </x:c>
      <x:c r="T1159" s="14" t="str">
        <x:v>official_prozorro_api</x:v>
      </x:c>
      <x:c r="U1159" s="14" t="str">
        <x:v>Не контактували</x:v>
      </x:c>
      <x:c r="V1159" s="15" t="str">
        <x:v>Workflow-audit outreach по UA-2026-05-14-014403-a; попросити 1 пакет здачі та вимоги проєкту</x:v>
      </x:c>
      <x:c r="W1159" s="15" t="str">
        <x:v>Власник / директор; керівник ПТО; відповідальний за договори</x:v>
      </x:c>
      <x:c r="X1159" s="15" t="str">
        <x:v>1 нових підтверджених перемог/договорів у Prozorro на 12 000 грн; 0 зі строком виконання не раніше 24.08.2026.</x:v>
      </x:c>
      <x:c r="Y115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 строк до 2026-06-19. Попросити один знеособлений пакет здачі за цим workflow.</x:v>
      </x:c>
      <x:c r="Z1159" s="15" t="str">
        <x:v>https://prozorro.gov.ua/tender/UA-2026-05-14-014403-a</x:v>
      </x:c>
      <x:c r="AA1159" s="14" t="str">
        <x:v>37808790</x:v>
      </x:c>
      <x:c r="AB1159" s="14" t="str">
        <x:v>2026-08-24</x:v>
      </x:c>
      <x:c r="AC1159" s="14" t="str"/>
      <x:c r="AD1159" s="20" t="str"/>
      <x:c r="AE1159" s="14" t="str"/>
      <x:c r="AF1159" s="14" t="n">
        <x:v>46</x:v>
      </x:c>
      <x:c r="AG1159" s="14" t="str">
        <x:v>I3</x:v>
      </x:c>
      <x:c r="AH1159" s="14" t="n">
        <x:v>1</x:v>
      </x:c>
      <x:c r="AI1159" s="14" t="n">
        <x:v>0</x:v>
      </x:c>
      <x:c r="AJ1159" s="18" t="n">
        <x:v>12000</x:v>
      </x:c>
      <x:c r="AK1159" s="14" t="str">
        <x:v>https://prozorro.gov.ua/tender/UA-2026-05-14-014403-a</x:v>
      </x:c>
      <x:c r="AL1159" s="19" t="n">
        <x:v>46169.84383081018</x:v>
      </x:c>
      <x:c r="AM1159" s="19" t="n">
        <x:v>46192</x:v>
      </x:c>
      <x:c r="AN1159" s="15" t="str">
        <x:v>Пожежогасіння</x:v>
      </x:c>
      <x:c r="AO1159" s="15" t="str">
        <x:v>not_found_in_top_search</x:v>
      </x:c>
    </x:row>
    <x:row r="1160">
      <x:c r="A1160" s="14" t="str">
        <x:v>W4-341</x:v>
      </x:c>
      <x:c r="B1160" s="14" t="str">
        <x:v>Prozorro expansion — 24.08</x:v>
      </x:c>
      <x:c r="C1160" s="14" t="str">
        <x:v>МОСІЄНКО НАТАЛІЯ ГРИГОРІВНА</x:v>
      </x:c>
      <x:c r="D1160" s="14" t="str">
        <x:v>Металоконструкції</x:v>
      </x:c>
      <x:c r="E1160" s="14" t="str">
        <x:v>Expansion discovery</x:v>
      </x:c>
      <x:c r="F1160" s="17" t="str">
        <x:v>D3</x:v>
      </x:c>
      <x:c r="G1160" s="14" t="str"/>
      <x:c r="H1160" s="14" t="str">
        <x:v>Discovery розширення — 2 тижні</x:v>
      </x:c>
      <x:c r="I1160" s="16" t="n">
        <x:v>1</x:v>
      </x:c>
      <x:c r="J1160" s="16" t="n">
        <x:v>5</x:v>
      </x:c>
      <x:c r="K1160" s="16" t="n">
        <x:v>5</x:v>
      </x:c>
      <x:c r="L1160" s="16" t="n">
        <x:v>1</x:v>
      </x:c>
      <x:c r="M1160" s="16" t="n">
        <x:v>5</x:v>
      </x:c>
      <x:c r="N1160" s="16" t="n">
        <x:v>3</x:v>
      </x:c>
      <x:c r="O1160" s="16" t="n">
        <x:v>3</x:v>
      </x:c>
      <x:c r="P1160" s="16" t="n">
        <x:f>IF(COUNT(I1160:O1160)&lt;7,"",I1160*8+J1160*3+K1160*2+L1160*2+M1160*2+N1160*2+O1160)</x:f>
        <x:v>54</x:v>
      </x:c>
      <x:c r="Q1160" s="16" t="n">
        <x:f>IF(COUNT(J1160:O1160)&lt;6,"",J1160*5+K1160*4+M1160*4+L1160*3+N1160*2+O1160*2)</x:f>
        <x:v>80</x:v>
      </x:c>
      <x:c r="R1160" s="14" t="str">
        <x:v>high</x:v>
      </x:c>
      <x:c r="S1160" s="14" t="str">
        <x:v>official_prozorro_award_2024_2026</x:v>
      </x:c>
      <x:c r="T1160" s="14" t="str">
        <x:v>official_prozorro_api</x:v>
      </x:c>
      <x:c r="U1160" s="14" t="str">
        <x:v>Не контактували</x:v>
      </x:c>
      <x:c r="V1160" s="15" t="str">
        <x:v>Workflow-audit outreach по UA-2026-05-06-002583-a; попросити 1 пакет здачі та вимоги проєкту</x:v>
      </x:c>
      <x:c r="W1160" s="15" t="str">
        <x:v>Власник / виконавець; відповідальний за договір</x:v>
      </x:c>
      <x:c r="X1160" s="15" t="str">
        <x:v>1 нових підтверджених перемог/договорів у Prozorro на 10 195 грн; 0 зі строком виконання не раніше 24.08.2026.</x:v>
      </x:c>
      <x:c r="Y1160" s="15" t="str">
        <x:v>Послуги з демонтажу та встановлення металоконструкцій для пам'ятно-інформаційних банерів; строк до 2026-07-31. Попросити один знеособлений пакет здачі за цим workflow.</x:v>
      </x:c>
      <x:c r="Z1160" s="15" t="str">
        <x:v>https://prozorro.gov.ua/tender/UA-2026-05-06-002583-a</x:v>
      </x:c>
      <x:c r="AA1160" s="14" t="str">
        <x:v>2612509420</x:v>
      </x:c>
      <x:c r="AB1160" s="14" t="str">
        <x:v>2026-08-24</x:v>
      </x:c>
      <x:c r="AC1160" s="14" t="str"/>
      <x:c r="AD1160" s="20" t="str"/>
      <x:c r="AE1160" s="14" t="str"/>
      <x:c r="AF1160" s="14" t="n">
        <x:v>46</x:v>
      </x:c>
      <x:c r="AG1160" s="14" t="str">
        <x:v>I3</x:v>
      </x:c>
      <x:c r="AH1160" s="14" t="n">
        <x:v>1</x:v>
      </x:c>
      <x:c r="AI1160" s="14" t="n">
        <x:v>0</x:v>
      </x:c>
      <x:c r="AJ1160" s="18" t="n">
        <x:v>10195.2</x:v>
      </x:c>
      <x:c r="AK1160" s="14" t="str">
        <x:v>https://prozorro.gov.ua/tender/UA-2026-05-06-002583-a</x:v>
      </x:c>
      <x:c r="AL1160" s="19" t="n">
        <x:v>46148.310416134256</x:v>
      </x:c>
      <x:c r="AM1160" s="19" t="n">
        <x:v>46234</x:v>
      </x:c>
      <x:c r="AN1160" s="15" t="str">
        <x:v>Металоконструкції</x:v>
      </x:c>
      <x:c r="AO1160" s="15" t="str">
        <x:v>not_found_in_top_search</x:v>
      </x:c>
    </x:row>
    <x:row r="1161">
      <x:c r="A1161" s="14" t="str">
        <x:v>W4-342</x:v>
      </x:c>
      <x:c r="B1161" s="14" t="str">
        <x:v>Prozorro expansion — 24.08</x:v>
      </x:c>
      <x:c r="C1161" s="14" t="str">
        <x:v>Приватне підприємство «СПЕЦПОЖСЕРВІС»</x:v>
      </x:c>
      <x:c r="D1161" s="14" t="str">
        <x:v>Пожежогасіння</x:v>
      </x:c>
      <x:c r="E1161" s="14" t="str">
        <x:v>Expansion discovery</x:v>
      </x:c>
      <x:c r="F1161" s="17" t="str">
        <x:v>D3</x:v>
      </x:c>
      <x:c r="G1161" s="14" t="str"/>
      <x:c r="H1161" s="14" t="str">
        <x:v>Discovery розширення — 2 тижні</x:v>
      </x:c>
      <x:c r="I1161" s="16" t="n">
        <x:v>1</x:v>
      </x:c>
      <x:c r="J1161" s="16" t="n">
        <x:v>5</x:v>
      </x:c>
      <x:c r="K1161" s="16" t="n">
        <x:v>5</x:v>
      </x:c>
      <x:c r="L1161" s="16" t="n">
        <x:v>1</x:v>
      </x:c>
      <x:c r="M1161" s="16" t="n">
        <x:v>5</x:v>
      </x:c>
      <x:c r="N1161" s="16" t="n">
        <x:v>5</x:v>
      </x:c>
      <x:c r="O1161" s="16" t="n">
        <x:v>3</x:v>
      </x:c>
      <x:c r="P1161" s="16" t="n">
        <x:f>IF(COUNT(I1161:O1161)&lt;7,"",I1161*8+J1161*3+K1161*2+L1161*2+M1161*2+N1161*2+O1161)</x:f>
        <x:v>58</x:v>
      </x:c>
      <x:c r="Q1161" s="16" t="n">
        <x:f>IF(COUNT(J1161:O1161)&lt;6,"",J1161*5+K1161*4+M1161*4+L1161*3+N1161*2+O1161*2)</x:f>
        <x:v>84</x:v>
      </x:c>
      <x:c r="R1161" s="14" t="str">
        <x:v>high</x:v>
      </x:c>
      <x:c r="S1161" s="14" t="str">
        <x:v>official_prozorro_award_2024_2026</x:v>
      </x:c>
      <x:c r="T1161" s="14" t="str">
        <x:v>official_prozorro_api</x:v>
      </x:c>
      <x:c r="U1161" s="14" t="str">
        <x:v>Не контактували</x:v>
      </x:c>
      <x:c r="V1161" s="15" t="str">
        <x:v>Workflow-audit outreach по UA-2026-04-30-007538-a; попросити 1 пакет здачі та вимоги проєкту</x:v>
      </x:c>
      <x:c r="W1161" s="15" t="str">
        <x:v>Власник / директор; керівник ПТО; відповідальний за договори</x:v>
      </x:c>
      <x:c r="X1161" s="15" t="str">
        <x:v>1 нових підтверджених перемог/договорів у Prozorro на 6 603 грн; 1 зі строком виконання не раніше 24.08.2026.</x:v>
      </x:c>
      <x:c r="Y1161"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 строк до 2026-12-31. Попросити один знеособлений пакет здачі за цим workflow.</x:v>
      </x:c>
      <x:c r="Z1161" s="15" t="str">
        <x:v>https://prozorro.gov.ua/tender/UA-2026-04-30-007538-a</x:v>
      </x:c>
      <x:c r="AA1161" s="14" t="str">
        <x:v>36155020</x:v>
      </x:c>
      <x:c r="AB1161" s="14" t="str">
        <x:v>2026-08-24</x:v>
      </x:c>
      <x:c r="AC1161" s="14" t="str"/>
      <x:c r="AD1161" s="20" t="str"/>
      <x:c r="AE1161" s="14" t="str"/>
      <x:c r="AF1161" s="14" t="n">
        <x:v>46</x:v>
      </x:c>
      <x:c r="AG1161" s="14" t="str">
        <x:v>I3</x:v>
      </x:c>
      <x:c r="AH1161" s="14" t="n">
        <x:v>1</x:v>
      </x:c>
      <x:c r="AI1161" s="14" t="n">
        <x:v>1</x:v>
      </x:c>
      <x:c r="AJ1161" s="18" t="n">
        <x:v>6603</x:v>
      </x:c>
      <x:c r="AK1161" s="14" t="str">
        <x:v>https://prozorro.gov.ua/tender/UA-2026-04-30-007538-a</x:v>
      </x:c>
      <x:c r="AL1161" s="19" t="n">
        <x:v>46142.491296099535</x:v>
      </x:c>
      <x:c r="AM1161" s="19" t="n">
        <x:v>46387</x:v>
      </x:c>
      <x:c r="AN1161" s="15" t="str">
        <x:v>Пожежогасіння</x:v>
      </x:c>
      <x:c r="AO1161" s="15" t="str">
        <x:v>not_found_in_top_search</x:v>
      </x:c>
    </x:row>
    <x:row r="1162">
      <x:c r="A1162" s="14" t="str">
        <x:v>W4-343</x:v>
      </x:c>
      <x:c r="B1162" s="14" t="str">
        <x:v>Prozorro expansion — 24.08</x:v>
      </x:c>
      <x:c r="C1162" s="14" t="str">
        <x:v>ТОВАРИСТВО З ОБМЕЖЕНОЮ ВІДПОВІДАЛЬНІСТЮ "БАРЕЛ"</x:v>
      </x:c>
      <x:c r="D1162" s="14" t="str">
        <x:v>Фасади та скління</x:v>
      </x:c>
      <x:c r="E1162" s="14" t="str">
        <x:v>Expansion discovery</x:v>
      </x:c>
      <x:c r="F1162" s="17" t="str">
        <x:v>D3</x:v>
      </x:c>
      <x:c r="G1162" s="14" t="str"/>
      <x:c r="H1162" s="14" t="str">
        <x:v>Discovery розширення — 2 тижні</x:v>
      </x:c>
      <x:c r="I1162" s="16" t="n">
        <x:v>1</x:v>
      </x:c>
      <x:c r="J1162" s="16" t="n">
        <x:v>5</x:v>
      </x:c>
      <x:c r="K1162" s="16" t="n">
        <x:v>5</x:v>
      </x:c>
      <x:c r="L1162" s="16" t="n">
        <x:v>1</x:v>
      </x:c>
      <x:c r="M1162" s="16" t="n">
        <x:v>5</x:v>
      </x:c>
      <x:c r="N1162" s="16" t="n">
        <x:v>5</x:v>
      </x:c>
      <x:c r="O1162" s="16" t="n">
        <x:v>3</x:v>
      </x:c>
      <x:c r="P1162" s="16" t="n">
        <x:f>IF(COUNT(I1162:O1162)&lt;7,"",I1162*8+J1162*3+K1162*2+L1162*2+M1162*2+N1162*2+O1162)</x:f>
        <x:v>58</x:v>
      </x:c>
      <x:c r="Q1162" s="16" t="n">
        <x:f>IF(COUNT(J1162:O1162)&lt;6,"",J1162*5+K1162*4+M1162*4+L1162*3+N1162*2+O1162*2)</x:f>
        <x:v>84</x:v>
      </x:c>
      <x:c r="R1162" s="14" t="str">
        <x:v>high</x:v>
      </x:c>
      <x:c r="S1162" s="14" t="str">
        <x:v>official_prozorro_award_2024_2026</x:v>
      </x:c>
      <x:c r="T1162" s="14" t="str">
        <x:v>official_prozorro_api</x:v>
      </x:c>
      <x:c r="U1162" s="14" t="str">
        <x:v>Не контактували</x:v>
      </x:c>
      <x:c r="V1162" s="15" t="str">
        <x:v>Workflow-audit outreach по UA-2026-04-28-005808-a; попросити 1 пакет здачі та вимоги проєкту</x:v>
      </x:c>
      <x:c r="W1162" s="15" t="str">
        <x:v>Власник / директор; керівник ПТО; відповідальний за договори</x:v>
      </x:c>
      <x:c r="X1162" s="15" t="str">
        <x:v>1 нових підтверджених перемог/договорів у Prozorro на 6 048 грн; 0 зі строком виконання не раніше 24.08.2026.</x:v>
      </x:c>
      <x:c r="Y1162" s="15" t="str">
        <x:v>Клей для утеплення фасадів 25кг
; строк до 2026-04-30. Попросити один знеособлений пакет здачі за цим workflow.</x:v>
      </x:c>
      <x:c r="Z1162" s="15" t="str">
        <x:v>https://prozorro.gov.ua/tender/UA-2026-04-28-005808-a</x:v>
      </x:c>
      <x:c r="AA1162" s="14" t="str">
        <x:v>20459522</x:v>
      </x:c>
      <x:c r="AB1162" s="14" t="str">
        <x:v>2026-08-24</x:v>
      </x:c>
      <x:c r="AC1162" s="14" t="str"/>
      <x:c r="AD1162" s="20" t="str"/>
      <x:c r="AE1162" s="14" t="str"/>
      <x:c r="AF1162" s="14" t="n">
        <x:v>46</x:v>
      </x:c>
      <x:c r="AG1162" s="14" t="str">
        <x:v>I3</x:v>
      </x:c>
      <x:c r="AH1162" s="14" t="n">
        <x:v>1</x:v>
      </x:c>
      <x:c r="AI1162" s="14" t="n">
        <x:v>0</x:v>
      </x:c>
      <x:c r="AJ1162" s="18" t="n">
        <x:v>6048</x:v>
      </x:c>
      <x:c r="AK1162" s="14" t="str">
        <x:v>https://prozorro.gov.ua/tender/UA-2026-04-28-005808-a</x:v>
      </x:c>
      <x:c r="AL1162" s="19" t="n">
        <x:v>46140.377947291665</x:v>
      </x:c>
      <x:c r="AM1162" s="19" t="n">
        <x:v>46142</x:v>
      </x:c>
      <x:c r="AN1162" s="15" t="str">
        <x:v>Фасади та скління</x:v>
      </x:c>
      <x:c r="AO1162" s="15" t="str">
        <x:v>not_found_in_top_search</x:v>
      </x:c>
    </x:row>
    <x:row r="1163">
      <x:c r="A1163" s="14" t="str">
        <x:v>W4-344</x:v>
      </x:c>
      <x:c r="B1163" s="14" t="str">
        <x:v>Prozorro expansion — 24.08</x:v>
      </x:c>
      <x:c r="C1163" s="14" t="str">
        <x:v>Гайдук Тетяна Миколаївна</x:v>
      </x:c>
      <x:c r="D1163" s="14" t="str">
        <x:v>Покрівлі та гідроізоляція</x:v>
      </x:c>
      <x:c r="E1163" s="14" t="str">
        <x:v>Expansion discovery</x:v>
      </x:c>
      <x:c r="F1163" s="17" t="str">
        <x:v>D3</x:v>
      </x:c>
      <x:c r="G1163" s="14" t="str"/>
      <x:c r="H1163" s="14" t="str">
        <x:v>Discovery розширення — 2 тижні</x:v>
      </x:c>
      <x:c r="I1163" s="16" t="n">
        <x:v>1</x:v>
      </x:c>
      <x:c r="J1163" s="16" t="n">
        <x:v>5</x:v>
      </x:c>
      <x:c r="K1163" s="16" t="n">
        <x:v>5</x:v>
      </x:c>
      <x:c r="L1163" s="16" t="n">
        <x:v>1</x:v>
      </x:c>
      <x:c r="M1163" s="16" t="n">
        <x:v>5</x:v>
      </x:c>
      <x:c r="N1163" s="16" t="n">
        <x:v>3</x:v>
      </x:c>
      <x:c r="O1163" s="16" t="n">
        <x:v>3</x:v>
      </x:c>
      <x:c r="P1163" s="16" t="n">
        <x:f>IF(COUNT(I1163:O1163)&lt;7,"",I1163*8+J1163*3+K1163*2+L1163*2+M1163*2+N1163*2+O1163)</x:f>
        <x:v>54</x:v>
      </x:c>
      <x:c r="Q1163" s="16" t="n">
        <x:f>IF(COUNT(J1163:O1163)&lt;6,"",J1163*5+K1163*4+M1163*4+L1163*3+N1163*2+O1163*2)</x:f>
        <x:v>80</x:v>
      </x:c>
      <x:c r="R1163" s="14" t="str">
        <x:v>high</x:v>
      </x:c>
      <x:c r="S1163" s="14" t="str">
        <x:v>official_prozorro_award_2024_2026</x:v>
      </x:c>
      <x:c r="T1163" s="14" t="str">
        <x:v>official_prozorro_api</x:v>
      </x:c>
      <x:c r="U1163" s="14" t="str">
        <x:v>Не контактували</x:v>
      </x:c>
      <x:c r="V1163" s="15" t="str">
        <x:v>Workflow-audit outreach по UA-2026-06-16-009186-a; попросити 1 пакет здачі та вимоги проєкту</x:v>
      </x:c>
      <x:c r="W1163" s="15" t="str">
        <x:v>Власник / виконавець; відповідальний за договір</x:v>
      </x:c>
      <x:c r="X1163" s="15" t="str">
        <x:v>1 нових підтверджених перемог/договорів у Prozorro на 2 250 грн; 1 зі строком виконання не раніше 24.08.2026.</x:v>
      </x:c>
      <x:c r="Y1163"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 строк до 2026-12-31. Попросити один знеособлений пакет здачі за цим workflow.</x:v>
      </x:c>
      <x:c r="Z1163" s="15" t="str">
        <x:v>https://prozorro.gov.ua/tender/UA-2026-06-16-009186-a</x:v>
      </x:c>
      <x:c r="AA1163" s="14" t="str">
        <x:v>2456213487</x:v>
      </x:c>
      <x:c r="AB1163" s="14" t="str">
        <x:v>2026-08-24</x:v>
      </x:c>
      <x:c r="AC1163" s="14" t="str"/>
      <x:c r="AD1163" s="20" t="str"/>
      <x:c r="AE1163" s="14" t="str"/>
      <x:c r="AF1163" s="14" t="n">
        <x:v>46</x:v>
      </x:c>
      <x:c r="AG1163" s="14" t="str">
        <x:v>I3</x:v>
      </x:c>
      <x:c r="AH1163" s="14" t="n">
        <x:v>1</x:v>
      </x:c>
      <x:c r="AI1163" s="14" t="n">
        <x:v>1</x:v>
      </x:c>
      <x:c r="AJ1163" s="18" t="n">
        <x:v>2250</x:v>
      </x:c>
      <x:c r="AK1163" s="14" t="str">
        <x:v>https://prozorro.gov.ua/tender/UA-2026-06-16-009186-a</x:v>
      </x:c>
      <x:c r="AL1163" s="19" t="n">
        <x:v>46189.4887233912</x:v>
      </x:c>
      <x:c r="AM1163" s="19" t="n">
        <x:v>46387</x:v>
      </x:c>
      <x:c r="AN1163" s="15" t="str">
        <x:v>Покрівлі та гідроізоляція</x:v>
      </x:c>
      <x:c r="AO1163" s="15" t="str">
        <x:v>not_found_in_top_search</x:v>
      </x:c>
    </x:row>
    <x:row r="1164">
      <x:c r="A1164" s="14" t="str">
        <x:v>W4-345</x:v>
      </x:c>
      <x:c r="B1164" s="14" t="str">
        <x:v>Prozorro expansion — 24.08</x:v>
      </x:c>
      <x:c r="C1164" s="14" t="str">
        <x:v>СТРУКТУРНА ОДИНИЦЯ "ВІННИЦЬКІ СХІДНІ ЕЛЕКТРИЧНІ МЕРЕЖІ" АКЦІОНЕРНОГО ТОВАРИСТВА "ВІННИЦЯОБЛЕНЕРГО"</x:v>
      </x:c>
      <x:c r="D1164" s="14" t="str">
        <x:v>Електромонтаж</x:v>
      </x:c>
      <x:c r="E1164" s="14" t="str">
        <x:v>Pilot now</x:v>
      </x:c>
      <x:c r="F1164" s="17" t="str">
        <x:v>P3</x:v>
      </x:c>
      <x:c r="G1164" s="14" t="str"/>
      <x:c r="H1164" s="14" t="str">
        <x:v>Пілот зараз — Н.15</x:v>
      </x:c>
      <x:c r="I1164" s="16" t="n">
        <x:v>5</x:v>
      </x:c>
      <x:c r="J1164" s="16" t="n">
        <x:v>5</x:v>
      </x:c>
      <x:c r="K1164" s="16" t="n">
        <x:v>4</x:v>
      </x:c>
      <x:c r="L1164" s="16" t="n">
        <x:v>1</x:v>
      </x:c>
      <x:c r="M1164" s="16" t="n">
        <x:v>5</x:v>
      </x:c>
      <x:c r="N1164" s="16" t="n">
        <x:v>5</x:v>
      </x:c>
      <x:c r="O1164" s="16" t="n">
        <x:v>3</x:v>
      </x:c>
      <x:c r="P1164" s="16" t="n">
        <x:f>IF(COUNT(I1164:O1164)&lt;7,"",I1164*8+J1164*3+K1164*2+L1164*2+M1164*2+N1164*2+O1164)</x:f>
        <x:v>88</x:v>
      </x:c>
      <x:c r="Q1164" s="16" t="n">
        <x:f>IF(COUNT(J1164:O1164)&lt;6,"",J1164*5+K1164*4+M1164*4+L1164*3+N1164*2+O1164*2)</x:f>
        <x:v>80</x:v>
      </x:c>
      <x:c r="R1164" s="14" t="str">
        <x:v>high</x:v>
      </x:c>
      <x:c r="S1164" s="14" t="str">
        <x:v>official_prozorro_award_2024_2026</x:v>
      </x:c>
      <x:c r="T1164" s="14" t="str">
        <x:v>official_prozorro_api</x:v>
      </x:c>
      <x:c r="U1164" s="14" t="str">
        <x:v>Не контактували</x:v>
      </x:c>
      <x:c r="V1164" s="15" t="str">
        <x:v>Персоналізований free-pilot outreach по UA-2026-07-08-009631-a; попросити 1 пакет Н.14/Н.15</x:v>
      </x:c>
      <x:c r="W1164" s="15" t="str">
        <x:v>Власник / директор; керівник ПТО; відповідальний за договори</x:v>
      </x:c>
      <x:c r="X1164" s="15" t="str">
        <x:v>1 нових підтверджених перемог/договорів у Prozorro на 1 916 грн; 0 зі строком виконання не раніше 24.08.2026.</x:v>
      </x:c>
      <x:c r="Y1164" s="15" t="str">
        <x:v>Електромонтажні роботи; строк до 2026-07-31. Попросити один знеособлений пакет здачі за цим workflow.</x:v>
      </x:c>
      <x:c r="Z1164" s="15" t="str">
        <x:v>https://prozorro.gov.ua/tender/UA-2026-07-08-009631-a</x:v>
      </x:c>
      <x:c r="AA1164" s="14" t="str">
        <x:v>25510216</x:v>
      </x:c>
      <x:c r="AB1164" s="14" t="str">
        <x:v>2026-08-24</x:v>
      </x:c>
      <x:c r="AC1164" s="14" t="str"/>
      <x:c r="AD1164" s="20" t="str"/>
      <x:c r="AE1164" s="14" t="str"/>
      <x:c r="AF1164" s="14" t="n">
        <x:v>46</x:v>
      </x:c>
      <x:c r="AG1164" s="14" t="str">
        <x:v>I3</x:v>
      </x:c>
      <x:c r="AH1164" s="14" t="n">
        <x:v>1</x:v>
      </x:c>
      <x:c r="AI1164" s="14" t="n">
        <x:v>0</x:v>
      </x:c>
      <x:c r="AJ1164" s="18" t="n">
        <x:v>1915.7</x:v>
      </x:c>
      <x:c r="AK1164" s="14" t="str">
        <x:v>https://prozorro.gov.ua/tender/UA-2026-07-08-009631-a</x:v>
      </x:c>
      <x:c r="AL1164" s="19" t="n">
        <x:v>46211.541892581015</x:v>
      </x:c>
      <x:c r="AM1164" s="19" t="n">
        <x:v>46234</x:v>
      </x:c>
      <x:c r="AN1164" s="15" t="str">
        <x:v>Електромонтаж</x:v>
      </x:c>
      <x:c r="AO1164" s="15" t="str">
        <x:v>not_found_in_top_search</x:v>
      </x:c>
    </x:row>
    <x:row r="1165">
      <x:c r="A1165" s="14" t="str">
        <x:v>W4-346</x:v>
      </x:c>
      <x:c r="B1165" s="14" t="str">
        <x:v>Prozorro expansion — 24.08</x:v>
      </x:c>
      <x:c r="C1165" s="14" t="str">
        <x:v>Тригубенко Альона Анатоліївна</x:v>
      </x:c>
      <x:c r="D1165" s="14" t="str">
        <x:v>Покрівлі та гідроізоляція</x:v>
      </x:c>
      <x:c r="E1165" s="14" t="str">
        <x:v>Expansion discovery</x:v>
      </x:c>
      <x:c r="F1165" s="17" t="str">
        <x:v>D3</x:v>
      </x:c>
      <x:c r="G1165" s="14" t="str"/>
      <x:c r="H1165" s="14" t="str">
        <x:v>Discovery розширення — 2 тижні</x:v>
      </x:c>
      <x:c r="I1165" s="16" t="n">
        <x:v>1</x:v>
      </x:c>
      <x:c r="J1165" s="16" t="n">
        <x:v>5</x:v>
      </x:c>
      <x:c r="K1165" s="16" t="n">
        <x:v>5</x:v>
      </x:c>
      <x:c r="L1165" s="16" t="n">
        <x:v>1</x:v>
      </x:c>
      <x:c r="M1165" s="16" t="n">
        <x:v>5</x:v>
      </x:c>
      <x:c r="N1165" s="16" t="n">
        <x:v>3</x:v>
      </x:c>
      <x:c r="O1165" s="16" t="n">
        <x:v>3</x:v>
      </x:c>
      <x:c r="P1165" s="16" t="n">
        <x:f>IF(COUNT(I1165:O1165)&lt;7,"",I1165*8+J1165*3+K1165*2+L1165*2+M1165*2+N1165*2+O1165)</x:f>
        <x:v>54</x:v>
      </x:c>
      <x:c r="Q1165" s="16" t="n">
        <x:f>IF(COUNT(J1165:O1165)&lt;6,"",J1165*5+K1165*4+M1165*4+L1165*3+N1165*2+O1165*2)</x:f>
        <x:v>80</x:v>
      </x:c>
      <x:c r="R1165" s="14" t="str">
        <x:v>high</x:v>
      </x:c>
      <x:c r="S1165" s="14" t="str">
        <x:v>official_prozorro_award_2024_2026</x:v>
      </x:c>
      <x:c r="T1165" s="14" t="str">
        <x:v>official_prozorro_api</x:v>
      </x:c>
      <x:c r="U1165" s="14" t="str">
        <x:v>Не контактували</x:v>
      </x:c>
      <x:c r="V1165" s="15" t="str">
        <x:v>Workflow-audit outreach по UA-2026-05-18-002682-a; попросити 1 пакет здачі та вимоги проєкту</x:v>
      </x:c>
      <x:c r="W1165" s="15" t="str">
        <x:v>Власник / виконавець; відповідальний за договір</x:v>
      </x:c>
      <x:c r="X1165" s="15" t="str">
        <x:v>1 нових підтверджених перемог/договорів у Prozorro на 865 грн; 0 зі строком виконання не раніше 24.08.2026.</x:v>
      </x:c>
      <x:c r="Y1165" s="15" t="str">
        <x:v>Будівельні матеріали для проведення ремонтних робіт господарським способом: гідроізоляційна суміш.; строк до 2026-05-29. Попросити один знеособлений пакет здачі за цим workflow.</x:v>
      </x:c>
      <x:c r="Z1165" s="15" t="str">
        <x:v>https://prozorro.gov.ua/tender/UA-2026-05-18-002682-a</x:v>
      </x:c>
      <x:c r="AA1165" s="14" t="str">
        <x:v>3732807581</x:v>
      </x:c>
      <x:c r="AB1165" s="14" t="str">
        <x:v>2026-08-24</x:v>
      </x:c>
      <x:c r="AC1165" s="14" t="str"/>
      <x:c r="AD1165" s="20" t="str"/>
      <x:c r="AE1165" s="14" t="str"/>
      <x:c r="AF1165" s="14" t="n">
        <x:v>46</x:v>
      </x:c>
      <x:c r="AG1165" s="14" t="str">
        <x:v>I3</x:v>
      </x:c>
      <x:c r="AH1165" s="14" t="n">
        <x:v>1</x:v>
      </x:c>
      <x:c r="AI1165" s="14" t="n">
        <x:v>0</x:v>
      </x:c>
      <x:c r="AJ1165" s="18" t="n">
        <x:v>865</x:v>
      </x:c>
      <x:c r="AK1165" s="14" t="str">
        <x:v>https://prozorro.gov.ua/tender/UA-2026-05-18-002682-a</x:v>
      </x:c>
      <x:c r="AL1165" s="19" t="n">
        <x:v>46160.37570246528</x:v>
      </x:c>
      <x:c r="AM1165" s="19" t="n">
        <x:v>46171</x:v>
      </x:c>
      <x:c r="AN1165" s="15" t="str">
        <x:v>Покрівлі та гідроізоляція</x:v>
      </x:c>
      <x:c r="AO1165" s="15" t="str">
        <x:v>not_found_in_top_search</x:v>
      </x:c>
    </x:row>
    <x:row r="1166">
      <x:c r="A1166" s="14" t="str">
        <x:v>W4-347</x:v>
      </x:c>
      <x:c r="B1166" s="14" t="str">
        <x:v>Prozorro expansion — 24.08</x:v>
      </x:c>
      <x:c r="C1166" s="14" t="str">
        <x:v>ТОВАРИСТВО З ОБМЕЖЕНОЮ ВІДПОВІДАЛЬНІСТЮ "ЕРАХІМ"</x:v>
      </x:c>
      <x:c r="D1166" s="14" t="str">
        <x:v>Покрівлі та гідроізоляція</x:v>
      </x:c>
      <x:c r="E1166" s="14" t="str">
        <x:v>Expansion discovery</x:v>
      </x:c>
      <x:c r="F1166" s="17" t="str">
        <x:v>D3</x:v>
      </x:c>
      <x:c r="G1166" s="14" t="str"/>
      <x:c r="H1166" s="14" t="str">
        <x:v>Discovery розширення — 2 тижні</x:v>
      </x:c>
      <x:c r="I1166" s="16" t="n">
        <x:v>1</x:v>
      </x:c>
      <x:c r="J1166" s="16" t="n">
        <x:v>5</x:v>
      </x:c>
      <x:c r="K1166" s="16" t="n">
        <x:v>5</x:v>
      </x:c>
      <x:c r="L1166" s="16" t="n">
        <x:v>3</x:v>
      </x:c>
      <x:c r="M1166" s="16" t="n">
        <x:v>5</x:v>
      </x:c>
      <x:c r="N1166" s="16" t="n">
        <x:v>5</x:v>
      </x:c>
      <x:c r="O1166" s="16" t="n">
        <x:v>3</x:v>
      </x:c>
      <x:c r="P1166" s="16" t="n">
        <x:f>IF(COUNT(I1166:O1166)&lt;7,"",I1166*8+J1166*3+K1166*2+L1166*2+M1166*2+N1166*2+O1166)</x:f>
        <x:v>62</x:v>
      </x:c>
      <x:c r="Q1166" s="16" t="n">
        <x:f>IF(COUNT(J1166:O1166)&lt;6,"",J1166*5+K1166*4+M1166*4+L1166*3+N1166*2+O1166*2)</x:f>
        <x:v>90</x:v>
      </x:c>
      <x:c r="R1166" s="14" t="str">
        <x:v>high</x:v>
      </x:c>
      <x:c r="S1166" s="14" t="str">
        <x:v>official_prozorro_award_2024_2026</x:v>
      </x:c>
      <x:c r="T1166" s="14" t="str">
        <x:v>official_prozorro_api</x:v>
      </x:c>
      <x:c r="U1166" s="14" t="str">
        <x:v>Не контактували</x:v>
      </x:c>
      <x:c r="V1166" s="15" t="str">
        <x:v>Workflow-audit outreach по UA-2024-03-14-009254-a; попросити 1 пакет здачі та вимоги проєкту</x:v>
      </x:c>
      <x:c r="W1166" s="15" t="str">
        <x:v>Власник / директор; керівник ПТО; відповідальний за договори</x:v>
      </x:c>
      <x:c r="X1166" s="15" t="str">
        <x:v>2 нових підтверджених перемог/договорів у Prozorro на 1 452 374 грн; 0 зі строком виконання не раніше 24.08.2026.</x:v>
      </x:c>
      <x:c r="Y1166" s="15" t="str">
        <x:v>Смоли для виконання гідроізоляційних робіт на філії ВП "РАЕС"; строк до 2024-04-22. Попросити один знеособлений пакет здачі за цим workflow.</x:v>
      </x:c>
      <x:c r="Z1166" s="15" t="str">
        <x:v>https://prozorro.gov.ua/tender/UA-2024-03-14-009254-a</x:v>
      </x:c>
      <x:c r="AA1166" s="14" t="str">
        <x:v>41988470</x:v>
      </x:c>
      <x:c r="AB1166" s="14" t="str">
        <x:v>2026-08-24</x:v>
      </x:c>
      <x:c r="AC1166" s="14" t="str"/>
      <x:c r="AD1166" s="20" t="str"/>
      <x:c r="AE1166" s="14" t="str"/>
      <x:c r="AF1166" s="14" t="n">
        <x:v>44</x:v>
      </x:c>
      <x:c r="AG1166" s="14" t="str">
        <x:v>I3</x:v>
      </x:c>
      <x:c r="AH1166" s="14" t="n">
        <x:v>2</x:v>
      </x:c>
      <x:c r="AI1166" s="14" t="n">
        <x:v>0</x:v>
      </x:c>
      <x:c r="AJ1166" s="18" t="n">
        <x:v>1452374</x:v>
      </x:c>
      <x:c r="AK1166" s="14" t="str">
        <x:v>https://prozorro.gov.ua/tender/UA-2024-03-14-009254-a</x:v>
      </x:c>
      <x:c r="AL1166" s="19" t="n">
        <x:v>45378.58477138889</x:v>
      </x:c>
      <x:c r="AM1166" s="19" t="n">
        <x:v>45404</x:v>
      </x:c>
      <x:c r="AN1166" s="15" t="str">
        <x:v>Покрівлі та гідроізоляція</x:v>
      </x:c>
      <x:c r="AO1166" s="15" t="str">
        <x:v>not_found_in_top_search</x:v>
      </x:c>
    </x:row>
    <x:row r="1167">
      <x:c r="A1167" s="14" t="str">
        <x:v>W4-348</x:v>
      </x:c>
      <x:c r="B1167" s="14" t="str">
        <x:v>Prozorro expansion — 24.08</x:v>
      </x:c>
      <x:c r="C1167" s="14" t="str">
        <x:v>АТ "Інститут транспорту нафти"</x:v>
      </x:c>
      <x:c r="D1167" s="14" t="str">
        <x:v>Газові мережі</x:v>
      </x:c>
      <x:c r="E1167" s="14" t="str">
        <x:v>Expansion discovery</x:v>
      </x:c>
      <x:c r="F1167" s="17" t="str">
        <x:v>D3</x:v>
      </x:c>
      <x:c r="G1167" s="14" t="str"/>
      <x:c r="H1167" s="14" t="str">
        <x:v>Discovery розширення — 2 тижні</x:v>
      </x:c>
      <x:c r="I1167" s="16" t="n">
        <x:v>1</x:v>
      </x:c>
      <x:c r="J1167" s="16" t="n">
        <x:v>5</x:v>
      </x:c>
      <x:c r="K1167" s="16" t="n">
        <x:v>5</x:v>
      </x:c>
      <x:c r="L1167" s="16" t="n">
        <x:v>2</x:v>
      </x:c>
      <x:c r="M1167" s="16" t="n">
        <x:v>5</x:v>
      </x:c>
      <x:c r="N1167" s="16" t="n">
        <x:v>5</x:v>
      </x:c>
      <x:c r="O1167" s="16" t="n">
        <x:v>3</x:v>
      </x:c>
      <x:c r="P1167" s="16" t="n">
        <x:f>IF(COUNT(I1167:O1167)&lt;7,"",I1167*8+J1167*3+K1167*2+L1167*2+M1167*2+N1167*2+O1167)</x:f>
        <x:v>60</x:v>
      </x:c>
      <x:c r="Q1167" s="16" t="n">
        <x:f>IF(COUNT(J1167:O1167)&lt;6,"",J1167*5+K1167*4+M1167*4+L1167*3+N1167*2+O1167*2)</x:f>
        <x:v>87</x:v>
      </x:c>
      <x:c r="R1167" s="14" t="str">
        <x:v>high</x:v>
      </x:c>
      <x:c r="S1167" s="14" t="str">
        <x:v>official_prozorro_award_2024_2026</x:v>
      </x:c>
      <x:c r="T1167" s="14" t="str">
        <x:v>official_prozorro_api</x:v>
      </x:c>
      <x:c r="U1167" s="14" t="str">
        <x:v>Не контактували</x:v>
      </x:c>
      <x:c r="V1167" s="15" t="str">
        <x:v>Workflow-audit outreach по UA-2025-09-25-005958-a; попросити 1 пакет здачі та вимоги проєкту</x:v>
      </x:c>
      <x:c r="W1167" s="15" t="str">
        <x:v>Власник / директор; керівник ПТО; відповідальний за договори</x:v>
      </x:c>
      <x:c r="X1167" s="15" t="str">
        <x:v>2 нових підтверджених перемог/договорів у Prozorro на 240 000 грн; 0 зі строком виконання не раніше 24.08.2026.</x:v>
      </x:c>
      <x:c r="Y1167"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 строк до 2025-12-11. Попросити один знеособлений пакет здачі за цим workflow.</x:v>
      </x:c>
      <x:c r="Z1167" s="15" t="str">
        <x:v>https://prozorro.gov.ua/tender/UA-2025-09-25-005958-a</x:v>
      </x:c>
      <x:c r="AA1167" s="14" t="str">
        <x:v>00148429</x:v>
      </x:c>
      <x:c r="AB1167" s="14" t="str">
        <x:v>2026-08-24</x:v>
      </x:c>
      <x:c r="AC1167" s="14" t="str"/>
      <x:c r="AD1167" s="20" t="str"/>
      <x:c r="AE1167" s="14" t="str"/>
      <x:c r="AF1167" s="14" t="n">
        <x:v>44</x:v>
      </x:c>
      <x:c r="AG1167" s="14" t="str">
        <x:v>I3</x:v>
      </x:c>
      <x:c r="AH1167" s="14" t="n">
        <x:v>2</x:v>
      </x:c>
      <x:c r="AI1167" s="14" t="n">
        <x:v>0</x:v>
      </x:c>
      <x:c r="AJ1167" s="18" t="n">
        <x:v>240000</x:v>
      </x:c>
      <x:c r="AK1167" s="14" t="str">
        <x:v>https://prozorro.gov.ua/tender/UA-2025-09-25-005958-a</x:v>
      </x:c>
      <x:c r="AL1167" s="19" t="n">
        <x:v>45925.381228275466</x:v>
      </x:c>
      <x:c r="AM1167" s="19" t="n">
        <x:v>46002</x:v>
      </x:c>
      <x:c r="AN1167" s="15" t="str">
        <x:v>Газові мережі</x:v>
      </x:c>
      <x:c r="AO1167" s="15" t="str">
        <x:v>not_found_in_top_search</x:v>
      </x:c>
    </x:row>
    <x:row r="1168">
      <x:c r="A1168" s="14" t="str">
        <x:v>W4-349</x:v>
      </x:c>
      <x:c r="B1168" s="14" t="str">
        <x:v>Prozorro expansion — 24.08</x:v>
      </x:c>
      <x:c r="C1168" s="14" t="str">
        <x:v>ТОВАРИСТВО З ОБМЕЖЕНОЮ ВІДПОВІДАЛЬНІСТЮ "ТЕХНОПОЛІС"</x:v>
      </x:c>
      <x:c r="D1168" s="14" t="str">
        <x:v>СКС / BMS / слаботочка</x:v>
      </x:c>
      <x:c r="E1168" s="14" t="str">
        <x:v>Expansion discovery</x:v>
      </x:c>
      <x:c r="F1168" s="17" t="str">
        <x:v>D3</x:v>
      </x:c>
      <x:c r="G1168" s="14" t="str">
        <x:v>technopolis.net.ua</x:v>
      </x:c>
      <x:c r="H1168" s="14" t="str">
        <x:v>Discovery розширення — 2 тижні</x:v>
      </x:c>
      <x:c r="I1168" s="16" t="n">
        <x:v>2</x:v>
      </x:c>
      <x:c r="J1168" s="16" t="n">
        <x:v>5</x:v>
      </x:c>
      <x:c r="K1168" s="16" t="n">
        <x:v>4</x:v>
      </x:c>
      <x:c r="L1168" s="16" t="n">
        <x:v>2</x:v>
      </x:c>
      <x:c r="M1168" s="16" t="n">
        <x:v>5</x:v>
      </x:c>
      <x:c r="N1168" s="16" t="n">
        <x:v>5</x:v>
      </x:c>
      <x:c r="O1168" s="16" t="n">
        <x:v>5</x:v>
      </x:c>
      <x:c r="P1168" s="16" t="n">
        <x:f>IF(COUNT(I1168:O1168)&lt;7,"",I1168*8+J1168*3+K1168*2+L1168*2+M1168*2+N1168*2+O1168)</x:f>
        <x:v>68</x:v>
      </x:c>
      <x:c r="Q1168" s="16" t="n">
        <x:f>IF(COUNT(J1168:O1168)&lt;6,"",J1168*5+K1168*4+M1168*4+L1168*3+N1168*2+O1168*2)</x:f>
        <x:v>87</x:v>
      </x:c>
      <x:c r="R1168" s="14" t="str">
        <x:v>high</x:v>
      </x:c>
      <x:c r="S1168" s="14" t="str">
        <x:v>official_prozorro_award_2024_2026</x:v>
      </x:c>
      <x:c r="T1168" s="14" t="str">
        <x:v>official_prozorro_api</x:v>
      </x:c>
      <x:c r="U1168" s="14" t="str">
        <x:v>Не контактували</x:v>
      </x:c>
      <x:c r="V1168" s="15" t="str">
        <x:v>Workflow-audit outreach по UA-2025-12-11-016962-a; попросити 1 пакет здачі та вимоги проєкту</x:v>
      </x:c>
      <x:c r="W1168" s="15" t="str">
        <x:v>Власник / директор; керівник ПТО; відповідальний за договори</x:v>
      </x:c>
      <x:c r="X1168" s="15" t="str">
        <x:v>2 нових підтверджених перемог/договорів у Prozorro на 186 367 грн; 0 зі строком виконання не раніше 24.08.2026.</x:v>
      </x:c>
      <x:c r="Y1168" s="15" t="str">
        <x:v>встановлення та монтаж структуризованої кабельної системи локальної мережі, код ДК 021:2015 (CPV) : 72710000-0 Послуги у сфері локальних мереж; строк до 2025-12-31. Попросити один знеособлений пакет здачі за цим workflow.</x:v>
      </x:c>
      <x:c r="Z1168" s="15" t="str">
        <x:v>https://prozorro.gov.ua/tender/UA-2025-12-11-016962-a</x:v>
      </x:c>
      <x:c r="AA1168" s="14" t="str">
        <x:v>22178902</x:v>
      </x:c>
      <x:c r="AB1168" s="14" t="str">
        <x:v>2026-08-24</x:v>
      </x:c>
      <x:c r="AC1168" s="14" t="str"/>
      <x:c r="AD1168" s="20" t="str"/>
      <x:c r="AE1168" s="14" t="str"/>
      <x:c r="AF1168" s="14" t="n">
        <x:v>44</x:v>
      </x:c>
      <x:c r="AG1168" s="14" t="str">
        <x:v>I3</x:v>
      </x:c>
      <x:c r="AH1168" s="14" t="n">
        <x:v>2</x:v>
      </x:c>
      <x:c r="AI1168" s="14" t="n">
        <x:v>0</x:v>
      </x:c>
      <x:c r="AJ1168" s="18" t="n">
        <x:v>186367.2</x:v>
      </x:c>
      <x:c r="AK1168" s="14" t="str">
        <x:v>https://prozorro.gov.ua/tender/UA-2025-12-11-016962-a</x:v>
      </x:c>
      <x:c r="AL1168" s="19" t="n">
        <x:v>46002.562532951386</x:v>
      </x:c>
      <x:c r="AM1168" s="19" t="n">
        <x:v>46022.916666655095</x:v>
      </x:c>
      <x:c r="AN1168" s="15" t="str">
        <x:v>СКС / BMS / слаботочка</x:v>
      </x:c>
      <x:c r="AO1168" s="15" t="str">
        <x:v>supplier_provided_url</x:v>
      </x:c>
    </x:row>
    <x:row r="1169">
      <x:c r="A1169" s="14" t="str">
        <x:v>W4-350</x:v>
      </x:c>
      <x:c r="B1169" s="14" t="str">
        <x:v>Prozorro expansion — 24.08</x:v>
      </x:c>
      <x:c r="C1169" s="14" t="str">
        <x:v>Приватне підприємство "Касмєт"</x:v>
      </x:c>
      <x:c r="D1169" s="14" t="str">
        <x:v>Промислова теплоізоляція</x:v>
      </x:c>
      <x:c r="E1169" s="14" t="str">
        <x:v>Expansion discovery</x:v>
      </x:c>
      <x:c r="F1169" s="17" t="str">
        <x:v>D3</x:v>
      </x:c>
      <x:c r="G1169" s="14" t="str"/>
      <x:c r="H1169" s="14" t="str">
        <x:v>Discovery розширення — 2 тижні</x:v>
      </x:c>
      <x:c r="I1169" s="16" t="n">
        <x:v>1</x:v>
      </x:c>
      <x:c r="J1169" s="16" t="n">
        <x:v>5</x:v>
      </x:c>
      <x:c r="K1169" s="16" t="n">
        <x:v>5</x:v>
      </x:c>
      <x:c r="L1169" s="16" t="n">
        <x:v>2</x:v>
      </x:c>
      <x:c r="M1169" s="16" t="n">
        <x:v>5</x:v>
      </x:c>
      <x:c r="N1169" s="16" t="n">
        <x:v>5</x:v>
      </x:c>
      <x:c r="O1169" s="16" t="n">
        <x:v>3</x:v>
      </x:c>
      <x:c r="P1169" s="16" t="n">
        <x:f>IF(COUNT(I1169:O1169)&lt;7,"",I1169*8+J1169*3+K1169*2+L1169*2+M1169*2+N1169*2+O1169)</x:f>
        <x:v>60</x:v>
      </x:c>
      <x:c r="Q1169" s="16" t="n">
        <x:f>IF(COUNT(J1169:O1169)&lt;6,"",J1169*5+K1169*4+M1169*4+L1169*3+N1169*2+O1169*2)</x:f>
        <x:v>87</x:v>
      </x:c>
      <x:c r="R1169" s="14" t="str">
        <x:v>high</x:v>
      </x:c>
      <x:c r="S1169" s="14" t="str">
        <x:v>official_prozorro_award_2024_2026</x:v>
      </x:c>
      <x:c r="T1169" s="14" t="str">
        <x:v>official_prozorro_api</x:v>
      </x:c>
      <x:c r="U1169" s="14" t="str">
        <x:v>Не контактували</x:v>
      </x:c>
      <x:c r="V1169" s="15" t="str">
        <x:v>Workflow-audit outreach по UA-2025-12-10-017015-a; попросити 1 пакет здачі та вимоги проєкту</x:v>
      </x:c>
      <x:c r="W1169" s="15" t="str">
        <x:v>Власник / директор; керівник ПТО; відповідальний за договори</x:v>
      </x:c>
      <x:c r="X1169" s="15" t="str">
        <x:v>2 нових підтверджених перемог/договорів у Prozorro на 146 522 грн; 0 зі строком виконання не раніше 24.08.2026.</x:v>
      </x:c>
      <x:c r="Y1169"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 строк до 2025-12-25. Попросити один знеособлений пакет здачі за цим workflow.</x:v>
      </x:c>
      <x:c r="Z1169" s="15" t="str">
        <x:v>https://prozorro.gov.ua/tender/UA-2025-12-10-017015-a</x:v>
      </x:c>
      <x:c r="AA1169" s="14" t="str">
        <x:v>24057177</x:v>
      </x:c>
      <x:c r="AB1169" s="14" t="str">
        <x:v>2026-08-24</x:v>
      </x:c>
      <x:c r="AC1169" s="14" t="str"/>
      <x:c r="AD1169" s="20" t="str"/>
      <x:c r="AE1169" s="14" t="str"/>
      <x:c r="AF1169" s="14" t="n">
        <x:v>44</x:v>
      </x:c>
      <x:c r="AG1169" s="14" t="str">
        <x:v>I3</x:v>
      </x:c>
      <x:c r="AH1169" s="14" t="n">
        <x:v>2</x:v>
      </x:c>
      <x:c r="AI1169" s="14" t="n">
        <x:v>0</x:v>
      </x:c>
      <x:c r="AJ1169" s="18" t="n">
        <x:v>146521.71</x:v>
      </x:c>
      <x:c r="AK1169" s="14" t="str">
        <x:v>https://prozorro.gov.ua/tender/UA-2025-12-10-017015-a</x:v>
      </x:c>
      <x:c r="AL1169" s="19" t="n">
        <x:v>46001.56810398148</x:v>
      </x:c>
      <x:c r="AM1169" s="19" t="n">
        <x:v>46016</x:v>
      </x:c>
      <x:c r="AN1169" s="15" t="str">
        <x:v>Промислова теплоізоляція</x:v>
      </x:c>
      <x:c r="AO1169" s="15" t="str">
        <x:v>not_found_in_top_search</x:v>
      </x:c>
    </x:row>
    <x:row r="1170">
      <x:c r="A1170" s="14" t="str">
        <x:v>W4-351</x:v>
      </x:c>
      <x:c r="B1170" s="14" t="str">
        <x:v>Prozorro expansion — 24.08</x:v>
      </x:c>
      <x:c r="C1170" s="14" t="str">
        <x:v>ФОП Феняк Степан Ігорович</x:v>
      </x:c>
      <x:c r="D1170" s="14" t="str">
        <x:v>Електромонтаж</x:v>
      </x:c>
      <x:c r="E1170" s="14" t="str">
        <x:v>Pilot now</x:v>
      </x:c>
      <x:c r="F1170" s="17" t="str">
        <x:v>P3</x:v>
      </x:c>
      <x:c r="G1170" s="14" t="str"/>
      <x:c r="H1170" s="14" t="str">
        <x:v>Пілот зараз — Н.15</x:v>
      </x:c>
      <x:c r="I1170" s="16" t="n">
        <x:v>5</x:v>
      </x:c>
      <x:c r="J1170" s="16" t="n">
        <x:v>5</x:v>
      </x:c>
      <x:c r="K1170" s="16" t="n">
        <x:v>4</x:v>
      </x:c>
      <x:c r="L1170" s="16" t="n">
        <x:v>1</x:v>
      </x:c>
      <x:c r="M1170" s="16" t="n">
        <x:v>5</x:v>
      </x:c>
      <x:c r="N1170" s="16" t="n">
        <x:v>3</x:v>
      </x:c>
      <x:c r="O1170" s="16" t="n">
        <x:v>3</x:v>
      </x:c>
      <x:c r="P1170" s="16" t="n">
        <x:f>IF(COUNT(I1170:O1170)&lt;7,"",I1170*8+J1170*3+K1170*2+L1170*2+M1170*2+N1170*2+O1170)</x:f>
        <x:v>84</x:v>
      </x:c>
      <x:c r="Q1170" s="16" t="n">
        <x:f>IF(COUNT(J1170:O1170)&lt;6,"",J1170*5+K1170*4+M1170*4+L1170*3+N1170*2+O1170*2)</x:f>
        <x:v>76</x:v>
      </x:c>
      <x:c r="R1170" s="14" t="str">
        <x:v>high</x:v>
      </x:c>
      <x:c r="S1170" s="14" t="str">
        <x:v>official_prozorro_award_2024_2026</x:v>
      </x:c>
      <x:c r="T1170" s="14" t="str">
        <x:v>official_prozorro_api</x:v>
      </x:c>
      <x:c r="U1170" s="14" t="str">
        <x:v>Не контактували</x:v>
      </x:c>
      <x:c r="V1170" s="15" t="str">
        <x:v>Персоналізований free-pilot outreach по UA-2026-07-06-009794-a; попросити 1 пакет Н.14/Н.15</x:v>
      </x:c>
      <x:c r="W1170" s="15" t="str">
        <x:v>Власник / виконавець; відповідальний за договір</x:v>
      </x:c>
      <x:c r="X1170" s="15" t="str">
        <x:v>1 нових підтверджених перемог/договорів у Prozorro на 99 992 грн; 1 зі строком виконання не раніше 24.08.2026.</x:v>
      </x:c>
      <x:c r="Y1170" s="15" t="str">
        <x:v>45310000-3 Електромонтажні роботи; строк до 2026-12-31. Попросити один знеособлений пакет здачі за цим workflow.</x:v>
      </x:c>
      <x:c r="Z1170" s="15" t="str">
        <x:v>https://prozorro.gov.ua/tender/UA-2026-07-06-009794-a</x:v>
      </x:c>
      <x:c r="AA1170" s="14" t="str">
        <x:v>3058503976</x:v>
      </x:c>
      <x:c r="AB1170" s="14" t="str">
        <x:v>2026-08-24</x:v>
      </x:c>
      <x:c r="AC1170" s="14" t="str"/>
      <x:c r="AD1170" s="20" t="str"/>
      <x:c r="AE1170" s="14" t="str"/>
      <x:c r="AF1170" s="14" t="n">
        <x:v>43</x:v>
      </x:c>
      <x:c r="AG1170" s="14" t="str">
        <x:v>I3</x:v>
      </x:c>
      <x:c r="AH1170" s="14" t="n">
        <x:v>1</x:v>
      </x:c>
      <x:c r="AI1170" s="14" t="n">
        <x:v>1</x:v>
      </x:c>
      <x:c r="AJ1170" s="18" t="n">
        <x:v>99991.96</x:v>
      </x:c>
      <x:c r="AK1170" s="14" t="str">
        <x:v>https://prozorro.gov.ua/tender/UA-2026-07-06-009794-a</x:v>
      </x:c>
      <x:c r="AL1170" s="19" t="n">
        <x:v>46209.5789724537</x:v>
      </x:c>
      <x:c r="AM1170" s="19" t="n">
        <x:v>46387</x:v>
      </x:c>
      <x:c r="AN1170" s="15" t="str">
        <x:v>Електромонтаж</x:v>
      </x:c>
      <x:c r="AO1170" s="15" t="str">
        <x:v>not_found_in_top_search</x:v>
      </x:c>
    </x:row>
    <x:row r="1171">
      <x:c r="A1171" s="14" t="str">
        <x:v>W4-352</x:v>
      </x:c>
      <x:c r="B1171" s="14" t="str">
        <x:v>Prozorro expansion — 24.08</x:v>
      </x:c>
      <x:c r="C1171" s="14" t="str">
        <x:v>ФОП Балюк Олена Сергіївна</x:v>
      </x:c>
      <x:c r="D1171" s="14" t="str">
        <x:v>Пасивний вогнезахист</x:v>
      </x:c>
      <x:c r="E1171" s="14" t="str">
        <x:v>Expansion discovery</x:v>
      </x:c>
      <x:c r="F1171" s="17" t="str">
        <x:v>D3</x:v>
      </x:c>
      <x:c r="G1171" s="14" t="str"/>
      <x:c r="H1171" s="14" t="str">
        <x:v>Discovery розширення — 2 тижні</x:v>
      </x:c>
      <x:c r="I1171" s="16" t="n">
        <x:v>1</x:v>
      </x:c>
      <x:c r="J1171" s="16" t="n">
        <x:v>5</x:v>
      </x:c>
      <x:c r="K1171" s="16" t="n">
        <x:v>5</x:v>
      </x:c>
      <x:c r="L1171" s="16" t="n">
        <x:v>1</x:v>
      </x:c>
      <x:c r="M1171" s="16" t="n">
        <x:v>5</x:v>
      </x:c>
      <x:c r="N1171" s="16" t="n">
        <x:v>3</x:v>
      </x:c>
      <x:c r="O1171" s="16" t="n">
        <x:v>3</x:v>
      </x:c>
      <x:c r="P1171" s="16" t="n">
        <x:f>IF(COUNT(I1171:O1171)&lt;7,"",I1171*8+J1171*3+K1171*2+L1171*2+M1171*2+N1171*2+O1171)</x:f>
        <x:v>54</x:v>
      </x:c>
      <x:c r="Q1171" s="16" t="n">
        <x:f>IF(COUNT(J1171:O1171)&lt;6,"",J1171*5+K1171*4+M1171*4+L1171*3+N1171*2+O1171*2)</x:f>
        <x:v>80</x:v>
      </x:c>
      <x:c r="R1171" s="14" t="str">
        <x:v>high</x:v>
      </x:c>
      <x:c r="S1171" s="14" t="str">
        <x:v>official_prozorro_award_2024_2026</x:v>
      </x:c>
      <x:c r="T1171" s="14" t="str">
        <x:v>official_prozorro_api</x:v>
      </x:c>
      <x:c r="U1171" s="14" t="str">
        <x:v>Не контактували</x:v>
      </x:c>
      <x:c r="V1171" s="15" t="str">
        <x:v>Workflow-audit outreach по UA-2026-07-01-006064-a; попросити 1 пакет здачі та вимоги проєкту</x:v>
      </x:c>
      <x:c r="W1171" s="15" t="str">
        <x:v>Власник / виконавець; відповідальний за договір</x:v>
      </x:c>
      <x:c r="X1171" s="15" t="str">
        <x:v>1 нових підтверджених перемог/договорів у Prozorro на 99 859 грн; 1 зі строком виконання не раніше 24.08.2026.</x:v>
      </x:c>
      <x:c r="Y1171" s="15" t="str">
        <x:v>Послуги з просочування деревини, Вогнезахисна обробка елементів дерев'яних конструкцій даху Львівської спеціальної школи № 100.; строк до 2026-12-31. Попросити один знеособлений пакет здачі за цим workflow.</x:v>
      </x:c>
      <x:c r="Z1171" s="15" t="str">
        <x:v>https://prozorro.gov.ua/tender/UA-2026-07-01-006064-a</x:v>
      </x:c>
      <x:c r="AA1171" s="14" t="str">
        <x:v>3149006006</x:v>
      </x:c>
      <x:c r="AB1171" s="14" t="str">
        <x:v>2026-08-24</x:v>
      </x:c>
      <x:c r="AC1171" s="14" t="str"/>
      <x:c r="AD1171" s="20" t="str"/>
      <x:c r="AE1171" s="14" t="str"/>
      <x:c r="AF1171" s="14" t="n">
        <x:v>43</x:v>
      </x:c>
      <x:c r="AG1171" s="14" t="str">
        <x:v>I3</x:v>
      </x:c>
      <x:c r="AH1171" s="14" t="n">
        <x:v>1</x:v>
      </x:c>
      <x:c r="AI1171" s="14" t="n">
        <x:v>1</x:v>
      </x:c>
      <x:c r="AJ1171" s="18" t="n">
        <x:v>99858.97</x:v>
      </x:c>
      <x:c r="AK1171" s="14" t="str">
        <x:v>https://prozorro.gov.ua/tender/UA-2026-07-01-006064-a</x:v>
      </x:c>
      <x:c r="AL1171" s="19" t="n">
        <x:v>46204.483819988425</x:v>
      </x:c>
      <x:c r="AM1171" s="19" t="n">
        <x:v>46387.52670138889</x:v>
      </x:c>
      <x:c r="AN1171" s="15" t="str">
        <x:v>Пасивний вогнезахист</x:v>
      </x:c>
      <x:c r="AO1171" s="15" t="str">
        <x:v>not_found_in_top_search</x:v>
      </x:c>
    </x:row>
    <x:row r="1172">
      <x:c r="A1172" s="14" t="str">
        <x:v>W4-353</x:v>
      </x:c>
      <x:c r="B1172" s="14" t="str">
        <x:v>Prozorro expansion — 24.08</x:v>
      </x:c>
      <x:c r="C1172" s="14" t="str">
        <x:v>ФОП"Самсонов А.Л."</x:v>
      </x:c>
      <x:c r="D1172" s="14" t="str">
        <x:v>Пасивний вогнезахист</x:v>
      </x:c>
      <x:c r="E1172" s="14" t="str">
        <x:v>Expansion discovery</x:v>
      </x:c>
      <x:c r="F1172" s="17" t="str">
        <x:v>D3</x:v>
      </x:c>
      <x:c r="G1172" s="14" t="str"/>
      <x:c r="H1172" s="14" t="str">
        <x:v>Discovery розширення — 2 тижні</x:v>
      </x:c>
      <x:c r="I1172" s="16" t="n">
        <x:v>1</x:v>
      </x:c>
      <x:c r="J1172" s="16" t="n">
        <x:v>5</x:v>
      </x:c>
      <x:c r="K1172" s="16" t="n">
        <x:v>5</x:v>
      </x:c>
      <x:c r="L1172" s="16" t="n">
        <x:v>1</x:v>
      </x:c>
      <x:c r="M1172" s="16" t="n">
        <x:v>5</x:v>
      </x:c>
      <x:c r="N1172" s="16" t="n">
        <x:v>3</x:v>
      </x:c>
      <x:c r="O1172" s="16" t="n">
        <x:v>3</x:v>
      </x:c>
      <x:c r="P1172" s="16" t="n">
        <x:f>IF(COUNT(I1172:O1172)&lt;7,"",I1172*8+J1172*3+K1172*2+L1172*2+M1172*2+N1172*2+O1172)</x:f>
        <x:v>54</x:v>
      </x:c>
      <x:c r="Q1172" s="16" t="n">
        <x:f>IF(COUNT(J1172:O1172)&lt;6,"",J1172*5+K1172*4+M1172*4+L1172*3+N1172*2+O1172*2)</x:f>
        <x:v>80</x:v>
      </x:c>
      <x:c r="R1172" s="14" t="str">
        <x:v>high</x:v>
      </x:c>
      <x:c r="S1172" s="14" t="str">
        <x:v>official_prozorro_award_2024_2026</x:v>
      </x:c>
      <x:c r="T1172" s="14" t="str">
        <x:v>official_prozorro_api</x:v>
      </x:c>
      <x:c r="U1172" s="14" t="str">
        <x:v>Не контактували</x:v>
      </x:c>
      <x:c r="V1172" s="15" t="str">
        <x:v>Workflow-audit outreach по UA-2026-05-22-008008-a; попросити 1 пакет здачі та вимоги проєкту</x:v>
      </x:c>
      <x:c r="W1172" s="15" t="str">
        <x:v>Власник / виконавець; відповідальний за договір</x:v>
      </x:c>
      <x:c r="X1172" s="15" t="str">
        <x:v>1 нових підтверджених перемог/договорів у Prozorro на 78 972 грн; 1 зі строком виконання не раніше 24.08.2026.</x:v>
      </x:c>
      <x:c r="Y1172" s="15" t="str">
        <x:v>Вогнезахисна обробка дерев'яних конструкцій горища будівлі; строк до 2026-12-31. Попросити один знеособлений пакет здачі за цим workflow.</x:v>
      </x:c>
      <x:c r="Z1172" s="15" t="str">
        <x:v>https://prozorro.gov.ua/tender/UA-2026-05-22-008008-a</x:v>
      </x:c>
      <x:c r="AA1172" s="14" t="str">
        <x:v>3084622896</x:v>
      </x:c>
      <x:c r="AB1172" s="14" t="str">
        <x:v>2026-08-24</x:v>
      </x:c>
      <x:c r="AC1172" s="14" t="str"/>
      <x:c r="AD1172" s="20" t="str"/>
      <x:c r="AE1172" s="14" t="str"/>
      <x:c r="AF1172" s="14" t="n">
        <x:v>43</x:v>
      </x:c>
      <x:c r="AG1172" s="14" t="str">
        <x:v>I3</x:v>
      </x:c>
      <x:c r="AH1172" s="14" t="n">
        <x:v>1</x:v>
      </x:c>
      <x:c r="AI1172" s="14" t="n">
        <x:v>1</x:v>
      </x:c>
      <x:c r="AJ1172" s="18" t="n">
        <x:v>78972.15</x:v>
      </x:c>
      <x:c r="AK1172" s="14" t="str">
        <x:v>https://prozorro.gov.ua/tender/UA-2026-05-22-008008-a</x:v>
      </x:c>
      <x:c r="AL1172" s="19" t="n">
        <x:v>46164.47648626158</x:v>
      </x:c>
      <x:c r="AM1172" s="19" t="n">
        <x:v>46387.509884259256</x:v>
      </x:c>
      <x:c r="AN1172" s="15" t="str">
        <x:v>Пасивний вогнезахист</x:v>
      </x:c>
      <x:c r="AO1172" s="15" t="str">
        <x:v>not_found_in_top_search</x:v>
      </x:c>
    </x:row>
    <x:row r="1173">
      <x:c r="A1173" s="14" t="str">
        <x:v>W4-354</x:v>
      </x:c>
      <x:c r="B1173" s="14" t="str">
        <x:v>Prozorro expansion — 24.08</x:v>
      </x:c>
      <x:c r="C1173" s="14" t="str">
        <x:v>Фізична особа-підприємець Ополончик С.В.</x:v>
      </x:c>
      <x:c r="D1173" s="14" t="str">
        <x:v>Електромонтаж</x:v>
      </x:c>
      <x:c r="E1173" s="14" t="str">
        <x:v>Pilot now</x:v>
      </x:c>
      <x:c r="F1173" s="17" t="str">
        <x:v>P3</x:v>
      </x:c>
      <x:c r="G1173" s="14" t="str"/>
      <x:c r="H1173" s="14" t="str">
        <x:v>Пілот зараз — Н.15</x:v>
      </x:c>
      <x:c r="I1173" s="16" t="n">
        <x:v>5</x:v>
      </x:c>
      <x:c r="J1173" s="16" t="n">
        <x:v>5</x:v>
      </x:c>
      <x:c r="K1173" s="16" t="n">
        <x:v>4</x:v>
      </x:c>
      <x:c r="L1173" s="16" t="n">
        <x:v>1</x:v>
      </x:c>
      <x:c r="M1173" s="16" t="n">
        <x:v>5</x:v>
      </x:c>
      <x:c r="N1173" s="16" t="n">
        <x:v>3</x:v>
      </x:c>
      <x:c r="O1173" s="16" t="n">
        <x:v>3</x:v>
      </x:c>
      <x:c r="P1173" s="16" t="n">
        <x:f>IF(COUNT(I1173:O1173)&lt;7,"",I1173*8+J1173*3+K1173*2+L1173*2+M1173*2+N1173*2+O1173)</x:f>
        <x:v>84</x:v>
      </x:c>
      <x:c r="Q1173" s="16" t="n">
        <x:f>IF(COUNT(J1173:O1173)&lt;6,"",J1173*5+K1173*4+M1173*4+L1173*3+N1173*2+O1173*2)</x:f>
        <x:v>76</x:v>
      </x:c>
      <x:c r="R1173" s="14" t="str">
        <x:v>high</x:v>
      </x:c>
      <x:c r="S1173" s="14" t="str">
        <x:v>official_prozorro_award_2024_2026</x:v>
      </x:c>
      <x:c r="T1173" s="14" t="str">
        <x:v>official_prozorro_api</x:v>
      </x:c>
      <x:c r="U1173" s="14" t="str">
        <x:v>Не контактували</x:v>
      </x:c>
      <x:c r="V1173" s="15" t="str">
        <x:v>Персоналізований free-pilot outreach по UA-2026-06-15-000349-a; попросити 1 пакет Н.14/Н.15</x:v>
      </x:c>
      <x:c r="W1173" s="15" t="str">
        <x:v>Власник / виконавець; відповідальний за договір</x:v>
      </x:c>
      <x:c r="X1173" s="15" t="str">
        <x:v>1 нових підтверджених перемог/договорів у Prozorro на 51 209 грн; 1 зі строком виконання не раніше 24.08.2026.</x:v>
      </x:c>
      <x:c r="Y1173" s="15" t="str">
        <x:v>Електромонтажні роботи; строк до 2026-12-31. Попросити один знеособлений пакет здачі за цим workflow.</x:v>
      </x:c>
      <x:c r="Z1173" s="15" t="str">
        <x:v>https://prozorro.gov.ua/tender/UA-2026-06-15-000349-a</x:v>
      </x:c>
      <x:c r="AA1173" s="14" t="str">
        <x:v>1923604877</x:v>
      </x:c>
      <x:c r="AB1173" s="14" t="str">
        <x:v>2026-08-24</x:v>
      </x:c>
      <x:c r="AC1173" s="14" t="str"/>
      <x:c r="AD1173" s="20" t="str"/>
      <x:c r="AE1173" s="14" t="str"/>
      <x:c r="AF1173" s="14" t="n">
        <x:v>43</x:v>
      </x:c>
      <x:c r="AG1173" s="14" t="str">
        <x:v>I3</x:v>
      </x:c>
      <x:c r="AH1173" s="14" t="n">
        <x:v>1</x:v>
      </x:c>
      <x:c r="AI1173" s="14" t="n">
        <x:v>1</x:v>
      </x:c>
      <x:c r="AJ1173" s="18" t="n">
        <x:v>51209.36</x:v>
      </x:c>
      <x:c r="AK1173" s="14" t="str">
        <x:v>https://prozorro.gov.ua/tender/UA-2026-06-15-000349-a</x:v>
      </x:c>
      <x:c r="AL1173" s="19" t="n">
        <x:v>46188.25320684028</x:v>
      </x:c>
      <x:c r="AM1173" s="19" t="n">
        <x:v>46387.29368055556</x:v>
      </x:c>
      <x:c r="AN1173" s="15" t="str">
        <x:v>Електромонтаж</x:v>
      </x:c>
      <x:c r="AO1173" s="15" t="str">
        <x:v>not_found_in_top_search</x:v>
      </x:c>
    </x:row>
    <x:row r="1174">
      <x:c r="A1174" s="14" t="str">
        <x:v>W4-355</x:v>
      </x:c>
      <x:c r="B1174" s="14" t="str">
        <x:v>Prozorro expansion — 24.08</x:v>
      </x:c>
      <x:c r="C1174" s="14" t="str">
        <x:v>Фізична особа-підприємець Солтус Євгеній Олександрович</x:v>
      </x:c>
      <x:c r="D1174" s="14" t="str">
        <x:v>Внутрішні сантехнічні системи</x:v>
      </x:c>
      <x:c r="E1174" s="14" t="str">
        <x:v>Pilot now</x:v>
      </x:c>
      <x:c r="F1174" s="17" t="str">
        <x:v>P3</x:v>
      </x:c>
      <x:c r="G1174" s="14" t="str"/>
      <x:c r="H1174" s="14" t="str">
        <x:v>Пілот зараз — Н.14</x:v>
      </x:c>
      <x:c r="I1174" s="16" t="n">
        <x:v>5</x:v>
      </x:c>
      <x:c r="J1174" s="16" t="n">
        <x:v>5</x:v>
      </x:c>
      <x:c r="K1174" s="16" t="n">
        <x:v>4</x:v>
      </x:c>
      <x:c r="L1174" s="16" t="n">
        <x:v>1</x:v>
      </x:c>
      <x:c r="M1174" s="16" t="n">
        <x:v>5</x:v>
      </x:c>
      <x:c r="N1174" s="16" t="n">
        <x:v>3</x:v>
      </x:c>
      <x:c r="O1174" s="16" t="n">
        <x:v>3</x:v>
      </x:c>
      <x:c r="P1174" s="16" t="n">
        <x:f>IF(COUNT(I1174:O1174)&lt;7,"",I1174*8+J1174*3+K1174*2+L1174*2+M1174*2+N1174*2+O1174)</x:f>
        <x:v>84</x:v>
      </x:c>
      <x:c r="Q1174" s="16" t="n">
        <x:f>IF(COUNT(J1174:O1174)&lt;6,"",J1174*5+K1174*4+M1174*4+L1174*3+N1174*2+O1174*2)</x:f>
        <x:v>76</x:v>
      </x:c>
      <x:c r="R1174" s="14" t="str">
        <x:v>high</x:v>
      </x:c>
      <x:c r="S1174" s="14" t="str">
        <x:v>official_prozorro_award_2024_2026</x:v>
      </x:c>
      <x:c r="T1174" s="14" t="str">
        <x:v>official_prozorro_api</x:v>
      </x:c>
      <x:c r="U1174" s="14" t="str">
        <x:v>Не контактували</x:v>
      </x:c>
      <x:c r="V1174" s="15" t="str">
        <x:v>Персоналізований free-pilot outreach по UA-2026-06-10-003360-a; попросити 1 пакет Н.14/Н.15</x:v>
      </x:c>
      <x:c r="W1174" s="15" t="str">
        <x:v>Власник / виконавець; відповідальний за договір</x:v>
      </x:c>
      <x:c r="X1174" s="15" t="str">
        <x:v>1 нових підтверджених перемог/договорів у Prozorro на 46 337 грн; 0 зі строком виконання не раніше 24.08.2026.</x:v>
      </x:c>
      <x:c r="Y1174"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 строк до 2026-08-01. Попросити один знеособлений пакет здачі за цим workflow.</x:v>
      </x:c>
      <x:c r="Z1174" s="15" t="str">
        <x:v>https://prozorro.gov.ua/tender/UA-2026-06-10-003360-a</x:v>
      </x:c>
      <x:c r="AA1174" s="14" t="str">
        <x:v>2796815411</x:v>
      </x:c>
      <x:c r="AB1174" s="14" t="str">
        <x:v>2026-08-24</x:v>
      </x:c>
      <x:c r="AC1174" s="14" t="str"/>
      <x:c r="AD1174" s="20" t="str"/>
      <x:c r="AE1174" s="14" t="str"/>
      <x:c r="AF1174" s="14" t="n">
        <x:v>43</x:v>
      </x:c>
      <x:c r="AG1174" s="14" t="str">
        <x:v>I3</x:v>
      </x:c>
      <x:c r="AH1174" s="14" t="n">
        <x:v>1</x:v>
      </x:c>
      <x:c r="AI1174" s="14" t="n">
        <x:v>0</x:v>
      </x:c>
      <x:c r="AJ1174" s="18" t="n">
        <x:v>46337.29</x:v>
      </x:c>
      <x:c r="AK1174" s="14" t="str">
        <x:v>https://prozorro.gov.ua/tender/UA-2026-06-10-003360-a</x:v>
      </x:c>
      <x:c r="AL1174" s="19" t="n">
        <x:v>46183.335698090275</x:v>
      </x:c>
      <x:c r="AM1174" s="19" t="n">
        <x:v>46235.333553240744</x:v>
      </x:c>
      <x:c r="AN1174" s="15" t="str">
        <x:v>Внутрішні сантехнічні системи</x:v>
      </x:c>
      <x:c r="AO1174" s="15" t="str">
        <x:v>not_found_in_top_search</x:v>
      </x:c>
    </x:row>
    <x:row r="1175">
      <x:c r="A1175" s="14" t="str">
        <x:v>W4-356</x:v>
      </x:c>
      <x:c r="B1175" s="14" t="str">
        <x:v>Prozorro expansion — 24.08</x:v>
      </x:c>
      <x:c r="C1175" s="14" t="str">
        <x:v>Фізична особа-підприємець  ШВЕЦЬ СЕРГІЙ ГАВРИЛОВИЧ</x:v>
      </x:c>
      <x:c r="D1175" s="14" t="str">
        <x:v>HVAC / ОВіК</x:v>
      </x:c>
      <x:c r="E1175" s="14" t="str">
        <x:v>Pilot now</x:v>
      </x:c>
      <x:c r="F1175" s="17" t="str">
        <x:v>P3</x:v>
      </x:c>
      <x:c r="G1175" s="14" t="str"/>
      <x:c r="H1175" s="14" t="str">
        <x:v>Пілот зараз — Н.14</x:v>
      </x:c>
      <x:c r="I1175" s="16" t="n">
        <x:v>5</x:v>
      </x:c>
      <x:c r="J1175" s="16" t="n">
        <x:v>5</x:v>
      </x:c>
      <x:c r="K1175" s="16" t="n">
        <x:v>4</x:v>
      </x:c>
      <x:c r="L1175" s="16" t="n">
        <x:v>1</x:v>
      </x:c>
      <x:c r="M1175" s="16" t="n">
        <x:v>5</x:v>
      </x:c>
      <x:c r="N1175" s="16" t="n">
        <x:v>3</x:v>
      </x:c>
      <x:c r="O1175" s="16" t="n">
        <x:v>3</x:v>
      </x:c>
      <x:c r="P1175" s="16" t="n">
        <x:f>IF(COUNT(I1175:O1175)&lt;7,"",I1175*8+J1175*3+K1175*2+L1175*2+M1175*2+N1175*2+O1175)</x:f>
        <x:v>84</x:v>
      </x:c>
      <x:c r="Q1175" s="16" t="n">
        <x:f>IF(COUNT(J1175:O1175)&lt;6,"",J1175*5+K1175*4+M1175*4+L1175*3+N1175*2+O1175*2)</x:f>
        <x:v>76</x:v>
      </x:c>
      <x:c r="R1175" s="14" t="str">
        <x:v>high</x:v>
      </x:c>
      <x:c r="S1175" s="14" t="str">
        <x:v>official_prozorro_award_2024_2026</x:v>
      </x:c>
      <x:c r="T1175" s="14" t="str">
        <x:v>official_prozorro_api</x:v>
      </x:c>
      <x:c r="U1175" s="14" t="str">
        <x:v>Не контактували</x:v>
      </x:c>
      <x:c r="V1175" s="15" t="str">
        <x:v>Персоналізований free-pilot outreach по UA-2026-05-21-006823-a; попросити 1 пакет Н.14/Н.15</x:v>
      </x:c>
      <x:c r="W1175" s="15" t="str">
        <x:v>Власник / виконавець; відповідальний за договір</x:v>
      </x:c>
      <x:c r="X1175" s="15" t="str">
        <x:v>1 нових підтверджених перемог/договорів у Prozorro на 46 095 грн; 0 зі строком виконання не раніше 24.08.2026.</x:v>
      </x:c>
      <x:c r="Y1175" s="15" t="str">
        <x:v>послуги з монтажних робіт кондиціонерів та системи припливної вентиляції; строк до 2026-06-01. Попросити один знеособлений пакет здачі за цим workflow.</x:v>
      </x:c>
      <x:c r="Z1175" s="15" t="str">
        <x:v>https://prozorro.gov.ua/tender/UA-2026-05-21-006823-a</x:v>
      </x:c>
      <x:c r="AA1175" s="14" t="str">
        <x:v>2978011852</x:v>
      </x:c>
      <x:c r="AB1175" s="14" t="str">
        <x:v>2026-08-24</x:v>
      </x:c>
      <x:c r="AC1175" s="14" t="str"/>
      <x:c r="AD1175" s="20" t="str"/>
      <x:c r="AE1175" s="14" t="str"/>
      <x:c r="AF1175" s="14" t="n">
        <x:v>43</x:v>
      </x:c>
      <x:c r="AG1175" s="14" t="str">
        <x:v>I3</x:v>
      </x:c>
      <x:c r="AH1175" s="14" t="n">
        <x:v>1</x:v>
      </x:c>
      <x:c r="AI1175" s="14" t="n">
        <x:v>0</x:v>
      </x:c>
      <x:c r="AJ1175" s="18" t="n">
        <x:v>46095</x:v>
      </x:c>
      <x:c r="AK1175" s="14" t="str">
        <x:v>https://prozorro.gov.ua/tender/UA-2026-05-21-006823-a</x:v>
      </x:c>
      <x:c r="AL1175" s="19" t="n">
        <x:v>46163.42739199074</x:v>
      </x:c>
      <x:c r="AM1175" s="19" t="n">
        <x:v>46174</x:v>
      </x:c>
      <x:c r="AN1175" s="15" t="str">
        <x:v>HVAC / ОВіК</x:v>
      </x:c>
      <x:c r="AO1175" s="15" t="str">
        <x:v>not_found_in_top_search</x:v>
      </x:c>
    </x:row>
    <x:row r="1176">
      <x:c r="A1176" s="14" t="str">
        <x:v>W4-357</x:v>
      </x:c>
      <x:c r="B1176" s="14" t="str">
        <x:v>Prozorro expansion — 24.08</x:v>
      </x:c>
      <x:c r="C1176" s="14" t="str">
        <x:v>Фізична особа-підприємець Басюк А.В.</x:v>
      </x:c>
      <x:c r="D1176" s="14" t="str">
        <x:v>Електромонтаж</x:v>
      </x:c>
      <x:c r="E1176" s="14" t="str">
        <x:v>Pilot now</x:v>
      </x:c>
      <x:c r="F1176" s="17" t="str">
        <x:v>P3</x:v>
      </x:c>
      <x:c r="G1176" s="14" t="str"/>
      <x:c r="H1176" s="14" t="str">
        <x:v>Пілот зараз — Н.15</x:v>
      </x:c>
      <x:c r="I1176" s="16" t="n">
        <x:v>5</x:v>
      </x:c>
      <x:c r="J1176" s="16" t="n">
        <x:v>5</x:v>
      </x:c>
      <x:c r="K1176" s="16" t="n">
        <x:v>4</x:v>
      </x:c>
      <x:c r="L1176" s="16" t="n">
        <x:v>1</x:v>
      </x:c>
      <x:c r="M1176" s="16" t="n">
        <x:v>5</x:v>
      </x:c>
      <x:c r="N1176" s="16" t="n">
        <x:v>3</x:v>
      </x:c>
      <x:c r="O1176" s="16" t="n">
        <x:v>3</x:v>
      </x:c>
      <x:c r="P1176" s="16" t="n">
        <x:f>IF(COUNT(I1176:O1176)&lt;7,"",I1176*8+J1176*3+K1176*2+L1176*2+M1176*2+N1176*2+O1176)</x:f>
        <x:v>84</x:v>
      </x:c>
      <x:c r="Q1176" s="16" t="n">
        <x:f>IF(COUNT(J1176:O1176)&lt;6,"",J1176*5+K1176*4+M1176*4+L1176*3+N1176*2+O1176*2)</x:f>
        <x:v>76</x:v>
      </x:c>
      <x:c r="R1176" s="14" t="str">
        <x:v>high</x:v>
      </x:c>
      <x:c r="S1176" s="14" t="str">
        <x:v>official_prozorro_award_2024_2026</x:v>
      </x:c>
      <x:c r="T1176" s="14" t="str">
        <x:v>official_prozorro_api</x:v>
      </x:c>
      <x:c r="U1176" s="14" t="str">
        <x:v>Не контактували</x:v>
      </x:c>
      <x:c r="V1176" s="15" t="str">
        <x:v>Повторне звернення з новим тендерним сигналом UA-2026-06-24-009922-a; попросити 1 пакет здачі</x:v>
      </x:c>
      <x:c r="W1176" s="15" t="str">
        <x:v>Власник / виконавець; відповідальний за договір</x:v>
      </x:c>
      <x:c r="X1176" s="15" t="str">
        <x:v>1 нових підтверджених перемог/договорів у Prozorro на 43 500 грн; 1 зі строком виконання не раніше 24.08.2026.</x:v>
      </x:c>
      <x:c r="Y1176" s="15" t="str">
        <x:v>45310000-3 - Електромонтажні роботи (електромонтажні послуги); строк до 2026-12-31. Попросити один знеособлений пакет здачі за цим workflow.</x:v>
      </x:c>
      <x:c r="Z1176" s="15" t="str">
        <x:v>https://prozorro.gov.ua/tender/UA-2026-07-07-003580-a</x:v>
      </x:c>
      <x:c r="AA1176" s="14" t="str">
        <x:v>3085712518</x:v>
      </x:c>
      <x:c r="AB1176" s="14" t="str">
        <x:v>2026-08-24</x:v>
      </x:c>
      <x:c r="AC1176" s="14" t="str"/>
      <x:c r="AD1176" s="20" t="str"/>
      <x:c r="AE1176" s="14" t="str"/>
      <x:c r="AF1176" s="14" t="n">
        <x:v>43</x:v>
      </x:c>
      <x:c r="AG1176" s="14" t="str">
        <x:v>I3</x:v>
      </x:c>
      <x:c r="AH1176" s="14" t="n">
        <x:v>2</x:v>
      </x:c>
      <x:c r="AI1176" s="14" t="n">
        <x:v>2</x:v>
      </x:c>
      <x:c r="AJ1176" s="18" t="n">
        <x:v>117570.52</x:v>
      </x:c>
      <x:c r="AK1176" s="14" t="str">
        <x:v>https://prozorro.gov.ua/tender/UA-2026-06-24-009922-a</x:v>
      </x:c>
      <x:c r="AL1176" s="19" t="n">
        <x:v>46197.519744467594</x:v>
      </x:c>
      <x:c r="AM1176" s="19" t="n">
        <x:v>46387.56185185185</x:v>
      </x:c>
      <x:c r="AN1176" s="15" t="str">
        <x:v>Електромонтаж; Резервне живлення</x:v>
      </x:c>
      <x:c r="AO1176" s="15" t="str">
        <x:v>not_found_in_top_search</x:v>
      </x:c>
    </x:row>
    <x:row r="1177">
      <x:c r="A1177" s="14" t="str">
        <x:v>W4-358</x:v>
      </x:c>
      <x:c r="B1177" s="14" t="str">
        <x:v>Prozorro expansion — 24.08</x:v>
      </x:c>
      <x:c r="C1177" s="14" t="str">
        <x:v>Фізична особа підприємець Овсійчук Наталія Василівна</x:v>
      </x:c>
      <x:c r="D1177" s="14" t="str">
        <x:v>Фасади та скління</x:v>
      </x:c>
      <x:c r="E1177" s="14" t="str">
        <x:v>Expansion discovery</x:v>
      </x:c>
      <x:c r="F1177" s="17" t="str">
        <x:v>D3</x:v>
      </x:c>
      <x:c r="G1177" s="14" t="str"/>
      <x:c r="H1177" s="14" t="str">
        <x:v>Discovery розширення — 2 тижні</x:v>
      </x:c>
      <x:c r="I1177" s="16" t="n">
        <x:v>1</x:v>
      </x:c>
      <x:c r="J1177" s="16" t="n">
        <x:v>5</x:v>
      </x:c>
      <x:c r="K1177" s="16" t="n">
        <x:v>5</x:v>
      </x:c>
      <x:c r="L1177" s="16" t="n">
        <x:v>1</x:v>
      </x:c>
      <x:c r="M1177" s="16" t="n">
        <x:v>5</x:v>
      </x:c>
      <x:c r="N1177" s="16" t="n">
        <x:v>3</x:v>
      </x:c>
      <x:c r="O1177" s="16" t="n">
        <x:v>3</x:v>
      </x:c>
      <x:c r="P1177" s="16" t="n">
        <x:f>IF(COUNT(I1177:O1177)&lt;7,"",I1177*8+J1177*3+K1177*2+L1177*2+M1177*2+N1177*2+O1177)</x:f>
        <x:v>54</x:v>
      </x:c>
      <x:c r="Q1177" s="16" t="n">
        <x:f>IF(COUNT(J1177:O1177)&lt;6,"",J1177*5+K1177*4+M1177*4+L1177*3+N1177*2+O1177*2)</x:f>
        <x:v>80</x:v>
      </x:c>
      <x:c r="R1177" s="14" t="str">
        <x:v>high</x:v>
      </x:c>
      <x:c r="S1177" s="14" t="str">
        <x:v>official_prozorro_award_2024_2026</x:v>
      </x:c>
      <x:c r="T1177" s="14" t="str">
        <x:v>official_prozorro_api</x:v>
      </x:c>
      <x:c r="U1177" s="14" t="str">
        <x:v>Не контактували</x:v>
      </x:c>
      <x:c r="V1177" s="15" t="str">
        <x:v>Workflow-audit outreach по UA-2026-06-23-001980-a; попросити 1 пакет здачі та вимоги проєкту</x:v>
      </x:c>
      <x:c r="W1177" s="15" t="str">
        <x:v>Власник / виконавець; відповідальний за договір</x:v>
      </x:c>
      <x:c r="X1177" s="15" t="str">
        <x:v>1 нових підтверджених перемог/договорів у Prozorro на 35 000 грн; 1 зі строком виконання не раніше 24.08.2026.</x:v>
      </x:c>
      <x:c r="Y1177" s="15" t="str">
        <x:v>послуги з утеплення фасаду ЗДО № 43 м.Житомира; строк до 2026-12-31. Попросити один знеособлений пакет здачі за цим workflow.</x:v>
      </x:c>
      <x:c r="Z1177" s="15" t="str">
        <x:v>https://prozorro.gov.ua/tender/UA-2026-06-23-001980-a</x:v>
      </x:c>
      <x:c r="AA1177" s="14" t="str">
        <x:v>3194516666</x:v>
      </x:c>
      <x:c r="AB1177" s="14" t="str">
        <x:v>2026-08-24</x:v>
      </x:c>
      <x:c r="AC1177" s="14" t="str"/>
      <x:c r="AD1177" s="20" t="str"/>
      <x:c r="AE1177" s="14" t="str"/>
      <x:c r="AF1177" s="14" t="n">
        <x:v>43</x:v>
      </x:c>
      <x:c r="AG1177" s="14" t="str">
        <x:v>I3</x:v>
      </x:c>
      <x:c r="AH1177" s="14" t="n">
        <x:v>1</x:v>
      </x:c>
      <x:c r="AI1177" s="14" t="n">
        <x:v>1</x:v>
      </x:c>
      <x:c r="AJ1177" s="18" t="n">
        <x:v>35000</x:v>
      </x:c>
      <x:c r="AK1177" s="14" t="str">
        <x:v>https://prozorro.gov.ua/tender/UA-2026-06-23-001980-a</x:v>
      </x:c>
      <x:c r="AL1177" s="19" t="n">
        <x:v>46196.302581655094</x:v>
      </x:c>
      <x:c r="AM1177" s="19" t="n">
        <x:v>46387.338738425926</x:v>
      </x:c>
      <x:c r="AN1177" s="15" t="str">
        <x:v>Фасади та скління</x:v>
      </x:c>
      <x:c r="AO1177" s="15" t="str">
        <x:v>not_found_in_top_search</x:v>
      </x:c>
    </x:row>
    <x:row r="1178">
      <x:c r="A1178" s="14" t="str">
        <x:v>W4-359</x:v>
      </x:c>
      <x:c r="B1178" s="14" t="str">
        <x:v>Prozorro expansion — 24.08</x:v>
      </x:c>
      <x:c r="C1178" s="14" t="str">
        <x:v>ФОП Пугач С М</x:v>
      </x:c>
      <x:c r="D1178" s="14" t="str">
        <x:v>Пожежогасіння</x:v>
      </x:c>
      <x:c r="E1178" s="14" t="str">
        <x:v>Expansion discovery</x:v>
      </x:c>
      <x:c r="F1178" s="17" t="str">
        <x:v>D3</x:v>
      </x:c>
      <x:c r="G1178" s="14" t="str"/>
      <x:c r="H1178" s="14" t="str">
        <x:v>Discovery розширення — 2 тижні</x:v>
      </x:c>
      <x:c r="I1178" s="16" t="n">
        <x:v>1</x:v>
      </x:c>
      <x:c r="J1178" s="16" t="n">
        <x:v>5</x:v>
      </x:c>
      <x:c r="K1178" s="16" t="n">
        <x:v>5</x:v>
      </x:c>
      <x:c r="L1178" s="16" t="n">
        <x:v>1</x:v>
      </x:c>
      <x:c r="M1178" s="16" t="n">
        <x:v>5</x:v>
      </x:c>
      <x:c r="N1178" s="16" t="n">
        <x:v>3</x:v>
      </x:c>
      <x:c r="O1178" s="16" t="n">
        <x:v>3</x:v>
      </x:c>
      <x:c r="P1178" s="16" t="n">
        <x:f>IF(COUNT(I1178:O1178)&lt;7,"",I1178*8+J1178*3+K1178*2+L1178*2+M1178*2+N1178*2+O1178)</x:f>
        <x:v>54</x:v>
      </x:c>
      <x:c r="Q1178" s="16" t="n">
        <x:f>IF(COUNT(J1178:O1178)&lt;6,"",J1178*5+K1178*4+M1178*4+L1178*3+N1178*2+O1178*2)</x:f>
        <x:v>80</x:v>
      </x:c>
      <x:c r="R1178" s="14" t="str">
        <x:v>high</x:v>
      </x:c>
      <x:c r="S1178" s="14" t="str">
        <x:v>official_prozorro_award_2024_2026</x:v>
      </x:c>
      <x:c r="T1178" s="14" t="str">
        <x:v>official_prozorro_api</x:v>
      </x:c>
      <x:c r="U1178" s="14" t="str">
        <x:v>Не контактували</x:v>
      </x:c>
      <x:c r="V1178" s="15" t="str">
        <x:v>Workflow-audit outreach по UA-2026-05-12-005168-a; попросити 1 пакет здачі та вимоги проєкту</x:v>
      </x:c>
      <x:c r="W1178" s="15" t="str">
        <x:v>Власник / виконавець; відповідальний за договір</x:v>
      </x:c>
      <x:c r="X1178" s="15" t="str">
        <x:v>1 нових підтверджених перемог/договорів у Prozorro на 29 300 грн; 1 зі строком виконання не раніше 24.08.2026.</x:v>
      </x:c>
      <x:c r="Y1178"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 строк до 2026-12-31. Попросити один знеособлений пакет здачі за цим workflow.</x:v>
      </x:c>
      <x:c r="Z1178" s="15" t="str">
        <x:v>https://prozorro.gov.ua/tender/UA-2026-05-12-005168-a</x:v>
      </x:c>
      <x:c r="AA1178" s="14" t="str">
        <x:v>2407813913</x:v>
      </x:c>
      <x:c r="AB1178" s="14" t="str">
        <x:v>2026-08-24</x:v>
      </x:c>
      <x:c r="AC1178" s="14" t="str"/>
      <x:c r="AD1178" s="20" t="str"/>
      <x:c r="AE1178" s="14" t="str"/>
      <x:c r="AF1178" s="14" t="n">
        <x:v>43</x:v>
      </x:c>
      <x:c r="AG1178" s="14" t="str">
        <x:v>I3</x:v>
      </x:c>
      <x:c r="AH1178" s="14" t="n">
        <x:v>1</x:v>
      </x:c>
      <x:c r="AI1178" s="14" t="n">
        <x:v>1</x:v>
      </x:c>
      <x:c r="AJ1178" s="18" t="n">
        <x:v>29300</x:v>
      </x:c>
      <x:c r="AK1178" s="14" t="str">
        <x:v>https://prozorro.gov.ua/tender/UA-2026-05-12-005168-a</x:v>
      </x:c>
      <x:c r="AL1178" s="19" t="n">
        <x:v>46154.362169513886</x:v>
      </x:c>
      <x:c r="AM1178" s="19" t="n">
        <x:v>46387.40614583333</x:v>
      </x:c>
      <x:c r="AN1178" s="15" t="str">
        <x:v>Пожежогасіння</x:v>
      </x:c>
      <x:c r="AO1178" s="15" t="str">
        <x:v>not_found_in_top_search</x:v>
      </x:c>
    </x:row>
    <x:row r="1179">
      <x:c r="A1179" s="14" t="str">
        <x:v>W4-360</x:v>
      </x:c>
      <x:c r="B1179" s="14" t="str">
        <x:v>Prozorro expansion — 24.08</x:v>
      </x:c>
      <x:c r="C1179" s="14" t="str">
        <x:v>ФОП Степчук В.Г</x:v>
      </x:c>
      <x:c r="D1179" s="14" t="str">
        <x:v>Електромонтаж</x:v>
      </x:c>
      <x:c r="E1179" s="14" t="str">
        <x:v>Pilot now</x:v>
      </x:c>
      <x:c r="F1179" s="17" t="str">
        <x:v>P3</x:v>
      </x:c>
      <x:c r="G1179" s="14" t="str"/>
      <x:c r="H1179" s="14" t="str">
        <x:v>Пілот зараз — Н.15</x:v>
      </x:c>
      <x:c r="I1179" s="16" t="n">
        <x:v>5</x:v>
      </x:c>
      <x:c r="J1179" s="16" t="n">
        <x:v>5</x:v>
      </x:c>
      <x:c r="K1179" s="16" t="n">
        <x:v>4</x:v>
      </x:c>
      <x:c r="L1179" s="16" t="n">
        <x:v>1</x:v>
      </x:c>
      <x:c r="M1179" s="16" t="n">
        <x:v>5</x:v>
      </x:c>
      <x:c r="N1179" s="16" t="n">
        <x:v>3</x:v>
      </x:c>
      <x:c r="O1179" s="16" t="n">
        <x:v>3</x:v>
      </x:c>
      <x:c r="P1179" s="16" t="n">
        <x:f>IF(COUNT(I1179:O1179)&lt;7,"",I1179*8+J1179*3+K1179*2+L1179*2+M1179*2+N1179*2+O1179)</x:f>
        <x:v>84</x:v>
      </x:c>
      <x:c r="Q1179" s="16" t="n">
        <x:f>IF(COUNT(J1179:O1179)&lt;6,"",J1179*5+K1179*4+M1179*4+L1179*3+N1179*2+O1179*2)</x:f>
        <x:v>76</x:v>
      </x:c>
      <x:c r="R1179" s="14" t="str">
        <x:v>high</x:v>
      </x:c>
      <x:c r="S1179" s="14" t="str">
        <x:v>official_prozorro_award_2024_2026</x:v>
      </x:c>
      <x:c r="T1179" s="14" t="str">
        <x:v>official_prozorro_api</x:v>
      </x:c>
      <x:c r="U1179" s="14" t="str">
        <x:v>Не контактували</x:v>
      </x:c>
      <x:c r="V1179" s="15" t="str">
        <x:v>Персоналізований free-pilot outreach по UA-2026-06-22-006378-a; попросити 1 пакет Н.14/Н.15</x:v>
      </x:c>
      <x:c r="W1179" s="15" t="str">
        <x:v>Власник / виконавець; відповідальний за договір</x:v>
      </x:c>
      <x:c r="X1179" s="15" t="str">
        <x:v>1 нових підтверджених перемог/договорів у Prozorro на 22 615 грн; 1 зі строком виконання не раніше 24.08.2026.</x:v>
      </x:c>
      <x:c r="Y1179" s="15" t="str">
        <x:v>Електромонтажні роботи; строк до 2026-12-31. Попросити один знеособлений пакет здачі за цим workflow.</x:v>
      </x:c>
      <x:c r="Z1179" s="15" t="str">
        <x:v>https://prozorro.gov.ua/tender/UA-2026-06-22-006378-a</x:v>
      </x:c>
      <x:c r="AA1179" s="14" t="str">
        <x:v>3225715810</x:v>
      </x:c>
      <x:c r="AB1179" s="14" t="str">
        <x:v>2026-08-24</x:v>
      </x:c>
      <x:c r="AC1179" s="14" t="str"/>
      <x:c r="AD1179" s="20" t="str"/>
      <x:c r="AE1179" s="14" t="str"/>
      <x:c r="AF1179" s="14" t="n">
        <x:v>43</x:v>
      </x:c>
      <x:c r="AG1179" s="14" t="str">
        <x:v>I3</x:v>
      </x:c>
      <x:c r="AH1179" s="14" t="n">
        <x:v>1</x:v>
      </x:c>
      <x:c r="AI1179" s="14" t="n">
        <x:v>1</x:v>
      </x:c>
      <x:c r="AJ1179" s="18" t="n">
        <x:v>22615</x:v>
      </x:c>
      <x:c r="AK1179" s="14" t="str">
        <x:v>https://prozorro.gov.ua/tender/UA-2026-06-22-006378-a</x:v>
      </x:c>
      <x:c r="AL1179" s="19" t="n">
        <x:v>46195.4223891088</x:v>
      </x:c>
      <x:c r="AM1179" s="19" t="n">
        <x:v>46387.46371527778</x:v>
      </x:c>
      <x:c r="AN1179" s="15" t="str">
        <x:v>Електромонтаж</x:v>
      </x:c>
      <x:c r="AO1179" s="15" t="str">
        <x:v>not_found_in_top_search</x:v>
      </x:c>
    </x:row>
    <x:row r="1180">
      <x:c r="A1180" s="14" t="str">
        <x:v>W4-361</x:v>
      </x:c>
      <x:c r="B1180" s="14" t="str">
        <x:v>Prozorro expansion — 24.08</x:v>
      </x:c>
      <x:c r="C1180" s="14" t="str">
        <x:v>ФОП Шульгіна М.А.</x:v>
      </x:c>
      <x:c r="D1180" s="14" t="str">
        <x:v>Пасивний вогнезахист</x:v>
      </x:c>
      <x:c r="E1180" s="14" t="str">
        <x:v>Expansion discovery</x:v>
      </x:c>
      <x:c r="F1180" s="17" t="str">
        <x:v>D3</x:v>
      </x:c>
      <x:c r="G1180" s="14" t="str"/>
      <x:c r="H1180" s="14" t="str">
        <x:v>Discovery розширення — 2 тижні</x:v>
      </x:c>
      <x:c r="I1180" s="16" t="n">
        <x:v>1</x:v>
      </x:c>
      <x:c r="J1180" s="16" t="n">
        <x:v>5</x:v>
      </x:c>
      <x:c r="K1180" s="16" t="n">
        <x:v>5</x:v>
      </x:c>
      <x:c r="L1180" s="16" t="n">
        <x:v>1</x:v>
      </x:c>
      <x:c r="M1180" s="16" t="n">
        <x:v>5</x:v>
      </x:c>
      <x:c r="N1180" s="16" t="n">
        <x:v>3</x:v>
      </x:c>
      <x:c r="O1180" s="16" t="n">
        <x:v>3</x:v>
      </x:c>
      <x:c r="P1180" s="16" t="n">
        <x:f>IF(COUNT(I1180:O1180)&lt;7,"",I1180*8+J1180*3+K1180*2+L1180*2+M1180*2+N1180*2+O1180)</x:f>
        <x:v>54</x:v>
      </x:c>
      <x:c r="Q1180" s="16" t="n">
        <x:f>IF(COUNT(J1180:O1180)&lt;6,"",J1180*5+K1180*4+M1180*4+L1180*3+N1180*2+O1180*2)</x:f>
        <x:v>80</x:v>
      </x:c>
      <x:c r="R1180" s="14" t="str">
        <x:v>high</x:v>
      </x:c>
      <x:c r="S1180" s="14" t="str">
        <x:v>official_prozorro_award_2024_2026</x:v>
      </x:c>
      <x:c r="T1180" s="14" t="str">
        <x:v>official_prozorro_api</x:v>
      </x:c>
      <x:c r="U1180" s="14" t="str">
        <x:v>Не контактували</x:v>
      </x:c>
      <x:c r="V1180" s="15" t="str">
        <x:v>Workflow-audit outreach по UA-2026-06-16-012030-a; попросити 1 пакет здачі та вимоги проєкту</x:v>
      </x:c>
      <x:c r="W1180" s="15" t="str">
        <x:v>Власник / виконавець; відповідальний за договір</x:v>
      </x:c>
      <x:c r="X1180" s="15" t="str">
        <x:v>1 нових підтверджених перемог/договорів у Prozorro на 8 470 грн; 1 зі строком виконання не раніше 24.08.2026.</x:v>
      </x:c>
      <x:c r="Y1180" s="15" t="str">
        <x:v>Послуги з вогнезахисної обробки дерев’яних конструкцій господарських будівель; строк до 2026-12-31. Попросити один знеособлений пакет здачі за цим workflow.</x:v>
      </x:c>
      <x:c r="Z1180" s="15" t="str">
        <x:v>https://prozorro.gov.ua/tender/UA-2026-06-16-012030-a</x:v>
      </x:c>
      <x:c r="AA1180" s="14" t="str">
        <x:v>2998319702</x:v>
      </x:c>
      <x:c r="AB1180" s="14" t="str">
        <x:v>2026-08-24</x:v>
      </x:c>
      <x:c r="AC1180" s="14" t="str"/>
      <x:c r="AD1180" s="20" t="str"/>
      <x:c r="AE1180" s="14" t="str"/>
      <x:c r="AF1180" s="14" t="n">
        <x:v>43</x:v>
      </x:c>
      <x:c r="AG1180" s="14" t="str">
        <x:v>I3</x:v>
      </x:c>
      <x:c r="AH1180" s="14" t="n">
        <x:v>1</x:v>
      </x:c>
      <x:c r="AI1180" s="14" t="n">
        <x:v>1</x:v>
      </x:c>
      <x:c r="AJ1180" s="18" t="n">
        <x:v>8470</x:v>
      </x:c>
      <x:c r="AK1180" s="14" t="str">
        <x:v>https://prozorro.gov.ua/tender/UA-2026-06-16-012030-a</x:v>
      </x:c>
      <x:c r="AL1180" s="19" t="n">
        <x:v>46189.54709922454</x:v>
      </x:c>
      <x:c r="AM1180" s="19" t="n">
        <x:v>46387</x:v>
      </x:c>
      <x:c r="AN1180" s="15" t="str">
        <x:v>Пасивний вогнезахист</x:v>
      </x:c>
      <x:c r="AO1180" s="15" t="str">
        <x:v>not_found_in_top_search</x:v>
      </x:c>
    </x:row>
    <x:row r="1181">
      <x:c r="A1181" s="14" t="str">
        <x:v>W4-362</x:v>
      </x:c>
      <x:c r="B1181" s="14" t="str">
        <x:v>Prozorro expansion — 24.08</x:v>
      </x:c>
      <x:c r="C1181" s="14" t="str">
        <x:v>ФОП Кременецький Вячеслав Вячеславович</x:v>
      </x:c>
      <x:c r="D1181" s="14" t="str">
        <x:v>Електромонтаж</x:v>
      </x:c>
      <x:c r="E1181" s="14" t="str">
        <x:v>Pilot now</x:v>
      </x:c>
      <x:c r="F1181" s="17" t="str">
        <x:v>P3</x:v>
      </x:c>
      <x:c r="G1181" s="14" t="str"/>
      <x:c r="H1181" s="14" t="str">
        <x:v>Пілот зараз — Н.15</x:v>
      </x:c>
      <x:c r="I1181" s="16" t="n">
        <x:v>5</x:v>
      </x:c>
      <x:c r="J1181" s="16" t="n">
        <x:v>5</x:v>
      </x:c>
      <x:c r="K1181" s="16" t="n">
        <x:v>4</x:v>
      </x:c>
      <x:c r="L1181" s="16" t="n">
        <x:v>1</x:v>
      </x:c>
      <x:c r="M1181" s="16" t="n">
        <x:v>5</x:v>
      </x:c>
      <x:c r="N1181" s="16" t="n">
        <x:v>3</x:v>
      </x:c>
      <x:c r="O1181" s="16" t="n">
        <x:v>3</x:v>
      </x:c>
      <x:c r="P1181" s="16" t="n">
        <x:f>IF(COUNT(I1181:O1181)&lt;7,"",I1181*8+J1181*3+K1181*2+L1181*2+M1181*2+N1181*2+O1181)</x:f>
        <x:v>84</x:v>
      </x:c>
      <x:c r="Q1181" s="16" t="n">
        <x:f>IF(COUNT(J1181:O1181)&lt;6,"",J1181*5+K1181*4+M1181*4+L1181*3+N1181*2+O1181*2)</x:f>
        <x:v>76</x:v>
      </x:c>
      <x:c r="R1181" s="14" t="str">
        <x:v>high</x:v>
      </x:c>
      <x:c r="S1181" s="14" t="str">
        <x:v>official_prozorro_award_2024_2026</x:v>
      </x:c>
      <x:c r="T1181" s="14" t="str">
        <x:v>official_prozorro_api</x:v>
      </x:c>
      <x:c r="U1181" s="14" t="str">
        <x:v>Не контактували</x:v>
      </x:c>
      <x:c r="V1181" s="15" t="str">
        <x:v>Персоналізований free-pilot outreach по UA-2026-06-25-007329-a; попросити 1 пакет Н.14/Н.15</x:v>
      </x:c>
      <x:c r="W1181" s="15" t="str">
        <x:v>Власник / виконавець; відповідальний за договір</x:v>
      </x:c>
      <x:c r="X1181" s="15" t="str">
        <x:v>1 нових підтверджених перемог/договорів у Prozorro на 7 002 грн; 1 зі строком виконання не раніше 24.08.2026.</x:v>
      </x:c>
      <x:c r="Y1181" s="15" t="str">
        <x:v>Електромонтажні роботи; строк до 2026-12-31. Попросити один знеособлений пакет здачі за цим workflow.</x:v>
      </x:c>
      <x:c r="Z1181" s="15" t="str">
        <x:v>https://prozorro.gov.ua/tender/UA-2026-06-25-007329-a</x:v>
      </x:c>
      <x:c r="AA1181" s="14" t="str">
        <x:v>3077916511</x:v>
      </x:c>
      <x:c r="AB1181" s="14" t="str">
        <x:v>2026-08-24</x:v>
      </x:c>
      <x:c r="AC1181" s="14" t="str"/>
      <x:c r="AD1181" s="20" t="str"/>
      <x:c r="AE1181" s="14" t="str"/>
      <x:c r="AF1181" s="14" t="n">
        <x:v>43</x:v>
      </x:c>
      <x:c r="AG1181" s="14" t="str">
        <x:v>I3</x:v>
      </x:c>
      <x:c r="AH1181" s="14" t="n">
        <x:v>1</x:v>
      </x:c>
      <x:c r="AI1181" s="14" t="n">
        <x:v>1</x:v>
      </x:c>
      <x:c r="AJ1181" s="18" t="n">
        <x:v>7002</x:v>
      </x:c>
      <x:c r="AK1181" s="14" t="str">
        <x:v>https://prozorro.gov.ua/tender/UA-2026-06-25-007329-a</x:v>
      </x:c>
      <x:c r="AL1181" s="19" t="n">
        <x:v>46198.460180208334</x:v>
      </x:c>
      <x:c r="AM1181" s="19" t="n">
        <x:v>46387</x:v>
      </x:c>
      <x:c r="AN1181" s="15" t="str">
        <x:v>Електромонтаж</x:v>
      </x:c>
      <x:c r="AO1181" s="15" t="str">
        <x:v>not_found_in_top_search</x:v>
      </x:c>
    </x:row>
    <x:row r="1182">
      <x:c r="A1182" s="14" t="str">
        <x:v>W4-363</x:v>
      </x:c>
      <x:c r="B1182" s="14" t="str">
        <x:v>Prozorro expansion — 24.08</x:v>
      </x:c>
      <x:c r="C1182" s="14" t="str">
        <x:v>ПрАТ Юженергобуд</x:v>
      </x:c>
      <x:c r="D1182" s="14" t="str">
        <x:v>Покрівлі та гідроізоляція</x:v>
      </x:c>
      <x:c r="E1182" s="14" t="str">
        <x:v>Expansion discovery</x:v>
      </x:c>
      <x:c r="F1182" s="17" t="str">
        <x:v>D3</x:v>
      </x:c>
      <x:c r="G1182" s="14" t="str"/>
      <x:c r="H1182" s="14" t="str">
        <x:v>Discovery розширення — 2 тижні</x:v>
      </x:c>
      <x:c r="I1182" s="16" t="n">
        <x:v>1</x:v>
      </x:c>
      <x:c r="J1182" s="16" t="n">
        <x:v>5</x:v>
      </x:c>
      <x:c r="K1182" s="16" t="n">
        <x:v>5</x:v>
      </x:c>
      <x:c r="L1182" s="16" t="n">
        <x:v>5</x:v>
      </x:c>
      <x:c r="M1182" s="16" t="n">
        <x:v>5</x:v>
      </x:c>
      <x:c r="N1182" s="16" t="n">
        <x:v>5</x:v>
      </x:c>
      <x:c r="O1182" s="16" t="n">
        <x:v>3</x:v>
      </x:c>
      <x:c r="P1182" s="16" t="n">
        <x:f>IF(COUNT(I1182:O1182)&lt;7,"",I1182*8+J1182*3+K1182*2+L1182*2+M1182*2+N1182*2+O1182)</x:f>
        <x:v>66</x:v>
      </x:c>
      <x:c r="Q1182" s="16" t="n">
        <x:f>IF(COUNT(J1182:O1182)&lt;6,"",J1182*5+K1182*4+M1182*4+L1182*3+N1182*2+O1182*2)</x:f>
        <x:v>96</x:v>
      </x:c>
      <x:c r="R1182" s="14" t="str">
        <x:v>high</x:v>
      </x:c>
      <x:c r="S1182" s="14" t="str">
        <x:v>official_prozorro_award_2024_2026</x:v>
      </x:c>
      <x:c r="T1182" s="14" t="str">
        <x:v>official_prozorro_api</x:v>
      </x:c>
      <x:c r="U1182" s="14" t="str">
        <x:v>Не контактували</x:v>
      </x:c>
      <x:c r="V1182" s="15" t="str">
        <x:v>Повторне звернення з новим тендерним сигналом UA-2026-06-30-000754-a; попросити 1 пакет здачі</x:v>
      </x:c>
      <x:c r="W1182" s="15" t="str">
        <x:v>Власник / директор; керівник ПТО; відповідальний за договори</x:v>
      </x:c>
      <x:c r="X1182" s="15" t="str">
        <x:v>1 нових підтверджених перемог/договорів у Prozorro на 14 438 980 грн; 0 зі строком виконання не раніше 24.08.2026.</x:v>
      </x:c>
      <x:c r="Y1182" s="15" t="str">
        <x:v>Код CPV 45260000-7 по ДК 021:2015 Покрівельні роботи та інші спеціалізовані будівельні роботи (Капітальний ремонт гідроізоляційного покриття бризкального басейну). РПЗ -2.19; строк до 2024-08-14. Попросити один знеособлений пакет здачі за цим workflow.</x:v>
      </x:c>
      <x:c r="Z1182" s="15" t="str">
        <x:v>https://prozorro.gov.ua/tender/UA-2024-04-24-013427-a</x:v>
      </x:c>
      <x:c r="AA1182" s="14" t="str">
        <x:v>04630809</x:v>
      </x:c>
      <x:c r="AB1182" s="14" t="str">
        <x:v>2026-08-24</x:v>
      </x:c>
      <x:c r="AC1182" s="14" t="str"/>
      <x:c r="AD1182" s="20" t="str"/>
      <x:c r="AE1182" s="14" t="str"/>
      <x:c r="AF1182" s="14" t="n">
        <x:v>78</x:v>
      </x:c>
      <x:c r="AG1182" s="14" t="str">
        <x:v>I1</x:v>
      </x:c>
      <x:c r="AH1182" s="14" t="n">
        <x:v>3</x:v>
      </x:c>
      <x:c r="AI1182" s="14" t="n">
        <x:v>1</x:v>
      </x:c>
      <x:c r="AJ1182" s="18" t="n">
        <x:v>68742978.66</x:v>
      </x:c>
      <x:c r="AK1182" s="14" t="str">
        <x:v>https://prozorro.gov.ua/tender/UA-2026-06-30-000754-a</x:v>
      </x:c>
      <x:c r="AL1182" s="19" t="n">
        <x:v>46233.463287847226</x:v>
      </x:c>
      <x:c r="AM1182" s="19" t="n">
        <x:v>46377</x:v>
      </x:c>
      <x:c r="AN1182" s="15" t="str">
        <x:v>Покрівлі та гідроізоляція; Антикорозійний захист</x:v>
      </x:c>
      <x:c r="AO1182" s="15" t="str">
        <x:v>not_found_in_top_search</x:v>
      </x:c>
    </x:row>
    <x:row r="1183">
      <x:c r="A1183" s="14" t="str">
        <x:v>W4-364</x:v>
      </x:c>
      <x:c r="B1183" s="14" t="str">
        <x:v>Prozorro expansion — 24.08</x:v>
      </x:c>
      <x:c r="C1183" s="14" t="str">
        <x:v>ТОВАРИСТВО З ОБМЕЖЕНОЮ ВІДПОВІДАЛЬНІСТЮ "ГЕРД"</x:v>
      </x:c>
      <x:c r="D1183" s="14" t="str">
        <x:v>Промислова теплоізоляція</x:v>
      </x:c>
      <x:c r="E1183" s="14" t="str">
        <x:v>Expansion discovery</x:v>
      </x:c>
      <x:c r="F1183" s="17" t="str">
        <x:v>D3</x:v>
      </x:c>
      <x:c r="G1183" s="14" t="str"/>
      <x:c r="H1183" s="14" t="str">
        <x:v>Discovery розширення — 2 тижні</x:v>
      </x:c>
      <x:c r="I1183" s="16" t="n">
        <x:v>1</x:v>
      </x:c>
      <x:c r="J1183" s="16" t="n">
        <x:v>5</x:v>
      </x:c>
      <x:c r="K1183" s="16" t="n">
        <x:v>5</x:v>
      </x:c>
      <x:c r="L1183" s="16" t="n">
        <x:v>5</x:v>
      </x:c>
      <x:c r="M1183" s="16" t="n">
        <x:v>5</x:v>
      </x:c>
      <x:c r="N1183" s="16" t="n">
        <x:v>5</x:v>
      </x:c>
      <x:c r="O1183" s="16" t="n">
        <x:v>3</x:v>
      </x:c>
      <x:c r="P1183" s="16" t="n">
        <x:f>IF(COUNT(I1183:O1183)&lt;7,"",I1183*8+J1183*3+K1183*2+L1183*2+M1183*2+N1183*2+O1183)</x:f>
        <x:v>66</x:v>
      </x:c>
      <x:c r="Q1183" s="16" t="n">
        <x:f>IF(COUNT(J1183:O1183)&lt;6,"",J1183*5+K1183*4+M1183*4+L1183*3+N1183*2+O1183*2)</x:f>
        <x:v>96</x:v>
      </x:c>
      <x:c r="R1183" s="14" t="str">
        <x:v>high</x:v>
      </x:c>
      <x:c r="S1183" s="14" t="str">
        <x:v>official_prozorro_award_2024_2026</x:v>
      </x:c>
      <x:c r="T1183" s="14" t="str">
        <x:v>official_prozorro_api</x:v>
      </x:c>
      <x:c r="U1183" s="14" t="str">
        <x:v>Не контактували</x:v>
      </x:c>
      <x:c r="V1183" s="15" t="str">
        <x:v>Workflow-audit outreach по UA-2024-03-29-004028-a; попросити 1 пакет здачі та вимоги проєкту</x:v>
      </x:c>
      <x:c r="W1183" s="15" t="str">
        <x:v>Власник / директор; керівник ПТО; відповідальний за договори</x:v>
      </x:c>
      <x:c r="X1183" s="15" t="str">
        <x:v>1 нових підтверджених перемог/договорів у Prozorro на 11 140 890 грн; 0 зі строком виконання не раніше 24.08.2026.</x:v>
      </x:c>
      <x:c r="Y1183" s="15" t="str">
        <x:v>Товар - код CPV 19210000-1 по ДК 021:2015 -  Натуральні тканини (Тканини різні та вироби з них для облаштування гідро та теплоізоляціїї трубопроводів). РПЗ – 9.199; строк до 2024-07-30. Попросити один знеособлений пакет здачі за цим workflow.</x:v>
      </x:c>
      <x:c r="Z1183" s="15" t="str">
        <x:v>https://prozorro.gov.ua/tender/UA-2024-03-29-004028-a</x:v>
      </x:c>
      <x:c r="AA1183" s="14" t="str">
        <x:v>44755203</x:v>
      </x:c>
      <x:c r="AB1183" s="14" t="str">
        <x:v>2026-08-24</x:v>
      </x:c>
      <x:c r="AC1183" s="14" t="str"/>
      <x:c r="AD1183" s="20" t="str"/>
      <x:c r="AE1183" s="14" t="str"/>
      <x:c r="AF1183" s="14" t="n">
        <x:v>42</x:v>
      </x:c>
      <x:c r="AG1183" s="14" t="str">
        <x:v>I3</x:v>
      </x:c>
      <x:c r="AH1183" s="14" t="n">
        <x:v>1</x:v>
      </x:c>
      <x:c r="AI1183" s="14" t="n">
        <x:v>0</x:v>
      </x:c>
      <x:c r="AJ1183" s="18" t="n">
        <x:v>11140890.3</x:v>
      </x:c>
      <x:c r="AK1183" s="14" t="str">
        <x:v>https://prozorro.gov.ua/tender/UA-2024-03-29-004028-a</x:v>
      </x:c>
      <x:c r="AL1183" s="19" t="n">
        <x:v>45411.55512545139</x:v>
      </x:c>
      <x:c r="AM1183" s="19" t="n">
        <x:v>45503</x:v>
      </x:c>
      <x:c r="AN1183" s="15" t="str">
        <x:v>Промислова теплоізоляція</x:v>
      </x:c>
      <x:c r="AO1183" s="15" t="str">
        <x:v>not_found_in_top_search</x:v>
      </x:c>
    </x:row>
    <x:row r="1184">
      <x:c r="A1184" s="14" t="str">
        <x:v>W4-365</x:v>
      </x:c>
      <x:c r="B1184" s="14" t="str">
        <x:v>Prozorro expansion — 24.08</x:v>
      </x:c>
      <x:c r="C1184" s="14" t="str">
        <x:v>ТОВ "БУДІВЕЛЬНА КОМПАНІЯ "ОПТИМАЛЬНА"</x:v>
      </x:c>
      <x:c r="D1184" s="14" t="str">
        <x:v>Водоочищення / очисні споруди</x:v>
      </x:c>
      <x:c r="E1184" s="14" t="str">
        <x:v>Expansion discovery</x:v>
      </x:c>
      <x:c r="F1184" s="17" t="str">
        <x:v>D3</x:v>
      </x:c>
      <x:c r="G1184" s="14" t="str"/>
      <x:c r="H1184" s="14" t="str">
        <x:v>Discovery розширення — 2 тижні</x:v>
      </x:c>
      <x:c r="I1184" s="16" t="n">
        <x:v>1</x:v>
      </x:c>
      <x:c r="J1184" s="16" t="n">
        <x:v>5</x:v>
      </x:c>
      <x:c r="K1184" s="16" t="n">
        <x:v>4</x:v>
      </x:c>
      <x:c r="L1184" s="16" t="n">
        <x:v>4</x:v>
      </x:c>
      <x:c r="M1184" s="16" t="n">
        <x:v>5</x:v>
      </x:c>
      <x:c r="N1184" s="16" t="n">
        <x:v>5</x:v>
      </x:c>
      <x:c r="O1184" s="16" t="n">
        <x:v>3</x:v>
      </x:c>
      <x:c r="P1184" s="16" t="n">
        <x:f>IF(COUNT(I1184:O1184)&lt;7,"",I1184*8+J1184*3+K1184*2+L1184*2+M1184*2+N1184*2+O1184)</x:f>
        <x:v>62</x:v>
      </x:c>
      <x:c r="Q1184" s="16" t="n">
        <x:f>IF(COUNT(J1184:O1184)&lt;6,"",J1184*5+K1184*4+M1184*4+L1184*3+N1184*2+O1184*2)</x:f>
        <x:v>89</x:v>
      </x:c>
      <x:c r="R1184" s="14" t="str">
        <x:v>high</x:v>
      </x:c>
      <x:c r="S1184" s="14" t="str">
        <x:v>official_prozorro_award_2024_2026</x:v>
      </x:c>
      <x:c r="T1184" s="14" t="str">
        <x:v>official_prozorro_api</x:v>
      </x:c>
      <x:c r="U1184" s="14" t="str">
        <x:v>Не контактували</x:v>
      </x:c>
      <x:c r="V1184" s="15" t="str">
        <x:v>Workflow-audit outreach по UA-2025-11-06-016140-a; попросити 1 пакет здачі та вимоги проєкту</x:v>
      </x:c>
      <x:c r="W1184" s="15" t="str">
        <x:v>Власник / директор; керівник ПТО; відповідальний за договори</x:v>
      </x:c>
      <x:c r="X1184" s="15" t="str">
        <x:v>1 нових підтверджених перемог/договорів у Prozorro на 4 800 041 грн; 0 зі строком виконання не раніше 24.08.2026.</x:v>
      </x:c>
      <x:c r="Y1184"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 строк до 2025-12-31. Попросити один знеособлений пакет здачі за цим workflow.</x:v>
      </x:c>
      <x:c r="Z1184" s="15" t="str">
        <x:v>https://prozorro.gov.ua/tender/UA-2025-11-06-016140-a</x:v>
      </x:c>
      <x:c r="AA1184" s="14" t="str">
        <x:v>42593201</x:v>
      </x:c>
      <x:c r="AB1184" s="14" t="str">
        <x:v>2026-08-24</x:v>
      </x:c>
      <x:c r="AC1184" s="14" t="str"/>
      <x:c r="AD1184" s="20" t="str"/>
      <x:c r="AE1184" s="14" t="str"/>
      <x:c r="AF1184" s="14" t="n">
        <x:v>42</x:v>
      </x:c>
      <x:c r="AG1184" s="14" t="str">
        <x:v>I3</x:v>
      </x:c>
      <x:c r="AH1184" s="14" t="n">
        <x:v>1</x:v>
      </x:c>
      <x:c r="AI1184" s="14" t="n">
        <x:v>0</x:v>
      </x:c>
      <x:c r="AJ1184" s="18" t="n">
        <x:v>4800041.44</x:v>
      </x:c>
      <x:c r="AK1184" s="14" t="str">
        <x:v>https://prozorro.gov.ua/tender/UA-2025-11-06-016140-a</x:v>
      </x:c>
      <x:c r="AL1184" s="19" t="n">
        <x:v>45987.59681658565</x:v>
      </x:c>
      <x:c r="AM1184" s="19" t="n">
        <x:v>46022.66689814815</x:v>
      </x:c>
      <x:c r="AN1184" s="15" t="str">
        <x:v>Водоочищення / очисні споруди</x:v>
      </x:c>
      <x:c r="AO1184" s="15" t="str">
        <x:v>not_found_in_top_search</x:v>
      </x:c>
    </x:row>
    <x:row r="1185">
      <x:c r="A1185" s="14" t="str">
        <x:v>W4-366</x:v>
      </x:c>
      <x:c r="B1185" s="14" t="str">
        <x:v>Prozorro expansion — 24.08</x:v>
      </x:c>
      <x:c r="C1185" s="14" t="str">
        <x:v>ТОВ Енергопромбуд</x:v>
      </x:c>
      <x:c r="D1185" s="14" t="str">
        <x:v>Підстанції / силові мережі</x:v>
      </x:c>
      <x:c r="E1185" s="14" t="str">
        <x:v>Pilot now</x:v>
      </x:c>
      <x:c r="F1185" s="17" t="str">
        <x:v>P3</x:v>
      </x:c>
      <x:c r="G1185" s="14" t="str"/>
      <x:c r="H1185" s="14" t="str">
        <x:v>Пілот зараз — Н.15 subset</x:v>
      </x:c>
      <x:c r="I1185" s="16" t="n">
        <x:v>4</x:v>
      </x:c>
      <x:c r="J1185" s="16" t="n">
        <x:v>5</x:v>
      </x:c>
      <x:c r="K1185" s="16" t="n">
        <x:v>5</x:v>
      </x:c>
      <x:c r="L1185" s="16" t="n">
        <x:v>4</x:v>
      </x:c>
      <x:c r="M1185" s="16" t="n">
        <x:v>5</x:v>
      </x:c>
      <x:c r="N1185" s="16" t="n">
        <x:v>5</x:v>
      </x:c>
      <x:c r="O1185" s="16" t="n">
        <x:v>3</x:v>
      </x:c>
      <x:c r="P1185" s="16" t="n">
        <x:f>IF(COUNT(I1185:O1185)&lt;7,"",I1185*8+J1185*3+K1185*2+L1185*2+M1185*2+N1185*2+O1185)</x:f>
        <x:v>88</x:v>
      </x:c>
      <x:c r="Q1185" s="16" t="n">
        <x:f>IF(COUNT(J1185:O1185)&lt;6,"",J1185*5+K1185*4+M1185*4+L1185*3+N1185*2+O1185*2)</x:f>
        <x:v>93</x:v>
      </x:c>
      <x:c r="R1185" s="14" t="str">
        <x:v>high</x:v>
      </x:c>
      <x:c r="S1185" s="14" t="str">
        <x:v>official_prozorro_award_2024_2026</x:v>
      </x:c>
      <x:c r="T1185" s="14" t="str">
        <x:v>official_prozorro_api</x:v>
      </x:c>
      <x:c r="U1185" s="14" t="str">
        <x:v>Не контактували</x:v>
      </x:c>
      <x:c r="V1185" s="15" t="str">
        <x:v>Персоналізований free-pilot outreach по UA-2025-09-29-009205-a; попросити 1 пакет Н.14/Н.15</x:v>
      </x:c>
      <x:c r="W1185" s="15" t="str">
        <x:v>Власник / директор; керівник ПТО; відповідальний за договори</x:v>
      </x:c>
      <x:c r="X1185" s="15" t="str">
        <x:v>1 нових підтверджених перемог/договорів у Prozorro на 4 571 542 грн; 1 зі строком виконання не раніше 24.08.2026.</x:v>
      </x:c>
      <x:c r="Y1185" s="15" t="str">
        <x:v>ДК 021-2015: 45454000-4 Реконструкція. «Реконструкція. Заміна ввідної комірки № 16 КРП-6 кВ підстанції 35/6 кВ «Резервна» Будівельно-монтажні роботи». РПЗ-5.2.23; строк до 2026-12-25. Попросити один знеособлений пакет здачі за цим workflow.</x:v>
      </x:c>
      <x:c r="Z1185" s="15" t="str">
        <x:v>https://prozorro.gov.ua/tender/UA-2025-09-29-009205-a</x:v>
      </x:c>
      <x:c r="AA1185" s="14" t="str">
        <x:v>38900726</x:v>
      </x:c>
      <x:c r="AB1185" s="14" t="str">
        <x:v>2026-08-24</x:v>
      </x:c>
      <x:c r="AC1185" s="14" t="str"/>
      <x:c r="AD1185" s="20" t="str"/>
      <x:c r="AE1185" s="14" t="str"/>
      <x:c r="AF1185" s="14" t="n">
        <x:v>42</x:v>
      </x:c>
      <x:c r="AG1185" s="14" t="str">
        <x:v>I3</x:v>
      </x:c>
      <x:c r="AH1185" s="14" t="n">
        <x:v>1</x:v>
      </x:c>
      <x:c r="AI1185" s="14" t="n">
        <x:v>1</x:v>
      </x:c>
      <x:c r="AJ1185" s="18" t="n">
        <x:v>4571541.82</x:v>
      </x:c>
      <x:c r="AK1185" s="14" t="str">
        <x:v>https://prozorro.gov.ua/tender/UA-2025-09-29-009205-a</x:v>
      </x:c>
      <x:c r="AL1185" s="19" t="n">
        <x:v>45952.366749594905</x:v>
      </x:c>
      <x:c r="AM1185" s="19" t="n">
        <x:v>46381</x:v>
      </x:c>
      <x:c r="AN1185" s="15" t="str">
        <x:v>Підстанції / силові мережі</x:v>
      </x:c>
      <x:c r="AO1185" s="15" t="str">
        <x:v>not_found_in_top_search</x:v>
      </x:c>
    </x:row>
    <x:row r="1186">
      <x:c r="A1186" s="14" t="str">
        <x:v>W4-367</x:v>
      </x:c>
      <x:c r="B1186" s="14" t="str">
        <x:v>Prozorro expansion — 24.08</x:v>
      </x:c>
      <x:c r="C1186" s="14" t="str">
        <x:v>ТОВ "БУДІВЕЛЬНИЙ КОМПЛЕКС "УНІВЕРСАЛ"</x:v>
      </x:c>
      <x:c r="D1186" s="14" t="str">
        <x:v>Фасади та скління</x:v>
      </x:c>
      <x:c r="E1186" s="14" t="str">
        <x:v>Expansion discovery</x:v>
      </x:c>
      <x:c r="F1186" s="17" t="str">
        <x:v>D3</x:v>
      </x:c>
      <x:c r="G1186" s="14" t="str"/>
      <x:c r="H1186" s="14" t="str">
        <x:v>Discovery розширення — 2 тижні</x:v>
      </x:c>
      <x:c r="I1186" s="16" t="n">
        <x:v>1</x:v>
      </x:c>
      <x:c r="J1186" s="16" t="n">
        <x:v>5</x:v>
      </x:c>
      <x:c r="K1186" s="16" t="n">
        <x:v>5</x:v>
      </x:c>
      <x:c r="L1186" s="16" t="n">
        <x:v>4</x:v>
      </x:c>
      <x:c r="M1186" s="16" t="n">
        <x:v>5</x:v>
      </x:c>
      <x:c r="N1186" s="16" t="n">
        <x:v>5</x:v>
      </x:c>
      <x:c r="O1186" s="16" t="n">
        <x:v>3</x:v>
      </x:c>
      <x:c r="P1186" s="16" t="n">
        <x:f>IF(COUNT(I1186:O1186)&lt;7,"",I1186*8+J1186*3+K1186*2+L1186*2+M1186*2+N1186*2+O1186)</x:f>
        <x:v>64</x:v>
      </x:c>
      <x:c r="Q1186" s="16" t="n">
        <x:f>IF(COUNT(J1186:O1186)&lt;6,"",J1186*5+K1186*4+M1186*4+L1186*3+N1186*2+O1186*2)</x:f>
        <x:v>93</x:v>
      </x:c>
      <x:c r="R1186" s="14" t="str">
        <x:v>high</x:v>
      </x:c>
      <x:c r="S1186" s="14" t="str">
        <x:v>official_prozorro_award_2024_2026</x:v>
      </x:c>
      <x:c r="T1186" s="14" t="str">
        <x:v>official_prozorro_api</x:v>
      </x:c>
      <x:c r="U1186" s="14" t="str">
        <x:v>Не контактували</x:v>
      </x:c>
      <x:c r="V1186" s="15" t="str">
        <x:v>Workflow-audit outreach по UA-2025-05-05-002949-a; попросити 1 пакет здачі та вимоги проєкту</x:v>
      </x:c>
      <x:c r="W1186" s="15" t="str">
        <x:v>Власник / директор; керівник ПТО; відповідальний за договори</x:v>
      </x:c>
      <x:c r="X1186" s="15" t="str">
        <x:v>1 нових підтверджених перемог/договорів у Prozorro на 3 914 444 грн; 0 зі строком виконання не раніше 24.08.2026.</x:v>
      </x:c>
      <x:c r="Y1186" s="15" t="str">
        <x:v>Утеплення фасаду будівлі; строк до 2025-12-31. Попросити один знеособлений пакет здачі за цим workflow.</x:v>
      </x:c>
      <x:c r="Z1186" s="15" t="str">
        <x:v>https://prozorro.gov.ua/tender/UA-2025-05-05-002949-a</x:v>
      </x:c>
      <x:c r="AA1186" s="14" t="str">
        <x:v>37588619</x:v>
      </x:c>
      <x:c r="AB1186" s="14" t="str">
        <x:v>2026-08-24</x:v>
      </x:c>
      <x:c r="AC1186" s="14" t="str"/>
      <x:c r="AD1186" s="20" t="str"/>
      <x:c r="AE1186" s="14" t="str"/>
      <x:c r="AF1186" s="14" t="n">
        <x:v>42</x:v>
      </x:c>
      <x:c r="AG1186" s="14" t="str">
        <x:v>I3</x:v>
      </x:c>
      <x:c r="AH1186" s="14" t="n">
        <x:v>1</x:v>
      </x:c>
      <x:c r="AI1186" s="14" t="n">
        <x:v>0</x:v>
      </x:c>
      <x:c r="AJ1186" s="18" t="n">
        <x:v>3914443.53</x:v>
      </x:c>
      <x:c r="AK1186" s="14" t="str">
        <x:v>https://prozorro.gov.ua/tender/UA-2025-05-05-002949-a</x:v>
      </x:c>
      <x:c r="AL1186" s="19" t="n">
        <x:v>45805.56283309028</x:v>
      </x:c>
      <x:c r="AM1186" s="19" t="n">
        <x:v>46022</x:v>
      </x:c>
      <x:c r="AN1186" s="15" t="str">
        <x:v>Фасади та скління</x:v>
      </x:c>
      <x:c r="AO1186" s="15" t="str">
        <x:v>not_found_in_top_search</x:v>
      </x:c>
    </x:row>
    <x:row r="1187">
      <x:c r="A1187" s="14" t="str">
        <x:v>W4-368</x:v>
      </x:c>
      <x:c r="B1187" s="14" t="str">
        <x:v>Prozorro expansion — 24.08</x:v>
      </x:c>
      <x:c r="C1187" s="14" t="str">
        <x:v>ПП "БУДПЛАСТ-2"</x:v>
      </x:c>
      <x:c r="D1187" s="14" t="str">
        <x:v>Водоочищення / очисні споруди</x:v>
      </x:c>
      <x:c r="E1187" s="14" t="str">
        <x:v>Expansion discovery</x:v>
      </x:c>
      <x:c r="F1187" s="17" t="str">
        <x:v>D3</x:v>
      </x:c>
      <x:c r="G1187" s="14" t="str"/>
      <x:c r="H1187" s="14" t="str">
        <x:v>Discovery розширення — 2 тижні</x:v>
      </x:c>
      <x:c r="I1187" s="16" t="n">
        <x:v>1</x:v>
      </x:c>
      <x:c r="J1187" s="16" t="n">
        <x:v>5</x:v>
      </x:c>
      <x:c r="K1187" s="16" t="n">
        <x:v>4</x:v>
      </x:c>
      <x:c r="L1187" s="16" t="n">
        <x:v>4</x:v>
      </x:c>
      <x:c r="M1187" s="16" t="n">
        <x:v>5</x:v>
      </x:c>
      <x:c r="N1187" s="16" t="n">
        <x:v>5</x:v>
      </x:c>
      <x:c r="O1187" s="16" t="n">
        <x:v>3</x:v>
      </x:c>
      <x:c r="P1187" s="16" t="n">
        <x:f>IF(COUNT(I1187:O1187)&lt;7,"",I1187*8+J1187*3+K1187*2+L1187*2+M1187*2+N1187*2+O1187)</x:f>
        <x:v>62</x:v>
      </x:c>
      <x:c r="Q1187" s="16" t="n">
        <x:f>IF(COUNT(J1187:O1187)&lt;6,"",J1187*5+K1187*4+M1187*4+L1187*3+N1187*2+O1187*2)</x:f>
        <x:v>89</x:v>
      </x:c>
      <x:c r="R1187" s="14" t="str">
        <x:v>high</x:v>
      </x:c>
      <x:c r="S1187" s="14" t="str">
        <x:v>official_prozorro_award_2024_2026</x:v>
      </x:c>
      <x:c r="T1187" s="14" t="str">
        <x:v>official_prozorro_api</x:v>
      </x:c>
      <x:c r="U1187" s="14" t="str">
        <x:v>Не контактували</x:v>
      </x:c>
      <x:c r="V1187" s="15" t="str">
        <x:v>Workflow-audit outreach по UA-2025-11-25-002765-a; попросити 1 пакет здачі та вимоги проєкту</x:v>
      </x:c>
      <x:c r="W1187" s="15" t="str">
        <x:v>Власник / директор; керівник ПТО; відповідальний за договори</x:v>
      </x:c>
      <x:c r="X1187" s="15" t="str">
        <x:v>1 нових підтверджених перемог/договорів у Prozorro на 3 694 176 грн; 0 зі строком виконання не раніше 24.08.2026.</x:v>
      </x:c>
      <x:c r="Y1187"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 строк до 2026-06-30. Попросити один знеособлений пакет здачі за цим workflow.</x:v>
      </x:c>
      <x:c r="Z1187" s="15" t="str">
        <x:v>https://prozorro.gov.ua/tender/UA-2025-11-25-002765-a</x:v>
      </x:c>
      <x:c r="AA1187" s="14" t="str">
        <x:v>33208120</x:v>
      </x:c>
      <x:c r="AB1187" s="14" t="str">
        <x:v>2026-08-24</x:v>
      </x:c>
      <x:c r="AC1187" s="14" t="str"/>
      <x:c r="AD1187" s="20" t="str"/>
      <x:c r="AE1187" s="14" t="str"/>
      <x:c r="AF1187" s="14" t="n">
        <x:v>42</x:v>
      </x:c>
      <x:c r="AG1187" s="14" t="str">
        <x:v>I3</x:v>
      </x:c>
      <x:c r="AH1187" s="14" t="n">
        <x:v>1</x:v>
      </x:c>
      <x:c r="AI1187" s="14" t="n">
        <x:v>0</x:v>
      </x:c>
      <x:c r="AJ1187" s="18" t="n">
        <x:v>3694176</x:v>
      </x:c>
      <x:c r="AK1187" s="14" t="str">
        <x:v>https://prozorro.gov.ua/tender/UA-2025-11-25-002765-a</x:v>
      </x:c>
      <x:c r="AL1187" s="19" t="n">
        <x:v>46010.44463627315</x:v>
      </x:c>
      <x:c r="AM1187" s="19" t="n">
        <x:v>46203</x:v>
      </x:c>
      <x:c r="AN1187" s="15" t="str">
        <x:v>Водоочищення / очисні споруди</x:v>
      </x:c>
      <x:c r="AO1187" s="15" t="str">
        <x:v>not_found_in_top_search</x:v>
      </x:c>
    </x:row>
    <x:row r="1188">
      <x:c r="A1188" s="14" t="str">
        <x:v>W4-369</x:v>
      </x:c>
      <x:c r="B1188" s="14" t="str">
        <x:v>Prozorro expansion — 24.08</x:v>
      </x:c>
      <x:c r="C1188" s="14" t="str">
        <x:v>ТОВАРИСТВО З ОБМЕЖЕНОЮ ВІДПОВІДАЛЬНІСТЮ "єЕНЕРГО"</x:v>
      </x:c>
      <x:c r="D1188" s="14" t="str">
        <x:v>Підстанції / силові мережі</x:v>
      </x:c>
      <x:c r="E1188" s="14" t="str">
        <x:v>Pilot now</x:v>
      </x:c>
      <x:c r="F1188" s="17" t="str">
        <x:v>P3</x:v>
      </x:c>
      <x:c r="G1188" s="14" t="str"/>
      <x:c r="H1188" s="14" t="str">
        <x:v>Пілот зараз — Н.15 subset</x:v>
      </x:c>
      <x:c r="I1188" s="16" t="n">
        <x:v>4</x:v>
      </x:c>
      <x:c r="J1188" s="16" t="n">
        <x:v>5</x:v>
      </x:c>
      <x:c r="K1188" s="16" t="n">
        <x:v>5</x:v>
      </x:c>
      <x:c r="L1188" s="16" t="n">
        <x:v>4</x:v>
      </x:c>
      <x:c r="M1188" s="16" t="n">
        <x:v>5</x:v>
      </x:c>
      <x:c r="N1188" s="16" t="n">
        <x:v>5</x:v>
      </x:c>
      <x:c r="O1188" s="16" t="n">
        <x:v>3</x:v>
      </x:c>
      <x:c r="P1188" s="16" t="n">
        <x:f>IF(COUNT(I1188:O1188)&lt;7,"",I1188*8+J1188*3+K1188*2+L1188*2+M1188*2+N1188*2+O1188)</x:f>
        <x:v>88</x:v>
      </x:c>
      <x:c r="Q1188" s="16" t="n">
        <x:f>IF(COUNT(J1188:O1188)&lt;6,"",J1188*5+K1188*4+M1188*4+L1188*3+N1188*2+O1188*2)</x:f>
        <x:v>93</x:v>
      </x:c>
      <x:c r="R1188" s="14" t="str">
        <x:v>high</x:v>
      </x:c>
      <x:c r="S1188" s="14" t="str">
        <x:v>official_prozorro_award_2024_2026</x:v>
      </x:c>
      <x:c r="T1188" s="14" t="str">
        <x:v>official_prozorro_api</x:v>
      </x:c>
      <x:c r="U1188" s="14" t="str">
        <x:v>Не контактували</x:v>
      </x:c>
      <x:c r="V1188" s="15" t="str">
        <x:v>Персоналізований free-pilot outreach по UA-2025-10-31-004780-a; попросити 1 пакет Н.14/Н.15</x:v>
      </x:c>
      <x:c r="W1188" s="15" t="str">
        <x:v>Власник / директор; керівник ПТО; відповідальний за договори</x:v>
      </x:c>
      <x:c r="X1188" s="15" t="str">
        <x:v>1 нових підтверджених перемог/договорів у Prozorro на 3 512 000 грн; 1 зі строком виконання не раніше 24.08.2026.</x:v>
      </x:c>
      <x:c r="Y1188"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 строк до 2026-12-31. Попросити один знеособлений пакет здачі за цим workflow.</x:v>
      </x:c>
      <x:c r="Z1188" s="15" t="str">
        <x:v>https://prozorro.gov.ua/tender/UA-2025-10-31-004780-a</x:v>
      </x:c>
      <x:c r="AA1188" s="14" t="str">
        <x:v>45498902</x:v>
      </x:c>
      <x:c r="AB1188" s="14" t="str">
        <x:v>2026-08-24</x:v>
      </x:c>
      <x:c r="AC1188" s="14" t="str"/>
      <x:c r="AD1188" s="20" t="str"/>
      <x:c r="AE1188" s="14" t="str"/>
      <x:c r="AF1188" s="14" t="n">
        <x:v>42</x:v>
      </x:c>
      <x:c r="AG1188" s="14" t="str">
        <x:v>I3</x:v>
      </x:c>
      <x:c r="AH1188" s="14" t="n">
        <x:v>1</x:v>
      </x:c>
      <x:c r="AI1188" s="14" t="n">
        <x:v>1</x:v>
      </x:c>
      <x:c r="AJ1188" s="18" t="n">
        <x:v>3512000</x:v>
      </x:c>
      <x:c r="AK1188" s="14" t="str">
        <x:v>https://prozorro.gov.ua/tender/UA-2025-10-31-004780-a</x:v>
      </x:c>
      <x:c r="AL1188" s="19" t="n">
        <x:v>46009.565055659725</x:v>
      </x:c>
      <x:c r="AM1188" s="19" t="n">
        <x:v>46387</x:v>
      </x:c>
      <x:c r="AN1188" s="15" t="str">
        <x:v>Підстанції / силові мережі</x:v>
      </x:c>
      <x:c r="AO1188" s="15" t="str">
        <x:v>not_found_in_top_search</x:v>
      </x:c>
    </x:row>
    <x:row r="1189">
      <x:c r="A1189" s="14" t="str">
        <x:v>W4-370</x:v>
      </x:c>
      <x:c r="B1189" s="14" t="str">
        <x:v>Prozorro expansion — 24.08</x:v>
      </x:c>
      <x:c r="C1189" s="14" t="str">
        <x:v>ТОВ "ХОЛДИНГ "ПОЖЕЖНА БЕЗПЕКА ТА НС"</x:v>
      </x:c>
      <x:c r="D1189" s="14" t="str">
        <x:v>Пожежогасіння</x:v>
      </x:c>
      <x:c r="E1189" s="14" t="str">
        <x:v>Expansion discovery</x:v>
      </x:c>
      <x:c r="F1189" s="17" t="str">
        <x:v>D3</x:v>
      </x:c>
      <x:c r="G1189" s="14" t="str">
        <x:v>112.dp.ua</x:v>
      </x:c>
      <x:c r="H1189" s="14" t="str">
        <x:v>Discovery розширення — 2 тижні</x:v>
      </x:c>
      <x:c r="I1189" s="16" t="n">
        <x:v>1</x:v>
      </x:c>
      <x:c r="J1189" s="16" t="n">
        <x:v>5</x:v>
      </x:c>
      <x:c r="K1189" s="16" t="n">
        <x:v>5</x:v>
      </x:c>
      <x:c r="L1189" s="16" t="n">
        <x:v>4</x:v>
      </x:c>
      <x:c r="M1189" s="16" t="n">
        <x:v>5</x:v>
      </x:c>
      <x:c r="N1189" s="16" t="n">
        <x:v>5</x:v>
      </x:c>
      <x:c r="O1189" s="16" t="n">
        <x:v>5</x:v>
      </x:c>
      <x:c r="P1189" s="16" t="n">
        <x:f>IF(COUNT(I1189:O1189)&lt;7,"",I1189*8+J1189*3+K1189*2+L1189*2+M1189*2+N1189*2+O1189)</x:f>
        <x:v>66</x:v>
      </x:c>
      <x:c r="Q1189" s="16" t="n">
        <x:f>IF(COUNT(J1189:O1189)&lt;6,"",J1189*5+K1189*4+M1189*4+L1189*3+N1189*2+O1189*2)</x:f>
        <x:v>97</x:v>
      </x:c>
      <x:c r="R1189" s="14" t="str">
        <x:v>high</x:v>
      </x:c>
      <x:c r="S1189" s="14" t="str">
        <x:v>official_prozorro_award_2024_2026</x:v>
      </x:c>
      <x:c r="T1189" s="14" t="str">
        <x:v>official_prozorro_api</x:v>
      </x:c>
      <x:c r="U1189" s="14" t="str">
        <x:v>Не контактували</x:v>
      </x:c>
      <x:c r="V1189" s="15" t="str">
        <x:v>Workflow-audit outreach по UA-2025-11-04-016268-a; попросити 1 пакет здачі та вимоги проєкту</x:v>
      </x:c>
      <x:c r="W1189" s="15" t="str">
        <x:v>Власник / директор; керівник ПТО; відповідальний за договори</x:v>
      </x:c>
      <x:c r="X1189" s="15" t="str">
        <x:v>1 нових підтверджених перемог/договорів у Prozorro на 2 415 235 грн; 1 зі строком виконання не раніше 24.08.2026.</x:v>
      </x:c>
      <x:c r="Y1189"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 строк до 2026-10-26. Попросити один знеособлений пакет здачі за цим workflow.</x:v>
      </x:c>
      <x:c r="Z1189" s="15" t="str">
        <x:v>https://prozorro.gov.ua/tender/UA-2025-11-04-016268-a</x:v>
      </x:c>
      <x:c r="AA1189" s="14" t="str">
        <x:v>34588401</x:v>
      </x:c>
      <x:c r="AB1189" s="14" t="str">
        <x:v>2026-08-24</x:v>
      </x:c>
      <x:c r="AC1189" s="14" t="str"/>
      <x:c r="AD1189" s="20" t="str"/>
      <x:c r="AE1189" s="14" t="str"/>
      <x:c r="AF1189" s="14" t="n">
        <x:v>42</x:v>
      </x:c>
      <x:c r="AG1189" s="14" t="str">
        <x:v>I3</x:v>
      </x:c>
      <x:c r="AH1189" s="14" t="n">
        <x:v>1</x:v>
      </x:c>
      <x:c r="AI1189" s="14" t="n">
        <x:v>1</x:v>
      </x:c>
      <x:c r="AJ1189" s="18" t="n">
        <x:v>2415235.45</x:v>
      </x:c>
      <x:c r="AK1189" s="14" t="str">
        <x:v>https://prozorro.gov.ua/tender/UA-2025-11-04-016268-a</x:v>
      </x:c>
      <x:c r="AL1189" s="19" t="n">
        <x:v>45965.714899224535</x:v>
      </x:c>
      <x:c r="AM1189" s="19" t="n">
        <x:v>46321</x:v>
      </x:c>
      <x:c r="AN1189" s="15" t="str">
        <x:v>Пожежогасіння</x:v>
      </x:c>
      <x:c r="AO1189" s="15" t="str">
        <x:v>supplier_provided_url</x:v>
      </x:c>
    </x:row>
    <x:row r="1190">
      <x:c r="A1190" s="14" t="str">
        <x:v>W4-371</x:v>
      </x:c>
      <x:c r="B1190" s="14" t="str">
        <x:v>Prozorro expansion — 24.08</x:v>
      </x:c>
      <x:c r="C1190" s="14" t="str">
        <x:v>ТОВ "ГАЗБУДІНЖИНІРИНГ"</x:v>
      </x:c>
      <x:c r="D1190" s="14" t="str">
        <x:v>Газові мережі</x:v>
      </x:c>
      <x:c r="E1190" s="14" t="str">
        <x:v>Expansion discovery</x:v>
      </x:c>
      <x:c r="F1190" s="17" t="str">
        <x:v>D3</x:v>
      </x:c>
      <x:c r="G1190" s="14" t="str"/>
      <x:c r="H1190" s="14" t="str">
        <x:v>Discovery розширення — 2 тижні</x:v>
      </x:c>
      <x:c r="I1190" s="16" t="n">
        <x:v>1</x:v>
      </x:c>
      <x:c r="J1190" s="16" t="n">
        <x:v>5</x:v>
      </x:c>
      <x:c r="K1190" s="16" t="n">
        <x:v>5</x:v>
      </x:c>
      <x:c r="L1190" s="16" t="n">
        <x:v>4</x:v>
      </x:c>
      <x:c r="M1190" s="16" t="n">
        <x:v>5</x:v>
      </x:c>
      <x:c r="N1190" s="16" t="n">
        <x:v>5</x:v>
      </x:c>
      <x:c r="O1190" s="16" t="n">
        <x:v>3</x:v>
      </x:c>
      <x:c r="P1190" s="16" t="n">
        <x:f>IF(COUNT(I1190:O1190)&lt;7,"",I1190*8+J1190*3+K1190*2+L1190*2+M1190*2+N1190*2+O1190)</x:f>
        <x:v>64</x:v>
      </x:c>
      <x:c r="Q1190" s="16" t="n">
        <x:f>IF(COUNT(J1190:O1190)&lt;6,"",J1190*5+K1190*4+M1190*4+L1190*3+N1190*2+O1190*2)</x:f>
        <x:v>93</x:v>
      </x:c>
      <x:c r="R1190" s="14" t="str">
        <x:v>high</x:v>
      </x:c>
      <x:c r="S1190" s="14" t="str">
        <x:v>official_prozorro_award_2024_2026</x:v>
      </x:c>
      <x:c r="T1190" s="14" t="str">
        <x:v>official_prozorro_api</x:v>
      </x:c>
      <x:c r="U1190" s="14" t="str">
        <x:v>Не контактували</x:v>
      </x:c>
      <x:c r="V1190" s="15" t="str">
        <x:v>Workflow-audit outreach по UA-2025-06-19-010061-a; попросити 1 пакет здачі та вимоги проєкту</x:v>
      </x:c>
      <x:c r="W1190" s="15" t="str">
        <x:v>Власник / директор; керівник ПТО; відповідальний за договори</x:v>
      </x:c>
      <x:c r="X1190" s="15" t="str">
        <x:v>1 нових підтверджених перемог/договорів у Prozorro на 2 274 000 грн; 0 зі строком виконання не раніше 24.08.2026.</x:v>
      </x:c>
      <x:c r="Y1190"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 строк до 2026-03-26. Попросити один знеособлений пакет здачі за цим workflow.</x:v>
      </x:c>
      <x:c r="Z1190" s="15" t="str">
        <x:v>https://prozorro.gov.ua/tender/UA-2025-06-19-010061-a</x:v>
      </x:c>
      <x:c r="AA1190" s="14" t="str">
        <x:v>43062217</x:v>
      </x:c>
      <x:c r="AB1190" s="14" t="str">
        <x:v>2026-08-24</x:v>
      </x:c>
      <x:c r="AC1190" s="14" t="str"/>
      <x:c r="AD1190" s="20" t="str"/>
      <x:c r="AE1190" s="14" t="str"/>
      <x:c r="AF1190" s="14" t="n">
        <x:v>42</x:v>
      </x:c>
      <x:c r="AG1190" s="14" t="str">
        <x:v>I3</x:v>
      </x:c>
      <x:c r="AH1190" s="14" t="n">
        <x:v>1</x:v>
      </x:c>
      <x:c r="AI1190" s="14" t="n">
        <x:v>0</x:v>
      </x:c>
      <x:c r="AJ1190" s="18" t="n">
        <x:v>2274000</x:v>
      </x:c>
      <x:c r="AK1190" s="14" t="str">
        <x:v>https://prozorro.gov.ua/tender/UA-2025-06-19-010061-a</x:v>
      </x:c>
      <x:c r="AL1190" s="19" t="n">
        <x:v>45860.49829652778</x:v>
      </x:c>
      <x:c r="AM1190" s="19" t="n">
        <x:v>46107</x:v>
      </x:c>
      <x:c r="AN1190" s="15" t="str">
        <x:v>Газові мережі</x:v>
      </x:c>
      <x:c r="AO1190" s="15" t="str">
        <x:v>not_found_in_top_search</x:v>
      </x:c>
    </x:row>
    <x:row r="1191">
      <x:c r="A1191" s="14" t="str">
        <x:v>W4-372</x:v>
      </x:c>
      <x:c r="B1191" s="14" t="str">
        <x:v>Prozorro expansion — 24.08</x:v>
      </x:c>
      <x:c r="C1191" s="14" t="str">
        <x:v>ТОВ "АКТИВ АЛЬЯНС-ГАЗОРОЗПОДІЛ"</x:v>
      </x:c>
      <x:c r="D1191" s="14" t="str">
        <x:v>Газові мережі</x:v>
      </x:c>
      <x:c r="E1191" s="14" t="str">
        <x:v>Expansion discovery</x:v>
      </x:c>
      <x:c r="F1191" s="17" t="str">
        <x:v>D3</x:v>
      </x:c>
      <x:c r="G1191" s="14" t="str"/>
      <x:c r="H1191" s="14" t="str">
        <x:v>Discovery розширення — 2 тижні</x:v>
      </x:c>
      <x:c r="I1191" s="16" t="n">
        <x:v>1</x:v>
      </x:c>
      <x:c r="J1191" s="16" t="n">
        <x:v>5</x:v>
      </x:c>
      <x:c r="K1191" s="16" t="n">
        <x:v>5</x:v>
      </x:c>
      <x:c r="L1191" s="16" t="n">
        <x:v>2</x:v>
      </x:c>
      <x:c r="M1191" s="16" t="n">
        <x:v>5</x:v>
      </x:c>
      <x:c r="N1191" s="16" t="n">
        <x:v>5</x:v>
      </x:c>
      <x:c r="O1191" s="16" t="n">
        <x:v>3</x:v>
      </x:c>
      <x:c r="P1191" s="16" t="n">
        <x:f>IF(COUNT(I1191:O1191)&lt;7,"",I1191*8+J1191*3+K1191*2+L1191*2+M1191*2+N1191*2+O1191)</x:f>
        <x:v>60</x:v>
      </x:c>
      <x:c r="Q1191" s="16" t="n">
        <x:f>IF(COUNT(J1191:O1191)&lt;6,"",J1191*5+K1191*4+M1191*4+L1191*3+N1191*2+O1191*2)</x:f>
        <x:v>87</x:v>
      </x:c>
      <x:c r="R1191" s="14" t="str">
        <x:v>high</x:v>
      </x:c>
      <x:c r="S1191" s="14" t="str">
        <x:v>official_prozorro_award_2024_2026</x:v>
      </x:c>
      <x:c r="T1191" s="14" t="str">
        <x:v>official_prozorro_api</x:v>
      </x:c>
      <x:c r="U1191" s="14" t="str">
        <x:v>Не контактували</x:v>
      </x:c>
      <x:c r="V1191" s="15" t="str">
        <x:v>Workflow-audit outreach по UA-2026-01-13-011009-a; попросити 1 пакет здачі та вимоги проєкту</x:v>
      </x:c>
      <x:c r="W1191" s="15" t="str">
        <x:v>Власник / директор; керівник ПТО; відповідальний за договори</x:v>
      </x:c>
      <x:c r="X1191" s="15" t="str">
        <x:v>1 нових підтверджених перемог/договорів у Prozorro на 389 999 грн; 1 зі строком виконання не раніше 24.08.2026.</x:v>
      </x:c>
      <x:c r="Y1191"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 строк до 2027-02-17. Попросити один знеособлений пакет здачі за цим workflow.</x:v>
      </x:c>
      <x:c r="Z1191" s="15" t="str">
        <x:v>https://prozorro.gov.ua/tender/UA-2026-01-13-011009-a</x:v>
      </x:c>
      <x:c r="AA1191" s="14" t="str">
        <x:v>41503033</x:v>
      </x:c>
      <x:c r="AB1191" s="14" t="str">
        <x:v>2026-08-24</x:v>
      </x:c>
      <x:c r="AC1191" s="14" t="str"/>
      <x:c r="AD1191" s="20" t="str"/>
      <x:c r="AE1191" s="14" t="str"/>
      <x:c r="AF1191" s="14" t="n">
        <x:v>42</x:v>
      </x:c>
      <x:c r="AG1191" s="14" t="str">
        <x:v>I3</x:v>
      </x:c>
      <x:c r="AH1191" s="14" t="n">
        <x:v>1</x:v>
      </x:c>
      <x:c r="AI1191" s="14" t="n">
        <x:v>1</x:v>
      </x:c>
      <x:c r="AJ1191" s="18" t="n">
        <x:v>389999</x:v>
      </x:c>
      <x:c r="AK1191" s="14" t="str">
        <x:v>https://prozorro.gov.ua/tender/UA-2026-01-13-011009-a</x:v>
      </x:c>
      <x:c r="AL1191" s="19" t="n">
        <x:v>46072.30951655093</x:v>
      </x:c>
      <x:c r="AM1191" s="19" t="n">
        <x:v>46435</x:v>
      </x:c>
      <x:c r="AN1191" s="15" t="str">
        <x:v>Газові мережі</x:v>
      </x:c>
      <x:c r="AO1191" s="15" t="str">
        <x:v>not_found_in_top_search</x:v>
      </x:c>
    </x:row>
    <x:row r="1192">
      <x:c r="A1192" s="14" t="str">
        <x:v>W4-373</x:v>
      </x:c>
      <x:c r="B1192" s="14" t="str">
        <x:v>Prozorro expansion — 24.08</x:v>
      </x:c>
      <x:c r="C1192" s="14" t="str">
        <x:v>ТОВ "ЗАХІД ПРОМ ПОСТАЧ"</x:v>
      </x:c>
      <x:c r="D1192" s="14" t="str">
        <x:v>Фасади та скління</x:v>
      </x:c>
      <x:c r="E1192" s="14" t="str">
        <x:v>Expansion discovery</x:v>
      </x:c>
      <x:c r="F1192" s="17" t="str">
        <x:v>D3</x:v>
      </x:c>
      <x:c r="G1192" s="14" t="str"/>
      <x:c r="H1192" s="14" t="str">
        <x:v>Discovery розширення — 2 тижні</x:v>
      </x:c>
      <x:c r="I1192" s="16" t="n">
        <x:v>1</x:v>
      </x:c>
      <x:c r="J1192" s="16" t="n">
        <x:v>5</x:v>
      </x:c>
      <x:c r="K1192" s="16" t="n">
        <x:v>5</x:v>
      </x:c>
      <x:c r="L1192" s="16" t="n">
        <x:v>2</x:v>
      </x:c>
      <x:c r="M1192" s="16" t="n">
        <x:v>5</x:v>
      </x:c>
      <x:c r="N1192" s="16" t="n">
        <x:v>5</x:v>
      </x:c>
      <x:c r="O1192" s="16" t="n">
        <x:v>3</x:v>
      </x:c>
      <x:c r="P1192" s="16" t="n">
        <x:f>IF(COUNT(I1192:O1192)&lt;7,"",I1192*8+J1192*3+K1192*2+L1192*2+M1192*2+N1192*2+O1192)</x:f>
        <x:v>60</x:v>
      </x:c>
      <x:c r="Q1192" s="16" t="n">
        <x:f>IF(COUNT(J1192:O1192)&lt;6,"",J1192*5+K1192*4+M1192*4+L1192*3+N1192*2+O1192*2)</x:f>
        <x:v>87</x:v>
      </x:c>
      <x:c r="R1192" s="14" t="str">
        <x:v>high</x:v>
      </x:c>
      <x:c r="S1192" s="14" t="str">
        <x:v>official_prozorro_award_2024_2026</x:v>
      </x:c>
      <x:c r="T1192" s="14" t="str">
        <x:v>official_prozorro_api</x:v>
      </x:c>
      <x:c r="U1192" s="14" t="str">
        <x:v>Не контактували</x:v>
      </x:c>
      <x:c r="V1192" s="15" t="str">
        <x:v>Workflow-audit outreach по UA-2026-04-06-009207-a; попросити 1 пакет здачі та вимоги проєкту</x:v>
      </x:c>
      <x:c r="W1192" s="15" t="str">
        <x:v>Власник / директор; керівник ПТО; відповідальний за договори</x:v>
      </x:c>
      <x:c r="X1192" s="15" t="str">
        <x:v>1 нових підтверджених перемог/договорів у Prozorro на 389 004 грн; 0 зі строком виконання не раніше 24.08.2026.</x:v>
      </x:c>
      <x:c r="Y1192" s="15" t="str">
        <x:v>Матеріали для утеплення та оздоблення фасаду з супутніми комплектуючими; строк до 2026-05-15. Попросити один знеособлений пакет здачі за цим workflow.</x:v>
      </x:c>
      <x:c r="Z1192" s="15" t="str">
        <x:v>https://prozorro.gov.ua/tender/UA-2026-04-06-009207-a</x:v>
      </x:c>
      <x:c r="AA1192" s="14" t="str">
        <x:v>42069908</x:v>
      </x:c>
      <x:c r="AB1192" s="14" t="str">
        <x:v>2026-08-24</x:v>
      </x:c>
      <x:c r="AC1192" s="14" t="str"/>
      <x:c r="AD1192" s="20" t="str"/>
      <x:c r="AE1192" s="14" t="str"/>
      <x:c r="AF1192" s="14" t="n">
        <x:v>42</x:v>
      </x:c>
      <x:c r="AG1192" s="14" t="str">
        <x:v>I3</x:v>
      </x:c>
      <x:c r="AH1192" s="14" t="n">
        <x:v>1</x:v>
      </x:c>
      <x:c r="AI1192" s="14" t="n">
        <x:v>0</x:v>
      </x:c>
      <x:c r="AJ1192" s="18" t="n">
        <x:v>389004.22</x:v>
      </x:c>
      <x:c r="AK1192" s="14" t="str">
        <x:v>https://prozorro.gov.ua/tender/UA-2026-04-06-009207-a</x:v>
      </x:c>
      <x:c r="AL1192" s="19" t="n">
        <x:v>46127.37707945602</x:v>
      </x:c>
      <x:c r="AM1192" s="19" t="n">
        <x:v>46157</x:v>
      </x:c>
      <x:c r="AN1192" s="15" t="str">
        <x:v>Фасади та скління</x:v>
      </x:c>
      <x:c r="AO1192" s="15" t="str">
        <x:v>not_found_in_top_search</x:v>
      </x:c>
    </x:row>
    <x:row r="1193">
      <x:c r="A1193" s="14" t="str">
        <x:v>W4-374</x:v>
      </x:c>
      <x:c r="B1193" s="14" t="str">
        <x:v>Prozorro expansion — 24.08</x:v>
      </x:c>
      <x:c r="C1193" s="14" t="str">
        <x:v>Товариство з обмеженою відповідальністю «Будівельник - 21»</x:v>
      </x:c>
      <x:c r="D1193" s="14" t="str">
        <x:v>Промислові підлоги та бетон</x:v>
      </x:c>
      <x:c r="E1193" s="14" t="str">
        <x:v>Expansion discovery</x:v>
      </x:c>
      <x:c r="F1193" s="17" t="str">
        <x:v>D3</x:v>
      </x:c>
      <x:c r="G1193" s="14" t="str"/>
      <x:c r="H1193" s="14" t="str">
        <x:v>Discovery розширення — 2 тижні</x:v>
      </x:c>
      <x:c r="I1193" s="16" t="n">
        <x:v>1</x:v>
      </x:c>
      <x:c r="J1193" s="16" t="n">
        <x:v>5</x:v>
      </x:c>
      <x:c r="K1193" s="16" t="n">
        <x:v>5</x:v>
      </x:c>
      <x:c r="L1193" s="16" t="n">
        <x:v>2</x:v>
      </x:c>
      <x:c r="M1193" s="16" t="n">
        <x:v>5</x:v>
      </x:c>
      <x:c r="N1193" s="16" t="n">
        <x:v>5</x:v>
      </x:c>
      <x:c r="O1193" s="16" t="n">
        <x:v>3</x:v>
      </x:c>
      <x:c r="P1193" s="16" t="n">
        <x:f>IF(COUNT(I1193:O1193)&lt;7,"",I1193*8+J1193*3+K1193*2+L1193*2+M1193*2+N1193*2+O1193)</x:f>
        <x:v>60</x:v>
      </x:c>
      <x:c r="Q1193" s="16" t="n">
        <x:f>IF(COUNT(J1193:O1193)&lt;6,"",J1193*5+K1193*4+M1193*4+L1193*3+N1193*2+O1193*2)</x:f>
        <x:v>87</x:v>
      </x:c>
      <x:c r="R1193" s="14" t="str">
        <x:v>high</x:v>
      </x:c>
      <x:c r="S1193" s="14" t="str">
        <x:v>official_prozorro_award_2024_2026</x:v>
      </x:c>
      <x:c r="T1193" s="14" t="str">
        <x:v>official_prozorro_api</x:v>
      </x:c>
      <x:c r="U1193" s="14" t="str">
        <x:v>Не контактували</x:v>
      </x:c>
      <x:c r="V1193" s="15" t="str">
        <x:v>Workflow-audit outreach по UA-2026-04-20-003738-a; попросити 1 пакет здачі та вимоги проєкту</x:v>
      </x:c>
      <x:c r="W1193" s="15" t="str">
        <x:v>Власник / директор; керівник ПТО; відповідальний за договори</x:v>
      </x:c>
      <x:c r="X1193" s="15" t="str">
        <x:v>1 нових підтверджених перемог/договорів у Prozorro на 354 552 грн; 0 зі строком виконання не раніше 24.08.2026.</x:v>
      </x:c>
      <x:c r="Y1193"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 строк до 2026-05-15. Попросити один знеособлений пакет здачі за цим workflow.</x:v>
      </x:c>
      <x:c r="Z1193" s="15" t="str">
        <x:v>https://prozorro.gov.ua/tender/UA-2026-04-20-003738-a</x:v>
      </x:c>
      <x:c r="AA1193" s="14" t="str">
        <x:v>34392519</x:v>
      </x:c>
      <x:c r="AB1193" s="14" t="str">
        <x:v>2026-08-24</x:v>
      </x:c>
      <x:c r="AC1193" s="14" t="str"/>
      <x:c r="AD1193" s="20" t="str"/>
      <x:c r="AE1193" s="14" t="str"/>
      <x:c r="AF1193" s="14" t="n">
        <x:v>42</x:v>
      </x:c>
      <x:c r="AG1193" s="14" t="str">
        <x:v>I3</x:v>
      </x:c>
      <x:c r="AH1193" s="14" t="n">
        <x:v>1</x:v>
      </x:c>
      <x:c r="AI1193" s="14" t="n">
        <x:v>0</x:v>
      </x:c>
      <x:c r="AJ1193" s="18" t="n">
        <x:v>354552.04</x:v>
      </x:c>
      <x:c r="AK1193" s="14" t="str">
        <x:v>https://prozorro.gov.ua/tender/UA-2026-04-20-003738-a</x:v>
      </x:c>
      <x:c r="AL1193" s="19" t="n">
        <x:v>46132.352557638886</x:v>
      </x:c>
      <x:c r="AM1193" s="19" t="n">
        <x:v>46157</x:v>
      </x:c>
      <x:c r="AN1193" s="15" t="str">
        <x:v>Промислові підлоги та бетон</x:v>
      </x:c>
      <x:c r="AO1193" s="15" t="str">
        <x:v>not_found_in_top_search</x:v>
      </x:c>
    </x:row>
    <x:row r="1194">
      <x:c r="A1194" s="14" t="str">
        <x:v>W4-375</x:v>
      </x:c>
      <x:c r="B1194" s="14" t="str">
        <x:v>Prozorro expansion — 24.08</x:v>
      </x:c>
      <x:c r="C1194" s="14" t="str">
        <x:v>ПРИВАТНЕ ПІДПРИЄМСТВО "АГРОСЕРВІС - ПЛЮС - Ц"</x:v>
      </x:c>
      <x:c r="D1194" s="14" t="str">
        <x:v>Внутрішні сантехнічні системи</x:v>
      </x:c>
      <x:c r="E1194" s="14" t="str">
        <x:v>Pilot now</x:v>
      </x:c>
      <x:c r="F1194" s="17" t="str">
        <x:v>P3</x:v>
      </x:c>
      <x:c r="G1194" s="14" t="str"/>
      <x:c r="H1194" s="14" t="str">
        <x:v>Пілот зараз — Н.14</x:v>
      </x:c>
      <x:c r="I1194" s="16" t="n">
        <x:v>5</x:v>
      </x:c>
      <x:c r="J1194" s="16" t="n">
        <x:v>5</x:v>
      </x:c>
      <x:c r="K1194" s="16" t="n">
        <x:v>4</x:v>
      </x:c>
      <x:c r="L1194" s="16" t="n">
        <x:v>2</x:v>
      </x:c>
      <x:c r="M1194" s="16" t="n">
        <x:v>5</x:v>
      </x:c>
      <x:c r="N1194" s="16" t="n">
        <x:v>5</x:v>
      </x:c>
      <x:c r="O1194" s="16" t="n">
        <x:v>3</x:v>
      </x:c>
      <x:c r="P1194" s="16" t="n">
        <x:f>IF(COUNT(I1194:O1194)&lt;7,"",I1194*8+J1194*3+K1194*2+L1194*2+M1194*2+N1194*2+O1194)</x:f>
        <x:v>90</x:v>
      </x:c>
      <x:c r="Q1194" s="16" t="n">
        <x:f>IF(COUNT(J1194:O1194)&lt;6,"",J1194*5+K1194*4+M1194*4+L1194*3+N1194*2+O1194*2)</x:f>
        <x:v>83</x:v>
      </x:c>
      <x:c r="R1194" s="14" t="str">
        <x:v>high</x:v>
      </x:c>
      <x:c r="S1194" s="14" t="str">
        <x:v>official_prozorro_award_2024_2026</x:v>
      </x:c>
      <x:c r="T1194" s="14" t="str">
        <x:v>official_prozorro_api</x:v>
      </x:c>
      <x:c r="U1194" s="14" t="str">
        <x:v>Не контактували</x:v>
      </x:c>
      <x:c r="V1194" s="15" t="str">
        <x:v>Персоналізований free-pilot outreach по UA-2026-03-30-010134-a; попросити 1 пакет Н.14/Н.15</x:v>
      </x:c>
      <x:c r="W1194" s="15" t="str">
        <x:v>Власник / директор; керівник ПТО; відповідальний за договори</x:v>
      </x:c>
      <x:c r="X1194" s="15" t="str">
        <x:v>1 нових підтверджених перемог/договорів у Prozorro на 184 614 грн; 0 зі строком виконання не раніше 24.08.2026.</x:v>
      </x:c>
      <x:c r="Y1194"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 строк до 2026-04-30. Попросити один знеособлений пакет здачі за цим workflow.</x:v>
      </x:c>
      <x:c r="Z1194" s="15" t="str">
        <x:v>https://prozorro.gov.ua/tender/UA-2026-03-30-010134-a</x:v>
      </x:c>
      <x:c r="AA1194" s="14" t="str">
        <x:v>35317935</x:v>
      </x:c>
      <x:c r="AB1194" s="14" t="str">
        <x:v>2026-08-24</x:v>
      </x:c>
      <x:c r="AC1194" s="14" t="str"/>
      <x:c r="AD1194" s="20" t="str"/>
      <x:c r="AE1194" s="14" t="str"/>
      <x:c r="AF1194" s="14" t="n">
        <x:v>42</x:v>
      </x:c>
      <x:c r="AG1194" s="14" t="str">
        <x:v>I3</x:v>
      </x:c>
      <x:c r="AH1194" s="14" t="n">
        <x:v>1</x:v>
      </x:c>
      <x:c r="AI1194" s="14" t="n">
        <x:v>0</x:v>
      </x:c>
      <x:c r="AJ1194" s="18" t="n">
        <x:v>184614</x:v>
      </x:c>
      <x:c r="AK1194" s="14" t="str">
        <x:v>https://prozorro.gov.ua/tender/UA-2026-03-30-010134-a</x:v>
      </x:c>
      <x:c r="AL1194" s="19" t="n">
        <x:v>46111.573581041666</x:v>
      </x:c>
      <x:c r="AM1194" s="19" t="n">
        <x:v>46142</x:v>
      </x:c>
      <x:c r="AN1194" s="15" t="str">
        <x:v>Внутрішні сантехнічні системи</x:v>
      </x:c>
      <x:c r="AO1194" s="15" t="str">
        <x:v>not_found_in_top_search</x:v>
      </x:c>
    </x:row>
    <x:row r="1195">
      <x:c r="A1195" s="14" t="str">
        <x:v>W4-376</x:v>
      </x:c>
      <x:c r="B1195" s="14" t="str">
        <x:v>Prozorro expansion — 24.08</x:v>
      </x:c>
      <x:c r="C1195" s="14" t="str">
        <x:v>Пащенко Галина Петрівна</x:v>
      </x:c>
      <x:c r="D1195" s="14" t="str">
        <x:v>Пожежогасіння</x:v>
      </x:c>
      <x:c r="E1195" s="14" t="str">
        <x:v>Expansion discovery</x:v>
      </x:c>
      <x:c r="F1195" s="17" t="str">
        <x:v>D3</x:v>
      </x:c>
      <x:c r="G1195" s="14" t="str"/>
      <x:c r="H1195" s="14" t="str">
        <x:v>Discovery розширення — 2 тижні</x:v>
      </x:c>
      <x:c r="I1195" s="16" t="n">
        <x:v>1</x:v>
      </x:c>
      <x:c r="J1195" s="16" t="n">
        <x:v>5</x:v>
      </x:c>
      <x:c r="K1195" s="16" t="n">
        <x:v>5</x:v>
      </x:c>
      <x:c r="L1195" s="16" t="n">
        <x:v>2</x:v>
      </x:c>
      <x:c r="M1195" s="16" t="n">
        <x:v>5</x:v>
      </x:c>
      <x:c r="N1195" s="16" t="n">
        <x:v>3</x:v>
      </x:c>
      <x:c r="O1195" s="16" t="n">
        <x:v>3</x:v>
      </x:c>
      <x:c r="P1195" s="16" t="n">
        <x:f>IF(COUNT(I1195:O1195)&lt;7,"",I1195*8+J1195*3+K1195*2+L1195*2+M1195*2+N1195*2+O1195)</x:f>
        <x:v>56</x:v>
      </x:c>
      <x:c r="Q1195" s="16" t="n">
        <x:f>IF(COUNT(J1195:O1195)&lt;6,"",J1195*5+K1195*4+M1195*4+L1195*3+N1195*2+O1195*2)</x:f>
        <x:v>83</x:v>
      </x:c>
      <x:c r="R1195" s="14" t="str">
        <x:v>high</x:v>
      </x:c>
      <x:c r="S1195" s="14" t="str">
        <x:v>official_prozorro_award_2024_2026</x:v>
      </x:c>
      <x:c r="T1195" s="14" t="str">
        <x:v>official_prozorro_api</x:v>
      </x:c>
      <x:c r="U1195" s="14" t="str">
        <x:v>Не контактували</x:v>
      </x:c>
      <x:c r="V1195" s="15" t="str">
        <x:v>Workflow-audit outreach по UA-2026-04-22-008062-a; попросити 1 пакет здачі та вимоги проєкту</x:v>
      </x:c>
      <x:c r="W1195" s="15" t="str">
        <x:v>Власник / виконавець; відповідальний за договір</x:v>
      </x:c>
      <x:c r="X1195" s="15" t="str">
        <x:v>1 нових підтверджених перемог/договорів у Prozorro на 181 772 грн; 1 зі строком виконання не раніше 24.08.2026.</x:v>
      </x:c>
      <x:c r="Y1195" s="15" t="str">
        <x:v>Монтаж, встановлення та введення в експлуатацію системи пожежної сигналізації та оповіщення про пожежу; строк до 2026-12-31. Попросити один знеособлений пакет здачі за цим workflow.</x:v>
      </x:c>
      <x:c r="Z1195" s="15" t="str">
        <x:v>https://prozorro.gov.ua/tender/UA-2026-04-22-008062-a</x:v>
      </x:c>
      <x:c r="AA1195" s="14" t="str">
        <x:v>3085511505</x:v>
      </x:c>
      <x:c r="AB1195" s="14" t="str">
        <x:v>2026-08-24</x:v>
      </x:c>
      <x:c r="AC1195" s="14" t="str"/>
      <x:c r="AD1195" s="20" t="str"/>
      <x:c r="AE1195" s="14" t="str"/>
      <x:c r="AF1195" s="14" t="n">
        <x:v>42</x:v>
      </x:c>
      <x:c r="AG1195" s="14" t="str">
        <x:v>I3</x:v>
      </x:c>
      <x:c r="AH1195" s="14" t="n">
        <x:v>1</x:v>
      </x:c>
      <x:c r="AI1195" s="14" t="n">
        <x:v>1</x:v>
      </x:c>
      <x:c r="AJ1195" s="18" t="n">
        <x:v>181772.37</x:v>
      </x:c>
      <x:c r="AK1195" s="14" t="str">
        <x:v>https://prozorro.gov.ua/tender/UA-2026-04-22-008062-a</x:v>
      </x:c>
      <x:c r="AL1195" s="19" t="n">
        <x:v>46134.42947657407</x:v>
      </x:c>
      <x:c r="AM1195" s="19" t="n">
        <x:v>46387</x:v>
      </x:c>
      <x:c r="AN1195" s="15" t="str">
        <x:v>Пожежогасіння</x:v>
      </x:c>
      <x:c r="AO1195" s="15" t="str">
        <x:v>not_found_in_top_search</x:v>
      </x:c>
    </x:row>
    <x:row r="1196">
      <x:c r="A1196" s="14" t="str">
        <x:v>W4-377</x:v>
      </x:c>
      <x:c r="B1196" s="14" t="str">
        <x:v>Prozorro expansion — 24.08</x:v>
      </x:c>
      <x:c r="C1196" s="14" t="str">
        <x:v>Товариство з обмеженою відповідальністю "ПЕРША ЕСКАЛАТОРНА КОМПАНІЯ КИЇВЕНЕРГОПРОЕКТ"</x:v>
      </x:c>
      <x:c r="D1196" s="14" t="str">
        <x:v>Ліфти та підйомники</x:v>
      </x:c>
      <x:c r="E1196" s="14" t="str">
        <x:v>Expansion discovery</x:v>
      </x:c>
      <x:c r="F1196" s="17" t="str">
        <x:v>D3</x:v>
      </x:c>
      <x:c r="G1196" s="14" t="str"/>
      <x:c r="H1196" s="14" t="str">
        <x:v>Discovery розширення — 2 тижні</x:v>
      </x:c>
      <x:c r="I1196" s="16" t="n">
        <x:v>1</x:v>
      </x:c>
      <x:c r="J1196" s="16" t="n">
        <x:v>5</x:v>
      </x:c>
      <x:c r="K1196" s="16" t="n">
        <x:v>4</x:v>
      </x:c>
      <x:c r="L1196" s="16" t="n">
        <x:v>1</x:v>
      </x:c>
      <x:c r="M1196" s="16" t="n">
        <x:v>5</x:v>
      </x:c>
      <x:c r="N1196" s="16" t="n">
        <x:v>5</x:v>
      </x:c>
      <x:c r="O1196" s="16" t="n">
        <x:v>3</x:v>
      </x:c>
      <x:c r="P1196" s="16" t="n">
        <x:f>IF(COUNT(I1196:O1196)&lt;7,"",I1196*8+J1196*3+K1196*2+L1196*2+M1196*2+N1196*2+O1196)</x:f>
        <x:v>56</x:v>
      </x:c>
      <x:c r="Q1196" s="16" t="n">
        <x:f>IF(COUNT(J1196:O1196)&lt;6,"",J1196*5+K1196*4+M1196*4+L1196*3+N1196*2+O1196*2)</x:f>
        <x:v>80</x:v>
      </x:c>
      <x:c r="R1196" s="14" t="str">
        <x:v>high</x:v>
      </x:c>
      <x:c r="S1196" s="14" t="str">
        <x:v>official_prozorro_award_2024_2026</x:v>
      </x:c>
      <x:c r="T1196" s="14" t="str">
        <x:v>official_prozorro_api</x:v>
      </x:c>
      <x:c r="U1196" s="14" t="str">
        <x:v>Не контактували</x:v>
      </x:c>
      <x:c r="V1196" s="15" t="str">
        <x:v>Workflow-audit outreach по UA-2025-09-01-004368-a; попросити 1 пакет здачі та вимоги проєкту</x:v>
      </x:c>
      <x:c r="W1196" s="15" t="str">
        <x:v>Власник / директор; керівник ПТО; відповідальний за договори</x:v>
      </x:c>
      <x:c r="X1196" s="15" t="str">
        <x:v>2 нових підтверджених перемог/договорів у Prozorro на 16 685 грн; 0 зі строком виконання не раніше 24.08.2026.</x:v>
      </x:c>
      <x:c r="Y1196" s="15" t="str">
        <x:v>Демонтаж-монтаж вкладнів башмаків кабіни ліфта ОТІС; строк до 2025-08-31. Попросити один знеособлений пакет здачі за цим workflow.</x:v>
      </x:c>
      <x:c r="Z1196" s="15" t="str">
        <x:v>https://prozorro.gov.ua/tender/UA-2025-09-01-004368-a</x:v>
      </x:c>
      <x:c r="AA1196" s="14" t="str">
        <x:v>43966946</x:v>
      </x:c>
      <x:c r="AB1196" s="14" t="str">
        <x:v>2026-08-24</x:v>
      </x:c>
      <x:c r="AC1196" s="14" t="str"/>
      <x:c r="AD1196" s="20" t="str"/>
      <x:c r="AE1196" s="14" t="str"/>
      <x:c r="AF1196" s="14" t="n">
        <x:v>40</x:v>
      </x:c>
      <x:c r="AG1196" s="14" t="str">
        <x:v>I3</x:v>
      </x:c>
      <x:c r="AH1196" s="14" t="n">
        <x:v>2</x:v>
      </x:c>
      <x:c r="AI1196" s="14" t="n">
        <x:v>0</x:v>
      </x:c>
      <x:c r="AJ1196" s="18" t="n">
        <x:v>16685.28</x:v>
      </x:c>
      <x:c r="AK1196" s="14" t="str">
        <x:v>https://prozorro.gov.ua/tender/UA-2025-09-01-004368-a</x:v>
      </x:c>
      <x:c r="AL1196" s="19" t="n">
        <x:v>45901.43904006945</x:v>
      </x:c>
      <x:c r="AM1196" s="19" t="n">
        <x:v>45900</x:v>
      </x:c>
      <x:c r="AN1196" s="15" t="str">
        <x:v>Ліфти та підйомники</x:v>
      </x:c>
      <x:c r="AO1196" s="15" t="str">
        <x:v>not_found_in_top_search</x:v>
      </x:c>
    </x:row>
    <x:row r="1197">
      <x:c r="A1197" s="14" t="str">
        <x:v>W4-378</x:v>
      </x:c>
      <x:c r="B1197" s="14" t="str">
        <x:v>Prozorro expansion — 24.08</x:v>
      </x:c>
      <x:c r="C1197" s="14" t="str">
        <x:v>ТОВАРИСТВО З ОБМЕЖЕНОЮ ВІДПОВІДАЛЬНІСТЮ "ТОРГОВО-ПРОМИСЛОВА КОМПАНІЯ "АРСЕНАЛБУД-ЕТАЛОН"</x:v>
      </x:c>
      <x:c r="D1197" s="14" t="str">
        <x:v>HVAC / ОВіК</x:v>
      </x:c>
      <x:c r="E1197" s="14" t="str">
        <x:v>Pilot now</x:v>
      </x:c>
      <x:c r="F1197" s="17" t="str">
        <x:v>P3</x:v>
      </x:c>
      <x:c r="G1197" s="14" t="str"/>
      <x:c r="H1197" s="14" t="str">
        <x:v>Пілот зараз — Н.14</x:v>
      </x:c>
      <x:c r="I1197" s="16" t="n">
        <x:v>5</x:v>
      </x:c>
      <x:c r="J1197" s="16" t="n">
        <x:v>5</x:v>
      </x:c>
      <x:c r="K1197" s="16" t="n">
        <x:v>4</x:v>
      </x:c>
      <x:c r="L1197" s="16" t="n">
        <x:v>1</x:v>
      </x:c>
      <x:c r="M1197" s="16" t="n">
        <x:v>5</x:v>
      </x:c>
      <x:c r="N1197" s="16" t="n">
        <x:v>5</x:v>
      </x:c>
      <x:c r="O1197" s="16" t="n">
        <x:v>3</x:v>
      </x:c>
      <x:c r="P1197" s="16" t="n">
        <x:f>IF(COUNT(I1197:O1197)&lt;7,"",I1197*8+J1197*3+K1197*2+L1197*2+M1197*2+N1197*2+O1197)</x:f>
        <x:v>88</x:v>
      </x:c>
      <x:c r="Q1197" s="16" t="n">
        <x:f>IF(COUNT(J1197:O1197)&lt;6,"",J1197*5+K1197*4+M1197*4+L1197*3+N1197*2+O1197*2)</x:f>
        <x:v>80</x:v>
      </x:c>
      <x:c r="R1197" s="14" t="str">
        <x:v>high</x:v>
      </x:c>
      <x:c r="S1197" s="14" t="str">
        <x:v>official_prozorro_award_2024_2026</x:v>
      </x:c>
      <x:c r="T1197" s="14" t="str">
        <x:v>official_prozorro_api</x:v>
      </x:c>
      <x:c r="U1197" s="14" t="str">
        <x:v>Не контактували</x:v>
      </x:c>
      <x:c r="V1197" s="15" t="str">
        <x:v>Персоналізований free-pilot outreach по UA-2025-08-21-002483-a; попросити 1 пакет Н.14/Н.15</x:v>
      </x:c>
      <x:c r="W1197" s="15" t="str">
        <x:v>Власник / директор; керівник ПТО; відповідальний за договори</x:v>
      </x:c>
      <x:c r="X1197" s="15" t="str">
        <x:v>2 нових підтверджених перемог/договорів у Prozorro на 12 000 грн; 0 зі строком виконання не раніше 24.08.2026.</x:v>
      </x:c>
      <x:c r="Y1197" s="15" t="str">
        <x:v>Послуги з установки(монтажу) припливно-витяжної системи вентиляції з рекупірацією тепла PRANA-200C (РЕКУПЕРАТОРА); строк до 2025-08-22. Попросити один знеособлений пакет здачі за цим workflow.</x:v>
      </x:c>
      <x:c r="Z1197" s="15" t="str">
        <x:v>https://prozorro.gov.ua/tender/UA-2025-08-21-002483-a</x:v>
      </x:c>
      <x:c r="AA1197" s="14" t="str">
        <x:v>33653647</x:v>
      </x:c>
      <x:c r="AB1197" s="14" t="str">
        <x:v>2026-08-24</x:v>
      </x:c>
      <x:c r="AC1197" s="14" t="str"/>
      <x:c r="AD1197" s="20" t="str"/>
      <x:c r="AE1197" s="14" t="str"/>
      <x:c r="AF1197" s="14" t="n">
        <x:v>40</x:v>
      </x:c>
      <x:c r="AG1197" s="14" t="str">
        <x:v>I3</x:v>
      </x:c>
      <x:c r="AH1197" s="14" t="n">
        <x:v>2</x:v>
      </x:c>
      <x:c r="AI1197" s="14" t="n">
        <x:v>0</x:v>
      </x:c>
      <x:c r="AJ1197" s="18" t="n">
        <x:v>12000</x:v>
      </x:c>
      <x:c r="AK1197" s="14" t="str">
        <x:v>https://prozorro.gov.ua/tender/UA-2025-08-21-002483-a</x:v>
      </x:c>
      <x:c r="AL1197" s="19" t="n">
        <x:v>45890.320645231484</x:v>
      </x:c>
      <x:c r="AM1197" s="19" t="n">
        <x:v>45891</x:v>
      </x:c>
      <x:c r="AN1197" s="15" t="str">
        <x:v>HVAC / ОВіК</x:v>
      </x:c>
      <x:c r="AO1197" s="15" t="str">
        <x:v>not_found_in_top_search</x:v>
      </x:c>
    </x:row>
    <x:row r="1198">
      <x:c r="A1198" s="14" t="str">
        <x:v>W4-379</x:v>
      </x:c>
      <x:c r="B1198" s="14" t="str">
        <x:v>Prozorro expansion — 24.08</x:v>
      </x:c>
      <x:c r="C1198" s="14" t="str">
        <x:v>ТОВАРИСТВО З ОБМЕЖЕНОЮ ВІДПОВІДАЛЬНІСТЮ "ПРАНА ПЛАТІНУМ"</x:v>
      </x:c>
      <x:c r="D1198" s="14" t="str">
        <x:v>HVAC / ОВіК</x:v>
      </x:c>
      <x:c r="E1198" s="14" t="str">
        <x:v>Pilot now</x:v>
      </x:c>
      <x:c r="F1198" s="17" t="str">
        <x:v>P3</x:v>
      </x:c>
      <x:c r="G1198" s="14" t="str"/>
      <x:c r="H1198" s="14" t="str">
        <x:v>Пілот зараз — Н.14</x:v>
      </x:c>
      <x:c r="I1198" s="16" t="n">
        <x:v>5</x:v>
      </x:c>
      <x:c r="J1198" s="16" t="n">
        <x:v>5</x:v>
      </x:c>
      <x:c r="K1198" s="16" t="n">
        <x:v>4</x:v>
      </x:c>
      <x:c r="L1198" s="16" t="n">
        <x:v>1</x:v>
      </x:c>
      <x:c r="M1198" s="16" t="n">
        <x:v>5</x:v>
      </x:c>
      <x:c r="N1198" s="16" t="n">
        <x:v>5</x:v>
      </x:c>
      <x:c r="O1198" s="16" t="n">
        <x:v>3</x:v>
      </x:c>
      <x:c r="P1198" s="16" t="n">
        <x:f>IF(COUNT(I1198:O1198)&lt;7,"",I1198*8+J1198*3+K1198*2+L1198*2+M1198*2+N1198*2+O1198)</x:f>
        <x:v>88</x:v>
      </x:c>
      <x:c r="Q1198" s="16" t="n">
        <x:f>IF(COUNT(J1198:O1198)&lt;6,"",J1198*5+K1198*4+M1198*4+L1198*3+N1198*2+O1198*2)</x:f>
        <x:v>80</x:v>
      </x:c>
      <x:c r="R1198" s="14" t="str">
        <x:v>high</x:v>
      </x:c>
      <x:c r="S1198" s="14" t="str">
        <x:v>official_prozorro_award_2024_2026</x:v>
      </x:c>
      <x:c r="T1198" s="14" t="str">
        <x:v>official_prozorro_api</x:v>
      </x:c>
      <x:c r="U1198" s="14" t="str">
        <x:v>Не контактували</x:v>
      </x:c>
      <x:c r="V1198" s="15" t="str">
        <x:v>Персоналізований free-pilot outreach по UA-2025-12-11-002426-a; попросити 1 пакет Н.14/Н.15</x:v>
      </x:c>
      <x:c r="W1198" s="15" t="str">
        <x:v>Власник / директор; керівник ПТО; відповідальний за договори</x:v>
      </x:c>
      <x:c r="X1198" s="15" t="str">
        <x:v>2 нових підтверджених перемог/договорів у Prozorro на 11 970 грн; 0 зі строком виконання не раніше 24.08.2026.</x:v>
      </x:c>
      <x:c r="Y1198"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 строк до 2025-12-31. Попросити один знеособлений пакет здачі за цим workflow.</x:v>
      </x:c>
      <x:c r="Z1198" s="15" t="str">
        <x:v>https://prozorro.gov.ua/tender/UA-2025-12-11-002426-a</x:v>
      </x:c>
      <x:c r="AA1198" s="14" t="str">
        <x:v>38142321</x:v>
      </x:c>
      <x:c r="AB1198" s="14" t="str">
        <x:v>2026-08-24</x:v>
      </x:c>
      <x:c r="AC1198" s="14" t="str"/>
      <x:c r="AD1198" s="20" t="str"/>
      <x:c r="AE1198" s="14" t="str"/>
      <x:c r="AF1198" s="14" t="n">
        <x:v>40</x:v>
      </x:c>
      <x:c r="AG1198" s="14" t="str">
        <x:v>I3</x:v>
      </x:c>
      <x:c r="AH1198" s="14" t="n">
        <x:v>2</x:v>
      </x:c>
      <x:c r="AI1198" s="14" t="n">
        <x:v>0</x:v>
      </x:c>
      <x:c r="AJ1198" s="18" t="n">
        <x:v>11970</x:v>
      </x:c>
      <x:c r="AK1198" s="14" t="str">
        <x:v>https://prozorro.gov.ua/tender/UA-2025-12-11-002426-a</x:v>
      </x:c>
      <x:c r="AL1198" s="19" t="n">
        <x:v>46002.32686393519</x:v>
      </x:c>
      <x:c r="AM1198" s="19" t="n">
        <x:v>46022.328993055555</x:v>
      </x:c>
      <x:c r="AN1198" s="15" t="str">
        <x:v>HVAC / ОВіК</x:v>
      </x:c>
      <x:c r="AO1198" s="15" t="str">
        <x:v>not_found_in_top_search</x:v>
      </x:c>
    </x:row>
    <x:row r="1199">
      <x:c r="A1199" s="14" t="str">
        <x:v>W4-380</x:v>
      </x:c>
      <x:c r="B1199" s="14" t="str">
        <x:v>Prozorro expansion — 24.08</x:v>
      </x:c>
      <x:c r="C1199" s="14" t="str">
        <x:v>ФОП "ОНІЩЕНКО ГАННА ПИЛИПІВНА"</x:v>
      </x:c>
      <x:c r="D1199" s="14" t="str">
        <x:v>Фасади та скління</x:v>
      </x:c>
      <x:c r="E1199" s="14" t="str">
        <x:v>Expansion discovery</x:v>
      </x:c>
      <x:c r="F1199" s="17" t="str">
        <x:v>D3</x:v>
      </x:c>
      <x:c r="G1199" s="14" t="str"/>
      <x:c r="H1199" s="14" t="str">
        <x:v>Discovery розширення — 2 тижні</x:v>
      </x:c>
      <x:c r="I1199" s="16" t="n">
        <x:v>1</x:v>
      </x:c>
      <x:c r="J1199" s="16" t="n">
        <x:v>5</x:v>
      </x:c>
      <x:c r="K1199" s="16" t="n">
        <x:v>5</x:v>
      </x:c>
      <x:c r="L1199" s="16" t="n">
        <x:v>2</x:v>
      </x:c>
      <x:c r="M1199" s="16" t="n">
        <x:v>5</x:v>
      </x:c>
      <x:c r="N1199" s="16" t="n">
        <x:v>3</x:v>
      </x:c>
      <x:c r="O1199" s="16" t="n">
        <x:v>3</x:v>
      </x:c>
      <x:c r="P1199" s="16" t="n">
        <x:f>IF(COUNT(I1199:O1199)&lt;7,"",I1199*8+J1199*3+K1199*2+L1199*2+M1199*2+N1199*2+O1199)</x:f>
        <x:v>56</x:v>
      </x:c>
      <x:c r="Q1199" s="16" t="n">
        <x:f>IF(COUNT(J1199:O1199)&lt;6,"",J1199*5+K1199*4+M1199*4+L1199*3+N1199*2+O1199*2)</x:f>
        <x:v>83</x:v>
      </x:c>
      <x:c r="R1199" s="14" t="str">
        <x:v>high</x:v>
      </x:c>
      <x:c r="S1199" s="14" t="str">
        <x:v>official_prozorro_award_2024_2026</x:v>
      </x:c>
      <x:c r="T1199" s="14" t="str">
        <x:v>official_prozorro_api</x:v>
      </x:c>
      <x:c r="U1199" s="14" t="str">
        <x:v>Не контактували</x:v>
      </x:c>
      <x:c r="V1199" s="15" t="str">
        <x:v>Workflow-audit outreach по UA-2026-04-14-011423-a; попросити 1 пакет здачі та вимоги проєкту</x:v>
      </x:c>
      <x:c r="W1199" s="15" t="str">
        <x:v>Власник / виконавець; відповідальний за договір</x:v>
      </x:c>
      <x:c r="X1199" s="15" t="str">
        <x:v>1 нових підтверджених перемог/договорів у Prozorro на 259 000 грн; 0 зі строком виконання не раніше 24.08.2026.</x:v>
      </x:c>
      <x:c r="Y1199" s="15" t="str">
        <x:v>Матеріали для утеплення фасаду; строк до 2026-05-30. Попросити один знеособлений пакет здачі за цим workflow.</x:v>
      </x:c>
      <x:c r="Z1199" s="15" t="str">
        <x:v>https://prozorro.gov.ua/tender/UA-2026-04-14-011423-a</x:v>
      </x:c>
      <x:c r="AA1199" s="14" t="str">
        <x:v>1862889508</x:v>
      </x:c>
      <x:c r="AB1199" s="14" t="str">
        <x:v>2026-08-24</x:v>
      </x:c>
      <x:c r="AC1199" s="14" t="str"/>
      <x:c r="AD1199" s="20" t="str"/>
      <x:c r="AE1199" s="14" t="str"/>
      <x:c r="AF1199" s="14" t="n">
        <x:v>39</x:v>
      </x:c>
      <x:c r="AG1199" s="14" t="str">
        <x:v>I3</x:v>
      </x:c>
      <x:c r="AH1199" s="14" t="n">
        <x:v>1</x:v>
      </x:c>
      <x:c r="AI1199" s="14" t="n">
        <x:v>0</x:v>
      </x:c>
      <x:c r="AJ1199" s="18" t="n">
        <x:v>259000</x:v>
      </x:c>
      <x:c r="AK1199" s="14" t="str">
        <x:v>https://prozorro.gov.ua/tender/UA-2026-04-14-011423-a</x:v>
      </x:c>
      <x:c r="AL1199" s="19" t="n">
        <x:v>46137.378508842594</x:v>
      </x:c>
      <x:c r="AM1199" s="19" t="n">
        <x:v>46172</x:v>
      </x:c>
      <x:c r="AN1199" s="15" t="str">
        <x:v>Фасади та скління</x:v>
      </x:c>
      <x:c r="AO1199" s="15" t="str">
        <x:v>not_found_in_top_search</x:v>
      </x:c>
    </x:row>
    <x:row r="1200">
      <x:c r="A1200" s="14" t="str">
        <x:v>W4-381</x:v>
      </x:c>
      <x:c r="B1200" s="14" t="str">
        <x:v>Prozorro expansion — 24.08</x:v>
      </x:c>
      <x:c r="C1200" s="14" t="str">
        <x:v>ФОП Дубін Андрій Анатолійович</x:v>
      </x:c>
      <x:c r="D1200" s="14" t="str">
        <x:v>Внутрішні сантехнічні системи</x:v>
      </x:c>
      <x:c r="E1200" s="14" t="str">
        <x:v>Pilot now</x:v>
      </x:c>
      <x:c r="F1200" s="17" t="str">
        <x:v>P3</x:v>
      </x:c>
      <x:c r="G1200" s="14" t="str"/>
      <x:c r="H1200" s="14" t="str">
        <x:v>Пілот зараз — Н.14</x:v>
      </x:c>
      <x:c r="I1200" s="16" t="n">
        <x:v>5</x:v>
      </x:c>
      <x:c r="J1200" s="16" t="n">
        <x:v>5</x:v>
      </x:c>
      <x:c r="K1200" s="16" t="n">
        <x:v>4</x:v>
      </x:c>
      <x:c r="L1200" s="16" t="n">
        <x:v>2</x:v>
      </x:c>
      <x:c r="M1200" s="16" t="n">
        <x:v>5</x:v>
      </x:c>
      <x:c r="N1200" s="16" t="n">
        <x:v>3</x:v>
      </x:c>
      <x:c r="O1200" s="16" t="n">
        <x:v>3</x:v>
      </x:c>
      <x:c r="P1200" s="16" t="n">
        <x:f>IF(COUNT(I1200:O1200)&lt;7,"",I1200*8+J1200*3+K1200*2+L1200*2+M1200*2+N1200*2+O1200)</x:f>
        <x:v>86</x:v>
      </x:c>
      <x:c r="Q1200" s="16" t="n">
        <x:f>IF(COUNT(J1200:O1200)&lt;6,"",J1200*5+K1200*4+M1200*4+L1200*3+N1200*2+O1200*2)</x:f>
        <x:v>79</x:v>
      </x:c>
      <x:c r="R1200" s="14" t="str">
        <x:v>high</x:v>
      </x:c>
      <x:c r="S1200" s="14" t="str">
        <x:v>official_prozorro_award_2024_2026</x:v>
      </x:c>
      <x:c r="T1200" s="14" t="str">
        <x:v>official_prozorro_api</x:v>
      </x:c>
      <x:c r="U1200" s="14" t="str">
        <x:v>Не контактували</x:v>
      </x:c>
      <x:c r="V1200" s="15" t="str">
        <x:v>Персоналізований free-pilot outreach по UA-2026-04-02-004134-a; попросити 1 пакет Н.14/Н.15</x:v>
      </x:c>
      <x:c r="W1200" s="15" t="str">
        <x:v>Власник / виконавець; відповідальний за договір</x:v>
      </x:c>
      <x:c r="X1200" s="15" t="str">
        <x:v>1 нових підтверджених перемог/договорів у Prozorro на 198 803 грн; 1 зі строком виконання не раніше 24.08.2026.</x:v>
      </x:c>
      <x:c r="Y1200"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 строк до 2026-12-10. Попросити один знеособлений пакет здачі за цим workflow.</x:v>
      </x:c>
      <x:c r="Z1200" s="15" t="str">
        <x:v>https://prozorro.gov.ua/tender/UA-2026-04-02-004134-a</x:v>
      </x:c>
      <x:c r="AA1200" s="14" t="str">
        <x:v>3260519777</x:v>
      </x:c>
      <x:c r="AB1200" s="14" t="str">
        <x:v>2026-08-24</x:v>
      </x:c>
      <x:c r="AC1200" s="14" t="str"/>
      <x:c r="AD1200" s="20" t="str"/>
      <x:c r="AE1200" s="14" t="str"/>
      <x:c r="AF1200" s="14" t="n">
        <x:v>39</x:v>
      </x:c>
      <x:c r="AG1200" s="14" t="str">
        <x:v>I3</x:v>
      </x:c>
      <x:c r="AH1200" s="14" t="n">
        <x:v>1</x:v>
      </x:c>
      <x:c r="AI1200" s="14" t="n">
        <x:v>1</x:v>
      </x:c>
      <x:c r="AJ1200" s="18" t="n">
        <x:v>198803.41</x:v>
      </x:c>
      <x:c r="AK1200" s="14" t="str">
        <x:v>https://prozorro.gov.ua/tender/UA-2026-04-02-004134-a</x:v>
      </x:c>
      <x:c r="AL1200" s="19" t="n">
        <x:v>46114.34852097222</x:v>
      </x:c>
      <x:c r="AM1200" s="19" t="n">
        <x:v>46366</x:v>
      </x:c>
      <x:c r="AN1200" s="15" t="str">
        <x:v>Внутрішні сантехнічні системи</x:v>
      </x:c>
      <x:c r="AO1200" s="15" t="str">
        <x:v>not_found_in_top_search</x:v>
      </x:c>
    </x:row>
    <x:row r="1201">
      <x:c r="A1201" s="14" t="str">
        <x:v>W4-382</x:v>
      </x:c>
      <x:c r="B1201" s="14" t="str">
        <x:v>Prozorro expansion — 24.08</x:v>
      </x:c>
      <x:c r="C1201" s="14" t="str">
        <x:v>Фізична особа-підприємець АФЕНДІКОВ ОЛЕКСАНДР АНАТОЛІЙОВИЧ</x:v>
      </x:c>
      <x:c r="D1201" s="14" t="str">
        <x:v>Внутрішні сантехнічні системи</x:v>
      </x:c>
      <x:c r="E1201" s="14" t="str">
        <x:v>Pilot now</x:v>
      </x:c>
      <x:c r="F1201" s="17" t="str">
        <x:v>P3</x:v>
      </x:c>
      <x:c r="G1201" s="14" t="str"/>
      <x:c r="H1201" s="14" t="str">
        <x:v>Пілот зараз — Н.14</x:v>
      </x:c>
      <x:c r="I1201" s="16" t="n">
        <x:v>5</x:v>
      </x:c>
      <x:c r="J1201" s="16" t="n">
        <x:v>5</x:v>
      </x:c>
      <x:c r="K1201" s="16" t="n">
        <x:v>4</x:v>
      </x:c>
      <x:c r="L1201" s="16" t="n">
        <x:v>2</x:v>
      </x:c>
      <x:c r="M1201" s="16" t="n">
        <x:v>5</x:v>
      </x:c>
      <x:c r="N1201" s="16" t="n">
        <x:v>3</x:v>
      </x:c>
      <x:c r="O1201" s="16" t="n">
        <x:v>3</x:v>
      </x:c>
      <x:c r="P1201" s="16" t="n">
        <x:f>IF(COUNT(I1201:O1201)&lt;7,"",I1201*8+J1201*3+K1201*2+L1201*2+M1201*2+N1201*2+O1201)</x:f>
        <x:v>86</x:v>
      </x:c>
      <x:c r="Q1201" s="16" t="n">
        <x:f>IF(COUNT(J1201:O1201)&lt;6,"",J1201*5+K1201*4+M1201*4+L1201*3+N1201*2+O1201*2)</x:f>
        <x:v>79</x:v>
      </x:c>
      <x:c r="R1201" s="14" t="str">
        <x:v>high</x:v>
      </x:c>
      <x:c r="S1201" s="14" t="str">
        <x:v>official_prozorro_award_2024_2026</x:v>
      </x:c>
      <x:c r="T1201" s="14" t="str">
        <x:v>official_prozorro_api</x:v>
      </x:c>
      <x:c r="U1201" s="14" t="str">
        <x:v>Не контактували</x:v>
      </x:c>
      <x:c r="V1201" s="15" t="str">
        <x:v>Персоналізований free-pilot outreach по UA-2026-03-16-003084-a; попросити 1 пакет Н.14/Н.15</x:v>
      </x:c>
      <x:c r="W1201" s="15" t="str">
        <x:v>Власник / виконавець; відповідальний за договір</x:v>
      </x:c>
      <x:c r="X1201" s="15" t="str">
        <x:v>1 нових підтверджених перемог/договорів у Prozorro на 128 247 грн; 0 зі строком виконання не раніше 24.08.2026.</x:v>
      </x:c>
      <x:c r="Y1201"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 строк до 2026-08-14. Попросити один знеособлений пакет здачі за цим workflow.</x:v>
      </x:c>
      <x:c r="Z1201" s="15" t="str">
        <x:v>https://prozorro.gov.ua/tender/UA-2026-03-16-003084-a</x:v>
      </x:c>
      <x:c r="AA1201" s="14" t="str">
        <x:v>2169008131</x:v>
      </x:c>
      <x:c r="AB1201" s="14" t="str">
        <x:v>2026-08-24</x:v>
      </x:c>
      <x:c r="AC1201" s="14" t="str"/>
      <x:c r="AD1201" s="20" t="str"/>
      <x:c r="AE1201" s="14" t="str"/>
      <x:c r="AF1201" s="14" t="n">
        <x:v>39</x:v>
      </x:c>
      <x:c r="AG1201" s="14" t="str">
        <x:v>I3</x:v>
      </x:c>
      <x:c r="AH1201" s="14" t="n">
        <x:v>1</x:v>
      </x:c>
      <x:c r="AI1201" s="14" t="n">
        <x:v>0</x:v>
      </x:c>
      <x:c r="AJ1201" s="18" t="n">
        <x:v>128246.92</x:v>
      </x:c>
      <x:c r="AK1201" s="14" t="str">
        <x:v>https://prozorro.gov.ua/tender/UA-2026-03-16-003084-a</x:v>
      </x:c>
      <x:c r="AL1201" s="19" t="n">
        <x:v>46097.3767243287</x:v>
      </x:c>
      <x:c r="AM1201" s="19" t="n">
        <x:v>46248</x:v>
      </x:c>
      <x:c r="AN1201" s="15" t="str">
        <x:v>Внутрішні сантехнічні системи</x:v>
      </x:c>
      <x:c r="AO1201" s="15" t="str">
        <x:v>not_found_in_top_search</x:v>
      </x:c>
    </x:row>
    <x:row r="1202">
      <x:c r="A1202" s="14" t="str">
        <x:v>W4-383</x:v>
      </x:c>
      <x:c r="B1202" s="14" t="str">
        <x:v>Prozorro expansion — 24.08</x:v>
      </x:c>
      <x:c r="C1202" s="14" t="str">
        <x:v>ФОП БУГАЙЧУК МИХАЙЛО ФЕДОРОВИЧ</x:v>
      </x:c>
      <x:c r="D1202" s="14" t="str">
        <x:v>Зовнішнє освітлення</x:v>
      </x:c>
      <x:c r="E1202" s="14" t="str">
        <x:v>Pilot now</x:v>
      </x:c>
      <x:c r="F1202" s="17" t="str">
        <x:v>P3</x:v>
      </x:c>
      <x:c r="G1202" s="14" t="str"/>
      <x:c r="H1202" s="14" t="str">
        <x:v>Пілот зараз — Н.15 subset</x:v>
      </x:c>
      <x:c r="I1202" s="16" t="n">
        <x:v>4</x:v>
      </x:c>
      <x:c r="J1202" s="16" t="n">
        <x:v>5</x:v>
      </x:c>
      <x:c r="K1202" s="16" t="n">
        <x:v>4</x:v>
      </x:c>
      <x:c r="L1202" s="16" t="n">
        <x:v>2</x:v>
      </x:c>
      <x:c r="M1202" s="16" t="n">
        <x:v>5</x:v>
      </x:c>
      <x:c r="N1202" s="16" t="n">
        <x:v>3</x:v>
      </x:c>
      <x:c r="O1202" s="16" t="n">
        <x:v>3</x:v>
      </x:c>
      <x:c r="P1202" s="16" t="n">
        <x:f>IF(COUNT(I1202:O1202)&lt;7,"",I1202*8+J1202*3+K1202*2+L1202*2+M1202*2+N1202*2+O1202)</x:f>
        <x:v>78</x:v>
      </x:c>
      <x:c r="Q1202" s="16" t="n">
        <x:f>IF(COUNT(J1202:O1202)&lt;6,"",J1202*5+K1202*4+M1202*4+L1202*3+N1202*2+O1202*2)</x:f>
        <x:v>79</x:v>
      </x:c>
      <x:c r="R1202" s="14" t="str">
        <x:v>high</x:v>
      </x:c>
      <x:c r="S1202" s="14" t="str">
        <x:v>official_prozorro_award_2024_2026</x:v>
      </x:c>
      <x:c r="T1202" s="14" t="str">
        <x:v>official_prozorro_api</x:v>
      </x:c>
      <x:c r="U1202" s="14" t="str">
        <x:v>Не контактували</x:v>
      </x:c>
      <x:c r="V1202" s="15" t="str">
        <x:v>Персоналізований free-pilot outreach по UA-2026-04-07-013712-a; попросити 1 пакет Н.14/Н.15</x:v>
      </x:c>
      <x:c r="W1202" s="15" t="str">
        <x:v>Власник / виконавець; відповідальний за договір</x:v>
      </x:c>
      <x:c r="X1202" s="15" t="str">
        <x:v>1 нових підтверджених перемог/договорів у Prozorro на 116 474 грн; 0 зі строком виконання не раніше 24.08.2026.</x:v>
      </x:c>
      <x:c r="Y1202"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 строк до 2026-06-02. Попросити один знеособлений пакет здачі за цим workflow.</x:v>
      </x:c>
      <x:c r="Z1202" s="15" t="str">
        <x:v>https://prozorro.gov.ua/tender/UA-2026-04-07-013712-a</x:v>
      </x:c>
      <x:c r="AA1202" s="14" t="str">
        <x:v>2881211515</x:v>
      </x:c>
      <x:c r="AB1202" s="14" t="str">
        <x:v>2026-08-24</x:v>
      </x:c>
      <x:c r="AC1202" s="14" t="str"/>
      <x:c r="AD1202" s="20" t="str"/>
      <x:c r="AE1202" s="14" t="str"/>
      <x:c r="AF1202" s="14" t="n">
        <x:v>39</x:v>
      </x:c>
      <x:c r="AG1202" s="14" t="str">
        <x:v>I3</x:v>
      </x:c>
      <x:c r="AH1202" s="14" t="n">
        <x:v>1</x:v>
      </x:c>
      <x:c r="AI1202" s="14" t="n">
        <x:v>0</x:v>
      </x:c>
      <x:c r="AJ1202" s="18" t="n">
        <x:v>116474.37</x:v>
      </x:c>
      <x:c r="AK1202" s="14" t="str">
        <x:v>https://prozorro.gov.ua/tender/UA-2026-04-07-013712-a</x:v>
      </x:c>
      <x:c r="AL1202" s="19" t="n">
        <x:v>46119.603986041664</x:v>
      </x:c>
      <x:c r="AM1202" s="19" t="n">
        <x:v>46175.602789351855</x:v>
      </x:c>
      <x:c r="AN1202" s="15" t="str">
        <x:v>Зовнішнє освітлення</x:v>
      </x:c>
      <x:c r="AO1202" s="15" t="str">
        <x:v>not_found_in_top_search</x:v>
      </x:c>
    </x:row>
    <x:row r="1203">
      <x:c r="A1203" s="14" t="str">
        <x:v>W4-384</x:v>
      </x:c>
      <x:c r="B1203" s="14" t="str">
        <x:v>Prozorro expansion — 24.08</x:v>
      </x:c>
      <x:c r="C1203" s="14" t="str">
        <x:v>КП Димерський комбінат комунальних послуг Димерської селищної ради</x:v>
      </x:c>
      <x:c r="D1203" s="14" t="str">
        <x:v>Благоустрій</x:v>
      </x:c>
      <x:c r="E1203" s="14" t="str">
        <x:v>Expansion discovery</x:v>
      </x:c>
      <x:c r="F1203" s="17" t="str">
        <x:v>D3</x:v>
      </x:c>
      <x:c r="G1203" s="14" t="str"/>
      <x:c r="H1203" s="14" t="str">
        <x:v>Discovery розширення — 2 тижні</x:v>
      </x:c>
      <x:c r="I1203" s="16" t="n">
        <x:v>1</x:v>
      </x:c>
      <x:c r="J1203" s="16" t="n">
        <x:v>5</x:v>
      </x:c>
      <x:c r="K1203" s="16" t="n">
        <x:v>4</x:v>
      </x:c>
      <x:c r="L1203" s="16" t="n">
        <x:v>4</x:v>
      </x:c>
      <x:c r="M1203" s="16" t="n">
        <x:v>5</x:v>
      </x:c>
      <x:c r="N1203" s="16" t="n">
        <x:v>5</x:v>
      </x:c>
      <x:c r="O1203" s="16" t="n">
        <x:v>3</x:v>
      </x:c>
      <x:c r="P1203" s="16" t="n">
        <x:f>IF(COUNT(I1203:O1203)&lt;7,"",I1203*8+J1203*3+K1203*2+L1203*2+M1203*2+N1203*2+O1203)</x:f>
        <x:v>62</x:v>
      </x:c>
      <x:c r="Q1203" s="16" t="n">
        <x:f>IF(COUNT(J1203:O1203)&lt;6,"",J1203*5+K1203*4+M1203*4+L1203*3+N1203*2+O1203*2)</x:f>
        <x:v>89</x:v>
      </x:c>
      <x:c r="R1203" s="14" t="str">
        <x:v>high</x:v>
      </x:c>
      <x:c r="S1203" s="14" t="str">
        <x:v>official_prozorro_award_2024_2026</x:v>
      </x:c>
      <x:c r="T1203" s="14" t="str">
        <x:v>official_prozorro_api</x:v>
      </x:c>
      <x:c r="U1203" s="14" t="str">
        <x:v>Не контактували</x:v>
      </x:c>
      <x:c r="V1203" s="15" t="str">
        <x:v>Workflow-audit outreach по UA-2024-07-19-007150-a; попросити 1 пакет здачі та вимоги проєкту</x:v>
      </x:c>
      <x:c r="W1203" s="15" t="str">
        <x:v>Власник / директор; керівник ПТО; відповідальний за договори</x:v>
      </x:c>
      <x:c r="X1203" s="15" t="str">
        <x:v>1 нових підтверджених перемог/договорів у Prozorro на 3 799 992 грн; 0 зі строком виконання не раніше 24.08.2026.</x:v>
      </x:c>
      <x:c r="Y1203"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 строк до 2024-12-31. Попросити один знеособлений пакет здачі за цим workflow.</x:v>
      </x:c>
      <x:c r="Z1203" s="15" t="str">
        <x:v>https://prozorro.gov.ua/tender/UA-2024-07-19-007150-a</x:v>
      </x:c>
      <x:c r="AA1203" s="14" t="str">
        <x:v>44580079</x:v>
      </x:c>
      <x:c r="AB1203" s="14" t="str">
        <x:v>2026-08-24</x:v>
      </x:c>
      <x:c r="AC1203" s="14" t="str"/>
      <x:c r="AD1203" s="20" t="str"/>
      <x:c r="AE1203" s="14" t="str"/>
      <x:c r="AF1203" s="14" t="n">
        <x:v>38</x:v>
      </x:c>
      <x:c r="AG1203" s="14" t="str">
        <x:v>I3</x:v>
      </x:c>
      <x:c r="AH1203" s="14" t="n">
        <x:v>1</x:v>
      </x:c>
      <x:c r="AI1203" s="14" t="n">
        <x:v>0</x:v>
      </x:c>
      <x:c r="AJ1203" s="18" t="n">
        <x:v>3799991.5</x:v>
      </x:c>
      <x:c r="AK1203" s="14" t="str">
        <x:v>https://prozorro.gov.ua/tender/UA-2024-07-19-007150-a</x:v>
      </x:c>
      <x:c r="AL1203" s="19" t="n">
        <x:v>45505.277158460645</x:v>
      </x:c>
      <x:c r="AM1203" s="19" t="n">
        <x:v>45657.52752314815</x:v>
      </x:c>
      <x:c r="AN1203" s="15" t="str">
        <x:v>Благоустрій</x:v>
      </x:c>
      <x:c r="AO1203" s="15" t="str">
        <x:v>not_found_in_top_search</x:v>
      </x:c>
    </x:row>
    <x:row r="1204">
      <x:c r="A1204" s="14" t="str">
        <x:v>W4-385</x:v>
      </x:c>
      <x:c r="B1204" s="14" t="str">
        <x:v>Prozorro expansion — 24.08</x:v>
      </x:c>
      <x:c r="C1204" s="14" t="str">
        <x:v>ТОВ "ЛІФТОВИК-ДНІПРО"</x:v>
      </x:c>
      <x:c r="D1204" s="14" t="str">
        <x:v>Ліфти та підйомники</x:v>
      </x:c>
      <x:c r="E1204" s="14" t="str">
        <x:v>Expansion discovery</x:v>
      </x:c>
      <x:c r="F1204" s="17" t="str">
        <x:v>D3</x:v>
      </x:c>
      <x:c r="G1204" s="14" t="str"/>
      <x:c r="H1204" s="14" t="str">
        <x:v>Discovery розширення — 2 тижні</x:v>
      </x:c>
      <x:c r="I1204" s="16" t="n">
        <x:v>1</x:v>
      </x:c>
      <x:c r="J1204" s="16" t="n">
        <x:v>5</x:v>
      </x:c>
      <x:c r="K1204" s="16" t="n">
        <x:v>4</x:v>
      </x:c>
      <x:c r="L1204" s="16" t="n">
        <x:v>4</x:v>
      </x:c>
      <x:c r="M1204" s="16" t="n">
        <x:v>5</x:v>
      </x:c>
      <x:c r="N1204" s="16" t="n">
        <x:v>5</x:v>
      </x:c>
      <x:c r="O1204" s="16" t="n">
        <x:v>3</x:v>
      </x:c>
      <x:c r="P1204" s="16" t="n">
        <x:f>IF(COUNT(I1204:O1204)&lt;7,"",I1204*8+J1204*3+K1204*2+L1204*2+M1204*2+N1204*2+O1204)</x:f>
        <x:v>62</x:v>
      </x:c>
      <x:c r="Q1204" s="16" t="n">
        <x:f>IF(COUNT(J1204:O1204)&lt;6,"",J1204*5+K1204*4+M1204*4+L1204*3+N1204*2+O1204*2)</x:f>
        <x:v>89</x:v>
      </x:c>
      <x:c r="R1204" s="14" t="str">
        <x:v>high</x:v>
      </x:c>
      <x:c r="S1204" s="14" t="str">
        <x:v>official_prozorro_award_2024_2026</x:v>
      </x:c>
      <x:c r="T1204" s="14" t="str">
        <x:v>official_prozorro_api</x:v>
      </x:c>
      <x:c r="U1204" s="14" t="str">
        <x:v>Не контактували</x:v>
      </x:c>
      <x:c r="V1204" s="15" t="str">
        <x:v>Workflow-audit outreach по UA-2024-08-05-001985-a; попросити 1 пакет здачі та вимоги проєкту</x:v>
      </x:c>
      <x:c r="W1204" s="15" t="str">
        <x:v>Власник / директор; керівник ПТО; відповідальний за договори</x:v>
      </x:c>
      <x:c r="X1204" s="15" t="str">
        <x:v>1 нових підтверджених перемог/договорів у Prozorro на 3 378 057 грн; 0 зі строком виконання не раніше 24.08.2026.</x:v>
      </x:c>
      <x:c r="Y1204"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 строк до 2024-11-30. Попросити один знеособлений пакет здачі за цим workflow.</x:v>
      </x:c>
      <x:c r="Z1204" s="15" t="str">
        <x:v>https://prozorro.gov.ua/tender/UA-2024-08-05-001985-a</x:v>
      </x:c>
      <x:c r="AA1204" s="14" t="str">
        <x:v>41698834</x:v>
      </x:c>
      <x:c r="AB1204" s="14" t="str">
        <x:v>2026-08-24</x:v>
      </x:c>
      <x:c r="AC1204" s="14" t="str"/>
      <x:c r="AD1204" s="20" t="str"/>
      <x:c r="AE1204" s="14" t="str"/>
      <x:c r="AF1204" s="14" t="n">
        <x:v>38</x:v>
      </x:c>
      <x:c r="AG1204" s="14" t="str">
        <x:v>I3</x:v>
      </x:c>
      <x:c r="AH1204" s="14" t="n">
        <x:v>1</x:v>
      </x:c>
      <x:c r="AI1204" s="14" t="n">
        <x:v>0</x:v>
      </x:c>
      <x:c r="AJ1204" s="18" t="n">
        <x:v>3378057.14</x:v>
      </x:c>
      <x:c r="AK1204" s="14" t="str">
        <x:v>https://prozorro.gov.ua/tender/UA-2024-08-05-001985-a</x:v>
      </x:c>
      <x:c r="AL1204" s="19" t="n">
        <x:v>45524.428119212964</x:v>
      </x:c>
      <x:c r="AM1204" s="19" t="n">
        <x:v>45626</x:v>
      </x:c>
      <x:c r="AN1204" s="15" t="str">
        <x:v>Ліфти та підйомники</x:v>
      </x:c>
      <x:c r="AO1204" s="15" t="str">
        <x:v>not_found_in_top_search</x:v>
      </x:c>
    </x:row>
    <x:row r="1205">
      <x:c r="A1205" s="14" t="str">
        <x:v>W4-386</x:v>
      </x:c>
      <x:c r="B1205" s="14" t="str">
        <x:v>Prozorro expansion — 24.08</x:v>
      </x:c>
      <x:c r="C1205" s="14" t="str">
        <x:v>ТОВ АПОГЄЙ</x:v>
      </x:c>
      <x:c r="D1205" s="14" t="str">
        <x:v>Ліфти та підйомники</x:v>
      </x:c>
      <x:c r="E1205" s="14" t="str">
        <x:v>Expansion discovery</x:v>
      </x:c>
      <x:c r="F1205" s="17" t="str">
        <x:v>D3</x:v>
      </x:c>
      <x:c r="G1205" s="14" t="str"/>
      <x:c r="H1205" s="14" t="str">
        <x:v>Discovery розширення — 2 тижні</x:v>
      </x:c>
      <x:c r="I1205" s="16" t="n">
        <x:v>1</x:v>
      </x:c>
      <x:c r="J1205" s="16" t="n">
        <x:v>5</x:v>
      </x:c>
      <x:c r="K1205" s="16" t="n">
        <x:v>4</x:v>
      </x:c>
      <x:c r="L1205" s="16" t="n">
        <x:v>3</x:v>
      </x:c>
      <x:c r="M1205" s="16" t="n">
        <x:v>5</x:v>
      </x:c>
      <x:c r="N1205" s="16" t="n">
        <x:v>5</x:v>
      </x:c>
      <x:c r="O1205" s="16" t="n">
        <x:v>3</x:v>
      </x:c>
      <x:c r="P1205" s="16" t="n">
        <x:f>IF(COUNT(I1205:O1205)&lt;7,"",I1205*8+J1205*3+K1205*2+L1205*2+M1205*2+N1205*2+O1205)</x:f>
        <x:v>60</x:v>
      </x:c>
      <x:c r="Q1205" s="16" t="n">
        <x:f>IF(COUNT(J1205:O1205)&lt;6,"",J1205*5+K1205*4+M1205*4+L1205*3+N1205*2+O1205*2)</x:f>
        <x:v>86</x:v>
      </x:c>
      <x:c r="R1205" s="14" t="str">
        <x:v>high</x:v>
      </x:c>
      <x:c r="S1205" s="14" t="str">
        <x:v>official_prozorro_award_2024_2026</x:v>
      </x:c>
      <x:c r="T1205" s="14" t="str">
        <x:v>official_prozorro_api</x:v>
      </x:c>
      <x:c r="U1205" s="14" t="str">
        <x:v>Не контактували</x:v>
      </x:c>
      <x:c r="V1205" s="15" t="str">
        <x:v>Workflow-audit outreach по UA-2025-07-30-001492-a; попросити 1 пакет здачі та вимоги проєкту</x:v>
      </x:c>
      <x:c r="W1205" s="15" t="str">
        <x:v>Власник / директор; керівник ПТО; відповідальний за договори</x:v>
      </x:c>
      <x:c r="X1205" s="15" t="str">
        <x:v>1 нових підтверджених перемог/договорів у Prozorro на 1 961 974 грн; 0 зі строком виконання не раніше 24.08.2026.</x:v>
      </x:c>
      <x:c r="Y1205"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 строк до 2025-11-30. Попросити один знеособлений пакет здачі за цим workflow.</x:v>
      </x:c>
      <x:c r="Z1205" s="15" t="str">
        <x:v>https://prozorro.gov.ua/tender/UA-2025-07-30-001492-a</x:v>
      </x:c>
      <x:c r="AA1205" s="14" t="str">
        <x:v>34421853</x:v>
      </x:c>
      <x:c r="AB1205" s="14" t="str">
        <x:v>2026-08-24</x:v>
      </x:c>
      <x:c r="AC1205" s="14" t="str"/>
      <x:c r="AD1205" s="20" t="str"/>
      <x:c r="AE1205" s="14" t="str"/>
      <x:c r="AF1205" s="14" t="n">
        <x:v>38</x:v>
      </x:c>
      <x:c r="AG1205" s="14" t="str">
        <x:v>I3</x:v>
      </x:c>
      <x:c r="AH1205" s="14" t="n">
        <x:v>1</x:v>
      </x:c>
      <x:c r="AI1205" s="14" t="n">
        <x:v>0</x:v>
      </x:c>
      <x:c r="AJ1205" s="18" t="n">
        <x:v>1961973.55</x:v>
      </x:c>
      <x:c r="AK1205" s="14" t="str">
        <x:v>https://prozorro.gov.ua/tender/UA-2025-07-30-001492-a</x:v>
      </x:c>
      <x:c r="AL1205" s="19" t="n">
        <x:v>45898.31984300926</x:v>
      </x:c>
      <x:c r="AM1205" s="19" t="n">
        <x:v>45991</x:v>
      </x:c>
      <x:c r="AN1205" s="15" t="str">
        <x:v>Ліфти та підйомники</x:v>
      </x:c>
      <x:c r="AO1205" s="15" t="str">
        <x:v>not_found_in_top_search</x:v>
      </x:c>
    </x:row>
    <x:row r="1206">
      <x:c r="A1206" s="14" t="str">
        <x:v>W4-387</x:v>
      </x:c>
      <x:c r="B1206" s="14" t="str">
        <x:v>Prozorro expansion — 24.08</x:v>
      </x:c>
      <x:c r="C1206" s="14" t="str">
        <x:v>ТОВАРИСТВО З ОБМЕЖЕНОЮ ВІДПОВІДАЛЬНІСТЮ "СИСТЕМНА ІНТЕГРАЦІЯ"</x:v>
      </x:c>
      <x:c r="D1206" s="14" t="str">
        <x:v>Пожежогасіння</x:v>
      </x:c>
      <x:c r="E1206" s="14" t="str">
        <x:v>Expansion discovery</x:v>
      </x:c>
      <x:c r="F1206" s="17" t="str">
        <x:v>D3</x:v>
      </x:c>
      <x:c r="G1206" s="14" t="str"/>
      <x:c r="H1206" s="14" t="str">
        <x:v>Discovery розширення — 2 тижні</x:v>
      </x:c>
      <x:c r="I1206" s="16" t="n">
        <x:v>1</x:v>
      </x:c>
      <x:c r="J1206" s="16" t="n">
        <x:v>5</x:v>
      </x:c>
      <x:c r="K1206" s="16" t="n">
        <x:v>5</x:v>
      </x:c>
      <x:c r="L1206" s="16" t="n">
        <x:v>3</x:v>
      </x:c>
      <x:c r="M1206" s="16" t="n">
        <x:v>5</x:v>
      </x:c>
      <x:c r="N1206" s="16" t="n">
        <x:v>5</x:v>
      </x:c>
      <x:c r="O1206" s="16" t="n">
        <x:v>3</x:v>
      </x:c>
      <x:c r="P1206" s="16" t="n">
        <x:f>IF(COUNT(I1206:O1206)&lt;7,"",I1206*8+J1206*3+K1206*2+L1206*2+M1206*2+N1206*2+O1206)</x:f>
        <x:v>62</x:v>
      </x:c>
      <x:c r="Q1206" s="16" t="n">
        <x:f>IF(COUNT(J1206:O1206)&lt;6,"",J1206*5+K1206*4+M1206*4+L1206*3+N1206*2+O1206*2)</x:f>
        <x:v>90</x:v>
      </x:c>
      <x:c r="R1206" s="14" t="str">
        <x:v>high</x:v>
      </x:c>
      <x:c r="S1206" s="14" t="str">
        <x:v>official_prozorro_award_2024_2026</x:v>
      </x:c>
      <x:c r="T1206" s="14" t="str">
        <x:v>official_prozorro_api</x:v>
      </x:c>
      <x:c r="U1206" s="14" t="str">
        <x:v>Не контактували</x:v>
      </x:c>
      <x:c r="V1206" s="15" t="str">
        <x:v>Workflow-audit outreach по UA-2025-03-27-010870-a; попросити 1 пакет здачі та вимоги проєкту</x:v>
      </x:c>
      <x:c r="W1206" s="15" t="str">
        <x:v>Власник / директор; керівник ПТО; відповідальний за договори</x:v>
      </x:c>
      <x:c r="X1206" s="15" t="str">
        <x:v>1 нових підтверджених перемог/договорів у Prozorro на 1 751 996 грн; 0 зі строком виконання не раніше 24.08.2026.</x:v>
      </x:c>
      <x:c r="Y1206"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 строк до 2025-09-30. Попросити один знеособлений пакет здачі за цим workflow.</x:v>
      </x:c>
      <x:c r="Z1206" s="15" t="str">
        <x:v>https://prozorro.gov.ua/tender/UA-2025-03-27-010870-a</x:v>
      </x:c>
      <x:c r="AA1206" s="14" t="str">
        <x:v>41692113</x:v>
      </x:c>
      <x:c r="AB1206" s="14" t="str">
        <x:v>2026-08-24</x:v>
      </x:c>
      <x:c r="AC1206" s="14" t="str"/>
      <x:c r="AD1206" s="20" t="str"/>
      <x:c r="AE1206" s="14" t="str"/>
      <x:c r="AF1206" s="14" t="n">
        <x:v>38</x:v>
      </x:c>
      <x:c r="AG1206" s="14" t="str">
        <x:v>I3</x:v>
      </x:c>
      <x:c r="AH1206" s="14" t="n">
        <x:v>1</x:v>
      </x:c>
      <x:c r="AI1206" s="14" t="n">
        <x:v>0</x:v>
      </x:c>
      <x:c r="AJ1206" s="18" t="n">
        <x:v>1751996</x:v>
      </x:c>
      <x:c r="AK1206" s="14" t="str">
        <x:v>https://prozorro.gov.ua/tender/UA-2025-03-27-010870-a</x:v>
      </x:c>
      <x:c r="AL1206" s="19" t="n">
        <x:v>45765.41120577546</x:v>
      </x:c>
      <x:c r="AM1206" s="19" t="n">
        <x:v>45930</x:v>
      </x:c>
      <x:c r="AN1206" s="15" t="str">
        <x:v>Пожежогасіння</x:v>
      </x:c>
      <x:c r="AO1206" s="15" t="str">
        <x:v>not_found_in_top_search</x:v>
      </x:c>
    </x:row>
    <x:row r="1207">
      <x:c r="A1207" s="14" t="str">
        <x:v>W4-388</x:v>
      </x:c>
      <x:c r="B1207" s="14" t="str">
        <x:v>Prozorro expansion — 24.08</x:v>
      </x:c>
      <x:c r="C1207" s="14" t="str">
        <x:v>ТОВАРИСТВО З ОБМЕЖЕНОЮ ВІДПОВІДАЛЬНІСТЮ "БІ ЛАЙН ГРУП"</x:v>
      </x:c>
      <x:c r="D1207" s="14" t="str">
        <x:v>Водоочищення / очисні споруди</x:v>
      </x:c>
      <x:c r="E1207" s="14" t="str">
        <x:v>Expansion discovery</x:v>
      </x:c>
      <x:c r="F1207" s="17" t="str">
        <x:v>D3</x:v>
      </x:c>
      <x:c r="G1207" s="14" t="str"/>
      <x:c r="H1207" s="14" t="str">
        <x:v>Discovery розширення — 2 тижні</x:v>
      </x:c>
      <x:c r="I1207" s="16" t="n">
        <x:v>1</x:v>
      </x:c>
      <x:c r="J1207" s="16" t="n">
        <x:v>5</x:v>
      </x:c>
      <x:c r="K1207" s="16" t="n">
        <x:v>4</x:v>
      </x:c>
      <x:c r="L1207" s="16" t="n">
        <x:v>3</x:v>
      </x:c>
      <x:c r="M1207" s="16" t="n">
        <x:v>5</x:v>
      </x:c>
      <x:c r="N1207" s="16" t="n">
        <x:v>5</x:v>
      </x:c>
      <x:c r="O1207" s="16" t="n">
        <x:v>3</x:v>
      </x:c>
      <x:c r="P1207" s="16" t="n">
        <x:f>IF(COUNT(I1207:O1207)&lt;7,"",I1207*8+J1207*3+K1207*2+L1207*2+M1207*2+N1207*2+O1207)</x:f>
        <x:v>60</x:v>
      </x:c>
      <x:c r="Q1207" s="16" t="n">
        <x:f>IF(COUNT(J1207:O1207)&lt;6,"",J1207*5+K1207*4+M1207*4+L1207*3+N1207*2+O1207*2)</x:f>
        <x:v>86</x:v>
      </x:c>
      <x:c r="R1207" s="14" t="str">
        <x:v>high</x:v>
      </x:c>
      <x:c r="S1207" s="14" t="str">
        <x:v>official_prozorro_award_2024_2026</x:v>
      </x:c>
      <x:c r="T1207" s="14" t="str">
        <x:v>official_prozorro_api</x:v>
      </x:c>
      <x:c r="U1207" s="14" t="str">
        <x:v>Не контактували</x:v>
      </x:c>
      <x:c r="V1207" s="15" t="str">
        <x:v>Workflow-audit outreach по UA-2025-10-24-003118-a; попросити 1 пакет здачі та вимоги проєкту</x:v>
      </x:c>
      <x:c r="W1207" s="15" t="str">
        <x:v>Власник / директор; керівник ПТО; відповідальний за договори</x:v>
      </x:c>
      <x:c r="X1207" s="15" t="str">
        <x:v>1 нових підтверджених перемог/договорів у Prozorro на 1 499 982 грн; 0 зі строком виконання не раніше 24.08.2026.</x:v>
      </x:c>
      <x:c r="Y1207"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 строк до 2025-12-15. Попросити один знеособлений пакет здачі за цим workflow.</x:v>
      </x:c>
      <x:c r="Z1207" s="15" t="str">
        <x:v>https://prozorro.gov.ua/tender/UA-2025-10-24-003118-a</x:v>
      </x:c>
      <x:c r="AA1207" s="14" t="str">
        <x:v>30704033</x:v>
      </x:c>
      <x:c r="AB1207" s="14" t="str">
        <x:v>2026-08-24</x:v>
      </x:c>
      <x:c r="AC1207" s="14" t="str"/>
      <x:c r="AD1207" s="20" t="str"/>
      <x:c r="AE1207" s="14" t="str"/>
      <x:c r="AF1207" s="14" t="n">
        <x:v>38</x:v>
      </x:c>
      <x:c r="AG1207" s="14" t="str">
        <x:v>I3</x:v>
      </x:c>
      <x:c r="AH1207" s="14" t="n">
        <x:v>1</x:v>
      </x:c>
      <x:c r="AI1207" s="14" t="n">
        <x:v>0</x:v>
      </x:c>
      <x:c r="AJ1207" s="18" t="n">
        <x:v>1499981.6</x:v>
      </x:c>
      <x:c r="AK1207" s="14" t="str">
        <x:v>https://prozorro.gov.ua/tender/UA-2025-10-24-003118-a</x:v>
      </x:c>
      <x:c r="AL1207" s="19" t="n">
        <x:v>45954.31693248843</x:v>
      </x:c>
      <x:c r="AM1207" s="19" t="n">
        <x:v>46006</x:v>
      </x:c>
      <x:c r="AN1207" s="15" t="str">
        <x:v>Водоочищення / очисні споруди</x:v>
      </x:c>
      <x:c r="AO1207" s="15" t="str">
        <x:v>not_found_in_top_search</x:v>
      </x:c>
    </x:row>
    <x:row r="1208">
      <x:c r="A1208" s="14" t="str">
        <x:v>W4-389</x:v>
      </x:c>
      <x:c r="B1208" s="14" t="str">
        <x:v>Prozorro expansion — 24.08</x:v>
      </x:c>
      <x:c r="C1208" s="14" t="str">
        <x:v>ТОВ"ДУЕТ ПАУЕР"</x:v>
      </x:c>
      <x:c r="D1208" s="14" t="str">
        <x:v>Підстанції / силові мережі</x:v>
      </x:c>
      <x:c r="E1208" s="14" t="str">
        <x:v>Pilot now</x:v>
      </x:c>
      <x:c r="F1208" s="17" t="str">
        <x:v>P3</x:v>
      </x:c>
      <x:c r="G1208" s="14" t="str">
        <x:v>duet-power.com.ua</x:v>
      </x:c>
      <x:c r="H1208" s="14" t="str">
        <x:v>Пілот зараз — Н.15 subset</x:v>
      </x:c>
      <x:c r="I1208" s="16" t="n">
        <x:v>4</x:v>
      </x:c>
      <x:c r="J1208" s="16" t="n">
        <x:v>5</x:v>
      </x:c>
      <x:c r="K1208" s="16" t="n">
        <x:v>5</x:v>
      </x:c>
      <x:c r="L1208" s="16" t="n">
        <x:v>3</x:v>
      </x:c>
      <x:c r="M1208" s="16" t="n">
        <x:v>5</x:v>
      </x:c>
      <x:c r="N1208" s="16" t="n">
        <x:v>5</x:v>
      </x:c>
      <x:c r="O1208" s="16" t="n">
        <x:v>5</x:v>
      </x:c>
      <x:c r="P1208" s="16" t="n">
        <x:f>IF(COUNT(I1208:O1208)&lt;7,"",I1208*8+J1208*3+K1208*2+L1208*2+M1208*2+N1208*2+O1208)</x:f>
        <x:v>88</x:v>
      </x:c>
      <x:c r="Q1208" s="16" t="n">
        <x:f>IF(COUNT(J1208:O1208)&lt;6,"",J1208*5+K1208*4+M1208*4+L1208*3+N1208*2+O1208*2)</x:f>
        <x:v>94</x:v>
      </x:c>
      <x:c r="R1208" s="14" t="str">
        <x:v>high</x:v>
      </x:c>
      <x:c r="S1208" s="14" t="str">
        <x:v>official_prozorro_award_2024_2026</x:v>
      </x:c>
      <x:c r="T1208" s="14" t="str">
        <x:v>official_prozorro_api</x:v>
      </x:c>
      <x:c r="U1208" s="14" t="str">
        <x:v>Не контактували</x:v>
      </x:c>
      <x:c r="V1208" s="15" t="str">
        <x:v>Персоналізований free-pilot outreach по UA-2025-08-13-006609-a; попросити 1 пакет Н.14/Н.15</x:v>
      </x:c>
      <x:c r="W1208" s="15" t="str">
        <x:v>Власник / директор; керівник ПТО; відповідальний за договори</x:v>
      </x:c>
      <x:c r="X1208" s="15" t="str">
        <x:v>1 нових підтверджених перемог/договорів у Prozorro на 1 236 079 грн; 0 зі строком виконання не раніше 24.08.2026.</x:v>
      </x:c>
      <x:c r="Y1208"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08" s="15" t="str">
        <x:v>https://prozorro.gov.ua/tender/UA-2025-08-13-006609-a</x:v>
      </x:c>
      <x:c r="AA1208" s="14" t="str">
        <x:v>37177311</x:v>
      </x:c>
      <x:c r="AB1208" s="14" t="str">
        <x:v>2026-08-24</x:v>
      </x:c>
      <x:c r="AC1208" s="14" t="str"/>
      <x:c r="AD1208" s="20" t="str"/>
      <x:c r="AE1208" s="14" t="str"/>
      <x:c r="AF1208" s="14" t="n">
        <x:v>38</x:v>
      </x:c>
      <x:c r="AG1208" s="14" t="str">
        <x:v>I3</x:v>
      </x:c>
      <x:c r="AH1208" s="14" t="n">
        <x:v>1</x:v>
      </x:c>
      <x:c r="AI1208" s="14" t="n">
        <x:v>0</x:v>
      </x:c>
      <x:c r="AJ1208" s="18" t="n">
        <x:v>1236078.82</x:v>
      </x:c>
      <x:c r="AK1208" s="14" t="str">
        <x:v>https://prozorro.gov.ua/tender/UA-2025-08-13-006609-a</x:v>
      </x:c>
      <x:c r="AL1208" s="19" t="n">
        <x:v>45905.50987554398</x:v>
      </x:c>
      <x:c r="AM1208" s="19" t="n">
        <x:v>46022</x:v>
      </x:c>
      <x:c r="AN1208" s="15" t="str">
        <x:v>Підстанції / силові мережі</x:v>
      </x:c>
      <x:c r="AO1208" s="15" t="str">
        <x:v>supplier_provided_url</x:v>
      </x:c>
    </x:row>
    <x:row r="1209">
      <x:c r="A1209" s="14" t="str">
        <x:v>W4-390</x:v>
      </x:c>
      <x:c r="B1209" s="14" t="str">
        <x:v>Prozorro expansion — 24.08</x:v>
      </x:c>
      <x:c r="C1209" s="14" t="str">
        <x:v>ТОВ "НВКП "ГазІнвест"</x:v>
      </x:c>
      <x:c r="D1209" s="14" t="str">
        <x:v>Газові мережі</x:v>
      </x:c>
      <x:c r="E1209" s="14" t="str">
        <x:v>Expansion discovery</x:v>
      </x:c>
      <x:c r="F1209" s="17" t="str">
        <x:v>D3</x:v>
      </x:c>
      <x:c r="G1209" s="14" t="str"/>
      <x:c r="H1209" s="14" t="str">
        <x:v>Discovery розширення — 2 тижні</x:v>
      </x:c>
      <x:c r="I1209" s="16" t="n">
        <x:v>1</x:v>
      </x:c>
      <x:c r="J1209" s="16" t="n">
        <x:v>5</x:v>
      </x:c>
      <x:c r="K1209" s="16" t="n">
        <x:v>5</x:v>
      </x:c>
      <x:c r="L1209" s="16" t="n">
        <x:v>3</x:v>
      </x:c>
      <x:c r="M1209" s="16" t="n">
        <x:v>5</x:v>
      </x:c>
      <x:c r="N1209" s="16" t="n">
        <x:v>5</x:v>
      </x:c>
      <x:c r="O1209" s="16" t="n">
        <x:v>3</x:v>
      </x:c>
      <x:c r="P1209" s="16" t="n">
        <x:f>IF(COUNT(I1209:O1209)&lt;7,"",I1209*8+J1209*3+K1209*2+L1209*2+M1209*2+N1209*2+O1209)</x:f>
        <x:v>62</x:v>
      </x:c>
      <x:c r="Q1209" s="16" t="n">
        <x:f>IF(COUNT(J1209:O1209)&lt;6,"",J1209*5+K1209*4+M1209*4+L1209*3+N1209*2+O1209*2)</x:f>
        <x:v>90</x:v>
      </x:c>
      <x:c r="R1209" s="14" t="str">
        <x:v>high</x:v>
      </x:c>
      <x:c r="S1209" s="14" t="str">
        <x:v>official_prozorro_award_2024_2026</x:v>
      </x:c>
      <x:c r="T1209" s="14" t="str">
        <x:v>official_prozorro_api</x:v>
      </x:c>
      <x:c r="U1209" s="14" t="str">
        <x:v>Не контактували</x:v>
      </x:c>
      <x:c r="V1209" s="15" t="str">
        <x:v>Workflow-audit outreach по UA-2025-10-03-008935-a; попросити 1 пакет здачі та вимоги проєкту</x:v>
      </x:c>
      <x:c r="W1209" s="15" t="str">
        <x:v>Власник / директор; керівник ПТО; відповідальний за договори</x:v>
      </x:c>
      <x:c r="X1209" s="15" t="str">
        <x:v>1 нових підтверджених перемог/договорів у Prozorro на 1 206 765 грн; 1 зі строком виконання не раніше 24.08.2026.</x:v>
      </x:c>
      <x:c r="Y1209"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09" s="15" t="str">
        <x:v>https://prozorro.gov.ua/tender/UA-2025-10-03-008935-a</x:v>
      </x:c>
      <x:c r="AA1209" s="14" t="str">
        <x:v>36839409</x:v>
      </x:c>
      <x:c r="AB1209" s="14" t="str">
        <x:v>2026-08-24</x:v>
      </x:c>
      <x:c r="AC1209" s="14" t="str"/>
      <x:c r="AD1209" s="20" t="str"/>
      <x:c r="AE1209" s="14" t="str"/>
      <x:c r="AF1209" s="14" t="n">
        <x:v>38</x:v>
      </x:c>
      <x:c r="AG1209" s="14" t="str">
        <x:v>I3</x:v>
      </x:c>
      <x:c r="AH1209" s="14" t="n">
        <x:v>1</x:v>
      </x:c>
      <x:c r="AI1209" s="14" t="n">
        <x:v>1</x:v>
      </x:c>
      <x:c r="AJ1209" s="18" t="n">
        <x:v>1206765</x:v>
      </x:c>
      <x:c r="AK1209" s="14" t="str">
        <x:v>https://prozorro.gov.ua/tender/UA-2025-10-03-008935-a</x:v>
      </x:c>
      <x:c r="AL1209" s="19" t="n">
        <x:v>45985.291930046296</x:v>
      </x:c>
      <x:c r="AM1209" s="19" t="n">
        <x:v>46343</x:v>
      </x:c>
      <x:c r="AN1209" s="15" t="str">
        <x:v>Газові мережі</x:v>
      </x:c>
      <x:c r="AO1209" s="15" t="str">
        <x:v>not_found_in_top_search</x:v>
      </x:c>
    </x:row>
    <x:row r="1210">
      <x:c r="A1210" s="14" t="str">
        <x:v>W4-391</x:v>
      </x:c>
      <x:c r="B1210" s="14" t="str">
        <x:v>Prozorro expansion — 24.08</x:v>
      </x:c>
      <x:c r="C1210" s="14" t="str">
        <x:v>ТОВАРИСТВО З ОБМЕЖЕНОЮ ВІДПОВІДАЛЬНІСТЮ "НАУКОВО-ВИРОБНИЧЕ ПІДПРИЄМСТВО "ПК-ЕЛЕКТРИК"</x:v>
      </x:c>
      <x:c r="D1210" s="14" t="str">
        <x:v>Підстанції / силові мережі</x:v>
      </x:c>
      <x:c r="E1210" s="14" t="str">
        <x:v>Pilot now</x:v>
      </x:c>
      <x:c r="F1210" s="17" t="str">
        <x:v>P3</x:v>
      </x:c>
      <x:c r="G1210" s="14" t="str"/>
      <x:c r="H1210" s="14" t="str">
        <x:v>Пілот зараз — Н.15 subset</x:v>
      </x:c>
      <x:c r="I1210" s="16" t="n">
        <x:v>4</x:v>
      </x:c>
      <x:c r="J1210" s="16" t="n">
        <x:v>5</x:v>
      </x:c>
      <x:c r="K1210" s="16" t="n">
        <x:v>5</x:v>
      </x:c>
      <x:c r="L1210" s="16" t="n">
        <x:v>3</x:v>
      </x:c>
      <x:c r="M1210" s="16" t="n">
        <x:v>5</x:v>
      </x:c>
      <x:c r="N1210" s="16" t="n">
        <x:v>5</x:v>
      </x:c>
      <x:c r="O1210" s="16" t="n">
        <x:v>3</x:v>
      </x:c>
      <x:c r="P1210" s="16" t="n">
        <x:f>IF(COUNT(I1210:O1210)&lt;7,"",I1210*8+J1210*3+K1210*2+L1210*2+M1210*2+N1210*2+O1210)</x:f>
        <x:v>86</x:v>
      </x:c>
      <x:c r="Q1210" s="16" t="n">
        <x:f>IF(COUNT(J1210:O1210)&lt;6,"",J1210*5+K1210*4+M1210*4+L1210*3+N1210*2+O1210*2)</x:f>
        <x:v>90</x:v>
      </x:c>
      <x:c r="R1210" s="14" t="str">
        <x:v>high</x:v>
      </x:c>
      <x:c r="S1210" s="14" t="str">
        <x:v>official_prozorro_award_2024_2026</x:v>
      </x:c>
      <x:c r="T1210" s="14" t="str">
        <x:v>official_prozorro_api</x:v>
      </x:c>
      <x:c r="U1210" s="14" t="str">
        <x:v>Не контактували</x:v>
      </x:c>
      <x:c r="V1210" s="15" t="str">
        <x:v>Персоналізований free-pilot outreach по UA-2025-05-22-007796-a; попросити 1 пакет Н.14/Н.15</x:v>
      </x:c>
      <x:c r="W1210" s="15" t="str">
        <x:v>Власник / директор; керівник ПТО; відповідальний за договори</x:v>
      </x:c>
      <x:c r="X1210" s="15" t="str">
        <x:v>1 нових підтверджених перемог/договорів у Prozorro на 1 099 820 грн; 0 зі строком виконання не раніше 24.08.2026.</x:v>
      </x:c>
      <x:c r="Y1210"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10" s="15" t="str">
        <x:v>https://prozorro.gov.ua/tender/UA-2025-05-22-007796-a</x:v>
      </x:c>
      <x:c r="AA1210" s="14" t="str">
        <x:v>39460284</x:v>
      </x:c>
      <x:c r="AB1210" s="14" t="str">
        <x:v>2026-08-24</x:v>
      </x:c>
      <x:c r="AC1210" s="14" t="str"/>
      <x:c r="AD1210" s="20" t="str"/>
      <x:c r="AE1210" s="14" t="str"/>
      <x:c r="AF1210" s="14" t="n">
        <x:v>38</x:v>
      </x:c>
      <x:c r="AG1210" s="14" t="str">
        <x:v>I3</x:v>
      </x:c>
      <x:c r="AH1210" s="14" t="n">
        <x:v>1</x:v>
      </x:c>
      <x:c r="AI1210" s="14" t="n">
        <x:v>0</x:v>
      </x:c>
      <x:c r="AJ1210" s="18" t="n">
        <x:v>1099820</x:v>
      </x:c>
      <x:c r="AK1210" s="14" t="str">
        <x:v>https://prozorro.gov.ua/tender/UA-2025-05-22-007796-a</x:v>
      </x:c>
      <x:c r="AL1210" s="19" t="n">
        <x:v>45842.51242530093</x:v>
      </x:c>
      <x:c r="AM1210" s="19" t="n">
        <x:v>46022</x:v>
      </x:c>
      <x:c r="AN1210" s="15" t="str">
        <x:v>Підстанції / силові мережі</x:v>
      </x:c>
      <x:c r="AO1210" s="15" t="str">
        <x:v>not_found_in_top_search</x:v>
      </x:c>
    </x:row>
    <x:row r="1211">
      <x:c r="A1211" s="14" t="str">
        <x:v>W4-392</x:v>
      </x:c>
      <x:c r="B1211" s="14" t="str">
        <x:v>Prozorro expansion — 24.08</x:v>
      </x:c>
      <x:c r="C1211" s="14" t="str">
        <x:v>ТОВ "СПС-ПРОЄКТ"</x:v>
      </x:c>
      <x:c r="D1211" s="14" t="str">
        <x:v>Газові мережі</x:v>
      </x:c>
      <x:c r="E1211" s="14" t="str">
        <x:v>Expansion discovery</x:v>
      </x:c>
      <x:c r="F1211" s="17" t="str">
        <x:v>D3</x:v>
      </x:c>
      <x:c r="G1211" s="14" t="str"/>
      <x:c r="H1211" s="14" t="str">
        <x:v>Discovery розширення — 2 тижні</x:v>
      </x:c>
      <x:c r="I1211" s="16" t="n">
        <x:v>1</x:v>
      </x:c>
      <x:c r="J1211" s="16" t="n">
        <x:v>5</x:v>
      </x:c>
      <x:c r="K1211" s="16" t="n">
        <x:v>5</x:v>
      </x:c>
      <x:c r="L1211" s="16" t="n">
        <x:v>3</x:v>
      </x:c>
      <x:c r="M1211" s="16" t="n">
        <x:v>5</x:v>
      </x:c>
      <x:c r="N1211" s="16" t="n">
        <x:v>5</x:v>
      </x:c>
      <x:c r="O1211" s="16" t="n">
        <x:v>3</x:v>
      </x:c>
      <x:c r="P1211" s="16" t="n">
        <x:f>IF(COUNT(I1211:O1211)&lt;7,"",I1211*8+J1211*3+K1211*2+L1211*2+M1211*2+N1211*2+O1211)</x:f>
        <x:v>62</x:v>
      </x:c>
      <x:c r="Q1211" s="16" t="n">
        <x:f>IF(COUNT(J1211:O1211)&lt;6,"",J1211*5+K1211*4+M1211*4+L1211*3+N1211*2+O1211*2)</x:f>
        <x:v>90</x:v>
      </x:c>
      <x:c r="R1211" s="14" t="str">
        <x:v>high</x:v>
      </x:c>
      <x:c r="S1211" s="14" t="str">
        <x:v>official_prozorro_award_2024_2026</x:v>
      </x:c>
      <x:c r="T1211" s="14" t="str">
        <x:v>official_prozorro_api</x:v>
      </x:c>
      <x:c r="U1211" s="14" t="str">
        <x:v>Не контактували</x:v>
      </x:c>
      <x:c r="V1211" s="15" t="str">
        <x:v>Workflow-audit outreach по UA-2025-10-03-008908-a; попросити 1 пакет здачі та вимоги проєкту</x:v>
      </x:c>
      <x:c r="W1211" s="15" t="str">
        <x:v>Власник / директор; керівник ПТО; відповідальний за договори</x:v>
      </x:c>
      <x:c r="X1211" s="15" t="str">
        <x:v>1 нових підтверджених перемог/договорів у Prozorro на 1 054 000 грн; 1 зі строком виконання не раніше 24.08.2026.</x:v>
      </x:c>
      <x:c r="Y1211"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11" s="15" t="str">
        <x:v>https://prozorro.gov.ua/tender/UA-2025-10-03-008908-a</x:v>
      </x:c>
      <x:c r="AA1211" s="14" t="str">
        <x:v>44923877</x:v>
      </x:c>
      <x:c r="AB1211" s="14" t="str">
        <x:v>2026-08-24</x:v>
      </x:c>
      <x:c r="AC1211" s="14" t="str"/>
      <x:c r="AD1211" s="20" t="str"/>
      <x:c r="AE1211" s="14" t="str"/>
      <x:c r="AF1211" s="14" t="n">
        <x:v>38</x:v>
      </x:c>
      <x:c r="AG1211" s="14" t="str">
        <x:v>I3</x:v>
      </x:c>
      <x:c r="AH1211" s="14" t="n">
        <x:v>1</x:v>
      </x:c>
      <x:c r="AI1211" s="14" t="n">
        <x:v>1</x:v>
      </x:c>
      <x:c r="AJ1211" s="18" t="n">
        <x:v>1054000</x:v>
      </x:c>
      <x:c r="AK1211" s="14" t="str">
        <x:v>https://prozorro.gov.ua/tender/UA-2025-10-03-008908-a</x:v>
      </x:c>
      <x:c r="AL1211" s="19" t="n">
        <x:v>45987.408390613426</x:v>
      </x:c>
      <x:c r="AM1211" s="19" t="n">
        <x:v>46343</x:v>
      </x:c>
      <x:c r="AN1211" s="15" t="str">
        <x:v>Газові мережі</x:v>
      </x:c>
      <x:c r="AO1211" s="15" t="str">
        <x:v>not_found_in_top_search</x:v>
      </x:c>
    </x:row>
    <x:row r="1212">
      <x:c r="A1212" s="14" t="str">
        <x:v>W4-393</x:v>
      </x:c>
      <x:c r="B1212" s="14" t="str">
        <x:v>Prozorro expansion — 24.08</x:v>
      </x:c>
      <x:c r="C1212" s="14" t="str">
        <x:v>ТОВАРИСТВО З ОБМЕЖЕНОЮ ВІДПОВІДАЛЬНІСТЮ "РОЯЛ ВЕСТ СЕРВІС"</x:v>
      </x:c>
      <x:c r="D1212" s="14" t="str">
        <x:v>Пожежогасіння</x:v>
      </x:c>
      <x:c r="E1212" s="14" t="str">
        <x:v>Expansion discovery</x:v>
      </x:c>
      <x:c r="F1212" s="17" t="str">
        <x:v>D3</x:v>
      </x:c>
      <x:c r="G1212" s="14" t="str"/>
      <x:c r="H1212" s="14" t="str">
        <x:v>Discovery розширення — 2 тижні</x:v>
      </x:c>
      <x:c r="I1212" s="16" t="n">
        <x:v>1</x:v>
      </x:c>
      <x:c r="J1212" s="16" t="n">
        <x:v>5</x:v>
      </x:c>
      <x:c r="K1212" s="16" t="n">
        <x:v>5</x:v>
      </x:c>
      <x:c r="L1212" s="16" t="n">
        <x:v>3</x:v>
      </x:c>
      <x:c r="M1212" s="16" t="n">
        <x:v>5</x:v>
      </x:c>
      <x:c r="N1212" s="16" t="n">
        <x:v>5</x:v>
      </x:c>
      <x:c r="O1212" s="16" t="n">
        <x:v>3</x:v>
      </x:c>
      <x:c r="P1212" s="16" t="n">
        <x:f>IF(COUNT(I1212:O1212)&lt;7,"",I1212*8+J1212*3+K1212*2+L1212*2+M1212*2+N1212*2+O1212)</x:f>
        <x:v>62</x:v>
      </x:c>
      <x:c r="Q1212" s="16" t="n">
        <x:f>IF(COUNT(J1212:O1212)&lt;6,"",J1212*5+K1212*4+M1212*4+L1212*3+N1212*2+O1212*2)</x:f>
        <x:v>90</x:v>
      </x:c>
      <x:c r="R1212" s="14" t="str">
        <x:v>high</x:v>
      </x:c>
      <x:c r="S1212" s="14" t="str">
        <x:v>official_prozorro_award_2024_2026</x:v>
      </x:c>
      <x:c r="T1212" s="14" t="str">
        <x:v>official_prozorro_api</x:v>
      </x:c>
      <x:c r="U1212" s="14" t="str">
        <x:v>Не контактували</x:v>
      </x:c>
      <x:c r="V1212" s="15" t="str">
        <x:v>Workflow-audit outreach по UA-2025-11-14-008811-a; попросити 1 пакет здачі та вимоги проєкту</x:v>
      </x:c>
      <x:c r="W1212" s="15" t="str">
        <x:v>Власник / директор; керівник ПТО; відповідальний за договори</x:v>
      </x:c>
      <x:c r="X1212" s="15" t="str">
        <x:v>1 нових підтверджених перемог/договорів у Prozorro на 1 004 757 грн; 0 зі строком виконання не раніше 24.08.2026.</x:v>
      </x:c>
      <x:c r="Y1212"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 строк до 2025-12-24. Попросити один знеособлений пакет здачі за цим workflow.</x:v>
      </x:c>
      <x:c r="Z1212" s="15" t="str">
        <x:v>https://prozorro.gov.ua/tender/UA-2025-11-14-008811-a</x:v>
      </x:c>
      <x:c r="AA1212" s="14" t="str">
        <x:v>39486590</x:v>
      </x:c>
      <x:c r="AB1212" s="14" t="str">
        <x:v>2026-08-24</x:v>
      </x:c>
      <x:c r="AC1212" s="14" t="str"/>
      <x:c r="AD1212" s="20" t="str"/>
      <x:c r="AE1212" s="14" t="str"/>
      <x:c r="AF1212" s="14" t="n">
        <x:v>38</x:v>
      </x:c>
      <x:c r="AG1212" s="14" t="str">
        <x:v>I3</x:v>
      </x:c>
      <x:c r="AH1212" s="14" t="n">
        <x:v>1</x:v>
      </x:c>
      <x:c r="AI1212" s="14" t="n">
        <x:v>0</x:v>
      </x:c>
      <x:c r="AJ1212" s="18" t="n">
        <x:v>1004756.89</x:v>
      </x:c>
      <x:c r="AK1212" s="14" t="str">
        <x:v>https://prozorro.gov.ua/tender/UA-2025-11-14-008811-a</x:v>
      </x:c>
      <x:c r="AL1212" s="19" t="n">
        <x:v>45986.5888984375</x:v>
      </x:c>
      <x:c r="AM1212" s="19" t="n">
        <x:v>46015</x:v>
      </x:c>
      <x:c r="AN1212" s="15" t="str">
        <x:v>Пожежогасіння</x:v>
      </x:c>
      <x:c r="AO1212" s="15" t="str">
        <x:v>not_found_in_top_search</x:v>
      </x:c>
    </x:row>
    <x:row r="1213">
      <x:c r="A1213" s="14" t="str">
        <x:v>W4-394</x:v>
      </x:c>
      <x:c r="B1213" s="14" t="str">
        <x:v>Prozorro expansion — 24.08</x:v>
      </x:c>
      <x:c r="C1213" s="14" t="str">
        <x:v>ТОВАРИСТВО З ОБМЕЖЕНОЮ ВІДПОВІДАЛЬНІСТЮ "ЕКО-ІНДУСТРІЯ"</x:v>
      </x:c>
      <x:c r="D1213" s="14" t="str">
        <x:v>HVAC / ОВіК</x:v>
      </x:c>
      <x:c r="E1213" s="14" t="str">
        <x:v>Pilot now</x:v>
      </x:c>
      <x:c r="F1213" s="17" t="str">
        <x:v>P3</x:v>
      </x:c>
      <x:c r="G1213" s="14" t="str"/>
      <x:c r="H1213" s="14" t="str">
        <x:v>Пілот зараз — Н.14</x:v>
      </x:c>
      <x:c r="I1213" s="16" t="n">
        <x:v>5</x:v>
      </x:c>
      <x:c r="J1213" s="16" t="n">
        <x:v>5</x:v>
      </x:c>
      <x:c r="K1213" s="16" t="n">
        <x:v>4</x:v>
      </x:c>
      <x:c r="L1213" s="16" t="n">
        <x:v>3</x:v>
      </x:c>
      <x:c r="M1213" s="16" t="n">
        <x:v>5</x:v>
      </x:c>
      <x:c r="N1213" s="16" t="n">
        <x:v>5</x:v>
      </x:c>
      <x:c r="O1213" s="16" t="n">
        <x:v>3</x:v>
      </x:c>
      <x:c r="P1213" s="16" t="n">
        <x:f>IF(COUNT(I1213:O1213)&lt;7,"",I1213*8+J1213*3+K1213*2+L1213*2+M1213*2+N1213*2+O1213)</x:f>
        <x:v>92</x:v>
      </x:c>
      <x:c r="Q1213" s="16" t="n">
        <x:f>IF(COUNT(J1213:O1213)&lt;6,"",J1213*5+K1213*4+M1213*4+L1213*3+N1213*2+O1213*2)</x:f>
        <x:v>86</x:v>
      </x:c>
      <x:c r="R1213" s="14" t="str">
        <x:v>high</x:v>
      </x:c>
      <x:c r="S1213" s="14" t="str">
        <x:v>official_prozorro_award_2024_2026</x:v>
      </x:c>
      <x:c r="T1213" s="14" t="str">
        <x:v>official_prozorro_api</x:v>
      </x:c>
      <x:c r="U1213" s="14" t="str">
        <x:v>Не контактували</x:v>
      </x:c>
      <x:c r="V1213" s="15" t="str">
        <x:v>Персоналізований free-pilot outreach по UA-2025-09-18-012390-a; попросити 1 пакет Н.14/Н.15</x:v>
      </x:c>
      <x:c r="W1213" s="15" t="str">
        <x:v>Власник / директор; керівник ПТО; відповідальний за договори</x:v>
      </x:c>
      <x:c r="X1213" s="15" t="str">
        <x:v>1 нових підтверджених перемог/договорів у Prozorro на 979 348 грн; 0 зі строком виконання не раніше 24.08.2026.</x:v>
      </x:c>
      <x:c r="Y1213"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13" s="15" t="str">
        <x:v>https://prozorro.gov.ua/tender/UA-2025-09-18-012390-a</x:v>
      </x:c>
      <x:c r="AA1213" s="14" t="str">
        <x:v>42802557</x:v>
      </x:c>
      <x:c r="AB1213" s="14" t="str">
        <x:v>2026-08-24</x:v>
      </x:c>
      <x:c r="AC1213" s="14" t="str"/>
      <x:c r="AD1213" s="20" t="str"/>
      <x:c r="AE1213" s="14" t="str"/>
      <x:c r="AF1213" s="14" t="n">
        <x:v>38</x:v>
      </x:c>
      <x:c r="AG1213" s="14" t="str">
        <x:v>I3</x:v>
      </x:c>
      <x:c r="AH1213" s="14" t="n">
        <x:v>1</x:v>
      </x:c>
      <x:c r="AI1213" s="14" t="n">
        <x:v>0</x:v>
      </x:c>
      <x:c r="AJ1213" s="18" t="n">
        <x:v>979347.8</x:v>
      </x:c>
      <x:c r="AK1213" s="14" t="str">
        <x:v>https://prozorro.gov.ua/tender/UA-2025-09-18-012390-a</x:v>
      </x:c>
      <x:c r="AL1213" s="19" t="n">
        <x:v>45932.431723368056</x:v>
      </x:c>
      <x:c r="AM1213" s="19" t="n">
        <x:v>45992</x:v>
      </x:c>
      <x:c r="AN1213" s="15" t="str">
        <x:v>HVAC / ОВіК</x:v>
      </x:c>
      <x:c r="AO1213" s="15" t="str">
        <x:v>not_found_in_top_search</x:v>
      </x:c>
    </x:row>
    <x:row r="1214">
      <x:c r="A1214" s="14" t="str">
        <x:v>W4-395</x:v>
      </x:c>
      <x:c r="B1214" s="14" t="str">
        <x:v>Prozorro expansion — 24.08</x:v>
      </x:c>
      <x:c r="C1214" s="14" t="str">
        <x:v>ПП «Профі-оберіг»</x:v>
      </x:c>
      <x:c r="D1214" s="14" t="str">
        <x:v>Пасивний вогнезахист</x:v>
      </x:c>
      <x:c r="E1214" s="14" t="str">
        <x:v>Expansion discovery</x:v>
      </x:c>
      <x:c r="F1214" s="17" t="str">
        <x:v>D3</x:v>
      </x:c>
      <x:c r="G1214" s="14" t="str"/>
      <x:c r="H1214" s="14" t="str">
        <x:v>Discovery розширення — 2 тижні</x:v>
      </x:c>
      <x:c r="I1214" s="16" t="n">
        <x:v>1</x:v>
      </x:c>
      <x:c r="J1214" s="16" t="n">
        <x:v>5</x:v>
      </x:c>
      <x:c r="K1214" s="16" t="n">
        <x:v>5</x:v>
      </x:c>
      <x:c r="L1214" s="16" t="n">
        <x:v>3</x:v>
      </x:c>
      <x:c r="M1214" s="16" t="n">
        <x:v>5</x:v>
      </x:c>
      <x:c r="N1214" s="16" t="n">
        <x:v>5</x:v>
      </x:c>
      <x:c r="O1214" s="16" t="n">
        <x:v>3</x:v>
      </x:c>
      <x:c r="P1214" s="16" t="n">
        <x:f>IF(COUNT(I1214:O1214)&lt;7,"",I1214*8+J1214*3+K1214*2+L1214*2+M1214*2+N1214*2+O1214)</x:f>
        <x:v>62</x:v>
      </x:c>
      <x:c r="Q1214" s="16" t="n">
        <x:f>IF(COUNT(J1214:O1214)&lt;6,"",J1214*5+K1214*4+M1214*4+L1214*3+N1214*2+O1214*2)</x:f>
        <x:v>90</x:v>
      </x:c>
      <x:c r="R1214" s="14" t="str">
        <x:v>high</x:v>
      </x:c>
      <x:c r="S1214" s="14" t="str">
        <x:v>official_prozorro_award_2024_2026</x:v>
      </x:c>
      <x:c r="T1214" s="14" t="str">
        <x:v>official_prozorro_api</x:v>
      </x:c>
      <x:c r="U1214" s="14" t="str">
        <x:v>Не контактували</x:v>
      </x:c>
      <x:c r="V1214" s="15" t="str">
        <x:v>Повторне звернення з новим тендерним сигналом UA-2026-06-09-006519-a; попросити 1 пакет здачі</x:v>
      </x:c>
      <x:c r="W1214" s="15" t="str">
        <x:v>Власник / директор; керівник ПТО; відповідальний за договори</x:v>
      </x:c>
      <x:c r="X1214" s="15" t="str">
        <x:v>1 нових підтверджених перемог/договорів у Prozorro на 957 413 грн; 0 зі строком виконання не раніше 24.08.2026.</x:v>
      </x:c>
      <x:c r="Y1214" s="15" t="str">
        <x:v>(ДК 021:2015 код 45343000-3 Встановлення протипожежного обладнання) Вогнезахист проходу кабелів через протипожежну перешкоду при капітальному ремонті (заміні) кабельних коробів ВРП 330кВ філії «Дністровська ГЕС» ПрАТ «Укргідроенерго»; строк до 2025-09-30. Попросити один знеособлений пакет здачі за цим workflow.</x:v>
      </x:c>
      <x:c r="Z1214" s="15" t="str">
        <x:v>https://prozorro.gov.ua/tender/UA-2025-06-19-000613-a</x:v>
      </x:c>
      <x:c r="AA1214" s="14" t="str">
        <x:v>34026550</x:v>
      </x:c>
      <x:c r="AB1214" s="14" t="str">
        <x:v>2026-08-24</x:v>
      </x:c>
      <x:c r="AC1214" s="14" t="str"/>
      <x:c r="AD1214" s="20" t="str"/>
      <x:c r="AE1214" s="14" t="str"/>
      <x:c r="AF1214" s="14" t="n">
        <x:v>46</x:v>
      </x:c>
      <x:c r="AG1214" s="14" t="str">
        <x:v>I3</x:v>
      </x:c>
      <x:c r="AH1214" s="14" t="n">
        <x:v>2</x:v>
      </x:c>
      <x:c r="AI1214" s="14" t="n">
        <x:v>1</x:v>
      </x:c>
      <x:c r="AJ1214" s="18" t="n">
        <x:v>1028023.28</x:v>
      </x:c>
      <x:c r="AK1214" s="14" t="str">
        <x:v>https://prozorro.gov.ua/tender/UA-2026-06-09-006519-a</x:v>
      </x:c>
      <x:c r="AL1214" s="19" t="n">
        <x:v>46182.409882685184</x:v>
      </x:c>
      <x:c r="AM1214" s="19" t="n">
        <x:v>46387</x:v>
      </x:c>
      <x:c r="AN1214" s="15" t="str">
        <x:v>Пасивний вогнезахист; Блискавкозахист / заземлення</x:v>
      </x:c>
      <x:c r="AO1214" s="15" t="str">
        <x:v>not_found_in_top_search</x:v>
      </x:c>
    </x:row>
    <x:row r="1215">
      <x:c r="A1215" s="14" t="str">
        <x:v>W4-396</x:v>
      </x:c>
      <x:c r="B1215" s="14" t="str">
        <x:v>Prozorro expansion — 24.08</x:v>
      </x:c>
      <x:c r="C1215" s="14" t="str">
        <x:v>ТОВАРИСТВО З ОБМЕЖЕНОЮ ВІДПОВІДАЛЬНІСТЮ «ГЕФЕСТ Л»</x:v>
      </x:c>
      <x:c r="D1215" s="14" t="str">
        <x:v>Пожежогасіння</x:v>
      </x:c>
      <x:c r="E1215" s="14" t="str">
        <x:v>Expansion discovery</x:v>
      </x:c>
      <x:c r="F1215" s="17" t="str">
        <x:v>D3</x:v>
      </x:c>
      <x:c r="G1215" s="14" t="str"/>
      <x:c r="H1215" s="14" t="str">
        <x:v>Discovery розширення — 2 тижні</x:v>
      </x:c>
      <x:c r="I1215" s="16" t="n">
        <x:v>1</x:v>
      </x:c>
      <x:c r="J1215" s="16" t="n">
        <x:v>5</x:v>
      </x:c>
      <x:c r="K1215" s="16" t="n">
        <x:v>5</x:v>
      </x:c>
      <x:c r="L1215" s="16" t="n">
        <x:v>3</x:v>
      </x:c>
      <x:c r="M1215" s="16" t="n">
        <x:v>5</x:v>
      </x:c>
      <x:c r="N1215" s="16" t="n">
        <x:v>5</x:v>
      </x:c>
      <x:c r="O1215" s="16" t="n">
        <x:v>3</x:v>
      </x:c>
      <x:c r="P1215" s="16" t="n">
        <x:f>IF(COUNT(I1215:O1215)&lt;7,"",I1215*8+J1215*3+K1215*2+L1215*2+M1215*2+N1215*2+O1215)</x:f>
        <x:v>62</x:v>
      </x:c>
      <x:c r="Q1215" s="16" t="n">
        <x:f>IF(COUNT(J1215:O1215)&lt;6,"",J1215*5+K1215*4+M1215*4+L1215*3+N1215*2+O1215*2)</x:f>
        <x:v>90</x:v>
      </x:c>
      <x:c r="R1215" s="14" t="str">
        <x:v>high</x:v>
      </x:c>
      <x:c r="S1215" s="14" t="str">
        <x:v>official_prozorro_award_2024_2026</x:v>
      </x:c>
      <x:c r="T1215" s="14" t="str">
        <x:v>official_prozorro_api</x:v>
      </x:c>
      <x:c r="U1215" s="14" t="str">
        <x:v>Не контактували</x:v>
      </x:c>
      <x:c r="V1215" s="15" t="str">
        <x:v>Workflow-audit outreach по UA-2025-08-28-009722-a; попросити 1 пакет здачі та вимоги проєкту</x:v>
      </x:c>
      <x:c r="W1215" s="15" t="str">
        <x:v>Власник / директор; керівник ПТО; відповідальний за договори</x:v>
      </x:c>
      <x:c r="X1215" s="15" t="str">
        <x:v>1 нових підтверджених перемог/договорів у Prozorro на 804 033 грн; 0 зі строком виконання не раніше 24.08.2026.</x:v>
      </x:c>
      <x:c r="Y1215" s="15" t="str">
        <x:v>Обладнання та послуги з монтажу автоматичної системи (газового) пожежогасіння серверної за адресою: м. Львів,вул. Високий Замок, 4; строк до 2025-11-30. Попросити один знеособлений пакет здачі за цим workflow.</x:v>
      </x:c>
      <x:c r="Z1215" s="15" t="str">
        <x:v>https://prozorro.gov.ua/tender/UA-2025-08-28-009722-a</x:v>
      </x:c>
      <x:c r="AA1215" s="14" t="str">
        <x:v>43876617</x:v>
      </x:c>
      <x:c r="AB1215" s="14" t="str">
        <x:v>2026-08-24</x:v>
      </x:c>
      <x:c r="AC1215" s="14" t="str"/>
      <x:c r="AD1215" s="20" t="str"/>
      <x:c r="AE1215" s="14" t="str"/>
      <x:c r="AF1215" s="14" t="n">
        <x:v>38</x:v>
      </x:c>
      <x:c r="AG1215" s="14" t="str">
        <x:v>I3</x:v>
      </x:c>
      <x:c r="AH1215" s="14" t="n">
        <x:v>1</x:v>
      </x:c>
      <x:c r="AI1215" s="14" t="n">
        <x:v>0</x:v>
      </x:c>
      <x:c r="AJ1215" s="18" t="n">
        <x:v>804032.95</x:v>
      </x:c>
      <x:c r="AK1215" s="14" t="str">
        <x:v>https://prozorro.gov.ua/tender/UA-2025-08-28-009722-a</x:v>
      </x:c>
      <x:c r="AL1215" s="19" t="n">
        <x:v>45912.34026747685</x:v>
      </x:c>
      <x:c r="AM1215" s="19" t="n">
        <x:v>45991</x:v>
      </x:c>
      <x:c r="AN1215" s="15" t="str">
        <x:v>Пожежогасіння</x:v>
      </x:c>
      <x:c r="AO1215" s="15" t="str">
        <x:v>not_found_in_top_search</x:v>
      </x:c>
    </x:row>
    <x:row r="1216">
      <x:c r="A1216" s="14" t="str">
        <x:v>W4-397</x:v>
      </x:c>
      <x:c r="B1216" s="14" t="str">
        <x:v>Prozorro expansion — 24.08</x:v>
      </x:c>
      <x:c r="C1216" s="14" t="str">
        <x:v>ТОВ "АГРОРЕМСЕРВІСПРИЛАД-М"</x:v>
      </x:c>
      <x:c r="D1216" s="14" t="str">
        <x:v>Металоконструкції</x:v>
      </x:c>
      <x:c r="E1216" s="14" t="str">
        <x:v>Expansion discovery</x:v>
      </x:c>
      <x:c r="F1216" s="17" t="str">
        <x:v>D3</x:v>
      </x:c>
      <x:c r="G1216" s="14" t="str"/>
      <x:c r="H1216" s="14" t="str">
        <x:v>Discovery розширення — 2 тижні</x:v>
      </x:c>
      <x:c r="I1216" s="16" t="n">
        <x:v>1</x:v>
      </x:c>
      <x:c r="J1216" s="16" t="n">
        <x:v>5</x:v>
      </x:c>
      <x:c r="K1216" s="16" t="n">
        <x:v>5</x:v>
      </x:c>
      <x:c r="L1216" s="16" t="n">
        <x:v>3</x:v>
      </x:c>
      <x:c r="M1216" s="16" t="n">
        <x:v>5</x:v>
      </x:c>
      <x:c r="N1216" s="16" t="n">
        <x:v>5</x:v>
      </x:c>
      <x:c r="O1216" s="16" t="n">
        <x:v>3</x:v>
      </x:c>
      <x:c r="P1216" s="16" t="n">
        <x:f>IF(COUNT(I1216:O1216)&lt;7,"",I1216*8+J1216*3+K1216*2+L1216*2+M1216*2+N1216*2+O1216)</x:f>
        <x:v>62</x:v>
      </x:c>
      <x:c r="Q1216" s="16" t="n">
        <x:f>IF(COUNT(J1216:O1216)&lt;6,"",J1216*5+K1216*4+M1216*4+L1216*3+N1216*2+O1216*2)</x:f>
        <x:v>90</x:v>
      </x:c>
      <x:c r="R1216" s="14" t="str">
        <x:v>high</x:v>
      </x:c>
      <x:c r="S1216" s="14" t="str">
        <x:v>official_prozorro_award_2024_2026</x:v>
      </x:c>
      <x:c r="T1216" s="14" t="str">
        <x:v>official_prozorro_api</x:v>
      </x:c>
      <x:c r="U1216" s="14" t="str">
        <x:v>Не контактували</x:v>
      </x:c>
      <x:c r="V1216" s="15" t="str">
        <x:v>Workflow-audit outreach по UA-2025-06-16-011398-a; попросити 1 пакет здачі та вимоги проєкту</x:v>
      </x:c>
      <x:c r="W1216" s="15" t="str">
        <x:v>Власник / директор; керівник ПТО; відповідальний за договори</x:v>
      </x:c>
      <x:c r="X1216" s="15" t="str">
        <x:v>1 нових підтверджених перемог/договорів у Prozorro на 542 922 грн; 0 зі строком виконання не раніше 24.08.2026.</x:v>
      </x:c>
      <x:c r="Y1216" s="15" t="str">
        <x:v>Послуги з монтажу металоконструкцій та механізмів для пункту зливу-наливу нафтопродуктів спеціального призначення; строк до 2025-07-30. Попросити один знеособлений пакет здачі за цим workflow.</x:v>
      </x:c>
      <x:c r="Z1216" s="15" t="str">
        <x:v>https://prozorro.gov.ua/tender/UA-2025-06-16-011398-a</x:v>
      </x:c>
      <x:c r="AA1216" s="14" t="str">
        <x:v>36324739</x:v>
      </x:c>
      <x:c r="AB1216" s="14" t="str">
        <x:v>2026-08-24</x:v>
      </x:c>
      <x:c r="AC1216" s="14" t="str"/>
      <x:c r="AD1216" s="20" t="str"/>
      <x:c r="AE1216" s="14" t="str"/>
      <x:c r="AF1216" s="14" t="n">
        <x:v>38</x:v>
      </x:c>
      <x:c r="AG1216" s="14" t="str">
        <x:v>I3</x:v>
      </x:c>
      <x:c r="AH1216" s="14" t="n">
        <x:v>1</x:v>
      </x:c>
      <x:c r="AI1216" s="14" t="n">
        <x:v>0</x:v>
      </x:c>
      <x:c r="AJ1216" s="18" t="n">
        <x:v>542922</x:v>
      </x:c>
      <x:c r="AK1216" s="14" t="str">
        <x:v>https://prozorro.gov.ua/tender/UA-2025-06-16-011398-a</x:v>
      </x:c>
      <x:c r="AL1216" s="19" t="n">
        <x:v>45832.26776739583</x:v>
      </x:c>
      <x:c r="AM1216" s="19" t="n">
        <x:v>45868</x:v>
      </x:c>
      <x:c r="AN1216" s="15" t="str">
        <x:v>Металоконструкції</x:v>
      </x:c>
      <x:c r="AO1216" s="15" t="str">
        <x:v>not_found_in_top_search</x:v>
      </x:c>
    </x:row>
    <x:row r="1217">
      <x:c r="A1217" s="14" t="str">
        <x:v>W4-398</x:v>
      </x:c>
      <x:c r="B1217" s="14" t="str">
        <x:v>Prozorro expansion — 24.08</x:v>
      </x:c>
      <x:c r="C1217" s="14" t="str">
        <x:v>Яцюк Олександр Олександрович</x:v>
      </x:c>
      <x:c r="D1217" s="14" t="str">
        <x:v>Внутрішні сантехнічні системи</x:v>
      </x:c>
      <x:c r="E1217" s="14" t="str">
        <x:v>Pilot now</x:v>
      </x:c>
      <x:c r="F1217" s="17" t="str">
        <x:v>P3</x:v>
      </x:c>
      <x:c r="G1217" s="14" t="str"/>
      <x:c r="H1217" s="14" t="str">
        <x:v>Пілот зараз — Н.14</x:v>
      </x:c>
      <x:c r="I1217" s="16" t="n">
        <x:v>5</x:v>
      </x:c>
      <x:c r="J1217" s="16" t="n">
        <x:v>5</x:v>
      </x:c>
      <x:c r="K1217" s="16" t="n">
        <x:v>4</x:v>
      </x:c>
      <x:c r="L1217" s="16" t="n">
        <x:v>1</x:v>
      </x:c>
      <x:c r="M1217" s="16" t="n">
        <x:v>5</x:v>
      </x:c>
      <x:c r="N1217" s="16" t="n">
        <x:v>3</x:v>
      </x:c>
      <x:c r="O1217" s="16" t="n">
        <x:v>3</x:v>
      </x:c>
      <x:c r="P1217" s="16" t="n">
        <x:f>IF(COUNT(I1217:O1217)&lt;7,"",I1217*8+J1217*3+K1217*2+L1217*2+M1217*2+N1217*2+O1217)</x:f>
        <x:v>84</x:v>
      </x:c>
      <x:c r="Q1217" s="16" t="n">
        <x:f>IF(COUNT(J1217:O1217)&lt;6,"",J1217*5+K1217*4+M1217*4+L1217*3+N1217*2+O1217*2)</x:f>
        <x:v>76</x:v>
      </x:c>
      <x:c r="R1217" s="14" t="str">
        <x:v>high</x:v>
      </x:c>
      <x:c r="S1217" s="14" t="str">
        <x:v>official_prozorro_award_2024_2026</x:v>
      </x:c>
      <x:c r="T1217" s="14" t="str">
        <x:v>official_prozorro_api</x:v>
      </x:c>
      <x:c r="U1217" s="14" t="str">
        <x:v>Не контактували</x:v>
      </x:c>
      <x:c r="V1217" s="15" t="str">
        <x:v>Персоналізований free-pilot outreach по UA-2026-02-10-000287-a; попросити 1 пакет Н.14/Н.15</x:v>
      </x:c>
      <x:c r="W1217" s="15" t="str">
        <x:v>Власник / виконавець; відповідальний за договір</x:v>
      </x:c>
      <x:c r="X1217" s="15" t="str">
        <x:v>1 нових підтверджених перемог/договорів у Prozorro на 99 900 грн; 1 зі строком виконання не раніше 24.08.2026.</x:v>
      </x:c>
      <x:c r="Y1217"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 строк до 2026-12-31. Попросити один знеособлений пакет здачі за цим workflow.</x:v>
      </x:c>
      <x:c r="Z1217" s="15" t="str">
        <x:v>https://prozorro.gov.ua/tender/UA-2026-02-10-000287-a</x:v>
      </x:c>
      <x:c r="AA1217" s="14" t="str">
        <x:v>3122013255</x:v>
      </x:c>
      <x:c r="AB1217" s="14" t="str">
        <x:v>2026-08-24</x:v>
      </x:c>
      <x:c r="AC1217" s="14" t="str"/>
      <x:c r="AD1217" s="20" t="str"/>
      <x:c r="AE1217" s="14" t="str"/>
      <x:c r="AF1217" s="14" t="n">
        <x:v>38</x:v>
      </x:c>
      <x:c r="AG1217" s="14" t="str">
        <x:v>I3</x:v>
      </x:c>
      <x:c r="AH1217" s="14" t="n">
        <x:v>1</x:v>
      </x:c>
      <x:c r="AI1217" s="14" t="n">
        <x:v>1</x:v>
      </x:c>
      <x:c r="AJ1217" s="18" t="n">
        <x:v>99900</x:v>
      </x:c>
      <x:c r="AK1217" s="14" t="str">
        <x:v>https://prozorro.gov.ua/tender/UA-2026-02-10-000287-a</x:v>
      </x:c>
      <x:c r="AL1217" s="19" t="n">
        <x:v>46063.276612407404</x:v>
      </x:c>
      <x:c r="AM1217" s="19" t="n">
        <x:v>46387</x:v>
      </x:c>
      <x:c r="AN1217" s="15" t="str">
        <x:v>Внутрішні сантехнічні системи</x:v>
      </x:c>
      <x:c r="AO1217" s="15" t="str">
        <x:v>not_found_in_top_search</x:v>
      </x:c>
    </x:row>
    <x:row r="1218">
      <x:c r="A1218" s="14" t="str">
        <x:v>W4-399</x:v>
      </x:c>
      <x:c r="B1218" s="14" t="str">
        <x:v>Prozorro expansion — 24.08</x:v>
      </x:c>
      <x:c r="C1218" s="14" t="str">
        <x:v>АЛАВЕРДЯН ГАРРІЙ АРУТЮНОВИЧ</x:v>
      </x:c>
      <x:c r="D1218" s="14" t="str">
        <x:v>Металоконструкції</x:v>
      </x:c>
      <x:c r="E1218" s="14" t="str">
        <x:v>Expansion discovery</x:v>
      </x:c>
      <x:c r="F1218" s="17" t="str">
        <x:v>D3</x:v>
      </x:c>
      <x:c r="G1218" s="14" t="str"/>
      <x:c r="H1218" s="14" t="str">
        <x:v>Discovery розширення — 2 тижні</x:v>
      </x:c>
      <x:c r="I1218" s="16" t="n">
        <x:v>1</x:v>
      </x:c>
      <x:c r="J1218" s="16" t="n">
        <x:v>5</x:v>
      </x:c>
      <x:c r="K1218" s="16" t="n">
        <x:v>5</x:v>
      </x:c>
      <x:c r="L1218" s="16" t="n">
        <x:v>1</x:v>
      </x:c>
      <x:c r="M1218" s="16" t="n">
        <x:v>5</x:v>
      </x:c>
      <x:c r="N1218" s="16" t="n">
        <x:v>3</x:v>
      </x:c>
      <x:c r="O1218" s="16" t="n">
        <x:v>3</x:v>
      </x:c>
      <x:c r="P1218" s="16" t="n">
        <x:f>IF(COUNT(I1218:O1218)&lt;7,"",I1218*8+J1218*3+K1218*2+L1218*2+M1218*2+N1218*2+O1218)</x:f>
        <x:v>54</x:v>
      </x:c>
      <x:c r="Q1218" s="16" t="n">
        <x:f>IF(COUNT(J1218:O1218)&lt;6,"",J1218*5+K1218*4+M1218*4+L1218*3+N1218*2+O1218*2)</x:f>
        <x:v>80</x:v>
      </x:c>
      <x:c r="R1218" s="14" t="str">
        <x:v>high</x:v>
      </x:c>
      <x:c r="S1218" s="14" t="str">
        <x:v>official_prozorro_award_2024_2026</x:v>
      </x:c>
      <x:c r="T1218" s="14" t="str">
        <x:v>official_prozorro_api</x:v>
      </x:c>
      <x:c r="U1218" s="14" t="str">
        <x:v>Не контактували</x:v>
      </x:c>
      <x:c r="V1218" s="15" t="str">
        <x:v>Workflow-audit outreach по UA-2026-04-21-004198-a; попросити 1 пакет здачі та вимоги проєкту</x:v>
      </x:c>
      <x:c r="W1218" s="15" t="str">
        <x:v>Власник / виконавець; відповідальний за договір</x:v>
      </x:c>
      <x:c r="X1218" s="15" t="str">
        <x:v>1 нових підтверджених перемог/договорів у Prozorro на 99 758 грн; 1 зі строком виконання не раніше 24.08.2026.</x:v>
      </x:c>
      <x:c r="Y1218"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 строк до 2026-12-31. Попросити один знеособлений пакет здачі за цим workflow.</x:v>
      </x:c>
      <x:c r="Z1218" s="15" t="str">
        <x:v>https://prozorro.gov.ua/tender/UA-2026-04-21-004198-a</x:v>
      </x:c>
      <x:c r="AA1218" s="14" t="str">
        <x:v>3118122352</x:v>
      </x:c>
      <x:c r="AB1218" s="14" t="str">
        <x:v>2026-08-24</x:v>
      </x:c>
      <x:c r="AC1218" s="14" t="str"/>
      <x:c r="AD1218" s="20" t="str"/>
      <x:c r="AE1218" s="14" t="str"/>
      <x:c r="AF1218" s="14" t="n">
        <x:v>38</x:v>
      </x:c>
      <x:c r="AG1218" s="14" t="str">
        <x:v>I3</x:v>
      </x:c>
      <x:c r="AH1218" s="14" t="n">
        <x:v>1</x:v>
      </x:c>
      <x:c r="AI1218" s="14" t="n">
        <x:v>1</x:v>
      </x:c>
      <x:c r="AJ1218" s="18" t="n">
        <x:v>99758</x:v>
      </x:c>
      <x:c r="AK1218" s="14" t="str">
        <x:v>https://prozorro.gov.ua/tender/UA-2026-04-21-004198-a</x:v>
      </x:c>
      <x:c r="AL1218" s="19" t="n">
        <x:v>46133.36743613426</x:v>
      </x:c>
      <x:c r="AM1218" s="19" t="n">
        <x:v>46387</x:v>
      </x:c>
      <x:c r="AN1218" s="15" t="str">
        <x:v>Металоконструкції</x:v>
      </x:c>
      <x:c r="AO1218" s="15" t="str">
        <x:v>not_found_in_top_search</x:v>
      </x:c>
    </x:row>
    <x:row r="1219">
      <x:c r="A1219" s="14" t="str">
        <x:v>W4-400</x:v>
      </x:c>
      <x:c r="B1219" s="14" t="str">
        <x:v>Prozorro expansion — 24.08</x:v>
      </x:c>
      <x:c r="C1219" s="14" t="str">
        <x:v>ПРИВАТНЕ ПІДПРИЄМСТВО "СОКОЛ-5000"</x:v>
      </x:c>
      <x:c r="D1219" s="14" t="str">
        <x:v>Внутрішні сантехнічні системи</x:v>
      </x:c>
      <x:c r="E1219" s="14" t="str">
        <x:v>Pilot now</x:v>
      </x:c>
      <x:c r="F1219" s="17" t="str">
        <x:v>P3</x:v>
      </x:c>
      <x:c r="G1219" s="14" t="str"/>
      <x:c r="H1219" s="14" t="str">
        <x:v>Пілот зараз — Н.14</x:v>
      </x:c>
      <x:c r="I1219" s="16" t="n">
        <x:v>5</x:v>
      </x:c>
      <x:c r="J1219" s="16" t="n">
        <x:v>5</x:v>
      </x:c>
      <x:c r="K1219" s="16" t="n">
        <x:v>4</x:v>
      </x:c>
      <x:c r="L1219" s="16" t="n">
        <x:v>1</x:v>
      </x:c>
      <x:c r="M1219" s="16" t="n">
        <x:v>5</x:v>
      </x:c>
      <x:c r="N1219" s="16" t="n">
        <x:v>5</x:v>
      </x:c>
      <x:c r="O1219" s="16" t="n">
        <x:v>3</x:v>
      </x:c>
      <x:c r="P1219" s="16" t="n">
        <x:f>IF(COUNT(I1219:O1219)&lt;7,"",I1219*8+J1219*3+K1219*2+L1219*2+M1219*2+N1219*2+O1219)</x:f>
        <x:v>88</x:v>
      </x:c>
      <x:c r="Q1219" s="16" t="n">
        <x:f>IF(COUNT(J1219:O1219)&lt;6,"",J1219*5+K1219*4+M1219*4+L1219*3+N1219*2+O1219*2)</x:f>
        <x:v>80</x:v>
      </x:c>
      <x:c r="R1219" s="14" t="str">
        <x:v>high</x:v>
      </x:c>
      <x:c r="S1219" s="14" t="str">
        <x:v>official_prozorro_award_2024_2026</x:v>
      </x:c>
      <x:c r="T1219" s="14" t="str">
        <x:v>official_prozorro_api</x:v>
      </x:c>
      <x:c r="U1219" s="14" t="str">
        <x:v>Не контактували</x:v>
      </x:c>
      <x:c r="V1219" s="15" t="str">
        <x:v>Персоналізований free-pilot outreach по UA-2026-03-23-014469-a; попросити 1 пакет Н.14/Н.15</x:v>
      </x:c>
      <x:c r="W1219" s="15" t="str">
        <x:v>Власник / директор; керівник ПТО; відповідальний за договори</x:v>
      </x:c>
      <x:c r="X1219" s="15" t="str">
        <x:v>1 нових підтверджених перемог/договорів у Prozorro на 97 042 грн; 0 зі строком виконання не раніше 24.08.2026.</x:v>
      </x:c>
      <x:c r="Y1219"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 строк до 2026-04-10. Попросити один знеособлений пакет здачі за цим workflow.</x:v>
      </x:c>
      <x:c r="Z1219" s="15" t="str">
        <x:v>https://prozorro.gov.ua/tender/UA-2026-03-23-014469-a</x:v>
      </x:c>
      <x:c r="AA1219" s="14" t="str">
        <x:v>33684350</x:v>
      </x:c>
      <x:c r="AB1219" s="14" t="str">
        <x:v>2026-08-24</x:v>
      </x:c>
      <x:c r="AC1219" s="14" t="str"/>
      <x:c r="AD1219" s="20" t="str"/>
      <x:c r="AE1219" s="14" t="str"/>
      <x:c r="AF1219" s="14" t="n">
        <x:v>38</x:v>
      </x:c>
      <x:c r="AG1219" s="14" t="str">
        <x:v>I3</x:v>
      </x:c>
      <x:c r="AH1219" s="14" t="n">
        <x:v>1</x:v>
      </x:c>
      <x:c r="AI1219" s="14" t="n">
        <x:v>0</x:v>
      </x:c>
      <x:c r="AJ1219" s="18" t="n">
        <x:v>97042.37</x:v>
      </x:c>
      <x:c r="AK1219" s="14" t="str">
        <x:v>https://prozorro.gov.ua/tender/UA-2026-03-23-014469-a</x:v>
      </x:c>
      <x:c r="AL1219" s="19" t="n">
        <x:v>46104.64789821759</x:v>
      </x:c>
      <x:c r="AM1219" s="19" t="n">
        <x:v>46122</x:v>
      </x:c>
      <x:c r="AN1219" s="15" t="str">
        <x:v>Внутрішні сантехнічні системи</x:v>
      </x:c>
      <x:c r="AO1219" s="15" t="str">
        <x:v>not_found_in_top_search</x:v>
      </x:c>
    </x:row>
    <x:row r="1220">
      <x:c r="A1220" s="14" t="str">
        <x:v>W4-401</x:v>
      </x:c>
      <x:c r="B1220" s="14" t="str">
        <x:v>Prozorro expansion — 24.08</x:v>
      </x:c>
      <x:c r="C1220" s="14" t="str">
        <x:v>ПРИВАТНЕ АКЦІОНЕРНЕ ТОВАРИСТВО "РЕМОНТНО-БУДІВЕЛЬНЕ УПРАВЛІННЯ - 3"</x:v>
      </x:c>
      <x:c r="D1220" s="14" t="str">
        <x:v>Внутрішні сантехнічні системи</x:v>
      </x:c>
      <x:c r="E1220" s="14" t="str">
        <x:v>Pilot now</x:v>
      </x:c>
      <x:c r="F1220" s="17" t="str">
        <x:v>P3</x:v>
      </x:c>
      <x:c r="G1220" s="14" t="str"/>
      <x:c r="H1220" s="14" t="str">
        <x:v>Пілот зараз — Н.14</x:v>
      </x:c>
      <x:c r="I1220" s="16" t="n">
        <x:v>5</x:v>
      </x:c>
      <x:c r="J1220" s="16" t="n">
        <x:v>5</x:v>
      </x:c>
      <x:c r="K1220" s="16" t="n">
        <x:v>4</x:v>
      </x:c>
      <x:c r="L1220" s="16" t="n">
        <x:v>1</x:v>
      </x:c>
      <x:c r="M1220" s="16" t="n">
        <x:v>5</x:v>
      </x:c>
      <x:c r="N1220" s="16" t="n">
        <x:v>5</x:v>
      </x:c>
      <x:c r="O1220" s="16" t="n">
        <x:v>3</x:v>
      </x:c>
      <x:c r="P1220" s="16" t="n">
        <x:f>IF(COUNT(I1220:O1220)&lt;7,"",I1220*8+J1220*3+K1220*2+L1220*2+M1220*2+N1220*2+O1220)</x:f>
        <x:v>88</x:v>
      </x:c>
      <x:c r="Q1220" s="16" t="n">
        <x:f>IF(COUNT(J1220:O1220)&lt;6,"",J1220*5+K1220*4+M1220*4+L1220*3+N1220*2+O1220*2)</x:f>
        <x:v>80</x:v>
      </x:c>
      <x:c r="R1220" s="14" t="str">
        <x:v>high</x:v>
      </x:c>
      <x:c r="S1220" s="14" t="str">
        <x:v>official_prozorro_award_2024_2026</x:v>
      </x:c>
      <x:c r="T1220" s="14" t="str">
        <x:v>official_prozorro_api</x:v>
      </x:c>
      <x:c r="U1220" s="14" t="str">
        <x:v>Не контактували</x:v>
      </x:c>
      <x:c r="V1220" s="15" t="str">
        <x:v>Персоналізований free-pilot outreach по UA-2026-02-23-006832-a; попросити 1 пакет Н.14/Н.15</x:v>
      </x:c>
      <x:c r="W1220" s="15" t="str">
        <x:v>Власник / директор; керівник ПТО; відповідальний за договори</x:v>
      </x:c>
      <x:c r="X1220" s="15" t="str">
        <x:v>1 нових підтверджених перемог/договорів у Prozorro на 93 116 грн; 0 зі строком виконання не раніше 24.08.2026.</x:v>
      </x:c>
      <x:c r="Y1220"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 строк до 2026-02-23. Попросити один знеособлений пакет здачі за цим workflow.</x:v>
      </x:c>
      <x:c r="Z1220" s="15" t="str">
        <x:v>https://prozorro.gov.ua/tender/UA-2026-02-23-006832-a</x:v>
      </x:c>
      <x:c r="AA1220" s="14" t="str">
        <x:v>05387618</x:v>
      </x:c>
      <x:c r="AB1220" s="14" t="str">
        <x:v>2026-08-24</x:v>
      </x:c>
      <x:c r="AC1220" s="14" t="str"/>
      <x:c r="AD1220" s="20" t="str"/>
      <x:c r="AE1220" s="14" t="str"/>
      <x:c r="AF1220" s="14" t="n">
        <x:v>38</x:v>
      </x:c>
      <x:c r="AG1220" s="14" t="str">
        <x:v>I3</x:v>
      </x:c>
      <x:c r="AH1220" s="14" t="n">
        <x:v>1</x:v>
      </x:c>
      <x:c r="AI1220" s="14" t="n">
        <x:v>0</x:v>
      </x:c>
      <x:c r="AJ1220" s="18" t="n">
        <x:v>93115.91</x:v>
      </x:c>
      <x:c r="AK1220" s="14" t="str">
        <x:v>https://prozorro.gov.ua/tender/UA-2026-02-23-006832-a</x:v>
      </x:c>
      <x:c r="AL1220" s="19" t="n">
        <x:v>46076.45720111111</x:v>
      </x:c>
      <x:c r="AM1220" s="19" t="n">
        <x:v>46076</x:v>
      </x:c>
      <x:c r="AN1220" s="15" t="str">
        <x:v>Внутрішні сантехнічні системи</x:v>
      </x:c>
      <x:c r="AO1220" s="15" t="str">
        <x:v>not_found_in_top_search</x:v>
      </x:c>
    </x:row>
    <x:row r="1221">
      <x:c r="A1221" s="14" t="str">
        <x:v>W4-402</x:v>
      </x:c>
      <x:c r="B1221" s="14" t="str">
        <x:v>Prozorro expansion — 24.08</x:v>
      </x:c>
      <x:c r="C1221" s="14" t="str">
        <x:v>ТИХОВИЧ ВОЛОДИМИР ЛЕОНІДОВИЧ</x:v>
      </x:c>
      <x:c r="D1221" s="14" t="str">
        <x:v>Стиснене повітря / компресорні</x:v>
      </x:c>
      <x:c r="E1221" s="14" t="str">
        <x:v>Expansion discovery</x:v>
      </x:c>
      <x:c r="F1221" s="17" t="str">
        <x:v>D3</x:v>
      </x:c>
      <x:c r="G1221" s="14" t="str"/>
      <x:c r="H1221" s="14" t="str">
        <x:v>Discovery розширення — 2 тижні</x:v>
      </x:c>
      <x:c r="I1221" s="16" t="n">
        <x:v>1</x:v>
      </x:c>
      <x:c r="J1221" s="16" t="n">
        <x:v>5</x:v>
      </x:c>
      <x:c r="K1221" s="16" t="n">
        <x:v>4</x:v>
      </x:c>
      <x:c r="L1221" s="16" t="n">
        <x:v>1</x:v>
      </x:c>
      <x:c r="M1221" s="16" t="n">
        <x:v>5</x:v>
      </x:c>
      <x:c r="N1221" s="16" t="n">
        <x:v>3</x:v>
      </x:c>
      <x:c r="O1221" s="16" t="n">
        <x:v>3</x:v>
      </x:c>
      <x:c r="P1221" s="16" t="n">
        <x:f>IF(COUNT(I1221:O1221)&lt;7,"",I1221*8+J1221*3+K1221*2+L1221*2+M1221*2+N1221*2+O1221)</x:f>
        <x:v>52</x:v>
      </x:c>
      <x:c r="Q1221" s="16" t="n">
        <x:f>IF(COUNT(J1221:O1221)&lt;6,"",J1221*5+K1221*4+M1221*4+L1221*3+N1221*2+O1221*2)</x:f>
        <x:v>76</x:v>
      </x:c>
      <x:c r="R1221" s="14" t="str">
        <x:v>high</x:v>
      </x:c>
      <x:c r="S1221" s="14" t="str">
        <x:v>official_prozorro_award_2024_2026</x:v>
      </x:c>
      <x:c r="T1221" s="14" t="str">
        <x:v>official_prozorro_api</x:v>
      </x:c>
      <x:c r="U1221" s="14" t="str">
        <x:v>Не контактували</x:v>
      </x:c>
      <x:c r="V1221" s="15" t="str">
        <x:v>Workflow-audit outreach по UA-2026-04-21-011047-a; попросити 1 пакет здачі та вимоги проєкту</x:v>
      </x:c>
      <x:c r="W1221" s="15" t="str">
        <x:v>Власник / виконавець; відповідальний за договір</x:v>
      </x:c>
      <x:c r="X1221" s="15" t="str">
        <x:v>1 нових підтверджених перемог/договорів у Prozorro на 74 230 грн; 0 зі строком виконання не раніше 24.08.2026.</x:v>
      </x:c>
      <x:c r="Y1221"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 строк до 2026-05-21. Попросити один знеособлений пакет здачі за цим workflow.</x:v>
      </x:c>
      <x:c r="Z1221" s="15" t="str">
        <x:v>https://prozorro.gov.ua/tender/UA-2026-04-21-011047-a</x:v>
      </x:c>
      <x:c r="AA1221" s="14" t="str">
        <x:v>3164824039</x:v>
      </x:c>
      <x:c r="AB1221" s="14" t="str">
        <x:v>2026-08-24</x:v>
      </x:c>
      <x:c r="AC1221" s="14" t="str"/>
      <x:c r="AD1221" s="20" t="str"/>
      <x:c r="AE1221" s="14" t="str"/>
      <x:c r="AF1221" s="14" t="n">
        <x:v>38</x:v>
      </x:c>
      <x:c r="AG1221" s="14" t="str">
        <x:v>I3</x:v>
      </x:c>
      <x:c r="AH1221" s="14" t="n">
        <x:v>1</x:v>
      </x:c>
      <x:c r="AI1221" s="14" t="n">
        <x:v>0</x:v>
      </x:c>
      <x:c r="AJ1221" s="18" t="n">
        <x:v>74230</x:v>
      </x:c>
      <x:c r="AK1221" s="14" t="str">
        <x:v>https://prozorro.gov.ua/tender/UA-2026-04-21-011047-a</x:v>
      </x:c>
      <x:c r="AL1221" s="19" t="n">
        <x:v>46133.55648491898</x:v>
      </x:c>
      <x:c r="AM1221" s="19" t="n">
        <x:v>46163</x:v>
      </x:c>
      <x:c r="AN1221" s="15" t="str">
        <x:v>Стиснене повітря / компресорні</x:v>
      </x:c>
      <x:c r="AO1221" s="15" t="str">
        <x:v>not_found_in_top_search</x:v>
      </x:c>
    </x:row>
    <x:row r="1222">
      <x:c r="A1222" s="14" t="str">
        <x:v>W4-403</x:v>
      </x:c>
      <x:c r="B1222" s="14" t="str">
        <x:v>Prozorro expansion — 24.08</x:v>
      </x:c>
      <x:c r="C1222" s="14" t="str">
        <x:v>КІЯНЧУК ІГОР РУСЛАНОВИЧ</x:v>
      </x:c>
      <x:c r="D1222" s="14" t="str">
        <x:v>Внутрішні сантехнічні системи</x:v>
      </x:c>
      <x:c r="E1222" s="14" t="str">
        <x:v>Pilot now</x:v>
      </x:c>
      <x:c r="F1222" s="17" t="str">
        <x:v>P3</x:v>
      </x:c>
      <x:c r="G1222" s="14" t="str"/>
      <x:c r="H1222" s="14" t="str">
        <x:v>Пілот зараз — Н.14</x:v>
      </x:c>
      <x:c r="I1222" s="16" t="n">
        <x:v>5</x:v>
      </x:c>
      <x:c r="J1222" s="16" t="n">
        <x:v>5</x:v>
      </x:c>
      <x:c r="K1222" s="16" t="n">
        <x:v>4</x:v>
      </x:c>
      <x:c r="L1222" s="16" t="n">
        <x:v>1</x:v>
      </x:c>
      <x:c r="M1222" s="16" t="n">
        <x:v>5</x:v>
      </x:c>
      <x:c r="N1222" s="16" t="n">
        <x:v>3</x:v>
      </x:c>
      <x:c r="O1222" s="16" t="n">
        <x:v>3</x:v>
      </x:c>
      <x:c r="P1222" s="16" t="n">
        <x:f>IF(COUNT(I1222:O1222)&lt;7,"",I1222*8+J1222*3+K1222*2+L1222*2+M1222*2+N1222*2+O1222)</x:f>
        <x:v>84</x:v>
      </x:c>
      <x:c r="Q1222" s="16" t="n">
        <x:f>IF(COUNT(J1222:O1222)&lt;6,"",J1222*5+K1222*4+M1222*4+L1222*3+N1222*2+O1222*2)</x:f>
        <x:v>76</x:v>
      </x:c>
      <x:c r="R1222" s="14" t="str">
        <x:v>high</x:v>
      </x:c>
      <x:c r="S1222" s="14" t="str">
        <x:v>official_prozorro_award_2024_2026</x:v>
      </x:c>
      <x:c r="T1222" s="14" t="str">
        <x:v>official_prozorro_api</x:v>
      </x:c>
      <x:c r="U1222" s="14" t="str">
        <x:v>Не контактували</x:v>
      </x:c>
      <x:c r="V1222" s="15" t="str">
        <x:v>Персоналізований free-pilot outreach по UA-2026-02-13-010054-a; попросити 1 пакет Н.14/Н.15</x:v>
      </x:c>
      <x:c r="W1222" s="15" t="str">
        <x:v>Власник / виконавець; відповідальний за договір</x:v>
      </x:c>
      <x:c r="X1222" s="15" t="str">
        <x:v>1 нових підтверджених перемог/договорів у Prozorro на 58 900 грн; 0 зі строком виконання не раніше 24.08.2026.</x:v>
      </x:c>
      <x:c r="Y1222"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 строк до 2026-06-30. Попросити один знеособлений пакет здачі за цим workflow.</x:v>
      </x:c>
      <x:c r="Z1222" s="15" t="str">
        <x:v>https://prozorro.gov.ua/tender/UA-2026-02-13-010054-a</x:v>
      </x:c>
      <x:c r="AA1222" s="14" t="str">
        <x:v>2462904333</x:v>
      </x:c>
      <x:c r="AB1222" s="14" t="str">
        <x:v>2026-08-24</x:v>
      </x:c>
      <x:c r="AC1222" s="14" t="str"/>
      <x:c r="AD1222" s="20" t="str"/>
      <x:c r="AE1222" s="14" t="str"/>
      <x:c r="AF1222" s="14" t="n">
        <x:v>38</x:v>
      </x:c>
      <x:c r="AG1222" s="14" t="str">
        <x:v>I3</x:v>
      </x:c>
      <x:c r="AH1222" s="14" t="n">
        <x:v>1</x:v>
      </x:c>
      <x:c r="AI1222" s="14" t="n">
        <x:v>0</x:v>
      </x:c>
      <x:c r="AJ1222" s="18" t="n">
        <x:v>58900</x:v>
      </x:c>
      <x:c r="AK1222" s="14" t="str">
        <x:v>https://prozorro.gov.ua/tender/UA-2026-02-13-010054-a</x:v>
      </x:c>
      <x:c r="AL1222" s="19" t="n">
        <x:v>46066.51768203704</x:v>
      </x:c>
      <x:c r="AM1222" s="19" t="n">
        <x:v>46203</x:v>
      </x:c>
      <x:c r="AN1222" s="15" t="str">
        <x:v>Внутрішні сантехнічні системи</x:v>
      </x:c>
      <x:c r="AO1222" s="15" t="str">
        <x:v>not_found_in_top_search</x:v>
      </x:c>
    </x:row>
    <x:row r="1223">
      <x:c r="A1223" s="14" t="str">
        <x:v>W4-404</x:v>
      </x:c>
      <x:c r="B1223" s="14" t="str">
        <x:v>Prozorro expansion — 24.08</x:v>
      </x:c>
      <x:c r="C1223" s="14" t="str">
        <x:v>ПП "ХАЛ"</x:v>
      </x:c>
      <x:c r="D1223" s="14" t="str">
        <x:v>Пожежогасіння</x:v>
      </x:c>
      <x:c r="E1223" s="14" t="str">
        <x:v>Expansion discovery</x:v>
      </x:c>
      <x:c r="F1223" s="17" t="str">
        <x:v>D3</x:v>
      </x:c>
      <x:c r="G1223" s="14" t="str"/>
      <x:c r="H1223" s="14" t="str">
        <x:v>Discovery розширення — 2 тижні</x:v>
      </x:c>
      <x:c r="I1223" s="16" t="n">
        <x:v>1</x:v>
      </x:c>
      <x:c r="J1223" s="16" t="n">
        <x:v>5</x:v>
      </x:c>
      <x:c r="K1223" s="16" t="n">
        <x:v>5</x:v>
      </x:c>
      <x:c r="L1223" s="16" t="n">
        <x:v>1</x:v>
      </x:c>
      <x:c r="M1223" s="16" t="n">
        <x:v>5</x:v>
      </x:c>
      <x:c r="N1223" s="16" t="n">
        <x:v>5</x:v>
      </x:c>
      <x:c r="O1223" s="16" t="n">
        <x:v>3</x:v>
      </x:c>
      <x:c r="P1223" s="16" t="n">
        <x:f>IF(COUNT(I1223:O1223)&lt;7,"",I1223*8+J1223*3+K1223*2+L1223*2+M1223*2+N1223*2+O1223)</x:f>
        <x:v>58</x:v>
      </x:c>
      <x:c r="Q1223" s="16" t="n">
        <x:f>IF(COUNT(J1223:O1223)&lt;6,"",J1223*5+K1223*4+M1223*4+L1223*3+N1223*2+O1223*2)</x:f>
        <x:v>84</x:v>
      </x:c>
      <x:c r="R1223" s="14" t="str">
        <x:v>high</x:v>
      </x:c>
      <x:c r="S1223" s="14" t="str">
        <x:v>official_prozorro_award_2024_2026</x:v>
      </x:c>
      <x:c r="T1223" s="14" t="str">
        <x:v>official_prozorro_api</x:v>
      </x:c>
      <x:c r="U1223" s="14" t="str">
        <x:v>Не контактували</x:v>
      </x:c>
      <x:c r="V1223" s="15" t="str">
        <x:v>Workflow-audit outreach по UA-2026-01-30-010960-a; попросити 1 пакет здачі та вимоги проєкту</x:v>
      </x:c>
      <x:c r="W1223" s="15" t="str">
        <x:v>Власник / директор; керівник ПТО; відповідальний за договори</x:v>
      </x:c>
      <x:c r="X1223" s="15" t="str">
        <x:v>1 нових підтверджених перемог/договорів у Prozorro на 50 062 грн; 1 зі строком виконання не раніше 24.08.2026.</x:v>
      </x:c>
      <x:c r="Y1223" s="15" t="str">
        <x:v>створення (монтаж) системи пожежної сигналізації; строк до 2026-12-31. Попросити один знеособлений пакет здачі за цим workflow.</x:v>
      </x:c>
      <x:c r="Z1223" s="15" t="str">
        <x:v>https://prozorro.gov.ua/tender/UA-2026-01-30-010960-a</x:v>
      </x:c>
      <x:c r="AA1223" s="14" t="str">
        <x:v>30655180</x:v>
      </x:c>
      <x:c r="AB1223" s="14" t="str">
        <x:v>2026-08-24</x:v>
      </x:c>
      <x:c r="AC1223" s="14" t="str"/>
      <x:c r="AD1223" s="20" t="str"/>
      <x:c r="AE1223" s="14" t="str"/>
      <x:c r="AF1223" s="14" t="n">
        <x:v>38</x:v>
      </x:c>
      <x:c r="AG1223" s="14" t="str">
        <x:v>I3</x:v>
      </x:c>
      <x:c r="AH1223" s="14" t="n">
        <x:v>1</x:v>
      </x:c>
      <x:c r="AI1223" s="14" t="n">
        <x:v>1</x:v>
      </x:c>
      <x:c r="AJ1223" s="18" t="n">
        <x:v>50061.6</x:v>
      </x:c>
      <x:c r="AK1223" s="14" t="str">
        <x:v>https://prozorro.gov.ua/tender/UA-2026-01-30-010960-a</x:v>
      </x:c>
      <x:c r="AL1223" s="19" t="n">
        <x:v>46052.523725011575</x:v>
      </x:c>
      <x:c r="AM1223" s="19" t="n">
        <x:v>46387.52278935185</x:v>
      </x:c>
      <x:c r="AN1223" s="15" t="str">
        <x:v>Пожежогасіння</x:v>
      </x:c>
      <x:c r="AO1223" s="15" t="str">
        <x:v>not_found_in_top_search</x:v>
      </x:c>
    </x:row>
    <x:row r="1224">
      <x:c r="A1224" s="14" t="str">
        <x:v>W4-405</x:v>
      </x:c>
      <x:c r="B1224" s="14" t="str">
        <x:v>Prozorro expansion — 24.08</x:v>
      </x:c>
      <x:c r="C1224" s="14" t="str">
        <x:v>Брюшенко Євгеній Олександрович</x:v>
      </x:c>
      <x:c r="D1224" s="14" t="str">
        <x:v>HVAC / ОВіК</x:v>
      </x:c>
      <x:c r="E1224" s="14" t="str">
        <x:v>Pilot now</x:v>
      </x:c>
      <x:c r="F1224" s="17" t="str">
        <x:v>P3</x:v>
      </x:c>
      <x:c r="G1224" s="14" t="str"/>
      <x:c r="H1224" s="14" t="str">
        <x:v>Пілот зараз — Н.14</x:v>
      </x:c>
      <x:c r="I1224" s="16" t="n">
        <x:v>5</x:v>
      </x:c>
      <x:c r="J1224" s="16" t="n">
        <x:v>5</x:v>
      </x:c>
      <x:c r="K1224" s="16" t="n">
        <x:v>4</x:v>
      </x:c>
      <x:c r="L1224" s="16" t="n">
        <x:v>1</x:v>
      </x:c>
      <x:c r="M1224" s="16" t="n">
        <x:v>5</x:v>
      </x:c>
      <x:c r="N1224" s="16" t="n">
        <x:v>3</x:v>
      </x:c>
      <x:c r="O1224" s="16" t="n">
        <x:v>3</x:v>
      </x:c>
      <x:c r="P1224" s="16" t="n">
        <x:f>IF(COUNT(I1224:O1224)&lt;7,"",I1224*8+J1224*3+K1224*2+L1224*2+M1224*2+N1224*2+O1224)</x:f>
        <x:v>84</x:v>
      </x:c>
      <x:c r="Q1224" s="16" t="n">
        <x:f>IF(COUNT(J1224:O1224)&lt;6,"",J1224*5+K1224*4+M1224*4+L1224*3+N1224*2+O1224*2)</x:f>
        <x:v>76</x:v>
      </x:c>
      <x:c r="R1224" s="14" t="str">
        <x:v>high</x:v>
      </x:c>
      <x:c r="S1224" s="14" t="str">
        <x:v>official_prozorro_award_2024_2026</x:v>
      </x:c>
      <x:c r="T1224" s="14" t="str">
        <x:v>official_prozorro_api</x:v>
      </x:c>
      <x:c r="U1224" s="14" t="str">
        <x:v>Не контактували</x:v>
      </x:c>
      <x:c r="V1224" s="15" t="str">
        <x:v>Персоналізований free-pilot outreach по UA-2025-12-29-008428-a; попросити 1 пакет Н.14/Н.15</x:v>
      </x:c>
      <x:c r="W1224" s="15" t="str">
        <x:v>Власник / виконавець; відповідальний за договір</x:v>
      </x:c>
      <x:c r="X1224" s="15" t="str">
        <x:v>1 нових підтверджених перемог/договорів у Prozorro на 41 700 грн; 0 зі строком виконання не раніше 24.08.2026.</x:v>
      </x:c>
      <x:c r="Y1224" s="15" t="str">
        <x:v>Послуги з монтажу системи припливно-витяжної вентиляції в укритті Голубівського ліцею; строк до 2025-12-31. Попросити один знеособлений пакет здачі за цим workflow.</x:v>
      </x:c>
      <x:c r="Z1224" s="15" t="str">
        <x:v>https://prozorro.gov.ua/tender/UA-2025-12-29-008428-a</x:v>
      </x:c>
      <x:c r="AA1224" s="14" t="str">
        <x:v>3329403531</x:v>
      </x:c>
      <x:c r="AB1224" s="14" t="str">
        <x:v>2026-08-24</x:v>
      </x:c>
      <x:c r="AC1224" s="14" t="str"/>
      <x:c r="AD1224" s="20" t="str"/>
      <x:c r="AE1224" s="14" t="str"/>
      <x:c r="AF1224" s="14" t="n">
        <x:v>38</x:v>
      </x:c>
      <x:c r="AG1224" s="14" t="str">
        <x:v>I3</x:v>
      </x:c>
      <x:c r="AH1224" s="14" t="n">
        <x:v>1</x:v>
      </x:c>
      <x:c r="AI1224" s="14" t="n">
        <x:v>0</x:v>
      </x:c>
      <x:c r="AJ1224" s="18" t="n">
        <x:v>41700</x:v>
      </x:c>
      <x:c r="AK1224" s="14" t="str">
        <x:v>https://prozorro.gov.ua/tender/UA-2025-12-29-008428-a</x:v>
      </x:c>
      <x:c r="AL1224" s="19" t="n">
        <x:v>46020.56192856481</x:v>
      </x:c>
      <x:c r="AM1224" s="19" t="n">
        <x:v>46022</x:v>
      </x:c>
      <x:c r="AN1224" s="15" t="str">
        <x:v>HVAC / ОВіК</x:v>
      </x:c>
      <x:c r="AO1224" s="15" t="str">
        <x:v>not_found_in_top_search</x:v>
      </x:c>
    </x:row>
    <x:row r="1225">
      <x:c r="A1225" s="14" t="str">
        <x:v>W4-406</x:v>
      </x:c>
      <x:c r="B1225" s="14" t="str">
        <x:v>Prozorro expansion — 24.08</x:v>
      </x:c>
      <x:c r="C1225" s="14" t="str">
        <x:v>БОЙКО ОЛЕКСАНДР ЛЕОНІДОВИЧ</x:v>
      </x:c>
      <x:c r="D1225" s="14" t="str">
        <x:v>Металоконструкції</x:v>
      </x:c>
      <x:c r="E1225" s="14" t="str">
        <x:v>Expansion discovery</x:v>
      </x:c>
      <x:c r="F1225" s="17" t="str">
        <x:v>D3</x:v>
      </x:c>
      <x:c r="G1225" s="14" t="str"/>
      <x:c r="H1225" s="14" t="str">
        <x:v>Discovery розширення — 2 тижні</x:v>
      </x:c>
      <x:c r="I1225" s="16" t="n">
        <x:v>1</x:v>
      </x:c>
      <x:c r="J1225" s="16" t="n">
        <x:v>5</x:v>
      </x:c>
      <x:c r="K1225" s="16" t="n">
        <x:v>5</x:v>
      </x:c>
      <x:c r="L1225" s="16" t="n">
        <x:v>1</x:v>
      </x:c>
      <x:c r="M1225" s="16" t="n">
        <x:v>5</x:v>
      </x:c>
      <x:c r="N1225" s="16" t="n">
        <x:v>3</x:v>
      </x:c>
      <x:c r="O1225" s="16" t="n">
        <x:v>3</x:v>
      </x:c>
      <x:c r="P1225" s="16" t="n">
        <x:f>IF(COUNT(I1225:O1225)&lt;7,"",I1225*8+J1225*3+K1225*2+L1225*2+M1225*2+N1225*2+O1225)</x:f>
        <x:v>54</x:v>
      </x:c>
      <x:c r="Q1225" s="16" t="n">
        <x:f>IF(COUNT(J1225:O1225)&lt;6,"",J1225*5+K1225*4+M1225*4+L1225*3+N1225*2+O1225*2)</x:f>
        <x:v>80</x:v>
      </x:c>
      <x:c r="R1225" s="14" t="str">
        <x:v>high</x:v>
      </x:c>
      <x:c r="S1225" s="14" t="str">
        <x:v>official_prozorro_award_2024_2026</x:v>
      </x:c>
      <x:c r="T1225" s="14" t="str">
        <x:v>official_prozorro_api</x:v>
      </x:c>
      <x:c r="U1225" s="14" t="str">
        <x:v>Не контактували</x:v>
      </x:c>
      <x:c r="V1225" s="15" t="str">
        <x:v>Workflow-audit outreach по UA-2026-04-06-009140-a; попросити 1 пакет здачі та вимоги проєкту</x:v>
      </x:c>
      <x:c r="W1225" s="15" t="str">
        <x:v>Власник / виконавець; відповідальний за договір</x:v>
      </x:c>
      <x:c r="X1225" s="15" t="str">
        <x:v>1 нових підтверджених перемог/договорів у Prozorro на 25 984 грн; 0 зі строком виконання не раніше 24.08.2026.</x:v>
      </x:c>
      <x:c r="Y1225"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 строк до 2026-04-30. Попросити один знеособлений пакет здачі за цим workflow.</x:v>
      </x:c>
      <x:c r="Z1225" s="15" t="str">
        <x:v>https://prozorro.gov.ua/tender/UA-2026-04-06-009140-a</x:v>
      </x:c>
      <x:c r="AA1225" s="14" t="str">
        <x:v>2838804011</x:v>
      </x:c>
      <x:c r="AB1225" s="14" t="str">
        <x:v>2026-08-24</x:v>
      </x:c>
      <x:c r="AC1225" s="14" t="str"/>
      <x:c r="AD1225" s="20" t="str"/>
      <x:c r="AE1225" s="14" t="str"/>
      <x:c r="AF1225" s="14" t="n">
        <x:v>38</x:v>
      </x:c>
      <x:c r="AG1225" s="14" t="str">
        <x:v>I3</x:v>
      </x:c>
      <x:c r="AH1225" s="14" t="n">
        <x:v>1</x:v>
      </x:c>
      <x:c r="AI1225" s="14" t="n">
        <x:v>0</x:v>
      </x:c>
      <x:c r="AJ1225" s="18" t="n">
        <x:v>25984</x:v>
      </x:c>
      <x:c r="AK1225" s="14" t="str">
        <x:v>https://prozorro.gov.ua/tender/UA-2026-04-06-009140-a</x:v>
      </x:c>
      <x:c r="AL1225" s="19" t="n">
        <x:v>46118.504439791664</x:v>
      </x:c>
      <x:c r="AM1225" s="19" t="n">
        <x:v>46142</x:v>
      </x:c>
      <x:c r="AN1225" s="15" t="str">
        <x:v>Металоконструкції</x:v>
      </x:c>
      <x:c r="AO1225" s="15" t="str">
        <x:v>not_found_in_top_search</x:v>
      </x:c>
    </x:row>
    <x:row r="1226">
      <x:c r="A1226" s="14" t="str">
        <x:v>W4-407</x:v>
      </x:c>
      <x:c r="B1226" s="14" t="str">
        <x:v>Prozorro expansion — 24.08</x:v>
      </x:c>
      <x:c r="C1226" s="14" t="str">
        <x:v>ГОЛОВАЩЕНКО МИХАЙЛО МИКОЛАЙОВИЧ</x:v>
      </x:c>
      <x:c r="D1226" s="14" t="str">
        <x:v>Металоконструкції</x:v>
      </x:c>
      <x:c r="E1226" s="14" t="str">
        <x:v>Expansion discovery</x:v>
      </x:c>
      <x:c r="F1226" s="17" t="str">
        <x:v>D3</x:v>
      </x:c>
      <x:c r="G1226" s="14" t="str"/>
      <x:c r="H1226" s="14" t="str">
        <x:v>Discovery розширення — 2 тижні</x:v>
      </x:c>
      <x:c r="I1226" s="16" t="n">
        <x:v>1</x:v>
      </x:c>
      <x:c r="J1226" s="16" t="n">
        <x:v>5</x:v>
      </x:c>
      <x:c r="K1226" s="16" t="n">
        <x:v>5</x:v>
      </x:c>
      <x:c r="L1226" s="16" t="n">
        <x:v>1</x:v>
      </x:c>
      <x:c r="M1226" s="16" t="n">
        <x:v>5</x:v>
      </x:c>
      <x:c r="N1226" s="16" t="n">
        <x:v>3</x:v>
      </x:c>
      <x:c r="O1226" s="16" t="n">
        <x:v>3</x:v>
      </x:c>
      <x:c r="P1226" s="16" t="n">
        <x:f>IF(COUNT(I1226:O1226)&lt;7,"",I1226*8+J1226*3+K1226*2+L1226*2+M1226*2+N1226*2+O1226)</x:f>
        <x:v>54</x:v>
      </x:c>
      <x:c r="Q1226" s="16" t="n">
        <x:f>IF(COUNT(J1226:O1226)&lt;6,"",J1226*5+K1226*4+M1226*4+L1226*3+N1226*2+O1226*2)</x:f>
        <x:v>80</x:v>
      </x:c>
      <x:c r="R1226" s="14" t="str">
        <x:v>high</x:v>
      </x:c>
      <x:c r="S1226" s="14" t="str">
        <x:v>official_prozorro_award_2024_2026</x:v>
      </x:c>
      <x:c r="T1226" s="14" t="str">
        <x:v>official_prozorro_api</x:v>
      </x:c>
      <x:c r="U1226" s="14" t="str">
        <x:v>Не контактували</x:v>
      </x:c>
      <x:c r="V1226" s="15" t="str">
        <x:v>Workflow-audit outreach по UA-2026-04-06-008781-a; попросити 1 пакет здачі та вимоги проєкту</x:v>
      </x:c>
      <x:c r="W1226" s="15" t="str">
        <x:v>Власник / виконавець; відповідальний за договір</x:v>
      </x:c>
      <x:c r="X1226" s="15" t="str">
        <x:v>1 нових підтверджених перемог/договорів у Prozorro на 25 984 грн; 0 зі строком виконання не раніше 24.08.2026.</x:v>
      </x:c>
      <x:c r="Y122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 строк до 2026-04-30. Попросити один знеособлений пакет здачі за цим workflow.</x:v>
      </x:c>
      <x:c r="Z1226" s="15" t="str">
        <x:v>https://prozorro.gov.ua/tender/UA-2026-04-06-008781-a</x:v>
      </x:c>
      <x:c r="AA1226" s="14" t="str">
        <x:v>2398709511</x:v>
      </x:c>
      <x:c r="AB1226" s="14" t="str">
        <x:v>2026-08-24</x:v>
      </x:c>
      <x:c r="AC1226" s="14" t="str"/>
      <x:c r="AD1226" s="20" t="str"/>
      <x:c r="AE1226" s="14" t="str"/>
      <x:c r="AF1226" s="14" t="n">
        <x:v>38</x:v>
      </x:c>
      <x:c r="AG1226" s="14" t="str">
        <x:v>I3</x:v>
      </x:c>
      <x:c r="AH1226" s="14" t="n">
        <x:v>1</x:v>
      </x:c>
      <x:c r="AI1226" s="14" t="n">
        <x:v>0</x:v>
      </x:c>
      <x:c r="AJ1226" s="18" t="n">
        <x:v>25984</x:v>
      </x:c>
      <x:c r="AK1226" s="14" t="str">
        <x:v>https://prozorro.gov.ua/tender/UA-2026-04-06-008781-a</x:v>
      </x:c>
      <x:c r="AL1226" s="19" t="n">
        <x:v>46118.49615678241</x:v>
      </x:c>
      <x:c r="AM1226" s="19" t="n">
        <x:v>46142</x:v>
      </x:c>
      <x:c r="AN1226" s="15" t="str">
        <x:v>Металоконструкції</x:v>
      </x:c>
      <x:c r="AO1226" s="15" t="str">
        <x:v>not_found_in_top_search</x:v>
      </x:c>
    </x:row>
    <x:row r="1227">
      <x:c r="A1227" s="14" t="str">
        <x:v>W4-408</x:v>
      </x:c>
      <x:c r="B1227" s="14" t="str">
        <x:v>Prozorro expansion — 24.08</x:v>
      </x:c>
      <x:c r="C1227" s="14" t="str">
        <x:v>Дзюба Олександр Вікторович</x:v>
      </x:c>
      <x:c r="D1227" s="14" t="str">
        <x:v>Металоконструкції</x:v>
      </x:c>
      <x:c r="E1227" s="14" t="str">
        <x:v>Expansion discovery</x:v>
      </x:c>
      <x:c r="F1227" s="17" t="str">
        <x:v>D3</x:v>
      </x:c>
      <x:c r="G1227" s="14" t="str"/>
      <x:c r="H1227" s="14" t="str">
        <x:v>Discovery розширення — 2 тижні</x:v>
      </x:c>
      <x:c r="I1227" s="16" t="n">
        <x:v>1</x:v>
      </x:c>
      <x:c r="J1227" s="16" t="n">
        <x:v>5</x:v>
      </x:c>
      <x:c r="K1227" s="16" t="n">
        <x:v>5</x:v>
      </x:c>
      <x:c r="L1227" s="16" t="n">
        <x:v>1</x:v>
      </x:c>
      <x:c r="M1227" s="16" t="n">
        <x:v>5</x:v>
      </x:c>
      <x:c r="N1227" s="16" t="n">
        <x:v>3</x:v>
      </x:c>
      <x:c r="O1227" s="16" t="n">
        <x:v>3</x:v>
      </x:c>
      <x:c r="P1227" s="16" t="n">
        <x:f>IF(COUNT(I1227:O1227)&lt;7,"",I1227*8+J1227*3+K1227*2+L1227*2+M1227*2+N1227*2+O1227)</x:f>
        <x:v>54</x:v>
      </x:c>
      <x:c r="Q1227" s="16" t="n">
        <x:f>IF(COUNT(J1227:O1227)&lt;6,"",J1227*5+K1227*4+M1227*4+L1227*3+N1227*2+O1227*2)</x:f>
        <x:v>80</x:v>
      </x:c>
      <x:c r="R1227" s="14" t="str">
        <x:v>high</x:v>
      </x:c>
      <x:c r="S1227" s="14" t="str">
        <x:v>official_prozorro_award_2024_2026</x:v>
      </x:c>
      <x:c r="T1227" s="14" t="str">
        <x:v>official_prozorro_api</x:v>
      </x:c>
      <x:c r="U1227" s="14" t="str">
        <x:v>Не контактували</x:v>
      </x:c>
      <x:c r="V1227" s="15" t="str">
        <x:v>Workflow-audit outreach по UA-2026-04-07-010505-a; попросити 1 пакет здачі та вимоги проєкту</x:v>
      </x:c>
      <x:c r="W1227" s="15" t="str">
        <x:v>Власник / виконавець; відповідальний за договір</x:v>
      </x:c>
      <x:c r="X1227" s="15" t="str">
        <x:v>1 нових підтверджених перемог/договорів у Prozorro на 25 984 грн; 0 зі строком виконання не раніше 24.08.2026.</x:v>
      </x:c>
      <x:c r="Y1227"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 строк до 2026-04-30. Попросити один знеособлений пакет здачі за цим workflow.</x:v>
      </x:c>
      <x:c r="Z1227" s="15" t="str">
        <x:v>https://prozorro.gov.ua/tender/UA-2026-04-07-010505-a</x:v>
      </x:c>
      <x:c r="AA1227" s="14" t="str">
        <x:v>2761806532</x:v>
      </x:c>
      <x:c r="AB1227" s="14" t="str">
        <x:v>2026-08-24</x:v>
      </x:c>
      <x:c r="AC1227" s="14" t="str"/>
      <x:c r="AD1227" s="20" t="str"/>
      <x:c r="AE1227" s="14" t="str"/>
      <x:c r="AF1227" s="14" t="n">
        <x:v>38</x:v>
      </x:c>
      <x:c r="AG1227" s="14" t="str">
        <x:v>I3</x:v>
      </x:c>
      <x:c r="AH1227" s="14" t="n">
        <x:v>1</x:v>
      </x:c>
      <x:c r="AI1227" s="14" t="n">
        <x:v>0</x:v>
      </x:c>
      <x:c r="AJ1227" s="18" t="n">
        <x:v>25984</x:v>
      </x:c>
      <x:c r="AK1227" s="14" t="str">
        <x:v>https://prozorro.gov.ua/tender/UA-2026-04-07-010505-a</x:v>
      </x:c>
      <x:c r="AL1227" s="19" t="n">
        <x:v>46119.51511901621</x:v>
      </x:c>
      <x:c r="AM1227" s="19" t="n">
        <x:v>46142</x:v>
      </x:c>
      <x:c r="AN1227" s="15" t="str">
        <x:v>Металоконструкції</x:v>
      </x:c>
      <x:c r="AO1227" s="15" t="str">
        <x:v>not_found_in_top_search</x:v>
      </x:c>
    </x:row>
    <x:row r="1228">
      <x:c r="A1228" s="14" t="str">
        <x:v>W4-409</x:v>
      </x:c>
      <x:c r="B1228" s="14" t="str">
        <x:v>Prozorro expansion — 24.08</x:v>
      </x:c>
      <x:c r="C1228" s="14" t="str">
        <x:v>ТОВ "ІТУМ"</x:v>
      </x:c>
      <x:c r="D1228" s="14" t="str">
        <x:v>Покрівлі та гідроізоляція</x:v>
      </x:c>
      <x:c r="E1228" s="14" t="str">
        <x:v>Expansion discovery</x:v>
      </x:c>
      <x:c r="F1228" s="17" t="str">
        <x:v>D3</x:v>
      </x:c>
      <x:c r="G1228" s="14" t="str"/>
      <x:c r="H1228" s="14" t="str">
        <x:v>Discovery розширення — 2 тижні</x:v>
      </x:c>
      <x:c r="I1228" s="16" t="n">
        <x:v>1</x:v>
      </x:c>
      <x:c r="J1228" s="16" t="n">
        <x:v>5</x:v>
      </x:c>
      <x:c r="K1228" s="16" t="n">
        <x:v>5</x:v>
      </x:c>
      <x:c r="L1228" s="16" t="n">
        <x:v>1</x:v>
      </x:c>
      <x:c r="M1228" s="16" t="n">
        <x:v>5</x:v>
      </x:c>
      <x:c r="N1228" s="16" t="n">
        <x:v>5</x:v>
      </x:c>
      <x:c r="O1228" s="16" t="n">
        <x:v>3</x:v>
      </x:c>
      <x:c r="P1228" s="16" t="n">
        <x:f>IF(COUNT(I1228:O1228)&lt;7,"",I1228*8+J1228*3+K1228*2+L1228*2+M1228*2+N1228*2+O1228)</x:f>
        <x:v>58</x:v>
      </x:c>
      <x:c r="Q1228" s="16" t="n">
        <x:f>IF(COUNT(J1228:O1228)&lt;6,"",J1228*5+K1228*4+M1228*4+L1228*3+N1228*2+O1228*2)</x:f>
        <x:v>84</x:v>
      </x:c>
      <x:c r="R1228" s="14" t="str">
        <x:v>high</x:v>
      </x:c>
      <x:c r="S1228" s="14" t="str">
        <x:v>official_prozorro_award_2024_2026</x:v>
      </x:c>
      <x:c r="T1228" s="14" t="str">
        <x:v>official_prozorro_api</x:v>
      </x:c>
      <x:c r="U1228" s="14" t="str">
        <x:v>Не контактували</x:v>
      </x:c>
      <x:c r="V1228" s="15" t="str">
        <x:v>Workflow-audit outreach по UA-2026-04-15-004451-a; попросити 1 пакет здачі та вимоги проєкту</x:v>
      </x:c>
      <x:c r="W1228" s="15" t="str">
        <x:v>Власник / директор; керівник ПТО; відповідальний за договори</x:v>
      </x:c>
      <x:c r="X1228" s="15" t="str">
        <x:v>1 нових підтверджених перемог/договорів у Prozorro на 21 090 грн; 0 зі строком виконання не раніше 24.08.2026.</x:v>
      </x:c>
      <x:c r="Y1228"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 строк до 2026-04-16. Попросити один знеособлений пакет здачі за цим workflow.</x:v>
      </x:c>
      <x:c r="Z1228" s="15" t="str">
        <x:v>https://prozorro.gov.ua/tender/UA-2026-04-15-004451-a</x:v>
      </x:c>
      <x:c r="AA1228" s="14" t="str">
        <x:v>38808304</x:v>
      </x:c>
      <x:c r="AB1228" s="14" t="str">
        <x:v>2026-08-24</x:v>
      </x:c>
      <x:c r="AC1228" s="14" t="str"/>
      <x:c r="AD1228" s="20" t="str"/>
      <x:c r="AE1228" s="14" t="str"/>
      <x:c r="AF1228" s="14" t="n">
        <x:v>38</x:v>
      </x:c>
      <x:c r="AG1228" s="14" t="str">
        <x:v>I3</x:v>
      </x:c>
      <x:c r="AH1228" s="14" t="n">
        <x:v>1</x:v>
      </x:c>
      <x:c r="AI1228" s="14" t="n">
        <x:v>0</x:v>
      </x:c>
      <x:c r="AJ1228" s="18" t="n">
        <x:v>21090.12</x:v>
      </x:c>
      <x:c r="AK1228" s="14" t="str">
        <x:v>https://prozorro.gov.ua/tender/UA-2026-04-15-004451-a</x:v>
      </x:c>
      <x:c r="AL1228" s="19" t="n">
        <x:v>46127.370119907406</x:v>
      </x:c>
      <x:c r="AM1228" s="19" t="n">
        <x:v>46128.36986111111</x:v>
      </x:c>
      <x:c r="AN1228" s="15" t="str">
        <x:v>Покрівлі та гідроізоляція</x:v>
      </x:c>
      <x:c r="AO1228" s="15" t="str">
        <x:v>not_found_in_top_search</x:v>
      </x:c>
    </x:row>
    <x:row r="1229">
      <x:c r="A1229" s="14" t="str">
        <x:v>W4-410</x:v>
      </x:c>
      <x:c r="B1229" s="14" t="str">
        <x:v>Prozorro expansion — 24.08</x:v>
      </x:c>
      <x:c r="C1229" s="14" t="str">
        <x:v>Ільо Андрій Михайлович</x:v>
      </x:c>
      <x:c r="D1229" s="14" t="str">
        <x:v>Металоконструкції</x:v>
      </x:c>
      <x:c r="E1229" s="14" t="str">
        <x:v>Expansion discovery</x:v>
      </x:c>
      <x:c r="F1229" s="17" t="str">
        <x:v>D3</x:v>
      </x:c>
      <x:c r="G1229" s="14" t="str"/>
      <x:c r="H1229" s="14" t="str">
        <x:v>Discovery розширення — 2 тижні</x:v>
      </x:c>
      <x:c r="I1229" s="16" t="n">
        <x:v>1</x:v>
      </x:c>
      <x:c r="J1229" s="16" t="n">
        <x:v>5</x:v>
      </x:c>
      <x:c r="K1229" s="16" t="n">
        <x:v>5</x:v>
      </x:c>
      <x:c r="L1229" s="16" t="n">
        <x:v>1</x:v>
      </x:c>
      <x:c r="M1229" s="16" t="n">
        <x:v>5</x:v>
      </x:c>
      <x:c r="N1229" s="16" t="n">
        <x:v>3</x:v>
      </x:c>
      <x:c r="O1229" s="16" t="n">
        <x:v>3</x:v>
      </x:c>
      <x:c r="P1229" s="16" t="n">
        <x:f>IF(COUNT(I1229:O1229)&lt;7,"",I1229*8+J1229*3+K1229*2+L1229*2+M1229*2+N1229*2+O1229)</x:f>
        <x:v>54</x:v>
      </x:c>
      <x:c r="Q1229" s="16" t="n">
        <x:f>IF(COUNT(J1229:O1229)&lt;6,"",J1229*5+K1229*4+M1229*4+L1229*3+N1229*2+O1229*2)</x:f>
        <x:v>80</x:v>
      </x:c>
      <x:c r="R1229" s="14" t="str">
        <x:v>high</x:v>
      </x:c>
      <x:c r="S1229" s="14" t="str">
        <x:v>official_prozorro_award_2024_2026</x:v>
      </x:c>
      <x:c r="T1229" s="14" t="str">
        <x:v>official_prozorro_api</x:v>
      </x:c>
      <x:c r="U1229" s="14" t="str">
        <x:v>Не контактували</x:v>
      </x:c>
      <x:c r="V1229" s="15" t="str">
        <x:v>Workflow-audit outreach по UA-2026-04-09-004163-a; попросити 1 пакет здачі та вимоги проєкту</x:v>
      </x:c>
      <x:c r="W1229" s="15" t="str">
        <x:v>Власник / виконавець; відповідальний за договір</x:v>
      </x:c>
      <x:c r="X1229" s="15" t="str">
        <x:v>1 нових підтверджених перемог/договорів у Prozorro на 20 787 грн; 0 зі строком виконання не раніше 24.08.2026.</x:v>
      </x:c>
      <x:c r="Y1229"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 строк до 2026-04-30. Попросити один знеособлений пакет здачі за цим workflow.</x:v>
      </x:c>
      <x:c r="Z1229" s="15" t="str">
        <x:v>https://prozorro.gov.ua/tender/UA-2026-04-09-004163-a</x:v>
      </x:c>
      <x:c r="AA1229" s="14" t="str">
        <x:v>2389706199</x:v>
      </x:c>
      <x:c r="AB1229" s="14" t="str">
        <x:v>2026-08-24</x:v>
      </x:c>
      <x:c r="AC1229" s="14" t="str"/>
      <x:c r="AD1229" s="20" t="str"/>
      <x:c r="AE1229" s="14" t="str"/>
      <x:c r="AF1229" s="14" t="n">
        <x:v>38</x:v>
      </x:c>
      <x:c r="AG1229" s="14" t="str">
        <x:v>I3</x:v>
      </x:c>
      <x:c r="AH1229" s="14" t="n">
        <x:v>1</x:v>
      </x:c>
      <x:c r="AI1229" s="14" t="n">
        <x:v>0</x:v>
      </x:c>
      <x:c r="AJ1229" s="18" t="n">
        <x:v>20787.2</x:v>
      </x:c>
      <x:c r="AK1229" s="14" t="str">
        <x:v>https://prozorro.gov.ua/tender/UA-2026-04-09-004163-a</x:v>
      </x:c>
      <x:c r="AL1229" s="19" t="n">
        <x:v>46121.35364707176</x:v>
      </x:c>
      <x:c r="AM1229" s="19" t="n">
        <x:v>46142</x:v>
      </x:c>
      <x:c r="AN1229" s="15" t="str">
        <x:v>Металоконструкції</x:v>
      </x:c>
      <x:c r="AO1229" s="15" t="str">
        <x:v>not_found_in_top_search</x:v>
      </x:c>
    </x:row>
    <x:row r="1230">
      <x:c r="A1230" s="14" t="str">
        <x:v>W4-411</x:v>
      </x:c>
      <x:c r="B1230" s="14" t="str">
        <x:v>Prozorro expansion — 24.08</x:v>
      </x:c>
      <x:c r="C1230" s="14" t="str">
        <x:v>ЯРЕМКІВ ВОЛОДИМИР ІВАНОВИЧ</x:v>
      </x:c>
      <x:c r="D1230" s="14" t="str">
        <x:v>HVAC / ОВіК</x:v>
      </x:c>
      <x:c r="E1230" s="14" t="str">
        <x:v>Pilot now</x:v>
      </x:c>
      <x:c r="F1230" s="17" t="str">
        <x:v>P3</x:v>
      </x:c>
      <x:c r="G1230" s="14" t="str"/>
      <x:c r="H1230" s="14" t="str">
        <x:v>Пілот зараз — Н.14</x:v>
      </x:c>
      <x:c r="I1230" s="16" t="n">
        <x:v>5</x:v>
      </x:c>
      <x:c r="J1230" s="16" t="n">
        <x:v>5</x:v>
      </x:c>
      <x:c r="K1230" s="16" t="n">
        <x:v>4</x:v>
      </x:c>
      <x:c r="L1230" s="16" t="n">
        <x:v>1</x:v>
      </x:c>
      <x:c r="M1230" s="16" t="n">
        <x:v>5</x:v>
      </x:c>
      <x:c r="N1230" s="16" t="n">
        <x:v>3</x:v>
      </x:c>
      <x:c r="O1230" s="16" t="n">
        <x:v>3</x:v>
      </x:c>
      <x:c r="P1230" s="16" t="n">
        <x:f>IF(COUNT(I1230:O1230)&lt;7,"",I1230*8+J1230*3+K1230*2+L1230*2+M1230*2+N1230*2+O1230)</x:f>
        <x:v>84</x:v>
      </x:c>
      <x:c r="Q1230" s="16" t="n">
        <x:f>IF(COUNT(J1230:O1230)&lt;6,"",J1230*5+K1230*4+M1230*4+L1230*3+N1230*2+O1230*2)</x:f>
        <x:v>76</x:v>
      </x:c>
      <x:c r="R1230" s="14" t="str">
        <x:v>high</x:v>
      </x:c>
      <x:c r="S1230" s="14" t="str">
        <x:v>official_prozorro_award_2024_2026</x:v>
      </x:c>
      <x:c r="T1230" s="14" t="str">
        <x:v>official_prozorro_api</x:v>
      </x:c>
      <x:c r="U1230" s="14" t="str">
        <x:v>Не контактували</x:v>
      </x:c>
      <x:c r="V1230" s="15" t="str">
        <x:v>Персоналізований free-pilot outreach по UA-2026-03-02-006057-a; попросити 1 пакет Н.14/Н.15</x:v>
      </x:c>
      <x:c r="W1230" s="15" t="str">
        <x:v>Власник / виконавець; відповідальний за договір</x:v>
      </x:c>
      <x:c r="X1230" s="15" t="str">
        <x:v>1 нових підтверджених перемог/договорів у Prozorro на 18 800 грн; 1 зі строком виконання не раніше 24.08.2026.</x:v>
      </x:c>
      <x:c r="Y1230"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 строк до 2026-12-31. Попросити один знеособлений пакет здачі за цим workflow.</x:v>
      </x:c>
      <x:c r="Z1230" s="15" t="str">
        <x:v>https://prozorro.gov.ua/tender/UA-2026-03-02-006057-a</x:v>
      </x:c>
      <x:c r="AA1230" s="14" t="str">
        <x:v>3379903893</x:v>
      </x:c>
      <x:c r="AB1230" s="14" t="str">
        <x:v>2026-08-24</x:v>
      </x:c>
      <x:c r="AC1230" s="14" t="str"/>
      <x:c r="AD1230" s="20" t="str"/>
      <x:c r="AE1230" s="14" t="str"/>
      <x:c r="AF1230" s="14" t="n">
        <x:v>38</x:v>
      </x:c>
      <x:c r="AG1230" s="14" t="str">
        <x:v>I3</x:v>
      </x:c>
      <x:c r="AH1230" s="14" t="n">
        <x:v>1</x:v>
      </x:c>
      <x:c r="AI1230" s="14" t="n">
        <x:v>1</x:v>
      </x:c>
      <x:c r="AJ1230" s="18" t="n">
        <x:v>18800</x:v>
      </x:c>
      <x:c r="AK1230" s="14" t="str">
        <x:v>https://prozorro.gov.ua/tender/UA-2026-03-02-006057-a</x:v>
      </x:c>
      <x:c r="AL1230" s="19" t="n">
        <x:v>46083.460169895836</x:v>
      </x:c>
      <x:c r="AM1230" s="19" t="n">
        <x:v>46387</x:v>
      </x:c>
      <x:c r="AN1230" s="15" t="str">
        <x:v>HVAC / ОВіК</x:v>
      </x:c>
      <x:c r="AO1230" s="15" t="str">
        <x:v>not_found_in_top_search</x:v>
      </x:c>
    </x:row>
    <x:row r="1231">
      <x:c r="A1231" s="14" t="str">
        <x:v>W4-412</x:v>
      </x:c>
      <x:c r="B1231" s="14" t="str">
        <x:v>Prozorro expansion — 24.08</x:v>
      </x:c>
      <x:c r="C1231" s="14" t="str">
        <x:v>ШИМКІВ АНДРІЙ ВАСИЛЬОВИЧ</x:v>
      </x:c>
      <x:c r="D1231" s="14" t="str">
        <x:v>HVAC / ОВіК</x:v>
      </x:c>
      <x:c r="E1231" s="14" t="str">
        <x:v>Pilot now</x:v>
      </x:c>
      <x:c r="F1231" s="17" t="str">
        <x:v>P3</x:v>
      </x:c>
      <x:c r="G1231" s="14" t="str"/>
      <x:c r="H1231" s="14" t="str">
        <x:v>Пілот зараз — Н.14</x:v>
      </x:c>
      <x:c r="I1231" s="16" t="n">
        <x:v>5</x:v>
      </x:c>
      <x:c r="J1231" s="16" t="n">
        <x:v>5</x:v>
      </x:c>
      <x:c r="K1231" s="16" t="n">
        <x:v>4</x:v>
      </x:c>
      <x:c r="L1231" s="16" t="n">
        <x:v>1</x:v>
      </x:c>
      <x:c r="M1231" s="16" t="n">
        <x:v>5</x:v>
      </x:c>
      <x:c r="N1231" s="16" t="n">
        <x:v>3</x:v>
      </x:c>
      <x:c r="O1231" s="16" t="n">
        <x:v>3</x:v>
      </x:c>
      <x:c r="P1231" s="16" t="n">
        <x:f>IF(COUNT(I1231:O1231)&lt;7,"",I1231*8+J1231*3+K1231*2+L1231*2+M1231*2+N1231*2+O1231)</x:f>
        <x:v>84</x:v>
      </x:c>
      <x:c r="Q1231" s="16" t="n">
        <x:f>IF(COUNT(J1231:O1231)&lt;6,"",J1231*5+K1231*4+M1231*4+L1231*3+N1231*2+O1231*2)</x:f>
        <x:v>76</x:v>
      </x:c>
      <x:c r="R1231" s="14" t="str">
        <x:v>high</x:v>
      </x:c>
      <x:c r="S1231" s="14" t="str">
        <x:v>official_prozorro_award_2024_2026</x:v>
      </x:c>
      <x:c r="T1231" s="14" t="str">
        <x:v>official_prozorro_api</x:v>
      </x:c>
      <x:c r="U1231" s="14" t="str">
        <x:v>Не контактували</x:v>
      </x:c>
      <x:c r="V1231" s="15" t="str">
        <x:v>Персоналізований free-pilot outreach по UA-2026-04-10-007864-a; попросити 1 пакет Н.14/Н.15</x:v>
      </x:c>
      <x:c r="W1231" s="15" t="str">
        <x:v>Власник / виконавець; відповідальний за договір</x:v>
      </x:c>
      <x:c r="X1231" s="15" t="str">
        <x:v>1 нових підтверджених перемог/договорів у Prozorro на 17 800 грн; 1 зі строком виконання не раніше 24.08.2026.</x:v>
      </x:c>
      <x:c r="Y1231"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 строк до 2026-12-31. Попросити один знеособлений пакет здачі за цим workflow.</x:v>
      </x:c>
      <x:c r="Z1231" s="15" t="str">
        <x:v>https://prozorro.gov.ua/tender/UA-2026-04-10-007864-a</x:v>
      </x:c>
      <x:c r="AA1231" s="14" t="str">
        <x:v>2826905070</x:v>
      </x:c>
      <x:c r="AB1231" s="14" t="str">
        <x:v>2026-08-24</x:v>
      </x:c>
      <x:c r="AC1231" s="14" t="str"/>
      <x:c r="AD1231" s="20" t="str"/>
      <x:c r="AE1231" s="14" t="str"/>
      <x:c r="AF1231" s="14" t="n">
        <x:v>38</x:v>
      </x:c>
      <x:c r="AG1231" s="14" t="str">
        <x:v>I3</x:v>
      </x:c>
      <x:c r="AH1231" s="14" t="n">
        <x:v>1</x:v>
      </x:c>
      <x:c r="AI1231" s="14" t="n">
        <x:v>1</x:v>
      </x:c>
      <x:c r="AJ1231" s="18" t="n">
        <x:v>17800</x:v>
      </x:c>
      <x:c r="AK1231" s="14" t="str">
        <x:v>https://prozorro.gov.ua/tender/UA-2026-04-10-007864-a</x:v>
      </x:c>
      <x:c r="AL1231" s="19" t="n">
        <x:v>46122.46969696759</x:v>
      </x:c>
      <x:c r="AM1231" s="19" t="n">
        <x:v>46387</x:v>
      </x:c>
      <x:c r="AN1231" s="15" t="str">
        <x:v>HVAC / ОВіК</x:v>
      </x:c>
      <x:c r="AO1231" s="15" t="str">
        <x:v>not_found_in_top_search</x:v>
      </x:c>
    </x:row>
    <x:row r="1232">
      <x:c r="A1232" s="14" t="str">
        <x:v>W4-413</x:v>
      </x:c>
      <x:c r="B1232" s="14" t="str">
        <x:v>Prozorro expansion — 24.08</x:v>
      </x:c>
      <x:c r="C1232" s="14" t="str">
        <x:v>ЄГОРОВА СВІТЛАНА МИХАЙЛІВНА</x:v>
      </x:c>
      <x:c r="D1232" s="14" t="str">
        <x:v>Внутрішні сантехнічні системи</x:v>
      </x:c>
      <x:c r="E1232" s="14" t="str">
        <x:v>Pilot now</x:v>
      </x:c>
      <x:c r="F1232" s="17" t="str">
        <x:v>P3</x:v>
      </x:c>
      <x:c r="G1232" s="14" t="str"/>
      <x:c r="H1232" s="14" t="str">
        <x:v>Пілот зараз — Н.14</x:v>
      </x:c>
      <x:c r="I1232" s="16" t="n">
        <x:v>5</x:v>
      </x:c>
      <x:c r="J1232" s="16" t="n">
        <x:v>5</x:v>
      </x:c>
      <x:c r="K1232" s="16" t="n">
        <x:v>4</x:v>
      </x:c>
      <x:c r="L1232" s="16" t="n">
        <x:v>1</x:v>
      </x:c>
      <x:c r="M1232" s="16" t="n">
        <x:v>5</x:v>
      </x:c>
      <x:c r="N1232" s="16" t="n">
        <x:v>3</x:v>
      </x:c>
      <x:c r="O1232" s="16" t="n">
        <x:v>3</x:v>
      </x:c>
      <x:c r="P1232" s="16" t="n">
        <x:f>IF(COUNT(I1232:O1232)&lt;7,"",I1232*8+J1232*3+K1232*2+L1232*2+M1232*2+N1232*2+O1232)</x:f>
        <x:v>84</x:v>
      </x:c>
      <x:c r="Q1232" s="16" t="n">
        <x:f>IF(COUNT(J1232:O1232)&lt;6,"",J1232*5+K1232*4+M1232*4+L1232*3+N1232*2+O1232*2)</x:f>
        <x:v>76</x:v>
      </x:c>
      <x:c r="R1232" s="14" t="str">
        <x:v>high</x:v>
      </x:c>
      <x:c r="S1232" s="14" t="str">
        <x:v>official_prozorro_award_2024_2026</x:v>
      </x:c>
      <x:c r="T1232" s="14" t="str">
        <x:v>official_prozorro_api</x:v>
      </x:c>
      <x:c r="U1232" s="14" t="str">
        <x:v>Не контактували</x:v>
      </x:c>
      <x:c r="V1232" s="15" t="str">
        <x:v>Персоналізований free-pilot outreach по UA-2026-03-18-009833-a; попросити 1 пакет Н.14/Н.15</x:v>
      </x:c>
      <x:c r="W1232" s="15" t="str">
        <x:v>Власник / виконавець; відповідальний за договір</x:v>
      </x:c>
      <x:c r="X1232" s="15" t="str">
        <x:v>1 нових підтверджених перемог/договорів у Prozorro на 14 519 грн; 0 зі строком виконання не раніше 24.08.2026.</x:v>
      </x:c>
      <x:c r="Y1232"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 строк до 2026-06-16. Попросити один знеособлений пакет здачі за цим workflow.</x:v>
      </x:c>
      <x:c r="Z1232" s="15" t="str">
        <x:v>https://prozorro.gov.ua/tender/UA-2026-03-18-009833-a</x:v>
      </x:c>
      <x:c r="AA1232" s="14" t="str">
        <x:v>2666820800</x:v>
      </x:c>
      <x:c r="AB1232" s="14" t="str">
        <x:v>2026-08-24</x:v>
      </x:c>
      <x:c r="AC1232" s="14" t="str"/>
      <x:c r="AD1232" s="20" t="str"/>
      <x:c r="AE1232" s="14" t="str"/>
      <x:c r="AF1232" s="14" t="n">
        <x:v>38</x:v>
      </x:c>
      <x:c r="AG1232" s="14" t="str">
        <x:v>I3</x:v>
      </x:c>
      <x:c r="AH1232" s="14" t="n">
        <x:v>1</x:v>
      </x:c>
      <x:c r="AI1232" s="14" t="n">
        <x:v>0</x:v>
      </x:c>
      <x:c r="AJ1232" s="18" t="n">
        <x:v>14518.78</x:v>
      </x:c>
      <x:c r="AK1232" s="14" t="str">
        <x:v>https://prozorro.gov.ua/tender/UA-2026-03-18-009833-a</x:v>
      </x:c>
      <x:c r="AL1232" s="19" t="n">
        <x:v>46099.52566306713</x:v>
      </x:c>
      <x:c r="AM1232" s="19" t="n">
        <x:v>46189</x:v>
      </x:c>
      <x:c r="AN1232" s="15" t="str">
        <x:v>Внутрішні сантехнічні системи</x:v>
      </x:c>
      <x:c r="AO1232" s="15" t="str">
        <x:v>not_found_in_top_search</x:v>
      </x:c>
    </x:row>
    <x:row r="1233">
      <x:c r="A1233" s="14" t="str">
        <x:v>W4-414</x:v>
      </x:c>
      <x:c r="B1233" s="14" t="str">
        <x:v>Prozorro expansion — 24.08</x:v>
      </x:c>
      <x:c r="C1233" s="14" t="str">
        <x:v>Акулов Володимир Миколайович</x:v>
      </x:c>
      <x:c r="D1233" s="14" t="str">
        <x:v>Металоконструкції</x:v>
      </x:c>
      <x:c r="E1233" s="14" t="str">
        <x:v>Expansion discovery</x:v>
      </x:c>
      <x:c r="F1233" s="17" t="str">
        <x:v>D3</x:v>
      </x:c>
      <x:c r="G1233" s="14" t="str"/>
      <x:c r="H1233" s="14" t="str">
        <x:v>Discovery розширення — 2 тижні</x:v>
      </x:c>
      <x:c r="I1233" s="16" t="n">
        <x:v>1</x:v>
      </x:c>
      <x:c r="J1233" s="16" t="n">
        <x:v>5</x:v>
      </x:c>
      <x:c r="K1233" s="16" t="n">
        <x:v>5</x:v>
      </x:c>
      <x:c r="L1233" s="16" t="n">
        <x:v>1</x:v>
      </x:c>
      <x:c r="M1233" s="16" t="n">
        <x:v>5</x:v>
      </x:c>
      <x:c r="N1233" s="16" t="n">
        <x:v>3</x:v>
      </x:c>
      <x:c r="O1233" s="16" t="n">
        <x:v>3</x:v>
      </x:c>
      <x:c r="P1233" s="16" t="n">
        <x:f>IF(COUNT(I1233:O1233)&lt;7,"",I1233*8+J1233*3+K1233*2+L1233*2+M1233*2+N1233*2+O1233)</x:f>
        <x:v>54</x:v>
      </x:c>
      <x:c r="Q1233" s="16" t="n">
        <x:f>IF(COUNT(J1233:O1233)&lt;6,"",J1233*5+K1233*4+M1233*4+L1233*3+N1233*2+O1233*2)</x:f>
        <x:v>80</x:v>
      </x:c>
      <x:c r="R1233" s="14" t="str">
        <x:v>high</x:v>
      </x:c>
      <x:c r="S1233" s="14" t="str">
        <x:v>official_prozorro_award_2024_2026</x:v>
      </x:c>
      <x:c r="T1233" s="14" t="str">
        <x:v>official_prozorro_api</x:v>
      </x:c>
      <x:c r="U1233" s="14" t="str">
        <x:v>Не контактували</x:v>
      </x:c>
      <x:c r="V1233" s="15" t="str">
        <x:v>Workflow-audit outreach по UA-2026-04-21-003330-a; попросити 1 пакет здачі та вимоги проєкту</x:v>
      </x:c>
      <x:c r="W1233" s="15" t="str">
        <x:v>Власник / виконавець; відповідальний за договір</x:v>
      </x:c>
      <x:c r="X1233" s="15" t="str">
        <x:v>1 нових підтверджених перемог/договорів у Prozorro на 11 693 грн; 0 зі строком виконання не раніше 24.08.2026.</x:v>
      </x:c>
      <x:c r="Y123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 строк до 2026-04-30. Попросити один знеособлений пакет здачі за цим workflow.</x:v>
      </x:c>
      <x:c r="Z1233" s="15" t="str">
        <x:v>https://prozorro.gov.ua/tender/UA-2026-04-21-003330-a</x:v>
      </x:c>
      <x:c r="AA1233" s="14" t="str">
        <x:v>2802004154</x:v>
      </x:c>
      <x:c r="AB1233" s="14" t="str">
        <x:v>2026-08-24</x:v>
      </x:c>
      <x:c r="AC1233" s="14" t="str"/>
      <x:c r="AD1233" s="20" t="str"/>
      <x:c r="AE1233" s="14" t="str"/>
      <x:c r="AF1233" s="14" t="n">
        <x:v>38</x:v>
      </x:c>
      <x:c r="AG1233" s="14" t="str">
        <x:v>I3</x:v>
      </x:c>
      <x:c r="AH1233" s="14" t="n">
        <x:v>1</x:v>
      </x:c>
      <x:c r="AI1233" s="14" t="n">
        <x:v>0</x:v>
      </x:c>
      <x:c r="AJ1233" s="18" t="n">
        <x:v>11692.8</x:v>
      </x:c>
      <x:c r="AK1233" s="14" t="str">
        <x:v>https://prozorro.gov.ua/tender/UA-2026-04-21-003330-a</x:v>
      </x:c>
      <x:c r="AL1233" s="19" t="n">
        <x:v>46133.34664541667</x:v>
      </x:c>
      <x:c r="AM1233" s="19" t="n">
        <x:v>46142</x:v>
      </x:c>
      <x:c r="AN1233" s="15" t="str">
        <x:v>Металоконструкції</x:v>
      </x:c>
      <x:c r="AO1233" s="15" t="str">
        <x:v>not_found_in_top_search</x:v>
      </x:c>
    </x:row>
    <x:row r="1234">
      <x:c r="A1234" s="14" t="str">
        <x:v>W4-415</x:v>
      </x:c>
      <x:c r="B1234" s="14" t="str">
        <x:v>Prozorro expansion — 24.08</x:v>
      </x:c>
      <x:c r="C1234" s="14" t="str">
        <x:v>ДЬЯЧЕНКО ДМИТРО ГЕННАДІЙОВИЧ</x:v>
      </x:c>
      <x:c r="D1234" s="14" t="str">
        <x:v>HVAC / ОВіК</x:v>
      </x:c>
      <x:c r="E1234" s="14" t="str">
        <x:v>Pilot now</x:v>
      </x:c>
      <x:c r="F1234" s="17" t="str">
        <x:v>P3</x:v>
      </x:c>
      <x:c r="G1234" s="14" t="str"/>
      <x:c r="H1234" s="14" t="str">
        <x:v>Пілот зараз — Н.14</x:v>
      </x:c>
      <x:c r="I1234" s="16" t="n">
        <x:v>5</x:v>
      </x:c>
      <x:c r="J1234" s="16" t="n">
        <x:v>5</x:v>
      </x:c>
      <x:c r="K1234" s="16" t="n">
        <x:v>4</x:v>
      </x:c>
      <x:c r="L1234" s="16" t="n">
        <x:v>1</x:v>
      </x:c>
      <x:c r="M1234" s="16" t="n">
        <x:v>5</x:v>
      </x:c>
      <x:c r="N1234" s="16" t="n">
        <x:v>3</x:v>
      </x:c>
      <x:c r="O1234" s="16" t="n">
        <x:v>3</x:v>
      </x:c>
      <x:c r="P1234" s="16" t="n">
        <x:f>IF(COUNT(I1234:O1234)&lt;7,"",I1234*8+J1234*3+K1234*2+L1234*2+M1234*2+N1234*2+O1234)</x:f>
        <x:v>84</x:v>
      </x:c>
      <x:c r="Q1234" s="16" t="n">
        <x:f>IF(COUNT(J1234:O1234)&lt;6,"",J1234*5+K1234*4+M1234*4+L1234*3+N1234*2+O1234*2)</x:f>
        <x:v>76</x:v>
      </x:c>
      <x:c r="R1234" s="14" t="str">
        <x:v>high</x:v>
      </x:c>
      <x:c r="S1234" s="14" t="str">
        <x:v>official_prozorro_award_2024_2026</x:v>
      </x:c>
      <x:c r="T1234" s="14" t="str">
        <x:v>official_prozorro_api</x:v>
      </x:c>
      <x:c r="U1234" s="14" t="str">
        <x:v>Не контактували</x:v>
      </x:c>
      <x:c r="V1234" s="15" t="str">
        <x:v>Персоналізований free-pilot outreach по UA-2026-01-26-008317-a; попросити 1 пакет Н.14/Н.15</x:v>
      </x:c>
      <x:c r="W1234" s="15" t="str">
        <x:v>Власник / виконавець; відповідальний за договір</x:v>
      </x:c>
      <x:c r="X1234" s="15" t="str">
        <x:v>1 нових підтверджених перемог/договорів у Prozorro на 10 700 грн; 1 зі строком виконання не раніше 24.08.2026.</x:v>
      </x:c>
      <x:c r="Y1234" s="15" t="str">
        <x:v>Послуги з монтажу системи вентиляції та систем кондиціонування повітря у філії КЗ "ЦКП" за адресою:м.Запоріжжя,пр. Інженера Преображенського,буд.15; строк до 2026-12-31. Попросити один знеособлений пакет здачі за цим workflow.</x:v>
      </x:c>
      <x:c r="Z1234" s="15" t="str">
        <x:v>https://prozorro.gov.ua/tender/UA-2026-01-26-008317-a</x:v>
      </x:c>
      <x:c r="AA1234" s="14" t="str">
        <x:v>3655506111</x:v>
      </x:c>
      <x:c r="AB1234" s="14" t="str">
        <x:v>2026-08-24</x:v>
      </x:c>
      <x:c r="AC1234" s="14" t="str"/>
      <x:c r="AD1234" s="20" t="str"/>
      <x:c r="AE1234" s="14" t="str"/>
      <x:c r="AF1234" s="14" t="n">
        <x:v>38</x:v>
      </x:c>
      <x:c r="AG1234" s="14" t="str">
        <x:v>I3</x:v>
      </x:c>
      <x:c r="AH1234" s="14" t="n">
        <x:v>1</x:v>
      </x:c>
      <x:c r="AI1234" s="14" t="n">
        <x:v>1</x:v>
      </x:c>
      <x:c r="AJ1234" s="18" t="n">
        <x:v>10700</x:v>
      </x:c>
      <x:c r="AK1234" s="14" t="str">
        <x:v>https://prozorro.gov.ua/tender/UA-2026-01-26-008317-a</x:v>
      </x:c>
      <x:c r="AL1234" s="19" t="n">
        <x:v>46048.45595790509</x:v>
      </x:c>
      <x:c r="AM1234" s="19" t="n">
        <x:v>46387</x:v>
      </x:c>
      <x:c r="AN1234" s="15" t="str">
        <x:v>HVAC / ОВіК</x:v>
      </x:c>
      <x:c r="AO1234" s="15" t="str">
        <x:v>not_found_in_top_search</x:v>
      </x:c>
    </x:row>
    <x:row r="1235">
      <x:c r="A1235" s="14" t="str">
        <x:v>W4-416</x:v>
      </x:c>
      <x:c r="B1235" s="14" t="str">
        <x:v>Prozorro expansion — 24.08</x:v>
      </x:c>
      <x:c r="C1235" s="14" t="str">
        <x:v>ФІЛІЯ ДП "УКРДЕРЖБУДЕКСПЕРТИЗА" У СУМСЬКІЙ ОБЛАСТІ</x:v>
      </x:c>
      <x:c r="D1235" s="14" t="str">
        <x:v>Водоочищення / очисні споруди</x:v>
      </x:c>
      <x:c r="E1235" s="14" t="str">
        <x:v>Expansion discovery</x:v>
      </x:c>
      <x:c r="F1235" s="17" t="str">
        <x:v>D3</x:v>
      </x:c>
      <x:c r="G1235" s="14" t="str"/>
      <x:c r="H1235" s="14" t="str">
        <x:v>Discovery розширення — 2 тижні</x:v>
      </x:c>
      <x:c r="I1235" s="16" t="n">
        <x:v>1</x:v>
      </x:c>
      <x:c r="J1235" s="16" t="n">
        <x:v>5</x:v>
      </x:c>
      <x:c r="K1235" s="16" t="n">
        <x:v>4</x:v>
      </x:c>
      <x:c r="L1235" s="16" t="n">
        <x:v>1</x:v>
      </x:c>
      <x:c r="M1235" s="16" t="n">
        <x:v>5</x:v>
      </x:c>
      <x:c r="N1235" s="16" t="n">
        <x:v>5</x:v>
      </x:c>
      <x:c r="O1235" s="16" t="n">
        <x:v>3</x:v>
      </x:c>
      <x:c r="P1235" s="16" t="n">
        <x:f>IF(COUNT(I1235:O1235)&lt;7,"",I1235*8+J1235*3+K1235*2+L1235*2+M1235*2+N1235*2+O1235)</x:f>
        <x:v>56</x:v>
      </x:c>
      <x:c r="Q1235" s="16" t="n">
        <x:f>IF(COUNT(J1235:O1235)&lt;6,"",J1235*5+K1235*4+M1235*4+L1235*3+N1235*2+O1235*2)</x:f>
        <x:v>80</x:v>
      </x:c>
      <x:c r="R1235" s="14" t="str">
        <x:v>high</x:v>
      </x:c>
      <x:c r="S1235" s="14" t="str">
        <x:v>official_prozorro_award_2024_2026</x:v>
      </x:c>
      <x:c r="T1235" s="14" t="str">
        <x:v>official_prozorro_api</x:v>
      </x:c>
      <x:c r="U1235" s="14" t="str">
        <x:v>Не контактували</x:v>
      </x:c>
      <x:c r="V1235" s="15" t="str">
        <x:v>Workflow-audit outreach по UA-2026-01-21-013838-a; попросити 1 пакет здачі та вимоги проєкту</x:v>
      </x:c>
      <x:c r="W1235" s="15" t="str">
        <x:v>Власник / директор; керівник ПТО; відповідальний за договори</x:v>
      </x:c>
      <x:c r="X1235" s="15" t="str">
        <x:v>1 нових підтверджених перемог/договорів у Prozorro на 9 069 грн; 1 зі строком виконання не раніше 24.08.2026.</x:v>
      </x:c>
      <x:c r="Y1235"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 строк до 2026-12-31. Попросити один знеособлений пакет здачі за цим workflow.</x:v>
      </x:c>
      <x:c r="Z1235" s="15" t="str">
        <x:v>https://prozorro.gov.ua/tender/UA-2026-01-21-013838-a</x:v>
      </x:c>
      <x:c r="AA1235" s="14" t="str">
        <x:v>35850133</x:v>
      </x:c>
      <x:c r="AB1235" s="14" t="str">
        <x:v>2026-08-24</x:v>
      </x:c>
      <x:c r="AC1235" s="14" t="str"/>
      <x:c r="AD1235" s="20" t="str"/>
      <x:c r="AE1235" s="14" t="str"/>
      <x:c r="AF1235" s="14" t="n">
        <x:v>38</x:v>
      </x:c>
      <x:c r="AG1235" s="14" t="str">
        <x:v>I3</x:v>
      </x:c>
      <x:c r="AH1235" s="14" t="n">
        <x:v>1</x:v>
      </x:c>
      <x:c r="AI1235" s="14" t="n">
        <x:v>1</x:v>
      </x:c>
      <x:c r="AJ1235" s="18" t="n">
        <x:v>9068.59</x:v>
      </x:c>
      <x:c r="AK1235" s="14" t="str">
        <x:v>https://prozorro.gov.ua/tender/UA-2026-01-21-013838-a</x:v>
      </x:c>
      <x:c r="AL1235" s="19" t="n">
        <x:v>46043.55103616898</x:v>
      </x:c>
      <x:c r="AM1235" s="19" t="n">
        <x:v>46387</x:v>
      </x:c>
      <x:c r="AN1235" s="15" t="str">
        <x:v>Водоочищення / очисні споруди</x:v>
      </x:c>
      <x:c r="AO1235" s="15" t="str">
        <x:v>not_found_in_top_search</x:v>
      </x:c>
    </x:row>
    <x:row r="1236">
      <x:c r="A1236" s="14" t="str">
        <x:v>W4-417</x:v>
      </x:c>
      <x:c r="B1236" s="14" t="str">
        <x:v>Prozorro expansion — 24.08</x:v>
      </x:c>
      <x:c r="C1236" s="14" t="str">
        <x:v>Комунальне підприємство "Сяйво" Лубенської міської ради Лубенського району Полтавської області</x:v>
      </x:c>
      <x:c r="D1236" s="14" t="str">
        <x:v>Внутрішні сантехнічні системи</x:v>
      </x:c>
      <x:c r="E1236" s="14" t="str">
        <x:v>Pilot now</x:v>
      </x:c>
      <x:c r="F1236" s="17" t="str">
        <x:v>P3</x:v>
      </x:c>
      <x:c r="G1236" s="14" t="str"/>
      <x:c r="H1236" s="14" t="str">
        <x:v>Пілот зараз — Н.14</x:v>
      </x:c>
      <x:c r="I1236" s="16" t="n">
        <x:v>5</x:v>
      </x:c>
      <x:c r="J1236" s="16" t="n">
        <x:v>5</x:v>
      </x:c>
      <x:c r="K1236" s="16" t="n">
        <x:v>4</x:v>
      </x:c>
      <x:c r="L1236" s="16" t="n">
        <x:v>1</x:v>
      </x:c>
      <x:c r="M1236" s="16" t="n">
        <x:v>5</x:v>
      </x:c>
      <x:c r="N1236" s="16" t="n">
        <x:v>5</x:v>
      </x:c>
      <x:c r="O1236" s="16" t="n">
        <x:v>3</x:v>
      </x:c>
      <x:c r="P1236" s="16" t="n">
        <x:f>IF(COUNT(I1236:O1236)&lt;7,"",I1236*8+J1236*3+K1236*2+L1236*2+M1236*2+N1236*2+O1236)</x:f>
        <x:v>88</x:v>
      </x:c>
      <x:c r="Q1236" s="16" t="n">
        <x:f>IF(COUNT(J1236:O1236)&lt;6,"",J1236*5+K1236*4+M1236*4+L1236*3+N1236*2+O1236*2)</x:f>
        <x:v>80</x:v>
      </x:c>
      <x:c r="R1236" s="14" t="str">
        <x:v>high</x:v>
      </x:c>
      <x:c r="S1236" s="14" t="str">
        <x:v>official_prozorro_award_2024_2026</x:v>
      </x:c>
      <x:c r="T1236" s="14" t="str">
        <x:v>official_prozorro_api</x:v>
      </x:c>
      <x:c r="U1236" s="14" t="str">
        <x:v>Не контактували</x:v>
      </x:c>
      <x:c r="V1236" s="15" t="str">
        <x:v>Персоналізований free-pilot outreach по UA-2026-03-09-001718-a; попросити 1 пакет Н.14/Н.15</x:v>
      </x:c>
      <x:c r="W1236" s="15" t="str">
        <x:v>Власник / директор; керівник ПТО; відповідальний за договори</x:v>
      </x:c>
      <x:c r="X1236" s="15" t="str">
        <x:v>1 нових підтверджених перемог/договорів у Prozorro на 6 727 грн; 1 зі строком виконання не раніше 24.08.2026.</x:v>
      </x:c>
      <x:c r="Y1236"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 строк до 2026-12-31. Попросити один знеособлений пакет здачі за цим workflow.</x:v>
      </x:c>
      <x:c r="Z1236" s="15" t="str">
        <x:v>https://prozorro.gov.ua/tender/UA-2026-03-09-001718-a</x:v>
      </x:c>
      <x:c r="AA1236" s="14" t="str">
        <x:v>31082371</x:v>
      </x:c>
      <x:c r="AB1236" s="14" t="str">
        <x:v>2026-08-24</x:v>
      </x:c>
      <x:c r="AC1236" s="14" t="str"/>
      <x:c r="AD1236" s="20" t="str"/>
      <x:c r="AE1236" s="14" t="str"/>
      <x:c r="AF1236" s="14" t="n">
        <x:v>38</x:v>
      </x:c>
      <x:c r="AG1236" s="14" t="str">
        <x:v>I3</x:v>
      </x:c>
      <x:c r="AH1236" s="14" t="n">
        <x:v>1</x:v>
      </x:c>
      <x:c r="AI1236" s="14" t="n">
        <x:v>1</x:v>
      </x:c>
      <x:c r="AJ1236" s="18" t="n">
        <x:v>6726.78</x:v>
      </x:c>
      <x:c r="AK1236" s="14" t="str">
        <x:v>https://prozorro.gov.ua/tender/UA-2026-03-09-001718-a</x:v>
      </x:c>
      <x:c r="AL1236" s="19" t="n">
        <x:v>46090.340940625</x:v>
      </x:c>
      <x:c r="AM1236" s="19" t="n">
        <x:v>46387</x:v>
      </x:c>
      <x:c r="AN1236" s="15" t="str">
        <x:v>Внутрішні сантехнічні системи</x:v>
      </x:c>
      <x:c r="AO1236" s="15" t="str">
        <x:v>not_found_in_top_search</x:v>
      </x:c>
    </x:row>
    <x:row r="1237">
      <x:c r="A1237" s="14" t="str">
        <x:v>W4-418</x:v>
      </x:c>
      <x:c r="B1237" s="14" t="str">
        <x:v>Prozorro expansion — 24.08</x:v>
      </x:c>
      <x:c r="C1237" s="14" t="str">
        <x:v>ТОВАРИСТВО З ОБМЕЖЕНОЮ ВІДПОВІДАЛЬНІСТЮ "ВЕНТИЛЯЦІЯ-УКРАЇНИ"</x:v>
      </x:c>
      <x:c r="D1237" s="14" t="str">
        <x:v>HVAC / ОВіК</x:v>
      </x:c>
      <x:c r="E1237" s="14" t="str">
        <x:v>Pilot now</x:v>
      </x:c>
      <x:c r="F1237" s="17" t="str">
        <x:v>P3</x:v>
      </x:c>
      <x:c r="G1237" s="14" t="str"/>
      <x:c r="H1237" s="14" t="str">
        <x:v>Пілот зараз — Н.14</x:v>
      </x:c>
      <x:c r="I1237" s="16" t="n">
        <x:v>5</x:v>
      </x:c>
      <x:c r="J1237" s="16" t="n">
        <x:v>5</x:v>
      </x:c>
      <x:c r="K1237" s="16" t="n">
        <x:v>4</x:v>
      </x:c>
      <x:c r="L1237" s="16" t="n">
        <x:v>1</x:v>
      </x:c>
      <x:c r="M1237" s="16" t="n">
        <x:v>5</x:v>
      </x:c>
      <x:c r="N1237" s="16" t="n">
        <x:v>5</x:v>
      </x:c>
      <x:c r="O1237" s="16" t="n">
        <x:v>3</x:v>
      </x:c>
      <x:c r="P1237" s="16" t="n">
        <x:f>IF(COUNT(I1237:O1237)&lt;7,"",I1237*8+J1237*3+K1237*2+L1237*2+M1237*2+N1237*2+O1237)</x:f>
        <x:v>88</x:v>
      </x:c>
      <x:c r="Q1237" s="16" t="n">
        <x:f>IF(COUNT(J1237:O1237)&lt;6,"",J1237*5+K1237*4+M1237*4+L1237*3+N1237*2+O1237*2)</x:f>
        <x:v>80</x:v>
      </x:c>
      <x:c r="R1237" s="14" t="str">
        <x:v>high</x:v>
      </x:c>
      <x:c r="S1237" s="14" t="str">
        <x:v>official_prozorro_award_2024_2026</x:v>
      </x:c>
      <x:c r="T1237" s="14" t="str">
        <x:v>official_prozorro_api</x:v>
      </x:c>
      <x:c r="U1237" s="14" t="str">
        <x:v>Не контактували</x:v>
      </x:c>
      <x:c r="V1237" s="15" t="str">
        <x:v>Персоналізований free-pilot outreach по UA-2026-02-06-001105-a; попросити 1 пакет Н.14/Н.15</x:v>
      </x:c>
      <x:c r="W1237" s="15" t="str">
        <x:v>Власник / директор; керівник ПТО; відповідальний за договори</x:v>
      </x:c>
      <x:c r="X1237" s="15" t="str">
        <x:v>1 нових підтверджених перемог/договорів у Prozorro на 5 100 грн; 1 зі строком виконання не раніше 24.08.2026.</x:v>
      </x:c>
      <x:c r="Y1237"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 строк до 2026-12-31. Попросити один знеособлений пакет здачі за цим workflow.</x:v>
      </x:c>
      <x:c r="Z1237" s="15" t="str">
        <x:v>https://prozorro.gov.ua/tender/UA-2026-02-06-001105-a</x:v>
      </x:c>
      <x:c r="AA1237" s="14" t="str">
        <x:v>38620464</x:v>
      </x:c>
      <x:c r="AB1237" s="14" t="str">
        <x:v>2026-08-24</x:v>
      </x:c>
      <x:c r="AC1237" s="14" t="str"/>
      <x:c r="AD1237" s="20" t="str"/>
      <x:c r="AE1237" s="14" t="str"/>
      <x:c r="AF1237" s="14" t="n">
        <x:v>38</x:v>
      </x:c>
      <x:c r="AG1237" s="14" t="str">
        <x:v>I3</x:v>
      </x:c>
      <x:c r="AH1237" s="14" t="n">
        <x:v>1</x:v>
      </x:c>
      <x:c r="AI1237" s="14" t="n">
        <x:v>1</x:v>
      </x:c>
      <x:c r="AJ1237" s="18" t="n">
        <x:v>5100</x:v>
      </x:c>
      <x:c r="AK1237" s="14" t="str">
        <x:v>https://prozorro.gov.ua/tender/UA-2026-02-06-001105-a</x:v>
      </x:c>
      <x:c r="AL1237" s="19" t="n">
        <x:v>46059.314033842595</x:v>
      </x:c>
      <x:c r="AM1237" s="19" t="n">
        <x:v>46387</x:v>
      </x:c>
      <x:c r="AN1237" s="15" t="str">
        <x:v>HVAC / ОВіК</x:v>
      </x:c>
      <x:c r="AO1237" s="15" t="str">
        <x:v>not_found_in_top_search</x:v>
      </x:c>
    </x:row>
    <x:row r="1238">
      <x:c r="A1238" s="14" t="str">
        <x:v>W4-419</x:v>
      </x:c>
      <x:c r="B1238" s="14" t="str">
        <x:v>Prozorro expansion — 24.08</x:v>
      </x:c>
      <x:c r="C1238" s="14" t="str">
        <x:v>КОМУНАЛЬНЕ ПІДПРИЄМСТВО "ВОДОПРОВІДНІ МЕРЕЖІ" НОВОБУЗЬКОЇ МІСЬКОЇ РАДИ</x:v>
      </x:c>
      <x:c r="D1238" s="14" t="str">
        <x:v>Внутрішні сантехнічні системи</x:v>
      </x:c>
      <x:c r="E1238" s="14" t="str">
        <x:v>Pilot now</x:v>
      </x:c>
      <x:c r="F1238" s="17" t="str">
        <x:v>P3</x:v>
      </x:c>
      <x:c r="G1238" s="14" t="str"/>
      <x:c r="H1238" s="14" t="str">
        <x:v>Пілот зараз — Н.14</x:v>
      </x:c>
      <x:c r="I1238" s="16" t="n">
        <x:v>5</x:v>
      </x:c>
      <x:c r="J1238" s="16" t="n">
        <x:v>5</x:v>
      </x:c>
      <x:c r="K1238" s="16" t="n">
        <x:v>4</x:v>
      </x:c>
      <x:c r="L1238" s="16" t="n">
        <x:v>1</x:v>
      </x:c>
      <x:c r="M1238" s="16" t="n">
        <x:v>5</x:v>
      </x:c>
      <x:c r="N1238" s="16" t="n">
        <x:v>5</x:v>
      </x:c>
      <x:c r="O1238" s="16" t="n">
        <x:v>3</x:v>
      </x:c>
      <x:c r="P1238" s="16" t="n">
        <x:f>IF(COUNT(I1238:O1238)&lt;7,"",I1238*8+J1238*3+K1238*2+L1238*2+M1238*2+N1238*2+O1238)</x:f>
        <x:v>88</x:v>
      </x:c>
      <x:c r="Q1238" s="16" t="n">
        <x:f>IF(COUNT(J1238:O1238)&lt;6,"",J1238*5+K1238*4+M1238*4+L1238*3+N1238*2+O1238*2)</x:f>
        <x:v>80</x:v>
      </x:c>
      <x:c r="R1238" s="14" t="str">
        <x:v>high</x:v>
      </x:c>
      <x:c r="S1238" s="14" t="str">
        <x:v>official_prozorro_award_2024_2026</x:v>
      </x:c>
      <x:c r="T1238" s="14" t="str">
        <x:v>official_prozorro_api</x:v>
      </x:c>
      <x:c r="U1238" s="14" t="str">
        <x:v>Не контактували</x:v>
      </x:c>
      <x:c r="V1238" s="15" t="str">
        <x:v>Персоналізований free-pilot outreach по UA-2026-02-17-002890-a; попросити 1 пакет Н.14/Н.15</x:v>
      </x:c>
      <x:c r="W1238" s="15" t="str">
        <x:v>Власник / директор; керівник ПТО; відповідальний за договори</x:v>
      </x:c>
      <x:c r="X1238" s="15" t="str">
        <x:v>1 нових підтверджених перемог/договорів у Prozorro на 2 000 грн; 1 зі строком виконання не раніше 24.08.2026.</x:v>
      </x:c>
      <x:c r="Y1238" s="15" t="str">
        <x:v>Надання послуги з ремонту внутрішньої водопровідної мережі ДК 021:2015:45330000-9 "Водопровідні та санітарно-технічні роботи"; строк до 2026-12-31. Попросити один знеособлений пакет здачі за цим workflow.</x:v>
      </x:c>
      <x:c r="Z1238" s="15" t="str">
        <x:v>https://prozorro.gov.ua/tender/UA-2026-02-17-002890-a</x:v>
      </x:c>
      <x:c r="AA1238" s="14" t="str">
        <x:v>36349348</x:v>
      </x:c>
      <x:c r="AB1238" s="14" t="str">
        <x:v>2026-08-24</x:v>
      </x:c>
      <x:c r="AC1238" s="14" t="str"/>
      <x:c r="AD1238" s="20" t="str"/>
      <x:c r="AE1238" s="14" t="str"/>
      <x:c r="AF1238" s="14" t="n">
        <x:v>38</x:v>
      </x:c>
      <x:c r="AG1238" s="14" t="str">
        <x:v>I3</x:v>
      </x:c>
      <x:c r="AH1238" s="14" t="n">
        <x:v>1</x:v>
      </x:c>
      <x:c r="AI1238" s="14" t="n">
        <x:v>1</x:v>
      </x:c>
      <x:c r="AJ1238" s="18" t="n">
        <x:v>2000</x:v>
      </x:c>
      <x:c r="AK1238" s="14" t="str">
        <x:v>https://prozorro.gov.ua/tender/UA-2026-02-17-002890-a</x:v>
      </x:c>
      <x:c r="AL1238" s="19" t="n">
        <x:v>46070.36926789352</x:v>
      </x:c>
      <x:c r="AM1238" s="19" t="n">
        <x:v>46387</x:v>
      </x:c>
      <x:c r="AN1238" s="15" t="str">
        <x:v>Внутрішні сантехнічні системи</x:v>
      </x:c>
      <x:c r="AO1238" s="15" t="str">
        <x:v>not_found_in_top_search</x:v>
      </x:c>
    </x:row>
    <x:row r="1239">
      <x:c r="A1239" s="14" t="str">
        <x:v>W4-420</x:v>
      </x:c>
      <x:c r="B1239" s="14" t="str">
        <x:v>Prozorro expansion — 24.08</x:v>
      </x:c>
      <x:c r="C1239" s="14" t="str">
        <x:v>ФОП НЕСТЕРЕНКО ДЕНИС ОЛЕКСАНДРОВИЧ</x:v>
      </x:c>
      <x:c r="D1239" s="14" t="str">
        <x:v>HVAC / ОВіК</x:v>
      </x:c>
      <x:c r="E1239" s="14" t="str">
        <x:v>Pilot now</x:v>
      </x:c>
      <x:c r="F1239" s="17" t="str">
        <x:v>P3</x:v>
      </x:c>
      <x:c r="G1239" s="14" t="str"/>
      <x:c r="H1239" s="14" t="str">
        <x:v>Пілот зараз — Н.14</x:v>
      </x:c>
      <x:c r="I1239" s="16" t="n">
        <x:v>5</x:v>
      </x:c>
      <x:c r="J1239" s="16" t="n">
        <x:v>5</x:v>
      </x:c>
      <x:c r="K1239" s="16" t="n">
        <x:v>4</x:v>
      </x:c>
      <x:c r="L1239" s="16" t="n">
        <x:v>1</x:v>
      </x:c>
      <x:c r="M1239" s="16" t="n">
        <x:v>5</x:v>
      </x:c>
      <x:c r="N1239" s="16" t="n">
        <x:v>3</x:v>
      </x:c>
      <x:c r="O1239" s="16" t="n">
        <x:v>3</x:v>
      </x:c>
      <x:c r="P1239" s="16" t="n">
        <x:f>IF(COUNT(I1239:O1239)&lt;7,"",I1239*8+J1239*3+K1239*2+L1239*2+M1239*2+N1239*2+O1239)</x:f>
        <x:v>84</x:v>
      </x:c>
      <x:c r="Q1239" s="16" t="n">
        <x:f>IF(COUNT(J1239:O1239)&lt;6,"",J1239*5+K1239*4+M1239*4+L1239*3+N1239*2+O1239*2)</x:f>
        <x:v>76</x:v>
      </x:c>
      <x:c r="R1239" s="14" t="str">
        <x:v>high</x:v>
      </x:c>
      <x:c r="S1239" s="14" t="str">
        <x:v>official_prozorro_award_2024_2026</x:v>
      </x:c>
      <x:c r="T1239" s="14" t="str">
        <x:v>official_prozorro_api</x:v>
      </x:c>
      <x:c r="U1239" s="14" t="str">
        <x:v>Не контактували</x:v>
      </x:c>
      <x:c r="V1239" s="15" t="str">
        <x:v>Персоналізований free-pilot outreach по UA-2025-10-22-008443-a; попросити 1 пакет Н.14/Н.15</x:v>
      </x:c>
      <x:c r="W1239" s="15" t="str">
        <x:v>Власник / виконавець; відповідальний за договір</x:v>
      </x:c>
      <x:c r="X1239" s="15" t="str">
        <x:v>2 нових підтверджених перемог/договорів у Prozorro на 69 546 грн; 0 зі строком виконання не раніше 24.08.2026.</x:v>
      </x:c>
      <x:c r="Y1239" s="15" t="str">
        <x:v>Послуги з технічного обслуговування систем вентиляції, а саме монтаж та підключення кондиціонерів; строк до 2025-12-31. Попросити один знеособлений пакет здачі за цим workflow.</x:v>
      </x:c>
      <x:c r="Z1239" s="15" t="str">
        <x:v>https://prozorro.gov.ua/tender/UA-2025-10-22-008443-a</x:v>
      </x:c>
      <x:c r="AA1239" s="14" t="str">
        <x:v>3199216894</x:v>
      </x:c>
      <x:c r="AB1239" s="14" t="str">
        <x:v>2026-08-24</x:v>
      </x:c>
      <x:c r="AC1239" s="14" t="str"/>
      <x:c r="AD1239" s="20" t="str"/>
      <x:c r="AE1239" s="14" t="str"/>
      <x:c r="AF1239" s="14" t="n">
        <x:v>37</x:v>
      </x:c>
      <x:c r="AG1239" s="14" t="str">
        <x:v>I3</x:v>
      </x:c>
      <x:c r="AH1239" s="14" t="n">
        <x:v>2</x:v>
      </x:c>
      <x:c r="AI1239" s="14" t="n">
        <x:v>0</x:v>
      </x:c>
      <x:c r="AJ1239" s="18" t="n">
        <x:v>69545.5</x:v>
      </x:c>
      <x:c r="AK1239" s="14" t="str">
        <x:v>https://prozorro.gov.ua/tender/UA-2025-10-22-008443-a</x:v>
      </x:c>
      <x:c r="AL1239" s="19" t="n">
        <x:v>45952.45632696759</x:v>
      </x:c>
      <x:c r="AM1239" s="19" t="n">
        <x:v>46022</x:v>
      </x:c>
      <x:c r="AN1239" s="15" t="str">
        <x:v>HVAC / ОВіК</x:v>
      </x:c>
      <x:c r="AO1239" s="15" t="str">
        <x:v>not_found_in_top_search</x:v>
      </x:c>
    </x:row>
    <x:row r="1240">
      <x:c r="A1240" s="14" t="str">
        <x:v>W4-421</x:v>
      </x:c>
      <x:c r="B1240" s="14" t="str">
        <x:v>Prozorro expansion — 24.08</x:v>
      </x:c>
      <x:c r="C1240" s="14" t="str">
        <x:v>ФОП АНОХІН СЕРГІЙ ВАЛЕРІЙОВИЧ</x:v>
      </x:c>
      <x:c r="D1240" s="14" t="str">
        <x:v>Металоконструкції</x:v>
      </x:c>
      <x:c r="E1240" s="14" t="str">
        <x:v>Expansion discovery</x:v>
      </x:c>
      <x:c r="F1240" s="17" t="str">
        <x:v>D3</x:v>
      </x:c>
      <x:c r="G1240" s="14" t="str"/>
      <x:c r="H1240" s="14" t="str">
        <x:v>Discovery розширення — 2 тижні</x:v>
      </x:c>
      <x:c r="I1240" s="16" t="n">
        <x:v>1</x:v>
      </x:c>
      <x:c r="J1240" s="16" t="n">
        <x:v>5</x:v>
      </x:c>
      <x:c r="K1240" s="16" t="n">
        <x:v>5</x:v>
      </x:c>
      <x:c r="L1240" s="16" t="n">
        <x:v>1</x:v>
      </x:c>
      <x:c r="M1240" s="16" t="n">
        <x:v>5</x:v>
      </x:c>
      <x:c r="N1240" s="16" t="n">
        <x:v>3</x:v>
      </x:c>
      <x:c r="O1240" s="16" t="n">
        <x:v>3</x:v>
      </x:c>
      <x:c r="P1240" s="16" t="n">
        <x:f>IF(COUNT(I1240:O1240)&lt;7,"",I1240*8+J1240*3+K1240*2+L1240*2+M1240*2+N1240*2+O1240)</x:f>
        <x:v>54</x:v>
      </x:c>
      <x:c r="Q1240" s="16" t="n">
        <x:f>IF(COUNT(J1240:O1240)&lt;6,"",J1240*5+K1240*4+M1240*4+L1240*3+N1240*2+O1240*2)</x:f>
        <x:v>80</x:v>
      </x:c>
      <x:c r="R1240" s="14" t="str">
        <x:v>high</x:v>
      </x:c>
      <x:c r="S1240" s="14" t="str">
        <x:v>official_prozorro_award_2024_2026</x:v>
      </x:c>
      <x:c r="T1240" s="14" t="str">
        <x:v>official_prozorro_api</x:v>
      </x:c>
      <x:c r="U1240" s="14" t="str">
        <x:v>Не контактували</x:v>
      </x:c>
      <x:c r="V1240" s="15" t="str">
        <x:v>Workflow-audit outreach по UA-2025-05-28-000683-a; попросити 1 пакет здачі та вимоги проєкту</x:v>
      </x:c>
      <x:c r="W1240" s="15" t="str">
        <x:v>Власник / виконавець; відповідальний за договір</x:v>
      </x:c>
      <x:c r="X1240" s="15" t="str">
        <x:v>2 нових підтверджених перемог/договорів у Prozorro на 67 382 грн; 0 зі строком виконання не раніше 24.08.2026.</x:v>
      </x:c>
      <x:c r="Y1240" s="15" t="str">
        <x:v>Монтаж металоконструкцій для сходових клітин з механізмом складання; строк до 2025-12-23. Попросити один знеособлений пакет здачі за цим workflow.</x:v>
      </x:c>
      <x:c r="Z1240" s="15" t="str">
        <x:v>https://prozorro.gov.ua/tender/UA-2025-05-28-000683-a</x:v>
      </x:c>
      <x:c r="AA1240" s="14" t="str">
        <x:v>2564814933</x:v>
      </x:c>
      <x:c r="AB1240" s="14" t="str">
        <x:v>2026-08-24</x:v>
      </x:c>
      <x:c r="AC1240" s="14" t="str"/>
      <x:c r="AD1240" s="20" t="str"/>
      <x:c r="AE1240" s="14" t="str"/>
      <x:c r="AF1240" s="14" t="n">
        <x:v>37</x:v>
      </x:c>
      <x:c r="AG1240" s="14" t="str">
        <x:v>I3</x:v>
      </x:c>
      <x:c r="AH1240" s="14" t="n">
        <x:v>2</x:v>
      </x:c>
      <x:c r="AI1240" s="14" t="n">
        <x:v>0</x:v>
      </x:c>
      <x:c r="AJ1240" s="18" t="n">
        <x:v>67382.38</x:v>
      </x:c>
      <x:c r="AK1240" s="14" t="str">
        <x:v>https://prozorro.gov.ua/tender/UA-2025-05-28-000683-a</x:v>
      </x:c>
      <x:c r="AL1240" s="19" t="n">
        <x:v>45805.255575034724</x:v>
      </x:c>
      <x:c r="AM1240" s="19" t="n">
        <x:v>46014</x:v>
      </x:c>
      <x:c r="AN1240" s="15" t="str">
        <x:v>Металоконструкції</x:v>
      </x:c>
      <x:c r="AO1240" s="15" t="str">
        <x:v>not_found_in_top_search</x:v>
      </x:c>
    </x:row>
    <x:row r="1241">
      <x:c r="A1241" s="14" t="str">
        <x:v>W4-422</x:v>
      </x:c>
      <x:c r="B1241" s="14" t="str">
        <x:v>Prozorro expansion — 24.08</x:v>
      </x:c>
      <x:c r="C1241" s="14" t="str">
        <x:v>ФОП Ящишин Олександр Ігорович</x:v>
      </x:c>
      <x:c r="D1241" s="14" t="str">
        <x:v>HVAC / ОВіК</x:v>
      </x:c>
      <x:c r="E1241" s="14" t="str">
        <x:v>Pilot now</x:v>
      </x:c>
      <x:c r="F1241" s="17" t="str">
        <x:v>P3</x:v>
      </x:c>
      <x:c r="G1241" s="14" t="str"/>
      <x:c r="H1241" s="14" t="str">
        <x:v>Пілот зараз — Н.14</x:v>
      </x:c>
      <x:c r="I1241" s="16" t="n">
        <x:v>5</x:v>
      </x:c>
      <x:c r="J1241" s="16" t="n">
        <x:v>5</x:v>
      </x:c>
      <x:c r="K1241" s="16" t="n">
        <x:v>4</x:v>
      </x:c>
      <x:c r="L1241" s="16" t="n">
        <x:v>1</x:v>
      </x:c>
      <x:c r="M1241" s="16" t="n">
        <x:v>5</x:v>
      </x:c>
      <x:c r="N1241" s="16" t="n">
        <x:v>3</x:v>
      </x:c>
      <x:c r="O1241" s="16" t="n">
        <x:v>3</x:v>
      </x:c>
      <x:c r="P1241" s="16" t="n">
        <x:f>IF(COUNT(I1241:O1241)&lt;7,"",I1241*8+J1241*3+K1241*2+L1241*2+M1241*2+N1241*2+O1241)</x:f>
        <x:v>84</x:v>
      </x:c>
      <x:c r="Q1241" s="16" t="n">
        <x:f>IF(COUNT(J1241:O1241)&lt;6,"",J1241*5+K1241*4+M1241*4+L1241*3+N1241*2+O1241*2)</x:f>
        <x:v>76</x:v>
      </x:c>
      <x:c r="R1241" s="14" t="str">
        <x:v>high</x:v>
      </x:c>
      <x:c r="S1241" s="14" t="str">
        <x:v>official_prozorro_award_2024_2026</x:v>
      </x:c>
      <x:c r="T1241" s="14" t="str">
        <x:v>official_prozorro_api</x:v>
      </x:c>
      <x:c r="U1241" s="14" t="str">
        <x:v>Не контактували</x:v>
      </x:c>
      <x:c r="V1241" s="15" t="str">
        <x:v>Персоналізований free-pilot outreach по UA-2025-05-19-013160-a; попросити 1 пакет Н.14/Н.15</x:v>
      </x:c>
      <x:c r="W1241" s="15" t="str">
        <x:v>Власник / виконавець; відповідальний за договір</x:v>
      </x:c>
      <x:c r="X1241" s="15" t="str">
        <x:v>2 нових підтверджених перемог/договорів у Prozorro на 31 960 грн; 0 зі строком виконання не раніше 24.08.2026.</x:v>
      </x:c>
      <x:c r="Y1241" s="15" t="str">
        <x:v>Послуги з технічного обслуговування обладнання систем вентиляції (монтаж та налаштування кондиціонерів).; строк до 2025-12-31. Попросити один знеособлений пакет здачі за цим workflow.</x:v>
      </x:c>
      <x:c r="Z1241" s="15" t="str">
        <x:v>https://prozorro.gov.ua/tender/UA-2025-05-19-013160-a</x:v>
      </x:c>
      <x:c r="AA1241" s="14" t="str">
        <x:v>3443111431</x:v>
      </x:c>
      <x:c r="AB1241" s="14" t="str">
        <x:v>2026-08-24</x:v>
      </x:c>
      <x:c r="AC1241" s="14" t="str"/>
      <x:c r="AD1241" s="20" t="str"/>
      <x:c r="AE1241" s="14" t="str"/>
      <x:c r="AF1241" s="14" t="n">
        <x:v>37</x:v>
      </x:c>
      <x:c r="AG1241" s="14" t="str">
        <x:v>I3</x:v>
      </x:c>
      <x:c r="AH1241" s="14" t="n">
        <x:v>2</x:v>
      </x:c>
      <x:c r="AI1241" s="14" t="n">
        <x:v>0</x:v>
      </x:c>
      <x:c r="AJ1241" s="18" t="n">
        <x:v>31960</x:v>
      </x:c>
      <x:c r="AK1241" s="14" t="str">
        <x:v>https://prozorro.gov.ua/tender/UA-2025-05-19-013160-a</x:v>
      </x:c>
      <x:c r="AL1241" s="19" t="n">
        <x:v>45796.60198604166</x:v>
      </x:c>
      <x:c r="AM1241" s="19" t="n">
        <x:v>46022.64538194444</x:v>
      </x:c>
      <x:c r="AN1241" s="15" t="str">
        <x:v>HVAC / ОВіК</x:v>
      </x:c>
      <x:c r="AO1241" s="15" t="str">
        <x:v>not_found_in_top_search</x:v>
      </x:c>
    </x:row>
    <x:row r="1242">
      <x:c r="A1242" s="14" t="str">
        <x:v>W4-423</x:v>
      </x:c>
      <x:c r="B1242" s="14" t="str">
        <x:v>Prozorro expansion — 24.08</x:v>
      </x:c>
      <x:c r="C1242" s="14" t="str">
        <x:v>ФОП Буяльський І.Г.</x:v>
      </x:c>
      <x:c r="D1242" s="14" t="str">
        <x:v>Металоконструкції</x:v>
      </x:c>
      <x:c r="E1242" s="14" t="str">
        <x:v>Expansion discovery</x:v>
      </x:c>
      <x:c r="F1242" s="17" t="str">
        <x:v>D3</x:v>
      </x:c>
      <x:c r="G1242" s="14" t="str"/>
      <x:c r="H1242" s="14" t="str">
        <x:v>Discovery розширення — 2 тижні</x:v>
      </x:c>
      <x:c r="I1242" s="16" t="n">
        <x:v>1</x:v>
      </x:c>
      <x:c r="J1242" s="16" t="n">
        <x:v>5</x:v>
      </x:c>
      <x:c r="K1242" s="16" t="n">
        <x:v>5</x:v>
      </x:c>
      <x:c r="L1242" s="16" t="n">
        <x:v>1</x:v>
      </x:c>
      <x:c r="M1242" s="16" t="n">
        <x:v>5</x:v>
      </x:c>
      <x:c r="N1242" s="16" t="n">
        <x:v>3</x:v>
      </x:c>
      <x:c r="O1242" s="16" t="n">
        <x:v>3</x:v>
      </x:c>
      <x:c r="P1242" s="16" t="n">
        <x:f>IF(COUNT(I1242:O1242)&lt;7,"",I1242*8+J1242*3+K1242*2+L1242*2+M1242*2+N1242*2+O1242)</x:f>
        <x:v>54</x:v>
      </x:c>
      <x:c r="Q1242" s="16" t="n">
        <x:f>IF(COUNT(J1242:O1242)&lt;6,"",J1242*5+K1242*4+M1242*4+L1242*3+N1242*2+O1242*2)</x:f>
        <x:v>80</x:v>
      </x:c>
      <x:c r="R1242" s="14" t="str">
        <x:v>high</x:v>
      </x:c>
      <x:c r="S1242" s="14" t="str">
        <x:v>official_prozorro_award_2024_2026</x:v>
      </x:c>
      <x:c r="T1242" s="14" t="str">
        <x:v>official_prozorro_api</x:v>
      </x:c>
      <x:c r="U1242" s="14" t="str">
        <x:v>Не контактували</x:v>
      </x:c>
      <x:c r="V1242" s="15" t="str">
        <x:v>Workflow-audit outreach по UA-2025-07-04-001422-a; попросити 1 пакет здачі та вимоги проєкту</x:v>
      </x:c>
      <x:c r="W1242" s="15" t="str">
        <x:v>Власник / виконавець; відповідальний за договір</x:v>
      </x:c>
      <x:c r="X1242" s="15" t="str">
        <x:v>2 нових підтверджених перемог/договорів у Prozorro на 23 800 грн; 0 зі строком виконання не раніше 24.08.2026.</x:v>
      </x:c>
      <x:c r="Y1242" s="15" t="str">
        <x:v>45220000-5 Інженерні та будівельні роботи (послуги по  виготовленню та монтажу металоконструкцій паркану 10м/п); строк до 2025-12-31. Попросити один знеособлений пакет здачі за цим workflow.</x:v>
      </x:c>
      <x:c r="Z1242" s="15" t="str">
        <x:v>https://prozorro.gov.ua/tender/UA-2025-07-04-001422-a</x:v>
      </x:c>
      <x:c r="AA1242" s="14" t="str">
        <x:v>2576904676</x:v>
      </x:c>
      <x:c r="AB1242" s="14" t="str">
        <x:v>2026-08-24</x:v>
      </x:c>
      <x:c r="AC1242" s="14" t="str"/>
      <x:c r="AD1242" s="20" t="str"/>
      <x:c r="AE1242" s="14" t="str"/>
      <x:c r="AF1242" s="14" t="n">
        <x:v>37</x:v>
      </x:c>
      <x:c r="AG1242" s="14" t="str">
        <x:v>I3</x:v>
      </x:c>
      <x:c r="AH1242" s="14" t="n">
        <x:v>2</x:v>
      </x:c>
      <x:c r="AI1242" s="14" t="n">
        <x:v>0</x:v>
      </x:c>
      <x:c r="AJ1242" s="18" t="n">
        <x:v>23800</x:v>
      </x:c>
      <x:c r="AK1242" s="14" t="str">
        <x:v>https://prozorro.gov.ua/tender/UA-2025-07-04-001422-a</x:v>
      </x:c>
      <x:c r="AL1242" s="19" t="n">
        <x:v>45842.28744028935</x:v>
      </x:c>
      <x:c r="AM1242" s="19" t="n">
        <x:v>46022</x:v>
      </x:c>
      <x:c r="AN1242" s="15" t="str">
        <x:v>Металоконструкції</x:v>
      </x:c>
      <x:c r="AO1242" s="15" t="str">
        <x:v>not_found_in_top_search</x:v>
      </x:c>
    </x:row>
    <x:row r="1243">
      <x:c r="A1243" s="14" t="str">
        <x:v>W4-424</x:v>
      </x:c>
      <x:c r="B1243" s="14" t="str">
        <x:v>Prozorro expansion — 24.08</x:v>
      </x:c>
      <x:c r="C1243" s="14" t="str">
        <x:v>ФОП Воловень Сусанна Сергіївна</x:v>
      </x:c>
      <x:c r="D1243" s="14" t="str">
        <x:v>Покрівлі та гідроізоляція</x:v>
      </x:c>
      <x:c r="E1243" s="14" t="str">
        <x:v>Expansion discovery</x:v>
      </x:c>
      <x:c r="F1243" s="17" t="str">
        <x:v>D3</x:v>
      </x:c>
      <x:c r="G1243" s="14" t="str"/>
      <x:c r="H1243" s="14" t="str">
        <x:v>Discovery розширення — 2 тижні</x:v>
      </x:c>
      <x:c r="I1243" s="16" t="n">
        <x:v>1</x:v>
      </x:c>
      <x:c r="J1243" s="16" t="n">
        <x:v>5</x:v>
      </x:c>
      <x:c r="K1243" s="16" t="n">
        <x:v>5</x:v>
      </x:c>
      <x:c r="L1243" s="16" t="n">
        <x:v>1</x:v>
      </x:c>
      <x:c r="M1243" s="16" t="n">
        <x:v>5</x:v>
      </x:c>
      <x:c r="N1243" s="16" t="n">
        <x:v>3</x:v>
      </x:c>
      <x:c r="O1243" s="16" t="n">
        <x:v>3</x:v>
      </x:c>
      <x:c r="P1243" s="16" t="n">
        <x:f>IF(COUNT(I1243:O1243)&lt;7,"",I1243*8+J1243*3+K1243*2+L1243*2+M1243*2+N1243*2+O1243)</x:f>
        <x:v>54</x:v>
      </x:c>
      <x:c r="Q1243" s="16" t="n">
        <x:f>IF(COUNT(J1243:O1243)&lt;6,"",J1243*5+K1243*4+M1243*4+L1243*3+N1243*2+O1243*2)</x:f>
        <x:v>80</x:v>
      </x:c>
      <x:c r="R1243" s="14" t="str">
        <x:v>high</x:v>
      </x:c>
      <x:c r="S1243" s="14" t="str">
        <x:v>official_prozorro_award_2024_2026</x:v>
      </x:c>
      <x:c r="T1243" s="14" t="str">
        <x:v>official_prozorro_api</x:v>
      </x:c>
      <x:c r="U1243" s="14" t="str">
        <x:v>Не контактували</x:v>
      </x:c>
      <x:c r="V1243" s="15" t="str">
        <x:v>Workflow-audit outreach по UA-2025-05-15-006613-a; попросити 1 пакет здачі та вимоги проєкту</x:v>
      </x:c>
      <x:c r="W1243" s="15" t="str">
        <x:v>Власник / виконавець; відповідальний за договір</x:v>
      </x:c>
      <x:c r="X1243" s="15" t="str">
        <x:v>2 нових підтверджених перемог/договорів у Prozorro на 10 055 грн; 0 зі строком виконання не раніше 24.08.2026.</x:v>
      </x:c>
      <x:c r="Y1243"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 строк до 2025-05-31. Попросити один знеособлений пакет здачі за цим workflow.</x:v>
      </x:c>
      <x:c r="Z1243" s="15" t="str">
        <x:v>https://prozorro.gov.ua/tender/UA-2025-05-15-006613-a</x:v>
      </x:c>
      <x:c r="AA1243" s="14" t="str">
        <x:v>3453205100</x:v>
      </x:c>
      <x:c r="AB1243" s="14" t="str">
        <x:v>2026-08-24</x:v>
      </x:c>
      <x:c r="AC1243" s="14" t="str"/>
      <x:c r="AD1243" s="20" t="str"/>
      <x:c r="AE1243" s="14" t="str"/>
      <x:c r="AF1243" s="14" t="n">
        <x:v>37</x:v>
      </x:c>
      <x:c r="AG1243" s="14" t="str">
        <x:v>I3</x:v>
      </x:c>
      <x:c r="AH1243" s="14" t="n">
        <x:v>2</x:v>
      </x:c>
      <x:c r="AI1243" s="14" t="n">
        <x:v>0</x:v>
      </x:c>
      <x:c r="AJ1243" s="18" t="n">
        <x:v>10055</x:v>
      </x:c>
      <x:c r="AK1243" s="14" t="str">
        <x:v>https://prozorro.gov.ua/tender/UA-2025-05-15-006613-a</x:v>
      </x:c>
      <x:c r="AL1243" s="19" t="n">
        <x:v>45792.43417712963</x:v>
      </x:c>
      <x:c r="AM1243" s="19" t="n">
        <x:v>45808</x:v>
      </x:c>
      <x:c r="AN1243" s="15" t="str">
        <x:v>Покрівлі та гідроізоляція</x:v>
      </x:c>
      <x:c r="AO1243" s="15" t="str">
        <x:v>not_found_in_top_search</x:v>
      </x:c>
    </x:row>
    <x:row r="1244">
      <x:c r="A1244" s="14" t="str">
        <x:v>W4-425</x:v>
      </x:c>
      <x:c r="B1244" s="14" t="str">
        <x:v>Prozorro expansion — 24.08</x:v>
      </x:c>
      <x:c r="C1244" s="14" t="str">
        <x:v>ФОП "ЗАХАРОВ ІГОР ВІКТОРОВИЧ"</x:v>
      </x:c>
      <x:c r="D1244" s="14" t="str">
        <x:v>СКС / BMS / слаботочка</x:v>
      </x:c>
      <x:c r="E1244" s="14" t="str">
        <x:v>Expansion discovery</x:v>
      </x:c>
      <x:c r="F1244" s="17" t="str">
        <x:v>D3</x:v>
      </x:c>
      <x:c r="G1244" s="14" t="str"/>
      <x:c r="H1244" s="14" t="str">
        <x:v>Discovery розширення — 2 тижні</x:v>
      </x:c>
      <x:c r="I1244" s="16" t="n">
        <x:v>2</x:v>
      </x:c>
      <x:c r="J1244" s="16" t="n">
        <x:v>5</x:v>
      </x:c>
      <x:c r="K1244" s="16" t="n">
        <x:v>4</x:v>
      </x:c>
      <x:c r="L1244" s="16" t="n">
        <x:v>3</x:v>
      </x:c>
      <x:c r="M1244" s="16" t="n">
        <x:v>5</x:v>
      </x:c>
      <x:c r="N1244" s="16" t="n">
        <x:v>3</x:v>
      </x:c>
      <x:c r="O1244" s="16" t="n">
        <x:v>3</x:v>
      </x:c>
      <x:c r="P1244" s="16" t="n">
        <x:f>IF(COUNT(I1244:O1244)&lt;7,"",I1244*8+J1244*3+K1244*2+L1244*2+M1244*2+N1244*2+O1244)</x:f>
        <x:v>64</x:v>
      </x:c>
      <x:c r="Q1244" s="16" t="n">
        <x:f>IF(COUNT(J1244:O1244)&lt;6,"",J1244*5+K1244*4+M1244*4+L1244*3+N1244*2+O1244*2)</x:f>
        <x:v>82</x:v>
      </x:c>
      <x:c r="R1244" s="14" t="str">
        <x:v>high</x:v>
      </x:c>
      <x:c r="S1244" s="14" t="str">
        <x:v>official_prozorro_award_2024_2026</x:v>
      </x:c>
      <x:c r="T1244" s="14" t="str">
        <x:v>official_prozorro_api</x:v>
      </x:c>
      <x:c r="U1244" s="14" t="str">
        <x:v>Не контактували</x:v>
      </x:c>
      <x:c r="V1244" s="15" t="str">
        <x:v>Workflow-audit outreach по UA-2025-08-28-009555-a; попросити 1 пакет здачі та вимоги проєкту</x:v>
      </x:c>
      <x:c r="W1244" s="15" t="str">
        <x:v>Власник / виконавець; відповідальний за договір</x:v>
      </x:c>
      <x:c r="X1244" s="15" t="str">
        <x:v>1 нових підтверджених перемог/договорів у Prozorro на 1 569 426 грн; 0 зі строком виконання не раніше 24.08.2026.</x:v>
      </x:c>
      <x:c r="Y1244" s="15" t="str">
        <x:v>Послуги з монтажу і налагодження структурованої кабельної системи; строк до 2025-12-20. Попросити один знеособлений пакет здачі за цим workflow.</x:v>
      </x:c>
      <x:c r="Z1244" s="15" t="str">
        <x:v>https://prozorro.gov.ua/tender/UA-2025-08-28-009555-a</x:v>
      </x:c>
      <x:c r="AA1244" s="14" t="str">
        <x:v>3055306479</x:v>
      </x:c>
      <x:c r="AB1244" s="14" t="str">
        <x:v>2026-08-24</x:v>
      </x:c>
      <x:c r="AC1244" s="14" t="str"/>
      <x:c r="AD1244" s="20" t="str"/>
      <x:c r="AE1244" s="14" t="str"/>
      <x:c r="AF1244" s="14" t="n">
        <x:v>35</x:v>
      </x:c>
      <x:c r="AG1244" s="14" t="str">
        <x:v>I3</x:v>
      </x:c>
      <x:c r="AH1244" s="14" t="n">
        <x:v>1</x:v>
      </x:c>
      <x:c r="AI1244" s="14" t="n">
        <x:v>0</x:v>
      </x:c>
      <x:c r="AJ1244" s="18" t="n">
        <x:v>1569426.28</x:v>
      </x:c>
      <x:c r="AK1244" s="14" t="str">
        <x:v>https://prozorro.gov.ua/tender/UA-2025-08-28-009555-a</x:v>
      </x:c>
      <x:c r="AL1244" s="19" t="n">
        <x:v>45909.354497719905</x:v>
      </x:c>
      <x:c r="AM1244" s="19" t="n">
        <x:v>46011</x:v>
      </x:c>
      <x:c r="AN1244" s="15" t="str">
        <x:v>СКС / BMS / слаботочка</x:v>
      </x:c>
      <x:c r="AO1244" s="15" t="str">
        <x:v>not_found_in_top_search</x:v>
      </x:c>
    </x:row>
    <x:row r="1245">
      <x:c r="A1245" s="14" t="str">
        <x:v>W4-426</x:v>
      </x:c>
      <x:c r="B1245" s="14" t="str">
        <x:v>Prozorro expansion — 24.08</x:v>
      </x:c>
      <x:c r="C1245" s="14" t="str">
        <x:v>ФОП Гаршина Ганна Ігорівна</x:v>
      </x:c>
      <x:c r="D1245" s="14" t="str">
        <x:v>HVAC / ОВіК</x:v>
      </x:c>
      <x:c r="E1245" s="14" t="str">
        <x:v>Pilot now</x:v>
      </x:c>
      <x:c r="F1245" s="17" t="str">
        <x:v>P3</x:v>
      </x:c>
      <x:c r="G1245" s="14" t="str"/>
      <x:c r="H1245" s="14" t="str">
        <x:v>Пілот зараз — Н.14</x:v>
      </x:c>
      <x:c r="I1245" s="16" t="n">
        <x:v>5</x:v>
      </x:c>
      <x:c r="J1245" s="16" t="n">
        <x:v>5</x:v>
      </x:c>
      <x:c r="K1245" s="16" t="n">
        <x:v>4</x:v>
      </x:c>
      <x:c r="L1245" s="16" t="n">
        <x:v>3</x:v>
      </x:c>
      <x:c r="M1245" s="16" t="n">
        <x:v>5</x:v>
      </x:c>
      <x:c r="N1245" s="16" t="n">
        <x:v>3</x:v>
      </x:c>
      <x:c r="O1245" s="16" t="n">
        <x:v>3</x:v>
      </x:c>
      <x:c r="P1245" s="16" t="n">
        <x:f>IF(COUNT(I1245:O1245)&lt;7,"",I1245*8+J1245*3+K1245*2+L1245*2+M1245*2+N1245*2+O1245)</x:f>
        <x:v>88</x:v>
      </x:c>
      <x:c r="Q1245" s="16" t="n">
        <x:f>IF(COUNT(J1245:O1245)&lt;6,"",J1245*5+K1245*4+M1245*4+L1245*3+N1245*2+O1245*2)</x:f>
        <x:v>82</x:v>
      </x:c>
      <x:c r="R1245" s="14" t="str">
        <x:v>high</x:v>
      </x:c>
      <x:c r="S1245" s="14" t="str">
        <x:v>official_prozorro_award_2024_2026</x:v>
      </x:c>
      <x:c r="T1245" s="14" t="str">
        <x:v>official_prozorro_api</x:v>
      </x:c>
      <x:c r="U1245" s="14" t="str">
        <x:v>Не контактували</x:v>
      </x:c>
      <x:c r="V1245" s="15" t="str">
        <x:v>Персоналізований free-pilot outreach по UA-2025-09-22-005458-a; попросити 1 пакет Н.14/Н.15</x:v>
      </x:c>
      <x:c r="W1245" s="15" t="str">
        <x:v>Власник / виконавець; відповідальний за договір</x:v>
      </x:c>
      <x:c r="X1245" s="15" t="str">
        <x:v>1 нових підтверджених перемог/договорів у Prozorro на 912 074 грн; 0 зі строком виконання не раніше 24.08.2026.</x:v>
      </x:c>
      <x:c r="Y1245"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 строк до 2025-10-20. Попросити один знеособлений пакет здачі за цим workflow.</x:v>
      </x:c>
      <x:c r="Z1245" s="15" t="str">
        <x:v>https://prozorro.gov.ua/tender/UA-2025-09-22-005458-a</x:v>
      </x:c>
      <x:c r="AA1245" s="14" t="str">
        <x:v>3082000145</x:v>
      </x:c>
      <x:c r="AB1245" s="14" t="str">
        <x:v>2026-08-24</x:v>
      </x:c>
      <x:c r="AC1245" s="14" t="str"/>
      <x:c r="AD1245" s="20" t="str"/>
      <x:c r="AE1245" s="14" t="str"/>
      <x:c r="AF1245" s="14" t="n">
        <x:v>35</x:v>
      </x:c>
      <x:c r="AG1245" s="14" t="str">
        <x:v>I3</x:v>
      </x:c>
      <x:c r="AH1245" s="14" t="n">
        <x:v>1</x:v>
      </x:c>
      <x:c r="AI1245" s="14" t="n">
        <x:v>0</x:v>
      </x:c>
      <x:c r="AJ1245" s="18" t="n">
        <x:v>912073.84</x:v>
      </x:c>
      <x:c r="AK1245" s="14" t="str">
        <x:v>https://prozorro.gov.ua/tender/UA-2025-09-22-005458-a</x:v>
      </x:c>
      <x:c r="AL1245" s="19" t="n">
        <x:v>45922.38324231481</x:v>
      </x:c>
      <x:c r="AM1245" s="19" t="n">
        <x:v>45950.38321759259</x:v>
      </x:c>
      <x:c r="AN1245" s="15" t="str">
        <x:v>HVAC / ОВіК</x:v>
      </x:c>
      <x:c r="AO1245" s="15" t="str">
        <x:v>not_found_in_top_search</x:v>
      </x:c>
    </x:row>
    <x:row r="1246">
      <x:c r="A1246" s="14" t="str">
        <x:v>W4-427</x:v>
      </x:c>
      <x:c r="B1246" s="14" t="str">
        <x:v>Prozorro expansion — 24.08</x:v>
      </x:c>
      <x:c r="C1246" s="14" t="str">
        <x:v>ФОП Арсентьєв Андрій Валерійович</x:v>
      </x:c>
      <x:c r="D1246" s="14" t="str">
        <x:v>Водоочищення / очисні споруди</x:v>
      </x:c>
      <x:c r="E1246" s="14" t="str">
        <x:v>Expansion discovery</x:v>
      </x:c>
      <x:c r="F1246" s="17" t="str">
        <x:v>D3</x:v>
      </x:c>
      <x:c r="G1246" s="14" t="str"/>
      <x:c r="H1246" s="14" t="str">
        <x:v>Discovery розширення — 2 тижні</x:v>
      </x:c>
      <x:c r="I1246" s="16" t="n">
        <x:v>1</x:v>
      </x:c>
      <x:c r="J1246" s="16" t="n">
        <x:v>5</x:v>
      </x:c>
      <x:c r="K1246" s="16" t="n">
        <x:v>4</x:v>
      </x:c>
      <x:c r="L1246" s="16" t="n">
        <x:v>1</x:v>
      </x:c>
      <x:c r="M1246" s="16" t="n">
        <x:v>5</x:v>
      </x:c>
      <x:c r="N1246" s="16" t="n">
        <x:v>3</x:v>
      </x:c>
      <x:c r="O1246" s="16" t="n">
        <x:v>3</x:v>
      </x:c>
      <x:c r="P1246" s="16" t="n">
        <x:f>IF(COUNT(I1246:O1246)&lt;7,"",I1246*8+J1246*3+K1246*2+L1246*2+M1246*2+N1246*2+O1246)</x:f>
        <x:v>52</x:v>
      </x:c>
      <x:c r="Q1246" s="16" t="n">
        <x:f>IF(COUNT(J1246:O1246)&lt;6,"",J1246*5+K1246*4+M1246*4+L1246*3+N1246*2+O1246*2)</x:f>
        <x:v>76</x:v>
      </x:c>
      <x:c r="R1246" s="14" t="str">
        <x:v>high</x:v>
      </x:c>
      <x:c r="S1246" s="14" t="str">
        <x:v>official_prozorro_award_2024_2026</x:v>
      </x:c>
      <x:c r="T1246" s="14" t="str">
        <x:v>official_prozorro_api</x:v>
      </x:c>
      <x:c r="U1246" s="14" t="str">
        <x:v>Не контактували</x:v>
      </x:c>
      <x:c r="V1246" s="15" t="str">
        <x:v>Workflow-audit outreach по UA-2026-02-27-000133-a; попросити 1 пакет здачі та вимоги проєкту</x:v>
      </x:c>
      <x:c r="W1246" s="15" t="str">
        <x:v>Власник / виконавець; відповідальний за договір</x:v>
      </x:c>
      <x:c r="X1246" s="15" t="str">
        <x:v>1 нових підтверджених перемог/договорів у Prozorro на 95 000 грн; 1 зі строком виконання не раніше 24.08.2026.</x:v>
      </x:c>
      <x:c r="Y1246"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1246" s="15" t="str">
        <x:v>https://prozorro.gov.ua/tender/UA-2026-02-27-000133-a</x:v>
      </x:c>
      <x:c r="AA1246" s="14" t="str">
        <x:v>3023807252</x:v>
      </x:c>
      <x:c r="AB1246" s="14" t="str">
        <x:v>2026-08-24</x:v>
      </x:c>
      <x:c r="AC1246" s="14" t="str"/>
      <x:c r="AD1246" s="20" t="str"/>
      <x:c r="AE1246" s="14" t="str"/>
      <x:c r="AF1246" s="14" t="n">
        <x:v>35</x:v>
      </x:c>
      <x:c r="AG1246" s="14" t="str">
        <x:v>I3</x:v>
      </x:c>
      <x:c r="AH1246" s="14" t="n">
        <x:v>1</x:v>
      </x:c>
      <x:c r="AI1246" s="14" t="n">
        <x:v>1</x:v>
      </x:c>
      <x:c r="AJ1246" s="18" t="n">
        <x:v>95000</x:v>
      </x:c>
      <x:c r="AK1246" s="14" t="str">
        <x:v>https://prozorro.gov.ua/tender/UA-2026-02-27-000133-a</x:v>
      </x:c>
      <x:c r="AL1246" s="19" t="n">
        <x:v>46080.25989543981</x:v>
      </x:c>
      <x:c r="AM1246" s="19" t="n">
        <x:v>46387.26039351852</x:v>
      </x:c>
      <x:c r="AN1246" s="15" t="str">
        <x:v>Водоочищення / очисні споруди</x:v>
      </x:c>
      <x:c r="AO1246" s="15" t="str">
        <x:v>not_found_in_top_search</x:v>
      </x:c>
    </x:row>
    <x:row r="1247">
      <x:c r="A1247" s="14" t="str">
        <x:v>W4-428</x:v>
      </x:c>
      <x:c r="B1247" s="14" t="str">
        <x:v>Prozorro expansion — 24.08</x:v>
      </x:c>
      <x:c r="C1247" s="14" t="str">
        <x:v>ФОП Коломоєць Владислав Віктор</x:v>
      </x:c>
      <x:c r="D1247" s="14" t="str">
        <x:v>HVAC / ОВіК</x:v>
      </x:c>
      <x:c r="E1247" s="14" t="str">
        <x:v>Pilot now</x:v>
      </x:c>
      <x:c r="F1247" s="17" t="str">
        <x:v>P3</x:v>
      </x:c>
      <x:c r="G1247" s="14" t="str"/>
      <x:c r="H1247" s="14" t="str">
        <x:v>Пілот зараз — Н.14</x:v>
      </x:c>
      <x:c r="I1247" s="16" t="n">
        <x:v>5</x:v>
      </x:c>
      <x:c r="J1247" s="16" t="n">
        <x:v>5</x:v>
      </x:c>
      <x:c r="K1247" s="16" t="n">
        <x:v>4</x:v>
      </x:c>
      <x:c r="L1247" s="16" t="n">
        <x:v>1</x:v>
      </x:c>
      <x:c r="M1247" s="16" t="n">
        <x:v>5</x:v>
      </x:c>
      <x:c r="N1247" s="16" t="n">
        <x:v>3</x:v>
      </x:c>
      <x:c r="O1247" s="16" t="n">
        <x:v>3</x:v>
      </x:c>
      <x:c r="P1247" s="16" t="n">
        <x:f>IF(COUNT(I1247:O1247)&lt;7,"",I1247*8+J1247*3+K1247*2+L1247*2+M1247*2+N1247*2+O1247)</x:f>
        <x:v>84</x:v>
      </x:c>
      <x:c r="Q1247" s="16" t="n">
        <x:f>IF(COUNT(J1247:O1247)&lt;6,"",J1247*5+K1247*4+M1247*4+L1247*3+N1247*2+O1247*2)</x:f>
        <x:v>76</x:v>
      </x:c>
      <x:c r="R1247" s="14" t="str">
        <x:v>high</x:v>
      </x:c>
      <x:c r="S1247" s="14" t="str">
        <x:v>official_prozorro_award_2024_2026</x:v>
      </x:c>
      <x:c r="T1247" s="14" t="str">
        <x:v>official_prozorro_api</x:v>
      </x:c>
      <x:c r="U1247" s="14" t="str">
        <x:v>Не контактували</x:v>
      </x:c>
      <x:c r="V1247" s="15" t="str">
        <x:v>Персоналізований free-pilot outreach по UA-2026-04-09-011827-a; попросити 1 пакет Н.14/Н.15</x:v>
      </x:c>
      <x:c r="W1247" s="15" t="str">
        <x:v>Власник / виконавець; відповідальний за договір</x:v>
      </x:c>
      <x:c r="X1247" s="15" t="str">
        <x:v>1 нових підтверджених перемог/договорів у Prozorro на 90 000 грн; 1 зі строком виконання не раніше 24.08.2026.</x:v>
      </x:c>
      <x:c r="Y1247"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 строк до 2026-12-31. Попросити один знеособлений пакет здачі за цим workflow.</x:v>
      </x:c>
      <x:c r="Z1247" s="15" t="str">
        <x:v>https://prozorro.gov.ua/tender/UA-2026-04-09-011827-a</x:v>
      </x:c>
      <x:c r="AA1247" s="14" t="str">
        <x:v>3542802273</x:v>
      </x:c>
      <x:c r="AB1247" s="14" t="str">
        <x:v>2026-08-24</x:v>
      </x:c>
      <x:c r="AC1247" s="14" t="str"/>
      <x:c r="AD1247" s="20" t="str"/>
      <x:c r="AE1247" s="14" t="str"/>
      <x:c r="AF1247" s="14" t="n">
        <x:v>35</x:v>
      </x:c>
      <x:c r="AG1247" s="14" t="str">
        <x:v>I3</x:v>
      </x:c>
      <x:c r="AH1247" s="14" t="n">
        <x:v>1</x:v>
      </x:c>
      <x:c r="AI1247" s="14" t="n">
        <x:v>1</x:v>
      </x:c>
      <x:c r="AJ1247" s="18" t="n">
        <x:v>90000</x:v>
      </x:c>
      <x:c r="AK1247" s="14" t="str">
        <x:v>https://prozorro.gov.ua/tender/UA-2026-04-09-011827-a</x:v>
      </x:c>
      <x:c r="AL1247" s="19" t="n">
        <x:v>46121.58445769676</x:v>
      </x:c>
      <x:c r="AM1247" s="19" t="n">
        <x:v>46387.62795138889</x:v>
      </x:c>
      <x:c r="AN1247" s="15" t="str">
        <x:v>HVAC / ОВіК</x:v>
      </x:c>
      <x:c r="AO1247" s="15" t="str">
        <x:v>not_found_in_top_search</x:v>
      </x:c>
    </x:row>
    <x:row r="1248">
      <x:c r="A1248" s="14" t="str">
        <x:v>W4-429</x:v>
      </x:c>
      <x:c r="B1248" s="14" t="str">
        <x:v>Prozorro expansion — 24.08</x:v>
      </x:c>
      <x:c r="C1248" s="14" t="str">
        <x:v>ФОП ПУЧКОВ АРТЕМ ВІКТОРОВИЧ</x:v>
      </x:c>
      <x:c r="D1248" s="14" t="str">
        <x:v>Металоконструкції</x:v>
      </x:c>
      <x:c r="E1248" s="14" t="str">
        <x:v>Expansion discovery</x:v>
      </x:c>
      <x:c r="F1248" s="17" t="str">
        <x:v>D3</x:v>
      </x:c>
      <x:c r="G1248" s="14" t="str"/>
      <x:c r="H1248" s="14" t="str">
        <x:v>Discovery розширення — 2 тижні</x:v>
      </x:c>
      <x:c r="I1248" s="16" t="n">
        <x:v>1</x:v>
      </x:c>
      <x:c r="J1248" s="16" t="n">
        <x:v>5</x:v>
      </x:c>
      <x:c r="K1248" s="16" t="n">
        <x:v>5</x:v>
      </x:c>
      <x:c r="L1248" s="16" t="n">
        <x:v>1</x:v>
      </x:c>
      <x:c r="M1248" s="16" t="n">
        <x:v>5</x:v>
      </x:c>
      <x:c r="N1248" s="16" t="n">
        <x:v>3</x:v>
      </x:c>
      <x:c r="O1248" s="16" t="n">
        <x:v>3</x:v>
      </x:c>
      <x:c r="P1248" s="16" t="n">
        <x:f>IF(COUNT(I1248:O1248)&lt;7,"",I1248*8+J1248*3+K1248*2+L1248*2+M1248*2+N1248*2+O1248)</x:f>
        <x:v>54</x:v>
      </x:c>
      <x:c r="Q1248" s="16" t="n">
        <x:f>IF(COUNT(J1248:O1248)&lt;6,"",J1248*5+K1248*4+M1248*4+L1248*3+N1248*2+O1248*2)</x:f>
        <x:v>80</x:v>
      </x:c>
      <x:c r="R1248" s="14" t="str">
        <x:v>high</x:v>
      </x:c>
      <x:c r="S1248" s="14" t="str">
        <x:v>official_prozorro_award_2024_2026</x:v>
      </x:c>
      <x:c r="T1248" s="14" t="str">
        <x:v>official_prozorro_api</x:v>
      </x:c>
      <x:c r="U1248" s="14" t="str">
        <x:v>Не контактували</x:v>
      </x:c>
      <x:c r="V1248" s="15" t="str">
        <x:v>Workflow-audit outreach по UA-2026-04-15-001422-a; попросити 1 пакет здачі та вимоги проєкту</x:v>
      </x:c>
      <x:c r="W1248" s="15" t="str">
        <x:v>Власник / виконавець; відповідальний за договір</x:v>
      </x:c>
      <x:c r="X1248" s="15" t="str">
        <x:v>1 нових підтверджених перемог/договорів у Prozorro на 87 000 грн; 1 зі строком виконання не раніше 24.08.2026.</x:v>
      </x:c>
      <x:c r="Y1248" s="15" t="str">
        <x:v>Монтаж металоконструкції полігональної фігури "Розколоте серце" (ДК 021:2015:45220000-5: Інженерні та будівельні роботи); строк до 2026-12-31. Попросити один знеособлений пакет здачі за цим workflow.</x:v>
      </x:c>
      <x:c r="Z1248" s="15" t="str">
        <x:v>https://prozorro.gov.ua/tender/UA-2026-04-15-001422-a</x:v>
      </x:c>
      <x:c r="AA1248" s="14" t="str">
        <x:v>3361014554</x:v>
      </x:c>
      <x:c r="AB1248" s="14" t="str">
        <x:v>2026-08-24</x:v>
      </x:c>
      <x:c r="AC1248" s="14" t="str"/>
      <x:c r="AD1248" s="20" t="str"/>
      <x:c r="AE1248" s="14" t="str"/>
      <x:c r="AF1248" s="14" t="n">
        <x:v>35</x:v>
      </x:c>
      <x:c r="AG1248" s="14" t="str">
        <x:v>I3</x:v>
      </x:c>
      <x:c r="AH1248" s="14" t="n">
        <x:v>1</x:v>
      </x:c>
      <x:c r="AI1248" s="14" t="n">
        <x:v>1</x:v>
      </x:c>
      <x:c r="AJ1248" s="18" t="n">
        <x:v>87000</x:v>
      </x:c>
      <x:c r="AK1248" s="14" t="str">
        <x:v>https://prozorro.gov.ua/tender/UA-2026-04-15-001422-a</x:v>
      </x:c>
      <x:c r="AL1248" s="19" t="n">
        <x:v>46127.44116527778</x:v>
      </x:c>
      <x:c r="AM1248" s="19" t="n">
        <x:v>46387</x:v>
      </x:c>
      <x:c r="AN1248" s="15" t="str">
        <x:v>Металоконструкції</x:v>
      </x:c>
      <x:c r="AO1248" s="15" t="str">
        <x:v>not_found_in_top_search</x:v>
      </x:c>
    </x:row>
    <x:row r="1249">
      <x:c r="A1249" s="14" t="str">
        <x:v>W4-430</x:v>
      </x:c>
      <x:c r="B1249" s="14" t="str">
        <x:v>Prozorro expansion — 24.08</x:v>
      </x:c>
      <x:c r="C1249" s="14" t="str">
        <x:v>ФОП Чередніченко Василь Олександрович</x:v>
      </x:c>
      <x:c r="D1249" s="14" t="str">
        <x:v>Внутрішні сантехнічні системи</x:v>
      </x:c>
      <x:c r="E1249" s="14" t="str">
        <x:v>Pilot now</x:v>
      </x:c>
      <x:c r="F1249" s="17" t="str">
        <x:v>P3</x:v>
      </x:c>
      <x:c r="G1249" s="14" t="str"/>
      <x:c r="H1249" s="14" t="str">
        <x:v>Пілот зараз — Н.14</x:v>
      </x:c>
      <x:c r="I1249" s="16" t="n">
        <x:v>5</x:v>
      </x:c>
      <x:c r="J1249" s="16" t="n">
        <x:v>5</x:v>
      </x:c>
      <x:c r="K1249" s="16" t="n">
        <x:v>4</x:v>
      </x:c>
      <x:c r="L1249" s="16" t="n">
        <x:v>1</x:v>
      </x:c>
      <x:c r="M1249" s="16" t="n">
        <x:v>5</x:v>
      </x:c>
      <x:c r="N1249" s="16" t="n">
        <x:v>3</x:v>
      </x:c>
      <x:c r="O1249" s="16" t="n">
        <x:v>3</x:v>
      </x:c>
      <x:c r="P1249" s="16" t="n">
        <x:f>IF(COUNT(I1249:O1249)&lt;7,"",I1249*8+J1249*3+K1249*2+L1249*2+M1249*2+N1249*2+O1249)</x:f>
        <x:v>84</x:v>
      </x:c>
      <x:c r="Q1249" s="16" t="n">
        <x:f>IF(COUNT(J1249:O1249)&lt;6,"",J1249*5+K1249*4+M1249*4+L1249*3+N1249*2+O1249*2)</x:f>
        <x:v>76</x:v>
      </x:c>
      <x:c r="R1249" s="14" t="str">
        <x:v>high</x:v>
      </x:c>
      <x:c r="S1249" s="14" t="str">
        <x:v>official_prozorro_award_2024_2026</x:v>
      </x:c>
      <x:c r="T1249" s="14" t="str">
        <x:v>official_prozorro_api</x:v>
      </x:c>
      <x:c r="U1249" s="14" t="str">
        <x:v>Не контактували</x:v>
      </x:c>
      <x:c r="V1249" s="15" t="str">
        <x:v>Персоналізований free-pilot outreach по UA-2026-04-21-005696-a; попросити 1 пакет Н.14/Н.15</x:v>
      </x:c>
      <x:c r="W1249" s="15" t="str">
        <x:v>Власник / виконавець; відповідальний за договір</x:v>
      </x:c>
      <x:c r="X1249" s="15" t="str">
        <x:v>1 нових підтверджених перемог/договорів у Prozorro на 71 368 грн; 0 зі строком виконання не раніше 24.08.2026.</x:v>
      </x:c>
      <x:c r="Y1249"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 строк до 2026-04-24. Попросити один знеособлений пакет здачі за цим workflow.</x:v>
      </x:c>
      <x:c r="Z1249" s="15" t="str">
        <x:v>https://prozorro.gov.ua/tender/UA-2026-04-21-005696-a</x:v>
      </x:c>
      <x:c r="AA1249" s="14" t="str">
        <x:v>2634318855</x:v>
      </x:c>
      <x:c r="AB1249" s="14" t="str">
        <x:v>2026-08-24</x:v>
      </x:c>
      <x:c r="AC1249" s="14" t="str"/>
      <x:c r="AD1249" s="20" t="str"/>
      <x:c r="AE1249" s="14" t="str"/>
      <x:c r="AF1249" s="14" t="n">
        <x:v>35</x:v>
      </x:c>
      <x:c r="AG1249" s="14" t="str">
        <x:v>I3</x:v>
      </x:c>
      <x:c r="AH1249" s="14" t="n">
        <x:v>1</x:v>
      </x:c>
      <x:c r="AI1249" s="14" t="n">
        <x:v>0</x:v>
      </x:c>
      <x:c r="AJ1249" s="18" t="n">
        <x:v>71367.97</x:v>
      </x:c>
      <x:c r="AK1249" s="14" t="str">
        <x:v>https://prozorro.gov.ua/tender/UA-2026-04-21-005696-a</x:v>
      </x:c>
      <x:c r="AL1249" s="19" t="n">
        <x:v>46133.41859392361</x:v>
      </x:c>
      <x:c r="AM1249" s="19" t="n">
        <x:v>46136.42046296296</x:v>
      </x:c>
      <x:c r="AN1249" s="15" t="str">
        <x:v>Внутрішні сантехнічні системи</x:v>
      </x:c>
      <x:c r="AO1249" s="15" t="str">
        <x:v>not_found_in_top_search</x:v>
      </x:c>
    </x:row>
    <x:row r="1250">
      <x:c r="A1250" s="14" t="str">
        <x:v>W4-431</x:v>
      </x:c>
      <x:c r="B1250" s="14" t="str">
        <x:v>Prozorro expansion — 24.08</x:v>
      </x:c>
      <x:c r="C1250" s="14" t="str">
        <x:v>ФОП Панасюк Максим Анатолійович</x:v>
      </x:c>
      <x:c r="D1250" s="14" t="str">
        <x:v>Внутрішні сантехнічні системи</x:v>
      </x:c>
      <x:c r="E1250" s="14" t="str">
        <x:v>Pilot now</x:v>
      </x:c>
      <x:c r="F1250" s="17" t="str">
        <x:v>P3</x:v>
      </x:c>
      <x:c r="G1250" s="14" t="str"/>
      <x:c r="H1250" s="14" t="str">
        <x:v>Пілот зараз — Н.14</x:v>
      </x:c>
      <x:c r="I1250" s="16" t="n">
        <x:v>5</x:v>
      </x:c>
      <x:c r="J1250" s="16" t="n">
        <x:v>5</x:v>
      </x:c>
      <x:c r="K1250" s="16" t="n">
        <x:v>4</x:v>
      </x:c>
      <x:c r="L1250" s="16" t="n">
        <x:v>1</x:v>
      </x:c>
      <x:c r="M1250" s="16" t="n">
        <x:v>5</x:v>
      </x:c>
      <x:c r="N1250" s="16" t="n">
        <x:v>3</x:v>
      </x:c>
      <x:c r="O1250" s="16" t="n">
        <x:v>3</x:v>
      </x:c>
      <x:c r="P1250" s="16" t="n">
        <x:f>IF(COUNT(I1250:O1250)&lt;7,"",I1250*8+J1250*3+K1250*2+L1250*2+M1250*2+N1250*2+O1250)</x:f>
        <x:v>84</x:v>
      </x:c>
      <x:c r="Q1250" s="16" t="n">
        <x:f>IF(COUNT(J1250:O1250)&lt;6,"",J1250*5+K1250*4+M1250*4+L1250*3+N1250*2+O1250*2)</x:f>
        <x:v>76</x:v>
      </x:c>
      <x:c r="R1250" s="14" t="str">
        <x:v>high</x:v>
      </x:c>
      <x:c r="S1250" s="14" t="str">
        <x:v>official_prozorro_award_2024_2026</x:v>
      </x:c>
      <x:c r="T1250" s="14" t="str">
        <x:v>official_prozorro_api</x:v>
      </x:c>
      <x:c r="U1250" s="14" t="str">
        <x:v>Не контактували</x:v>
      </x:c>
      <x:c r="V1250" s="15" t="str">
        <x:v>Персоналізований free-pilot outreach по UA-2026-03-09-003392-a; попросити 1 пакет Н.14/Н.15</x:v>
      </x:c>
      <x:c r="W1250" s="15" t="str">
        <x:v>Власник / виконавець; відповідальний за договір</x:v>
      </x:c>
      <x:c r="X1250" s="15" t="str">
        <x:v>1 нових підтверджених перемог/договорів у Prozorro на 67 331 грн; 0 зі строком виконання не раніше 24.08.2026.</x:v>
      </x:c>
      <x:c r="Y1250"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 строк до 2026-03-20. Попросити один знеособлений пакет здачі за цим workflow.</x:v>
      </x:c>
      <x:c r="Z1250" s="15" t="str">
        <x:v>https://prozorro.gov.ua/tender/UA-2026-03-09-003392-a</x:v>
      </x:c>
      <x:c r="AA1250" s="14" t="str">
        <x:v>3730109676</x:v>
      </x:c>
      <x:c r="AB1250" s="14" t="str">
        <x:v>2026-08-24</x:v>
      </x:c>
      <x:c r="AC1250" s="14" t="str"/>
      <x:c r="AD1250" s="20" t="str"/>
      <x:c r="AE1250" s="14" t="str"/>
      <x:c r="AF1250" s="14" t="n">
        <x:v>35</x:v>
      </x:c>
      <x:c r="AG1250" s="14" t="str">
        <x:v>I3</x:v>
      </x:c>
      <x:c r="AH1250" s="14" t="n">
        <x:v>1</x:v>
      </x:c>
      <x:c r="AI1250" s="14" t="n">
        <x:v>0</x:v>
      </x:c>
      <x:c r="AJ1250" s="18" t="n">
        <x:v>67331</x:v>
      </x:c>
      <x:c r="AK1250" s="14" t="str">
        <x:v>https://prozorro.gov.ua/tender/UA-2026-03-09-003392-a</x:v>
      </x:c>
      <x:c r="AL1250" s="19" t="n">
        <x:v>46090.38292761574</x:v>
      </x:c>
      <x:c r="AM1250" s="19" t="n">
        <x:v>46101</x:v>
      </x:c>
      <x:c r="AN1250" s="15" t="str">
        <x:v>Внутрішні сантехнічні системи</x:v>
      </x:c>
      <x:c r="AO1250" s="15" t="str">
        <x:v>not_found_in_top_search</x:v>
      </x:c>
    </x:row>
    <x:row r="1251">
      <x:c r="A1251" s="14" t="str">
        <x:v>W4-432</x:v>
      </x:c>
      <x:c r="B1251" s="14" t="str">
        <x:v>Prozorro expansion — 24.08</x:v>
      </x:c>
      <x:c r="C1251" s="14" t="str">
        <x:v>Фізична особа-підприємець Арутюнов А.О.</x:v>
      </x:c>
      <x:c r="D1251" s="14" t="str">
        <x:v>Внутрішні сантехнічні системи</x:v>
      </x:c>
      <x:c r="E1251" s="14" t="str">
        <x:v>Pilot now</x:v>
      </x:c>
      <x:c r="F1251" s="17" t="str">
        <x:v>P3</x:v>
      </x:c>
      <x:c r="G1251" s="14" t="str"/>
      <x:c r="H1251" s="14" t="str">
        <x:v>Пілот зараз — Н.14</x:v>
      </x:c>
      <x:c r="I1251" s="16" t="n">
        <x:v>5</x:v>
      </x:c>
      <x:c r="J1251" s="16" t="n">
        <x:v>5</x:v>
      </x:c>
      <x:c r="K1251" s="16" t="n">
        <x:v>4</x:v>
      </x:c>
      <x:c r="L1251" s="16" t="n">
        <x:v>1</x:v>
      </x:c>
      <x:c r="M1251" s="16" t="n">
        <x:v>5</x:v>
      </x:c>
      <x:c r="N1251" s="16" t="n">
        <x:v>3</x:v>
      </x:c>
      <x:c r="O1251" s="16" t="n">
        <x:v>3</x:v>
      </x:c>
      <x:c r="P1251" s="16" t="n">
        <x:f>IF(COUNT(I1251:O1251)&lt;7,"",I1251*8+J1251*3+K1251*2+L1251*2+M1251*2+N1251*2+O1251)</x:f>
        <x:v>84</x:v>
      </x:c>
      <x:c r="Q1251" s="16" t="n">
        <x:f>IF(COUNT(J1251:O1251)&lt;6,"",J1251*5+K1251*4+M1251*4+L1251*3+N1251*2+O1251*2)</x:f>
        <x:v>76</x:v>
      </x:c>
      <x:c r="R1251" s="14" t="str">
        <x:v>high</x:v>
      </x:c>
      <x:c r="S1251" s="14" t="str">
        <x:v>official_prozorro_award_2024_2026</x:v>
      </x:c>
      <x:c r="T1251" s="14" t="str">
        <x:v>official_prozorro_api</x:v>
      </x:c>
      <x:c r="U1251" s="14" t="str">
        <x:v>Не контактували</x:v>
      </x:c>
      <x:c r="V1251" s="15" t="str">
        <x:v>Персоналізований free-pilot outreach по UA-2026-03-03-014499-a; попросити 1 пакет Н.14/Н.15</x:v>
      </x:c>
      <x:c r="W1251" s="15" t="str">
        <x:v>Власник / виконавець; відповідальний за договір</x:v>
      </x:c>
      <x:c r="X1251" s="15" t="str">
        <x:v>1 нових підтверджених перемог/договорів у Prozorro на 54 728 грн; 1 зі строком виконання не раніше 24.08.2026.</x:v>
      </x:c>
      <x:c r="Y1251"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 строк до 2026-12-31. Попросити один знеособлений пакет здачі за цим workflow.</x:v>
      </x:c>
      <x:c r="Z1251" s="15" t="str">
        <x:v>https://prozorro.gov.ua/tender/UA-2026-03-03-014499-a</x:v>
      </x:c>
      <x:c r="AA1251" s="14" t="str">
        <x:v>3261706839</x:v>
      </x:c>
      <x:c r="AB1251" s="14" t="str">
        <x:v>2026-08-24</x:v>
      </x:c>
      <x:c r="AC1251" s="14" t="str"/>
      <x:c r="AD1251" s="20" t="str"/>
      <x:c r="AE1251" s="14" t="str"/>
      <x:c r="AF1251" s="14" t="n">
        <x:v>35</x:v>
      </x:c>
      <x:c r="AG1251" s="14" t="str">
        <x:v>I3</x:v>
      </x:c>
      <x:c r="AH1251" s="14" t="n">
        <x:v>1</x:v>
      </x:c>
      <x:c r="AI1251" s="14" t="n">
        <x:v>1</x:v>
      </x:c>
      <x:c r="AJ1251" s="18" t="n">
        <x:v>54728</x:v>
      </x:c>
      <x:c r="AK1251" s="14" t="str">
        <x:v>https://prozorro.gov.ua/tender/UA-2026-03-03-014499-a</x:v>
      </x:c>
      <x:c r="AL1251" s="19" t="n">
        <x:v>46084.63204355324</x:v>
      </x:c>
      <x:c r="AM1251" s="19" t="n">
        <x:v>46387</x:v>
      </x:c>
      <x:c r="AN1251" s="15" t="str">
        <x:v>Внутрішні сантехнічні системи</x:v>
      </x:c>
      <x:c r="AO1251" s="15" t="str">
        <x:v>not_found_in_top_search</x:v>
      </x:c>
    </x:row>
    <x:row r="1252">
      <x:c r="A1252" s="14" t="str">
        <x:v>W4-433</x:v>
      </x:c>
      <x:c r="B1252" s="14" t="str">
        <x:v>Prozorro expansion — 24.08</x:v>
      </x:c>
      <x:c r="C1252" s="14" t="str">
        <x:v>ФОП ЛИСУЄНКО ВІТАЛІЙ ІВАНОВИЧ</x:v>
      </x:c>
      <x:c r="D1252" s="14" t="str">
        <x:v>Внутрішні сантехнічні системи</x:v>
      </x:c>
      <x:c r="E1252" s="14" t="str">
        <x:v>Pilot now</x:v>
      </x:c>
      <x:c r="F1252" s="17" t="str">
        <x:v>P3</x:v>
      </x:c>
      <x:c r="G1252" s="14" t="str"/>
      <x:c r="H1252" s="14" t="str">
        <x:v>Пілот зараз — Н.14</x:v>
      </x:c>
      <x:c r="I1252" s="16" t="n">
        <x:v>5</x:v>
      </x:c>
      <x:c r="J1252" s="16" t="n">
        <x:v>5</x:v>
      </x:c>
      <x:c r="K1252" s="16" t="n">
        <x:v>4</x:v>
      </x:c>
      <x:c r="L1252" s="16" t="n">
        <x:v>1</x:v>
      </x:c>
      <x:c r="M1252" s="16" t="n">
        <x:v>5</x:v>
      </x:c>
      <x:c r="N1252" s="16" t="n">
        <x:v>3</x:v>
      </x:c>
      <x:c r="O1252" s="16" t="n">
        <x:v>3</x:v>
      </x:c>
      <x:c r="P1252" s="16" t="n">
        <x:f>IF(COUNT(I1252:O1252)&lt;7,"",I1252*8+J1252*3+K1252*2+L1252*2+M1252*2+N1252*2+O1252)</x:f>
        <x:v>84</x:v>
      </x:c>
      <x:c r="Q1252" s="16" t="n">
        <x:f>IF(COUNT(J1252:O1252)&lt;6,"",J1252*5+K1252*4+M1252*4+L1252*3+N1252*2+O1252*2)</x:f>
        <x:v>76</x:v>
      </x:c>
      <x:c r="R1252" s="14" t="str">
        <x:v>high</x:v>
      </x:c>
      <x:c r="S1252" s="14" t="str">
        <x:v>official_prozorro_award_2024_2026</x:v>
      </x:c>
      <x:c r="T1252" s="14" t="str">
        <x:v>official_prozorro_api</x:v>
      </x:c>
      <x:c r="U1252" s="14" t="str">
        <x:v>Не контактували</x:v>
      </x:c>
      <x:c r="V1252" s="15" t="str">
        <x:v>Персоналізований free-pilot outreach по UA-2026-04-20-008416-a; попросити 1 пакет Н.14/Н.15</x:v>
      </x:c>
      <x:c r="W1252" s="15" t="str">
        <x:v>Власник / виконавець; відповідальний за договір</x:v>
      </x:c>
      <x:c r="X1252" s="15" t="str">
        <x:v>1 нових підтверджених перемог/договорів у Prozorro на 50 533 грн; 1 зі строком виконання не раніше 24.08.2026.</x:v>
      </x:c>
      <x:c r="Y1252"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 строк до 2026-12-31. Попросити один знеособлений пакет здачі за цим workflow.</x:v>
      </x:c>
      <x:c r="Z1252" s="15" t="str">
        <x:v>https://prozorro.gov.ua/tender/UA-2026-04-20-008416-a</x:v>
      </x:c>
      <x:c r="AA1252" s="14" t="str">
        <x:v>2476104098</x:v>
      </x:c>
      <x:c r="AB1252" s="14" t="str">
        <x:v>2026-08-24</x:v>
      </x:c>
      <x:c r="AC1252" s="14" t="str"/>
      <x:c r="AD1252" s="20" t="str"/>
      <x:c r="AE1252" s="14" t="str"/>
      <x:c r="AF1252" s="14" t="n">
        <x:v>35</x:v>
      </x:c>
      <x:c r="AG1252" s="14" t="str">
        <x:v>I3</x:v>
      </x:c>
      <x:c r="AH1252" s="14" t="n">
        <x:v>1</x:v>
      </x:c>
      <x:c r="AI1252" s="14" t="n">
        <x:v>1</x:v>
      </x:c>
      <x:c r="AJ1252" s="18" t="n">
        <x:v>50533.07</x:v>
      </x:c>
      <x:c r="AK1252" s="14" t="str">
        <x:v>https://prozorro.gov.ua/tender/UA-2026-04-20-008416-a</x:v>
      </x:c>
      <x:c r="AL1252" s="19" t="n">
        <x:v>46132.50312732639</x:v>
      </x:c>
      <x:c r="AM1252" s="19" t="n">
        <x:v>46387</x:v>
      </x:c>
      <x:c r="AN1252" s="15" t="str">
        <x:v>Внутрішні сантехнічні системи</x:v>
      </x:c>
      <x:c r="AO1252" s="15" t="str">
        <x:v>not_found_in_top_search</x:v>
      </x:c>
    </x:row>
    <x:row r="1253">
      <x:c r="A1253" s="14" t="str">
        <x:v>W4-434</x:v>
      </x:c>
      <x:c r="B1253" s="14" t="str">
        <x:v>Prozorro expansion — 24.08</x:v>
      </x:c>
      <x:c r="C1253" s="14" t="str">
        <x:v>ФОП Хомюк Ольга Леонідівна</x:v>
      </x:c>
      <x:c r="D1253" s="14" t="str">
        <x:v>Промислова теплоізоляція</x:v>
      </x:c>
      <x:c r="E1253" s="14" t="str">
        <x:v>Expansion discovery</x:v>
      </x:c>
      <x:c r="F1253" s="17" t="str">
        <x:v>D3</x:v>
      </x:c>
      <x:c r="G1253" s="14" t="str"/>
      <x:c r="H1253" s="14" t="str">
        <x:v>Discovery розширення — 2 тижні</x:v>
      </x:c>
      <x:c r="I1253" s="16" t="n">
        <x:v>1</x:v>
      </x:c>
      <x:c r="J1253" s="16" t="n">
        <x:v>5</x:v>
      </x:c>
      <x:c r="K1253" s="16" t="n">
        <x:v>5</x:v>
      </x:c>
      <x:c r="L1253" s="16" t="n">
        <x:v>1</x:v>
      </x:c>
      <x:c r="M1253" s="16" t="n">
        <x:v>5</x:v>
      </x:c>
      <x:c r="N1253" s="16" t="n">
        <x:v>3</x:v>
      </x:c>
      <x:c r="O1253" s="16" t="n">
        <x:v>3</x:v>
      </x:c>
      <x:c r="P1253" s="16" t="n">
        <x:f>IF(COUNT(I1253:O1253)&lt;7,"",I1253*8+J1253*3+K1253*2+L1253*2+M1253*2+N1253*2+O1253)</x:f>
        <x:v>54</x:v>
      </x:c>
      <x:c r="Q1253" s="16" t="n">
        <x:f>IF(COUNT(J1253:O1253)&lt;6,"",J1253*5+K1253*4+M1253*4+L1253*3+N1253*2+O1253*2)</x:f>
        <x:v>80</x:v>
      </x:c>
      <x:c r="R1253" s="14" t="str">
        <x:v>high</x:v>
      </x:c>
      <x:c r="S1253" s="14" t="str">
        <x:v>official_prozorro_award_2024_2026</x:v>
      </x:c>
      <x:c r="T1253" s="14" t="str">
        <x:v>official_prozorro_api</x:v>
      </x:c>
      <x:c r="U1253" s="14" t="str">
        <x:v>Не контактували</x:v>
      </x:c>
      <x:c r="V1253" s="15" t="str">
        <x:v>Workflow-audit outreach по UA-2026-02-24-004183-a; попросити 1 пакет здачі та вимоги проєкту</x:v>
      </x:c>
      <x:c r="W1253" s="15" t="str">
        <x:v>Власник / виконавець; відповідальний за договір</x:v>
      </x:c>
      <x:c r="X1253" s="15" t="str">
        <x:v>1 нових підтверджених перемог/договорів у Prozorro на 21 777 грн; 1 зі строком виконання не раніше 24.08.2026.</x:v>
      </x:c>
      <x:c r="Y1253" s="15" t="str">
        <x:v>Теплоізоляція трубопроводів з спіненого  поліетилену; строк до 2026-12-31. Попросити один знеособлений пакет здачі за цим workflow.</x:v>
      </x:c>
      <x:c r="Z1253" s="15" t="str">
        <x:v>https://prozorro.gov.ua/tender/UA-2026-02-24-004183-a</x:v>
      </x:c>
      <x:c r="AA1253" s="14" t="str">
        <x:v>3288617167</x:v>
      </x:c>
      <x:c r="AB1253" s="14" t="str">
        <x:v>2026-08-24</x:v>
      </x:c>
      <x:c r="AC1253" s="14" t="str"/>
      <x:c r="AD1253" s="20" t="str"/>
      <x:c r="AE1253" s="14" t="str"/>
      <x:c r="AF1253" s="14" t="n">
        <x:v>35</x:v>
      </x:c>
      <x:c r="AG1253" s="14" t="str">
        <x:v>I3</x:v>
      </x:c>
      <x:c r="AH1253" s="14" t="n">
        <x:v>1</x:v>
      </x:c>
      <x:c r="AI1253" s="14" t="n">
        <x:v>1</x:v>
      </x:c>
      <x:c r="AJ1253" s="18" t="n">
        <x:v>21777</x:v>
      </x:c>
      <x:c r="AK1253" s="14" t="str">
        <x:v>https://prozorro.gov.ua/tender/UA-2026-02-24-004183-a</x:v>
      </x:c>
      <x:c r="AL1253" s="19" t="n">
        <x:v>46091.56088665509</x:v>
      </x:c>
      <x:c r="AM1253" s="19" t="n">
        <x:v>46387</x:v>
      </x:c>
      <x:c r="AN1253" s="15" t="str">
        <x:v>Промислова теплоізоляція</x:v>
      </x:c>
      <x:c r="AO1253" s="15" t="str">
        <x:v>not_found_in_top_search</x:v>
      </x:c>
    </x:row>
    <x:row r="1254">
      <x:c r="A1254" s="14" t="str">
        <x:v>W4-435</x:v>
      </x:c>
      <x:c r="B1254" s="14" t="str">
        <x:v>Prozorro expansion — 24.08</x:v>
      </x:c>
      <x:c r="C1254" s="14" t="str">
        <x:v>Фізична особа-підприємець Андрєєв Сергій Сергійович</x:v>
      </x:c>
      <x:c r="D1254" s="14" t="str">
        <x:v>Внутрішні сантехнічні системи</x:v>
      </x:c>
      <x:c r="E1254" s="14" t="str">
        <x:v>Pilot now</x:v>
      </x:c>
      <x:c r="F1254" s="17" t="str">
        <x:v>P3</x:v>
      </x:c>
      <x:c r="G1254" s="14" t="str"/>
      <x:c r="H1254" s="14" t="str">
        <x:v>Пілот зараз — Н.14</x:v>
      </x:c>
      <x:c r="I1254" s="16" t="n">
        <x:v>5</x:v>
      </x:c>
      <x:c r="J1254" s="16" t="n">
        <x:v>5</x:v>
      </x:c>
      <x:c r="K1254" s="16" t="n">
        <x:v>4</x:v>
      </x:c>
      <x:c r="L1254" s="16" t="n">
        <x:v>1</x:v>
      </x:c>
      <x:c r="M1254" s="16" t="n">
        <x:v>5</x:v>
      </x:c>
      <x:c r="N1254" s="16" t="n">
        <x:v>3</x:v>
      </x:c>
      <x:c r="O1254" s="16" t="n">
        <x:v>3</x:v>
      </x:c>
      <x:c r="P1254" s="16" t="n">
        <x:f>IF(COUNT(I1254:O1254)&lt;7,"",I1254*8+J1254*3+K1254*2+L1254*2+M1254*2+N1254*2+O1254)</x:f>
        <x:v>84</x:v>
      </x:c>
      <x:c r="Q1254" s="16" t="n">
        <x:f>IF(COUNT(J1254:O1254)&lt;6,"",J1254*5+K1254*4+M1254*4+L1254*3+N1254*2+O1254*2)</x:f>
        <x:v>76</x:v>
      </x:c>
      <x:c r="R1254" s="14" t="str">
        <x:v>high</x:v>
      </x:c>
      <x:c r="S1254" s="14" t="str">
        <x:v>official_prozorro_award_2024_2026</x:v>
      </x:c>
      <x:c r="T1254" s="14" t="str">
        <x:v>official_prozorro_api</x:v>
      </x:c>
      <x:c r="U1254" s="14" t="str">
        <x:v>Не контактували</x:v>
      </x:c>
      <x:c r="V1254" s="15" t="str">
        <x:v>Персоналізований free-pilot outreach по UA-2026-04-08-014032-a; попросити 1 пакет Н.14/Н.15</x:v>
      </x:c>
      <x:c r="W1254" s="15" t="str">
        <x:v>Власник / виконавець; відповідальний за договір</x:v>
      </x:c>
      <x:c r="X1254" s="15" t="str">
        <x:v>1 нових підтверджених перемог/договорів у Prozorro на 14 189 грн; 0 зі строком виконання не раніше 24.08.2026.</x:v>
      </x:c>
      <x:c r="Y1254"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 строк до 2026-04-15. Попросити один знеособлений пакет здачі за цим workflow.</x:v>
      </x:c>
      <x:c r="Z1254" s="15" t="str">
        <x:v>https://prozorro.gov.ua/tender/UA-2026-04-08-014032-a</x:v>
      </x:c>
      <x:c r="AA1254" s="14" t="str">
        <x:v>2923003278</x:v>
      </x:c>
      <x:c r="AB1254" s="14" t="str">
        <x:v>2026-08-24</x:v>
      </x:c>
      <x:c r="AC1254" s="14" t="str"/>
      <x:c r="AD1254" s="20" t="str"/>
      <x:c r="AE1254" s="14" t="str"/>
      <x:c r="AF1254" s="14" t="n">
        <x:v>35</x:v>
      </x:c>
      <x:c r="AG1254" s="14" t="str">
        <x:v>I3</x:v>
      </x:c>
      <x:c r="AH1254" s="14" t="n">
        <x:v>1</x:v>
      </x:c>
      <x:c r="AI1254" s="14" t="n">
        <x:v>0</x:v>
      </x:c>
      <x:c r="AJ1254" s="18" t="n">
        <x:v>14188.96</x:v>
      </x:c>
      <x:c r="AK1254" s="14" t="str">
        <x:v>https://prozorro.gov.ua/tender/UA-2026-04-08-014032-a</x:v>
      </x:c>
      <x:c r="AL1254" s="19" t="n">
        <x:v>46120.59742189815</x:v>
      </x:c>
      <x:c r="AM1254" s="19" t="n">
        <x:v>46127</x:v>
      </x:c>
      <x:c r="AN1254" s="15" t="str">
        <x:v>Внутрішні сантехнічні системи</x:v>
      </x:c>
      <x:c r="AO1254" s="15" t="str">
        <x:v>not_found_in_top_search</x:v>
      </x:c>
    </x:row>
    <x:row r="1255">
      <x:c r="A1255" s="14" t="str">
        <x:v>W4-436</x:v>
      </x:c>
      <x:c r="B1255" s="14" t="str">
        <x:v>Prozorro expansion — 24.08</x:v>
      </x:c>
      <x:c r="C1255" s="14" t="str">
        <x:v>ФОП СМОЛІЙ НАЗАР ЯРОСЛАВОВИЧ</x:v>
      </x:c>
      <x:c r="D1255" s="14" t="str">
        <x:v>Пасивний вогнезахист</x:v>
      </x:c>
      <x:c r="E1255" s="14" t="str">
        <x:v>Expansion discovery</x:v>
      </x:c>
      <x:c r="F1255" s="17" t="str">
        <x:v>D3</x:v>
      </x:c>
      <x:c r="G1255" s="14" t="str"/>
      <x:c r="H1255" s="14" t="str">
        <x:v>Discovery розширення — 2 тижні</x:v>
      </x:c>
      <x:c r="I1255" s="16" t="n">
        <x:v>1</x:v>
      </x:c>
      <x:c r="J1255" s="16" t="n">
        <x:v>5</x:v>
      </x:c>
      <x:c r="K1255" s="16" t="n">
        <x:v>5</x:v>
      </x:c>
      <x:c r="L1255" s="16" t="n">
        <x:v>1</x:v>
      </x:c>
      <x:c r="M1255" s="16" t="n">
        <x:v>5</x:v>
      </x:c>
      <x:c r="N1255" s="16" t="n">
        <x:v>3</x:v>
      </x:c>
      <x:c r="O1255" s="16" t="n">
        <x:v>3</x:v>
      </x:c>
      <x:c r="P1255" s="16" t="n">
        <x:f>IF(COUNT(I1255:O1255)&lt;7,"",I1255*8+J1255*3+K1255*2+L1255*2+M1255*2+N1255*2+O1255)</x:f>
        <x:v>54</x:v>
      </x:c>
      <x:c r="Q1255" s="16" t="n">
        <x:f>IF(COUNT(J1255:O1255)&lt;6,"",J1255*5+K1255*4+M1255*4+L1255*3+N1255*2+O1255*2)</x:f>
        <x:v>80</x:v>
      </x:c>
      <x:c r="R1255" s="14" t="str">
        <x:v>high</x:v>
      </x:c>
      <x:c r="S1255" s="14" t="str">
        <x:v>official_prozorro_award_2024_2026</x:v>
      </x:c>
      <x:c r="T1255" s="14" t="str">
        <x:v>official_prozorro_api</x:v>
      </x:c>
      <x:c r="U1255" s="14" t="str">
        <x:v>Не контактували</x:v>
      </x:c>
      <x:c r="V1255" s="15" t="str">
        <x:v>Workflow-audit outreach по UA-2026-04-03-005026-a; попросити 1 пакет здачі та вимоги проєкту</x:v>
      </x:c>
      <x:c r="W1255" s="15" t="str">
        <x:v>Власник / виконавець; відповідальний за договір</x:v>
      </x:c>
      <x:c r="X1255" s="15" t="str">
        <x:v>1 нових підтверджених перемог/договорів у Prozorro на 3 827 грн; 1 зі строком виконання не раніше 24.08.2026.</x:v>
      </x:c>
      <x:c r="Y1255" s="15" t="str">
        <x:v>Вогнезахисна обробка дерев'яних конструкцій перекриття; строк до 2026-12-31. Попросити один знеособлений пакет здачі за цим workflow.</x:v>
      </x:c>
      <x:c r="Z1255" s="15" t="str">
        <x:v>https://prozorro.gov.ua/tender/UA-2026-04-03-005026-a</x:v>
      </x:c>
      <x:c r="AA1255" s="14" t="str">
        <x:v>2976213114</x:v>
      </x:c>
      <x:c r="AB1255" s="14" t="str">
        <x:v>2026-08-24</x:v>
      </x:c>
      <x:c r="AC1255" s="14" t="str"/>
      <x:c r="AD1255" s="20" t="str"/>
      <x:c r="AE1255" s="14" t="str"/>
      <x:c r="AF1255" s="14" t="n">
        <x:v>35</x:v>
      </x:c>
      <x:c r="AG1255" s="14" t="str">
        <x:v>I3</x:v>
      </x:c>
      <x:c r="AH1255" s="14" t="n">
        <x:v>1</x:v>
      </x:c>
      <x:c r="AI1255" s="14" t="n">
        <x:v>1</x:v>
      </x:c>
      <x:c r="AJ1255" s="18" t="n">
        <x:v>3827.4</x:v>
      </x:c>
      <x:c r="AK1255" s="14" t="str">
        <x:v>https://prozorro.gov.ua/tender/UA-2026-04-03-005026-a</x:v>
      </x:c>
      <x:c r="AL1255" s="19" t="n">
        <x:v>46115.36972019676</x:v>
      </x:c>
      <x:c r="AM1255" s="19" t="n">
        <x:v>46387</x:v>
      </x:c>
      <x:c r="AN1255" s="15" t="str">
        <x:v>Пасивний вогнезахист</x:v>
      </x:c>
      <x:c r="AO1255" s="15" t="str">
        <x:v>not_found_in_top_search</x:v>
      </x:c>
    </x:row>
    <x:row r="1256">
      <x:c r="A1256" s="14" t="str">
        <x:v>W4-437</x:v>
      </x:c>
      <x:c r="B1256" s="14" t="str">
        <x:v>Prozorro expansion — 24.08</x:v>
      </x:c>
      <x:c r="C1256" s="14" t="str">
        <x:v>ТОВ "ЖИТЛОРЕМБУД-НІКА"</x:v>
      </x:c>
      <x:c r="D1256" s="14" t="str">
        <x:v>Благоустрій</x:v>
      </x:c>
      <x:c r="E1256" s="14" t="str">
        <x:v>Expansion discovery</x:v>
      </x:c>
      <x:c r="F1256" s="17" t="str">
        <x:v>D3</x:v>
      </x:c>
      <x:c r="G1256" s="14" t="str"/>
      <x:c r="H1256" s="14" t="str">
        <x:v>Discovery розширення — 2 тижні</x:v>
      </x:c>
      <x:c r="I1256" s="16" t="n">
        <x:v>1</x:v>
      </x:c>
      <x:c r="J1256" s="16" t="n">
        <x:v>5</x:v>
      </x:c>
      <x:c r="K1256" s="16" t="n">
        <x:v>4</x:v>
      </x:c>
      <x:c r="L1256" s="16" t="n">
        <x:v>3</x:v>
      </x:c>
      <x:c r="M1256" s="16" t="n">
        <x:v>5</x:v>
      </x:c>
      <x:c r="N1256" s="16" t="n">
        <x:v>5</x:v>
      </x:c>
      <x:c r="O1256" s="16" t="n">
        <x:v>3</x:v>
      </x:c>
      <x:c r="P1256" s="16" t="n">
        <x:f>IF(COUNT(I1256:O1256)&lt;7,"",I1256*8+J1256*3+K1256*2+L1256*2+M1256*2+N1256*2+O1256)</x:f>
        <x:v>60</x:v>
      </x:c>
      <x:c r="Q1256" s="16" t="n">
        <x:f>IF(COUNT(J1256:O1256)&lt;6,"",J1256*5+K1256*4+M1256*4+L1256*3+N1256*2+O1256*2)</x:f>
        <x:v>86</x:v>
      </x:c>
      <x:c r="R1256" s="14" t="str">
        <x:v>high</x:v>
      </x:c>
      <x:c r="S1256" s="14" t="str">
        <x:v>official_prozorro_award_2024_2026</x:v>
      </x:c>
      <x:c r="T1256" s="14" t="str">
        <x:v>official_prozorro_api</x:v>
      </x:c>
      <x:c r="U1256" s="14" t="str">
        <x:v>Не контактували</x:v>
      </x:c>
      <x:c r="V1256" s="15" t="str">
        <x:v>Workflow-audit outreach по UA-2024-11-21-016525-a; попросити 1 пакет здачі та вимоги проєкту</x:v>
      </x:c>
      <x:c r="W1256" s="15" t="str">
        <x:v>Власник / директор; керівник ПТО; відповідальний за договори</x:v>
      </x:c>
      <x:c r="X1256" s="15" t="str">
        <x:v>1 нових підтверджених перемог/договорів у Prozorro на 1 851 895 грн; 0 зі строком виконання не раніше 24.08.2026.</x:v>
      </x:c>
      <x:c r="Y1256"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строк до 2024-12-31. Попросити один знеособлений пакет здачі за цим workflow.</x:v>
      </x:c>
      <x:c r="Z1256" s="15" t="str">
        <x:v>https://prozorro.gov.ua/tender/UA-2024-11-21-016525-a</x:v>
      </x:c>
      <x:c r="AA1256" s="14" t="str">
        <x:v>33969521</x:v>
      </x:c>
      <x:c r="AB1256" s="14" t="str">
        <x:v>2026-08-24</x:v>
      </x:c>
      <x:c r="AC1256" s="14" t="str"/>
      <x:c r="AD1256" s="20" t="str"/>
      <x:c r="AE1256" s="14" t="str"/>
      <x:c r="AF1256" s="14" t="n">
        <x:v>34</x:v>
      </x:c>
      <x:c r="AG1256" s="14" t="str">
        <x:v>I3</x:v>
      </x:c>
      <x:c r="AH1256" s="14" t="n">
        <x:v>1</x:v>
      </x:c>
      <x:c r="AI1256" s="14" t="n">
        <x:v>0</x:v>
      </x:c>
      <x:c r="AJ1256" s="18" t="n">
        <x:v>1851895.4</x:v>
      </x:c>
      <x:c r="AK1256" s="14" t="str">
        <x:v>https://prozorro.gov.ua/tender/UA-2024-11-21-016525-a</x:v>
      </x:c>
      <x:c r="AL1256" s="19" t="n">
        <x:v>45628.43727296296</x:v>
      </x:c>
      <x:c r="AM1256" s="19" t="n">
        <x:v>45657</x:v>
      </x:c>
      <x:c r="AN1256" s="15" t="str">
        <x:v>Благоустрій</x:v>
      </x:c>
      <x:c r="AO1256" s="15" t="str">
        <x:v>not_found_in_top_search</x:v>
      </x:c>
    </x:row>
    <x:row r="1257">
      <x:c r="A1257" s="14" t="str">
        <x:v>W4-438</x:v>
      </x:c>
      <x:c r="B1257" s="14" t="str">
        <x:v>Prozorro expansion — 24.08</x:v>
      </x:c>
      <x:c r="C1257" s="14" t="str">
        <x:v>ТОВ "ТЕПЛОЕНЕРГОКОМПЛЕКТ"</x:v>
      </x:c>
      <x:c r="D1257" s="14" t="str">
        <x:v>Промислова теплоізоляція</x:v>
      </x:c>
      <x:c r="E1257" s="14" t="str">
        <x:v>Expansion discovery</x:v>
      </x:c>
      <x:c r="F1257" s="17" t="str">
        <x:v>D3</x:v>
      </x:c>
      <x:c r="G1257" s="14" t="str">
        <x:v>tek.com.ua</x:v>
      </x:c>
      <x:c r="H1257" s="14" t="str">
        <x:v>Discovery розширення — 2 тижні</x:v>
      </x:c>
      <x:c r="I1257" s="16" t="n">
        <x:v>1</x:v>
      </x:c>
      <x:c r="J1257" s="16" t="n">
        <x:v>5</x:v>
      </x:c>
      <x:c r="K1257" s="16" t="n">
        <x:v>5</x:v>
      </x:c>
      <x:c r="L1257" s="16" t="n">
        <x:v>3</x:v>
      </x:c>
      <x:c r="M1257" s="16" t="n">
        <x:v>5</x:v>
      </x:c>
      <x:c r="N1257" s="16" t="n">
        <x:v>5</x:v>
      </x:c>
      <x:c r="O1257" s="16" t="n">
        <x:v>5</x:v>
      </x:c>
      <x:c r="P1257" s="16" t="n">
        <x:f>IF(COUNT(I1257:O1257)&lt;7,"",I1257*8+J1257*3+K1257*2+L1257*2+M1257*2+N1257*2+O1257)</x:f>
        <x:v>64</x:v>
      </x:c>
      <x:c r="Q1257" s="16" t="n">
        <x:f>IF(COUNT(J1257:O1257)&lt;6,"",J1257*5+K1257*4+M1257*4+L1257*3+N1257*2+O1257*2)</x:f>
        <x:v>94</x:v>
      </x:c>
      <x:c r="R1257" s="14" t="str">
        <x:v>high</x:v>
      </x:c>
      <x:c r="S1257" s="14" t="str">
        <x:v>official_prozorro_award_2024_2026</x:v>
      </x:c>
      <x:c r="T1257" s="14" t="str">
        <x:v>official_prozorro_api</x:v>
      </x:c>
      <x:c r="U1257" s="14" t="str">
        <x:v>Не контактували</x:v>
      </x:c>
      <x:c r="V1257" s="15" t="str">
        <x:v>Повторне звернення з новим тендерним сигналом UA-2024-10-30-010585-a; попросити 1 пакет здачі</x:v>
      </x:c>
      <x:c r="W1257" s="15" t="str">
        <x:v>Власник / директор; керівник ПТО; відповідальний за договори</x:v>
      </x:c>
      <x:c r="X1257" s="15" t="str">
        <x:v>1 нових підтверджених перемог/договорів у Prozorro на 1 370 000 грн; 0 зі строком виконання не раніше 24.08.2026.</x:v>
      </x:c>
      <x:c r="Y1257" s="15" t="str">
        <x:v>З_25П-005_76110000-7 Послуги, пов’язані з видобуванням газу (Послуги з ремонту теплоізоляції і обігріву технологічних трубопроводів та обладнання); строк до 2025-07-31. Попросити один знеособлений пакет здачі за цим workflow.</x:v>
      </x:c>
      <x:c r="Z1257" s="15" t="str">
        <x:v>https://prozorro.gov.ua/tender/UA-2025-01-21-005410-a</x:v>
      </x:c>
      <x:c r="AA1257" s="14" t="str">
        <x:v>23390015</x:v>
      </x:c>
      <x:c r="AB1257" s="14" t="str">
        <x:v>2026-08-24</x:v>
      </x:c>
      <x:c r="AC1257" s="14" t="str"/>
      <x:c r="AD1257" s="20" t="str"/>
      <x:c r="AE1257" s="14" t="str"/>
      <x:c r="AF1257" s="14" t="n">
        <x:v>48</x:v>
      </x:c>
      <x:c r="AG1257" s="14" t="str">
        <x:v>I3</x:v>
      </x:c>
      <x:c r="AH1257" s="14" t="n">
        <x:v>3</x:v>
      </x:c>
      <x:c r="AI1257" s="14" t="n">
        <x:v>0</x:v>
      </x:c>
      <x:c r="AJ1257" s="18" t="n">
        <x:v>4719696</x:v>
      </x:c>
      <x:c r="AK1257" s="14" t="str">
        <x:v>https://prozorro.gov.ua/tender/UA-2024-10-30-010585-a</x:v>
      </x:c>
      <x:c r="AL1257" s="19" t="n">
        <x:v>45622.43236811343</x:v>
      </x:c>
      <x:c r="AM1257" s="19" t="n">
        <x:v>46065</x:v>
      </x:c>
      <x:c r="AN1257" s="15" t="str">
        <x:v>Промислова теплоізоляція; Стиснене повітря / компресорні</x:v>
      </x:c>
      <x:c r="AO1257" s="15" t="str">
        <x:v>supplier_provided_url</x:v>
      </x:c>
    </x:row>
    <x:row r="1258">
      <x:c r="A1258" s="14" t="str">
        <x:v>W4-439</x:v>
      </x:c>
      <x:c r="B1258" s="14" t="str">
        <x:v>Prozorro expansion — 24.08</x:v>
      </x:c>
      <x:c r="C1258" s="14" t="str">
        <x:v>ПП "ЕКОСІТІ"</x:v>
      </x:c>
      <x:c r="D1258" s="14" t="str">
        <x:v>Благоустрій</x:v>
      </x:c>
      <x:c r="E1258" s="14" t="str">
        <x:v>Expansion discovery</x:v>
      </x:c>
      <x:c r="F1258" s="17" t="str">
        <x:v>D3</x:v>
      </x:c>
      <x:c r="G1258" s="14" t="str"/>
      <x:c r="H1258" s="14" t="str">
        <x:v>Discovery розширення — 2 тижні</x:v>
      </x:c>
      <x:c r="I1258" s="16" t="n">
        <x:v>1</x:v>
      </x:c>
      <x:c r="J1258" s="16" t="n">
        <x:v>5</x:v>
      </x:c>
      <x:c r="K1258" s="16" t="n">
        <x:v>4</x:v>
      </x:c>
      <x:c r="L1258" s="16" t="n">
        <x:v>3</x:v>
      </x:c>
      <x:c r="M1258" s="16" t="n">
        <x:v>5</x:v>
      </x:c>
      <x:c r="N1258" s="16" t="n">
        <x:v>5</x:v>
      </x:c>
      <x:c r="O1258" s="16" t="n">
        <x:v>3</x:v>
      </x:c>
      <x:c r="P1258" s="16" t="n">
        <x:f>IF(COUNT(I1258:O1258)&lt;7,"",I1258*8+J1258*3+K1258*2+L1258*2+M1258*2+N1258*2+O1258)</x:f>
        <x:v>60</x:v>
      </x:c>
      <x:c r="Q1258" s="16" t="n">
        <x:f>IF(COUNT(J1258:O1258)&lt;6,"",J1258*5+K1258*4+M1258*4+L1258*3+N1258*2+O1258*2)</x:f>
        <x:v>86</x:v>
      </x:c>
      <x:c r="R1258" s="14" t="str">
        <x:v>high</x:v>
      </x:c>
      <x:c r="S1258" s="14" t="str">
        <x:v>official_prozorro_award_2024_2026</x:v>
      </x:c>
      <x:c r="T1258" s="14" t="str">
        <x:v>official_prozorro_api</x:v>
      </x:c>
      <x:c r="U1258" s="14" t="str">
        <x:v>Не контактували</x:v>
      </x:c>
      <x:c r="V1258" s="15" t="str">
        <x:v>Workflow-audit outreach по UA-2024-12-06-016949-a; попросити 1 пакет здачі та вимоги проєкту</x:v>
      </x:c>
      <x:c r="W1258" s="15" t="str">
        <x:v>Власник / директор; керівник ПТО; відповідальний за договори</x:v>
      </x:c>
      <x:c r="X1258" s="15" t="str">
        <x:v>1 нових підтверджених перемог/договорів у Prozorro на 856 370 грн; 0 зі строком виконання не раніше 24.08.2026.</x:v>
      </x:c>
      <x:c r="Y1258"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 строк до 2024-12-31. Попросити один знеособлений пакет здачі за цим workflow.</x:v>
      </x:c>
      <x:c r="Z1258" s="15" t="str">
        <x:v>https://prozorro.gov.ua/tender/UA-2024-12-06-016949-a</x:v>
      </x:c>
      <x:c r="AA1258" s="14" t="str">
        <x:v>44300010</x:v>
      </x:c>
      <x:c r="AB1258" s="14" t="str">
        <x:v>2026-08-24</x:v>
      </x:c>
      <x:c r="AC1258" s="14" t="str"/>
      <x:c r="AD1258" s="20" t="str"/>
      <x:c r="AE1258" s="14" t="str"/>
      <x:c r="AF1258" s="14" t="n">
        <x:v>34</x:v>
      </x:c>
      <x:c r="AG1258" s="14" t="str">
        <x:v>I3</x:v>
      </x:c>
      <x:c r="AH1258" s="14" t="n">
        <x:v>1</x:v>
      </x:c>
      <x:c r="AI1258" s="14" t="n">
        <x:v>0</x:v>
      </x:c>
      <x:c r="AJ1258" s="18" t="n">
        <x:v>856370</x:v>
      </x:c>
      <x:c r="AK1258" s="14" t="str">
        <x:v>https://prozorro.gov.ua/tender/UA-2024-12-06-016949-a</x:v>
      </x:c>
      <x:c r="AL1258" s="19" t="n">
        <x:v>45643.442442465275</x:v>
      </x:c>
      <x:c r="AM1258" s="19" t="n">
        <x:v>45657.66689814815</x:v>
      </x:c>
      <x:c r="AN1258" s="15" t="str">
        <x:v>Благоустрій</x:v>
      </x:c>
      <x:c r="AO1258" s="15" t="str">
        <x:v>not_found_in_top_search</x:v>
      </x:c>
    </x:row>
    <x:row r="1259">
      <x:c r="A1259" s="14" t="str">
        <x:v>W4-440</x:v>
      </x:c>
      <x:c r="B1259" s="14" t="str">
        <x:v>Prozorro expansion — 24.08</x:v>
      </x:c>
      <x:c r="C1259" s="14" t="str">
        <x:v>ТОВАРИСТВО З ОБМЕЖЕНОЮ ВІДПОВІДАЛЬНІСТЮ "СВІТЛОБУД ПІВДЕНЬ"</x:v>
      </x:c>
      <x:c r="D1259" s="14" t="str">
        <x:v>Покрівлі та гідроізоляція</x:v>
      </x:c>
      <x:c r="E1259" s="14" t="str">
        <x:v>Expansion discovery</x:v>
      </x:c>
      <x:c r="F1259" s="17" t="str">
        <x:v>D3</x:v>
      </x:c>
      <x:c r="G1259" s="14" t="str"/>
      <x:c r="H1259" s="14" t="str">
        <x:v>Discovery розширення — 2 тижні</x:v>
      </x:c>
      <x:c r="I1259" s="16" t="n">
        <x:v>1</x:v>
      </x:c>
      <x:c r="J1259" s="16" t="n">
        <x:v>5</x:v>
      </x:c>
      <x:c r="K1259" s="16" t="n">
        <x:v>5</x:v>
      </x:c>
      <x:c r="L1259" s="16" t="n">
        <x:v>3</x:v>
      </x:c>
      <x:c r="M1259" s="16" t="n">
        <x:v>5</x:v>
      </x:c>
      <x:c r="N1259" s="16" t="n">
        <x:v>5</x:v>
      </x:c>
      <x:c r="O1259" s="16" t="n">
        <x:v>3</x:v>
      </x:c>
      <x:c r="P1259" s="16" t="n">
        <x:f>IF(COUNT(I1259:O1259)&lt;7,"",I1259*8+J1259*3+K1259*2+L1259*2+M1259*2+N1259*2+O1259)</x:f>
        <x:v>62</x:v>
      </x:c>
      <x:c r="Q1259" s="16" t="n">
        <x:f>IF(COUNT(J1259:O1259)&lt;6,"",J1259*5+K1259*4+M1259*4+L1259*3+N1259*2+O1259*2)</x:f>
        <x:v>90</x:v>
      </x:c>
      <x:c r="R1259" s="14" t="str">
        <x:v>high</x:v>
      </x:c>
      <x:c r="S1259" s="14" t="str">
        <x:v>official_prozorro_award_2024_2026</x:v>
      </x:c>
      <x:c r="T1259" s="14" t="str">
        <x:v>official_prozorro_api</x:v>
      </x:c>
      <x:c r="U1259" s="14" t="str">
        <x:v>Не контактували</x:v>
      </x:c>
      <x:c r="V1259" s="15" t="str">
        <x:v>Workflow-audit outreach по UA-2024-04-25-008583-a; попросити 1 пакет здачі та вимоги проєкту</x:v>
      </x:c>
      <x:c r="W1259" s="15" t="str">
        <x:v>Власник / директор; керівник ПТО; відповідальний за договори</x:v>
      </x:c>
      <x:c r="X1259" s="15" t="str">
        <x:v>1 нових підтверджених перемог/договорів у Prozorro на 597 153 грн; 0 зі строком виконання не раніше 24.08.2026.</x:v>
      </x:c>
      <x:c r="Y1259" s="15" t="str">
        <x:v>Капітальний ремонт зовнішньої стіни машинного відділення ГКНС з виконанням гідроізоляційних робіт (вул.Трудова); строк до 2024-12-31. Попросити один знеособлений пакет здачі за цим workflow.</x:v>
      </x:c>
      <x:c r="Z1259" s="15" t="str">
        <x:v>https://prozorro.gov.ua/tender/UA-2024-04-25-008583-a</x:v>
      </x:c>
      <x:c r="AA1259" s="14" t="str">
        <x:v>33202841</x:v>
      </x:c>
      <x:c r="AB1259" s="14" t="str">
        <x:v>2026-08-24</x:v>
      </x:c>
      <x:c r="AC1259" s="14" t="str"/>
      <x:c r="AD1259" s="20" t="str"/>
      <x:c r="AE1259" s="14" t="str"/>
      <x:c r="AF1259" s="14" t="n">
        <x:v>34</x:v>
      </x:c>
      <x:c r="AG1259" s="14" t="str">
        <x:v>I3</x:v>
      </x:c>
      <x:c r="AH1259" s="14" t="n">
        <x:v>1</x:v>
      </x:c>
      <x:c r="AI1259" s="14" t="n">
        <x:v>0</x:v>
      </x:c>
      <x:c r="AJ1259" s="18" t="n">
        <x:v>597153.47</x:v>
      </x:c>
      <x:c r="AK1259" s="14" t="str">
        <x:v>https://prozorro.gov.ua/tender/UA-2024-04-25-008583-a</x:v>
      </x:c>
      <x:c r="AL1259" s="19" t="n">
        <x:v>45407.50328121528</x:v>
      </x:c>
      <x:c r="AM1259" s="19" t="n">
        <x:v>45657</x:v>
      </x:c>
      <x:c r="AN1259" s="15" t="str">
        <x:v>Покрівлі та гідроізоляція</x:v>
      </x:c>
      <x:c r="AO1259" s="15" t="str">
        <x:v>not_found_in_top_search</x:v>
      </x:c>
    </x:row>
    <x:row r="1260">
      <x:c r="A1260" s="14" t="str">
        <x:v>W4-441</x:v>
      </x:c>
      <x:c r="B1260" s="14" t="str">
        <x:v>Prozorro expansion — 24.08</x:v>
      </x:c>
      <x:c r="C1260" s="14" t="str">
        <x:v>Мале підприємство "Туризм - Комерція -Менеджмент"</x:v>
      </x:c>
      <x:c r="D1260" s="14" t="str">
        <x:v>Металоконструкції</x:v>
      </x:c>
      <x:c r="E1260" s="14" t="str">
        <x:v>Expansion discovery</x:v>
      </x:c>
      <x:c r="F1260" s="17" t="str">
        <x:v>D3</x:v>
      </x:c>
      <x:c r="G1260" s="14" t="str"/>
      <x:c r="H1260" s="14" t="str">
        <x:v>Discovery розширення — 2 тижні</x:v>
      </x:c>
      <x:c r="I1260" s="16" t="n">
        <x:v>1</x:v>
      </x:c>
      <x:c r="J1260" s="16" t="n">
        <x:v>5</x:v>
      </x:c>
      <x:c r="K1260" s="16" t="n">
        <x:v>5</x:v>
      </x:c>
      <x:c r="L1260" s="16" t="n">
        <x:v>2</x:v>
      </x:c>
      <x:c r="M1260" s="16" t="n">
        <x:v>5</x:v>
      </x:c>
      <x:c r="N1260" s="16" t="n">
        <x:v>5</x:v>
      </x:c>
      <x:c r="O1260" s="16" t="n">
        <x:v>3</x:v>
      </x:c>
      <x:c r="P1260" s="16" t="n">
        <x:f>IF(COUNT(I1260:O1260)&lt;7,"",I1260*8+J1260*3+K1260*2+L1260*2+M1260*2+N1260*2+O1260)</x:f>
        <x:v>60</x:v>
      </x:c>
      <x:c r="Q1260" s="16" t="n">
        <x:f>IF(COUNT(J1260:O1260)&lt;6,"",J1260*5+K1260*4+M1260*4+L1260*3+N1260*2+O1260*2)</x:f>
        <x:v>87</x:v>
      </x:c>
      <x:c r="R1260" s="14" t="str">
        <x:v>high</x:v>
      </x:c>
      <x:c r="S1260" s="14" t="str">
        <x:v>official_prozorro_award_2024_2026</x:v>
      </x:c>
      <x:c r="T1260" s="14" t="str">
        <x:v>official_prozorro_api</x:v>
      </x:c>
      <x:c r="U1260" s="14" t="str">
        <x:v>Не контактували</x:v>
      </x:c>
      <x:c r="V1260" s="15" t="str">
        <x:v>Workflow-audit outreach по UA-2025-11-10-002962-a; попросити 1 пакет здачі та вимоги проєкту</x:v>
      </x:c>
      <x:c r="W1260" s="15" t="str">
        <x:v>Власник / директор; керівник ПТО; відповідальний за договори</x:v>
      </x:c>
      <x:c r="X1260" s="15" t="str">
        <x:v>1 нових підтверджених перемог/договорів у Prozorro на 493 830 грн; 0 зі строком виконання не раніше 24.08.2026.</x:v>
      </x:c>
      <x:c r="Y1260" s="15" t="str">
        <x:v>Послуги на капітальний ремонт гаражів для зберігання техніки Верхнянської сільської ради з виготовлення та монтажу металоконструкцій; строк до 2025-12-31. Попросити один знеособлений пакет здачі за цим workflow.</x:v>
      </x:c>
      <x:c r="Z1260" s="15" t="str">
        <x:v>https://prozorro.gov.ua/tender/UA-2025-11-10-002962-a</x:v>
      </x:c>
      <x:c r="AA1260" s="14" t="str">
        <x:v>13641663</x:v>
      </x:c>
      <x:c r="AB1260" s="14" t="str">
        <x:v>2026-08-24</x:v>
      </x:c>
      <x:c r="AC1260" s="14" t="str"/>
      <x:c r="AD1260" s="20" t="str"/>
      <x:c r="AE1260" s="14" t="str"/>
      <x:c r="AF1260" s="14" t="n">
        <x:v>34</x:v>
      </x:c>
      <x:c r="AG1260" s="14" t="str">
        <x:v>I3</x:v>
      </x:c>
      <x:c r="AH1260" s="14" t="n">
        <x:v>1</x:v>
      </x:c>
      <x:c r="AI1260" s="14" t="n">
        <x:v>0</x:v>
      </x:c>
      <x:c r="AJ1260" s="18" t="n">
        <x:v>493829.6</x:v>
      </x:c>
      <x:c r="AK1260" s="14" t="str">
        <x:v>https://prozorro.gov.ua/tender/UA-2025-11-10-002962-a</x:v>
      </x:c>
      <x:c r="AL1260" s="19" t="n">
        <x:v>45971.36711912037</x:v>
      </x:c>
      <x:c r="AM1260" s="19" t="n">
        <x:v>46022.36782407408</x:v>
      </x:c>
      <x:c r="AN1260" s="15" t="str">
        <x:v>Металоконструкції</x:v>
      </x:c>
      <x:c r="AO1260" s="15" t="str">
        <x:v>not_found_in_top_search</x:v>
      </x:c>
    </x:row>
    <x:row r="1261">
      <x:c r="A1261" s="14" t="str">
        <x:v>W4-442</x:v>
      </x:c>
      <x:c r="B1261" s="14" t="str">
        <x:v>Prozorro expansion — 24.08</x:v>
      </x:c>
      <x:c r="C1261" s="14" t="str">
        <x:v>ТОВАРИСТВО З ОБМЕЖЕНОЮ ВІДПОВІДАЛЬНІСТЮ "ШЛЯХБУДГРУП"</x:v>
      </x:c>
      <x:c r="D1261" s="14" t="str">
        <x:v>Зливова каналізація / дренаж</x:v>
      </x:c>
      <x:c r="E1261" s="14" t="str">
        <x:v>Expansion discovery</x:v>
      </x:c>
      <x:c r="F1261" s="17" t="str">
        <x:v>D3</x:v>
      </x:c>
      <x:c r="G1261" s="14" t="str"/>
      <x:c r="H1261" s="14" t="str">
        <x:v>Discovery розширення — 2 тижні</x:v>
      </x:c>
      <x:c r="I1261" s="16" t="n">
        <x:v>1</x:v>
      </x:c>
      <x:c r="J1261" s="16" t="n">
        <x:v>5</x:v>
      </x:c>
      <x:c r="K1261" s="16" t="n">
        <x:v>5</x:v>
      </x:c>
      <x:c r="L1261" s="16" t="n">
        <x:v>2</x:v>
      </x:c>
      <x:c r="M1261" s="16" t="n">
        <x:v>5</x:v>
      </x:c>
      <x:c r="N1261" s="16" t="n">
        <x:v>5</x:v>
      </x:c>
      <x:c r="O1261" s="16" t="n">
        <x:v>3</x:v>
      </x:c>
      <x:c r="P1261" s="16" t="n">
        <x:f>IF(COUNT(I1261:O1261)&lt;7,"",I1261*8+J1261*3+K1261*2+L1261*2+M1261*2+N1261*2+O1261)</x:f>
        <x:v>60</x:v>
      </x:c>
      <x:c r="Q1261" s="16" t="n">
        <x:f>IF(COUNT(J1261:O1261)&lt;6,"",J1261*5+K1261*4+M1261*4+L1261*3+N1261*2+O1261*2)</x:f>
        <x:v>87</x:v>
      </x:c>
      <x:c r="R1261" s="14" t="str">
        <x:v>high</x:v>
      </x:c>
      <x:c r="S1261" s="14" t="str">
        <x:v>official_prozorro_award_2024_2026</x:v>
      </x:c>
      <x:c r="T1261" s="14" t="str">
        <x:v>official_prozorro_api</x:v>
      </x:c>
      <x:c r="U1261" s="14" t="str">
        <x:v>Не контактували</x:v>
      </x:c>
      <x:c r="V1261" s="15" t="str">
        <x:v>Workflow-audit outreach по UA-2025-05-27-005217-a; попросити 1 пакет здачі та вимоги проєкту</x:v>
      </x:c>
      <x:c r="W1261" s="15" t="str">
        <x:v>Власник / директор; керівник ПТО; відповідальний за договори</x:v>
      </x:c>
      <x:c r="X1261" s="15" t="str">
        <x:v>1 нових підтверджених перемог/договорів у Prozorro на 459 132 грн; 0 зі строком виконання не раніше 24.08.2026.</x:v>
      </x:c>
      <x:c r="Y1261" s="15" t="str">
        <x:v>Будівництво дощоприймача на колекторі зливової каналізації за адресою вул. Кармелюка 5-А в м. Хмельницькому. (Черга 1 - водовипуск); строк до 2025-06-30. Попросити один знеособлений пакет здачі за цим workflow.</x:v>
      </x:c>
      <x:c r="Z1261" s="15" t="str">
        <x:v>https://prozorro.gov.ua/tender/UA-2025-05-27-005217-a</x:v>
      </x:c>
      <x:c r="AA1261" s="14" t="str">
        <x:v>40992093</x:v>
      </x:c>
      <x:c r="AB1261" s="14" t="str">
        <x:v>2026-08-24</x:v>
      </x:c>
      <x:c r="AC1261" s="14" t="str"/>
      <x:c r="AD1261" s="20" t="str"/>
      <x:c r="AE1261" s="14" t="str"/>
      <x:c r="AF1261" s="14" t="n">
        <x:v>34</x:v>
      </x:c>
      <x:c r="AG1261" s="14" t="str">
        <x:v>I3</x:v>
      </x:c>
      <x:c r="AH1261" s="14" t="n">
        <x:v>1</x:v>
      </x:c>
      <x:c r="AI1261" s="14" t="n">
        <x:v>0</x:v>
      </x:c>
      <x:c r="AJ1261" s="18" t="n">
        <x:v>459131.57</x:v>
      </x:c>
      <x:c r="AK1261" s="14" t="str">
        <x:v>https://prozorro.gov.ua/tender/UA-2025-05-27-005217-a</x:v>
      </x:c>
      <x:c r="AL1261" s="19" t="n">
        <x:v>45804.37175665509</x:v>
      </x:c>
      <x:c r="AM1261" s="19" t="n">
        <x:v>45838.36931712963</x:v>
      </x:c>
      <x:c r="AN1261" s="15" t="str">
        <x:v>Зливова каналізація / дренаж</x:v>
      </x:c>
      <x:c r="AO1261" s="15" t="str">
        <x:v>not_found_in_top_search</x:v>
      </x:c>
    </x:row>
    <x:row r="1262">
      <x:c r="A1262" s="14" t="str">
        <x:v>W4-443</x:v>
      </x:c>
      <x:c r="B1262" s="14" t="str">
        <x:v>Prozorro expansion — 24.08</x:v>
      </x:c>
      <x:c r="C1262" s="14" t="str">
        <x:v>ТОВАРИСТВО З ОБМЕЖЕНОЮ ВІДПОВІДАЛЬНІСТЮ "Будівельна компанія Реко"</x:v>
      </x:c>
      <x:c r="D1262" s="14" t="str">
        <x:v>Водоочищення / очисні споруди</x:v>
      </x:c>
      <x:c r="E1262" s="14" t="str">
        <x:v>Expansion discovery</x:v>
      </x:c>
      <x:c r="F1262" s="17" t="str">
        <x:v>D3</x:v>
      </x:c>
      <x:c r="G1262" s="14" t="str"/>
      <x:c r="H1262" s="14" t="str">
        <x:v>Discovery розширення — 2 тижні</x:v>
      </x:c>
      <x:c r="I1262" s="16" t="n">
        <x:v>1</x:v>
      </x:c>
      <x:c r="J1262" s="16" t="n">
        <x:v>5</x:v>
      </x:c>
      <x:c r="K1262" s="16" t="n">
        <x:v>4</x:v>
      </x:c>
      <x:c r="L1262" s="16" t="n">
        <x:v>2</x:v>
      </x:c>
      <x:c r="M1262" s="16" t="n">
        <x:v>5</x:v>
      </x:c>
      <x:c r="N1262" s="16" t="n">
        <x:v>5</x:v>
      </x:c>
      <x:c r="O1262" s="16" t="n">
        <x:v>3</x:v>
      </x:c>
      <x:c r="P1262" s="16" t="n">
        <x:f>IF(COUNT(I1262:O1262)&lt;7,"",I1262*8+J1262*3+K1262*2+L1262*2+M1262*2+N1262*2+O1262)</x:f>
        <x:v>58</x:v>
      </x:c>
      <x:c r="Q1262" s="16" t="n">
        <x:f>IF(COUNT(J1262:O1262)&lt;6,"",J1262*5+K1262*4+M1262*4+L1262*3+N1262*2+O1262*2)</x:f>
        <x:v>83</x:v>
      </x:c>
      <x:c r="R1262" s="14" t="str">
        <x:v>high</x:v>
      </x:c>
      <x:c r="S1262" s="14" t="str">
        <x:v>official_prozorro_award_2024_2026</x:v>
      </x:c>
      <x:c r="T1262" s="14" t="str">
        <x:v>official_prozorro_api</x:v>
      </x:c>
      <x:c r="U1262" s="14" t="str">
        <x:v>Не контактували</x:v>
      </x:c>
      <x:c r="V1262" s="15" t="str">
        <x:v>Повторне звернення з новим тендерним сигналом UA-2024-12-17-001478-a; попросити 1 пакет здачі</x:v>
      </x:c>
      <x:c r="W1262" s="15" t="str">
        <x:v>Власник / директор; керівник ПТО; відповідальний за договори</x:v>
      </x:c>
      <x:c r="X1262" s="15" t="str">
        <x:v>1 нових підтверджених перемог/договорів у Prozorro на 418 688 грн; 0 зі строком виконання не раніше 24.08.2026.</x:v>
      </x:c>
      <x:c r="Y1262" s="15" t="str">
        <x:v>Виконання робіт об’єкту:  «Реконструкція системи доочищення стічних вод із каналізаційною насосною станцією та напірним трубопроводом від вторинних відстійників до будівлі решіток на міських очисних спорудах каналізації в с. Прут Чернівецького району, Чернівецької області (додаткові роботи)»; строк до 2025-12-31. Попросити один знеособлений пакет здачі за цим workflow.</x:v>
      </x:c>
      <x:c r="Z1262" s="15" t="str">
        <x:v>https://prozorro.gov.ua/tender/UA-2025-12-26-014371-a</x:v>
      </x:c>
      <x:c r="AA1262" s="14" t="str">
        <x:v>45418853</x:v>
      </x:c>
      <x:c r="AB1262" s="14" t="str">
        <x:v>2026-08-24</x:v>
      </x:c>
      <x:c r="AC1262" s="14" t="str"/>
      <x:c r="AD1262" s="20" t="str"/>
      <x:c r="AE1262" s="14" t="str"/>
      <x:c r="AF1262" s="14" t="n">
        <x:v>42</x:v>
      </x:c>
      <x:c r="AG1262" s="14" t="str">
        <x:v>I3</x:v>
      </x:c>
      <x:c r="AH1262" s="14" t="n">
        <x:v>2</x:v>
      </x:c>
      <x:c r="AI1262" s="14" t="n">
        <x:v>0</x:v>
      </x:c>
      <x:c r="AJ1262" s="18" t="n">
        <x:v>13892684.08</x:v>
      </x:c>
      <x:c r="AK1262" s="14" t="str">
        <x:v>https://prozorro.gov.ua/tender/UA-2024-12-17-001478-a</x:v>
      </x:c>
      <x:c r="AL1262" s="19" t="n">
        <x:v>45665.405140532406</x:v>
      </x:c>
      <x:c r="AM1262" s="19" t="n">
        <x:v>45901</x:v>
      </x:c>
      <x:c r="AN1262" s="15" t="str">
        <x:v>Водоочищення / очисні споруди; Насосні станції</x:v>
      </x:c>
      <x:c r="AO1262" s="15" t="str">
        <x:v>not_found_in_top_search</x:v>
      </x:c>
    </x:row>
    <x:row r="1263">
      <x:c r="A1263" s="14" t="str">
        <x:v>W4-444</x:v>
      </x:c>
      <x:c r="B1263" s="14" t="str">
        <x:v>Prozorro expansion — 24.08</x:v>
      </x:c>
      <x:c r="C1263" s="14" t="str">
        <x:v>ТОВ "Газбудсервіс"</x:v>
      </x:c>
      <x:c r="D1263" s="14" t="str">
        <x:v>Газові мережі</x:v>
      </x:c>
      <x:c r="E1263" s="14" t="str">
        <x:v>Expansion discovery</x:v>
      </x:c>
      <x:c r="F1263" s="17" t="str">
        <x:v>D3</x:v>
      </x:c>
      <x:c r="G1263" s="14" t="str"/>
      <x:c r="H1263" s="14" t="str">
        <x:v>Discovery розширення — 2 тижні</x:v>
      </x:c>
      <x:c r="I1263" s="16" t="n">
        <x:v>1</x:v>
      </x:c>
      <x:c r="J1263" s="16" t="n">
        <x:v>5</x:v>
      </x:c>
      <x:c r="K1263" s="16" t="n">
        <x:v>5</x:v>
      </x:c>
      <x:c r="L1263" s="16" t="n">
        <x:v>2</x:v>
      </x:c>
      <x:c r="M1263" s="16" t="n">
        <x:v>5</x:v>
      </x:c>
      <x:c r="N1263" s="16" t="n">
        <x:v>5</x:v>
      </x:c>
      <x:c r="O1263" s="16" t="n">
        <x:v>3</x:v>
      </x:c>
      <x:c r="P1263" s="16" t="n">
        <x:f>IF(COUNT(I1263:O1263)&lt;7,"",I1263*8+J1263*3+K1263*2+L1263*2+M1263*2+N1263*2+O1263)</x:f>
        <x:v>60</x:v>
      </x:c>
      <x:c r="Q1263" s="16" t="n">
        <x:f>IF(COUNT(J1263:O1263)&lt;6,"",J1263*5+K1263*4+M1263*4+L1263*3+N1263*2+O1263*2)</x:f>
        <x:v>87</x:v>
      </x:c>
      <x:c r="R1263" s="14" t="str">
        <x:v>high</x:v>
      </x:c>
      <x:c r="S1263" s="14" t="str">
        <x:v>official_prozorro_award_2024_2026</x:v>
      </x:c>
      <x:c r="T1263" s="14" t="str">
        <x:v>official_prozorro_api</x:v>
      </x:c>
      <x:c r="U1263" s="14" t="str">
        <x:v>Не контактували</x:v>
      </x:c>
      <x:c r="V1263" s="15" t="str">
        <x:v>Workflow-audit outreach по UA-2025-10-28-001075-a; попросити 1 пакет здачі та вимоги проєкту</x:v>
      </x:c>
      <x:c r="W1263" s="15" t="str">
        <x:v>Власник / директор; керівник ПТО; відповідальний за договори</x:v>
      </x:c>
      <x:c r="X1263" s="15" t="str">
        <x:v>1 нових підтверджених перемог/договорів у Prozorro на 388 374 грн; 0 зі строком виконання не раніше 24.08.2026.</x:v>
      </x:c>
      <x:c r="Y1263" s="15" t="str">
        <x:v>Будівництво газопроводу в с. Кам'янка  Кам’янець-Подільського району Хмельницької області; строк до 2025-12-31. Попросити один знеособлений пакет здачі за цим workflow.</x:v>
      </x:c>
      <x:c r="Z1263" s="15" t="str">
        <x:v>https://prozorro.gov.ua/tender/UA-2025-10-28-001075-a</x:v>
      </x:c>
      <x:c r="AA1263" s="14" t="str">
        <x:v>31288445</x:v>
      </x:c>
      <x:c r="AB1263" s="14" t="str">
        <x:v>2026-08-24</x:v>
      </x:c>
      <x:c r="AC1263" s="14" t="str"/>
      <x:c r="AD1263" s="20" t="str"/>
      <x:c r="AE1263" s="14" t="str"/>
      <x:c r="AF1263" s="14" t="n">
        <x:v>34</x:v>
      </x:c>
      <x:c r="AG1263" s="14" t="str">
        <x:v>I3</x:v>
      </x:c>
      <x:c r="AH1263" s="14" t="n">
        <x:v>1</x:v>
      </x:c>
      <x:c r="AI1263" s="14" t="n">
        <x:v>0</x:v>
      </x:c>
      <x:c r="AJ1263" s="18" t="n">
        <x:v>388374</x:v>
      </x:c>
      <x:c r="AK1263" s="14" t="str">
        <x:v>https://prozorro.gov.ua/tender/UA-2025-10-28-001075-a</x:v>
      </x:c>
      <x:c r="AL1263" s="19" t="n">
        <x:v>45958.33048891203</x:v>
      </x:c>
      <x:c r="AM1263" s="19" t="n">
        <x:v>46022.30944444444</x:v>
      </x:c>
      <x:c r="AN1263" s="15" t="str">
        <x:v>Газові мережі</x:v>
      </x:c>
      <x:c r="AO1263" s="15" t="str">
        <x:v>not_found_in_top_search</x:v>
      </x:c>
    </x:row>
    <x:row r="1264">
      <x:c r="A1264" s="14" t="str">
        <x:v>W4-445</x:v>
      </x:c>
      <x:c r="B1264" s="14" t="str">
        <x:v>Prozorro expansion — 24.08</x:v>
      </x:c>
      <x:c r="C1264" s="14" t="str">
        <x:v>ПП "ПРОНЕТ"</x:v>
      </x:c>
      <x:c r="D1264" s="14" t="str">
        <x:v>HVAC / ОВіК</x:v>
      </x:c>
      <x:c r="E1264" s="14" t="str">
        <x:v>Pilot now</x:v>
      </x:c>
      <x:c r="F1264" s="17" t="str">
        <x:v>P3</x:v>
      </x:c>
      <x:c r="G1264" s="14" t="str">
        <x:v>pronet.ua</x:v>
      </x:c>
      <x:c r="H1264" s="14" t="str">
        <x:v>Пілот зараз — Н.14</x:v>
      </x:c>
      <x:c r="I1264" s="16" t="n">
        <x:v>5</x:v>
      </x:c>
      <x:c r="J1264" s="16" t="n">
        <x:v>5</x:v>
      </x:c>
      <x:c r="K1264" s="16" t="n">
        <x:v>4</x:v>
      </x:c>
      <x:c r="L1264" s="16" t="n">
        <x:v>2</x:v>
      </x:c>
      <x:c r="M1264" s="16" t="n">
        <x:v>5</x:v>
      </x:c>
      <x:c r="N1264" s="16" t="n">
        <x:v>5</x:v>
      </x:c>
      <x:c r="O1264" s="16" t="n">
        <x:v>5</x:v>
      </x:c>
      <x:c r="P1264" s="16" t="n">
        <x:f>IF(COUNT(I1264:O1264)&lt;7,"",I1264*8+J1264*3+K1264*2+L1264*2+M1264*2+N1264*2+O1264)</x:f>
        <x:v>92</x:v>
      </x:c>
      <x:c r="Q1264" s="16" t="n">
        <x:f>IF(COUNT(J1264:O1264)&lt;6,"",J1264*5+K1264*4+M1264*4+L1264*3+N1264*2+O1264*2)</x:f>
        <x:v>87</x:v>
      </x:c>
      <x:c r="R1264" s="14" t="str">
        <x:v>high</x:v>
      </x:c>
      <x:c r="S1264" s="14" t="str">
        <x:v>official_prozorro_award_2024_2026</x:v>
      </x:c>
      <x:c r="T1264" s="14" t="str">
        <x:v>official_prozorro_api</x:v>
      </x:c>
      <x:c r="U1264" s="14" t="str">
        <x:v>Не контактували</x:v>
      </x:c>
      <x:c r="V1264" s="15" t="str">
        <x:v>Персоналізований free-pilot outreach по UA-2025-04-17-005027-a; попросити 1 пакет Н.14/Н.15</x:v>
      </x:c>
      <x:c r="W1264" s="15" t="str">
        <x:v>Власник / директор; керівник ПТО; відповідальний за договори</x:v>
      </x:c>
      <x:c r="X1264" s="15" t="str">
        <x:v>1 нових підтверджених перемог/договорів у Prozorro на 376 800 грн; 0 зі строком виконання не раніше 24.08.2026.</x:v>
      </x:c>
      <x:c r="Y1264" s="15" t="str">
        <x:v>Послуга з монтажу та демонтажу блоків кондиціонерів системи кондиціювання та вентиляції; строк до 2025-11-30. Попросити один знеособлений пакет здачі за цим workflow.</x:v>
      </x:c>
      <x:c r="Z1264" s="15" t="str">
        <x:v>https://prozorro.gov.ua/tender/UA-2025-04-17-005027-a</x:v>
      </x:c>
      <x:c r="AA1264" s="14" t="str">
        <x:v>21680973</x:v>
      </x:c>
      <x:c r="AB1264" s="14" t="str">
        <x:v>2026-08-24</x:v>
      </x:c>
      <x:c r="AC1264" s="14" t="str"/>
      <x:c r="AD1264" s="20" t="str"/>
      <x:c r="AE1264" s="14" t="str"/>
      <x:c r="AF1264" s="14" t="n">
        <x:v>34</x:v>
      </x:c>
      <x:c r="AG1264" s="14" t="str">
        <x:v>I3</x:v>
      </x:c>
      <x:c r="AH1264" s="14" t="n">
        <x:v>1</x:v>
      </x:c>
      <x:c r="AI1264" s="14" t="n">
        <x:v>0</x:v>
      </x:c>
      <x:c r="AJ1264" s="18" t="n">
        <x:v>376800</x:v>
      </x:c>
      <x:c r="AK1264" s="14" t="str">
        <x:v>https://prozorro.gov.ua/tender/UA-2025-04-17-005027-a</x:v>
      </x:c>
      <x:c r="AL1264" s="19" t="n">
        <x:v>45776.39145809028</x:v>
      </x:c>
      <x:c r="AM1264" s="19" t="n">
        <x:v>45991</x:v>
      </x:c>
      <x:c r="AN1264" s="15" t="str">
        <x:v>HVAC / ОВіК</x:v>
      </x:c>
      <x:c r="AO1264" s="15" t="str">
        <x:v>supplier_provided_url</x:v>
      </x:c>
    </x:row>
    <x:row r="1265">
      <x:c r="A1265" s="14" t="str">
        <x:v>W4-446</x:v>
      </x:c>
      <x:c r="B1265" s="14" t="str">
        <x:v>Prozorro expansion — 24.08</x:v>
      </x:c>
      <x:c r="C1265" s="14" t="str">
        <x:v>КОЛЕКТИВНЕ ПІДПРИЄМСТВО "ЧЕРКАСИГАЗБУД" ІМ.В.А.БАБАНСЬКОГО</x:v>
      </x:c>
      <x:c r="D1265" s="14" t="str">
        <x:v>Газові мережі</x:v>
      </x:c>
      <x:c r="E1265" s="14" t="str">
        <x:v>Expansion discovery</x:v>
      </x:c>
      <x:c r="F1265" s="17" t="str">
        <x:v>D3</x:v>
      </x:c>
      <x:c r="G1265" s="14" t="str"/>
      <x:c r="H1265" s="14" t="str">
        <x:v>Discovery розширення — 2 тижні</x:v>
      </x:c>
      <x:c r="I1265" s="16" t="n">
        <x:v>1</x:v>
      </x:c>
      <x:c r="J1265" s="16" t="n">
        <x:v>5</x:v>
      </x:c>
      <x:c r="K1265" s="16" t="n">
        <x:v>5</x:v>
      </x:c>
      <x:c r="L1265" s="16" t="n">
        <x:v>2</x:v>
      </x:c>
      <x:c r="M1265" s="16" t="n">
        <x:v>5</x:v>
      </x:c>
      <x:c r="N1265" s="16" t="n">
        <x:v>5</x:v>
      </x:c>
      <x:c r="O1265" s="16" t="n">
        <x:v>3</x:v>
      </x:c>
      <x:c r="P1265" s="16" t="n">
        <x:f>IF(COUNT(I1265:O1265)&lt;7,"",I1265*8+J1265*3+K1265*2+L1265*2+M1265*2+N1265*2+O1265)</x:f>
        <x:v>60</x:v>
      </x:c>
      <x:c r="Q1265" s="16" t="n">
        <x:f>IF(COUNT(J1265:O1265)&lt;6,"",J1265*5+K1265*4+M1265*4+L1265*3+N1265*2+O1265*2)</x:f>
        <x:v>87</x:v>
      </x:c>
      <x:c r="R1265" s="14" t="str">
        <x:v>high</x:v>
      </x:c>
      <x:c r="S1265" s="14" t="str">
        <x:v>official_prozorro_award_2024_2026</x:v>
      </x:c>
      <x:c r="T1265" s="14" t="str">
        <x:v>official_prozorro_api</x:v>
      </x:c>
      <x:c r="U1265" s="14" t="str">
        <x:v>Не контактували</x:v>
      </x:c>
      <x:c r="V1265" s="15" t="str">
        <x:v>Workflow-audit outreach по UA-2025-10-27-009657-a; попросити 1 пакет здачі та вимоги проєкту</x:v>
      </x:c>
      <x:c r="W1265" s="15" t="str">
        <x:v>Власник / директор; керівник ПТО; відповідальний за договори</x:v>
      </x:c>
      <x:c r="X1265" s="15" t="str">
        <x:v>1 нових підтверджених перемог/договорів у Prozorro на 362 630 грн; 0 зі строком виконання не раніше 24.08.2026.</x:v>
      </x:c>
      <x:c r="Y1265"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 строк до 2025-11-06. Попросити один знеособлений пакет здачі за цим workflow.</x:v>
      </x:c>
      <x:c r="Z1265" s="15" t="str">
        <x:v>https://prozorro.gov.ua/tender/UA-2025-10-27-009657-a</x:v>
      </x:c>
      <x:c r="AA1265" s="14" t="str">
        <x:v>03335729</x:v>
      </x:c>
      <x:c r="AB1265" s="14" t="str">
        <x:v>2026-08-24</x:v>
      </x:c>
      <x:c r="AC1265" s="14" t="str"/>
      <x:c r="AD1265" s="20" t="str"/>
      <x:c r="AE1265" s="14" t="str"/>
      <x:c r="AF1265" s="14" t="n">
        <x:v>34</x:v>
      </x:c>
      <x:c r="AG1265" s="14" t="str">
        <x:v>I3</x:v>
      </x:c>
      <x:c r="AH1265" s="14" t="n">
        <x:v>1</x:v>
      </x:c>
      <x:c r="AI1265" s="14" t="n">
        <x:v>0</x:v>
      </x:c>
      <x:c r="AJ1265" s="18" t="n">
        <x:v>362630.1</x:v>
      </x:c>
      <x:c r="AK1265" s="14" t="str">
        <x:v>https://prozorro.gov.ua/tender/UA-2025-10-27-009657-a</x:v>
      </x:c>
      <x:c r="AL1265" s="19" t="n">
        <x:v>45957.52744150463</x:v>
      </x:c>
      <x:c r="AM1265" s="19" t="n">
        <x:v>45967</x:v>
      </x:c>
      <x:c r="AN1265" s="15" t="str">
        <x:v>Газові мережі</x:v>
      </x:c>
      <x:c r="AO1265" s="15" t="str">
        <x:v>not_found_in_top_search</x:v>
      </x:c>
    </x:row>
    <x:row r="1266">
      <x:c r="A1266" s="14" t="str">
        <x:v>W4-447</x:v>
      </x:c>
      <x:c r="B1266" s="14" t="str">
        <x:v>Prozorro expansion — 24.08</x:v>
      </x:c>
      <x:c r="C1266" s="14" t="str">
        <x:v>ТОВАРИСТВО З ОБМЕЖЕНОЮ ВІДПОВІДАЛЬНІСТЮ "БУДІВЕЛЬНО-МОНТАЖНЕ ПІДПРИЄМСТВО ПРОМБУД"</x:v>
      </x:c>
      <x:c r="D1266" s="14" t="str">
        <x:v>HVAC / ОВіК</x:v>
      </x:c>
      <x:c r="E1266" s="14" t="str">
        <x:v>Pilot now</x:v>
      </x:c>
      <x:c r="F1266" s="17" t="str">
        <x:v>P3</x:v>
      </x:c>
      <x:c r="G1266" s="14" t="str"/>
      <x:c r="H1266" s="14" t="str">
        <x:v>Пілот зараз — Н.14</x:v>
      </x:c>
      <x:c r="I1266" s="16" t="n">
        <x:v>5</x:v>
      </x:c>
      <x:c r="J1266" s="16" t="n">
        <x:v>5</x:v>
      </x:c>
      <x:c r="K1266" s="16" t="n">
        <x:v>4</x:v>
      </x:c>
      <x:c r="L1266" s="16" t="n">
        <x:v>2</x:v>
      </x:c>
      <x:c r="M1266" s="16" t="n">
        <x:v>5</x:v>
      </x:c>
      <x:c r="N1266" s="16" t="n">
        <x:v>5</x:v>
      </x:c>
      <x:c r="O1266" s="16" t="n">
        <x:v>3</x:v>
      </x:c>
      <x:c r="P1266" s="16" t="n">
        <x:f>IF(COUNT(I1266:O1266)&lt;7,"",I1266*8+J1266*3+K1266*2+L1266*2+M1266*2+N1266*2+O1266)</x:f>
        <x:v>90</x:v>
      </x:c>
      <x:c r="Q1266" s="16" t="n">
        <x:f>IF(COUNT(J1266:O1266)&lt;6,"",J1266*5+K1266*4+M1266*4+L1266*3+N1266*2+O1266*2)</x:f>
        <x:v>83</x:v>
      </x:c>
      <x:c r="R1266" s="14" t="str">
        <x:v>high</x:v>
      </x:c>
      <x:c r="S1266" s="14" t="str">
        <x:v>official_prozorro_award_2024_2026</x:v>
      </x:c>
      <x:c r="T1266" s="14" t="str">
        <x:v>official_prozorro_api</x:v>
      </x:c>
      <x:c r="U1266" s="14" t="str">
        <x:v>Не контактували</x:v>
      </x:c>
      <x:c r="V1266" s="15" t="str">
        <x:v>Персоналізований free-pilot outreach по UA-2025-08-15-010274-a; попросити 1 пакет Н.14/Н.15</x:v>
      </x:c>
      <x:c r="W1266" s="15" t="str">
        <x:v>Власник / директор; керівник ПТО; відповідальний за договори</x:v>
      </x:c>
      <x:c r="X1266" s="15" t="str">
        <x:v>1 нових підтверджених перемог/договорів у Prozorro на 317 408 грн; 0 зі строком виконання не раніше 24.08.2026.</x:v>
      </x:c>
      <x:c r="Y1266"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66" s="15" t="str">
        <x:v>https://prozorro.gov.ua/tender/UA-2025-08-15-010274-a</x:v>
      </x:c>
      <x:c r="AA1266" s="14" t="str">
        <x:v>39494345</x:v>
      </x:c>
      <x:c r="AB1266" s="14" t="str">
        <x:v>2026-08-24</x:v>
      </x:c>
      <x:c r="AC1266" s="14" t="str"/>
      <x:c r="AD1266" s="20" t="str"/>
      <x:c r="AE1266" s="14" t="str"/>
      <x:c r="AF1266" s="14" t="n">
        <x:v>34</x:v>
      </x:c>
      <x:c r="AG1266" s="14" t="str">
        <x:v>I3</x:v>
      </x:c>
      <x:c r="AH1266" s="14" t="n">
        <x:v>1</x:v>
      </x:c>
      <x:c r="AI1266" s="14" t="n">
        <x:v>0</x:v>
      </x:c>
      <x:c r="AJ1266" s="18" t="n">
        <x:v>317408.4</x:v>
      </x:c>
      <x:c r="AK1266" s="14" t="str">
        <x:v>https://prozorro.gov.ua/tender/UA-2025-08-15-010274-a</x:v>
      </x:c>
      <x:c r="AL1266" s="19" t="n">
        <x:v>45897.34353300926</x:v>
      </x:c>
      <x:c r="AM1266" s="19" t="n">
        <x:v>45992</x:v>
      </x:c>
      <x:c r="AN1266" s="15" t="str">
        <x:v>HVAC / ОВіК</x:v>
      </x:c>
      <x:c r="AO1266" s="15" t="str">
        <x:v>not_found_in_top_search</x:v>
      </x:c>
    </x:row>
    <x:row r="1267">
      <x:c r="A1267" s="14" t="str">
        <x:v>W4-448</x:v>
      </x:c>
      <x:c r="B1267" s="14" t="str">
        <x:v>Prozorro expansion — 24.08</x:v>
      </x:c>
      <x:c r="C1267" s="14" t="str">
        <x:v>ТОВАРИСТВО З ОБМЕЖЕНОЮ ВІДПОВІДАЛЬНІСТЮ "ПАРТНЕРШІП"</x:v>
      </x:c>
      <x:c r="D1267" s="14" t="str">
        <x:v>СКС / BMS / слаботочка</x:v>
      </x:c>
      <x:c r="E1267" s="14" t="str">
        <x:v>Expansion discovery</x:v>
      </x:c>
      <x:c r="F1267" s="17" t="str">
        <x:v>D3</x:v>
      </x:c>
      <x:c r="G1267" s="14" t="str"/>
      <x:c r="H1267" s="14" t="str">
        <x:v>Discovery розширення — 2 тижні</x:v>
      </x:c>
      <x:c r="I1267" s="16" t="n">
        <x:v>2</x:v>
      </x:c>
      <x:c r="J1267" s="16" t="n">
        <x:v>5</x:v>
      </x:c>
      <x:c r="K1267" s="16" t="n">
        <x:v>4</x:v>
      </x:c>
      <x:c r="L1267" s="16" t="n">
        <x:v>2</x:v>
      </x:c>
      <x:c r="M1267" s="16" t="n">
        <x:v>5</x:v>
      </x:c>
      <x:c r="N1267" s="16" t="n">
        <x:v>5</x:v>
      </x:c>
      <x:c r="O1267" s="16" t="n">
        <x:v>3</x:v>
      </x:c>
      <x:c r="P1267" s="16" t="n">
        <x:f>IF(COUNT(I1267:O1267)&lt;7,"",I1267*8+J1267*3+K1267*2+L1267*2+M1267*2+N1267*2+O1267)</x:f>
        <x:v>66</x:v>
      </x:c>
      <x:c r="Q1267" s="16" t="n">
        <x:f>IF(COUNT(J1267:O1267)&lt;6,"",J1267*5+K1267*4+M1267*4+L1267*3+N1267*2+O1267*2)</x:f>
        <x:v>83</x:v>
      </x:c>
      <x:c r="R1267" s="14" t="str">
        <x:v>high</x:v>
      </x:c>
      <x:c r="S1267" s="14" t="str">
        <x:v>official_prozorro_award_2024_2026</x:v>
      </x:c>
      <x:c r="T1267" s="14" t="str">
        <x:v>official_prozorro_api</x:v>
      </x:c>
      <x:c r="U1267" s="14" t="str">
        <x:v>Не контактували</x:v>
      </x:c>
      <x:c r="V1267" s="15" t="str">
        <x:v>Workflow-audit outreach по UA-2025-10-21-008503-a; попросити 1 пакет здачі та вимоги проєкту</x:v>
      </x:c>
      <x:c r="W1267" s="15" t="str">
        <x:v>Власник / директор; керівник ПТО; відповідальний за договори</x:v>
      </x:c>
      <x:c r="X1267" s="15" t="str">
        <x:v>1 нових підтверджених перемог/договорів у Prozorro на 316 533 грн; 0 зі строком виконання не раніше 24.08.2026.</x:v>
      </x:c>
      <x:c r="Y1267" s="15" t="str">
        <x:v>Послуги з монтажу СКС (структурованої кабельної системи); строк до 2025-12-15. Попросити один знеособлений пакет здачі за цим workflow.</x:v>
      </x:c>
      <x:c r="Z1267" s="15" t="str">
        <x:v>https://prozorro.gov.ua/tender/UA-2025-10-21-008503-a</x:v>
      </x:c>
      <x:c r="AA1267" s="14" t="str">
        <x:v>40305502</x:v>
      </x:c>
      <x:c r="AB1267" s="14" t="str">
        <x:v>2026-08-24</x:v>
      </x:c>
      <x:c r="AC1267" s="14" t="str"/>
      <x:c r="AD1267" s="20" t="str"/>
      <x:c r="AE1267" s="14" t="str"/>
      <x:c r="AF1267" s="14" t="n">
        <x:v>34</x:v>
      </x:c>
      <x:c r="AG1267" s="14" t="str">
        <x:v>I3</x:v>
      </x:c>
      <x:c r="AH1267" s="14" t="n">
        <x:v>1</x:v>
      </x:c>
      <x:c r="AI1267" s="14" t="n">
        <x:v>0</x:v>
      </x:c>
      <x:c r="AJ1267" s="18" t="n">
        <x:v>316533.34</x:v>
      </x:c>
      <x:c r="AK1267" s="14" t="str">
        <x:v>https://prozorro.gov.ua/tender/UA-2025-10-21-008503-a</x:v>
      </x:c>
      <x:c r="AL1267" s="19" t="n">
        <x:v>45964.62042327546</x:v>
      </x:c>
      <x:c r="AM1267" s="19" t="n">
        <x:v>46006</x:v>
      </x:c>
      <x:c r="AN1267" s="15" t="str">
        <x:v>СКС / BMS / слаботочка</x:v>
      </x:c>
      <x:c r="AO1267" s="15" t="str">
        <x:v>not_found_in_top_search</x:v>
      </x:c>
    </x:row>
    <x:row r="1268">
      <x:c r="A1268" s="14" t="str">
        <x:v>W4-449</x:v>
      </x:c>
      <x:c r="B1268" s="14" t="str">
        <x:v>Prozorro expansion — 24.08</x:v>
      </x:c>
      <x:c r="C1268" s="14" t="str">
        <x:v>ТОВАРИСТВО З ОБМЕЖЕНОЮ ВІДПОВІДАЛЬНІСТЮ "ВІДБУДОВА ПІВДЕНЬ"</x:v>
      </x:c>
      <x:c r="D1268" s="14" t="str">
        <x:v>HVAC / ОВіК</x:v>
      </x:c>
      <x:c r="E1268" s="14" t="str">
        <x:v>Pilot now</x:v>
      </x:c>
      <x:c r="F1268" s="17" t="str">
        <x:v>P3</x:v>
      </x:c>
      <x:c r="G1268" s="14" t="str"/>
      <x:c r="H1268" s="14" t="str">
        <x:v>Пілот зараз — Н.14</x:v>
      </x:c>
      <x:c r="I1268" s="16" t="n">
        <x:v>5</x:v>
      </x:c>
      <x:c r="J1268" s="16" t="n">
        <x:v>5</x:v>
      </x:c>
      <x:c r="K1268" s="16" t="n">
        <x:v>4</x:v>
      </x:c>
      <x:c r="L1268" s="16" t="n">
        <x:v>2</x:v>
      </x:c>
      <x:c r="M1268" s="16" t="n">
        <x:v>5</x:v>
      </x:c>
      <x:c r="N1268" s="16" t="n">
        <x:v>5</x:v>
      </x:c>
      <x:c r="O1268" s="16" t="n">
        <x:v>3</x:v>
      </x:c>
      <x:c r="P1268" s="16" t="n">
        <x:f>IF(COUNT(I1268:O1268)&lt;7,"",I1268*8+J1268*3+K1268*2+L1268*2+M1268*2+N1268*2+O1268)</x:f>
        <x:v>90</x:v>
      </x:c>
      <x:c r="Q1268" s="16" t="n">
        <x:f>IF(COUNT(J1268:O1268)&lt;6,"",J1268*5+K1268*4+M1268*4+L1268*3+N1268*2+O1268*2)</x:f>
        <x:v>83</x:v>
      </x:c>
      <x:c r="R1268" s="14" t="str">
        <x:v>high</x:v>
      </x:c>
      <x:c r="S1268" s="14" t="str">
        <x:v>official_prozorro_award_2024_2026</x:v>
      </x:c>
      <x:c r="T1268" s="14" t="str">
        <x:v>official_prozorro_api</x:v>
      </x:c>
      <x:c r="U1268" s="14" t="str">
        <x:v>Не контактували</x:v>
      </x:c>
      <x:c r="V1268" s="15" t="str">
        <x:v>Персоналізований free-pilot outreach по UA-2025-10-10-010630-a; попросити 1 пакет Н.14/Н.15</x:v>
      </x:c>
      <x:c r="W1268" s="15" t="str">
        <x:v>Власник / директор; керівник ПТО; відповідальний за договори</x:v>
      </x:c>
      <x:c r="X1268" s="15" t="str">
        <x:v>1 нових підтверджених перемог/договорів у Prozorro на 299 996 грн; 0 зі строком виконання не раніше 24.08.2026.</x:v>
      </x:c>
      <x:c r="Y1268" s="15" t="str">
        <x:v>Послуги з монтажу системи вентиляції будівлі «Їдальня» військового містечка № 5 військової частини 3012 Національної гвардії України; строк до 2025-12-10. Попросити один знеособлений пакет здачі за цим workflow.</x:v>
      </x:c>
      <x:c r="Z1268" s="15" t="str">
        <x:v>https://prozorro.gov.ua/tender/UA-2025-10-10-010630-a</x:v>
      </x:c>
      <x:c r="AA1268" s="14" t="str">
        <x:v>45229128</x:v>
      </x:c>
      <x:c r="AB1268" s="14" t="str">
        <x:v>2026-08-24</x:v>
      </x:c>
      <x:c r="AC1268" s="14" t="str"/>
      <x:c r="AD1268" s="20" t="str"/>
      <x:c r="AE1268" s="14" t="str"/>
      <x:c r="AF1268" s="14" t="n">
        <x:v>34</x:v>
      </x:c>
      <x:c r="AG1268" s="14" t="str">
        <x:v>I3</x:v>
      </x:c>
      <x:c r="AH1268" s="14" t="n">
        <x:v>1</x:v>
      </x:c>
      <x:c r="AI1268" s="14" t="n">
        <x:v>0</x:v>
      </x:c>
      <x:c r="AJ1268" s="18" t="n">
        <x:v>299996.14</x:v>
      </x:c>
      <x:c r="AK1268" s="14" t="str">
        <x:v>https://prozorro.gov.ua/tender/UA-2025-10-10-010630-a</x:v>
      </x:c>
      <x:c r="AL1268" s="19" t="n">
        <x:v>45953.551103935184</x:v>
      </x:c>
      <x:c r="AM1268" s="19" t="n">
        <x:v>46001</x:v>
      </x:c>
      <x:c r="AN1268" s="15" t="str">
        <x:v>HVAC / ОВіК</x:v>
      </x:c>
      <x:c r="AO1268" s="15" t="str">
        <x:v>not_found_in_top_search</x:v>
      </x:c>
    </x:row>
    <x:row r="1269">
      <x:c r="A1269" s="14" t="str">
        <x:v>W4-450</x:v>
      </x:c>
      <x:c r="B1269" s="14" t="str">
        <x:v>Prozorro expansion — 24.08</x:v>
      </x:c>
      <x:c r="C1269" s="14" t="str">
        <x:v>ТОВАРИСТВО З ОБМЕЖЕНОЮ ВІДПОВІДАЛЬНІСТЮ "ХМІЛЬНИК ЕНЕРДЖІ"</x:v>
      </x:c>
      <x:c r="D1269" s="14" t="str">
        <x:v>Газові мережі</x:v>
      </x:c>
      <x:c r="E1269" s="14" t="str">
        <x:v>Expansion discovery</x:v>
      </x:c>
      <x:c r="F1269" s="17" t="str">
        <x:v>D3</x:v>
      </x:c>
      <x:c r="G1269" s="14" t="str"/>
      <x:c r="H1269" s="14" t="str">
        <x:v>Discovery розширення — 2 тижні</x:v>
      </x:c>
      <x:c r="I1269" s="16" t="n">
        <x:v>1</x:v>
      </x:c>
      <x:c r="J1269" s="16" t="n">
        <x:v>5</x:v>
      </x:c>
      <x:c r="K1269" s="16" t="n">
        <x:v>5</x:v>
      </x:c>
      <x:c r="L1269" s="16" t="n">
        <x:v>2</x:v>
      </x:c>
      <x:c r="M1269" s="16" t="n">
        <x:v>5</x:v>
      </x:c>
      <x:c r="N1269" s="16" t="n">
        <x:v>5</x:v>
      </x:c>
      <x:c r="O1269" s="16" t="n">
        <x:v>3</x:v>
      </x:c>
      <x:c r="P1269" s="16" t="n">
        <x:f>IF(COUNT(I1269:O1269)&lt;7,"",I1269*8+J1269*3+K1269*2+L1269*2+M1269*2+N1269*2+O1269)</x:f>
        <x:v>60</x:v>
      </x:c>
      <x:c r="Q1269" s="16" t="n">
        <x:f>IF(COUNT(J1269:O1269)&lt;6,"",J1269*5+K1269*4+M1269*4+L1269*3+N1269*2+O1269*2)</x:f>
        <x:v>87</x:v>
      </x:c>
      <x:c r="R1269" s="14" t="str">
        <x:v>high</x:v>
      </x:c>
      <x:c r="S1269" s="14" t="str">
        <x:v>official_prozorro_award_2024_2026</x:v>
      </x:c>
      <x:c r="T1269" s="14" t="str">
        <x:v>official_prozorro_api</x:v>
      </x:c>
      <x:c r="U1269" s="14" t="str">
        <x:v>Не контактували</x:v>
      </x:c>
      <x:c r="V1269" s="15" t="str">
        <x:v>Workflow-audit outreach по UA-2025-12-03-015993-a; попросити 1 пакет здачі та вимоги проєкту</x:v>
      </x:c>
      <x:c r="W1269" s="15" t="str">
        <x:v>Власник / директор; керівник ПТО; відповідальний за договори</x:v>
      </x:c>
      <x:c r="X1269" s="15" t="str">
        <x:v>1 нових підтверджених перемог/договорів у Prozorro на 206 597 грн; 0 зі строком виконання не раніше 24.08.2026.</x:v>
      </x:c>
      <x:c r="Y1269"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 строк до 2025-12-31. Попросити один знеособлений пакет здачі за цим workflow.</x:v>
      </x:c>
      <x:c r="Z1269" s="15" t="str">
        <x:v>https://prozorro.gov.ua/tender/UA-2025-12-03-015993-a</x:v>
      </x:c>
      <x:c r="AA1269" s="14" t="str">
        <x:v>44370250</x:v>
      </x:c>
      <x:c r="AB1269" s="14" t="str">
        <x:v>2026-08-24</x:v>
      </x:c>
      <x:c r="AC1269" s="14" t="str"/>
      <x:c r="AD1269" s="20" t="str"/>
      <x:c r="AE1269" s="14" t="str"/>
      <x:c r="AF1269" s="14" t="n">
        <x:v>34</x:v>
      </x:c>
      <x:c r="AG1269" s="14" t="str">
        <x:v>I3</x:v>
      </x:c>
      <x:c r="AH1269" s="14" t="n">
        <x:v>1</x:v>
      </x:c>
      <x:c r="AI1269" s="14" t="n">
        <x:v>0</x:v>
      </x:c>
      <x:c r="AJ1269" s="18" t="n">
        <x:v>206596.95</x:v>
      </x:c>
      <x:c r="AK1269" s="14" t="str">
        <x:v>https://prozorro.gov.ua/tender/UA-2025-12-03-015993-a</x:v>
      </x:c>
      <x:c r="AL1269" s="19" t="n">
        <x:v>45994.58199284722</x:v>
      </x:c>
      <x:c r="AM1269" s="19" t="n">
        <x:v>46022</x:v>
      </x:c>
      <x:c r="AN1269" s="15" t="str">
        <x:v>Газові мережі</x:v>
      </x:c>
      <x:c r="AO1269" s="15" t="str">
        <x:v>not_found_in_top_search</x:v>
      </x:c>
    </x:row>
    <x:row r="1270">
      <x:c r="A1270" s="14" t="str">
        <x:v>W4-451</x:v>
      </x:c>
      <x:c r="B1270" s="14" t="str">
        <x:v>Prozorro expansion — 24.08</x:v>
      </x:c>
      <x:c r="C1270" s="14" t="str">
        <x:v>КОМУНАЛЬНЕ ПІДПРИЄМСТВО "ЕКСПЛУАТАЦІЙНЕ ЛІНІЙНЕ УПРАВЛІННЯ АВТОДОРІГ"</x:v>
      </x:c>
      <x:c r="D1270" s="14" t="str">
        <x:v>Благоустрій</x:v>
      </x:c>
      <x:c r="E1270" s="14" t="str">
        <x:v>Expansion discovery</x:v>
      </x:c>
      <x:c r="F1270" s="17" t="str">
        <x:v>D3</x:v>
      </x:c>
      <x:c r="G1270" s="14" t="str"/>
      <x:c r="H1270" s="14" t="str">
        <x:v>Discovery розширення — 2 тижні</x:v>
      </x:c>
      <x:c r="I1270" s="16" t="n">
        <x:v>1</x:v>
      </x:c>
      <x:c r="J1270" s="16" t="n">
        <x:v>5</x:v>
      </x:c>
      <x:c r="K1270" s="16" t="n">
        <x:v>4</x:v>
      </x:c>
      <x:c r="L1270" s="16" t="n">
        <x:v>2</x:v>
      </x:c>
      <x:c r="M1270" s="16" t="n">
        <x:v>5</x:v>
      </x:c>
      <x:c r="N1270" s="16" t="n">
        <x:v>5</x:v>
      </x:c>
      <x:c r="O1270" s="16" t="n">
        <x:v>3</x:v>
      </x:c>
      <x:c r="P1270" s="16" t="n">
        <x:f>IF(COUNT(I1270:O1270)&lt;7,"",I1270*8+J1270*3+K1270*2+L1270*2+M1270*2+N1270*2+O1270)</x:f>
        <x:v>58</x:v>
      </x:c>
      <x:c r="Q1270" s="16" t="n">
        <x:f>IF(COUNT(J1270:O1270)&lt;6,"",J1270*5+K1270*4+M1270*4+L1270*3+N1270*2+O1270*2)</x:f>
        <x:v>83</x:v>
      </x:c>
      <x:c r="R1270" s="14" t="str">
        <x:v>high</x:v>
      </x:c>
      <x:c r="S1270" s="14" t="str">
        <x:v>official_prozorro_award_2024_2026</x:v>
      </x:c>
      <x:c r="T1270" s="14" t="str">
        <x:v>official_prozorro_api</x:v>
      </x:c>
      <x:c r="U1270" s="14" t="str">
        <x:v>Не контактували</x:v>
      </x:c>
      <x:c r="V1270" s="15" t="str">
        <x:v>Workflow-audit outreach по UA-2025-10-21-015638-a; попросити 1 пакет здачі та вимоги проєкту</x:v>
      </x:c>
      <x:c r="W1270" s="15" t="str">
        <x:v>Власник / директор; керівник ПТО; відповідальний за договори</x:v>
      </x:c>
      <x:c r="X1270" s="15" t="str">
        <x:v>1 нових підтверджених перемог/договорів у Prozorro на 199 778 грн; 0 зі строком виконання не раніше 24.08.2026.</x:v>
      </x:c>
      <x:c r="Y1270"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 строк до 2025-12-25. Попросити один знеособлений пакет здачі за цим workflow.</x:v>
      </x:c>
      <x:c r="Z1270" s="15" t="str">
        <x:v>https://prozorro.gov.ua/tender/UA-2025-10-21-015638-a</x:v>
      </x:c>
      <x:c r="AA1270" s="14" t="str">
        <x:v>03349499</x:v>
      </x:c>
      <x:c r="AB1270" s="14" t="str">
        <x:v>2026-08-24</x:v>
      </x:c>
      <x:c r="AC1270" s="14" t="str"/>
      <x:c r="AD1270" s="20" t="str"/>
      <x:c r="AE1270" s="14" t="str"/>
      <x:c r="AF1270" s="14" t="n">
        <x:v>34</x:v>
      </x:c>
      <x:c r="AG1270" s="14" t="str">
        <x:v>I3</x:v>
      </x:c>
      <x:c r="AH1270" s="14" t="n">
        <x:v>1</x:v>
      </x:c>
      <x:c r="AI1270" s="14" t="n">
        <x:v>0</x:v>
      </x:c>
      <x:c r="AJ1270" s="18" t="n">
        <x:v>199777.84</x:v>
      </x:c>
      <x:c r="AK1270" s="14" t="str">
        <x:v>https://prozorro.gov.ua/tender/UA-2025-10-21-015638-a</x:v>
      </x:c>
      <x:c r="AL1270" s="19" t="n">
        <x:v>45951.56538262731</x:v>
      </x:c>
      <x:c r="AM1270" s="19" t="n">
        <x:v>46016</x:v>
      </x:c>
      <x:c r="AN1270" s="15" t="str">
        <x:v>Благоустрій</x:v>
      </x:c>
      <x:c r="AO1270" s="15" t="str">
        <x:v>not_found_in_top_search</x:v>
      </x:c>
    </x:row>
    <x:row r="1271">
      <x:c r="A1271" s="14" t="str">
        <x:v>W4-452</x:v>
      </x:c>
      <x:c r="B1271" s="14" t="str">
        <x:v>Prozorro expansion — 24.08</x:v>
      </x:c>
      <x:c r="C1271" s="14" t="str">
        <x:v>КРАВЕЦЬ СЕРГІЙ ІГОРОВИЧ</x:v>
      </x:c>
      <x:c r="D1271" s="14" t="str">
        <x:v>Благоустрій</x:v>
      </x:c>
      <x:c r="E1271" s="14" t="str">
        <x:v>Expansion discovery</x:v>
      </x:c>
      <x:c r="F1271" s="17" t="str">
        <x:v>D3</x:v>
      </x:c>
      <x:c r="G1271" s="14" t="str"/>
      <x:c r="H1271" s="14" t="str">
        <x:v>Discovery розширення — 2 тижні</x:v>
      </x:c>
      <x:c r="I1271" s="16" t="n">
        <x:v>1</x:v>
      </x:c>
      <x:c r="J1271" s="16" t="n">
        <x:v>5</x:v>
      </x:c>
      <x:c r="K1271" s="16" t="n">
        <x:v>4</x:v>
      </x:c>
      <x:c r="L1271" s="16" t="n">
        <x:v>2</x:v>
      </x:c>
      <x:c r="M1271" s="16" t="n">
        <x:v>5</x:v>
      </x:c>
      <x:c r="N1271" s="16" t="n">
        <x:v>3</x:v>
      </x:c>
      <x:c r="O1271" s="16" t="n">
        <x:v>3</x:v>
      </x:c>
      <x:c r="P1271" s="16" t="n">
        <x:f>IF(COUNT(I1271:O1271)&lt;7,"",I1271*8+J1271*3+K1271*2+L1271*2+M1271*2+N1271*2+O1271)</x:f>
        <x:v>54</x:v>
      </x:c>
      <x:c r="Q1271" s="16" t="n">
        <x:f>IF(COUNT(J1271:O1271)&lt;6,"",J1271*5+K1271*4+M1271*4+L1271*3+N1271*2+O1271*2)</x:f>
        <x:v>79</x:v>
      </x:c>
      <x:c r="R1271" s="14" t="str">
        <x:v>high</x:v>
      </x:c>
      <x:c r="S1271" s="14" t="str">
        <x:v>official_prozorro_award_2024_2026</x:v>
      </x:c>
      <x:c r="T1271" s="14" t="str">
        <x:v>official_prozorro_api</x:v>
      </x:c>
      <x:c r="U1271" s="14" t="str">
        <x:v>Не контактували</x:v>
      </x:c>
      <x:c r="V1271" s="15" t="str">
        <x:v>Workflow-audit outreach по UA-2025-12-16-000825-a; попросити 1 пакет здачі та вимоги проєкту</x:v>
      </x:c>
      <x:c r="W1271" s="15" t="str">
        <x:v>Власник / виконавець; відповідальний за договір</x:v>
      </x:c>
      <x:c r="X1271" s="15" t="str">
        <x:v>1 нових підтверджених перемог/договорів у Prozorro на 191 619 грн; 0 зі строком виконання не раніше 24.08.2026.</x:v>
      </x:c>
      <x:c r="Y1271"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 строк до 2025-12-31. Попросити один знеособлений пакет здачі за цим workflow.</x:v>
      </x:c>
      <x:c r="Z1271" s="15" t="str">
        <x:v>https://prozorro.gov.ua/tender/UA-2025-12-16-000825-a</x:v>
      </x:c>
      <x:c r="AA1271" s="14" t="str">
        <x:v>2781914314</x:v>
      </x:c>
      <x:c r="AB1271" s="14" t="str">
        <x:v>2026-08-24</x:v>
      </x:c>
      <x:c r="AC1271" s="14" t="str"/>
      <x:c r="AD1271" s="20" t="str"/>
      <x:c r="AE1271" s="14" t="str"/>
      <x:c r="AF1271" s="14" t="n">
        <x:v>34</x:v>
      </x:c>
      <x:c r="AG1271" s="14" t="str">
        <x:v>I3</x:v>
      </x:c>
      <x:c r="AH1271" s="14" t="n">
        <x:v>1</x:v>
      </x:c>
      <x:c r="AI1271" s="14" t="n">
        <x:v>0</x:v>
      </x:c>
      <x:c r="AJ1271" s="18" t="n">
        <x:v>191618.68</x:v>
      </x:c>
      <x:c r="AK1271" s="14" t="str">
        <x:v>https://prozorro.gov.ua/tender/UA-2025-12-16-000825-a</x:v>
      </x:c>
      <x:c r="AL1271" s="19" t="n">
        <x:v>46007.285545011575</x:v>
      </x:c>
      <x:c r="AM1271" s="19" t="n">
        <x:v>46022</x:v>
      </x:c>
      <x:c r="AN1271" s="15" t="str">
        <x:v>Благоустрій</x:v>
      </x:c>
      <x:c r="AO1271" s="15" t="str">
        <x:v>not_found_in_top_search</x:v>
      </x:c>
    </x:row>
    <x:row r="1272">
      <x:c r="A1272" s="14" t="str">
        <x:v>W4-453</x:v>
      </x:c>
      <x:c r="B1272" s="14" t="str">
        <x:v>Prozorro expansion — 24.08</x:v>
      </x:c>
      <x:c r="C1272" s="14" t="str">
        <x:v>ТОВАРИСТВО З ОБМЕЖЕНОЮ ВІДПОВІДАЛЬНІСТЮ "ПМ-БУД ІНВЕСТ"</x:v>
      </x:c>
      <x:c r="D1272" s="14" t="str">
        <x:v>Промислові підлоги та бетон</x:v>
      </x:c>
      <x:c r="E1272" s="14" t="str">
        <x:v>Expansion discovery</x:v>
      </x:c>
      <x:c r="F1272" s="17" t="str">
        <x:v>D3</x:v>
      </x:c>
      <x:c r="G1272" s="14" t="str"/>
      <x:c r="H1272" s="14" t="str">
        <x:v>Discovery розширення — 2 тижні</x:v>
      </x:c>
      <x:c r="I1272" s="16" t="n">
        <x:v>1</x:v>
      </x:c>
      <x:c r="J1272" s="16" t="n">
        <x:v>5</x:v>
      </x:c>
      <x:c r="K1272" s="16" t="n">
        <x:v>5</x:v>
      </x:c>
      <x:c r="L1272" s="16" t="n">
        <x:v>2</x:v>
      </x:c>
      <x:c r="M1272" s="16" t="n">
        <x:v>5</x:v>
      </x:c>
      <x:c r="N1272" s="16" t="n">
        <x:v>5</x:v>
      </x:c>
      <x:c r="O1272" s="16" t="n">
        <x:v>3</x:v>
      </x:c>
      <x:c r="P1272" s="16" t="n">
        <x:f>IF(COUNT(I1272:O1272)&lt;7,"",I1272*8+J1272*3+K1272*2+L1272*2+M1272*2+N1272*2+O1272)</x:f>
        <x:v>60</x:v>
      </x:c>
      <x:c r="Q1272" s="16" t="n">
        <x:f>IF(COUNT(J1272:O1272)&lt;6,"",J1272*5+K1272*4+M1272*4+L1272*3+N1272*2+O1272*2)</x:f>
        <x:v>87</x:v>
      </x:c>
      <x:c r="R1272" s="14" t="str">
        <x:v>high</x:v>
      </x:c>
      <x:c r="S1272" s="14" t="str">
        <x:v>official_prozorro_award_2024_2026</x:v>
      </x:c>
      <x:c r="T1272" s="14" t="str">
        <x:v>official_prozorro_api</x:v>
      </x:c>
      <x:c r="U1272" s="14" t="str">
        <x:v>Не контактували</x:v>
      </x:c>
      <x:c r="V1272" s="15" t="str">
        <x:v>Workflow-audit outreach по UA-2025-12-19-022009-a; попросити 1 пакет здачі та вимоги проєкту</x:v>
      </x:c>
      <x:c r="W1272" s="15" t="str">
        <x:v>Власник / директор; керівник ПТО; відповідальний за договори</x:v>
      </x:c>
      <x:c r="X1272" s="15" t="str">
        <x:v>1 нових підтверджених перемог/договорів у Prozorro на 179 999 грн; 0 зі строком виконання не раніше 24.08.2026.</x:v>
      </x:c>
      <x:c r="Y1272" s="15" t="str">
        <x:v>Влаштування бетонної промислової підлоги  з заглажуванням поверхні ротаційними машинами (дисками та лопастями); строк до 2025-12-26. Попросити один знеособлений пакет здачі за цим workflow.</x:v>
      </x:c>
      <x:c r="Z1272" s="15" t="str">
        <x:v>https://prozorro.gov.ua/tender/UA-2025-12-19-022009-a</x:v>
      </x:c>
      <x:c r="AA1272" s="14" t="str">
        <x:v>45313853</x:v>
      </x:c>
      <x:c r="AB1272" s="14" t="str">
        <x:v>2026-08-24</x:v>
      </x:c>
      <x:c r="AC1272" s="14" t="str"/>
      <x:c r="AD1272" s="20" t="str"/>
      <x:c r="AE1272" s="14" t="str"/>
      <x:c r="AF1272" s="14" t="n">
        <x:v>34</x:v>
      </x:c>
      <x:c r="AG1272" s="14" t="str">
        <x:v>I3</x:v>
      </x:c>
      <x:c r="AH1272" s="14" t="n">
        <x:v>1</x:v>
      </x:c>
      <x:c r="AI1272" s="14" t="n">
        <x:v>0</x:v>
      </x:c>
      <x:c r="AJ1272" s="18" t="n">
        <x:v>179999.04</x:v>
      </x:c>
      <x:c r="AK1272" s="14" t="str">
        <x:v>https://prozorro.gov.ua/tender/UA-2025-12-19-022009-a</x:v>
      </x:c>
      <x:c r="AL1272" s="19" t="n">
        <x:v>46010.62677390046</x:v>
      </x:c>
      <x:c r="AM1272" s="19" t="n">
        <x:v>46017</x:v>
      </x:c>
      <x:c r="AN1272" s="15" t="str">
        <x:v>Промислові підлоги та бетон</x:v>
      </x:c>
      <x:c r="AO1272" s="15" t="str">
        <x:v>not_found_in_top_search</x:v>
      </x:c>
    </x:row>
    <x:row r="1273">
      <x:c r="A1273" s="14" t="str">
        <x:v>W4-454</x:v>
      </x:c>
      <x:c r="B1273" s="14" t="str">
        <x:v>Prozorro expansion — 24.08</x:v>
      </x:c>
      <x:c r="C1273" s="14" t="str">
        <x:v>Старцев Віктор Володимирович</x:v>
      </x:c>
      <x:c r="D1273" s="14" t="str">
        <x:v>Внутрішні сантехнічні системи</x:v>
      </x:c>
      <x:c r="E1273" s="14" t="str">
        <x:v>Pilot now</x:v>
      </x:c>
      <x:c r="F1273" s="17" t="str">
        <x:v>P3</x:v>
      </x:c>
      <x:c r="G1273" s="14" t="str"/>
      <x:c r="H1273" s="14" t="str">
        <x:v>Пілот зараз — Н.14</x:v>
      </x:c>
      <x:c r="I1273" s="16" t="n">
        <x:v>5</x:v>
      </x:c>
      <x:c r="J1273" s="16" t="n">
        <x:v>5</x:v>
      </x:c>
      <x:c r="K1273" s="16" t="n">
        <x:v>4</x:v>
      </x:c>
      <x:c r="L1273" s="16" t="n">
        <x:v>2</x:v>
      </x:c>
      <x:c r="M1273" s="16" t="n">
        <x:v>5</x:v>
      </x:c>
      <x:c r="N1273" s="16" t="n">
        <x:v>3</x:v>
      </x:c>
      <x:c r="O1273" s="16" t="n">
        <x:v>3</x:v>
      </x:c>
      <x:c r="P1273" s="16" t="n">
        <x:f>IF(COUNT(I1273:O1273)&lt;7,"",I1273*8+J1273*3+K1273*2+L1273*2+M1273*2+N1273*2+O1273)</x:f>
        <x:v>86</x:v>
      </x:c>
      <x:c r="Q1273" s="16" t="n">
        <x:f>IF(COUNT(J1273:O1273)&lt;6,"",J1273*5+K1273*4+M1273*4+L1273*3+N1273*2+O1273*2)</x:f>
        <x:v>79</x:v>
      </x:c>
      <x:c r="R1273" s="14" t="str">
        <x:v>high</x:v>
      </x:c>
      <x:c r="S1273" s="14" t="str">
        <x:v>official_prozorro_award_2024_2026</x:v>
      </x:c>
      <x:c r="T1273" s="14" t="str">
        <x:v>official_prozorro_api</x:v>
      </x:c>
      <x:c r="U1273" s="14" t="str">
        <x:v>Не контактували</x:v>
      </x:c>
      <x:c r="V1273" s="15" t="str">
        <x:v>Персоналізований free-pilot outreach по UA-2025-12-17-001942-a; попросити 1 пакет Н.14/Н.15</x:v>
      </x:c>
      <x:c r="W1273" s="15" t="str">
        <x:v>Власник / виконавець; відповідальний за договір</x:v>
      </x:c>
      <x:c r="X1273" s="15" t="str">
        <x:v>1 нових підтверджених перемог/договорів у Prozorro на 161 137 грн; 0 зі строком виконання не раніше 24.08.2026.</x:v>
      </x:c>
      <x:c r="Y1273" s="15" t="str">
        <x:v> Поточний ремонт внутрішньої системи тепловодопостачання (ДК 021:2015 код 45330000-9 Водопровідні та санітарно-технічні роботи); строк до 2025-12-19. Попросити один знеособлений пакет здачі за цим workflow.</x:v>
      </x:c>
      <x:c r="Z1273" s="15" t="str">
        <x:v>https://prozorro.gov.ua/tender/UA-2025-12-17-001942-a</x:v>
      </x:c>
      <x:c r="AA1273" s="14" t="str">
        <x:v>2847412959</x:v>
      </x:c>
      <x:c r="AB1273" s="14" t="str">
        <x:v>2026-08-24</x:v>
      </x:c>
      <x:c r="AC1273" s="14" t="str"/>
      <x:c r="AD1273" s="20" t="str"/>
      <x:c r="AE1273" s="14" t="str"/>
      <x:c r="AF1273" s="14" t="n">
        <x:v>34</x:v>
      </x:c>
      <x:c r="AG1273" s="14" t="str">
        <x:v>I3</x:v>
      </x:c>
      <x:c r="AH1273" s="14" t="n">
        <x:v>1</x:v>
      </x:c>
      <x:c r="AI1273" s="14" t="n">
        <x:v>0</x:v>
      </x:c>
      <x:c r="AJ1273" s="18" t="n">
        <x:v>161137.48</x:v>
      </x:c>
      <x:c r="AK1273" s="14" t="str">
        <x:v>https://prozorro.gov.ua/tender/UA-2025-12-17-001942-a</x:v>
      </x:c>
      <x:c r="AL1273" s="19" t="n">
        <x:v>46008.31539916667</x:v>
      </x:c>
      <x:c r="AM1273" s="19" t="n">
        <x:v>46010</x:v>
      </x:c>
      <x:c r="AN1273" s="15" t="str">
        <x:v>Внутрішні сантехнічні системи</x:v>
      </x:c>
      <x:c r="AO1273" s="15" t="str">
        <x:v>not_found_in_top_search</x:v>
      </x:c>
    </x:row>
    <x:row r="1274">
      <x:c r="A1274" s="14" t="str">
        <x:v>W4-455</x:v>
      </x:c>
      <x:c r="B1274" s="14" t="str">
        <x:v>Prozorro expansion — 24.08</x:v>
      </x:c>
      <x:c r="C1274" s="14" t="str">
        <x:v>ПП "Юрївліфт"</x:v>
      </x:c>
      <x:c r="D1274" s="14" t="str">
        <x:v>Ліфти та підйомники</x:v>
      </x:c>
      <x:c r="E1274" s="14" t="str">
        <x:v>Expansion discovery</x:v>
      </x:c>
      <x:c r="F1274" s="17" t="str">
        <x:v>D3</x:v>
      </x:c>
      <x:c r="G1274" s="14" t="str"/>
      <x:c r="H1274" s="14" t="str">
        <x:v>Discovery розширення — 2 тижні</x:v>
      </x:c>
      <x:c r="I1274" s="16" t="n">
        <x:v>1</x:v>
      </x:c>
      <x:c r="J1274" s="16" t="n">
        <x:v>5</x:v>
      </x:c>
      <x:c r="K1274" s="16" t="n">
        <x:v>4</x:v>
      </x:c>
      <x:c r="L1274" s="16" t="n">
        <x:v>2</x:v>
      </x:c>
      <x:c r="M1274" s="16" t="n">
        <x:v>5</x:v>
      </x:c>
      <x:c r="N1274" s="16" t="n">
        <x:v>5</x:v>
      </x:c>
      <x:c r="O1274" s="16" t="n">
        <x:v>3</x:v>
      </x:c>
      <x:c r="P1274" s="16" t="n">
        <x:f>IF(COUNT(I1274:O1274)&lt;7,"",I1274*8+J1274*3+K1274*2+L1274*2+M1274*2+N1274*2+O1274)</x:f>
        <x:v>58</x:v>
      </x:c>
      <x:c r="Q1274" s="16" t="n">
        <x:f>IF(COUNT(J1274:O1274)&lt;6,"",J1274*5+K1274*4+M1274*4+L1274*3+N1274*2+O1274*2)</x:f>
        <x:v>83</x:v>
      </x:c>
      <x:c r="R1274" s="14" t="str">
        <x:v>high</x:v>
      </x:c>
      <x:c r="S1274" s="14" t="str">
        <x:v>official_prozorro_award_2024_2026</x:v>
      </x:c>
      <x:c r="T1274" s="14" t="str">
        <x:v>official_prozorro_api</x:v>
      </x:c>
      <x:c r="U1274" s="14" t="str">
        <x:v>Не контактували</x:v>
      </x:c>
      <x:c r="V1274" s="15" t="str">
        <x:v>Workflow-audit outreach по UA-2025-10-29-002113-a; попросити 1 пакет здачі та вимоги проєкту</x:v>
      </x:c>
      <x:c r="W1274" s="15" t="str">
        <x:v>Власник / директор; керівник ПТО; відповідальний за договори</x:v>
      </x:c>
      <x:c r="X1274" s="15" t="str">
        <x:v>1 нових підтверджених перемог/договорів у Prozorro на 132 160 грн; 0 зі строком виконання не раніше 24.08.2026.</x:v>
      </x:c>
      <x:c r="Y1274" s="15" t="str">
        <x:v>Ремонтні роботи з демонтажу та монтажу запасних частин ліфта; строк до 2025-12-31. Попросити один знеособлений пакет здачі за цим workflow.</x:v>
      </x:c>
      <x:c r="Z1274" s="15" t="str">
        <x:v>https://prozorro.gov.ua/tender/UA-2025-10-29-002113-a</x:v>
      </x:c>
      <x:c r="AA1274" s="14" t="str">
        <x:v>36822877</x:v>
      </x:c>
      <x:c r="AB1274" s="14" t="str">
        <x:v>2026-08-24</x:v>
      </x:c>
      <x:c r="AC1274" s="14" t="str"/>
      <x:c r="AD1274" s="20" t="str"/>
      <x:c r="AE1274" s="14" t="str"/>
      <x:c r="AF1274" s="14" t="n">
        <x:v>34</x:v>
      </x:c>
      <x:c r="AG1274" s="14" t="str">
        <x:v>I3</x:v>
      </x:c>
      <x:c r="AH1274" s="14" t="n">
        <x:v>1</x:v>
      </x:c>
      <x:c r="AI1274" s="14" t="n">
        <x:v>0</x:v>
      </x:c>
      <x:c r="AJ1274" s="18" t="n">
        <x:v>132160</x:v>
      </x:c>
      <x:c r="AK1274" s="14" t="str">
        <x:v>https://prozorro.gov.ua/tender/UA-2025-10-29-002113-a</x:v>
      </x:c>
      <x:c r="AL1274" s="19" t="n">
        <x:v>45959.34418219907</x:v>
      </x:c>
      <x:c r="AM1274" s="19" t="n">
        <x:v>46022</x:v>
      </x:c>
      <x:c r="AN1274" s="15" t="str">
        <x:v>Ліфти та підйомники</x:v>
      </x:c>
      <x:c r="AO1274" s="15" t="str">
        <x:v>not_found_in_top_search</x:v>
      </x:c>
    </x:row>
    <x:row r="1275">
      <x:c r="A1275" s="14" t="str">
        <x:v>W4-456</x:v>
      </x:c>
      <x:c r="B1275" s="14" t="str">
        <x:v>Prozorro expansion — 24.08</x:v>
      </x:c>
      <x:c r="C1275" s="14" t="str">
        <x:v>ПРИВАТНЕ ПІДПРИЄМСТВО "ПУЛЬТОВА ОХОРОНА ШЕРИФ"</x:v>
      </x:c>
      <x:c r="D1275" s="14" t="str">
        <x:v>Пожежогасіння</x:v>
      </x:c>
      <x:c r="E1275" s="14" t="str">
        <x:v>Expansion discovery</x:v>
      </x:c>
      <x:c r="F1275" s="17" t="str">
        <x:v>D3</x:v>
      </x:c>
      <x:c r="G1275" s="14" t="str"/>
      <x:c r="H1275" s="14" t="str">
        <x:v>Discovery розширення — 2 тижні</x:v>
      </x:c>
      <x:c r="I1275" s="16" t="n">
        <x:v>1</x:v>
      </x:c>
      <x:c r="J1275" s="16" t="n">
        <x:v>5</x:v>
      </x:c>
      <x:c r="K1275" s="16" t="n">
        <x:v>5</x:v>
      </x:c>
      <x:c r="L1275" s="16" t="n">
        <x:v>2</x:v>
      </x:c>
      <x:c r="M1275" s="16" t="n">
        <x:v>5</x:v>
      </x:c>
      <x:c r="N1275" s="16" t="n">
        <x:v>5</x:v>
      </x:c>
      <x:c r="O1275" s="16" t="n">
        <x:v>3</x:v>
      </x:c>
      <x:c r="P1275" s="16" t="n">
        <x:f>IF(COUNT(I1275:O1275)&lt;7,"",I1275*8+J1275*3+K1275*2+L1275*2+M1275*2+N1275*2+O1275)</x:f>
        <x:v>60</x:v>
      </x:c>
      <x:c r="Q1275" s="16" t="n">
        <x:f>IF(COUNT(J1275:O1275)&lt;6,"",J1275*5+K1275*4+M1275*4+L1275*3+N1275*2+O1275*2)</x:f>
        <x:v>87</x:v>
      </x:c>
      <x:c r="R1275" s="14" t="str">
        <x:v>high</x:v>
      </x:c>
      <x:c r="S1275" s="14" t="str">
        <x:v>official_prozorro_award_2024_2026</x:v>
      </x:c>
      <x:c r="T1275" s="14" t="str">
        <x:v>official_prozorro_api</x:v>
      </x:c>
      <x:c r="U1275" s="14" t="str">
        <x:v>Не контактували</x:v>
      </x:c>
      <x:c r="V1275" s="15" t="str">
        <x:v>Workflow-audit outreach по UA-2025-05-20-009688-a; попросити 1 пакет здачі та вимоги проєкту</x:v>
      </x:c>
      <x:c r="W1275" s="15" t="str">
        <x:v>Власник / директор; керівник ПТО; відповідальний за договори</x:v>
      </x:c>
      <x:c r="X1275" s="15" t="str">
        <x:v>1 нових підтверджених перемог/договорів у Prozorro на 129 999 грн; 0 зі строком виконання не раніше 24.08.2026.</x:v>
      </x:c>
      <x:c r="Y1275" s="15" t="str">
        <x:v>Монтаж автоматичної системи газового пожежогасіння пожежної сигналізації в приміщенні бібліотеки; строк до 2025-07-10. Попросити один знеособлений пакет здачі за цим workflow.</x:v>
      </x:c>
      <x:c r="Z1275" s="15" t="str">
        <x:v>https://prozorro.gov.ua/tender/UA-2025-05-20-009688-a</x:v>
      </x:c>
      <x:c r="AA1275" s="14" t="str">
        <x:v>40405420</x:v>
      </x:c>
      <x:c r="AB1275" s="14" t="str">
        <x:v>2026-08-24</x:v>
      </x:c>
      <x:c r="AC1275" s="14" t="str"/>
      <x:c r="AD1275" s="20" t="str"/>
      <x:c r="AE1275" s="14" t="str"/>
      <x:c r="AF1275" s="14" t="n">
        <x:v>34</x:v>
      </x:c>
      <x:c r="AG1275" s="14" t="str">
        <x:v>I3</x:v>
      </x:c>
      <x:c r="AH1275" s="14" t="n">
        <x:v>1</x:v>
      </x:c>
      <x:c r="AI1275" s="14" t="n">
        <x:v>0</x:v>
      </x:c>
      <x:c r="AJ1275" s="18" t="n">
        <x:v>129999</x:v>
      </x:c>
      <x:c r="AK1275" s="14" t="str">
        <x:v>https://prozorro.gov.ua/tender/UA-2025-05-20-009688-a</x:v>
      </x:c>
      <x:c r="AL1275" s="19" t="n">
        <x:v>45818.32053302084</x:v>
      </x:c>
      <x:c r="AM1275" s="19" t="n">
        <x:v>45848</x:v>
      </x:c>
      <x:c r="AN1275" s="15" t="str">
        <x:v>Пожежогасіння</x:v>
      </x:c>
      <x:c r="AO1275" s="15" t="str">
        <x:v>not_found_in_top_search</x:v>
      </x:c>
    </x:row>
    <x:row r="1276">
      <x:c r="A1276" s="14" t="str">
        <x:v>W4-457</x:v>
      </x:c>
      <x:c r="B1276" s="14" t="str">
        <x:v>Prozorro expansion — 24.08</x:v>
      </x:c>
      <x:c r="C1276" s="14" t="str">
        <x:v>ПП "НАУКОВО ВИРОБНИЧЕ ПІДПРИЄМСТВО "А Г Р О С"</x:v>
      </x:c>
      <x:c r="D1276" s="14" t="str">
        <x:v>Металоконструкції</x:v>
      </x:c>
      <x:c r="E1276" s="14" t="str">
        <x:v>Expansion discovery</x:v>
      </x:c>
      <x:c r="F1276" s="17" t="str">
        <x:v>D3</x:v>
      </x:c>
      <x:c r="G1276" s="14" t="str">
        <x:v>agros.com.ua</x:v>
      </x:c>
      <x:c r="H1276" s="14" t="str">
        <x:v>Discovery розширення — 2 тижні</x:v>
      </x:c>
      <x:c r="I1276" s="16" t="n">
        <x:v>1</x:v>
      </x:c>
      <x:c r="J1276" s="16" t="n">
        <x:v>5</x:v>
      </x:c>
      <x:c r="K1276" s="16" t="n">
        <x:v>5</x:v>
      </x:c>
      <x:c r="L1276" s="16" t="n">
        <x:v>2</x:v>
      </x:c>
      <x:c r="M1276" s="16" t="n">
        <x:v>5</x:v>
      </x:c>
      <x:c r="N1276" s="16" t="n">
        <x:v>5</x:v>
      </x:c>
      <x:c r="O1276" s="16" t="n">
        <x:v>5</x:v>
      </x:c>
      <x:c r="P1276" s="16" t="n">
        <x:f>IF(COUNT(I1276:O1276)&lt;7,"",I1276*8+J1276*3+K1276*2+L1276*2+M1276*2+N1276*2+O1276)</x:f>
        <x:v>62</x:v>
      </x:c>
      <x:c r="Q1276" s="16" t="n">
        <x:f>IF(COUNT(J1276:O1276)&lt;6,"",J1276*5+K1276*4+M1276*4+L1276*3+N1276*2+O1276*2)</x:f>
        <x:v>91</x:v>
      </x:c>
      <x:c r="R1276" s="14" t="str">
        <x:v>high</x:v>
      </x:c>
      <x:c r="S1276" s="14" t="str">
        <x:v>official_prozorro_award_2024_2026</x:v>
      </x:c>
      <x:c r="T1276" s="14" t="str">
        <x:v>official_prozorro_api</x:v>
      </x:c>
      <x:c r="U1276" s="14" t="str">
        <x:v>Не контактували</x:v>
      </x:c>
      <x:c r="V1276" s="15" t="str">
        <x:v>Workflow-audit outreach по UA-2025-04-29-004708-a; попросити 1 пакет здачі та вимоги проєкту</x:v>
      </x:c>
      <x:c r="W1276" s="15" t="str">
        <x:v>Власник / директор; керівник ПТО; відповідальний за договори</x:v>
      </x:c>
      <x:c r="X1276" s="15" t="str">
        <x:v>1 нових підтверджених перемог/договорів у Prozorro на 118 260 грн; 0 зі строком виконання не раніше 24.08.2026.</x:v>
      </x:c>
      <x:c r="Y1276"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 строк до 2025-06-27. Попросити один знеособлений пакет здачі за цим workflow.</x:v>
      </x:c>
      <x:c r="Z1276" s="15" t="str">
        <x:v>https://prozorro.gov.ua/tender/UA-2025-04-29-004708-a</x:v>
      </x:c>
      <x:c r="AA1276" s="14" t="str">
        <x:v>44351699</x:v>
      </x:c>
      <x:c r="AB1276" s="14" t="str">
        <x:v>2026-08-24</x:v>
      </x:c>
      <x:c r="AC1276" s="14" t="str"/>
      <x:c r="AD1276" s="20" t="str"/>
      <x:c r="AE1276" s="14" t="str"/>
      <x:c r="AF1276" s="14" t="n">
        <x:v>34</x:v>
      </x:c>
      <x:c r="AG1276" s="14" t="str">
        <x:v>I3</x:v>
      </x:c>
      <x:c r="AH1276" s="14" t="n">
        <x:v>1</x:v>
      </x:c>
      <x:c r="AI1276" s="14" t="n">
        <x:v>0</x:v>
      </x:c>
      <x:c r="AJ1276" s="18" t="n">
        <x:v>118260</x:v>
      </x:c>
      <x:c r="AK1276" s="14" t="str">
        <x:v>https://prozorro.gov.ua/tender/UA-2025-04-29-004708-a</x:v>
      </x:c>
      <x:c r="AL1276" s="19" t="n">
        <x:v>45785.60513989583</x:v>
      </x:c>
      <x:c r="AM1276" s="19" t="n">
        <x:v>45835</x:v>
      </x:c>
      <x:c r="AN1276" s="15" t="str">
        <x:v>Металоконструкції</x:v>
      </x:c>
      <x:c r="AO1276" s="15" t="str">
        <x:v>supplier_provided_url</x:v>
      </x:c>
    </x:row>
    <x:row r="1277">
      <x:c r="A1277" s="14" t="str">
        <x:v>W4-458</x:v>
      </x:c>
      <x:c r="B1277" s="14" t="str">
        <x:v>Prozorro expansion — 24.08</x:v>
      </x:c>
      <x:c r="C1277" s="14" t="str">
        <x:v>ФОП Цвяк Ірина Вікторівна</x:v>
      </x:c>
      <x:c r="D1277" s="14" t="str">
        <x:v>Благоустрій</x:v>
      </x:c>
      <x:c r="E1277" s="14" t="str">
        <x:v>Expansion discovery</x:v>
      </x:c>
      <x:c r="F1277" s="17" t="str">
        <x:v>D3</x:v>
      </x:c>
      <x:c r="G1277" s="14" t="str"/>
      <x:c r="H1277" s="14" t="str">
        <x:v>Discovery розширення — 2 тижні</x:v>
      </x:c>
      <x:c r="I1277" s="16" t="n">
        <x:v>1</x:v>
      </x:c>
      <x:c r="J1277" s="16" t="n">
        <x:v>5</x:v>
      </x:c>
      <x:c r="K1277" s="16" t="n">
        <x:v>4</x:v>
      </x:c>
      <x:c r="L1277" s="16" t="n">
        <x:v>2</x:v>
      </x:c>
      <x:c r="M1277" s="16" t="n">
        <x:v>5</x:v>
      </x:c>
      <x:c r="N1277" s="16" t="n">
        <x:v>3</x:v>
      </x:c>
      <x:c r="O1277" s="16" t="n">
        <x:v>3</x:v>
      </x:c>
      <x:c r="P1277" s="16" t="n">
        <x:f>IF(COUNT(I1277:O1277)&lt;7,"",I1277*8+J1277*3+K1277*2+L1277*2+M1277*2+N1277*2+O1277)</x:f>
        <x:v>54</x:v>
      </x:c>
      <x:c r="Q1277" s="16" t="n">
        <x:f>IF(COUNT(J1277:O1277)&lt;6,"",J1277*5+K1277*4+M1277*4+L1277*3+N1277*2+O1277*2)</x:f>
        <x:v>79</x:v>
      </x:c>
      <x:c r="R1277" s="14" t="str">
        <x:v>high</x:v>
      </x:c>
      <x:c r="S1277" s="14" t="str">
        <x:v>official_prozorro_award_2024_2026</x:v>
      </x:c>
      <x:c r="T1277" s="14" t="str">
        <x:v>official_prozorro_api</x:v>
      </x:c>
      <x:c r="U1277" s="14" t="str">
        <x:v>Не контактували</x:v>
      </x:c>
      <x:c r="V1277" s="15" t="str">
        <x:v>Workflow-audit outreach по UA-2025-07-21-009448-a; попросити 1 пакет здачі та вимоги проєкту</x:v>
      </x:c>
      <x:c r="W1277" s="15" t="str">
        <x:v>Власник / виконавець; відповідальний за договір</x:v>
      </x:c>
      <x:c r="X1277" s="15" t="str">
        <x:v>1 нових підтверджених перемог/договорів у Prozorro на 314 798 грн; 0 зі строком виконання не раніше 24.08.2026.</x:v>
      </x:c>
      <x:c r="Y1277"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 строк до 2025-12-31. Попросити один знеособлений пакет здачі за цим workflow.</x:v>
      </x:c>
      <x:c r="Z1277" s="15" t="str">
        <x:v>https://prozorro.gov.ua/tender/UA-2025-07-21-009448-a</x:v>
      </x:c>
      <x:c r="AA1277" s="14" t="str">
        <x:v>3031612820</x:v>
      </x:c>
      <x:c r="AB1277" s="14" t="str">
        <x:v>2026-08-24</x:v>
      </x:c>
      <x:c r="AC1277" s="14" t="str"/>
      <x:c r="AD1277" s="20" t="str"/>
      <x:c r="AE1277" s="14" t="str"/>
      <x:c r="AF1277" s="14" t="n">
        <x:v>31</x:v>
      </x:c>
      <x:c r="AG1277" s="14" t="str">
        <x:v>I3</x:v>
      </x:c>
      <x:c r="AH1277" s="14" t="n">
        <x:v>1</x:v>
      </x:c>
      <x:c r="AI1277" s="14" t="n">
        <x:v>0</x:v>
      </x:c>
      <x:c r="AJ1277" s="18" t="n">
        <x:v>314798.05</x:v>
      </x:c>
      <x:c r="AK1277" s="14" t="str">
        <x:v>https://prozorro.gov.ua/tender/UA-2025-07-21-009448-a</x:v>
      </x:c>
      <x:c r="AL1277" s="19" t="n">
        <x:v>45859.56681482639</x:v>
      </x:c>
      <x:c r="AM1277" s="19" t="n">
        <x:v>46022.60895833333</x:v>
      </x:c>
      <x:c r="AN1277" s="15" t="str">
        <x:v>Благоустрій</x:v>
      </x:c>
      <x:c r="AO1277" s="15" t="str">
        <x:v>not_found_in_top_search</x:v>
      </x:c>
    </x:row>
    <x:row r="1278">
      <x:c r="A1278" s="14" t="str">
        <x:v>W4-459</x:v>
      </x:c>
      <x:c r="B1278" s="14" t="str">
        <x:v>Prozorro expansion — 24.08</x:v>
      </x:c>
      <x:c r="C1278" s="14" t="str">
        <x:v>ФОП "РІЗНООКА ТЕТЯНА МИКОЛАЇВНА"</x:v>
      </x:c>
      <x:c r="D1278" s="14" t="str">
        <x:v>Металоконструкції</x:v>
      </x:c>
      <x:c r="E1278" s="14" t="str">
        <x:v>Expansion discovery</x:v>
      </x:c>
      <x:c r="F1278" s="17" t="str">
        <x:v>D3</x:v>
      </x:c>
      <x:c r="G1278" s="14" t="str"/>
      <x:c r="H1278" s="14" t="str">
        <x:v>Discovery розширення — 2 тижні</x:v>
      </x:c>
      <x:c r="I1278" s="16" t="n">
        <x:v>1</x:v>
      </x:c>
      <x:c r="J1278" s="16" t="n">
        <x:v>5</x:v>
      </x:c>
      <x:c r="K1278" s="16" t="n">
        <x:v>5</x:v>
      </x:c>
      <x:c r="L1278" s="16" t="n">
        <x:v>2</x:v>
      </x:c>
      <x:c r="M1278" s="16" t="n">
        <x:v>5</x:v>
      </x:c>
      <x:c r="N1278" s="16" t="n">
        <x:v>3</x:v>
      </x:c>
      <x:c r="O1278" s="16" t="n">
        <x:v>3</x:v>
      </x:c>
      <x:c r="P1278" s="16" t="n">
        <x:f>IF(COUNT(I1278:O1278)&lt;7,"",I1278*8+J1278*3+K1278*2+L1278*2+M1278*2+N1278*2+O1278)</x:f>
        <x:v>56</x:v>
      </x:c>
      <x:c r="Q1278" s="16" t="n">
        <x:f>IF(COUNT(J1278:O1278)&lt;6,"",J1278*5+K1278*4+M1278*4+L1278*3+N1278*2+O1278*2)</x:f>
        <x:v>83</x:v>
      </x:c>
      <x:c r="R1278" s="14" t="str">
        <x:v>high</x:v>
      </x:c>
      <x:c r="S1278" s="14" t="str">
        <x:v>official_prozorro_award_2024_2026</x:v>
      </x:c>
      <x:c r="T1278" s="14" t="str">
        <x:v>official_prozorro_api</x:v>
      </x:c>
      <x:c r="U1278" s="14" t="str">
        <x:v>Не контактували</x:v>
      </x:c>
      <x:c r="V1278" s="15" t="str">
        <x:v>Workflow-audit outreach по UA-2025-12-04-015374-a; попросити 1 пакет здачі та вимоги проєкту</x:v>
      </x:c>
      <x:c r="W1278" s="15" t="str">
        <x:v>Власник / виконавець; відповідальний за договір</x:v>
      </x:c>
      <x:c r="X1278" s="15" t="str">
        <x:v>1 нових підтверджених перемог/договорів у Prozorro на 281 602 грн; 0 зі строком виконання не раніше 24.08.2026.</x:v>
      </x:c>
      <x:c r="Y1278"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 строк до 2025-12-31. Попросити один знеособлений пакет здачі за цим workflow.</x:v>
      </x:c>
      <x:c r="Z1278" s="15" t="str">
        <x:v>https://prozorro.gov.ua/tender/UA-2025-12-04-015374-a</x:v>
      </x:c>
      <x:c r="AA1278" s="14" t="str">
        <x:v>2521305886</x:v>
      </x:c>
      <x:c r="AB1278" s="14" t="str">
        <x:v>2026-08-24</x:v>
      </x:c>
      <x:c r="AC1278" s="14" t="str"/>
      <x:c r="AD1278" s="20" t="str"/>
      <x:c r="AE1278" s="14" t="str"/>
      <x:c r="AF1278" s="14" t="n">
        <x:v>31</x:v>
      </x:c>
      <x:c r="AG1278" s="14" t="str">
        <x:v>I3</x:v>
      </x:c>
      <x:c r="AH1278" s="14" t="n">
        <x:v>1</x:v>
      </x:c>
      <x:c r="AI1278" s="14" t="n">
        <x:v>0</x:v>
      </x:c>
      <x:c r="AJ1278" s="18" t="n">
        <x:v>281602.41</x:v>
      </x:c>
      <x:c r="AK1278" s="14" t="str">
        <x:v>https://prozorro.gov.ua/tender/UA-2025-12-04-015374-a</x:v>
      </x:c>
      <x:c r="AL1278" s="19" t="n">
        <x:v>46003.47208690972</x:v>
      </x:c>
      <x:c r="AM1278" s="19" t="n">
        <x:v>46022.55572916667</x:v>
      </x:c>
      <x:c r="AN1278" s="15" t="str">
        <x:v>Металоконструкції</x:v>
      </x:c>
      <x:c r="AO1278" s="15" t="str">
        <x:v>not_found_in_top_search</x:v>
      </x:c>
    </x:row>
    <x:row r="1279">
      <x:c r="A1279" s="14" t="str">
        <x:v>W4-460</x:v>
      </x:c>
      <x:c r="B1279" s="14" t="str">
        <x:v>Prozorro expansion — 24.08</x:v>
      </x:c>
      <x:c r="C1279" s="14" t="str">
        <x:v>ФОП Цвяк Анатолій Якович</x:v>
      </x:c>
      <x:c r="D1279" s="14" t="str">
        <x:v>Благоустрій</x:v>
      </x:c>
      <x:c r="E1279" s="14" t="str">
        <x:v>Expansion discovery</x:v>
      </x:c>
      <x:c r="F1279" s="17" t="str">
        <x:v>D3</x:v>
      </x:c>
      <x:c r="G1279" s="14" t="str"/>
      <x:c r="H1279" s="14" t="str">
        <x:v>Discovery розширення — 2 тижні</x:v>
      </x:c>
      <x:c r="I1279" s="16" t="n">
        <x:v>1</x:v>
      </x:c>
      <x:c r="J1279" s="16" t="n">
        <x:v>5</x:v>
      </x:c>
      <x:c r="K1279" s="16" t="n">
        <x:v>4</x:v>
      </x:c>
      <x:c r="L1279" s="16" t="n">
        <x:v>2</x:v>
      </x:c>
      <x:c r="M1279" s="16" t="n">
        <x:v>5</x:v>
      </x:c>
      <x:c r="N1279" s="16" t="n">
        <x:v>3</x:v>
      </x:c>
      <x:c r="O1279" s="16" t="n">
        <x:v>3</x:v>
      </x:c>
      <x:c r="P1279" s="16" t="n">
        <x:f>IF(COUNT(I1279:O1279)&lt;7,"",I1279*8+J1279*3+K1279*2+L1279*2+M1279*2+N1279*2+O1279)</x:f>
        <x:v>54</x:v>
      </x:c>
      <x:c r="Q1279" s="16" t="n">
        <x:f>IF(COUNT(J1279:O1279)&lt;6,"",J1279*5+K1279*4+M1279*4+L1279*3+N1279*2+O1279*2)</x:f>
        <x:v>79</x:v>
      </x:c>
      <x:c r="R1279" s="14" t="str">
        <x:v>high</x:v>
      </x:c>
      <x:c r="S1279" s="14" t="str">
        <x:v>official_prozorro_award_2024_2026</x:v>
      </x:c>
      <x:c r="T1279" s="14" t="str">
        <x:v>official_prozorro_api</x:v>
      </x:c>
      <x:c r="U1279" s="14" t="str">
        <x:v>Не контактували</x:v>
      </x:c>
      <x:c r="V1279" s="15" t="str">
        <x:v>Workflow-audit outreach по UA-2025-04-17-010835-a; попросити 1 пакет здачі та вимоги проєкту</x:v>
      </x:c>
      <x:c r="W1279" s="15" t="str">
        <x:v>Власник / виконавець; відповідальний за договір</x:v>
      </x:c>
      <x:c r="X1279" s="15" t="str">
        <x:v>1 нових підтверджених перемог/договорів у Prozorro на 276 495 грн; 0 зі строком виконання не раніше 24.08.2026.</x:v>
      </x:c>
      <x:c r="Y1279"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 строк до 2025-12-31. Попросити один знеособлений пакет здачі за цим workflow.</x:v>
      </x:c>
      <x:c r="Z1279" s="15" t="str">
        <x:v>https://prozorro.gov.ua/tender/UA-2025-04-17-010835-a</x:v>
      </x:c>
      <x:c r="AA1279" s="14" t="str">
        <x:v>1980022614</x:v>
      </x:c>
      <x:c r="AB1279" s="14" t="str">
        <x:v>2026-08-24</x:v>
      </x:c>
      <x:c r="AC1279" s="14" t="str"/>
      <x:c r="AD1279" s="20" t="str"/>
      <x:c r="AE1279" s="14" t="str"/>
      <x:c r="AF1279" s="14" t="n">
        <x:v>31</x:v>
      </x:c>
      <x:c r="AG1279" s="14" t="str">
        <x:v>I3</x:v>
      </x:c>
      <x:c r="AH1279" s="14" t="n">
        <x:v>1</x:v>
      </x:c>
      <x:c r="AI1279" s="14" t="n">
        <x:v>0</x:v>
      </x:c>
      <x:c r="AJ1279" s="18" t="n">
        <x:v>276495.38</x:v>
      </x:c>
      <x:c r="AK1279" s="14" t="str">
        <x:v>https://prozorro.gov.ua/tender/UA-2025-04-17-010835-a</x:v>
      </x:c>
      <x:c r="AL1279" s="19" t="n">
        <x:v>45764.58634228009</x:v>
      </x:c>
      <x:c r="AM1279" s="19" t="n">
        <x:v>46022.62646990741</x:v>
      </x:c>
      <x:c r="AN1279" s="15" t="str">
        <x:v>Благоустрій</x:v>
      </x:c>
      <x:c r="AO1279" s="15" t="str">
        <x:v>not_found_in_top_search</x:v>
      </x:c>
    </x:row>
    <x:row r="1280">
      <x:c r="A1280" s="14" t="str">
        <x:v>W4-461</x:v>
      </x:c>
      <x:c r="B1280" s="14" t="str">
        <x:v>Prozorro expansion — 24.08</x:v>
      </x:c>
      <x:c r="C1280" s="14" t="str">
        <x:v>ФОП Березовський Олег Вікторович</x:v>
      </x:c>
      <x:c r="D1280" s="14" t="str">
        <x:v>Металоконструкції</x:v>
      </x:c>
      <x:c r="E1280" s="14" t="str">
        <x:v>Expansion discovery</x:v>
      </x:c>
      <x:c r="F1280" s="17" t="str">
        <x:v>D3</x:v>
      </x:c>
      <x:c r="G1280" s="14" t="str"/>
      <x:c r="H1280" s="14" t="str">
        <x:v>Discovery розширення — 2 тижні</x:v>
      </x:c>
      <x:c r="I1280" s="16" t="n">
        <x:v>1</x:v>
      </x:c>
      <x:c r="J1280" s="16" t="n">
        <x:v>5</x:v>
      </x:c>
      <x:c r="K1280" s="16" t="n">
        <x:v>5</x:v>
      </x:c>
      <x:c r="L1280" s="16" t="n">
        <x:v>2</x:v>
      </x:c>
      <x:c r="M1280" s="16" t="n">
        <x:v>5</x:v>
      </x:c>
      <x:c r="N1280" s="16" t="n">
        <x:v>3</x:v>
      </x:c>
      <x:c r="O1280" s="16" t="n">
        <x:v>3</x:v>
      </x:c>
      <x:c r="P1280" s="16" t="n">
        <x:f>IF(COUNT(I1280:O1280)&lt;7,"",I1280*8+J1280*3+K1280*2+L1280*2+M1280*2+N1280*2+O1280)</x:f>
        <x:v>56</x:v>
      </x:c>
      <x:c r="Q1280" s="16" t="n">
        <x:f>IF(COUNT(J1280:O1280)&lt;6,"",J1280*5+K1280*4+M1280*4+L1280*3+N1280*2+O1280*2)</x:f>
        <x:v>83</x:v>
      </x:c>
      <x:c r="R1280" s="14" t="str">
        <x:v>high</x:v>
      </x:c>
      <x:c r="S1280" s="14" t="str">
        <x:v>official_prozorro_award_2024_2026</x:v>
      </x:c>
      <x:c r="T1280" s="14" t="str">
        <x:v>official_prozorro_api</x:v>
      </x:c>
      <x:c r="U1280" s="14" t="str">
        <x:v>Не контактували</x:v>
      </x:c>
      <x:c r="V1280" s="15" t="str">
        <x:v>Workflow-audit outreach по UA-2025-12-22-016727-a; попросити 1 пакет здачі та вимоги проєкту</x:v>
      </x:c>
      <x:c r="W1280" s="15" t="str">
        <x:v>Власник / виконавець; відповідальний за договір</x:v>
      </x:c>
      <x:c r="X1280" s="15" t="str">
        <x:v>1 нових підтверджених перемог/договорів у Prozorro на 202 000 грн; 0 зі строком виконання не раніше 24.08.2026.</x:v>
      </x:c>
      <x:c r="Y1280" s="15" t="str">
        <x:v>Послуги з монтажу металоконструкцій для Алеї слави (Державний бюджет); строк до 2025-12-24. Попросити один знеособлений пакет здачі за цим workflow.</x:v>
      </x:c>
      <x:c r="Z1280" s="15" t="str">
        <x:v>https://prozorro.gov.ua/tender/UA-2025-12-22-016727-a</x:v>
      </x:c>
      <x:c r="AA1280" s="14" t="str">
        <x:v>2186218916</x:v>
      </x:c>
      <x:c r="AB1280" s="14" t="str">
        <x:v>2026-08-24</x:v>
      </x:c>
      <x:c r="AC1280" s="14" t="str"/>
      <x:c r="AD1280" s="20" t="str"/>
      <x:c r="AE1280" s="14" t="str"/>
      <x:c r="AF1280" s="14" t="n">
        <x:v>31</x:v>
      </x:c>
      <x:c r="AG1280" s="14" t="str">
        <x:v>I3</x:v>
      </x:c>
      <x:c r="AH1280" s="14" t="n">
        <x:v>1</x:v>
      </x:c>
      <x:c r="AI1280" s="14" t="n">
        <x:v>0</x:v>
      </x:c>
      <x:c r="AJ1280" s="18" t="n">
        <x:v>202000</x:v>
      </x:c>
      <x:c r="AK1280" s="14" t="str">
        <x:v>https://prozorro.gov.ua/tender/UA-2025-12-22-016727-a</x:v>
      </x:c>
      <x:c r="AL1280" s="19" t="n">
        <x:v>46013.5662622338</x:v>
      </x:c>
      <x:c r="AM1280" s="19" t="n">
        <x:v>46015.56748842593</x:v>
      </x:c>
      <x:c r="AN1280" s="15" t="str">
        <x:v>Металоконструкції</x:v>
      </x:c>
      <x:c r="AO1280" s="15" t="str">
        <x:v>not_found_in_top_search</x:v>
      </x:c>
    </x:row>
    <x:row r="1281">
      <x:c r="A1281" s="14" t="str">
        <x:v>W4-462</x:v>
      </x:c>
      <x:c r="B1281" s="14" t="str">
        <x:v>Prozorro expansion — 24.08</x:v>
      </x:c>
      <x:c r="C1281" s="14" t="str">
        <x:v>ФОП Ющук Олег Володимирович</x:v>
      </x:c>
      <x:c r="D1281" s="14" t="str">
        <x:v>Зливова каналізація / дренаж</x:v>
      </x:c>
      <x:c r="E1281" s="14" t="str">
        <x:v>Expansion discovery</x:v>
      </x:c>
      <x:c r="F1281" s="17" t="str">
        <x:v>D3</x:v>
      </x:c>
      <x:c r="G1281" s="14" t="str"/>
      <x:c r="H1281" s="14" t="str">
        <x:v>Discovery розширення — 2 тижні</x:v>
      </x:c>
      <x:c r="I1281" s="16" t="n">
        <x:v>1</x:v>
      </x:c>
      <x:c r="J1281" s="16" t="n">
        <x:v>5</x:v>
      </x:c>
      <x:c r="K1281" s="16" t="n">
        <x:v>5</x:v>
      </x:c>
      <x:c r="L1281" s="16" t="n">
        <x:v>2</x:v>
      </x:c>
      <x:c r="M1281" s="16" t="n">
        <x:v>5</x:v>
      </x:c>
      <x:c r="N1281" s="16" t="n">
        <x:v>3</x:v>
      </x:c>
      <x:c r="O1281" s="16" t="n">
        <x:v>3</x:v>
      </x:c>
      <x:c r="P1281" s="16" t="n">
        <x:f>IF(COUNT(I1281:O1281)&lt;7,"",I1281*8+J1281*3+K1281*2+L1281*2+M1281*2+N1281*2+O1281)</x:f>
        <x:v>56</x:v>
      </x:c>
      <x:c r="Q1281" s="16" t="n">
        <x:f>IF(COUNT(J1281:O1281)&lt;6,"",J1281*5+K1281*4+M1281*4+L1281*3+N1281*2+O1281*2)</x:f>
        <x:v>83</x:v>
      </x:c>
      <x:c r="R1281" s="14" t="str">
        <x:v>high</x:v>
      </x:c>
      <x:c r="S1281" s="14" t="str">
        <x:v>official_prozorro_award_2024_2026</x:v>
      </x:c>
      <x:c r="T1281" s="14" t="str">
        <x:v>official_prozorro_api</x:v>
      </x:c>
      <x:c r="U1281" s="14" t="str">
        <x:v>Не контактували</x:v>
      </x:c>
      <x:c r="V1281" s="15" t="str">
        <x:v>Workflow-audit outreach по UA-2025-08-06-000380-a; попросити 1 пакет здачі та вимоги проєкту</x:v>
      </x:c>
      <x:c r="W1281" s="15" t="str">
        <x:v>Власник / виконавець; відповідальний за договір</x:v>
      </x:c>
      <x:c r="X1281" s="15" t="str">
        <x:v>1 нових підтверджених перемог/договорів у Prozorro на 130 008 грн; 0 зі строком виконання не раніше 24.08.2026.</x:v>
      </x:c>
      <x:c r="Y1281" s="15" t="str">
        <x:v>Послуги з благоустрою населених пунктів – поточний ремонт колектора зливової каналізації в р-ні буд. №16/1 на вул. П. Мирного в м. Хмельницькому; строк до 2025-08-31. Попросити один знеособлений пакет здачі за цим workflow.</x:v>
      </x:c>
      <x:c r="Z1281" s="15" t="str">
        <x:v>https://prozorro.gov.ua/tender/UA-2025-08-06-000380-a</x:v>
      </x:c>
      <x:c r="AA1281" s="14" t="str">
        <x:v>2748714471</x:v>
      </x:c>
      <x:c r="AB1281" s="14" t="str">
        <x:v>2026-08-24</x:v>
      </x:c>
      <x:c r="AC1281" s="14" t="str"/>
      <x:c r="AD1281" s="20" t="str"/>
      <x:c r="AE1281" s="14" t="str"/>
      <x:c r="AF1281" s="14" t="n">
        <x:v>31</x:v>
      </x:c>
      <x:c r="AG1281" s="14" t="str">
        <x:v>I3</x:v>
      </x:c>
      <x:c r="AH1281" s="14" t="n">
        <x:v>1</x:v>
      </x:c>
      <x:c r="AI1281" s="14" t="n">
        <x:v>0</x:v>
      </x:c>
      <x:c r="AJ1281" s="18" t="n">
        <x:v>130007.72</x:v>
      </x:c>
      <x:c r="AK1281" s="14" t="str">
        <x:v>https://prozorro.gov.ua/tender/UA-2025-08-06-000380-a</x:v>
      </x:c>
      <x:c r="AL1281" s="19" t="n">
        <x:v>45875.24893554398</x:v>
      </x:c>
      <x:c r="AM1281" s="19" t="n">
        <x:v>45900.246087962965</x:v>
      </x:c>
      <x:c r="AN1281" s="15" t="str">
        <x:v>Зливова каналізація / дренаж</x:v>
      </x:c>
      <x:c r="AO1281" s="15" t="str">
        <x:v>not_found_in_top_search</x:v>
      </x:c>
    </x:row>
    <x:row r="1282">
      <x:c r="A1282" s="14" t="str">
        <x:v>W4-463</x:v>
      </x:c>
      <x:c r="B1282" s="14" t="str">
        <x:v>Prozorro expansion — 24.08</x:v>
      </x:c>
      <x:c r="C1282" s="14" t="str">
        <x:v>ТОВАРИСТВО З ОБМЕЖЕНОЮ ВІДПОВІДАЛЬНІСТЮ "АСК-ПРОФІ"</x:v>
      </x:c>
      <x:c r="D1282" s="14" t="str">
        <x:v>Пожежогасіння</x:v>
      </x:c>
      <x:c r="E1282" s="14" t="str">
        <x:v>Expansion discovery</x:v>
      </x:c>
      <x:c r="F1282" s="17" t="str">
        <x:v>D3</x:v>
      </x:c>
      <x:c r="G1282" s="14" t="str"/>
      <x:c r="H1282" s="14" t="str">
        <x:v>Discovery розширення — 2 тижні</x:v>
      </x:c>
      <x:c r="I1282" s="16" t="n">
        <x:v>1</x:v>
      </x:c>
      <x:c r="J1282" s="16" t="n">
        <x:v>5</x:v>
      </x:c>
      <x:c r="K1282" s="16" t="n">
        <x:v>5</x:v>
      </x:c>
      <x:c r="L1282" s="16" t="n">
        <x:v>2</x:v>
      </x:c>
      <x:c r="M1282" s="16" t="n">
        <x:v>5</x:v>
      </x:c>
      <x:c r="N1282" s="16" t="n">
        <x:v>5</x:v>
      </x:c>
      <x:c r="O1282" s="16" t="n">
        <x:v>3</x:v>
      </x:c>
      <x:c r="P1282" s="16" t="n">
        <x:f>IF(COUNT(I1282:O1282)&lt;7,"",I1282*8+J1282*3+K1282*2+L1282*2+M1282*2+N1282*2+O1282)</x:f>
        <x:v>60</x:v>
      </x:c>
      <x:c r="Q1282" s="16" t="n">
        <x:f>IF(COUNT(J1282:O1282)&lt;6,"",J1282*5+K1282*4+M1282*4+L1282*3+N1282*2+O1282*2)</x:f>
        <x:v>87</x:v>
      </x:c>
      <x:c r="R1282" s="14" t="str">
        <x:v>high</x:v>
      </x:c>
      <x:c r="S1282" s="14" t="str">
        <x:v>official_prozorro_award_2024_2026</x:v>
      </x:c>
      <x:c r="T1282" s="14" t="str">
        <x:v>official_prozorro_api</x:v>
      </x:c>
      <x:c r="U1282" s="14" t="str">
        <x:v>Не контактували</x:v>
      </x:c>
      <x:c r="V1282" s="15" t="str">
        <x:v>Workflow-audit outreach по UA-2024-07-04-009997-a; попросити 1 пакет здачі та вимоги проєкту</x:v>
      </x:c>
      <x:c r="W1282" s="15" t="str">
        <x:v>Власник / директор; керівник ПТО; відповідальний за договори</x:v>
      </x:c>
      <x:c r="X1282" s="15" t="str">
        <x:v>1 нових підтверджених перемог/договорів у Prozorro на 337 828 грн; 0 зі строком виконання не раніше 24.08.2026.</x:v>
      </x:c>
      <x:c r="Y1282"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 строк до 2024-09-30. Попросити один знеособлений пакет здачі за цим workflow.</x:v>
      </x:c>
      <x:c r="Z1282" s="15" t="str">
        <x:v>https://prozorro.gov.ua/tender/UA-2024-07-04-009997-a</x:v>
      </x:c>
      <x:c r="AA1282" s="14" t="str">
        <x:v>35378249</x:v>
      </x:c>
      <x:c r="AB1282" s="14" t="str">
        <x:v>2026-08-24</x:v>
      </x:c>
      <x:c r="AC1282" s="14" t="str"/>
      <x:c r="AD1282" s="20" t="str"/>
      <x:c r="AE1282" s="14" t="str"/>
      <x:c r="AF1282" s="14" t="n">
        <x:v>30</x:v>
      </x:c>
      <x:c r="AG1282" s="14" t="str">
        <x:v>I3</x:v>
      </x:c>
      <x:c r="AH1282" s="14" t="n">
        <x:v>1</x:v>
      </x:c>
      <x:c r="AI1282" s="14" t="n">
        <x:v>0</x:v>
      </x:c>
      <x:c r="AJ1282" s="18" t="n">
        <x:v>337828.24</x:v>
      </x:c>
      <x:c r="AK1282" s="14" t="str">
        <x:v>https://prozorro.gov.ua/tender/UA-2024-07-04-009997-a</x:v>
      </x:c>
      <x:c r="AL1282" s="19" t="n">
        <x:v>45495.47177483796</x:v>
      </x:c>
      <x:c r="AM1282" s="19" t="n">
        <x:v>45565</x:v>
      </x:c>
      <x:c r="AN1282" s="15" t="str">
        <x:v>Пожежогасіння</x:v>
      </x:c>
      <x:c r="AO1282" s="15" t="str">
        <x:v>not_found_in_top_search</x:v>
      </x:c>
    </x:row>
    <x:row r="1283">
      <x:c r="A1283" s="14" t="str">
        <x:v>W4-464</x:v>
      </x:c>
      <x:c r="B1283" s="14" t="str">
        <x:v>Prozorro expansion — 24.08</x:v>
      </x:c>
      <x:c r="C1283" s="14" t="str">
        <x:v>ТОВАРИСТВО З ОБМЕЖЕНОЮ ВІДПОВІДАЛЬНІСТЮ "НАУКОВО-ВИРОБНИЧЕ ПІДПРИЄМСТВО "СИСТЕМИ ЗАХИСТУ"</x:v>
      </x:c>
      <x:c r="D1283" s="14" t="str">
        <x:v>Пасивний вогнезахист</x:v>
      </x:c>
      <x:c r="E1283" s="14" t="str">
        <x:v>Expansion discovery</x:v>
      </x:c>
      <x:c r="F1283" s="17" t="str">
        <x:v>D3</x:v>
      </x:c>
      <x:c r="G1283" s="14" t="str"/>
      <x:c r="H1283" s="14" t="str">
        <x:v>Discovery розширення — 2 тижні</x:v>
      </x:c>
      <x:c r="I1283" s="16" t="n">
        <x:v>1</x:v>
      </x:c>
      <x:c r="J1283" s="16" t="n">
        <x:v>5</x:v>
      </x:c>
      <x:c r="K1283" s="16" t="n">
        <x:v>5</x:v>
      </x:c>
      <x:c r="L1283" s="16" t="n">
        <x:v>2</x:v>
      </x:c>
      <x:c r="M1283" s="16" t="n">
        <x:v>5</x:v>
      </x:c>
      <x:c r="N1283" s="16" t="n">
        <x:v>5</x:v>
      </x:c>
      <x:c r="O1283" s="16" t="n">
        <x:v>3</x:v>
      </x:c>
      <x:c r="P1283" s="16" t="n">
        <x:f>IF(COUNT(I1283:O1283)&lt;7,"",I1283*8+J1283*3+K1283*2+L1283*2+M1283*2+N1283*2+O1283)</x:f>
        <x:v>60</x:v>
      </x:c>
      <x:c r="Q1283" s="16" t="n">
        <x:f>IF(COUNT(J1283:O1283)&lt;6,"",J1283*5+K1283*4+M1283*4+L1283*3+N1283*2+O1283*2)</x:f>
        <x:v>87</x:v>
      </x:c>
      <x:c r="R1283" s="14" t="str">
        <x:v>high</x:v>
      </x:c>
      <x:c r="S1283" s="14" t="str">
        <x:v>official_prozorro_award_2024_2026</x:v>
      </x:c>
      <x:c r="T1283" s="14" t="str">
        <x:v>official_prozorro_api</x:v>
      </x:c>
      <x:c r="U1283" s="14" t="str">
        <x:v>Не контактували</x:v>
      </x:c>
      <x:c r="V1283" s="15" t="str">
        <x:v>Workflow-audit outreach по UA-2024-12-11-019431-a; попросити 1 пакет здачі та вимоги проєкту</x:v>
      </x:c>
      <x:c r="W1283" s="15" t="str">
        <x:v>Власник / директор; керівник ПТО; відповідальний за договори</x:v>
      </x:c>
      <x:c r="X1283" s="15" t="str">
        <x:v>1 нових підтверджених перемог/договорів у Prozorro на 224 669 грн; 0 зі строком виконання не раніше 24.08.2026.</x:v>
      </x:c>
      <x:c r="Y1283"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 строк до 2024-12-25. Попросити один знеособлений пакет здачі за цим workflow.</x:v>
      </x:c>
      <x:c r="Z1283" s="15" t="str">
        <x:v>https://prozorro.gov.ua/tender/UA-2024-12-11-019431-a</x:v>
      </x:c>
      <x:c r="AA1283" s="14" t="str">
        <x:v>42945066</x:v>
      </x:c>
      <x:c r="AB1283" s="14" t="str">
        <x:v>2026-08-24</x:v>
      </x:c>
      <x:c r="AC1283" s="14" t="str"/>
      <x:c r="AD1283" s="20" t="str"/>
      <x:c r="AE1283" s="14" t="str"/>
      <x:c r="AF1283" s="14" t="n">
        <x:v>30</x:v>
      </x:c>
      <x:c r="AG1283" s="14" t="str">
        <x:v>I3</x:v>
      </x:c>
      <x:c r="AH1283" s="14" t="n">
        <x:v>1</x:v>
      </x:c>
      <x:c r="AI1283" s="14" t="n">
        <x:v>0</x:v>
      </x:c>
      <x:c r="AJ1283" s="18" t="n">
        <x:v>224669</x:v>
      </x:c>
      <x:c r="AK1283" s="14" t="str">
        <x:v>https://prozorro.gov.ua/tender/UA-2024-12-11-019431-a</x:v>
      </x:c>
      <x:c r="AL1283" s="19" t="n">
        <x:v>45637.62155076389</x:v>
      </x:c>
      <x:c r="AM1283" s="19" t="n">
        <x:v>45651</x:v>
      </x:c>
      <x:c r="AN1283" s="15" t="str">
        <x:v>Пасивний вогнезахист</x:v>
      </x:c>
      <x:c r="AO1283" s="15" t="str">
        <x:v>not_found_in_top_search</x:v>
      </x:c>
    </x:row>
    <x:row r="1284">
      <x:c r="A1284" s="14" t="str">
        <x:v>W4-465</x:v>
      </x:c>
      <x:c r="B1284" s="14" t="str">
        <x:v>Prozorro expansion — 24.08</x:v>
      </x:c>
      <x:c r="C1284" s="14" t="str">
        <x:v>ТОВАРИСТВО З ОБМЕЖЕНОЮ ВІДПОВІДАЛЬНІСТЮ ТОРГІВЕЛЬНИЙ ДІМ "БУДПОСТАЧ-СХІД"</x:v>
      </x:c>
      <x:c r="D1284" s="14" t="str">
        <x:v>Покрівлі та гідроізоляція</x:v>
      </x:c>
      <x:c r="E1284" s="14" t="str">
        <x:v>Expansion discovery</x:v>
      </x:c>
      <x:c r="F1284" s="17" t="str">
        <x:v>D3</x:v>
      </x:c>
      <x:c r="G1284" s="14" t="str"/>
      <x:c r="H1284" s="14" t="str">
        <x:v>Discovery розширення — 2 тижні</x:v>
      </x:c>
      <x:c r="I1284" s="16" t="n">
        <x:v>1</x:v>
      </x:c>
      <x:c r="J1284" s="16" t="n">
        <x:v>5</x:v>
      </x:c>
      <x:c r="K1284" s="16" t="n">
        <x:v>5</x:v>
      </x:c>
      <x:c r="L1284" s="16" t="n">
        <x:v>2</x:v>
      </x:c>
      <x:c r="M1284" s="16" t="n">
        <x:v>5</x:v>
      </x:c>
      <x:c r="N1284" s="16" t="n">
        <x:v>5</x:v>
      </x:c>
      <x:c r="O1284" s="16" t="n">
        <x:v>3</x:v>
      </x:c>
      <x:c r="P1284" s="16" t="n">
        <x:f>IF(COUNT(I1284:O1284)&lt;7,"",I1284*8+J1284*3+K1284*2+L1284*2+M1284*2+N1284*2+O1284)</x:f>
        <x:v>60</x:v>
      </x:c>
      <x:c r="Q1284" s="16" t="n">
        <x:f>IF(COUNT(J1284:O1284)&lt;6,"",J1284*5+K1284*4+M1284*4+L1284*3+N1284*2+O1284*2)</x:f>
        <x:v>87</x:v>
      </x:c>
      <x:c r="R1284" s="14" t="str">
        <x:v>high</x:v>
      </x:c>
      <x:c r="S1284" s="14" t="str">
        <x:v>official_prozorro_award_2024_2026</x:v>
      </x:c>
      <x:c r="T1284" s="14" t="str">
        <x:v>official_prozorro_api</x:v>
      </x:c>
      <x:c r="U1284" s="14" t="str">
        <x:v>Не контактували</x:v>
      </x:c>
      <x:c r="V1284" s="15" t="str">
        <x:v>Workflow-audit outreach по UA-2024-08-07-011740-a; попросити 1 пакет здачі та вимоги проєкту</x:v>
      </x:c>
      <x:c r="W1284" s="15" t="str">
        <x:v>Власник / директор; керівник ПТО; відповідальний за договори</x:v>
      </x:c>
      <x:c r="X1284" s="15" t="str">
        <x:v>1 нових підтверджених перемог/договорів у Prozorro на 217 875 грн; 0 зі строком виконання не раніше 24.08.2026.</x:v>
      </x:c>
      <x:c r="Y1284"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 строк до 2024-09-01. Попросити один знеособлений пакет здачі за цим workflow.</x:v>
      </x:c>
      <x:c r="Z1284" s="15" t="str">
        <x:v>https://prozorro.gov.ua/tender/UA-2024-08-07-011740-a</x:v>
      </x:c>
      <x:c r="AA1284" s="14" t="str">
        <x:v>40700103</x:v>
      </x:c>
      <x:c r="AB1284" s="14" t="str">
        <x:v>2026-08-24</x:v>
      </x:c>
      <x:c r="AC1284" s="14" t="str"/>
      <x:c r="AD1284" s="20" t="str"/>
      <x:c r="AE1284" s="14" t="str"/>
      <x:c r="AF1284" s="14" t="n">
        <x:v>30</x:v>
      </x:c>
      <x:c r="AG1284" s="14" t="str">
        <x:v>I3</x:v>
      </x:c>
      <x:c r="AH1284" s="14" t="n">
        <x:v>1</x:v>
      </x:c>
      <x:c r="AI1284" s="14" t="n">
        <x:v>0</x:v>
      </x:c>
      <x:c r="AJ1284" s="18" t="n">
        <x:v>217875</x:v>
      </x:c>
      <x:c r="AK1284" s="14" t="str">
        <x:v>https://prozorro.gov.ua/tender/UA-2024-08-07-011740-a</x:v>
      </x:c>
      <x:c r="AL1284" s="19" t="n">
        <x:v>45525.34562846065</x:v>
      </x:c>
      <x:c r="AM1284" s="19" t="n">
        <x:v>45536</x:v>
      </x:c>
      <x:c r="AN1284" s="15" t="str">
        <x:v>Покрівлі та гідроізоляція</x:v>
      </x:c>
      <x:c r="AO1284" s="15" t="str">
        <x:v>not_found_in_top_search</x:v>
      </x:c>
    </x:row>
    <x:row r="1285">
      <x:c r="A1285" s="14" t="str">
        <x:v>W4-466</x:v>
      </x:c>
      <x:c r="B1285" s="14" t="str">
        <x:v>Prozorro expansion — 24.08</x:v>
      </x:c>
      <x:c r="C1285" s="14" t="str">
        <x:v>ТОВАРИСТВО З ОБМЕЖЕНОЮ ВІДПОВІДАЛЬНІСТЮ "БЕТОН ПРАЙМ"</x:v>
      </x:c>
      <x:c r="D1285" s="14" t="str">
        <x:v>Покрівлі та гідроізоляція</x:v>
      </x:c>
      <x:c r="E1285" s="14" t="str">
        <x:v>Expansion discovery</x:v>
      </x:c>
      <x:c r="F1285" s="17" t="str">
        <x:v>D3</x:v>
      </x:c>
      <x:c r="G1285" s="14" t="str"/>
      <x:c r="H1285" s="14" t="str">
        <x:v>Discovery розширення — 2 тижні</x:v>
      </x:c>
      <x:c r="I1285" s="16" t="n">
        <x:v>1</x:v>
      </x:c>
      <x:c r="J1285" s="16" t="n">
        <x:v>5</x:v>
      </x:c>
      <x:c r="K1285" s="16" t="n">
        <x:v>5</x:v>
      </x:c>
      <x:c r="L1285" s="16" t="n">
        <x:v>2</x:v>
      </x:c>
      <x:c r="M1285" s="16" t="n">
        <x:v>5</x:v>
      </x:c>
      <x:c r="N1285" s="16" t="n">
        <x:v>5</x:v>
      </x:c>
      <x:c r="O1285" s="16" t="n">
        <x:v>3</x:v>
      </x:c>
      <x:c r="P1285" s="16" t="n">
        <x:f>IF(COUNT(I1285:O1285)&lt;7,"",I1285*8+J1285*3+K1285*2+L1285*2+M1285*2+N1285*2+O1285)</x:f>
        <x:v>60</x:v>
      </x:c>
      <x:c r="Q1285" s="16" t="n">
        <x:f>IF(COUNT(J1285:O1285)&lt;6,"",J1285*5+K1285*4+M1285*4+L1285*3+N1285*2+O1285*2)</x:f>
        <x:v>87</x:v>
      </x:c>
      <x:c r="R1285" s="14" t="str">
        <x:v>high</x:v>
      </x:c>
      <x:c r="S1285" s="14" t="str">
        <x:v>official_prozorro_award_2024_2026</x:v>
      </x:c>
      <x:c r="T1285" s="14" t="str">
        <x:v>official_prozorro_api</x:v>
      </x:c>
      <x:c r="U1285" s="14" t="str">
        <x:v>Не контактували</x:v>
      </x:c>
      <x:c r="V1285" s="15" t="str">
        <x:v>Workflow-audit outreach по UA-2024-04-04-000818-a; попросити 1 пакет здачі та вимоги проєкту</x:v>
      </x:c>
      <x:c r="W1285" s="15" t="str">
        <x:v>Власник / директор; керівник ПТО; відповідальний за договори</x:v>
      </x:c>
      <x:c r="X1285" s="15" t="str">
        <x:v>1 нових підтверджених перемог/договорів у Prozorro на 199 000 грн; 0 зі строком виконання не раніше 24.08.2026.</x:v>
      </x:c>
      <x:c r="Y1285" s="15" t="str">
        <x:v>Поточний ремонт покриття після проведення гідроізоляційних робіт на площі Ринок, в м. Івано-Франківську; строк до 2024-12-31. Попросити один знеособлений пакет здачі за цим workflow.</x:v>
      </x:c>
      <x:c r="Z1285" s="15" t="str">
        <x:v>https://prozorro.gov.ua/tender/UA-2024-04-04-000818-a</x:v>
      </x:c>
      <x:c r="AA1285" s="14" t="str">
        <x:v>41436376</x:v>
      </x:c>
      <x:c r="AB1285" s="14" t="str">
        <x:v>2026-08-24</x:v>
      </x:c>
      <x:c r="AC1285" s="14" t="str"/>
      <x:c r="AD1285" s="20" t="str"/>
      <x:c r="AE1285" s="14" t="str"/>
      <x:c r="AF1285" s="14" t="n">
        <x:v>30</x:v>
      </x:c>
      <x:c r="AG1285" s="14" t="str">
        <x:v>I3</x:v>
      </x:c>
      <x:c r="AH1285" s="14" t="n">
        <x:v>1</x:v>
      </x:c>
      <x:c r="AI1285" s="14" t="n">
        <x:v>0</x:v>
      </x:c>
      <x:c r="AJ1285" s="18" t="n">
        <x:v>199000</x:v>
      </x:c>
      <x:c r="AK1285" s="14" t="str">
        <x:v>https://prozorro.gov.ua/tender/UA-2024-04-04-000818-a</x:v>
      </x:c>
      <x:c r="AL1285" s="19" t="n">
        <x:v>45386.26774908565</x:v>
      </x:c>
      <x:c r="AM1285" s="19" t="n">
        <x:v>45657</x:v>
      </x:c>
      <x:c r="AN1285" s="15" t="str">
        <x:v>Покрівлі та гідроізоляція</x:v>
      </x:c>
      <x:c r="AO1285" s="15" t="str">
        <x:v>not_found_in_top_search</x:v>
      </x:c>
    </x:row>
    <x:row r="1286">
      <x:c r="A1286" s="14" t="str">
        <x:v>W4-467</x:v>
      </x:c>
      <x:c r="B1286" s="14" t="str">
        <x:v>Prozorro expansion — 24.08</x:v>
      </x:c>
      <x:c r="C1286" s="14" t="str">
        <x:v>ТОВ "ДАРІННА"</x:v>
      </x:c>
      <x:c r="D1286" s="14" t="str">
        <x:v>Металоконструкції</x:v>
      </x:c>
      <x:c r="E1286" s="14" t="str">
        <x:v>Expansion discovery</x:v>
      </x:c>
      <x:c r="F1286" s="17" t="str">
        <x:v>D3</x:v>
      </x:c>
      <x:c r="G1286" s="14" t="str"/>
      <x:c r="H1286" s="14" t="str">
        <x:v>Discovery розширення — 2 тижні</x:v>
      </x:c>
      <x:c r="I1286" s="16" t="n">
        <x:v>1</x:v>
      </x:c>
      <x:c r="J1286" s="16" t="n">
        <x:v>5</x:v>
      </x:c>
      <x:c r="K1286" s="16" t="n">
        <x:v>5</x:v>
      </x:c>
      <x:c r="L1286" s="16" t="n">
        <x:v>2</x:v>
      </x:c>
      <x:c r="M1286" s="16" t="n">
        <x:v>5</x:v>
      </x:c>
      <x:c r="N1286" s="16" t="n">
        <x:v>5</x:v>
      </x:c>
      <x:c r="O1286" s="16" t="n">
        <x:v>3</x:v>
      </x:c>
      <x:c r="P1286" s="16" t="n">
        <x:f>IF(COUNT(I1286:O1286)&lt;7,"",I1286*8+J1286*3+K1286*2+L1286*2+M1286*2+N1286*2+O1286)</x:f>
        <x:v>60</x:v>
      </x:c>
      <x:c r="Q1286" s="16" t="n">
        <x:f>IF(COUNT(J1286:O1286)&lt;6,"",J1286*5+K1286*4+M1286*4+L1286*3+N1286*2+O1286*2)</x:f>
        <x:v>87</x:v>
      </x:c>
      <x:c r="R1286" s="14" t="str">
        <x:v>high</x:v>
      </x:c>
      <x:c r="S1286" s="14" t="str">
        <x:v>official_prozorro_award_2024_2026</x:v>
      </x:c>
      <x:c r="T1286" s="14" t="str">
        <x:v>official_prozorro_api</x:v>
      </x:c>
      <x:c r="U1286" s="14" t="str">
        <x:v>Не контактували</x:v>
      </x:c>
      <x:c r="V1286" s="15" t="str">
        <x:v>Workflow-audit outreach по UA-2024-11-30-000337-a; попросити 1 пакет здачі та вимоги проєкту</x:v>
      </x:c>
      <x:c r="W1286" s="15" t="str">
        <x:v>Власник / директор; керівник ПТО; відповідальний за договори</x:v>
      </x:c>
      <x:c r="X1286" s="15" t="str">
        <x:v>1 нових підтверджених перемог/договорів у Prozorro на 148 931 грн; 0 зі строком виконання не раніше 24.08.2026.</x:v>
      </x:c>
      <x:c r="Y1286" s="15" t="str">
        <x:v>Послуги з монтажу і встановлення металоконструкцій; строк до 2024-12-18. Попросити один знеособлений пакет здачі за цим workflow.</x:v>
      </x:c>
      <x:c r="Z1286" s="15" t="str">
        <x:v>https://prozorro.gov.ua/tender/UA-2024-11-30-000337-a</x:v>
      </x:c>
      <x:c r="AA1286" s="14" t="str">
        <x:v>45360369</x:v>
      </x:c>
      <x:c r="AB1286" s="14" t="str">
        <x:v>2026-08-24</x:v>
      </x:c>
      <x:c r="AC1286" s="14" t="str"/>
      <x:c r="AD1286" s="20" t="str"/>
      <x:c r="AE1286" s="14" t="str"/>
      <x:c r="AF1286" s="14" t="n">
        <x:v>30</x:v>
      </x:c>
      <x:c r="AG1286" s="14" t="str">
        <x:v>I3</x:v>
      </x:c>
      <x:c r="AH1286" s="14" t="n">
        <x:v>1</x:v>
      </x:c>
      <x:c r="AI1286" s="14" t="n">
        <x:v>0</x:v>
      </x:c>
      <x:c r="AJ1286" s="18" t="n">
        <x:v>148930.82</x:v>
      </x:c>
      <x:c r="AK1286" s="14" t="str">
        <x:v>https://prozorro.gov.ua/tender/UA-2024-11-30-000337-a</x:v>
      </x:c>
      <x:c r="AL1286" s="19" t="n">
        <x:v>45636.63689729167</x:v>
      </x:c>
      <x:c r="AM1286" s="19" t="n">
        <x:v>45644</x:v>
      </x:c>
      <x:c r="AN1286" s="15" t="str">
        <x:v>Металоконструкції</x:v>
      </x:c>
      <x:c r="AO1286" s="15" t="str">
        <x:v>not_found_in_top_search</x:v>
      </x:c>
    </x:row>
    <x:row r="1287">
      <x:c r="A1287" s="14" t="str">
        <x:v>W4-468</x:v>
      </x:c>
      <x:c r="B1287" s="14" t="str">
        <x:v>Prozorro expansion — 24.08</x:v>
      </x:c>
      <x:c r="C1287" s="14" t="str">
        <x:v>ТОВАРИСТВО З ОБМЕЖЕНОЮ ВІДПОВІДАЛЬНІСТЮ "МЕРЕЖА-БУД"</x:v>
      </x:c>
      <x:c r="D1287" s="14" t="str">
        <x:v>Металоконструкції</x:v>
      </x:c>
      <x:c r="E1287" s="14" t="str">
        <x:v>Expansion discovery</x:v>
      </x:c>
      <x:c r="F1287" s="17" t="str">
        <x:v>D3</x:v>
      </x:c>
      <x:c r="G1287" s="14" t="str"/>
      <x:c r="H1287" s="14" t="str">
        <x:v>Discovery розширення — 2 тижні</x:v>
      </x:c>
      <x:c r="I1287" s="16" t="n">
        <x:v>1</x:v>
      </x:c>
      <x:c r="J1287" s="16" t="n">
        <x:v>5</x:v>
      </x:c>
      <x:c r="K1287" s="16" t="n">
        <x:v>5</x:v>
      </x:c>
      <x:c r="L1287" s="16" t="n">
        <x:v>2</x:v>
      </x:c>
      <x:c r="M1287" s="16" t="n">
        <x:v>5</x:v>
      </x:c>
      <x:c r="N1287" s="16" t="n">
        <x:v>5</x:v>
      </x:c>
      <x:c r="O1287" s="16" t="n">
        <x:v>3</x:v>
      </x:c>
      <x:c r="P1287" s="16" t="n">
        <x:f>IF(COUNT(I1287:O1287)&lt;7,"",I1287*8+J1287*3+K1287*2+L1287*2+M1287*2+N1287*2+O1287)</x:f>
        <x:v>60</x:v>
      </x:c>
      <x:c r="Q1287" s="16" t="n">
        <x:f>IF(COUNT(J1287:O1287)&lt;6,"",J1287*5+K1287*4+M1287*4+L1287*3+N1287*2+O1287*2)</x:f>
        <x:v>87</x:v>
      </x:c>
      <x:c r="R1287" s="14" t="str">
        <x:v>high</x:v>
      </x:c>
      <x:c r="S1287" s="14" t="str">
        <x:v>official_prozorro_award_2024_2026</x:v>
      </x:c>
      <x:c r="T1287" s="14" t="str">
        <x:v>official_prozorro_api</x:v>
      </x:c>
      <x:c r="U1287" s="14" t="str">
        <x:v>Не контактували</x:v>
      </x:c>
      <x:c r="V1287" s="15" t="str">
        <x:v>Workflow-audit outreach по UA-2024-12-11-018474-a; попросити 1 пакет здачі та вимоги проєкту</x:v>
      </x:c>
      <x:c r="W1287" s="15" t="str">
        <x:v>Власник / директор; керівник ПТО; відповідальний за договори</x:v>
      </x:c>
      <x:c r="X1287" s="15" t="str">
        <x:v>1 нових підтверджених перемог/договорів у Prozorro на 143 809 грн; 0 зі строком виконання не раніше 24.08.2026.</x:v>
      </x:c>
      <x:c r="Y1287" s="15" t="str">
        <x:v>ДК 021:2015 44210000-5 Конструкції та їх частини (виготовлення та монтаж металоконструкцій навісу під пандусом для укриття); строк до 2024-12-31. Попросити один знеособлений пакет здачі за цим workflow.</x:v>
      </x:c>
      <x:c r="Z1287" s="15" t="str">
        <x:v>https://prozorro.gov.ua/tender/UA-2024-12-11-018474-a</x:v>
      </x:c>
      <x:c r="AA1287" s="14" t="str">
        <x:v>37949404</x:v>
      </x:c>
      <x:c r="AB1287" s="14" t="str">
        <x:v>2026-08-24</x:v>
      </x:c>
      <x:c r="AC1287" s="14" t="str"/>
      <x:c r="AD1287" s="20" t="str"/>
      <x:c r="AE1287" s="14" t="str"/>
      <x:c r="AF1287" s="14" t="n">
        <x:v>30</x:v>
      </x:c>
      <x:c r="AG1287" s="14" t="str">
        <x:v>I3</x:v>
      </x:c>
      <x:c r="AH1287" s="14" t="n">
        <x:v>1</x:v>
      </x:c>
      <x:c r="AI1287" s="14" t="n">
        <x:v>0</x:v>
      </x:c>
      <x:c r="AJ1287" s="18" t="n">
        <x:v>143808.8</x:v>
      </x:c>
      <x:c r="AK1287" s="14" t="str">
        <x:v>https://prozorro.gov.ua/tender/UA-2024-12-11-018474-a</x:v>
      </x:c>
      <x:c r="AL1287" s="19" t="n">
        <x:v>45638.26799153935</x:v>
      </x:c>
      <x:c r="AM1287" s="19" t="n">
        <x:v>45657</x:v>
      </x:c>
      <x:c r="AN1287" s="15" t="str">
        <x:v>Металоконструкції</x:v>
      </x:c>
      <x:c r="AO1287" s="15" t="str">
        <x:v>not_found_in_top_search</x:v>
      </x:c>
    </x:row>
    <x:row r="1288">
      <x:c r="A1288" s="14" t="str">
        <x:v>W4-469</x:v>
      </x:c>
      <x:c r="B1288" s="14" t="str">
        <x:v>Prozorro expansion — 24.08</x:v>
      </x:c>
      <x:c r="C1288" s="14" t="str">
        <x:v>СІРИК ЄВГЕН МИКОЛАЙОВИЧ</x:v>
      </x:c>
      <x:c r="D1288" s="14" t="str">
        <x:v>Металоконструкції</x:v>
      </x:c>
      <x:c r="E1288" s="14" t="str">
        <x:v>Expansion discovery</x:v>
      </x:c>
      <x:c r="F1288" s="17" t="str">
        <x:v>D3</x:v>
      </x:c>
      <x:c r="G1288" s="14" t="str"/>
      <x:c r="H1288" s="14" t="str">
        <x:v>Discovery розширення — 2 тижні</x:v>
      </x:c>
      <x:c r="I1288" s="16" t="n">
        <x:v>1</x:v>
      </x:c>
      <x:c r="J1288" s="16" t="n">
        <x:v>5</x:v>
      </x:c>
      <x:c r="K1288" s="16" t="n">
        <x:v>5</x:v>
      </x:c>
      <x:c r="L1288" s="16" t="n">
        <x:v>1</x:v>
      </x:c>
      <x:c r="M1288" s="16" t="n">
        <x:v>5</x:v>
      </x:c>
      <x:c r="N1288" s="16" t="n">
        <x:v>3</x:v>
      </x:c>
      <x:c r="O1288" s="16" t="n">
        <x:v>3</x:v>
      </x:c>
      <x:c r="P1288" s="16" t="n">
        <x:f>IF(COUNT(I1288:O1288)&lt;7,"",I1288*8+J1288*3+K1288*2+L1288*2+M1288*2+N1288*2+O1288)</x:f>
        <x:v>54</x:v>
      </x:c>
      <x:c r="Q1288" s="16" t="n">
        <x:f>IF(COUNT(J1288:O1288)&lt;6,"",J1288*5+K1288*4+M1288*4+L1288*3+N1288*2+O1288*2)</x:f>
        <x:v>80</x:v>
      </x:c>
      <x:c r="R1288" s="14" t="str">
        <x:v>high</x:v>
      </x:c>
      <x:c r="S1288" s="14" t="str">
        <x:v>official_prozorro_award_2024_2026</x:v>
      </x:c>
      <x:c r="T1288" s="14" t="str">
        <x:v>official_prozorro_api</x:v>
      </x:c>
      <x:c r="U1288" s="14" t="str">
        <x:v>Не контактували</x:v>
      </x:c>
      <x:c r="V1288" s="15" t="str">
        <x:v>Workflow-audit outreach по UA-2025-06-20-004887-a; попросити 1 пакет здачі та вимоги проєкту</x:v>
      </x:c>
      <x:c r="W1288" s="15" t="str">
        <x:v>Власник / виконавець; відповідальний за договір</x:v>
      </x:c>
      <x:c r="X1288" s="15" t="str">
        <x:v>1 нових підтверджених перемог/договорів у Prozorro на 99 999 грн; 0 зі строком виконання не раніше 24.08.2026.</x:v>
      </x:c>
      <x:c r="Y1288"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 строк до 2025-09-30. Попросити один знеособлений пакет здачі за цим workflow.</x:v>
      </x:c>
      <x:c r="Z1288" s="15" t="str">
        <x:v>https://prozorro.gov.ua/tender/UA-2025-06-20-004887-a</x:v>
      </x:c>
      <x:c r="AA1288" s="14" t="str">
        <x:v>3119417130</x:v>
      </x:c>
      <x:c r="AB1288" s="14" t="str">
        <x:v>2026-08-24</x:v>
      </x:c>
      <x:c r="AC1288" s="14" t="str"/>
      <x:c r="AD1288" s="20" t="str"/>
      <x:c r="AE1288" s="14" t="str"/>
      <x:c r="AF1288" s="14" t="n">
        <x:v>30</x:v>
      </x:c>
      <x:c r="AG1288" s="14" t="str">
        <x:v>I3</x:v>
      </x:c>
      <x:c r="AH1288" s="14" t="n">
        <x:v>1</x:v>
      </x:c>
      <x:c r="AI1288" s="14" t="n">
        <x:v>0</x:v>
      </x:c>
      <x:c r="AJ1288" s="18" t="n">
        <x:v>99999.04</x:v>
      </x:c>
      <x:c r="AK1288" s="14" t="str">
        <x:v>https://prozorro.gov.ua/tender/UA-2025-06-20-004887-a</x:v>
      </x:c>
      <x:c r="AL1288" s="19" t="n">
        <x:v>45828.368565578705</x:v>
      </x:c>
      <x:c r="AM1288" s="19" t="n">
        <x:v>45930</x:v>
      </x:c>
      <x:c r="AN1288" s="15" t="str">
        <x:v>Металоконструкції</x:v>
      </x:c>
      <x:c r="AO1288" s="15" t="str">
        <x:v>not_found_in_top_search</x:v>
      </x:c>
    </x:row>
    <x:row r="1289">
      <x:c r="A1289" s="14" t="str">
        <x:v>W4-470</x:v>
      </x:c>
      <x:c r="B1289" s="14" t="str">
        <x:v>Prozorro expansion — 24.08</x:v>
      </x:c>
      <x:c r="C1289" s="14" t="str">
        <x:v>ГУЛІЄВ РУСЛАН ВАГІФОВИЧ</x:v>
      </x:c>
      <x:c r="D1289" s="14" t="str">
        <x:v>Металоконструкції</x:v>
      </x:c>
      <x:c r="E1289" s="14" t="str">
        <x:v>Expansion discovery</x:v>
      </x:c>
      <x:c r="F1289" s="17" t="str">
        <x:v>D3</x:v>
      </x:c>
      <x:c r="G1289" s="14" t="str"/>
      <x:c r="H1289" s="14" t="str">
        <x:v>Discovery розширення — 2 тижні</x:v>
      </x:c>
      <x:c r="I1289" s="16" t="n">
        <x:v>1</x:v>
      </x:c>
      <x:c r="J1289" s="16" t="n">
        <x:v>5</x:v>
      </x:c>
      <x:c r="K1289" s="16" t="n">
        <x:v>5</x:v>
      </x:c>
      <x:c r="L1289" s="16" t="n">
        <x:v>1</x:v>
      </x:c>
      <x:c r="M1289" s="16" t="n">
        <x:v>5</x:v>
      </x:c>
      <x:c r="N1289" s="16" t="n">
        <x:v>3</x:v>
      </x:c>
      <x:c r="O1289" s="16" t="n">
        <x:v>3</x:v>
      </x:c>
      <x:c r="P1289" s="16" t="n">
        <x:f>IF(COUNT(I1289:O1289)&lt;7,"",I1289*8+J1289*3+K1289*2+L1289*2+M1289*2+N1289*2+O1289)</x:f>
        <x:v>54</x:v>
      </x:c>
      <x:c r="Q1289" s="16" t="n">
        <x:f>IF(COUNT(J1289:O1289)&lt;6,"",J1289*5+K1289*4+M1289*4+L1289*3+N1289*2+O1289*2)</x:f>
        <x:v>80</x:v>
      </x:c>
      <x:c r="R1289" s="14" t="str">
        <x:v>high</x:v>
      </x:c>
      <x:c r="S1289" s="14" t="str">
        <x:v>official_prozorro_award_2024_2026</x:v>
      </x:c>
      <x:c r="T1289" s="14" t="str">
        <x:v>official_prozorro_api</x:v>
      </x:c>
      <x:c r="U1289" s="14" t="str">
        <x:v>Не контактували</x:v>
      </x:c>
      <x:c r="V1289" s="15" t="str">
        <x:v>Workflow-audit outreach по UA-2025-05-21-006460-a; попросити 1 пакет здачі та вимоги проєкту</x:v>
      </x:c>
      <x:c r="W1289" s="15" t="str">
        <x:v>Власник / виконавець; відповідальний за договір</x:v>
      </x:c>
      <x:c r="X1289" s="15" t="str">
        <x:v>1 нових підтверджених перемог/договорів у Prozorro на 99 998 грн; 0 зі строком виконання не раніше 24.08.2026.</x:v>
      </x:c>
      <x:c r="Y1289"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 строк до 2025-12-31. Попросити один знеособлений пакет здачі за цим workflow.</x:v>
      </x:c>
      <x:c r="Z1289" s="15" t="str">
        <x:v>https://prozorro.gov.ua/tender/UA-2025-05-21-006460-a</x:v>
      </x:c>
      <x:c r="AA1289" s="14" t="str">
        <x:v>2998115293</x:v>
      </x:c>
      <x:c r="AB1289" s="14" t="str">
        <x:v>2026-08-24</x:v>
      </x:c>
      <x:c r="AC1289" s="14" t="str"/>
      <x:c r="AD1289" s="20" t="str"/>
      <x:c r="AE1289" s="14" t="str"/>
      <x:c r="AF1289" s="14" t="n">
        <x:v>30</x:v>
      </x:c>
      <x:c r="AG1289" s="14" t="str">
        <x:v>I3</x:v>
      </x:c>
      <x:c r="AH1289" s="14" t="n">
        <x:v>1</x:v>
      </x:c>
      <x:c r="AI1289" s="14" t="n">
        <x:v>0</x:v>
      </x:c>
      <x:c r="AJ1289" s="18" t="n">
        <x:v>99998.15</x:v>
      </x:c>
      <x:c r="AK1289" s="14" t="str">
        <x:v>https://prozorro.gov.ua/tender/UA-2025-05-21-006460-a</x:v>
      </x:c>
      <x:c r="AL1289" s="19" t="n">
        <x:v>45798.407613194446</x:v>
      </x:c>
      <x:c r="AM1289" s="19" t="n">
        <x:v>46022</x:v>
      </x:c>
      <x:c r="AN1289" s="15" t="str">
        <x:v>Металоконструкції</x:v>
      </x:c>
      <x:c r="AO1289" s="15" t="str">
        <x:v>not_found_in_top_search</x:v>
      </x:c>
    </x:row>
    <x:row r="1290">
      <x:c r="A1290" s="14" t="str">
        <x:v>W4-471</x:v>
      </x:c>
      <x:c r="B1290" s="14" t="str">
        <x:v>Prozorro expansion — 24.08</x:v>
      </x:c>
      <x:c r="C1290" s="14" t="str">
        <x:v>КРОПИВНИЦЬКА ФІЛІЯ ТОВАРИСТВА З ОБМЕЖЕНОЮ ВІДПОВІДАЛЬНІСТЮ "ГАЗОРОЗПОДІЛЬНІ МЕРЕЖІ УКРАЇНИ"</x:v>
      </x:c>
      <x:c r="D1290" s="14" t="str">
        <x:v>Газові мережі</x:v>
      </x:c>
      <x:c r="E1290" s="14" t="str">
        <x:v>Expansion discovery</x:v>
      </x:c>
      <x:c r="F1290" s="17" t="str">
        <x:v>D3</x:v>
      </x:c>
      <x:c r="G1290" s="14" t="str"/>
      <x:c r="H1290" s="14" t="str">
        <x:v>Discovery розширення — 2 тижні</x:v>
      </x:c>
      <x:c r="I1290" s="16" t="n">
        <x:v>1</x:v>
      </x:c>
      <x:c r="J1290" s="16" t="n">
        <x:v>5</x:v>
      </x:c>
      <x:c r="K1290" s="16" t="n">
        <x:v>5</x:v>
      </x:c>
      <x:c r="L1290" s="16" t="n">
        <x:v>1</x:v>
      </x:c>
      <x:c r="M1290" s="16" t="n">
        <x:v>5</x:v>
      </x:c>
      <x:c r="N1290" s="16" t="n">
        <x:v>5</x:v>
      </x:c>
      <x:c r="O1290" s="16" t="n">
        <x:v>3</x:v>
      </x:c>
      <x:c r="P1290" s="16" t="n">
        <x:f>IF(COUNT(I1290:O1290)&lt;7,"",I1290*8+J1290*3+K1290*2+L1290*2+M1290*2+N1290*2+O1290)</x:f>
        <x:v>58</x:v>
      </x:c>
      <x:c r="Q1290" s="16" t="n">
        <x:f>IF(COUNT(J1290:O1290)&lt;6,"",J1290*5+K1290*4+M1290*4+L1290*3+N1290*2+O1290*2)</x:f>
        <x:v>84</x:v>
      </x:c>
      <x:c r="R1290" s="14" t="str">
        <x:v>high</x:v>
      </x:c>
      <x:c r="S1290" s="14" t="str">
        <x:v>official_prozorro_award_2024_2026</x:v>
      </x:c>
      <x:c r="T1290" s="14" t="str">
        <x:v>official_prozorro_api</x:v>
      </x:c>
      <x:c r="U1290" s="14" t="str">
        <x:v>Не контактували</x:v>
      </x:c>
      <x:c r="V1290" s="15" t="str">
        <x:v>Workflow-audit outreach по UA-2025-11-03-011890-a; попросити 1 пакет здачі та вимоги проєкту</x:v>
      </x:c>
      <x:c r="W1290" s="15" t="str">
        <x:v>Власник / директор; керівник ПТО; відповідальний за договори</x:v>
      </x:c>
      <x:c r="X1290" s="15" t="str">
        <x:v>1 нових підтверджених перемог/договорів у Prozorro на 99 000 грн; 0 зі строком виконання не раніше 24.08.2026.</x:v>
      </x:c>
      <x:c r="Y1290"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 строк до 2025-12-31. Попросити один знеособлений пакет здачі за цим workflow.</x:v>
      </x:c>
      <x:c r="Z1290" s="15" t="str">
        <x:v>https://prozorro.gov.ua/tender/UA-2025-11-03-011890-a</x:v>
      </x:c>
      <x:c r="AA1290" s="14" t="str">
        <x:v>45068116</x:v>
      </x:c>
      <x:c r="AB1290" s="14" t="str">
        <x:v>2026-08-24</x:v>
      </x:c>
      <x:c r="AC1290" s="14" t="str"/>
      <x:c r="AD1290" s="20" t="str"/>
      <x:c r="AE1290" s="14" t="str"/>
      <x:c r="AF1290" s="14" t="n">
        <x:v>30</x:v>
      </x:c>
      <x:c r="AG1290" s="14" t="str">
        <x:v>I3</x:v>
      </x:c>
      <x:c r="AH1290" s="14" t="n">
        <x:v>1</x:v>
      </x:c>
      <x:c r="AI1290" s="14" t="n">
        <x:v>0</x:v>
      </x:c>
      <x:c r="AJ1290" s="18" t="n">
        <x:v>99000</x:v>
      </x:c>
      <x:c r="AK1290" s="14" t="str">
        <x:v>https://prozorro.gov.ua/tender/UA-2025-11-03-011890-a</x:v>
      </x:c>
      <x:c r="AL1290" s="19" t="n">
        <x:v>45964.576981805556</x:v>
      </x:c>
      <x:c r="AM1290" s="19" t="n">
        <x:v>46022</x:v>
      </x:c>
      <x:c r="AN1290" s="15" t="str">
        <x:v>Газові мережі</x:v>
      </x:c>
      <x:c r="AO1290" s="15" t="str">
        <x:v>not_found_in_top_search</x:v>
      </x:c>
    </x:row>
    <x:row r="1291">
      <x:c r="A1291" s="14" t="str">
        <x:v>W4-472</x:v>
      </x:c>
      <x:c r="B1291" s="14" t="str">
        <x:v>Prozorro expansion — 24.08</x:v>
      </x:c>
      <x:c r="C1291" s="14" t="str">
        <x:v>ТОВ "Кріоген-Мед-Сервіс"</x:v>
      </x:c>
      <x:c r="D1291" s="14" t="str">
        <x:v>Стиснене повітря / компресорні</x:v>
      </x:c>
      <x:c r="E1291" s="14" t="str">
        <x:v>Expansion discovery</x:v>
      </x:c>
      <x:c r="F1291" s="17" t="str">
        <x:v>D3</x:v>
      </x:c>
      <x:c r="G1291" s="14" t="str"/>
      <x:c r="H1291" s="14" t="str">
        <x:v>Discovery розширення — 2 тижні</x:v>
      </x:c>
      <x:c r="I1291" s="16" t="n">
        <x:v>1</x:v>
      </x:c>
      <x:c r="J1291" s="16" t="n">
        <x:v>5</x:v>
      </x:c>
      <x:c r="K1291" s="16" t="n">
        <x:v>4</x:v>
      </x:c>
      <x:c r="L1291" s="16" t="n">
        <x:v>1</x:v>
      </x:c>
      <x:c r="M1291" s="16" t="n">
        <x:v>5</x:v>
      </x:c>
      <x:c r="N1291" s="16" t="n">
        <x:v>5</x:v>
      </x:c>
      <x:c r="O1291" s="16" t="n">
        <x:v>3</x:v>
      </x:c>
      <x:c r="P1291" s="16" t="n">
        <x:f>IF(COUNT(I1291:O1291)&lt;7,"",I1291*8+J1291*3+K1291*2+L1291*2+M1291*2+N1291*2+O1291)</x:f>
        <x:v>56</x:v>
      </x:c>
      <x:c r="Q1291" s="16" t="n">
        <x:f>IF(COUNT(J1291:O1291)&lt;6,"",J1291*5+K1291*4+M1291*4+L1291*3+N1291*2+O1291*2)</x:f>
        <x:v>80</x:v>
      </x:c>
      <x:c r="R1291" s="14" t="str">
        <x:v>high</x:v>
      </x:c>
      <x:c r="S1291" s="14" t="str">
        <x:v>official_prozorro_award_2024_2026</x:v>
      </x:c>
      <x:c r="T1291" s="14" t="str">
        <x:v>official_prozorro_api</x:v>
      </x:c>
      <x:c r="U1291" s="14" t="str">
        <x:v>Не контактували</x:v>
      </x:c>
      <x:c r="V1291" s="15" t="str">
        <x:v>Workflow-audit outreach по UA-2025-06-10-005512-a; попросити 1 пакет здачі та вимоги проєкту</x:v>
      </x:c>
      <x:c r="W1291" s="15" t="str">
        <x:v>Власник / директор; керівник ПТО; відповідальний за договори</x:v>
      </x:c>
      <x:c r="X1291" s="15" t="str">
        <x:v>1 нових підтверджених перемог/договорів у Prozorro на 98 778 грн; 0 зі строком виконання не раніше 24.08.2026.</x:v>
      </x:c>
      <x:c r="Y1291"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 строк до 2025-12-31. Попросити один знеособлений пакет здачі за цим workflow.</x:v>
      </x:c>
      <x:c r="Z1291" s="15" t="str">
        <x:v>https://prozorro.gov.ua/tender/UA-2025-06-10-005512-a</x:v>
      </x:c>
      <x:c r="AA1291" s="14" t="str">
        <x:v>41160492</x:v>
      </x:c>
      <x:c r="AB1291" s="14" t="str">
        <x:v>2026-08-24</x:v>
      </x:c>
      <x:c r="AC1291" s="14" t="str"/>
      <x:c r="AD1291" s="20" t="str"/>
      <x:c r="AE1291" s="14" t="str"/>
      <x:c r="AF1291" s="14" t="n">
        <x:v>30</x:v>
      </x:c>
      <x:c r="AG1291" s="14" t="str">
        <x:v>I3</x:v>
      </x:c>
      <x:c r="AH1291" s="14" t="n">
        <x:v>1</x:v>
      </x:c>
      <x:c r="AI1291" s="14" t="n">
        <x:v>0</x:v>
      </x:c>
      <x:c r="AJ1291" s="18" t="n">
        <x:v>98777.98</x:v>
      </x:c>
      <x:c r="AK1291" s="14" t="str">
        <x:v>https://prozorro.gov.ua/tender/UA-2025-06-10-005512-a</x:v>
      </x:c>
      <x:c r="AL1291" s="19" t="n">
        <x:v>45818.397364675926</x:v>
      </x:c>
      <x:c r="AM1291" s="19" t="n">
        <x:v>46022.916666655095</x:v>
      </x:c>
      <x:c r="AN1291" s="15" t="str">
        <x:v>Стиснене повітря / компресорні</x:v>
      </x:c>
      <x:c r="AO1291" s="15" t="str">
        <x:v>not_found_in_top_search</x:v>
      </x:c>
    </x:row>
    <x:row r="1292">
      <x:c r="A1292" s="14" t="str">
        <x:v>W4-473</x:v>
      </x:c>
      <x:c r="B1292" s="14" t="str">
        <x:v>Prozorro expansion — 24.08</x:v>
      </x:c>
      <x:c r="C1292" s="14" t="str">
        <x:v>ВИХРИСТЮК ІВАН СЕРГІЙОВИЧ</x:v>
      </x:c>
      <x:c r="D1292" s="14" t="str">
        <x:v>Металоконструкції</x:v>
      </x:c>
      <x:c r="E1292" s="14" t="str">
        <x:v>Expansion discovery</x:v>
      </x:c>
      <x:c r="F1292" s="17" t="str">
        <x:v>D3</x:v>
      </x:c>
      <x:c r="G1292" s="14" t="str"/>
      <x:c r="H1292" s="14" t="str">
        <x:v>Discovery розширення — 2 тижні</x:v>
      </x:c>
      <x:c r="I1292" s="16" t="n">
        <x:v>1</x:v>
      </x:c>
      <x:c r="J1292" s="16" t="n">
        <x:v>5</x:v>
      </x:c>
      <x:c r="K1292" s="16" t="n">
        <x:v>5</x:v>
      </x:c>
      <x:c r="L1292" s="16" t="n">
        <x:v>1</x:v>
      </x:c>
      <x:c r="M1292" s="16" t="n">
        <x:v>5</x:v>
      </x:c>
      <x:c r="N1292" s="16" t="n">
        <x:v>3</x:v>
      </x:c>
      <x:c r="O1292" s="16" t="n">
        <x:v>3</x:v>
      </x:c>
      <x:c r="P1292" s="16" t="n">
        <x:f>IF(COUNT(I1292:O1292)&lt;7,"",I1292*8+J1292*3+K1292*2+L1292*2+M1292*2+N1292*2+O1292)</x:f>
        <x:v>54</x:v>
      </x:c>
      <x:c r="Q1292" s="16" t="n">
        <x:f>IF(COUNT(J1292:O1292)&lt;6,"",J1292*5+K1292*4+M1292*4+L1292*3+N1292*2+O1292*2)</x:f>
        <x:v>80</x:v>
      </x:c>
      <x:c r="R1292" s="14" t="str">
        <x:v>high</x:v>
      </x:c>
      <x:c r="S1292" s="14" t="str">
        <x:v>official_prozorro_award_2024_2026</x:v>
      </x:c>
      <x:c r="T1292" s="14" t="str">
        <x:v>official_prozorro_api</x:v>
      </x:c>
      <x:c r="U1292" s="14" t="str">
        <x:v>Не контактували</x:v>
      </x:c>
      <x:c r="V1292" s="15" t="str">
        <x:v>Workflow-audit outreach по UA-2025-12-12-008148-a; попросити 1 пакет здачі та вимоги проєкту</x:v>
      </x:c>
      <x:c r="W1292" s="15" t="str">
        <x:v>Власник / виконавець; відповідальний за договір</x:v>
      </x:c>
      <x:c r="X1292" s="15" t="str">
        <x:v>1 нових підтверджених перемог/договорів у Prozorro на 98 600 грн; 0 зі строком виконання не раніше 24.08.2026.</x:v>
      </x:c>
      <x:c r="Y1292" s="15" t="str">
        <x:v>Послуги з виготовлення металоконструкцій ; строк до 2025-12-31. Попросити один знеособлений пакет здачі за цим workflow.</x:v>
      </x:c>
      <x:c r="Z1292" s="15" t="str">
        <x:v>https://prozorro.gov.ua/tender/UA-2025-12-12-008148-a</x:v>
      </x:c>
      <x:c r="AA1292" s="14" t="str">
        <x:v>3236404538</x:v>
      </x:c>
      <x:c r="AB1292" s="14" t="str">
        <x:v>2026-08-24</x:v>
      </x:c>
      <x:c r="AC1292" s="14" t="str"/>
      <x:c r="AD1292" s="20" t="str"/>
      <x:c r="AE1292" s="14" t="str"/>
      <x:c r="AF1292" s="14" t="n">
        <x:v>30</x:v>
      </x:c>
      <x:c r="AG1292" s="14" t="str">
        <x:v>I3</x:v>
      </x:c>
      <x:c r="AH1292" s="14" t="n">
        <x:v>1</x:v>
      </x:c>
      <x:c r="AI1292" s="14" t="n">
        <x:v>0</x:v>
      </x:c>
      <x:c r="AJ1292" s="18" t="n">
        <x:v>98600</x:v>
      </x:c>
      <x:c r="AK1292" s="14" t="str">
        <x:v>https://prozorro.gov.ua/tender/UA-2025-12-12-008148-a</x:v>
      </x:c>
      <x:c r="AL1292" s="19" t="n">
        <x:v>46003.41918121528</x:v>
      </x:c>
      <x:c r="AM1292" s="19" t="n">
        <x:v>46022</x:v>
      </x:c>
      <x:c r="AN1292" s="15" t="str">
        <x:v>Металоконструкції</x:v>
      </x:c>
      <x:c r="AO1292" s="15" t="str">
        <x:v>not_found_in_top_search</x:v>
      </x:c>
    </x:row>
    <x:row r="1293">
      <x:c r="A1293" s="14" t="str">
        <x:v>W4-474</x:v>
      </x:c>
      <x:c r="B1293" s="14" t="str">
        <x:v>Prozorro expansion — 24.08</x:v>
      </x:c>
      <x:c r="C1293" s="14" t="str">
        <x:v>РЕКУНОВ ОЛЕКСАНДР ОЛЕКСАНДРОВИЧ</x:v>
      </x:c>
      <x:c r="D1293" s="14" t="str">
        <x:v>Зливова каналізація / дренаж</x:v>
      </x:c>
      <x:c r="E1293" s="14" t="str">
        <x:v>Expansion discovery</x:v>
      </x:c>
      <x:c r="F1293" s="17" t="str">
        <x:v>D3</x:v>
      </x:c>
      <x:c r="G1293" s="14" t="str"/>
      <x:c r="H1293" s="14" t="str">
        <x:v>Discovery розширення — 2 тижні</x:v>
      </x:c>
      <x:c r="I1293" s="16" t="n">
        <x:v>1</x:v>
      </x:c>
      <x:c r="J1293" s="16" t="n">
        <x:v>5</x:v>
      </x:c>
      <x:c r="K1293" s="16" t="n">
        <x:v>5</x:v>
      </x:c>
      <x:c r="L1293" s="16" t="n">
        <x:v>1</x:v>
      </x:c>
      <x:c r="M1293" s="16" t="n">
        <x:v>5</x:v>
      </x:c>
      <x:c r="N1293" s="16" t="n">
        <x:v>3</x:v>
      </x:c>
      <x:c r="O1293" s="16" t="n">
        <x:v>3</x:v>
      </x:c>
      <x:c r="P1293" s="16" t="n">
        <x:f>IF(COUNT(I1293:O1293)&lt;7,"",I1293*8+J1293*3+K1293*2+L1293*2+M1293*2+N1293*2+O1293)</x:f>
        <x:v>54</x:v>
      </x:c>
      <x:c r="Q1293" s="16" t="n">
        <x:f>IF(COUNT(J1293:O1293)&lt;6,"",J1293*5+K1293*4+M1293*4+L1293*3+N1293*2+O1293*2)</x:f>
        <x:v>80</x:v>
      </x:c>
      <x:c r="R1293" s="14" t="str">
        <x:v>high</x:v>
      </x:c>
      <x:c r="S1293" s="14" t="str">
        <x:v>official_prozorro_award_2024_2026</x:v>
      </x:c>
      <x:c r="T1293" s="14" t="str">
        <x:v>official_prozorro_api</x:v>
      </x:c>
      <x:c r="U1293" s="14" t="str">
        <x:v>Не контактували</x:v>
      </x:c>
      <x:c r="V1293" s="15" t="str">
        <x:v>Workflow-audit outreach по UA-2025-08-07-008253-a; попросити 1 пакет здачі та вимоги проєкту</x:v>
      </x:c>
      <x:c r="W1293" s="15" t="str">
        <x:v>Власник / виконавець; відповідальний за договір</x:v>
      </x:c>
      <x:c r="X1293" s="15" t="str">
        <x:v>1 нових підтверджених перемог/договорів у Prozorro на 96 000 грн; 0 зі строком виконання не раніше 24.08.2026.</x:v>
      </x:c>
      <x:c r="Y1293" s="15" t="str">
        <x:v>послуги із поточного ремонту зливової каналізації по вулиці Авраменка в місті Верхньодніпровськ Дніпропетровської області ; строк до 2025-12-20. Попросити один знеособлений пакет здачі за цим workflow.</x:v>
      </x:c>
      <x:c r="Z1293" s="15" t="str">
        <x:v>https://prozorro.gov.ua/tender/UA-2025-08-07-008253-a</x:v>
      </x:c>
      <x:c r="AA1293" s="14" t="str">
        <x:v>3220500833</x:v>
      </x:c>
      <x:c r="AB1293" s="14" t="str">
        <x:v>2026-08-24</x:v>
      </x:c>
      <x:c r="AC1293" s="14" t="str"/>
      <x:c r="AD1293" s="20" t="str"/>
      <x:c r="AE1293" s="14" t="str"/>
      <x:c r="AF1293" s="14" t="n">
        <x:v>30</x:v>
      </x:c>
      <x:c r="AG1293" s="14" t="str">
        <x:v>I3</x:v>
      </x:c>
      <x:c r="AH1293" s="14" t="n">
        <x:v>1</x:v>
      </x:c>
      <x:c r="AI1293" s="14" t="n">
        <x:v>0</x:v>
      </x:c>
      <x:c r="AJ1293" s="18" t="n">
        <x:v>96000</x:v>
      </x:c>
      <x:c r="AK1293" s="14" t="str">
        <x:v>https://prozorro.gov.ua/tender/UA-2025-08-07-008253-a</x:v>
      </x:c>
      <x:c r="AL1293" s="19" t="n">
        <x:v>45876.50475050926</x:v>
      </x:c>
      <x:c r="AM1293" s="19" t="n">
        <x:v>46011</x:v>
      </x:c>
      <x:c r="AN1293" s="15" t="str">
        <x:v>Зливова каналізація / дренаж</x:v>
      </x:c>
      <x:c r="AO1293" s="15" t="str">
        <x:v>not_found_in_top_search</x:v>
      </x:c>
    </x:row>
    <x:row r="1294">
      <x:c r="A1294" s="14" t="str">
        <x:v>W4-475</x:v>
      </x:c>
      <x:c r="B1294" s="14" t="str">
        <x:v>Prozorro expansion — 24.08</x:v>
      </x:c>
      <x:c r="C1294" s="14" t="str">
        <x:v>СОРОКІН ЮРІЙ МИКОЛАЙОВИЧ</x:v>
      </x:c>
      <x:c r="D1294" s="14" t="str">
        <x:v>Металоконструкції</x:v>
      </x:c>
      <x:c r="E1294" s="14" t="str">
        <x:v>Expansion discovery</x:v>
      </x:c>
      <x:c r="F1294" s="17" t="str">
        <x:v>D3</x:v>
      </x:c>
      <x:c r="G1294" s="14" t="str"/>
      <x:c r="H1294" s="14" t="str">
        <x:v>Discovery розширення — 2 тижні</x:v>
      </x:c>
      <x:c r="I1294" s="16" t="n">
        <x:v>1</x:v>
      </x:c>
      <x:c r="J1294" s="16" t="n">
        <x:v>5</x:v>
      </x:c>
      <x:c r="K1294" s="16" t="n">
        <x:v>5</x:v>
      </x:c>
      <x:c r="L1294" s="16" t="n">
        <x:v>1</x:v>
      </x:c>
      <x:c r="M1294" s="16" t="n">
        <x:v>5</x:v>
      </x:c>
      <x:c r="N1294" s="16" t="n">
        <x:v>3</x:v>
      </x:c>
      <x:c r="O1294" s="16" t="n">
        <x:v>3</x:v>
      </x:c>
      <x:c r="P1294" s="16" t="n">
        <x:f>IF(COUNT(I1294:O1294)&lt;7,"",I1294*8+J1294*3+K1294*2+L1294*2+M1294*2+N1294*2+O1294)</x:f>
        <x:v>54</x:v>
      </x:c>
      <x:c r="Q1294" s="16" t="n">
        <x:f>IF(COUNT(J1294:O1294)&lt;6,"",J1294*5+K1294*4+M1294*4+L1294*3+N1294*2+O1294*2)</x:f>
        <x:v>80</x:v>
      </x:c>
      <x:c r="R1294" s="14" t="str">
        <x:v>high</x:v>
      </x:c>
      <x:c r="S1294" s="14" t="str">
        <x:v>official_prozorro_award_2024_2026</x:v>
      </x:c>
      <x:c r="T1294" s="14" t="str">
        <x:v>official_prozorro_api</x:v>
      </x:c>
      <x:c r="U1294" s="14" t="str">
        <x:v>Не контактували</x:v>
      </x:c>
      <x:c r="V1294" s="15" t="str">
        <x:v>Workflow-audit outreach по UA-2025-11-10-002806-a; попросити 1 пакет здачі та вимоги проєкту</x:v>
      </x:c>
      <x:c r="W1294" s="15" t="str">
        <x:v>Власник / виконавець; відповідальний за договір</x:v>
      </x:c>
      <x:c r="X1294" s="15" t="str">
        <x:v>1 нових підтверджених перемог/договорів у Prozorro на 91 514 грн; 0 зі строком виконання не раніше 24.08.2026.</x:v>
      </x:c>
      <x:c r="Y1294"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 строк до 2025-12-20. Попросити один знеособлений пакет здачі за цим workflow.</x:v>
      </x:c>
      <x:c r="Z1294" s="15" t="str">
        <x:v>https://prozorro.gov.ua/tender/UA-2025-11-10-002806-a</x:v>
      </x:c>
      <x:c r="AA1294" s="14" t="str">
        <x:v>2947210151</x:v>
      </x:c>
      <x:c r="AB1294" s="14" t="str">
        <x:v>2026-08-24</x:v>
      </x:c>
      <x:c r="AC1294" s="14" t="str"/>
      <x:c r="AD1294" s="20" t="str"/>
      <x:c r="AE1294" s="14" t="str"/>
      <x:c r="AF1294" s="14" t="n">
        <x:v>30</x:v>
      </x:c>
      <x:c r="AG1294" s="14" t="str">
        <x:v>I3</x:v>
      </x:c>
      <x:c r="AH1294" s="14" t="n">
        <x:v>1</x:v>
      </x:c>
      <x:c r="AI1294" s="14" t="n">
        <x:v>0</x:v>
      </x:c>
      <x:c r="AJ1294" s="18" t="n">
        <x:v>91514.19</x:v>
      </x:c>
      <x:c r="AK1294" s="14" t="str">
        <x:v>https://prozorro.gov.ua/tender/UA-2025-11-10-002806-a</x:v>
      </x:c>
      <x:c r="AL1294" s="19" t="n">
        <x:v>45971.36211001157</x:v>
      </x:c>
      <x:c r="AM1294" s="19" t="n">
        <x:v>46011</x:v>
      </x:c>
      <x:c r="AN1294" s="15" t="str">
        <x:v>Металоконструкції</x:v>
      </x:c>
      <x:c r="AO1294" s="15" t="str">
        <x:v>not_found_in_top_search</x:v>
      </x:c>
    </x:row>
    <x:row r="1295">
      <x:c r="A1295" s="14" t="str">
        <x:v>W4-476</x:v>
      </x:c>
      <x:c r="B1295" s="14" t="str">
        <x:v>Prozorro expansion — 24.08</x:v>
      </x:c>
      <x:c r="C1295" s="14" t="str">
        <x:v>ТОВАРИСТВО З ОБМЕЖЕНОЮ ВІДПОВІДАЛЬНІСТЮ "ХМЕЛЬНИЦЬКПОЖСПЕЦСЕРВІС"</x:v>
      </x:c>
      <x:c r="D1295" s="14" t="str">
        <x:v>Пожежогасіння</x:v>
      </x:c>
      <x:c r="E1295" s="14" t="str">
        <x:v>Expansion discovery</x:v>
      </x:c>
      <x:c r="F1295" s="17" t="str">
        <x:v>D3</x:v>
      </x:c>
      <x:c r="G1295" s="14" t="str"/>
      <x:c r="H1295" s="14" t="str">
        <x:v>Discovery розширення — 2 тижні</x:v>
      </x:c>
      <x:c r="I1295" s="16" t="n">
        <x:v>1</x:v>
      </x:c>
      <x:c r="J1295" s="16" t="n">
        <x:v>5</x:v>
      </x:c>
      <x:c r="K1295" s="16" t="n">
        <x:v>5</x:v>
      </x:c>
      <x:c r="L1295" s="16" t="n">
        <x:v>1</x:v>
      </x:c>
      <x:c r="M1295" s="16" t="n">
        <x:v>5</x:v>
      </x:c>
      <x:c r="N1295" s="16" t="n">
        <x:v>5</x:v>
      </x:c>
      <x:c r="O1295" s="16" t="n">
        <x:v>3</x:v>
      </x:c>
      <x:c r="P1295" s="16" t="n">
        <x:f>IF(COUNT(I1295:O1295)&lt;7,"",I1295*8+J1295*3+K1295*2+L1295*2+M1295*2+N1295*2+O1295)</x:f>
        <x:v>58</x:v>
      </x:c>
      <x:c r="Q1295" s="16" t="n">
        <x:f>IF(COUNT(J1295:O1295)&lt;6,"",J1295*5+K1295*4+M1295*4+L1295*3+N1295*2+O1295*2)</x:f>
        <x:v>84</x:v>
      </x:c>
      <x:c r="R1295" s="14" t="str">
        <x:v>high</x:v>
      </x:c>
      <x:c r="S1295" s="14" t="str">
        <x:v>official_prozorro_award_2024_2026</x:v>
      </x:c>
      <x:c r="T1295" s="14" t="str">
        <x:v>official_prozorro_api</x:v>
      </x:c>
      <x:c r="U1295" s="14" t="str">
        <x:v>Не контактували</x:v>
      </x:c>
      <x:c r="V1295" s="15" t="str">
        <x:v>Workflow-audit outreach по UA-2025-07-25-001842-a; попросити 1 пакет здачі та вимоги проєкту</x:v>
      </x:c>
      <x:c r="W1295" s="15" t="str">
        <x:v>Власник / директор; керівник ПТО; відповідальний за договори</x:v>
      </x:c>
      <x:c r="X1295" s="15" t="str">
        <x:v>1 нових підтверджених перемог/договорів у Prozorro на 88 030 грн; 0 зі строком виконання не раніше 24.08.2026.</x:v>
      </x:c>
      <x:c r="Y1295"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 строк до 2025-12-31. Попросити один знеособлений пакет здачі за цим workflow.</x:v>
      </x:c>
      <x:c r="Z1295" s="15" t="str">
        <x:v>https://prozorro.gov.ua/tender/UA-2025-07-25-001842-a</x:v>
      </x:c>
      <x:c r="AA1295" s="14" t="str">
        <x:v>30788146</x:v>
      </x:c>
      <x:c r="AB1295" s="14" t="str">
        <x:v>2026-08-24</x:v>
      </x:c>
      <x:c r="AC1295" s="14" t="str"/>
      <x:c r="AD1295" s="20" t="str"/>
      <x:c r="AE1295" s="14" t="str"/>
      <x:c r="AF1295" s="14" t="n">
        <x:v>30</x:v>
      </x:c>
      <x:c r="AG1295" s="14" t="str">
        <x:v>I3</x:v>
      </x:c>
      <x:c r="AH1295" s="14" t="n">
        <x:v>1</x:v>
      </x:c>
      <x:c r="AI1295" s="14" t="n">
        <x:v>0</x:v>
      </x:c>
      <x:c r="AJ1295" s="18" t="n">
        <x:v>88030.08</x:v>
      </x:c>
      <x:c r="AK1295" s="14" t="str">
        <x:v>https://prozorro.gov.ua/tender/UA-2025-07-25-001842-a</x:v>
      </x:c>
      <x:c r="AL1295" s="19" t="n">
        <x:v>45863.30226464121</x:v>
      </x:c>
      <x:c r="AM1295" s="19" t="n">
        <x:v>46022</x:v>
      </x:c>
      <x:c r="AN1295" s="15" t="str">
        <x:v>Пожежогасіння</x:v>
      </x:c>
      <x:c r="AO1295" s="15" t="str">
        <x:v>not_found_in_top_search</x:v>
      </x:c>
    </x:row>
    <x:row r="1296">
      <x:c r="A1296" s="14" t="str">
        <x:v>W4-477</x:v>
      </x:c>
      <x:c r="B1296" s="14" t="str">
        <x:v>Prozorro expansion — 24.08</x:v>
      </x:c>
      <x:c r="C1296" s="14" t="str">
        <x:v>ТОВ "Інститут  Шосткапроект"</x:v>
      </x:c>
      <x:c r="D1296" s="14" t="str">
        <x:v>Ліфти та підйомники</x:v>
      </x:c>
      <x:c r="E1296" s="14" t="str">
        <x:v>Expansion discovery</x:v>
      </x:c>
      <x:c r="F1296" s="17" t="str">
        <x:v>D3</x:v>
      </x:c>
      <x:c r="G1296" s="14" t="str"/>
      <x:c r="H1296" s="14" t="str">
        <x:v>Discovery розширення — 2 тижні</x:v>
      </x:c>
      <x:c r="I1296" s="16" t="n">
        <x:v>1</x:v>
      </x:c>
      <x:c r="J1296" s="16" t="n">
        <x:v>5</x:v>
      </x:c>
      <x:c r="K1296" s="16" t="n">
        <x:v>4</x:v>
      </x:c>
      <x:c r="L1296" s="16" t="n">
        <x:v>1</x:v>
      </x:c>
      <x:c r="M1296" s="16" t="n">
        <x:v>5</x:v>
      </x:c>
      <x:c r="N1296" s="16" t="n">
        <x:v>5</x:v>
      </x:c>
      <x:c r="O1296" s="16" t="n">
        <x:v>3</x:v>
      </x:c>
      <x:c r="P1296" s="16" t="n">
        <x:f>IF(COUNT(I1296:O1296)&lt;7,"",I1296*8+J1296*3+K1296*2+L1296*2+M1296*2+N1296*2+O1296)</x:f>
        <x:v>56</x:v>
      </x:c>
      <x:c r="Q1296" s="16" t="n">
        <x:f>IF(COUNT(J1296:O1296)&lt;6,"",J1296*5+K1296*4+M1296*4+L1296*3+N1296*2+O1296*2)</x:f>
        <x:v>80</x:v>
      </x:c>
      <x:c r="R1296" s="14" t="str">
        <x:v>high</x:v>
      </x:c>
      <x:c r="S1296" s="14" t="str">
        <x:v>official_prozorro_award_2024_2026</x:v>
      </x:c>
      <x:c r="T1296" s="14" t="str">
        <x:v>official_prozorro_api</x:v>
      </x:c>
      <x:c r="U1296" s="14" t="str">
        <x:v>Не контактували</x:v>
      </x:c>
      <x:c r="V1296" s="15" t="str">
        <x:v>Workflow-audit outreach по UA-2025-07-23-001621-a; попросити 1 пакет здачі та вимоги проєкту</x:v>
      </x:c>
      <x:c r="W1296" s="15" t="str">
        <x:v>Власник / директор; керівник ПТО; відповідальний за договори</x:v>
      </x:c>
      <x:c r="X1296" s="15" t="str">
        <x:v>1 нових підтверджених перемог/договорів у Prozorro на 85 218 грн; 0 зі строком виконання не раніше 24.08.2026.</x:v>
      </x:c>
      <x:c r="Y1296"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296" s="15" t="str">
        <x:v>https://prozorro.gov.ua/tender/UA-2025-07-23-001621-a</x:v>
      </x:c>
      <x:c r="AA1296" s="14" t="str">
        <x:v>23996686</x:v>
      </x:c>
      <x:c r="AB1296" s="14" t="str">
        <x:v>2026-08-24</x:v>
      </x:c>
      <x:c r="AC1296" s="14" t="str"/>
      <x:c r="AD1296" s="20" t="str"/>
      <x:c r="AE1296" s="14" t="str"/>
      <x:c r="AF1296" s="14" t="n">
        <x:v>30</x:v>
      </x:c>
      <x:c r="AG1296" s="14" t="str">
        <x:v>I3</x:v>
      </x:c>
      <x:c r="AH1296" s="14" t="n">
        <x:v>1</x:v>
      </x:c>
      <x:c r="AI1296" s="14" t="n">
        <x:v>0</x:v>
      </x:c>
      <x:c r="AJ1296" s="18" t="n">
        <x:v>85218</x:v>
      </x:c>
      <x:c r="AK1296" s="14" t="str">
        <x:v>https://prozorro.gov.ua/tender/UA-2025-07-23-001621-a</x:v>
      </x:c>
      <x:c r="AL1296" s="19" t="n">
        <x:v>45861.30062832176</x:v>
      </x:c>
      <x:c r="AM1296" s="19" t="n">
        <x:v>46022.34075231481</x:v>
      </x:c>
      <x:c r="AN1296" s="15" t="str">
        <x:v>Ліфти та підйомники</x:v>
      </x:c>
      <x:c r="AO1296" s="15" t="str">
        <x:v>not_found_in_top_search</x:v>
      </x:c>
    </x:row>
    <x:row r="1297">
      <x:c r="A1297" s="14" t="str">
        <x:v>W4-478</x:v>
      </x:c>
      <x:c r="B1297" s="14" t="str">
        <x:v>Prozorro expansion — 24.08</x:v>
      </x:c>
      <x:c r="C1297" s="14" t="str">
        <x:v>Сивак Ірина Ігорівна</x:v>
      </x:c>
      <x:c r="D1297" s="14" t="str">
        <x:v>Металоконструкції</x:v>
      </x:c>
      <x:c r="E1297" s="14" t="str">
        <x:v>Expansion discovery</x:v>
      </x:c>
      <x:c r="F1297" s="17" t="str">
        <x:v>D3</x:v>
      </x:c>
      <x:c r="G1297" s="14" t="str"/>
      <x:c r="H1297" s="14" t="str">
        <x:v>Discovery розширення — 2 тижні</x:v>
      </x:c>
      <x:c r="I1297" s="16" t="n">
        <x:v>1</x:v>
      </x:c>
      <x:c r="J1297" s="16" t="n">
        <x:v>5</x:v>
      </x:c>
      <x:c r="K1297" s="16" t="n">
        <x:v>5</x:v>
      </x:c>
      <x:c r="L1297" s="16" t="n">
        <x:v>1</x:v>
      </x:c>
      <x:c r="M1297" s="16" t="n">
        <x:v>5</x:v>
      </x:c>
      <x:c r="N1297" s="16" t="n">
        <x:v>3</x:v>
      </x:c>
      <x:c r="O1297" s="16" t="n">
        <x:v>3</x:v>
      </x:c>
      <x:c r="P1297" s="16" t="n">
        <x:f>IF(COUNT(I1297:O1297)&lt;7,"",I1297*8+J1297*3+K1297*2+L1297*2+M1297*2+N1297*2+O1297)</x:f>
        <x:v>54</x:v>
      </x:c>
      <x:c r="Q1297" s="16" t="n">
        <x:f>IF(COUNT(J1297:O1297)&lt;6,"",J1297*5+K1297*4+M1297*4+L1297*3+N1297*2+O1297*2)</x:f>
        <x:v>80</x:v>
      </x:c>
      <x:c r="R1297" s="14" t="str">
        <x:v>high</x:v>
      </x:c>
      <x:c r="S1297" s="14" t="str">
        <x:v>official_prozorro_award_2024_2026</x:v>
      </x:c>
      <x:c r="T1297" s="14" t="str">
        <x:v>official_prozorro_api</x:v>
      </x:c>
      <x:c r="U1297" s="14" t="str">
        <x:v>Не контактували</x:v>
      </x:c>
      <x:c r="V1297" s="15" t="str">
        <x:v>Workflow-audit outreach по UA-2025-08-14-012414-a; попросити 1 пакет здачі та вимоги проєкту</x:v>
      </x:c>
      <x:c r="W1297" s="15" t="str">
        <x:v>Власник / виконавець; відповідальний за договір</x:v>
      </x:c>
      <x:c r="X1297" s="15" t="str">
        <x:v>1 нових підтверджених перемог/договорів у Prozorro на 85 000 грн; 0 зі строком виконання не раніше 24.08.2026.</x:v>
      </x:c>
      <x:c r="Y1297" s="15" t="str">
        <x:v>виготовлення та монтаж двосторонньої V-подібної металоконструкції; строк до 2025-09-12. Попросити один знеособлений пакет здачі за цим workflow.</x:v>
      </x:c>
      <x:c r="Z1297" s="15" t="str">
        <x:v>https://prozorro.gov.ua/tender/UA-2025-08-14-012414-a</x:v>
      </x:c>
      <x:c r="AA1297" s="14" t="str">
        <x:v>3136315668</x:v>
      </x:c>
      <x:c r="AB1297" s="14" t="str">
        <x:v>2026-08-24</x:v>
      </x:c>
      <x:c r="AC1297" s="14" t="str"/>
      <x:c r="AD1297" s="20" t="str"/>
      <x:c r="AE1297" s="14" t="str"/>
      <x:c r="AF1297" s="14" t="n">
        <x:v>30</x:v>
      </x:c>
      <x:c r="AG1297" s="14" t="str">
        <x:v>I3</x:v>
      </x:c>
      <x:c r="AH1297" s="14" t="n">
        <x:v>1</x:v>
      </x:c>
      <x:c r="AI1297" s="14" t="n">
        <x:v>0</x:v>
      </x:c>
      <x:c r="AJ1297" s="18" t="n">
        <x:v>85000</x:v>
      </x:c>
      <x:c r="AK1297" s="14" t="str">
        <x:v>https://prozorro.gov.ua/tender/UA-2025-08-14-012414-a</x:v>
      </x:c>
      <x:c r="AL1297" s="19" t="n">
        <x:v>45883.62278894676</x:v>
      </x:c>
      <x:c r="AM1297" s="19" t="n">
        <x:v>45912</x:v>
      </x:c>
      <x:c r="AN1297" s="15" t="str">
        <x:v>Металоконструкції</x:v>
      </x:c>
      <x:c r="AO1297" s="15" t="str">
        <x:v>not_found_in_top_search</x:v>
      </x:c>
    </x:row>
    <x:row r="1298">
      <x:c r="A1298" s="14" t="str">
        <x:v>W4-479</x:v>
      </x:c>
      <x:c r="B1298" s="14" t="str">
        <x:v>Prozorro expansion — 24.08</x:v>
      </x:c>
      <x:c r="C1298" s="14" t="str">
        <x:v>ТОВ "СТІМ-УКРАЇНА"</x:v>
      </x:c>
      <x:c r="D1298" s="14" t="str">
        <x:v>Промислова теплоізоляція</x:v>
      </x:c>
      <x:c r="E1298" s="14" t="str">
        <x:v>Expansion discovery</x:v>
      </x:c>
      <x:c r="F1298" s="17" t="str">
        <x:v>D3</x:v>
      </x:c>
      <x:c r="G1298" s="14" t="str"/>
      <x:c r="H1298" s="14" t="str">
        <x:v>Discovery розширення — 2 тижні</x:v>
      </x:c>
      <x:c r="I1298" s="16" t="n">
        <x:v>1</x:v>
      </x:c>
      <x:c r="J1298" s="16" t="n">
        <x:v>5</x:v>
      </x:c>
      <x:c r="K1298" s="16" t="n">
        <x:v>5</x:v>
      </x:c>
      <x:c r="L1298" s="16" t="n">
        <x:v>1</x:v>
      </x:c>
      <x:c r="M1298" s="16" t="n">
        <x:v>5</x:v>
      </x:c>
      <x:c r="N1298" s="16" t="n">
        <x:v>5</x:v>
      </x:c>
      <x:c r="O1298" s="16" t="n">
        <x:v>3</x:v>
      </x:c>
      <x:c r="P1298" s="16" t="n">
        <x:f>IF(COUNT(I1298:O1298)&lt;7,"",I1298*8+J1298*3+K1298*2+L1298*2+M1298*2+N1298*2+O1298)</x:f>
        <x:v>58</x:v>
      </x:c>
      <x:c r="Q1298" s="16" t="n">
        <x:f>IF(COUNT(J1298:O1298)&lt;6,"",J1298*5+K1298*4+M1298*4+L1298*3+N1298*2+O1298*2)</x:f>
        <x:v>84</x:v>
      </x:c>
      <x:c r="R1298" s="14" t="str">
        <x:v>high</x:v>
      </x:c>
      <x:c r="S1298" s="14" t="str">
        <x:v>official_prozorro_award_2024_2026</x:v>
      </x:c>
      <x:c r="T1298" s="14" t="str">
        <x:v>official_prozorro_api</x:v>
      </x:c>
      <x:c r="U1298" s="14" t="str">
        <x:v>Не контактували</x:v>
      </x:c>
      <x:c r="V1298" s="15" t="str">
        <x:v>Workflow-audit outreach по UA-2025-05-06-014400-a; попросити 1 пакет здачі та вимоги проєкту</x:v>
      </x:c>
      <x:c r="W1298" s="15" t="str">
        <x:v>Власник / директор; керівник ПТО; відповідальний за договори</x:v>
      </x:c>
      <x:c r="X1298" s="15" t="str">
        <x:v>1 нових підтверджених перемог/договорів у Prozorro на 84 000 грн; 0 зі строком виконання не раніше 24.08.2026.</x:v>
      </x:c>
      <x:c r="Y1298" s="15" t="str">
        <x:v>Послуги по теплоізоляції технологічних  трубопроводів опалення; строк до 2025-12-31. Попросити один знеособлений пакет здачі за цим workflow.</x:v>
      </x:c>
      <x:c r="Z1298" s="15" t="str">
        <x:v>https://prozorro.gov.ua/tender/UA-2025-05-06-014400-a</x:v>
      </x:c>
      <x:c r="AA1298" s="14" t="str">
        <x:v>44924886</x:v>
      </x:c>
      <x:c r="AB1298" s="14" t="str">
        <x:v>2026-08-24</x:v>
      </x:c>
      <x:c r="AC1298" s="14" t="str"/>
      <x:c r="AD1298" s="20" t="str"/>
      <x:c r="AE1298" s="14" t="str"/>
      <x:c r="AF1298" s="14" t="n">
        <x:v>30</x:v>
      </x:c>
      <x:c r="AG1298" s="14" t="str">
        <x:v>I3</x:v>
      </x:c>
      <x:c r="AH1298" s="14" t="n">
        <x:v>1</x:v>
      </x:c>
      <x:c r="AI1298" s="14" t="n">
        <x:v>0</x:v>
      </x:c>
      <x:c r="AJ1298" s="18" t="n">
        <x:v>84000</x:v>
      </x:c>
      <x:c r="AK1298" s="14" t="str">
        <x:v>https://prozorro.gov.ua/tender/UA-2025-05-06-014400-a</x:v>
      </x:c>
      <x:c r="AL1298" s="19" t="n">
        <x:v>45783.625460243056</x:v>
      </x:c>
      <x:c r="AM1298" s="19" t="n">
        <x:v>46022.916666655095</x:v>
      </x:c>
      <x:c r="AN1298" s="15" t="str">
        <x:v>Промислова теплоізоляція</x:v>
      </x:c>
      <x:c r="AO1298" s="15" t="str">
        <x:v>not_found_in_top_search</x:v>
      </x:c>
    </x:row>
    <x:row r="1299">
      <x:c r="A1299" s="14" t="str">
        <x:v>W4-480</x:v>
      </x:c>
      <x:c r="B1299" s="14" t="str">
        <x:v>Prozorro expansion — 24.08</x:v>
      </x:c>
      <x:c r="C1299" s="14" t="str">
        <x:v>ПРИВАТНЕ ПІДПРИЄМСТВО "ТЕХНОЛЮКС"</x:v>
      </x:c>
      <x:c r="D1299" s="14" t="str">
        <x:v>HVAC / ОВіК</x:v>
      </x:c>
      <x:c r="E1299" s="14" t="str">
        <x:v>Pilot now</x:v>
      </x:c>
      <x:c r="F1299" s="17" t="str">
        <x:v>P3</x:v>
      </x:c>
      <x:c r="G1299" s="14" t="str"/>
      <x:c r="H1299" s="14" t="str">
        <x:v>Пілот зараз — Н.14</x:v>
      </x:c>
      <x:c r="I1299" s="16" t="n">
        <x:v>5</x:v>
      </x:c>
      <x:c r="J1299" s="16" t="n">
        <x:v>5</x:v>
      </x:c>
      <x:c r="K1299" s="16" t="n">
        <x:v>4</x:v>
      </x:c>
      <x:c r="L1299" s="16" t="n">
        <x:v>1</x:v>
      </x:c>
      <x:c r="M1299" s="16" t="n">
        <x:v>5</x:v>
      </x:c>
      <x:c r="N1299" s="16" t="n">
        <x:v>5</x:v>
      </x:c>
      <x:c r="O1299" s="16" t="n">
        <x:v>3</x:v>
      </x:c>
      <x:c r="P1299" s="16" t="n">
        <x:f>IF(COUNT(I1299:O1299)&lt;7,"",I1299*8+J1299*3+K1299*2+L1299*2+M1299*2+N1299*2+O1299)</x:f>
        <x:v>88</x:v>
      </x:c>
      <x:c r="Q1299" s="16" t="n">
        <x:f>IF(COUNT(J1299:O1299)&lt;6,"",J1299*5+K1299*4+M1299*4+L1299*3+N1299*2+O1299*2)</x:f>
        <x:v>80</x:v>
      </x:c>
      <x:c r="R1299" s="14" t="str">
        <x:v>high</x:v>
      </x:c>
      <x:c r="S1299" s="14" t="str">
        <x:v>official_prozorro_award_2024_2026</x:v>
      </x:c>
      <x:c r="T1299" s="14" t="str">
        <x:v>official_prozorro_api</x:v>
      </x:c>
      <x:c r="U1299" s="14" t="str">
        <x:v>Не контактували</x:v>
      </x:c>
      <x:c r="V1299" s="15" t="str">
        <x:v>Персоналізований free-pilot outreach по UA-2025-07-24-010307-a; попросити 1 пакет Н.14/Н.15</x:v>
      </x:c>
      <x:c r="W1299" s="15" t="str">
        <x:v>Власник / директор; керівник ПТО; відповідальний за договори</x:v>
      </x:c>
      <x:c r="X1299" s="15" t="str">
        <x:v>1 нових підтверджених перемог/договорів у Prozorro на 81 600 грн; 0 зі строком виконання не раніше 24.08.2026.</x:v>
      </x:c>
      <x:c r="Y1299" s="15" t="str">
        <x:v>Монтаж обладнення системи вентиляції і кондиціювання (ДК 021:2015: 45330000-9 Водопровідні та санітарно-технічні роботи); строк до 2025-08-08. Попросити один знеособлений пакет здачі за цим workflow.</x:v>
      </x:c>
      <x:c r="Z1299" s="15" t="str">
        <x:v>https://prozorro.gov.ua/tender/UA-2025-07-24-010307-a</x:v>
      </x:c>
      <x:c r="AA1299" s="14" t="str">
        <x:v>32932459</x:v>
      </x:c>
      <x:c r="AB1299" s="14" t="str">
        <x:v>2026-08-24</x:v>
      </x:c>
      <x:c r="AC1299" s="14" t="str"/>
      <x:c r="AD1299" s="20" t="str"/>
      <x:c r="AE1299" s="14" t="str"/>
      <x:c r="AF1299" s="14" t="n">
        <x:v>30</x:v>
      </x:c>
      <x:c r="AG1299" s="14" t="str">
        <x:v>I3</x:v>
      </x:c>
      <x:c r="AH1299" s="14" t="n">
        <x:v>1</x:v>
      </x:c>
      <x:c r="AI1299" s="14" t="n">
        <x:v>0</x:v>
      </x:c>
      <x:c r="AJ1299" s="18" t="n">
        <x:v>81600</x:v>
      </x:c>
      <x:c r="AK1299" s="14" t="str">
        <x:v>https://prozorro.gov.ua/tender/UA-2025-07-24-010307-a</x:v>
      </x:c>
      <x:c r="AL1299" s="19" t="n">
        <x:v>45862.561408472226</x:v>
      </x:c>
      <x:c r="AM1299" s="19" t="n">
        <x:v>45877</x:v>
      </x:c>
      <x:c r="AN1299" s="15" t="str">
        <x:v>HVAC / ОВіК</x:v>
      </x:c>
      <x:c r="AO1299" s="15" t="str">
        <x:v>not_found_in_top_search</x:v>
      </x:c>
    </x:row>
    <x:row r="1300">
      <x:c r="A1300" s="14" t="str">
        <x:v>W4-481</x:v>
      </x:c>
      <x:c r="B1300" s="14" t="str">
        <x:v>Prozorro expansion — 24.08</x:v>
      </x:c>
      <x:c r="C1300" s="14" t="str">
        <x:v>ТОВ «Науково-виробничий  центр розвитку технологій»</x:v>
      </x:c>
      <x:c r="D1300" s="14" t="str">
        <x:v>Металоконструкції</x:v>
      </x:c>
      <x:c r="E1300" s="14" t="str">
        <x:v>Expansion discovery</x:v>
      </x:c>
      <x:c r="F1300" s="17" t="str">
        <x:v>D3</x:v>
      </x:c>
      <x:c r="G1300" s="14" t="str"/>
      <x:c r="H1300" s="14" t="str">
        <x:v>Discovery розширення — 2 тижні</x:v>
      </x:c>
      <x:c r="I1300" s="16" t="n">
        <x:v>1</x:v>
      </x:c>
      <x:c r="J1300" s="16" t="n">
        <x:v>5</x:v>
      </x:c>
      <x:c r="K1300" s="16" t="n">
        <x:v>5</x:v>
      </x:c>
      <x:c r="L1300" s="16" t="n">
        <x:v>1</x:v>
      </x:c>
      <x:c r="M1300" s="16" t="n">
        <x:v>5</x:v>
      </x:c>
      <x:c r="N1300" s="16" t="n">
        <x:v>5</x:v>
      </x:c>
      <x:c r="O1300" s="16" t="n">
        <x:v>3</x:v>
      </x:c>
      <x:c r="P1300" s="16" t="n">
        <x:f>IF(COUNT(I1300:O1300)&lt;7,"",I1300*8+J1300*3+K1300*2+L1300*2+M1300*2+N1300*2+O1300)</x:f>
        <x:v>58</x:v>
      </x:c>
      <x:c r="Q1300" s="16" t="n">
        <x:f>IF(COUNT(J1300:O1300)&lt;6,"",J1300*5+K1300*4+M1300*4+L1300*3+N1300*2+O1300*2)</x:f>
        <x:v>84</x:v>
      </x:c>
      <x:c r="R1300" s="14" t="str">
        <x:v>high</x:v>
      </x:c>
      <x:c r="S1300" s="14" t="str">
        <x:v>official_prozorro_award_2024_2026</x:v>
      </x:c>
      <x:c r="T1300" s="14" t="str">
        <x:v>official_prozorro_api</x:v>
      </x:c>
      <x:c r="U1300" s="14" t="str">
        <x:v>Не контактували</x:v>
      </x:c>
      <x:c r="V1300" s="15" t="str">
        <x:v>Workflow-audit outreach по UA-2025-12-02-000039-a; попросити 1 пакет здачі та вимоги проєкту</x:v>
      </x:c>
      <x:c r="W1300" s="15" t="str">
        <x:v>Власник / директор; керівник ПТО; відповідальний за договори</x:v>
      </x:c>
      <x:c r="X1300" s="15" t="str">
        <x:v>1 нових підтверджених перемог/договорів у Prozorro на 78 739 грн; 0 зі строком виконання не раніше 24.08.2026.</x:v>
      </x:c>
      <x:c r="Y1300"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 строк до 2025-12-31. Попросити один знеособлений пакет здачі за цим workflow.</x:v>
      </x:c>
      <x:c r="Z1300" s="15" t="str">
        <x:v>https://prozorro.gov.ua/tender/UA-2025-12-02-000039-a</x:v>
      </x:c>
      <x:c r="AA1300" s="14" t="str">
        <x:v>43240129</x:v>
      </x:c>
      <x:c r="AB1300" s="14" t="str">
        <x:v>2026-08-24</x:v>
      </x:c>
      <x:c r="AC1300" s="14" t="str"/>
      <x:c r="AD1300" s="20" t="str"/>
      <x:c r="AE1300" s="14" t="str"/>
      <x:c r="AF1300" s="14" t="n">
        <x:v>30</x:v>
      </x:c>
      <x:c r="AG1300" s="14" t="str">
        <x:v>I3</x:v>
      </x:c>
      <x:c r="AH1300" s="14" t="n">
        <x:v>1</x:v>
      </x:c>
      <x:c r="AI1300" s="14" t="n">
        <x:v>0</x:v>
      </x:c>
      <x:c r="AJ1300" s="18" t="n">
        <x:v>78738.6</x:v>
      </x:c>
      <x:c r="AK1300" s="14" t="str">
        <x:v>https://prozorro.gov.ua/tender/UA-2025-12-02-000039-a</x:v>
      </x:c>
      <x:c r="AL1300" s="19" t="n">
        <x:v>45992.94005346065</x:v>
      </x:c>
      <x:c r="AM1300" s="19" t="n">
        <x:v>46021.94159722222</x:v>
      </x:c>
      <x:c r="AN1300" s="15" t="str">
        <x:v>Металоконструкції</x:v>
      </x:c>
      <x:c r="AO1300" s="15" t="str">
        <x:v>not_found_in_top_search</x:v>
      </x:c>
    </x:row>
    <x:row r="1301">
      <x:c r="A1301" s="14" t="str">
        <x:v>W4-482</x:v>
      </x:c>
      <x:c r="B1301" s="14" t="str">
        <x:v>Prozorro expansion — 24.08</x:v>
      </x:c>
      <x:c r="C1301" s="14" t="str">
        <x:v>МЕДЯНИК ВАДИМ ПЕТРОВИЧ</x:v>
      </x:c>
      <x:c r="D1301" s="14" t="str">
        <x:v>Металоконструкції</x:v>
      </x:c>
      <x:c r="E1301" s="14" t="str">
        <x:v>Expansion discovery</x:v>
      </x:c>
      <x:c r="F1301" s="17" t="str">
        <x:v>D3</x:v>
      </x:c>
      <x:c r="G1301" s="14" t="str"/>
      <x:c r="H1301" s="14" t="str">
        <x:v>Discovery розширення — 2 тижні</x:v>
      </x:c>
      <x:c r="I1301" s="16" t="n">
        <x:v>1</x:v>
      </x:c>
      <x:c r="J1301" s="16" t="n">
        <x:v>5</x:v>
      </x:c>
      <x:c r="K1301" s="16" t="n">
        <x:v>5</x:v>
      </x:c>
      <x:c r="L1301" s="16" t="n">
        <x:v>1</x:v>
      </x:c>
      <x:c r="M1301" s="16" t="n">
        <x:v>5</x:v>
      </x:c>
      <x:c r="N1301" s="16" t="n">
        <x:v>3</x:v>
      </x:c>
      <x:c r="O1301" s="16" t="n">
        <x:v>3</x:v>
      </x:c>
      <x:c r="P1301" s="16" t="n">
        <x:f>IF(COUNT(I1301:O1301)&lt;7,"",I1301*8+J1301*3+K1301*2+L1301*2+M1301*2+N1301*2+O1301)</x:f>
        <x:v>54</x:v>
      </x:c>
      <x:c r="Q1301" s="16" t="n">
        <x:f>IF(COUNT(J1301:O1301)&lt;6,"",J1301*5+K1301*4+M1301*4+L1301*3+N1301*2+O1301*2)</x:f>
        <x:v>80</x:v>
      </x:c>
      <x:c r="R1301" s="14" t="str">
        <x:v>high</x:v>
      </x:c>
      <x:c r="S1301" s="14" t="str">
        <x:v>official_prozorro_award_2024_2026</x:v>
      </x:c>
      <x:c r="T1301" s="14" t="str">
        <x:v>official_prozorro_api</x:v>
      </x:c>
      <x:c r="U1301" s="14" t="str">
        <x:v>Не контактували</x:v>
      </x:c>
      <x:c r="V1301" s="15" t="str">
        <x:v>Workflow-audit outreach по UA-2025-04-18-001396-a; попросити 1 пакет здачі та вимоги проєкту</x:v>
      </x:c>
      <x:c r="W1301" s="15" t="str">
        <x:v>Власник / виконавець; відповідальний за договір</x:v>
      </x:c>
      <x:c r="X1301" s="15" t="str">
        <x:v>1 нових підтверджених перемог/договорів у Prozorro на 75 700 грн; 0 зі строком виконання не раніше 24.08.2026.</x:v>
      </x:c>
      <x:c r="Y1301"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 строк до 2025-12-31. Попросити один знеособлений пакет здачі за цим workflow.</x:v>
      </x:c>
      <x:c r="Z1301" s="15" t="str">
        <x:v>https://prozorro.gov.ua/tender/UA-2025-04-18-001396-a</x:v>
      </x:c>
      <x:c r="AA1301" s="14" t="str">
        <x:v>3152115256</x:v>
      </x:c>
      <x:c r="AB1301" s="14" t="str">
        <x:v>2026-08-24</x:v>
      </x:c>
      <x:c r="AC1301" s="14" t="str"/>
      <x:c r="AD1301" s="20" t="str"/>
      <x:c r="AE1301" s="14" t="str"/>
      <x:c r="AF1301" s="14" t="n">
        <x:v>30</x:v>
      </x:c>
      <x:c r="AG1301" s="14" t="str">
        <x:v>I3</x:v>
      </x:c>
      <x:c r="AH1301" s="14" t="n">
        <x:v>1</x:v>
      </x:c>
      <x:c r="AI1301" s="14" t="n">
        <x:v>0</x:v>
      </x:c>
      <x:c r="AJ1301" s="18" t="n">
        <x:v>75700</x:v>
      </x:c>
      <x:c r="AK1301" s="14" t="str">
        <x:v>https://prozorro.gov.ua/tender/UA-2025-04-18-001396-a</x:v>
      </x:c>
      <x:c r="AL1301" s="19" t="n">
        <x:v>45765.28895127315</x:v>
      </x:c>
      <x:c r="AM1301" s="19" t="n">
        <x:v>46022</x:v>
      </x:c>
      <x:c r="AN1301" s="15" t="str">
        <x:v>Металоконструкції</x:v>
      </x:c>
      <x:c r="AO1301" s="15" t="str">
        <x:v>not_found_in_top_search</x:v>
      </x:c>
    </x:row>
    <x:row r="1302">
      <x:c r="A1302" s="14" t="str">
        <x:v>W4-483</x:v>
      </x:c>
      <x:c r="B1302" s="14" t="str">
        <x:v>Prozorro expansion — 24.08</x:v>
      </x:c>
      <x:c r="C1302" s="14" t="str">
        <x:v>КРЕСАНОВ ВАСИЛЬ МИХАЙЛОВИЧ</x:v>
      </x:c>
      <x:c r="D1302" s="14" t="str">
        <x:v>СКС / BMS / слаботочка</x:v>
      </x:c>
      <x:c r="E1302" s="14" t="str">
        <x:v>Expansion discovery</x:v>
      </x:c>
      <x:c r="F1302" s="17" t="str">
        <x:v>D3</x:v>
      </x:c>
      <x:c r="G1302" s="14" t="str"/>
      <x:c r="H1302" s="14" t="str">
        <x:v>Discovery розширення — 2 тижні</x:v>
      </x:c>
      <x:c r="I1302" s="16" t="n">
        <x:v>2</x:v>
      </x:c>
      <x:c r="J1302" s="16" t="n">
        <x:v>5</x:v>
      </x:c>
      <x:c r="K1302" s="16" t="n">
        <x:v>4</x:v>
      </x:c>
      <x:c r="L1302" s="16" t="n">
        <x:v>1</x:v>
      </x:c>
      <x:c r="M1302" s="16" t="n">
        <x:v>5</x:v>
      </x:c>
      <x:c r="N1302" s="16" t="n">
        <x:v>3</x:v>
      </x:c>
      <x:c r="O1302" s="16" t="n">
        <x:v>3</x:v>
      </x:c>
      <x:c r="P1302" s="16" t="n">
        <x:f>IF(COUNT(I1302:O1302)&lt;7,"",I1302*8+J1302*3+K1302*2+L1302*2+M1302*2+N1302*2+O1302)</x:f>
        <x:v>60</x:v>
      </x:c>
      <x:c r="Q1302" s="16" t="n">
        <x:f>IF(COUNT(J1302:O1302)&lt;6,"",J1302*5+K1302*4+M1302*4+L1302*3+N1302*2+O1302*2)</x:f>
        <x:v>76</x:v>
      </x:c>
      <x:c r="R1302" s="14" t="str">
        <x:v>high</x:v>
      </x:c>
      <x:c r="S1302" s="14" t="str">
        <x:v>official_prozorro_award_2024_2026</x:v>
      </x:c>
      <x:c r="T1302" s="14" t="str">
        <x:v>official_prozorro_api</x:v>
      </x:c>
      <x:c r="U1302" s="14" t="str">
        <x:v>Не контактували</x:v>
      </x:c>
      <x:c r="V1302" s="15" t="str">
        <x:v>Workflow-audit outreach по UA-2025-11-17-001208-a; попросити 1 пакет здачі та вимоги проєкту</x:v>
      </x:c>
      <x:c r="W1302" s="15" t="str">
        <x:v>Власник / виконавець; відповідальний за договір</x:v>
      </x:c>
      <x:c r="X1302" s="15" t="str">
        <x:v>1 нових підтверджених перемог/договорів у Prozorro на 71 748 грн; 0 зі строком виконання не раніше 24.08.2026.</x:v>
      </x:c>
      <x:c r="Y1302" s="15" t="str">
        <x:v>Монтаж структурованої кабельної системи; строк до 2025-12-31. Попросити один знеособлений пакет здачі за цим workflow.</x:v>
      </x:c>
      <x:c r="Z1302" s="15" t="str">
        <x:v>https://prozorro.gov.ua/tender/UA-2025-11-17-001208-a</x:v>
      </x:c>
      <x:c r="AA1302" s="14" t="str">
        <x:v>2522108375</x:v>
      </x:c>
      <x:c r="AB1302" s="14" t="str">
        <x:v>2026-08-24</x:v>
      </x:c>
      <x:c r="AC1302" s="14" t="str"/>
      <x:c r="AD1302" s="20" t="str"/>
      <x:c r="AE1302" s="14" t="str"/>
      <x:c r="AF1302" s="14" t="n">
        <x:v>30</x:v>
      </x:c>
      <x:c r="AG1302" s="14" t="str">
        <x:v>I3</x:v>
      </x:c>
      <x:c r="AH1302" s="14" t="n">
        <x:v>1</x:v>
      </x:c>
      <x:c r="AI1302" s="14" t="n">
        <x:v>0</x:v>
      </x:c>
      <x:c r="AJ1302" s="18" t="n">
        <x:v>71747.94</x:v>
      </x:c>
      <x:c r="AK1302" s="14" t="str">
        <x:v>https://prozorro.gov.ua/tender/UA-2025-11-17-001208-a</x:v>
      </x:c>
      <x:c r="AL1302" s="19" t="n">
        <x:v>45978.33547201389</x:v>
      </x:c>
      <x:c r="AM1302" s="19" t="n">
        <x:v>46022</x:v>
      </x:c>
      <x:c r="AN1302" s="15" t="str">
        <x:v>СКС / BMS / слаботочка</x:v>
      </x:c>
      <x:c r="AO1302" s="15" t="str">
        <x:v>not_found_in_top_search</x:v>
      </x:c>
    </x:row>
    <x:row r="1303">
      <x:c r="A1303" s="14" t="str">
        <x:v>W4-484</x:v>
      </x:c>
      <x:c r="B1303" s="14" t="str">
        <x:v>Prozorro expansion — 24.08</x:v>
      </x:c>
      <x:c r="C1303" s="14" t="str">
        <x:v>ТОВ "ДНІПРО-ТЕХНОЦЕНТР"</x:v>
      </x:c>
      <x:c r="D1303" s="14" t="str">
        <x:v>СКС / BMS / слаботочка</x:v>
      </x:c>
      <x:c r="E1303" s="14" t="str">
        <x:v>Expansion discovery</x:v>
      </x:c>
      <x:c r="F1303" s="17" t="str">
        <x:v>D3</x:v>
      </x:c>
      <x:c r="G1303" s="14" t="str">
        <x:v>dtcenter.com.ua</x:v>
      </x:c>
      <x:c r="H1303" s="14" t="str">
        <x:v>Discovery розширення — 2 тижні</x:v>
      </x:c>
      <x:c r="I1303" s="16" t="n">
        <x:v>2</x:v>
      </x:c>
      <x:c r="J1303" s="16" t="n">
        <x:v>5</x:v>
      </x:c>
      <x:c r="K1303" s="16" t="n">
        <x:v>4</x:v>
      </x:c>
      <x:c r="L1303" s="16" t="n">
        <x:v>1</x:v>
      </x:c>
      <x:c r="M1303" s="16" t="n">
        <x:v>5</x:v>
      </x:c>
      <x:c r="N1303" s="16" t="n">
        <x:v>5</x:v>
      </x:c>
      <x:c r="O1303" s="16" t="n">
        <x:v>5</x:v>
      </x:c>
      <x:c r="P1303" s="16" t="n">
        <x:f>IF(COUNT(I1303:O1303)&lt;7,"",I1303*8+J1303*3+K1303*2+L1303*2+M1303*2+N1303*2+O1303)</x:f>
        <x:v>66</x:v>
      </x:c>
      <x:c r="Q1303" s="16" t="n">
        <x:f>IF(COUNT(J1303:O1303)&lt;6,"",J1303*5+K1303*4+M1303*4+L1303*3+N1303*2+O1303*2)</x:f>
        <x:v>84</x:v>
      </x:c>
      <x:c r="R1303" s="14" t="str">
        <x:v>high</x:v>
      </x:c>
      <x:c r="S1303" s="14" t="str">
        <x:v>official_prozorro_award_2024_2026</x:v>
      </x:c>
      <x:c r="T1303" s="14" t="str">
        <x:v>official_prozorro_api</x:v>
      </x:c>
      <x:c r="U1303" s="14" t="str">
        <x:v>Не контактували</x:v>
      </x:c>
      <x:c r="V1303" s="15" t="str">
        <x:v>Workflow-audit outreach по UA-2025-10-02-002504-a; попросити 1 пакет здачі та вимоги проєкту</x:v>
      </x:c>
      <x:c r="W1303" s="15" t="str">
        <x:v>Власник / директор; керівник ПТО; відповідальний за договори</x:v>
      </x:c>
      <x:c r="X1303" s="15" t="str">
        <x:v>1 нових підтверджених перемог/договорів у Prozorro на 69 291 грн; 0 зі строком виконання не раніше 24.08.2026.</x:v>
      </x:c>
      <x:c r="Y1303" s="15" t="str">
        <x:v>послуги з монтажу структурованої кабельної системи; строк до 2025-12-20. Попросити один знеособлений пакет здачі за цим workflow.</x:v>
      </x:c>
      <x:c r="Z1303" s="15" t="str">
        <x:v>https://prozorro.gov.ua/tender/UA-2025-10-02-002504-a</x:v>
      </x:c>
      <x:c r="AA1303" s="14" t="str">
        <x:v>19089304</x:v>
      </x:c>
      <x:c r="AB1303" s="14" t="str">
        <x:v>2026-08-24</x:v>
      </x:c>
      <x:c r="AC1303" s="14" t="str"/>
      <x:c r="AD1303" s="20" t="str"/>
      <x:c r="AE1303" s="14" t="str"/>
      <x:c r="AF1303" s="14" t="n">
        <x:v>30</x:v>
      </x:c>
      <x:c r="AG1303" s="14" t="str">
        <x:v>I3</x:v>
      </x:c>
      <x:c r="AH1303" s="14" t="n">
        <x:v>1</x:v>
      </x:c>
      <x:c r="AI1303" s="14" t="n">
        <x:v>0</x:v>
      </x:c>
      <x:c r="AJ1303" s="18" t="n">
        <x:v>69291</x:v>
      </x:c>
      <x:c r="AK1303" s="14" t="str">
        <x:v>https://prozorro.gov.ua/tender/UA-2025-10-02-002504-a</x:v>
      </x:c>
      <x:c r="AL1303" s="19" t="n">
        <x:v>45952.580162060185</x:v>
      </x:c>
      <x:c r="AM1303" s="19" t="n">
        <x:v>46011</x:v>
      </x:c>
      <x:c r="AN1303" s="15" t="str">
        <x:v>СКС / BMS / слаботочка</x:v>
      </x:c>
      <x:c r="AO1303" s="15" t="str">
        <x:v>supplier_provided_url</x:v>
      </x:c>
    </x:row>
    <x:row r="1304">
      <x:c r="A1304" s="14" t="str">
        <x:v>W4-485</x:v>
      </x:c>
      <x:c r="B1304" s="14" t="str">
        <x:v>Prozorro expansion — 24.08</x:v>
      </x:c>
      <x:c r="C1304" s="14" t="str">
        <x:v>ТОВ "УКРГОСТ ГРУП"</x:v>
      </x:c>
      <x:c r="D1304" s="14" t="str">
        <x:v>Покрівлі та гідроізоляція</x:v>
      </x:c>
      <x:c r="E1304" s="14" t="str">
        <x:v>Expansion discovery</x:v>
      </x:c>
      <x:c r="F1304" s="17" t="str">
        <x:v>D3</x:v>
      </x:c>
      <x:c r="G1304" s="14" t="str"/>
      <x:c r="H1304" s="14" t="str">
        <x:v>Discovery розширення — 2 тижні</x:v>
      </x:c>
      <x:c r="I1304" s="16" t="n">
        <x:v>1</x:v>
      </x:c>
      <x:c r="J1304" s="16" t="n">
        <x:v>5</x:v>
      </x:c>
      <x:c r="K1304" s="16" t="n">
        <x:v>5</x:v>
      </x:c>
      <x:c r="L1304" s="16" t="n">
        <x:v>1</x:v>
      </x:c>
      <x:c r="M1304" s="16" t="n">
        <x:v>5</x:v>
      </x:c>
      <x:c r="N1304" s="16" t="n">
        <x:v>5</x:v>
      </x:c>
      <x:c r="O1304" s="16" t="n">
        <x:v>3</x:v>
      </x:c>
      <x:c r="P1304" s="16" t="n">
        <x:f>IF(COUNT(I1304:O1304)&lt;7,"",I1304*8+J1304*3+K1304*2+L1304*2+M1304*2+N1304*2+O1304)</x:f>
        <x:v>58</x:v>
      </x:c>
      <x:c r="Q1304" s="16" t="n">
        <x:f>IF(COUNT(J1304:O1304)&lt;6,"",J1304*5+K1304*4+M1304*4+L1304*3+N1304*2+O1304*2)</x:f>
        <x:v>84</x:v>
      </x:c>
      <x:c r="R1304" s="14" t="str">
        <x:v>high</x:v>
      </x:c>
      <x:c r="S1304" s="14" t="str">
        <x:v>official_prozorro_award_2024_2026</x:v>
      </x:c>
      <x:c r="T1304" s="14" t="str">
        <x:v>official_prozorro_api</x:v>
      </x:c>
      <x:c r="U1304" s="14" t="str">
        <x:v>Не контактували</x:v>
      </x:c>
      <x:c r="V1304" s="15" t="str">
        <x:v>Workflow-audit outreach по UA-2025-10-23-015148-a; попросити 1 пакет здачі та вимоги проєкту</x:v>
      </x:c>
      <x:c r="W1304" s="15" t="str">
        <x:v>Власник / директор; керівник ПТО; відповідальний за договори</x:v>
      </x:c>
      <x:c r="X1304" s="15" t="str">
        <x:v>1 нових підтверджених перемог/договорів у Prozorro на 69 038 грн; 0 зі строком виконання не раніше 24.08.2026.</x:v>
      </x:c>
      <x:c r="Y1304"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 строк до 2025-11-28. Попросити один знеособлений пакет здачі за цим workflow.</x:v>
      </x:c>
      <x:c r="Z1304" s="15" t="str">
        <x:v>https://prozorro.gov.ua/tender/UA-2025-10-23-015148-a</x:v>
      </x:c>
      <x:c r="AA1304" s="14" t="str">
        <x:v>44842704</x:v>
      </x:c>
      <x:c r="AB1304" s="14" t="str">
        <x:v>2026-08-24</x:v>
      </x:c>
      <x:c r="AC1304" s="14" t="str"/>
      <x:c r="AD1304" s="20" t="str"/>
      <x:c r="AE1304" s="14" t="str"/>
      <x:c r="AF1304" s="14" t="n">
        <x:v>30</x:v>
      </x:c>
      <x:c r="AG1304" s="14" t="str">
        <x:v>I3</x:v>
      </x:c>
      <x:c r="AH1304" s="14" t="n">
        <x:v>1</x:v>
      </x:c>
      <x:c r="AI1304" s="14" t="n">
        <x:v>0</x:v>
      </x:c>
      <x:c r="AJ1304" s="18" t="n">
        <x:v>69037.5</x:v>
      </x:c>
      <x:c r="AK1304" s="14" t="str">
        <x:v>https://prozorro.gov.ua/tender/UA-2025-10-23-015148-a</x:v>
      </x:c>
      <x:c r="AL1304" s="19" t="n">
        <x:v>45967.411446875</x:v>
      </x:c>
      <x:c r="AM1304" s="19" t="n">
        <x:v>45989</x:v>
      </x:c>
      <x:c r="AN1304" s="15" t="str">
        <x:v>Покрівлі та гідроізоляція</x:v>
      </x:c>
      <x:c r="AO1304" s="15" t="str">
        <x:v>not_found_in_top_search</x:v>
      </x:c>
    </x:row>
    <x:row r="1305">
      <x:c r="A1305" s="14" t="str">
        <x:v>W4-486</x:v>
      </x:c>
      <x:c r="B1305" s="14" t="str">
        <x:v>Prozorro expansion — 24.08</x:v>
      </x:c>
      <x:c r="C1305" s="14" t="str">
        <x:v>"НТЦ Екологія"</x:v>
      </x:c>
      <x:c r="D1305" s="14" t="str">
        <x:v>Водоочищення / очисні споруди</x:v>
      </x:c>
      <x:c r="E1305" s="14" t="str">
        <x:v>Expansion discovery</x:v>
      </x:c>
      <x:c r="F1305" s="17" t="str">
        <x:v>D3</x:v>
      </x:c>
      <x:c r="G1305" s="14" t="str">
        <x:v>ntc-ecology.com.ua</x:v>
      </x:c>
      <x:c r="H1305" s="14" t="str">
        <x:v>Discovery розширення — 2 тижні</x:v>
      </x:c>
      <x:c r="I1305" s="16" t="n">
        <x:v>1</x:v>
      </x:c>
      <x:c r="J1305" s="16" t="n">
        <x:v>5</x:v>
      </x:c>
      <x:c r="K1305" s="16" t="n">
        <x:v>4</x:v>
      </x:c>
      <x:c r="L1305" s="16" t="n">
        <x:v>1</x:v>
      </x:c>
      <x:c r="M1305" s="16" t="n">
        <x:v>5</x:v>
      </x:c>
      <x:c r="N1305" s="16" t="n">
        <x:v>5</x:v>
      </x:c>
      <x:c r="O1305" s="16" t="n">
        <x:v>5</x:v>
      </x:c>
      <x:c r="P1305" s="16" t="n">
        <x:f>IF(COUNT(I1305:O1305)&lt;7,"",I1305*8+J1305*3+K1305*2+L1305*2+M1305*2+N1305*2+O1305)</x:f>
        <x:v>58</x:v>
      </x:c>
      <x:c r="Q1305" s="16" t="n">
        <x:f>IF(COUNT(J1305:O1305)&lt;6,"",J1305*5+K1305*4+M1305*4+L1305*3+N1305*2+O1305*2)</x:f>
        <x:v>84</x:v>
      </x:c>
      <x:c r="R1305" s="14" t="str">
        <x:v>high</x:v>
      </x:c>
      <x:c r="S1305" s="14" t="str">
        <x:v>official_prozorro_award_2024_2026</x:v>
      </x:c>
      <x:c r="T1305" s="14" t="str">
        <x:v>official_prozorro_api</x:v>
      </x:c>
      <x:c r="U1305" s="14" t="str">
        <x:v>Не контактували</x:v>
      </x:c>
      <x:c r="V1305" s="15" t="str">
        <x:v>Workflow-audit outreach по UA-2025-09-16-013760-a; попросити 1 пакет здачі та вимоги проєкту</x:v>
      </x:c>
      <x:c r="W1305" s="15" t="str">
        <x:v>Власник / директор; керівник ПТО; відповідальний за договори</x:v>
      </x:c>
      <x:c r="X1305" s="15" t="str">
        <x:v>1 нових підтверджених перемог/договорів у Prozorro на 55 200 грн; 0 зі строком виконання не раніше 24.08.2026.</x:v>
      </x:c>
      <x:c r="Y1305" s="15" t="str">
        <x:v>Роботи з розробки проєктної документації на об'єкт "Реконструкція очисних споруд флотаційної моторвагонного депо Одеса-Застава в м. Одеса; строк до 2025-12-31. Попросити один знеособлений пакет здачі за цим workflow.</x:v>
      </x:c>
      <x:c r="Z1305" s="15" t="str">
        <x:v>https://prozorro.gov.ua/tender/UA-2025-09-16-013760-a</x:v>
      </x:c>
      <x:c r="AA1305" s="14" t="str">
        <x:v>24096217</x:v>
      </x:c>
      <x:c r="AB1305" s="14" t="str">
        <x:v>2026-08-24</x:v>
      </x:c>
      <x:c r="AC1305" s="14" t="str"/>
      <x:c r="AD1305" s="20" t="str"/>
      <x:c r="AE1305" s="14" t="str"/>
      <x:c r="AF1305" s="14" t="n">
        <x:v>30</x:v>
      </x:c>
      <x:c r="AG1305" s="14" t="str">
        <x:v>I3</x:v>
      </x:c>
      <x:c r="AH1305" s="14" t="n">
        <x:v>1</x:v>
      </x:c>
      <x:c r="AI1305" s="14" t="n">
        <x:v>0</x:v>
      </x:c>
      <x:c r="AJ1305" s="18" t="n">
        <x:v>55200</x:v>
      </x:c>
      <x:c r="AK1305" s="14" t="str">
        <x:v>https://prozorro.gov.ua/tender/UA-2025-09-16-013760-a</x:v>
      </x:c>
      <x:c r="AL1305" s="19" t="n">
        <x:v>45916.5751627662</x:v>
      </x:c>
      <x:c r="AM1305" s="19" t="n">
        <x:v>46022</x:v>
      </x:c>
      <x:c r="AN1305" s="15" t="str">
        <x:v>Водоочищення / очисні споруди</x:v>
      </x:c>
      <x:c r="AO1305" s="15" t="str">
        <x:v>supplier_provided_url</x:v>
      </x:c>
    </x:row>
    <x:row r="1306">
      <x:c r="A1306" s="14" t="str">
        <x:v>W4-487</x:v>
      </x:c>
      <x:c r="B1306" s="14" t="str">
        <x:v>Prozorro expansion — 24.08</x:v>
      </x:c>
      <x:c r="C1306" s="14" t="str">
        <x:v>СПЕЦІАЛІЗОВАНЕ РЕМОНТНО-БУДІВЕЛЬНЕ УПРАВЛІННЯ "ХАРКІВЛІФТ-1" У ФОРМІ ТОВАРИСТВА З ОБМЕЖЕНОЮ ВІДПОВІДАЛЬНІСТЮ</x:v>
      </x:c>
      <x:c r="D1306" s="14" t="str">
        <x:v>Ліфти та підйомники</x:v>
      </x:c>
      <x:c r="E1306" s="14" t="str">
        <x:v>Expansion discovery</x:v>
      </x:c>
      <x:c r="F1306" s="17" t="str">
        <x:v>D3</x:v>
      </x:c>
      <x:c r="G1306" s="14" t="str"/>
      <x:c r="H1306" s="14" t="str">
        <x:v>Discovery розширення — 2 тижні</x:v>
      </x:c>
      <x:c r="I1306" s="16" t="n">
        <x:v>1</x:v>
      </x:c>
      <x:c r="J1306" s="16" t="n">
        <x:v>5</x:v>
      </x:c>
      <x:c r="K1306" s="16" t="n">
        <x:v>4</x:v>
      </x:c>
      <x:c r="L1306" s="16" t="n">
        <x:v>1</x:v>
      </x:c>
      <x:c r="M1306" s="16" t="n">
        <x:v>5</x:v>
      </x:c>
      <x:c r="N1306" s="16" t="n">
        <x:v>5</x:v>
      </x:c>
      <x:c r="O1306" s="16" t="n">
        <x:v>3</x:v>
      </x:c>
      <x:c r="P1306" s="16" t="n">
        <x:f>IF(COUNT(I1306:O1306)&lt;7,"",I1306*8+J1306*3+K1306*2+L1306*2+M1306*2+N1306*2+O1306)</x:f>
        <x:v>56</x:v>
      </x:c>
      <x:c r="Q1306" s="16" t="n">
        <x:f>IF(COUNT(J1306:O1306)&lt;6,"",J1306*5+K1306*4+M1306*4+L1306*3+N1306*2+O1306*2)</x:f>
        <x:v>80</x:v>
      </x:c>
      <x:c r="R1306" s="14" t="str">
        <x:v>high</x:v>
      </x:c>
      <x:c r="S1306" s="14" t="str">
        <x:v>official_prozorro_award_2024_2026</x:v>
      </x:c>
      <x:c r="T1306" s="14" t="str">
        <x:v>official_prozorro_api</x:v>
      </x:c>
      <x:c r="U1306" s="14" t="str">
        <x:v>Не контактували</x:v>
      </x:c>
      <x:c r="V1306" s="15" t="str">
        <x:v>Workflow-audit outreach по UA-2025-11-12-013442-a; попросити 1 пакет здачі та вимоги проєкту</x:v>
      </x:c>
      <x:c r="W1306" s="15" t="str">
        <x:v>Власник / директор; керівник ПТО; відповідальний за договори</x:v>
      </x:c>
      <x:c r="X1306" s="15" t="str">
        <x:v>1 нових підтверджених перемог/договорів у Prozorro на 49 980 грн; 0 зі строком виконання не раніше 24.08.2026.</x:v>
      </x:c>
      <x:c r="Y1306" s="15" t="str">
        <x:v>Демонтаж/монтаж редуктора, ремонт редуктора з заміною вала та підшипників на ліфті пасажирському в/п 630кг на 10 зупинок; строк до 2025-11-18. Попросити один знеособлений пакет здачі за цим workflow.</x:v>
      </x:c>
      <x:c r="Z1306" s="15" t="str">
        <x:v>https://prozorro.gov.ua/tender/UA-2025-11-12-013442-a</x:v>
      </x:c>
      <x:c r="AA1306" s="14" t="str">
        <x:v>32563804</x:v>
      </x:c>
      <x:c r="AB1306" s="14" t="str">
        <x:v>2026-08-24</x:v>
      </x:c>
      <x:c r="AC1306" s="14" t="str"/>
      <x:c r="AD1306" s="20" t="str"/>
      <x:c r="AE1306" s="14" t="str"/>
      <x:c r="AF1306" s="14" t="n">
        <x:v>30</x:v>
      </x:c>
      <x:c r="AG1306" s="14" t="str">
        <x:v>I3</x:v>
      </x:c>
      <x:c r="AH1306" s="14" t="n">
        <x:v>1</x:v>
      </x:c>
      <x:c r="AI1306" s="14" t="n">
        <x:v>0</x:v>
      </x:c>
      <x:c r="AJ1306" s="18" t="n">
        <x:v>49980</x:v>
      </x:c>
      <x:c r="AK1306" s="14" t="str">
        <x:v>https://prozorro.gov.ua/tender/UA-2025-11-12-013442-a</x:v>
      </x:c>
      <x:c r="AL1306" s="19" t="n">
        <x:v>45973.58487446759</x:v>
      </x:c>
      <x:c r="AM1306" s="19" t="n">
        <x:v>45979.916655092595</x:v>
      </x:c>
      <x:c r="AN1306" s="15" t="str">
        <x:v>Ліфти та підйомники</x:v>
      </x:c>
      <x:c r="AO1306" s="15" t="str">
        <x:v>not_found_in_top_search</x:v>
      </x:c>
    </x:row>
    <x:row r="1307">
      <x:c r="A1307" s="14" t="str">
        <x:v>W4-488</x:v>
      </x:c>
      <x:c r="B1307" s="14" t="str">
        <x:v>Prozorro expansion — 24.08</x:v>
      </x:c>
      <x:c r="C1307" s="14" t="str">
        <x:v>Гордієнко Віталій Вікторович</x:v>
      </x:c>
      <x:c r="D1307" s="14" t="str">
        <x:v>Металоконструкції</x:v>
      </x:c>
      <x:c r="E1307" s="14" t="str">
        <x:v>Expansion discovery</x:v>
      </x:c>
      <x:c r="F1307" s="17" t="str">
        <x:v>D3</x:v>
      </x:c>
      <x:c r="G1307" s="14" t="str"/>
      <x:c r="H1307" s="14" t="str">
        <x:v>Discovery розширення — 2 тижні</x:v>
      </x:c>
      <x:c r="I1307" s="16" t="n">
        <x:v>1</x:v>
      </x:c>
      <x:c r="J1307" s="16" t="n">
        <x:v>5</x:v>
      </x:c>
      <x:c r="K1307" s="16" t="n">
        <x:v>5</x:v>
      </x:c>
      <x:c r="L1307" s="16" t="n">
        <x:v>1</x:v>
      </x:c>
      <x:c r="M1307" s="16" t="n">
        <x:v>5</x:v>
      </x:c>
      <x:c r="N1307" s="16" t="n">
        <x:v>3</x:v>
      </x:c>
      <x:c r="O1307" s="16" t="n">
        <x:v>3</x:v>
      </x:c>
      <x:c r="P1307" s="16" t="n">
        <x:f>IF(COUNT(I1307:O1307)&lt;7,"",I1307*8+J1307*3+K1307*2+L1307*2+M1307*2+N1307*2+O1307)</x:f>
        <x:v>54</x:v>
      </x:c>
      <x:c r="Q1307" s="16" t="n">
        <x:f>IF(COUNT(J1307:O1307)&lt;6,"",J1307*5+K1307*4+M1307*4+L1307*3+N1307*2+O1307*2)</x:f>
        <x:v>80</x:v>
      </x:c>
      <x:c r="R1307" s="14" t="str">
        <x:v>high</x:v>
      </x:c>
      <x:c r="S1307" s="14" t="str">
        <x:v>official_prozorro_award_2024_2026</x:v>
      </x:c>
      <x:c r="T1307" s="14" t="str">
        <x:v>official_prozorro_api</x:v>
      </x:c>
      <x:c r="U1307" s="14" t="str">
        <x:v>Не контактували</x:v>
      </x:c>
      <x:c r="V1307" s="15" t="str">
        <x:v>Workflow-audit outreach по UA-2025-12-24-018375-a; попросити 1 пакет здачі та вимоги проєкту</x:v>
      </x:c>
      <x:c r="W1307" s="15" t="str">
        <x:v>Власник / виконавець; відповідальний за договір</x:v>
      </x:c>
      <x:c r="X1307" s="15" t="str">
        <x:v>1 нових підтверджених перемог/договорів у Prozorro на 42 379 грн; 0 зі строком виконання не раніше 24.08.2026.</x:v>
      </x:c>
      <x:c r="Y1307"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 строк до 2025-12-31. Попросити один знеособлений пакет здачі за цим workflow.</x:v>
      </x:c>
      <x:c r="Z1307" s="15" t="str">
        <x:v>https://prozorro.gov.ua/tender/UA-2025-12-24-018375-a</x:v>
      </x:c>
      <x:c r="AA1307" s="14" t="str">
        <x:v>2958414499</x:v>
      </x:c>
      <x:c r="AB1307" s="14" t="str">
        <x:v>2026-08-24</x:v>
      </x:c>
      <x:c r="AC1307" s="14" t="str"/>
      <x:c r="AD1307" s="20" t="str"/>
      <x:c r="AE1307" s="14" t="str"/>
      <x:c r="AF1307" s="14" t="n">
        <x:v>30</x:v>
      </x:c>
      <x:c r="AG1307" s="14" t="str">
        <x:v>I3</x:v>
      </x:c>
      <x:c r="AH1307" s="14" t="n">
        <x:v>1</x:v>
      </x:c>
      <x:c r="AI1307" s="14" t="n">
        <x:v>0</x:v>
      </x:c>
      <x:c r="AJ1307" s="18" t="n">
        <x:v>42378.66</x:v>
      </x:c>
      <x:c r="AK1307" s="14" t="str">
        <x:v>https://prozorro.gov.ua/tender/UA-2025-12-24-018375-a</x:v>
      </x:c>
      <x:c r="AL1307" s="19" t="n">
        <x:v>46015.64445585648</x:v>
      </x:c>
      <x:c r="AM1307" s="19" t="n">
        <x:v>46022</x:v>
      </x:c>
      <x:c r="AN1307" s="15" t="str">
        <x:v>Металоконструкції</x:v>
      </x:c>
      <x:c r="AO1307" s="15" t="str">
        <x:v>not_found_in_top_search</x:v>
      </x:c>
    </x:row>
    <x:row r="1308">
      <x:c r="A1308" s="14" t="str">
        <x:v>W4-489</x:v>
      </x:c>
      <x:c r="B1308" s="14" t="str">
        <x:v>Prozorro expansion — 24.08</x:v>
      </x:c>
      <x:c r="C1308" s="14" t="str">
        <x:v>ТОВКАН ВАСИЛИНА ВАСИЛІВНА</x:v>
      </x:c>
      <x:c r="D1308" s="14" t="str">
        <x:v>HVAC / ОВіК</x:v>
      </x:c>
      <x:c r="E1308" s="14" t="str">
        <x:v>Pilot now</x:v>
      </x:c>
      <x:c r="F1308" s="17" t="str">
        <x:v>P3</x:v>
      </x:c>
      <x:c r="G1308" s="14" t="str"/>
      <x:c r="H1308" s="14" t="str">
        <x:v>Пілот зараз — Н.14</x:v>
      </x:c>
      <x:c r="I1308" s="16" t="n">
        <x:v>5</x:v>
      </x:c>
      <x:c r="J1308" s="16" t="n">
        <x:v>5</x:v>
      </x:c>
      <x:c r="K1308" s="16" t="n">
        <x:v>4</x:v>
      </x:c>
      <x:c r="L1308" s="16" t="n">
        <x:v>1</x:v>
      </x:c>
      <x:c r="M1308" s="16" t="n">
        <x:v>5</x:v>
      </x:c>
      <x:c r="N1308" s="16" t="n">
        <x:v>3</x:v>
      </x:c>
      <x:c r="O1308" s="16" t="n">
        <x:v>3</x:v>
      </x:c>
      <x:c r="P1308" s="16" t="n">
        <x:f>IF(COUNT(I1308:O1308)&lt;7,"",I1308*8+J1308*3+K1308*2+L1308*2+M1308*2+N1308*2+O1308)</x:f>
        <x:v>84</x:v>
      </x:c>
      <x:c r="Q1308" s="16" t="n">
        <x:f>IF(COUNT(J1308:O1308)&lt;6,"",J1308*5+K1308*4+M1308*4+L1308*3+N1308*2+O1308*2)</x:f>
        <x:v>76</x:v>
      </x:c>
      <x:c r="R1308" s="14" t="str">
        <x:v>high</x:v>
      </x:c>
      <x:c r="S1308" s="14" t="str">
        <x:v>official_prozorro_award_2024_2026</x:v>
      </x:c>
      <x:c r="T1308" s="14" t="str">
        <x:v>official_prozorro_api</x:v>
      </x:c>
      <x:c r="U1308" s="14" t="str">
        <x:v>Не контактували</x:v>
      </x:c>
      <x:c r="V1308" s="15" t="str">
        <x:v>Персоналізований free-pilot outreach по UA-2025-09-12-002983-a; попросити 1 пакет Н.14/Н.15</x:v>
      </x:c>
      <x:c r="W1308" s="15" t="str">
        <x:v>Власник / виконавець; відповідальний за договір</x:v>
      </x:c>
      <x:c r="X1308" s="15" t="str">
        <x:v>1 нових підтверджених перемог/договорів у Prozorro на 41 750 грн; 0 зі строком виконання не раніше 24.08.2026.</x:v>
      </x:c>
      <x:c r="Y130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2025-09-26. Попросити один знеособлений пакет здачі за цим workflow.</x:v>
      </x:c>
      <x:c r="Z1308" s="15" t="str">
        <x:v>https://prozorro.gov.ua/tender/UA-2025-09-12-002983-a</x:v>
      </x:c>
      <x:c r="AA1308" s="14" t="str">
        <x:v>3354404662</x:v>
      </x:c>
      <x:c r="AB1308" s="14" t="str">
        <x:v>2026-08-24</x:v>
      </x:c>
      <x:c r="AC1308" s="14" t="str"/>
      <x:c r="AD1308" s="20" t="str"/>
      <x:c r="AE1308" s="14" t="str"/>
      <x:c r="AF1308" s="14" t="n">
        <x:v>30</x:v>
      </x:c>
      <x:c r="AG1308" s="14" t="str">
        <x:v>I3</x:v>
      </x:c>
      <x:c r="AH1308" s="14" t="n">
        <x:v>1</x:v>
      </x:c>
      <x:c r="AI1308" s="14" t="n">
        <x:v>0</x:v>
      </x:c>
      <x:c r="AJ1308" s="18" t="n">
        <x:v>41750</x:v>
      </x:c>
      <x:c r="AK1308" s="14" t="str">
        <x:v>https://prozorro.gov.ua/tender/UA-2025-09-12-002983-a</x:v>
      </x:c>
      <x:c r="AL1308" s="19" t="n">
        <x:v>45912.31845875</x:v>
      </x:c>
      <x:c r="AM1308" s="19" t="n">
        <x:v>45926</x:v>
      </x:c>
      <x:c r="AN1308" s="15" t="str">
        <x:v>HVAC / ОВіК</x:v>
      </x:c>
      <x:c r="AO1308" s="15" t="str">
        <x:v>not_found_in_top_search</x:v>
      </x:c>
    </x:row>
    <x:row r="1309">
      <x:c r="A1309" s="14" t="str">
        <x:v>W4-490</x:v>
      </x:c>
      <x:c r="B1309" s="14" t="str">
        <x:v>Prozorro expansion — 24.08</x:v>
      </x:c>
      <x:c r="C1309" s="14" t="str">
        <x:v>ТОВАРИСТВО З ОБМЕЖЕНОЮ ВІДПОВІДАЛЬНІСТЮ "ЕНЕРГІЯ-ПРОМ"</x:v>
      </x:c>
      <x:c r="D1309" s="14" t="str">
        <x:v>HVAC / ОВіК</x:v>
      </x:c>
      <x:c r="E1309" s="14" t="str">
        <x:v>Pilot now</x:v>
      </x:c>
      <x:c r="F1309" s="17" t="str">
        <x:v>P3</x:v>
      </x:c>
      <x:c r="G1309" s="14" t="str"/>
      <x:c r="H1309" s="14" t="str">
        <x:v>Пілот зараз — Н.14</x:v>
      </x:c>
      <x:c r="I1309" s="16" t="n">
        <x:v>5</x:v>
      </x:c>
      <x:c r="J1309" s="16" t="n">
        <x:v>5</x:v>
      </x:c>
      <x:c r="K1309" s="16" t="n">
        <x:v>4</x:v>
      </x:c>
      <x:c r="L1309" s="16" t="n">
        <x:v>1</x:v>
      </x:c>
      <x:c r="M1309" s="16" t="n">
        <x:v>5</x:v>
      </x:c>
      <x:c r="N1309" s="16" t="n">
        <x:v>5</x:v>
      </x:c>
      <x:c r="O1309" s="16" t="n">
        <x:v>3</x:v>
      </x:c>
      <x:c r="P1309" s="16" t="n">
        <x:f>IF(COUNT(I1309:O1309)&lt;7,"",I1309*8+J1309*3+K1309*2+L1309*2+M1309*2+N1309*2+O1309)</x:f>
        <x:v>88</x:v>
      </x:c>
      <x:c r="Q1309" s="16" t="n">
        <x:f>IF(COUNT(J1309:O1309)&lt;6,"",J1309*5+K1309*4+M1309*4+L1309*3+N1309*2+O1309*2)</x:f>
        <x:v>80</x:v>
      </x:c>
      <x:c r="R1309" s="14" t="str">
        <x:v>high</x:v>
      </x:c>
      <x:c r="S1309" s="14" t="str">
        <x:v>official_prozorro_award_2024_2026</x:v>
      </x:c>
      <x:c r="T1309" s="14" t="str">
        <x:v>official_prozorro_api</x:v>
      </x:c>
      <x:c r="U1309" s="14" t="str">
        <x:v>Не контактували</x:v>
      </x:c>
      <x:c r="V1309" s="15" t="str">
        <x:v>Персоналізований free-pilot outreach по UA-2025-06-20-002936-a; попросити 1 пакет Н.14/Н.15</x:v>
      </x:c>
      <x:c r="W1309" s="15" t="str">
        <x:v>Власник / директор; керівник ПТО; відповідальний за договори</x:v>
      </x:c>
      <x:c r="X1309" s="15" t="str">
        <x:v>1 нових підтверджених перемог/договорів у Prozorro на 41 320 грн; 0 зі строком виконання не раніше 24.08.2026.</x:v>
      </x:c>
      <x:c r="Y1309" s="15" t="str">
        <x:v>ДК 021:2015 – 45330000-9 Водопровідні та санітарно-технічні роботи (Послуга  з монтажу та демонтажу блоків кондиціонерів системи кондиціювання та вентиляції); строк до 2025-12-31. Попросити один знеособлений пакет здачі за цим workflow.</x:v>
      </x:c>
      <x:c r="Z1309" s="15" t="str">
        <x:v>https://prozorro.gov.ua/tender/UA-2025-06-20-002936-a</x:v>
      </x:c>
      <x:c r="AA1309" s="14" t="str">
        <x:v>39234732</x:v>
      </x:c>
      <x:c r="AB1309" s="14" t="str">
        <x:v>2026-08-24</x:v>
      </x:c>
      <x:c r="AC1309" s="14" t="str"/>
      <x:c r="AD1309" s="20" t="str"/>
      <x:c r="AE1309" s="14" t="str"/>
      <x:c r="AF1309" s="14" t="n">
        <x:v>30</x:v>
      </x:c>
      <x:c r="AG1309" s="14" t="str">
        <x:v>I3</x:v>
      </x:c>
      <x:c r="AH1309" s="14" t="n">
        <x:v>1</x:v>
      </x:c>
      <x:c r="AI1309" s="14" t="n">
        <x:v>0</x:v>
      </x:c>
      <x:c r="AJ1309" s="18" t="n">
        <x:v>41320</x:v>
      </x:c>
      <x:c r="AK1309" s="14" t="str">
        <x:v>https://prozorro.gov.ua/tender/UA-2025-06-20-002936-a</x:v>
      </x:c>
      <x:c r="AL1309" s="19" t="n">
        <x:v>45828.33013231481</x:v>
      </x:c>
      <x:c r="AM1309" s="19" t="n">
        <x:v>46022</x:v>
      </x:c>
      <x:c r="AN1309" s="15" t="str">
        <x:v>HVAC / ОВіК</x:v>
      </x:c>
      <x:c r="AO1309" s="15" t="str">
        <x:v>not_found_in_top_search</x:v>
      </x:c>
    </x:row>
    <x:row r="1310">
      <x:c r="A1310" s="14" t="str">
        <x:v>W4-491</x:v>
      </x:c>
      <x:c r="B1310" s="14" t="str">
        <x:v>Prozorro expansion — 24.08</x:v>
      </x:c>
      <x:c r="C1310" s="14" t="str">
        <x:v>Брагіна Світлана Григорівна</x:v>
      </x:c>
      <x:c r="D1310" s="14" t="str">
        <x:v>HVAC / ОВіК</x:v>
      </x:c>
      <x:c r="E1310" s="14" t="str">
        <x:v>Pilot now</x:v>
      </x:c>
      <x:c r="F1310" s="17" t="str">
        <x:v>P3</x:v>
      </x:c>
      <x:c r="G1310" s="14" t="str"/>
      <x:c r="H1310" s="14" t="str">
        <x:v>Пілот зараз — Н.14</x:v>
      </x:c>
      <x:c r="I1310" s="16" t="n">
        <x:v>5</x:v>
      </x:c>
      <x:c r="J1310" s="16" t="n">
        <x:v>5</x:v>
      </x:c>
      <x:c r="K1310" s="16" t="n">
        <x:v>4</x:v>
      </x:c>
      <x:c r="L1310" s="16" t="n">
        <x:v>1</x:v>
      </x:c>
      <x:c r="M1310" s="16" t="n">
        <x:v>5</x:v>
      </x:c>
      <x:c r="N1310" s="16" t="n">
        <x:v>3</x:v>
      </x:c>
      <x:c r="O1310" s="16" t="n">
        <x:v>3</x:v>
      </x:c>
      <x:c r="P1310" s="16" t="n">
        <x:f>IF(COUNT(I1310:O1310)&lt;7,"",I1310*8+J1310*3+K1310*2+L1310*2+M1310*2+N1310*2+O1310)</x:f>
        <x:v>84</x:v>
      </x:c>
      <x:c r="Q1310" s="16" t="n">
        <x:f>IF(COUNT(J1310:O1310)&lt;6,"",J1310*5+K1310*4+M1310*4+L1310*3+N1310*2+O1310*2)</x:f>
        <x:v>76</x:v>
      </x:c>
      <x:c r="R1310" s="14" t="str">
        <x:v>high</x:v>
      </x:c>
      <x:c r="S1310" s="14" t="str">
        <x:v>official_prozorro_award_2024_2026</x:v>
      </x:c>
      <x:c r="T1310" s="14" t="str">
        <x:v>official_prozorro_api</x:v>
      </x:c>
      <x:c r="U1310" s="14" t="str">
        <x:v>Не контактували</x:v>
      </x:c>
      <x:c r="V1310" s="15" t="str">
        <x:v>Персоналізований free-pilot outreach по UA-2025-12-01-003287-a; попросити 1 пакет Н.14/Н.15</x:v>
      </x:c>
      <x:c r="W1310" s="15" t="str">
        <x:v>Власник / виконавець; відповідальний за договір</x:v>
      </x:c>
      <x:c r="X1310" s="15" t="str">
        <x:v>1 нових підтверджених перемог/договорів у Prozorro на 35 500 грн; 0 зі строком виконання не раніше 24.08.2026.</x:v>
      </x:c>
      <x:c r="Y1310" s="15" t="str">
        <x:v>Монтаж припливно - витяжної системи вентиляції код ДК 021:2015:45330000-9 Водопровідні та санітарно-технічні роботи; строк до 2025-12-07. Попросити один знеособлений пакет здачі за цим workflow.</x:v>
      </x:c>
      <x:c r="Z1310" s="15" t="str">
        <x:v>https://prozorro.gov.ua/tender/UA-2025-12-01-003287-a</x:v>
      </x:c>
      <x:c r="AA1310" s="14" t="str">
        <x:v>2672513581</x:v>
      </x:c>
      <x:c r="AB1310" s="14" t="str">
        <x:v>2026-08-24</x:v>
      </x:c>
      <x:c r="AC1310" s="14" t="str"/>
      <x:c r="AD1310" s="20" t="str"/>
      <x:c r="AE1310" s="14" t="str"/>
      <x:c r="AF1310" s="14" t="n">
        <x:v>30</x:v>
      </x:c>
      <x:c r="AG1310" s="14" t="str">
        <x:v>I3</x:v>
      </x:c>
      <x:c r="AH1310" s="14" t="n">
        <x:v>1</x:v>
      </x:c>
      <x:c r="AI1310" s="14" t="n">
        <x:v>0</x:v>
      </x:c>
      <x:c r="AJ1310" s="18" t="n">
        <x:v>35500</x:v>
      </x:c>
      <x:c r="AK1310" s="14" t="str">
        <x:v>https://prozorro.gov.ua/tender/UA-2025-12-01-003287-a</x:v>
      </x:c>
      <x:c r="AL1310" s="19" t="n">
        <x:v>45992.36698186342</x:v>
      </x:c>
      <x:c r="AM1310" s="19" t="n">
        <x:v>45998</x:v>
      </x:c>
      <x:c r="AN1310" s="15" t="str">
        <x:v>HVAC / ОВіК</x:v>
      </x:c>
      <x:c r="AO1310" s="15" t="str">
        <x:v>not_found_in_top_search</x:v>
      </x:c>
    </x:row>
    <x:row r="1311">
      <x:c r="A1311" s="14" t="str">
        <x:v>W4-492</x:v>
      </x:c>
      <x:c r="B1311" s="14" t="str">
        <x:v>Prozorro expansion — 24.08</x:v>
      </x:c>
      <x:c r="C1311" s="14" t="str">
        <x:v>ШКОЛИК РОМАН МИРОСЛАВОВИЧ</x:v>
      </x:c>
      <x:c r="D1311" s="14" t="str">
        <x:v>HVAC / ОВіК</x:v>
      </x:c>
      <x:c r="E1311" s="14" t="str">
        <x:v>Pilot now</x:v>
      </x:c>
      <x:c r="F1311" s="17" t="str">
        <x:v>P3</x:v>
      </x:c>
      <x:c r="G1311" s="14" t="str"/>
      <x:c r="H1311" s="14" t="str">
        <x:v>Пілот зараз — Н.14</x:v>
      </x:c>
      <x:c r="I1311" s="16" t="n">
        <x:v>5</x:v>
      </x:c>
      <x:c r="J1311" s="16" t="n">
        <x:v>5</x:v>
      </x:c>
      <x:c r="K1311" s="16" t="n">
        <x:v>4</x:v>
      </x:c>
      <x:c r="L1311" s="16" t="n">
        <x:v>1</x:v>
      </x:c>
      <x:c r="M1311" s="16" t="n">
        <x:v>5</x:v>
      </x:c>
      <x:c r="N1311" s="16" t="n">
        <x:v>3</x:v>
      </x:c>
      <x:c r="O1311" s="16" t="n">
        <x:v>3</x:v>
      </x:c>
      <x:c r="P1311" s="16" t="n">
        <x:f>IF(COUNT(I1311:O1311)&lt;7,"",I1311*8+J1311*3+K1311*2+L1311*2+M1311*2+N1311*2+O1311)</x:f>
        <x:v>84</x:v>
      </x:c>
      <x:c r="Q1311" s="16" t="n">
        <x:f>IF(COUNT(J1311:O1311)&lt;6,"",J1311*5+K1311*4+M1311*4+L1311*3+N1311*2+O1311*2)</x:f>
        <x:v>76</x:v>
      </x:c>
      <x:c r="R1311" s="14" t="str">
        <x:v>high</x:v>
      </x:c>
      <x:c r="S1311" s="14" t="str">
        <x:v>official_prozorro_award_2024_2026</x:v>
      </x:c>
      <x:c r="T1311" s="14" t="str">
        <x:v>official_prozorro_api</x:v>
      </x:c>
      <x:c r="U1311" s="14" t="str">
        <x:v>Не контактували</x:v>
      </x:c>
      <x:c r="V1311" s="15" t="str">
        <x:v>Персоналізований free-pilot outreach по UA-2025-07-10-004321-a; попросити 1 пакет Н.14/Н.15</x:v>
      </x:c>
      <x:c r="W1311" s="15" t="str">
        <x:v>Власник / виконавець; відповідальний за договір</x:v>
      </x:c>
      <x:c r="X1311" s="15" t="str">
        <x:v>1 нових підтверджених перемог/договорів у Prozorro на 27 400 грн; 0 зі строком виконання не раніше 24.08.2026.</x:v>
      </x:c>
      <x:c r="Y1311" s="15" t="str">
        <x:v>Монтаж системи вентиляції; строк до 2025-12-31. Попросити один знеособлений пакет здачі за цим workflow.</x:v>
      </x:c>
      <x:c r="Z1311" s="15" t="str">
        <x:v>https://prozorro.gov.ua/tender/UA-2025-07-10-004321-a</x:v>
      </x:c>
      <x:c r="AA1311" s="14" t="str">
        <x:v>3512300255</x:v>
      </x:c>
      <x:c r="AB1311" s="14" t="str">
        <x:v>2026-08-24</x:v>
      </x:c>
      <x:c r="AC1311" s="14" t="str"/>
      <x:c r="AD1311" s="20" t="str"/>
      <x:c r="AE1311" s="14" t="str"/>
      <x:c r="AF1311" s="14" t="n">
        <x:v>30</x:v>
      </x:c>
      <x:c r="AG1311" s="14" t="str">
        <x:v>I3</x:v>
      </x:c>
      <x:c r="AH1311" s="14" t="n">
        <x:v>1</x:v>
      </x:c>
      <x:c r="AI1311" s="14" t="n">
        <x:v>0</x:v>
      </x:c>
      <x:c r="AJ1311" s="18" t="n">
        <x:v>27400.01</x:v>
      </x:c>
      <x:c r="AK1311" s="14" t="str">
        <x:v>https://prozorro.gov.ua/tender/UA-2025-07-10-004321-a</x:v>
      </x:c>
      <x:c r="AL1311" s="19" t="n">
        <x:v>45848.373738125</x:v>
      </x:c>
      <x:c r="AM1311" s="19" t="n">
        <x:v>46022</x:v>
      </x:c>
      <x:c r="AN1311" s="15" t="str">
        <x:v>HVAC / ОВіК</x:v>
      </x:c>
      <x:c r="AO1311" s="15" t="str">
        <x:v>not_found_in_top_search</x:v>
      </x:c>
    </x:row>
    <x:row r="1312">
      <x:c r="A1312" s="14" t="str">
        <x:v>W4-493</x:v>
      </x:c>
      <x:c r="B1312" s="14" t="str">
        <x:v>Prozorro expansion — 24.08</x:v>
      </x:c>
      <x:c r="C1312" s="14" t="str">
        <x:v>ТОВАРИСТВО З ОБМЕЖЕНОЮ ВІДПОВІДАЛЬНІСТЮ "КЛІМАТ ЕЛЕМЕНТ"</x:v>
      </x:c>
      <x:c r="D1312" s="14" t="str">
        <x:v>HVAC / ОВіК</x:v>
      </x:c>
      <x:c r="E1312" s="14" t="str">
        <x:v>Pilot now</x:v>
      </x:c>
      <x:c r="F1312" s="17" t="str">
        <x:v>P3</x:v>
      </x:c>
      <x:c r="G1312" s="14" t="str"/>
      <x:c r="H1312" s="14" t="str">
        <x:v>Пілот зараз — Н.14</x:v>
      </x:c>
      <x:c r="I1312" s="16" t="n">
        <x:v>5</x:v>
      </x:c>
      <x:c r="J1312" s="16" t="n">
        <x:v>5</x:v>
      </x:c>
      <x:c r="K1312" s="16" t="n">
        <x:v>4</x:v>
      </x:c>
      <x:c r="L1312" s="16" t="n">
        <x:v>1</x:v>
      </x:c>
      <x:c r="M1312" s="16" t="n">
        <x:v>5</x:v>
      </x:c>
      <x:c r="N1312" s="16" t="n">
        <x:v>5</x:v>
      </x:c>
      <x:c r="O1312" s="16" t="n">
        <x:v>3</x:v>
      </x:c>
      <x:c r="P1312" s="16" t="n">
        <x:f>IF(COUNT(I1312:O1312)&lt;7,"",I1312*8+J1312*3+K1312*2+L1312*2+M1312*2+N1312*2+O1312)</x:f>
        <x:v>88</x:v>
      </x:c>
      <x:c r="Q1312" s="16" t="n">
        <x:f>IF(COUNT(J1312:O1312)&lt;6,"",J1312*5+K1312*4+M1312*4+L1312*3+N1312*2+O1312*2)</x:f>
        <x:v>80</x:v>
      </x:c>
      <x:c r="R1312" s="14" t="str">
        <x:v>high</x:v>
      </x:c>
      <x:c r="S1312" s="14" t="str">
        <x:v>official_prozorro_award_2024_2026</x:v>
      </x:c>
      <x:c r="T1312" s="14" t="str">
        <x:v>official_prozorro_api</x:v>
      </x:c>
      <x:c r="U1312" s="14" t="str">
        <x:v>Не контактували</x:v>
      </x:c>
      <x:c r="V1312" s="15" t="str">
        <x:v>Персоналізований free-pilot outreach по UA-2025-08-28-008226-a; попросити 1 пакет Н.14/Н.15</x:v>
      </x:c>
      <x:c r="W1312" s="15" t="str">
        <x:v>Власник / директор; керівник ПТО; відповідальний за договори</x:v>
      </x:c>
      <x:c r="X1312" s="15" t="str">
        <x:v>1 нових підтверджених перемог/договорів у Prozorro на 25 863 грн; 0 зі строком виконання не раніше 24.08.2026.</x:v>
      </x:c>
      <x:c r="Y1312" s="15" t="str">
        <x:v>Водопровідні та санітарно-технічні роботи (монтаж системи вентиляції )
; строк до 2025-12-31. Попросити один знеособлений пакет здачі за цим workflow.</x:v>
      </x:c>
      <x:c r="Z1312" s="15" t="str">
        <x:v>https://prozorro.gov.ua/tender/UA-2025-08-28-008226-a</x:v>
      </x:c>
      <x:c r="AA1312" s="14" t="str">
        <x:v>42631770</x:v>
      </x:c>
      <x:c r="AB1312" s="14" t="str">
        <x:v>2026-08-24</x:v>
      </x:c>
      <x:c r="AC1312" s="14" t="str"/>
      <x:c r="AD1312" s="20" t="str"/>
      <x:c r="AE1312" s="14" t="str"/>
      <x:c r="AF1312" s="14" t="n">
        <x:v>30</x:v>
      </x:c>
      <x:c r="AG1312" s="14" t="str">
        <x:v>I3</x:v>
      </x:c>
      <x:c r="AH1312" s="14" t="n">
        <x:v>1</x:v>
      </x:c>
      <x:c r="AI1312" s="14" t="n">
        <x:v>0</x:v>
      </x:c>
      <x:c r="AJ1312" s="18" t="n">
        <x:v>25863.12</x:v>
      </x:c>
      <x:c r="AK1312" s="14" t="str">
        <x:v>https://prozorro.gov.ua/tender/UA-2025-08-28-008226-a</x:v>
      </x:c>
      <x:c r="AL1312" s="19" t="n">
        <x:v>45897.515887395835</x:v>
      </x:c>
      <x:c r="AM1312" s="19" t="n">
        <x:v>46022</x:v>
      </x:c>
      <x:c r="AN1312" s="15" t="str">
        <x:v>HVAC / ОВіК</x:v>
      </x:c>
      <x:c r="AO1312" s="15" t="str">
        <x:v>not_found_in_top_search</x:v>
      </x:c>
    </x:row>
    <x:row r="1313">
      <x:c r="A1313" s="14" t="str">
        <x:v>W4-494</x:v>
      </x:c>
      <x:c r="B1313" s="14" t="str">
        <x:v>Prozorro expansion — 24.08</x:v>
      </x:c>
      <x:c r="C1313" s="14" t="str">
        <x:v>СИЗЕНКО СТАНІСЛАВ СТАНІСЛАВОВИЧ</x:v>
      </x:c>
      <x:c r="D1313" s="14" t="str">
        <x:v>Металоконструкції</x:v>
      </x:c>
      <x:c r="E1313" s="14" t="str">
        <x:v>Expansion discovery</x:v>
      </x:c>
      <x:c r="F1313" s="17" t="str">
        <x:v>D3</x:v>
      </x:c>
      <x:c r="G1313" s="14" t="str"/>
      <x:c r="H1313" s="14" t="str">
        <x:v>Discovery розширення — 2 тижні</x:v>
      </x:c>
      <x:c r="I1313" s="16" t="n">
        <x:v>1</x:v>
      </x:c>
      <x:c r="J1313" s="16" t="n">
        <x:v>5</x:v>
      </x:c>
      <x:c r="K1313" s="16" t="n">
        <x:v>5</x:v>
      </x:c>
      <x:c r="L1313" s="16" t="n">
        <x:v>1</x:v>
      </x:c>
      <x:c r="M1313" s="16" t="n">
        <x:v>5</x:v>
      </x:c>
      <x:c r="N1313" s="16" t="n">
        <x:v>3</x:v>
      </x:c>
      <x:c r="O1313" s="16" t="n">
        <x:v>3</x:v>
      </x:c>
      <x:c r="P1313" s="16" t="n">
        <x:f>IF(COUNT(I1313:O1313)&lt;7,"",I1313*8+J1313*3+K1313*2+L1313*2+M1313*2+N1313*2+O1313)</x:f>
        <x:v>54</x:v>
      </x:c>
      <x:c r="Q1313" s="16" t="n">
        <x:f>IF(COUNT(J1313:O1313)&lt;6,"",J1313*5+K1313*4+M1313*4+L1313*3+N1313*2+O1313*2)</x:f>
        <x:v>80</x:v>
      </x:c>
      <x:c r="R1313" s="14" t="str">
        <x:v>high</x:v>
      </x:c>
      <x:c r="S1313" s="14" t="str">
        <x:v>official_prozorro_award_2024_2026</x:v>
      </x:c>
      <x:c r="T1313" s="14" t="str">
        <x:v>official_prozorro_api</x:v>
      </x:c>
      <x:c r="U1313" s="14" t="str">
        <x:v>Не контактували</x:v>
      </x:c>
      <x:c r="V1313" s="15" t="str">
        <x:v>Workflow-audit outreach по UA-2025-08-05-012335-a; попросити 1 пакет здачі та вимоги проєкту</x:v>
      </x:c>
      <x:c r="W1313" s="15" t="str">
        <x:v>Власник / виконавець; відповідальний за договір</x:v>
      </x:c>
      <x:c r="X1313" s="15" t="str">
        <x:v>1 нових підтверджених перемог/договорів у Prozorro на 25 781 грн; 0 зі строком виконання не раніше 24.08.2026.</x:v>
      </x:c>
      <x:c r="Y1313"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 строк до 2025-12-31. Попросити один знеособлений пакет здачі за цим workflow.</x:v>
      </x:c>
      <x:c r="Z1313" s="15" t="str">
        <x:v>https://prozorro.gov.ua/tender/UA-2025-08-05-012335-a</x:v>
      </x:c>
      <x:c r="AA1313" s="14" t="str">
        <x:v>3286308496</x:v>
      </x:c>
      <x:c r="AB1313" s="14" t="str">
        <x:v>2026-08-24</x:v>
      </x:c>
      <x:c r="AC1313" s="14" t="str"/>
      <x:c r="AD1313" s="20" t="str"/>
      <x:c r="AE1313" s="14" t="str"/>
      <x:c r="AF1313" s="14" t="n">
        <x:v>30</x:v>
      </x:c>
      <x:c r="AG1313" s="14" t="str">
        <x:v>I3</x:v>
      </x:c>
      <x:c r="AH1313" s="14" t="n">
        <x:v>1</x:v>
      </x:c>
      <x:c r="AI1313" s="14" t="n">
        <x:v>0</x:v>
      </x:c>
      <x:c r="AJ1313" s="18" t="n">
        <x:v>25781.17</x:v>
      </x:c>
      <x:c r="AK1313" s="14" t="str">
        <x:v>https://prozorro.gov.ua/tender/UA-2025-08-05-012335-a</x:v>
      </x:c>
      <x:c r="AL1313" s="19" t="n">
        <x:v>45874.71796821759</x:v>
      </x:c>
      <x:c r="AM1313" s="19" t="n">
        <x:v>46022</x:v>
      </x:c>
      <x:c r="AN1313" s="15" t="str">
        <x:v>Металоконструкції</x:v>
      </x:c>
      <x:c r="AO1313" s="15" t="str">
        <x:v>not_found_in_top_search</x:v>
      </x:c>
    </x:row>
    <x:row r="1314">
      <x:c r="A1314" s="14" t="str">
        <x:v>W4-495</x:v>
      </x:c>
      <x:c r="B1314" s="14" t="str">
        <x:v>Prozorro expansion — 24.08</x:v>
      </x:c>
      <x:c r="C1314" s="14" t="str">
        <x:v>ТОВ "БУД.ЮА"</x:v>
      </x:c>
      <x:c r="D1314" s="14" t="str">
        <x:v>HVAC / ОВіК</x:v>
      </x:c>
      <x:c r="E1314" s="14" t="str">
        <x:v>Pilot now</x:v>
      </x:c>
      <x:c r="F1314" s="17" t="str">
        <x:v>P3</x:v>
      </x:c>
      <x:c r="G1314" s="14" t="str"/>
      <x:c r="H1314" s="14" t="str">
        <x:v>Пілот зараз — Н.14</x:v>
      </x:c>
      <x:c r="I1314" s="16" t="n">
        <x:v>5</x:v>
      </x:c>
      <x:c r="J1314" s="16" t="n">
        <x:v>5</x:v>
      </x:c>
      <x:c r="K1314" s="16" t="n">
        <x:v>4</x:v>
      </x:c>
      <x:c r="L1314" s="16" t="n">
        <x:v>1</x:v>
      </x:c>
      <x:c r="M1314" s="16" t="n">
        <x:v>5</x:v>
      </x:c>
      <x:c r="N1314" s="16" t="n">
        <x:v>5</x:v>
      </x:c>
      <x:c r="O1314" s="16" t="n">
        <x:v>3</x:v>
      </x:c>
      <x:c r="P1314" s="16" t="n">
        <x:f>IF(COUNT(I1314:O1314)&lt;7,"",I1314*8+J1314*3+K1314*2+L1314*2+M1314*2+N1314*2+O1314)</x:f>
        <x:v>88</x:v>
      </x:c>
      <x:c r="Q1314" s="16" t="n">
        <x:f>IF(COUNT(J1314:O1314)&lt;6,"",J1314*5+K1314*4+M1314*4+L1314*3+N1314*2+O1314*2)</x:f>
        <x:v>80</x:v>
      </x:c>
      <x:c r="R1314" s="14" t="str">
        <x:v>high</x:v>
      </x:c>
      <x:c r="S1314" s="14" t="str">
        <x:v>official_prozorro_award_2024_2026</x:v>
      </x:c>
      <x:c r="T1314" s="14" t="str">
        <x:v>official_prozorro_api</x:v>
      </x:c>
      <x:c r="U1314" s="14" t="str">
        <x:v>Не контактували</x:v>
      </x:c>
      <x:c r="V1314" s="15" t="str">
        <x:v>Персоналізований free-pilot outreach по UA-2025-05-28-004695-a; попросити 1 пакет Н.14/Н.15</x:v>
      </x:c>
      <x:c r="W1314" s="15" t="str">
        <x:v>Власник / директор; керівник ПТО; відповідальний за договори</x:v>
      </x:c>
      <x:c r="X1314" s="15" t="str">
        <x:v>1 нових підтверджених перемог/договорів у Prozorro на 21 240 грн; 0 зі строком виконання не раніше 24.08.2026.</x:v>
      </x:c>
      <x:c r="Y1314" s="15" t="str">
        <x:v>Монтаж системи вентиляції в приміщенні лабораторії; строк до 2025-12-31. Попросити один знеособлений пакет здачі за цим workflow.</x:v>
      </x:c>
      <x:c r="Z1314" s="15" t="str">
        <x:v>https://prozorro.gov.ua/tender/UA-2025-05-28-004695-a</x:v>
      </x:c>
      <x:c r="AA1314" s="14" t="str">
        <x:v>41781560</x:v>
      </x:c>
      <x:c r="AB1314" s="14" t="str">
        <x:v>2026-08-24</x:v>
      </x:c>
      <x:c r="AC1314" s="14" t="str"/>
      <x:c r="AD1314" s="20" t="str"/>
      <x:c r="AE1314" s="14" t="str"/>
      <x:c r="AF1314" s="14" t="n">
        <x:v>30</x:v>
      </x:c>
      <x:c r="AG1314" s="14" t="str">
        <x:v>I3</x:v>
      </x:c>
      <x:c r="AH1314" s="14" t="n">
        <x:v>1</x:v>
      </x:c>
      <x:c r="AI1314" s="14" t="n">
        <x:v>0</x:v>
      </x:c>
      <x:c r="AJ1314" s="18" t="n">
        <x:v>21240</x:v>
      </x:c>
      <x:c r="AK1314" s="14" t="str">
        <x:v>https://prozorro.gov.ua/tender/UA-2025-05-28-004695-a</x:v>
      </x:c>
      <x:c r="AL1314" s="19" t="n">
        <x:v>45805.36915424769</x:v>
      </x:c>
      <x:c r="AM1314" s="19" t="n">
        <x:v>46022.41179398148</x:v>
      </x:c>
      <x:c r="AN1314" s="15" t="str">
        <x:v>HVAC / ОВіК</x:v>
      </x:c>
      <x:c r="AO1314" s="15" t="str">
        <x:v>not_found_in_top_search</x:v>
      </x:c>
    </x:row>
    <x:row r="1315">
      <x:c r="A1315" s="14" t="str">
        <x:v>W4-496</x:v>
      </x:c>
      <x:c r="B1315" s="14" t="str">
        <x:v>Prozorro expansion — 24.08</x:v>
      </x:c>
      <x:c r="C1315" s="14" t="str">
        <x:v>НЕЩЕРЕЦЬКА ІННА ВІКТОРІВНА</x:v>
      </x:c>
      <x:c r="D1315" s="14" t="str">
        <x:v>HVAC / ОВіК</x:v>
      </x:c>
      <x:c r="E1315" s="14" t="str">
        <x:v>Pilot now</x:v>
      </x:c>
      <x:c r="F1315" s="17" t="str">
        <x:v>P3</x:v>
      </x:c>
      <x:c r="G1315" s="14" t="str"/>
      <x:c r="H1315" s="14" t="str">
        <x:v>Пілот зараз — Н.14</x:v>
      </x:c>
      <x:c r="I1315" s="16" t="n">
        <x:v>5</x:v>
      </x:c>
      <x:c r="J1315" s="16" t="n">
        <x:v>5</x:v>
      </x:c>
      <x:c r="K1315" s="16" t="n">
        <x:v>4</x:v>
      </x:c>
      <x:c r="L1315" s="16" t="n">
        <x:v>1</x:v>
      </x:c>
      <x:c r="M1315" s="16" t="n">
        <x:v>5</x:v>
      </x:c>
      <x:c r="N1315" s="16" t="n">
        <x:v>3</x:v>
      </x:c>
      <x:c r="O1315" s="16" t="n">
        <x:v>3</x:v>
      </x:c>
      <x:c r="P1315" s="16" t="n">
        <x:f>IF(COUNT(I1315:O1315)&lt;7,"",I1315*8+J1315*3+K1315*2+L1315*2+M1315*2+N1315*2+O1315)</x:f>
        <x:v>84</x:v>
      </x:c>
      <x:c r="Q1315" s="16" t="n">
        <x:f>IF(COUNT(J1315:O1315)&lt;6,"",J1315*5+K1315*4+M1315*4+L1315*3+N1315*2+O1315*2)</x:f>
        <x:v>76</x:v>
      </x:c>
      <x:c r="R1315" s="14" t="str">
        <x:v>high</x:v>
      </x:c>
      <x:c r="S1315" s="14" t="str">
        <x:v>official_prozorro_award_2024_2026</x:v>
      </x:c>
      <x:c r="T1315" s="14" t="str">
        <x:v>official_prozorro_api</x:v>
      </x:c>
      <x:c r="U1315" s="14" t="str">
        <x:v>Не контактували</x:v>
      </x:c>
      <x:c r="V1315" s="15" t="str">
        <x:v>Персоналізований free-pilot outreach по UA-2025-10-08-007649-a; попросити 1 пакет Н.14/Н.15</x:v>
      </x:c>
      <x:c r="W1315" s="15" t="str">
        <x:v>Власник / виконавець; відповідальний за договір</x:v>
      </x:c>
      <x:c r="X1315" s="15" t="str">
        <x:v>1 нових підтверджених перемог/договорів у Prozorro на 21 175 грн; 0 зі строком виконання не раніше 24.08.2026.</x:v>
      </x:c>
      <x:c r="Y1315"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2025-10-31. Попросити один знеособлений пакет здачі за цим workflow.</x:v>
      </x:c>
      <x:c r="Z1315" s="15" t="str">
        <x:v>https://prozorro.gov.ua/tender/UA-2025-10-08-007649-a</x:v>
      </x:c>
      <x:c r="AA1315" s="14" t="str">
        <x:v>3013711126</x:v>
      </x:c>
      <x:c r="AB1315" s="14" t="str">
        <x:v>2026-08-24</x:v>
      </x:c>
      <x:c r="AC1315" s="14" t="str"/>
      <x:c r="AD1315" s="20" t="str"/>
      <x:c r="AE1315" s="14" t="str"/>
      <x:c r="AF1315" s="14" t="n">
        <x:v>30</x:v>
      </x:c>
      <x:c r="AG1315" s="14" t="str">
        <x:v>I3</x:v>
      </x:c>
      <x:c r="AH1315" s="14" t="n">
        <x:v>1</x:v>
      </x:c>
      <x:c r="AI1315" s="14" t="n">
        <x:v>0</x:v>
      </x:c>
      <x:c r="AJ1315" s="18" t="n">
        <x:v>21175</x:v>
      </x:c>
      <x:c r="AK1315" s="14" t="str">
        <x:v>https://prozorro.gov.ua/tender/UA-2025-10-08-007649-a</x:v>
      </x:c>
      <x:c r="AL1315" s="19" t="n">
        <x:v>45938.44156201389</x:v>
      </x:c>
      <x:c r="AM1315" s="19" t="n">
        <x:v>45961</x:v>
      </x:c>
      <x:c r="AN1315" s="15" t="str">
        <x:v>HVAC / ОВіК</x:v>
      </x:c>
      <x:c r="AO1315" s="15" t="str">
        <x:v>not_found_in_top_search</x:v>
      </x:c>
    </x:row>
    <x:row r="1316">
      <x:c r="A1316" s="14" t="str">
        <x:v>W4-497</x:v>
      </x:c>
      <x:c r="B1316" s="14" t="str">
        <x:v>Prozorro expansion — 24.08</x:v>
      </x:c>
      <x:c r="C1316" s="14" t="str">
        <x:v>Дзюбук Денис Вікторович</x:v>
      </x:c>
      <x:c r="D1316" s="14" t="str">
        <x:v>HVAC / ОВіК</x:v>
      </x:c>
      <x:c r="E1316" s="14" t="str">
        <x:v>Pilot now</x:v>
      </x:c>
      <x:c r="F1316" s="17" t="str">
        <x:v>P3</x:v>
      </x:c>
      <x:c r="G1316" s="14" t="str"/>
      <x:c r="H1316" s="14" t="str">
        <x:v>Пілот зараз — Н.14</x:v>
      </x:c>
      <x:c r="I1316" s="16" t="n">
        <x:v>5</x:v>
      </x:c>
      <x:c r="J1316" s="16" t="n">
        <x:v>5</x:v>
      </x:c>
      <x:c r="K1316" s="16" t="n">
        <x:v>4</x:v>
      </x:c>
      <x:c r="L1316" s="16" t="n">
        <x:v>1</x:v>
      </x:c>
      <x:c r="M1316" s="16" t="n">
        <x:v>5</x:v>
      </x:c>
      <x:c r="N1316" s="16" t="n">
        <x:v>3</x:v>
      </x:c>
      <x:c r="O1316" s="16" t="n">
        <x:v>3</x:v>
      </x:c>
      <x:c r="P1316" s="16" t="n">
        <x:f>IF(COUNT(I1316:O1316)&lt;7,"",I1316*8+J1316*3+K1316*2+L1316*2+M1316*2+N1316*2+O1316)</x:f>
        <x:v>84</x:v>
      </x:c>
      <x:c r="Q1316" s="16" t="n">
        <x:f>IF(COUNT(J1316:O1316)&lt;6,"",J1316*5+K1316*4+M1316*4+L1316*3+N1316*2+O1316*2)</x:f>
        <x:v>76</x:v>
      </x:c>
      <x:c r="R1316" s="14" t="str">
        <x:v>high</x:v>
      </x:c>
      <x:c r="S1316" s="14" t="str">
        <x:v>official_prozorro_award_2024_2026</x:v>
      </x:c>
      <x:c r="T1316" s="14" t="str">
        <x:v>official_prozorro_api</x:v>
      </x:c>
      <x:c r="U1316" s="14" t="str">
        <x:v>Не контактували</x:v>
      </x:c>
      <x:c r="V1316" s="15" t="str">
        <x:v>Персоналізований free-pilot outreach по UA-2025-12-25-002941-a; попросити 1 пакет Н.14/Н.15</x:v>
      </x:c>
      <x:c r="W1316" s="15" t="str">
        <x:v>Власник / виконавець; відповідальний за договір</x:v>
      </x:c>
      <x:c r="X1316" s="15" t="str">
        <x:v>1 нових підтверджених перемог/договорів у Prozorro на 19 386 грн; 0 зі строком виконання не раніше 24.08.2026.</x:v>
      </x:c>
      <x:c r="Y1316"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 строк до 2025-12-28. Попросити один знеособлений пакет здачі за цим workflow.</x:v>
      </x:c>
      <x:c r="Z1316" s="15" t="str">
        <x:v>https://prozorro.gov.ua/tender/UA-2025-12-25-002941-a</x:v>
      </x:c>
      <x:c r="AA1316" s="14" t="str">
        <x:v>3062513535</x:v>
      </x:c>
      <x:c r="AB1316" s="14" t="str">
        <x:v>2026-08-24</x:v>
      </x:c>
      <x:c r="AC1316" s="14" t="str"/>
      <x:c r="AD1316" s="20" t="str"/>
      <x:c r="AE1316" s="14" t="str"/>
      <x:c r="AF1316" s="14" t="n">
        <x:v>30</x:v>
      </x:c>
      <x:c r="AG1316" s="14" t="str">
        <x:v>I3</x:v>
      </x:c>
      <x:c r="AH1316" s="14" t="n">
        <x:v>1</x:v>
      </x:c>
      <x:c r="AI1316" s="14" t="n">
        <x:v>0</x:v>
      </x:c>
      <x:c r="AJ1316" s="18" t="n">
        <x:v>19386.49</x:v>
      </x:c>
      <x:c r="AK1316" s="14" t="str">
        <x:v>https://prozorro.gov.ua/tender/UA-2025-12-25-002941-a</x:v>
      </x:c>
      <x:c r="AL1316" s="19" t="n">
        <x:v>46016.35778665509</x:v>
      </x:c>
      <x:c r="AM1316" s="19" t="n">
        <x:v>46019</x:v>
      </x:c>
      <x:c r="AN1316" s="15" t="str">
        <x:v>HVAC / ОВіК</x:v>
      </x:c>
      <x:c r="AO1316" s="15" t="str">
        <x:v>not_found_in_top_search</x:v>
      </x:c>
    </x:row>
    <x:row r="1317">
      <x:c r="A1317" s="14" t="str">
        <x:v>W4-498</x:v>
      </x:c>
      <x:c r="B1317" s="14" t="str">
        <x:v>Prozorro expansion — 24.08</x:v>
      </x:c>
      <x:c r="C1317" s="14" t="str">
        <x:v>ТОВАРИСТВО З ОБМЕЖЕНОЮ ВІДПОВІДАЛЬНІСТЮ "КЛІМАТ БУД"</x:v>
      </x:c>
      <x:c r="D1317" s="14" t="str">
        <x:v>HVAC / ОВіК</x:v>
      </x:c>
      <x:c r="E1317" s="14" t="str">
        <x:v>Pilot now</x:v>
      </x:c>
      <x:c r="F1317" s="17" t="str">
        <x:v>P3</x:v>
      </x:c>
      <x:c r="G1317" s="14" t="str"/>
      <x:c r="H1317" s="14" t="str">
        <x:v>Пілот зараз — Н.14</x:v>
      </x:c>
      <x:c r="I1317" s="16" t="n">
        <x:v>5</x:v>
      </x:c>
      <x:c r="J1317" s="16" t="n">
        <x:v>5</x:v>
      </x:c>
      <x:c r="K1317" s="16" t="n">
        <x:v>4</x:v>
      </x:c>
      <x:c r="L1317" s="16" t="n">
        <x:v>1</x:v>
      </x:c>
      <x:c r="M1317" s="16" t="n">
        <x:v>5</x:v>
      </x:c>
      <x:c r="N1317" s="16" t="n">
        <x:v>5</x:v>
      </x:c>
      <x:c r="O1317" s="16" t="n">
        <x:v>3</x:v>
      </x:c>
      <x:c r="P1317" s="16" t="n">
        <x:f>IF(COUNT(I1317:O1317)&lt;7,"",I1317*8+J1317*3+K1317*2+L1317*2+M1317*2+N1317*2+O1317)</x:f>
        <x:v>88</x:v>
      </x:c>
      <x:c r="Q1317" s="16" t="n">
        <x:f>IF(COUNT(J1317:O1317)&lt;6,"",J1317*5+K1317*4+M1317*4+L1317*3+N1317*2+O1317*2)</x:f>
        <x:v>80</x:v>
      </x:c>
      <x:c r="R1317" s="14" t="str">
        <x:v>high</x:v>
      </x:c>
      <x:c r="S1317" s="14" t="str">
        <x:v>official_prozorro_award_2024_2026</x:v>
      </x:c>
      <x:c r="T1317" s="14" t="str">
        <x:v>official_prozorro_api</x:v>
      </x:c>
      <x:c r="U1317" s="14" t="str">
        <x:v>Не контактували</x:v>
      </x:c>
      <x:c r="V1317" s="15" t="str">
        <x:v>Персоналізований free-pilot outreach по UA-2025-07-31-009344-a; попросити 1 пакет Н.14/Н.15</x:v>
      </x:c>
      <x:c r="W1317" s="15" t="str">
        <x:v>Власник / директор; керівник ПТО; відповідальний за договори</x:v>
      </x:c>
      <x:c r="X1317" s="15" t="str">
        <x:v>1 нових підтверджених перемог/договорів у Prozorro на 19 260 грн; 0 зі строком виконання не раніше 24.08.2026.</x:v>
      </x:c>
      <x:c r="Y1317" s="15" t="str">
        <x:v>Технiчне обслуговування, ремонт, демонтаж.,та монтаж систем кондицiювання та вентиляції; строк до 2025-12-31. Попросити один знеособлений пакет здачі за цим workflow.</x:v>
      </x:c>
      <x:c r="Z1317" s="15" t="str">
        <x:v>https://prozorro.gov.ua/tender/UA-2025-07-31-009344-a</x:v>
      </x:c>
      <x:c r="AA1317" s="14" t="str">
        <x:v>40291537</x:v>
      </x:c>
      <x:c r="AB1317" s="14" t="str">
        <x:v>2026-08-24</x:v>
      </x:c>
      <x:c r="AC1317" s="14" t="str"/>
      <x:c r="AD1317" s="20" t="str"/>
      <x:c r="AE1317" s="14" t="str"/>
      <x:c r="AF1317" s="14" t="n">
        <x:v>30</x:v>
      </x:c>
      <x:c r="AG1317" s="14" t="str">
        <x:v>I3</x:v>
      </x:c>
      <x:c r="AH1317" s="14" t="n">
        <x:v>1</x:v>
      </x:c>
      <x:c r="AI1317" s="14" t="n">
        <x:v>0</x:v>
      </x:c>
      <x:c r="AJ1317" s="18" t="n">
        <x:v>19260</x:v>
      </x:c>
      <x:c r="AK1317" s="14" t="str">
        <x:v>https://prozorro.gov.ua/tender/UA-2025-07-31-009344-a</x:v>
      </x:c>
      <x:c r="AL1317" s="19" t="n">
        <x:v>45869.71577415509</x:v>
      </x:c>
      <x:c r="AM1317" s="19" t="n">
        <x:v>46022</x:v>
      </x:c>
      <x:c r="AN1317" s="15" t="str">
        <x:v>HVAC / ОВіК</x:v>
      </x:c>
      <x:c r="AO1317" s="15" t="str">
        <x:v>not_found_in_top_search</x:v>
      </x:c>
    </x:row>
    <x:row r="1318">
      <x:c r="A1318" s="14" t="str">
        <x:v>W4-499</x:v>
      </x:c>
      <x:c r="B1318" s="14" t="str">
        <x:v>Prozorro expansion — 24.08</x:v>
      </x:c>
      <x:c r="C1318" s="14" t="str">
        <x:v>ФЕСЕНКО ЮЛІЯ ВОЛОДИМИРІВНА</x:v>
      </x:c>
      <x:c r="D1318" s="14" t="str">
        <x:v>HVAC / ОВіК</x:v>
      </x:c>
      <x:c r="E1318" s="14" t="str">
        <x:v>Pilot now</x:v>
      </x:c>
      <x:c r="F1318" s="17" t="str">
        <x:v>P3</x:v>
      </x:c>
      <x:c r="G1318" s="14" t="str"/>
      <x:c r="H1318" s="14" t="str">
        <x:v>Пілот зараз — Н.14</x:v>
      </x:c>
      <x:c r="I1318" s="16" t="n">
        <x:v>5</x:v>
      </x:c>
      <x:c r="J1318" s="16" t="n">
        <x:v>5</x:v>
      </x:c>
      <x:c r="K1318" s="16" t="n">
        <x:v>4</x:v>
      </x:c>
      <x:c r="L1318" s="16" t="n">
        <x:v>1</x:v>
      </x:c>
      <x:c r="M1318" s="16" t="n">
        <x:v>5</x:v>
      </x:c>
      <x:c r="N1318" s="16" t="n">
        <x:v>3</x:v>
      </x:c>
      <x:c r="O1318" s="16" t="n">
        <x:v>3</x:v>
      </x:c>
      <x:c r="P1318" s="16" t="n">
        <x:f>IF(COUNT(I1318:O1318)&lt;7,"",I1318*8+J1318*3+K1318*2+L1318*2+M1318*2+N1318*2+O1318)</x:f>
        <x:v>84</x:v>
      </x:c>
      <x:c r="Q1318" s="16" t="n">
        <x:f>IF(COUNT(J1318:O1318)&lt;6,"",J1318*5+K1318*4+M1318*4+L1318*3+N1318*2+O1318*2)</x:f>
        <x:v>76</x:v>
      </x:c>
      <x:c r="R1318" s="14" t="str">
        <x:v>high</x:v>
      </x:c>
      <x:c r="S1318" s="14" t="str">
        <x:v>official_prozorro_award_2024_2026</x:v>
      </x:c>
      <x:c r="T1318" s="14" t="str">
        <x:v>official_prozorro_api</x:v>
      </x:c>
      <x:c r="U1318" s="14" t="str">
        <x:v>Не контактували</x:v>
      </x:c>
      <x:c r="V1318" s="15" t="str">
        <x:v>Персоналізований free-pilot outreach по UA-2025-09-05-006349-a; попросити 1 пакет Н.14/Н.15</x:v>
      </x:c>
      <x:c r="W1318" s="15" t="str">
        <x:v>Власник / виконавець; відповідальний за договір</x:v>
      </x:c>
      <x:c r="X1318" s="15" t="str">
        <x:v>1 нових підтверджених перемог/договорів у Prozorro на 15 990 грн; 0 зі строком виконання не раніше 24.08.2026.</x:v>
      </x:c>
      <x:c r="Y131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2025-09-30. Попросити один знеособлений пакет здачі за цим workflow.</x:v>
      </x:c>
      <x:c r="Z1318" s="15" t="str">
        <x:v>https://prozorro.gov.ua/tender/UA-2025-09-05-006349-a</x:v>
      </x:c>
      <x:c r="AA1318" s="14" t="str">
        <x:v>3043006469</x:v>
      </x:c>
      <x:c r="AB1318" s="14" t="str">
        <x:v>2026-08-24</x:v>
      </x:c>
      <x:c r="AC1318" s="14" t="str"/>
      <x:c r="AD1318" s="20" t="str"/>
      <x:c r="AE1318" s="14" t="str"/>
      <x:c r="AF1318" s="14" t="n">
        <x:v>30</x:v>
      </x:c>
      <x:c r="AG1318" s="14" t="str">
        <x:v>I3</x:v>
      </x:c>
      <x:c r="AH1318" s="14" t="n">
        <x:v>1</x:v>
      </x:c>
      <x:c r="AI1318" s="14" t="n">
        <x:v>0</x:v>
      </x:c>
      <x:c r="AJ1318" s="18" t="n">
        <x:v>15990</x:v>
      </x:c>
      <x:c r="AK1318" s="14" t="str">
        <x:v>https://prozorro.gov.ua/tender/UA-2025-09-05-006349-a</x:v>
      </x:c>
      <x:c r="AL1318" s="19" t="n">
        <x:v>45905.39969184028</x:v>
      </x:c>
      <x:c r="AM1318" s="19" t="n">
        <x:v>45930</x:v>
      </x:c>
      <x:c r="AN1318" s="15" t="str">
        <x:v>HVAC / ОВіК</x:v>
      </x:c>
      <x:c r="AO1318" s="15" t="str">
        <x:v>not_found_in_top_search</x:v>
      </x:c>
    </x:row>
    <x:row r="1319">
      <x:c r="A1319" s="14" t="str">
        <x:v>W4-500</x:v>
      </x:c>
      <x:c r="B1319" s="14" t="str">
        <x:v>Prozorro expansion — 24.08</x:v>
      </x:c>
      <x:c r="C1319" s="14" t="str">
        <x:v>ТРЕНЧУК ДМИТРО СЕРГІЙОВИЧ</x:v>
      </x:c>
      <x:c r="D1319" s="14" t="str">
        <x:v>HVAC / ОВіК</x:v>
      </x:c>
      <x:c r="E1319" s="14" t="str">
        <x:v>Pilot now</x:v>
      </x:c>
      <x:c r="F1319" s="17" t="str">
        <x:v>P3</x:v>
      </x:c>
      <x:c r="G1319" s="14" t="str"/>
      <x:c r="H1319" s="14" t="str">
        <x:v>Пілот зараз — Н.14</x:v>
      </x:c>
      <x:c r="I1319" s="16" t="n">
        <x:v>5</x:v>
      </x:c>
      <x:c r="J1319" s="16" t="n">
        <x:v>5</x:v>
      </x:c>
      <x:c r="K1319" s="16" t="n">
        <x:v>4</x:v>
      </x:c>
      <x:c r="L1319" s="16" t="n">
        <x:v>1</x:v>
      </x:c>
      <x:c r="M1319" s="16" t="n">
        <x:v>5</x:v>
      </x:c>
      <x:c r="N1319" s="16" t="n">
        <x:v>3</x:v>
      </x:c>
      <x:c r="O1319" s="16" t="n">
        <x:v>3</x:v>
      </x:c>
      <x:c r="P1319" s="16" t="n">
        <x:f>IF(COUNT(I1319:O1319)&lt;7,"",I1319*8+J1319*3+K1319*2+L1319*2+M1319*2+N1319*2+O1319)</x:f>
        <x:v>84</x:v>
      </x:c>
      <x:c r="Q1319" s="16" t="n">
        <x:f>IF(COUNT(J1319:O1319)&lt;6,"",J1319*5+K1319*4+M1319*4+L1319*3+N1319*2+O1319*2)</x:f>
        <x:v>76</x:v>
      </x:c>
      <x:c r="R1319" s="14" t="str">
        <x:v>high</x:v>
      </x:c>
      <x:c r="S1319" s="14" t="str">
        <x:v>official_prozorro_award_2024_2026</x:v>
      </x:c>
      <x:c r="T1319" s="14" t="str">
        <x:v>official_prozorro_api</x:v>
      </x:c>
      <x:c r="U1319" s="14" t="str">
        <x:v>Не контактували</x:v>
      </x:c>
      <x:c r="V1319" s="15" t="str">
        <x:v>Персоналізований free-pilot outreach по UA-2025-08-11-001768-a; попросити 1 пакет Н.14/Н.15</x:v>
      </x:c>
      <x:c r="W1319" s="15" t="str">
        <x:v>Власник / виконавець; відповідальний за договір</x:v>
      </x:c>
      <x:c r="X1319" s="15" t="str">
        <x:v>1 нових підтверджених перемог/договорів у Prozorro на 13 000 грн; 0 зі строком виконання не раніше 24.08.2026.</x:v>
      </x:c>
      <x:c r="Y1319"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 строк до 2025-12-31. Попросити один знеособлений пакет здачі за цим workflow.</x:v>
      </x:c>
      <x:c r="Z1319" s="15" t="str">
        <x:v>https://prozorro.gov.ua/tender/UA-2025-08-11-001768-a</x:v>
      </x:c>
      <x:c r="AA1319" s="14" t="str">
        <x:v>3297313543</x:v>
      </x:c>
      <x:c r="AB1319" s="14" t="str">
        <x:v>2026-08-24</x:v>
      </x:c>
      <x:c r="AC1319" s="14" t="str"/>
      <x:c r="AD1319" s="20" t="str"/>
      <x:c r="AE1319" s="14" t="str"/>
      <x:c r="AF1319" s="14" t="n">
        <x:v>30</x:v>
      </x:c>
      <x:c r="AG1319" s="14" t="str">
        <x:v>I3</x:v>
      </x:c>
      <x:c r="AH1319" s="14" t="n">
        <x:v>1</x:v>
      </x:c>
      <x:c r="AI1319" s="14" t="n">
        <x:v>0</x:v>
      </x:c>
      <x:c r="AJ1319" s="18" t="n">
        <x:v>13000</x:v>
      </x:c>
      <x:c r="AK1319" s="14" t="str">
        <x:v>https://prozorro.gov.ua/tender/UA-2025-08-11-001768-a</x:v>
      </x:c>
      <x:c r="AL1319" s="19" t="n">
        <x:v>45880.30893820602</x:v>
      </x:c>
      <x:c r="AM1319" s="19" t="n">
        <x:v>46022</x:v>
      </x:c>
      <x:c r="AN1319" s="15" t="str">
        <x:v>HVAC / ОВіК</x:v>
      </x:c>
      <x:c r="AO1319" s="15" t="str">
        <x:v>not_found_in_top_search</x:v>
      </x:c>
    </x:row>
    <x:row r="1320">
      <x:c r="A1320" s="14" t="str">
        <x:v>W4-501</x:v>
      </x:c>
      <x:c r="B1320" s="14" t="str">
        <x:v>Prozorro expansion — 24.08</x:v>
      </x:c>
      <x:c r="C1320" s="14" t="str">
        <x:v>ТОВ «АНТИХОЛОД ПЛЮС»</x:v>
      </x:c>
      <x:c r="D1320" s="14" t="str">
        <x:v>HVAC / ОВіК</x:v>
      </x:c>
      <x:c r="E1320" s="14" t="str">
        <x:v>Pilot now</x:v>
      </x:c>
      <x:c r="F1320" s="17" t="str">
        <x:v>P3</x:v>
      </x:c>
      <x:c r="G1320" s="14" t="str"/>
      <x:c r="H1320" s="14" t="str">
        <x:v>Пілот зараз — Н.14</x:v>
      </x:c>
      <x:c r="I1320" s="16" t="n">
        <x:v>5</x:v>
      </x:c>
      <x:c r="J1320" s="16" t="n">
        <x:v>5</x:v>
      </x:c>
      <x:c r="K1320" s="16" t="n">
        <x:v>4</x:v>
      </x:c>
      <x:c r="L1320" s="16" t="n">
        <x:v>1</x:v>
      </x:c>
      <x:c r="M1320" s="16" t="n">
        <x:v>5</x:v>
      </x:c>
      <x:c r="N1320" s="16" t="n">
        <x:v>5</x:v>
      </x:c>
      <x:c r="O1320" s="16" t="n">
        <x:v>3</x:v>
      </x:c>
      <x:c r="P1320" s="16" t="n">
        <x:f>IF(COUNT(I1320:O1320)&lt;7,"",I1320*8+J1320*3+K1320*2+L1320*2+M1320*2+N1320*2+O1320)</x:f>
        <x:v>88</x:v>
      </x:c>
      <x:c r="Q1320" s="16" t="n">
        <x:f>IF(COUNT(J1320:O1320)&lt;6,"",J1320*5+K1320*4+M1320*4+L1320*3+N1320*2+O1320*2)</x:f>
        <x:v>80</x:v>
      </x:c>
      <x:c r="R1320" s="14" t="str">
        <x:v>high</x:v>
      </x:c>
      <x:c r="S1320" s="14" t="str">
        <x:v>official_prozorro_award_2024_2026</x:v>
      </x:c>
      <x:c r="T1320" s="14" t="str">
        <x:v>official_prozorro_api</x:v>
      </x:c>
      <x:c r="U1320" s="14" t="str">
        <x:v>Не контактували</x:v>
      </x:c>
      <x:c r="V1320" s="15" t="str">
        <x:v>Персоналізований free-pilot outreach по UA-2025-12-26-005818-a; попросити 1 пакет Н.14/Н.15</x:v>
      </x:c>
      <x:c r="W1320" s="15" t="str">
        <x:v>Власник / директор; керівник ПТО; відповідальний за договори</x:v>
      </x:c>
      <x:c r="X1320" s="15" t="str">
        <x:v>1 нових підтверджених перемог/договорів у Prozorro на 12 840 грн; 0 зі строком виконання не раніше 24.08.2026.</x:v>
      </x:c>
      <x:c r="Y1320" s="15" t="str">
        <x:v>ДК 021:2015: 50730000-1 – Послуги з ремонту і технічного обслуговування охолоджувальних установок (Монтаж системи вентиляції); строк до 2025-12-31. Попросити один знеособлений пакет здачі за цим workflow.</x:v>
      </x:c>
      <x:c r="Z1320" s="15" t="str">
        <x:v>https://prozorro.gov.ua/tender/UA-2025-12-26-005818-a</x:v>
      </x:c>
      <x:c r="AA1320" s="14" t="str">
        <x:v>43859963</x:v>
      </x:c>
      <x:c r="AB1320" s="14" t="str">
        <x:v>2026-08-24</x:v>
      </x:c>
      <x:c r="AC1320" s="14" t="str"/>
      <x:c r="AD1320" s="20" t="str"/>
      <x:c r="AE1320" s="14" t="str"/>
      <x:c r="AF1320" s="14" t="n">
        <x:v>30</x:v>
      </x:c>
      <x:c r="AG1320" s="14" t="str">
        <x:v>I3</x:v>
      </x:c>
      <x:c r="AH1320" s="14" t="n">
        <x:v>1</x:v>
      </x:c>
      <x:c r="AI1320" s="14" t="n">
        <x:v>0</x:v>
      </x:c>
      <x:c r="AJ1320" s="18" t="n">
        <x:v>12840.41</x:v>
      </x:c>
      <x:c r="AK1320" s="14" t="str">
        <x:v>https://prozorro.gov.ua/tender/UA-2025-12-26-005818-a</x:v>
      </x:c>
      <x:c r="AL1320" s="19" t="n">
        <x:v>46017.42333920139</x:v>
      </x:c>
      <x:c r="AM1320" s="19" t="n">
        <x:v>46022.42523148148</x:v>
      </x:c>
      <x:c r="AN1320" s="15" t="str">
        <x:v>HVAC / ОВіК</x:v>
      </x:c>
      <x:c r="AO1320" s="15" t="str">
        <x:v>not_found_in_top_search</x:v>
      </x:c>
    </x:row>
    <x:row r="1321">
      <x:c r="A1321" s="14" t="str">
        <x:v>W4-502</x:v>
      </x:c>
      <x:c r="B1321" s="14" t="str">
        <x:v>Prozorro expansion — 24.08</x:v>
      </x:c>
      <x:c r="C1321" s="14" t="str">
        <x:v>ТОВАРИСТВО З ОБМЕЖЕНОЮ ВІДПОВІДАЛЬНІСТЮ "УКРТЕРРАНОВА"</x:v>
      </x:c>
      <x:c r="D1321" s="14" t="str">
        <x:v>Ліфти та підйомники</x:v>
      </x:c>
      <x:c r="E1321" s="14" t="str">
        <x:v>Expansion discovery</x:v>
      </x:c>
      <x:c r="F1321" s="17" t="str">
        <x:v>D3</x:v>
      </x:c>
      <x:c r="G1321" s="14" t="str"/>
      <x:c r="H1321" s="14" t="str">
        <x:v>Discovery розширення — 2 тижні</x:v>
      </x:c>
      <x:c r="I1321" s="16" t="n">
        <x:v>1</x:v>
      </x:c>
      <x:c r="J1321" s="16" t="n">
        <x:v>5</x:v>
      </x:c>
      <x:c r="K1321" s="16" t="n">
        <x:v>4</x:v>
      </x:c>
      <x:c r="L1321" s="16" t="n">
        <x:v>1</x:v>
      </x:c>
      <x:c r="M1321" s="16" t="n">
        <x:v>5</x:v>
      </x:c>
      <x:c r="N1321" s="16" t="n">
        <x:v>5</x:v>
      </x:c>
      <x:c r="O1321" s="16" t="n">
        <x:v>3</x:v>
      </x:c>
      <x:c r="P1321" s="16" t="n">
        <x:f>IF(COUNT(I1321:O1321)&lt;7,"",I1321*8+J1321*3+K1321*2+L1321*2+M1321*2+N1321*2+O1321)</x:f>
        <x:v>56</x:v>
      </x:c>
      <x:c r="Q1321" s="16" t="n">
        <x:f>IF(COUNT(J1321:O1321)&lt;6,"",J1321*5+K1321*4+M1321*4+L1321*3+N1321*2+O1321*2)</x:f>
        <x:v>80</x:v>
      </x:c>
      <x:c r="R1321" s="14" t="str">
        <x:v>high</x:v>
      </x:c>
      <x:c r="S1321" s="14" t="str">
        <x:v>official_prozorro_award_2024_2026</x:v>
      </x:c>
      <x:c r="T1321" s="14" t="str">
        <x:v>official_prozorro_api</x:v>
      </x:c>
      <x:c r="U1321" s="14" t="str">
        <x:v>Не контактували</x:v>
      </x:c>
      <x:c r="V1321" s="15" t="str">
        <x:v>Workflow-audit outreach по UA-2025-11-14-013996-a; попросити 1 пакет здачі та вимоги проєкту</x:v>
      </x:c>
      <x:c r="W1321" s="15" t="str">
        <x:v>Власник / директор; керівник ПТО; відповідальний за договори</x:v>
      </x:c>
      <x:c r="X1321" s="15" t="str">
        <x:v>1 нових підтверджених перемог/договорів у Prozorro на 12 600 грн; 0 зі строком виконання не раніше 24.08.2026.</x:v>
      </x:c>
      <x:c r="Y1321" s="15" t="str">
        <x:v>45313000-4 Монтаж ліфтів та ескалаторів - Ремонт ліфтів; строк до 2025-12-31. Попросити один знеособлений пакет здачі за цим workflow.</x:v>
      </x:c>
      <x:c r="Z1321" s="15" t="str">
        <x:v>https://prozorro.gov.ua/tender/UA-2025-11-14-013996-a</x:v>
      </x:c>
      <x:c r="AA1321" s="14" t="str">
        <x:v>40155193</x:v>
      </x:c>
      <x:c r="AB1321" s="14" t="str">
        <x:v>2026-08-24</x:v>
      </x:c>
      <x:c r="AC1321" s="14" t="str"/>
      <x:c r="AD1321" s="20" t="str"/>
      <x:c r="AE1321" s="14" t="str"/>
      <x:c r="AF1321" s="14" t="n">
        <x:v>30</x:v>
      </x:c>
      <x:c r="AG1321" s="14" t="str">
        <x:v>I3</x:v>
      </x:c>
      <x:c r="AH1321" s="14" t="n">
        <x:v>1</x:v>
      </x:c>
      <x:c r="AI1321" s="14" t="n">
        <x:v>0</x:v>
      </x:c>
      <x:c r="AJ1321" s="18" t="n">
        <x:v>12600</x:v>
      </x:c>
      <x:c r="AK1321" s="14" t="str">
        <x:v>https://prozorro.gov.ua/tender/UA-2025-11-14-013996-a</x:v>
      </x:c>
      <x:c r="AL1321" s="19" t="n">
        <x:v>45975.59334226852</x:v>
      </x:c>
      <x:c r="AM1321" s="19" t="n">
        <x:v>46022</x:v>
      </x:c>
      <x:c r="AN1321" s="15" t="str">
        <x:v>Ліфти та підйомники</x:v>
      </x:c>
      <x:c r="AO1321" s="15" t="str">
        <x:v>not_found_in_top_search</x:v>
      </x:c>
    </x:row>
    <x:row r="1322">
      <x:c r="A1322" s="14" t="str">
        <x:v>W4-503</x:v>
      </x:c>
      <x:c r="B1322" s="14" t="str">
        <x:v>Prozorro expansion — 24.08</x:v>
      </x:c>
      <x:c r="C1322" s="14" t="str">
        <x:v>ІВАНУЦЬ ОЛЕКСАНДР ВАСИЛЬОВИЧ</x:v>
      </x:c>
      <x:c r="D1322" s="14" t="str">
        <x:v>Металоконструкції</x:v>
      </x:c>
      <x:c r="E1322" s="14" t="str">
        <x:v>Expansion discovery</x:v>
      </x:c>
      <x:c r="F1322" s="17" t="str">
        <x:v>D3</x:v>
      </x:c>
      <x:c r="G1322" s="14" t="str"/>
      <x:c r="H1322" s="14" t="str">
        <x:v>Discovery розширення — 2 тижні</x:v>
      </x:c>
      <x:c r="I1322" s="16" t="n">
        <x:v>1</x:v>
      </x:c>
      <x:c r="J1322" s="16" t="n">
        <x:v>5</x:v>
      </x:c>
      <x:c r="K1322" s="16" t="n">
        <x:v>5</x:v>
      </x:c>
      <x:c r="L1322" s="16" t="n">
        <x:v>1</x:v>
      </x:c>
      <x:c r="M1322" s="16" t="n">
        <x:v>5</x:v>
      </x:c>
      <x:c r="N1322" s="16" t="n">
        <x:v>3</x:v>
      </x:c>
      <x:c r="O1322" s="16" t="n">
        <x:v>3</x:v>
      </x:c>
      <x:c r="P1322" s="16" t="n">
        <x:f>IF(COUNT(I1322:O1322)&lt;7,"",I1322*8+J1322*3+K1322*2+L1322*2+M1322*2+N1322*2+O1322)</x:f>
        <x:v>54</x:v>
      </x:c>
      <x:c r="Q1322" s="16" t="n">
        <x:f>IF(COUNT(J1322:O1322)&lt;6,"",J1322*5+K1322*4+M1322*4+L1322*3+N1322*2+O1322*2)</x:f>
        <x:v>80</x:v>
      </x:c>
      <x:c r="R1322" s="14" t="str">
        <x:v>high</x:v>
      </x:c>
      <x:c r="S1322" s="14" t="str">
        <x:v>official_prozorro_award_2024_2026</x:v>
      </x:c>
      <x:c r="T1322" s="14" t="str">
        <x:v>official_prozorro_api</x:v>
      </x:c>
      <x:c r="U1322" s="14" t="str">
        <x:v>Не контактували</x:v>
      </x:c>
      <x:c r="V1322" s="15" t="str">
        <x:v>Workflow-audit outreach по UA-2025-07-29-000908-a; попросити 1 пакет здачі та вимоги проєкту</x:v>
      </x:c>
      <x:c r="W1322" s="15" t="str">
        <x:v>Власник / виконавець; відповідальний за договір</x:v>
      </x:c>
      <x:c r="X1322" s="15" t="str">
        <x:v>1 нових підтверджених перемог/договорів у Prozorro на 10 463 грн; 0 зі строком виконання не раніше 24.08.2026.</x:v>
      </x:c>
      <x:c r="Y1322" s="15" t="str">
        <x:v>Монтаж внутрішніх металоконструкцій димоходу (Чортківська філія ТОЦЗ); строк до 2025-08-15. Попросити один знеособлений пакет здачі за цим workflow.</x:v>
      </x:c>
      <x:c r="Z1322" s="15" t="str">
        <x:v>https://prozorro.gov.ua/tender/UA-2025-07-29-000908-a</x:v>
      </x:c>
      <x:c r="AA1322" s="14" t="str">
        <x:v>2946615153</x:v>
      </x:c>
      <x:c r="AB1322" s="14" t="str">
        <x:v>2026-08-24</x:v>
      </x:c>
      <x:c r="AC1322" s="14" t="str"/>
      <x:c r="AD1322" s="20" t="str"/>
      <x:c r="AE1322" s="14" t="str"/>
      <x:c r="AF1322" s="14" t="n">
        <x:v>30</x:v>
      </x:c>
      <x:c r="AG1322" s="14" t="str">
        <x:v>I3</x:v>
      </x:c>
      <x:c r="AH1322" s="14" t="n">
        <x:v>1</x:v>
      </x:c>
      <x:c r="AI1322" s="14" t="n">
        <x:v>0</x:v>
      </x:c>
      <x:c r="AJ1322" s="18" t="n">
        <x:v>10463</x:v>
      </x:c>
      <x:c r="AK1322" s="14" t="str">
        <x:v>https://prozorro.gov.ua/tender/UA-2025-07-29-000908-a</x:v>
      </x:c>
      <x:c r="AL1322" s="19" t="n">
        <x:v>45867.26571225694</x:v>
      </x:c>
      <x:c r="AM1322" s="19" t="n">
        <x:v>45884</x:v>
      </x:c>
      <x:c r="AN1322" s="15" t="str">
        <x:v>Металоконструкції</x:v>
      </x:c>
      <x:c r="AO1322" s="15" t="str">
        <x:v>not_found_in_top_search</x:v>
      </x:c>
    </x:row>
    <x:row r="1323">
      <x:c r="A1323" s="14" t="str">
        <x:v>W4-504</x:v>
      </x:c>
      <x:c r="B1323" s="14" t="str">
        <x:v>Prozorro expansion — 24.08</x:v>
      </x:c>
      <x:c r="C1323" s="14" t="str">
        <x:v>ТОПЧАК ЮЛІЯ ВАСИЛІВНА</x:v>
      </x:c>
      <x:c r="D1323" s="14" t="str">
        <x:v>Благоустрій</x:v>
      </x:c>
      <x:c r="E1323" s="14" t="str">
        <x:v>Expansion discovery</x:v>
      </x:c>
      <x:c r="F1323" s="17" t="str">
        <x:v>D3</x:v>
      </x:c>
      <x:c r="G1323" s="14" t="str"/>
      <x:c r="H1323" s="14" t="str">
        <x:v>Discovery розширення — 2 тижні</x:v>
      </x:c>
      <x:c r="I1323" s="16" t="n">
        <x:v>1</x:v>
      </x:c>
      <x:c r="J1323" s="16" t="n">
        <x:v>5</x:v>
      </x:c>
      <x:c r="K1323" s="16" t="n">
        <x:v>4</x:v>
      </x:c>
      <x:c r="L1323" s="16" t="n">
        <x:v>1</x:v>
      </x:c>
      <x:c r="M1323" s="16" t="n">
        <x:v>5</x:v>
      </x:c>
      <x:c r="N1323" s="16" t="n">
        <x:v>3</x:v>
      </x:c>
      <x:c r="O1323" s="16" t="n">
        <x:v>3</x:v>
      </x:c>
      <x:c r="P1323" s="16" t="n">
        <x:f>IF(COUNT(I1323:O1323)&lt;7,"",I1323*8+J1323*3+K1323*2+L1323*2+M1323*2+N1323*2+O1323)</x:f>
        <x:v>52</x:v>
      </x:c>
      <x:c r="Q1323" s="16" t="n">
        <x:f>IF(COUNT(J1323:O1323)&lt;6,"",J1323*5+K1323*4+M1323*4+L1323*3+N1323*2+O1323*2)</x:f>
        <x:v>76</x:v>
      </x:c>
      <x:c r="R1323" s="14" t="str">
        <x:v>high</x:v>
      </x:c>
      <x:c r="S1323" s="14" t="str">
        <x:v>official_prozorro_award_2024_2026</x:v>
      </x:c>
      <x:c r="T1323" s="14" t="str">
        <x:v>official_prozorro_api</x:v>
      </x:c>
      <x:c r="U1323" s="14" t="str">
        <x:v>Не контактували</x:v>
      </x:c>
      <x:c r="V1323" s="15" t="str">
        <x:v>Workflow-audit outreach по UA-2025-11-10-005480-a; попросити 1 пакет здачі та вимоги проєкту</x:v>
      </x:c>
      <x:c r="W1323" s="15" t="str">
        <x:v>Власник / виконавець; відповідальний за договір</x:v>
      </x:c>
      <x:c r="X1323" s="15" t="str">
        <x:v>1 нових підтверджених перемог/договорів у Prozorro на 8 800 грн; 0 зі строком виконання не раніше 24.08.2026.</x:v>
      </x:c>
      <x:c r="Y1323"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 строк до 2025-12-31. Попросити один знеособлений пакет здачі за цим workflow.</x:v>
      </x:c>
      <x:c r="Z1323" s="15" t="str">
        <x:v>https://prozorro.gov.ua/tender/UA-2025-11-10-005480-a</x:v>
      </x:c>
      <x:c r="AA1323" s="14" t="str">
        <x:v>2941702989</x:v>
      </x:c>
      <x:c r="AB1323" s="14" t="str">
        <x:v>2026-08-24</x:v>
      </x:c>
      <x:c r="AC1323" s="14" t="str"/>
      <x:c r="AD1323" s="20" t="str"/>
      <x:c r="AE1323" s="14" t="str"/>
      <x:c r="AF1323" s="14" t="n">
        <x:v>30</x:v>
      </x:c>
      <x:c r="AG1323" s="14" t="str">
        <x:v>I3</x:v>
      </x:c>
      <x:c r="AH1323" s="14" t="n">
        <x:v>1</x:v>
      </x:c>
      <x:c r="AI1323" s="14" t="n">
        <x:v>0</x:v>
      </x:c>
      <x:c r="AJ1323" s="18" t="n">
        <x:v>8800</x:v>
      </x:c>
      <x:c r="AK1323" s="14" t="str">
        <x:v>https://prozorro.gov.ua/tender/UA-2025-11-10-005480-a</x:v>
      </x:c>
      <x:c r="AL1323" s="19" t="n">
        <x:v>45971.4164716088</x:v>
      </x:c>
      <x:c r="AM1323" s="19" t="n">
        <x:v>46022</x:v>
      </x:c>
      <x:c r="AN1323" s="15" t="str">
        <x:v>Благоустрій</x:v>
      </x:c>
      <x:c r="AO1323" s="15" t="str">
        <x:v>not_found_in_top_search</x:v>
      </x:c>
    </x:row>
    <x:row r="1324">
      <x:c r="A1324" s="14" t="str">
        <x:v>W4-505</x:v>
      </x:c>
      <x:c r="B1324" s="14" t="str">
        <x:v>Prozorro expansion — 24.08</x:v>
      </x:c>
      <x:c r="C1324" s="14" t="str">
        <x:v>ГАВРИШ ВАЛЕНТИН ОЛЕГОВИЧ</x:v>
      </x:c>
      <x:c r="D1324" s="14" t="str">
        <x:v>HVAC / ОВіК</x:v>
      </x:c>
      <x:c r="E1324" s="14" t="str">
        <x:v>Pilot now</x:v>
      </x:c>
      <x:c r="F1324" s="17" t="str">
        <x:v>P3</x:v>
      </x:c>
      <x:c r="G1324" s="14" t="str"/>
      <x:c r="H1324" s="14" t="str">
        <x:v>Пілот зараз — Н.14</x:v>
      </x:c>
      <x:c r="I1324" s="16" t="n">
        <x:v>5</x:v>
      </x:c>
      <x:c r="J1324" s="16" t="n">
        <x:v>5</x:v>
      </x:c>
      <x:c r="K1324" s="16" t="n">
        <x:v>4</x:v>
      </x:c>
      <x:c r="L1324" s="16" t="n">
        <x:v>1</x:v>
      </x:c>
      <x:c r="M1324" s="16" t="n">
        <x:v>5</x:v>
      </x:c>
      <x:c r="N1324" s="16" t="n">
        <x:v>3</x:v>
      </x:c>
      <x:c r="O1324" s="16" t="n">
        <x:v>3</x:v>
      </x:c>
      <x:c r="P1324" s="16" t="n">
        <x:f>IF(COUNT(I1324:O1324)&lt;7,"",I1324*8+J1324*3+K1324*2+L1324*2+M1324*2+N1324*2+O1324)</x:f>
        <x:v>84</x:v>
      </x:c>
      <x:c r="Q1324" s="16" t="n">
        <x:f>IF(COUNT(J1324:O1324)&lt;6,"",J1324*5+K1324*4+M1324*4+L1324*3+N1324*2+O1324*2)</x:f>
        <x:v>76</x:v>
      </x:c>
      <x:c r="R1324" s="14" t="str">
        <x:v>high</x:v>
      </x:c>
      <x:c r="S1324" s="14" t="str">
        <x:v>official_prozorro_award_2024_2026</x:v>
      </x:c>
      <x:c r="T1324" s="14" t="str">
        <x:v>official_prozorro_api</x:v>
      </x:c>
      <x:c r="U1324" s="14" t="str">
        <x:v>Не контактували</x:v>
      </x:c>
      <x:c r="V1324" s="15" t="str">
        <x:v>Персоналізований free-pilot outreach по UA-2025-12-08-004050-a; попросити 1 пакет Н.14/Н.15</x:v>
      </x:c>
      <x:c r="W1324" s="15" t="str">
        <x:v>Власник / виконавець; відповідальний за договір</x:v>
      </x:c>
      <x:c r="X1324" s="15" t="str">
        <x:v>1 нових підтверджених перемог/договорів у Prozorro на 8 025 грн; 0 зі строком виконання не раніше 24.08.2026.</x:v>
      </x:c>
      <x:c r="Y1324" s="15" t="str">
        <x:v>Послуги з монтажу, демонтажу та технічного обслуговування систем кондиціонування та вентиляції ; строк до 2025-12-31. Попросити один знеособлений пакет здачі за цим workflow.</x:v>
      </x:c>
      <x:c r="Z1324" s="15" t="str">
        <x:v>https://prozorro.gov.ua/tender/UA-2025-12-08-004050-a</x:v>
      </x:c>
      <x:c r="AA1324" s="14" t="str">
        <x:v>3623205677</x:v>
      </x:c>
      <x:c r="AB1324" s="14" t="str">
        <x:v>2026-08-24</x:v>
      </x:c>
      <x:c r="AC1324" s="14" t="str"/>
      <x:c r="AD1324" s="20" t="str"/>
      <x:c r="AE1324" s="14" t="str"/>
      <x:c r="AF1324" s="14" t="n">
        <x:v>30</x:v>
      </x:c>
      <x:c r="AG1324" s="14" t="str">
        <x:v>I3</x:v>
      </x:c>
      <x:c r="AH1324" s="14" t="n">
        <x:v>1</x:v>
      </x:c>
      <x:c r="AI1324" s="14" t="n">
        <x:v>0</x:v>
      </x:c>
      <x:c r="AJ1324" s="18" t="n">
        <x:v>8025</x:v>
      </x:c>
      <x:c r="AK1324" s="14" t="str">
        <x:v>https://prozorro.gov.ua/tender/UA-2025-12-08-004050-a</x:v>
      </x:c>
      <x:c r="AL1324" s="19" t="n">
        <x:v>45999.36377269676</x:v>
      </x:c>
      <x:c r="AM1324" s="19" t="n">
        <x:v>46022</x:v>
      </x:c>
      <x:c r="AN1324" s="15" t="str">
        <x:v>HVAC / ОВіК</x:v>
      </x:c>
      <x:c r="AO1324" s="15" t="str">
        <x:v>not_found_in_top_search</x:v>
      </x:c>
    </x:row>
    <x:row r="1325">
      <x:c r="A1325" s="14" t="str">
        <x:v>W4-506</x:v>
      </x:c>
      <x:c r="B1325" s="14" t="str">
        <x:v>Prozorro expansion — 24.08</x:v>
      </x:c>
      <x:c r="C1325" s="14" t="str">
        <x:v>КУЧЕР ОЛЕНА АНАТОЛІЇВНА</x:v>
      </x:c>
      <x:c r="D1325" s="14" t="str">
        <x:v>Чисті приміщення</x:v>
      </x:c>
      <x:c r="E1325" s="14" t="str">
        <x:v>Expansion discovery</x:v>
      </x:c>
      <x:c r="F1325" s="17" t="str">
        <x:v>D3</x:v>
      </x:c>
      <x:c r="G1325" s="14" t="str"/>
      <x:c r="H1325" s="14" t="str">
        <x:v>Discovery розширення — 2 тижні</x:v>
      </x:c>
      <x:c r="I1325" s="16" t="n">
        <x:v>1</x:v>
      </x:c>
      <x:c r="J1325" s="16" t="n">
        <x:v>5</x:v>
      </x:c>
      <x:c r="K1325" s="16" t="n">
        <x:v>5</x:v>
      </x:c>
      <x:c r="L1325" s="16" t="n">
        <x:v>1</x:v>
      </x:c>
      <x:c r="M1325" s="16" t="n">
        <x:v>5</x:v>
      </x:c>
      <x:c r="N1325" s="16" t="n">
        <x:v>3</x:v>
      </x:c>
      <x:c r="O1325" s="16" t="n">
        <x:v>3</x:v>
      </x:c>
      <x:c r="P1325" s="16" t="n">
        <x:f>IF(COUNT(I1325:O1325)&lt;7,"",I1325*8+J1325*3+K1325*2+L1325*2+M1325*2+N1325*2+O1325)</x:f>
        <x:v>54</x:v>
      </x:c>
      <x:c r="Q1325" s="16" t="n">
        <x:f>IF(COUNT(J1325:O1325)&lt;6,"",J1325*5+K1325*4+M1325*4+L1325*3+N1325*2+O1325*2)</x:f>
        <x:v>80</x:v>
      </x:c>
      <x:c r="R1325" s="14" t="str">
        <x:v>high</x:v>
      </x:c>
      <x:c r="S1325" s="14" t="str">
        <x:v>official_prozorro_award_2024_2026</x:v>
      </x:c>
      <x:c r="T1325" s="14" t="str">
        <x:v>official_prozorro_api</x:v>
      </x:c>
      <x:c r="U1325" s="14" t="str">
        <x:v>Не контактували</x:v>
      </x:c>
      <x:c r="V1325" s="15" t="str">
        <x:v>Workflow-audit outreach по UA-2025-08-19-002850-a; попросити 1 пакет здачі та вимоги проєкту</x:v>
      </x:c>
      <x:c r="W1325" s="15" t="str">
        <x:v>Власник / виконавець; відповідальний за договір</x:v>
      </x:c>
      <x:c r="X1325" s="15" t="str">
        <x:v>1 нових підтверджених перемог/договорів у Prozorro на 5 518 грн; 0 зі строком виконання не раніше 24.08.2026.</x:v>
      </x:c>
      <x:c r="Y1325"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 строк до 2025-12-31. Попросити один знеособлений пакет здачі за цим workflow.</x:v>
      </x:c>
      <x:c r="Z1325" s="15" t="str">
        <x:v>https://prozorro.gov.ua/tender/UA-2025-08-19-002850-a</x:v>
      </x:c>
      <x:c r="AA1325" s="14" t="str">
        <x:v>2169110448</x:v>
      </x:c>
      <x:c r="AB1325" s="14" t="str">
        <x:v>2026-08-24</x:v>
      </x:c>
      <x:c r="AC1325" s="14" t="str"/>
      <x:c r="AD1325" s="20" t="str"/>
      <x:c r="AE1325" s="14" t="str"/>
      <x:c r="AF1325" s="14" t="n">
        <x:v>30</x:v>
      </x:c>
      <x:c r="AG1325" s="14" t="str">
        <x:v>I3</x:v>
      </x:c>
      <x:c r="AH1325" s="14" t="n">
        <x:v>1</x:v>
      </x:c>
      <x:c r="AI1325" s="14" t="n">
        <x:v>0</x:v>
      </x:c>
      <x:c r="AJ1325" s="18" t="n">
        <x:v>5518.26</x:v>
      </x:c>
      <x:c r="AK1325" s="14" t="str">
        <x:v>https://prozorro.gov.ua/tender/UA-2025-08-19-002850-a</x:v>
      </x:c>
      <x:c r="AL1325" s="19" t="n">
        <x:v>45888.328130358794</x:v>
      </x:c>
      <x:c r="AM1325" s="19" t="n">
        <x:v>46022</x:v>
      </x:c>
      <x:c r="AN1325" s="15" t="str">
        <x:v>Чисті приміщення</x:v>
      </x:c>
      <x:c r="AO1325" s="15" t="str">
        <x:v>not_found_in_top_search</x:v>
      </x:c>
    </x:row>
    <x:row r="1326">
      <x:c r="A1326" s="14" t="str">
        <x:v>W4-507</x:v>
      </x:c>
      <x:c r="B1326" s="14" t="str">
        <x:v>Prozorro expansion — 24.08</x:v>
      </x:c>
      <x:c r="C1326" s="14" t="str">
        <x:v>ТОВАРИСТВО З ОБМЕЖЕНОЮ ВІДПОВІДАЛЬНІСТЮ "ТРАНСЕЛЕКТРО ГРУП"</x:v>
      </x:c>
      <x:c r="D1326" s="14" t="str">
        <x:v>Покрівлі та гідроізоляція</x:v>
      </x:c>
      <x:c r="E1326" s="14" t="str">
        <x:v>Expansion discovery</x:v>
      </x:c>
      <x:c r="F1326" s="17" t="str">
        <x:v>D3</x:v>
      </x:c>
      <x:c r="G1326" s="14" t="str"/>
      <x:c r="H1326" s="14" t="str">
        <x:v>Discovery розширення — 2 тижні</x:v>
      </x:c>
      <x:c r="I1326" s="16" t="n">
        <x:v>1</x:v>
      </x:c>
      <x:c r="J1326" s="16" t="n">
        <x:v>5</x:v>
      </x:c>
      <x:c r="K1326" s="16" t="n">
        <x:v>5</x:v>
      </x:c>
      <x:c r="L1326" s="16" t="n">
        <x:v>1</x:v>
      </x:c>
      <x:c r="M1326" s="16" t="n">
        <x:v>5</x:v>
      </x:c>
      <x:c r="N1326" s="16" t="n">
        <x:v>5</x:v>
      </x:c>
      <x:c r="O1326" s="16" t="n">
        <x:v>3</x:v>
      </x:c>
      <x:c r="P1326" s="16" t="n">
        <x:f>IF(COUNT(I1326:O1326)&lt;7,"",I1326*8+J1326*3+K1326*2+L1326*2+M1326*2+N1326*2+O1326)</x:f>
        <x:v>58</x:v>
      </x:c>
      <x:c r="Q1326" s="16" t="n">
        <x:f>IF(COUNT(J1326:O1326)&lt;6,"",J1326*5+K1326*4+M1326*4+L1326*3+N1326*2+O1326*2)</x:f>
        <x:v>84</x:v>
      </x:c>
      <x:c r="R1326" s="14" t="str">
        <x:v>high</x:v>
      </x:c>
      <x:c r="S1326" s="14" t="str">
        <x:v>official_prozorro_award_2024_2026</x:v>
      </x:c>
      <x:c r="T1326" s="14" t="str">
        <x:v>official_prozorro_api</x:v>
      </x:c>
      <x:c r="U1326" s="14" t="str">
        <x:v>Не контактували</x:v>
      </x:c>
      <x:c r="V1326" s="15" t="str">
        <x:v>Workflow-audit outreach по UA-2025-10-02-003722-a; попросити 1 пакет здачі та вимоги проєкту</x:v>
      </x:c>
      <x:c r="W1326" s="15" t="str">
        <x:v>Власник / директор; керівник ПТО; відповідальний за договори</x:v>
      </x:c>
      <x:c r="X1326" s="15" t="str">
        <x:v>1 нових підтверджених перемог/договорів у Prozorro на 5 000 грн; 0 зі строком виконання не раніше 24.08.2026.</x:v>
      </x:c>
      <x:c r="Y1326" s="15" t="str">
        <x:v>Фарба акрилова гідроізоляційна універсальна для проведення ремонтних робіт господарським способом; строк до 2025-10-10. Попросити один знеособлений пакет здачі за цим workflow.</x:v>
      </x:c>
      <x:c r="Z1326" s="15" t="str">
        <x:v>https://prozorro.gov.ua/tender/UA-2025-10-02-003722-a</x:v>
      </x:c>
      <x:c r="AA1326" s="14" t="str">
        <x:v>43489304</x:v>
      </x:c>
      <x:c r="AB1326" s="14" t="str">
        <x:v>2026-08-24</x:v>
      </x:c>
      <x:c r="AC1326" s="14" t="str"/>
      <x:c r="AD1326" s="20" t="str"/>
      <x:c r="AE1326" s="14" t="str"/>
      <x:c r="AF1326" s="14" t="n">
        <x:v>30</x:v>
      </x:c>
      <x:c r="AG1326" s="14" t="str">
        <x:v>I3</x:v>
      </x:c>
      <x:c r="AH1326" s="14" t="n">
        <x:v>1</x:v>
      </x:c>
      <x:c r="AI1326" s="14" t="n">
        <x:v>0</x:v>
      </x:c>
      <x:c r="AJ1326" s="18" t="n">
        <x:v>5000.4</x:v>
      </x:c>
      <x:c r="AK1326" s="14" t="str">
        <x:v>https://prozorro.gov.ua/tender/UA-2025-10-02-003722-a</x:v>
      </x:c>
      <x:c r="AL1326" s="19" t="n">
        <x:v>45932.349847453705</x:v>
      </x:c>
      <x:c r="AM1326" s="19" t="n">
        <x:v>45940</x:v>
      </x:c>
      <x:c r="AN1326" s="15" t="str">
        <x:v>Покрівлі та гідроізоляція</x:v>
      </x:c>
      <x:c r="AO1326" s="15" t="str">
        <x:v>not_found_in_top_search</x:v>
      </x:c>
    </x:row>
    <x:row r="1327">
      <x:c r="A1327" s="14" t="str">
        <x:v>W4-508</x:v>
      </x:c>
      <x:c r="B1327" s="14" t="str">
        <x:v>Prozorro expansion — 24.08</x:v>
      </x:c>
      <x:c r="C1327" s="14" t="str">
        <x:v>ТОВАРИСТВО З ОБМЕЖЕНОЮ ВІДПОВІДАЛЬНІСТЮ "Будстандарт Хмельницький"</x:v>
      </x:c>
      <x:c r="D1327" s="14" t="str">
        <x:v>Металоконструкції</x:v>
      </x:c>
      <x:c r="E1327" s="14" t="str">
        <x:v>Expansion discovery</x:v>
      </x:c>
      <x:c r="F1327" s="17" t="str">
        <x:v>D3</x:v>
      </x:c>
      <x:c r="G1327" s="14" t="str"/>
      <x:c r="H1327" s="14" t="str">
        <x:v>Discovery розширення — 2 тижні</x:v>
      </x:c>
      <x:c r="I1327" s="16" t="n">
        <x:v>1</x:v>
      </x:c>
      <x:c r="J1327" s="16" t="n">
        <x:v>5</x:v>
      </x:c>
      <x:c r="K1327" s="16" t="n">
        <x:v>5</x:v>
      </x:c>
      <x:c r="L1327" s="16" t="n">
        <x:v>1</x:v>
      </x:c>
      <x:c r="M1327" s="16" t="n">
        <x:v>5</x:v>
      </x:c>
      <x:c r="N1327" s="16" t="n">
        <x:v>5</x:v>
      </x:c>
      <x:c r="O1327" s="16" t="n">
        <x:v>3</x:v>
      </x:c>
      <x:c r="P1327" s="16" t="n">
        <x:f>IF(COUNT(I1327:O1327)&lt;7,"",I1327*8+J1327*3+K1327*2+L1327*2+M1327*2+N1327*2+O1327)</x:f>
        <x:v>58</x:v>
      </x:c>
      <x:c r="Q1327" s="16" t="n">
        <x:f>IF(COUNT(J1327:O1327)&lt;6,"",J1327*5+K1327*4+M1327*4+L1327*3+N1327*2+O1327*2)</x:f>
        <x:v>84</x:v>
      </x:c>
      <x:c r="R1327" s="14" t="str">
        <x:v>high</x:v>
      </x:c>
      <x:c r="S1327" s="14" t="str">
        <x:v>official_prozorro_award_2024_2026</x:v>
      </x:c>
      <x:c r="T1327" s="14" t="str">
        <x:v>official_prozorro_api</x:v>
      </x:c>
      <x:c r="U1327" s="14" t="str">
        <x:v>Не контактували</x:v>
      </x:c>
      <x:c r="V1327" s="15" t="str">
        <x:v>Workflow-audit outreach по UA-2025-05-28-007579-a; попросити 1 пакет здачі та вимоги проєкту</x:v>
      </x:c>
      <x:c r="W1327" s="15" t="str">
        <x:v>Власник / директор; керівник ПТО; відповідальний за договори</x:v>
      </x:c>
      <x:c r="X1327" s="15" t="str">
        <x:v>1 нових підтверджених перемог/договорів у Prozorro на 3 432 грн; 0 зі строком виконання не раніше 24.08.2026.</x:v>
      </x:c>
      <x:c r="Y1327" s="15" t="str">
        <x:v>«Інженерні та будівельні роботи» (монтаж комплекта металоконструкції «Накривка на генератор аварійного резервного живлення»); строк до 2025-12-31. Попросити один знеособлений пакет здачі за цим workflow.</x:v>
      </x:c>
      <x:c r="Z1327" s="15" t="str">
        <x:v>https://prozorro.gov.ua/tender/UA-2025-05-28-007579-a</x:v>
      </x:c>
      <x:c r="AA1327" s="14" t="str">
        <x:v>40118392</x:v>
      </x:c>
      <x:c r="AB1327" s="14" t="str">
        <x:v>2026-08-24</x:v>
      </x:c>
      <x:c r="AC1327" s="14" t="str"/>
      <x:c r="AD1327" s="20" t="str"/>
      <x:c r="AE1327" s="14" t="str"/>
      <x:c r="AF1327" s="14" t="n">
        <x:v>30</x:v>
      </x:c>
      <x:c r="AG1327" s="14" t="str">
        <x:v>I3</x:v>
      </x:c>
      <x:c r="AH1327" s="14" t="n">
        <x:v>1</x:v>
      </x:c>
      <x:c r="AI1327" s="14" t="n">
        <x:v>0</x:v>
      </x:c>
      <x:c r="AJ1327" s="18" t="n">
        <x:v>3432</x:v>
      </x:c>
      <x:c r="AK1327" s="14" t="str">
        <x:v>https://prozorro.gov.ua/tender/UA-2025-05-28-007579-a</x:v>
      </x:c>
      <x:c r="AL1327" s="19" t="n">
        <x:v>45805.46671395833</x:v>
      </x:c>
      <x:c r="AM1327" s="19" t="n">
        <x:v>46022.916666655095</x:v>
      </x:c>
      <x:c r="AN1327" s="15" t="str">
        <x:v>Металоконструкції</x:v>
      </x:c>
      <x:c r="AO1327" s="15" t="str">
        <x:v>not_found_in_top_search</x:v>
      </x:c>
    </x:row>
    <x:row r="1328">
      <x:c r="A1328" s="14" t="str">
        <x:v>W4-509</x:v>
      </x:c>
      <x:c r="B1328" s="14" t="str">
        <x:v>Prozorro expansion — 24.08</x:v>
      </x:c>
      <x:c r="C1328" s="14" t="str">
        <x:v>КОМУНАЛЬНЕ ПІДПРИЄМСТВО "СНІГУРІВСЬКИЙ КОМУНАЛЬНИК"</x:v>
      </x:c>
      <x:c r="D1328" s="14" t="str">
        <x:v>Внутрішні сантехнічні системи</x:v>
      </x:c>
      <x:c r="E1328" s="14" t="str">
        <x:v>Pilot now</x:v>
      </x:c>
      <x:c r="F1328" s="17" t="str">
        <x:v>P3</x:v>
      </x:c>
      <x:c r="G1328" s="14" t="str"/>
      <x:c r="H1328" s="14" t="str">
        <x:v>Пілот зараз — Н.14</x:v>
      </x:c>
      <x:c r="I1328" s="16" t="n">
        <x:v>5</x:v>
      </x:c>
      <x:c r="J1328" s="16" t="n">
        <x:v>5</x:v>
      </x:c>
      <x:c r="K1328" s="16" t="n">
        <x:v>4</x:v>
      </x:c>
      <x:c r="L1328" s="16" t="n">
        <x:v>1</x:v>
      </x:c>
      <x:c r="M1328" s="16" t="n">
        <x:v>5</x:v>
      </x:c>
      <x:c r="N1328" s="16" t="n">
        <x:v>5</x:v>
      </x:c>
      <x:c r="O1328" s="16" t="n">
        <x:v>3</x:v>
      </x:c>
      <x:c r="P1328" s="16" t="n">
        <x:f>IF(COUNT(I1328:O1328)&lt;7,"",I1328*8+J1328*3+K1328*2+L1328*2+M1328*2+N1328*2+O1328)</x:f>
        <x:v>88</x:v>
      </x:c>
      <x:c r="Q1328" s="16" t="n">
        <x:f>IF(COUNT(J1328:O1328)&lt;6,"",J1328*5+K1328*4+M1328*4+L1328*3+N1328*2+O1328*2)</x:f>
        <x:v>80</x:v>
      </x:c>
      <x:c r="R1328" s="14" t="str">
        <x:v>high</x:v>
      </x:c>
      <x:c r="S1328" s="14" t="str">
        <x:v>official_prozorro_award_2024_2026</x:v>
      </x:c>
      <x:c r="T1328" s="14" t="str">
        <x:v>official_prozorro_api</x:v>
      </x:c>
      <x:c r="U1328" s="14" t="str">
        <x:v>Не контактували</x:v>
      </x:c>
      <x:c r="V1328" s="15" t="str">
        <x:v>Персоналізований free-pilot outreach по UA-2025-12-17-008148-a; попросити 1 пакет Н.14/Н.15</x:v>
      </x:c>
      <x:c r="W1328" s="15" t="str">
        <x:v>Власник / директор; керівник ПТО; відповідальний за договори</x:v>
      </x:c>
      <x:c r="X1328" s="15" t="str">
        <x:v>1 нових підтверджених перемог/договорів у Prozorro на 1 903 грн; 0 зі строком виконання не раніше 24.08.2026.</x:v>
      </x:c>
      <x:c r="Y1328" s="15" t="str">
        <x:v>Код ДК 021:2015:45330000-9 "Водопровідні та санітарно-технічні роботи" (Послуги з поточного ремонту внутрішніх мереж водопостачання); строк до 2025-12-31. Попросити один знеособлений пакет здачі за цим workflow.</x:v>
      </x:c>
      <x:c r="Z1328" s="15" t="str">
        <x:v>https://prozorro.gov.ua/tender/UA-2025-12-17-008148-a</x:v>
      </x:c>
      <x:c r="AA1328" s="14" t="str">
        <x:v>36895353</x:v>
      </x:c>
      <x:c r="AB1328" s="14" t="str">
        <x:v>2026-08-24</x:v>
      </x:c>
      <x:c r="AC1328" s="14" t="str"/>
      <x:c r="AD1328" s="20" t="str"/>
      <x:c r="AE1328" s="14" t="str"/>
      <x:c r="AF1328" s="14" t="n">
        <x:v>30</x:v>
      </x:c>
      <x:c r="AG1328" s="14" t="str">
        <x:v>I3</x:v>
      </x:c>
      <x:c r="AH1328" s="14" t="n">
        <x:v>1</x:v>
      </x:c>
      <x:c r="AI1328" s="14" t="n">
        <x:v>0</x:v>
      </x:c>
      <x:c r="AJ1328" s="18" t="n">
        <x:v>1902.56</x:v>
      </x:c>
      <x:c r="AK1328" s="14" t="str">
        <x:v>https://prozorro.gov.ua/tender/UA-2025-12-17-008148-a</x:v>
      </x:c>
      <x:c r="AL1328" s="19" t="n">
        <x:v>46008.40799619213</x:v>
      </x:c>
      <x:c r="AM1328" s="19" t="n">
        <x:v>46022</x:v>
      </x:c>
      <x:c r="AN1328" s="15" t="str">
        <x:v>Внутрішні сантехнічні системи</x:v>
      </x:c>
      <x:c r="AO1328" s="15" t="str">
        <x:v>not_found_in_top_search</x:v>
      </x:c>
    </x:row>
    <x:row r="1329">
      <x:c r="A1329" s="14" t="str">
        <x:v>W4-510</x:v>
      </x:c>
      <x:c r="B1329" s="14" t="str">
        <x:v>Prozorro expansion — 24.08</x:v>
      </x:c>
      <x:c r="C1329" s="14" t="str">
        <x:v>ТОВ "Торгова група "Арс Кераміка""</x:v>
      </x:c>
      <x:c r="D1329" s="14" t="str">
        <x:v>Покрівлі та гідроізоляція</x:v>
      </x:c>
      <x:c r="E1329" s="14" t="str">
        <x:v>Expansion discovery</x:v>
      </x:c>
      <x:c r="F1329" s="17" t="str">
        <x:v>D3</x:v>
      </x:c>
      <x:c r="G1329" s="14" t="str"/>
      <x:c r="H1329" s="14" t="str">
        <x:v>Discovery розширення — 2 тижні</x:v>
      </x:c>
      <x:c r="I1329" s="16" t="n">
        <x:v>1</x:v>
      </x:c>
      <x:c r="J1329" s="16" t="n">
        <x:v>5</x:v>
      </x:c>
      <x:c r="K1329" s="16" t="n">
        <x:v>5</x:v>
      </x:c>
      <x:c r="L1329" s="16" t="n">
        <x:v>1</x:v>
      </x:c>
      <x:c r="M1329" s="16" t="n">
        <x:v>5</x:v>
      </x:c>
      <x:c r="N1329" s="16" t="n">
        <x:v>5</x:v>
      </x:c>
      <x:c r="O1329" s="16" t="n">
        <x:v>3</x:v>
      </x:c>
      <x:c r="P1329" s="16" t="n">
        <x:f>IF(COUNT(I1329:O1329)&lt;7,"",I1329*8+J1329*3+K1329*2+L1329*2+M1329*2+N1329*2+O1329)</x:f>
        <x:v>58</x:v>
      </x:c>
      <x:c r="Q1329" s="16" t="n">
        <x:f>IF(COUNT(J1329:O1329)&lt;6,"",J1329*5+K1329*4+M1329*4+L1329*3+N1329*2+O1329*2)</x:f>
        <x:v>84</x:v>
      </x:c>
      <x:c r="R1329" s="14" t="str">
        <x:v>high</x:v>
      </x:c>
      <x:c r="S1329" s="14" t="str">
        <x:v>official_prozorro_award_2024_2026</x:v>
      </x:c>
      <x:c r="T1329" s="14" t="str">
        <x:v>official_prozorro_api</x:v>
      </x:c>
      <x:c r="U1329" s="14" t="str">
        <x:v>Не контактували</x:v>
      </x:c>
      <x:c r="V1329" s="15" t="str">
        <x:v>Workflow-audit outreach по UA-2025-05-09-007047-a; попросити 1 пакет здачі та вимоги проєкту</x:v>
      </x:c>
      <x:c r="W1329" s="15" t="str">
        <x:v>Власник / директор; керівник ПТО; відповідальний за договори</x:v>
      </x:c>
      <x:c r="X1329" s="15" t="str">
        <x:v>1 нових підтверджених перемог/договорів у Prozorro на 465 грн; 0 зі строком виконання не раніше 24.08.2026.</x:v>
      </x:c>
      <x:c r="Y1329"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 строк до 2025-12-31. Попросити один знеособлений пакет здачі за цим workflow.</x:v>
      </x:c>
      <x:c r="Z1329" s="15" t="str">
        <x:v>https://prozorro.gov.ua/tender/UA-2025-05-09-007047-a</x:v>
      </x:c>
      <x:c r="AA1329" s="14" t="str">
        <x:v>32549732</x:v>
      </x:c>
      <x:c r="AB1329" s="14" t="str">
        <x:v>2026-08-24</x:v>
      </x:c>
      <x:c r="AC1329" s="14" t="str"/>
      <x:c r="AD1329" s="20" t="str"/>
      <x:c r="AE1329" s="14" t="str"/>
      <x:c r="AF1329" s="14" t="n">
        <x:v>30</x:v>
      </x:c>
      <x:c r="AG1329" s="14" t="str">
        <x:v>I3</x:v>
      </x:c>
      <x:c r="AH1329" s="14" t="n">
        <x:v>1</x:v>
      </x:c>
      <x:c r="AI1329" s="14" t="n">
        <x:v>0</x:v>
      </x:c>
      <x:c r="AJ1329" s="18" t="n">
        <x:v>465</x:v>
      </x:c>
      <x:c r="AK1329" s="14" t="str">
        <x:v>https://prozorro.gov.ua/tender/UA-2025-05-09-007047-a</x:v>
      </x:c>
      <x:c r="AL1329" s="19" t="n">
        <x:v>45786.4148946412</x:v>
      </x:c>
      <x:c r="AM1329" s="19" t="n">
        <x:v>46022.916666655095</x:v>
      </x:c>
      <x:c r="AN1329" s="15" t="str">
        <x:v>Покрівлі та гідроізоляція</x:v>
      </x:c>
      <x:c r="AO1329" s="15" t="str">
        <x:v>not_found_in_top_search</x:v>
      </x:c>
    </x:row>
    <x:row r="1330">
      <x:c r="A1330" s="14" t="str">
        <x:v>W4-511</x:v>
      </x:c>
      <x:c r="B1330" s="14" t="str">
        <x:v>Prozorro expansion — 24.08</x:v>
      </x:c>
      <x:c r="C1330" s="14" t="str">
        <x:v>ФОП "КОНОВАЛЕНКО СЕРГІЙ ВОЛОДИМИРОВИЧ"</x:v>
      </x:c>
      <x:c r="D1330" s="14" t="str">
        <x:v>Промислові підлоги та бетон</x:v>
      </x:c>
      <x:c r="E1330" s="14" t="str">
        <x:v>Expansion discovery</x:v>
      </x:c>
      <x:c r="F1330" s="17" t="str">
        <x:v>D3</x:v>
      </x:c>
      <x:c r="G1330" s="14" t="str"/>
      <x:c r="H1330" s="14" t="str">
        <x:v>Discovery розширення — 2 тижні</x:v>
      </x:c>
      <x:c r="I1330" s="16" t="n">
        <x:v>1</x:v>
      </x:c>
      <x:c r="J1330" s="16" t="n">
        <x:v>5</x:v>
      </x:c>
      <x:c r="K1330" s="16" t="n">
        <x:v>5</x:v>
      </x:c>
      <x:c r="L1330" s="16" t="n">
        <x:v>2</x:v>
      </x:c>
      <x:c r="M1330" s="16" t="n">
        <x:v>5</x:v>
      </x:c>
      <x:c r="N1330" s="16" t="n">
        <x:v>3</x:v>
      </x:c>
      <x:c r="O1330" s="16" t="n">
        <x:v>3</x:v>
      </x:c>
      <x:c r="P1330" s="16" t="n">
        <x:f>IF(COUNT(I1330:O1330)&lt;7,"",I1330*8+J1330*3+K1330*2+L1330*2+M1330*2+N1330*2+O1330)</x:f>
        <x:v>56</x:v>
      </x:c>
      <x:c r="Q1330" s="16" t="n">
        <x:f>IF(COUNT(J1330:O1330)&lt;6,"",J1330*5+K1330*4+M1330*4+L1330*3+N1330*2+O1330*2)</x:f>
        <x:v>83</x:v>
      </x:c>
      <x:c r="R1330" s="14" t="str">
        <x:v>high</x:v>
      </x:c>
      <x:c r="S1330" s="14" t="str">
        <x:v>official_prozorro_award_2024_2026</x:v>
      </x:c>
      <x:c r="T1330" s="14" t="str">
        <x:v>official_prozorro_api</x:v>
      </x:c>
      <x:c r="U1330" s="14" t="str">
        <x:v>Не контактували</x:v>
      </x:c>
      <x:c r="V1330" s="15" t="str">
        <x:v>Повторне звернення з новим тендерним сигналом UA-2026-05-20-011414-a; попросити 1 пакет здачі</x:v>
      </x:c>
      <x:c r="W1330" s="15" t="str">
        <x:v>Власник / виконавець; відповідальний за договір</x:v>
      </x:c>
      <x:c r="X1330" s="15" t="str">
        <x:v>1 нових підтверджених перемог/договорів у Prozorro на 296 000 грн; 0 зі строком виконання не раніше 24.08.2026.</x:v>
      </x:c>
      <x:c r="Y1330" s="15" t="str">
        <x:v>Поточний ремонт з влаштування промислової бетонної підлоги з топінгом в гаражному приміщенні 9 ДПРЧ 3 ДПРЗ ГУ ДСНС України у Миколаївській області, розташованого за адресою: смт. Березнегувате, вул. В. Букача, 109; строк до 2024-12-15. Попросити один знеособлений пакет здачі за цим workflow.</x:v>
      </x:c>
      <x:c r="Z1330" s="15" t="str">
        <x:v>https://prozorro.gov.ua/tender/UA-2024-10-24-015323-a</x:v>
      </x:c>
      <x:c r="AA1330" s="14" t="str">
        <x:v>2037114754</x:v>
      </x:c>
      <x:c r="AB1330" s="14" t="str">
        <x:v>2026-08-24</x:v>
      </x:c>
      <x:c r="AC1330" s="14" t="str"/>
      <x:c r="AD1330" s="20" t="str"/>
      <x:c r="AE1330" s="14" t="str"/>
      <x:c r="AF1330" s="14" t="n">
        <x:v>71</x:v>
      </x:c>
      <x:c r="AG1330" s="14" t="str">
        <x:v>I2</x:v>
      </x:c>
      <x:c r="AH1330" s="14" t="n">
        <x:v>5</x:v>
      </x:c>
      <x:c r="AI1330" s="14" t="n">
        <x:v>0</x:v>
      </x:c>
      <x:c r="AJ1330" s="18" t="n">
        <x:v>364000</x:v>
      </x:c>
      <x:c r="AK1330" s="14" t="str">
        <x:v>https://prozorro.gov.ua/tender/UA-2026-05-20-011414-a</x:v>
      </x:c>
      <x:c r="AL1330" s="19" t="n">
        <x:v>46162.53526408565</x:v>
      </x:c>
      <x:c r="AM1330" s="19" t="n">
        <x:v>46173</x:v>
      </x:c>
      <x:c r="AN1330" s="15" t="str">
        <x:v>Промислові підлоги та бетон; Промислова електрика / ПНР</x:v>
      </x:c>
      <x:c r="AO1330" s="15" t="str">
        <x:v>not_found_in_top_search</x:v>
      </x:c>
    </x:row>
    <x:row r="1331">
      <x:c r="A1331" s="14" t="str">
        <x:v>W4-512</x:v>
      </x:c>
      <x:c r="B1331" s="14" t="str">
        <x:v>Prozorro expansion — 24.08</x:v>
      </x:c>
      <x:c r="C1331" s="14" t="str">
        <x:v>ФОП Жуковець Ярослав Сергійович</x:v>
      </x:c>
      <x:c r="D1331" s="14" t="str">
        <x:v>Пожежогасіння</x:v>
      </x:c>
      <x:c r="E1331" s="14" t="str">
        <x:v>Expansion discovery</x:v>
      </x:c>
      <x:c r="F1331" s="17" t="str">
        <x:v>D3</x:v>
      </x:c>
      <x:c r="G1331" s="14" t="str"/>
      <x:c r="H1331" s="14" t="str">
        <x:v>Discovery розширення — 2 тижні</x:v>
      </x:c>
      <x:c r="I1331" s="16" t="n">
        <x:v>1</x:v>
      </x:c>
      <x:c r="J1331" s="16" t="n">
        <x:v>5</x:v>
      </x:c>
      <x:c r="K1331" s="16" t="n">
        <x:v>5</x:v>
      </x:c>
      <x:c r="L1331" s="16" t="n">
        <x:v>2</x:v>
      </x:c>
      <x:c r="M1331" s="16" t="n">
        <x:v>5</x:v>
      </x:c>
      <x:c r="N1331" s="16" t="n">
        <x:v>3</x:v>
      </x:c>
      <x:c r="O1331" s="16" t="n">
        <x:v>3</x:v>
      </x:c>
      <x:c r="P1331" s="16" t="n">
        <x:f>IF(COUNT(I1331:O1331)&lt;7,"",I1331*8+J1331*3+K1331*2+L1331*2+M1331*2+N1331*2+O1331)</x:f>
        <x:v>56</x:v>
      </x:c>
      <x:c r="Q1331" s="16" t="n">
        <x:f>IF(COUNT(J1331:O1331)&lt;6,"",J1331*5+K1331*4+M1331*4+L1331*3+N1331*2+O1331*2)</x:f>
        <x:v>83</x:v>
      </x:c>
      <x:c r="R1331" s="14" t="str">
        <x:v>high</x:v>
      </x:c>
      <x:c r="S1331" s="14" t="str">
        <x:v>official_prozorro_award_2024_2026</x:v>
      </x:c>
      <x:c r="T1331" s="14" t="str">
        <x:v>official_prozorro_api</x:v>
      </x:c>
      <x:c r="U1331" s="14" t="str">
        <x:v>Не контактували</x:v>
      </x:c>
      <x:c r="V1331" s="15" t="str">
        <x:v>Workflow-audit outreach по UA-2024-02-13-013455-a; попросити 1 пакет здачі та вимоги проєкту</x:v>
      </x:c>
      <x:c r="W1331" s="15" t="str">
        <x:v>Власник / виконавець; відповідальний за договір</x:v>
      </x:c>
      <x:c r="X1331" s="15" t="str">
        <x:v>1 нових підтверджених перемог/договорів у Prozorro на 199 170 грн; 0 зі строком виконання не раніше 24.08.2026.</x:v>
      </x:c>
      <x:c r="Y1331"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 строк до 2024-12-31. Попросити один знеособлений пакет здачі за цим workflow.</x:v>
      </x:c>
      <x:c r="Z1331" s="15" t="str">
        <x:v>https://prozorro.gov.ua/tender/UA-2024-02-13-013455-a</x:v>
      </x:c>
      <x:c r="AA1331" s="14" t="str">
        <x:v>3343817450</x:v>
      </x:c>
      <x:c r="AB1331" s="14" t="str">
        <x:v>2026-08-24</x:v>
      </x:c>
      <x:c r="AC1331" s="14" t="str"/>
      <x:c r="AD1331" s="20" t="str"/>
      <x:c r="AE1331" s="14" t="str"/>
      <x:c r="AF1331" s="14" t="n">
        <x:v>27</x:v>
      </x:c>
      <x:c r="AG1331" s="14" t="str">
        <x:v>I3</x:v>
      </x:c>
      <x:c r="AH1331" s="14" t="n">
        <x:v>1</x:v>
      </x:c>
      <x:c r="AI1331" s="14" t="n">
        <x:v>0</x:v>
      </x:c>
      <x:c r="AJ1331" s="18" t="n">
        <x:v>199170.27</x:v>
      </x:c>
      <x:c r="AK1331" s="14" t="str">
        <x:v>https://prozorro.gov.ua/tender/UA-2024-02-13-013455-a</x:v>
      </x:c>
      <x:c r="AL1331" s="19" t="n">
        <x:v>45335.64892230324</x:v>
      </x:c>
      <x:c r="AM1331" s="19" t="n">
        <x:v>45657</x:v>
      </x:c>
      <x:c r="AN1331" s="15" t="str">
        <x:v>Пожежогасіння</x:v>
      </x:c>
      <x:c r="AO1331" s="15" t="str">
        <x:v>not_found_in_top_search</x:v>
      </x:c>
    </x:row>
    <x:row r="1332">
      <x:c r="A1332" s="14" t="str">
        <x:v>W4-513</x:v>
      </x:c>
      <x:c r="B1332" s="14" t="str">
        <x:v>Prozorro expansion — 24.08</x:v>
      </x:c>
      <x:c r="C1332" s="14" t="str">
        <x:v>ФОП Бочаров Захар Миколайович</x:v>
      </x:c>
      <x:c r="D1332" s="14" t="str">
        <x:v>HVAC / ОВіК</x:v>
      </x:c>
      <x:c r="E1332" s="14" t="str">
        <x:v>Pilot now</x:v>
      </x:c>
      <x:c r="F1332" s="17" t="str">
        <x:v>P3</x:v>
      </x:c>
      <x:c r="G1332" s="14" t="str"/>
      <x:c r="H1332" s="14" t="str">
        <x:v>Пілот зараз — Н.14</x:v>
      </x:c>
      <x:c r="I1332" s="16" t="n">
        <x:v>5</x:v>
      </x:c>
      <x:c r="J1332" s="16" t="n">
        <x:v>5</x:v>
      </x:c>
      <x:c r="K1332" s="16" t="n">
        <x:v>4</x:v>
      </x:c>
      <x:c r="L1332" s="16" t="n">
        <x:v>1</x:v>
      </x:c>
      <x:c r="M1332" s="16" t="n">
        <x:v>5</x:v>
      </x:c>
      <x:c r="N1332" s="16" t="n">
        <x:v>3</x:v>
      </x:c>
      <x:c r="O1332" s="16" t="n">
        <x:v>3</x:v>
      </x:c>
      <x:c r="P1332" s="16" t="n">
        <x:f>IF(COUNT(I1332:O1332)&lt;7,"",I1332*8+J1332*3+K1332*2+L1332*2+M1332*2+N1332*2+O1332)</x:f>
        <x:v>84</x:v>
      </x:c>
      <x:c r="Q1332" s="16" t="n">
        <x:f>IF(COUNT(J1332:O1332)&lt;6,"",J1332*5+K1332*4+M1332*4+L1332*3+N1332*2+O1332*2)</x:f>
        <x:v>76</x:v>
      </x:c>
      <x:c r="R1332" s="14" t="str">
        <x:v>high</x:v>
      </x:c>
      <x:c r="S1332" s="14" t="str">
        <x:v>official_prozorro_award_2024_2026</x:v>
      </x:c>
      <x:c r="T1332" s="14" t="str">
        <x:v>official_prozorro_api</x:v>
      </x:c>
      <x:c r="U1332" s="14" t="str">
        <x:v>Не контактували</x:v>
      </x:c>
      <x:c r="V1332" s="15" t="str">
        <x:v>Персоналізований free-pilot outreach по UA-2025-09-02-008781-a; попросити 1 пакет Н.14/Н.15</x:v>
      </x:c>
      <x:c r="W1332" s="15" t="str">
        <x:v>Власник / виконавець; відповідальний за договір</x:v>
      </x:c>
      <x:c r="X1332" s="15" t="str">
        <x:v>1 нових підтверджених перемог/договорів у Prozorro на 99 801 грн; 0 зі строком виконання не раніше 24.08.2026.</x:v>
      </x:c>
      <x:c r="Y1332" s="15" t="str">
        <x:v>ДК 021:2015 – 45330000-9 – Водопровідні та санітарно-технічні роботи (Послуги з монтажу системи вентиляції – 45331210-1); строк до 2025-12-31. Попросити один знеособлений пакет здачі за цим workflow.</x:v>
      </x:c>
      <x:c r="Z1332" s="15" t="str">
        <x:v>https://prozorro.gov.ua/tender/UA-2025-09-02-008781-a</x:v>
      </x:c>
      <x:c r="AA1332" s="14" t="str">
        <x:v>3261306939</x:v>
      </x:c>
      <x:c r="AB1332" s="14" t="str">
        <x:v>2026-08-24</x:v>
      </x:c>
      <x:c r="AC1332" s="14" t="str"/>
      <x:c r="AD1332" s="20" t="str"/>
      <x:c r="AE1332" s="14" t="str"/>
      <x:c r="AF1332" s="14" t="n">
        <x:v>27</x:v>
      </x:c>
      <x:c r="AG1332" s="14" t="str">
        <x:v>I3</x:v>
      </x:c>
      <x:c r="AH1332" s="14" t="n">
        <x:v>1</x:v>
      </x:c>
      <x:c r="AI1332" s="14" t="n">
        <x:v>0</x:v>
      </x:c>
      <x:c r="AJ1332" s="18" t="n">
        <x:v>99801.17</x:v>
      </x:c>
      <x:c r="AK1332" s="14" t="str">
        <x:v>https://prozorro.gov.ua/tender/UA-2025-09-02-008781-a</x:v>
      </x:c>
      <x:c r="AL1332" s="19" t="n">
        <x:v>45902.51244537037</x:v>
      </x:c>
      <x:c r="AM1332" s="19" t="n">
        <x:v>46022</x:v>
      </x:c>
      <x:c r="AN1332" s="15" t="str">
        <x:v>HVAC / ОВіК</x:v>
      </x:c>
      <x:c r="AO1332" s="15" t="str">
        <x:v>not_found_in_top_search</x:v>
      </x:c>
    </x:row>
    <x:row r="1333">
      <x:c r="A1333" s="14" t="str">
        <x:v>W4-514</x:v>
      </x:c>
      <x:c r="B1333" s="14" t="str">
        <x:v>Prozorro expansion — 24.08</x:v>
      </x:c>
      <x:c r="C1333" s="14" t="str">
        <x:v>ФОП Янішевський Тарас Ярославович</x:v>
      </x:c>
      <x:c r="D1333" s="14" t="str">
        <x:v>HVAC / ОВіК</x:v>
      </x:c>
      <x:c r="E1333" s="14" t="str">
        <x:v>Pilot now</x:v>
      </x:c>
      <x:c r="F1333" s="17" t="str">
        <x:v>P3</x:v>
      </x:c>
      <x:c r="G1333" s="14" t="str"/>
      <x:c r="H1333" s="14" t="str">
        <x:v>Пілот зараз — Н.14</x:v>
      </x:c>
      <x:c r="I1333" s="16" t="n">
        <x:v>5</x:v>
      </x:c>
      <x:c r="J1333" s="16" t="n">
        <x:v>5</x:v>
      </x:c>
      <x:c r="K1333" s="16" t="n">
        <x:v>4</x:v>
      </x:c>
      <x:c r="L1333" s="16" t="n">
        <x:v>1</x:v>
      </x:c>
      <x:c r="M1333" s="16" t="n">
        <x:v>5</x:v>
      </x:c>
      <x:c r="N1333" s="16" t="n">
        <x:v>3</x:v>
      </x:c>
      <x:c r="O1333" s="16" t="n">
        <x:v>3</x:v>
      </x:c>
      <x:c r="P1333" s="16" t="n">
        <x:f>IF(COUNT(I1333:O1333)&lt;7,"",I1333*8+J1333*3+K1333*2+L1333*2+M1333*2+N1333*2+O1333)</x:f>
        <x:v>84</x:v>
      </x:c>
      <x:c r="Q1333" s="16" t="n">
        <x:f>IF(COUNT(J1333:O1333)&lt;6,"",J1333*5+K1333*4+M1333*4+L1333*3+N1333*2+O1333*2)</x:f>
        <x:v>76</x:v>
      </x:c>
      <x:c r="R1333" s="14" t="str">
        <x:v>high</x:v>
      </x:c>
      <x:c r="S1333" s="14" t="str">
        <x:v>official_prozorro_award_2024_2026</x:v>
      </x:c>
      <x:c r="T1333" s="14" t="str">
        <x:v>official_prozorro_api</x:v>
      </x:c>
      <x:c r="U1333" s="14" t="str">
        <x:v>Не контактували</x:v>
      </x:c>
      <x:c r="V1333" s="15" t="str">
        <x:v>Персоналізований free-pilot outreach по UA-2025-10-30-006956-a; попросити 1 пакет Н.14/Н.15</x:v>
      </x:c>
      <x:c r="W1333" s="15" t="str">
        <x:v>Власник / виконавець; відповідальний за договір</x:v>
      </x:c>
      <x:c r="X1333" s="15" t="str">
        <x:v>1 нових підтверджених перемог/договорів у Prozorro на 99 389 грн; 0 зі строком виконання не раніше 24.08.2026.</x:v>
      </x:c>
      <x:c r="Y1333" s="15" t="str">
        <x:v>Припливно-витяжна система вентиляції з рекуперацією тепла «PRANA-200С STANDART» (з монтажем) (код ДК 021:2015:42520000-7 Вентиляційне обладнання); строк до 2025-12-31. Попросити один знеособлений пакет здачі за цим workflow.</x:v>
      </x:c>
      <x:c r="Z1333" s="15" t="str">
        <x:v>https://prozorro.gov.ua/tender/UA-2025-10-30-006956-a</x:v>
      </x:c>
      <x:c r="AA1333" s="14" t="str">
        <x:v>3255804899</x:v>
      </x:c>
      <x:c r="AB1333" s="14" t="str">
        <x:v>2026-08-24</x:v>
      </x:c>
      <x:c r="AC1333" s="14" t="str"/>
      <x:c r="AD1333" s="20" t="str"/>
      <x:c r="AE1333" s="14" t="str"/>
      <x:c r="AF1333" s="14" t="n">
        <x:v>27</x:v>
      </x:c>
      <x:c r="AG1333" s="14" t="str">
        <x:v>I3</x:v>
      </x:c>
      <x:c r="AH1333" s="14" t="n">
        <x:v>1</x:v>
      </x:c>
      <x:c r="AI1333" s="14" t="n">
        <x:v>0</x:v>
      </x:c>
      <x:c r="AJ1333" s="18" t="n">
        <x:v>99389</x:v>
      </x:c>
      <x:c r="AK1333" s="14" t="str">
        <x:v>https://prozorro.gov.ua/tender/UA-2025-10-30-006956-a</x:v>
      </x:c>
      <x:c r="AL1333" s="19" t="n">
        <x:v>45960.489438668985</x:v>
      </x:c>
      <x:c r="AM1333" s="19" t="n">
        <x:v>46022.48983796296</x:v>
      </x:c>
      <x:c r="AN1333" s="15" t="str">
        <x:v>HVAC / ОВіК</x:v>
      </x:c>
      <x:c r="AO1333" s="15" t="str">
        <x:v>not_found_in_top_search</x:v>
      </x:c>
    </x:row>
    <x:row r="1334">
      <x:c r="A1334" s="14" t="str">
        <x:v>W4-515</x:v>
      </x:c>
      <x:c r="B1334" s="14" t="str">
        <x:v>Prozorro expansion — 24.08</x:v>
      </x:c>
      <x:c r="C1334" s="14" t="str">
        <x:v>ФОП Заставський Юрій Іванович</x:v>
      </x:c>
      <x:c r="D1334" s="14" t="str">
        <x:v>Металоконструкції</x:v>
      </x:c>
      <x:c r="E1334" s="14" t="str">
        <x:v>Expansion discovery</x:v>
      </x:c>
      <x:c r="F1334" s="17" t="str">
        <x:v>D3</x:v>
      </x:c>
      <x:c r="G1334" s="14" t="str"/>
      <x:c r="H1334" s="14" t="str">
        <x:v>Discovery розширення — 2 тижні</x:v>
      </x:c>
      <x:c r="I1334" s="16" t="n">
        <x:v>1</x:v>
      </x:c>
      <x:c r="J1334" s="16" t="n">
        <x:v>5</x:v>
      </x:c>
      <x:c r="K1334" s="16" t="n">
        <x:v>5</x:v>
      </x:c>
      <x:c r="L1334" s="16" t="n">
        <x:v>1</x:v>
      </x:c>
      <x:c r="M1334" s="16" t="n">
        <x:v>5</x:v>
      </x:c>
      <x:c r="N1334" s="16" t="n">
        <x:v>3</x:v>
      </x:c>
      <x:c r="O1334" s="16" t="n">
        <x:v>3</x:v>
      </x:c>
      <x:c r="P1334" s="16" t="n">
        <x:f>IF(COUNT(I1334:O1334)&lt;7,"",I1334*8+J1334*3+K1334*2+L1334*2+M1334*2+N1334*2+O1334)</x:f>
        <x:v>54</x:v>
      </x:c>
      <x:c r="Q1334" s="16" t="n">
        <x:f>IF(COUNT(J1334:O1334)&lt;6,"",J1334*5+K1334*4+M1334*4+L1334*3+N1334*2+O1334*2)</x:f>
        <x:v>80</x:v>
      </x:c>
      <x:c r="R1334" s="14" t="str">
        <x:v>high</x:v>
      </x:c>
      <x:c r="S1334" s="14" t="str">
        <x:v>official_prozorro_award_2024_2026</x:v>
      </x:c>
      <x:c r="T1334" s="14" t="str">
        <x:v>official_prozorro_api</x:v>
      </x:c>
      <x:c r="U1334" s="14" t="str">
        <x:v>Не контактували</x:v>
      </x:c>
      <x:c r="V1334" s="15" t="str">
        <x:v>Workflow-audit outreach по UA-2025-10-15-014216-a; попросити 1 пакет здачі та вимоги проєкту</x:v>
      </x:c>
      <x:c r="W1334" s="15" t="str">
        <x:v>Власник / виконавець; відповідальний за договір</x:v>
      </x:c>
      <x:c r="X1334" s="15" t="str">
        <x:v>1 нових підтверджених перемог/договорів у Prozorro на 99 141 грн; 0 зі строком виконання не раніше 24.08.2026.</x:v>
      </x:c>
      <x:c r="Y1334" s="15" t="str">
        <x:v>Послуги з монтажу та встановлення металоконструкцій; строк до 2025-12-31. Попросити один знеособлений пакет здачі за цим workflow.</x:v>
      </x:c>
      <x:c r="Z1334" s="15" t="str">
        <x:v>https://prozorro.gov.ua/tender/UA-2025-10-15-014216-a</x:v>
      </x:c>
      <x:c r="AA1334" s="14" t="str">
        <x:v>2422610172</x:v>
      </x:c>
      <x:c r="AB1334" s="14" t="str">
        <x:v>2026-08-24</x:v>
      </x:c>
      <x:c r="AC1334" s="14" t="str"/>
      <x:c r="AD1334" s="20" t="str"/>
      <x:c r="AE1334" s="14" t="str"/>
      <x:c r="AF1334" s="14" t="n">
        <x:v>27</x:v>
      </x:c>
      <x:c r="AG1334" s="14" t="str">
        <x:v>I3</x:v>
      </x:c>
      <x:c r="AH1334" s="14" t="n">
        <x:v>1</x:v>
      </x:c>
      <x:c r="AI1334" s="14" t="n">
        <x:v>0</x:v>
      </x:c>
      <x:c r="AJ1334" s="18" t="n">
        <x:v>99140.91</x:v>
      </x:c>
      <x:c r="AK1334" s="14" t="str">
        <x:v>https://prozorro.gov.ua/tender/UA-2025-10-15-014216-a</x:v>
      </x:c>
      <x:c r="AL1334" s="19" t="n">
        <x:v>45945.5649837963</x:v>
      </x:c>
      <x:c r="AM1334" s="19" t="n">
        <x:v>46022.60903935185</x:v>
      </x:c>
      <x:c r="AN1334" s="15" t="str">
        <x:v>Металоконструкції</x:v>
      </x:c>
      <x:c r="AO1334" s="15" t="str">
        <x:v>not_found_in_top_search</x:v>
      </x:c>
    </x:row>
    <x:row r="1335">
      <x:c r="A1335" s="14" t="str">
        <x:v>W4-516</x:v>
      </x:c>
      <x:c r="B1335" s="14" t="str">
        <x:v>Prozorro expansion — 24.08</x:v>
      </x:c>
      <x:c r="C1335" s="14" t="str">
        <x:v>ФОП Буденчук Ярослава Василівна</x:v>
      </x:c>
      <x:c r="D1335" s="14" t="str">
        <x:v>Благоустрій</x:v>
      </x:c>
      <x:c r="E1335" s="14" t="str">
        <x:v>Expansion discovery</x:v>
      </x:c>
      <x:c r="F1335" s="17" t="str">
        <x:v>D3</x:v>
      </x:c>
      <x:c r="G1335" s="14" t="str"/>
      <x:c r="H1335" s="14" t="str">
        <x:v>Discovery розширення — 2 тижні</x:v>
      </x:c>
      <x:c r="I1335" s="16" t="n">
        <x:v>1</x:v>
      </x:c>
      <x:c r="J1335" s="16" t="n">
        <x:v>5</x:v>
      </x:c>
      <x:c r="K1335" s="16" t="n">
        <x:v>4</x:v>
      </x:c>
      <x:c r="L1335" s="16" t="n">
        <x:v>1</x:v>
      </x:c>
      <x:c r="M1335" s="16" t="n">
        <x:v>5</x:v>
      </x:c>
      <x:c r="N1335" s="16" t="n">
        <x:v>3</x:v>
      </x:c>
      <x:c r="O1335" s="16" t="n">
        <x:v>3</x:v>
      </x:c>
      <x:c r="P1335" s="16" t="n">
        <x:f>IF(COUNT(I1335:O1335)&lt;7,"",I1335*8+J1335*3+K1335*2+L1335*2+M1335*2+N1335*2+O1335)</x:f>
        <x:v>52</x:v>
      </x:c>
      <x:c r="Q1335" s="16" t="n">
        <x:f>IF(COUNT(J1335:O1335)&lt;6,"",J1335*5+K1335*4+M1335*4+L1335*3+N1335*2+O1335*2)</x:f>
        <x:v>76</x:v>
      </x:c>
      <x:c r="R1335" s="14" t="str">
        <x:v>high</x:v>
      </x:c>
      <x:c r="S1335" s="14" t="str">
        <x:v>official_prozorro_award_2024_2026</x:v>
      </x:c>
      <x:c r="T1335" s="14" t="str">
        <x:v>official_prozorro_api</x:v>
      </x:c>
      <x:c r="U1335" s="14" t="str">
        <x:v>Не контактували</x:v>
      </x:c>
      <x:c r="V1335" s="15" t="str">
        <x:v>Workflow-audit outreach по UA-2025-07-14-004458-a; попросити 1 пакет здачі та вимоги проєкту</x:v>
      </x:c>
      <x:c r="W1335" s="15" t="str">
        <x:v>Власник / виконавець; відповідальний за договір</x:v>
      </x:c>
      <x:c r="X1335" s="15" t="str">
        <x:v>1 нових підтверджених перемог/договорів у Prozorro на 98 067 грн; 0 зі строком виконання не раніше 24.08.2026.</x:v>
      </x:c>
      <x:c r="Y1335" s="15" t="str">
        <x:v>Благоустрій території комунальної установи Центр комплексної реабілітації для осіб з інвалідністю "Допомога життю" Мамаївської сільської ради; строк до 2025-08-31. Попросити один знеособлений пакет здачі за цим workflow.</x:v>
      </x:c>
      <x:c r="Z1335" s="15" t="str">
        <x:v>https://prozorro.gov.ua/tender/UA-2025-07-14-004458-a</x:v>
      </x:c>
      <x:c r="AA1335" s="14" t="str">
        <x:v>2417618467</x:v>
      </x:c>
      <x:c r="AB1335" s="14" t="str">
        <x:v>2026-08-24</x:v>
      </x:c>
      <x:c r="AC1335" s="14" t="str"/>
      <x:c r="AD1335" s="20" t="str"/>
      <x:c r="AE1335" s="14" t="str"/>
      <x:c r="AF1335" s="14" t="n">
        <x:v>27</x:v>
      </x:c>
      <x:c r="AG1335" s="14" t="str">
        <x:v>I3</x:v>
      </x:c>
      <x:c r="AH1335" s="14" t="n">
        <x:v>1</x:v>
      </x:c>
      <x:c r="AI1335" s="14" t="n">
        <x:v>0</x:v>
      </x:c>
      <x:c r="AJ1335" s="18" t="n">
        <x:v>98066.93</x:v>
      </x:c>
      <x:c r="AK1335" s="14" t="str">
        <x:v>https://prozorro.gov.ua/tender/UA-2025-07-14-004458-a</x:v>
      </x:c>
      <x:c r="AL1335" s="19" t="n">
        <x:v>45852.39210793981</x:v>
      </x:c>
      <x:c r="AM1335" s="19" t="n">
        <x:v>45900</x:v>
      </x:c>
      <x:c r="AN1335" s="15" t="str">
        <x:v>Благоустрій</x:v>
      </x:c>
      <x:c r="AO1335" s="15" t="str">
        <x:v>not_found_in_top_search</x:v>
      </x:c>
    </x:row>
    <x:row r="1336">
      <x:c r="A1336" s="14" t="str">
        <x:v>W4-517</x:v>
      </x:c>
      <x:c r="B1336" s="14" t="str">
        <x:v>Prozorro expansion — 24.08</x:v>
      </x:c>
      <x:c r="C1336" s="14" t="str">
        <x:v>ФОП Карапетян Левон Велібекович</x:v>
      </x:c>
      <x:c r="D1336" s="14" t="str">
        <x:v>Зливова каналізація / дренаж</x:v>
      </x:c>
      <x:c r="E1336" s="14" t="str">
        <x:v>Expansion discovery</x:v>
      </x:c>
      <x:c r="F1336" s="17" t="str">
        <x:v>D3</x:v>
      </x:c>
      <x:c r="G1336" s="14" t="str"/>
      <x:c r="H1336" s="14" t="str">
        <x:v>Discovery розширення — 2 тижні</x:v>
      </x:c>
      <x:c r="I1336" s="16" t="n">
        <x:v>1</x:v>
      </x:c>
      <x:c r="J1336" s="16" t="n">
        <x:v>5</x:v>
      </x:c>
      <x:c r="K1336" s="16" t="n">
        <x:v>5</x:v>
      </x:c>
      <x:c r="L1336" s="16" t="n">
        <x:v>1</x:v>
      </x:c>
      <x:c r="M1336" s="16" t="n">
        <x:v>5</x:v>
      </x:c>
      <x:c r="N1336" s="16" t="n">
        <x:v>3</x:v>
      </x:c>
      <x:c r="O1336" s="16" t="n">
        <x:v>3</x:v>
      </x:c>
      <x:c r="P1336" s="16" t="n">
        <x:f>IF(COUNT(I1336:O1336)&lt;7,"",I1336*8+J1336*3+K1336*2+L1336*2+M1336*2+N1336*2+O1336)</x:f>
        <x:v>54</x:v>
      </x:c>
      <x:c r="Q1336" s="16" t="n">
        <x:f>IF(COUNT(J1336:O1336)&lt;6,"",J1336*5+K1336*4+M1336*4+L1336*3+N1336*2+O1336*2)</x:f>
        <x:v>80</x:v>
      </x:c>
      <x:c r="R1336" s="14" t="str">
        <x:v>high</x:v>
      </x:c>
      <x:c r="S1336" s="14" t="str">
        <x:v>official_prozorro_award_2024_2026</x:v>
      </x:c>
      <x:c r="T1336" s="14" t="str">
        <x:v>official_prozorro_api</x:v>
      </x:c>
      <x:c r="U1336" s="14" t="str">
        <x:v>Не контактували</x:v>
      </x:c>
      <x:c r="V1336" s="15" t="str">
        <x:v>Workflow-audit outreach по UA-2025-08-26-008851-a; попросити 1 пакет здачі та вимоги проєкту</x:v>
      </x:c>
      <x:c r="W1336" s="15" t="str">
        <x:v>Власник / виконавець; відповідальний за договір</x:v>
      </x:c>
      <x:c r="X1336" s="15" t="str">
        <x:v>1 нових підтверджених перемог/договорів у Prozorro на 94 305 грн; 0 зі строком виконання не раніше 24.08.2026.</x:v>
      </x:c>
      <x:c r="Y1336"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 строк до 2025-12-15. Попросити один знеособлений пакет здачі за цим workflow.</x:v>
      </x:c>
      <x:c r="Z1336" s="15" t="str">
        <x:v>https://prozorro.gov.ua/tender/UA-2025-08-26-008851-a</x:v>
      </x:c>
      <x:c r="AA1336" s="14" t="str">
        <x:v>2329720233</x:v>
      </x:c>
      <x:c r="AB1336" s="14" t="str">
        <x:v>2026-08-24</x:v>
      </x:c>
      <x:c r="AC1336" s="14" t="str"/>
      <x:c r="AD1336" s="20" t="str"/>
      <x:c r="AE1336" s="14" t="str"/>
      <x:c r="AF1336" s="14" t="n">
        <x:v>27</x:v>
      </x:c>
      <x:c r="AG1336" s="14" t="str">
        <x:v>I3</x:v>
      </x:c>
      <x:c r="AH1336" s="14" t="n">
        <x:v>1</x:v>
      </x:c>
      <x:c r="AI1336" s="14" t="n">
        <x:v>0</x:v>
      </x:c>
      <x:c r="AJ1336" s="18" t="n">
        <x:v>94304.9</x:v>
      </x:c>
      <x:c r="AK1336" s="14" t="str">
        <x:v>https://prozorro.gov.ua/tender/UA-2025-08-26-008851-a</x:v>
      </x:c>
      <x:c r="AL1336" s="19" t="n">
        <x:v>45895.498447199076</x:v>
      </x:c>
      <x:c r="AM1336" s="19" t="n">
        <x:v>46006</x:v>
      </x:c>
      <x:c r="AN1336" s="15" t="str">
        <x:v>Зливова каналізація / дренаж</x:v>
      </x:c>
      <x:c r="AO1336" s="15" t="str">
        <x:v>not_found_in_top_search</x:v>
      </x:c>
    </x:row>
    <x:row r="1337">
      <x:c r="A1337" s="14" t="str">
        <x:v>W4-518</x:v>
      </x:c>
      <x:c r="B1337" s="14" t="str">
        <x:v>Prozorro expansion — 24.08</x:v>
      </x:c>
      <x:c r="C1337" s="14" t="str">
        <x:v>Фізична особа-підприємець Писаренко Олександр Іванович</x:v>
      </x:c>
      <x:c r="D1337" s="14" t="str">
        <x:v>Ліфти та підйомники</x:v>
      </x:c>
      <x:c r="E1337" s="14" t="str">
        <x:v>Expansion discovery</x:v>
      </x:c>
      <x:c r="F1337" s="17" t="str">
        <x:v>D3</x:v>
      </x:c>
      <x:c r="G1337" s="14" t="str"/>
      <x:c r="H1337" s="14" t="str">
        <x:v>Discovery розширення — 2 тижні</x:v>
      </x:c>
      <x:c r="I1337" s="16" t="n">
        <x:v>1</x:v>
      </x:c>
      <x:c r="J1337" s="16" t="n">
        <x:v>5</x:v>
      </x:c>
      <x:c r="K1337" s="16" t="n">
        <x:v>4</x:v>
      </x:c>
      <x:c r="L1337" s="16" t="n">
        <x:v>1</x:v>
      </x:c>
      <x:c r="M1337" s="16" t="n">
        <x:v>5</x:v>
      </x:c>
      <x:c r="N1337" s="16" t="n">
        <x:v>3</x:v>
      </x:c>
      <x:c r="O1337" s="16" t="n">
        <x:v>3</x:v>
      </x:c>
      <x:c r="P1337" s="16" t="n">
        <x:f>IF(COUNT(I1337:O1337)&lt;7,"",I1337*8+J1337*3+K1337*2+L1337*2+M1337*2+N1337*2+O1337)</x:f>
        <x:v>52</x:v>
      </x:c>
      <x:c r="Q1337" s="16" t="n">
        <x:f>IF(COUNT(J1337:O1337)&lt;6,"",J1337*5+K1337*4+M1337*4+L1337*3+N1337*2+O1337*2)</x:f>
        <x:v>76</x:v>
      </x:c>
      <x:c r="R1337" s="14" t="str">
        <x:v>high</x:v>
      </x:c>
      <x:c r="S1337" s="14" t="str">
        <x:v>official_prozorro_award_2024_2026</x:v>
      </x:c>
      <x:c r="T1337" s="14" t="str">
        <x:v>official_prozorro_api</x:v>
      </x:c>
      <x:c r="U1337" s="14" t="str">
        <x:v>Не контактували</x:v>
      </x:c>
      <x:c r="V1337" s="15" t="str">
        <x:v>Workflow-audit outreach по UA-2025-09-24-009431-a; попросити 1 пакет здачі та вимоги проєкту</x:v>
      </x:c>
      <x:c r="W1337" s="15" t="str">
        <x:v>Власник / виконавець; відповідальний за договір</x:v>
      </x:c>
      <x:c r="X1337" s="15" t="str">
        <x:v>1 нових підтверджених перемог/договорів у Prozorro на 83 935 грн; 0 зі строком виконання не раніше 24.08.2026.</x:v>
      </x:c>
      <x:c r="Y1337"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 строк до 2025-12-31. Попросити один знеособлений пакет здачі за цим workflow.</x:v>
      </x:c>
      <x:c r="Z1337" s="15" t="str">
        <x:v>https://prozorro.gov.ua/tender/UA-2025-09-24-009431-a</x:v>
      </x:c>
      <x:c r="AA1337" s="14" t="str">
        <x:v>3018709398</x:v>
      </x:c>
      <x:c r="AB1337" s="14" t="str">
        <x:v>2026-08-24</x:v>
      </x:c>
      <x:c r="AC1337" s="14" t="str"/>
      <x:c r="AD1337" s="20" t="str"/>
      <x:c r="AE1337" s="14" t="str"/>
      <x:c r="AF1337" s="14" t="n">
        <x:v>27</x:v>
      </x:c>
      <x:c r="AG1337" s="14" t="str">
        <x:v>I3</x:v>
      </x:c>
      <x:c r="AH1337" s="14" t="n">
        <x:v>1</x:v>
      </x:c>
      <x:c r="AI1337" s="14" t="n">
        <x:v>0</x:v>
      </x:c>
      <x:c r="AJ1337" s="18" t="n">
        <x:v>83935</x:v>
      </x:c>
      <x:c r="AK1337" s="14" t="str">
        <x:v>https://prozorro.gov.ua/tender/UA-2025-09-24-009431-a</x:v>
      </x:c>
      <x:c r="AL1337" s="19" t="n">
        <x:v>45924.47969574074</x:v>
      </x:c>
      <x:c r="AM1337" s="19" t="n">
        <x:v>46022.916666655095</x:v>
      </x:c>
      <x:c r="AN1337" s="15" t="str">
        <x:v>Ліфти та підйомники</x:v>
      </x:c>
      <x:c r="AO1337" s="15" t="str">
        <x:v>not_found_in_top_search</x:v>
      </x:c>
    </x:row>
    <x:row r="1338">
      <x:c r="A1338" s="14" t="str">
        <x:v>W4-519</x:v>
      </x:c>
      <x:c r="B1338" s="14" t="str">
        <x:v>Prozorro expansion — 24.08</x:v>
      </x:c>
      <x:c r="C1338" s="14" t="str">
        <x:v>ФОП БОБКО ОЛЕКСАНДР ЮРІЙОВИЧ</x:v>
      </x:c>
      <x:c r="D1338" s="14" t="str">
        <x:v>HVAC / ОВіК</x:v>
      </x:c>
      <x:c r="E1338" s="14" t="str">
        <x:v>Pilot now</x:v>
      </x:c>
      <x:c r="F1338" s="17" t="str">
        <x:v>P3</x:v>
      </x:c>
      <x:c r="G1338" s="14" t="str"/>
      <x:c r="H1338" s="14" t="str">
        <x:v>Пілот зараз — Н.14</x:v>
      </x:c>
      <x:c r="I1338" s="16" t="n">
        <x:v>5</x:v>
      </x:c>
      <x:c r="J1338" s="16" t="n">
        <x:v>5</x:v>
      </x:c>
      <x:c r="K1338" s="16" t="n">
        <x:v>4</x:v>
      </x:c>
      <x:c r="L1338" s="16" t="n">
        <x:v>1</x:v>
      </x:c>
      <x:c r="M1338" s="16" t="n">
        <x:v>5</x:v>
      </x:c>
      <x:c r="N1338" s="16" t="n">
        <x:v>3</x:v>
      </x:c>
      <x:c r="O1338" s="16" t="n">
        <x:v>3</x:v>
      </x:c>
      <x:c r="P1338" s="16" t="n">
        <x:f>IF(COUNT(I1338:O1338)&lt;7,"",I1338*8+J1338*3+K1338*2+L1338*2+M1338*2+N1338*2+O1338)</x:f>
        <x:v>84</x:v>
      </x:c>
      <x:c r="Q1338" s="16" t="n">
        <x:f>IF(COUNT(J1338:O1338)&lt;6,"",J1338*5+K1338*4+M1338*4+L1338*3+N1338*2+O1338*2)</x:f>
        <x:v>76</x:v>
      </x:c>
      <x:c r="R1338" s="14" t="str">
        <x:v>high</x:v>
      </x:c>
      <x:c r="S1338" s="14" t="str">
        <x:v>official_prozorro_award_2024_2026</x:v>
      </x:c>
      <x:c r="T1338" s="14" t="str">
        <x:v>official_prozorro_api</x:v>
      </x:c>
      <x:c r="U1338" s="14" t="str">
        <x:v>Не контактували</x:v>
      </x:c>
      <x:c r="V1338" s="15" t="str">
        <x:v>Персоналізований free-pilot outreach по UA-2025-12-11-006828-a; попросити 1 пакет Н.14/Н.15</x:v>
      </x:c>
      <x:c r="W1338" s="15" t="str">
        <x:v>Власник / виконавець; відповідальний за договір</x:v>
      </x:c>
      <x:c r="X1338" s="15" t="str">
        <x:v>1 нових підтверджених перемог/договорів у Prozorro на 50 000 грн; 0 зі строком виконання не раніше 24.08.2026.</x:v>
      </x:c>
      <x:c r="Y1338"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 строк до 2025-12-31. Попросити один знеособлений пакет здачі за цим workflow.</x:v>
      </x:c>
      <x:c r="Z1338" s="15" t="str">
        <x:v>https://prozorro.gov.ua/tender/UA-2025-12-11-006828-a</x:v>
      </x:c>
      <x:c r="AA1338" s="14" t="str">
        <x:v>3486102657</x:v>
      </x:c>
      <x:c r="AB1338" s="14" t="str">
        <x:v>2026-08-24</x:v>
      </x:c>
      <x:c r="AC1338" s="14" t="str"/>
      <x:c r="AD1338" s="20" t="str"/>
      <x:c r="AE1338" s="14" t="str"/>
      <x:c r="AF1338" s="14" t="n">
        <x:v>27</x:v>
      </x:c>
      <x:c r="AG1338" s="14" t="str">
        <x:v>I3</x:v>
      </x:c>
      <x:c r="AH1338" s="14" t="n">
        <x:v>1</x:v>
      </x:c>
      <x:c r="AI1338" s="14" t="n">
        <x:v>0</x:v>
      </x:c>
      <x:c r="AJ1338" s="18" t="n">
        <x:v>50000</x:v>
      </x:c>
      <x:c r="AK1338" s="14" t="str">
        <x:v>https://prozorro.gov.ua/tender/UA-2025-12-11-006828-a</x:v>
      </x:c>
      <x:c r="AL1338" s="19" t="n">
        <x:v>46002.3971609375</x:v>
      </x:c>
      <x:c r="AM1338" s="19" t="n">
        <x:v>46022.916666655095</x:v>
      </x:c>
      <x:c r="AN1338" s="15" t="str">
        <x:v>HVAC / ОВіК</x:v>
      </x:c>
      <x:c r="AO1338" s="15" t="str">
        <x:v>not_found_in_top_search</x:v>
      </x:c>
    </x:row>
    <x:row r="1339">
      <x:c r="A1339" s="14" t="str">
        <x:v>W4-520</x:v>
      </x:c>
      <x:c r="B1339" s="14" t="str">
        <x:v>Prozorro expansion — 24.08</x:v>
      </x:c>
      <x:c r="C1339" s="14" t="str">
        <x:v>ФОП Басанець Володимир Миколайович</x:v>
      </x:c>
      <x:c r="D1339" s="14" t="str">
        <x:v>Ліфти та підйомники</x:v>
      </x:c>
      <x:c r="E1339" s="14" t="str">
        <x:v>Expansion discovery</x:v>
      </x:c>
      <x:c r="F1339" s="17" t="str">
        <x:v>D3</x:v>
      </x:c>
      <x:c r="G1339" s="14" t="str"/>
      <x:c r="H1339" s="14" t="str">
        <x:v>Discovery розширення — 2 тижні</x:v>
      </x:c>
      <x:c r="I1339" s="16" t="n">
        <x:v>1</x:v>
      </x:c>
      <x:c r="J1339" s="16" t="n">
        <x:v>5</x:v>
      </x:c>
      <x:c r="K1339" s="16" t="n">
        <x:v>4</x:v>
      </x:c>
      <x:c r="L1339" s="16" t="n">
        <x:v>1</x:v>
      </x:c>
      <x:c r="M1339" s="16" t="n">
        <x:v>5</x:v>
      </x:c>
      <x:c r="N1339" s="16" t="n">
        <x:v>3</x:v>
      </x:c>
      <x:c r="O1339" s="16" t="n">
        <x:v>3</x:v>
      </x:c>
      <x:c r="P1339" s="16" t="n">
        <x:f>IF(COUNT(I1339:O1339)&lt;7,"",I1339*8+J1339*3+K1339*2+L1339*2+M1339*2+N1339*2+O1339)</x:f>
        <x:v>52</x:v>
      </x:c>
      <x:c r="Q1339" s="16" t="n">
        <x:f>IF(COUNT(J1339:O1339)&lt;6,"",J1339*5+K1339*4+M1339*4+L1339*3+N1339*2+O1339*2)</x:f>
        <x:v>76</x:v>
      </x:c>
      <x:c r="R1339" s="14" t="str">
        <x:v>high</x:v>
      </x:c>
      <x:c r="S1339" s="14" t="str">
        <x:v>official_prozorro_award_2024_2026</x:v>
      </x:c>
      <x:c r="T1339" s="14" t="str">
        <x:v>official_prozorro_api</x:v>
      </x:c>
      <x:c r="U1339" s="14" t="str">
        <x:v>Не контактували</x:v>
      </x:c>
      <x:c r="V1339" s="15" t="str">
        <x:v>Workflow-audit outreach по UA-2025-08-05-003194-a; попросити 1 пакет здачі та вимоги проєкту</x:v>
      </x:c>
      <x:c r="W1339" s="15" t="str">
        <x:v>Власник / виконавець; відповідальний за договір</x:v>
      </x:c>
      <x:c r="X1339" s="15" t="str">
        <x:v>1 нових підтверджених перемог/договорів у Prozorro на 35 600 грн; 0 зі строком виконання не раніше 24.08.2026.</x:v>
      </x:c>
      <x:c r="Y1339"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339" s="15" t="str">
        <x:v>https://prozorro.gov.ua/tender/UA-2025-08-05-003194-a</x:v>
      </x:c>
      <x:c r="AA1339" s="14" t="str">
        <x:v>3132315835</x:v>
      </x:c>
      <x:c r="AB1339" s="14" t="str">
        <x:v>2026-08-24</x:v>
      </x:c>
      <x:c r="AC1339" s="14" t="str"/>
      <x:c r="AD1339" s="20" t="str"/>
      <x:c r="AE1339" s="14" t="str"/>
      <x:c r="AF1339" s="14" t="n">
        <x:v>27</x:v>
      </x:c>
      <x:c r="AG1339" s="14" t="str">
        <x:v>I3</x:v>
      </x:c>
      <x:c r="AH1339" s="14" t="n">
        <x:v>1</x:v>
      </x:c>
      <x:c r="AI1339" s="14" t="n">
        <x:v>0</x:v>
      </x:c>
      <x:c r="AJ1339" s="18" t="n">
        <x:v>35600</x:v>
      </x:c>
      <x:c r="AK1339" s="14" t="str">
        <x:v>https://prozorro.gov.ua/tender/UA-2025-08-05-003194-a</x:v>
      </x:c>
      <x:c r="AL1339" s="19" t="n">
        <x:v>45874.34324321759</x:v>
      </x:c>
      <x:c r="AM1339" s="19" t="n">
        <x:v>46022.386099537034</x:v>
      </x:c>
      <x:c r="AN1339" s="15" t="str">
        <x:v>Ліфти та підйомники</x:v>
      </x:c>
      <x:c r="AO1339" s="15" t="str">
        <x:v>not_found_in_top_search</x:v>
      </x:c>
    </x:row>
    <x:row r="1340">
      <x:c r="A1340" s="14" t="str">
        <x:v>W4-521</x:v>
      </x:c>
      <x:c r="B1340" s="14" t="str">
        <x:v>Prozorro expansion — 24.08</x:v>
      </x:c>
      <x:c r="C1340" s="14" t="str">
        <x:v>ФОП Тарнавський Вадим Васильович</x:v>
      </x:c>
      <x:c r="D1340" s="14" t="str">
        <x:v>HVAC / ОВіК</x:v>
      </x:c>
      <x:c r="E1340" s="14" t="str">
        <x:v>Pilot now</x:v>
      </x:c>
      <x:c r="F1340" s="17" t="str">
        <x:v>P3</x:v>
      </x:c>
      <x:c r="G1340" s="14" t="str"/>
      <x:c r="H1340" s="14" t="str">
        <x:v>Пілот зараз — Н.14</x:v>
      </x:c>
      <x:c r="I1340" s="16" t="n">
        <x:v>5</x:v>
      </x:c>
      <x:c r="J1340" s="16" t="n">
        <x:v>5</x:v>
      </x:c>
      <x:c r="K1340" s="16" t="n">
        <x:v>4</x:v>
      </x:c>
      <x:c r="L1340" s="16" t="n">
        <x:v>1</x:v>
      </x:c>
      <x:c r="M1340" s="16" t="n">
        <x:v>5</x:v>
      </x:c>
      <x:c r="N1340" s="16" t="n">
        <x:v>3</x:v>
      </x:c>
      <x:c r="O1340" s="16" t="n">
        <x:v>3</x:v>
      </x:c>
      <x:c r="P1340" s="16" t="n">
        <x:f>IF(COUNT(I1340:O1340)&lt;7,"",I1340*8+J1340*3+K1340*2+L1340*2+M1340*2+N1340*2+O1340)</x:f>
        <x:v>84</x:v>
      </x:c>
      <x:c r="Q1340" s="16" t="n">
        <x:f>IF(COUNT(J1340:O1340)&lt;6,"",J1340*5+K1340*4+M1340*4+L1340*3+N1340*2+O1340*2)</x:f>
        <x:v>76</x:v>
      </x:c>
      <x:c r="R1340" s="14" t="str">
        <x:v>high</x:v>
      </x:c>
      <x:c r="S1340" s="14" t="str">
        <x:v>official_prozorro_award_2024_2026</x:v>
      </x:c>
      <x:c r="T1340" s="14" t="str">
        <x:v>official_prozorro_api</x:v>
      </x:c>
      <x:c r="U1340" s="14" t="str">
        <x:v>Не контактували</x:v>
      </x:c>
      <x:c r="V1340" s="15" t="str">
        <x:v>Персоналізований free-pilot outreach по UA-2025-12-22-005941-a; попросити 1 пакет Н.14/Н.15</x:v>
      </x:c>
      <x:c r="W1340" s="15" t="str">
        <x:v>Власник / виконавець; відповідальний за договір</x:v>
      </x:c>
      <x:c r="X1340" s="15" t="str">
        <x:v>1 нових підтверджених перемог/договорів у Prozorro на 4 500 грн; 0 зі строком виконання не раніше 24.08.2026.</x:v>
      </x:c>
      <x:c r="Y1340" s="15" t="str">
        <x:v>Послуги з монтажу Припливно-витяжної системи вентиляції з рекуперацією тепла PRANA-200C+; строк до 2025-12-31. Попросити один знеособлений пакет здачі за цим workflow.</x:v>
      </x:c>
      <x:c r="Z1340" s="15" t="str">
        <x:v>https://prozorro.gov.ua/tender/UA-2025-12-22-005941-a</x:v>
      </x:c>
      <x:c r="AA1340" s="14" t="str">
        <x:v>3039106471</x:v>
      </x:c>
      <x:c r="AB1340" s="14" t="str">
        <x:v>2026-08-24</x:v>
      </x:c>
      <x:c r="AC1340" s="14" t="str"/>
      <x:c r="AD1340" s="20" t="str"/>
      <x:c r="AE1340" s="14" t="str"/>
      <x:c r="AF1340" s="14" t="n">
        <x:v>27</x:v>
      </x:c>
      <x:c r="AG1340" s="14" t="str">
        <x:v>I3</x:v>
      </x:c>
      <x:c r="AH1340" s="14" t="n">
        <x:v>1</x:v>
      </x:c>
      <x:c r="AI1340" s="14" t="n">
        <x:v>0</x:v>
      </x:c>
      <x:c r="AJ1340" s="18" t="n">
        <x:v>4500</x:v>
      </x:c>
      <x:c r="AK1340" s="14" t="str">
        <x:v>https://prozorro.gov.ua/tender/UA-2025-12-22-005941-a</x:v>
      </x:c>
      <x:c r="AL1340" s="19" t="n">
        <x:v>46013.388122233795</x:v>
      </x:c>
      <x:c r="AM1340" s="19" t="n">
        <x:v>46022</x:v>
      </x:c>
      <x:c r="AN1340" s="15" t="str">
        <x:v>HVAC / ОВіК</x:v>
      </x:c>
      <x:c r="AO1340" s="15" t="str">
        <x:v>not_found_in_top_search</x:v>
      </x:c>
    </x:row>
    <x:row r="1341">
      <x:c r="A1341" s="14" t="str">
        <x:v>W4-522</x:v>
      </x:c>
      <x:c r="B1341" s="14" t="str">
        <x:v>Prozorro expansion — 24.08</x:v>
      </x:c>
      <x:c r="C1341" s="14" t="str">
        <x:v>ФОП МАКАРИЦЬКА ЛЮДМИЛА ГРИГОРІВНА</x:v>
      </x:c>
      <x:c r="D1341" s="14" t="str">
        <x:v>Покрівлі та гідроізоляція</x:v>
      </x:c>
      <x:c r="E1341" s="14" t="str">
        <x:v>Expansion discovery</x:v>
      </x:c>
      <x:c r="F1341" s="17" t="str">
        <x:v>D3</x:v>
      </x:c>
      <x:c r="G1341" s="14" t="str"/>
      <x:c r="H1341" s="14" t="str">
        <x:v>Discovery розширення — 2 тижні</x:v>
      </x:c>
      <x:c r="I1341" s="16" t="n">
        <x:v>1</x:v>
      </x:c>
      <x:c r="J1341" s="16" t="n">
        <x:v>5</x:v>
      </x:c>
      <x:c r="K1341" s="16" t="n">
        <x:v>5</x:v>
      </x:c>
      <x:c r="L1341" s="16" t="n">
        <x:v>1</x:v>
      </x:c>
      <x:c r="M1341" s="16" t="n">
        <x:v>5</x:v>
      </x:c>
      <x:c r="N1341" s="16" t="n">
        <x:v>3</x:v>
      </x:c>
      <x:c r="O1341" s="16" t="n">
        <x:v>3</x:v>
      </x:c>
      <x:c r="P1341" s="16" t="n">
        <x:f>IF(COUNT(I1341:O1341)&lt;7,"",I1341*8+J1341*3+K1341*2+L1341*2+M1341*2+N1341*2+O1341)</x:f>
        <x:v>54</x:v>
      </x:c>
      <x:c r="Q1341" s="16" t="n">
        <x:f>IF(COUNT(J1341:O1341)&lt;6,"",J1341*5+K1341*4+M1341*4+L1341*3+N1341*2+O1341*2)</x:f>
        <x:v>80</x:v>
      </x:c>
      <x:c r="R1341" s="14" t="str">
        <x:v>high</x:v>
      </x:c>
      <x:c r="S1341" s="14" t="str">
        <x:v>official_prozorro_award_2024_2026</x:v>
      </x:c>
      <x:c r="T1341" s="14" t="str">
        <x:v>official_prozorro_api</x:v>
      </x:c>
      <x:c r="U1341" s="14" t="str">
        <x:v>Не контактували</x:v>
      </x:c>
      <x:c r="V1341" s="15" t="str">
        <x:v>Workflow-audit outreach по UA-2025-04-21-002987-a; попросити 1 пакет здачі та вимоги проєкту</x:v>
      </x:c>
      <x:c r="W1341" s="15" t="str">
        <x:v>Власник / виконавець; відповідальний за договір</x:v>
      </x:c>
      <x:c r="X1341" s="15" t="str">
        <x:v>1 нових підтверджених перемог/договорів у Prozorro на 1 405 грн; 0 зі строком виконання не раніше 24.08.2026.</x:v>
      </x:c>
      <x:c r="Y1341"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 строк до 2025-12-25. Попросити один знеособлений пакет здачі за цим workflow.</x:v>
      </x:c>
      <x:c r="Z1341" s="15" t="str">
        <x:v>https://prozorro.gov.ua/tender/UA-2025-04-21-002987-a</x:v>
      </x:c>
      <x:c r="AA1341" s="14" t="str">
        <x:v>2641803825</x:v>
      </x:c>
      <x:c r="AB1341" s="14" t="str">
        <x:v>2026-08-24</x:v>
      </x:c>
      <x:c r="AC1341" s="14" t="str"/>
      <x:c r="AD1341" s="20" t="str"/>
      <x:c r="AE1341" s="14" t="str"/>
      <x:c r="AF1341" s="14" t="n">
        <x:v>27</x:v>
      </x:c>
      <x:c r="AG1341" s="14" t="str">
        <x:v>I3</x:v>
      </x:c>
      <x:c r="AH1341" s="14" t="n">
        <x:v>1</x:v>
      </x:c>
      <x:c r="AI1341" s="14" t="n">
        <x:v>0</x:v>
      </x:c>
      <x:c r="AJ1341" s="18" t="n">
        <x:v>1405</x:v>
      </x:c>
      <x:c r="AK1341" s="14" t="str">
        <x:v>https://prozorro.gov.ua/tender/UA-2025-04-21-002987-a</x:v>
      </x:c>
      <x:c r="AL1341" s="19" t="n">
        <x:v>45768.36517361111</x:v>
      </x:c>
      <x:c r="AM1341" s="19" t="n">
        <x:v>46016</x:v>
      </x:c>
      <x:c r="AN1341" s="15" t="str">
        <x:v>Покрівлі та гідроізоляція</x:v>
      </x:c>
      <x:c r="AO1341" s="15" t="str">
        <x:v>not_found_in_top_search</x:v>
      </x:c>
    </x:row>
    <x:row r="1342">
      <x:c r="A1342" s="14" t="str">
        <x:v>W4-523</x:v>
      </x:c>
      <x:c r="B1342" s="14" t="str">
        <x:v>Prozorro expansion — 24.08</x:v>
      </x:c>
      <x:c r="C1342" s="14" t="str">
        <x:v>ТОВАРИСТВО З ОБМЕЖЕНОЮ ВІДПОВІДАЛЬНІСТЮ "ДОНБАССТРОЙІНЖИНІРИНГ"</x:v>
      </x:c>
      <x:c r="D1342" s="14" t="str">
        <x:v>Ліфти та підйомники</x:v>
      </x:c>
      <x:c r="E1342" s="14" t="str">
        <x:v>Expansion discovery</x:v>
      </x:c>
      <x:c r="F1342" s="17" t="str">
        <x:v>D3</x:v>
      </x:c>
      <x:c r="G1342" s="14" t="str"/>
      <x:c r="H1342" s="14" t="str">
        <x:v>Discovery розширення — 2 тижні</x:v>
      </x:c>
      <x:c r="I1342" s="16" t="n">
        <x:v>1</x:v>
      </x:c>
      <x:c r="J1342" s="16" t="n">
        <x:v>5</x:v>
      </x:c>
      <x:c r="K1342" s="16" t="n">
        <x:v>4</x:v>
      </x:c>
      <x:c r="L1342" s="16" t="n">
        <x:v>1</x:v>
      </x:c>
      <x:c r="M1342" s="16" t="n">
        <x:v>5</x:v>
      </x:c>
      <x:c r="N1342" s="16" t="n">
        <x:v>5</x:v>
      </x:c>
      <x:c r="O1342" s="16" t="n">
        <x:v>3</x:v>
      </x:c>
      <x:c r="P1342" s="16" t="n">
        <x:f>IF(COUNT(I1342:O1342)&lt;7,"",I1342*8+J1342*3+K1342*2+L1342*2+M1342*2+N1342*2+O1342)</x:f>
        <x:v>56</x:v>
      </x:c>
      <x:c r="Q1342" s="16" t="n">
        <x:f>IF(COUNT(J1342:O1342)&lt;6,"",J1342*5+K1342*4+M1342*4+L1342*3+N1342*2+O1342*2)</x:f>
        <x:v>80</x:v>
      </x:c>
      <x:c r="R1342" s="14" t="str">
        <x:v>high</x:v>
      </x:c>
      <x:c r="S1342" s="14" t="str">
        <x:v>official_prozorro_award_2024_2026</x:v>
      </x:c>
      <x:c r="T1342" s="14" t="str">
        <x:v>official_prozorro_api</x:v>
      </x:c>
      <x:c r="U1342" s="14" t="str">
        <x:v>Не контактували</x:v>
      </x:c>
      <x:c r="V1342" s="15" t="str">
        <x:v>Workflow-audit outreach по UA-2025-03-04-014990-a; попросити 1 пакет здачі та вимоги проєкту</x:v>
      </x:c>
      <x:c r="W1342" s="15" t="str">
        <x:v>Власник / директор; керівник ПТО; відповідальний за договори</x:v>
      </x:c>
      <x:c r="X1342" s="15" t="str">
        <x:v>1 нових підтверджених перемог/договорів у Prozorro на 98 600 грн; 0 зі строком виконання не раніше 24.08.2026.</x:v>
      </x:c>
      <x:c r="Y1342" s="15" t="str">
        <x:v>Монтаж систем диспетчерського зв'язку 58-мі пасажирських ліфти на житлових будинках; строк до 2025-02-27. Попросити один знеособлений пакет здачі за цим workflow.</x:v>
      </x:c>
      <x:c r="Z1342" s="15" t="str">
        <x:v>https://prozorro.gov.ua/tender/UA-2025-03-04-014990-a</x:v>
      </x:c>
      <x:c r="AA1342" s="14" t="str">
        <x:v>38531207</x:v>
      </x:c>
      <x:c r="AB1342" s="14" t="str">
        <x:v>2026-08-24</x:v>
      </x:c>
      <x:c r="AC1342" s="14" t="str"/>
      <x:c r="AD1342" s="20" t="str"/>
      <x:c r="AE1342" s="14" t="str"/>
      <x:c r="AF1342" s="14" t="n">
        <x:v>26</x:v>
      </x:c>
      <x:c r="AG1342" s="14" t="str">
        <x:v>I3</x:v>
      </x:c>
      <x:c r="AH1342" s="14" t="n">
        <x:v>1</x:v>
      </x:c>
      <x:c r="AI1342" s="14" t="n">
        <x:v>0</x:v>
      </x:c>
      <x:c r="AJ1342" s="18" t="n">
        <x:v>98600</x:v>
      </x:c>
      <x:c r="AK1342" s="14" t="str">
        <x:v>https://prozorro.gov.ua/tender/UA-2025-03-04-014990-a</x:v>
      </x:c>
      <x:c r="AL1342" s="19" t="n">
        <x:v>45720.823735555554</x:v>
      </x:c>
      <x:c r="AM1342" s="19" t="n">
        <x:v>45715</x:v>
      </x:c>
      <x:c r="AN1342" s="15" t="str">
        <x:v>Ліфти та підйомники</x:v>
      </x:c>
      <x:c r="AO1342" s="15" t="str">
        <x:v>not_found_in_top_search</x:v>
      </x:c>
    </x:row>
    <x:row r="1343">
      <x:c r="A1343" s="14" t="str">
        <x:v>W4-524</x:v>
      </x:c>
      <x:c r="B1343" s="14" t="str">
        <x:v>Prozorro expansion — 24.08</x:v>
      </x:c>
      <x:c r="C1343" s="14" t="str">
        <x:v>Іващенко Михайло Вадимович</x:v>
      </x:c>
      <x:c r="D1343" s="14" t="str">
        <x:v>Благоустрій</x:v>
      </x:c>
      <x:c r="E1343" s="14" t="str">
        <x:v>Expansion discovery</x:v>
      </x:c>
      <x:c r="F1343" s="17" t="str">
        <x:v>D3</x:v>
      </x:c>
      <x:c r="G1343" s="14" t="str"/>
      <x:c r="H1343" s="14" t="str">
        <x:v>Discovery розширення — 2 тижні</x:v>
      </x:c>
      <x:c r="I1343" s="16" t="n">
        <x:v>1</x:v>
      </x:c>
      <x:c r="J1343" s="16" t="n">
        <x:v>5</x:v>
      </x:c>
      <x:c r="K1343" s="16" t="n">
        <x:v>4</x:v>
      </x:c>
      <x:c r="L1343" s="16" t="n">
        <x:v>1</x:v>
      </x:c>
      <x:c r="M1343" s="16" t="n">
        <x:v>5</x:v>
      </x:c>
      <x:c r="N1343" s="16" t="n">
        <x:v>3</x:v>
      </x:c>
      <x:c r="O1343" s="16" t="n">
        <x:v>3</x:v>
      </x:c>
      <x:c r="P1343" s="16" t="n">
        <x:f>IF(COUNT(I1343:O1343)&lt;7,"",I1343*8+J1343*3+K1343*2+L1343*2+M1343*2+N1343*2+O1343)</x:f>
        <x:v>52</x:v>
      </x:c>
      <x:c r="Q1343" s="16" t="n">
        <x:f>IF(COUNT(J1343:O1343)&lt;6,"",J1343*5+K1343*4+M1343*4+L1343*3+N1343*2+O1343*2)</x:f>
        <x:v>76</x:v>
      </x:c>
      <x:c r="R1343" s="14" t="str">
        <x:v>high</x:v>
      </x:c>
      <x:c r="S1343" s="14" t="str">
        <x:v>official_prozorro_award_2024_2026</x:v>
      </x:c>
      <x:c r="T1343" s="14" t="str">
        <x:v>official_prozorro_api</x:v>
      </x:c>
      <x:c r="U1343" s="14" t="str">
        <x:v>Не контактували</x:v>
      </x:c>
      <x:c r="V1343" s="15" t="str">
        <x:v>Workflow-audit outreach по UA-2024-12-10-000480-a; попросити 1 пакет здачі та вимоги проєкту</x:v>
      </x:c>
      <x:c r="W1343" s="15" t="str">
        <x:v>Власник / виконавець; відповідальний за договір</x:v>
      </x:c>
      <x:c r="X1343" s="15" t="str">
        <x:v>1 нових підтверджених перемог/договорів у Prozorro на 94 500 грн; 0 зі строком виконання не раніше 24.08.2026.</x:v>
      </x:c>
      <x:c r="Y1343"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 строк до 2025-03-31. Попросити один знеособлений пакет здачі за цим workflow.</x:v>
      </x:c>
      <x:c r="Z1343" s="15" t="str">
        <x:v>https://prozorro.gov.ua/tender/UA-2024-12-10-000480-a</x:v>
      </x:c>
      <x:c r="AA1343" s="14" t="str">
        <x:v>3684201993</x:v>
      </x:c>
      <x:c r="AB1343" s="14" t="str">
        <x:v>2026-08-24</x:v>
      </x:c>
      <x:c r="AC1343" s="14" t="str"/>
      <x:c r="AD1343" s="20" t="str"/>
      <x:c r="AE1343" s="14" t="str"/>
      <x:c r="AF1343" s="14" t="n">
        <x:v>26</x:v>
      </x:c>
      <x:c r="AG1343" s="14" t="str">
        <x:v>I3</x:v>
      </x:c>
      <x:c r="AH1343" s="14" t="n">
        <x:v>1</x:v>
      </x:c>
      <x:c r="AI1343" s="14" t="n">
        <x:v>0</x:v>
      </x:c>
      <x:c r="AJ1343" s="18" t="n">
        <x:v>94500</x:v>
      </x:c>
      <x:c r="AK1343" s="14" t="str">
        <x:v>https://prozorro.gov.ua/tender/UA-2024-12-10-000480-a</x:v>
      </x:c>
      <x:c r="AL1343" s="19" t="n">
        <x:v>45636.27584628472</x:v>
      </x:c>
      <x:c r="AM1343" s="19" t="n">
        <x:v>45747</x:v>
      </x:c>
      <x:c r="AN1343" s="15" t="str">
        <x:v>Благоустрій</x:v>
      </x:c>
      <x:c r="AO1343" s="15" t="str">
        <x:v>not_found_in_top_search</x:v>
      </x:c>
    </x:row>
    <x:row r="1344">
      <x:c r="A1344" s="14" t="str">
        <x:v>W4-525</x:v>
      </x:c>
      <x:c r="B1344" s="14" t="str">
        <x:v>Prozorro expansion — 24.08</x:v>
      </x:c>
      <x:c r="C1344" s="14" t="str">
        <x:v>ТОВАРИСТВО З ОБМЕЖЕНОЮ ВІДПОВІДАЛЬНІСТЮ «ПР Трейд»</x:v>
      </x:c>
      <x:c r="D1344" s="14" t="str">
        <x:v>Металоконструкції</x:v>
      </x:c>
      <x:c r="E1344" s="14" t="str">
        <x:v>Expansion discovery</x:v>
      </x:c>
      <x:c r="F1344" s="17" t="str">
        <x:v>D3</x:v>
      </x:c>
      <x:c r="G1344" s="14" t="str"/>
      <x:c r="H1344" s="14" t="str">
        <x:v>Discovery розширення — 2 тижні</x:v>
      </x:c>
      <x:c r="I1344" s="16" t="n">
        <x:v>1</x:v>
      </x:c>
      <x:c r="J1344" s="16" t="n">
        <x:v>5</x:v>
      </x:c>
      <x:c r="K1344" s="16" t="n">
        <x:v>5</x:v>
      </x:c>
      <x:c r="L1344" s="16" t="n">
        <x:v>1</x:v>
      </x:c>
      <x:c r="M1344" s="16" t="n">
        <x:v>5</x:v>
      </x:c>
      <x:c r="N1344" s="16" t="n">
        <x:v>5</x:v>
      </x:c>
      <x:c r="O1344" s="16" t="n">
        <x:v>3</x:v>
      </x:c>
      <x:c r="P1344" s="16" t="n">
        <x:f>IF(COUNT(I1344:O1344)&lt;7,"",I1344*8+J1344*3+K1344*2+L1344*2+M1344*2+N1344*2+O1344)</x:f>
        <x:v>58</x:v>
      </x:c>
      <x:c r="Q1344" s="16" t="n">
        <x:f>IF(COUNT(J1344:O1344)&lt;6,"",J1344*5+K1344*4+M1344*4+L1344*3+N1344*2+O1344*2)</x:f>
        <x:v>84</x:v>
      </x:c>
      <x:c r="R1344" s="14" t="str">
        <x:v>high</x:v>
      </x:c>
      <x:c r="S1344" s="14" t="str">
        <x:v>official_prozorro_award_2024_2026</x:v>
      </x:c>
      <x:c r="T1344" s="14" t="str">
        <x:v>official_prozorro_api</x:v>
      </x:c>
      <x:c r="U1344" s="14" t="str">
        <x:v>Не контактували</x:v>
      </x:c>
      <x:c r="V1344" s="15" t="str">
        <x:v>Workflow-audit outreach по UA-2024-12-05-005265-a; попросити 1 пакет здачі та вимоги проєкту</x:v>
      </x:c>
      <x:c r="W1344" s="15" t="str">
        <x:v>Власник / директор; керівник ПТО; відповідальний за договори</x:v>
      </x:c>
      <x:c r="X1344" s="15" t="str">
        <x:v>1 нових підтверджених перемог/договорів у Prozorro на 89 015 грн; 0 зі строком виконання не раніше 24.08.2026.</x:v>
      </x:c>
      <x:c r="Y1344" s="15" t="str">
        <x:v>Монтаж виробів з металу та металоконструкцій (модуль кріплення боксерських мішків з перекатними механізмами); строк до 2024-12-31. Попросити один знеособлений пакет здачі за цим workflow.</x:v>
      </x:c>
      <x:c r="Z1344" s="15" t="str">
        <x:v>https://prozorro.gov.ua/tender/UA-2024-12-05-005265-a</x:v>
      </x:c>
      <x:c r="AA1344" s="14" t="str">
        <x:v>45527084</x:v>
      </x:c>
      <x:c r="AB1344" s="14" t="str">
        <x:v>2026-08-24</x:v>
      </x:c>
      <x:c r="AC1344" s="14" t="str"/>
      <x:c r="AD1344" s="20" t="str"/>
      <x:c r="AE1344" s="14" t="str"/>
      <x:c r="AF1344" s="14" t="n">
        <x:v>26</x:v>
      </x:c>
      <x:c r="AG1344" s="14" t="str">
        <x:v>I3</x:v>
      </x:c>
      <x:c r="AH1344" s="14" t="n">
        <x:v>1</x:v>
      </x:c>
      <x:c r="AI1344" s="14" t="n">
        <x:v>0</x:v>
      </x:c>
      <x:c r="AJ1344" s="18" t="n">
        <x:v>89014.85</x:v>
      </x:c>
      <x:c r="AK1344" s="14" t="str">
        <x:v>https://prozorro.gov.ua/tender/UA-2024-12-05-005265-a</x:v>
      </x:c>
      <x:c r="AL1344" s="19" t="n">
        <x:v>45631.38144725694</x:v>
      </x:c>
      <x:c r="AM1344" s="19" t="n">
        <x:v>45657</x:v>
      </x:c>
      <x:c r="AN1344" s="15" t="str">
        <x:v>Металоконструкції</x:v>
      </x:c>
      <x:c r="AO1344" s="15" t="str">
        <x:v>not_found_in_top_search</x:v>
      </x:c>
    </x:row>
    <x:row r="1345">
      <x:c r="A1345" s="14" t="str">
        <x:v>W4-526</x:v>
      </x:c>
      <x:c r="B1345" s="14" t="str">
        <x:v>Prozorro expansion — 24.08</x:v>
      </x:c>
      <x:c r="C1345" s="14" t="str">
        <x:v>Товариство з обмеженою відповідальністю «ОХРАНА»</x:v>
      </x:c>
      <x:c r="D1345" s="14" t="str">
        <x:v>Пожежогасіння</x:v>
      </x:c>
      <x:c r="E1345" s="14" t="str">
        <x:v>Expansion discovery</x:v>
      </x:c>
      <x:c r="F1345" s="17" t="str">
        <x:v>D3</x:v>
      </x:c>
      <x:c r="G1345" s="14" t="str"/>
      <x:c r="H1345" s="14" t="str">
        <x:v>Discovery розширення — 2 тижні</x:v>
      </x:c>
      <x:c r="I1345" s="16" t="n">
        <x:v>1</x:v>
      </x:c>
      <x:c r="J1345" s="16" t="n">
        <x:v>5</x:v>
      </x:c>
      <x:c r="K1345" s="16" t="n">
        <x:v>5</x:v>
      </x:c>
      <x:c r="L1345" s="16" t="n">
        <x:v>1</x:v>
      </x:c>
      <x:c r="M1345" s="16" t="n">
        <x:v>5</x:v>
      </x:c>
      <x:c r="N1345" s="16" t="n">
        <x:v>5</x:v>
      </x:c>
      <x:c r="O1345" s="16" t="n">
        <x:v>3</x:v>
      </x:c>
      <x:c r="P1345" s="16" t="n">
        <x:f>IF(COUNT(I1345:O1345)&lt;7,"",I1345*8+J1345*3+K1345*2+L1345*2+M1345*2+N1345*2+O1345)</x:f>
        <x:v>58</x:v>
      </x:c>
      <x:c r="Q1345" s="16" t="n">
        <x:f>IF(COUNT(J1345:O1345)&lt;6,"",J1345*5+K1345*4+M1345*4+L1345*3+N1345*2+O1345*2)</x:f>
        <x:v>84</x:v>
      </x:c>
      <x:c r="R1345" s="14" t="str">
        <x:v>high</x:v>
      </x:c>
      <x:c r="S1345" s="14" t="str">
        <x:v>official_prozorro_award_2024_2026</x:v>
      </x:c>
      <x:c r="T1345" s="14" t="str">
        <x:v>official_prozorro_api</x:v>
      </x:c>
      <x:c r="U1345" s="14" t="str">
        <x:v>Не контактували</x:v>
      </x:c>
      <x:c r="V1345" s="15" t="str">
        <x:v>Workflow-audit outreach по UA-2024-05-13-007929-a; попросити 1 пакет здачі та вимоги проєкту</x:v>
      </x:c>
      <x:c r="W1345" s="15" t="str">
        <x:v>Власник / директор; керівник ПТО; відповідальний за договори</x:v>
      </x:c>
      <x:c r="X1345" s="15" t="str">
        <x:v>1 нових підтверджених перемог/договорів у Prozorro на 80 619 грн; 0 зі строком виконання не раніше 24.08.2026.</x:v>
      </x:c>
      <x:c r="Y1345"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 строк до 2024-12-31. Попросити один знеособлений пакет здачі за цим workflow.</x:v>
      </x:c>
      <x:c r="Z1345" s="15" t="str">
        <x:v>https://prozorro.gov.ua/tender/UA-2024-05-13-007929-a</x:v>
      </x:c>
      <x:c r="AA1345" s="14" t="str">
        <x:v>13857245</x:v>
      </x:c>
      <x:c r="AB1345" s="14" t="str">
        <x:v>2026-08-24</x:v>
      </x:c>
      <x:c r="AC1345" s="14" t="str"/>
      <x:c r="AD1345" s="20" t="str"/>
      <x:c r="AE1345" s="14" t="str"/>
      <x:c r="AF1345" s="14" t="n">
        <x:v>26</x:v>
      </x:c>
      <x:c r="AG1345" s="14" t="str">
        <x:v>I3</x:v>
      </x:c>
      <x:c r="AH1345" s="14" t="n">
        <x:v>1</x:v>
      </x:c>
      <x:c r="AI1345" s="14" t="n">
        <x:v>0</x:v>
      </x:c>
      <x:c r="AJ1345" s="18" t="n">
        <x:v>80618.89</x:v>
      </x:c>
      <x:c r="AK1345" s="14" t="str">
        <x:v>https://prozorro.gov.ua/tender/UA-2024-05-13-007929-a</x:v>
      </x:c>
      <x:c r="AL1345" s="19" t="n">
        <x:v>45425.513737685185</x:v>
      </x:c>
      <x:c r="AM1345" s="19" t="n">
        <x:v>45657.55762731482</x:v>
      </x:c>
      <x:c r="AN1345" s="15" t="str">
        <x:v>Пожежогасіння</x:v>
      </x:c>
      <x:c r="AO1345" s="15" t="str">
        <x:v>not_found_in_top_search</x:v>
      </x:c>
    </x:row>
    <x:row r="1346">
      <x:c r="A1346" s="14" t="str">
        <x:v>W4-527</x:v>
      </x:c>
      <x:c r="B1346" s="14" t="str">
        <x:v>Prozorro expansion — 24.08</x:v>
      </x:c>
      <x:c r="C1346" s="14" t="str">
        <x:v>ІЗОТОВ ІВАН ВОЛОДИМИРОВИЧ</x:v>
      </x:c>
      <x:c r="D1346" s="14" t="str">
        <x:v>СКС / BMS / слаботочка</x:v>
      </x:c>
      <x:c r="E1346" s="14" t="str">
        <x:v>Expansion discovery</x:v>
      </x:c>
      <x:c r="F1346" s="17" t="str">
        <x:v>D3</x:v>
      </x:c>
      <x:c r="G1346" s="14" t="str"/>
      <x:c r="H1346" s="14" t="str">
        <x:v>Discovery розширення — 2 тижні</x:v>
      </x:c>
      <x:c r="I1346" s="16" t="n">
        <x:v>2</x:v>
      </x:c>
      <x:c r="J1346" s="16" t="n">
        <x:v>5</x:v>
      </x:c>
      <x:c r="K1346" s="16" t="n">
        <x:v>4</x:v>
      </x:c>
      <x:c r="L1346" s="16" t="n">
        <x:v>1</x:v>
      </x:c>
      <x:c r="M1346" s="16" t="n">
        <x:v>5</x:v>
      </x:c>
      <x:c r="N1346" s="16" t="n">
        <x:v>3</x:v>
      </x:c>
      <x:c r="O1346" s="16" t="n">
        <x:v>3</x:v>
      </x:c>
      <x:c r="P1346" s="16" t="n">
        <x:f>IF(COUNT(I1346:O1346)&lt;7,"",I1346*8+J1346*3+K1346*2+L1346*2+M1346*2+N1346*2+O1346)</x:f>
        <x:v>60</x:v>
      </x:c>
      <x:c r="Q1346" s="16" t="n">
        <x:f>IF(COUNT(J1346:O1346)&lt;6,"",J1346*5+K1346*4+M1346*4+L1346*3+N1346*2+O1346*2)</x:f>
        <x:v>76</x:v>
      </x:c>
      <x:c r="R1346" s="14" t="str">
        <x:v>high</x:v>
      </x:c>
      <x:c r="S1346" s="14" t="str">
        <x:v>official_prozorro_award_2024_2026</x:v>
      </x:c>
      <x:c r="T1346" s="14" t="str">
        <x:v>official_prozorro_api</x:v>
      </x:c>
      <x:c r="U1346" s="14" t="str">
        <x:v>Не контактували</x:v>
      </x:c>
      <x:c r="V1346" s="15" t="str">
        <x:v>Workflow-audit outreach по UA-2024-08-08-005951-a; попросити 1 пакет здачі та вимоги проєкту</x:v>
      </x:c>
      <x:c r="W1346" s="15" t="str">
        <x:v>Власник / виконавець; відповідальний за договір</x:v>
      </x:c>
      <x:c r="X1346" s="15" t="str">
        <x:v>1 нових підтверджених перемог/договорів у Prozorro на 74 180 грн; 0 зі строком виконання не раніше 24.08.2026.</x:v>
      </x:c>
      <x:c r="Y1346"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 строк до 2024-09-09. Попросити один знеособлений пакет здачі за цим workflow.</x:v>
      </x:c>
      <x:c r="Z1346" s="15" t="str">
        <x:v>https://prozorro.gov.ua/tender/UA-2024-08-08-005951-a</x:v>
      </x:c>
      <x:c r="AA1346" s="14" t="str">
        <x:v>2806705197</x:v>
      </x:c>
      <x:c r="AB1346" s="14" t="str">
        <x:v>2026-08-24</x:v>
      </x:c>
      <x:c r="AC1346" s="14" t="str"/>
      <x:c r="AD1346" s="20" t="str"/>
      <x:c r="AE1346" s="14" t="str"/>
      <x:c r="AF1346" s="14" t="n">
        <x:v>26</x:v>
      </x:c>
      <x:c r="AG1346" s="14" t="str">
        <x:v>I3</x:v>
      </x:c>
      <x:c r="AH1346" s="14" t="n">
        <x:v>1</x:v>
      </x:c>
      <x:c r="AI1346" s="14" t="n">
        <x:v>0</x:v>
      </x:c>
      <x:c r="AJ1346" s="18" t="n">
        <x:v>74180</x:v>
      </x:c>
      <x:c r="AK1346" s="14" t="str">
        <x:v>https://prozorro.gov.ua/tender/UA-2024-08-08-005951-a</x:v>
      </x:c>
      <x:c r="AL1346" s="19" t="n">
        <x:v>45512.43414081018</x:v>
      </x:c>
      <x:c r="AM1346" s="19" t="n">
        <x:v>45544</x:v>
      </x:c>
      <x:c r="AN1346" s="15" t="str">
        <x:v>СКС / BMS / слаботочка</x:v>
      </x:c>
      <x:c r="AO1346" s="15" t="str">
        <x:v>not_found_in_top_search</x:v>
      </x:c>
    </x:row>
    <x:row r="1347">
      <x:c r="A1347" s="14" t="str">
        <x:v>W4-528</x:v>
      </x:c>
      <x:c r="B1347" s="14" t="str">
        <x:v>Prozorro expansion — 24.08</x:v>
      </x:c>
      <x:c r="C1347" s="14" t="str">
        <x:v>Монько Ігор Олександрович</x:v>
      </x:c>
      <x:c r="D1347" s="14" t="str">
        <x:v>Покрівлі та гідроізоляція</x:v>
      </x:c>
      <x:c r="E1347" s="14" t="str">
        <x:v>Expansion discovery</x:v>
      </x:c>
      <x:c r="F1347" s="17" t="str">
        <x:v>D3</x:v>
      </x:c>
      <x:c r="G1347" s="14" t="str"/>
      <x:c r="H1347" s="14" t="str">
        <x:v>Discovery розширення — 2 тижні</x:v>
      </x:c>
      <x:c r="I1347" s="16" t="n">
        <x:v>1</x:v>
      </x:c>
      <x:c r="J1347" s="16" t="n">
        <x:v>5</x:v>
      </x:c>
      <x:c r="K1347" s="16" t="n">
        <x:v>5</x:v>
      </x:c>
      <x:c r="L1347" s="16" t="n">
        <x:v>1</x:v>
      </x:c>
      <x:c r="M1347" s="16" t="n">
        <x:v>5</x:v>
      </x:c>
      <x:c r="N1347" s="16" t="n">
        <x:v>3</x:v>
      </x:c>
      <x:c r="O1347" s="16" t="n">
        <x:v>3</x:v>
      </x:c>
      <x:c r="P1347" s="16" t="n">
        <x:f>IF(COUNT(I1347:O1347)&lt;7,"",I1347*8+J1347*3+K1347*2+L1347*2+M1347*2+N1347*2+O1347)</x:f>
        <x:v>54</x:v>
      </x:c>
      <x:c r="Q1347" s="16" t="n">
        <x:f>IF(COUNT(J1347:O1347)&lt;6,"",J1347*5+K1347*4+M1347*4+L1347*3+N1347*2+O1347*2)</x:f>
        <x:v>80</x:v>
      </x:c>
      <x:c r="R1347" s="14" t="str">
        <x:v>high</x:v>
      </x:c>
      <x:c r="S1347" s="14" t="str">
        <x:v>official_prozorro_award_2024_2026</x:v>
      </x:c>
      <x:c r="T1347" s="14" t="str">
        <x:v>official_prozorro_api</x:v>
      </x:c>
      <x:c r="U1347" s="14" t="str">
        <x:v>Не контактували</x:v>
      </x:c>
      <x:c r="V1347" s="15" t="str">
        <x:v>Workflow-audit outreach по UA-2024-10-24-013919-a; попросити 1 пакет здачі та вимоги проєкту</x:v>
      </x:c>
      <x:c r="W1347" s="15" t="str">
        <x:v>Власник / виконавець; відповідальний за договір</x:v>
      </x:c>
      <x:c r="X1347" s="15" t="str">
        <x:v>1 нових підтверджених перемог/договорів у Prozorro на 73 600 грн; 0 зі строком виконання не раніше 24.08.2026.</x:v>
      </x:c>
      <x:c r="Y1347" s="15" t="str">
        <x:v>Послуга з гідроізоляційних робіт; строк до 2024-12-31. Попросити один знеособлений пакет здачі за цим workflow.</x:v>
      </x:c>
      <x:c r="Z1347" s="15" t="str">
        <x:v>https://prozorro.gov.ua/tender/UA-2024-10-24-013919-a</x:v>
      </x:c>
      <x:c r="AA1347" s="14" t="str">
        <x:v>3588712750</x:v>
      </x:c>
      <x:c r="AB1347" s="14" t="str">
        <x:v>2026-08-24</x:v>
      </x:c>
      <x:c r="AC1347" s="14" t="str"/>
      <x:c r="AD1347" s="20" t="str"/>
      <x:c r="AE1347" s="14" t="str"/>
      <x:c r="AF1347" s="14" t="n">
        <x:v>26</x:v>
      </x:c>
      <x:c r="AG1347" s="14" t="str">
        <x:v>I3</x:v>
      </x:c>
      <x:c r="AH1347" s="14" t="n">
        <x:v>1</x:v>
      </x:c>
      <x:c r="AI1347" s="14" t="n">
        <x:v>0</x:v>
      </x:c>
      <x:c r="AJ1347" s="18" t="n">
        <x:v>73600</x:v>
      </x:c>
      <x:c r="AK1347" s="14" t="str">
        <x:v>https://prozorro.gov.ua/tender/UA-2024-10-24-013919-a</x:v>
      </x:c>
      <x:c r="AL1347" s="19" t="n">
        <x:v>45589.55619234954</x:v>
      </x:c>
      <x:c r="AM1347" s="19" t="n">
        <x:v>45657</x:v>
      </x:c>
      <x:c r="AN1347" s="15" t="str">
        <x:v>Покрівлі та гідроізоляція</x:v>
      </x:c>
      <x:c r="AO1347" s="15" t="str">
        <x:v>not_found_in_top_search</x:v>
      </x:c>
    </x:row>
    <x:row r="1348">
      <x:c r="A1348" s="14" t="str">
        <x:v>W4-529</x:v>
      </x:c>
      <x:c r="B1348" s="14" t="str">
        <x:v>Prozorro expansion — 24.08</x:v>
      </x:c>
      <x:c r="C1348" s="14" t="str">
        <x:v>ПП Майстер Рос</x:v>
      </x:c>
      <x:c r="D1348" s="14" t="str">
        <x:v>Ліфти та підйомники</x:v>
      </x:c>
      <x:c r="E1348" s="14" t="str">
        <x:v>Expansion discovery</x:v>
      </x:c>
      <x:c r="F1348" s="17" t="str">
        <x:v>D3</x:v>
      </x:c>
      <x:c r="G1348" s="14" t="str"/>
      <x:c r="H1348" s="14" t="str">
        <x:v>Discovery розширення — 2 тижні</x:v>
      </x:c>
      <x:c r="I1348" s="16" t="n">
        <x:v>1</x:v>
      </x:c>
      <x:c r="J1348" s="16" t="n">
        <x:v>5</x:v>
      </x:c>
      <x:c r="K1348" s="16" t="n">
        <x:v>4</x:v>
      </x:c>
      <x:c r="L1348" s="16" t="n">
        <x:v>1</x:v>
      </x:c>
      <x:c r="M1348" s="16" t="n">
        <x:v>5</x:v>
      </x:c>
      <x:c r="N1348" s="16" t="n">
        <x:v>5</x:v>
      </x:c>
      <x:c r="O1348" s="16" t="n">
        <x:v>3</x:v>
      </x:c>
      <x:c r="P1348" s="16" t="n">
        <x:f>IF(COUNT(I1348:O1348)&lt;7,"",I1348*8+J1348*3+K1348*2+L1348*2+M1348*2+N1348*2+O1348)</x:f>
        <x:v>56</x:v>
      </x:c>
      <x:c r="Q1348" s="16" t="n">
        <x:f>IF(COUNT(J1348:O1348)&lt;6,"",J1348*5+K1348*4+M1348*4+L1348*3+N1348*2+O1348*2)</x:f>
        <x:v>80</x:v>
      </x:c>
      <x:c r="R1348" s="14" t="str">
        <x:v>high</x:v>
      </x:c>
      <x:c r="S1348" s="14" t="str">
        <x:v>official_prozorro_award_2024_2026</x:v>
      </x:c>
      <x:c r="T1348" s="14" t="str">
        <x:v>official_prozorro_api</x:v>
      </x:c>
      <x:c r="U1348" s="14" t="str">
        <x:v>Не контактували</x:v>
      </x:c>
      <x:c r="V1348" s="15" t="str">
        <x:v>Workflow-audit outreach по UA-2024-05-23-009258-a; попросити 1 пакет здачі та вимоги проєкту</x:v>
      </x:c>
      <x:c r="W1348" s="15" t="str">
        <x:v>Власник / директор; керівник ПТО; відповідальний за договори</x:v>
      </x:c>
      <x:c r="X1348" s="15" t="str">
        <x:v>1 нових підтверджених перемог/договорів у Prozorro на 61 249 грн; 0 зі строком виконання не раніше 24.08.2026.</x:v>
      </x:c>
      <x:c r="Y1348"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 строк до 2024-12-31. Попросити один знеособлений пакет здачі за цим workflow.</x:v>
      </x:c>
      <x:c r="Z1348" s="15" t="str">
        <x:v>https://prozorro.gov.ua/tender/UA-2024-05-23-009258-a</x:v>
      </x:c>
      <x:c r="AA1348" s="14" t="str">
        <x:v>32713102</x:v>
      </x:c>
      <x:c r="AB1348" s="14" t="str">
        <x:v>2026-08-24</x:v>
      </x:c>
      <x:c r="AC1348" s="14" t="str"/>
      <x:c r="AD1348" s="20" t="str"/>
      <x:c r="AE1348" s="14" t="str"/>
      <x:c r="AF1348" s="14" t="n">
        <x:v>26</x:v>
      </x:c>
      <x:c r="AG1348" s="14" t="str">
        <x:v>I3</x:v>
      </x:c>
      <x:c r="AH1348" s="14" t="n">
        <x:v>1</x:v>
      </x:c>
      <x:c r="AI1348" s="14" t="n">
        <x:v>0</x:v>
      </x:c>
      <x:c r="AJ1348" s="18" t="n">
        <x:v>61248.74</x:v>
      </x:c>
      <x:c r="AK1348" s="14" t="str">
        <x:v>https://prozorro.gov.ua/tender/UA-2024-05-23-009258-a</x:v>
      </x:c>
      <x:c r="AL1348" s="19" t="n">
        <x:v>45435.514180694445</x:v>
      </x:c>
      <x:c r="AM1348" s="19" t="n">
        <x:v>45657</x:v>
      </x:c>
      <x:c r="AN1348" s="15" t="str">
        <x:v>Ліфти та підйомники</x:v>
      </x:c>
      <x:c r="AO1348" s="15" t="str">
        <x:v>not_found_in_top_search</x:v>
      </x:c>
    </x:row>
    <x:row r="1349">
      <x:c r="A1349" s="14" t="str">
        <x:v>W4-530</x:v>
      </x:c>
      <x:c r="B1349" s="14" t="str">
        <x:v>Prozorro expansion — 24.08</x:v>
      </x:c>
      <x:c r="C1349" s="14" t="str">
        <x:v>САЗОНОВА АННА ОЛЕКСАНДРІВНА</x:v>
      </x:c>
      <x:c r="D1349" s="14" t="str">
        <x:v>Покрівлі та гідроізоляція</x:v>
      </x:c>
      <x:c r="E1349" s="14" t="str">
        <x:v>Expansion discovery</x:v>
      </x:c>
      <x:c r="F1349" s="17" t="str">
        <x:v>D3</x:v>
      </x:c>
      <x:c r="G1349" s="14" t="str"/>
      <x:c r="H1349" s="14" t="str">
        <x:v>Discovery розширення — 2 тижні</x:v>
      </x:c>
      <x:c r="I1349" s="16" t="n">
        <x:v>1</x:v>
      </x:c>
      <x:c r="J1349" s="16" t="n">
        <x:v>5</x:v>
      </x:c>
      <x:c r="K1349" s="16" t="n">
        <x:v>5</x:v>
      </x:c>
      <x:c r="L1349" s="16" t="n">
        <x:v>1</x:v>
      </x:c>
      <x:c r="M1349" s="16" t="n">
        <x:v>5</x:v>
      </x:c>
      <x:c r="N1349" s="16" t="n">
        <x:v>3</x:v>
      </x:c>
      <x:c r="O1349" s="16" t="n">
        <x:v>3</x:v>
      </x:c>
      <x:c r="P1349" s="16" t="n">
        <x:f>IF(COUNT(I1349:O1349)&lt;7,"",I1349*8+J1349*3+K1349*2+L1349*2+M1349*2+N1349*2+O1349)</x:f>
        <x:v>54</x:v>
      </x:c>
      <x:c r="Q1349" s="16" t="n">
        <x:f>IF(COUNT(J1349:O1349)&lt;6,"",J1349*5+K1349*4+M1349*4+L1349*3+N1349*2+O1349*2)</x:f>
        <x:v>80</x:v>
      </x:c>
      <x:c r="R1349" s="14" t="str">
        <x:v>high</x:v>
      </x:c>
      <x:c r="S1349" s="14" t="str">
        <x:v>official_prozorro_award_2024_2026</x:v>
      </x:c>
      <x:c r="T1349" s="14" t="str">
        <x:v>official_prozorro_api</x:v>
      </x:c>
      <x:c r="U1349" s="14" t="str">
        <x:v>Не контактували</x:v>
      </x:c>
      <x:c r="V1349" s="15" t="str">
        <x:v>Workflow-audit outreach по UA-2024-05-29-008715-a; попросити 1 пакет здачі та вимоги проєкту</x:v>
      </x:c>
      <x:c r="W1349" s="15" t="str">
        <x:v>Власник / виконавець; відповідальний за договір</x:v>
      </x:c>
      <x:c r="X1349" s="15" t="str">
        <x:v>1 нових підтверджених перемог/договорів у Prozorro на 50 000 грн; 0 зі строком виконання не раніше 24.08.2026.</x:v>
      </x:c>
      <x:c r="Y1349"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 строк до 2024-12-31. Попросити один знеособлений пакет здачі за цим workflow.</x:v>
      </x:c>
      <x:c r="Z1349" s="15" t="str">
        <x:v>https://prozorro.gov.ua/tender/UA-2024-05-29-008715-a</x:v>
      </x:c>
      <x:c r="AA1349" s="14" t="str">
        <x:v>3490705869</x:v>
      </x:c>
      <x:c r="AB1349" s="14" t="str">
        <x:v>2026-08-24</x:v>
      </x:c>
      <x:c r="AC1349" s="14" t="str"/>
      <x:c r="AD1349" s="20" t="str"/>
      <x:c r="AE1349" s="14" t="str"/>
      <x:c r="AF1349" s="14" t="n">
        <x:v>26</x:v>
      </x:c>
      <x:c r="AG1349" s="14" t="str">
        <x:v>I3</x:v>
      </x:c>
      <x:c r="AH1349" s="14" t="n">
        <x:v>1</x:v>
      </x:c>
      <x:c r="AI1349" s="14" t="n">
        <x:v>0</x:v>
      </x:c>
      <x:c r="AJ1349" s="18" t="n">
        <x:v>50000</x:v>
      </x:c>
      <x:c r="AK1349" s="14" t="str">
        <x:v>https://prozorro.gov.ua/tender/UA-2024-05-29-008715-a</x:v>
      </x:c>
      <x:c r="AL1349" s="19" t="n">
        <x:v>45441.56384417824</x:v>
      </x:c>
      <x:c r="AM1349" s="19" t="n">
        <x:v>45657</x:v>
      </x:c>
      <x:c r="AN1349" s="15" t="str">
        <x:v>Покрівлі та гідроізоляція</x:v>
      </x:c>
      <x:c r="AO1349" s="15" t="str">
        <x:v>not_found_in_top_search</x:v>
      </x:c>
    </x:row>
    <x:row r="1350">
      <x:c r="A1350" s="14" t="str">
        <x:v>W4-531</x:v>
      </x:c>
      <x:c r="B1350" s="14" t="str">
        <x:v>Prozorro expansion — 24.08</x:v>
      </x:c>
      <x:c r="C1350" s="14" t="str">
        <x:v>ТОВАРИСТВО З ОБМЕЖЕНОЮ ВІДПОВІДАЛЬНІСТЮ "АКВА-ТРЕНД"</x:v>
      </x:c>
      <x:c r="D1350" s="14" t="str">
        <x:v>Басейни та водні комплекси</x:v>
      </x:c>
      <x:c r="E1350" s="14" t="str">
        <x:v>Expansion discovery</x:v>
      </x:c>
      <x:c r="F1350" s="17" t="str">
        <x:v>D3</x:v>
      </x:c>
      <x:c r="G1350" s="14" t="str"/>
      <x:c r="H1350" s="14" t="str">
        <x:v>Discovery розширення — 2 тижні</x:v>
      </x:c>
      <x:c r="I1350" s="16" t="n">
        <x:v>1</x:v>
      </x:c>
      <x:c r="J1350" s="16" t="n">
        <x:v>5</x:v>
      </x:c>
      <x:c r="K1350" s="16" t="n">
        <x:v>5</x:v>
      </x:c>
      <x:c r="L1350" s="16" t="n">
        <x:v>1</x:v>
      </x:c>
      <x:c r="M1350" s="16" t="n">
        <x:v>5</x:v>
      </x:c>
      <x:c r="N1350" s="16" t="n">
        <x:v>5</x:v>
      </x:c>
      <x:c r="O1350" s="16" t="n">
        <x:v>3</x:v>
      </x:c>
      <x:c r="P1350" s="16" t="n">
        <x:f>IF(COUNT(I1350:O1350)&lt;7,"",I1350*8+J1350*3+K1350*2+L1350*2+M1350*2+N1350*2+O1350)</x:f>
        <x:v>58</x:v>
      </x:c>
      <x:c r="Q1350" s="16" t="n">
        <x:f>IF(COUNT(J1350:O1350)&lt;6,"",J1350*5+K1350*4+M1350*4+L1350*3+N1350*2+O1350*2)</x:f>
        <x:v>84</x:v>
      </x:c>
      <x:c r="R1350" s="14" t="str">
        <x:v>high</x:v>
      </x:c>
      <x:c r="S1350" s="14" t="str">
        <x:v>official_prozorro_award_2024_2026</x:v>
      </x:c>
      <x:c r="T1350" s="14" t="str">
        <x:v>official_prozorro_api</x:v>
      </x:c>
      <x:c r="U1350" s="14" t="str">
        <x:v>Не контактували</x:v>
      </x:c>
      <x:c r="V1350" s="15" t="str">
        <x:v>Workflow-audit outreach по UA-2025-02-25-003363-a; попросити 1 пакет здачі та вимоги проєкту</x:v>
      </x:c>
      <x:c r="W1350" s="15" t="str">
        <x:v>Власник / директор; керівник ПТО; відповідальний за договори</x:v>
      </x:c>
      <x:c r="X1350" s="15" t="str">
        <x:v>1 нових підтверджених перемог/договорів у Prozorro на 45 050 грн; 0 зі строком виконання не раніше 24.08.2026.</x:v>
      </x:c>
      <x:c r="Y1350" s="15" t="str">
        <x:v>Послуги з ремонту і технічного обслуговування басейну, код 45210000-2 - Будівництво будівель, за ДК 021:2015; строк до 2025-12-31. Попросити один знеособлений пакет здачі за цим workflow.</x:v>
      </x:c>
      <x:c r="Z1350" s="15" t="str">
        <x:v>https://prozorro.gov.ua/tender/UA-2025-02-25-003363-a</x:v>
      </x:c>
      <x:c r="AA1350" s="14" t="str">
        <x:v>42856537</x:v>
      </x:c>
      <x:c r="AB1350" s="14" t="str">
        <x:v>2026-08-24</x:v>
      </x:c>
      <x:c r="AC1350" s="14" t="str"/>
      <x:c r="AD1350" s="20" t="str"/>
      <x:c r="AE1350" s="14" t="str"/>
      <x:c r="AF1350" s="14" t="n">
        <x:v>26</x:v>
      </x:c>
      <x:c r="AG1350" s="14" t="str">
        <x:v>I3</x:v>
      </x:c>
      <x:c r="AH1350" s="14" t="n">
        <x:v>1</x:v>
      </x:c>
      <x:c r="AI1350" s="14" t="n">
        <x:v>0</x:v>
      </x:c>
      <x:c r="AJ1350" s="18" t="n">
        <x:v>45050</x:v>
      </x:c>
      <x:c r="AK1350" s="14" t="str">
        <x:v>https://prozorro.gov.ua/tender/UA-2025-02-25-003363-a</x:v>
      </x:c>
      <x:c r="AL1350" s="19" t="n">
        <x:v>45713.38519702546</x:v>
      </x:c>
      <x:c r="AM1350" s="19" t="n">
        <x:v>46022</x:v>
      </x:c>
      <x:c r="AN1350" s="15" t="str">
        <x:v>Басейни та водні комплекси</x:v>
      </x:c>
      <x:c r="AO1350" s="15" t="str">
        <x:v>not_found_in_top_search</x:v>
      </x:c>
    </x:row>
    <x:row r="1351">
      <x:c r="A1351" s="14" t="str">
        <x:v>W4-532</x:v>
      </x:c>
      <x:c r="B1351" s="14" t="str">
        <x:v>Prozorro expansion — 24.08</x:v>
      </x:c>
      <x:c r="C1351" s="14" t="str">
        <x:v>ТОВАРИСТВО З ОБМЕЖЕНОЮ ВІДПОВІДАЛЬНІСТЮ "ВАЛМІ ГРУП"</x:v>
      </x:c>
      <x:c r="D1351" s="14" t="str">
        <x:v>Покрівлі та гідроізоляція</x:v>
      </x:c>
      <x:c r="E1351" s="14" t="str">
        <x:v>Expansion discovery</x:v>
      </x:c>
      <x:c r="F1351" s="17" t="str">
        <x:v>D3</x:v>
      </x:c>
      <x:c r="G1351" s="14" t="str"/>
      <x:c r="H1351" s="14" t="str">
        <x:v>Discovery розширення — 2 тижні</x:v>
      </x:c>
      <x:c r="I1351" s="16" t="n">
        <x:v>1</x:v>
      </x:c>
      <x:c r="J1351" s="16" t="n">
        <x:v>5</x:v>
      </x:c>
      <x:c r="K1351" s="16" t="n">
        <x:v>5</x:v>
      </x:c>
      <x:c r="L1351" s="16" t="n">
        <x:v>1</x:v>
      </x:c>
      <x:c r="M1351" s="16" t="n">
        <x:v>5</x:v>
      </x:c>
      <x:c r="N1351" s="16" t="n">
        <x:v>5</x:v>
      </x:c>
      <x:c r="O1351" s="16" t="n">
        <x:v>3</x:v>
      </x:c>
      <x:c r="P1351" s="16" t="n">
        <x:f>IF(COUNT(I1351:O1351)&lt;7,"",I1351*8+J1351*3+K1351*2+L1351*2+M1351*2+N1351*2+O1351)</x:f>
        <x:v>58</x:v>
      </x:c>
      <x:c r="Q1351" s="16" t="n">
        <x:f>IF(COUNT(J1351:O1351)&lt;6,"",J1351*5+K1351*4+M1351*4+L1351*3+N1351*2+O1351*2)</x:f>
        <x:v>84</x:v>
      </x:c>
      <x:c r="R1351" s="14" t="str">
        <x:v>high</x:v>
      </x:c>
      <x:c r="S1351" s="14" t="str">
        <x:v>official_prozorro_award_2024_2026</x:v>
      </x:c>
      <x:c r="T1351" s="14" t="str">
        <x:v>official_prozorro_api</x:v>
      </x:c>
      <x:c r="U1351" s="14" t="str">
        <x:v>Не контактували</x:v>
      </x:c>
      <x:c r="V1351" s="15" t="str">
        <x:v>Workflow-audit outreach по UA-2024-11-07-007867-a; попросити 1 пакет здачі та вимоги проєкту</x:v>
      </x:c>
      <x:c r="W1351" s="15" t="str">
        <x:v>Власник / директор; керівник ПТО; відповідальний за договори</x:v>
      </x:c>
      <x:c r="X1351" s="15" t="str">
        <x:v>1 нових підтверджених перемог/договорів у Prozorro на 42 924 грн; 0 зі строком виконання не раніше 24.08.2026.</x:v>
      </x:c>
      <x:c r="Y1351"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 строк до 2024-12-31. Попросити один знеособлений пакет здачі за цим workflow.</x:v>
      </x:c>
      <x:c r="Z1351" s="15" t="str">
        <x:v>https://prozorro.gov.ua/tender/UA-2024-11-07-007867-a</x:v>
      </x:c>
      <x:c r="AA1351" s="14" t="str">
        <x:v>36848790</x:v>
      </x:c>
      <x:c r="AB1351" s="14" t="str">
        <x:v>2026-08-24</x:v>
      </x:c>
      <x:c r="AC1351" s="14" t="str"/>
      <x:c r="AD1351" s="20" t="str"/>
      <x:c r="AE1351" s="14" t="str"/>
      <x:c r="AF1351" s="14" t="n">
        <x:v>26</x:v>
      </x:c>
      <x:c r="AG1351" s="14" t="str">
        <x:v>I3</x:v>
      </x:c>
      <x:c r="AH1351" s="14" t="n">
        <x:v>1</x:v>
      </x:c>
      <x:c r="AI1351" s="14" t="n">
        <x:v>0</x:v>
      </x:c>
      <x:c r="AJ1351" s="18" t="n">
        <x:v>42923.99</x:v>
      </x:c>
      <x:c r="AK1351" s="14" t="str">
        <x:v>https://prozorro.gov.ua/tender/UA-2024-11-07-007867-a</x:v>
      </x:c>
      <x:c r="AL1351" s="19" t="n">
        <x:v>45603.482593877314</x:v>
      </x:c>
      <x:c r="AM1351" s="19" t="n">
        <x:v>45657</x:v>
      </x:c>
      <x:c r="AN1351" s="15" t="str">
        <x:v>Покрівлі та гідроізоляція</x:v>
      </x:c>
      <x:c r="AO1351" s="15" t="str">
        <x:v>not_found_in_top_search</x:v>
      </x:c>
    </x:row>
    <x:row r="1352">
      <x:c r="A1352" s="14" t="str">
        <x:v>W4-533</x:v>
      </x:c>
      <x:c r="B1352" s="14" t="str">
        <x:v>Prozorro expansion — 24.08</x:v>
      </x:c>
      <x:c r="C1352" s="14" t="str">
        <x:v>БОРОВЕЦЬ ОЛЕКСАНДР МИКОЛАЙОВИЧ</x:v>
      </x:c>
      <x:c r="D1352" s="14" t="str">
        <x:v>Металоконструкції</x:v>
      </x:c>
      <x:c r="E1352" s="14" t="str">
        <x:v>Expansion discovery</x:v>
      </x:c>
      <x:c r="F1352" s="17" t="str">
        <x:v>D3</x:v>
      </x:c>
      <x:c r="G1352" s="14" t="str"/>
      <x:c r="H1352" s="14" t="str">
        <x:v>Discovery розширення — 2 тижні</x:v>
      </x:c>
      <x:c r="I1352" s="16" t="n">
        <x:v>1</x:v>
      </x:c>
      <x:c r="J1352" s="16" t="n">
        <x:v>5</x:v>
      </x:c>
      <x:c r="K1352" s="16" t="n">
        <x:v>5</x:v>
      </x:c>
      <x:c r="L1352" s="16" t="n">
        <x:v>1</x:v>
      </x:c>
      <x:c r="M1352" s="16" t="n">
        <x:v>5</x:v>
      </x:c>
      <x:c r="N1352" s="16" t="n">
        <x:v>3</x:v>
      </x:c>
      <x:c r="O1352" s="16" t="n">
        <x:v>3</x:v>
      </x:c>
      <x:c r="P1352" s="16" t="n">
        <x:f>IF(COUNT(I1352:O1352)&lt;7,"",I1352*8+J1352*3+K1352*2+L1352*2+M1352*2+N1352*2+O1352)</x:f>
        <x:v>54</x:v>
      </x:c>
      <x:c r="Q1352" s="16" t="n">
        <x:f>IF(COUNT(J1352:O1352)&lt;6,"",J1352*5+K1352*4+M1352*4+L1352*3+N1352*2+O1352*2)</x:f>
        <x:v>80</x:v>
      </x:c>
      <x:c r="R1352" s="14" t="str">
        <x:v>high</x:v>
      </x:c>
      <x:c r="S1352" s="14" t="str">
        <x:v>official_prozorro_award_2024_2026</x:v>
      </x:c>
      <x:c r="T1352" s="14" t="str">
        <x:v>official_prozorro_api</x:v>
      </x:c>
      <x:c r="U1352" s="14" t="str">
        <x:v>Не контактували</x:v>
      </x:c>
      <x:c r="V1352" s="15" t="str">
        <x:v>Workflow-audit outreach по UA-2024-11-19-007446-a; попросити 1 пакет здачі та вимоги проєкту</x:v>
      </x:c>
      <x:c r="W1352" s="15" t="str">
        <x:v>Власник / виконавець; відповідальний за договір</x:v>
      </x:c>
      <x:c r="X1352" s="15" t="str">
        <x:v>1 нових підтверджених перемог/договорів у Prozorro на 33 500 грн; 0 зі строком виконання не раніше 24.08.2026.</x:v>
      </x:c>
      <x:c r="Y1352" s="15" t="str">
        <x:v>Роботи з монтажу  металоконструкцій  для інформаційних банерів  про загиблих захисників Березнівщини; строк до 2024-12-31. Попросити один знеособлений пакет здачі за цим workflow.</x:v>
      </x:c>
      <x:c r="Z1352" s="15" t="str">
        <x:v>https://prozorro.gov.ua/tender/UA-2024-11-19-007446-a</x:v>
      </x:c>
      <x:c r="AA1352" s="14" t="str">
        <x:v>2978713435</x:v>
      </x:c>
      <x:c r="AB1352" s="14" t="str">
        <x:v>2026-08-24</x:v>
      </x:c>
      <x:c r="AC1352" s="14" t="str"/>
      <x:c r="AD1352" s="20" t="str"/>
      <x:c r="AE1352" s="14" t="str"/>
      <x:c r="AF1352" s="14" t="n">
        <x:v>26</x:v>
      </x:c>
      <x:c r="AG1352" s="14" t="str">
        <x:v>I3</x:v>
      </x:c>
      <x:c r="AH1352" s="14" t="n">
        <x:v>1</x:v>
      </x:c>
      <x:c r="AI1352" s="14" t="n">
        <x:v>0</x:v>
      </x:c>
      <x:c r="AJ1352" s="18" t="n">
        <x:v>33500</x:v>
      </x:c>
      <x:c r="AK1352" s="14" t="str">
        <x:v>https://prozorro.gov.ua/tender/UA-2024-11-19-007446-a</x:v>
      </x:c>
      <x:c r="AL1352" s="19" t="n">
        <x:v>45615.436321712965</x:v>
      </x:c>
      <x:c r="AM1352" s="19" t="n">
        <x:v>45657</x:v>
      </x:c>
      <x:c r="AN1352" s="15" t="str">
        <x:v>Металоконструкції</x:v>
      </x:c>
      <x:c r="AO1352" s="15" t="str">
        <x:v>not_found_in_top_search</x:v>
      </x:c>
    </x:row>
    <x:row r="1353">
      <x:c r="A1353" s="14" t="str">
        <x:v>W4-534</x:v>
      </x:c>
      <x:c r="B1353" s="14" t="str">
        <x:v>Prozorro expansion — 24.08</x:v>
      </x:c>
      <x:c r="C1353" s="14" t="str">
        <x:v>ПРИВАТНЕ ПІДПРИЄМСТВО "ЄВРОКЛІМАТ"</x:v>
      </x:c>
      <x:c r="D1353" s="14" t="str">
        <x:v>HVAC / ОВіК</x:v>
      </x:c>
      <x:c r="E1353" s="14" t="str">
        <x:v>Pilot now</x:v>
      </x:c>
      <x:c r="F1353" s="17" t="str">
        <x:v>P3</x:v>
      </x:c>
      <x:c r="G1353" s="14" t="str"/>
      <x:c r="H1353" s="14" t="str">
        <x:v>Пілот зараз — Н.14</x:v>
      </x:c>
      <x:c r="I1353" s="16" t="n">
        <x:v>5</x:v>
      </x:c>
      <x:c r="J1353" s="16" t="n">
        <x:v>5</x:v>
      </x:c>
      <x:c r="K1353" s="16" t="n">
        <x:v>4</x:v>
      </x:c>
      <x:c r="L1353" s="16" t="n">
        <x:v>1</x:v>
      </x:c>
      <x:c r="M1353" s="16" t="n">
        <x:v>5</x:v>
      </x:c>
      <x:c r="N1353" s="16" t="n">
        <x:v>5</x:v>
      </x:c>
      <x:c r="O1353" s="16" t="n">
        <x:v>3</x:v>
      </x:c>
      <x:c r="P1353" s="16" t="n">
        <x:f>IF(COUNT(I1353:O1353)&lt;7,"",I1353*8+J1353*3+K1353*2+L1353*2+M1353*2+N1353*2+O1353)</x:f>
        <x:v>88</x:v>
      </x:c>
      <x:c r="Q1353" s="16" t="n">
        <x:f>IF(COUNT(J1353:O1353)&lt;6,"",J1353*5+K1353*4+M1353*4+L1353*3+N1353*2+O1353*2)</x:f>
        <x:v>80</x:v>
      </x:c>
      <x:c r="R1353" s="14" t="str">
        <x:v>high</x:v>
      </x:c>
      <x:c r="S1353" s="14" t="str">
        <x:v>official_prozorro_award_2024_2026</x:v>
      </x:c>
      <x:c r="T1353" s="14" t="str">
        <x:v>official_prozorro_api</x:v>
      </x:c>
      <x:c r="U1353" s="14" t="str">
        <x:v>Не контактували</x:v>
      </x:c>
      <x:c r="V1353" s="15" t="str">
        <x:v>Персоналізований free-pilot outreach по UA-2025-02-11-011237-a; попросити 1 пакет Н.14/Н.15</x:v>
      </x:c>
      <x:c r="W1353" s="15" t="str">
        <x:v>Власник / директор; керівник ПТО; відповідальний за договори</x:v>
      </x:c>
      <x:c r="X1353" s="15" t="str">
        <x:v>1 нових підтверджених перемог/договорів у Prozorro на 31 944 грн; 0 зі строком виконання не раніше 24.08.2026.</x:v>
      </x:c>
      <x:c r="Y1353" s="15" t="str">
        <x:v>Послуги з демонтажу та монтажу систем вентиляції у приміщенні пральні; строк до 2025-02-28. Попросити один знеособлений пакет здачі за цим workflow.</x:v>
      </x:c>
      <x:c r="Z1353" s="15" t="str">
        <x:v>https://prozorro.gov.ua/tender/UA-2025-02-11-011237-a</x:v>
      </x:c>
      <x:c r="AA1353" s="14" t="str">
        <x:v>31880908</x:v>
      </x:c>
      <x:c r="AB1353" s="14" t="str">
        <x:v>2026-08-24</x:v>
      </x:c>
      <x:c r="AC1353" s="14" t="str"/>
      <x:c r="AD1353" s="20" t="str"/>
      <x:c r="AE1353" s="14" t="str"/>
      <x:c r="AF1353" s="14" t="n">
        <x:v>26</x:v>
      </x:c>
      <x:c r="AG1353" s="14" t="str">
        <x:v>I3</x:v>
      </x:c>
      <x:c r="AH1353" s="14" t="n">
        <x:v>1</x:v>
      </x:c>
      <x:c r="AI1353" s="14" t="n">
        <x:v>0</x:v>
      </x:c>
      <x:c r="AJ1353" s="18" t="n">
        <x:v>31944</x:v>
      </x:c>
      <x:c r="AK1353" s="14" t="str">
        <x:v>https://prozorro.gov.ua/tender/UA-2025-02-11-011237-a</x:v>
      </x:c>
      <x:c r="AL1353" s="19" t="n">
        <x:v>45699.5493759838</x:v>
      </x:c>
      <x:c r="AM1353" s="19" t="n">
        <x:v>45716</x:v>
      </x:c>
      <x:c r="AN1353" s="15" t="str">
        <x:v>HVAC / ОВіК</x:v>
      </x:c>
      <x:c r="AO1353" s="15" t="str">
        <x:v>not_found_in_top_search</x:v>
      </x:c>
    </x:row>
    <x:row r="1354">
      <x:c r="A1354" s="14" t="str">
        <x:v>W4-535</x:v>
      </x:c>
      <x:c r="B1354" s="14" t="str">
        <x:v>Prozorro expansion — 24.08</x:v>
      </x:c>
      <x:c r="C1354" s="14" t="str">
        <x:v>ТОВ "АГП ЕНЕРГО"</x:v>
      </x:c>
      <x:c r="D1354" s="14" t="str">
        <x:v>Промислова теплоізоляція</x:v>
      </x:c>
      <x:c r="E1354" s="14" t="str">
        <x:v>Expansion discovery</x:v>
      </x:c>
      <x:c r="F1354" s="17" t="str">
        <x:v>D3</x:v>
      </x:c>
      <x:c r="G1354" s="14" t="str"/>
      <x:c r="H1354" s="14" t="str">
        <x:v>Discovery розширення — 2 тижні</x:v>
      </x:c>
      <x:c r="I1354" s="16" t="n">
        <x:v>1</x:v>
      </x:c>
      <x:c r="J1354" s="16" t="n">
        <x:v>5</x:v>
      </x:c>
      <x:c r="K1354" s="16" t="n">
        <x:v>5</x:v>
      </x:c>
      <x:c r="L1354" s="16" t="n">
        <x:v>1</x:v>
      </x:c>
      <x:c r="M1354" s="16" t="n">
        <x:v>5</x:v>
      </x:c>
      <x:c r="N1354" s="16" t="n">
        <x:v>5</x:v>
      </x:c>
      <x:c r="O1354" s="16" t="n">
        <x:v>3</x:v>
      </x:c>
      <x:c r="P1354" s="16" t="n">
        <x:f>IF(COUNT(I1354:O1354)&lt;7,"",I1354*8+J1354*3+K1354*2+L1354*2+M1354*2+N1354*2+O1354)</x:f>
        <x:v>58</x:v>
      </x:c>
      <x:c r="Q1354" s="16" t="n">
        <x:f>IF(COUNT(J1354:O1354)&lt;6,"",J1354*5+K1354*4+M1354*4+L1354*3+N1354*2+O1354*2)</x:f>
        <x:v>84</x:v>
      </x:c>
      <x:c r="R1354" s="14" t="str">
        <x:v>high</x:v>
      </x:c>
      <x:c r="S1354" s="14" t="str">
        <x:v>official_prozorro_award_2024_2026</x:v>
      </x:c>
      <x:c r="T1354" s="14" t="str">
        <x:v>official_prozorro_api</x:v>
      </x:c>
      <x:c r="U1354" s="14" t="str">
        <x:v>Не контактували</x:v>
      </x:c>
      <x:c r="V1354" s="15" t="str">
        <x:v>Workflow-audit outreach по UA-2024-12-02-007568-a; попросити 1 пакет здачі та вимоги проєкту</x:v>
      </x:c>
      <x:c r="W1354" s="15" t="str">
        <x:v>Власник / директор; керівник ПТО; відповідальний за договори</x:v>
      </x:c>
      <x:c r="X1354" s="15" t="str">
        <x:v>1 нових підтверджених перемог/договорів у Prozorro на 30 934 грн; 0 зі строком виконання не раніше 24.08.2026.</x:v>
      </x:c>
      <x:c r="Y1354" s="15" t="str">
        <x:v>Поточний ремонт зовнішніх тепломереж (заміна теплоізоляції на трубопроводі); строк до 2024-12-31. Попросити один знеособлений пакет здачі за цим workflow.</x:v>
      </x:c>
      <x:c r="Z1354" s="15" t="str">
        <x:v>https://prozorro.gov.ua/tender/UA-2024-12-02-007568-a</x:v>
      </x:c>
      <x:c r="AA1354" s="14" t="str">
        <x:v>38830889</x:v>
      </x:c>
      <x:c r="AB1354" s="14" t="str">
        <x:v>2026-08-24</x:v>
      </x:c>
      <x:c r="AC1354" s="14" t="str"/>
      <x:c r="AD1354" s="20" t="str"/>
      <x:c r="AE1354" s="14" t="str"/>
      <x:c r="AF1354" s="14" t="n">
        <x:v>26</x:v>
      </x:c>
      <x:c r="AG1354" s="14" t="str">
        <x:v>I3</x:v>
      </x:c>
      <x:c r="AH1354" s="14" t="n">
        <x:v>1</x:v>
      </x:c>
      <x:c r="AI1354" s="14" t="n">
        <x:v>0</x:v>
      </x:c>
      <x:c r="AJ1354" s="18" t="n">
        <x:v>30934</x:v>
      </x:c>
      <x:c r="AK1354" s="14" t="str">
        <x:v>https://prozorro.gov.ua/tender/UA-2024-12-02-007568-a</x:v>
      </x:c>
      <x:c r="AL1354" s="19" t="n">
        <x:v>45628.45589813658</x:v>
      </x:c>
      <x:c r="AM1354" s="19" t="n">
        <x:v>45657</x:v>
      </x:c>
      <x:c r="AN1354" s="15" t="str">
        <x:v>Промислова теплоізоляція</x:v>
      </x:c>
      <x:c r="AO1354" s="15" t="str">
        <x:v>not_found_in_top_search</x:v>
      </x:c>
    </x:row>
    <x:row r="1355">
      <x:c r="A1355" s="14" t="str">
        <x:v>W4-536</x:v>
      </x:c>
      <x:c r="B1355" s="14" t="str">
        <x:v>Prozorro expansion — 24.08</x:v>
      </x:c>
      <x:c r="C1355" s="14" t="str">
        <x:v>ТОВАРИСТВО З ОБМЕЖЕНОЮ ВІДПОВІДАЛЬНІСТЮ "АЙРЕНА"</x:v>
      </x:c>
      <x:c r="D1355" s="14" t="str">
        <x:v>Покрівлі та гідроізоляція</x:v>
      </x:c>
      <x:c r="E1355" s="14" t="str">
        <x:v>Expansion discovery</x:v>
      </x:c>
      <x:c r="F1355" s="17" t="str">
        <x:v>D3</x:v>
      </x:c>
      <x:c r="G1355" s="14" t="str"/>
      <x:c r="H1355" s="14" t="str">
        <x:v>Discovery розширення — 2 тижні</x:v>
      </x:c>
      <x:c r="I1355" s="16" t="n">
        <x:v>1</x:v>
      </x:c>
      <x:c r="J1355" s="16" t="n">
        <x:v>5</x:v>
      </x:c>
      <x:c r="K1355" s="16" t="n">
        <x:v>5</x:v>
      </x:c>
      <x:c r="L1355" s="16" t="n">
        <x:v>1</x:v>
      </x:c>
      <x:c r="M1355" s="16" t="n">
        <x:v>5</x:v>
      </x:c>
      <x:c r="N1355" s="16" t="n">
        <x:v>5</x:v>
      </x:c>
      <x:c r="O1355" s="16" t="n">
        <x:v>3</x:v>
      </x:c>
      <x:c r="P1355" s="16" t="n">
        <x:f>IF(COUNT(I1355:O1355)&lt;7,"",I1355*8+J1355*3+K1355*2+L1355*2+M1355*2+N1355*2+O1355)</x:f>
        <x:v>58</x:v>
      </x:c>
      <x:c r="Q1355" s="16" t="n">
        <x:f>IF(COUNT(J1355:O1355)&lt;6,"",J1355*5+K1355*4+M1355*4+L1355*3+N1355*2+O1355*2)</x:f>
        <x:v>84</x:v>
      </x:c>
      <x:c r="R1355" s="14" t="str">
        <x:v>high</x:v>
      </x:c>
      <x:c r="S1355" s="14" t="str">
        <x:v>official_prozorro_award_2024_2026</x:v>
      </x:c>
      <x:c r="T1355" s="14" t="str">
        <x:v>official_prozorro_api</x:v>
      </x:c>
      <x:c r="U1355" s="14" t="str">
        <x:v>Не контактували</x:v>
      </x:c>
      <x:c r="V1355" s="15" t="str">
        <x:v>Workflow-audit outreach по UA-2024-12-12-006240-a; попросити 1 пакет здачі та вимоги проєкту</x:v>
      </x:c>
      <x:c r="W1355" s="15" t="str">
        <x:v>Власник / директор; керівник ПТО; відповідальний за договори</x:v>
      </x:c>
      <x:c r="X1355" s="15" t="str">
        <x:v>1 нових підтверджених перемог/договорів у Prozorro на 27 680 грн; 0 зі строком виконання не раніше 24.08.2026.</x:v>
      </x:c>
      <x:c r="Y1355"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55" s="15" t="str">
        <x:v>https://prozorro.gov.ua/tender/UA-2024-12-12-006240-a</x:v>
      </x:c>
      <x:c r="AA1355" s="14" t="str">
        <x:v>45289763</x:v>
      </x:c>
      <x:c r="AB1355" s="14" t="str">
        <x:v>2026-08-24</x:v>
      </x:c>
      <x:c r="AC1355" s="14" t="str"/>
      <x:c r="AD1355" s="20" t="str"/>
      <x:c r="AE1355" s="14" t="str"/>
      <x:c r="AF1355" s="14" t="n">
        <x:v>26</x:v>
      </x:c>
      <x:c r="AG1355" s="14" t="str">
        <x:v>I3</x:v>
      </x:c>
      <x:c r="AH1355" s="14" t="n">
        <x:v>1</x:v>
      </x:c>
      <x:c r="AI1355" s="14" t="n">
        <x:v>0</x:v>
      </x:c>
      <x:c r="AJ1355" s="18" t="n">
        <x:v>27680</x:v>
      </x:c>
      <x:c r="AK1355" s="14" t="str">
        <x:v>https://prozorro.gov.ua/tender/UA-2024-12-12-006240-a</x:v>
      </x:c>
      <x:c r="AL1355" s="19" t="n">
        <x:v>45638.39091829861</x:v>
      </x:c>
      <x:c r="AM1355" s="19" t="n">
        <x:v>45657</x:v>
      </x:c>
      <x:c r="AN1355" s="15" t="str">
        <x:v>Покрівлі та гідроізоляція</x:v>
      </x:c>
      <x:c r="AO1355" s="15" t="str">
        <x:v>not_found_in_top_search</x:v>
      </x:c>
    </x:row>
    <x:row r="1356">
      <x:c r="A1356" s="14" t="str">
        <x:v>W4-537</x:v>
      </x:c>
      <x:c r="B1356" s="14" t="str">
        <x:v>Prozorro expansion — 24.08</x:v>
      </x:c>
      <x:c r="C1356" s="14" t="str">
        <x:v>ВАНСОВИЧ ТЕТЯНА ВОЛОДИМИРІВНА</x:v>
      </x:c>
      <x:c r="D1356" s="14" t="str">
        <x:v>Промислова теплоізоляція</x:v>
      </x:c>
      <x:c r="E1356" s="14" t="str">
        <x:v>Expansion discovery</x:v>
      </x:c>
      <x:c r="F1356" s="17" t="str">
        <x:v>D3</x:v>
      </x:c>
      <x:c r="G1356" s="14" t="str"/>
      <x:c r="H1356" s="14" t="str">
        <x:v>Discovery розширення — 2 тижні</x:v>
      </x:c>
      <x:c r="I1356" s="16" t="n">
        <x:v>1</x:v>
      </x:c>
      <x:c r="J1356" s="16" t="n">
        <x:v>5</x:v>
      </x:c>
      <x:c r="K1356" s="16" t="n">
        <x:v>5</x:v>
      </x:c>
      <x:c r="L1356" s="16" t="n">
        <x:v>1</x:v>
      </x:c>
      <x:c r="M1356" s="16" t="n">
        <x:v>5</x:v>
      </x:c>
      <x:c r="N1356" s="16" t="n">
        <x:v>3</x:v>
      </x:c>
      <x:c r="O1356" s="16" t="n">
        <x:v>3</x:v>
      </x:c>
      <x:c r="P1356" s="16" t="n">
        <x:f>IF(COUNT(I1356:O1356)&lt;7,"",I1356*8+J1356*3+K1356*2+L1356*2+M1356*2+N1356*2+O1356)</x:f>
        <x:v>54</x:v>
      </x:c>
      <x:c r="Q1356" s="16" t="n">
        <x:f>IF(COUNT(J1356:O1356)&lt;6,"",J1356*5+K1356*4+M1356*4+L1356*3+N1356*2+O1356*2)</x:f>
        <x:v>80</x:v>
      </x:c>
      <x:c r="R1356" s="14" t="str">
        <x:v>high</x:v>
      </x:c>
      <x:c r="S1356" s="14" t="str">
        <x:v>official_prozorro_award_2024_2026</x:v>
      </x:c>
      <x:c r="T1356" s="14" t="str">
        <x:v>official_prozorro_api</x:v>
      </x:c>
      <x:c r="U1356" s="14" t="str">
        <x:v>Не контактували</x:v>
      </x:c>
      <x:c r="V1356" s="15" t="str">
        <x:v>Workflow-audit outreach по UA-2025-01-14-013308-a; попросити 1 пакет здачі та вимоги проєкту</x:v>
      </x:c>
      <x:c r="W1356" s="15" t="str">
        <x:v>Власник / виконавець; відповідальний за договір</x:v>
      </x:c>
      <x:c r="X1356" s="15" t="str">
        <x:v>1 нових підтверджених перемог/договорів у Prozorro на 21 861 грн; 0 зі строком виконання не раніше 24.08.2026.</x:v>
      </x:c>
      <x:c r="Y1356" s="15" t="str">
        <x:v>послуги з поточного ремонту зовнішніх мереж теплопостачання із теплоізоляцією трубопроводу у військовому містечку; строк до 2025-01-09. Попросити один знеособлений пакет здачі за цим workflow.</x:v>
      </x:c>
      <x:c r="Z1356" s="15" t="str">
        <x:v>https://prozorro.gov.ua/tender/UA-2025-01-14-013308-a</x:v>
      </x:c>
      <x:c r="AA1356" s="14" t="str">
        <x:v>2802419342</x:v>
      </x:c>
      <x:c r="AB1356" s="14" t="str">
        <x:v>2026-08-24</x:v>
      </x:c>
      <x:c r="AC1356" s="14" t="str"/>
      <x:c r="AD1356" s="20" t="str"/>
      <x:c r="AE1356" s="14" t="str"/>
      <x:c r="AF1356" s="14" t="n">
        <x:v>26</x:v>
      </x:c>
      <x:c r="AG1356" s="14" t="str">
        <x:v>I3</x:v>
      </x:c>
      <x:c r="AH1356" s="14" t="n">
        <x:v>1</x:v>
      </x:c>
      <x:c r="AI1356" s="14" t="n">
        <x:v>0</x:v>
      </x:c>
      <x:c r="AJ1356" s="18" t="n">
        <x:v>21861.2</x:v>
      </x:c>
      <x:c r="AK1356" s="14" t="str">
        <x:v>https://prozorro.gov.ua/tender/UA-2025-01-14-013308-a</x:v>
      </x:c>
      <x:c r="AL1356" s="19" t="n">
        <x:v>45671.59441967592</x:v>
      </x:c>
      <x:c r="AM1356" s="19" t="n">
        <x:v>45666</x:v>
      </x:c>
      <x:c r="AN1356" s="15" t="str">
        <x:v>Промислова теплоізоляція</x:v>
      </x:c>
      <x:c r="AO1356" s="15" t="str">
        <x:v>not_found_in_top_search</x:v>
      </x:c>
    </x:row>
    <x:row r="1357">
      <x:c r="A1357" s="14" t="str">
        <x:v>W4-538</x:v>
      </x:c>
      <x:c r="B1357" s="14" t="str">
        <x:v>Prozorro expansion — 24.08</x:v>
      </x:c>
      <x:c r="C1357" s="14" t="str">
        <x:v>ТОВАРИСТВО З ОБМЕЖЕНОЮ ВІДПОВІДАЛЬНІСТЮ "АЛЬПБІЛД"</x:v>
      </x:c>
      <x:c r="D1357" s="14" t="str">
        <x:v>Металоконструкції</x:v>
      </x:c>
      <x:c r="E1357" s="14" t="str">
        <x:v>Expansion discovery</x:v>
      </x:c>
      <x:c r="F1357" s="17" t="str">
        <x:v>D3</x:v>
      </x:c>
      <x:c r="G1357" s="14" t="str"/>
      <x:c r="H1357" s="14" t="str">
        <x:v>Discovery розширення — 2 тижні</x:v>
      </x:c>
      <x:c r="I1357" s="16" t="n">
        <x:v>1</x:v>
      </x:c>
      <x:c r="J1357" s="16" t="n">
        <x:v>5</x:v>
      </x:c>
      <x:c r="K1357" s="16" t="n">
        <x:v>5</x:v>
      </x:c>
      <x:c r="L1357" s="16" t="n">
        <x:v>1</x:v>
      </x:c>
      <x:c r="M1357" s="16" t="n">
        <x:v>5</x:v>
      </x:c>
      <x:c r="N1357" s="16" t="n">
        <x:v>5</x:v>
      </x:c>
      <x:c r="O1357" s="16" t="n">
        <x:v>3</x:v>
      </x:c>
      <x:c r="P1357" s="16" t="n">
        <x:f>IF(COUNT(I1357:O1357)&lt;7,"",I1357*8+J1357*3+K1357*2+L1357*2+M1357*2+N1357*2+O1357)</x:f>
        <x:v>58</x:v>
      </x:c>
      <x:c r="Q1357" s="16" t="n">
        <x:f>IF(COUNT(J1357:O1357)&lt;6,"",J1357*5+K1357*4+M1357*4+L1357*3+N1357*2+O1357*2)</x:f>
        <x:v>84</x:v>
      </x:c>
      <x:c r="R1357" s="14" t="str">
        <x:v>high</x:v>
      </x:c>
      <x:c r="S1357" s="14" t="str">
        <x:v>official_prozorro_award_2024_2026</x:v>
      </x:c>
      <x:c r="T1357" s="14" t="str">
        <x:v>official_prozorro_api</x:v>
      </x:c>
      <x:c r="U1357" s="14" t="str">
        <x:v>Не контактували</x:v>
      </x:c>
      <x:c r="V1357" s="15" t="str">
        <x:v>Workflow-audit outreach по UA-2025-03-13-007747-a; попросити 1 пакет здачі та вимоги проєкту</x:v>
      </x:c>
      <x:c r="W1357" s="15" t="str">
        <x:v>Власник / директор; керівник ПТО; відповідальний за договори</x:v>
      </x:c>
      <x:c r="X1357" s="15" t="str">
        <x:v>1 нових підтверджених перемог/договорів у Prozorro на 21 000 грн; 0 зі строком виконання не раніше 24.08.2026.</x:v>
      </x:c>
      <x:c r="Y1357" s="15" t="str">
        <x:v>Монтаж рекламної металоконструкції інформаційного носія розміром 2600*7000мм (за кодом ДК 021:2015: 45220000-5 Інженерні та будівельні роботи).; строк до 2025-03-12. Попросити один знеособлений пакет здачі за цим workflow.</x:v>
      </x:c>
      <x:c r="Z1357" s="15" t="str">
        <x:v>https://prozorro.gov.ua/tender/UA-2025-03-13-007747-a</x:v>
      </x:c>
      <x:c r="AA1357" s="14" t="str">
        <x:v>43694475</x:v>
      </x:c>
      <x:c r="AB1357" s="14" t="str">
        <x:v>2026-08-24</x:v>
      </x:c>
      <x:c r="AC1357" s="14" t="str"/>
      <x:c r="AD1357" s="20" t="str"/>
      <x:c r="AE1357" s="14" t="str"/>
      <x:c r="AF1357" s="14" t="n">
        <x:v>26</x:v>
      </x:c>
      <x:c r="AG1357" s="14" t="str">
        <x:v>I3</x:v>
      </x:c>
      <x:c r="AH1357" s="14" t="n">
        <x:v>1</x:v>
      </x:c>
      <x:c r="AI1357" s="14" t="n">
        <x:v>0</x:v>
      </x:c>
      <x:c r="AJ1357" s="18" t="n">
        <x:v>21000</x:v>
      </x:c>
      <x:c r="AK1357" s="14" t="str">
        <x:v>https://prozorro.gov.ua/tender/UA-2025-03-13-007747-a</x:v>
      </x:c>
      <x:c r="AL1357" s="19" t="n">
        <x:v>45729.485074131946</x:v>
      </x:c>
      <x:c r="AM1357" s="19" t="n">
        <x:v>45728</x:v>
      </x:c>
      <x:c r="AN1357" s="15" t="str">
        <x:v>Металоконструкції</x:v>
      </x:c>
      <x:c r="AO1357" s="15" t="str">
        <x:v>not_found_in_top_search</x:v>
      </x:c>
    </x:row>
    <x:row r="1358">
      <x:c r="A1358" s="14" t="str">
        <x:v>W4-539</x:v>
      </x:c>
      <x:c r="B1358" s="14" t="str">
        <x:v>Prozorro expansion — 24.08</x:v>
      </x:c>
      <x:c r="C1358" s="14" t="str">
        <x:v>Щасливий Віктор Вікторович</x:v>
      </x:c>
      <x:c r="D1358" s="14" t="str">
        <x:v>Металоконструкції</x:v>
      </x:c>
      <x:c r="E1358" s="14" t="str">
        <x:v>Expansion discovery</x:v>
      </x:c>
      <x:c r="F1358" s="17" t="str">
        <x:v>D3</x:v>
      </x:c>
      <x:c r="G1358" s="14" t="str"/>
      <x:c r="H1358" s="14" t="str">
        <x:v>Discovery розширення — 2 тижні</x:v>
      </x:c>
      <x:c r="I1358" s="16" t="n">
        <x:v>1</x:v>
      </x:c>
      <x:c r="J1358" s="16" t="n">
        <x:v>5</x:v>
      </x:c>
      <x:c r="K1358" s="16" t="n">
        <x:v>5</x:v>
      </x:c>
      <x:c r="L1358" s="16" t="n">
        <x:v>1</x:v>
      </x:c>
      <x:c r="M1358" s="16" t="n">
        <x:v>5</x:v>
      </x:c>
      <x:c r="N1358" s="16" t="n">
        <x:v>3</x:v>
      </x:c>
      <x:c r="O1358" s="16" t="n">
        <x:v>3</x:v>
      </x:c>
      <x:c r="P1358" s="16" t="n">
        <x:f>IF(COUNT(I1358:O1358)&lt;7,"",I1358*8+J1358*3+K1358*2+L1358*2+M1358*2+N1358*2+O1358)</x:f>
        <x:v>54</x:v>
      </x:c>
      <x:c r="Q1358" s="16" t="n">
        <x:f>IF(COUNT(J1358:O1358)&lt;6,"",J1358*5+K1358*4+M1358*4+L1358*3+N1358*2+O1358*2)</x:f>
        <x:v>80</x:v>
      </x:c>
      <x:c r="R1358" s="14" t="str">
        <x:v>high</x:v>
      </x:c>
      <x:c r="S1358" s="14" t="str">
        <x:v>official_prozorro_award_2024_2026</x:v>
      </x:c>
      <x:c r="T1358" s="14" t="str">
        <x:v>official_prozorro_api</x:v>
      </x:c>
      <x:c r="U1358" s="14" t="str">
        <x:v>Не контактували</x:v>
      </x:c>
      <x:c r="V1358" s="15" t="str">
        <x:v>Workflow-audit outreach по UA-2024-10-18-001977-a; попросити 1 пакет здачі та вимоги проєкту</x:v>
      </x:c>
      <x:c r="W1358" s="15" t="str">
        <x:v>Власник / виконавець; відповідальний за договір</x:v>
      </x:c>
      <x:c r="X1358" s="15" t="str">
        <x:v>1 нових підтверджених перемог/договорів у Prozorro на 20 000 грн; 0 зі строком виконання не раніше 24.08.2026.</x:v>
      </x:c>
      <x:c r="Y1358" s="15" t="str">
        <x:v>Виготовити та провести монтаж металоконструкції (двері металеві,решітка металева ); строк до 2024-12-31. Попросити один знеособлений пакет здачі за цим workflow.</x:v>
      </x:c>
      <x:c r="Z1358" s="15" t="str">
        <x:v>https://prozorro.gov.ua/tender/UA-2024-10-18-001977-a</x:v>
      </x:c>
      <x:c r="AA1358" s="14" t="str">
        <x:v>3018303517</x:v>
      </x:c>
      <x:c r="AB1358" s="14" t="str">
        <x:v>2026-08-24</x:v>
      </x:c>
      <x:c r="AC1358" s="14" t="str"/>
      <x:c r="AD1358" s="20" t="str"/>
      <x:c r="AE1358" s="14" t="str"/>
      <x:c r="AF1358" s="14" t="n">
        <x:v>26</x:v>
      </x:c>
      <x:c r="AG1358" s="14" t="str">
        <x:v>I3</x:v>
      </x:c>
      <x:c r="AH1358" s="14" t="n">
        <x:v>1</x:v>
      </x:c>
      <x:c r="AI1358" s="14" t="n">
        <x:v>0</x:v>
      </x:c>
      <x:c r="AJ1358" s="18" t="n">
        <x:v>20000</x:v>
      </x:c>
      <x:c r="AK1358" s="14" t="str">
        <x:v>https://prozorro.gov.ua/tender/UA-2024-10-18-001977-a</x:v>
      </x:c>
      <x:c r="AL1358" s="19" t="n">
        <x:v>45583.29385591435</x:v>
      </x:c>
      <x:c r="AM1358" s="19" t="n">
        <x:v>45657</x:v>
      </x:c>
      <x:c r="AN1358" s="15" t="str">
        <x:v>Металоконструкції</x:v>
      </x:c>
      <x:c r="AO1358" s="15" t="str">
        <x:v>not_found_in_top_search</x:v>
      </x:c>
    </x:row>
    <x:row r="1359">
      <x:c r="A1359" s="14" t="str">
        <x:v>W4-540</x:v>
      </x:c>
      <x:c r="B1359" s="14" t="str">
        <x:v>Prozorro expansion — 24.08</x:v>
      </x:c>
      <x:c r="C1359" s="14" t="str">
        <x:v>РОМАНЮК РОМАН ПЕТРОВИЧ</x:v>
      </x:c>
      <x:c r="D1359" s="14" t="str">
        <x:v>Покрівлі та гідроізоляція</x:v>
      </x:c>
      <x:c r="E1359" s="14" t="str">
        <x:v>Expansion discovery</x:v>
      </x:c>
      <x:c r="F1359" s="17" t="str">
        <x:v>D3</x:v>
      </x:c>
      <x:c r="G1359" s="14" t="str"/>
      <x:c r="H1359" s="14" t="str">
        <x:v>Discovery розширення — 2 тижні</x:v>
      </x:c>
      <x:c r="I1359" s="16" t="n">
        <x:v>1</x:v>
      </x:c>
      <x:c r="J1359" s="16" t="n">
        <x:v>5</x:v>
      </x:c>
      <x:c r="K1359" s="16" t="n">
        <x:v>5</x:v>
      </x:c>
      <x:c r="L1359" s="16" t="n">
        <x:v>1</x:v>
      </x:c>
      <x:c r="M1359" s="16" t="n">
        <x:v>5</x:v>
      </x:c>
      <x:c r="N1359" s="16" t="n">
        <x:v>3</x:v>
      </x:c>
      <x:c r="O1359" s="16" t="n">
        <x:v>3</x:v>
      </x:c>
      <x:c r="P1359" s="16" t="n">
        <x:f>IF(COUNT(I1359:O1359)&lt;7,"",I1359*8+J1359*3+K1359*2+L1359*2+M1359*2+N1359*2+O1359)</x:f>
        <x:v>54</x:v>
      </x:c>
      <x:c r="Q1359" s="16" t="n">
        <x:f>IF(COUNT(J1359:O1359)&lt;6,"",J1359*5+K1359*4+M1359*4+L1359*3+N1359*2+O1359*2)</x:f>
        <x:v>80</x:v>
      </x:c>
      <x:c r="R1359" s="14" t="str">
        <x:v>high</x:v>
      </x:c>
      <x:c r="S1359" s="14" t="str">
        <x:v>official_prozorro_award_2024_2026</x:v>
      </x:c>
      <x:c r="T1359" s="14" t="str">
        <x:v>official_prozorro_api</x:v>
      </x:c>
      <x:c r="U1359" s="14" t="str">
        <x:v>Не контактували</x:v>
      </x:c>
      <x:c r="V1359" s="15" t="str">
        <x:v>Workflow-audit outreach по UA-2024-12-02-007893-a; попросити 1 пакет здачі та вимоги проєкту</x:v>
      </x:c>
      <x:c r="W1359" s="15" t="str">
        <x:v>Власник / виконавець; відповідальний за договір</x:v>
      </x:c>
      <x:c r="X1359" s="15" t="str">
        <x:v>1 нових підтверджених перемог/договорів у Prozorro на 18 170 грн; 0 зі строком виконання не раніше 24.08.2026.</x:v>
      </x:c>
      <x:c r="Y1359" s="15" t="str">
        <x:v>будівельні матеріали для проведення ремонтних робіт господарським способом-мастика гідроізоляційна, уайт-спірит; строк до 2024-12-31. Попросити один знеособлений пакет здачі за цим workflow.</x:v>
      </x:c>
      <x:c r="Z1359" s="15" t="str">
        <x:v>https://prozorro.gov.ua/tender/UA-2024-12-02-007893-a</x:v>
      </x:c>
      <x:c r="AA1359" s="14" t="str">
        <x:v>3133817830</x:v>
      </x:c>
      <x:c r="AB1359" s="14" t="str">
        <x:v>2026-08-24</x:v>
      </x:c>
      <x:c r="AC1359" s="14" t="str"/>
      <x:c r="AD1359" s="20" t="str"/>
      <x:c r="AE1359" s="14" t="str"/>
      <x:c r="AF1359" s="14" t="n">
        <x:v>26</x:v>
      </x:c>
      <x:c r="AG1359" s="14" t="str">
        <x:v>I3</x:v>
      </x:c>
      <x:c r="AH1359" s="14" t="n">
        <x:v>1</x:v>
      </x:c>
      <x:c r="AI1359" s="14" t="n">
        <x:v>0</x:v>
      </x:c>
      <x:c r="AJ1359" s="18" t="n">
        <x:v>18170</x:v>
      </x:c>
      <x:c r="AK1359" s="14" t="str">
        <x:v>https://prozorro.gov.ua/tender/UA-2024-12-02-007893-a</x:v>
      </x:c>
      <x:c r="AL1359" s="19" t="n">
        <x:v>45628.61251863426</x:v>
      </x:c>
      <x:c r="AM1359" s="19" t="n">
        <x:v>45657</x:v>
      </x:c>
      <x:c r="AN1359" s="15" t="str">
        <x:v>Покрівлі та гідроізоляція</x:v>
      </x:c>
      <x:c r="AO1359" s="15" t="str">
        <x:v>not_found_in_top_search</x:v>
      </x:c>
    </x:row>
    <x:row r="1360">
      <x:c r="A1360" s="14" t="str">
        <x:v>W4-541</x:v>
      </x:c>
      <x:c r="B1360" s="14" t="str">
        <x:v>Prozorro expansion — 24.08</x:v>
      </x:c>
      <x:c r="C1360" s="14" t="str">
        <x:v>ТОВ «ЕКСПОРТ ІНВЕСТ ГРУП»</x:v>
      </x:c>
      <x:c r="D1360" s="14" t="str">
        <x:v>Покрівлі та гідроізоляція</x:v>
      </x:c>
      <x:c r="E1360" s="14" t="str">
        <x:v>Expansion discovery</x:v>
      </x:c>
      <x:c r="F1360" s="17" t="str">
        <x:v>D3</x:v>
      </x:c>
      <x:c r="G1360" s="14" t="str"/>
      <x:c r="H1360" s="14" t="str">
        <x:v>Discovery розширення — 2 тижні</x:v>
      </x:c>
      <x:c r="I1360" s="16" t="n">
        <x:v>1</x:v>
      </x:c>
      <x:c r="J1360" s="16" t="n">
        <x:v>5</x:v>
      </x:c>
      <x:c r="K1360" s="16" t="n">
        <x:v>5</x:v>
      </x:c>
      <x:c r="L1360" s="16" t="n">
        <x:v>1</x:v>
      </x:c>
      <x:c r="M1360" s="16" t="n">
        <x:v>5</x:v>
      </x:c>
      <x:c r="N1360" s="16" t="n">
        <x:v>5</x:v>
      </x:c>
      <x:c r="O1360" s="16" t="n">
        <x:v>3</x:v>
      </x:c>
      <x:c r="P1360" s="16" t="n">
        <x:f>IF(COUNT(I1360:O1360)&lt;7,"",I1360*8+J1360*3+K1360*2+L1360*2+M1360*2+N1360*2+O1360)</x:f>
        <x:v>58</x:v>
      </x:c>
      <x:c r="Q1360" s="16" t="n">
        <x:f>IF(COUNT(J1360:O1360)&lt;6,"",J1360*5+K1360*4+M1360*4+L1360*3+N1360*2+O1360*2)</x:f>
        <x:v>84</x:v>
      </x:c>
      <x:c r="R1360" s="14" t="str">
        <x:v>high</x:v>
      </x:c>
      <x:c r="S1360" s="14" t="str">
        <x:v>official_prozorro_award_2024_2026</x:v>
      </x:c>
      <x:c r="T1360" s="14" t="str">
        <x:v>official_prozorro_api</x:v>
      </x:c>
      <x:c r="U1360" s="14" t="str">
        <x:v>Не контактували</x:v>
      </x:c>
      <x:c r="V1360" s="15" t="str">
        <x:v>Workflow-audit outreach по UA-2024-08-01-007036-a; попросити 1 пакет здачі та вимоги проєкту</x:v>
      </x:c>
      <x:c r="W1360" s="15" t="str">
        <x:v>Власник / директор; керівник ПТО; відповідальний за договори</x:v>
      </x:c>
      <x:c r="X1360" s="15" t="str">
        <x:v>1 нових підтверджених перемог/договорів у Prozorro на 10 000 грн; 0 зі строком виконання не раніше 24.08.2026.</x:v>
      </x:c>
      <x:c r="Y1360"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60" s="15" t="str">
        <x:v>https://prozorro.gov.ua/tender/UA-2024-08-01-007036-a</x:v>
      </x:c>
      <x:c r="AA1360" s="14" t="str">
        <x:v>45294024</x:v>
      </x:c>
      <x:c r="AB1360" s="14" t="str">
        <x:v>2026-08-24</x:v>
      </x:c>
      <x:c r="AC1360" s="14" t="str"/>
      <x:c r="AD1360" s="20" t="str"/>
      <x:c r="AE1360" s="14" t="str"/>
      <x:c r="AF1360" s="14" t="n">
        <x:v>26</x:v>
      </x:c>
      <x:c r="AG1360" s="14" t="str">
        <x:v>I3</x:v>
      </x:c>
      <x:c r="AH1360" s="14" t="n">
        <x:v>1</x:v>
      </x:c>
      <x:c r="AI1360" s="14" t="n">
        <x:v>0</x:v>
      </x:c>
      <x:c r="AJ1360" s="18" t="n">
        <x:v>10000</x:v>
      </x:c>
      <x:c r="AK1360" s="14" t="str">
        <x:v>https://prozorro.gov.ua/tender/UA-2024-08-01-007036-a</x:v>
      </x:c>
      <x:c r="AL1360" s="19" t="n">
        <x:v>45505.52111070602</x:v>
      </x:c>
      <x:c r="AM1360" s="19" t="n">
        <x:v>45657</x:v>
      </x:c>
      <x:c r="AN1360" s="15" t="str">
        <x:v>Покрівлі та гідроізоляція</x:v>
      </x:c>
      <x:c r="AO1360" s="15" t="str">
        <x:v>not_found_in_top_search</x:v>
      </x:c>
    </x:row>
    <x:row r="1361">
      <x:c r="A1361" s="14" t="str">
        <x:v>W4-542</x:v>
      </x:c>
      <x:c r="B1361" s="14" t="str">
        <x:v>Prozorro expansion — 24.08</x:v>
      </x:c>
      <x:c r="C1361" s="14" t="str">
        <x:v>ТОВАРИСТВО З ОБМЕЖЕНОЮ ВІДПОВІДАЛЬНІСТЮ "ВОЛИНЬСАНТЕХКОМПЛЕКТ"</x:v>
      </x:c>
      <x:c r="D1361" s="14" t="str">
        <x:v>Промислова теплоізоляція</x:v>
      </x:c>
      <x:c r="E1361" s="14" t="str">
        <x:v>Expansion discovery</x:v>
      </x:c>
      <x:c r="F1361" s="17" t="str">
        <x:v>D3</x:v>
      </x:c>
      <x:c r="G1361" s="14" t="str"/>
      <x:c r="H1361" s="14" t="str">
        <x:v>Discovery розширення — 2 тижні</x:v>
      </x:c>
      <x:c r="I1361" s="16" t="n">
        <x:v>1</x:v>
      </x:c>
      <x:c r="J1361" s="16" t="n">
        <x:v>5</x:v>
      </x:c>
      <x:c r="K1361" s="16" t="n">
        <x:v>5</x:v>
      </x:c>
      <x:c r="L1361" s="16" t="n">
        <x:v>1</x:v>
      </x:c>
      <x:c r="M1361" s="16" t="n">
        <x:v>5</x:v>
      </x:c>
      <x:c r="N1361" s="16" t="n">
        <x:v>5</x:v>
      </x:c>
      <x:c r="O1361" s="16" t="n">
        <x:v>3</x:v>
      </x:c>
      <x:c r="P1361" s="16" t="n">
        <x:f>IF(COUNT(I1361:O1361)&lt;7,"",I1361*8+J1361*3+K1361*2+L1361*2+M1361*2+N1361*2+O1361)</x:f>
        <x:v>58</x:v>
      </x:c>
      <x:c r="Q1361" s="16" t="n">
        <x:f>IF(COUNT(J1361:O1361)&lt;6,"",J1361*5+K1361*4+M1361*4+L1361*3+N1361*2+O1361*2)</x:f>
        <x:v>84</x:v>
      </x:c>
      <x:c r="R1361" s="14" t="str">
        <x:v>high</x:v>
      </x:c>
      <x:c r="S1361" s="14" t="str">
        <x:v>official_prozorro_award_2024_2026</x:v>
      </x:c>
      <x:c r="T1361" s="14" t="str">
        <x:v>official_prozorro_api</x:v>
      </x:c>
      <x:c r="U1361" s="14" t="str">
        <x:v>Не контактували</x:v>
      </x:c>
      <x:c r="V1361" s="15" t="str">
        <x:v>Workflow-audit outreach по UA-2024-09-30-001803-a; попросити 1 пакет здачі та вимоги проєкту</x:v>
      </x:c>
      <x:c r="W1361" s="15" t="str">
        <x:v>Власник / директор; керівник ПТО; відповідальний за договори</x:v>
      </x:c>
      <x:c r="X1361" s="15" t="str">
        <x:v>1 нових підтверджених перемог/договорів у Prozorro на 2 198 грн; 0 зі строком виконання не раніше 24.08.2026.</x:v>
      </x:c>
      <x:c r="Y1361"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 строк до 2024-09-30. Попросити один знеособлений пакет здачі за цим workflow.</x:v>
      </x:c>
      <x:c r="Z1361" s="15" t="str">
        <x:v>https://prozorro.gov.ua/tender/UA-2024-09-30-001803-a</x:v>
      </x:c>
      <x:c r="AA1361" s="14" t="str">
        <x:v>31788580</x:v>
      </x:c>
      <x:c r="AB1361" s="14" t="str">
        <x:v>2026-08-24</x:v>
      </x:c>
      <x:c r="AC1361" s="14" t="str"/>
      <x:c r="AD1361" s="20" t="str"/>
      <x:c r="AE1361" s="14" t="str"/>
      <x:c r="AF1361" s="14" t="n">
        <x:v>26</x:v>
      </x:c>
      <x:c r="AG1361" s="14" t="str">
        <x:v>I3</x:v>
      </x:c>
      <x:c r="AH1361" s="14" t="n">
        <x:v>1</x:v>
      </x:c>
      <x:c r="AI1361" s="14" t="n">
        <x:v>0</x:v>
      </x:c>
      <x:c r="AJ1361" s="18" t="n">
        <x:v>2198</x:v>
      </x:c>
      <x:c r="AK1361" s="14" t="str">
        <x:v>https://prozorro.gov.ua/tender/UA-2024-09-30-001803-a</x:v>
      </x:c>
      <x:c r="AL1361" s="19" t="n">
        <x:v>45565.38317920139</x:v>
      </x:c>
      <x:c r="AM1361" s="19" t="n">
        <x:v>45565</x:v>
      </x:c>
      <x:c r="AN1361" s="15" t="str">
        <x:v>Промислова теплоізоляція</x:v>
      </x:c>
      <x:c r="AO1361" s="15" t="str">
        <x:v>not_found_in_top_search</x:v>
      </x:c>
    </x:row>
    <x:row r="1362">
      <x:c r="A1362" s="14" t="str">
        <x:v>W4-543</x:v>
      </x:c>
      <x:c r="B1362" s="14" t="str">
        <x:v>Prozorro expansion — 24.08</x:v>
      </x:c>
      <x:c r="C1362" s="14" t="str">
        <x:v>КОЛОМІЄЦЬ ОЛЕКСІЙ ВІКТОРОВИЧ</x:v>
      </x:c>
      <x:c r="D1362" s="14" t="str">
        <x:v>Покрівлі та гідроізоляція</x:v>
      </x:c>
      <x:c r="E1362" s="14" t="str">
        <x:v>Expansion discovery</x:v>
      </x:c>
      <x:c r="F1362" s="17" t="str">
        <x:v>D3</x:v>
      </x:c>
      <x:c r="G1362" s="14" t="str"/>
      <x:c r="H1362" s="14" t="str">
        <x:v>Discovery розширення — 2 тижні</x:v>
      </x:c>
      <x:c r="I1362" s="16" t="n">
        <x:v>1</x:v>
      </x:c>
      <x:c r="J1362" s="16" t="n">
        <x:v>5</x:v>
      </x:c>
      <x:c r="K1362" s="16" t="n">
        <x:v>5</x:v>
      </x:c>
      <x:c r="L1362" s="16" t="n">
        <x:v>1</x:v>
      </x:c>
      <x:c r="M1362" s="16" t="n">
        <x:v>5</x:v>
      </x:c>
      <x:c r="N1362" s="16" t="n">
        <x:v>3</x:v>
      </x:c>
      <x:c r="O1362" s="16" t="n">
        <x:v>3</x:v>
      </x:c>
      <x:c r="P1362" s="16" t="n">
        <x:f>IF(COUNT(I1362:O1362)&lt;7,"",I1362*8+J1362*3+K1362*2+L1362*2+M1362*2+N1362*2+O1362)</x:f>
        <x:v>54</x:v>
      </x:c>
      <x:c r="Q1362" s="16" t="n">
        <x:f>IF(COUNT(J1362:O1362)&lt;6,"",J1362*5+K1362*4+M1362*4+L1362*3+N1362*2+O1362*2)</x:f>
        <x:v>80</x:v>
      </x:c>
      <x:c r="R1362" s="14" t="str">
        <x:v>high</x:v>
      </x:c>
      <x:c r="S1362" s="14" t="str">
        <x:v>official_prozorro_award_2024_2026</x:v>
      </x:c>
      <x:c r="T1362" s="14" t="str">
        <x:v>official_prozorro_api</x:v>
      </x:c>
      <x:c r="U1362" s="14" t="str">
        <x:v>Не контактували</x:v>
      </x:c>
      <x:c r="V1362" s="15" t="str">
        <x:v>Workflow-audit outreach по UA-2024-05-10-005357-a; попросити 1 пакет здачі та вимоги проєкту</x:v>
      </x:c>
      <x:c r="W1362" s="15" t="str">
        <x:v>Власник / виконавець; відповідальний за договір</x:v>
      </x:c>
      <x:c r="X1362" s="15" t="str">
        <x:v>1 нових підтверджених перемог/договорів у Prozorro на 1 300 грн; 0 зі строком виконання не раніше 24.08.2026.</x:v>
      </x:c>
      <x:c r="Y1362" s="15" t="str">
        <x:v>Будівельні матеріали для проведення ремонтних робіт господарським способом (Гідроізоляційний бар'єр з армованою сіткою); строк до 2024-12-31. Попросити один знеособлений пакет здачі за цим workflow.</x:v>
      </x:c>
      <x:c r="Z1362" s="15" t="str">
        <x:v>https://prozorro.gov.ua/tender/UA-2024-05-10-005357-a</x:v>
      </x:c>
      <x:c r="AA1362" s="14" t="str">
        <x:v>2362515479</x:v>
      </x:c>
      <x:c r="AB1362" s="14" t="str">
        <x:v>2026-08-24</x:v>
      </x:c>
      <x:c r="AC1362" s="14" t="str"/>
      <x:c r="AD1362" s="20" t="str"/>
      <x:c r="AE1362" s="14" t="str"/>
      <x:c r="AF1362" s="14" t="n">
        <x:v>26</x:v>
      </x:c>
      <x:c r="AG1362" s="14" t="str">
        <x:v>I3</x:v>
      </x:c>
      <x:c r="AH1362" s="14" t="n">
        <x:v>1</x:v>
      </x:c>
      <x:c r="AI1362" s="14" t="n">
        <x:v>0</x:v>
      </x:c>
      <x:c r="AJ1362" s="18" t="n">
        <x:v>1300</x:v>
      </x:c>
      <x:c r="AK1362" s="14" t="str">
        <x:v>https://prozorro.gov.ua/tender/UA-2024-05-10-005357-a</x:v>
      </x:c>
      <x:c r="AL1362" s="19" t="n">
        <x:v>45422.38685481482</x:v>
      </x:c>
      <x:c r="AM1362" s="19" t="n">
        <x:v>45657</x:v>
      </x:c>
      <x:c r="AN1362" s="15" t="str">
        <x:v>Покрівлі та гідроізоляція</x:v>
      </x:c>
      <x:c r="AO1362" s="15" t="str">
        <x:v>not_found_in_top_search</x:v>
      </x:c>
    </x:row>
    <x:row r="1363">
      <x:c r="A1363" s="14" t="str">
        <x:v>W4-544</x:v>
      </x:c>
      <x:c r="B1363" s="14" t="str">
        <x:v>Prozorro expansion — 24.08</x:v>
      </x:c>
      <x:c r="C1363" s="14" t="str">
        <x:v>БІЛЕНКО ВІКТОР ГРИГОРОВИЧ</x:v>
      </x:c>
      <x:c r="D1363" s="14" t="str">
        <x:v>Покрівлі та гідроізоляція</x:v>
      </x:c>
      <x:c r="E1363" s="14" t="str">
        <x:v>Expansion discovery</x:v>
      </x:c>
      <x:c r="F1363" s="17" t="str">
        <x:v>D3</x:v>
      </x:c>
      <x:c r="G1363" s="14" t="str"/>
      <x:c r="H1363" s="14" t="str">
        <x:v>Discovery розширення — 2 тижні</x:v>
      </x:c>
      <x:c r="I1363" s="16" t="n">
        <x:v>1</x:v>
      </x:c>
      <x:c r="J1363" s="16" t="n">
        <x:v>5</x:v>
      </x:c>
      <x:c r="K1363" s="16" t="n">
        <x:v>5</x:v>
      </x:c>
      <x:c r="L1363" s="16" t="n">
        <x:v>1</x:v>
      </x:c>
      <x:c r="M1363" s="16" t="n">
        <x:v>5</x:v>
      </x:c>
      <x:c r="N1363" s="16" t="n">
        <x:v>3</x:v>
      </x:c>
      <x:c r="O1363" s="16" t="n">
        <x:v>3</x:v>
      </x:c>
      <x:c r="P1363" s="16" t="n">
        <x:f>IF(COUNT(I1363:O1363)&lt;7,"",I1363*8+J1363*3+K1363*2+L1363*2+M1363*2+N1363*2+O1363)</x:f>
        <x:v>54</x:v>
      </x:c>
      <x:c r="Q1363" s="16" t="n">
        <x:f>IF(COUNT(J1363:O1363)&lt;6,"",J1363*5+K1363*4+M1363*4+L1363*3+N1363*2+O1363*2)</x:f>
        <x:v>80</x:v>
      </x:c>
      <x:c r="R1363" s="14" t="str">
        <x:v>high</x:v>
      </x:c>
      <x:c r="S1363" s="14" t="str">
        <x:v>official_prozorro_award_2024_2026</x:v>
      </x:c>
      <x:c r="T1363" s="14" t="str">
        <x:v>official_prozorro_api</x:v>
      </x:c>
      <x:c r="U1363" s="14" t="str">
        <x:v>Не контактували</x:v>
      </x:c>
      <x:c r="V1363" s="15" t="str">
        <x:v>Workflow-audit outreach по UA-2024-06-03-003690-a; попросити 1 пакет здачі та вимоги проєкту</x:v>
      </x:c>
      <x:c r="W1363" s="15" t="str">
        <x:v>Власник / виконавець; відповідальний за договір</x:v>
      </x:c>
      <x:c r="X1363" s="15" t="str">
        <x:v>1 нових підтверджених перемог/договорів у Prozorro на 1 250 грн; 0 зі строком виконання не раніше 24.08.2026.</x:v>
      </x:c>
      <x:c r="Y1363" s="15" t="str">
        <x:v>Будівельні матеріали для проведення ремонтних робіт господарським способом (гідроізоляційна плівка 1,5м. 50м.); строк до 2024-06-30. Попросити один знеособлений пакет здачі за цим workflow.</x:v>
      </x:c>
      <x:c r="Z1363" s="15" t="str">
        <x:v>https://prozorro.gov.ua/tender/UA-2024-06-03-003690-a</x:v>
      </x:c>
      <x:c r="AA1363" s="14" t="str">
        <x:v>3151108775</x:v>
      </x:c>
      <x:c r="AB1363" s="14" t="str">
        <x:v>2026-08-24</x:v>
      </x:c>
      <x:c r="AC1363" s="14" t="str"/>
      <x:c r="AD1363" s="20" t="str"/>
      <x:c r="AE1363" s="14" t="str"/>
      <x:c r="AF1363" s="14" t="n">
        <x:v>26</x:v>
      </x:c>
      <x:c r="AG1363" s="14" t="str">
        <x:v>I3</x:v>
      </x:c>
      <x:c r="AH1363" s="14" t="n">
        <x:v>1</x:v>
      </x:c>
      <x:c r="AI1363" s="14" t="n">
        <x:v>0</x:v>
      </x:c>
      <x:c r="AJ1363" s="18" t="n">
        <x:v>1250</x:v>
      </x:c>
      <x:c r="AK1363" s="14" t="str">
        <x:v>https://prozorro.gov.ua/tender/UA-2024-06-03-003690-a</x:v>
      </x:c>
      <x:c r="AL1363" s="19" t="n">
        <x:v>45446.36250541667</x:v>
      </x:c>
      <x:c r="AM1363" s="19" t="n">
        <x:v>45473</x:v>
      </x:c>
      <x:c r="AN1363" s="15" t="str">
        <x:v>Покрівлі та гідроізоляція</x:v>
      </x:c>
      <x:c r="AO1363" s="15" t="str">
        <x:v>not_found_in_top_search</x:v>
      </x:c>
    </x:row>
    <x:row r="1364">
      <x:c r="A1364" s="14" t="str">
        <x:v>W4-545</x:v>
      </x:c>
      <x:c r="B1364" s="14" t="str">
        <x:v>Prozorro expansion — 24.08</x:v>
      </x:c>
      <x:c r="C1364" s="14" t="str">
        <x:v>ПП "АЯКС"</x:v>
      </x:c>
      <x:c r="D1364" s="14" t="str">
        <x:v>Пожежогасіння</x:v>
      </x:c>
      <x:c r="E1364" s="14" t="str">
        <x:v>Expansion discovery</x:v>
      </x:c>
      <x:c r="F1364" s="17" t="str">
        <x:v>D3</x:v>
      </x:c>
      <x:c r="G1364" s="14" t="str"/>
      <x:c r="H1364" s="14" t="str">
        <x:v>Discovery розширення — 2 тижні</x:v>
      </x:c>
      <x:c r="I1364" s="16" t="n">
        <x:v>1</x:v>
      </x:c>
      <x:c r="J1364" s="16" t="n">
        <x:v>5</x:v>
      </x:c>
      <x:c r="K1364" s="16" t="n">
        <x:v>5</x:v>
      </x:c>
      <x:c r="L1364" s="16" t="n">
        <x:v>2</x:v>
      </x:c>
      <x:c r="M1364" s="16" t="n">
        <x:v>5</x:v>
      </x:c>
      <x:c r="N1364" s="16" t="n">
        <x:v>5</x:v>
      </x:c>
      <x:c r="O1364" s="16" t="n">
        <x:v>3</x:v>
      </x:c>
      <x:c r="P1364" s="16" t="n">
        <x:f>IF(COUNT(I1364:O1364)&lt;7,"",I1364*8+J1364*3+K1364*2+L1364*2+M1364*2+N1364*2+O1364)</x:f>
        <x:v>60</x:v>
      </x:c>
      <x:c r="Q1364" s="16" t="n">
        <x:f>IF(COUNT(J1364:O1364)&lt;6,"",J1364*5+K1364*4+M1364*4+L1364*3+N1364*2+O1364*2)</x:f>
        <x:v>87</x:v>
      </x:c>
      <x:c r="R1364" s="14" t="str">
        <x:v>high</x:v>
      </x:c>
      <x:c r="S1364" s="14" t="str">
        <x:v>official_prozorro_award_2024_2026</x:v>
      </x:c>
      <x:c r="T1364" s="14" t="str">
        <x:v>official_prozorro_api</x:v>
      </x:c>
      <x:c r="U1364" s="14" t="str">
        <x:v>Не контактували</x:v>
      </x:c>
      <x:c r="V1364" s="15" t="str">
        <x:v>Workflow-audit outreach по UA-2025-03-24-011014-a; попросити 1 пакет здачі та вимоги проєкту</x:v>
      </x:c>
      <x:c r="W1364" s="15" t="str">
        <x:v>Власник / директор; керівник ПТО; відповідальний за договори</x:v>
      </x:c>
      <x:c r="X1364" s="15" t="str">
        <x:v>1 нових підтверджених перемог/договорів у Prozorro на 119 000 грн; 0 зі строком виконання не раніше 24.08.2026.</x:v>
      </x:c>
      <x:c r="Y1364" s="15" t="str">
        <x:v>Монтаж автоматичної системи газового пожежогасіння пожежної сигналізації в приміщенні бібліотеки; строк до 2025-05-31. Попросити один знеособлений пакет здачі за цим workflow.</x:v>
      </x:c>
      <x:c r="Z1364" s="15" t="str">
        <x:v>https://prozorro.gov.ua/tender/UA-2025-03-24-011014-a</x:v>
      </x:c>
      <x:c r="AA1364" s="14" t="str">
        <x:v>23348450</x:v>
      </x:c>
      <x:c r="AB1364" s="14" t="str">
        <x:v>2026-08-24</x:v>
      </x:c>
      <x:c r="AC1364" s="14" t="str"/>
      <x:c r="AD1364" s="20" t="str"/>
      <x:c r="AE1364" s="14" t="str"/>
      <x:c r="AF1364" s="14" t="n">
        <x:v>25</x:v>
      </x:c>
      <x:c r="AG1364" s="14" t="str">
        <x:v>I3</x:v>
      </x:c>
      <x:c r="AH1364" s="14" t="n">
        <x:v>1</x:v>
      </x:c>
      <x:c r="AI1364" s="14" t="n">
        <x:v>0</x:v>
      </x:c>
      <x:c r="AJ1364" s="18" t="n">
        <x:v>118999.99</x:v>
      </x:c>
      <x:c r="AK1364" s="14" t="str">
        <x:v>https://prozorro.gov.ua/tender/UA-2025-03-24-011014-a</x:v>
      </x:c>
      <x:c r="AL1364" s="19" t="n">
        <x:v>45750.49302418982</x:v>
      </x:c>
      <x:c r="AM1364" s="19" t="n">
        <x:v>45808</x:v>
      </x:c>
      <x:c r="AN1364" s="15" t="str">
        <x:v>Пожежогасіння</x:v>
      </x:c>
      <x:c r="AO1364" s="15" t="str">
        <x:v>not_found_in_top_search</x:v>
      </x:c>
    </x:row>
    <x:row r="1365">
      <x:c r="A1365" s="14" t="str">
        <x:v>W4-546</x:v>
      </x:c>
      <x:c r="B1365" s="14" t="str">
        <x:v>Prozorro expansion — 24.08</x:v>
      </x:c>
      <x:c r="C1365" s="14" t="str">
        <x:v>ФОП МРИКАЛО ВОЛОДИМИР МИКОЛАЙОВИЧ</x:v>
      </x:c>
      <x:c r="D1365" s="14" t="str">
        <x:v>HVAC / ОВіК</x:v>
      </x:c>
      <x:c r="E1365" s="14" t="str">
        <x:v>Pilot now</x:v>
      </x:c>
      <x:c r="F1365" s="17" t="str">
        <x:v>P3</x:v>
      </x:c>
      <x:c r="G1365" s="14" t="str"/>
      <x:c r="H1365" s="14" t="str">
        <x:v>Пілот зараз — Н.14</x:v>
      </x:c>
      <x:c r="I1365" s="16" t="n">
        <x:v>5</x:v>
      </x:c>
      <x:c r="J1365" s="16" t="n">
        <x:v>5</x:v>
      </x:c>
      <x:c r="K1365" s="16" t="n">
        <x:v>4</x:v>
      </x:c>
      <x:c r="L1365" s="16" t="n">
        <x:v>1</x:v>
      </x:c>
      <x:c r="M1365" s="16" t="n">
        <x:v>5</x:v>
      </x:c>
      <x:c r="N1365" s="16" t="n">
        <x:v>3</x:v>
      </x:c>
      <x:c r="O1365" s="16" t="n">
        <x:v>3</x:v>
      </x:c>
      <x:c r="P1365" s="16" t="n">
        <x:f>IF(COUNT(I1365:O1365)&lt;7,"",I1365*8+J1365*3+K1365*2+L1365*2+M1365*2+N1365*2+O1365)</x:f>
        <x:v>84</x:v>
      </x:c>
      <x:c r="Q1365" s="16" t="n">
        <x:f>IF(COUNT(J1365:O1365)&lt;6,"",J1365*5+K1365*4+M1365*4+L1365*3+N1365*2+O1365*2)</x:f>
        <x:v>76</x:v>
      </x:c>
      <x:c r="R1365" s="14" t="str">
        <x:v>high</x:v>
      </x:c>
      <x:c r="S1365" s="14" t="str">
        <x:v>official_prozorro_award_2024_2026</x:v>
      </x:c>
      <x:c r="T1365" s="14" t="str">
        <x:v>official_prozorro_api</x:v>
      </x:c>
      <x:c r="U1365" s="14" t="str">
        <x:v>Не контактували</x:v>
      </x:c>
      <x:c r="V1365" s="15" t="str">
        <x:v>Персоналізований free-pilot outreach по UA-2025-02-18-005649-a; попросити 1 пакет Н.14/Н.15</x:v>
      </x:c>
      <x:c r="W1365" s="15" t="str">
        <x:v>Власник / виконавець; відповідальний за договір</x:v>
      </x:c>
      <x:c r="X1365" s="15" t="str">
        <x:v>1 нових підтверджених перемог/договорів у Prozorro на 77 374 грн; 0 зі строком виконання не раніше 24.08.2026.</x:v>
      </x:c>
      <x:c r="Y1365" s="15" t="str">
        <x:v>виготовлення і монтаж витяжної системи вентиляції; строк до 2025-12-31. Попросити один знеособлений пакет здачі за цим workflow.</x:v>
      </x:c>
      <x:c r="Z1365" s="15" t="str">
        <x:v>https://prozorro.gov.ua/tender/UA-2025-02-18-005649-a</x:v>
      </x:c>
      <x:c r="AA1365" s="14" t="str">
        <x:v>2095002338</x:v>
      </x:c>
      <x:c r="AB1365" s="14" t="str">
        <x:v>2026-08-24</x:v>
      </x:c>
      <x:c r="AC1365" s="14" t="str"/>
      <x:c r="AD1365" s="20" t="str"/>
      <x:c r="AE1365" s="14" t="str"/>
      <x:c r="AF1365" s="14" t="n">
        <x:v>23</x:v>
      </x:c>
      <x:c r="AG1365" s="14" t="str">
        <x:v>I3</x:v>
      </x:c>
      <x:c r="AH1365" s="14" t="n">
        <x:v>1</x:v>
      </x:c>
      <x:c r="AI1365" s="14" t="n">
        <x:v>0</x:v>
      </x:c>
      <x:c r="AJ1365" s="18" t="n">
        <x:v>77374</x:v>
      </x:c>
      <x:c r="AK1365" s="14" t="str">
        <x:v>https://prozorro.gov.ua/tender/UA-2025-02-18-005649-a</x:v>
      </x:c>
      <x:c r="AL1365" s="19" t="n">
        <x:v>45706.42072018518</x:v>
      </x:c>
      <x:c r="AM1365" s="19" t="n">
        <x:v>46022.916666655095</x:v>
      </x:c>
      <x:c r="AN1365" s="15" t="str">
        <x:v>HVAC / ОВіК</x:v>
      </x:c>
      <x:c r="AO1365" s="15" t="str">
        <x:v>not_found_in_top_search</x:v>
      </x:c>
    </x:row>
    <x:row r="1366">
      <x:c r="A1366" s="14" t="str">
        <x:v>W4-547</x:v>
      </x:c>
      <x:c r="B1366" s="14" t="str">
        <x:v>Prozorro expansion — 24.08</x:v>
      </x:c>
      <x:c r="C1366" s="14" t="str">
        <x:v>ФОП Каграманов Олександр Юрійович</x:v>
      </x:c>
      <x:c r="D1366" s="14" t="str">
        <x:v>Благоустрій</x:v>
      </x:c>
      <x:c r="E1366" s="14" t="str">
        <x:v>Expansion discovery</x:v>
      </x:c>
      <x:c r="F1366" s="17" t="str">
        <x:v>D3</x:v>
      </x:c>
      <x:c r="G1366" s="14" t="str"/>
      <x:c r="H1366" s="14" t="str">
        <x:v>Discovery розширення — 2 тижні</x:v>
      </x:c>
      <x:c r="I1366" s="16" t="n">
        <x:v>1</x:v>
      </x:c>
      <x:c r="J1366" s="16" t="n">
        <x:v>5</x:v>
      </x:c>
      <x:c r="K1366" s="16" t="n">
        <x:v>4</x:v>
      </x:c>
      <x:c r="L1366" s="16" t="n">
        <x:v>1</x:v>
      </x:c>
      <x:c r="M1366" s="16" t="n">
        <x:v>5</x:v>
      </x:c>
      <x:c r="N1366" s="16" t="n">
        <x:v>3</x:v>
      </x:c>
      <x:c r="O1366" s="16" t="n">
        <x:v>3</x:v>
      </x:c>
      <x:c r="P1366" s="16" t="n">
        <x:f>IF(COUNT(I1366:O1366)&lt;7,"",I1366*8+J1366*3+K1366*2+L1366*2+M1366*2+N1366*2+O1366)</x:f>
        <x:v>52</x:v>
      </x:c>
      <x:c r="Q1366" s="16" t="n">
        <x:f>IF(COUNT(J1366:O1366)&lt;6,"",J1366*5+K1366*4+M1366*4+L1366*3+N1366*2+O1366*2)</x:f>
        <x:v>76</x:v>
      </x:c>
      <x:c r="R1366" s="14" t="str">
        <x:v>high</x:v>
      </x:c>
      <x:c r="S1366" s="14" t="str">
        <x:v>official_prozorro_award_2024_2026</x:v>
      </x:c>
      <x:c r="T1366" s="14" t="str">
        <x:v>official_prozorro_api</x:v>
      </x:c>
      <x:c r="U1366" s="14" t="str">
        <x:v>Не контактували</x:v>
      </x:c>
      <x:c r="V1366" s="15" t="str">
        <x:v>Workflow-audit outreach по UA-2024-06-27-001285-a; попросити 1 пакет здачі та вимоги проєкту</x:v>
      </x:c>
      <x:c r="W1366" s="15" t="str">
        <x:v>Власник / виконавець; відповідальний за договір</x:v>
      </x:c>
      <x:c r="X1366" s="15" t="str">
        <x:v>1 нових підтверджених перемог/договорів у Prozorro на 42 100 грн; 0 зі строком виконання не раніше 24.08.2026.</x:v>
      </x:c>
      <x:c r="Y1366" s="15" t="str">
        <x:v>Послуги з благоустрою населеного пункту (послуги з комплексного впорядкування вуличних територій загального користування); строк до 2024-12-31. Попросити один знеособлений пакет здачі за цим workflow.</x:v>
      </x:c>
      <x:c r="Z1366" s="15" t="str">
        <x:v>https://prozorro.gov.ua/tender/UA-2024-06-27-001285-a</x:v>
      </x:c>
      <x:c r="AA1366" s="14" t="str">
        <x:v>2889714995</x:v>
      </x:c>
      <x:c r="AB1366" s="14" t="str">
        <x:v>2026-08-24</x:v>
      </x:c>
      <x:c r="AC1366" s="14" t="str"/>
      <x:c r="AD1366" s="20" t="str"/>
      <x:c r="AE1366" s="14" t="str"/>
      <x:c r="AF1366" s="14" t="n">
        <x:v>23</x:v>
      </x:c>
      <x:c r="AG1366" s="14" t="str">
        <x:v>I3</x:v>
      </x:c>
      <x:c r="AH1366" s="14" t="n">
        <x:v>1</x:v>
      </x:c>
      <x:c r="AI1366" s="14" t="n">
        <x:v>0</x:v>
      </x:c>
      <x:c r="AJ1366" s="18" t="n">
        <x:v>42100</x:v>
      </x:c>
      <x:c r="AK1366" s="14" t="str">
        <x:v>https://prozorro.gov.ua/tender/UA-2024-06-27-001285-a</x:v>
      </x:c>
      <x:c r="AL1366" s="19" t="n">
        <x:v>45470.284149513885</x:v>
      </x:c>
      <x:c r="AM1366" s="19" t="n">
        <x:v>45657</x:v>
      </x:c>
      <x:c r="AN1366" s="15" t="str">
        <x:v>Благоустрій</x:v>
      </x:c>
      <x:c r="AO1366" s="15" t="str">
        <x:v>not_found_in_top_search</x:v>
      </x:c>
    </x:row>
    <x:row r="1367">
      <x:c r="A1367" s="14" t="str">
        <x:v>W4-548</x:v>
      </x:c>
      <x:c r="B1367" s="14" t="str">
        <x:v>Prozorro expansion — 24.08</x:v>
      </x:c>
      <x:c r="C1367" s="14" t="str">
        <x:v>Фізична особа-підприємець Раздельський Віктор Володимирович</x:v>
      </x:c>
      <x:c r="D1367" s="14" t="str">
        <x:v>СКС / BMS / слаботочка</x:v>
      </x:c>
      <x:c r="E1367" s="14" t="str">
        <x:v>Expansion discovery</x:v>
      </x:c>
      <x:c r="F1367" s="17" t="str">
        <x:v>D3</x:v>
      </x:c>
      <x:c r="G1367" s="14" t="str"/>
      <x:c r="H1367" s="14" t="str">
        <x:v>Discovery розширення — 2 тижні</x:v>
      </x:c>
      <x:c r="I1367" s="16" t="n">
        <x:v>2</x:v>
      </x:c>
      <x:c r="J1367" s="16" t="n">
        <x:v>5</x:v>
      </x:c>
      <x:c r="K1367" s="16" t="n">
        <x:v>4</x:v>
      </x:c>
      <x:c r="L1367" s="16" t="n">
        <x:v>1</x:v>
      </x:c>
      <x:c r="M1367" s="16" t="n">
        <x:v>5</x:v>
      </x:c>
      <x:c r="N1367" s="16" t="n">
        <x:v>3</x:v>
      </x:c>
      <x:c r="O1367" s="16" t="n">
        <x:v>3</x:v>
      </x:c>
      <x:c r="P1367" s="16" t="n">
        <x:f>IF(COUNT(I1367:O1367)&lt;7,"",I1367*8+J1367*3+K1367*2+L1367*2+M1367*2+N1367*2+O1367)</x:f>
        <x:v>60</x:v>
      </x:c>
      <x:c r="Q1367" s="16" t="n">
        <x:f>IF(COUNT(J1367:O1367)&lt;6,"",J1367*5+K1367*4+M1367*4+L1367*3+N1367*2+O1367*2)</x:f>
        <x:v>76</x:v>
      </x:c>
      <x:c r="R1367" s="14" t="str">
        <x:v>high</x:v>
      </x:c>
      <x:c r="S1367" s="14" t="str">
        <x:v>official_prozorro_award_2024_2026</x:v>
      </x:c>
      <x:c r="T1367" s="14" t="str">
        <x:v>official_prozorro_api</x:v>
      </x:c>
      <x:c r="U1367" s="14" t="str">
        <x:v>Не контактували</x:v>
      </x:c>
      <x:c r="V1367" s="15" t="str">
        <x:v>Workflow-audit outreach по UA-2024-03-18-007435-a; попросити 1 пакет здачі та вимоги проєкту</x:v>
      </x:c>
      <x:c r="W1367" s="15" t="str">
        <x:v>Власник / виконавець; відповідальний за договір</x:v>
      </x:c>
      <x:c r="X1367" s="15" t="str">
        <x:v>1 нових підтверджених перемог/договорів у Prozorro на 29 664 грн; 0 зі строком виконання не раніше 24.08.2026.</x:v>
      </x:c>
      <x:c r="Y1367"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 строк до 2024-04-30. Попросити один знеособлений пакет здачі за цим workflow.</x:v>
      </x:c>
      <x:c r="Z1367" s="15" t="str">
        <x:v>https://prozorro.gov.ua/tender/UA-2024-03-18-007435-a</x:v>
      </x:c>
      <x:c r="AA1367" s="14" t="str">
        <x:v>2817317015</x:v>
      </x:c>
      <x:c r="AB1367" s="14" t="str">
        <x:v>2026-08-24</x:v>
      </x:c>
      <x:c r="AC1367" s="14" t="str"/>
      <x:c r="AD1367" s="20" t="str"/>
      <x:c r="AE1367" s="14" t="str"/>
      <x:c r="AF1367" s="14" t="n">
        <x:v>23</x:v>
      </x:c>
      <x:c r="AG1367" s="14" t="str">
        <x:v>I3</x:v>
      </x:c>
      <x:c r="AH1367" s="14" t="n">
        <x:v>1</x:v>
      </x:c>
      <x:c r="AI1367" s="14" t="n">
        <x:v>0</x:v>
      </x:c>
      <x:c r="AJ1367" s="18" t="n">
        <x:v>29664.06</x:v>
      </x:c>
      <x:c r="AK1367" s="14" t="str">
        <x:v>https://prozorro.gov.ua/tender/UA-2024-03-18-007435-a</x:v>
      </x:c>
      <x:c r="AL1367" s="19" t="n">
        <x:v>45369.51978534722</x:v>
      </x:c>
      <x:c r="AM1367" s="19" t="n">
        <x:v>45412.47142361111</x:v>
      </x:c>
      <x:c r="AN1367" s="15" t="str">
        <x:v>СКС / BMS / слаботочка</x:v>
      </x:c>
      <x:c r="AO1367" s="15" t="str">
        <x:v>not_found_in_top_search</x:v>
      </x:c>
    </x:row>
    <x:row r="1368">
      <x:c r="A1368" s="14" t="str">
        <x:v>W4-549</x:v>
      </x:c>
      <x:c r="B1368" s="14" t="str">
        <x:v>Prozorro expansion — 24.08</x:v>
      </x:c>
      <x:c r="C1368" s="14" t="str">
        <x:v>ФОП Руденко Роман Володимирович</x:v>
      </x:c>
      <x:c r="D1368" s="14" t="str">
        <x:v>Покрівлі та гідроізоляція</x:v>
      </x:c>
      <x:c r="E1368" s="14" t="str">
        <x:v>Expansion discovery</x:v>
      </x:c>
      <x:c r="F1368" s="17" t="str">
        <x:v>D3</x:v>
      </x:c>
      <x:c r="G1368" s="14" t="str"/>
      <x:c r="H1368" s="14" t="str">
        <x:v>Discovery розширення — 2 тижні</x:v>
      </x:c>
      <x:c r="I1368" s="16" t="n">
        <x:v>1</x:v>
      </x:c>
      <x:c r="J1368" s="16" t="n">
        <x:v>5</x:v>
      </x:c>
      <x:c r="K1368" s="16" t="n">
        <x:v>5</x:v>
      </x:c>
      <x:c r="L1368" s="16" t="n">
        <x:v>1</x:v>
      </x:c>
      <x:c r="M1368" s="16" t="n">
        <x:v>5</x:v>
      </x:c>
      <x:c r="N1368" s="16" t="n">
        <x:v>3</x:v>
      </x:c>
      <x:c r="O1368" s="16" t="n">
        <x:v>3</x:v>
      </x:c>
      <x:c r="P1368" s="16" t="n">
        <x:f>IF(COUNT(I1368:O1368)&lt;7,"",I1368*8+J1368*3+K1368*2+L1368*2+M1368*2+N1368*2+O1368)</x:f>
        <x:v>54</x:v>
      </x:c>
      <x:c r="Q1368" s="16" t="n">
        <x:f>IF(COUNT(J1368:O1368)&lt;6,"",J1368*5+K1368*4+M1368*4+L1368*3+N1368*2+O1368*2)</x:f>
        <x:v>80</x:v>
      </x:c>
      <x:c r="R1368" s="14" t="str">
        <x:v>high</x:v>
      </x:c>
      <x:c r="S1368" s="14" t="str">
        <x:v>official_prozorro_award_2024_2026</x:v>
      </x:c>
      <x:c r="T1368" s="14" t="str">
        <x:v>official_prozorro_api</x:v>
      </x:c>
      <x:c r="U1368" s="14" t="str">
        <x:v>Не контактували</x:v>
      </x:c>
      <x:c r="V1368" s="15" t="str">
        <x:v>Workflow-audit outreach по UA-2024-12-26-007325-a; попросити 1 пакет здачі та вимоги проєкту</x:v>
      </x:c>
      <x:c r="W1368" s="15" t="str">
        <x:v>Власник / виконавець; відповідальний за договір</x:v>
      </x:c>
      <x:c r="X1368" s="15" t="str">
        <x:v>1 нових підтверджених перемог/договорів у Prozorro на 28 300 грн; 0 зі строком виконання не раніше 24.08.2026.</x:v>
      </x:c>
      <x:c r="Y1368" s="15" t="str">
        <x:v>Будівельні матеріали для проведення ремонтних робіт господарським способом (мастика, гідроізоляційна суміш); строк до 2024-12-19. Попросити один знеособлений пакет здачі за цим workflow.</x:v>
      </x:c>
      <x:c r="Z1368" s="15" t="str">
        <x:v>https://prozorro.gov.ua/tender/UA-2024-12-26-007325-a</x:v>
      </x:c>
      <x:c r="AA1368" s="14" t="str">
        <x:v>3166319879</x:v>
      </x:c>
      <x:c r="AB1368" s="14" t="str">
        <x:v>2026-08-24</x:v>
      </x:c>
      <x:c r="AC1368" s="14" t="str"/>
      <x:c r="AD1368" s="20" t="str"/>
      <x:c r="AE1368" s="14" t="str"/>
      <x:c r="AF1368" s="14" t="n">
        <x:v>23</x:v>
      </x:c>
      <x:c r="AG1368" s="14" t="str">
        <x:v>I3</x:v>
      </x:c>
      <x:c r="AH1368" s="14" t="n">
        <x:v>1</x:v>
      </x:c>
      <x:c r="AI1368" s="14" t="n">
        <x:v>0</x:v>
      </x:c>
      <x:c r="AJ1368" s="18" t="n">
        <x:v>28300</x:v>
      </x:c>
      <x:c r="AK1368" s="14" t="str">
        <x:v>https://prozorro.gov.ua/tender/UA-2024-12-26-007325-a</x:v>
      </x:c>
      <x:c r="AL1368" s="19" t="n">
        <x:v>45652.4616052662</x:v>
      </x:c>
      <x:c r="AM1368" s="19" t="n">
        <x:v>45645</x:v>
      </x:c>
      <x:c r="AN1368" s="15" t="str">
        <x:v>Покрівлі та гідроізоляція</x:v>
      </x:c>
      <x:c r="AO1368" s="15" t="str">
        <x:v>not_found_in_top_search</x:v>
      </x:c>
    </x:row>
    <x:row r="1369">
      <x:c r="A1369" s="14" t="str">
        <x:v>W4-550</x:v>
      </x:c>
      <x:c r="B1369" s="14" t="str">
        <x:v>Prozorro expansion — 24.08</x:v>
      </x:c>
      <x:c r="C1369" s="14" t="str">
        <x:v>ФОП Куропатенко Р.О.</x:v>
      </x:c>
      <x:c r="D1369" s="14" t="str">
        <x:v>HVAC / ОВіК</x:v>
      </x:c>
      <x:c r="E1369" s="14" t="str">
        <x:v>Pilot now</x:v>
      </x:c>
      <x:c r="F1369" s="17" t="str">
        <x:v>P3</x:v>
      </x:c>
      <x:c r="G1369" s="14" t="str"/>
      <x:c r="H1369" s="14" t="str">
        <x:v>Пілот зараз — Н.14</x:v>
      </x:c>
      <x:c r="I1369" s="16" t="n">
        <x:v>5</x:v>
      </x:c>
      <x:c r="J1369" s="16" t="n">
        <x:v>5</x:v>
      </x:c>
      <x:c r="K1369" s="16" t="n">
        <x:v>4</x:v>
      </x:c>
      <x:c r="L1369" s="16" t="n">
        <x:v>1</x:v>
      </x:c>
      <x:c r="M1369" s="16" t="n">
        <x:v>5</x:v>
      </x:c>
      <x:c r="N1369" s="16" t="n">
        <x:v>3</x:v>
      </x:c>
      <x:c r="O1369" s="16" t="n">
        <x:v>3</x:v>
      </x:c>
      <x:c r="P1369" s="16" t="n">
        <x:f>IF(COUNT(I1369:O1369)&lt;7,"",I1369*8+J1369*3+K1369*2+L1369*2+M1369*2+N1369*2+O1369)</x:f>
        <x:v>84</x:v>
      </x:c>
      <x:c r="Q1369" s="16" t="n">
        <x:f>IF(COUNT(J1369:O1369)&lt;6,"",J1369*5+K1369*4+M1369*4+L1369*3+N1369*2+O1369*2)</x:f>
        <x:v>76</x:v>
      </x:c>
      <x:c r="R1369" s="14" t="str">
        <x:v>high</x:v>
      </x:c>
      <x:c r="S1369" s="14" t="str">
        <x:v>official_prozorro_award_2024_2026</x:v>
      </x:c>
      <x:c r="T1369" s="14" t="str">
        <x:v>official_prozorro_api</x:v>
      </x:c>
      <x:c r="U1369" s="14" t="str">
        <x:v>Не контактували</x:v>
      </x:c>
      <x:c r="V1369" s="15" t="str">
        <x:v>Персоналізований free-pilot outreach по UA-2025-03-26-009354-a; попросити 1 пакет Н.14/Н.15</x:v>
      </x:c>
      <x:c r="W1369" s="15" t="str">
        <x:v>Власник / виконавець; відповідальний за договір</x:v>
      </x:c>
      <x:c r="X1369" s="15" t="str">
        <x:v>1 нових підтверджених перемог/договорів у Prozorro на 24 000 грн; 0 зі строком виконання не раніше 24.08.2026.</x:v>
      </x:c>
      <x:c r="Y1369" s="15" t="str">
        <x:v>Монтаж системи вентиляції; строк до 2025-12-31. Попросити один знеособлений пакет здачі за цим workflow.</x:v>
      </x:c>
      <x:c r="Z1369" s="15" t="str">
        <x:v>https://prozorro.gov.ua/tender/UA-2025-03-26-009354-a</x:v>
      </x:c>
      <x:c r="AA1369" s="14" t="str">
        <x:v>3134212478</x:v>
      </x:c>
      <x:c r="AB1369" s="14" t="str">
        <x:v>2026-08-24</x:v>
      </x:c>
      <x:c r="AC1369" s="14" t="str"/>
      <x:c r="AD1369" s="20" t="str"/>
      <x:c r="AE1369" s="14" t="str"/>
      <x:c r="AF1369" s="14" t="n">
        <x:v>23</x:v>
      </x:c>
      <x:c r="AG1369" s="14" t="str">
        <x:v>I3</x:v>
      </x:c>
      <x:c r="AH1369" s="14" t="n">
        <x:v>1</x:v>
      </x:c>
      <x:c r="AI1369" s="14" t="n">
        <x:v>0</x:v>
      </x:c>
      <x:c r="AJ1369" s="18" t="n">
        <x:v>24000</x:v>
      </x:c>
      <x:c r="AK1369" s="14" t="str">
        <x:v>https://prozorro.gov.ua/tender/UA-2025-03-26-009354-a</x:v>
      </x:c>
      <x:c r="AL1369" s="19" t="n">
        <x:v>45742.542737881944</x:v>
      </x:c>
      <x:c r="AM1369" s="19" t="n">
        <x:v>46022.916666655095</x:v>
      </x:c>
      <x:c r="AN1369" s="15" t="str">
        <x:v>HVAC / ОВіК</x:v>
      </x:c>
      <x:c r="AO1369" s="15" t="str">
        <x:v>not_found_in_top_search</x:v>
      </x:c>
    </x:row>
    <x:row r="1370">
      <x:c r="A1370" s="14" t="str">
        <x:v>W4-551</x:v>
      </x:c>
      <x:c r="B1370" s="14" t="str">
        <x:v>Prozorro expansion — 24.08</x:v>
      </x:c>
      <x:c r="C1370" s="14" t="str">
        <x:v>Фізична особа-підприємець Литвин Геннадій Миколайович</x:v>
      </x:c>
      <x:c r="D1370" s="14" t="str">
        <x:v>СКС / BMS / слаботочка</x:v>
      </x:c>
      <x:c r="E1370" s="14" t="str">
        <x:v>Expansion discovery</x:v>
      </x:c>
      <x:c r="F1370" s="17" t="str">
        <x:v>D3</x:v>
      </x:c>
      <x:c r="G1370" s="14" t="str"/>
      <x:c r="H1370" s="14" t="str">
        <x:v>Discovery розширення — 2 тижні</x:v>
      </x:c>
      <x:c r="I1370" s="16" t="n">
        <x:v>2</x:v>
      </x:c>
      <x:c r="J1370" s="16" t="n">
        <x:v>5</x:v>
      </x:c>
      <x:c r="K1370" s="16" t="n">
        <x:v>4</x:v>
      </x:c>
      <x:c r="L1370" s="16" t="n">
        <x:v>1</x:v>
      </x:c>
      <x:c r="M1370" s="16" t="n">
        <x:v>5</x:v>
      </x:c>
      <x:c r="N1370" s="16" t="n">
        <x:v>3</x:v>
      </x:c>
      <x:c r="O1370" s="16" t="n">
        <x:v>3</x:v>
      </x:c>
      <x:c r="P1370" s="16" t="n">
        <x:f>IF(COUNT(I1370:O1370)&lt;7,"",I1370*8+J1370*3+K1370*2+L1370*2+M1370*2+N1370*2+O1370)</x:f>
        <x:v>60</x:v>
      </x:c>
      <x:c r="Q1370" s="16" t="n">
        <x:f>IF(COUNT(J1370:O1370)&lt;6,"",J1370*5+K1370*4+M1370*4+L1370*3+N1370*2+O1370*2)</x:f>
        <x:v>76</x:v>
      </x:c>
      <x:c r="R1370" s="14" t="str">
        <x:v>high</x:v>
      </x:c>
      <x:c r="S1370" s="14" t="str">
        <x:v>official_prozorro_award_2024_2026</x:v>
      </x:c>
      <x:c r="T1370" s="14" t="str">
        <x:v>official_prozorro_api</x:v>
      </x:c>
      <x:c r="U1370" s="14" t="str">
        <x:v>Не контактували</x:v>
      </x:c>
      <x:c r="V1370" s="15" t="str">
        <x:v>Workflow-audit outreach по UA-2024-09-26-003287-a; попросити 1 пакет здачі та вимоги проєкту</x:v>
      </x:c>
      <x:c r="W1370" s="15" t="str">
        <x:v>Власник / виконавець; відповідальний за договір</x:v>
      </x:c>
      <x:c r="X1370" s="15" t="str">
        <x:v>1 нових підтверджених перемог/договорів у Prozorro на 5 900 грн; 0 зі строком виконання не раніше 24.08.2026.</x:v>
      </x:c>
      <x:c r="Y1370"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 строк до 2024-10-15. Попросити один знеособлений пакет здачі за цим workflow.</x:v>
      </x:c>
      <x:c r="Z1370" s="15" t="str">
        <x:v>https://prozorro.gov.ua/tender/UA-2024-09-26-003287-a</x:v>
      </x:c>
      <x:c r="AA1370" s="14" t="str">
        <x:v>2578600698</x:v>
      </x:c>
      <x:c r="AB1370" s="14" t="str">
        <x:v>2026-08-24</x:v>
      </x:c>
      <x:c r="AC1370" s="14" t="str"/>
      <x:c r="AD1370" s="20" t="str"/>
      <x:c r="AE1370" s="14" t="str"/>
      <x:c r="AF1370" s="14" t="n">
        <x:v>23</x:v>
      </x:c>
      <x:c r="AG1370" s="14" t="str">
        <x:v>I3</x:v>
      </x:c>
      <x:c r="AH1370" s="14" t="n">
        <x:v>1</x:v>
      </x:c>
      <x:c r="AI1370" s="14" t="n">
        <x:v>0</x:v>
      </x:c>
      <x:c r="AJ1370" s="18" t="n">
        <x:v>5900</x:v>
      </x:c>
      <x:c r="AK1370" s="14" t="str">
        <x:v>https://prozorro.gov.ua/tender/UA-2024-09-26-003287-a</x:v>
      </x:c>
      <x:c r="AL1370" s="19" t="n">
        <x:v>45561.32851230324</x:v>
      </x:c>
      <x:c r="AM1370" s="19" t="n">
        <x:v>45580</x:v>
      </x:c>
      <x:c r="AN1370" s="15" t="str">
        <x:v>СКС / BMS / слаботочка</x:v>
      </x:c>
      <x:c r="AO1370" s="15" t="str">
        <x:v>not_found_in_top_search</x:v>
      </x:c>
    </x:row>
    <x:row r="1371">
      <x:c r="A1371" s="14" t="str">
        <x:v>W4-552</x:v>
      </x:c>
      <x:c r="B1371" s="14" t="str">
        <x:v>Prozorro expansion — 24.08</x:v>
      </x:c>
      <x:c r="C1371" s="14" t="str">
        <x:v>ФОП Мовчан В.І.</x:v>
      </x:c>
      <x:c r="D1371" s="14" t="str">
        <x:v>HVAC / ОВіК</x:v>
      </x:c>
      <x:c r="E1371" s="14" t="str">
        <x:v>Pilot now</x:v>
      </x:c>
      <x:c r="F1371" s="17" t="str">
        <x:v>P3</x:v>
      </x:c>
      <x:c r="G1371" s="14" t="str"/>
      <x:c r="H1371" s="14" t="str">
        <x:v>Пілот зараз — Н.14</x:v>
      </x:c>
      <x:c r="I1371" s="16" t="n">
        <x:v>5</x:v>
      </x:c>
      <x:c r="J1371" s="16" t="n">
        <x:v>5</x:v>
      </x:c>
      <x:c r="K1371" s="16" t="n">
        <x:v>4</x:v>
      </x:c>
      <x:c r="L1371" s="16" t="n">
        <x:v>1</x:v>
      </x:c>
      <x:c r="M1371" s="16" t="n">
        <x:v>5</x:v>
      </x:c>
      <x:c r="N1371" s="16" t="n">
        <x:v>3</x:v>
      </x:c>
      <x:c r="O1371" s="16" t="n">
        <x:v>3</x:v>
      </x:c>
      <x:c r="P1371" s="16" t="n">
        <x:f>IF(COUNT(I1371:O1371)&lt;7,"",I1371*8+J1371*3+K1371*2+L1371*2+M1371*2+N1371*2+O1371)</x:f>
        <x:v>84</x:v>
      </x:c>
      <x:c r="Q1371" s="16" t="n">
        <x:f>IF(COUNT(J1371:O1371)&lt;6,"",J1371*5+K1371*4+M1371*4+L1371*3+N1371*2+O1371*2)</x:f>
        <x:v>76</x:v>
      </x:c>
      <x:c r="R1371" s="14" t="str">
        <x:v>high</x:v>
      </x:c>
      <x:c r="S1371" s="14" t="str">
        <x:v>official_prozorro_award_2024_2026</x:v>
      </x:c>
      <x:c r="T1371" s="14" t="str">
        <x:v>official_prozorro_api</x:v>
      </x:c>
      <x:c r="U1371" s="14" t="str">
        <x:v>Не контактували</x:v>
      </x:c>
      <x:c r="V1371" s="15" t="str">
        <x:v>Персоналізований free-pilot outreach по UA-2025-01-02-000114-a; попросити 1 пакет Н.14/Н.15</x:v>
      </x:c>
      <x:c r="W1371" s="15" t="str">
        <x:v>Власник / виконавець; відповідальний за договір</x:v>
      </x:c>
      <x:c r="X1371" s="15" t="str">
        <x:v>1 нових підтверджених перемог/договорів у Prozorro на 4 700 грн; 0 зі строком виконання не раніше 24.08.2026.</x:v>
      </x:c>
      <x:c r="Y1371" s="15" t="str">
        <x:v>Демонтаж, монтаж системи вентиляції та кондиціонування; строк до 2025-12-31. Попросити один знеособлений пакет здачі за цим workflow.</x:v>
      </x:c>
      <x:c r="Z1371" s="15" t="str">
        <x:v>https://prozorro.gov.ua/tender/UA-2025-01-02-000114-a</x:v>
      </x:c>
      <x:c r="AA1371" s="14" t="str">
        <x:v>2220902814</x:v>
      </x:c>
      <x:c r="AB1371" s="14" t="str">
        <x:v>2026-08-24</x:v>
      </x:c>
      <x:c r="AC1371" s="14" t="str"/>
      <x:c r="AD1371" s="20" t="str"/>
      <x:c r="AE1371" s="14" t="str"/>
      <x:c r="AF1371" s="14" t="n">
        <x:v>23</x:v>
      </x:c>
      <x:c r="AG1371" s="14" t="str">
        <x:v>I3</x:v>
      </x:c>
      <x:c r="AH1371" s="14" t="n">
        <x:v>1</x:v>
      </x:c>
      <x:c r="AI1371" s="14" t="n">
        <x:v>0</x:v>
      </x:c>
      <x:c r="AJ1371" s="18" t="n">
        <x:v>4700</x:v>
      </x:c>
      <x:c r="AK1371" s="14" t="str">
        <x:v>https://prozorro.gov.ua/tender/UA-2025-01-02-000114-a</x:v>
      </x:c>
      <x:c r="AL1371" s="19" t="n">
        <x:v>45659.27042761574</x:v>
      </x:c>
      <x:c r="AM1371" s="19" t="n">
        <x:v>46022.916666655095</x:v>
      </x:c>
      <x:c r="AN1371" s="15" t="str">
        <x:v>HVAC / ОВіК</x:v>
      </x:c>
      <x:c r="AO1371" s="15" t="str">
        <x:v>not_found_in_top_search</x:v>
      </x:c>
    </x:row>
    <x:row r="1372">
      <x:c r="A1372" s="14" t="str">
        <x:v>W4-553</x:v>
      </x:c>
      <x:c r="B1372" s="14" t="str">
        <x:v>Prozorro expansion — 24.08</x:v>
      </x:c>
      <x:c r="C1372" s="14" t="str">
        <x:v>ФОП Кулеба Микола Миколайович</x:v>
      </x:c>
      <x:c r="D1372" s="14" t="str">
        <x:v>HVAC / ОВіК</x:v>
      </x:c>
      <x:c r="E1372" s="14" t="str">
        <x:v>Pilot now</x:v>
      </x:c>
      <x:c r="F1372" s="17" t="str">
        <x:v>P3</x:v>
      </x:c>
      <x:c r="G1372" s="14" t="str"/>
      <x:c r="H1372" s="14" t="str">
        <x:v>Пілот зараз — Н.14</x:v>
      </x:c>
      <x:c r="I1372" s="16" t="n">
        <x:v>5</x:v>
      </x:c>
      <x:c r="J1372" s="16" t="n">
        <x:v>5</x:v>
      </x:c>
      <x:c r="K1372" s="16" t="n">
        <x:v>4</x:v>
      </x:c>
      <x:c r="L1372" s="16" t="n">
        <x:v>1</x:v>
      </x:c>
      <x:c r="M1372" s="16" t="n">
        <x:v>5</x:v>
      </x:c>
      <x:c r="N1372" s="16" t="n">
        <x:v>3</x:v>
      </x:c>
      <x:c r="O1372" s="16" t="n">
        <x:v>3</x:v>
      </x:c>
      <x:c r="P1372" s="16" t="n">
        <x:f>IF(COUNT(I1372:O1372)&lt;7,"",I1372*8+J1372*3+K1372*2+L1372*2+M1372*2+N1372*2+O1372)</x:f>
        <x:v>84</x:v>
      </x:c>
      <x:c r="Q1372" s="16" t="n">
        <x:f>IF(COUNT(J1372:O1372)&lt;6,"",J1372*5+K1372*4+M1372*4+L1372*3+N1372*2+O1372*2)</x:f>
        <x:v>76</x:v>
      </x:c>
      <x:c r="R1372" s="14" t="str">
        <x:v>high</x:v>
      </x:c>
      <x:c r="S1372" s="14" t="str">
        <x:v>official_prozorro_award_2024_2026</x:v>
      </x:c>
      <x:c r="T1372" s="14" t="str">
        <x:v>official_prozorro_api</x:v>
      </x:c>
      <x:c r="U1372" s="14" t="str">
        <x:v>Не контактували</x:v>
      </x:c>
      <x:c r="V1372" s="15" t="str">
        <x:v>Персоналізований free-pilot outreach по UA-2025-07-22-011205-a; попросити 1 пакет Н.14/Н.15</x:v>
      </x:c>
      <x:c r="W1372" s="15" t="str">
        <x:v>Власник / виконавець; відповідальний за договір</x:v>
      </x:c>
      <x:c r="X1372" s="15" t="str">
        <x:v>1 нових підтверджених перемог/договорів у Prozorro на 33 грн; 0 зі строком виконання не раніше 24.08.2026.</x:v>
      </x:c>
      <x:c r="Y1372"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 строк до 2025-08-04. Попросити один знеособлений пакет здачі за цим workflow.</x:v>
      </x:c>
      <x:c r="Z1372" s="15" t="str">
        <x:v>https://prozorro.gov.ua/tender/UA-2025-07-22-011205-a</x:v>
      </x:c>
      <x:c r="AA1372" s="14" t="str">
        <x:v>3319411953</x:v>
      </x:c>
      <x:c r="AB1372" s="14" t="str">
        <x:v>2026-08-24</x:v>
      </x:c>
      <x:c r="AC1372" s="14" t="str"/>
      <x:c r="AD1372" s="20" t="str"/>
      <x:c r="AE1372" s="14" t="str"/>
      <x:c r="AF1372" s="14" t="n">
        <x:v>22</x:v>
      </x:c>
      <x:c r="AG1372" s="14" t="str">
        <x:v>I3</x:v>
      </x:c>
      <x:c r="AH1372" s="14" t="n">
        <x:v>1</x:v>
      </x:c>
      <x:c r="AI1372" s="14" t="n">
        <x:v>0</x:v>
      </x:c>
      <x:c r="AJ1372" s="18" t="n">
        <x:v>33</x:v>
      </x:c>
      <x:c r="AK1372" s="14" t="str">
        <x:v>https://prozorro.gov.ua/tender/UA-2025-07-22-011205-a</x:v>
      </x:c>
      <x:c r="AL1372" s="19" t="n">
        <x:v>45860.59006116898</x:v>
      </x:c>
      <x:c r="AM1372" s="19" t="n">
        <x:v>45873.58752314815</x:v>
      </x:c>
      <x:c r="AN1372" s="15" t="str">
        <x:v>HVAC / ОВіК</x:v>
      </x:c>
      <x:c r="AO1372" s="15" t="str">
        <x:v>not_found_in_top_search</x:v>
      </x:c>
    </x:row>
    <x:row r="1373">
      <x:c r="A1373" s="14" t="str">
        <x:v>W5-001</x:v>
      </x:c>
      <x:c r="B1373" s="14" t="str">
        <x:v>Prozorro vertical expansion — 24.08</x:v>
      </x:c>
      <x:c r="C1373" s="14" t="str">
        <x:v>Товариство з обмеженою відповідальністю "МІСТО ЕНЕРДЖІ"</x:v>
      </x:c>
      <x:c r="D1373" s="14" t="str">
        <x:v>Теплові пункти</x:v>
      </x:c>
      <x:c r="E1373" s="14" t="str">
        <x:v>Expansion discovery</x:v>
      </x:c>
      <x:c r="F1373" s="17" t="str">
        <x:v>D1</x:v>
      </x:c>
      <x:c r="G1373" s="14" t="str">
        <x:v>mistoenergy.com.ua</x:v>
      </x:c>
      <x:c r="H1373" s="14" t="str">
        <x:v>Discovery розширення — 2 тижні</x:v>
      </x:c>
      <x:c r="I1373" s="16" t="n">
        <x:v>1</x:v>
      </x:c>
      <x:c r="J1373" s="16" t="n">
        <x:v>5</x:v>
      </x:c>
      <x:c r="K1373" s="16" t="n">
        <x:v>5</x:v>
      </x:c>
      <x:c r="L1373" s="16" t="n">
        <x:v>5</x:v>
      </x:c>
      <x:c r="M1373" s="16" t="n">
        <x:v>5</x:v>
      </x:c>
      <x:c r="N1373" s="16" t="n">
        <x:v>5</x:v>
      </x:c>
      <x:c r="O1373" s="16" t="n">
        <x:v>5</x:v>
      </x:c>
      <x:c r="P1373" s="16" t="n">
        <x:f>IF(COUNT(I1373:O1373)&lt;7,"",I1373*8+J1373*3+K1373*2+L1373*2+M1373*2+N1373*2+O1373)</x:f>
        <x:v>68</x:v>
      </x:c>
      <x:c r="Q1373" s="16" t="n">
        <x:f>IF(COUNT(J1373:O1373)&lt;6,"",J1373*5+K1373*4+M1373*4+L1373*3+N1373*2+O1373*2)</x:f>
        <x:v>100</x:v>
      </x:c>
      <x:c r="R1373" s="14" t="str">
        <x:v>high</x:v>
      </x:c>
      <x:c r="S1373" s="14" t="str">
        <x:v>official_prozorro_award_2024_2026</x:v>
      </x:c>
      <x:c r="T1373" s="14" t="str">
        <x:v>official_prozorro_api</x:v>
      </x:c>
      <x:c r="U1373" s="14" t="str">
        <x:v>Не контактували</x:v>
      </x:c>
      <x:c r="V1373" s="15" t="str">
        <x:v>Workflow-audit outreach по UA-2026-07-29-011611-a; попросити 1 пакет здачі та вимоги проєкту</x:v>
      </x:c>
      <x:c r="W1373" s="15" t="str">
        <x:v>Власник / директор; керівник ПТО; відповідальний за договори</x:v>
      </x:c>
      <x:c r="X1373" s="15" t="str">
        <x:v>11 нових підтверджених перемог/договорів у Prozorro на 33 437 993 грн; 5 зі строком виконання не раніше 24.08.2026.</x:v>
      </x:c>
      <x:c r="Y1373" s="1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 опублікований строк до 2026-12-21. Попросити один знеособлений пакет здачі за цим workflow.</x:v>
      </x:c>
      <x:c r="Z1373" s="15" t="str">
        <x:v>https://prozorro.gov.ua/tender/UA-2026-07-29-011611-a</x:v>
      </x:c>
      <x:c r="AA1373" s="14" t="str">
        <x:v>32735498</x:v>
      </x:c>
      <x:c r="AB1373" s="14" t="str">
        <x:v>2026-08-24</x:v>
      </x:c>
      <x:c r="AC1373" s="14" t="str"/>
      <x:c r="AD1373" s="20" t="str"/>
      <x:c r="AE1373" s="14" t="str"/>
      <x:c r="AF1373" s="14" t="n">
        <x:v>93</x:v>
      </x:c>
      <x:c r="AG1373" s="14" t="str">
        <x:v>I1</x:v>
      </x:c>
      <x:c r="AH1373" s="14" t="n">
        <x:v>11</x:v>
      </x:c>
      <x:c r="AI1373" s="14" t="n">
        <x:v>5</x:v>
      </x:c>
      <x:c r="AJ1373" s="18" t="n">
        <x:v>33437993.09</x:v>
      </x:c>
      <x:c r="AK1373" s="14" t="str">
        <x:v>https://prozorro.gov.ua/tender/UA-2026-07-29-011611-a</x:v>
      </x:c>
      <x:c r="AL1373" s="19" t="n">
        <x:v>46248.38848902778</x:v>
      </x:c>
      <x:c r="AM1373" s="19" t="n">
        <x:v>46377</x:v>
      </x:c>
      <x:c r="AN1373" s="15" t="str">
        <x:v>Теплові пункти</x:v>
      </x:c>
      <x:c r="AO1373" s="15" t="str">
        <x:v>browser_verified_official_website_2026-08-24</x:v>
      </x:c>
    </x:row>
    <x:row r="1374">
      <x:c r="A1374" s="14" t="str">
        <x:v>W5-002</x:v>
      </x:c>
      <x:c r="B1374" s="14" t="str">
        <x:v>Prozorro vertical expansion — 24.08</x:v>
      </x:c>
      <x:c r="C1374" s="14" t="str">
        <x:v>ТОВАРИСТВО З ОБМЕЖЕНОЮ ВІДПОВІДАЛЬНІСТЮ "БУДІНДУСТРІЯ"</x:v>
      </x:c>
      <x:c r="D1374" s="14" t="str">
        <x:v>Залізнична інфраструктура</x:v>
      </x:c>
      <x:c r="E1374" s="14" t="str">
        <x:v>Expansion discovery</x:v>
      </x:c>
      <x:c r="F1374" s="17" t="str">
        <x:v>D1</x:v>
      </x:c>
      <x:c r="G1374" s="14" t="str"/>
      <x:c r="H1374" s="14" t="str">
        <x:v>Discovery розширення — 2 тижні</x:v>
      </x:c>
      <x:c r="I1374" s="16" t="n">
        <x:v>1</x:v>
      </x:c>
      <x:c r="J1374" s="16" t="n">
        <x:v>5</x:v>
      </x:c>
      <x:c r="K1374" s="16" t="n">
        <x:v>5</x:v>
      </x:c>
      <x:c r="L1374" s="16" t="n">
        <x:v>5</x:v>
      </x:c>
      <x:c r="M1374" s="16" t="n">
        <x:v>5</x:v>
      </x:c>
      <x:c r="N1374" s="16" t="n">
        <x:v>5</x:v>
      </x:c>
      <x:c r="O1374" s="16" t="n">
        <x:v>3</x:v>
      </x:c>
      <x:c r="P1374" s="16" t="n">
        <x:f>IF(COUNT(I1374:O1374)&lt;7,"",I1374*8+J1374*3+K1374*2+L1374*2+M1374*2+N1374*2+O1374)</x:f>
        <x:v>66</x:v>
      </x:c>
      <x:c r="Q1374" s="16" t="n">
        <x:f>IF(COUNT(J1374:O1374)&lt;6,"",J1374*5+K1374*4+M1374*4+L1374*3+N1374*2+O1374*2)</x:f>
        <x:v>96</x:v>
      </x:c>
      <x:c r="R1374" s="14" t="str">
        <x:v>high</x:v>
      </x:c>
      <x:c r="S1374" s="14" t="str">
        <x:v>official_prozorro_award_2024_2026</x:v>
      </x:c>
      <x:c r="T1374" s="14" t="str">
        <x:v>official_prozorro_api</x:v>
      </x:c>
      <x:c r="U1374" s="14" t="str">
        <x:v>Не контактували</x:v>
      </x:c>
      <x:c r="V1374" s="15" t="str">
        <x:v>Workflow-audit outreach по UA-2026-07-17-005954-a; попросити 1 пакет здачі та вимоги проєкту</x:v>
      </x:c>
      <x:c r="W1374" s="15" t="str">
        <x:v>Власник / директор; керівник ПТО; відповідальний за договори</x:v>
      </x:c>
      <x:c r="X1374" s="15" t="str">
        <x:v>4 нових підтверджених перемог/договорів у Prozorro на 28 185 599 грн; 1 зі строком виконання не раніше 24.08.2026.</x:v>
      </x:c>
      <x:c r="Y1374" s="1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 опублікований строк до 2026-12-31. Попросити один знеособлений пакет здачі за цим workflow.</x:v>
      </x:c>
      <x:c r="Z1374" s="15" t="str">
        <x:v>https://prozorro.gov.ua/tender/UA-2026-07-17-005954-a</x:v>
      </x:c>
      <x:c r="AA1374" s="14" t="str">
        <x:v>31996862</x:v>
      </x:c>
      <x:c r="AB1374" s="14" t="str">
        <x:v>2026-08-24</x:v>
      </x:c>
      <x:c r="AC1374" s="14" t="str"/>
      <x:c r="AD1374" s="20" t="str"/>
      <x:c r="AE1374" s="14" t="str"/>
      <x:c r="AF1374" s="14" t="n">
        <x:v>93</x:v>
      </x:c>
      <x:c r="AG1374" s="14" t="str">
        <x:v>I1</x:v>
      </x:c>
      <x:c r="AH1374" s="14" t="n">
        <x:v>4</x:v>
      </x:c>
      <x:c r="AI1374" s="14" t="n">
        <x:v>1</x:v>
      </x:c>
      <x:c r="AJ1374" s="18" t="n">
        <x:v>28185599.27</x:v>
      </x:c>
      <x:c r="AK1374" s="14" t="str">
        <x:v>https://prozorro.gov.ua/tender/UA-2026-07-17-005954-a</x:v>
      </x:c>
      <x:c r="AL1374" s="19" t="n">
        <x:v>46233.55238796296</x:v>
      </x:c>
      <x:c r="AM1374" s="19" t="n">
        <x:v>46387.48011574074</x:v>
      </x:c>
      <x:c r="AN1374" s="15" t="str">
        <x:v>Залізнична інфраструктура</x:v>
      </x:c>
      <x:c r="AO1374" s="15" t="str">
        <x:v>browser_verified_registry_profile_2026-08-24</x:v>
      </x:c>
    </x:row>
    <x:row r="1375">
      <x:c r="A1375" s="14" t="str">
        <x:v>W5-003</x:v>
      </x:c>
      <x:c r="B1375" s="14" t="str">
        <x:v>Prozorro vertical expansion — 24.08</x:v>
      </x:c>
      <x:c r="C1375" s="14" t="str">
        <x:v>ТОВАРИСТВО З ОБМЕЖЕНОЮ ВІДПОВІДАЛЬНІСТЮ "АЛЬТЕКО2019"</x:v>
      </x:c>
      <x:c r="D1375" s="14" t="str">
        <x:v>Промислова електрика / ПНР</x:v>
      </x:c>
      <x:c r="E1375" s="14" t="str">
        <x:v>Pilot now</x:v>
      </x:c>
      <x:c r="F1375" s="17" t="str">
        <x:v>P1</x:v>
      </x:c>
      <x:c r="G1375" s="14" t="str"/>
      <x:c r="H1375" s="14" t="str">
        <x:v>Пілот зараз — Н.15 subset</x:v>
      </x:c>
      <x:c r="I1375" s="16" t="n">
        <x:v>4</x:v>
      </x:c>
      <x:c r="J1375" s="16" t="n">
        <x:v>5</x:v>
      </x:c>
      <x:c r="K1375" s="16" t="n">
        <x:v>4</x:v>
      </x:c>
      <x:c r="L1375" s="16" t="n">
        <x:v>5</x:v>
      </x:c>
      <x:c r="M1375" s="16" t="n">
        <x:v>5</x:v>
      </x:c>
      <x:c r="N1375" s="16" t="n">
        <x:v>5</x:v>
      </x:c>
      <x:c r="O1375" s="16" t="n">
        <x:v>3</x:v>
      </x:c>
      <x:c r="P1375" s="16" t="n">
        <x:f>IF(COUNT(I1375:O1375)&lt;7,"",I1375*8+J1375*3+K1375*2+L1375*2+M1375*2+N1375*2+O1375)</x:f>
        <x:v>88</x:v>
      </x:c>
      <x:c r="Q1375" s="16" t="n">
        <x:f>IF(COUNT(J1375:O1375)&lt;6,"",J1375*5+K1375*4+M1375*4+L1375*3+N1375*2+O1375*2)</x:f>
        <x:v>92</x:v>
      </x:c>
      <x:c r="R1375" s="14" t="str">
        <x:v>high</x:v>
      </x:c>
      <x:c r="S1375" s="14" t="str">
        <x:v>official_prozorro_award_2024_2026</x:v>
      </x:c>
      <x:c r="T1375" s="14" t="str">
        <x:v>official_prozorro_api</x:v>
      </x:c>
      <x:c r="U1375" s="14" t="str">
        <x:v>Не контактували</x:v>
      </x:c>
      <x:c r="V1375" s="15" t="str">
        <x:v>Персоналізований free-pilot outreach по UA-2026-07-24-000935-a; попросити 1 пакет Н.15</x:v>
      </x:c>
      <x:c r="W1375" s="15" t="str">
        <x:v>Власник / директор; керівник ПТО; відповідальний за договори</x:v>
      </x:c>
      <x:c r="X1375" s="15" t="str">
        <x:v>4 нових підтверджених перемог/договорів у Prozorro на 13 173 296 грн; 4 зі строком виконання не раніше 24.08.2026.</x:v>
      </x:c>
      <x:c r="Y1375"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 опублікований строк до 2026-11-16. Попросити один знеособлений пакет здачі за цим workflow.</x:v>
      </x:c>
      <x:c r="Z1375" s="15" t="str">
        <x:v>https://prozorro.gov.ua/tender/UA-2026-07-24-000935-a</x:v>
      </x:c>
      <x:c r="AA1375" s="14" t="str">
        <x:v>42749643</x:v>
      </x:c>
      <x:c r="AB1375" s="14" t="str">
        <x:v>2026-08-24</x:v>
      </x:c>
      <x:c r="AC1375" s="14" t="str"/>
      <x:c r="AD1375" s="20" t="str"/>
      <x:c r="AE1375" s="14" t="str"/>
      <x:c r="AF1375" s="14" t="n">
        <x:v>93</x:v>
      </x:c>
      <x:c r="AG1375" s="14" t="str">
        <x:v>I1</x:v>
      </x:c>
      <x:c r="AH1375" s="14" t="n">
        <x:v>4</x:v>
      </x:c>
      <x:c r="AI1375" s="14" t="n">
        <x:v>4</x:v>
      </x:c>
      <x:c r="AJ1375" s="18" t="n">
        <x:v>13173295.7</x:v>
      </x:c>
      <x:c r="AK1375" s="14" t="str">
        <x:v>https://prozorro.gov.ua/tender/UA-2026-07-24-000935-a</x:v>
      </x:c>
      <x:c r="AL1375" s="19" t="n">
        <x:v>46247.34231864583</x:v>
      </x:c>
      <x:c r="AM1375" s="19" t="n">
        <x:v>46342</x:v>
      </x:c>
      <x:c r="AN1375" s="15" t="str">
        <x:v>Промислова електрика / ПНР</x:v>
      </x:c>
      <x:c r="AO1375" s="15" t="str">
        <x:v>browser_verified_industry_profile_2026-08-24</x:v>
      </x:c>
    </x:row>
    <x:row r="1376">
      <x:c r="A1376" s="14" t="str">
        <x:v>W5-004</x:v>
      </x:c>
      <x:c r="B1376" s="14" t="str">
        <x:v>Prozorro vertical expansion — 24.08</x:v>
      </x:c>
      <x:c r="C1376" s="14" t="str">
        <x:v>Товариство з обмеженою відповідальністю  "Електротехнічна компанія"</x:v>
      </x:c>
      <x:c r="D1376" s="14" t="str">
        <x:v>Резервне живлення</x:v>
      </x:c>
      <x:c r="E1376" s="14" t="str">
        <x:v>Pilot now</x:v>
      </x:c>
      <x:c r="F1376" s="17" t="str">
        <x:v>P1</x:v>
      </x:c>
      <x:c r="G1376" s="14" t="str"/>
      <x:c r="H1376" s="14" t="str">
        <x:v>Пілот зараз — Н.15 subset</x:v>
      </x:c>
      <x:c r="I1376" s="16" t="n">
        <x:v>4</x:v>
      </x:c>
      <x:c r="J1376" s="16" t="n">
        <x:v>5</x:v>
      </x:c>
      <x:c r="K1376" s="16" t="n">
        <x:v>5</x:v>
      </x:c>
      <x:c r="L1376" s="16" t="n">
        <x:v>4</x:v>
      </x:c>
      <x:c r="M1376" s="16" t="n">
        <x:v>5</x:v>
      </x:c>
      <x:c r="N1376" s="16" t="n">
        <x:v>5</x:v>
      </x:c>
      <x:c r="O1376" s="16" t="n">
        <x:v>3</x:v>
      </x:c>
      <x:c r="P1376" s="16" t="n">
        <x:f>IF(COUNT(I1376:O1376)&lt;7,"",I1376*8+J1376*3+K1376*2+L1376*2+M1376*2+N1376*2+O1376)</x:f>
        <x:v>88</x:v>
      </x:c>
      <x:c r="Q1376" s="16" t="n">
        <x:f>IF(COUNT(J1376:O1376)&lt;6,"",J1376*5+K1376*4+M1376*4+L1376*3+N1376*2+O1376*2)</x:f>
        <x:v>93</x:v>
      </x:c>
      <x:c r="R1376" s="14" t="str">
        <x:v>high</x:v>
      </x:c>
      <x:c r="S1376" s="14" t="str">
        <x:v>official_prozorro_award_2024_2026</x:v>
      </x:c>
      <x:c r="T1376" s="14" t="str">
        <x:v>official_prozorro_api</x:v>
      </x:c>
      <x:c r="U1376" s="14" t="str">
        <x:v>Не контактували</x:v>
      </x:c>
      <x:c r="V1376" s="15" t="str">
        <x:v>Персоналізований free-pilot outreach по UA-2026-08-05-010167-a; попросити 1 пакет Н.15</x:v>
      </x:c>
      <x:c r="W1376" s="15" t="str">
        <x:v>Власник / директор; керівник ПТО; відповідальний за договори</x:v>
      </x:c>
      <x:c r="X1376" s="15" t="str">
        <x:v>11 нових підтверджених перемог/договорів у Prozorro на 9 177 293 грн; 3 зі строком виконання не раніше 24.08.2026.</x:v>
      </x:c>
      <x:c r="Y1376"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 опублікований строк до 2026-11-30. Попросити один знеособлений пакет здачі за цим workflow.</x:v>
      </x:c>
      <x:c r="Z1376" s="15" t="str">
        <x:v>https://prozorro.gov.ua/tender/UA-2026-08-05-010167-a</x:v>
      </x:c>
      <x:c r="AA1376" s="14" t="str">
        <x:v>32346759</x:v>
      </x:c>
      <x:c r="AB1376" s="14" t="str">
        <x:v>2026-08-24</x:v>
      </x:c>
      <x:c r="AC1376" s="14" t="str"/>
      <x:c r="AD1376" s="20" t="str"/>
      <x:c r="AE1376" s="14" t="str"/>
      <x:c r="AF1376" s="14" t="n">
        <x:v>89</x:v>
      </x:c>
      <x:c r="AG1376" s="14" t="str">
        <x:v>I1</x:v>
      </x:c>
      <x:c r="AH1376" s="14" t="n">
        <x:v>11</x:v>
      </x:c>
      <x:c r="AI1376" s="14" t="n">
        <x:v>3</x:v>
      </x:c>
      <x:c r="AJ1376" s="18" t="n">
        <x:v>9177292.96</x:v>
      </x:c>
      <x:c r="AK1376" s="14" t="str">
        <x:v>https://prozorro.gov.ua/tender/UA-2026-08-05-010167-a</x:v>
      </x:c>
      <x:c r="AL1376" s="19" t="n">
        <x:v>46251.4519612963</x:v>
      </x:c>
      <x:c r="AM1376" s="19" t="n">
        <x:v>46356</x:v>
      </x:c>
      <x:c r="AN1376" s="15" t="str">
        <x:v>Резервне живлення</x:v>
      </x:c>
      <x:c r="AO1376" s="15" t="str">
        <x:v>browser_verified_registry_profile_2026-08-24</x:v>
      </x:c>
    </x:row>
    <x:row r="1377">
      <x:c r="A1377" s="14" t="str">
        <x:v>W5-005</x:v>
      </x:c>
      <x:c r="B1377" s="14" t="str">
        <x:v>Prozorro vertical expansion — 24.08</x:v>
      </x:c>
      <x:c r="C1377" s="14" t="str">
        <x:v>ТОВ "ІНЕК ІНЖИНІРИНГ"</x:v>
      </x:c>
      <x:c r="D1377" s="14" t="str">
        <x:v>Теплові пункти</x:v>
      </x:c>
      <x:c r="E1377" s="14" t="str">
        <x:v>Expansion discovery</x:v>
      </x:c>
      <x:c r="F1377" s="17" t="str">
        <x:v>D1</x:v>
      </x:c>
      <x:c r="G1377" s="14" t="str"/>
      <x:c r="H1377" s="14" t="str">
        <x:v>Discovery розширення — 2 тижні</x:v>
      </x:c>
      <x:c r="I1377" s="16" t="n">
        <x:v>1</x:v>
      </x:c>
      <x:c r="J1377" s="16" t="n">
        <x:v>5</x:v>
      </x:c>
      <x:c r="K1377" s="16" t="n">
        <x:v>5</x:v>
      </x:c>
      <x:c r="L1377" s="16" t="n">
        <x:v>5</x:v>
      </x:c>
      <x:c r="M1377" s="16" t="n">
        <x:v>5</x:v>
      </x:c>
      <x:c r="N1377" s="16" t="n">
        <x:v>5</x:v>
      </x:c>
      <x:c r="O1377" s="16" t="n">
        <x:v>3</x:v>
      </x:c>
      <x:c r="P1377" s="16" t="n">
        <x:f>IF(COUNT(I1377:O1377)&lt;7,"",I1377*8+J1377*3+K1377*2+L1377*2+M1377*2+N1377*2+O1377)</x:f>
        <x:v>66</x:v>
      </x:c>
      <x:c r="Q1377" s="16" t="n">
        <x:f>IF(COUNT(J1377:O1377)&lt;6,"",J1377*5+K1377*4+M1377*4+L1377*3+N1377*2+O1377*2)</x:f>
        <x:v>96</x:v>
      </x:c>
      <x:c r="R1377" s="14" t="str">
        <x:v>high</x:v>
      </x:c>
      <x:c r="S1377" s="14" t="str">
        <x:v>official_prozorro_award_2024_2026</x:v>
      </x:c>
      <x:c r="T1377" s="14" t="str">
        <x:v>official_prozorro_api</x:v>
      </x:c>
      <x:c r="U1377" s="14" t="str">
        <x:v>Не контактували</x:v>
      </x:c>
      <x:c r="V1377" s="15" t="str">
        <x:v>Workflow-audit outreach по UA-2026-07-29-011597-a; попросити 1 пакет здачі та вимоги проєкту</x:v>
      </x:c>
      <x:c r="W1377" s="15" t="str">
        <x:v>Власник / директор; керівник ПТО; відповідальний за договори</x:v>
      </x:c>
      <x:c r="X1377" s="15" t="str">
        <x:v>3 нових підтверджених перемог/договорів у Prozorro на 19 235 968 грн; 2 зі строком виконання не раніше 24.08.2026.</x:v>
      </x:c>
      <x:c r="Y1377" s="1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 опублікований строк до 2026-12-21. Попросити один знеособлений пакет здачі за цим workflow.</x:v>
      </x:c>
      <x:c r="Z1377" s="15" t="str">
        <x:v>https://prozorro.gov.ua/tender/UA-2026-07-29-011597-a</x:v>
      </x:c>
      <x:c r="AA1377" s="14" t="str">
        <x:v>42771802</x:v>
      </x:c>
      <x:c r="AB1377" s="14" t="str">
        <x:v>2026-08-24</x:v>
      </x:c>
      <x:c r="AC1377" s="14" t="str"/>
      <x:c r="AD1377" s="20" t="str"/>
      <x:c r="AE1377" s="14" t="str"/>
      <x:c r="AF1377" s="14" t="n">
        <x:v>88</x:v>
      </x:c>
      <x:c r="AG1377" s="14" t="str">
        <x:v>I1</x:v>
      </x:c>
      <x:c r="AH1377" s="14" t="n">
        <x:v>3</x:v>
      </x:c>
      <x:c r="AI1377" s="14" t="n">
        <x:v>2</x:v>
      </x:c>
      <x:c r="AJ1377" s="18" t="n">
        <x:v>19235967.89</x:v>
      </x:c>
      <x:c r="AK1377" s="14" t="str">
        <x:v>https://prozorro.gov.ua/tender/UA-2026-07-29-011597-a</x:v>
      </x:c>
      <x:c r="AL1377" s="19" t="n">
        <x:v>46253.69804892361</x:v>
      </x:c>
      <x:c r="AM1377" s="19" t="n">
        <x:v>46377</x:v>
      </x:c>
      <x:c r="AN1377" s="15" t="str">
        <x:v>Теплові пункти</x:v>
      </x:c>
      <x:c r="AO1377" s="15" t="str">
        <x:v>not_found_in_top_search</x:v>
      </x:c>
    </x:row>
    <x:row r="1378">
      <x:c r="A1378" s="14" t="str">
        <x:v>W5-006</x:v>
      </x:c>
      <x:c r="B1378" s="14" t="str">
        <x:v>Prozorro vertical expansion — 24.08</x:v>
      </x:c>
      <x:c r="C1378" s="14" t="str">
        <x:v>ПРИВАТНЕ ПІДПРИЄМСТВО " ВЕКТОР - А "</x:v>
      </x:c>
      <x:c r="D1378" s="14" t="str">
        <x:v>Промислова електрика / ПНР</x:v>
      </x:c>
      <x:c r="E1378" s="14" t="str">
        <x:v>Pilot now</x:v>
      </x:c>
      <x:c r="F1378" s="17" t="str">
        <x:v>P1</x:v>
      </x:c>
      <x:c r="G1378" s="14" t="str"/>
      <x:c r="H1378" s="14" t="str">
        <x:v>Пілот зараз — Н.15 subset</x:v>
      </x:c>
      <x:c r="I1378" s="16" t="n">
        <x:v>4</x:v>
      </x:c>
      <x:c r="J1378" s="16" t="n">
        <x:v>5</x:v>
      </x:c>
      <x:c r="K1378" s="16" t="n">
        <x:v>4</x:v>
      </x:c>
      <x:c r="L1378" s="16" t="n">
        <x:v>4</x:v>
      </x:c>
      <x:c r="M1378" s="16" t="n">
        <x:v>5</x:v>
      </x:c>
      <x:c r="N1378" s="16" t="n">
        <x:v>5</x:v>
      </x:c>
      <x:c r="O1378" s="16" t="n">
        <x:v>3</x:v>
      </x:c>
      <x:c r="P1378" s="16" t="n">
        <x:f>IF(COUNT(I1378:O1378)&lt;7,"",I1378*8+J1378*3+K1378*2+L1378*2+M1378*2+N1378*2+O1378)</x:f>
        <x:v>86</x:v>
      </x:c>
      <x:c r="Q1378" s="16" t="n">
        <x:f>IF(COUNT(J1378:O1378)&lt;6,"",J1378*5+K1378*4+M1378*4+L1378*3+N1378*2+O1378*2)</x:f>
        <x:v>89</x:v>
      </x:c>
      <x:c r="R1378" s="14" t="str">
        <x:v>high</x:v>
      </x:c>
      <x:c r="S1378" s="14" t="str">
        <x:v>official_prozorro_award_2024_2026</x:v>
      </x:c>
      <x:c r="T1378" s="14" t="str">
        <x:v>official_prozorro_api</x:v>
      </x:c>
      <x:c r="U1378" s="14" t="str">
        <x:v>Не контактували</x:v>
      </x:c>
      <x:c r="V1378" s="15" t="str">
        <x:v>Персоналізований free-pilot outreach по UA-2026-07-27-002419-a; попросити 1 пакет Н.15</x:v>
      </x:c>
      <x:c r="W1378" s="15" t="str">
        <x:v>Власник / директор; керівник ПТО; відповідальний за договори</x:v>
      </x:c>
      <x:c r="X1378" s="15" t="str">
        <x:v>3 нових підтверджених перемог/договорів у Prozorro на 7 254 135 грн; 3 зі строком виконання не раніше 24.08.2026.</x:v>
      </x:c>
      <x:c r="Y1378"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 опублікований строк до 2026-12-31. Попросити один знеособлений пакет здачі за цим workflow.</x:v>
      </x:c>
      <x:c r="Z1378" s="15" t="str">
        <x:v>https://prozorro.gov.ua/tender/UA-2026-07-27-002419-a</x:v>
      </x:c>
      <x:c r="AA1378" s="14" t="str">
        <x:v>32995105</x:v>
      </x:c>
      <x:c r="AB1378" s="14" t="str">
        <x:v>2026-08-24</x:v>
      </x:c>
      <x:c r="AC1378" s="14" t="str"/>
      <x:c r="AD1378" s="20" t="str"/>
      <x:c r="AE1378" s="14" t="str"/>
      <x:c r="AF1378" s="14" t="n">
        <x:v>84</x:v>
      </x:c>
      <x:c r="AG1378" s="14" t="str">
        <x:v>I1</x:v>
      </x:c>
      <x:c r="AH1378" s="14" t="n">
        <x:v>3</x:v>
      </x:c>
      <x:c r="AI1378" s="14" t="n">
        <x:v>3</x:v>
      </x:c>
      <x:c r="AJ1378" s="18" t="n">
        <x:v>7254135.33</x:v>
      </x:c>
      <x:c r="AK1378" s="14" t="str">
        <x:v>https://prozorro.gov.ua/tender/UA-2026-07-27-002419-a</x:v>
      </x:c>
      <x:c r="AL1378" s="19" t="n">
        <x:v>46247.50735133102</x:v>
      </x:c>
      <x:c r="AM1378" s="19" t="n">
        <x:v>46387</x:v>
      </x:c>
      <x:c r="AN1378" s="15" t="str">
        <x:v>Промислова електрика / ПНР</x:v>
      </x:c>
      <x:c r="AO1378" s="15" t="str">
        <x:v>not_found_in_top_search</x:v>
      </x:c>
    </x:row>
    <x:row r="1379">
      <x:c r="A1379" s="14" t="str">
        <x:v>W5-007</x:v>
      </x:c>
      <x:c r="B1379" s="14" t="str">
        <x:v>Prozorro vertical expansion — 24.08</x:v>
      </x:c>
      <x:c r="C1379" s="14" t="str">
        <x:v>ТОВ "ВД ХОЛДИНГ"</x:v>
      </x:c>
      <x:c r="D1379" s="14" t="str">
        <x:v>ВОЛЗ / телеком</x:v>
      </x:c>
      <x:c r="E1379" s="14" t="str">
        <x:v>Expansion discovery</x:v>
      </x:c>
      <x:c r="F1379" s="17" t="str">
        <x:v>D1</x:v>
      </x:c>
      <x:c r="G1379" s="14" t="str"/>
      <x:c r="H1379" s="14" t="str">
        <x:v>Discovery розширення — 2 тижні</x:v>
      </x:c>
      <x:c r="I1379" s="16" t="n">
        <x:v>1</x:v>
      </x:c>
      <x:c r="J1379" s="16" t="n">
        <x:v>5</x:v>
      </x:c>
      <x:c r="K1379" s="16" t="n">
        <x:v>5</x:v>
      </x:c>
      <x:c r="L1379" s="16" t="n">
        <x:v>4</x:v>
      </x:c>
      <x:c r="M1379" s="16" t="n">
        <x:v>5</x:v>
      </x:c>
      <x:c r="N1379" s="16" t="n">
        <x:v>5</x:v>
      </x:c>
      <x:c r="O1379" s="16" t="n">
        <x:v>3</x:v>
      </x:c>
      <x:c r="P1379" s="16" t="n">
        <x:f>IF(COUNT(I1379:O1379)&lt;7,"",I1379*8+J1379*3+K1379*2+L1379*2+M1379*2+N1379*2+O1379)</x:f>
        <x:v>64</x:v>
      </x:c>
      <x:c r="Q1379" s="16" t="n">
        <x:f>IF(COUNT(J1379:O1379)&lt;6,"",J1379*5+K1379*4+M1379*4+L1379*3+N1379*2+O1379*2)</x:f>
        <x:v>93</x:v>
      </x:c>
      <x:c r="R1379" s="14" t="str">
        <x:v>high</x:v>
      </x:c>
      <x:c r="S1379" s="14" t="str">
        <x:v>official_prozorro_award_2024_2026</x:v>
      </x:c>
      <x:c r="T1379" s="14" t="str">
        <x:v>official_prozorro_api</x:v>
      </x:c>
      <x:c r="U1379" s="14" t="str">
        <x:v>Не контактували</x:v>
      </x:c>
      <x:c r="V1379" s="15" t="str">
        <x:v>Workflow-audit outreach по UA-2026-06-29-010864-a; попросити 1 пакет здачі та вимоги проєкту</x:v>
      </x:c>
      <x:c r="W1379" s="15" t="str">
        <x:v>Власник / директор; керівник ПТО; відповідальний за договори</x:v>
      </x:c>
      <x:c r="X1379" s="15" t="str">
        <x:v>3 нових підтверджених перемог/договорів у Prozorro на 5 192 066 грн; 1 зі строком виконання не раніше 24.08.2026.</x:v>
      </x:c>
      <x:c r="Y1379" s="15" t="str">
        <x:v>Роботи на об'єкті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45230000-8 національного класифікатора України ДК 021:2015 «Єдиний закупівельний словник»); опублікований строк до 2026-12-31. Попросити один знеособлений пакет здачі за цим workflow.</x:v>
      </x:c>
      <x:c r="Z1379" s="15" t="str">
        <x:v>https://prozorro.gov.ua/tender/UA-2026-06-29-010864-a</x:v>
      </x:c>
      <x:c r="AA1379" s="14" t="str">
        <x:v>43127504</x:v>
      </x:c>
      <x:c r="AB1379" s="14" t="str">
        <x:v>2026-08-24</x:v>
      </x:c>
      <x:c r="AC1379" s="14" t="str"/>
      <x:c r="AD1379" s="20" t="str"/>
      <x:c r="AE1379" s="14" t="str"/>
      <x:c r="AF1379" s="14" t="n">
        <x:v>84</x:v>
      </x:c>
      <x:c r="AG1379" s="14" t="str">
        <x:v>I1</x:v>
      </x:c>
      <x:c r="AH1379" s="14" t="n">
        <x:v>3</x:v>
      </x:c>
      <x:c r="AI1379" s="14" t="n">
        <x:v>1</x:v>
      </x:c>
      <x:c r="AJ1379" s="18" t="n">
        <x:v>5192066</x:v>
      </x:c>
      <x:c r="AK1379" s="14" t="str">
        <x:v>https://prozorro.gov.ua/tender/UA-2026-06-29-010864-a</x:v>
      </x:c>
      <x:c r="AL1379" s="19" t="n">
        <x:v>46223.561013900464</x:v>
      </x:c>
      <x:c r="AM1379" s="19" t="n">
        <x:v>46387</x:v>
      </x:c>
      <x:c r="AN1379" s="15" t="str">
        <x:v>ВОЛЗ / телеком</x:v>
      </x:c>
      <x:c r="AO1379" s="15" t="str">
        <x:v>not_found_in_top_search</x:v>
      </x:c>
    </x:row>
    <x:row r="1380">
      <x:c r="A1380" s="14" t="str">
        <x:v>W5-008</x:v>
      </x:c>
      <x:c r="B1380" s="14" t="str">
        <x:v>Prozorro vertical expansion — 24.08</x:v>
      </x:c>
      <x:c r="C1380" s="14" t="str">
        <x:v>ТОВАРИСТВО З ОБМЕЖЕНОЮ ВІДПОВІДАЛЬНІСТЮ "УКРПРОМТРАНСБУД"</x:v>
      </x:c>
      <x:c r="D1380" s="14" t="str">
        <x:v>Залізнична інфраструктура</x:v>
      </x:c>
      <x:c r="E1380" s="14" t="str">
        <x:v>Expansion discovery</x:v>
      </x:c>
      <x:c r="F1380" s="17" t="str">
        <x:v>D1</x:v>
      </x:c>
      <x:c r="G1380" s="14" t="str"/>
      <x:c r="H1380" s="14" t="str">
        <x:v>Discovery розширення — 2 тижні</x:v>
      </x:c>
      <x:c r="I1380" s="16" t="n">
        <x:v>1</x:v>
      </x:c>
      <x:c r="J1380" s="16" t="n">
        <x:v>5</x:v>
      </x:c>
      <x:c r="K1380" s="16" t="n">
        <x:v>5</x:v>
      </x:c>
      <x:c r="L1380" s="16" t="n">
        <x:v>4</x:v>
      </x:c>
      <x:c r="M1380" s="16" t="n">
        <x:v>5</x:v>
      </x:c>
      <x:c r="N1380" s="16" t="n">
        <x:v>5</x:v>
      </x:c>
      <x:c r="O1380" s="16" t="n">
        <x:v>3</x:v>
      </x:c>
      <x:c r="P1380" s="16" t="n">
        <x:f>IF(COUNT(I1380:O1380)&lt;7,"",I1380*8+J1380*3+K1380*2+L1380*2+M1380*2+N1380*2+O1380)</x:f>
        <x:v>64</x:v>
      </x:c>
      <x:c r="Q1380" s="16" t="n">
        <x:f>IF(COUNT(J1380:O1380)&lt;6,"",J1380*5+K1380*4+M1380*4+L1380*3+N1380*2+O1380*2)</x:f>
        <x:v>93</x:v>
      </x:c>
      <x:c r="R1380" s="14" t="str">
        <x:v>high</x:v>
      </x:c>
      <x:c r="S1380" s="14" t="str">
        <x:v>official_prozorro_award_2024_2026</x:v>
      </x:c>
      <x:c r="T1380" s="14" t="str">
        <x:v>official_prozorro_api</x:v>
      </x:c>
      <x:c r="U1380" s="14" t="str">
        <x:v>Не контактували</x:v>
      </x:c>
      <x:c r="V1380" s="15" t="str">
        <x:v>Workflow-audit outreach по UA-2026-07-17-005987-a; попросити 1 пакет здачі та вимоги проєкту</x:v>
      </x:c>
      <x:c r="W1380" s="15" t="str">
        <x:v>Власник / директор; керівник ПТО; відповідальний за договори</x:v>
      </x:c>
      <x:c r="X1380" s="15" t="str">
        <x:v>3 нових підтверджених перемог/договорів у Prozorro на 4 216 359 грн; 2 зі строком виконання не раніше 24.08.2026.</x:v>
      </x:c>
      <x:c r="Y1380" s="15" t="str">
        <x:v>Послуги з ремонту внутрішньозаводських залізничних колій та стрілочних переводів  ПрАТ «ДТРЗ»; опублікований строк до 2026-12-31. Попросити один знеособлений пакет здачі за цим workflow.</x:v>
      </x:c>
      <x:c r="Z1380" s="15" t="str">
        <x:v>https://prozorro.gov.ua/tender/UA-2026-07-17-005987-a</x:v>
      </x:c>
      <x:c r="AA1380" s="14" t="str">
        <x:v>41775616</x:v>
      </x:c>
      <x:c r="AB1380" s="14" t="str">
        <x:v>2026-08-24</x:v>
      </x:c>
      <x:c r="AC1380" s="14" t="str"/>
      <x:c r="AD1380" s="20" t="str"/>
      <x:c r="AE1380" s="14" t="str"/>
      <x:c r="AF1380" s="14" t="n">
        <x:v>84</x:v>
      </x:c>
      <x:c r="AG1380" s="14" t="str">
        <x:v>I1</x:v>
      </x:c>
      <x:c r="AH1380" s="14" t="n">
        <x:v>3</x:v>
      </x:c>
      <x:c r="AI1380" s="14" t="n">
        <x:v>2</x:v>
      </x:c>
      <x:c r="AJ1380" s="18" t="n">
        <x:v>4216359.43</x:v>
      </x:c>
      <x:c r="AK1380" s="14" t="str">
        <x:v>https://prozorro.gov.ua/tender/UA-2026-07-17-005987-a</x:v>
      </x:c>
      <x:c r="AL1380" s="19" t="n">
        <x:v>46241.531548796294</x:v>
      </x:c>
      <x:c r="AM1380" s="19" t="n">
        <x:v>46387</x:v>
      </x:c>
      <x:c r="AN1380" s="15" t="str">
        <x:v>Залізнична інфраструктура</x:v>
      </x:c>
      <x:c r="AO1380" s="15" t="str">
        <x:v>not_found_in_top_search</x:v>
      </x:c>
    </x:row>
    <x:row r="1381">
      <x:c r="A1381" s="14" t="str">
        <x:v>W5-009</x:v>
      </x:c>
      <x:c r="B1381" s="14" t="str">
        <x:v>Prozorro vertical expansion — 24.08</x:v>
      </x:c>
      <x:c r="C1381" s="14" t="str">
        <x:v>2 ДЕРЖАВНИЙ ПОЖЕЖНО-РЯТУВАЛЬНИЙ ЗАГІН ГОЛОВНОГО УПРАВЛІННЯ ДЕРЖАВНОЇ СЛУЖБИ УКРАЇНИ З НАДЗВИЧАЙНИХ СИТУАЦІЙ У ВОЛИНСЬКІЙ ОБЛАСТІ</x:v>
      </x:c>
      <x:c r="D1381" s="14" t="str">
        <x:v>Блискавкозахист / заземлення</x:v>
      </x:c>
      <x:c r="E1381" s="14" t="str">
        <x:v>Requalify</x:v>
      </x:c>
      <x:c r="F1381" s="17" t="str">
        <x:v>R1</x:v>
      </x:c>
      <x:c r="G1381" s="14" t="str"/>
      <x:c r="H1381" s="14" t="str">
        <x:v>Перевірити комерційність підрядної діяльності</x:v>
      </x:c>
      <x:c r="I1381" s="16" t="n">
        <x:v>4</x:v>
      </x:c>
      <x:c r="J1381" s="16" t="n">
        <x:v>5</x:v>
      </x:c>
      <x:c r="K1381" s="16" t="n">
        <x:v>5</x:v>
      </x:c>
      <x:c r="L1381" s="16" t="n">
        <x:v>2</x:v>
      </x:c>
      <x:c r="M1381" s="16" t="n">
        <x:v>5</x:v>
      </x:c>
      <x:c r="N1381" s="16" t="n">
        <x:v>1</x:v>
      </x:c>
      <x:c r="O1381" s="16" t="n">
        <x:v>3</x:v>
      </x:c>
      <x:c r="P1381" s="16" t="n">
        <x:f>IF(COUNT(I1381:O1381)&lt;7,"",I1381*8+J1381*3+K1381*2+L1381*2+M1381*2+N1381*2+O1381)</x:f>
        <x:v>76</x:v>
      </x:c>
      <x:c r="Q1381" s="16" t="n">
        <x:f>IF(COUNT(J1381:O1381)&lt;6,"",J1381*5+K1381*4+M1381*4+L1381*3+N1381*2+O1381*2)</x:f>
        <x:v>79</x:v>
      </x:c>
      <x:c r="R1381" s="14" t="str">
        <x:v>high</x:v>
      </x:c>
      <x:c r="S1381" s="14" t="str">
        <x:v>official_prozorro_award_2024_2026</x:v>
      </x:c>
      <x:c r="T1381" s="14" t="str">
        <x:v>official_prozorro_api</x:v>
      </x:c>
      <x:c r="U1381" s="14" t="str">
        <x:v>Не контактували</x:v>
      </x:c>
      <x:c r="V1381" s="15" t="str">
        <x:v>Кваліфікувати тип постачальника за UA-2026-07-14-011287-a до outreach</x:v>
      </x:c>
      <x:c r="W1381" s="15" t="str">
        <x:v>Керівник підрозділу; перевірити право на комерційні роботи</x:v>
      </x:c>
      <x:c r="X1381" s="15" t="str">
        <x:v>19 нових підтверджених перемог/договорів у Prozorro на 273 932 грн; 12 зі строком виконання не раніше 24.08.2026.</x:v>
      </x:c>
      <x:c r="Y1381" s="15" t="str">
        <x:v>Монтаж, ремонт і перевірка надійності блискавкозахисту та замірювання опору ізоляції електромереж і електроустаткування; опублікований строк до 2026-12-15. Попросити один знеособлений пакет здачі за цим workflow.</x:v>
      </x:c>
      <x:c r="Z1381" s="15" t="str">
        <x:v>https://prozorro.gov.ua/tender/UA-2026-07-14-011287-a</x:v>
      </x:c>
      <x:c r="AA1381" s="14" t="str">
        <x:v>38079323</x:v>
      </x:c>
      <x:c r="AB1381" s="14" t="str">
        <x:v>2026-08-24</x:v>
      </x:c>
      <x:c r="AC1381" s="14" t="str"/>
      <x:c r="AD1381" s="20" t="str"/>
      <x:c r="AE1381" s="14" t="str"/>
      <x:c r="AF1381" s="14" t="n">
        <x:v>81</x:v>
      </x:c>
      <x:c r="AG1381" s="14" t="str">
        <x:v>I1</x:v>
      </x:c>
      <x:c r="AH1381" s="14" t="n">
        <x:v>19</x:v>
      </x:c>
      <x:c r="AI1381" s="14" t="n">
        <x:v>12</x:v>
      </x:c>
      <x:c r="AJ1381" s="18" t="n">
        <x:v>273932.42</x:v>
      </x:c>
      <x:c r="AK1381" s="14" t="str">
        <x:v>https://prozorro.gov.ua/tender/UA-2026-07-14-011287-a</x:v>
      </x:c>
      <x:c r="AL1381" s="19" t="n">
        <x:v>46217.58265238426</x:v>
      </x:c>
      <x:c r="AM1381" s="19" t="n">
        <x:v>46371.62321759259</x:v>
      </x:c>
      <x:c r="AN1381" s="15" t="str">
        <x:v>Блискавкозахист / заземлення</x:v>
      </x:c>
      <x:c r="AO1381" s="15" t="str">
        <x:v>not_found_in_top_search</x:v>
      </x:c>
    </x:row>
    <x:row r="1382">
      <x:c r="A1382" s="14" t="str">
        <x:v>W5-010</x:v>
      </x:c>
      <x:c r="B1382" s="14" t="str">
        <x:v>Prozorro vertical expansion — 24.08</x:v>
      </x:c>
      <x:c r="C1382" s="14" t="str">
        <x:v>1 ДЕРЖАВНИЙ ПОЖЕЖНО-РЯТУВАЛЬНИЙ ЗАГІН ГОЛОВНОГО УПРАВЛІННЯ ДЕРЖАВНОЇ СЛУЖБИ УКРАЇНИ З НАДЗВИЧАЙНИХ СИТУАЦІЙ У ВОЛИНСЬКІЙ ОБЛАСТІ</x:v>
      </x:c>
      <x:c r="D1382" s="14" t="str">
        <x:v>Блискавкозахист / заземлення</x:v>
      </x:c>
      <x:c r="E1382" s="14" t="str">
        <x:v>Requalify</x:v>
      </x:c>
      <x:c r="F1382" s="17" t="str">
        <x:v>R1</x:v>
      </x:c>
      <x:c r="G1382" s="14" t="str"/>
      <x:c r="H1382" s="14" t="str">
        <x:v>Перевірити комерційність підрядної діяльності</x:v>
      </x:c>
      <x:c r="I1382" s="16" t="n">
        <x:v>4</x:v>
      </x:c>
      <x:c r="J1382" s="16" t="n">
        <x:v>5</x:v>
      </x:c>
      <x:c r="K1382" s="16" t="n">
        <x:v>5</x:v>
      </x:c>
      <x:c r="L1382" s="16" t="n">
        <x:v>2</x:v>
      </x:c>
      <x:c r="M1382" s="16" t="n">
        <x:v>5</x:v>
      </x:c>
      <x:c r="N1382" s="16" t="n">
        <x:v>1</x:v>
      </x:c>
      <x:c r="O1382" s="16" t="n">
        <x:v>3</x:v>
      </x:c>
      <x:c r="P1382" s="16" t="n">
        <x:f>IF(COUNT(I1382:O1382)&lt;7,"",I1382*8+J1382*3+K1382*2+L1382*2+M1382*2+N1382*2+O1382)</x:f>
        <x:v>76</x:v>
      </x:c>
      <x:c r="Q1382" s="16" t="n">
        <x:f>IF(COUNT(J1382:O1382)&lt;6,"",J1382*5+K1382*4+M1382*4+L1382*3+N1382*2+O1382*2)</x:f>
        <x:v>79</x:v>
      </x:c>
      <x:c r="R1382" s="14" t="str">
        <x:v>high</x:v>
      </x:c>
      <x:c r="S1382" s="14" t="str">
        <x:v>official_prozorro_award_2024_2026</x:v>
      </x:c>
      <x:c r="T1382" s="14" t="str">
        <x:v>official_prozorro_api</x:v>
      </x:c>
      <x:c r="U1382" s="14" t="str">
        <x:v>Не контактували</x:v>
      </x:c>
      <x:c r="V1382" s="15" t="str">
        <x:v>Кваліфікувати тип постачальника за UA-2026-08-18-008189-a до outreach</x:v>
      </x:c>
      <x:c r="W1382" s="15" t="str">
        <x:v>Керівник підрозділу; перевірити право на комерційні роботи</x:v>
      </x:c>
      <x:c r="X1382" s="15" t="str">
        <x:v>17 нових підтверджених перемог/договорів у Prozorro на 192 863 грн; 7 зі строком виконання не раніше 24.08.2026.</x:v>
      </x:c>
      <x:c r="Y1382" s="15" t="str">
        <x:v>Монтаж, ремонт і перевірка надійності блискавкозахисту та замірювання опору ізоляції електромереж і електроустаткування; опублікований строк до 2026-12-31. Попросити один знеособлений пакет здачі за цим workflow.</x:v>
      </x:c>
      <x:c r="Z1382" s="15" t="str">
        <x:v>https://prozorro.gov.ua/tender/UA-2026-08-18-008189-a</x:v>
      </x:c>
      <x:c r="AA1382" s="14" t="str">
        <x:v>38131220</x:v>
      </x:c>
      <x:c r="AB1382" s="14" t="str">
        <x:v>2026-08-24</x:v>
      </x:c>
      <x:c r="AC1382" s="14" t="str"/>
      <x:c r="AD1382" s="20" t="str"/>
      <x:c r="AE1382" s="14" t="str"/>
      <x:c r="AF1382" s="14" t="n">
        <x:v>81</x:v>
      </x:c>
      <x:c r="AG1382" s="14" t="str">
        <x:v>I1</x:v>
      </x:c>
      <x:c r="AH1382" s="14" t="n">
        <x:v>17</x:v>
      </x:c>
      <x:c r="AI1382" s="14" t="n">
        <x:v>7</x:v>
      </x:c>
      <x:c r="AJ1382" s="18" t="n">
        <x:v>192863.06</x:v>
      </x:c>
      <x:c r="AK1382" s="14" t="str">
        <x:v>https://prozorro.gov.ua/tender/UA-2026-08-18-008189-a</x:v>
      </x:c>
      <x:c r="AL1382" s="19" t="n">
        <x:v>46252.48331174769</x:v>
      </x:c>
      <x:c r="AM1382" s="19" t="n">
        <x:v>46387</x:v>
      </x:c>
      <x:c r="AN1382" s="15" t="str">
        <x:v>Блискавкозахист / заземлення</x:v>
      </x:c>
      <x:c r="AO1382" s="15" t="str">
        <x:v>not_found_in_top_search</x:v>
      </x:c>
    </x:row>
    <x:row r="1383">
      <x:c r="A1383" s="14" t="str">
        <x:v>W5-011</x:v>
      </x:c>
      <x:c r="B1383" s="14" t="str">
        <x:v>Prozorro vertical expansion — 24.08</x:v>
      </x:c>
      <x:c r="C1383" s="14" t="str">
        <x:v>АВАРІЙНО-РЯТУВАЛЬНИЙ ЗАГІН СПЕЦІАЛЬНОГО ПРИЗНАЧЕННЯ ГОЛОВНОГО УПРАВЛІННЯ ДЕРЖАВНОЇ СЛУЖБИ УКРАЇНИ З НАДЗВИЧАЙНИХ СИТУАЦІЙ У ЖИТОМИРСЬКІЙ ОБЛАСТІ</x:v>
      </x:c>
      <x:c r="D1383" s="14" t="str">
        <x:v>Блискавкозахист / заземлення</x:v>
      </x:c>
      <x:c r="E1383" s="14" t="str">
        <x:v>Requalify</x:v>
      </x:c>
      <x:c r="F1383" s="17" t="str">
        <x:v>R1</x:v>
      </x:c>
      <x:c r="G1383" s="14" t="str"/>
      <x:c r="H1383" s="14" t="str">
        <x:v>Перевірити комерційність підрядної діяльності</x:v>
      </x:c>
      <x:c r="I1383" s="16" t="n">
        <x:v>4</x:v>
      </x:c>
      <x:c r="J1383" s="16" t="n">
        <x:v>5</x:v>
      </x:c>
      <x:c r="K1383" s="16" t="n">
        <x:v>5</x:v>
      </x:c>
      <x:c r="L1383" s="16" t="n">
        <x:v>2</x:v>
      </x:c>
      <x:c r="M1383" s="16" t="n">
        <x:v>5</x:v>
      </x:c>
      <x:c r="N1383" s="16" t="n">
        <x:v>1</x:v>
      </x:c>
      <x:c r="O1383" s="16" t="n">
        <x:v>3</x:v>
      </x:c>
      <x:c r="P1383" s="16" t="n">
        <x:f>IF(COUNT(I1383:O1383)&lt;7,"",I1383*8+J1383*3+K1383*2+L1383*2+M1383*2+N1383*2+O1383)</x:f>
        <x:v>76</x:v>
      </x:c>
      <x:c r="Q1383" s="16" t="n">
        <x:f>IF(COUNT(J1383:O1383)&lt;6,"",J1383*5+K1383*4+M1383*4+L1383*3+N1383*2+O1383*2)</x:f>
        <x:v>79</x:v>
      </x:c>
      <x:c r="R1383" s="14" t="str">
        <x:v>high</x:v>
      </x:c>
      <x:c r="S1383" s="14" t="str">
        <x:v>official_prozorro_award_2024_2026</x:v>
      </x:c>
      <x:c r="T1383" s="14" t="str">
        <x:v>official_prozorro_api</x:v>
      </x:c>
      <x:c r="U1383" s="14" t="str">
        <x:v>Не контактували</x:v>
      </x:c>
      <x:c r="V1383" s="15" t="str">
        <x:v>Кваліфікувати тип постачальника за UA-2026-07-24-002575-a до outreach</x:v>
      </x:c>
      <x:c r="W1383" s="15" t="str">
        <x:v>Керівник підрозділу; перевірити право на комерційні роботи</x:v>
      </x:c>
      <x:c r="X1383" s="15" t="str">
        <x:v>11 нових підтверджених перемог/договорів у Prozorro на 150 227 грн; 8 зі строком виконання не раніше 24.08.2026.</x:v>
      </x:c>
      <x:c r="Y1383" s="15" t="str">
        <x:v>Послуги перевірки надійності блискавкозахисту та замірювання опору ізоляції електромереж і електроустаткування (код послуги 4060034 - Монтаж, ремонт і перевірка надійності блискавкозахисту та замірювання опору ізоляції електромереж і електроустаткування) на об'єктах у відповідності з переліком (Додаток №1); опублікований строк до 2026-12-31. Попросити один знеособлений пакет здачі за цим workflow.</x:v>
      </x:c>
      <x:c r="Z1383" s="15" t="str">
        <x:v>https://prozorro.gov.ua/tender/UA-2026-07-24-002575-a</x:v>
      </x:c>
      <x:c r="AA1383" s="14" t="str">
        <x:v>35099609</x:v>
      </x:c>
      <x:c r="AB1383" s="14" t="str">
        <x:v>2026-08-24</x:v>
      </x:c>
      <x:c r="AC1383" s="14" t="str"/>
      <x:c r="AD1383" s="20" t="str"/>
      <x:c r="AE1383" s="14" t="str"/>
      <x:c r="AF1383" s="14" t="n">
        <x:v>81</x:v>
      </x:c>
      <x:c r="AG1383" s="14" t="str">
        <x:v>I1</x:v>
      </x:c>
      <x:c r="AH1383" s="14" t="n">
        <x:v>11</x:v>
      </x:c>
      <x:c r="AI1383" s="14" t="n">
        <x:v>8</x:v>
      </x:c>
      <x:c r="AJ1383" s="18" t="n">
        <x:v>150227.13</x:v>
      </x:c>
      <x:c r="AK1383" s="14" t="str">
        <x:v>https://prozorro.gov.ua/tender/UA-2026-07-24-002575-a</x:v>
      </x:c>
      <x:c r="AL1383" s="19" t="n">
        <x:v>46227.52032413195</x:v>
      </x:c>
      <x:c r="AM1383" s="19" t="n">
        <x:v>46387</x:v>
      </x:c>
      <x:c r="AN1383" s="15" t="str">
        <x:v>Блискавкозахист / заземлення</x:v>
      </x:c>
      <x:c r="AO1383" s="15" t="str">
        <x:v>not_found_in_top_search</x:v>
      </x:c>
    </x:row>
    <x:row r="1384">
      <x:c r="A1384" s="14" t="str">
        <x:v>W5-012</x:v>
      </x:c>
      <x:c r="B1384" s="14" t="str">
        <x:v>Prozorro vertical expansion — 24.08</x:v>
      </x:c>
      <x:c r="C1384" s="14" t="str">
        <x:v>ТОВАРИСТВО З ОБМЕЖЕНОЮ ВІДПОВІДАЛЬНІСТЮ "БУДІВЕЛЬНА КОМПАНІЯ "АСКОН"</x:v>
      </x:c>
      <x:c r="D1384" s="14" t="str">
        <x:v>Ремонт і підсилення бетону</x:v>
      </x:c>
      <x:c r="E1384" s="14" t="str">
        <x:v>Expansion discovery</x:v>
      </x:c>
      <x:c r="F1384" s="17" t="str">
        <x:v>D1</x:v>
      </x:c>
      <x:c r="G1384" s="14" t="str"/>
      <x:c r="H1384" s="14" t="str">
        <x:v>Discovery розширення — 2 тижні</x:v>
      </x:c>
      <x:c r="I1384" s="16" t="n">
        <x:v>1</x:v>
      </x:c>
      <x:c r="J1384" s="16" t="n">
        <x:v>5</x:v>
      </x:c>
      <x:c r="K1384" s="16" t="n">
        <x:v>5</x:v>
      </x:c>
      <x:c r="L1384" s="16" t="n">
        <x:v>5</x:v>
      </x:c>
      <x:c r="M1384" s="16" t="n">
        <x:v>5</x:v>
      </x:c>
      <x:c r="N1384" s="16" t="n">
        <x:v>5</x:v>
      </x:c>
      <x:c r="O1384" s="16" t="n">
        <x:v>3</x:v>
      </x:c>
      <x:c r="P1384" s="16" t="n">
        <x:f>IF(COUNT(I1384:O1384)&lt;7,"",I1384*8+J1384*3+K1384*2+L1384*2+M1384*2+N1384*2+O1384)</x:f>
        <x:v>66</x:v>
      </x:c>
      <x:c r="Q1384" s="16" t="n">
        <x:f>IF(COUNT(J1384:O1384)&lt;6,"",J1384*5+K1384*4+M1384*4+L1384*3+N1384*2+O1384*2)</x:f>
        <x:v>96</x:v>
      </x:c>
      <x:c r="R1384" s="14" t="str">
        <x:v>high</x:v>
      </x:c>
      <x:c r="S1384" s="14" t="str">
        <x:v>official_prozorro_award_2024_2026</x:v>
      </x:c>
      <x:c r="T1384" s="14" t="str">
        <x:v>official_prozorro_api</x:v>
      </x:c>
      <x:c r="U1384" s="14" t="str">
        <x:v>Не контактували</x:v>
      </x:c>
      <x:c r="V1384" s="15" t="str">
        <x:v>Workflow-audit outreach по UA-2026-04-08-000612-a; попросити 1 пакет здачі та вимоги проєкту</x:v>
      </x:c>
      <x:c r="W1384" s="15" t="str">
        <x:v>Власник / директор; керівник ПТО; відповідальний за договори</x:v>
      </x:c>
      <x:c r="X1384" s="15" t="str">
        <x:v>5 нових підтверджених перемог/договорів у Prozorro на 11 477 795 грн; 1 зі строком виконання не раніше 24.08.2026.</x:v>
      </x:c>
      <x:c r="Y1384"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 опублікований строк до 2026-05-31. Попросити один знеособлений пакет здачі за цим workflow.</x:v>
      </x:c>
      <x:c r="Z1384" s="15" t="str">
        <x:v>https://prozorro.gov.ua/tender/UA-2026-04-08-000612-a</x:v>
      </x:c>
      <x:c r="AA1384" s="14" t="str">
        <x:v>40981378</x:v>
      </x:c>
      <x:c r="AB1384" s="14" t="str">
        <x:v>2026-08-24</x:v>
      </x:c>
      <x:c r="AC1384" s="14" t="str"/>
      <x:c r="AD1384" s="20" t="str"/>
      <x:c r="AE1384" s="14" t="str"/>
      <x:c r="AF1384" s="14" t="n">
        <x:v>79</x:v>
      </x:c>
      <x:c r="AG1384" s="14" t="str">
        <x:v>I1</x:v>
      </x:c>
      <x:c r="AH1384" s="14" t="n">
        <x:v>5</x:v>
      </x:c>
      <x:c r="AI1384" s="14" t="n">
        <x:v>1</x:v>
      </x:c>
      <x:c r="AJ1384" s="18" t="n">
        <x:v>11477794.8</x:v>
      </x:c>
      <x:c r="AK1384" s="14" t="str">
        <x:v>https://prozorro.gov.ua/tender/UA-2026-04-08-000612-a</x:v>
      </x:c>
      <x:c r="AL1384" s="19" t="n">
        <x:v>46120.25809859954</x:v>
      </x:c>
      <x:c r="AM1384" s="19" t="n">
        <x:v>46173</x:v>
      </x:c>
      <x:c r="AN1384" s="15" t="str">
        <x:v>Ремонт і підсилення бетону</x:v>
      </x:c>
      <x:c r="AO1384" s="15" t="str">
        <x:v>not_found_in_top_search</x:v>
      </x:c>
    </x:row>
    <x:row r="1385">
      <x:c r="A1385" s="14" t="str">
        <x:v>W5-013</x:v>
      </x:c>
      <x:c r="B1385" s="14" t="str">
        <x:v>Prozorro vertical expansion — 24.08</x:v>
      </x:c>
      <x:c r="C1385" s="14" t="str">
        <x:v>ТОВАРИСТВО З ОБМЕЖЕНОЮ ВІДПОВІДАЛЬНІСТЮ "ШЛЯХБУДСЕРВІС - Д"</x:v>
      </x:c>
      <x:c r="D1385" s="14" t="str">
        <x:v>Зовнішні мережі</x:v>
      </x:c>
      <x:c r="E1385" s="14" t="str">
        <x:v>Expansion discovery</x:v>
      </x:c>
      <x:c r="F1385" s="17" t="str">
        <x:v>D1</x:v>
      </x:c>
      <x:c r="G1385" s="14" t="str"/>
      <x:c r="H1385" s="14" t="str">
        <x:v>Discovery розширення — 2 тижні</x:v>
      </x:c>
      <x:c r="I1385" s="16" t="n">
        <x:v>1</x:v>
      </x:c>
      <x:c r="J1385" s="16" t="n">
        <x:v>5</x:v>
      </x:c>
      <x:c r="K1385" s="16" t="n">
        <x:v>5</x:v>
      </x:c>
      <x:c r="L1385" s="16" t="n">
        <x:v>5</x:v>
      </x:c>
      <x:c r="M1385" s="16" t="n">
        <x:v>5</x:v>
      </x:c>
      <x:c r="N1385" s="16" t="n">
        <x:v>5</x:v>
      </x:c>
      <x:c r="O1385" s="16" t="n">
        <x:v>3</x:v>
      </x:c>
      <x:c r="P1385" s="16" t="n">
        <x:f>IF(COUNT(I1385:O1385)&lt;7,"",I1385*8+J1385*3+K1385*2+L1385*2+M1385*2+N1385*2+O1385)</x:f>
        <x:v>66</x:v>
      </x:c>
      <x:c r="Q1385" s="16" t="n">
        <x:f>IF(COUNT(J1385:O1385)&lt;6,"",J1385*5+K1385*4+M1385*4+L1385*3+N1385*2+O1385*2)</x:f>
        <x:v>96</x:v>
      </x:c>
      <x:c r="R1385" s="14" t="str">
        <x:v>high</x:v>
      </x:c>
      <x:c r="S1385" s="14" t="str">
        <x:v>official_prozorro_award_2024_2026</x:v>
      </x:c>
      <x:c r="T1385" s="14" t="str">
        <x:v>official_prozorro_api</x:v>
      </x:c>
      <x:c r="U1385" s="14" t="str">
        <x:v>Не контактували</x:v>
      </x:c>
      <x:c r="V1385" s="15" t="str">
        <x:v>Workflow-audit outreach по UA-2026-07-27-009075-a; попросити 1 пакет здачі та вимоги проєкту</x:v>
      </x:c>
      <x:c r="W1385" s="15" t="str">
        <x:v>Власник / директор; керівник ПТО; відповідальний за договори</x:v>
      </x:c>
      <x:c r="X1385" s="15" t="str">
        <x:v>2 нових підтверджених перемог/договорів у Prozorro на 24 046 028 грн; 2 зі строком виконання не раніше 24.08.2026.</x:v>
      </x:c>
      <x:c r="Y1385" s="15" t="str">
        <x:v>«Нове будівництво каналізаційного колектора по вул. Черемшини в с. Сокільники Львівського району Львівської області» (коригування) (Код ДК 021:2015: 45232400-6 — Будівництво каналізаційних колекторів); опублікований строк до 2027-12-31. Попросити один знеособлений пакет здачі за цим workflow.</x:v>
      </x:c>
      <x:c r="Z1385" s="15" t="str">
        <x:v>https://prozorro.gov.ua/tender/UA-2026-07-27-009075-a</x:v>
      </x:c>
      <x:c r="AA1385" s="14" t="str">
        <x:v>03580920</x:v>
      </x:c>
      <x:c r="AB1385" s="14" t="str">
        <x:v>2026-08-24</x:v>
      </x:c>
      <x:c r="AC1385" s="14" t="str"/>
      <x:c r="AD1385" s="20" t="str"/>
      <x:c r="AE1385" s="14" t="str"/>
      <x:c r="AF1385" s="14" t="n">
        <x:v>78</x:v>
      </x:c>
      <x:c r="AG1385" s="14" t="str">
        <x:v>I1</x:v>
      </x:c>
      <x:c r="AH1385" s="14" t="n">
        <x:v>2</x:v>
      </x:c>
      <x:c r="AI1385" s="14" t="n">
        <x:v>2</x:v>
      </x:c>
      <x:c r="AJ1385" s="18" t="n">
        <x:v>24046028</x:v>
      </x:c>
      <x:c r="AK1385" s="14" t="str">
        <x:v>https://prozorro.gov.ua/tender/UA-2026-07-27-009075-a</x:v>
      </x:c>
      <x:c r="AL1385" s="19" t="n">
        <x:v>46253.45096638889</x:v>
      </x:c>
      <x:c r="AM1385" s="19" t="n">
        <x:v>46752.58230324074</x:v>
      </x:c>
      <x:c r="AN1385" s="15" t="str">
        <x:v>Зовнішні мережі</x:v>
      </x:c>
      <x:c r="AO1385" s="15" t="str">
        <x:v>not_found_in_top_search</x:v>
      </x:c>
    </x:row>
    <x:row r="1386">
      <x:c r="A1386" s="14" t="str">
        <x:v>W5-014</x:v>
      </x:c>
      <x:c r="B1386" s="14" t="str">
        <x:v>Prozorro vertical expansion — 24.08</x:v>
      </x:c>
      <x:c r="C1386" s="14" t="str">
        <x:v>ПРИВАТНЕ ПІДПРИЄМСТВО "ВЛАДІКОС"</x:v>
      </x:c>
      <x:c r="D1386" s="14" t="str">
        <x:v>Залізнична інфраструктура</x:v>
      </x:c>
      <x:c r="E1386" s="14" t="str">
        <x:v>Expansion discovery</x:v>
      </x:c>
      <x:c r="F1386" s="17" t="str">
        <x:v>D1</x:v>
      </x:c>
      <x:c r="G1386" s="14" t="str"/>
      <x:c r="H1386" s="14" t="str">
        <x:v>Discovery розширення — 2 тижні</x:v>
      </x:c>
      <x:c r="I1386" s="16" t="n">
        <x:v>1</x:v>
      </x:c>
      <x:c r="J1386" s="16" t="n">
        <x:v>5</x:v>
      </x:c>
      <x:c r="K1386" s="16" t="n">
        <x:v>5</x:v>
      </x:c>
      <x:c r="L1386" s="16" t="n">
        <x:v>5</x:v>
      </x:c>
      <x:c r="M1386" s="16" t="n">
        <x:v>5</x:v>
      </x:c>
      <x:c r="N1386" s="16" t="n">
        <x:v>5</x:v>
      </x:c>
      <x:c r="O1386" s="16" t="n">
        <x:v>3</x:v>
      </x:c>
      <x:c r="P1386" s="16" t="n">
        <x:f>IF(COUNT(I1386:O1386)&lt;7,"",I1386*8+J1386*3+K1386*2+L1386*2+M1386*2+N1386*2+O1386)</x:f>
        <x:v>66</x:v>
      </x:c>
      <x:c r="Q1386" s="16" t="n">
        <x:f>IF(COUNT(J1386:O1386)&lt;6,"",J1386*5+K1386*4+M1386*4+L1386*3+N1386*2+O1386*2)</x:f>
        <x:v>96</x:v>
      </x:c>
      <x:c r="R1386" s="14" t="str">
        <x:v>high</x:v>
      </x:c>
      <x:c r="S1386" s="14" t="str">
        <x:v>official_prozorro_award_2024_2026</x:v>
      </x:c>
      <x:c r="T1386" s="14" t="str">
        <x:v>official_prozorro_api</x:v>
      </x:c>
      <x:c r="U1386" s="14" t="str">
        <x:v>Не контактували</x:v>
      </x:c>
      <x:c r="V1386" s="15" t="str">
        <x:v>Workflow-audit outreach по UA-2026-07-10-009539-a; попросити 1 пакет здачі та вимоги проєкту</x:v>
      </x:c>
      <x:c r="W1386" s="15" t="str">
        <x:v>Власник / директор; керівник ПТО; відповідальний за договори</x:v>
      </x:c>
      <x:c r="X1386" s="15" t="str">
        <x:v>2 нових підтверджених перемог/договорів у Prozorro на 11 781 946 грн; 1 зі строком виконання не раніше 24.08.2026.</x:v>
      </x:c>
      <x:c r="Y1386" s="15" t="str">
        <x:v>ДП "СхідГЗК".   Поточний ремонт залізничних колій ЗЦ Інгульської шахти ПК110+15 - ПК141; опублікований строк до 2026-11-30. Попросити один знеособлений пакет здачі за цим workflow.</x:v>
      </x:c>
      <x:c r="Z1386" s="15" t="str">
        <x:v>https://prozorro.gov.ua/tender/UA-2026-07-10-009539-a</x:v>
      </x:c>
      <x:c r="AA1386" s="14" t="str">
        <x:v>34689669</x:v>
      </x:c>
      <x:c r="AB1386" s="14" t="str">
        <x:v>2026-08-24</x:v>
      </x:c>
      <x:c r="AC1386" s="14" t="str"/>
      <x:c r="AD1386" s="20" t="str"/>
      <x:c r="AE1386" s="14" t="str"/>
      <x:c r="AF1386" s="14" t="n">
        <x:v>78</x:v>
      </x:c>
      <x:c r="AG1386" s="14" t="str">
        <x:v>I1</x:v>
      </x:c>
      <x:c r="AH1386" s="14" t="n">
        <x:v>2</x:v>
      </x:c>
      <x:c r="AI1386" s="14" t="n">
        <x:v>1</x:v>
      </x:c>
      <x:c r="AJ1386" s="18" t="n">
        <x:v>11781946.16</x:v>
      </x:c>
      <x:c r="AK1386" s="14" t="str">
        <x:v>https://prozorro.gov.ua/tender/UA-2026-07-10-009539-a</x:v>
      </x:c>
      <x:c r="AL1386" s="19" t="n">
        <x:v>46227.49484383102</x:v>
      </x:c>
      <x:c r="AM1386" s="19" t="n">
        <x:v>46356.57748842592</x:v>
      </x:c>
      <x:c r="AN1386" s="15" t="str">
        <x:v>Залізнична інфраструктура</x:v>
      </x:c>
      <x:c r="AO1386" s="15" t="str">
        <x:v>not_found_in_top_search</x:v>
      </x:c>
    </x:row>
    <x:row r="1387">
      <x:c r="A1387" s="14" t="str">
        <x:v>W5-015</x:v>
      </x:c>
      <x:c r="B1387" s="14" t="str">
        <x:v>Prozorro vertical expansion — 24.08</x:v>
      </x:c>
      <x:c r="C1387" s="14" t="str">
        <x:v>ТОВ "ПБВ-ЕЛЕКТРО"</x:v>
      </x:c>
      <x:c r="D1387" s="14" t="str">
        <x:v>Стиснене повітря / компресорні</x:v>
      </x:c>
      <x:c r="E1387" s="14" t="str">
        <x:v>Expansion discovery</x:v>
      </x:c>
      <x:c r="F1387" s="17" t="str">
        <x:v>D1</x:v>
      </x:c>
      <x:c r="G1387" s="14" t="str"/>
      <x:c r="H1387" s="14" t="str">
        <x:v>Discovery розширення — 2 тижні</x:v>
      </x:c>
      <x:c r="I1387" s="16" t="n">
        <x:v>1</x:v>
      </x:c>
      <x:c r="J1387" s="16" t="n">
        <x:v>5</x:v>
      </x:c>
      <x:c r="K1387" s="16" t="n">
        <x:v>5</x:v>
      </x:c>
      <x:c r="L1387" s="16" t="n">
        <x:v>4</x:v>
      </x:c>
      <x:c r="M1387" s="16" t="n">
        <x:v>5</x:v>
      </x:c>
      <x:c r="N1387" s="16" t="n">
        <x:v>5</x:v>
      </x:c>
      <x:c r="O1387" s="16" t="n">
        <x:v>3</x:v>
      </x:c>
      <x:c r="P1387" s="16" t="n">
        <x:f>IF(COUNT(I1387:O1387)&lt;7,"",I1387*8+J1387*3+K1387*2+L1387*2+M1387*2+N1387*2+O1387)</x:f>
        <x:v>64</x:v>
      </x:c>
      <x:c r="Q1387" s="16" t="n">
        <x:f>IF(COUNT(J1387:O1387)&lt;6,"",J1387*5+K1387*4+M1387*4+L1387*3+N1387*2+O1387*2)</x:f>
        <x:v>93</x:v>
      </x:c>
      <x:c r="R1387" s="14" t="str">
        <x:v>high</x:v>
      </x:c>
      <x:c r="S1387" s="14" t="str">
        <x:v>official_prozorro_award_2024_2026</x:v>
      </x:c>
      <x:c r="T1387" s="14" t="str">
        <x:v>official_prozorro_api</x:v>
      </x:c>
      <x:c r="U1387" s="14" t="str">
        <x:v>Не контактували</x:v>
      </x:c>
      <x:c r="V1387" s="15" t="str">
        <x:v>Workflow-audit outreach по UA-2026-07-22-009800-a; попросити 1 пакет здачі та вимоги проєкту</x:v>
      </x:c>
      <x:c r="W1387" s="15" t="str">
        <x:v>Власник / директор; керівник ПТО; відповідальний за договори</x:v>
      </x:c>
      <x:c r="X1387" s="15" t="str">
        <x:v>2 нових підтверджених перемог/договорів у Prozorro на 3 628 900 грн; 0 зі строком виконання не раніше 24.08.2026.</x:v>
      </x:c>
      <x:c r="Y1387" s="15" t="str">
        <x:v>Монтаж системи блискавкозахисту на об'єкті: Могилівський ліцей ім. І.М.Шишканя Могилівської сільської ради за адресою: Дніпропетровська область, с. Могилів, вул. Костичева, 1-А (за кодом ДК 021:2015: 45310000-3: Електромонтажні роботи)
; опублікований строк до 2026-08-22. Попросити один знеособлений пакет здачі за цим workflow.</x:v>
      </x:c>
      <x:c r="Z1387" s="15" t="str">
        <x:v>https://prozorro.gov.ua/tender/UA-2026-07-22-009800-a</x:v>
      </x:c>
      <x:c r="AA1387" s="14" t="str">
        <x:v>37037256</x:v>
      </x:c>
      <x:c r="AB1387" s="14" t="str">
        <x:v>2026-08-24</x:v>
      </x:c>
      <x:c r="AC1387" s="14" t="str"/>
      <x:c r="AD1387" s="20" t="str"/>
      <x:c r="AE1387" s="14" t="str"/>
      <x:c r="AF1387" s="14" t="n">
        <x:v>77</x:v>
      </x:c>
      <x:c r="AG1387" s="14" t="str">
        <x:v>I1</x:v>
      </x:c>
      <x:c r="AH1387" s="14" t="n">
        <x:v>2</x:v>
      </x:c>
      <x:c r="AI1387" s="14" t="n">
        <x:v>0</x:v>
      </x:c>
      <x:c r="AJ1387" s="18" t="n">
        <x:v>3628900</x:v>
      </x:c>
      <x:c r="AK1387" s="14" t="str">
        <x:v>https://prozorro.gov.ua/tender/UA-2026-07-22-009800-a</x:v>
      </x:c>
      <x:c r="AL1387" s="19" t="n">
        <x:v>46251.574391435184</x:v>
      </x:c>
      <x:c r="AM1387" s="19" t="n">
        <x:v>46256</x:v>
      </x:c>
      <x:c r="AN1387" s="15" t="str">
        <x:v>Стиснене повітря / компресорні; Блискавкозахист / заземлення</x:v>
      </x:c>
      <x:c r="AO1387" s="15" t="str">
        <x:v>not_found_in_top_search</x:v>
      </x:c>
    </x:row>
    <x:row r="1388">
      <x:c r="A1388" s="14" t="str">
        <x:v>W5-016</x:v>
      </x:c>
      <x:c r="B1388" s="14" t="str">
        <x:v>Prozorro vertical expansion — 24.08</x:v>
      </x:c>
      <x:c r="C1388" s="14" t="str">
        <x:v>АВАРІЙНО-РЯТУВАЛЬНИЙ ЗАГІН СПЕЦІАЛЬНОГО ПРИЗНАЧЕННЯ ГОЛОВНОГО УПРАВЛІННЯ ДЕРЖАВНОЇ СЛУЖБИ УКРАЇНИ З НАДЗВИЧАЙНИХ СИТУАЦІЙ У ХМЕЛЬНИЦЬКІЙ ОБЛАСТІ (АРЗ СП ГУ ДСНС УКРАЇНИ У ХМЕЛЬНИЦЬКІЙ ОБЛАСТІ)</x:v>
      </x:c>
      <x:c r="D1388" s="14" t="str">
        <x:v>Блискавкозахист / заземлення</x:v>
      </x:c>
      <x:c r="E1388" s="14" t="str">
        <x:v>Requalify</x:v>
      </x:c>
      <x:c r="F1388" s="17" t="str">
        <x:v>R1</x:v>
      </x:c>
      <x:c r="G1388" s="14" t="str"/>
      <x:c r="H1388" s="14" t="str">
        <x:v>Перевірити комерційність підрядної діяльності</x:v>
      </x:c>
      <x:c r="I1388" s="16" t="n">
        <x:v>4</x:v>
      </x:c>
      <x:c r="J1388" s="16" t="n">
        <x:v>5</x:v>
      </x:c>
      <x:c r="K1388" s="16" t="n">
        <x:v>5</x:v>
      </x:c>
      <x:c r="L1388" s="16" t="n">
        <x:v>1</x:v>
      </x:c>
      <x:c r="M1388" s="16" t="n">
        <x:v>5</x:v>
      </x:c>
      <x:c r="N1388" s="16" t="n">
        <x:v>1</x:v>
      </x:c>
      <x:c r="O1388" s="16" t="n">
        <x:v>3</x:v>
      </x:c>
      <x:c r="P1388" s="16" t="n">
        <x:f>IF(COUNT(I1388:O1388)&lt;7,"",I1388*8+J1388*3+K1388*2+L1388*2+M1388*2+N1388*2+O1388)</x:f>
        <x:v>74</x:v>
      </x:c>
      <x:c r="Q1388" s="16" t="n">
        <x:f>IF(COUNT(J1388:O1388)&lt;6,"",J1388*5+K1388*4+M1388*4+L1388*3+N1388*2+O1388*2)</x:f>
        <x:v>76</x:v>
      </x:c>
      <x:c r="R1388" s="14" t="str">
        <x:v>high</x:v>
      </x:c>
      <x:c r="S1388" s="14" t="str">
        <x:v>official_prozorro_award_2024_2026</x:v>
      </x:c>
      <x:c r="T1388" s="14" t="str">
        <x:v>official_prozorro_api</x:v>
      </x:c>
      <x:c r="U1388" s="14" t="str">
        <x:v>Не контактували</x:v>
      </x:c>
      <x:c r="V1388" s="15" t="str">
        <x:v>Кваліфікувати тип постачальника за UA-2026-08-06-000352-a до outreach</x:v>
      </x:c>
      <x:c r="W1388" s="15" t="str">
        <x:v>Керівник підрозділу; перевірити право на комерційні роботи</x:v>
      </x:c>
      <x:c r="X1388" s="15" t="str">
        <x:v>6 нових підтверджених перемог/договорів у Prozorro на 88 646 грн; 5 зі строком виконання не раніше 24.08.2026.</x:v>
      </x:c>
      <x:c r="Y1388" s="15" t="str">
        <x:v>ДК 021:2015 71630000-3 Послуги з технічного огляду та випробувань (монтаж, ремонт і перевірка надійності блискавкозахисту та замірування опору ізоляції електромереж у електроустаткувань); опублікований строк до 2026-12-31. Попросити один знеособлений пакет здачі за цим workflow.</x:v>
      </x:c>
      <x:c r="Z1388" s="15" t="str">
        <x:v>https://prozorro.gov.ua/tender/UA-2026-08-06-000352-a</x:v>
      </x:c>
      <x:c r="AA1388" s="14" t="str">
        <x:v>23312469</x:v>
      </x:c>
      <x:c r="AB1388" s="14" t="str">
        <x:v>2026-08-24</x:v>
      </x:c>
      <x:c r="AC1388" s="14" t="str"/>
      <x:c r="AD1388" s="20" t="str"/>
      <x:c r="AE1388" s="14" t="str"/>
      <x:c r="AF1388" s="14" t="n">
        <x:v>77</x:v>
      </x:c>
      <x:c r="AG1388" s="14" t="str">
        <x:v>I1</x:v>
      </x:c>
      <x:c r="AH1388" s="14" t="n">
        <x:v>6</x:v>
      </x:c>
      <x:c r="AI1388" s="14" t="n">
        <x:v>5</x:v>
      </x:c>
      <x:c r="AJ1388" s="18" t="n">
        <x:v>88646.12</x:v>
      </x:c>
      <x:c r="AK1388" s="14" t="str">
        <x:v>https://prozorro.gov.ua/tender/UA-2026-08-06-000352-a</x:v>
      </x:c>
      <x:c r="AL1388" s="19" t="n">
        <x:v>46240.24186371528</x:v>
      </x:c>
      <x:c r="AM1388" s="19" t="n">
        <x:v>46387</x:v>
      </x:c>
      <x:c r="AN1388" s="15" t="str">
        <x:v>Блискавкозахист / заземлення</x:v>
      </x:c>
      <x:c r="AO1388" s="15" t="str">
        <x:v>not_found_in_top_search</x:v>
      </x:c>
    </x:row>
    <x:row r="1389">
      <x:c r="A1389" s="14" t="str">
        <x:v>W5-017</x:v>
      </x:c>
      <x:c r="B1389" s="14" t="str">
        <x:v>Prozorro vertical expansion — 24.08</x:v>
      </x:c>
      <x:c r="C1389" s="14" t="str">
        <x:v>МВКПП "Опечень"</x:v>
      </x:c>
      <x:c r="D1389" s="14" t="str">
        <x:v>ВОЛЗ / телеком</x:v>
      </x:c>
      <x:c r="E1389" s="14" t="str">
        <x:v>Expansion discovery</x:v>
      </x:c>
      <x:c r="F1389" s="17" t="str">
        <x:v>D1</x:v>
      </x:c>
      <x:c r="G1389" s="14" t="str"/>
      <x:c r="H1389" s="14" t="str">
        <x:v>Discovery розширення — 2 тижні</x:v>
      </x:c>
      <x:c r="I1389" s="16" t="n">
        <x:v>1</x:v>
      </x:c>
      <x:c r="J1389" s="16" t="n">
        <x:v>5</x:v>
      </x:c>
      <x:c r="K1389" s="16" t="n">
        <x:v>5</x:v>
      </x:c>
      <x:c r="L1389" s="16" t="n">
        <x:v>2</x:v>
      </x:c>
      <x:c r="M1389" s="16" t="n">
        <x:v>5</x:v>
      </x:c>
      <x:c r="N1389" s="16" t="n">
        <x:v>5</x:v>
      </x:c>
      <x:c r="O1389" s="16" t="n">
        <x:v>3</x:v>
      </x:c>
      <x:c r="P1389" s="16" t="n">
        <x:f>IF(COUNT(I1389:O1389)&lt;7,"",I1389*8+J1389*3+K1389*2+L1389*2+M1389*2+N1389*2+O1389)</x:f>
        <x:v>60</x:v>
      </x:c>
      <x:c r="Q1389" s="16" t="n">
        <x:f>IF(COUNT(J1389:O1389)&lt;6,"",J1389*5+K1389*4+M1389*4+L1389*3+N1389*2+O1389*2)</x:f>
        <x:v>87</x:v>
      </x:c>
      <x:c r="R1389" s="14" t="str">
        <x:v>high</x:v>
      </x:c>
      <x:c r="S1389" s="14" t="str">
        <x:v>official_prozorro_award_2024_2026</x:v>
      </x:c>
      <x:c r="T1389" s="14" t="str">
        <x:v>official_prozorro_api</x:v>
      </x:c>
      <x:c r="U1389" s="14" t="str">
        <x:v>Не контактували</x:v>
      </x:c>
      <x:c r="V1389" s="15" t="str">
        <x:v>Workflow-audit outreach по UA-2026-08-17-009635-a; попросити 1 пакет здачі та вимоги проєкту</x:v>
      </x:c>
      <x:c r="W1389" s="15" t="str">
        <x:v>Власник / директор; керівник ПТО; відповідальний за договори</x:v>
      </x:c>
      <x:c r="X1389" s="15" t="str">
        <x:v>3 нових підтверджених перемог/договорів у Prozorro на 210 638 грн; 1 зі строком виконання не раніше 24.08.2026.</x:v>
      </x:c>
      <x:c r="Y1389" s="15" t="str">
        <x:v>Послугу з підключення, монтажу обладнання згідно переліку наданого Замовником в телекомунікаційній мережі об'єктів Замовника за адресою: 04159, м.Київ, вул. Юрія Кондратюка, 8; опублікований строк до 2026-08-31. Попросити один знеособлений пакет здачі за цим workflow.</x:v>
      </x:c>
      <x:c r="Z1389" s="15" t="str">
        <x:v>https://prozorro.gov.ua/tender/UA-2026-08-17-009635-a</x:v>
      </x:c>
      <x:c r="AA1389" s="14" t="str">
        <x:v>16402798</x:v>
      </x:c>
      <x:c r="AB1389" s="14" t="str">
        <x:v>2026-08-24</x:v>
      </x:c>
      <x:c r="AC1389" s="14" t="str"/>
      <x:c r="AD1389" s="20" t="str"/>
      <x:c r="AE1389" s="14" t="str"/>
      <x:c r="AF1389" s="14" t="n">
        <x:v>76</x:v>
      </x:c>
      <x:c r="AG1389" s="14" t="str">
        <x:v>I1</x:v>
      </x:c>
      <x:c r="AH1389" s="14" t="n">
        <x:v>3</x:v>
      </x:c>
      <x:c r="AI1389" s="14" t="n">
        <x:v>1</x:v>
      </x:c>
      <x:c r="AJ1389" s="18" t="n">
        <x:v>210637.66</x:v>
      </x:c>
      <x:c r="AK1389" s="14" t="str">
        <x:v>https://prozorro.gov.ua/tender/UA-2026-08-17-009635-a</x:v>
      </x:c>
      <x:c r="AL1389" s="19" t="n">
        <x:v>46251.52719847222</x:v>
      </x:c>
      <x:c r="AM1389" s="19" t="n">
        <x:v>46265</x:v>
      </x:c>
      <x:c r="AN1389" s="15" t="str">
        <x:v>ВОЛЗ / телеком</x:v>
      </x:c>
      <x:c r="AO1389" s="15" t="str">
        <x:v>not_found_in_top_search</x:v>
      </x:c>
    </x:row>
    <x:row r="1390">
      <x:c r="A1390" s="14" t="str">
        <x:v>W5-018</x:v>
      </x:c>
      <x:c r="B1390" s="14" t="str">
        <x:v>Prozorro vertical expansion — 24.08</x:v>
      </x:c>
      <x:c r="C1390" s="14" t="str">
        <x:v>Управління поліції охорони в Чернігівській області</x:v>
      </x:c>
      <x:c r="D1390" s="14" t="str">
        <x:v>Промислова електрика / ПНР</x:v>
      </x:c>
      <x:c r="E1390" s="14" t="str">
        <x:v>Requalify</x:v>
      </x:c>
      <x:c r="F1390" s="17" t="str">
        <x:v>R1</x:v>
      </x:c>
      <x:c r="G1390" s="14" t="str"/>
      <x:c r="H1390" s="14" t="str">
        <x:v>Перевірити комерційність підрядної діяльності</x:v>
      </x:c>
      <x:c r="I1390" s="16" t="n">
        <x:v>4</x:v>
      </x:c>
      <x:c r="J1390" s="16" t="n">
        <x:v>5</x:v>
      </x:c>
      <x:c r="K1390" s="16" t="n">
        <x:v>4</x:v>
      </x:c>
      <x:c r="L1390" s="16" t="n">
        <x:v>2</x:v>
      </x:c>
      <x:c r="M1390" s="16" t="n">
        <x:v>5</x:v>
      </x:c>
      <x:c r="N1390" s="16" t="n">
        <x:v>1</x:v>
      </x:c>
      <x:c r="O1390" s="16" t="n">
        <x:v>3</x:v>
      </x:c>
      <x:c r="P1390" s="16" t="n">
        <x:f>IF(COUNT(I1390:O1390)&lt;7,"",I1390*8+J1390*3+K1390*2+L1390*2+M1390*2+N1390*2+O1390)</x:f>
        <x:v>74</x:v>
      </x:c>
      <x:c r="Q1390" s="16" t="n">
        <x:f>IF(COUNT(J1390:O1390)&lt;6,"",J1390*5+K1390*4+M1390*4+L1390*3+N1390*2+O1390*2)</x:f>
        <x:v>75</x:v>
      </x:c>
      <x:c r="R1390" s="14" t="str">
        <x:v>high</x:v>
      </x:c>
      <x:c r="S1390" s="14" t="str">
        <x:v>official_prozorro_award_2024_2026</x:v>
      </x:c>
      <x:c r="T1390" s="14" t="str">
        <x:v>official_prozorro_api</x:v>
      </x:c>
      <x:c r="U1390" s="14" t="str">
        <x:v>Не контактували</x:v>
      </x:c>
      <x:c r="V1390" s="15" t="str">
        <x:v>Кваліфікувати тип постачальника за UA-2026-07-07-000393-a до outreach</x:v>
      </x:c>
      <x:c r="W1390" s="15" t="str">
        <x:v>Керівник підрозділу; перевірити право на комерційні роботи</x:v>
      </x:c>
      <x:c r="X1390" s="15" t="str">
        <x:v>4 нових підтверджених перемог/договорів у Prozorro на 123 826 грн; 4 зі строком виконання не раніше 24.08.2026.</x:v>
      </x:c>
      <x:c r="Y1390" s="15" t="str">
        <x:v>Монтажні та пусконалагоджувальні послуги, код ДК 021:2015  45310000-3 "Електромонтажні роботи"
; опублікований строк до 2026-12-31. Попросити один знеособлений пакет здачі за цим workflow.</x:v>
      </x:c>
      <x:c r="Z1390" s="15" t="str">
        <x:v>https://prozorro.gov.ua/tender/UA-2026-07-07-000393-a</x:v>
      </x:c>
      <x:c r="AA1390" s="14" t="str">
        <x:v>40109021</x:v>
      </x:c>
      <x:c r="AB1390" s="14" t="str">
        <x:v>2026-08-24</x:v>
      </x:c>
      <x:c r="AC1390" s="14" t="str"/>
      <x:c r="AD1390" s="20" t="str"/>
      <x:c r="AE1390" s="14" t="str"/>
      <x:c r="AF1390" s="14" t="n">
        <x:v>75</x:v>
      </x:c>
      <x:c r="AG1390" s="14" t="str">
        <x:v>I1</x:v>
      </x:c>
      <x:c r="AH1390" s="14" t="n">
        <x:v>4</x:v>
      </x:c>
      <x:c r="AI1390" s="14" t="n">
        <x:v>4</x:v>
      </x:c>
      <x:c r="AJ1390" s="18" t="n">
        <x:v>123825.64</x:v>
      </x:c>
      <x:c r="AK1390" s="14" t="str">
        <x:v>https://prozorro.gov.ua/tender/UA-2026-07-07-000393-a</x:v>
      </x:c>
      <x:c r="AL1390" s="19" t="n">
        <x:v>46210.255968935184</x:v>
      </x:c>
      <x:c r="AM1390" s="19" t="n">
        <x:v>46387</x:v>
      </x:c>
      <x:c r="AN1390" s="15" t="str">
        <x:v>Промислова електрика / ПНР</x:v>
      </x:c>
      <x:c r="AO1390" s="15" t="str">
        <x:v>not_found_in_top_search</x:v>
      </x:c>
    </x:row>
    <x:row r="1391">
      <x:c r="A1391" s="14" t="str">
        <x:v>W5-019</x:v>
      </x:c>
      <x:c r="B1391" s="14" t="str">
        <x:v>Prozorro vertical expansion — 24.08</x:v>
      </x:c>
      <x:c r="C1391" s="14" t="str">
        <x:v>ТОВ "ЕНЕРГО ЛАЙН"</x:v>
      </x:c>
      <x:c r="D1391" s="14" t="str">
        <x:v>Промислова електрика / ПНР</x:v>
      </x:c>
      <x:c r="E1391" s="14" t="str">
        <x:v>Pilot now</x:v>
      </x:c>
      <x:c r="F1391" s="17" t="str">
        <x:v>P2</x:v>
      </x:c>
      <x:c r="G1391" s="14" t="str"/>
      <x:c r="H1391" s="14" t="str">
        <x:v>Пілот зараз — Н.15 subset</x:v>
      </x:c>
      <x:c r="I1391" s="16" t="n">
        <x:v>4</x:v>
      </x:c>
      <x:c r="J1391" s="16" t="n">
        <x:v>5</x:v>
      </x:c>
      <x:c r="K1391" s="16" t="n">
        <x:v>4</x:v>
      </x:c>
      <x:c r="L1391" s="16" t="n">
        <x:v>4</x:v>
      </x:c>
      <x:c r="M1391" s="16" t="n">
        <x:v>5</x:v>
      </x:c>
      <x:c r="N1391" s="16" t="n">
        <x:v>5</x:v>
      </x:c>
      <x:c r="O1391" s="16" t="n">
        <x:v>3</x:v>
      </x:c>
      <x:c r="P1391" s="16" t="n">
        <x:f>IF(COUNT(I1391:O1391)&lt;7,"",I1391*8+J1391*3+K1391*2+L1391*2+M1391*2+N1391*2+O1391)</x:f>
        <x:v>86</x:v>
      </x:c>
      <x:c r="Q1391" s="16" t="n">
        <x:f>IF(COUNT(J1391:O1391)&lt;6,"",J1391*5+K1391*4+M1391*4+L1391*3+N1391*2+O1391*2)</x:f>
        <x:v>89</x:v>
      </x:c>
      <x:c r="R1391" s="14" t="str">
        <x:v>high</x:v>
      </x:c>
      <x:c r="S1391" s="14" t="str">
        <x:v>official_prozorro_award_2024_2026</x:v>
      </x:c>
      <x:c r="T1391" s="14" t="str">
        <x:v>official_prozorro_api</x:v>
      </x:c>
      <x:c r="U1391" s="14" t="str">
        <x:v>Не контактували</x:v>
      </x:c>
      <x:c r="V1391" s="15" t="str">
        <x:v>Персоналізований free-pilot outreach по UA-2026-07-15-005851-a; попросити 1 пакет Н.15</x:v>
      </x:c>
      <x:c r="W1391" s="15" t="str">
        <x:v>Власник / директор; керівник ПТО; відповідальний за договори</x:v>
      </x:c>
      <x:c r="X1391" s="15" t="str">
        <x:v>2 нових підтверджених перемог/договорів у Prozorro на 2 928 270 грн; 2 зі строком виконання не раніше 24.08.2026.</x:v>
      </x:c>
      <x:c r="Y1391"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 опублікований строк до 2026-09-17. Попросити один знеособлений пакет здачі за цим workflow.</x:v>
      </x:c>
      <x:c r="Z1391" s="15" t="str">
        <x:v>https://prozorro.gov.ua/tender/UA-2026-07-15-005851-a</x:v>
      </x:c>
      <x:c r="AA1391" s="14" t="str">
        <x:v>40334879</x:v>
      </x:c>
      <x:c r="AB1391" s="14" t="str">
        <x:v>2026-08-24</x:v>
      </x:c>
      <x:c r="AC1391" s="14" t="str"/>
      <x:c r="AD1391" s="20" t="str"/>
      <x:c r="AE1391" s="14" t="str"/>
      <x:c r="AF1391" s="14" t="n">
        <x:v>74</x:v>
      </x:c>
      <x:c r="AG1391" s="14" t="str">
        <x:v>I2</x:v>
      </x:c>
      <x:c r="AH1391" s="14" t="n">
        <x:v>2</x:v>
      </x:c>
      <x:c r="AI1391" s="14" t="n">
        <x:v>2</x:v>
      </x:c>
      <x:c r="AJ1391" s="18" t="n">
        <x:v>2928270.13</x:v>
      </x:c>
      <x:c r="AK1391" s="14" t="str">
        <x:v>https://prozorro.gov.ua/tender/UA-2026-07-15-005851-a</x:v>
      </x:c>
      <x:c r="AL1391" s="19" t="n">
        <x:v>46240.47479039352</x:v>
      </x:c>
      <x:c r="AM1391" s="19" t="n">
        <x:v>46282</x:v>
      </x:c>
      <x:c r="AN1391" s="15" t="str">
        <x:v>Промислова електрика / ПНР</x:v>
      </x:c>
      <x:c r="AO1391" s="15" t="str">
        <x:v>not_found_in_top_search</x:v>
      </x:c>
    </x:row>
    <x:row r="1392">
      <x:c r="A1392" s="14" t="str">
        <x:v>W5-020</x:v>
      </x:c>
      <x:c r="B1392" s="14" t="str">
        <x:v>Prozorro vertical expansion — 24.08</x:v>
      </x:c>
      <x:c r="C1392" s="14" t="str">
        <x:v>ТОВАРИСТВО З ОБМЕЖЕНОЮ ВІДПОВІДАЛЬНІСТЮ "СКС-БУД"</x:v>
      </x:c>
      <x:c r="D1392" s="14" t="str">
        <x:v>Резервне живлення</x:v>
      </x:c>
      <x:c r="E1392" s="14" t="str">
        <x:v>Pilot now</x:v>
      </x:c>
      <x:c r="F1392" s="17" t="str">
        <x:v>P2</x:v>
      </x:c>
      <x:c r="G1392" s="14" t="str"/>
      <x:c r="H1392" s="14" t="str">
        <x:v>Пілот зараз — Н.15 subset</x:v>
      </x:c>
      <x:c r="I1392" s="16" t="n">
        <x:v>4</x:v>
      </x:c>
      <x:c r="J1392" s="16" t="n">
        <x:v>5</x:v>
      </x:c>
      <x:c r="K1392" s="16" t="n">
        <x:v>5</x:v>
      </x:c>
      <x:c r="L1392" s="16" t="n">
        <x:v>5</x:v>
      </x:c>
      <x:c r="M1392" s="16" t="n">
        <x:v>5</x:v>
      </x:c>
      <x:c r="N1392" s="16" t="n">
        <x:v>5</x:v>
      </x:c>
      <x:c r="O1392" s="16" t="n">
        <x:v>3</x:v>
      </x:c>
      <x:c r="P1392" s="16" t="n">
        <x:f>IF(COUNT(I1392:O1392)&lt;7,"",I1392*8+J1392*3+K1392*2+L1392*2+M1392*2+N1392*2+O1392)</x:f>
        <x:v>90</x:v>
      </x:c>
      <x:c r="Q1392" s="16" t="n">
        <x:f>IF(COUNT(J1392:O1392)&lt;6,"",J1392*5+K1392*4+M1392*4+L1392*3+N1392*2+O1392*2)</x:f>
        <x:v>96</x:v>
      </x:c>
      <x:c r="R1392" s="14" t="str">
        <x:v>high</x:v>
      </x:c>
      <x:c r="S1392" s="14" t="str">
        <x:v>official_prozorro_award_2024_2026</x:v>
      </x:c>
      <x:c r="T1392" s="14" t="str">
        <x:v>official_prozorro_api</x:v>
      </x:c>
      <x:c r="U1392" s="14" t="str">
        <x:v>Не контактували</x:v>
      </x:c>
      <x:c r="V1392" s="15" t="str">
        <x:v>Персоналізований free-pilot outreach по UA-2025-09-03-002551-a; попросити 1 пакет Н.15</x:v>
      </x:c>
      <x:c r="W1392" s="15" t="str">
        <x:v>Власник / директор; керівник ПТО; відповідальний за договори</x:v>
      </x:c>
      <x:c r="X1392" s="15" t="str">
        <x:v>5 нових підтверджених перемог/договорів у Prozorro на 22 222 806 грн; 0 зі строком виконання не раніше 24.08.2026.</x:v>
      </x:c>
      <x:c r="Y1392" s="15" t="str">
        <x:v>ДК 021:2015 – 45310000-3 (Поточний ремонт електромереж з підключенням джерел резервного живлення (монтаж та підключення дизель-генератора) за адресою: вул. Гаванська,15); опублікований строк до 2025-12-20. Попросити один знеособлений пакет здачі за цим workflow.</x:v>
      </x:c>
      <x:c r="Z1392" s="15" t="str">
        <x:v>https://prozorro.gov.ua/tender/UA-2025-09-03-002551-a</x:v>
      </x:c>
      <x:c r="AA1392" s="14" t="str">
        <x:v>34585505</x:v>
      </x:c>
      <x:c r="AB1392" s="14" t="str">
        <x:v>2026-08-24</x:v>
      </x:c>
      <x:c r="AC1392" s="14" t="str"/>
      <x:c r="AD1392" s="20" t="str"/>
      <x:c r="AE1392" s="14" t="str"/>
      <x:c r="AF1392" s="14" t="n">
        <x:v>71</x:v>
      </x:c>
      <x:c r="AG1392" s="14" t="str">
        <x:v>I2</x:v>
      </x:c>
      <x:c r="AH1392" s="14" t="n">
        <x:v>5</x:v>
      </x:c>
      <x:c r="AI1392" s="14" t="n">
        <x:v>0</x:v>
      </x:c>
      <x:c r="AJ1392" s="18" t="n">
        <x:v>22222805.6</x:v>
      </x:c>
      <x:c r="AK1392" s="14" t="str">
        <x:v>https://prozorro.gov.ua/tender/UA-2025-09-03-002551-a</x:v>
      </x:c>
      <x:c r="AL1392" s="19" t="n">
        <x:v>45903.31129690972</x:v>
      </x:c>
      <x:c r="AM1392" s="19" t="n">
        <x:v>46011</x:v>
      </x:c>
      <x:c r="AN1392" s="15" t="str">
        <x:v>Резервне живлення</x:v>
      </x:c>
      <x:c r="AO1392" s="15" t="str">
        <x:v>not_found_in_top_search</x:v>
      </x:c>
    </x:row>
    <x:row r="1393">
      <x:c r="A1393" s="14" t="str">
        <x:v>W5-021</x:v>
      </x:c>
      <x:c r="B1393" s="14" t="str">
        <x:v>Prozorro vertical expansion — 24.08</x:v>
      </x:c>
      <x:c r="C1393" s="14" t="str">
        <x:v>ПРИВАТНЕ ПІДПРИЄМСТВО "ЄВРОБУД 2018"</x:v>
      </x:c>
      <x:c r="D1393" s="14" t="str">
        <x:v>Резервне живлення</x:v>
      </x:c>
      <x:c r="E1393" s="14" t="str">
        <x:v>Pilot now</x:v>
      </x:c>
      <x:c r="F1393" s="17" t="str">
        <x:v>P2</x:v>
      </x:c>
      <x:c r="G1393" s="14" t="str"/>
      <x:c r="H1393" s="14" t="str">
        <x:v>Пілот зараз — Н.15 subset</x:v>
      </x:c>
      <x:c r="I1393" s="16" t="n">
        <x:v>4</x:v>
      </x:c>
      <x:c r="J1393" s="16" t="n">
        <x:v>5</x:v>
      </x:c>
      <x:c r="K1393" s="16" t="n">
        <x:v>5</x:v>
      </x:c>
      <x:c r="L1393" s="16" t="n">
        <x:v>3</x:v>
      </x:c>
      <x:c r="M1393" s="16" t="n">
        <x:v>5</x:v>
      </x:c>
      <x:c r="N1393" s="16" t="n">
        <x:v>5</x:v>
      </x:c>
      <x:c r="O1393" s="16" t="n">
        <x:v>3</x:v>
      </x:c>
      <x:c r="P1393" s="16" t="n">
        <x:f>IF(COUNT(I1393:O1393)&lt;7,"",I1393*8+J1393*3+K1393*2+L1393*2+M1393*2+N1393*2+O1393)</x:f>
        <x:v>86</x:v>
      </x:c>
      <x:c r="Q1393" s="16" t="n">
        <x:f>IF(COUNT(J1393:O1393)&lt;6,"",J1393*5+K1393*4+M1393*4+L1393*3+N1393*2+O1393*2)</x:f>
        <x:v>90</x:v>
      </x:c>
      <x:c r="R1393" s="14" t="str">
        <x:v>high</x:v>
      </x:c>
      <x:c r="S1393" s="14" t="str">
        <x:v>official_prozorro_award_2024_2026</x:v>
      </x:c>
      <x:c r="T1393" s="14" t="str">
        <x:v>official_prozorro_api</x:v>
      </x:c>
      <x:c r="U1393" s="14" t="str">
        <x:v>Не контактували</x:v>
      </x:c>
      <x:c r="V1393" s="15" t="str">
        <x:v>Персоналізований free-pilot outreach по UA-2026-02-20-006766-a; попросити 1 пакет Н.15</x:v>
      </x:c>
      <x:c r="W1393" s="15" t="str">
        <x:v>Власник / директор; керівник ПТО; відповідальний за договори</x:v>
      </x:c>
      <x:c r="X1393" s="15" t="str">
        <x:v>7 нових підтверджених перемог/договорів у Prozorro на 847 259 грн; 5 зі строком виконання не раніше 24.08.2026.</x:v>
      </x:c>
      <x:c r="Y1393" s="1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 опублікований строк до 2026-12-31. Попросити один знеособлений пакет здачі за цим workflow.</x:v>
      </x:c>
      <x:c r="Z1393" s="15" t="str">
        <x:v>https://prozorro.gov.ua/tender/UA-2026-02-20-006766-a</x:v>
      </x:c>
      <x:c r="AA1393" s="14" t="str">
        <x:v>42381606</x:v>
      </x:c>
      <x:c r="AB1393" s="14" t="str">
        <x:v>2026-08-24</x:v>
      </x:c>
      <x:c r="AC1393" s="14" t="str"/>
      <x:c r="AD1393" s="20" t="str"/>
      <x:c r="AE1393" s="14" t="str"/>
      <x:c r="AF1393" s="14" t="n">
        <x:v>71</x:v>
      </x:c>
      <x:c r="AG1393" s="14" t="str">
        <x:v>I2</x:v>
      </x:c>
      <x:c r="AH1393" s="14" t="n">
        <x:v>7</x:v>
      </x:c>
      <x:c r="AI1393" s="14" t="n">
        <x:v>5</x:v>
      </x:c>
      <x:c r="AJ1393" s="18" t="n">
        <x:v>847259.05</x:v>
      </x:c>
      <x:c r="AK1393" s="14" t="str">
        <x:v>https://prozorro.gov.ua/tender/UA-2026-02-20-006766-a</x:v>
      </x:c>
      <x:c r="AL1393" s="19" t="n">
        <x:v>46073.4573871875</x:v>
      </x:c>
      <x:c r="AM1393" s="19" t="n">
        <x:v>46387</x:v>
      </x:c>
      <x:c r="AN1393" s="15" t="str">
        <x:v>Резервне живлення</x:v>
      </x:c>
      <x:c r="AO1393" s="15" t="str">
        <x:v>not_found_in_top_search</x:v>
      </x:c>
    </x:row>
    <x:row r="1394">
      <x:c r="A1394" s="14" t="str">
        <x:v>W5-022</x:v>
      </x:c>
      <x:c r="B1394" s="14" t="str">
        <x:v>Prozorro vertical expansion — 24.08</x:v>
      </x:c>
      <x:c r="C1394" s="14" t="str">
        <x:v>ТОВАРИСТВО З ОБМЕЖЕНОЮ ВІДПОВІДАЛЬНІСТЮ "СПЕЦПРОМСИСТЕМА"</x:v>
      </x:c>
      <x:c r="D1394" s="14" t="str">
        <x:v>Стиснене повітря / компресорні</x:v>
      </x:c>
      <x:c r="E1394" s="14" t="str">
        <x:v>Expansion discovery</x:v>
      </x:c>
      <x:c r="F1394" s="17" t="str">
        <x:v>D2</x:v>
      </x:c>
      <x:c r="G1394" s="14" t="str"/>
      <x:c r="H1394" s="14" t="str">
        <x:v>Discovery розширення — 2 тижні</x:v>
      </x:c>
      <x:c r="I1394" s="16" t="n">
        <x:v>1</x:v>
      </x:c>
      <x:c r="J1394" s="16" t="n">
        <x:v>5</x:v>
      </x:c>
      <x:c r="K1394" s="16" t="n">
        <x:v>5</x:v>
      </x:c>
      <x:c r="L1394" s="16" t="n">
        <x:v>4</x:v>
      </x:c>
      <x:c r="M1394" s="16" t="n">
        <x:v>5</x:v>
      </x:c>
      <x:c r="N1394" s="16" t="n">
        <x:v>5</x:v>
      </x:c>
      <x:c r="O1394" s="16" t="n">
        <x:v>3</x:v>
      </x:c>
      <x:c r="P1394" s="16" t="n">
        <x:f>IF(COUNT(I1394:O1394)&lt;7,"",I1394*8+J1394*3+K1394*2+L1394*2+M1394*2+N1394*2+O1394)</x:f>
        <x:v>64</x:v>
      </x:c>
      <x:c r="Q1394" s="16" t="n">
        <x:f>IF(COUNT(J1394:O1394)&lt;6,"",J1394*5+K1394*4+M1394*4+L1394*3+N1394*2+O1394*2)</x:f>
        <x:v>93</x:v>
      </x:c>
      <x:c r="R1394" s="14" t="str">
        <x:v>high</x:v>
      </x:c>
      <x:c r="S1394" s="14" t="str">
        <x:v>official_prozorro_award_2024_2026</x:v>
      </x:c>
      <x:c r="T1394" s="14" t="str">
        <x:v>official_prozorro_api</x:v>
      </x:c>
      <x:c r="U1394" s="14" t="str">
        <x:v>Не контактували</x:v>
      </x:c>
      <x:c r="V1394" s="15" t="str">
        <x:v>Workflow-audit outreach по UA-2026-03-18-013044-a; попросити 1 пакет здачі та вимоги проєкту</x:v>
      </x:c>
      <x:c r="W1394" s="15" t="str">
        <x:v>Власник / директор; керівник ПТО; відповідальний за договори</x:v>
      </x:c>
      <x:c r="X1394" s="15" t="str">
        <x:v>3 нових підтверджених перемог/договорів у Prozorro на 2 142 912 грн; 1 зі строком виконання не раніше 24.08.2026.</x:v>
      </x:c>
      <x:c r="Y1394"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КС-20 «Гусятин» в Чортківському районі Тернопільської області» (Стадії «Проект» та «Робоча документація») (Будівельні роботи та поточний ремонт); опублікований строк до 2027-06-21. Попросити один знеособлений пакет здачі за цим workflow.</x:v>
      </x:c>
      <x:c r="Z1394" s="15" t="str">
        <x:v>https://prozorro.gov.ua/tender/UA-2026-03-18-013044-a</x:v>
      </x:c>
      <x:c r="AA1394" s="14" t="str">
        <x:v>38771175</x:v>
      </x:c>
      <x:c r="AB1394" s="14" t="str">
        <x:v>2026-08-24</x:v>
      </x:c>
      <x:c r="AC1394" s="14" t="str"/>
      <x:c r="AD1394" s="20" t="str"/>
      <x:c r="AE1394" s="14" t="str"/>
      <x:c r="AF1394" s="14" t="n">
        <x:v>70</x:v>
      </x:c>
      <x:c r="AG1394" s="14" t="str">
        <x:v>I2</x:v>
      </x:c>
      <x:c r="AH1394" s="14" t="n">
        <x:v>3</x:v>
      </x:c>
      <x:c r="AI1394" s="14" t="n">
        <x:v>1</x:v>
      </x:c>
      <x:c r="AJ1394" s="18" t="n">
        <x:v>2142912</x:v>
      </x:c>
      <x:c r="AK1394" s="14" t="str">
        <x:v>https://prozorro.gov.ua/tender/UA-2026-03-18-013044-a</x:v>
      </x:c>
      <x:c r="AL1394" s="19" t="n">
        <x:v>46125.36080469908</x:v>
      </x:c>
      <x:c r="AM1394" s="19" t="n">
        <x:v>46559</x:v>
      </x:c>
      <x:c r="AN1394" s="15" t="str">
        <x:v>Стиснене повітря / компресорні</x:v>
      </x:c>
      <x:c r="AO1394" s="15" t="str">
        <x:v>not_found_in_top_search</x:v>
      </x:c>
    </x:row>
    <x:row r="1395">
      <x:c r="A1395" s="14" t="str">
        <x:v>W5-023</x:v>
      </x:c>
      <x:c r="B1395" s="14" t="str">
        <x:v>Prozorro vertical expansion — 24.08</x:v>
      </x:c>
      <x:c r="C1395" s="14" t="str">
        <x:v>ПП "БУДСТАР-ПЛЮС"</x:v>
      </x:c>
      <x:c r="D1395" s="14" t="str">
        <x:v>Резервне живлення</x:v>
      </x:c>
      <x:c r="E1395" s="14" t="str">
        <x:v>Pilot now</x:v>
      </x:c>
      <x:c r="F1395" s="17" t="str">
        <x:v>P2</x:v>
      </x:c>
      <x:c r="G1395" s="14" t="str"/>
      <x:c r="H1395" s="14" t="str">
        <x:v>Пілот зараз — Н.15 subset</x:v>
      </x:c>
      <x:c r="I1395" s="16" t="n">
        <x:v>4</x:v>
      </x:c>
      <x:c r="J1395" s="16" t="n">
        <x:v>5</x:v>
      </x:c>
      <x:c r="K1395" s="16" t="n">
        <x:v>5</x:v>
      </x:c>
      <x:c r="L1395" s="16" t="n">
        <x:v>3</x:v>
      </x:c>
      <x:c r="M1395" s="16" t="n">
        <x:v>5</x:v>
      </x:c>
      <x:c r="N1395" s="16" t="n">
        <x:v>5</x:v>
      </x:c>
      <x:c r="O1395" s="16" t="n">
        <x:v>3</x:v>
      </x:c>
      <x:c r="P1395" s="16" t="n">
        <x:f>IF(COUNT(I1395:O1395)&lt;7,"",I1395*8+J1395*3+K1395*2+L1395*2+M1395*2+N1395*2+O1395)</x:f>
        <x:v>86</x:v>
      </x:c>
      <x:c r="Q1395" s="16" t="n">
        <x:f>IF(COUNT(J1395:O1395)&lt;6,"",J1395*5+K1395*4+M1395*4+L1395*3+N1395*2+O1395*2)</x:f>
        <x:v>90</x:v>
      </x:c>
      <x:c r="R1395" s="14" t="str">
        <x:v>high</x:v>
      </x:c>
      <x:c r="S1395" s="14" t="str">
        <x:v>official_prozorro_award_2024_2026</x:v>
      </x:c>
      <x:c r="T1395" s="14" t="str">
        <x:v>official_prozorro_api</x:v>
      </x:c>
      <x:c r="U1395" s="14" t="str">
        <x:v>Не контактували</x:v>
      </x:c>
      <x:c r="V1395" s="15" t="str">
        <x:v>Персоналізований free-pilot outreach по UA-2026-07-13-007118-a; попросити 1 пакет Н.15</x:v>
      </x:c>
      <x:c r="W1395" s="15" t="str">
        <x:v>Власник / директор; керівник ПТО; відповідальний за договори</x:v>
      </x:c>
      <x:c r="X1395" s="15" t="str">
        <x:v>2 нових підтверджених перемог/договорів у Prozorro на 503 748 грн; 2 зі строком виконання не раніше 24.08.2026.</x:v>
      </x:c>
      <x:c r="Y1395" s="15" t="str">
        <x:v>Монтаж та підключення  дизель-генератора потужністю 44 кВт за адресою:  Сумська область, м. Суми, вул. Шкільна, буд. 17; опублікований строк до 2026-12-31. Попросити один знеособлений пакет здачі за цим workflow.</x:v>
      </x:c>
      <x:c r="Z1395" s="15" t="str">
        <x:v>https://prozorro.gov.ua/tender/UA-2026-07-13-007118-a</x:v>
      </x:c>
      <x:c r="AA1395" s="14" t="str">
        <x:v>32602607</x:v>
      </x:c>
      <x:c r="AB1395" s="14" t="str">
        <x:v>2026-08-24</x:v>
      </x:c>
      <x:c r="AC1395" s="14" t="str"/>
      <x:c r="AD1395" s="20" t="str"/>
      <x:c r="AE1395" s="14" t="str"/>
      <x:c r="AF1395" s="14" t="n">
        <x:v>70</x:v>
      </x:c>
      <x:c r="AG1395" s="14" t="str">
        <x:v>I2</x:v>
      </x:c>
      <x:c r="AH1395" s="14" t="n">
        <x:v>2</x:v>
      </x:c>
      <x:c r="AI1395" s="14" t="n">
        <x:v>2</x:v>
      </x:c>
      <x:c r="AJ1395" s="18" t="n">
        <x:v>503747.79</x:v>
      </x:c>
      <x:c r="AK1395" s="14" t="str">
        <x:v>https://prozorro.gov.ua/tender/UA-2026-07-13-007118-a</x:v>
      </x:c>
      <x:c r="AL1395" s="19" t="n">
        <x:v>46227.35085289352</x:v>
      </x:c>
      <x:c r="AM1395" s="19" t="n">
        <x:v>46387.53319444445</x:v>
      </x:c>
      <x:c r="AN1395" s="15" t="str">
        <x:v>Резервне живлення</x:v>
      </x:c>
      <x:c r="AO1395" s="15" t="str">
        <x:v>not_found_in_top_search</x:v>
      </x:c>
    </x:row>
    <x:row r="1396">
      <x:c r="A1396" s="14" t="str">
        <x:v>W5-024</x:v>
      </x:c>
      <x:c r="B1396" s="14" t="str">
        <x:v>Prozorro vertical expansion — 24.08</x:v>
      </x:c>
      <x:c r="C1396" s="14" t="str">
        <x:v>ПП "Кабекслайн"</x:v>
      </x:c>
      <x:c r="D1396" s="14" t="str">
        <x:v>Чисті приміщення</x:v>
      </x:c>
      <x:c r="E1396" s="14" t="str">
        <x:v>Expansion discovery</x:v>
      </x:c>
      <x:c r="F1396" s="17" t="str">
        <x:v>D2</x:v>
      </x:c>
      <x:c r="G1396" s="14" t="str"/>
      <x:c r="H1396" s="14" t="str">
        <x:v>Discovery розширення — 2 тижні</x:v>
      </x:c>
      <x:c r="I1396" s="16" t="n">
        <x:v>1</x:v>
      </x:c>
      <x:c r="J1396" s="16" t="n">
        <x:v>5</x:v>
      </x:c>
      <x:c r="K1396" s="16" t="n">
        <x:v>5</x:v>
      </x:c>
      <x:c r="L1396" s="16" t="n">
        <x:v>5</x:v>
      </x:c>
      <x:c r="M1396" s="16" t="n">
        <x:v>5</x:v>
      </x:c>
      <x:c r="N1396" s="16" t="n">
        <x:v>5</x:v>
      </x:c>
      <x:c r="O1396" s="16" t="n">
        <x:v>3</x:v>
      </x:c>
      <x:c r="P1396" s="16" t="n">
        <x:f>IF(COUNT(I1396:O1396)&lt;7,"",I1396*8+J1396*3+K1396*2+L1396*2+M1396*2+N1396*2+O1396)</x:f>
        <x:v>66</x:v>
      </x:c>
      <x:c r="Q1396" s="16" t="n">
        <x:f>IF(COUNT(J1396:O1396)&lt;6,"",J1396*5+K1396*4+M1396*4+L1396*3+N1396*2+O1396*2)</x:f>
        <x:v>96</x:v>
      </x:c>
      <x:c r="R1396" s="14" t="str">
        <x:v>high</x:v>
      </x:c>
      <x:c r="S1396" s="14" t="str">
        <x:v>official_prozorro_award_2024_2026</x:v>
      </x:c>
      <x:c r="T1396" s="14" t="str">
        <x:v>official_prozorro_api</x:v>
      </x:c>
      <x:c r="U1396" s="14" t="str">
        <x:v>Не контактували</x:v>
      </x:c>
      <x:c r="V1396" s="15" t="str">
        <x:v>Workflow-audit outreach по UA-2026-07-08-011140-a; попросити 1 пакет здачі та вимоги проєкту</x:v>
      </x:c>
      <x:c r="W1396" s="15" t="str">
        <x:v>Власник / директор; керівник ПТО; відповідальний за договори</x:v>
      </x:c>
      <x:c r="X1396" s="15" t="str">
        <x:v>1 нових підтверджених перемог/договорів у Prozorro на 212 439 073 грн; 1 зі строком виконання не раніше 24.08.2026.</x:v>
      </x:c>
      <x:c r="Y1396" s="15" t="str">
        <x:v>Реконструкція операційного блоку комунального некомерційного підприємства "Кіровоградська обласна лікарня Кіровоградської обласної ради" за адресою: проспект Університетський, 2/5, м.Кропивницький. Коригування; опублікований строк до 2027-12-31. Попросити один знеособлений пакет здачі за цим workflow.</x:v>
      </x:c>
      <x:c r="Z1396" s="15" t="str">
        <x:v>https://prozorro.gov.ua/tender/UA-2026-07-08-011140-a</x:v>
      </x:c>
      <x:c r="AA1396" s="14" t="str">
        <x:v>38095345</x:v>
      </x:c>
      <x:c r="AB1396" s="14" t="str">
        <x:v>2026-08-24</x:v>
      </x:c>
      <x:c r="AC1396" s="14" t="str"/>
      <x:c r="AD1396" s="20" t="str"/>
      <x:c r="AE1396" s="14" t="str"/>
      <x:c r="AF1396" s="14" t="n">
        <x:v>68</x:v>
      </x:c>
      <x:c r="AG1396" s="14" t="str">
        <x:v>I2</x:v>
      </x:c>
      <x:c r="AH1396" s="14" t="n">
        <x:v>1</x:v>
      </x:c>
      <x:c r="AI1396" s="14" t="n">
        <x:v>1</x:v>
      </x:c>
      <x:c r="AJ1396" s="18" t="n">
        <x:v>212439072.8</x:v>
      </x:c>
      <x:c r="AK1396" s="14" t="str">
        <x:v>https://prozorro.gov.ua/tender/UA-2026-07-08-011140-a</x:v>
      </x:c>
      <x:c r="AL1396" s="19" t="n">
        <x:v>46251.34231299769</x:v>
      </x:c>
      <x:c r="AM1396" s="19" t="n">
        <x:v>46752</x:v>
      </x:c>
      <x:c r="AN1396" s="15" t="str">
        <x:v>Чисті приміщення</x:v>
      </x:c>
      <x:c r="AO1396" s="15" t="str">
        <x:v>not_found_in_top_search</x:v>
      </x:c>
    </x:row>
    <x:row r="1397">
      <x:c r="A1397" s="14" t="str">
        <x:v>W5-025</x:v>
      </x:c>
      <x:c r="B1397" s="14" t="str">
        <x:v>Prozorro vertical expansion — 24.08</x:v>
      </x:c>
      <x:c r="C1397" s="14" t="str">
        <x:v>ТОВ "ПІДПРИЄМСТВО "МАСТ-БУД"</x:v>
      </x:c>
      <x:c r="D1397" s="14" t="str">
        <x:v>Залізнична інфраструктура</x:v>
      </x:c>
      <x:c r="E1397" s="14" t="str">
        <x:v>Expansion discovery</x:v>
      </x:c>
      <x:c r="F1397" s="17" t="str">
        <x:v>D2</x:v>
      </x:c>
      <x:c r="G1397" s="14" t="str"/>
      <x:c r="H1397" s="14" t="str">
        <x:v>Discovery розширення — 2 тижні</x:v>
      </x:c>
      <x:c r="I1397" s="16" t="n">
        <x:v>1</x:v>
      </x:c>
      <x:c r="J1397" s="16" t="n">
        <x:v>5</x:v>
      </x:c>
      <x:c r="K1397" s="16" t="n">
        <x:v>5</x:v>
      </x:c>
      <x:c r="L1397" s="16" t="n">
        <x:v>5</x:v>
      </x:c>
      <x:c r="M1397" s="16" t="n">
        <x:v>5</x:v>
      </x:c>
      <x:c r="N1397" s="16" t="n">
        <x:v>5</x:v>
      </x:c>
      <x:c r="O1397" s="16" t="n">
        <x:v>3</x:v>
      </x:c>
      <x:c r="P1397" s="16" t="n">
        <x:f>IF(COUNT(I1397:O1397)&lt;7,"",I1397*8+J1397*3+K1397*2+L1397*2+M1397*2+N1397*2+O1397)</x:f>
        <x:v>66</x:v>
      </x:c>
      <x:c r="Q1397" s="16" t="n">
        <x:f>IF(COUNT(J1397:O1397)&lt;6,"",J1397*5+K1397*4+M1397*4+L1397*3+N1397*2+O1397*2)</x:f>
        <x:v>96</x:v>
      </x:c>
      <x:c r="R1397" s="14" t="str">
        <x:v>high</x:v>
      </x:c>
      <x:c r="S1397" s="14" t="str">
        <x:v>official_prozorro_award_2024_2026</x:v>
      </x:c>
      <x:c r="T1397" s="14" t="str">
        <x:v>official_prozorro_api</x:v>
      </x:c>
      <x:c r="U1397" s="14" t="str">
        <x:v>Не контактували</x:v>
      </x:c>
      <x:c r="V1397" s="15" t="str">
        <x:v>Workflow-audit outreach по UA-2026-05-28-012075-a; попросити 1 пакет здачі та вимоги проєкту</x:v>
      </x:c>
      <x:c r="W1397" s="15" t="str">
        <x:v>Власник / директор; керівник ПТО; відповідальний за договори</x:v>
      </x:c>
      <x:c r="X1397" s="15" t="str">
        <x:v>1 нових підтверджених перемог/договорів у Prozorro на 114 650 000 грн; 1 зі строком виконання не раніше 24.08.2026.</x:v>
      </x:c>
      <x:c r="Y1397" s="15" t="str">
        <x:v>Капітальний ремонт причалу №14 (інв. № 063550), залізничної колії № 44 (інв. 057174), залізничної колії №45 (інв. № 057175) Одеської філії ДП «АМПУ» за адресою м. Одеса, Митна площа, 1/2; опублікований строк до 2027-12-31. Попросити один знеособлений пакет здачі за цим workflow.</x:v>
      </x:c>
      <x:c r="Z1397" s="15" t="str">
        <x:v>https://prozorro.gov.ua/tender/UA-2026-05-28-012075-a</x:v>
      </x:c>
      <x:c r="AA1397" s="14" t="str">
        <x:v>33653812</x:v>
      </x:c>
      <x:c r="AB1397" s="14" t="str">
        <x:v>2026-08-24</x:v>
      </x:c>
      <x:c r="AC1397" s="14" t="str"/>
      <x:c r="AD1397" s="20" t="str"/>
      <x:c r="AE1397" s="14" t="str"/>
      <x:c r="AF1397" s="14" t="n">
        <x:v>68</x:v>
      </x:c>
      <x:c r="AG1397" s="14" t="str">
        <x:v>I2</x:v>
      </x:c>
      <x:c r="AH1397" s="14" t="n">
        <x:v>1</x:v>
      </x:c>
      <x:c r="AI1397" s="14" t="n">
        <x:v>1</x:v>
      </x:c>
      <x:c r="AJ1397" s="18" t="n">
        <x:v>114650000</x:v>
      </x:c>
      <x:c r="AK1397" s="14" t="str">
        <x:v>https://prozorro.gov.ua/tender/UA-2026-05-28-012075-a</x:v>
      </x:c>
      <x:c r="AL1397" s="19" t="n">
        <x:v>46219.30874043982</x:v>
      </x:c>
      <x:c r="AM1397" s="19" t="n">
        <x:v>46752</x:v>
      </x:c>
      <x:c r="AN1397" s="15" t="str">
        <x:v>Залізнична інфраструктура</x:v>
      </x:c>
      <x:c r="AO1397" s="15" t="str">
        <x:v>not_found_in_top_search</x:v>
      </x:c>
    </x:row>
    <x:row r="1398">
      <x:c r="A1398" s="14" t="str">
        <x:v>W5-026</x:v>
      </x:c>
      <x:c r="B1398" s="14" t="str">
        <x:v>Prozorro vertical expansion — 24.08</x:v>
      </x:c>
      <x:c r="C1398" s="14" t="str">
        <x:v>ТОВАРИСТВО З ОБМЕЖЕНОЮ ВІДПОВІДАЛЬНІСТЮ "ЕНЕРГОБУДПРОЕКТ-2"</x:v>
      </x:c>
      <x:c r="D1398" s="14" t="str">
        <x:v>Сонячна енергетика</x:v>
      </x:c>
      <x:c r="E1398" s="14" t="str">
        <x:v>Pilot now</x:v>
      </x:c>
      <x:c r="F1398" s="17" t="str">
        <x:v>P2</x:v>
      </x:c>
      <x:c r="G1398" s="14" t="str"/>
      <x:c r="H1398" s="14" t="str">
        <x:v>Пілот зараз — Н.15 discovery subset</x:v>
      </x:c>
      <x:c r="I1398" s="16" t="n">
        <x:v>3</x:v>
      </x:c>
      <x:c r="J1398" s="16" t="n">
        <x:v>5</x:v>
      </x:c>
      <x:c r="K1398" s="16" t="n">
        <x:v>5</x:v>
      </x:c>
      <x:c r="L1398" s="16" t="n">
        <x:v>4</x:v>
      </x:c>
      <x:c r="M1398" s="16" t="n">
        <x:v>5</x:v>
      </x:c>
      <x:c r="N1398" s="16" t="n">
        <x:v>5</x:v>
      </x:c>
      <x:c r="O1398" s="16" t="n">
        <x:v>3</x:v>
      </x:c>
      <x:c r="P1398" s="16" t="n">
        <x:f>IF(COUNT(I1398:O1398)&lt;7,"",I1398*8+J1398*3+K1398*2+L1398*2+M1398*2+N1398*2+O1398)</x:f>
        <x:v>80</x:v>
      </x:c>
      <x:c r="Q1398" s="16" t="n">
        <x:f>IF(COUNT(J1398:O1398)&lt;6,"",J1398*5+K1398*4+M1398*4+L1398*3+N1398*2+O1398*2)</x:f>
        <x:v>93</x:v>
      </x:c>
      <x:c r="R1398" s="14" t="str">
        <x:v>high</x:v>
      </x:c>
      <x:c r="S1398" s="14" t="str">
        <x:v>official_prozorro_award_2024_2026</x:v>
      </x:c>
      <x:c r="T1398" s="14" t="str">
        <x:v>official_prozorro_api</x:v>
      </x:c>
      <x:c r="U1398" s="14" t="str">
        <x:v>Не контактували</x:v>
      </x:c>
      <x:c r="V1398" s="15" t="str">
        <x:v>Персоналізований free-pilot outreach по UA-2026-06-22-004621-a; попросити 1 пакет Н.15</x:v>
      </x:c>
      <x:c r="W1398" s="15" t="str">
        <x:v>Власник / директор; керівник ПТО; відповідальний за договори</x:v>
      </x:c>
      <x:c r="X1398" s="15" t="str">
        <x:v>2 нових підтверджених перемог/договорів у Prozorro на 5 218 439 грн; 2 зі строком виконання не раніше 24.08.2026.</x:v>
      </x:c>
      <x:c r="Y1398" s="15" t="str">
        <x:v>Будівництво КЛ-10 кВ Л-244 в с. Бережинка  для зовнішнього електропостачання сонячної електростанції «АГРОТОК» ТОВ «АГРОТОК ЕНЕРГО» кад. №3522580900:02:000:2455 в с. Бережинка Кропивницького району (приєднання); опублікований строк до 2026-10-31. Попросити один знеособлений пакет здачі за цим workflow.</x:v>
      </x:c>
      <x:c r="Z1398" s="15" t="str">
        <x:v>https://prozorro.gov.ua/tender/UA-2026-06-22-004621-a</x:v>
      </x:c>
      <x:c r="AA1398" s="14" t="str">
        <x:v>34724556</x:v>
      </x:c>
      <x:c r="AB1398" s="14" t="str">
        <x:v>2026-08-24</x:v>
      </x:c>
      <x:c r="AC1398" s="14" t="str"/>
      <x:c r="AD1398" s="20" t="str"/>
      <x:c r="AE1398" s="14" t="str"/>
      <x:c r="AF1398" s="14" t="n">
        <x:v>68</x:v>
      </x:c>
      <x:c r="AG1398" s="14" t="str">
        <x:v>I2</x:v>
      </x:c>
      <x:c r="AH1398" s="14" t="n">
        <x:v>2</x:v>
      </x:c>
      <x:c r="AI1398" s="14" t="n">
        <x:v>2</x:v>
      </x:c>
      <x:c r="AJ1398" s="18" t="n">
        <x:v>5218439.28</x:v>
      </x:c>
      <x:c r="AK1398" s="14" t="str">
        <x:v>https://prozorro.gov.ua/tender/UA-2026-06-22-004621-a</x:v>
      </x:c>
      <x:c r="AL1398" s="19" t="n">
        <x:v>46195.36500131944</x:v>
      </x:c>
      <x:c r="AM1398" s="19" t="n">
        <x:v>46326</x:v>
      </x:c>
      <x:c r="AN1398" s="15" t="str">
        <x:v>Сонячна енергетика</x:v>
      </x:c>
      <x:c r="AO1398" s="15" t="str">
        <x:v>not_found_in_top_search</x:v>
      </x:c>
    </x:row>
    <x:row r="1399">
      <x:c r="A1399" s="14" t="str">
        <x:v>W5-027</x:v>
      </x:c>
      <x:c r="B1399" s="14" t="str">
        <x:v>Prozorro vertical expansion — 24.08</x:v>
      </x:c>
      <x:c r="C1399" s="14" t="str">
        <x:v>ТОВАРИСТВО З ОБМЕЖЕНОЮ ВІДПОВІДАЛЬНІСТЮ "МЕДСЕРВІСГРУП"</x:v>
      </x:c>
      <x:c r="D1399" s="14" t="str">
        <x:v>Чисті приміщення</x:v>
      </x:c>
      <x:c r="E1399" s="14" t="str">
        <x:v>Expansion discovery</x:v>
      </x:c>
      <x:c r="F1399" s="17" t="str">
        <x:v>D2</x:v>
      </x:c>
      <x:c r="G1399" s="14" t="str"/>
      <x:c r="H1399" s="14" t="str">
        <x:v>Discovery розширення — 2 тижні</x:v>
      </x:c>
      <x:c r="I1399" s="16" t="n">
        <x:v>1</x:v>
      </x:c>
      <x:c r="J1399" s="16" t="n">
        <x:v>5</x:v>
      </x:c>
      <x:c r="K1399" s="16" t="n">
        <x:v>5</x:v>
      </x:c>
      <x:c r="L1399" s="16" t="n">
        <x:v>5</x:v>
      </x:c>
      <x:c r="M1399" s="16" t="n">
        <x:v>5</x:v>
      </x:c>
      <x:c r="N1399" s="16" t="n">
        <x:v>5</x:v>
      </x:c>
      <x:c r="O1399" s="16" t="n">
        <x:v>3</x:v>
      </x:c>
      <x:c r="P1399" s="16" t="n">
        <x:f>IF(COUNT(I1399:O1399)&lt;7,"",I1399*8+J1399*3+K1399*2+L1399*2+M1399*2+N1399*2+O1399)</x:f>
        <x:v>66</x:v>
      </x:c>
      <x:c r="Q1399" s="16" t="n">
        <x:f>IF(COUNT(J1399:O1399)&lt;6,"",J1399*5+K1399*4+M1399*4+L1399*3+N1399*2+O1399*2)</x:f>
        <x:v>96</x:v>
      </x:c>
      <x:c r="R1399" s="14" t="str">
        <x:v>high</x:v>
      </x:c>
      <x:c r="S1399" s="14" t="str">
        <x:v>official_prozorro_award_2024_2026</x:v>
      </x:c>
      <x:c r="T1399" s="14" t="str">
        <x:v>official_prozorro_api</x:v>
      </x:c>
      <x:c r="U1399" s="14" t="str">
        <x:v>Не контактували</x:v>
      </x:c>
      <x:c r="V1399" s="15" t="str">
        <x:v>Workflow-audit outreach по UA-2024-10-01-001490-a; попросити 1 пакет здачі та вимоги проєкту</x:v>
      </x:c>
      <x:c r="W1399" s="15" t="str">
        <x:v>Власник / директор; керівник ПТО; відповідальний за договори</x:v>
      </x:c>
      <x:c r="X1399" s="15" t="str">
        <x:v>5 нових підтверджених перемог/договорів у Prozorro на 22 547 563 грн; 0 зі строком виконання не раніше 24.08.2026.</x:v>
      </x:c>
      <x:c r="Y1399"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 Дефібрилятор-монітор PRIMEDIC DefiMonitor XD.; опублікований строк до 2024-10-10. Попросити один знеособлений пакет здачі за цим workflow.</x:v>
      </x:c>
      <x:c r="Z1399" s="15" t="str">
        <x:v>https://prozorro.gov.ua/tender/UA-2024-10-01-001490-a</x:v>
      </x:c>
      <x:c r="AA1399" s="14" t="str">
        <x:v>38606078</x:v>
      </x:c>
      <x:c r="AB1399" s="14" t="str">
        <x:v>2026-08-24</x:v>
      </x:c>
      <x:c r="AC1399" s="14" t="str"/>
      <x:c r="AD1399" s="20" t="str"/>
      <x:c r="AE1399" s="14" t="str"/>
      <x:c r="AF1399" s="14" t="n">
        <x:v>67</x:v>
      </x:c>
      <x:c r="AG1399" s="14" t="str">
        <x:v>I2</x:v>
      </x:c>
      <x:c r="AH1399" s="14" t="n">
        <x:v>5</x:v>
      </x:c>
      <x:c r="AI1399" s="14" t="n">
        <x:v>0</x:v>
      </x:c>
      <x:c r="AJ1399" s="18" t="n">
        <x:v>22547563.4</x:v>
      </x:c>
      <x:c r="AK1399" s="14" t="str">
        <x:v>https://prozorro.gov.ua/tender/UA-2024-10-01-001490-a</x:v>
      </x:c>
      <x:c r="AL1399" s="19" t="n">
        <x:v>45566.28666597222</x:v>
      </x:c>
      <x:c r="AM1399" s="19" t="n">
        <x:v>45575</x:v>
      </x:c>
      <x:c r="AN1399" s="15" t="str">
        <x:v>Чисті приміщення</x:v>
      </x:c>
      <x:c r="AO1399" s="15" t="str">
        <x:v>not_found_in_top_search</x:v>
      </x:c>
    </x:row>
    <x:row r="1400">
      <x:c r="A1400" s="14" t="str">
        <x:v>W5-028</x:v>
      </x:c>
      <x:c r="B1400" s="14" t="str">
        <x:v>Prozorro vertical expansion — 24.08</x:v>
      </x:c>
      <x:c r="C1400" s="14" t="str">
        <x:v>ТОВАРИСТВО З ОБМЕЖЕНОЮ ВІДПОВІДАЛЬНІСТЮ "МЕДХОЛДІНГ"</x:v>
      </x:c>
      <x:c r="D1400" s="14" t="str">
        <x:v>Чисті приміщення</x:v>
      </x:c>
      <x:c r="E1400" s="14" t="str">
        <x:v>Expansion discovery</x:v>
      </x:c>
      <x:c r="F1400" s="17" t="str">
        <x:v>D2</x:v>
      </x:c>
      <x:c r="G1400" s="14" t="str"/>
      <x:c r="H1400" s="14" t="str">
        <x:v>Discovery розширення — 2 тижні</x:v>
      </x:c>
      <x:c r="I1400" s="16" t="n">
        <x:v>1</x:v>
      </x:c>
      <x:c r="J1400" s="16" t="n">
        <x:v>5</x:v>
      </x:c>
      <x:c r="K1400" s="16" t="n">
        <x:v>5</x:v>
      </x:c>
      <x:c r="L1400" s="16" t="n">
        <x:v>5</x:v>
      </x:c>
      <x:c r="M1400" s="16" t="n">
        <x:v>5</x:v>
      </x:c>
      <x:c r="N1400" s="16" t="n">
        <x:v>5</x:v>
      </x:c>
      <x:c r="O1400" s="16" t="n">
        <x:v>3</x:v>
      </x:c>
      <x:c r="P1400" s="16" t="n">
        <x:f>IF(COUNT(I1400:O1400)&lt;7,"",I1400*8+J1400*3+K1400*2+L1400*2+M1400*2+N1400*2+O1400)</x:f>
        <x:v>66</x:v>
      </x:c>
      <x:c r="Q1400" s="16" t="n">
        <x:f>IF(COUNT(J1400:O1400)&lt;6,"",J1400*5+K1400*4+M1400*4+L1400*3+N1400*2+O1400*2)</x:f>
        <x:v>96</x:v>
      </x:c>
      <x:c r="R1400" s="14" t="str">
        <x:v>high</x:v>
      </x:c>
      <x:c r="S1400" s="14" t="str">
        <x:v>official_prozorro_award_2024_2026</x:v>
      </x:c>
      <x:c r="T1400" s="14" t="str">
        <x:v>official_prozorro_api</x:v>
      </x:c>
      <x:c r="U1400" s="14" t="str">
        <x:v>Не контактували</x:v>
      </x:c>
      <x:c r="V1400" s="15" t="str">
        <x:v>Workflow-audit outreach по UA-2024-12-27-008132-a; попросити 1 пакет здачі та вимоги проєкту</x:v>
      </x:c>
      <x:c r="W1400" s="15" t="str">
        <x:v>Власник / директор; керівник ПТО; відповідальний за договори</x:v>
      </x:c>
      <x:c r="X1400" s="15" t="str">
        <x:v>11 нових підтверджених перемог/договорів у Prozorro на 10 571 378 грн; 0 зі строком виконання не раніше 24.08.2026.</x:v>
      </x:c>
      <x:c r="Y1400" s="15" t="str">
        <x:v>Медичне обладнання по об’єкту: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ЄЗС ДК 021:2015 45454000-4 – Реконструкція»; опублікований строк до 2024-12-31. Попросити один знеособлений пакет здачі за цим workflow.</x:v>
      </x:c>
      <x:c r="Z1400" s="15" t="str">
        <x:v>https://prozorro.gov.ua/tender/UA-2024-12-27-008132-a</x:v>
      </x:c>
      <x:c r="AA1400" s="14" t="str">
        <x:v>38406011</x:v>
      </x:c>
      <x:c r="AB1400" s="14" t="str">
        <x:v>2026-08-24</x:v>
      </x:c>
      <x:c r="AC1400" s="14" t="str"/>
      <x:c r="AD1400" s="20" t="str"/>
      <x:c r="AE1400" s="14" t="str"/>
      <x:c r="AF1400" s="14" t="n">
        <x:v>67</x:v>
      </x:c>
      <x:c r="AG1400" s="14" t="str">
        <x:v>I2</x:v>
      </x:c>
      <x:c r="AH1400" s="14" t="n">
        <x:v>11</x:v>
      </x:c>
      <x:c r="AI1400" s="14" t="n">
        <x:v>0</x:v>
      </x:c>
      <x:c r="AJ1400" s="18" t="n">
        <x:v>10571377.51</x:v>
      </x:c>
      <x:c r="AK1400" s="14" t="str">
        <x:v>https://prozorro.gov.ua/tender/UA-2024-12-27-008132-a</x:v>
      </x:c>
      <x:c r="AL1400" s="19" t="n">
        <x:v>45653.52120915509</x:v>
      </x:c>
      <x:c r="AM1400" s="19" t="n">
        <x:v>45657</x:v>
      </x:c>
      <x:c r="AN1400" s="15" t="str">
        <x:v>Чисті приміщення</x:v>
      </x:c>
      <x:c r="AO1400" s="15" t="str">
        <x:v>not_found_in_top_search</x:v>
      </x:c>
    </x:row>
    <x:row r="1401">
      <x:c r="A1401" s="14" t="str">
        <x:v>W5-029</x:v>
      </x:c>
      <x:c r="B1401" s="14" t="str">
        <x:v>Prozorro vertical expansion — 24.08</x:v>
      </x:c>
      <x:c r="C1401" s="14" t="str">
        <x:v>ТОВАРИСТВО З ОБМЕЖЕНОЮ ВІДПОВІДАЛЬНІСТЮ "ВИРОБНИЧА ФІРМА "ЛЬВІВ-ТЕЛЕКОМ"</x:v>
      </x:c>
      <x:c r="D1401" s="14" t="str">
        <x:v>ВОЛЗ / телеком</x:v>
      </x:c>
      <x:c r="E1401" s="14" t="str">
        <x:v>Expansion discovery</x:v>
      </x:c>
      <x:c r="F1401" s="17" t="str">
        <x:v>D2</x:v>
      </x:c>
      <x:c r="G1401" s="14" t="str">
        <x:v>telekom.lviv.ua</x:v>
      </x:c>
      <x:c r="H1401" s="14" t="str">
        <x:v>Discovery розширення — 2 тижні</x:v>
      </x:c>
      <x:c r="I1401" s="16" t="n">
        <x:v>1</x:v>
      </x:c>
      <x:c r="J1401" s="16" t="n">
        <x:v>5</x:v>
      </x:c>
      <x:c r="K1401" s="16" t="n">
        <x:v>5</x:v>
      </x:c>
      <x:c r="L1401" s="16" t="n">
        <x:v>4</x:v>
      </x:c>
      <x:c r="M1401" s="16" t="n">
        <x:v>5</x:v>
      </x:c>
      <x:c r="N1401" s="16" t="n">
        <x:v>5</x:v>
      </x:c>
      <x:c r="O1401" s="16" t="n">
        <x:v>5</x:v>
      </x:c>
      <x:c r="P1401" s="16" t="n">
        <x:f>IF(COUNT(I1401:O1401)&lt;7,"",I1401*8+J1401*3+K1401*2+L1401*2+M1401*2+N1401*2+O1401)</x:f>
        <x:v>66</x:v>
      </x:c>
      <x:c r="Q1401" s="16" t="n">
        <x:f>IF(COUNT(J1401:O1401)&lt;6,"",J1401*5+K1401*4+M1401*4+L1401*3+N1401*2+O1401*2)</x:f>
        <x:v>97</x:v>
      </x:c>
      <x:c r="R1401" s="14" t="str">
        <x:v>high</x:v>
      </x:c>
      <x:c r="S1401" s="14" t="str">
        <x:v>official_prozorro_award_2024_2026</x:v>
      </x:c>
      <x:c r="T1401" s="14" t="str">
        <x:v>official_prozorro_api</x:v>
      </x:c>
      <x:c r="U1401" s="14" t="str">
        <x:v>Не контактували</x:v>
      </x:c>
      <x:c r="V1401" s="15" t="str">
        <x:v>Workflow-audit outreach по UA-2025-09-29-009471-a; попросити 1 пакет здачі та вимоги проєкту</x:v>
      </x:c>
      <x:c r="W1401" s="15" t="str">
        <x:v>Власник / директор; керівник ПТО; відповідальний за договори</x:v>
      </x:c>
      <x:c r="X1401" s="15" t="str">
        <x:v>4 нових підтверджених перемог/договорів у Prozorro на 6 251 916 грн; 0 зі строком виконання не раніше 24.08.2026.</x:v>
      </x:c>
      <x:c r="Y1401" s="15" t="str">
        <x:v>Будівництво волоконно-оптичної лінії зв’язку спеціального призначення між об'єктами військової частини А4150; опублікований строк до 2025-12-25. Попросити один знеособлений пакет здачі за цим workflow.</x:v>
      </x:c>
      <x:c r="Z1401" s="15" t="str">
        <x:v>https://prozorro.gov.ua/tender/UA-2025-09-29-009471-a</x:v>
      </x:c>
      <x:c r="AA1401" s="14" t="str">
        <x:v>31803912</x:v>
      </x:c>
      <x:c r="AB1401" s="14" t="str">
        <x:v>2026-08-24</x:v>
      </x:c>
      <x:c r="AC1401" s="14" t="str"/>
      <x:c r="AD1401" s="20" t="str"/>
      <x:c r="AE1401" s="14" t="str"/>
      <x:c r="AF1401" s="14" t="n">
        <x:v>67</x:v>
      </x:c>
      <x:c r="AG1401" s="14" t="str">
        <x:v>I2</x:v>
      </x:c>
      <x:c r="AH1401" s="14" t="n">
        <x:v>4</x:v>
      </x:c>
      <x:c r="AI1401" s="14" t="n">
        <x:v>0</x:v>
      </x:c>
      <x:c r="AJ1401" s="18" t="n">
        <x:v>6251915.64</x:v>
      </x:c>
      <x:c r="AK1401" s="14" t="str">
        <x:v>https://prozorro.gov.ua/tender/UA-2025-09-29-009471-a</x:v>
      </x:c>
      <x:c r="AL1401" s="19" t="n">
        <x:v>45952.450905868056</x:v>
      </x:c>
      <x:c r="AM1401" s="19" t="n">
        <x:v>46016</x:v>
      </x:c>
      <x:c r="AN1401" s="15" t="str">
        <x:v>ВОЛЗ / телеком</x:v>
      </x:c>
      <x:c r="AO1401" s="15" t="str">
        <x:v>supplier_provided_url</x:v>
      </x:c>
    </x:row>
    <x:row r="1402">
      <x:c r="A1402" s="14" t="str">
        <x:v>W5-030</x:v>
      </x:c>
      <x:c r="B1402" s="14" t="str">
        <x:v>Prozorro vertical expansion — 24.08</x:v>
      </x:c>
      <x:c r="C1402" s="14" t="str">
        <x:v>ТОВ   «Компанія «Скайлайн  Телеком»</x:v>
      </x:c>
      <x:c r="D1402" s="14" t="str">
        <x:v>ВОЛЗ / телеком</x:v>
      </x:c>
      <x:c r="E1402" s="14" t="str">
        <x:v>Expansion discovery</x:v>
      </x:c>
      <x:c r="F1402" s="17" t="str">
        <x:v>D2</x:v>
      </x:c>
      <x:c r="G1402" s="14" t="str">
        <x:v>skylinetele.com</x:v>
      </x:c>
      <x:c r="H1402" s="14" t="str">
        <x:v>Discovery розширення — 2 тижні</x:v>
      </x:c>
      <x:c r="I1402" s="16" t="n">
        <x:v>1</x:v>
      </x:c>
      <x:c r="J1402" s="16" t="n">
        <x:v>5</x:v>
      </x:c>
      <x:c r="K1402" s="16" t="n">
        <x:v>5</x:v>
      </x:c>
      <x:c r="L1402" s="16" t="n">
        <x:v>4</x:v>
      </x:c>
      <x:c r="M1402" s="16" t="n">
        <x:v>5</x:v>
      </x:c>
      <x:c r="N1402" s="16" t="n">
        <x:v>5</x:v>
      </x:c>
      <x:c r="O1402" s="16" t="n">
        <x:v>5</x:v>
      </x:c>
      <x:c r="P1402" s="16" t="n">
        <x:f>IF(COUNT(I1402:O1402)&lt;7,"",I1402*8+J1402*3+K1402*2+L1402*2+M1402*2+N1402*2+O1402)</x:f>
        <x:v>66</x:v>
      </x:c>
      <x:c r="Q1402" s="16" t="n">
        <x:f>IF(COUNT(J1402:O1402)&lt;6,"",J1402*5+K1402*4+M1402*4+L1402*3+N1402*2+O1402*2)</x:f>
        <x:v>97</x:v>
      </x:c>
      <x:c r="R1402" s="14" t="str">
        <x:v>high</x:v>
      </x:c>
      <x:c r="S1402" s="14" t="str">
        <x:v>official_prozorro_award_2024_2026</x:v>
      </x:c>
      <x:c r="T1402" s="14" t="str">
        <x:v>official_prozorro_api</x:v>
      </x:c>
      <x:c r="U1402" s="14" t="str">
        <x:v>Не контактували</x:v>
      </x:c>
      <x:c r="V1402" s="15" t="str">
        <x:v>Workflow-audit outreach по UA-2025-08-04-011641-a; попросити 1 пакет здачі та вимоги проєкту</x:v>
      </x:c>
      <x:c r="W1402" s="15" t="str">
        <x:v>Власник / директор; керівник ПТО; відповідальний за договори</x:v>
      </x:c>
      <x:c r="X1402" s="15" t="str">
        <x:v>13 нових підтверджених перемог/договорів у Prozorro на 2 391 689 грн; 0 зі строком виконання не раніше 24.08.2026.</x:v>
      </x:c>
      <x:c r="Y1402" s="15" t="str">
        <x:v>роботи з утримання світлофорних об'єктів (Будівництво волоконно-оптичної лінії зв’язку для керування світлофорним об’єктом, розташованим за адресою: м. Одеса, Адміральський проспект – вул. Суднобудівна),  згідно коду ДК 021:2015 45310000-3 Електромонтажні роботи; опублікований строк до 2025-12-31. Попросити один знеособлений пакет здачі за цим workflow.</x:v>
      </x:c>
      <x:c r="Z1402" s="15" t="str">
        <x:v>https://prozorro.gov.ua/tender/UA-2025-08-04-011641-a</x:v>
      </x:c>
      <x:c r="AA1402" s="14" t="str">
        <x:v>33140052</x:v>
      </x:c>
      <x:c r="AB1402" s="14" t="str">
        <x:v>2026-08-24</x:v>
      </x:c>
      <x:c r="AC1402" s="14" t="str"/>
      <x:c r="AD1402" s="20" t="str"/>
      <x:c r="AE1402" s="14" t="str"/>
      <x:c r="AF1402" s="14" t="n">
        <x:v>67</x:v>
      </x:c>
      <x:c r="AG1402" s="14" t="str">
        <x:v>I2</x:v>
      </x:c>
      <x:c r="AH1402" s="14" t="n">
        <x:v>13</x:v>
      </x:c>
      <x:c r="AI1402" s="14" t="n">
        <x:v>0</x:v>
      </x:c>
      <x:c r="AJ1402" s="18" t="n">
        <x:v>2391688.62</x:v>
      </x:c>
      <x:c r="AK1402" s="14" t="str">
        <x:v>https://prozorro.gov.ua/tender/UA-2025-08-04-011641-a</x:v>
      </x:c>
      <x:c r="AL1402" s="19" t="n">
        <x:v>45873.62188140046</x:v>
      </x:c>
      <x:c r="AM1402" s="19" t="n">
        <x:v>46022</x:v>
      </x:c>
      <x:c r="AN1402" s="15" t="str">
        <x:v>ВОЛЗ / телеком</x:v>
      </x:c>
      <x:c r="AO1402" s="15" t="str">
        <x:v>supplier_provided_url</x:v>
      </x:c>
    </x:row>
    <x:row r="1403">
      <x:c r="A1403" s="14" t="str">
        <x:v>W5-031</x:v>
      </x:c>
      <x:c r="B1403" s="14" t="str">
        <x:v>Prozorro vertical expansion — 24.08</x:v>
      </x:c>
      <x:c r="C1403" s="14" t="str">
        <x:v>Товариство з обмеженою відповідальністю "АСТОН СЕФЕТІ"</x:v>
      </x:c>
      <x:c r="D1403" s="14" t="str">
        <x:v>Блискавкозахист / заземлення</x:v>
      </x:c>
      <x:c r="E1403" s="14" t="str">
        <x:v>Pilot now</x:v>
      </x:c>
      <x:c r="F1403" s="17" t="str">
        <x:v>P2</x:v>
      </x:c>
      <x:c r="G1403" s="14" t="str"/>
      <x:c r="H1403" s="14" t="str">
        <x:v>Пілот зараз — Н.15 subset</x:v>
      </x:c>
      <x:c r="I1403" s="16" t="n">
        <x:v>4</x:v>
      </x:c>
      <x:c r="J1403" s="16" t="n">
        <x:v>5</x:v>
      </x:c>
      <x:c r="K1403" s="16" t="n">
        <x:v>5</x:v>
      </x:c>
      <x:c r="L1403" s="16" t="n">
        <x:v>2</x:v>
      </x:c>
      <x:c r="M1403" s="16" t="n">
        <x:v>5</x:v>
      </x:c>
      <x:c r="N1403" s="16" t="n">
        <x:v>5</x:v>
      </x:c>
      <x:c r="O1403" s="16" t="n">
        <x:v>3</x:v>
      </x:c>
      <x:c r="P1403" s="16" t="n">
        <x:f>IF(COUNT(I1403:O1403)&lt;7,"",I1403*8+J1403*3+K1403*2+L1403*2+M1403*2+N1403*2+O1403)</x:f>
        <x:v>84</x:v>
      </x:c>
      <x:c r="Q1403" s="16" t="n">
        <x:f>IF(COUNT(J1403:O1403)&lt;6,"",J1403*5+K1403*4+M1403*4+L1403*3+N1403*2+O1403*2)</x:f>
        <x:v>87</x:v>
      </x:c>
      <x:c r="R1403" s="14" t="str">
        <x:v>high</x:v>
      </x:c>
      <x:c r="S1403" s="14" t="str">
        <x:v>official_prozorro_award_2024_2026</x:v>
      </x:c>
      <x:c r="T1403" s="14" t="str">
        <x:v>official_prozorro_api</x:v>
      </x:c>
      <x:c r="U1403" s="14" t="str">
        <x:v>Не контактували</x:v>
      </x:c>
      <x:c r="V1403" s="15" t="str">
        <x:v>Персоналізований free-pilot outreach по UA-2026-07-23-010189-a; попросити 1 пакет Н.15</x:v>
      </x:c>
      <x:c r="W1403" s="15" t="str">
        <x:v>Власник / директор; керівник ПТО; відповідальний за договори</x:v>
      </x:c>
      <x:c r="X1403" s="15" t="str">
        <x:v>2 нових підтверджених перемог/договорів у Prozorro на 427 892 грн; 2 зі строком виконання не раніше 24.08.2026.</x:v>
      </x:c>
      <x:c r="Y1403" s="15" t="str">
        <x:v>Капітальний ремонт приміщень Комунального закладу "Ліцей №39" Кам'янської міської ради за адресою: 51939, Дніпропетровська область, м. Кам'янське, Дніпровський район, б-р Будівельників, 15 (монтаж системи блискавкозахисту); опублікований строк до 2026-12-31. Попросити один знеособлений пакет здачі за цим workflow.</x:v>
      </x:c>
      <x:c r="Z1403" s="15" t="str">
        <x:v>https://prozorro.gov.ua/tender/UA-2026-07-23-010189-a</x:v>
      </x:c>
      <x:c r="AA1403" s="14" t="str">
        <x:v>42009021</x:v>
      </x:c>
      <x:c r="AB1403" s="14" t="str">
        <x:v>2026-08-24</x:v>
      </x:c>
      <x:c r="AC1403" s="14" t="str"/>
      <x:c r="AD1403" s="20" t="str"/>
      <x:c r="AE1403" s="14" t="str"/>
      <x:c r="AF1403" s="14" t="n">
        <x:v>66</x:v>
      </x:c>
      <x:c r="AG1403" s="14" t="str">
        <x:v>I2</x:v>
      </x:c>
      <x:c r="AH1403" s="14" t="n">
        <x:v>2</x:v>
      </x:c>
      <x:c r="AI1403" s="14" t="n">
        <x:v>2</x:v>
      </x:c>
      <x:c r="AJ1403" s="18" t="n">
        <x:v>427892</x:v>
      </x:c>
      <x:c r="AK1403" s="14" t="str">
        <x:v>https://prozorro.gov.ua/tender/UA-2026-07-23-010189-a</x:v>
      </x:c>
      <x:c r="AL1403" s="19" t="n">
        <x:v>46226.54548550926</x:v>
      </x:c>
      <x:c r="AM1403" s="19" t="n">
        <x:v>46387</x:v>
      </x:c>
      <x:c r="AN1403" s="15" t="str">
        <x:v>Блискавкозахист / заземлення</x:v>
      </x:c>
      <x:c r="AO1403" s="15" t="str">
        <x:v>not_found_in_top_search</x:v>
      </x:c>
    </x:row>
    <x:row r="1404">
      <x:c r="A1404" s="14" t="str">
        <x:v>W5-032</x:v>
      </x:c>
      <x:c r="B1404" s="14" t="str">
        <x:v>Prozorro vertical expansion — 24.08</x:v>
      </x:c>
      <x:c r="C1404" s="14" t="str">
        <x:v>ТОВАРИСТВО З ОБМЕЖЕНОЮ ВІДПОВІДАЛЬНІСТЮ БУДІВЕЛЬНЕ УПРАВЛІННЯ 150 ТРЕСТУ "ПІВДЕНЗАХІДТРАНСБУД"</x:v>
      </x:c>
      <x:c r="D1404" s="14" t="str">
        <x:v>Залізнична інфраструктура</x:v>
      </x:c>
      <x:c r="E1404" s="14" t="str">
        <x:v>Expansion discovery</x:v>
      </x:c>
      <x:c r="F1404" s="17" t="str">
        <x:v>D2</x:v>
      </x:c>
      <x:c r="G1404" s="14" t="str"/>
      <x:c r="H1404" s="14" t="str">
        <x:v>Discovery розширення — 2 тижні</x:v>
      </x:c>
      <x:c r="I1404" s="16" t="n">
        <x:v>1</x:v>
      </x:c>
      <x:c r="J1404" s="16" t="n">
        <x:v>5</x:v>
      </x:c>
      <x:c r="K1404" s="16" t="n">
        <x:v>5</x:v>
      </x:c>
      <x:c r="L1404" s="16" t="n">
        <x:v>5</x:v>
      </x:c>
      <x:c r="M1404" s="16" t="n">
        <x:v>5</x:v>
      </x:c>
      <x:c r="N1404" s="16" t="n">
        <x:v>5</x:v>
      </x:c>
      <x:c r="O1404" s="16" t="n">
        <x:v>3</x:v>
      </x:c>
      <x:c r="P1404" s="16" t="n">
        <x:f>IF(COUNT(I1404:O1404)&lt;7,"",I1404*8+J1404*3+K1404*2+L1404*2+M1404*2+N1404*2+O1404)</x:f>
        <x:v>66</x:v>
      </x:c>
      <x:c r="Q1404" s="16" t="n">
        <x:f>IF(COUNT(J1404:O1404)&lt;6,"",J1404*5+K1404*4+M1404*4+L1404*3+N1404*2+O1404*2)</x:f>
        <x:v>96</x:v>
      </x:c>
      <x:c r="R1404" s="14" t="str">
        <x:v>high</x:v>
      </x:c>
      <x:c r="S1404" s="14" t="str">
        <x:v>official_prozorro_award_2024_2026</x:v>
      </x:c>
      <x:c r="T1404" s="14" t="str">
        <x:v>official_prozorro_api</x:v>
      </x:c>
      <x:c r="U1404" s="14" t="str">
        <x:v>Не контактували</x:v>
      </x:c>
      <x:c r="V1404" s="15" t="str">
        <x:v>Workflow-audit outreach по UA-2026-01-12-008194-a; попросити 1 пакет здачі та вимоги проєкту</x:v>
      </x:c>
      <x:c r="W1404" s="15" t="str">
        <x:v>Власник / директор; керівник ПТО; відповідальний за договори</x:v>
      </x:c>
      <x:c r="X1404" s="15" t="str">
        <x:v>2 нових підтверджених перемог/договорів у Prozorro на 22 256 860 грн; 1 зі строком виконання не раніше 24.08.2026.</x:v>
      </x:c>
      <x:c r="Y1404" s="15" t="str">
        <x:v>Поточний середній ремонт під'їзних залізничних колій філії Погребище; опублікований строк до 2026-03-15. Попросити один знеособлений пакет здачі за цим workflow.</x:v>
      </x:c>
      <x:c r="Z1404" s="15" t="str">
        <x:v>https://prozorro.gov.ua/tender/UA-2026-01-12-008194-a</x:v>
      </x:c>
      <x:c r="AA1404" s="14" t="str">
        <x:v>39733628</x:v>
      </x:c>
      <x:c r="AB1404" s="14" t="str">
        <x:v>2026-08-24</x:v>
      </x:c>
      <x:c r="AC1404" s="14" t="str"/>
      <x:c r="AD1404" s="20" t="str"/>
      <x:c r="AE1404" s="14" t="str"/>
      <x:c r="AF1404" s="14" t="n">
        <x:v>64</x:v>
      </x:c>
      <x:c r="AG1404" s="14" t="str">
        <x:v>I2</x:v>
      </x:c>
      <x:c r="AH1404" s="14" t="n">
        <x:v>2</x:v>
      </x:c>
      <x:c r="AI1404" s="14" t="n">
        <x:v>1</x:v>
      </x:c>
      <x:c r="AJ1404" s="18" t="n">
        <x:v>22256859.77</x:v>
      </x:c>
      <x:c r="AK1404" s="14" t="str">
        <x:v>https://prozorro.gov.ua/tender/UA-2026-01-12-008194-a</x:v>
      </x:c>
      <x:c r="AL1404" s="19" t="n">
        <x:v>46052.33413581018</x:v>
      </x:c>
      <x:c r="AM1404" s="19" t="n">
        <x:v>46096</x:v>
      </x:c>
      <x:c r="AN1404" s="15" t="str">
        <x:v>Залізнична інфраструктура</x:v>
      </x:c>
      <x:c r="AO1404" s="15" t="str">
        <x:v>not_found_in_top_search</x:v>
      </x:c>
    </x:row>
    <x:row r="1405">
      <x:c r="A1405" s="14" t="str">
        <x:v>W5-033</x:v>
      </x:c>
      <x:c r="B1405" s="14" t="str">
        <x:v>Prozorro vertical expansion — 24.08</x:v>
      </x:c>
      <x:c r="C1405" s="14" t="str">
        <x:v>ТОВАРИСТВО З ОБМЕЖЕНОЮ  ВІДПОВІДАЛЬНІСТЮ «ЕКНІС»</x:v>
      </x:c>
      <x:c r="D1405" s="14" t="str">
        <x:v>Промислова автоматизація / SCADA</x:v>
      </x:c>
      <x:c r="E1405" s="14" t="str">
        <x:v>Expansion discovery</x:v>
      </x:c>
      <x:c r="F1405" s="17" t="str">
        <x:v>D2</x:v>
      </x:c>
      <x:c r="G1405" s="14" t="str"/>
      <x:c r="H1405" s="14" t="str">
        <x:v>Discovery розширення — 2 тижні</x:v>
      </x:c>
      <x:c r="I1405" s="16" t="n">
        <x:v>1</x:v>
      </x:c>
      <x:c r="J1405" s="16" t="n">
        <x:v>5</x:v>
      </x:c>
      <x:c r="K1405" s="16" t="n">
        <x:v>5</x:v>
      </x:c>
      <x:c r="L1405" s="16" t="n">
        <x:v>5</x:v>
      </x:c>
      <x:c r="M1405" s="16" t="n">
        <x:v>5</x:v>
      </x:c>
      <x:c r="N1405" s="16" t="n">
        <x:v>5</x:v>
      </x:c>
      <x:c r="O1405" s="16" t="n">
        <x:v>3</x:v>
      </x:c>
      <x:c r="P1405" s="16" t="n">
        <x:f>IF(COUNT(I1405:O1405)&lt;7,"",I1405*8+J1405*3+K1405*2+L1405*2+M1405*2+N1405*2+O1405)</x:f>
        <x:v>66</x:v>
      </x:c>
      <x:c r="Q1405" s="16" t="n">
        <x:f>IF(COUNT(J1405:O1405)&lt;6,"",J1405*5+K1405*4+M1405*4+L1405*3+N1405*2+O1405*2)</x:f>
        <x:v>96</x:v>
      </x:c>
      <x:c r="R1405" s="14" t="str">
        <x:v>high</x:v>
      </x:c>
      <x:c r="S1405" s="14" t="str">
        <x:v>official_prozorro_award_2024_2026</x:v>
      </x:c>
      <x:c r="T1405" s="14" t="str">
        <x:v>official_prozorro_api</x:v>
      </x:c>
      <x:c r="U1405" s="14" t="str">
        <x:v>Не контактували</x:v>
      </x:c>
      <x:c r="V1405" s="15" t="str">
        <x:v>Workflow-audit outreach по UA-2026-03-30-011292-a; попросити 1 пакет здачі та вимоги проєкту</x:v>
      </x:c>
      <x:c r="W1405" s="15" t="str">
        <x:v>Власник / директор; керівник ПТО; відповідальний за договори</x:v>
      </x:c>
      <x:c r="X1405" s="15" t="str">
        <x:v>2 нових підтверджених перемог/договорів у Prozorro на 12 194 612 грн; 1 зі строком виконання не раніше 24.08.2026.</x:v>
      </x:c>
      <x:c r="Y140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Автоматизована система управління технологічними процесами (телемеханіка) електричної частини АСУ ТП ЕЧ; опублікований строк до 2026-10-30. Попросити один знеособлений пакет здачі за цим workflow.</x:v>
      </x:c>
      <x:c r="Z1405" s="15" t="str">
        <x:v>https://prozorro.gov.ua/tender/UA-2026-03-30-011292-a</x:v>
      </x:c>
      <x:c r="AA1405" s="14" t="str">
        <x:v>43860921</x:v>
      </x:c>
      <x:c r="AB1405" s="14" t="str">
        <x:v>2026-08-24</x:v>
      </x:c>
      <x:c r="AC1405" s="14" t="str"/>
      <x:c r="AD1405" s="20" t="str"/>
      <x:c r="AE1405" s="14" t="str"/>
      <x:c r="AF1405" s="14" t="n">
        <x:v>64</x:v>
      </x:c>
      <x:c r="AG1405" s="14" t="str">
        <x:v>I2</x:v>
      </x:c>
      <x:c r="AH1405" s="14" t="n">
        <x:v>2</x:v>
      </x:c>
      <x:c r="AI1405" s="14" t="n">
        <x:v>1</x:v>
      </x:c>
      <x:c r="AJ1405" s="18" t="n">
        <x:v>12194612.17</x:v>
      </x:c>
      <x:c r="AK1405" s="14" t="str">
        <x:v>https://prozorro.gov.ua/tender/UA-2026-03-30-011292-a</x:v>
      </x:c>
      <x:c r="AL1405" s="19" t="n">
        <x:v>46111.58530576389</x:v>
      </x:c>
      <x:c r="AM1405" s="19" t="n">
        <x:v>46325</x:v>
      </x:c>
      <x:c r="AN1405" s="15" t="str">
        <x:v>Промислова автоматизація / SCADA</x:v>
      </x:c>
      <x:c r="AO1405" s="15" t="str">
        <x:v>not_found_in_top_search</x:v>
      </x:c>
    </x:row>
    <x:row r="1406">
      <x:c r="A1406" s="14" t="str">
        <x:v>W5-034</x:v>
      </x:c>
      <x:c r="B1406" s="14" t="str">
        <x:v>Prozorro vertical expansion — 24.08</x:v>
      </x:c>
      <x:c r="C1406" s="14" t="str">
        <x:v>Товариство з обмеженою відповідальністю «БУДІВЕЛЬНА КОМПАНІЯ «АДАМАНТ»</x:v>
      </x:c>
      <x:c r="D1406" s="14" t="str">
        <x:v>Стиснене повітря / компресорні</x:v>
      </x:c>
      <x:c r="E1406" s="14" t="str">
        <x:v>Expansion discovery</x:v>
      </x:c>
      <x:c r="F1406" s="17" t="str">
        <x:v>D2</x:v>
      </x:c>
      <x:c r="G1406" s="14" t="str"/>
      <x:c r="H1406" s="14" t="str">
        <x:v>Discovery розширення — 2 тижні</x:v>
      </x:c>
      <x:c r="I1406" s="16" t="n">
        <x:v>1</x:v>
      </x:c>
      <x:c r="J1406" s="16" t="n">
        <x:v>5</x:v>
      </x:c>
      <x:c r="K1406" s="16" t="n">
        <x:v>5</x:v>
      </x:c>
      <x:c r="L1406" s="16" t="n">
        <x:v>4</x:v>
      </x:c>
      <x:c r="M1406" s="16" t="n">
        <x:v>5</x:v>
      </x:c>
      <x:c r="N1406" s="16" t="n">
        <x:v>5</x:v>
      </x:c>
      <x:c r="O1406" s="16" t="n">
        <x:v>3</x:v>
      </x:c>
      <x:c r="P1406" s="16" t="n">
        <x:f>IF(COUNT(I1406:O1406)&lt;7,"",I1406*8+J1406*3+K1406*2+L1406*2+M1406*2+N1406*2+O1406)</x:f>
        <x:v>64</x:v>
      </x:c>
      <x:c r="Q1406" s="16" t="n">
        <x:f>IF(COUNT(J1406:O1406)&lt;6,"",J1406*5+K1406*4+M1406*4+L1406*3+N1406*2+O1406*2)</x:f>
        <x:v>93</x:v>
      </x:c>
      <x:c r="R1406" s="14" t="str">
        <x:v>high</x:v>
      </x:c>
      <x:c r="S1406" s="14" t="str">
        <x:v>official_prozorro_award_2024_2026</x:v>
      </x:c>
      <x:c r="T1406" s="14" t="str">
        <x:v>official_prozorro_api</x:v>
      </x:c>
      <x:c r="U1406" s="14" t="str">
        <x:v>Не контактували</x:v>
      </x:c>
      <x:c r="V1406" s="15" t="str">
        <x:v>Workflow-audit outreach по UA-2026-07-29-009197-a; попросити 1 пакет здачі та вимоги проєкту</x:v>
      </x:c>
      <x:c r="W1406" s="15" t="str">
        <x:v>Власник / директор; керівник ПТО; відповідальний за договори</x:v>
      </x:c>
      <x:c r="X1406" s="15" t="str">
        <x:v>1 нових підтверджених перемог/договорів у Prozorro на 7 001 657 грн; 1 зі строком виконання не раніше 24.08.2026.</x:v>
      </x:c>
      <x:c r="Y1406" s="15" t="str">
        <x:v>Проєктно-вишукувальні роботи по об’єкту: «Реконструкція цеху №1А з посиленням захисних властивостей дотискувальної компресорної станції Більче-Волиця Стрийського виробничого управління підземного зберігання газу» (Будівельні роботи та поточний ремонт); опублікований строк до 2027-02-26. Попросити один знеособлений пакет здачі за цим workflow.</x:v>
      </x:c>
      <x:c r="Z1406" s="15" t="str">
        <x:v>https://prozorro.gov.ua/tender/UA-2026-07-29-009197-a</x:v>
      </x:c>
      <x:c r="AA1406" s="14" t="str">
        <x:v>36972558</x:v>
      </x:c>
      <x:c r="AB1406" s="14" t="str">
        <x:v>2026-08-24</x:v>
      </x:c>
      <x:c r="AC1406" s="14" t="str"/>
      <x:c r="AD1406" s="20" t="str"/>
      <x:c r="AE1406" s="14" t="str"/>
      <x:c r="AF1406" s="14" t="n">
        <x:v>64</x:v>
      </x:c>
      <x:c r="AG1406" s="14" t="str">
        <x:v>I2</x:v>
      </x:c>
      <x:c r="AH1406" s="14" t="n">
        <x:v>1</x:v>
      </x:c>
      <x:c r="AI1406" s="14" t="n">
        <x:v>1</x:v>
      </x:c>
      <x:c r="AJ1406" s="18" t="n">
        <x:v>7001657.04</x:v>
      </x:c>
      <x:c r="AK1406" s="14" t="str">
        <x:v>https://prozorro.gov.ua/tender/UA-2026-07-29-009197-a</x:v>
      </x:c>
      <x:c r="AL1406" s="19" t="n">
        <x:v>46232.54145887731</x:v>
      </x:c>
      <x:c r="AM1406" s="19" t="n">
        <x:v>46444</x:v>
      </x:c>
      <x:c r="AN1406" s="15" t="str">
        <x:v>Стиснене повітря / компресорні</x:v>
      </x:c>
      <x:c r="AO1406" s="15" t="str">
        <x:v>not_found_in_top_search</x:v>
      </x:c>
    </x:row>
    <x:row r="1407">
      <x:c r="A1407" s="14" t="str">
        <x:v>W5-035</x:v>
      </x:c>
      <x:c r="B1407" s="14" t="str">
        <x:v>Prozorro vertical expansion — 24.08</x:v>
      </x:c>
      <x:c r="C1407" s="14" t="str">
        <x:v>ПРИВАТНЕ ПІДПРИЄМСТВО "ЕЛЕКТРОМОНТАЖ-СЕРВІС ПЛЮС"</x:v>
      </x:c>
      <x:c r="D1407" s="14" t="str">
        <x:v>Промислова електрика / ПНР</x:v>
      </x:c>
      <x:c r="E1407" s="14" t="str">
        <x:v>Pilot now</x:v>
      </x:c>
      <x:c r="F1407" s="17" t="str">
        <x:v>P2</x:v>
      </x:c>
      <x:c r="G1407" s="14" t="str"/>
      <x:c r="H1407" s="14" t="str">
        <x:v>Пілот зараз — Н.15 subset</x:v>
      </x:c>
      <x:c r="I1407" s="16" t="n">
        <x:v>4</x:v>
      </x:c>
      <x:c r="J1407" s="16" t="n">
        <x:v>5</x:v>
      </x:c>
      <x:c r="K1407" s="16" t="n">
        <x:v>4</x:v>
      </x:c>
      <x:c r="L1407" s="16" t="n">
        <x:v>4</x:v>
      </x:c>
      <x:c r="M1407" s="16" t="n">
        <x:v>5</x:v>
      </x:c>
      <x:c r="N1407" s="16" t="n">
        <x:v>5</x:v>
      </x:c>
      <x:c r="O1407" s="16" t="n">
        <x:v>3</x:v>
      </x:c>
      <x:c r="P1407" s="16" t="n">
        <x:f>IF(COUNT(I1407:O1407)&lt;7,"",I1407*8+J1407*3+K1407*2+L1407*2+M1407*2+N1407*2+O1407)</x:f>
        <x:v>86</x:v>
      </x:c>
      <x:c r="Q1407" s="16" t="n">
        <x:f>IF(COUNT(J1407:O1407)&lt;6,"",J1407*5+K1407*4+M1407*4+L1407*3+N1407*2+O1407*2)</x:f>
        <x:v>89</x:v>
      </x:c>
      <x:c r="R1407" s="14" t="str">
        <x:v>high</x:v>
      </x:c>
      <x:c r="S1407" s="14" t="str">
        <x:v>official_prozorro_award_2024_2026</x:v>
      </x:c>
      <x:c r="T1407" s="14" t="str">
        <x:v>official_prozorro_api</x:v>
      </x:c>
      <x:c r="U1407" s="14" t="str">
        <x:v>Не контактували</x:v>
      </x:c>
      <x:c r="V1407" s="15" t="str">
        <x:v>Персоналізований free-pilot outreach по UA-2026-07-29-004011-a; попросити 1 пакет Н.15</x:v>
      </x:c>
      <x:c r="W1407" s="15" t="str">
        <x:v>Власник / директор; керівник ПТО; відповідальний за договори</x:v>
      </x:c>
      <x:c r="X1407" s="15" t="str">
        <x:v>1 нових підтверджених перемог/договорів у Prozorro на 5 936 431 грн; 1 зі строком виконання не раніше 24.08.2026.</x:v>
      </x:c>
      <x:c r="Y1407"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внутрішніх мереж електропостачання із влаштування фотоелектричної станції та встановленням УЗЕ ТОВ "Агросем" за межами с. Давидківці Хмельницька ТГ (6825082400:02:019:0133). Влаштування відгалуження 35 кВ" (технічні умови нестандартного приєднання ТУ:004134-171025-2-22-03-3-00000-1)); опублікований строк до 2026-11-12. Попросити один знеособлений пакет здачі за цим workflow.</x:v>
      </x:c>
      <x:c r="Z1407" s="15" t="str">
        <x:v>https://prozorro.gov.ua/tender/UA-2026-07-29-004011-a</x:v>
      </x:c>
      <x:c r="AA1407" s="14" t="str">
        <x:v>39285406</x:v>
      </x:c>
      <x:c r="AB1407" s="14" t="str">
        <x:v>2026-08-24</x:v>
      </x:c>
      <x:c r="AC1407" s="14" t="str"/>
      <x:c r="AD1407" s="20" t="str"/>
      <x:c r="AE1407" s="14" t="str"/>
      <x:c r="AF1407" s="14" t="n">
        <x:v>64</x:v>
      </x:c>
      <x:c r="AG1407" s="14" t="str">
        <x:v>I2</x:v>
      </x:c>
      <x:c r="AH1407" s="14" t="n">
        <x:v>1</x:v>
      </x:c>
      <x:c r="AI1407" s="14" t="n">
        <x:v>1</x:v>
      </x:c>
      <x:c r="AJ1407" s="18" t="n">
        <x:v>5936431</x:v>
      </x:c>
      <x:c r="AK1407" s="14" t="str">
        <x:v>https://prozorro.gov.ua/tender/UA-2026-07-29-004011-a</x:v>
      </x:c>
      <x:c r="AL1407" s="19" t="n">
        <x:v>46254.24700225695</x:v>
      </x:c>
      <x:c r="AM1407" s="19" t="n">
        <x:v>46338</x:v>
      </x:c>
      <x:c r="AN1407" s="15" t="str">
        <x:v>Промислова електрика / ПНР</x:v>
      </x:c>
      <x:c r="AO1407" s="15" t="str">
        <x:v>not_found_in_top_search</x:v>
      </x:c>
    </x:row>
    <x:row r="1408">
      <x:c r="A1408" s="14" t="str">
        <x:v>W5-036</x:v>
      </x:c>
      <x:c r="B1408" s="14" t="str">
        <x:v>Prozorro vertical expansion — 24.08</x:v>
      </x:c>
      <x:c r="C1408" s="14" t="str">
        <x:v>ТОВАРИСТВО З ОБМЕЖЕНОЮ ВІДПОВІДАЛЬНІСТЮ «ТЕП КЕПІТАЛ»</x:v>
      </x:c>
      <x:c r="D1408" s="14" t="str">
        <x:v>Ремонт і підсилення бетону</x:v>
      </x:c>
      <x:c r="E1408" s="14" t="str">
        <x:v>Expansion discovery</x:v>
      </x:c>
      <x:c r="F1408" s="17" t="str">
        <x:v>D2</x:v>
      </x:c>
      <x:c r="G1408" s="14" t="str"/>
      <x:c r="H1408" s="14" t="str">
        <x:v>Discovery розширення — 2 тижні</x:v>
      </x:c>
      <x:c r="I1408" s="16" t="n">
        <x:v>1</x:v>
      </x:c>
      <x:c r="J1408" s="16" t="n">
        <x:v>5</x:v>
      </x:c>
      <x:c r="K1408" s="16" t="n">
        <x:v>5</x:v>
      </x:c>
      <x:c r="L1408" s="16" t="n">
        <x:v>4</x:v>
      </x:c>
      <x:c r="M1408" s="16" t="n">
        <x:v>5</x:v>
      </x:c>
      <x:c r="N1408" s="16" t="n">
        <x:v>5</x:v>
      </x:c>
      <x:c r="O1408" s="16" t="n">
        <x:v>3</x:v>
      </x:c>
      <x:c r="P1408" s="16" t="n">
        <x:f>IF(COUNT(I1408:O1408)&lt;7,"",I1408*8+J1408*3+K1408*2+L1408*2+M1408*2+N1408*2+O1408)</x:f>
        <x:v>64</x:v>
      </x:c>
      <x:c r="Q1408" s="16" t="n">
        <x:f>IF(COUNT(J1408:O1408)&lt;6,"",J1408*5+K1408*4+M1408*4+L1408*3+N1408*2+O1408*2)</x:f>
        <x:v>93</x:v>
      </x:c>
      <x:c r="R1408" s="14" t="str">
        <x:v>high</x:v>
      </x:c>
      <x:c r="S1408" s="14" t="str">
        <x:v>official_prozorro_award_2024_2026</x:v>
      </x:c>
      <x:c r="T1408" s="14" t="str">
        <x:v>official_prozorro_api</x:v>
      </x:c>
      <x:c r="U1408" s="14" t="str">
        <x:v>Не контактували</x:v>
      </x:c>
      <x:c r="V1408" s="15" t="str">
        <x:v>Workflow-audit outreach по UA-2026-08-11-005748-a; попросити 1 пакет здачі та вимоги проєкту</x:v>
      </x:c>
      <x:c r="W1408" s="15" t="str">
        <x:v>Власник / директор; керівник ПТО; відповідальний за договори</x:v>
      </x:c>
      <x:c r="X1408" s="15" t="str">
        <x:v>1 нових підтверджених перемог/договорів у Prozorro на 4 200 716 грн; 1 зі строком виконання не раніше 24.08.2026.</x:v>
      </x:c>
      <x:c r="Y1408"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Білоруській, 17-А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2026-10-31. Попросити один знеособлений пакет здачі за цим workflow.</x:v>
      </x:c>
      <x:c r="Z1408" s="15" t="str">
        <x:v>https://prozorro.gov.ua/tender/UA-2026-08-11-005748-a</x:v>
      </x:c>
      <x:c r="AA1408" s="14" t="str">
        <x:v>45795996</x:v>
      </x:c>
      <x:c r="AB1408" s="14" t="str">
        <x:v>2026-08-24</x:v>
      </x:c>
      <x:c r="AC1408" s="14" t="str"/>
      <x:c r="AD1408" s="20" t="str"/>
      <x:c r="AE1408" s="14" t="str"/>
      <x:c r="AF1408" s="14" t="n">
        <x:v>64</x:v>
      </x:c>
      <x:c r="AG1408" s="14" t="str">
        <x:v>I2</x:v>
      </x:c>
      <x:c r="AH1408" s="14" t="n">
        <x:v>1</x:v>
      </x:c>
      <x:c r="AI1408" s="14" t="n">
        <x:v>1</x:v>
      </x:c>
      <x:c r="AJ1408" s="18" t="n">
        <x:v>4200716.4</x:v>
      </x:c>
      <x:c r="AK1408" s="14" t="str">
        <x:v>https://prozorro.gov.ua/tender/UA-2026-08-11-005748-a</x:v>
      </x:c>
      <x:c r="AL1408" s="19" t="n">
        <x:v>46245.4083037963</x:v>
      </x:c>
      <x:c r="AM1408" s="19" t="n">
        <x:v>46326</x:v>
      </x:c>
      <x:c r="AN1408" s="15" t="str">
        <x:v>Ремонт і підсилення бетону</x:v>
      </x:c>
      <x:c r="AO1408" s="15" t="str">
        <x:v>not_found_in_top_search</x:v>
      </x:c>
    </x:row>
    <x:row r="1409">
      <x:c r="A1409" s="14" t="str">
        <x:v>W5-037</x:v>
      </x:c>
      <x:c r="B1409" s="14" t="str">
        <x:v>Prozorro vertical expansion — 24.08</x:v>
      </x:c>
      <x:c r="C1409" s="14" t="str">
        <x:v>ТОВАРИСТВО З ОБМЕЖЕНОЮ ВІДПОВІДАЛЬНІСТЮ "БУДІВЕЛЬНА КОМПАНІЯ "ПРАЙД"</x:v>
      </x:c>
      <x:c r="D1409" s="14" t="str">
        <x:v>Ремонт і підсилення бетону</x:v>
      </x:c>
      <x:c r="E1409" s="14" t="str">
        <x:v>Expansion discovery</x:v>
      </x:c>
      <x:c r="F1409" s="17" t="str">
        <x:v>D2</x:v>
      </x:c>
      <x:c r="G1409" s="14" t="str"/>
      <x:c r="H1409" s="14" t="str">
        <x:v>Discovery розширення — 2 тижні</x:v>
      </x:c>
      <x:c r="I1409" s="16" t="n">
        <x:v>1</x:v>
      </x:c>
      <x:c r="J1409" s="16" t="n">
        <x:v>5</x:v>
      </x:c>
      <x:c r="K1409" s="16" t="n">
        <x:v>5</x:v>
      </x:c>
      <x:c r="L1409" s="16" t="n">
        <x:v>4</x:v>
      </x:c>
      <x:c r="M1409" s="16" t="n">
        <x:v>5</x:v>
      </x:c>
      <x:c r="N1409" s="16" t="n">
        <x:v>5</x:v>
      </x:c>
      <x:c r="O1409" s="16" t="n">
        <x:v>3</x:v>
      </x:c>
      <x:c r="P1409" s="16" t="n">
        <x:f>IF(COUNT(I1409:O1409)&lt;7,"",I1409*8+J1409*3+K1409*2+L1409*2+M1409*2+N1409*2+O1409)</x:f>
        <x:v>64</x:v>
      </x:c>
      <x:c r="Q1409" s="16" t="n">
        <x:f>IF(COUNT(J1409:O1409)&lt;6,"",J1409*5+K1409*4+M1409*4+L1409*3+N1409*2+O1409*2)</x:f>
        <x:v>93</x:v>
      </x:c>
      <x:c r="R1409" s="14" t="str">
        <x:v>high</x:v>
      </x:c>
      <x:c r="S1409" s="14" t="str">
        <x:v>official_prozorro_award_2024_2026</x:v>
      </x:c>
      <x:c r="T1409" s="14" t="str">
        <x:v>official_prozorro_api</x:v>
      </x:c>
      <x:c r="U1409" s="14" t="str">
        <x:v>Не контактували</x:v>
      </x:c>
      <x:c r="V1409" s="15" t="str">
        <x:v>Workflow-audit outreach по UA-2026-08-04-005804-a; попросити 1 пакет здачі та вимоги проєкту</x:v>
      </x:c>
      <x:c r="W1409" s="15" t="str">
        <x:v>Власник / директор; керівник ПТО; відповідальний за договори</x:v>
      </x:c>
      <x:c r="X1409" s="15" t="str">
        <x:v>1 нових підтверджених перемог/договорів у Prozorro на 4 198 260 грн; 1 зі строком виконання не раніше 24.08.2026.</x:v>
      </x:c>
      <x:c r="Y1409"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Зоологічна, 6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2026-09-30. Попросити один знеособлений пакет здачі за цим workflow.</x:v>
      </x:c>
      <x:c r="Z1409" s="15" t="str">
        <x:v>https://prozorro.gov.ua/tender/UA-2026-08-04-005804-a</x:v>
      </x:c>
      <x:c r="AA1409" s="14" t="str">
        <x:v>41081903</x:v>
      </x:c>
      <x:c r="AB1409" s="14" t="str">
        <x:v>2026-08-24</x:v>
      </x:c>
      <x:c r="AC1409" s="14" t="str"/>
      <x:c r="AD1409" s="20" t="str"/>
      <x:c r="AE1409" s="14" t="str"/>
      <x:c r="AF1409" s="14" t="n">
        <x:v>64</x:v>
      </x:c>
      <x:c r="AG1409" s="14" t="str">
        <x:v>I2</x:v>
      </x:c>
      <x:c r="AH1409" s="14" t="n">
        <x:v>1</x:v>
      </x:c>
      <x:c r="AI1409" s="14" t="n">
        <x:v>1</x:v>
      </x:c>
      <x:c r="AJ1409" s="18" t="n">
        <x:v>4198259.76</x:v>
      </x:c>
      <x:c r="AK1409" s="14" t="str">
        <x:v>https://prozorro.gov.ua/tender/UA-2026-08-04-005804-a</x:v>
      </x:c>
      <x:c r="AL1409" s="19" t="n">
        <x:v>46238.42048876157</x:v>
      </x:c>
      <x:c r="AM1409" s="19" t="n">
        <x:v>46295</x:v>
      </x:c>
      <x:c r="AN1409" s="15" t="str">
        <x:v>Ремонт і підсилення бетону</x:v>
      </x:c>
      <x:c r="AO1409" s="15" t="str">
        <x:v>not_found_in_top_search</x:v>
      </x:c>
    </x:row>
    <x:row r="1410">
      <x:c r="A1410" s="14" t="str">
        <x:v>W5-038</x:v>
      </x:c>
      <x:c r="B1410" s="14" t="str">
        <x:v>Prozorro vertical expansion — 24.08</x:v>
      </x:c>
      <x:c r="C1410" s="14" t="str">
        <x:v>ТОВ "БК ЕНЕРГО-МОНТАЖ"</x:v>
      </x:c>
      <x:c r="D1410" s="14" t="str">
        <x:v>Промислова електрика / ПНР</x:v>
      </x:c>
      <x:c r="E1410" s="14" t="str">
        <x:v>Pilot now</x:v>
      </x:c>
      <x:c r="F1410" s="17" t="str">
        <x:v>P2</x:v>
      </x:c>
      <x:c r="G1410" s="14" t="str"/>
      <x:c r="H1410" s="14" t="str">
        <x:v>Пілот зараз — Н.15 subset</x:v>
      </x:c>
      <x:c r="I1410" s="16" t="n">
        <x:v>4</x:v>
      </x:c>
      <x:c r="J1410" s="16" t="n">
        <x:v>5</x:v>
      </x:c>
      <x:c r="K1410" s="16" t="n">
        <x:v>4</x:v>
      </x:c>
      <x:c r="L1410" s="16" t="n">
        <x:v>4</x:v>
      </x:c>
      <x:c r="M1410" s="16" t="n">
        <x:v>5</x:v>
      </x:c>
      <x:c r="N1410" s="16" t="n">
        <x:v>5</x:v>
      </x:c>
      <x:c r="O1410" s="16" t="n">
        <x:v>3</x:v>
      </x:c>
      <x:c r="P1410" s="16" t="n">
        <x:f>IF(COUNT(I1410:O1410)&lt;7,"",I1410*8+J1410*3+K1410*2+L1410*2+M1410*2+N1410*2+O1410)</x:f>
        <x:v>86</x:v>
      </x:c>
      <x:c r="Q1410" s="16" t="n">
        <x:f>IF(COUNT(J1410:O1410)&lt;6,"",J1410*5+K1410*4+M1410*4+L1410*3+N1410*2+O1410*2)</x:f>
        <x:v>89</x:v>
      </x:c>
      <x:c r="R1410" s="14" t="str">
        <x:v>high</x:v>
      </x:c>
      <x:c r="S1410" s="14" t="str">
        <x:v>official_prozorro_award_2024_2026</x:v>
      </x:c>
      <x:c r="T1410" s="14" t="str">
        <x:v>official_prozorro_api</x:v>
      </x:c>
      <x:c r="U1410" s="14" t="str">
        <x:v>Не контактували</x:v>
      </x:c>
      <x:c r="V1410" s="15" t="str">
        <x:v>Персоналізований free-pilot outreach по UA-2026-07-01-006317-a; попросити 1 пакет Н.15</x:v>
      </x:c>
      <x:c r="W1410" s="15" t="str">
        <x:v>Власник / директор; керівник ПТО; відповідальний за договори</x:v>
      </x:c>
      <x:c r="X1410" s="15" t="str">
        <x:v>1 нових підтверджених перемог/договорів у Prozorro на 2 848 816 грн; 1 зі строком виконання не раніше 24.08.2026.</x:v>
      </x:c>
      <x:c r="Y1410"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 опублікований строк до 2026-10-01. Попросити один знеособлений пакет здачі за цим workflow.</x:v>
      </x:c>
      <x:c r="Z1410" s="15" t="str">
        <x:v>https://prozorro.gov.ua/tender/UA-2026-07-01-006317-a</x:v>
      </x:c>
      <x:c r="AA1410" s="14" t="str">
        <x:v>40833701</x:v>
      </x:c>
      <x:c r="AB1410" s="14" t="str">
        <x:v>2026-08-24</x:v>
      </x:c>
      <x:c r="AC1410" s="14" t="str"/>
      <x:c r="AD1410" s="20" t="str"/>
      <x:c r="AE1410" s="14" t="str"/>
      <x:c r="AF1410" s="14" t="n">
        <x:v>64</x:v>
      </x:c>
      <x:c r="AG1410" s="14" t="str">
        <x:v>I2</x:v>
      </x:c>
      <x:c r="AH1410" s="14" t="n">
        <x:v>1</x:v>
      </x:c>
      <x:c r="AI1410" s="14" t="n">
        <x:v>1</x:v>
      </x:c>
      <x:c r="AJ1410" s="18" t="n">
        <x:v>2848816</x:v>
      </x:c>
      <x:c r="AK1410" s="14" t="str">
        <x:v>https://prozorro.gov.ua/tender/UA-2026-07-01-006317-a</x:v>
      </x:c>
      <x:c r="AL1410" s="19" t="n">
        <x:v>46226.28386040509</x:v>
      </x:c>
      <x:c r="AM1410" s="19" t="n">
        <x:v>46296</x:v>
      </x:c>
      <x:c r="AN1410" s="15" t="str">
        <x:v>Промислова електрика / ПНР</x:v>
      </x:c>
      <x:c r="AO1410" s="15" t="str">
        <x:v>not_found_in_top_search</x:v>
      </x:c>
    </x:row>
    <x:row r="1411">
      <x:c r="A1411" s="14" t="str">
        <x:v>W5-039</x:v>
      </x:c>
      <x:c r="B1411" s="14" t="str">
        <x:v>Prozorro vertical expansion — 24.08</x:v>
      </x:c>
      <x:c r="C1411" s="14" t="str">
        <x:v>Приватне підприємство "Спорт-прогрес"</x:v>
      </x:c>
      <x:c r="D1411" s="14" t="str">
        <x:v>Сонячна енергетика</x:v>
      </x:c>
      <x:c r="E1411" s="14" t="str">
        <x:v>Pilot now</x:v>
      </x:c>
      <x:c r="F1411" s="17" t="str">
        <x:v>P2</x:v>
      </x:c>
      <x:c r="G1411" s="14" t="str"/>
      <x:c r="H1411" s="14" t="str">
        <x:v>Пілот зараз — Н.15 discovery subset</x:v>
      </x:c>
      <x:c r="I1411" s="16" t="n">
        <x:v>3</x:v>
      </x:c>
      <x:c r="J1411" s="16" t="n">
        <x:v>5</x:v>
      </x:c>
      <x:c r="K1411" s="16" t="n">
        <x:v>5</x:v>
      </x:c>
      <x:c r="L1411" s="16" t="n">
        <x:v>4</x:v>
      </x:c>
      <x:c r="M1411" s="16" t="n">
        <x:v>5</x:v>
      </x:c>
      <x:c r="N1411" s="16" t="n">
        <x:v>5</x:v>
      </x:c>
      <x:c r="O1411" s="16" t="n">
        <x:v>3</x:v>
      </x:c>
      <x:c r="P1411" s="16" t="n">
        <x:f>IF(COUNT(I1411:O1411)&lt;7,"",I1411*8+J1411*3+K1411*2+L1411*2+M1411*2+N1411*2+O1411)</x:f>
        <x:v>80</x:v>
      </x:c>
      <x:c r="Q1411" s="16" t="n">
        <x:f>IF(COUNT(J1411:O1411)&lt;6,"",J1411*5+K1411*4+M1411*4+L1411*3+N1411*2+O1411*2)</x:f>
        <x:v>93</x:v>
      </x:c>
      <x:c r="R1411" s="14" t="str">
        <x:v>high</x:v>
      </x:c>
      <x:c r="S1411" s="14" t="str">
        <x:v>official_prozorro_award_2024_2026</x:v>
      </x:c>
      <x:c r="T1411" s="14" t="str">
        <x:v>official_prozorro_api</x:v>
      </x:c>
      <x:c r="U1411" s="14" t="str">
        <x:v>Не контактували</x:v>
      </x:c>
      <x:c r="V1411" s="15" t="str">
        <x:v>Персоналізований free-pilot outreach по UA-2026-08-06-009831-a; попросити 1 пакет Н.15</x:v>
      </x:c>
      <x:c r="W1411" s="15" t="str">
        <x:v>Власник / директор; керівник ПТО; відповідальний за договори</x:v>
      </x:c>
      <x:c r="X1411" s="15" t="str">
        <x:v>1 нових підтверджених перемог/договорів у Prozorro на 2 746 485 грн; 1 зі строком виконання не раніше 24.08.2026.</x:v>
      </x:c>
      <x:c r="Y1411" s="15" t="str">
        <x:v>«Нове будівництво сонячної електростанції для забезпечення альтернативного джерела живлення на власні потреби хірургічного корпусу КНП «Городоцька міська багатопрофільна лікарня» Городоцької міської ради Хмельницької області за адресою: вул. Шевченка, 40, м. Городок, Хмельницька область (коригування)»; опублікований строк до 2026-12-31. Попросити один знеособлений пакет здачі за цим workflow.</x:v>
      </x:c>
      <x:c r="Z1411" s="15" t="str">
        <x:v>https://prozorro.gov.ua/tender/UA-2026-08-06-009831-a</x:v>
      </x:c>
      <x:c r="AA1411" s="14" t="str">
        <x:v>40759107</x:v>
      </x:c>
      <x:c r="AB1411" s="14" t="str">
        <x:v>2026-08-24</x:v>
      </x:c>
      <x:c r="AC1411" s="14" t="str"/>
      <x:c r="AD1411" s="20" t="str"/>
      <x:c r="AE1411" s="14" t="str"/>
      <x:c r="AF1411" s="14" t="n">
        <x:v>64</x:v>
      </x:c>
      <x:c r="AG1411" s="14" t="str">
        <x:v>I2</x:v>
      </x:c>
      <x:c r="AH1411" s="14" t="n">
        <x:v>1</x:v>
      </x:c>
      <x:c r="AI1411" s="14" t="n">
        <x:v>1</x:v>
      </x:c>
      <x:c r="AJ1411" s="18" t="n">
        <x:v>2746484.52</x:v>
      </x:c>
      <x:c r="AK1411" s="14" t="str">
        <x:v>https://prozorro.gov.ua/tender/UA-2026-08-06-009831-a</x:v>
      </x:c>
      <x:c r="AL1411" s="19" t="n">
        <x:v>46240.54510621528</x:v>
      </x:c>
      <x:c r="AM1411" s="19" t="n">
        <x:v>46387.588159722225</x:v>
      </x:c>
      <x:c r="AN1411" s="15" t="str">
        <x:v>Сонячна енергетика</x:v>
      </x:c>
      <x:c r="AO1411" s="15" t="str">
        <x:v>not_found_in_top_search</x:v>
      </x:c>
    </x:row>
    <x:row r="1412">
      <x:c r="A1412" s="14" t="str">
        <x:v>W5-040</x:v>
      </x:c>
      <x:c r="B1412" s="14" t="str">
        <x:v>Prozorro vertical expansion — 24.08</x:v>
      </x:c>
      <x:c r="C1412" s="14" t="str">
        <x:v>ТОВ "НОВЕ СТОЛІТТЯ ХХІ"</x:v>
      </x:c>
      <x:c r="D1412" s="14" t="str">
        <x:v>Сонячна енергетика</x:v>
      </x:c>
      <x:c r="E1412" s="14" t="str">
        <x:v>Pilot now</x:v>
      </x:c>
      <x:c r="F1412" s="17" t="str">
        <x:v>P2</x:v>
      </x:c>
      <x:c r="G1412" s="14" t="str"/>
      <x:c r="H1412" s="14" t="str">
        <x:v>Пілот зараз — Н.15 discovery subset</x:v>
      </x:c>
      <x:c r="I1412" s="16" t="n">
        <x:v>3</x:v>
      </x:c>
      <x:c r="J1412" s="16" t="n">
        <x:v>5</x:v>
      </x:c>
      <x:c r="K1412" s="16" t="n">
        <x:v>5</x:v>
      </x:c>
      <x:c r="L1412" s="16" t="n">
        <x:v>4</x:v>
      </x:c>
      <x:c r="M1412" s="16" t="n">
        <x:v>5</x:v>
      </x:c>
      <x:c r="N1412" s="16" t="n">
        <x:v>5</x:v>
      </x:c>
      <x:c r="O1412" s="16" t="n">
        <x:v>3</x:v>
      </x:c>
      <x:c r="P1412" s="16" t="n">
        <x:f>IF(COUNT(I1412:O1412)&lt;7,"",I1412*8+J1412*3+K1412*2+L1412*2+M1412*2+N1412*2+O1412)</x:f>
        <x:v>80</x:v>
      </x:c>
      <x:c r="Q1412" s="16" t="n">
        <x:f>IF(COUNT(J1412:O1412)&lt;6,"",J1412*5+K1412*4+M1412*4+L1412*3+N1412*2+O1412*2)</x:f>
        <x:v>93</x:v>
      </x:c>
      <x:c r="R1412" s="14" t="str">
        <x:v>high</x:v>
      </x:c>
      <x:c r="S1412" s="14" t="str">
        <x:v>official_prozorro_award_2024_2026</x:v>
      </x:c>
      <x:c r="T1412" s="14" t="str">
        <x:v>official_prozorro_api</x:v>
      </x:c>
      <x:c r="U1412" s="14" t="str">
        <x:v>Не контактували</x:v>
      </x:c>
      <x:c r="V1412" s="15" t="str">
        <x:v>Персоналізований free-pilot outreach по UA-2026-07-09-007901-a; попросити 1 пакет Н.15</x:v>
      </x:c>
      <x:c r="W1412" s="15" t="str">
        <x:v>Власник / директор; керівник ПТО; відповідальний за договори</x:v>
      </x:c>
      <x:c r="X1412" s="15" t="str">
        <x:v>1 нових підтверджених перемог/договорів у Prozorro на 2 716 842 грн; 1 зі строком виконання не раніше 24.08.2026.</x:v>
      </x:c>
      <x:c r="Y1412" s="15" t="str">
        <x:v>«Будівництво сонячної електростанції на покрівлях будівель на території КП «Чернігівводоканал», розташованій по вул. Жабинського, 15 в м. Чернігів» (код ДК 021:2015 – 45000000-7 Будівельні роботи та поточний ремонт); опублікований строк до 2026-10-31. Попросити один знеособлений пакет здачі за цим workflow.</x:v>
      </x:c>
      <x:c r="Z1412" s="15" t="str">
        <x:v>https://prozorro.gov.ua/tender/UA-2026-07-09-007901-a</x:v>
      </x:c>
      <x:c r="AA1412" s="14" t="str">
        <x:v>42015229</x:v>
      </x:c>
      <x:c r="AB1412" s="14" t="str">
        <x:v>2026-08-24</x:v>
      </x:c>
      <x:c r="AC1412" s="14" t="str"/>
      <x:c r="AD1412" s="20" t="str"/>
      <x:c r="AE1412" s="14" t="str"/>
      <x:c r="AF1412" s="14" t="n">
        <x:v>64</x:v>
      </x:c>
      <x:c r="AG1412" s="14" t="str">
        <x:v>I2</x:v>
      </x:c>
      <x:c r="AH1412" s="14" t="n">
        <x:v>1</x:v>
      </x:c>
      <x:c r="AI1412" s="14" t="n">
        <x:v>1</x:v>
      </x:c>
      <x:c r="AJ1412" s="18" t="n">
        <x:v>2716841.83</x:v>
      </x:c>
      <x:c r="AK1412" s="14" t="str">
        <x:v>https://prozorro.gov.ua/tender/UA-2026-07-09-007901-a</x:v>
      </x:c>
      <x:c r="AL1412" s="19" t="n">
        <x:v>46232.30303659722</x:v>
      </x:c>
      <x:c r="AM1412" s="19" t="n">
        <x:v>46326.54423611111</x:v>
      </x:c>
      <x:c r="AN1412" s="15" t="str">
        <x:v>Сонячна енергетика</x:v>
      </x:c>
      <x:c r="AO1412" s="15" t="str">
        <x:v>not_found_in_top_search</x:v>
      </x:c>
    </x:row>
    <x:row r="1413">
      <x:c r="A1413" s="14" t="str">
        <x:v>W5-041</x:v>
      </x:c>
      <x:c r="B1413" s="14" t="str">
        <x:v>Prozorro vertical expansion — 24.08</x:v>
      </x:c>
      <x:c r="C1413" s="14" t="str">
        <x:v>ТОВ "Енергія Львів"</x:v>
      </x:c>
      <x:c r="D1413" s="14" t="str">
        <x:v>Сонячна енергетика</x:v>
      </x:c>
      <x:c r="E1413" s="14" t="str">
        <x:v>Pilot now</x:v>
      </x:c>
      <x:c r="F1413" s="17" t="str">
        <x:v>P2</x:v>
      </x:c>
      <x:c r="G1413" s="14" t="str"/>
      <x:c r="H1413" s="14" t="str">
        <x:v>Пілот зараз — Н.15 discovery subset</x:v>
      </x:c>
      <x:c r="I1413" s="16" t="n">
        <x:v>3</x:v>
      </x:c>
      <x:c r="J1413" s="16" t="n">
        <x:v>5</x:v>
      </x:c>
      <x:c r="K1413" s="16" t="n">
        <x:v>5</x:v>
      </x:c>
      <x:c r="L1413" s="16" t="n">
        <x:v>4</x:v>
      </x:c>
      <x:c r="M1413" s="16" t="n">
        <x:v>5</x:v>
      </x:c>
      <x:c r="N1413" s="16" t="n">
        <x:v>5</x:v>
      </x:c>
      <x:c r="O1413" s="16" t="n">
        <x:v>3</x:v>
      </x:c>
      <x:c r="P1413" s="16" t="n">
        <x:f>IF(COUNT(I1413:O1413)&lt;7,"",I1413*8+J1413*3+K1413*2+L1413*2+M1413*2+N1413*2+O1413)</x:f>
        <x:v>80</x:v>
      </x:c>
      <x:c r="Q1413" s="16" t="n">
        <x:f>IF(COUNT(J1413:O1413)&lt;6,"",J1413*5+K1413*4+M1413*4+L1413*3+N1413*2+O1413*2)</x:f>
        <x:v>93</x:v>
      </x:c>
      <x:c r="R1413" s="14" t="str">
        <x:v>high</x:v>
      </x:c>
      <x:c r="S1413" s="14" t="str">
        <x:v>official_prozorro_award_2024_2026</x:v>
      </x:c>
      <x:c r="T1413" s="14" t="str">
        <x:v>official_prozorro_api</x:v>
      </x:c>
      <x:c r="U1413" s="14" t="str">
        <x:v>Не контактували</x:v>
      </x:c>
      <x:c r="V1413" s="15" t="str">
        <x:v>Персоналізований free-pilot outreach по UA-2026-07-02-010774-a; попросити 1 пакет Н.15</x:v>
      </x:c>
      <x:c r="W1413" s="15" t="str">
        <x:v>Власник / директор; керівник ПТО; відповідальний за договори</x:v>
      </x:c>
      <x:c r="X1413" s="15" t="str">
        <x:v>1 нових підтверджених перемог/договорів у Prozorro на 2 694 448 грн; 1 зі строком виконання не раніше 24.08.2026.</x:v>
      </x:c>
      <x:c r="Y1413" s="15" t="str">
        <x:v>«Будівництво гібридної сонячної електростанції потужністю 50кВт на даху КНП ЛОР «Львівський обласний клінічний діагностичний центр» по вул. Пекарській, 69Б у м. Львові»; опублікований строк до 2026-12-31. Попросити один знеособлений пакет здачі за цим workflow.</x:v>
      </x:c>
      <x:c r="Z1413" s="15" t="str">
        <x:v>https://prozorro.gov.ua/tender/UA-2026-07-02-010774-a</x:v>
      </x:c>
      <x:c r="AA1413" s="14" t="str">
        <x:v>40303222</x:v>
      </x:c>
      <x:c r="AB1413" s="14" t="str">
        <x:v>2026-08-24</x:v>
      </x:c>
      <x:c r="AC1413" s="14" t="str"/>
      <x:c r="AD1413" s="20" t="str"/>
      <x:c r="AE1413" s="14" t="str"/>
      <x:c r="AF1413" s="14" t="n">
        <x:v>64</x:v>
      </x:c>
      <x:c r="AG1413" s="14" t="str">
        <x:v>I2</x:v>
      </x:c>
      <x:c r="AH1413" s="14" t="n">
        <x:v>1</x:v>
      </x:c>
      <x:c r="AI1413" s="14" t="n">
        <x:v>1</x:v>
      </x:c>
      <x:c r="AJ1413" s="18" t="n">
        <x:v>2694448</x:v>
      </x:c>
      <x:c r="AK1413" s="14" t="str">
        <x:v>https://prozorro.gov.ua/tender/UA-2026-07-02-010774-a</x:v>
      </x:c>
      <x:c r="AL1413" s="19" t="n">
        <x:v>46247.650599849534</x:v>
      </x:c>
      <x:c r="AM1413" s="19" t="n">
        <x:v>46387</x:v>
      </x:c>
      <x:c r="AN1413" s="15" t="str">
        <x:v>Сонячна енергетика</x:v>
      </x:c>
      <x:c r="AO1413" s="15" t="str">
        <x:v>not_found_in_top_search</x:v>
      </x:c>
    </x:row>
    <x:row r="1414">
      <x:c r="A1414" s="14" t="str">
        <x:v>W5-042</x:v>
      </x:c>
      <x:c r="B1414" s="14" t="str">
        <x:v>Prozorro vertical expansion — 24.08</x:v>
      </x:c>
      <x:c r="C1414" s="14" t="str">
        <x:v>ТОВАРИСТВО З ОБМЕЖЕНОЮ ВІДПОВІДАЛЬНІСТЮ "ГАРАНТБУД 2020"</x:v>
      </x:c>
      <x:c r="D1414" s="14" t="str">
        <x:v>Сонячна енергетика</x:v>
      </x:c>
      <x:c r="E1414" s="14" t="str">
        <x:v>Pilot now</x:v>
      </x:c>
      <x:c r="F1414" s="17" t="str">
        <x:v>P2</x:v>
      </x:c>
      <x:c r="G1414" s="14" t="str"/>
      <x:c r="H1414" s="14" t="str">
        <x:v>Пілот зараз — Н.15 discovery subset</x:v>
      </x:c>
      <x:c r="I1414" s="16" t="n">
        <x:v>3</x:v>
      </x:c>
      <x:c r="J1414" s="16" t="n">
        <x:v>5</x:v>
      </x:c>
      <x:c r="K1414" s="16" t="n">
        <x:v>5</x:v>
      </x:c>
      <x:c r="L1414" s="16" t="n">
        <x:v>4</x:v>
      </x:c>
      <x:c r="M1414" s="16" t="n">
        <x:v>5</x:v>
      </x:c>
      <x:c r="N1414" s="16" t="n">
        <x:v>5</x:v>
      </x:c>
      <x:c r="O1414" s="16" t="n">
        <x:v>3</x:v>
      </x:c>
      <x:c r="P1414" s="16" t="n">
        <x:f>IF(COUNT(I1414:O1414)&lt;7,"",I1414*8+J1414*3+K1414*2+L1414*2+M1414*2+N1414*2+O1414)</x:f>
        <x:v>80</x:v>
      </x:c>
      <x:c r="Q1414" s="16" t="n">
        <x:f>IF(COUNT(J1414:O1414)&lt;6,"",J1414*5+K1414*4+M1414*4+L1414*3+N1414*2+O1414*2)</x:f>
        <x:v>93</x:v>
      </x:c>
      <x:c r="R1414" s="14" t="str">
        <x:v>high</x:v>
      </x:c>
      <x:c r="S1414" s="14" t="str">
        <x:v>official_prozorro_award_2024_2026</x:v>
      </x:c>
      <x:c r="T1414" s="14" t="str">
        <x:v>official_prozorro_api</x:v>
      </x:c>
      <x:c r="U1414" s="14" t="str">
        <x:v>Не контактували</x:v>
      </x:c>
      <x:c r="V1414" s="15" t="str">
        <x:v>Персоналізований free-pilot outreach по UA-2026-07-17-010277-a; попросити 1 пакет Н.15</x:v>
      </x:c>
      <x:c r="W1414" s="15" t="str">
        <x:v>Власник / директор; керівник ПТО; відповідальний за договори</x:v>
      </x:c>
      <x:c r="X1414" s="15" t="str">
        <x:v>1 нових підтверджених перемог/договорів у Prozorro на 2 397 017 грн; 1 зі строком виконання не раніше 24.08.2026.</x:v>
      </x:c>
      <x:c r="Y1414" s="15" t="str">
        <x:v>«Будівництво гібридної сонячної електростанції (для забезпечення альтернативного джерела живлення сонячними фотомодулями (на власні потреби)) на даху будівлі КЗ «Степанецький ліцей – опорний заклад загальної середньої освіти» Степанецької сільської ради об'єднаної територіальної громади Черкаської області, за адресою: вул. Богдана Хмельницького, 2, с. Степанці, Черкаський район, Черкаська область»
ДК 021: 2015: 45250000-4 - Будівництво заводів / установок, гірничодобувних і переробних об’єктів та об’єктів нафтогазової інфраструктури; опублікований строк до 2026-12-31. Попросити один знеособлений пакет здачі за цим workflow.</x:v>
      </x:c>
      <x:c r="Z1414" s="15" t="str">
        <x:v>https://prozorro.gov.ua/tender/UA-2026-07-17-010277-a</x:v>
      </x:c>
      <x:c r="AA1414" s="14" t="str">
        <x:v>44035205</x:v>
      </x:c>
      <x:c r="AB1414" s="14" t="str">
        <x:v>2026-08-24</x:v>
      </x:c>
      <x:c r="AC1414" s="14" t="str"/>
      <x:c r="AD1414" s="20" t="str"/>
      <x:c r="AE1414" s="14" t="str"/>
      <x:c r="AF1414" s="14" t="n">
        <x:v>64</x:v>
      </x:c>
      <x:c r="AG1414" s="14" t="str">
        <x:v>I2</x:v>
      </x:c>
      <x:c r="AH1414" s="14" t="n">
        <x:v>1</x:v>
      </x:c>
      <x:c r="AI1414" s="14" t="n">
        <x:v>1</x:v>
      </x:c>
      <x:c r="AJ1414" s="18" t="n">
        <x:v>2397016.74</x:v>
      </x:c>
      <x:c r="AK1414" s="14" t="str">
        <x:v>https://prozorro.gov.ua/tender/UA-2026-07-17-010277-a</x:v>
      </x:c>
      <x:c r="AL1414" s="19" t="n">
        <x:v>46245.50031773148</x:v>
      </x:c>
      <x:c r="AM1414" s="19" t="n">
        <x:v>46387</x:v>
      </x:c>
      <x:c r="AN1414" s="15" t="str">
        <x:v>Сонячна енергетика</x:v>
      </x:c>
      <x:c r="AO1414" s="15" t="str">
        <x:v>not_found_in_top_search</x:v>
      </x:c>
    </x:row>
    <x:row r="1415">
      <x:c r="A1415" s="14" t="str">
        <x:v>W5-043</x:v>
      </x:c>
      <x:c r="B1415" s="14" t="str">
        <x:v>Prozorro vertical expansion — 24.08</x:v>
      </x:c>
      <x:c r="C1415" s="14" t="str">
        <x:v>ТОВАРИСТВО З ОБМЕЖЕНОЮ ВІДПОВІДАЛЬНІСТЮ «БОРОДЯНСЬКА СПЕЦІАЛІЗОВАНА ПЕРЕСУВНА МЕХАНІЗОВАНА КОЛОНА -15»</x:v>
      </x:c>
      <x:c r="D1415" s="14" t="str">
        <x:v>Насосні станції</x:v>
      </x:c>
      <x:c r="E1415" s="14" t="str">
        <x:v>Expansion discovery</x:v>
      </x:c>
      <x:c r="F1415" s="17" t="str">
        <x:v>D2</x:v>
      </x:c>
      <x:c r="G1415" s="14" t="str"/>
      <x:c r="H1415" s="14" t="str">
        <x:v>Discovery розширення — 2 тижні</x:v>
      </x:c>
      <x:c r="I1415" s="16" t="n">
        <x:v>1</x:v>
      </x:c>
      <x:c r="J1415" s="16" t="n">
        <x:v>5</x:v>
      </x:c>
      <x:c r="K1415" s="16" t="n">
        <x:v>5</x:v>
      </x:c>
      <x:c r="L1415" s="16" t="n">
        <x:v>3</x:v>
      </x:c>
      <x:c r="M1415" s="16" t="n">
        <x:v>5</x:v>
      </x:c>
      <x:c r="N1415" s="16" t="n">
        <x:v>5</x:v>
      </x:c>
      <x:c r="O1415" s="16" t="n">
        <x:v>3</x:v>
      </x:c>
      <x:c r="P1415" s="16" t="n">
        <x:f>IF(COUNT(I1415:O1415)&lt;7,"",I1415*8+J1415*3+K1415*2+L1415*2+M1415*2+N1415*2+O1415)</x:f>
        <x:v>62</x:v>
      </x:c>
      <x:c r="Q1415" s="16" t="n">
        <x:f>IF(COUNT(J1415:O1415)&lt;6,"",J1415*5+K1415*4+M1415*4+L1415*3+N1415*2+O1415*2)</x:f>
        <x:v>90</x:v>
      </x:c>
      <x:c r="R1415" s="14" t="str">
        <x:v>high</x:v>
      </x:c>
      <x:c r="S1415" s="14" t="str">
        <x:v>official_prozorro_award_2024_2026</x:v>
      </x:c>
      <x:c r="T1415" s="14" t="str">
        <x:v>official_prozorro_api</x:v>
      </x:c>
      <x:c r="U1415" s="14" t="str">
        <x:v>Не контактували</x:v>
      </x:c>
      <x:c r="V1415" s="15" t="str">
        <x:v>Workflow-audit outreach по UA-2026-07-06-002354-a; попросити 1 пакет здачі та вимоги проєкту</x:v>
      </x:c>
      <x:c r="W1415" s="15" t="str">
        <x:v>Власник / директор; керівник ПТО; відповідальний за договори</x:v>
      </x:c>
      <x:c r="X1415" s="15" t="str">
        <x:v>2 нових підтверджених перемог/договорів у Prozorro на 1 269 122 грн; 1 зі строком виконання не раніше 24.08.2026.</x:v>
      </x:c>
      <x:c r="Y1415" s="15" t="str">
        <x:v>Будівництво каналізаційної насосної станції по вул. Технологічна в м. Ірпінь Київської області (в т.ч.проєктування)
; опублікований строк до 2026-12-31. Попросити один знеособлений пакет здачі за цим workflow.</x:v>
      </x:c>
      <x:c r="Z1415" s="15" t="str">
        <x:v>https://prozorro.gov.ua/tender/UA-2026-07-06-002354-a</x:v>
      </x:c>
      <x:c r="AA1415" s="14" t="str">
        <x:v>24216271</x:v>
      </x:c>
      <x:c r="AB1415" s="14" t="str">
        <x:v>2026-08-24</x:v>
      </x:c>
      <x:c r="AC1415" s="14" t="str"/>
      <x:c r="AD1415" s="20" t="str"/>
      <x:c r="AE1415" s="14" t="str"/>
      <x:c r="AF1415" s="14" t="n">
        <x:v>64</x:v>
      </x:c>
      <x:c r="AG1415" s="14" t="str">
        <x:v>I2</x:v>
      </x:c>
      <x:c r="AH1415" s="14" t="n">
        <x:v>2</x:v>
      </x:c>
      <x:c r="AI1415" s="14" t="n">
        <x:v>1</x:v>
      </x:c>
      <x:c r="AJ1415" s="18" t="n">
        <x:v>1269122.01</x:v>
      </x:c>
      <x:c r="AK1415" s="14" t="str">
        <x:v>https://prozorro.gov.ua/tender/UA-2026-07-06-002354-a</x:v>
      </x:c>
      <x:c r="AL1415" s="19" t="n">
        <x:v>46209.334593831016</x:v>
      </x:c>
      <x:c r="AM1415" s="19" t="n">
        <x:v>46387</x:v>
      </x:c>
      <x:c r="AN1415" s="15" t="str">
        <x:v>Насосні станції</x:v>
      </x:c>
      <x:c r="AO1415" s="15" t="str">
        <x:v>not_found_in_top_search</x:v>
      </x:c>
    </x:row>
    <x:row r="1416">
      <x:c r="A1416" s="14" t="str">
        <x:v>W5-044</x:v>
      </x:c>
      <x:c r="B1416" s="14" t="str">
        <x:v>Prozorro vertical expansion — 24.08</x:v>
      </x:c>
      <x:c r="C1416" s="14" t="str">
        <x:v>ПРИВАТНЕ ПІДПРИЄМСТВО "БУДПРАЙМ"</x:v>
      </x:c>
      <x:c r="D1416" s="14" t="str">
        <x:v>Накопичення енергії / BESS</x:v>
      </x:c>
      <x:c r="E1416" s="14" t="str">
        <x:v>Expansion discovery</x:v>
      </x:c>
      <x:c r="F1416" s="17" t="str">
        <x:v>D2</x:v>
      </x:c>
      <x:c r="G1416" s="14" t="str"/>
      <x:c r="H1416" s="14" t="str">
        <x:v>Discovery розширення — 2 тижні</x:v>
      </x:c>
      <x:c r="I1416" s="16" t="n">
        <x:v>1</x:v>
      </x:c>
      <x:c r="J1416" s="16" t="n">
        <x:v>5</x:v>
      </x:c>
      <x:c r="K1416" s="16" t="n">
        <x:v>5</x:v>
      </x:c>
      <x:c r="L1416" s="16" t="n">
        <x:v>4</x:v>
      </x:c>
      <x:c r="M1416" s="16" t="n">
        <x:v>5</x:v>
      </x:c>
      <x:c r="N1416" s="16" t="n">
        <x:v>5</x:v>
      </x:c>
      <x:c r="O1416" s="16" t="n">
        <x:v>3</x:v>
      </x:c>
      <x:c r="P1416" s="16" t="n">
        <x:f>IF(COUNT(I1416:O1416)&lt;7,"",I1416*8+J1416*3+K1416*2+L1416*2+M1416*2+N1416*2+O1416)</x:f>
        <x:v>64</x:v>
      </x:c>
      <x:c r="Q1416" s="16" t="n">
        <x:f>IF(COUNT(J1416:O1416)&lt;6,"",J1416*5+K1416*4+M1416*4+L1416*3+N1416*2+O1416*2)</x:f>
        <x:v>93</x:v>
      </x:c>
      <x:c r="R1416" s="14" t="str">
        <x:v>high</x:v>
      </x:c>
      <x:c r="S1416" s="14" t="str">
        <x:v>official_prozorro_award_2024_2026</x:v>
      </x:c>
      <x:c r="T1416" s="14" t="str">
        <x:v>official_prozorro_api</x:v>
      </x:c>
      <x:c r="U1416" s="14" t="str">
        <x:v>Не контактували</x:v>
      </x:c>
      <x:c r="V1416" s="15" t="str">
        <x:v>Workflow-audit outreach по UA-2024-12-13-006026-a; попросити 1 пакет здачі та вимоги проєкту</x:v>
      </x:c>
      <x:c r="W1416" s="15" t="str">
        <x:v>Власник / директор; керівник ПТО; відповідальний за договори</x:v>
      </x:c>
      <x:c r="X1416" s="15" t="str">
        <x:v>23 нових підтверджених перемог/договорів у Prozorro на 7 171 989 грн; 0 зі строком виконання не раніше 24.08.2026.</x:v>
      </x:c>
      <x:c r="Y1416" s="15" t="str">
        <x:v>Монтаж системи резервного живлення на основі однофазного гібридного інвертора потужністю 4,0 кВт з системою накопичення електричної енергії з встановленням додаткової однофазної циркуляційної помпи .
Підстава : Протокол технічної ради від 03 вересня 2024 р. ; опублікований строк до 2024-12-31. Попросити один знеособлений пакет здачі за цим workflow.</x:v>
      </x:c>
      <x:c r="Z1416" s="15" t="str">
        <x:v>https://prozorro.gov.ua/tender/UA-2024-12-13-006026-a</x:v>
      </x:c>
      <x:c r="AA1416" s="14" t="str">
        <x:v>34943504</x:v>
      </x:c>
      <x:c r="AB1416" s="14" t="str">
        <x:v>2026-08-24</x:v>
      </x:c>
      <x:c r="AC1416" s="14" t="str"/>
      <x:c r="AD1416" s="20" t="str"/>
      <x:c r="AE1416" s="14" t="str"/>
      <x:c r="AF1416" s="14" t="n">
        <x:v>63</x:v>
      </x:c>
      <x:c r="AG1416" s="14" t="str">
        <x:v>I2</x:v>
      </x:c>
      <x:c r="AH1416" s="14" t="n">
        <x:v>23</x:v>
      </x:c>
      <x:c r="AI1416" s="14" t="n">
        <x:v>0</x:v>
      </x:c>
      <x:c r="AJ1416" s="18" t="n">
        <x:v>7171988.78</x:v>
      </x:c>
      <x:c r="AK1416" s="14" t="str">
        <x:v>https://prozorro.gov.ua/tender/UA-2024-12-13-006026-a</x:v>
      </x:c>
      <x:c r="AL1416" s="19" t="n">
        <x:v>45639.40027814815</x:v>
      </x:c>
      <x:c r="AM1416" s="19" t="n">
        <x:v>45657</x:v>
      </x:c>
      <x:c r="AN1416" s="15" t="str">
        <x:v>Накопичення енергії / BESS</x:v>
      </x:c>
      <x:c r="AO1416" s="15" t="str">
        <x:v>not_found_in_top_search</x:v>
      </x:c>
    </x:row>
    <x:row r="1417">
      <x:c r="A1417" s="14" t="str">
        <x:v>W5-045</x:v>
      </x:c>
      <x:c r="B1417" s="14" t="str">
        <x:v>Prozorro vertical expansion — 24.08</x:v>
      </x:c>
      <x:c r="C1417" s="14" t="str">
        <x:v>ТОВАРИСТВО З ОБМЕЖЕНОЮ ВІДПОВІДАЛЬНІСТЮ «ФІРМА «ГАЗКОМПЛЕКС»</x:v>
      </x:c>
      <x:c r="D1417" s="14" t="str">
        <x:v>Медичні гази</x:v>
      </x:c>
      <x:c r="E1417" s="14" t="str">
        <x:v>Expansion discovery</x:v>
      </x:c>
      <x:c r="F1417" s="17" t="str">
        <x:v>D2</x:v>
      </x:c>
      <x:c r="G1417" s="14" t="str"/>
      <x:c r="H1417" s="14" t="str">
        <x:v>Discovery розширення — 2 тижні</x:v>
      </x:c>
      <x:c r="I1417" s="16" t="n">
        <x:v>1</x:v>
      </x:c>
      <x:c r="J1417" s="16" t="n">
        <x:v>5</x:v>
      </x:c>
      <x:c r="K1417" s="16" t="n">
        <x:v>5</x:v>
      </x:c>
      <x:c r="L1417" s="16" t="n">
        <x:v>3</x:v>
      </x:c>
      <x:c r="M1417" s="16" t="n">
        <x:v>5</x:v>
      </x:c>
      <x:c r="N1417" s="16" t="n">
        <x:v>5</x:v>
      </x:c>
      <x:c r="O1417" s="16" t="n">
        <x:v>3</x:v>
      </x:c>
      <x:c r="P1417" s="16" t="n">
        <x:f>IF(COUNT(I1417:O1417)&lt;7,"",I1417*8+J1417*3+K1417*2+L1417*2+M1417*2+N1417*2+O1417)</x:f>
        <x:v>62</x:v>
      </x:c>
      <x:c r="Q1417" s="16" t="n">
        <x:f>IF(COUNT(J1417:O1417)&lt;6,"",J1417*5+K1417*4+M1417*4+L1417*3+N1417*2+O1417*2)</x:f>
        <x:v>90</x:v>
      </x:c>
      <x:c r="R1417" s="14" t="str">
        <x:v>high</x:v>
      </x:c>
      <x:c r="S1417" s="14" t="str">
        <x:v>official_prozorro_award_2024_2026</x:v>
      </x:c>
      <x:c r="T1417" s="14" t="str">
        <x:v>official_prozorro_api</x:v>
      </x:c>
      <x:c r="U1417" s="14" t="str">
        <x:v>Не контактували</x:v>
      </x:c>
      <x:c r="V1417" s="15" t="str">
        <x:v>Workflow-audit outreach по UA-2025-12-08-002235-a; попросити 1 пакет здачі та вимоги проєкту</x:v>
      </x:c>
      <x:c r="W1417" s="15" t="str">
        <x:v>Власник / директор; керівник ПТО; відповідальний за договори</x:v>
      </x:c>
      <x:c r="X1417" s="15" t="str">
        <x:v>8 нових підтверджених перемог/договорів у Prozorro на 620 366 грн; 0 зі строком виконання не раніше 24.08.2026.</x:v>
      </x:c>
      <x:c r="Y1417" s="15" t="str">
        <x:v>Поточний ремонт кисневої системи в об'єднаному хірургічно-гінекологічному відділенні; опублікований строк до 2025-12-31. Попросити один знеособлений пакет здачі за цим workflow.</x:v>
      </x:c>
      <x:c r="Z1417" s="15" t="str">
        <x:v>https://prozorro.gov.ua/tender/UA-2025-12-08-002235-a</x:v>
      </x:c>
      <x:c r="AA1417" s="14" t="str">
        <x:v>44013967</x:v>
      </x:c>
      <x:c r="AB1417" s="14" t="str">
        <x:v>2026-08-24</x:v>
      </x:c>
      <x:c r="AC1417" s="14" t="str"/>
      <x:c r="AD1417" s="20" t="str"/>
      <x:c r="AE1417" s="14" t="str"/>
      <x:c r="AF1417" s="14" t="n">
        <x:v>63</x:v>
      </x:c>
      <x:c r="AG1417" s="14" t="str">
        <x:v>I2</x:v>
      </x:c>
      <x:c r="AH1417" s="14" t="n">
        <x:v>8</x:v>
      </x:c>
      <x:c r="AI1417" s="14" t="n">
        <x:v>0</x:v>
      </x:c>
      <x:c r="AJ1417" s="18" t="n">
        <x:v>620366</x:v>
      </x:c>
      <x:c r="AK1417" s="14" t="str">
        <x:v>https://prozorro.gov.ua/tender/UA-2025-12-08-002235-a</x:v>
      </x:c>
      <x:c r="AL1417" s="19" t="n">
        <x:v>45999.33428824074</x:v>
      </x:c>
      <x:c r="AM1417" s="19" t="n">
        <x:v>46022</x:v>
      </x:c>
      <x:c r="AN1417" s="15" t="str">
        <x:v>Медичні гази</x:v>
      </x:c>
      <x:c r="AO1417" s="15" t="str">
        <x:v>not_found_in_top_search</x:v>
      </x:c>
    </x:row>
    <x:row r="1418">
      <x:c r="A1418" s="14" t="str">
        <x:v>W5-046</x:v>
      </x:c>
      <x:c r="B1418" s="14" t="str">
        <x:v>Prozorro vertical expansion — 24.08</x:v>
      </x:c>
      <x:c r="C1418" s="14" t="str">
        <x:v>ПП "БУДІНЖИНІРИНГ-ТМ"</x:v>
      </x:c>
      <x:c r="D1418" s="14" t="str">
        <x:v>Зовнішні мережі</x:v>
      </x:c>
      <x:c r="E1418" s="14" t="str">
        <x:v>Expansion discovery</x:v>
      </x:c>
      <x:c r="F1418" s="17" t="str">
        <x:v>D2</x:v>
      </x:c>
      <x:c r="G1418" s="14" t="str"/>
      <x:c r="H1418" s="14" t="str">
        <x:v>Discovery розширення — 2 тижні</x:v>
      </x:c>
      <x:c r="I1418" s="16" t="n">
        <x:v>1</x:v>
      </x:c>
      <x:c r="J1418" s="16" t="n">
        <x:v>5</x:v>
      </x:c>
      <x:c r="K1418" s="16" t="n">
        <x:v>5</x:v>
      </x:c>
      <x:c r="L1418" s="16" t="n">
        <x:v>5</x:v>
      </x:c>
      <x:c r="M1418" s="16" t="n">
        <x:v>5</x:v>
      </x:c>
      <x:c r="N1418" s="16" t="n">
        <x:v>5</x:v>
      </x:c>
      <x:c r="O1418" s="16" t="n">
        <x:v>3</x:v>
      </x:c>
      <x:c r="P1418" s="16" t="n">
        <x:f>IF(COUNT(I1418:O1418)&lt;7,"",I1418*8+J1418*3+K1418*2+L1418*2+M1418*2+N1418*2+O1418)</x:f>
        <x:v>66</x:v>
      </x:c>
      <x:c r="Q1418" s="16" t="n">
        <x:f>IF(COUNT(J1418:O1418)&lt;6,"",J1418*5+K1418*4+M1418*4+L1418*3+N1418*2+O1418*2)</x:f>
        <x:v>96</x:v>
      </x:c>
      <x:c r="R1418" s="14" t="str">
        <x:v>high</x:v>
      </x:c>
      <x:c r="S1418" s="14" t="str">
        <x:v>official_prozorro_award_2024_2026</x:v>
      </x:c>
      <x:c r="T1418" s="14" t="str">
        <x:v>official_prozorro_api</x:v>
      </x:c>
      <x:c r="U1418" s="14" t="str">
        <x:v>Не контактували</x:v>
      </x:c>
      <x:c r="V1418" s="15" t="str">
        <x:v>Workflow-audit outreach по UA-2026-06-09-005787-a; попросити 1 пакет здачі та вимоги проєкту</x:v>
      </x:c>
      <x:c r="W1418" s="15" t="str">
        <x:v>Власник / директор; керівник ПТО; відповідальний за договори</x:v>
      </x:c>
      <x:c r="X1418" s="15" t="str">
        <x:v>1 нових підтверджених перемог/договорів у Prozorro на 34 616 810 грн; 1 зі строком виконання не раніше 24.08.2026.</x:v>
      </x:c>
      <x:c r="Y1418" s="15" t="str">
        <x:v>Нове будівництво зовнішніх мереж водопостачання та каналізації, споруди системи водопідготовки, резервуара чистої води за адресою: с. Сімер, Ужгородський район, Закарпатська область. Розділ 45230000-8 Будівництво трубопроводів, ліній зв’язку та електропередач, шосе, доріг, аеродромів і залізничних доріг; вирівнювання поверхонь за ДК 021:2015 Єдиного закупівельного словника.; опублікований строк до 2027-12-24. Попросити один знеособлений пакет здачі за цим workflow.</x:v>
      </x:c>
      <x:c r="Z1418" s="15" t="str">
        <x:v>https://prozorro.gov.ua/tender/UA-2026-06-09-005787-a</x:v>
      </x:c>
      <x:c r="AA1418" s="14" t="str">
        <x:v>42844123</x:v>
      </x:c>
      <x:c r="AB1418" s="14" t="str">
        <x:v>2026-08-24</x:v>
      </x:c>
      <x:c r="AC1418" s="14" t="str"/>
      <x:c r="AD1418" s="20" t="str"/>
      <x:c r="AE1418" s="14" t="str"/>
      <x:c r="AF1418" s="14" t="n">
        <x:v>62</x:v>
      </x:c>
      <x:c r="AG1418" s="14" t="str">
        <x:v>I2</x:v>
      </x:c>
      <x:c r="AH1418" s="14" t="n">
        <x:v>1</x:v>
      </x:c>
      <x:c r="AI1418" s="14" t="n">
        <x:v>1</x:v>
      </x:c>
      <x:c r="AJ1418" s="18" t="n">
        <x:v>34616809.79</x:v>
      </x:c>
      <x:c r="AK1418" s="14" t="str">
        <x:v>https://prozorro.gov.ua/tender/UA-2026-06-09-005787-a</x:v>
      </x:c>
      <x:c r="AL1418" s="19" t="n">
        <x:v>46202.257042094905</x:v>
      </x:c>
      <x:c r="AM1418" s="19" t="n">
        <x:v>46745.42921296296</x:v>
      </x:c>
      <x:c r="AN1418" s="15" t="str">
        <x:v>Зовнішні мережі</x:v>
      </x:c>
      <x:c r="AO1418" s="15" t="str">
        <x:v>not_found_in_top_search</x:v>
      </x:c>
    </x:row>
    <x:row r="1419">
      <x:c r="A1419" s="14" t="str">
        <x:v>W5-047</x:v>
      </x:c>
      <x:c r="B1419" s="14" t="str">
        <x:v>Prozorro vertical expansion — 24.08</x:v>
      </x:c>
      <x:c r="C1419" s="14" t="str">
        <x:v>ТОВ Інвестиційна Компанія Укрбудсервіс</x:v>
      </x:c>
      <x:c r="D1419" s="14" t="str">
        <x:v>Зовнішні мережі</x:v>
      </x:c>
      <x:c r="E1419" s="14" t="str">
        <x:v>Expansion discovery</x:v>
      </x:c>
      <x:c r="F1419" s="17" t="str">
        <x:v>D2</x:v>
      </x:c>
      <x:c r="G1419" s="14" t="str"/>
      <x:c r="H1419" s="14" t="str">
        <x:v>Discovery розширення — 2 тижні</x:v>
      </x:c>
      <x:c r="I1419" s="16" t="n">
        <x:v>1</x:v>
      </x:c>
      <x:c r="J1419" s="16" t="n">
        <x:v>5</x:v>
      </x:c>
      <x:c r="K1419" s="16" t="n">
        <x:v>5</x:v>
      </x:c>
      <x:c r="L1419" s="16" t="n">
        <x:v>5</x:v>
      </x:c>
      <x:c r="M1419" s="16" t="n">
        <x:v>5</x:v>
      </x:c>
      <x:c r="N1419" s="16" t="n">
        <x:v>5</x:v>
      </x:c>
      <x:c r="O1419" s="16" t="n">
        <x:v>3</x:v>
      </x:c>
      <x:c r="P1419" s="16" t="n">
        <x:f>IF(COUNT(I1419:O1419)&lt;7,"",I1419*8+J1419*3+K1419*2+L1419*2+M1419*2+N1419*2+O1419)</x:f>
        <x:v>66</x:v>
      </x:c>
      <x:c r="Q1419" s="16" t="n">
        <x:f>IF(COUNT(J1419:O1419)&lt;6,"",J1419*5+K1419*4+M1419*4+L1419*3+N1419*2+O1419*2)</x:f>
        <x:v>96</x:v>
      </x:c>
      <x:c r="R1419" s="14" t="str">
        <x:v>high</x:v>
      </x:c>
      <x:c r="S1419" s="14" t="str">
        <x:v>official_prozorro_award_2024_2026</x:v>
      </x:c>
      <x:c r="T1419" s="14" t="str">
        <x:v>official_prozorro_api</x:v>
      </x:c>
      <x:c r="U1419" s="14" t="str">
        <x:v>Не контактували</x:v>
      </x:c>
      <x:c r="V1419" s="15" t="str">
        <x:v>Workflow-audit outreach по UA-2026-05-20-007083-a; попросити 1 пакет здачі та вимоги проєкту</x:v>
      </x:c>
      <x:c r="W1419" s="15" t="str">
        <x:v>Власник / директор; керівник ПТО; відповідальний за договори</x:v>
      </x:c>
      <x:c r="X1419" s="15" t="str">
        <x:v>1 нових підтверджених перемог/договорів у Prozorro на 24 067 146 грн; 1 зі строком виконання не раніше 24.08.2026.</x:v>
      </x:c>
      <x:c r="Y1419" s="15" t="str">
        <x:v>«Нове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(коригування)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2027-12-31. Попросити один знеособлений пакет здачі за цим workflow.</x:v>
      </x:c>
      <x:c r="Z1419" s="15" t="str">
        <x:v>https://prozorro.gov.ua/tender/UA-2026-05-20-007083-a</x:v>
      </x:c>
      <x:c r="AA1419" s="14" t="str">
        <x:v>40433945</x:v>
      </x:c>
      <x:c r="AB1419" s="14" t="str">
        <x:v>2026-08-24</x:v>
      </x:c>
      <x:c r="AC1419" s="14" t="str"/>
      <x:c r="AD1419" s="20" t="str"/>
      <x:c r="AE1419" s="14" t="str"/>
      <x:c r="AF1419" s="14" t="n">
        <x:v>62</x:v>
      </x:c>
      <x:c r="AG1419" s="14" t="str">
        <x:v>I2</x:v>
      </x:c>
      <x:c r="AH1419" s="14" t="n">
        <x:v>1</x:v>
      </x:c>
      <x:c r="AI1419" s="14" t="n">
        <x:v>1</x:v>
      </x:c>
      <x:c r="AJ1419" s="18" t="n">
        <x:v>24067146.46</x:v>
      </x:c>
      <x:c r="AK1419" s="14" t="str">
        <x:v>https://prozorro.gov.ua/tender/UA-2026-05-20-007083-a</x:v>
      </x:c>
      <x:c r="AL1419" s="19" t="n">
        <x:v>46181.30029005787</x:v>
      </x:c>
      <x:c r="AM1419" s="19" t="n">
        <x:v>46752.47375</x:v>
      </x:c>
      <x:c r="AN1419" s="15" t="str">
        <x:v>Зовнішні мережі</x:v>
      </x:c>
      <x:c r="AO1419" s="15" t="str">
        <x:v>not_found_in_top_search</x:v>
      </x:c>
    </x:row>
    <x:row r="1420">
      <x:c r="A1420" s="14" t="str">
        <x:v>W5-048</x:v>
      </x:c>
      <x:c r="B1420" s="14" t="str">
        <x:v>Prozorro vertical expansion — 24.08</x:v>
      </x:c>
      <x:c r="C1420" s="14" t="str">
        <x:v>ТОВ "ЕДС-ПІДСТАНЦІЯ"</x:v>
      </x:c>
      <x:c r="D1420" s="14" t="str">
        <x:v>Сонячна енергетика</x:v>
      </x:c>
      <x:c r="E1420" s="14" t="str">
        <x:v>Pilot now</x:v>
      </x:c>
      <x:c r="F1420" s="17" t="str">
        <x:v>P2</x:v>
      </x:c>
      <x:c r="G1420" s="14" t="str">
        <x:v>eds-ukraine.com</x:v>
      </x:c>
      <x:c r="H1420" s="14" t="str">
        <x:v>Пілот зараз — Н.15 discovery subset</x:v>
      </x:c>
      <x:c r="I1420" s="16" t="n">
        <x:v>3</x:v>
      </x:c>
      <x:c r="J1420" s="16" t="n">
        <x:v>5</x:v>
      </x:c>
      <x:c r="K1420" s="16" t="n">
        <x:v>5</x:v>
      </x:c>
      <x:c r="L1420" s="16" t="n">
        <x:v>5</x:v>
      </x:c>
      <x:c r="M1420" s="16" t="n">
        <x:v>5</x:v>
      </x:c>
      <x:c r="N1420" s="16" t="n">
        <x:v>5</x:v>
      </x:c>
      <x:c r="O1420" s="16" t="n">
        <x:v>5</x:v>
      </x:c>
      <x:c r="P1420" s="16" t="n">
        <x:f>IF(COUNT(I1420:O1420)&lt;7,"",I1420*8+J1420*3+K1420*2+L1420*2+M1420*2+N1420*2+O1420)</x:f>
        <x:v>84</x:v>
      </x:c>
      <x:c r="Q1420" s="16" t="n">
        <x:f>IF(COUNT(J1420:O1420)&lt;6,"",J1420*5+K1420*4+M1420*4+L1420*3+N1420*2+O1420*2)</x:f>
        <x:v>100</x:v>
      </x:c>
      <x:c r="R1420" s="14" t="str">
        <x:v>high</x:v>
      </x:c>
      <x:c r="S1420" s="14" t="str">
        <x:v>official_prozorro_award_2024_2026</x:v>
      </x:c>
      <x:c r="T1420" s="14" t="str">
        <x:v>official_prozorro_api</x:v>
      </x:c>
      <x:c r="U1420" s="14" t="str">
        <x:v>Не контактували</x:v>
      </x:c>
      <x:c r="V1420" s="15" t="str">
        <x:v>Персоналізований free-pilot outreach по UA-2026-06-02-008852-a; попросити 1 пакет Н.15</x:v>
      </x:c>
      <x:c r="W1420" s="15" t="str">
        <x:v>Власник / директор; керівник ПТО; відповідальний за договори</x:v>
      </x:c>
      <x:c r="X1420" s="15" t="str">
        <x:v>1 нових підтверджених перемог/договорів у Prozorro на 19 391 493 грн; 1 зі строком виконання не раніше 24.08.2026.</x:v>
      </x:c>
      <x:c r="Y1420" s="1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 опублікований строк до 2026-12-31. Попросити один знеособлений пакет здачі за цим workflow.</x:v>
      </x:c>
      <x:c r="Z1420" s="15" t="str">
        <x:v>https://prozorro.gov.ua/tender/UA-2026-06-02-008852-a</x:v>
      </x:c>
      <x:c r="AA1420" s="14" t="str">
        <x:v>42914860</x:v>
      </x:c>
      <x:c r="AB1420" s="14" t="str">
        <x:v>2026-08-24</x:v>
      </x:c>
      <x:c r="AC1420" s="14" t="str"/>
      <x:c r="AD1420" s="20" t="str"/>
      <x:c r="AE1420" s="14" t="str"/>
      <x:c r="AF1420" s="14" t="n">
        <x:v>62</x:v>
      </x:c>
      <x:c r="AG1420" s="14" t="str">
        <x:v>I2</x:v>
      </x:c>
      <x:c r="AH1420" s="14" t="n">
        <x:v>1</x:v>
      </x:c>
      <x:c r="AI1420" s="14" t="n">
        <x:v>1</x:v>
      </x:c>
      <x:c r="AJ1420" s="18" t="n">
        <x:v>19391493</x:v>
      </x:c>
      <x:c r="AK1420" s="14" t="str">
        <x:v>https://prozorro.gov.ua/tender/UA-2026-06-02-008852-a</x:v>
      </x:c>
      <x:c r="AL1420" s="19" t="n">
        <x:v>46191.43037732639</x:v>
      </x:c>
      <x:c r="AM1420" s="19" t="n">
        <x:v>46387</x:v>
      </x:c>
      <x:c r="AN1420" s="15" t="str">
        <x:v>Сонячна енергетика</x:v>
      </x:c>
      <x:c r="AO1420" s="15" t="str">
        <x:v>supplier_provided_url</x:v>
      </x:c>
    </x:row>
    <x:row r="1421">
      <x:c r="A1421" s="14" t="str">
        <x:v>W5-049</x:v>
      </x:c>
      <x:c r="B1421" s="14" t="str">
        <x:v>Prozorro vertical expansion — 24.08</x:v>
      </x:c>
      <x:c r="C1421" s="14" t="str">
        <x:v>ТОВАРИСТВО З ОБМЕЖЕНОЮ ВІДПОВІДАЛЬНІСТЮ "БК АЛЬТБУД"</x:v>
      </x:c>
      <x:c r="D1421" s="14" t="str">
        <x:v>Теплові пункти</x:v>
      </x:c>
      <x:c r="E1421" s="14" t="str">
        <x:v>Expansion discovery</x:v>
      </x:c>
      <x:c r="F1421" s="17" t="str">
        <x:v>D2</x:v>
      </x:c>
      <x:c r="G1421" s="14" t="str"/>
      <x:c r="H1421" s="14" t="str">
        <x:v>Discovery розширення — 2 тижні</x:v>
      </x:c>
      <x:c r="I1421" s="16" t="n">
        <x:v>1</x:v>
      </x:c>
      <x:c r="J1421" s="16" t="n">
        <x:v>5</x:v>
      </x:c>
      <x:c r="K1421" s="16" t="n">
        <x:v>5</x:v>
      </x:c>
      <x:c r="L1421" s="16" t="n">
        <x:v>4</x:v>
      </x:c>
      <x:c r="M1421" s="16" t="n">
        <x:v>5</x:v>
      </x:c>
      <x:c r="N1421" s="16" t="n">
        <x:v>5</x:v>
      </x:c>
      <x:c r="O1421" s="16" t="n">
        <x:v>3</x:v>
      </x:c>
      <x:c r="P1421" s="16" t="n">
        <x:f>IF(COUNT(I1421:O1421)&lt;7,"",I1421*8+J1421*3+K1421*2+L1421*2+M1421*2+N1421*2+O1421)</x:f>
        <x:v>64</x:v>
      </x:c>
      <x:c r="Q1421" s="16" t="n">
        <x:f>IF(COUNT(J1421:O1421)&lt;6,"",J1421*5+K1421*4+M1421*4+L1421*3+N1421*2+O1421*2)</x:f>
        <x:v>93</x:v>
      </x:c>
      <x:c r="R1421" s="14" t="str">
        <x:v>high</x:v>
      </x:c>
      <x:c r="S1421" s="14" t="str">
        <x:v>official_prozorro_award_2024_2026</x:v>
      </x:c>
      <x:c r="T1421" s="14" t="str">
        <x:v>official_prozorro_api</x:v>
      </x:c>
      <x:c r="U1421" s="14" t="str">
        <x:v>Не контактували</x:v>
      </x:c>
      <x:c r="V1421" s="15" t="str">
        <x:v>Workflow-audit outreach по UA-2025-05-09-010564-a; попросити 1 пакет здачі та вимоги проєкту</x:v>
      </x:c>
      <x:c r="W1421" s="15" t="str">
        <x:v>Власник / директор; керівник ПТО; відповідальний за договори</x:v>
      </x:c>
      <x:c r="X1421" s="15" t="str">
        <x:v>3 нових підтверджених перемог/договорів у Prozorro на 7 896 000 грн; 0 зі строком виконання не раніше 24.08.2026.</x:v>
      </x:c>
      <x:c r="Y1421" s="15" t="str">
        <x:v>Реконструкція системи опалення і ГВП з влаштуванням індивідуального теплового пункту в житловому будинку за адресою: м. Львів вул. Ярошинської, 6 за ДК 021:2015 45454000-4 – Реконструкція; опублікований строк до 2025-10-01. Попросити один знеособлений пакет здачі за цим workflow.</x:v>
      </x:c>
      <x:c r="Z1421" s="15" t="str">
        <x:v>https://prozorro.gov.ua/tender/UA-2025-05-09-010564-a</x:v>
      </x:c>
      <x:c r="AA1421" s="14" t="str">
        <x:v>41112412</x:v>
      </x:c>
      <x:c r="AB1421" s="14" t="str">
        <x:v>2026-08-24</x:v>
      </x:c>
      <x:c r="AC1421" s="14" t="str"/>
      <x:c r="AD1421" s="20" t="str"/>
      <x:c r="AE1421" s="14" t="str"/>
      <x:c r="AF1421" s="14" t="n">
        <x:v>62</x:v>
      </x:c>
      <x:c r="AG1421" s="14" t="str">
        <x:v>I2</x:v>
      </x:c>
      <x:c r="AH1421" s="14" t="n">
        <x:v>3</x:v>
      </x:c>
      <x:c r="AI1421" s="14" t="n">
        <x:v>0</x:v>
      </x:c>
      <x:c r="AJ1421" s="18" t="n">
        <x:v>7896000</x:v>
      </x:c>
      <x:c r="AK1421" s="14" t="str">
        <x:v>https://prozorro.gov.ua/tender/UA-2025-05-09-010564-a</x:v>
      </x:c>
      <x:c r="AL1421" s="19" t="n">
        <x:v>45813.541943668984</x:v>
      </x:c>
      <x:c r="AM1421" s="19" t="n">
        <x:v>45931</x:v>
      </x:c>
      <x:c r="AN1421" s="15" t="str">
        <x:v>Теплові пункти</x:v>
      </x:c>
      <x:c r="AO1421" s="15" t="str">
        <x:v>not_found_in_top_search</x:v>
      </x:c>
    </x:row>
    <x:row r="1422">
      <x:c r="A1422" s="14" t="str">
        <x:v>W5-050</x:v>
      </x:c>
      <x:c r="B1422" s="14" t="str">
        <x:v>Prozorro vertical expansion — 24.08</x:v>
      </x:c>
      <x:c r="C1422" s="14" t="str">
        <x:v>АВАРІЙНО-РЯТУВАЛЬНИЙ ЗАГІН СПЕЦІАЛЬНОГО ПРИЗНАЧЕННЯ ГОЛОВНОГО УПРАВЛІННЯ ДЕРЖАВНОЇ СЛУЖБИ УКРАЇНИ З НАДЗВИЧАЙНИХ СИТУАЦІЙ У ХЕРСОНСЬКІЙ ОБЛАСТІ</x:v>
      </x:c>
      <x:c r="D1422" s="14" t="str">
        <x:v>Блискавкозахист / заземлення</x:v>
      </x:c>
      <x:c r="E1422" s="14" t="str">
        <x:v>Requalify</x:v>
      </x:c>
      <x:c r="F1422" s="17" t="str">
        <x:v>R2</x:v>
      </x:c>
      <x:c r="G1422" s="14" t="str"/>
      <x:c r="H1422" s="14" t="str">
        <x:v>Перевірити комерційність підрядної діяльності</x:v>
      </x:c>
      <x:c r="I1422" s="16" t="n">
        <x:v>4</x:v>
      </x:c>
      <x:c r="J1422" s="16" t="n">
        <x:v>5</x:v>
      </x:c>
      <x:c r="K1422" s="16" t="n">
        <x:v>5</x:v>
      </x:c>
      <x:c r="L1422" s="16" t="n">
        <x:v>1</x:v>
      </x:c>
      <x:c r="M1422" s="16" t="n">
        <x:v>5</x:v>
      </x:c>
      <x:c r="N1422" s="16" t="n">
        <x:v>1</x:v>
      </x:c>
      <x:c r="O1422" s="16" t="n">
        <x:v>3</x:v>
      </x:c>
      <x:c r="P1422" s="16" t="n">
        <x:f>IF(COUNT(I1422:O1422)&lt;7,"",I1422*8+J1422*3+K1422*2+L1422*2+M1422*2+N1422*2+O1422)</x:f>
        <x:v>74</x:v>
      </x:c>
      <x:c r="Q1422" s="16" t="n">
        <x:f>IF(COUNT(J1422:O1422)&lt;6,"",J1422*5+K1422*4+M1422*4+L1422*3+N1422*2+O1422*2)</x:f>
        <x:v>76</x:v>
      </x:c>
      <x:c r="R1422" s="14" t="str">
        <x:v>high</x:v>
      </x:c>
      <x:c r="S1422" s="14" t="str">
        <x:v>official_prozorro_award_2024_2026</x:v>
      </x:c>
      <x:c r="T1422" s="14" t="str">
        <x:v>official_prozorro_api</x:v>
      </x:c>
      <x:c r="U1422" s="14" t="str">
        <x:v>Не контактували</x:v>
      </x:c>
      <x:c r="V1422" s="15" t="str">
        <x:v>Кваліфікувати тип постачальника за UA-2026-08-06-005432-a до outreach</x:v>
      </x:c>
      <x:c r="W1422" s="15" t="str">
        <x:v>Керівник підрозділу; перевірити право на комерційні роботи</x:v>
      </x:c>
      <x:c r="X1422" s="15" t="str">
        <x:v>2 нових підтверджених перемог/договорів у Prozorro на 17 488 грн; 2 зі строком виконання не раніше 24.08.2026.</x:v>
      </x:c>
      <x:c r="Y1422" s="15" t="str">
        <x:v>Послуги з вимірювання опору ізоляції електромережі та заземлення (4060034-Монтаж, ремонт і перевірка надійності блискавкозахисту та замірювання опору ізоляції електромереж і електроустаткування) на об"єкті:Опорний заклад "Орлівський навчально-виховний комплекс "Загальноосвітня школа І-ІІІ ступенів - дитячий садок" Кочубеївської сільської ради ОТГ Херсонської області Кочубеївського освітнього округу; опублікований строк до 2026-12-31. Попросити один знеособлений пакет здачі за цим workflow.</x:v>
      </x:c>
      <x:c r="Z1422" s="15" t="str">
        <x:v>https://prozorro.gov.ua/tender/UA-2026-08-06-005432-a</x:v>
      </x:c>
      <x:c r="AA1422" s="14" t="str">
        <x:v>08588990</x:v>
      </x:c>
      <x:c r="AB1422" s="14" t="str">
        <x:v>2026-08-24</x:v>
      </x:c>
      <x:c r="AC1422" s="14" t="str"/>
      <x:c r="AD1422" s="20" t="str"/>
      <x:c r="AE1422" s="14" t="str"/>
      <x:c r="AF1422" s="14" t="n">
        <x:v>62</x:v>
      </x:c>
      <x:c r="AG1422" s="14" t="str">
        <x:v>I2</x:v>
      </x:c>
      <x:c r="AH1422" s="14" t="n">
        <x:v>2</x:v>
      </x:c>
      <x:c r="AI1422" s="14" t="n">
        <x:v>2</x:v>
      </x:c>
      <x:c r="AJ1422" s="18" t="n">
        <x:v>17488.47</x:v>
      </x:c>
      <x:c r="AK1422" s="14" t="str">
        <x:v>https://prozorro.gov.ua/tender/UA-2026-08-06-005432-a</x:v>
      </x:c>
      <x:c r="AL1422" s="19" t="n">
        <x:v>46240.407988287036</x:v>
      </x:c>
      <x:c r="AM1422" s="19" t="n">
        <x:v>46387.45177083334</x:v>
      </x:c>
      <x:c r="AN1422" s="15" t="str">
        <x:v>Блискавкозахист / заземлення</x:v>
      </x:c>
      <x:c r="AO1422" s="15" t="str">
        <x:v>not_found_in_top_search</x:v>
      </x:c>
    </x:row>
    <x:row r="1423">
      <x:c r="A1423" s="14" t="str">
        <x:v>W5-051</x:v>
      </x:c>
      <x:c r="B1423" s="14" t="str">
        <x:v>Prozorro vertical expansion — 24.08</x:v>
      </x:c>
      <x:c r="C1423" s="14" t="str">
        <x:v>ДУБРАВСЬКИЙ ВАЛЕНТИН АНАТОЛІЙОВИЧ</x:v>
      </x:c>
      <x:c r="D1423" s="14" t="str">
        <x:v>Сонячна енергетика</x:v>
      </x:c>
      <x:c r="E1423" s="14" t="str">
        <x:v>Pilot now</x:v>
      </x:c>
      <x:c r="F1423" s="17" t="str">
        <x:v>P2</x:v>
      </x:c>
      <x:c r="G1423" s="14" t="str"/>
      <x:c r="H1423" s="14" t="str">
        <x:v>Пілот зараз — Н.15 discovery subset</x:v>
      </x:c>
      <x:c r="I1423" s="16" t="n">
        <x:v>3</x:v>
      </x:c>
      <x:c r="J1423" s="16" t="n">
        <x:v>5</x:v>
      </x:c>
      <x:c r="K1423" s="16" t="n">
        <x:v>5</x:v>
      </x:c>
      <x:c r="L1423" s="16" t="n">
        <x:v>3</x:v>
      </x:c>
      <x:c r="M1423" s="16" t="n">
        <x:v>5</x:v>
      </x:c>
      <x:c r="N1423" s="16" t="n">
        <x:v>3</x:v>
      </x:c>
      <x:c r="O1423" s="16" t="n">
        <x:v>3</x:v>
      </x:c>
      <x:c r="P1423" s="16" t="n">
        <x:f>IF(COUNT(I1423:O1423)&lt;7,"",I1423*8+J1423*3+K1423*2+L1423*2+M1423*2+N1423*2+O1423)</x:f>
        <x:v>74</x:v>
      </x:c>
      <x:c r="Q1423" s="16" t="n">
        <x:f>IF(COUNT(J1423:O1423)&lt;6,"",J1423*5+K1423*4+M1423*4+L1423*3+N1423*2+O1423*2)</x:f>
        <x:v>86</x:v>
      </x:c>
      <x:c r="R1423" s="14" t="str">
        <x:v>high</x:v>
      </x:c>
      <x:c r="S1423" s="14" t="str">
        <x:v>official_prozorro_award_2024_2026</x:v>
      </x:c>
      <x:c r="T1423" s="14" t="str">
        <x:v>official_prozorro_api</x:v>
      </x:c>
      <x:c r="U1423" s="14" t="str">
        <x:v>Не контактували</x:v>
      </x:c>
      <x:c r="V1423" s="15" t="str">
        <x:v>Персоналізований free-pilot outreach по UA-2026-07-16-008938-a; попросити 1 пакет Н.15</x:v>
      </x:c>
      <x:c r="W1423" s="15" t="str">
        <x:v>Власник / виконавець; відповідальний за договір</x:v>
      </x:c>
      <x:c r="X1423" s="15" t="str">
        <x:v>1 нових підтверджених перемог/договорів у Prozorro на 1 485 000 грн; 1 зі строком виконання не раніше 24.08.2026.</x:v>
      </x:c>
      <x:c r="Y1423" s="15" t="str">
        <x:v>Нове будівництво гібридної сонячної електростанції, для забезпечення потреб будівлі головного корпусу лікарні (літ. А-3) Комунального некомерційного підприємства "Острожецька районна лікарня" Острожецької сільської ради за адресою: Рівненська область, Дубенський район, с. Острожець, вул. Каштанова, 3; опублікований строк до 2026-12-31. Попросити один знеособлений пакет здачі за цим workflow.</x:v>
      </x:c>
      <x:c r="Z1423" s="15" t="str">
        <x:v>https://prozorro.gov.ua/tender/UA-2026-07-16-008938-a</x:v>
      </x:c>
      <x:c r="AA1423" s="14" t="str">
        <x:v>3361907536</x:v>
      </x:c>
      <x:c r="AB1423" s="14" t="str">
        <x:v>2026-08-24</x:v>
      </x:c>
      <x:c r="AC1423" s="14" t="str"/>
      <x:c r="AD1423" s="20" t="str"/>
      <x:c r="AE1423" s="14" t="str"/>
      <x:c r="AF1423" s="14" t="n">
        <x:v>60</x:v>
      </x:c>
      <x:c r="AG1423" s="14" t="str">
        <x:v>I2</x:v>
      </x:c>
      <x:c r="AH1423" s="14" t="n">
        <x:v>1</x:v>
      </x:c>
      <x:c r="AI1423" s="14" t="n">
        <x:v>1</x:v>
      </x:c>
      <x:c r="AJ1423" s="18" t="n">
        <x:v>1485000</x:v>
      </x:c>
      <x:c r="AK1423" s="14" t="str">
        <x:v>https://prozorro.gov.ua/tender/UA-2026-07-16-008938-a</x:v>
      </x:c>
      <x:c r="AL1423" s="19" t="n">
        <x:v>46219.55705820602</x:v>
      </x:c>
      <x:c r="AM1423" s="19" t="n">
        <x:v>46387</x:v>
      </x:c>
      <x:c r="AN1423" s="15" t="str">
        <x:v>Сонячна енергетика</x:v>
      </x:c>
      <x:c r="AO1423" s="15" t="str">
        <x:v>not_found_in_top_search</x:v>
      </x:c>
    </x:row>
    <x:row r="1424">
      <x:c r="A1424" s="14" t="str">
        <x:v>W5-052</x:v>
      </x:c>
      <x:c r="B1424" s="14" t="str">
        <x:v>Prozorro vertical expansion — 24.08</x:v>
      </x:c>
      <x:c r="C1424" s="14" t="str">
        <x:v>ТОВАРИСТВО З ОБМЕЖЕНОЮ ВІДПОВІДАЛЬНІСТЮ "СУЧАСНА ІНФРАСТРУКТУРА МІСТА"</x:v>
      </x:c>
      <x:c r="D1424" s="14" t="str">
        <x:v>Ремонт і підсилення бетону</x:v>
      </x:c>
      <x:c r="E1424" s="14" t="str">
        <x:v>Expansion discovery</x:v>
      </x:c>
      <x:c r="F1424" s="17" t="str">
        <x:v>D2</x:v>
      </x:c>
      <x:c r="G1424" s="14" t="str"/>
      <x:c r="H1424" s="14" t="str">
        <x:v>Discovery розширення — 2 тижні</x:v>
      </x:c>
      <x:c r="I1424" s="16" t="n">
        <x:v>1</x:v>
      </x:c>
      <x:c r="J1424" s="16" t="n">
        <x:v>5</x:v>
      </x:c>
      <x:c r="K1424" s="16" t="n">
        <x:v>5</x:v>
      </x:c>
      <x:c r="L1424" s="16" t="n">
        <x:v>3</x:v>
      </x:c>
      <x:c r="M1424" s="16" t="n">
        <x:v>5</x:v>
      </x:c>
      <x:c r="N1424" s="16" t="n">
        <x:v>5</x:v>
      </x:c>
      <x:c r="O1424" s="16" t="n">
        <x:v>3</x:v>
      </x:c>
      <x:c r="P1424" s="16" t="n">
        <x:f>IF(COUNT(I1424:O1424)&lt;7,"",I1424*8+J1424*3+K1424*2+L1424*2+M1424*2+N1424*2+O1424)</x:f>
        <x:v>62</x:v>
      </x:c>
      <x:c r="Q1424" s="16" t="n">
        <x:f>IF(COUNT(J1424:O1424)&lt;6,"",J1424*5+K1424*4+M1424*4+L1424*3+N1424*2+O1424*2)</x:f>
        <x:v>90</x:v>
      </x:c>
      <x:c r="R1424" s="14" t="str">
        <x:v>high</x:v>
      </x:c>
      <x:c r="S1424" s="14" t="str">
        <x:v>official_prozorro_award_2024_2026</x:v>
      </x:c>
      <x:c r="T1424" s="14" t="str">
        <x:v>official_prozorro_api</x:v>
      </x:c>
      <x:c r="U1424" s="14" t="str">
        <x:v>Не контактували</x:v>
      </x:c>
      <x:c r="V1424" s="15" t="str">
        <x:v>Workflow-audit outreach по UA-2026-08-24-008388-a; попросити 1 пакет здачі та вимоги проєкту</x:v>
      </x:c>
      <x:c r="W1424" s="15" t="str">
        <x:v>Власник / директор; керівник ПТО; відповідальний за договори</x:v>
      </x:c>
      <x:c r="X1424" s="15" t="str">
        <x:v>1 нових підтверджених перемог/договорів у Prozorro на 624 107 грн; 1 зі строком виконання не раніше 24.08.2026.</x:v>
      </x:c>
      <x:c r="Y1424"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Будівельниуів, 5 у Дніпровському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2026-10-31. Попросити один знеособлений пакет здачі за цим workflow.</x:v>
      </x:c>
      <x:c r="Z1424" s="15" t="str">
        <x:v>https://prozorro.gov.ua/tender/UA-2026-08-24-008388-a</x:v>
      </x:c>
      <x:c r="AA1424" s="14" t="str">
        <x:v>45932238</x:v>
      </x:c>
      <x:c r="AB1424" s="14" t="str">
        <x:v>2026-08-24</x:v>
      </x:c>
      <x:c r="AC1424" s="14" t="str"/>
      <x:c r="AD1424" s="20" t="str"/>
      <x:c r="AE1424" s="14" t="str"/>
      <x:c r="AF1424" s="14" t="n">
        <x:v>60</x:v>
      </x:c>
      <x:c r="AG1424" s="14" t="str">
        <x:v>I2</x:v>
      </x:c>
      <x:c r="AH1424" s="14" t="n">
        <x:v>1</x:v>
      </x:c>
      <x:c r="AI1424" s="14" t="n">
        <x:v>1</x:v>
      </x:c>
      <x:c r="AJ1424" s="18" t="n">
        <x:v>624106.56</x:v>
      </x:c>
      <x:c r="AK1424" s="14" t="str">
        <x:v>https://prozorro.gov.ua/tender/UA-2026-08-24-008388-a</x:v>
      </x:c>
      <x:c r="AL1424" s="19" t="n">
        <x:v>46258.53630042824</x:v>
      </x:c>
      <x:c r="AM1424" s="19" t="n">
        <x:v>46326</x:v>
      </x:c>
      <x:c r="AN1424" s="15" t="str">
        <x:v>Ремонт і підсилення бетону</x:v>
      </x:c>
      <x:c r="AO1424" s="15" t="str">
        <x:v>not_found_in_top_search</x:v>
      </x:c>
    </x:row>
    <x:row r="1425">
      <x:c r="A1425" s="14" t="str">
        <x:v>W5-053</x:v>
      </x:c>
      <x:c r="B1425" s="14" t="str">
        <x:v>Prozorro vertical expansion — 24.08</x:v>
      </x:c>
      <x:c r="C1425" s="14" t="str">
        <x:v>ГАЦУЛЯ ВОЛОДИМИР ОЛЕКСІЙОВИЧ</x:v>
      </x:c>
      <x:c r="D1425" s="14" t="str">
        <x:v>Промислова електрика / ПНР</x:v>
      </x:c>
      <x:c r="E1425" s="14" t="str">
        <x:v>Pilot now</x:v>
      </x:c>
      <x:c r="F1425" s="17" t="str">
        <x:v>P2</x:v>
      </x:c>
      <x:c r="G1425" s="14" t="str"/>
      <x:c r="H1425" s="14" t="str">
        <x:v>Пілот зараз — Н.15 subset</x:v>
      </x:c>
      <x:c r="I1425" s="16" t="n">
        <x:v>4</x:v>
      </x:c>
      <x:c r="J1425" s="16" t="n">
        <x:v>5</x:v>
      </x:c>
      <x:c r="K1425" s="16" t="n">
        <x:v>4</x:v>
      </x:c>
      <x:c r="L1425" s="16" t="n">
        <x:v>2</x:v>
      </x:c>
      <x:c r="M1425" s="16" t="n">
        <x:v>5</x:v>
      </x:c>
      <x:c r="N1425" s="16" t="n">
        <x:v>3</x:v>
      </x:c>
      <x:c r="O1425" s="16" t="n">
        <x:v>3</x:v>
      </x:c>
      <x:c r="P1425" s="16" t="n">
        <x:f>IF(COUNT(I1425:O1425)&lt;7,"",I1425*8+J1425*3+K1425*2+L1425*2+M1425*2+N1425*2+O1425)</x:f>
        <x:v>78</x:v>
      </x:c>
      <x:c r="Q1425" s="16" t="n">
        <x:f>IF(COUNT(J1425:O1425)&lt;6,"",J1425*5+K1425*4+M1425*4+L1425*3+N1425*2+O1425*2)</x:f>
        <x:v>79</x:v>
      </x:c>
      <x:c r="R1425" s="14" t="str">
        <x:v>high</x:v>
      </x:c>
      <x:c r="S1425" s="14" t="str">
        <x:v>official_prozorro_award_2024_2026</x:v>
      </x:c>
      <x:c r="T1425" s="14" t="str">
        <x:v>official_prozorro_api</x:v>
      </x:c>
      <x:c r="U1425" s="14" t="str">
        <x:v>Не контактували</x:v>
      </x:c>
      <x:c r="V1425" s="15" t="str">
        <x:v>Персоналізований free-pilot outreach по UA-2026-05-04-012832-a; попросити 1 пакет Н.15</x:v>
      </x:c>
      <x:c r="W1425" s="15" t="str">
        <x:v>Власник / виконавець; відповідальний за договір</x:v>
      </x:c>
      <x:c r="X1425" s="15" t="str">
        <x:v>2 нових підтверджених перемог/договорів у Prozorro на 125 580 грн; 2 зі строком виконання не раніше 24.08.2026.</x:v>
      </x:c>
      <x:c r="Y1425" s="15" t="str">
        <x:v>Організація електромонтажних робіт по встановленню гібридного інвертора, налаштування та пусконалагоджувальні роботи обладнання. Організація електромонтажних робіт по встановленню сонячних панелей. Організація електромонтажних робіт по встановленню акумуляторної батереї, налаштування та пусконалаголжувальні роботи обладнання. Пусконалагоджувальні роботи СЕС.; опублікований строк до 2026-12-31. Попросити один знеособлений пакет здачі за цим workflow.</x:v>
      </x:c>
      <x:c r="Z1425" s="15" t="str">
        <x:v>https://prozorro.gov.ua/tender/UA-2026-05-04-012832-a</x:v>
      </x:c>
      <x:c r="AA1425" s="14" t="str">
        <x:v>2852217952</x:v>
      </x:c>
      <x:c r="AB1425" s="14" t="str">
        <x:v>2026-08-24</x:v>
      </x:c>
      <x:c r="AC1425" s="14" t="str"/>
      <x:c r="AD1425" s="20" t="str"/>
      <x:c r="AE1425" s="14" t="str"/>
      <x:c r="AF1425" s="14" t="n">
        <x:v>60</x:v>
      </x:c>
      <x:c r="AG1425" s="14" t="str">
        <x:v>I2</x:v>
      </x:c>
      <x:c r="AH1425" s="14" t="n">
        <x:v>2</x:v>
      </x:c>
      <x:c r="AI1425" s="14" t="n">
        <x:v>2</x:v>
      </x:c>
      <x:c r="AJ1425" s="18" t="n">
        <x:v>125580</x:v>
      </x:c>
      <x:c r="AK1425" s="14" t="str">
        <x:v>https://prozorro.gov.ua/tender/UA-2026-05-04-012832-a</x:v>
      </x:c>
      <x:c r="AL1425" s="19" t="n">
        <x:v>46146.58856592593</x:v>
      </x:c>
      <x:c r="AM1425" s="19" t="n">
        <x:v>46387</x:v>
      </x:c>
      <x:c r="AN1425" s="15" t="str">
        <x:v>Промислова електрика / ПНР</x:v>
      </x:c>
      <x:c r="AO1425" s="15" t="str">
        <x:v>not_found_in_top_search</x:v>
      </x:c>
    </x:row>
    <x:row r="1426">
      <x:c r="A1426" s="14" t="str">
        <x:v>W5-054</x:v>
      </x:c>
      <x:c r="B1426" s="14" t="str">
        <x:v>Prozorro vertical expansion — 24.08</x:v>
      </x:c>
      <x:c r="C1426" s="14" t="str">
        <x:v>Дочірнє підприємство "Криворіжагробуд" приватного акціонерного товариства "Криворіжгазбуд"</x:v>
      </x:c>
      <x:c r="D1426" s="14" t="str">
        <x:v>Насосні станції</x:v>
      </x:c>
      <x:c r="E1426" s="14" t="str">
        <x:v>Expansion discovery</x:v>
      </x:c>
      <x:c r="F1426" s="17" t="str">
        <x:v>D2</x:v>
      </x:c>
      <x:c r="G1426" s="14" t="str"/>
      <x:c r="H1426" s="14" t="str">
        <x:v>Discovery розширення — 2 тижні</x:v>
      </x:c>
      <x:c r="I1426" s="16" t="n">
        <x:v>1</x:v>
      </x:c>
      <x:c r="J1426" s="16" t="n">
        <x:v>5</x:v>
      </x:c>
      <x:c r="K1426" s="16" t="n">
        <x:v>5</x:v>
      </x:c>
      <x:c r="L1426" s="16" t="n">
        <x:v>5</x:v>
      </x:c>
      <x:c r="M1426" s="16" t="n">
        <x:v>5</x:v>
      </x:c>
      <x:c r="N1426" s="16" t="n">
        <x:v>5</x:v>
      </x:c>
      <x:c r="O1426" s="16" t="n">
        <x:v>3</x:v>
      </x:c>
      <x:c r="P1426" s="16" t="n">
        <x:f>IF(COUNT(I1426:O1426)&lt;7,"",I1426*8+J1426*3+K1426*2+L1426*2+M1426*2+N1426*2+O1426)</x:f>
        <x:v>66</x:v>
      </x:c>
      <x:c r="Q1426" s="16" t="n">
        <x:f>IF(COUNT(J1426:O1426)&lt;6,"",J1426*5+K1426*4+M1426*4+L1426*3+N1426*2+O1426*2)</x:f>
        <x:v>96</x:v>
      </x:c>
      <x:c r="R1426" s="14" t="str">
        <x:v>high</x:v>
      </x:c>
      <x:c r="S1426" s="14" t="str">
        <x:v>official_prozorro_award_2024_2026</x:v>
      </x:c>
      <x:c r="T1426" s="14" t="str">
        <x:v>official_prozorro_api</x:v>
      </x:c>
      <x:c r="U1426" s="14" t="str">
        <x:v>Не контактували</x:v>
      </x:c>
      <x:c r="V1426" s="15" t="str">
        <x:v>Workflow-audit outreach по UA-2025-08-08-007679-a; попросити 1 пакет здачі та вимоги проєкту</x:v>
      </x:c>
      <x:c r="W1426" s="15" t="str">
        <x:v>Власник / директор; керівник ПТО; відповідальний за договори</x:v>
      </x:c>
      <x:c r="X1426" s="15" t="str">
        <x:v>2 нових підтверджених перемог/договорів у Prozorro на 16 696 937 грн; 0 зі строком виконання не раніше 24.08.2026.</x:v>
      </x:c>
      <x:c r="Y1426" s="15" t="str">
        <x:v>Додаткові роботи по об’єкту «Будівництво ділянки самопливного каналізаційного колектора від мкр. Сонячного»; опублікований строк до 2025-12-20. Попросити один знеособлений пакет здачі за цим workflow.</x:v>
      </x:c>
      <x:c r="Z1426" s="15" t="str">
        <x:v>https://prozorro.gov.ua/tender/UA-2025-08-08-007679-a</x:v>
      </x:c>
      <x:c r="AA1426" s="14" t="str">
        <x:v>32627129</x:v>
      </x:c>
      <x:c r="AB1426" s="14" t="str">
        <x:v>2026-08-24</x:v>
      </x:c>
      <x:c r="AC1426" s="14" t="str"/>
      <x:c r="AD1426" s="20" t="str"/>
      <x:c r="AE1426" s="14" t="str"/>
      <x:c r="AF1426" s="14" t="n">
        <x:v>59</x:v>
      </x:c>
      <x:c r="AG1426" s="14" t="str">
        <x:v>I2</x:v>
      </x:c>
      <x:c r="AH1426" s="14" t="n">
        <x:v>2</x:v>
      </x:c>
      <x:c r="AI1426" s="14" t="n">
        <x:v>0</x:v>
      </x:c>
      <x:c r="AJ1426" s="18" t="n">
        <x:v>16696936.8</x:v>
      </x:c>
      <x:c r="AK1426" s="14" t="str">
        <x:v>https://prozorro.gov.ua/tender/UA-2025-08-08-007679-a</x:v>
      </x:c>
      <x:c r="AL1426" s="19" t="n">
        <x:v>45877.47949543982</x:v>
      </x:c>
      <x:c r="AM1426" s="19" t="n">
        <x:v>46011</x:v>
      </x:c>
      <x:c r="AN1426" s="15" t="str">
        <x:v>Насосні станції; Зовнішні мережі</x:v>
      </x:c>
      <x:c r="AO1426" s="15" t="str">
        <x:v>not_found_in_top_search</x:v>
      </x:c>
    </x:row>
    <x:row r="1427">
      <x:c r="A1427" s="14" t="str">
        <x:v>W5-055</x:v>
      </x:c>
      <x:c r="B1427" s="14" t="str">
        <x:v>Prozorro vertical expansion — 24.08</x:v>
      </x:c>
      <x:c r="C1427" s="14" t="str">
        <x:v>ТОВ "НЕОКОМ"</x:v>
      </x:c>
      <x:c r="D1427" s="14" t="str">
        <x:v>ВОЛЗ / телеком</x:v>
      </x:c>
      <x:c r="E1427" s="14" t="str">
        <x:v>Expansion discovery</x:v>
      </x:c>
      <x:c r="F1427" s="17" t="str">
        <x:v>D2</x:v>
      </x:c>
      <x:c r="G1427" s="14" t="str"/>
      <x:c r="H1427" s="14" t="str">
        <x:v>Discovery розширення — 2 тижні</x:v>
      </x:c>
      <x:c r="I1427" s="16" t="n">
        <x:v>1</x:v>
      </x:c>
      <x:c r="J1427" s="16" t="n">
        <x:v>5</x:v>
      </x:c>
      <x:c r="K1427" s="16" t="n">
        <x:v>5</x:v>
      </x:c>
      <x:c r="L1427" s="16" t="n">
        <x:v>3</x:v>
      </x:c>
      <x:c r="M1427" s="16" t="n">
        <x:v>5</x:v>
      </x:c>
      <x:c r="N1427" s="16" t="n">
        <x:v>5</x:v>
      </x:c>
      <x:c r="O1427" s="16" t="n">
        <x:v>3</x:v>
      </x:c>
      <x:c r="P1427" s="16" t="n">
        <x:f>IF(COUNT(I1427:O1427)&lt;7,"",I1427*8+J1427*3+K1427*2+L1427*2+M1427*2+N1427*2+O1427)</x:f>
        <x:v>62</x:v>
      </x:c>
      <x:c r="Q1427" s="16" t="n">
        <x:f>IF(COUNT(J1427:O1427)&lt;6,"",J1427*5+K1427*4+M1427*4+L1427*3+N1427*2+O1427*2)</x:f>
        <x:v>90</x:v>
      </x:c>
      <x:c r="R1427" s="14" t="str">
        <x:v>high</x:v>
      </x:c>
      <x:c r="S1427" s="14" t="str">
        <x:v>official_prozorro_award_2024_2026</x:v>
      </x:c>
      <x:c r="T1427" s="14" t="str">
        <x:v>official_prozorro_api</x:v>
      </x:c>
      <x:c r="U1427" s="14" t="str">
        <x:v>Не контактували</x:v>
      </x:c>
      <x:c r="V1427" s="15" t="str">
        <x:v>Workflow-audit outreach по UA-2025-03-31-004356-a; попросити 1 пакет здачі та вимоги проєкту</x:v>
      </x:c>
      <x:c r="W1427" s="15" t="str">
        <x:v>Власник / директор; керівник ПТО; відповідальний за договори</x:v>
      </x:c>
      <x:c r="X1427" s="15" t="str">
        <x:v>4 нових підтверджених перемог/договорів у Prozorro на 1 156 837 грн; 0 зі строком виконання не раніше 24.08.2026.</x:v>
      </x:c>
      <x:c r="Y1427" s="15" t="str">
        <x:v>Послуги з монтажу оптичної мережі підприємства (ДК 021:2015 64220000-4 Телекомунікаційні послуги, крім послуг телефонного зв’язку і передачі даних (64221000-1 Послуги з під’єднання)); опублікований строк до 2025-12-31. Попросити один знеособлений пакет здачі за цим workflow.</x:v>
      </x:c>
      <x:c r="Z1427" s="15" t="str">
        <x:v>https://prozorro.gov.ua/tender/UA-2025-03-31-004356-a</x:v>
      </x:c>
      <x:c r="AA1427" s="14" t="str">
        <x:v>32818500</x:v>
      </x:c>
      <x:c r="AB1427" s="14" t="str">
        <x:v>2026-08-24</x:v>
      </x:c>
      <x:c r="AC1427" s="14" t="str"/>
      <x:c r="AD1427" s="20" t="str"/>
      <x:c r="AE1427" s="14" t="str"/>
      <x:c r="AF1427" s="14" t="n">
        <x:v>59</x:v>
      </x:c>
      <x:c r="AG1427" s="14" t="str">
        <x:v>I2</x:v>
      </x:c>
      <x:c r="AH1427" s="14" t="n">
        <x:v>4</x:v>
      </x:c>
      <x:c r="AI1427" s="14" t="n">
        <x:v>0</x:v>
      </x:c>
      <x:c r="AJ1427" s="18" t="n">
        <x:v>1156837</x:v>
      </x:c>
      <x:c r="AK1427" s="14" t="str">
        <x:v>https://prozorro.gov.ua/tender/UA-2025-03-31-004356-a</x:v>
      </x:c>
      <x:c r="AL1427" s="19" t="n">
        <x:v>45747.38219435185</x:v>
      </x:c>
      <x:c r="AM1427" s="19" t="n">
        <x:v>46022.425729166665</x:v>
      </x:c>
      <x:c r="AN1427" s="15" t="str">
        <x:v>ВОЛЗ / телеком</x:v>
      </x:c>
      <x:c r="AO1427" s="15" t="str">
        <x:v>not_found_in_top_search</x:v>
      </x:c>
    </x:row>
    <x:row r="1428">
      <x:c r="A1428" s="14" t="str">
        <x:v>W5-056</x:v>
      </x:c>
      <x:c r="B1428" s="14" t="str">
        <x:v>Prozorro vertical expansion — 24.08</x:v>
      </x:c>
      <x:c r="C1428" s="14" t="str">
        <x:v>ПРИВАТНЕ ПІДПРИЄМСТВО "ДЕКО СНАБ"</x:v>
      </x:c>
      <x:c r="D1428" s="14" t="str">
        <x:v>Теплові пункти</x:v>
      </x:c>
      <x:c r="E1428" s="14" t="str">
        <x:v>Expansion discovery</x:v>
      </x:c>
      <x:c r="F1428" s="17" t="str">
        <x:v>D2</x:v>
      </x:c>
      <x:c r="G1428" s="14" t="str"/>
      <x:c r="H1428" s="14" t="str">
        <x:v>Discovery розширення — 2 тижні</x:v>
      </x:c>
      <x:c r="I1428" s="16" t="n">
        <x:v>1</x:v>
      </x:c>
      <x:c r="J1428" s="16" t="n">
        <x:v>5</x:v>
      </x:c>
      <x:c r="K1428" s="16" t="n">
        <x:v>5</x:v>
      </x:c>
      <x:c r="L1428" s="16" t="n">
        <x:v>3</x:v>
      </x:c>
      <x:c r="M1428" s="16" t="n">
        <x:v>5</x:v>
      </x:c>
      <x:c r="N1428" s="16" t="n">
        <x:v>5</x:v>
      </x:c>
      <x:c r="O1428" s="16" t="n">
        <x:v>3</x:v>
      </x:c>
      <x:c r="P1428" s="16" t="n">
        <x:f>IF(COUNT(I1428:O1428)&lt;7,"",I1428*8+J1428*3+K1428*2+L1428*2+M1428*2+N1428*2+O1428)</x:f>
        <x:v>62</x:v>
      </x:c>
      <x:c r="Q1428" s="16" t="n">
        <x:f>IF(COUNT(J1428:O1428)&lt;6,"",J1428*5+K1428*4+M1428*4+L1428*3+N1428*2+O1428*2)</x:f>
        <x:v>90</x:v>
      </x:c>
      <x:c r="R1428" s="14" t="str">
        <x:v>high</x:v>
      </x:c>
      <x:c r="S1428" s="14" t="str">
        <x:v>official_prozorro_award_2024_2026</x:v>
      </x:c>
      <x:c r="T1428" s="14" t="str">
        <x:v>official_prozorro_api</x:v>
      </x:c>
      <x:c r="U1428" s="14" t="str">
        <x:v>Не контактували</x:v>
      </x:c>
      <x:c r="V1428" s="15" t="str">
        <x:v>Workflow-audit outreach по UA-2024-04-16-007966-a; попросити 1 пакет здачі та вимоги проєкту</x:v>
      </x:c>
      <x:c r="W1428" s="15" t="str">
        <x:v>Власник / директор; керівник ПТО; відповідальний за договори</x:v>
      </x:c>
      <x:c r="X1428" s="15" t="str">
        <x:v>6 нових підтверджених перемог/договорів у Prozorro на 967 593 грн; 0 зі строком виконання не раніше 24.08.2026.</x:v>
      </x:c>
      <x:c r="Y1428" s="15" t="str">
        <x:v>Реконструкція індивідуального теплового пункту за адресою:м. Миколаїв, вул. Чорновола,5; 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2024-05-30. Попросити один знеособлений пакет здачі за цим workflow.</x:v>
      </x:c>
      <x:c r="Z1428" s="15" t="str">
        <x:v>https://prozorro.gov.ua/tender/UA-2024-04-16-007966-a</x:v>
      </x:c>
      <x:c r="AA1428" s="14" t="str">
        <x:v>40475330</x:v>
      </x:c>
      <x:c r="AB1428" s="14" t="str">
        <x:v>2026-08-24</x:v>
      </x:c>
      <x:c r="AC1428" s="14" t="str"/>
      <x:c r="AD1428" s="20" t="str"/>
      <x:c r="AE1428" s="14" t="str"/>
      <x:c r="AF1428" s="14" t="n">
        <x:v>59</x:v>
      </x:c>
      <x:c r="AG1428" s="14" t="str">
        <x:v>I2</x:v>
      </x:c>
      <x:c r="AH1428" s="14" t="n">
        <x:v>6</x:v>
      </x:c>
      <x:c r="AI1428" s="14" t="n">
        <x:v>0</x:v>
      </x:c>
      <x:c r="AJ1428" s="18" t="n">
        <x:v>967592.56</x:v>
      </x:c>
      <x:c r="AK1428" s="14" t="str">
        <x:v>https://prozorro.gov.ua/tender/UA-2024-04-16-007966-a</x:v>
      </x:c>
      <x:c r="AL1428" s="19" t="n">
        <x:v>45398.47249931713</x:v>
      </x:c>
      <x:c r="AM1428" s="19" t="n">
        <x:v>45442</x:v>
      </x:c>
      <x:c r="AN1428" s="15" t="str">
        <x:v>Теплові пункти</x:v>
      </x:c>
      <x:c r="AO1428" s="15" t="str">
        <x:v>not_found_in_top_search</x:v>
      </x:c>
    </x:row>
    <x:row r="1429">
      <x:c r="A1429" s="14" t="str">
        <x:v>W5-057</x:v>
      </x:c>
      <x:c r="B1429" s="14" t="str">
        <x:v>Prozorro vertical expansion — 24.08</x:v>
      </x:c>
      <x:c r="C1429" s="14" t="str">
        <x:v>ФОП Барчук Віталій Анатолійович</x:v>
      </x:c>
      <x:c r="D1429" s="14" t="str">
        <x:v>Блискавкозахист / заземлення</x:v>
      </x:c>
      <x:c r="E1429" s="14" t="str">
        <x:v>Pilot now</x:v>
      </x:c>
      <x:c r="F1429" s="17" t="str">
        <x:v>P2</x:v>
      </x:c>
      <x:c r="G1429" s="14" t="str"/>
      <x:c r="H1429" s="14" t="str">
        <x:v>Пілот зараз — Н.15 subset</x:v>
      </x:c>
      <x:c r="I1429" s="16" t="n">
        <x:v>4</x:v>
      </x:c>
      <x:c r="J1429" s="16" t="n">
        <x:v>5</x:v>
      </x:c>
      <x:c r="K1429" s="16" t="n">
        <x:v>5</x:v>
      </x:c>
      <x:c r="L1429" s="16" t="n">
        <x:v>2</x:v>
      </x:c>
      <x:c r="M1429" s="16" t="n">
        <x:v>5</x:v>
      </x:c>
      <x:c r="N1429" s="16" t="n">
        <x:v>3</x:v>
      </x:c>
      <x:c r="O1429" s="16" t="n">
        <x:v>3</x:v>
      </x:c>
      <x:c r="P1429" s="16" t="n">
        <x:f>IF(COUNT(I1429:O1429)&lt;7,"",I1429*8+J1429*3+K1429*2+L1429*2+M1429*2+N1429*2+O1429)</x:f>
        <x:v>80</x:v>
      </x:c>
      <x:c r="Q1429" s="16" t="n">
        <x:f>IF(COUNT(J1429:O1429)&lt;6,"",J1429*5+K1429*4+M1429*4+L1429*3+N1429*2+O1429*2)</x:f>
        <x:v>83</x:v>
      </x:c>
      <x:c r="R1429" s="14" t="str">
        <x:v>high</x:v>
      </x:c>
      <x:c r="S1429" s="14" t="str">
        <x:v>official_prozorro_award_2024_2026</x:v>
      </x:c>
      <x:c r="T1429" s="14" t="str">
        <x:v>official_prozorro_api</x:v>
      </x:c>
      <x:c r="U1429" s="14" t="str">
        <x:v>Не контактували</x:v>
      </x:c>
      <x:c r="V1429" s="15" t="str">
        <x:v>Персоналізований free-pilot outreach по UA-2025-11-21-014919-a; попросити 1 пакет Н.15</x:v>
      </x:c>
      <x:c r="W1429" s="15" t="str">
        <x:v>Власник / виконавець; відповідальний за договір</x:v>
      </x:c>
      <x:c r="X1429" s="15" t="str">
        <x:v>4 нових підтверджених перемог/договорів у Prozorro на 283 130 грн; 0 зі строком виконання не раніше 24.08.2026.</x:v>
      </x:c>
      <x:c r="Y1429" s="15" t="str">
        <x:v>Послуги з монтажу зовнішньої системи блискавкозахисту будівлі нічного притулку; опублікований строк до 2025-12-31. Попросити один знеособлений пакет здачі за цим workflow.</x:v>
      </x:c>
      <x:c r="Z1429" s="15" t="str">
        <x:v>https://prozorro.gov.ua/tender/UA-2025-11-21-014919-a</x:v>
      </x:c>
      <x:c r="AA1429" s="14" t="str">
        <x:v>3163908356</x:v>
      </x:c>
      <x:c r="AB1429" s="14" t="str">
        <x:v>2026-08-24</x:v>
      </x:c>
      <x:c r="AC1429" s="14" t="str"/>
      <x:c r="AD1429" s="20" t="str"/>
      <x:c r="AE1429" s="14" t="str"/>
      <x:c r="AF1429" s="14" t="n">
        <x:v>59</x:v>
      </x:c>
      <x:c r="AG1429" s="14" t="str">
        <x:v>I2</x:v>
      </x:c>
      <x:c r="AH1429" s="14" t="n">
        <x:v>4</x:v>
      </x:c>
      <x:c r="AI1429" s="14" t="n">
        <x:v>0</x:v>
      </x:c>
      <x:c r="AJ1429" s="18" t="n">
        <x:v>283130.48</x:v>
      </x:c>
      <x:c r="AK1429" s="14" t="str">
        <x:v>https://prozorro.gov.ua/tender/UA-2025-11-21-014919-a</x:v>
      </x:c>
      <x:c r="AL1429" s="19" t="n">
        <x:v>45982.60709128472</x:v>
      </x:c>
      <x:c r="AM1429" s="19" t="n">
        <x:v>46022</x:v>
      </x:c>
      <x:c r="AN1429" s="15" t="str">
        <x:v>Блискавкозахист / заземлення</x:v>
      </x:c>
      <x:c r="AO1429" s="15" t="str">
        <x:v>not_found_in_top_search</x:v>
      </x:c>
    </x:row>
    <x:row r="1430">
      <x:c r="A1430" s="14" t="str">
        <x:v>W5-058</x:v>
      </x:c>
      <x:c r="B1430" s="14" t="str">
        <x:v>Prozorro vertical expansion — 24.08</x:v>
      </x:c>
      <x:c r="C1430" s="14" t="str">
        <x:v>Товариство з обмеженою відповідальністю "РТ - Телеком"</x:v>
      </x:c>
      <x:c r="D1430" s="14" t="str">
        <x:v>ВОЛЗ / телеком</x:v>
      </x:c>
      <x:c r="E1430" s="14" t="str">
        <x:v>Expansion discovery</x:v>
      </x:c>
      <x:c r="F1430" s="17" t="str">
        <x:v>D2</x:v>
      </x:c>
      <x:c r="G1430" s="14" t="str"/>
      <x:c r="H1430" s="14" t="str">
        <x:v>Discovery розширення — 2 тижні</x:v>
      </x:c>
      <x:c r="I1430" s="16" t="n">
        <x:v>1</x:v>
      </x:c>
      <x:c r="J1430" s="16" t="n">
        <x:v>5</x:v>
      </x:c>
      <x:c r="K1430" s="16" t="n">
        <x:v>5</x:v>
      </x:c>
      <x:c r="L1430" s="16" t="n">
        <x:v>2</x:v>
      </x:c>
      <x:c r="M1430" s="16" t="n">
        <x:v>5</x:v>
      </x:c>
      <x:c r="N1430" s="16" t="n">
        <x:v>5</x:v>
      </x:c>
      <x:c r="O1430" s="16" t="n">
        <x:v>3</x:v>
      </x:c>
      <x:c r="P1430" s="16" t="n">
        <x:f>IF(COUNT(I1430:O1430)&lt;7,"",I1430*8+J1430*3+K1430*2+L1430*2+M1430*2+N1430*2+O1430)</x:f>
        <x:v>60</x:v>
      </x:c>
      <x:c r="Q1430" s="16" t="n">
        <x:f>IF(COUNT(J1430:O1430)&lt;6,"",J1430*5+K1430*4+M1430*4+L1430*3+N1430*2+O1430*2)</x:f>
        <x:v>87</x:v>
      </x:c>
      <x:c r="R1430" s="14" t="str">
        <x:v>high</x:v>
      </x:c>
      <x:c r="S1430" s="14" t="str">
        <x:v>official_prozorro_award_2024_2026</x:v>
      </x:c>
      <x:c r="T1430" s="14" t="str">
        <x:v>official_prozorro_api</x:v>
      </x:c>
      <x:c r="U1430" s="14" t="str">
        <x:v>Не контактували</x:v>
      </x:c>
      <x:c r="V1430" s="15" t="str">
        <x:v>Workflow-audit outreach по UA-2025-09-24-003287-a; попросити 1 пакет здачі та вимоги проєкту</x:v>
      </x:c>
      <x:c r="W1430" s="15" t="str">
        <x:v>Власник / директор; керівник ПТО; відповідальний за договори</x:v>
      </x:c>
      <x:c r="X1430" s="15" t="str">
        <x:v>5 нових підтверджених перемог/договорів у Prozorro на 214 210 грн; 0 зі строком виконання не раніше 24.08.2026.</x:v>
      </x:c>
      <x:c r="Y1430" s="15" t="str">
        <x:v>Послуги з розробки робочого проекту з будівництва волоконно-оптичної лінії зв'язку; опублікований строк до 2025-11-04. Попросити один знеособлений пакет здачі за цим workflow.</x:v>
      </x:c>
      <x:c r="Z1430" s="15" t="str">
        <x:v>https://prozorro.gov.ua/tender/UA-2025-09-24-003287-a</x:v>
      </x:c>
      <x:c r="AA1430" s="14" t="str">
        <x:v>39643312</x:v>
      </x:c>
      <x:c r="AB1430" s="14" t="str">
        <x:v>2026-08-24</x:v>
      </x:c>
      <x:c r="AC1430" s="14" t="str"/>
      <x:c r="AD1430" s="20" t="str"/>
      <x:c r="AE1430" s="14" t="str"/>
      <x:c r="AF1430" s="14" t="n">
        <x:v>59</x:v>
      </x:c>
      <x:c r="AG1430" s="14" t="str">
        <x:v>I2</x:v>
      </x:c>
      <x:c r="AH1430" s="14" t="n">
        <x:v>5</x:v>
      </x:c>
      <x:c r="AI1430" s="14" t="n">
        <x:v>0</x:v>
      </x:c>
      <x:c r="AJ1430" s="18" t="n">
        <x:v>214210.31</x:v>
      </x:c>
      <x:c r="AK1430" s="14" t="str">
        <x:v>https://prozorro.gov.ua/tender/UA-2025-09-24-003287-a</x:v>
      </x:c>
      <x:c r="AL1430" s="19" t="n">
        <x:v>45924.33279497685</x:v>
      </x:c>
      <x:c r="AM1430" s="19" t="n">
        <x:v>45965.416666666664</x:v>
      </x:c>
      <x:c r="AN1430" s="15" t="str">
        <x:v>ВОЛЗ / телеком</x:v>
      </x:c>
      <x:c r="AO1430" s="15" t="str">
        <x:v>not_found_in_top_search</x:v>
      </x:c>
    </x:row>
    <x:row r="1431">
      <x:c r="A1431" s="14" t="str">
        <x:v>W5-059</x:v>
      </x:c>
      <x:c r="B1431" s="14" t="str">
        <x:v>Prozorro vertical expansion — 24.08</x:v>
      </x:c>
      <x:c r="C1431" s="14" t="str">
        <x:v>ФОП Федулов Дмитро Олегович</x:v>
      </x:c>
      <x:c r="D1431" s="14" t="str">
        <x:v>Резервне живлення</x:v>
      </x:c>
      <x:c r="E1431" s="14" t="str">
        <x:v>Pilot now</x:v>
      </x:c>
      <x:c r="F1431" s="17" t="str">
        <x:v>P2</x:v>
      </x:c>
      <x:c r="G1431" s="14" t="str"/>
      <x:c r="H1431" s="14" t="str">
        <x:v>Пілот зараз — Н.15 subset</x:v>
      </x:c>
      <x:c r="I1431" s="16" t="n">
        <x:v>4</x:v>
      </x:c>
      <x:c r="J1431" s="16" t="n">
        <x:v>5</x:v>
      </x:c>
      <x:c r="K1431" s="16" t="n">
        <x:v>5</x:v>
      </x:c>
      <x:c r="L1431" s="16" t="n">
        <x:v>1</x:v>
      </x:c>
      <x:c r="M1431" s="16" t="n">
        <x:v>5</x:v>
      </x:c>
      <x:c r="N1431" s="16" t="n">
        <x:v>3</x:v>
      </x:c>
      <x:c r="O1431" s="16" t="n">
        <x:v>3</x:v>
      </x:c>
      <x:c r="P1431" s="16" t="n">
        <x:f>IF(COUNT(I1431:O1431)&lt;7,"",I1431*8+J1431*3+K1431*2+L1431*2+M1431*2+N1431*2+O1431)</x:f>
        <x:v>78</x:v>
      </x:c>
      <x:c r="Q1431" s="16" t="n">
        <x:f>IF(COUNT(J1431:O1431)&lt;6,"",J1431*5+K1431*4+M1431*4+L1431*3+N1431*2+O1431*2)</x:f>
        <x:v>80</x:v>
      </x:c>
      <x:c r="R1431" s="14" t="str">
        <x:v>high</x:v>
      </x:c>
      <x:c r="S1431" s="14" t="str">
        <x:v>official_prozorro_award_2024_2026</x:v>
      </x:c>
      <x:c r="T1431" s="14" t="str">
        <x:v>official_prozorro_api</x:v>
      </x:c>
      <x:c r="U1431" s="14" t="str">
        <x:v>Не контактували</x:v>
      </x:c>
      <x:c r="V1431" s="15" t="str">
        <x:v>Персоналізований free-pilot outreach по UA-2026-08-19-005773-a; попросити 1 пакет Н.15</x:v>
      </x:c>
      <x:c r="W1431" s="15" t="str">
        <x:v>Власник / виконавець; відповідальний за договір</x:v>
      </x:c>
      <x:c r="X1431" s="15" t="str">
        <x:v>2 нових підтверджених перемог/договорів у Prozorro на 97 500 грн; 1 зі строком виконання не раніше 24.08.2026.</x:v>
      </x:c>
      <x:c r="Y1431" s="15" t="str">
        <x:v>Послуги з монтажу тимчасової захисної конструкції навколо дизель-генератора за адресою: 69035, м. Запоріжжя, вул. Леоніда Жаботинського, буд. 32 за кодом ДК 021:2015: 45340000-2 «Зведення огорож, монтаж поручнів і захисних засобів»; опублікований строк до 2026-08-31. Попросити один знеособлений пакет здачі за цим workflow.</x:v>
      </x:c>
      <x:c r="Z1431" s="15" t="str">
        <x:v>https://prozorro.gov.ua/tender/UA-2026-08-19-005773-a</x:v>
      </x:c>
      <x:c r="AA1431" s="14" t="str">
        <x:v>3254612492</x:v>
      </x:c>
      <x:c r="AB1431" s="14" t="str">
        <x:v>2026-08-24</x:v>
      </x:c>
      <x:c r="AC1431" s="14" t="str"/>
      <x:c r="AD1431" s="20" t="str"/>
      <x:c r="AE1431" s="14" t="str"/>
      <x:c r="AF1431" s="14" t="n">
        <x:v>59</x:v>
      </x:c>
      <x:c r="AG1431" s="14" t="str">
        <x:v>I2</x:v>
      </x:c>
      <x:c r="AH1431" s="14" t="n">
        <x:v>2</x:v>
      </x:c>
      <x:c r="AI1431" s="14" t="n">
        <x:v>1</x:v>
      </x:c>
      <x:c r="AJ1431" s="18" t="n">
        <x:v>97500</x:v>
      </x:c>
      <x:c r="AK1431" s="14" t="str">
        <x:v>https://prozorro.gov.ua/tender/UA-2026-08-19-005773-a</x:v>
      </x:c>
      <x:c r="AL1431" s="19" t="n">
        <x:v>46253.403634814815</x:v>
      </x:c>
      <x:c r="AM1431" s="19" t="n">
        <x:v>46265</x:v>
      </x:c>
      <x:c r="AN1431" s="15" t="str">
        <x:v>Резервне живлення</x:v>
      </x:c>
      <x:c r="AO1431" s="15" t="str">
        <x:v>not_found_in_top_search</x:v>
      </x:c>
    </x:row>
    <x:row r="1432">
      <x:c r="A1432" s="14" t="str">
        <x:v>W5-060</x:v>
      </x:c>
      <x:c r="B1432" s="14" t="str">
        <x:v>Prozorro vertical expansion — 24.08</x:v>
      </x:c>
      <x:c r="C1432" s="14" t="str">
        <x:v>ТОВАРИСТВО З ОБМЕЖЕНОЮ ВІДПОВІДАЛЬНІСТЮ "ФРОНТ ПРОГРЕС"</x:v>
      </x:c>
      <x:c r="D1432" s="14" t="str">
        <x:v>Сонячна енергетика</x:v>
      </x:c>
      <x:c r="E1432" s="14" t="str">
        <x:v>Pilot now</x:v>
      </x:c>
      <x:c r="F1432" s="17" t="str">
        <x:v>P2</x:v>
      </x:c>
      <x:c r="G1432" s="14" t="str"/>
      <x:c r="H1432" s="14" t="str">
        <x:v>Пілот зараз — Н.15 discovery subset</x:v>
      </x:c>
      <x:c r="I1432" s="16" t="n">
        <x:v>3</x:v>
      </x:c>
      <x:c r="J1432" s="16" t="n">
        <x:v>5</x:v>
      </x:c>
      <x:c r="K1432" s="16" t="n">
        <x:v>5</x:v>
      </x:c>
      <x:c r="L1432" s="16" t="n">
        <x:v>4</x:v>
      </x:c>
      <x:c r="M1432" s="16" t="n">
        <x:v>5</x:v>
      </x:c>
      <x:c r="N1432" s="16" t="n">
        <x:v>5</x:v>
      </x:c>
      <x:c r="O1432" s="16" t="n">
        <x:v>3</x:v>
      </x:c>
      <x:c r="P1432" s="16" t="n">
        <x:f>IF(COUNT(I1432:O1432)&lt;7,"",I1432*8+J1432*3+K1432*2+L1432*2+M1432*2+N1432*2+O1432)</x:f>
        <x:v>80</x:v>
      </x:c>
      <x:c r="Q1432" s="16" t="n">
        <x:f>IF(COUNT(J1432:O1432)&lt;6,"",J1432*5+K1432*4+M1432*4+L1432*3+N1432*2+O1432*2)</x:f>
        <x:v>93</x:v>
      </x:c>
      <x:c r="R1432" s="14" t="str">
        <x:v>high</x:v>
      </x:c>
      <x:c r="S1432" s="14" t="str">
        <x:v>official_prozorro_award_2024_2026</x:v>
      </x:c>
      <x:c r="T1432" s="14" t="str">
        <x:v>official_prozorro_api</x:v>
      </x:c>
      <x:c r="U1432" s="14" t="str">
        <x:v>Не контактували</x:v>
      </x:c>
      <x:c r="V1432" s="15" t="str">
        <x:v>Персоналізований free-pilot outreach по UA-2026-04-08-006968-a; попросити 1 пакет Н.15</x:v>
      </x:c>
      <x:c r="W1432" s="15" t="str">
        <x:v>Власник / директор; керівник ПТО; відповідальний за договори</x:v>
      </x:c>
      <x:c r="X1432" s="15" t="str">
        <x:v>1 нових підтверджених перемог/договорів у Prozorro на 7 831 362 грн; 0 зі строком виконання не раніше 24.08.2026.</x:v>
      </x:c>
      <x:c r="Y1432" s="15" t="str">
        <x:v>Реконструкція системи електропостачання з встановленням сонячної електростанції на території КУ Сумська СШ №25, м. Суми за адресою: м. Суми, вул. Гарбузівська, 80 (ДК 021:2015, код 45214000-0 «Будівництво освітніх та науково-дослідних закладів»); опублікований строк до 2026-07-31. Попросити один знеособлений пакет здачі за цим workflow.</x:v>
      </x:c>
      <x:c r="Z1432" s="15" t="str">
        <x:v>https://prozorro.gov.ua/tender/UA-2026-04-08-006968-a</x:v>
      </x:c>
      <x:c r="AA1432" s="14" t="str">
        <x:v>45792162</x:v>
      </x:c>
      <x:c r="AB1432" s="14" t="str">
        <x:v>2026-08-24</x:v>
      </x:c>
      <x:c r="AC1432" s="14" t="str"/>
      <x:c r="AD1432" s="20" t="str"/>
      <x:c r="AE1432" s="14" t="str"/>
      <x:c r="AF1432" s="14" t="n">
        <x:v>58</x:v>
      </x:c>
      <x:c r="AG1432" s="14" t="str">
        <x:v>I2</x:v>
      </x:c>
      <x:c r="AH1432" s="14" t="n">
        <x:v>1</x:v>
      </x:c>
      <x:c r="AI1432" s="14" t="n">
        <x:v>0</x:v>
      </x:c>
      <x:c r="AJ1432" s="18" t="n">
        <x:v>7831361.97</x:v>
      </x:c>
      <x:c r="AK1432" s="14" t="str">
        <x:v>https://prozorro.gov.ua/tender/UA-2026-04-08-006968-a</x:v>
      </x:c>
      <x:c r="AL1432" s="19" t="n">
        <x:v>46161.59492314815</x:v>
      </x:c>
      <x:c r="AM1432" s="19" t="n">
        <x:v>46234</x:v>
      </x:c>
      <x:c r="AN1432" s="15" t="str">
        <x:v>Сонячна енергетика</x:v>
      </x:c>
      <x:c r="AO1432" s="15" t="str">
        <x:v>not_found_in_top_search</x:v>
      </x:c>
    </x:row>
    <x:row r="1433">
      <x:c r="A1433" s="14" t="str">
        <x:v>W5-061</x:v>
      </x:c>
      <x:c r="B1433" s="14" t="str">
        <x:v>Prozorro vertical expansion — 24.08</x:v>
      </x:c>
      <x:c r="C1433" s="14" t="str">
        <x:v>ТОВ "ПСВ-ІНЖИНІРИНГ"</x:v>
      </x:c>
      <x:c r="D1433" s="14" t="str">
        <x:v>Накопичення енергії / BESS</x:v>
      </x:c>
      <x:c r="E1433" s="14" t="str">
        <x:v>Expansion discovery</x:v>
      </x:c>
      <x:c r="F1433" s="17" t="str">
        <x:v>D2</x:v>
      </x:c>
      <x:c r="G1433" s="14" t="str"/>
      <x:c r="H1433" s="14" t="str">
        <x:v>Discovery розширення — 2 тижні</x:v>
      </x:c>
      <x:c r="I1433" s="16" t="n">
        <x:v>1</x:v>
      </x:c>
      <x:c r="J1433" s="16" t="n">
        <x:v>5</x:v>
      </x:c>
      <x:c r="K1433" s="16" t="n">
        <x:v>5</x:v>
      </x:c>
      <x:c r="L1433" s="16" t="n">
        <x:v>4</x:v>
      </x:c>
      <x:c r="M1433" s="16" t="n">
        <x:v>5</x:v>
      </x:c>
      <x:c r="N1433" s="16" t="n">
        <x:v>5</x:v>
      </x:c>
      <x:c r="O1433" s="16" t="n">
        <x:v>3</x:v>
      </x:c>
      <x:c r="P1433" s="16" t="n">
        <x:f>IF(COUNT(I1433:O1433)&lt;7,"",I1433*8+J1433*3+K1433*2+L1433*2+M1433*2+N1433*2+O1433)</x:f>
        <x:v>64</x:v>
      </x:c>
      <x:c r="Q1433" s="16" t="n">
        <x:f>IF(COUNT(J1433:O1433)&lt;6,"",J1433*5+K1433*4+M1433*4+L1433*3+N1433*2+O1433*2)</x:f>
        <x:v>93</x:v>
      </x:c>
      <x:c r="R1433" s="14" t="str">
        <x:v>high</x:v>
      </x:c>
      <x:c r="S1433" s="14" t="str">
        <x:v>official_prozorro_award_2024_2026</x:v>
      </x:c>
      <x:c r="T1433" s="14" t="str">
        <x:v>official_prozorro_api</x:v>
      </x:c>
      <x:c r="U1433" s="14" t="str">
        <x:v>Не контактували</x:v>
      </x:c>
      <x:c r="V1433" s="15" t="str">
        <x:v>Workflow-audit outreach по UA-2026-04-24-012291-a; попросити 1 пакет здачі та вимоги проєкту</x:v>
      </x:c>
      <x:c r="W1433" s="15" t="str">
        <x:v>Власник / директор; керівник ПТО; відповідальний за договори</x:v>
      </x:c>
      <x:c r="X1433" s="15" t="str">
        <x:v>1 нових підтверджених перемог/договорів у Prozorro на 5 530 000 грн; 1 зі строком виконання не раніше 24.08.2026.</x:v>
      </x:c>
      <x:c r="Y1433" s="15" t="str">
        <x:v>«Нове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(код ДК 021:2015: 45250000-4 — Будівництво заводів / установок, гірничодобувних і переробних об’єктів та об’єктів нафтогазової інфраструктури); опублікований строк до 2026-08-31. Попросити один знеособлений пакет здачі за цим workflow.</x:v>
      </x:c>
      <x:c r="Z1433" s="15" t="str">
        <x:v>https://prozorro.gov.ua/tender/UA-2026-04-24-012291-a</x:v>
      </x:c>
      <x:c r="AA1433" s="14" t="str">
        <x:v>36984872</x:v>
      </x:c>
      <x:c r="AB1433" s="14" t="str">
        <x:v>2026-08-24</x:v>
      </x:c>
      <x:c r="AC1433" s="14" t="str"/>
      <x:c r="AD1433" s="20" t="str"/>
      <x:c r="AE1433" s="14" t="str"/>
      <x:c r="AF1433" s="14" t="n">
        <x:v>58</x:v>
      </x:c>
      <x:c r="AG1433" s="14" t="str">
        <x:v>I2</x:v>
      </x:c>
      <x:c r="AH1433" s="14" t="n">
        <x:v>1</x:v>
      </x:c>
      <x:c r="AI1433" s="14" t="n">
        <x:v>1</x:v>
      </x:c>
      <x:c r="AJ1433" s="18" t="n">
        <x:v>5530000</x:v>
      </x:c>
      <x:c r="AK1433" s="14" t="str">
        <x:v>https://prozorro.gov.ua/tender/UA-2026-04-24-012291-a</x:v>
      </x:c>
      <x:c r="AL1433" s="19" t="n">
        <x:v>46167.28479981481</x:v>
      </x:c>
      <x:c r="AM1433" s="19" t="n">
        <x:v>46265</x:v>
      </x:c>
      <x:c r="AN1433" s="15" t="str">
        <x:v>Накопичення енергії / BESS</x:v>
      </x:c>
      <x:c r="AO1433" s="15" t="str">
        <x:v>not_found_in_top_search</x:v>
      </x:c>
    </x:row>
    <x:row r="1434">
      <x:c r="A1434" s="14" t="str">
        <x:v>W5-062</x:v>
      </x:c>
      <x:c r="B1434" s="14" t="str">
        <x:v>Prozorro vertical expansion — 24.08</x:v>
      </x:c>
      <x:c r="C1434" s="14" t="str">
        <x:v>ТОВАРИСТВО З ОБМЕЖЕНОЮ ВІДПОВІДАЛЬНІСТЮ "АКТИВОЛЬТ"</x:v>
      </x:c>
      <x:c r="D1434" s="14" t="str">
        <x:v>Промислова автоматизація / SCADA</x:v>
      </x:c>
      <x:c r="E1434" s="14" t="str">
        <x:v>Expansion discovery</x:v>
      </x:c>
      <x:c r="F1434" s="17" t="str">
        <x:v>D2</x:v>
      </x:c>
      <x:c r="G1434" s="14" t="str"/>
      <x:c r="H1434" s="14" t="str">
        <x:v>Discovery розширення — 2 тижні</x:v>
      </x:c>
      <x:c r="I1434" s="16" t="n">
        <x:v>1</x:v>
      </x:c>
      <x:c r="J1434" s="16" t="n">
        <x:v>5</x:v>
      </x:c>
      <x:c r="K1434" s="16" t="n">
        <x:v>5</x:v>
      </x:c>
      <x:c r="L1434" s="16" t="n">
        <x:v>4</x:v>
      </x:c>
      <x:c r="M1434" s="16" t="n">
        <x:v>5</x:v>
      </x:c>
      <x:c r="N1434" s="16" t="n">
        <x:v>5</x:v>
      </x:c>
      <x:c r="O1434" s="16" t="n">
        <x:v>3</x:v>
      </x:c>
      <x:c r="P1434" s="16" t="n">
        <x:f>IF(COUNT(I1434:O1434)&lt;7,"",I1434*8+J1434*3+K1434*2+L1434*2+M1434*2+N1434*2+O1434)</x:f>
        <x:v>64</x:v>
      </x:c>
      <x:c r="Q1434" s="16" t="n">
        <x:f>IF(COUNT(J1434:O1434)&lt;6,"",J1434*5+K1434*4+M1434*4+L1434*3+N1434*2+O1434*2)</x:f>
        <x:v>93</x:v>
      </x:c>
      <x:c r="R1434" s="14" t="str">
        <x:v>high</x:v>
      </x:c>
      <x:c r="S1434" s="14" t="str">
        <x:v>official_prozorro_award_2024_2026</x:v>
      </x:c>
      <x:c r="T1434" s="14" t="str">
        <x:v>official_prozorro_api</x:v>
      </x:c>
      <x:c r="U1434" s="14" t="str">
        <x:v>Не контактували</x:v>
      </x:c>
      <x:c r="V1434" s="15" t="str">
        <x:v>Workflow-audit outreach по UA-2026-05-12-014647-a; попросити 1 пакет здачі та вимоги проєкту</x:v>
      </x:c>
      <x:c r="W1434" s="15" t="str">
        <x:v>Власник / директор; керівник ПТО; відповідальний за договори</x:v>
      </x:c>
      <x:c r="X1434" s="15" t="str">
        <x:v>1 нових підтверджених перемог/договорів у Prozorro на 2 468 688 грн; 1 зі строком виконання не раніше 24.08.2026.</x:v>
      </x:c>
      <x:c r="Y1434" s="15" t="str">
        <x:v>код 45317000-2 за ДК 021:2015 «Інші електромонтажні роботи» (реконструкція ПС «Льонокомбінат». Система телемеханіки та зв’язку); опублікований строк до 2026-12-31. Попросити один знеособлений пакет здачі за цим workflow.</x:v>
      </x:c>
      <x:c r="Z1434" s="15" t="str">
        <x:v>https://prozorro.gov.ua/tender/UA-2026-05-12-014647-a</x:v>
      </x:c>
      <x:c r="AA1434" s="14" t="str">
        <x:v>39044710</x:v>
      </x:c>
      <x:c r="AB1434" s="14" t="str">
        <x:v>2026-08-24</x:v>
      </x:c>
      <x:c r="AC1434" s="14" t="str"/>
      <x:c r="AD1434" s="20" t="str"/>
      <x:c r="AE1434" s="14" t="str"/>
      <x:c r="AF1434" s="14" t="n">
        <x:v>58</x:v>
      </x:c>
      <x:c r="AG1434" s="14" t="str">
        <x:v>I2</x:v>
      </x:c>
      <x:c r="AH1434" s="14" t="n">
        <x:v>1</x:v>
      </x:c>
      <x:c r="AI1434" s="14" t="n">
        <x:v>1</x:v>
      </x:c>
      <x:c r="AJ1434" s="18" t="n">
        <x:v>2468688</x:v>
      </x:c>
      <x:c r="AK1434" s="14" t="str">
        <x:v>https://prozorro.gov.ua/tender/UA-2026-05-12-014647-a</x:v>
      </x:c>
      <x:c r="AL1434" s="19" t="n">
        <x:v>46170.34395568287</x:v>
      </x:c>
      <x:c r="AM1434" s="19" t="n">
        <x:v>46387</x:v>
      </x:c>
      <x:c r="AN1434" s="15" t="str">
        <x:v>Промислова автоматизація / SCADA</x:v>
      </x:c>
      <x:c r="AO1434" s="15" t="str">
        <x:v>not_found_in_top_search</x:v>
      </x:c>
    </x:row>
    <x:row r="1435">
      <x:c r="A1435" s="14" t="str">
        <x:v>W5-063</x:v>
      </x:c>
      <x:c r="B1435" s="14" t="str">
        <x:v>Prozorro vertical expansion — 24.08</x:v>
      </x:c>
      <x:c r="C1435" s="14" t="str">
        <x:v>ТОВ "Будівельно інвестиційна група Атлант"</x:v>
      </x:c>
      <x:c r="D1435" s="14" t="str">
        <x:v>Ремонт і підсилення бетону</x:v>
      </x:c>
      <x:c r="E1435" s="14" t="str">
        <x:v>Expansion discovery</x:v>
      </x:c>
      <x:c r="F1435" s="17" t="str">
        <x:v>D2</x:v>
      </x:c>
      <x:c r="G1435" s="14" t="str"/>
      <x:c r="H1435" s="14" t="str">
        <x:v>Discovery розширення — 2 тижні</x:v>
      </x:c>
      <x:c r="I1435" s="16" t="n">
        <x:v>1</x:v>
      </x:c>
      <x:c r="J1435" s="16" t="n">
        <x:v>5</x:v>
      </x:c>
      <x:c r="K1435" s="16" t="n">
        <x:v>5</x:v>
      </x:c>
      <x:c r="L1435" s="16" t="n">
        <x:v>3</x:v>
      </x:c>
      <x:c r="M1435" s="16" t="n">
        <x:v>5</x:v>
      </x:c>
      <x:c r="N1435" s="16" t="n">
        <x:v>5</x:v>
      </x:c>
      <x:c r="O1435" s="16" t="n">
        <x:v>3</x:v>
      </x:c>
      <x:c r="P1435" s="16" t="n">
        <x:f>IF(COUNT(I1435:O1435)&lt;7,"",I1435*8+J1435*3+K1435*2+L1435*2+M1435*2+N1435*2+O1435)</x:f>
        <x:v>62</x:v>
      </x:c>
      <x:c r="Q1435" s="16" t="n">
        <x:f>IF(COUNT(J1435:O1435)&lt;6,"",J1435*5+K1435*4+M1435*4+L1435*3+N1435*2+O1435*2)</x:f>
        <x:v>90</x:v>
      </x:c>
      <x:c r="R1435" s="14" t="str">
        <x:v>high</x:v>
      </x:c>
      <x:c r="S1435" s="14" t="str">
        <x:v>official_prozorro_award_2024_2026</x:v>
      </x:c>
      <x:c r="T1435" s="14" t="str">
        <x:v>official_prozorro_api</x:v>
      </x:c>
      <x:c r="U1435" s="14" t="str">
        <x:v>Не контактували</x:v>
      </x:c>
      <x:c r="V1435" s="15" t="str">
        <x:v>Workflow-audit outreach по UA-2025-12-19-012753-a; попросити 1 пакет здачі та вимоги проєкту</x:v>
      </x:c>
      <x:c r="W1435" s="15" t="str">
        <x:v>Власник / директор; керівник ПТО; відповідальний за договори</x:v>
      </x:c>
      <x:c r="X1435" s="15" t="str">
        <x:v>3 нових підтверджених перемог/договорів у Prozorro на 1 873 843 грн; 0 зі строком виконання не раніше 24.08.2026.</x:v>
      </x:c>
      <x:c r="Y1435" s="15" t="str">
        <x:v>Капітальний ремонт з підсиленням несучих конструкцій квартири №4 в житловому будинку по вул. Києво-Мироцька, 104 В м. Буча, Київської області - заходи з усунення аварій в багатоквартирному житловому фонді за кодом ДК 021:2015 45450000-6 Інші завершальні будівельні роботи; опублікований строк до 2025-12-31. Попросити один знеособлений пакет здачі за цим workflow.</x:v>
      </x:c>
      <x:c r="Z1435" s="15" t="str">
        <x:v>https://prozorro.gov.ua/tender/UA-2025-12-19-012753-a</x:v>
      </x:c>
      <x:c r="AA1435" s="14" t="str">
        <x:v>42647953</x:v>
      </x:c>
      <x:c r="AB1435" s="14" t="str">
        <x:v>2026-08-24</x:v>
      </x:c>
      <x:c r="AC1435" s="14" t="str"/>
      <x:c r="AD1435" s="20" t="str"/>
      <x:c r="AE1435" s="14" t="str"/>
      <x:c r="AF1435" s="14" t="n">
        <x:v>58</x:v>
      </x:c>
      <x:c r="AG1435" s="14" t="str">
        <x:v>I2</x:v>
      </x:c>
      <x:c r="AH1435" s="14" t="n">
        <x:v>3</x:v>
      </x:c>
      <x:c r="AI1435" s="14" t="n">
        <x:v>0</x:v>
      </x:c>
      <x:c r="AJ1435" s="18" t="n">
        <x:v>1873842.9</x:v>
      </x:c>
      <x:c r="AK1435" s="14" t="str">
        <x:v>https://prozorro.gov.ua/tender/UA-2025-12-19-012753-a</x:v>
      </x:c>
      <x:c r="AL1435" s="19" t="n">
        <x:v>46010.47894555556</x:v>
      </x:c>
      <x:c r="AM1435" s="19" t="n">
        <x:v>46022</x:v>
      </x:c>
      <x:c r="AN1435" s="15" t="str">
        <x:v>Ремонт і підсилення бетону</x:v>
      </x:c>
      <x:c r="AO1435" s="15" t="str">
        <x:v>not_found_in_top_search</x:v>
      </x:c>
    </x:row>
    <x:row r="1436">
      <x:c r="A1436" s="14" t="str">
        <x:v>W5-064</x:v>
      </x:c>
      <x:c r="B1436" s="14" t="str">
        <x:v>Prozorro vertical expansion — 24.08</x:v>
      </x:c>
      <x:c r="C1436" s="14" t="str">
        <x:v>Приватне підприємство "СЛУЖБА БЕЗПЕКИ ШВИДКОГО РЕДАГУВАННЯ-1"</x:v>
      </x:c>
      <x:c r="D1436" s="14" t="str">
        <x:v>Насосні станції</x:v>
      </x:c>
      <x:c r="E1436" s="14" t="str">
        <x:v>Expansion discovery</x:v>
      </x:c>
      <x:c r="F1436" s="17" t="str">
        <x:v>D2</x:v>
      </x:c>
      <x:c r="G1436" s="14" t="str"/>
      <x:c r="H1436" s="14" t="str">
        <x:v>Discovery розширення — 2 тижні</x:v>
      </x:c>
      <x:c r="I1436" s="16" t="n">
        <x:v>1</x:v>
      </x:c>
      <x:c r="J1436" s="16" t="n">
        <x:v>5</x:v>
      </x:c>
      <x:c r="K1436" s="16" t="n">
        <x:v>5</x:v>
      </x:c>
      <x:c r="L1436" s="16" t="n">
        <x:v>3</x:v>
      </x:c>
      <x:c r="M1436" s="16" t="n">
        <x:v>5</x:v>
      </x:c>
      <x:c r="N1436" s="16" t="n">
        <x:v>5</x:v>
      </x:c>
      <x:c r="O1436" s="16" t="n">
        <x:v>3</x:v>
      </x:c>
      <x:c r="P1436" s="16" t="n">
        <x:f>IF(COUNT(I1436:O1436)&lt;7,"",I1436*8+J1436*3+K1436*2+L1436*2+M1436*2+N1436*2+O1436)</x:f>
        <x:v>62</x:v>
      </x:c>
      <x:c r="Q1436" s="16" t="n">
        <x:f>IF(COUNT(J1436:O1436)&lt;6,"",J1436*5+K1436*4+M1436*4+L1436*3+N1436*2+O1436*2)</x:f>
        <x:v>90</x:v>
      </x:c>
      <x:c r="R1436" s="14" t="str">
        <x:v>high</x:v>
      </x:c>
      <x:c r="S1436" s="14" t="str">
        <x:v>official_prozorro_award_2024_2026</x:v>
      </x:c>
      <x:c r="T1436" s="14" t="str">
        <x:v>official_prozorro_api</x:v>
      </x:c>
      <x:c r="U1436" s="14" t="str">
        <x:v>Не контактували</x:v>
      </x:c>
      <x:c r="V1436" s="15" t="str">
        <x:v>Workflow-audit outreach по UA-2025-07-03-000690-a; попросити 1 пакет здачі та вимоги проєкту</x:v>
      </x:c>
      <x:c r="W1436" s="15" t="str">
        <x:v>Власник / директор; керівник ПТО; відповідальний за договори</x:v>
      </x:c>
      <x:c r="X1436" s="15" t="str">
        <x:v>3 нових підтверджених перемог/договорів у Prozorro на 610 428 грн; 0 зі строком виконання не раніше 24.08.2026.</x:v>
      </x:c>
      <x:c r="Y1436" s="15" t="str">
        <x:v>Послуги з охорони майна Комунального підприємства Іванківської селищної ради "Іванківводоканал" на об"єкті незавершеного будівництва "Реконструкція каналізаційної насосної станції з добудовою блоку біологічного доочищення в селище Іванків, Київської області"; опублікований строк до 2025-12-31. Попросити один знеособлений пакет здачі за цим workflow.</x:v>
      </x:c>
      <x:c r="Z1436" s="15" t="str">
        <x:v>https://prozorro.gov.ua/tender/UA-2025-07-03-000690-a</x:v>
      </x:c>
      <x:c r="AA1436" s="14" t="str">
        <x:v>37734609</x:v>
      </x:c>
      <x:c r="AB1436" s="14" t="str">
        <x:v>2026-08-24</x:v>
      </x:c>
      <x:c r="AC1436" s="14" t="str"/>
      <x:c r="AD1436" s="20" t="str"/>
      <x:c r="AE1436" s="14" t="str"/>
      <x:c r="AF1436" s="14" t="n">
        <x:v>58</x:v>
      </x:c>
      <x:c r="AG1436" s="14" t="str">
        <x:v>I2</x:v>
      </x:c>
      <x:c r="AH1436" s="14" t="n">
        <x:v>3</x:v>
      </x:c>
      <x:c r="AI1436" s="14" t="n">
        <x:v>0</x:v>
      </x:c>
      <x:c r="AJ1436" s="18" t="n">
        <x:v>610428</x:v>
      </x:c>
      <x:c r="AK1436" s="14" t="str">
        <x:v>https://prozorro.gov.ua/tender/UA-2025-07-03-000690-a</x:v>
      </x:c>
      <x:c r="AL1436" s="19" t="n">
        <x:v>45841.26266958333</x:v>
      </x:c>
      <x:c r="AM1436" s="19" t="n">
        <x:v>46022.304768518516</x:v>
      </x:c>
      <x:c r="AN1436" s="15" t="str">
        <x:v>Насосні станції</x:v>
      </x:c>
      <x:c r="AO1436" s="15" t="str">
        <x:v>not_found_in_top_search</x:v>
      </x:c>
    </x:row>
    <x:row r="1437">
      <x:c r="A1437" s="14" t="str">
        <x:v>W5-065</x:v>
      </x:c>
      <x:c r="B1437" s="14" t="str">
        <x:v>Prozorro vertical expansion — 24.08</x:v>
      </x:c>
      <x:c r="C1437" s="14" t="str">
        <x:v>ТОВАРИСТВО З ОБМЕЖЕНОЮ ВІДПОВІДАЛЬНІСТЮ "ЕНЕРГОЗБЕРІГАЮЧІ ТЕХНОЛОГІЇ"</x:v>
      </x:c>
      <x:c r="D1437" s="14" t="str">
        <x:v>Насосні станції</x:v>
      </x:c>
      <x:c r="E1437" s="14" t="str">
        <x:v>Expansion discovery</x:v>
      </x:c>
      <x:c r="F1437" s="17" t="str">
        <x:v>D3</x:v>
      </x:c>
      <x:c r="G1437" s="14" t="str">
        <x:v>eneteh.com.ua</x:v>
      </x:c>
      <x:c r="H1437" s="14" t="str">
        <x:v>Discovery розширення — 2 тижні</x:v>
      </x:c>
      <x:c r="I1437" s="16" t="n">
        <x:v>1</x:v>
      </x:c>
      <x:c r="J1437" s="16" t="n">
        <x:v>5</x:v>
      </x:c>
      <x:c r="K1437" s="16" t="n">
        <x:v>5</x:v>
      </x:c>
      <x:c r="L1437" s="16" t="n">
        <x:v>5</x:v>
      </x:c>
      <x:c r="M1437" s="16" t="n">
        <x:v>5</x:v>
      </x:c>
      <x:c r="N1437" s="16" t="n">
        <x:v>5</x:v>
      </x:c>
      <x:c r="O1437" s="16" t="n">
        <x:v>5</x:v>
      </x:c>
      <x:c r="P1437" s="16" t="n">
        <x:f>IF(COUNT(I1437:O1437)&lt;7,"",I1437*8+J1437*3+K1437*2+L1437*2+M1437*2+N1437*2+O1437)</x:f>
        <x:v>68</x:v>
      </x:c>
      <x:c r="Q1437" s="16" t="n">
        <x:f>IF(COUNT(J1437:O1437)&lt;6,"",J1437*5+K1437*4+M1437*4+L1437*3+N1437*2+O1437*2)</x:f>
        <x:v>100</x:v>
      </x:c>
      <x:c r="R1437" s="14" t="str">
        <x:v>high</x:v>
      </x:c>
      <x:c r="S1437" s="14" t="str">
        <x:v>official_prozorro_award_2024_2026</x:v>
      </x:c>
      <x:c r="T1437" s="14" t="str">
        <x:v>official_prozorro_api</x:v>
      </x:c>
      <x:c r="U1437" s="14" t="str">
        <x:v>Не контактували</x:v>
      </x:c>
      <x:c r="V1437" s="15" t="str">
        <x:v>Workflow-audit outreach по UA-2025-12-19-004480-a; попросити 1 пакет здачі та вимоги проєкту</x:v>
      </x:c>
      <x:c r="W1437" s="15" t="str">
        <x:v>Власник / директор; керівник ПТО; відповідальний за договори</x:v>
      </x:c>
      <x:c r="X1437" s="15" t="str">
        <x:v>1 нових підтверджених перемог/договорів у Prozorro на 22 768 066 грн; 1 зі строком виконання не раніше 24.08.2026.</x:v>
      </x:c>
      <x:c r="Y1437" s="15" t="str">
        <x:v>Нове будівництво каналізаційної насосної станції з колектором по вул. Шкільна в с. Білогородка Бучанського району Київської області; опублікований строк до 2026-12-31. Попросити один знеособлений пакет здачі за цим workflow.</x:v>
      </x:c>
      <x:c r="Z1437" s="15" t="str">
        <x:v>https://prozorro.gov.ua/tender/UA-2025-12-19-004480-a</x:v>
      </x:c>
      <x:c r="AA1437" s="14" t="str">
        <x:v>31862999</x:v>
      </x:c>
      <x:c r="AB1437" s="14" t="str">
        <x:v>2026-08-24</x:v>
      </x:c>
      <x:c r="AC1437" s="14" t="str"/>
      <x:c r="AD1437" s="20" t="str"/>
      <x:c r="AE1437" s="14" t="str"/>
      <x:c r="AF1437" s="14" t="n">
        <x:v>57</x:v>
      </x:c>
      <x:c r="AG1437" s="14" t="str">
        <x:v>I3</x:v>
      </x:c>
      <x:c r="AH1437" s="14" t="n">
        <x:v>1</x:v>
      </x:c>
      <x:c r="AI1437" s="14" t="n">
        <x:v>1</x:v>
      </x:c>
      <x:c r="AJ1437" s="18" t="n">
        <x:v>22768066.46</x:v>
      </x:c>
      <x:c r="AK1437" s="14" t="str">
        <x:v>https://prozorro.gov.ua/tender/UA-2025-12-19-004480-a</x:v>
      </x:c>
      <x:c r="AL1437" s="19" t="n">
        <x:v>46055.51526798611</x:v>
      </x:c>
      <x:c r="AM1437" s="19" t="n">
        <x:v>46387</x:v>
      </x:c>
      <x:c r="AN1437" s="15" t="str">
        <x:v>Насосні станції; Зовнішні мережі</x:v>
      </x:c>
      <x:c r="AO1437" s="15" t="str">
        <x:v>supplier_provided_url</x:v>
      </x:c>
    </x:row>
    <x:row r="1438">
      <x:c r="A1438" s="14" t="str">
        <x:v>W5-066</x:v>
      </x:c>
      <x:c r="B1438" s="14" t="str">
        <x:v>Prozorro vertical expansion — 24.08</x:v>
      </x:c>
      <x:c r="C1438" s="14" t="str">
        <x:v>ФОП Суганяк Юрій Олександрович</x:v>
      </x:c>
      <x:c r="D1438" s="14" t="str">
        <x:v>Насосні станції</x:v>
      </x:c>
      <x:c r="E1438" s="14" t="str">
        <x:v>Expansion discovery</x:v>
      </x:c>
      <x:c r="F1438" s="17" t="str">
        <x:v>D3</x:v>
      </x:c>
      <x:c r="G1438" s="14" t="str"/>
      <x:c r="H1438" s="14" t="str">
        <x:v>Discovery розширення — 2 тижні</x:v>
      </x:c>
      <x:c r="I1438" s="16" t="n">
        <x:v>1</x:v>
      </x:c>
      <x:c r="J1438" s="16" t="n">
        <x:v>5</x:v>
      </x:c>
      <x:c r="K1438" s="16" t="n">
        <x:v>5</x:v>
      </x:c>
      <x:c r="L1438" s="16" t="n">
        <x:v>3</x:v>
      </x:c>
      <x:c r="M1438" s="16" t="n">
        <x:v>5</x:v>
      </x:c>
      <x:c r="N1438" s="16" t="n">
        <x:v>3</x:v>
      </x:c>
      <x:c r="O1438" s="16" t="n">
        <x:v>3</x:v>
      </x:c>
      <x:c r="P1438" s="16" t="n">
        <x:f>IF(COUNT(I1438:O1438)&lt;7,"",I1438*8+J1438*3+K1438*2+L1438*2+M1438*2+N1438*2+O1438)</x:f>
        <x:v>58</x:v>
      </x:c>
      <x:c r="Q1438" s="16" t="n">
        <x:f>IF(COUNT(J1438:O1438)&lt;6,"",J1438*5+K1438*4+M1438*4+L1438*3+N1438*2+O1438*2)</x:f>
        <x:v>86</x:v>
      </x:c>
      <x:c r="R1438" s="14" t="str">
        <x:v>high</x:v>
      </x:c>
      <x:c r="S1438" s="14" t="str">
        <x:v>official_prozorro_award_2024_2026</x:v>
      </x:c>
      <x:c r="T1438" s="14" t="str">
        <x:v>official_prozorro_api</x:v>
      </x:c>
      <x:c r="U1438" s="14" t="str">
        <x:v>Не контактували</x:v>
      </x:c>
      <x:c r="V1438" s="15" t="str">
        <x:v>Workflow-audit outreach по UA-2026-08-13-001587-a; попросити 1 пакет здачі та вимоги проєкту</x:v>
      </x:c>
      <x:c r="W1438" s="15" t="str">
        <x:v>Власник / виконавець; відповідальний за договір</x:v>
      </x:c>
      <x:c r="X1438" s="15" t="str">
        <x:v>1 нових підтверджених перемог/договорів у Prozorro на 993 375 грн; 1 зі строком виконання не раніше 24.08.2026.</x:v>
      </x:c>
      <x:c r="Y1438" s="15" t="str">
        <x:v>Капітальний ремонт системи електропостачання каналізаційної насосної станції по вул. Свято-Троїцька, 3 в с. Велика Олександрівка Бориспільського району Київської області; опублікований строк до 2026-12-31. Попросити один знеособлений пакет здачі за цим workflow.</x:v>
      </x:c>
      <x:c r="Z1438" s="15" t="str">
        <x:v>https://prozorro.gov.ua/tender/UA-2026-08-13-001587-a</x:v>
      </x:c>
      <x:c r="AA1438" s="14" t="str">
        <x:v>2530611516</x:v>
      </x:c>
      <x:c r="AB1438" s="14" t="str">
        <x:v>2026-08-24</x:v>
      </x:c>
      <x:c r="AC1438" s="14" t="str"/>
      <x:c r="AD1438" s="20" t="str"/>
      <x:c r="AE1438" s="14" t="str"/>
      <x:c r="AF1438" s="14" t="n">
        <x:v>57</x:v>
      </x:c>
      <x:c r="AG1438" s="14" t="str">
        <x:v>I3</x:v>
      </x:c>
      <x:c r="AH1438" s="14" t="n">
        <x:v>1</x:v>
      </x:c>
      <x:c r="AI1438" s="14" t="n">
        <x:v>1</x:v>
      </x:c>
      <x:c r="AJ1438" s="18" t="n">
        <x:v>993374.95</x:v>
      </x:c>
      <x:c r="AK1438" s="14" t="str">
        <x:v>https://prozorro.gov.ua/tender/UA-2026-08-13-001587-a</x:v>
      </x:c>
      <x:c r="AL1438" s="19" t="n">
        <x:v>46247.29381578704</x:v>
      </x:c>
      <x:c r="AM1438" s="19" t="n">
        <x:v>46387.33495370371</x:v>
      </x:c>
      <x:c r="AN1438" s="15" t="str">
        <x:v>Насосні станції</x:v>
      </x:c>
      <x:c r="AO1438" s="15" t="str">
        <x:v>not_found_in_top_search</x:v>
      </x:c>
    </x:row>
    <x:row r="1439">
      <x:c r="A1439" s="14" t="str">
        <x:v>W5-067</x:v>
      </x:c>
      <x:c r="B1439" s="14" t="str">
        <x:v>Prozorro vertical expansion — 24.08</x:v>
      </x:c>
      <x:c r="C1439" s="14" t="str">
        <x:v>ФОП Мельник Віра Володимирівна</x:v>
      </x:c>
      <x:c r="D1439" s="14" t="str">
        <x:v>Насосні станції</x:v>
      </x:c>
      <x:c r="E1439" s="14" t="str">
        <x:v>Expansion discovery</x:v>
      </x:c>
      <x:c r="F1439" s="17" t="str">
        <x:v>D3</x:v>
      </x:c>
      <x:c r="G1439" s="14" t="str"/>
      <x:c r="H1439" s="14" t="str">
        <x:v>Discovery розширення — 2 тижні</x:v>
      </x:c>
      <x:c r="I1439" s="16" t="n">
        <x:v>1</x:v>
      </x:c>
      <x:c r="J1439" s="16" t="n">
        <x:v>5</x:v>
      </x:c>
      <x:c r="K1439" s="16" t="n">
        <x:v>5</x:v>
      </x:c>
      <x:c r="L1439" s="16" t="n">
        <x:v>3</x:v>
      </x:c>
      <x:c r="M1439" s="16" t="n">
        <x:v>5</x:v>
      </x:c>
      <x:c r="N1439" s="16" t="n">
        <x:v>3</x:v>
      </x:c>
      <x:c r="O1439" s="16" t="n">
        <x:v>3</x:v>
      </x:c>
      <x:c r="P1439" s="16" t="n">
        <x:f>IF(COUNT(I1439:O1439)&lt;7,"",I1439*8+J1439*3+K1439*2+L1439*2+M1439*2+N1439*2+O1439)</x:f>
        <x:v>58</x:v>
      </x:c>
      <x:c r="Q1439" s="16" t="n">
        <x:f>IF(COUNT(J1439:O1439)&lt;6,"",J1439*5+K1439*4+M1439*4+L1439*3+N1439*2+O1439*2)</x:f>
        <x:v>86</x:v>
      </x:c>
      <x:c r="R1439" s="14" t="str">
        <x:v>high</x:v>
      </x:c>
      <x:c r="S1439" s="14" t="str">
        <x:v>official_prozorro_award_2024_2026</x:v>
      </x:c>
      <x:c r="T1439" s="14" t="str">
        <x:v>official_prozorro_api</x:v>
      </x:c>
      <x:c r="U1439" s="14" t="str">
        <x:v>Не контактували</x:v>
      </x:c>
      <x:c r="V1439" s="15" t="str">
        <x:v>Workflow-audit outreach по UA-2026-07-24-005287-a; попросити 1 пакет здачі та вимоги проєкту</x:v>
      </x:c>
      <x:c r="W1439" s="15" t="str">
        <x:v>Власник / виконавець; відповідальний за договір</x:v>
      </x:c>
      <x:c r="X1439" s="15" t="str">
        <x:v>1 нових підтверджених перемог/договорів у Prozorro на 876 422 грн; 1 зі строком виконання не раніше 24.08.2026.</x:v>
      </x:c>
      <x:c r="Y1439" s="15" t="str">
        <x:v>Капітальний ремонт огорожі на території каналізаційної насосної станції по вул. Свято-Троїцька, 3-В в с. Велика Олександрівка Бориспільського району Київської області; опублікований строк до 2026-12-31. Попросити один знеособлений пакет здачі за цим workflow.</x:v>
      </x:c>
      <x:c r="Z1439" s="15" t="str">
        <x:v>https://prozorro.gov.ua/tender/UA-2026-07-24-005287-a</x:v>
      </x:c>
      <x:c r="AA1439" s="14" t="str">
        <x:v>3321810182</x:v>
      </x:c>
      <x:c r="AB1439" s="14" t="str">
        <x:v>2026-08-24</x:v>
      </x:c>
      <x:c r="AC1439" s="14" t="str"/>
      <x:c r="AD1439" s="20" t="str"/>
      <x:c r="AE1439" s="14" t="str"/>
      <x:c r="AF1439" s="14" t="n">
        <x:v>57</x:v>
      </x:c>
      <x:c r="AG1439" s="14" t="str">
        <x:v>I3</x:v>
      </x:c>
      <x:c r="AH1439" s="14" t="n">
        <x:v>1</x:v>
      </x:c>
      <x:c r="AI1439" s="14" t="n">
        <x:v>1</x:v>
      </x:c>
      <x:c r="AJ1439" s="18" t="n">
        <x:v>876422.07</x:v>
      </x:c>
      <x:c r="AK1439" s="14" t="str">
        <x:v>https://prozorro.gov.ua/tender/UA-2026-07-24-005287-a</x:v>
      </x:c>
      <x:c r="AL1439" s="19" t="n">
        <x:v>46227.40881574074</x:v>
      </x:c>
      <x:c r="AM1439" s="19" t="n">
        <x:v>46387.453252314815</x:v>
      </x:c>
      <x:c r="AN1439" s="15" t="str">
        <x:v>Насосні станції</x:v>
      </x:c>
      <x:c r="AO1439" s="15" t="str">
        <x:v>not_found_in_top_search</x:v>
      </x:c>
    </x:row>
    <x:row r="1440">
      <x:c r="A1440" s="14" t="str">
        <x:v>W5-068</x:v>
      </x:c>
      <x:c r="B1440" s="14" t="str">
        <x:v>Prozorro vertical expansion — 24.08</x:v>
      </x:c>
      <x:c r="C1440" s="14" t="str">
        <x:v>ФОП АЛЄЙНІК ДМИТРО АНАТОЛІЙОВИЧ</x:v>
      </x:c>
      <x:c r="D1440" s="14" t="str">
        <x:v>Блискавкозахист / заземлення</x:v>
      </x:c>
      <x:c r="E1440" s="14" t="str">
        <x:v>Pilot now</x:v>
      </x:c>
      <x:c r="F1440" s="17" t="str">
        <x:v>P3</x:v>
      </x:c>
      <x:c r="G1440" s="14" t="str"/>
      <x:c r="H1440" s="14" t="str">
        <x:v>Пілот зараз — Н.15 subset</x:v>
      </x:c>
      <x:c r="I1440" s="16" t="n">
        <x:v>4</x:v>
      </x:c>
      <x:c r="J1440" s="16" t="n">
        <x:v>5</x:v>
      </x:c>
      <x:c r="K1440" s="16" t="n">
        <x:v>5</x:v>
      </x:c>
      <x:c r="L1440" s="16" t="n">
        <x:v>2</x:v>
      </x:c>
      <x:c r="M1440" s="16" t="n">
        <x:v>5</x:v>
      </x:c>
      <x:c r="N1440" s="16" t="n">
        <x:v>3</x:v>
      </x:c>
      <x:c r="O1440" s="16" t="n">
        <x:v>3</x:v>
      </x:c>
      <x:c r="P1440" s="16" t="n">
        <x:f>IF(COUNT(I1440:O1440)&lt;7,"",I1440*8+J1440*3+K1440*2+L1440*2+M1440*2+N1440*2+O1440)</x:f>
        <x:v>80</x:v>
      </x:c>
      <x:c r="Q1440" s="16" t="n">
        <x:f>IF(COUNT(J1440:O1440)&lt;6,"",J1440*5+K1440*4+M1440*4+L1440*3+N1440*2+O1440*2)</x:f>
        <x:v>83</x:v>
      </x:c>
      <x:c r="R1440" s="14" t="str">
        <x:v>high</x:v>
      </x:c>
      <x:c r="S1440" s="14" t="str">
        <x:v>official_prozorro_award_2024_2026</x:v>
      </x:c>
      <x:c r="T1440" s="14" t="str">
        <x:v>official_prozorro_api</x:v>
      </x:c>
      <x:c r="U1440" s="14" t="str">
        <x:v>Не контактували</x:v>
      </x:c>
      <x:c r="V1440" s="15" t="str">
        <x:v>Персоналізований free-pilot outreach по UA-2026-05-04-010406-a; попросити 1 пакет Н.15</x:v>
      </x:c>
      <x:c r="W1440" s="15" t="str">
        <x:v>Власник / виконавець; відповідальний за договір</x:v>
      </x:c>
      <x:c r="X1440" s="15" t="str">
        <x:v>2 нових підтверджених перемог/договорів у Prozorro на 197 063 грн; 2 зі строком виконання не раніше 24.08.2026.</x:v>
      </x:c>
      <x:c r="Y1440" s="15" t="str">
        <x:v>Послуги з монтажу системи блискавкозахисту нежитлової будівлі з п/підвалом літ. "А-2" за адресою: Харківська область, Ізюмський район, м.Балаклія, площа Чернігівця Якова, будинок 2; опублікований строк до 2026-12-31. Попросити один знеособлений пакет здачі за цим workflow.</x:v>
      </x:c>
      <x:c r="Z1440" s="15" t="str">
        <x:v>https://prozorro.gov.ua/tender/UA-2026-05-04-010406-a</x:v>
      </x:c>
      <x:c r="AA1440" s="14" t="str">
        <x:v>2849708873</x:v>
      </x:c>
      <x:c r="AB1440" s="14" t="str">
        <x:v>2026-08-24</x:v>
      </x:c>
      <x:c r="AC1440" s="14" t="str"/>
      <x:c r="AD1440" s="20" t="str"/>
      <x:c r="AE1440" s="14" t="str"/>
      <x:c r="AF1440" s="14" t="n">
        <x:v>57</x:v>
      </x:c>
      <x:c r="AG1440" s="14" t="str">
        <x:v>I3</x:v>
      </x:c>
      <x:c r="AH1440" s="14" t="n">
        <x:v>2</x:v>
      </x:c>
      <x:c r="AI1440" s="14" t="n">
        <x:v>2</x:v>
      </x:c>
      <x:c r="AJ1440" s="18" t="n">
        <x:v>197062.54</x:v>
      </x:c>
      <x:c r="AK1440" s="14" t="str">
        <x:v>https://prozorro.gov.ua/tender/UA-2026-05-04-010406-a</x:v>
      </x:c>
      <x:c r="AL1440" s="19" t="n">
        <x:v>46146.5231218287</x:v>
      </x:c>
      <x:c r="AM1440" s="19" t="n">
        <x:v>46387</x:v>
      </x:c>
      <x:c r="AN1440" s="15" t="str">
        <x:v>Блискавкозахист / заземлення</x:v>
      </x:c>
      <x:c r="AO1440" s="15" t="str">
        <x:v>not_found_in_top_search</x:v>
      </x:c>
    </x:row>
    <x:row r="1441">
      <x:c r="A1441" s="14" t="str">
        <x:v>W5-069</x:v>
      </x:c>
      <x:c r="B1441" s="14" t="str">
        <x:v>Prozorro vertical expansion — 24.08</x:v>
      </x:c>
      <x:c r="C1441" s="14" t="str">
        <x:v>ТОВАРИСТВО З ОБМЕЖЕНОЮ ВІДПОВІДАЛЬНІСТЮ "ДОРОЖНІ МАШИНИ"</x:v>
      </x:c>
      <x:c r="D1441" s="14" t="str">
        <x:v>Насосні станції</x:v>
      </x:c>
      <x:c r="E1441" s="14" t="str">
        <x:v>Expansion discovery</x:v>
      </x:c>
      <x:c r="F1441" s="17" t="str">
        <x:v>D3</x:v>
      </x:c>
      <x:c r="G1441" s="14" t="str"/>
      <x:c r="H1441" s="14" t="str">
        <x:v>Discovery розширення — 2 тижні</x:v>
      </x:c>
      <x:c r="I1441" s="16" t="n">
        <x:v>1</x:v>
      </x:c>
      <x:c r="J1441" s="16" t="n">
        <x:v>5</x:v>
      </x:c>
      <x:c r="K1441" s="16" t="n">
        <x:v>5</x:v>
      </x:c>
      <x:c r="L1441" s="16" t="n">
        <x:v>5</x:v>
      </x:c>
      <x:c r="M1441" s="16" t="n">
        <x:v>5</x:v>
      </x:c>
      <x:c r="N1441" s="16" t="n">
        <x:v>5</x:v>
      </x:c>
      <x:c r="O1441" s="16" t="n">
        <x:v>3</x:v>
      </x:c>
      <x:c r="P1441" s="16" t="n">
        <x:f>IF(COUNT(I1441:O1441)&lt;7,"",I1441*8+J1441*3+K1441*2+L1441*2+M1441*2+N1441*2+O1441)</x:f>
        <x:v>66</x:v>
      </x:c>
      <x:c r="Q1441" s="16" t="n">
        <x:f>IF(COUNT(J1441:O1441)&lt;6,"",J1441*5+K1441*4+M1441*4+L1441*3+N1441*2+O1441*2)</x:f>
        <x:v>96</x:v>
      </x:c>
      <x:c r="R1441" s="14" t="str">
        <x:v>high</x:v>
      </x:c>
      <x:c r="S1441" s="14" t="str">
        <x:v>official_prozorro_award_2024_2026</x:v>
      </x:c>
      <x:c r="T1441" s="14" t="str">
        <x:v>official_prozorro_api</x:v>
      </x:c>
      <x:c r="U1441" s="14" t="str">
        <x:v>Не контактували</x:v>
      </x:c>
      <x:c r="V1441" s="15" t="str">
        <x:v>Workflow-audit outreach по UA-2025-11-14-003516-a; попросити 1 пакет здачі та вимоги проєкту</x:v>
      </x:c>
      <x:c r="W1441" s="15" t="str">
        <x:v>Власник / директор; керівник ПТО; відповідальний за договори</x:v>
      </x:c>
      <x:c r="X1441" s="15" t="str">
        <x:v>2 нових підтверджених перемог/договорів у Prozorro на 38 195 000 грн; 2 зі строком виконання не раніше 24.08.2026.</x:v>
      </x:c>
      <x:c r="Y1441" s="15" t="str">
        <x:v>Нове будівництво каналізаційної насосної станції та насосної станції водопостачання Вінницького індустріального парку по вул. Немирівське шосе, 213 в м. Вінниця (коригування)
; опублікований строк до 2026-09-30. Попросити один знеособлений пакет здачі за цим workflow.</x:v>
      </x:c>
      <x:c r="Z1441" s="15" t="str">
        <x:v>https://prozorro.gov.ua/tender/UA-2025-11-14-003516-a</x:v>
      </x:c>
      <x:c r="AA1441" s="14" t="str">
        <x:v>41134310</x:v>
      </x:c>
      <x:c r="AB1441" s="14" t="str">
        <x:v>2026-08-24</x:v>
      </x:c>
      <x:c r="AC1441" s="14" t="str"/>
      <x:c r="AD1441" s="20" t="str"/>
      <x:c r="AE1441" s="14" t="str"/>
      <x:c r="AF1441" s="14" t="n">
        <x:v>56</x:v>
      </x:c>
      <x:c r="AG1441" s="14" t="str">
        <x:v>I3</x:v>
      </x:c>
      <x:c r="AH1441" s="14" t="n">
        <x:v>2</x:v>
      </x:c>
      <x:c r="AI1441" s="14" t="n">
        <x:v>2</x:v>
      </x:c>
      <x:c r="AJ1441" s="18" t="n">
        <x:v>38194999.99</x:v>
      </x:c>
      <x:c r="AK1441" s="14" t="str">
        <x:v>https://prozorro.gov.ua/tender/UA-2025-11-14-003516-a</x:v>
      </x:c>
      <x:c r="AL1441" s="19" t="n">
        <x:v>45999.646362685184</x:v>
      </x:c>
      <x:c r="AM1441" s="19" t="n">
        <x:v>46295</x:v>
      </x:c>
      <x:c r="AN1441" s="15" t="str">
        <x:v>Насосні станції</x:v>
      </x:c>
      <x:c r="AO1441" s="15" t="str">
        <x:v>not_found_in_top_search</x:v>
      </x:c>
    </x:row>
    <x:row r="1442">
      <x:c r="A1442" s="14" t="str">
        <x:v>W5-070</x:v>
      </x:c>
      <x:c r="B1442" s="14" t="str">
        <x:v>Prozorro vertical expansion — 24.08</x:v>
      </x:c>
      <x:c r="C1442" s="14" t="str">
        <x:v>ПРИВАТНА РЕМОНТНО-БУДІВЕЛЬНА ФІРМА "КОМУНАЛЬНИК"</x:v>
      </x:c>
      <x:c r="D1442" s="14" t="str">
        <x:v>Чисті приміщення</x:v>
      </x:c>
      <x:c r="E1442" s="14" t="str">
        <x:v>Expansion discovery</x:v>
      </x:c>
      <x:c r="F1442" s="17" t="str">
        <x:v>D3</x:v>
      </x:c>
      <x:c r="G1442" s="14" t="str"/>
      <x:c r="H1442" s="14" t="str">
        <x:v>Discovery розширення — 2 тижні</x:v>
      </x:c>
      <x:c r="I1442" s="16" t="n">
        <x:v>1</x:v>
      </x:c>
      <x:c r="J1442" s="16" t="n">
        <x:v>5</x:v>
      </x:c>
      <x:c r="K1442" s="16" t="n">
        <x:v>5</x:v>
      </x:c>
      <x:c r="L1442" s="16" t="n">
        <x:v>5</x:v>
      </x:c>
      <x:c r="M1442" s="16" t="n">
        <x:v>5</x:v>
      </x:c>
      <x:c r="N1442" s="16" t="n">
        <x:v>5</x:v>
      </x:c>
      <x:c r="O1442" s="16" t="n">
        <x:v>3</x:v>
      </x:c>
      <x:c r="P1442" s="16" t="n">
        <x:f>IF(COUNT(I1442:O1442)&lt;7,"",I1442*8+J1442*3+K1442*2+L1442*2+M1442*2+N1442*2+O1442)</x:f>
        <x:v>66</x:v>
      </x:c>
      <x:c r="Q1442" s="16" t="n">
        <x:f>IF(COUNT(J1442:O1442)&lt;6,"",J1442*5+K1442*4+M1442*4+L1442*3+N1442*2+O1442*2)</x:f>
        <x:v>96</x:v>
      </x:c>
      <x:c r="R1442" s="14" t="str">
        <x:v>high</x:v>
      </x:c>
      <x:c r="S1442" s="14" t="str">
        <x:v>official_prozorro_award_2024_2026</x:v>
      </x:c>
      <x:c r="T1442" s="14" t="str">
        <x:v>official_prozorro_api</x:v>
      </x:c>
      <x:c r="U1442" s="14" t="str">
        <x:v>Не контактували</x:v>
      </x:c>
      <x:c r="V1442" s="15" t="str">
        <x:v>Workflow-audit outreach по UA-2025-11-26-011271-a; попросити 1 пакет здачі та вимоги проєкту</x:v>
      </x:c>
      <x:c r="W1442" s="15" t="str">
        <x:v>Власник / директор; керівник ПТО; відповідальний за договори</x:v>
      </x:c>
      <x:c r="X1442" s="15" t="str">
        <x:v>2 нових підтверджених перемог/договорів у Prozorro на 27 222 092 грн; 0 зі строком виконання не раніше 24.08.2026.</x:v>
      </x:c>
      <x:c r="Y1442" s="15" t="str">
        <x:v>«Реконструкція операційного блоку хірургічного корпусу КП «Лікарня № 2 ім. В.П. Павлусенка» ЖМР за адресою: м. Житомир, 
вул. Р. Шухевича, 2а (коригування)» (CPV ДК 021:2015:45200000-9 Роботи, пов’язані з об’єктами завершеного чи незавершеного будівництва та об’єктів цивільного будівництва); опублікований строк до 2025-12-31. Попросити один знеособлений пакет здачі за цим workflow.</x:v>
      </x:c>
      <x:c r="Z1442" s="15" t="str">
        <x:v>https://prozorro.gov.ua/tender/UA-2025-11-26-011271-a</x:v>
      </x:c>
      <x:c r="AA1442" s="14" t="str">
        <x:v>20425612</x:v>
      </x:c>
      <x:c r="AB1442" s="14" t="str">
        <x:v>2026-08-24</x:v>
      </x:c>
      <x:c r="AC1442" s="14" t="str"/>
      <x:c r="AD1442" s="20" t="str"/>
      <x:c r="AE1442" s="14" t="str"/>
      <x:c r="AF1442" s="14" t="n">
        <x:v>56</x:v>
      </x:c>
      <x:c r="AG1442" s="14" t="str">
        <x:v>I3</x:v>
      </x:c>
      <x:c r="AH1442" s="14" t="n">
        <x:v>2</x:v>
      </x:c>
      <x:c r="AI1442" s="14" t="n">
        <x:v>0</x:v>
      </x:c>
      <x:c r="AJ1442" s="18" t="n">
        <x:v>27222092.48</x:v>
      </x:c>
      <x:c r="AK1442" s="14" t="str">
        <x:v>https://prozorro.gov.ua/tender/UA-2025-11-26-011271-a</x:v>
      </x:c>
      <x:c r="AL1442" s="19" t="n">
        <x:v>45987.515388796295</x:v>
      </x:c>
      <x:c r="AM1442" s="19" t="n">
        <x:v>46022</x:v>
      </x:c>
      <x:c r="AN1442" s="15" t="str">
        <x:v>Чисті приміщення</x:v>
      </x:c>
      <x:c r="AO1442" s="15" t="str">
        <x:v>not_found_in_top_search</x:v>
      </x:c>
    </x:row>
    <x:row r="1443">
      <x:c r="A1443" s="14" t="str">
        <x:v>W5-071</x:v>
      </x:c>
      <x:c r="B1443" s="14" t="str">
        <x:v>Prozorro vertical expansion — 24.08</x:v>
      </x:c>
      <x:c r="C1443" s="14" t="str">
        <x:v>ТОВАРИСТВО З ОБМЕЖЕНОЮ ВІДПОВІДАЛЬНІСТЮ «ЗЕЛЕНИЙ БОСС БУД»</x:v>
      </x:c>
      <x:c r="D1443" s="14" t="str">
        <x:v>Ремонт і підсилення бетону</x:v>
      </x:c>
      <x:c r="E1443" s="14" t="str">
        <x:v>Expansion discovery</x:v>
      </x:c>
      <x:c r="F1443" s="17" t="str">
        <x:v>D3</x:v>
      </x:c>
      <x:c r="G1443" s="14" t="str"/>
      <x:c r="H1443" s="14" t="str">
        <x:v>Discovery розширення — 2 тижні</x:v>
      </x:c>
      <x:c r="I1443" s="16" t="n">
        <x:v>1</x:v>
      </x:c>
      <x:c r="J1443" s="16" t="n">
        <x:v>5</x:v>
      </x:c>
      <x:c r="K1443" s="16" t="n">
        <x:v>5</x:v>
      </x:c>
      <x:c r="L1443" s="16" t="n">
        <x:v>5</x:v>
      </x:c>
      <x:c r="M1443" s="16" t="n">
        <x:v>5</x:v>
      </x:c>
      <x:c r="N1443" s="16" t="n">
        <x:v>5</x:v>
      </x:c>
      <x:c r="O1443" s="16" t="n">
        <x:v>3</x:v>
      </x:c>
      <x:c r="P1443" s="16" t="n">
        <x:f>IF(COUNT(I1443:O1443)&lt;7,"",I1443*8+J1443*3+K1443*2+L1443*2+M1443*2+N1443*2+O1443)</x:f>
        <x:v>66</x:v>
      </x:c>
      <x:c r="Q1443" s="16" t="n">
        <x:f>IF(COUNT(J1443:O1443)&lt;6,"",J1443*5+K1443*4+M1443*4+L1443*3+N1443*2+O1443*2)</x:f>
        <x:v>96</x:v>
      </x:c>
      <x:c r="R1443" s="14" t="str">
        <x:v>high</x:v>
      </x:c>
      <x:c r="S1443" s="14" t="str">
        <x:v>official_prozorro_award_2024_2026</x:v>
      </x:c>
      <x:c r="T1443" s="14" t="str">
        <x:v>official_prozorro_api</x:v>
      </x:c>
      <x:c r="U1443" s="14" t="str">
        <x:v>Не контактували</x:v>
      </x:c>
      <x:c r="V1443" s="15" t="str">
        <x:v>Workflow-audit outreach по UA-2025-06-02-012296-a; попросити 1 пакет здачі та вимоги проєкту</x:v>
      </x:c>
      <x:c r="W1443" s="15" t="str">
        <x:v>Власник / директор; керівник ПТО; відповідальний за договори</x:v>
      </x:c>
      <x:c r="X1443" s="15" t="str">
        <x:v>2 нових підтверджених перемог/договорів у Prozorro на 19 156 154 грн; 0 зі строком виконання не раніше 24.08.2026.</x:v>
      </x:c>
      <x:c r="Y1443" s="15" t="str">
        <x:v>«Капітальний ремонт харчоблоку з підсиленням несучих конструкцій в будівлі Білогородського академічного ліцею №2 Білогородської сільської ради Бучанського району Київської області за адресою: Київська обл., Бучанський р-н, село Білогородка, вул. Володимирська, будинок 96 (додаткові роботи)» (код ДК 021:2015: 45000000-7 Будівельні роботи та поточний ремонт); опублікований строк до 2025-06-15. Попросити один знеособлений пакет здачі за цим workflow.</x:v>
      </x:c>
      <x:c r="Z1443" s="15" t="str">
        <x:v>https://prozorro.gov.ua/tender/UA-2025-06-02-012296-a</x:v>
      </x:c>
      <x:c r="AA1443" s="14" t="str">
        <x:v>40648494</x:v>
      </x:c>
      <x:c r="AB1443" s="14" t="str">
        <x:v>2026-08-24</x:v>
      </x:c>
      <x:c r="AC1443" s="14" t="str"/>
      <x:c r="AD1443" s="20" t="str"/>
      <x:c r="AE1443" s="14" t="str"/>
      <x:c r="AF1443" s="14" t="n">
        <x:v>56</x:v>
      </x:c>
      <x:c r="AG1443" s="14" t="str">
        <x:v>I3</x:v>
      </x:c>
      <x:c r="AH1443" s="14" t="n">
        <x:v>2</x:v>
      </x:c>
      <x:c r="AI1443" s="14" t="n">
        <x:v>0</x:v>
      </x:c>
      <x:c r="AJ1443" s="18" t="n">
        <x:v>19156153.77</x:v>
      </x:c>
      <x:c r="AK1443" s="14" t="str">
        <x:v>https://prozorro.gov.ua/tender/UA-2025-06-02-012296-a</x:v>
      </x:c>
      <x:c r="AL1443" s="19" t="n">
        <x:v>45810.58274423611</x:v>
      </x:c>
      <x:c r="AM1443" s="19" t="n">
        <x:v>45823.584861111114</x:v>
      </x:c>
      <x:c r="AN1443" s="15" t="str">
        <x:v>Ремонт і підсилення бетону</x:v>
      </x:c>
      <x:c r="AO1443" s="15" t="str">
        <x:v>not_found_in_top_search</x:v>
      </x:c>
    </x:row>
    <x:row r="1444">
      <x:c r="A1444" s="14" t="str">
        <x:v>W5-072</x:v>
      </x:c>
      <x:c r="B1444" s="14" t="str">
        <x:v>Prozorro vertical expansion — 24.08</x:v>
      </x:c>
      <x:c r="C1444" s="14" t="str">
        <x:v>ТОВАРИСТВО З ОБМЕЖЕНОЮ ВІДПОВІДАЛЬНІСТЮ "СМАРТ БУД СОЛЮШНС"</x:v>
      </x:c>
      <x:c r="D1444" s="14" t="str">
        <x:v>Стиснене повітря / компресорні</x:v>
      </x:c>
      <x:c r="E1444" s="14" t="str">
        <x:v>Expansion discovery</x:v>
      </x:c>
      <x:c r="F1444" s="17" t="str">
        <x:v>D3</x:v>
      </x:c>
      <x:c r="G1444" s="14" t="str"/>
      <x:c r="H1444" s="14" t="str">
        <x:v>Discovery розширення — 2 тижні</x:v>
      </x:c>
      <x:c r="I1444" s="16" t="n">
        <x:v>1</x:v>
      </x:c>
      <x:c r="J1444" s="16" t="n">
        <x:v>5</x:v>
      </x:c>
      <x:c r="K1444" s="16" t="n">
        <x:v>5</x:v>
      </x:c>
      <x:c r="L1444" s="16" t="n">
        <x:v>5</x:v>
      </x:c>
      <x:c r="M1444" s="16" t="n">
        <x:v>5</x:v>
      </x:c>
      <x:c r="N1444" s="16" t="n">
        <x:v>5</x:v>
      </x:c>
      <x:c r="O1444" s="16" t="n">
        <x:v>3</x:v>
      </x:c>
      <x:c r="P1444" s="16" t="n">
        <x:f>IF(COUNT(I1444:O1444)&lt;7,"",I1444*8+J1444*3+K1444*2+L1444*2+M1444*2+N1444*2+O1444)</x:f>
        <x:v>66</x:v>
      </x:c>
      <x:c r="Q1444" s="16" t="n">
        <x:f>IF(COUNT(J1444:O1444)&lt;6,"",J1444*5+K1444*4+M1444*4+L1444*3+N1444*2+O1444*2)</x:f>
        <x:v>96</x:v>
      </x:c>
      <x:c r="R1444" s="14" t="str">
        <x:v>high</x:v>
      </x:c>
      <x:c r="S1444" s="14" t="str">
        <x:v>official_prozorro_award_2024_2026</x:v>
      </x:c>
      <x:c r="T1444" s="14" t="str">
        <x:v>official_prozorro_api</x:v>
      </x:c>
      <x:c r="U1444" s="14" t="str">
        <x:v>Не контактували</x:v>
      </x:c>
      <x:c r="V1444" s="15" t="str">
        <x:v>Workflow-audit outreach по UA-2025-12-01-001755-a; попросити 1 пакет здачі та вимоги проєкту</x:v>
      </x:c>
      <x:c r="W1444" s="15" t="str">
        <x:v>Власник / директор; керівник ПТО; відповідальний за договори</x:v>
      </x:c>
      <x:c r="X1444" s="15" t="str">
        <x:v>2 нових підтверджених перемог/договорів у Prozorro на 18 790 011 грн; 0 зі строком виконання не раніше 24.08.2026.</x:v>
      </x:c>
      <x:c r="Y1444" s="15" t="str">
        <x:v>Реконструкція підстанції 35/6 кВ компресорної станції «Долина» (додаткові роботи) (Будівельні роботи та поточний ремонт); опублікований строк до 2025-12-31. Попросити один знеособлений пакет здачі за цим workflow.</x:v>
      </x:c>
      <x:c r="Z1444" s="15" t="str">
        <x:v>https://prozorro.gov.ua/tender/UA-2025-12-01-001755-a</x:v>
      </x:c>
      <x:c r="AA1444" s="14" t="str">
        <x:v>42785388</x:v>
      </x:c>
      <x:c r="AB1444" s="14" t="str">
        <x:v>2026-08-24</x:v>
      </x:c>
      <x:c r="AC1444" s="14" t="str"/>
      <x:c r="AD1444" s="20" t="str"/>
      <x:c r="AE1444" s="14" t="str"/>
      <x:c r="AF1444" s="14" t="n">
        <x:v>56</x:v>
      </x:c>
      <x:c r="AG1444" s="14" t="str">
        <x:v>I3</x:v>
      </x:c>
      <x:c r="AH1444" s="14" t="n">
        <x:v>2</x:v>
      </x:c>
      <x:c r="AI1444" s="14" t="n">
        <x:v>0</x:v>
      </x:c>
      <x:c r="AJ1444" s="18" t="n">
        <x:v>18790010.6</x:v>
      </x:c>
      <x:c r="AK1444" s="14" t="str">
        <x:v>https://prozorro.gov.ua/tender/UA-2025-12-01-001755-a</x:v>
      </x:c>
      <x:c r="AL1444" s="19" t="n">
        <x:v>45992.331369733794</x:v>
      </x:c>
      <x:c r="AM1444" s="19" t="n">
        <x:v>46022</x:v>
      </x:c>
      <x:c r="AN1444" s="15" t="str">
        <x:v>Стиснене повітря / компресорні</x:v>
      </x:c>
      <x:c r="AO1444" s="15" t="str">
        <x:v>not_found_in_top_search</x:v>
      </x:c>
    </x:row>
    <x:row r="1445">
      <x:c r="A1445" s="14" t="str">
        <x:v>W5-073</x:v>
      </x:c>
      <x:c r="B1445" s="14" t="str">
        <x:v>Prozorro vertical expansion — 24.08</x:v>
      </x:c>
      <x:c r="C1445" s="14" t="str">
        <x:v>ТОВ Сек'юріті Хаб</x:v>
      </x:c>
      <x:c r="D1445" s="14" t="str">
        <x:v>ЦОД / серверні</x:v>
      </x:c>
      <x:c r="E1445" s="14" t="str">
        <x:v>Expansion discovery</x:v>
      </x:c>
      <x:c r="F1445" s="17" t="str">
        <x:v>D3</x:v>
      </x:c>
      <x:c r="G1445" s="14" t="str">
        <x:v>security-hub.com.ua</x:v>
      </x:c>
      <x:c r="H1445" s="14" t="str">
        <x:v>Discovery розширення — 2 тижні</x:v>
      </x:c>
      <x:c r="I1445" s="16" t="n">
        <x:v>1</x:v>
      </x:c>
      <x:c r="J1445" s="16" t="n">
        <x:v>5</x:v>
      </x:c>
      <x:c r="K1445" s="16" t="n">
        <x:v>5</x:v>
      </x:c>
      <x:c r="L1445" s="16" t="n">
        <x:v>5</x:v>
      </x:c>
      <x:c r="M1445" s="16" t="n">
        <x:v>5</x:v>
      </x:c>
      <x:c r="N1445" s="16" t="n">
        <x:v>5</x:v>
      </x:c>
      <x:c r="O1445" s="16" t="n">
        <x:v>5</x:v>
      </x:c>
      <x:c r="P1445" s="16" t="n">
        <x:f>IF(COUNT(I1445:O1445)&lt;7,"",I1445*8+J1445*3+K1445*2+L1445*2+M1445*2+N1445*2+O1445)</x:f>
        <x:v>68</x:v>
      </x:c>
      <x:c r="Q1445" s="16" t="n">
        <x:f>IF(COUNT(J1445:O1445)&lt;6,"",J1445*5+K1445*4+M1445*4+L1445*3+N1445*2+O1445*2)</x:f>
        <x:v>100</x:v>
      </x:c>
      <x:c r="R1445" s="14" t="str">
        <x:v>high</x:v>
      </x:c>
      <x:c r="S1445" s="14" t="str">
        <x:v>official_prozorro_award_2024_2026</x:v>
      </x:c>
      <x:c r="T1445" s="14" t="str">
        <x:v>official_prozorro_api</x:v>
      </x:c>
      <x:c r="U1445" s="14" t="str">
        <x:v>Не контактували</x:v>
      </x:c>
      <x:c r="V1445" s="15" t="str">
        <x:v>Workflow-audit outreach по UA-2025-11-14-005479-a; попросити 1 пакет здачі та вимоги проєкту</x:v>
      </x:c>
      <x:c r="W1445" s="15" t="str">
        <x:v>Власник / директор; керівник ПТО; відповідальний за договори</x:v>
      </x:c>
      <x:c r="X1445" s="15" t="str">
        <x:v>2 нових підтверджених перемог/договорів у Prozorro на 16 283 632 грн; 0 зі строком виконання не раніше 24.08.2026.</x:v>
      </x:c>
      <x:c r="Y1445" s="15" t="str">
        <x:v>Будівництво системи відеоспостереження м.Чернігів: Ділянка 15. Центр обробки даних в будівлі ГУНП в Чернігівській області по проспекту Перемоги 74 у м. Чернігові  (ДК 021:2015-45310000-3 Електромонтажні роботи); опублікований строк до 2025-12-20. Попросити один знеособлений пакет здачі за цим workflow.</x:v>
      </x:c>
      <x:c r="Z1445" s="15" t="str">
        <x:v>https://prozorro.gov.ua/tender/UA-2025-11-14-005479-a</x:v>
      </x:c>
      <x:c r="AA1445" s="14" t="str">
        <x:v>42702249</x:v>
      </x:c>
      <x:c r="AB1445" s="14" t="str">
        <x:v>2026-08-24</x:v>
      </x:c>
      <x:c r="AC1445" s="14" t="str"/>
      <x:c r="AD1445" s="20" t="str"/>
      <x:c r="AE1445" s="14" t="str"/>
      <x:c r="AF1445" s="14" t="n">
        <x:v>56</x:v>
      </x:c>
      <x:c r="AG1445" s="14" t="str">
        <x:v>I3</x:v>
      </x:c>
      <x:c r="AH1445" s="14" t="n">
        <x:v>2</x:v>
      </x:c>
      <x:c r="AI1445" s="14" t="n">
        <x:v>0</x:v>
      </x:c>
      <x:c r="AJ1445" s="18" t="n">
        <x:v>16283631.77</x:v>
      </x:c>
      <x:c r="AK1445" s="14" t="str">
        <x:v>https://prozorro.gov.ua/tender/UA-2025-11-14-005479-a</x:v>
      </x:c>
      <x:c r="AL1445" s="19" t="n">
        <x:v>45993.33648604167</x:v>
      </x:c>
      <x:c r="AM1445" s="19" t="n">
        <x:v>46011.4044212963</x:v>
      </x:c>
      <x:c r="AN1445" s="15" t="str">
        <x:v>ЦОД / серверні</x:v>
      </x:c>
      <x:c r="AO1445" s="15" t="str">
        <x:v>supplier_provided_url</x:v>
      </x:c>
    </x:row>
    <x:row r="1446">
      <x:c r="A1446" s="14" t="str">
        <x:v>W5-074</x:v>
      </x:c>
      <x:c r="B1446" s="14" t="str">
        <x:v>Prozorro vertical expansion — 24.08</x:v>
      </x:c>
      <x:c r="C1446" s="14" t="str">
        <x:v>ТОВАРИСТВО З ОБМЕЖЕНОЮ ВІДПОВІДАЛЬНІСТЮ "СХІДТРАНСБУД"</x:v>
      </x:c>
      <x:c r="D1446" s="14" t="str">
        <x:v>Залізнична інфраструктура</x:v>
      </x:c>
      <x:c r="E1446" s="14" t="str">
        <x:v>Expansion discovery</x:v>
      </x:c>
      <x:c r="F1446" s="17" t="str">
        <x:v>D3</x:v>
      </x:c>
      <x:c r="G1446" s="14" t="str"/>
      <x:c r="H1446" s="14" t="str">
        <x:v>Discovery розширення — 2 тижні</x:v>
      </x:c>
      <x:c r="I1446" s="16" t="n">
        <x:v>1</x:v>
      </x:c>
      <x:c r="J1446" s="16" t="n">
        <x:v>5</x:v>
      </x:c>
      <x:c r="K1446" s="16" t="n">
        <x:v>5</x:v>
      </x:c>
      <x:c r="L1446" s="16" t="n">
        <x:v>5</x:v>
      </x:c>
      <x:c r="M1446" s="16" t="n">
        <x:v>5</x:v>
      </x:c>
      <x:c r="N1446" s="16" t="n">
        <x:v>5</x:v>
      </x:c>
      <x:c r="O1446" s="16" t="n">
        <x:v>3</x:v>
      </x:c>
      <x:c r="P1446" s="16" t="n">
        <x:f>IF(COUNT(I1446:O1446)&lt;7,"",I1446*8+J1446*3+K1446*2+L1446*2+M1446*2+N1446*2+O1446)</x:f>
        <x:v>66</x:v>
      </x:c>
      <x:c r="Q1446" s="16" t="n">
        <x:f>IF(COUNT(J1446:O1446)&lt;6,"",J1446*5+K1446*4+M1446*4+L1446*3+N1446*2+O1446*2)</x:f>
        <x:v>96</x:v>
      </x:c>
      <x:c r="R1446" s="14" t="str">
        <x:v>high</x:v>
      </x:c>
      <x:c r="S1446" s="14" t="str">
        <x:v>official_prozorro_award_2024_2026</x:v>
      </x:c>
      <x:c r="T1446" s="14" t="str">
        <x:v>official_prozorro_api</x:v>
      </x:c>
      <x:c r="U1446" s="14" t="str">
        <x:v>Не контактували</x:v>
      </x:c>
      <x:c r="V1446" s="15" t="str">
        <x:v>Workflow-audit outreach по UA-2025-11-25-015148-a; попросити 1 пакет здачі та вимоги проєкту</x:v>
      </x:c>
      <x:c r="W1446" s="15" t="str">
        <x:v>Власник / директор; керівник ПТО; відповідальний за договори</x:v>
      </x:c>
      <x:c r="X1446" s="15" t="str">
        <x:v>2 нових підтверджених перемог/договорів у Prozorro на 11 636 730 грн; 1 зі строком виконання не раніше 24.08.2026.</x:v>
      </x:c>
      <x:c r="Y1446" s="15" t="str">
        <x:v>Послуги з поточного ремонту залізничної колії СП №21 Р50 лівий; опублікований строк до 2025-12-02. Попросити один знеособлений пакет здачі за цим workflow.</x:v>
      </x:c>
      <x:c r="Z1446" s="15" t="str">
        <x:v>https://prozorro.gov.ua/tender/UA-2025-11-25-015148-a</x:v>
      </x:c>
      <x:c r="AA1446" s="14" t="str">
        <x:v>41120643</x:v>
      </x:c>
      <x:c r="AB1446" s="14" t="str">
        <x:v>2026-08-24</x:v>
      </x:c>
      <x:c r="AC1446" s="14" t="str"/>
      <x:c r="AD1446" s="20" t="str"/>
      <x:c r="AE1446" s="14" t="str"/>
      <x:c r="AF1446" s="14" t="n">
        <x:v>56</x:v>
      </x:c>
      <x:c r="AG1446" s="14" t="str">
        <x:v>I3</x:v>
      </x:c>
      <x:c r="AH1446" s="14" t="n">
        <x:v>2</x:v>
      </x:c>
      <x:c r="AI1446" s="14" t="n">
        <x:v>1</x:v>
      </x:c>
      <x:c r="AJ1446" s="18" t="n">
        <x:v>11636730.45</x:v>
      </x:c>
      <x:c r="AK1446" s="14" t="str">
        <x:v>https://prozorro.gov.ua/tender/UA-2025-11-25-015148-a</x:v>
      </x:c>
      <x:c r="AL1446" s="19" t="n">
        <x:v>45986.58034570602</x:v>
      </x:c>
      <x:c r="AM1446" s="19" t="n">
        <x:v>45993</x:v>
      </x:c>
      <x:c r="AN1446" s="15" t="str">
        <x:v>Залізнична інфраструктура</x:v>
      </x:c>
      <x:c r="AO1446" s="15" t="str">
        <x:v>not_found_in_top_search</x:v>
      </x:c>
    </x:row>
    <x:row r="1447">
      <x:c r="A1447" s="14" t="str">
        <x:v>W5-075</x:v>
      </x:c>
      <x:c r="B1447" s="14" t="str">
        <x:v>Prozorro vertical expansion — 24.08</x:v>
      </x:c>
      <x:c r="C1447" s="14" t="str">
        <x:v>ТОВАРИСТВО З ОБМЕЖЕНОЮ ВІДПОВІДАЛЬНІСТЮ "ЛК ЕНЕРДЖИ ГРУП"</x:v>
      </x:c>
      <x:c r="D1447" s="14" t="str">
        <x:v>Накопичення енергії / BESS</x:v>
      </x:c>
      <x:c r="E1447" s="14" t="str">
        <x:v>Expansion discovery</x:v>
      </x:c>
      <x:c r="F1447" s="17" t="str">
        <x:v>D3</x:v>
      </x:c>
      <x:c r="G1447" s="14" t="str"/>
      <x:c r="H1447" s="14" t="str">
        <x:v>Discovery розширення — 2 тижні</x:v>
      </x:c>
      <x:c r="I1447" s="16" t="n">
        <x:v>1</x:v>
      </x:c>
      <x:c r="J1447" s="16" t="n">
        <x:v>5</x:v>
      </x:c>
      <x:c r="K1447" s="16" t="n">
        <x:v>5</x:v>
      </x:c>
      <x:c r="L1447" s="16" t="n">
        <x:v>2</x:v>
      </x:c>
      <x:c r="M1447" s="16" t="n">
        <x:v>5</x:v>
      </x:c>
      <x:c r="N1447" s="16" t="n">
        <x:v>5</x:v>
      </x:c>
      <x:c r="O1447" s="16" t="n">
        <x:v>3</x:v>
      </x:c>
      <x:c r="P1447" s="16" t="n">
        <x:f>IF(COUNT(I1447:O1447)&lt;7,"",I1447*8+J1447*3+K1447*2+L1447*2+M1447*2+N1447*2+O1447)</x:f>
        <x:v>60</x:v>
      </x:c>
      <x:c r="Q1447" s="16" t="n">
        <x:f>IF(COUNT(J1447:O1447)&lt;6,"",J1447*5+K1447*4+M1447*4+L1447*3+N1447*2+O1447*2)</x:f>
        <x:v>87</x:v>
      </x:c>
      <x:c r="R1447" s="14" t="str">
        <x:v>high</x:v>
      </x:c>
      <x:c r="S1447" s="14" t="str">
        <x:v>official_prozorro_award_2024_2026</x:v>
      </x:c>
      <x:c r="T1447" s="14" t="str">
        <x:v>official_prozorro_api</x:v>
      </x:c>
      <x:c r="U1447" s="14" t="str">
        <x:v>Не контактували</x:v>
      </x:c>
      <x:c r="V1447" s="15" t="str">
        <x:v>Workflow-audit outreach по UA-2026-08-05-000420-a; попросити 1 пакет здачі та вимоги проєкту</x:v>
      </x:c>
      <x:c r="W1447" s="15" t="str">
        <x:v>Власник / директор; керівник ПТО; відповідальний за договори</x:v>
      </x:c>
      <x:c r="X1447" s="15" t="str">
        <x:v>1 нових підтверджених перемог/договорів у Prozorro на 249 877 грн; 1 зі строком виконання не раніше 24.08.2026.</x:v>
      </x:c>
      <x:c r="Y1447" s="15" t="str">
        <x:v>Послуги з монтажу та встановлення сонячних панелей на даху адміністративної будівлі Доброславської селищної ради з підключенням до акумуляторної системи зберігання (накопичення) енергії за адресою: проспект Свободи, 1, селище Доброслав Одеського району Одеської області 
; опублікований строк до 2026-09-30. Попросити один знеособлений пакет здачі за цим workflow.</x:v>
      </x:c>
      <x:c r="Z1447" s="15" t="str">
        <x:v>https://prozorro.gov.ua/tender/UA-2026-08-05-000420-a</x:v>
      </x:c>
      <x:c r="AA1447" s="14" t="str">
        <x:v>45323348</x:v>
      </x:c>
      <x:c r="AB1447" s="14" t="str">
        <x:v>2026-08-24</x:v>
      </x:c>
      <x:c r="AC1447" s="14" t="str"/>
      <x:c r="AD1447" s="20" t="str"/>
      <x:c r="AE1447" s="14" t="str"/>
      <x:c r="AF1447" s="14" t="n">
        <x:v>56</x:v>
      </x:c>
      <x:c r="AG1447" s="14" t="str">
        <x:v>I3</x:v>
      </x:c>
      <x:c r="AH1447" s="14" t="n">
        <x:v>1</x:v>
      </x:c>
      <x:c r="AI1447" s="14" t="n">
        <x:v>1</x:v>
      </x:c>
      <x:c r="AJ1447" s="18" t="n">
        <x:v>249877.33</x:v>
      </x:c>
      <x:c r="AK1447" s="14" t="str">
        <x:v>https://prozorro.gov.ua/tender/UA-2026-08-05-000420-a</x:v>
      </x:c>
      <x:c r="AL1447" s="19" t="n">
        <x:v>46248.26655065972</x:v>
      </x:c>
      <x:c r="AM1447" s="19" t="n">
        <x:v>46295</x:v>
      </x:c>
      <x:c r="AN1447" s="15" t="str">
        <x:v>Накопичення енергії / BESS</x:v>
      </x:c>
      <x:c r="AO1447" s="15" t="str">
        <x:v>not_found_in_top_search</x:v>
      </x:c>
    </x:row>
    <x:row r="1448">
      <x:c r="A1448" s="14" t="str">
        <x:v>W5-076</x:v>
      </x:c>
      <x:c r="B1448" s="14" t="str">
        <x:v>Prozorro vertical expansion — 24.08</x:v>
      </x:c>
      <x:c r="C1448" s="14" t="str">
        <x:v>ТОВАРИСТВО З ОБМЕЖЕНОЮ ВІДПОВІДАЛЬНІСТЮ "ФОАМІКС"</x:v>
      </x:c>
      <x:c r="D1448" s="14" t="str">
        <x:v>Резервне живлення</x:v>
      </x:c>
      <x:c r="E1448" s="14" t="str">
        <x:v>Pilot now</x:v>
      </x:c>
      <x:c r="F1448" s="17" t="str">
        <x:v>P3</x:v>
      </x:c>
      <x:c r="G1448" s="14" t="str"/>
      <x:c r="H1448" s="14" t="str">
        <x:v>Пілот зараз — Н.15 subset</x:v>
      </x:c>
      <x:c r="I1448" s="16" t="n">
        <x:v>4</x:v>
      </x:c>
      <x:c r="J1448" s="16" t="n">
        <x:v>5</x:v>
      </x:c>
      <x:c r="K1448" s="16" t="n">
        <x:v>5</x:v>
      </x:c>
      <x:c r="L1448" s="16" t="n">
        <x:v>2</x:v>
      </x:c>
      <x:c r="M1448" s="16" t="n">
        <x:v>5</x:v>
      </x:c>
      <x:c r="N1448" s="16" t="n">
        <x:v>5</x:v>
      </x:c>
      <x:c r="O1448" s="16" t="n">
        <x:v>3</x:v>
      </x:c>
      <x:c r="P1448" s="16" t="n">
        <x:f>IF(COUNT(I1448:O1448)&lt;7,"",I1448*8+J1448*3+K1448*2+L1448*2+M1448*2+N1448*2+O1448)</x:f>
        <x:v>84</x:v>
      </x:c>
      <x:c r="Q1448" s="16" t="n">
        <x:f>IF(COUNT(J1448:O1448)&lt;6,"",J1448*5+K1448*4+M1448*4+L1448*3+N1448*2+O1448*2)</x:f>
        <x:v>87</x:v>
      </x:c>
      <x:c r="R1448" s="14" t="str">
        <x:v>high</x:v>
      </x:c>
      <x:c r="S1448" s="14" t="str">
        <x:v>official_prozorro_award_2024_2026</x:v>
      </x:c>
      <x:c r="T1448" s="14" t="str">
        <x:v>official_prozorro_api</x:v>
      </x:c>
      <x:c r="U1448" s="14" t="str">
        <x:v>Не контактували</x:v>
      </x:c>
      <x:c r="V1448" s="15" t="str">
        <x:v>Персоналізований free-pilot outreach по UA-2026-07-31-008803-a; попросити 1 пакет Н.15</x:v>
      </x:c>
      <x:c r="W1448" s="15" t="str">
        <x:v>Власник / директор; керівник ПТО; відповідальний за договори</x:v>
      </x:c>
      <x:c r="X1448" s="15" t="str">
        <x:v>1 нових підтверджених перемог/договорів у Prozorro на 244 000 грн; 1 зі строком виконання не раніше 24.08.2026.</x:v>
      </x:c>
      <x:c r="Y1448" s="15" t="str">
        <x:v>Послуги з облаштування захисту з габіонів навколо дизель-генераторів за кодом CPV за ЄЗС ДК 021:2015 45340000-2 Зведення огорож, монтаж поручнів і захисних засобів; опублікований строк до 2026-08-31. Попросити один знеособлений пакет здачі за цим workflow.</x:v>
      </x:c>
      <x:c r="Z1448" s="15" t="str">
        <x:v>https://prozorro.gov.ua/tender/UA-2026-07-31-008803-a</x:v>
      </x:c>
      <x:c r="AA1448" s="14" t="str">
        <x:v>45918905</x:v>
      </x:c>
      <x:c r="AB1448" s="14" t="str">
        <x:v>2026-08-24</x:v>
      </x:c>
      <x:c r="AC1448" s="14" t="str"/>
      <x:c r="AD1448" s="20" t="str"/>
      <x:c r="AE1448" s="14" t="str"/>
      <x:c r="AF1448" s="14" t="n">
        <x:v>56</x:v>
      </x:c>
      <x:c r="AG1448" s="14" t="str">
        <x:v>I3</x:v>
      </x:c>
      <x:c r="AH1448" s="14" t="n">
        <x:v>1</x:v>
      </x:c>
      <x:c r="AI1448" s="14" t="n">
        <x:v>1</x:v>
      </x:c>
      <x:c r="AJ1448" s="18" t="n">
        <x:v>244000</x:v>
      </x:c>
      <x:c r="AK1448" s="14" t="str">
        <x:v>https://prozorro.gov.ua/tender/UA-2026-07-31-008803-a</x:v>
      </x:c>
      <x:c r="AL1448" s="19" t="n">
        <x:v>46247.63124019676</x:v>
      </x:c>
      <x:c r="AM1448" s="19" t="n">
        <x:v>46265</x:v>
      </x:c>
      <x:c r="AN1448" s="15" t="str">
        <x:v>Резервне живлення</x:v>
      </x:c>
      <x:c r="AO1448" s="15" t="str">
        <x:v>not_found_in_top_search</x:v>
      </x:c>
    </x:row>
    <x:row r="1449">
      <x:c r="A1449" s="14" t="str">
        <x:v>W5-077</x:v>
      </x:c>
      <x:c r="B1449" s="14" t="str">
        <x:v>Prozorro vertical expansion — 24.08</x:v>
      </x:c>
      <x:c r="C1449" s="14" t="str">
        <x:v>ТОВАРИСТВО З ОБМЕЖЕНОЮ ВІДПОВІДАЛЬНІСТЮ "МАК-ЦІНИ"</x:v>
      </x:c>
      <x:c r="D1449" s="14" t="str">
        <x:v>Насосні станції</x:v>
      </x:c>
      <x:c r="E1449" s="14" t="str">
        <x:v>Expansion discovery</x:v>
      </x:c>
      <x:c r="F1449" s="17" t="str">
        <x:v>D3</x:v>
      </x:c>
      <x:c r="G1449" s="14" t="str"/>
      <x:c r="H1449" s="14" t="str">
        <x:v>Discovery розширення — 2 тижні</x:v>
      </x:c>
      <x:c r="I1449" s="16" t="n">
        <x:v>1</x:v>
      </x:c>
      <x:c r="J1449" s="16" t="n">
        <x:v>5</x:v>
      </x:c>
      <x:c r="K1449" s="16" t="n">
        <x:v>5</x:v>
      </x:c>
      <x:c r="L1449" s="16" t="n">
        <x:v>2</x:v>
      </x:c>
      <x:c r="M1449" s="16" t="n">
        <x:v>5</x:v>
      </x:c>
      <x:c r="N1449" s="16" t="n">
        <x:v>5</x:v>
      </x:c>
      <x:c r="O1449" s="16" t="n">
        <x:v>3</x:v>
      </x:c>
      <x:c r="P1449" s="16" t="n">
        <x:f>IF(COUNT(I1449:O1449)&lt;7,"",I1449*8+J1449*3+K1449*2+L1449*2+M1449*2+N1449*2+O1449)</x:f>
        <x:v>60</x:v>
      </x:c>
      <x:c r="Q1449" s="16" t="n">
        <x:f>IF(COUNT(J1449:O1449)&lt;6,"",J1449*5+K1449*4+M1449*4+L1449*3+N1449*2+O1449*2)</x:f>
        <x:v>87</x:v>
      </x:c>
      <x:c r="R1449" s="14" t="str">
        <x:v>high</x:v>
      </x:c>
      <x:c r="S1449" s="14" t="str">
        <x:v>official_prozorro_award_2024_2026</x:v>
      </x:c>
      <x:c r="T1449" s="14" t="str">
        <x:v>official_prozorro_api</x:v>
      </x:c>
      <x:c r="U1449" s="14" t="str">
        <x:v>Не контактували</x:v>
      </x:c>
      <x:c r="V1449" s="15" t="str">
        <x:v>Workflow-audit outreach по UA-2026-07-17-002803-a; попросити 1 пакет здачі та вимоги проєкту</x:v>
      </x:c>
      <x:c r="W1449" s="15" t="str">
        <x:v>Власник / директор; керівник ПТО; відповідальний за договори</x:v>
      </x:c>
      <x:c r="X1449" s="15" t="str">
        <x:v>1 нових підтверджених перемог/договорів у Prozorro на 195 720 грн; 0 зі строком виконання не раніше 24.08.2026.</x:v>
      </x:c>
      <x:c r="Y1449" s="15" t="str">
        <x:v>за кодом CPV за ДК 021:2015-79310000-0 Послуги з проведення ринкових досліджень (послуги інженера-консультанта з аналізу цін на матеріальні ресурси по об'єкту: «Реконструкція будівлі насосної станції ІІ-го підйому та площадки водозабору з технічним переоснащенням системи знезараження та технологічної очистки в м. Великі Мости Сокальського району Львівської області»  Коригування); опублікований строк до 2026-05-29. Попросити один знеособлений пакет здачі за цим workflow.</x:v>
      </x:c>
      <x:c r="Z1449" s="15" t="str">
        <x:v>https://prozorro.gov.ua/tender/UA-2026-07-17-002803-a</x:v>
      </x:c>
      <x:c r="AA1449" s="14" t="str">
        <x:v>45381703</x:v>
      </x:c>
      <x:c r="AB1449" s="14" t="str">
        <x:v>2026-08-24</x:v>
      </x:c>
      <x:c r="AC1449" s="14" t="str"/>
      <x:c r="AD1449" s="20" t="str"/>
      <x:c r="AE1449" s="14" t="str"/>
      <x:c r="AF1449" s="14" t="n">
        <x:v>56</x:v>
      </x:c>
      <x:c r="AG1449" s="14" t="str">
        <x:v>I3</x:v>
      </x:c>
      <x:c r="AH1449" s="14" t="n">
        <x:v>1</x:v>
      </x:c>
      <x:c r="AI1449" s="14" t="n">
        <x:v>0</x:v>
      </x:c>
      <x:c r="AJ1449" s="18" t="n">
        <x:v>195720</x:v>
      </x:c>
      <x:c r="AK1449" s="14" t="str">
        <x:v>https://prozorro.gov.ua/tender/UA-2026-07-17-002803-a</x:v>
      </x:c>
      <x:c r="AL1449" s="19" t="n">
        <x:v>46220.33592304398</x:v>
      </x:c>
      <x:c r="AM1449" s="19" t="n">
        <x:v>46171</x:v>
      </x:c>
      <x:c r="AN1449" s="15" t="str">
        <x:v>Насосні станції</x:v>
      </x:c>
      <x:c r="AO1449" s="15" t="str">
        <x:v>not_found_in_top_search</x:v>
      </x:c>
    </x:row>
    <x:row r="1450">
      <x:c r="A1450" s="14" t="str">
        <x:v>W5-078</x:v>
      </x:c>
      <x:c r="B1450" s="14" t="str">
        <x:v>Prozorro vertical expansion — 24.08</x:v>
      </x:c>
      <x:c r="C1450" s="14" t="str">
        <x:v>ТОВАРИСТВО З ОБМЕЖЕНОЮ ВІДПОВІДАЛЬНІСТЮ "ОХОРОНА-МОНТАЖ ТА СЕРВІС"</x:v>
      </x:c>
      <x:c r="D1450" s="14" t="str">
        <x:v>Промислова електрика / ПНР</x:v>
      </x:c>
      <x:c r="E1450" s="14" t="str">
        <x:v>Pilot now</x:v>
      </x:c>
      <x:c r="F1450" s="17" t="str">
        <x:v>P3</x:v>
      </x:c>
      <x:c r="G1450" s="14" t="str"/>
      <x:c r="H1450" s="14" t="str">
        <x:v>Пілот зараз — Н.15 subset</x:v>
      </x:c>
      <x:c r="I1450" s="16" t="n">
        <x:v>4</x:v>
      </x:c>
      <x:c r="J1450" s="16" t="n">
        <x:v>5</x:v>
      </x:c>
      <x:c r="K1450" s="16" t="n">
        <x:v>4</x:v>
      </x:c>
      <x:c r="L1450" s="16" t="n">
        <x:v>1</x:v>
      </x:c>
      <x:c r="M1450" s="16" t="n">
        <x:v>5</x:v>
      </x:c>
      <x:c r="N1450" s="16" t="n">
        <x:v>5</x:v>
      </x:c>
      <x:c r="O1450" s="16" t="n">
        <x:v>3</x:v>
      </x:c>
      <x:c r="P1450" s="16" t="n">
        <x:f>IF(COUNT(I1450:O1450)&lt;7,"",I1450*8+J1450*3+K1450*2+L1450*2+M1450*2+N1450*2+O1450)</x:f>
        <x:v>80</x:v>
      </x:c>
      <x:c r="Q1450" s="16" t="n">
        <x:f>IF(COUNT(J1450:O1450)&lt;6,"",J1450*5+K1450*4+M1450*4+L1450*3+N1450*2+O1450*2)</x:f>
        <x:v>80</x:v>
      </x:c>
      <x:c r="R1450" s="14" t="str">
        <x:v>high</x:v>
      </x:c>
      <x:c r="S1450" s="14" t="str">
        <x:v>official_prozorro_award_2024_2026</x:v>
      </x:c>
      <x:c r="T1450" s="14" t="str">
        <x:v>official_prozorro_api</x:v>
      </x:c>
      <x:c r="U1450" s="14" t="str">
        <x:v>Не контактували</x:v>
      </x:c>
      <x:c r="V1450" s="15" t="str">
        <x:v>Персоналізований free-pilot outreach по UA-2026-05-28-006385-a; попросити 1 пакет Н.15</x:v>
      </x:c>
      <x:c r="W1450" s="15" t="str">
        <x:v>Власник / директор; керівник ПТО; відповідальний за договори</x:v>
      </x:c>
      <x:c r="X1450" s="15" t="str">
        <x:v>2 нових підтверджених перемог/договорів у Prozorro на 83 202 грн; 1 зі строком виконання не раніше 24.08.2026.</x:v>
      </x:c>
      <x:c r="Y1450" s="15" t="str">
        <x:v>Монтажні та пусконалагоджувальні роботи по встановленню системи охоронної сигналізації ДК 021:2015 (CPV) : 45310000-3 Електромонтажні роботи; опублікований строк до 2026-12-31. Попросити один знеособлений пакет здачі за цим workflow.</x:v>
      </x:c>
      <x:c r="Z1450" s="15" t="str">
        <x:v>https://prozorro.gov.ua/tender/UA-2026-05-28-006385-a</x:v>
      </x:c>
      <x:c r="AA1450" s="14" t="str">
        <x:v>43193121</x:v>
      </x:c>
      <x:c r="AB1450" s="14" t="str">
        <x:v>2026-08-24</x:v>
      </x:c>
      <x:c r="AC1450" s="14" t="str"/>
      <x:c r="AD1450" s="20" t="str"/>
      <x:c r="AE1450" s="14" t="str"/>
      <x:c r="AF1450" s="14" t="n">
        <x:v>56</x:v>
      </x:c>
      <x:c r="AG1450" s="14" t="str">
        <x:v>I3</x:v>
      </x:c>
      <x:c r="AH1450" s="14" t="n">
        <x:v>2</x:v>
      </x:c>
      <x:c r="AI1450" s="14" t="n">
        <x:v>1</x:v>
      </x:c>
      <x:c r="AJ1450" s="18" t="n">
        <x:v>83202.4</x:v>
      </x:c>
      <x:c r="AK1450" s="14" t="str">
        <x:v>https://prozorro.gov.ua/tender/UA-2026-05-28-006385-a</x:v>
      </x:c>
      <x:c r="AL1450" s="19" t="n">
        <x:v>46170.42562188658</x:v>
      </x:c>
      <x:c r="AM1450" s="19" t="n">
        <x:v>46387</x:v>
      </x:c>
      <x:c r="AN1450" s="15" t="str">
        <x:v>Промислова електрика / ПНР</x:v>
      </x:c>
      <x:c r="AO1450" s="15" t="str">
        <x:v>not_found_in_top_search</x:v>
      </x:c>
    </x:row>
    <x:row r="1451">
      <x:c r="A1451" s="14" t="str">
        <x:v>W5-079</x:v>
      </x:c>
      <x:c r="B1451" s="14" t="str">
        <x:v>Prozorro vertical expansion — 24.08</x:v>
      </x:c>
      <x:c r="C1451" s="14" t="str">
        <x:v>АНТОНЕНКО ОЛЕКСАНДР ІВАНОВИЧ</x:v>
      </x:c>
      <x:c r="D1451" s="14" t="str">
        <x:v>Зовнішні мережі</x:v>
      </x:c>
      <x:c r="E1451" s="14" t="str">
        <x:v>Expansion discovery</x:v>
      </x:c>
      <x:c r="F1451" s="17" t="str">
        <x:v>D3</x:v>
      </x:c>
      <x:c r="G1451" s="14" t="str"/>
      <x:c r="H1451" s="14" t="str">
        <x:v>Discovery розширення — 2 тижні</x:v>
      </x:c>
      <x:c r="I1451" s="16" t="n">
        <x:v>1</x:v>
      </x:c>
      <x:c r="J1451" s="16" t="n">
        <x:v>5</x:v>
      </x:c>
      <x:c r="K1451" s="16" t="n">
        <x:v>5</x:v>
      </x:c>
      <x:c r="L1451" s="16" t="n">
        <x:v>1</x:v>
      </x:c>
      <x:c r="M1451" s="16" t="n">
        <x:v>5</x:v>
      </x:c>
      <x:c r="N1451" s="16" t="n">
        <x:v>3</x:v>
      </x:c>
      <x:c r="O1451" s="16" t="n">
        <x:v>3</x:v>
      </x:c>
      <x:c r="P1451" s="16" t="n">
        <x:f>IF(COUNT(I1451:O1451)&lt;7,"",I1451*8+J1451*3+K1451*2+L1451*2+M1451*2+N1451*2+O1451)</x:f>
        <x:v>54</x:v>
      </x:c>
      <x:c r="Q1451" s="16" t="n">
        <x:f>IF(COUNT(J1451:O1451)&lt;6,"",J1451*5+K1451*4+M1451*4+L1451*3+N1451*2+O1451*2)</x:f>
        <x:v>80</x:v>
      </x:c>
      <x:c r="R1451" s="14" t="str">
        <x:v>high</x:v>
      </x:c>
      <x:c r="S1451" s="14" t="str">
        <x:v>official_prozorro_award_2024_2026</x:v>
      </x:c>
      <x:c r="T1451" s="14" t="str">
        <x:v>official_prozorro_api</x:v>
      </x:c>
      <x:c r="U1451" s="14" t="str">
        <x:v>Не контактували</x:v>
      </x:c>
      <x:c r="V1451" s="15" t="str">
        <x:v>Workflow-audit outreach по UA-2026-05-26-008641-a; попросити 1 пакет здачі та вимоги проєкту</x:v>
      </x:c>
      <x:c r="W1451" s="15" t="str">
        <x:v>Власник / виконавець; відповідальний за договір</x:v>
      </x:c>
      <x:c r="X1451" s="15" t="str">
        <x:v>2 нових підтверджених перемог/договорів у Prozorro на 45 844 грн; 0 зі строком виконання не раніше 24.08.2026.</x:v>
      </x:c>
      <x:c r="Y1451" s="15" t="str">
        <x:v>Послуги з проведення аналізу цін на матеріальні ресурси під час коригування кошторисної документації по об’єкту: «Будівництво зовнішніх мереж водопостачання в селі Чайки Бучанського району Київської області». Коригування; опублікований строк до 2026-06-24. Попросити один знеособлений пакет здачі за цим workflow.</x:v>
      </x:c>
      <x:c r="Z1451" s="15" t="str">
        <x:v>https://prozorro.gov.ua/tender/UA-2026-05-26-008641-a</x:v>
      </x:c>
      <x:c r="AA1451" s="14" t="str">
        <x:v>2626604515</x:v>
      </x:c>
      <x:c r="AB1451" s="14" t="str">
        <x:v>2026-08-24</x:v>
      </x:c>
      <x:c r="AC1451" s="14" t="str"/>
      <x:c r="AD1451" s="20" t="str"/>
      <x:c r="AE1451" s="14" t="str"/>
      <x:c r="AF1451" s="14" t="n">
        <x:v>56</x:v>
      </x:c>
      <x:c r="AG1451" s="14" t="str">
        <x:v>I3</x:v>
      </x:c>
      <x:c r="AH1451" s="14" t="n">
        <x:v>2</x:v>
      </x:c>
      <x:c r="AI1451" s="14" t="n">
        <x:v>0</x:v>
      </x:c>
      <x:c r="AJ1451" s="18" t="n">
        <x:v>45844</x:v>
      </x:c>
      <x:c r="AK1451" s="14" t="str">
        <x:v>https://prozorro.gov.ua/tender/UA-2026-05-26-008641-a</x:v>
      </x:c>
      <x:c r="AL1451" s="19" t="n">
        <x:v>46168.46763905093</x:v>
      </x:c>
      <x:c r="AM1451" s="19" t="n">
        <x:v>46197</x:v>
      </x:c>
      <x:c r="AN1451" s="15" t="str">
        <x:v>Зовнішні мережі</x:v>
      </x:c>
      <x:c r="AO1451" s="15" t="str">
        <x:v>not_found_in_top_search</x:v>
      </x:c>
    </x:row>
    <x:row r="1452">
      <x:c r="A1452" s="14" t="str">
        <x:v>W5-080</x:v>
      </x:c>
      <x:c r="B1452" s="14" t="str">
        <x:v>Prozorro vertical expansion — 24.08</x:v>
      </x:c>
      <x:c r="C1452" s="14" t="str">
        <x:v>ДОЧІРНЄ ПІДПРИЄМСТВО ТЕЛЕВІЗІЙНИХ СИСТЕМ "КВАНТ" ПРИВАТНОГО АКЦІОНЕРНОГО ТОВАРИСТВА "АТОМСЕРВІС"</x:v>
      </x:c>
      <x:c r="D1452" s="14" t="str">
        <x:v>ВОЛЗ / телеком</x:v>
      </x:c>
      <x:c r="E1452" s="14" t="str">
        <x:v>Expansion discovery</x:v>
      </x:c>
      <x:c r="F1452" s="17" t="str">
        <x:v>D3</x:v>
      </x:c>
      <x:c r="G1452" s="14" t="str"/>
      <x:c r="H1452" s="14" t="str">
        <x:v>Discovery розширення — 2 тижні</x:v>
      </x:c>
      <x:c r="I1452" s="16" t="n">
        <x:v>1</x:v>
      </x:c>
      <x:c r="J1452" s="16" t="n">
        <x:v>5</x:v>
      </x:c>
      <x:c r="K1452" s="16" t="n">
        <x:v>5</x:v>
      </x:c>
      <x:c r="L1452" s="16" t="n">
        <x:v>1</x:v>
      </x:c>
      <x:c r="M1452" s="16" t="n">
        <x:v>5</x:v>
      </x:c>
      <x:c r="N1452" s="16" t="n">
        <x:v>5</x:v>
      </x:c>
      <x:c r="O1452" s="16" t="n">
        <x:v>3</x:v>
      </x:c>
      <x:c r="P1452" s="16" t="n">
        <x:f>IF(COUNT(I1452:O1452)&lt;7,"",I1452*8+J1452*3+K1452*2+L1452*2+M1452*2+N1452*2+O1452)</x:f>
        <x:v>58</x:v>
      </x:c>
      <x:c r="Q1452" s="16" t="n">
        <x:f>IF(COUNT(J1452:O1452)&lt;6,"",J1452*5+K1452*4+M1452*4+L1452*3+N1452*2+O1452*2)</x:f>
        <x:v>84</x:v>
      </x:c>
      <x:c r="R1452" s="14" t="str">
        <x:v>high</x:v>
      </x:c>
      <x:c r="S1452" s="14" t="str">
        <x:v>official_prozorro_award_2024_2026</x:v>
      </x:c>
      <x:c r="T1452" s="14" t="str">
        <x:v>official_prozorro_api</x:v>
      </x:c>
      <x:c r="U1452" s="14" t="str">
        <x:v>Не контактували</x:v>
      </x:c>
      <x:c r="V1452" s="15" t="str">
        <x:v>Workflow-audit outreach по UA-2025-09-11-004350-a; попросити 1 пакет здачі та вимоги проєкту</x:v>
      </x:c>
      <x:c r="W1452" s="15" t="str">
        <x:v>Власник / директор; керівник ПТО; відповідальний за договори</x:v>
      </x:c>
      <x:c r="X1452" s="15" t="str">
        <x:v>4 нових підтверджених перемог/договорів у Prozorro на 92 766 грн; 0 зі строком виконання не раніше 24.08.2026.</x:v>
      </x:c>
      <x:c r="Y1452" s="15" t="str">
        <x:v>ДК 021:2015 64220000-4 Телекомунікаційні послуги, крім послуг телефонного зв'язку і передачі даних (Монтаж телекомунікаційної мережі та підключення додаткових абонентських точок до мережі Інтернет в прибудові Південноукраїнського ліцею №1 імені Захисників Вітчизни (1-й поверх) для одержання послуг Інтернет в Інклюзивно-ресурсному центрі Південноукраїнської міської ради за адресою: м. Південноукраїнськ, бульвар Мрій, 8); опублікований строк до 2025-10-23. Попросити один знеособлений пакет здачі за цим workflow.</x:v>
      </x:c>
      <x:c r="Z1452" s="15" t="str">
        <x:v>https://prozorro.gov.ua/tender/UA-2025-09-11-004350-a</x:v>
      </x:c>
      <x:c r="AA1452" s="14" t="str">
        <x:v>23631097</x:v>
      </x:c>
      <x:c r="AB1452" s="14" t="str">
        <x:v>2026-08-24</x:v>
      </x:c>
      <x:c r="AC1452" s="14" t="str"/>
      <x:c r="AD1452" s="20" t="str"/>
      <x:c r="AE1452" s="14" t="str"/>
      <x:c r="AF1452" s="14" t="n">
        <x:v>55</x:v>
      </x:c>
      <x:c r="AG1452" s="14" t="str">
        <x:v>I3</x:v>
      </x:c>
      <x:c r="AH1452" s="14" t="n">
        <x:v>4</x:v>
      </x:c>
      <x:c r="AI1452" s="14" t="n">
        <x:v>0</x:v>
      </x:c>
      <x:c r="AJ1452" s="18" t="n">
        <x:v>92765.58</x:v>
      </x:c>
      <x:c r="AK1452" s="14" t="str">
        <x:v>https://prozorro.gov.ua/tender/UA-2025-09-11-004350-a</x:v>
      </x:c>
      <x:c r="AL1452" s="19" t="n">
        <x:v>45911.36194486111</x:v>
      </x:c>
      <x:c r="AM1452" s="19" t="n">
        <x:v>45953</x:v>
      </x:c>
      <x:c r="AN1452" s="15" t="str">
        <x:v>ВОЛЗ / телеком</x:v>
      </x:c>
      <x:c r="AO1452" s="15" t="str">
        <x:v>not_found_in_top_search</x:v>
      </x:c>
    </x:row>
    <x:row r="1453">
      <x:c r="A1453" s="14" t="str">
        <x:v>W5-081</x:v>
      </x:c>
      <x:c r="B1453" s="14" t="str">
        <x:v>Prozorro vertical expansion — 24.08</x:v>
      </x:c>
      <x:c r="C1453" s="14" t="str">
        <x:v>ТОВАРИСТВО З ОБМЕЖЕНОЮ ВІДПОВІДАЛЬНІСТЮ "ПРИВАТ СЕРВІС БУД ЛТД"</x:v>
      </x:c>
      <x:c r="D1453" s="14" t="str">
        <x:v>Насосні станції</x:v>
      </x:c>
      <x:c r="E1453" s="14" t="str">
        <x:v>Expansion discovery</x:v>
      </x:c>
      <x:c r="F1453" s="17" t="str">
        <x:v>D3</x:v>
      </x:c>
      <x:c r="G1453" s="14" t="str"/>
      <x:c r="H1453" s="14" t="str">
        <x:v>Discovery розширення — 2 тижні</x:v>
      </x:c>
      <x:c r="I1453" s="16" t="n">
        <x:v>1</x:v>
      </x:c>
      <x:c r="J1453" s="16" t="n">
        <x:v>5</x:v>
      </x:c>
      <x:c r="K1453" s="16" t="n">
        <x:v>5</x:v>
      </x:c>
      <x:c r="L1453" s="16" t="n">
        <x:v>5</x:v>
      </x:c>
      <x:c r="M1453" s="16" t="n">
        <x:v>5</x:v>
      </x:c>
      <x:c r="N1453" s="16" t="n">
        <x:v>5</x:v>
      </x:c>
      <x:c r="O1453" s="16" t="n">
        <x:v>3</x:v>
      </x:c>
      <x:c r="P1453" s="16" t="n">
        <x:f>IF(COUNT(I1453:O1453)&lt;7,"",I1453*8+J1453*3+K1453*2+L1453*2+M1453*2+N1453*2+O1453)</x:f>
        <x:v>66</x:v>
      </x:c>
      <x:c r="Q1453" s="16" t="n">
        <x:f>IF(COUNT(J1453:O1453)&lt;6,"",J1453*5+K1453*4+M1453*4+L1453*3+N1453*2+O1453*2)</x:f>
        <x:v>96</x:v>
      </x:c>
      <x:c r="R1453" s="14" t="str">
        <x:v>high</x:v>
      </x:c>
      <x:c r="S1453" s="14" t="str">
        <x:v>official_prozorro_award_2024_2026</x:v>
      </x:c>
      <x:c r="T1453" s="14" t="str">
        <x:v>official_prozorro_api</x:v>
      </x:c>
      <x:c r="U1453" s="14" t="str">
        <x:v>Не контактували</x:v>
      </x:c>
      <x:c r="V1453" s="15" t="str">
        <x:v>Workflow-audit outreach по UA-2026-01-19-012330-a; попросити 1 пакет здачі та вимоги проєкту</x:v>
      </x:c>
      <x:c r="W1453" s="15" t="str">
        <x:v>Власник / директор; керівник ПТО; відповідальний за договори</x:v>
      </x:c>
      <x:c r="X1453" s="15" t="str">
        <x:v>1 нових підтверджених перемог/договорів у Prozorro на 19 300 000 грн; 1 зі строком виконання не раніше 24.08.2026.</x:v>
      </x:c>
      <x:c r="Y1453" s="15" t="str">
        <x:v>Будівельні роботи по об'єкту: "Реконструкція каналізаційно-насосної станції (інв. № 101311618) Окремої комендатури охорони і забезпечення, за адресою: м. Київ, вул. Світла,6"; опублікований строк до 2027-08-01. Попросити один знеособлений пакет здачі за цим workflow.</x:v>
      </x:c>
      <x:c r="Z1453" s="15" t="str">
        <x:v>https://prozorro.gov.ua/tender/UA-2026-01-19-012330-a</x:v>
      </x:c>
      <x:c r="AA1453" s="14" t="str">
        <x:v>41723085</x:v>
      </x:c>
      <x:c r="AB1453" s="14" t="str">
        <x:v>2026-08-24</x:v>
      </x:c>
      <x:c r="AC1453" s="14" t="str"/>
      <x:c r="AD1453" s="20" t="str"/>
      <x:c r="AE1453" s="14" t="str"/>
      <x:c r="AF1453" s="14" t="n">
        <x:v>54</x:v>
      </x:c>
      <x:c r="AG1453" s="14" t="str">
        <x:v>I3</x:v>
      </x:c>
      <x:c r="AH1453" s="14" t="n">
        <x:v>1</x:v>
      </x:c>
      <x:c r="AI1453" s="14" t="n">
        <x:v>1</x:v>
      </x:c>
      <x:c r="AJ1453" s="18" t="n">
        <x:v>19300000</x:v>
      </x:c>
      <x:c r="AK1453" s="14" t="str">
        <x:v>https://prozorro.gov.ua/tender/UA-2026-01-19-012330-a</x:v>
      </x:c>
      <x:c r="AL1453" s="19" t="n">
        <x:v>46086.46660263889</x:v>
      </x:c>
      <x:c r="AM1453" s="19" t="n">
        <x:v>46600</x:v>
      </x:c>
      <x:c r="AN1453" s="15" t="str">
        <x:v>Насосні станції</x:v>
      </x:c>
      <x:c r="AO1453" s="15" t="str">
        <x:v>not_found_in_top_search</x:v>
      </x:c>
    </x:row>
    <x:row r="1454">
      <x:c r="A1454" s="14" t="str">
        <x:v>W5-082</x:v>
      </x:c>
      <x:c r="B1454" s="14" t="str">
        <x:v>Prozorro vertical expansion — 24.08</x:v>
      </x:c>
      <x:c r="C1454" s="14" t="str">
        <x:v>ТОВАРИСТВО З ОБМЕЖЕНОЮ ВІДПОВІДАЛЬНІСТЮ "ІНТЕХ СК"</x:v>
      </x:c>
      <x:c r="D1454" s="14" t="str">
        <x:v>Зовнішні мережі</x:v>
      </x:c>
      <x:c r="E1454" s="14" t="str">
        <x:v>Expansion discovery</x:v>
      </x:c>
      <x:c r="F1454" s="17" t="str">
        <x:v>D3</x:v>
      </x:c>
      <x:c r="G1454" s="14" t="str"/>
      <x:c r="H1454" s="14" t="str">
        <x:v>Discovery розширення — 2 тижні</x:v>
      </x:c>
      <x:c r="I1454" s="16" t="n">
        <x:v>1</x:v>
      </x:c>
      <x:c r="J1454" s="16" t="n">
        <x:v>5</x:v>
      </x:c>
      <x:c r="K1454" s="16" t="n">
        <x:v>5</x:v>
      </x:c>
      <x:c r="L1454" s="16" t="n">
        <x:v>5</x:v>
      </x:c>
      <x:c r="M1454" s="16" t="n">
        <x:v>5</x:v>
      </x:c>
      <x:c r="N1454" s="16" t="n">
        <x:v>5</x:v>
      </x:c>
      <x:c r="O1454" s="16" t="n">
        <x:v>3</x:v>
      </x:c>
      <x:c r="P1454" s="16" t="n">
        <x:f>IF(COUNT(I1454:O1454)&lt;7,"",I1454*8+J1454*3+K1454*2+L1454*2+M1454*2+N1454*2+O1454)</x:f>
        <x:v>66</x:v>
      </x:c>
      <x:c r="Q1454" s="16" t="n">
        <x:f>IF(COUNT(J1454:O1454)&lt;6,"",J1454*5+K1454*4+M1454*4+L1454*3+N1454*2+O1454*2)</x:f>
        <x:v>96</x:v>
      </x:c>
      <x:c r="R1454" s="14" t="str">
        <x:v>high</x:v>
      </x:c>
      <x:c r="S1454" s="14" t="str">
        <x:v>official_prozorro_award_2024_2026</x:v>
      </x:c>
      <x:c r="T1454" s="14" t="str">
        <x:v>official_prozorro_api</x:v>
      </x:c>
      <x:c r="U1454" s="14" t="str">
        <x:v>Не контактували</x:v>
      </x:c>
      <x:c r="V1454" s="15" t="str">
        <x:v>Workflow-audit outreach по UA-2026-01-26-001105-a; попросити 1 пакет здачі та вимоги проєкту</x:v>
      </x:c>
      <x:c r="W1454" s="15" t="str">
        <x:v>Власник / директор; керівник ПТО; відповідальний за договори</x:v>
      </x:c>
      <x:c r="X1454" s="15" t="str">
        <x:v>1 нових підтверджених перемог/договорів у Prozorro на 19 271 012 грн; 1 зі строком виконання не раніше 24.08.2026.</x:v>
      </x:c>
      <x:c r="Y1454" s="15" t="str">
        <x:v>Нове будівництво модульних транспортабельних котелень за адресою: вул. **********, м. Харків (резервне живлення). Підготовчі роботи, димові труби, зовнішні мережі водопостачання та каналізації (код ДК 021:2015 – 45251000-1 "Будівництво електростанцій і теплових станцій").; опублікований строк до 2026-12-31. Попросити один знеособлений пакет здачі за цим workflow.</x:v>
      </x:c>
      <x:c r="Z1454" s="15" t="str">
        <x:v>https://prozorro.gov.ua/tender/UA-2026-01-26-001105-a</x:v>
      </x:c>
      <x:c r="AA1454" s="14" t="str">
        <x:v>44312686</x:v>
      </x:c>
      <x:c r="AB1454" s="14" t="str">
        <x:v>2026-08-24</x:v>
      </x:c>
      <x:c r="AC1454" s="14" t="str"/>
      <x:c r="AD1454" s="20" t="str"/>
      <x:c r="AE1454" s="14" t="str"/>
      <x:c r="AF1454" s="14" t="n">
        <x:v>54</x:v>
      </x:c>
      <x:c r="AG1454" s="14" t="str">
        <x:v>I3</x:v>
      </x:c>
      <x:c r="AH1454" s="14" t="n">
        <x:v>1</x:v>
      </x:c>
      <x:c r="AI1454" s="14" t="n">
        <x:v>1</x:v>
      </x:c>
      <x:c r="AJ1454" s="18" t="n">
        <x:v>19271012.03</x:v>
      </x:c>
      <x:c r="AK1454" s="14" t="str">
        <x:v>https://prozorro.gov.ua/tender/UA-2026-01-26-001105-a</x:v>
      </x:c>
      <x:c r="AL1454" s="19" t="n">
        <x:v>46048.328690381946</x:v>
      </x:c>
      <x:c r="AM1454" s="19" t="n">
        <x:v>46387</x:v>
      </x:c>
      <x:c r="AN1454" s="15" t="str">
        <x:v>Зовнішні мережі</x:v>
      </x:c>
      <x:c r="AO1454" s="15" t="str">
        <x:v>not_found_in_top_search</x:v>
      </x:c>
    </x:row>
    <x:row r="1455">
      <x:c r="A1455" s="14" t="str">
        <x:v>W5-083</x:v>
      </x:c>
      <x:c r="B1455" s="14" t="str">
        <x:v>Prozorro vertical expansion — 24.08</x:v>
      </x:c>
      <x:c r="C1455" s="14" t="str">
        <x:v>ПП Сітек</x:v>
      </x:c>
      <x:c r="D1455" s="14" t="str">
        <x:v>Антикорозійний захист</x:v>
      </x:c>
      <x:c r="E1455" s="14" t="str">
        <x:v>Expansion discovery</x:v>
      </x:c>
      <x:c r="F1455" s="17" t="str">
        <x:v>D3</x:v>
      </x:c>
      <x:c r="G1455" s="14" t="str">
        <x:v>seatech.com.ua</x:v>
      </x:c>
      <x:c r="H1455" s="14" t="str">
        <x:v>Discovery розширення — 2 тижні</x:v>
      </x:c>
      <x:c r="I1455" s="16" t="n">
        <x:v>1</x:v>
      </x:c>
      <x:c r="J1455" s="16" t="n">
        <x:v>5</x:v>
      </x:c>
      <x:c r="K1455" s="16" t="n">
        <x:v>5</x:v>
      </x:c>
      <x:c r="L1455" s="16" t="n">
        <x:v>3</x:v>
      </x:c>
      <x:c r="M1455" s="16" t="n">
        <x:v>5</x:v>
      </x:c>
      <x:c r="N1455" s="16" t="n">
        <x:v>5</x:v>
      </x:c>
      <x:c r="O1455" s="16" t="n">
        <x:v>5</x:v>
      </x:c>
      <x:c r="P1455" s="16" t="n">
        <x:f>IF(COUNT(I1455:O1455)&lt;7,"",I1455*8+J1455*3+K1455*2+L1455*2+M1455*2+N1455*2+O1455)</x:f>
        <x:v>64</x:v>
      </x:c>
      <x:c r="Q1455" s="16" t="n">
        <x:f>IF(COUNT(J1455:O1455)&lt;6,"",J1455*5+K1455*4+M1455*4+L1455*3+N1455*2+O1455*2)</x:f>
        <x:v>94</x:v>
      </x:c>
      <x:c r="R1455" s="14" t="str">
        <x:v>high</x:v>
      </x:c>
      <x:c r="S1455" s="14" t="str">
        <x:v>official_prozorro_award_2024_2026</x:v>
      </x:c>
      <x:c r="T1455" s="14" t="str">
        <x:v>official_prozorro_api</x:v>
      </x:c>
      <x:c r="U1455" s="14" t="str">
        <x:v>Не контактували</x:v>
      </x:c>
      <x:c r="V1455" s="15" t="str">
        <x:v>Workflow-audit outreach по UA-2026-05-29-007222-a; попросити 1 пакет здачі та вимоги проєкту</x:v>
      </x:c>
      <x:c r="W1455" s="15" t="str">
        <x:v>Власник / директор; керівник ПТО; відповідальний за договори</x:v>
      </x:c>
      <x:c r="X1455" s="15" t="str">
        <x:v>1 нових підтверджених перемог/договорів у Prozorro на 1 464 780 грн; 1 зі строком виконання не раніше 24.08.2026.</x:v>
      </x:c>
      <x:c r="Y1455" s="15" t="str">
        <x:v>Послуга з антикорозійного захисту металоконструкції портального крану "Альбрехт" інв. № 21; опублікований строк до 2026-12-31. Попросити один знеособлений пакет здачі за цим workflow.</x:v>
      </x:c>
      <x:c r="Z1455" s="15" t="str">
        <x:v>https://prozorro.gov.ua/tender/UA-2026-05-29-007222-a</x:v>
      </x:c>
      <x:c r="AA1455" s="14" t="str">
        <x:v>30281784</x:v>
      </x:c>
      <x:c r="AB1455" s="14" t="str">
        <x:v>2026-08-24</x:v>
      </x:c>
      <x:c r="AC1455" s="14" t="str"/>
      <x:c r="AD1455" s="20" t="str"/>
      <x:c r="AE1455" s="14" t="str"/>
      <x:c r="AF1455" s="14" t="n">
        <x:v>54</x:v>
      </x:c>
      <x:c r="AG1455" s="14" t="str">
        <x:v>I3</x:v>
      </x:c>
      <x:c r="AH1455" s="14" t="n">
        <x:v>1</x:v>
      </x:c>
      <x:c r="AI1455" s="14" t="n">
        <x:v>1</x:v>
      </x:c>
      <x:c r="AJ1455" s="18" t="n">
        <x:v>1464780</x:v>
      </x:c>
      <x:c r="AK1455" s="14" t="str">
        <x:v>https://prozorro.gov.ua/tender/UA-2026-05-29-007222-a</x:v>
      </x:c>
      <x:c r="AL1455" s="19" t="n">
        <x:v>46191.341703784725</x:v>
      </x:c>
      <x:c r="AM1455" s="19" t="n">
        <x:v>46387</x:v>
      </x:c>
      <x:c r="AN1455" s="15" t="str">
        <x:v>Антикорозійний захист</x:v>
      </x:c>
      <x:c r="AO1455" s="15" t="str">
        <x:v>supplier_provided_url</x:v>
      </x:c>
    </x:row>
    <x:row r="1456">
      <x:c r="A1456" s="14" t="str">
        <x:v>W5-084</x:v>
      </x:c>
      <x:c r="B1456" s="14" t="str">
        <x:v>Prozorro vertical expansion — 24.08</x:v>
      </x:c>
      <x:c r="C1456" s="14" t="str">
        <x:v>ФОП "Лозовий Орест Ігорович"</x:v>
      </x:c>
      <x:c r="D1456" s="14" t="str">
        <x:v>Резервне живлення</x:v>
      </x:c>
      <x:c r="E1456" s="14" t="str">
        <x:v>Pilot now</x:v>
      </x:c>
      <x:c r="F1456" s="17" t="str">
        <x:v>P3</x:v>
      </x:c>
      <x:c r="G1456" s="14" t="str"/>
      <x:c r="H1456" s="14" t="str">
        <x:v>Пілот зараз — Н.15 subset</x:v>
      </x:c>
      <x:c r="I1456" s="16" t="n">
        <x:v>4</x:v>
      </x:c>
      <x:c r="J1456" s="16" t="n">
        <x:v>5</x:v>
      </x:c>
      <x:c r="K1456" s="16" t="n">
        <x:v>5</x:v>
      </x:c>
      <x:c r="L1456" s="16" t="n">
        <x:v>2</x:v>
      </x:c>
      <x:c r="M1456" s="16" t="n">
        <x:v>5</x:v>
      </x:c>
      <x:c r="N1456" s="16" t="n">
        <x:v>3</x:v>
      </x:c>
      <x:c r="O1456" s="16" t="n">
        <x:v>3</x:v>
      </x:c>
      <x:c r="P1456" s="16" t="n">
        <x:f>IF(COUNT(I1456:O1456)&lt;7,"",I1456*8+J1456*3+K1456*2+L1456*2+M1456*2+N1456*2+O1456)</x:f>
        <x:v>80</x:v>
      </x:c>
      <x:c r="Q1456" s="16" t="n">
        <x:f>IF(COUNT(J1456:O1456)&lt;6,"",J1456*5+K1456*4+M1456*4+L1456*3+N1456*2+O1456*2)</x:f>
        <x:v>83</x:v>
      </x:c>
      <x:c r="R1456" s="14" t="str">
        <x:v>high</x:v>
      </x:c>
      <x:c r="S1456" s="14" t="str">
        <x:v>official_prozorro_award_2024_2026</x:v>
      </x:c>
      <x:c r="T1456" s="14" t="str">
        <x:v>official_prozorro_api</x:v>
      </x:c>
      <x:c r="U1456" s="14" t="str">
        <x:v>Не контактували</x:v>
      </x:c>
      <x:c r="V1456" s="15" t="str">
        <x:v>Персоналізований free-pilot outreach по UA-2026-07-13-001446-a; попросити 1 пакет Н.15</x:v>
      </x:c>
      <x:c r="W1456" s="15" t="str">
        <x:v>Власник / виконавець; відповідальний за договір</x:v>
      </x:c>
      <x:c r="X1456" s="15" t="str">
        <x:v>1 нових підтверджених перемог/договорів у Prozorro на 392 004 грн; 1 зі строком виконання не раніше 24.08.2026.</x:v>
      </x:c>
      <x:c r="Y1456" s="15" t="str">
        <x:v>Послуги з монтажу, підключення та налагодження пристрою автоматичного введення резерву (АВР) та дизель генератора за адресою: м. Львів, пл. Андрія Парубія, 2; опублікований строк до 2026-12-31. Попросити один знеособлений пакет здачі за цим workflow.</x:v>
      </x:c>
      <x:c r="Z1456" s="15" t="str">
        <x:v>https://prozorro.gov.ua/tender/UA-2026-07-13-001446-a</x:v>
      </x:c>
      <x:c r="AA1456" s="14" t="str">
        <x:v>3348303052</x:v>
      </x:c>
      <x:c r="AB1456" s="14" t="str">
        <x:v>2026-08-24</x:v>
      </x:c>
      <x:c r="AC1456" s="14" t="str"/>
      <x:c r="AD1456" s="20" t="str"/>
      <x:c r="AE1456" s="14" t="str"/>
      <x:c r="AF1456" s="14" t="n">
        <x:v>53</x:v>
      </x:c>
      <x:c r="AG1456" s="14" t="str">
        <x:v>I3</x:v>
      </x:c>
      <x:c r="AH1456" s="14" t="n">
        <x:v>1</x:v>
      </x:c>
      <x:c r="AI1456" s="14" t="n">
        <x:v>1</x:v>
      </x:c>
      <x:c r="AJ1456" s="18" t="n">
        <x:v>392004.35</x:v>
      </x:c>
      <x:c r="AK1456" s="14" t="str">
        <x:v>https://prozorro.gov.ua/tender/UA-2026-07-13-001446-a</x:v>
      </x:c>
      <x:c r="AL1456" s="19" t="n">
        <x:v>46225.29740577546</x:v>
      </x:c>
      <x:c r="AM1456" s="19" t="n">
        <x:v>46387</x:v>
      </x:c>
      <x:c r="AN1456" s="15" t="str">
        <x:v>Резервне живлення</x:v>
      </x:c>
      <x:c r="AO1456" s="15" t="str">
        <x:v>not_found_in_top_search</x:v>
      </x:c>
    </x:row>
    <x:row r="1457">
      <x:c r="A1457" s="14" t="str">
        <x:v>W5-085</x:v>
      </x:c>
      <x:c r="B1457" s="14" t="str">
        <x:v>Prozorro vertical expansion — 24.08</x:v>
      </x:c>
      <x:c r="C1457" s="14" t="str">
        <x:v>ПрАТ "Львівобленерго"</x:v>
      </x:c>
      <x:c r="D1457" s="14" t="str">
        <x:v>Насосні станції</x:v>
      </x:c>
      <x:c r="E1457" s="14" t="str">
        <x:v>Expansion discovery</x:v>
      </x:c>
      <x:c r="F1457" s="17" t="str">
        <x:v>D3</x:v>
      </x:c>
      <x:c r="G1457" s="14" t="str"/>
      <x:c r="H1457" s="14" t="str">
        <x:v>Discovery розширення — 2 тижні</x:v>
      </x:c>
      <x:c r="I1457" s="16" t="n">
        <x:v>1</x:v>
      </x:c>
      <x:c r="J1457" s="16" t="n">
        <x:v>5</x:v>
      </x:c>
      <x:c r="K1457" s="16" t="n">
        <x:v>5</x:v>
      </x:c>
      <x:c r="L1457" s="16" t="n">
        <x:v>2</x:v>
      </x:c>
      <x:c r="M1457" s="16" t="n">
        <x:v>5</x:v>
      </x:c>
      <x:c r="N1457" s="16" t="n">
        <x:v>5</x:v>
      </x:c>
      <x:c r="O1457" s="16" t="n">
        <x:v>3</x:v>
      </x:c>
      <x:c r="P1457" s="16" t="n">
        <x:f>IF(COUNT(I1457:O1457)&lt;7,"",I1457*8+J1457*3+K1457*2+L1457*2+M1457*2+N1457*2+O1457)</x:f>
        <x:v>60</x:v>
      </x:c>
      <x:c r="Q1457" s="16" t="n">
        <x:f>IF(COUNT(J1457:O1457)&lt;6,"",J1457*5+K1457*4+M1457*4+L1457*3+N1457*2+O1457*2)</x:f>
        <x:v>87</x:v>
      </x:c>
      <x:c r="R1457" s="14" t="str">
        <x:v>high</x:v>
      </x:c>
      <x:c r="S1457" s="14" t="str">
        <x:v>official_prozorro_award_2024_2026</x:v>
      </x:c>
      <x:c r="T1457" s="14" t="str">
        <x:v>official_prozorro_api</x:v>
      </x:c>
      <x:c r="U1457" s="14" t="str">
        <x:v>Не контактували</x:v>
      </x:c>
      <x:c r="V1457" s="15" t="str">
        <x:v>Workflow-audit outreach по UA-2026-05-14-003649-a; попросити 1 пакет здачі та вимоги проєкту</x:v>
      </x:c>
      <x:c r="W1457" s="15" t="str">
        <x:v>Власник / директор; керівник ПТО; відповідальний за договори</x:v>
      </x:c>
      <x:c r="X1457" s="15" t="str">
        <x:v>1 нових підтверджених перемог/договорів у Prozorro на 244 609 грн; 1 зі строком виконання не раніше 24.08.2026.</x:v>
      </x:c>
      <x:c r="Y1457" s="15" t="str">
        <x:v>Послуга з нестандартного приєднання електроустановок об’єкта «Нове будівництво районної каналізаційної насосної станції з напірним колектором в районі вул. Стрийської – І. Пулюя в м. Дрогобичі Львівської області» до електричних мереж системи розподілу; опублікований строк до 2029-05-06. Попросити один знеособлений пакет здачі за цим workflow.</x:v>
      </x:c>
      <x:c r="Z1457" s="15" t="str">
        <x:v>https://prozorro.gov.ua/tender/UA-2026-05-14-003649-a</x:v>
      </x:c>
      <x:c r="AA1457" s="14" t="str">
        <x:v>00131587</x:v>
      </x:c>
      <x:c r="AB1457" s="14" t="str">
        <x:v>2026-08-24</x:v>
      </x:c>
      <x:c r="AC1457" s="14" t="str"/>
      <x:c r="AD1457" s="20" t="str"/>
      <x:c r="AE1457" s="14" t="str"/>
      <x:c r="AF1457" s="14" t="n">
        <x:v>53</x:v>
      </x:c>
      <x:c r="AG1457" s="14" t="str">
        <x:v>I3</x:v>
      </x:c>
      <x:c r="AH1457" s="14" t="n">
        <x:v>1</x:v>
      </x:c>
      <x:c r="AI1457" s="14" t="n">
        <x:v>1</x:v>
      </x:c>
      <x:c r="AJ1457" s="18" t="n">
        <x:v>244608.84</x:v>
      </x:c>
      <x:c r="AK1457" s="14" t="str">
        <x:v>https://prozorro.gov.ua/tender/UA-2026-05-14-003649-a</x:v>
      </x:c>
      <x:c r="AL1457" s="19" t="n">
        <x:v>46156.33980260417</x:v>
      </x:c>
      <x:c r="AM1457" s="19" t="n">
        <x:v>47244.3384375</x:v>
      </x:c>
      <x:c r="AN1457" s="15" t="str">
        <x:v>Насосні станції; Зовнішні мережі</x:v>
      </x:c>
      <x:c r="AO1457" s="15" t="str">
        <x:v>not_found_in_top_search</x:v>
      </x:c>
    </x:row>
    <x:row r="1458">
      <x:c r="A1458" s="14" t="str">
        <x:v>W5-086</x:v>
      </x:c>
      <x:c r="B1458" s="14" t="str">
        <x:v>Prozorro vertical expansion — 24.08</x:v>
      </x:c>
      <x:c r="C1458" s="14" t="str">
        <x:v>ТОВАРИСТВО З ОБМЕЖЕНОЮ ВІДПОВІДАЛЬНІСТЮ "РЕМТЕХНАЛАДКА"</x:v>
      </x:c>
      <x:c r="D1458" s="14" t="str">
        <x:v>Стиснене повітря / компресорні</x:v>
      </x:c>
      <x:c r="E1458" s="14" t="str">
        <x:v>Expansion discovery</x:v>
      </x:c>
      <x:c r="F1458" s="17" t="str">
        <x:v>D3</x:v>
      </x:c>
      <x:c r="G1458" s="14" t="str"/>
      <x:c r="H1458" s="14" t="str">
        <x:v>Discovery розширення — 2 тижні</x:v>
      </x:c>
      <x:c r="I1458" s="16" t="n">
        <x:v>1</x:v>
      </x:c>
      <x:c r="J1458" s="16" t="n">
        <x:v>5</x:v>
      </x:c>
      <x:c r="K1458" s="16" t="n">
        <x:v>5</x:v>
      </x:c>
      <x:c r="L1458" s="16" t="n">
        <x:v>5</x:v>
      </x:c>
      <x:c r="M1458" s="16" t="n">
        <x:v>5</x:v>
      </x:c>
      <x:c r="N1458" s="16" t="n">
        <x:v>5</x:v>
      </x:c>
      <x:c r="O1458" s="16" t="n">
        <x:v>3</x:v>
      </x:c>
      <x:c r="P1458" s="16" t="n">
        <x:f>IF(COUNT(I1458:O1458)&lt;7,"",I1458*8+J1458*3+K1458*2+L1458*2+M1458*2+N1458*2+O1458)</x:f>
        <x:v>66</x:v>
      </x:c>
      <x:c r="Q1458" s="16" t="n">
        <x:f>IF(COUNT(J1458:O1458)&lt;6,"",J1458*5+K1458*4+M1458*4+L1458*3+N1458*2+O1458*2)</x:f>
        <x:v>96</x:v>
      </x:c>
      <x:c r="R1458" s="14" t="str">
        <x:v>high</x:v>
      </x:c>
      <x:c r="S1458" s="14" t="str">
        <x:v>official_prozorro_award_2024_2026</x:v>
      </x:c>
      <x:c r="T1458" s="14" t="str">
        <x:v>official_prozorro_api</x:v>
      </x:c>
      <x:c r="U1458" s="14" t="str">
        <x:v>Не контактували</x:v>
      </x:c>
      <x:c r="V1458" s="15" t="str">
        <x:v>Workflow-audit outreach по UA-2024-09-27-009899-a; попросити 1 пакет здачі та вимоги проєкту</x:v>
      </x:c>
      <x:c r="W1458" s="15" t="str">
        <x:v>Власник / директор; керівник ПТО; відповідальний за договори</x:v>
      </x:c>
      <x:c r="X1458" s="15" t="str">
        <x:v>2 нових підтверджених перемог/договорів у Prozorro на 42 726 893 грн; 0 зі строком виконання не раніше 24.08.2026.</x:v>
      </x:c>
      <x:c r="Y1458" s="15" t="str">
        <x:v>Реконструкція систем безпеки компресорної станції «Більче-Волиця» Стрийського виробничого управління підземного зберігання газу (Будівельні роботи та поточний ремонт); опублікований строк до 2025-06-30. Попросити один знеособлений пакет здачі за цим workflow.</x:v>
      </x:c>
      <x:c r="Z1458" s="15" t="str">
        <x:v>https://prozorro.gov.ua/tender/UA-2024-09-27-009899-a</x:v>
      </x:c>
      <x:c r="AA1458" s="14" t="str">
        <x:v>25155206</x:v>
      </x:c>
      <x:c r="AB1458" s="14" t="str">
        <x:v>2026-08-24</x:v>
      </x:c>
      <x:c r="AC1458" s="14" t="str"/>
      <x:c r="AD1458" s="20" t="str"/>
      <x:c r="AE1458" s="14" t="str"/>
      <x:c r="AF1458" s="14" t="n">
        <x:v>52</x:v>
      </x:c>
      <x:c r="AG1458" s="14" t="str">
        <x:v>I3</x:v>
      </x:c>
      <x:c r="AH1458" s="14" t="n">
        <x:v>2</x:v>
      </x:c>
      <x:c r="AI1458" s="14" t="n">
        <x:v>0</x:v>
      </x:c>
      <x:c r="AJ1458" s="18" t="n">
        <x:v>42726893.23</x:v>
      </x:c>
      <x:c r="AK1458" s="14" t="str">
        <x:v>https://prozorro.gov.ua/tender/UA-2024-09-27-009899-a</x:v>
      </x:c>
      <x:c r="AL1458" s="19" t="n">
        <x:v>45618.306937650465</x:v>
      </x:c>
      <x:c r="AM1458" s="19" t="n">
        <x:v>45838</x:v>
      </x:c>
      <x:c r="AN1458" s="15" t="str">
        <x:v>Стиснене повітря / компресорні</x:v>
      </x:c>
      <x:c r="AO1458" s="15" t="str">
        <x:v>not_found_in_top_search</x:v>
      </x:c>
    </x:row>
    <x:row r="1459">
      <x:c r="A1459" s="14" t="str">
        <x:v>W5-087</x:v>
      </x:c>
      <x:c r="B1459" s="14" t="str">
        <x:v>Prozorro vertical expansion — 24.08</x:v>
      </x:c>
      <x:c r="C1459" s="14" t="str">
        <x:v>ТОВАРИСТВО З ОБМЕЖЕНОЮ ВІДПОВІДАЛЬНІСТЮ "ДІНАТРОН - ГРУП"</x:v>
      </x:c>
      <x:c r="D1459" s="14" t="str">
        <x:v>Чисті приміщення</x:v>
      </x:c>
      <x:c r="E1459" s="14" t="str">
        <x:v>Expansion discovery</x:v>
      </x:c>
      <x:c r="F1459" s="17" t="str">
        <x:v>D3</x:v>
      </x:c>
      <x:c r="G1459" s="14" t="str"/>
      <x:c r="H1459" s="14" t="str">
        <x:v>Discovery розширення — 2 тижні</x:v>
      </x:c>
      <x:c r="I1459" s="16" t="n">
        <x:v>1</x:v>
      </x:c>
      <x:c r="J1459" s="16" t="n">
        <x:v>5</x:v>
      </x:c>
      <x:c r="K1459" s="16" t="n">
        <x:v>5</x:v>
      </x:c>
      <x:c r="L1459" s="16" t="n">
        <x:v>5</x:v>
      </x:c>
      <x:c r="M1459" s="16" t="n">
        <x:v>5</x:v>
      </x:c>
      <x:c r="N1459" s="16" t="n">
        <x:v>5</x:v>
      </x:c>
      <x:c r="O1459" s="16" t="n">
        <x:v>3</x:v>
      </x:c>
      <x:c r="P1459" s="16" t="n">
        <x:f>IF(COUNT(I1459:O1459)&lt;7,"",I1459*8+J1459*3+K1459*2+L1459*2+M1459*2+N1459*2+O1459)</x:f>
        <x:v>66</x:v>
      </x:c>
      <x:c r="Q1459" s="16" t="n">
        <x:f>IF(COUNT(J1459:O1459)&lt;6,"",J1459*5+K1459*4+M1459*4+L1459*3+N1459*2+O1459*2)</x:f>
        <x:v>96</x:v>
      </x:c>
      <x:c r="R1459" s="14" t="str">
        <x:v>high</x:v>
      </x:c>
      <x:c r="S1459" s="14" t="str">
        <x:v>official_prozorro_award_2024_2026</x:v>
      </x:c>
      <x:c r="T1459" s="14" t="str">
        <x:v>official_prozorro_api</x:v>
      </x:c>
      <x:c r="U1459" s="14" t="str">
        <x:v>Не контактували</x:v>
      </x:c>
      <x:c r="V1459" s="15" t="str">
        <x:v>Workflow-audit outreach по UA-2025-03-26-006429-a; попросити 1 пакет здачі та вимоги проєкту</x:v>
      </x:c>
      <x:c r="W1459" s="15" t="str">
        <x:v>Власник / директор; керівник ПТО; відповідальний за договори</x:v>
      </x:c>
      <x:c r="X1459" s="15" t="str">
        <x:v>2 нових підтверджених перемог/договорів у Prozorro на 13 946 285 грн; 0 зі строком виконання не раніше 24.08.2026.</x:v>
      </x:c>
      <x:c r="Y1459" s="15" t="str">
        <x:v>Додаткові роботи, вартість яких не перевищує 50% від вартості укладеного Договору підряду №186-08ТБ/24 від 21.08.2024 року, далі – «Роботи», по об’єкту: Реконструкція частини приміщень, розташованих на 2-му поверсі будівлі операційного блоку (літера Б-5) під встановлення ангіографічної системи Azurion 5 M20 (X-Ray Diaqnostic Device -Anqioqraph) за адресою: м. Запоріжжя, Оріхівське шосе, 10; опублікований строк до 2025-12-31. Попросити один знеособлений пакет здачі за цим workflow.</x:v>
      </x:c>
      <x:c r="Z1459" s="15" t="str">
        <x:v>https://prozorro.gov.ua/tender/UA-2025-03-26-006429-a</x:v>
      </x:c>
      <x:c r="AA1459" s="14" t="str">
        <x:v>43371363</x:v>
      </x:c>
      <x:c r="AB1459" s="14" t="str">
        <x:v>2026-08-24</x:v>
      </x:c>
      <x:c r="AC1459" s="14" t="str"/>
      <x:c r="AD1459" s="20" t="str"/>
      <x:c r="AE1459" s="14" t="str"/>
      <x:c r="AF1459" s="14" t="n">
        <x:v>52</x:v>
      </x:c>
      <x:c r="AG1459" s="14" t="str">
        <x:v>I3</x:v>
      </x:c>
      <x:c r="AH1459" s="14" t="n">
        <x:v>2</x:v>
      </x:c>
      <x:c r="AI1459" s="14" t="n">
        <x:v>0</x:v>
      </x:c>
      <x:c r="AJ1459" s="18" t="n">
        <x:v>13946284.96</x:v>
      </x:c>
      <x:c r="AK1459" s="14" t="str">
        <x:v>https://prozorro.gov.ua/tender/UA-2025-03-26-006429-a</x:v>
      </x:c>
      <x:c r="AL1459" s="19" t="n">
        <x:v>45742.46046815972</x:v>
      </x:c>
      <x:c r="AM1459" s="19" t="n">
        <x:v>46022</x:v>
      </x:c>
      <x:c r="AN1459" s="15" t="str">
        <x:v>Чисті приміщення</x:v>
      </x:c>
      <x:c r="AO1459" s="15" t="str">
        <x:v>not_found_in_top_search</x:v>
      </x:c>
    </x:row>
    <x:row r="1460">
      <x:c r="A1460" s="14" t="str">
        <x:v>W5-088</x:v>
      </x:c>
      <x:c r="B1460" s="14" t="str">
        <x:v>Prozorro vertical expansion — 24.08</x:v>
      </x:c>
      <x:c r="C1460" s="14" t="str">
        <x:v>ТОВАРИСТВО З ОБМЕЖЕНОЮ ВІДПОВІДАЛЬНІСТЮ "БУДІВНИЦТВО ТЕХНОЛОГІЇ СИСТЕМИ"</x:v>
      </x:c>
      <x:c r="D1460" s="14" t="str">
        <x:v>Теплові пункти</x:v>
      </x:c>
      <x:c r="E1460" s="14" t="str">
        <x:v>Expansion discovery</x:v>
      </x:c>
      <x:c r="F1460" s="17" t="str">
        <x:v>D3</x:v>
      </x:c>
      <x:c r="G1460" s="14" t="str"/>
      <x:c r="H1460" s="14" t="str">
        <x:v>Discovery розширення — 2 тижні</x:v>
      </x:c>
      <x:c r="I1460" s="16" t="n">
        <x:v>1</x:v>
      </x:c>
      <x:c r="J1460" s="16" t="n">
        <x:v>5</x:v>
      </x:c>
      <x:c r="K1460" s="16" t="n">
        <x:v>5</x:v>
      </x:c>
      <x:c r="L1460" s="16" t="n">
        <x:v>4</x:v>
      </x:c>
      <x:c r="M1460" s="16" t="n">
        <x:v>5</x:v>
      </x:c>
      <x:c r="N1460" s="16" t="n">
        <x:v>5</x:v>
      </x:c>
      <x:c r="O1460" s="16" t="n">
        <x:v>3</x:v>
      </x:c>
      <x:c r="P1460" s="16" t="n">
        <x:f>IF(COUNT(I1460:O1460)&lt;7,"",I1460*8+J1460*3+K1460*2+L1460*2+M1460*2+N1460*2+O1460)</x:f>
        <x:v>64</x:v>
      </x:c>
      <x:c r="Q1460" s="16" t="n">
        <x:f>IF(COUNT(J1460:O1460)&lt;6,"",J1460*5+K1460*4+M1460*4+L1460*3+N1460*2+O1460*2)</x:f>
        <x:v>93</x:v>
      </x:c>
      <x:c r="R1460" s="14" t="str">
        <x:v>high</x:v>
      </x:c>
      <x:c r="S1460" s="14" t="str">
        <x:v>official_prozorro_award_2024_2026</x:v>
      </x:c>
      <x:c r="T1460" s="14" t="str">
        <x:v>official_prozorro_api</x:v>
      </x:c>
      <x:c r="U1460" s="14" t="str">
        <x:v>Не контактували</x:v>
      </x:c>
      <x:c r="V1460" s="15" t="str">
        <x:v>Workflow-audit outreach по UA-2025-07-30-009769-a; попросити 1 пакет здачі та вимоги проєкту</x:v>
      </x:c>
      <x:c r="W1460" s="15" t="str">
        <x:v>Власник / директор; керівник ПТО; відповідальний за договори</x:v>
      </x:c>
      <x:c r="X1460" s="15" t="str">
        <x:v>2 нових підтверджених перемог/договорів у Prozorro на 9 685 925 грн; 0 зі строком виконання не раніше 24.08.2026.</x:v>
      </x:c>
      <x:c r="Y1460" s="15" t="str">
        <x:v>Реконструкція індивідуального теплового пункту житлового будинку   ЖБК "ОБОЛОНСЬКА МРІЯ" за адресою: вул. Левка Лук'яненка,  33/35 в м. Києві (код ДК 021:2015: 45454000-4 – Реконструкція); опублікований строк до 2025-12-15. Попросити один знеособлений пакет здачі за цим workflow.</x:v>
      </x:c>
      <x:c r="Z1460" s="15" t="str">
        <x:v>https://prozorro.gov.ua/tender/UA-2025-07-30-009769-a</x:v>
      </x:c>
      <x:c r="AA1460" s="14" t="str">
        <x:v>35645596</x:v>
      </x:c>
      <x:c r="AB1460" s="14" t="str">
        <x:v>2026-08-24</x:v>
      </x:c>
      <x:c r="AC1460" s="14" t="str"/>
      <x:c r="AD1460" s="20" t="str"/>
      <x:c r="AE1460" s="14" t="str"/>
      <x:c r="AF1460" s="14" t="n">
        <x:v>52</x:v>
      </x:c>
      <x:c r="AG1460" s="14" t="str">
        <x:v>I3</x:v>
      </x:c>
      <x:c r="AH1460" s="14" t="n">
        <x:v>2</x:v>
      </x:c>
      <x:c r="AI1460" s="14" t="n">
        <x:v>0</x:v>
      </x:c>
      <x:c r="AJ1460" s="18" t="n">
        <x:v>9685925.23</x:v>
      </x:c>
      <x:c r="AK1460" s="14" t="str">
        <x:v>https://prozorro.gov.ua/tender/UA-2025-07-30-009769-a</x:v>
      </x:c>
      <x:c r="AL1460" s="19" t="n">
        <x:v>45895.65887346065</x:v>
      </x:c>
      <x:c r="AM1460" s="19" t="n">
        <x:v>46006</x:v>
      </x:c>
      <x:c r="AN1460" s="15" t="str">
        <x:v>Теплові пункти</x:v>
      </x:c>
      <x:c r="AO1460" s="15" t="str">
        <x:v>not_found_in_top_search</x:v>
      </x:c>
    </x:row>
    <x:row r="1461">
      <x:c r="A1461" s="14" t="str">
        <x:v>W5-089</x:v>
      </x:c>
      <x:c r="B1461" s="14" t="str">
        <x:v>Prozorro vertical expansion — 24.08</x:v>
      </x:c>
      <x:c r="C1461" s="14" t="str">
        <x:v>ТОВАРИСТВО З ОБМЕЖЕНОЮ ВІДПОВІДАЛЬНІСТЮ "ОРІЄНТ ЛТД"</x:v>
      </x:c>
      <x:c r="D1461" s="14" t="str">
        <x:v>Антикорозійний захист</x:v>
      </x:c>
      <x:c r="E1461" s="14" t="str">
        <x:v>Expansion discovery</x:v>
      </x:c>
      <x:c r="F1461" s="17" t="str">
        <x:v>D3</x:v>
      </x:c>
      <x:c r="G1461" s="14" t="str"/>
      <x:c r="H1461" s="14" t="str">
        <x:v>Discovery розширення — 2 тижні</x:v>
      </x:c>
      <x:c r="I1461" s="16" t="n">
        <x:v>1</x:v>
      </x:c>
      <x:c r="J1461" s="16" t="n">
        <x:v>5</x:v>
      </x:c>
      <x:c r="K1461" s="16" t="n">
        <x:v>5</x:v>
      </x:c>
      <x:c r="L1461" s="16" t="n">
        <x:v>4</x:v>
      </x:c>
      <x:c r="M1461" s="16" t="n">
        <x:v>5</x:v>
      </x:c>
      <x:c r="N1461" s="16" t="n">
        <x:v>5</x:v>
      </x:c>
      <x:c r="O1461" s="16" t="n">
        <x:v>3</x:v>
      </x:c>
      <x:c r="P1461" s="16" t="n">
        <x:f>IF(COUNT(I1461:O1461)&lt;7,"",I1461*8+J1461*3+K1461*2+L1461*2+M1461*2+N1461*2+O1461)</x:f>
        <x:v>64</x:v>
      </x:c>
      <x:c r="Q1461" s="16" t="n">
        <x:f>IF(COUNT(J1461:O1461)&lt;6,"",J1461*5+K1461*4+M1461*4+L1461*3+N1461*2+O1461*2)</x:f>
        <x:v>93</x:v>
      </x:c>
      <x:c r="R1461" s="14" t="str">
        <x:v>high</x:v>
      </x:c>
      <x:c r="S1461" s="14" t="str">
        <x:v>official_prozorro_award_2024_2026</x:v>
      </x:c>
      <x:c r="T1461" s="14" t="str">
        <x:v>official_prozorro_api</x:v>
      </x:c>
      <x:c r="U1461" s="14" t="str">
        <x:v>Не контактували</x:v>
      </x:c>
      <x:c r="V1461" s="15" t="str">
        <x:v>Workflow-audit outreach по UA-2025-05-29-003080-a; попросити 1 пакет здачі та вимоги проєкту</x:v>
      </x:c>
      <x:c r="W1461" s="15" t="str">
        <x:v>Власник / директор; керівник ПТО; відповідальний за договори</x:v>
      </x:c>
      <x:c r="X1461" s="15" t="str">
        <x:v>2 нових підтверджених перемог/договорів у Prozorro на 6 739 998 грн; 0 зі строком виконання не раніше 24.08.2026.</x:v>
      </x:c>
      <x:c r="Y1461" s="15" t="str">
        <x:v>Капітальний ремонт резервуару РВС-5000 Р-1 ОС ЦПіСН +++ ПАТ "Укрнафта" на землях +++ громади (за межами населеного пункту), Прилуцького району, Чернігівської області /антикорозійний захист металоконструкцій; опублікований строк до 2025-12-31. Попросити один знеособлений пакет здачі за цим workflow.</x:v>
      </x:c>
      <x:c r="Z1461" s="15" t="str">
        <x:v>https://prozorro.gov.ua/tender/UA-2025-05-29-003080-a</x:v>
      </x:c>
      <x:c r="AA1461" s="14" t="str">
        <x:v>21118757</x:v>
      </x:c>
      <x:c r="AB1461" s="14" t="str">
        <x:v>2026-08-24</x:v>
      </x:c>
      <x:c r="AC1461" s="14" t="str"/>
      <x:c r="AD1461" s="20" t="str"/>
      <x:c r="AE1461" s="14" t="str"/>
      <x:c r="AF1461" s="14" t="n">
        <x:v>52</x:v>
      </x:c>
      <x:c r="AG1461" s="14" t="str">
        <x:v>I3</x:v>
      </x:c>
      <x:c r="AH1461" s="14" t="n">
        <x:v>2</x:v>
      </x:c>
      <x:c r="AI1461" s="14" t="n">
        <x:v>0</x:v>
      </x:c>
      <x:c r="AJ1461" s="18" t="n">
        <x:v>6739998</x:v>
      </x:c>
      <x:c r="AK1461" s="14" t="str">
        <x:v>https://prozorro.gov.ua/tender/UA-2025-05-29-003080-a</x:v>
      </x:c>
      <x:c r="AL1461" s="19" t="n">
        <x:v>45832.32368001158</x:v>
      </x:c>
      <x:c r="AM1461" s="19" t="n">
        <x:v>46022</x:v>
      </x:c>
      <x:c r="AN1461" s="15" t="str">
        <x:v>Антикорозійний захист</x:v>
      </x:c>
      <x:c r="AO1461" s="15" t="str">
        <x:v>not_found_in_top_search</x:v>
      </x:c>
    </x:row>
    <x:row r="1462">
      <x:c r="A1462" s="14" t="str">
        <x:v>W5-090</x:v>
      </x:c>
      <x:c r="B1462" s="14" t="str">
        <x:v>Prozorro vertical expansion — 24.08</x:v>
      </x:c>
      <x:c r="C1462" s="14" t="str">
        <x:v>ТОВ ОАСУ Енерго</x:v>
      </x:c>
      <x:c r="D1462" s="14" t="str">
        <x:v>Промислова автоматизація / SCADA</x:v>
      </x:c>
      <x:c r="E1462" s="14" t="str">
        <x:v>Expansion discovery</x:v>
      </x:c>
      <x:c r="F1462" s="17" t="str">
        <x:v>D3</x:v>
      </x:c>
      <x:c r="G1462" s="14" t="str"/>
      <x:c r="H1462" s="14" t="str">
        <x:v>Discovery розширення — 2 тижні</x:v>
      </x:c>
      <x:c r="I1462" s="16" t="n">
        <x:v>1</x:v>
      </x:c>
      <x:c r="J1462" s="16" t="n">
        <x:v>5</x:v>
      </x:c>
      <x:c r="K1462" s="16" t="n">
        <x:v>5</x:v>
      </x:c>
      <x:c r="L1462" s="16" t="n">
        <x:v>4</x:v>
      </x:c>
      <x:c r="M1462" s="16" t="n">
        <x:v>5</x:v>
      </x:c>
      <x:c r="N1462" s="16" t="n">
        <x:v>5</x:v>
      </x:c>
      <x:c r="O1462" s="16" t="n">
        <x:v>3</x:v>
      </x:c>
      <x:c r="P1462" s="16" t="n">
        <x:f>IF(COUNT(I1462:O1462)&lt;7,"",I1462*8+J1462*3+K1462*2+L1462*2+M1462*2+N1462*2+O1462)</x:f>
        <x:v>64</x:v>
      </x:c>
      <x:c r="Q1462" s="16" t="n">
        <x:f>IF(COUNT(J1462:O1462)&lt;6,"",J1462*5+K1462*4+M1462*4+L1462*3+N1462*2+O1462*2)</x:f>
        <x:v>93</x:v>
      </x:c>
      <x:c r="R1462" s="14" t="str">
        <x:v>high</x:v>
      </x:c>
      <x:c r="S1462" s="14" t="str">
        <x:v>official_prozorro_award_2024_2026</x:v>
      </x:c>
      <x:c r="T1462" s="14" t="str">
        <x:v>official_prozorro_api</x:v>
      </x:c>
      <x:c r="U1462" s="14" t="str">
        <x:v>Не контактували</x:v>
      </x:c>
      <x:c r="V1462" s="15" t="str">
        <x:v>Workflow-audit outreach по UA-2025-03-27-010653-a; попросити 1 пакет здачі та вимоги проєкту</x:v>
      </x:c>
      <x:c r="W1462" s="15" t="str">
        <x:v>Власник / директор; керівник ПТО; відповідальний за договори</x:v>
      </x:c>
      <x:c r="X1462" s="15" t="str">
        <x:v>2 нових підтверджених перемог/договорів у Prozorro на 4 786 742 грн; 0 зі строком виконання не раніше 24.08.2026.</x:v>
      </x:c>
      <x:c r="Y1462" s="15" t="str">
        <x:v>код 45315700-5 за ДК 021:2015 «Монтаж комутаційних станцій» (технічне переоснащення ОІК «СКАТ» (SCADA) Житомирського РЕМ); опублікований строк до 2025-12-31. Попросити один знеособлений пакет здачі за цим workflow.</x:v>
      </x:c>
      <x:c r="Z1462" s="15" t="str">
        <x:v>https://prozorro.gov.ua/tender/UA-2025-03-27-010653-a</x:v>
      </x:c>
      <x:c r="AA1462" s="14" t="str">
        <x:v>32819923</x:v>
      </x:c>
      <x:c r="AB1462" s="14" t="str">
        <x:v>2026-08-24</x:v>
      </x:c>
      <x:c r="AC1462" s="14" t="str"/>
      <x:c r="AD1462" s="20" t="str"/>
      <x:c r="AE1462" s="14" t="str"/>
      <x:c r="AF1462" s="14" t="n">
        <x:v>52</x:v>
      </x:c>
      <x:c r="AG1462" s="14" t="str">
        <x:v>I3</x:v>
      </x:c>
      <x:c r="AH1462" s="14" t="n">
        <x:v>2</x:v>
      </x:c>
      <x:c r="AI1462" s="14" t="n">
        <x:v>0</x:v>
      </x:c>
      <x:c r="AJ1462" s="18" t="n">
        <x:v>4786742.4</x:v>
      </x:c>
      <x:c r="AK1462" s="14" t="str">
        <x:v>https://prozorro.gov.ua/tender/UA-2025-03-27-010653-a</x:v>
      </x:c>
      <x:c r="AL1462" s="19" t="n">
        <x:v>45763.3061696875</x:v>
      </x:c>
      <x:c r="AM1462" s="19" t="n">
        <x:v>46022</x:v>
      </x:c>
      <x:c r="AN1462" s="15" t="str">
        <x:v>Промислова автоматизація / SCADA</x:v>
      </x:c>
      <x:c r="AO1462" s="15" t="str">
        <x:v>not_found_in_top_search</x:v>
      </x:c>
    </x:row>
    <x:row r="1463">
      <x:c r="A1463" s="14" t="str">
        <x:v>W5-091</x:v>
      </x:c>
      <x:c r="B1463" s="14" t="str">
        <x:v>Prozorro vertical expansion — 24.08</x:v>
      </x:c>
      <x:c r="C1463" s="14" t="str">
        <x:v>ПРИВАТНЕ ПІДПРИЄМСТВО "АКВА УКРАЇНА"</x:v>
      </x:c>
      <x:c r="D1463" s="14" t="str">
        <x:v>Теплові пункти</x:v>
      </x:c>
      <x:c r="E1463" s="14" t="str">
        <x:v>Expansion discovery</x:v>
      </x:c>
      <x:c r="F1463" s="17" t="str">
        <x:v>D3</x:v>
      </x:c>
      <x:c r="G1463" s="14" t="str"/>
      <x:c r="H1463" s="14" t="str">
        <x:v>Discovery розширення — 2 тижні</x:v>
      </x:c>
      <x:c r="I1463" s="16" t="n">
        <x:v>1</x:v>
      </x:c>
      <x:c r="J1463" s="16" t="n">
        <x:v>5</x:v>
      </x:c>
      <x:c r="K1463" s="16" t="n">
        <x:v>5</x:v>
      </x:c>
      <x:c r="L1463" s="16" t="n">
        <x:v>4</x:v>
      </x:c>
      <x:c r="M1463" s="16" t="n">
        <x:v>5</x:v>
      </x:c>
      <x:c r="N1463" s="16" t="n">
        <x:v>5</x:v>
      </x:c>
      <x:c r="O1463" s="16" t="n">
        <x:v>3</x:v>
      </x:c>
      <x:c r="P1463" s="16" t="n">
        <x:f>IF(COUNT(I1463:O1463)&lt;7,"",I1463*8+J1463*3+K1463*2+L1463*2+M1463*2+N1463*2+O1463)</x:f>
        <x:v>64</x:v>
      </x:c>
      <x:c r="Q1463" s="16" t="n">
        <x:f>IF(COUNT(J1463:O1463)&lt;6,"",J1463*5+K1463*4+M1463*4+L1463*3+N1463*2+O1463*2)</x:f>
        <x:v>93</x:v>
      </x:c>
      <x:c r="R1463" s="14" t="str">
        <x:v>high</x:v>
      </x:c>
      <x:c r="S1463" s="14" t="str">
        <x:v>official_prozorro_award_2024_2026</x:v>
      </x:c>
      <x:c r="T1463" s="14" t="str">
        <x:v>official_prozorro_api</x:v>
      </x:c>
      <x:c r="U1463" s="14" t="str">
        <x:v>Не контактували</x:v>
      </x:c>
      <x:c r="V1463" s="15" t="str">
        <x:v>Workflow-audit outreach по UA-2025-07-30-009805-a; попросити 1 пакет здачі та вимоги проєкту</x:v>
      </x:c>
      <x:c r="W1463" s="15" t="str">
        <x:v>Власник / директор; керівник ПТО; відповідальний за договори</x:v>
      </x:c>
      <x:c r="X1463" s="15" t="str">
        <x:v>2 нових підтверджених перемог/договорів у Prozorro на 3 197 181 грн; 0 зі строком виконання не раніше 24.08.2026.</x:v>
      </x:c>
      <x:c r="Y1463" s="15" t="str">
        <x:v>Реконструкція індивідуального теплового пункту житлового будинку ОСББ "Мала Житомирська, 10" за адресою: вул. Мала Житомирська, 10 в Шевченківському районі м. Києва (код ДК 021:2015: 45454000-4 – Реконструкція); опублікований строк до 2025-12-15. Попросити один знеособлений пакет здачі за цим workflow.</x:v>
      </x:c>
      <x:c r="Z1463" s="15" t="str">
        <x:v>https://prozorro.gov.ua/tender/UA-2025-07-30-009805-a</x:v>
      </x:c>
      <x:c r="AA1463" s="14" t="str">
        <x:v>31305690</x:v>
      </x:c>
      <x:c r="AB1463" s="14" t="str">
        <x:v>2026-08-24</x:v>
      </x:c>
      <x:c r="AC1463" s="14" t="str"/>
      <x:c r="AD1463" s="20" t="str"/>
      <x:c r="AE1463" s="14" t="str"/>
      <x:c r="AF1463" s="14" t="n">
        <x:v>52</x:v>
      </x:c>
      <x:c r="AG1463" s="14" t="str">
        <x:v>I3</x:v>
      </x:c>
      <x:c r="AH1463" s="14" t="n">
        <x:v>2</x:v>
      </x:c>
      <x:c r="AI1463" s="14" t="n">
        <x:v>0</x:v>
      </x:c>
      <x:c r="AJ1463" s="18" t="n">
        <x:v>3197181.04</x:v>
      </x:c>
      <x:c r="AK1463" s="14" t="str">
        <x:v>https://prozorro.gov.ua/tender/UA-2025-07-30-009805-a</x:v>
      </x:c>
      <x:c r="AL1463" s="19" t="n">
        <x:v>45890.692494027775</x:v>
      </x:c>
      <x:c r="AM1463" s="19" t="n">
        <x:v>46006</x:v>
      </x:c>
      <x:c r="AN1463" s="15" t="str">
        <x:v>Теплові пункти</x:v>
      </x:c>
      <x:c r="AO1463" s="15" t="str">
        <x:v>not_found_in_top_search</x:v>
      </x:c>
    </x:row>
    <x:row r="1464">
      <x:c r="A1464" s="14" t="str">
        <x:v>W5-092</x:v>
      </x:c>
      <x:c r="B1464" s="14" t="str">
        <x:v>Prozorro vertical expansion — 24.08</x:v>
      </x:c>
      <x:c r="C1464" s="14" t="str">
        <x:v>КАЧАН ЯРОСЛАВ ВАСИЛЬОВИЧ</x:v>
      </x:c>
      <x:c r="D1464" s="14" t="str">
        <x:v>ВОЛЗ / телеком</x:v>
      </x:c>
      <x:c r="E1464" s="14" t="str">
        <x:v>Expansion discovery</x:v>
      </x:c>
      <x:c r="F1464" s="17" t="str">
        <x:v>D3</x:v>
      </x:c>
      <x:c r="G1464" s="14" t="str"/>
      <x:c r="H1464" s="14" t="str">
        <x:v>Discovery розширення — 2 тижні</x:v>
      </x:c>
      <x:c r="I1464" s="16" t="n">
        <x:v>1</x:v>
      </x:c>
      <x:c r="J1464" s="16" t="n">
        <x:v>5</x:v>
      </x:c>
      <x:c r="K1464" s="16" t="n">
        <x:v>5</x:v>
      </x:c>
      <x:c r="L1464" s="16" t="n">
        <x:v>2</x:v>
      </x:c>
      <x:c r="M1464" s="16" t="n">
        <x:v>5</x:v>
      </x:c>
      <x:c r="N1464" s="16" t="n">
        <x:v>3</x:v>
      </x:c>
      <x:c r="O1464" s="16" t="n">
        <x:v>3</x:v>
      </x:c>
      <x:c r="P1464" s="16" t="n">
        <x:f>IF(COUNT(I1464:O1464)&lt;7,"",I1464*8+J1464*3+K1464*2+L1464*2+M1464*2+N1464*2+O1464)</x:f>
        <x:v>56</x:v>
      </x:c>
      <x:c r="Q1464" s="16" t="n">
        <x:f>IF(COUNT(J1464:O1464)&lt;6,"",J1464*5+K1464*4+M1464*4+L1464*3+N1464*2+O1464*2)</x:f>
        <x:v>83</x:v>
      </x:c>
      <x:c r="R1464" s="14" t="str">
        <x:v>high</x:v>
      </x:c>
      <x:c r="S1464" s="14" t="str">
        <x:v>official_prozorro_award_2024_2026</x:v>
      </x:c>
      <x:c r="T1464" s="14" t="str">
        <x:v>official_prozorro_api</x:v>
      </x:c>
      <x:c r="U1464" s="14" t="str">
        <x:v>Не контактували</x:v>
      </x:c>
      <x:c r="V1464" s="15" t="str">
        <x:v>Workflow-audit outreach по UA-2026-02-26-005457-a; попросити 1 пакет здачі та вимоги проєкту</x:v>
      </x:c>
      <x:c r="W1464" s="15" t="str">
        <x:v>Власник / виконавець; відповідальний за договір</x:v>
      </x:c>
      <x:c r="X1464" s="15" t="str">
        <x:v>2 нових підтверджених перемог/договорів у Prozorro на 191 711 грн; 1 зі строком виконання не раніше 24.08.2026.</x:v>
      </x:c>
      <x:c r="Y1464"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та монтжу кабелів волокно-оптичних лінійних зв'язків"; опублікований строк до 2026-09-30. Попросити один знеособлений пакет здачі за цим workflow.</x:v>
      </x:c>
      <x:c r="Z1464" s="15" t="str">
        <x:v>https://prozorro.gov.ua/tender/UA-2026-02-26-005457-a</x:v>
      </x:c>
      <x:c r="AA1464" s="14" t="str">
        <x:v>3266801113</x:v>
      </x:c>
      <x:c r="AB1464" s="14" t="str">
        <x:v>2026-08-24</x:v>
      </x:c>
      <x:c r="AC1464" s="14" t="str"/>
      <x:c r="AD1464" s="20" t="str"/>
      <x:c r="AE1464" s="14" t="str"/>
      <x:c r="AF1464" s="14" t="n">
        <x:v>52</x:v>
      </x:c>
      <x:c r="AG1464" s="14" t="str">
        <x:v>I3</x:v>
      </x:c>
      <x:c r="AH1464" s="14" t="n">
        <x:v>2</x:v>
      </x:c>
      <x:c r="AI1464" s="14" t="n">
        <x:v>1</x:v>
      </x:c>
      <x:c r="AJ1464" s="18" t="n">
        <x:v>191711</x:v>
      </x:c>
      <x:c r="AK1464" s="14" t="str">
        <x:v>https://prozorro.gov.ua/tender/UA-2026-02-26-005457-a</x:v>
      </x:c>
      <x:c r="AL1464" s="19" t="n">
        <x:v>46079.56037892361</x:v>
      </x:c>
      <x:c r="AM1464" s="19" t="n">
        <x:v>46295</x:v>
      </x:c>
      <x:c r="AN1464" s="15" t="str">
        <x:v>ВОЛЗ / телеком</x:v>
      </x:c>
      <x:c r="AO1464" s="15" t="str">
        <x:v>not_found_in_top_search</x:v>
      </x:c>
    </x:row>
    <x:row r="1465">
      <x:c r="A1465" s="14" t="str">
        <x:v>W5-093</x:v>
      </x:c>
      <x:c r="B1465" s="14" t="str">
        <x:v>Prozorro vertical expansion — 24.08</x:v>
      </x:c>
      <x:c r="C1465" s="14" t="str">
        <x:v>ПРИВАТНЕ ПІДПРИЄМСТВО "ЛЕКС СТАТУС"</x:v>
      </x:c>
      <x:c r="D1465" s="14" t="str">
        <x:v>Зовнішні мережі</x:v>
      </x:c>
      <x:c r="E1465" s="14" t="str">
        <x:v>Expansion discovery</x:v>
      </x:c>
      <x:c r="F1465" s="17" t="str">
        <x:v>D3</x:v>
      </x:c>
      <x:c r="G1465" s="14" t="str"/>
      <x:c r="H1465" s="14" t="str">
        <x:v>Discovery розширення — 2 тижні</x:v>
      </x:c>
      <x:c r="I1465" s="16" t="n">
        <x:v>1</x:v>
      </x:c>
      <x:c r="J1465" s="16" t="n">
        <x:v>5</x:v>
      </x:c>
      <x:c r="K1465" s="16" t="n">
        <x:v>5</x:v>
      </x:c>
      <x:c r="L1465" s="16" t="n">
        <x:v>1</x:v>
      </x:c>
      <x:c r="M1465" s="16" t="n">
        <x:v>5</x:v>
      </x:c>
      <x:c r="N1465" s="16" t="n">
        <x:v>5</x:v>
      </x:c>
      <x:c r="O1465" s="16" t="n">
        <x:v>3</x:v>
      </x:c>
      <x:c r="P1465" s="16" t="n">
        <x:f>IF(COUNT(I1465:O1465)&lt;7,"",I1465*8+J1465*3+K1465*2+L1465*2+M1465*2+N1465*2+O1465)</x:f>
        <x:v>58</x:v>
      </x:c>
      <x:c r="Q1465" s="16" t="n">
        <x:f>IF(COUNT(J1465:O1465)&lt;6,"",J1465*5+K1465*4+M1465*4+L1465*3+N1465*2+O1465*2)</x:f>
        <x:v>84</x:v>
      </x:c>
      <x:c r="R1465" s="14" t="str">
        <x:v>high</x:v>
      </x:c>
      <x:c r="S1465" s="14" t="str">
        <x:v>official_prozorro_award_2024_2026</x:v>
      </x:c>
      <x:c r="T1465" s="14" t="str">
        <x:v>official_prozorro_api</x:v>
      </x:c>
      <x:c r="U1465" s="14" t="str">
        <x:v>Не контактували</x:v>
      </x:c>
      <x:c r="V1465" s="15" t="str">
        <x:v>Workflow-audit outreach по UA-2026-08-06-000196-a; попросити 1 пакет здачі та вимоги проєкту</x:v>
      </x:c>
      <x:c r="W1465" s="15" t="str">
        <x:v>Власник / директор; керівник ПТО; відповідальний за договори</x:v>
      </x:c>
      <x:c r="X1465" s="15" t="str">
        <x:v>1 нових підтверджених перемог/договорів у Prozorro на 95 019 грн; 1 зі строком виконання не раніше 24.08.2026.</x:v>
      </x:c>
      <x:c r="Y1465" s="15" t="str">
        <x:v>Виготовлення технічних паспортів по об'єктам: "Будівництво нової лінії напірного каналізаційного колектора від ГКНС (вул. Івана Гонти, 16) до КОС-1 — КОС-2 у місті Житомир. 1 черга (коригування)"; "Будівництво водопровідної мережі від пр. Миру в м. Житомирі до смт. Лісове. Коригування"; опублікований строк до 2026-12-31. Попросити один знеособлений пакет здачі за цим workflow.</x:v>
      </x:c>
      <x:c r="Z1465" s="15" t="str">
        <x:v>https://prozorro.gov.ua/tender/UA-2026-08-06-000196-a</x:v>
      </x:c>
      <x:c r="AA1465" s="14" t="str">
        <x:v>42959545</x:v>
      </x:c>
      <x:c r="AB1465" s="14" t="str">
        <x:v>2026-08-24</x:v>
      </x:c>
      <x:c r="AC1465" s="14" t="str"/>
      <x:c r="AD1465" s="20" t="str"/>
      <x:c r="AE1465" s="14" t="str"/>
      <x:c r="AF1465" s="14" t="n">
        <x:v>52</x:v>
      </x:c>
      <x:c r="AG1465" s="14" t="str">
        <x:v>I3</x:v>
      </x:c>
      <x:c r="AH1465" s="14" t="n">
        <x:v>1</x:v>
      </x:c>
      <x:c r="AI1465" s="14" t="n">
        <x:v>1</x:v>
      </x:c>
      <x:c r="AJ1465" s="18" t="n">
        <x:v>95019</x:v>
      </x:c>
      <x:c r="AK1465" s="14" t="str">
        <x:v>https://prozorro.gov.ua/tender/UA-2026-08-06-000196-a</x:v>
      </x:c>
      <x:c r="AL1465" s="19" t="n">
        <x:v>46240.31078318287</x:v>
      </x:c>
      <x:c r="AM1465" s="19" t="n">
        <x:v>46387</x:v>
      </x:c>
      <x:c r="AN1465" s="15" t="str">
        <x:v>Зовнішні мережі</x:v>
      </x:c>
      <x:c r="AO1465" s="15" t="str">
        <x:v>not_found_in_top_search</x:v>
      </x:c>
    </x:row>
    <x:row r="1466">
      <x:c r="A1466" s="14" t="str">
        <x:v>W5-094</x:v>
      </x:c>
      <x:c r="B1466" s="14" t="str">
        <x:v>Prozorro vertical expansion — 24.08</x:v>
      </x:c>
      <x:c r="C1466" s="14" t="str">
        <x:v>Товариство з обмеженою відповідальністю "Проектна Компанія Вінниця"</x:v>
      </x:c>
      <x:c r="D1466" s="14" t="str">
        <x:v>Сонячна енергетика</x:v>
      </x:c>
      <x:c r="E1466" s="14" t="str">
        <x:v>Pilot now</x:v>
      </x:c>
      <x:c r="F1466" s="17" t="str">
        <x:v>P3</x:v>
      </x:c>
      <x:c r="G1466" s="14" t="str"/>
      <x:c r="H1466" s="14" t="str">
        <x:v>Пілот зараз — Н.15 discovery subset</x:v>
      </x:c>
      <x:c r="I1466" s="16" t="n">
        <x:v>3</x:v>
      </x:c>
      <x:c r="J1466" s="16" t="n">
        <x:v>5</x:v>
      </x:c>
      <x:c r="K1466" s="16" t="n">
        <x:v>5</x:v>
      </x:c>
      <x:c r="L1466" s="16" t="n">
        <x:v>1</x:v>
      </x:c>
      <x:c r="M1466" s="16" t="n">
        <x:v>5</x:v>
      </x:c>
      <x:c r="N1466" s="16" t="n">
        <x:v>5</x:v>
      </x:c>
      <x:c r="O1466" s="16" t="n">
        <x:v>3</x:v>
      </x:c>
      <x:c r="P1466" s="16" t="n">
        <x:f>IF(COUNT(I1466:O1466)&lt;7,"",I1466*8+J1466*3+K1466*2+L1466*2+M1466*2+N1466*2+O1466)</x:f>
        <x:v>74</x:v>
      </x:c>
      <x:c r="Q1466" s="16" t="n">
        <x:f>IF(COUNT(J1466:O1466)&lt;6,"",J1466*5+K1466*4+M1466*4+L1466*3+N1466*2+O1466*2)</x:f>
        <x:v>84</x:v>
      </x:c>
      <x:c r="R1466" s="14" t="str">
        <x:v>high</x:v>
      </x:c>
      <x:c r="S1466" s="14" t="str">
        <x:v>official_prozorro_award_2024_2026</x:v>
      </x:c>
      <x:c r="T1466" s="14" t="str">
        <x:v>official_prozorro_api</x:v>
      </x:c>
      <x:c r="U1466" s="14" t="str">
        <x:v>Не контактували</x:v>
      </x:c>
      <x:c r="V1466" s="15" t="str">
        <x:v>Персоналізований free-pilot outreach по UA-2026-08-06-008282-a; попросити 1 пакет Н.15</x:v>
      </x:c>
      <x:c r="W1466" s="15" t="str">
        <x:v>Власник / директор; керівник ПТО; відповідальний за договори</x:v>
      </x:c>
      <x:c r="X1466" s="15" t="str">
        <x:v>1 нових підтверджених перемог/договорів у Prozorro на 80 000 грн; 1 зі строком виконання не раніше 24.08.2026.</x:v>
      </x:c>
      <x:c r="Y1466" s="15" t="str">
        <x:v>Розробка робочого проекту "Нове будівництво сонячної електростанції для енергозабезпечення будівлі Ситковецького ліцею Райгородської сільської ради Вінницької області за адресою: 22865, вул. І.Франка, 5, с-ще Ситківці, Гайсинський район, Вінницька область"; опублікований строк до 2026-12-31. Попросити один знеособлений пакет здачі за цим workflow.</x:v>
      </x:c>
      <x:c r="Z1466" s="15" t="str">
        <x:v>https://prozorro.gov.ua/tender/UA-2026-08-06-008282-a</x:v>
      </x:c>
      <x:c r="AA1466" s="14" t="str">
        <x:v>41067894</x:v>
      </x:c>
      <x:c r="AB1466" s="14" t="str">
        <x:v>2026-08-24</x:v>
      </x:c>
      <x:c r="AC1466" s="14" t="str"/>
      <x:c r="AD1466" s="20" t="str"/>
      <x:c r="AE1466" s="14" t="str"/>
      <x:c r="AF1466" s="14" t="n">
        <x:v>52</x:v>
      </x:c>
      <x:c r="AG1466" s="14" t="str">
        <x:v>I3</x:v>
      </x:c>
      <x:c r="AH1466" s="14" t="n">
        <x:v>1</x:v>
      </x:c>
      <x:c r="AI1466" s="14" t="n">
        <x:v>1</x:v>
      </x:c>
      <x:c r="AJ1466" s="18" t="n">
        <x:v>80000</x:v>
      </x:c>
      <x:c r="AK1466" s="14" t="str">
        <x:v>https://prozorro.gov.ua/tender/UA-2026-08-06-008282-a</x:v>
      </x:c>
      <x:c r="AL1466" s="19" t="n">
        <x:v>46240.50029748843</x:v>
      </x:c>
      <x:c r="AM1466" s="19" t="n">
        <x:v>46387</x:v>
      </x:c>
      <x:c r="AN1466" s="15" t="str">
        <x:v>Сонячна енергетика</x:v>
      </x:c>
      <x:c r="AO1466" s="15" t="str">
        <x:v>not_found_in_top_search</x:v>
      </x:c>
    </x:row>
    <x:row r="1467">
      <x:c r="A1467" s="14" t="str">
        <x:v>W5-095</x:v>
      </x:c>
      <x:c r="B1467" s="14" t="str">
        <x:v>Prozorro vertical expansion — 24.08</x:v>
      </x:c>
      <x:c r="C1467" s="14" t="str">
        <x:v>КОМУНАЛЬНЕ ПІДПРИЄМСТВО "ЗБАРАЗЬКЕ МІСЬКЕ КОМУНАЛЬНЕ АРХІТЕКТУРНО-ПЛАНУВАЛЬНЕ БЮРО"</x:v>
      </x:c>
      <x:c r="D1467" s="14" t="str">
        <x:v>Зовнішні мережі</x:v>
      </x:c>
      <x:c r="E1467" s="14" t="str">
        <x:v>Expansion discovery</x:v>
      </x:c>
      <x:c r="F1467" s="17" t="str">
        <x:v>D3</x:v>
      </x:c>
      <x:c r="G1467" s="14" t="str"/>
      <x:c r="H1467" s="14" t="str">
        <x:v>Discovery розширення — 2 тижні</x:v>
      </x:c>
      <x:c r="I1467" s="16" t="n">
        <x:v>1</x:v>
      </x:c>
      <x:c r="J1467" s="16" t="n">
        <x:v>5</x:v>
      </x:c>
      <x:c r="K1467" s="16" t="n">
        <x:v>5</x:v>
      </x:c>
      <x:c r="L1467" s="16" t="n">
        <x:v>1</x:v>
      </x:c>
      <x:c r="M1467" s="16" t="n">
        <x:v>5</x:v>
      </x:c>
      <x:c r="N1467" s="16" t="n">
        <x:v>5</x:v>
      </x:c>
      <x:c r="O1467" s="16" t="n">
        <x:v>3</x:v>
      </x:c>
      <x:c r="P1467" s="16" t="n">
        <x:f>IF(COUNT(I1467:O1467)&lt;7,"",I1467*8+J1467*3+K1467*2+L1467*2+M1467*2+N1467*2+O1467)</x:f>
        <x:v>58</x:v>
      </x:c>
      <x:c r="Q1467" s="16" t="n">
        <x:f>IF(COUNT(J1467:O1467)&lt;6,"",J1467*5+K1467*4+M1467*4+L1467*3+N1467*2+O1467*2)</x:f>
        <x:v>84</x:v>
      </x:c>
      <x:c r="R1467" s="14" t="str">
        <x:v>high</x:v>
      </x:c>
      <x:c r="S1467" s="14" t="str">
        <x:v>official_prozorro_award_2024_2026</x:v>
      </x:c>
      <x:c r="T1467" s="14" t="str">
        <x:v>official_prozorro_api</x:v>
      </x:c>
      <x:c r="U1467" s="14" t="str">
        <x:v>Не контактували</x:v>
      </x:c>
      <x:c r="V1467" s="15" t="str">
        <x:v>Workflow-audit outreach по UA-2026-07-27-007591-a; попросити 1 пакет здачі та вимоги проєкту</x:v>
      </x:c>
      <x:c r="W1467" s="15" t="str">
        <x:v>Власник / директор; керівник ПТО; відповідальний за договори</x:v>
      </x:c>
      <x:c r="X1467" s="15" t="str">
        <x:v>1 нових підтверджених перемог/договорів у Prozorro на 48 940 грн; 1 зі строком виконання не раніше 24.08.2026.</x:v>
      </x:c>
      <x:c r="Y1467" s="15" t="str">
        <x:v>Коригування кошторисної документації робочого проекту "Будівництво каналізаційного колектора по вул.І.Франка в м.Збаражі Тернопільського р-ну Тернопільської області ; опублікований строк до 2026-12-31. Попросити один знеособлений пакет здачі за цим workflow.</x:v>
      </x:c>
      <x:c r="Z1467" s="15" t="str">
        <x:v>https://prozorro.gov.ua/tender/UA-2026-07-27-007591-a</x:v>
      </x:c>
      <x:c r="AA1467" s="14" t="str">
        <x:v>24627689</x:v>
      </x:c>
      <x:c r="AB1467" s="14" t="str">
        <x:v>2026-08-24</x:v>
      </x:c>
      <x:c r="AC1467" s="14" t="str"/>
      <x:c r="AD1467" s="20" t="str"/>
      <x:c r="AE1467" s="14" t="str"/>
      <x:c r="AF1467" s="14" t="n">
        <x:v>52</x:v>
      </x:c>
      <x:c r="AG1467" s="14" t="str">
        <x:v>I3</x:v>
      </x:c>
      <x:c r="AH1467" s="14" t="n">
        <x:v>1</x:v>
      </x:c>
      <x:c r="AI1467" s="14" t="n">
        <x:v>1</x:v>
      </x:c>
      <x:c r="AJ1467" s="18" t="n">
        <x:v>48940</x:v>
      </x:c>
      <x:c r="AK1467" s="14" t="str">
        <x:v>https://prozorro.gov.ua/tender/UA-2026-07-27-007591-a</x:v>
      </x:c>
      <x:c r="AL1467" s="19" t="n">
        <x:v>46230.49966195602</x:v>
      </x:c>
      <x:c r="AM1467" s="19" t="n">
        <x:v>46387</x:v>
      </x:c>
      <x:c r="AN1467" s="15" t="str">
        <x:v>Зовнішні мережі</x:v>
      </x:c>
      <x:c r="AO1467" s="15" t="str">
        <x:v>not_found_in_top_search</x:v>
      </x:c>
    </x:row>
    <x:row r="1468">
      <x:c r="A1468" s="14" t="str">
        <x:v>W5-096</x:v>
      </x:c>
      <x:c r="B1468" s="14" t="str">
        <x:v>Prozorro vertical expansion — 24.08</x:v>
      </x:c>
      <x:c r="C1468" s="14" t="str">
        <x:v>МАРТЬЯНОВ ІГОР ВІКТОРОВИЧ</x:v>
      </x:c>
      <x:c r="D1468" s="14" t="str">
        <x:v>Резервне живлення</x:v>
      </x:c>
      <x:c r="E1468" s="14" t="str">
        <x:v>Pilot now</x:v>
      </x:c>
      <x:c r="F1468" s="17" t="str">
        <x:v>P3</x:v>
      </x:c>
      <x:c r="G1468" s="14" t="str"/>
      <x:c r="H1468" s="14" t="str">
        <x:v>Пілот зараз — Н.15 subset</x:v>
      </x:c>
      <x:c r="I1468" s="16" t="n">
        <x:v>4</x:v>
      </x:c>
      <x:c r="J1468" s="16" t="n">
        <x:v>5</x:v>
      </x:c>
      <x:c r="K1468" s="16" t="n">
        <x:v>5</x:v>
      </x:c>
      <x:c r="L1468" s="16" t="n">
        <x:v>1</x:v>
      </x:c>
      <x:c r="M1468" s="16" t="n">
        <x:v>5</x:v>
      </x:c>
      <x:c r="N1468" s="16" t="n">
        <x:v>3</x:v>
      </x:c>
      <x:c r="O1468" s="16" t="n">
        <x:v>3</x:v>
      </x:c>
      <x:c r="P1468" s="16" t="n">
        <x:f>IF(COUNT(I1468:O1468)&lt;7,"",I1468*8+J1468*3+K1468*2+L1468*2+M1468*2+N1468*2+O1468)</x:f>
        <x:v>78</x:v>
      </x:c>
      <x:c r="Q1468" s="16" t="n">
        <x:f>IF(COUNT(J1468:O1468)&lt;6,"",J1468*5+K1468*4+M1468*4+L1468*3+N1468*2+O1468*2)</x:f>
        <x:v>80</x:v>
      </x:c>
      <x:c r="R1468" s="14" t="str">
        <x:v>high</x:v>
      </x:c>
      <x:c r="S1468" s="14" t="str">
        <x:v>official_prozorro_award_2024_2026</x:v>
      </x:c>
      <x:c r="T1468" s="14" t="str">
        <x:v>official_prozorro_api</x:v>
      </x:c>
      <x:c r="U1468" s="14" t="str">
        <x:v>Не контактували</x:v>
      </x:c>
      <x:c r="V1468" s="15" t="str">
        <x:v>Персоналізований free-pilot outreach по UA-2026-08-04-009065-a; попросити 1 пакет Н.15</x:v>
      </x:c>
      <x:c r="W1468" s="15" t="str">
        <x:v>Власник / виконавець; відповідальний за договір</x:v>
      </x:c>
      <x:c r="X1468" s="15" t="str">
        <x:v>1 нових підтверджених перемог/договорів у Prozorro на 31 933 грн; 1 зі строком виконання не раніше 24.08.2026.</x:v>
      </x:c>
      <x:c r="Y1468" s="15" t="str">
        <x:v>Підключення та проведення пусконалагоджувальних робіт дизель-генератора; опублікований строк до 2026-09-30. Попросити один знеособлений пакет здачі за цим workflow.</x:v>
      </x:c>
      <x:c r="Z1468" s="15" t="str">
        <x:v>https://prozorro.gov.ua/tender/UA-2026-08-04-009065-a</x:v>
      </x:c>
      <x:c r="AA1468" s="14" t="str">
        <x:v>2867414633</x:v>
      </x:c>
      <x:c r="AB1468" s="14" t="str">
        <x:v>2026-08-24</x:v>
      </x:c>
      <x:c r="AC1468" s="14" t="str"/>
      <x:c r="AD1468" s="20" t="str"/>
      <x:c r="AE1468" s="14" t="str"/>
      <x:c r="AF1468" s="14" t="n">
        <x:v>52</x:v>
      </x:c>
      <x:c r="AG1468" s="14" t="str">
        <x:v>I3</x:v>
      </x:c>
      <x:c r="AH1468" s="14" t="n">
        <x:v>1</x:v>
      </x:c>
      <x:c r="AI1468" s="14" t="n">
        <x:v>1</x:v>
      </x:c>
      <x:c r="AJ1468" s="18" t="n">
        <x:v>31933.12</x:v>
      </x:c>
      <x:c r="AK1468" s="14" t="str">
        <x:v>https://prozorro.gov.ua/tender/UA-2026-08-04-009065-a</x:v>
      </x:c>
      <x:c r="AL1468" s="19" t="n">
        <x:v>46238.51376490741</x:v>
      </x:c>
      <x:c r="AM1468" s="19" t="n">
        <x:v>46295</x:v>
      </x:c>
      <x:c r="AN1468" s="15" t="str">
        <x:v>Резервне живлення</x:v>
      </x:c>
      <x:c r="AO1468" s="15" t="str">
        <x:v>not_found_in_top_search</x:v>
      </x:c>
    </x:row>
    <x:row r="1469">
      <x:c r="A1469" s="14" t="str">
        <x:v>W5-097</x:v>
      </x:c>
      <x:c r="B1469" s="14" t="str">
        <x:v>Prozorro vertical expansion — 24.08</x:v>
      </x:c>
      <x:c r="C1469" s="14" t="str">
        <x:v>ТОВ "КОМП'ЮТЕРИ ТА КОМУНІКАЦІЇ"</x:v>
      </x:c>
      <x:c r="D1469" s="14" t="str">
        <x:v>Резервне живлення</x:v>
      </x:c>
      <x:c r="E1469" s="14" t="str">
        <x:v>Pilot now</x:v>
      </x:c>
      <x:c r="F1469" s="17" t="str">
        <x:v>P3</x:v>
      </x:c>
      <x:c r="G1469" s="14" t="str"/>
      <x:c r="H1469" s="14" t="str">
        <x:v>Пілот зараз — Н.15 subset</x:v>
      </x:c>
      <x:c r="I1469" s="16" t="n">
        <x:v>4</x:v>
      </x:c>
      <x:c r="J1469" s="16" t="n">
        <x:v>5</x:v>
      </x:c>
      <x:c r="K1469" s="16" t="n">
        <x:v>5</x:v>
      </x:c>
      <x:c r="L1469" s="16" t="n">
        <x:v>1</x:v>
      </x:c>
      <x:c r="M1469" s="16" t="n">
        <x:v>5</x:v>
      </x:c>
      <x:c r="N1469" s="16" t="n">
        <x:v>5</x:v>
      </x:c>
      <x:c r="O1469" s="16" t="n">
        <x:v>3</x:v>
      </x:c>
      <x:c r="P1469" s="16" t="n">
        <x:f>IF(COUNT(I1469:O1469)&lt;7,"",I1469*8+J1469*3+K1469*2+L1469*2+M1469*2+N1469*2+O1469)</x:f>
        <x:v>82</x:v>
      </x:c>
      <x:c r="Q1469" s="16" t="n">
        <x:f>IF(COUNT(J1469:O1469)&lt;6,"",J1469*5+K1469*4+M1469*4+L1469*3+N1469*2+O1469*2)</x:f>
        <x:v>84</x:v>
      </x:c>
      <x:c r="R1469" s="14" t="str">
        <x:v>high</x:v>
      </x:c>
      <x:c r="S1469" s="14" t="str">
        <x:v>official_prozorro_award_2024_2026</x:v>
      </x:c>
      <x:c r="T1469" s="14" t="str">
        <x:v>official_prozorro_api</x:v>
      </x:c>
      <x:c r="U1469" s="14" t="str">
        <x:v>Не контактували</x:v>
      </x:c>
      <x:c r="V1469" s="15" t="str">
        <x:v>Персоналізований free-pilot outreach по UA-2026-07-02-009440-a; попросити 1 пакет Н.15</x:v>
      </x:c>
      <x:c r="W1469" s="15" t="str">
        <x:v>Власник / директор; керівник ПТО; відповідальний за договори</x:v>
      </x:c>
      <x:c r="X1469" s="15" t="str">
        <x:v>1 нових підтверджених перемог/договорів у Prozorro на 24 083 грн; 1 зі строком виконання не раніше 24.08.2026.</x:v>
      </x:c>
      <x:c r="Y1469" s="15" t="str">
        <x:v>Послуги з монтажу та підключення джерел безперебійного живлення; опублікований строк до 2026-08-31. Попросити один знеособлений пакет здачі за цим workflow.</x:v>
      </x:c>
      <x:c r="Z1469" s="15" t="str">
        <x:v>https://prozorro.gov.ua/tender/UA-2026-07-02-009440-a</x:v>
      </x:c>
      <x:c r="AA1469" s="14" t="str">
        <x:v>38514333</x:v>
      </x:c>
      <x:c r="AB1469" s="14" t="str">
        <x:v>2026-08-24</x:v>
      </x:c>
      <x:c r="AC1469" s="14" t="str"/>
      <x:c r="AD1469" s="20" t="str"/>
      <x:c r="AE1469" s="14" t="str"/>
      <x:c r="AF1469" s="14" t="n">
        <x:v>52</x:v>
      </x:c>
      <x:c r="AG1469" s="14" t="str">
        <x:v>I3</x:v>
      </x:c>
      <x:c r="AH1469" s="14" t="n">
        <x:v>1</x:v>
      </x:c>
      <x:c r="AI1469" s="14" t="n">
        <x:v>1</x:v>
      </x:c>
      <x:c r="AJ1469" s="18" t="n">
        <x:v>24083</x:v>
      </x:c>
      <x:c r="AK1469" s="14" t="str">
        <x:v>https://prozorro.gov.ua/tender/UA-2026-07-02-009440-a</x:v>
      </x:c>
      <x:c r="AL1469" s="19" t="n">
        <x:v>46217.44950539352</x:v>
      </x:c>
      <x:c r="AM1469" s="19" t="n">
        <x:v>46265</x:v>
      </x:c>
      <x:c r="AN1469" s="15" t="str">
        <x:v>Резервне живлення</x:v>
      </x:c>
      <x:c r="AO1469" s="15" t="str">
        <x:v>not_found_in_top_search</x:v>
      </x:c>
    </x:row>
    <x:row r="1470">
      <x:c r="A1470" s="14" t="str">
        <x:v>W5-098</x:v>
      </x:c>
      <x:c r="B1470" s="14" t="str">
        <x:v>Prozorro vertical expansion — 24.08</x:v>
      </x:c>
      <x:c r="C1470" s="14" t="str">
        <x:v>ФОП "КОЛОШВА ВАСИЛЬ ПЕТРОВИЧ"</x:v>
      </x:c>
      <x:c r="D1470" s="14" t="str">
        <x:v>Насосні станції</x:v>
      </x:c>
      <x:c r="E1470" s="14" t="str">
        <x:v>Expansion discovery</x:v>
      </x:c>
      <x:c r="F1470" s="17" t="str">
        <x:v>D3</x:v>
      </x:c>
      <x:c r="G1470" s="14" t="str"/>
      <x:c r="H1470" s="14" t="str">
        <x:v>Discovery розширення — 2 тижні</x:v>
      </x:c>
      <x:c r="I1470" s="16" t="n">
        <x:v>1</x:v>
      </x:c>
      <x:c r="J1470" s="16" t="n">
        <x:v>5</x:v>
      </x:c>
      <x:c r="K1470" s="16" t="n">
        <x:v>5</x:v>
      </x:c>
      <x:c r="L1470" s="16" t="n">
        <x:v>3</x:v>
      </x:c>
      <x:c r="M1470" s="16" t="n">
        <x:v>5</x:v>
      </x:c>
      <x:c r="N1470" s="16" t="n">
        <x:v>3</x:v>
      </x:c>
      <x:c r="O1470" s="16" t="n">
        <x:v>3</x:v>
      </x:c>
      <x:c r="P1470" s="16" t="n">
        <x:f>IF(COUNT(I1470:O1470)&lt;7,"",I1470*8+J1470*3+K1470*2+L1470*2+M1470*2+N1470*2+O1470)</x:f>
        <x:v>58</x:v>
      </x:c>
      <x:c r="Q1470" s="16" t="n">
        <x:f>IF(COUNT(J1470:O1470)&lt;6,"",J1470*5+K1470*4+M1470*4+L1470*3+N1470*2+O1470*2)</x:f>
        <x:v>86</x:v>
      </x:c>
      <x:c r="R1470" s="14" t="str">
        <x:v>high</x:v>
      </x:c>
      <x:c r="S1470" s="14" t="str">
        <x:v>official_prozorro_award_2024_2026</x:v>
      </x:c>
      <x:c r="T1470" s="14" t="str">
        <x:v>official_prozorro_api</x:v>
      </x:c>
      <x:c r="U1470" s="14" t="str">
        <x:v>Не контактували</x:v>
      </x:c>
      <x:c r="V1470" s="15" t="str">
        <x:v>Workflow-audit outreach по UA-2026-04-30-010971-a; попросити 1 пакет здачі та вимоги проєкту</x:v>
      </x:c>
      <x:c r="W1470" s="15" t="str">
        <x:v>Власник / виконавець; відповідальний за договір</x:v>
      </x:c>
      <x:c r="X1470" s="15" t="str">
        <x:v>1 нових підтверджених перемог/договорів у Prozorro на 1 840 242 грн; 1 зі строком виконання не раніше 24.08.2026.</x:v>
      </x:c>
      <x:c r="Y1470"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опублікований строк до 2026-08-31. Попросити один знеособлений пакет здачі за цим workflow.</x:v>
      </x:c>
      <x:c r="Z1470" s="15" t="str">
        <x:v>https://prozorro.gov.ua/tender/UA-2026-04-30-010971-a</x:v>
      </x:c>
      <x:c r="AA1470" s="14" t="str">
        <x:v>3193713557</x:v>
      </x:c>
      <x:c r="AB1470" s="14" t="str">
        <x:v>2026-08-24</x:v>
      </x:c>
      <x:c r="AC1470" s="14" t="str"/>
      <x:c r="AD1470" s="20" t="str"/>
      <x:c r="AE1470" s="14" t="str"/>
      <x:c r="AF1470" s="14" t="n">
        <x:v>51</x:v>
      </x:c>
      <x:c r="AG1470" s="14" t="str">
        <x:v>I3</x:v>
      </x:c>
      <x:c r="AH1470" s="14" t="n">
        <x:v>1</x:v>
      </x:c>
      <x:c r="AI1470" s="14" t="n">
        <x:v>1</x:v>
      </x:c>
      <x:c r="AJ1470" s="18" t="n">
        <x:v>1840242.39</x:v>
      </x:c>
      <x:c r="AK1470" s="14" t="str">
        <x:v>https://prozorro.gov.ua/tender/UA-2026-04-30-010971-a</x:v>
      </x:c>
      <x:c r="AL1470" s="19" t="n">
        <x:v>46169.52573541667</x:v>
      </x:c>
      <x:c r="AM1470" s="19" t="n">
        <x:v>46265</x:v>
      </x:c>
      <x:c r="AN1470" s="15" t="str">
        <x:v>Насосні станції</x:v>
      </x:c>
      <x:c r="AO1470" s="15" t="str">
        <x:v>not_found_in_top_search</x:v>
      </x:c>
    </x:row>
    <x:row r="1471">
      <x:c r="A1471" s="14" t="str">
        <x:v>W5-099</x:v>
      </x:c>
      <x:c r="B1471" s="14" t="str">
        <x:v>Prozorro vertical expansion — 24.08</x:v>
      </x:c>
      <x:c r="C1471" s="14" t="str">
        <x:v>ФОП Усик Олександр Петрович</x:v>
      </x:c>
      <x:c r="D1471" s="14" t="str">
        <x:v>Насосні станції</x:v>
      </x:c>
      <x:c r="E1471" s="14" t="str">
        <x:v>Expansion discovery</x:v>
      </x:c>
      <x:c r="F1471" s="17" t="str">
        <x:v>D3</x:v>
      </x:c>
      <x:c r="G1471" s="14" t="str"/>
      <x:c r="H1471" s="14" t="str">
        <x:v>Discovery розширення — 2 тижні</x:v>
      </x:c>
      <x:c r="I1471" s="16" t="n">
        <x:v>1</x:v>
      </x:c>
      <x:c r="J1471" s="16" t="n">
        <x:v>5</x:v>
      </x:c>
      <x:c r="K1471" s="16" t="n">
        <x:v>5</x:v>
      </x:c>
      <x:c r="L1471" s="16" t="n">
        <x:v>3</x:v>
      </x:c>
      <x:c r="M1471" s="16" t="n">
        <x:v>5</x:v>
      </x:c>
      <x:c r="N1471" s="16" t="n">
        <x:v>3</x:v>
      </x:c>
      <x:c r="O1471" s="16" t="n">
        <x:v>3</x:v>
      </x:c>
      <x:c r="P1471" s="16" t="n">
        <x:f>IF(COUNT(I1471:O1471)&lt;7,"",I1471*8+J1471*3+K1471*2+L1471*2+M1471*2+N1471*2+O1471)</x:f>
        <x:v>58</x:v>
      </x:c>
      <x:c r="Q1471" s="16" t="n">
        <x:f>IF(COUNT(J1471:O1471)&lt;6,"",J1471*5+K1471*4+M1471*4+L1471*3+N1471*2+O1471*2)</x:f>
        <x:v>86</x:v>
      </x:c>
      <x:c r="R1471" s="14" t="str">
        <x:v>high</x:v>
      </x:c>
      <x:c r="S1471" s="14" t="str">
        <x:v>official_prozorro_award_2024_2026</x:v>
      </x:c>
      <x:c r="T1471" s="14" t="str">
        <x:v>official_prozorro_api</x:v>
      </x:c>
      <x:c r="U1471" s="14" t="str">
        <x:v>Не контактували</x:v>
      </x:c>
      <x:c r="V1471" s="15" t="str">
        <x:v>Workflow-audit outreach по UA-2026-06-17-001350-a; попросити 1 пакет здачі та вимоги проєкту</x:v>
      </x:c>
      <x:c r="W1471" s="15" t="str">
        <x:v>Власник / виконавець; відповідальний за договір</x:v>
      </x:c>
      <x:c r="X1471" s="15" t="str">
        <x:v>1 нових підтверджених перемог/договорів у Prozorro на 676 502 грн; 1 зі строком виконання не раніше 24.08.2026.</x:v>
      </x:c>
      <x:c r="Y1471" s="15" t="str">
        <x:v>Капітальний ремонт електрообладнання каналізаційної насосної станції (біля гаражів) в с. Проліски Бориспільського району Київської області; опублікований строк до 2026-12-31. Попросити один знеособлений пакет здачі за цим workflow.</x:v>
      </x:c>
      <x:c r="Z1471" s="15" t="str">
        <x:v>https://prozorro.gov.ua/tender/UA-2026-06-17-001350-a</x:v>
      </x:c>
      <x:c r="AA1471" s="14" t="str">
        <x:v>2645112332</x:v>
      </x:c>
      <x:c r="AB1471" s="14" t="str">
        <x:v>2026-08-24</x:v>
      </x:c>
      <x:c r="AC1471" s="14" t="str"/>
      <x:c r="AD1471" s="20" t="str"/>
      <x:c r="AE1471" s="14" t="str"/>
      <x:c r="AF1471" s="14" t="n">
        <x:v>51</x:v>
      </x:c>
      <x:c r="AG1471" s="14" t="str">
        <x:v>I3</x:v>
      </x:c>
      <x:c r="AH1471" s="14" t="n">
        <x:v>1</x:v>
      </x:c>
      <x:c r="AI1471" s="14" t="n">
        <x:v>1</x:v>
      </x:c>
      <x:c r="AJ1471" s="18" t="n">
        <x:v>676502.44</x:v>
      </x:c>
      <x:c r="AK1471" s="14" t="str">
        <x:v>https://prozorro.gov.ua/tender/UA-2026-06-17-001350-a</x:v>
      </x:c>
      <x:c r="AL1471" s="19" t="n">
        <x:v>46190.2828881713</x:v>
      </x:c>
      <x:c r="AM1471" s="19" t="n">
        <x:v>46387.32638888889</x:v>
      </x:c>
      <x:c r="AN1471" s="15" t="str">
        <x:v>Насосні станції</x:v>
      </x:c>
      <x:c r="AO1471" s="15" t="str">
        <x:v>not_found_in_top_search</x:v>
      </x:c>
    </x:row>
    <x:row r="1472">
      <x:c r="A1472" s="14" t="str">
        <x:v>W5-100</x:v>
      </x:c>
      <x:c r="B1472" s="14" t="str">
        <x:v>Prozorro vertical expansion — 24.08</x:v>
      </x:c>
      <x:c r="C1472" s="14" t="str">
        <x:v>ТОВ В.Ф.Ф.</x:v>
      </x:c>
      <x:c r="D1472" s="14" t="str">
        <x:v>Зовнішні мережі</x:v>
      </x:c>
      <x:c r="E1472" s="14" t="str">
        <x:v>Expansion discovery</x:v>
      </x:c>
      <x:c r="F1472" s="17" t="str">
        <x:v>D3</x:v>
      </x:c>
      <x:c r="G1472" s="14" t="str"/>
      <x:c r="H1472" s="14" t="str">
        <x:v>Discovery розширення — 2 тижні</x:v>
      </x:c>
      <x:c r="I1472" s="16" t="n">
        <x:v>1</x:v>
      </x:c>
      <x:c r="J1472" s="16" t="n">
        <x:v>5</x:v>
      </x:c>
      <x:c r="K1472" s="16" t="n">
        <x:v>5</x:v>
      </x:c>
      <x:c r="L1472" s="16" t="n">
        <x:v>4</x:v>
      </x:c>
      <x:c r="M1472" s="16" t="n">
        <x:v>5</x:v>
      </x:c>
      <x:c r="N1472" s="16" t="n">
        <x:v>5</x:v>
      </x:c>
      <x:c r="O1472" s="16" t="n">
        <x:v>3</x:v>
      </x:c>
      <x:c r="P1472" s="16" t="n">
        <x:f>IF(COUNT(I1472:O1472)&lt;7,"",I1472*8+J1472*3+K1472*2+L1472*2+M1472*2+N1472*2+O1472)</x:f>
        <x:v>64</x:v>
      </x:c>
      <x:c r="Q1472" s="16" t="n">
        <x:f>IF(COUNT(J1472:O1472)&lt;6,"",J1472*5+K1472*4+M1472*4+L1472*3+N1472*2+O1472*2)</x:f>
        <x:v>93</x:v>
      </x:c>
      <x:c r="R1472" s="14" t="str">
        <x:v>high</x:v>
      </x:c>
      <x:c r="S1472" s="14" t="str">
        <x:v>official_prozorro_award_2024_2026</x:v>
      </x:c>
      <x:c r="T1472" s="14" t="str">
        <x:v>official_prozorro_api</x:v>
      </x:c>
      <x:c r="U1472" s="14" t="str">
        <x:v>Не контактували</x:v>
      </x:c>
      <x:c r="V1472" s="15" t="str">
        <x:v>Workflow-audit outreach по UA-2026-03-09-012191-a; попросити 1 пакет здачі та вимоги проєкту</x:v>
      </x:c>
      <x:c r="W1472" s="15" t="str">
        <x:v>Власник / директор; керівник ПТО; відповідальний за договори</x:v>
      </x:c>
      <x:c r="X1472" s="15" t="str">
        <x:v>1 нових підтверджених перемог/договорів у Prozorro на 5 088 019 грн; 1 зі строком виконання не раніше 24.08.2026.</x:v>
      </x:c>
      <x:c r="Y1472" s="15" t="str">
        <x:v>Виконання робіт по об’єкту: «Нове будівництво каналізаційного колектору від вул.Огієнка, 9 до КНС по вул.Лесі Українки в смт.Рудне Залізничного району м.Львова» (І-ша черга будівництва); опублікований строк до 2026-12-31. Попросити один знеособлений пакет здачі за цим workflow.</x:v>
      </x:c>
      <x:c r="Z1472" s="15" t="str">
        <x:v>https://prozorro.gov.ua/tender/UA-2026-03-09-012191-a</x:v>
      </x:c>
      <x:c r="AA1472" s="14" t="str">
        <x:v>39924250</x:v>
      </x:c>
      <x:c r="AB1472" s="14" t="str">
        <x:v>2026-08-24</x:v>
      </x:c>
      <x:c r="AC1472" s="14" t="str"/>
      <x:c r="AD1472" s="20" t="str"/>
      <x:c r="AE1472" s="14" t="str"/>
      <x:c r="AF1472" s="14" t="n">
        <x:v>50</x:v>
      </x:c>
      <x:c r="AG1472" s="14" t="str">
        <x:v>I3</x:v>
      </x:c>
      <x:c r="AH1472" s="14" t="n">
        <x:v>1</x:v>
      </x:c>
      <x:c r="AI1472" s="14" t="n">
        <x:v>1</x:v>
      </x:c>
      <x:c r="AJ1472" s="18" t="n">
        <x:v>5088018.94</x:v>
      </x:c>
      <x:c r="AK1472" s="14" t="str">
        <x:v>https://prozorro.gov.ua/tender/UA-2026-03-09-012191-a</x:v>
      </x:c>
      <x:c r="AL1472" s="19" t="n">
        <x:v>46111.698594525464</x:v>
      </x:c>
      <x:c r="AM1472" s="19" t="n">
        <x:v>46387</x:v>
      </x:c>
      <x:c r="AN1472" s="15" t="str">
        <x:v>Зовнішні мережі</x:v>
      </x:c>
      <x:c r="AO1472" s="15" t="str">
        <x:v>not_found_in_top_search</x:v>
      </x:c>
    </x:row>
    <x:row r="1473">
      <x:c r="A1473" s="14" t="str">
        <x:v>W5-101</x:v>
      </x:c>
      <x:c r="B1473" s="14" t="str">
        <x:v>Prozorro vertical expansion — 24.08</x:v>
      </x:c>
      <x:c r="C1473" s="14" t="str">
        <x:v>ПП "БУДКОМПЛЕКТ-ІНЖИНІРИНГ"</x:v>
      </x:c>
      <x:c r="D1473" s="14" t="str">
        <x:v>Димовидалення</x:v>
      </x:c>
      <x:c r="E1473" s="14" t="str">
        <x:v>Expansion discovery</x:v>
      </x:c>
      <x:c r="F1473" s="17" t="str">
        <x:v>D3</x:v>
      </x:c>
      <x:c r="G1473" s="14" t="str">
        <x:v>bki-climat.in.ua</x:v>
      </x:c>
      <x:c r="H1473" s="14" t="str">
        <x:v>Discovery розширення — 2 тижні</x:v>
      </x:c>
      <x:c r="I1473" s="16" t="n">
        <x:v>1</x:v>
      </x:c>
      <x:c r="J1473" s="16" t="n">
        <x:v>5</x:v>
      </x:c>
      <x:c r="K1473" s="16" t="n">
        <x:v>5</x:v>
      </x:c>
      <x:c r="L1473" s="16" t="n">
        <x:v>4</x:v>
      </x:c>
      <x:c r="M1473" s="16" t="n">
        <x:v>5</x:v>
      </x:c>
      <x:c r="N1473" s="16" t="n">
        <x:v>5</x:v>
      </x:c>
      <x:c r="O1473" s="16" t="n">
        <x:v>5</x:v>
      </x:c>
      <x:c r="P1473" s="16" t="n">
        <x:f>IF(COUNT(I1473:O1473)&lt;7,"",I1473*8+J1473*3+K1473*2+L1473*2+M1473*2+N1473*2+O1473)</x:f>
        <x:v>66</x:v>
      </x:c>
      <x:c r="Q1473" s="16" t="n">
        <x:f>IF(COUNT(J1473:O1473)&lt;6,"",J1473*5+K1473*4+M1473*4+L1473*3+N1473*2+O1473*2)</x:f>
        <x:v>97</x:v>
      </x:c>
      <x:c r="R1473" s="14" t="str">
        <x:v>high</x:v>
      </x:c>
      <x:c r="S1473" s="14" t="str">
        <x:v>official_prozorro_award_2024_2026</x:v>
      </x:c>
      <x:c r="T1473" s="14" t="str">
        <x:v>official_prozorro_api</x:v>
      </x:c>
      <x:c r="U1473" s="14" t="str">
        <x:v>Не контактували</x:v>
      </x:c>
      <x:c r="V1473" s="15" t="str">
        <x:v>Workflow-audit outreach по UA-2026-03-11-001228-a; попросити 1 пакет здачі та вимоги проєкту</x:v>
      </x:c>
      <x:c r="W1473" s="15" t="str">
        <x:v>Власник / директор; керівник ПТО; відповідальний за договори</x:v>
      </x:c>
      <x:c r="X1473" s="15" t="str">
        <x:v>1 нових підтверджених перемог/договорів у Prozorro на 3 632 050 грн; 0 зі строком виконання не раніше 24.08.2026.</x:v>
      </x:c>
      <x:c r="Y1473" s="15" t="str">
        <x:v>Електромонтажні роботи. (Послуги з монтажу системи димовидалення).; опублікований строк до 2026-06-30. Попросити один знеособлений пакет здачі за цим workflow.</x:v>
      </x:c>
      <x:c r="Z1473" s="15" t="str">
        <x:v>https://prozorro.gov.ua/tender/UA-2026-03-11-001228-a</x:v>
      </x:c>
      <x:c r="AA1473" s="14" t="str">
        <x:v>36282055</x:v>
      </x:c>
      <x:c r="AB1473" s="14" t="str">
        <x:v>2026-08-24</x:v>
      </x:c>
      <x:c r="AC1473" s="14" t="str"/>
      <x:c r="AD1473" s="20" t="str"/>
      <x:c r="AE1473" s="14" t="str"/>
      <x:c r="AF1473" s="14" t="n">
        <x:v>50</x:v>
      </x:c>
      <x:c r="AG1473" s="14" t="str">
        <x:v>I3</x:v>
      </x:c>
      <x:c r="AH1473" s="14" t="n">
        <x:v>1</x:v>
      </x:c>
      <x:c r="AI1473" s="14" t="n">
        <x:v>0</x:v>
      </x:c>
      <x:c r="AJ1473" s="18" t="n">
        <x:v>3632050</x:v>
      </x:c>
      <x:c r="AK1473" s="14" t="str">
        <x:v>https://prozorro.gov.ua/tender/UA-2026-03-11-001228-a</x:v>
      </x:c>
      <x:c r="AL1473" s="19" t="n">
        <x:v>46106.35317649305</x:v>
      </x:c>
      <x:c r="AM1473" s="19" t="n">
        <x:v>46203</x:v>
      </x:c>
      <x:c r="AN1473" s="15" t="str">
        <x:v>Димовидалення</x:v>
      </x:c>
      <x:c r="AO1473" s="15" t="str">
        <x:v>supplier_provided_url</x:v>
      </x:c>
    </x:row>
    <x:row r="1474">
      <x:c r="A1474" s="14" t="str">
        <x:v>W5-102</x:v>
      </x:c>
      <x:c r="B1474" s="14" t="str">
        <x:v>Prozorro vertical expansion — 24.08</x:v>
      </x:c>
      <x:c r="C1474" s="14" t="str">
        <x:v>ТОВ "ІННОВА-БУД"</x:v>
      </x:c>
      <x:c r="D1474" s="14" t="str">
        <x:v>Залізнична інфраструктура</x:v>
      </x:c>
      <x:c r="E1474" s="14" t="str">
        <x:v>Expansion discovery</x:v>
      </x:c>
      <x:c r="F1474" s="17" t="str">
        <x:v>D3</x:v>
      </x:c>
      <x:c r="G1474" s="14" t="str"/>
      <x:c r="H1474" s="14" t="str">
        <x:v>Discovery розширення — 2 тижні</x:v>
      </x:c>
      <x:c r="I1474" s="16" t="n">
        <x:v>1</x:v>
      </x:c>
      <x:c r="J1474" s="16" t="n">
        <x:v>5</x:v>
      </x:c>
      <x:c r="K1474" s="16" t="n">
        <x:v>5</x:v>
      </x:c>
      <x:c r="L1474" s="16" t="n">
        <x:v>4</x:v>
      </x:c>
      <x:c r="M1474" s="16" t="n">
        <x:v>5</x:v>
      </x:c>
      <x:c r="N1474" s="16" t="n">
        <x:v>5</x:v>
      </x:c>
      <x:c r="O1474" s="16" t="n">
        <x:v>3</x:v>
      </x:c>
      <x:c r="P1474" s="16" t="n">
        <x:f>IF(COUNT(I1474:O1474)&lt;7,"",I1474*8+J1474*3+K1474*2+L1474*2+M1474*2+N1474*2+O1474)</x:f>
        <x:v>64</x:v>
      </x:c>
      <x:c r="Q1474" s="16" t="n">
        <x:f>IF(COUNT(J1474:O1474)&lt;6,"",J1474*5+K1474*4+M1474*4+L1474*3+N1474*2+O1474*2)</x:f>
        <x:v>93</x:v>
      </x:c>
      <x:c r="R1474" s="14" t="str">
        <x:v>high</x:v>
      </x:c>
      <x:c r="S1474" s="14" t="str">
        <x:v>official_prozorro_award_2024_2026</x:v>
      </x:c>
      <x:c r="T1474" s="14" t="str">
        <x:v>official_prozorro_api</x:v>
      </x:c>
      <x:c r="U1474" s="14" t="str">
        <x:v>Не контактували</x:v>
      </x:c>
      <x:c r="V1474" s="15" t="str">
        <x:v>Workflow-audit outreach по UA-2026-03-26-011461-a; попросити 1 пакет здачі та вимоги проєкту</x:v>
      </x:c>
      <x:c r="W1474" s="15" t="str">
        <x:v>Власник / директор; керівник ПТО; відповідальний за договори</x:v>
      </x:c>
      <x:c r="X1474" s="15" t="str">
        <x:v>1 нових підтверджених перемог/договорів у Prozorro на 2 525 000 грн; 1 зі строком виконання не раніше 24.08.2026.</x:v>
      </x:c>
      <x:c r="Y1474"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дорожнього покриття на вул. Полудневій (на ділянці від буд. №50 вул. Січової до залізничної колії) у м. Львові); опублікований строк до 2026-12-31. Попросити один знеособлений пакет здачі за цим workflow.</x:v>
      </x:c>
      <x:c r="Z1474" s="15" t="str">
        <x:v>https://prozorro.gov.ua/tender/UA-2026-03-26-011461-a</x:v>
      </x:c>
      <x:c r="AA1474" s="14" t="str">
        <x:v>42018832</x:v>
      </x:c>
      <x:c r="AB1474" s="14" t="str">
        <x:v>2026-08-24</x:v>
      </x:c>
      <x:c r="AC1474" s="14" t="str"/>
      <x:c r="AD1474" s="20" t="str"/>
      <x:c r="AE1474" s="14" t="str"/>
      <x:c r="AF1474" s="14" t="n">
        <x:v>50</x:v>
      </x:c>
      <x:c r="AG1474" s="14" t="str">
        <x:v>I3</x:v>
      </x:c>
      <x:c r="AH1474" s="14" t="n">
        <x:v>1</x:v>
      </x:c>
      <x:c r="AI1474" s="14" t="n">
        <x:v>1</x:v>
      </x:c>
      <x:c r="AJ1474" s="18" t="n">
        <x:v>2525000</x:v>
      </x:c>
      <x:c r="AK1474" s="14" t="str">
        <x:v>https://prozorro.gov.ua/tender/UA-2026-03-26-011461-a</x:v>
      </x:c>
      <x:c r="AL1474" s="19" t="n">
        <x:v>46129.5244278125</x:v>
      </x:c>
      <x:c r="AM1474" s="19" t="n">
        <x:v>46387</x:v>
      </x:c>
      <x:c r="AN1474" s="15" t="str">
        <x:v>Залізнична інфраструктура</x:v>
      </x:c>
      <x:c r="AO1474" s="15" t="str">
        <x:v>not_found_in_top_search</x:v>
      </x:c>
    </x:row>
    <x:row r="1475">
      <x:c r="A1475" s="14" t="str">
        <x:v>W5-103</x:v>
      </x:c>
      <x:c r="B1475" s="14" t="str">
        <x:v>Prozorro vertical expansion — 24.08</x:v>
      </x:c>
      <x:c r="C1475" s="14" t="str">
        <x:v>ТОВАРИСТВО З ОБМЕЖЕНОЮ ВІДПОВІДАЛЬНІСТЮ "УКРЕНЕРГОБУДПРОЕКТ"</x:v>
      </x:c>
      <x:c r="D1475" s="14" t="str">
        <x:v>Сонячна енергетика</x:v>
      </x:c>
      <x:c r="E1475" s="14" t="str">
        <x:v>Pilot now</x:v>
      </x:c>
      <x:c r="F1475" s="17" t="str">
        <x:v>P3</x:v>
      </x:c>
      <x:c r="G1475" s="14" t="str"/>
      <x:c r="H1475" s="14" t="str">
        <x:v>Пілот зараз — Н.15 discovery subset</x:v>
      </x:c>
      <x:c r="I1475" s="16" t="n">
        <x:v>3</x:v>
      </x:c>
      <x:c r="J1475" s="16" t="n">
        <x:v>5</x:v>
      </x:c>
      <x:c r="K1475" s="16" t="n">
        <x:v>5</x:v>
      </x:c>
      <x:c r="L1475" s="16" t="n">
        <x:v>2</x:v>
      </x:c>
      <x:c r="M1475" s="16" t="n">
        <x:v>5</x:v>
      </x:c>
      <x:c r="N1475" s="16" t="n">
        <x:v>5</x:v>
      </x:c>
      <x:c r="O1475" s="16" t="n">
        <x:v>3</x:v>
      </x:c>
      <x:c r="P1475" s="16" t="n">
        <x:f>IF(COUNT(I1475:O1475)&lt;7,"",I1475*8+J1475*3+K1475*2+L1475*2+M1475*2+N1475*2+O1475)</x:f>
        <x:v>76</x:v>
      </x:c>
      <x:c r="Q1475" s="16" t="n">
        <x:f>IF(COUNT(J1475:O1475)&lt;6,"",J1475*5+K1475*4+M1475*4+L1475*3+N1475*2+O1475*2)</x:f>
        <x:v>87</x:v>
      </x:c>
      <x:c r="R1475" s="14" t="str">
        <x:v>high</x:v>
      </x:c>
      <x:c r="S1475" s="14" t="str">
        <x:v>official_prozorro_award_2024_2026</x:v>
      </x:c>
      <x:c r="T1475" s="14" t="str">
        <x:v>official_prozorro_api</x:v>
      </x:c>
      <x:c r="U1475" s="14" t="str">
        <x:v>Не контактували</x:v>
      </x:c>
      <x:c r="V1475" s="15" t="str">
        <x:v>Персоналізований free-pilot outreach по UA-2026-04-28-007744-a; попросити 1 пакет Н.15</x:v>
      </x:c>
      <x:c r="W1475" s="15" t="str">
        <x:v>Власник / директор; керівник ПТО; відповідальний за договори</x:v>
      </x:c>
      <x:c r="X1475" s="15" t="str">
        <x:v>1 нових підтверджених перемог/договорів у Prozorro на 464 489 грн; 1 зі строком виконання не раніше 24.08.2026.</x:v>
      </x:c>
      <x:c r="Y1475" s="15" t="str">
        <x:v>Нове будівництво ПЛ-35 кВ Л-700 (1С-35 кВ) «Перегонівка -  ФЕС Сонячна-3» та ПЛ-35 кВ Л-770 (2С-35 кВ) «Перегонівка -  ФЕС Сонячна-3» у зв’язку із приєднанням сонячної електростанції ТОВ «СОНЯЧНА-3» в с.Перегонівка Голованівського району Кіровоградської області, кад. №3521486000:51:000:0342» ; опублікований строк до 2026-11-30. Попросити один знеособлений пакет здачі за цим workflow.</x:v>
      </x:c>
      <x:c r="Z1475" s="15" t="str">
        <x:v>https://prozorro.gov.ua/tender/UA-2026-04-28-007744-a</x:v>
      </x:c>
      <x:c r="AA1475" s="14" t="str">
        <x:v>35444619</x:v>
      </x:c>
      <x:c r="AB1475" s="14" t="str">
        <x:v>2026-08-24</x:v>
      </x:c>
      <x:c r="AC1475" s="14" t="str"/>
      <x:c r="AD1475" s="20" t="str"/>
      <x:c r="AE1475" s="14" t="str"/>
      <x:c r="AF1475" s="14" t="n">
        <x:v>50</x:v>
      </x:c>
      <x:c r="AG1475" s="14" t="str">
        <x:v>I3</x:v>
      </x:c>
      <x:c r="AH1475" s="14" t="n">
        <x:v>1</x:v>
      </x:c>
      <x:c r="AI1475" s="14" t="n">
        <x:v>1</x:v>
      </x:c>
      <x:c r="AJ1475" s="18" t="n">
        <x:v>464488.79</x:v>
      </x:c>
      <x:c r="AK1475" s="14" t="str">
        <x:v>https://prozorro.gov.ua/tender/UA-2026-04-28-007744-a</x:v>
      </x:c>
      <x:c r="AL1475" s="19" t="n">
        <x:v>46140.44659778935</x:v>
      </x:c>
      <x:c r="AM1475" s="19" t="n">
        <x:v>46356</x:v>
      </x:c>
      <x:c r="AN1475" s="15" t="str">
        <x:v>Сонячна енергетика</x:v>
      </x:c>
      <x:c r="AO1475" s="15" t="str">
        <x:v>not_found_in_top_search</x:v>
      </x:c>
    </x:row>
    <x:row r="1476">
      <x:c r="A1476" s="14" t="str">
        <x:v>W5-104</x:v>
      </x:c>
      <x:c r="B1476" s="14" t="str">
        <x:v>Prozorro vertical expansion — 24.08</x:v>
      </x:c>
      <x:c r="C1476" s="14" t="str">
        <x:v>ТОВАРИСТВО З ОБМЕЖЕНОЮ ВІДПОВІДАЛЬНІСТЮ «А-ЛАЙН»</x:v>
      </x:c>
      <x:c r="D1476" s="14" t="str">
        <x:v>Сонячна енергетика</x:v>
      </x:c>
      <x:c r="E1476" s="14" t="str">
        <x:v>Pilot now</x:v>
      </x:c>
      <x:c r="F1476" s="17" t="str">
        <x:v>P3</x:v>
      </x:c>
      <x:c r="G1476" s="14" t="str"/>
      <x:c r="H1476" s="14" t="str">
        <x:v>Пілот зараз — Н.15 discovery subset</x:v>
      </x:c>
      <x:c r="I1476" s="16" t="n">
        <x:v>3</x:v>
      </x:c>
      <x:c r="J1476" s="16" t="n">
        <x:v>5</x:v>
      </x:c>
      <x:c r="K1476" s="16" t="n">
        <x:v>5</x:v>
      </x:c>
      <x:c r="L1476" s="16" t="n">
        <x:v>2</x:v>
      </x:c>
      <x:c r="M1476" s="16" t="n">
        <x:v>5</x:v>
      </x:c>
      <x:c r="N1476" s="16" t="n">
        <x:v>5</x:v>
      </x:c>
      <x:c r="O1476" s="16" t="n">
        <x:v>3</x:v>
      </x:c>
      <x:c r="P1476" s="16" t="n">
        <x:f>IF(COUNT(I1476:O1476)&lt;7,"",I1476*8+J1476*3+K1476*2+L1476*2+M1476*2+N1476*2+O1476)</x:f>
        <x:v>76</x:v>
      </x:c>
      <x:c r="Q1476" s="16" t="n">
        <x:f>IF(COUNT(J1476:O1476)&lt;6,"",J1476*5+K1476*4+M1476*4+L1476*3+N1476*2+O1476*2)</x:f>
        <x:v>87</x:v>
      </x:c>
      <x:c r="R1476" s="14" t="str">
        <x:v>high</x:v>
      </x:c>
      <x:c r="S1476" s="14" t="str">
        <x:v>official_prozorro_award_2024_2026</x:v>
      </x:c>
      <x:c r="T1476" s="14" t="str">
        <x:v>official_prozorro_api</x:v>
      </x:c>
      <x:c r="U1476" s="14" t="str">
        <x:v>Не контактували</x:v>
      </x:c>
      <x:c r="V1476" s="15" t="str">
        <x:v>Персоналізований free-pilot outreach по UA-2026-06-02-005064-a; попросити 1 пакет Н.15</x:v>
      </x:c>
      <x:c r="W1476" s="15" t="str">
        <x:v>Власник / директор; керівник ПТО; відповідальний за договори</x:v>
      </x:c>
      <x:c r="X1476" s="15" t="str">
        <x:v>1 нових підтверджених перемог/договорів у Prozorro на 445 931 грн; 1 зі строком виконання не раніше 24.08.2026.</x:v>
      </x:c>
      <x:c r="Y1476" s="15" t="str">
        <x:v>Нове будівництво сонячних електростанцій Південної філії ДП «АМПУ», за адресою: м. Південне, Одеський район, Одеської області, вул. Берегова, 11 (проектні роботи); опублікований строк до 2026-12-31. Попросити один знеособлений пакет здачі за цим workflow.</x:v>
      </x:c>
      <x:c r="Z1476" s="15" t="str">
        <x:v>https://prozorro.gov.ua/tender/UA-2026-06-02-005064-a</x:v>
      </x:c>
      <x:c r="AA1476" s="14" t="str">
        <x:v>43729717</x:v>
      </x:c>
      <x:c r="AB1476" s="14" t="str">
        <x:v>2026-08-24</x:v>
      </x:c>
      <x:c r="AC1476" s="14" t="str"/>
      <x:c r="AD1476" s="20" t="str"/>
      <x:c r="AE1476" s="14" t="str"/>
      <x:c r="AF1476" s="14" t="n">
        <x:v>50</x:v>
      </x:c>
      <x:c r="AG1476" s="14" t="str">
        <x:v>I3</x:v>
      </x:c>
      <x:c r="AH1476" s="14" t="n">
        <x:v>1</x:v>
      </x:c>
      <x:c r="AI1476" s="14" t="n">
        <x:v>1</x:v>
      </x:c>
      <x:c r="AJ1476" s="18" t="n">
        <x:v>445930.8</x:v>
      </x:c>
      <x:c r="AK1476" s="14" t="str">
        <x:v>https://prozorro.gov.ua/tender/UA-2026-06-02-005064-a</x:v>
      </x:c>
      <x:c r="AL1476" s="19" t="n">
        <x:v>46175.37241267361</x:v>
      </x:c>
      <x:c r="AM1476" s="19" t="n">
        <x:v>46387</x:v>
      </x:c>
      <x:c r="AN1476" s="15" t="str">
        <x:v>Сонячна енергетика</x:v>
      </x:c>
      <x:c r="AO1476" s="15" t="str">
        <x:v>not_found_in_top_search</x:v>
      </x:c>
    </x:row>
    <x:row r="1477">
      <x:c r="A1477" s="14" t="str">
        <x:v>W5-105</x:v>
      </x:c>
      <x:c r="B1477" s="14" t="str">
        <x:v>Prozorro vertical expansion — 24.08</x:v>
      </x:c>
      <x:c r="C1477" s="14" t="str">
        <x:v>ТОВ "ІНЖСПЕЦБУД"</x:v>
      </x:c>
      <x:c r="D1477" s="14" t="str">
        <x:v>Залізнична інфраструктура</x:v>
      </x:c>
      <x:c r="E1477" s="14" t="str">
        <x:v>Expansion discovery</x:v>
      </x:c>
      <x:c r="F1477" s="17" t="str">
        <x:v>D3</x:v>
      </x:c>
      <x:c r="G1477" s="14" t="str"/>
      <x:c r="H1477" s="14" t="str">
        <x:v>Discovery розширення — 2 тижні</x:v>
      </x:c>
      <x:c r="I1477" s="16" t="n">
        <x:v>1</x:v>
      </x:c>
      <x:c r="J1477" s="16" t="n">
        <x:v>5</x:v>
      </x:c>
      <x:c r="K1477" s="16" t="n">
        <x:v>5</x:v>
      </x:c>
      <x:c r="L1477" s="16" t="n">
        <x:v>2</x:v>
      </x:c>
      <x:c r="M1477" s="16" t="n">
        <x:v>5</x:v>
      </x:c>
      <x:c r="N1477" s="16" t="n">
        <x:v>5</x:v>
      </x:c>
      <x:c r="O1477" s="16" t="n">
        <x:v>3</x:v>
      </x:c>
      <x:c r="P1477" s="16" t="n">
        <x:f>IF(COUNT(I1477:O1477)&lt;7,"",I1477*8+J1477*3+K1477*2+L1477*2+M1477*2+N1477*2+O1477)</x:f>
        <x:v>60</x:v>
      </x:c>
      <x:c r="Q1477" s="16" t="n">
        <x:f>IF(COUNT(J1477:O1477)&lt;6,"",J1477*5+K1477*4+M1477*4+L1477*3+N1477*2+O1477*2)</x:f>
        <x:v>87</x:v>
      </x:c>
      <x:c r="R1477" s="14" t="str">
        <x:v>high</x:v>
      </x:c>
      <x:c r="S1477" s="14" t="str">
        <x:v>official_prozorro_award_2024_2026</x:v>
      </x:c>
      <x:c r="T1477" s="14" t="str">
        <x:v>official_prozorro_api</x:v>
      </x:c>
      <x:c r="U1477" s="14" t="str">
        <x:v>Не контактували</x:v>
      </x:c>
      <x:c r="V1477" s="15" t="str">
        <x:v>Workflow-audit outreach по UA-2026-06-16-003639-a; попросити 1 пакет здачі та вимоги проєкту</x:v>
      </x:c>
      <x:c r="W1477" s="15" t="str">
        <x:v>Власник / директор; керівник ПТО; відповідальний за договори</x:v>
      </x:c>
      <x:c r="X1477" s="15" t="str">
        <x:v>1 нових підтверджених перемог/договорів у Prozorro на 384 837 грн; 0 зі строком виконання не раніше 24.08.2026.</x:v>
      </x:c>
      <x:c r="Y1477" s="15" t="str">
        <x:v>Капітальний ремонт зовнішньої мережі водопостачання м. Роздільна, вул. Тираспольська з улаштуванням відводу від існуючого магістрального водогону під залізничною колією до точки приєднання до централізованої системи водопостачання м. Роздільна вул. Привокзальна для забезпечення водопостачання об’єктів критичної інфраструктури та населення міста; опублікований строк до 2026-07-31. Попросити один знеособлений пакет здачі за цим workflow.</x:v>
      </x:c>
      <x:c r="Z1477" s="15" t="str">
        <x:v>https://prozorro.gov.ua/tender/UA-2026-06-16-003639-a</x:v>
      </x:c>
      <x:c r="AA1477" s="14" t="str">
        <x:v>34320769</x:v>
      </x:c>
      <x:c r="AB1477" s="14" t="str">
        <x:v>2026-08-24</x:v>
      </x:c>
      <x:c r="AC1477" s="14" t="str"/>
      <x:c r="AD1477" s="20" t="str"/>
      <x:c r="AE1477" s="14" t="str"/>
      <x:c r="AF1477" s="14" t="n">
        <x:v>50</x:v>
      </x:c>
      <x:c r="AG1477" s="14" t="str">
        <x:v>I3</x:v>
      </x:c>
      <x:c r="AH1477" s="14" t="n">
        <x:v>1</x:v>
      </x:c>
      <x:c r="AI1477" s="14" t="n">
        <x:v>0</x:v>
      </x:c>
      <x:c r="AJ1477" s="18" t="n">
        <x:v>384836.57</x:v>
      </x:c>
      <x:c r="AK1477" s="14" t="str">
        <x:v>https://prozorro.gov.ua/tender/UA-2026-06-16-003639-a</x:v>
      </x:c>
      <x:c r="AL1477" s="19" t="n">
        <x:v>46189.340833877315</x:v>
      </x:c>
      <x:c r="AM1477" s="19" t="n">
        <x:v>46234.34204861111</x:v>
      </x:c>
      <x:c r="AN1477" s="15" t="str">
        <x:v>Залізнична інфраструктура</x:v>
      </x:c>
      <x:c r="AO1477" s="15" t="str">
        <x:v>not_found_in_top_search</x:v>
      </x:c>
    </x:row>
    <x:row r="1478">
      <x:c r="A1478" s="14" t="str">
        <x:v>W5-106</x:v>
      </x:c>
      <x:c r="B1478" s="14" t="str">
        <x:v>Prozorro vertical expansion — 24.08</x:v>
      </x:c>
      <x:c r="C1478" s="14" t="str">
        <x:v>ТОВ "ЕНЕРГОІННОВАЦІЙНА КОМПАНІЯ"</x:v>
      </x:c>
      <x:c r="D1478" s="14" t="str">
        <x:v>Резервне живлення</x:v>
      </x:c>
      <x:c r="E1478" s="14" t="str">
        <x:v>Pilot now</x:v>
      </x:c>
      <x:c r="F1478" s="17" t="str">
        <x:v>P3</x:v>
      </x:c>
      <x:c r="G1478" s="14" t="str">
        <x:v>eik.net.ua</x:v>
      </x:c>
      <x:c r="H1478" s="14" t="str">
        <x:v>Пілот зараз — Н.15 subset</x:v>
      </x:c>
      <x:c r="I1478" s="16" t="n">
        <x:v>4</x:v>
      </x:c>
      <x:c r="J1478" s="16" t="n">
        <x:v>5</x:v>
      </x:c>
      <x:c r="K1478" s="16" t="n">
        <x:v>5</x:v>
      </x:c>
      <x:c r="L1478" s="16" t="n">
        <x:v>2</x:v>
      </x:c>
      <x:c r="M1478" s="16" t="n">
        <x:v>5</x:v>
      </x:c>
      <x:c r="N1478" s="16" t="n">
        <x:v>5</x:v>
      </x:c>
      <x:c r="O1478" s="16" t="n">
        <x:v>5</x:v>
      </x:c>
      <x:c r="P1478" s="16" t="n">
        <x:f>IF(COUNT(I1478:O1478)&lt;7,"",I1478*8+J1478*3+K1478*2+L1478*2+M1478*2+N1478*2+O1478)</x:f>
        <x:v>86</x:v>
      </x:c>
      <x:c r="Q1478" s="16" t="n">
        <x:f>IF(COUNT(J1478:O1478)&lt;6,"",J1478*5+K1478*4+M1478*4+L1478*3+N1478*2+O1478*2)</x:f>
        <x:v>91</x:v>
      </x:c>
      <x:c r="R1478" s="14" t="str">
        <x:v>high</x:v>
      </x:c>
      <x:c r="S1478" s="14" t="str">
        <x:v>official_prozorro_award_2024_2026</x:v>
      </x:c>
      <x:c r="T1478" s="14" t="str">
        <x:v>official_prozorro_api</x:v>
      </x:c>
      <x:c r="U1478" s="14" t="str">
        <x:v>Не контактували</x:v>
      </x:c>
      <x:c r="V1478" s="15" t="str">
        <x:v>Персоналізований free-pilot outreach по UA-2026-05-07-004068-a; попросити 1 пакет Н.15</x:v>
      </x:c>
      <x:c r="W1478" s="15" t="str">
        <x:v>Власник / директор; керівник ПТО; відповідальний за договори</x:v>
      </x:c>
      <x:c r="X1478" s="15" t="str">
        <x:v>1 нових підтверджених перемог/договорів у Prozorro на 360 000 грн; 1 зі строком виконання не раніше 24.08.2026.</x:v>
      </x:c>
      <x:c r="Y1478" s="1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 опублікований строк до 2026-08-31. Попросити один знеособлений пакет здачі за цим workflow.</x:v>
      </x:c>
      <x:c r="Z1478" s="15" t="str">
        <x:v>https://prozorro.gov.ua/tender/UA-2026-05-07-004068-a</x:v>
      </x:c>
      <x:c r="AA1478" s="14" t="str">
        <x:v>43177157</x:v>
      </x:c>
      <x:c r="AB1478" s="14" t="str">
        <x:v>2026-08-24</x:v>
      </x:c>
      <x:c r="AC1478" s="14" t="str"/>
      <x:c r="AD1478" s="20" t="str"/>
      <x:c r="AE1478" s="14" t="str"/>
      <x:c r="AF1478" s="14" t="n">
        <x:v>50</x:v>
      </x:c>
      <x:c r="AG1478" s="14" t="str">
        <x:v>I3</x:v>
      </x:c>
      <x:c r="AH1478" s="14" t="n">
        <x:v>1</x:v>
      </x:c>
      <x:c r="AI1478" s="14" t="n">
        <x:v>1</x:v>
      </x:c>
      <x:c r="AJ1478" s="18" t="n">
        <x:v>360000</x:v>
      </x:c>
      <x:c r="AK1478" s="14" t="str">
        <x:v>https://prozorro.gov.ua/tender/UA-2026-05-07-004068-a</x:v>
      </x:c>
      <x:c r="AL1478" s="19" t="n">
        <x:v>46157.45244673611</x:v>
      </x:c>
      <x:c r="AM1478" s="19" t="n">
        <x:v>46265</x:v>
      </x:c>
      <x:c r="AN1478" s="15" t="str">
        <x:v>Резервне живлення</x:v>
      </x:c>
      <x:c r="AO1478" s="15" t="str">
        <x:v>supplier_provided_url</x:v>
      </x:c>
    </x:row>
    <x:row r="1479">
      <x:c r="A1479" s="14" t="str">
        <x:v>W5-107</x:v>
      </x:c>
      <x:c r="B1479" s="14" t="str">
        <x:v>Prozorro vertical expansion — 24.08</x:v>
      </x:c>
      <x:c r="C1479" s="14" t="str">
        <x:v>ТОВАРИСТВО З ОБМЕЖЕНОЮ ВІДПОВІДАЛЬНІСТЮ "ЕКО ГЛОБАЛ НЕСТ"</x:v>
      </x:c>
      <x:c r="D1479" s="14" t="str">
        <x:v>Зовнішні мережі</x:v>
      </x:c>
      <x:c r="E1479" s="14" t="str">
        <x:v>Expansion discovery</x:v>
      </x:c>
      <x:c r="F1479" s="17" t="str">
        <x:v>D3</x:v>
      </x:c>
      <x:c r="G1479" s="14" t="str"/>
      <x:c r="H1479" s="14" t="str">
        <x:v>Discovery розширення — 2 тижні</x:v>
      </x:c>
      <x:c r="I1479" s="16" t="n">
        <x:v>1</x:v>
      </x:c>
      <x:c r="J1479" s="16" t="n">
        <x:v>5</x:v>
      </x:c>
      <x:c r="K1479" s="16" t="n">
        <x:v>5</x:v>
      </x:c>
      <x:c r="L1479" s="16" t="n">
        <x:v>2</x:v>
      </x:c>
      <x:c r="M1479" s="16" t="n">
        <x:v>5</x:v>
      </x:c>
      <x:c r="N1479" s="16" t="n">
        <x:v>5</x:v>
      </x:c>
      <x:c r="O1479" s="16" t="n">
        <x:v>3</x:v>
      </x:c>
      <x:c r="P1479" s="16" t="n">
        <x:f>IF(COUNT(I1479:O1479)&lt;7,"",I1479*8+J1479*3+K1479*2+L1479*2+M1479*2+N1479*2+O1479)</x:f>
        <x:v>60</x:v>
      </x:c>
      <x:c r="Q1479" s="16" t="n">
        <x:f>IF(COUNT(J1479:O1479)&lt;6,"",J1479*5+K1479*4+M1479*4+L1479*3+N1479*2+O1479*2)</x:f>
        <x:v>87</x:v>
      </x:c>
      <x:c r="R1479" s="14" t="str">
        <x:v>high</x:v>
      </x:c>
      <x:c r="S1479" s="14" t="str">
        <x:v>official_prozorro_award_2024_2026</x:v>
      </x:c>
      <x:c r="T1479" s="14" t="str">
        <x:v>official_prozorro_api</x:v>
      </x:c>
      <x:c r="U1479" s="14" t="str">
        <x:v>Не контактували</x:v>
      </x:c>
      <x:c r="V1479" s="15" t="str">
        <x:v>Workflow-audit outreach по UA-2026-04-27-006399-a; попросити 1 пакет здачі та вимоги проєкту</x:v>
      </x:c>
      <x:c r="W1479" s="15" t="str">
        <x:v>Власник / директор; керівник ПТО; відповідальний за договори</x:v>
      </x:c>
      <x:c r="X1479" s="15" t="str">
        <x:v>1 нових підтверджених перемог/договорів у Prozorro на 340 000 грн; 1 зі строком виконання не раніше 24.08.2026.</x:v>
      </x:c>
      <x:c r="Y1479" s="15" t="str">
        <x:v>Розробка звіту з оцінки впливу на довкілля (ОВД) та отримання висновку за проєктом: «Нове будівництво напірного каналізаційного колектора та очисних споруд каналізації в с. Біла Тернопільського району Тернопільської області» з подальшим підключенням мешканців територіальної громади до каналізаційних мереж» (Код ДК 021:2015: 90710000-7 Екологічний менеджмент); опублікований строк до 2026-12-31. Попросити один знеособлений пакет здачі за цим workflow.</x:v>
      </x:c>
      <x:c r="Z1479" s="15" t="str">
        <x:v>https://prozorro.gov.ua/tender/UA-2026-04-27-006399-a</x:v>
      </x:c>
      <x:c r="AA1479" s="14" t="str">
        <x:v>43419420</x:v>
      </x:c>
      <x:c r="AB1479" s="14" t="str">
        <x:v>2026-08-24</x:v>
      </x:c>
      <x:c r="AC1479" s="14" t="str"/>
      <x:c r="AD1479" s="20" t="str"/>
      <x:c r="AE1479" s="14" t="str"/>
      <x:c r="AF1479" s="14" t="n">
        <x:v>50</x:v>
      </x:c>
      <x:c r="AG1479" s="14" t="str">
        <x:v>I3</x:v>
      </x:c>
      <x:c r="AH1479" s="14" t="n">
        <x:v>1</x:v>
      </x:c>
      <x:c r="AI1479" s="14" t="n">
        <x:v>1</x:v>
      </x:c>
      <x:c r="AJ1479" s="18" t="n">
        <x:v>340000</x:v>
      </x:c>
      <x:c r="AK1479" s="14" t="str">
        <x:v>https://prozorro.gov.ua/tender/UA-2026-04-27-006399-a</x:v>
      </x:c>
      <x:c r="AL1479" s="19" t="n">
        <x:v>46168.57274616898</x:v>
      </x:c>
      <x:c r="AM1479" s="19" t="n">
        <x:v>46387.46863425926</x:v>
      </x:c>
      <x:c r="AN1479" s="15" t="str">
        <x:v>Зовнішні мережі</x:v>
      </x:c>
      <x:c r="AO1479" s="15" t="str">
        <x:v>not_found_in_top_search</x:v>
      </x:c>
    </x:row>
    <x:row r="1480">
      <x:c r="A1480" s="14" t="str">
        <x:v>W5-108</x:v>
      </x:c>
      <x:c r="B1480" s="14" t="str">
        <x:v>Prozorro vertical expansion — 24.08</x:v>
      </x:c>
      <x:c r="C1480" s="14" t="str">
        <x:v>ТОВАРИСТВО З ОБМЕЖЕНОЮ ВІДПОВІДАЛЬНІСТЮ "ШЛЯХІНВЕСТ ЛТД"</x:v>
      </x:c>
      <x:c r="D1480" s="14" t="str">
        <x:v>Насосні станції</x:v>
      </x:c>
      <x:c r="E1480" s="14" t="str">
        <x:v>Expansion discovery</x:v>
      </x:c>
      <x:c r="F1480" s="17" t="str">
        <x:v>D3</x:v>
      </x:c>
      <x:c r="G1480" s="14" t="str"/>
      <x:c r="H1480" s="14" t="str">
        <x:v>Discovery розширення — 2 тижні</x:v>
      </x:c>
      <x:c r="I1480" s="16" t="n">
        <x:v>1</x:v>
      </x:c>
      <x:c r="J1480" s="16" t="n">
        <x:v>5</x:v>
      </x:c>
      <x:c r="K1480" s="16" t="n">
        <x:v>5</x:v>
      </x:c>
      <x:c r="L1480" s="16" t="n">
        <x:v>2</x:v>
      </x:c>
      <x:c r="M1480" s="16" t="n">
        <x:v>5</x:v>
      </x:c>
      <x:c r="N1480" s="16" t="n">
        <x:v>5</x:v>
      </x:c>
      <x:c r="O1480" s="16" t="n">
        <x:v>3</x:v>
      </x:c>
      <x:c r="P1480" s="16" t="n">
        <x:f>IF(COUNT(I1480:O1480)&lt;7,"",I1480*8+J1480*3+K1480*2+L1480*2+M1480*2+N1480*2+O1480)</x:f>
        <x:v>60</x:v>
      </x:c>
      <x:c r="Q1480" s="16" t="n">
        <x:f>IF(COUNT(J1480:O1480)&lt;6,"",J1480*5+K1480*4+M1480*4+L1480*3+N1480*2+O1480*2)</x:f>
        <x:v>87</x:v>
      </x:c>
      <x:c r="R1480" s="14" t="str">
        <x:v>high</x:v>
      </x:c>
      <x:c r="S1480" s="14" t="str">
        <x:v>official_prozorro_award_2024_2026</x:v>
      </x:c>
      <x:c r="T1480" s="14" t="str">
        <x:v>official_prozorro_api</x:v>
      </x:c>
      <x:c r="U1480" s="14" t="str">
        <x:v>Не контактували</x:v>
      </x:c>
      <x:c r="V1480" s="15" t="str">
        <x:v>Workflow-audit outreach по UA-2026-07-03-006546-a; попросити 1 пакет здачі та вимоги проєкту</x:v>
      </x:c>
      <x:c r="W1480" s="15" t="str">
        <x:v>Власник / директор; керівник ПТО; відповідальний за договори</x:v>
      </x:c>
      <x:c r="X1480" s="15" t="str">
        <x:v>1 нових підтверджених перемог/договорів у Prozorro на 225 264 грн; 0 зі строком виконання не раніше 24.08.2026.</x:v>
      </x:c>
      <x:c r="Y1480" s="15" t="str">
        <x:v>"Реконструкція РУ-6 кВ будівлі машинної (насосної станції № 1) (інв. № 1) шляхом розміщення та підключення когенераційних газопоршневих установок (КГПУ) за адресою: м. Харків, вул. ****. Відновлення асфальтобетонного покриття" (по ДК 021:2015 - 45230000-8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2026-07-30. Попросити один знеособлений пакет здачі за цим workflow.</x:v>
      </x:c>
      <x:c r="Z1480" s="15" t="str">
        <x:v>https://prozorro.gov.ua/tender/UA-2026-07-03-006546-a</x:v>
      </x:c>
      <x:c r="AA1480" s="14" t="str">
        <x:v>41050304</x:v>
      </x:c>
      <x:c r="AB1480" s="14" t="str">
        <x:v>2026-08-24</x:v>
      </x:c>
      <x:c r="AC1480" s="14" t="str"/>
      <x:c r="AD1480" s="20" t="str"/>
      <x:c r="AE1480" s="14" t="str"/>
      <x:c r="AF1480" s="14" t="n">
        <x:v>50</x:v>
      </x:c>
      <x:c r="AG1480" s="14" t="str">
        <x:v>I3</x:v>
      </x:c>
      <x:c r="AH1480" s="14" t="n">
        <x:v>1</x:v>
      </x:c>
      <x:c r="AI1480" s="14" t="n">
        <x:v>0</x:v>
      </x:c>
      <x:c r="AJ1480" s="18" t="n">
        <x:v>225264.1</x:v>
      </x:c>
      <x:c r="AK1480" s="14" t="str">
        <x:v>https://prozorro.gov.ua/tender/UA-2026-07-03-006546-a</x:v>
      </x:c>
      <x:c r="AL1480" s="19" t="n">
        <x:v>46206.46372403935</x:v>
      </x:c>
      <x:c r="AM1480" s="19" t="n">
        <x:v>46233</x:v>
      </x:c>
      <x:c r="AN1480" s="15" t="str">
        <x:v>Насосні станції</x:v>
      </x:c>
      <x:c r="AO1480" s="15" t="str">
        <x:v>not_found_in_top_search</x:v>
      </x:c>
    </x:row>
    <x:row r="1481">
      <x:c r="A1481" s="14" t="str">
        <x:v>W5-109</x:v>
      </x:c>
      <x:c r="B1481" s="14" t="str">
        <x:v>Prozorro vertical expansion — 24.08</x:v>
      </x:c>
      <x:c r="C1481" s="14" t="str">
        <x:v>ТОВАРИСТВО З ОБМЕЖЕНОЮ ВІДПОВІДАЛЬНІСТЮ "РАДІО-ЛІНК"</x:v>
      </x:c>
      <x:c r="D1481" s="14" t="str">
        <x:v>ВОЛЗ / телеком</x:v>
      </x:c>
      <x:c r="E1481" s="14" t="str">
        <x:v>Expansion discovery</x:v>
      </x:c>
      <x:c r="F1481" s="17" t="str">
        <x:v>D3</x:v>
      </x:c>
      <x:c r="G1481" s="14" t="str"/>
      <x:c r="H1481" s="14" t="str">
        <x:v>Discovery розширення — 2 тижні</x:v>
      </x:c>
      <x:c r="I1481" s="16" t="n">
        <x:v>1</x:v>
      </x:c>
      <x:c r="J1481" s="16" t="n">
        <x:v>5</x:v>
      </x:c>
      <x:c r="K1481" s="16" t="n">
        <x:v>5</x:v>
      </x:c>
      <x:c r="L1481" s="16" t="n">
        <x:v>2</x:v>
      </x:c>
      <x:c r="M1481" s="16" t="n">
        <x:v>5</x:v>
      </x:c>
      <x:c r="N1481" s="16" t="n">
        <x:v>5</x:v>
      </x:c>
      <x:c r="O1481" s="16" t="n">
        <x:v>3</x:v>
      </x:c>
      <x:c r="P1481" s="16" t="n">
        <x:f>IF(COUNT(I1481:O1481)&lt;7,"",I1481*8+J1481*3+K1481*2+L1481*2+M1481*2+N1481*2+O1481)</x:f>
        <x:v>60</x:v>
      </x:c>
      <x:c r="Q1481" s="16" t="n">
        <x:f>IF(COUNT(J1481:O1481)&lt;6,"",J1481*5+K1481*4+M1481*4+L1481*3+N1481*2+O1481*2)</x:f>
        <x:v>87</x:v>
      </x:c>
      <x:c r="R1481" s="14" t="str">
        <x:v>high</x:v>
      </x:c>
      <x:c r="S1481" s="14" t="str">
        <x:v>official_prozorro_award_2024_2026</x:v>
      </x:c>
      <x:c r="T1481" s="14" t="str">
        <x:v>official_prozorro_api</x:v>
      </x:c>
      <x:c r="U1481" s="14" t="str">
        <x:v>Не контактували</x:v>
      </x:c>
      <x:c r="V1481" s="15" t="str">
        <x:v>Workflow-audit outreach по UA-2024-10-25-002059-a; попросити 1 пакет здачі та вимоги проєкту</x:v>
      </x:c>
      <x:c r="W1481" s="15" t="str">
        <x:v>Власник / директор; керівник ПТО; відповідальний за договори</x:v>
      </x:c>
      <x:c r="X1481" s="15" t="str">
        <x:v>3 нових підтверджених перемог/договорів у Prozorro на 104 946 грн; 0 зі строком виконання не раніше 24.08.2026.</x:v>
      </x:c>
      <x:c r="Y1481" s="15" t="str">
        <x:v>Виконавець надає Комунальному закладу "Сахновщинський ліцей №2" Сахновщинської селищної ради Красноградського району Харківської області комплексні послуги з монтажу, встановлення, та налаштування телекомунікаційного обладнання (з подальшою можливістю його використання для отримання телекомунікаційних послуг, а саме: послуги доступу до мережі "Інтернет" ); опублікований строк до 2024-12-31. Попросити один знеособлений пакет здачі за цим workflow.</x:v>
      </x:c>
      <x:c r="Z1481" s="15" t="str">
        <x:v>https://prozorro.gov.ua/tender/UA-2024-10-25-002059-a</x:v>
      </x:c>
      <x:c r="AA1481" s="14" t="str">
        <x:v>37874968</x:v>
      </x:c>
      <x:c r="AB1481" s="14" t="str">
        <x:v>2026-08-24</x:v>
      </x:c>
      <x:c r="AC1481" s="14" t="str"/>
      <x:c r="AD1481" s="20" t="str"/>
      <x:c r="AE1481" s="14" t="str"/>
      <x:c r="AF1481" s="14" t="n">
        <x:v>50</x:v>
      </x:c>
      <x:c r="AG1481" s="14" t="str">
        <x:v>I3</x:v>
      </x:c>
      <x:c r="AH1481" s="14" t="n">
        <x:v>3</x:v>
      </x:c>
      <x:c r="AI1481" s="14" t="n">
        <x:v>0</x:v>
      </x:c>
      <x:c r="AJ1481" s="18" t="n">
        <x:v>104945.7</x:v>
      </x:c>
      <x:c r="AK1481" s="14" t="str">
        <x:v>https://prozorro.gov.ua/tender/UA-2024-10-25-002059-a</x:v>
      </x:c>
      <x:c r="AL1481" s="19" t="n">
        <x:v>45590.29130611111</x:v>
      </x:c>
      <x:c r="AM1481" s="19" t="n">
        <x:v>45657</x:v>
      </x:c>
      <x:c r="AN1481" s="15" t="str">
        <x:v>ВОЛЗ / телеком</x:v>
      </x:c>
      <x:c r="AO1481" s="15" t="str">
        <x:v>not_found_in_top_search</x:v>
      </x:c>
    </x:row>
    <x:row r="1482">
      <x:c r="A1482" s="14" t="str">
        <x:v>W5-110</x:v>
      </x:c>
      <x:c r="B1482" s="14" t="str">
        <x:v>Prozorro vertical expansion — 24.08</x:v>
      </x:c>
      <x:c r="C1482" s="14" t="str">
        <x:v>Фізична особа-підприємець Паладійчук Аліна Олександрівна</x:v>
      </x:c>
      <x:c r="D1482" s="14" t="str">
        <x:v>Сонячна енергетика</x:v>
      </x:c>
      <x:c r="E1482" s="14" t="str">
        <x:v>Pilot now</x:v>
      </x:c>
      <x:c r="F1482" s="17" t="str">
        <x:v>P3</x:v>
      </x:c>
      <x:c r="G1482" s="14" t="str"/>
      <x:c r="H1482" s="14" t="str">
        <x:v>Пілот зараз — Н.15 discovery subset</x:v>
      </x:c>
      <x:c r="I1482" s="16" t="n">
        <x:v>3</x:v>
      </x:c>
      <x:c r="J1482" s="16" t="n">
        <x:v>5</x:v>
      </x:c>
      <x:c r="K1482" s="16" t="n">
        <x:v>5</x:v>
      </x:c>
      <x:c r="L1482" s="16" t="n">
        <x:v>1</x:v>
      </x:c>
      <x:c r="M1482" s="16" t="n">
        <x:v>5</x:v>
      </x:c>
      <x:c r="N1482" s="16" t="n">
        <x:v>3</x:v>
      </x:c>
      <x:c r="O1482" s="16" t="n">
        <x:v>3</x:v>
      </x:c>
      <x:c r="P1482" s="16" t="n">
        <x:f>IF(COUNT(I1482:O1482)&lt;7,"",I1482*8+J1482*3+K1482*2+L1482*2+M1482*2+N1482*2+O1482)</x:f>
        <x:v>70</x:v>
      </x:c>
      <x:c r="Q1482" s="16" t="n">
        <x:f>IF(COUNT(J1482:O1482)&lt;6,"",J1482*5+K1482*4+M1482*4+L1482*3+N1482*2+O1482*2)</x:f>
        <x:v>80</x:v>
      </x:c>
      <x:c r="R1482" s="14" t="str">
        <x:v>high</x:v>
      </x:c>
      <x:c r="S1482" s="14" t="str">
        <x:v>official_prozorro_award_2024_2026</x:v>
      </x:c>
      <x:c r="T1482" s="14" t="str">
        <x:v>official_prozorro_api</x:v>
      </x:c>
      <x:c r="U1482" s="14" t="str">
        <x:v>Не контактували</x:v>
      </x:c>
      <x:c r="V1482" s="15" t="str">
        <x:v>Персоналізований free-pilot outreach по UA-2026-08-11-002698-a; попросити 1 пакет Н.15</x:v>
      </x:c>
      <x:c r="W1482" s="15" t="str">
        <x:v>Власник / виконавець; відповідальний за договір</x:v>
      </x:c>
      <x:c r="X1482" s="15" t="str">
        <x:v>1 нових підтверджених перемог/договорів у Prozorro на 97 529 грн; 1 зі строком виконання не раніше 24.08.2026.</x:v>
      </x:c>
      <x:c r="Y1482" s="15" t="str">
        <x:v>Металева конструкція для монтажу фотоелектричних модулів; опублікований строк до 2026-12-31. Попросити один знеособлений пакет здачі за цим workflow.</x:v>
      </x:c>
      <x:c r="Z1482" s="15" t="str">
        <x:v>https://prozorro.gov.ua/tender/UA-2026-08-11-002698-a</x:v>
      </x:c>
      <x:c r="AA1482" s="14" t="str">
        <x:v>3366008562</x:v>
      </x:c>
      <x:c r="AB1482" s="14" t="str">
        <x:v>2026-08-24</x:v>
      </x:c>
      <x:c r="AC1482" s="14" t="str"/>
      <x:c r="AD1482" s="20" t="str"/>
      <x:c r="AE1482" s="14" t="str"/>
      <x:c r="AF1482" s="14" t="n">
        <x:v>49</x:v>
      </x:c>
      <x:c r="AG1482" s="14" t="str">
        <x:v>I3</x:v>
      </x:c>
      <x:c r="AH1482" s="14" t="n">
        <x:v>1</x:v>
      </x:c>
      <x:c r="AI1482" s="14" t="n">
        <x:v>1</x:v>
      </x:c>
      <x:c r="AJ1482" s="18" t="n">
        <x:v>97529</x:v>
      </x:c>
      <x:c r="AK1482" s="14" t="str">
        <x:v>https://prozorro.gov.ua/tender/UA-2026-08-11-002698-a</x:v>
      </x:c>
      <x:c r="AL1482" s="19" t="n">
        <x:v>46245.32664303241</x:v>
      </x:c>
      <x:c r="AM1482" s="19" t="n">
        <x:v>46387.36699074074</x:v>
      </x:c>
      <x:c r="AN1482" s="15" t="str">
        <x:v>Сонячна енергетика</x:v>
      </x:c>
      <x:c r="AO1482" s="15" t="str">
        <x:v>not_found_in_top_search</x:v>
      </x:c>
    </x:row>
    <x:row r="1483">
      <x:c r="A1483" s="14" t="str">
        <x:v>W5-111</x:v>
      </x:c>
      <x:c r="B1483" s="14" t="str">
        <x:v>Prozorro vertical expansion — 24.08</x:v>
      </x:c>
      <x:c r="C1483" s="14" t="str">
        <x:v>Фізична особа-підприємець Ташов Володимир Олександрович</x:v>
      </x:c>
      <x:c r="D1483" s="14" t="str">
        <x:v>Промислова електрика / ПНР</x:v>
      </x:c>
      <x:c r="E1483" s="14" t="str">
        <x:v>Pilot now</x:v>
      </x:c>
      <x:c r="F1483" s="17" t="str">
        <x:v>P3</x:v>
      </x:c>
      <x:c r="G1483" s="14" t="str"/>
      <x:c r="H1483" s="14" t="str">
        <x:v>Пілот зараз — Н.15 subset</x:v>
      </x:c>
      <x:c r="I1483" s="16" t="n">
        <x:v>4</x:v>
      </x:c>
      <x:c r="J1483" s="16" t="n">
        <x:v>5</x:v>
      </x:c>
      <x:c r="K1483" s="16" t="n">
        <x:v>4</x:v>
      </x:c>
      <x:c r="L1483" s="16" t="n">
        <x:v>1</x:v>
      </x:c>
      <x:c r="M1483" s="16" t="n">
        <x:v>5</x:v>
      </x:c>
      <x:c r="N1483" s="16" t="n">
        <x:v>3</x:v>
      </x:c>
      <x:c r="O1483" s="16" t="n">
        <x:v>3</x:v>
      </x:c>
      <x:c r="P1483" s="16" t="n">
        <x:f>IF(COUNT(I1483:O1483)&lt;7,"",I1483*8+J1483*3+K1483*2+L1483*2+M1483*2+N1483*2+O1483)</x:f>
        <x:v>76</x:v>
      </x:c>
      <x:c r="Q1483" s="16" t="n">
        <x:f>IF(COUNT(J1483:O1483)&lt;6,"",J1483*5+K1483*4+M1483*4+L1483*3+N1483*2+O1483*2)</x:f>
        <x:v>76</x:v>
      </x:c>
      <x:c r="R1483" s="14" t="str">
        <x:v>high</x:v>
      </x:c>
      <x:c r="S1483" s="14" t="str">
        <x:v>official_prozorro_award_2024_2026</x:v>
      </x:c>
      <x:c r="T1483" s="14" t="str">
        <x:v>official_prozorro_api</x:v>
      </x:c>
      <x:c r="U1483" s="14" t="str">
        <x:v>Не контактували</x:v>
      </x:c>
      <x:c r="V1483" s="15" t="str">
        <x:v>Персоналізований free-pilot outreach по UA-2026-08-24-000506-a; попросити 1 пакет Н.15</x:v>
      </x:c>
      <x:c r="W1483" s="15" t="str">
        <x:v>Власник / виконавець; відповідальний за договір</x:v>
      </x:c>
      <x:c r="X1483" s="15" t="str">
        <x:v>1 нових підтверджених перемог/договорів у Prozorro на 77 470 грн; 1 зі строком виконання не раніше 24.08.2026.</x:v>
      </x:c>
      <x:c r="Y1483" s="15" t="str">
        <x:v>Виконання робіт: «Монтажні та пусконалагоджувальні роботи по встановленню системи відеоспостереження на території Петрівської ЦЛ». Код ДК 021-2015 (CPV) 45310000-3 - Електромонтажні роботи; опублікований строк до 2026-12-31. Попросити один знеособлений пакет здачі за цим workflow.</x:v>
      </x:c>
      <x:c r="Z1483" s="15" t="str">
        <x:v>https://prozorro.gov.ua/tender/UA-2026-08-24-000506-a</x:v>
      </x:c>
      <x:c r="AA1483" s="14" t="str">
        <x:v>2128915818</x:v>
      </x:c>
      <x:c r="AB1483" s="14" t="str">
        <x:v>2026-08-24</x:v>
      </x:c>
      <x:c r="AC1483" s="14" t="str"/>
      <x:c r="AD1483" s="20" t="str"/>
      <x:c r="AE1483" s="14" t="str"/>
      <x:c r="AF1483" s="14" t="n">
        <x:v>49</x:v>
      </x:c>
      <x:c r="AG1483" s="14" t="str">
        <x:v>I3</x:v>
      </x:c>
      <x:c r="AH1483" s="14" t="n">
        <x:v>1</x:v>
      </x:c>
      <x:c r="AI1483" s="14" t="n">
        <x:v>1</x:v>
      </x:c>
      <x:c r="AJ1483" s="18" t="n">
        <x:v>77470</x:v>
      </x:c>
      <x:c r="AK1483" s="14" t="str">
        <x:v>https://prozorro.gov.ua/tender/UA-2026-08-24-000506-a</x:v>
      </x:c>
      <x:c r="AL1483" s="19" t="n">
        <x:v>46258.26063010417</x:v>
      </x:c>
      <x:c r="AM1483" s="19" t="n">
        <x:v>46387.3046412037</x:v>
      </x:c>
      <x:c r="AN1483" s="15" t="str">
        <x:v>Промислова електрика / ПНР</x:v>
      </x:c>
      <x:c r="AO1483" s="15" t="str">
        <x:v>not_found_in_top_search</x:v>
      </x:c>
    </x:row>
    <x:row r="1484">
      <x:c r="A1484" s="14" t="str">
        <x:v>W5-112</x:v>
      </x:c>
      <x:c r="B1484" s="14" t="str">
        <x:v>Prozorro vertical expansion — 24.08</x:v>
      </x:c>
      <x:c r="C1484" s="14" t="str">
        <x:v>Фоп ДОМАНСЬКИЙ АНДРІЙ СТЕПАНОВИЧ</x:v>
      </x:c>
      <x:c r="D1484" s="14" t="str">
        <x:v>Резервне живлення</x:v>
      </x:c>
      <x:c r="E1484" s="14" t="str">
        <x:v>Pilot now</x:v>
      </x:c>
      <x:c r="F1484" s="17" t="str">
        <x:v>P3</x:v>
      </x:c>
      <x:c r="G1484" s="14" t="str"/>
      <x:c r="H1484" s="14" t="str">
        <x:v>Пілот зараз — Н.15 subset</x:v>
      </x:c>
      <x:c r="I1484" s="16" t="n">
        <x:v>4</x:v>
      </x:c>
      <x:c r="J1484" s="16" t="n">
        <x:v>5</x:v>
      </x:c>
      <x:c r="K1484" s="16" t="n">
        <x:v>5</x:v>
      </x:c>
      <x:c r="L1484" s="16" t="n">
        <x:v>1</x:v>
      </x:c>
      <x:c r="M1484" s="16" t="n">
        <x:v>5</x:v>
      </x:c>
      <x:c r="N1484" s="16" t="n">
        <x:v>3</x:v>
      </x:c>
      <x:c r="O1484" s="16" t="n">
        <x:v>3</x:v>
      </x:c>
      <x:c r="P1484" s="16" t="n">
        <x:f>IF(COUNT(I1484:O1484)&lt;7,"",I1484*8+J1484*3+K1484*2+L1484*2+M1484*2+N1484*2+O1484)</x:f>
        <x:v>78</x:v>
      </x:c>
      <x:c r="Q1484" s="16" t="n">
        <x:f>IF(COUNT(J1484:O1484)&lt;6,"",J1484*5+K1484*4+M1484*4+L1484*3+N1484*2+O1484*2)</x:f>
        <x:v>80</x:v>
      </x:c>
      <x:c r="R1484" s="14" t="str">
        <x:v>high</x:v>
      </x:c>
      <x:c r="S1484" s="14" t="str">
        <x:v>official_prozorro_award_2024_2026</x:v>
      </x:c>
      <x:c r="T1484" s="14" t="str">
        <x:v>official_prozorro_api</x:v>
      </x:c>
      <x:c r="U1484" s="14" t="str">
        <x:v>Не контактували</x:v>
      </x:c>
      <x:c r="V1484" s="15" t="str">
        <x:v>Персоналізований free-pilot outreach по UA-2026-08-03-000180-a; попросити 1 пакет Н.15</x:v>
      </x:c>
      <x:c r="W1484" s="15" t="str">
        <x:v>Власник / виконавець; відповідальний за договір</x:v>
      </x:c>
      <x:c r="X1484" s="15" t="str">
        <x:v>1 нових підтверджених перемог/договорів у Prozorro на 64 267 грн; 1 зі строком виконання не раніше 24.08.2026.</x:v>
      </x:c>
      <x:c r="Y1484" s="15" t="str">
        <x:v>Послуга з підключення дизельгенератора; опублікований строк до 2026-09-01. Попросити один знеособлений пакет здачі за цим workflow.</x:v>
      </x:c>
      <x:c r="Z1484" s="15" t="str">
        <x:v>https://prozorro.gov.ua/tender/UA-2026-08-03-000180-a</x:v>
      </x:c>
      <x:c r="AA1484" s="14" t="str">
        <x:v>3137507030</x:v>
      </x:c>
      <x:c r="AB1484" s="14" t="str">
        <x:v>2026-08-24</x:v>
      </x:c>
      <x:c r="AC1484" s="14" t="str"/>
      <x:c r="AD1484" s="20" t="str"/>
      <x:c r="AE1484" s="14" t="str"/>
      <x:c r="AF1484" s="14" t="n">
        <x:v>49</x:v>
      </x:c>
      <x:c r="AG1484" s="14" t="str">
        <x:v>I3</x:v>
      </x:c>
      <x:c r="AH1484" s="14" t="n">
        <x:v>1</x:v>
      </x:c>
      <x:c r="AI1484" s="14" t="n">
        <x:v>1</x:v>
      </x:c>
      <x:c r="AJ1484" s="18" t="n">
        <x:v>64266.5</x:v>
      </x:c>
      <x:c r="AK1484" s="14" t="str">
        <x:v>https://prozorro.gov.ua/tender/UA-2026-08-03-000180-a</x:v>
      </x:c>
      <x:c r="AL1484" s="19" t="n">
        <x:v>46237.23768855324</x:v>
      </x:c>
      <x:c r="AM1484" s="19" t="n">
        <x:v>46266</x:v>
      </x:c>
      <x:c r="AN1484" s="15" t="str">
        <x:v>Резервне живлення</x:v>
      </x:c>
      <x:c r="AO1484" s="15" t="str">
        <x:v>not_found_in_top_search</x:v>
      </x:c>
    </x:row>
    <x:row r="1485">
      <x:c r="A1485" s="14" t="str">
        <x:v>W5-113</x:v>
      </x:c>
      <x:c r="B1485" s="14" t="str">
        <x:v>Prozorro vertical expansion — 24.08</x:v>
      </x:c>
      <x:c r="C1485" s="14" t="str">
        <x:v>ПП "Монтажна компанія "МЕГАТЕХ"</x:v>
      </x:c>
      <x:c r="D1485" s="14" t="str">
        <x:v>ГНБ / безтраншейні роботи</x:v>
      </x:c>
      <x:c r="E1485" s="14" t="str">
        <x:v>Expansion discovery</x:v>
      </x:c>
      <x:c r="F1485" s="17" t="str">
        <x:v>D3</x:v>
      </x:c>
      <x:c r="G1485" s="14" t="str"/>
      <x:c r="H1485" s="14" t="str">
        <x:v>Discovery розширення — 2 тижні</x:v>
      </x:c>
      <x:c r="I1485" s="16" t="n">
        <x:v>1</x:v>
      </x:c>
      <x:c r="J1485" s="16" t="n">
        <x:v>5</x:v>
      </x:c>
      <x:c r="K1485" s="16" t="n">
        <x:v>5</x:v>
      </x:c>
      <x:c r="L1485" s="16" t="n">
        <x:v>4</x:v>
      </x:c>
      <x:c r="M1485" s="16" t="n">
        <x:v>5</x:v>
      </x:c>
      <x:c r="N1485" s="16" t="n">
        <x:v>5</x:v>
      </x:c>
      <x:c r="O1485" s="16" t="n">
        <x:v>3</x:v>
      </x:c>
      <x:c r="P1485" s="16" t="n">
        <x:f>IF(COUNT(I1485:O1485)&lt;7,"",I1485*8+J1485*3+K1485*2+L1485*2+M1485*2+N1485*2+O1485)</x:f>
        <x:v>64</x:v>
      </x:c>
      <x:c r="Q1485" s="16" t="n">
        <x:f>IF(COUNT(J1485:O1485)&lt;6,"",J1485*5+K1485*4+M1485*4+L1485*3+N1485*2+O1485*2)</x:f>
        <x:v>93</x:v>
      </x:c>
      <x:c r="R1485" s="14" t="str">
        <x:v>high</x:v>
      </x:c>
      <x:c r="S1485" s="14" t="str">
        <x:v>official_prozorro_award_2024_2026</x:v>
      </x:c>
      <x:c r="T1485" s="14" t="str">
        <x:v>official_prozorro_api</x:v>
      </x:c>
      <x:c r="U1485" s="14" t="str">
        <x:v>Не контактували</x:v>
      </x:c>
      <x:c r="V1485" s="15" t="str">
        <x:v>Workflow-audit outreach по UA-2024-07-03-010548-a; попросити 1 пакет здачі та вимоги проєкту</x:v>
      </x:c>
      <x:c r="W1485" s="15" t="str">
        <x:v>Власник / директор; керівник ПТО; відповідальний за договори</x:v>
      </x:c>
      <x:c r="X1485" s="15" t="str">
        <x:v>2 нових підтверджених перемог/договорів у Prozorro на 2 534 985 грн; 0 зі строком виконання не раніше 24.08.2026.</x:v>
      </x:c>
      <x:c r="Y1485" s="15" t="str">
        <x:v>76430000-6 "Послуги з буріння та експлуатації свердловин" (послуги горизонтально направленого буріння діаметром 100 мм, 71м); опублікований строк до 2024-07-31. Попросити один знеособлений пакет здачі за цим workflow.</x:v>
      </x:c>
      <x:c r="Z1485" s="15" t="str">
        <x:v>https://prozorro.gov.ua/tender/UA-2024-07-03-010548-a</x:v>
      </x:c>
      <x:c r="AA1485" s="14" t="str">
        <x:v>41972777</x:v>
      </x:c>
      <x:c r="AB1485" s="14" t="str">
        <x:v>2026-08-24</x:v>
      </x:c>
      <x:c r="AC1485" s="14" t="str"/>
      <x:c r="AD1485" s="20" t="str"/>
      <x:c r="AE1485" s="14" t="str"/>
      <x:c r="AF1485" s="14" t="n">
        <x:v>48</x:v>
      </x:c>
      <x:c r="AG1485" s="14" t="str">
        <x:v>I3</x:v>
      </x:c>
      <x:c r="AH1485" s="14" t="n">
        <x:v>2</x:v>
      </x:c>
      <x:c r="AI1485" s="14" t="n">
        <x:v>0</x:v>
      </x:c>
      <x:c r="AJ1485" s="18" t="n">
        <x:v>2534984.92</x:v>
      </x:c>
      <x:c r="AK1485" s="14" t="str">
        <x:v>https://prozorro.gov.ua/tender/UA-2024-07-03-010548-a</x:v>
      </x:c>
      <x:c r="AL1485" s="19" t="n">
        <x:v>45476.77239646991</x:v>
      </x:c>
      <x:c r="AM1485" s="19" t="n">
        <x:v>45504.77263888889</x:v>
      </x:c>
      <x:c r="AN1485" s="15" t="str">
        <x:v>ГНБ / безтраншейні роботи</x:v>
      </x:c>
      <x:c r="AO1485" s="15" t="str">
        <x:v>not_found_in_top_search</x:v>
      </x:c>
    </x:row>
    <x:row r="1486">
      <x:c r="A1486" s="14" t="str">
        <x:v>W5-114</x:v>
      </x:c>
      <x:c r="B1486" s="14" t="str">
        <x:v>Prozorro vertical expansion — 24.08</x:v>
      </x:c>
      <x:c r="C1486" s="14" t="str">
        <x:v>ТОВАРИСТВО З ОБМЕЖЕНОЮ ВІДПОВІДАЛЬНІСТЮ "КОМІНВЄСТ"</x:v>
      </x:c>
      <x:c r="D1486" s="14" t="str">
        <x:v>Теплові пункти</x:v>
      </x:c>
      <x:c r="E1486" s="14" t="str">
        <x:v>Expansion discovery</x:v>
      </x:c>
      <x:c r="F1486" s="17" t="str">
        <x:v>D3</x:v>
      </x:c>
      <x:c r="G1486" s="14" t="str"/>
      <x:c r="H1486" s="14" t="str">
        <x:v>Discovery розширення — 2 тижні</x:v>
      </x:c>
      <x:c r="I1486" s="16" t="n">
        <x:v>1</x:v>
      </x:c>
      <x:c r="J1486" s="16" t="n">
        <x:v>5</x:v>
      </x:c>
      <x:c r="K1486" s="16" t="n">
        <x:v>5</x:v>
      </x:c>
      <x:c r="L1486" s="16" t="n">
        <x:v>4</x:v>
      </x:c>
      <x:c r="M1486" s="16" t="n">
        <x:v>5</x:v>
      </x:c>
      <x:c r="N1486" s="16" t="n">
        <x:v>5</x:v>
      </x:c>
      <x:c r="O1486" s="16" t="n">
        <x:v>3</x:v>
      </x:c>
      <x:c r="P1486" s="16" t="n">
        <x:f>IF(COUNT(I1486:O1486)&lt;7,"",I1486*8+J1486*3+K1486*2+L1486*2+M1486*2+N1486*2+O1486)</x:f>
        <x:v>64</x:v>
      </x:c>
      <x:c r="Q1486" s="16" t="n">
        <x:f>IF(COUNT(J1486:O1486)&lt;6,"",J1486*5+K1486*4+M1486*4+L1486*3+N1486*2+O1486*2)</x:f>
        <x:v>93</x:v>
      </x:c>
      <x:c r="R1486" s="14" t="str">
        <x:v>high</x:v>
      </x:c>
      <x:c r="S1486" s="14" t="str">
        <x:v>official_prozorro_award_2024_2026</x:v>
      </x:c>
      <x:c r="T1486" s="14" t="str">
        <x:v>official_prozorro_api</x:v>
      </x:c>
      <x:c r="U1486" s="14" t="str">
        <x:v>Не контактували</x:v>
      </x:c>
      <x:c r="V1486" s="15" t="str">
        <x:v>Workflow-audit outreach по UA-2024-08-20-011848-a; попросити 1 пакет здачі та вимоги проєкту</x:v>
      </x:c>
      <x:c r="W1486" s="15" t="str">
        <x:v>Власник / директор; керівник ПТО; відповідальний за договори</x:v>
      </x:c>
      <x:c r="X1486" s="15" t="str">
        <x:v>2 нових підтверджених перемог/договорів у Prozorro на 2 102 260 грн; 0 зі строком виконання не раніше 24.08.2026.</x:v>
      </x:c>
      <x:c r="Y1486" s="15" t="str">
        <x:v>Реконструкція індивідуального теплового пункту житлового будинку ЖБК «АВТОМАТ-1» за адресою: вул. Райдужна, 63, м. Київ   (код ДК 021:2015: 45454000-4 – Реконструкція)
; опублікований строк до 2024-11-29. Попросити один знеособлений пакет здачі за цим workflow.</x:v>
      </x:c>
      <x:c r="Z1486" s="15" t="str">
        <x:v>https://prozorro.gov.ua/tender/UA-2024-08-20-011848-a</x:v>
      </x:c>
      <x:c r="AA1486" s="14" t="str">
        <x:v>18019170</x:v>
      </x:c>
      <x:c r="AB1486" s="14" t="str">
        <x:v>2026-08-24</x:v>
      </x:c>
      <x:c r="AC1486" s="14" t="str"/>
      <x:c r="AD1486" s="20" t="str"/>
      <x:c r="AE1486" s="14" t="str"/>
      <x:c r="AF1486" s="14" t="n">
        <x:v>48</x:v>
      </x:c>
      <x:c r="AG1486" s="14" t="str">
        <x:v>I3</x:v>
      </x:c>
      <x:c r="AH1486" s="14" t="n">
        <x:v>2</x:v>
      </x:c>
      <x:c r="AI1486" s="14" t="n">
        <x:v>0</x:v>
      </x:c>
      <x:c r="AJ1486" s="18" t="n">
        <x:v>2102259.6</x:v>
      </x:c>
      <x:c r="AK1486" s="14" t="str">
        <x:v>https://prozorro.gov.ua/tender/UA-2024-08-20-011848-a</x:v>
      </x:c>
      <x:c r="AL1486" s="19" t="n">
        <x:v>45524.61002474537</x:v>
      </x:c>
      <x:c r="AM1486" s="19" t="n">
        <x:v>45625</x:v>
      </x:c>
      <x:c r="AN1486" s="15" t="str">
        <x:v>Теплові пункти</x:v>
      </x:c>
      <x:c r="AO1486" s="15" t="str">
        <x:v>not_found_in_top_search</x:v>
      </x:c>
    </x:row>
    <x:row r="1487">
      <x:c r="A1487" s="14" t="str">
        <x:v>W5-115</x:v>
      </x:c>
      <x:c r="B1487" s="14" t="str">
        <x:v>Prozorro vertical expansion — 24.08</x:v>
      </x:c>
      <x:c r="C1487" s="14" t="str">
        <x:v>РІВНЕНСЬКЕ ОБЛАСНЕ СПЕЦІАЛІЗОВАНЕ РЕМОНТНО-БУДІВЕЛЬНЕ ПІДПРИЄМСТВО ПРОТИПОЖЕЖНИХ РОБІТ ДОБРОВІЛЬНОГО ПОЖЕЖНОГО ТОВАРИСТВА УКРАЇНИ</x:v>
      </x:c>
      <x:c r="D1487" s="14" t="str">
        <x:v>Блискавкозахист / заземлення</x:v>
      </x:c>
      <x:c r="E1487" s="14" t="str">
        <x:v>Pilot now</x:v>
      </x:c>
      <x:c r="F1487" s="17" t="str">
        <x:v>P3</x:v>
      </x:c>
      <x:c r="G1487" s="14" t="str"/>
      <x:c r="H1487" s="14" t="str">
        <x:v>Пілот зараз — Н.15 subset</x:v>
      </x:c>
      <x:c r="I1487" s="16" t="n">
        <x:v>4</x:v>
      </x:c>
      <x:c r="J1487" s="16" t="n">
        <x:v>5</x:v>
      </x:c>
      <x:c r="K1487" s="16" t="n">
        <x:v>5</x:v>
      </x:c>
      <x:c r="L1487" s="16" t="n">
        <x:v>1</x:v>
      </x:c>
      <x:c r="M1487" s="16" t="n">
        <x:v>5</x:v>
      </x:c>
      <x:c r="N1487" s="16" t="n">
        <x:v>5</x:v>
      </x:c>
      <x:c r="O1487" s="16" t="n">
        <x:v>3</x:v>
      </x:c>
      <x:c r="P1487" s="16" t="n">
        <x:f>IF(COUNT(I1487:O1487)&lt;7,"",I1487*8+J1487*3+K1487*2+L1487*2+M1487*2+N1487*2+O1487)</x:f>
        <x:v>82</x:v>
      </x:c>
      <x:c r="Q1487" s="16" t="n">
        <x:f>IF(COUNT(J1487:O1487)&lt;6,"",J1487*5+K1487*4+M1487*4+L1487*3+N1487*2+O1487*2)</x:f>
        <x:v>84</x:v>
      </x:c>
      <x:c r="R1487" s="14" t="str">
        <x:v>high</x:v>
      </x:c>
      <x:c r="S1487" s="14" t="str">
        <x:v>official_prozorro_award_2024_2026</x:v>
      </x:c>
      <x:c r="T1487" s="14" t="str">
        <x:v>official_prozorro_api</x:v>
      </x:c>
      <x:c r="U1487" s="14" t="str">
        <x:v>Не контактували</x:v>
      </x:c>
      <x:c r="V1487" s="15" t="str">
        <x:v>Персоналізований free-pilot outreach по UA-2026-03-10-013564-a; попросити 1 пакет Н.15</x:v>
      </x:c>
      <x:c r="W1487" s="15" t="str">
        <x:v>Власник / директор; керівник ПТО; відповідальний за договори</x:v>
      </x:c>
      <x:c r="X1487" s="15" t="str">
        <x:v>2 нових підтверджених перемог/договорів у Prozorro на 96 265 грн; 0 зі строком виконання не раніше 24.08.2026.</x:v>
      </x:c>
      <x:c r="Y1487" s="15" t="str">
        <x:v>Надання послуг по монтажу блискавкозахисту на будівлі будинку культури комунального закладу "Шпаніваський центр культури, спорту та туризму" Шпанівської сільської ради Рівненського району Рівненської області, що знаходиться за адресою: Рівненська обл., Рівненський р-н, с. В.Олексин, вул. Шевченка, 41-Г; опублікований строк до 2026-03-31. Попросити один знеособлений пакет здачі за цим workflow.</x:v>
      </x:c>
      <x:c r="Z1487" s="15" t="str">
        <x:v>https://prozorro.gov.ua/tender/UA-2026-03-10-013564-a</x:v>
      </x:c>
      <x:c r="AA1487" s="14" t="str">
        <x:v>00183302</x:v>
      </x:c>
      <x:c r="AB1487" s="14" t="str">
        <x:v>2026-08-24</x:v>
      </x:c>
      <x:c r="AC1487" s="14" t="str"/>
      <x:c r="AD1487" s="20" t="str"/>
      <x:c r="AE1487" s="14" t="str"/>
      <x:c r="AF1487" s="14" t="n">
        <x:v>48</x:v>
      </x:c>
      <x:c r="AG1487" s="14" t="str">
        <x:v>I3</x:v>
      </x:c>
      <x:c r="AH1487" s="14" t="n">
        <x:v>2</x:v>
      </x:c>
      <x:c r="AI1487" s="14" t="n">
        <x:v>0</x:v>
      </x:c>
      <x:c r="AJ1487" s="18" t="n">
        <x:v>96265</x:v>
      </x:c>
      <x:c r="AK1487" s="14" t="str">
        <x:v>https://prozorro.gov.ua/tender/UA-2026-03-10-013564-a</x:v>
      </x:c>
      <x:c r="AL1487" s="19" t="n">
        <x:v>46091.62268518518</x:v>
      </x:c>
      <x:c r="AM1487" s="19" t="n">
        <x:v>46112</x:v>
      </x:c>
      <x:c r="AN1487" s="15" t="str">
        <x:v>Блискавкозахист / заземлення</x:v>
      </x:c>
      <x:c r="AO1487" s="15" t="str">
        <x:v>not_found_in_top_search</x:v>
      </x:c>
    </x:row>
    <x:row r="1488">
      <x:c r="A1488" s="14" t="str">
        <x:v>W5-116</x:v>
      </x:c>
      <x:c r="B1488" s="14" t="str">
        <x:v>Prozorro vertical expansion — 24.08</x:v>
      </x:c>
      <x:c r="C1488" s="14" t="str">
        <x:v>Акціонерне товариство "Укртелеком"</x:v>
      </x:c>
      <x:c r="D1488" s="14" t="str">
        <x:v>ВОЛЗ / телеком</x:v>
      </x:c>
      <x:c r="E1488" s="14" t="str">
        <x:v>Expansion discovery</x:v>
      </x:c>
      <x:c r="F1488" s="17" t="str">
        <x:v>D3</x:v>
      </x:c>
      <x:c r="G1488" s="14" t="str">
        <x:v>ukrtelecom.ua</x:v>
      </x:c>
      <x:c r="H1488" s="14" t="str">
        <x:v>Discovery розширення — 2 тижні</x:v>
      </x:c>
      <x:c r="I1488" s="16" t="n">
        <x:v>1</x:v>
      </x:c>
      <x:c r="J1488" s="16" t="n">
        <x:v>5</x:v>
      </x:c>
      <x:c r="K1488" s="16" t="n">
        <x:v>5</x:v>
      </x:c>
      <x:c r="L1488" s="16" t="n">
        <x:v>1</x:v>
      </x:c>
      <x:c r="M1488" s="16" t="n">
        <x:v>5</x:v>
      </x:c>
      <x:c r="N1488" s="16" t="n">
        <x:v>5</x:v>
      </x:c>
      <x:c r="O1488" s="16" t="n">
        <x:v>5</x:v>
      </x:c>
      <x:c r="P1488" s="16" t="n">
        <x:f>IF(COUNT(I1488:O1488)&lt;7,"",I1488*8+J1488*3+K1488*2+L1488*2+M1488*2+N1488*2+O1488)</x:f>
        <x:v>60</x:v>
      </x:c>
      <x:c r="Q1488" s="16" t="n">
        <x:f>IF(COUNT(J1488:O1488)&lt;6,"",J1488*5+K1488*4+M1488*4+L1488*3+N1488*2+O1488*2)</x:f>
        <x:v>88</x:v>
      </x:c>
      <x:c r="R1488" s="14" t="str">
        <x:v>high</x:v>
      </x:c>
      <x:c r="S1488" s="14" t="str">
        <x:v>official_prozorro_award_2024_2026</x:v>
      </x:c>
      <x:c r="T1488" s="14" t="str">
        <x:v>official_prozorro_api</x:v>
      </x:c>
      <x:c r="U1488" s="14" t="str">
        <x:v>Не контактували</x:v>
      </x:c>
      <x:c r="V1488" s="15" t="str">
        <x:v>Workflow-audit outreach по UA-2026-03-23-008819-a; попросити 1 пакет здачі та вимоги проєкту</x:v>
      </x:c>
      <x:c r="W1488" s="15" t="str">
        <x:v>Власник / директор; керівник ПТО; відповідальний за договори</x:v>
      </x:c>
      <x:c r="X1488" s="15" t="str">
        <x:v>2 нових підтверджених перемог/договорів у Prozorro на 68 100 грн; 1 зі строком виконання не раніше 24.08.2026.</x:v>
      </x:c>
      <x:c r="Y1488" s="15" t="str">
        <x:v>Погодження робочого проєкту по об’єкту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71320000-7 національного класифікатора України за ДК 021:2015 «Єдиний закупівельний словник»); опублікований строк до 2026-12-31. Попросити один знеособлений пакет здачі за цим workflow.</x:v>
      </x:c>
      <x:c r="Z1488" s="15" t="str">
        <x:v>https://prozorro.gov.ua/tender/UA-2026-03-23-008819-a</x:v>
      </x:c>
      <x:c r="AA1488" s="14" t="str">
        <x:v>21560766</x:v>
      </x:c>
      <x:c r="AB1488" s="14" t="str">
        <x:v>2026-08-24</x:v>
      </x:c>
      <x:c r="AC1488" s="14" t="str"/>
      <x:c r="AD1488" s="20" t="str"/>
      <x:c r="AE1488" s="14" t="str"/>
      <x:c r="AF1488" s="14" t="n">
        <x:v>48</x:v>
      </x:c>
      <x:c r="AG1488" s="14" t="str">
        <x:v>I3</x:v>
      </x:c>
      <x:c r="AH1488" s="14" t="n">
        <x:v>2</x:v>
      </x:c>
      <x:c r="AI1488" s="14" t="n">
        <x:v>1</x:v>
      </x:c>
      <x:c r="AJ1488" s="18" t="n">
        <x:v>68100.1</x:v>
      </x:c>
      <x:c r="AK1488" s="14" t="str">
        <x:v>https://prozorro.gov.ua/tender/UA-2026-03-23-008819-a</x:v>
      </x:c>
      <x:c r="AL1488" s="19" t="n">
        <x:v>46104.52148630787</x:v>
      </x:c>
      <x:c r="AM1488" s="19" t="n">
        <x:v>46387</x:v>
      </x:c>
      <x:c r="AN1488" s="15" t="str">
        <x:v>ВОЛЗ / телеком</x:v>
      </x:c>
      <x:c r="AO1488" s="15" t="str">
        <x:v>supplier_provided_url</x:v>
      </x:c>
    </x:row>
    <x:row r="1489">
      <x:c r="A1489" s="14" t="str">
        <x:v>W5-117</x:v>
      </x:c>
      <x:c r="B1489" s="14" t="str">
        <x:v>Prozorro vertical expansion — 24.08</x:v>
      </x:c>
      <x:c r="C1489" s="14" t="str">
        <x:v>ЖИВАКО СТАНІСЛАВ ІГОРОВИЧ</x:v>
      </x:c>
      <x:c r="D1489" s="14" t="str">
        <x:v>ВОЛЗ / телеком</x:v>
      </x:c>
      <x:c r="E1489" s="14" t="str">
        <x:v>Expansion discovery</x:v>
      </x:c>
      <x:c r="F1489" s="17" t="str">
        <x:v>D3</x:v>
      </x:c>
      <x:c r="G1489" s="14" t="str"/>
      <x:c r="H1489" s="14" t="str">
        <x:v>Discovery розширення — 2 тижні</x:v>
      </x:c>
      <x:c r="I1489" s="16" t="n">
        <x:v>1</x:v>
      </x:c>
      <x:c r="J1489" s="16" t="n">
        <x:v>5</x:v>
      </x:c>
      <x:c r="K1489" s="16" t="n">
        <x:v>5</x:v>
      </x:c>
      <x:c r="L1489" s="16" t="n">
        <x:v>1</x:v>
      </x:c>
      <x:c r="M1489" s="16" t="n">
        <x:v>5</x:v>
      </x:c>
      <x:c r="N1489" s="16" t="n">
        <x:v>3</x:v>
      </x:c>
      <x:c r="O1489" s="16" t="n">
        <x:v>3</x:v>
      </x:c>
      <x:c r="P1489" s="16" t="n">
        <x:f>IF(COUNT(I1489:O1489)&lt;7,"",I1489*8+J1489*3+K1489*2+L1489*2+M1489*2+N1489*2+O1489)</x:f>
        <x:v>54</x:v>
      </x:c>
      <x:c r="Q1489" s="16" t="n">
        <x:f>IF(COUNT(J1489:O1489)&lt;6,"",J1489*5+K1489*4+M1489*4+L1489*3+N1489*2+O1489*2)</x:f>
        <x:v>80</x:v>
      </x:c>
      <x:c r="R1489" s="14" t="str">
        <x:v>high</x:v>
      </x:c>
      <x:c r="S1489" s="14" t="str">
        <x:v>official_prozorro_award_2024_2026</x:v>
      </x:c>
      <x:c r="T1489" s="14" t="str">
        <x:v>official_prozorro_api</x:v>
      </x:c>
      <x:c r="U1489" s="14" t="str">
        <x:v>Не контактували</x:v>
      </x:c>
      <x:c r="V1489" s="15" t="str">
        <x:v>Workflow-audit outreach по UA-2026-01-05-007903-a; попросити 1 пакет здачі та вимоги проєкту</x:v>
      </x:c>
      <x:c r="W1489" s="15" t="str">
        <x:v>Власник / виконавець; відповідальний за договір</x:v>
      </x:c>
      <x:c r="X1489" s="15" t="str">
        <x:v>2 нових підтверджених перемог/договорів у Prozorro на 41 500 грн; 0 зі строком виконання не раніше 24.08.2026.</x:v>
      </x:c>
      <x:c r="Y1489" s="15" t="str">
        <x:v>Послуги монтажу  телекомунікаційної мережі та  її вдосконалення за ДК 021:2015 72710000-0 Послуги у сфері локальних мереж; опублікований строк до 2025-12-31. Попросити один знеособлений пакет здачі за цим workflow.</x:v>
      </x:c>
      <x:c r="Z1489" s="15" t="str">
        <x:v>https://prozorro.gov.ua/tender/UA-2026-01-05-007903-a</x:v>
      </x:c>
      <x:c r="AA1489" s="14" t="str">
        <x:v>3320608658</x:v>
      </x:c>
      <x:c r="AB1489" s="14" t="str">
        <x:v>2026-08-24</x:v>
      </x:c>
      <x:c r="AC1489" s="14" t="str"/>
      <x:c r="AD1489" s="20" t="str"/>
      <x:c r="AE1489" s="14" t="str"/>
      <x:c r="AF1489" s="14" t="n">
        <x:v>48</x:v>
      </x:c>
      <x:c r="AG1489" s="14" t="str">
        <x:v>I3</x:v>
      </x:c>
      <x:c r="AH1489" s="14" t="n">
        <x:v>2</x:v>
      </x:c>
      <x:c r="AI1489" s="14" t="n">
        <x:v>0</x:v>
      </x:c>
      <x:c r="AJ1489" s="18" t="n">
        <x:v>41500</x:v>
      </x:c>
      <x:c r="AK1489" s="14" t="str">
        <x:v>https://prozorro.gov.ua/tender/UA-2026-01-05-007903-a</x:v>
      </x:c>
      <x:c r="AL1489" s="19" t="n">
        <x:v>46027.915360810184</x:v>
      </x:c>
      <x:c r="AM1489" s="19" t="n">
        <x:v>46022</x:v>
      </x:c>
      <x:c r="AN1489" s="15" t="str">
        <x:v>ВОЛЗ / телеком</x:v>
      </x:c>
      <x:c r="AO1489" s="15" t="str">
        <x:v>not_found_in_top_search</x:v>
      </x:c>
    </x:row>
    <x:row r="1490">
      <x:c r="A1490" s="14" t="str">
        <x:v>W5-118</x:v>
      </x:c>
      <x:c r="B1490" s="14" t="str">
        <x:v>Prozorro vertical expansion — 24.08</x:v>
      </x:c>
      <x:c r="C1490" s="14" t="str">
        <x:v>ФОП Дудчик Роман Іванович</x:v>
      </x:c>
      <x:c r="D1490" s="14" t="str">
        <x:v>Теплові пункти</x:v>
      </x:c>
      <x:c r="E1490" s="14" t="str">
        <x:v>Expansion discovery</x:v>
      </x:c>
      <x:c r="F1490" s="17" t="str">
        <x:v>D3</x:v>
      </x:c>
      <x:c r="G1490" s="14" t="str"/>
      <x:c r="H1490" s="14" t="str">
        <x:v>Discovery розширення — 2 тижні</x:v>
      </x:c>
      <x:c r="I1490" s="16" t="n">
        <x:v>1</x:v>
      </x:c>
      <x:c r="J1490" s="16" t="n">
        <x:v>5</x:v>
      </x:c>
      <x:c r="K1490" s="16" t="n">
        <x:v>5</x:v>
      </x:c>
      <x:c r="L1490" s="16" t="n">
        <x:v>2</x:v>
      </x:c>
      <x:c r="M1490" s="16" t="n">
        <x:v>5</x:v>
      </x:c>
      <x:c r="N1490" s="16" t="n">
        <x:v>3</x:v>
      </x:c>
      <x:c r="O1490" s="16" t="n">
        <x:v>3</x:v>
      </x:c>
      <x:c r="P1490" s="16" t="n">
        <x:f>IF(COUNT(I1490:O1490)&lt;7,"",I1490*8+J1490*3+K1490*2+L1490*2+M1490*2+N1490*2+O1490)</x:f>
        <x:v>56</x:v>
      </x:c>
      <x:c r="Q1490" s="16" t="n">
        <x:f>IF(COUNT(J1490:O1490)&lt;6,"",J1490*5+K1490*4+M1490*4+L1490*3+N1490*2+O1490*2)</x:f>
        <x:v>83</x:v>
      </x:c>
      <x:c r="R1490" s="14" t="str">
        <x:v>high</x:v>
      </x:c>
      <x:c r="S1490" s="14" t="str">
        <x:v>official_prozorro_award_2024_2026</x:v>
      </x:c>
      <x:c r="T1490" s="14" t="str">
        <x:v>official_prozorro_api</x:v>
      </x:c>
      <x:c r="U1490" s="14" t="str">
        <x:v>Не контактували</x:v>
      </x:c>
      <x:c r="V1490" s="15" t="str">
        <x:v>Workflow-audit outreach по UA-2024-08-08-003081-a; попросити 1 пакет здачі та вимоги проєкту</x:v>
      </x:c>
      <x:c r="W1490" s="15" t="str">
        <x:v>Власник / виконавець; відповідальний за договір</x:v>
      </x:c>
      <x:c r="X1490" s="15" t="str">
        <x:v>3 нових підтверджених перемог/договорів у Prozorro на 301 259 грн; 0 зі строком виконання не раніше 24.08.2026.</x:v>
      </x:c>
      <x:c r="Y1490" s="15" t="str">
        <x:v>Роботи по об'єкту: "Реконструкція систем опалення з влаштуванням системи автоматичного регулювання теплового потоку та вузла обліку теплової енергії (встановлення індивідуального теплового пункту) в житловому будинку № 63б на вулиці Гнідавській в м. Луцьку"; опублікований строк до 2024-08-08. Попросити один знеособлений пакет здачі за цим workflow.</x:v>
      </x:c>
      <x:c r="Z1490" s="15" t="str">
        <x:v>https://prozorro.gov.ua/tender/UA-2024-08-08-003081-a</x:v>
      </x:c>
      <x:c r="AA1490" s="14" t="str">
        <x:v>3065614098</x:v>
      </x:c>
      <x:c r="AB1490" s="14" t="str">
        <x:v>2026-08-24</x:v>
      </x:c>
      <x:c r="AC1490" s="14" t="str"/>
      <x:c r="AD1490" s="20" t="str"/>
      <x:c r="AE1490" s="14" t="str"/>
      <x:c r="AF1490" s="14" t="n">
        <x:v>47</x:v>
      </x:c>
      <x:c r="AG1490" s="14" t="str">
        <x:v>I3</x:v>
      </x:c>
      <x:c r="AH1490" s="14" t="n">
        <x:v>3</x:v>
      </x:c>
      <x:c r="AI1490" s="14" t="n">
        <x:v>0</x:v>
      </x:c>
      <x:c r="AJ1490" s="18" t="n">
        <x:v>301259.45</x:v>
      </x:c>
      <x:c r="AK1490" s="14" t="str">
        <x:v>https://prozorro.gov.ua/tender/UA-2024-08-08-003081-a</x:v>
      </x:c>
      <x:c r="AL1490" s="19" t="n">
        <x:v>45512.344526319444</x:v>
      </x:c>
      <x:c r="AM1490" s="19" t="n">
        <x:v>45512.33950231481</x:v>
      </x:c>
      <x:c r="AN1490" s="15" t="str">
        <x:v>Теплові пункти</x:v>
      </x:c>
      <x:c r="AO1490" s="15" t="str">
        <x:v>not_found_in_top_search</x:v>
      </x:c>
    </x:row>
    <x:row r="1491">
      <x:c r="A1491" s="14" t="str">
        <x:v>W5-119</x:v>
      </x:c>
      <x:c r="B1491" s="14" t="str">
        <x:v>Prozorro vertical expansion — 24.08</x:v>
      </x:c>
      <x:c r="C1491" s="14" t="str">
        <x:v>ФОП Ткаліченко Тетяна Валентинівна</x:v>
      </x:c>
      <x:c r="D1491" s="14" t="str">
        <x:v>Промисловий холод</x:v>
      </x:c>
      <x:c r="E1491" s="14" t="str">
        <x:v>Expansion discovery</x:v>
      </x:c>
      <x:c r="F1491" s="17" t="str">
        <x:v>D3</x:v>
      </x:c>
      <x:c r="G1491" s="14" t="str"/>
      <x:c r="H1491" s="14" t="str">
        <x:v>Discovery розширення — 2 тижні</x:v>
      </x:c>
      <x:c r="I1491" s="16" t="n">
        <x:v>1</x:v>
      </x:c>
      <x:c r="J1491" s="16" t="n">
        <x:v>5</x:v>
      </x:c>
      <x:c r="K1491" s="16" t="n">
        <x:v>5</x:v>
      </x:c>
      <x:c r="L1491" s="16" t="n">
        <x:v>2</x:v>
      </x:c>
      <x:c r="M1491" s="16" t="n">
        <x:v>5</x:v>
      </x:c>
      <x:c r="N1491" s="16" t="n">
        <x:v>3</x:v>
      </x:c>
      <x:c r="O1491" s="16" t="n">
        <x:v>3</x:v>
      </x:c>
      <x:c r="P1491" s="16" t="n">
        <x:f>IF(COUNT(I1491:O1491)&lt;7,"",I1491*8+J1491*3+K1491*2+L1491*2+M1491*2+N1491*2+O1491)</x:f>
        <x:v>56</x:v>
      </x:c>
      <x:c r="Q1491" s="16" t="n">
        <x:f>IF(COUNT(J1491:O1491)&lt;6,"",J1491*5+K1491*4+M1491*4+L1491*3+N1491*2+O1491*2)</x:f>
        <x:v>83</x:v>
      </x:c>
      <x:c r="R1491" s="14" t="str">
        <x:v>high</x:v>
      </x:c>
      <x:c r="S1491" s="14" t="str">
        <x:v>official_prozorro_award_2024_2026</x:v>
      </x:c>
      <x:c r="T1491" s="14" t="str">
        <x:v>official_prozorro_api</x:v>
      </x:c>
      <x:c r="U1491" s="14" t="str">
        <x:v>Не контактували</x:v>
      </x:c>
      <x:c r="V1491" s="15" t="str">
        <x:v>Workflow-audit outreach по UA-2026-07-03-004370-a; попросити 1 пакет здачі та вимоги проєкту</x:v>
      </x:c>
      <x:c r="W1491" s="15" t="str">
        <x:v>Власник / виконавець; відповідальний за договір</x:v>
      </x:c>
      <x:c r="X1491" s="15" t="str">
        <x:v>1 нових підтверджених перемог/договорів у Prozorro на 192 840 грн; 1 зі строком виконання не раніше 24.08.2026.</x:v>
      </x:c>
      <x:c r="Y1491" s="15" t="str">
        <x:v>Послуги з монтажу холодильної камери, (згідно коду ДК 021:2015: 50730000-1 — Послуги з ремонту і технічного обслуговування охолоджувальних установок); опублікований строк до 2026-08-31. Попросити один знеособлений пакет здачі за цим workflow.</x:v>
      </x:c>
      <x:c r="Z1491" s="15" t="str">
        <x:v>https://prozorro.gov.ua/tender/UA-2026-07-03-004370-a</x:v>
      </x:c>
      <x:c r="AA1491" s="14" t="str">
        <x:v>2869717422</x:v>
      </x:c>
      <x:c r="AB1491" s="14" t="str">
        <x:v>2026-08-24</x:v>
      </x:c>
      <x:c r="AC1491" s="14" t="str"/>
      <x:c r="AD1491" s="20" t="str"/>
      <x:c r="AE1491" s="14" t="str"/>
      <x:c r="AF1491" s="14" t="n">
        <x:v>47</x:v>
      </x:c>
      <x:c r="AG1491" s="14" t="str">
        <x:v>I3</x:v>
      </x:c>
      <x:c r="AH1491" s="14" t="n">
        <x:v>1</x:v>
      </x:c>
      <x:c r="AI1491" s="14" t="n">
        <x:v>1</x:v>
      </x:c>
      <x:c r="AJ1491" s="18" t="n">
        <x:v>192840</x:v>
      </x:c>
      <x:c r="AK1491" s="14" t="str">
        <x:v>https://prozorro.gov.ua/tender/UA-2026-07-03-004370-a</x:v>
      </x:c>
      <x:c r="AL1491" s="19" t="n">
        <x:v>46206.39339590278</x:v>
      </x:c>
      <x:c r="AM1491" s="19" t="n">
        <x:v>46265.382523148146</x:v>
      </x:c>
      <x:c r="AN1491" s="15" t="str">
        <x:v>Промисловий холод</x:v>
      </x:c>
      <x:c r="AO1491" s="15" t="str">
        <x:v>not_found_in_top_search</x:v>
      </x:c>
    </x:row>
    <x:row r="1492">
      <x:c r="A1492" s="14" t="str">
        <x:v>W5-120</x:v>
      </x:c>
      <x:c r="B1492" s="14" t="str">
        <x:v>Prozorro vertical expansion — 24.08</x:v>
      </x:c>
      <x:c r="C1492" s="14" t="str">
        <x:v>ФОП "ЧЕРКАСЬКИЙ ОЛЕКСАНДР ВОЛОДИМИРОВИЧ"</x:v>
      </x:c>
      <x:c r="D1492" s="14" t="str">
        <x:v>Резервне живлення</x:v>
      </x:c>
      <x:c r="E1492" s="14" t="str">
        <x:v>Pilot now</x:v>
      </x:c>
      <x:c r="F1492" s="17" t="str">
        <x:v>P3</x:v>
      </x:c>
      <x:c r="G1492" s="14" t="str"/>
      <x:c r="H1492" s="14" t="str">
        <x:v>Пілот зараз — Н.15 subset</x:v>
      </x:c>
      <x:c r="I1492" s="16" t="n">
        <x:v>4</x:v>
      </x:c>
      <x:c r="J1492" s="16" t="n">
        <x:v>5</x:v>
      </x:c>
      <x:c r="K1492" s="16" t="n">
        <x:v>5</x:v>
      </x:c>
      <x:c r="L1492" s="16" t="n">
        <x:v>2</x:v>
      </x:c>
      <x:c r="M1492" s="16" t="n">
        <x:v>5</x:v>
      </x:c>
      <x:c r="N1492" s="16" t="n">
        <x:v>3</x:v>
      </x:c>
      <x:c r="O1492" s="16" t="n">
        <x:v>3</x:v>
      </x:c>
      <x:c r="P1492" s="16" t="n">
        <x:f>IF(COUNT(I1492:O1492)&lt;7,"",I1492*8+J1492*3+K1492*2+L1492*2+M1492*2+N1492*2+O1492)</x:f>
        <x:v>80</x:v>
      </x:c>
      <x:c r="Q1492" s="16" t="n">
        <x:f>IF(COUNT(J1492:O1492)&lt;6,"",J1492*5+K1492*4+M1492*4+L1492*3+N1492*2+O1492*2)</x:f>
        <x:v>83</x:v>
      </x:c>
      <x:c r="R1492" s="14" t="str">
        <x:v>high</x:v>
      </x:c>
      <x:c r="S1492" s="14" t="str">
        <x:v>official_prozorro_award_2024_2026</x:v>
      </x:c>
      <x:c r="T1492" s="14" t="str">
        <x:v>official_prozorro_api</x:v>
      </x:c>
      <x:c r="U1492" s="14" t="str">
        <x:v>Не контактували</x:v>
      </x:c>
      <x:c r="V1492" s="15" t="str">
        <x:v>Персоналізований free-pilot outreach по UA-2026-05-13-013549-a; попросити 1 пакет Н.15</x:v>
      </x:c>
      <x:c r="W1492" s="15" t="str">
        <x:v>Власник / виконавець; відповідальний за договір</x:v>
      </x:c>
      <x:c r="X1492" s="15" t="str">
        <x:v>1 нових підтверджених перемог/договорів у Prozorro на 120 000 грн; 1 зі строком виконання не раніше 24.08.2026.</x:v>
      </x:c>
      <x:c r="Y1492" s="15" t="str">
        <x:v>Послуга з демонтажу - монтажу радіатора в зборі ( радіатор, крильчатка , вал підшипників , підшипники – 2шт) встановлення ременя вентилятора, змащування підшипників , заміна антифризу  на дизель- генераторній установці DALGAKIRAN DJ 17000 CU, серійний номер 25465919,2022 року випуску; опублікований строк до 2026-10-20. Попросити один знеособлений пакет здачі за цим workflow.</x:v>
      </x:c>
      <x:c r="Z1492" s="15" t="str">
        <x:v>https://prozorro.gov.ua/tender/UA-2026-05-13-013549-a</x:v>
      </x:c>
      <x:c r="AA1492" s="14" t="str">
        <x:v>3669702239</x:v>
      </x:c>
      <x:c r="AB1492" s="14" t="str">
        <x:v>2026-08-24</x:v>
      </x:c>
      <x:c r="AC1492" s="14" t="str"/>
      <x:c r="AD1492" s="20" t="str"/>
      <x:c r="AE1492" s="14" t="str"/>
      <x:c r="AF1492" s="14" t="n">
        <x:v>47</x:v>
      </x:c>
      <x:c r="AG1492" s="14" t="str">
        <x:v>I3</x:v>
      </x:c>
      <x:c r="AH1492" s="14" t="n">
        <x:v>1</x:v>
      </x:c>
      <x:c r="AI1492" s="14" t="n">
        <x:v>1</x:v>
      </x:c>
      <x:c r="AJ1492" s="18" t="n">
        <x:v>120000</x:v>
      </x:c>
      <x:c r="AK1492" s="14" t="str">
        <x:v>https://prozorro.gov.ua/tender/UA-2026-05-13-013549-a</x:v>
      </x:c>
      <x:c r="AL1492" s="19" t="n">
        <x:v>46172.471750613426</x:v>
      </x:c>
      <x:c r="AM1492" s="19" t="n">
        <x:v>46315</x:v>
      </x:c>
      <x:c r="AN1492" s="15" t="str">
        <x:v>Резервне живлення</x:v>
      </x:c>
      <x:c r="AO1492" s="15" t="str">
        <x:v>not_found_in_top_search</x:v>
      </x:c>
    </x:row>
    <x:row r="1493">
      <x:c r="A1493" s="14" t="str">
        <x:v>W5-121</x:v>
      </x:c>
      <x:c r="B1493" s="14" t="str">
        <x:v>Prozorro vertical expansion — 24.08</x:v>
      </x:c>
      <x:c r="C1493" s="14" t="str">
        <x:v>ТОВАРИСТВО З ОБМЕЖЕНОЮ ВІДПОВІДАЛЬНІСТЮ "УКРТРАНСМІСТ"</x:v>
      </x:c>
      <x:c r="D1493" s="14" t="str">
        <x:v>Залізнична інфраструктура</x:v>
      </x:c>
      <x:c r="E1493" s="14" t="str">
        <x:v>Expansion discovery</x:v>
      </x:c>
      <x:c r="F1493" s="17" t="str">
        <x:v>D3</x:v>
      </x:c>
      <x:c r="G1493" s="14" t="str"/>
      <x:c r="H1493" s="14" t="str">
        <x:v>Discovery розширення — 2 тижні</x:v>
      </x:c>
      <x:c r="I1493" s="16" t="n">
        <x:v>1</x:v>
      </x:c>
      <x:c r="J1493" s="16" t="n">
        <x:v>5</x:v>
      </x:c>
      <x:c r="K1493" s="16" t="n">
        <x:v>5</x:v>
      </x:c>
      <x:c r="L1493" s="16" t="n">
        <x:v>5</x:v>
      </x:c>
      <x:c r="M1493" s="16" t="n">
        <x:v>5</x:v>
      </x:c>
      <x:c r="N1493" s="16" t="n">
        <x:v>5</x:v>
      </x:c>
      <x:c r="O1493" s="16" t="n">
        <x:v>3</x:v>
      </x:c>
      <x:c r="P1493" s="16" t="n">
        <x:f>IF(COUNT(I1493:O1493)&lt;7,"",I1493*8+J1493*3+K1493*2+L1493*2+M1493*2+N1493*2+O1493)</x:f>
        <x:v>66</x:v>
      </x:c>
      <x:c r="Q1493" s="16" t="n">
        <x:f>IF(COUNT(J1493:O1493)&lt;6,"",J1493*5+K1493*4+M1493*4+L1493*3+N1493*2+O1493*2)</x:f>
        <x:v>96</x:v>
      </x:c>
      <x:c r="R1493" s="14" t="str">
        <x:v>high</x:v>
      </x:c>
      <x:c r="S1493" s="14" t="str">
        <x:v>official_prozorro_award_2024_2026</x:v>
      </x:c>
      <x:c r="T1493" s="14" t="str">
        <x:v>official_prozorro_api</x:v>
      </x:c>
      <x:c r="U1493" s="14" t="str">
        <x:v>Не контактували</x:v>
      </x:c>
      <x:c r="V1493" s="15" t="str">
        <x:v>Workflow-audit outreach по UA-2025-08-08-001211-a; попросити 1 пакет здачі та вимоги проєкту</x:v>
      </x:c>
      <x:c r="W1493" s="15" t="str">
        <x:v>Власник / директор; керівник ПТО; відповідальний за договори</x:v>
      </x:c>
      <x:c r="X1493" s="15" t="str">
        <x:v>1 нових підтверджених перемог/договорів у Prozorro на 154 999 900 грн; 1 зі строком виконання не раніше 24.08.2026.</x:v>
      </x:c>
      <x:c r="Y1493"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(Протиаварійні заходи для забезпечення безпечної експлуатації шляхопроводу по вул. Олександри Екстер через залізничні колії швидкісного трамваю в м. Києві); опублікований строк до 2026-12-31. Попросити один знеособлений пакет здачі за цим workflow.</x:v>
      </x:c>
      <x:c r="Z1493" s="15" t="str">
        <x:v>https://prozorro.gov.ua/tender/UA-2025-08-08-001211-a</x:v>
      </x:c>
      <x:c r="AA1493" s="14" t="str">
        <x:v>33778270</x:v>
      </x:c>
      <x:c r="AB1493" s="14" t="str">
        <x:v>2026-08-24</x:v>
      </x:c>
      <x:c r="AC1493" s="14" t="str"/>
      <x:c r="AD1493" s="20" t="str"/>
      <x:c r="AE1493" s="14" t="str"/>
      <x:c r="AF1493" s="14" t="n">
        <x:v>46</x:v>
      </x:c>
      <x:c r="AG1493" s="14" t="str">
        <x:v>I3</x:v>
      </x:c>
      <x:c r="AH1493" s="14" t="n">
        <x:v>1</x:v>
      </x:c>
      <x:c r="AI1493" s="14" t="n">
        <x:v>1</x:v>
      </x:c>
      <x:c r="AJ1493" s="18" t="n">
        <x:v>154999900</x:v>
      </x:c>
      <x:c r="AK1493" s="14" t="str">
        <x:v>https://prozorro.gov.ua/tender/UA-2025-08-08-001211-a</x:v>
      </x:c>
      <x:c r="AL1493" s="19" t="n">
        <x:v>45905.52243931713</x:v>
      </x:c>
      <x:c r="AM1493" s="19" t="n">
        <x:v>46387</x:v>
      </x:c>
      <x:c r="AN1493" s="15" t="str">
        <x:v>Залізнична інфраструктура</x:v>
      </x:c>
      <x:c r="AO1493" s="15" t="str">
        <x:v>not_found_in_top_search</x:v>
      </x:c>
    </x:row>
    <x:row r="1494">
      <x:c r="A1494" s="14" t="str">
        <x:v>W5-122</x:v>
      </x:c>
      <x:c r="B1494" s="14" t="str">
        <x:v>Prozorro vertical expansion — 24.08</x:v>
      </x:c>
      <x:c r="C1494" s="14" t="str">
        <x:v>ПРИВАТНЕ ПІДПРИЄМСТВО НАУКОВО-ВИРОБНИЧЕ "УКРЕКОСПЕЦПРОЕКТ"</x:v>
      </x:c>
      <x:c r="D1494" s="14" t="str">
        <x:v>Насосні станції</x:v>
      </x:c>
      <x:c r="E1494" s="14" t="str">
        <x:v>Expansion discovery</x:v>
      </x:c>
      <x:c r="F1494" s="17" t="str">
        <x:v>D3</x:v>
      </x:c>
      <x:c r="G1494" s="14" t="str"/>
      <x:c r="H1494" s="14" t="str">
        <x:v>Discovery розширення — 2 тижні</x:v>
      </x:c>
      <x:c r="I1494" s="16" t="n">
        <x:v>1</x:v>
      </x:c>
      <x:c r="J1494" s="16" t="n">
        <x:v>5</x:v>
      </x:c>
      <x:c r="K1494" s="16" t="n">
        <x:v>5</x:v>
      </x:c>
      <x:c r="L1494" s="16" t="n">
        <x:v>5</x:v>
      </x:c>
      <x:c r="M1494" s="16" t="n">
        <x:v>5</x:v>
      </x:c>
      <x:c r="N1494" s="16" t="n">
        <x:v>5</x:v>
      </x:c>
      <x:c r="O1494" s="16" t="n">
        <x:v>3</x:v>
      </x:c>
      <x:c r="P1494" s="16" t="n">
        <x:f>IF(COUNT(I1494:O1494)&lt;7,"",I1494*8+J1494*3+K1494*2+L1494*2+M1494*2+N1494*2+O1494)</x:f>
        <x:v>66</x:v>
      </x:c>
      <x:c r="Q1494" s="16" t="n">
        <x:f>IF(COUNT(J1494:O1494)&lt;6,"",J1494*5+K1494*4+M1494*4+L1494*3+N1494*2+O1494*2)</x:f>
        <x:v>96</x:v>
      </x:c>
      <x:c r="R1494" s="14" t="str">
        <x:v>high</x:v>
      </x:c>
      <x:c r="S1494" s="14" t="str">
        <x:v>official_prozorro_award_2024_2026</x:v>
      </x:c>
      <x:c r="T1494" s="14" t="str">
        <x:v>official_prozorro_api</x:v>
      </x:c>
      <x:c r="U1494" s="14" t="str">
        <x:v>Не контактували</x:v>
      </x:c>
      <x:c r="V1494" s="15" t="str">
        <x:v>Workflow-audit outreach по UA-2025-12-16-008983-a; попросити 1 пакет здачі та вимоги проєкту</x:v>
      </x:c>
      <x:c r="W1494" s="15" t="str">
        <x:v>Власник / директор; керівник ПТО; відповідальний за договори</x:v>
      </x:c>
      <x:c r="X1494" s="15" t="str">
        <x:v>1 нових підтверджених перемог/договорів у Prozorro на 40 792 378 грн; 1 зі строком виконання не раніше 24.08.2026.</x:v>
      </x:c>
      <x:c r="Y1494" s="15" t="str">
        <x:v>«Реконструкція каналізаційної насосної станції СП-17 в м. Кременчуці». Коригування ; опублікований строк до 2026-12-31. Попросити один знеособлений пакет здачі за цим workflow.</x:v>
      </x:c>
      <x:c r="Z1494" s="15" t="str">
        <x:v>https://prozorro.gov.ua/tender/UA-2025-12-16-008983-a</x:v>
      </x:c>
      <x:c r="AA1494" s="14" t="str">
        <x:v>33127597</x:v>
      </x:c>
      <x:c r="AB1494" s="14" t="str">
        <x:v>2026-08-24</x:v>
      </x:c>
      <x:c r="AC1494" s="14" t="str"/>
      <x:c r="AD1494" s="20" t="str"/>
      <x:c r="AE1494" s="14" t="str"/>
      <x:c r="AF1494" s="14" t="n">
        <x:v>46</x:v>
      </x:c>
      <x:c r="AG1494" s="14" t="str">
        <x:v>I3</x:v>
      </x:c>
      <x:c r="AH1494" s="14" t="n">
        <x:v>1</x:v>
      </x:c>
      <x:c r="AI1494" s="14" t="n">
        <x:v>1</x:v>
      </x:c>
      <x:c r="AJ1494" s="18" t="n">
        <x:v>40792378</x:v>
      </x:c>
      <x:c r="AK1494" s="14" t="str">
        <x:v>https://prozorro.gov.ua/tender/UA-2025-12-16-008983-a</x:v>
      </x:c>
      <x:c r="AL1494" s="19" t="n">
        <x:v>46007.41563564815</x:v>
      </x:c>
      <x:c r="AM1494" s="19" t="n">
        <x:v>46387</x:v>
      </x:c>
      <x:c r="AN1494" s="15" t="str">
        <x:v>Насосні станції</x:v>
      </x:c>
      <x:c r="AO1494" s="15" t="str">
        <x:v>not_found_in_top_search</x:v>
      </x:c>
    </x:row>
    <x:row r="1495">
      <x:c r="A1495" s="14" t="str">
        <x:v>W5-123</x:v>
      </x:c>
      <x:c r="B1495" s="14" t="str">
        <x:v>Prozorro vertical expansion — 24.08</x:v>
      </x:c>
      <x:c r="C1495" s="14" t="str">
        <x:v>ТОВ "ТЕЗ Сервіс"</x:v>
      </x:c>
      <x:c r="D1495" s="14" t="str">
        <x:v>Стиснене повітря / компресорні</x:v>
      </x:c>
      <x:c r="E1495" s="14" t="str">
        <x:v>Expansion discovery</x:v>
      </x:c>
      <x:c r="F1495" s="17" t="str">
        <x:v>D3</x:v>
      </x:c>
      <x:c r="G1495" s="14" t="str"/>
      <x:c r="H1495" s="14" t="str">
        <x:v>Discovery розширення — 2 тижні</x:v>
      </x:c>
      <x:c r="I1495" s="16" t="n">
        <x:v>1</x:v>
      </x:c>
      <x:c r="J1495" s="16" t="n">
        <x:v>5</x:v>
      </x:c>
      <x:c r="K1495" s="16" t="n">
        <x:v>5</x:v>
      </x:c>
      <x:c r="L1495" s="16" t="n">
        <x:v>5</x:v>
      </x:c>
      <x:c r="M1495" s="16" t="n">
        <x:v>5</x:v>
      </x:c>
      <x:c r="N1495" s="16" t="n">
        <x:v>5</x:v>
      </x:c>
      <x:c r="O1495" s="16" t="n">
        <x:v>3</x:v>
      </x:c>
      <x:c r="P1495" s="16" t="n">
        <x:f>IF(COUNT(I1495:O1495)&lt;7,"",I1495*8+J1495*3+K1495*2+L1495*2+M1495*2+N1495*2+O1495)</x:f>
        <x:v>66</x:v>
      </x:c>
      <x:c r="Q1495" s="16" t="n">
        <x:f>IF(COUNT(J1495:O1495)&lt;6,"",J1495*5+K1495*4+M1495*4+L1495*3+N1495*2+O1495*2)</x:f>
        <x:v>96</x:v>
      </x:c>
      <x:c r="R1495" s="14" t="str">
        <x:v>high</x:v>
      </x:c>
      <x:c r="S1495" s="14" t="str">
        <x:v>official_prozorro_award_2024_2026</x:v>
      </x:c>
      <x:c r="T1495" s="14" t="str">
        <x:v>official_prozorro_api</x:v>
      </x:c>
      <x:c r="U1495" s="14" t="str">
        <x:v>Не контактували</x:v>
      </x:c>
      <x:c r="V1495" s="15" t="str">
        <x:v>Workflow-audit outreach по UA-2025-10-30-009344-a; попросити 1 пакет здачі та вимоги проєкту</x:v>
      </x:c>
      <x:c r="W1495" s="15" t="str">
        <x:v>Власник / директор; керівник ПТО; відповідальний за договори</x:v>
      </x:c>
      <x:c r="X1495" s="15" t="str">
        <x:v>1 нових підтверджених перемог/договорів у Prozorro на 15 187 000 грн; 1 зі строком виконання не раніше 24.08.2026.</x:v>
      </x:c>
      <x:c r="Y1495" s="15" t="str">
        <x:v>Реконструкція компресорної пускового повітря шляхом заміни повітряних компресорів ЗГП-12/35 на дотискувальній компресорній станції Опари (Будівельні роботи та поточний ремонт); опублікований строк до 2026-12-31. Попросити один знеособлений пакет здачі за цим workflow.</x:v>
      </x:c>
      <x:c r="Z1495" s="15" t="str">
        <x:v>https://prozorro.gov.ua/tender/UA-2025-10-30-009344-a</x:v>
      </x:c>
      <x:c r="AA1495" s="14" t="str">
        <x:v>33059894</x:v>
      </x:c>
      <x:c r="AB1495" s="14" t="str">
        <x:v>2026-08-24</x:v>
      </x:c>
      <x:c r="AC1495" s="14" t="str"/>
      <x:c r="AD1495" s="20" t="str"/>
      <x:c r="AE1495" s="14" t="str"/>
      <x:c r="AF1495" s="14" t="n">
        <x:v>46</x:v>
      </x:c>
      <x:c r="AG1495" s="14" t="str">
        <x:v>I3</x:v>
      </x:c>
      <x:c r="AH1495" s="14" t="n">
        <x:v>1</x:v>
      </x:c>
      <x:c r="AI1495" s="14" t="n">
        <x:v>1</x:v>
      </x:c>
      <x:c r="AJ1495" s="18" t="n">
        <x:v>15187000</x:v>
      </x:c>
      <x:c r="AK1495" s="14" t="str">
        <x:v>https://prozorro.gov.ua/tender/UA-2025-10-30-009344-a</x:v>
      </x:c>
      <x:c r="AL1495" s="19" t="n">
        <x:v>46007.414926006946</x:v>
      </x:c>
      <x:c r="AM1495" s="19" t="n">
        <x:v>46387</x:v>
      </x:c>
      <x:c r="AN1495" s="15" t="str">
        <x:v>Стиснене повітря / компресорні</x:v>
      </x:c>
      <x:c r="AO1495" s="15" t="str">
        <x:v>not_found_in_top_search</x:v>
      </x:c>
    </x:row>
    <x:row r="1496">
      <x:c r="A1496" s="14" t="str">
        <x:v>W5-124</x:v>
      </x:c>
      <x:c r="B1496" s="14" t="str">
        <x:v>Prozorro vertical expansion — 24.08</x:v>
      </x:c>
      <x:c r="C1496" s="14" t="str">
        <x:v>ТОВ "ІнтеграЛіс"</x:v>
      </x:c>
      <x:c r="D1496" s="14" t="str">
        <x:v>Залізнична інфраструктура</x:v>
      </x:c>
      <x:c r="E1496" s="14" t="str">
        <x:v>Expansion discovery</x:v>
      </x:c>
      <x:c r="F1496" s="17" t="str">
        <x:v>D3</x:v>
      </x:c>
      <x:c r="G1496" s="14" t="str"/>
      <x:c r="H1496" s="14" t="str">
        <x:v>Discovery розширення — 2 тижні</x:v>
      </x:c>
      <x:c r="I1496" s="16" t="n">
        <x:v>1</x:v>
      </x:c>
      <x:c r="J1496" s="16" t="n">
        <x:v>5</x:v>
      </x:c>
      <x:c r="K1496" s="16" t="n">
        <x:v>5</x:v>
      </x:c>
      <x:c r="L1496" s="16" t="n">
        <x:v>5</x:v>
      </x:c>
      <x:c r="M1496" s="16" t="n">
        <x:v>5</x:v>
      </x:c>
      <x:c r="N1496" s="16" t="n">
        <x:v>5</x:v>
      </x:c>
      <x:c r="O1496" s="16" t="n">
        <x:v>3</x:v>
      </x:c>
      <x:c r="P1496" s="16" t="n">
        <x:f>IF(COUNT(I1496:O1496)&lt;7,"",I1496*8+J1496*3+K1496*2+L1496*2+M1496*2+N1496*2+O1496)</x:f>
        <x:v>66</x:v>
      </x:c>
      <x:c r="Q1496" s="16" t="n">
        <x:f>IF(COUNT(J1496:O1496)&lt;6,"",J1496*5+K1496*4+M1496*4+L1496*3+N1496*2+O1496*2)</x:f>
        <x:v>96</x:v>
      </x:c>
      <x:c r="R1496" s="14" t="str">
        <x:v>high</x:v>
      </x:c>
      <x:c r="S1496" s="14" t="str">
        <x:v>official_prozorro_award_2024_2026</x:v>
      </x:c>
      <x:c r="T1496" s="14" t="str">
        <x:v>official_prozorro_api</x:v>
      </x:c>
      <x:c r="U1496" s="14" t="str">
        <x:v>Не контактували</x:v>
      </x:c>
      <x:c r="V1496" s="15" t="str">
        <x:v>Workflow-audit outreach по UA-2025-05-14-012035-a; попросити 1 пакет здачі та вимоги проєкту</x:v>
      </x:c>
      <x:c r="W1496" s="15" t="str">
        <x:v>Власник / директор; керівник ПТО; відповідальний за договори</x:v>
      </x:c>
      <x:c r="X1496" s="15" t="str">
        <x:v>1 нових підтверджених перемог/договорів у Prozorro на 12 100 800 грн; 0 зі строком виконання не раніше 24.08.2026.</x:v>
      </x:c>
      <x:c r="Y1496" s="15" t="str">
        <x:v>Матеріали для ремонту залізничних колій ; опублікований строк до 2025-09-30. Попросити один знеособлений пакет здачі за цим workflow.</x:v>
      </x:c>
      <x:c r="Z1496" s="15" t="str">
        <x:v>https://prozorro.gov.ua/tender/UA-2025-05-14-012035-a</x:v>
      </x:c>
      <x:c r="AA1496" s="14" t="str">
        <x:v>45614742</x:v>
      </x:c>
      <x:c r="AB1496" s="14" t="str">
        <x:v>2026-08-24</x:v>
      </x:c>
      <x:c r="AC1496" s="14" t="str"/>
      <x:c r="AD1496" s="20" t="str"/>
      <x:c r="AE1496" s="14" t="str"/>
      <x:c r="AF1496" s="14" t="n">
        <x:v>46</x:v>
      </x:c>
      <x:c r="AG1496" s="14" t="str">
        <x:v>I3</x:v>
      </x:c>
      <x:c r="AH1496" s="14" t="n">
        <x:v>1</x:v>
      </x:c>
      <x:c r="AI1496" s="14" t="n">
        <x:v>0</x:v>
      </x:c>
      <x:c r="AJ1496" s="18" t="n">
        <x:v>12100800</x:v>
      </x:c>
      <x:c r="AK1496" s="14" t="str">
        <x:v>https://prozorro.gov.ua/tender/UA-2025-05-14-012035-a</x:v>
      </x:c>
      <x:c r="AL1496" s="19" t="n">
        <x:v>45800.52137228009</x:v>
      </x:c>
      <x:c r="AM1496" s="19" t="n">
        <x:v>45930</x:v>
      </x:c>
      <x:c r="AN1496" s="15" t="str">
        <x:v>Залізнична інфраструктура</x:v>
      </x:c>
      <x:c r="AO1496" s="15" t="str">
        <x:v>not_found_in_top_search</x:v>
      </x:c>
    </x:row>
    <x:row r="1497">
      <x:c r="A1497" s="14" t="str">
        <x:v>W5-125</x:v>
      </x:c>
      <x:c r="B1497" s="14" t="str">
        <x:v>Prozorro vertical expansion — 24.08</x:v>
      </x:c>
      <x:c r="C1497" s="14" t="str">
        <x:v>ТОВАРИСТВО З ОБМЕЖЕНОЮ ВІДПОВІДАЛЬНІСТЮ "БУДІВЕЛЬНА ГРУПА КОМФОРТТАУН"</x:v>
      </x:c>
      <x:c r="D1497" s="14" t="str">
        <x:v>Сонячна енергетика</x:v>
      </x:c>
      <x:c r="E1497" s="14" t="str">
        <x:v>Pilot now</x:v>
      </x:c>
      <x:c r="F1497" s="17" t="str">
        <x:v>P3</x:v>
      </x:c>
      <x:c r="G1497" s="14" t="str"/>
      <x:c r="H1497" s="14" t="str">
        <x:v>Пілот зараз — Н.15 discovery subset</x:v>
      </x:c>
      <x:c r="I1497" s="16" t="n">
        <x:v>3</x:v>
      </x:c>
      <x:c r="J1497" s="16" t="n">
        <x:v>5</x:v>
      </x:c>
      <x:c r="K1497" s="16" t="n">
        <x:v>5</x:v>
      </x:c>
      <x:c r="L1497" s="16" t="n">
        <x:v>3</x:v>
      </x:c>
      <x:c r="M1497" s="16" t="n">
        <x:v>5</x:v>
      </x:c>
      <x:c r="N1497" s="16" t="n">
        <x:v>5</x:v>
      </x:c>
      <x:c r="O1497" s="16" t="n">
        <x:v>3</x:v>
      </x:c>
      <x:c r="P1497" s="16" t="n">
        <x:f>IF(COUNT(I1497:O1497)&lt;7,"",I1497*8+J1497*3+K1497*2+L1497*2+M1497*2+N1497*2+O1497)</x:f>
        <x:v>78</x:v>
      </x:c>
      <x:c r="Q1497" s="16" t="n">
        <x:f>IF(COUNT(J1497:O1497)&lt;6,"",J1497*5+K1497*4+M1497*4+L1497*3+N1497*2+O1497*2)</x:f>
        <x:v>90</x:v>
      </x:c>
      <x:c r="R1497" s="14" t="str">
        <x:v>high</x:v>
      </x:c>
      <x:c r="S1497" s="14" t="str">
        <x:v>official_prozorro_award_2024_2026</x:v>
      </x:c>
      <x:c r="T1497" s="14" t="str">
        <x:v>official_prozorro_api</x:v>
      </x:c>
      <x:c r="U1497" s="14" t="str">
        <x:v>Не контактували</x:v>
      </x:c>
      <x:c r="V1497" s="15" t="str">
        <x:v>Персоналізований free-pilot outreach по UA-2026-03-31-010294-a; попросити 1 пакет Н.15</x:v>
      </x:c>
      <x:c r="W1497" s="15" t="str">
        <x:v>Власник / директор; керівник ПТО; відповідальний за договори</x:v>
      </x:c>
      <x:c r="X1497" s="15" t="str">
        <x:v>1 нових підтверджених перемог/договорів у Prozorro на 1 750 666 грн; 0 зі строком виконання не раніше 24.08.2026.</x:v>
      </x:c>
      <x:c r="Y1497" s="15" t="str">
        <x:v>Нове будівництво сонячної електростанції на покрівлі будівлі гаражу (літера «Б») МКУП «Міськсвітло» за адресом: м. Вінниця, вул. Р. Скалецького, буд.17. Код за ДК 021:2015 45250000-4 Будівництво заводів / установок, гірничодобувних і переробних об’єктів та об’єктів нафтогазової інфраструктури; опублікований строк до 2026-06-30. Попросити один знеособлений пакет здачі за цим workflow.</x:v>
      </x:c>
      <x:c r="Z1497" s="15" t="str">
        <x:v>https://prozorro.gov.ua/tender/UA-2026-03-31-010294-a</x:v>
      </x:c>
      <x:c r="AA1497" s="14" t="str">
        <x:v>43079629</x:v>
      </x:c>
      <x:c r="AB1497" s="14" t="str">
        <x:v>2026-08-24</x:v>
      </x:c>
      <x:c r="AC1497" s="14" t="str"/>
      <x:c r="AD1497" s="20" t="str"/>
      <x:c r="AE1497" s="14" t="str"/>
      <x:c r="AF1497" s="14" t="n">
        <x:v>46</x:v>
      </x:c>
      <x:c r="AG1497" s="14" t="str">
        <x:v>I3</x:v>
      </x:c>
      <x:c r="AH1497" s="14" t="n">
        <x:v>1</x:v>
      </x:c>
      <x:c r="AI1497" s="14" t="n">
        <x:v>0</x:v>
      </x:c>
      <x:c r="AJ1497" s="18" t="n">
        <x:v>1750665.84</x:v>
      </x:c>
      <x:c r="AK1497" s="14" t="str">
        <x:v>https://prozorro.gov.ua/tender/UA-2026-03-31-010294-a</x:v>
      </x:c>
      <x:c r="AL1497" s="19" t="n">
        <x:v>46136.530639791665</x:v>
      </x:c>
      <x:c r="AM1497" s="19" t="n">
        <x:v>46203</x:v>
      </x:c>
      <x:c r="AN1497" s="15" t="str">
        <x:v>Сонячна енергетика</x:v>
      </x:c>
      <x:c r="AO1497" s="15" t="str">
        <x:v>not_found_in_top_search</x:v>
      </x:c>
    </x:row>
    <x:row r="1498">
      <x:c r="A1498" s="14" t="str">
        <x:v>W5-126</x:v>
      </x:c>
      <x:c r="B1498" s="14" t="str">
        <x:v>Prozorro vertical expansion — 24.08</x:v>
      </x:c>
      <x:c r="C1498" s="14" t="str">
        <x:v>ТОВ «ІН-ТРАС»</x:v>
      </x:c>
      <x:c r="D1498" s="14" t="str">
        <x:v>Ремонт і підсилення бетону</x:v>
      </x:c>
      <x:c r="E1498" s="14" t="str">
        <x:v>Expansion discovery</x:v>
      </x:c>
      <x:c r="F1498" s="17" t="str">
        <x:v>D3</x:v>
      </x:c>
      <x:c r="G1498" s="14" t="str"/>
      <x:c r="H1498" s="14" t="str">
        <x:v>Discovery розширення — 2 тижні</x:v>
      </x:c>
      <x:c r="I1498" s="16" t="n">
        <x:v>1</x:v>
      </x:c>
      <x:c r="J1498" s="16" t="n">
        <x:v>5</x:v>
      </x:c>
      <x:c r="K1498" s="16" t="n">
        <x:v>5</x:v>
      </x:c>
      <x:c r="L1498" s="16" t="n">
        <x:v>3</x:v>
      </x:c>
      <x:c r="M1498" s="16" t="n">
        <x:v>5</x:v>
      </x:c>
      <x:c r="N1498" s="16" t="n">
        <x:v>5</x:v>
      </x:c>
      <x:c r="O1498" s="16" t="n">
        <x:v>3</x:v>
      </x:c>
      <x:c r="P1498" s="16" t="n">
        <x:f>IF(COUNT(I1498:O1498)&lt;7,"",I1498*8+J1498*3+K1498*2+L1498*2+M1498*2+N1498*2+O1498)</x:f>
        <x:v>62</x:v>
      </x:c>
      <x:c r="Q1498" s="16" t="n">
        <x:f>IF(COUNT(J1498:O1498)&lt;6,"",J1498*5+K1498*4+M1498*4+L1498*3+N1498*2+O1498*2)</x:f>
        <x:v>90</x:v>
      </x:c>
      <x:c r="R1498" s="14" t="str">
        <x:v>high</x:v>
      </x:c>
      <x:c r="S1498" s="14" t="str">
        <x:v>official_prozorro_award_2024_2026</x:v>
      </x:c>
      <x:c r="T1498" s="14" t="str">
        <x:v>official_prozorro_api</x:v>
      </x:c>
      <x:c r="U1498" s="14" t="str">
        <x:v>Не контактували</x:v>
      </x:c>
      <x:c r="V1498" s="15" t="str">
        <x:v>Workflow-audit outreach по UA-2026-03-31-003147-a; попросити 1 пакет здачі та вимоги проєкту</x:v>
      </x:c>
      <x:c r="W1498" s="15" t="str">
        <x:v>Власник / директор; керівник ПТО; відповідальний за договори</x:v>
      </x:c>
      <x:c r="X1498" s="15" t="str">
        <x:v>1 нових підтверджених перемог/договорів у Prozorro на 1 476 591 грн; 0 зі строком виконання не раніше 24.08.2026.</x:v>
      </x:c>
      <x:c r="Y1498" s="15" t="str">
        <x:v>Код ДК 021:2015 - 45220000-5 Інженерні та будівельні роботи (Капітальний ремонт підстанції «Правобережна» АТ «ЗАПОРІЖЖЯОБЛЕНЕРГО» в частині будівельних робіт з улаштуванням залізобетонних конструкцій. Кабельні конструкції); опублікований строк до 2026-06-30. Попросити один знеособлений пакет здачі за цим workflow.</x:v>
      </x:c>
      <x:c r="Z1498" s="15" t="str">
        <x:v>https://prozorro.gov.ua/tender/UA-2026-03-31-003147-a</x:v>
      </x:c>
      <x:c r="AA1498" s="14" t="str">
        <x:v>40465269</x:v>
      </x:c>
      <x:c r="AB1498" s="14" t="str">
        <x:v>2026-08-24</x:v>
      </x:c>
      <x:c r="AC1498" s="14" t="str"/>
      <x:c r="AD1498" s="20" t="str"/>
      <x:c r="AE1498" s="14" t="str"/>
      <x:c r="AF1498" s="14" t="n">
        <x:v>46</x:v>
      </x:c>
      <x:c r="AG1498" s="14" t="str">
        <x:v>I3</x:v>
      </x:c>
      <x:c r="AH1498" s="14" t="n">
        <x:v>1</x:v>
      </x:c>
      <x:c r="AI1498" s="14" t="n">
        <x:v>0</x:v>
      </x:c>
      <x:c r="AJ1498" s="18" t="n">
        <x:v>1476590.87</x:v>
      </x:c>
      <x:c r="AK1498" s="14" t="str">
        <x:v>https://prozorro.gov.ua/tender/UA-2026-03-31-003147-a</x:v>
      </x:c>
      <x:c r="AL1498" s="19" t="n">
        <x:v>46112.339606724534</x:v>
      </x:c>
      <x:c r="AM1498" s="19" t="n">
        <x:v>46203</x:v>
      </x:c>
      <x:c r="AN1498" s="15" t="str">
        <x:v>Ремонт і підсилення бетону</x:v>
      </x:c>
      <x:c r="AO1498" s="15" t="str">
        <x:v>not_found_in_top_search</x:v>
      </x:c>
    </x:row>
    <x:row r="1499">
      <x:c r="A1499" s="14" t="str">
        <x:v>W5-127</x:v>
      </x:c>
      <x:c r="B1499" s="14" t="str">
        <x:v>Prozorro vertical expansion — 24.08</x:v>
      </x:c>
      <x:c r="C1499" s="14" t="str">
        <x:v>Товариство з обмеженою відповідальністю "Будівельно-виробнича компанія "Мосбуд"</x:v>
      </x:c>
      <x:c r="D1499" s="14" t="str">
        <x:v>Насосні станції</x:v>
      </x:c>
      <x:c r="E1499" s="14" t="str">
        <x:v>Expansion discovery</x:v>
      </x:c>
      <x:c r="F1499" s="17" t="str">
        <x:v>D3</x:v>
      </x:c>
      <x:c r="G1499" s="14" t="str"/>
      <x:c r="H1499" s="14" t="str">
        <x:v>Discovery розширення — 2 тижні</x:v>
      </x:c>
      <x:c r="I1499" s="16" t="n">
        <x:v>1</x:v>
      </x:c>
      <x:c r="J1499" s="16" t="n">
        <x:v>5</x:v>
      </x:c>
      <x:c r="K1499" s="16" t="n">
        <x:v>5</x:v>
      </x:c>
      <x:c r="L1499" s="16" t="n">
        <x:v>3</x:v>
      </x:c>
      <x:c r="M1499" s="16" t="n">
        <x:v>5</x:v>
      </x:c>
      <x:c r="N1499" s="16" t="n">
        <x:v>5</x:v>
      </x:c>
      <x:c r="O1499" s="16" t="n">
        <x:v>3</x:v>
      </x:c>
      <x:c r="P1499" s="16" t="n">
        <x:f>IF(COUNT(I1499:O1499)&lt;7,"",I1499*8+J1499*3+K1499*2+L1499*2+M1499*2+N1499*2+O1499)</x:f>
        <x:v>62</x:v>
      </x:c>
      <x:c r="Q1499" s="16" t="n">
        <x:f>IF(COUNT(J1499:O1499)&lt;6,"",J1499*5+K1499*4+M1499*4+L1499*3+N1499*2+O1499*2)</x:f>
        <x:v>90</x:v>
      </x:c>
      <x:c r="R1499" s="14" t="str">
        <x:v>high</x:v>
      </x:c>
      <x:c r="S1499" s="14" t="str">
        <x:v>official_prozorro_award_2024_2026</x:v>
      </x:c>
      <x:c r="T1499" s="14" t="str">
        <x:v>official_prozorro_api</x:v>
      </x:c>
      <x:c r="U1499" s="14" t="str">
        <x:v>Не контактували</x:v>
      </x:c>
      <x:c r="V1499" s="15" t="str">
        <x:v>Workflow-audit outreach по UA-2026-04-15-004658-a; попросити 1 пакет здачі та вимоги проєкту</x:v>
      </x:c>
      <x:c r="W1499" s="15" t="str">
        <x:v>Власник / директор; керівник ПТО; відповідальний за договори</x:v>
      </x:c>
      <x:c r="X1499" s="15" t="str">
        <x:v>1 нових підтверджених перемог/договорів у Prozorro на 1 287 304 грн; 1 зі строком виконання не раніше 24.08.2026.</x:v>
      </x:c>
      <x:c r="Y1499" s="15" t="str">
        <x:v>Реконструкція електричних мереж зі встановленням мережевої СЕС на резервній станції насосної станції І-го підйому водозабору за адресою: Стрийський р-н, с. Дубина, вул. Дачна, 51-А; опублікований строк до 2026-12-31. Попросити один знеособлений пакет здачі за цим workflow.</x:v>
      </x:c>
      <x:c r="Z1499" s="15" t="str">
        <x:v>https://prozorro.gov.ua/tender/UA-2026-04-15-004658-a</x:v>
      </x:c>
      <x:c r="AA1499" s="14" t="str">
        <x:v>34452127</x:v>
      </x:c>
      <x:c r="AB1499" s="14" t="str">
        <x:v>2026-08-24</x:v>
      </x:c>
      <x:c r="AC1499" s="14" t="str"/>
      <x:c r="AD1499" s="20" t="str"/>
      <x:c r="AE1499" s="14" t="str"/>
      <x:c r="AF1499" s="14" t="n">
        <x:v>46</x:v>
      </x:c>
      <x:c r="AG1499" s="14" t="str">
        <x:v>I3</x:v>
      </x:c>
      <x:c r="AH1499" s="14" t="n">
        <x:v>1</x:v>
      </x:c>
      <x:c r="AI1499" s="14" t="n">
        <x:v>1</x:v>
      </x:c>
      <x:c r="AJ1499" s="18" t="n">
        <x:v>1287303.6</x:v>
      </x:c>
      <x:c r="AK1499" s="14" t="str">
        <x:v>https://prozorro.gov.ua/tender/UA-2026-04-15-004658-a</x:v>
      </x:c>
      <x:c r="AL1499" s="19" t="n">
        <x:v>46127.374368425924</x:v>
      </x:c>
      <x:c r="AM1499" s="19" t="n">
        <x:v>46387.41695601852</x:v>
      </x:c>
      <x:c r="AN1499" s="15" t="str">
        <x:v>Насосні станції</x:v>
      </x:c>
      <x:c r="AO1499" s="15" t="str">
        <x:v>not_found_in_top_search</x:v>
      </x:c>
    </x:row>
    <x:row r="1500">
      <x:c r="A1500" s="14" t="str">
        <x:v>W5-128</x:v>
      </x:c>
      <x:c r="B1500" s="14" t="str">
        <x:v>Prozorro vertical expansion — 24.08</x:v>
      </x:c>
      <x:c r="C1500" s="14" t="str">
        <x:v>ТОВАРИСТВО З ОБМЕЖЕНОЮ ВІДПОВІДАЛЬНІСТЮ "КВА"</x:v>
      </x:c>
      <x:c r="D1500" s="14" t="str">
        <x:v>Сонячна енергетика</x:v>
      </x:c>
      <x:c r="E1500" s="14" t="str">
        <x:v>Pilot now</x:v>
      </x:c>
      <x:c r="F1500" s="17" t="str">
        <x:v>P3</x:v>
      </x:c>
      <x:c r="G1500" s="14" t="str"/>
      <x:c r="H1500" s="14" t="str">
        <x:v>Пілот зараз — Н.15 discovery subset</x:v>
      </x:c>
      <x:c r="I1500" s="16" t="n">
        <x:v>3</x:v>
      </x:c>
      <x:c r="J1500" s="16" t="n">
        <x:v>5</x:v>
      </x:c>
      <x:c r="K1500" s="16" t="n">
        <x:v>5</x:v>
      </x:c>
      <x:c r="L1500" s="16" t="n">
        <x:v>3</x:v>
      </x:c>
      <x:c r="M1500" s="16" t="n">
        <x:v>5</x:v>
      </x:c>
      <x:c r="N1500" s="16" t="n">
        <x:v>5</x:v>
      </x:c>
      <x:c r="O1500" s="16" t="n">
        <x:v>3</x:v>
      </x:c>
      <x:c r="P1500" s="16" t="n">
        <x:f>IF(COUNT(I1500:O1500)&lt;7,"",I1500*8+J1500*3+K1500*2+L1500*2+M1500*2+N1500*2+O1500)</x:f>
        <x:v>78</x:v>
      </x:c>
      <x:c r="Q1500" s="16" t="n">
        <x:f>IF(COUNT(J1500:O1500)&lt;6,"",J1500*5+K1500*4+M1500*4+L1500*3+N1500*2+O1500*2)</x:f>
        <x:v>90</x:v>
      </x:c>
      <x:c r="R1500" s="14" t="str">
        <x:v>high</x:v>
      </x:c>
      <x:c r="S1500" s="14" t="str">
        <x:v>official_prozorro_award_2024_2026</x:v>
      </x:c>
      <x:c r="T1500" s="14" t="str">
        <x:v>official_prozorro_api</x:v>
      </x:c>
      <x:c r="U1500" s="14" t="str">
        <x:v>Не контактували</x:v>
      </x:c>
      <x:c r="V1500" s="15" t="str">
        <x:v>Персоналізований free-pilot outreach по UA-2026-04-09-007150-a; попросити 1 пакет Н.15</x:v>
      </x:c>
      <x:c r="W1500" s="15" t="str">
        <x:v>Власник / директор; керівник ПТО; відповідальний за договори</x:v>
      </x:c>
      <x:c r="X1500" s="15" t="str">
        <x:v>1 нових підтверджених перемог/договорів у Prozorro на 1 068 188 грн; 0 зі строком виконання не раніше 24.08.2026.</x:v>
      </x:c>
      <x:c r="Y1500" s="15" t="str">
        <x:v>Нове будівництво сонячної електростанції (СЕС) для свердловини №1Д по вулиці Миргородській в селі Великі Сорочинці Миргородського району Полтавської області; опублікований строк до 2026-07-09. Попросити один знеособлений пакет здачі за цим workflow.</x:v>
      </x:c>
      <x:c r="Z1500" s="15" t="str">
        <x:v>https://prozorro.gov.ua/tender/UA-2026-04-09-007150-a</x:v>
      </x:c>
      <x:c r="AA1500" s="14" t="str">
        <x:v>39720797</x:v>
      </x:c>
      <x:c r="AB1500" s="14" t="str">
        <x:v>2026-08-24</x:v>
      </x:c>
      <x:c r="AC1500" s="14" t="str"/>
      <x:c r="AD1500" s="20" t="str"/>
      <x:c r="AE1500" s="14" t="str"/>
      <x:c r="AF1500" s="14" t="n">
        <x:v>46</x:v>
      </x:c>
      <x:c r="AG1500" s="14" t="str">
        <x:v>I3</x:v>
      </x:c>
      <x:c r="AH1500" s="14" t="n">
        <x:v>1</x:v>
      </x:c>
      <x:c r="AI1500" s="14" t="n">
        <x:v>0</x:v>
      </x:c>
      <x:c r="AJ1500" s="18" t="n">
        <x:v>1068187.58</x:v>
      </x:c>
      <x:c r="AK1500" s="14" t="str">
        <x:v>https://prozorro.gov.ua/tender/UA-2026-04-09-007150-a</x:v>
      </x:c>
      <x:c r="AL1500" s="19" t="n">
        <x:v>46121.45174016204</x:v>
      </x:c>
      <x:c r="AM1500" s="19" t="n">
        <x:v>46212</x:v>
      </x:c>
      <x:c r="AN1500" s="15" t="str">
        <x:v>Сонячна енергетика</x:v>
      </x:c>
      <x:c r="AO1500" s="15" t="str">
        <x:v>not_found_in_top_search</x:v>
      </x:c>
    </x:row>
    <x:row r="1501">
      <x:c r="A1501" s="14" t="str">
        <x:v>W5-129</x:v>
      </x:c>
      <x:c r="B1501" s="14" t="str">
        <x:v>Prozorro vertical expansion — 24.08</x:v>
      </x:c>
      <x:c r="C1501" s="14" t="str">
        <x:v>КП КУП Пристоличної сільської ради "Олександрівкажитлобудсервіс"</x:v>
      </x:c>
      <x:c r="D1501" s="14" t="str">
        <x:v>Насосні станції</x:v>
      </x:c>
      <x:c r="E1501" s="14" t="str">
        <x:v>Expansion discovery</x:v>
      </x:c>
      <x:c r="F1501" s="17" t="str">
        <x:v>D3</x:v>
      </x:c>
      <x:c r="G1501" s="14" t="str"/>
      <x:c r="H1501" s="14" t="str">
        <x:v>Discovery розширення — 2 тижні</x:v>
      </x:c>
      <x:c r="I1501" s="16" t="n">
        <x:v>1</x:v>
      </x:c>
      <x:c r="J1501" s="16" t="n">
        <x:v>5</x:v>
      </x:c>
      <x:c r="K1501" s="16" t="n">
        <x:v>5</x:v>
      </x:c>
      <x:c r="L1501" s="16" t="n">
        <x:v>3</x:v>
      </x:c>
      <x:c r="M1501" s="16" t="n">
        <x:v>5</x:v>
      </x:c>
      <x:c r="N1501" s="16" t="n">
        <x:v>5</x:v>
      </x:c>
      <x:c r="O1501" s="16" t="n">
        <x:v>3</x:v>
      </x:c>
      <x:c r="P1501" s="16" t="n">
        <x:f>IF(COUNT(I1501:O1501)&lt;7,"",I1501*8+J1501*3+K1501*2+L1501*2+M1501*2+N1501*2+O1501)</x:f>
        <x:v>62</x:v>
      </x:c>
      <x:c r="Q1501" s="16" t="n">
        <x:f>IF(COUNT(J1501:O1501)&lt;6,"",J1501*5+K1501*4+M1501*4+L1501*3+N1501*2+O1501*2)</x:f>
        <x:v>90</x:v>
      </x:c>
      <x:c r="R1501" s="14" t="str">
        <x:v>high</x:v>
      </x:c>
      <x:c r="S1501" s="14" t="str">
        <x:v>official_prozorro_award_2024_2026</x:v>
      </x:c>
      <x:c r="T1501" s="14" t="str">
        <x:v>official_prozorro_api</x:v>
      </x:c>
      <x:c r="U1501" s="14" t="str">
        <x:v>Не контактували</x:v>
      </x:c>
      <x:c r="V1501" s="15" t="str">
        <x:v>Workflow-audit outreach по UA-2026-02-18-009616-a; попросити 1 пакет здачі та вимоги проєкту</x:v>
      </x:c>
      <x:c r="W1501" s="15" t="str">
        <x:v>Власник / директор; керівник ПТО; відповідальний за договори</x:v>
      </x:c>
      <x:c r="X1501" s="15" t="str">
        <x:v>1 нових підтверджених перемог/договорів у Prozorro на 947 209 грн; 1 зі строком виконання не раніше 24.08.2026.</x:v>
      </x:c>
      <x:c r="Y1501" s="15" t="str">
        <x:v>Капітальний ремонт каналізаційної насосної станції № 5 по вул. Яблунева в с. Чубинське Бориспільського району Київської області; опублікований строк до 2026-12-31. Попросити один знеособлений пакет здачі за цим workflow.</x:v>
      </x:c>
      <x:c r="Z1501" s="15" t="str">
        <x:v>https://prozorro.gov.ua/tender/UA-2026-02-18-009616-a</x:v>
      </x:c>
      <x:c r="AA1501" s="14" t="str">
        <x:v>34812778</x:v>
      </x:c>
      <x:c r="AB1501" s="14" t="str">
        <x:v>2026-08-24</x:v>
      </x:c>
      <x:c r="AC1501" s="14" t="str"/>
      <x:c r="AD1501" s="20" t="str"/>
      <x:c r="AE1501" s="14" t="str"/>
      <x:c r="AF1501" s="14" t="n">
        <x:v>46</x:v>
      </x:c>
      <x:c r="AG1501" s="14" t="str">
        <x:v>I3</x:v>
      </x:c>
      <x:c r="AH1501" s="14" t="n">
        <x:v>1</x:v>
      </x:c>
      <x:c r="AI1501" s="14" t="n">
        <x:v>1</x:v>
      </x:c>
      <x:c r="AJ1501" s="18" t="n">
        <x:v>947208.88</x:v>
      </x:c>
      <x:c r="AK1501" s="14" t="str">
        <x:v>https://prozorro.gov.ua/tender/UA-2026-02-18-009616-a</x:v>
      </x:c>
      <x:c r="AL1501" s="19" t="n">
        <x:v>46071.531530555556</x:v>
      </x:c>
      <x:c r="AM1501" s="19" t="n">
        <x:v>46387.53359953704</x:v>
      </x:c>
      <x:c r="AN1501" s="15" t="str">
        <x:v>Насосні станції</x:v>
      </x:c>
      <x:c r="AO1501" s="15" t="str">
        <x:v>not_found_in_top_search</x:v>
      </x:c>
    </x:row>
    <x:row r="1502">
      <x:c r="A1502" s="14" t="str">
        <x:v>W5-130</x:v>
      </x:c>
      <x:c r="B1502" s="14" t="str">
        <x:v>Prozorro vertical expansion — 24.08</x:v>
      </x:c>
      <x:c r="C1502" s="14" t="str">
        <x:v>ТзОВ "ВВП-Будмонтаж"</x:v>
      </x:c>
      <x:c r="D1502" s="14" t="str">
        <x:v>Насосні станції</x:v>
      </x:c>
      <x:c r="E1502" s="14" t="str">
        <x:v>Expansion discovery</x:v>
      </x:c>
      <x:c r="F1502" s="17" t="str">
        <x:v>D3</x:v>
      </x:c>
      <x:c r="G1502" s="14" t="str"/>
      <x:c r="H1502" s="14" t="str">
        <x:v>Discovery розширення — 2 тижні</x:v>
      </x:c>
      <x:c r="I1502" s="16" t="n">
        <x:v>1</x:v>
      </x:c>
      <x:c r="J1502" s="16" t="n">
        <x:v>5</x:v>
      </x:c>
      <x:c r="K1502" s="16" t="n">
        <x:v>5</x:v>
      </x:c>
      <x:c r="L1502" s="16" t="n">
        <x:v>3</x:v>
      </x:c>
      <x:c r="M1502" s="16" t="n">
        <x:v>5</x:v>
      </x:c>
      <x:c r="N1502" s="16" t="n">
        <x:v>5</x:v>
      </x:c>
      <x:c r="O1502" s="16" t="n">
        <x:v>3</x:v>
      </x:c>
      <x:c r="P1502" s="16" t="n">
        <x:f>IF(COUNT(I1502:O1502)&lt;7,"",I1502*8+J1502*3+K1502*2+L1502*2+M1502*2+N1502*2+O1502)</x:f>
        <x:v>62</x:v>
      </x:c>
      <x:c r="Q1502" s="16" t="n">
        <x:f>IF(COUNT(J1502:O1502)&lt;6,"",J1502*5+K1502*4+M1502*4+L1502*3+N1502*2+O1502*2)</x:f>
        <x:v>90</x:v>
      </x:c>
      <x:c r="R1502" s="14" t="str">
        <x:v>high</x:v>
      </x:c>
      <x:c r="S1502" s="14" t="str">
        <x:v>official_prozorro_award_2024_2026</x:v>
      </x:c>
      <x:c r="T1502" s="14" t="str">
        <x:v>official_prozorro_api</x:v>
      </x:c>
      <x:c r="U1502" s="14" t="str">
        <x:v>Не контактували</x:v>
      </x:c>
      <x:c r="V1502" s="15" t="str">
        <x:v>Workflow-audit outreach по UA-2026-03-13-007012-a; попросити 1 пакет здачі та вимоги проєкту</x:v>
      </x:c>
      <x:c r="W1502" s="15" t="str">
        <x:v>Власник / директор; керівник ПТО; відповідальний за договори</x:v>
      </x:c>
      <x:c r="X1502" s="15" t="str">
        <x:v>1 нових підтверджених перемог/договорів у Prozorro на 879 559 грн; 0 зі строком виконання не раніше 24.08.2026.</x:v>
      </x:c>
      <x:c r="Y1502" s="15" t="str">
        <x:v>Реконструкція системи електропостачання (встановлення сонячної електростанції) на земельній ділянці Каналізаційної насосної станції №2 КП "Нововолинськводоканал" НМР, що знаходиться за фізичною адресою: с.Шахтарське, вул. Дубинська, 5а"; опублікований строк до 2026-04-30. Попросити один знеособлений пакет здачі за цим workflow.</x:v>
      </x:c>
      <x:c r="Z1502" s="15" t="str">
        <x:v>https://prozorro.gov.ua/tender/UA-2026-03-13-007012-a</x:v>
      </x:c>
      <x:c r="AA1502" s="14" t="str">
        <x:v>42203966</x:v>
      </x:c>
      <x:c r="AB1502" s="14" t="str">
        <x:v>2026-08-24</x:v>
      </x:c>
      <x:c r="AC1502" s="14" t="str"/>
      <x:c r="AD1502" s="20" t="str"/>
      <x:c r="AE1502" s="14" t="str"/>
      <x:c r="AF1502" s="14" t="n">
        <x:v>46</x:v>
      </x:c>
      <x:c r="AG1502" s="14" t="str">
        <x:v>I3</x:v>
      </x:c>
      <x:c r="AH1502" s="14" t="n">
        <x:v>1</x:v>
      </x:c>
      <x:c r="AI1502" s="14" t="n">
        <x:v>0</x:v>
      </x:c>
      <x:c r="AJ1502" s="18" t="n">
        <x:v>879559.2</x:v>
      </x:c>
      <x:c r="AK1502" s="14" t="str">
        <x:v>https://prozorro.gov.ua/tender/UA-2026-03-13-007012-a</x:v>
      </x:c>
      <x:c r="AL1502" s="19" t="n">
        <x:v>46094.46366666667</x:v>
      </x:c>
      <x:c r="AM1502" s="19" t="n">
        <x:v>46142.423171296294</x:v>
      </x:c>
      <x:c r="AN1502" s="15" t="str">
        <x:v>Насосні станції</x:v>
      </x:c>
      <x:c r="AO1502" s="15" t="str">
        <x:v>not_found_in_top_search</x:v>
      </x:c>
    </x:row>
    <x:row r="1503">
      <x:c r="A1503" s="14" t="str">
        <x:v>W5-131</x:v>
      </x:c>
      <x:c r="B1503" s="14" t="str">
        <x:v>Prozorro vertical expansion — 24.08</x:v>
      </x:c>
      <x:c r="C1503" s="14" t="str">
        <x:v>ТОВАРИСТВО З ОБМЕЖЕНОЮ ВІДПОВІДАЛЬНІСТЮ "ЗЕНІТ"</x:v>
      </x:c>
      <x:c r="D1503" s="14" t="str">
        <x:v>Ремонт і підсилення бетону</x:v>
      </x:c>
      <x:c r="E1503" s="14" t="str">
        <x:v>Expansion discovery</x:v>
      </x:c>
      <x:c r="F1503" s="17" t="str">
        <x:v>D3</x:v>
      </x:c>
      <x:c r="G1503" s="14" t="str"/>
      <x:c r="H1503" s="14" t="str">
        <x:v>Discovery розширення — 2 тижні</x:v>
      </x:c>
      <x:c r="I1503" s="16" t="n">
        <x:v>1</x:v>
      </x:c>
      <x:c r="J1503" s="16" t="n">
        <x:v>5</x:v>
      </x:c>
      <x:c r="K1503" s="16" t="n">
        <x:v>5</x:v>
      </x:c>
      <x:c r="L1503" s="16" t="n">
        <x:v>3</x:v>
      </x:c>
      <x:c r="M1503" s="16" t="n">
        <x:v>5</x:v>
      </x:c>
      <x:c r="N1503" s="16" t="n">
        <x:v>5</x:v>
      </x:c>
      <x:c r="O1503" s="16" t="n">
        <x:v>3</x:v>
      </x:c>
      <x:c r="P1503" s="16" t="n">
        <x:f>IF(COUNT(I1503:O1503)&lt;7,"",I1503*8+J1503*3+K1503*2+L1503*2+M1503*2+N1503*2+O1503)</x:f>
        <x:v>62</x:v>
      </x:c>
      <x:c r="Q1503" s="16" t="n">
        <x:f>IF(COUNT(J1503:O1503)&lt;6,"",J1503*5+K1503*4+M1503*4+L1503*3+N1503*2+O1503*2)</x:f>
        <x:v>90</x:v>
      </x:c>
      <x:c r="R1503" s="14" t="str">
        <x:v>high</x:v>
      </x:c>
      <x:c r="S1503" s="14" t="str">
        <x:v>official_prozorro_award_2024_2026</x:v>
      </x:c>
      <x:c r="T1503" s="14" t="str">
        <x:v>official_prozorro_api</x:v>
      </x:c>
      <x:c r="U1503" s="14" t="str">
        <x:v>Не контактували</x:v>
      </x:c>
      <x:c r="V1503" s="15" t="str">
        <x:v>Workflow-audit outreach по UA-2026-04-15-007573-a; попросити 1 пакет здачі та вимоги проєкту</x:v>
      </x:c>
      <x:c r="W1503" s="15" t="str">
        <x:v>Власник / директор; керівник ПТО; відповідальний за договори</x:v>
      </x:c>
      <x:c r="X1503" s="15" t="str">
        <x:v>1 нових підтверджених перемог/договорів у Prozorro на 832 279 грн; 0 зі строком виконання не раніше 24.08.2026.</x:v>
      </x:c>
      <x:c r="Y1503" s="15" t="str">
        <x:v>Інші завершальні будівельні роботи; 45450000-6 (Капітальний ремонт залізобетонних конструкцій самоплинного фільтра №4,7 станції знезалізнення Гнідавської площадки водопідготовки за адресою: м. Луцьк, вул. Магістральна,11); опублікований строк до 2026-05-31. Попросити один знеособлений пакет здачі за цим workflow.</x:v>
      </x:c>
      <x:c r="Z1503" s="15" t="str">
        <x:v>https://prozorro.gov.ua/tender/UA-2026-04-15-007573-a</x:v>
      </x:c>
      <x:c r="AA1503" s="14" t="str">
        <x:v>13352338</x:v>
      </x:c>
      <x:c r="AB1503" s="14" t="str">
        <x:v>2026-08-24</x:v>
      </x:c>
      <x:c r="AC1503" s="14" t="str"/>
      <x:c r="AD1503" s="20" t="str"/>
      <x:c r="AE1503" s="14" t="str"/>
      <x:c r="AF1503" s="14" t="n">
        <x:v>46</x:v>
      </x:c>
      <x:c r="AG1503" s="14" t="str">
        <x:v>I3</x:v>
      </x:c>
      <x:c r="AH1503" s="14" t="n">
        <x:v>1</x:v>
      </x:c>
      <x:c r="AI1503" s="14" t="n">
        <x:v>0</x:v>
      </x:c>
      <x:c r="AJ1503" s="18" t="n">
        <x:v>832279.2</x:v>
      </x:c>
      <x:c r="AK1503" s="14" t="str">
        <x:v>https://prozorro.gov.ua/tender/UA-2026-04-15-007573-a</x:v>
      </x:c>
      <x:c r="AL1503" s="19" t="n">
        <x:v>46127.47116666667</x:v>
      </x:c>
      <x:c r="AM1503" s="19" t="n">
        <x:v>46173</x:v>
      </x:c>
      <x:c r="AN1503" s="15" t="str">
        <x:v>Ремонт і підсилення бетону</x:v>
      </x:c>
      <x:c r="AO1503" s="15" t="str">
        <x:v>not_found_in_top_search</x:v>
      </x:c>
    </x:row>
    <x:row r="1504">
      <x:c r="A1504" s="14" t="str">
        <x:v>W5-132</x:v>
      </x:c>
      <x:c r="B1504" s="14" t="str">
        <x:v>Prozorro vertical expansion — 24.08</x:v>
      </x:c>
      <x:c r="C1504" s="14" t="str">
        <x:v>ТОВАРИСТВО З ОБМЕЖЕНОЮ ВІДПОВІДАЛЬНІСТЮ "БАСТІОН-СЕРВІС-ПРОЕКТ"</x:v>
      </x:c>
      <x:c r="D1504" s="14" t="str">
        <x:v>ВОЛЗ / телеком</x:v>
      </x:c>
      <x:c r="E1504" s="14" t="str">
        <x:v>Expansion discovery</x:v>
      </x:c>
      <x:c r="F1504" s="17" t="str">
        <x:v>D3</x:v>
      </x:c>
      <x:c r="G1504" s="14" t="str"/>
      <x:c r="H1504" s="14" t="str">
        <x:v>Discovery розширення — 2 тижні</x:v>
      </x:c>
      <x:c r="I1504" s="16" t="n">
        <x:v>1</x:v>
      </x:c>
      <x:c r="J1504" s="16" t="n">
        <x:v>5</x:v>
      </x:c>
      <x:c r="K1504" s="16" t="n">
        <x:v>5</x:v>
      </x:c>
      <x:c r="L1504" s="16" t="n">
        <x:v>1</x:v>
      </x:c>
      <x:c r="M1504" s="16" t="n">
        <x:v>5</x:v>
      </x:c>
      <x:c r="N1504" s="16" t="n">
        <x:v>5</x:v>
      </x:c>
      <x:c r="O1504" s="16" t="n">
        <x:v>3</x:v>
      </x:c>
      <x:c r="P1504" s="16" t="n">
        <x:f>IF(COUNT(I1504:O1504)&lt;7,"",I1504*8+J1504*3+K1504*2+L1504*2+M1504*2+N1504*2+O1504)</x:f>
        <x:v>58</x:v>
      </x:c>
      <x:c r="Q1504" s="16" t="n">
        <x:f>IF(COUNT(J1504:O1504)&lt;6,"",J1504*5+K1504*4+M1504*4+L1504*3+N1504*2+O1504*2)</x:f>
        <x:v>84</x:v>
      </x:c>
      <x:c r="R1504" s="14" t="str">
        <x:v>high</x:v>
      </x:c>
      <x:c r="S1504" s="14" t="str">
        <x:v>official_prozorro_award_2024_2026</x:v>
      </x:c>
      <x:c r="T1504" s="14" t="str">
        <x:v>official_prozorro_api</x:v>
      </x:c>
      <x:c r="U1504" s="14" t="str">
        <x:v>Не контактували</x:v>
      </x:c>
      <x:c r="V1504" s="15" t="str">
        <x:v>Workflow-audit outreach по UA-2026-06-18-003884-a; попросити 1 пакет здачі та вимоги проєкту</x:v>
      </x:c>
      <x:c r="W1504" s="15" t="str">
        <x:v>Власник / директор; керівник ПТО; відповідальний за договори</x:v>
      </x:c>
      <x:c r="X1504" s="15" t="str">
        <x:v>1 нових підтверджених перемог/договорів у Prozorro на 99 840 грн; 1 зі строком виконання не раніше 24.08.2026.</x:v>
      </x:c>
      <x:c r="Y1504" s="15" t="str">
        <x:v>Послуги з монтажу волоконно-оптичних ліній зв'язку (ДК 021:2015:45230000-8 Будівництво трубопроводів, ліній зв’язку та електропередач, шосе, доріг, аеродромів і залізничних доріг; вирівнювання поверхонь); опублікований строк до 2026-12-31. Попросити один знеособлений пакет здачі за цим workflow.</x:v>
      </x:c>
      <x:c r="Z1504" s="15" t="str">
        <x:v>https://prozorro.gov.ua/tender/UA-2026-06-18-003884-a</x:v>
      </x:c>
      <x:c r="AA1504" s="14" t="str">
        <x:v>39491176</x:v>
      </x:c>
      <x:c r="AB1504" s="14" t="str">
        <x:v>2026-08-24</x:v>
      </x:c>
      <x:c r="AC1504" s="14" t="str"/>
      <x:c r="AD1504" s="20" t="str"/>
      <x:c r="AE1504" s="14" t="str"/>
      <x:c r="AF1504" s="14" t="n">
        <x:v>46</x:v>
      </x:c>
      <x:c r="AG1504" s="14" t="str">
        <x:v>I3</x:v>
      </x:c>
      <x:c r="AH1504" s="14" t="n">
        <x:v>1</x:v>
      </x:c>
      <x:c r="AI1504" s="14" t="n">
        <x:v>1</x:v>
      </x:c>
      <x:c r="AJ1504" s="18" t="n">
        <x:v>99840</x:v>
      </x:c>
      <x:c r="AK1504" s="14" t="str">
        <x:v>https://prozorro.gov.ua/tender/UA-2026-06-18-003884-a</x:v>
      </x:c>
      <x:c r="AL1504" s="19" t="n">
        <x:v>46191.34558296296</x:v>
      </x:c>
      <x:c r="AM1504" s="19" t="n">
        <x:v>46387</x:v>
      </x:c>
      <x:c r="AN1504" s="15" t="str">
        <x:v>ВОЛЗ / телеком</x:v>
      </x:c>
      <x:c r="AO1504" s="15" t="str">
        <x:v>not_found_in_top_search</x:v>
      </x:c>
    </x:row>
    <x:row r="1505">
      <x:c r="A1505" s="14" t="str">
        <x:v>W5-133</x:v>
      </x:c>
      <x:c r="B1505" s="14" t="str">
        <x:v>Prozorro vertical expansion — 24.08</x:v>
      </x:c>
      <x:c r="C1505" s="14" t="str">
        <x:v>ТОВ ДІМ 365</x:v>
      </x:c>
      <x:c r="D1505" s="14" t="str">
        <x:v>Зовнішні мережі</x:v>
      </x:c>
      <x:c r="E1505" s="14" t="str">
        <x:v>Expansion discovery</x:v>
      </x:c>
      <x:c r="F1505" s="17" t="str">
        <x:v>D3</x:v>
      </x:c>
      <x:c r="G1505" s="14" t="str"/>
      <x:c r="H1505" s="14" t="str">
        <x:v>Discovery розширення — 2 тижні</x:v>
      </x:c>
      <x:c r="I1505" s="16" t="n">
        <x:v>1</x:v>
      </x:c>
      <x:c r="J1505" s="16" t="n">
        <x:v>5</x:v>
      </x:c>
      <x:c r="K1505" s="16" t="n">
        <x:v>5</x:v>
      </x:c>
      <x:c r="L1505" s="16" t="n">
        <x:v>1</x:v>
      </x:c>
      <x:c r="M1505" s="16" t="n">
        <x:v>5</x:v>
      </x:c>
      <x:c r="N1505" s="16" t="n">
        <x:v>5</x:v>
      </x:c>
      <x:c r="O1505" s="16" t="n">
        <x:v>3</x:v>
      </x:c>
      <x:c r="P1505" s="16" t="n">
        <x:f>IF(COUNT(I1505:O1505)&lt;7,"",I1505*8+J1505*3+K1505*2+L1505*2+M1505*2+N1505*2+O1505)</x:f>
        <x:v>58</x:v>
      </x:c>
      <x:c r="Q1505" s="16" t="n">
        <x:f>IF(COUNT(J1505:O1505)&lt;6,"",J1505*5+K1505*4+M1505*4+L1505*3+N1505*2+O1505*2)</x:f>
        <x:v>84</x:v>
      </x:c>
      <x:c r="R1505" s="14" t="str">
        <x:v>high</x:v>
      </x:c>
      <x:c r="S1505" s="14" t="str">
        <x:v>official_prozorro_award_2024_2026</x:v>
      </x:c>
      <x:c r="T1505" s="14" t="str">
        <x:v>official_prozorro_api</x:v>
      </x:c>
      <x:c r="U1505" s="14" t="str">
        <x:v>Не контактували</x:v>
      </x:c>
      <x:c r="V1505" s="15" t="str">
        <x:v>Workflow-audit outreach по UA-2026-05-04-006760-a; попросити 1 пакет здачі та вимоги проєкту</x:v>
      </x:c>
      <x:c r="W1505" s="15" t="str">
        <x:v>Власник / директор; керівник ПТО; відповідальний за договори</x:v>
      </x:c>
      <x:c r="X1505" s="15" t="str">
        <x:v>1 нових підтверджених перемог/договорів у Prozorro на 99 598 грн; 1 зі строком виконання не раніше 24.08.2026.</x:v>
      </x:c>
      <x:c r="Y1505" s="15" t="str">
        <x:v>Капітальний ремонт каналізаційного напірного колектора на території Опорного закладу освіти "Щасливський академічний ліцей" Прстоличної сільської ради по вул. Фестивальна, 37 в с. Щасливе Бориспільського району Київської області; опублікований строк до 2026-12-31. Попросити один знеособлений пакет здачі за цим workflow.</x:v>
      </x:c>
      <x:c r="Z1505" s="15" t="str">
        <x:v>https://prozorro.gov.ua/tender/UA-2026-05-04-006760-a</x:v>
      </x:c>
      <x:c r="AA1505" s="14" t="str">
        <x:v>43428016</x:v>
      </x:c>
      <x:c r="AB1505" s="14" t="str">
        <x:v>2026-08-24</x:v>
      </x:c>
      <x:c r="AC1505" s="14" t="str"/>
      <x:c r="AD1505" s="20" t="str"/>
      <x:c r="AE1505" s="14" t="str"/>
      <x:c r="AF1505" s="14" t="n">
        <x:v>46</x:v>
      </x:c>
      <x:c r="AG1505" s="14" t="str">
        <x:v>I3</x:v>
      </x:c>
      <x:c r="AH1505" s="14" t="n">
        <x:v>1</x:v>
      </x:c>
      <x:c r="AI1505" s="14" t="n">
        <x:v>1</x:v>
      </x:c>
      <x:c r="AJ1505" s="18" t="n">
        <x:v>99597.51</x:v>
      </x:c>
      <x:c r="AK1505" s="14" t="str">
        <x:v>https://prozorro.gov.ua/tender/UA-2026-05-04-006760-a</x:v>
      </x:c>
      <x:c r="AL1505" s="19" t="n">
        <x:v>46146.44312587963</x:v>
      </x:c>
      <x:c r="AM1505" s="19" t="n">
        <x:v>46387.480405092596</x:v>
      </x:c>
      <x:c r="AN1505" s="15" t="str">
        <x:v>Зовнішні мережі</x:v>
      </x:c>
      <x:c r="AO1505" s="15" t="str">
        <x:v>not_found_in_top_search</x:v>
      </x:c>
    </x:row>
    <x:row r="1506">
      <x:c r="A1506" s="14" t="str">
        <x:v>W5-134</x:v>
      </x:c>
      <x:c r="B1506" s="14" t="str">
        <x:v>Prozorro vertical expansion — 24.08</x:v>
      </x:c>
      <x:c r="C1506" s="14" t="str">
        <x:v>ЯНОВЧИК ВІКТОРІЯ ІВАНІВНА</x:v>
      </x:c>
      <x:c r="D1506" s="14" t="str">
        <x:v>Блискавкозахист / заземлення</x:v>
      </x:c>
      <x:c r="E1506" s="14" t="str">
        <x:v>Pilot now</x:v>
      </x:c>
      <x:c r="F1506" s="17" t="str">
        <x:v>P3</x:v>
      </x:c>
      <x:c r="G1506" s="14" t="str"/>
      <x:c r="H1506" s="14" t="str">
        <x:v>Пілот зараз — Н.15 subset</x:v>
      </x:c>
      <x:c r="I1506" s="16" t="n">
        <x:v>4</x:v>
      </x:c>
      <x:c r="J1506" s="16" t="n">
        <x:v>5</x:v>
      </x:c>
      <x:c r="K1506" s="16" t="n">
        <x:v>5</x:v>
      </x:c>
      <x:c r="L1506" s="16" t="n">
        <x:v>1</x:v>
      </x:c>
      <x:c r="M1506" s="16" t="n">
        <x:v>5</x:v>
      </x:c>
      <x:c r="N1506" s="16" t="n">
        <x:v>3</x:v>
      </x:c>
      <x:c r="O1506" s="16" t="n">
        <x:v>3</x:v>
      </x:c>
      <x:c r="P1506" s="16" t="n">
        <x:f>IF(COUNT(I1506:O1506)&lt;7,"",I1506*8+J1506*3+K1506*2+L1506*2+M1506*2+N1506*2+O1506)</x:f>
        <x:v>78</x:v>
      </x:c>
      <x:c r="Q1506" s="16" t="n">
        <x:f>IF(COUNT(J1506:O1506)&lt;6,"",J1506*5+K1506*4+M1506*4+L1506*3+N1506*2+O1506*2)</x:f>
        <x:v>80</x:v>
      </x:c>
      <x:c r="R1506" s="14" t="str">
        <x:v>high</x:v>
      </x:c>
      <x:c r="S1506" s="14" t="str">
        <x:v>official_prozorro_award_2024_2026</x:v>
      </x:c>
      <x:c r="T1506" s="14" t="str">
        <x:v>official_prozorro_api</x:v>
      </x:c>
      <x:c r="U1506" s="14" t="str">
        <x:v>Не контактували</x:v>
      </x:c>
      <x:c r="V1506" s="15" t="str">
        <x:v>Персоналізований free-pilot outreach по UA-2026-05-22-005705-a; попросити 1 пакет Н.15</x:v>
      </x:c>
      <x:c r="W1506" s="15" t="str">
        <x:v>Власник / виконавець; відповідальний за договір</x:v>
      </x:c>
      <x:c r="X1506" s="15" t="str">
        <x:v>1 нових підтверджених перемог/договорів у Prozorro на 67 774 грн; 1 зі строком виконання не раніше 24.08.2026.</x:v>
      </x:c>
      <x:c r="Y1506" s="15" t="str">
        <x:v>Проведення монтажу систему блискавкозахисту  будівлі закладу дошкільної освіти, яка розташована за адресою с.Невицьке, вул. Садова, 124 Ужгородського району, Закарпатської області (додаткові кошти); опублікований строк до 2026-12-31. Попросити один знеособлений пакет здачі за цим workflow.</x:v>
      </x:c>
      <x:c r="Z1506" s="15" t="str">
        <x:v>https://prozorro.gov.ua/tender/UA-2026-05-22-005705-a</x:v>
      </x:c>
      <x:c r="AA1506" s="14" t="str">
        <x:v>3181502581</x:v>
      </x:c>
      <x:c r="AB1506" s="14" t="str">
        <x:v>2026-08-24</x:v>
      </x:c>
      <x:c r="AC1506" s="14" t="str"/>
      <x:c r="AD1506" s="20" t="str"/>
      <x:c r="AE1506" s="14" t="str"/>
      <x:c r="AF1506" s="14" t="n">
        <x:v>46</x:v>
      </x:c>
      <x:c r="AG1506" s="14" t="str">
        <x:v>I3</x:v>
      </x:c>
      <x:c r="AH1506" s="14" t="n">
        <x:v>1</x:v>
      </x:c>
      <x:c r="AI1506" s="14" t="n">
        <x:v>1</x:v>
      </x:c>
      <x:c r="AJ1506" s="18" t="n">
        <x:v>67774</x:v>
      </x:c>
      <x:c r="AK1506" s="14" t="str">
        <x:v>https://prozorro.gov.ua/tender/UA-2026-05-22-005705-a</x:v>
      </x:c>
      <x:c r="AL1506" s="19" t="n">
        <x:v>46164.389191574075</x:v>
      </x:c>
      <x:c r="AM1506" s="19" t="n">
        <x:v>46387</x:v>
      </x:c>
      <x:c r="AN1506" s="15" t="str">
        <x:v>Блискавкозахист / заземлення</x:v>
      </x:c>
      <x:c r="AO1506" s="15" t="str">
        <x:v>not_found_in_top_search</x:v>
      </x:c>
    </x:row>
    <x:row r="1507">
      <x:c r="A1507" s="14" t="str">
        <x:v>W5-135</x:v>
      </x:c>
      <x:c r="B1507" s="14" t="str">
        <x:v>Prozorro vertical expansion — 24.08</x:v>
      </x:c>
      <x:c r="C1507" s="14" t="str">
        <x:v>ТОВАРИСТВО З ОБМЕЖЕНОЮ ВІДПОВІДАЛЬНІСТЮ  «СПЕКТР 21»</x:v>
      </x:c>
      <x:c r="D1507" s="14" t="str">
        <x:v>Резервне живлення</x:v>
      </x:c>
      <x:c r="E1507" s="14" t="str">
        <x:v>Pilot now</x:v>
      </x:c>
      <x:c r="F1507" s="17" t="str">
        <x:v>P3</x:v>
      </x:c>
      <x:c r="G1507" s="14" t="str"/>
      <x:c r="H1507" s="14" t="str">
        <x:v>Пілот зараз — Н.15 subset</x:v>
      </x:c>
      <x:c r="I1507" s="16" t="n">
        <x:v>4</x:v>
      </x:c>
      <x:c r="J1507" s="16" t="n">
        <x:v>5</x:v>
      </x:c>
      <x:c r="K1507" s="16" t="n">
        <x:v>5</x:v>
      </x:c>
      <x:c r="L1507" s="16" t="n">
        <x:v>1</x:v>
      </x:c>
      <x:c r="M1507" s="16" t="n">
        <x:v>5</x:v>
      </x:c>
      <x:c r="N1507" s="16" t="n">
        <x:v>5</x:v>
      </x:c>
      <x:c r="O1507" s="16" t="n">
        <x:v>3</x:v>
      </x:c>
      <x:c r="P1507" s="16" t="n">
        <x:f>IF(COUNT(I1507:O1507)&lt;7,"",I1507*8+J1507*3+K1507*2+L1507*2+M1507*2+N1507*2+O1507)</x:f>
        <x:v>82</x:v>
      </x:c>
      <x:c r="Q1507" s="16" t="n">
        <x:f>IF(COUNT(J1507:O1507)&lt;6,"",J1507*5+K1507*4+M1507*4+L1507*3+N1507*2+O1507*2)</x:f>
        <x:v>84</x:v>
      </x:c>
      <x:c r="R1507" s="14" t="str">
        <x:v>high</x:v>
      </x:c>
      <x:c r="S1507" s="14" t="str">
        <x:v>official_prozorro_award_2024_2026</x:v>
      </x:c>
      <x:c r="T1507" s="14" t="str">
        <x:v>official_prozorro_api</x:v>
      </x:c>
      <x:c r="U1507" s="14" t="str">
        <x:v>Не контактували</x:v>
      </x:c>
      <x:c r="V1507" s="15" t="str">
        <x:v>Персоналізований free-pilot outreach по UA-2026-04-27-007863-a; попросити 1 пакет Н.15</x:v>
      </x:c>
      <x:c r="W1507" s="15" t="str">
        <x:v>Власник / директор; керівник ПТО; відповідальний за договори</x:v>
      </x:c>
      <x:c r="X1507" s="15" t="str">
        <x:v>1 нових підтверджених перемог/договорів у Prozorro на 64 262 грн; 1 зі строком виконання не раніше 24.08.2026.</x:v>
      </x:c>
      <x:c r="Y1507"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на об'єкті  "Ліцей № 252 імені Василя Симоненка Оболонського району м. Києва, вул. Зої Гайдай, 10-В"); опублікований строк до 2026-12-31. Попросити один знеособлений пакет здачі за цим workflow.</x:v>
      </x:c>
      <x:c r="Z1507" s="15" t="str">
        <x:v>https://prozorro.gov.ua/tender/UA-2026-04-27-007863-a</x:v>
      </x:c>
      <x:c r="AA1507" s="14" t="str">
        <x:v>39596705</x:v>
      </x:c>
      <x:c r="AB1507" s="14" t="str">
        <x:v>2026-08-24</x:v>
      </x:c>
      <x:c r="AC1507" s="14" t="str"/>
      <x:c r="AD1507" s="20" t="str"/>
      <x:c r="AE1507" s="14" t="str"/>
      <x:c r="AF1507" s="14" t="n">
        <x:v>46</x:v>
      </x:c>
      <x:c r="AG1507" s="14" t="str">
        <x:v>I3</x:v>
      </x:c>
      <x:c r="AH1507" s="14" t="n">
        <x:v>1</x:v>
      </x:c>
      <x:c r="AI1507" s="14" t="n">
        <x:v>1</x:v>
      </x:c>
      <x:c r="AJ1507" s="18" t="n">
        <x:v>64262.46</x:v>
      </x:c>
      <x:c r="AK1507" s="14" t="str">
        <x:v>https://prozorro.gov.ua/tender/UA-2026-04-27-007863-a</x:v>
      </x:c>
      <x:c r="AL1507" s="19" t="n">
        <x:v>46139.46955469908</x:v>
      </x:c>
      <x:c r="AM1507" s="19" t="n">
        <x:v>46387</x:v>
      </x:c>
      <x:c r="AN1507" s="15" t="str">
        <x:v>Резервне живлення</x:v>
      </x:c>
      <x:c r="AO1507" s="15" t="str">
        <x:v>not_found_in_top_search</x:v>
      </x:c>
    </x:row>
    <x:row r="1508">
      <x:c r="A1508" s="14" t="str">
        <x:v>W5-136</x:v>
      </x:c>
      <x:c r="B1508" s="14" t="str">
        <x:v>Prozorro vertical expansion — 24.08</x:v>
      </x:c>
      <x:c r="C1508" s="14" t="str">
        <x:v>ТОВ "ВОТІ"</x:v>
      </x:c>
      <x:c r="D1508" s="14" t="str">
        <x:v>Насосні станції</x:v>
      </x:c>
      <x:c r="E1508" s="14" t="str">
        <x:v>Expansion discovery</x:v>
      </x:c>
      <x:c r="F1508" s="17" t="str">
        <x:v>D3</x:v>
      </x:c>
      <x:c r="G1508" s="14" t="str"/>
      <x:c r="H1508" s="14" t="str">
        <x:v>Discovery розширення — 2 тижні</x:v>
      </x:c>
      <x:c r="I1508" s="16" t="n">
        <x:v>1</x:v>
      </x:c>
      <x:c r="J1508" s="16" t="n">
        <x:v>5</x:v>
      </x:c>
      <x:c r="K1508" s="16" t="n">
        <x:v>5</x:v>
      </x:c>
      <x:c r="L1508" s="16" t="n">
        <x:v>1</x:v>
      </x:c>
      <x:c r="M1508" s="16" t="n">
        <x:v>5</x:v>
      </x:c>
      <x:c r="N1508" s="16" t="n">
        <x:v>5</x:v>
      </x:c>
      <x:c r="O1508" s="16" t="n">
        <x:v>3</x:v>
      </x:c>
      <x:c r="P1508" s="16" t="n">
        <x:f>IF(COUNT(I1508:O1508)&lt;7,"",I1508*8+J1508*3+K1508*2+L1508*2+M1508*2+N1508*2+O1508)</x:f>
        <x:v>58</x:v>
      </x:c>
      <x:c r="Q1508" s="16" t="n">
        <x:f>IF(COUNT(J1508:O1508)&lt;6,"",J1508*5+K1508*4+M1508*4+L1508*3+N1508*2+O1508*2)</x:f>
        <x:v>84</x:v>
      </x:c>
      <x:c r="R1508" s="14" t="str">
        <x:v>high</x:v>
      </x:c>
      <x:c r="S1508" s="14" t="str">
        <x:v>official_prozorro_award_2024_2026</x:v>
      </x:c>
      <x:c r="T1508" s="14" t="str">
        <x:v>official_prozorro_api</x:v>
      </x:c>
      <x:c r="U1508" s="14" t="str">
        <x:v>Не контактували</x:v>
      </x:c>
      <x:c r="V1508" s="15" t="str">
        <x:v>Workflow-audit outreach по UA-2025-04-02-000953-a; попросити 1 пакет здачі та вимоги проєкту</x:v>
      </x:c>
      <x:c r="W1508" s="15" t="str">
        <x:v>Власник / директор; керівник ПТО; відповідальний за договори</x:v>
      </x:c>
      <x:c r="X1508" s="15" t="str">
        <x:v>3 нових підтверджених перемог/договорів у Prozorro на 30 000 грн; 0 зі строком виконання не раніше 24.08.2026.</x:v>
      </x:c>
      <x:c r="Y1508" s="15" t="str">
        <x:v>Виготовити технічний паспорт закінченого будівництва об'єкту "Реконструкція каналізаційної насосної станції за адресою: с. Шпитьки вул. Покровська, 24-А Бучанського району Київської області."; опублікований строк до 2025-12-31. Попросити один знеособлений пакет здачі за цим workflow.</x:v>
      </x:c>
      <x:c r="Z1508" s="15" t="str">
        <x:v>https://prozorro.gov.ua/tender/UA-2025-04-02-000953-a</x:v>
      </x:c>
      <x:c r="AA1508" s="14" t="str">
        <x:v>43536694</x:v>
      </x:c>
      <x:c r="AB1508" s="14" t="str">
        <x:v>2026-08-24</x:v>
      </x:c>
      <x:c r="AC1508" s="14" t="str"/>
      <x:c r="AD1508" s="20" t="str"/>
      <x:c r="AE1508" s="14" t="str"/>
      <x:c r="AF1508" s="14" t="n">
        <x:v>46</x:v>
      </x:c>
      <x:c r="AG1508" s="14" t="str">
        <x:v>I3</x:v>
      </x:c>
      <x:c r="AH1508" s="14" t="n">
        <x:v>3</x:v>
      </x:c>
      <x:c r="AI1508" s="14" t="n">
        <x:v>0</x:v>
      </x:c>
      <x:c r="AJ1508" s="18" t="n">
        <x:v>30000</x:v>
      </x:c>
      <x:c r="AK1508" s="14" t="str">
        <x:v>https://prozorro.gov.ua/tender/UA-2025-04-02-000953-a</x:v>
      </x:c>
      <x:c r="AL1508" s="19" t="n">
        <x:v>45749.274106689816</x:v>
      </x:c>
      <x:c r="AM1508" s="19" t="n">
        <x:v>46022.31363425926</x:v>
      </x:c>
      <x:c r="AN1508" s="15" t="str">
        <x:v>Насосні станції</x:v>
      </x:c>
      <x:c r="AO1508" s="15" t="str">
        <x:v>not_found_in_top_search</x:v>
      </x:c>
    </x:row>
    <x:row r="1509">
      <x:c r="A1509" s="14" t="str">
        <x:v>W5-137</x:v>
      </x:c>
      <x:c r="B1509" s="14" t="str">
        <x:v>Prozorro vertical expansion — 24.08</x:v>
      </x:c>
      <x:c r="C1509" s="14" t="str">
        <x:v>ГЕРАСИМЧУК ВІТАЛІЙ ІВАНОВИЧ</x:v>
      </x:c>
      <x:c r="D1509" s="14" t="str">
        <x:v>Промислова електрика / ПНР</x:v>
      </x:c>
      <x:c r="E1509" s="14" t="str">
        <x:v>Pilot now</x:v>
      </x:c>
      <x:c r="F1509" s="17" t="str">
        <x:v>P3</x:v>
      </x:c>
      <x:c r="G1509" s="14" t="str"/>
      <x:c r="H1509" s="14" t="str">
        <x:v>Пілот зараз — Н.15 subset</x:v>
      </x:c>
      <x:c r="I1509" s="16" t="n">
        <x:v>4</x:v>
      </x:c>
      <x:c r="J1509" s="16" t="n">
        <x:v>5</x:v>
      </x:c>
      <x:c r="K1509" s="16" t="n">
        <x:v>4</x:v>
      </x:c>
      <x:c r="L1509" s="16" t="n">
        <x:v>1</x:v>
      </x:c>
      <x:c r="M1509" s="16" t="n">
        <x:v>5</x:v>
      </x:c>
      <x:c r="N1509" s="16" t="n">
        <x:v>3</x:v>
      </x:c>
      <x:c r="O1509" s="16" t="n">
        <x:v>3</x:v>
      </x:c>
      <x:c r="P1509" s="16" t="n">
        <x:f>IF(COUNT(I1509:O1509)&lt;7,"",I1509*8+J1509*3+K1509*2+L1509*2+M1509*2+N1509*2+O1509)</x:f>
        <x:v>76</x:v>
      </x:c>
      <x:c r="Q1509" s="16" t="n">
        <x:f>IF(COUNT(J1509:O1509)&lt;6,"",J1509*5+K1509*4+M1509*4+L1509*3+N1509*2+O1509*2)</x:f>
        <x:v>76</x:v>
      </x:c>
      <x:c r="R1509" s="14" t="str">
        <x:v>high</x:v>
      </x:c>
      <x:c r="S1509" s="14" t="str">
        <x:v>official_prozorro_award_2024_2026</x:v>
      </x:c>
      <x:c r="T1509" s="14" t="str">
        <x:v>official_prozorro_api</x:v>
      </x:c>
      <x:c r="U1509" s="14" t="str">
        <x:v>Не контактували</x:v>
      </x:c>
      <x:c r="V1509" s="15" t="str">
        <x:v>Персоналізований free-pilot outreach по UA-2026-06-05-002622-a; попросити 1 пакет Н.15</x:v>
      </x:c>
      <x:c r="W1509" s="15" t="str">
        <x:v>Власник / виконавець; відповідальний за договір</x:v>
      </x:c>
      <x:c r="X1509" s="15" t="str">
        <x:v>1 нових підтверджених перемог/договорів у Prozorro на 21 520 грн; 1 зі строком виконання не раніше 24.08.2026.</x:v>
      </x:c>
      <x:c r="Y1509" s="15" t="str">
        <x:v> Послуги монтаж та пусконалагоджувальні  роботи системи відеоспостереження  та мережі  в навчальному корпусі № 2 ТНТУ ім.Івана Пулюя  Класифікатор ДК 021:2015 код 45310000-3 Електромонтажні роботи (код ДК 021:2015 - 45312200-9 Встановлення систем  охоронної сигналізації); опублікований строк до 2026-12-31. Попросити один знеособлений пакет здачі за цим workflow.</x:v>
      </x:c>
      <x:c r="Z1509" s="15" t="str">
        <x:v>https://prozorro.gov.ua/tender/UA-2026-06-05-002622-a</x:v>
      </x:c>
      <x:c r="AA1509" s="14" t="str">
        <x:v>2728415898</x:v>
      </x:c>
      <x:c r="AB1509" s="14" t="str">
        <x:v>2026-08-24</x:v>
      </x:c>
      <x:c r="AC1509" s="14" t="str"/>
      <x:c r="AD1509" s="20" t="str"/>
      <x:c r="AE1509" s="14" t="str"/>
      <x:c r="AF1509" s="14" t="n">
        <x:v>46</x:v>
      </x:c>
      <x:c r="AG1509" s="14" t="str">
        <x:v>I3</x:v>
      </x:c>
      <x:c r="AH1509" s="14" t="n">
        <x:v>1</x:v>
      </x:c>
      <x:c r="AI1509" s="14" t="n">
        <x:v>1</x:v>
      </x:c>
      <x:c r="AJ1509" s="18" t="n">
        <x:v>21520</x:v>
      </x:c>
      <x:c r="AK1509" s="14" t="str">
        <x:v>https://prozorro.gov.ua/tender/UA-2026-06-05-002622-a</x:v>
      </x:c>
      <x:c r="AL1509" s="19" t="n">
        <x:v>46178.31270434028</x:v>
      </x:c>
      <x:c r="AM1509" s="19" t="n">
        <x:v>46387</x:v>
      </x:c>
      <x:c r="AN1509" s="15" t="str">
        <x:v>Промислова електрика / ПНР</x:v>
      </x:c>
      <x:c r="AO1509" s="15" t="str">
        <x:v>not_found_in_top_search</x:v>
      </x:c>
    </x:row>
    <x:row r="1510">
      <x:c r="A1510" s="14" t="str">
        <x:v>W5-138</x:v>
      </x:c>
      <x:c r="B1510" s="14" t="str">
        <x:v>Prozorro vertical expansion — 24.08</x:v>
      </x:c>
      <x:c r="C1510" s="14" t="str">
        <x:v>ФОП Бойчук С.І.</x:v>
      </x:c>
      <x:c r="D1510" s="14" t="str">
        <x:v>Резервне живлення</x:v>
      </x:c>
      <x:c r="E1510" s="14" t="str">
        <x:v>Pilot now</x:v>
      </x:c>
      <x:c r="F1510" s="17" t="str">
        <x:v>P3</x:v>
      </x:c>
      <x:c r="G1510" s="14" t="str"/>
      <x:c r="H1510" s="14" t="str">
        <x:v>Пілот зараз — Н.15 subset</x:v>
      </x:c>
      <x:c r="I1510" s="16" t="n">
        <x:v>4</x:v>
      </x:c>
      <x:c r="J1510" s="16" t="n">
        <x:v>5</x:v>
      </x:c>
      <x:c r="K1510" s="16" t="n">
        <x:v>5</x:v>
      </x:c>
      <x:c r="L1510" s="16" t="n">
        <x:v>1</x:v>
      </x:c>
      <x:c r="M1510" s="16" t="n">
        <x:v>5</x:v>
      </x:c>
      <x:c r="N1510" s="16" t="n">
        <x:v>3</x:v>
      </x:c>
      <x:c r="O1510" s="16" t="n">
        <x:v>3</x:v>
      </x:c>
      <x:c r="P1510" s="16" t="n">
        <x:f>IF(COUNT(I1510:O1510)&lt;7,"",I1510*8+J1510*3+K1510*2+L1510*2+M1510*2+N1510*2+O1510)</x:f>
        <x:v>78</x:v>
      </x:c>
      <x:c r="Q1510" s="16" t="n">
        <x:f>IF(COUNT(J1510:O1510)&lt;6,"",J1510*5+K1510*4+M1510*4+L1510*3+N1510*2+O1510*2)</x:f>
        <x:v>80</x:v>
      </x:c>
      <x:c r="R1510" s="14" t="str">
        <x:v>high</x:v>
      </x:c>
      <x:c r="S1510" s="14" t="str">
        <x:v>official_prozorro_award_2024_2026</x:v>
      </x:c>
      <x:c r="T1510" s="14" t="str">
        <x:v>official_prozorro_api</x:v>
      </x:c>
      <x:c r="U1510" s="14" t="str">
        <x:v>Не контактували</x:v>
      </x:c>
      <x:c r="V1510" s="15" t="str">
        <x:v>Персоналізований free-pilot outreach по UA-2026-02-04-011959-a; попросити 1 пакет Н.15</x:v>
      </x:c>
      <x:c r="W1510" s="15" t="str">
        <x:v>Власник / виконавець; відповідальний за договір</x:v>
      </x:c>
      <x:c r="X1510" s="15" t="str">
        <x:v>2 нових підтверджених перемог/договорів у Prozorro на 85 862 грн; 1 зі строком виконання не раніше 24.08.2026.</x:v>
      </x:c>
      <x:c r="Y1510" s="15" t="str">
        <x:v>ДК 021:2015:45310000-3 - Електромонтажні роботи (Монтаж дизель-генератора); опублікований строк до 2026-12-31. Попросити один знеособлений пакет здачі за цим workflow.</x:v>
      </x:c>
      <x:c r="Z1510" s="15" t="str">
        <x:v>https://prozorro.gov.ua/tender/UA-2026-02-04-011959-a</x:v>
      </x:c>
      <x:c r="AA1510" s="14" t="str">
        <x:v>2585401715</x:v>
      </x:c>
      <x:c r="AB1510" s="14" t="str">
        <x:v>2026-08-24</x:v>
      </x:c>
      <x:c r="AC1510" s="14" t="str"/>
      <x:c r="AD1510" s="20" t="str"/>
      <x:c r="AE1510" s="14" t="str"/>
      <x:c r="AF1510" s="14" t="n">
        <x:v>45</x:v>
      </x:c>
      <x:c r="AG1510" s="14" t="str">
        <x:v>I3</x:v>
      </x:c>
      <x:c r="AH1510" s="14" t="n">
        <x:v>2</x:v>
      </x:c>
      <x:c r="AI1510" s="14" t="n">
        <x:v>1</x:v>
      </x:c>
      <x:c r="AJ1510" s="18" t="n">
        <x:v>85862</x:v>
      </x:c>
      <x:c r="AK1510" s="14" t="str">
        <x:v>https://prozorro.gov.ua/tender/UA-2026-02-04-011959-a</x:v>
      </x:c>
      <x:c r="AL1510" s="19" t="n">
        <x:v>46057.565444907406</x:v>
      </x:c>
      <x:c r="AM1510" s="19" t="n">
        <x:v>46387.56689814815</x:v>
      </x:c>
      <x:c r="AN1510" s="15" t="str">
        <x:v>Резервне живлення</x:v>
      </x:c>
      <x:c r="AO1510" s="15" t="str">
        <x:v>not_found_in_top_search</x:v>
      </x:c>
    </x:row>
    <x:row r="1511">
      <x:c r="A1511" s="14" t="str">
        <x:v>W5-139</x:v>
      </x:c>
      <x:c r="B1511" s="14" t="str">
        <x:v>Prozorro vertical expansion — 24.08</x:v>
      </x:c>
      <x:c r="C1511" s="14" t="str">
        <x:v>ТОВ "УКРЕКСПЕРТПРОЕКТ"</x:v>
      </x:c>
      <x:c r="D1511" s="14" t="str">
        <x:v>Стиснене повітря / компресорні</x:v>
      </x:c>
      <x:c r="E1511" s="14" t="str">
        <x:v>Expansion discovery</x:v>
      </x:c>
      <x:c r="F1511" s="17" t="str">
        <x:v>D3</x:v>
      </x:c>
      <x:c r="G1511" s="14" t="str"/>
      <x:c r="H1511" s="14" t="str">
        <x:v>Discovery розширення — 2 тижні</x:v>
      </x:c>
      <x:c r="I1511" s="16" t="n">
        <x:v>1</x:v>
      </x:c>
      <x:c r="J1511" s="16" t="n">
        <x:v>5</x:v>
      </x:c>
      <x:c r="K1511" s="16" t="n">
        <x:v>5</x:v>
      </x:c>
      <x:c r="L1511" s="16" t="n">
        <x:v>3</x:v>
      </x:c>
      <x:c r="M1511" s="16" t="n">
        <x:v>5</x:v>
      </x:c>
      <x:c r="N1511" s="16" t="n">
        <x:v>5</x:v>
      </x:c>
      <x:c r="O1511" s="16" t="n">
        <x:v>3</x:v>
      </x:c>
      <x:c r="P1511" s="16" t="n">
        <x:f>IF(COUNT(I1511:O1511)&lt;7,"",I1511*8+J1511*3+K1511*2+L1511*2+M1511*2+N1511*2+O1511)</x:f>
        <x:v>62</x:v>
      </x:c>
      <x:c r="Q1511" s="16" t="n">
        <x:f>IF(COUNT(J1511:O1511)&lt;6,"",J1511*5+K1511*4+M1511*4+L1511*3+N1511*2+O1511*2)</x:f>
        <x:v>90</x:v>
      </x:c>
      <x:c r="R1511" s="14" t="str">
        <x:v>high</x:v>
      </x:c>
      <x:c r="S1511" s="14" t="str">
        <x:v>official_prozorro_award_2024_2026</x:v>
      </x:c>
      <x:c r="T1511" s="14" t="str">
        <x:v>official_prozorro_api</x:v>
      </x:c>
      <x:c r="U1511" s="14" t="str">
        <x:v>Не контактували</x:v>
      </x:c>
      <x:c r="V1511" s="15" t="str">
        <x:v>Workflow-audit outreach по UA-2024-12-03-006719-a; попросити 1 пакет здачі та вимоги проєкту</x:v>
      </x:c>
      <x:c r="W1511" s="15" t="str">
        <x:v>Власник / директор; керівник ПТО; відповідальний за договори</x:v>
      </x:c>
      <x:c r="X1511" s="15" t="str">
        <x:v>2 нових підтверджених перемог/договорів у Prozorro на 1 650 000 грн; 0 зі строком виконання не раніше 24.08.2026.</x:v>
      </x:c>
      <x:c r="Y1511"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(Стадія "ТЕО") (Будівельні роботи та поточний ремонт); опублікований строк до 2025-08-29. Попросити один знеособлений пакет здачі за цим workflow.</x:v>
      </x:c>
      <x:c r="Z1511" s="15" t="str">
        <x:v>https://prozorro.gov.ua/tender/UA-2024-12-03-006719-a</x:v>
      </x:c>
      <x:c r="AA1511" s="14" t="str">
        <x:v>39313028</x:v>
      </x:c>
      <x:c r="AB1511" s="14" t="str">
        <x:v>2026-08-24</x:v>
      </x:c>
      <x:c r="AC1511" s="14" t="str"/>
      <x:c r="AD1511" s="20" t="str"/>
      <x:c r="AE1511" s="14" t="str"/>
      <x:c r="AF1511" s="14" t="n">
        <x:v>44</x:v>
      </x:c>
      <x:c r="AG1511" s="14" t="str">
        <x:v>I3</x:v>
      </x:c>
      <x:c r="AH1511" s="14" t="n">
        <x:v>2</x:v>
      </x:c>
      <x:c r="AI1511" s="14" t="n">
        <x:v>0</x:v>
      </x:c>
      <x:c r="AJ1511" s="18" t="n">
        <x:v>1650000</x:v>
      </x:c>
      <x:c r="AK1511" s="14" t="str">
        <x:v>https://prozorro.gov.ua/tender/UA-2024-12-03-006719-a</x:v>
      </x:c>
      <x:c r="AL1511" s="19" t="n">
        <x:v>45629.40538737269</x:v>
      </x:c>
      <x:c r="AM1511" s="19" t="n">
        <x:v>45898</x:v>
      </x:c>
      <x:c r="AN1511" s="15" t="str">
        <x:v>Стиснене повітря / компресорні</x:v>
      </x:c>
      <x:c r="AO1511" s="15" t="str">
        <x:v>not_found_in_top_search</x:v>
      </x:c>
    </x:row>
    <x:row r="1512">
      <x:c r="A1512" s="14" t="str">
        <x:v>W5-140</x:v>
      </x:c>
      <x:c r="B1512" s="14" t="str">
        <x:v>Prozorro vertical expansion — 24.08</x:v>
      </x:c>
      <x:c r="C1512" s="14" t="str">
        <x:v>ТОВАРИСТВО З ОБМЕЖЕНОЮ ВІДПОВІДАЛЬНІСТЮ "МЕГА МЕД МАРКЕТ"</x:v>
      </x:c>
      <x:c r="D1512" s="14" t="str">
        <x:v>Чисті приміщення</x:v>
      </x:c>
      <x:c r="E1512" s="14" t="str">
        <x:v>Expansion discovery</x:v>
      </x:c>
      <x:c r="F1512" s="17" t="str">
        <x:v>D3</x:v>
      </x:c>
      <x:c r="G1512" s="14" t="str"/>
      <x:c r="H1512" s="14" t="str">
        <x:v>Discovery розширення — 2 тижні</x:v>
      </x:c>
      <x:c r="I1512" s="16" t="n">
        <x:v>1</x:v>
      </x:c>
      <x:c r="J1512" s="16" t="n">
        <x:v>5</x:v>
      </x:c>
      <x:c r="K1512" s="16" t="n">
        <x:v>5</x:v>
      </x:c>
      <x:c r="L1512" s="16" t="n">
        <x:v>3</x:v>
      </x:c>
      <x:c r="M1512" s="16" t="n">
        <x:v>5</x:v>
      </x:c>
      <x:c r="N1512" s="16" t="n">
        <x:v>5</x:v>
      </x:c>
      <x:c r="O1512" s="16" t="n">
        <x:v>3</x:v>
      </x:c>
      <x:c r="P1512" s="16" t="n">
        <x:f>IF(COUNT(I1512:O1512)&lt;7,"",I1512*8+J1512*3+K1512*2+L1512*2+M1512*2+N1512*2+O1512)</x:f>
        <x:v>62</x:v>
      </x:c>
      <x:c r="Q1512" s="16" t="n">
        <x:f>IF(COUNT(J1512:O1512)&lt;6,"",J1512*5+K1512*4+M1512*4+L1512*3+N1512*2+O1512*2)</x:f>
        <x:v>90</x:v>
      </x:c>
      <x:c r="R1512" s="14" t="str">
        <x:v>high</x:v>
      </x:c>
      <x:c r="S1512" s="14" t="str">
        <x:v>official_prozorro_award_2024_2026</x:v>
      </x:c>
      <x:c r="T1512" s="14" t="str">
        <x:v>official_prozorro_api</x:v>
      </x:c>
      <x:c r="U1512" s="14" t="str">
        <x:v>Не контактували</x:v>
      </x:c>
      <x:c r="V1512" s="15" t="str">
        <x:v>Workflow-audit outreach по UA-2024-12-24-015602-a; попросити 1 пакет здачі та вимоги проєкту</x:v>
      </x:c>
      <x:c r="W1512" s="15" t="str">
        <x:v>Власник / директор; керівник ПТО; відповідальний за договори</x:v>
      </x:c>
      <x:c r="X1512" s="15" t="str">
        <x:v>2 нових підтверджених перемог/договорів у Prozorro на 1 412 717 грн; 0 зі строком виконання не раніше 24.08.2026.</x:v>
      </x:c>
      <x:c r="Y1512"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Відсмоктувач медичний електричний, модель 7А-23В (20л); Стійка – стелаж СТС-1; Мийка медична ультразвукова Uzumcu UYT 10 – одинарна.; опублікований строк до 2024-12-27. Попросити один знеособлений пакет здачі за цим workflow.</x:v>
      </x:c>
      <x:c r="Z1512" s="15" t="str">
        <x:v>https://prozorro.gov.ua/tender/UA-2024-12-24-015602-a</x:v>
      </x:c>
      <x:c r="AA1512" s="14" t="str">
        <x:v>40433374</x:v>
      </x:c>
      <x:c r="AB1512" s="14" t="str">
        <x:v>2026-08-24</x:v>
      </x:c>
      <x:c r="AC1512" s="14" t="str"/>
      <x:c r="AD1512" s="20" t="str"/>
      <x:c r="AE1512" s="14" t="str"/>
      <x:c r="AF1512" s="14" t="n">
        <x:v>44</x:v>
      </x:c>
      <x:c r="AG1512" s="14" t="str">
        <x:v>I3</x:v>
      </x:c>
      <x:c r="AH1512" s="14" t="n">
        <x:v>2</x:v>
      </x:c>
      <x:c r="AI1512" s="14" t="n">
        <x:v>0</x:v>
      </x:c>
      <x:c r="AJ1512" s="18" t="n">
        <x:v>1412717.34</x:v>
      </x:c>
      <x:c r="AK1512" s="14" t="str">
        <x:v>https://prozorro.gov.ua/tender/UA-2024-12-24-015602-a</x:v>
      </x:c>
      <x:c r="AL1512" s="19" t="n">
        <x:v>45650.55903509259</x:v>
      </x:c>
      <x:c r="AM1512" s="19" t="n">
        <x:v>45653</x:v>
      </x:c>
      <x:c r="AN1512" s="15" t="str">
        <x:v>Чисті приміщення</x:v>
      </x:c>
      <x:c r="AO1512" s="15" t="str">
        <x:v>not_found_in_top_search</x:v>
      </x:c>
    </x:row>
    <x:row r="1513">
      <x:c r="A1513" s="14" t="str">
        <x:v>W5-141</x:v>
      </x:c>
      <x:c r="B1513" s="14" t="str">
        <x:v>Prozorro vertical expansion — 24.08</x:v>
      </x:c>
      <x:c r="C1513" s="14" t="str">
        <x:v>ТОВАРИСТВО З ОБМЕЖЕНОЮ ВІДПОВІДАЛЬНІСТЮ "КРЕМЕНЕРГОБУД"</x:v>
      </x:c>
      <x:c r="D1513" s="14" t="str">
        <x:v>Чисті приміщення</x:v>
      </x:c>
      <x:c r="E1513" s="14" t="str">
        <x:v>Expansion discovery</x:v>
      </x:c>
      <x:c r="F1513" s="17" t="str">
        <x:v>D3</x:v>
      </x:c>
      <x:c r="G1513" s="14" t="str"/>
      <x:c r="H1513" s="14" t="str">
        <x:v>Discovery розширення — 2 тижні</x:v>
      </x:c>
      <x:c r="I1513" s="16" t="n">
        <x:v>1</x:v>
      </x:c>
      <x:c r="J1513" s="16" t="n">
        <x:v>5</x:v>
      </x:c>
      <x:c r="K1513" s="16" t="n">
        <x:v>5</x:v>
      </x:c>
      <x:c r="L1513" s="16" t="n">
        <x:v>3</x:v>
      </x:c>
      <x:c r="M1513" s="16" t="n">
        <x:v>5</x:v>
      </x:c>
      <x:c r="N1513" s="16" t="n">
        <x:v>5</x:v>
      </x:c>
      <x:c r="O1513" s="16" t="n">
        <x:v>3</x:v>
      </x:c>
      <x:c r="P1513" s="16" t="n">
        <x:f>IF(COUNT(I1513:O1513)&lt;7,"",I1513*8+J1513*3+K1513*2+L1513*2+M1513*2+N1513*2+O1513)</x:f>
        <x:v>62</x:v>
      </x:c>
      <x:c r="Q1513" s="16" t="n">
        <x:f>IF(COUNT(J1513:O1513)&lt;6,"",J1513*5+K1513*4+M1513*4+L1513*3+N1513*2+O1513*2)</x:f>
        <x:v>90</x:v>
      </x:c>
      <x:c r="R1513" s="14" t="str">
        <x:v>high</x:v>
      </x:c>
      <x:c r="S1513" s="14" t="str">
        <x:v>official_prozorro_award_2024_2026</x:v>
      </x:c>
      <x:c r="T1513" s="14" t="str">
        <x:v>official_prozorro_api</x:v>
      </x:c>
      <x:c r="U1513" s="14" t="str">
        <x:v>Не контактували</x:v>
      </x:c>
      <x:c r="V1513" s="15" t="str">
        <x:v>Workflow-audit outreach по UA-2024-05-06-003611-a; попросити 1 пакет здачі та вимоги проєкту</x:v>
      </x:c>
      <x:c r="W1513" s="15" t="str">
        <x:v>Власник / директор; керівник ПТО; відповідальний за договори</x:v>
      </x:c>
      <x:c r="X1513" s="15" t="str">
        <x:v>2 нових підтверджених перемог/договорів у Prozorro на 626 848 грн; 0 зі строком виконання не раніше 24.08.2026.</x:v>
      </x:c>
      <x:c r="Y1513" s="15" t="str">
        <x:v>ДК 021:2015  45310000-3 Електромонтажні роботи («Реконструкція електричних мереж КНМП «Кременчуцька міська лікарня планового лікування» в частині встановлення резервного джерела живлення (дизельної електростанції - ДЕС) для операційного блоку хірургічного відділення головного корпусу, за адресою: Полтавська обл., м.Кременчук, проспект Полтавський, буд. 40»); опублікований строк до 2024-05-31. Попросити один знеособлений пакет здачі за цим workflow.</x:v>
      </x:c>
      <x:c r="Z1513" s="15" t="str">
        <x:v>https://prozorro.gov.ua/tender/UA-2024-05-06-003611-a</x:v>
      </x:c>
      <x:c r="AA1513" s="14" t="str">
        <x:v>40914738</x:v>
      </x:c>
      <x:c r="AB1513" s="14" t="str">
        <x:v>2026-08-24</x:v>
      </x:c>
      <x:c r="AC1513" s="14" t="str"/>
      <x:c r="AD1513" s="20" t="str"/>
      <x:c r="AE1513" s="14" t="str"/>
      <x:c r="AF1513" s="14" t="n">
        <x:v>44</x:v>
      </x:c>
      <x:c r="AG1513" s="14" t="str">
        <x:v>I3</x:v>
      </x:c>
      <x:c r="AH1513" s="14" t="n">
        <x:v>2</x:v>
      </x:c>
      <x:c r="AI1513" s="14" t="n">
        <x:v>0</x:v>
      </x:c>
      <x:c r="AJ1513" s="18" t="n">
        <x:v>626848.4</x:v>
      </x:c>
      <x:c r="AK1513" s="14" t="str">
        <x:v>https://prozorro.gov.ua/tender/UA-2024-05-06-003611-a</x:v>
      </x:c>
      <x:c r="AL1513" s="19" t="n">
        <x:v>45418.422898668985</x:v>
      </x:c>
      <x:c r="AM1513" s="19" t="n">
        <x:v>45443</x:v>
      </x:c>
      <x:c r="AN1513" s="15" t="str">
        <x:v>Чисті приміщення</x:v>
      </x:c>
      <x:c r="AO1513" s="15" t="str">
        <x:v>not_found_in_top_search</x:v>
      </x:c>
    </x:row>
    <x:row r="1514">
      <x:c r="A1514" s="14" t="str">
        <x:v>W5-142</x:v>
      </x:c>
      <x:c r="B1514" s="14" t="str">
        <x:v>Prozorro vertical expansion — 24.08</x:v>
      </x:c>
      <x:c r="C1514" s="14" t="str">
        <x:v>ФОП Соколова Тетяна Іванівна</x:v>
      </x:c>
      <x:c r="D1514" s="14" t="str">
        <x:v>Залізнична інфраструктура</x:v>
      </x:c>
      <x:c r="E1514" s="14" t="str">
        <x:v>Expansion discovery</x:v>
      </x:c>
      <x:c r="F1514" s="17" t="str">
        <x:v>D3</x:v>
      </x:c>
      <x:c r="G1514" s="14" t="str"/>
      <x:c r="H1514" s="14" t="str">
        <x:v>Discovery розширення — 2 тижні</x:v>
      </x:c>
      <x:c r="I1514" s="16" t="n">
        <x:v>1</x:v>
      </x:c>
      <x:c r="J1514" s="16" t="n">
        <x:v>5</x:v>
      </x:c>
      <x:c r="K1514" s="16" t="n">
        <x:v>5</x:v>
      </x:c>
      <x:c r="L1514" s="16" t="n">
        <x:v>3</x:v>
      </x:c>
      <x:c r="M1514" s="16" t="n">
        <x:v>5</x:v>
      </x:c>
      <x:c r="N1514" s="16" t="n">
        <x:v>3</x:v>
      </x:c>
      <x:c r="O1514" s="16" t="n">
        <x:v>3</x:v>
      </x:c>
      <x:c r="P1514" s="16" t="n">
        <x:f>IF(COUNT(I1514:O1514)&lt;7,"",I1514*8+J1514*3+K1514*2+L1514*2+M1514*2+N1514*2+O1514)</x:f>
        <x:v>58</x:v>
      </x:c>
      <x:c r="Q1514" s="16" t="n">
        <x:f>IF(COUNT(J1514:O1514)&lt;6,"",J1514*5+K1514*4+M1514*4+L1514*3+N1514*2+O1514*2)</x:f>
        <x:v>86</x:v>
      </x:c>
      <x:c r="R1514" s="14" t="str">
        <x:v>high</x:v>
      </x:c>
      <x:c r="S1514" s="14" t="str">
        <x:v>official_prozorro_award_2024_2026</x:v>
      </x:c>
      <x:c r="T1514" s="14" t="str">
        <x:v>official_prozorro_api</x:v>
      </x:c>
      <x:c r="U1514" s="14" t="str">
        <x:v>Не контактували</x:v>
      </x:c>
      <x:c r="V1514" s="15" t="str">
        <x:v>Workflow-audit outreach по UA-2026-04-12-000068-a; попросити 1 пакет здачі та вимоги проєкту</x:v>
      </x:c>
      <x:c r="W1514" s="15" t="str">
        <x:v>Власник / виконавець; відповідальний за договір</x:v>
      </x:c>
      <x:c r="X1514" s="15" t="str">
        <x:v>1 нових підтверджених перемог/договорів у Prozorro на 1 049 000 грн; 1 зі строком виконання не раніше 24.08.2026.</x:v>
      </x:c>
      <x:c r="Y1514" s="15" t="str">
        <x:v>Матеріали для ремонту залізничної колії; опублікований строк до 2026-12-30. Попросити один знеособлений пакет здачі за цим workflow.</x:v>
      </x:c>
      <x:c r="Z1514" s="15" t="str">
        <x:v>https://prozorro.gov.ua/tender/UA-2026-04-12-000068-a</x:v>
      </x:c>
      <x:c r="AA1514" s="14" t="str">
        <x:v>2826611365</x:v>
      </x:c>
      <x:c r="AB1514" s="14" t="str">
        <x:v>2026-08-24</x:v>
      </x:c>
      <x:c r="AC1514" s="14" t="str"/>
      <x:c r="AD1514" s="20" t="str"/>
      <x:c r="AE1514" s="14" t="str"/>
      <x:c r="AF1514" s="14" t="n">
        <x:v>43</x:v>
      </x:c>
      <x:c r="AG1514" s="14" t="str">
        <x:v>I3</x:v>
      </x:c>
      <x:c r="AH1514" s="14" t="n">
        <x:v>1</x:v>
      </x:c>
      <x:c r="AI1514" s="14" t="n">
        <x:v>1</x:v>
      </x:c>
      <x:c r="AJ1514" s="18" t="n">
        <x:v>1049000</x:v>
      </x:c>
      <x:c r="AK1514" s="14" t="str">
        <x:v>https://prozorro.gov.ua/tender/UA-2026-04-12-000068-a</x:v>
      </x:c>
      <x:c r="AL1514" s="19" t="n">
        <x:v>46136.380843252315</x:v>
      </x:c>
      <x:c r="AM1514" s="19" t="n">
        <x:v>46386.382893518516</x:v>
      </x:c>
      <x:c r="AN1514" s="15" t="str">
        <x:v>Залізнична інфраструктура</x:v>
      </x:c>
      <x:c r="AO1514" s="15" t="str">
        <x:v>not_found_in_top_search</x:v>
      </x:c>
    </x:row>
    <x:row r="1515">
      <x:c r="A1515" s="14" t="str">
        <x:v>W5-143</x:v>
      </x:c>
      <x:c r="B1515" s="14" t="str">
        <x:v>Prozorro vertical expansion — 24.08</x:v>
      </x:c>
      <x:c r="C1515" s="14" t="str">
        <x:v>ФОП Гонтар Сергій Олександрович</x:v>
      </x:c>
      <x:c r="D1515" s="14" t="str">
        <x:v>Блискавкозахист / заземлення</x:v>
      </x:c>
      <x:c r="E1515" s="14" t="str">
        <x:v>Pilot now</x:v>
      </x:c>
      <x:c r="F1515" s="17" t="str">
        <x:v>P3</x:v>
      </x:c>
      <x:c r="G1515" s="14" t="str"/>
      <x:c r="H1515" s="14" t="str">
        <x:v>Пілот зараз — Н.15 subset</x:v>
      </x:c>
      <x:c r="I1515" s="16" t="n">
        <x:v>4</x:v>
      </x:c>
      <x:c r="J1515" s="16" t="n">
        <x:v>5</x:v>
      </x:c>
      <x:c r="K1515" s="16" t="n">
        <x:v>5</x:v>
      </x:c>
      <x:c r="L1515" s="16" t="n">
        <x:v>1</x:v>
      </x:c>
      <x:c r="M1515" s="16" t="n">
        <x:v>5</x:v>
      </x:c>
      <x:c r="N1515" s="16" t="n">
        <x:v>3</x:v>
      </x:c>
      <x:c r="O1515" s="16" t="n">
        <x:v>3</x:v>
      </x:c>
      <x:c r="P1515" s="16" t="n">
        <x:f>IF(COUNT(I1515:O1515)&lt;7,"",I1515*8+J1515*3+K1515*2+L1515*2+M1515*2+N1515*2+O1515)</x:f>
        <x:v>78</x:v>
      </x:c>
      <x:c r="Q1515" s="16" t="n">
        <x:f>IF(COUNT(J1515:O1515)&lt;6,"",J1515*5+K1515*4+M1515*4+L1515*3+N1515*2+O1515*2)</x:f>
        <x:v>80</x:v>
      </x:c>
      <x:c r="R1515" s="14" t="str">
        <x:v>high</x:v>
      </x:c>
      <x:c r="S1515" s="14" t="str">
        <x:v>official_prozorro_award_2024_2026</x:v>
      </x:c>
      <x:c r="T1515" s="14" t="str">
        <x:v>official_prozorro_api</x:v>
      </x:c>
      <x:c r="U1515" s="14" t="str">
        <x:v>Не контактували</x:v>
      </x:c>
      <x:c r="V1515" s="15" t="str">
        <x:v>Персоналізований free-pilot outreach по UA-2026-06-02-001103-a; попросити 1 пакет Н.15</x:v>
      </x:c>
      <x:c r="W1515" s="15" t="str">
        <x:v>Власник / виконавець; відповідальний за договір</x:v>
      </x:c>
      <x:c r="X1515" s="15" t="str">
        <x:v>1 нових підтверджених перемог/договорів у Prozorro на 99 987 грн; 1 зі строком виконання не раніше 24.08.2026.</x:v>
      </x:c>
      <x:c r="Y1515" s="15" t="str">
        <x:v>Послуги по монтажу системи блискавкозахисту на обєкті: приміщення їдальні Плужненського ліцею Хмельницької обласної ради, що знаходиться за адресою: Хмельницька область Шепетівський р-н., с. Плужне, вул. Соборна, 2; опублікований строк до 2026-12-31. Попросити один знеособлений пакет здачі за цим workflow.</x:v>
      </x:c>
      <x:c r="Z1515" s="15" t="str">
        <x:v>https://prozorro.gov.ua/tender/UA-2026-06-02-001103-a</x:v>
      </x:c>
      <x:c r="AA1515" s="14" t="str">
        <x:v>3207206456</x:v>
      </x:c>
      <x:c r="AB1515" s="14" t="str">
        <x:v>2026-08-24</x:v>
      </x:c>
      <x:c r="AC1515" s="14" t="str"/>
      <x:c r="AD1515" s="20" t="str"/>
      <x:c r="AE1515" s="14" t="str"/>
      <x:c r="AF1515" s="14" t="n">
        <x:v>43</x:v>
      </x:c>
      <x:c r="AG1515" s="14" t="str">
        <x:v>I3</x:v>
      </x:c>
      <x:c r="AH1515" s="14" t="n">
        <x:v>1</x:v>
      </x:c>
      <x:c r="AI1515" s="14" t="n">
        <x:v>1</x:v>
      </x:c>
      <x:c r="AJ1515" s="18" t="n">
        <x:v>99986.74</x:v>
      </x:c>
      <x:c r="AK1515" s="14" t="str">
        <x:v>https://prozorro.gov.ua/tender/UA-2026-06-02-001103-a</x:v>
      </x:c>
      <x:c r="AL1515" s="19" t="n">
        <x:v>46175.28063574074</x:v>
      </x:c>
      <x:c r="AM1515" s="19" t="n">
        <x:v>46387.322060185186</x:v>
      </x:c>
      <x:c r="AN1515" s="15" t="str">
        <x:v>Блискавкозахист / заземлення</x:v>
      </x:c>
      <x:c r="AO1515" s="15" t="str">
        <x:v>not_found_in_top_search</x:v>
      </x:c>
    </x:row>
    <x:row r="1516">
      <x:c r="A1516" s="14" t="str">
        <x:v>W5-144</x:v>
      </x:c>
      <x:c r="B1516" s="14" t="str">
        <x:v>Prozorro vertical expansion — 24.08</x:v>
      </x:c>
      <x:c r="C1516" s="14" t="str">
        <x:v>ФОП Лупандін Сергій Володимирович</x:v>
      </x:c>
      <x:c r="D1516" s="14" t="str">
        <x:v>Резервне живлення</x:v>
      </x:c>
      <x:c r="E1516" s="14" t="str">
        <x:v>Pilot now</x:v>
      </x:c>
      <x:c r="F1516" s="17" t="str">
        <x:v>P3</x:v>
      </x:c>
      <x:c r="G1516" s="14" t="str"/>
      <x:c r="H1516" s="14" t="str">
        <x:v>Пілот зараз — Н.15 subset</x:v>
      </x:c>
      <x:c r="I1516" s="16" t="n">
        <x:v>4</x:v>
      </x:c>
      <x:c r="J1516" s="16" t="n">
        <x:v>5</x:v>
      </x:c>
      <x:c r="K1516" s="16" t="n">
        <x:v>5</x:v>
      </x:c>
      <x:c r="L1516" s="16" t="n">
        <x:v>1</x:v>
      </x:c>
      <x:c r="M1516" s="16" t="n">
        <x:v>5</x:v>
      </x:c>
      <x:c r="N1516" s="16" t="n">
        <x:v>3</x:v>
      </x:c>
      <x:c r="O1516" s="16" t="n">
        <x:v>3</x:v>
      </x:c>
      <x:c r="P1516" s="16" t="n">
        <x:f>IF(COUNT(I1516:O1516)&lt;7,"",I1516*8+J1516*3+K1516*2+L1516*2+M1516*2+N1516*2+O1516)</x:f>
        <x:v>78</x:v>
      </x:c>
      <x:c r="Q1516" s="16" t="n">
        <x:f>IF(COUNT(J1516:O1516)&lt;6,"",J1516*5+K1516*4+M1516*4+L1516*3+N1516*2+O1516*2)</x:f>
        <x:v>80</x:v>
      </x:c>
      <x:c r="R1516" s="14" t="str">
        <x:v>high</x:v>
      </x:c>
      <x:c r="S1516" s="14" t="str">
        <x:v>official_prozorro_award_2024_2026</x:v>
      </x:c>
      <x:c r="T1516" s="14" t="str">
        <x:v>official_prozorro_api</x:v>
      </x:c>
      <x:c r="U1516" s="14" t="str">
        <x:v>Не контактували</x:v>
      </x:c>
      <x:c r="V1516" s="15" t="str">
        <x:v>Персоналізований free-pilot outreach по UA-2026-05-20-009083-a; попросити 1 пакет Н.15</x:v>
      </x:c>
      <x:c r="W1516" s="15" t="str">
        <x:v>Власник / виконавець; відповідальний за договір</x:v>
      </x:c>
      <x:c r="X1516" s="15" t="str">
        <x:v>1 нових підтверджених перемог/договорів у Prozorro на 90 000 грн; 1 зі строком виконання не раніше 24.08.2026.</x:v>
      </x:c>
      <x:c r="Y1516" s="15" t="str">
        <x:v>Електромонтажні роботи - ДК 021:2015 45310000-3 Електромонтажні роботи (Електромонтажні роботи на об’єкті за адресою: м. Київ, проспект Науки, 47, корпус 13 (безперебійне живлення корпусу 17) - ДК 021:2015 45311200-2 Монтаж електроарматури); опублікований строк до 2026-12-31. Попросити один знеособлений пакет здачі за цим workflow.</x:v>
      </x:c>
      <x:c r="Z1516" s="15" t="str">
        <x:v>https://prozorro.gov.ua/tender/UA-2026-05-20-009083-a</x:v>
      </x:c>
      <x:c r="AA1516" s="14" t="str">
        <x:v>2273005312</x:v>
      </x:c>
      <x:c r="AB1516" s="14" t="str">
        <x:v>2026-08-24</x:v>
      </x:c>
      <x:c r="AC1516" s="14" t="str"/>
      <x:c r="AD1516" s="20" t="str"/>
      <x:c r="AE1516" s="14" t="str"/>
      <x:c r="AF1516" s="14" t="n">
        <x:v>43</x:v>
      </x:c>
      <x:c r="AG1516" s="14" t="str">
        <x:v>I3</x:v>
      </x:c>
      <x:c r="AH1516" s="14" t="n">
        <x:v>1</x:v>
      </x:c>
      <x:c r="AI1516" s="14" t="n">
        <x:v>1</x:v>
      </x:c>
      <x:c r="AJ1516" s="18" t="n">
        <x:v>90000</x:v>
      </x:c>
      <x:c r="AK1516" s="14" t="str">
        <x:v>https://prozorro.gov.ua/tender/UA-2026-05-20-009083-a</x:v>
      </x:c>
      <x:c r="AL1516" s="19" t="n">
        <x:v>46162.483521319446</x:v>
      </x:c>
      <x:c r="AM1516" s="19" t="n">
        <x:v>46387.52726851852</x:v>
      </x:c>
      <x:c r="AN1516" s="15" t="str">
        <x:v>Резервне живлення</x:v>
      </x:c>
      <x:c r="AO1516" s="15" t="str">
        <x:v>not_found_in_top_search</x:v>
      </x:c>
    </x:row>
    <x:row r="1517">
      <x:c r="A1517" s="14" t="str">
        <x:v>W5-145</x:v>
      </x:c>
      <x:c r="B1517" s="14" t="str">
        <x:v>Prozorro vertical expansion — 24.08</x:v>
      </x:c>
      <x:c r="C1517" s="14" t="str">
        <x:v>Фізична особа-підприємець Яцишин Ігор Іванович</x:v>
      </x:c>
      <x:c r="D1517" s="14" t="str">
        <x:v>Зовнішні мережі</x:v>
      </x:c>
      <x:c r="E1517" s="14" t="str">
        <x:v>Expansion discovery</x:v>
      </x:c>
      <x:c r="F1517" s="17" t="str">
        <x:v>D3</x:v>
      </x:c>
      <x:c r="G1517" s="14" t="str"/>
      <x:c r="H1517" s="14" t="str">
        <x:v>Discovery розширення — 2 тижні</x:v>
      </x:c>
      <x:c r="I1517" s="16" t="n">
        <x:v>1</x:v>
      </x:c>
      <x:c r="J1517" s="16" t="n">
        <x:v>5</x:v>
      </x:c>
      <x:c r="K1517" s="16" t="n">
        <x:v>5</x:v>
      </x:c>
      <x:c r="L1517" s="16" t="n">
        <x:v>1</x:v>
      </x:c>
      <x:c r="M1517" s="16" t="n">
        <x:v>5</x:v>
      </x:c>
      <x:c r="N1517" s="16" t="n">
        <x:v>3</x:v>
      </x:c>
      <x:c r="O1517" s="16" t="n">
        <x:v>3</x:v>
      </x:c>
      <x:c r="P1517" s="16" t="n">
        <x:f>IF(COUNT(I1517:O1517)&lt;7,"",I1517*8+J1517*3+K1517*2+L1517*2+M1517*2+N1517*2+O1517)</x:f>
        <x:v>54</x:v>
      </x:c>
      <x:c r="Q1517" s="16" t="n">
        <x:f>IF(COUNT(J1517:O1517)&lt;6,"",J1517*5+K1517*4+M1517*4+L1517*3+N1517*2+O1517*2)</x:f>
        <x:v>80</x:v>
      </x:c>
      <x:c r="R1517" s="14" t="str">
        <x:v>high</x:v>
      </x:c>
      <x:c r="S1517" s="14" t="str">
        <x:v>official_prozorro_award_2024_2026</x:v>
      </x:c>
      <x:c r="T1517" s="14" t="str">
        <x:v>official_prozorro_api</x:v>
      </x:c>
      <x:c r="U1517" s="14" t="str">
        <x:v>Не контактували</x:v>
      </x:c>
      <x:c r="V1517" s="15" t="str">
        <x:v>Workflow-audit outreach по UA-2026-06-16-005035-a; попросити 1 пакет здачі та вимоги проєкту</x:v>
      </x:c>
      <x:c r="W1517" s="15" t="str">
        <x:v>Власник / виконавець; відповідальний за договір</x:v>
      </x:c>
      <x:c r="X1517" s="15" t="str">
        <x:v>1 нових підтверджених перемог/договорів у Prozorro на 84 632 грн; 1 зі строком виконання не раніше 24.08.2026.</x:v>
      </x:c>
      <x:c r="Y1517" s="15" t="str">
        <x:v>Виконання робіт з розробки проєктної документації "Капітальний ремонт зовнішніх мереж водопостачання на проспекті Відродження  в м. Луцьку Волинської області"; опублікований строк до 2026-09-30. Попросити один знеособлений пакет здачі за цим workflow.</x:v>
      </x:c>
      <x:c r="Z1517" s="15" t="str">
        <x:v>https://prozorro.gov.ua/tender/UA-2026-06-16-005035-a</x:v>
      </x:c>
      <x:c r="AA1517" s="14" t="str">
        <x:v>2269304539</x:v>
      </x:c>
      <x:c r="AB1517" s="14" t="str">
        <x:v>2026-08-24</x:v>
      </x:c>
      <x:c r="AC1517" s="14" t="str"/>
      <x:c r="AD1517" s="20" t="str"/>
      <x:c r="AE1517" s="14" t="str"/>
      <x:c r="AF1517" s="14" t="n">
        <x:v>43</x:v>
      </x:c>
      <x:c r="AG1517" s="14" t="str">
        <x:v>I3</x:v>
      </x:c>
      <x:c r="AH1517" s="14" t="n">
        <x:v>1</x:v>
      </x:c>
      <x:c r="AI1517" s="14" t="n">
        <x:v>1</x:v>
      </x:c>
      <x:c r="AJ1517" s="18" t="n">
        <x:v>84632</x:v>
      </x:c>
      <x:c r="AK1517" s="14" t="str">
        <x:v>https://prozorro.gov.ua/tender/UA-2026-06-16-005035-a</x:v>
      </x:c>
      <x:c r="AL1517" s="19" t="n">
        <x:v>46189.367033159724</x:v>
      </x:c>
      <x:c r="AM1517" s="19" t="n">
        <x:v>46295</x:v>
      </x:c>
      <x:c r="AN1517" s="15" t="str">
        <x:v>Зовнішні мережі</x:v>
      </x:c>
      <x:c r="AO1517" s="15" t="str">
        <x:v>not_found_in_top_search</x:v>
      </x:c>
    </x:row>
    <x:row r="1518">
      <x:c r="A1518" s="14" t="str">
        <x:v>W5-146</x:v>
      </x:c>
      <x:c r="B1518" s="14" t="str">
        <x:v>Prozorro vertical expansion — 24.08</x:v>
      </x:c>
      <x:c r="C1518" s="14" t="str">
        <x:v>ФІЗИЧНА ОСОБА-ПІДПРИЄМЕЦЬ БОНДАРЕНКО ВОЛОДИМИР СТЕПАНОВИЧ</x:v>
      </x:c>
      <x:c r="D1518" s="14" t="str">
        <x:v>Резервне живлення</x:v>
      </x:c>
      <x:c r="E1518" s="14" t="str">
        <x:v>Pilot now</x:v>
      </x:c>
      <x:c r="F1518" s="17" t="str">
        <x:v>P3</x:v>
      </x:c>
      <x:c r="G1518" s="14" t="str"/>
      <x:c r="H1518" s="14" t="str">
        <x:v>Пілот зараз — Н.15 subset</x:v>
      </x:c>
      <x:c r="I1518" s="16" t="n">
        <x:v>4</x:v>
      </x:c>
      <x:c r="J1518" s="16" t="n">
        <x:v>5</x:v>
      </x:c>
      <x:c r="K1518" s="16" t="n">
        <x:v>5</x:v>
      </x:c>
      <x:c r="L1518" s="16" t="n">
        <x:v>1</x:v>
      </x:c>
      <x:c r="M1518" s="16" t="n">
        <x:v>5</x:v>
      </x:c>
      <x:c r="N1518" s="16" t="n">
        <x:v>3</x:v>
      </x:c>
      <x:c r="O1518" s="16" t="n">
        <x:v>3</x:v>
      </x:c>
      <x:c r="P1518" s="16" t="n">
        <x:f>IF(COUNT(I1518:O1518)&lt;7,"",I1518*8+J1518*3+K1518*2+L1518*2+M1518*2+N1518*2+O1518)</x:f>
        <x:v>78</x:v>
      </x:c>
      <x:c r="Q1518" s="16" t="n">
        <x:f>IF(COUNT(J1518:O1518)&lt;6,"",J1518*5+K1518*4+M1518*4+L1518*3+N1518*2+O1518*2)</x:f>
        <x:v>80</x:v>
      </x:c>
      <x:c r="R1518" s="14" t="str">
        <x:v>high</x:v>
      </x:c>
      <x:c r="S1518" s="14" t="str">
        <x:v>official_prozorro_award_2024_2026</x:v>
      </x:c>
      <x:c r="T1518" s="14" t="str">
        <x:v>official_prozorro_api</x:v>
      </x:c>
      <x:c r="U1518" s="14" t="str">
        <x:v>Не контактували</x:v>
      </x:c>
      <x:c r="V1518" s="15" t="str">
        <x:v>Персоналізований free-pilot outreach по UA-2024-11-26-008748-a; попросити 1 пакет Н.15</x:v>
      </x:c>
      <x:c r="W1518" s="15" t="str">
        <x:v>Власник / виконавець; відповідальний за договір</x:v>
      </x:c>
      <x:c r="X1518" s="15" t="str">
        <x:v>3 нових підтверджених перемог/договорів у Prozorro на 77 000 грн; 0 зі строком виконання не раніше 24.08.2026.</x:v>
      </x:c>
      <x:c r="Y1518" s="15" t="str">
        <x:v>Встановлення та підключення джерела резервного живлення (пусконалагодження та монтаж дизель-генератора) з переобладнанням щитів  системи електропостачання в адмінбудівлі за адресою: м. Звягель, вул. Олександра Чернявського, 3; опублікований строк до 2024-12-31. Попросити один знеособлений пакет здачі за цим workflow.</x:v>
      </x:c>
      <x:c r="Z1518" s="15" t="str">
        <x:v>https://prozorro.gov.ua/tender/UA-2024-11-26-008748-a</x:v>
      </x:c>
      <x:c r="AA1518" s="14" t="str">
        <x:v>3100805212</x:v>
      </x:c>
      <x:c r="AB1518" s="14" t="str">
        <x:v>2026-08-24</x:v>
      </x:c>
      <x:c r="AC1518" s="14" t="str"/>
      <x:c r="AD1518" s="20" t="str"/>
      <x:c r="AE1518" s="14" t="str"/>
      <x:c r="AF1518" s="14" t="n">
        <x:v>43</x:v>
      </x:c>
      <x:c r="AG1518" s="14" t="str">
        <x:v>I3</x:v>
      </x:c>
      <x:c r="AH1518" s="14" t="n">
        <x:v>3</x:v>
      </x:c>
      <x:c r="AI1518" s="14" t="n">
        <x:v>0</x:v>
      </x:c>
      <x:c r="AJ1518" s="18" t="n">
        <x:v>77000</x:v>
      </x:c>
      <x:c r="AK1518" s="14" t="str">
        <x:v>https://prozorro.gov.ua/tender/UA-2024-11-26-008748-a</x:v>
      </x:c>
      <x:c r="AL1518" s="19" t="n">
        <x:v>45622.46098928241</x:v>
      </x:c>
      <x:c r="AM1518" s="19" t="n">
        <x:v>45657.46314814815</x:v>
      </x:c>
      <x:c r="AN1518" s="15" t="str">
        <x:v>Резервне живлення</x:v>
      </x:c>
      <x:c r="AO1518" s="15" t="str">
        <x:v>not_found_in_top_search</x:v>
      </x:c>
    </x:row>
    <x:row r="1519">
      <x:c r="A1519" s="14" t="str">
        <x:v>W5-147</x:v>
      </x:c>
      <x:c r="B1519" s="14" t="str">
        <x:v>Prozorro vertical expansion — 24.08</x:v>
      </x:c>
      <x:c r="C1519" s="14" t="str">
        <x:v>ФОП ЗАМОГИЛЬНИЙ ЄГОР ВОЛОДИМИРОВИЧ</x:v>
      </x:c>
      <x:c r="D1519" s="14" t="str">
        <x:v>Сонячна енергетика</x:v>
      </x:c>
      <x:c r="E1519" s="14" t="str">
        <x:v>Pilot now</x:v>
      </x:c>
      <x:c r="F1519" s="17" t="str">
        <x:v>P3</x:v>
      </x:c>
      <x:c r="G1519" s="14" t="str"/>
      <x:c r="H1519" s="14" t="str">
        <x:v>Пілот зараз — Н.15 discovery subset</x:v>
      </x:c>
      <x:c r="I1519" s="16" t="n">
        <x:v>3</x:v>
      </x:c>
      <x:c r="J1519" s="16" t="n">
        <x:v>5</x:v>
      </x:c>
      <x:c r="K1519" s="16" t="n">
        <x:v>5</x:v>
      </x:c>
      <x:c r="L1519" s="16" t="n">
        <x:v>1</x:v>
      </x:c>
      <x:c r="M1519" s="16" t="n">
        <x:v>5</x:v>
      </x:c>
      <x:c r="N1519" s="16" t="n">
        <x:v>3</x:v>
      </x:c>
      <x:c r="O1519" s="16" t="n">
        <x:v>3</x:v>
      </x:c>
      <x:c r="P1519" s="16" t="n">
        <x:f>IF(COUNT(I1519:O1519)&lt;7,"",I1519*8+J1519*3+K1519*2+L1519*2+M1519*2+N1519*2+O1519)</x:f>
        <x:v>70</x:v>
      </x:c>
      <x:c r="Q1519" s="16" t="n">
        <x:f>IF(COUNT(J1519:O1519)&lt;6,"",J1519*5+K1519*4+M1519*4+L1519*3+N1519*2+O1519*2)</x:f>
        <x:v>80</x:v>
      </x:c>
      <x:c r="R1519" s="14" t="str">
        <x:v>high</x:v>
      </x:c>
      <x:c r="S1519" s="14" t="str">
        <x:v>official_prozorro_award_2024_2026</x:v>
      </x:c>
      <x:c r="T1519" s="14" t="str">
        <x:v>official_prozorro_api</x:v>
      </x:c>
      <x:c r="U1519" s="14" t="str">
        <x:v>Не контактували</x:v>
      </x:c>
      <x:c r="V1519" s="15" t="str">
        <x:v>Персоналізований free-pilot outreach по UA-2026-06-01-008345-a; попросити 1 пакет Н.15</x:v>
      </x:c>
      <x:c r="W1519" s="15" t="str">
        <x:v>Власник / виконавець; відповідальний за договір</x:v>
      </x:c>
      <x:c r="X1519" s="15" t="str">
        <x:v>1 нових підтверджених перемог/договорів у Prozorro на 70 000 грн; 1 зі строком виконання не раніше 24.08.2026.</x:v>
      </x:c>
      <x:c r="Y1519" s="15" t="str">
        <x:v>Послуги з монтажу сонячних панелей (фотоелектричні модулі на основі монокристалічного кремнію); опублікований строк до 2026-12-31. Попросити один знеособлений пакет здачі за цим workflow.</x:v>
      </x:c>
      <x:c r="Z1519" s="15" t="str">
        <x:v>https://prozorro.gov.ua/tender/UA-2026-06-01-008345-a</x:v>
      </x:c>
      <x:c r="AA1519" s="14" t="str">
        <x:v>3329712153</x:v>
      </x:c>
      <x:c r="AB1519" s="14" t="str">
        <x:v>2026-08-24</x:v>
      </x:c>
      <x:c r="AC1519" s="14" t="str"/>
      <x:c r="AD1519" s="20" t="str"/>
      <x:c r="AE1519" s="14" t="str"/>
      <x:c r="AF1519" s="14" t="n">
        <x:v>43</x:v>
      </x:c>
      <x:c r="AG1519" s="14" t="str">
        <x:v>I3</x:v>
      </x:c>
      <x:c r="AH1519" s="14" t="n">
        <x:v>1</x:v>
      </x:c>
      <x:c r="AI1519" s="14" t="n">
        <x:v>1</x:v>
      </x:c>
      <x:c r="AJ1519" s="18" t="n">
        <x:v>70000</x:v>
      </x:c>
      <x:c r="AK1519" s="14" t="str">
        <x:v>https://prozorro.gov.ua/tender/UA-2026-06-01-008345-a</x:v>
      </x:c>
      <x:c r="AL1519" s="19" t="n">
        <x:v>46175.2469184375</x:v>
      </x:c>
      <x:c r="AM1519" s="19" t="n">
        <x:v>46387</x:v>
      </x:c>
      <x:c r="AN1519" s="15" t="str">
        <x:v>Сонячна енергетика</x:v>
      </x:c>
      <x:c r="AO1519" s="15" t="str">
        <x:v>not_found_in_top_search</x:v>
      </x:c>
    </x:row>
    <x:row r="1520">
      <x:c r="A1520" s="14" t="str">
        <x:v>W5-148</x:v>
      </x:c>
      <x:c r="B1520" s="14" t="str">
        <x:v>Prozorro vertical expansion — 24.08</x:v>
      </x:c>
      <x:c r="C1520" s="14" t="str">
        <x:v>ТОВАРИСТВО З ОБМЕЖЕНОЮ ВІДПОВІДАЛЬНІСТЮ "КБ"ТЕПЛОЕНЕРГОАВТОМАТИКА"</x:v>
      </x:c>
      <x:c r="D1520" s="14" t="str">
        <x:v>Стиснене повітря / компресорні</x:v>
      </x:c>
      <x:c r="E1520" s="14" t="str">
        <x:v>Expansion discovery</x:v>
      </x:c>
      <x:c r="F1520" s="17" t="str">
        <x:v>D3</x:v>
      </x:c>
      <x:c r="G1520" s="14" t="str"/>
      <x:c r="H1520" s="14" t="str">
        <x:v>Discovery розширення — 2 тижні</x:v>
      </x:c>
      <x:c r="I1520" s="16" t="n">
        <x:v>1</x:v>
      </x:c>
      <x:c r="J1520" s="16" t="n">
        <x:v>5</x:v>
      </x:c>
      <x:c r="K1520" s="16" t="n">
        <x:v>5</x:v>
      </x:c>
      <x:c r="L1520" s="16" t="n">
        <x:v>5</x:v>
      </x:c>
      <x:c r="M1520" s="16" t="n">
        <x:v>5</x:v>
      </x:c>
      <x:c r="N1520" s="16" t="n">
        <x:v>5</x:v>
      </x:c>
      <x:c r="O1520" s="16" t="n">
        <x:v>3</x:v>
      </x:c>
      <x:c r="P1520" s="16" t="n">
        <x:f>IF(COUNT(I1520:O1520)&lt;7,"",I1520*8+J1520*3+K1520*2+L1520*2+M1520*2+N1520*2+O1520)</x:f>
        <x:v>66</x:v>
      </x:c>
      <x:c r="Q1520" s="16" t="n">
        <x:f>IF(COUNT(J1520:O1520)&lt;6,"",J1520*5+K1520*4+M1520*4+L1520*3+N1520*2+O1520*2)</x:f>
        <x:v>96</x:v>
      </x:c>
      <x:c r="R1520" s="14" t="str">
        <x:v>high</x:v>
      </x:c>
      <x:c r="S1520" s="14" t="str">
        <x:v>official_prozorro_award_2024_2026</x:v>
      </x:c>
      <x:c r="T1520" s="14" t="str">
        <x:v>official_prozorro_api</x:v>
      </x:c>
      <x:c r="U1520" s="14" t="str">
        <x:v>Не контактували</x:v>
      </x:c>
      <x:c r="V1520" s="15" t="str">
        <x:v>Workflow-audit outreach по UA-2024-09-18-012442-a; попросити 1 пакет здачі та вимоги проєкту</x:v>
      </x:c>
      <x:c r="W1520" s="15" t="str">
        <x:v>Власник / директор; керівник ПТО; відповідальний за договори</x:v>
      </x:c>
      <x:c r="X1520" s="15" t="str">
        <x:v>1 нових підтверджених перемог/договорів у Prozorro на 1 187 999 999 грн; 0 зі строком виконання не раніше 24.08.2026.</x:v>
      </x:c>
      <x:c r="Y1520" s="15" t="str">
        <x:v>Реконструкція компресорної станції (Будівельні роботи та поточний ремонт); опублікований строк до 2026-04-01. Попросити один знеособлений пакет здачі за цим workflow.</x:v>
      </x:c>
      <x:c r="Z1520" s="15" t="str">
        <x:v>https://prozorro.gov.ua/tender/UA-2024-09-18-012442-a</x:v>
      </x:c>
      <x:c r="AA1520" s="14" t="str">
        <x:v>30390020</x:v>
      </x:c>
      <x:c r="AB1520" s="14" t="str">
        <x:v>2026-08-24</x:v>
      </x:c>
      <x:c r="AC1520" s="14" t="str"/>
      <x:c r="AD1520" s="20" t="str"/>
      <x:c r="AE1520" s="14" t="str"/>
      <x:c r="AF1520" s="14" t="n">
        <x:v>42</x:v>
      </x:c>
      <x:c r="AG1520" s="14" t="str">
        <x:v>I3</x:v>
      </x:c>
      <x:c r="AH1520" s="14" t="n">
        <x:v>1</x:v>
      </x:c>
      <x:c r="AI1520" s="14" t="n">
        <x:v>0</x:v>
      </x:c>
      <x:c r="AJ1520" s="18" t="n">
        <x:v>1187999999</x:v>
      </x:c>
      <x:c r="AK1520" s="14" t="str">
        <x:v>https://prozorro.gov.ua/tender/UA-2024-09-18-012442-a</x:v>
      </x:c>
      <x:c r="AL1520" s="19" t="n">
        <x:v>45637.39609371528</x:v>
      </x:c>
      <x:c r="AM1520" s="19" t="n">
        <x:v>46113</x:v>
      </x:c>
      <x:c r="AN1520" s="15" t="str">
        <x:v>Стиснене повітря / компресорні</x:v>
      </x:c>
      <x:c r="AO1520" s="15" t="str">
        <x:v>not_found_in_top_search</x:v>
      </x:c>
    </x:row>
    <x:row r="1521">
      <x:c r="A1521" s="14" t="str">
        <x:v>W5-149</x:v>
      </x:c>
      <x:c r="B1521" s="14" t="str">
        <x:v>Prozorro vertical expansion — 24.08</x:v>
      </x:c>
      <x:c r="C1521" s="14" t="str">
        <x:v>ТОВ ІНТЕРБУДПОСТАЧ</x:v>
      </x:c>
      <x:c r="D1521" s="14" t="str">
        <x:v>Ремонт і підсилення бетону</x:v>
      </x:c>
      <x:c r="E1521" s="14" t="str">
        <x:v>Expansion discovery</x:v>
      </x:c>
      <x:c r="F1521" s="17" t="str">
        <x:v>D3</x:v>
      </x:c>
      <x:c r="G1521" s="14" t="str"/>
      <x:c r="H1521" s="14" t="str">
        <x:v>Discovery розширення — 2 тижні</x:v>
      </x:c>
      <x:c r="I1521" s="16" t="n">
        <x:v>1</x:v>
      </x:c>
      <x:c r="J1521" s="16" t="n">
        <x:v>5</x:v>
      </x:c>
      <x:c r="K1521" s="16" t="n">
        <x:v>5</x:v>
      </x:c>
      <x:c r="L1521" s="16" t="n">
        <x:v>5</x:v>
      </x:c>
      <x:c r="M1521" s="16" t="n">
        <x:v>5</x:v>
      </x:c>
      <x:c r="N1521" s="16" t="n">
        <x:v>5</x:v>
      </x:c>
      <x:c r="O1521" s="16" t="n">
        <x:v>3</x:v>
      </x:c>
      <x:c r="P1521" s="16" t="n">
        <x:f>IF(COUNT(I1521:O1521)&lt;7,"",I1521*8+J1521*3+K1521*2+L1521*2+M1521*2+N1521*2+O1521)</x:f>
        <x:v>66</x:v>
      </x:c>
      <x:c r="Q1521" s="16" t="n">
        <x:f>IF(COUNT(J1521:O1521)&lt;6,"",J1521*5+K1521*4+M1521*4+L1521*3+N1521*2+O1521*2)</x:f>
        <x:v>96</x:v>
      </x:c>
      <x:c r="R1521" s="14" t="str">
        <x:v>high</x:v>
      </x:c>
      <x:c r="S1521" s="14" t="str">
        <x:v>official_prozorro_award_2024_2026</x:v>
      </x:c>
      <x:c r="T1521" s="14" t="str">
        <x:v>official_prozorro_api</x:v>
      </x:c>
      <x:c r="U1521" s="14" t="str">
        <x:v>Не контактували</x:v>
      </x:c>
      <x:c r="V1521" s="15" t="str">
        <x:v>Workflow-audit outreach по UA-2024-03-21-004259-a; попросити 1 пакет здачі та вимоги проєкту</x:v>
      </x:c>
      <x:c r="W1521" s="15" t="str">
        <x:v>Власник / директор; керівник ПТО; відповідальний за договори</x:v>
      </x:c>
      <x:c r="X1521" s="15" t="str">
        <x:v>1 нових підтверджених перемог/договорів у Prozorro на 224 286 192 грн; 0 зі строком виконання не раніше 24.08.2026.</x:v>
      </x:c>
      <x:c r="Y1521"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тротуарів з заміною покриття, гідроізоляції, перильної та бар'єрної огорож, ремонт системи водовідведення, ремонт фасадної частини залізобетонних конструкцій Південного мостового переходу через р. Дніпро в м.Київ, а саме на спорудах: 1. Залізобетонна частина Південного мосту через р. Дніпро (низовий бік, з боку с. Корчувате); 2. Правобережна естакада «Н» Південного мостового переходу через р. Дніпро (з боку мосту с. Корчувате); 3. Естакада на магістралі від Наддніпрянського шосе до проспекту Науки «В» (з боку мосту ім. Є.О. Патона через р. Дніпро); 4. Естакада на магістралі від Наддніпрянського шосе до проспекту Науки «Н» (з боку с. Корчувате)); опублікований строк до 2025-12-31. Попросити один знеособлений пакет здачі за цим workflow.</x:v>
      </x:c>
      <x:c r="Z1521" s="15" t="str">
        <x:v>https://prozorro.gov.ua/tender/UA-2024-03-21-004259-a</x:v>
      </x:c>
      <x:c r="AA1521" s="14" t="str">
        <x:v>36108121</x:v>
      </x:c>
      <x:c r="AB1521" s="14" t="str">
        <x:v>2026-08-24</x:v>
      </x:c>
      <x:c r="AC1521" s="14" t="str"/>
      <x:c r="AD1521" s="20" t="str"/>
      <x:c r="AE1521" s="14" t="str"/>
      <x:c r="AF1521" s="14" t="n">
        <x:v>42</x:v>
      </x:c>
      <x:c r="AG1521" s="14" t="str">
        <x:v>I3</x:v>
      </x:c>
      <x:c r="AH1521" s="14" t="n">
        <x:v>1</x:v>
      </x:c>
      <x:c r="AI1521" s="14" t="n">
        <x:v>0</x:v>
      </x:c>
      <x:c r="AJ1521" s="18" t="n">
        <x:v>224286192</x:v>
      </x:c>
      <x:c r="AK1521" s="14" t="str">
        <x:v>https://prozorro.gov.ua/tender/UA-2024-03-21-004259-a</x:v>
      </x:c>
      <x:c r="AL1521" s="19" t="n">
        <x:v>45386.45935493056</x:v>
      </x:c>
      <x:c r="AM1521" s="19" t="n">
        <x:v>46022</x:v>
      </x:c>
      <x:c r="AN1521" s="15" t="str">
        <x:v>Ремонт і підсилення бетону</x:v>
      </x:c>
      <x:c r="AO1521" s="15" t="str">
        <x:v>not_found_in_top_search</x:v>
      </x:c>
    </x:row>
    <x:row r="1522">
      <x:c r="A1522" s="14" t="str">
        <x:v>W5-150</x:v>
      </x:c>
      <x:c r="B1522" s="14" t="str">
        <x:v>Prozorro vertical expansion — 24.08</x:v>
      </x:c>
      <x:c r="C1522" s="14" t="str">
        <x:v>ТОВАРИСТВО З ОБМЕЖЕНОЮ ВІДПОВІДАЛЬНІСТЮ “БУДПОСТАЧ-СТСВ”</x:v>
      </x:c>
      <x:c r="D1522" s="14" t="str">
        <x:v>Чисті приміщення</x:v>
      </x:c>
      <x:c r="E1522" s="14" t="str">
        <x:v>Expansion discovery</x:v>
      </x:c>
      <x:c r="F1522" s="17" t="str">
        <x:v>D3</x:v>
      </x:c>
      <x:c r="G1522" s="14" t="str"/>
      <x:c r="H1522" s="14" t="str">
        <x:v>Discovery розширення — 2 тижні</x:v>
      </x:c>
      <x:c r="I1522" s="16" t="n">
        <x:v>1</x:v>
      </x:c>
      <x:c r="J1522" s="16" t="n">
        <x:v>5</x:v>
      </x:c>
      <x:c r="K1522" s="16" t="n">
        <x:v>5</x:v>
      </x:c>
      <x:c r="L1522" s="16" t="n">
        <x:v>5</x:v>
      </x:c>
      <x:c r="M1522" s="16" t="n">
        <x:v>5</x:v>
      </x:c>
      <x:c r="N1522" s="16" t="n">
        <x:v>5</x:v>
      </x:c>
      <x:c r="O1522" s="16" t="n">
        <x:v>3</x:v>
      </x:c>
      <x:c r="P1522" s="16" t="n">
        <x:f>IF(COUNT(I1522:O1522)&lt;7,"",I1522*8+J1522*3+K1522*2+L1522*2+M1522*2+N1522*2+O1522)</x:f>
        <x:v>66</x:v>
      </x:c>
      <x:c r="Q1522" s="16" t="n">
        <x:f>IF(COUNT(J1522:O1522)&lt;6,"",J1522*5+K1522*4+M1522*4+L1522*3+N1522*2+O1522*2)</x:f>
        <x:v>96</x:v>
      </x:c>
      <x:c r="R1522" s="14" t="str">
        <x:v>high</x:v>
      </x:c>
      <x:c r="S1522" s="14" t="str">
        <x:v>official_prozorro_award_2024_2026</x:v>
      </x:c>
      <x:c r="T1522" s="14" t="str">
        <x:v>official_prozorro_api</x:v>
      </x:c>
      <x:c r="U1522" s="14" t="str">
        <x:v>Не контактували</x:v>
      </x:c>
      <x:c r="V1522" s="15" t="str">
        <x:v>Workflow-audit outreach по UA-2024-08-07-008396-a; попросити 1 пакет здачі та вимоги проєкту</x:v>
      </x:c>
      <x:c r="W1522" s="15" t="str">
        <x:v>Власник / директор; керівник ПТО; відповідальний за договори</x:v>
      </x:c>
      <x:c r="X1522" s="15" t="str">
        <x:v>1 нових підтверджених перемог/договорів у Prozorro на 101 385 425 грн; 0 зі строком виконання не раніше 24.08.2026.</x:v>
      </x:c>
      <x:c r="Y1522" s="15" t="str">
        <x:v>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 Херсон, вул. Гоголя 1 ЄЗС ДК 021:2015 45454000-4 – Реконструкція; опублікований строк до 2024-12-31. Попросити один знеособлений пакет здачі за цим workflow.</x:v>
      </x:c>
      <x:c r="Z1522" s="15" t="str">
        <x:v>https://prozorro.gov.ua/tender/UA-2024-08-07-008396-a</x:v>
      </x:c>
      <x:c r="AA1522" s="14" t="str">
        <x:v>39828667</x:v>
      </x:c>
      <x:c r="AB1522" s="14" t="str">
        <x:v>2026-08-24</x:v>
      </x:c>
      <x:c r="AC1522" s="14" t="str"/>
      <x:c r="AD1522" s="20" t="str"/>
      <x:c r="AE1522" s="14" t="str"/>
      <x:c r="AF1522" s="14" t="n">
        <x:v>42</x:v>
      </x:c>
      <x:c r="AG1522" s="14" t="str">
        <x:v>I3</x:v>
      </x:c>
      <x:c r="AH1522" s="14" t="n">
        <x:v>1</x:v>
      </x:c>
      <x:c r="AI1522" s="14" t="n">
        <x:v>0</x:v>
      </x:c>
      <x:c r="AJ1522" s="18" t="n">
        <x:v>101385425.02</x:v>
      </x:c>
      <x:c r="AK1522" s="14" t="str">
        <x:v>https://prozorro.gov.ua/tender/UA-2024-08-07-008396-a</x:v>
      </x:c>
      <x:c r="AL1522" s="19" t="n">
        <x:v>45511.51743814815</x:v>
      </x:c>
      <x:c r="AM1522" s="19" t="n">
        <x:v>45657</x:v>
      </x:c>
      <x:c r="AN1522" s="15" t="str">
        <x:v>Чисті приміщення</x:v>
      </x:c>
      <x:c r="AO1522" s="15" t="str">
        <x:v>not_found_in_top_search</x:v>
      </x:c>
    </x:row>
    <x:row r="1523">
      <x:c r="A1523" s="14" t="str">
        <x:v>W5-151</x:v>
      </x:c>
      <x:c r="B1523" s="14" t="str">
        <x:v>Prozorro vertical expansion — 24.08</x:v>
      </x:c>
      <x:c r="C1523" s="14" t="str">
        <x:v>ТОВАРИСТВО З ОБМЕЖЕНОЮ ВІДПОВІДАЛЬНІСТЮ "ЕЛЕКТРО-САНТЕХНІЧНО-МОНТАЖНО-БУДІВЕЛЬНА КОМПАНІЯ "ЕСТМ-БУД"</x:v>
      </x:c>
      <x:c r="D1523" s="14" t="str">
        <x:v>Технологічні трубопроводи</x:v>
      </x:c>
      <x:c r="E1523" s="14" t="str">
        <x:v>Expansion discovery</x:v>
      </x:c>
      <x:c r="F1523" s="17" t="str">
        <x:v>D3</x:v>
      </x:c>
      <x:c r="G1523" s="14" t="str"/>
      <x:c r="H1523" s="14" t="str">
        <x:v>Discovery розширення — 2 тижні</x:v>
      </x:c>
      <x:c r="I1523" s="16" t="n">
        <x:v>1</x:v>
      </x:c>
      <x:c r="J1523" s="16" t="n">
        <x:v>5</x:v>
      </x:c>
      <x:c r="K1523" s="16" t="n">
        <x:v>5</x:v>
      </x:c>
      <x:c r="L1523" s="16" t="n">
        <x:v>5</x:v>
      </x:c>
      <x:c r="M1523" s="16" t="n">
        <x:v>5</x:v>
      </x:c>
      <x:c r="N1523" s="16" t="n">
        <x:v>5</x:v>
      </x:c>
      <x:c r="O1523" s="16" t="n">
        <x:v>3</x:v>
      </x:c>
      <x:c r="P1523" s="16" t="n">
        <x:f>IF(COUNT(I1523:O1523)&lt;7,"",I1523*8+J1523*3+K1523*2+L1523*2+M1523*2+N1523*2+O1523)</x:f>
        <x:v>66</x:v>
      </x:c>
      <x:c r="Q1523" s="16" t="n">
        <x:f>IF(COUNT(J1523:O1523)&lt;6,"",J1523*5+K1523*4+M1523*4+L1523*3+N1523*2+O1523*2)</x:f>
        <x:v>96</x:v>
      </x:c>
      <x:c r="R1523" s="14" t="str">
        <x:v>high</x:v>
      </x:c>
      <x:c r="S1523" s="14" t="str">
        <x:v>official_prozorro_award_2024_2026</x:v>
      </x:c>
      <x:c r="T1523" s="14" t="str">
        <x:v>official_prozorro_api</x:v>
      </x:c>
      <x:c r="U1523" s="14" t="str">
        <x:v>Не контактували</x:v>
      </x:c>
      <x:c r="V1523" s="15" t="str">
        <x:v>Workflow-audit outreach по UA-2024-03-06-011080-a; попросити 1 пакет здачі та вимоги проєкту</x:v>
      </x:c>
      <x:c r="W1523" s="15" t="str">
        <x:v>Власник / директор; керівник ПТО; відповідальний за договори</x:v>
      </x:c>
      <x:c r="X1523" s="15" t="str">
        <x:v>1 нових підтверджених перемог/договорів у Prozorro на 37 496 885 грн; 0 зі строком виконання не раніше 24.08.2026.</x:v>
      </x:c>
      <x:c r="Y1523"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(Утеплення технологічних трубопроводів,  Монтаж систем управління та автоматизації технологічних процесів, Електромонтажні роботи, Монтаж системи протипожежного захисту) (код 45450000-6 за ДК 021:2015, Інші завершальні будівельні роботи); опублікований строк до 2025-05-30. Попросити один знеособлений пакет здачі за цим workflow.</x:v>
      </x:c>
      <x:c r="Z1523" s="15" t="str">
        <x:v>https://prozorro.gov.ua/tender/UA-2024-03-06-011080-a</x:v>
      </x:c>
      <x:c r="AA1523" s="14" t="str">
        <x:v>33192357</x:v>
      </x:c>
      <x:c r="AB1523" s="14" t="str">
        <x:v>2026-08-24</x:v>
      </x:c>
      <x:c r="AC1523" s="14" t="str"/>
      <x:c r="AD1523" s="20" t="str"/>
      <x:c r="AE1523" s="14" t="str"/>
      <x:c r="AF1523" s="14" t="n">
        <x:v>42</x:v>
      </x:c>
      <x:c r="AG1523" s="14" t="str">
        <x:v>I3</x:v>
      </x:c>
      <x:c r="AH1523" s="14" t="n">
        <x:v>1</x:v>
      </x:c>
      <x:c r="AI1523" s="14" t="n">
        <x:v>0</x:v>
      </x:c>
      <x:c r="AJ1523" s="18" t="n">
        <x:v>37496885.14</x:v>
      </x:c>
      <x:c r="AK1523" s="14" t="str">
        <x:v>https://prozorro.gov.ua/tender/UA-2024-03-06-011080-a</x:v>
      </x:c>
      <x:c r="AL1523" s="19" t="n">
        <x:v>45372.47722959491</x:v>
      </x:c>
      <x:c r="AM1523" s="19" t="n">
        <x:v>45807</x:v>
      </x:c>
      <x:c r="AN1523" s="15" t="str">
        <x:v>Технологічні трубопроводи</x:v>
      </x:c>
      <x:c r="AO1523" s="15" t="str">
        <x:v>not_found_in_top_search</x:v>
      </x:c>
    </x:row>
    <x:row r="1524">
      <x:c r="A1524" s="14" t="str">
        <x:v>W5-152</x:v>
      </x:c>
      <x:c r="B1524" s="14" t="str">
        <x:v>Prozorro vertical expansion — 24.08</x:v>
      </x:c>
      <x:c r="C1524" s="14" t="str">
        <x:v>ТОВАРИСТВО З ОБМЕЖЕНОЮ ВІДПОВІДАЛЬНІСТЮ "ІНФРАСТРУКТУРА БЕЗПЕКИ"</x:v>
      </x:c>
      <x:c r="D1524" s="14" t="str">
        <x:v>ЦОД / серверні</x:v>
      </x:c>
      <x:c r="E1524" s="14" t="str">
        <x:v>Expansion discovery</x:v>
      </x:c>
      <x:c r="F1524" s="17" t="str">
        <x:v>D3</x:v>
      </x:c>
      <x:c r="G1524" s="14" t="str"/>
      <x:c r="H1524" s="14" t="str">
        <x:v>Discovery розширення — 2 тижні</x:v>
      </x:c>
      <x:c r="I1524" s="16" t="n">
        <x:v>1</x:v>
      </x:c>
      <x:c r="J1524" s="16" t="n">
        <x:v>5</x:v>
      </x:c>
      <x:c r="K1524" s="16" t="n">
        <x:v>5</x:v>
      </x:c>
      <x:c r="L1524" s="16" t="n">
        <x:v>5</x:v>
      </x:c>
      <x:c r="M1524" s="16" t="n">
        <x:v>5</x:v>
      </x:c>
      <x:c r="N1524" s="16" t="n">
        <x:v>5</x:v>
      </x:c>
      <x:c r="O1524" s="16" t="n">
        <x:v>3</x:v>
      </x:c>
      <x:c r="P1524" s="16" t="n">
        <x:f>IF(COUNT(I1524:O1524)&lt;7,"",I1524*8+J1524*3+K1524*2+L1524*2+M1524*2+N1524*2+O1524)</x:f>
        <x:v>66</x:v>
      </x:c>
      <x:c r="Q1524" s="16" t="n">
        <x:f>IF(COUNT(J1524:O1524)&lt;6,"",J1524*5+K1524*4+M1524*4+L1524*3+N1524*2+O1524*2)</x:f>
        <x:v>96</x:v>
      </x:c>
      <x:c r="R1524" s="14" t="str">
        <x:v>high</x:v>
      </x:c>
      <x:c r="S1524" s="14" t="str">
        <x:v>official_prozorro_award_2024_2026</x:v>
      </x:c>
      <x:c r="T1524" s="14" t="str">
        <x:v>official_prozorro_api</x:v>
      </x:c>
      <x:c r="U1524" s="14" t="str">
        <x:v>Не контактували</x:v>
      </x:c>
      <x:c r="V1524" s="15" t="str">
        <x:v>Workflow-audit outreach по UA-2025-03-19-007956-a; попросити 1 пакет здачі та вимоги проєкту</x:v>
      </x:c>
      <x:c r="W1524" s="15" t="str">
        <x:v>Власник / директор; керівник ПТО; відповідальний за договори</x:v>
      </x:c>
      <x:c r="X1524" s="15" t="str">
        <x:v>1 нових підтверджених перемог/договорів у Prozorro на 31 826 146 грн; 0 зі строком виконання не раніше 24.08.2026.</x:v>
      </x:c>
      <x:c r="Y1524" s="15" t="str">
        <x:v>Будівництво Інформаційно-аналітичної системи „Ситуаційний центр „Безпекове Закарпаття”. Будівництво центру обробки даних. Встановлення відеоспостереження. Коригування; опублікований строк до 2025-12-31. Попросити один знеособлений пакет здачі за цим workflow.</x:v>
      </x:c>
      <x:c r="Z1524" s="15" t="str">
        <x:v>https://prozorro.gov.ua/tender/UA-2025-03-19-007956-a</x:v>
      </x:c>
      <x:c r="AA1524" s="14" t="str">
        <x:v>44717970</x:v>
      </x:c>
      <x:c r="AB1524" s="14" t="str">
        <x:v>2026-08-24</x:v>
      </x:c>
      <x:c r="AC1524" s="14" t="str"/>
      <x:c r="AD1524" s="20" t="str"/>
      <x:c r="AE1524" s="14" t="str"/>
      <x:c r="AF1524" s="14" t="n">
        <x:v>42</x:v>
      </x:c>
      <x:c r="AG1524" s="14" t="str">
        <x:v>I3</x:v>
      </x:c>
      <x:c r="AH1524" s="14" t="n">
        <x:v>1</x:v>
      </x:c>
      <x:c r="AI1524" s="14" t="n">
        <x:v>0</x:v>
      </x:c>
      <x:c r="AJ1524" s="18" t="n">
        <x:v>31826145.98</x:v>
      </x:c>
      <x:c r="AK1524" s="14" t="str">
        <x:v>https://prozorro.gov.ua/tender/UA-2025-03-19-007956-a</x:v>
      </x:c>
      <x:c r="AL1524" s="19" t="n">
        <x:v>45756.30046534722</x:v>
      </x:c>
      <x:c r="AM1524" s="19" t="n">
        <x:v>46022</x:v>
      </x:c>
      <x:c r="AN1524" s="15" t="str">
        <x:v>ЦОД / серверні</x:v>
      </x:c>
      <x:c r="AO1524" s="15" t="str">
        <x:v>not_found_in_top_search</x:v>
      </x:c>
    </x:row>
    <x:row r="1525">
      <x:c r="A1525" s="14" t="str">
        <x:v>W5-153</x:v>
      </x:c>
      <x:c r="B1525" s="14" t="str">
        <x:v>Prozorro vertical expansion — 24.08</x:v>
      </x:c>
      <x:c r="C1525" s="14" t="str">
        <x:v>ТОВАРИСТВО З ОБМЕЖЕНОЮ ВІДПОВІДАЛЬНІСТЮ "АЛСВІТ ПЛЮС"</x:v>
      </x:c>
      <x:c r="D1525" s="14" t="str">
        <x:v>Чисті приміщення</x:v>
      </x:c>
      <x:c r="E1525" s="14" t="str">
        <x:v>Expansion discovery</x:v>
      </x:c>
      <x:c r="F1525" s="17" t="str">
        <x:v>D3</x:v>
      </x:c>
      <x:c r="G1525" s="14" t="str"/>
      <x:c r="H1525" s="14" t="str">
        <x:v>Discovery розширення — 2 тижні</x:v>
      </x:c>
      <x:c r="I1525" s="16" t="n">
        <x:v>1</x:v>
      </x:c>
      <x:c r="J1525" s="16" t="n">
        <x:v>5</x:v>
      </x:c>
      <x:c r="K1525" s="16" t="n">
        <x:v>5</x:v>
      </x:c>
      <x:c r="L1525" s="16" t="n">
        <x:v>5</x:v>
      </x:c>
      <x:c r="M1525" s="16" t="n">
        <x:v>5</x:v>
      </x:c>
      <x:c r="N1525" s="16" t="n">
        <x:v>5</x:v>
      </x:c>
      <x:c r="O1525" s="16" t="n">
        <x:v>3</x:v>
      </x:c>
      <x:c r="P1525" s="16" t="n">
        <x:f>IF(COUNT(I1525:O1525)&lt;7,"",I1525*8+J1525*3+K1525*2+L1525*2+M1525*2+N1525*2+O1525)</x:f>
        <x:v>66</x:v>
      </x:c>
      <x:c r="Q1525" s="16" t="n">
        <x:f>IF(COUNT(J1525:O1525)&lt;6,"",J1525*5+K1525*4+M1525*4+L1525*3+N1525*2+O1525*2)</x:f>
        <x:v>96</x:v>
      </x:c>
      <x:c r="R1525" s="14" t="str">
        <x:v>high</x:v>
      </x:c>
      <x:c r="S1525" s="14" t="str">
        <x:v>official_prozorro_award_2024_2026</x:v>
      </x:c>
      <x:c r="T1525" s="14" t="str">
        <x:v>official_prozorro_api</x:v>
      </x:c>
      <x:c r="U1525" s="14" t="str">
        <x:v>Не контактували</x:v>
      </x:c>
      <x:c r="V1525" s="15" t="str">
        <x:v>Workflow-audit outreach по UA-2024-03-28-006789-a; попросити 1 пакет здачі та вимоги проєкту</x:v>
      </x:c>
      <x:c r="W1525" s="15" t="str">
        <x:v>Власник / директор; керівник ПТО; відповідальний за договори</x:v>
      </x:c>
      <x:c r="X1525" s="15" t="str">
        <x:v>1 нових підтверджених перемог/договорів у Prozorro на 27 344 004 грн; 0 зі строком виконання не раніше 24.08.2026.</x:v>
      </x:c>
      <x:c r="Y1525" s="15" t="str">
        <x:v>Реконструкція сховища з влаштуванням споруди подвійного призначення (медично операційний блок) з властивостями сховища. ; опублікований строк до 2024-09-01. Попросити один знеособлений пакет здачі за цим workflow.</x:v>
      </x:c>
      <x:c r="Z1525" s="15" t="str">
        <x:v>https://prozorro.gov.ua/tender/UA-2024-03-28-006789-a</x:v>
      </x:c>
      <x:c r="AA1525" s="14" t="str">
        <x:v>38975278</x:v>
      </x:c>
      <x:c r="AB1525" s="14" t="str">
        <x:v>2026-08-24</x:v>
      </x:c>
      <x:c r="AC1525" s="14" t="str"/>
      <x:c r="AD1525" s="20" t="str"/>
      <x:c r="AE1525" s="14" t="str"/>
      <x:c r="AF1525" s="14" t="n">
        <x:v>42</x:v>
      </x:c>
      <x:c r="AG1525" s="14" t="str">
        <x:v>I3</x:v>
      </x:c>
      <x:c r="AH1525" s="14" t="n">
        <x:v>1</x:v>
      </x:c>
      <x:c r="AI1525" s="14" t="n">
        <x:v>0</x:v>
      </x:c>
      <x:c r="AJ1525" s="18" t="n">
        <x:v>27344003.96</x:v>
      </x:c>
      <x:c r="AK1525" s="14" t="str">
        <x:v>https://prozorro.gov.ua/tender/UA-2024-03-28-006789-a</x:v>
      </x:c>
      <x:c r="AL1525" s="19" t="n">
        <x:v>45379.53669019676</x:v>
      </x:c>
      <x:c r="AM1525" s="19" t="n">
        <x:v>45536</x:v>
      </x:c>
      <x:c r="AN1525" s="15" t="str">
        <x:v>Чисті приміщення</x:v>
      </x:c>
      <x:c r="AO1525" s="15" t="str">
        <x:v>not_found_in_top_search</x:v>
      </x:c>
    </x:row>
    <x:row r="1526">
      <x:c r="A1526" s="14" t="str">
        <x:v>W5-154</x:v>
      </x:c>
      <x:c r="B1526" s="14" t="str">
        <x:v>Prozorro vertical expansion — 24.08</x:v>
      </x:c>
      <x:c r="C1526" s="14" t="str">
        <x:v>ТОВАРИСТВО З ОБМЕЖЕНОЮ ВІДПОВІДАЛЬНІСТЮ "НВП СЕРВІСБУДМОНТАЖ"</x:v>
      </x:c>
      <x:c r="D1526" s="14" t="str">
        <x:v>Промислові котельні</x:v>
      </x:c>
      <x:c r="E1526" s="14" t="str">
        <x:v>Expansion discovery</x:v>
      </x:c>
      <x:c r="F1526" s="17" t="str">
        <x:v>D3</x:v>
      </x:c>
      <x:c r="G1526" s="14" t="str"/>
      <x:c r="H1526" s="14" t="str">
        <x:v>Discovery розширення — 2 тижні</x:v>
      </x:c>
      <x:c r="I1526" s="16" t="n">
        <x:v>1</x:v>
      </x:c>
      <x:c r="J1526" s="16" t="n">
        <x:v>5</x:v>
      </x:c>
      <x:c r="K1526" s="16" t="n">
        <x:v>5</x:v>
      </x:c>
      <x:c r="L1526" s="16" t="n">
        <x:v>5</x:v>
      </x:c>
      <x:c r="M1526" s="16" t="n">
        <x:v>5</x:v>
      </x:c>
      <x:c r="N1526" s="16" t="n">
        <x:v>5</x:v>
      </x:c>
      <x:c r="O1526" s="16" t="n">
        <x:v>3</x:v>
      </x:c>
      <x:c r="P1526" s="16" t="n">
        <x:f>IF(COUNT(I1526:O1526)&lt;7,"",I1526*8+J1526*3+K1526*2+L1526*2+M1526*2+N1526*2+O1526)</x:f>
        <x:v>66</x:v>
      </x:c>
      <x:c r="Q1526" s="16" t="n">
        <x:f>IF(COUNT(J1526:O1526)&lt;6,"",J1526*5+K1526*4+M1526*4+L1526*3+N1526*2+O1526*2)</x:f>
        <x:v>96</x:v>
      </x:c>
      <x:c r="R1526" s="14" t="str">
        <x:v>high</x:v>
      </x:c>
      <x:c r="S1526" s="14" t="str">
        <x:v>official_prozorro_award_2024_2026</x:v>
      </x:c>
      <x:c r="T1526" s="14" t="str">
        <x:v>official_prozorro_api</x:v>
      </x:c>
      <x:c r="U1526" s="14" t="str">
        <x:v>Не контактували</x:v>
      </x:c>
      <x:c r="V1526" s="15" t="str">
        <x:v>Workflow-audit outreach по UA-2024-03-01-011163-a; попросити 1 пакет здачі та вимоги проєкту</x:v>
      </x:c>
      <x:c r="W1526" s="15" t="str">
        <x:v>Власник / директор; керівник ПТО; відповідальний за договори</x:v>
      </x:c>
      <x:c r="X1526" s="15" t="str">
        <x:v>1 нових підтверджених перемог/договорів у Prozorro на 15 273 820 грн; 0 зі строком виконання не раніше 24.08.2026.</x:v>
      </x:c>
      <x:c r="Y1526" s="15" t="str">
        <x:v>Реконструкція котельні "Товарний парк" (інв.№49490) цПП НГВУ "Долинанафтогаз" вул. Промислова 20 м. Долина Івано-Франківська область (код 45450000-6 за ДК 021:2015, Інші завершальні будівельні роботи); опублікований строк до 2024-12-31. Попросити один знеособлений пакет здачі за цим workflow.</x:v>
      </x:c>
      <x:c r="Z1526" s="15" t="str">
        <x:v>https://prozorro.gov.ua/tender/UA-2024-03-01-011163-a</x:v>
      </x:c>
      <x:c r="AA1526" s="14" t="str">
        <x:v>41488251</x:v>
      </x:c>
      <x:c r="AB1526" s="14" t="str">
        <x:v>2026-08-24</x:v>
      </x:c>
      <x:c r="AC1526" s="14" t="str"/>
      <x:c r="AD1526" s="20" t="str"/>
      <x:c r="AE1526" s="14" t="str"/>
      <x:c r="AF1526" s="14" t="n">
        <x:v>42</x:v>
      </x:c>
      <x:c r="AG1526" s="14" t="str">
        <x:v>I3</x:v>
      </x:c>
      <x:c r="AH1526" s="14" t="n">
        <x:v>1</x:v>
      </x:c>
      <x:c r="AI1526" s="14" t="n">
        <x:v>0</x:v>
      </x:c>
      <x:c r="AJ1526" s="18" t="n">
        <x:v>15273820.25</x:v>
      </x:c>
      <x:c r="AK1526" s="14" t="str">
        <x:v>https://prozorro.gov.ua/tender/UA-2024-03-01-011163-a</x:v>
      </x:c>
      <x:c r="AL1526" s="19" t="n">
        <x:v>45371.563262592594</x:v>
      </x:c>
      <x:c r="AM1526" s="19" t="n">
        <x:v>45657</x:v>
      </x:c>
      <x:c r="AN1526" s="15" t="str">
        <x:v>Промислові котельні</x:v>
      </x:c>
      <x:c r="AO1526" s="15" t="str">
        <x:v>not_found_in_top_search</x:v>
      </x:c>
    </x:row>
    <x:row r="1527">
      <x:c r="A1527" s="14" t="str">
        <x:v>W5-155</x:v>
      </x:c>
      <x:c r="B1527" s="14" t="str">
        <x:v>Prozorro vertical expansion — 24.08</x:v>
      </x:c>
      <x:c r="C1527" s="14" t="str">
        <x:v>ТОВ "Афінацентр"</x:v>
      </x:c>
      <x:c r="D1527" s="14" t="str">
        <x:v>Чисті приміщення</x:v>
      </x:c>
      <x:c r="E1527" s="14" t="str">
        <x:v>Expansion discovery</x:v>
      </x:c>
      <x:c r="F1527" s="17" t="str">
        <x:v>D3</x:v>
      </x:c>
      <x:c r="G1527" s="14" t="str"/>
      <x:c r="H1527" s="14" t="str">
        <x:v>Discovery розширення — 2 тижні</x:v>
      </x:c>
      <x:c r="I1527" s="16" t="n">
        <x:v>1</x:v>
      </x:c>
      <x:c r="J1527" s="16" t="n">
        <x:v>5</x:v>
      </x:c>
      <x:c r="K1527" s="16" t="n">
        <x:v>5</x:v>
      </x:c>
      <x:c r="L1527" s="16" t="n">
        <x:v>5</x:v>
      </x:c>
      <x:c r="M1527" s="16" t="n">
        <x:v>5</x:v>
      </x:c>
      <x:c r="N1527" s="16" t="n">
        <x:v>5</x:v>
      </x:c>
      <x:c r="O1527" s="16" t="n">
        <x:v>3</x:v>
      </x:c>
      <x:c r="P1527" s="16" t="n">
        <x:f>IF(COUNT(I1527:O1527)&lt;7,"",I1527*8+J1527*3+K1527*2+L1527*2+M1527*2+N1527*2+O1527)</x:f>
        <x:v>66</x:v>
      </x:c>
      <x:c r="Q1527" s="16" t="n">
        <x:f>IF(COUNT(J1527:O1527)&lt;6,"",J1527*5+K1527*4+M1527*4+L1527*3+N1527*2+O1527*2)</x:f>
        <x:v>96</x:v>
      </x:c>
      <x:c r="R1527" s="14" t="str">
        <x:v>high</x:v>
      </x:c>
      <x:c r="S1527" s="14" t="str">
        <x:v>official_prozorro_award_2024_2026</x:v>
      </x:c>
      <x:c r="T1527" s="14" t="str">
        <x:v>official_prozorro_api</x:v>
      </x:c>
      <x:c r="U1527" s="14" t="str">
        <x:v>Не контактували</x:v>
      </x:c>
      <x:c r="V1527" s="15" t="str">
        <x:v>Workflow-audit outreach по UA-2024-08-02-006689-a; попросити 1 пакет здачі та вимоги проєкту</x:v>
      </x:c>
      <x:c r="W1527" s="15" t="str">
        <x:v>Власник / директор; керівник ПТО; відповідальний за договори</x:v>
      </x:c>
      <x:c r="X1527" s="15" t="str">
        <x:v>1 нових підтверджених перемог/договорів у Prozorro на 12 551 875 грн; 0 зі строком виконання не раніше 24.08.2026.</x:v>
      </x:c>
      <x:c r="Y1527" s="15" t="str">
        <x:v>Будівельно-монтажні роботи по об'єкту  "Реконструкція операційного блоку КНП "Кіровоградська міська лікарня швидкої медичної допомоги", м. Кропивницький, вул. Короленка, 56. (Коригування)"; опублікований строк до 2024-11-30. Попросити один знеособлений пакет здачі за цим workflow.</x:v>
      </x:c>
      <x:c r="Z1527" s="15" t="str">
        <x:v>https://prozorro.gov.ua/tender/UA-2024-08-02-006689-a</x:v>
      </x:c>
      <x:c r="AA1527" s="14" t="str">
        <x:v>39107995</x:v>
      </x:c>
      <x:c r="AB1527" s="14" t="str">
        <x:v>2026-08-24</x:v>
      </x:c>
      <x:c r="AC1527" s="14" t="str"/>
      <x:c r="AD1527" s="20" t="str"/>
      <x:c r="AE1527" s="14" t="str"/>
      <x:c r="AF1527" s="14" t="n">
        <x:v>42</x:v>
      </x:c>
      <x:c r="AG1527" s="14" t="str">
        <x:v>I3</x:v>
      </x:c>
      <x:c r="AH1527" s="14" t="n">
        <x:v>1</x:v>
      </x:c>
      <x:c r="AI1527" s="14" t="n">
        <x:v>0</x:v>
      </x:c>
      <x:c r="AJ1527" s="18" t="n">
        <x:v>12551875.2</x:v>
      </x:c>
      <x:c r="AK1527" s="14" t="str">
        <x:v>https://prozorro.gov.ua/tender/UA-2024-08-02-006689-a</x:v>
      </x:c>
      <x:c r="AL1527" s="19" t="n">
        <x:v>45530.56837409722</x:v>
      </x:c>
      <x:c r="AM1527" s="19" t="n">
        <x:v>45626</x:v>
      </x:c>
      <x:c r="AN1527" s="15" t="str">
        <x:v>Чисті приміщення</x:v>
      </x:c>
      <x:c r="AO1527" s="15" t="str">
        <x:v>not_found_in_top_search</x:v>
      </x:c>
    </x:row>
    <x:row r="1528">
      <x:c r="A1528" s="14" t="str">
        <x:v>W5-156</x:v>
      </x:c>
      <x:c r="B1528" s="14" t="str">
        <x:v>Prozorro vertical expansion — 24.08</x:v>
      </x:c>
      <x:c r="C1528" s="14" t="str">
        <x:v>Товариство з обмеженою відповідальністю «Будівельна компанія «Екобуд Девелоп»</x:v>
      </x:c>
      <x:c r="D1528" s="14" t="str">
        <x:v>Стиснене повітря / компресорні</x:v>
      </x:c>
      <x:c r="E1528" s="14" t="str">
        <x:v>Expansion discovery</x:v>
      </x:c>
      <x:c r="F1528" s="17" t="str">
        <x:v>D3</x:v>
      </x:c>
      <x:c r="G1528" s="14" t="str"/>
      <x:c r="H1528" s="14" t="str">
        <x:v>Discovery розширення — 2 тижні</x:v>
      </x:c>
      <x:c r="I1528" s="16" t="n">
        <x:v>1</x:v>
      </x:c>
      <x:c r="J1528" s="16" t="n">
        <x:v>5</x:v>
      </x:c>
      <x:c r="K1528" s="16" t="n">
        <x:v>5</x:v>
      </x:c>
      <x:c r="L1528" s="16" t="n">
        <x:v>5</x:v>
      </x:c>
      <x:c r="M1528" s="16" t="n">
        <x:v>5</x:v>
      </x:c>
      <x:c r="N1528" s="16" t="n">
        <x:v>5</x:v>
      </x:c>
      <x:c r="O1528" s="16" t="n">
        <x:v>3</x:v>
      </x:c>
      <x:c r="P1528" s="16" t="n">
        <x:f>IF(COUNT(I1528:O1528)&lt;7,"",I1528*8+J1528*3+K1528*2+L1528*2+M1528*2+N1528*2+O1528)</x:f>
        <x:v>66</x:v>
      </x:c>
      <x:c r="Q1528" s="16" t="n">
        <x:f>IF(COUNT(J1528:O1528)&lt;6,"",J1528*5+K1528*4+M1528*4+L1528*3+N1528*2+O1528*2)</x:f>
        <x:v>96</x:v>
      </x:c>
      <x:c r="R1528" s="14" t="str">
        <x:v>high</x:v>
      </x:c>
      <x:c r="S1528" s="14" t="str">
        <x:v>official_prozorro_award_2024_2026</x:v>
      </x:c>
      <x:c r="T1528" s="14" t="str">
        <x:v>official_prozorro_api</x:v>
      </x:c>
      <x:c r="U1528" s="14" t="str">
        <x:v>Не контактували</x:v>
      </x:c>
      <x:c r="V1528" s="15" t="str">
        <x:v>Workflow-audit outreach по UA-2024-08-20-010148-a; попросити 1 пакет здачі та вимоги проєкту</x:v>
      </x:c>
      <x:c r="W1528" s="15" t="str">
        <x:v>Власник / директор; керівник ПТО; відповідальний за договори</x:v>
      </x:c>
      <x:c r="X1528" s="15" t="str">
        <x:v>1 нових підтверджених перемог/договорів у Prozorro на 10 998 000 грн; 0 зі строком виконання не раніше 24.08.2026.</x:v>
      </x:c>
      <x:c r="Y1528" s="15" t="str">
        <x:v>Виконання робіт з реконструкції очисних каналізаційних споруд, а саме технічне переоснащення нагнітача повітря № 1 в насосно-компресорній станції очисних каналізаційних споруд КП «НІКОПОЛЬВОДОКАНАЛ» за адресою: м. Нікополь, вул. ХХХХ; опублікований строк до 2025-12-31. Попросити один знеособлений пакет здачі за цим workflow.</x:v>
      </x:c>
      <x:c r="Z1528" s="15" t="str">
        <x:v>https://prozorro.gov.ua/tender/UA-2024-08-20-010148-a</x:v>
      </x:c>
      <x:c r="AA1528" s="14" t="str">
        <x:v>45077094</x:v>
      </x:c>
      <x:c r="AB1528" s="14" t="str">
        <x:v>2026-08-24</x:v>
      </x:c>
      <x:c r="AC1528" s="14" t="str"/>
      <x:c r="AD1528" s="20" t="str"/>
      <x:c r="AE1528" s="14" t="str"/>
      <x:c r="AF1528" s="14" t="n">
        <x:v>42</x:v>
      </x:c>
      <x:c r="AG1528" s="14" t="str">
        <x:v>I3</x:v>
      </x:c>
      <x:c r="AH1528" s="14" t="n">
        <x:v>1</x:v>
      </x:c>
      <x:c r="AI1528" s="14" t="n">
        <x:v>0</x:v>
      </x:c>
      <x:c r="AJ1528" s="18" t="n">
        <x:v>10998000</x:v>
      </x:c>
      <x:c r="AK1528" s="14" t="str">
        <x:v>https://prozorro.gov.ua/tender/UA-2024-08-20-010148-a</x:v>
      </x:c>
      <x:c r="AL1528" s="19" t="n">
        <x:v>45524.545847719906</x:v>
      </x:c>
      <x:c r="AM1528" s="19" t="n">
        <x:v>46022</x:v>
      </x:c>
      <x:c r="AN1528" s="15" t="str">
        <x:v>Стиснене повітря / компресорні</x:v>
      </x:c>
      <x:c r="AO1528" s="15" t="str">
        <x:v>not_found_in_top_search</x:v>
      </x:c>
    </x:row>
    <x:row r="1529">
      <x:c r="A1529" s="14" t="str">
        <x:v>W5-157</x:v>
      </x:c>
      <x:c r="B1529" s="14" t="str">
        <x:v>Prozorro vertical expansion — 24.08</x:v>
      </x:c>
      <x:c r="C1529" s="14" t="str">
        <x:v>ТОВ КІРАБУД</x:v>
      </x:c>
      <x:c r="D1529" s="14" t="str">
        <x:v>Зовнішні мережі</x:v>
      </x:c>
      <x:c r="E1529" s="14" t="str">
        <x:v>Expansion discovery</x:v>
      </x:c>
      <x:c r="F1529" s="17" t="str">
        <x:v>D3</x:v>
      </x:c>
      <x:c r="G1529" s="14" t="str"/>
      <x:c r="H1529" s="14" t="str">
        <x:v>Discovery розширення — 2 тижні</x:v>
      </x:c>
      <x:c r="I1529" s="16" t="n">
        <x:v>1</x:v>
      </x:c>
      <x:c r="J1529" s="16" t="n">
        <x:v>5</x:v>
      </x:c>
      <x:c r="K1529" s="16" t="n">
        <x:v>5</x:v>
      </x:c>
      <x:c r="L1529" s="16" t="n">
        <x:v>4</x:v>
      </x:c>
      <x:c r="M1529" s="16" t="n">
        <x:v>5</x:v>
      </x:c>
      <x:c r="N1529" s="16" t="n">
        <x:v>5</x:v>
      </x:c>
      <x:c r="O1529" s="16" t="n">
        <x:v>3</x:v>
      </x:c>
      <x:c r="P1529" s="16" t="n">
        <x:f>IF(COUNT(I1529:O1529)&lt;7,"",I1529*8+J1529*3+K1529*2+L1529*2+M1529*2+N1529*2+O1529)</x:f>
        <x:v>64</x:v>
      </x:c>
      <x:c r="Q1529" s="16" t="n">
        <x:f>IF(COUNT(J1529:O1529)&lt;6,"",J1529*5+K1529*4+M1529*4+L1529*3+N1529*2+O1529*2)</x:f>
        <x:v>93</x:v>
      </x:c>
      <x:c r="R1529" s="14" t="str">
        <x:v>high</x:v>
      </x:c>
      <x:c r="S1529" s="14" t="str">
        <x:v>official_prozorro_award_2024_2026</x:v>
      </x:c>
      <x:c r="T1529" s="14" t="str">
        <x:v>official_prozorro_api</x:v>
      </x:c>
      <x:c r="U1529" s="14" t="str">
        <x:v>Не контактували</x:v>
      </x:c>
      <x:c r="V1529" s="15" t="str">
        <x:v>Workflow-audit outreach по UA-2025-10-22-015679-a; попросити 1 пакет здачі та вимоги проєкту</x:v>
      </x:c>
      <x:c r="W1529" s="15" t="str">
        <x:v>Власник / директор; керівник ПТО; відповідальний за договори</x:v>
      </x:c>
      <x:c r="X1529" s="15" t="str">
        <x:v>1 нових підтверджених перемог/договорів у Prozorro на 6 293 628 грн; 1 зі строком виконання не раніше 24.08.2026.</x:v>
      </x:c>
      <x:c r="Y1529" s="15" t="str">
        <x:v> Будівництво каналізаційного колектора із реконструкцією КНС по вул. Набережна в м. Теребовля . Коригування . ; опублікований строк до 2026-12-15. Попросити один знеособлений пакет здачі за цим workflow.</x:v>
      </x:c>
      <x:c r="Z1529" s="15" t="str">
        <x:v>https://prozorro.gov.ua/tender/UA-2025-10-22-015679-a</x:v>
      </x:c>
      <x:c r="AA1529" s="14" t="str">
        <x:v>40908698</x:v>
      </x:c>
      <x:c r="AB1529" s="14" t="str">
        <x:v>2026-08-24</x:v>
      </x:c>
      <x:c r="AC1529" s="14" t="str"/>
      <x:c r="AD1529" s="20" t="str"/>
      <x:c r="AE1529" s="14" t="str"/>
      <x:c r="AF1529" s="14" t="n">
        <x:v>42</x:v>
      </x:c>
      <x:c r="AG1529" s="14" t="str">
        <x:v>I3</x:v>
      </x:c>
      <x:c r="AH1529" s="14" t="n">
        <x:v>1</x:v>
      </x:c>
      <x:c r="AI1529" s="14" t="n">
        <x:v>1</x:v>
      </x:c>
      <x:c r="AJ1529" s="18" t="n">
        <x:v>6293628.49</x:v>
      </x:c>
      <x:c r="AK1529" s="14" t="str">
        <x:v>https://prozorro.gov.ua/tender/UA-2025-10-22-015679-a</x:v>
      </x:c>
      <x:c r="AL1529" s="19" t="n">
        <x:v>45996.3774528125</x:v>
      </x:c>
      <x:c r="AM1529" s="19" t="n">
        <x:v>46371</x:v>
      </x:c>
      <x:c r="AN1529" s="15" t="str">
        <x:v>Зовнішні мережі</x:v>
      </x:c>
      <x:c r="AO1529" s="15" t="str">
        <x:v>not_found_in_top_search</x:v>
      </x:c>
    </x:row>
    <x:row r="1530">
      <x:c r="A1530" s="14" t="str">
        <x:v>W5-158</x:v>
      </x:c>
      <x:c r="B1530" s="14" t="str">
        <x:v>Prozorro vertical expansion — 24.08</x:v>
      </x:c>
      <x:c r="C1530" s="14" t="str">
        <x:v>ТОВ "КОНКРІТМІТАЛ"</x:v>
      </x:c>
      <x:c r="D1530" s="14" t="str">
        <x:v>Залізнична інфраструктура</x:v>
      </x:c>
      <x:c r="E1530" s="14" t="str">
        <x:v>Expansion discovery</x:v>
      </x:c>
      <x:c r="F1530" s="17" t="str">
        <x:v>D3</x:v>
      </x:c>
      <x:c r="G1530" s="14" t="str"/>
      <x:c r="H1530" s="14" t="str">
        <x:v>Discovery розширення — 2 тижні</x:v>
      </x:c>
      <x:c r="I1530" s="16" t="n">
        <x:v>1</x:v>
      </x:c>
      <x:c r="J1530" s="16" t="n">
        <x:v>5</x:v>
      </x:c>
      <x:c r="K1530" s="16" t="n">
        <x:v>5</x:v>
      </x:c>
      <x:c r="L1530" s="16" t="n">
        <x:v>4</x:v>
      </x:c>
      <x:c r="M1530" s="16" t="n">
        <x:v>5</x:v>
      </x:c>
      <x:c r="N1530" s="16" t="n">
        <x:v>5</x:v>
      </x:c>
      <x:c r="O1530" s="16" t="n">
        <x:v>3</x:v>
      </x:c>
      <x:c r="P1530" s="16" t="n">
        <x:f>IF(COUNT(I1530:O1530)&lt;7,"",I1530*8+J1530*3+K1530*2+L1530*2+M1530*2+N1530*2+O1530)</x:f>
        <x:v>64</x:v>
      </x:c>
      <x:c r="Q1530" s="16" t="n">
        <x:f>IF(COUNT(J1530:O1530)&lt;6,"",J1530*5+K1530*4+M1530*4+L1530*3+N1530*2+O1530*2)</x:f>
        <x:v>93</x:v>
      </x:c>
      <x:c r="R1530" s="14" t="str">
        <x:v>high</x:v>
      </x:c>
      <x:c r="S1530" s="14" t="str">
        <x:v>official_prozorro_award_2024_2026</x:v>
      </x:c>
      <x:c r="T1530" s="14" t="str">
        <x:v>official_prozorro_api</x:v>
      </x:c>
      <x:c r="U1530" s="14" t="str">
        <x:v>Не контактували</x:v>
      </x:c>
      <x:c r="V1530" s="15" t="str">
        <x:v>Workflow-audit outreach по UA-2025-11-05-015702-a; попросити 1 пакет здачі та вимоги проєкту</x:v>
      </x:c>
      <x:c r="W1530" s="15" t="str">
        <x:v>Власник / директор; керівник ПТО; відповідальний за договори</x:v>
      </x:c>
      <x:c r="X1530" s="15" t="str">
        <x:v>1 нових підтверджених перемог/договорів у Prozorro на 4 599 600 грн; 1 зі строком виконання не раніше 24.08.2026.</x:v>
      </x:c>
      <x:c r="Y1530" s="15" t="str">
        <x:v>Послуги з поточного ремонту залізничної колії № 24 (інв. № 057162) та автодороги від головної прохідної до причала в корені Військового молу (інв № 068545) Одеської філії ДП «АМПУ»; опублікований строк до 2026-12-31. Попросити один знеособлений пакет здачі за цим workflow.</x:v>
      </x:c>
      <x:c r="Z1530" s="15" t="str">
        <x:v>https://prozorro.gov.ua/tender/UA-2025-11-05-015702-a</x:v>
      </x:c>
      <x:c r="AA1530" s="14" t="str">
        <x:v>45704385</x:v>
      </x:c>
      <x:c r="AB1530" s="14" t="str">
        <x:v>2026-08-24</x:v>
      </x:c>
      <x:c r="AC1530" s="14" t="str"/>
      <x:c r="AD1530" s="20" t="str"/>
      <x:c r="AE1530" s="14" t="str"/>
      <x:c r="AF1530" s="14" t="n">
        <x:v>42</x:v>
      </x:c>
      <x:c r="AG1530" s="14" t="str">
        <x:v>I3</x:v>
      </x:c>
      <x:c r="AH1530" s="14" t="n">
        <x:v>1</x:v>
      </x:c>
      <x:c r="AI1530" s="14" t="n">
        <x:v>1</x:v>
      </x:c>
      <x:c r="AJ1530" s="18" t="n">
        <x:v>4599600</x:v>
      </x:c>
      <x:c r="AK1530" s="14" t="str">
        <x:v>https://prozorro.gov.ua/tender/UA-2025-11-05-015702-a</x:v>
      </x:c>
      <x:c r="AL1530" s="19" t="n">
        <x:v>45994.59561148148</x:v>
      </x:c>
      <x:c r="AM1530" s="19" t="n">
        <x:v>46387</x:v>
      </x:c>
      <x:c r="AN1530" s="15" t="str">
        <x:v>Залізнична інфраструктура</x:v>
      </x:c>
      <x:c r="AO1530" s="15" t="str">
        <x:v>not_found_in_top_search</x:v>
      </x:c>
    </x:row>
    <x:row r="1531">
      <x:c r="A1531" s="14" t="str">
        <x:v>W5-159</x:v>
      </x:c>
      <x:c r="B1531" s="14" t="str">
        <x:v>Prozorro vertical expansion — 24.08</x:v>
      </x:c>
      <x:c r="C1531" s="14" t="str">
        <x:v>ТОВ "ТЕПЛОКЛІМАТ"</x:v>
      </x:c>
      <x:c r="D1531" s="14" t="str">
        <x:v>Промисловий холод</x:v>
      </x:c>
      <x:c r="E1531" s="14" t="str">
        <x:v>Expansion discovery</x:v>
      </x:c>
      <x:c r="F1531" s="17" t="str">
        <x:v>D3</x:v>
      </x:c>
      <x:c r="G1531" s="14" t="str"/>
      <x:c r="H1531" s="14" t="str">
        <x:v>Discovery розширення — 2 тижні</x:v>
      </x:c>
      <x:c r="I1531" s="16" t="n">
        <x:v>1</x:v>
      </x:c>
      <x:c r="J1531" s="16" t="n">
        <x:v>5</x:v>
      </x:c>
      <x:c r="K1531" s="16" t="n">
        <x:v>5</x:v>
      </x:c>
      <x:c r="L1531" s="16" t="n">
        <x:v>4</x:v>
      </x:c>
      <x:c r="M1531" s="16" t="n">
        <x:v>5</x:v>
      </x:c>
      <x:c r="N1531" s="16" t="n">
        <x:v>5</x:v>
      </x:c>
      <x:c r="O1531" s="16" t="n">
        <x:v>3</x:v>
      </x:c>
      <x:c r="P1531" s="16" t="n">
        <x:f>IF(COUNT(I1531:O1531)&lt;7,"",I1531*8+J1531*3+K1531*2+L1531*2+M1531*2+N1531*2+O1531)</x:f>
        <x:v>64</x:v>
      </x:c>
      <x:c r="Q1531" s="16" t="n">
        <x:f>IF(COUNT(J1531:O1531)&lt;6,"",J1531*5+K1531*4+M1531*4+L1531*3+N1531*2+O1531*2)</x:f>
        <x:v>93</x:v>
      </x:c>
      <x:c r="R1531" s="14" t="str">
        <x:v>high</x:v>
      </x:c>
      <x:c r="S1531" s="14" t="str">
        <x:v>official_prozorro_award_2024_2026</x:v>
      </x:c>
      <x:c r="T1531" s="14" t="str">
        <x:v>official_prozorro_api</x:v>
      </x:c>
      <x:c r="U1531" s="14" t="str">
        <x:v>Не контактували</x:v>
      </x:c>
      <x:c r="V1531" s="15" t="str">
        <x:v>Workflow-audit outreach по UA-2025-10-09-006953-a; попросити 1 пакет здачі та вимоги проєкту</x:v>
      </x:c>
      <x:c r="W1531" s="15" t="str">
        <x:v>Власник / директор; керівник ПТО; відповідальний за договори</x:v>
      </x:c>
      <x:c r="X1531" s="15" t="str">
        <x:v>1 нових підтверджених перемог/договорів у Prozorro на 3 977 756 грн; 0 зі строком виконання не раніше 24.08.2026.</x:v>
      </x:c>
      <x:c r="Y1531" s="15" t="str">
        <x:v>Кондиціонери з монтажем код за ДК 021:2015: 42510000-4 Теплообмінники, кондиціонери повітря, холодильне обладнання та фільтрувальні пристрої.; опублікований строк до 2025-12-01. Попросити один знеособлений пакет здачі за цим workflow.</x:v>
      </x:c>
      <x:c r="Z1531" s="15" t="str">
        <x:v>https://prozorro.gov.ua/tender/UA-2025-10-09-006953-a</x:v>
      </x:c>
      <x:c r="AA1531" s="14" t="str">
        <x:v>45213668</x:v>
      </x:c>
      <x:c r="AB1531" s="14" t="str">
        <x:v>2026-08-24</x:v>
      </x:c>
      <x:c r="AC1531" s="14" t="str"/>
      <x:c r="AD1531" s="20" t="str"/>
      <x:c r="AE1531" s="14" t="str"/>
      <x:c r="AF1531" s="14" t="n">
        <x:v>42</x:v>
      </x:c>
      <x:c r="AG1531" s="14" t="str">
        <x:v>I3</x:v>
      </x:c>
      <x:c r="AH1531" s="14" t="n">
        <x:v>1</x:v>
      </x:c>
      <x:c r="AI1531" s="14" t="n">
        <x:v>0</x:v>
      </x:c>
      <x:c r="AJ1531" s="18" t="n">
        <x:v>3977756</x:v>
      </x:c>
      <x:c r="AK1531" s="14" t="str">
        <x:v>https://prozorro.gov.ua/tender/UA-2025-10-09-006953-a</x:v>
      </x:c>
      <x:c r="AL1531" s="19" t="n">
        <x:v>45952.510401770836</x:v>
      </x:c>
      <x:c r="AM1531" s="19" t="n">
        <x:v>45992</x:v>
      </x:c>
      <x:c r="AN1531" s="15" t="str">
        <x:v>Промисловий холод</x:v>
      </x:c>
      <x:c r="AO1531" s="15" t="str">
        <x:v>not_found_in_top_search</x:v>
      </x:c>
    </x:row>
    <x:row r="1532">
      <x:c r="A1532" s="14" t="str">
        <x:v>W5-160</x:v>
      </x:c>
      <x:c r="B1532" s="14" t="str">
        <x:v>Prozorro vertical expansion — 24.08</x:v>
      </x:c>
      <x:c r="C1532" s="14" t="str">
        <x:v>ТОВАРИСТВО З ОБМЕЖЕНОЮ ВІДПОВІДАЛЬНІСТЮ "АТМОСЕРВІС"</x:v>
      </x:c>
      <x:c r="D1532" s="14" t="str">
        <x:v>Зовнішні мережі</x:v>
      </x:c>
      <x:c r="E1532" s="14" t="str">
        <x:v>Expansion discovery</x:v>
      </x:c>
      <x:c r="F1532" s="17" t="str">
        <x:v>D3</x:v>
      </x:c>
      <x:c r="G1532" s="14" t="str"/>
      <x:c r="H1532" s="14" t="str">
        <x:v>Discovery розширення — 2 тижні</x:v>
      </x:c>
      <x:c r="I1532" s="16" t="n">
        <x:v>1</x:v>
      </x:c>
      <x:c r="J1532" s="16" t="n">
        <x:v>5</x:v>
      </x:c>
      <x:c r="K1532" s="16" t="n">
        <x:v>5</x:v>
      </x:c>
      <x:c r="L1532" s="16" t="n">
        <x:v>4</x:v>
      </x:c>
      <x:c r="M1532" s="16" t="n">
        <x:v>5</x:v>
      </x:c>
      <x:c r="N1532" s="16" t="n">
        <x:v>5</x:v>
      </x:c>
      <x:c r="O1532" s="16" t="n">
        <x:v>3</x:v>
      </x:c>
      <x:c r="P1532" s="16" t="n">
        <x:f>IF(COUNT(I1532:O1532)&lt;7,"",I1532*8+J1532*3+K1532*2+L1532*2+M1532*2+N1532*2+O1532)</x:f>
        <x:v>64</x:v>
      </x:c>
      <x:c r="Q1532" s="16" t="n">
        <x:f>IF(COUNT(J1532:O1532)&lt;6,"",J1532*5+K1532*4+M1532*4+L1532*3+N1532*2+O1532*2)</x:f>
        <x:v>93</x:v>
      </x:c>
      <x:c r="R1532" s="14" t="str">
        <x:v>high</x:v>
      </x:c>
      <x:c r="S1532" s="14" t="str">
        <x:v>official_prozorro_award_2024_2026</x:v>
      </x:c>
      <x:c r="T1532" s="14" t="str">
        <x:v>official_prozorro_api</x:v>
      </x:c>
      <x:c r="U1532" s="14" t="str">
        <x:v>Не контактували</x:v>
      </x:c>
      <x:c r="V1532" s="15" t="str">
        <x:v>Workflow-audit outreach по UA-2025-10-01-005130-a; попросити 1 пакет здачі та вимоги проєкту</x:v>
      </x:c>
      <x:c r="W1532" s="15" t="str">
        <x:v>Власник / директор; керівник ПТО; відповідальний за договори</x:v>
      </x:c>
      <x:c r="X1532" s="15" t="str">
        <x:v>1 нових підтверджених перемог/договорів у Prozorro на 3 650 000 грн; 0 зі строком виконання не раніше 24.08.2026.</x:v>
      </x:c>
      <x:c r="Y1532" s="15" t="str">
        <x:v>«Будівництво зовнішніх мереж водопостачання по вулицях вул. Морозівська від ПК11+21, вул.  Залізнодорожна, вул. Шкільна та вул. Першотравнева в місті Іллінці Вінницької області» (Коригування); опублікований строк до 2025-12-31. Попросити один знеособлений пакет здачі за цим workflow.</x:v>
      </x:c>
      <x:c r="Z1532" s="15" t="str">
        <x:v>https://prozorro.gov.ua/tender/UA-2025-10-01-005130-a</x:v>
      </x:c>
      <x:c r="AA1532" s="14" t="str">
        <x:v>41906445</x:v>
      </x:c>
      <x:c r="AB1532" s="14" t="str">
        <x:v>2026-08-24</x:v>
      </x:c>
      <x:c r="AC1532" s="14" t="str"/>
      <x:c r="AD1532" s="20" t="str"/>
      <x:c r="AE1532" s="14" t="str"/>
      <x:c r="AF1532" s="14" t="n">
        <x:v>42</x:v>
      </x:c>
      <x:c r="AG1532" s="14" t="str">
        <x:v>I3</x:v>
      </x:c>
      <x:c r="AH1532" s="14" t="n">
        <x:v>1</x:v>
      </x:c>
      <x:c r="AI1532" s="14" t="n">
        <x:v>0</x:v>
      </x:c>
      <x:c r="AJ1532" s="18" t="n">
        <x:v>3650000</x:v>
      </x:c>
      <x:c r="AK1532" s="14" t="str">
        <x:v>https://prozorro.gov.ua/tender/UA-2025-10-01-005130-a</x:v>
      </x:c>
      <x:c r="AL1532" s="19" t="n">
        <x:v>45952.34200783565</x:v>
      </x:c>
      <x:c r="AM1532" s="19" t="n">
        <x:v>46022</x:v>
      </x:c>
      <x:c r="AN1532" s="15" t="str">
        <x:v>Зовнішні мережі</x:v>
      </x:c>
      <x:c r="AO1532" s="15" t="str">
        <x:v>not_found_in_top_search</x:v>
      </x:c>
    </x:row>
    <x:row r="1533">
      <x:c r="A1533" s="14" t="str">
        <x:v>W5-161</x:v>
      </x:c>
      <x:c r="B1533" s="14" t="str">
        <x:v>Prozorro vertical expansion — 24.08</x:v>
      </x:c>
      <x:c r="C1533" s="14" t="str">
        <x:v>ТОВ МОРБУДПРОЕКТ</x:v>
      </x:c>
      <x:c r="D1533" s="14" t="str">
        <x:v>Залізнична інфраструктура</x:v>
      </x:c>
      <x:c r="E1533" s="14" t="str">
        <x:v>Expansion discovery</x:v>
      </x:c>
      <x:c r="F1533" s="17" t="str">
        <x:v>D3</x:v>
      </x:c>
      <x:c r="G1533" s="14" t="str">
        <x:v>morbudproekt.com.ua</x:v>
      </x:c>
      <x:c r="H1533" s="14" t="str">
        <x:v>Discovery розширення — 2 тижні</x:v>
      </x:c>
      <x:c r="I1533" s="16" t="n">
        <x:v>1</x:v>
      </x:c>
      <x:c r="J1533" s="16" t="n">
        <x:v>5</x:v>
      </x:c>
      <x:c r="K1533" s="16" t="n">
        <x:v>5</x:v>
      </x:c>
      <x:c r="L1533" s="16" t="n">
        <x:v>4</x:v>
      </x:c>
      <x:c r="M1533" s="16" t="n">
        <x:v>5</x:v>
      </x:c>
      <x:c r="N1533" s="16" t="n">
        <x:v>5</x:v>
      </x:c>
      <x:c r="O1533" s="16" t="n">
        <x:v>5</x:v>
      </x:c>
      <x:c r="P1533" s="16" t="n">
        <x:f>IF(COUNT(I1533:O1533)&lt;7,"",I1533*8+J1533*3+K1533*2+L1533*2+M1533*2+N1533*2+O1533)</x:f>
        <x:v>66</x:v>
      </x:c>
      <x:c r="Q1533" s="16" t="n">
        <x:f>IF(COUNT(J1533:O1533)&lt;6,"",J1533*5+K1533*4+M1533*4+L1533*3+N1533*2+O1533*2)</x:f>
        <x:v>97</x:v>
      </x:c>
      <x:c r="R1533" s="14" t="str">
        <x:v>high</x:v>
      </x:c>
      <x:c r="S1533" s="14" t="str">
        <x:v>official_prozorro_award_2024_2026</x:v>
      </x:c>
      <x:c r="T1533" s="14" t="str">
        <x:v>official_prozorro_api</x:v>
      </x:c>
      <x:c r="U1533" s="14" t="str">
        <x:v>Не контактували</x:v>
      </x:c>
      <x:c r="V1533" s="15" t="str">
        <x:v>Workflow-audit outreach по UA-2025-09-24-013954-a; попросити 1 пакет здачі та вимоги проєкту</x:v>
      </x:c>
      <x:c r="W1533" s="15" t="str">
        <x:v>Власник / директор; керівник ПТО; відповідальний за договори</x:v>
      </x:c>
      <x:c r="X1533" s="15" t="str">
        <x:v>1 нових підтверджених перемог/договорів у Prozorro на 2 162 855 грн; 1 зі строком виконання не раніше 24.08.2026.</x:v>
      </x:c>
      <x:c r="Y1533" s="15" t="str">
        <x:v>Проектно-вишукувальні роботи «Капітальний ремонт причалу № 14 (інв. № 063550), залізничної колії № 44 (інв. № 057174), залізничної колії № 45 (інв. № 057175) Одеської філії ДП "АМПУ" за адресою м. Одеса, Митна площа, 1/2»; опублікований строк до 2026-12-31. Попросити один знеособлений пакет здачі за цим workflow.</x:v>
      </x:c>
      <x:c r="Z1533" s="15" t="str">
        <x:v>https://prozorro.gov.ua/tender/UA-2025-09-24-013954-a</x:v>
      </x:c>
      <x:c r="AA1533" s="14" t="str">
        <x:v>38295459</x:v>
      </x:c>
      <x:c r="AB1533" s="14" t="str">
        <x:v>2026-08-24</x:v>
      </x:c>
      <x:c r="AC1533" s="14" t="str"/>
      <x:c r="AD1533" s="20" t="str"/>
      <x:c r="AE1533" s="14" t="str"/>
      <x:c r="AF1533" s="14" t="n">
        <x:v>42</x:v>
      </x:c>
      <x:c r="AG1533" s="14" t="str">
        <x:v>I3</x:v>
      </x:c>
      <x:c r="AH1533" s="14" t="n">
        <x:v>1</x:v>
      </x:c>
      <x:c r="AI1533" s="14" t="n">
        <x:v>1</x:v>
      </x:c>
      <x:c r="AJ1533" s="18" t="n">
        <x:v>2162854.58</x:v>
      </x:c>
      <x:c r="AK1533" s="14" t="str">
        <x:v>https://prozorro.gov.ua/tender/UA-2025-09-24-013954-a</x:v>
      </x:c>
      <x:c r="AL1533" s="19" t="n">
        <x:v>45957.29637895833</x:v>
      </x:c>
      <x:c r="AM1533" s="19" t="n">
        <x:v>46387</x:v>
      </x:c>
      <x:c r="AN1533" s="15" t="str">
        <x:v>Залізнична інфраструктура</x:v>
      </x:c>
      <x:c r="AO1533" s="15" t="str">
        <x:v>supplier_provided_url</x:v>
      </x:c>
    </x:row>
    <x:row r="1534">
      <x:c r="A1534" s="14" t="str">
        <x:v>W5-162</x:v>
      </x:c>
      <x:c r="B1534" s="14" t="str">
        <x:v>Prozorro vertical expansion — 24.08</x:v>
      </x:c>
      <x:c r="C1534" s="14" t="str">
        <x:v>Товариство з обмеженою відповідальністю "Атлант Інжинірінг"</x:v>
      </x:c>
      <x:c r="D1534" s="14" t="str">
        <x:v>Насосні станції</x:v>
      </x:c>
      <x:c r="E1534" s="14" t="str">
        <x:v>Expansion discovery</x:v>
      </x:c>
      <x:c r="F1534" s="17" t="str">
        <x:v>D3</x:v>
      </x:c>
      <x:c r="G1534" s="14" t="str"/>
      <x:c r="H1534" s="14" t="str">
        <x:v>Discovery розширення — 2 тижні</x:v>
      </x:c>
      <x:c r="I1534" s="16" t="n">
        <x:v>1</x:v>
      </x:c>
      <x:c r="J1534" s="16" t="n">
        <x:v>5</x:v>
      </x:c>
      <x:c r="K1534" s="16" t="n">
        <x:v>5</x:v>
      </x:c>
      <x:c r="L1534" s="16" t="n">
        <x:v>4</x:v>
      </x:c>
      <x:c r="M1534" s="16" t="n">
        <x:v>5</x:v>
      </x:c>
      <x:c r="N1534" s="16" t="n">
        <x:v>5</x:v>
      </x:c>
      <x:c r="O1534" s="16" t="n">
        <x:v>3</x:v>
      </x:c>
      <x:c r="P1534" s="16" t="n">
        <x:f>IF(COUNT(I1534:O1534)&lt;7,"",I1534*8+J1534*3+K1534*2+L1534*2+M1534*2+N1534*2+O1534)</x:f>
        <x:v>64</x:v>
      </x:c>
      <x:c r="Q1534" s="16" t="n">
        <x:f>IF(COUNT(J1534:O1534)&lt;6,"",J1534*5+K1534*4+M1534*4+L1534*3+N1534*2+O1534*2)</x:f>
        <x:v>93</x:v>
      </x:c>
      <x:c r="R1534" s="14" t="str">
        <x:v>high</x:v>
      </x:c>
      <x:c r="S1534" s="14" t="str">
        <x:v>official_prozorro_award_2024_2026</x:v>
      </x:c>
      <x:c r="T1534" s="14" t="str">
        <x:v>official_prozorro_api</x:v>
      </x:c>
      <x:c r="U1534" s="14" t="str">
        <x:v>Не контактували</x:v>
      </x:c>
      <x:c r="V1534" s="15" t="str">
        <x:v>Workflow-audit outreach по UA-2025-12-04-022466-a; попросити 1 пакет здачі та вимоги проєкту</x:v>
      </x:c>
      <x:c r="W1534" s="15" t="str">
        <x:v>Власник / директор; керівник ПТО; відповідальний за договори</x:v>
      </x:c>
      <x:c r="X1534" s="15" t="str">
        <x:v>1 нових підтверджених перемог/договорів у Prozorro на 2 104 449 грн; 0 зі строком виконання не раніше 24.08.2026.</x:v>
      </x:c>
      <x:c r="Y1534" s="15" t="str">
        <x:v>Реконструкція каналізаційної насосної станції с.Бездрик, Сумського району Сумської області; опублікований строк до 2025-12-20. Попросити один знеособлений пакет здачі за цим workflow.</x:v>
      </x:c>
      <x:c r="Z1534" s="15" t="str">
        <x:v>https://prozorro.gov.ua/tender/UA-2025-12-04-022466-a</x:v>
      </x:c>
      <x:c r="AA1534" s="14" t="str">
        <x:v>45005145</x:v>
      </x:c>
      <x:c r="AB1534" s="14" t="str">
        <x:v>2026-08-24</x:v>
      </x:c>
      <x:c r="AC1534" s="14" t="str"/>
      <x:c r="AD1534" s="20" t="str"/>
      <x:c r="AE1534" s="14" t="str"/>
      <x:c r="AF1534" s="14" t="n">
        <x:v>42</x:v>
      </x:c>
      <x:c r="AG1534" s="14" t="str">
        <x:v>I3</x:v>
      </x:c>
      <x:c r="AH1534" s="14" t="n">
        <x:v>1</x:v>
      </x:c>
      <x:c r="AI1534" s="14" t="n">
        <x:v>0</x:v>
      </x:c>
      <x:c r="AJ1534" s="18" t="n">
        <x:v>2104449</x:v>
      </x:c>
      <x:c r="AK1534" s="14" t="str">
        <x:v>https://prozorro.gov.ua/tender/UA-2025-12-04-022466-a</x:v>
      </x:c>
      <x:c r="AL1534" s="19" t="n">
        <x:v>45995.87029528935</x:v>
      </x:c>
      <x:c r="AM1534" s="19" t="n">
        <x:v>46011.87024305556</x:v>
      </x:c>
      <x:c r="AN1534" s="15" t="str">
        <x:v>Насосні станції</x:v>
      </x:c>
      <x:c r="AO1534" s="15" t="str">
        <x:v>not_found_in_top_search</x:v>
      </x:c>
    </x:row>
    <x:row r="1535">
      <x:c r="A1535" s="14" t="str">
        <x:v>W5-163</x:v>
      </x:c>
      <x:c r="B1535" s="14" t="str">
        <x:v>Prozorro vertical expansion — 24.08</x:v>
      </x:c>
      <x:c r="C1535" s="14" t="str">
        <x:v>ПРИВАТНЕ АКЦІОНЕРНЕ ТОВАРИСТВО "СУМСЬКИЙ ПРОМПРОЕКТ"</x:v>
      </x:c>
      <x:c r="D1535" s="14" t="str">
        <x:v>Насосні станції</x:v>
      </x:c>
      <x:c r="E1535" s="14" t="str">
        <x:v>Expansion discovery</x:v>
      </x:c>
      <x:c r="F1535" s="17" t="str">
        <x:v>D3</x:v>
      </x:c>
      <x:c r="G1535" s="14" t="str"/>
      <x:c r="H1535" s="14" t="str">
        <x:v>Discovery розширення — 2 тижні</x:v>
      </x:c>
      <x:c r="I1535" s="16" t="n">
        <x:v>1</x:v>
      </x:c>
      <x:c r="J1535" s="16" t="n">
        <x:v>5</x:v>
      </x:c>
      <x:c r="K1535" s="16" t="n">
        <x:v>5</x:v>
      </x:c>
      <x:c r="L1535" s="16" t="n">
        <x:v>2</x:v>
      </x:c>
      <x:c r="M1535" s="16" t="n">
        <x:v>5</x:v>
      </x:c>
      <x:c r="N1535" s="16" t="n">
        <x:v>5</x:v>
      </x:c>
      <x:c r="O1535" s="16" t="n">
        <x:v>3</x:v>
      </x:c>
      <x:c r="P1535" s="16" t="n">
        <x:f>IF(COUNT(I1535:O1535)&lt;7,"",I1535*8+J1535*3+K1535*2+L1535*2+M1535*2+N1535*2+O1535)</x:f>
        <x:v>60</x:v>
      </x:c>
      <x:c r="Q1535" s="16" t="n">
        <x:f>IF(COUNT(J1535:O1535)&lt;6,"",J1535*5+K1535*4+M1535*4+L1535*3+N1535*2+O1535*2)</x:f>
        <x:v>87</x:v>
      </x:c>
      <x:c r="R1535" s="14" t="str">
        <x:v>high</x:v>
      </x:c>
      <x:c r="S1535" s="14" t="str">
        <x:v>official_prozorro_award_2024_2026</x:v>
      </x:c>
      <x:c r="T1535" s="14" t="str">
        <x:v>official_prozorro_api</x:v>
      </x:c>
      <x:c r="U1535" s="14" t="str">
        <x:v>Не контактували</x:v>
      </x:c>
      <x:c r="V1535" s="15" t="str">
        <x:v>Workflow-audit outreach по UA-2026-02-23-013987-a; попросити 1 пакет здачі та вимоги проєкту</x:v>
      </x:c>
      <x:c r="W1535" s="15" t="str">
        <x:v>Власник / директор; керівник ПТО; відповідальний за договори</x:v>
      </x:c>
      <x:c r="X1535" s="15" t="str">
        <x:v>1 нових підтверджених перемог/договорів у Prozorro на 480 000 грн; 0 зі строком виконання не раніше 24.08.2026.</x:v>
      </x:c>
      <x:c r="Y1535" s="15" t="str">
        <x:v>Створення проектної документації по об'єкту:"Реконструкція системи водовідведення з центральної частини м.Тростянець. Каналізаційна насосна станція з занурювальними насосами по вул.Б.Хмельницького. Корегування"; опублікований строк до 2026-05-04. Попросити один знеособлений пакет здачі за цим workflow.</x:v>
      </x:c>
      <x:c r="Z1535" s="15" t="str">
        <x:v>https://prozorro.gov.ua/tender/UA-2026-02-23-013987-a</x:v>
      </x:c>
      <x:c r="AA1535" s="14" t="str">
        <x:v>00219649</x:v>
      </x:c>
      <x:c r="AB1535" s="14" t="str">
        <x:v>2026-08-24</x:v>
      </x:c>
      <x:c r="AC1535" s="14" t="str"/>
      <x:c r="AD1535" s="20" t="str"/>
      <x:c r="AE1535" s="14" t="str"/>
      <x:c r="AF1535" s="14" t="n">
        <x:v>42</x:v>
      </x:c>
      <x:c r="AG1535" s="14" t="str">
        <x:v>I3</x:v>
      </x:c>
      <x:c r="AH1535" s="14" t="n">
        <x:v>1</x:v>
      </x:c>
      <x:c r="AI1535" s="14" t="n">
        <x:v>0</x:v>
      </x:c>
      <x:c r="AJ1535" s="18" t="n">
        <x:v>480000</x:v>
      </x:c>
      <x:c r="AK1535" s="14" t="str">
        <x:v>https://prozorro.gov.ua/tender/UA-2026-02-23-013987-a</x:v>
      </x:c>
      <x:c r="AL1535" s="19" t="n">
        <x:v>46076.6151671875</x:v>
      </x:c>
      <x:c r="AM1535" s="19" t="n">
        <x:v>46146</x:v>
      </x:c>
      <x:c r="AN1535" s="15" t="str">
        <x:v>Насосні станції</x:v>
      </x:c>
      <x:c r="AO1535" s="15" t="str">
        <x:v>not_found_in_top_search</x:v>
      </x:c>
    </x:row>
    <x:row r="1536">
      <x:c r="A1536" s="14" t="str">
        <x:v>W5-164</x:v>
      </x:c>
      <x:c r="B1536" s="14" t="str">
        <x:v>Prozorro vertical expansion — 24.08</x:v>
      </x:c>
      <x:c r="C1536" s="14" t="str">
        <x:v>ТОВАРИСТВО З ОБМЕЖЕНОЮ ВІДПОВІДАЛЬНІСТЮ "ІНЖІНІРІНГ ТОРГ ГРУП"</x:v>
      </x:c>
      <x:c r="D1536" s="14" t="str">
        <x:v>Насосні станції</x:v>
      </x:c>
      <x:c r="E1536" s="14" t="str">
        <x:v>Expansion discovery</x:v>
      </x:c>
      <x:c r="F1536" s="17" t="str">
        <x:v>D3</x:v>
      </x:c>
      <x:c r="G1536" s="14" t="str"/>
      <x:c r="H1536" s="14" t="str">
        <x:v>Discovery розширення — 2 тижні</x:v>
      </x:c>
      <x:c r="I1536" s="16" t="n">
        <x:v>1</x:v>
      </x:c>
      <x:c r="J1536" s="16" t="n">
        <x:v>5</x:v>
      </x:c>
      <x:c r="K1536" s="16" t="n">
        <x:v>5</x:v>
      </x:c>
      <x:c r="L1536" s="16" t="n">
        <x:v>2</x:v>
      </x:c>
      <x:c r="M1536" s="16" t="n">
        <x:v>5</x:v>
      </x:c>
      <x:c r="N1536" s="16" t="n">
        <x:v>5</x:v>
      </x:c>
      <x:c r="O1536" s="16" t="n">
        <x:v>3</x:v>
      </x:c>
      <x:c r="P1536" s="16" t="n">
        <x:f>IF(COUNT(I1536:O1536)&lt;7,"",I1536*8+J1536*3+K1536*2+L1536*2+M1536*2+N1536*2+O1536)</x:f>
        <x:v>60</x:v>
      </x:c>
      <x:c r="Q1536" s="16" t="n">
        <x:f>IF(COUNT(J1536:O1536)&lt;6,"",J1536*5+K1536*4+M1536*4+L1536*3+N1536*2+O1536*2)</x:f>
        <x:v>87</x:v>
      </x:c>
      <x:c r="R1536" s="14" t="str">
        <x:v>high</x:v>
      </x:c>
      <x:c r="S1536" s="14" t="str">
        <x:v>official_prozorro_award_2024_2026</x:v>
      </x:c>
      <x:c r="T1536" s="14" t="str">
        <x:v>official_prozorro_api</x:v>
      </x:c>
      <x:c r="U1536" s="14" t="str">
        <x:v>Не контактували</x:v>
      </x:c>
      <x:c r="V1536" s="15" t="str">
        <x:v>Workflow-audit outreach по UA-2026-04-20-006546-a; попросити 1 пакет здачі та вимоги проєкту</x:v>
      </x:c>
      <x:c r="W1536" s="15" t="str">
        <x:v>Власник / директор; керівник ПТО; відповідальний за договори</x:v>
      </x:c>
      <x:c r="X1536" s="15" t="str">
        <x:v>1 нових підтверджених перемог/договорів у Prozorro на 440 680 грн; 1 зі строком виконання не раніше 24.08.2026.</x:v>
      </x:c>
      <x:c r="Y1536" s="15" t="str">
        <x:v>Реконструкція насосної станції (інв. №34) КП «Синельниківський міський водоканал» ДОР за адресою: м. Синельникове, вул. Робоча, у частині повної заміни вузла обліку стічних (каналізаційних) вод (код ДК 021:2015 - 45454000-4 Реконструкція); опублікований строк до 2026-12-30. Попросити один знеособлений пакет здачі за цим workflow.</x:v>
      </x:c>
      <x:c r="Z1536" s="15" t="str">
        <x:v>https://prozorro.gov.ua/tender/UA-2026-04-20-006546-a</x:v>
      </x:c>
      <x:c r="AA1536" s="14" t="str">
        <x:v>43480041</x:v>
      </x:c>
      <x:c r="AB1536" s="14" t="str">
        <x:v>2026-08-24</x:v>
      </x:c>
      <x:c r="AC1536" s="14" t="str"/>
      <x:c r="AD1536" s="20" t="str"/>
      <x:c r="AE1536" s="14" t="str"/>
      <x:c r="AF1536" s="14" t="n">
        <x:v>42</x:v>
      </x:c>
      <x:c r="AG1536" s="14" t="str">
        <x:v>I3</x:v>
      </x:c>
      <x:c r="AH1536" s="14" t="n">
        <x:v>1</x:v>
      </x:c>
      <x:c r="AI1536" s="14" t="n">
        <x:v>1</x:v>
      </x:c>
      <x:c r="AJ1536" s="18" t="n">
        <x:v>440679.62</x:v>
      </x:c>
      <x:c r="AK1536" s="14" t="str">
        <x:v>https://prozorro.gov.ua/tender/UA-2026-04-20-006546-a</x:v>
      </x:c>
      <x:c r="AL1536" s="19" t="n">
        <x:v>46132.44624921296</x:v>
      </x:c>
      <x:c r="AM1536" s="19" t="n">
        <x:v>46386</x:v>
      </x:c>
      <x:c r="AN1536" s="15" t="str">
        <x:v>Насосні станції</x:v>
      </x:c>
      <x:c r="AO1536" s="15" t="str">
        <x:v>not_found_in_top_search</x:v>
      </x:c>
    </x:row>
    <x:row r="1537">
      <x:c r="A1537" s="14" t="str">
        <x:v>W5-165</x:v>
      </x:c>
      <x:c r="B1537" s="14" t="str">
        <x:v>Prozorro vertical expansion — 24.08</x:v>
      </x:c>
      <x:c r="C1537" s="14" t="str">
        <x:v>Краснощока Дмитро Володимирович</x:v>
      </x:c>
      <x:c r="D1537" s="14" t="str">
        <x:v>Резервне живлення</x:v>
      </x:c>
      <x:c r="E1537" s="14" t="str">
        <x:v>Pilot now</x:v>
      </x:c>
      <x:c r="F1537" s="17" t="str">
        <x:v>P3</x:v>
      </x:c>
      <x:c r="G1537" s="14" t="str"/>
      <x:c r="H1537" s="14" t="str">
        <x:v>Пілот зараз — Н.15 subset</x:v>
      </x:c>
      <x:c r="I1537" s="16" t="n">
        <x:v>4</x:v>
      </x:c>
      <x:c r="J1537" s="16" t="n">
        <x:v>5</x:v>
      </x:c>
      <x:c r="K1537" s="16" t="n">
        <x:v>5</x:v>
      </x:c>
      <x:c r="L1537" s="16" t="n">
        <x:v>2</x:v>
      </x:c>
      <x:c r="M1537" s="16" t="n">
        <x:v>5</x:v>
      </x:c>
      <x:c r="N1537" s="16" t="n">
        <x:v>3</x:v>
      </x:c>
      <x:c r="O1537" s="16" t="n">
        <x:v>3</x:v>
      </x:c>
      <x:c r="P1537" s="16" t="n">
        <x:f>IF(COUNT(I1537:O1537)&lt;7,"",I1537*8+J1537*3+K1537*2+L1537*2+M1537*2+N1537*2+O1537)</x:f>
        <x:v>80</x:v>
      </x:c>
      <x:c r="Q1537" s="16" t="n">
        <x:f>IF(COUNT(J1537:O1537)&lt;6,"",J1537*5+K1537*4+M1537*4+L1537*3+N1537*2+O1537*2)</x:f>
        <x:v>83</x:v>
      </x:c>
      <x:c r="R1537" s="14" t="str">
        <x:v>high</x:v>
      </x:c>
      <x:c r="S1537" s="14" t="str">
        <x:v>official_prozorro_award_2024_2026</x:v>
      </x:c>
      <x:c r="T1537" s="14" t="str">
        <x:v>official_prozorro_api</x:v>
      </x:c>
      <x:c r="U1537" s="14" t="str">
        <x:v>Не контактували</x:v>
      </x:c>
      <x:c r="V1537" s="15" t="str">
        <x:v>Персоналізований free-pilot outreach по UA-2026-01-07-002597-a; попросити 1 пакет Н.15</x:v>
      </x:c>
      <x:c r="W1537" s="15" t="str">
        <x:v>Власник / виконавець; відповідальний за договір</x:v>
      </x:c>
      <x:c r="X1537" s="15" t="str">
        <x:v>1 нових підтверджених перемог/договорів у Prozorro на 263 700 грн; 1 зі строком виконання не раніше 24.08.2026.</x:v>
      </x:c>
      <x:c r="Y1537" s="15" t="str">
        <x:v>Роботи з облаштування захисних споруд (габіонів) навколо дизель-генератора   згідно коду ДК 021:2015: 45340000-2 - Зведення огорож, монтаж поручнів і захисних засобів; опублікований строк до 2026-12-31. Попросити один знеособлений пакет здачі за цим workflow.</x:v>
      </x:c>
      <x:c r="Z1537" s="15" t="str">
        <x:v>https://prozorro.gov.ua/tender/UA-2026-01-07-002597-a</x:v>
      </x:c>
      <x:c r="AA1537" s="14" t="str">
        <x:v>3039314979</x:v>
      </x:c>
      <x:c r="AB1537" s="14" t="str">
        <x:v>2026-08-24</x:v>
      </x:c>
      <x:c r="AC1537" s="14" t="str"/>
      <x:c r="AD1537" s="20" t="str"/>
      <x:c r="AE1537" s="14" t="str"/>
      <x:c r="AF1537" s="14" t="n">
        <x:v>42</x:v>
      </x:c>
      <x:c r="AG1537" s="14" t="str">
        <x:v>I3</x:v>
      </x:c>
      <x:c r="AH1537" s="14" t="n">
        <x:v>1</x:v>
      </x:c>
      <x:c r="AI1537" s="14" t="n">
        <x:v>1</x:v>
      </x:c>
      <x:c r="AJ1537" s="18" t="n">
        <x:v>263700</x:v>
      </x:c>
      <x:c r="AK1537" s="14" t="str">
        <x:v>https://prozorro.gov.ua/tender/UA-2026-01-07-002597-a</x:v>
      </x:c>
      <x:c r="AL1537" s="19" t="n">
        <x:v>46029.442341215276</x:v>
      </x:c>
      <x:c r="AM1537" s="19" t="n">
        <x:v>46387</x:v>
      </x:c>
      <x:c r="AN1537" s="15" t="str">
        <x:v>Резервне живлення</x:v>
      </x:c>
      <x:c r="AO1537" s="15" t="str">
        <x:v>not_found_in_top_search</x:v>
      </x:c>
    </x:row>
    <x:row r="1538">
      <x:c r="A1538" s="14" t="str">
        <x:v>W5-166</x:v>
      </x:c>
      <x:c r="B1538" s="14" t="str">
        <x:v>Prozorro vertical expansion — 24.08</x:v>
      </x:c>
      <x:c r="C1538" s="14" t="str">
        <x:v>ТОВ "КПП " Теплокомунмережа"</x:v>
      </x:c>
      <x:c r="D1538" s="14" t="str">
        <x:v>Теплові пункти</x:v>
      </x:c>
      <x:c r="E1538" s="14" t="str">
        <x:v>Expansion discovery</x:v>
      </x:c>
      <x:c r="F1538" s="17" t="str">
        <x:v>D3</x:v>
      </x:c>
      <x:c r="G1538" s="14" t="str"/>
      <x:c r="H1538" s="14" t="str">
        <x:v>Discovery розширення — 2 тижні</x:v>
      </x:c>
      <x:c r="I1538" s="16" t="n">
        <x:v>1</x:v>
      </x:c>
      <x:c r="J1538" s="16" t="n">
        <x:v>5</x:v>
      </x:c>
      <x:c r="K1538" s="16" t="n">
        <x:v>5</x:v>
      </x:c>
      <x:c r="L1538" s="16" t="n">
        <x:v>2</x:v>
      </x:c>
      <x:c r="M1538" s="16" t="n">
        <x:v>5</x:v>
      </x:c>
      <x:c r="N1538" s="16" t="n">
        <x:v>5</x:v>
      </x:c>
      <x:c r="O1538" s="16" t="n">
        <x:v>3</x:v>
      </x:c>
      <x:c r="P1538" s="16" t="n">
        <x:f>IF(COUNT(I1538:O1538)&lt;7,"",I1538*8+J1538*3+K1538*2+L1538*2+M1538*2+N1538*2+O1538)</x:f>
        <x:v>60</x:v>
      </x:c>
      <x:c r="Q1538" s="16" t="n">
        <x:f>IF(COUNT(J1538:O1538)&lt;6,"",J1538*5+K1538*4+M1538*4+L1538*3+N1538*2+O1538*2)</x:f>
        <x:v>87</x:v>
      </x:c>
      <x:c r="R1538" s="14" t="str">
        <x:v>high</x:v>
      </x:c>
      <x:c r="S1538" s="14" t="str">
        <x:v>official_prozorro_award_2024_2026</x:v>
      </x:c>
      <x:c r="T1538" s="14" t="str">
        <x:v>official_prozorro_api</x:v>
      </x:c>
      <x:c r="U1538" s="14" t="str">
        <x:v>Не контактували</x:v>
      </x:c>
      <x:c r="V1538" s="15" t="str">
        <x:v>Workflow-audit outreach по UA-2026-04-15-013396-a; попросити 1 пакет здачі та вимоги проєкту</x:v>
      </x:c>
      <x:c r="W1538" s="15" t="str">
        <x:v>Власник / директор; керівник ПТО; відповідальний за договори</x:v>
      </x:c>
      <x:c r="X1538" s="15" t="str">
        <x:v>1 нових підтверджених перемог/договорів у Prozorro на 230 951 грн; 1 зі строком виконання не раніше 24.08.2026.</x:v>
      </x:c>
      <x:c r="Y1538" s="15" t="str">
        <x:v>Реконструкція індивідуального теплового пункту (ІТП) для опалення підвальних приміщеннь за адресою: м.Ірпінь вул. Заріфи Алієвої 61/1 ліцей ІЛІТ. ДК 021:2015   45454000-4 Реконструкція.; опублікований строк до 2026-12-31. Попросити один знеособлений пакет здачі за цим workflow.</x:v>
      </x:c>
      <x:c r="Z1538" s="15" t="str">
        <x:v>https://prozorro.gov.ua/tender/UA-2026-04-15-013396-a</x:v>
      </x:c>
      <x:c r="AA1538" s="14" t="str">
        <x:v>31766986</x:v>
      </x:c>
      <x:c r="AB1538" s="14" t="str">
        <x:v>2026-08-24</x:v>
      </x:c>
      <x:c r="AC1538" s="14" t="str"/>
      <x:c r="AD1538" s="20" t="str"/>
      <x:c r="AE1538" s="14" t="str"/>
      <x:c r="AF1538" s="14" t="n">
        <x:v>42</x:v>
      </x:c>
      <x:c r="AG1538" s="14" t="str">
        <x:v>I3</x:v>
      </x:c>
      <x:c r="AH1538" s="14" t="n">
        <x:v>1</x:v>
      </x:c>
      <x:c r="AI1538" s="14" t="n">
        <x:v>1</x:v>
      </x:c>
      <x:c r="AJ1538" s="18" t="n">
        <x:v>230950.81</x:v>
      </x:c>
      <x:c r="AK1538" s="14" t="str">
        <x:v>https://prozorro.gov.ua/tender/UA-2026-04-15-013396-a</x:v>
      </x:c>
      <x:c r="AL1538" s="19" t="n">
        <x:v>46127.701601388886</x:v>
      </x:c>
      <x:c r="AM1538" s="19" t="n">
        <x:v>46387</x:v>
      </x:c>
      <x:c r="AN1538" s="15" t="str">
        <x:v>Теплові пункти</x:v>
      </x:c>
      <x:c r="AO1538" s="15" t="str">
        <x:v>not_found_in_top_search</x:v>
      </x:c>
    </x:row>
    <x:row r="1539">
      <x:c r="A1539" s="14" t="str">
        <x:v>W5-167</x:v>
      </x:c>
      <x:c r="B1539" s="14" t="str">
        <x:v>Prozorro vertical expansion — 24.08</x:v>
      </x:c>
      <x:c r="C1539" s="14" t="str">
        <x:v>ГЛЯНЕНКО СЕРГІЙ МИКОЛАЙОВИЧ</x:v>
      </x:c>
      <x:c r="D1539" s="14" t="str">
        <x:v>Резервне живлення</x:v>
      </x:c>
      <x:c r="E1539" s="14" t="str">
        <x:v>Pilot now</x:v>
      </x:c>
      <x:c r="F1539" s="17" t="str">
        <x:v>P3</x:v>
      </x:c>
      <x:c r="G1539" s="14" t="str"/>
      <x:c r="H1539" s="14" t="str">
        <x:v>Пілот зараз — Н.15 subset</x:v>
      </x:c>
      <x:c r="I1539" s="16" t="n">
        <x:v>4</x:v>
      </x:c>
      <x:c r="J1539" s="16" t="n">
        <x:v>5</x:v>
      </x:c>
      <x:c r="K1539" s="16" t="n">
        <x:v>5</x:v>
      </x:c>
      <x:c r="L1539" s="16" t="n">
        <x:v>2</x:v>
      </x:c>
      <x:c r="M1539" s="16" t="n">
        <x:v>5</x:v>
      </x:c>
      <x:c r="N1539" s="16" t="n">
        <x:v>3</x:v>
      </x:c>
      <x:c r="O1539" s="16" t="n">
        <x:v>3</x:v>
      </x:c>
      <x:c r="P1539" s="16" t="n">
        <x:f>IF(COUNT(I1539:O1539)&lt;7,"",I1539*8+J1539*3+K1539*2+L1539*2+M1539*2+N1539*2+O1539)</x:f>
        <x:v>80</x:v>
      </x:c>
      <x:c r="Q1539" s="16" t="n">
        <x:f>IF(COUNT(J1539:O1539)&lt;6,"",J1539*5+K1539*4+M1539*4+L1539*3+N1539*2+O1539*2)</x:f>
        <x:v>83</x:v>
      </x:c>
      <x:c r="R1539" s="14" t="str">
        <x:v>high</x:v>
      </x:c>
      <x:c r="S1539" s="14" t="str">
        <x:v>official_prozorro_award_2024_2026</x:v>
      </x:c>
      <x:c r="T1539" s="14" t="str">
        <x:v>official_prozorro_api</x:v>
      </x:c>
      <x:c r="U1539" s="14" t="str">
        <x:v>Не контактували</x:v>
      </x:c>
      <x:c r="V1539" s="15" t="str">
        <x:v>Персоналізований free-pilot outreach по UA-2026-03-10-006605-a; попросити 1 пакет Н.15</x:v>
      </x:c>
      <x:c r="W1539" s="15" t="str">
        <x:v>Власник / виконавець; відповідальний за договір</x:v>
      </x:c>
      <x:c r="X1539" s="15" t="str">
        <x:v>1 нових підтверджених перемог/договорів у Prozorro на 192 340 грн; 0 зі строком виконання не раніше 24.08.2026.</x:v>
      </x:c>
      <x:c r="Y1539" s="15" t="str">
        <x:v>Послуги з поточного ремонту по монтажу і підключенню резервного живлення (дизель-генератора) (51110000-6 Послуги зі встановлення електричного обладнання); опублікований строк до 2026-03-16. Попросити один знеособлений пакет здачі за цим workflow.</x:v>
      </x:c>
      <x:c r="Z1539" s="15" t="str">
        <x:v>https://prozorro.gov.ua/tender/UA-2026-03-10-006605-a</x:v>
      </x:c>
      <x:c r="AA1539" s="14" t="str">
        <x:v>2903818919</x:v>
      </x:c>
      <x:c r="AB1539" s="14" t="str">
        <x:v>2026-08-24</x:v>
      </x:c>
      <x:c r="AC1539" s="14" t="str"/>
      <x:c r="AD1539" s="20" t="str"/>
      <x:c r="AE1539" s="14" t="str"/>
      <x:c r="AF1539" s="14" t="n">
        <x:v>42</x:v>
      </x:c>
      <x:c r="AG1539" s="14" t="str">
        <x:v>I3</x:v>
      </x:c>
      <x:c r="AH1539" s="14" t="n">
        <x:v>1</x:v>
      </x:c>
      <x:c r="AI1539" s="14" t="n">
        <x:v>0</x:v>
      </x:c>
      <x:c r="AJ1539" s="18" t="n">
        <x:v>192340</x:v>
      </x:c>
      <x:c r="AK1539" s="14" t="str">
        <x:v>https://prozorro.gov.ua/tender/UA-2026-03-10-006605-a</x:v>
      </x:c>
      <x:c r="AL1539" s="19" t="n">
        <x:v>46091.442397060186</x:v>
      </x:c>
      <x:c r="AM1539" s="19" t="n">
        <x:v>46097</x:v>
      </x:c>
      <x:c r="AN1539" s="15" t="str">
        <x:v>Резервне живлення</x:v>
      </x:c>
      <x:c r="AO1539" s="15" t="str">
        <x:v>not_found_in_top_search</x:v>
      </x:c>
    </x:row>
    <x:row r="1540">
      <x:c r="A1540" s="14" t="str">
        <x:v>W5-168</x:v>
      </x:c>
      <x:c r="B1540" s="14" t="str">
        <x:v>Prozorro vertical expansion — 24.08</x:v>
      </x:c>
      <x:c r="C1540" s="14" t="str">
        <x:v>ТОВ "ІР СОМ"</x:v>
      </x:c>
      <x:c r="D1540" s="14" t="str">
        <x:v>Ремонт і підсилення бетону</x:v>
      </x:c>
      <x:c r="E1540" s="14" t="str">
        <x:v>Expansion discovery</x:v>
      </x:c>
      <x:c r="F1540" s="17" t="str">
        <x:v>D3</x:v>
      </x:c>
      <x:c r="G1540" s="14" t="str">
        <x:v>ipcom.ua</x:v>
      </x:c>
      <x:c r="H1540" s="14" t="str">
        <x:v>Discovery розширення — 2 тижні</x:v>
      </x:c>
      <x:c r="I1540" s="16" t="n">
        <x:v>1</x:v>
      </x:c>
      <x:c r="J1540" s="16" t="n">
        <x:v>5</x:v>
      </x:c>
      <x:c r="K1540" s="16" t="n">
        <x:v>5</x:v>
      </x:c>
      <x:c r="L1540" s="16" t="n">
        <x:v>2</x:v>
      </x:c>
      <x:c r="M1540" s="16" t="n">
        <x:v>5</x:v>
      </x:c>
      <x:c r="N1540" s="16" t="n">
        <x:v>5</x:v>
      </x:c>
      <x:c r="O1540" s="16" t="n">
        <x:v>5</x:v>
      </x:c>
      <x:c r="P1540" s="16" t="n">
        <x:f>IF(COUNT(I1540:O1540)&lt;7,"",I1540*8+J1540*3+K1540*2+L1540*2+M1540*2+N1540*2+O1540)</x:f>
        <x:v>62</x:v>
      </x:c>
      <x:c r="Q1540" s="16" t="n">
        <x:f>IF(COUNT(J1540:O1540)&lt;6,"",J1540*5+K1540*4+M1540*4+L1540*3+N1540*2+O1540*2)</x:f>
        <x:v>91</x:v>
      </x:c>
      <x:c r="R1540" s="14" t="str">
        <x:v>high</x:v>
      </x:c>
      <x:c r="S1540" s="14" t="str">
        <x:v>official_prozorro_award_2024_2026</x:v>
      </x:c>
      <x:c r="T1540" s="14" t="str">
        <x:v>official_prozorro_api</x:v>
      </x:c>
      <x:c r="U1540" s="14" t="str">
        <x:v>Не контактували</x:v>
      </x:c>
      <x:c r="V1540" s="15" t="str">
        <x:v>Workflow-audit outreach по UA-2026-04-22-005630-a; попросити 1 пакет здачі та вимоги проєкту</x:v>
      </x:c>
      <x:c r="W1540" s="15" t="str">
        <x:v>Власник / директор; керівник ПТО; відповідальний за договори</x:v>
      </x:c>
      <x:c r="X1540" s="15" t="str">
        <x:v>1 нових підтверджених перемог/договорів у Prozorro на 169 637 грн; 0 зі строком виконання не раніше 24.08.2026.</x:v>
      </x:c>
      <x:c r="Y1540" s="15" t="str">
        <x:v>Поточний ремонт малої архітектурної форми "Наземна стаціонарна декоративна залізобетонна конструкція з назвою населеного пункту "Лозова"(в напрямку смт. Близнюки); опублікований строк до 2026-05-31. Попросити один знеособлений пакет здачі за цим workflow.</x:v>
      </x:c>
      <x:c r="Z1540" s="15" t="str">
        <x:v>https://prozorro.gov.ua/tender/UA-2026-04-22-005630-a</x:v>
      </x:c>
      <x:c r="AA1540" s="14" t="str">
        <x:v>32338465</x:v>
      </x:c>
      <x:c r="AB1540" s="14" t="str">
        <x:v>2026-08-24</x:v>
      </x:c>
      <x:c r="AC1540" s="14" t="str"/>
      <x:c r="AD1540" s="20" t="str"/>
      <x:c r="AE1540" s="14" t="str"/>
      <x:c r="AF1540" s="14" t="n">
        <x:v>42</x:v>
      </x:c>
      <x:c r="AG1540" s="14" t="str">
        <x:v>I3</x:v>
      </x:c>
      <x:c r="AH1540" s="14" t="n">
        <x:v>1</x:v>
      </x:c>
      <x:c r="AI1540" s="14" t="n">
        <x:v>0</x:v>
      </x:c>
      <x:c r="AJ1540" s="18" t="n">
        <x:v>169637.21</x:v>
      </x:c>
      <x:c r="AK1540" s="14" t="str">
        <x:v>https://prozorro.gov.ua/tender/UA-2026-04-22-005630-a</x:v>
      </x:c>
      <x:c r="AL1540" s="19" t="n">
        <x:v>46134.36135506944</x:v>
      </x:c>
      <x:c r="AM1540" s="19" t="n">
        <x:v>46173</x:v>
      </x:c>
      <x:c r="AN1540" s="15" t="str">
        <x:v>Ремонт і підсилення бетону</x:v>
      </x:c>
      <x:c r="AO1540" s="15" t="str">
        <x:v>supplier_provided_url</x:v>
      </x:c>
    </x:row>
    <x:row r="1541">
      <x:c r="A1541" s="14" t="str">
        <x:v>W5-169</x:v>
      </x:c>
      <x:c r="B1541" s="14" t="str">
        <x:v>Prozorro vertical expansion — 24.08</x:v>
      </x:c>
      <x:c r="C1541" s="14" t="str">
        <x:v>ЗАХАРОВ СЕРГІЙ МИКОЛАЙОВИЧ</x:v>
      </x:c>
      <x:c r="D1541" s="14" t="str">
        <x:v>Насосні станції</x:v>
      </x:c>
      <x:c r="E1541" s="14" t="str">
        <x:v>Expansion discovery</x:v>
      </x:c>
      <x:c r="F1541" s="17" t="str">
        <x:v>D3</x:v>
      </x:c>
      <x:c r="G1541" s="14" t="str"/>
      <x:c r="H1541" s="14" t="str">
        <x:v>Discovery розширення — 2 тижні</x:v>
      </x:c>
      <x:c r="I1541" s="16" t="n">
        <x:v>1</x:v>
      </x:c>
      <x:c r="J1541" s="16" t="n">
        <x:v>5</x:v>
      </x:c>
      <x:c r="K1541" s="16" t="n">
        <x:v>5</x:v>
      </x:c>
      <x:c r="L1541" s="16" t="n">
        <x:v>2</x:v>
      </x:c>
      <x:c r="M1541" s="16" t="n">
        <x:v>5</x:v>
      </x:c>
      <x:c r="N1541" s="16" t="n">
        <x:v>3</x:v>
      </x:c>
      <x:c r="O1541" s="16" t="n">
        <x:v>3</x:v>
      </x:c>
      <x:c r="P1541" s="16" t="n">
        <x:f>IF(COUNT(I1541:O1541)&lt;7,"",I1541*8+J1541*3+K1541*2+L1541*2+M1541*2+N1541*2+O1541)</x:f>
        <x:v>56</x:v>
      </x:c>
      <x:c r="Q1541" s="16" t="n">
        <x:f>IF(COUNT(J1541:O1541)&lt;6,"",J1541*5+K1541*4+M1541*4+L1541*3+N1541*2+O1541*2)</x:f>
        <x:v>83</x:v>
      </x:c>
      <x:c r="R1541" s="14" t="str">
        <x:v>high</x:v>
      </x:c>
      <x:c r="S1541" s="14" t="str">
        <x:v>official_prozorro_award_2024_2026</x:v>
      </x:c>
      <x:c r="T1541" s="14" t="str">
        <x:v>official_prozorro_api</x:v>
      </x:c>
      <x:c r="U1541" s="14" t="str">
        <x:v>Не контактували</x:v>
      </x:c>
      <x:c r="V1541" s="15" t="str">
        <x:v>Workflow-audit outreach по UA-2026-02-04-007282-a; попросити 1 пакет здачі та вимоги проєкту</x:v>
      </x:c>
      <x:c r="W1541" s="15" t="str">
        <x:v>Власник / виконавець; відповідальний за договір</x:v>
      </x:c>
      <x:c r="X1541" s="15" t="str">
        <x:v>1 нових підтверджених перемог/договорів у Prozorro на 140 906 грн; 0 зі строком виконання не раніше 24.08.2026.</x:v>
      </x:c>
      <x:c r="Y1541" s="15" t="str">
        <x:v>Реконструкція комерційних вузлів обліку спожитої електроенергії із облаштуванням АСКОЕ за адресою: насосна станція 2-го підйому, вул. Шкільна, 9А; опублікований строк до 2026-03-31. Попросити один знеособлений пакет здачі за цим workflow.</x:v>
      </x:c>
      <x:c r="Z1541" s="15" t="str">
        <x:v>https://prozorro.gov.ua/tender/UA-2026-02-04-007282-a</x:v>
      </x:c>
      <x:c r="AA1541" s="14" t="str">
        <x:v>2767206552</x:v>
      </x:c>
      <x:c r="AB1541" s="14" t="str">
        <x:v>2026-08-24</x:v>
      </x:c>
      <x:c r="AC1541" s="14" t="str"/>
      <x:c r="AD1541" s="20" t="str"/>
      <x:c r="AE1541" s="14" t="str"/>
      <x:c r="AF1541" s="14" t="n">
        <x:v>42</x:v>
      </x:c>
      <x:c r="AG1541" s="14" t="str">
        <x:v>I3</x:v>
      </x:c>
      <x:c r="AH1541" s="14" t="n">
        <x:v>1</x:v>
      </x:c>
      <x:c r="AI1541" s="14" t="n">
        <x:v>0</x:v>
      </x:c>
      <x:c r="AJ1541" s="18" t="n">
        <x:v>140906.46</x:v>
      </x:c>
      <x:c r="AK1541" s="14" t="str">
        <x:v>https://prozorro.gov.ua/tender/UA-2026-02-04-007282-a</x:v>
      </x:c>
      <x:c r="AL1541" s="19" t="n">
        <x:v>46057.46382563657</x:v>
      </x:c>
      <x:c r="AM1541" s="19" t="n">
        <x:v>46112</x:v>
      </x:c>
      <x:c r="AN1541" s="15" t="str">
        <x:v>Насосні станції</x:v>
      </x:c>
      <x:c r="AO1541" s="15" t="str">
        <x:v>not_found_in_top_search</x:v>
      </x:c>
    </x:row>
    <x:row r="1542">
      <x:c r="A1542" s="14" t="str">
        <x:v>W5-170</x:v>
      </x:c>
      <x:c r="B1542" s="14" t="str">
        <x:v>Prozorro vertical expansion — 24.08</x:v>
      </x:c>
      <x:c r="C1542" s="14" t="str">
        <x:v>РЯХОВСЬКА ВАРВАРА ОЛЕКСІЇВНА</x:v>
      </x:c>
      <x:c r="D1542" s="14" t="str">
        <x:v>Ремонт і підсилення бетону</x:v>
      </x:c>
      <x:c r="E1542" s="14" t="str">
        <x:v>Expansion discovery</x:v>
      </x:c>
      <x:c r="F1542" s="17" t="str">
        <x:v>D3</x:v>
      </x:c>
      <x:c r="G1542" s="14" t="str"/>
      <x:c r="H1542" s="14" t="str">
        <x:v>Discovery розширення — 2 тижні</x:v>
      </x:c>
      <x:c r="I1542" s="16" t="n">
        <x:v>1</x:v>
      </x:c>
      <x:c r="J1542" s="16" t="n">
        <x:v>5</x:v>
      </x:c>
      <x:c r="K1542" s="16" t="n">
        <x:v>5</x:v>
      </x:c>
      <x:c r="L1542" s="16" t="n">
        <x:v>2</x:v>
      </x:c>
      <x:c r="M1542" s="16" t="n">
        <x:v>5</x:v>
      </x:c>
      <x:c r="N1542" s="16" t="n">
        <x:v>3</x:v>
      </x:c>
      <x:c r="O1542" s="16" t="n">
        <x:v>3</x:v>
      </x:c>
      <x:c r="P1542" s="16" t="n">
        <x:f>IF(COUNT(I1542:O1542)&lt;7,"",I1542*8+J1542*3+K1542*2+L1542*2+M1542*2+N1542*2+O1542)</x:f>
        <x:v>56</x:v>
      </x:c>
      <x:c r="Q1542" s="16" t="n">
        <x:f>IF(COUNT(J1542:O1542)&lt;6,"",J1542*5+K1542*4+M1542*4+L1542*3+N1542*2+O1542*2)</x:f>
        <x:v>83</x:v>
      </x:c>
      <x:c r="R1542" s="14" t="str">
        <x:v>high</x:v>
      </x:c>
      <x:c r="S1542" s="14" t="str">
        <x:v>official_prozorro_award_2024_2026</x:v>
      </x:c>
      <x:c r="T1542" s="14" t="str">
        <x:v>official_prozorro_api</x:v>
      </x:c>
      <x:c r="U1542" s="14" t="str">
        <x:v>Не контактували</x:v>
      </x:c>
      <x:c r="V1542" s="15" t="str">
        <x:v>Workflow-audit outreach по UA-2026-04-02-012995-a; попросити 1 пакет здачі та вимоги проєкту</x:v>
      </x:c>
      <x:c r="W1542" s="15" t="str">
        <x:v>Власник / виконавець; відповідальний за договір</x:v>
      </x:c>
      <x:c r="X1542" s="15" t="str">
        <x:v>1 нових підтверджених перемог/договорів у Prozorro на 135 897 грн; 1 зі строком виконання не раніше 24.08.2026.</x:v>
      </x:c>
      <x:c r="Y1542" s="15" t="str">
        <x:v>послуги з поточного ремонту вхідної групи в найпростіше укриття Гімназії № 2 Горішньоплавнівської міської ради Кременчуцького району Полтавської області. Ремонт ґанків з улаштуванням навісу. Ремонт окремих місць у залізобетонних конструкціях з очищенням від іржі оголеної арматури та бетонуванням із розшиванням та затиранням їх. Часткова заміна та виправлення східців бетонних. Забивання вибоїн у бетонних східцях сходів та на площадках. Укріплення та виправлення прогнутих елементів та вставлення елементів, яких бракує, в металевих перилах сходів, облаштування поручнів. Перестилання окремих плит з кераміки на площадках сходових кліток (східців, підсхідців); опублікований строк до 2026-12-31. Попросити один знеособлений пакет здачі за цим workflow.</x:v>
      </x:c>
      <x:c r="Z1542" s="15" t="str">
        <x:v>https://prozorro.gov.ua/tender/UA-2026-04-02-012995-a</x:v>
      </x:c>
      <x:c r="AA1542" s="14" t="str">
        <x:v>3127609743</x:v>
      </x:c>
      <x:c r="AB1542" s="14" t="str">
        <x:v>2026-08-24</x:v>
      </x:c>
      <x:c r="AC1542" s="14" t="str"/>
      <x:c r="AD1542" s="20" t="str"/>
      <x:c r="AE1542" s="14" t="str"/>
      <x:c r="AF1542" s="14" t="n">
        <x:v>42</x:v>
      </x:c>
      <x:c r="AG1542" s="14" t="str">
        <x:v>I3</x:v>
      </x:c>
      <x:c r="AH1542" s="14" t="n">
        <x:v>1</x:v>
      </x:c>
      <x:c r="AI1542" s="14" t="n">
        <x:v>1</x:v>
      </x:c>
      <x:c r="AJ1542" s="18" t="n">
        <x:v>135896.83</x:v>
      </x:c>
      <x:c r="AK1542" s="14" t="str">
        <x:v>https://prozorro.gov.ua/tender/UA-2026-04-02-012995-a</x:v>
      </x:c>
      <x:c r="AL1542" s="19" t="n">
        <x:v>46114.58454239583</x:v>
      </x:c>
      <x:c r="AM1542" s="19" t="n">
        <x:v>46387</x:v>
      </x:c>
      <x:c r="AN1542" s="15" t="str">
        <x:v>Ремонт і підсилення бетону</x:v>
      </x:c>
      <x:c r="AO1542" s="15" t="str">
        <x:v>not_found_in_top_search</x:v>
      </x:c>
    </x:row>
    <x:row r="1543">
      <x:c r="A1543" s="14" t="str">
        <x:v>W5-171</x:v>
      </x:c>
      <x:c r="B1543" s="14" t="str">
        <x:v>Prozorro vertical expansion — 24.08</x:v>
      </x:c>
      <x:c r="C1543" s="14" t="str">
        <x:v>ТОВАРИСТВО З ОБМЕЖЕНОЮ ВІДПОВІДАЛЬНІСТЮ "ПРОФІТ-2"</x:v>
      </x:c>
      <x:c r="D1543" s="14" t="str">
        <x:v>ГНБ / безтраншейні роботи</x:v>
      </x:c>
      <x:c r="E1543" s="14" t="str">
        <x:v>Expansion discovery</x:v>
      </x:c>
      <x:c r="F1543" s="17" t="str">
        <x:v>D3</x:v>
      </x:c>
      <x:c r="G1543" s="14" t="str"/>
      <x:c r="H1543" s="14" t="str">
        <x:v>Discovery розширення — 2 тижні</x:v>
      </x:c>
      <x:c r="I1543" s="16" t="n">
        <x:v>1</x:v>
      </x:c>
      <x:c r="J1543" s="16" t="n">
        <x:v>5</x:v>
      </x:c>
      <x:c r="K1543" s="16" t="n">
        <x:v>5</x:v>
      </x:c>
      <x:c r="L1543" s="16" t="n">
        <x:v>2</x:v>
      </x:c>
      <x:c r="M1543" s="16" t="n">
        <x:v>5</x:v>
      </x:c>
      <x:c r="N1543" s="16" t="n">
        <x:v>5</x:v>
      </x:c>
      <x:c r="O1543" s="16" t="n">
        <x:v>3</x:v>
      </x:c>
      <x:c r="P1543" s="16" t="n">
        <x:f>IF(COUNT(I1543:O1543)&lt;7,"",I1543*8+J1543*3+K1543*2+L1543*2+M1543*2+N1543*2+O1543)</x:f>
        <x:v>60</x:v>
      </x:c>
      <x:c r="Q1543" s="16" t="n">
        <x:f>IF(COUNT(J1543:O1543)&lt;6,"",J1543*5+K1543*4+M1543*4+L1543*3+N1543*2+O1543*2)</x:f>
        <x:v>87</x:v>
      </x:c>
      <x:c r="R1543" s="14" t="str">
        <x:v>high</x:v>
      </x:c>
      <x:c r="S1543" s="14" t="str">
        <x:v>official_prozorro_award_2024_2026</x:v>
      </x:c>
      <x:c r="T1543" s="14" t="str">
        <x:v>official_prozorro_api</x:v>
      </x:c>
      <x:c r="U1543" s="14" t="str">
        <x:v>Не контактували</x:v>
      </x:c>
      <x:c r="V1543" s="15" t="str">
        <x:v>Workflow-audit outreach по UA-2024-05-10-001393-a; попросити 1 пакет здачі та вимоги проєкту</x:v>
      </x:c>
      <x:c r="W1543" s="15" t="str">
        <x:v>Власник / директор; керівник ПТО; відповідальний за договори</x:v>
      </x:c>
      <x:c r="X1543" s="15" t="str">
        <x:v>2 нових підтверджених перемог/договорів у Prozorro на 327 579 грн; 0 зі строком виконання не раніше 24.08.2026.</x:v>
      </x:c>
      <x:c r="Y1543" s="15" t="str">
        <x:v>Роботи на об’єкті: «Прокладання сталевих футлярів d=325мм довжиною 30 м.п. (2 відрізки по 15 м кожний) методом горизонтально-направленого буріння біля житлових будинків по вул. Романа Шухевича, 5 та вул. Романа Шухевича, 7 (ОСББ Надія)»
(45230000-8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2024-09-01. Попросити один знеособлений пакет здачі за цим workflow.</x:v>
      </x:c>
      <x:c r="Z1543" s="15" t="str">
        <x:v>https://prozorro.gov.ua/tender/UA-2024-05-10-001393-a</x:v>
      </x:c>
      <x:c r="AA1543" s="14" t="str">
        <x:v>23727733</x:v>
      </x:c>
      <x:c r="AB1543" s="14" t="str">
        <x:v>2026-08-24</x:v>
      </x:c>
      <x:c r="AC1543" s="14" t="str"/>
      <x:c r="AD1543" s="20" t="str"/>
      <x:c r="AE1543" s="14" t="str"/>
      <x:c r="AF1543" s="14" t="n">
        <x:v>40</x:v>
      </x:c>
      <x:c r="AG1543" s="14" t="str">
        <x:v>I3</x:v>
      </x:c>
      <x:c r="AH1543" s="14" t="n">
        <x:v>2</x:v>
      </x:c>
      <x:c r="AI1543" s="14" t="n">
        <x:v>0</x:v>
      </x:c>
      <x:c r="AJ1543" s="18" t="n">
        <x:v>327579</x:v>
      </x:c>
      <x:c r="AK1543" s="14" t="str">
        <x:v>https://prozorro.gov.ua/tender/UA-2024-05-10-001393-a</x:v>
      </x:c>
      <x:c r="AL1543" s="19" t="n">
        <x:v>45422.285042256946</x:v>
      </x:c>
      <x:c r="AM1543" s="19" t="n">
        <x:v>45536</x:v>
      </x:c>
      <x:c r="AN1543" s="15" t="str">
        <x:v>ГНБ / безтраншейні роботи</x:v>
      </x:c>
      <x:c r="AO1543" s="15" t="str">
        <x:v>not_found_in_top_search</x:v>
      </x:c>
    </x:row>
    <x:row r="1544">
      <x:c r="A1544" s="14" t="str">
        <x:v>W5-172</x:v>
      </x:c>
      <x:c r="B1544" s="14" t="str">
        <x:v>Prozorro vertical expansion — 24.08</x:v>
      </x:c>
      <x:c r="C1544" s="14" t="str">
        <x:v>ФО-П   ЄЛФІМОВ ДАНІЇЛ СЕРГІЙОВИЧ</x:v>
      </x:c>
      <x:c r="D1544" s="14" t="str">
        <x:v>Ремонт і підсилення бетону</x:v>
      </x:c>
      <x:c r="E1544" s="14" t="str">
        <x:v>Expansion discovery</x:v>
      </x:c>
      <x:c r="F1544" s="17" t="str">
        <x:v>D3</x:v>
      </x:c>
      <x:c r="G1544" s="14" t="str"/>
      <x:c r="H1544" s="14" t="str">
        <x:v>Discovery розширення — 2 тижні</x:v>
      </x:c>
      <x:c r="I1544" s="16" t="n">
        <x:v>1</x:v>
      </x:c>
      <x:c r="J1544" s="16" t="n">
        <x:v>5</x:v>
      </x:c>
      <x:c r="K1544" s="16" t="n">
        <x:v>5</x:v>
      </x:c>
      <x:c r="L1544" s="16" t="n">
        <x:v>1</x:v>
      </x:c>
      <x:c r="M1544" s="16" t="n">
        <x:v>5</x:v>
      </x:c>
      <x:c r="N1544" s="16" t="n">
        <x:v>3</x:v>
      </x:c>
      <x:c r="O1544" s="16" t="n">
        <x:v>3</x:v>
      </x:c>
      <x:c r="P1544" s="16" t="n">
        <x:f>IF(COUNT(I1544:O1544)&lt;7,"",I1544*8+J1544*3+K1544*2+L1544*2+M1544*2+N1544*2+O1544)</x:f>
        <x:v>54</x:v>
      </x:c>
      <x:c r="Q1544" s="16" t="n">
        <x:f>IF(COUNT(J1544:O1544)&lt;6,"",J1544*5+K1544*4+M1544*4+L1544*3+N1544*2+O1544*2)</x:f>
        <x:v>80</x:v>
      </x:c>
      <x:c r="R1544" s="14" t="str">
        <x:v>high</x:v>
      </x:c>
      <x:c r="S1544" s="14" t="str">
        <x:v>official_prozorro_award_2024_2026</x:v>
      </x:c>
      <x:c r="T1544" s="14" t="str">
        <x:v>official_prozorro_api</x:v>
      </x:c>
      <x:c r="U1544" s="14" t="str">
        <x:v>Не контактували</x:v>
      </x:c>
      <x:c r="V1544" s="15" t="str">
        <x:v>Workflow-audit outreach по UA-2025-06-23-000533-a; попросити 1 пакет здачі та вимоги проєкту</x:v>
      </x:c>
      <x:c r="W1544" s="15" t="str">
        <x:v>Власник / виконавець; відповідальний за договір</x:v>
      </x:c>
      <x:c r="X1544" s="15" t="str">
        <x:v>2 нових підтверджених перемог/договорів у Prozorro на 60 000 грн; 0 зі строком виконання не раніше 24.08.2026.</x:v>
      </x:c>
      <x:c r="Y1544" s="15" t="str">
        <x:v>Розробки робочої документації щодо посилення будівельних конструкцій для виконання: «Капітального ремонту пошкодженого внаслідок збройної агресії об'єкту житлового призначення (багатоквартирного житлового будинку) за адресою: Харківська область, Чугуївський район, м. Чугуїв, вул. Горішного, 140». РД на додаткові послуги  ; опублікований строк до 2025-07-30. Попросити один знеособлений пакет здачі за цим workflow.</x:v>
      </x:c>
      <x:c r="Z1544" s="15" t="str">
        <x:v>https://prozorro.gov.ua/tender/UA-2025-06-23-000533-a</x:v>
      </x:c>
      <x:c r="AA1544" s="14" t="str">
        <x:v>2944319737</x:v>
      </x:c>
      <x:c r="AB1544" s="14" t="str">
        <x:v>2026-08-24</x:v>
      </x:c>
      <x:c r="AC1544" s="14" t="str"/>
      <x:c r="AD1544" s="20" t="str"/>
      <x:c r="AE1544" s="14" t="str"/>
      <x:c r="AF1544" s="14" t="n">
        <x:v>40</x:v>
      </x:c>
      <x:c r="AG1544" s="14" t="str">
        <x:v>I3</x:v>
      </x:c>
      <x:c r="AH1544" s="14" t="n">
        <x:v>2</x:v>
      </x:c>
      <x:c r="AI1544" s="14" t="n">
        <x:v>0</x:v>
      </x:c>
      <x:c r="AJ1544" s="18" t="n">
        <x:v>60000</x:v>
      </x:c>
      <x:c r="AK1544" s="14" t="str">
        <x:v>https://prozorro.gov.ua/tender/UA-2025-06-23-000533-a</x:v>
      </x:c>
      <x:c r="AL1544" s="19" t="n">
        <x:v>45831.26171018519</x:v>
      </x:c>
      <x:c r="AM1544" s="19" t="n">
        <x:v>45868</x:v>
      </x:c>
      <x:c r="AN1544" s="15" t="str">
        <x:v>Ремонт і підсилення бетону</x:v>
      </x:c>
      <x:c r="AO1544" s="15" t="str">
        <x:v>not_found_in_top_search</x:v>
      </x:c>
    </x:row>
    <x:row r="1545">
      <x:c r="A1545" s="14" t="str">
        <x:v>W5-173</x:v>
      </x:c>
      <x:c r="B1545" s="14" t="str">
        <x:v>Prozorro vertical expansion — 24.08</x:v>
      </x:c>
      <x:c r="C1545" s="14" t="str">
        <x:v>ТОВАРИСТВО З ОБМЕЖЕНОЮ ВІДПОВІДАЛЬНІСТЮ "ГЛОБАЛ-НЕТ"</x:v>
      </x:c>
      <x:c r="D1545" s="14" t="str">
        <x:v>ВОЛЗ / телеком</x:v>
      </x:c>
      <x:c r="E1545" s="14" t="str">
        <x:v>Expansion discovery</x:v>
      </x:c>
      <x:c r="F1545" s="17" t="str">
        <x:v>D3</x:v>
      </x:c>
      <x:c r="G1545" s="14" t="str"/>
      <x:c r="H1545" s="14" t="str">
        <x:v>Discovery розширення — 2 тижні</x:v>
      </x:c>
      <x:c r="I1545" s="16" t="n">
        <x:v>1</x:v>
      </x:c>
      <x:c r="J1545" s="16" t="n">
        <x:v>5</x:v>
      </x:c>
      <x:c r="K1545" s="16" t="n">
        <x:v>5</x:v>
      </x:c>
      <x:c r="L1545" s="16" t="n">
        <x:v>1</x:v>
      </x:c>
      <x:c r="M1545" s="16" t="n">
        <x:v>5</x:v>
      </x:c>
      <x:c r="N1545" s="16" t="n">
        <x:v>5</x:v>
      </x:c>
      <x:c r="O1545" s="16" t="n">
        <x:v>3</x:v>
      </x:c>
      <x:c r="P1545" s="16" t="n">
        <x:f>IF(COUNT(I1545:O1545)&lt;7,"",I1545*8+J1545*3+K1545*2+L1545*2+M1545*2+N1545*2+O1545)</x:f>
        <x:v>58</x:v>
      </x:c>
      <x:c r="Q1545" s="16" t="n">
        <x:f>IF(COUNT(J1545:O1545)&lt;6,"",J1545*5+K1545*4+M1545*4+L1545*3+N1545*2+O1545*2)</x:f>
        <x:v>84</x:v>
      </x:c>
      <x:c r="R1545" s="14" t="str">
        <x:v>high</x:v>
      </x:c>
      <x:c r="S1545" s="14" t="str">
        <x:v>official_prozorro_award_2024_2026</x:v>
      </x:c>
      <x:c r="T1545" s="14" t="str">
        <x:v>official_prozorro_api</x:v>
      </x:c>
      <x:c r="U1545" s="14" t="str">
        <x:v>Не контактували</x:v>
      </x:c>
      <x:c r="V1545" s="15" t="str">
        <x:v>Workflow-audit outreach по UA-2025-08-29-000397-a; попросити 1 пакет здачі та вимоги проєкту</x:v>
      </x:c>
      <x:c r="W1545" s="15" t="str">
        <x:v>Власник / директор; керівник ПТО; відповідальний за договори</x:v>
      </x:c>
      <x:c r="X1545" s="15" t="str">
        <x:v>2 нових підтверджених перемог/договорів у Prozorro на 22 670 грн; 0 зі строком виконання не раніше 24.08.2026.</x:v>
      </x:c>
      <x:c r="Y1545" s="15" t="str">
        <x:v>Послуги з монтажу внутрішньої телекомунікаційної мережі та підключенню до мережі Інтернет; опублікований строк до 2025-12-31. Попросити один знеособлений пакет здачі за цим workflow.</x:v>
      </x:c>
      <x:c r="Z1545" s="15" t="str">
        <x:v>https://prozorro.gov.ua/tender/UA-2025-08-29-000397-a</x:v>
      </x:c>
      <x:c r="AA1545" s="14" t="str">
        <x:v>36535063</x:v>
      </x:c>
      <x:c r="AB1545" s="14" t="str">
        <x:v>2026-08-24</x:v>
      </x:c>
      <x:c r="AC1545" s="14" t="str"/>
      <x:c r="AD1545" s="20" t="str"/>
      <x:c r="AE1545" s="14" t="str"/>
      <x:c r="AF1545" s="14" t="n">
        <x:v>40</x:v>
      </x:c>
      <x:c r="AG1545" s="14" t="str">
        <x:v>I3</x:v>
      </x:c>
      <x:c r="AH1545" s="14" t="n">
        <x:v>2</x:v>
      </x:c>
      <x:c r="AI1545" s="14" t="n">
        <x:v>0</x:v>
      </x:c>
      <x:c r="AJ1545" s="18" t="n">
        <x:v>22670</x:v>
      </x:c>
      <x:c r="AK1545" s="14" t="str">
        <x:v>https://prozorro.gov.ua/tender/UA-2025-08-29-000397-a</x:v>
      </x:c>
      <x:c r="AL1545" s="19" t="n">
        <x:v>45898.24738717593</x:v>
      </x:c>
      <x:c r="AM1545" s="19" t="n">
        <x:v>46022</x:v>
      </x:c>
      <x:c r="AN1545" s="15" t="str">
        <x:v>ВОЛЗ / телеком</x:v>
      </x:c>
      <x:c r="AO1545" s="15" t="str">
        <x:v>not_found_in_top_search</x:v>
      </x:c>
    </x:row>
    <x:row r="1546">
      <x:c r="A1546" s="14" t="str">
        <x:v>W5-174</x:v>
      </x:c>
      <x:c r="B1546" s="14" t="str">
        <x:v>Prozorro vertical expansion — 24.08</x:v>
      </x:c>
      <x:c r="C1546" s="14" t="str">
        <x:v>ФОП Ягодін Андрій Якович</x:v>
      </x:c>
      <x:c r="D1546" s="14" t="str">
        <x:v>ВОЛЗ / телеком</x:v>
      </x:c>
      <x:c r="E1546" s="14" t="str">
        <x:v>Expansion discovery</x:v>
      </x:c>
      <x:c r="F1546" s="17" t="str">
        <x:v>D3</x:v>
      </x:c>
      <x:c r="G1546" s="14" t="str"/>
      <x:c r="H1546" s="14" t="str">
        <x:v>Discovery розширення — 2 тижні</x:v>
      </x:c>
      <x:c r="I1546" s="16" t="n">
        <x:v>1</x:v>
      </x:c>
      <x:c r="J1546" s="16" t="n">
        <x:v>5</x:v>
      </x:c>
      <x:c r="K1546" s="16" t="n">
        <x:v>5</x:v>
      </x:c>
      <x:c r="L1546" s="16" t="n">
        <x:v>1</x:v>
      </x:c>
      <x:c r="M1546" s="16" t="n">
        <x:v>5</x:v>
      </x:c>
      <x:c r="N1546" s="16" t="n">
        <x:v>3</x:v>
      </x:c>
      <x:c r="O1546" s="16" t="n">
        <x:v>3</x:v>
      </x:c>
      <x:c r="P1546" s="16" t="n">
        <x:f>IF(COUNT(I1546:O1546)&lt;7,"",I1546*8+J1546*3+K1546*2+L1546*2+M1546*2+N1546*2+O1546)</x:f>
        <x:v>54</x:v>
      </x:c>
      <x:c r="Q1546" s="16" t="n">
        <x:f>IF(COUNT(J1546:O1546)&lt;6,"",J1546*5+K1546*4+M1546*4+L1546*3+N1546*2+O1546*2)</x:f>
        <x:v>80</x:v>
      </x:c>
      <x:c r="R1546" s="14" t="str">
        <x:v>high</x:v>
      </x:c>
      <x:c r="S1546" s="14" t="str">
        <x:v>official_prozorro_award_2024_2026</x:v>
      </x:c>
      <x:c r="T1546" s="14" t="str">
        <x:v>official_prozorro_api</x:v>
      </x:c>
      <x:c r="U1546" s="14" t="str">
        <x:v>Не контактували</x:v>
      </x:c>
      <x:c r="V1546" s="15" t="str">
        <x:v>Workflow-audit outreach по UA-2025-04-21-003991-a; попросити 1 пакет здачі та вимоги проєкту</x:v>
      </x:c>
      <x:c r="W1546" s="15" t="str">
        <x:v>Власник / виконавець; відповідальний за договір</x:v>
      </x:c>
      <x:c r="X1546" s="15" t="str">
        <x:v>2 нових підтверджених перемог/договорів у Prozorro на 2 400 грн; 0 зі строком виконання не раніше 24.08.2026.</x:v>
      </x:c>
      <x:c r="Y1546" s="15" t="str">
        <x:v>Роботи  з монтажу телекомунікаційної мережі; опублікований строк до 2025-12-31. Попросити один знеособлений пакет здачі за цим workflow.</x:v>
      </x:c>
      <x:c r="Z1546" s="15" t="str">
        <x:v>https://prozorro.gov.ua/tender/UA-2025-04-21-003991-a</x:v>
      </x:c>
      <x:c r="AA1546" s="14" t="str">
        <x:v>3172609118</x:v>
      </x:c>
      <x:c r="AB1546" s="14" t="str">
        <x:v>2026-08-24</x:v>
      </x:c>
      <x:c r="AC1546" s="14" t="str"/>
      <x:c r="AD1546" s="20" t="str"/>
      <x:c r="AE1546" s="14" t="str"/>
      <x:c r="AF1546" s="14" t="n">
        <x:v>40</x:v>
      </x:c>
      <x:c r="AG1546" s="14" t="str">
        <x:v>I3</x:v>
      </x:c>
      <x:c r="AH1546" s="14" t="n">
        <x:v>2</x:v>
      </x:c>
      <x:c r="AI1546" s="14" t="n">
        <x:v>0</x:v>
      </x:c>
      <x:c r="AJ1546" s="18" t="n">
        <x:v>2400</x:v>
      </x:c>
      <x:c r="AK1546" s="14" t="str">
        <x:v>https://prozorro.gov.ua/tender/UA-2025-04-21-003991-a</x:v>
      </x:c>
      <x:c r="AL1546" s="19" t="n">
        <x:v>45768.42199241898</x:v>
      </x:c>
      <x:c r="AM1546" s="19" t="n">
        <x:v>46022.916666655095</x:v>
      </x:c>
      <x:c r="AN1546" s="15" t="str">
        <x:v>ВОЛЗ / телеком</x:v>
      </x:c>
      <x:c r="AO1546" s="15" t="str">
        <x:v>not_found_in_top_search</x:v>
      </x:c>
    </x:row>
    <x:row r="1547">
      <x:c r="A1547" s="14" t="str">
        <x:v>W5-175</x:v>
      </x:c>
      <x:c r="B1547" s="14" t="str">
        <x:v>Prozorro vertical expansion — 24.08</x:v>
      </x:c>
      <x:c r="C1547" s="14" t="str">
        <x:v>ТОВ Управління механізованих робіт</x:v>
      </x:c>
      <x:c r="D1547" s="14" t="str">
        <x:v>Антикорозійний захист</x:v>
      </x:c>
      <x:c r="E1547" s="14" t="str">
        <x:v>Expansion discovery</x:v>
      </x:c>
      <x:c r="F1547" s="17" t="str">
        <x:v>D3</x:v>
      </x:c>
      <x:c r="G1547" s="14" t="str"/>
      <x:c r="H1547" s="14" t="str">
        <x:v>Discovery розширення — 2 тижні</x:v>
      </x:c>
      <x:c r="I1547" s="16" t="n">
        <x:v>1</x:v>
      </x:c>
      <x:c r="J1547" s="16" t="n">
        <x:v>5</x:v>
      </x:c>
      <x:c r="K1547" s="16" t="n">
        <x:v>5</x:v>
      </x:c>
      <x:c r="L1547" s="16" t="n">
        <x:v>4</x:v>
      </x:c>
      <x:c r="M1547" s="16" t="n">
        <x:v>5</x:v>
      </x:c>
      <x:c r="N1547" s="16" t="n">
        <x:v>5</x:v>
      </x:c>
      <x:c r="O1547" s="16" t="n">
        <x:v>3</x:v>
      </x:c>
      <x:c r="P1547" s="16" t="n">
        <x:f>IF(COUNT(I1547:O1547)&lt;7,"",I1547*8+J1547*3+K1547*2+L1547*2+M1547*2+N1547*2+O1547)</x:f>
        <x:v>64</x:v>
      </x:c>
      <x:c r="Q1547" s="16" t="n">
        <x:f>IF(COUNT(J1547:O1547)&lt;6,"",J1547*5+K1547*4+M1547*4+L1547*3+N1547*2+O1547*2)</x:f>
        <x:v>93</x:v>
      </x:c>
      <x:c r="R1547" s="14" t="str">
        <x:v>high</x:v>
      </x:c>
      <x:c r="S1547" s="14" t="str">
        <x:v>official_prozorro_award_2024_2026</x:v>
      </x:c>
      <x:c r="T1547" s="14" t="str">
        <x:v>official_prozorro_api</x:v>
      </x:c>
      <x:c r="U1547" s="14" t="str">
        <x:v>Не контактували</x:v>
      </x:c>
      <x:c r="V1547" s="15" t="str">
        <x:v>Workflow-audit outreach по UA-2024-05-31-000164-a; попросити 1 пакет здачі та вимоги проєкту</x:v>
      </x:c>
      <x:c r="W1547" s="15" t="str">
        <x:v>Власник / директор; керівник ПТО; відповідальний за договори</x:v>
      </x:c>
      <x:c r="X1547" s="15" t="str">
        <x:v>1 нових підтверджених перемог/договорів у Prozorro на 5 866 404 грн; 0 зі строком виконання не раніше 24.08.2026.</x:v>
      </x:c>
      <x:c r="Y1547" s="15" t="str">
        <x:v>Роботи - код CPV 45260000-7 по ДК 021:2015 Покрівельні роботи та інші спеціалізовані будівельні роботи (Капітальний ремонт технологічних естакад трубопроводів та антикорозійний захист металоконструкцій). РПЗ - 2.28; опублікований строк до 2024-12-25. Попросити один знеособлений пакет здачі за цим workflow.</x:v>
      </x:c>
      <x:c r="Z1547" s="15" t="str">
        <x:v>https://prozorro.gov.ua/tender/UA-2024-05-31-000164-a</x:v>
      </x:c>
      <x:c r="AA1547" s="14" t="str">
        <x:v>37630654</x:v>
      </x:c>
      <x:c r="AB1547" s="14" t="str">
        <x:v>2026-08-24</x:v>
      </x:c>
      <x:c r="AC1547" s="14" t="str"/>
      <x:c r="AD1547" s="20" t="str"/>
      <x:c r="AE1547" s="14" t="str"/>
      <x:c r="AF1547" s="14" t="n">
        <x:v>38</x:v>
      </x:c>
      <x:c r="AG1547" s="14" t="str">
        <x:v>I3</x:v>
      </x:c>
      <x:c r="AH1547" s="14" t="n">
        <x:v>1</x:v>
      </x:c>
      <x:c r="AI1547" s="14" t="n">
        <x:v>0</x:v>
      </x:c>
      <x:c r="AJ1547" s="18" t="n">
        <x:v>5866403.77</x:v>
      </x:c>
      <x:c r="AK1547" s="14" t="str">
        <x:v>https://prozorro.gov.ua/tender/UA-2024-05-31-000164-a</x:v>
      </x:c>
      <x:c r="AL1547" s="19" t="n">
        <x:v>45475.54058141204</x:v>
      </x:c>
      <x:c r="AM1547" s="19" t="n">
        <x:v>45651</x:v>
      </x:c>
      <x:c r="AN1547" s="15" t="str">
        <x:v>Антикорозійний захист</x:v>
      </x:c>
      <x:c r="AO1547" s="15" t="str">
        <x:v>not_found_in_top_search</x:v>
      </x:c>
    </x:row>
    <x:row r="1548">
      <x:c r="A1548" s="14" t="str">
        <x:v>W5-176</x:v>
      </x:c>
      <x:c r="B1548" s="14" t="str">
        <x:v>Prozorro vertical expansion — 24.08</x:v>
      </x:c>
      <x:c r="C1548" s="14" t="str">
        <x:v>ВИРОБНИЧО-КОМЕРЦІЙНЕ ПІДПРИЄМСТВО «ТАУРУС» ТОВАРИСТВО З ОБМЕЖЕНОЮ ВІДПОВІДАЛЬНІСТЮ</x:v>
      </x:c>
      <x:c r="D1548" s="14" t="str">
        <x:v>Промислові котельні</x:v>
      </x:c>
      <x:c r="E1548" s="14" t="str">
        <x:v>Expansion discovery</x:v>
      </x:c>
      <x:c r="F1548" s="17" t="str">
        <x:v>D3</x:v>
      </x:c>
      <x:c r="G1548" s="14" t="str"/>
      <x:c r="H1548" s="14" t="str">
        <x:v>Discovery розширення — 2 тижні</x:v>
      </x:c>
      <x:c r="I1548" s="16" t="n">
        <x:v>1</x:v>
      </x:c>
      <x:c r="J1548" s="16" t="n">
        <x:v>5</x:v>
      </x:c>
      <x:c r="K1548" s="16" t="n">
        <x:v>5</x:v>
      </x:c>
      <x:c r="L1548" s="16" t="n">
        <x:v>4</x:v>
      </x:c>
      <x:c r="M1548" s="16" t="n">
        <x:v>5</x:v>
      </x:c>
      <x:c r="N1548" s="16" t="n">
        <x:v>5</x:v>
      </x:c>
      <x:c r="O1548" s="16" t="n">
        <x:v>3</x:v>
      </x:c>
      <x:c r="P1548" s="16" t="n">
        <x:f>IF(COUNT(I1548:O1548)&lt;7,"",I1548*8+J1548*3+K1548*2+L1548*2+M1548*2+N1548*2+O1548)</x:f>
        <x:v>64</x:v>
      </x:c>
      <x:c r="Q1548" s="16" t="n">
        <x:f>IF(COUNT(J1548:O1548)&lt;6,"",J1548*5+K1548*4+M1548*4+L1548*3+N1548*2+O1548*2)</x:f>
        <x:v>93</x:v>
      </x:c>
      <x:c r="R1548" s="14" t="str">
        <x:v>high</x:v>
      </x:c>
      <x:c r="S1548" s="14" t="str">
        <x:v>official_prozorro_award_2024_2026</x:v>
      </x:c>
      <x:c r="T1548" s="14" t="str">
        <x:v>official_prozorro_api</x:v>
      </x:c>
      <x:c r="U1548" s="14" t="str">
        <x:v>Не контактували</x:v>
      </x:c>
      <x:c r="V1548" s="15" t="str">
        <x:v>Workflow-audit outreach по UA-2024-09-26-005366-a; попросити 1 пакет здачі та вимоги проєкту</x:v>
      </x:c>
      <x:c r="W1548" s="15" t="str">
        <x:v>Власник / директор; керівник ПТО; відповідальний за договори</x:v>
      </x:c>
      <x:c r="X1548" s="15" t="str">
        <x:v>1 нових підтверджених перемог/договорів у Prozorro на 5 824 553 грн; 0 зі строком виконання не раніше 24.08.2026.</x:v>
      </x:c>
      <x:c r="Y1548" s="15" t="str">
        <x:v>Виконання робіт: «Реконструкція схеми подачі пари на власні потреби з встановленням парогенеруючого котельного обладнання на ТЕЦ-5, м. Київ, вул. Промислова,4» Додаткові роботи; опублікований строк до 2024-12-15. Попросити один знеособлений пакет здачі за цим workflow.</x:v>
      </x:c>
      <x:c r="Z1548" s="15" t="str">
        <x:v>https://prozorro.gov.ua/tender/UA-2024-09-26-005366-a</x:v>
      </x:c>
      <x:c r="AA1548" s="14" t="str">
        <x:v>13926294</x:v>
      </x:c>
      <x:c r="AB1548" s="14" t="str">
        <x:v>2026-08-24</x:v>
      </x:c>
      <x:c r="AC1548" s="14" t="str"/>
      <x:c r="AD1548" s="20" t="str"/>
      <x:c r="AE1548" s="14" t="str"/>
      <x:c r="AF1548" s="14" t="n">
        <x:v>38</x:v>
      </x:c>
      <x:c r="AG1548" s="14" t="str">
        <x:v>I3</x:v>
      </x:c>
      <x:c r="AH1548" s="14" t="n">
        <x:v>1</x:v>
      </x:c>
      <x:c r="AI1548" s="14" t="n">
        <x:v>0</x:v>
      </x:c>
      <x:c r="AJ1548" s="18" t="n">
        <x:v>5824553.36</x:v>
      </x:c>
      <x:c r="AK1548" s="14" t="str">
        <x:v>https://prozorro.gov.ua/tender/UA-2024-09-26-005366-a</x:v>
      </x:c>
      <x:c r="AL1548" s="19" t="n">
        <x:v>45561.380301550926</x:v>
      </x:c>
      <x:c r="AM1548" s="19" t="n">
        <x:v>45641</x:v>
      </x:c>
      <x:c r="AN1548" s="15" t="str">
        <x:v>Промислові котельні</x:v>
      </x:c>
      <x:c r="AO1548" s="15" t="str">
        <x:v>not_found_in_top_search</x:v>
      </x:c>
    </x:row>
    <x:row r="1549">
      <x:c r="A1549" s="14" t="str">
        <x:v>W5-177</x:v>
      </x:c>
      <x:c r="B1549" s="14" t="str">
        <x:v>Prozorro vertical expansion — 24.08</x:v>
      </x:c>
      <x:c r="C1549" s="14" t="str">
        <x:v>ТОВ "УА-СИСТЕМИ"</x:v>
      </x:c>
      <x:c r="D1549" s="14" t="str">
        <x:v>Стиснене повітря / компресорні</x:v>
      </x:c>
      <x:c r="E1549" s="14" t="str">
        <x:v>Expansion discovery</x:v>
      </x:c>
      <x:c r="F1549" s="17" t="str">
        <x:v>D3</x:v>
      </x:c>
      <x:c r="G1549" s="14" t="str"/>
      <x:c r="H1549" s="14" t="str">
        <x:v>Discovery розширення — 2 тижні</x:v>
      </x:c>
      <x:c r="I1549" s="16" t="n">
        <x:v>1</x:v>
      </x:c>
      <x:c r="J1549" s="16" t="n">
        <x:v>5</x:v>
      </x:c>
      <x:c r="K1549" s="16" t="n">
        <x:v>5</x:v>
      </x:c>
      <x:c r="L1549" s="16" t="n">
        <x:v>4</x:v>
      </x:c>
      <x:c r="M1549" s="16" t="n">
        <x:v>5</x:v>
      </x:c>
      <x:c r="N1549" s="16" t="n">
        <x:v>5</x:v>
      </x:c>
      <x:c r="O1549" s="16" t="n">
        <x:v>3</x:v>
      </x:c>
      <x:c r="P1549" s="16" t="n">
        <x:f>IF(COUNT(I1549:O1549)&lt;7,"",I1549*8+J1549*3+K1549*2+L1549*2+M1549*2+N1549*2+O1549)</x:f>
        <x:v>64</x:v>
      </x:c>
      <x:c r="Q1549" s="16" t="n">
        <x:f>IF(COUNT(J1549:O1549)&lt;6,"",J1549*5+K1549*4+M1549*4+L1549*3+N1549*2+O1549*2)</x:f>
        <x:v>93</x:v>
      </x:c>
      <x:c r="R1549" s="14" t="str">
        <x:v>high</x:v>
      </x:c>
      <x:c r="S1549" s="14" t="str">
        <x:v>official_prozorro_award_2024_2026</x:v>
      </x:c>
      <x:c r="T1549" s="14" t="str">
        <x:v>official_prozorro_api</x:v>
      </x:c>
      <x:c r="U1549" s="14" t="str">
        <x:v>Не контактували</x:v>
      </x:c>
      <x:c r="V1549" s="15" t="str">
        <x:v>Workflow-audit outreach по UA-2024-06-25-003999-a; попросити 1 пакет здачі та вимоги проєкту</x:v>
      </x:c>
      <x:c r="W1549" s="15" t="str">
        <x:v>Власник / директор; керівник ПТО; відповідальний за договори</x:v>
      </x:c>
      <x:c r="X1549" s="15" t="str">
        <x:v>1 нових підтверджених перемог/договорів у Prozorro на 4 550 040 грн; 0 зі строком виконання не раніше 24.08.2026.</x:v>
      </x:c>
      <x:c r="Y1549" s="15" t="str">
        <x:v>Реконструкція будівель і приміщень компресорної станції "Лубни" магістрального газопроводу "Шебелинка-Диканька-Київ" в Лубенському районі Полтавської області шляхом облаштування автоматичною пожежною сигналізацією (Будівельні роботи та поточний ремонт); опублікований строк до 2025-02-21. Попросити один знеособлений пакет здачі за цим workflow.</x:v>
      </x:c>
      <x:c r="Z1549" s="15" t="str">
        <x:v>https://prozorro.gov.ua/tender/UA-2024-06-25-003999-a</x:v>
      </x:c>
      <x:c r="AA1549" s="14" t="str">
        <x:v>41210946</x:v>
      </x:c>
      <x:c r="AB1549" s="14" t="str">
        <x:v>2026-08-24</x:v>
      </x:c>
      <x:c r="AC1549" s="14" t="str"/>
      <x:c r="AD1549" s="20" t="str"/>
      <x:c r="AE1549" s="14" t="str"/>
      <x:c r="AF1549" s="14" t="n">
        <x:v>38</x:v>
      </x:c>
      <x:c r="AG1549" s="14" t="str">
        <x:v>I3</x:v>
      </x:c>
      <x:c r="AH1549" s="14" t="n">
        <x:v>1</x:v>
      </x:c>
      <x:c r="AI1549" s="14" t="n">
        <x:v>0</x:v>
      </x:c>
      <x:c r="AJ1549" s="18" t="n">
        <x:v>4550039.98</x:v>
      </x:c>
      <x:c r="AK1549" s="14" t="str">
        <x:v>https://prozorro.gov.ua/tender/UA-2024-06-25-003999-a</x:v>
      </x:c>
      <x:c r="AL1549" s="19" t="n">
        <x:v>45468.360210555555</x:v>
      </x:c>
      <x:c r="AM1549" s="19" t="n">
        <x:v>45709</x:v>
      </x:c>
      <x:c r="AN1549" s="15" t="str">
        <x:v>Стиснене повітря / компресорні</x:v>
      </x:c>
      <x:c r="AO1549" s="15" t="str">
        <x:v>not_found_in_top_search</x:v>
      </x:c>
    </x:row>
    <x:row r="1550">
      <x:c r="A1550" s="14" t="str">
        <x:v>W5-178</x:v>
      </x:c>
      <x:c r="B1550" s="14" t="str">
        <x:v>Prozorro vertical expansion — 24.08</x:v>
      </x:c>
      <x:c r="C1550" s="14" t="str">
        <x:v>ТОВ "ТЕП-КЕПІТАЛ."</x:v>
      </x:c>
      <x:c r="D1550" s="14" t="str">
        <x:v>Ремонт і підсилення бетону</x:v>
      </x:c>
      <x:c r="E1550" s="14" t="str">
        <x:v>Expansion discovery</x:v>
      </x:c>
      <x:c r="F1550" s="17" t="str">
        <x:v>D3</x:v>
      </x:c>
      <x:c r="G1550" s="14" t="str"/>
      <x:c r="H1550" s="14" t="str">
        <x:v>Discovery розширення — 2 тижні</x:v>
      </x:c>
      <x:c r="I1550" s="16" t="n">
        <x:v>1</x:v>
      </x:c>
      <x:c r="J1550" s="16" t="n">
        <x:v>5</x:v>
      </x:c>
      <x:c r="K1550" s="16" t="n">
        <x:v>5</x:v>
      </x:c>
      <x:c r="L1550" s="16" t="n">
        <x:v>4</x:v>
      </x:c>
      <x:c r="M1550" s="16" t="n">
        <x:v>5</x:v>
      </x:c>
      <x:c r="N1550" s="16" t="n">
        <x:v>5</x:v>
      </x:c>
      <x:c r="O1550" s="16" t="n">
        <x:v>3</x:v>
      </x:c>
      <x:c r="P1550" s="16" t="n">
        <x:f>IF(COUNT(I1550:O1550)&lt;7,"",I1550*8+J1550*3+K1550*2+L1550*2+M1550*2+N1550*2+O1550)</x:f>
        <x:v>64</x:v>
      </x:c>
      <x:c r="Q1550" s="16" t="n">
        <x:f>IF(COUNT(J1550:O1550)&lt;6,"",J1550*5+K1550*4+M1550*4+L1550*3+N1550*2+O1550*2)</x:f>
        <x:v>93</x:v>
      </x:c>
      <x:c r="R1550" s="14" t="str">
        <x:v>high</x:v>
      </x:c>
      <x:c r="S1550" s="14" t="str">
        <x:v>official_prozorro_award_2024_2026</x:v>
      </x:c>
      <x:c r="T1550" s="14" t="str">
        <x:v>official_prozorro_api</x:v>
      </x:c>
      <x:c r="U1550" s="14" t="str">
        <x:v>Не контактували</x:v>
      </x:c>
      <x:c r="V1550" s="15" t="str">
        <x:v>Workflow-audit outreach по UA-2024-05-24-010838-a; попросити 1 пакет здачі та вимоги проєкту</x:v>
      </x:c>
      <x:c r="W1550" s="15" t="str">
        <x:v>Власник / директор; керівник ПТО; відповідальний за договори</x:v>
      </x:c>
      <x:c r="X1550" s="15" t="str">
        <x:v>1 нових підтверджених перемог/договорів у Prozorro на 4 361 057 грн; 0 зі строком виконання не раніше 24.08.2026.</x:v>
      </x:c>
      <x:c r="Y1550" s="15" t="str">
        <x:v>капітальний ремонт ділянки внутрішньо-майданчикової мережі дощової каналізації з підсиленням будівельних конструкцій прилеглої будівлі навчального корпусу (літ. Б); опублікований строк до 2024-11-15. Попросити один знеособлений пакет здачі за цим workflow.</x:v>
      </x:c>
      <x:c r="Z1550" s="15" t="str">
        <x:v>https://prozorro.gov.ua/tender/UA-2024-05-24-010838-a</x:v>
      </x:c>
      <x:c r="AA1550" s="14" t="str">
        <x:v>44668048</x:v>
      </x:c>
      <x:c r="AB1550" s="14" t="str">
        <x:v>2026-08-24</x:v>
      </x:c>
      <x:c r="AC1550" s="14" t="str"/>
      <x:c r="AD1550" s="20" t="str"/>
      <x:c r="AE1550" s="14" t="str"/>
      <x:c r="AF1550" s="14" t="n">
        <x:v>38</x:v>
      </x:c>
      <x:c r="AG1550" s="14" t="str">
        <x:v>I3</x:v>
      </x:c>
      <x:c r="AH1550" s="14" t="n">
        <x:v>1</x:v>
      </x:c>
      <x:c r="AI1550" s="14" t="n">
        <x:v>0</x:v>
      </x:c>
      <x:c r="AJ1550" s="18" t="n">
        <x:v>4361056.91</x:v>
      </x:c>
      <x:c r="AK1550" s="14" t="str">
        <x:v>https://prozorro.gov.ua/tender/UA-2024-05-24-010838-a</x:v>
      </x:c>
      <x:c r="AL1550" s="19" t="n">
        <x:v>45456.40000444445</x:v>
      </x:c>
      <x:c r="AM1550" s="19" t="n">
        <x:v>45611</x:v>
      </x:c>
      <x:c r="AN1550" s="15" t="str">
        <x:v>Ремонт і підсилення бетону</x:v>
      </x:c>
      <x:c r="AO1550" s="15" t="str">
        <x:v>not_found_in_top_search</x:v>
      </x:c>
    </x:row>
    <x:row r="1551">
      <x:c r="A1551" s="14" t="str">
        <x:v>W5-179</x:v>
      </x:c>
      <x:c r="B1551" s="14" t="str">
        <x:v>Prozorro vertical expansion — 24.08</x:v>
      </x:c>
      <x:c r="C1551" s="14" t="str">
        <x:v>ТОВАРИСТВО З ОБМЕЖЕНОЮ ВІДПОВІДАЛЬНІСТЮ "АФІНА ПАЛЛАДІУМ"</x:v>
      </x:c>
      <x:c r="D1551" s="14" t="str">
        <x:v>Чисті приміщення</x:v>
      </x:c>
      <x:c r="E1551" s="14" t="str">
        <x:v>Expansion discovery</x:v>
      </x:c>
      <x:c r="F1551" s="17" t="str">
        <x:v>D3</x:v>
      </x:c>
      <x:c r="G1551" s="14" t="str"/>
      <x:c r="H1551" s="14" t="str">
        <x:v>Discovery розширення — 2 тижні</x:v>
      </x:c>
      <x:c r="I1551" s="16" t="n">
        <x:v>1</x:v>
      </x:c>
      <x:c r="J1551" s="16" t="n">
        <x:v>5</x:v>
      </x:c>
      <x:c r="K1551" s="16" t="n">
        <x:v>5</x:v>
      </x:c>
      <x:c r="L1551" s="16" t="n">
        <x:v>4</x:v>
      </x:c>
      <x:c r="M1551" s="16" t="n">
        <x:v>5</x:v>
      </x:c>
      <x:c r="N1551" s="16" t="n">
        <x:v>5</x:v>
      </x:c>
      <x:c r="O1551" s="16" t="n">
        <x:v>3</x:v>
      </x:c>
      <x:c r="P1551" s="16" t="n">
        <x:f>IF(COUNT(I1551:O1551)&lt;7,"",I1551*8+J1551*3+K1551*2+L1551*2+M1551*2+N1551*2+O1551)</x:f>
        <x:v>64</x:v>
      </x:c>
      <x:c r="Q1551" s="16" t="n">
        <x:f>IF(COUNT(J1551:O1551)&lt;6,"",J1551*5+K1551*4+M1551*4+L1551*3+N1551*2+O1551*2)</x:f>
        <x:v>93</x:v>
      </x:c>
      <x:c r="R1551" s="14" t="str">
        <x:v>high</x:v>
      </x:c>
      <x:c r="S1551" s="14" t="str">
        <x:v>official_prozorro_award_2024_2026</x:v>
      </x:c>
      <x:c r="T1551" s="14" t="str">
        <x:v>official_prozorro_api</x:v>
      </x:c>
      <x:c r="U1551" s="14" t="str">
        <x:v>Не контактували</x:v>
      </x:c>
      <x:c r="V1551" s="15" t="str">
        <x:v>Workflow-audit outreach по UA-2024-04-04-009399-a; попросити 1 пакет здачі та вимоги проєкту</x:v>
      </x:c>
      <x:c r="W1551" s="15" t="str">
        <x:v>Власник / директор; керівник ПТО; відповідальний за договори</x:v>
      </x:c>
      <x:c r="X1551" s="15" t="str">
        <x:v>1 нових підтверджених перемог/договорів у Prozorro на 3 307 968 грн; 0 зі строком виконання не раніше 24.08.2026.</x:v>
      </x:c>
      <x:c r="Y1551" s="15" t="str">
        <x:v>Реконструкція операційного блоку КНП «Монастирищенська багатопрофільна лікарня» за адресою: вул. Соборна, 1, с. Нове Місто, Уманського району, Черкаської області» Коригування (додаткові роботи); опублікований строк до 2024-06-30. Попросити один знеособлений пакет здачі за цим workflow.</x:v>
      </x:c>
      <x:c r="Z1551" s="15" t="str">
        <x:v>https://prozorro.gov.ua/tender/UA-2024-04-04-009399-a</x:v>
      </x:c>
      <x:c r="AA1551" s="14" t="str">
        <x:v>41329917</x:v>
      </x:c>
      <x:c r="AB1551" s="14" t="str">
        <x:v>2026-08-24</x:v>
      </x:c>
      <x:c r="AC1551" s="14" t="str"/>
      <x:c r="AD1551" s="20" t="str"/>
      <x:c r="AE1551" s="14" t="str"/>
      <x:c r="AF1551" s="14" t="n">
        <x:v>38</x:v>
      </x:c>
      <x:c r="AG1551" s="14" t="str">
        <x:v>I3</x:v>
      </x:c>
      <x:c r="AH1551" s="14" t="n">
        <x:v>1</x:v>
      </x:c>
      <x:c r="AI1551" s="14" t="n">
        <x:v>0</x:v>
      </x:c>
      <x:c r="AJ1551" s="18" t="n">
        <x:v>3307968.07</x:v>
      </x:c>
      <x:c r="AK1551" s="14" t="str">
        <x:v>https://prozorro.gov.ua/tender/UA-2024-04-04-009399-a</x:v>
      </x:c>
      <x:c r="AL1551" s="19" t="n">
        <x:v>45386.517492465275</x:v>
      </x:c>
      <x:c r="AM1551" s="19" t="n">
        <x:v>45473</x:v>
      </x:c>
      <x:c r="AN1551" s="15" t="str">
        <x:v>Чисті приміщення</x:v>
      </x:c>
      <x:c r="AO1551" s="15" t="str">
        <x:v>not_found_in_top_search</x:v>
      </x:c>
    </x:row>
    <x:row r="1552">
      <x:c r="A1552" s="14" t="str">
        <x:v>W5-180</x:v>
      </x:c>
      <x:c r="B1552" s="14" t="str">
        <x:v>Prozorro vertical expansion — 24.08</x:v>
      </x:c>
      <x:c r="C1552" s="14" t="str">
        <x:v>ТОВАРИСТВО З ОБМЕЖЕНОЮ ВІДПОВІДАЛЬНІСТЮ «ФОРВАРДМЕД»</x:v>
      </x:c>
      <x:c r="D1552" s="14" t="str">
        <x:v>Чисті приміщення</x:v>
      </x:c>
      <x:c r="E1552" s="14" t="str">
        <x:v>Expansion discovery</x:v>
      </x:c>
      <x:c r="F1552" s="17" t="str">
        <x:v>D3</x:v>
      </x:c>
      <x:c r="G1552" s="14" t="str"/>
      <x:c r="H1552" s="14" t="str">
        <x:v>Discovery розширення — 2 тижні</x:v>
      </x:c>
      <x:c r="I1552" s="16" t="n">
        <x:v>1</x:v>
      </x:c>
      <x:c r="J1552" s="16" t="n">
        <x:v>5</x:v>
      </x:c>
      <x:c r="K1552" s="16" t="n">
        <x:v>5</x:v>
      </x:c>
      <x:c r="L1552" s="16" t="n">
        <x:v>4</x:v>
      </x:c>
      <x:c r="M1552" s="16" t="n">
        <x:v>5</x:v>
      </x:c>
      <x:c r="N1552" s="16" t="n">
        <x:v>5</x:v>
      </x:c>
      <x:c r="O1552" s="16" t="n">
        <x:v>3</x:v>
      </x:c>
      <x:c r="P1552" s="16" t="n">
        <x:f>IF(COUNT(I1552:O1552)&lt;7,"",I1552*8+J1552*3+K1552*2+L1552*2+M1552*2+N1552*2+O1552)</x:f>
        <x:v>64</x:v>
      </x:c>
      <x:c r="Q1552" s="16" t="n">
        <x:f>IF(COUNT(J1552:O1552)&lt;6,"",J1552*5+K1552*4+M1552*4+L1552*3+N1552*2+O1552*2)</x:f>
        <x:v>93</x:v>
      </x:c>
      <x:c r="R1552" s="14" t="str">
        <x:v>high</x:v>
      </x:c>
      <x:c r="S1552" s="14" t="str">
        <x:v>official_prozorro_award_2024_2026</x:v>
      </x:c>
      <x:c r="T1552" s="14" t="str">
        <x:v>official_prozorro_api</x:v>
      </x:c>
      <x:c r="U1552" s="14" t="str">
        <x:v>Не контактували</x:v>
      </x:c>
      <x:c r="V1552" s="15" t="str">
        <x:v>Workflow-audit outreach по UA-2024-12-24-014111-a; попросити 1 пакет здачі та вимоги проєкту</x:v>
      </x:c>
      <x:c r="W1552" s="15" t="str">
        <x:v>Власник / директор; керівник ПТО; відповідальний за договори</x:v>
      </x:c>
      <x:c r="X1552" s="15" t="str">
        <x:v>1 нових підтверджених перемог/договорів у Prozorro на 3 000 000 грн; 0 зі строком виконання не раніше 24.08.2026.</x:v>
      </x:c>
      <x:c r="Y1552" s="15" t="str">
        <x:v>Ммедичне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Система медична рентгенографічна цифрова DP326B-3.; опублікований строк до 2024-12-31. Попросити один знеособлений пакет здачі за цим workflow.</x:v>
      </x:c>
      <x:c r="Z1552" s="15" t="str">
        <x:v>https://prozorro.gov.ua/tender/UA-2024-12-24-014111-a</x:v>
      </x:c>
      <x:c r="AA1552" s="14" t="str">
        <x:v>43965387</x:v>
      </x:c>
      <x:c r="AB1552" s="14" t="str">
        <x:v>2026-08-24</x:v>
      </x:c>
      <x:c r="AC1552" s="14" t="str"/>
      <x:c r="AD1552" s="20" t="str"/>
      <x:c r="AE1552" s="14" t="str"/>
      <x:c r="AF1552" s="14" t="n">
        <x:v>38</x:v>
      </x:c>
      <x:c r="AG1552" s="14" t="str">
        <x:v>I3</x:v>
      </x:c>
      <x:c r="AH1552" s="14" t="n">
        <x:v>1</x:v>
      </x:c>
      <x:c r="AI1552" s="14" t="n">
        <x:v>0</x:v>
      </x:c>
      <x:c r="AJ1552" s="18" t="n">
        <x:v>3000000</x:v>
      </x:c>
      <x:c r="AK1552" s="14" t="str">
        <x:v>https://prozorro.gov.ua/tender/UA-2024-12-24-014111-a</x:v>
      </x:c>
      <x:c r="AL1552" s="19" t="n">
        <x:v>45650.531557835646</x:v>
      </x:c>
      <x:c r="AM1552" s="19" t="n">
        <x:v>45657</x:v>
      </x:c>
      <x:c r="AN1552" s="15" t="str">
        <x:v>Чисті приміщення</x:v>
      </x:c>
      <x:c r="AO1552" s="15" t="str">
        <x:v>not_found_in_top_search</x:v>
      </x:c>
    </x:row>
    <x:row r="1553">
      <x:c r="A1553" s="14" t="str">
        <x:v>W5-181</x:v>
      </x:c>
      <x:c r="B1553" s="14" t="str">
        <x:v>Prozorro vertical expansion — 24.08</x:v>
      </x:c>
      <x:c r="C1553" s="14" t="str">
        <x:v>ТОВ "МД ГРУП КОМПАНІ"</x:v>
      </x:c>
      <x:c r="D1553" s="14" t="str">
        <x:v>Ремонт і підсилення бетону</x:v>
      </x:c>
      <x:c r="E1553" s="14" t="str">
        <x:v>Expansion discovery</x:v>
      </x:c>
      <x:c r="F1553" s="17" t="str">
        <x:v>D3</x:v>
      </x:c>
      <x:c r="G1553" s="14" t="str"/>
      <x:c r="H1553" s="14" t="str">
        <x:v>Discovery розширення — 2 тижні</x:v>
      </x:c>
      <x:c r="I1553" s="16" t="n">
        <x:v>1</x:v>
      </x:c>
      <x:c r="J1553" s="16" t="n">
        <x:v>5</x:v>
      </x:c>
      <x:c r="K1553" s="16" t="n">
        <x:v>5</x:v>
      </x:c>
      <x:c r="L1553" s="16" t="n">
        <x:v>4</x:v>
      </x:c>
      <x:c r="M1553" s="16" t="n">
        <x:v>5</x:v>
      </x:c>
      <x:c r="N1553" s="16" t="n">
        <x:v>5</x:v>
      </x:c>
      <x:c r="O1553" s="16" t="n">
        <x:v>3</x:v>
      </x:c>
      <x:c r="P1553" s="16" t="n">
        <x:f>IF(COUNT(I1553:O1553)&lt;7,"",I1553*8+J1553*3+K1553*2+L1553*2+M1553*2+N1553*2+O1553)</x:f>
        <x:v>64</x:v>
      </x:c>
      <x:c r="Q1553" s="16" t="n">
        <x:f>IF(COUNT(J1553:O1553)&lt;6,"",J1553*5+K1553*4+M1553*4+L1553*3+N1553*2+O1553*2)</x:f>
        <x:v>93</x:v>
      </x:c>
      <x:c r="R1553" s="14" t="str">
        <x:v>high</x:v>
      </x:c>
      <x:c r="S1553" s="14" t="str">
        <x:v>official_prozorro_award_2024_2026</x:v>
      </x:c>
      <x:c r="T1553" s="14" t="str">
        <x:v>official_prozorro_api</x:v>
      </x:c>
      <x:c r="U1553" s="14" t="str">
        <x:v>Не контактували</x:v>
      </x:c>
      <x:c r="V1553" s="15" t="str">
        <x:v>Workflow-audit outreach по UA-2024-02-26-012284-a; попросити 1 пакет здачі та вимоги проєкту</x:v>
      </x:c>
      <x:c r="W1553" s="15" t="str">
        <x:v>Власник / директор; керівник ПТО; відповідальний за договори</x:v>
      </x:c>
      <x:c r="X1553" s="15" t="str">
        <x:v>1 нових підтверджених перемог/договорів у Prozorro на 2 930 685 грн; 0 зі строком виконання не раніше 24.08.2026.</x:v>
      </x:c>
      <x:c r="Y1553" s="15" t="str">
        <x:v>Послуги з поточного ремонту модульних залізобетонних конструкцій та захисних споруд; опублікований строк до 2024-12-31. Попросити один знеособлений пакет здачі за цим workflow.</x:v>
      </x:c>
      <x:c r="Z1553" s="15" t="str">
        <x:v>https://prozorro.gov.ua/tender/UA-2024-02-26-012284-a</x:v>
      </x:c>
      <x:c r="AA1553" s="14" t="str">
        <x:v>44036790</x:v>
      </x:c>
      <x:c r="AB1553" s="14" t="str">
        <x:v>2026-08-24</x:v>
      </x:c>
      <x:c r="AC1553" s="14" t="str"/>
      <x:c r="AD1553" s="20" t="str"/>
      <x:c r="AE1553" s="14" t="str"/>
      <x:c r="AF1553" s="14" t="n">
        <x:v>38</x:v>
      </x:c>
      <x:c r="AG1553" s="14" t="str">
        <x:v>I3</x:v>
      </x:c>
      <x:c r="AH1553" s="14" t="n">
        <x:v>1</x:v>
      </x:c>
      <x:c r="AI1553" s="14" t="n">
        <x:v>0</x:v>
      </x:c>
      <x:c r="AJ1553" s="18" t="n">
        <x:v>2930684.94</x:v>
      </x:c>
      <x:c r="AK1553" s="14" t="str">
        <x:v>https://prozorro.gov.ua/tender/UA-2024-02-26-012284-a</x:v>
      </x:c>
      <x:c r="AL1553" s="19" t="n">
        <x:v>45358.53226115741</x:v>
      </x:c>
      <x:c r="AM1553" s="19" t="n">
        <x:v>45657</x:v>
      </x:c>
      <x:c r="AN1553" s="15" t="str">
        <x:v>Ремонт і підсилення бетону</x:v>
      </x:c>
      <x:c r="AO1553" s="15" t="str">
        <x:v>not_found_in_top_search</x:v>
      </x:c>
    </x:row>
    <x:row r="1554">
      <x:c r="A1554" s="14" t="str">
        <x:v>W5-182</x:v>
      </x:c>
      <x:c r="B1554" s="14" t="str">
        <x:v>Prozorro vertical expansion — 24.08</x:v>
      </x:c>
      <x:c r="C1554" s="14" t="str">
        <x:v>ТОВ "СПЕЦКОМПЛЕКТ ДНІПРО"</x:v>
      </x:c>
      <x:c r="D1554" s="14" t="str">
        <x:v>Ремонт і підсилення бетону</x:v>
      </x:c>
      <x:c r="E1554" s="14" t="str">
        <x:v>Expansion discovery</x:v>
      </x:c>
      <x:c r="F1554" s="17" t="str">
        <x:v>D3</x:v>
      </x:c>
      <x:c r="G1554" s="14" t="str"/>
      <x:c r="H1554" s="14" t="str">
        <x:v>Discovery розширення — 2 тижні</x:v>
      </x:c>
      <x:c r="I1554" s="16" t="n">
        <x:v>1</x:v>
      </x:c>
      <x:c r="J1554" s="16" t="n">
        <x:v>5</x:v>
      </x:c>
      <x:c r="K1554" s="16" t="n">
        <x:v>5</x:v>
      </x:c>
      <x:c r="L1554" s="16" t="n">
        <x:v>3</x:v>
      </x:c>
      <x:c r="M1554" s="16" t="n">
        <x:v>5</x:v>
      </x:c>
      <x:c r="N1554" s="16" t="n">
        <x:v>5</x:v>
      </x:c>
      <x:c r="O1554" s="16" t="n">
        <x:v>3</x:v>
      </x:c>
      <x:c r="P1554" s="16" t="n">
        <x:f>IF(COUNT(I1554:O1554)&lt;7,"",I1554*8+J1554*3+K1554*2+L1554*2+M1554*2+N1554*2+O1554)</x:f>
        <x:v>62</x:v>
      </x:c>
      <x:c r="Q1554" s="16" t="n">
        <x:f>IF(COUNT(J1554:O1554)&lt;6,"",J1554*5+K1554*4+M1554*4+L1554*3+N1554*2+O1554*2)</x:f>
        <x:v>90</x:v>
      </x:c>
      <x:c r="R1554" s="14" t="str">
        <x:v>high</x:v>
      </x:c>
      <x:c r="S1554" s="14" t="str">
        <x:v>official_prozorro_award_2024_2026</x:v>
      </x:c>
      <x:c r="T1554" s="14" t="str">
        <x:v>official_prozorro_api</x:v>
      </x:c>
      <x:c r="U1554" s="14" t="str">
        <x:v>Не контактували</x:v>
      </x:c>
      <x:c r="V1554" s="15" t="str">
        <x:v>Workflow-audit outreach по UA-2025-04-17-011482-a; попросити 1 пакет здачі та вимоги проєкту</x:v>
      </x:c>
      <x:c r="W1554" s="15" t="str">
        <x:v>Власник / директор; керівник ПТО; відповідальний за договори</x:v>
      </x:c>
      <x:c r="X1554" s="15" t="str">
        <x:v>1 нових підтверджених перемог/договорів у Prozorro на 1 902 026 грн; 0 зі строком виконання не раніше 24.08.2026.</x:v>
      </x:c>
      <x:c r="Y1554" s="15" t="str">
        <x:v>Послуги з поточного ремонту модульних залізобетонних конструкцій та захисних споруд; опублікований строк до 2025-12-31. Попросити один знеособлений пакет здачі за цим workflow.</x:v>
      </x:c>
      <x:c r="Z1554" s="15" t="str">
        <x:v>https://prozorro.gov.ua/tender/UA-2025-04-17-011482-a</x:v>
      </x:c>
      <x:c r="AA1554" s="14" t="str">
        <x:v>45261753</x:v>
      </x:c>
      <x:c r="AB1554" s="14" t="str">
        <x:v>2026-08-24</x:v>
      </x:c>
      <x:c r="AC1554" s="14" t="str"/>
      <x:c r="AD1554" s="20" t="str"/>
      <x:c r="AE1554" s="14" t="str"/>
      <x:c r="AF1554" s="14" t="n">
        <x:v>38</x:v>
      </x:c>
      <x:c r="AG1554" s="14" t="str">
        <x:v>I3</x:v>
      </x:c>
      <x:c r="AH1554" s="14" t="n">
        <x:v>1</x:v>
      </x:c>
      <x:c r="AI1554" s="14" t="n">
        <x:v>0</x:v>
      </x:c>
      <x:c r="AJ1554" s="18" t="n">
        <x:v>1902026.39</x:v>
      </x:c>
      <x:c r="AK1554" s="14" t="str">
        <x:v>https://prozorro.gov.ua/tender/UA-2025-04-17-011482-a</x:v>
      </x:c>
      <x:c r="AL1554" s="19" t="n">
        <x:v>45772.60292600694</x:v>
      </x:c>
      <x:c r="AM1554" s="19" t="n">
        <x:v>46022</x:v>
      </x:c>
      <x:c r="AN1554" s="15" t="str">
        <x:v>Ремонт і підсилення бетону</x:v>
      </x:c>
      <x:c r="AO1554" s="15" t="str">
        <x:v>not_found_in_top_search</x:v>
      </x:c>
    </x:row>
    <x:row r="1555">
      <x:c r="A1555" s="14" t="str">
        <x:v>W5-183</x:v>
      </x:c>
      <x:c r="B1555" s="14" t="str">
        <x:v>Prozorro vertical expansion — 24.08</x:v>
      </x:c>
      <x:c r="C1555" s="14" t="str">
        <x:v>ТОВ "КЛІМАТ СТАЙЛ"</x:v>
      </x:c>
      <x:c r="D1555" s="14" t="str">
        <x:v>Промисловий холод</x:v>
      </x:c>
      <x:c r="E1555" s="14" t="str">
        <x:v>Expansion discovery</x:v>
      </x:c>
      <x:c r="F1555" s="17" t="str">
        <x:v>D3</x:v>
      </x:c>
      <x:c r="G1555" s="14" t="str"/>
      <x:c r="H1555" s="14" t="str">
        <x:v>Discovery розширення — 2 тижні</x:v>
      </x:c>
      <x:c r="I1555" s="16" t="n">
        <x:v>1</x:v>
      </x:c>
      <x:c r="J1555" s="16" t="n">
        <x:v>5</x:v>
      </x:c>
      <x:c r="K1555" s="16" t="n">
        <x:v>5</x:v>
      </x:c>
      <x:c r="L1555" s="16" t="n">
        <x:v>3</x:v>
      </x:c>
      <x:c r="M1555" s="16" t="n">
        <x:v>5</x:v>
      </x:c>
      <x:c r="N1555" s="16" t="n">
        <x:v>5</x:v>
      </x:c>
      <x:c r="O1555" s="16" t="n">
        <x:v>3</x:v>
      </x:c>
      <x:c r="P1555" s="16" t="n">
        <x:f>IF(COUNT(I1555:O1555)&lt;7,"",I1555*8+J1555*3+K1555*2+L1555*2+M1555*2+N1555*2+O1555)</x:f>
        <x:v>62</x:v>
      </x:c>
      <x:c r="Q1555" s="16" t="n">
        <x:f>IF(COUNT(J1555:O1555)&lt;6,"",J1555*5+K1555*4+M1555*4+L1555*3+N1555*2+O1555*2)</x:f>
        <x:v>90</x:v>
      </x:c>
      <x:c r="R1555" s="14" t="str">
        <x:v>high</x:v>
      </x:c>
      <x:c r="S1555" s="14" t="str">
        <x:v>official_prozorro_award_2024_2026</x:v>
      </x:c>
      <x:c r="T1555" s="14" t="str">
        <x:v>official_prozorro_api</x:v>
      </x:c>
      <x:c r="U1555" s="14" t="str">
        <x:v>Не контактували</x:v>
      </x:c>
      <x:c r="V1555" s="15" t="str">
        <x:v>Workflow-audit outreach по UA-2025-06-27-008096-a; попросити 1 пакет здачі та вимоги проєкту</x:v>
      </x:c>
      <x:c r="W1555" s="15" t="str">
        <x:v>Власник / директор; керівник ПТО; відповідальний за договори</x:v>
      </x:c>
      <x:c r="X1555" s="15" t="str">
        <x:v>1 нових підтверджених перемог/договорів у Prozorro на 1 873 290 грн; 0 зі строком виконання не раніше 24.08.2026.</x:v>
      </x:c>
      <x:c r="Y1555" s="15" t="str">
        <x:v>Кондиціонери з монтажем (ДК 021:2015: 42510000-4 Теплообмінники, кондиціонери повітря, холодильне обладнання та фільтрувальні пристрої ДК 021:2015: ДК 021:2015: 42512200-0- Настінні кондиціонери повітря); опублікований строк до 2025-08-10. Попросити один знеособлений пакет здачі за цим workflow.</x:v>
      </x:c>
      <x:c r="Z1555" s="15" t="str">
        <x:v>https://prozorro.gov.ua/tender/UA-2025-06-27-008096-a</x:v>
      </x:c>
      <x:c r="AA1555" s="14" t="str">
        <x:v>40974383</x:v>
      </x:c>
      <x:c r="AB1555" s="14" t="str">
        <x:v>2026-08-24</x:v>
      </x:c>
      <x:c r="AC1555" s="14" t="str"/>
      <x:c r="AD1555" s="20" t="str"/>
      <x:c r="AE1555" s="14" t="str"/>
      <x:c r="AF1555" s="14" t="n">
        <x:v>38</x:v>
      </x:c>
      <x:c r="AG1555" s="14" t="str">
        <x:v>I3</x:v>
      </x:c>
      <x:c r="AH1555" s="14" t="n">
        <x:v>1</x:v>
      </x:c>
      <x:c r="AI1555" s="14" t="n">
        <x:v>0</x:v>
      </x:c>
      <x:c r="AJ1555" s="18" t="n">
        <x:v>1873290</x:v>
      </x:c>
      <x:c r="AK1555" s="14" t="str">
        <x:v>https://prozorro.gov.ua/tender/UA-2025-06-27-008096-a</x:v>
      </x:c>
      <x:c r="AL1555" s="19" t="n">
        <x:v>45847.58603864583</x:v>
      </x:c>
      <x:c r="AM1555" s="19" t="n">
        <x:v>45879</x:v>
      </x:c>
      <x:c r="AN1555" s="15" t="str">
        <x:v>Промисловий холод</x:v>
      </x:c>
      <x:c r="AO1555" s="15" t="str">
        <x:v>not_found_in_top_search</x:v>
      </x:c>
    </x:row>
    <x:row r="1556">
      <x:c r="A1556" s="14" t="str">
        <x:v>W5-184</x:v>
      </x:c>
      <x:c r="B1556" s="14" t="str">
        <x:v>Prozorro vertical expansion — 24.08</x:v>
      </x:c>
      <x:c r="C1556" s="14" t="str">
        <x:v>Підприємство з іноземними інвестиціями "БІЛФІНГЕР ТЕБОДІН УКРАЇНА"</x:v>
      </x:c>
      <x:c r="D1556" s="14" t="str">
        <x:v>Насосні станції</x:v>
      </x:c>
      <x:c r="E1556" s="14" t="str">
        <x:v>Expansion discovery</x:v>
      </x:c>
      <x:c r="F1556" s="17" t="str">
        <x:v>D3</x:v>
      </x:c>
      <x:c r="G1556" s="14" t="str"/>
      <x:c r="H1556" s="14" t="str">
        <x:v>Discovery розширення — 2 тижні</x:v>
      </x:c>
      <x:c r="I1556" s="16" t="n">
        <x:v>1</x:v>
      </x:c>
      <x:c r="J1556" s="16" t="n">
        <x:v>5</x:v>
      </x:c>
      <x:c r="K1556" s="16" t="n">
        <x:v>5</x:v>
      </x:c>
      <x:c r="L1556" s="16" t="n">
        <x:v>3</x:v>
      </x:c>
      <x:c r="M1556" s="16" t="n">
        <x:v>5</x:v>
      </x:c>
      <x:c r="N1556" s="16" t="n">
        <x:v>5</x:v>
      </x:c>
      <x:c r="O1556" s="16" t="n">
        <x:v>3</x:v>
      </x:c>
      <x:c r="P1556" s="16" t="n">
        <x:f>IF(COUNT(I1556:O1556)&lt;7,"",I1556*8+J1556*3+K1556*2+L1556*2+M1556*2+N1556*2+O1556)</x:f>
        <x:v>62</x:v>
      </x:c>
      <x:c r="Q1556" s="16" t="n">
        <x:f>IF(COUNT(J1556:O1556)&lt;6,"",J1556*5+K1556*4+M1556*4+L1556*3+N1556*2+O1556*2)</x:f>
        <x:v>90</x:v>
      </x:c>
      <x:c r="R1556" s="14" t="str">
        <x:v>high</x:v>
      </x:c>
      <x:c r="S1556" s="14" t="str">
        <x:v>official_prozorro_award_2024_2026</x:v>
      </x:c>
      <x:c r="T1556" s="14" t="str">
        <x:v>official_prozorro_api</x:v>
      </x:c>
      <x:c r="U1556" s="14" t="str">
        <x:v>Не контактували</x:v>
      </x:c>
      <x:c r="V1556" s="15" t="str">
        <x:v>Workflow-audit outreach по UA-2025-05-26-007524-a; попросити 1 пакет здачі та вимоги проєкту</x:v>
      </x:c>
      <x:c r="W1556" s="15" t="str">
        <x:v>Власник / директор; керівник ПТО; відповідальний за договори</x:v>
      </x:c>
      <x:c r="X1556" s="15" t="str">
        <x:v>1 нових підтверджених перемог/договорів у Prozorro на 1 779 000 грн; 0 зі строком виконання не раніше 24.08.2026.</x:v>
      </x:c>
      <x:c r="Y1556" s="15" t="str">
        <x:v>Виконання додаткових проектних робіт по об"єкту: "Будівництво каналізаційної насосної станції на території  існуючої каналізаційної насосної станції № 3, розташованої  по вул. Мстиславська, 100а в м. Чернігові"; опублікований строк до 2025-06-30. Попросити один знеособлений пакет здачі за цим workflow.</x:v>
      </x:c>
      <x:c r="Z1556" s="15" t="str">
        <x:v>https://prozorro.gov.ua/tender/UA-2025-05-26-007524-a</x:v>
      </x:c>
      <x:c r="AA1556" s="14" t="str">
        <x:v>22926815</x:v>
      </x:c>
      <x:c r="AB1556" s="14" t="str">
        <x:v>2026-08-24</x:v>
      </x:c>
      <x:c r="AC1556" s="14" t="str"/>
      <x:c r="AD1556" s="20" t="str"/>
      <x:c r="AE1556" s="14" t="str"/>
      <x:c r="AF1556" s="14" t="n">
        <x:v>38</x:v>
      </x:c>
      <x:c r="AG1556" s="14" t="str">
        <x:v>I3</x:v>
      </x:c>
      <x:c r="AH1556" s="14" t="n">
        <x:v>1</x:v>
      </x:c>
      <x:c r="AI1556" s="14" t="n">
        <x:v>0</x:v>
      </x:c>
      <x:c r="AJ1556" s="18" t="n">
        <x:v>1779000</x:v>
      </x:c>
      <x:c r="AK1556" s="14" t="str">
        <x:v>https://prozorro.gov.ua/tender/UA-2025-05-26-007524-a</x:v>
      </x:c>
      <x:c r="AL1556" s="19" t="n">
        <x:v>45806.52990769676</x:v>
      </x:c>
      <x:c r="AM1556" s="19" t="n">
        <x:v>45838.460011574076</x:v>
      </x:c>
      <x:c r="AN1556" s="15" t="str">
        <x:v>Насосні станції</x:v>
      </x:c>
      <x:c r="AO1556" s="15" t="str">
        <x:v>not_found_in_top_search</x:v>
      </x:c>
    </x:row>
    <x:row r="1557">
      <x:c r="A1557" s="14" t="str">
        <x:v>W5-185</x:v>
      </x:c>
      <x:c r="B1557" s="14" t="str">
        <x:v>Prozorro vertical expansion — 24.08</x:v>
      </x:c>
      <x:c r="C1557" s="14" t="str">
        <x:v>ТОВАРИСТВО З ОБМЕЖЕНОЮ ВІДПОВІДАЛЬНІСТЮ "УКРАЇНСЬКІ ІНФОРМСИСТЕМИ"</x:v>
      </x:c>
      <x:c r="D1557" s="14" t="str">
        <x:v>Резервне живлення</x:v>
      </x:c>
      <x:c r="E1557" s="14" t="str">
        <x:v>Pilot now</x:v>
      </x:c>
      <x:c r="F1557" s="17" t="str">
        <x:v>P3</x:v>
      </x:c>
      <x:c r="G1557" s="14" t="str"/>
      <x:c r="H1557" s="14" t="str">
        <x:v>Пілот зараз — Н.15 subset</x:v>
      </x:c>
      <x:c r="I1557" s="16" t="n">
        <x:v>4</x:v>
      </x:c>
      <x:c r="J1557" s="16" t="n">
        <x:v>5</x:v>
      </x:c>
      <x:c r="K1557" s="16" t="n">
        <x:v>5</x:v>
      </x:c>
      <x:c r="L1557" s="16" t="n">
        <x:v>3</x:v>
      </x:c>
      <x:c r="M1557" s="16" t="n">
        <x:v>5</x:v>
      </x:c>
      <x:c r="N1557" s="16" t="n">
        <x:v>5</x:v>
      </x:c>
      <x:c r="O1557" s="16" t="n">
        <x:v>3</x:v>
      </x:c>
      <x:c r="P1557" s="16" t="n">
        <x:f>IF(COUNT(I1557:O1557)&lt;7,"",I1557*8+J1557*3+K1557*2+L1557*2+M1557*2+N1557*2+O1557)</x:f>
        <x:v>86</x:v>
      </x:c>
      <x:c r="Q1557" s="16" t="n">
        <x:f>IF(COUNT(J1557:O1557)&lt;6,"",J1557*5+K1557*4+M1557*4+L1557*3+N1557*2+O1557*2)</x:f>
        <x:v>90</x:v>
      </x:c>
      <x:c r="R1557" s="14" t="str">
        <x:v>high</x:v>
      </x:c>
      <x:c r="S1557" s="14" t="str">
        <x:v>official_prozorro_award_2024_2026</x:v>
      </x:c>
      <x:c r="T1557" s="14" t="str">
        <x:v>official_prozorro_api</x:v>
      </x:c>
      <x:c r="U1557" s="14" t="str">
        <x:v>Не контактували</x:v>
      </x:c>
      <x:c r="V1557" s="15" t="str">
        <x:v>Персоналізований free-pilot outreach по UA-2025-05-20-005910-a; попросити 1 пакет Н.15</x:v>
      </x:c>
      <x:c r="W1557" s="15" t="str">
        <x:v>Власник / директор; керівник ПТО; відповідальний за договори</x:v>
      </x:c>
      <x:c r="X1557" s="15" t="str">
        <x:v>1 нових підтверджених перемог/договорів у Prozorro на 1 760 320 грн; 0 зі строком виконання не раніше 24.08.2026.</x:v>
      </x:c>
      <x:c r="Y1557" s="15" t="str">
        <x:v>Послуги з монтажу та пусконалагодження комплектів джерел безперебійного живлення для вузлів міської мережевої інфраструктури; 51110000-6 Послуги зі встановлення електричного обладнання за ДК 021:2015 Єдиного закупівельного словника; опублікований строк до 2025-12-25. Попросити один знеособлений пакет здачі за цим workflow.</x:v>
      </x:c>
      <x:c r="Z1557" s="15" t="str">
        <x:v>https://prozorro.gov.ua/tender/UA-2025-05-20-005910-a</x:v>
      </x:c>
      <x:c r="AA1557" s="14" t="str">
        <x:v>41076495</x:v>
      </x:c>
      <x:c r="AB1557" s="14" t="str">
        <x:v>2026-08-24</x:v>
      </x:c>
      <x:c r="AC1557" s="14" t="str"/>
      <x:c r="AD1557" s="20" t="str"/>
      <x:c r="AE1557" s="14" t="str"/>
      <x:c r="AF1557" s="14" t="n">
        <x:v>38</x:v>
      </x:c>
      <x:c r="AG1557" s="14" t="str">
        <x:v>I3</x:v>
      </x:c>
      <x:c r="AH1557" s="14" t="n">
        <x:v>1</x:v>
      </x:c>
      <x:c r="AI1557" s="14" t="n">
        <x:v>0</x:v>
      </x:c>
      <x:c r="AJ1557" s="18" t="n">
        <x:v>1760320.08</x:v>
      </x:c>
      <x:c r="AK1557" s="14" t="str">
        <x:v>https://prozorro.gov.ua/tender/UA-2025-05-20-005910-a</x:v>
      </x:c>
      <x:c r="AL1557" s="19" t="n">
        <x:v>45805.355848900464</x:v>
      </x:c>
      <x:c r="AM1557" s="19" t="n">
        <x:v>46016</x:v>
      </x:c>
      <x:c r="AN1557" s="15" t="str">
        <x:v>Резервне живлення</x:v>
      </x:c>
      <x:c r="AO1557" s="15" t="str">
        <x:v>not_found_in_top_search</x:v>
      </x:c>
    </x:row>
    <x:row r="1558">
      <x:c r="A1558" s="14" t="str">
        <x:v>W5-186</x:v>
      </x:c>
      <x:c r="B1558" s="14" t="str">
        <x:v>Prozorro vertical expansion — 24.08</x:v>
      </x:c>
      <x:c r="C1558" s="14" t="str">
        <x:v>ТОВ "СТЕМ ІНЖИНІРИНГ"</x:v>
      </x:c>
      <x:c r="D1558" s="14" t="str">
        <x:v>Стиснене повітря / компресорні</x:v>
      </x:c>
      <x:c r="E1558" s="14" t="str">
        <x:v>Expansion discovery</x:v>
      </x:c>
      <x:c r="F1558" s="17" t="str">
        <x:v>D3</x:v>
      </x:c>
      <x:c r="G1558" s="14" t="str">
        <x:v>stem-engineering.com.ua</x:v>
      </x:c>
      <x:c r="H1558" s="14" t="str">
        <x:v>Discovery розширення — 2 тижні</x:v>
      </x:c>
      <x:c r="I1558" s="16" t="n">
        <x:v>1</x:v>
      </x:c>
      <x:c r="J1558" s="16" t="n">
        <x:v>5</x:v>
      </x:c>
      <x:c r="K1558" s="16" t="n">
        <x:v>5</x:v>
      </x:c>
      <x:c r="L1558" s="16" t="n">
        <x:v>3</x:v>
      </x:c>
      <x:c r="M1558" s="16" t="n">
        <x:v>5</x:v>
      </x:c>
      <x:c r="N1558" s="16" t="n">
        <x:v>5</x:v>
      </x:c>
      <x:c r="O1558" s="16" t="n">
        <x:v>5</x:v>
      </x:c>
      <x:c r="P1558" s="16" t="n">
        <x:f>IF(COUNT(I1558:O1558)&lt;7,"",I1558*8+J1558*3+K1558*2+L1558*2+M1558*2+N1558*2+O1558)</x:f>
        <x:v>64</x:v>
      </x:c>
      <x:c r="Q1558" s="16" t="n">
        <x:f>IF(COUNT(J1558:O1558)&lt;6,"",J1558*5+K1558*4+M1558*4+L1558*3+N1558*2+O1558*2)</x:f>
        <x:v>94</x:v>
      </x:c>
      <x:c r="R1558" s="14" t="str">
        <x:v>high</x:v>
      </x:c>
      <x:c r="S1558" s="14" t="str">
        <x:v>official_prozorro_award_2024_2026</x:v>
      </x:c>
      <x:c r="T1558" s="14" t="str">
        <x:v>official_prozorro_api</x:v>
      </x:c>
      <x:c r="U1558" s="14" t="str">
        <x:v>Не контактували</x:v>
      </x:c>
      <x:c r="V1558" s="15" t="str">
        <x:v>Workflow-audit outreach по UA-2025-10-03-007680-a; попросити 1 пакет здачі та вимоги проєкту</x:v>
      </x:c>
      <x:c r="W1558" s="15" t="str">
        <x:v>Власник / директор; керівник ПТО; відповідальний за договори</x:v>
      </x:c>
      <x:c r="X1558" s="15" t="str">
        <x:v>1 нових підтверджених перемог/договорів у Prozorro на 1 649 000 грн; 1 зі строком виконання не раніше 24.08.2026.</x:v>
      </x:c>
      <x:c r="Y1558" s="15" t="str">
        <x:v>Проектно-вишукувальні роботи по об’єкту: «Реконструкція розподільчого пристрою 10 кВ компресорної станції «Красилів» в Хмельницькому районі Хмельницької області» (стадії «Проект» та «Робоча документація») (Будівельні роботи та поточний ремонт); опублікований строк до 2026-11-17. Попросити один знеособлений пакет здачі за цим workflow.</x:v>
      </x:c>
      <x:c r="Z1558" s="15" t="str">
        <x:v>https://prozorro.gov.ua/tender/UA-2025-10-03-007680-a</x:v>
      </x:c>
      <x:c r="AA1558" s="14" t="str">
        <x:v>41717778</x:v>
      </x:c>
      <x:c r="AB1558" s="14" t="str">
        <x:v>2026-08-24</x:v>
      </x:c>
      <x:c r="AC1558" s="14" t="str"/>
      <x:c r="AD1558" s="20" t="str"/>
      <x:c r="AE1558" s="14" t="str"/>
      <x:c r="AF1558" s="14" t="n">
        <x:v>38</x:v>
      </x:c>
      <x:c r="AG1558" s="14" t="str">
        <x:v>I3</x:v>
      </x:c>
      <x:c r="AH1558" s="14" t="n">
        <x:v>1</x:v>
      </x:c>
      <x:c r="AI1558" s="14" t="n">
        <x:v>1</x:v>
      </x:c>
      <x:c r="AJ1558" s="18" t="n">
        <x:v>1649000</x:v>
      </x:c>
      <x:c r="AK1558" s="14" t="str">
        <x:v>https://prozorro.gov.ua/tender/UA-2025-10-03-007680-a</x:v>
      </x:c>
      <x:c r="AL1558" s="19" t="n">
        <x:v>45957.36414351852</x:v>
      </x:c>
      <x:c r="AM1558" s="19" t="n">
        <x:v>46343</x:v>
      </x:c>
      <x:c r="AN1558" s="15" t="str">
        <x:v>Стиснене повітря / компресорні</x:v>
      </x:c>
      <x:c r="AO1558" s="15" t="str">
        <x:v>supplier_provided_url</x:v>
      </x:c>
    </x:row>
    <x:row r="1559">
      <x:c r="A1559" s="14" t="str">
        <x:v>W5-187</x:v>
      </x:c>
      <x:c r="B1559" s="14" t="str">
        <x:v>Prozorro vertical expansion — 24.08</x:v>
      </x:c>
      <x:c r="C1559" s="14" t="str">
        <x:v>ТОВАРИСТВО З ОБМЕЖЕНОЮ ВІДПОВІДАЛЬНІСТЮ "СМАРТ ТЕЛЕКОМ СЕРВІС"</x:v>
      </x:c>
      <x:c r="D1559" s="14" t="str">
        <x:v>ВОЛЗ / телеком</x:v>
      </x:c>
      <x:c r="E1559" s="14" t="str">
        <x:v>Expansion discovery</x:v>
      </x:c>
      <x:c r="F1559" s="17" t="str">
        <x:v>D3</x:v>
      </x:c>
      <x:c r="G1559" s="14" t="str"/>
      <x:c r="H1559" s="14" t="str">
        <x:v>Discovery розширення — 2 тижні</x:v>
      </x:c>
      <x:c r="I1559" s="16" t="n">
        <x:v>1</x:v>
      </x:c>
      <x:c r="J1559" s="16" t="n">
        <x:v>5</x:v>
      </x:c>
      <x:c r="K1559" s="16" t="n">
        <x:v>5</x:v>
      </x:c>
      <x:c r="L1559" s="16" t="n">
        <x:v>3</x:v>
      </x:c>
      <x:c r="M1559" s="16" t="n">
        <x:v>5</x:v>
      </x:c>
      <x:c r="N1559" s="16" t="n">
        <x:v>5</x:v>
      </x:c>
      <x:c r="O1559" s="16" t="n">
        <x:v>3</x:v>
      </x:c>
      <x:c r="P1559" s="16" t="n">
        <x:f>IF(COUNT(I1559:O1559)&lt;7,"",I1559*8+J1559*3+K1559*2+L1559*2+M1559*2+N1559*2+O1559)</x:f>
        <x:v>62</x:v>
      </x:c>
      <x:c r="Q1559" s="16" t="n">
        <x:f>IF(COUNT(J1559:O1559)&lt;6,"",J1559*5+K1559*4+M1559*4+L1559*3+N1559*2+O1559*2)</x:f>
        <x:v>90</x:v>
      </x:c>
      <x:c r="R1559" s="14" t="str">
        <x:v>high</x:v>
      </x:c>
      <x:c r="S1559" s="14" t="str">
        <x:v>official_prozorro_award_2024_2026</x:v>
      </x:c>
      <x:c r="T1559" s="14" t="str">
        <x:v>official_prozorro_api</x:v>
      </x:c>
      <x:c r="U1559" s="14" t="str">
        <x:v>Не контактували</x:v>
      </x:c>
      <x:c r="V1559" s="15" t="str">
        <x:v>Workflow-audit outreach по UA-2025-08-23-000636-a; попросити 1 пакет здачі та вимоги проєкту</x:v>
      </x:c>
      <x:c r="W1559" s="15" t="str">
        <x:v>Власник / директор; керівник ПТО; відповідальний за договори</x:v>
      </x:c>
      <x:c r="X1559" s="15" t="str">
        <x:v>1 нових підтверджених перемог/договорів у Prozorro на 1 556 004 грн; 0 зі строком виконання не раніше 24.08.2026.</x:v>
      </x:c>
      <x:c r="Y1559" s="15" t="str">
        <x:v>Будівництво волоконно-оптичної лінії зв’язку; опублікований строк до 2025-11-15. Попросити один знеособлений пакет здачі за цим workflow.</x:v>
      </x:c>
      <x:c r="Z1559" s="15" t="str">
        <x:v>https://prozorro.gov.ua/tender/UA-2025-08-23-000636-a</x:v>
      </x:c>
      <x:c r="AA1559" s="14" t="str">
        <x:v>41167126</x:v>
      </x:c>
      <x:c r="AB1559" s="14" t="str">
        <x:v>2026-08-24</x:v>
      </x:c>
      <x:c r="AC1559" s="14" t="str"/>
      <x:c r="AD1559" s="20" t="str"/>
      <x:c r="AE1559" s="14" t="str"/>
      <x:c r="AF1559" s="14" t="n">
        <x:v>38</x:v>
      </x:c>
      <x:c r="AG1559" s="14" t="str">
        <x:v>I3</x:v>
      </x:c>
      <x:c r="AH1559" s="14" t="n">
        <x:v>1</x:v>
      </x:c>
      <x:c r="AI1559" s="14" t="n">
        <x:v>0</x:v>
      </x:c>
      <x:c r="AJ1559" s="18" t="n">
        <x:v>1556004</x:v>
      </x:c>
      <x:c r="AK1559" s="14" t="str">
        <x:v>https://prozorro.gov.ua/tender/UA-2025-08-23-000636-a</x:v>
      </x:c>
      <x:c r="AL1559" s="19" t="n">
        <x:v>45909.236234108794</x:v>
      </x:c>
      <x:c r="AM1559" s="19" t="n">
        <x:v>45976</x:v>
      </x:c>
      <x:c r="AN1559" s="15" t="str">
        <x:v>ВОЛЗ / телеком</x:v>
      </x:c>
      <x:c r="AO1559" s="15" t="str">
        <x:v>not_found_in_top_search</x:v>
      </x:c>
    </x:row>
    <x:row r="1560">
      <x:c r="A1560" s="14" t="str">
        <x:v>W5-188</x:v>
      </x:c>
      <x:c r="B1560" s="14" t="str">
        <x:v>Prozorro vertical expansion — 24.08</x:v>
      </x:c>
      <x:c r="C1560" s="14" t="str">
        <x:v>ПП "РОУДІЗ"</x:v>
      </x:c>
      <x:c r="D1560" s="14" t="str">
        <x:v>Залізнична інфраструктура</x:v>
      </x:c>
      <x:c r="E1560" s="14" t="str">
        <x:v>Expansion discovery</x:v>
      </x:c>
      <x:c r="F1560" s="17" t="str">
        <x:v>D3</x:v>
      </x:c>
      <x:c r="G1560" s="14" t="str"/>
      <x:c r="H1560" s="14" t="str">
        <x:v>Discovery розширення — 2 тижні</x:v>
      </x:c>
      <x:c r="I1560" s="16" t="n">
        <x:v>1</x:v>
      </x:c>
      <x:c r="J1560" s="16" t="n">
        <x:v>5</x:v>
      </x:c>
      <x:c r="K1560" s="16" t="n">
        <x:v>5</x:v>
      </x:c>
      <x:c r="L1560" s="16" t="n">
        <x:v>3</x:v>
      </x:c>
      <x:c r="M1560" s="16" t="n">
        <x:v>5</x:v>
      </x:c>
      <x:c r="N1560" s="16" t="n">
        <x:v>5</x:v>
      </x:c>
      <x:c r="O1560" s="16" t="n">
        <x:v>3</x:v>
      </x:c>
      <x:c r="P1560" s="16" t="n">
        <x:f>IF(COUNT(I1560:O1560)&lt;7,"",I1560*8+J1560*3+K1560*2+L1560*2+M1560*2+N1560*2+O1560)</x:f>
        <x:v>62</x:v>
      </x:c>
      <x:c r="Q1560" s="16" t="n">
        <x:f>IF(COUNT(J1560:O1560)&lt;6,"",J1560*5+K1560*4+M1560*4+L1560*3+N1560*2+O1560*2)</x:f>
        <x:v>90</x:v>
      </x:c>
      <x:c r="R1560" s="14" t="str">
        <x:v>high</x:v>
      </x:c>
      <x:c r="S1560" s="14" t="str">
        <x:v>official_prozorro_award_2024_2026</x:v>
      </x:c>
      <x:c r="T1560" s="14" t="str">
        <x:v>official_prozorro_api</x:v>
      </x:c>
      <x:c r="U1560" s="14" t="str">
        <x:v>Не контактували</x:v>
      </x:c>
      <x:c r="V1560" s="15" t="str">
        <x:v>Workflow-audit outreach по UA-2025-09-22-011675-a; попросити 1 пакет здачі та вимоги проєкту</x:v>
      </x:c>
      <x:c r="W1560" s="15" t="str">
        <x:v>Власник / директор; керівник ПТО; відповідальний за договори</x:v>
      </x:c>
      <x:c r="X1560" s="15" t="str">
        <x:v>1 нових підтверджених перемог/договорів у Prozorro на 1 543 832 грн; 0 зі строком виконання не раніше 24.08.2026.</x:v>
      </x:c>
      <x:c r="Y1560" s="15" t="str">
        <x:v>Послуги з поточного ремонту під’їзду з центральної дороги до реабілітаційного комплексу «Агапе» вздовж залізничної колії в с. Боратин Луцького району Волинської області (45233142-6) (код за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2025-11-15. Попросити один знеособлений пакет здачі за цим workflow.</x:v>
      </x:c>
      <x:c r="Z1560" s="15" t="str">
        <x:v>https://prozorro.gov.ua/tender/UA-2025-09-22-011675-a</x:v>
      </x:c>
      <x:c r="AA1560" s="14" t="str">
        <x:v>31964715</x:v>
      </x:c>
      <x:c r="AB1560" s="14" t="str">
        <x:v>2026-08-24</x:v>
      </x:c>
      <x:c r="AC1560" s="14" t="str"/>
      <x:c r="AD1560" s="20" t="str"/>
      <x:c r="AE1560" s="14" t="str"/>
      <x:c r="AF1560" s="14" t="n">
        <x:v>38</x:v>
      </x:c>
      <x:c r="AG1560" s="14" t="str">
        <x:v>I3</x:v>
      </x:c>
      <x:c r="AH1560" s="14" t="n">
        <x:v>1</x:v>
      </x:c>
      <x:c r="AI1560" s="14" t="n">
        <x:v>0</x:v>
      </x:c>
      <x:c r="AJ1560" s="18" t="n">
        <x:v>1543832.34</x:v>
      </x:c>
      <x:c r="AK1560" s="14" t="str">
        <x:v>https://prozorro.gov.ua/tender/UA-2025-09-22-011675-a</x:v>
      </x:c>
      <x:c r="AL1560" s="19" t="n">
        <x:v>45936.57764005787</x:v>
      </x:c>
      <x:c r="AM1560" s="19" t="n">
        <x:v>45976</x:v>
      </x:c>
      <x:c r="AN1560" s="15" t="str">
        <x:v>Залізнична інфраструктура</x:v>
      </x:c>
      <x:c r="AO1560" s="15" t="str">
        <x:v>not_found_in_top_search</x:v>
      </x:c>
    </x:row>
    <x:row r="1561">
      <x:c r="A1561" s="14" t="str">
        <x:v>W5-189</x:v>
      </x:c>
      <x:c r="B1561" s="14" t="str">
        <x:v>Prozorro vertical expansion — 24.08</x:v>
      </x:c>
      <x:c r="C1561" s="14" t="str">
        <x:v>ТОВ "ЕНЕРГО ЮГ АЛЬЯНС"</x:v>
      </x:c>
      <x:c r="D1561" s="14" t="str">
        <x:v>Резервне живлення</x:v>
      </x:c>
      <x:c r="E1561" s="14" t="str">
        <x:v>Pilot now</x:v>
      </x:c>
      <x:c r="F1561" s="17" t="str">
        <x:v>P3</x:v>
      </x:c>
      <x:c r="G1561" s="14" t="str"/>
      <x:c r="H1561" s="14" t="str">
        <x:v>Пілот зараз — Н.15 subset</x:v>
      </x:c>
      <x:c r="I1561" s="16" t="n">
        <x:v>4</x:v>
      </x:c>
      <x:c r="J1561" s="16" t="n">
        <x:v>5</x:v>
      </x:c>
      <x:c r="K1561" s="16" t="n">
        <x:v>5</x:v>
      </x:c>
      <x:c r="L1561" s="16" t="n">
        <x:v>3</x:v>
      </x:c>
      <x:c r="M1561" s="16" t="n">
        <x:v>5</x:v>
      </x:c>
      <x:c r="N1561" s="16" t="n">
        <x:v>5</x:v>
      </x:c>
      <x:c r="O1561" s="16" t="n">
        <x:v>3</x:v>
      </x:c>
      <x:c r="P1561" s="16" t="n">
        <x:f>IF(COUNT(I1561:O1561)&lt;7,"",I1561*8+J1561*3+K1561*2+L1561*2+M1561*2+N1561*2+O1561)</x:f>
        <x:v>86</x:v>
      </x:c>
      <x:c r="Q1561" s="16" t="n">
        <x:f>IF(COUNT(J1561:O1561)&lt;6,"",J1561*5+K1561*4+M1561*4+L1561*3+N1561*2+O1561*2)</x:f>
        <x:v>90</x:v>
      </x:c>
      <x:c r="R1561" s="14" t="str">
        <x:v>high</x:v>
      </x:c>
      <x:c r="S1561" s="14" t="str">
        <x:v>official_prozorro_award_2024_2026</x:v>
      </x:c>
      <x:c r="T1561" s="14" t="str">
        <x:v>official_prozorro_api</x:v>
      </x:c>
      <x:c r="U1561" s="14" t="str">
        <x:v>Не контактували</x:v>
      </x:c>
      <x:c r="V1561" s="15" t="str">
        <x:v>Персоналізований free-pilot outreach по UA-2025-09-17-011142-a; попросити 1 пакет Н.15</x:v>
      </x:c>
      <x:c r="W1561" s="15" t="str">
        <x:v>Власник / директор; керівник ПТО; відповідальний за договори</x:v>
      </x:c>
      <x:c r="X1561" s="15" t="str">
        <x:v>1 нових підтверджених перемог/договорів у Prozorro на 1 515 534 грн; 0 зі строком виконання не раніше 24.08.2026.</x:v>
      </x:c>
      <x:c r="Y1561" s="15" t="str">
        <x:v>«ДК 021:2015 код 45310000-3 Електромонтажні роботи «Послуги з підключення джерел резервного живлення (монтаж та підключення дизель-генератора) в закладах освіти  Солом'янського району міста Києва»; опублікований строк до 2025-11-30. Попросити один знеособлений пакет здачі за цим workflow.</x:v>
      </x:c>
      <x:c r="Z1561" s="15" t="str">
        <x:v>https://prozorro.gov.ua/tender/UA-2025-09-17-011142-a</x:v>
      </x:c>
      <x:c r="AA1561" s="14" t="str">
        <x:v>43643441</x:v>
      </x:c>
      <x:c r="AB1561" s="14" t="str">
        <x:v>2026-08-24</x:v>
      </x:c>
      <x:c r="AC1561" s="14" t="str"/>
      <x:c r="AD1561" s="20" t="str"/>
      <x:c r="AE1561" s="14" t="str"/>
      <x:c r="AF1561" s="14" t="n">
        <x:v>38</x:v>
      </x:c>
      <x:c r="AG1561" s="14" t="str">
        <x:v>I3</x:v>
      </x:c>
      <x:c r="AH1561" s="14" t="n">
        <x:v>1</x:v>
      </x:c>
      <x:c r="AI1561" s="14" t="n">
        <x:v>0</x:v>
      </x:c>
      <x:c r="AJ1561" s="18" t="n">
        <x:v>1515533.65</x:v>
      </x:c>
      <x:c r="AK1561" s="14" t="str">
        <x:v>https://prozorro.gov.ua/tender/UA-2025-09-17-011142-a</x:v>
      </x:c>
      <x:c r="AL1561" s="19" t="n">
        <x:v>45930.47648636574</x:v>
      </x:c>
      <x:c r="AM1561" s="19" t="n">
        <x:v>45991</x:v>
      </x:c>
      <x:c r="AN1561" s="15" t="str">
        <x:v>Резервне живлення</x:v>
      </x:c>
      <x:c r="AO1561" s="15" t="str">
        <x:v>not_found_in_top_search</x:v>
      </x:c>
    </x:row>
    <x:row r="1562">
      <x:c r="A1562" s="14" t="str">
        <x:v>W5-190</x:v>
      </x:c>
      <x:c r="B1562" s="14" t="str">
        <x:v>Prozorro vertical expansion — 24.08</x:v>
      </x:c>
      <x:c r="C1562" s="14" t="str">
        <x:v>Державне підприємство "Науково-дослідний інститут будівельного виробництва імені В.С. Балицького""</x:v>
      </x:c>
      <x:c r="D1562" s="14" t="str">
        <x:v>Насосні станції</x:v>
      </x:c>
      <x:c r="E1562" s="14" t="str">
        <x:v>Expansion discovery</x:v>
      </x:c>
      <x:c r="F1562" s="17" t="str">
        <x:v>D3</x:v>
      </x:c>
      <x:c r="G1562" s="14" t="str"/>
      <x:c r="H1562" s="14" t="str">
        <x:v>Discovery розширення — 2 тижні</x:v>
      </x:c>
      <x:c r="I1562" s="16" t="n">
        <x:v>1</x:v>
      </x:c>
      <x:c r="J1562" s="16" t="n">
        <x:v>5</x:v>
      </x:c>
      <x:c r="K1562" s="16" t="n">
        <x:v>5</x:v>
      </x:c>
      <x:c r="L1562" s="16" t="n">
        <x:v>3</x:v>
      </x:c>
      <x:c r="M1562" s="16" t="n">
        <x:v>5</x:v>
      </x:c>
      <x:c r="N1562" s="16" t="n">
        <x:v>5</x:v>
      </x:c>
      <x:c r="O1562" s="16" t="n">
        <x:v>3</x:v>
      </x:c>
      <x:c r="P1562" s="16" t="n">
        <x:f>IF(COUNT(I1562:O1562)&lt;7,"",I1562*8+J1562*3+K1562*2+L1562*2+M1562*2+N1562*2+O1562)</x:f>
        <x:v>62</x:v>
      </x:c>
      <x:c r="Q1562" s="16" t="n">
        <x:f>IF(COUNT(J1562:O1562)&lt;6,"",J1562*5+K1562*4+M1562*4+L1562*3+N1562*2+O1562*2)</x:f>
        <x:v>90</x:v>
      </x:c>
      <x:c r="R1562" s="14" t="str">
        <x:v>high</x:v>
      </x:c>
      <x:c r="S1562" s="14" t="str">
        <x:v>official_prozorro_award_2024_2026</x:v>
      </x:c>
      <x:c r="T1562" s="14" t="str">
        <x:v>official_prozorro_api</x:v>
      </x:c>
      <x:c r="U1562" s="14" t="str">
        <x:v>Не контактували</x:v>
      </x:c>
      <x:c r="V1562" s="15" t="str">
        <x:v>Workflow-audit outreach по UA-2025-07-25-007113-a; попросити 1 пакет здачі та вимоги проєкту</x:v>
      </x:c>
      <x:c r="W1562" s="15" t="str">
        <x:v>Власник / директор; керівник ПТО; відповідальний за договори</x:v>
      </x:c>
      <x:c r="X1562" s="15" t="str">
        <x:v>1 нових підтверджених перемог/договорів у Prozorro на 1 395 841 грн; 0 зі строком виконання не раніше 24.08.2026.</x:v>
      </x:c>
      <x:c r="Y1562" s="15" t="str">
        <x:v>Виконання робіт зі здійснення науково-технічного супроводу на етапі проєктування по об'єкту будівництва: "Будівництво каналізаційної насосної станції на території існуючої каналізаційної насосної станції № 3, розташованої по вул. Мстиславській, 100 а в м. Чернігові" (ДК 021:2015: 71350000-6 - Науково-технічні послуги в галузі інженерії (71356100-9- Послуги з технічного контролю)); опублікований строк до 2025-12-31. Попросити один знеособлений пакет здачі за цим workflow.</x:v>
      </x:c>
      <x:c r="Z1562" s="15" t="str">
        <x:v>https://prozorro.gov.ua/tender/UA-2025-07-25-007113-a</x:v>
      </x:c>
      <x:c r="AA1562" s="14" t="str">
        <x:v>38283024</x:v>
      </x:c>
      <x:c r="AB1562" s="14" t="str">
        <x:v>2026-08-24</x:v>
      </x:c>
      <x:c r="AC1562" s="14" t="str"/>
      <x:c r="AD1562" s="20" t="str"/>
      <x:c r="AE1562" s="14" t="str"/>
      <x:c r="AF1562" s="14" t="n">
        <x:v>38</x:v>
      </x:c>
      <x:c r="AG1562" s="14" t="str">
        <x:v>I3</x:v>
      </x:c>
      <x:c r="AH1562" s="14" t="n">
        <x:v>1</x:v>
      </x:c>
      <x:c r="AI1562" s="14" t="n">
        <x:v>0</x:v>
      </x:c>
      <x:c r="AJ1562" s="18" t="n">
        <x:v>1395841.46</x:v>
      </x:c>
      <x:c r="AK1562" s="14" t="str">
        <x:v>https://prozorro.gov.ua/tender/UA-2025-07-25-007113-a</x:v>
      </x:c>
      <x:c r="AL1562" s="19" t="n">
        <x:v>45863.486732523146</x:v>
      </x:c>
      <x:c r="AM1562" s="19" t="n">
        <x:v>46022.526712962965</x:v>
      </x:c>
      <x:c r="AN1562" s="15" t="str">
        <x:v>Насосні станції</x:v>
      </x:c>
      <x:c r="AO1562" s="15" t="str">
        <x:v>not_found_in_top_search</x:v>
      </x:c>
    </x:row>
    <x:row r="1563">
      <x:c r="A1563" s="14" t="str">
        <x:v>W5-191</x:v>
      </x:c>
      <x:c r="B1563" s="14" t="str">
        <x:v>Prozorro vertical expansion — 24.08</x:v>
      </x:c>
      <x:c r="C1563" s="14" t="str">
        <x:v>ПРИВАТНЕ ПІДПРИЄМСТВО "ДІКОН-БУД"</x:v>
      </x:c>
      <x:c r="D1563" s="14" t="str">
        <x:v>Ремонт і підсилення бетону</x:v>
      </x:c>
      <x:c r="E1563" s="14" t="str">
        <x:v>Expansion discovery</x:v>
      </x:c>
      <x:c r="F1563" s="17" t="str">
        <x:v>D3</x:v>
      </x:c>
      <x:c r="G1563" s="14" t="str"/>
      <x:c r="H1563" s="14" t="str">
        <x:v>Discovery розширення — 2 тижні</x:v>
      </x:c>
      <x:c r="I1563" s="16" t="n">
        <x:v>1</x:v>
      </x:c>
      <x:c r="J1563" s="16" t="n">
        <x:v>5</x:v>
      </x:c>
      <x:c r="K1563" s="16" t="n">
        <x:v>5</x:v>
      </x:c>
      <x:c r="L1563" s="16" t="n">
        <x:v>3</x:v>
      </x:c>
      <x:c r="M1563" s="16" t="n">
        <x:v>5</x:v>
      </x:c>
      <x:c r="N1563" s="16" t="n">
        <x:v>5</x:v>
      </x:c>
      <x:c r="O1563" s="16" t="n">
        <x:v>3</x:v>
      </x:c>
      <x:c r="P1563" s="16" t="n">
        <x:f>IF(COUNT(I1563:O1563)&lt;7,"",I1563*8+J1563*3+K1563*2+L1563*2+M1563*2+N1563*2+O1563)</x:f>
        <x:v>62</x:v>
      </x:c>
      <x:c r="Q1563" s="16" t="n">
        <x:f>IF(COUNT(J1563:O1563)&lt;6,"",J1563*5+K1563*4+M1563*4+L1563*3+N1563*2+O1563*2)</x:f>
        <x:v>90</x:v>
      </x:c>
      <x:c r="R1563" s="14" t="str">
        <x:v>high</x:v>
      </x:c>
      <x:c r="S1563" s="14" t="str">
        <x:v>official_prozorro_award_2024_2026</x:v>
      </x:c>
      <x:c r="T1563" s="14" t="str">
        <x:v>official_prozorro_api</x:v>
      </x:c>
      <x:c r="U1563" s="14" t="str">
        <x:v>Не контактували</x:v>
      </x:c>
      <x:c r="V1563" s="15" t="str">
        <x:v>Workflow-audit outreach по UA-2025-10-17-013725-a; попросити 1 пакет здачі та вимоги проєкту</x:v>
      </x:c>
      <x:c r="W1563" s="15" t="str">
        <x:v>Власник / директор; керівник ПТО; відповідальний за договори</x:v>
      </x:c>
      <x:c r="X1563" s="15" t="str">
        <x:v>1 нових підтверджених перемог/договорів у Prozorro на 1 385 146 грн; 0 зі строком виконання не раніше 24.08.2026.</x:v>
      </x:c>
      <x:c r="Y1563" s="15" t="str">
        <x:v>ДК 021:2015-45450000-6 Інші завершальні будівельні роботи (Капітальний ремонт з усунення аварії покрівлі з підсиленням несучих конструкцій гуртожитку №5, кафедри хірургії та акушерства (літер С5-2) Полтавського державного аграрного університету по вул. Сковороди 1/3 в м. Полтава. Коригування); опублікований строк до 2025-12-15. Попросити один знеособлений пакет здачі за цим workflow.</x:v>
      </x:c>
      <x:c r="Z1563" s="15" t="str">
        <x:v>https://prozorro.gov.ua/tender/UA-2025-10-17-013725-a</x:v>
      </x:c>
      <x:c r="AA1563" s="14" t="str">
        <x:v>39740614</x:v>
      </x:c>
      <x:c r="AB1563" s="14" t="str">
        <x:v>2026-08-24</x:v>
      </x:c>
      <x:c r="AC1563" s="14" t="str"/>
      <x:c r="AD1563" s="20" t="str"/>
      <x:c r="AE1563" s="14" t="str"/>
      <x:c r="AF1563" s="14" t="n">
        <x:v>38</x:v>
      </x:c>
      <x:c r="AG1563" s="14" t="str">
        <x:v>I3</x:v>
      </x:c>
      <x:c r="AH1563" s="14" t="n">
        <x:v>1</x:v>
      </x:c>
      <x:c r="AI1563" s="14" t="n">
        <x:v>0</x:v>
      </x:c>
      <x:c r="AJ1563" s="18" t="n">
        <x:v>1385146</x:v>
      </x:c>
      <x:c r="AK1563" s="14" t="str">
        <x:v>https://prozorro.gov.ua/tender/UA-2025-10-17-013725-a</x:v>
      </x:c>
      <x:c r="AL1563" s="19" t="n">
        <x:v>45947.566821388886</x:v>
      </x:c>
      <x:c r="AM1563" s="19" t="n">
        <x:v>46006</x:v>
      </x:c>
      <x:c r="AN1563" s="15" t="str">
        <x:v>Ремонт і підсилення бетону</x:v>
      </x:c>
      <x:c r="AO1563" s="15" t="str">
        <x:v>not_found_in_top_search</x:v>
      </x:c>
    </x:row>
    <x:row r="1564">
      <x:c r="A1564" s="14" t="str">
        <x:v>W5-192</x:v>
      </x:c>
      <x:c r="B1564" s="14" t="str">
        <x:v>Prozorro vertical expansion — 24.08</x:v>
      </x:c>
      <x:c r="C1564" s="14" t="str">
        <x:v>ПРИВАТНЕ ПІДПРИЄМСТВО "ВК НАФТОГАЗПРОМБУД"</x:v>
      </x:c>
      <x:c r="D1564" s="14" t="str">
        <x:v>Насосні станції</x:v>
      </x:c>
      <x:c r="E1564" s="14" t="str">
        <x:v>Expansion discovery</x:v>
      </x:c>
      <x:c r="F1564" s="17" t="str">
        <x:v>D3</x:v>
      </x:c>
      <x:c r="G1564" s="14" t="str"/>
      <x:c r="H1564" s="14" t="str">
        <x:v>Discovery розширення — 2 тижні</x:v>
      </x:c>
      <x:c r="I1564" s="16" t="n">
        <x:v>1</x:v>
      </x:c>
      <x:c r="J1564" s="16" t="n">
        <x:v>5</x:v>
      </x:c>
      <x:c r="K1564" s="16" t="n">
        <x:v>5</x:v>
      </x:c>
      <x:c r="L1564" s="16" t="n">
        <x:v>3</x:v>
      </x:c>
      <x:c r="M1564" s="16" t="n">
        <x:v>5</x:v>
      </x:c>
      <x:c r="N1564" s="16" t="n">
        <x:v>5</x:v>
      </x:c>
      <x:c r="O1564" s="16" t="n">
        <x:v>3</x:v>
      </x:c>
      <x:c r="P1564" s="16" t="n">
        <x:f>IF(COUNT(I1564:O1564)&lt;7,"",I1564*8+J1564*3+K1564*2+L1564*2+M1564*2+N1564*2+O1564)</x:f>
        <x:v>62</x:v>
      </x:c>
      <x:c r="Q1564" s="16" t="n">
        <x:f>IF(COUNT(J1564:O1564)&lt;6,"",J1564*5+K1564*4+M1564*4+L1564*3+N1564*2+O1564*2)</x:f>
        <x:v>90</x:v>
      </x:c>
      <x:c r="R1564" s="14" t="str">
        <x:v>high</x:v>
      </x:c>
      <x:c r="S1564" s="14" t="str">
        <x:v>official_prozorro_award_2024_2026</x:v>
      </x:c>
      <x:c r="T1564" s="14" t="str">
        <x:v>official_prozorro_api</x:v>
      </x:c>
      <x:c r="U1564" s="14" t="str">
        <x:v>Не контактували</x:v>
      </x:c>
      <x:c r="V1564" s="15" t="str">
        <x:v>Workflow-audit outreach по UA-2025-08-11-011365-a; попросити 1 пакет здачі та вимоги проєкту</x:v>
      </x:c>
      <x:c r="W1564" s="15" t="str">
        <x:v>Власник / директор; керівник ПТО; відповідальний за договори</x:v>
      </x:c>
      <x:c r="X1564" s="15" t="str">
        <x:v>1 нових підтверджених перемог/договорів у Prozorro на 1 071 857 грн; 0 зі строком виконання не раніше 24.08.2026.</x:v>
      </x:c>
      <x:c r="Y1564" s="15" t="str">
        <x:v>Нове будівництво мереж 10-0,4 кВ для електропостачання каналізаційної насосної станції по вул. Балукова, в с.Крюківщина, Бучанського району, Київської області; опублікований строк до 2025-10-31. Попросити один знеособлений пакет здачі за цим workflow.</x:v>
      </x:c>
      <x:c r="Z1564" s="15" t="str">
        <x:v>https://prozorro.gov.ua/tender/UA-2025-08-11-011365-a</x:v>
      </x:c>
      <x:c r="AA1564" s="14" t="str">
        <x:v>33661328</x:v>
      </x:c>
      <x:c r="AB1564" s="14" t="str">
        <x:v>2026-08-24</x:v>
      </x:c>
      <x:c r="AC1564" s="14" t="str"/>
      <x:c r="AD1564" s="20" t="str"/>
      <x:c r="AE1564" s="14" t="str"/>
      <x:c r="AF1564" s="14" t="n">
        <x:v>38</x:v>
      </x:c>
      <x:c r="AG1564" s="14" t="str">
        <x:v>I3</x:v>
      </x:c>
      <x:c r="AH1564" s="14" t="n">
        <x:v>1</x:v>
      </x:c>
      <x:c r="AI1564" s="14" t="n">
        <x:v>0</x:v>
      </x:c>
      <x:c r="AJ1564" s="18" t="n">
        <x:v>1071857.01</x:v>
      </x:c>
      <x:c r="AK1564" s="14" t="str">
        <x:v>https://prozorro.gov.ua/tender/UA-2025-08-11-011365-a</x:v>
      </x:c>
      <x:c r="AL1564" s="19" t="n">
        <x:v>45880.62270693287</x:v>
      </x:c>
      <x:c r="AM1564" s="19" t="n">
        <x:v>45961</x:v>
      </x:c>
      <x:c r="AN1564" s="15" t="str">
        <x:v>Насосні станції</x:v>
      </x:c>
      <x:c r="AO1564" s="15" t="str">
        <x:v>not_found_in_top_search</x:v>
      </x:c>
    </x:row>
    <x:row r="1565">
      <x:c r="A1565" s="14" t="str">
        <x:v>W5-193</x:v>
      </x:c>
      <x:c r="B1565" s="14" t="str">
        <x:v>Prozorro vertical expansion — 24.08</x:v>
      </x:c>
      <x:c r="C1565" s="14" t="str">
        <x:v>ТОВ "КЛІМАТ-ХАУЗ"</x:v>
      </x:c>
      <x:c r="D1565" s="14" t="str">
        <x:v>Промисловий холод</x:v>
      </x:c>
      <x:c r="E1565" s="14" t="str">
        <x:v>Expansion discovery</x:v>
      </x:c>
      <x:c r="F1565" s="17" t="str">
        <x:v>D3</x:v>
      </x:c>
      <x:c r="G1565" s="14" t="str">
        <x:v>climathouse.com.ua</x:v>
      </x:c>
      <x:c r="H1565" s="14" t="str">
        <x:v>Discovery розширення — 2 тижні</x:v>
      </x:c>
      <x:c r="I1565" s="16" t="n">
        <x:v>1</x:v>
      </x:c>
      <x:c r="J1565" s="16" t="n">
        <x:v>5</x:v>
      </x:c>
      <x:c r="K1565" s="16" t="n">
        <x:v>5</x:v>
      </x:c>
      <x:c r="L1565" s="16" t="n">
        <x:v>3</x:v>
      </x:c>
      <x:c r="M1565" s="16" t="n">
        <x:v>5</x:v>
      </x:c>
      <x:c r="N1565" s="16" t="n">
        <x:v>5</x:v>
      </x:c>
      <x:c r="O1565" s="16" t="n">
        <x:v>5</x:v>
      </x:c>
      <x:c r="P1565" s="16" t="n">
        <x:f>IF(COUNT(I1565:O1565)&lt;7,"",I1565*8+J1565*3+K1565*2+L1565*2+M1565*2+N1565*2+O1565)</x:f>
        <x:v>64</x:v>
      </x:c>
      <x:c r="Q1565" s="16" t="n">
        <x:f>IF(COUNT(J1565:O1565)&lt;6,"",J1565*5+K1565*4+M1565*4+L1565*3+N1565*2+O1565*2)</x:f>
        <x:v>94</x:v>
      </x:c>
      <x:c r="R1565" s="14" t="str">
        <x:v>high</x:v>
      </x:c>
      <x:c r="S1565" s="14" t="str">
        <x:v>official_prozorro_award_2024_2026</x:v>
      </x:c>
      <x:c r="T1565" s="14" t="str">
        <x:v>official_prozorro_api</x:v>
      </x:c>
      <x:c r="U1565" s="14" t="str">
        <x:v>Не контактували</x:v>
      </x:c>
      <x:c r="V1565" s="15" t="str">
        <x:v>Workflow-audit outreach по UA-2025-10-14-012688-a; попросити 1 пакет здачі та вимоги проєкту</x:v>
      </x:c>
      <x:c r="W1565" s="15" t="str">
        <x:v>Власник / директор; керівник ПТО; відповідальний за договори</x:v>
      </x:c>
      <x:c r="X1565" s="15" t="str">
        <x:v>1 нових підтверджених перемог/договорів у Prozorro на 694 107 грн; 0 зі строком виконання не раніше 24.08.2026.</x:v>
      </x:c>
      <x:c r="Y1565" s="15" t="str">
        <x:v>Кондиціонери з монтажем та пусконалагодженням за ДК 021:2015 - 42510000-4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565" s="15" t="str">
        <x:v>https://prozorro.gov.ua/tender/UA-2025-10-14-012688-a</x:v>
      </x:c>
      <x:c r="AA1565" s="14" t="str">
        <x:v>45766174</x:v>
      </x:c>
      <x:c r="AB1565" s="14" t="str">
        <x:v>2026-08-24</x:v>
      </x:c>
      <x:c r="AC1565" s="14" t="str"/>
      <x:c r="AD1565" s="20" t="str"/>
      <x:c r="AE1565" s="14" t="str"/>
      <x:c r="AF1565" s="14" t="n">
        <x:v>38</x:v>
      </x:c>
      <x:c r="AG1565" s="14" t="str">
        <x:v>I3</x:v>
      </x:c>
      <x:c r="AH1565" s="14" t="n">
        <x:v>1</x:v>
      </x:c>
      <x:c r="AI1565" s="14" t="n">
        <x:v>0</x:v>
      </x:c>
      <x:c r="AJ1565" s="18" t="n">
        <x:v>694106.64</x:v>
      </x:c>
      <x:c r="AK1565" s="14" t="str">
        <x:v>https://prozorro.gov.ua/tender/UA-2025-10-14-012688-a</x:v>
      </x:c>
      <x:c r="AL1565" s="19" t="n">
        <x:v>45957.37564293981</x:v>
      </x:c>
      <x:c r="AM1565" s="19" t="n">
        <x:v>46022</x:v>
      </x:c>
      <x:c r="AN1565" s="15" t="str">
        <x:v>Промисловий холод</x:v>
      </x:c>
      <x:c r="AO1565" s="15" t="str">
        <x:v>supplier_provided_url</x:v>
      </x:c>
    </x:row>
    <x:row r="1566">
      <x:c r="A1566" s="14" t="str">
        <x:v>W5-194</x:v>
      </x:c>
      <x:c r="B1566" s="14" t="str">
        <x:v>Prozorro vertical expansion — 24.08</x:v>
      </x:c>
      <x:c r="C1566" s="14" t="str">
        <x:v>ТОВАРИСТВО З ОБМЕЖЕНОЮ ВІДПОВІДА­ЛЬНІСТЮ СК «ДП БУД»
</x:v>
      </x:c>
      <x:c r="D1566" s="14" t="str">
        <x:v>Стиснене повітря / компресорні</x:v>
      </x:c>
      <x:c r="E1566" s="14" t="str">
        <x:v>Expansion discovery</x:v>
      </x:c>
      <x:c r="F1566" s="17" t="str">
        <x:v>D3</x:v>
      </x:c>
      <x:c r="G1566" s="14" t="str"/>
      <x:c r="H1566" s="14" t="str">
        <x:v>Discovery розширення — 2 тижні</x:v>
      </x:c>
      <x:c r="I1566" s="16" t="n">
        <x:v>1</x:v>
      </x:c>
      <x:c r="J1566" s="16" t="n">
        <x:v>5</x:v>
      </x:c>
      <x:c r="K1566" s="16" t="n">
        <x:v>5</x:v>
      </x:c>
      <x:c r="L1566" s="16" t="n">
        <x:v>3</x:v>
      </x:c>
      <x:c r="M1566" s="16" t="n">
        <x:v>5</x:v>
      </x:c>
      <x:c r="N1566" s="16" t="n">
        <x:v>5</x:v>
      </x:c>
      <x:c r="O1566" s="16" t="n">
        <x:v>3</x:v>
      </x:c>
      <x:c r="P1566" s="16" t="n">
        <x:f>IF(COUNT(I1566:O1566)&lt;7,"",I1566*8+J1566*3+K1566*2+L1566*2+M1566*2+N1566*2+O1566)</x:f>
        <x:v>62</x:v>
      </x:c>
      <x:c r="Q1566" s="16" t="n">
        <x:f>IF(COUNT(J1566:O1566)&lt;6,"",J1566*5+K1566*4+M1566*4+L1566*3+N1566*2+O1566*2)</x:f>
        <x:v>90</x:v>
      </x:c>
      <x:c r="R1566" s="14" t="str">
        <x:v>high</x:v>
      </x:c>
      <x:c r="S1566" s="14" t="str">
        <x:v>official_prozorro_award_2024_2026</x:v>
      </x:c>
      <x:c r="T1566" s="14" t="str">
        <x:v>official_prozorro_api</x:v>
      </x:c>
      <x:c r="U1566" s="14" t="str">
        <x:v>Не контактували</x:v>
      </x:c>
      <x:c r="V1566" s="15" t="str">
        <x:v>Workflow-audit outreach по UA-2025-10-13-001608-a; попросити 1 пакет здачі та вимоги проєкту</x:v>
      </x:c>
      <x:c r="W1566" s="15" t="str">
        <x:v>Власник / директор; керівник ПТО; відповідальний за договори</x:v>
      </x:c>
      <x:c r="X1566" s="15" t="str">
        <x:v>1 нових підтверджених перемог/договорів у Prozorro на 692 780 грн; 1 зі строком виконання не раніше 24.08.2026.</x:v>
      </x:c>
      <x:c r="Y1566" s="15" t="str">
        <x:v>Проєктно-вишукувальні роботи по об'єкту: «Реконструкція системи резервного електропостачання дотискувальної компресорної станції «Дашава» Дашавського виробничого управління підземного зберігання газу» (Будівельні роботи та поточний ремонт); опублікований строк до 2026-12-31. Попросити один знеособлений пакет здачі за цим workflow.</x:v>
      </x:c>
      <x:c r="Z1566" s="15" t="str">
        <x:v>https://prozorro.gov.ua/tender/UA-2025-10-13-001608-a</x:v>
      </x:c>
      <x:c r="AA1566" s="14" t="str">
        <x:v>40847845</x:v>
      </x:c>
      <x:c r="AB1566" s="14" t="str">
        <x:v>2026-08-24</x:v>
      </x:c>
      <x:c r="AC1566" s="14" t="str"/>
      <x:c r="AD1566" s="20" t="str"/>
      <x:c r="AE1566" s="14" t="str"/>
      <x:c r="AF1566" s="14" t="n">
        <x:v>38</x:v>
      </x:c>
      <x:c r="AG1566" s="14" t="str">
        <x:v>I3</x:v>
      </x:c>
      <x:c r="AH1566" s="14" t="n">
        <x:v>1</x:v>
      </x:c>
      <x:c r="AI1566" s="14" t="n">
        <x:v>1</x:v>
      </x:c>
      <x:c r="AJ1566" s="18" t="n">
        <x:v>692780</x:v>
      </x:c>
      <x:c r="AK1566" s="14" t="str">
        <x:v>https://prozorro.gov.ua/tender/UA-2025-10-13-001608-a</x:v>
      </x:c>
      <x:c r="AL1566" s="19" t="n">
        <x:v>45965.29393900463</x:v>
      </x:c>
      <x:c r="AM1566" s="19" t="n">
        <x:v>46387</x:v>
      </x:c>
      <x:c r="AN1566" s="15" t="str">
        <x:v>Стиснене повітря / компресорні</x:v>
      </x:c>
      <x:c r="AO1566" s="15" t="str">
        <x:v>not_found_in_top_search</x:v>
      </x:c>
    </x:row>
    <x:row r="1567">
      <x:c r="A1567" s="14" t="str">
        <x:v>W5-195</x:v>
      </x:c>
      <x:c r="B1567" s="14" t="str">
        <x:v>Prozorro vertical expansion — 24.08</x:v>
      </x:c>
      <x:c r="C1567" s="14" t="str">
        <x:v>ТОВАРИСТВО З ОБМЕЖЕНОЮ ВІДПОВІДАЛЬНІСТЮ "ГЕОГАЗЦЕНТР"</x:v>
      </x:c>
      <x:c r="D1567" s="14" t="str">
        <x:v>Стиснене повітря / компресорні</x:v>
      </x:c>
      <x:c r="E1567" s="14" t="str">
        <x:v>Expansion discovery</x:v>
      </x:c>
      <x:c r="F1567" s="17" t="str">
        <x:v>D3</x:v>
      </x:c>
      <x:c r="G1567" s="14" t="str"/>
      <x:c r="H1567" s="14" t="str">
        <x:v>Discovery розширення — 2 тижні</x:v>
      </x:c>
      <x:c r="I1567" s="16" t="n">
        <x:v>1</x:v>
      </x:c>
      <x:c r="J1567" s="16" t="n">
        <x:v>5</x:v>
      </x:c>
      <x:c r="K1567" s="16" t="n">
        <x:v>5</x:v>
      </x:c>
      <x:c r="L1567" s="16" t="n">
        <x:v>3</x:v>
      </x:c>
      <x:c r="M1567" s="16" t="n">
        <x:v>5</x:v>
      </x:c>
      <x:c r="N1567" s="16" t="n">
        <x:v>5</x:v>
      </x:c>
      <x:c r="O1567" s="16" t="n">
        <x:v>3</x:v>
      </x:c>
      <x:c r="P1567" s="16" t="n">
        <x:f>IF(COUNT(I1567:O1567)&lt;7,"",I1567*8+J1567*3+K1567*2+L1567*2+M1567*2+N1567*2+O1567)</x:f>
        <x:v>62</x:v>
      </x:c>
      <x:c r="Q1567" s="16" t="n">
        <x:f>IF(COUNT(J1567:O1567)&lt;6,"",J1567*5+K1567*4+M1567*4+L1567*3+N1567*2+O1567*2)</x:f>
        <x:v>90</x:v>
      </x:c>
      <x:c r="R1567" s="14" t="str">
        <x:v>high</x:v>
      </x:c>
      <x:c r="S1567" s="14" t="str">
        <x:v>official_prozorro_award_2024_2026</x:v>
      </x:c>
      <x:c r="T1567" s="14" t="str">
        <x:v>official_prozorro_api</x:v>
      </x:c>
      <x:c r="U1567" s="14" t="str">
        <x:v>Не контактували</x:v>
      </x:c>
      <x:c r="V1567" s="15" t="str">
        <x:v>Workflow-audit outreach по UA-2025-04-21-003605-a; попросити 1 пакет здачі та вимоги проєкту</x:v>
      </x:c>
      <x:c r="W1567" s="15" t="str">
        <x:v>Власник / директор; керівник ПТО; відповідальний за договори</x:v>
      </x:c>
      <x:c r="X1567" s="15" t="str">
        <x:v>1 нових підтверджених перемог/договорів у Prozorro на 649 728 грн; 0 зі строком виконання не раніше 24.08.2026.</x:v>
      </x:c>
      <x:c r="Y1567" s="15" t="str">
        <x:v>Проєктно-вишукувальні роботи «Реконструкція загальностанційної системи керування головного щита управління-1 та систем автоматичного керування газоперекачувальними агрегатами № 2,7 компресорного цеху №1 дотискувальної компресорної станції «Більче – Волиця» Стрийського виробничого управління підземного зберігання газу» (Будівельні роботи та поточний ремонт); опублікований строк до 2025-10-31. Попросити один знеособлений пакет здачі за цим workflow.</x:v>
      </x:c>
      <x:c r="Z1567" s="15" t="str">
        <x:v>https://prozorro.gov.ua/tender/UA-2025-04-21-003605-a</x:v>
      </x:c>
      <x:c r="AA1567" s="14" t="str">
        <x:v>33308672</x:v>
      </x:c>
      <x:c r="AB1567" s="14" t="str">
        <x:v>2026-08-24</x:v>
      </x:c>
      <x:c r="AC1567" s="14" t="str"/>
      <x:c r="AD1567" s="20" t="str"/>
      <x:c r="AE1567" s="14" t="str"/>
      <x:c r="AF1567" s="14" t="n">
        <x:v>38</x:v>
      </x:c>
      <x:c r="AG1567" s="14" t="str">
        <x:v>I3</x:v>
      </x:c>
      <x:c r="AH1567" s="14" t="n">
        <x:v>1</x:v>
      </x:c>
      <x:c r="AI1567" s="14" t="n">
        <x:v>0</x:v>
      </x:c>
      <x:c r="AJ1567" s="18" t="n">
        <x:v>649728</x:v>
      </x:c>
      <x:c r="AK1567" s="14" t="str">
        <x:v>https://prozorro.gov.ua/tender/UA-2025-04-21-003605-a</x:v>
      </x:c>
      <x:c r="AL1567" s="19" t="n">
        <x:v>45768.39688545139</x:v>
      </x:c>
      <x:c r="AM1567" s="19" t="n">
        <x:v>45961</x:v>
      </x:c>
      <x:c r="AN1567" s="15" t="str">
        <x:v>Стиснене повітря / компресорні</x:v>
      </x:c>
      <x:c r="AO1567" s="15" t="str">
        <x:v>not_found_in_top_search</x:v>
      </x:c>
    </x:row>
    <x:row r="1568">
      <x:c r="A1568" s="14" t="str">
        <x:v>W5-196</x:v>
      </x:c>
      <x:c r="B1568" s="14" t="str">
        <x:v>Prozorro vertical expansion — 24.08</x:v>
      </x:c>
      <x:c r="C1568" s="14" t="str">
        <x:v>ТОВАРИСТВО З ОБМЕЖЕНОЮ ВІДПОВІДАЛЬНІСТЮ "УКРПОЖЗАХИСТ"</x:v>
      </x:c>
      <x:c r="D1568" s="14" t="str">
        <x:v>Блискавкозахист / заземлення</x:v>
      </x:c>
      <x:c r="E1568" s="14" t="str">
        <x:v>Pilot now</x:v>
      </x:c>
      <x:c r="F1568" s="17" t="str">
        <x:v>P3</x:v>
      </x:c>
      <x:c r="G1568" s="14" t="str"/>
      <x:c r="H1568" s="14" t="str">
        <x:v>Пілот зараз — Н.15 subset</x:v>
      </x:c>
      <x:c r="I1568" s="16" t="n">
        <x:v>4</x:v>
      </x:c>
      <x:c r="J1568" s="16" t="n">
        <x:v>5</x:v>
      </x:c>
      <x:c r="K1568" s="16" t="n">
        <x:v>5</x:v>
      </x:c>
      <x:c r="L1568" s="16" t="n">
        <x:v>3</x:v>
      </x:c>
      <x:c r="M1568" s="16" t="n">
        <x:v>5</x:v>
      </x:c>
      <x:c r="N1568" s="16" t="n">
        <x:v>5</x:v>
      </x:c>
      <x:c r="O1568" s="16" t="n">
        <x:v>3</x:v>
      </x:c>
      <x:c r="P1568" s="16" t="n">
        <x:f>IF(COUNT(I1568:O1568)&lt;7,"",I1568*8+J1568*3+K1568*2+L1568*2+M1568*2+N1568*2+O1568)</x:f>
        <x:v>86</x:v>
      </x:c>
      <x:c r="Q1568" s="16" t="n">
        <x:f>IF(COUNT(J1568:O1568)&lt;6,"",J1568*5+K1568*4+M1568*4+L1568*3+N1568*2+O1568*2)</x:f>
        <x:v>90</x:v>
      </x:c>
      <x:c r="R1568" s="14" t="str">
        <x:v>high</x:v>
      </x:c>
      <x:c r="S1568" s="14" t="str">
        <x:v>official_prozorro_award_2024_2026</x:v>
      </x:c>
      <x:c r="T1568" s="14" t="str">
        <x:v>official_prozorro_api</x:v>
      </x:c>
      <x:c r="U1568" s="14" t="str">
        <x:v>Не контактували</x:v>
      </x:c>
      <x:c r="V1568" s="15" t="str">
        <x:v>Персоналізований free-pilot outreach по UA-2025-09-08-011824-a; попросити 1 пакет Н.15</x:v>
      </x:c>
      <x:c r="W1568" s="15" t="str">
        <x:v>Власник / директор; керівник ПТО; відповідальний за договори</x:v>
      </x:c>
      <x:c r="X1568" s="15" t="str">
        <x:v>1 нових підтверджених перемог/договорів у Prozorro на 643 988 грн; 0 зі строком виконання не раніше 24.08.2026.</x:v>
      </x:c>
      <x:c r="Y1568" s="15" t="str">
        <x:v>45310000-3-Електромонтажні роботи (капітальний ремонт з монтажу системи блискавкозахисту); опублікований строк до 2025-12-31. Попросити один знеособлений пакет здачі за цим workflow.</x:v>
      </x:c>
      <x:c r="Z1568" s="15" t="str">
        <x:v>https://prozorro.gov.ua/tender/UA-2025-09-08-011824-a</x:v>
      </x:c>
      <x:c r="AA1568" s="14" t="str">
        <x:v>43467186</x:v>
      </x:c>
      <x:c r="AB1568" s="14" t="str">
        <x:v>2026-08-24</x:v>
      </x:c>
      <x:c r="AC1568" s="14" t="str"/>
      <x:c r="AD1568" s="20" t="str"/>
      <x:c r="AE1568" s="14" t="str"/>
      <x:c r="AF1568" s="14" t="n">
        <x:v>38</x:v>
      </x:c>
      <x:c r="AG1568" s="14" t="str">
        <x:v>I3</x:v>
      </x:c>
      <x:c r="AH1568" s="14" t="n">
        <x:v>1</x:v>
      </x:c>
      <x:c r="AI1568" s="14" t="n">
        <x:v>0</x:v>
      </x:c>
      <x:c r="AJ1568" s="18" t="n">
        <x:v>643988.29</x:v>
      </x:c>
      <x:c r="AK1568" s="14" t="str">
        <x:v>https://prozorro.gov.ua/tender/UA-2025-09-08-011824-a</x:v>
      </x:c>
      <x:c r="AL1568" s="19" t="n">
        <x:v>45908.57999663195</x:v>
      </x:c>
      <x:c r="AM1568" s="19" t="n">
        <x:v>46022</x:v>
      </x:c>
      <x:c r="AN1568" s="15" t="str">
        <x:v>Блискавкозахист / заземлення</x:v>
      </x:c>
      <x:c r="AO1568" s="15" t="str">
        <x:v>not_found_in_top_search</x:v>
      </x:c>
    </x:row>
    <x:row r="1569">
      <x:c r="A1569" s="14" t="str">
        <x:v>W5-197</x:v>
      </x:c>
      <x:c r="B1569" s="14" t="str">
        <x:v>Prozorro vertical expansion — 24.08</x:v>
      </x:c>
      <x:c r="C1569" s="14" t="str">
        <x:v>ПЛАВАЙКО ВОЛОДИМИР ВАСИЛЬОВИЧ</x:v>
      </x:c>
      <x:c r="D1569" s="14" t="str">
        <x:v>Блискавкозахист / заземлення</x:v>
      </x:c>
      <x:c r="E1569" s="14" t="str">
        <x:v>Pilot now</x:v>
      </x:c>
      <x:c r="F1569" s="17" t="str">
        <x:v>P3</x:v>
      </x:c>
      <x:c r="G1569" s="14" t="str"/>
      <x:c r="H1569" s="14" t="str">
        <x:v>Пілот зараз — Н.15 subset</x:v>
      </x:c>
      <x:c r="I1569" s="16" t="n">
        <x:v>4</x:v>
      </x:c>
      <x:c r="J1569" s="16" t="n">
        <x:v>5</x:v>
      </x:c>
      <x:c r="K1569" s="16" t="n">
        <x:v>5</x:v>
      </x:c>
      <x:c r="L1569" s="16" t="n">
        <x:v>1</x:v>
      </x:c>
      <x:c r="M1569" s="16" t="n">
        <x:v>5</x:v>
      </x:c>
      <x:c r="N1569" s="16" t="n">
        <x:v>3</x:v>
      </x:c>
      <x:c r="O1569" s="16" t="n">
        <x:v>3</x:v>
      </x:c>
      <x:c r="P1569" s="16" t="n">
        <x:f>IF(COUNT(I1569:O1569)&lt;7,"",I1569*8+J1569*3+K1569*2+L1569*2+M1569*2+N1569*2+O1569)</x:f>
        <x:v>78</x:v>
      </x:c>
      <x:c r="Q1569" s="16" t="n">
        <x:f>IF(COUNT(J1569:O1569)&lt;6,"",J1569*5+K1569*4+M1569*4+L1569*3+N1569*2+O1569*2)</x:f>
        <x:v>80</x:v>
      </x:c>
      <x:c r="R1569" s="14" t="str">
        <x:v>high</x:v>
      </x:c>
      <x:c r="S1569" s="14" t="str">
        <x:v>official_prozorro_award_2024_2026</x:v>
      </x:c>
      <x:c r="T1569" s="14" t="str">
        <x:v>official_prozorro_api</x:v>
      </x:c>
      <x:c r="U1569" s="14" t="str">
        <x:v>Не контактували</x:v>
      </x:c>
      <x:c r="V1569" s="15" t="str">
        <x:v>Персоналізований free-pilot outreach по UA-2025-12-29-004757-a; попросити 1 пакет Н.15</x:v>
      </x:c>
      <x:c r="W1569" s="15" t="str">
        <x:v>Власник / виконавець; відповідальний за договір</x:v>
      </x:c>
      <x:c r="X1569" s="15" t="str">
        <x:v>1 нових підтверджених перемог/договорів у Prozorro на 99 944 грн; 0 зі строком виконання не раніше 24.08.2026.</x:v>
      </x:c>
      <x:c r="Y1569" s="15" t="str">
        <x:v>Електромонтажні роботи. Монтаж системи зовнішнього блискавкозахисту в будівлях літера "В" та літера "Л"; опублікований строк до 2025-12-31. Попросити один знеособлений пакет здачі за цим workflow.</x:v>
      </x:c>
      <x:c r="Z1569" s="15" t="str">
        <x:v>https://prozorro.gov.ua/tender/UA-2025-12-29-004757-a</x:v>
      </x:c>
      <x:c r="AA1569" s="14" t="str">
        <x:v>3288300536</x:v>
      </x:c>
      <x:c r="AB1569" s="14" t="str">
        <x:v>2026-08-24</x:v>
      </x:c>
      <x:c r="AC1569" s="14" t="str"/>
      <x:c r="AD1569" s="20" t="str"/>
      <x:c r="AE1569" s="14" t="str"/>
      <x:c r="AF1569" s="14" t="n">
        <x:v>38</x:v>
      </x:c>
      <x:c r="AG1569" s="14" t="str">
        <x:v>I3</x:v>
      </x:c>
      <x:c r="AH1569" s="14" t="n">
        <x:v>1</x:v>
      </x:c>
      <x:c r="AI1569" s="14" t="n">
        <x:v>0</x:v>
      </x:c>
      <x:c r="AJ1569" s="18" t="n">
        <x:v>99944</x:v>
      </x:c>
      <x:c r="AK1569" s="14" t="str">
        <x:v>https://prozorro.gov.ua/tender/UA-2025-12-29-004757-a</x:v>
      </x:c>
      <x:c r="AL1569" s="19" t="n">
        <x:v>46020.441089976855</x:v>
      </x:c>
      <x:c r="AM1569" s="19" t="n">
        <x:v>46022</x:v>
      </x:c>
      <x:c r="AN1569" s="15" t="str">
        <x:v>Блискавкозахист / заземлення</x:v>
      </x:c>
      <x:c r="AO1569" s="15" t="str">
        <x:v>not_found_in_top_search</x:v>
      </x:c>
    </x:row>
    <x:row r="1570">
      <x:c r="A1570" s="14" t="str">
        <x:v>W5-198</x:v>
      </x:c>
      <x:c r="B1570" s="14" t="str">
        <x:v>Prozorro vertical expansion — 24.08</x:v>
      </x:c>
      <x:c r="C1570" s="14" t="str">
        <x:v>ТОВАРИСТВО З ОБМЕЖЕНОЮ ВІДПОВІДАЛЬНІСТЮ "ЄВРОБУД-2004"</x:v>
      </x:c>
      <x:c r="D1570" s="14" t="str">
        <x:v>ВОЛЗ / телеком</x:v>
      </x:c>
      <x:c r="E1570" s="14" t="str">
        <x:v>Expansion discovery</x:v>
      </x:c>
      <x:c r="F1570" s="17" t="str">
        <x:v>D3</x:v>
      </x:c>
      <x:c r="G1570" s="14" t="str"/>
      <x:c r="H1570" s="14" t="str">
        <x:v>Discovery розширення — 2 тижні</x:v>
      </x:c>
      <x:c r="I1570" s="16" t="n">
        <x:v>1</x:v>
      </x:c>
      <x:c r="J1570" s="16" t="n">
        <x:v>5</x:v>
      </x:c>
      <x:c r="K1570" s="16" t="n">
        <x:v>5</x:v>
      </x:c>
      <x:c r="L1570" s="16" t="n">
        <x:v>1</x:v>
      </x:c>
      <x:c r="M1570" s="16" t="n">
        <x:v>5</x:v>
      </x:c>
      <x:c r="N1570" s="16" t="n">
        <x:v>5</x:v>
      </x:c>
      <x:c r="O1570" s="16" t="n">
        <x:v>3</x:v>
      </x:c>
      <x:c r="P1570" s="16" t="n">
        <x:f>IF(COUNT(I1570:O1570)&lt;7,"",I1570*8+J1570*3+K1570*2+L1570*2+M1570*2+N1570*2+O1570)</x:f>
        <x:v>58</x:v>
      </x:c>
      <x:c r="Q1570" s="16" t="n">
        <x:f>IF(COUNT(J1570:O1570)&lt;6,"",J1570*5+K1570*4+M1570*4+L1570*3+N1570*2+O1570*2)</x:f>
        <x:v>84</x:v>
      </x:c>
      <x:c r="R1570" s="14" t="str">
        <x:v>high</x:v>
      </x:c>
      <x:c r="S1570" s="14" t="str">
        <x:v>official_prozorro_award_2024_2026</x:v>
      </x:c>
      <x:c r="T1570" s="14" t="str">
        <x:v>official_prozorro_api</x:v>
      </x:c>
      <x:c r="U1570" s="14" t="str">
        <x:v>Не контактували</x:v>
      </x:c>
      <x:c r="V1570" s="15" t="str">
        <x:v>Workflow-audit outreach по UA-2026-04-20-004584-a; попросити 1 пакет здачі та вимоги проєкту</x:v>
      </x:c>
      <x:c r="W1570" s="15" t="str">
        <x:v>Власник / директор; керівник ПТО; відповідальний за договори</x:v>
      </x:c>
      <x:c r="X1570" s="15" t="str">
        <x:v>1 нових підтверджених перемог/договорів у Prozorro на 98 940 грн; 0 зі строком виконання не раніше 24.08.2026.</x:v>
      </x:c>
      <x:c r="Y1570" s="15" t="str">
        <x:v>ДК 021:2015 45230000-8 Будівництво трубопроводів, ліній зв'язку та електропередач, шосе, доріг, аеродромів і залізничних доріг; вирівнювання поверхонь (послуга з підключення до Національної телекомунікаційної мережі волоконно-оптичною лінією зв'язку); опублікований строк до 2026-05-31. Попросити один знеособлений пакет здачі за цим workflow.</x:v>
      </x:c>
      <x:c r="Z1570" s="15" t="str">
        <x:v>https://prozorro.gov.ua/tender/UA-2026-04-20-004584-a</x:v>
      </x:c>
      <x:c r="AA1570" s="14" t="str">
        <x:v>32987560</x:v>
      </x:c>
      <x:c r="AB1570" s="14" t="str">
        <x:v>2026-08-24</x:v>
      </x:c>
      <x:c r="AC1570" s="14" t="str"/>
      <x:c r="AD1570" s="20" t="str"/>
      <x:c r="AE1570" s="14" t="str"/>
      <x:c r="AF1570" s="14" t="n">
        <x:v>38</x:v>
      </x:c>
      <x:c r="AG1570" s="14" t="str">
        <x:v>I3</x:v>
      </x:c>
      <x:c r="AH1570" s="14" t="n">
        <x:v>1</x:v>
      </x:c>
      <x:c r="AI1570" s="14" t="n">
        <x:v>0</x:v>
      </x:c>
      <x:c r="AJ1570" s="18" t="n">
        <x:v>98940</x:v>
      </x:c>
      <x:c r="AK1570" s="14" t="str">
        <x:v>https://prozorro.gov.ua/tender/UA-2026-04-20-004584-a</x:v>
      </x:c>
      <x:c r="AL1570" s="19" t="n">
        <x:v>46132.37418708333</x:v>
      </x:c>
      <x:c r="AM1570" s="19" t="n">
        <x:v>46173</x:v>
      </x:c>
      <x:c r="AN1570" s="15" t="str">
        <x:v>ВОЛЗ / телеком</x:v>
      </x:c>
      <x:c r="AO1570" s="15" t="str">
        <x:v>not_found_in_top_search</x:v>
      </x:c>
    </x:row>
    <x:row r="1571">
      <x:c r="A1571" s="14" t="str">
        <x:v>W5-199</x:v>
      </x:c>
      <x:c r="B1571" s="14" t="str">
        <x:v>Prozorro vertical expansion — 24.08</x:v>
      </x:c>
      <x:c r="C1571" s="14" t="str">
        <x:v>ТОВАРИСТВО З ОБМЕЖЕНОЮ ВІДПОВІДАЛЬНІСТЮ "ІНВО ЮНІОН"</x:v>
      </x:c>
      <x:c r="D1571" s="14" t="str">
        <x:v>Резервне живлення</x:v>
      </x:c>
      <x:c r="E1571" s="14" t="str">
        <x:v>Pilot now</x:v>
      </x:c>
      <x:c r="F1571" s="17" t="str">
        <x:v>P3</x:v>
      </x:c>
      <x:c r="G1571" s="14" t="str"/>
      <x:c r="H1571" s="14" t="str">
        <x:v>Пілот зараз — Н.15 subset</x:v>
      </x:c>
      <x:c r="I1571" s="16" t="n">
        <x:v>4</x:v>
      </x:c>
      <x:c r="J1571" s="16" t="n">
        <x:v>5</x:v>
      </x:c>
      <x:c r="K1571" s="16" t="n">
        <x:v>5</x:v>
      </x:c>
      <x:c r="L1571" s="16" t="n">
        <x:v>1</x:v>
      </x:c>
      <x:c r="M1571" s="16" t="n">
        <x:v>5</x:v>
      </x:c>
      <x:c r="N1571" s="16" t="n">
        <x:v>5</x:v>
      </x:c>
      <x:c r="O1571" s="16" t="n">
        <x:v>3</x:v>
      </x:c>
      <x:c r="P1571" s="16" t="n">
        <x:f>IF(COUNT(I1571:O1571)&lt;7,"",I1571*8+J1571*3+K1571*2+L1571*2+M1571*2+N1571*2+O1571)</x:f>
        <x:v>82</x:v>
      </x:c>
      <x:c r="Q1571" s="16" t="n">
        <x:f>IF(COUNT(J1571:O1571)&lt;6,"",J1571*5+K1571*4+M1571*4+L1571*3+N1571*2+O1571*2)</x:f>
        <x:v>84</x:v>
      </x:c>
      <x:c r="R1571" s="14" t="str">
        <x:v>high</x:v>
      </x:c>
      <x:c r="S1571" s="14" t="str">
        <x:v>official_prozorro_award_2024_2026</x:v>
      </x:c>
      <x:c r="T1571" s="14" t="str">
        <x:v>official_prozorro_api</x:v>
      </x:c>
      <x:c r="U1571" s="14" t="str">
        <x:v>Не контактували</x:v>
      </x:c>
      <x:c r="V1571" s="15" t="str">
        <x:v>Персоналізований free-pilot outreach по UA-2026-03-09-005254-a; попросити 1 пакет Н.15</x:v>
      </x:c>
      <x:c r="W1571" s="15" t="str">
        <x:v>Власник / директор; керівник ПТО; відповідальний за договори</x:v>
      </x:c>
      <x:c r="X1571" s="15" t="str">
        <x:v>1 нових підтверджених перемог/договорів у Prozorro на 98 747 грн; 0 зі строком виконання не раніше 24.08.2026.</x:v>
      </x:c>
      <x:c r="Y1571" s="15" t="str">
        <x:v>Послуги з монтажу, підключення та пусконалагоджувальні роботи дизель генератора; опублікований строк до 2026-03-15. Попросити один знеособлений пакет здачі за цим workflow.</x:v>
      </x:c>
      <x:c r="Z1571" s="15" t="str">
        <x:v>https://prozorro.gov.ua/tender/UA-2026-03-09-005254-a</x:v>
      </x:c>
      <x:c r="AA1571" s="14" t="str">
        <x:v>39108124</x:v>
      </x:c>
      <x:c r="AB1571" s="14" t="str">
        <x:v>2026-08-24</x:v>
      </x:c>
      <x:c r="AC1571" s="14" t="str"/>
      <x:c r="AD1571" s="20" t="str"/>
      <x:c r="AE1571" s="14" t="str"/>
      <x:c r="AF1571" s="14" t="n">
        <x:v>38</x:v>
      </x:c>
      <x:c r="AG1571" s="14" t="str">
        <x:v>I3</x:v>
      </x:c>
      <x:c r="AH1571" s="14" t="n">
        <x:v>1</x:v>
      </x:c>
      <x:c r="AI1571" s="14" t="n">
        <x:v>0</x:v>
      </x:c>
      <x:c r="AJ1571" s="18" t="n">
        <x:v>98746.8</x:v>
      </x:c>
      <x:c r="AK1571" s="14" t="str">
        <x:v>https://prozorro.gov.ua/tender/UA-2026-03-09-005254-a</x:v>
      </x:c>
      <x:c r="AL1571" s="19" t="n">
        <x:v>46090.42299730324</x:v>
      </x:c>
      <x:c r="AM1571" s="19" t="n">
        <x:v>46096</x:v>
      </x:c>
      <x:c r="AN1571" s="15" t="str">
        <x:v>Резервне живлення</x:v>
      </x:c>
      <x:c r="AO1571" s="15" t="str">
        <x:v>not_found_in_top_search</x:v>
      </x:c>
    </x:row>
    <x:row r="1572">
      <x:c r="A1572" s="14" t="str">
        <x:v>W5-200</x:v>
      </x:c>
      <x:c r="B1572" s="14" t="str">
        <x:v>Prozorro vertical expansion — 24.08</x:v>
      </x:c>
      <x:c r="C1572" s="14" t="str">
        <x:v>ТОВ "М.А.К.ЕНЕРДЖІ"</x:v>
      </x:c>
      <x:c r="D1572" s="14" t="str">
        <x:v>Резервне живлення</x:v>
      </x:c>
      <x:c r="E1572" s="14" t="str">
        <x:v>Pilot now</x:v>
      </x:c>
      <x:c r="F1572" s="17" t="str">
        <x:v>P3</x:v>
      </x:c>
      <x:c r="G1572" s="14" t="str"/>
      <x:c r="H1572" s="14" t="str">
        <x:v>Пілот зараз — Н.15 subset</x:v>
      </x:c>
      <x:c r="I1572" s="16" t="n">
        <x:v>4</x:v>
      </x:c>
      <x:c r="J1572" s="16" t="n">
        <x:v>5</x:v>
      </x:c>
      <x:c r="K1572" s="16" t="n">
        <x:v>5</x:v>
      </x:c>
      <x:c r="L1572" s="16" t="n">
        <x:v>1</x:v>
      </x:c>
      <x:c r="M1572" s="16" t="n">
        <x:v>5</x:v>
      </x:c>
      <x:c r="N1572" s="16" t="n">
        <x:v>5</x:v>
      </x:c>
      <x:c r="O1572" s="16" t="n">
        <x:v>3</x:v>
      </x:c>
      <x:c r="P1572" s="16" t="n">
        <x:f>IF(COUNT(I1572:O1572)&lt;7,"",I1572*8+J1572*3+K1572*2+L1572*2+M1572*2+N1572*2+O1572)</x:f>
        <x:v>82</x:v>
      </x:c>
      <x:c r="Q1572" s="16" t="n">
        <x:f>IF(COUNT(J1572:O1572)&lt;6,"",J1572*5+K1572*4+M1572*4+L1572*3+N1572*2+O1572*2)</x:f>
        <x:v>84</x:v>
      </x:c>
      <x:c r="R1572" s="14" t="str">
        <x:v>high</x:v>
      </x:c>
      <x:c r="S1572" s="14" t="str">
        <x:v>official_prozorro_award_2024_2026</x:v>
      </x:c>
      <x:c r="T1572" s="14" t="str">
        <x:v>official_prozorro_api</x:v>
      </x:c>
      <x:c r="U1572" s="14" t="str">
        <x:v>Не контактували</x:v>
      </x:c>
      <x:c r="V1572" s="15" t="str">
        <x:v>Персоналізований free-pilot outreach по UA-2026-04-15-006283-a; попросити 1 пакет Н.15</x:v>
      </x:c>
      <x:c r="W1572" s="15" t="str">
        <x:v>Власник / директор; керівник ПТО; відповідальний за договори</x:v>
      </x:c>
      <x:c r="X1572" s="15" t="str">
        <x:v>1 нових підтверджених перемог/договорів у Prozorro на 98 545 грн; 1 зі строком виконання не раніше 24.08.2026.</x:v>
      </x:c>
      <x:c r="Y1572" s="15" t="str">
        <x:v>Роботи по монтажу та підключенню АВР та дизель генератора; опублікований строк до 2026-12-31. Попросити один знеособлений пакет здачі за цим workflow.</x:v>
      </x:c>
      <x:c r="Z1572" s="15" t="str">
        <x:v>https://prozorro.gov.ua/tender/UA-2026-04-15-006283-a</x:v>
      </x:c>
      <x:c r="AA1572" s="14" t="str">
        <x:v>45611762</x:v>
      </x:c>
      <x:c r="AB1572" s="14" t="str">
        <x:v>2026-08-24</x:v>
      </x:c>
      <x:c r="AC1572" s="14" t="str"/>
      <x:c r="AD1572" s="20" t="str"/>
      <x:c r="AE1572" s="14" t="str"/>
      <x:c r="AF1572" s="14" t="n">
        <x:v>38</x:v>
      </x:c>
      <x:c r="AG1572" s="14" t="str">
        <x:v>I3</x:v>
      </x:c>
      <x:c r="AH1572" s="14" t="n">
        <x:v>1</x:v>
      </x:c>
      <x:c r="AI1572" s="14" t="n">
        <x:v>1</x:v>
      </x:c>
      <x:c r="AJ1572" s="18" t="n">
        <x:v>98544.5</x:v>
      </x:c>
      <x:c r="AK1572" s="14" t="str">
        <x:v>https://prozorro.gov.ua/tender/UA-2026-04-15-006283-a</x:v>
      </x:c>
      <x:c r="AL1572" s="19" t="n">
        <x:v>46127.43361821759</x:v>
      </x:c>
      <x:c r="AM1572" s="19" t="n">
        <x:v>46387.47537037037</x:v>
      </x:c>
      <x:c r="AN1572" s="15" t="str">
        <x:v>Резервне живлення</x:v>
      </x:c>
      <x:c r="AO1572" s="15" t="str">
        <x:v>not_found_in_top_search</x:v>
      </x:c>
    </x:row>
    <x:row r="1573">
      <x:c r="A1573" s="14" t="str">
        <x:v>W5-201</x:v>
      </x:c>
      <x:c r="B1573" s="14" t="str">
        <x:v>Prozorro vertical expansion — 24.08</x:v>
      </x:c>
      <x:c r="C1573" s="14" t="str">
        <x:v>ОКСАК ЮЛІЯ ЮРІЇВНА</x:v>
      </x:c>
      <x:c r="D1573" s="14" t="str">
        <x:v>Зовнішні мережі</x:v>
      </x:c>
      <x:c r="E1573" s="14" t="str">
        <x:v>Expansion discovery</x:v>
      </x:c>
      <x:c r="F1573" s="17" t="str">
        <x:v>D3</x:v>
      </x:c>
      <x:c r="G1573" s="14" t="str"/>
      <x:c r="H1573" s="14" t="str">
        <x:v>Discovery розширення — 2 тижні</x:v>
      </x:c>
      <x:c r="I1573" s="16" t="n">
        <x:v>1</x:v>
      </x:c>
      <x:c r="J1573" s="16" t="n">
        <x:v>5</x:v>
      </x:c>
      <x:c r="K1573" s="16" t="n">
        <x:v>5</x:v>
      </x:c>
      <x:c r="L1573" s="16" t="n">
        <x:v>1</x:v>
      </x:c>
      <x:c r="M1573" s="16" t="n">
        <x:v>5</x:v>
      </x:c>
      <x:c r="N1573" s="16" t="n">
        <x:v>3</x:v>
      </x:c>
      <x:c r="O1573" s="16" t="n">
        <x:v>3</x:v>
      </x:c>
      <x:c r="P1573" s="16" t="n">
        <x:f>IF(COUNT(I1573:O1573)&lt;7,"",I1573*8+J1573*3+K1573*2+L1573*2+M1573*2+N1573*2+O1573)</x:f>
        <x:v>54</x:v>
      </x:c>
      <x:c r="Q1573" s="16" t="n">
        <x:f>IF(COUNT(J1573:O1573)&lt;6,"",J1573*5+K1573*4+M1573*4+L1573*3+N1573*2+O1573*2)</x:f>
        <x:v>80</x:v>
      </x:c>
      <x:c r="R1573" s="14" t="str">
        <x:v>high</x:v>
      </x:c>
      <x:c r="S1573" s="14" t="str">
        <x:v>official_prozorro_award_2024_2026</x:v>
      </x:c>
      <x:c r="T1573" s="14" t="str">
        <x:v>official_prozorro_api</x:v>
      </x:c>
      <x:c r="U1573" s="14" t="str">
        <x:v>Не контактували</x:v>
      </x:c>
      <x:c r="V1573" s="15" t="str">
        <x:v>Workflow-audit outreach по UA-2026-02-02-014840-a; попросити 1 пакет здачі та вимоги проєкту</x:v>
      </x:c>
      <x:c r="W1573" s="15" t="str">
        <x:v>Власник / виконавець; відповідальний за договір</x:v>
      </x:c>
      <x:c r="X1573" s="15" t="str">
        <x:v>1 нових підтверджених перемог/договорів у Prozorro на 98 000 грн; 1 зі строком виконання не раніше 24.08.2026.</x:v>
      </x:c>
      <x:c r="Y1573" s="15" t="str">
        <x:v>Комплекс послуг пов'язаних зі здійсненням процедури оцінки впливу на довкілля планової діяльності, що відноситься до другої категорії видів планової діяльності та об'єктів, які можуть мати значний вплив на довкілля і підлягають оцінці впливу на довкілля згідно Закону України "Про оцінку впливу на довкілля" для прокладання мереж каналізування в межах прибережної захисної смуги озера Світязь, назва проектної документації "Нове  будівництво напірного каналізаційного колектора по вул. Європейська села Світязь на території Шацького національного природного парку"; опублікований строк до 2026-12-31. Попросити один знеособлений пакет здачі за цим workflow.</x:v>
      </x:c>
      <x:c r="Z1573" s="15" t="str">
        <x:v>https://prozorro.gov.ua/tender/UA-2026-02-02-014840-a</x:v>
      </x:c>
      <x:c r="AA1573" s="14" t="str">
        <x:v>3097603540</x:v>
      </x:c>
      <x:c r="AB1573" s="14" t="str">
        <x:v>2026-08-24</x:v>
      </x:c>
      <x:c r="AC1573" s="14" t="str"/>
      <x:c r="AD1573" s="20" t="str"/>
      <x:c r="AE1573" s="14" t="str"/>
      <x:c r="AF1573" s="14" t="n">
        <x:v>38</x:v>
      </x:c>
      <x:c r="AG1573" s="14" t="str">
        <x:v>I3</x:v>
      </x:c>
      <x:c r="AH1573" s="14" t="n">
        <x:v>1</x:v>
      </x:c>
      <x:c r="AI1573" s="14" t="n">
        <x:v>1</x:v>
      </x:c>
      <x:c r="AJ1573" s="18" t="n">
        <x:v>98000</x:v>
      </x:c>
      <x:c r="AK1573" s="14" t="str">
        <x:v>https://prozorro.gov.ua/tender/UA-2026-02-02-014840-a</x:v>
      </x:c>
      <x:c r="AL1573" s="19" t="n">
        <x:v>46055.754024918984</x:v>
      </x:c>
      <x:c r="AM1573" s="19" t="n">
        <x:v>46387</x:v>
      </x:c>
      <x:c r="AN1573" s="15" t="str">
        <x:v>Зовнішні мережі</x:v>
      </x:c>
      <x:c r="AO1573" s="15" t="str">
        <x:v>not_found_in_top_search</x:v>
      </x:c>
    </x:row>
    <x:row r="1574">
      <x:c r="A1574" s="14" t="str">
        <x:v>W5-202</x:v>
      </x:c>
      <x:c r="B1574" s="14" t="str">
        <x:v>Prozorro vertical expansion — 24.08</x:v>
      </x:c>
      <x:c r="C1574" s="14" t="str">
        <x:v>ТОВАРИСТВО З ОБМЕЖЕНОЮ ВІДПОВІДАЛЬНІСТЮ "БРАНДМАЙСТЕР-ЄЛИСАВЕТГРАД"</x:v>
      </x:c>
      <x:c r="D1574" s="14" t="str">
        <x:v>Блискавкозахист / заземлення</x:v>
      </x:c>
      <x:c r="E1574" s="14" t="str">
        <x:v>Pilot now</x:v>
      </x:c>
      <x:c r="F1574" s="17" t="str">
        <x:v>P3</x:v>
      </x:c>
      <x:c r="G1574" s="14" t="str"/>
      <x:c r="H1574" s="14" t="str">
        <x:v>Пілот зараз — Н.15 subset</x:v>
      </x:c>
      <x:c r="I1574" s="16" t="n">
        <x:v>4</x:v>
      </x:c>
      <x:c r="J1574" s="16" t="n">
        <x:v>5</x:v>
      </x:c>
      <x:c r="K1574" s="16" t="n">
        <x:v>5</x:v>
      </x:c>
      <x:c r="L1574" s="16" t="n">
        <x:v>1</x:v>
      </x:c>
      <x:c r="M1574" s="16" t="n">
        <x:v>5</x:v>
      </x:c>
      <x:c r="N1574" s="16" t="n">
        <x:v>5</x:v>
      </x:c>
      <x:c r="O1574" s="16" t="n">
        <x:v>3</x:v>
      </x:c>
      <x:c r="P1574" s="16" t="n">
        <x:f>IF(COUNT(I1574:O1574)&lt;7,"",I1574*8+J1574*3+K1574*2+L1574*2+M1574*2+N1574*2+O1574)</x:f>
        <x:v>82</x:v>
      </x:c>
      <x:c r="Q1574" s="16" t="n">
        <x:f>IF(COUNT(J1574:O1574)&lt;6,"",J1574*5+K1574*4+M1574*4+L1574*3+N1574*2+O1574*2)</x:f>
        <x:v>84</x:v>
      </x:c>
      <x:c r="R1574" s="14" t="str">
        <x:v>high</x:v>
      </x:c>
      <x:c r="S1574" s="14" t="str">
        <x:v>official_prozorro_award_2024_2026</x:v>
      </x:c>
      <x:c r="T1574" s="14" t="str">
        <x:v>official_prozorro_api</x:v>
      </x:c>
      <x:c r="U1574" s="14" t="str">
        <x:v>Не контактували</x:v>
      </x:c>
      <x:c r="V1574" s="15" t="str">
        <x:v>Персоналізований free-pilot outreach по UA-2026-02-17-006461-a; попросити 1 пакет Н.15</x:v>
      </x:c>
      <x:c r="W1574" s="15" t="str">
        <x:v>Власник / директор; керівник ПТО; відповідальний за договори</x:v>
      </x:c>
      <x:c r="X1574" s="15" t="str">
        <x:v>1 нових підтверджених перемог/договорів у Prozorro на 65 178 грн; 1 зі строком виконання не раніше 24.08.2026.</x:v>
      </x:c>
      <x:c r="Y1574" s="15" t="str">
        <x:v>монтаж блискавкозахисту м. Олександрія вул. Бульварна, 5; опублікований строк до 2026-12-31. Попросити один знеособлений пакет здачі за цим workflow.</x:v>
      </x:c>
      <x:c r="Z1574" s="15" t="str">
        <x:v>https://prozorro.gov.ua/tender/UA-2026-02-17-006461-a</x:v>
      </x:c>
      <x:c r="AA1574" s="14" t="str">
        <x:v>42589965</x:v>
      </x:c>
      <x:c r="AB1574" s="14" t="str">
        <x:v>2026-08-24</x:v>
      </x:c>
      <x:c r="AC1574" s="14" t="str"/>
      <x:c r="AD1574" s="20" t="str"/>
      <x:c r="AE1574" s="14" t="str"/>
      <x:c r="AF1574" s="14" t="n">
        <x:v>38</x:v>
      </x:c>
      <x:c r="AG1574" s="14" t="str">
        <x:v>I3</x:v>
      </x:c>
      <x:c r="AH1574" s="14" t="n">
        <x:v>1</x:v>
      </x:c>
      <x:c r="AI1574" s="14" t="n">
        <x:v>1</x:v>
      </x:c>
      <x:c r="AJ1574" s="18" t="n">
        <x:v>65178.06</x:v>
      </x:c>
      <x:c r="AK1574" s="14" t="str">
        <x:v>https://prozorro.gov.ua/tender/UA-2026-02-17-006461-a</x:v>
      </x:c>
      <x:c r="AL1574" s="19" t="n">
        <x:v>46070.45287459491</x:v>
      </x:c>
      <x:c r="AM1574" s="19" t="n">
        <x:v>46387</x:v>
      </x:c>
      <x:c r="AN1574" s="15" t="str">
        <x:v>Блискавкозахист / заземлення</x:v>
      </x:c>
      <x:c r="AO1574" s="15" t="str">
        <x:v>not_found_in_top_search</x:v>
      </x:c>
    </x:row>
    <x:row r="1575">
      <x:c r="A1575" s="14" t="str">
        <x:v>W5-203</x:v>
      </x:c>
      <x:c r="B1575" s="14" t="str">
        <x:v>Prozorro vertical expansion — 24.08</x:v>
      </x:c>
      <x:c r="C1575" s="14" t="str">
        <x:v>КОРДОНЕЦЬ ВОЛОДИМИР ВОЛОДИМИРОВИЧ</x:v>
      </x:c>
      <x:c r="D1575" s="14" t="str">
        <x:v>Резервне живлення</x:v>
      </x:c>
      <x:c r="E1575" s="14" t="str">
        <x:v>Pilot now</x:v>
      </x:c>
      <x:c r="F1575" s="17" t="str">
        <x:v>P3</x:v>
      </x:c>
      <x:c r="G1575" s="14" t="str"/>
      <x:c r="H1575" s="14" t="str">
        <x:v>Пілот зараз — Н.15 subset</x:v>
      </x:c>
      <x:c r="I1575" s="16" t="n">
        <x:v>4</x:v>
      </x:c>
      <x:c r="J1575" s="16" t="n">
        <x:v>5</x:v>
      </x:c>
      <x:c r="K1575" s="16" t="n">
        <x:v>5</x:v>
      </x:c>
      <x:c r="L1575" s="16" t="n">
        <x:v>1</x:v>
      </x:c>
      <x:c r="M1575" s="16" t="n">
        <x:v>5</x:v>
      </x:c>
      <x:c r="N1575" s="16" t="n">
        <x:v>3</x:v>
      </x:c>
      <x:c r="O1575" s="16" t="n">
        <x:v>3</x:v>
      </x:c>
      <x:c r="P1575" s="16" t="n">
        <x:f>IF(COUNT(I1575:O1575)&lt;7,"",I1575*8+J1575*3+K1575*2+L1575*2+M1575*2+N1575*2+O1575)</x:f>
        <x:v>78</x:v>
      </x:c>
      <x:c r="Q1575" s="16" t="n">
        <x:f>IF(COUNT(J1575:O1575)&lt;6,"",J1575*5+K1575*4+M1575*4+L1575*3+N1575*2+O1575*2)</x:f>
        <x:v>80</x:v>
      </x:c>
      <x:c r="R1575" s="14" t="str">
        <x:v>high</x:v>
      </x:c>
      <x:c r="S1575" s="14" t="str">
        <x:v>official_prozorro_award_2024_2026</x:v>
      </x:c>
      <x:c r="T1575" s="14" t="str">
        <x:v>official_prozorro_api</x:v>
      </x:c>
      <x:c r="U1575" s="14" t="str">
        <x:v>Не контактували</x:v>
      </x:c>
      <x:c r="V1575" s="15" t="str">
        <x:v>Персоналізований free-pilot outreach по UA-2026-04-24-007122-a; попросити 1 пакет Н.15</x:v>
      </x:c>
      <x:c r="W1575" s="15" t="str">
        <x:v>Власник / виконавець; відповідальний за договір</x:v>
      </x:c>
      <x:c r="X1575" s="15" t="str">
        <x:v>1 нових підтверджених перемог/договорів у Prozorro на 39 186 грн; 0 зі строком виконання не раніше 24.08.2026.</x:v>
      </x:c>
      <x:c r="Y1575" s="15" t="str">
        <x:v>Послуги з монтажу, підключення та пусконалагоджувальні роботи  дизель генератора; опублікований строк до 2026-05-31. Попросити один знеособлений пакет здачі за цим workflow.</x:v>
      </x:c>
      <x:c r="Z1575" s="15" t="str">
        <x:v>https://prozorro.gov.ua/tender/UA-2026-04-24-007122-a</x:v>
      </x:c>
      <x:c r="AA1575" s="14" t="str">
        <x:v>2086715432</x:v>
      </x:c>
      <x:c r="AB1575" s="14" t="str">
        <x:v>2026-08-24</x:v>
      </x:c>
      <x:c r="AC1575" s="14" t="str"/>
      <x:c r="AD1575" s="20" t="str"/>
      <x:c r="AE1575" s="14" t="str"/>
      <x:c r="AF1575" s="14" t="n">
        <x:v>38</x:v>
      </x:c>
      <x:c r="AG1575" s="14" t="str">
        <x:v>I3</x:v>
      </x:c>
      <x:c r="AH1575" s="14" t="n">
        <x:v>1</x:v>
      </x:c>
      <x:c r="AI1575" s="14" t="n">
        <x:v>0</x:v>
      </x:c>
      <x:c r="AJ1575" s="18" t="n">
        <x:v>39186</x:v>
      </x:c>
      <x:c r="AK1575" s="14" t="str">
        <x:v>https://prozorro.gov.ua/tender/UA-2026-04-24-007122-a</x:v>
      </x:c>
      <x:c r="AL1575" s="19" t="n">
        <x:v>46136.42277909722</x:v>
      </x:c>
      <x:c r="AM1575" s="19" t="n">
        <x:v>46173</x:v>
      </x:c>
      <x:c r="AN1575" s="15" t="str">
        <x:v>Резервне живлення</x:v>
      </x:c>
      <x:c r="AO1575" s="15" t="str">
        <x:v>not_found_in_top_search</x:v>
      </x:c>
    </x:row>
    <x:row r="1576">
      <x:c r="A1576" s="14" t="str">
        <x:v>W5-204</x:v>
      </x:c>
      <x:c r="B1576" s="14" t="str">
        <x:v>Prozorro vertical expansion — 24.08</x:v>
      </x:c>
      <x:c r="C1576" s="14" t="str">
        <x:v>ГОРАЛЬ ІГОР МИРОСЛАВОВИЧ</x:v>
      </x:c>
      <x:c r="D1576" s="14" t="str">
        <x:v>Накопичення енергії / BESS</x:v>
      </x:c>
      <x:c r="E1576" s="14" t="str">
        <x:v>Expansion discovery</x:v>
      </x:c>
      <x:c r="F1576" s="17" t="str">
        <x:v>D3</x:v>
      </x:c>
      <x:c r="G1576" s="14" t="str"/>
      <x:c r="H1576" s="14" t="str">
        <x:v>Discovery розширення — 2 тижні</x:v>
      </x:c>
      <x:c r="I1576" s="16" t="n">
        <x:v>1</x:v>
      </x:c>
      <x:c r="J1576" s="16" t="n">
        <x:v>5</x:v>
      </x:c>
      <x:c r="K1576" s="16" t="n">
        <x:v>5</x:v>
      </x:c>
      <x:c r="L1576" s="16" t="n">
        <x:v>1</x:v>
      </x:c>
      <x:c r="M1576" s="16" t="n">
        <x:v>5</x:v>
      </x:c>
      <x:c r="N1576" s="16" t="n">
        <x:v>3</x:v>
      </x:c>
      <x:c r="O1576" s="16" t="n">
        <x:v>3</x:v>
      </x:c>
      <x:c r="P1576" s="16" t="n">
        <x:f>IF(COUNT(I1576:O1576)&lt;7,"",I1576*8+J1576*3+K1576*2+L1576*2+M1576*2+N1576*2+O1576)</x:f>
        <x:v>54</x:v>
      </x:c>
      <x:c r="Q1576" s="16" t="n">
        <x:f>IF(COUNT(J1576:O1576)&lt;6,"",J1576*5+K1576*4+M1576*4+L1576*3+N1576*2+O1576*2)</x:f>
        <x:v>80</x:v>
      </x:c>
      <x:c r="R1576" s="14" t="str">
        <x:v>high</x:v>
      </x:c>
      <x:c r="S1576" s="14" t="str">
        <x:v>official_prozorro_award_2024_2026</x:v>
      </x:c>
      <x:c r="T1576" s="14" t="str">
        <x:v>official_prozorro_api</x:v>
      </x:c>
      <x:c r="U1576" s="14" t="str">
        <x:v>Не контактували</x:v>
      </x:c>
      <x:c r="V1576" s="15" t="str">
        <x:v>Workflow-audit outreach по UA-2026-03-23-009142-a; попросити 1 пакет здачі та вимоги проєкту</x:v>
      </x:c>
      <x:c r="W1576" s="15" t="str">
        <x:v>Власник / виконавець; відповідальний за договір</x:v>
      </x:c>
      <x:c r="X1576" s="15" t="str">
        <x:v>1 нових підтверджених перемог/договорів у Prozorro на 35 067 грн; 1 зі строком виконання не раніше 24.08.2026.</x:v>
      </x:c>
      <x:c r="Y1576" s="15" t="str">
        <x:v>Послуги з монтажу, підключення та пусконалагодження гібридного інвертора та акумуляторного модуля (системи накопичення енергії); код 51110000-6 Послуги зі встановлення електричного обладнання за ДК 021:2015 «Єдиний закупівельний словник»; опублікований строк до 2026-12-31. Попросити один знеособлений пакет здачі за цим workflow.</x:v>
      </x:c>
      <x:c r="Z1576" s="15" t="str">
        <x:v>https://prozorro.gov.ua/tender/UA-2026-03-23-009142-a</x:v>
      </x:c>
      <x:c r="AA1576" s="14" t="str">
        <x:v>3168807390</x:v>
      </x:c>
      <x:c r="AB1576" s="14" t="str">
        <x:v>2026-08-24</x:v>
      </x:c>
      <x:c r="AC1576" s="14" t="str"/>
      <x:c r="AD1576" s="20" t="str"/>
      <x:c r="AE1576" s="14" t="str"/>
      <x:c r="AF1576" s="14" t="n">
        <x:v>38</x:v>
      </x:c>
      <x:c r="AG1576" s="14" t="str">
        <x:v>I3</x:v>
      </x:c>
      <x:c r="AH1576" s="14" t="n">
        <x:v>1</x:v>
      </x:c>
      <x:c r="AI1576" s="14" t="n">
        <x:v>1</x:v>
      </x:c>
      <x:c r="AJ1576" s="18" t="n">
        <x:v>35066.53</x:v>
      </x:c>
      <x:c r="AK1576" s="14" t="str">
        <x:v>https://prozorro.gov.ua/tender/UA-2026-03-23-009142-a</x:v>
      </x:c>
      <x:c r="AL1576" s="19" t="n">
        <x:v>46104.528273125</x:v>
      </x:c>
      <x:c r="AM1576" s="19" t="n">
        <x:v>46387</x:v>
      </x:c>
      <x:c r="AN1576" s="15" t="str">
        <x:v>Накопичення енергії / BESS</x:v>
      </x:c>
      <x:c r="AO1576" s="15" t="str">
        <x:v>not_found_in_top_search</x:v>
      </x:c>
    </x:row>
    <x:row r="1577">
      <x:c r="A1577" s="14" t="str">
        <x:v>W5-205</x:v>
      </x:c>
      <x:c r="B1577" s="14" t="str">
        <x:v>Prozorro vertical expansion — 24.08</x:v>
      </x:c>
      <x:c r="C1577" s="14" t="str">
        <x:v>ТОВАРИСТВО З ОБМЕЖЕНОЮ ВІДПОВІДАЛЬНІСТЮ "ЕНЕРГОПРОФ"</x:v>
      </x:c>
      <x:c r="D1577" s="14" t="str">
        <x:v>Промислова електрика / ПНР</x:v>
      </x:c>
      <x:c r="E1577" s="14" t="str">
        <x:v>Pilot now</x:v>
      </x:c>
      <x:c r="F1577" s="17" t="str">
        <x:v>P3</x:v>
      </x:c>
      <x:c r="G1577" s="14" t="str"/>
      <x:c r="H1577" s="14" t="str">
        <x:v>Пілот зараз — Н.15 subset</x:v>
      </x:c>
      <x:c r="I1577" s="16" t="n">
        <x:v>4</x:v>
      </x:c>
      <x:c r="J1577" s="16" t="n">
        <x:v>5</x:v>
      </x:c>
      <x:c r="K1577" s="16" t="n">
        <x:v>4</x:v>
      </x:c>
      <x:c r="L1577" s="16" t="n">
        <x:v>1</x:v>
      </x:c>
      <x:c r="M1577" s="16" t="n">
        <x:v>5</x:v>
      </x:c>
      <x:c r="N1577" s="16" t="n">
        <x:v>5</x:v>
      </x:c>
      <x:c r="O1577" s="16" t="n">
        <x:v>3</x:v>
      </x:c>
      <x:c r="P1577" s="16" t="n">
        <x:f>IF(COUNT(I1577:O1577)&lt;7,"",I1577*8+J1577*3+K1577*2+L1577*2+M1577*2+N1577*2+O1577)</x:f>
        <x:v>80</x:v>
      </x:c>
      <x:c r="Q1577" s="16" t="n">
        <x:f>IF(COUNT(J1577:O1577)&lt;6,"",J1577*5+K1577*4+M1577*4+L1577*3+N1577*2+O1577*2)</x:f>
        <x:v>80</x:v>
      </x:c>
      <x:c r="R1577" s="14" t="str">
        <x:v>high</x:v>
      </x:c>
      <x:c r="S1577" s="14" t="str">
        <x:v>official_prozorro_award_2024_2026</x:v>
      </x:c>
      <x:c r="T1577" s="14" t="str">
        <x:v>official_prozorro_api</x:v>
      </x:c>
      <x:c r="U1577" s="14" t="str">
        <x:v>Не контактували</x:v>
      </x:c>
      <x:c r="V1577" s="15" t="str">
        <x:v>Персоналізований free-pilot outreach по UA-2026-03-30-000143-a; попросити 1 пакет Н.15</x:v>
      </x:c>
      <x:c r="W1577" s="15" t="str">
        <x:v>Власник / директор; керівник ПТО; відповідальний за договори</x:v>
      </x:c>
      <x:c r="X1577" s="15" t="str">
        <x:v>1 нових підтверджених перемог/договорів у Prozorro на 29 650 грн; 0 зі строком виконання не раніше 24.08.2026.</x:v>
      </x:c>
      <x:c r="Y1577" s="15" t="str">
        <x:v>Електромонтажні та пусконалагоджувальні роботи для заміни схеми електропостачання на об’єктах Замовника; опублікований строк до 2026-04-06. Попросити один знеособлений пакет здачі за цим workflow.</x:v>
      </x:c>
      <x:c r="Z1577" s="15" t="str">
        <x:v>https://prozorro.gov.ua/tender/UA-2026-03-30-000143-a</x:v>
      </x:c>
      <x:c r="AA1577" s="14" t="str">
        <x:v>40953850</x:v>
      </x:c>
      <x:c r="AB1577" s="14" t="str">
        <x:v>2026-08-24</x:v>
      </x:c>
      <x:c r="AC1577" s="14" t="str"/>
      <x:c r="AD1577" s="20" t="str"/>
      <x:c r="AE1577" s="14" t="str"/>
      <x:c r="AF1577" s="14" t="n">
        <x:v>38</x:v>
      </x:c>
      <x:c r="AG1577" s="14" t="str">
        <x:v>I3</x:v>
      </x:c>
      <x:c r="AH1577" s="14" t="n">
        <x:v>1</x:v>
      </x:c>
      <x:c r="AI1577" s="14" t="n">
        <x:v>0</x:v>
      </x:c>
      <x:c r="AJ1577" s="18" t="n">
        <x:v>29649.96</x:v>
      </x:c>
      <x:c r="AK1577" s="14" t="str">
        <x:v>https://prozorro.gov.ua/tender/UA-2026-03-30-000143-a</x:v>
      </x:c>
      <x:c r="AL1577" s="19" t="n">
        <x:v>46111.22580422454</x:v>
      </x:c>
      <x:c r="AM1577" s="19" t="n">
        <x:v>46118</x:v>
      </x:c>
      <x:c r="AN1577" s="15" t="str">
        <x:v>Промислова електрика / ПНР</x:v>
      </x:c>
      <x:c r="AO1577" s="15" t="str">
        <x:v>not_found_in_top_search</x:v>
      </x:c>
    </x:row>
    <x:row r="1578">
      <x:c r="A1578" s="14" t="str">
        <x:v>W5-206</x:v>
      </x:c>
      <x:c r="B1578" s="14" t="str">
        <x:v>Prozorro vertical expansion — 24.08</x:v>
      </x:c>
      <x:c r="C1578" s="14" t="str">
        <x:v>Осауленко Руслан Миколайович</x:v>
      </x:c>
      <x:c r="D1578" s="14" t="str">
        <x:v>Промисловий холод</x:v>
      </x:c>
      <x:c r="E1578" s="14" t="str">
        <x:v>Expansion discovery</x:v>
      </x:c>
      <x:c r="F1578" s="17" t="str">
        <x:v>D3</x:v>
      </x:c>
      <x:c r="G1578" s="14" t="str"/>
      <x:c r="H1578" s="14" t="str">
        <x:v>Discovery розширення — 2 тижні</x:v>
      </x:c>
      <x:c r="I1578" s="16" t="n">
        <x:v>1</x:v>
      </x:c>
      <x:c r="J1578" s="16" t="n">
        <x:v>5</x:v>
      </x:c>
      <x:c r="K1578" s="16" t="n">
        <x:v>5</x:v>
      </x:c>
      <x:c r="L1578" s="16" t="n">
        <x:v>1</x:v>
      </x:c>
      <x:c r="M1578" s="16" t="n">
        <x:v>5</x:v>
      </x:c>
      <x:c r="N1578" s="16" t="n">
        <x:v>3</x:v>
      </x:c>
      <x:c r="O1578" s="16" t="n">
        <x:v>3</x:v>
      </x:c>
      <x:c r="P1578" s="16" t="n">
        <x:f>IF(COUNT(I1578:O1578)&lt;7,"",I1578*8+J1578*3+K1578*2+L1578*2+M1578*2+N1578*2+O1578)</x:f>
        <x:v>54</x:v>
      </x:c>
      <x:c r="Q1578" s="16" t="n">
        <x:f>IF(COUNT(J1578:O1578)&lt;6,"",J1578*5+K1578*4+M1578*4+L1578*3+N1578*2+O1578*2)</x:f>
        <x:v>80</x:v>
      </x:c>
      <x:c r="R1578" s="14" t="str">
        <x:v>high</x:v>
      </x:c>
      <x:c r="S1578" s="14" t="str">
        <x:v>official_prozorro_award_2024_2026</x:v>
      </x:c>
      <x:c r="T1578" s="14" t="str">
        <x:v>official_prozorro_api</x:v>
      </x:c>
      <x:c r="U1578" s="14" t="str">
        <x:v>Не контактували</x:v>
      </x:c>
      <x:c r="V1578" s="15" t="str">
        <x:v>Workflow-audit outreach по UA-2025-12-29-011184-a; попросити 1 пакет здачі та вимоги проєкту</x:v>
      </x:c>
      <x:c r="W1578" s="15" t="str">
        <x:v>Власник / виконавець; відповідальний за договір</x:v>
      </x:c>
      <x:c r="X1578" s="15" t="str">
        <x:v>1 нових підтверджених перемог/договорів у Prozorro на 24 000 грн; 0 зі строком виконання не раніше 24.08.2026.</x:v>
      </x:c>
      <x:c r="Y1578" s="15" t="str">
        <x:v>Послуги з демонтажу/монтажу та технічного обслуговування обладнання холодильної камери ; опублікований строк до 2025-12-30. Попросити один знеособлений пакет здачі за цим workflow.</x:v>
      </x:c>
      <x:c r="Z1578" s="15" t="str">
        <x:v>https://prozorro.gov.ua/tender/UA-2025-12-29-011184-a</x:v>
      </x:c>
      <x:c r="AA1578" s="14" t="str">
        <x:v>3390413093</x:v>
      </x:c>
      <x:c r="AB1578" s="14" t="str">
        <x:v>2026-08-24</x:v>
      </x:c>
      <x:c r="AC1578" s="14" t="str"/>
      <x:c r="AD1578" s="20" t="str"/>
      <x:c r="AE1578" s="14" t="str"/>
      <x:c r="AF1578" s="14" t="n">
        <x:v>38</x:v>
      </x:c>
      <x:c r="AG1578" s="14" t="str">
        <x:v>I3</x:v>
      </x:c>
      <x:c r="AH1578" s="14" t="n">
        <x:v>1</x:v>
      </x:c>
      <x:c r="AI1578" s="14" t="n">
        <x:v>0</x:v>
      </x:c>
      <x:c r="AJ1578" s="18" t="n">
        <x:v>24000</x:v>
      </x:c>
      <x:c r="AK1578" s="14" t="str">
        <x:v>https://prozorro.gov.ua/tender/UA-2025-12-29-011184-a</x:v>
      </x:c>
      <x:c r="AL1578" s="19" t="n">
        <x:v>46020.65759539352</x:v>
      </x:c>
      <x:c r="AM1578" s="19" t="n">
        <x:v>46021</x:v>
      </x:c>
      <x:c r="AN1578" s="15" t="str">
        <x:v>Промисловий холод</x:v>
      </x:c>
      <x:c r="AO1578" s="15" t="str">
        <x:v>not_found_in_top_search</x:v>
      </x:c>
    </x:row>
    <x:row r="1579">
      <x:c r="A1579" s="14" t="str">
        <x:v>W5-207</x:v>
      </x:c>
      <x:c r="B1579" s="14" t="str">
        <x:v>Prozorro vertical expansion — 24.08</x:v>
      </x:c>
      <x:c r="C1579" s="14" t="str">
        <x:v>ТОВ "ЕНЕРГОКОНСАЛТ С"</x:v>
      </x:c>
      <x:c r="D1579" s="14" t="str">
        <x:v>Резервне живлення</x:v>
      </x:c>
      <x:c r="E1579" s="14" t="str">
        <x:v>Pilot now</x:v>
      </x:c>
      <x:c r="F1579" s="17" t="str">
        <x:v>P3</x:v>
      </x:c>
      <x:c r="G1579" s="14" t="str"/>
      <x:c r="H1579" s="14" t="str">
        <x:v>Пілот зараз — Н.15 subset</x:v>
      </x:c>
      <x:c r="I1579" s="16" t="n">
        <x:v>4</x:v>
      </x:c>
      <x:c r="J1579" s="16" t="n">
        <x:v>5</x:v>
      </x:c>
      <x:c r="K1579" s="16" t="n">
        <x:v>5</x:v>
      </x:c>
      <x:c r="L1579" s="16" t="n">
        <x:v>1</x:v>
      </x:c>
      <x:c r="M1579" s="16" t="n">
        <x:v>5</x:v>
      </x:c>
      <x:c r="N1579" s="16" t="n">
        <x:v>5</x:v>
      </x:c>
      <x:c r="O1579" s="16" t="n">
        <x:v>3</x:v>
      </x:c>
      <x:c r="P1579" s="16" t="n">
        <x:f>IF(COUNT(I1579:O1579)&lt;7,"",I1579*8+J1579*3+K1579*2+L1579*2+M1579*2+N1579*2+O1579)</x:f>
        <x:v>82</x:v>
      </x:c>
      <x:c r="Q1579" s="16" t="n">
        <x:f>IF(COUNT(J1579:O1579)&lt;6,"",J1579*5+K1579*4+M1579*4+L1579*3+N1579*2+O1579*2)</x:f>
        <x:v>84</x:v>
      </x:c>
      <x:c r="R1579" s="14" t="str">
        <x:v>high</x:v>
      </x:c>
      <x:c r="S1579" s="14" t="str">
        <x:v>official_prozorro_award_2024_2026</x:v>
      </x:c>
      <x:c r="T1579" s="14" t="str">
        <x:v>official_prozorro_api</x:v>
      </x:c>
      <x:c r="U1579" s="14" t="str">
        <x:v>Не контактували</x:v>
      </x:c>
      <x:c r="V1579" s="15" t="str">
        <x:v>Персоналізований free-pilot outreach по UA-2026-04-06-005880-a; попросити 1 пакет Н.15</x:v>
      </x:c>
      <x:c r="W1579" s="15" t="str">
        <x:v>Власник / директор; керівник ПТО; відповідальний за договори</x:v>
      </x:c>
      <x:c r="X1579" s="15" t="str">
        <x:v>1 нових підтверджених перемог/договорів у Prozorro на 15 000 грн; 1 зі строком виконання не раніше 24.08.2026.</x:v>
      </x:c>
      <x:c r="Y1579" s="15" t="str">
        <x:v>Послуги з розробки проєктної документації на монтаж та підключення обладнання ( дизель-генератор потужністю 63кВт) до внутрішніх мереж - Головного розподільного щита; опублікований строк до 2026-12-31. Попросити один знеособлений пакет здачі за цим workflow.</x:v>
      </x:c>
      <x:c r="Z1579" s="15" t="str">
        <x:v>https://prozorro.gov.ua/tender/UA-2026-04-06-005880-a</x:v>
      </x:c>
      <x:c r="AA1579" s="14" t="str">
        <x:v>40426503</x:v>
      </x:c>
      <x:c r="AB1579" s="14" t="str">
        <x:v>2026-08-24</x:v>
      </x:c>
      <x:c r="AC1579" s="14" t="str"/>
      <x:c r="AD1579" s="20" t="str"/>
      <x:c r="AE1579" s="14" t="str"/>
      <x:c r="AF1579" s="14" t="n">
        <x:v>38</x:v>
      </x:c>
      <x:c r="AG1579" s="14" t="str">
        <x:v>I3</x:v>
      </x:c>
      <x:c r="AH1579" s="14" t="n">
        <x:v>1</x:v>
      </x:c>
      <x:c r="AI1579" s="14" t="n">
        <x:v>1</x:v>
      </x:c>
      <x:c r="AJ1579" s="18" t="n">
        <x:v>15000</x:v>
      </x:c>
      <x:c r="AK1579" s="14" t="str">
        <x:v>https://prozorro.gov.ua/tender/UA-2026-04-06-005880-a</x:v>
      </x:c>
      <x:c r="AL1579" s="19" t="n">
        <x:v>46118.41079394676</x:v>
      </x:c>
      <x:c r="AM1579" s="19" t="n">
        <x:v>46387.45384259259</x:v>
      </x:c>
      <x:c r="AN1579" s="15" t="str">
        <x:v>Резервне живлення</x:v>
      </x:c>
      <x:c r="AO1579" s="15" t="str">
        <x:v>not_found_in_top_search</x:v>
      </x:c>
    </x:row>
    <x:row r="1580">
      <x:c r="A1580" s="14" t="str">
        <x:v>W5-208</x:v>
      </x:c>
      <x:c r="B1580" s="14" t="str">
        <x:v>Prozorro vertical expansion — 24.08</x:v>
      </x:c>
      <x:c r="C1580" s="14" t="str">
        <x:v>БОГАЄНКО ПАВЛО МИХАЙЛОВИЧ</x:v>
      </x:c>
      <x:c r="D1580" s="14" t="str">
        <x:v>Сонячна енергетика</x:v>
      </x:c>
      <x:c r="E1580" s="14" t="str">
        <x:v>Pilot now</x:v>
      </x:c>
      <x:c r="F1580" s="17" t="str">
        <x:v>P3</x:v>
      </x:c>
      <x:c r="G1580" s="14" t="str"/>
      <x:c r="H1580" s="14" t="str">
        <x:v>Пілот зараз — Н.15 discovery subset</x:v>
      </x:c>
      <x:c r="I1580" s="16" t="n">
        <x:v>3</x:v>
      </x:c>
      <x:c r="J1580" s="16" t="n">
        <x:v>5</x:v>
      </x:c>
      <x:c r="K1580" s="16" t="n">
        <x:v>5</x:v>
      </x:c>
      <x:c r="L1580" s="16" t="n">
        <x:v>1</x:v>
      </x:c>
      <x:c r="M1580" s="16" t="n">
        <x:v>5</x:v>
      </x:c>
      <x:c r="N1580" s="16" t="n">
        <x:v>3</x:v>
      </x:c>
      <x:c r="O1580" s="16" t="n">
        <x:v>3</x:v>
      </x:c>
      <x:c r="P1580" s="16" t="n">
        <x:f>IF(COUNT(I1580:O1580)&lt;7,"",I1580*8+J1580*3+K1580*2+L1580*2+M1580*2+N1580*2+O1580)</x:f>
        <x:v>70</x:v>
      </x:c>
      <x:c r="Q1580" s="16" t="n">
        <x:f>IF(COUNT(J1580:O1580)&lt;6,"",J1580*5+K1580*4+M1580*4+L1580*3+N1580*2+O1580*2)</x:f>
        <x:v>80</x:v>
      </x:c>
      <x:c r="R1580" s="14" t="str">
        <x:v>high</x:v>
      </x:c>
      <x:c r="S1580" s="14" t="str">
        <x:v>official_prozorro_award_2024_2026</x:v>
      </x:c>
      <x:c r="T1580" s="14" t="str">
        <x:v>official_prozorro_api</x:v>
      </x:c>
      <x:c r="U1580" s="14" t="str">
        <x:v>Не контактували</x:v>
      </x:c>
      <x:c r="V1580" s="15" t="str">
        <x:v>Персоналізований free-pilot outreach по UA-2026-04-23-001706-a; попросити 1 пакет Н.15</x:v>
      </x:c>
      <x:c r="W1580" s="15" t="str">
        <x:v>Власник / виконавець; відповідальний за договір</x:v>
      </x:c>
      <x:c r="X1580" s="15" t="str">
        <x:v>1 нових підтверджених перемог/договорів у Prozorro на 14 847 грн; 1 зі строком виконання не раніше 24.08.2026.</x:v>
      </x:c>
      <x:c r="Y1580" s="15" t="str">
        <x:v>Послуги з нагляду за виконанням будівельних робіт під час здійснення"Нове будівництво сонячної електростанції (СЄС) для свердловини №1Д по вулиці Миргородській в селі Великі Сорочинці Миргородського району Полтавської області"; опублікований строк до 2026-12-31. Попросити один знеособлений пакет здачі за цим workflow.</x:v>
      </x:c>
      <x:c r="Z1580" s="15" t="str">
        <x:v>https://prozorro.gov.ua/tender/UA-2026-04-23-001706-a</x:v>
      </x:c>
      <x:c r="AA1580" s="14" t="str">
        <x:v>2478303233</x:v>
      </x:c>
      <x:c r="AB1580" s="14" t="str">
        <x:v>2026-08-24</x:v>
      </x:c>
      <x:c r="AC1580" s="14" t="str"/>
      <x:c r="AD1580" s="20" t="str"/>
      <x:c r="AE1580" s="14" t="str"/>
      <x:c r="AF1580" s="14" t="n">
        <x:v>38</x:v>
      </x:c>
      <x:c r="AG1580" s="14" t="str">
        <x:v>I3</x:v>
      </x:c>
      <x:c r="AH1580" s="14" t="n">
        <x:v>1</x:v>
      </x:c>
      <x:c r="AI1580" s="14" t="n">
        <x:v>1</x:v>
      </x:c>
      <x:c r="AJ1580" s="18" t="n">
        <x:v>14847.42</x:v>
      </x:c>
      <x:c r="AK1580" s="14" t="str">
        <x:v>https://prozorro.gov.ua/tender/UA-2026-04-23-001706-a</x:v>
      </x:c>
      <x:c r="AL1580" s="19" t="n">
        <x:v>46135.28315043981</x:v>
      </x:c>
      <x:c r="AM1580" s="19" t="n">
        <x:v>46387</x:v>
      </x:c>
      <x:c r="AN1580" s="15" t="str">
        <x:v>Сонячна енергетика</x:v>
      </x:c>
      <x:c r="AO1580" s="15" t="str">
        <x:v>not_found_in_top_search</x:v>
      </x:c>
    </x:row>
    <x:row r="1581">
      <x:c r="A1581" s="14" t="str">
        <x:v>W5-209</x:v>
      </x:c>
      <x:c r="B1581" s="14" t="str">
        <x:v>Prozorro vertical expansion — 24.08</x:v>
      </x:c>
      <x:c r="C1581" s="14" t="str">
        <x:v>КОХМАН НАЗАР МИКОЛАЙОВИЧ</x:v>
      </x:c>
      <x:c r="D1581" s="14" t="str">
        <x:v>Насосні станції</x:v>
      </x:c>
      <x:c r="E1581" s="14" t="str">
        <x:v>Expansion discovery</x:v>
      </x:c>
      <x:c r="F1581" s="17" t="str">
        <x:v>D3</x:v>
      </x:c>
      <x:c r="G1581" s="14" t="str"/>
      <x:c r="H1581" s="14" t="str">
        <x:v>Discovery розширення — 2 тижні</x:v>
      </x:c>
      <x:c r="I1581" s="16" t="n">
        <x:v>1</x:v>
      </x:c>
      <x:c r="J1581" s="16" t="n">
        <x:v>5</x:v>
      </x:c>
      <x:c r="K1581" s="16" t="n">
        <x:v>5</x:v>
      </x:c>
      <x:c r="L1581" s="16" t="n">
        <x:v>1</x:v>
      </x:c>
      <x:c r="M1581" s="16" t="n">
        <x:v>5</x:v>
      </x:c>
      <x:c r="N1581" s="16" t="n">
        <x:v>3</x:v>
      </x:c>
      <x:c r="O1581" s="16" t="n">
        <x:v>3</x:v>
      </x:c>
      <x:c r="P1581" s="16" t="n">
        <x:f>IF(COUNT(I1581:O1581)&lt;7,"",I1581*8+J1581*3+K1581*2+L1581*2+M1581*2+N1581*2+O1581)</x:f>
        <x:v>54</x:v>
      </x:c>
      <x:c r="Q1581" s="16" t="n">
        <x:f>IF(COUNT(J1581:O1581)&lt;6,"",J1581*5+K1581*4+M1581*4+L1581*3+N1581*2+O1581*2)</x:f>
        <x:v>80</x:v>
      </x:c>
      <x:c r="R1581" s="14" t="str">
        <x:v>high</x:v>
      </x:c>
      <x:c r="S1581" s="14" t="str">
        <x:v>official_prozorro_award_2024_2026</x:v>
      </x:c>
      <x:c r="T1581" s="14" t="str">
        <x:v>official_prozorro_api</x:v>
      </x:c>
      <x:c r="U1581" s="14" t="str">
        <x:v>Не контактували</x:v>
      </x:c>
      <x:c r="V1581" s="15" t="str">
        <x:v>Workflow-audit outreach по UA-2026-04-16-002387-a; попросити 1 пакет здачі та вимоги проєкту</x:v>
      </x:c>
      <x:c r="W1581" s="15" t="str">
        <x:v>Власник / виконавець; відповідальний за договір</x:v>
      </x:c>
      <x:c r="X1581" s="15" t="str">
        <x:v>1 нових підтверджених перемог/договорів у Prozorro на 7 500 грн; 1 зі строком виконання не раніше 24.08.2026.</x:v>
      </x:c>
      <x:c r="Y1581" s="15" t="str">
        <x:v>Виготовлення технічного паспорта та внесення відомостей в ЄДЕССБ на обʼєкт: -Реконструкція каналізаційної насосної станції в смт. Шкло по вул.Богдана Слободи, 1, Новояворівська ТГ, Яворівського району Львівської області
ДК 021:2015-71330000-0; опублікований строк до 3026-12-31. Попросити один знеособлений пакет здачі за цим workflow.</x:v>
      </x:c>
      <x:c r="Z1581" s="15" t="str">
        <x:v>https://prozorro.gov.ua/tender/UA-2026-04-16-002387-a</x:v>
      </x:c>
      <x:c r="AA1581" s="14" t="str">
        <x:v>3217620757</x:v>
      </x:c>
      <x:c r="AB1581" s="14" t="str">
        <x:v>2026-08-24</x:v>
      </x:c>
      <x:c r="AC1581" s="14" t="str"/>
      <x:c r="AD1581" s="20" t="str"/>
      <x:c r="AE1581" s="14" t="str"/>
      <x:c r="AF1581" s="14" t="n">
        <x:v>38</x:v>
      </x:c>
      <x:c r="AG1581" s="14" t="str">
        <x:v>I3</x:v>
      </x:c>
      <x:c r="AH1581" s="14" t="n">
        <x:v>1</x:v>
      </x:c>
      <x:c r="AI1581" s="14" t="n">
        <x:v>1</x:v>
      </x:c>
      <x:c r="AJ1581" s="18" t="n">
        <x:v>7500</x:v>
      </x:c>
      <x:c r="AK1581" s="14" t="str">
        <x:v>https://prozorro.gov.ua/tender/UA-2026-04-16-002387-a</x:v>
      </x:c>
      <x:c r="AL1581" s="19" t="n">
        <x:v>46128.313841180556</x:v>
      </x:c>
      <x:c r="AM1581" s="19" t="n">
        <x:v>411629</x:v>
      </x:c>
      <x:c r="AN1581" s="15" t="str">
        <x:v>Насосні станції</x:v>
      </x:c>
      <x:c r="AO1581" s="15" t="str">
        <x:v>not_found_in_top_search</x:v>
      </x:c>
    </x:row>
    <x:row r="1582">
      <x:c r="A1582" s="14" t="str">
        <x:v>W5-210</x:v>
      </x:c>
      <x:c r="B1582" s="14" t="str">
        <x:v>Prozorro vertical expansion — 24.08</x:v>
      </x:c>
      <x:c r="C1582" s="14" t="str">
        <x:v>ТОВ "ІДЕЯ ТЕЛЕКОМ"</x:v>
      </x:c>
      <x:c r="D1582" s="14" t="str">
        <x:v>Резервне живлення</x:v>
      </x:c>
      <x:c r="E1582" s="14" t="str">
        <x:v>Pilot now</x:v>
      </x:c>
      <x:c r="F1582" s="17" t="str">
        <x:v>P3</x:v>
      </x:c>
      <x:c r="G1582" s="14" t="str"/>
      <x:c r="H1582" s="14" t="str">
        <x:v>Пілот зараз — Н.15 subset</x:v>
      </x:c>
      <x:c r="I1582" s="16" t="n">
        <x:v>4</x:v>
      </x:c>
      <x:c r="J1582" s="16" t="n">
        <x:v>5</x:v>
      </x:c>
      <x:c r="K1582" s="16" t="n">
        <x:v>5</x:v>
      </x:c>
      <x:c r="L1582" s="16" t="n">
        <x:v>1</x:v>
      </x:c>
      <x:c r="M1582" s="16" t="n">
        <x:v>5</x:v>
      </x:c>
      <x:c r="N1582" s="16" t="n">
        <x:v>5</x:v>
      </x:c>
      <x:c r="O1582" s="16" t="n">
        <x:v>3</x:v>
      </x:c>
      <x:c r="P1582" s="16" t="n">
        <x:f>IF(COUNT(I1582:O1582)&lt;7,"",I1582*8+J1582*3+K1582*2+L1582*2+M1582*2+N1582*2+O1582)</x:f>
        <x:v>82</x:v>
      </x:c>
      <x:c r="Q1582" s="16" t="n">
        <x:f>IF(COUNT(J1582:O1582)&lt;6,"",J1582*5+K1582*4+M1582*4+L1582*3+N1582*2+O1582*2)</x:f>
        <x:v>84</x:v>
      </x:c>
      <x:c r="R1582" s="14" t="str">
        <x:v>high</x:v>
      </x:c>
      <x:c r="S1582" s="14" t="str">
        <x:v>official_prozorro_award_2024_2026</x:v>
      </x:c>
      <x:c r="T1582" s="14" t="str">
        <x:v>official_prozorro_api</x:v>
      </x:c>
      <x:c r="U1582" s="14" t="str">
        <x:v>Не контактували</x:v>
      </x:c>
      <x:c r="V1582" s="15" t="str">
        <x:v>Персоналізований free-pilot outreach по UA-2026-01-26-007140-a; попросити 1 пакет Н.15</x:v>
      </x:c>
      <x:c r="W1582" s="15" t="str">
        <x:v>Власник / директор; керівник ПТО; відповідальний за договори</x:v>
      </x:c>
      <x:c r="X1582" s="15" t="str">
        <x:v>1 нових підтверджених перемог/договорів у Prozorro на 3 500 грн; 1 зі строком виконання не раніше 24.08.2026.</x:v>
      </x:c>
      <x:c r="Y1582" s="15" t="str">
        <x:v>Послуги монтажу джерела безперебійного живлення LP-U650VA у Сокільницькому ліцеї імені І.Я. Франка Сокільницької сільської ради; опублікований строк до 2026-12-31. Попросити один знеособлений пакет здачі за цим workflow.</x:v>
      </x:c>
      <x:c r="Z1582" s="15" t="str">
        <x:v>https://prozorro.gov.ua/tender/UA-2026-01-26-007140-a</x:v>
      </x:c>
      <x:c r="AA1582" s="14" t="str">
        <x:v>46152711</x:v>
      </x:c>
      <x:c r="AB1582" s="14" t="str">
        <x:v>2026-08-24</x:v>
      </x:c>
      <x:c r="AC1582" s="14" t="str"/>
      <x:c r="AD1582" s="20" t="str"/>
      <x:c r="AE1582" s="14" t="str"/>
      <x:c r="AF1582" s="14" t="n">
        <x:v>38</x:v>
      </x:c>
      <x:c r="AG1582" s="14" t="str">
        <x:v>I3</x:v>
      </x:c>
      <x:c r="AH1582" s="14" t="n">
        <x:v>1</x:v>
      </x:c>
      <x:c r="AI1582" s="14" t="n">
        <x:v>1</x:v>
      </x:c>
      <x:c r="AJ1582" s="18" t="n">
        <x:v>3500</x:v>
      </x:c>
      <x:c r="AK1582" s="14" t="str">
        <x:v>https://prozorro.gov.ua/tender/UA-2026-01-26-007140-a</x:v>
      </x:c>
      <x:c r="AL1582" s="19" t="n">
        <x:v>46048.430775625</x:v>
      </x:c>
      <x:c r="AM1582" s="19" t="n">
        <x:v>46387.431550925925</x:v>
      </x:c>
      <x:c r="AN1582" s="15" t="str">
        <x:v>Резервне живлення</x:v>
      </x:c>
      <x:c r="AO1582" s="15" t="str">
        <x:v>not_found_in_top_search</x:v>
      </x:c>
    </x:row>
    <x:row r="1583">
      <x:c r="A1583" s="14" t="str">
        <x:v>W5-211</x:v>
      </x:c>
      <x:c r="B1583" s="14" t="str">
        <x:v>Prozorro vertical expansion — 24.08</x:v>
      </x:c>
      <x:c r="C1583" s="14" t="str">
        <x:v>ТОВАРИСТВО З ОБМЕЖЕНОЮ ВІДПОВІДАЛЬНІСТЮ "ВОЛЯ-КАБЕЛЬ"</x:v>
      </x:c>
      <x:c r="D1583" s="14" t="str">
        <x:v>ВОЛЗ / телеком</x:v>
      </x:c>
      <x:c r="E1583" s="14" t="str">
        <x:v>Expansion discovery</x:v>
      </x:c>
      <x:c r="F1583" s="17" t="str">
        <x:v>D3</x:v>
      </x:c>
      <x:c r="G1583" s="14" t="str"/>
      <x:c r="H1583" s="14" t="str">
        <x:v>Discovery розширення — 2 тижні</x:v>
      </x:c>
      <x:c r="I1583" s="16" t="n">
        <x:v>1</x:v>
      </x:c>
      <x:c r="J1583" s="16" t="n">
        <x:v>5</x:v>
      </x:c>
      <x:c r="K1583" s="16" t="n">
        <x:v>5</x:v>
      </x:c>
      <x:c r="L1583" s="16" t="n">
        <x:v>1</x:v>
      </x:c>
      <x:c r="M1583" s="16" t="n">
        <x:v>5</x:v>
      </x:c>
      <x:c r="N1583" s="16" t="n">
        <x:v>5</x:v>
      </x:c>
      <x:c r="O1583" s="16" t="n">
        <x:v>3</x:v>
      </x:c>
      <x:c r="P1583" s="16" t="n">
        <x:f>IF(COUNT(I1583:O1583)&lt;7,"",I1583*8+J1583*3+K1583*2+L1583*2+M1583*2+N1583*2+O1583)</x:f>
        <x:v>58</x:v>
      </x:c>
      <x:c r="Q1583" s="16" t="n">
        <x:f>IF(COUNT(J1583:O1583)&lt;6,"",J1583*5+K1583*4+M1583*4+L1583*3+N1583*2+O1583*2)</x:f>
        <x:v>84</x:v>
      </x:c>
      <x:c r="R1583" s="14" t="str">
        <x:v>high</x:v>
      </x:c>
      <x:c r="S1583" s="14" t="str">
        <x:v>official_prozorro_award_2024_2026</x:v>
      </x:c>
      <x:c r="T1583" s="14" t="str">
        <x:v>official_prozorro_api</x:v>
      </x:c>
      <x:c r="U1583" s="14" t="str">
        <x:v>Не контактували</x:v>
      </x:c>
      <x:c r="V1583" s="15" t="str">
        <x:v>Workflow-audit outreach по UA-2026-04-01-009828-a; попросити 1 пакет здачі та вимоги проєкту</x:v>
      </x:c>
      <x:c r="W1583" s="15" t="str">
        <x:v>Власник / директор; керівник ПТО; відповідальний за договори</x:v>
      </x:c>
      <x:c r="X1583" s="15" t="str">
        <x:v>1 нових підтверджених перемог/договорів у Prozorro на 1 000 грн; 1 зі строком виконання не раніше 24.08.2026.</x:v>
      </x:c>
      <x:c r="Y1583" s="15" t="str">
        <x:v>Послуги монтажу та налагодження телекомунікаційного обладнання, ліній зв’язку, тестування системи зв’язку, Код ДК 021:2015: 72710000-0 Послуги у сфері локальних мереж; опублікований строк до 2026-12-31. Попросити один знеособлений пакет здачі за цим workflow.</x:v>
      </x:c>
      <x:c r="Z1583" s="15" t="str">
        <x:v>https://prozorro.gov.ua/tender/UA-2026-04-01-009828-a</x:v>
      </x:c>
      <x:c r="AA1583" s="14" t="str">
        <x:v>30777913</x:v>
      </x:c>
      <x:c r="AB1583" s="14" t="str">
        <x:v>2026-08-24</x:v>
      </x:c>
      <x:c r="AC1583" s="14" t="str"/>
      <x:c r="AD1583" s="20" t="str"/>
      <x:c r="AE1583" s="14" t="str"/>
      <x:c r="AF1583" s="14" t="n">
        <x:v>38</x:v>
      </x:c>
      <x:c r="AG1583" s="14" t="str">
        <x:v>I3</x:v>
      </x:c>
      <x:c r="AH1583" s="14" t="n">
        <x:v>1</x:v>
      </x:c>
      <x:c r="AI1583" s="14" t="n">
        <x:v>1</x:v>
      </x:c>
      <x:c r="AJ1583" s="18" t="n">
        <x:v>1000</x:v>
      </x:c>
      <x:c r="AK1583" s="14" t="str">
        <x:v>https://prozorro.gov.ua/tender/UA-2026-04-01-009828-a</x:v>
      </x:c>
      <x:c r="AL1583" s="19" t="n">
        <x:v>46113.51593917824</x:v>
      </x:c>
      <x:c r="AM1583" s="19" t="n">
        <x:v>46387</x:v>
      </x:c>
      <x:c r="AN1583" s="15" t="str">
        <x:v>ВОЛЗ / телеком</x:v>
      </x:c>
      <x:c r="AO1583" s="15" t="str">
        <x:v>not_found_in_top_search</x:v>
      </x:c>
    </x:row>
    <x:row r="1584">
      <x:c r="A1584" s="14" t="str">
        <x:v>W5-212</x:v>
      </x:c>
      <x:c r="B1584" s="14" t="str">
        <x:v>Prozorro vertical expansion — 24.08</x:v>
      </x:c>
      <x:c r="C1584" s="14" t="str">
        <x:v>ТОВ "Прогноз"</x:v>
      </x:c>
      <x:c r="D1584" s="14" t="str">
        <x:v>Зовнішні мережі</x:v>
      </x:c>
      <x:c r="E1584" s="14" t="str">
        <x:v>Expansion discovery</x:v>
      </x:c>
      <x:c r="F1584" s="17" t="str">
        <x:v>D3</x:v>
      </x:c>
      <x:c r="G1584" s="14" t="str"/>
      <x:c r="H1584" s="14" t="str">
        <x:v>Discovery розширення — 2 тижні</x:v>
      </x:c>
      <x:c r="I1584" s="16" t="n">
        <x:v>1</x:v>
      </x:c>
      <x:c r="J1584" s="16" t="n">
        <x:v>5</x:v>
      </x:c>
      <x:c r="K1584" s="16" t="n">
        <x:v>5</x:v>
      </x:c>
      <x:c r="L1584" s="16" t="n">
        <x:v>4</x:v>
      </x:c>
      <x:c r="M1584" s="16" t="n">
        <x:v>5</x:v>
      </x:c>
      <x:c r="N1584" s="16" t="n">
        <x:v>5</x:v>
      </x:c>
      <x:c r="O1584" s="16" t="n">
        <x:v>3</x:v>
      </x:c>
      <x:c r="P1584" s="16" t="n">
        <x:f>IF(COUNT(I1584:O1584)&lt;7,"",I1584*8+J1584*3+K1584*2+L1584*2+M1584*2+N1584*2+O1584)</x:f>
        <x:v>64</x:v>
      </x:c>
      <x:c r="Q1584" s="16" t="n">
        <x:f>IF(COUNT(J1584:O1584)&lt;6,"",J1584*5+K1584*4+M1584*4+L1584*3+N1584*2+O1584*2)</x:f>
        <x:v>93</x:v>
      </x:c>
      <x:c r="R1584" s="14" t="str">
        <x:v>high</x:v>
      </x:c>
      <x:c r="S1584" s="14" t="str">
        <x:v>official_prozorro_award_2024_2026</x:v>
      </x:c>
      <x:c r="T1584" s="14" t="str">
        <x:v>official_prozorro_api</x:v>
      </x:c>
      <x:c r="U1584" s="14" t="str">
        <x:v>Не контактували</x:v>
      </x:c>
      <x:c r="V1584" s="15" t="str">
        <x:v>Workflow-audit outreach по UA-2025-10-21-013083-a; попросити 1 пакет здачі та вимоги проєкту</x:v>
      </x:c>
      <x:c r="W1584" s="15" t="str">
        <x:v>Власник / директор; керівник ПТО; відповідальний за договори</x:v>
      </x:c>
      <x:c r="X1584" s="15" t="str">
        <x:v>1 нових підтверджених перемог/договорів у Prozorro на 2 936 816 грн; 1 зі строком виконання не раніше 24.08.2026.</x:v>
      </x:c>
      <x:c r="Y1584" s="15" t="str">
        <x:v>Реконструкція самопливної каналізаційної мережі колектору від вул. Короленка по головну КНС на ділянці по вул. Матросова від вул. Українська до гаражного кооперативу «Набережний» в м. Шостка Сумської області. Коригування; опублікований строк до 2026-09-30. Попросити один знеособлений пакет здачі за цим workflow.</x:v>
      </x:c>
      <x:c r="Z1584" s="15" t="str">
        <x:v>https://prozorro.gov.ua/tender/UA-2025-10-21-013083-a</x:v>
      </x:c>
      <x:c r="AA1584" s="14" t="str">
        <x:v>21108345</x:v>
      </x:c>
      <x:c r="AB1584" s="14" t="str">
        <x:v>2026-08-24</x:v>
      </x:c>
      <x:c r="AC1584" s="14" t="str"/>
      <x:c r="AD1584" s="20" t="str"/>
      <x:c r="AE1584" s="14" t="str"/>
      <x:c r="AF1584" s="14" t="n">
        <x:v>37</x:v>
      </x:c>
      <x:c r="AG1584" s="14" t="str">
        <x:v>I3</x:v>
      </x:c>
      <x:c r="AH1584" s="14" t="n">
        <x:v>1</x:v>
      </x:c>
      <x:c r="AI1584" s="14" t="n">
        <x:v>1</x:v>
      </x:c>
      <x:c r="AJ1584" s="18" t="n">
        <x:v>2936816.4</x:v>
      </x:c>
      <x:c r="AK1584" s="14" t="str">
        <x:v>https://prozorro.gov.ua/tender/UA-2025-10-21-013083-a</x:v>
      </x:c>
      <x:c r="AL1584" s="19" t="n">
        <x:v>45973.58056971065</x:v>
      </x:c>
      <x:c r="AM1584" s="19" t="n">
        <x:v>46295.521053240744</x:v>
      </x:c>
      <x:c r="AN1584" s="15" t="str">
        <x:v>Зовнішні мережі</x:v>
      </x:c>
      <x:c r="AO1584" s="15" t="str">
        <x:v>not_found_in_top_search</x:v>
      </x:c>
    </x:row>
    <x:row r="1585">
      <x:c r="A1585" s="14" t="str">
        <x:v>W5-213</x:v>
      </x:c>
      <x:c r="B1585" s="14" t="str">
        <x:v>Prozorro vertical expansion — 24.08</x:v>
      </x:c>
      <x:c r="C1585" s="14" t="str">
        <x:v>ФОП Лавренчук Василь Ілліч</x:v>
      </x:c>
      <x:c r="D1585" s="14" t="str">
        <x:v>Резервне живлення</x:v>
      </x:c>
      <x:c r="E1585" s="14" t="str">
        <x:v>Pilot now</x:v>
      </x:c>
      <x:c r="F1585" s="17" t="str">
        <x:v>P3</x:v>
      </x:c>
      <x:c r="G1585" s="14" t="str"/>
      <x:c r="H1585" s="14" t="str">
        <x:v>Пілот зараз — Н.15 subset</x:v>
      </x:c>
      <x:c r="I1585" s="16" t="n">
        <x:v>4</x:v>
      </x:c>
      <x:c r="J1585" s="16" t="n">
        <x:v>5</x:v>
      </x:c>
      <x:c r="K1585" s="16" t="n">
        <x:v>5</x:v>
      </x:c>
      <x:c r="L1585" s="16" t="n">
        <x:v>1</x:v>
      </x:c>
      <x:c r="M1585" s="16" t="n">
        <x:v>5</x:v>
      </x:c>
      <x:c r="N1585" s="16" t="n">
        <x:v>3</x:v>
      </x:c>
      <x:c r="O1585" s="16" t="n">
        <x:v>3</x:v>
      </x:c>
      <x:c r="P1585" s="16" t="n">
        <x:f>IF(COUNT(I1585:O1585)&lt;7,"",I1585*8+J1585*3+K1585*2+L1585*2+M1585*2+N1585*2+O1585)</x:f>
        <x:v>78</x:v>
      </x:c>
      <x:c r="Q1585" s="16" t="n">
        <x:f>IF(COUNT(J1585:O1585)&lt;6,"",J1585*5+K1585*4+M1585*4+L1585*3+N1585*2+O1585*2)</x:f>
        <x:v>80</x:v>
      </x:c>
      <x:c r="R1585" s="14" t="str">
        <x:v>high</x:v>
      </x:c>
      <x:c r="S1585" s="14" t="str">
        <x:v>official_prozorro_award_2024_2026</x:v>
      </x:c>
      <x:c r="T1585" s="14" t="str">
        <x:v>official_prozorro_api</x:v>
      </x:c>
      <x:c r="U1585" s="14" t="str">
        <x:v>Не контактували</x:v>
      </x:c>
      <x:c r="V1585" s="15" t="str">
        <x:v>Персоналізований free-pilot outreach по UA-2025-12-24-004929-a; попросити 1 пакет Н.15</x:v>
      </x:c>
      <x:c r="W1585" s="15" t="str">
        <x:v>Власник / виконавець; відповідальний за договір</x:v>
      </x:c>
      <x:c r="X1585" s="15" t="str">
        <x:v>2 нових підтверджених перемог/договорів у Prozorro на 26 433 грн; 0 зі строком виконання не раніше 24.08.2026.</x:v>
      </x:c>
      <x:c r="Y1585" s="15" t="str">
        <x:v>Роботи з монтажу дизель генератора з АВР; опублікований строк до 2025-12-31. Попросити один знеособлений пакет здачі за цим workflow.</x:v>
      </x:c>
      <x:c r="Z1585" s="15" t="str">
        <x:v>https://prozorro.gov.ua/tender/UA-2025-12-24-004929-a</x:v>
      </x:c>
      <x:c r="AA1585" s="14" t="str">
        <x:v>2004402372</x:v>
      </x:c>
      <x:c r="AB1585" s="14" t="str">
        <x:v>2026-08-24</x:v>
      </x:c>
      <x:c r="AC1585" s="14" t="str"/>
      <x:c r="AD1585" s="20" t="str"/>
      <x:c r="AE1585" s="14" t="str"/>
      <x:c r="AF1585" s="14" t="n">
        <x:v>37</x:v>
      </x:c>
      <x:c r="AG1585" s="14" t="str">
        <x:v>I3</x:v>
      </x:c>
      <x:c r="AH1585" s="14" t="n">
        <x:v>2</x:v>
      </x:c>
      <x:c r="AI1585" s="14" t="n">
        <x:v>0</x:v>
      </x:c>
      <x:c r="AJ1585" s="18" t="n">
        <x:v>26432.5</x:v>
      </x:c>
      <x:c r="AK1585" s="14" t="str">
        <x:v>https://prozorro.gov.ua/tender/UA-2025-12-24-004929-a</x:v>
      </x:c>
      <x:c r="AL1585" s="19" t="n">
        <x:v>46015.36890326389</x:v>
      </x:c>
      <x:c r="AM1585" s="19" t="n">
        <x:v>46022.37019675926</x:v>
      </x:c>
      <x:c r="AN1585" s="15" t="str">
        <x:v>Резервне живлення</x:v>
      </x:c>
      <x:c r="AO1585" s="15" t="str">
        <x:v>not_found_in_top_search</x:v>
      </x:c>
    </x:row>
    <x:row r="1586">
      <x:c r="A1586" s="14" t="str">
        <x:v>W5-214</x:v>
      </x:c>
      <x:c r="B1586" s="14" t="str">
        <x:v>Prozorro vertical expansion — 24.08</x:v>
      </x:c>
      <x:c r="C1586" s="14" t="str">
        <x:v>Фізична особа-підприємець ЛЕОНОВ ВІКТОР ВАСИЛЬОВИЧ</x:v>
      </x:c>
      <x:c r="D1586" s="14" t="str">
        <x:v>Промисловий холод</x:v>
      </x:c>
      <x:c r="E1586" s="14" t="str">
        <x:v>Expansion discovery</x:v>
      </x:c>
      <x:c r="F1586" s="17" t="str">
        <x:v>D3</x:v>
      </x:c>
      <x:c r="G1586" s="14" t="str"/>
      <x:c r="H1586" s="14" t="str">
        <x:v>Discovery розширення — 2 тижні</x:v>
      </x:c>
      <x:c r="I1586" s="16" t="n">
        <x:v>1</x:v>
      </x:c>
      <x:c r="J1586" s="16" t="n">
        <x:v>5</x:v>
      </x:c>
      <x:c r="K1586" s="16" t="n">
        <x:v>5</x:v>
      </x:c>
      <x:c r="L1586" s="16" t="n">
        <x:v>1</x:v>
      </x:c>
      <x:c r="M1586" s="16" t="n">
        <x:v>5</x:v>
      </x:c>
      <x:c r="N1586" s="16" t="n">
        <x:v>3</x:v>
      </x:c>
      <x:c r="O1586" s="16" t="n">
        <x:v>3</x:v>
      </x:c>
      <x:c r="P1586" s="16" t="n">
        <x:f>IF(COUNT(I1586:O1586)&lt;7,"",I1586*8+J1586*3+K1586*2+L1586*2+M1586*2+N1586*2+O1586)</x:f>
        <x:v>54</x:v>
      </x:c>
      <x:c r="Q1586" s="16" t="n">
        <x:f>IF(COUNT(J1586:O1586)&lt;6,"",J1586*5+K1586*4+M1586*4+L1586*3+N1586*2+O1586*2)</x:f>
        <x:v>80</x:v>
      </x:c>
      <x:c r="R1586" s="14" t="str">
        <x:v>high</x:v>
      </x:c>
      <x:c r="S1586" s="14" t="str">
        <x:v>official_prozorro_award_2024_2026</x:v>
      </x:c>
      <x:c r="T1586" s="14" t="str">
        <x:v>official_prozorro_api</x:v>
      </x:c>
      <x:c r="U1586" s="14" t="str">
        <x:v>Не контактували</x:v>
      </x:c>
      <x:c r="V1586" s="15" t="str">
        <x:v>Workflow-audit outreach по UA-2025-06-26-001031-a; попросити 1 пакет здачі та вимоги проєкту</x:v>
      </x:c>
      <x:c r="W1586" s="15" t="str">
        <x:v>Власник / виконавець; відповідальний за договір</x:v>
      </x:c>
      <x:c r="X1586" s="15" t="str">
        <x:v>2 нових підтверджених перемог/договорів у Prozorro на 16 200 грн; 0 зі строком виконання не раніше 24.08.2026.</x:v>
      </x:c>
      <x:c r="Y1586" s="15" t="str">
        <x:v>ДК 021:2015 50730000-1 Послуги з ремонту і технічного обслуговування охолоджувальних установок (Послуги з демонтажу холодильних агрегатів та устаткування холодильних камер Південноукраїнських ліцеїв №2,3 Південноукраїнської міської ради (інвентарні номери 10490084, 10490300)); опублікований строк до 2025-06-30. Попросити один знеособлений пакет здачі за цим workflow.</x:v>
      </x:c>
      <x:c r="Z1586" s="15" t="str">
        <x:v>https://prozorro.gov.ua/tender/UA-2025-06-26-001031-a</x:v>
      </x:c>
      <x:c r="AA1586" s="14" t="str">
        <x:v>2225501798</x:v>
      </x:c>
      <x:c r="AB1586" s="14" t="str">
        <x:v>2026-08-24</x:v>
      </x:c>
      <x:c r="AC1586" s="14" t="str"/>
      <x:c r="AD1586" s="20" t="str"/>
      <x:c r="AE1586" s="14" t="str"/>
      <x:c r="AF1586" s="14" t="n">
        <x:v>37</x:v>
      </x:c>
      <x:c r="AG1586" s="14" t="str">
        <x:v>I3</x:v>
      </x:c>
      <x:c r="AH1586" s="14" t="n">
        <x:v>2</x:v>
      </x:c>
      <x:c r="AI1586" s="14" t="n">
        <x:v>0</x:v>
      </x:c>
      <x:c r="AJ1586" s="18" t="n">
        <x:v>16200</x:v>
      </x:c>
      <x:c r="AK1586" s="14" t="str">
        <x:v>https://prozorro.gov.ua/tender/UA-2025-06-26-001031-a</x:v>
      </x:c>
      <x:c r="AL1586" s="19" t="n">
        <x:v>45834.27483091435</x:v>
      </x:c>
      <x:c r="AM1586" s="19" t="n">
        <x:v>45838</x:v>
      </x:c>
      <x:c r="AN1586" s="15" t="str">
        <x:v>Промисловий холод</x:v>
      </x:c>
      <x:c r="AO1586" s="15" t="str">
        <x:v>not_found_in_top_search</x:v>
      </x:c>
    </x:row>
    <x:row r="1587">
      <x:c r="A1587" s="14" t="str">
        <x:v>W5-215</x:v>
      </x:c>
      <x:c r="B1587" s="14" t="str">
        <x:v>Prozorro vertical expansion — 24.08</x:v>
      </x:c>
      <x:c r="C1587" s="14" t="str">
        <x:v>Петрів Вадим Романович</x:v>
      </x:c>
      <x:c r="D1587" s="14" t="str">
        <x:v>Чисті приміщення</x:v>
      </x:c>
      <x:c r="E1587" s="14" t="str">
        <x:v>Expansion discovery</x:v>
      </x:c>
      <x:c r="F1587" s="17" t="str">
        <x:v>D3</x:v>
      </x:c>
      <x:c r="G1587" s="14" t="str"/>
      <x:c r="H1587" s="14" t="str">
        <x:v>Discovery розширення — 2 тижні</x:v>
      </x:c>
      <x:c r="I1587" s="16" t="n">
        <x:v>1</x:v>
      </x:c>
      <x:c r="J1587" s="16" t="n">
        <x:v>5</x:v>
      </x:c>
      <x:c r="K1587" s="16" t="n">
        <x:v>5</x:v>
      </x:c>
      <x:c r="L1587" s="16" t="n">
        <x:v>1</x:v>
      </x:c>
      <x:c r="M1587" s="16" t="n">
        <x:v>5</x:v>
      </x:c>
      <x:c r="N1587" s="16" t="n">
        <x:v>3</x:v>
      </x:c>
      <x:c r="O1587" s="16" t="n">
        <x:v>3</x:v>
      </x:c>
      <x:c r="P1587" s="16" t="n">
        <x:f>IF(COUNT(I1587:O1587)&lt;7,"",I1587*8+J1587*3+K1587*2+L1587*2+M1587*2+N1587*2+O1587)</x:f>
        <x:v>54</x:v>
      </x:c>
      <x:c r="Q1587" s="16" t="n">
        <x:f>IF(COUNT(J1587:O1587)&lt;6,"",J1587*5+K1587*4+M1587*4+L1587*3+N1587*2+O1587*2)</x:f>
        <x:v>80</x:v>
      </x:c>
      <x:c r="R1587" s="14" t="str">
        <x:v>high</x:v>
      </x:c>
      <x:c r="S1587" s="14" t="str">
        <x:v>official_prozorro_award_2024_2026</x:v>
      </x:c>
      <x:c r="T1587" s="14" t="str">
        <x:v>official_prozorro_api</x:v>
      </x:c>
      <x:c r="U1587" s="14" t="str">
        <x:v>Не контактували</x:v>
      </x:c>
      <x:c r="V1587" s="15" t="str">
        <x:v>Workflow-audit outreach по UA-2024-12-19-006785-a; попросити 1 пакет здачі та вимоги проєкту</x:v>
      </x:c>
      <x:c r="W1587" s="15" t="str">
        <x:v>Власник / виконавець; відповідальний за договір</x:v>
      </x:c>
      <x:c r="X1587" s="15" t="str">
        <x:v>2 нових підтверджених перемог/договорів у Prozorro на 59 000 грн; 0 зі строком виконання не раніше 24.08.2026.</x:v>
      </x:c>
      <x:c r="Y1587" s="15" t="str">
        <x:v>Технічний паспорт -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опублікований строк до 2024-12-25. Попросити один знеособлений пакет здачі за цим workflow.</x:v>
      </x:c>
      <x:c r="Z1587" s="15" t="str">
        <x:v>https://prozorro.gov.ua/tender/UA-2024-12-19-006785-a</x:v>
      </x:c>
      <x:c r="AA1587" s="14" t="str">
        <x:v>3200112653</x:v>
      </x:c>
      <x:c r="AB1587" s="14" t="str">
        <x:v>2026-08-24</x:v>
      </x:c>
      <x:c r="AC1587" s="14" t="str"/>
      <x:c r="AD1587" s="20" t="str"/>
      <x:c r="AE1587" s="14" t="str"/>
      <x:c r="AF1587" s="14" t="n">
        <x:v>36</x:v>
      </x:c>
      <x:c r="AG1587" s="14" t="str">
        <x:v>I3</x:v>
      </x:c>
      <x:c r="AH1587" s="14" t="n">
        <x:v>2</x:v>
      </x:c>
      <x:c r="AI1587" s="14" t="n">
        <x:v>0</x:v>
      </x:c>
      <x:c r="AJ1587" s="18" t="n">
        <x:v>59000</x:v>
      </x:c>
      <x:c r="AK1587" s="14" t="str">
        <x:v>https://prozorro.gov.ua/tender/UA-2024-12-19-006785-a</x:v>
      </x:c>
      <x:c r="AL1587" s="19" t="n">
        <x:v>45645.39821175926</x:v>
      </x:c>
      <x:c r="AM1587" s="19" t="n">
        <x:v>45651</x:v>
      </x:c>
      <x:c r="AN1587" s="15" t="str">
        <x:v>Чисті приміщення</x:v>
      </x:c>
      <x:c r="AO1587" s="15" t="str">
        <x:v>not_found_in_top_search</x:v>
      </x:c>
    </x:row>
    <x:row r="1588">
      <x:c r="A1588" s="14" t="str">
        <x:v>W5-216</x:v>
      </x:c>
      <x:c r="B1588" s="14" t="str">
        <x:v>Prozorro vertical expansion — 24.08</x:v>
      </x:c>
      <x:c r="C1588" s="14" t="str">
        <x:v>Донченко Андрій Михайлович</x:v>
      </x:c>
      <x:c r="D1588" s="14" t="str">
        <x:v>Резервне живлення</x:v>
      </x:c>
      <x:c r="E1588" s="14" t="str">
        <x:v>Pilot now</x:v>
      </x:c>
      <x:c r="F1588" s="17" t="str">
        <x:v>P3</x:v>
      </x:c>
      <x:c r="G1588" s="14" t="str"/>
      <x:c r="H1588" s="14" t="str">
        <x:v>Пілот зараз — Н.15 subset</x:v>
      </x:c>
      <x:c r="I1588" s="16" t="n">
        <x:v>4</x:v>
      </x:c>
      <x:c r="J1588" s="16" t="n">
        <x:v>5</x:v>
      </x:c>
      <x:c r="K1588" s="16" t="n">
        <x:v>5</x:v>
      </x:c>
      <x:c r="L1588" s="16" t="n">
        <x:v>1</x:v>
      </x:c>
      <x:c r="M1588" s="16" t="n">
        <x:v>5</x:v>
      </x:c>
      <x:c r="N1588" s="16" t="n">
        <x:v>3</x:v>
      </x:c>
      <x:c r="O1588" s="16" t="n">
        <x:v>3</x:v>
      </x:c>
      <x:c r="P1588" s="16" t="n">
        <x:f>IF(COUNT(I1588:O1588)&lt;7,"",I1588*8+J1588*3+K1588*2+L1588*2+M1588*2+N1588*2+O1588)</x:f>
        <x:v>78</x:v>
      </x:c>
      <x:c r="Q1588" s="16" t="n">
        <x:f>IF(COUNT(J1588:O1588)&lt;6,"",J1588*5+K1588*4+M1588*4+L1588*3+N1588*2+O1588*2)</x:f>
        <x:v>80</x:v>
      </x:c>
      <x:c r="R1588" s="14" t="str">
        <x:v>high</x:v>
      </x:c>
      <x:c r="S1588" s="14" t="str">
        <x:v>official_prozorro_award_2024_2026</x:v>
      </x:c>
      <x:c r="T1588" s="14" t="str">
        <x:v>official_prozorro_api</x:v>
      </x:c>
      <x:c r="U1588" s="14" t="str">
        <x:v>Не контактували</x:v>
      </x:c>
      <x:c r="V1588" s="15" t="str">
        <x:v>Персоналізований free-pilot outreach по UA-2025-02-13-012323-a; попросити 1 пакет Н.15</x:v>
      </x:c>
      <x:c r="W1588" s="15" t="str">
        <x:v>Власник / виконавець; відповідальний за договір</x:v>
      </x:c>
      <x:c r="X1588" s="15" t="str">
        <x:v>2 нових підтверджених перемог/договорів у Prozorro на 38 080 грн; 0 зі строком виконання не раніше 24.08.2026.</x:v>
      </x:c>
      <x:c r="Y1588" s="15" t="str">
        <x:v>Монтаж джерел безперебійного живлення; опублікований строк до 2025-12-31. Попросити один знеособлений пакет здачі за цим workflow.</x:v>
      </x:c>
      <x:c r="Z1588" s="15" t="str">
        <x:v>https://prozorro.gov.ua/tender/UA-2025-02-13-012323-a</x:v>
      </x:c>
      <x:c r="AA1588" s="14" t="str">
        <x:v>2783811753</x:v>
      </x:c>
      <x:c r="AB1588" s="14" t="str">
        <x:v>2026-08-24</x:v>
      </x:c>
      <x:c r="AC1588" s="14" t="str"/>
      <x:c r="AD1588" s="20" t="str"/>
      <x:c r="AE1588" s="14" t="str"/>
      <x:c r="AF1588" s="14" t="n">
        <x:v>36</x:v>
      </x:c>
      <x:c r="AG1588" s="14" t="str">
        <x:v>I3</x:v>
      </x:c>
      <x:c r="AH1588" s="14" t="n">
        <x:v>2</x:v>
      </x:c>
      <x:c r="AI1588" s="14" t="n">
        <x:v>0</x:v>
      </x:c>
      <x:c r="AJ1588" s="18" t="n">
        <x:v>38079.6</x:v>
      </x:c>
      <x:c r="AK1588" s="14" t="str">
        <x:v>https://prozorro.gov.ua/tender/UA-2025-02-13-012323-a</x:v>
      </x:c>
      <x:c r="AL1588" s="19" t="n">
        <x:v>45701.59060865741</x:v>
      </x:c>
      <x:c r="AM1588" s="19" t="n">
        <x:v>46022</x:v>
      </x:c>
      <x:c r="AN1588" s="15" t="str">
        <x:v>Резервне живлення</x:v>
      </x:c>
      <x:c r="AO1588" s="15" t="str">
        <x:v>not_found_in_top_search</x:v>
      </x:c>
    </x:row>
    <x:row r="1589">
      <x:c r="A1589" s="14" t="str">
        <x:v>W5-217</x:v>
      </x:c>
      <x:c r="B1589" s="14" t="str">
        <x:v>Prozorro vertical expansion — 24.08</x:v>
      </x:c>
      <x:c r="C1589" s="14" t="str">
        <x:v>КОМУНАЛЬНЕ ПІДПРИЄМСТВО "ВІННИЦЯОБЛВОДОКАНАЛ"</x:v>
      </x:c>
      <x:c r="D1589" s="14" t="str">
        <x:v>Насосні станції</x:v>
      </x:c>
      <x:c r="E1589" s="14" t="str">
        <x:v>Expansion discovery</x:v>
      </x:c>
      <x:c r="F1589" s="17" t="str">
        <x:v>D3</x:v>
      </x:c>
      <x:c r="G1589" s="14" t="str"/>
      <x:c r="H1589" s="14" t="str">
        <x:v>Discovery розширення — 2 тижні</x:v>
      </x:c>
      <x:c r="I1589" s="16" t="n">
        <x:v>1</x:v>
      </x:c>
      <x:c r="J1589" s="16" t="n">
        <x:v>5</x:v>
      </x:c>
      <x:c r="K1589" s="16" t="n">
        <x:v>5</x:v>
      </x:c>
      <x:c r="L1589" s="16" t="n">
        <x:v>1</x:v>
      </x:c>
      <x:c r="M1589" s="16" t="n">
        <x:v>5</x:v>
      </x:c>
      <x:c r="N1589" s="16" t="n">
        <x:v>5</x:v>
      </x:c>
      <x:c r="O1589" s="16" t="n">
        <x:v>3</x:v>
      </x:c>
      <x:c r="P1589" s="16" t="n">
        <x:f>IF(COUNT(I1589:O1589)&lt;7,"",I1589*8+J1589*3+K1589*2+L1589*2+M1589*2+N1589*2+O1589)</x:f>
        <x:v>58</x:v>
      </x:c>
      <x:c r="Q1589" s="16" t="n">
        <x:f>IF(COUNT(J1589:O1589)&lt;6,"",J1589*5+K1589*4+M1589*4+L1589*3+N1589*2+O1589*2)</x:f>
        <x:v>84</x:v>
      </x:c>
      <x:c r="R1589" s="14" t="str">
        <x:v>high</x:v>
      </x:c>
      <x:c r="S1589" s="14" t="str">
        <x:v>official_prozorro_award_2024_2026</x:v>
      </x:c>
      <x:c r="T1589" s="14" t="str">
        <x:v>official_prozorro_api</x:v>
      </x:c>
      <x:c r="U1589" s="14" t="str">
        <x:v>Не контактували</x:v>
      </x:c>
      <x:c r="V1589" s="15" t="str">
        <x:v>Workflow-audit outreach по UA-2024-10-17-016076-a; попросити 1 пакет здачі та вимоги проєкту</x:v>
      </x:c>
      <x:c r="W1589" s="15" t="str">
        <x:v>Власник / директор; керівник ПТО; відповідальний за договори</x:v>
      </x:c>
      <x:c r="X1589" s="15" t="str">
        <x:v>2 нових підтверджених перемог/договорів у Prozorro на 8 433 грн; 0 зі строком виконання не раніше 24.08.2026.</x:v>
      </x:c>
      <x:c r="Y1589" s="15" t="str">
        <x:v>Виготовлення змін до технічних умов на проектування нового будівництва каналізаційної насосної станції господарсько-побутових стічних вод Вінницького індустріального парку по вул. Немирівське шосе, 213 в м. Вінниці; опублікований строк до 2024-12-31. Попросити один знеособлений пакет здачі за цим workflow.</x:v>
      </x:c>
      <x:c r="Z1589" s="15" t="str">
        <x:v>https://prozorro.gov.ua/tender/UA-2024-10-17-016076-a</x:v>
      </x:c>
      <x:c r="AA1589" s="14" t="str">
        <x:v>03339012</x:v>
      </x:c>
      <x:c r="AB1589" s="14" t="str">
        <x:v>2026-08-24</x:v>
      </x:c>
      <x:c r="AC1589" s="14" t="str"/>
      <x:c r="AD1589" s="20" t="str"/>
      <x:c r="AE1589" s="14" t="str"/>
      <x:c r="AF1589" s="14" t="n">
        <x:v>36</x:v>
      </x:c>
      <x:c r="AG1589" s="14" t="str">
        <x:v>I3</x:v>
      </x:c>
      <x:c r="AH1589" s="14" t="n">
        <x:v>2</x:v>
      </x:c>
      <x:c r="AI1589" s="14" t="n">
        <x:v>0</x:v>
      </x:c>
      <x:c r="AJ1589" s="18" t="n">
        <x:v>8433.23</x:v>
      </x:c>
      <x:c r="AK1589" s="14" t="str">
        <x:v>https://prozorro.gov.ua/tender/UA-2024-10-17-016076-a</x:v>
      </x:c>
      <x:c r="AL1589" s="19" t="n">
        <x:v>45582.68350697916</x:v>
      </x:c>
      <x:c r="AM1589" s="19" t="n">
        <x:v>45657</x:v>
      </x:c>
      <x:c r="AN1589" s="15" t="str">
        <x:v>Насосні станції</x:v>
      </x:c>
      <x:c r="AO1589" s="15" t="str">
        <x:v>not_found_in_top_search</x:v>
      </x:c>
    </x:row>
    <x:row r="1590">
      <x:c r="A1590" s="14" t="str">
        <x:v>W5-218</x:v>
      </x:c>
      <x:c r="B1590" s="14" t="str">
        <x:v>Prozorro vertical expansion — 24.08</x:v>
      </x:c>
      <x:c r="C1590" s="14" t="str">
        <x:v>ФОП Винник Олександр Іванович</x:v>
      </x:c>
      <x:c r="D1590" s="14" t="str">
        <x:v>Теплові пункти</x:v>
      </x:c>
      <x:c r="E1590" s="14" t="str">
        <x:v>Expansion discovery</x:v>
      </x:c>
      <x:c r="F1590" s="17" t="str">
        <x:v>D3</x:v>
      </x:c>
      <x:c r="G1590" s="14" t="str"/>
      <x:c r="H1590" s="14" t="str">
        <x:v>Discovery розширення — 2 тижні</x:v>
      </x:c>
      <x:c r="I1590" s="16" t="n">
        <x:v>1</x:v>
      </x:c>
      <x:c r="J1590" s="16" t="n">
        <x:v>5</x:v>
      </x:c>
      <x:c r="K1590" s="16" t="n">
        <x:v>5</x:v>
      </x:c>
      <x:c r="L1590" s="16" t="n">
        <x:v>4</x:v>
      </x:c>
      <x:c r="M1590" s="16" t="n">
        <x:v>5</x:v>
      </x:c>
      <x:c r="N1590" s="16" t="n">
        <x:v>3</x:v>
      </x:c>
      <x:c r="O1590" s="16" t="n">
        <x:v>3</x:v>
      </x:c>
      <x:c r="P1590" s="16" t="n">
        <x:f>IF(COUNT(I1590:O1590)&lt;7,"",I1590*8+J1590*3+K1590*2+L1590*2+M1590*2+N1590*2+O1590)</x:f>
        <x:v>60</x:v>
      </x:c>
      <x:c r="Q1590" s="16" t="n">
        <x:f>IF(COUNT(J1590:O1590)&lt;6,"",J1590*5+K1590*4+M1590*4+L1590*3+N1590*2+O1590*2)</x:f>
        <x:v>89</x:v>
      </x:c>
      <x:c r="R1590" s="14" t="str">
        <x:v>high</x:v>
      </x:c>
      <x:c r="S1590" s="14" t="str">
        <x:v>official_prozorro_award_2024_2026</x:v>
      </x:c>
      <x:c r="T1590" s="14" t="str">
        <x:v>official_prozorro_api</x:v>
      </x:c>
      <x:c r="U1590" s="14" t="str">
        <x:v>Не контактували</x:v>
      </x:c>
      <x:c r="V1590" s="15" t="str">
        <x:v>Workflow-audit outreach по UA-2025-03-13-010469-a; попросити 1 пакет здачі та вимоги проєкту</x:v>
      </x:c>
      <x:c r="W1590" s="15" t="str">
        <x:v>Власник / виконавець; відповідальний за договір</x:v>
      </x:c>
      <x:c r="X1590" s="15" t="str">
        <x:v>1 нових підтверджених перемог/договорів у Prozorro на 4 327 820 грн; 0 зі строком виконання не раніше 24.08.2026.</x:v>
      </x:c>
      <x:c r="Y1590" s="15" t="str">
        <x:v>код за ДК 021:2015: 45454000-4 - Реконструкція (Реконструкція системи теплопостачання центрального теплового пункту, розташованому у адміністративній будівлі МВС № 1 за адресою: м. Київ, вул. Академіка Богомольця, 10/Індивідуальний тепловий пункт); опублікований строк до 2025-10-30. Попросити один знеособлений пакет здачі за цим workflow.</x:v>
      </x:c>
      <x:c r="Z1590" s="15" t="str">
        <x:v>https://prozorro.gov.ua/tender/UA-2025-03-13-010469-a</x:v>
      </x:c>
      <x:c r="AA1590" s="14" t="str">
        <x:v>2915408758</x:v>
      </x:c>
      <x:c r="AB1590" s="14" t="str">
        <x:v>2026-08-24</x:v>
      </x:c>
      <x:c r="AC1590" s="14" t="str"/>
      <x:c r="AD1590" s="20" t="str"/>
      <x:c r="AE1590" s="14" t="str"/>
      <x:c r="AF1590" s="14" t="n">
        <x:v>35</x:v>
      </x:c>
      <x:c r="AG1590" s="14" t="str">
        <x:v>I3</x:v>
      </x:c>
      <x:c r="AH1590" s="14" t="n">
        <x:v>1</x:v>
      </x:c>
      <x:c r="AI1590" s="14" t="n">
        <x:v>0</x:v>
      </x:c>
      <x:c r="AJ1590" s="18" t="n">
        <x:v>4327820.18</x:v>
      </x:c>
      <x:c r="AK1590" s="14" t="str">
        <x:v>https://prozorro.gov.ua/tender/UA-2025-03-13-010469-a</x:v>
      </x:c>
      <x:c r="AL1590" s="19" t="n">
        <x:v>45743.59042726852</x:v>
      </x:c>
      <x:c r="AM1590" s="19" t="n">
        <x:v>45960</x:v>
      </x:c>
      <x:c r="AN1590" s="15" t="str">
        <x:v>Теплові пункти</x:v>
      </x:c>
      <x:c r="AO1590" s="15" t="str">
        <x:v>not_found_in_top_search</x:v>
      </x:c>
    </x:row>
    <x:row r="1591">
      <x:c r="A1591" s="14" t="str">
        <x:v>W5-219</x:v>
      </x:c>
      <x:c r="B1591" s="14" t="str">
        <x:v>Prozorro vertical expansion — 24.08</x:v>
      </x:c>
      <x:c r="C1591" s="14" t="str">
        <x:v>ФОП СЕНІН СЕРГІЙ ЮРІЙОВИЧ</x:v>
      </x:c>
      <x:c r="D1591" s="14" t="str">
        <x:v>Чисті приміщення</x:v>
      </x:c>
      <x:c r="E1591" s="14" t="str">
        <x:v>Expansion discovery</x:v>
      </x:c>
      <x:c r="F1591" s="17" t="str">
        <x:v>D3</x:v>
      </x:c>
      <x:c r="G1591" s="14" t="str"/>
      <x:c r="H1591" s="14" t="str">
        <x:v>Discovery розширення — 2 тижні</x:v>
      </x:c>
      <x:c r="I1591" s="16" t="n">
        <x:v>1</x:v>
      </x:c>
      <x:c r="J1591" s="16" t="n">
        <x:v>5</x:v>
      </x:c>
      <x:c r="K1591" s="16" t="n">
        <x:v>5</x:v>
      </x:c>
      <x:c r="L1591" s="16" t="n">
        <x:v>3</x:v>
      </x:c>
      <x:c r="M1591" s="16" t="n">
        <x:v>5</x:v>
      </x:c>
      <x:c r="N1591" s="16" t="n">
        <x:v>3</x:v>
      </x:c>
      <x:c r="O1591" s="16" t="n">
        <x:v>3</x:v>
      </x:c>
      <x:c r="P1591" s="16" t="n">
        <x:f>IF(COUNT(I1591:O1591)&lt;7,"",I1591*8+J1591*3+K1591*2+L1591*2+M1591*2+N1591*2+O1591)</x:f>
        <x:v>58</x:v>
      </x:c>
      <x:c r="Q1591" s="16" t="n">
        <x:f>IF(COUNT(J1591:O1591)&lt;6,"",J1591*5+K1591*4+M1591*4+L1591*3+N1591*2+O1591*2)</x:f>
        <x:v>86</x:v>
      </x:c>
      <x:c r="R1591" s="14" t="str">
        <x:v>high</x:v>
      </x:c>
      <x:c r="S1591" s="14" t="str">
        <x:v>official_prozorro_award_2024_2026</x:v>
      </x:c>
      <x:c r="T1591" s="14" t="str">
        <x:v>official_prozorro_api</x:v>
      </x:c>
      <x:c r="U1591" s="14" t="str">
        <x:v>Не контактували</x:v>
      </x:c>
      <x:c r="V1591" s="15" t="str">
        <x:v>Workflow-audit outreach по UA-2025-05-21-014227-a; попросити 1 пакет здачі та вимоги проєкту</x:v>
      </x:c>
      <x:c r="W1591" s="15" t="str">
        <x:v>Власник / виконавець; відповідальний за договір</x:v>
      </x:c>
      <x:c r="X1591" s="15" t="str">
        <x:v>1 нових підтверджених перемог/договорів у Prozorro на 1 695 835 грн; 0 зі строком виконання не раніше 24.08.2026.</x:v>
      </x:c>
      <x:c r="Y1591" s="15" t="str">
        <x:v>Лапароскопічний лопатевий ретрактор 10х330мм (НК 024:2023: 45182 - Хірургічний ретрактор самоутримувальний, багаторазового застосування); Лапароскопічний лопатевий ретрактор 5х330мм (НК 024:2023: 45182 - Хірургічний ретрактор самоутримувальний, багаторазового застосування); Ретрактор лапароскопічний (НК 024:2023: 45182 - Хірургічний ретрактор самоутримувальний, багаторазового застосування); Робоча частина (вставка) монополярного лапароскопічного затискача вигнута (НК 024:2023: 33596 - Ендоскопічний електрохірургічний наконечник / електрод, монополярний, багаторазовий); Тубус для лапароскопічного затискача (НК 024:2023: 33596 - Ендоскопічний електрохірургічний наконечник / електрод, монополярний, багаторазовий); Ручка лапароскопічних затискачів без кремальєри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18 мм (НК 024:2023: 33596 - Ендоскопічний електрохірургічний наконечник / електрод, монополярний, багаторазовий); Ручка лапароскопічних затискачів з кремальєрою (НК 024:2023: 33596 - Ендоскопічний електрохірургічний наконечник / електрод, монополярний, багаторазовий); Одноразовий троакар безлезовий (НК 024:2023: 61425 - Троакар лапароскопічний одноразового використання); Одноразовий контейнер для екстракції 200 мл (НК 024:2023: 45130 - Хірургічний мішечок на видалені тканини); Одноразовий контейнер для екстракції 400 мл (НК 024:2023: 45130 - Хірургічний мішечок на видалені тканини); Одноразовий контейнер для екстракції 700 мл (НК 024:2023: 45130 - Хірургічний мішечок на видалені тканини); Монополярний кабель  (НК 024:2023: 47487 - Електричний кабель для медичних виробів багаторазового застосування); Трубка для аспірації та іригації  (НК 024:2023: 47342 - Лапараскопічна канюля для зрошення/ відсмоктування); Лапароскопічний троакар з магнітним клапаном 10х95 мм (НК 024:2023: 37148 - Канюля для лапароскопічного доступу, багаторазового використання); Лапароскопічний троакар з магнітним клапаном 5х95 мм (НК 024:2023: 37148 - Канюля для лапароскопічного доступу, багаторазового використання); Лапароскопічний троакар 10×95 мм (НК 024:2023: 37148 - Канюля для лапароскопічного доступу, багаторазового використання); Робоча частина (вставка) монополярного лапароскопічного затискача 27 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24мм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15 мм (НК 024:2023: 33596 - Ендоскопічний електрохірургічний наконечник / електрод, монополярний, багаторазовий); Електрохірургічний електрод (НК 024:2023: 33596 - Ендоскопічний електрохірургічний наконечник / електрод, монополярний, багаторазовий); Голка для інсуфляції типу Вереша 2,5×120 мм (НК 024:2023: 46329 - Голка для пневмоперито неуму з підпружиненим стилетом багаторазового застосування); Голка для інсуфляції типу Вереша 2,5×140 мм (НК 024:2023: 46329 - Голка для пневмоперито неуму з підпружиненим стилетом багаторазового застосування); Комплект урогінекологічний стерильний (НК 024:2023: 47986 - Сітка хірургічна для лікування стресового нетримання сечі в жінок); Комплект для реконструкції тазового дна (НК 024:2023: 60842 - Сітка хірургічна для корекції опущення тазових органів з синтетичного полімеру); Розширювач каналу шийки матки по Hegar 1,0 мм (НК 024:2023: 11266 - Розширювач цервікального каналу з фіксованим діаметром багаторазового використання); Розширювач каналу шийки матки по Hegar 1,5 мм (НК 024:2023: 11266 - Розширювач цервікального каналу з фіксованим діаметром багаторазового використання); Розширювач каналу шийки матки по Hegar 2,0 мм (НК 024:2023: 11266 - Розширювач цервікального каналу з фіксованим діаметром багаторазового використання); Розширювач каналу шийки матки по Hegar 2,5 мм (НК 024:2023: 11266 - Розширювач цервікального каналу з фіксованим діаметром багаторазового використання); Розширювач каналу шийки матки по Hegar 3,0 мм (НК 024:2023: 11266 - Розширювач цервікального каналу з фіксованим діаметром багаторазового використання); Розширювач каналу шийки матки по Hegar 3,5 мм (НК 024:2023: 11266 - Розширювач цервікального каналу з фіксованим діаметром багаторазового використання); Розширювач каналу шийки матки по Hegar 4,0 мм (НК 024:2023: 11266 - Розширювач цервікального каналу з фіксованим діаметром багаторазового використання); Розширювач каналу шийки матки по Hegar 4,5 мм (НК 024:2023: 11266 - Розширювач цервікального каналу з фіксованим діаметром багаторазового використання); Розширювач каналу шийки матки по Hegar 5,0 мм (НК 024:2023: 11266 - Розширювач цервікального каналу з фіксованим діаметром багаторазового використання); Розширювач каналу шийки матки по Hegar 5,5 мм (НК 024:2023: 11266 - Розширювач цервікального каналу з фіксованим діаметром багаторазового використання); Розширювач каналу шийки матки по Hegar 6,0 мм (НК 024:2023: 11266 - Розширювач цервікального каналу з фіксованим діаметром багаторазового використання); Розширювач каналу шийки матки по Hegar 6,5 мм (НК 024:2023: 11266 - Розширювач цервікального каналу з фіксованим діаметром багаторазового використання); Розширювач каналу шийки матки по Hegar 7,0 мм (НК 024:2023: 11266 - Розширювач цервікального каналу з фіксованим діаметром багаторазового використання); Розширювач каналу шийки матки по Hegar 7,5 мм (НК 024:2023: 11266 - Розширювач цервікального каналу з фіксованим діаметром багаторазового використання); Розширювач каналу шийки матки по Hegar 8,0 мм (НК 024:2023: 11266 - Розширювач цервікального каналу з фіксованим діаметром багаторазового використання); Розширювач каналу шийки матки по Hegar 8,5 мм (НК 024:2023: 11266 - Розширювач цервікального каналу з фіксованим діаметром багаторазового використання); Розширювач каналу шийки матки по Hegar 9,0 мм (НК 024:2023: 11266 - Розширювач цервікального каналу з фіксованим діаметром багаторазового використання); Розширювач каналу шийки матки по Hegar 9,5 мм (НК 024:2023: 11266 - Розширювач цервікального каналу з фіксованим діаметром багаторазового використання); Розширювач каналу шийки матки по Hegar 10,0 мм (НК 024:2023: 11266 - Розширювач цервікального каналу з фіксованим діаметром багаторазового використання); Розширювач каналу шийки матки по Hegar 10,5 мм (НК 024:2023: 11266 - Розширювач цервікального каналу з фіксованим діаметром багаторазового використання); Розширювач каналу шийки матки по Hegar 11,0 мм (НК 024:2023: 11266 - Розширювач цервікального каналу з фіксованим діаметром багаторазового використання); Розширювач каналу шийки матки по Hegar 11,5 мм (НК 024:2023: 11266 - Розширювач цервікального каналу з фіксованим діаметром багаторазового використання); Розширювач каналу шийки матки по Hegar 12,0 мм (НК 024:2023: 11266 - Розширювач цервікального каналу з фіксованим діаметром багаторазового використання); Розширювач каналу шийки матки по Hegar 12,5 мм (НК 024:2023: 11266 - Розширювач цервікального каналу з фіксованим діаметром багаторазового використання); Розширювач каналу шийки матки по Hegar 13,0 мм (НК 024:2023: 11266 - Розширювач цервікального каналу з фіксованим діаметром багаторазового використання); Розширювач каналу шийки матки по Hegar 13,5 мм (НК 024:2023: 11266 - Розширювач цервікального каналу з фіксованим діаметром багаторазового використання); Розширювач каналу шийки матки по Hegar 14,0 мм (НК 024:2023: 11266 - Розширювач цервікального каналу з фіксованим діаметром багаторазового використання) (код за ДК 021:2015 33160000-9: Устаткування для операційних блоків); опублікований строк до 2025-12-31. Попросити один знеособлений пакет здачі за цим workflow.</x:v>
      </x:c>
      <x:c r="Z1591" s="15" t="str">
        <x:v>https://prozorro.gov.ua/tender/UA-2025-05-21-014227-a</x:v>
      </x:c>
      <x:c r="AA1591" s="14" t="str">
        <x:v>3141234959</x:v>
      </x:c>
      <x:c r="AB1591" s="14" t="str">
        <x:v>2026-08-24</x:v>
      </x:c>
      <x:c r="AC1591" s="14" t="str"/>
      <x:c r="AD1591" s="20" t="str"/>
      <x:c r="AE1591" s="14" t="str"/>
      <x:c r="AF1591" s="14" t="n">
        <x:v>35</x:v>
      </x:c>
      <x:c r="AG1591" s="14" t="str">
        <x:v>I3</x:v>
      </x:c>
      <x:c r="AH1591" s="14" t="n">
        <x:v>1</x:v>
      </x:c>
      <x:c r="AI1591" s="14" t="n">
        <x:v>0</x:v>
      </x:c>
      <x:c r="AJ1591" s="18" t="n">
        <x:v>1695835</x:v>
      </x:c>
      <x:c r="AK1591" s="14" t="str">
        <x:v>https://prozorro.gov.ua/tender/UA-2025-05-21-014227-a</x:v>
      </x:c>
      <x:c r="AL1591" s="19" t="n">
        <x:v>45813.46200099537</x:v>
      </x:c>
      <x:c r="AM1591" s="19" t="n">
        <x:v>46022</x:v>
      </x:c>
      <x:c r="AN1591" s="15" t="str">
        <x:v>Чисті приміщення</x:v>
      </x:c>
      <x:c r="AO1591" s="15" t="str">
        <x:v>not_found_in_top_search</x:v>
      </x:c>
    </x:row>
    <x:row r="1592">
      <x:c r="A1592" s="14" t="str">
        <x:v>W5-220</x:v>
      </x:c>
      <x:c r="B1592" s="14" t="str">
        <x:v>Prozorro vertical expansion — 24.08</x:v>
      </x:c>
      <x:c r="C1592" s="14" t="str">
        <x:v>ФОП ЛУЦЬКИЙ ЄВГЕНІЙ АНАТОЛІЙОВИЧ</x:v>
      </x:c>
      <x:c r="D1592" s="14" t="str">
        <x:v>Промисловий холод</x:v>
      </x:c>
      <x:c r="E1592" s="14" t="str">
        <x:v>Expansion discovery</x:v>
      </x:c>
      <x:c r="F1592" s="17" t="str">
        <x:v>D3</x:v>
      </x:c>
      <x:c r="G1592" s="14" t="str"/>
      <x:c r="H1592" s="14" t="str">
        <x:v>Discovery розширення — 2 тижні</x:v>
      </x:c>
      <x:c r="I1592" s="16" t="n">
        <x:v>1</x:v>
      </x:c>
      <x:c r="J1592" s="16" t="n">
        <x:v>5</x:v>
      </x:c>
      <x:c r="K1592" s="16" t="n">
        <x:v>5</x:v>
      </x:c>
      <x:c r="L1592" s="16" t="n">
        <x:v>3</x:v>
      </x:c>
      <x:c r="M1592" s="16" t="n">
        <x:v>5</x:v>
      </x:c>
      <x:c r="N1592" s="16" t="n">
        <x:v>3</x:v>
      </x:c>
      <x:c r="O1592" s="16" t="n">
        <x:v>3</x:v>
      </x:c>
      <x:c r="P1592" s="16" t="n">
        <x:f>IF(COUNT(I1592:O1592)&lt;7,"",I1592*8+J1592*3+K1592*2+L1592*2+M1592*2+N1592*2+O1592)</x:f>
        <x:v>58</x:v>
      </x:c>
      <x:c r="Q1592" s="16" t="n">
        <x:f>IF(COUNT(J1592:O1592)&lt;6,"",J1592*5+K1592*4+M1592*4+L1592*3+N1592*2+O1592*2)</x:f>
        <x:v>86</x:v>
      </x:c>
      <x:c r="R1592" s="14" t="str">
        <x:v>high</x:v>
      </x:c>
      <x:c r="S1592" s="14" t="str">
        <x:v>official_prozorro_award_2024_2026</x:v>
      </x:c>
      <x:c r="T1592" s="14" t="str">
        <x:v>official_prozorro_api</x:v>
      </x:c>
      <x:c r="U1592" s="14" t="str">
        <x:v>Не контактували</x:v>
      </x:c>
      <x:c r="V1592" s="15" t="str">
        <x:v>Workflow-audit outreach по UA-2025-10-15-002007-a; попросити 1 пакет здачі та вимоги проєкту</x:v>
      </x:c>
      <x:c r="W1592" s="15" t="str">
        <x:v>Власник / виконавець; відповідальний за договір</x:v>
      </x:c>
      <x:c r="X1592" s="15" t="str">
        <x:v>1 нових підтверджених перемог/договорів у Prozorro на 840 000 грн; 0 зі строком виконання не раніше 24.08.2026.</x:v>
      </x:c>
      <x:c r="Y1592" s="15" t="str">
        <x:v>Кондиціонери  інверторні касетні з монтажем  та демонтажем за кодом ДК 021:2015-42510000-4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592" s="15" t="str">
        <x:v>https://prozorro.gov.ua/tender/UA-2025-10-15-002007-a</x:v>
      </x:c>
      <x:c r="AA1592" s="14" t="str">
        <x:v>2469310279</x:v>
      </x:c>
      <x:c r="AB1592" s="14" t="str">
        <x:v>2026-08-24</x:v>
      </x:c>
      <x:c r="AC1592" s="14" t="str"/>
      <x:c r="AD1592" s="20" t="str"/>
      <x:c r="AE1592" s="14" t="str"/>
      <x:c r="AF1592" s="14" t="n">
        <x:v>35</x:v>
      </x:c>
      <x:c r="AG1592" s="14" t="str">
        <x:v>I3</x:v>
      </x:c>
      <x:c r="AH1592" s="14" t="n">
        <x:v>1</x:v>
      </x:c>
      <x:c r="AI1592" s="14" t="n">
        <x:v>0</x:v>
      </x:c>
      <x:c r="AJ1592" s="18" t="n">
        <x:v>840000</x:v>
      </x:c>
      <x:c r="AK1592" s="14" t="str">
        <x:v>https://prozorro.gov.ua/tender/UA-2025-10-15-002007-a</x:v>
      </x:c>
      <x:c r="AL1592" s="19" t="n">
        <x:v>45960.39049554398</x:v>
      </x:c>
      <x:c r="AM1592" s="19" t="n">
        <x:v>46022</x:v>
      </x:c>
      <x:c r="AN1592" s="15" t="str">
        <x:v>Промисловий холод</x:v>
      </x:c>
      <x:c r="AO1592" s="15" t="str">
        <x:v>not_found_in_top_search</x:v>
      </x:c>
    </x:row>
    <x:row r="1593">
      <x:c r="A1593" s="14" t="str">
        <x:v>W5-221</x:v>
      </x:c>
      <x:c r="B1593" s="14" t="str">
        <x:v>Prozorro vertical expansion — 24.08</x:v>
      </x:c>
      <x:c r="C1593" s="14" t="str">
        <x:v>ФОП "ВЕКЛИНЕЦЬ ОЛЕКСАНДР ВАСИЛЬОВИЧ"</x:v>
      </x:c>
      <x:c r="D1593" s="14" t="str">
        <x:v>Резервне живлення</x:v>
      </x:c>
      <x:c r="E1593" s="14" t="str">
        <x:v>Pilot now</x:v>
      </x:c>
      <x:c r="F1593" s="17" t="str">
        <x:v>P3</x:v>
      </x:c>
      <x:c r="G1593" s="14" t="str"/>
      <x:c r="H1593" s="14" t="str">
        <x:v>Пілот зараз — Н.15 subset</x:v>
      </x:c>
      <x:c r="I1593" s="16" t="n">
        <x:v>4</x:v>
      </x:c>
      <x:c r="J1593" s="16" t="n">
        <x:v>5</x:v>
      </x:c>
      <x:c r="K1593" s="16" t="n">
        <x:v>5</x:v>
      </x:c>
      <x:c r="L1593" s="16" t="n">
        <x:v>3</x:v>
      </x:c>
      <x:c r="M1593" s="16" t="n">
        <x:v>5</x:v>
      </x:c>
      <x:c r="N1593" s="16" t="n">
        <x:v>3</x:v>
      </x:c>
      <x:c r="O1593" s="16" t="n">
        <x:v>3</x:v>
      </x:c>
      <x:c r="P1593" s="16" t="n">
        <x:f>IF(COUNT(I1593:O1593)&lt;7,"",I1593*8+J1593*3+K1593*2+L1593*2+M1593*2+N1593*2+O1593)</x:f>
        <x:v>82</x:v>
      </x:c>
      <x:c r="Q1593" s="16" t="n">
        <x:f>IF(COUNT(J1593:O1593)&lt;6,"",J1593*5+K1593*4+M1593*4+L1593*3+N1593*2+O1593*2)</x:f>
        <x:v>86</x:v>
      </x:c>
      <x:c r="R1593" s="14" t="str">
        <x:v>high</x:v>
      </x:c>
      <x:c r="S1593" s="14" t="str">
        <x:v>official_prozorro_award_2024_2026</x:v>
      </x:c>
      <x:c r="T1593" s="14" t="str">
        <x:v>official_prozorro_api</x:v>
      </x:c>
      <x:c r="U1593" s="14" t="str">
        <x:v>Не контактували</x:v>
      </x:c>
      <x:c r="V1593" s="15" t="str">
        <x:v>Персоналізований free-pilot outreach по UA-2025-11-21-011312-a; попросити 1 пакет Н.15</x:v>
      </x:c>
      <x:c r="W1593" s="15" t="str">
        <x:v>Власник / виконавець; відповідальний за договір</x:v>
      </x:c>
      <x:c r="X1593" s="15" t="str">
        <x:v>1 нових підтверджених перемог/договорів у Prozorro на 795 240 грн; 0 зі строком виконання не раніше 24.08.2026.</x:v>
      </x:c>
      <x:c r="Y1593" s="15" t="str">
        <x:v>Комплект відеокамер зовнішнього встановлення  з монтажем (Комутаційна коробка, Корпус електротехнічного призначення, Вита пара зовнішньої прокладки, Кронштейн для камери відеоспостереження на електроопору, Самонесучий ізольований провід, Блок безперебійного живлення, Акумулятор гелевий 12В 7А, Кабель ВВГ-нг 3*1,5, Проколюючий зажим,Розетка на DIN рейку РМ-16, модульна, Автоматичний вимикач 1P, In=6А, «C», 6kA, Блок розподільчий 80А, Шпилька М8х1000,Шайба 25х8х3 мм.. оцинкована, Гайки М8); опублікований строк до 2025-12-19. Попросити один знеособлений пакет здачі за цим workflow.</x:v>
      </x:c>
      <x:c r="Z1593" s="15" t="str">
        <x:v>https://prozorro.gov.ua/tender/UA-2025-11-21-011312-a</x:v>
      </x:c>
      <x:c r="AA1593" s="14" t="str">
        <x:v>2819020257</x:v>
      </x:c>
      <x:c r="AB1593" s="14" t="str">
        <x:v>2026-08-24</x:v>
      </x:c>
      <x:c r="AC1593" s="14" t="str"/>
      <x:c r="AD1593" s="20" t="str"/>
      <x:c r="AE1593" s="14" t="str"/>
      <x:c r="AF1593" s="14" t="n">
        <x:v>35</x:v>
      </x:c>
      <x:c r="AG1593" s="14" t="str">
        <x:v>I3</x:v>
      </x:c>
      <x:c r="AH1593" s="14" t="n">
        <x:v>1</x:v>
      </x:c>
      <x:c r="AI1593" s="14" t="n">
        <x:v>0</x:v>
      </x:c>
      <x:c r="AJ1593" s="18" t="n">
        <x:v>795240</x:v>
      </x:c>
      <x:c r="AK1593" s="14" t="str">
        <x:v>https://prozorro.gov.ua/tender/UA-2025-11-21-011312-a</x:v>
      </x:c>
      <x:c r="AL1593" s="19" t="n">
        <x:v>45995.46840572917</x:v>
      </x:c>
      <x:c r="AM1593" s="19" t="n">
        <x:v>46010.52940972222</x:v>
      </x:c>
      <x:c r="AN1593" s="15" t="str">
        <x:v>Резервне живлення</x:v>
      </x:c>
      <x:c r="AO1593" s="15" t="str">
        <x:v>not_found_in_top_search</x:v>
      </x:c>
    </x:row>
    <x:row r="1594">
      <x:c r="A1594" s="14" t="str">
        <x:v>W5-222</x:v>
      </x:c>
      <x:c r="B1594" s="14" t="str">
        <x:v>Prozorro vertical expansion — 24.08</x:v>
      </x:c>
      <x:c r="C1594" s="14" t="str">
        <x:v>ФОП Коваль Юрій Анатолійович</x:v>
      </x:c>
      <x:c r="D1594" s="14" t="str">
        <x:v>Промислова електрика / ПНР</x:v>
      </x:c>
      <x:c r="E1594" s="14" t="str">
        <x:v>Pilot now</x:v>
      </x:c>
      <x:c r="F1594" s="17" t="str">
        <x:v>P3</x:v>
      </x:c>
      <x:c r="G1594" s="14" t="str"/>
      <x:c r="H1594" s="14" t="str">
        <x:v>Пілот зараз — Н.15 subset</x:v>
      </x:c>
      <x:c r="I1594" s="16" t="n">
        <x:v>4</x:v>
      </x:c>
      <x:c r="J1594" s="16" t="n">
        <x:v>5</x:v>
      </x:c>
      <x:c r="K1594" s="16" t="n">
        <x:v>4</x:v>
      </x:c>
      <x:c r="L1594" s="16" t="n">
        <x:v>1</x:v>
      </x:c>
      <x:c r="M1594" s="16" t="n">
        <x:v>5</x:v>
      </x:c>
      <x:c r="N1594" s="16" t="n">
        <x:v>3</x:v>
      </x:c>
      <x:c r="O1594" s="16" t="n">
        <x:v>3</x:v>
      </x:c>
      <x:c r="P1594" s="16" t="n">
        <x:f>IF(COUNT(I1594:O1594)&lt;7,"",I1594*8+J1594*3+K1594*2+L1594*2+M1594*2+N1594*2+O1594)</x:f>
        <x:v>76</x:v>
      </x:c>
      <x:c r="Q1594" s="16" t="n">
        <x:f>IF(COUNT(J1594:O1594)&lt;6,"",J1594*5+K1594*4+M1594*4+L1594*3+N1594*2+O1594*2)</x:f>
        <x:v>76</x:v>
      </x:c>
      <x:c r="R1594" s="14" t="str">
        <x:v>high</x:v>
      </x:c>
      <x:c r="S1594" s="14" t="str">
        <x:v>official_prozorro_award_2024_2026</x:v>
      </x:c>
      <x:c r="T1594" s="14" t="str">
        <x:v>official_prozorro_api</x:v>
      </x:c>
      <x:c r="U1594" s="14" t="str">
        <x:v>Не контактували</x:v>
      </x:c>
      <x:c r="V1594" s="15" t="str">
        <x:v>Персоналізований free-pilot outreach по UA-2026-03-03-006542-a; попросити 1 пакет Н.15</x:v>
      </x:c>
      <x:c r="W1594" s="15" t="str">
        <x:v>Власник / виконавець; відповідальний за договір</x:v>
      </x:c>
      <x:c r="X1594" s="15" t="str">
        <x:v>1 нових підтверджених перемог/договорів у Prozorro на 99 962 грн; 1 зі строком виконання не раніше 24.08.2026.</x:v>
      </x:c>
      <x:c r="Y1594" s="15" t="str">
        <x:v>Пусконалагоджувальні та електромонтажні роботи  на об'єкті Замовника за адресою: с. Переможне, вул. Шевченка 3 (Класифікація за ДК 021-2015 (CPV) 45310000-3 - Електромонтажні роботи); опублікований строк до 2026-12-31. Попросити один знеособлений пакет здачі за цим workflow.</x:v>
      </x:c>
      <x:c r="Z1594" s="15" t="str">
        <x:v>https://prozorro.gov.ua/tender/UA-2026-03-03-006542-a</x:v>
      </x:c>
      <x:c r="AA1594" s="14" t="str">
        <x:v>3202415811</x:v>
      </x:c>
      <x:c r="AB1594" s="14" t="str">
        <x:v>2026-08-24</x:v>
      </x:c>
      <x:c r="AC1594" s="14" t="str"/>
      <x:c r="AD1594" s="20" t="str"/>
      <x:c r="AE1594" s="14" t="str"/>
      <x:c r="AF1594" s="14" t="n">
        <x:v>35</x:v>
      </x:c>
      <x:c r="AG1594" s="14" t="str">
        <x:v>I3</x:v>
      </x:c>
      <x:c r="AH1594" s="14" t="n">
        <x:v>1</x:v>
      </x:c>
      <x:c r="AI1594" s="14" t="n">
        <x:v>1</x:v>
      </x:c>
      <x:c r="AJ1594" s="18" t="n">
        <x:v>99962</x:v>
      </x:c>
      <x:c r="AK1594" s="14" t="str">
        <x:v>https://prozorro.gov.ua/tender/UA-2026-03-03-006542-a</x:v>
      </x:c>
      <x:c r="AL1594" s="19" t="n">
        <x:v>46084.440423402775</x:v>
      </x:c>
      <x:c r="AM1594" s="19" t="n">
        <x:v>46387.44105324074</x:v>
      </x:c>
      <x:c r="AN1594" s="15" t="str">
        <x:v>Промислова електрика / ПНР</x:v>
      </x:c>
      <x:c r="AO1594" s="15" t="str">
        <x:v>not_found_in_top_search</x:v>
      </x:c>
    </x:row>
    <x:row r="1595">
      <x:c r="A1595" s="14" t="str">
        <x:v>W5-223</x:v>
      </x:c>
      <x:c r="B1595" s="14" t="str">
        <x:v>Prozorro vertical expansion — 24.08</x:v>
      </x:c>
      <x:c r="C1595" s="14" t="str">
        <x:v>ФОП Іванов Юрій Вікторович</x:v>
      </x:c>
      <x:c r="D1595" s="14" t="str">
        <x:v>Резервне живлення</x:v>
      </x:c>
      <x:c r="E1595" s="14" t="str">
        <x:v>Pilot now</x:v>
      </x:c>
      <x:c r="F1595" s="17" t="str">
        <x:v>P3</x:v>
      </x:c>
      <x:c r="G1595" s="14" t="str"/>
      <x:c r="H1595" s="14" t="str">
        <x:v>Пілот зараз — Н.15 subset</x:v>
      </x:c>
      <x:c r="I1595" s="16" t="n">
        <x:v>4</x:v>
      </x:c>
      <x:c r="J1595" s="16" t="n">
        <x:v>5</x:v>
      </x:c>
      <x:c r="K1595" s="16" t="n">
        <x:v>5</x:v>
      </x:c>
      <x:c r="L1595" s="16" t="n">
        <x:v>1</x:v>
      </x:c>
      <x:c r="M1595" s="16" t="n">
        <x:v>5</x:v>
      </x:c>
      <x:c r="N1595" s="16" t="n">
        <x:v>3</x:v>
      </x:c>
      <x:c r="O1595" s="16" t="n">
        <x:v>3</x:v>
      </x:c>
      <x:c r="P1595" s="16" t="n">
        <x:f>IF(COUNT(I1595:O1595)&lt;7,"",I1595*8+J1595*3+K1595*2+L1595*2+M1595*2+N1595*2+O1595)</x:f>
        <x:v>78</x:v>
      </x:c>
      <x:c r="Q1595" s="16" t="n">
        <x:f>IF(COUNT(J1595:O1595)&lt;6,"",J1595*5+K1595*4+M1595*4+L1595*3+N1595*2+O1595*2)</x:f>
        <x:v>80</x:v>
      </x:c>
      <x:c r="R1595" s="14" t="str">
        <x:v>high</x:v>
      </x:c>
      <x:c r="S1595" s="14" t="str">
        <x:v>official_prozorro_award_2024_2026</x:v>
      </x:c>
      <x:c r="T1595" s="14" t="str">
        <x:v>official_prozorro_api</x:v>
      </x:c>
      <x:c r="U1595" s="14" t="str">
        <x:v>Не контактували</x:v>
      </x:c>
      <x:c r="V1595" s="15" t="str">
        <x:v>Персоналізований free-pilot outreach по UA-2026-02-16-007261-a; попросити 1 пакет Н.15</x:v>
      </x:c>
      <x:c r="W1595" s="15" t="str">
        <x:v>Власник / виконавець; відповідальний за договір</x:v>
      </x:c>
      <x:c r="X1595" s="15" t="str">
        <x:v>1 нових підтверджених перемог/договорів у Prozorro на 32 160 грн; 1 зі строком виконання не раніше 24.08.2026.</x:v>
      </x:c>
      <x:c r="Y1595" s="15" t="str">
        <x:v>ДК021:2015:51110000-6 - Послуги зі встановлення електричного обладнання (Послуги з монтажу дизель-генератора); опублікований строк до 2026-12-31. Попросити один знеособлений пакет здачі за цим workflow.</x:v>
      </x:c>
      <x:c r="Z1595" s="15" t="str">
        <x:v>https://prozorro.gov.ua/tender/UA-2026-02-16-007261-a</x:v>
      </x:c>
      <x:c r="AA1595" s="14" t="str">
        <x:v>3415515417</x:v>
      </x:c>
      <x:c r="AB1595" s="14" t="str">
        <x:v>2026-08-24</x:v>
      </x:c>
      <x:c r="AC1595" s="14" t="str"/>
      <x:c r="AD1595" s="20" t="str"/>
      <x:c r="AE1595" s="14" t="str"/>
      <x:c r="AF1595" s="14" t="n">
        <x:v>35</x:v>
      </x:c>
      <x:c r="AG1595" s="14" t="str">
        <x:v>I3</x:v>
      </x:c>
      <x:c r="AH1595" s="14" t="n">
        <x:v>1</x:v>
      </x:c>
      <x:c r="AI1595" s="14" t="n">
        <x:v>1</x:v>
      </x:c>
      <x:c r="AJ1595" s="18" t="n">
        <x:v>32160</x:v>
      </x:c>
      <x:c r="AK1595" s="14" t="str">
        <x:v>https://prozorro.gov.ua/tender/UA-2026-02-16-007261-a</x:v>
      </x:c>
      <x:c r="AL1595" s="19" t="n">
        <x:v>46069.48450449074</x:v>
      </x:c>
      <x:c r="AM1595" s="19" t="n">
        <x:v>46387.4793287037</x:v>
      </x:c>
      <x:c r="AN1595" s="15" t="str">
        <x:v>Резервне живлення</x:v>
      </x:c>
      <x:c r="AO1595" s="15" t="str">
        <x:v>not_found_in_top_search</x:v>
      </x:c>
    </x:row>
    <x:row r="1596">
      <x:c r="A1596" s="14" t="str">
        <x:v>W5-224</x:v>
      </x:c>
      <x:c r="B1596" s="14" t="str">
        <x:v>Prozorro vertical expansion — 24.08</x:v>
      </x:c>
      <x:c r="C1596" s="14" t="str">
        <x:v>ТОВ "КПД ГРУПП"</x:v>
      </x:c>
      <x:c r="D1596" s="14" t="str">
        <x:v>Насосні станції</x:v>
      </x:c>
      <x:c r="E1596" s="14" t="str">
        <x:v>Expansion discovery</x:v>
      </x:c>
      <x:c r="F1596" s="17" t="str">
        <x:v>D3</x:v>
      </x:c>
      <x:c r="G1596" s="14" t="str"/>
      <x:c r="H1596" s="14" t="str">
        <x:v>Discovery розширення — 2 тижні</x:v>
      </x:c>
      <x:c r="I1596" s="16" t="n">
        <x:v>1</x:v>
      </x:c>
      <x:c r="J1596" s="16" t="n">
        <x:v>5</x:v>
      </x:c>
      <x:c r="K1596" s="16" t="n">
        <x:v>5</x:v>
      </x:c>
      <x:c r="L1596" s="16" t="n">
        <x:v>3</x:v>
      </x:c>
      <x:c r="M1596" s="16" t="n">
        <x:v>5</x:v>
      </x:c>
      <x:c r="N1596" s="16" t="n">
        <x:v>5</x:v>
      </x:c>
      <x:c r="O1596" s="16" t="n">
        <x:v>3</x:v>
      </x:c>
      <x:c r="P1596" s="16" t="n">
        <x:f>IF(COUNT(I1596:O1596)&lt;7,"",I1596*8+J1596*3+K1596*2+L1596*2+M1596*2+N1596*2+O1596)</x:f>
        <x:v>62</x:v>
      </x:c>
      <x:c r="Q1596" s="16" t="n">
        <x:f>IF(COUNT(J1596:O1596)&lt;6,"",J1596*5+K1596*4+M1596*4+L1596*3+N1596*2+O1596*2)</x:f>
        <x:v>90</x:v>
      </x:c>
      <x:c r="R1596" s="14" t="str">
        <x:v>high</x:v>
      </x:c>
      <x:c r="S1596" s="14" t="str">
        <x:v>official_prozorro_award_2024_2026</x:v>
      </x:c>
      <x:c r="T1596" s="14" t="str">
        <x:v>official_prozorro_api</x:v>
      </x:c>
      <x:c r="U1596" s="14" t="str">
        <x:v>Не контактували</x:v>
      </x:c>
      <x:c r="V1596" s="15" t="str">
        <x:v>Workflow-audit outreach по UA-2024-11-19-009729-a; попросити 1 пакет здачі та вимоги проєкту</x:v>
      </x:c>
      <x:c r="W1596" s="15" t="str">
        <x:v>Власник / директор; керівник ПТО; відповідальний за договори</x:v>
      </x:c>
      <x:c r="X1596" s="15" t="str">
        <x:v>1 нових підтверджених перемог/договорів у Prozorro на 1 000 557 грн; 0 зі строком виконання не раніше 24.08.2026.</x:v>
      </x:c>
      <x:c r="Y1596" s="15" t="str">
        <x:v>«Реконструкція каналізаційної насосної станції №3 по вул. Погребняка 12Б, в с. Чубинське Бориспільського району Київської області» Коригування 3; опублікований строк до 2024-12-20. Попросити один знеособлений пакет здачі за цим workflow.</x:v>
      </x:c>
      <x:c r="Z1596" s="15" t="str">
        <x:v>https://prozorro.gov.ua/tender/UA-2024-11-19-009729-a</x:v>
      </x:c>
      <x:c r="AA1596" s="14" t="str">
        <x:v>35140833</x:v>
      </x:c>
      <x:c r="AB1596" s="14" t="str">
        <x:v>2026-08-24</x:v>
      </x:c>
      <x:c r="AC1596" s="14" t="str"/>
      <x:c r="AD1596" s="20" t="str"/>
      <x:c r="AE1596" s="14" t="str"/>
      <x:c r="AF1596" s="14" t="n">
        <x:v>34</x:v>
      </x:c>
      <x:c r="AG1596" s="14" t="str">
        <x:v>I3</x:v>
      </x:c>
      <x:c r="AH1596" s="14" t="n">
        <x:v>1</x:v>
      </x:c>
      <x:c r="AI1596" s="14" t="n">
        <x:v>0</x:v>
      </x:c>
      <x:c r="AJ1596" s="18" t="n">
        <x:v>1000556.64</x:v>
      </x:c>
      <x:c r="AK1596" s="14" t="str">
        <x:v>https://prozorro.gov.ua/tender/UA-2024-11-19-009729-a</x:v>
      </x:c>
      <x:c r="AL1596" s="19" t="n">
        <x:v>45615.49473868056</x:v>
      </x:c>
      <x:c r="AM1596" s="19" t="n">
        <x:v>45646.49652777778</x:v>
      </x:c>
      <x:c r="AN1596" s="15" t="str">
        <x:v>Насосні станції</x:v>
      </x:c>
      <x:c r="AO1596" s="15" t="str">
        <x:v>not_found_in_top_search</x:v>
      </x:c>
    </x:row>
    <x:row r="1597">
      <x:c r="A1597" s="14" t="str">
        <x:v>W5-225</x:v>
      </x:c>
      <x:c r="B1597" s="14" t="str">
        <x:v>Prozorro vertical expansion — 24.08</x:v>
      </x:c>
      <x:c r="C1597" s="14" t="str">
        <x:v>Товариство з обмеженою відповідальністю " ФЕСТ ГРУПП"</x:v>
      </x:c>
      <x:c r="D1597" s="14" t="str">
        <x:v>Стиснене повітря / компресорні</x:v>
      </x:c>
      <x:c r="E1597" s="14" t="str">
        <x:v>Expansion discovery</x:v>
      </x:c>
      <x:c r="F1597" s="17" t="str">
        <x:v>D3</x:v>
      </x:c>
      <x:c r="G1597" s="14" t="str"/>
      <x:c r="H1597" s="14" t="str">
        <x:v>Discovery розширення — 2 тижні</x:v>
      </x:c>
      <x:c r="I1597" s="16" t="n">
        <x:v>1</x:v>
      </x:c>
      <x:c r="J1597" s="16" t="n">
        <x:v>5</x:v>
      </x:c>
      <x:c r="K1597" s="16" t="n">
        <x:v>5</x:v>
      </x:c>
      <x:c r="L1597" s="16" t="n">
        <x:v>3</x:v>
      </x:c>
      <x:c r="M1597" s="16" t="n">
        <x:v>5</x:v>
      </x:c>
      <x:c r="N1597" s="16" t="n">
        <x:v>5</x:v>
      </x:c>
      <x:c r="O1597" s="16" t="n">
        <x:v>3</x:v>
      </x:c>
      <x:c r="P1597" s="16" t="n">
        <x:f>IF(COUNT(I1597:O1597)&lt;7,"",I1597*8+J1597*3+K1597*2+L1597*2+M1597*2+N1597*2+O1597)</x:f>
        <x:v>62</x:v>
      </x:c>
      <x:c r="Q1597" s="16" t="n">
        <x:f>IF(COUNT(J1597:O1597)&lt;6,"",J1597*5+K1597*4+M1597*4+L1597*3+N1597*2+O1597*2)</x:f>
        <x:v>90</x:v>
      </x:c>
      <x:c r="R1597" s="14" t="str">
        <x:v>high</x:v>
      </x:c>
      <x:c r="S1597" s="14" t="str">
        <x:v>official_prozorro_award_2024_2026</x:v>
      </x:c>
      <x:c r="T1597" s="14" t="str">
        <x:v>official_prozorro_api</x:v>
      </x:c>
      <x:c r="U1597" s="14" t="str">
        <x:v>Не контактували</x:v>
      </x:c>
      <x:c r="V1597" s="15" t="str">
        <x:v>Workflow-audit outreach по UA-2024-07-17-008571-a; попросити 1 пакет здачі та вимоги проєкту</x:v>
      </x:c>
      <x:c r="W1597" s="15" t="str">
        <x:v>Власник / директор; керівник ПТО; відповідальний за договори</x:v>
      </x:c>
      <x:c r="X1597" s="15" t="str">
        <x:v>1 нових підтверджених перемог/договорів у Prozorro на 879 494 грн; 0 зі строком виконання не раніше 24.08.2026.</x:v>
      </x:c>
      <x:c r="Y1597" s="15" t="str">
        <x:v>Реконструкція електричних мереж компресорної станції із встановленням автономного джерела  електропостачання в КНП «Київський міський центр  нефрології та діалізу» за адресою м.Київ, вул. Чорних Запорожців,26; опублікований строк до 2024-08-31. Попросити один знеособлений пакет здачі за цим workflow.</x:v>
      </x:c>
      <x:c r="Z1597" s="15" t="str">
        <x:v>https://prozorro.gov.ua/tender/UA-2024-07-17-008571-a</x:v>
      </x:c>
      <x:c r="AA1597" s="14" t="str">
        <x:v>39999530</x:v>
      </x:c>
      <x:c r="AB1597" s="14" t="str">
        <x:v>2026-08-24</x:v>
      </x:c>
      <x:c r="AC1597" s="14" t="str"/>
      <x:c r="AD1597" s="20" t="str"/>
      <x:c r="AE1597" s="14" t="str"/>
      <x:c r="AF1597" s="14" t="n">
        <x:v>34</x:v>
      </x:c>
      <x:c r="AG1597" s="14" t="str">
        <x:v>I3</x:v>
      </x:c>
      <x:c r="AH1597" s="14" t="n">
        <x:v>1</x:v>
      </x:c>
      <x:c r="AI1597" s="14" t="n">
        <x:v>0</x:v>
      </x:c>
      <x:c r="AJ1597" s="18" t="n">
        <x:v>879494.48</x:v>
      </x:c>
      <x:c r="AK1597" s="14" t="str">
        <x:v>https://prozorro.gov.ua/tender/UA-2024-07-17-008571-a</x:v>
      </x:c>
      <x:c r="AL1597" s="19" t="n">
        <x:v>45490.5520871875</x:v>
      </x:c>
      <x:c r="AM1597" s="19" t="n">
        <x:v>45535</x:v>
      </x:c>
      <x:c r="AN1597" s="15" t="str">
        <x:v>Стиснене повітря / компресорні</x:v>
      </x:c>
      <x:c r="AO1597" s="15" t="str">
        <x:v>not_found_in_top_search</x:v>
      </x:c>
    </x:row>
    <x:row r="1598">
      <x:c r="A1598" s="14" t="str">
        <x:v>W5-226</x:v>
      </x:c>
      <x:c r="B1598" s="14" t="str">
        <x:v>Prozorro vertical expansion — 24.08</x:v>
      </x:c>
      <x:c r="C1598" s="14" t="str">
        <x:v>ТОВАРИСТВО З ОБМЕЖЕНОЮ ВІДПОВІДАЛЬНІСТЮ "ЕЛЕКТРІК СЕРВІС"</x:v>
      </x:c>
      <x:c r="D1598" s="14" t="str">
        <x:v>Чисті приміщення</x:v>
      </x:c>
      <x:c r="E1598" s="14" t="str">
        <x:v>Expansion discovery</x:v>
      </x:c>
      <x:c r="F1598" s="17" t="str">
        <x:v>D3</x:v>
      </x:c>
      <x:c r="G1598" s="14" t="str"/>
      <x:c r="H1598" s="14" t="str">
        <x:v>Discovery розширення — 2 тижні</x:v>
      </x:c>
      <x:c r="I1598" s="16" t="n">
        <x:v>1</x:v>
      </x:c>
      <x:c r="J1598" s="16" t="n">
        <x:v>5</x:v>
      </x:c>
      <x:c r="K1598" s="16" t="n">
        <x:v>5</x:v>
      </x:c>
      <x:c r="L1598" s="16" t="n">
        <x:v>3</x:v>
      </x:c>
      <x:c r="M1598" s="16" t="n">
        <x:v>5</x:v>
      </x:c>
      <x:c r="N1598" s="16" t="n">
        <x:v>5</x:v>
      </x:c>
      <x:c r="O1598" s="16" t="n">
        <x:v>3</x:v>
      </x:c>
      <x:c r="P1598" s="16" t="n">
        <x:f>IF(COUNT(I1598:O1598)&lt;7,"",I1598*8+J1598*3+K1598*2+L1598*2+M1598*2+N1598*2+O1598)</x:f>
        <x:v>62</x:v>
      </x:c>
      <x:c r="Q1598" s="16" t="n">
        <x:f>IF(COUNT(J1598:O1598)&lt;6,"",J1598*5+K1598*4+M1598*4+L1598*3+N1598*2+O1598*2)</x:f>
        <x:v>90</x:v>
      </x:c>
      <x:c r="R1598" s="14" t="str">
        <x:v>high</x:v>
      </x:c>
      <x:c r="S1598" s="14" t="str">
        <x:v>official_prozorro_award_2024_2026</x:v>
      </x:c>
      <x:c r="T1598" s="14" t="str">
        <x:v>official_prozorro_api</x:v>
      </x:c>
      <x:c r="U1598" s="14" t="str">
        <x:v>Не контактували</x:v>
      </x:c>
      <x:c r="V1598" s="15" t="str">
        <x:v>Workflow-audit outreach по UA-2024-12-10-007228-a; попросити 1 пакет здачі та вимоги проєкту</x:v>
      </x:c>
      <x:c r="W1598" s="15" t="str">
        <x:v>Власник / директор; керівник ПТО; відповідальний за договори</x:v>
      </x:c>
      <x:c r="X1598" s="15" t="str">
        <x:v>1 нових підтверджених перемог/договорів у Prozorro на 536 102 грн; 0 зі строком виконання не раніше 24.08.2026.</x:v>
      </x:c>
      <x:c r="Y1598" s="15" t="str">
        <x:v>ДК 021:2015-45310000-3 Електромонтажні роботи (Реконструкція схеми живлення ангіографу та операційного блоку кардіохірургічного відділення з облаштуванням резервного живлення від генератора за адресою м.Краматорськ, вул.Героїв України, 17); опублікований строк до 2025-02-14. Попросити один знеособлений пакет здачі за цим workflow.</x:v>
      </x:c>
      <x:c r="Z1598" s="15" t="str">
        <x:v>https://prozorro.gov.ua/tender/UA-2024-12-10-007228-a</x:v>
      </x:c>
      <x:c r="AA1598" s="14" t="str">
        <x:v>37747419</x:v>
      </x:c>
      <x:c r="AB1598" s="14" t="str">
        <x:v>2026-08-24</x:v>
      </x:c>
      <x:c r="AC1598" s="14" t="str"/>
      <x:c r="AD1598" s="20" t="str"/>
      <x:c r="AE1598" s="14" t="str"/>
      <x:c r="AF1598" s="14" t="n">
        <x:v>34</x:v>
      </x:c>
      <x:c r="AG1598" s="14" t="str">
        <x:v>I3</x:v>
      </x:c>
      <x:c r="AH1598" s="14" t="n">
        <x:v>1</x:v>
      </x:c>
      <x:c r="AI1598" s="14" t="n">
        <x:v>0</x:v>
      </x:c>
      <x:c r="AJ1598" s="18" t="n">
        <x:v>536101.75</x:v>
      </x:c>
      <x:c r="AK1598" s="14" t="str">
        <x:v>https://prozorro.gov.ua/tender/UA-2024-12-10-007228-a</x:v>
      </x:c>
      <x:c r="AL1598" s="19" t="n">
        <x:v>45651.447299363426</x:v>
      </x:c>
      <x:c r="AM1598" s="19" t="n">
        <x:v>45702</x:v>
      </x:c>
      <x:c r="AN1598" s="15" t="str">
        <x:v>Чисті приміщення</x:v>
      </x:c>
      <x:c r="AO1598" s="15" t="str">
        <x:v>not_found_in_top_search</x:v>
      </x:c>
    </x:row>
    <x:row r="1599">
      <x:c r="A1599" s="14" t="str">
        <x:v>W5-227</x:v>
      </x:c>
      <x:c r="B1599" s="14" t="str">
        <x:v>Prozorro vertical expansion — 24.08</x:v>
      </x:c>
      <x:c r="C1599" s="14" t="str">
        <x:v>ТОВАРИСТВО З ОБМЕЖЕНОЮ ВІДПОВІДАЛЬНІСТЮ "ПРОМЕНЕРГОБУДСЕРВІС"</x:v>
      </x:c>
      <x:c r="D1599" s="14" t="str">
        <x:v>Резервне живлення</x:v>
      </x:c>
      <x:c r="E1599" s="14" t="str">
        <x:v>Pilot now</x:v>
      </x:c>
      <x:c r="F1599" s="17" t="str">
        <x:v>P3</x:v>
      </x:c>
      <x:c r="G1599" s="14" t="str"/>
      <x:c r="H1599" s="14" t="str">
        <x:v>Пілот зараз — Н.15 subset</x:v>
      </x:c>
      <x:c r="I1599" s="16" t="n">
        <x:v>4</x:v>
      </x:c>
      <x:c r="J1599" s="16" t="n">
        <x:v>5</x:v>
      </x:c>
      <x:c r="K1599" s="16" t="n">
        <x:v>5</x:v>
      </x:c>
      <x:c r="L1599" s="16" t="n">
        <x:v>2</x:v>
      </x:c>
      <x:c r="M1599" s="16" t="n">
        <x:v>5</x:v>
      </x:c>
      <x:c r="N1599" s="16" t="n">
        <x:v>5</x:v>
      </x:c>
      <x:c r="O1599" s="16" t="n">
        <x:v>3</x:v>
      </x:c>
      <x:c r="P1599" s="16" t="n">
        <x:f>IF(COUNT(I1599:O1599)&lt;7,"",I1599*8+J1599*3+K1599*2+L1599*2+M1599*2+N1599*2+O1599)</x:f>
        <x:v>84</x:v>
      </x:c>
      <x:c r="Q1599" s="16" t="n">
        <x:f>IF(COUNT(J1599:O1599)&lt;6,"",J1599*5+K1599*4+M1599*4+L1599*3+N1599*2+O1599*2)</x:f>
        <x:v>87</x:v>
      </x:c>
      <x:c r="R1599" s="14" t="str">
        <x:v>high</x:v>
      </x:c>
      <x:c r="S1599" s="14" t="str">
        <x:v>official_prozorro_award_2024_2026</x:v>
      </x:c>
      <x:c r="T1599" s="14" t="str">
        <x:v>official_prozorro_api</x:v>
      </x:c>
      <x:c r="U1599" s="14" t="str">
        <x:v>Не контактували</x:v>
      </x:c>
      <x:c r="V1599" s="15" t="str">
        <x:v>Персоналізований free-pilot outreach по UA-2025-12-26-007313-a; попросити 1 пакет Н.15</x:v>
      </x:c>
      <x:c r="W1599" s="15" t="str">
        <x:v>Власник / директор; керівник ПТО; відповідальний за договори</x:v>
      </x:c>
      <x:c r="X1599" s="15" t="str">
        <x:v>1 нових підтверджених перемог/договорів у Prozorro на 498 724 грн; 0 зі строком виконання не раніше 24.08.2026.</x:v>
      </x:c>
      <x:c r="Y1599" s="15" t="str">
        <x:v>(ДК 021:2015 код 45317000-2 Інші електромонтажні роботи) Виконання робіт з монтажу та налаштування установки безперебійного живлення дахової котельні для філії "Дирекція з будівництва Дністровської ГАЕС" ПрАТ "Укргідроенерго"; опублікований строк до 2025-12-31. Попросити один знеособлений пакет здачі за цим workflow.</x:v>
      </x:c>
      <x:c r="Z1599" s="15" t="str">
        <x:v>https://prozorro.gov.ua/tender/UA-2025-12-26-007313-a</x:v>
      </x:c>
      <x:c r="AA1599" s="14" t="str">
        <x:v>35876743</x:v>
      </x:c>
      <x:c r="AB1599" s="14" t="str">
        <x:v>2026-08-24</x:v>
      </x:c>
      <x:c r="AC1599" s="14" t="str"/>
      <x:c r="AD1599" s="20" t="str"/>
      <x:c r="AE1599" s="14" t="str"/>
      <x:c r="AF1599" s="14" t="n">
        <x:v>34</x:v>
      </x:c>
      <x:c r="AG1599" s="14" t="str">
        <x:v>I3</x:v>
      </x:c>
      <x:c r="AH1599" s="14" t="n">
        <x:v>1</x:v>
      </x:c>
      <x:c r="AI1599" s="14" t="n">
        <x:v>0</x:v>
      </x:c>
      <x:c r="AJ1599" s="18" t="n">
        <x:v>498723.6</x:v>
      </x:c>
      <x:c r="AK1599" s="14" t="str">
        <x:v>https://prozorro.gov.ua/tender/UA-2025-12-26-007313-a</x:v>
      </x:c>
      <x:c r="AL1599" s="19" t="n">
        <x:v>46017.458091782406</x:v>
      </x:c>
      <x:c r="AM1599" s="19" t="n">
        <x:v>46022.916666655095</x:v>
      </x:c>
      <x:c r="AN1599" s="15" t="str">
        <x:v>Резервне живлення</x:v>
      </x:c>
      <x:c r="AO1599" s="15" t="str">
        <x:v>not_found_in_top_search</x:v>
      </x:c>
    </x:row>
    <x:row r="1600">
      <x:c r="A1600" s="14" t="str">
        <x:v>W5-228</x:v>
      </x:c>
      <x:c r="B1600" s="14" t="str">
        <x:v>Prozorro vertical expansion — 24.08</x:v>
      </x:c>
      <x:c r="C1600" s="14" t="str">
        <x:v>ПП Путеєць</x:v>
      </x:c>
      <x:c r="D1600" s="14" t="str">
        <x:v>Залізнична інфраструктура</x:v>
      </x:c>
      <x:c r="E1600" s="14" t="str">
        <x:v>Expansion discovery</x:v>
      </x:c>
      <x:c r="F1600" s="17" t="str">
        <x:v>D3</x:v>
      </x:c>
      <x:c r="G1600" s="14" t="str"/>
      <x:c r="H1600" s="14" t="str">
        <x:v>Discovery розширення — 2 тижні</x:v>
      </x:c>
      <x:c r="I1600" s="16" t="n">
        <x:v>1</x:v>
      </x:c>
      <x:c r="J1600" s="16" t="n">
        <x:v>5</x:v>
      </x:c>
      <x:c r="K1600" s="16" t="n">
        <x:v>5</x:v>
      </x:c>
      <x:c r="L1600" s="16" t="n">
        <x:v>2</x:v>
      </x:c>
      <x:c r="M1600" s="16" t="n">
        <x:v>5</x:v>
      </x:c>
      <x:c r="N1600" s="16" t="n">
        <x:v>5</x:v>
      </x:c>
      <x:c r="O1600" s="16" t="n">
        <x:v>3</x:v>
      </x:c>
      <x:c r="P1600" s="16" t="n">
        <x:f>IF(COUNT(I1600:O1600)&lt;7,"",I1600*8+J1600*3+K1600*2+L1600*2+M1600*2+N1600*2+O1600)</x:f>
        <x:v>60</x:v>
      </x:c>
      <x:c r="Q1600" s="16" t="n">
        <x:f>IF(COUNT(J1600:O1600)&lt;6,"",J1600*5+K1600*4+M1600*4+L1600*3+N1600*2+O1600*2)</x:f>
        <x:v>87</x:v>
      </x:c>
      <x:c r="R1600" s="14" t="str">
        <x:v>high</x:v>
      </x:c>
      <x:c r="S1600" s="14" t="str">
        <x:v>official_prozorro_award_2024_2026</x:v>
      </x:c>
      <x:c r="T1600" s="14" t="str">
        <x:v>official_prozorro_api</x:v>
      </x:c>
      <x:c r="U1600" s="14" t="str">
        <x:v>Не контактували</x:v>
      </x:c>
      <x:c r="V1600" s="15" t="str">
        <x:v>Workflow-audit outreach по UA-2025-04-11-008119-a; попросити 1 пакет здачі та вимоги проєкту</x:v>
      </x:c>
      <x:c r="W1600" s="15" t="str">
        <x:v>Власник / директор; керівник ПТО; відповідальний за договори</x:v>
      </x:c>
      <x:c r="X1600" s="15" t="str">
        <x:v>1 нових підтверджених перемог/договорів у Prozorro на 493 419 грн; 1 зі строком виконання не раніше 24.08.2026.</x:v>
      </x:c>
      <x:c r="Y1600" s="15" t="str">
        <x:v>С_25П-197_50220000-3 Послуги з ремонту, технічного обслуговування залізничного транспорту і пов’язаного обладнання та супутні послуги (Послуги з обслуговування залізничних під'їзних колій)
; опублікований строк до 2027-09-30. Попросити один знеособлений пакет здачі за цим workflow.</x:v>
      </x:c>
      <x:c r="Z1600" s="15" t="str">
        <x:v>https://prozorro.gov.ua/tender/UA-2025-04-11-008119-a</x:v>
      </x:c>
      <x:c r="AA1600" s="14" t="str">
        <x:v>25458326</x:v>
      </x:c>
      <x:c r="AB1600" s="14" t="str">
        <x:v>2026-08-24</x:v>
      </x:c>
      <x:c r="AC1600" s="14" t="str"/>
      <x:c r="AD1600" s="20" t="str"/>
      <x:c r="AE1600" s="14" t="str"/>
      <x:c r="AF1600" s="14" t="n">
        <x:v>34</x:v>
      </x:c>
      <x:c r="AG1600" s="14" t="str">
        <x:v>I3</x:v>
      </x:c>
      <x:c r="AH1600" s="14" t="n">
        <x:v>1</x:v>
      </x:c>
      <x:c r="AI1600" s="14" t="n">
        <x:v>1</x:v>
      </x:c>
      <x:c r="AJ1600" s="18" t="n">
        <x:v>493418.8</x:v>
      </x:c>
      <x:c r="AK1600" s="14" t="str">
        <x:v>https://prozorro.gov.ua/tender/UA-2025-04-11-008119-a</x:v>
      </x:c>
      <x:c r="AL1600" s="19" t="n">
        <x:v>45776.60326831019</x:v>
      </x:c>
      <x:c r="AM1600" s="19" t="n">
        <x:v>46660</x:v>
      </x:c>
      <x:c r="AN1600" s="15" t="str">
        <x:v>Залізнична інфраструктура</x:v>
      </x:c>
      <x:c r="AO1600" s="15" t="str">
        <x:v>not_found_in_top_search</x:v>
      </x:c>
    </x:row>
    <x:row r="1601">
      <x:c r="A1601" s="14" t="str">
        <x:v>W5-229</x:v>
      </x:c>
      <x:c r="B1601" s="14" t="str">
        <x:v>Prozorro vertical expansion — 24.08</x:v>
      </x:c>
      <x:c r="C1601" s="14" t="str">
        <x:v>ТОВ "Буд-Добро"</x:v>
      </x:c>
      <x:c r="D1601" s="14" t="str">
        <x:v>Зовнішні мережі</x:v>
      </x:c>
      <x:c r="E1601" s="14" t="str">
        <x:v>Expansion discovery</x:v>
      </x:c>
      <x:c r="F1601" s="17" t="str">
        <x:v>D3</x:v>
      </x:c>
      <x:c r="G1601" s="14" t="str"/>
      <x:c r="H1601" s="14" t="str">
        <x:v>Discovery розширення — 2 тижні</x:v>
      </x:c>
      <x:c r="I1601" s="16" t="n">
        <x:v>1</x:v>
      </x:c>
      <x:c r="J1601" s="16" t="n">
        <x:v>5</x:v>
      </x:c>
      <x:c r="K1601" s="16" t="n">
        <x:v>5</x:v>
      </x:c>
      <x:c r="L1601" s="16" t="n">
        <x:v>2</x:v>
      </x:c>
      <x:c r="M1601" s="16" t="n">
        <x:v>5</x:v>
      </x:c>
      <x:c r="N1601" s="16" t="n">
        <x:v>5</x:v>
      </x:c>
      <x:c r="O1601" s="16" t="n">
        <x:v>3</x:v>
      </x:c>
      <x:c r="P1601" s="16" t="n">
        <x:f>IF(COUNT(I1601:O1601)&lt;7,"",I1601*8+J1601*3+K1601*2+L1601*2+M1601*2+N1601*2+O1601)</x:f>
        <x:v>60</x:v>
      </x:c>
      <x:c r="Q1601" s="16" t="n">
        <x:f>IF(COUNT(J1601:O1601)&lt;6,"",J1601*5+K1601*4+M1601*4+L1601*3+N1601*2+O1601*2)</x:f>
        <x:v>87</x:v>
      </x:c>
      <x:c r="R1601" s="14" t="str">
        <x:v>high</x:v>
      </x:c>
      <x:c r="S1601" s="14" t="str">
        <x:v>official_prozorro_award_2024_2026</x:v>
      </x:c>
      <x:c r="T1601" s="14" t="str">
        <x:v>official_prozorro_api</x:v>
      </x:c>
      <x:c r="U1601" s="14" t="str">
        <x:v>Не контактували</x:v>
      </x:c>
      <x:c r="V1601" s="15" t="str">
        <x:v>Workflow-audit outreach по UA-2025-08-05-010398-a; попросити 1 пакет здачі та вимоги проєкту</x:v>
      </x:c>
      <x:c r="W1601" s="15" t="str">
        <x:v>Власник / директор; керівник ПТО; відповідальний за договори</x:v>
      </x:c>
      <x:c r="X1601" s="15" t="str">
        <x:v>1 нових підтверджених перемог/договорів у Prozorro на 326 224 грн; 0 зі строком виконання не раніше 24.08.2026.</x:v>
      </x:c>
      <x:c r="Y1601" s="15" t="str">
        <x:v>Будівництво зовнішніх мереж водопостачання та водовідведення веслувальної бази (санітарний вузол) ДЮСШ №4 вул.Паркова, 4; опублікований строк до 2025-12-31. Попросити один знеособлений пакет здачі за цим workflow.</x:v>
      </x:c>
      <x:c r="Z1601" s="15" t="str">
        <x:v>https://prozorro.gov.ua/tender/UA-2025-08-05-010398-a</x:v>
      </x:c>
      <x:c r="AA1601" s="14" t="str">
        <x:v>38171305</x:v>
      </x:c>
      <x:c r="AB1601" s="14" t="str">
        <x:v>2026-08-24</x:v>
      </x:c>
      <x:c r="AC1601" s="14" t="str"/>
      <x:c r="AD1601" s="20" t="str"/>
      <x:c r="AE1601" s="14" t="str"/>
      <x:c r="AF1601" s="14" t="n">
        <x:v>34</x:v>
      </x:c>
      <x:c r="AG1601" s="14" t="str">
        <x:v>I3</x:v>
      </x:c>
      <x:c r="AH1601" s="14" t="n">
        <x:v>1</x:v>
      </x:c>
      <x:c r="AI1601" s="14" t="n">
        <x:v>0</x:v>
      </x:c>
      <x:c r="AJ1601" s="18" t="n">
        <x:v>326224.47</x:v>
      </x:c>
      <x:c r="AK1601" s="14" t="str">
        <x:v>https://prozorro.gov.ua/tender/UA-2025-08-05-010398-a</x:v>
      </x:c>
      <x:c r="AL1601" s="19" t="n">
        <x:v>45874.56169628472</x:v>
      </x:c>
      <x:c r="AM1601" s="19" t="n">
        <x:v>46022.59545138889</x:v>
      </x:c>
      <x:c r="AN1601" s="15" t="str">
        <x:v>Зовнішні мережі</x:v>
      </x:c>
      <x:c r="AO1601" s="15" t="str">
        <x:v>not_found_in_top_search</x:v>
      </x:c>
    </x:row>
    <x:row r="1602">
      <x:c r="A1602" s="14" t="str">
        <x:v>W5-230</x:v>
      </x:c>
      <x:c r="B1602" s="14" t="str">
        <x:v>Prozorro vertical expansion — 24.08</x:v>
      </x:c>
      <x:c r="C1602" s="14" t="str">
        <x:v>ТОВАРИСТВО З ОБМЕЖЕНОЮ ВІДПОВІДАЛЬНІСТЮ "ДАРЕКС-ЕНЕРГО"</x:v>
      </x:c>
      <x:c r="D1602" s="14" t="str">
        <x:v>Резервне живлення</x:v>
      </x:c>
      <x:c r="E1602" s="14" t="str">
        <x:v>Pilot now</x:v>
      </x:c>
      <x:c r="F1602" s="17" t="str">
        <x:v>P3</x:v>
      </x:c>
      <x:c r="G1602" s="14" t="str"/>
      <x:c r="H1602" s="14" t="str">
        <x:v>Пілот зараз — Н.15 subset</x:v>
      </x:c>
      <x:c r="I1602" s="16" t="n">
        <x:v>4</x:v>
      </x:c>
      <x:c r="J1602" s="16" t="n">
        <x:v>5</x:v>
      </x:c>
      <x:c r="K1602" s="16" t="n">
        <x:v>5</x:v>
      </x:c>
      <x:c r="L1602" s="16" t="n">
        <x:v>2</x:v>
      </x:c>
      <x:c r="M1602" s="16" t="n">
        <x:v>5</x:v>
      </x:c>
      <x:c r="N1602" s="16" t="n">
        <x:v>5</x:v>
      </x:c>
      <x:c r="O1602" s="16" t="n">
        <x:v>3</x:v>
      </x:c>
      <x:c r="P1602" s="16" t="n">
        <x:f>IF(COUNT(I1602:O1602)&lt;7,"",I1602*8+J1602*3+K1602*2+L1602*2+M1602*2+N1602*2+O1602)</x:f>
        <x:v>84</x:v>
      </x:c>
      <x:c r="Q1602" s="16" t="n">
        <x:f>IF(COUNT(J1602:O1602)&lt;6,"",J1602*5+K1602*4+M1602*4+L1602*3+N1602*2+O1602*2)</x:f>
        <x:v>87</x:v>
      </x:c>
      <x:c r="R1602" s="14" t="str">
        <x:v>high</x:v>
      </x:c>
      <x:c r="S1602" s="14" t="str">
        <x:v>official_prozorro_award_2024_2026</x:v>
      </x:c>
      <x:c r="T1602" s="14" t="str">
        <x:v>official_prozorro_api</x:v>
      </x:c>
      <x:c r="U1602" s="14" t="str">
        <x:v>Не контактували</x:v>
      </x:c>
      <x:c r="V1602" s="15" t="str">
        <x:v>Персоналізований free-pilot outreach по UA-2025-08-15-008444-a; попросити 1 пакет Н.15</x:v>
      </x:c>
      <x:c r="W1602" s="15" t="str">
        <x:v>Власник / директор; керівник ПТО; відповідальний за договори</x:v>
      </x:c>
      <x:c r="X1602" s="15" t="str">
        <x:v>1 нових підтверджених перемог/договорів у Prozorro на 199 410 грн; 0 зі строком виконання не раніше 24.08.2026.</x:v>
      </x:c>
      <x:c r="Y1602" s="15" t="str">
        <x:v>Послуги з поточного ремонту зі встановлення джерела резервного живлення (монтаж та підключення дизель-генератора) в КНП "Петриківська центральна лікарня" Петриківської селищної ради за адресою: Дніпропетровська обл., Дніпровський р-н, с-ще Петриківка, пр. Петра Калнишевського, 56; опублікований строк до 2025-12-31. Попросити один знеособлений пакет здачі за цим workflow.</x:v>
      </x:c>
      <x:c r="Z1602" s="15" t="str">
        <x:v>https://prozorro.gov.ua/tender/UA-2025-08-15-008444-a</x:v>
      </x:c>
      <x:c r="AA1602" s="14" t="str">
        <x:v>39423347</x:v>
      </x:c>
      <x:c r="AB1602" s="14" t="str">
        <x:v>2026-08-24</x:v>
      </x:c>
      <x:c r="AC1602" s="14" t="str"/>
      <x:c r="AD1602" s="20" t="str"/>
      <x:c r="AE1602" s="14" t="str"/>
      <x:c r="AF1602" s="14" t="n">
        <x:v>34</x:v>
      </x:c>
      <x:c r="AG1602" s="14" t="str">
        <x:v>I3</x:v>
      </x:c>
      <x:c r="AH1602" s="14" t="n">
        <x:v>1</x:v>
      </x:c>
      <x:c r="AI1602" s="14" t="n">
        <x:v>0</x:v>
      </x:c>
      <x:c r="AJ1602" s="18" t="n">
        <x:v>199410</x:v>
      </x:c>
      <x:c r="AK1602" s="14" t="str">
        <x:v>https://prozorro.gov.ua/tender/UA-2025-08-15-008444-a</x:v>
      </x:c>
      <x:c r="AL1602" s="19" t="n">
        <x:v>45884.51030422454</x:v>
      </x:c>
      <x:c r="AM1602" s="19" t="n">
        <x:v>46022</x:v>
      </x:c>
      <x:c r="AN1602" s="15" t="str">
        <x:v>Резервне живлення</x:v>
      </x:c>
      <x:c r="AO1602" s="15" t="str">
        <x:v>not_found_in_top_search</x:v>
      </x:c>
    </x:row>
    <x:row r="1603">
      <x:c r="A1603" s="14" t="str">
        <x:v>W5-231</x:v>
      </x:c>
      <x:c r="B1603" s="14" t="str">
        <x:v>Prozorro vertical expansion — 24.08</x:v>
      </x:c>
      <x:c r="C1603" s="14" t="str">
        <x:v>ГОНЗОЛЕВСЬКИЙ ОЛЕГ ОЛЕКСАНДРОВИЧ</x:v>
      </x:c>
      <x:c r="D1603" s="14" t="str">
        <x:v>Промисловий холод</x:v>
      </x:c>
      <x:c r="E1603" s="14" t="str">
        <x:v>Expansion discovery</x:v>
      </x:c>
      <x:c r="F1603" s="17" t="str">
        <x:v>D3</x:v>
      </x:c>
      <x:c r="G1603" s="14" t="str"/>
      <x:c r="H1603" s="14" t="str">
        <x:v>Discovery розширення — 2 тижні</x:v>
      </x:c>
      <x:c r="I1603" s="16" t="n">
        <x:v>1</x:v>
      </x:c>
      <x:c r="J1603" s="16" t="n">
        <x:v>5</x:v>
      </x:c>
      <x:c r="K1603" s="16" t="n">
        <x:v>5</x:v>
      </x:c>
      <x:c r="L1603" s="16" t="n">
        <x:v>2</x:v>
      </x:c>
      <x:c r="M1603" s="16" t="n">
        <x:v>5</x:v>
      </x:c>
      <x:c r="N1603" s="16" t="n">
        <x:v>3</x:v>
      </x:c>
      <x:c r="O1603" s="16" t="n">
        <x:v>3</x:v>
      </x:c>
      <x:c r="P1603" s="16" t="n">
        <x:f>IF(COUNT(I1603:O1603)&lt;7,"",I1603*8+J1603*3+K1603*2+L1603*2+M1603*2+N1603*2+O1603)</x:f>
        <x:v>56</x:v>
      </x:c>
      <x:c r="Q1603" s="16" t="n">
        <x:f>IF(COUNT(J1603:O1603)&lt;6,"",J1603*5+K1603*4+M1603*4+L1603*3+N1603*2+O1603*2)</x:f>
        <x:v>83</x:v>
      </x:c>
      <x:c r="R1603" s="14" t="str">
        <x:v>high</x:v>
      </x:c>
      <x:c r="S1603" s="14" t="str">
        <x:v>official_prozorro_award_2024_2026</x:v>
      </x:c>
      <x:c r="T1603" s="14" t="str">
        <x:v>official_prozorro_api</x:v>
      </x:c>
      <x:c r="U1603" s="14" t="str">
        <x:v>Не контактували</x:v>
      </x:c>
      <x:c r="V1603" s="15" t="str">
        <x:v>Workflow-audit outreach по UA-2025-04-15-011805-a; попросити 1 пакет здачі та вимоги проєкту</x:v>
      </x:c>
      <x:c r="W1603" s="15" t="str">
        <x:v>Власник / виконавець; відповідальний за договір</x:v>
      </x:c>
      <x:c r="X1603" s="15" t="str">
        <x:v>1 нових підтверджених перемог/договорів у Prozorro на 199 000 грн; 0 зі строком виконання не раніше 24.08.2026.</x:v>
      </x:c>
      <x:c r="Y1603" s="15" t="str">
        <x:v>Монтаж холодильного обладнання (м.Рівне, вул. Поповича 65А); опублікований строк до 2025-04-30. Попросити один знеособлений пакет здачі за цим workflow.</x:v>
      </x:c>
      <x:c r="Z1603" s="15" t="str">
        <x:v>https://prozorro.gov.ua/tender/UA-2025-04-15-011805-a</x:v>
      </x:c>
      <x:c r="AA1603" s="14" t="str">
        <x:v>3181514112</x:v>
      </x:c>
      <x:c r="AB1603" s="14" t="str">
        <x:v>2026-08-24</x:v>
      </x:c>
      <x:c r="AC1603" s="14" t="str"/>
      <x:c r="AD1603" s="20" t="str"/>
      <x:c r="AE1603" s="14" t="str"/>
      <x:c r="AF1603" s="14" t="n">
        <x:v>34</x:v>
      </x:c>
      <x:c r="AG1603" s="14" t="str">
        <x:v>I3</x:v>
      </x:c>
      <x:c r="AH1603" s="14" t="n">
        <x:v>1</x:v>
      </x:c>
      <x:c r="AI1603" s="14" t="n">
        <x:v>0</x:v>
      </x:c>
      <x:c r="AJ1603" s="18" t="n">
        <x:v>199000</x:v>
      </x:c>
      <x:c r="AK1603" s="14" t="str">
        <x:v>https://prozorro.gov.ua/tender/UA-2025-04-15-011805-a</x:v>
      </x:c>
      <x:c r="AL1603" s="19" t="n">
        <x:v>45762.54873306713</x:v>
      </x:c>
      <x:c r="AM1603" s="19" t="n">
        <x:v>45777</x:v>
      </x:c>
      <x:c r="AN1603" s="15" t="str">
        <x:v>Промисловий холод</x:v>
      </x:c>
      <x:c r="AO1603" s="15" t="str">
        <x:v>not_found_in_top_search</x:v>
      </x:c>
    </x:row>
    <x:row r="1604">
      <x:c r="A1604" s="14" t="str">
        <x:v>W5-232</x:v>
      </x:c>
      <x:c r="B1604" s="14" t="str">
        <x:v>Prozorro vertical expansion — 24.08</x:v>
      </x:c>
      <x:c r="C1604" s="14" t="str">
        <x:v>ТОВАРИСТВО З ОБМЕЖЕНОЮ ВІДПОВІДАЛЬНІСТЮ "ХЛАДОН-СЕРВИС"</x:v>
      </x:c>
      <x:c r="D1604" s="14" t="str">
        <x:v>Промисловий холод</x:v>
      </x:c>
      <x:c r="E1604" s="14" t="str">
        <x:v>Expansion discovery</x:v>
      </x:c>
      <x:c r="F1604" s="17" t="str">
        <x:v>D3</x:v>
      </x:c>
      <x:c r="G1604" s="14" t="str"/>
      <x:c r="H1604" s="14" t="str">
        <x:v>Discovery розширення — 2 тижні</x:v>
      </x:c>
      <x:c r="I1604" s="16" t="n">
        <x:v>1</x:v>
      </x:c>
      <x:c r="J1604" s="16" t="n">
        <x:v>5</x:v>
      </x:c>
      <x:c r="K1604" s="16" t="n">
        <x:v>5</x:v>
      </x:c>
      <x:c r="L1604" s="16" t="n">
        <x:v>2</x:v>
      </x:c>
      <x:c r="M1604" s="16" t="n">
        <x:v>5</x:v>
      </x:c>
      <x:c r="N1604" s="16" t="n">
        <x:v>5</x:v>
      </x:c>
      <x:c r="O1604" s="16" t="n">
        <x:v>3</x:v>
      </x:c>
      <x:c r="P1604" s="16" t="n">
        <x:f>IF(COUNT(I1604:O1604)&lt;7,"",I1604*8+J1604*3+K1604*2+L1604*2+M1604*2+N1604*2+O1604)</x:f>
        <x:v>60</x:v>
      </x:c>
      <x:c r="Q1604" s="16" t="n">
        <x:f>IF(COUNT(J1604:O1604)&lt;6,"",J1604*5+K1604*4+M1604*4+L1604*3+N1604*2+O1604*2)</x:f>
        <x:v>87</x:v>
      </x:c>
      <x:c r="R1604" s="14" t="str">
        <x:v>high</x:v>
      </x:c>
      <x:c r="S1604" s="14" t="str">
        <x:v>official_prozorro_award_2024_2026</x:v>
      </x:c>
      <x:c r="T1604" s="14" t="str">
        <x:v>official_prozorro_api</x:v>
      </x:c>
      <x:c r="U1604" s="14" t="str">
        <x:v>Не контактували</x:v>
      </x:c>
      <x:c r="V1604" s="15" t="str">
        <x:v>Workflow-audit outreach по UA-2025-08-27-001362-a; попросити 1 пакет здачі та вимоги проєкту</x:v>
      </x:c>
      <x:c r="W1604" s="15" t="str">
        <x:v>Власник / директор; керівник ПТО; відповідальний за договори</x:v>
      </x:c>
      <x:c r="X1604" s="15" t="str">
        <x:v>1 нових підтверджених перемог/договорів у Prozorro на 198 702 грн; 0 зі строком виконання не раніше 24.08.2026.</x:v>
      </x:c>
      <x:c r="Y1604" s="15" t="str">
        <x:v>Обладнання та монтування 2 морозильних камер об'ємом по 16 м3 з температурним режимом мінус 18 градусів по цельсію. Демонтаж та монтаж обладнання холодильної камери ДК 021:2015:51510000-0 Послуги зі встановлення універсальних машин та обладнання; опублікований строк до 2025-09-30. Попросити один знеособлений пакет здачі за цим workflow.</x:v>
      </x:c>
      <x:c r="Z1604" s="15" t="str">
        <x:v>https://prozorro.gov.ua/tender/UA-2025-08-27-001362-a</x:v>
      </x:c>
      <x:c r="AA1604" s="14" t="str">
        <x:v>23034131</x:v>
      </x:c>
      <x:c r="AB1604" s="14" t="str">
        <x:v>2026-08-24</x:v>
      </x:c>
      <x:c r="AC1604" s="14" t="str"/>
      <x:c r="AD1604" s="20" t="str"/>
      <x:c r="AE1604" s="14" t="str"/>
      <x:c r="AF1604" s="14" t="n">
        <x:v>34</x:v>
      </x:c>
      <x:c r="AG1604" s="14" t="str">
        <x:v>I3</x:v>
      </x:c>
      <x:c r="AH1604" s="14" t="n">
        <x:v>1</x:v>
      </x:c>
      <x:c r="AI1604" s="14" t="n">
        <x:v>0</x:v>
      </x:c>
      <x:c r="AJ1604" s="18" t="n">
        <x:v>198701.82</x:v>
      </x:c>
      <x:c r="AK1604" s="14" t="str">
        <x:v>https://prozorro.gov.ua/tender/UA-2025-08-27-001362-a</x:v>
      </x:c>
      <x:c r="AL1604" s="19" t="n">
        <x:v>45896.302274340276</x:v>
      </x:c>
      <x:c r="AM1604" s="19" t="n">
        <x:v>45930</x:v>
      </x:c>
      <x:c r="AN1604" s="15" t="str">
        <x:v>Промисловий холод</x:v>
      </x:c>
      <x:c r="AO1604" s="15" t="str">
        <x:v>not_found_in_top_search</x:v>
      </x:c>
    </x:row>
    <x:row r="1605">
      <x:c r="A1605" s="14" t="str">
        <x:v>W5-233</x:v>
      </x:c>
      <x:c r="B1605" s="14" t="str">
        <x:v>Prozorro vertical expansion — 24.08</x:v>
      </x:c>
      <x:c r="C1605" s="14" t="str">
        <x:v>ПП "Фірма "Діко"</x:v>
      </x:c>
      <x:c r="D1605" s="14" t="str">
        <x:v>Зовнішні мережі</x:v>
      </x:c>
      <x:c r="E1605" s="14" t="str">
        <x:v>Expansion discovery</x:v>
      </x:c>
      <x:c r="F1605" s="17" t="str">
        <x:v>D3</x:v>
      </x:c>
      <x:c r="G1605" s="14" t="str"/>
      <x:c r="H1605" s="14" t="str">
        <x:v>Discovery розширення — 2 тижні</x:v>
      </x:c>
      <x:c r="I1605" s="16" t="n">
        <x:v>1</x:v>
      </x:c>
      <x:c r="J1605" s="16" t="n">
        <x:v>5</x:v>
      </x:c>
      <x:c r="K1605" s="16" t="n">
        <x:v>5</x:v>
      </x:c>
      <x:c r="L1605" s="16" t="n">
        <x:v>2</x:v>
      </x:c>
      <x:c r="M1605" s="16" t="n">
        <x:v>5</x:v>
      </x:c>
      <x:c r="N1605" s="16" t="n">
        <x:v>5</x:v>
      </x:c>
      <x:c r="O1605" s="16" t="n">
        <x:v>3</x:v>
      </x:c>
      <x:c r="P1605" s="16" t="n">
        <x:f>IF(COUNT(I1605:O1605)&lt;7,"",I1605*8+J1605*3+K1605*2+L1605*2+M1605*2+N1605*2+O1605)</x:f>
        <x:v>60</x:v>
      </x:c>
      <x:c r="Q1605" s="16" t="n">
        <x:f>IF(COUNT(J1605:O1605)&lt;6,"",J1605*5+K1605*4+M1605*4+L1605*3+N1605*2+O1605*2)</x:f>
        <x:v>87</x:v>
      </x:c>
      <x:c r="R1605" s="14" t="str">
        <x:v>high</x:v>
      </x:c>
      <x:c r="S1605" s="14" t="str">
        <x:v>official_prozorro_award_2024_2026</x:v>
      </x:c>
      <x:c r="T1605" s="14" t="str">
        <x:v>official_prozorro_api</x:v>
      </x:c>
      <x:c r="U1605" s="14" t="str">
        <x:v>Не контактували</x:v>
      </x:c>
      <x:c r="V1605" s="15" t="str">
        <x:v>Workflow-audit outreach по UA-2025-10-07-009471-a; попросити 1 пакет здачі та вимоги проєкту</x:v>
      </x:c>
      <x:c r="W1605" s="15" t="str">
        <x:v>Власник / директор; керівник ПТО; відповідальний за договори</x:v>
      </x:c>
      <x:c r="X1605" s="15" t="str">
        <x:v>1 нових підтверджених перемог/договорів у Prozorro на 195 128 грн; 0 зі строком виконання не раніше 24.08.2026.</x:v>
      </x:c>
      <x:c r="Y1605" s="15" t="str">
        <x:v>Нове будівництво зовнішніх мереж водопостачання і каналізації до житлових будинків з вбудованими нежитловими приміщеннями для ВПО на вул. Ребета-Джохара Дудаєва у м. Івано-Франківську (додаткові роботи); опублікований строк до 2025-12-31. Попросити один знеособлений пакет здачі за цим workflow.</x:v>
      </x:c>
      <x:c r="Z1605" s="15" t="str">
        <x:v>https://prozorro.gov.ua/tender/UA-2025-10-07-009471-a</x:v>
      </x:c>
      <x:c r="AA1605" s="14" t="str">
        <x:v>41518081</x:v>
      </x:c>
      <x:c r="AB1605" s="14" t="str">
        <x:v>2026-08-24</x:v>
      </x:c>
      <x:c r="AC1605" s="14" t="str"/>
      <x:c r="AD1605" s="20" t="str"/>
      <x:c r="AE1605" s="14" t="str"/>
      <x:c r="AF1605" s="14" t="n">
        <x:v>34</x:v>
      </x:c>
      <x:c r="AG1605" s="14" t="str">
        <x:v>I3</x:v>
      </x:c>
      <x:c r="AH1605" s="14" t="n">
        <x:v>1</x:v>
      </x:c>
      <x:c r="AI1605" s="14" t="n">
        <x:v>0</x:v>
      </x:c>
      <x:c r="AJ1605" s="18" t="n">
        <x:v>195127.5</x:v>
      </x:c>
      <x:c r="AK1605" s="14" t="str">
        <x:v>https://prozorro.gov.ua/tender/UA-2025-10-07-009471-a</x:v>
      </x:c>
      <x:c r="AL1605" s="19" t="n">
        <x:v>45937.48765471065</x:v>
      </x:c>
      <x:c r="AM1605" s="19" t="n">
        <x:v>46022.916666655095</x:v>
      </x:c>
      <x:c r="AN1605" s="15" t="str">
        <x:v>Зовнішні мережі</x:v>
      </x:c>
      <x:c r="AO1605" s="15" t="str">
        <x:v>not_found_in_top_search</x:v>
      </x:c>
    </x:row>
    <x:row r="1606">
      <x:c r="A1606" s="14" t="str">
        <x:v>W5-234</x:v>
      </x:c>
      <x:c r="B1606" s="14" t="str">
        <x:v>Prozorro vertical expansion — 24.08</x:v>
      </x:c>
      <x:c r="C1606" s="14" t="str">
        <x:v>ГУРБАНОВ РУСЛАН ГАМІД ОГЛИ</x:v>
      </x:c>
      <x:c r="D1606" s="14" t="str">
        <x:v>Блискавкозахист / заземлення</x:v>
      </x:c>
      <x:c r="E1606" s="14" t="str">
        <x:v>Pilot now</x:v>
      </x:c>
      <x:c r="F1606" s="17" t="str">
        <x:v>P3</x:v>
      </x:c>
      <x:c r="G1606" s="14" t="str"/>
      <x:c r="H1606" s="14" t="str">
        <x:v>Пілот зараз — Н.15 subset</x:v>
      </x:c>
      <x:c r="I1606" s="16" t="n">
        <x:v>4</x:v>
      </x:c>
      <x:c r="J1606" s="16" t="n">
        <x:v>5</x:v>
      </x:c>
      <x:c r="K1606" s="16" t="n">
        <x:v>5</x:v>
      </x:c>
      <x:c r="L1606" s="16" t="n">
        <x:v>2</x:v>
      </x:c>
      <x:c r="M1606" s="16" t="n">
        <x:v>5</x:v>
      </x:c>
      <x:c r="N1606" s="16" t="n">
        <x:v>3</x:v>
      </x:c>
      <x:c r="O1606" s="16" t="n">
        <x:v>3</x:v>
      </x:c>
      <x:c r="P1606" s="16" t="n">
        <x:f>IF(COUNT(I1606:O1606)&lt;7,"",I1606*8+J1606*3+K1606*2+L1606*2+M1606*2+N1606*2+O1606)</x:f>
        <x:v>80</x:v>
      </x:c>
      <x:c r="Q1606" s="16" t="n">
        <x:f>IF(COUNT(J1606:O1606)&lt;6,"",J1606*5+K1606*4+M1606*4+L1606*3+N1606*2+O1606*2)</x:f>
        <x:v>83</x:v>
      </x:c>
      <x:c r="R1606" s="14" t="str">
        <x:v>high</x:v>
      </x:c>
      <x:c r="S1606" s="14" t="str">
        <x:v>official_prozorro_award_2024_2026</x:v>
      </x:c>
      <x:c r="T1606" s="14" t="str">
        <x:v>official_prozorro_api</x:v>
      </x:c>
      <x:c r="U1606" s="14" t="str">
        <x:v>Не контактували</x:v>
      </x:c>
      <x:c r="V1606" s="15" t="str">
        <x:v>Персоналізований free-pilot outreach по UA-2025-08-26-013302-a; попросити 1 пакет Н.15</x:v>
      </x:c>
      <x:c r="W1606" s="15" t="str">
        <x:v>Власник / виконавець; відповідальний за договір</x:v>
      </x:c>
      <x:c r="X1606" s="15" t="str">
        <x:v>1 нових підтверджених перемог/договорів у Prozorro на 120 000 грн; 0 зі строком виконання не раніше 24.08.2026.</x:v>
      </x:c>
      <x:c r="Y1606" s="15" t="str">
        <x:v>Монтаж системи блискавкозахисту; опублікований строк до 2024-12-31. Попросити один знеособлений пакет здачі за цим workflow.</x:v>
      </x:c>
      <x:c r="Z1606" s="15" t="str">
        <x:v>https://prozorro.gov.ua/tender/UA-2025-08-26-013302-a</x:v>
      </x:c>
      <x:c r="AA1606" s="14" t="str">
        <x:v>2888213872</x:v>
      </x:c>
      <x:c r="AB1606" s="14" t="str">
        <x:v>2026-08-24</x:v>
      </x:c>
      <x:c r="AC1606" s="14" t="str"/>
      <x:c r="AD1606" s="20" t="str"/>
      <x:c r="AE1606" s="14" t="str"/>
      <x:c r="AF1606" s="14" t="n">
        <x:v>34</x:v>
      </x:c>
      <x:c r="AG1606" s="14" t="str">
        <x:v>I3</x:v>
      </x:c>
      <x:c r="AH1606" s="14" t="n">
        <x:v>1</x:v>
      </x:c>
      <x:c r="AI1606" s="14" t="n">
        <x:v>0</x:v>
      </x:c>
      <x:c r="AJ1606" s="18" t="n">
        <x:v>120000</x:v>
      </x:c>
      <x:c r="AK1606" s="14" t="str">
        <x:v>https://prozorro.gov.ua/tender/UA-2025-08-26-013302-a</x:v>
      </x:c>
      <x:c r="AL1606" s="19" t="n">
        <x:v>45895.68493236111</x:v>
      </x:c>
      <x:c r="AM1606" s="19" t="n">
        <x:v>45657</x:v>
      </x:c>
      <x:c r="AN1606" s="15" t="str">
        <x:v>Блискавкозахист / заземлення</x:v>
      </x:c>
      <x:c r="AO1606" s="15" t="str">
        <x:v>not_found_in_top_search</x:v>
      </x:c>
    </x:row>
    <x:row r="1607">
      <x:c r="A1607" s="14" t="str">
        <x:v>W5-235</x:v>
      </x:c>
      <x:c r="B1607" s="14" t="str">
        <x:v>Prozorro vertical expansion — 24.08</x:v>
      </x:c>
      <x:c r="C1607" s="14" t="str">
        <x:v>ФОП Афанасьєв Сергій Володимирович</x:v>
      </x:c>
      <x:c r="D1607" s="14" t="str">
        <x:v>Резервне живлення</x:v>
      </x:c>
      <x:c r="E1607" s="14" t="str">
        <x:v>Pilot now</x:v>
      </x:c>
      <x:c r="F1607" s="17" t="str">
        <x:v>P3</x:v>
      </x:c>
      <x:c r="G1607" s="14" t="str"/>
      <x:c r="H1607" s="14" t="str">
        <x:v>Пілот зараз — Н.15 subset</x:v>
      </x:c>
      <x:c r="I1607" s="16" t="n">
        <x:v>4</x:v>
      </x:c>
      <x:c r="J1607" s="16" t="n">
        <x:v>5</x:v>
      </x:c>
      <x:c r="K1607" s="16" t="n">
        <x:v>5</x:v>
      </x:c>
      <x:c r="L1607" s="16" t="n">
        <x:v>1</x:v>
      </x:c>
      <x:c r="M1607" s="16" t="n">
        <x:v>5</x:v>
      </x:c>
      <x:c r="N1607" s="16" t="n">
        <x:v>3</x:v>
      </x:c>
      <x:c r="O1607" s="16" t="n">
        <x:v>3</x:v>
      </x:c>
      <x:c r="P1607" s="16" t="n">
        <x:f>IF(COUNT(I1607:O1607)&lt;7,"",I1607*8+J1607*3+K1607*2+L1607*2+M1607*2+N1607*2+O1607)</x:f>
        <x:v>78</x:v>
      </x:c>
      <x:c r="Q1607" s="16" t="n">
        <x:f>IF(COUNT(J1607:O1607)&lt;6,"",J1607*5+K1607*4+M1607*4+L1607*3+N1607*2+O1607*2)</x:f>
        <x:v>80</x:v>
      </x:c>
      <x:c r="R1607" s="14" t="str">
        <x:v>high</x:v>
      </x:c>
      <x:c r="S1607" s="14" t="str">
        <x:v>official_prozorro_award_2024_2026</x:v>
      </x:c>
      <x:c r="T1607" s="14" t="str">
        <x:v>official_prozorro_api</x:v>
      </x:c>
      <x:c r="U1607" s="14" t="str">
        <x:v>Не контактували</x:v>
      </x:c>
      <x:c r="V1607" s="15" t="str">
        <x:v>Персоналізований free-pilot outreach по UA-2024-12-27-009055-a; попросити 1 пакет Н.15</x:v>
      </x:c>
      <x:c r="W1607" s="15" t="str">
        <x:v>Власник / виконавець; відповідальний за договір</x:v>
      </x:c>
      <x:c r="X1607" s="15" t="str">
        <x:v>2 нових підтверджених перемог/договорів у Prozorro на 27 900 грн; 0 зі строком виконання не раніше 24.08.2026.</x:v>
      </x:c>
      <x:c r="Y1607" s="15" t="str">
        <x:v>Послуги з монтажу, підключенню та комутації системи безперебійного живлення; опублікований строк до 2024-12-31. Попросити один знеособлений пакет здачі за цим workflow.</x:v>
      </x:c>
      <x:c r="Z1607" s="15" t="str">
        <x:v>https://prozorro.gov.ua/tender/UA-2024-12-27-009055-a</x:v>
      </x:c>
      <x:c r="AA1607" s="14" t="str">
        <x:v>3119107355</x:v>
      </x:c>
      <x:c r="AB1607" s="14" t="str">
        <x:v>2026-08-24</x:v>
      </x:c>
      <x:c r="AC1607" s="14" t="str"/>
      <x:c r="AD1607" s="20" t="str"/>
      <x:c r="AE1607" s="14" t="str"/>
      <x:c r="AF1607" s="14" t="n">
        <x:v>33</x:v>
      </x:c>
      <x:c r="AG1607" s="14" t="str">
        <x:v>I3</x:v>
      </x:c>
      <x:c r="AH1607" s="14" t="n">
        <x:v>2</x:v>
      </x:c>
      <x:c r="AI1607" s="14" t="n">
        <x:v>0</x:v>
      </x:c>
      <x:c r="AJ1607" s="18" t="n">
        <x:v>27900</x:v>
      </x:c>
      <x:c r="AK1607" s="14" t="str">
        <x:v>https://prozorro.gov.ua/tender/UA-2024-12-27-009055-a</x:v>
      </x:c>
      <x:c r="AL1607" s="19" t="n">
        <x:v>45653.5406250463</x:v>
      </x:c>
      <x:c r="AM1607" s="19" t="n">
        <x:v>45657</x:v>
      </x:c>
      <x:c r="AN1607" s="15" t="str">
        <x:v>Резервне живлення</x:v>
      </x:c>
      <x:c r="AO1607" s="15" t="str">
        <x:v>not_found_in_top_search</x:v>
      </x:c>
    </x:row>
    <x:row r="1608">
      <x:c r="A1608" s="14" t="str">
        <x:v>W5-236</x:v>
      </x:c>
      <x:c r="B1608" s="14" t="str">
        <x:v>Prozorro vertical expansion — 24.08</x:v>
      </x:c>
      <x:c r="C1608" s="14" t="str">
        <x:v>ФОП Хомут Орест Олегович</x:v>
      </x:c>
      <x:c r="D1608" s="14" t="str">
        <x:v>Резервне живлення</x:v>
      </x:c>
      <x:c r="E1608" s="14" t="str">
        <x:v>Pilot now</x:v>
      </x:c>
      <x:c r="F1608" s="17" t="str">
        <x:v>P3</x:v>
      </x:c>
      <x:c r="G1608" s="14" t="str"/>
      <x:c r="H1608" s="14" t="str">
        <x:v>Пілот зараз — Н.15 subset</x:v>
      </x:c>
      <x:c r="I1608" s="16" t="n">
        <x:v>4</x:v>
      </x:c>
      <x:c r="J1608" s="16" t="n">
        <x:v>5</x:v>
      </x:c>
      <x:c r="K1608" s="16" t="n">
        <x:v>5</x:v>
      </x:c>
      <x:c r="L1608" s="16" t="n">
        <x:v>1</x:v>
      </x:c>
      <x:c r="M1608" s="16" t="n">
        <x:v>5</x:v>
      </x:c>
      <x:c r="N1608" s="16" t="n">
        <x:v>3</x:v>
      </x:c>
      <x:c r="O1608" s="16" t="n">
        <x:v>3</x:v>
      </x:c>
      <x:c r="P1608" s="16" t="n">
        <x:f>IF(COUNT(I1608:O1608)&lt;7,"",I1608*8+J1608*3+K1608*2+L1608*2+M1608*2+N1608*2+O1608)</x:f>
        <x:v>78</x:v>
      </x:c>
      <x:c r="Q1608" s="16" t="n">
        <x:f>IF(COUNT(J1608:O1608)&lt;6,"",J1608*5+K1608*4+M1608*4+L1608*3+N1608*2+O1608*2)</x:f>
        <x:v>80</x:v>
      </x:c>
      <x:c r="R1608" s="14" t="str">
        <x:v>high</x:v>
      </x:c>
      <x:c r="S1608" s="14" t="str">
        <x:v>official_prozorro_award_2024_2026</x:v>
      </x:c>
      <x:c r="T1608" s="14" t="str">
        <x:v>official_prozorro_api</x:v>
      </x:c>
      <x:c r="U1608" s="14" t="str">
        <x:v>Не контактували</x:v>
      </x:c>
      <x:c r="V1608" s="15" t="str">
        <x:v>Персоналізований free-pilot outreach по UA-2024-12-23-007844-a; попросити 1 пакет Н.15</x:v>
      </x:c>
      <x:c r="W1608" s="15" t="str">
        <x:v>Власник / виконавець; відповідальний за договір</x:v>
      </x:c>
      <x:c r="X1608" s="15" t="str">
        <x:v>2 нових підтверджених перемог/договорів у Prozorro на 26 700 грн; 0 зі строком виконання не раніше 24.08.2026.</x:v>
      </x:c>
      <x:c r="Y1608" s="15" t="str">
        <x:v>Монтаж безперебійного живлення; опублікований строк до 2024-12-31. Попросити один знеособлений пакет здачі за цим workflow.</x:v>
      </x:c>
      <x:c r="Z1608" s="15" t="str">
        <x:v>https://prozorro.gov.ua/tender/UA-2024-12-23-007844-a</x:v>
      </x:c>
      <x:c r="AA1608" s="14" t="str">
        <x:v>3469307896</x:v>
      </x:c>
      <x:c r="AB1608" s="14" t="str">
        <x:v>2026-08-24</x:v>
      </x:c>
      <x:c r="AC1608" s="14" t="str"/>
      <x:c r="AD1608" s="20" t="str"/>
      <x:c r="AE1608" s="14" t="str"/>
      <x:c r="AF1608" s="14" t="n">
        <x:v>33</x:v>
      </x:c>
      <x:c r="AG1608" s="14" t="str">
        <x:v>I3</x:v>
      </x:c>
      <x:c r="AH1608" s="14" t="n">
        <x:v>2</x:v>
      </x:c>
      <x:c r="AI1608" s="14" t="n">
        <x:v>0</x:v>
      </x:c>
      <x:c r="AJ1608" s="18" t="n">
        <x:v>26700</x:v>
      </x:c>
      <x:c r="AK1608" s="14" t="str">
        <x:v>https://prozorro.gov.ua/tender/UA-2024-12-23-007844-a</x:v>
      </x:c>
      <x:c r="AL1608" s="19" t="n">
        <x:v>45649.43394699074</x:v>
      </x:c>
      <x:c r="AM1608" s="19" t="n">
        <x:v>45657.4359375</x:v>
      </x:c>
      <x:c r="AN1608" s="15" t="str">
        <x:v>Резервне живлення</x:v>
      </x:c>
      <x:c r="AO1608" s="15" t="str">
        <x:v>not_found_in_top_search</x:v>
      </x:c>
    </x:row>
    <x:row r="1609">
      <x:c r="A1609" s="14" t="str">
        <x:v>W5-237</x:v>
      </x:c>
      <x:c r="B1609" s="14" t="str">
        <x:v>Prozorro vertical expansion — 24.08</x:v>
      </x:c>
      <x:c r="C1609" s="14" t="str">
        <x:v>ФОП Кравець Л.М.</x:v>
      </x:c>
      <x:c r="D1609" s="14" t="str">
        <x:v>Теплові пункти</x:v>
      </x:c>
      <x:c r="E1609" s="14" t="str">
        <x:v>Expansion discovery</x:v>
      </x:c>
      <x:c r="F1609" s="17" t="str">
        <x:v>D3</x:v>
      </x:c>
      <x:c r="G1609" s="14" t="str"/>
      <x:c r="H1609" s="14" t="str">
        <x:v>Discovery розширення — 2 тижні</x:v>
      </x:c>
      <x:c r="I1609" s="16" t="n">
        <x:v>1</x:v>
      </x:c>
      <x:c r="J1609" s="16" t="n">
        <x:v>5</x:v>
      </x:c>
      <x:c r="K1609" s="16" t="n">
        <x:v>5</x:v>
      </x:c>
      <x:c r="L1609" s="16" t="n">
        <x:v>3</x:v>
      </x:c>
      <x:c r="M1609" s="16" t="n">
        <x:v>5</x:v>
      </x:c>
      <x:c r="N1609" s="16" t="n">
        <x:v>3</x:v>
      </x:c>
      <x:c r="O1609" s="16" t="n">
        <x:v>3</x:v>
      </x:c>
      <x:c r="P1609" s="16" t="n">
        <x:f>IF(COUNT(I1609:O1609)&lt;7,"",I1609*8+J1609*3+K1609*2+L1609*2+M1609*2+N1609*2+O1609)</x:f>
        <x:v>58</x:v>
      </x:c>
      <x:c r="Q1609" s="16" t="n">
        <x:f>IF(COUNT(J1609:O1609)&lt;6,"",J1609*5+K1609*4+M1609*4+L1609*3+N1609*2+O1609*2)</x:f>
        <x:v>86</x:v>
      </x:c>
      <x:c r="R1609" s="14" t="str">
        <x:v>high</x:v>
      </x:c>
      <x:c r="S1609" s="14" t="str">
        <x:v>official_prozorro_award_2024_2026</x:v>
      </x:c>
      <x:c r="T1609" s="14" t="str">
        <x:v>official_prozorro_api</x:v>
      </x:c>
      <x:c r="U1609" s="14" t="str">
        <x:v>Не контактували</x:v>
      </x:c>
      <x:c r="V1609" s="15" t="str">
        <x:v>Workflow-audit outreach по UA-2024-07-23-001369-a; попросити 1 пакет здачі та вимоги проєкту</x:v>
      </x:c>
      <x:c r="W1609" s="15" t="str">
        <x:v>Власник / виконавець; відповідальний за договір</x:v>
      </x:c>
      <x:c r="X1609" s="15" t="str">
        <x:v>1 нових підтверджених перемог/договорів у Prozorro на 807 144 грн; 0 зі строком виконання не раніше 24.08.2026.</x:v>
      </x:c>
      <x:c r="Y1609" s="15" t="str">
        <x:v>Встановлення (реконструкція) індивідуального теплового пункту (ІТП)для теплопостачання у навчальному корпусі №1 НУ "Чернігівська політехніка" за адресою:Чернігівська область,м. Чернігів, вул. Шевченка,95; опублікований строк до 2024-12-10. Попросити один знеособлений пакет здачі за цим workflow.</x:v>
      </x:c>
      <x:c r="Z1609" s="15" t="str">
        <x:v>https://prozorro.gov.ua/tender/UA-2024-07-23-001369-a</x:v>
      </x:c>
      <x:c r="AA1609" s="14" t="str">
        <x:v>2864007326</x:v>
      </x:c>
      <x:c r="AB1609" s="14" t="str">
        <x:v>2026-08-24</x:v>
      </x:c>
      <x:c r="AC1609" s="14" t="str"/>
      <x:c r="AD1609" s="20" t="str"/>
      <x:c r="AE1609" s="14" t="str"/>
      <x:c r="AF1609" s="14" t="n">
        <x:v>31</x:v>
      </x:c>
      <x:c r="AG1609" s="14" t="str">
        <x:v>I3</x:v>
      </x:c>
      <x:c r="AH1609" s="14" t="n">
        <x:v>1</x:v>
      </x:c>
      <x:c r="AI1609" s="14" t="n">
        <x:v>0</x:v>
      </x:c>
      <x:c r="AJ1609" s="18" t="n">
        <x:v>807143.57</x:v>
      </x:c>
      <x:c r="AK1609" s="14" t="str">
        <x:v>https://prozorro.gov.ua/tender/UA-2024-07-23-001369-a</x:v>
      </x:c>
      <x:c r="AL1609" s="19" t="n">
        <x:v>45496.2804037963</x:v>
      </x:c>
      <x:c r="AM1609" s="19" t="n">
        <x:v>45636.321122685185</x:v>
      </x:c>
      <x:c r="AN1609" s="15" t="str">
        <x:v>Теплові пункти</x:v>
      </x:c>
      <x:c r="AO1609" s="15" t="str">
        <x:v>not_found_in_top_search</x:v>
      </x:c>
    </x:row>
    <x:row r="1610">
      <x:c r="A1610" s="14" t="str">
        <x:v>W5-238</x:v>
      </x:c>
      <x:c r="B1610" s="14" t="str">
        <x:v>Prozorro vertical expansion — 24.08</x:v>
      </x:c>
      <x:c r="C1610" s="14" t="str">
        <x:v>Фізична особа-підприємець ШАЧКО ПЕТРО МИХАЙЛОВИЧ</x:v>
      </x:c>
      <x:c r="D1610" s="14" t="str">
        <x:v>ВОЛЗ / телеком</x:v>
      </x:c>
      <x:c r="E1610" s="14" t="str">
        <x:v>Expansion discovery</x:v>
      </x:c>
      <x:c r="F1610" s="17" t="str">
        <x:v>D3</x:v>
      </x:c>
      <x:c r="G1610" s="14" t="str"/>
      <x:c r="H1610" s="14" t="str">
        <x:v>Discovery розширення — 2 тижні</x:v>
      </x:c>
      <x:c r="I1610" s="16" t="n">
        <x:v>1</x:v>
      </x:c>
      <x:c r="J1610" s="16" t="n">
        <x:v>5</x:v>
      </x:c>
      <x:c r="K1610" s="16" t="n">
        <x:v>5</x:v>
      </x:c>
      <x:c r="L1610" s="16" t="n">
        <x:v>2</x:v>
      </x:c>
      <x:c r="M1610" s="16" t="n">
        <x:v>5</x:v>
      </x:c>
      <x:c r="N1610" s="16" t="n">
        <x:v>3</x:v>
      </x:c>
      <x:c r="O1610" s="16" t="n">
        <x:v>3</x:v>
      </x:c>
      <x:c r="P1610" s="16" t="n">
        <x:f>IF(COUNT(I1610:O1610)&lt;7,"",I1610*8+J1610*3+K1610*2+L1610*2+M1610*2+N1610*2+O1610)</x:f>
        <x:v>56</x:v>
      </x:c>
      <x:c r="Q1610" s="16" t="n">
        <x:f>IF(COUNT(J1610:O1610)&lt;6,"",J1610*5+K1610*4+M1610*4+L1610*3+N1610*2+O1610*2)</x:f>
        <x:v>83</x:v>
      </x:c>
      <x:c r="R1610" s="14" t="str">
        <x:v>high</x:v>
      </x:c>
      <x:c r="S1610" s="14" t="str">
        <x:v>official_prozorro_award_2024_2026</x:v>
      </x:c>
      <x:c r="T1610" s="14" t="str">
        <x:v>official_prozorro_api</x:v>
      </x:c>
      <x:c r="U1610" s="14" t="str">
        <x:v>Не контактували</x:v>
      </x:c>
      <x:c r="V1610" s="15" t="str">
        <x:v>Workflow-audit outreach по UA-2025-07-24-009930-a; попросити 1 пакет здачі та вимоги проєкту</x:v>
      </x:c>
      <x:c r="W1610" s="15" t="str">
        <x:v>Власник / виконавець; відповідальний за договір</x:v>
      </x:c>
      <x:c r="X1610" s="15" t="str">
        <x:v>1 нових підтверджених перемог/договорів у Prozorro на 423 990 грн; 0 зі строком виконання не раніше 24.08.2026.</x:v>
      </x:c>
      <x:c r="Y1610"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волоконно-оптичних ліній зв’язку); опублікований строк до 2025-09-30. Попросити один знеособлений пакет здачі за цим workflow.</x:v>
      </x:c>
      <x:c r="Z1610" s="15" t="str">
        <x:v>https://prozorro.gov.ua/tender/UA-2025-07-24-009930-a</x:v>
      </x:c>
      <x:c r="AA1610" s="14" t="str">
        <x:v>2538912019</x:v>
      </x:c>
      <x:c r="AB1610" s="14" t="str">
        <x:v>2026-08-24</x:v>
      </x:c>
      <x:c r="AC1610" s="14" t="str"/>
      <x:c r="AD1610" s="20" t="str"/>
      <x:c r="AE1610" s="14" t="str"/>
      <x:c r="AF1610" s="14" t="n">
        <x:v>31</x:v>
      </x:c>
      <x:c r="AG1610" s="14" t="str">
        <x:v>I3</x:v>
      </x:c>
      <x:c r="AH1610" s="14" t="n">
        <x:v>1</x:v>
      </x:c>
      <x:c r="AI1610" s="14" t="n">
        <x:v>0</x:v>
      </x:c>
      <x:c r="AJ1610" s="18" t="n">
        <x:v>423990</x:v>
      </x:c>
      <x:c r="AK1610" s="14" t="str">
        <x:v>https://prozorro.gov.ua/tender/UA-2025-07-24-009930-a</x:v>
      </x:c>
      <x:c r="AL1610" s="19" t="n">
        <x:v>45880.62965809028</x:v>
      </x:c>
      <x:c r="AM1610" s="19" t="n">
        <x:v>45930.55290509259</x:v>
      </x:c>
      <x:c r="AN1610" s="15" t="str">
        <x:v>ВОЛЗ / телеком</x:v>
      </x:c>
      <x:c r="AO1610" s="15" t="str">
        <x:v>not_found_in_top_search</x:v>
      </x:c>
    </x:row>
    <x:row r="1611">
      <x:c r="A1611" s="14" t="str">
        <x:v>W5-239</x:v>
      </x:c>
      <x:c r="B1611" s="14" t="str">
        <x:v>Prozorro vertical expansion — 24.08</x:v>
      </x:c>
      <x:c r="C1611" s="14" t="str">
        <x:v>Фізична особа-підприємець МОЙСЕЄНКО АРТЕМ  Миколайович</x:v>
      </x:c>
      <x:c r="D1611" s="14" t="str">
        <x:v>Промисловий холод</x:v>
      </x:c>
      <x:c r="E1611" s="14" t="str">
        <x:v>Expansion discovery</x:v>
      </x:c>
      <x:c r="F1611" s="17" t="str">
        <x:v>D3</x:v>
      </x:c>
      <x:c r="G1611" s="14" t="str"/>
      <x:c r="H1611" s="14" t="str">
        <x:v>Discovery розширення — 2 тижні</x:v>
      </x:c>
      <x:c r="I1611" s="16" t="n">
        <x:v>1</x:v>
      </x:c>
      <x:c r="J1611" s="16" t="n">
        <x:v>5</x:v>
      </x:c>
      <x:c r="K1611" s="16" t="n">
        <x:v>5</x:v>
      </x:c>
      <x:c r="L1611" s="16" t="n">
        <x:v>2</x:v>
      </x:c>
      <x:c r="M1611" s="16" t="n">
        <x:v>5</x:v>
      </x:c>
      <x:c r="N1611" s="16" t="n">
        <x:v>3</x:v>
      </x:c>
      <x:c r="O1611" s="16" t="n">
        <x:v>3</x:v>
      </x:c>
      <x:c r="P1611" s="16" t="n">
        <x:f>IF(COUNT(I1611:O1611)&lt;7,"",I1611*8+J1611*3+K1611*2+L1611*2+M1611*2+N1611*2+O1611)</x:f>
        <x:v>56</x:v>
      </x:c>
      <x:c r="Q1611" s="16" t="n">
        <x:f>IF(COUNT(J1611:O1611)&lt;6,"",J1611*5+K1611*4+M1611*4+L1611*3+N1611*2+O1611*2)</x:f>
        <x:v>83</x:v>
      </x:c>
      <x:c r="R1611" s="14" t="str">
        <x:v>high</x:v>
      </x:c>
      <x:c r="S1611" s="14" t="str">
        <x:v>official_prozorro_award_2024_2026</x:v>
      </x:c>
      <x:c r="T1611" s="14" t="str">
        <x:v>official_prozorro_api</x:v>
      </x:c>
      <x:c r="U1611" s="14" t="str">
        <x:v>Не контактували</x:v>
      </x:c>
      <x:c r="V1611" s="15" t="str">
        <x:v>Workflow-audit outreach по UA-2025-06-27-008332-a; попросити 1 пакет здачі та вимоги проєкту</x:v>
      </x:c>
      <x:c r="W1611" s="15" t="str">
        <x:v>Власник / виконавець; відповідальний за договір</x:v>
      </x:c>
      <x:c r="X1611" s="15" t="str">
        <x:v>1 нових підтверджених перемог/договорів у Prozorro на 213 693 грн; 0 зі строком виконання не раніше 24.08.2026.</x:v>
      </x:c>
      <x:c r="Y1611" s="15" t="str">
        <x:v>«Кондиціонери з монтажем та налаштуванням   ДК 021:2015: 42510000-4 «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11" s="15" t="str">
        <x:v>https://prozorro.gov.ua/tender/UA-2025-06-27-008332-a</x:v>
      </x:c>
      <x:c r="AA1611" s="14" t="str">
        <x:v>2991606275</x:v>
      </x:c>
      <x:c r="AB1611" s="14" t="str">
        <x:v>2026-08-24</x:v>
      </x:c>
      <x:c r="AC1611" s="14" t="str"/>
      <x:c r="AD1611" s="20" t="str"/>
      <x:c r="AE1611" s="14" t="str"/>
      <x:c r="AF1611" s="14" t="n">
        <x:v>31</x:v>
      </x:c>
      <x:c r="AG1611" s="14" t="str">
        <x:v>I3</x:v>
      </x:c>
      <x:c r="AH1611" s="14" t="n">
        <x:v>1</x:v>
      </x:c>
      <x:c r="AI1611" s="14" t="n">
        <x:v>0</x:v>
      </x:c>
      <x:c r="AJ1611" s="18" t="n">
        <x:v>213693</x:v>
      </x:c>
      <x:c r="AK1611" s="14" t="str">
        <x:v>https://prozorro.gov.ua/tender/UA-2025-06-27-008332-a</x:v>
      </x:c>
      <x:c r="AL1611" s="19" t="n">
        <x:v>45848.48768929398</x:v>
      </x:c>
      <x:c r="AM1611" s="19" t="n">
        <x:v>46022</x:v>
      </x:c>
      <x:c r="AN1611" s="15" t="str">
        <x:v>Промисловий холод</x:v>
      </x:c>
      <x:c r="AO1611" s="15" t="str">
        <x:v>not_found_in_top_search</x:v>
      </x:c>
    </x:row>
    <x:row r="1612">
      <x:c r="A1612" s="14" t="str">
        <x:v>W5-240</x:v>
      </x:c>
      <x:c r="B1612" s="14" t="str">
        <x:v>Prozorro vertical expansion — 24.08</x:v>
      </x:c>
      <x:c r="C1612" s="14" t="str">
        <x:v>ТОВ "СМ Білдінг"</x:v>
      </x:c>
      <x:c r="D1612" s="14" t="str">
        <x:v>Резервне живлення</x:v>
      </x:c>
      <x:c r="E1612" s="14" t="str">
        <x:v>Pilot now</x:v>
      </x:c>
      <x:c r="F1612" s="17" t="str">
        <x:v>P3</x:v>
      </x:c>
      <x:c r="G1612" s="14" t="str"/>
      <x:c r="H1612" s="14" t="str">
        <x:v>Пілот зараз — Н.15 subset</x:v>
      </x:c>
      <x:c r="I1612" s="16" t="n">
        <x:v>4</x:v>
      </x:c>
      <x:c r="J1612" s="16" t="n">
        <x:v>5</x:v>
      </x:c>
      <x:c r="K1612" s="16" t="n">
        <x:v>5</x:v>
      </x:c>
      <x:c r="L1612" s="16" t="n">
        <x:v>2</x:v>
      </x:c>
      <x:c r="M1612" s="16" t="n">
        <x:v>5</x:v>
      </x:c>
      <x:c r="N1612" s="16" t="n">
        <x:v>5</x:v>
      </x:c>
      <x:c r="O1612" s="16" t="n">
        <x:v>3</x:v>
      </x:c>
      <x:c r="P1612" s="16" t="n">
        <x:f>IF(COUNT(I1612:O1612)&lt;7,"",I1612*8+J1612*3+K1612*2+L1612*2+M1612*2+N1612*2+O1612)</x:f>
        <x:v>84</x:v>
      </x:c>
      <x:c r="Q1612" s="16" t="n">
        <x:f>IF(COUNT(J1612:O1612)&lt;6,"",J1612*5+K1612*4+M1612*4+L1612*3+N1612*2+O1612*2)</x:f>
        <x:v>87</x:v>
      </x:c>
      <x:c r="R1612" s="14" t="str">
        <x:v>high</x:v>
      </x:c>
      <x:c r="S1612" s="14" t="str">
        <x:v>official_prozorro_award_2024_2026</x:v>
      </x:c>
      <x:c r="T1612" s="14" t="str">
        <x:v>official_prozorro_api</x:v>
      </x:c>
      <x:c r="U1612" s="14" t="str">
        <x:v>Не контактували</x:v>
      </x:c>
      <x:c r="V1612" s="15" t="str">
        <x:v>Персоналізований free-pilot outreach по UA-2025-03-06-006455-a; попросити 1 пакет Н.15</x:v>
      </x:c>
      <x:c r="W1612" s="15" t="str">
        <x:v>Власник / директор; керівник ПТО; відповідальний за договори</x:v>
      </x:c>
      <x:c r="X1612" s="15" t="str">
        <x:v>1 нових підтверджених перемог/договорів у Prozorro на 498 394 грн; 0 зі строком виконання не раніше 24.08.2026.</x:v>
      </x:c>
      <x:c r="Y1612" s="15" t="str">
        <x:v>Електромонтажні роботи з монтажу та підключення дизель генератора та АВР до приміщень та медичного обладнання обласної поліклініки КНП «ХОЛ» Хмельницької обласної ради за адресою: вул. Пілотська, 1, м. Хмельницький; опублікований строк до 2025-12-31. Попросити один знеособлений пакет здачі за цим workflow.</x:v>
      </x:c>
      <x:c r="Z1612" s="15" t="str">
        <x:v>https://prozorro.gov.ua/tender/UA-2025-03-06-006455-a</x:v>
      </x:c>
      <x:c r="AA1612" s="14" t="str">
        <x:v>42913301</x:v>
      </x:c>
      <x:c r="AB1612" s="14" t="str">
        <x:v>2026-08-24</x:v>
      </x:c>
      <x:c r="AC1612" s="14" t="str"/>
      <x:c r="AD1612" s="20" t="str"/>
      <x:c r="AE1612" s="14" t="str"/>
      <x:c r="AF1612" s="14" t="n">
        <x:v>30</x:v>
      </x:c>
      <x:c r="AG1612" s="14" t="str">
        <x:v>I3</x:v>
      </x:c>
      <x:c r="AH1612" s="14" t="n">
        <x:v>1</x:v>
      </x:c>
      <x:c r="AI1612" s="14" t="n">
        <x:v>0</x:v>
      </x:c>
      <x:c r="AJ1612" s="18" t="n">
        <x:v>498394.38</x:v>
      </x:c>
      <x:c r="AK1612" s="14" t="str">
        <x:v>https://prozorro.gov.ua/tender/UA-2025-03-06-006455-a</x:v>
      </x:c>
      <x:c r="AL1612" s="19" t="n">
        <x:v>45722.45213563657</x:v>
      </x:c>
      <x:c r="AM1612" s="19" t="n">
        <x:v>46022.450011574074</x:v>
      </x:c>
      <x:c r="AN1612" s="15" t="str">
        <x:v>Резервне живлення</x:v>
      </x:c>
      <x:c r="AO1612" s="15" t="str">
        <x:v>not_found_in_top_search</x:v>
      </x:c>
    </x:row>
    <x:row r="1613">
      <x:c r="A1613" s="14" t="str">
        <x:v>W5-241</x:v>
      </x:c>
      <x:c r="B1613" s="14" t="str">
        <x:v>Prozorro vertical expansion — 24.08</x:v>
      </x:c>
      <x:c r="C1613" s="14" t="str">
        <x:v>ТОВ "АЛЮМ-СЕРВІС"</x:v>
      </x:c>
      <x:c r="D1613" s="14" t="str">
        <x:v>Промислові ворота / докове обладнання</x:v>
      </x:c>
      <x:c r="E1613" s="14" t="str">
        <x:v>Expansion discovery</x:v>
      </x:c>
      <x:c r="F1613" s="17" t="str">
        <x:v>D3</x:v>
      </x:c>
      <x:c r="G1613" s="14" t="str"/>
      <x:c r="H1613" s="14" t="str">
        <x:v>Discovery розширення — 2 тижні</x:v>
      </x:c>
      <x:c r="I1613" s="16" t="n">
        <x:v>1</x:v>
      </x:c>
      <x:c r="J1613" s="16" t="n">
        <x:v>5</x:v>
      </x:c>
      <x:c r="K1613" s="16" t="n">
        <x:v>4</x:v>
      </x:c>
      <x:c r="L1613" s="16" t="n">
        <x:v>2</x:v>
      </x:c>
      <x:c r="M1613" s="16" t="n">
        <x:v>5</x:v>
      </x:c>
      <x:c r="N1613" s="16" t="n">
        <x:v>5</x:v>
      </x:c>
      <x:c r="O1613" s="16" t="n">
        <x:v>3</x:v>
      </x:c>
      <x:c r="P1613" s="16" t="n">
        <x:f>IF(COUNT(I1613:O1613)&lt;7,"",I1613*8+J1613*3+K1613*2+L1613*2+M1613*2+N1613*2+O1613)</x:f>
        <x:v>58</x:v>
      </x:c>
      <x:c r="Q1613" s="16" t="n">
        <x:f>IF(COUNT(J1613:O1613)&lt;6,"",J1613*5+K1613*4+M1613*4+L1613*3+N1613*2+O1613*2)</x:f>
        <x:v>83</x:v>
      </x:c>
      <x:c r="R1613" s="14" t="str">
        <x:v>high</x:v>
      </x:c>
      <x:c r="S1613" s="14" t="str">
        <x:v>official_prozorro_award_2024_2026</x:v>
      </x:c>
      <x:c r="T1613" s="14" t="str">
        <x:v>official_prozorro_api</x:v>
      </x:c>
      <x:c r="U1613" s="14" t="str">
        <x:v>Не контактували</x:v>
      </x:c>
      <x:c r="V1613" s="15" t="str">
        <x:v>Workflow-audit outreach по UA-2025-03-21-002503-a; попросити 1 пакет здачі та вимоги проєкту</x:v>
      </x:c>
      <x:c r="W1613" s="15" t="str">
        <x:v>Власник / директор; керівник ПТО; відповідальний за договори</x:v>
      </x:c>
      <x:c r="X1613" s="15" t="str">
        <x:v>1 нових підтверджених перемог/договорів у Prozorro на 446 852 грн; 0 зі строком виконання не раніше 24.08.2026.</x:v>
      </x:c>
      <x:c r="Y1613" s="15" t="str">
        <x:v>Роботи  з виготовлення та монтажу промислових воріт гаражів на території центральної бази Івано-Франківської СЕЕМ АТ «Прикарпаттяобленерго» на вул. Максимовича 7, в м. Івано-Франківськ; опублікований строк до 2025-05-21. Попросити один знеособлений пакет здачі за цим workflow.</x:v>
      </x:c>
      <x:c r="Z1613" s="15" t="str">
        <x:v>https://prozorro.gov.ua/tender/UA-2025-03-21-002503-a</x:v>
      </x:c>
      <x:c r="AA1613" s="14" t="str">
        <x:v>41106084</x:v>
      </x:c>
      <x:c r="AB1613" s="14" t="str">
        <x:v>2026-08-24</x:v>
      </x:c>
      <x:c r="AC1613" s="14" t="str"/>
      <x:c r="AD1613" s="20" t="str"/>
      <x:c r="AE1613" s="14" t="str"/>
      <x:c r="AF1613" s="14" t="n">
        <x:v>30</x:v>
      </x:c>
      <x:c r="AG1613" s="14" t="str">
        <x:v>I3</x:v>
      </x:c>
      <x:c r="AH1613" s="14" t="n">
        <x:v>1</x:v>
      </x:c>
      <x:c r="AI1613" s="14" t="n">
        <x:v>0</x:v>
      </x:c>
      <x:c r="AJ1613" s="18" t="n">
        <x:v>446852</x:v>
      </x:c>
      <x:c r="AK1613" s="14" t="str">
        <x:v>https://prozorro.gov.ua/tender/UA-2025-03-21-002503-a</x:v>
      </x:c>
      <x:c r="AL1613" s="19" t="n">
        <x:v>45737.350797314815</x:v>
      </x:c>
      <x:c r="AM1613" s="19" t="n">
        <x:v>45798.310625</x:v>
      </x:c>
      <x:c r="AN1613" s="15" t="str">
        <x:v>Промислові ворота / докове обладнання</x:v>
      </x:c>
      <x:c r="AO1613" s="15" t="str">
        <x:v>not_found_in_top_search</x:v>
      </x:c>
    </x:row>
    <x:row r="1614">
      <x:c r="A1614" s="14" t="str">
        <x:v>W5-242</x:v>
      </x:c>
      <x:c r="B1614" s="14" t="str">
        <x:v>Prozorro vertical expansion — 24.08</x:v>
      </x:c>
      <x:c r="C1614" s="14" t="str">
        <x:v>ТОВ "ДіамантЛізингКорпорейшин"</x:v>
      </x:c>
      <x:c r="D1614" s="14" t="str">
        <x:v>Ремонт і підсилення бетону</x:v>
      </x:c>
      <x:c r="E1614" s="14" t="str">
        <x:v>Expansion discovery</x:v>
      </x:c>
      <x:c r="F1614" s="17" t="str">
        <x:v>D3</x:v>
      </x:c>
      <x:c r="G1614" s="14" t="str"/>
      <x:c r="H1614" s="14" t="str">
        <x:v>Discovery розширення — 2 тижні</x:v>
      </x:c>
      <x:c r="I1614" s="16" t="n">
        <x:v>1</x:v>
      </x:c>
      <x:c r="J1614" s="16" t="n">
        <x:v>5</x:v>
      </x:c>
      <x:c r="K1614" s="16" t="n">
        <x:v>5</x:v>
      </x:c>
      <x:c r="L1614" s="16" t="n">
        <x:v>2</x:v>
      </x:c>
      <x:c r="M1614" s="16" t="n">
        <x:v>5</x:v>
      </x:c>
      <x:c r="N1614" s="16" t="n">
        <x:v>5</x:v>
      </x:c>
      <x:c r="O1614" s="16" t="n">
        <x:v>3</x:v>
      </x:c>
      <x:c r="P1614" s="16" t="n">
        <x:f>IF(COUNT(I1614:O1614)&lt;7,"",I1614*8+J1614*3+K1614*2+L1614*2+M1614*2+N1614*2+O1614)</x:f>
        <x:v>60</x:v>
      </x:c>
      <x:c r="Q1614" s="16" t="n">
        <x:f>IF(COUNT(J1614:O1614)&lt;6,"",J1614*5+K1614*4+M1614*4+L1614*3+N1614*2+O1614*2)</x:f>
        <x:v>87</x:v>
      </x:c>
      <x:c r="R1614" s="14" t="str">
        <x:v>high</x:v>
      </x:c>
      <x:c r="S1614" s="14" t="str">
        <x:v>official_prozorro_award_2024_2026</x:v>
      </x:c>
      <x:c r="T1614" s="14" t="str">
        <x:v>official_prozorro_api</x:v>
      </x:c>
      <x:c r="U1614" s="14" t="str">
        <x:v>Не контактували</x:v>
      </x:c>
      <x:c r="V1614" s="15" t="str">
        <x:v>Workflow-audit outreach по UA-2024-08-01-005122-a; попросити 1 пакет здачі та вимоги проєкту</x:v>
      </x:c>
      <x:c r="W1614" s="15" t="str">
        <x:v>Власник / директор; керівник ПТО; відповідальний за договори</x:v>
      </x:c>
      <x:c r="X1614" s="15" t="str">
        <x:v>1 нових підтверджених перемог/договорів у Prozorro на 438 304 грн; 0 зі строком виконання не раніше 24.08.2026.</x:v>
      </x:c>
      <x:c r="Y1614" s="15" t="str">
        <x:v>Капітальний ремонт із влаштуванням монолітної залізобетонної конструкції (фундаменту) під монтаж об'єкту деконтамінації  за адресою вул. Чернігівська,7; опублікований строк до 2024-12-31. Попросити один знеособлений пакет здачі за цим workflow.</x:v>
      </x:c>
      <x:c r="Z1614" s="15" t="str">
        <x:v>https://prozorro.gov.ua/tender/UA-2024-08-01-005122-a</x:v>
      </x:c>
      <x:c r="AA1614" s="14" t="str">
        <x:v>38141919</x:v>
      </x:c>
      <x:c r="AB1614" s="14" t="str">
        <x:v>2026-08-24</x:v>
      </x:c>
      <x:c r="AC1614" s="14" t="str"/>
      <x:c r="AD1614" s="20" t="str"/>
      <x:c r="AE1614" s="14" t="str"/>
      <x:c r="AF1614" s="14" t="n">
        <x:v>30</x:v>
      </x:c>
      <x:c r="AG1614" s="14" t="str">
        <x:v>I3</x:v>
      </x:c>
      <x:c r="AH1614" s="14" t="n">
        <x:v>1</x:v>
      </x:c>
      <x:c r="AI1614" s="14" t="n">
        <x:v>0</x:v>
      </x:c>
      <x:c r="AJ1614" s="18" t="n">
        <x:v>438304.21</x:v>
      </x:c>
      <x:c r="AK1614" s="14" t="str">
        <x:v>https://prozorro.gov.ua/tender/UA-2024-08-01-005122-a</x:v>
      </x:c>
      <x:c r="AL1614" s="19" t="n">
        <x:v>45505.44871780093</x:v>
      </x:c>
      <x:c r="AM1614" s="19" t="n">
        <x:v>45657</x:v>
      </x:c>
      <x:c r="AN1614" s="15" t="str">
        <x:v>Ремонт і підсилення бетону</x:v>
      </x:c>
      <x:c r="AO1614" s="15" t="str">
        <x:v>not_found_in_top_search</x:v>
      </x:c>
    </x:row>
    <x:row r="1615">
      <x:c r="A1615" s="14" t="str">
        <x:v>W5-243</x:v>
      </x:c>
      <x:c r="B1615" s="14" t="str">
        <x:v>Prozorro vertical expansion — 24.08</x:v>
      </x:c>
      <x:c r="C1615" s="14" t="str">
        <x:v>ТОВАРИСТВО З ОБМЕЖЕНОЮ ВІДПОВІДАЛЬНІСТЮ "ІНЖЕНЕРНО-ЕНЕРГЕТИЧНА КОМПАНІЯ"</x:v>
      </x:c>
      <x:c r="D1615" s="14" t="str">
        <x:v>Теплові пункти</x:v>
      </x:c>
      <x:c r="E1615" s="14" t="str">
        <x:v>Expansion discovery</x:v>
      </x:c>
      <x:c r="F1615" s="17" t="str">
        <x:v>D3</x:v>
      </x:c>
      <x:c r="G1615" s="14" t="str"/>
      <x:c r="H1615" s="14" t="str">
        <x:v>Discovery розширення — 2 тижні</x:v>
      </x:c>
      <x:c r="I1615" s="16" t="n">
        <x:v>1</x:v>
      </x:c>
      <x:c r="J1615" s="16" t="n">
        <x:v>5</x:v>
      </x:c>
      <x:c r="K1615" s="16" t="n">
        <x:v>5</x:v>
      </x:c>
      <x:c r="L1615" s="16" t="n">
        <x:v>2</x:v>
      </x:c>
      <x:c r="M1615" s="16" t="n">
        <x:v>5</x:v>
      </x:c>
      <x:c r="N1615" s="16" t="n">
        <x:v>5</x:v>
      </x:c>
      <x:c r="O1615" s="16" t="n">
        <x:v>3</x:v>
      </x:c>
      <x:c r="P1615" s="16" t="n">
        <x:f>IF(COUNT(I1615:O1615)&lt;7,"",I1615*8+J1615*3+K1615*2+L1615*2+M1615*2+N1615*2+O1615)</x:f>
        <x:v>60</x:v>
      </x:c>
      <x:c r="Q1615" s="16" t="n">
        <x:f>IF(COUNT(J1615:O1615)&lt;6,"",J1615*5+K1615*4+M1615*4+L1615*3+N1615*2+O1615*2)</x:f>
        <x:v>87</x:v>
      </x:c>
      <x:c r="R1615" s="14" t="str">
        <x:v>high</x:v>
      </x:c>
      <x:c r="S1615" s="14" t="str">
        <x:v>official_prozorro_award_2024_2026</x:v>
      </x:c>
      <x:c r="T1615" s="14" t="str">
        <x:v>official_prozorro_api</x:v>
      </x:c>
      <x:c r="U1615" s="14" t="str">
        <x:v>Не контактували</x:v>
      </x:c>
      <x:c r="V1615" s="15" t="str">
        <x:v>Workflow-audit outreach по UA-2024-10-16-014925-a; попросити 1 пакет здачі та вимоги проєкту</x:v>
      </x:c>
      <x:c r="W1615" s="15" t="str">
        <x:v>Власник / директор; керівник ПТО; відповідальний за договори</x:v>
      </x:c>
      <x:c r="X1615" s="15" t="str">
        <x:v>1 нових підтверджених перемог/договорів у Prozorro на 396 701 грн; 0 зі строком виконання не раніше 24.08.2026.</x:v>
      </x:c>
      <x:c r="Y1615" s="15" t="str">
        <x:v>Реконструкція теплових пунктів та встановлення нових індивідуальних теплопунктів в житловому будинку ОСББ «ЖК Воскресенський» вул. Петра Запорожця, 26-А (код ДК 021:2015: 45454000-4-Реконструкція )
; опублікований строк до 2024-12-20. Попросити один знеособлений пакет здачі за цим workflow.</x:v>
      </x:c>
      <x:c r="Z1615" s="15" t="str">
        <x:v>https://prozorro.gov.ua/tender/UA-2024-10-16-014925-a</x:v>
      </x:c>
      <x:c r="AA1615" s="14" t="str">
        <x:v>40572441</x:v>
      </x:c>
      <x:c r="AB1615" s="14" t="str">
        <x:v>2026-08-24</x:v>
      </x:c>
      <x:c r="AC1615" s="14" t="str"/>
      <x:c r="AD1615" s="20" t="str"/>
      <x:c r="AE1615" s="14" t="str"/>
      <x:c r="AF1615" s="14" t="n">
        <x:v>30</x:v>
      </x:c>
      <x:c r="AG1615" s="14" t="str">
        <x:v>I3</x:v>
      </x:c>
      <x:c r="AH1615" s="14" t="n">
        <x:v>1</x:v>
      </x:c>
      <x:c r="AI1615" s="14" t="n">
        <x:v>0</x:v>
      </x:c>
      <x:c r="AJ1615" s="18" t="n">
        <x:v>396700.92</x:v>
      </x:c>
      <x:c r="AK1615" s="14" t="str">
        <x:v>https://prozorro.gov.ua/tender/UA-2024-10-16-014925-a</x:v>
      </x:c>
      <x:c r="AL1615" s="19" t="n">
        <x:v>45581.639076597225</x:v>
      </x:c>
      <x:c r="AM1615" s="19" t="n">
        <x:v>45646</x:v>
      </x:c>
      <x:c r="AN1615" s="15" t="str">
        <x:v>Теплові пункти</x:v>
      </x:c>
      <x:c r="AO1615" s="15" t="str">
        <x:v>not_found_in_top_search</x:v>
      </x:c>
    </x:row>
    <x:row r="1616">
      <x:c r="A1616" s="14" t="str">
        <x:v>W5-244</x:v>
      </x:c>
      <x:c r="B1616" s="14" t="str">
        <x:v>Prozorro vertical expansion — 24.08</x:v>
      </x:c>
      <x:c r="C1616" s="14" t="str">
        <x:v>Приватне підприємство "ДУДАР"</x:v>
      </x:c>
      <x:c r="D1616" s="14" t="str">
        <x:v>Медичні гази</x:v>
      </x:c>
      <x:c r="E1616" s="14" t="str">
        <x:v>Expansion discovery</x:v>
      </x:c>
      <x:c r="F1616" s="17" t="str">
        <x:v>D3</x:v>
      </x:c>
      <x:c r="G1616" s="14" t="str"/>
      <x:c r="H1616" s="14" t="str">
        <x:v>Discovery розширення — 2 тижні</x:v>
      </x:c>
      <x:c r="I1616" s="16" t="n">
        <x:v>1</x:v>
      </x:c>
      <x:c r="J1616" s="16" t="n">
        <x:v>5</x:v>
      </x:c>
      <x:c r="K1616" s="16" t="n">
        <x:v>5</x:v>
      </x:c>
      <x:c r="L1616" s="16" t="n">
        <x:v>2</x:v>
      </x:c>
      <x:c r="M1616" s="16" t="n">
        <x:v>5</x:v>
      </x:c>
      <x:c r="N1616" s="16" t="n">
        <x:v>5</x:v>
      </x:c>
      <x:c r="O1616" s="16" t="n">
        <x:v>3</x:v>
      </x:c>
      <x:c r="P1616" s="16" t="n">
        <x:f>IF(COUNT(I1616:O1616)&lt;7,"",I1616*8+J1616*3+K1616*2+L1616*2+M1616*2+N1616*2+O1616)</x:f>
        <x:v>60</x:v>
      </x:c>
      <x:c r="Q1616" s="16" t="n">
        <x:f>IF(COUNT(J1616:O1616)&lt;6,"",J1616*5+K1616*4+M1616*4+L1616*3+N1616*2+O1616*2)</x:f>
        <x:v>87</x:v>
      </x:c>
      <x:c r="R1616" s="14" t="str">
        <x:v>high</x:v>
      </x:c>
      <x:c r="S1616" s="14" t="str">
        <x:v>official_prozorro_award_2024_2026</x:v>
      </x:c>
      <x:c r="T1616" s="14" t="str">
        <x:v>official_prozorro_api</x:v>
      </x:c>
      <x:c r="U1616" s="14" t="str">
        <x:v>Не контактували</x:v>
      </x:c>
      <x:c r="V1616" s="15" t="str">
        <x:v>Workflow-audit outreach по UA-2024-12-03-006226-a; попросити 1 пакет здачі та вимоги проєкту</x:v>
      </x:c>
      <x:c r="W1616" s="15" t="str">
        <x:v>Власник / директор; керівник ПТО; відповідальний за договори</x:v>
      </x:c>
      <x:c r="X1616" s="15" t="str">
        <x:v>1 нових підтверджених перемог/договорів у Prozorro на 343 696 грн; 0 зі строком виконання не раніше 24.08.2026.</x:v>
      </x:c>
      <x:c r="Y1616" s="15" t="str">
        <x:v>«Монтаж системи постачання медичних газів у відділенні №7 , корпус «Б» Комунального некомерційного підприємства «Тернопільська обласна клінічна психоневрологічна лікарня» Тернопільської обласної ради по вул. Тролейбусна,14 в м. Тернополі» (ДК 021:2015: 45450000-6 Інші завершальні будівельні роботи); опублікований строк до 2024-12-31. Попросити один знеособлений пакет здачі за цим workflow.</x:v>
      </x:c>
      <x:c r="Z1616" s="15" t="str">
        <x:v>https://prozorro.gov.ua/tender/UA-2024-12-03-006226-a</x:v>
      </x:c>
      <x:c r="AA1616" s="14" t="str">
        <x:v>34699216</x:v>
      </x:c>
      <x:c r="AB1616" s="14" t="str">
        <x:v>2026-08-24</x:v>
      </x:c>
      <x:c r="AC1616" s="14" t="str"/>
      <x:c r="AD1616" s="20" t="str"/>
      <x:c r="AE1616" s="14" t="str"/>
      <x:c r="AF1616" s="14" t="n">
        <x:v>30</x:v>
      </x:c>
      <x:c r="AG1616" s="14" t="str">
        <x:v>I3</x:v>
      </x:c>
      <x:c r="AH1616" s="14" t="n">
        <x:v>1</x:v>
      </x:c>
      <x:c r="AI1616" s="14" t="n">
        <x:v>0</x:v>
      </x:c>
      <x:c r="AJ1616" s="18" t="n">
        <x:v>343696</x:v>
      </x:c>
      <x:c r="AK1616" s="14" t="str">
        <x:v>https://prozorro.gov.ua/tender/UA-2024-12-03-006226-a</x:v>
      </x:c>
      <x:c r="AL1616" s="19" t="n">
        <x:v>45645.33610310185</x:v>
      </x:c>
      <x:c r="AM1616" s="19" t="n">
        <x:v>45657</x:v>
      </x:c>
      <x:c r="AN1616" s="15" t="str">
        <x:v>Медичні гази</x:v>
      </x:c>
      <x:c r="AO1616" s="15" t="str">
        <x:v>not_found_in_top_search</x:v>
      </x:c>
    </x:row>
    <x:row r="1617">
      <x:c r="A1617" s="14" t="str">
        <x:v>W5-245</x:v>
      </x:c>
      <x:c r="B1617" s="14" t="str">
        <x:v>Prozorro vertical expansion — 24.08</x:v>
      </x:c>
      <x:c r="C1617" s="14" t="str">
        <x:v>ЛОГВІНОВ ДЕНИС ЮРІЙОВИЧ</x:v>
      </x:c>
      <x:c r="D1617" s="14" t="str">
        <x:v>Чисті приміщення</x:v>
      </x:c>
      <x:c r="E1617" s="14" t="str">
        <x:v>Expansion discovery</x:v>
      </x:c>
      <x:c r="F1617" s="17" t="str">
        <x:v>D3</x:v>
      </x:c>
      <x:c r="G1617" s="14" t="str"/>
      <x:c r="H1617" s="14" t="str">
        <x:v>Discovery розширення — 2 тижні</x:v>
      </x:c>
      <x:c r="I1617" s="16" t="n">
        <x:v>1</x:v>
      </x:c>
      <x:c r="J1617" s="16" t="n">
        <x:v>5</x:v>
      </x:c>
      <x:c r="K1617" s="16" t="n">
        <x:v>5</x:v>
      </x:c>
      <x:c r="L1617" s="16" t="n">
        <x:v>2</x:v>
      </x:c>
      <x:c r="M1617" s="16" t="n">
        <x:v>5</x:v>
      </x:c>
      <x:c r="N1617" s="16" t="n">
        <x:v>3</x:v>
      </x:c>
      <x:c r="O1617" s="16" t="n">
        <x:v>3</x:v>
      </x:c>
      <x:c r="P1617" s="16" t="n">
        <x:f>IF(COUNT(I1617:O1617)&lt;7,"",I1617*8+J1617*3+K1617*2+L1617*2+M1617*2+N1617*2+O1617)</x:f>
        <x:v>56</x:v>
      </x:c>
      <x:c r="Q1617" s="16" t="n">
        <x:f>IF(COUNT(J1617:O1617)&lt;6,"",J1617*5+K1617*4+M1617*4+L1617*3+N1617*2+O1617*2)</x:f>
        <x:v>83</x:v>
      </x:c>
      <x:c r="R1617" s="14" t="str">
        <x:v>high</x:v>
      </x:c>
      <x:c r="S1617" s="14" t="str">
        <x:v>official_prozorro_award_2024_2026</x:v>
      </x:c>
      <x:c r="T1617" s="14" t="str">
        <x:v>official_prozorro_api</x:v>
      </x:c>
      <x:c r="U1617" s="14" t="str">
        <x:v>Не контактували</x:v>
      </x:c>
      <x:c r="V1617" s="15" t="str">
        <x:v>Workflow-audit outreach по UA-2024-11-01-008015-a; попросити 1 пакет здачі та вимоги проєкту</x:v>
      </x:c>
      <x:c r="W1617" s="15" t="str">
        <x:v>Власник / виконавець; відповідальний за договір</x:v>
      </x:c>
      <x:c r="X1617" s="15" t="str">
        <x:v>1 нових підтверджених перемог/договорів у Prozorro на 300 000 грн; 0 зі строком виконання не раніше 24.08.2026.</x:v>
      </x:c>
      <x:c r="Y1617" s="15" t="str">
        <x:v>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О.С. Лучанського» за адресою м. Херсон, вул. Кримська, 138.)  Коригування.; опублікований строк до 2024-12-01. Попросити один знеособлений пакет здачі за цим workflow.</x:v>
      </x:c>
      <x:c r="Z1617" s="15" t="str">
        <x:v>https://prozorro.gov.ua/tender/UA-2024-11-01-008015-a</x:v>
      </x:c>
      <x:c r="AA1617" s="14" t="str">
        <x:v>2894612790</x:v>
      </x:c>
      <x:c r="AB1617" s="14" t="str">
        <x:v>2026-08-24</x:v>
      </x:c>
      <x:c r="AC1617" s="14" t="str"/>
      <x:c r="AD1617" s="20" t="str"/>
      <x:c r="AE1617" s="14" t="str"/>
      <x:c r="AF1617" s="14" t="n">
        <x:v>30</x:v>
      </x:c>
      <x:c r="AG1617" s="14" t="str">
        <x:v>I3</x:v>
      </x:c>
      <x:c r="AH1617" s="14" t="n">
        <x:v>1</x:v>
      </x:c>
      <x:c r="AI1617" s="14" t="n">
        <x:v>0</x:v>
      </x:c>
      <x:c r="AJ1617" s="18" t="n">
        <x:v>300000</x:v>
      </x:c>
      <x:c r="AK1617" s="14" t="str">
        <x:v>https://prozorro.gov.ua/tender/UA-2024-11-01-008015-a</x:v>
      </x:c>
      <x:c r="AL1617" s="19" t="n">
        <x:v>45597.50043230324</x:v>
      </x:c>
      <x:c r="AM1617" s="19" t="n">
        <x:v>45627</x:v>
      </x:c>
      <x:c r="AN1617" s="15" t="str">
        <x:v>Чисті приміщення</x:v>
      </x:c>
      <x:c r="AO1617" s="15" t="str">
        <x:v>not_found_in_top_search</x:v>
      </x:c>
    </x:row>
    <x:row r="1618">
      <x:c r="A1618" s="14" t="str">
        <x:v>W5-246</x:v>
      </x:c>
      <x:c r="B1618" s="14" t="str">
        <x:v>Prozorro vertical expansion — 24.08</x:v>
      </x:c>
      <x:c r="C1618" s="14" t="str">
        <x:v>ТОВАРИСТВО З ОБМЕЖЕНОЮ ВІДПОВІДАЛЬНІСТЮ "ПОЛТАВАІНФОКОМ"</x:v>
      </x:c>
      <x:c r="D1618" s="14" t="str">
        <x:v>ВОЛЗ / телеком</x:v>
      </x:c>
      <x:c r="E1618" s="14" t="str">
        <x:v>Expansion discovery</x:v>
      </x:c>
      <x:c r="F1618" s="17" t="str">
        <x:v>D3</x:v>
      </x:c>
      <x:c r="G1618" s="14" t="str"/>
      <x:c r="H1618" s="14" t="str">
        <x:v>Discovery розширення — 2 тижні</x:v>
      </x:c>
      <x:c r="I1618" s="16" t="n">
        <x:v>1</x:v>
      </x:c>
      <x:c r="J1618" s="16" t="n">
        <x:v>5</x:v>
      </x:c>
      <x:c r="K1618" s="16" t="n">
        <x:v>5</x:v>
      </x:c>
      <x:c r="L1618" s="16" t="n">
        <x:v>2</x:v>
      </x:c>
      <x:c r="M1618" s="16" t="n">
        <x:v>5</x:v>
      </x:c>
      <x:c r="N1618" s="16" t="n">
        <x:v>5</x:v>
      </x:c>
      <x:c r="O1618" s="16" t="n">
        <x:v>3</x:v>
      </x:c>
      <x:c r="P1618" s="16" t="n">
        <x:f>IF(COUNT(I1618:O1618)&lt;7,"",I1618*8+J1618*3+K1618*2+L1618*2+M1618*2+N1618*2+O1618)</x:f>
        <x:v>60</x:v>
      </x:c>
      <x:c r="Q1618" s="16" t="n">
        <x:f>IF(COUNT(J1618:O1618)&lt;6,"",J1618*5+K1618*4+M1618*4+L1618*3+N1618*2+O1618*2)</x:f>
        <x:v>87</x:v>
      </x:c>
      <x:c r="R1618" s="14" t="str">
        <x:v>high</x:v>
      </x:c>
      <x:c r="S1618" s="14" t="str">
        <x:v>official_prozorro_award_2024_2026</x:v>
      </x:c>
      <x:c r="T1618" s="14" t="str">
        <x:v>official_prozorro_api</x:v>
      </x:c>
      <x:c r="U1618" s="14" t="str">
        <x:v>Не контактували</x:v>
      </x:c>
      <x:c r="V1618" s="15" t="str">
        <x:v>Workflow-audit outreach по UA-2024-09-30-007777-a; попросити 1 пакет здачі та вимоги проєкту</x:v>
      </x:c>
      <x:c r="W1618" s="15" t="str">
        <x:v>Власник / директор; керівник ПТО; відповідальний за договори</x:v>
      </x:c>
      <x:c r="X1618" s="15" t="str">
        <x:v>1 нових підтверджених перемог/договорів у Prozorro на 240 000 грн; 0 зі строком виконання не раніше 24.08.2026.</x:v>
      </x:c>
      <x:c r="Y1618" s="15" t="str">
        <x:v>Проведення робіт з будівництва волоконно-оптичної лінії зв’язку.
ДК 021-2015: 45232300-5 Прокладання ліній телефонного та інших видів зв’язку і допоміжні роботи (будівництво волоконно-оптичної лінії зв’язку на ділянці від  м.Полтава, вул.Соборності, 33, кабельний колодязь №1002 АТ ‘’Укртелеком’’ до м.Полтава, вул.Пушкарівська, 9/26 будівля №6/7 військова частина А4717) 
; опублікований строк до 2024-12-20. Попросити один знеособлений пакет здачі за цим workflow.</x:v>
      </x:c>
      <x:c r="Z1618" s="15" t="str">
        <x:v>https://prozorro.gov.ua/tender/UA-2024-09-30-007777-a</x:v>
      </x:c>
      <x:c r="AA1618" s="14" t="str">
        <x:v>23550507</x:v>
      </x:c>
      <x:c r="AB1618" s="14" t="str">
        <x:v>2026-08-24</x:v>
      </x:c>
      <x:c r="AC1618" s="14" t="str"/>
      <x:c r="AD1618" s="20" t="str"/>
      <x:c r="AE1618" s="14" t="str"/>
      <x:c r="AF1618" s="14" t="n">
        <x:v>30</x:v>
      </x:c>
      <x:c r="AG1618" s="14" t="str">
        <x:v>I3</x:v>
      </x:c>
      <x:c r="AH1618" s="14" t="n">
        <x:v>1</x:v>
      </x:c>
      <x:c r="AI1618" s="14" t="n">
        <x:v>0</x:v>
      </x:c>
      <x:c r="AJ1618" s="18" t="n">
        <x:v>240000</x:v>
      </x:c>
      <x:c r="AK1618" s="14" t="str">
        <x:v>https://prozorro.gov.ua/tender/UA-2024-09-30-007777-a</x:v>
      </x:c>
      <x:c r="AL1618" s="19" t="n">
        <x:v>45581.27308258102</x:v>
      </x:c>
      <x:c r="AM1618" s="19" t="n">
        <x:v>45646</x:v>
      </x:c>
      <x:c r="AN1618" s="15" t="str">
        <x:v>ВОЛЗ / телеком</x:v>
      </x:c>
      <x:c r="AO1618" s="15" t="str">
        <x:v>not_found_in_top_search</x:v>
      </x:c>
    </x:row>
    <x:row r="1619">
      <x:c r="A1619" s="14" t="str">
        <x:v>W5-247</x:v>
      </x:c>
      <x:c r="B1619" s="14" t="str">
        <x:v>Prozorro vertical expansion — 24.08</x:v>
      </x:c>
      <x:c r="C1619" s="14" t="str">
        <x:v>ПЕТЛЬОВАНИЙ МИКОЛА МИКОЛАЙОВИЧ</x:v>
      </x:c>
      <x:c r="D1619" s="14" t="str">
        <x:v>ВОЛЗ / телеком</x:v>
      </x:c>
      <x:c r="E1619" s="14" t="str">
        <x:v>Expansion discovery</x:v>
      </x:c>
      <x:c r="F1619" s="17" t="str">
        <x:v>D3</x:v>
      </x:c>
      <x:c r="G1619" s="14" t="str"/>
      <x:c r="H1619" s="14" t="str">
        <x:v>Discovery розширення — 2 тижні</x:v>
      </x:c>
      <x:c r="I1619" s="16" t="n">
        <x:v>1</x:v>
      </x:c>
      <x:c r="J1619" s="16" t="n">
        <x:v>5</x:v>
      </x:c>
      <x:c r="K1619" s="16" t="n">
        <x:v>5</x:v>
      </x:c>
      <x:c r="L1619" s="16" t="n">
        <x:v>2</x:v>
      </x:c>
      <x:c r="M1619" s="16" t="n">
        <x:v>5</x:v>
      </x:c>
      <x:c r="N1619" s="16" t="n">
        <x:v>3</x:v>
      </x:c>
      <x:c r="O1619" s="16" t="n">
        <x:v>3</x:v>
      </x:c>
      <x:c r="P1619" s="16" t="n">
        <x:f>IF(COUNT(I1619:O1619)&lt;7,"",I1619*8+J1619*3+K1619*2+L1619*2+M1619*2+N1619*2+O1619)</x:f>
        <x:v>56</x:v>
      </x:c>
      <x:c r="Q1619" s="16" t="n">
        <x:f>IF(COUNT(J1619:O1619)&lt;6,"",J1619*5+K1619*4+M1619*4+L1619*3+N1619*2+O1619*2)</x:f>
        <x:v>83</x:v>
      </x:c>
      <x:c r="R1619" s="14" t="str">
        <x:v>high</x:v>
      </x:c>
      <x:c r="S1619" s="14" t="str">
        <x:v>official_prozorro_award_2024_2026</x:v>
      </x:c>
      <x:c r="T1619" s="14" t="str">
        <x:v>official_prozorro_api</x:v>
      </x:c>
      <x:c r="U1619" s="14" t="str">
        <x:v>Не контактували</x:v>
      </x:c>
      <x:c r="V1619" s="15" t="str">
        <x:v>Workflow-audit outreach по UA-2025-03-17-002034-a; попросити 1 пакет здачі та вимоги проєкту</x:v>
      </x:c>
      <x:c r="W1619" s="15" t="str">
        <x:v>Власник / виконавець; відповідальний за договір</x:v>
      </x:c>
      <x:c r="X1619" s="15" t="str">
        <x:v>1 нових підтверджених перемог/договорів у Prozorro на 237 233 грн; 0 зі строком виконання не раніше 24.08.2026.</x:v>
      </x:c>
      <x:c r="Y1619" s="15" t="str">
        <x:v>Будівництво по прокладанню волоконно-оптичної лінії зв'язку на ділянці за адресою вул.Чорновола,13- вул.Чорновола, 117/б -вул. Чорновола 176/1)-вул.Староміська,1а); опублікований строк до 2025-04-30. Попросити один знеособлений пакет здачі за цим workflow.</x:v>
      </x:c>
      <x:c r="Z1619" s="15" t="str">
        <x:v>https://prozorro.gov.ua/tender/UA-2025-03-17-002034-a</x:v>
      </x:c>
      <x:c r="AA1619" s="14" t="str">
        <x:v>2451502675</x:v>
      </x:c>
      <x:c r="AB1619" s="14" t="str">
        <x:v>2026-08-24</x:v>
      </x:c>
      <x:c r="AC1619" s="14" t="str"/>
      <x:c r="AD1619" s="20" t="str"/>
      <x:c r="AE1619" s="14" t="str"/>
      <x:c r="AF1619" s="14" t="n">
        <x:v>30</x:v>
      </x:c>
      <x:c r="AG1619" s="14" t="str">
        <x:v>I3</x:v>
      </x:c>
      <x:c r="AH1619" s="14" t="n">
        <x:v>1</x:v>
      </x:c>
      <x:c r="AI1619" s="14" t="n">
        <x:v>0</x:v>
      </x:c>
      <x:c r="AJ1619" s="18" t="n">
        <x:v>237232.8</x:v>
      </x:c>
      <x:c r="AK1619" s="14" t="str">
        <x:v>https://prozorro.gov.ua/tender/UA-2025-03-17-002034-a</x:v>
      </x:c>
      <x:c r="AL1619" s="19" t="n">
        <x:v>45733.34738953703</x:v>
      </x:c>
      <x:c r="AM1619" s="19" t="n">
        <x:v>45777</x:v>
      </x:c>
      <x:c r="AN1619" s="15" t="str">
        <x:v>ВОЛЗ / телеком</x:v>
      </x:c>
      <x:c r="AO1619" s="15" t="str">
        <x:v>not_found_in_top_search</x:v>
      </x:c>
    </x:row>
    <x:row r="1620">
      <x:c r="A1620" s="14" t="str">
        <x:v>W5-248</x:v>
      </x:c>
      <x:c r="B1620" s="14" t="str">
        <x:v>Prozorro vertical expansion — 24.08</x:v>
      </x:c>
      <x:c r="C1620" s="14" t="str">
        <x:v>ЛУГАНСЬКИЙ КИРИЛО АНДРІЙОВИЧ</x:v>
      </x:c>
      <x:c r="D1620" s="14" t="str">
        <x:v>Технологічні трубопроводи</x:v>
      </x:c>
      <x:c r="E1620" s="14" t="str">
        <x:v>Expansion discovery</x:v>
      </x:c>
      <x:c r="F1620" s="17" t="str">
        <x:v>D3</x:v>
      </x:c>
      <x:c r="G1620" s="14" t="str"/>
      <x:c r="H1620" s="14" t="str">
        <x:v>Discovery розширення — 2 тижні</x:v>
      </x:c>
      <x:c r="I1620" s="16" t="n">
        <x:v>1</x:v>
      </x:c>
      <x:c r="J1620" s="16" t="n">
        <x:v>5</x:v>
      </x:c>
      <x:c r="K1620" s="16" t="n">
        <x:v>5</x:v>
      </x:c>
      <x:c r="L1620" s="16" t="n">
        <x:v>2</x:v>
      </x:c>
      <x:c r="M1620" s="16" t="n">
        <x:v>5</x:v>
      </x:c>
      <x:c r="N1620" s="16" t="n">
        <x:v>3</x:v>
      </x:c>
      <x:c r="O1620" s="16" t="n">
        <x:v>3</x:v>
      </x:c>
      <x:c r="P1620" s="16" t="n">
        <x:f>IF(COUNT(I1620:O1620)&lt;7,"",I1620*8+J1620*3+K1620*2+L1620*2+M1620*2+N1620*2+O1620)</x:f>
        <x:v>56</x:v>
      </x:c>
      <x:c r="Q1620" s="16" t="n">
        <x:f>IF(COUNT(J1620:O1620)&lt;6,"",J1620*5+K1620*4+M1620*4+L1620*3+N1620*2+O1620*2)</x:f>
        <x:v>83</x:v>
      </x:c>
      <x:c r="R1620" s="14" t="str">
        <x:v>high</x:v>
      </x:c>
      <x:c r="S1620" s="14" t="str">
        <x:v>official_prozorro_award_2024_2026</x:v>
      </x:c>
      <x:c r="T1620" s="14" t="str">
        <x:v>official_prozorro_api</x:v>
      </x:c>
      <x:c r="U1620" s="14" t="str">
        <x:v>Не контактували</x:v>
      </x:c>
      <x:c r="V1620" s="15" t="str">
        <x:v>Workflow-audit outreach по UA-2024-04-22-002978-a; попросити 1 пакет здачі та вимоги проєкту</x:v>
      </x:c>
      <x:c r="W1620" s="15" t="str">
        <x:v>Власник / виконавець; відповідальний за договір</x:v>
      </x:c>
      <x:c r="X1620" s="15" t="str">
        <x:v>1 нових підтверджених перемог/договорів у Prozorro на 178 896 грн; 0 зі строком виконання не раніше 24.08.2026.</x:v>
      </x:c>
      <x:c r="Y1620" s="15" t="str">
        <x:v>Код ДК 021:2015 - 45220000-5 "Інженерні та будівельні роботи" (поточний ремонт в будівлі котло-турбінного цеху інв. № 3983 (демонтаж паропровода), на філії "Теплоелектроцентраль-3" КП "Харківські теплові мережі", вул. Енергетична, 3).; опублікований строк до 2024-12-31. Попросити один знеособлений пакет здачі за цим workflow.</x:v>
      </x:c>
      <x:c r="Z1620" s="15" t="str">
        <x:v>https://prozorro.gov.ua/tender/UA-2024-04-22-002978-a</x:v>
      </x:c>
      <x:c r="AA1620" s="14" t="str">
        <x:v>3231806072</x:v>
      </x:c>
      <x:c r="AB1620" s="14" t="str">
        <x:v>2026-08-24</x:v>
      </x:c>
      <x:c r="AC1620" s="14" t="str"/>
      <x:c r="AD1620" s="20" t="str"/>
      <x:c r="AE1620" s="14" t="str"/>
      <x:c r="AF1620" s="14" t="n">
        <x:v>30</x:v>
      </x:c>
      <x:c r="AG1620" s="14" t="str">
        <x:v>I3</x:v>
      </x:c>
      <x:c r="AH1620" s="14" t="n">
        <x:v>1</x:v>
      </x:c>
      <x:c r="AI1620" s="14" t="n">
        <x:v>0</x:v>
      </x:c>
      <x:c r="AJ1620" s="18" t="n">
        <x:v>178896.42</x:v>
      </x:c>
      <x:c r="AK1620" s="14" t="str">
        <x:v>https://prozorro.gov.ua/tender/UA-2024-04-22-002978-a</x:v>
      </x:c>
      <x:c r="AL1620" s="19" t="n">
        <x:v>45404.33653872685</x:v>
      </x:c>
      <x:c r="AM1620" s="19" t="n">
        <x:v>45657</x:v>
      </x:c>
      <x:c r="AN1620" s="15" t="str">
        <x:v>Технологічні трубопроводи</x:v>
      </x:c>
      <x:c r="AO1620" s="15" t="str">
        <x:v>not_found_in_top_search</x:v>
      </x:c>
    </x:row>
    <x:row r="1621">
      <x:c r="A1621" s="14" t="str">
        <x:v>W5-249</x:v>
      </x:c>
      <x:c r="B1621" s="14" t="str">
        <x:v>Prozorro vertical expansion — 24.08</x:v>
      </x:c>
      <x:c r="C1621" s="14" t="str">
        <x:v>ПРИВАТНЕ ПІДПРИЄМСТВО "МОНТАЖ-ТЕХНОЛОГИЯ"</x:v>
      </x:c>
      <x:c r="D1621" s="14" t="str">
        <x:v>Теплові пункти</x:v>
      </x:c>
      <x:c r="E1621" s="14" t="str">
        <x:v>Expansion discovery</x:v>
      </x:c>
      <x:c r="F1621" s="17" t="str">
        <x:v>D3</x:v>
      </x:c>
      <x:c r="G1621" s="14" t="str"/>
      <x:c r="H1621" s="14" t="str">
        <x:v>Discovery розширення — 2 тижні</x:v>
      </x:c>
      <x:c r="I1621" s="16" t="n">
        <x:v>1</x:v>
      </x:c>
      <x:c r="J1621" s="16" t="n">
        <x:v>5</x:v>
      </x:c>
      <x:c r="K1621" s="16" t="n">
        <x:v>5</x:v>
      </x:c>
      <x:c r="L1621" s="16" t="n">
        <x:v>2</x:v>
      </x:c>
      <x:c r="M1621" s="16" t="n">
        <x:v>5</x:v>
      </x:c>
      <x:c r="N1621" s="16" t="n">
        <x:v>5</x:v>
      </x:c>
      <x:c r="O1621" s="16" t="n">
        <x:v>3</x:v>
      </x:c>
      <x:c r="P1621" s="16" t="n">
        <x:f>IF(COUNT(I1621:O1621)&lt;7,"",I1621*8+J1621*3+K1621*2+L1621*2+M1621*2+N1621*2+O1621)</x:f>
        <x:v>60</x:v>
      </x:c>
      <x:c r="Q1621" s="16" t="n">
        <x:f>IF(COUNT(J1621:O1621)&lt;6,"",J1621*5+K1621*4+M1621*4+L1621*3+N1621*2+O1621*2)</x:f>
        <x:v>87</x:v>
      </x:c>
      <x:c r="R1621" s="14" t="str">
        <x:v>high</x:v>
      </x:c>
      <x:c r="S1621" s="14" t="str">
        <x:v>official_prozorro_award_2024_2026</x:v>
      </x:c>
      <x:c r="T1621" s="14" t="str">
        <x:v>official_prozorro_api</x:v>
      </x:c>
      <x:c r="U1621" s="14" t="str">
        <x:v>Не контактували</x:v>
      </x:c>
      <x:c r="V1621" s="15" t="str">
        <x:v>Workflow-audit outreach по UA-2024-02-16-008392-a; попросити 1 пакет здачі та вимоги проєкту</x:v>
      </x:c>
      <x:c r="W1621" s="15" t="str">
        <x:v>Власник / директор; керівник ПТО; відповідальний за договори</x:v>
      </x:c>
      <x:c r="X1621" s="15" t="str">
        <x:v>1 нових підтверджених перемог/договорів у Prozorro на 174 679 грн; 0 зі строком виконання не раніше 24.08.2026.</x:v>
      </x:c>
      <x:c r="Y1621" s="15" t="str">
        <x:v>Реконструкція індивідуального теплового пункту за адресою: м. Миколаїв, вул. Космонавтів,67А (ДНЗ №95, нов.корпус);45230000-8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2024-12-31. Попросити один знеособлений пакет здачі за цим workflow.</x:v>
      </x:c>
      <x:c r="Z1621" s="15" t="str">
        <x:v>https://prozorro.gov.ua/tender/UA-2024-02-16-008392-a</x:v>
      </x:c>
      <x:c r="AA1621" s="14" t="str">
        <x:v>32282891</x:v>
      </x:c>
      <x:c r="AB1621" s="14" t="str">
        <x:v>2026-08-24</x:v>
      </x:c>
      <x:c r="AC1621" s="14" t="str"/>
      <x:c r="AD1621" s="20" t="str"/>
      <x:c r="AE1621" s="14" t="str"/>
      <x:c r="AF1621" s="14" t="n">
        <x:v>30</x:v>
      </x:c>
      <x:c r="AG1621" s="14" t="str">
        <x:v>I3</x:v>
      </x:c>
      <x:c r="AH1621" s="14" t="n">
        <x:v>1</x:v>
      </x:c>
      <x:c r="AI1621" s="14" t="n">
        <x:v>0</x:v>
      </x:c>
      <x:c r="AJ1621" s="18" t="n">
        <x:v>174679.12</x:v>
      </x:c>
      <x:c r="AK1621" s="14" t="str">
        <x:v>https://prozorro.gov.ua/tender/UA-2024-02-16-008392-a</x:v>
      </x:c>
      <x:c r="AL1621" s="19" t="n">
        <x:v>45338.52968270834</x:v>
      </x:c>
      <x:c r="AM1621" s="19" t="n">
        <x:v>45657</x:v>
      </x:c>
      <x:c r="AN1621" s="15" t="str">
        <x:v>Теплові пункти</x:v>
      </x:c>
      <x:c r="AO1621" s="15" t="str">
        <x:v>not_found_in_top_search</x:v>
      </x:c>
    </x:row>
    <x:row r="1622">
      <x:c r="A1622" s="14" t="str">
        <x:v>W5-250</x:v>
      </x:c>
      <x:c r="B1622" s="14" t="str">
        <x:v>Prozorro vertical expansion — 24.08</x:v>
      </x:c>
      <x:c r="C1622" s="14" t="str">
        <x:v>ТОВАРИСТВО З ОБМЕЖЕНОЮ ВІДПОВІДАЛЬНІСТЮ "НОВА ДЗЕТА"</x:v>
      </x:c>
      <x:c r="D1622" s="14" t="str">
        <x:v>Промислові котельні</x:v>
      </x:c>
      <x:c r="E1622" s="14" t="str">
        <x:v>Expansion discovery</x:v>
      </x:c>
      <x:c r="F1622" s="17" t="str">
        <x:v>D3</x:v>
      </x:c>
      <x:c r="G1622" s="14" t="str"/>
      <x:c r="H1622" s="14" t="str">
        <x:v>Discovery розширення — 2 тижні</x:v>
      </x:c>
      <x:c r="I1622" s="16" t="n">
        <x:v>1</x:v>
      </x:c>
      <x:c r="J1622" s="16" t="n">
        <x:v>5</x:v>
      </x:c>
      <x:c r="K1622" s="16" t="n">
        <x:v>5</x:v>
      </x:c>
      <x:c r="L1622" s="16" t="n">
        <x:v>2</x:v>
      </x:c>
      <x:c r="M1622" s="16" t="n">
        <x:v>5</x:v>
      </x:c>
      <x:c r="N1622" s="16" t="n">
        <x:v>5</x:v>
      </x:c>
      <x:c r="O1622" s="16" t="n">
        <x:v>3</x:v>
      </x:c>
      <x:c r="P1622" s="16" t="n">
        <x:f>IF(COUNT(I1622:O1622)&lt;7,"",I1622*8+J1622*3+K1622*2+L1622*2+M1622*2+N1622*2+O1622)</x:f>
        <x:v>60</x:v>
      </x:c>
      <x:c r="Q1622" s="16" t="n">
        <x:f>IF(COUNT(J1622:O1622)&lt;6,"",J1622*5+K1622*4+M1622*4+L1622*3+N1622*2+O1622*2)</x:f>
        <x:v>87</x:v>
      </x:c>
      <x:c r="R1622" s="14" t="str">
        <x:v>high</x:v>
      </x:c>
      <x:c r="S1622" s="14" t="str">
        <x:v>official_prozorro_award_2024_2026</x:v>
      </x:c>
      <x:c r="T1622" s="14" t="str">
        <x:v>official_prozorro_api</x:v>
      </x:c>
      <x:c r="U1622" s="14" t="str">
        <x:v>Не контактували</x:v>
      </x:c>
      <x:c r="V1622" s="15" t="str">
        <x:v>Workflow-audit outreach по UA-2024-02-19-000427-a; попросити 1 пакет здачі та вимоги проєкту</x:v>
      </x:c>
      <x:c r="W1622" s="15" t="str">
        <x:v>Власник / директор; керівник ПТО; відповідальний за договори</x:v>
      </x:c>
      <x:c r="X1622" s="15" t="str">
        <x:v>1 нових підтверджених перемог/договорів у Prozorro на 167 639 грн; 0 зі строком виконання не раніше 24.08.2026.</x:v>
      </x:c>
      <x:c r="Y1622" s="15" t="str">
        <x:v>Технічне обслуговування машин і устаткування промислового призначення обєкту «Реконструкція теплового пункту під котельню по просп.. Університетському буд.2/5 в м. Кропивницькому (пусконалагоджувальні роботи)»; опублікований строк до 2024-12-31. Попросити один знеособлений пакет здачі за цим workflow.</x:v>
      </x:c>
      <x:c r="Z1622" s="15" t="str">
        <x:v>https://prozorro.gov.ua/tender/UA-2024-02-19-000427-a</x:v>
      </x:c>
      <x:c r="AA1622" s="14" t="str">
        <x:v>38168898</x:v>
      </x:c>
      <x:c r="AB1622" s="14" t="str">
        <x:v>2026-08-24</x:v>
      </x:c>
      <x:c r="AC1622" s="14" t="str"/>
      <x:c r="AD1622" s="20" t="str"/>
      <x:c r="AE1622" s="14" t="str"/>
      <x:c r="AF1622" s="14" t="n">
        <x:v>30</x:v>
      </x:c>
      <x:c r="AG1622" s="14" t="str">
        <x:v>I3</x:v>
      </x:c>
      <x:c r="AH1622" s="14" t="n">
        <x:v>1</x:v>
      </x:c>
      <x:c r="AI1622" s="14" t="n">
        <x:v>0</x:v>
      </x:c>
      <x:c r="AJ1622" s="18" t="n">
        <x:v>167638.79</x:v>
      </x:c>
      <x:c r="AK1622" s="14" t="str">
        <x:v>https://prozorro.gov.ua/tender/UA-2024-02-19-000427-a</x:v>
      </x:c>
      <x:c r="AL1622" s="19" t="n">
        <x:v>45341.29010291667</x:v>
      </x:c>
      <x:c r="AM1622" s="19" t="n">
        <x:v>45657</x:v>
      </x:c>
      <x:c r="AN1622" s="15" t="str">
        <x:v>Промислові котельні</x:v>
      </x:c>
      <x:c r="AO1622" s="15" t="str">
        <x:v>not_found_in_top_search</x:v>
      </x:c>
    </x:row>
    <x:row r="1623">
      <x:c r="A1623" s="14" t="str">
        <x:v>W5-251</x:v>
      </x:c>
      <x:c r="B1623" s="14" t="str">
        <x:v>Prozorro vertical expansion — 24.08</x:v>
      </x:c>
      <x:c r="C1623" s="14" t="str">
        <x:v>ПРИВАТНЕ ПІДПРИЄМСТВО "ТЕХПРОБУД"</x:v>
      </x:c>
      <x:c r="D1623" s="14" t="str">
        <x:v>Резервне живлення</x:v>
      </x:c>
      <x:c r="E1623" s="14" t="str">
        <x:v>Pilot now</x:v>
      </x:c>
      <x:c r="F1623" s="17" t="str">
        <x:v>P3</x:v>
      </x:c>
      <x:c r="G1623" s="14" t="str"/>
      <x:c r="H1623" s="14" t="str">
        <x:v>Пілот зараз — Н.15 subset</x:v>
      </x:c>
      <x:c r="I1623" s="16" t="n">
        <x:v>4</x:v>
      </x:c>
      <x:c r="J1623" s="16" t="n">
        <x:v>5</x:v>
      </x:c>
      <x:c r="K1623" s="16" t="n">
        <x:v>5</x:v>
      </x:c>
      <x:c r="L1623" s="16" t="n">
        <x:v>2</x:v>
      </x:c>
      <x:c r="M1623" s="16" t="n">
        <x:v>5</x:v>
      </x:c>
      <x:c r="N1623" s="16" t="n">
        <x:v>5</x:v>
      </x:c>
      <x:c r="O1623" s="16" t="n">
        <x:v>3</x:v>
      </x:c>
      <x:c r="P1623" s="16" t="n">
        <x:f>IF(COUNT(I1623:O1623)&lt;7,"",I1623*8+J1623*3+K1623*2+L1623*2+M1623*2+N1623*2+O1623)</x:f>
        <x:v>84</x:v>
      </x:c>
      <x:c r="Q1623" s="16" t="n">
        <x:f>IF(COUNT(J1623:O1623)&lt;6,"",J1623*5+K1623*4+M1623*4+L1623*3+N1623*2+O1623*2)</x:f>
        <x:v>87</x:v>
      </x:c>
      <x:c r="R1623" s="14" t="str">
        <x:v>high</x:v>
      </x:c>
      <x:c r="S1623" s="14" t="str">
        <x:v>official_prozorro_award_2024_2026</x:v>
      </x:c>
      <x:c r="T1623" s="14" t="str">
        <x:v>official_prozorro_api</x:v>
      </x:c>
      <x:c r="U1623" s="14" t="str">
        <x:v>Не контактували</x:v>
      </x:c>
      <x:c r="V1623" s="15" t="str">
        <x:v>Персоналізований free-pilot outreach по UA-2025-03-04-007034-a; попросити 1 пакет Н.15</x:v>
      </x:c>
      <x:c r="W1623" s="15" t="str">
        <x:v>Власник / директор; керівник ПТО; відповідальний за договори</x:v>
      </x:c>
      <x:c r="X1623" s="15" t="str">
        <x:v>1 нових підтверджених перемог/договорів у Prozorro на 148 464 грн; 0 зі строком виконання не раніше 24.08.2026.</x:v>
      </x:c>
      <x:c r="Y1623" s="15" t="str">
        <x:v>ДК 021:2015"45260000-7 Покрівельні роботи та інші спеціалізовані будівельні роботи" Послуги з поточного ремонту та облаштування залізобетонної площадки, огородження, монтаж дизель генератора для адміністративної будівлі поліклініки ДУ "ТМО" за адресою         
м. Вінниця, вул. Верещагіна, буд. 2; опублікований строк до 2025-04-30. Попросити один знеособлений пакет здачі за цим workflow.</x:v>
      </x:c>
      <x:c r="Z1623" s="15" t="str">
        <x:v>https://prozorro.gov.ua/tender/UA-2025-03-04-007034-a</x:v>
      </x:c>
      <x:c r="AA1623" s="14" t="str">
        <x:v>38830330</x:v>
      </x:c>
      <x:c r="AB1623" s="14" t="str">
        <x:v>2026-08-24</x:v>
      </x:c>
      <x:c r="AC1623" s="14" t="str"/>
      <x:c r="AD1623" s="20" t="str"/>
      <x:c r="AE1623" s="14" t="str"/>
      <x:c r="AF1623" s="14" t="n">
        <x:v>30</x:v>
      </x:c>
      <x:c r="AG1623" s="14" t="str">
        <x:v>I3</x:v>
      </x:c>
      <x:c r="AH1623" s="14" t="n">
        <x:v>1</x:v>
      </x:c>
      <x:c r="AI1623" s="14" t="n">
        <x:v>0</x:v>
      </x:c>
      <x:c r="AJ1623" s="18" t="n">
        <x:v>148464</x:v>
      </x:c>
      <x:c r="AK1623" s="14" t="str">
        <x:v>https://prozorro.gov.ua/tender/UA-2025-03-04-007034-a</x:v>
      </x:c>
      <x:c r="AL1623" s="19" t="n">
        <x:v>45720.46448657408</x:v>
      </x:c>
      <x:c r="AM1623" s="19" t="n">
        <x:v>45777</x:v>
      </x:c>
      <x:c r="AN1623" s="15" t="str">
        <x:v>Резервне живлення</x:v>
      </x:c>
      <x:c r="AO1623" s="15" t="str">
        <x:v>not_found_in_top_search</x:v>
      </x:c>
    </x:row>
    <x:row r="1624">
      <x:c r="A1624" s="14" t="str">
        <x:v>W5-252</x:v>
      </x:c>
      <x:c r="B1624" s="14" t="str">
        <x:v>Prozorro vertical expansion — 24.08</x:v>
      </x:c>
      <x:c r="C1624" s="14" t="str">
        <x:v>ТОВАРИСТВО З ОБМЕЖЕНОЮ ВІДПОВІДАЛЬНІСТЮ "ТУРІЙСЬКИЙ АГРОБУД"</x:v>
      </x:c>
      <x:c r="D1624" s="14" t="str">
        <x:v>Насосні станції</x:v>
      </x:c>
      <x:c r="E1624" s="14" t="str">
        <x:v>Expansion discovery</x:v>
      </x:c>
      <x:c r="F1624" s="17" t="str">
        <x:v>D3</x:v>
      </x:c>
      <x:c r="G1624" s="14" t="str"/>
      <x:c r="H1624" s="14" t="str">
        <x:v>Discovery розширення — 2 тижні</x:v>
      </x:c>
      <x:c r="I1624" s="16" t="n">
        <x:v>1</x:v>
      </x:c>
      <x:c r="J1624" s="16" t="n">
        <x:v>5</x:v>
      </x:c>
      <x:c r="K1624" s="16" t="n">
        <x:v>5</x:v>
      </x:c>
      <x:c r="L1624" s="16" t="n">
        <x:v>2</x:v>
      </x:c>
      <x:c r="M1624" s="16" t="n">
        <x:v>5</x:v>
      </x:c>
      <x:c r="N1624" s="16" t="n">
        <x:v>5</x:v>
      </x:c>
      <x:c r="O1624" s="16" t="n">
        <x:v>3</x:v>
      </x:c>
      <x:c r="P1624" s="16" t="n">
        <x:f>IF(COUNT(I1624:O1624)&lt;7,"",I1624*8+J1624*3+K1624*2+L1624*2+M1624*2+N1624*2+O1624)</x:f>
        <x:v>60</x:v>
      </x:c>
      <x:c r="Q1624" s="16" t="n">
        <x:f>IF(COUNT(J1624:O1624)&lt;6,"",J1624*5+K1624*4+M1624*4+L1624*3+N1624*2+O1624*2)</x:f>
        <x:v>87</x:v>
      </x:c>
      <x:c r="R1624" s="14" t="str">
        <x:v>high</x:v>
      </x:c>
      <x:c r="S1624" s="14" t="str">
        <x:v>official_prozorro_award_2024_2026</x:v>
      </x:c>
      <x:c r="T1624" s="14" t="str">
        <x:v>official_prozorro_api</x:v>
      </x:c>
      <x:c r="U1624" s="14" t="str">
        <x:v>Не контактували</x:v>
      </x:c>
      <x:c r="V1624" s="15" t="str">
        <x:v>Workflow-audit outreach по UA-2024-09-18-001806-a; попросити 1 пакет здачі та вимоги проєкту</x:v>
      </x:c>
      <x:c r="W1624" s="15" t="str">
        <x:v>Власник / директор; керівник ПТО; відповідальний за договори</x:v>
      </x:c>
      <x:c r="X1624" s="15" t="str">
        <x:v>1 нових підтверджених перемог/договорів у Prozorro на 121 708 грн; 0 зі строком виконання не раніше 24.08.2026.</x:v>
      </x:c>
      <x:c r="Y1624" s="15" t="str">
        <x:v>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каналізаційної насосної станції в КП "Турійська лікарня планового лікування" в сел. Турійськ, по вул.Ковельського району Волинської області); опублікований строк до 2024-10-18. Попросити один знеособлений пакет здачі за цим workflow.</x:v>
      </x:c>
      <x:c r="Z1624" s="15" t="str">
        <x:v>https://prozorro.gov.ua/tender/UA-2024-09-18-001806-a</x:v>
      </x:c>
      <x:c r="AA1624" s="14" t="str">
        <x:v>03582942</x:v>
      </x:c>
      <x:c r="AB1624" s="14" t="str">
        <x:v>2026-08-24</x:v>
      </x:c>
      <x:c r="AC1624" s="14" t="str"/>
      <x:c r="AD1624" s="20" t="str"/>
      <x:c r="AE1624" s="14" t="str"/>
      <x:c r="AF1624" s="14" t="n">
        <x:v>30</x:v>
      </x:c>
      <x:c r="AG1624" s="14" t="str">
        <x:v>I3</x:v>
      </x:c>
      <x:c r="AH1624" s="14" t="n">
        <x:v>1</x:v>
      </x:c>
      <x:c r="AI1624" s="14" t="n">
        <x:v>0</x:v>
      </x:c>
      <x:c r="AJ1624" s="18" t="n">
        <x:v>121708.04</x:v>
      </x:c>
      <x:c r="AK1624" s="14" t="str">
        <x:v>https://prozorro.gov.ua/tender/UA-2024-09-18-001806-a</x:v>
      </x:c>
      <x:c r="AL1624" s="19" t="n">
        <x:v>45553.292959872684</x:v>
      </x:c>
      <x:c r="AM1624" s="19" t="n">
        <x:v>45583</x:v>
      </x:c>
      <x:c r="AN1624" s="15" t="str">
        <x:v>Насосні станції</x:v>
      </x:c>
      <x:c r="AO1624" s="15" t="str">
        <x:v>not_found_in_top_search</x:v>
      </x:c>
    </x:row>
    <x:row r="1625">
      <x:c r="A1625" s="14" t="str">
        <x:v>W5-253</x:v>
      </x:c>
      <x:c r="B1625" s="14" t="str">
        <x:v>Prozorro vertical expansion — 24.08</x:v>
      </x:c>
      <x:c r="C1625" s="14" t="str">
        <x:v>ТОВАРИСТВО З ОБМЕЖЕНОЮ ВІДПОВІДАЛЬНІСТЮ "А.К.Б АБСОЛЮТ"</x:v>
      </x:c>
      <x:c r="D1625" s="14" t="str">
        <x:v>Резервне живлення</x:v>
      </x:c>
      <x:c r="E1625" s="14" t="str">
        <x:v>Pilot now</x:v>
      </x:c>
      <x:c r="F1625" s="17" t="str">
        <x:v>P3</x:v>
      </x:c>
      <x:c r="G1625" s="14" t="str"/>
      <x:c r="H1625" s="14" t="str">
        <x:v>Пілот зараз — Н.15 subset</x:v>
      </x:c>
      <x:c r="I1625" s="16" t="n">
        <x:v>4</x:v>
      </x:c>
      <x:c r="J1625" s="16" t="n">
        <x:v>5</x:v>
      </x:c>
      <x:c r="K1625" s="16" t="n">
        <x:v>5</x:v>
      </x:c>
      <x:c r="L1625" s="16" t="n">
        <x:v>2</x:v>
      </x:c>
      <x:c r="M1625" s="16" t="n">
        <x:v>5</x:v>
      </x:c>
      <x:c r="N1625" s="16" t="n">
        <x:v>5</x:v>
      </x:c>
      <x:c r="O1625" s="16" t="n">
        <x:v>3</x:v>
      </x:c>
      <x:c r="P1625" s="16" t="n">
        <x:f>IF(COUNT(I1625:O1625)&lt;7,"",I1625*8+J1625*3+K1625*2+L1625*2+M1625*2+N1625*2+O1625)</x:f>
        <x:v>84</x:v>
      </x:c>
      <x:c r="Q1625" s="16" t="n">
        <x:f>IF(COUNT(J1625:O1625)&lt;6,"",J1625*5+K1625*4+M1625*4+L1625*3+N1625*2+O1625*2)</x:f>
        <x:v>87</x:v>
      </x:c>
      <x:c r="R1625" s="14" t="str">
        <x:v>high</x:v>
      </x:c>
      <x:c r="S1625" s="14" t="str">
        <x:v>official_prozorro_award_2024_2026</x:v>
      </x:c>
      <x:c r="T1625" s="14" t="str">
        <x:v>official_prozorro_api</x:v>
      </x:c>
      <x:c r="U1625" s="14" t="str">
        <x:v>Не контактували</x:v>
      </x:c>
      <x:c r="V1625" s="15" t="str">
        <x:v>Персоналізований free-pilot outreach по UA-2024-12-03-004221-a; попросити 1 пакет Н.15</x:v>
      </x:c>
      <x:c r="W1625" s="15" t="str">
        <x:v>Власник / директор; керівник ПТО; відповідальний за договори</x:v>
      </x:c>
      <x:c r="X1625" s="15" t="str">
        <x:v>1 нових підтверджених перемог/договорів у Prozorro на 119 847 грн; 0 зі строком виконання не раніше 24.08.2026.</x:v>
      </x:c>
      <x:c r="Y1625" s="15" t="str">
        <x:v>Монтаж дизель-генератора за адресою: м. Хмельницький, вул. Володимирська, 85 (поточний ремонт); опублікований строк до 2024-12-31. Попросити один знеособлений пакет здачі за цим workflow.</x:v>
      </x:c>
      <x:c r="Z1625" s="15" t="str">
        <x:v>https://prozorro.gov.ua/tender/UA-2024-12-03-004221-a</x:v>
      </x:c>
      <x:c r="AA1625" s="14" t="str">
        <x:v>43572381</x:v>
      </x:c>
      <x:c r="AB1625" s="14" t="str">
        <x:v>2026-08-24</x:v>
      </x:c>
      <x:c r="AC1625" s="14" t="str"/>
      <x:c r="AD1625" s="20" t="str"/>
      <x:c r="AE1625" s="14" t="str"/>
      <x:c r="AF1625" s="14" t="n">
        <x:v>30</x:v>
      </x:c>
      <x:c r="AG1625" s="14" t="str">
        <x:v>I3</x:v>
      </x:c>
      <x:c r="AH1625" s="14" t="n">
        <x:v>1</x:v>
      </x:c>
      <x:c r="AI1625" s="14" t="n">
        <x:v>0</x:v>
      </x:c>
      <x:c r="AJ1625" s="18" t="n">
        <x:v>119846.84</x:v>
      </x:c>
      <x:c r="AK1625" s="14" t="str">
        <x:v>https://prozorro.gov.ua/tender/UA-2024-12-03-004221-a</x:v>
      </x:c>
      <x:c r="AL1625" s="19" t="n">
        <x:v>45629.36380337963</x:v>
      </x:c>
      <x:c r="AM1625" s="19" t="n">
        <x:v>45657</x:v>
      </x:c>
      <x:c r="AN1625" s="15" t="str">
        <x:v>Резервне живлення</x:v>
      </x:c>
      <x:c r="AO1625" s="15" t="str">
        <x:v>not_found_in_top_search</x:v>
      </x:c>
    </x:row>
    <x:row r="1626">
      <x:c r="A1626" s="14" t="str">
        <x:v>W5-254</x:v>
      </x:c>
      <x:c r="B1626" s="14" t="str">
        <x:v>Prozorro vertical expansion — 24.08</x:v>
      </x:c>
      <x:c r="C1626" s="14" t="str">
        <x:v>ТОВ «Інжиніринг ПРО»</x:v>
      </x:c>
      <x:c r="D1626" s="14" t="str">
        <x:v>Стиснене повітря / компресорні</x:v>
      </x:c>
      <x:c r="E1626" s="14" t="str">
        <x:v>Expansion discovery</x:v>
      </x:c>
      <x:c r="F1626" s="17" t="str">
        <x:v>D3</x:v>
      </x:c>
      <x:c r="G1626" s="14" t="str"/>
      <x:c r="H1626" s="14" t="str">
        <x:v>Discovery розширення — 2 тижні</x:v>
      </x:c>
      <x:c r="I1626" s="16" t="n">
        <x:v>1</x:v>
      </x:c>
      <x:c r="J1626" s="16" t="n">
        <x:v>5</x:v>
      </x:c>
      <x:c r="K1626" s="16" t="n">
        <x:v>5</x:v>
      </x:c>
      <x:c r="L1626" s="16" t="n">
        <x:v>2</x:v>
      </x:c>
      <x:c r="M1626" s="16" t="n">
        <x:v>5</x:v>
      </x:c>
      <x:c r="N1626" s="16" t="n">
        <x:v>5</x:v>
      </x:c>
      <x:c r="O1626" s="16" t="n">
        <x:v>3</x:v>
      </x:c>
      <x:c r="P1626" s="16" t="n">
        <x:f>IF(COUNT(I1626:O1626)&lt;7,"",I1626*8+J1626*3+K1626*2+L1626*2+M1626*2+N1626*2+O1626)</x:f>
        <x:v>60</x:v>
      </x:c>
      <x:c r="Q1626" s="16" t="n">
        <x:f>IF(COUNT(J1626:O1626)&lt;6,"",J1626*5+K1626*4+M1626*4+L1626*3+N1626*2+O1626*2)</x:f>
        <x:v>87</x:v>
      </x:c>
      <x:c r="R1626" s="14" t="str">
        <x:v>high</x:v>
      </x:c>
      <x:c r="S1626" s="14" t="str">
        <x:v>official_prozorro_award_2024_2026</x:v>
      </x:c>
      <x:c r="T1626" s="14" t="str">
        <x:v>official_prozorro_api</x:v>
      </x:c>
      <x:c r="U1626" s="14" t="str">
        <x:v>Не контактували</x:v>
      </x:c>
      <x:c r="V1626" s="15" t="str">
        <x:v>Workflow-audit outreach по UA-2024-02-16-006680-a; попросити 1 пакет здачі та вимоги проєкту</x:v>
      </x:c>
      <x:c r="W1626" s="15" t="str">
        <x:v>Власник / директор; керівник ПТО; відповідальний за договори</x:v>
      </x:c>
      <x:c r="X1626" s="15" t="str">
        <x:v>1 нових підтверджених перемог/договорів у Prozorro на 118 800 грн; 0 зі строком виконання не раніше 24.08.2026.</x:v>
      </x:c>
      <x:c r="Y1626" s="15" t="str">
        <x:v>Проектно-вишукувальні роботи по об’єкту: "Реконструкція системи зовнішнього електропостачання компресорної станції "Тернопіль" магістрального газопроводу "Київ–Захід України" в Тернопільському районі Тернопільської області" (коригування ПД) (Будівельні роботи та поточний ремонт); опублікований строк до 2024-05-14. Попросити один знеособлений пакет здачі за цим workflow.</x:v>
      </x:c>
      <x:c r="Z1626" s="15" t="str">
        <x:v>https://prozorro.gov.ua/tender/UA-2024-02-16-006680-a</x:v>
      </x:c>
      <x:c r="AA1626" s="14" t="str">
        <x:v>42798800</x:v>
      </x:c>
      <x:c r="AB1626" s="14" t="str">
        <x:v>2026-08-24</x:v>
      </x:c>
      <x:c r="AC1626" s="14" t="str"/>
      <x:c r="AD1626" s="20" t="str"/>
      <x:c r="AE1626" s="14" t="str"/>
      <x:c r="AF1626" s="14" t="n">
        <x:v>30</x:v>
      </x:c>
      <x:c r="AG1626" s="14" t="str">
        <x:v>I3</x:v>
      </x:c>
      <x:c r="AH1626" s="14" t="n">
        <x:v>1</x:v>
      </x:c>
      <x:c r="AI1626" s="14" t="n">
        <x:v>0</x:v>
      </x:c>
      <x:c r="AJ1626" s="18" t="n">
        <x:v>118800</x:v>
      </x:c>
      <x:c r="AK1626" s="14" t="str">
        <x:v>https://prozorro.gov.ua/tender/UA-2024-02-16-006680-a</x:v>
      </x:c>
      <x:c r="AL1626" s="19" t="n">
        <x:v>45338.48126739584</x:v>
      </x:c>
      <x:c r="AM1626" s="19" t="n">
        <x:v>45426</x:v>
      </x:c>
      <x:c r="AN1626" s="15" t="str">
        <x:v>Стиснене повітря / компресорні</x:v>
      </x:c>
      <x:c r="AO1626" s="15" t="str">
        <x:v>not_found_in_top_search</x:v>
      </x:c>
    </x:row>
    <x:row r="1627">
      <x:c r="A1627" s="14" t="str">
        <x:v>W5-255</x:v>
      </x:c>
      <x:c r="B1627" s="14" t="str">
        <x:v>Prozorro vertical expansion — 24.08</x:v>
      </x:c>
      <x:c r="C1627" s="14" t="str">
        <x:v>Теслюк Павло Олексійович</x:v>
      </x:c>
      <x:c r="D1627" s="14" t="str">
        <x:v>Зовнішні мережі</x:v>
      </x:c>
      <x:c r="E1627" s="14" t="str">
        <x:v>Expansion discovery</x:v>
      </x:c>
      <x:c r="F1627" s="17" t="str">
        <x:v>D3</x:v>
      </x:c>
      <x:c r="G1627" s="14" t="str"/>
      <x:c r="H1627" s="14" t="str">
        <x:v>Discovery розширення — 2 тижні</x:v>
      </x:c>
      <x:c r="I1627" s="16" t="n">
        <x:v>1</x:v>
      </x:c>
      <x:c r="J1627" s="16" t="n">
        <x:v>5</x:v>
      </x:c>
      <x:c r="K1627" s="16" t="n">
        <x:v>5</x:v>
      </x:c>
      <x:c r="L1627" s="16" t="n">
        <x:v>1</x:v>
      </x:c>
      <x:c r="M1627" s="16" t="n">
        <x:v>5</x:v>
      </x:c>
      <x:c r="N1627" s="16" t="n">
        <x:v>3</x:v>
      </x:c>
      <x:c r="O1627" s="16" t="n">
        <x:v>3</x:v>
      </x:c>
      <x:c r="P1627" s="16" t="n">
        <x:f>IF(COUNT(I1627:O1627)&lt;7,"",I1627*8+J1627*3+K1627*2+L1627*2+M1627*2+N1627*2+O1627)</x:f>
        <x:v>54</x:v>
      </x:c>
      <x:c r="Q1627" s="16" t="n">
        <x:f>IF(COUNT(J1627:O1627)&lt;6,"",J1627*5+K1627*4+M1627*4+L1627*3+N1627*2+O1627*2)</x:f>
        <x:v>80</x:v>
      </x:c>
      <x:c r="R1627" s="14" t="str">
        <x:v>high</x:v>
      </x:c>
      <x:c r="S1627" s="14" t="str">
        <x:v>official_prozorro_award_2024_2026</x:v>
      </x:c>
      <x:c r="T1627" s="14" t="str">
        <x:v>official_prozorro_api</x:v>
      </x:c>
      <x:c r="U1627" s="14" t="str">
        <x:v>Не контактували</x:v>
      </x:c>
      <x:c r="V1627" s="15" t="str">
        <x:v>Workflow-audit outreach по UA-2025-11-24-014672-a; попросити 1 пакет здачі та вимоги проєкту</x:v>
      </x:c>
      <x:c r="W1627" s="15" t="str">
        <x:v>Власник / виконавець; відповідальний за договір</x:v>
      </x:c>
      <x:c r="X1627" s="15" t="str">
        <x:v>1 нових підтверджених перемог/договорів у Prozorro на 98 600 грн; 0 зі строком виконання не раніше 24.08.2026.</x:v>
      </x:c>
      <x:c r="Y1627" s="15" t="str">
        <x:v>Будівництво трубопроводів, ліній зв’язку та електропередач, шосе, доріг, аеродромів і залізничних доріг; вирівнювання поверхонь (Надання послуг з влаштування каналізаційного колодязя на каналізаційному колекторі між вул. Б. Хмельницького та вул. Романа Шухевича у м. Овруч Житомирської області); опублікований строк до 2025-11-28. Попросити один знеособлений пакет здачі за цим workflow.</x:v>
      </x:c>
      <x:c r="Z1627" s="15" t="str">
        <x:v>https://prozorro.gov.ua/tender/UA-2025-11-24-014672-a</x:v>
      </x:c>
      <x:c r="AA1627" s="14" t="str">
        <x:v>2568310591</x:v>
      </x:c>
      <x:c r="AB1627" s="14" t="str">
        <x:v>2026-08-24</x:v>
      </x:c>
      <x:c r="AC1627" s="14" t="str"/>
      <x:c r="AD1627" s="20" t="str"/>
      <x:c r="AE1627" s="14" t="str"/>
      <x:c r="AF1627" s="14" t="n">
        <x:v>30</x:v>
      </x:c>
      <x:c r="AG1627" s="14" t="str">
        <x:v>I3</x:v>
      </x:c>
      <x:c r="AH1627" s="14" t="n">
        <x:v>1</x:v>
      </x:c>
      <x:c r="AI1627" s="14" t="n">
        <x:v>0</x:v>
      </x:c>
      <x:c r="AJ1627" s="18" t="n">
        <x:v>98600</x:v>
      </x:c>
      <x:c r="AK1627" s="14" t="str">
        <x:v>https://prozorro.gov.ua/tender/UA-2025-11-24-014672-a</x:v>
      </x:c>
      <x:c r="AL1627" s="19" t="n">
        <x:v>45985.57542649306</x:v>
      </x:c>
      <x:c r="AM1627" s="19" t="n">
        <x:v>45989</x:v>
      </x:c>
      <x:c r="AN1627" s="15" t="str">
        <x:v>Зовнішні мережі</x:v>
      </x:c>
      <x:c r="AO1627" s="15" t="str">
        <x:v>not_found_in_top_search</x:v>
      </x:c>
    </x:row>
    <x:row r="1628">
      <x:c r="A1628" s="14" t="str">
        <x:v>W5-256</x:v>
      </x:c>
      <x:c r="B1628" s="14" t="str">
        <x:v>Prozorro vertical expansion — 24.08</x:v>
      </x:c>
      <x:c r="C1628" s="14" t="str">
        <x:v>УМРИХІНА ВІКТОРІЯ ОЛЕКСАНДРІВНА</x:v>
      </x:c>
      <x:c r="D1628" s="14" t="str">
        <x:v>Промисловий холод</x:v>
      </x:c>
      <x:c r="E1628" s="14" t="str">
        <x:v>Expansion discovery</x:v>
      </x:c>
      <x:c r="F1628" s="17" t="str">
        <x:v>D3</x:v>
      </x:c>
      <x:c r="G1628" s="14" t="str"/>
      <x:c r="H1628" s="14" t="str">
        <x:v>Discovery розширення — 2 тижні</x:v>
      </x:c>
      <x:c r="I1628" s="16" t="n">
        <x:v>1</x:v>
      </x:c>
      <x:c r="J1628" s="16" t="n">
        <x:v>5</x:v>
      </x:c>
      <x:c r="K1628" s="16" t="n">
        <x:v>5</x:v>
      </x:c>
      <x:c r="L1628" s="16" t="n">
        <x:v>1</x:v>
      </x:c>
      <x:c r="M1628" s="16" t="n">
        <x:v>5</x:v>
      </x:c>
      <x:c r="N1628" s="16" t="n">
        <x:v>3</x:v>
      </x:c>
      <x:c r="O1628" s="16" t="n">
        <x:v>3</x:v>
      </x:c>
      <x:c r="P1628" s="16" t="n">
        <x:f>IF(COUNT(I1628:O1628)&lt;7,"",I1628*8+J1628*3+K1628*2+L1628*2+M1628*2+N1628*2+O1628)</x:f>
        <x:v>54</x:v>
      </x:c>
      <x:c r="Q1628" s="16" t="n">
        <x:f>IF(COUNT(J1628:O1628)&lt;6,"",J1628*5+K1628*4+M1628*4+L1628*3+N1628*2+O1628*2)</x:f>
        <x:v>80</x:v>
      </x:c>
      <x:c r="R1628" s="14" t="str">
        <x:v>high</x:v>
      </x:c>
      <x:c r="S1628" s="14" t="str">
        <x:v>official_prozorro_award_2024_2026</x:v>
      </x:c>
      <x:c r="T1628" s="14" t="str">
        <x:v>official_prozorro_api</x:v>
      </x:c>
      <x:c r="U1628" s="14" t="str">
        <x:v>Не контактували</x:v>
      </x:c>
      <x:c r="V1628" s="15" t="str">
        <x:v>Workflow-audit outreach по UA-2025-11-03-014284-a; попросити 1 пакет здачі та вимоги проєкту</x:v>
      </x:c>
      <x:c r="W1628" s="15" t="str">
        <x:v>Власник / виконавець; відповідальний за договір</x:v>
      </x:c>
      <x:c r="X1628" s="15" t="str">
        <x:v>1 нових підтверджених перемог/договорів у Prozorro на 98 098 грн; 0 зі строком виконання не раніше 24.08.2026.</x:v>
      </x:c>
      <x:c r="Y1628" s="15" t="str">
        <x:v>Поставка та монтаж кондиціонерів (Код ДК 021:2015: 42510000-4 Теплообмінники, кондиціонери повітря, холодильне обладнання та фільтрувальні пристрої); опублікований строк до 2025-11-14. Попросити один знеособлений пакет здачі за цим workflow.</x:v>
      </x:c>
      <x:c r="Z1628" s="15" t="str">
        <x:v>https://prozorro.gov.ua/tender/UA-2025-11-03-014284-a</x:v>
      </x:c>
      <x:c r="AA1628" s="14" t="str">
        <x:v>3356708163</x:v>
      </x:c>
      <x:c r="AB1628" s="14" t="str">
        <x:v>2026-08-24</x:v>
      </x:c>
      <x:c r="AC1628" s="14" t="str"/>
      <x:c r="AD1628" s="20" t="str"/>
      <x:c r="AE1628" s="14" t="str"/>
      <x:c r="AF1628" s="14" t="n">
        <x:v>30</x:v>
      </x:c>
      <x:c r="AG1628" s="14" t="str">
        <x:v>I3</x:v>
      </x:c>
      <x:c r="AH1628" s="14" t="n">
        <x:v>1</x:v>
      </x:c>
      <x:c r="AI1628" s="14" t="n">
        <x:v>0</x:v>
      </x:c>
      <x:c r="AJ1628" s="18" t="n">
        <x:v>98098</x:v>
      </x:c>
      <x:c r="AK1628" s="14" t="str">
        <x:v>https://prozorro.gov.ua/tender/UA-2025-11-03-014284-a</x:v>
      </x:c>
      <x:c r="AL1628" s="19" t="n">
        <x:v>45964.64480744213</x:v>
      </x:c>
      <x:c r="AM1628" s="19" t="n">
        <x:v>45975</x:v>
      </x:c>
      <x:c r="AN1628" s="15" t="str">
        <x:v>Промисловий холод</x:v>
      </x:c>
      <x:c r="AO1628" s="15" t="str">
        <x:v>not_found_in_top_search</x:v>
      </x:c>
    </x:row>
    <x:row r="1629">
      <x:c r="A1629" s="14" t="str">
        <x:v>W5-257</x:v>
      </x:c>
      <x:c r="B1629" s="14" t="str">
        <x:v>Prozorro vertical expansion — 24.08</x:v>
      </x:c>
      <x:c r="C1629" s="14" t="str">
        <x:v>Товариство з обмеженою відповідальністю «Вестенергобуд»</x:v>
      </x:c>
      <x:c r="D1629" s="14" t="str">
        <x:v>Блискавкозахист / заземлення</x:v>
      </x:c>
      <x:c r="E1629" s="14" t="str">
        <x:v>Pilot now</x:v>
      </x:c>
      <x:c r="F1629" s="17" t="str">
        <x:v>P3</x:v>
      </x:c>
      <x:c r="G1629" s="14" t="str"/>
      <x:c r="H1629" s="14" t="str">
        <x:v>Пілот зараз — Н.15 subset</x:v>
      </x:c>
      <x:c r="I1629" s="16" t="n">
        <x:v>4</x:v>
      </x:c>
      <x:c r="J1629" s="16" t="n">
        <x:v>5</x:v>
      </x:c>
      <x:c r="K1629" s="16" t="n">
        <x:v>5</x:v>
      </x:c>
      <x:c r="L1629" s="16" t="n">
        <x:v>1</x:v>
      </x:c>
      <x:c r="M1629" s="16" t="n">
        <x:v>5</x:v>
      </x:c>
      <x:c r="N1629" s="16" t="n">
        <x:v>5</x:v>
      </x:c>
      <x:c r="O1629" s="16" t="n">
        <x:v>3</x:v>
      </x:c>
      <x:c r="P1629" s="16" t="n">
        <x:f>IF(COUNT(I1629:O1629)&lt;7,"",I1629*8+J1629*3+K1629*2+L1629*2+M1629*2+N1629*2+O1629)</x:f>
        <x:v>82</x:v>
      </x:c>
      <x:c r="Q1629" s="16" t="n">
        <x:f>IF(COUNT(J1629:O1629)&lt;6,"",J1629*5+K1629*4+M1629*4+L1629*3+N1629*2+O1629*2)</x:f>
        <x:v>84</x:v>
      </x:c>
      <x:c r="R1629" s="14" t="str">
        <x:v>high</x:v>
      </x:c>
      <x:c r="S1629" s="14" t="str">
        <x:v>official_prozorro_award_2024_2026</x:v>
      </x:c>
      <x:c r="T1629" s="14" t="str">
        <x:v>official_prozorro_api</x:v>
      </x:c>
      <x:c r="U1629" s="14" t="str">
        <x:v>Не контактували</x:v>
      </x:c>
      <x:c r="V1629" s="15" t="str">
        <x:v>Персоналізований free-pilot outreach по UA-2025-12-22-018301-a; попросити 1 пакет Н.15</x:v>
      </x:c>
      <x:c r="W1629" s="15" t="str">
        <x:v>Власник / директор; керівник ПТО; відповідальний за договори</x:v>
      </x:c>
      <x:c r="X1629" s="15" t="str">
        <x:v>1 нових підтверджених перемог/договорів у Prozorro на 82 423 грн; 0 зі строком виконання не раніше 24.08.2026.</x:v>
      </x:c>
      <x:c r="Y1629" s="15" t="str">
        <x:v>Послуги з монтажу системи блискавкозахисту; опублікований строк до 2025-12-31. Попросити один знеособлений пакет здачі за цим workflow.</x:v>
      </x:c>
      <x:c r="Z1629" s="15" t="str">
        <x:v>https://prozorro.gov.ua/tender/UA-2025-12-22-018301-a</x:v>
      </x:c>
      <x:c r="AA1629" s="14" t="str">
        <x:v>43211999</x:v>
      </x:c>
      <x:c r="AB1629" s="14" t="str">
        <x:v>2026-08-24</x:v>
      </x:c>
      <x:c r="AC1629" s="14" t="str"/>
      <x:c r="AD1629" s="20" t="str"/>
      <x:c r="AE1629" s="14" t="str"/>
      <x:c r="AF1629" s="14" t="n">
        <x:v>30</x:v>
      </x:c>
      <x:c r="AG1629" s="14" t="str">
        <x:v>I3</x:v>
      </x:c>
      <x:c r="AH1629" s="14" t="n">
        <x:v>1</x:v>
      </x:c>
      <x:c r="AI1629" s="14" t="n">
        <x:v>0</x:v>
      </x:c>
      <x:c r="AJ1629" s="18" t="n">
        <x:v>82423</x:v>
      </x:c>
      <x:c r="AK1629" s="14" t="str">
        <x:v>https://prozorro.gov.ua/tender/UA-2025-12-22-018301-a</x:v>
      </x:c>
      <x:c r="AL1629" s="19" t="n">
        <x:v>46013.583950671295</x:v>
      </x:c>
      <x:c r="AM1629" s="19" t="n">
        <x:v>46022.916666655095</x:v>
      </x:c>
      <x:c r="AN1629" s="15" t="str">
        <x:v>Блискавкозахист / заземлення</x:v>
      </x:c>
      <x:c r="AO1629" s="15" t="str">
        <x:v>not_found_in_top_search</x:v>
      </x:c>
    </x:row>
    <x:row r="1630">
      <x:c r="A1630" s="14" t="str">
        <x:v>W5-258</x:v>
      </x:c>
      <x:c r="B1630" s="14" t="str">
        <x:v>Prozorro vertical expansion — 24.08</x:v>
      </x:c>
      <x:c r="C1630" s="14" t="str">
        <x:v>Виробничий підрозділ "Основ'янська дистанція сигналізації та зв'язку" регіональної філії "Південна залізниця" Акціонерного товариства "Українська залізниця"</x:v>
      </x:c>
      <x:c r="D1630" s="14" t="str">
        <x:v>Залізнична інфраструктура</x:v>
      </x:c>
      <x:c r="E1630" s="14" t="str">
        <x:v>Expansion discovery</x:v>
      </x:c>
      <x:c r="F1630" s="17" t="str">
        <x:v>D3</x:v>
      </x:c>
      <x:c r="G1630" s="14" t="str"/>
      <x:c r="H1630" s="14" t="str">
        <x:v>Discovery розширення — 2 тижні</x:v>
      </x:c>
      <x:c r="I1630" s="16" t="n">
        <x:v>1</x:v>
      </x:c>
      <x:c r="J1630" s="16" t="n">
        <x:v>5</x:v>
      </x:c>
      <x:c r="K1630" s="16" t="n">
        <x:v>5</x:v>
      </x:c>
      <x:c r="L1630" s="16" t="n">
        <x:v>1</x:v>
      </x:c>
      <x:c r="M1630" s="16" t="n">
        <x:v>5</x:v>
      </x:c>
      <x:c r="N1630" s="16" t="n">
        <x:v>5</x:v>
      </x:c>
      <x:c r="O1630" s="16" t="n">
        <x:v>3</x:v>
      </x:c>
      <x:c r="P1630" s="16" t="n">
        <x:f>IF(COUNT(I1630:O1630)&lt;7,"",I1630*8+J1630*3+K1630*2+L1630*2+M1630*2+N1630*2+O1630)</x:f>
        <x:v>58</x:v>
      </x:c>
      <x:c r="Q1630" s="16" t="n">
        <x:f>IF(COUNT(J1630:O1630)&lt;6,"",J1630*5+K1630*4+M1630*4+L1630*3+N1630*2+O1630*2)</x:f>
        <x:v>84</x:v>
      </x:c>
      <x:c r="R1630" s="14" t="str">
        <x:v>high</x:v>
      </x:c>
      <x:c r="S1630" s="14" t="str">
        <x:v>official_prozorro_award_2024_2026</x:v>
      </x:c>
      <x:c r="T1630" s="14" t="str">
        <x:v>official_prozorro_api</x:v>
      </x:c>
      <x:c r="U1630" s="14" t="str">
        <x:v>Не контактували</x:v>
      </x:c>
      <x:c r="V1630" s="15" t="str">
        <x:v>Workflow-audit outreach по UA-2025-09-02-000491-a; попросити 1 пакет здачі та вимоги проєкту</x:v>
      </x:c>
      <x:c r="W1630" s="15" t="str">
        <x:v>Власник / директор; керівник ПТО; відповідальний за договори</x:v>
      </x:c>
      <x:c r="X1630" s="15" t="str">
        <x:v>1 нових підтверджених перемог/договорів у Prozorro на 82 303 грн; 0 зі строком виконання не раніше 24.08.2026.</x:v>
      </x:c>
      <x:c r="Y1630" s="15" t="str">
        <x:v>50220000-3  Послуги з ремонту, технічного обслуговування залізничного транспорту і пов’язаного обладнання та супутні послуги (Послуги з технічного обслуговування пристроїв сигналізації, централізації та блокування на під'їзних коліях Зміївської ТЕС); опублікований строк до 2025-12-31. Попросити один знеособлений пакет здачі за цим workflow.</x:v>
      </x:c>
      <x:c r="Z1630" s="15" t="str">
        <x:v>https://prozorro.gov.ua/tender/UA-2025-09-02-000491-a</x:v>
      </x:c>
      <x:c r="AA1630" s="14" t="str">
        <x:v>40075815</x:v>
      </x:c>
      <x:c r="AB1630" s="14" t="str">
        <x:v>2026-08-24</x:v>
      </x:c>
      <x:c r="AC1630" s="14" t="str"/>
      <x:c r="AD1630" s="20" t="str"/>
      <x:c r="AE1630" s="14" t="str"/>
      <x:c r="AF1630" s="14" t="n">
        <x:v>30</x:v>
      </x:c>
      <x:c r="AG1630" s="14" t="str">
        <x:v>I3</x:v>
      </x:c>
      <x:c r="AH1630" s="14" t="n">
        <x:v>1</x:v>
      </x:c>
      <x:c r="AI1630" s="14" t="n">
        <x:v>0</x:v>
      </x:c>
      <x:c r="AJ1630" s="18" t="n">
        <x:v>82303.44</x:v>
      </x:c>
      <x:c r="AK1630" s="14" t="str">
        <x:v>https://prozorro.gov.ua/tender/UA-2025-09-02-000491-a</x:v>
      </x:c>
      <x:c r="AL1630" s="19" t="n">
        <x:v>45902.24643613426</x:v>
      </x:c>
      <x:c r="AM1630" s="19" t="n">
        <x:v>46022</x:v>
      </x:c>
      <x:c r="AN1630" s="15" t="str">
        <x:v>Залізнична інфраструктура</x:v>
      </x:c>
      <x:c r="AO1630" s="15" t="str">
        <x:v>not_found_in_top_search</x:v>
      </x:c>
    </x:row>
    <x:row r="1631">
      <x:c r="A1631" s="14" t="str">
        <x:v>W5-259</x:v>
      </x:c>
      <x:c r="B1631" s="14" t="str">
        <x:v>Prozorro vertical expansion — 24.08</x:v>
      </x:c>
      <x:c r="C1631" s="14" t="str">
        <x:v>ТОВАРИСТВО З ОБМЕЖЕНОЮ ВІДПОВІДАЛЬНІСТЮ "АЛЮМІКС"</x:v>
      </x:c>
      <x:c r="D1631" s="14" t="str">
        <x:v>Промислові ворота / докове обладнання</x:v>
      </x:c>
      <x:c r="E1631" s="14" t="str">
        <x:v>Expansion discovery</x:v>
      </x:c>
      <x:c r="F1631" s="17" t="str">
        <x:v>D3</x:v>
      </x:c>
      <x:c r="G1631" s="14" t="str"/>
      <x:c r="H1631" s="14" t="str">
        <x:v>Discovery розширення — 2 тижні</x:v>
      </x:c>
      <x:c r="I1631" s="16" t="n">
        <x:v>1</x:v>
      </x:c>
      <x:c r="J1631" s="16" t="n">
        <x:v>5</x:v>
      </x:c>
      <x:c r="K1631" s="16" t="n">
        <x:v>4</x:v>
      </x:c>
      <x:c r="L1631" s="16" t="n">
        <x:v>1</x:v>
      </x:c>
      <x:c r="M1631" s="16" t="n">
        <x:v>5</x:v>
      </x:c>
      <x:c r="N1631" s="16" t="n">
        <x:v>5</x:v>
      </x:c>
      <x:c r="O1631" s="16" t="n">
        <x:v>3</x:v>
      </x:c>
      <x:c r="P1631" s="16" t="n">
        <x:f>IF(COUNT(I1631:O1631)&lt;7,"",I1631*8+J1631*3+K1631*2+L1631*2+M1631*2+N1631*2+O1631)</x:f>
        <x:v>56</x:v>
      </x:c>
      <x:c r="Q1631" s="16" t="n">
        <x:f>IF(COUNT(J1631:O1631)&lt;6,"",J1631*5+K1631*4+M1631*4+L1631*3+N1631*2+O1631*2)</x:f>
        <x:v>80</x:v>
      </x:c>
      <x:c r="R1631" s="14" t="str">
        <x:v>high</x:v>
      </x:c>
      <x:c r="S1631" s="14" t="str">
        <x:v>official_prozorro_award_2024_2026</x:v>
      </x:c>
      <x:c r="T1631" s="14" t="str">
        <x:v>official_prozorro_api</x:v>
      </x:c>
      <x:c r="U1631" s="14" t="str">
        <x:v>Не контактували</x:v>
      </x:c>
      <x:c r="V1631" s="15" t="str">
        <x:v>Workflow-audit outreach по UA-2025-11-13-012035-a; попросити 1 пакет здачі та вимоги проєкту</x:v>
      </x:c>
      <x:c r="W1631" s="15" t="str">
        <x:v>Власник / директор; керівник ПТО; відповідальний за договори</x:v>
      </x:c>
      <x:c r="X1631" s="15" t="str">
        <x:v>1 нових підтверджених перемог/договорів у Prozorro на 80 000 грн; 0 зі строком виконання не раніше 24.08.2026.</x:v>
      </x:c>
      <x:c r="Y1631" s="15" t="str">
        <x:v>Встановлення конструкцій та їх частин (Монтаж промислових воріт секційних в кількості 4-х штук в будівлі підрозділу 34 ДПРЧ 2 ДПРЗ ГУ ДСНС України у Київській області; опублікований строк до 2025-12-10. Попросити один знеособлений пакет здачі за цим workflow.</x:v>
      </x:c>
      <x:c r="Z1631" s="15" t="str">
        <x:v>https://prozorro.gov.ua/tender/UA-2025-11-13-012035-a</x:v>
      </x:c>
      <x:c r="AA1631" s="14" t="str">
        <x:v>40149195</x:v>
      </x:c>
      <x:c r="AB1631" s="14" t="str">
        <x:v>2026-08-24</x:v>
      </x:c>
      <x:c r="AC1631" s="14" t="str"/>
      <x:c r="AD1631" s="20" t="str"/>
      <x:c r="AE1631" s="14" t="str"/>
      <x:c r="AF1631" s="14" t="n">
        <x:v>30</x:v>
      </x:c>
      <x:c r="AG1631" s="14" t="str">
        <x:v>I3</x:v>
      </x:c>
      <x:c r="AH1631" s="14" t="n">
        <x:v>1</x:v>
      </x:c>
      <x:c r="AI1631" s="14" t="n">
        <x:v>0</x:v>
      </x:c>
      <x:c r="AJ1631" s="18" t="n">
        <x:v>79999.92</x:v>
      </x:c>
      <x:c r="AK1631" s="14" t="str">
        <x:v>https://prozorro.gov.ua/tender/UA-2025-11-13-012035-a</x:v>
      </x:c>
      <x:c r="AL1631" s="19" t="n">
        <x:v>45974.55096898148</x:v>
      </x:c>
      <x:c r="AM1631" s="19" t="n">
        <x:v>46001</x:v>
      </x:c>
      <x:c r="AN1631" s="15" t="str">
        <x:v>Промислові ворота / докове обладнання</x:v>
      </x:c>
      <x:c r="AO1631" s="15" t="str">
        <x:v>not_found_in_top_search</x:v>
      </x:c>
    </x:row>
    <x:row r="1632">
      <x:c r="A1632" s="14" t="str">
        <x:v>W5-260</x:v>
      </x:c>
      <x:c r="B1632" s="14" t="str">
        <x:v>Prozorro vertical expansion — 24.08</x:v>
      </x:c>
      <x:c r="C1632" s="14" t="str">
        <x:v>ТОВАРИСТВО З ОБМЕЖЕНОЮ ВІДПОВІДАЛЬНІСТЮ "ХХІ БУДВІК"</x:v>
      </x:c>
      <x:c r="D1632" s="14" t="str">
        <x:v>Промисловий холод</x:v>
      </x:c>
      <x:c r="E1632" s="14" t="str">
        <x:v>Expansion discovery</x:v>
      </x:c>
      <x:c r="F1632" s="17" t="str">
        <x:v>D3</x:v>
      </x:c>
      <x:c r="G1632" s="14" t="str"/>
      <x:c r="H1632" s="14" t="str">
        <x:v>Discovery розширення — 2 тижні</x:v>
      </x:c>
      <x:c r="I1632" s="16" t="n">
        <x:v>1</x:v>
      </x:c>
      <x:c r="J1632" s="16" t="n">
        <x:v>5</x:v>
      </x:c>
      <x:c r="K1632" s="16" t="n">
        <x:v>5</x:v>
      </x:c>
      <x:c r="L1632" s="16" t="n">
        <x:v>1</x:v>
      </x:c>
      <x:c r="M1632" s="16" t="n">
        <x:v>5</x:v>
      </x:c>
      <x:c r="N1632" s="16" t="n">
        <x:v>5</x:v>
      </x:c>
      <x:c r="O1632" s="16" t="n">
        <x:v>3</x:v>
      </x:c>
      <x:c r="P1632" s="16" t="n">
        <x:f>IF(COUNT(I1632:O1632)&lt;7,"",I1632*8+J1632*3+K1632*2+L1632*2+M1632*2+N1632*2+O1632)</x:f>
        <x:v>58</x:v>
      </x:c>
      <x:c r="Q1632" s="16" t="n">
        <x:f>IF(COUNT(J1632:O1632)&lt;6,"",J1632*5+K1632*4+M1632*4+L1632*3+N1632*2+O1632*2)</x:f>
        <x:v>84</x:v>
      </x:c>
      <x:c r="R1632" s="14" t="str">
        <x:v>high</x:v>
      </x:c>
      <x:c r="S1632" s="14" t="str">
        <x:v>official_prozorro_award_2024_2026</x:v>
      </x:c>
      <x:c r="T1632" s="14" t="str">
        <x:v>official_prozorro_api</x:v>
      </x:c>
      <x:c r="U1632" s="14" t="str">
        <x:v>Не контактували</x:v>
      </x:c>
      <x:c r="V1632" s="15" t="str">
        <x:v>Workflow-audit outreach по UA-2025-07-15-001627-a; попросити 1 пакет здачі та вимоги проєкту</x:v>
      </x:c>
      <x:c r="W1632" s="15" t="str">
        <x:v>Власник / директор; керівник ПТО; відповідальний за договори</x:v>
      </x:c>
      <x:c r="X1632" s="15" t="str">
        <x:v>1 нових підтверджених перемог/договорів у Prozorro на 78 480 грн; 0 зі строком виконання не раніше 24.08.2026.</x:v>
      </x:c>
      <x:c r="Y1632" s="15" t="str">
        <x:v>Кондиціонери з монтажем та демонтажем (код ДК 021:2015: 42510000-4 -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32" s="15" t="str">
        <x:v>https://prozorro.gov.ua/tender/UA-2025-07-15-001627-a</x:v>
      </x:c>
      <x:c r="AA1632" s="14" t="str">
        <x:v>31481841</x:v>
      </x:c>
      <x:c r="AB1632" s="14" t="str">
        <x:v>2026-08-24</x:v>
      </x:c>
      <x:c r="AC1632" s="14" t="str"/>
      <x:c r="AD1632" s="20" t="str"/>
      <x:c r="AE1632" s="14" t="str"/>
      <x:c r="AF1632" s="14" t="n">
        <x:v>30</x:v>
      </x:c>
      <x:c r="AG1632" s="14" t="str">
        <x:v>I3</x:v>
      </x:c>
      <x:c r="AH1632" s="14" t="n">
        <x:v>1</x:v>
      </x:c>
      <x:c r="AI1632" s="14" t="n">
        <x:v>0</x:v>
      </x:c>
      <x:c r="AJ1632" s="18" t="n">
        <x:v>78480</x:v>
      </x:c>
      <x:c r="AK1632" s="14" t="str">
        <x:v>https://prozorro.gov.ua/tender/UA-2025-07-15-001627-a</x:v>
      </x:c>
      <x:c r="AL1632" s="19" t="n">
        <x:v>45853.30379106481</x:v>
      </x:c>
      <x:c r="AM1632" s="19" t="n">
        <x:v>46022</x:v>
      </x:c>
      <x:c r="AN1632" s="15" t="str">
        <x:v>Промисловий холод</x:v>
      </x:c>
      <x:c r="AO1632" s="15" t="str">
        <x:v>not_found_in_top_search</x:v>
      </x:c>
    </x:row>
    <x:row r="1633">
      <x:c r="A1633" s="14" t="str">
        <x:v>W5-261</x:v>
      </x:c>
      <x:c r="B1633" s="14" t="str">
        <x:v>Prozorro vertical expansion — 24.08</x:v>
      </x:c>
      <x:c r="C1633" s="14" t="str">
        <x:v>ВОЛГОВ ОЛЕКСІЙ ОЛЕКСІЙОВИЧ</x:v>
      </x:c>
      <x:c r="D1633" s="14" t="str">
        <x:v>Резервне живлення</x:v>
      </x:c>
      <x:c r="E1633" s="14" t="str">
        <x:v>Pilot now</x:v>
      </x:c>
      <x:c r="F1633" s="17" t="str">
        <x:v>P3</x:v>
      </x:c>
      <x:c r="G1633" s="14" t="str"/>
      <x:c r="H1633" s="14" t="str">
        <x:v>Пілот зараз — Н.15 subset</x:v>
      </x:c>
      <x:c r="I1633" s="16" t="n">
        <x:v>4</x:v>
      </x:c>
      <x:c r="J1633" s="16" t="n">
        <x:v>5</x:v>
      </x:c>
      <x:c r="K1633" s="16" t="n">
        <x:v>5</x:v>
      </x:c>
      <x:c r="L1633" s="16" t="n">
        <x:v>1</x:v>
      </x:c>
      <x:c r="M1633" s="16" t="n">
        <x:v>5</x:v>
      </x:c>
      <x:c r="N1633" s="16" t="n">
        <x:v>3</x:v>
      </x:c>
      <x:c r="O1633" s="16" t="n">
        <x:v>3</x:v>
      </x:c>
      <x:c r="P1633" s="16" t="n">
        <x:f>IF(COUNT(I1633:O1633)&lt;7,"",I1633*8+J1633*3+K1633*2+L1633*2+M1633*2+N1633*2+O1633)</x:f>
        <x:v>78</x:v>
      </x:c>
      <x:c r="Q1633" s="16" t="n">
        <x:f>IF(COUNT(J1633:O1633)&lt;6,"",J1633*5+K1633*4+M1633*4+L1633*3+N1633*2+O1633*2)</x:f>
        <x:v>80</x:v>
      </x:c>
      <x:c r="R1633" s="14" t="str">
        <x:v>high</x:v>
      </x:c>
      <x:c r="S1633" s="14" t="str">
        <x:v>official_prozorro_award_2024_2026</x:v>
      </x:c>
      <x:c r="T1633" s="14" t="str">
        <x:v>official_prozorro_api</x:v>
      </x:c>
      <x:c r="U1633" s="14" t="str">
        <x:v>Не контактували</x:v>
      </x:c>
      <x:c r="V1633" s="15" t="str">
        <x:v>Персоналізований free-pilot outreach по UA-2025-05-09-008174-a; попросити 1 пакет Н.15</x:v>
      </x:c>
      <x:c r="W1633" s="15" t="str">
        <x:v>Власник / виконавець; відповідальний за договір</x:v>
      </x:c>
      <x:c r="X1633" s="15" t="str">
        <x:v>1 нових підтверджених перемог/договорів у Prozorro на 77 280 грн; 0 зі строком виконання не раніше 24.08.2026.</x:v>
      </x:c>
      <x:c r="Y1633" s="15" t="str">
        <x:v>Послуги з улаштування підключення обладнання резервного безперебійного живлення системи "TESLA POWER WALL 2.0" та  "TESLA GATEWАY 2.0", а саме :монтажу обладнання ,пуску та налагодження системи зберігання енергії в приміщеннях КНП "Слобожанська лікарня".; опублікований строк до 2025-12-31. Попросити один знеособлений пакет здачі за цим workflow.</x:v>
      </x:c>
      <x:c r="Z1633" s="15" t="str">
        <x:v>https://prozorro.gov.ua/tender/UA-2025-05-09-008174-a</x:v>
      </x:c>
      <x:c r="AA1633" s="14" t="str">
        <x:v>2909107836</x:v>
      </x:c>
      <x:c r="AB1633" s="14" t="str">
        <x:v>2026-08-24</x:v>
      </x:c>
      <x:c r="AC1633" s="14" t="str"/>
      <x:c r="AD1633" s="20" t="str"/>
      <x:c r="AE1633" s="14" t="str"/>
      <x:c r="AF1633" s="14" t="n">
        <x:v>30</x:v>
      </x:c>
      <x:c r="AG1633" s="14" t="str">
        <x:v>I3</x:v>
      </x:c>
      <x:c r="AH1633" s="14" t="n">
        <x:v>1</x:v>
      </x:c>
      <x:c r="AI1633" s="14" t="n">
        <x:v>0</x:v>
      </x:c>
      <x:c r="AJ1633" s="18" t="n">
        <x:v>77280</x:v>
      </x:c>
      <x:c r="AK1633" s="14" t="str">
        <x:v>https://prozorro.gov.ua/tender/UA-2025-05-09-008174-a</x:v>
      </x:c>
      <x:c r="AL1633" s="19" t="n">
        <x:v>45786.45051667824</x:v>
      </x:c>
      <x:c r="AM1633" s="19" t="n">
        <x:v>46022</x:v>
      </x:c>
      <x:c r="AN1633" s="15" t="str">
        <x:v>Резервне живлення</x:v>
      </x:c>
      <x:c r="AO1633" s="15" t="str">
        <x:v>not_found_in_top_search</x:v>
      </x:c>
    </x:row>
    <x:row r="1634">
      <x:c r="A1634" s="14" t="str">
        <x:v>W5-262</x:v>
      </x:c>
      <x:c r="B1634" s="14" t="str">
        <x:v>Prozorro vertical expansion — 24.08</x:v>
      </x:c>
      <x:c r="C1634" s="14" t="str">
        <x:v>ТОВ "КРАЙЗ"</x:v>
      </x:c>
      <x:c r="D1634" s="14" t="str">
        <x:v>Блискавкозахист / заземлення</x:v>
      </x:c>
      <x:c r="E1634" s="14" t="str">
        <x:v>Pilot now</x:v>
      </x:c>
      <x:c r="F1634" s="17" t="str">
        <x:v>P3</x:v>
      </x:c>
      <x:c r="G1634" s="14" t="str"/>
      <x:c r="H1634" s="14" t="str">
        <x:v>Пілот зараз — Н.15 subset</x:v>
      </x:c>
      <x:c r="I1634" s="16" t="n">
        <x:v>4</x:v>
      </x:c>
      <x:c r="J1634" s="16" t="n">
        <x:v>5</x:v>
      </x:c>
      <x:c r="K1634" s="16" t="n">
        <x:v>5</x:v>
      </x:c>
      <x:c r="L1634" s="16" t="n">
        <x:v>1</x:v>
      </x:c>
      <x:c r="M1634" s="16" t="n">
        <x:v>5</x:v>
      </x:c>
      <x:c r="N1634" s="16" t="n">
        <x:v>5</x:v>
      </x:c>
      <x:c r="O1634" s="16" t="n">
        <x:v>3</x:v>
      </x:c>
      <x:c r="P1634" s="16" t="n">
        <x:f>IF(COUNT(I1634:O1634)&lt;7,"",I1634*8+J1634*3+K1634*2+L1634*2+M1634*2+N1634*2+O1634)</x:f>
        <x:v>82</x:v>
      </x:c>
      <x:c r="Q1634" s="16" t="n">
        <x:f>IF(COUNT(J1634:O1634)&lt;6,"",J1634*5+K1634*4+M1634*4+L1634*3+N1634*2+O1634*2)</x:f>
        <x:v>84</x:v>
      </x:c>
      <x:c r="R1634" s="14" t="str">
        <x:v>high</x:v>
      </x:c>
      <x:c r="S1634" s="14" t="str">
        <x:v>official_prozorro_award_2024_2026</x:v>
      </x:c>
      <x:c r="T1634" s="14" t="str">
        <x:v>official_prozorro_api</x:v>
      </x:c>
      <x:c r="U1634" s="14" t="str">
        <x:v>Не контактували</x:v>
      </x:c>
      <x:c r="V1634" s="15" t="str">
        <x:v>Персоналізований free-pilot outreach по UA-2025-10-22-007915-a; попросити 1 пакет Н.15</x:v>
      </x:c>
      <x:c r="W1634" s="15" t="str">
        <x:v>Власник / директор; керівник ПТО; відповідальний за договори</x:v>
      </x:c>
      <x:c r="X1634" s="15" t="str">
        <x:v>1 нових підтверджених перемог/договорів у Prozorro на 75 799 грн; 0 зі строком виконання не раніше 24.08.2026.</x:v>
      </x:c>
      <x:c r="Y1634" s="15" t="str">
        <x:v>Монтаж блискавкозахисту  службово-житлового приміщення; опублікований строк до 2025-11-30. Попросити один знеособлений пакет здачі за цим workflow.</x:v>
      </x:c>
      <x:c r="Z1634" s="15" t="str">
        <x:v>https://prozorro.gov.ua/tender/UA-2025-10-22-007915-a</x:v>
      </x:c>
      <x:c r="AA1634" s="14" t="str">
        <x:v>32625847</x:v>
      </x:c>
      <x:c r="AB1634" s="14" t="str">
        <x:v>2026-08-24</x:v>
      </x:c>
      <x:c r="AC1634" s="14" t="str"/>
      <x:c r="AD1634" s="20" t="str"/>
      <x:c r="AE1634" s="14" t="str"/>
      <x:c r="AF1634" s="14" t="n">
        <x:v>30</x:v>
      </x:c>
      <x:c r="AG1634" s="14" t="str">
        <x:v>I3</x:v>
      </x:c>
      <x:c r="AH1634" s="14" t="n">
        <x:v>1</x:v>
      </x:c>
      <x:c r="AI1634" s="14" t="n">
        <x:v>0</x:v>
      </x:c>
      <x:c r="AJ1634" s="18" t="n">
        <x:v>75799.36</x:v>
      </x:c>
      <x:c r="AK1634" s="14" t="str">
        <x:v>https://prozorro.gov.ua/tender/UA-2025-10-22-007915-a</x:v>
      </x:c>
      <x:c r="AL1634" s="19" t="n">
        <x:v>45952.47452898148</x:v>
      </x:c>
      <x:c r="AM1634" s="19" t="n">
        <x:v>45991.48646990741</x:v>
      </x:c>
      <x:c r="AN1634" s="15" t="str">
        <x:v>Блискавкозахист / заземлення</x:v>
      </x:c>
      <x:c r="AO1634" s="15" t="str">
        <x:v>not_found_in_top_search</x:v>
      </x:c>
    </x:row>
    <x:row r="1635">
      <x:c r="A1635" s="14" t="str">
        <x:v>W5-263</x:v>
      </x:c>
      <x:c r="B1635" s="14" t="str">
        <x:v>Prozorro vertical expansion — 24.08</x:v>
      </x:c>
      <x:c r="C1635" s="14" t="str">
        <x:v>Приватне Підприємство Посейдон-Плюс</x:v>
      </x:c>
      <x:c r="D1635" s="14" t="str">
        <x:v>Резервне живлення</x:v>
      </x:c>
      <x:c r="E1635" s="14" t="str">
        <x:v>Pilot now</x:v>
      </x:c>
      <x:c r="F1635" s="17" t="str">
        <x:v>P3</x:v>
      </x:c>
      <x:c r="G1635" s="14" t="str"/>
      <x:c r="H1635" s="14" t="str">
        <x:v>Пілот зараз — Н.15 subset</x:v>
      </x:c>
      <x:c r="I1635" s="16" t="n">
        <x:v>4</x:v>
      </x:c>
      <x:c r="J1635" s="16" t="n">
        <x:v>5</x:v>
      </x:c>
      <x:c r="K1635" s="16" t="n">
        <x:v>5</x:v>
      </x:c>
      <x:c r="L1635" s="16" t="n">
        <x:v>1</x:v>
      </x:c>
      <x:c r="M1635" s="16" t="n">
        <x:v>5</x:v>
      </x:c>
      <x:c r="N1635" s="16" t="n">
        <x:v>5</x:v>
      </x:c>
      <x:c r="O1635" s="16" t="n">
        <x:v>3</x:v>
      </x:c>
      <x:c r="P1635" s="16" t="n">
        <x:f>IF(COUNT(I1635:O1635)&lt;7,"",I1635*8+J1635*3+K1635*2+L1635*2+M1635*2+N1635*2+O1635)</x:f>
        <x:v>82</x:v>
      </x:c>
      <x:c r="Q1635" s="16" t="n">
        <x:f>IF(COUNT(J1635:O1635)&lt;6,"",J1635*5+K1635*4+M1635*4+L1635*3+N1635*2+O1635*2)</x:f>
        <x:v>84</x:v>
      </x:c>
      <x:c r="R1635" s="14" t="str">
        <x:v>high</x:v>
      </x:c>
      <x:c r="S1635" s="14" t="str">
        <x:v>official_prozorro_award_2024_2026</x:v>
      </x:c>
      <x:c r="T1635" s="14" t="str">
        <x:v>official_prozorro_api</x:v>
      </x:c>
      <x:c r="U1635" s="14" t="str">
        <x:v>Не контактували</x:v>
      </x:c>
      <x:c r="V1635" s="15" t="str">
        <x:v>Персоналізований free-pilot outreach по UA-2025-10-13-010076-a; попросити 1 пакет Н.15</x:v>
      </x:c>
      <x:c r="W1635" s="15" t="str">
        <x:v>Власник / директор; керівник ПТО; відповідальний за договори</x:v>
      </x:c>
      <x:c r="X1635" s="15" t="str">
        <x:v>1 нових підтверджених перемог/договорів у Prozorro на 63 107 грн; 0 зі строком виконання не раніше 24.08.2026.</x:v>
      </x:c>
      <x:c r="Y1635" s="15" t="str">
        <x:v>Надання послуг з монтажу системи дистанційного моніторингу дизель-генераторної установки; опублікований строк до 2025-12-31. Попросити один знеособлений пакет здачі за цим workflow.</x:v>
      </x:c>
      <x:c r="Z1635" s="15" t="str">
        <x:v>https://prozorro.gov.ua/tender/UA-2025-10-13-010076-a</x:v>
      </x:c>
      <x:c r="AA1635" s="14" t="str">
        <x:v>36452270</x:v>
      </x:c>
      <x:c r="AB1635" s="14" t="str">
        <x:v>2026-08-24</x:v>
      </x:c>
      <x:c r="AC1635" s="14" t="str"/>
      <x:c r="AD1635" s="20" t="str"/>
      <x:c r="AE1635" s="14" t="str"/>
      <x:c r="AF1635" s="14" t="n">
        <x:v>30</x:v>
      </x:c>
      <x:c r="AG1635" s="14" t="str">
        <x:v>I3</x:v>
      </x:c>
      <x:c r="AH1635" s="14" t="n">
        <x:v>1</x:v>
      </x:c>
      <x:c r="AI1635" s="14" t="n">
        <x:v>0</x:v>
      </x:c>
      <x:c r="AJ1635" s="18" t="n">
        <x:v>63106.8</x:v>
      </x:c>
      <x:c r="AK1635" s="14" t="str">
        <x:v>https://prozorro.gov.ua/tender/UA-2025-10-13-010076-a</x:v>
      </x:c>
      <x:c r="AL1635" s="19" t="n">
        <x:v>45943.49901706019</x:v>
      </x:c>
      <x:c r="AM1635" s="19" t="n">
        <x:v>46022.916666655095</x:v>
      </x:c>
      <x:c r="AN1635" s="15" t="str">
        <x:v>Резервне живлення</x:v>
      </x:c>
      <x:c r="AO1635" s="15" t="str">
        <x:v>not_found_in_top_search</x:v>
      </x:c>
    </x:row>
    <x:row r="1636">
      <x:c r="A1636" s="14" t="str">
        <x:v>W5-264</x:v>
      </x:c>
      <x:c r="B1636" s="14" t="str">
        <x:v>Prozorro vertical expansion — 24.08</x:v>
      </x:c>
      <x:c r="C1636" s="14" t="str">
        <x:v>Тутік Дмитро Анатолійович</x:v>
      </x:c>
      <x:c r="D1636" s="14" t="str">
        <x:v>ВОЛЗ / телеком</x:v>
      </x:c>
      <x:c r="E1636" s="14" t="str">
        <x:v>Expansion discovery</x:v>
      </x:c>
      <x:c r="F1636" s="17" t="str">
        <x:v>D3</x:v>
      </x:c>
      <x:c r="G1636" s="14" t="str"/>
      <x:c r="H1636" s="14" t="str">
        <x:v>Discovery розширення — 2 тижні</x:v>
      </x:c>
      <x:c r="I1636" s="16" t="n">
        <x:v>1</x:v>
      </x:c>
      <x:c r="J1636" s="16" t="n">
        <x:v>5</x:v>
      </x:c>
      <x:c r="K1636" s="16" t="n">
        <x:v>5</x:v>
      </x:c>
      <x:c r="L1636" s="16" t="n">
        <x:v>1</x:v>
      </x:c>
      <x:c r="M1636" s="16" t="n">
        <x:v>5</x:v>
      </x:c>
      <x:c r="N1636" s="16" t="n">
        <x:v>3</x:v>
      </x:c>
      <x:c r="O1636" s="16" t="n">
        <x:v>3</x:v>
      </x:c>
      <x:c r="P1636" s="16" t="n">
        <x:f>IF(COUNT(I1636:O1636)&lt;7,"",I1636*8+J1636*3+K1636*2+L1636*2+M1636*2+N1636*2+O1636)</x:f>
        <x:v>54</x:v>
      </x:c>
      <x:c r="Q1636" s="16" t="n">
        <x:f>IF(COUNT(J1636:O1636)&lt;6,"",J1636*5+K1636*4+M1636*4+L1636*3+N1636*2+O1636*2)</x:f>
        <x:v>80</x:v>
      </x:c>
      <x:c r="R1636" s="14" t="str">
        <x:v>high</x:v>
      </x:c>
      <x:c r="S1636" s="14" t="str">
        <x:v>official_prozorro_award_2024_2026</x:v>
      </x:c>
      <x:c r="T1636" s="14" t="str">
        <x:v>official_prozorro_api</x:v>
      </x:c>
      <x:c r="U1636" s="14" t="str">
        <x:v>Не контактували</x:v>
      </x:c>
      <x:c r="V1636" s="15" t="str">
        <x:v>Workflow-audit outreach по UA-2025-12-15-023185-a; попросити 1 пакет здачі та вимоги проєкту</x:v>
      </x:c>
      <x:c r="W1636" s="15" t="str">
        <x:v>Власник / виконавець; відповідальний за договір</x:v>
      </x:c>
      <x:c r="X1636" s="15" t="str">
        <x:v>1 нових підтверджених перемог/договорів у Prozorro на 42 485 грн; 0 зі строком виконання не раніше 24.08.2026.</x:v>
      </x:c>
      <x:c r="Y1636" s="15" t="str">
        <x:v>Послуги з прокладання локальних мереж, встановлення та підключення
мережевого обладнання для доступу до мережі інтернет „встановлення Wi-Fi мереж в
приміщенні амбулаторії роботи з прокладання, монтажу пусконаладки телекомунікаційної мережі (в подальшому - «Роботи») у приміщенні Богданівській амбулаторії ( А ЗПСМ) (надалі
-«Об'єкт»), що розташоване за адресою: вулбогдна Хмельницького 124, с. Богданівка, Броваського району, Київської обл,; опублікований строк до 2025-12-31. Попросити один знеособлений пакет здачі за цим workflow.</x:v>
      </x:c>
      <x:c r="Z1636" s="15" t="str">
        <x:v>https://prozorro.gov.ua/tender/UA-2025-12-15-023185-a</x:v>
      </x:c>
      <x:c r="AA1636" s="14" t="str">
        <x:v>3462004832</x:v>
      </x:c>
      <x:c r="AB1636" s="14" t="str">
        <x:v>2026-08-24</x:v>
      </x:c>
      <x:c r="AC1636" s="14" t="str"/>
      <x:c r="AD1636" s="20" t="str"/>
      <x:c r="AE1636" s="14" t="str"/>
      <x:c r="AF1636" s="14" t="n">
        <x:v>30</x:v>
      </x:c>
      <x:c r="AG1636" s="14" t="str">
        <x:v>I3</x:v>
      </x:c>
      <x:c r="AH1636" s="14" t="n">
        <x:v>1</x:v>
      </x:c>
      <x:c r="AI1636" s="14" t="n">
        <x:v>0</x:v>
      </x:c>
      <x:c r="AJ1636" s="18" t="n">
        <x:v>42485</x:v>
      </x:c>
      <x:c r="AK1636" s="14" t="str">
        <x:v>https://prozorro.gov.ua/tender/UA-2025-12-15-023185-a</x:v>
      </x:c>
      <x:c r="AL1636" s="19" t="n">
        <x:v>46006.70344295139</x:v>
      </x:c>
      <x:c r="AM1636" s="19" t="n">
        <x:v>46022</x:v>
      </x:c>
      <x:c r="AN1636" s="15" t="str">
        <x:v>ВОЛЗ / телеком</x:v>
      </x:c>
      <x:c r="AO1636" s="15" t="str">
        <x:v>not_found_in_top_search</x:v>
      </x:c>
    </x:row>
    <x:row r="1637">
      <x:c r="A1637" s="14" t="str">
        <x:v>W5-265</x:v>
      </x:c>
      <x:c r="B1637" s="14" t="str">
        <x:v>Prozorro vertical expansion — 24.08</x:v>
      </x:c>
      <x:c r="C1637" s="14" t="str">
        <x:v>ТОВ "АНТЕЙ-СПЕЦСЕРВІС"</x:v>
      </x:c>
      <x:c r="D1637" s="14" t="str">
        <x:v>Блискавкозахист / заземлення</x:v>
      </x:c>
      <x:c r="E1637" s="14" t="str">
        <x:v>Pilot now</x:v>
      </x:c>
      <x:c r="F1637" s="17" t="str">
        <x:v>P3</x:v>
      </x:c>
      <x:c r="G1637" s="14" t="str"/>
      <x:c r="H1637" s="14" t="str">
        <x:v>Пілот зараз — Н.15 subset</x:v>
      </x:c>
      <x:c r="I1637" s="16" t="n">
        <x:v>4</x:v>
      </x:c>
      <x:c r="J1637" s="16" t="n">
        <x:v>5</x:v>
      </x:c>
      <x:c r="K1637" s="16" t="n">
        <x:v>5</x:v>
      </x:c>
      <x:c r="L1637" s="16" t="n">
        <x:v>1</x:v>
      </x:c>
      <x:c r="M1637" s="16" t="n">
        <x:v>5</x:v>
      </x:c>
      <x:c r="N1637" s="16" t="n">
        <x:v>5</x:v>
      </x:c>
      <x:c r="O1637" s="16" t="n">
        <x:v>3</x:v>
      </x:c>
      <x:c r="P1637" s="16" t="n">
        <x:f>IF(COUNT(I1637:O1637)&lt;7,"",I1637*8+J1637*3+K1637*2+L1637*2+M1637*2+N1637*2+O1637)</x:f>
        <x:v>82</x:v>
      </x:c>
      <x:c r="Q1637" s="16" t="n">
        <x:f>IF(COUNT(J1637:O1637)&lt;6,"",J1637*5+K1637*4+M1637*4+L1637*3+N1637*2+O1637*2)</x:f>
        <x:v>84</x:v>
      </x:c>
      <x:c r="R1637" s="14" t="str">
        <x:v>high</x:v>
      </x:c>
      <x:c r="S1637" s="14" t="str">
        <x:v>official_prozorro_award_2024_2026</x:v>
      </x:c>
      <x:c r="T1637" s="14" t="str">
        <x:v>official_prozorro_api</x:v>
      </x:c>
      <x:c r="U1637" s="14" t="str">
        <x:v>Не контактували</x:v>
      </x:c>
      <x:c r="V1637" s="15" t="str">
        <x:v>Персоналізований free-pilot outreach по UA-2025-11-10-006940-a; попросити 1 пакет Н.15</x:v>
      </x:c>
      <x:c r="W1637" s="15" t="str">
        <x:v>Власник / директор; керівник ПТО; відповідальний за договори</x:v>
      </x:c>
      <x:c r="X1637" s="15" t="str">
        <x:v>1 нових підтверджених перемог/договорів у Prozorro на 40 618 грн; 0 зі строком виконання не раніше 24.08.2026.</x:v>
      </x:c>
      <x:c r="Y1637" s="15" t="str">
        <x:v>Послуги з монтажу системи блискавкозахисту будівлі Центру соціальних служб Одеської міської ради за адресою:  вул. Івана та Юрія Лип, 38а; опублікований строк до 2025-12-05. Попросити один знеособлений пакет здачі за цим workflow.</x:v>
      </x:c>
      <x:c r="Z1637" s="15" t="str">
        <x:v>https://prozorro.gov.ua/tender/UA-2025-11-10-006940-a</x:v>
      </x:c>
      <x:c r="AA1637" s="14" t="str">
        <x:v>38479823</x:v>
      </x:c>
      <x:c r="AB1637" s="14" t="str">
        <x:v>2026-08-24</x:v>
      </x:c>
      <x:c r="AC1637" s="14" t="str"/>
      <x:c r="AD1637" s="20" t="str"/>
      <x:c r="AE1637" s="14" t="str"/>
      <x:c r="AF1637" s="14" t="n">
        <x:v>30</x:v>
      </x:c>
      <x:c r="AG1637" s="14" t="str">
        <x:v>I3</x:v>
      </x:c>
      <x:c r="AH1637" s="14" t="n">
        <x:v>1</x:v>
      </x:c>
      <x:c r="AI1637" s="14" t="n">
        <x:v>0</x:v>
      </x:c>
      <x:c r="AJ1637" s="18" t="n">
        <x:v>40617.8</x:v>
      </x:c>
      <x:c r="AK1637" s="14" t="str">
        <x:v>https://prozorro.gov.ua/tender/UA-2025-11-10-006940-a</x:v>
      </x:c>
      <x:c r="AL1637" s="19" t="n">
        <x:v>45971.4601587963</x:v>
      </x:c>
      <x:c r="AM1637" s="19" t="n">
        <x:v>45996</x:v>
      </x:c>
      <x:c r="AN1637" s="15" t="str">
        <x:v>Блискавкозахист / заземлення</x:v>
      </x:c>
      <x:c r="AO1637" s="15" t="str">
        <x:v>not_found_in_top_search</x:v>
      </x:c>
    </x:row>
    <x:row r="1638">
      <x:c r="A1638" s="14" t="str">
        <x:v>W5-266</x:v>
      </x:c>
      <x:c r="B1638" s="14" t="str">
        <x:v>Prozorro vertical expansion — 24.08</x:v>
      </x:c>
      <x:c r="C1638" s="14" t="str">
        <x:v>ТОВАРИСТВО З ОБМЕЖЕНОЮ ВІДПОВІДАЛЬНІСТЮ "ТОРГОВИЙ ДІМ "ГРАНТЕКС"</x:v>
      </x:c>
      <x:c r="D1638" s="14" t="str">
        <x:v>Резервне живлення</x:v>
      </x:c>
      <x:c r="E1638" s="14" t="str">
        <x:v>Pilot now</x:v>
      </x:c>
      <x:c r="F1638" s="17" t="str">
        <x:v>P3</x:v>
      </x:c>
      <x:c r="G1638" s="14" t="str"/>
      <x:c r="H1638" s="14" t="str">
        <x:v>Пілот зараз — Н.15 subset</x:v>
      </x:c>
      <x:c r="I1638" s="16" t="n">
        <x:v>4</x:v>
      </x:c>
      <x:c r="J1638" s="16" t="n">
        <x:v>5</x:v>
      </x:c>
      <x:c r="K1638" s="16" t="n">
        <x:v>5</x:v>
      </x:c>
      <x:c r="L1638" s="16" t="n">
        <x:v>1</x:v>
      </x:c>
      <x:c r="M1638" s="16" t="n">
        <x:v>5</x:v>
      </x:c>
      <x:c r="N1638" s="16" t="n">
        <x:v>5</x:v>
      </x:c>
      <x:c r="O1638" s="16" t="n">
        <x:v>3</x:v>
      </x:c>
      <x:c r="P1638" s="16" t="n">
        <x:f>IF(COUNT(I1638:O1638)&lt;7,"",I1638*8+J1638*3+K1638*2+L1638*2+M1638*2+N1638*2+O1638)</x:f>
        <x:v>82</x:v>
      </x:c>
      <x:c r="Q1638" s="16" t="n">
        <x:f>IF(COUNT(J1638:O1638)&lt;6,"",J1638*5+K1638*4+M1638*4+L1638*3+N1638*2+O1638*2)</x:f>
        <x:v>84</x:v>
      </x:c>
      <x:c r="R1638" s="14" t="str">
        <x:v>high</x:v>
      </x:c>
      <x:c r="S1638" s="14" t="str">
        <x:v>official_prozorro_award_2024_2026</x:v>
      </x:c>
      <x:c r="T1638" s="14" t="str">
        <x:v>official_prozorro_api</x:v>
      </x:c>
      <x:c r="U1638" s="14" t="str">
        <x:v>Не контактували</x:v>
      </x:c>
      <x:c r="V1638" s="15" t="str">
        <x:v>Персоналізований free-pilot outreach по UA-2025-11-27-001991-a; попросити 1 пакет Н.15</x:v>
      </x:c>
      <x:c r="W1638" s="15" t="str">
        <x:v>Власник / директор; керівник ПТО; відповідальний за договори</x:v>
      </x:c>
      <x:c r="X1638" s="15" t="str">
        <x:v>1 нових підтверджених перемог/договорів у Prozorro на 29 317 грн; 0 зі строком виконання не раніше 24.08.2026.</x:v>
      </x:c>
      <x:c r="Y1638" s="15" t="str">
        <x:v>Комплекетуючі для монтажу аварійної системи живленнята облаштування щитової для дизель-генератора  ( код за ЄЗС ДК 021:2015 31230000-7 Частини електророзподільної чи контрольної апаратури); опублікований строк до 2025-12-31. Попросити один знеособлений пакет здачі за цим workflow.</x:v>
      </x:c>
      <x:c r="Z1638" s="15" t="str">
        <x:v>https://prozorro.gov.ua/tender/UA-2025-11-27-001991-a</x:v>
      </x:c>
      <x:c r="AA1638" s="14" t="str">
        <x:v>41568106</x:v>
      </x:c>
      <x:c r="AB1638" s="14" t="str">
        <x:v>2026-08-24</x:v>
      </x:c>
      <x:c r="AC1638" s="14" t="str"/>
      <x:c r="AD1638" s="20" t="str"/>
      <x:c r="AE1638" s="14" t="str"/>
      <x:c r="AF1638" s="14" t="n">
        <x:v>30</x:v>
      </x:c>
      <x:c r="AG1638" s="14" t="str">
        <x:v>I3</x:v>
      </x:c>
      <x:c r="AH1638" s="14" t="n">
        <x:v>1</x:v>
      </x:c>
      <x:c r="AI1638" s="14" t="n">
        <x:v>0</x:v>
      </x:c>
      <x:c r="AJ1638" s="18" t="n">
        <x:v>29316.6</x:v>
      </x:c>
      <x:c r="AK1638" s="14" t="str">
        <x:v>https://prozorro.gov.ua/tender/UA-2025-11-27-001991-a</x:v>
      </x:c>
      <x:c r="AL1638" s="19" t="n">
        <x:v>45988.32611224537</x:v>
      </x:c>
      <x:c r="AM1638" s="19" t="n">
        <x:v>46022</x:v>
      </x:c>
      <x:c r="AN1638" s="15" t="str">
        <x:v>Резервне живлення</x:v>
      </x:c>
      <x:c r="AO1638" s="15" t="str">
        <x:v>not_found_in_top_search</x:v>
      </x:c>
    </x:row>
    <x:row r="1639">
      <x:c r="A1639" s="14" t="str">
        <x:v>W5-267</x:v>
      </x:c>
      <x:c r="B1639" s="14" t="str">
        <x:v>Prozorro vertical expansion — 24.08</x:v>
      </x:c>
      <x:c r="C1639" s="14" t="str">
        <x:v>ТОВ "ФУТУРА ГЕЙТ"</x:v>
      </x:c>
      <x:c r="D1639" s="14" t="str">
        <x:v>Промислові ворота / докове обладнання</x:v>
      </x:c>
      <x:c r="E1639" s="14" t="str">
        <x:v>Expansion discovery</x:v>
      </x:c>
      <x:c r="F1639" s="17" t="str">
        <x:v>D3</x:v>
      </x:c>
      <x:c r="G1639" s="14" t="str"/>
      <x:c r="H1639" s="14" t="str">
        <x:v>Discovery розширення — 2 тижні</x:v>
      </x:c>
      <x:c r="I1639" s="16" t="n">
        <x:v>1</x:v>
      </x:c>
      <x:c r="J1639" s="16" t="n">
        <x:v>5</x:v>
      </x:c>
      <x:c r="K1639" s="16" t="n">
        <x:v>4</x:v>
      </x:c>
      <x:c r="L1639" s="16" t="n">
        <x:v>1</x:v>
      </x:c>
      <x:c r="M1639" s="16" t="n">
        <x:v>5</x:v>
      </x:c>
      <x:c r="N1639" s="16" t="n">
        <x:v>5</x:v>
      </x:c>
      <x:c r="O1639" s="16" t="n">
        <x:v>3</x:v>
      </x:c>
      <x:c r="P1639" s="16" t="n">
        <x:f>IF(COUNT(I1639:O1639)&lt;7,"",I1639*8+J1639*3+K1639*2+L1639*2+M1639*2+N1639*2+O1639)</x:f>
        <x:v>56</x:v>
      </x:c>
      <x:c r="Q1639" s="16" t="n">
        <x:f>IF(COUNT(J1639:O1639)&lt;6,"",J1639*5+K1639*4+M1639*4+L1639*3+N1639*2+O1639*2)</x:f>
        <x:v>80</x:v>
      </x:c>
      <x:c r="R1639" s="14" t="str">
        <x:v>high</x:v>
      </x:c>
      <x:c r="S1639" s="14" t="str">
        <x:v>official_prozorro_award_2024_2026</x:v>
      </x:c>
      <x:c r="T1639" s="14" t="str">
        <x:v>official_prozorro_api</x:v>
      </x:c>
      <x:c r="U1639" s="14" t="str">
        <x:v>Не контактували</x:v>
      </x:c>
      <x:c r="V1639" s="15" t="str">
        <x:v>Workflow-audit outreach по UA-2025-12-09-011789-a; попросити 1 пакет здачі та вимоги проєкту</x:v>
      </x:c>
      <x:c r="W1639" s="15" t="str">
        <x:v>Власник / директор; керівник ПТО; відповідальний за договори</x:v>
      </x:c>
      <x:c r="X1639" s="15" t="str">
        <x:v>1 нових підтверджених перемог/договорів у Prozorro на 24 000 грн; 0 зі строком виконання не раніше 24.08.2026.</x:v>
      </x:c>
      <x:c r="Y1639" s="15" t="str">
        <x:v>Послуги з встановлення промислових секційних воріт за кодом ДК 021:2015 45340000-2 "Зведення огорож, монтаж поручнів і захисних засобів"; опублікований строк до 2025-12-31. Попросити один знеособлений пакет здачі за цим workflow.</x:v>
      </x:c>
      <x:c r="Z1639" s="15" t="str">
        <x:v>https://prozorro.gov.ua/tender/UA-2025-12-09-011789-a</x:v>
      </x:c>
      <x:c r="AA1639" s="14" t="str">
        <x:v>44752752</x:v>
      </x:c>
      <x:c r="AB1639" s="14" t="str">
        <x:v>2026-08-24</x:v>
      </x:c>
      <x:c r="AC1639" s="14" t="str"/>
      <x:c r="AD1639" s="20" t="str"/>
      <x:c r="AE1639" s="14" t="str"/>
      <x:c r="AF1639" s="14" t="n">
        <x:v>30</x:v>
      </x:c>
      <x:c r="AG1639" s="14" t="str">
        <x:v>I3</x:v>
      </x:c>
      <x:c r="AH1639" s="14" t="n">
        <x:v>1</x:v>
      </x:c>
      <x:c r="AI1639" s="14" t="n">
        <x:v>0</x:v>
      </x:c>
      <x:c r="AJ1639" s="18" t="n">
        <x:v>24000</x:v>
      </x:c>
      <x:c r="AK1639" s="14" t="str">
        <x:v>https://prozorro.gov.ua/tender/UA-2025-12-09-011789-a</x:v>
      </x:c>
      <x:c r="AL1639" s="19" t="n">
        <x:v>46000.49274008102</x:v>
      </x:c>
      <x:c r="AM1639" s="19" t="n">
        <x:v>46022.916666655095</x:v>
      </x:c>
      <x:c r="AN1639" s="15" t="str">
        <x:v>Промислові ворота / докове обладнання</x:v>
      </x:c>
      <x:c r="AO1639" s="15" t="str">
        <x:v>not_found_in_top_search</x:v>
      </x:c>
    </x:row>
    <x:row r="1640">
      <x:c r="A1640" s="14" t="str">
        <x:v>W5-268</x:v>
      </x:c>
      <x:c r="B1640" s="14" t="str">
        <x:v>Prozorro vertical expansion — 24.08</x:v>
      </x:c>
      <x:c r="C1640" s="14" t="str">
        <x:v>БАЄВ ГЕННАДІЙ АНАТОЛІЙОВИЧ</x:v>
      </x:c>
      <x:c r="D1640" s="14" t="str">
        <x:v>ВОЛЗ / телеком</x:v>
      </x:c>
      <x:c r="E1640" s="14" t="str">
        <x:v>Expansion discovery</x:v>
      </x:c>
      <x:c r="F1640" s="17" t="str">
        <x:v>D3</x:v>
      </x:c>
      <x:c r="G1640" s="14" t="str"/>
      <x:c r="H1640" s="14" t="str">
        <x:v>Discovery розширення — 2 тижні</x:v>
      </x:c>
      <x:c r="I1640" s="16" t="n">
        <x:v>1</x:v>
      </x:c>
      <x:c r="J1640" s="16" t="n">
        <x:v>5</x:v>
      </x:c>
      <x:c r="K1640" s="16" t="n">
        <x:v>5</x:v>
      </x:c>
      <x:c r="L1640" s="16" t="n">
        <x:v>1</x:v>
      </x:c>
      <x:c r="M1640" s="16" t="n">
        <x:v>5</x:v>
      </x:c>
      <x:c r="N1640" s="16" t="n">
        <x:v>3</x:v>
      </x:c>
      <x:c r="O1640" s="16" t="n">
        <x:v>3</x:v>
      </x:c>
      <x:c r="P1640" s="16" t="n">
        <x:f>IF(COUNT(I1640:O1640)&lt;7,"",I1640*8+J1640*3+K1640*2+L1640*2+M1640*2+N1640*2+O1640)</x:f>
        <x:v>54</x:v>
      </x:c>
      <x:c r="Q1640" s="16" t="n">
        <x:f>IF(COUNT(J1640:O1640)&lt;6,"",J1640*5+K1640*4+M1640*4+L1640*3+N1640*2+O1640*2)</x:f>
        <x:v>80</x:v>
      </x:c>
      <x:c r="R1640" s="14" t="str">
        <x:v>high</x:v>
      </x:c>
      <x:c r="S1640" s="14" t="str">
        <x:v>official_prozorro_award_2024_2026</x:v>
      </x:c>
      <x:c r="T1640" s="14" t="str">
        <x:v>official_prozorro_api</x:v>
      </x:c>
      <x:c r="U1640" s="14" t="str">
        <x:v>Не контактували</x:v>
      </x:c>
      <x:c r="V1640" s="15" t="str">
        <x:v>Workflow-audit outreach по UA-2025-04-22-000932-a; попросити 1 пакет здачі та вимоги проєкту</x:v>
      </x:c>
      <x:c r="W1640" s="15" t="str">
        <x:v>Власник / виконавець; відповідальний за договір</x:v>
      </x:c>
      <x:c r="X1640" s="15" t="str">
        <x:v>1 нових підтверджених перемог/договорів у Prozorro на 19 400 грн; 0 зі строком виконання не раніше 24.08.2026.</x:v>
      </x:c>
      <x:c r="Y1640" s="15" t="str">
        <x:v>Послуги з монтажу та налаштуванню локальної телекомунікаційної мережі системи передачі даних:36004, м. Полтава, пров. Рибальський,10-В; опублікований строк до 2025-05-22. Попросити один знеособлений пакет здачі за цим workflow.</x:v>
      </x:c>
      <x:c r="Z1640" s="15" t="str">
        <x:v>https://prozorro.gov.ua/tender/UA-2025-04-22-000932-a</x:v>
      </x:c>
      <x:c r="AA1640" s="14" t="str">
        <x:v>2674621233</x:v>
      </x:c>
      <x:c r="AB1640" s="14" t="str">
        <x:v>2026-08-24</x:v>
      </x:c>
      <x:c r="AC1640" s="14" t="str"/>
      <x:c r="AD1640" s="20" t="str"/>
      <x:c r="AE1640" s="14" t="str"/>
      <x:c r="AF1640" s="14" t="n">
        <x:v>30</x:v>
      </x:c>
      <x:c r="AG1640" s="14" t="str">
        <x:v>I3</x:v>
      </x:c>
      <x:c r="AH1640" s="14" t="n">
        <x:v>1</x:v>
      </x:c>
      <x:c r="AI1640" s="14" t="n">
        <x:v>0</x:v>
      </x:c>
      <x:c r="AJ1640" s="18" t="n">
        <x:v>19400</x:v>
      </x:c>
      <x:c r="AK1640" s="14" t="str">
        <x:v>https://prozorro.gov.ua/tender/UA-2025-04-22-000932-a</x:v>
      </x:c>
      <x:c r="AL1640" s="19" t="n">
        <x:v>45769.272919953706</x:v>
      </x:c>
      <x:c r="AM1640" s="19" t="n">
        <x:v>45799</x:v>
      </x:c>
      <x:c r="AN1640" s="15" t="str">
        <x:v>ВОЛЗ / телеком</x:v>
      </x:c>
      <x:c r="AO1640" s="15" t="str">
        <x:v>not_found_in_top_search</x:v>
      </x:c>
    </x:row>
    <x:row r="1641">
      <x:c r="A1641" s="14" t="str">
        <x:v>W5-269</x:v>
      </x:c>
      <x:c r="B1641" s="14" t="str">
        <x:v>Prozorro vertical expansion — 24.08</x:v>
      </x:c>
      <x:c r="C1641" s="14" t="str">
        <x:v>ТОВАРИСТВО З ОБМЕЖЕНОЮ ВІДПОВІДАЛЬНІСТЮ "АВІЄВ І К"</x:v>
      </x:c>
      <x:c r="D1641" s="14" t="str">
        <x:v>Блискавкозахист / заземлення</x:v>
      </x:c>
      <x:c r="E1641" s="14" t="str">
        <x:v>Pilot now</x:v>
      </x:c>
      <x:c r="F1641" s="17" t="str">
        <x:v>P3</x:v>
      </x:c>
      <x:c r="G1641" s="14" t="str"/>
      <x:c r="H1641" s="14" t="str">
        <x:v>Пілот зараз — Н.15 subset</x:v>
      </x:c>
      <x:c r="I1641" s="16" t="n">
        <x:v>4</x:v>
      </x:c>
      <x:c r="J1641" s="16" t="n">
        <x:v>5</x:v>
      </x:c>
      <x:c r="K1641" s="16" t="n">
        <x:v>5</x:v>
      </x:c>
      <x:c r="L1641" s="16" t="n">
        <x:v>1</x:v>
      </x:c>
      <x:c r="M1641" s="16" t="n">
        <x:v>5</x:v>
      </x:c>
      <x:c r="N1641" s="16" t="n">
        <x:v>5</x:v>
      </x:c>
      <x:c r="O1641" s="16" t="n">
        <x:v>3</x:v>
      </x:c>
      <x:c r="P1641" s="16" t="n">
        <x:f>IF(COUNT(I1641:O1641)&lt;7,"",I1641*8+J1641*3+K1641*2+L1641*2+M1641*2+N1641*2+O1641)</x:f>
        <x:v>82</x:v>
      </x:c>
      <x:c r="Q1641" s="16" t="n">
        <x:f>IF(COUNT(J1641:O1641)&lt;6,"",J1641*5+K1641*4+M1641*4+L1641*3+N1641*2+O1641*2)</x:f>
        <x:v>84</x:v>
      </x:c>
      <x:c r="R1641" s="14" t="str">
        <x:v>high</x:v>
      </x:c>
      <x:c r="S1641" s="14" t="str">
        <x:v>official_prozorro_award_2024_2026</x:v>
      </x:c>
      <x:c r="T1641" s="14" t="str">
        <x:v>official_prozorro_api</x:v>
      </x:c>
      <x:c r="U1641" s="14" t="str">
        <x:v>Не контактували</x:v>
      </x:c>
      <x:c r="V1641" s="15" t="str">
        <x:v>Персоналізований free-pilot outreach по UA-2025-08-26-006961-a; попросити 1 пакет Н.15</x:v>
      </x:c>
      <x:c r="W1641" s="15" t="str">
        <x:v>Власник / директор; керівник ПТО; відповідальний за договори</x:v>
      </x:c>
      <x:c r="X1641" s="15" t="str">
        <x:v>1 нових підтверджених перемог/договорів у Prozorro на 17 600 грн; 0 зі строком виконання не раніше 24.08.2026.</x:v>
      </x:c>
      <x:c r="Y1641" s="15" t="str">
        <x:v>Про надання послуз з інженерного проектування - проект на монтаж пристроїв блискавкозахисту; опублікований строк до 2025-12-31. Попросити один знеособлений пакет здачі за цим workflow.</x:v>
      </x:c>
      <x:c r="Z1641" s="15" t="str">
        <x:v>https://prozorro.gov.ua/tender/UA-2025-08-26-006961-a</x:v>
      </x:c>
      <x:c r="AA1641" s="14" t="str">
        <x:v>41766343</x:v>
      </x:c>
      <x:c r="AB1641" s="14" t="str">
        <x:v>2026-08-24</x:v>
      </x:c>
      <x:c r="AC1641" s="14" t="str"/>
      <x:c r="AD1641" s="20" t="str"/>
      <x:c r="AE1641" s="14" t="str"/>
      <x:c r="AF1641" s="14" t="n">
        <x:v>30</x:v>
      </x:c>
      <x:c r="AG1641" s="14" t="str">
        <x:v>I3</x:v>
      </x:c>
      <x:c r="AH1641" s="14" t="n">
        <x:v>1</x:v>
      </x:c>
      <x:c r="AI1641" s="14" t="n">
        <x:v>0</x:v>
      </x:c>
      <x:c r="AJ1641" s="18" t="n">
        <x:v>17600</x:v>
      </x:c>
      <x:c r="AK1641" s="14" t="str">
        <x:v>https://prozorro.gov.ua/tender/UA-2025-08-26-006961-a</x:v>
      </x:c>
      <x:c r="AL1641" s="19" t="n">
        <x:v>45895.45265559028</x:v>
      </x:c>
      <x:c r="AM1641" s="19" t="n">
        <x:v>46022</x:v>
      </x:c>
      <x:c r="AN1641" s="15" t="str">
        <x:v>Блискавкозахист / заземлення</x:v>
      </x:c>
      <x:c r="AO1641" s="15" t="str">
        <x:v>not_found_in_top_search</x:v>
      </x:c>
    </x:row>
    <x:row r="1642">
      <x:c r="A1642" s="14" t="str">
        <x:v>W5-270</x:v>
      </x:c>
      <x:c r="B1642" s="14" t="str">
        <x:v>Prozorro vertical expansion — 24.08</x:v>
      </x:c>
      <x:c r="C1642" s="14" t="str">
        <x:v>ЛЕВЧЕНКО ВОЛОДИМИР ПЕТРОВИЧ</x:v>
      </x:c>
      <x:c r="D1642" s="14" t="str">
        <x:v>Промисловий холод</x:v>
      </x:c>
      <x:c r="E1642" s="14" t="str">
        <x:v>Expansion discovery</x:v>
      </x:c>
      <x:c r="F1642" s="17" t="str">
        <x:v>D3</x:v>
      </x:c>
      <x:c r="G1642" s="14" t="str"/>
      <x:c r="H1642" s="14" t="str">
        <x:v>Discovery розширення — 2 тижні</x:v>
      </x:c>
      <x:c r="I1642" s="16" t="n">
        <x:v>1</x:v>
      </x:c>
      <x:c r="J1642" s="16" t="n">
        <x:v>5</x:v>
      </x:c>
      <x:c r="K1642" s="16" t="n">
        <x:v>5</x:v>
      </x:c>
      <x:c r="L1642" s="16" t="n">
        <x:v>1</x:v>
      </x:c>
      <x:c r="M1642" s="16" t="n">
        <x:v>5</x:v>
      </x:c>
      <x:c r="N1642" s="16" t="n">
        <x:v>3</x:v>
      </x:c>
      <x:c r="O1642" s="16" t="n">
        <x:v>3</x:v>
      </x:c>
      <x:c r="P1642" s="16" t="n">
        <x:f>IF(COUNT(I1642:O1642)&lt;7,"",I1642*8+J1642*3+K1642*2+L1642*2+M1642*2+N1642*2+O1642)</x:f>
        <x:v>54</x:v>
      </x:c>
      <x:c r="Q1642" s="16" t="n">
        <x:f>IF(COUNT(J1642:O1642)&lt;6,"",J1642*5+K1642*4+M1642*4+L1642*3+N1642*2+O1642*2)</x:f>
        <x:v>80</x:v>
      </x:c>
      <x:c r="R1642" s="14" t="str">
        <x:v>high</x:v>
      </x:c>
      <x:c r="S1642" s="14" t="str">
        <x:v>official_prozorro_award_2024_2026</x:v>
      </x:c>
      <x:c r="T1642" s="14" t="str">
        <x:v>official_prozorro_api</x:v>
      </x:c>
      <x:c r="U1642" s="14" t="str">
        <x:v>Не контактували</x:v>
      </x:c>
      <x:c r="V1642" s="15" t="str">
        <x:v>Workflow-audit outreach по UA-2025-07-08-007028-a; попросити 1 пакет здачі та вимоги проєкту</x:v>
      </x:c>
      <x:c r="W1642" s="15" t="str">
        <x:v>Власник / виконавець; відповідальний за договір</x:v>
      </x:c>
      <x:c r="X1642" s="15" t="str">
        <x:v>1 нових підтверджених перемог/договорів у Prozorro на 15 600 грн; 0 зі строком виконання не раніше 24.08.2026.</x:v>
      </x:c>
      <x:c r="Y1642" s="15" t="str">
        <x:v>Послуги по монтажу холодильного обладнання на харчоблоці; опублікований строк до 2025-12-31. Попросити один знеособлений пакет здачі за цим workflow.</x:v>
      </x:c>
      <x:c r="Z1642" s="15" t="str">
        <x:v>https://prozorro.gov.ua/tender/UA-2025-07-08-007028-a</x:v>
      </x:c>
      <x:c r="AA1642" s="14" t="str">
        <x:v>2346104832</x:v>
      </x:c>
      <x:c r="AB1642" s="14" t="str">
        <x:v>2026-08-24</x:v>
      </x:c>
      <x:c r="AC1642" s="14" t="str"/>
      <x:c r="AD1642" s="20" t="str"/>
      <x:c r="AE1642" s="14" t="str"/>
      <x:c r="AF1642" s="14" t="n">
        <x:v>30</x:v>
      </x:c>
      <x:c r="AG1642" s="14" t="str">
        <x:v>I3</x:v>
      </x:c>
      <x:c r="AH1642" s="14" t="n">
        <x:v>1</x:v>
      </x:c>
      <x:c r="AI1642" s="14" t="n">
        <x:v>0</x:v>
      </x:c>
      <x:c r="AJ1642" s="18" t="n">
        <x:v>15600</x:v>
      </x:c>
      <x:c r="AK1642" s="14" t="str">
        <x:v>https://prozorro.gov.ua/tender/UA-2025-07-08-007028-a</x:v>
      </x:c>
      <x:c r="AL1642" s="19" t="n">
        <x:v>45846.47804966435</x:v>
      </x:c>
      <x:c r="AM1642" s="19" t="n">
        <x:v>46022</x:v>
      </x:c>
      <x:c r="AN1642" s="15" t="str">
        <x:v>Промисловий холод</x:v>
      </x:c>
      <x:c r="AO1642" s="15" t="str">
        <x:v>not_found_in_top_search</x:v>
      </x:c>
    </x:row>
    <x:row r="1643">
      <x:c r="A1643" s="14" t="str">
        <x:v>W5-271</x:v>
      </x:c>
      <x:c r="B1643" s="14" t="str">
        <x:v>Prozorro vertical expansion — 24.08</x:v>
      </x:c>
      <x:c r="C1643" s="14" t="str">
        <x:v>ПРИВАТНЕ ПІДПРИЄМСТВО "ЛАБОРАТОРІЯ ЗАХІДДОРСЕРВІС"</x:v>
      </x:c>
      <x:c r="D1643" s="14" t="str">
        <x:v>Залізнична інфраструктура</x:v>
      </x:c>
      <x:c r="E1643" s="14" t="str">
        <x:v>Expansion discovery</x:v>
      </x:c>
      <x:c r="F1643" s="17" t="str">
        <x:v>D3</x:v>
      </x:c>
      <x:c r="G1643" s="14" t="str"/>
      <x:c r="H1643" s="14" t="str">
        <x:v>Discovery розширення — 2 тижні</x:v>
      </x:c>
      <x:c r="I1643" s="16" t="n">
        <x:v>1</x:v>
      </x:c>
      <x:c r="J1643" s="16" t="n">
        <x:v>5</x:v>
      </x:c>
      <x:c r="K1643" s="16" t="n">
        <x:v>5</x:v>
      </x:c>
      <x:c r="L1643" s="16" t="n">
        <x:v>1</x:v>
      </x:c>
      <x:c r="M1643" s="16" t="n">
        <x:v>5</x:v>
      </x:c>
      <x:c r="N1643" s="16" t="n">
        <x:v>5</x:v>
      </x:c>
      <x:c r="O1643" s="16" t="n">
        <x:v>3</x:v>
      </x:c>
      <x:c r="P1643" s="16" t="n">
        <x:f>IF(COUNT(I1643:O1643)&lt;7,"",I1643*8+J1643*3+K1643*2+L1643*2+M1643*2+N1643*2+O1643)</x:f>
        <x:v>58</x:v>
      </x:c>
      <x:c r="Q1643" s="16" t="n">
        <x:f>IF(COUNT(J1643:O1643)&lt;6,"",J1643*5+K1643*4+M1643*4+L1643*3+N1643*2+O1643*2)</x:f>
        <x:v>84</x:v>
      </x:c>
      <x:c r="R1643" s="14" t="str">
        <x:v>high</x:v>
      </x:c>
      <x:c r="S1643" s="14" t="str">
        <x:v>official_prozorro_award_2024_2026</x:v>
      </x:c>
      <x:c r="T1643" s="14" t="str">
        <x:v>official_prozorro_api</x:v>
      </x:c>
      <x:c r="U1643" s="14" t="str">
        <x:v>Не контактували</x:v>
      </x:c>
      <x:c r="V1643" s="15" t="str">
        <x:v>Workflow-audit outreach по UA-2025-10-21-016693-a; попросити 1 пакет здачі та вимоги проєкту</x:v>
      </x:c>
      <x:c r="W1643" s="15" t="str">
        <x:v>Власник / директор; керівник ПТО; відповідальний за договори</x:v>
      </x:c>
      <x:c r="X1643" s="15" t="str">
        <x:v>1 нових підтверджених перемог/договорів у Prozorro на 12 500 грн; 0 зі строком виконання не раніше 24.08.2026.</x:v>
      </x:c>
      <x:c r="Y1643" s="15" t="str">
        <x:v>Послуга з проведення відбору проб у вигляді циліндричних кернів, підбору та випробування складів сумішей асфальтобетонів дорожніх та аеродромних після надання послуг з поточного ремонту на під’їзді з центральної дороги до реабілітаційного комплексу «Агапе» вздовж залізничної колії в с. Боратин Луцького району Волинської області (98113000-8) (код за ДК 021:2015: 98110000-7 - Послуги підприємницьких, професійних та спеціалізованих організацій); опублікований строк до 2025-12-31. Попросити один знеособлений пакет здачі за цим workflow.</x:v>
      </x:c>
      <x:c r="Z1643" s="15" t="str">
        <x:v>https://prozorro.gov.ua/tender/UA-2025-10-21-016693-a</x:v>
      </x:c>
      <x:c r="AA1643" s="14" t="str">
        <x:v>33951851</x:v>
      </x:c>
      <x:c r="AB1643" s="14" t="str">
        <x:v>2026-08-24</x:v>
      </x:c>
      <x:c r="AC1643" s="14" t="str"/>
      <x:c r="AD1643" s="20" t="str"/>
      <x:c r="AE1643" s="14" t="str"/>
      <x:c r="AF1643" s="14" t="n">
        <x:v>30</x:v>
      </x:c>
      <x:c r="AG1643" s="14" t="str">
        <x:v>I3</x:v>
      </x:c>
      <x:c r="AH1643" s="14" t="n">
        <x:v>1</x:v>
      </x:c>
      <x:c r="AI1643" s="14" t="n">
        <x:v>0</x:v>
      </x:c>
      <x:c r="AJ1643" s="18" t="n">
        <x:v>12500</x:v>
      </x:c>
      <x:c r="AK1643" s="14" t="str">
        <x:v>https://prozorro.gov.ua/tender/UA-2025-10-21-016693-a</x:v>
      </x:c>
      <x:c r="AL1643" s="19" t="n">
        <x:v>45951.60440077546</x:v>
      </x:c>
      <x:c r="AM1643" s="19" t="n">
        <x:v>46022</x:v>
      </x:c>
      <x:c r="AN1643" s="15" t="str">
        <x:v>Залізнична інфраструктура</x:v>
      </x:c>
      <x:c r="AO1643" s="15" t="str">
        <x:v>not_found_in_top_search</x:v>
      </x:c>
    </x:row>
    <x:row r="1644">
      <x:c r="A1644" s="14" t="str">
        <x:v>W5-272</x:v>
      </x:c>
      <x:c r="B1644" s="14" t="str">
        <x:v>Prozorro vertical expansion — 24.08</x:v>
      </x:c>
      <x:c r="C1644" s="14" t="str">
        <x:v>ДП "Львівдіпрокомунбуд"</x:v>
      </x:c>
      <x:c r="D1644" s="14" t="str">
        <x:v>Зовнішні мережі</x:v>
      </x:c>
      <x:c r="E1644" s="14" t="str">
        <x:v>Expansion discovery</x:v>
      </x:c>
      <x:c r="F1644" s="17" t="str">
        <x:v>D3</x:v>
      </x:c>
      <x:c r="G1644" s="14" t="str"/>
      <x:c r="H1644" s="14" t="str">
        <x:v>Discovery розширення — 2 тижні</x:v>
      </x:c>
      <x:c r="I1644" s="16" t="n">
        <x:v>1</x:v>
      </x:c>
      <x:c r="J1644" s="16" t="n">
        <x:v>5</x:v>
      </x:c>
      <x:c r="K1644" s="16" t="n">
        <x:v>5</x:v>
      </x:c>
      <x:c r="L1644" s="16" t="n">
        <x:v>1</x:v>
      </x:c>
      <x:c r="M1644" s="16" t="n">
        <x:v>5</x:v>
      </x:c>
      <x:c r="N1644" s="16" t="n">
        <x:v>5</x:v>
      </x:c>
      <x:c r="O1644" s="16" t="n">
        <x:v>3</x:v>
      </x:c>
      <x:c r="P1644" s="16" t="n">
        <x:f>IF(COUNT(I1644:O1644)&lt;7,"",I1644*8+J1644*3+K1644*2+L1644*2+M1644*2+N1644*2+O1644)</x:f>
        <x:v>58</x:v>
      </x:c>
      <x:c r="Q1644" s="16" t="n">
        <x:f>IF(COUNT(J1644:O1644)&lt;6,"",J1644*5+K1644*4+M1644*4+L1644*3+N1644*2+O1644*2)</x:f>
        <x:v>84</x:v>
      </x:c>
      <x:c r="R1644" s="14" t="str">
        <x:v>high</x:v>
      </x:c>
      <x:c r="S1644" s="14" t="str">
        <x:v>official_prozorro_award_2024_2026</x:v>
      </x:c>
      <x:c r="T1644" s="14" t="str">
        <x:v>official_prozorro_api</x:v>
      </x:c>
      <x:c r="U1644" s="14" t="str">
        <x:v>Не контактували</x:v>
      </x:c>
      <x:c r="V1644" s="15" t="str">
        <x:v>Workflow-audit outreach по UA-2025-12-16-003874-a; попросити 1 пакет здачі та вимоги проєкту</x:v>
      </x:c>
      <x:c r="W1644" s="15" t="str">
        <x:v>Власник / директор; керівник ПТО; відповідальний за договори</x:v>
      </x:c>
      <x:c r="X1644" s="15" t="str">
        <x:v>1 нових підтверджених перемог/договорів у Prozorro на 12 000 грн; 0 зі строком виконання не раніше 24.08.2026.</x:v>
      </x:c>
      <x:c r="Y1644" s="15" t="str">
        <x:v>Передача Автором Правонабувачеві авторського та суміжного права на об’єкт «Будівництво каналізаційних мереж та споруд в с. Зимна Вода Пустомитівського району Львівської області» (вулиці: Миру, Федьковича, Мала, Рибацька, Калнишевського, Гайдамацька, Львіська, С.Бандери, Я.Мудрого, Садівницька, Леонтовича, Роксолани, Котляревського, Кропивницького, Журавлина, Л.Українки, Коновальця, Грушевського, Б.Хмельницького, Сонячна, Петлюри, О.Вишні, Волошина, Бічна Миру, Миколайчука, вул. Кн.Ольги, вул.Зимноводівська, Сірка, Підкови, Наливайка, дощовий колектор по вул. Львівській) Коригування»; опублікований строк до 2025-12-31. Попросити один знеособлений пакет здачі за цим workflow.</x:v>
      </x:c>
      <x:c r="Z1644" s="15" t="str">
        <x:v>https://prozorro.gov.ua/tender/UA-2025-12-16-003874-a</x:v>
      </x:c>
      <x:c r="AA1644" s="14" t="str">
        <x:v>03329054</x:v>
      </x:c>
      <x:c r="AB1644" s="14" t="str">
        <x:v>2026-08-24</x:v>
      </x:c>
      <x:c r="AC1644" s="14" t="str"/>
      <x:c r="AD1644" s="20" t="str"/>
      <x:c r="AE1644" s="14" t="str"/>
      <x:c r="AF1644" s="14" t="n">
        <x:v>30</x:v>
      </x:c>
      <x:c r="AG1644" s="14" t="str">
        <x:v>I3</x:v>
      </x:c>
      <x:c r="AH1644" s="14" t="n">
        <x:v>1</x:v>
      </x:c>
      <x:c r="AI1644" s="14" t="n">
        <x:v>0</x:v>
      </x:c>
      <x:c r="AJ1644" s="18" t="n">
        <x:v>12000</x:v>
      </x:c>
      <x:c r="AK1644" s="14" t="str">
        <x:v>https://prozorro.gov.ua/tender/UA-2025-12-16-003874-a</x:v>
      </x:c>
      <x:c r="AL1644" s="19" t="n">
        <x:v>46007.34644837963</x:v>
      </x:c>
      <x:c r="AM1644" s="19" t="n">
        <x:v>46022.34707175926</x:v>
      </x:c>
      <x:c r="AN1644" s="15" t="str">
        <x:v>Зовнішні мережі</x:v>
      </x:c>
      <x:c r="AO1644" s="15" t="str">
        <x:v>not_found_in_top_search</x:v>
      </x:c>
    </x:row>
    <x:row r="1645">
      <x:c r="A1645" s="14" t="str">
        <x:v>W5-273</x:v>
      </x:c>
      <x:c r="B1645" s="14" t="str">
        <x:v>Prozorro vertical expansion — 24.08</x:v>
      </x:c>
      <x:c r="C1645" s="14" t="str">
        <x:v>ТОВ Львівнет</x:v>
      </x:c>
      <x:c r="D1645" s="14" t="str">
        <x:v>ВОЛЗ / телеком</x:v>
      </x:c>
      <x:c r="E1645" s="14" t="str">
        <x:v>Expansion discovery</x:v>
      </x:c>
      <x:c r="F1645" s="17" t="str">
        <x:v>D3</x:v>
      </x:c>
      <x:c r="G1645" s="14" t="str"/>
      <x:c r="H1645" s="14" t="str">
        <x:v>Discovery розширення — 2 тижні</x:v>
      </x:c>
      <x:c r="I1645" s="16" t="n">
        <x:v>1</x:v>
      </x:c>
      <x:c r="J1645" s="16" t="n">
        <x:v>5</x:v>
      </x:c>
      <x:c r="K1645" s="16" t="n">
        <x:v>5</x:v>
      </x:c>
      <x:c r="L1645" s="16" t="n">
        <x:v>1</x:v>
      </x:c>
      <x:c r="M1645" s="16" t="n">
        <x:v>5</x:v>
      </x:c>
      <x:c r="N1645" s="16" t="n">
        <x:v>5</x:v>
      </x:c>
      <x:c r="O1645" s="16" t="n">
        <x:v>3</x:v>
      </x:c>
      <x:c r="P1645" s="16" t="n">
        <x:f>IF(COUNT(I1645:O1645)&lt;7,"",I1645*8+J1645*3+K1645*2+L1645*2+M1645*2+N1645*2+O1645)</x:f>
        <x:v>58</x:v>
      </x:c>
      <x:c r="Q1645" s="16" t="n">
        <x:f>IF(COUNT(J1645:O1645)&lt;6,"",J1645*5+K1645*4+M1645*4+L1645*3+N1645*2+O1645*2)</x:f>
        <x:v>84</x:v>
      </x:c>
      <x:c r="R1645" s="14" t="str">
        <x:v>high</x:v>
      </x:c>
      <x:c r="S1645" s="14" t="str">
        <x:v>official_prozorro_award_2024_2026</x:v>
      </x:c>
      <x:c r="T1645" s="14" t="str">
        <x:v>official_prozorro_api</x:v>
      </x:c>
      <x:c r="U1645" s="14" t="str">
        <x:v>Не контактували</x:v>
      </x:c>
      <x:c r="V1645" s="15" t="str">
        <x:v>Workflow-audit outreach по UA-2025-11-17-015721-a; попросити 1 пакет здачі та вимоги проєкту</x:v>
      </x:c>
      <x:c r="W1645" s="15" t="str">
        <x:v>Власник / директор; керівник ПТО; відповідальний за договори</x:v>
      </x:c>
      <x:c r="X1645" s="15" t="str">
        <x:v>1 нових підтверджених перемог/договорів у Prozorro на 10 405 грн; 0 зі строком виконання не раніше 24.08.2026.</x:v>
      </x:c>
      <x:c r="Y1645" s="15" t="str">
        <x:v>Послуги з монтажу телекомунікаційної мережі; опублікований строк до 2025-11-30. Попросити один знеособлений пакет здачі за цим workflow.</x:v>
      </x:c>
      <x:c r="Z1645" s="15" t="str">
        <x:v>https://prozorro.gov.ua/tender/UA-2025-11-17-015721-a</x:v>
      </x:c>
      <x:c r="AA1645" s="14" t="str">
        <x:v>33617766</x:v>
      </x:c>
      <x:c r="AB1645" s="14" t="str">
        <x:v>2026-08-24</x:v>
      </x:c>
      <x:c r="AC1645" s="14" t="str"/>
      <x:c r="AD1645" s="20" t="str"/>
      <x:c r="AE1645" s="14" t="str"/>
      <x:c r="AF1645" s="14" t="n">
        <x:v>30</x:v>
      </x:c>
      <x:c r="AG1645" s="14" t="str">
        <x:v>I3</x:v>
      </x:c>
      <x:c r="AH1645" s="14" t="n">
        <x:v>1</x:v>
      </x:c>
      <x:c r="AI1645" s="14" t="n">
        <x:v>0</x:v>
      </x:c>
      <x:c r="AJ1645" s="18" t="n">
        <x:v>10405</x:v>
      </x:c>
      <x:c r="AK1645" s="14" t="str">
        <x:v>https://prozorro.gov.ua/tender/UA-2025-11-17-015721-a</x:v>
      </x:c>
      <x:c r="AL1645" s="19" t="n">
        <x:v>45978.62292136574</x:v>
      </x:c>
      <x:c r="AM1645" s="19" t="n">
        <x:v>45991</x:v>
      </x:c>
      <x:c r="AN1645" s="15" t="str">
        <x:v>ВОЛЗ / телеком</x:v>
      </x:c>
      <x:c r="AO1645" s="15" t="str">
        <x:v>not_found_in_top_search</x:v>
      </x:c>
    </x:row>
    <x:row r="1646">
      <x:c r="A1646" s="14" t="str">
        <x:v>W5-274</x:v>
      </x:c>
      <x:c r="B1646" s="14" t="str">
        <x:v>Prozorro vertical expansion — 24.08</x:v>
      </x:c>
      <x:c r="C1646" s="14" t="str">
        <x:v>ПП  Потрогош А.Т.</x:v>
      </x:c>
      <x:c r="D1646" s="14" t="str">
        <x:v>ВОЛЗ / телеком</x:v>
      </x:c>
      <x:c r="E1646" s="14" t="str">
        <x:v>Expansion discovery</x:v>
      </x:c>
      <x:c r="F1646" s="17" t="str">
        <x:v>D3</x:v>
      </x:c>
      <x:c r="G1646" s="14" t="str"/>
      <x:c r="H1646" s="14" t="str">
        <x:v>Discovery розширення — 2 тижні</x:v>
      </x:c>
      <x:c r="I1646" s="16" t="n">
        <x:v>1</x:v>
      </x:c>
      <x:c r="J1646" s="16" t="n">
        <x:v>5</x:v>
      </x:c>
      <x:c r="K1646" s="16" t="n">
        <x:v>5</x:v>
      </x:c>
      <x:c r="L1646" s="16" t="n">
        <x:v>1</x:v>
      </x:c>
      <x:c r="M1646" s="16" t="n">
        <x:v>5</x:v>
      </x:c>
      <x:c r="N1646" s="16" t="n">
        <x:v>3</x:v>
      </x:c>
      <x:c r="O1646" s="16" t="n">
        <x:v>3</x:v>
      </x:c>
      <x:c r="P1646" s="16" t="n">
        <x:f>IF(COUNT(I1646:O1646)&lt;7,"",I1646*8+J1646*3+K1646*2+L1646*2+M1646*2+N1646*2+O1646)</x:f>
        <x:v>54</x:v>
      </x:c>
      <x:c r="Q1646" s="16" t="n">
        <x:f>IF(COUNT(J1646:O1646)&lt;6,"",J1646*5+K1646*4+M1646*4+L1646*3+N1646*2+O1646*2)</x:f>
        <x:v>80</x:v>
      </x:c>
      <x:c r="R1646" s="14" t="str">
        <x:v>high</x:v>
      </x:c>
      <x:c r="S1646" s="14" t="str">
        <x:v>official_prozorro_award_2024_2026</x:v>
      </x:c>
      <x:c r="T1646" s="14" t="str">
        <x:v>official_prozorro_api</x:v>
      </x:c>
      <x:c r="U1646" s="14" t="str">
        <x:v>Не контактували</x:v>
      </x:c>
      <x:c r="V1646" s="15" t="str">
        <x:v>Workflow-audit outreach по UA-2025-09-22-004533-a; попросити 1 пакет здачі та вимоги проєкту</x:v>
      </x:c>
      <x:c r="W1646" s="15" t="str">
        <x:v>Власник / виконавець; відповідальний за договір</x:v>
      </x:c>
      <x:c r="X1646" s="15" t="str">
        <x:v>1 нових підтверджених перемог/договорів у Prozorro на 10 000 грн; 0 зі строком виконання не раніше 24.08.2026.</x:v>
      </x:c>
      <x:c r="Y1646" s="15" t="str">
        <x:v>Монтаж телекомунікаційного обладнання,встановлення серверів,монтаж локальної мережі,встановлення та заміна комплектуючих до ЕОМ; опублікований строк до 2025-12-31. Попросити один знеособлений пакет здачі за цим workflow.</x:v>
      </x:c>
      <x:c r="Z1646" s="15" t="str">
        <x:v>https://prozorro.gov.ua/tender/UA-2025-09-22-004533-a</x:v>
      </x:c>
      <x:c r="AA1646" s="14" t="str">
        <x:v>2642014332</x:v>
      </x:c>
      <x:c r="AB1646" s="14" t="str">
        <x:v>2026-08-24</x:v>
      </x:c>
      <x:c r="AC1646" s="14" t="str"/>
      <x:c r="AD1646" s="20" t="str"/>
      <x:c r="AE1646" s="14" t="str"/>
      <x:c r="AF1646" s="14" t="n">
        <x:v>30</x:v>
      </x:c>
      <x:c r="AG1646" s="14" t="str">
        <x:v>I3</x:v>
      </x:c>
      <x:c r="AH1646" s="14" t="n">
        <x:v>1</x:v>
      </x:c>
      <x:c r="AI1646" s="14" t="n">
        <x:v>0</x:v>
      </x:c>
      <x:c r="AJ1646" s="18" t="n">
        <x:v>10000</x:v>
      </x:c>
      <x:c r="AK1646" s="14" t="str">
        <x:v>https://prozorro.gov.ua/tender/UA-2025-09-22-004533-a</x:v>
      </x:c>
      <x:c r="AL1646" s="19" t="n">
        <x:v>45922.35940321759</x:v>
      </x:c>
      <x:c r="AM1646" s="19" t="n">
        <x:v>46022.916666655095</x:v>
      </x:c>
      <x:c r="AN1646" s="15" t="str">
        <x:v>ВОЛЗ / телеком</x:v>
      </x:c>
      <x:c r="AO1646" s="15" t="str">
        <x:v>not_found_in_top_search</x:v>
      </x:c>
    </x:row>
    <x:row r="1647">
      <x:c r="A1647" s="14" t="str">
        <x:v>W5-275</x:v>
      </x:c>
      <x:c r="B1647" s="14" t="str">
        <x:v>Prozorro vertical expansion — 24.08</x:v>
      </x:c>
      <x:c r="C1647" s="14" t="str">
        <x:v>ТОВАРИСТВО З ОБМЕЖЕНОЮ ВІДПОВІДАЛЬНІСТЮ "АГЕНТСТВО"Е-КОНСАЛТ"</x:v>
      </x:c>
      <x:c r="D1647" s="14" t="str">
        <x:v>Антикорозійний захист</x:v>
      </x:c>
      <x:c r="E1647" s="14" t="str">
        <x:v>Expansion discovery</x:v>
      </x:c>
      <x:c r="F1647" s="17" t="str">
        <x:v>D3</x:v>
      </x:c>
      <x:c r="G1647" s="14" t="str"/>
      <x:c r="H1647" s="14" t="str">
        <x:v>Discovery розширення — 2 тижні</x:v>
      </x:c>
      <x:c r="I1647" s="16" t="n">
        <x:v>1</x:v>
      </x:c>
      <x:c r="J1647" s="16" t="n">
        <x:v>5</x:v>
      </x:c>
      <x:c r="K1647" s="16" t="n">
        <x:v>5</x:v>
      </x:c>
      <x:c r="L1647" s="16" t="n">
        <x:v>1</x:v>
      </x:c>
      <x:c r="M1647" s="16" t="n">
        <x:v>5</x:v>
      </x:c>
      <x:c r="N1647" s="16" t="n">
        <x:v>5</x:v>
      </x:c>
      <x:c r="O1647" s="16" t="n">
        <x:v>3</x:v>
      </x:c>
      <x:c r="P1647" s="16" t="n">
        <x:f>IF(COUNT(I1647:O1647)&lt;7,"",I1647*8+J1647*3+K1647*2+L1647*2+M1647*2+N1647*2+O1647)</x:f>
        <x:v>58</x:v>
      </x:c>
      <x:c r="Q1647" s="16" t="n">
        <x:f>IF(COUNT(J1647:O1647)&lt;6,"",J1647*5+K1647*4+M1647*4+L1647*3+N1647*2+O1647*2)</x:f>
        <x:v>84</x:v>
      </x:c>
      <x:c r="R1647" s="14" t="str">
        <x:v>high</x:v>
      </x:c>
      <x:c r="S1647" s="14" t="str">
        <x:v>official_prozorro_award_2024_2026</x:v>
      </x:c>
      <x:c r="T1647" s="14" t="str">
        <x:v>official_prozorro_api</x:v>
      </x:c>
      <x:c r="U1647" s="14" t="str">
        <x:v>Не контактували</x:v>
      </x:c>
      <x:c r="V1647" s="15" t="str">
        <x:v>Workflow-audit outreach по UA-2025-09-17-001305-a; попросити 1 пакет здачі та вимоги проєкту</x:v>
      </x:c>
      <x:c r="W1647" s="15" t="str">
        <x:v>Власник / директор; керівник ПТО; відповідальний за договори</x:v>
      </x:c>
      <x:c r="X1647" s="15" t="str">
        <x:v>1 нових підтверджених перемог/договорів у Prozorro на 7 000 грн; 0 зі строком виконання не раніше 24.08.2026.</x:v>
      </x:c>
      <x:c r="Y1647" s="15" t="str">
        <x:v> Послуги сторонніх фахівців з питань організації та проведення процедури закупівлі: відкриті торги що здійснюються Замовником згідно положень Закону України Про публічні закупівлі" №922-VIII від 25.12.2015  р. із змінами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2022р. №1178 (далі- Особливості), з використанням електронної системи закупівель "Prozorro", та згідно предмету закупівлі: 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код ДК 021:2015-45450000-6 (Інші завершальні будівельні роботи) згідно з кодом ДК 021:2015 "Єдиний закупівельний словник" - 79110000-8 Послуги з юридичного консультування та юридичного представництва; опублікований строк до 2025-12-31. Попросити один знеособлений пакет здачі за цим workflow.</x:v>
      </x:c>
      <x:c r="Z1647" s="15" t="str">
        <x:v>https://prozorro.gov.ua/tender/UA-2025-09-17-001305-a</x:v>
      </x:c>
      <x:c r="AA1647" s="14" t="str">
        <x:v>40935669</x:v>
      </x:c>
      <x:c r="AB1647" s="14" t="str">
        <x:v>2026-08-24</x:v>
      </x:c>
      <x:c r="AC1647" s="14" t="str"/>
      <x:c r="AD1647" s="20" t="str"/>
      <x:c r="AE1647" s="14" t="str"/>
      <x:c r="AF1647" s="14" t="n">
        <x:v>30</x:v>
      </x:c>
      <x:c r="AG1647" s="14" t="str">
        <x:v>I3</x:v>
      </x:c>
      <x:c r="AH1647" s="14" t="n">
        <x:v>1</x:v>
      </x:c>
      <x:c r="AI1647" s="14" t="n">
        <x:v>0</x:v>
      </x:c>
      <x:c r="AJ1647" s="18" t="n">
        <x:v>7000</x:v>
      </x:c>
      <x:c r="AK1647" s="14" t="str">
        <x:v>https://prozorro.gov.ua/tender/UA-2025-09-17-001305-a</x:v>
      </x:c>
      <x:c r="AL1647" s="19" t="n">
        <x:v>45917.28038744213</x:v>
      </x:c>
      <x:c r="AM1647" s="19" t="n">
        <x:v>46022</x:v>
      </x:c>
      <x:c r="AN1647" s="15" t="str">
        <x:v>Антикорозійний захист</x:v>
      </x:c>
      <x:c r="AO1647" s="15" t="str">
        <x:v>not_found_in_top_search</x:v>
      </x:c>
    </x:row>
    <x:row r="1648">
      <x:c r="A1648" s="14" t="str">
        <x:v>W5-276</x:v>
      </x:c>
      <x:c r="B1648" s="14" t="str">
        <x:v>Prozorro vertical expansion — 24.08</x:v>
      </x:c>
      <x:c r="C1648" s="14" t="str">
        <x:v>ТОВАРИСТВО З ОБМЕЖЕНОЮ ВІДПОВІДАЛЬНІСТЮ "НОВАЛЕД"</x:v>
      </x:c>
      <x:c r="D1648" s="14" t="str">
        <x:v>Резервне живлення</x:v>
      </x:c>
      <x:c r="E1648" s="14" t="str">
        <x:v>Pilot now</x:v>
      </x:c>
      <x:c r="F1648" s="17" t="str">
        <x:v>P3</x:v>
      </x:c>
      <x:c r="G1648" s="14" t="str"/>
      <x:c r="H1648" s="14" t="str">
        <x:v>Пілот зараз — Н.15 subset</x:v>
      </x:c>
      <x:c r="I1648" s="16" t="n">
        <x:v>4</x:v>
      </x:c>
      <x:c r="J1648" s="16" t="n">
        <x:v>5</x:v>
      </x:c>
      <x:c r="K1648" s="16" t="n">
        <x:v>5</x:v>
      </x:c>
      <x:c r="L1648" s="16" t="n">
        <x:v>1</x:v>
      </x:c>
      <x:c r="M1648" s="16" t="n">
        <x:v>5</x:v>
      </x:c>
      <x:c r="N1648" s="16" t="n">
        <x:v>5</x:v>
      </x:c>
      <x:c r="O1648" s="16" t="n">
        <x:v>3</x:v>
      </x:c>
      <x:c r="P1648" s="16" t="n">
        <x:f>IF(COUNT(I1648:O1648)&lt;7,"",I1648*8+J1648*3+K1648*2+L1648*2+M1648*2+N1648*2+O1648)</x:f>
        <x:v>82</x:v>
      </x:c>
      <x:c r="Q1648" s="16" t="n">
        <x:f>IF(COUNT(J1648:O1648)&lt;6,"",J1648*5+K1648*4+M1648*4+L1648*3+N1648*2+O1648*2)</x:f>
        <x:v>84</x:v>
      </x:c>
      <x:c r="R1648" s="14" t="str">
        <x:v>high</x:v>
      </x:c>
      <x:c r="S1648" s="14" t="str">
        <x:v>official_prozorro_award_2024_2026</x:v>
      </x:c>
      <x:c r="T1648" s="14" t="str">
        <x:v>official_prozorro_api</x:v>
      </x:c>
      <x:c r="U1648" s="14" t="str">
        <x:v>Не контактували</x:v>
      </x:c>
      <x:c r="V1648" s="15" t="str">
        <x:v>Персоналізований free-pilot outreach по UA-2025-11-27-001895-a; попросити 1 пакет Н.15</x:v>
      </x:c>
      <x:c r="W1648" s="15" t="str">
        <x:v>Власник / директор; керівник ПТО; відповідальний за договори</x:v>
      </x:c>
      <x:c r="X1648" s="15" t="str">
        <x:v>1 нових підтверджених перемог/договорів у Prozorro на 6 758 грн; 0 зі строком виконання не раніше 24.08.2026.</x:v>
      </x:c>
      <x:c r="Y1648" s="15" t="str">
        <x:v>Комплекетуючі для монтажу аварійної системи живленнята облаштування щитової для дизель-генератора ; опублікований строк до 2025-12-31. Попросити один знеособлений пакет здачі за цим workflow.</x:v>
      </x:c>
      <x:c r="Z1648" s="15" t="str">
        <x:v>https://prozorro.gov.ua/tender/UA-2025-11-27-001895-a</x:v>
      </x:c>
      <x:c r="AA1648" s="14" t="str">
        <x:v>39923093</x:v>
      </x:c>
      <x:c r="AB1648" s="14" t="str">
        <x:v>2026-08-24</x:v>
      </x:c>
      <x:c r="AC1648" s="14" t="str"/>
      <x:c r="AD1648" s="20" t="str"/>
      <x:c r="AE1648" s="14" t="str"/>
      <x:c r="AF1648" s="14" t="n">
        <x:v>30</x:v>
      </x:c>
      <x:c r="AG1648" s="14" t="str">
        <x:v>I3</x:v>
      </x:c>
      <x:c r="AH1648" s="14" t="n">
        <x:v>1</x:v>
      </x:c>
      <x:c r="AI1648" s="14" t="n">
        <x:v>0</x:v>
      </x:c>
      <x:c r="AJ1648" s="18" t="n">
        <x:v>6758.34</x:v>
      </x:c>
      <x:c r="AK1648" s="14" t="str">
        <x:v>https://prozorro.gov.ua/tender/UA-2025-11-27-001895-a</x:v>
      </x:c>
      <x:c r="AL1648" s="19" t="n">
        <x:v>45988.32616314815</x:v>
      </x:c>
      <x:c r="AM1648" s="19" t="n">
        <x:v>46022</x:v>
      </x:c>
      <x:c r="AN1648" s="15" t="str">
        <x:v>Резервне живлення</x:v>
      </x:c>
      <x:c r="AO1648" s="15" t="str">
        <x:v>not_found_in_top_search</x:v>
      </x:c>
    </x:row>
    <x:row r="1649">
      <x:c r="A1649" s="14" t="str">
        <x:v>W5-277</x:v>
      </x:c>
      <x:c r="B1649" s="14" t="str">
        <x:v>Prozorro vertical expansion — 24.08</x:v>
      </x:c>
      <x:c r="C1649" s="14" t="str">
        <x:v>ТОВАРИСТВО З ОБМЕЖЕНОЮ ВІДПОВІДАЛЬНІСТЮ "СУЧАСНІ РОЗУМНІ СИСТЕМИ"</x:v>
      </x:c>
      <x:c r="D1649" s="14" t="str">
        <x:v>Резервне живлення</x:v>
      </x:c>
      <x:c r="E1649" s="14" t="str">
        <x:v>Pilot now</x:v>
      </x:c>
      <x:c r="F1649" s="17" t="str">
        <x:v>P3</x:v>
      </x:c>
      <x:c r="G1649" s="14" t="str"/>
      <x:c r="H1649" s="14" t="str">
        <x:v>Пілот зараз — Н.15 subset</x:v>
      </x:c>
      <x:c r="I1649" s="16" t="n">
        <x:v>4</x:v>
      </x:c>
      <x:c r="J1649" s="16" t="n">
        <x:v>5</x:v>
      </x:c>
      <x:c r="K1649" s="16" t="n">
        <x:v>5</x:v>
      </x:c>
      <x:c r="L1649" s="16" t="n">
        <x:v>1</x:v>
      </x:c>
      <x:c r="M1649" s="16" t="n">
        <x:v>5</x:v>
      </x:c>
      <x:c r="N1649" s="16" t="n">
        <x:v>5</x:v>
      </x:c>
      <x:c r="O1649" s="16" t="n">
        <x:v>3</x:v>
      </x:c>
      <x:c r="P1649" s="16" t="n">
        <x:f>IF(COUNT(I1649:O1649)&lt;7,"",I1649*8+J1649*3+K1649*2+L1649*2+M1649*2+N1649*2+O1649)</x:f>
        <x:v>82</x:v>
      </x:c>
      <x:c r="Q1649" s="16" t="n">
        <x:f>IF(COUNT(J1649:O1649)&lt;6,"",J1649*5+K1649*4+M1649*4+L1649*3+N1649*2+O1649*2)</x:f>
        <x:v>84</x:v>
      </x:c>
      <x:c r="R1649" s="14" t="str">
        <x:v>high</x:v>
      </x:c>
      <x:c r="S1649" s="14" t="str">
        <x:v>official_prozorro_award_2024_2026</x:v>
      </x:c>
      <x:c r="T1649" s="14" t="str">
        <x:v>official_prozorro_api</x:v>
      </x:c>
      <x:c r="U1649" s="14" t="str">
        <x:v>Не контактували</x:v>
      </x:c>
      <x:c r="V1649" s="15" t="str">
        <x:v>Персоналізований free-pilot outreach по UA-2025-10-22-009071-a; попросити 1 пакет Н.15</x:v>
      </x:c>
      <x:c r="W1649" s="15" t="str">
        <x:v>Власник / директор; керівник ПТО; відповідальний за договори</x:v>
      </x:c>
      <x:c r="X1649" s="15" t="str">
        <x:v>1 нових підтверджених перемог/договорів у Prozorro на 6 110 грн; 0 зі строком виконання не раніше 24.08.2026.</x:v>
      </x:c>
      <x:c r="Y1649" s="15" t="str">
        <x:v>монтажу джерела безперебійного живлення та прокладання кабелю на очисних спорудах ; опублікований строк до 2025-12-31. Попросити один знеособлений пакет здачі за цим workflow.</x:v>
      </x:c>
      <x:c r="Z1649" s="15" t="str">
        <x:v>https://prozorro.gov.ua/tender/UA-2025-10-22-009071-a</x:v>
      </x:c>
      <x:c r="AA1649" s="14" t="str">
        <x:v>42323497</x:v>
      </x:c>
      <x:c r="AB1649" s="14" t="str">
        <x:v>2026-08-24</x:v>
      </x:c>
      <x:c r="AC1649" s="14" t="str"/>
      <x:c r="AD1649" s="20" t="str"/>
      <x:c r="AE1649" s="14" t="str"/>
      <x:c r="AF1649" s="14" t="n">
        <x:v>30</x:v>
      </x:c>
      <x:c r="AG1649" s="14" t="str">
        <x:v>I3</x:v>
      </x:c>
      <x:c r="AH1649" s="14" t="n">
        <x:v>1</x:v>
      </x:c>
      <x:c r="AI1649" s="14" t="n">
        <x:v>0</x:v>
      </x:c>
      <x:c r="AJ1649" s="18" t="n">
        <x:v>6110</x:v>
      </x:c>
      <x:c r="AK1649" s="14" t="str">
        <x:v>https://prozorro.gov.ua/tender/UA-2025-10-22-009071-a</x:v>
      </x:c>
      <x:c r="AL1649" s="19" t="n">
        <x:v>45985.35611418982</x:v>
      </x:c>
      <x:c r="AM1649" s="19" t="n">
        <x:v>46022</x:v>
      </x:c>
      <x:c r="AN1649" s="15" t="str">
        <x:v>Резервне живлення</x:v>
      </x:c>
      <x:c r="AO1649" s="15" t="str">
        <x:v>not_found_in_top_search</x:v>
      </x:c>
    </x:row>
    <x:row r="1650">
      <x:c r="A1650" s="14" t="str">
        <x:v>W5-278</x:v>
      </x:c>
      <x:c r="B1650" s="14" t="str">
        <x:v>Prozorro vertical expansion — 24.08</x:v>
      </x:c>
      <x:c r="C1650" s="14" t="str">
        <x:v>ТОВ ВСП "Рембудзв'язок"</x:v>
      </x:c>
      <x:c r="D1650" s="14" t="str">
        <x:v>ВОЛЗ / телеком</x:v>
      </x:c>
      <x:c r="E1650" s="14" t="str">
        <x:v>Expansion discovery</x:v>
      </x:c>
      <x:c r="F1650" s="17" t="str">
        <x:v>D3</x:v>
      </x:c>
      <x:c r="G1650" s="14" t="str"/>
      <x:c r="H1650" s="14" t="str">
        <x:v>Discovery розширення — 2 тижні</x:v>
      </x:c>
      <x:c r="I1650" s="16" t="n">
        <x:v>1</x:v>
      </x:c>
      <x:c r="J1650" s="16" t="n">
        <x:v>5</x:v>
      </x:c>
      <x:c r="K1650" s="16" t="n">
        <x:v>5</x:v>
      </x:c>
      <x:c r="L1650" s="16" t="n">
        <x:v>3</x:v>
      </x:c>
      <x:c r="M1650" s="16" t="n">
        <x:v>5</x:v>
      </x:c>
      <x:c r="N1650" s="16" t="n">
        <x:v>5</x:v>
      </x:c>
      <x:c r="O1650" s="16" t="n">
        <x:v>3</x:v>
      </x:c>
      <x:c r="P1650" s="16" t="n">
        <x:f>IF(COUNT(I1650:O1650)&lt;7,"",I1650*8+J1650*3+K1650*2+L1650*2+M1650*2+N1650*2+O1650)</x:f>
        <x:v>62</x:v>
      </x:c>
      <x:c r="Q1650" s="16" t="n">
        <x:f>IF(COUNT(J1650:O1650)&lt;6,"",J1650*5+K1650*4+M1650*4+L1650*3+N1650*2+O1650*2)</x:f>
        <x:v>90</x:v>
      </x:c>
      <x:c r="R1650" s="14" t="str">
        <x:v>high</x:v>
      </x:c>
      <x:c r="S1650" s="14" t="str">
        <x:v>official_prozorro_award_2024_2026</x:v>
      </x:c>
      <x:c r="T1650" s="14" t="str">
        <x:v>official_prozorro_api</x:v>
      </x:c>
      <x:c r="U1650" s="14" t="str">
        <x:v>Не контактували</x:v>
      </x:c>
      <x:c r="V1650" s="15" t="str">
        <x:v>Workflow-audit outreach по UA-2024-12-18-020165-a; попросити 1 пакет здачі та вимоги проєкту</x:v>
      </x:c>
      <x:c r="W1650" s="15" t="str">
        <x:v>Власник / директор; керівник ПТО; відповідальний за договори</x:v>
      </x:c>
      <x:c r="X1650" s="15" t="str">
        <x:v>1 нових підтверджених перемог/договорів у Prozorro на 1 949 000 грн; 0 зі строком виконання не раніше 24.08.2026.</x:v>
      </x:c>
      <x:c r="Y1650" s="15" t="str">
        <x:v>Робота з будівництва волоконно-оптичної лінії зв'язку спеціального призначення, на ділянці між об'єктами СЗРУ; опублікований строк до 2025-05-31. Попросити один знеособлений пакет здачі за цим workflow.</x:v>
      </x:c>
      <x:c r="Z1650" s="15" t="str">
        <x:v>https://prozorro.gov.ua/tender/UA-2024-12-18-020165-a</x:v>
      </x:c>
      <x:c r="AA1650" s="14" t="str">
        <x:v>01168173</x:v>
      </x:c>
      <x:c r="AB1650" s="14" t="str">
        <x:v>2026-08-24</x:v>
      </x:c>
      <x:c r="AC1650" s="14" t="str"/>
      <x:c r="AD1650" s="20" t="str"/>
      <x:c r="AE1650" s="14" t="str"/>
      <x:c r="AF1650" s="14" t="n">
        <x:v>29</x:v>
      </x:c>
      <x:c r="AG1650" s="14" t="str">
        <x:v>I3</x:v>
      </x:c>
      <x:c r="AH1650" s="14" t="n">
        <x:v>1</x:v>
      </x:c>
      <x:c r="AI1650" s="14" t="n">
        <x:v>0</x:v>
      </x:c>
      <x:c r="AJ1650" s="18" t="n">
        <x:v>1949000</x:v>
      </x:c>
      <x:c r="AK1650" s="14" t="str">
        <x:v>https://prozorro.gov.ua/tender/UA-2024-12-18-020165-a</x:v>
      </x:c>
      <x:c r="AL1650" s="19" t="n">
        <x:v>45663.48567806713</x:v>
      </x:c>
      <x:c r="AM1650" s="19" t="n">
        <x:v>45808.57310185185</x:v>
      </x:c>
      <x:c r="AN1650" s="15" t="str">
        <x:v>ВОЛЗ / телеком</x:v>
      </x:c>
      <x:c r="AO1650" s="15" t="str">
        <x:v>not_found_in_top_search</x:v>
      </x:c>
    </x:row>
    <x:row r="1651">
      <x:c r="A1651" s="14" t="str">
        <x:v>W5-279</x:v>
      </x:c>
      <x:c r="B1651" s="14" t="str">
        <x:v>Prozorro vertical expansion — 24.08</x:v>
      </x:c>
      <x:c r="C1651" s="14" t="str">
        <x:v>Фізична особа-підприємець Нестерчук Олександр Володимирович</x:v>
      </x:c>
      <x:c r="D1651" s="14" t="str">
        <x:v>Чисті приміщення</x:v>
      </x:c>
      <x:c r="E1651" s="14" t="str">
        <x:v>Expansion discovery</x:v>
      </x:c>
      <x:c r="F1651" s="17" t="str">
        <x:v>D3</x:v>
      </x:c>
      <x:c r="G1651" s="14" t="str"/>
      <x:c r="H1651" s="14" t="str">
        <x:v>Discovery розширення — 2 тижні</x:v>
      </x:c>
      <x:c r="I1651" s="16" t="n">
        <x:v>1</x:v>
      </x:c>
      <x:c r="J1651" s="16" t="n">
        <x:v>5</x:v>
      </x:c>
      <x:c r="K1651" s="16" t="n">
        <x:v>5</x:v>
      </x:c>
      <x:c r="L1651" s="16" t="n">
        <x:v>2</x:v>
      </x:c>
      <x:c r="M1651" s="16" t="n">
        <x:v>5</x:v>
      </x:c>
      <x:c r="N1651" s="16" t="n">
        <x:v>3</x:v>
      </x:c>
      <x:c r="O1651" s="16" t="n">
        <x:v>3</x:v>
      </x:c>
      <x:c r="P1651" s="16" t="n">
        <x:f>IF(COUNT(I1651:O1651)&lt;7,"",I1651*8+J1651*3+K1651*2+L1651*2+M1651*2+N1651*2+O1651)</x:f>
        <x:v>56</x:v>
      </x:c>
      <x:c r="Q1651" s="16" t="n">
        <x:f>IF(COUNT(J1651:O1651)&lt;6,"",J1651*5+K1651*4+M1651*4+L1651*3+N1651*2+O1651*2)</x:f>
        <x:v>83</x:v>
      </x:c>
      <x:c r="R1651" s="14" t="str">
        <x:v>high</x:v>
      </x:c>
      <x:c r="S1651" s="14" t="str">
        <x:v>official_prozorro_award_2024_2026</x:v>
      </x:c>
      <x:c r="T1651" s="14" t="str">
        <x:v>official_prozorro_api</x:v>
      </x:c>
      <x:c r="U1651" s="14" t="str">
        <x:v>Не контактували</x:v>
      </x:c>
      <x:c r="V1651" s="15" t="str">
        <x:v>Workflow-audit outreach по UA-2025-01-29-014701-a; попросити 1 пакет здачі та вимоги проєкту</x:v>
      </x:c>
      <x:c r="W1651" s="15" t="str">
        <x:v>Власник / виконавець; відповідальний за договір</x:v>
      </x:c>
      <x:c r="X1651" s="15" t="str">
        <x:v>1 нових підтверджених перемог/договорів у Prozorro на 378 735 грн; 0 зі строком виконання не раніше 24.08.2026.</x:v>
      </x:c>
      <x:c r="Y1651" s="15" t="str">
        <x:v>Виконання проєктної документації по об’єкту: «Реконструкція частини приміщень другого поверху головного корпусу літ. Е-5 під влаштування операційного блоку КП "Дніпропетровська обласна клінічна лікарня ім. І.І. Мечникова" ДОР" за адресою: пл. Соборна, 14, м. Дніпро»; опублікований строк до 2025-04-30. Попросити один знеособлений пакет здачі за цим workflow.</x:v>
      </x:c>
      <x:c r="Z1651" s="15" t="str">
        <x:v>https://prozorro.gov.ua/tender/UA-2025-01-29-014701-a</x:v>
      </x:c>
      <x:c r="AA1651" s="14" t="str">
        <x:v>2854007277</x:v>
      </x:c>
      <x:c r="AB1651" s="14" t="str">
        <x:v>2026-08-24</x:v>
      </x:c>
      <x:c r="AC1651" s="14" t="str"/>
      <x:c r="AD1651" s="20" t="str"/>
      <x:c r="AE1651" s="14" t="str"/>
      <x:c r="AF1651" s="14" t="n">
        <x:v>27</x:v>
      </x:c>
      <x:c r="AG1651" s="14" t="str">
        <x:v>I3</x:v>
      </x:c>
      <x:c r="AH1651" s="14" t="n">
        <x:v>1</x:v>
      </x:c>
      <x:c r="AI1651" s="14" t="n">
        <x:v>0</x:v>
      </x:c>
      <x:c r="AJ1651" s="18" t="n">
        <x:v>378735</x:v>
      </x:c>
      <x:c r="AK1651" s="14" t="str">
        <x:v>https://prozorro.gov.ua/tender/UA-2025-01-29-014701-a</x:v>
      </x:c>
      <x:c r="AL1651" s="19" t="n">
        <x:v>45686.58042775463</x:v>
      </x:c>
      <x:c r="AM1651" s="19" t="n">
        <x:v>45777</x:v>
      </x:c>
      <x:c r="AN1651" s="15" t="str">
        <x:v>Чисті приміщення</x:v>
      </x:c>
      <x:c r="AO1651" s="15" t="str">
        <x:v>not_found_in_top_search</x:v>
      </x:c>
    </x:row>
    <x:row r="1652">
      <x:c r="A1652" s="14" t="str">
        <x:v>W5-280</x:v>
      </x:c>
      <x:c r="B1652" s="14" t="str">
        <x:v>Prozorro vertical expansion — 24.08</x:v>
      </x:c>
      <x:c r="C1652" s="14" t="str">
        <x:v>ФОП Свинарчук Андрій Сергійович</x:v>
      </x:c>
      <x:c r="D1652" s="14" t="str">
        <x:v>Ремонт і підсилення бетону</x:v>
      </x:c>
      <x:c r="E1652" s="14" t="str">
        <x:v>Expansion discovery</x:v>
      </x:c>
      <x:c r="F1652" s="17" t="str">
        <x:v>D3</x:v>
      </x:c>
      <x:c r="G1652" s="14" t="str"/>
      <x:c r="H1652" s="14" t="str">
        <x:v>Discovery розширення — 2 тижні</x:v>
      </x:c>
      <x:c r="I1652" s="16" t="n">
        <x:v>1</x:v>
      </x:c>
      <x:c r="J1652" s="16" t="n">
        <x:v>5</x:v>
      </x:c>
      <x:c r="K1652" s="16" t="n">
        <x:v>5</x:v>
      </x:c>
      <x:c r="L1652" s="16" t="n">
        <x:v>2</x:v>
      </x:c>
      <x:c r="M1652" s="16" t="n">
        <x:v>5</x:v>
      </x:c>
      <x:c r="N1652" s="16" t="n">
        <x:v>3</x:v>
      </x:c>
      <x:c r="O1652" s="16" t="n">
        <x:v>3</x:v>
      </x:c>
      <x:c r="P1652" s="16" t="n">
        <x:f>IF(COUNT(I1652:O1652)&lt;7,"",I1652*8+J1652*3+K1652*2+L1652*2+M1652*2+N1652*2+O1652)</x:f>
        <x:v>56</x:v>
      </x:c>
      <x:c r="Q1652" s="16" t="n">
        <x:f>IF(COUNT(J1652:O1652)&lt;6,"",J1652*5+K1652*4+M1652*4+L1652*3+N1652*2+O1652*2)</x:f>
        <x:v>83</x:v>
      </x:c>
      <x:c r="R1652" s="14" t="str">
        <x:v>high</x:v>
      </x:c>
      <x:c r="S1652" s="14" t="str">
        <x:v>official_prozorro_award_2024_2026</x:v>
      </x:c>
      <x:c r="T1652" s="14" t="str">
        <x:v>official_prozorro_api</x:v>
      </x:c>
      <x:c r="U1652" s="14" t="str">
        <x:v>Не контактували</x:v>
      </x:c>
      <x:c r="V1652" s="15" t="str">
        <x:v>Workflow-audit outreach по UA-2024-02-27-010742-a; попросити 1 пакет здачі та вимоги проєкту</x:v>
      </x:c>
      <x:c r="W1652" s="15" t="str">
        <x:v>Власник / виконавець; відповідальний за договір</x:v>
      </x:c>
      <x:c r="X1652" s="15" t="str">
        <x:v>1 нових підтверджених перемог/договорів у Prozorro на 195 999 грн; 0 зі строком виконання не раніше 24.08.2026.</x:v>
      </x:c>
      <x:c r="Y1652" s="15" t="str">
        <x:v>Поточний ремонт споруд цивільного захисту (тимчасового укриття) (свердління залізобетонних конструкцій входу, проходів і проямку, земельні роботи (копка, винесення, вивезення), тощо) в ЖДНЗ №37 за адресою: м.Житомир, вул. Небесної Сотні,33; опублікований строк до 2024-12-31. Попросити один знеособлений пакет здачі за цим workflow.</x:v>
      </x:c>
      <x:c r="Z1652" s="15" t="str">
        <x:v>https://prozorro.gov.ua/tender/UA-2024-02-27-010742-a</x:v>
      </x:c>
      <x:c r="AA1652" s="14" t="str">
        <x:v>3036101214</x:v>
      </x:c>
      <x:c r="AB1652" s="14" t="str">
        <x:v>2026-08-24</x:v>
      </x:c>
      <x:c r="AC1652" s="14" t="str"/>
      <x:c r="AD1652" s="20" t="str"/>
      <x:c r="AE1652" s="14" t="str"/>
      <x:c r="AF1652" s="14" t="n">
        <x:v>27</x:v>
      </x:c>
      <x:c r="AG1652" s="14" t="str">
        <x:v>I3</x:v>
      </x:c>
      <x:c r="AH1652" s="14" t="n">
        <x:v>1</x:v>
      </x:c>
      <x:c r="AI1652" s="14" t="n">
        <x:v>0</x:v>
      </x:c>
      <x:c r="AJ1652" s="18" t="n">
        <x:v>195999</x:v>
      </x:c>
      <x:c r="AK1652" s="14" t="str">
        <x:v>https://prozorro.gov.ua/tender/UA-2024-02-27-010742-a</x:v>
      </x:c>
      <x:c r="AL1652" s="19" t="n">
        <x:v>45349.60339210648</x:v>
      </x:c>
      <x:c r="AM1652" s="19" t="n">
        <x:v>45657.604212962964</x:v>
      </x:c>
      <x:c r="AN1652" s="15" t="str">
        <x:v>Ремонт і підсилення бетону</x:v>
      </x:c>
      <x:c r="AO1652" s="15" t="str">
        <x:v>not_found_in_top_search</x:v>
      </x:c>
    </x:row>
    <x:row r="1653">
      <x:c r="A1653" s="14" t="str">
        <x:v>W5-281</x:v>
      </x:c>
      <x:c r="B1653" s="14" t="str">
        <x:v>Prozorro vertical expansion — 24.08</x:v>
      </x:c>
      <x:c r="C1653" s="14" t="str">
        <x:v> ФОП ГОРДІЄНКО ДЕНИС СЕРГІЙОВИЧ</x:v>
      </x:c>
      <x:c r="D1653" s="14" t="str">
        <x:v>ГНБ / безтраншейні роботи</x:v>
      </x:c>
      <x:c r="E1653" s="14" t="str">
        <x:v>Expansion discovery</x:v>
      </x:c>
      <x:c r="F1653" s="17" t="str">
        <x:v>D3</x:v>
      </x:c>
      <x:c r="G1653" s="14" t="str"/>
      <x:c r="H1653" s="14" t="str">
        <x:v>Discovery розширення — 2 тижні</x:v>
      </x:c>
      <x:c r="I1653" s="16" t="n">
        <x:v>1</x:v>
      </x:c>
      <x:c r="J1653" s="16" t="n">
        <x:v>5</x:v>
      </x:c>
      <x:c r="K1653" s="16" t="n">
        <x:v>5</x:v>
      </x:c>
      <x:c r="L1653" s="16" t="n">
        <x:v>2</x:v>
      </x:c>
      <x:c r="M1653" s="16" t="n">
        <x:v>5</x:v>
      </x:c>
      <x:c r="N1653" s="16" t="n">
        <x:v>3</x:v>
      </x:c>
      <x:c r="O1653" s="16" t="n">
        <x:v>3</x:v>
      </x:c>
      <x:c r="P1653" s="16" t="n">
        <x:f>IF(COUNT(I1653:O1653)&lt;7,"",I1653*8+J1653*3+K1653*2+L1653*2+M1653*2+N1653*2+O1653)</x:f>
        <x:v>56</x:v>
      </x:c>
      <x:c r="Q1653" s="16" t="n">
        <x:f>IF(COUNT(J1653:O1653)&lt;6,"",J1653*5+K1653*4+M1653*4+L1653*3+N1653*2+O1653*2)</x:f>
        <x:v>83</x:v>
      </x:c>
      <x:c r="R1653" s="14" t="str">
        <x:v>high</x:v>
      </x:c>
      <x:c r="S1653" s="14" t="str">
        <x:v>official_prozorro_award_2024_2026</x:v>
      </x:c>
      <x:c r="T1653" s="14" t="str">
        <x:v>official_prozorro_api</x:v>
      </x:c>
      <x:c r="U1653" s="14" t="str">
        <x:v>Не контактували</x:v>
      </x:c>
      <x:c r="V1653" s="15" t="str">
        <x:v>Workflow-audit outreach по UA-2024-07-16-004436-a; попросити 1 пакет здачі та вимоги проєкту</x:v>
      </x:c>
      <x:c r="W1653" s="15" t="str">
        <x:v>Власник / виконавець; відповідальний за договір</x:v>
      </x:c>
      <x:c r="X1653" s="15" t="str">
        <x:v>1 нових підтверджених перемог/договорів у Prozorro на 153 000 грн; 0 зі строком виконання не раніше 24.08.2026.</x:v>
      </x:c>
      <x:c r="Y1653" s="15" t="str">
        <x:v>Послуги з поточного ремонту, технічного обслуговування та утримання у належному стані внутрішніх та зовнішніх мереж водопостачання та водовідведення, а саме: прокол ґрунту методом горизонтального направленого буріння з встановленням футляру для прокладання водопроводу в смт. Олександрівка; опублікований строк до 2024-09-09. Попросити один знеособлений пакет здачі за цим workflow.</x:v>
      </x:c>
      <x:c r="Z1653" s="15" t="str">
        <x:v>https://prozorro.gov.ua/tender/UA-2024-07-16-004436-a</x:v>
      </x:c>
      <x:c r="AA1653" s="14" t="str">
        <x:v>3625508215</x:v>
      </x:c>
      <x:c r="AB1653" s="14" t="str">
        <x:v>2026-08-24</x:v>
      </x:c>
      <x:c r="AC1653" s="14" t="str"/>
      <x:c r="AD1653" s="20" t="str"/>
      <x:c r="AE1653" s="14" t="str"/>
      <x:c r="AF1653" s="14" t="n">
        <x:v>27</x:v>
      </x:c>
      <x:c r="AG1653" s="14" t="str">
        <x:v>I3</x:v>
      </x:c>
      <x:c r="AH1653" s="14" t="n">
        <x:v>1</x:v>
      </x:c>
      <x:c r="AI1653" s="14" t="n">
        <x:v>0</x:v>
      </x:c>
      <x:c r="AJ1653" s="18" t="n">
        <x:v>153000</x:v>
      </x:c>
      <x:c r="AK1653" s="14" t="str">
        <x:v>https://prozorro.gov.ua/tender/UA-2024-07-16-004436-a</x:v>
      </x:c>
      <x:c r="AL1653" s="19" t="n">
        <x:v>45489.416862199076</x:v>
      </x:c>
      <x:c r="AM1653" s="19" t="n">
        <x:v>45544</x:v>
      </x:c>
      <x:c r="AN1653" s="15" t="str">
        <x:v>ГНБ / безтраншейні роботи</x:v>
      </x:c>
      <x:c r="AO1653" s="15" t="str">
        <x:v>not_found_in_top_search</x:v>
      </x:c>
    </x:row>
    <x:row r="1654">
      <x:c r="A1654" s="14" t="str">
        <x:v>W5-282</x:v>
      </x:c>
      <x:c r="B1654" s="14" t="str">
        <x:v>Prozorro vertical expansion — 24.08</x:v>
      </x:c>
      <x:c r="C1654" s="14" t="str">
        <x:v>ФОП Трубін Олег Вікторович</x:v>
      </x:c>
      <x:c r="D1654" s="14" t="str">
        <x:v>Резервне живлення</x:v>
      </x:c>
      <x:c r="E1654" s="14" t="str">
        <x:v>Pilot now</x:v>
      </x:c>
      <x:c r="F1654" s="17" t="str">
        <x:v>P3</x:v>
      </x:c>
      <x:c r="G1654" s="14" t="str"/>
      <x:c r="H1654" s="14" t="str">
        <x:v>Пілот зараз — Н.15 subset</x:v>
      </x:c>
      <x:c r="I1654" s="16" t="n">
        <x:v>4</x:v>
      </x:c>
      <x:c r="J1654" s="16" t="n">
        <x:v>5</x:v>
      </x:c>
      <x:c r="K1654" s="16" t="n">
        <x:v>5</x:v>
      </x:c>
      <x:c r="L1654" s="16" t="n">
        <x:v>1</x:v>
      </x:c>
      <x:c r="M1654" s="16" t="n">
        <x:v>5</x:v>
      </x:c>
      <x:c r="N1654" s="16" t="n">
        <x:v>3</x:v>
      </x:c>
      <x:c r="O1654" s="16" t="n">
        <x:v>3</x:v>
      </x:c>
      <x:c r="P1654" s="16" t="n">
        <x:f>IF(COUNT(I1654:O1654)&lt;7,"",I1654*8+J1654*3+K1654*2+L1654*2+M1654*2+N1654*2+O1654)</x:f>
        <x:v>78</x:v>
      </x:c>
      <x:c r="Q1654" s="16" t="n">
        <x:f>IF(COUNT(J1654:O1654)&lt;6,"",J1654*5+K1654*4+M1654*4+L1654*3+N1654*2+O1654*2)</x:f>
        <x:v>80</x:v>
      </x:c>
      <x:c r="R1654" s="14" t="str">
        <x:v>high</x:v>
      </x:c>
      <x:c r="S1654" s="14" t="str">
        <x:v>official_prozorro_award_2024_2026</x:v>
      </x:c>
      <x:c r="T1654" s="14" t="str">
        <x:v>official_prozorro_api</x:v>
      </x:c>
      <x:c r="U1654" s="14" t="str">
        <x:v>Не контактували</x:v>
      </x:c>
      <x:c r="V1654" s="15" t="str">
        <x:v>Персоналізований free-pilot outreach по UA-2025-12-15-009604-a; попросити 1 пакет Н.15</x:v>
      </x:c>
      <x:c r="W1654" s="15" t="str">
        <x:v>Власник / виконавець; відповідальний за договір</x:v>
      </x:c>
      <x:c r="X1654" s="15" t="str">
        <x:v>1 нових підтверджених перемог/договорів у Prozorro на 97 198 грн; 0 зі строком виконання не раніше 24.08.2026.</x:v>
      </x:c>
      <x:c r="Y1654" s="15" t="str">
        <x:v>Послуги з монтажу та встановлення безперебійного живлення електроенергії; опублікований строк до 2025-12-31. Попросити один знеособлений пакет здачі за цим workflow.</x:v>
      </x:c>
      <x:c r="Z1654" s="15" t="str">
        <x:v>https://prozorro.gov.ua/tender/UA-2025-12-15-009604-a</x:v>
      </x:c>
      <x:c r="AA1654" s="14" t="str">
        <x:v>3688708016</x:v>
      </x:c>
      <x:c r="AB1654" s="14" t="str">
        <x:v>2026-08-24</x:v>
      </x:c>
      <x:c r="AC1654" s="14" t="str"/>
      <x:c r="AD1654" s="20" t="str"/>
      <x:c r="AE1654" s="14" t="str"/>
      <x:c r="AF1654" s="14" t="n">
        <x:v>27</x:v>
      </x:c>
      <x:c r="AG1654" s="14" t="str">
        <x:v>I3</x:v>
      </x:c>
      <x:c r="AH1654" s="14" t="n">
        <x:v>1</x:v>
      </x:c>
      <x:c r="AI1654" s="14" t="n">
        <x:v>0</x:v>
      </x:c>
      <x:c r="AJ1654" s="18" t="n">
        <x:v>97198</x:v>
      </x:c>
      <x:c r="AK1654" s="14" t="str">
        <x:v>https://prozorro.gov.ua/tender/UA-2025-12-15-009604-a</x:v>
      </x:c>
      <x:c r="AL1654" s="19" t="n">
        <x:v>46006.444135474536</x:v>
      </x:c>
      <x:c r="AM1654" s="19" t="n">
        <x:v>46022.44605324074</x:v>
      </x:c>
      <x:c r="AN1654" s="15" t="str">
        <x:v>Резервне живлення</x:v>
      </x:c>
      <x:c r="AO1654" s="15" t="str">
        <x:v>not_found_in_top_search</x:v>
      </x:c>
    </x:row>
    <x:row r="1655">
      <x:c r="A1655" s="14" t="str">
        <x:v>W5-283</x:v>
      </x:c>
      <x:c r="B1655" s="14" t="str">
        <x:v>Prozorro vertical expansion — 24.08</x:v>
      </x:c>
      <x:c r="C1655" s="14" t="str">
        <x:v>ФОП "СПОЛЬНИЦЬКИЙ ВАСИЛЬ ОЛЕКСАНДРОВИЧ"</x:v>
      </x:c>
      <x:c r="D1655" s="14" t="str">
        <x:v>Резервне живлення</x:v>
      </x:c>
      <x:c r="E1655" s="14" t="str">
        <x:v>Pilot now</x:v>
      </x:c>
      <x:c r="F1655" s="17" t="str">
        <x:v>P3</x:v>
      </x:c>
      <x:c r="G1655" s="14" t="str"/>
      <x:c r="H1655" s="14" t="str">
        <x:v>Пілот зараз — Н.15 subset</x:v>
      </x:c>
      <x:c r="I1655" s="16" t="n">
        <x:v>4</x:v>
      </x:c>
      <x:c r="J1655" s="16" t="n">
        <x:v>5</x:v>
      </x:c>
      <x:c r="K1655" s="16" t="n">
        <x:v>5</x:v>
      </x:c>
      <x:c r="L1655" s="16" t="n">
        <x:v>1</x:v>
      </x:c>
      <x:c r="M1655" s="16" t="n">
        <x:v>5</x:v>
      </x:c>
      <x:c r="N1655" s="16" t="n">
        <x:v>3</x:v>
      </x:c>
      <x:c r="O1655" s="16" t="n">
        <x:v>3</x:v>
      </x:c>
      <x:c r="P1655" s="16" t="n">
        <x:f>IF(COUNT(I1655:O1655)&lt;7,"",I1655*8+J1655*3+K1655*2+L1655*2+M1655*2+N1655*2+O1655)</x:f>
        <x:v>78</x:v>
      </x:c>
      <x:c r="Q1655" s="16" t="n">
        <x:f>IF(COUNT(J1655:O1655)&lt;6,"",J1655*5+K1655*4+M1655*4+L1655*3+N1655*2+O1655*2)</x:f>
        <x:v>80</x:v>
      </x:c>
      <x:c r="R1655" s="14" t="str">
        <x:v>high</x:v>
      </x:c>
      <x:c r="S1655" s="14" t="str">
        <x:v>official_prozorro_award_2024_2026</x:v>
      </x:c>
      <x:c r="T1655" s="14" t="str">
        <x:v>official_prozorro_api</x:v>
      </x:c>
      <x:c r="U1655" s="14" t="str">
        <x:v>Не контактували</x:v>
      </x:c>
      <x:c r="V1655" s="15" t="str">
        <x:v>Персоналізований free-pilot outreach по UA-2025-05-22-002688-a; попросити 1 пакет Н.15</x:v>
      </x:c>
      <x:c r="W1655" s="15" t="str">
        <x:v>Власник / виконавець; відповідальний за договір</x:v>
      </x:c>
      <x:c r="X1655" s="15" t="str">
        <x:v>1 нових підтверджених перемог/договорів у Prozorro на 83 000 грн; 0 зі строком виконання не раніше 24.08.2026.</x:v>
      </x:c>
      <x:c r="Y1655" s="15" t="str">
        <x:v>Послуги   із монтажу пристрою автоматичного введення резерву (АВР) дизель-генератора; опублікований строк до 2025-12-31. Попросити один знеособлений пакет здачі за цим workflow.</x:v>
      </x:c>
      <x:c r="Z1655" s="15" t="str">
        <x:v>https://prozorro.gov.ua/tender/UA-2025-05-22-002688-a</x:v>
      </x:c>
      <x:c r="AA1655" s="14" t="str">
        <x:v>3139311999</x:v>
      </x:c>
      <x:c r="AB1655" s="14" t="str">
        <x:v>2026-08-24</x:v>
      </x:c>
      <x:c r="AC1655" s="14" t="str"/>
      <x:c r="AD1655" s="20" t="str"/>
      <x:c r="AE1655" s="14" t="str"/>
      <x:c r="AF1655" s="14" t="n">
        <x:v>27</x:v>
      </x:c>
      <x:c r="AG1655" s="14" t="str">
        <x:v>I3</x:v>
      </x:c>
      <x:c r="AH1655" s="14" t="n">
        <x:v>1</x:v>
      </x:c>
      <x:c r="AI1655" s="14" t="n">
        <x:v>0</x:v>
      </x:c>
      <x:c r="AJ1655" s="18" t="n">
        <x:v>83000</x:v>
      </x:c>
      <x:c r="AK1655" s="14" t="str">
        <x:v>https://prozorro.gov.ua/tender/UA-2025-05-22-002688-a</x:v>
      </x:c>
      <x:c r="AL1655" s="19" t="n">
        <x:v>45812.526649837964</x:v>
      </x:c>
      <x:c r="AM1655" s="19" t="n">
        <x:v>46022.35648148148</x:v>
      </x:c>
      <x:c r="AN1655" s="15" t="str">
        <x:v>Резервне живлення</x:v>
      </x:c>
      <x:c r="AO1655" s="15" t="str">
        <x:v>not_found_in_top_search</x:v>
      </x:c>
    </x:row>
    <x:row r="1656">
      <x:c r="A1656" s="14" t="str">
        <x:v>W5-284</x:v>
      </x:c>
      <x:c r="B1656" s="14" t="str">
        <x:v>Prozorro vertical expansion — 24.08</x:v>
      </x:c>
      <x:c r="C1656" s="14" t="str">
        <x:v>ФОП ШАПАРЬ АНДРІЙ ВОЛОДИМИРОВИЧ</x:v>
      </x:c>
      <x:c r="D1656" s="14" t="str">
        <x:v>Блискавкозахист / заземлення</x:v>
      </x:c>
      <x:c r="E1656" s="14" t="str">
        <x:v>Pilot now</x:v>
      </x:c>
      <x:c r="F1656" s="17" t="str">
        <x:v>P3</x:v>
      </x:c>
      <x:c r="G1656" s="14" t="str"/>
      <x:c r="H1656" s="14" t="str">
        <x:v>Пілот зараз — Н.15 subset</x:v>
      </x:c>
      <x:c r="I1656" s="16" t="n">
        <x:v>4</x:v>
      </x:c>
      <x:c r="J1656" s="16" t="n">
        <x:v>5</x:v>
      </x:c>
      <x:c r="K1656" s="16" t="n">
        <x:v>5</x:v>
      </x:c>
      <x:c r="L1656" s="16" t="n">
        <x:v>1</x:v>
      </x:c>
      <x:c r="M1656" s="16" t="n">
        <x:v>5</x:v>
      </x:c>
      <x:c r="N1656" s="16" t="n">
        <x:v>3</x:v>
      </x:c>
      <x:c r="O1656" s="16" t="n">
        <x:v>3</x:v>
      </x:c>
      <x:c r="P1656" s="16" t="n">
        <x:f>IF(COUNT(I1656:O1656)&lt;7,"",I1656*8+J1656*3+K1656*2+L1656*2+M1656*2+N1656*2+O1656)</x:f>
        <x:v>78</x:v>
      </x:c>
      <x:c r="Q1656" s="16" t="n">
        <x:f>IF(COUNT(J1656:O1656)&lt;6,"",J1656*5+K1656*4+M1656*4+L1656*3+N1656*2+O1656*2)</x:f>
        <x:v>80</x:v>
      </x:c>
      <x:c r="R1656" s="14" t="str">
        <x:v>high</x:v>
      </x:c>
      <x:c r="S1656" s="14" t="str">
        <x:v>official_prozorro_award_2024_2026</x:v>
      </x:c>
      <x:c r="T1656" s="14" t="str">
        <x:v>official_prozorro_api</x:v>
      </x:c>
      <x:c r="U1656" s="14" t="str">
        <x:v>Не контактували</x:v>
      </x:c>
      <x:c r="V1656" s="15" t="str">
        <x:v>Персоналізований free-pilot outreach по UA-2025-07-31-006294-a; попросити 1 пакет Н.15</x:v>
      </x:c>
      <x:c r="W1656" s="15" t="str">
        <x:v>Власник / виконавець; відповідальний за договір</x:v>
      </x:c>
      <x:c r="X1656" s="15" t="str">
        <x:v>1 нових підтверджених перемог/договорів у Prozorro на 79 421 грн; 0 зі строком виконання не раніше 24.08.2026.</x:v>
      </x:c>
      <x:c r="Y1656" s="15" t="str">
        <x:v>Монтаж пристроїв блискавкозахисту; опублікований строк до 2025-12-31. Попросити один знеособлений пакет здачі за цим workflow.</x:v>
      </x:c>
      <x:c r="Z1656" s="15" t="str">
        <x:v>https://prozorro.gov.ua/tender/UA-2025-07-31-006294-a</x:v>
      </x:c>
      <x:c r="AA1656" s="14" t="str">
        <x:v>2874306213</x:v>
      </x:c>
      <x:c r="AB1656" s="14" t="str">
        <x:v>2026-08-24</x:v>
      </x:c>
      <x:c r="AC1656" s="14" t="str"/>
      <x:c r="AD1656" s="20" t="str"/>
      <x:c r="AE1656" s="14" t="str"/>
      <x:c r="AF1656" s="14" t="n">
        <x:v>27</x:v>
      </x:c>
      <x:c r="AG1656" s="14" t="str">
        <x:v>I3</x:v>
      </x:c>
      <x:c r="AH1656" s="14" t="n">
        <x:v>1</x:v>
      </x:c>
      <x:c r="AI1656" s="14" t="n">
        <x:v>0</x:v>
      </x:c>
      <x:c r="AJ1656" s="18" t="n">
        <x:v>79421</x:v>
      </x:c>
      <x:c r="AK1656" s="14" t="str">
        <x:v>https://prozorro.gov.ua/tender/UA-2025-07-31-006294-a</x:v>
      </x:c>
      <x:c r="AL1656" s="19" t="n">
        <x:v>45869.500426527775</x:v>
      </x:c>
      <x:c r="AM1656" s="19" t="n">
        <x:v>46022</x:v>
      </x:c>
      <x:c r="AN1656" s="15" t="str">
        <x:v>Блискавкозахист / заземлення</x:v>
      </x:c>
      <x:c r="AO1656" s="15" t="str">
        <x:v>not_found_in_top_search</x:v>
      </x:c>
    </x:row>
    <x:row r="1657">
      <x:c r="A1657" s="14" t="str">
        <x:v>W5-285</x:v>
      </x:c>
      <x:c r="B1657" s="14" t="str">
        <x:v>Prozorro vertical expansion — 24.08</x:v>
      </x:c>
      <x:c r="C1657" s="14" t="str">
        <x:v>Фізична особа-підприємець Кудрявцев Дмитро Володимирович</x:v>
      </x:c>
      <x:c r="D1657" s="14" t="str">
        <x:v>ВОЛЗ / телеком</x:v>
      </x:c>
      <x:c r="E1657" s="14" t="str">
        <x:v>Expansion discovery</x:v>
      </x:c>
      <x:c r="F1657" s="17" t="str">
        <x:v>D3</x:v>
      </x:c>
      <x:c r="G1657" s="14" t="str"/>
      <x:c r="H1657" s="14" t="str">
        <x:v>Discovery розширення — 2 тижні</x:v>
      </x:c>
      <x:c r="I1657" s="16" t="n">
        <x:v>1</x:v>
      </x:c>
      <x:c r="J1657" s="16" t="n">
        <x:v>5</x:v>
      </x:c>
      <x:c r="K1657" s="16" t="n">
        <x:v>5</x:v>
      </x:c>
      <x:c r="L1657" s="16" t="n">
        <x:v>1</x:v>
      </x:c>
      <x:c r="M1657" s="16" t="n">
        <x:v>5</x:v>
      </x:c>
      <x:c r="N1657" s="16" t="n">
        <x:v>3</x:v>
      </x:c>
      <x:c r="O1657" s="16" t="n">
        <x:v>3</x:v>
      </x:c>
      <x:c r="P1657" s="16" t="n">
        <x:f>IF(COUNT(I1657:O1657)&lt;7,"",I1657*8+J1657*3+K1657*2+L1657*2+M1657*2+N1657*2+O1657)</x:f>
        <x:v>54</x:v>
      </x:c>
      <x:c r="Q1657" s="16" t="n">
        <x:f>IF(COUNT(J1657:O1657)&lt;6,"",J1657*5+K1657*4+M1657*4+L1657*3+N1657*2+O1657*2)</x:f>
        <x:v>80</x:v>
      </x:c>
      <x:c r="R1657" s="14" t="str">
        <x:v>high</x:v>
      </x:c>
      <x:c r="S1657" s="14" t="str">
        <x:v>official_prozorro_award_2024_2026</x:v>
      </x:c>
      <x:c r="T1657" s="14" t="str">
        <x:v>official_prozorro_api</x:v>
      </x:c>
      <x:c r="U1657" s="14" t="str">
        <x:v>Не контактували</x:v>
      </x:c>
      <x:c r="V1657" s="15" t="str">
        <x:v>Workflow-audit outreach по UA-2025-07-28-004203-a; попросити 1 пакет здачі та вимоги проєкту</x:v>
      </x:c>
      <x:c r="W1657" s="15" t="str">
        <x:v>Власник / виконавець; відповідальний за договір</x:v>
      </x:c>
      <x:c r="X1657" s="15" t="str">
        <x:v>1 нових підтверджених перемог/договорів у Prozorro на 68 494 грн; 0 зі строком виконання не раніше 24.08.2026.</x:v>
      </x:c>
      <x:c r="Y1657" s="15" t="str">
        <x:v>Послуги з монтажу телекомунікаційної мережі; опублікований строк до 2025-08-31. Попросити один знеособлений пакет здачі за цим workflow.</x:v>
      </x:c>
      <x:c r="Z1657" s="15" t="str">
        <x:v>https://prozorro.gov.ua/tender/UA-2025-07-28-004203-a</x:v>
      </x:c>
      <x:c r="AA1657" s="14" t="str">
        <x:v>2798705033</x:v>
      </x:c>
      <x:c r="AB1657" s="14" t="str">
        <x:v>2026-08-24</x:v>
      </x:c>
      <x:c r="AC1657" s="14" t="str"/>
      <x:c r="AD1657" s="20" t="str"/>
      <x:c r="AE1657" s="14" t="str"/>
      <x:c r="AF1657" s="14" t="n">
        <x:v>27</x:v>
      </x:c>
      <x:c r="AG1657" s="14" t="str">
        <x:v>I3</x:v>
      </x:c>
      <x:c r="AH1657" s="14" t="n">
        <x:v>1</x:v>
      </x:c>
      <x:c r="AI1657" s="14" t="n">
        <x:v>0</x:v>
      </x:c>
      <x:c r="AJ1657" s="18" t="n">
        <x:v>68494</x:v>
      </x:c>
      <x:c r="AK1657" s="14" t="str">
        <x:v>https://prozorro.gov.ua/tender/UA-2025-07-28-004203-a</x:v>
      </x:c>
      <x:c r="AL1657" s="19" t="n">
        <x:v>45866.39396410879</x:v>
      </x:c>
      <x:c r="AM1657" s="19" t="n">
        <x:v>45900</x:v>
      </x:c>
      <x:c r="AN1657" s="15" t="str">
        <x:v>ВОЛЗ / телеком</x:v>
      </x:c>
      <x:c r="AO1657" s="15" t="str">
        <x:v>not_found_in_top_search</x:v>
      </x:c>
    </x:row>
    <x:row r="1658">
      <x:c r="A1658" s="14" t="str">
        <x:v>W5-286</x:v>
      </x:c>
      <x:c r="B1658" s="14" t="str">
        <x:v>Prozorro vertical expansion — 24.08</x:v>
      </x:c>
      <x:c r="C1658" s="14" t="str">
        <x:v>ФОП Неструга Антоніна Ігорівна</x:v>
      </x:c>
      <x:c r="D1658" s="14" t="str">
        <x:v>Промисловий холод</x:v>
      </x:c>
      <x:c r="E1658" s="14" t="str">
        <x:v>Expansion discovery</x:v>
      </x:c>
      <x:c r="F1658" s="17" t="str">
        <x:v>D3</x:v>
      </x:c>
      <x:c r="G1658" s="14" t="str"/>
      <x:c r="H1658" s="14" t="str">
        <x:v>Discovery розширення — 2 тижні</x:v>
      </x:c>
      <x:c r="I1658" s="16" t="n">
        <x:v>1</x:v>
      </x:c>
      <x:c r="J1658" s="16" t="n">
        <x:v>5</x:v>
      </x:c>
      <x:c r="K1658" s="16" t="n">
        <x:v>5</x:v>
      </x:c>
      <x:c r="L1658" s="16" t="n">
        <x:v>1</x:v>
      </x:c>
      <x:c r="M1658" s="16" t="n">
        <x:v>5</x:v>
      </x:c>
      <x:c r="N1658" s="16" t="n">
        <x:v>3</x:v>
      </x:c>
      <x:c r="O1658" s="16" t="n">
        <x:v>3</x:v>
      </x:c>
      <x:c r="P1658" s="16" t="n">
        <x:f>IF(COUNT(I1658:O1658)&lt;7,"",I1658*8+J1658*3+K1658*2+L1658*2+M1658*2+N1658*2+O1658)</x:f>
        <x:v>54</x:v>
      </x:c>
      <x:c r="Q1658" s="16" t="n">
        <x:f>IF(COUNT(J1658:O1658)&lt;6,"",J1658*5+K1658*4+M1658*4+L1658*3+N1658*2+O1658*2)</x:f>
        <x:v>80</x:v>
      </x:c>
      <x:c r="R1658" s="14" t="str">
        <x:v>high</x:v>
      </x:c>
      <x:c r="S1658" s="14" t="str">
        <x:v>official_prozorro_award_2024_2026</x:v>
      </x:c>
      <x:c r="T1658" s="14" t="str">
        <x:v>official_prozorro_api</x:v>
      </x:c>
      <x:c r="U1658" s="14" t="str">
        <x:v>Не контактували</x:v>
      </x:c>
      <x:c r="V1658" s="15" t="str">
        <x:v>Workflow-audit outreach по UA-2025-10-02-009126-a; попросити 1 пакет здачі та вимоги проєкту</x:v>
      </x:c>
      <x:c r="W1658" s="15" t="str">
        <x:v>Власник / виконавець; відповідальний за договір</x:v>
      </x:c>
      <x:c r="X1658" s="15" t="str">
        <x:v>1 нових підтверджених перемог/договорів у Prozorro на 60 000 грн; 0 зі строком виконання не раніше 24.08.2026.</x:v>
      </x:c>
      <x:c r="Y1658" s="15" t="str">
        <x:v>Кондиціонери для забезпечення роботи кабінетів закладу охорони здоров’я (внутрішні та зовнішні блоки) із встановленням (монтажем) (42512200-0) ДК 021:2015: 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58" s="15" t="str">
        <x:v>https://prozorro.gov.ua/tender/UA-2025-10-02-009126-a</x:v>
      </x:c>
      <x:c r="AA1658" s="14" t="str">
        <x:v>3606202443</x:v>
      </x:c>
      <x:c r="AB1658" s="14" t="str">
        <x:v>2026-08-24</x:v>
      </x:c>
      <x:c r="AC1658" s="14" t="str"/>
      <x:c r="AD1658" s="20" t="str"/>
      <x:c r="AE1658" s="14" t="str"/>
      <x:c r="AF1658" s="14" t="n">
        <x:v>27</x:v>
      </x:c>
      <x:c r="AG1658" s="14" t="str">
        <x:v>I3</x:v>
      </x:c>
      <x:c r="AH1658" s="14" t="n">
        <x:v>1</x:v>
      </x:c>
      <x:c r="AI1658" s="14" t="n">
        <x:v>0</x:v>
      </x:c>
      <x:c r="AJ1658" s="18" t="n">
        <x:v>60000</x:v>
      </x:c>
      <x:c r="AK1658" s="14" t="str">
        <x:v>https://prozorro.gov.ua/tender/UA-2025-10-02-009126-a</x:v>
      </x:c>
      <x:c r="AL1658" s="19" t="n">
        <x:v>45932.50186827546</x:v>
      </x:c>
      <x:c r="AM1658" s="19" t="n">
        <x:v>46022</x:v>
      </x:c>
      <x:c r="AN1658" s="15" t="str">
        <x:v>Промисловий холод</x:v>
      </x:c>
      <x:c r="AO1658" s="15" t="str">
        <x:v>not_found_in_top_search</x:v>
      </x:c>
    </x:row>
    <x:row r="1659">
      <x:c r="A1659" s="14" t="str">
        <x:v>W5-287</x:v>
      </x:c>
      <x:c r="B1659" s="14" t="str">
        <x:v>Prozorro vertical expansion — 24.08</x:v>
      </x:c>
      <x:c r="C1659" s="14" t="str">
        <x:v> ФОП ПОЗДНЯКОВ СЕРГІЙ ІВАНОВИЧ</x:v>
      </x:c>
      <x:c r="D1659" s="14" t="str">
        <x:v>Промисловий холод</x:v>
      </x:c>
      <x:c r="E1659" s="14" t="str">
        <x:v>Expansion discovery</x:v>
      </x:c>
      <x:c r="F1659" s="17" t="str">
        <x:v>D3</x:v>
      </x:c>
      <x:c r="G1659" s="14" t="str"/>
      <x:c r="H1659" s="14" t="str">
        <x:v>Discovery розширення — 2 тижні</x:v>
      </x:c>
      <x:c r="I1659" s="16" t="n">
        <x:v>1</x:v>
      </x:c>
      <x:c r="J1659" s="16" t="n">
        <x:v>5</x:v>
      </x:c>
      <x:c r="K1659" s="16" t="n">
        <x:v>5</x:v>
      </x:c>
      <x:c r="L1659" s="16" t="n">
        <x:v>1</x:v>
      </x:c>
      <x:c r="M1659" s="16" t="n">
        <x:v>5</x:v>
      </x:c>
      <x:c r="N1659" s="16" t="n">
        <x:v>3</x:v>
      </x:c>
      <x:c r="O1659" s="16" t="n">
        <x:v>3</x:v>
      </x:c>
      <x:c r="P1659" s="16" t="n">
        <x:f>IF(COUNT(I1659:O1659)&lt;7,"",I1659*8+J1659*3+K1659*2+L1659*2+M1659*2+N1659*2+O1659)</x:f>
        <x:v>54</x:v>
      </x:c>
      <x:c r="Q1659" s="16" t="n">
        <x:f>IF(COUNT(J1659:O1659)&lt;6,"",J1659*5+K1659*4+M1659*4+L1659*3+N1659*2+O1659*2)</x:f>
        <x:v>80</x:v>
      </x:c>
      <x:c r="R1659" s="14" t="str">
        <x:v>high</x:v>
      </x:c>
      <x:c r="S1659" s="14" t="str">
        <x:v>official_prozorro_award_2024_2026</x:v>
      </x:c>
      <x:c r="T1659" s="14" t="str">
        <x:v>official_prozorro_api</x:v>
      </x:c>
      <x:c r="U1659" s="14" t="str">
        <x:v>Не контактували</x:v>
      </x:c>
      <x:c r="V1659" s="15" t="str">
        <x:v>Workflow-audit outreach по UA-2025-11-21-012711-a; попросити 1 пакет здачі та вимоги проєкту</x:v>
      </x:c>
      <x:c r="W1659" s="15" t="str">
        <x:v>Власник / виконавець; відповідальний за договір</x:v>
      </x:c>
      <x:c r="X1659" s="15" t="str">
        <x:v>1 нових підтверджених перемог/договорів у Prozorro на 51 025 грн; 0 зі строком виконання не раніше 24.08.2026.</x:v>
      </x:c>
      <x:c r="Y1659" s="15" t="str">
        <x:v>послуги демонтажу холодильного обладнання; опублікований строк до 2025-12-31. Попросити один знеособлений пакет здачі за цим workflow.</x:v>
      </x:c>
      <x:c r="Z1659" s="15" t="str">
        <x:v>https://prozorro.gov.ua/tender/UA-2025-11-21-012711-a</x:v>
      </x:c>
      <x:c r="AA1659" s="14" t="str">
        <x:v>2459000452</x:v>
      </x:c>
      <x:c r="AB1659" s="14" t="str">
        <x:v>2026-08-24</x:v>
      </x:c>
      <x:c r="AC1659" s="14" t="str"/>
      <x:c r="AD1659" s="20" t="str"/>
      <x:c r="AE1659" s="14" t="str"/>
      <x:c r="AF1659" s="14" t="n">
        <x:v>27</x:v>
      </x:c>
      <x:c r="AG1659" s="14" t="str">
        <x:v>I3</x:v>
      </x:c>
      <x:c r="AH1659" s="14" t="n">
        <x:v>1</x:v>
      </x:c>
      <x:c r="AI1659" s="14" t="n">
        <x:v>0</x:v>
      </x:c>
      <x:c r="AJ1659" s="18" t="n">
        <x:v>51025</x:v>
      </x:c>
      <x:c r="AK1659" s="14" t="str">
        <x:v>https://prozorro.gov.ua/tender/UA-2025-11-21-012711-a</x:v>
      </x:c>
      <x:c r="AL1659" s="19" t="n">
        <x:v>45982.551376157404</x:v>
      </x:c>
      <x:c r="AM1659" s="19" t="n">
        <x:v>46022.874999988424</x:v>
      </x:c>
      <x:c r="AN1659" s="15" t="str">
        <x:v>Промисловий холод</x:v>
      </x:c>
      <x:c r="AO1659" s="15" t="str">
        <x:v>not_found_in_top_search</x:v>
      </x:c>
    </x:row>
    <x:row r="1660">
      <x:c r="A1660" s="14" t="str">
        <x:v>W5-288</x:v>
      </x:c>
      <x:c r="B1660" s="14" t="str">
        <x:v>Prozorro vertical expansion — 24.08</x:v>
      </x:c>
      <x:c r="C1660" s="14" t="str">
        <x:v>Фізична особа-підприємець Сахно Олександр Іванович</x:v>
      </x:c>
      <x:c r="D1660" s="14" t="str">
        <x:v>Резервне живлення</x:v>
      </x:c>
      <x:c r="E1660" s="14" t="str">
        <x:v>Pilot now</x:v>
      </x:c>
      <x:c r="F1660" s="17" t="str">
        <x:v>P3</x:v>
      </x:c>
      <x:c r="G1660" s="14" t="str"/>
      <x:c r="H1660" s="14" t="str">
        <x:v>Пілот зараз — Н.15 subset</x:v>
      </x:c>
      <x:c r="I1660" s="16" t="n">
        <x:v>4</x:v>
      </x:c>
      <x:c r="J1660" s="16" t="n">
        <x:v>5</x:v>
      </x:c>
      <x:c r="K1660" s="16" t="n">
        <x:v>5</x:v>
      </x:c>
      <x:c r="L1660" s="16" t="n">
        <x:v>1</x:v>
      </x:c>
      <x:c r="M1660" s="16" t="n">
        <x:v>5</x:v>
      </x:c>
      <x:c r="N1660" s="16" t="n">
        <x:v>3</x:v>
      </x:c>
      <x:c r="O1660" s="16" t="n">
        <x:v>3</x:v>
      </x:c>
      <x:c r="P1660" s="16" t="n">
        <x:f>IF(COUNT(I1660:O1660)&lt;7,"",I1660*8+J1660*3+K1660*2+L1660*2+M1660*2+N1660*2+O1660)</x:f>
        <x:v>78</x:v>
      </x:c>
      <x:c r="Q1660" s="16" t="n">
        <x:f>IF(COUNT(J1660:O1660)&lt;6,"",J1660*5+K1660*4+M1660*4+L1660*3+N1660*2+O1660*2)</x:f>
        <x:v>80</x:v>
      </x:c>
      <x:c r="R1660" s="14" t="str">
        <x:v>high</x:v>
      </x:c>
      <x:c r="S1660" s="14" t="str">
        <x:v>official_prozorro_award_2024_2026</x:v>
      </x:c>
      <x:c r="T1660" s="14" t="str">
        <x:v>official_prozorro_api</x:v>
      </x:c>
      <x:c r="U1660" s="14" t="str">
        <x:v>Не контактували</x:v>
      </x:c>
      <x:c r="V1660" s="15" t="str">
        <x:v>Персоналізований free-pilot outreach по UA-2025-12-18-019360-a; попросити 1 пакет Н.15</x:v>
      </x:c>
      <x:c r="W1660" s="15" t="str">
        <x:v>Власник / виконавець; відповідальний за договір</x:v>
      </x:c>
      <x:c r="X1660" s="15" t="str">
        <x:v>1 нових підтверджених перемог/договорів у Prozorro на 21 200 грн; 0 зі строком виконання не раніше 24.08.2026.</x:v>
      </x:c>
      <x:c r="Y1660" s="15" t="str">
        <x:v>Послуги по монтажу кабельної лінії (резерв для котельні) від дизель генератора, в орендованому приміщенні за адресою: Полтавська область, Миргородський район, с. Веприк, вул. Заводська, буд. 4, код за ДК 021:2015 45310000-3 електромонтажні роботи; опублікований строк до 2025-12-31. Попросити один знеособлений пакет здачі за цим workflow.</x:v>
      </x:c>
      <x:c r="Z1660" s="15" t="str">
        <x:v>https://prozorro.gov.ua/tender/UA-2025-12-18-019360-a</x:v>
      </x:c>
      <x:c r="AA1660" s="14" t="str">
        <x:v>2405103658</x:v>
      </x:c>
      <x:c r="AB1660" s="14" t="str">
        <x:v>2026-08-24</x:v>
      </x:c>
      <x:c r="AC1660" s="14" t="str"/>
      <x:c r="AD1660" s="20" t="str"/>
      <x:c r="AE1660" s="14" t="str"/>
      <x:c r="AF1660" s="14" t="n">
        <x:v>27</x:v>
      </x:c>
      <x:c r="AG1660" s="14" t="str">
        <x:v>I3</x:v>
      </x:c>
      <x:c r="AH1660" s="14" t="n">
        <x:v>1</x:v>
      </x:c>
      <x:c r="AI1660" s="14" t="n">
        <x:v>0</x:v>
      </x:c>
      <x:c r="AJ1660" s="18" t="n">
        <x:v>21200</x:v>
      </x:c>
      <x:c r="AK1660" s="14" t="str">
        <x:v>https://prozorro.gov.ua/tender/UA-2025-12-18-019360-a</x:v>
      </x:c>
      <x:c r="AL1660" s="19" t="n">
        <x:v>46009.581642627316</x:v>
      </x:c>
      <x:c r="AM1660" s="19" t="n">
        <x:v>46022.58188657407</x:v>
      </x:c>
      <x:c r="AN1660" s="15" t="str">
        <x:v>Резервне живлення</x:v>
      </x:c>
      <x:c r="AO1660" s="15" t="str">
        <x:v>not_found_in_top_search</x:v>
      </x:c>
    </x:row>
    <x:row r="1661">
      <x:c r="A1661" s="14" t="str">
        <x:v>W5-289</x:v>
      </x:c>
      <x:c r="B1661" s="14" t="str">
        <x:v>Prozorro vertical expansion — 24.08</x:v>
      </x:c>
      <x:c r="C1661" s="14" t="str">
        <x:v>ФОП Березовський Костянтин Олегович</x:v>
      </x:c>
      <x:c r="D1661" s="14" t="str">
        <x:v>Зовнішні мережі</x:v>
      </x:c>
      <x:c r="E1661" s="14" t="str">
        <x:v>Expansion discovery</x:v>
      </x:c>
      <x:c r="F1661" s="17" t="str">
        <x:v>D3</x:v>
      </x:c>
      <x:c r="G1661" s="14" t="str"/>
      <x:c r="H1661" s="14" t="str">
        <x:v>Discovery розширення — 2 тижні</x:v>
      </x:c>
      <x:c r="I1661" s="16" t="n">
        <x:v>1</x:v>
      </x:c>
      <x:c r="J1661" s="16" t="n">
        <x:v>5</x:v>
      </x:c>
      <x:c r="K1661" s="16" t="n">
        <x:v>5</x:v>
      </x:c>
      <x:c r="L1661" s="16" t="n">
        <x:v>1</x:v>
      </x:c>
      <x:c r="M1661" s="16" t="n">
        <x:v>5</x:v>
      </x:c>
      <x:c r="N1661" s="16" t="n">
        <x:v>3</x:v>
      </x:c>
      <x:c r="O1661" s="16" t="n">
        <x:v>3</x:v>
      </x:c>
      <x:c r="P1661" s="16" t="n">
        <x:f>IF(COUNT(I1661:O1661)&lt;7,"",I1661*8+J1661*3+K1661*2+L1661*2+M1661*2+N1661*2+O1661)</x:f>
        <x:v>54</x:v>
      </x:c>
      <x:c r="Q1661" s="16" t="n">
        <x:f>IF(COUNT(J1661:O1661)&lt;6,"",J1661*5+K1661*4+M1661*4+L1661*3+N1661*2+O1661*2)</x:f>
        <x:v>80</x:v>
      </x:c>
      <x:c r="R1661" s="14" t="str">
        <x:v>high</x:v>
      </x:c>
      <x:c r="S1661" s="14" t="str">
        <x:v>official_prozorro_award_2024_2026</x:v>
      </x:c>
      <x:c r="T1661" s="14" t="str">
        <x:v>official_prozorro_api</x:v>
      </x:c>
      <x:c r="U1661" s="14" t="str">
        <x:v>Не контактували</x:v>
      </x:c>
      <x:c r="V1661" s="15" t="str">
        <x:v>Workflow-audit outreach по UA-2025-09-22-002928-a; попросити 1 пакет здачі та вимоги проєкту</x:v>
      </x:c>
      <x:c r="W1661" s="15" t="str">
        <x:v>Власник / виконавець; відповідальний за договір</x:v>
      </x:c>
      <x:c r="X1661" s="15" t="str">
        <x:v>1 нових підтверджених перемог/договорів у Prozorro на 15 000 грн; 0 зі строком виконання не раніше 24.08.2026.</x:v>
      </x:c>
      <x:c r="Y1661" s="15" t="str">
        <x:v>Послуги з виготовлення технічного паспорта "Нове будівництво зовнішніх мереж водопостачання по вул. Прибережній, Шевченка та Лісовій  в с. Сосонка,  Вінницького району, Вінницької області"; опублікований строк до 2025-09-30. Попросити один знеособлений пакет здачі за цим workflow.</x:v>
      </x:c>
      <x:c r="Z1661" s="15" t="str">
        <x:v>https://prozorro.gov.ua/tender/UA-2025-09-22-002928-a</x:v>
      </x:c>
      <x:c r="AA1661" s="14" t="str">
        <x:v>3118010179</x:v>
      </x:c>
      <x:c r="AB1661" s="14" t="str">
        <x:v>2026-08-24</x:v>
      </x:c>
      <x:c r="AC1661" s="14" t="str"/>
      <x:c r="AD1661" s="20" t="str"/>
      <x:c r="AE1661" s="14" t="str"/>
      <x:c r="AF1661" s="14" t="n">
        <x:v>27</x:v>
      </x:c>
      <x:c r="AG1661" s="14" t="str">
        <x:v>I3</x:v>
      </x:c>
      <x:c r="AH1661" s="14" t="n">
        <x:v>1</x:v>
      </x:c>
      <x:c r="AI1661" s="14" t="n">
        <x:v>0</x:v>
      </x:c>
      <x:c r="AJ1661" s="18" t="n">
        <x:v>15000</x:v>
      </x:c>
      <x:c r="AK1661" s="14" t="str">
        <x:v>https://prozorro.gov.ua/tender/UA-2025-09-22-002928-a</x:v>
      </x:c>
      <x:c r="AL1661" s="19" t="n">
        <x:v>45922.32755563658</x:v>
      </x:c>
      <x:c r="AM1661" s="19" t="n">
        <x:v>45930.32849537037</x:v>
      </x:c>
      <x:c r="AN1661" s="15" t="str">
        <x:v>Зовнішні мережі</x:v>
      </x:c>
      <x:c r="AO1661" s="15" t="str">
        <x:v>not_found_in_top_search</x:v>
      </x:c>
    </x:row>
    <x:row r="1662">
      <x:c r="A1662" s="14" t="str">
        <x:v>W5-290</x:v>
      </x:c>
      <x:c r="B1662" s="14" t="str">
        <x:v>Prozorro vertical expansion — 24.08</x:v>
      </x:c>
      <x:c r="C1662" s="14" t="str">
        <x:v>ФІЗИЧНА ОСОБА ПІДПРИЄМЕЦЬ ХАЛЬЗОВ СЕРГІЙ МИКОЛАЙОВИЧ</x:v>
      </x:c>
      <x:c r="D1662" s="14" t="str">
        <x:v>Промисловий холод</x:v>
      </x:c>
      <x:c r="E1662" s="14" t="str">
        <x:v>Expansion discovery</x:v>
      </x:c>
      <x:c r="F1662" s="17" t="str">
        <x:v>D3</x:v>
      </x:c>
      <x:c r="G1662" s="14" t="str"/>
      <x:c r="H1662" s="14" t="str">
        <x:v>Discovery розширення — 2 тижні</x:v>
      </x:c>
      <x:c r="I1662" s="16" t="n">
        <x:v>1</x:v>
      </x:c>
      <x:c r="J1662" s="16" t="n">
        <x:v>5</x:v>
      </x:c>
      <x:c r="K1662" s="16" t="n">
        <x:v>5</x:v>
      </x:c>
      <x:c r="L1662" s="16" t="n">
        <x:v>1</x:v>
      </x:c>
      <x:c r="M1662" s="16" t="n">
        <x:v>5</x:v>
      </x:c>
      <x:c r="N1662" s="16" t="n">
        <x:v>3</x:v>
      </x:c>
      <x:c r="O1662" s="16" t="n">
        <x:v>3</x:v>
      </x:c>
      <x:c r="P1662" s="16" t="n">
        <x:f>IF(COUNT(I1662:O1662)&lt;7,"",I1662*8+J1662*3+K1662*2+L1662*2+M1662*2+N1662*2+O1662)</x:f>
        <x:v>54</x:v>
      </x:c>
      <x:c r="Q1662" s="16" t="n">
        <x:f>IF(COUNT(J1662:O1662)&lt;6,"",J1662*5+K1662*4+M1662*4+L1662*3+N1662*2+O1662*2)</x:f>
        <x:v>80</x:v>
      </x:c>
      <x:c r="R1662" s="14" t="str">
        <x:v>high</x:v>
      </x:c>
      <x:c r="S1662" s="14" t="str">
        <x:v>official_prozorro_award_2024_2026</x:v>
      </x:c>
      <x:c r="T1662" s="14" t="str">
        <x:v>official_prozorro_api</x:v>
      </x:c>
      <x:c r="U1662" s="14" t="str">
        <x:v>Не контактували</x:v>
      </x:c>
      <x:c r="V1662" s="15" t="str">
        <x:v>Workflow-audit outreach по UA-2025-08-11-009229-a; попросити 1 пакет здачі та вимоги проєкту</x:v>
      </x:c>
      <x:c r="W1662" s="15" t="str">
        <x:v>Власник / виконавець; відповідальний за договір</x:v>
      </x:c>
      <x:c r="X1662" s="15" t="str">
        <x:v>1 нових підтверджених перемог/договорів у Prozorro на 7 750 грн; 0 зі строком виконання не раніше 24.08.2026.</x:v>
      </x:c>
      <x:c r="Y1662" s="15" t="str">
        <x:v>Послуги по поточному ремонту, технічному обслуговуванню, установці та монтажу охолоджувальних установок: поточний ремонт та технічне обслуговування кондиціонерів, поточний ремонт та технічне обслуговування холодильної камери, установка та монтаж охолоджувальної системи (кондиціонера); опублікований строк до 2025-08-15. Попросити один знеособлений пакет здачі за цим workflow.</x:v>
      </x:c>
      <x:c r="Z1662" s="15" t="str">
        <x:v>https://prozorro.gov.ua/tender/UA-2025-08-11-009229-a</x:v>
      </x:c>
      <x:c r="AA1662" s="14" t="str">
        <x:v>2664009518</x:v>
      </x:c>
      <x:c r="AB1662" s="14" t="str">
        <x:v>2026-08-24</x:v>
      </x:c>
      <x:c r="AC1662" s="14" t="str"/>
      <x:c r="AD1662" s="20" t="str"/>
      <x:c r="AE1662" s="14" t="str"/>
      <x:c r="AF1662" s="14" t="n">
        <x:v>27</x:v>
      </x:c>
      <x:c r="AG1662" s="14" t="str">
        <x:v>I3</x:v>
      </x:c>
      <x:c r="AH1662" s="14" t="n">
        <x:v>1</x:v>
      </x:c>
      <x:c r="AI1662" s="14" t="n">
        <x:v>0</x:v>
      </x:c>
      <x:c r="AJ1662" s="18" t="n">
        <x:v>7750</x:v>
      </x:c>
      <x:c r="AK1662" s="14" t="str">
        <x:v>https://prozorro.gov.ua/tender/UA-2025-08-11-009229-a</x:v>
      </x:c>
      <x:c r="AL1662" s="19" t="n">
        <x:v>45880.54833114583</x:v>
      </x:c>
      <x:c r="AM1662" s="19" t="n">
        <x:v>45884.53884259259</x:v>
      </x:c>
      <x:c r="AN1662" s="15" t="str">
        <x:v>Промисловий холод</x:v>
      </x:c>
      <x:c r="AO1662" s="15" t="str">
        <x:v>not_found_in_top_search</x:v>
      </x:c>
    </x:row>
    <x:row r="1663">
      <x:c r="A1663" s="14" t="str">
        <x:v>W5-291</x:v>
      </x:c>
      <x:c r="B1663" s="14" t="str">
        <x:v>Prozorro vertical expansion — 24.08</x:v>
      </x:c>
      <x:c r="C1663" s="14" t="str">
        <x:v>ФОП Єфремов Віталій Миколайович</x:v>
      </x:c>
      <x:c r="D1663" s="14" t="str">
        <x:v>Промисловий холод</x:v>
      </x:c>
      <x:c r="E1663" s="14" t="str">
        <x:v>Expansion discovery</x:v>
      </x:c>
      <x:c r="F1663" s="17" t="str">
        <x:v>D3</x:v>
      </x:c>
      <x:c r="G1663" s="14" t="str"/>
      <x:c r="H1663" s="14" t="str">
        <x:v>Discovery розширення — 2 тижні</x:v>
      </x:c>
      <x:c r="I1663" s="16" t="n">
        <x:v>1</x:v>
      </x:c>
      <x:c r="J1663" s="16" t="n">
        <x:v>5</x:v>
      </x:c>
      <x:c r="K1663" s="16" t="n">
        <x:v>5</x:v>
      </x:c>
      <x:c r="L1663" s="16" t="n">
        <x:v>1</x:v>
      </x:c>
      <x:c r="M1663" s="16" t="n">
        <x:v>5</x:v>
      </x:c>
      <x:c r="N1663" s="16" t="n">
        <x:v>3</x:v>
      </x:c>
      <x:c r="O1663" s="16" t="n">
        <x:v>3</x:v>
      </x:c>
      <x:c r="P1663" s="16" t="n">
        <x:f>IF(COUNT(I1663:O1663)&lt;7,"",I1663*8+J1663*3+K1663*2+L1663*2+M1663*2+N1663*2+O1663)</x:f>
        <x:v>54</x:v>
      </x:c>
      <x:c r="Q1663" s="16" t="n">
        <x:f>IF(COUNT(J1663:O1663)&lt;6,"",J1663*5+K1663*4+M1663*4+L1663*3+N1663*2+O1663*2)</x:f>
        <x:v>80</x:v>
      </x:c>
      <x:c r="R1663" s="14" t="str">
        <x:v>high</x:v>
      </x:c>
      <x:c r="S1663" s="14" t="str">
        <x:v>official_prozorro_award_2024_2026</x:v>
      </x:c>
      <x:c r="T1663" s="14" t="str">
        <x:v>official_prozorro_api</x:v>
      </x:c>
      <x:c r="U1663" s="14" t="str">
        <x:v>Не контактували</x:v>
      </x:c>
      <x:c r="V1663" s="15" t="str">
        <x:v>Workflow-audit outreach по UA-2025-11-20-000784-a; попросити 1 пакет здачі та вимоги проєкту</x:v>
      </x:c>
      <x:c r="W1663" s="15" t="str">
        <x:v>Власник / виконавець; відповідальний за договір</x:v>
      </x:c>
      <x:c r="X1663" s="15" t="str">
        <x:v>1 нових підтверджених перемог/договорів у Prozorro на 5 200 грн; 0 зі строком виконання не раніше 24.08.2026.</x:v>
      </x:c>
      <x:c r="Y1663" s="15" t="str">
        <x:v>Послуги по монтажу та налагодженню Збірно-розбірної холодильної камери назькотемпературної у комплекті з холодильним моноблоком низькотемпературним; опублікований строк до 2025-12-31. Попросити один знеособлений пакет здачі за цим workflow.</x:v>
      </x:c>
      <x:c r="Z1663" s="15" t="str">
        <x:v>https://prozorro.gov.ua/tender/UA-2025-11-20-000784-a</x:v>
      </x:c>
      <x:c r="AA1663" s="14" t="str">
        <x:v>2645619018</x:v>
      </x:c>
      <x:c r="AB1663" s="14" t="str">
        <x:v>2026-08-24</x:v>
      </x:c>
      <x:c r="AC1663" s="14" t="str"/>
      <x:c r="AD1663" s="20" t="str"/>
      <x:c r="AE1663" s="14" t="str"/>
      <x:c r="AF1663" s="14" t="n">
        <x:v>27</x:v>
      </x:c>
      <x:c r="AG1663" s="14" t="str">
        <x:v>I3</x:v>
      </x:c>
      <x:c r="AH1663" s="14" t="n">
        <x:v>1</x:v>
      </x:c>
      <x:c r="AI1663" s="14" t="n">
        <x:v>0</x:v>
      </x:c>
      <x:c r="AJ1663" s="18" t="n">
        <x:v>5200</x:v>
      </x:c>
      <x:c r="AK1663" s="14" t="str">
        <x:v>https://prozorro.gov.ua/tender/UA-2025-11-20-000784-a</x:v>
      </x:c>
      <x:c r="AL1663" s="19" t="n">
        <x:v>45981.29785822917</x:v>
      </x:c>
      <x:c r="AM1663" s="19" t="n">
        <x:v>46022.29844907407</x:v>
      </x:c>
      <x:c r="AN1663" s="15" t="str">
        <x:v>Промисловий холод</x:v>
      </x:c>
      <x:c r="AO1663" s="15" t="str">
        <x:v>not_found_in_top_search</x:v>
      </x:c>
    </x:row>
    <x:row r="1664">
      <x:c r="A1664" s="14" t="str">
        <x:v>W5-292</x:v>
      </x:c>
      <x:c r="B1664" s="14" t="str">
        <x:v>Prozorro vertical expansion — 24.08</x:v>
      </x:c>
      <x:c r="C1664" s="14" t="str">
        <x:v>ФОП Ковтун Володимир Вікторович</x:v>
      </x:c>
      <x:c r="D1664" s="14" t="str">
        <x:v>ВОЛЗ / телеком</x:v>
      </x:c>
      <x:c r="E1664" s="14" t="str">
        <x:v>Expansion discovery</x:v>
      </x:c>
      <x:c r="F1664" s="17" t="str">
        <x:v>D3</x:v>
      </x:c>
      <x:c r="G1664" s="14" t="str"/>
      <x:c r="H1664" s="14" t="str">
        <x:v>Discovery розширення — 2 тижні</x:v>
      </x:c>
      <x:c r="I1664" s="16" t="n">
        <x:v>1</x:v>
      </x:c>
      <x:c r="J1664" s="16" t="n">
        <x:v>5</x:v>
      </x:c>
      <x:c r="K1664" s="16" t="n">
        <x:v>5</x:v>
      </x:c>
      <x:c r="L1664" s="16" t="n">
        <x:v>1</x:v>
      </x:c>
      <x:c r="M1664" s="16" t="n">
        <x:v>5</x:v>
      </x:c>
      <x:c r="N1664" s="16" t="n">
        <x:v>3</x:v>
      </x:c>
      <x:c r="O1664" s="16" t="n">
        <x:v>3</x:v>
      </x:c>
      <x:c r="P1664" s="16" t="n">
        <x:f>IF(COUNT(I1664:O1664)&lt;7,"",I1664*8+J1664*3+K1664*2+L1664*2+M1664*2+N1664*2+O1664)</x:f>
        <x:v>54</x:v>
      </x:c>
      <x:c r="Q1664" s="16" t="n">
        <x:f>IF(COUNT(J1664:O1664)&lt;6,"",J1664*5+K1664*4+M1664*4+L1664*3+N1664*2+O1664*2)</x:f>
        <x:v>80</x:v>
      </x:c>
      <x:c r="R1664" s="14" t="str">
        <x:v>high</x:v>
      </x:c>
      <x:c r="S1664" s="14" t="str">
        <x:v>official_prozorro_award_2024_2026</x:v>
      </x:c>
      <x:c r="T1664" s="14" t="str">
        <x:v>official_prozorro_api</x:v>
      </x:c>
      <x:c r="U1664" s="14" t="str">
        <x:v>Не контактували</x:v>
      </x:c>
      <x:c r="V1664" s="15" t="str">
        <x:v>Workflow-audit outreach по UA-2025-05-06-003334-a; попросити 1 пакет здачі та вимоги проєкту</x:v>
      </x:c>
      <x:c r="W1664" s="15" t="str">
        <x:v>Власник / виконавець; відповідальний за договір</x:v>
      </x:c>
      <x:c r="X1664" s="15" t="str">
        <x:v>1 нових підтверджених перемог/договорів у Prozorro на 5 000 грн; 0 зі строком виконання не раніше 24.08.2026.</x:v>
      </x:c>
      <x:c r="Y1664" s="15" t="str">
        <x:v>Послуги по монтажу аба вдосконаленню телекомунікаційної мережі  за адресою: с.Іванівка, вул. Центральна, 90 (укриття ліцею)  за ДК 021:2015 Єдиного закупівельного словника  72710000-0 - Послуги у сфері локальних мереж; опублікований строк до 2025-12-31. Попросити один знеособлений пакет здачі за цим workflow.</x:v>
      </x:c>
      <x:c r="Z1664" s="15" t="str">
        <x:v>https://prozorro.gov.ua/tender/UA-2025-05-06-003334-a</x:v>
      </x:c>
      <x:c r="AA1664" s="14" t="str">
        <x:v>2377511937</x:v>
      </x:c>
      <x:c r="AB1664" s="14" t="str">
        <x:v>2026-08-24</x:v>
      </x:c>
      <x:c r="AC1664" s="14" t="str"/>
      <x:c r="AD1664" s="20" t="str"/>
      <x:c r="AE1664" s="14" t="str"/>
      <x:c r="AF1664" s="14" t="n">
        <x:v>27</x:v>
      </x:c>
      <x:c r="AG1664" s="14" t="str">
        <x:v>I3</x:v>
      </x:c>
      <x:c r="AH1664" s="14" t="n">
        <x:v>1</x:v>
      </x:c>
      <x:c r="AI1664" s="14" t="n">
        <x:v>0</x:v>
      </x:c>
      <x:c r="AJ1664" s="18" t="n">
        <x:v>5000</x:v>
      </x:c>
      <x:c r="AK1664" s="14" t="str">
        <x:v>https://prozorro.gov.ua/tender/UA-2025-05-06-003334-a</x:v>
      </x:c>
      <x:c r="AL1664" s="19" t="n">
        <x:v>45783.32644537037</x:v>
      </x:c>
      <x:c r="AM1664" s="19" t="n">
        <x:v>46022.36592592593</x:v>
      </x:c>
      <x:c r="AN1664" s="15" t="str">
        <x:v>ВОЛЗ / телеком</x:v>
      </x:c>
      <x:c r="AO1664" s="15" t="str">
        <x:v>not_found_in_top_search</x:v>
      </x:c>
    </x:row>
    <x:row r="1665">
      <x:c r="A1665" s="14" t="str">
        <x:v>W5-293</x:v>
      </x:c>
      <x:c r="B1665" s="14" t="str">
        <x:v>Prozorro vertical expansion — 24.08</x:v>
      </x:c>
      <x:c r="C1665" s="14" t="str">
        <x:v>Фізична особа-підприємець Богаченко Василь Валентинович</x:v>
      </x:c>
      <x:c r="D1665" s="14" t="str">
        <x:v>ВОЛЗ / телеком</x:v>
      </x:c>
      <x:c r="E1665" s="14" t="str">
        <x:v>Expansion discovery</x:v>
      </x:c>
      <x:c r="F1665" s="17" t="str">
        <x:v>D3</x:v>
      </x:c>
      <x:c r="G1665" s="14" t="str"/>
      <x:c r="H1665" s="14" t="str">
        <x:v>Discovery розширення — 2 тижні</x:v>
      </x:c>
      <x:c r="I1665" s="16" t="n">
        <x:v>1</x:v>
      </x:c>
      <x:c r="J1665" s="16" t="n">
        <x:v>5</x:v>
      </x:c>
      <x:c r="K1665" s="16" t="n">
        <x:v>5</x:v>
      </x:c>
      <x:c r="L1665" s="16" t="n">
        <x:v>1</x:v>
      </x:c>
      <x:c r="M1665" s="16" t="n">
        <x:v>5</x:v>
      </x:c>
      <x:c r="N1665" s="16" t="n">
        <x:v>3</x:v>
      </x:c>
      <x:c r="O1665" s="16" t="n">
        <x:v>3</x:v>
      </x:c>
      <x:c r="P1665" s="16" t="n">
        <x:f>IF(COUNT(I1665:O1665)&lt;7,"",I1665*8+J1665*3+K1665*2+L1665*2+M1665*2+N1665*2+O1665)</x:f>
        <x:v>54</x:v>
      </x:c>
      <x:c r="Q1665" s="16" t="n">
        <x:f>IF(COUNT(J1665:O1665)&lt;6,"",J1665*5+K1665*4+M1665*4+L1665*3+N1665*2+O1665*2)</x:f>
        <x:v>80</x:v>
      </x:c>
      <x:c r="R1665" s="14" t="str">
        <x:v>high</x:v>
      </x:c>
      <x:c r="S1665" s="14" t="str">
        <x:v>official_prozorro_award_2024_2026</x:v>
      </x:c>
      <x:c r="T1665" s="14" t="str">
        <x:v>official_prozorro_api</x:v>
      </x:c>
      <x:c r="U1665" s="14" t="str">
        <x:v>Не контактували</x:v>
      </x:c>
      <x:c r="V1665" s="15" t="str">
        <x:v>Workflow-audit outreach по UA-2025-12-04-008940-a; попросити 1 пакет здачі та вимоги проєкту</x:v>
      </x:c>
      <x:c r="W1665" s="15" t="str">
        <x:v>Власник / виконавець; відповідальний за договір</x:v>
      </x:c>
      <x:c r="X1665" s="15" t="str">
        <x:v>1 нових підтверджених перемог/договорів у Prozorro на 3 810 грн; 0 зі строком виконання не раніше 24.08.2026.</x:v>
      </x:c>
      <x:c r="Y1665" s="15" t="str">
        <x:v>Послуга з монтажу мережі для відеофіксації згідно коду ДК 021:2015 - 64220000-4 Телекомунікаційні послуги, крім послуг телефонного зв’язку і передачі даних; опублікований строк до 2025-12-31. Попросити один знеособлений пакет здачі за цим workflow.</x:v>
      </x:c>
      <x:c r="Z1665" s="15" t="str">
        <x:v>https://prozorro.gov.ua/tender/UA-2025-12-04-008940-a</x:v>
      </x:c>
      <x:c r="AA1665" s="14" t="str">
        <x:v>3117622398</x:v>
      </x:c>
      <x:c r="AB1665" s="14" t="str">
        <x:v>2026-08-24</x:v>
      </x:c>
      <x:c r="AC1665" s="14" t="str"/>
      <x:c r="AD1665" s="20" t="str"/>
      <x:c r="AE1665" s="14" t="str"/>
      <x:c r="AF1665" s="14" t="n">
        <x:v>27</x:v>
      </x:c>
      <x:c r="AG1665" s="14" t="str">
        <x:v>I3</x:v>
      </x:c>
      <x:c r="AH1665" s="14" t="n">
        <x:v>1</x:v>
      </x:c>
      <x:c r="AI1665" s="14" t="n">
        <x:v>0</x:v>
      </x:c>
      <x:c r="AJ1665" s="18" t="n">
        <x:v>3810</x:v>
      </x:c>
      <x:c r="AK1665" s="14" t="str">
        <x:v>https://prozorro.gov.ua/tender/UA-2025-12-04-008940-a</x:v>
      </x:c>
      <x:c r="AL1665" s="19" t="n">
        <x:v>45995.44024229167</x:v>
      </x:c>
      <x:c r="AM1665" s="19" t="n">
        <x:v>46022.44131944444</x:v>
      </x:c>
      <x:c r="AN1665" s="15" t="str">
        <x:v>ВОЛЗ / телеком</x:v>
      </x:c>
      <x:c r="AO1665" s="15" t="str">
        <x:v>not_found_in_top_search</x:v>
      </x:c>
    </x:row>
    <x:row r="1666">
      <x:c r="A1666" s="14" t="str">
        <x:v>W5-294</x:v>
      </x:c>
      <x:c r="B1666" s="14" t="str">
        <x:v>Prozorro vertical expansion — 24.08</x:v>
      </x:c>
      <x:c r="C1666" s="14" t="str">
        <x:v>ПП "Рембуд-2603"</x:v>
      </x:c>
      <x:c r="D1666" s="14" t="str">
        <x:v>Резервне живлення</x:v>
      </x:c>
      <x:c r="E1666" s="14" t="str">
        <x:v>Pilot now</x:v>
      </x:c>
      <x:c r="F1666" s="17" t="str">
        <x:v>P3</x:v>
      </x:c>
      <x:c r="G1666" s="14" t="str"/>
      <x:c r="H1666" s="14" t="str">
        <x:v>Пілот зараз — Н.15 subset</x:v>
      </x:c>
      <x:c r="I1666" s="16" t="n">
        <x:v>4</x:v>
      </x:c>
      <x:c r="J1666" s="16" t="n">
        <x:v>5</x:v>
      </x:c>
      <x:c r="K1666" s="16" t="n">
        <x:v>5</x:v>
      </x:c>
      <x:c r="L1666" s="16" t="n">
        <x:v>1</x:v>
      </x:c>
      <x:c r="M1666" s="16" t="n">
        <x:v>5</x:v>
      </x:c>
      <x:c r="N1666" s="16" t="n">
        <x:v>5</x:v>
      </x:c>
      <x:c r="O1666" s="16" t="n">
        <x:v>3</x:v>
      </x:c>
      <x:c r="P1666" s="16" t="n">
        <x:f>IF(COUNT(I1666:O1666)&lt;7,"",I1666*8+J1666*3+K1666*2+L1666*2+M1666*2+N1666*2+O1666)</x:f>
        <x:v>82</x:v>
      </x:c>
      <x:c r="Q1666" s="16" t="n">
        <x:f>IF(COUNT(J1666:O1666)&lt;6,"",J1666*5+K1666*4+M1666*4+L1666*3+N1666*2+O1666*2)</x:f>
        <x:v>84</x:v>
      </x:c>
      <x:c r="R1666" s="14" t="str">
        <x:v>high</x:v>
      </x:c>
      <x:c r="S1666" s="14" t="str">
        <x:v>official_prozorro_award_2024_2026</x:v>
      </x:c>
      <x:c r="T1666" s="14" t="str">
        <x:v>official_prozorro_api</x:v>
      </x:c>
      <x:c r="U1666" s="14" t="str">
        <x:v>Не контактували</x:v>
      </x:c>
      <x:c r="V1666" s="15" t="str">
        <x:v>Персоналізований free-pilot outreach по UA-2024-12-20-004210-a; попросити 1 пакет Н.15</x:v>
      </x:c>
      <x:c r="W1666" s="15" t="str">
        <x:v>Власник / директор; керівник ПТО; відповідальний за договори</x:v>
      </x:c>
      <x:c r="X1666" s="15" t="str">
        <x:v>1 нових підтверджених перемог/договорів у Prozorro на 99 967 грн; 0 зі строком виконання не раніше 24.08.2026.</x:v>
      </x:c>
      <x:c r="Y1666" s="15" t="str">
        <x:v>Загальнобудівельні роботи з монтажем дизель-генератора; опублікований строк до 2024-12-23. Попросити один знеособлений пакет здачі за цим workflow.</x:v>
      </x:c>
      <x:c r="Z1666" s="15" t="str">
        <x:v>https://prozorro.gov.ua/tender/UA-2024-12-20-004210-a</x:v>
      </x:c>
      <x:c r="AA1666" s="14" t="str">
        <x:v>37632919</x:v>
      </x:c>
      <x:c r="AB1666" s="14" t="str">
        <x:v>2026-08-24</x:v>
      </x:c>
      <x:c r="AC1666" s="14" t="str"/>
      <x:c r="AD1666" s="20" t="str"/>
      <x:c r="AE1666" s="14" t="str"/>
      <x:c r="AF1666" s="14" t="n">
        <x:v>26</x:v>
      </x:c>
      <x:c r="AG1666" s="14" t="str">
        <x:v>I3</x:v>
      </x:c>
      <x:c r="AH1666" s="14" t="n">
        <x:v>1</x:v>
      </x:c>
      <x:c r="AI1666" s="14" t="n">
        <x:v>0</x:v>
      </x:c>
      <x:c r="AJ1666" s="18" t="n">
        <x:v>99967.31</x:v>
      </x:c>
      <x:c r="AK1666" s="14" t="str">
        <x:v>https://prozorro.gov.ua/tender/UA-2024-12-20-004210-a</x:v>
      </x:c>
      <x:c r="AL1666" s="19" t="n">
        <x:v>45646.354636805554</x:v>
      </x:c>
      <x:c r="AM1666" s="19" t="n">
        <x:v>45649</x:v>
      </x:c>
      <x:c r="AN1666" s="15" t="str">
        <x:v>Резервне живлення</x:v>
      </x:c>
      <x:c r="AO1666" s="15" t="str">
        <x:v>not_found_in_top_search</x:v>
      </x:c>
    </x:row>
    <x:row r="1667">
      <x:c r="A1667" s="14" t="str">
        <x:v>W5-295</x:v>
      </x:c>
      <x:c r="B1667" s="14" t="str">
        <x:v>Prozorro vertical expansion — 24.08</x:v>
      </x:c>
      <x:c r="C1667" s="14" t="str">
        <x:v>ТОВАРИСТВО З ОБМЕЖЕНОЮ ВІДПОВІДАЛЬНІСТЮ "НАУКОВО-ВИРОБНИЧЕ ПІДПРИЄМСТВО "ЕЛЕКТРОНАЛАДКА"</x:v>
      </x:c>
      <x:c r="D1667" s="14" t="str">
        <x:v>Резервне живлення</x:v>
      </x:c>
      <x:c r="E1667" s="14" t="str">
        <x:v>Pilot now</x:v>
      </x:c>
      <x:c r="F1667" s="17" t="str">
        <x:v>P3</x:v>
      </x:c>
      <x:c r="G1667" s="14" t="str"/>
      <x:c r="H1667" s="14" t="str">
        <x:v>Пілот зараз — Н.15 subset</x:v>
      </x:c>
      <x:c r="I1667" s="16" t="n">
        <x:v>4</x:v>
      </x:c>
      <x:c r="J1667" s="16" t="n">
        <x:v>5</x:v>
      </x:c>
      <x:c r="K1667" s="16" t="n">
        <x:v>5</x:v>
      </x:c>
      <x:c r="L1667" s="16" t="n">
        <x:v>1</x:v>
      </x:c>
      <x:c r="M1667" s="16" t="n">
        <x:v>5</x:v>
      </x:c>
      <x:c r="N1667" s="16" t="n">
        <x:v>5</x:v>
      </x:c>
      <x:c r="O1667" s="16" t="n">
        <x:v>3</x:v>
      </x:c>
      <x:c r="P1667" s="16" t="n">
        <x:f>IF(COUNT(I1667:O1667)&lt;7,"",I1667*8+J1667*3+K1667*2+L1667*2+M1667*2+N1667*2+O1667)</x:f>
        <x:v>82</x:v>
      </x:c>
      <x:c r="Q1667" s="16" t="n">
        <x:f>IF(COUNT(J1667:O1667)&lt;6,"",J1667*5+K1667*4+M1667*4+L1667*3+N1667*2+O1667*2)</x:f>
        <x:v>84</x:v>
      </x:c>
      <x:c r="R1667" s="14" t="str">
        <x:v>high</x:v>
      </x:c>
      <x:c r="S1667" s="14" t="str">
        <x:v>official_prozorro_award_2024_2026</x:v>
      </x:c>
      <x:c r="T1667" s="14" t="str">
        <x:v>official_prozorro_api</x:v>
      </x:c>
      <x:c r="U1667" s="14" t="str">
        <x:v>Не контактували</x:v>
      </x:c>
      <x:c r="V1667" s="15" t="str">
        <x:v>Персоналізований free-pilot outreach по UA-2024-10-17-001573-a; попросити 1 пакет Н.15</x:v>
      </x:c>
      <x:c r="W1667" s="15" t="str">
        <x:v>Власник / директор; керівник ПТО; відповідальний за договори</x:v>
      </x:c>
      <x:c r="X1667" s="15" t="str">
        <x:v>1 нових підтверджених перемог/договорів у Prozorro на 99 150 грн; 0 зі строком виконання не раніше 24.08.2026.</x:v>
      </x:c>
      <x:c r="Y1667" s="15" t="str">
        <x:v>Послуги з монтажу електричного обладнання керування насосами системи живлення твердопаливної котельні потужністю 3 МВт від дизель-генератора; опублікований строк до 2024-10-31. Попросити один знеособлений пакет здачі за цим workflow.</x:v>
      </x:c>
      <x:c r="Z1667" s="15" t="str">
        <x:v>https://prozorro.gov.ua/tender/UA-2024-10-17-001573-a</x:v>
      </x:c>
      <x:c r="AA1667" s="14" t="str">
        <x:v>43903493</x:v>
      </x:c>
      <x:c r="AB1667" s="14" t="str">
        <x:v>2026-08-24</x:v>
      </x:c>
      <x:c r="AC1667" s="14" t="str"/>
      <x:c r="AD1667" s="20" t="str"/>
      <x:c r="AE1667" s="14" t="str"/>
      <x:c r="AF1667" s="14" t="n">
        <x:v>26</x:v>
      </x:c>
      <x:c r="AG1667" s="14" t="str">
        <x:v>I3</x:v>
      </x:c>
      <x:c r="AH1667" s="14" t="n">
        <x:v>1</x:v>
      </x:c>
      <x:c r="AI1667" s="14" t="n">
        <x:v>0</x:v>
      </x:c>
      <x:c r="AJ1667" s="18" t="n">
        <x:v>99149.87</x:v>
      </x:c>
      <x:c r="AK1667" s="14" t="str">
        <x:v>https://prozorro.gov.ua/tender/UA-2024-10-17-001573-a</x:v>
      </x:c>
      <x:c r="AL1667" s="19" t="n">
        <x:v>45582.28227142361</x:v>
      </x:c>
      <x:c r="AM1667" s="19" t="n">
        <x:v>45596</x:v>
      </x:c>
      <x:c r="AN1667" s="15" t="str">
        <x:v>Резервне живлення</x:v>
      </x:c>
      <x:c r="AO1667" s="15" t="str">
        <x:v>not_found_in_top_search</x:v>
      </x:c>
    </x:row>
    <x:row r="1668">
      <x:c r="A1668" s="14" t="str">
        <x:v>W5-296</x:v>
      </x:c>
      <x:c r="B1668" s="14" t="str">
        <x:v>Prozorro vertical expansion — 24.08</x:v>
      </x:c>
      <x:c r="C1668" s="14" t="str">
        <x:v>Токаренко Станіслав Петрович</x:v>
      </x:c>
      <x:c r="D1668" s="14" t="str">
        <x:v>Резервне живлення</x:v>
      </x:c>
      <x:c r="E1668" s="14" t="str">
        <x:v>Pilot now</x:v>
      </x:c>
      <x:c r="F1668" s="17" t="str">
        <x:v>P3</x:v>
      </x:c>
      <x:c r="G1668" s="14" t="str"/>
      <x:c r="H1668" s="14" t="str">
        <x:v>Пілот зараз — Н.15 subset</x:v>
      </x:c>
      <x:c r="I1668" s="16" t="n">
        <x:v>4</x:v>
      </x:c>
      <x:c r="J1668" s="16" t="n">
        <x:v>5</x:v>
      </x:c>
      <x:c r="K1668" s="16" t="n">
        <x:v>5</x:v>
      </x:c>
      <x:c r="L1668" s="16" t="n">
        <x:v>1</x:v>
      </x:c>
      <x:c r="M1668" s="16" t="n">
        <x:v>5</x:v>
      </x:c>
      <x:c r="N1668" s="16" t="n">
        <x:v>3</x:v>
      </x:c>
      <x:c r="O1668" s="16" t="n">
        <x:v>3</x:v>
      </x:c>
      <x:c r="P1668" s="16" t="n">
        <x:f>IF(COUNT(I1668:O1668)&lt;7,"",I1668*8+J1668*3+K1668*2+L1668*2+M1668*2+N1668*2+O1668)</x:f>
        <x:v>78</x:v>
      </x:c>
      <x:c r="Q1668" s="16" t="n">
        <x:f>IF(COUNT(J1668:O1668)&lt;6,"",J1668*5+K1668*4+M1668*4+L1668*3+N1668*2+O1668*2)</x:f>
        <x:v>80</x:v>
      </x:c>
      <x:c r="R1668" s="14" t="str">
        <x:v>high</x:v>
      </x:c>
      <x:c r="S1668" s="14" t="str">
        <x:v>official_prozorro_award_2024_2026</x:v>
      </x:c>
      <x:c r="T1668" s="14" t="str">
        <x:v>official_prozorro_api</x:v>
      </x:c>
      <x:c r="U1668" s="14" t="str">
        <x:v>Не контактували</x:v>
      </x:c>
      <x:c r="V1668" s="15" t="str">
        <x:v>Персоналізований free-pilot outreach по UA-2024-12-24-017906-a; попросити 1 пакет Н.15</x:v>
      </x:c>
      <x:c r="W1668" s="15" t="str">
        <x:v>Власник / виконавець; відповідальний за договір</x:v>
      </x:c>
      <x:c r="X1668" s="15" t="str">
        <x:v>1 нових підтверджених перемог/договорів у Prozorro на 98 100 грн; 0 зі строком виконання не раніше 24.08.2026.</x:v>
      </x:c>
      <x:c r="Y1668" s="15" t="str">
        <x:v>Послуги зі встановлення джерел безперебійного живлення за кодом ДК 021:2015:51110000-6 Послуги зі встановлення електричного обладнання (монтаж джерел безперебійного живлення та супутнього обладнання); опублікований строк до 2024-12-31. Попросити один знеособлений пакет здачі за цим workflow.</x:v>
      </x:c>
      <x:c r="Z1668" s="15" t="str">
        <x:v>https://prozorro.gov.ua/tender/UA-2024-12-24-017906-a</x:v>
      </x:c>
      <x:c r="AA1668" s="14" t="str">
        <x:v>2938608096</x:v>
      </x:c>
      <x:c r="AB1668" s="14" t="str">
        <x:v>2026-08-24</x:v>
      </x:c>
      <x:c r="AC1668" s="14" t="str"/>
      <x:c r="AD1668" s="20" t="str"/>
      <x:c r="AE1668" s="14" t="str"/>
      <x:c r="AF1668" s="14" t="n">
        <x:v>26</x:v>
      </x:c>
      <x:c r="AG1668" s="14" t="str">
        <x:v>I3</x:v>
      </x:c>
      <x:c r="AH1668" s="14" t="n">
        <x:v>1</x:v>
      </x:c>
      <x:c r="AI1668" s="14" t="n">
        <x:v>0</x:v>
      </x:c>
      <x:c r="AJ1668" s="18" t="n">
        <x:v>98100</x:v>
      </x:c>
      <x:c r="AK1668" s="14" t="str">
        <x:v>https://prozorro.gov.ua/tender/UA-2024-12-24-017906-a</x:v>
      </x:c>
      <x:c r="AL1668" s="19" t="n">
        <x:v>45650.61262854167</x:v>
      </x:c>
      <x:c r="AM1668" s="19" t="n">
        <x:v>45657</x:v>
      </x:c>
      <x:c r="AN1668" s="15" t="str">
        <x:v>Резервне живлення</x:v>
      </x:c>
      <x:c r="AO1668" s="15" t="str">
        <x:v>not_found_in_top_search</x:v>
      </x:c>
    </x:row>
    <x:row r="1669">
      <x:c r="A1669" s="14" t="str">
        <x:v>W5-297</x:v>
      </x:c>
      <x:c r="B1669" s="14" t="str">
        <x:v>Prozorro vertical expansion — 24.08</x:v>
      </x:c>
      <x:c r="C1669" s="14" t="str">
        <x:v>ТОВАРИСТВО З ОБМЕЖЕНОЮ ВІДПОВІДАЛЬНІСТЮ "АСТРА"</x:v>
      </x:c>
      <x:c r="D1669" s="14" t="str">
        <x:v>Промисловий холод</x:v>
      </x:c>
      <x:c r="E1669" s="14" t="str">
        <x:v>Expansion discovery</x:v>
      </x:c>
      <x:c r="F1669" s="17" t="str">
        <x:v>D3</x:v>
      </x:c>
      <x:c r="G1669" s="14" t="str"/>
      <x:c r="H1669" s="14" t="str">
        <x:v>Discovery розширення — 2 тижні</x:v>
      </x:c>
      <x:c r="I1669" s="16" t="n">
        <x:v>1</x:v>
      </x:c>
      <x:c r="J1669" s="16" t="n">
        <x:v>5</x:v>
      </x:c>
      <x:c r="K1669" s="16" t="n">
        <x:v>5</x:v>
      </x:c>
      <x:c r="L1669" s="16" t="n">
        <x:v>1</x:v>
      </x:c>
      <x:c r="M1669" s="16" t="n">
        <x:v>5</x:v>
      </x:c>
      <x:c r="N1669" s="16" t="n">
        <x:v>5</x:v>
      </x:c>
      <x:c r="O1669" s="16" t="n">
        <x:v>3</x:v>
      </x:c>
      <x:c r="P1669" s="16" t="n">
        <x:f>IF(COUNT(I1669:O1669)&lt;7,"",I1669*8+J1669*3+K1669*2+L1669*2+M1669*2+N1669*2+O1669)</x:f>
        <x:v>58</x:v>
      </x:c>
      <x:c r="Q1669" s="16" t="n">
        <x:f>IF(COUNT(J1669:O1669)&lt;6,"",J1669*5+K1669*4+M1669*4+L1669*3+N1669*2+O1669*2)</x:f>
        <x:v>84</x:v>
      </x:c>
      <x:c r="R1669" s="14" t="str">
        <x:v>high</x:v>
      </x:c>
      <x:c r="S1669" s="14" t="str">
        <x:v>official_prozorro_award_2024_2026</x:v>
      </x:c>
      <x:c r="T1669" s="14" t="str">
        <x:v>official_prozorro_api</x:v>
      </x:c>
      <x:c r="U1669" s="14" t="str">
        <x:v>Не контактували</x:v>
      </x:c>
      <x:c r="V1669" s="15" t="str">
        <x:v>Workflow-audit outreach по UA-2024-12-11-001349-a; попросити 1 пакет здачі та вимоги проєкту</x:v>
      </x:c>
      <x:c r="W1669" s="15" t="str">
        <x:v>Власник / директор; керівник ПТО; відповідальний за договори</x:v>
      </x:c>
      <x:c r="X1669" s="15" t="str">
        <x:v>1 нових підтверджених перемог/договорів у Prozorro на 89 392 грн; 0 зі строком виконання не раніше 24.08.2026.</x:v>
      </x:c>
      <x:c r="Y1669" s="15" t="str">
        <x:v>50730000-1 Послуги з ремонту та технічного обслуговування охолоджувальних установок  (послуги з монтажу холодильної камери) ; опублікований строк до 2024-12-16. Попросити один знеособлений пакет здачі за цим workflow.</x:v>
      </x:c>
      <x:c r="Z1669" s="15" t="str">
        <x:v>https://prozorro.gov.ua/tender/UA-2024-12-11-001349-a</x:v>
      </x:c>
      <x:c r="AA1669" s="14" t="str">
        <x:v>13471936</x:v>
      </x:c>
      <x:c r="AB1669" s="14" t="str">
        <x:v>2026-08-24</x:v>
      </x:c>
      <x:c r="AC1669" s="14" t="str"/>
      <x:c r="AD1669" s="20" t="str"/>
      <x:c r="AE1669" s="14" t="str"/>
      <x:c r="AF1669" s="14" t="n">
        <x:v>26</x:v>
      </x:c>
      <x:c r="AG1669" s="14" t="str">
        <x:v>I3</x:v>
      </x:c>
      <x:c r="AH1669" s="14" t="n">
        <x:v>1</x:v>
      </x:c>
      <x:c r="AI1669" s="14" t="n">
        <x:v>0</x:v>
      </x:c>
      <x:c r="AJ1669" s="18" t="n">
        <x:v>89392.12</x:v>
      </x:c>
      <x:c r="AK1669" s="14" t="str">
        <x:v>https://prozorro.gov.ua/tender/UA-2024-12-11-001349-a</x:v>
      </x:c>
      <x:c r="AL1669" s="19" t="n">
        <x:v>45637.306803576386</x:v>
      </x:c>
      <x:c r="AM1669" s="19" t="n">
        <x:v>45642</x:v>
      </x:c>
      <x:c r="AN1669" s="15" t="str">
        <x:v>Промисловий холод</x:v>
      </x:c>
      <x:c r="AO1669" s="15" t="str">
        <x:v>not_found_in_top_search</x:v>
      </x:c>
    </x:row>
    <x:row r="1670">
      <x:c r="A1670" s="14" t="str">
        <x:v>W5-298</x:v>
      </x:c>
      <x:c r="B1670" s="14" t="str">
        <x:v>Prozorro vertical expansion — 24.08</x:v>
      </x:c>
      <x:c r="C1670" s="14" t="str">
        <x:v>Товариство з обмеженою відповідальністю "Бенефіс ЛТД"</x:v>
      </x:c>
      <x:c r="D1670" s="14" t="str">
        <x:v>Резервне живлення</x:v>
      </x:c>
      <x:c r="E1670" s="14" t="str">
        <x:v>Pilot now</x:v>
      </x:c>
      <x:c r="F1670" s="17" t="str">
        <x:v>P3</x:v>
      </x:c>
      <x:c r="G1670" s="14" t="str"/>
      <x:c r="H1670" s="14" t="str">
        <x:v>Пілот зараз — Н.15 subset</x:v>
      </x:c>
      <x:c r="I1670" s="16" t="n">
        <x:v>4</x:v>
      </x:c>
      <x:c r="J1670" s="16" t="n">
        <x:v>5</x:v>
      </x:c>
      <x:c r="K1670" s="16" t="n">
        <x:v>5</x:v>
      </x:c>
      <x:c r="L1670" s="16" t="n">
        <x:v>1</x:v>
      </x:c>
      <x:c r="M1670" s="16" t="n">
        <x:v>5</x:v>
      </x:c>
      <x:c r="N1670" s="16" t="n">
        <x:v>5</x:v>
      </x:c>
      <x:c r="O1670" s="16" t="n">
        <x:v>3</x:v>
      </x:c>
      <x:c r="P1670" s="16" t="n">
        <x:f>IF(COUNT(I1670:O1670)&lt;7,"",I1670*8+J1670*3+K1670*2+L1670*2+M1670*2+N1670*2+O1670)</x:f>
        <x:v>82</x:v>
      </x:c>
      <x:c r="Q1670" s="16" t="n">
        <x:f>IF(COUNT(J1670:O1670)&lt;6,"",J1670*5+K1670*4+M1670*4+L1670*3+N1670*2+O1670*2)</x:f>
        <x:v>84</x:v>
      </x:c>
      <x:c r="R1670" s="14" t="str">
        <x:v>high</x:v>
      </x:c>
      <x:c r="S1670" s="14" t="str">
        <x:v>official_prozorro_award_2024_2026</x:v>
      </x:c>
      <x:c r="T1670" s="14" t="str">
        <x:v>official_prozorro_api</x:v>
      </x:c>
      <x:c r="U1670" s="14" t="str">
        <x:v>Не контактували</x:v>
      </x:c>
      <x:c r="V1670" s="15" t="str">
        <x:v>Персоналізований free-pilot outreach по UA-2024-12-06-000566-a; попросити 1 пакет Н.15</x:v>
      </x:c>
      <x:c r="W1670" s="15" t="str">
        <x:v>Власник / директор; керівник ПТО; відповідальний за договори</x:v>
      </x:c>
      <x:c r="X1670" s="15" t="str">
        <x:v>1 нових підтверджених перемог/договорів у Prozorro на 89 200 грн; 0 зі строком виконання не раніше 24.08.2026.</x:v>
      </x:c>
      <x:c r="Y1670" s="15" t="str">
        <x:v>Послуги зі встановлення дизель-генератора; опублікований строк до 2024-12-31. Попросити один знеособлений пакет здачі за цим workflow.</x:v>
      </x:c>
      <x:c r="Z1670" s="15" t="str">
        <x:v>https://prozorro.gov.ua/tender/UA-2024-12-06-000566-a</x:v>
      </x:c>
      <x:c r="AA1670" s="14" t="str">
        <x:v>39916826</x:v>
      </x:c>
      <x:c r="AB1670" s="14" t="str">
        <x:v>2026-08-24</x:v>
      </x:c>
      <x:c r="AC1670" s="14" t="str"/>
      <x:c r="AD1670" s="20" t="str"/>
      <x:c r="AE1670" s="14" t="str"/>
      <x:c r="AF1670" s="14" t="n">
        <x:v>26</x:v>
      </x:c>
      <x:c r="AG1670" s="14" t="str">
        <x:v>I3</x:v>
      </x:c>
      <x:c r="AH1670" s="14" t="n">
        <x:v>1</x:v>
      </x:c>
      <x:c r="AI1670" s="14" t="n">
        <x:v>0</x:v>
      </x:c>
      <x:c r="AJ1670" s="18" t="n">
        <x:v>89200</x:v>
      </x:c>
      <x:c r="AK1670" s="14" t="str">
        <x:v>https://prozorro.gov.ua/tender/UA-2024-12-06-000566-a</x:v>
      </x:c>
      <x:c r="AL1670" s="19" t="n">
        <x:v>45632.285151585646</x:v>
      </x:c>
      <x:c r="AM1670" s="19" t="n">
        <x:v>45657.28414351852</x:v>
      </x:c>
      <x:c r="AN1670" s="15" t="str">
        <x:v>Резервне живлення</x:v>
      </x:c>
      <x:c r="AO1670" s="15" t="str">
        <x:v>not_found_in_top_search</x:v>
      </x:c>
    </x:row>
    <x:row r="1671">
      <x:c r="A1671" s="14" t="str">
        <x:v>W5-299</x:v>
      </x:c>
      <x:c r="B1671" s="14" t="str">
        <x:v>Prozorro vertical expansion — 24.08</x:v>
      </x:c>
      <x:c r="C1671" s="14" t="str">
        <x:v>ТОВАРИСТВО З ОБМЕЖЕНОЮ ВІДПОВІДАЛЬНІСТЮ "НАКНЕТ"</x:v>
      </x:c>
      <x:c r="D1671" s="14" t="str">
        <x:v>ВОЛЗ / телеком</x:v>
      </x:c>
      <x:c r="E1671" s="14" t="str">
        <x:v>Expansion discovery</x:v>
      </x:c>
      <x:c r="F1671" s="17" t="str">
        <x:v>D3</x:v>
      </x:c>
      <x:c r="G1671" s="14" t="str"/>
      <x:c r="H1671" s="14" t="str">
        <x:v>Discovery розширення — 2 тижні</x:v>
      </x:c>
      <x:c r="I1671" s="16" t="n">
        <x:v>1</x:v>
      </x:c>
      <x:c r="J1671" s="16" t="n">
        <x:v>5</x:v>
      </x:c>
      <x:c r="K1671" s="16" t="n">
        <x:v>5</x:v>
      </x:c>
      <x:c r="L1671" s="16" t="n">
        <x:v>1</x:v>
      </x:c>
      <x:c r="M1671" s="16" t="n">
        <x:v>5</x:v>
      </x:c>
      <x:c r="N1671" s="16" t="n">
        <x:v>5</x:v>
      </x:c>
      <x:c r="O1671" s="16" t="n">
        <x:v>3</x:v>
      </x:c>
      <x:c r="P1671" s="16" t="n">
        <x:f>IF(COUNT(I1671:O1671)&lt;7,"",I1671*8+J1671*3+K1671*2+L1671*2+M1671*2+N1671*2+O1671)</x:f>
        <x:v>58</x:v>
      </x:c>
      <x:c r="Q1671" s="16" t="n">
        <x:f>IF(COUNT(J1671:O1671)&lt;6,"",J1671*5+K1671*4+M1671*4+L1671*3+N1671*2+O1671*2)</x:f>
        <x:v>84</x:v>
      </x:c>
      <x:c r="R1671" s="14" t="str">
        <x:v>high</x:v>
      </x:c>
      <x:c r="S1671" s="14" t="str">
        <x:v>official_prozorro_award_2024_2026</x:v>
      </x:c>
      <x:c r="T1671" s="14" t="str">
        <x:v>official_prozorro_api</x:v>
      </x:c>
      <x:c r="U1671" s="14" t="str">
        <x:v>Не контактували</x:v>
      </x:c>
      <x:c r="V1671" s="15" t="str">
        <x:v>Workflow-audit outreach по UA-2024-04-03-007143-a; попросити 1 пакет здачі та вимоги проєкту</x:v>
      </x:c>
      <x:c r="W1671" s="15" t="str">
        <x:v>Власник / директор; керівник ПТО; відповідальний за договори</x:v>
      </x:c>
      <x:c r="X1671" s="15" t="str">
        <x:v>1 нових підтверджених перемог/договорів у Prozorro на 71 500 грн; 0 зі строком виконання не раніше 24.08.2026.</x:v>
      </x:c>
      <x:c r="Y1671" s="15" t="str">
        <x:v>Монтаж телекомунікаційної мережі; опублікований строк до 2024-12-31. Попросити один знеособлений пакет здачі за цим workflow.</x:v>
      </x:c>
      <x:c r="Z1671" s="15" t="str">
        <x:v>https://prozorro.gov.ua/tender/UA-2024-04-03-007143-a</x:v>
      </x:c>
      <x:c r="AA1671" s="14" t="str">
        <x:v>41512226</x:v>
      </x:c>
      <x:c r="AB1671" s="14" t="str">
        <x:v>2026-08-24</x:v>
      </x:c>
      <x:c r="AC1671" s="14" t="str"/>
      <x:c r="AD1671" s="20" t="str"/>
      <x:c r="AE1671" s="14" t="str"/>
      <x:c r="AF1671" s="14" t="n">
        <x:v>26</x:v>
      </x:c>
      <x:c r="AG1671" s="14" t="str">
        <x:v>I3</x:v>
      </x:c>
      <x:c r="AH1671" s="14" t="n">
        <x:v>1</x:v>
      </x:c>
      <x:c r="AI1671" s="14" t="n">
        <x:v>0</x:v>
      </x:c>
      <x:c r="AJ1671" s="18" t="n">
        <x:v>71500</x:v>
      </x:c>
      <x:c r="AK1671" s="14" t="str">
        <x:v>https://prozorro.gov.ua/tender/UA-2024-04-03-007143-a</x:v>
      </x:c>
      <x:c r="AL1671" s="19" t="n">
        <x:v>45385.45974842593</x:v>
      </x:c>
      <x:c r="AM1671" s="19" t="n">
        <x:v>45657</x:v>
      </x:c>
      <x:c r="AN1671" s="15" t="str">
        <x:v>ВОЛЗ / телеком</x:v>
      </x:c>
      <x:c r="AO1671" s="15" t="str">
        <x:v>not_found_in_top_search</x:v>
      </x:c>
    </x:row>
    <x:row r="1672">
      <x:c r="A1672" s="14" t="str">
        <x:v>W5-300</x:v>
      </x:c>
      <x:c r="B1672" s="14" t="str">
        <x:v>Prozorro vertical expansion — 24.08</x:v>
      </x:c>
      <x:c r="C1672" s="14" t="str">
        <x:v>ПРИВАТНЕ ПІДПРИЄМСТВО "СЕРВІС-ТРАНС-ПЛЮС"</x:v>
      </x:c>
      <x:c r="D1672" s="14" t="str">
        <x:v>Залізнична інфраструктура</x:v>
      </x:c>
      <x:c r="E1672" s="14" t="str">
        <x:v>Expansion discovery</x:v>
      </x:c>
      <x:c r="F1672" s="17" t="str">
        <x:v>D3</x:v>
      </x:c>
      <x:c r="G1672" s="14" t="str"/>
      <x:c r="H1672" s="14" t="str">
        <x:v>Discovery розширення — 2 тижні</x:v>
      </x:c>
      <x:c r="I1672" s="16" t="n">
        <x:v>1</x:v>
      </x:c>
      <x:c r="J1672" s="16" t="n">
        <x:v>5</x:v>
      </x:c>
      <x:c r="K1672" s="16" t="n">
        <x:v>5</x:v>
      </x:c>
      <x:c r="L1672" s="16" t="n">
        <x:v>1</x:v>
      </x:c>
      <x:c r="M1672" s="16" t="n">
        <x:v>5</x:v>
      </x:c>
      <x:c r="N1672" s="16" t="n">
        <x:v>5</x:v>
      </x:c>
      <x:c r="O1672" s="16" t="n">
        <x:v>3</x:v>
      </x:c>
      <x:c r="P1672" s="16" t="n">
        <x:f>IF(COUNT(I1672:O1672)&lt;7,"",I1672*8+J1672*3+K1672*2+L1672*2+M1672*2+N1672*2+O1672)</x:f>
        <x:v>58</x:v>
      </x:c>
      <x:c r="Q1672" s="16" t="n">
        <x:f>IF(COUNT(J1672:O1672)&lt;6,"",J1672*5+K1672*4+M1672*4+L1672*3+N1672*2+O1672*2)</x:f>
        <x:v>84</x:v>
      </x:c>
      <x:c r="R1672" s="14" t="str">
        <x:v>high</x:v>
      </x:c>
      <x:c r="S1672" s="14" t="str">
        <x:v>official_prozorro_award_2024_2026</x:v>
      </x:c>
      <x:c r="T1672" s="14" t="str">
        <x:v>official_prozorro_api</x:v>
      </x:c>
      <x:c r="U1672" s="14" t="str">
        <x:v>Не контактували</x:v>
      </x:c>
      <x:c r="V1672" s="15" t="str">
        <x:v>Workflow-audit outreach по UA-2025-04-10-014435-a; попросити 1 пакет здачі та вимоги проєкту</x:v>
      </x:c>
      <x:c r="W1672" s="15" t="str">
        <x:v>Власник / директор; керівник ПТО; відповідальний за договори</x:v>
      </x:c>
      <x:c r="X1672" s="15" t="str">
        <x:v>1 нових підтверджених перемог/договорів у Prozorro на 56 775 грн; 0 зі строком виконання не раніше 24.08.2026.</x:v>
      </x:c>
      <x:c r="Y1672" s="15" t="str">
        <x:v>ДК 021:2015 –  50220000-3 Послуги з ремонту, технічного обслуговування залізничного транспорту і пов’язаного обладнання та супутні послуги (Послуга з ремонту залізничних колій); опублікований строк до 2025-12-30. Попросити один знеособлений пакет здачі за цим workflow.</x:v>
      </x:c>
      <x:c r="Z1672" s="15" t="str">
        <x:v>https://prozorro.gov.ua/tender/UA-2025-04-10-014435-a</x:v>
      </x:c>
      <x:c r="AA1672" s="14" t="str">
        <x:v>32080360</x:v>
      </x:c>
      <x:c r="AB1672" s="14" t="str">
        <x:v>2026-08-24</x:v>
      </x:c>
      <x:c r="AC1672" s="14" t="str"/>
      <x:c r="AD1672" s="20" t="str"/>
      <x:c r="AE1672" s="14" t="str"/>
      <x:c r="AF1672" s="14" t="n">
        <x:v>26</x:v>
      </x:c>
      <x:c r="AG1672" s="14" t="str">
        <x:v>I3</x:v>
      </x:c>
      <x:c r="AH1672" s="14" t="n">
        <x:v>1</x:v>
      </x:c>
      <x:c r="AI1672" s="14" t="n">
        <x:v>0</x:v>
      </x:c>
      <x:c r="AJ1672" s="18" t="n">
        <x:v>56775</x:v>
      </x:c>
      <x:c r="AK1672" s="14" t="str">
        <x:v>https://prozorro.gov.ua/tender/UA-2025-04-10-014435-a</x:v>
      </x:c>
      <x:c r="AL1672" s="19" t="n">
        <x:v>45757.697381770835</x:v>
      </x:c>
      <x:c r="AM1672" s="19" t="n">
        <x:v>46021</x:v>
      </x:c>
      <x:c r="AN1672" s="15" t="str">
        <x:v>Залізнична інфраструктура</x:v>
      </x:c>
      <x:c r="AO1672" s="15" t="str">
        <x:v>not_found_in_top_search</x:v>
      </x:c>
    </x:row>
    <x:row r="1673">
      <x:c r="A1673" s="14" t="str">
        <x:v>W5-301</x:v>
      </x:c>
      <x:c r="B1673" s="14" t="str">
        <x:v>Prozorro vertical expansion — 24.08</x:v>
      </x:c>
      <x:c r="C1673" s="14" t="str">
        <x:v>ПРАТ "КАНІВ-ДНІПРОБУД"</x:v>
      </x:c>
      <x:c r="D1673" s="14" t="str">
        <x:v>ГНБ / безтраншейні роботи</x:v>
      </x:c>
      <x:c r="E1673" s="14" t="str">
        <x:v>Expansion discovery</x:v>
      </x:c>
      <x:c r="F1673" s="17" t="str">
        <x:v>D3</x:v>
      </x:c>
      <x:c r="G1673" s="14" t="str"/>
      <x:c r="H1673" s="14" t="str">
        <x:v>Discovery розширення — 2 тижні</x:v>
      </x:c>
      <x:c r="I1673" s="16" t="n">
        <x:v>1</x:v>
      </x:c>
      <x:c r="J1673" s="16" t="n">
        <x:v>5</x:v>
      </x:c>
      <x:c r="K1673" s="16" t="n">
        <x:v>5</x:v>
      </x:c>
      <x:c r="L1673" s="16" t="n">
        <x:v>1</x:v>
      </x:c>
      <x:c r="M1673" s="16" t="n">
        <x:v>5</x:v>
      </x:c>
      <x:c r="N1673" s="16" t="n">
        <x:v>5</x:v>
      </x:c>
      <x:c r="O1673" s="16" t="n">
        <x:v>3</x:v>
      </x:c>
      <x:c r="P1673" s="16" t="n">
        <x:f>IF(COUNT(I1673:O1673)&lt;7,"",I1673*8+J1673*3+K1673*2+L1673*2+M1673*2+N1673*2+O1673)</x:f>
        <x:v>58</x:v>
      </x:c>
      <x:c r="Q1673" s="16" t="n">
        <x:f>IF(COUNT(J1673:O1673)&lt;6,"",J1673*5+K1673*4+M1673*4+L1673*3+N1673*2+O1673*2)</x:f>
        <x:v>84</x:v>
      </x:c>
      <x:c r="R1673" s="14" t="str">
        <x:v>high</x:v>
      </x:c>
      <x:c r="S1673" s="14" t="str">
        <x:v>official_prozorro_award_2024_2026</x:v>
      </x:c>
      <x:c r="T1673" s="14" t="str">
        <x:v>official_prozorro_api</x:v>
      </x:c>
      <x:c r="U1673" s="14" t="str">
        <x:v>Не контактували</x:v>
      </x:c>
      <x:c r="V1673" s="15" t="str">
        <x:v>Workflow-audit outreach по UA-2024-02-21-010331-a; попросити 1 пакет здачі та вимоги проєкту</x:v>
      </x:c>
      <x:c r="W1673" s="15" t="str">
        <x:v>Власник / директор; керівник ПТО; відповідальний за договори</x:v>
      </x:c>
      <x:c r="X1673" s="15" t="str">
        <x:v>1 нових підтверджених перемог/договорів у Prozorro на 55 200 грн; 0 зі строком виконання не раніше 24.08.2026.</x:v>
      </x:c>
      <x:c r="Y1673" s="15" t="str">
        <x:v>Влаштування проколу методом горизонтального направленого буріння, прокол d50 мм довжиною 25м у м.Золотоноша вул. Леонтовича; опублікований строк до 2024-12-31. Попросити один знеособлений пакет здачі за цим workflow.</x:v>
      </x:c>
      <x:c r="Z1673" s="15" t="str">
        <x:v>https://prozorro.gov.ua/tender/UA-2024-02-21-010331-a</x:v>
      </x:c>
      <x:c r="AA1673" s="14" t="str">
        <x:v>00116872</x:v>
      </x:c>
      <x:c r="AB1673" s="14" t="str">
        <x:v>2026-08-24</x:v>
      </x:c>
      <x:c r="AC1673" s="14" t="str"/>
      <x:c r="AD1673" s="20" t="str"/>
      <x:c r="AE1673" s="14" t="str"/>
      <x:c r="AF1673" s="14" t="n">
        <x:v>26</x:v>
      </x:c>
      <x:c r="AG1673" s="14" t="str">
        <x:v>I3</x:v>
      </x:c>
      <x:c r="AH1673" s="14" t="n">
        <x:v>1</x:v>
      </x:c>
      <x:c r="AI1673" s="14" t="n">
        <x:v>0</x:v>
      </x:c>
      <x:c r="AJ1673" s="18" t="n">
        <x:v>55200</x:v>
      </x:c>
      <x:c r="AK1673" s="14" t="str">
        <x:v>https://prozorro.gov.ua/tender/UA-2024-02-21-010331-a</x:v>
      </x:c>
      <x:c r="AL1673" s="19" t="n">
        <x:v>45343.564817094906</x:v>
      </x:c>
      <x:c r="AM1673" s="19" t="n">
        <x:v>45657.56267361111</x:v>
      </x:c>
      <x:c r="AN1673" s="15" t="str">
        <x:v>ГНБ / безтраншейні роботи</x:v>
      </x:c>
      <x:c r="AO1673" s="15" t="str">
        <x:v>not_found_in_top_search</x:v>
      </x:c>
    </x:row>
    <x:row r="1674">
      <x:c r="A1674" s="14" t="str">
        <x:v>W5-302</x:v>
      </x:c>
      <x:c r="B1674" s="14" t="str">
        <x:v>Prozorro vertical expansion — 24.08</x:v>
      </x:c>
      <x:c r="C1674" s="14" t="str">
        <x:v>Приватне підприємство "Енергохолод"</x:v>
      </x:c>
      <x:c r="D1674" s="14" t="str">
        <x:v>Промисловий холод</x:v>
      </x:c>
      <x:c r="E1674" s="14" t="str">
        <x:v>Expansion discovery</x:v>
      </x:c>
      <x:c r="F1674" s="17" t="str">
        <x:v>D3</x:v>
      </x:c>
      <x:c r="G1674" s="14" t="str"/>
      <x:c r="H1674" s="14" t="str">
        <x:v>Discovery розширення — 2 тижні</x:v>
      </x:c>
      <x:c r="I1674" s="16" t="n">
        <x:v>1</x:v>
      </x:c>
      <x:c r="J1674" s="16" t="n">
        <x:v>5</x:v>
      </x:c>
      <x:c r="K1674" s="16" t="n">
        <x:v>5</x:v>
      </x:c>
      <x:c r="L1674" s="16" t="n">
        <x:v>1</x:v>
      </x:c>
      <x:c r="M1674" s="16" t="n">
        <x:v>5</x:v>
      </x:c>
      <x:c r="N1674" s="16" t="n">
        <x:v>5</x:v>
      </x:c>
      <x:c r="O1674" s="16" t="n">
        <x:v>3</x:v>
      </x:c>
      <x:c r="P1674" s="16" t="n">
        <x:f>IF(COUNT(I1674:O1674)&lt;7,"",I1674*8+J1674*3+K1674*2+L1674*2+M1674*2+N1674*2+O1674)</x:f>
        <x:v>58</x:v>
      </x:c>
      <x:c r="Q1674" s="16" t="n">
        <x:f>IF(COUNT(J1674:O1674)&lt;6,"",J1674*5+K1674*4+M1674*4+L1674*3+N1674*2+O1674*2)</x:f>
        <x:v>84</x:v>
      </x:c>
      <x:c r="R1674" s="14" t="str">
        <x:v>high</x:v>
      </x:c>
      <x:c r="S1674" s="14" t="str">
        <x:v>official_prozorro_award_2024_2026</x:v>
      </x:c>
      <x:c r="T1674" s="14" t="str">
        <x:v>official_prozorro_api</x:v>
      </x:c>
      <x:c r="U1674" s="14" t="str">
        <x:v>Не контактували</x:v>
      </x:c>
      <x:c r="V1674" s="15" t="str">
        <x:v>Workflow-audit outreach по UA-2024-01-16-011244-a; попросити 1 пакет здачі та вимоги проєкту</x:v>
      </x:c>
      <x:c r="W1674" s="15" t="str">
        <x:v>Власник / директор; керівник ПТО; відповідальний за договори</x:v>
      </x:c>
      <x:c r="X1674" s="15" t="str">
        <x:v>1 нових підтверджених перемог/договорів у Prozorro на 50 400 грн; 0 зі строком виконання не раніше 24.08.2026.</x:v>
      </x:c>
      <x:c r="Y1674" s="15" t="str">
        <x:v>Монтаж холодильної камери; опублікований строк до 2024-12-31. Попросити один знеособлений пакет здачі за цим workflow.</x:v>
      </x:c>
      <x:c r="Z1674" s="15" t="str">
        <x:v>https://prozorro.gov.ua/tender/UA-2024-01-16-011244-a</x:v>
      </x:c>
      <x:c r="AA1674" s="14" t="str">
        <x:v>38756251</x:v>
      </x:c>
      <x:c r="AB1674" s="14" t="str">
        <x:v>2026-08-24</x:v>
      </x:c>
      <x:c r="AC1674" s="14" t="str"/>
      <x:c r="AD1674" s="20" t="str"/>
      <x:c r="AE1674" s="14" t="str"/>
      <x:c r="AF1674" s="14" t="n">
        <x:v>26</x:v>
      </x:c>
      <x:c r="AG1674" s="14" t="str">
        <x:v>I3</x:v>
      </x:c>
      <x:c r="AH1674" s="14" t="n">
        <x:v>1</x:v>
      </x:c>
      <x:c r="AI1674" s="14" t="n">
        <x:v>0</x:v>
      </x:c>
      <x:c r="AJ1674" s="18" t="n">
        <x:v>50400</x:v>
      </x:c>
      <x:c r="AK1674" s="14" t="str">
        <x:v>https://prozorro.gov.ua/tender/UA-2024-01-16-011244-a</x:v>
      </x:c>
      <x:c r="AL1674" s="19" t="n">
        <x:v>45307.548942685185</x:v>
      </x:c>
      <x:c r="AM1674" s="19" t="n">
        <x:v>45657.55060185185</x:v>
      </x:c>
      <x:c r="AN1674" s="15" t="str">
        <x:v>Промисловий холод</x:v>
      </x:c>
      <x:c r="AO1674" s="15" t="str">
        <x:v>not_found_in_top_search</x:v>
      </x:c>
    </x:row>
    <x:row r="1675">
      <x:c r="A1675" s="14" t="str">
        <x:v>W5-303</x:v>
      </x:c>
      <x:c r="B1675" s="14" t="str">
        <x:v>Prozorro vertical expansion — 24.08</x:v>
      </x:c>
      <x:c r="C1675" s="14" t="str">
        <x:v>ПОНОМАРЕНКО НАДІЯ ОЛЕКСІЇВНА</x:v>
      </x:c>
      <x:c r="D1675" s="14" t="str">
        <x:v>Накопичення енергії / BESS</x:v>
      </x:c>
      <x:c r="E1675" s="14" t="str">
        <x:v>Expansion discovery</x:v>
      </x:c>
      <x:c r="F1675" s="17" t="str">
        <x:v>D3</x:v>
      </x:c>
      <x:c r="G1675" s="14" t="str"/>
      <x:c r="H1675" s="14" t="str">
        <x:v>Discovery розширення — 2 тижні</x:v>
      </x:c>
      <x:c r="I1675" s="16" t="n">
        <x:v>1</x:v>
      </x:c>
      <x:c r="J1675" s="16" t="n">
        <x:v>5</x:v>
      </x:c>
      <x:c r="K1675" s="16" t="n">
        <x:v>5</x:v>
      </x:c>
      <x:c r="L1675" s="16" t="n">
        <x:v>1</x:v>
      </x:c>
      <x:c r="M1675" s="16" t="n">
        <x:v>5</x:v>
      </x:c>
      <x:c r="N1675" s="16" t="n">
        <x:v>3</x:v>
      </x:c>
      <x:c r="O1675" s="16" t="n">
        <x:v>3</x:v>
      </x:c>
      <x:c r="P1675" s="16" t="n">
        <x:f>IF(COUNT(I1675:O1675)&lt;7,"",I1675*8+J1675*3+K1675*2+L1675*2+M1675*2+N1675*2+O1675)</x:f>
        <x:v>54</x:v>
      </x:c>
      <x:c r="Q1675" s="16" t="n">
        <x:f>IF(COUNT(J1675:O1675)&lt;6,"",J1675*5+K1675*4+M1675*4+L1675*3+N1675*2+O1675*2)</x:f>
        <x:v>80</x:v>
      </x:c>
      <x:c r="R1675" s="14" t="str">
        <x:v>high</x:v>
      </x:c>
      <x:c r="S1675" s="14" t="str">
        <x:v>official_prozorro_award_2024_2026</x:v>
      </x:c>
      <x:c r="T1675" s="14" t="str">
        <x:v>official_prozorro_api</x:v>
      </x:c>
      <x:c r="U1675" s="14" t="str">
        <x:v>Не контактували</x:v>
      </x:c>
      <x:c r="V1675" s="15" t="str">
        <x:v>Workflow-audit outreach по UA-2024-12-12-013422-a; попросити 1 пакет здачі та вимоги проєкту</x:v>
      </x:c>
      <x:c r="W1675" s="15" t="str">
        <x:v>Власник / виконавець; відповідальний за договір</x:v>
      </x:c>
      <x:c r="X1675" s="15" t="str">
        <x:v>1 нових підтверджених перемог/договорів у Prozorro на 43 728 грн; 0 зі строком виконання не раніше 24.08.2026.</x:v>
      </x:c>
      <x:c r="Y1675" s="15" t="str">
        <x:v>Послуги з монтажу та налаштування системи накопичення енергії та живлення «Tesla» (код за ЕЗС ДК 021:2015: 45310000-3 - Електромонтажні роботи) ; опублікований строк до 2024-12-24. Попросити один знеособлений пакет здачі за цим workflow.</x:v>
      </x:c>
      <x:c r="Z1675" s="15" t="str">
        <x:v>https://prozorro.gov.ua/tender/UA-2024-12-12-013422-a</x:v>
      </x:c>
      <x:c r="AA1675" s="14" t="str">
        <x:v>2917302142</x:v>
      </x:c>
      <x:c r="AB1675" s="14" t="str">
        <x:v>2026-08-24</x:v>
      </x:c>
      <x:c r="AC1675" s="14" t="str"/>
      <x:c r="AD1675" s="20" t="str"/>
      <x:c r="AE1675" s="14" t="str"/>
      <x:c r="AF1675" s="14" t="n">
        <x:v>26</x:v>
      </x:c>
      <x:c r="AG1675" s="14" t="str">
        <x:v>I3</x:v>
      </x:c>
      <x:c r="AH1675" s="14" t="n">
        <x:v>1</x:v>
      </x:c>
      <x:c r="AI1675" s="14" t="n">
        <x:v>0</x:v>
      </x:c>
      <x:c r="AJ1675" s="18" t="n">
        <x:v>43727.91</x:v>
      </x:c>
      <x:c r="AK1675" s="14" t="str">
        <x:v>https://prozorro.gov.ua/tender/UA-2024-12-12-013422-a</x:v>
      </x:c>
      <x:c r="AL1675" s="19" t="n">
        <x:v>45638.5269890625</x:v>
      </x:c>
      <x:c r="AM1675" s="19" t="n">
        <x:v>45650</x:v>
      </x:c>
      <x:c r="AN1675" s="15" t="str">
        <x:v>Накопичення енергії / BESS</x:v>
      </x:c>
      <x:c r="AO1675" s="15" t="str">
        <x:v>not_found_in_top_search</x:v>
      </x:c>
    </x:row>
    <x:row r="1676">
      <x:c r="A1676" s="14" t="str">
        <x:v>W5-304</x:v>
      </x:c>
      <x:c r="B1676" s="14" t="str">
        <x:v>Prozorro vertical expansion — 24.08</x:v>
      </x:c>
      <x:c r="C1676" s="14" t="str">
        <x:v>ДЕЧЕВ ОЛЕКСАНДР ВАСИЛЬОВИЧ</x:v>
      </x:c>
      <x:c r="D1676" s="14" t="str">
        <x:v>Резервне живлення</x:v>
      </x:c>
      <x:c r="E1676" s="14" t="str">
        <x:v>Pilot now</x:v>
      </x:c>
      <x:c r="F1676" s="17" t="str">
        <x:v>P3</x:v>
      </x:c>
      <x:c r="G1676" s="14" t="str"/>
      <x:c r="H1676" s="14" t="str">
        <x:v>Пілот зараз — Н.15 subset</x:v>
      </x:c>
      <x:c r="I1676" s="16" t="n">
        <x:v>4</x:v>
      </x:c>
      <x:c r="J1676" s="16" t="n">
        <x:v>5</x:v>
      </x:c>
      <x:c r="K1676" s="16" t="n">
        <x:v>5</x:v>
      </x:c>
      <x:c r="L1676" s="16" t="n">
        <x:v>1</x:v>
      </x:c>
      <x:c r="M1676" s="16" t="n">
        <x:v>5</x:v>
      </x:c>
      <x:c r="N1676" s="16" t="n">
        <x:v>3</x:v>
      </x:c>
      <x:c r="O1676" s="16" t="n">
        <x:v>3</x:v>
      </x:c>
      <x:c r="P1676" s="16" t="n">
        <x:f>IF(COUNT(I1676:O1676)&lt;7,"",I1676*8+J1676*3+K1676*2+L1676*2+M1676*2+N1676*2+O1676)</x:f>
        <x:v>78</x:v>
      </x:c>
      <x:c r="Q1676" s="16" t="n">
        <x:f>IF(COUNT(J1676:O1676)&lt;6,"",J1676*5+K1676*4+M1676*4+L1676*3+N1676*2+O1676*2)</x:f>
        <x:v>80</x:v>
      </x:c>
      <x:c r="R1676" s="14" t="str">
        <x:v>high</x:v>
      </x:c>
      <x:c r="S1676" s="14" t="str">
        <x:v>official_prozorro_award_2024_2026</x:v>
      </x:c>
      <x:c r="T1676" s="14" t="str">
        <x:v>official_prozorro_api</x:v>
      </x:c>
      <x:c r="U1676" s="14" t="str">
        <x:v>Не контактували</x:v>
      </x:c>
      <x:c r="V1676" s="15" t="str">
        <x:v>Персоналізований free-pilot outreach по UA-2024-12-13-019271-a; попросити 1 пакет Н.15</x:v>
      </x:c>
      <x:c r="W1676" s="15" t="str">
        <x:v>Власник / виконавець; відповідальний за договір</x:v>
      </x:c>
      <x:c r="X1676" s="15" t="str">
        <x:v>1 нових підтверджених перемог/договорів у Prozorro на 20 929 грн; 0 зі строком виконання не раніше 24.08.2026.</x:v>
      </x:c>
      <x:c r="Y1676" s="15" t="str">
        <x:v>Послуги з підключення, монтаж та наладки дизель-генератору; опублікований строк до 2024-12-31. Попросити один знеособлений пакет здачі за цим workflow.</x:v>
      </x:c>
      <x:c r="Z1676" s="15" t="str">
        <x:v>https://prozorro.gov.ua/tender/UA-2024-12-13-019271-a</x:v>
      </x:c>
      <x:c r="AA1676" s="14" t="str">
        <x:v>2877504334</x:v>
      </x:c>
      <x:c r="AB1676" s="14" t="str">
        <x:v>2026-08-24</x:v>
      </x:c>
      <x:c r="AC1676" s="14" t="str"/>
      <x:c r="AD1676" s="20" t="str"/>
      <x:c r="AE1676" s="14" t="str"/>
      <x:c r="AF1676" s="14" t="n">
        <x:v>26</x:v>
      </x:c>
      <x:c r="AG1676" s="14" t="str">
        <x:v>I3</x:v>
      </x:c>
      <x:c r="AH1676" s="14" t="n">
        <x:v>1</x:v>
      </x:c>
      <x:c r="AI1676" s="14" t="n">
        <x:v>0</x:v>
      </x:c>
      <x:c r="AJ1676" s="18" t="n">
        <x:v>20928.5</x:v>
      </x:c>
      <x:c r="AK1676" s="14" t="str">
        <x:v>https://prozorro.gov.ua/tender/UA-2024-12-13-019271-a</x:v>
      </x:c>
      <x:c r="AL1676" s="19" t="n">
        <x:v>45639.673410219904</x:v>
      </x:c>
      <x:c r="AM1676" s="19" t="n">
        <x:v>45657</x:v>
      </x:c>
      <x:c r="AN1676" s="15" t="str">
        <x:v>Резервне живлення</x:v>
      </x:c>
      <x:c r="AO1676" s="15" t="str">
        <x:v>not_found_in_top_search</x:v>
      </x:c>
    </x:row>
    <x:row r="1677">
      <x:c r="A1677" s="14" t="str">
        <x:v>W5-305</x:v>
      </x:c>
      <x:c r="B1677" s="14" t="str">
        <x:v>Prozorro vertical expansion — 24.08</x:v>
      </x:c>
      <x:c r="C1677" s="14" t="str">
        <x:v>ОДІЯК ОЛЕКСАНДР ВІКТОРОВИЧ</x:v>
      </x:c>
      <x:c r="D1677" s="14" t="str">
        <x:v>Ремонт і підсилення бетону</x:v>
      </x:c>
      <x:c r="E1677" s="14" t="str">
        <x:v>Expansion discovery</x:v>
      </x:c>
      <x:c r="F1677" s="17" t="str">
        <x:v>D3</x:v>
      </x:c>
      <x:c r="G1677" s="14" t="str"/>
      <x:c r="H1677" s="14" t="str">
        <x:v>Discovery розширення — 2 тижні</x:v>
      </x:c>
      <x:c r="I1677" s="16" t="n">
        <x:v>1</x:v>
      </x:c>
      <x:c r="J1677" s="16" t="n">
        <x:v>5</x:v>
      </x:c>
      <x:c r="K1677" s="16" t="n">
        <x:v>5</x:v>
      </x:c>
      <x:c r="L1677" s="16" t="n">
        <x:v>1</x:v>
      </x:c>
      <x:c r="M1677" s="16" t="n">
        <x:v>5</x:v>
      </x:c>
      <x:c r="N1677" s="16" t="n">
        <x:v>3</x:v>
      </x:c>
      <x:c r="O1677" s="16" t="n">
        <x:v>3</x:v>
      </x:c>
      <x:c r="P1677" s="16" t="n">
        <x:f>IF(COUNT(I1677:O1677)&lt;7,"",I1677*8+J1677*3+K1677*2+L1677*2+M1677*2+N1677*2+O1677)</x:f>
        <x:v>54</x:v>
      </x:c>
      <x:c r="Q1677" s="16" t="n">
        <x:f>IF(COUNT(J1677:O1677)&lt;6,"",J1677*5+K1677*4+M1677*4+L1677*3+N1677*2+O1677*2)</x:f>
        <x:v>80</x:v>
      </x:c>
      <x:c r="R1677" s="14" t="str">
        <x:v>high</x:v>
      </x:c>
      <x:c r="S1677" s="14" t="str">
        <x:v>official_prozorro_award_2024_2026</x:v>
      </x:c>
      <x:c r="T1677" s="14" t="str">
        <x:v>official_prozorro_api</x:v>
      </x:c>
      <x:c r="U1677" s="14" t="str">
        <x:v>Не контактували</x:v>
      </x:c>
      <x:c r="V1677" s="15" t="str">
        <x:v>Workflow-audit outreach по UA-2024-12-22-001632-a; попросити 1 пакет здачі та вимоги проєкту</x:v>
      </x:c>
      <x:c r="W1677" s="15" t="str">
        <x:v>Власник / виконавець; відповідальний за договір</x:v>
      </x:c>
      <x:c r="X1677" s="15" t="str">
        <x:v>1 нових підтверджених перемог/договорів у Prozorro на 20 503 грн; 0 зі строком виконання не раніше 24.08.2026.</x:v>
      </x:c>
      <x:c r="Y1677" s="15" t="str">
        <x:v>Поточний ремонт вентиляційної системи (пробивання отворів в монолітних залізобетонних конструкціях під рекуператори та установлення вентиляційних решіток)  в найпростішому укритті Михайлівського ліцею; опублікований строк до 2024-12-31. Попросити один знеособлений пакет здачі за цим workflow.</x:v>
      </x:c>
      <x:c r="Z1677" s="15" t="str">
        <x:v>https://prozorro.gov.ua/tender/UA-2024-12-22-001632-a</x:v>
      </x:c>
      <x:c r="AA1677" s="14" t="str">
        <x:v>2682007950</x:v>
      </x:c>
      <x:c r="AB1677" s="14" t="str">
        <x:v>2026-08-24</x:v>
      </x:c>
      <x:c r="AC1677" s="14" t="str"/>
      <x:c r="AD1677" s="20" t="str"/>
      <x:c r="AE1677" s="14" t="str"/>
      <x:c r="AF1677" s="14" t="n">
        <x:v>26</x:v>
      </x:c>
      <x:c r="AG1677" s="14" t="str">
        <x:v>I3</x:v>
      </x:c>
      <x:c r="AH1677" s="14" t="n">
        <x:v>1</x:v>
      </x:c>
      <x:c r="AI1677" s="14" t="n">
        <x:v>0</x:v>
      </x:c>
      <x:c r="AJ1677" s="18" t="n">
        <x:v>20502.69</x:v>
      </x:c>
      <x:c r="AK1677" s="14" t="str">
        <x:v>https://prozorro.gov.ua/tender/UA-2024-12-22-001632-a</x:v>
      </x:c>
      <x:c r="AL1677" s="19" t="n">
        <x:v>45648.89682607639</x:v>
      </x:c>
      <x:c r="AM1677" s="19" t="n">
        <x:v>45657</x:v>
      </x:c>
      <x:c r="AN1677" s="15" t="str">
        <x:v>Ремонт і підсилення бетону</x:v>
      </x:c>
      <x:c r="AO1677" s="15" t="str">
        <x:v>not_found_in_top_search</x:v>
      </x:c>
    </x:row>
    <x:row r="1678">
      <x:c r="A1678" s="14" t="str">
        <x:v>W5-306</x:v>
      </x:c>
      <x:c r="B1678" s="14" t="str">
        <x:v>Prozorro vertical expansion — 24.08</x:v>
      </x:c>
      <x:c r="C1678" s="14" t="str">
        <x:v>ТОВАРИСТВО З ОБМЕЖЕНОЮ ВІДПОВІДАЛЬНІСТЮ "МЕДТЕХСЕРВІС"</x:v>
      </x:c>
      <x:c r="D1678" s="14" t="str">
        <x:v>Технологічні трубопроводи</x:v>
      </x:c>
      <x:c r="E1678" s="14" t="str">
        <x:v>Expansion discovery</x:v>
      </x:c>
      <x:c r="F1678" s="17" t="str">
        <x:v>D3</x:v>
      </x:c>
      <x:c r="G1678" s="14" t="str"/>
      <x:c r="H1678" s="14" t="str">
        <x:v>Discovery розширення — 2 тижні</x:v>
      </x:c>
      <x:c r="I1678" s="16" t="n">
        <x:v>1</x:v>
      </x:c>
      <x:c r="J1678" s="16" t="n">
        <x:v>5</x:v>
      </x:c>
      <x:c r="K1678" s="16" t="n">
        <x:v>5</x:v>
      </x:c>
      <x:c r="L1678" s="16" t="n">
        <x:v>1</x:v>
      </x:c>
      <x:c r="M1678" s="16" t="n">
        <x:v>5</x:v>
      </x:c>
      <x:c r="N1678" s="16" t="n">
        <x:v>5</x:v>
      </x:c>
      <x:c r="O1678" s="16" t="n">
        <x:v>3</x:v>
      </x:c>
      <x:c r="P1678" s="16" t="n">
        <x:f>IF(COUNT(I1678:O1678)&lt;7,"",I1678*8+J1678*3+K1678*2+L1678*2+M1678*2+N1678*2+O1678)</x:f>
        <x:v>58</x:v>
      </x:c>
      <x:c r="Q1678" s="16" t="n">
        <x:f>IF(COUNT(J1678:O1678)&lt;6,"",J1678*5+K1678*4+M1678*4+L1678*3+N1678*2+O1678*2)</x:f>
        <x:v>84</x:v>
      </x:c>
      <x:c r="R1678" s="14" t="str">
        <x:v>high</x:v>
      </x:c>
      <x:c r="S1678" s="14" t="str">
        <x:v>official_prozorro_award_2024_2026</x:v>
      </x:c>
      <x:c r="T1678" s="14" t="str">
        <x:v>official_prozorro_api</x:v>
      </x:c>
      <x:c r="U1678" s="14" t="str">
        <x:v>Не контактували</x:v>
      </x:c>
      <x:c r="V1678" s="15" t="str">
        <x:v>Workflow-audit outreach по UA-2024-03-07-004075-a; попросити 1 пакет здачі та вимоги проєкту</x:v>
      </x:c>
      <x:c r="W1678" s="15" t="str">
        <x:v>Власник / директор; керівник ПТО; відповідальний за договори</x:v>
      </x:c>
      <x:c r="X1678" s="15" t="str">
        <x:v>1 нових підтверджених перемог/договорів у Prozorro на 18 553 грн; 0 зі строком виконання не раніше 24.08.2026.</x:v>
      </x:c>
      <x:c r="Y1678" s="15" t="str">
        <x:v>код ДК 021:2015:50530000-9 Послуги з ремонту і технічного обслуговування техніки (зовнішній огляд та визначення несправності стерилізатора парового; зняття захисних кожухів, розбирання стерилізатора; чистка, ремонт, заміна прокладок трубопроводів (за з'єднання); чистка, ремонт, заміна прокладок запірної арматури (за один вентиль); ремонт водовказівної колонки; чистка, заміна прокладок пароутворювача; заміна ТЕНа в пароутворювачі (за один ТЕН); чистка, заміна прокладок конденсатора пари; ремонт електричної схеми; схеми автоматики; силової схеми; ремонт затискачів кришки стерилізаційної камери ВК-75, ВК-30, ВКУ - 50; ремонт затискача дверей стерилізаційної камери ГП-400, ГП-560; монтаж паропроводу для підведення води; перевірка на герметичність; чистка, ремонт, регулювання запобіжного клапана; перевірка роботи і пробна стерилізація; витрати на відрядження)
; опублікований строк до 2024-12-31. Попросити один знеособлений пакет здачі за цим workflow.</x:v>
      </x:c>
      <x:c r="Z1678" s="15" t="str">
        <x:v>https://prozorro.gov.ua/tender/UA-2024-03-07-004075-a</x:v>
      </x:c>
      <x:c r="AA1678" s="14" t="str">
        <x:v>31183356</x:v>
      </x:c>
      <x:c r="AB1678" s="14" t="str">
        <x:v>2026-08-24</x:v>
      </x:c>
      <x:c r="AC1678" s="14" t="str"/>
      <x:c r="AD1678" s="20" t="str"/>
      <x:c r="AE1678" s="14" t="str"/>
      <x:c r="AF1678" s="14" t="n">
        <x:v>26</x:v>
      </x:c>
      <x:c r="AG1678" s="14" t="str">
        <x:v>I3</x:v>
      </x:c>
      <x:c r="AH1678" s="14" t="n">
        <x:v>1</x:v>
      </x:c>
      <x:c r="AI1678" s="14" t="n">
        <x:v>0</x:v>
      </x:c>
      <x:c r="AJ1678" s="18" t="n">
        <x:v>18553</x:v>
      </x:c>
      <x:c r="AK1678" s="14" t="str">
        <x:v>https://prozorro.gov.ua/tender/UA-2024-03-07-004075-a</x:v>
      </x:c>
      <x:c r="AL1678" s="19" t="n">
        <x:v>45358.39692652778</x:v>
      </x:c>
      <x:c r="AM1678" s="19" t="n">
        <x:v>45657</x:v>
      </x:c>
      <x:c r="AN1678" s="15" t="str">
        <x:v>Технологічні трубопроводи</x:v>
      </x:c>
      <x:c r="AO1678" s="15" t="str">
        <x:v>not_found_in_top_search</x:v>
      </x:c>
    </x:row>
    <x:row r="1679">
      <x:c r="A1679" s="14" t="str">
        <x:v>W5-307</x:v>
      </x:c>
      <x:c r="B1679" s="14" t="str">
        <x:v>Prozorro vertical expansion — 24.08</x:v>
      </x:c>
      <x:c r="C1679" s="14" t="str">
        <x:v>ТОВАРИСТВО З ОБМЕЖЕНОЮ ВІДПОВІДАЛЬНІСТЮ НАУКОВО-ВИРОБНИЧЕ ПІДПРИЄМСТВО "МАДЕК"</x:v>
      </x:c>
      <x:c r="D1679" s="14" t="str">
        <x:v>Резервне живлення</x:v>
      </x:c>
      <x:c r="E1679" s="14" t="str">
        <x:v>Pilot now</x:v>
      </x:c>
      <x:c r="F1679" s="17" t="str">
        <x:v>P3</x:v>
      </x:c>
      <x:c r="G1679" s="14" t="str"/>
      <x:c r="H1679" s="14" t="str">
        <x:v>Пілот зараз — Н.15 subset</x:v>
      </x:c>
      <x:c r="I1679" s="16" t="n">
        <x:v>4</x:v>
      </x:c>
      <x:c r="J1679" s="16" t="n">
        <x:v>5</x:v>
      </x:c>
      <x:c r="K1679" s="16" t="n">
        <x:v>5</x:v>
      </x:c>
      <x:c r="L1679" s="16" t="n">
        <x:v>1</x:v>
      </x:c>
      <x:c r="M1679" s="16" t="n">
        <x:v>5</x:v>
      </x:c>
      <x:c r="N1679" s="16" t="n">
        <x:v>5</x:v>
      </x:c>
      <x:c r="O1679" s="16" t="n">
        <x:v>3</x:v>
      </x:c>
      <x:c r="P1679" s="16" t="n">
        <x:f>IF(COUNT(I1679:O1679)&lt;7,"",I1679*8+J1679*3+K1679*2+L1679*2+M1679*2+N1679*2+O1679)</x:f>
        <x:v>82</x:v>
      </x:c>
      <x:c r="Q1679" s="16" t="n">
        <x:f>IF(COUNT(J1679:O1679)&lt;6,"",J1679*5+K1679*4+M1679*4+L1679*3+N1679*2+O1679*2)</x:f>
        <x:v>84</x:v>
      </x:c>
      <x:c r="R1679" s="14" t="str">
        <x:v>high</x:v>
      </x:c>
      <x:c r="S1679" s="14" t="str">
        <x:v>official_prozorro_award_2024_2026</x:v>
      </x:c>
      <x:c r="T1679" s="14" t="str">
        <x:v>official_prozorro_api</x:v>
      </x:c>
      <x:c r="U1679" s="14" t="str">
        <x:v>Не контактували</x:v>
      </x:c>
      <x:c r="V1679" s="15" t="str">
        <x:v>Персоналізований free-pilot outreach по UA-2024-10-07-007140-a; попросити 1 пакет Н.15</x:v>
      </x:c>
      <x:c r="W1679" s="15" t="str">
        <x:v>Власник / директор; керівник ПТО; відповідальний за договори</x:v>
      </x:c>
      <x:c r="X1679" s="15" t="str">
        <x:v>1 нових підтверджених перемог/договорів у Prozorro на 10 410 грн; 0 зі строком виконання не раніше 24.08.2026.</x:v>
      </x:c>
      <x:c r="Y1679" s="15" t="str">
        <x:v>Послуги зі встановлення електричного обладнання (Оренда дизель-генератора, оренда кабельної комутації, монтаж, демонтаж дизель-генератора)  ; опублікований строк до 2024-09-26. Попросити один знеособлений пакет здачі за цим workflow.</x:v>
      </x:c>
      <x:c r="Z1679" s="15" t="str">
        <x:v>https://prozorro.gov.ua/tender/UA-2024-10-07-007140-a</x:v>
      </x:c>
      <x:c r="AA1679" s="14" t="str">
        <x:v>13695593</x:v>
      </x:c>
      <x:c r="AB1679" s="14" t="str">
        <x:v>2026-08-24</x:v>
      </x:c>
      <x:c r="AC1679" s="14" t="str"/>
      <x:c r="AD1679" s="20" t="str"/>
      <x:c r="AE1679" s="14" t="str"/>
      <x:c r="AF1679" s="14" t="n">
        <x:v>26</x:v>
      </x:c>
      <x:c r="AG1679" s="14" t="str">
        <x:v>I3</x:v>
      </x:c>
      <x:c r="AH1679" s="14" t="n">
        <x:v>1</x:v>
      </x:c>
      <x:c r="AI1679" s="14" t="n">
        <x:v>0</x:v>
      </x:c>
      <x:c r="AJ1679" s="18" t="n">
        <x:v>10410</x:v>
      </x:c>
      <x:c r="AK1679" s="14" t="str">
        <x:v>https://prozorro.gov.ua/tender/UA-2024-10-07-007140-a</x:v>
      </x:c>
      <x:c r="AL1679" s="19" t="n">
        <x:v>45572.46208818287</x:v>
      </x:c>
      <x:c r="AM1679" s="19" t="n">
        <x:v>45561</x:v>
      </x:c>
      <x:c r="AN1679" s="15" t="str">
        <x:v>Резервне живлення</x:v>
      </x:c>
      <x:c r="AO1679" s="15" t="str">
        <x:v>not_found_in_top_search</x:v>
      </x:c>
    </x:row>
    <x:row r="1680">
      <x:c r="A1680" s="14" t="str">
        <x:v>W5-308</x:v>
      </x:c>
      <x:c r="B1680" s="14" t="str">
        <x:v>Prozorro vertical expansion — 24.08</x:v>
      </x:c>
      <x:c r="C1680" s="14" t="str">
        <x:v>ТОВАРИСТВО З ОБМЕЖЕНОЮ ВІДПОВІДАЛЬНІСТЮ "ЛІХТ"</x:v>
      </x:c>
      <x:c r="D1680" s="14" t="str">
        <x:v>Промисловий холод</x:v>
      </x:c>
      <x:c r="E1680" s="14" t="str">
        <x:v>Expansion discovery</x:v>
      </x:c>
      <x:c r="F1680" s="17" t="str">
        <x:v>D3</x:v>
      </x:c>
      <x:c r="G1680" s="14" t="str"/>
      <x:c r="H1680" s="14" t="str">
        <x:v>Discovery розширення — 2 тижні</x:v>
      </x:c>
      <x:c r="I1680" s="16" t="n">
        <x:v>1</x:v>
      </x:c>
      <x:c r="J1680" s="16" t="n">
        <x:v>5</x:v>
      </x:c>
      <x:c r="K1680" s="16" t="n">
        <x:v>5</x:v>
      </x:c>
      <x:c r="L1680" s="16" t="n">
        <x:v>1</x:v>
      </x:c>
      <x:c r="M1680" s="16" t="n">
        <x:v>5</x:v>
      </x:c>
      <x:c r="N1680" s="16" t="n">
        <x:v>5</x:v>
      </x:c>
      <x:c r="O1680" s="16" t="n">
        <x:v>3</x:v>
      </x:c>
      <x:c r="P1680" s="16" t="n">
        <x:f>IF(COUNT(I1680:O1680)&lt;7,"",I1680*8+J1680*3+K1680*2+L1680*2+M1680*2+N1680*2+O1680)</x:f>
        <x:v>58</x:v>
      </x:c>
      <x:c r="Q1680" s="16" t="n">
        <x:f>IF(COUNT(J1680:O1680)&lt;6,"",J1680*5+K1680*4+M1680*4+L1680*3+N1680*2+O1680*2)</x:f>
        <x:v>84</x:v>
      </x:c>
      <x:c r="R1680" s="14" t="str">
        <x:v>high</x:v>
      </x:c>
      <x:c r="S1680" s="14" t="str">
        <x:v>official_prozorro_award_2024_2026</x:v>
      </x:c>
      <x:c r="T1680" s="14" t="str">
        <x:v>official_prozorro_api</x:v>
      </x:c>
      <x:c r="U1680" s="14" t="str">
        <x:v>Не контактували</x:v>
      </x:c>
      <x:c r="V1680" s="15" t="str">
        <x:v>Workflow-audit outreach по UA-2025-04-07-004442-a; попросити 1 пакет здачі та вимоги проєкту</x:v>
      </x:c>
      <x:c r="W1680" s="15" t="str">
        <x:v>Власник / директор; керівник ПТО; відповідальний за договори</x:v>
      </x:c>
      <x:c r="X1680" s="15" t="str">
        <x:v>1 нових підтверджених перемог/договорів у Prozorro на 8 070 грн; 0 зі строком виконання не раніше 24.08.2026.</x:v>
      </x:c>
      <x:c r="Y1680" s="15" t="str">
        <x:v>Монтаж холодильного обладнання ; опублікований строк до 2025-12-31. Попросити один знеособлений пакет здачі за цим workflow.</x:v>
      </x:c>
      <x:c r="Z1680" s="15" t="str">
        <x:v>https://prozorro.gov.ua/tender/UA-2025-04-07-004442-a</x:v>
      </x:c>
      <x:c r="AA1680" s="14" t="str">
        <x:v>35562709</x:v>
      </x:c>
      <x:c r="AB1680" s="14" t="str">
        <x:v>2026-08-24</x:v>
      </x:c>
      <x:c r="AC1680" s="14" t="str"/>
      <x:c r="AD1680" s="20" t="str"/>
      <x:c r="AE1680" s="14" t="str"/>
      <x:c r="AF1680" s="14" t="n">
        <x:v>26</x:v>
      </x:c>
      <x:c r="AG1680" s="14" t="str">
        <x:v>I3</x:v>
      </x:c>
      <x:c r="AH1680" s="14" t="n">
        <x:v>1</x:v>
      </x:c>
      <x:c r="AI1680" s="14" t="n">
        <x:v>0</x:v>
      </x:c>
      <x:c r="AJ1680" s="18" t="n">
        <x:v>8070</x:v>
      </x:c>
      <x:c r="AK1680" s="14" t="str">
        <x:v>https://prozorro.gov.ua/tender/UA-2025-04-07-004442-a</x:v>
      </x:c>
      <x:c r="AL1680" s="19" t="n">
        <x:v>45754.3661737963</x:v>
      </x:c>
      <x:c r="AM1680" s="19" t="n">
        <x:v>46022</x:v>
      </x:c>
      <x:c r="AN1680" s="15" t="str">
        <x:v>Промисловий холод</x:v>
      </x:c>
      <x:c r="AO1680" s="15" t="str">
        <x:v>not_found_in_top_search</x:v>
      </x:c>
    </x:row>
    <x:row r="1681">
      <x:c r="A1681" s="14" t="str">
        <x:v>W5-309</x:v>
      </x:c>
      <x:c r="B1681" s="14" t="str">
        <x:v>Prozorro vertical expansion — 24.08</x:v>
      </x:c>
      <x:c r="C1681" s="14" t="str">
        <x:v>ПРИВАТНЕ ПІДПРИЄМСТВО "ДИКИЙ САД"</x:v>
      </x:c>
      <x:c r="D1681" s="14" t="str">
        <x:v>ВОЛЗ / телеком</x:v>
      </x:c>
      <x:c r="E1681" s="14" t="str">
        <x:v>Expansion discovery</x:v>
      </x:c>
      <x:c r="F1681" s="17" t="str">
        <x:v>D3</x:v>
      </x:c>
      <x:c r="G1681" s="14" t="str"/>
      <x:c r="H1681" s="14" t="str">
        <x:v>Discovery розширення — 2 тижні</x:v>
      </x:c>
      <x:c r="I1681" s="16" t="n">
        <x:v>1</x:v>
      </x:c>
      <x:c r="J1681" s="16" t="n">
        <x:v>5</x:v>
      </x:c>
      <x:c r="K1681" s="16" t="n">
        <x:v>5</x:v>
      </x:c>
      <x:c r="L1681" s="16" t="n">
        <x:v>1</x:v>
      </x:c>
      <x:c r="M1681" s="16" t="n">
        <x:v>5</x:v>
      </x:c>
      <x:c r="N1681" s="16" t="n">
        <x:v>5</x:v>
      </x:c>
      <x:c r="O1681" s="16" t="n">
        <x:v>3</x:v>
      </x:c>
      <x:c r="P1681" s="16" t="n">
        <x:f>IF(COUNT(I1681:O1681)&lt;7,"",I1681*8+J1681*3+K1681*2+L1681*2+M1681*2+N1681*2+O1681)</x:f>
        <x:v>58</x:v>
      </x:c>
      <x:c r="Q1681" s="16" t="n">
        <x:f>IF(COUNT(J1681:O1681)&lt;6,"",J1681*5+K1681*4+M1681*4+L1681*3+N1681*2+O1681*2)</x:f>
        <x:v>84</x:v>
      </x:c>
      <x:c r="R1681" s="14" t="str">
        <x:v>high</x:v>
      </x:c>
      <x:c r="S1681" s="14" t="str">
        <x:v>official_prozorro_award_2024_2026</x:v>
      </x:c>
      <x:c r="T1681" s="14" t="str">
        <x:v>official_prozorro_api</x:v>
      </x:c>
      <x:c r="U1681" s="14" t="str">
        <x:v>Не контактували</x:v>
      </x:c>
      <x:c r="V1681" s="15" t="str">
        <x:v>Workflow-audit outreach по UA-2024-08-02-007644-a; попросити 1 пакет здачі та вимоги проєкту</x:v>
      </x:c>
      <x:c r="W1681" s="15" t="str">
        <x:v>Власник / директор; керівник ПТО; відповідальний за договори</x:v>
      </x:c>
      <x:c r="X1681" s="15" t="str">
        <x:v>1 нових підтверджених перемог/договорів у Prozorro на 7 428 грн; 0 зі строком виконання не раніше 24.08.2026.</x:v>
      </x:c>
      <x:c r="Y1681" s="15" t="str">
        <x:v>Послуги з монтажу волоконно-оптичної лінії зв'язку для підключення одного пристрою до мережі передачі даних компанії "Дикий Сад". Код ДК 021:2015 45230000-8-Будівництво трубопроводів, ліній зв’язку та електропередач, шосе, доріг, аеродромів і залізничних доріг; вирівнювання поверхонь (45231600-1 Прокладання ліній зв'язку); опублікований строк до 2024-09-20. Попросити один знеособлений пакет здачі за цим workflow.</x:v>
      </x:c>
      <x:c r="Z1681" s="15" t="str">
        <x:v>https://prozorro.gov.ua/tender/UA-2024-08-02-007644-a</x:v>
      </x:c>
      <x:c r="AA1681" s="14" t="str">
        <x:v>22426550</x:v>
      </x:c>
      <x:c r="AB1681" s="14" t="str">
        <x:v>2026-08-24</x:v>
      </x:c>
      <x:c r="AC1681" s="14" t="str"/>
      <x:c r="AD1681" s="20" t="str"/>
      <x:c r="AE1681" s="14" t="str"/>
      <x:c r="AF1681" s="14" t="n">
        <x:v>26</x:v>
      </x:c>
      <x:c r="AG1681" s="14" t="str">
        <x:v>I3</x:v>
      </x:c>
      <x:c r="AH1681" s="14" t="n">
        <x:v>1</x:v>
      </x:c>
      <x:c r="AI1681" s="14" t="n">
        <x:v>0</x:v>
      </x:c>
      <x:c r="AJ1681" s="18" t="n">
        <x:v>7428</x:v>
      </x:c>
      <x:c r="AK1681" s="14" t="str">
        <x:v>https://prozorro.gov.ua/tender/UA-2024-08-02-007644-a</x:v>
      </x:c>
      <x:c r="AL1681" s="19" t="n">
        <x:v>45506.467394618056</x:v>
      </x:c>
      <x:c r="AM1681" s="19" t="n">
        <x:v>45555</x:v>
      </x:c>
      <x:c r="AN1681" s="15" t="str">
        <x:v>ВОЛЗ / телеком</x:v>
      </x:c>
      <x:c r="AO1681" s="15" t="str">
        <x:v>not_found_in_top_search</x:v>
      </x:c>
    </x:row>
    <x:row r="1682">
      <x:c r="A1682" s="14" t="str">
        <x:v>W5-310</x:v>
      </x:c>
      <x:c r="B1682" s="14" t="str">
        <x:v>Prozorro vertical expansion — 24.08</x:v>
      </x:c>
      <x:c r="C1682" s="14" t="str">
        <x:v>БЕЗНОСЕНКО ВІКТОР АНАТОЛІЙОВИЧ</x:v>
      </x:c>
      <x:c r="D1682" s="14" t="str">
        <x:v>Резервне живлення</x:v>
      </x:c>
      <x:c r="E1682" s="14" t="str">
        <x:v>Pilot now</x:v>
      </x:c>
      <x:c r="F1682" s="17" t="str">
        <x:v>P3</x:v>
      </x:c>
      <x:c r="G1682" s="14" t="str"/>
      <x:c r="H1682" s="14" t="str">
        <x:v>Пілот зараз — Н.15 subset</x:v>
      </x:c>
      <x:c r="I1682" s="16" t="n">
        <x:v>4</x:v>
      </x:c>
      <x:c r="J1682" s="16" t="n">
        <x:v>5</x:v>
      </x:c>
      <x:c r="K1682" s="16" t="n">
        <x:v>5</x:v>
      </x:c>
      <x:c r="L1682" s="16" t="n">
        <x:v>1</x:v>
      </x:c>
      <x:c r="M1682" s="16" t="n">
        <x:v>5</x:v>
      </x:c>
      <x:c r="N1682" s="16" t="n">
        <x:v>3</x:v>
      </x:c>
      <x:c r="O1682" s="16" t="n">
        <x:v>3</x:v>
      </x:c>
      <x:c r="P1682" s="16" t="n">
        <x:f>IF(COUNT(I1682:O1682)&lt;7,"",I1682*8+J1682*3+K1682*2+L1682*2+M1682*2+N1682*2+O1682)</x:f>
        <x:v>78</x:v>
      </x:c>
      <x:c r="Q1682" s="16" t="n">
        <x:f>IF(COUNT(J1682:O1682)&lt;6,"",J1682*5+K1682*4+M1682*4+L1682*3+N1682*2+O1682*2)</x:f>
        <x:v>80</x:v>
      </x:c>
      <x:c r="R1682" s="14" t="str">
        <x:v>high</x:v>
      </x:c>
      <x:c r="S1682" s="14" t="str">
        <x:v>official_prozorro_award_2024_2026</x:v>
      </x:c>
      <x:c r="T1682" s="14" t="str">
        <x:v>official_prozorro_api</x:v>
      </x:c>
      <x:c r="U1682" s="14" t="str">
        <x:v>Не контактували</x:v>
      </x:c>
      <x:c r="V1682" s="15" t="str">
        <x:v>Персоналізований free-pilot outreach по UA-2024-12-20-022636-a; попросити 1 пакет Н.15</x:v>
      </x:c>
      <x:c r="W1682" s="15" t="str">
        <x:v>Власник / виконавець; відповідальний за договір</x:v>
      </x:c>
      <x:c r="X1682" s="15" t="str">
        <x:v>1 нових підтверджених перемог/договорів у Prozorro на 3 500 грн; 0 зі строком виконання не раніше 24.08.2026.</x:v>
      </x:c>
      <x:c r="Y1682" s="15" t="str">
        <x:v>Послуги монтажу системи безперебійного живлення; опублікований строк до 2024-12-31. Попросити один знеособлений пакет здачі за цим workflow.</x:v>
      </x:c>
      <x:c r="Z1682" s="15" t="str">
        <x:v>https://prozorro.gov.ua/tender/UA-2024-12-20-022636-a</x:v>
      </x:c>
      <x:c r="AA1682" s="14" t="str">
        <x:v>2934819037</x:v>
      </x:c>
      <x:c r="AB1682" s="14" t="str">
        <x:v>2026-08-24</x:v>
      </x:c>
      <x:c r="AC1682" s="14" t="str"/>
      <x:c r="AD1682" s="20" t="str"/>
      <x:c r="AE1682" s="14" t="str"/>
      <x:c r="AF1682" s="14" t="n">
        <x:v>26</x:v>
      </x:c>
      <x:c r="AG1682" s="14" t="str">
        <x:v>I3</x:v>
      </x:c>
      <x:c r="AH1682" s="14" t="n">
        <x:v>1</x:v>
      </x:c>
      <x:c r="AI1682" s="14" t="n">
        <x:v>0</x:v>
      </x:c>
      <x:c r="AJ1682" s="18" t="n">
        <x:v>3500</x:v>
      </x:c>
      <x:c r="AK1682" s="14" t="str">
        <x:v>https://prozorro.gov.ua/tender/UA-2024-12-20-022636-a</x:v>
      </x:c>
      <x:c r="AL1682" s="19" t="n">
        <x:v>45646.74988559028</x:v>
      </x:c>
      <x:c r="AM1682" s="19" t="n">
        <x:v>45657</x:v>
      </x:c>
      <x:c r="AN1682" s="15" t="str">
        <x:v>Резервне живлення</x:v>
      </x:c>
      <x:c r="AO1682" s="15" t="str">
        <x:v>not_found_in_top_search</x:v>
      </x:c>
    </x:row>
    <x:row r="1683">
      <x:c r="A1683" s="14" t="str">
        <x:v>W5-311</x:v>
      </x:c>
      <x:c r="B1683" s="14" t="str">
        <x:v>Prozorro vertical expansion — 24.08</x:v>
      </x:c>
      <x:c r="C1683" s="14" t="str">
        <x:v>Криворізька філія Товариства з обмеженою відповідальністю "Газорозподільні мережі України"</x:v>
      </x:c>
      <x:c r="D1683" s="14" t="str">
        <x:v>Промислові котельні</x:v>
      </x:c>
      <x:c r="E1683" s="14" t="str">
        <x:v>Expansion discovery</x:v>
      </x:c>
      <x:c r="F1683" s="17" t="str">
        <x:v>D3</x:v>
      </x:c>
      <x:c r="G1683" s="14" t="str"/>
      <x:c r="H1683" s="14" t="str">
        <x:v>Discovery розширення — 2 тижні</x:v>
      </x:c>
      <x:c r="I1683" s="16" t="n">
        <x:v>1</x:v>
      </x:c>
      <x:c r="J1683" s="16" t="n">
        <x:v>5</x:v>
      </x:c>
      <x:c r="K1683" s="16" t="n">
        <x:v>5</x:v>
      </x:c>
      <x:c r="L1683" s="16" t="n">
        <x:v>1</x:v>
      </x:c>
      <x:c r="M1683" s="16" t="n">
        <x:v>5</x:v>
      </x:c>
      <x:c r="N1683" s="16" t="n">
        <x:v>5</x:v>
      </x:c>
      <x:c r="O1683" s="16" t="n">
        <x:v>3</x:v>
      </x:c>
      <x:c r="P1683" s="16" t="n">
        <x:f>IF(COUNT(I1683:O1683)&lt;7,"",I1683*8+J1683*3+K1683*2+L1683*2+M1683*2+N1683*2+O1683)</x:f>
        <x:v>58</x:v>
      </x:c>
      <x:c r="Q1683" s="16" t="n">
        <x:f>IF(COUNT(J1683:O1683)&lt;6,"",J1683*5+K1683*4+M1683*4+L1683*3+N1683*2+O1683*2)</x:f>
        <x:v>84</x:v>
      </x:c>
      <x:c r="R1683" s="14" t="str">
        <x:v>high</x:v>
      </x:c>
      <x:c r="S1683" s="14" t="str">
        <x:v>official_prozorro_award_2024_2026</x:v>
      </x:c>
      <x:c r="T1683" s="14" t="str">
        <x:v>official_prozorro_api</x:v>
      </x:c>
      <x:c r="U1683" s="14" t="str">
        <x:v>Не контактували</x:v>
      </x:c>
      <x:c r="V1683" s="15" t="str">
        <x:v>Workflow-audit outreach по UA-2025-03-21-005239-a; попросити 1 пакет здачі та вимоги проєкту</x:v>
      </x:c>
      <x:c r="W1683" s="15" t="str">
        <x:v>Власник / директор; керівник ПТО; відповідальний за договори</x:v>
      </x:c>
      <x:c r="X1683" s="15" t="str">
        <x:v>1 нових підтверджених перемог/договорів у Prozorro на 2 752 грн; 0 зі строком виконання не раніше 24.08.2026.</x:v>
      </x:c>
      <x:c r="Y1683" s="15" t="str">
        <x:v>Реконструкція системи газопостачання котельні " Промислова-8" за адресою : Дніпропетровська область м. Кривий Ріг , вул.Промислова, 8б; опублікований строк до 2025-12-31. Попросити один знеособлений пакет здачі за цим workflow.</x:v>
      </x:c>
      <x:c r="Z1683" s="15" t="str">
        <x:v>https://prozorro.gov.ua/tender/UA-2025-03-21-005239-a</x:v>
      </x:c>
      <x:c r="AA1683" s="14" t="str">
        <x:v>44952395</x:v>
      </x:c>
      <x:c r="AB1683" s="14" t="str">
        <x:v>2026-08-24</x:v>
      </x:c>
      <x:c r="AC1683" s="14" t="str"/>
      <x:c r="AD1683" s="20" t="str"/>
      <x:c r="AE1683" s="14" t="str"/>
      <x:c r="AF1683" s="14" t="n">
        <x:v>26</x:v>
      </x:c>
      <x:c r="AG1683" s="14" t="str">
        <x:v>I3</x:v>
      </x:c>
      <x:c r="AH1683" s="14" t="n">
        <x:v>1</x:v>
      </x:c>
      <x:c r="AI1683" s="14" t="n">
        <x:v>0</x:v>
      </x:c>
      <x:c r="AJ1683" s="18" t="n">
        <x:v>2752.22</x:v>
      </x:c>
      <x:c r="AK1683" s="14" t="str">
        <x:v>https://prozorro.gov.ua/tender/UA-2025-03-21-005239-a</x:v>
      </x:c>
      <x:c r="AL1683" s="19" t="n">
        <x:v>45737.41045290509</x:v>
      </x:c>
      <x:c r="AM1683" s="19" t="n">
        <x:v>46022</x:v>
      </x:c>
      <x:c r="AN1683" s="15" t="str">
        <x:v>Промислові котельні</x:v>
      </x:c>
      <x:c r="AO1683" s="15" t="str">
        <x:v>not_found_in_top_search</x:v>
      </x:c>
    </x:row>
    <x:row r="1684">
      <x:c r="A1684" s="14" t="str">
        <x:v>W5-312</x:v>
      </x:c>
      <x:c r="B1684" s="14" t="str">
        <x:v>Prozorro vertical expansion — 24.08</x:v>
      </x:c>
      <x:c r="C1684" s="14" t="str">
        <x:v>ТОВАРИСТВО З ОБМЕЖЕНОЮ ВІДПОВІДАЛЬНІСТЮ "ІТТЕК"</x:v>
      </x:c>
      <x:c r="D1684" s="14" t="str">
        <x:v>Резервне живлення</x:v>
      </x:c>
      <x:c r="E1684" s="14" t="str">
        <x:v>Pilot now</x:v>
      </x:c>
      <x:c r="F1684" s="17" t="str">
        <x:v>P3</x:v>
      </x:c>
      <x:c r="G1684" s="14" t="str"/>
      <x:c r="H1684" s="14" t="str">
        <x:v>Пілот зараз — Н.15 subset</x:v>
      </x:c>
      <x:c r="I1684" s="16" t="n">
        <x:v>4</x:v>
      </x:c>
      <x:c r="J1684" s="16" t="n">
        <x:v>5</x:v>
      </x:c>
      <x:c r="K1684" s="16" t="n">
        <x:v>5</x:v>
      </x:c>
      <x:c r="L1684" s="16" t="n">
        <x:v>1</x:v>
      </x:c>
      <x:c r="M1684" s="16" t="n">
        <x:v>5</x:v>
      </x:c>
      <x:c r="N1684" s="16" t="n">
        <x:v>5</x:v>
      </x:c>
      <x:c r="O1684" s="16" t="n">
        <x:v>3</x:v>
      </x:c>
      <x:c r="P1684" s="16" t="n">
        <x:f>IF(COUNT(I1684:O1684)&lt;7,"",I1684*8+J1684*3+K1684*2+L1684*2+M1684*2+N1684*2+O1684)</x:f>
        <x:v>82</x:v>
      </x:c>
      <x:c r="Q1684" s="16" t="n">
        <x:f>IF(COUNT(J1684:O1684)&lt;6,"",J1684*5+K1684*4+M1684*4+L1684*3+N1684*2+O1684*2)</x:f>
        <x:v>84</x:v>
      </x:c>
      <x:c r="R1684" s="14" t="str">
        <x:v>high</x:v>
      </x:c>
      <x:c r="S1684" s="14" t="str">
        <x:v>official_prozorro_award_2024_2026</x:v>
      </x:c>
      <x:c r="T1684" s="14" t="str">
        <x:v>official_prozorro_api</x:v>
      </x:c>
      <x:c r="U1684" s="14" t="str">
        <x:v>Не контактували</x:v>
      </x:c>
      <x:c r="V1684" s="15" t="str">
        <x:v>Персоналізований free-pilot outreach по UA-2024-12-17-007193-a; попросити 1 пакет Н.15</x:v>
      </x:c>
      <x:c r="W1684" s="15" t="str">
        <x:v>Власник / директор; керівник ПТО; відповідальний за договори</x:v>
      </x:c>
      <x:c r="X1684" s="15" t="str">
        <x:v>1 нових підтверджених перемог/договорів у Prozorro на 1 850 грн; 0 зі строком виконання не раніше 24.08.2026.</x:v>
      </x:c>
      <x:c r="Y1684" s="15" t="str">
        <x:v>Послуги з монтажу обладнання безперебійного живлення; опублікований строк до 2024-12-31. Попросити один знеособлений пакет здачі за цим workflow.</x:v>
      </x:c>
      <x:c r="Z1684" s="15" t="str">
        <x:v>https://prozorro.gov.ua/tender/UA-2024-12-17-007193-a</x:v>
      </x:c>
      <x:c r="AA1684" s="14" t="str">
        <x:v>32113101</x:v>
      </x:c>
      <x:c r="AB1684" s="14" t="str">
        <x:v>2026-08-24</x:v>
      </x:c>
      <x:c r="AC1684" s="14" t="str"/>
      <x:c r="AD1684" s="20" t="str"/>
      <x:c r="AE1684" s="14" t="str"/>
      <x:c r="AF1684" s="14" t="n">
        <x:v>26</x:v>
      </x:c>
      <x:c r="AG1684" s="14" t="str">
        <x:v>I3</x:v>
      </x:c>
      <x:c r="AH1684" s="14" t="n">
        <x:v>1</x:v>
      </x:c>
      <x:c r="AI1684" s="14" t="n">
        <x:v>0</x:v>
      </x:c>
      <x:c r="AJ1684" s="18" t="n">
        <x:v>1850</x:v>
      </x:c>
      <x:c r="AK1684" s="14" t="str">
        <x:v>https://prozorro.gov.ua/tender/UA-2024-12-17-007193-a</x:v>
      </x:c>
      <x:c r="AL1684" s="19" t="n">
        <x:v>45643.40587633102</x:v>
      </x:c>
      <x:c r="AM1684" s="19" t="n">
        <x:v>45657</x:v>
      </x:c>
      <x:c r="AN1684" s="15" t="str">
        <x:v>Резервне живлення</x:v>
      </x:c>
      <x:c r="AO1684" s="15" t="str">
        <x:v>not_found_in_top_search</x:v>
      </x:c>
    </x:row>
    <x:row r="1685">
      <x:c r="A1685" s="14" t="str">
        <x:v>W5-313</x:v>
      </x:c>
      <x:c r="B1685" s="14" t="str">
        <x:v>Prozorro vertical expansion — 24.08</x:v>
      </x:c>
      <x:c r="C1685" s="14" t="str">
        <x:v>ПРИВАТНЕ ПІДПРИЄМСТВО "ЮАІНЕТ"</x:v>
      </x:c>
      <x:c r="D1685" s="14" t="str">
        <x:v>ВОЛЗ / телеком</x:v>
      </x:c>
      <x:c r="E1685" s="14" t="str">
        <x:v>Expansion discovery</x:v>
      </x:c>
      <x:c r="F1685" s="17" t="str">
        <x:v>D3</x:v>
      </x:c>
      <x:c r="G1685" s="14" t="str"/>
      <x:c r="H1685" s="14" t="str">
        <x:v>Discovery розширення — 2 тижні</x:v>
      </x:c>
      <x:c r="I1685" s="16" t="n">
        <x:v>1</x:v>
      </x:c>
      <x:c r="J1685" s="16" t="n">
        <x:v>5</x:v>
      </x:c>
      <x:c r="K1685" s="16" t="n">
        <x:v>5</x:v>
      </x:c>
      <x:c r="L1685" s="16" t="n">
        <x:v>1</x:v>
      </x:c>
      <x:c r="M1685" s="16" t="n">
        <x:v>5</x:v>
      </x:c>
      <x:c r="N1685" s="16" t="n">
        <x:v>5</x:v>
      </x:c>
      <x:c r="O1685" s="16" t="n">
        <x:v>3</x:v>
      </x:c>
      <x:c r="P1685" s="16" t="n">
        <x:f>IF(COUNT(I1685:O1685)&lt;7,"",I1685*8+J1685*3+K1685*2+L1685*2+M1685*2+N1685*2+O1685)</x:f>
        <x:v>58</x:v>
      </x:c>
      <x:c r="Q1685" s="16" t="n">
        <x:f>IF(COUNT(J1685:O1685)&lt;6,"",J1685*5+K1685*4+M1685*4+L1685*3+N1685*2+O1685*2)</x:f>
        <x:v>84</x:v>
      </x:c>
      <x:c r="R1685" s="14" t="str">
        <x:v>high</x:v>
      </x:c>
      <x:c r="S1685" s="14" t="str">
        <x:v>official_prozorro_award_2024_2026</x:v>
      </x:c>
      <x:c r="T1685" s="14" t="str">
        <x:v>official_prozorro_api</x:v>
      </x:c>
      <x:c r="U1685" s="14" t="str">
        <x:v>Не контактували</x:v>
      </x:c>
      <x:c r="V1685" s="15" t="str">
        <x:v>Workflow-audit outreach по UA-2024-12-23-019851-a; попросити 1 пакет здачі та вимоги проєкту</x:v>
      </x:c>
      <x:c r="W1685" s="15" t="str">
        <x:v>Власник / директор; керівник ПТО; відповідальний за договори</x:v>
      </x:c>
      <x:c r="X1685" s="15" t="str">
        <x:v>1 нових підтверджених перемог/договорів у Prozorro на 1 700 грн; 0 зі строком виконання не раніше 24.08.2026.</x:v>
      </x:c>
      <x:c r="Y1685" s="15" t="str">
        <x:v>Послуги прокладання волокно-оптичної лінії зв’язку та встановлення електронно-комунікаційного обладнання за адресою: м. Ковель, вул. Героїв України, 11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2024-12-31. Попросити один знеособлений пакет здачі за цим workflow.</x:v>
      </x:c>
      <x:c r="Z1685" s="15" t="str">
        <x:v>https://prozorro.gov.ua/tender/UA-2024-12-23-019851-a</x:v>
      </x:c>
      <x:c r="AA1685" s="14" t="str">
        <x:v>36523021</x:v>
      </x:c>
      <x:c r="AB1685" s="14" t="str">
        <x:v>2026-08-24</x:v>
      </x:c>
      <x:c r="AC1685" s="14" t="str"/>
      <x:c r="AD1685" s="20" t="str"/>
      <x:c r="AE1685" s="14" t="str"/>
      <x:c r="AF1685" s="14" t="n">
        <x:v>26</x:v>
      </x:c>
      <x:c r="AG1685" s="14" t="str">
        <x:v>I3</x:v>
      </x:c>
      <x:c r="AH1685" s="14" t="n">
        <x:v>1</x:v>
      </x:c>
      <x:c r="AI1685" s="14" t="n">
        <x:v>0</x:v>
      </x:c>
      <x:c r="AJ1685" s="18" t="n">
        <x:v>1700</x:v>
      </x:c>
      <x:c r="AK1685" s="14" t="str">
        <x:v>https://prozorro.gov.ua/tender/UA-2024-12-23-019851-a</x:v>
      </x:c>
      <x:c r="AL1685" s="19" t="n">
        <x:v>45649.64263998843</x:v>
      </x:c>
      <x:c r="AM1685" s="19" t="n">
        <x:v>45657</x:v>
      </x:c>
      <x:c r="AN1685" s="15" t="str">
        <x:v>ВОЛЗ / телеком</x:v>
      </x:c>
      <x:c r="AO1685" s="15" t="str">
        <x:v>not_found_in_top_search</x:v>
      </x:c>
    </x:row>
    <x:row r="1686">
      <x:c r="A1686" s="14" t="str">
        <x:v>W5-314</x:v>
      </x:c>
      <x:c r="B1686" s="14" t="str">
        <x:v>Prozorro vertical expansion — 24.08</x:v>
      </x:c>
      <x:c r="C1686" s="14" t="str">
        <x:v>Фізична особа - підприємець Петрунець В.М.</x:v>
      </x:c>
      <x:c r="D1686" s="14" t="str">
        <x:v>Резервне живлення</x:v>
      </x:c>
      <x:c r="E1686" s="14" t="str">
        <x:v>Pilot now</x:v>
      </x:c>
      <x:c r="F1686" s="17" t="str">
        <x:v>P3</x:v>
      </x:c>
      <x:c r="G1686" s="14" t="str"/>
      <x:c r="H1686" s="14" t="str">
        <x:v>Пілот зараз — Н.15 subset</x:v>
      </x:c>
      <x:c r="I1686" s="16" t="n">
        <x:v>4</x:v>
      </x:c>
      <x:c r="J1686" s="16" t="n">
        <x:v>5</x:v>
      </x:c>
      <x:c r="K1686" s="16" t="n">
        <x:v>5</x:v>
      </x:c>
      <x:c r="L1686" s="16" t="n">
        <x:v>1</x:v>
      </x:c>
      <x:c r="M1686" s="16" t="n">
        <x:v>5</x:v>
      </x:c>
      <x:c r="N1686" s="16" t="n">
        <x:v>3</x:v>
      </x:c>
      <x:c r="O1686" s="16" t="n">
        <x:v>3</x:v>
      </x:c>
      <x:c r="P1686" s="16" t="n">
        <x:f>IF(COUNT(I1686:O1686)&lt;7,"",I1686*8+J1686*3+K1686*2+L1686*2+M1686*2+N1686*2+O1686)</x:f>
        <x:v>78</x:v>
      </x:c>
      <x:c r="Q1686" s="16" t="n">
        <x:f>IF(COUNT(J1686:O1686)&lt;6,"",J1686*5+K1686*4+M1686*4+L1686*3+N1686*2+O1686*2)</x:f>
        <x:v>80</x:v>
      </x:c>
      <x:c r="R1686" s="14" t="str">
        <x:v>high</x:v>
      </x:c>
      <x:c r="S1686" s="14" t="str">
        <x:v>official_prozorro_award_2024_2026</x:v>
      </x:c>
      <x:c r="T1686" s="14" t="str">
        <x:v>official_prozorro_api</x:v>
      </x:c>
      <x:c r="U1686" s="14" t="str">
        <x:v>Не контактували</x:v>
      </x:c>
      <x:c r="V1686" s="15" t="str">
        <x:v>Персоналізований free-pilot outreach по UA-2024-12-25-013715-a; попросити 1 пакет Н.15</x:v>
      </x:c>
      <x:c r="W1686" s="15" t="str">
        <x:v>Власник / виконавець; відповідальний за договір</x:v>
      </x:c>
      <x:c r="X1686" s="15" t="str">
        <x:v>1 нових підтверджених перемог/договорів у Prozorro на 99 679 грн; 0 зі строком виконання не раніше 24.08.2026.</x:v>
      </x:c>
      <x:c r="Y1686" s="15" t="str">
        <x:v>Підключення джерела резервного живлення дизель-генератора Gucbir GJR 55 потужність 44 кВт (55 кВа) для потреб КЗ Палац культури «Карачуни» КМР за адресою: 50025, м. Кривий Ріг, вул. Алмазна, 29 за кодом ДК 021:2015: 45311000-3 «Монтаж електропроводки та електроарматури; опублікований строк до 2024-12-31. Попросити один знеособлений пакет здачі за цим workflow.</x:v>
      </x:c>
      <x:c r="Z1686" s="15" t="str">
        <x:v>https://prozorro.gov.ua/tender/UA-2024-12-25-013715-a</x:v>
      </x:c>
      <x:c r="AA1686" s="14" t="str">
        <x:v>2478404154</x:v>
      </x:c>
      <x:c r="AB1686" s="14" t="str">
        <x:v>2026-08-24</x:v>
      </x:c>
      <x:c r="AC1686" s="14" t="str"/>
      <x:c r="AD1686" s="20" t="str"/>
      <x:c r="AE1686" s="14" t="str"/>
      <x:c r="AF1686" s="14" t="n">
        <x:v>23</x:v>
      </x:c>
      <x:c r="AG1686" s="14" t="str">
        <x:v>I3</x:v>
      </x:c>
      <x:c r="AH1686" s="14" t="n">
        <x:v>1</x:v>
      </x:c>
      <x:c r="AI1686" s="14" t="n">
        <x:v>0</x:v>
      </x:c>
      <x:c r="AJ1686" s="18" t="n">
        <x:v>99679</x:v>
      </x:c>
      <x:c r="AK1686" s="14" t="str">
        <x:v>https://prozorro.gov.ua/tender/UA-2024-12-25-013715-a</x:v>
      </x:c>
      <x:c r="AL1686" s="19" t="n">
        <x:v>45651.71102148148</x:v>
      </x:c>
      <x:c r="AM1686" s="19" t="n">
        <x:v>45657</x:v>
      </x:c>
      <x:c r="AN1686" s="15" t="str">
        <x:v>Резервне живлення</x:v>
      </x:c>
      <x:c r="AO1686" s="15" t="str">
        <x:v>not_found_in_top_search</x:v>
      </x:c>
    </x:row>
    <x:row r="1687">
      <x:c r="A1687" s="14" t="str">
        <x:v>W5-315</x:v>
      </x:c>
      <x:c r="B1687" s="14" t="str">
        <x:v>Prozorro vertical expansion — 24.08</x:v>
      </x:c>
      <x:c r="C1687" s="14" t="str">
        <x:v>ФОП Діденко Є.В.</x:v>
      </x:c>
      <x:c r="D1687" s="14" t="str">
        <x:v>ГНБ / безтраншейні роботи</x:v>
      </x:c>
      <x:c r="E1687" s="14" t="str">
        <x:v>Expansion discovery</x:v>
      </x:c>
      <x:c r="F1687" s="17" t="str">
        <x:v>D3</x:v>
      </x:c>
      <x:c r="G1687" s="14" t="str"/>
      <x:c r="H1687" s="14" t="str">
        <x:v>Discovery розширення — 2 тижні</x:v>
      </x:c>
      <x:c r="I1687" s="16" t="n">
        <x:v>1</x:v>
      </x:c>
      <x:c r="J1687" s="16" t="n">
        <x:v>5</x:v>
      </x:c>
      <x:c r="K1687" s="16" t="n">
        <x:v>5</x:v>
      </x:c>
      <x:c r="L1687" s="16" t="n">
        <x:v>1</x:v>
      </x:c>
      <x:c r="M1687" s="16" t="n">
        <x:v>5</x:v>
      </x:c>
      <x:c r="N1687" s="16" t="n">
        <x:v>3</x:v>
      </x:c>
      <x:c r="O1687" s="16" t="n">
        <x:v>3</x:v>
      </x:c>
      <x:c r="P1687" s="16" t="n">
        <x:f>IF(COUNT(I1687:O1687)&lt;7,"",I1687*8+J1687*3+K1687*2+L1687*2+M1687*2+N1687*2+O1687)</x:f>
        <x:v>54</x:v>
      </x:c>
      <x:c r="Q1687" s="16" t="n">
        <x:f>IF(COUNT(J1687:O1687)&lt;6,"",J1687*5+K1687*4+M1687*4+L1687*3+N1687*2+O1687*2)</x:f>
        <x:v>80</x:v>
      </x:c>
      <x:c r="R1687" s="14" t="str">
        <x:v>high</x:v>
      </x:c>
      <x:c r="S1687" s="14" t="str">
        <x:v>official_prozorro_award_2024_2026</x:v>
      </x:c>
      <x:c r="T1687" s="14" t="str">
        <x:v>official_prozorro_api</x:v>
      </x:c>
      <x:c r="U1687" s="14" t="str">
        <x:v>Не контактували</x:v>
      </x:c>
      <x:c r="V1687" s="15" t="str">
        <x:v>Workflow-audit outreach по UA-2024-12-23-002801-a; попросити 1 пакет здачі та вимоги проєкту</x:v>
      </x:c>
      <x:c r="W1687" s="15" t="str">
        <x:v>Власник / виконавець; відповідальний за договір</x:v>
      </x:c>
      <x:c r="X1687" s="15" t="str">
        <x:v>1 нових підтверджених перемог/договорів у Prozorro на 88 825 грн; 0 зі строком виконання не раніше 24.08.2026.</x:v>
      </x:c>
      <x:c r="Y1687" s="15" t="str">
        <x:v>горизонтально направлене буріння; опублікований строк до 2024-12-31. Попросити один знеособлений пакет здачі за цим workflow.</x:v>
      </x:c>
      <x:c r="Z1687" s="15" t="str">
        <x:v>https://prozorro.gov.ua/tender/UA-2024-12-23-002801-a</x:v>
      </x:c>
      <x:c r="AA1687" s="14" t="str">
        <x:v>3061716378</x:v>
      </x:c>
      <x:c r="AB1687" s="14" t="str">
        <x:v>2026-08-24</x:v>
      </x:c>
      <x:c r="AC1687" s="14" t="str"/>
      <x:c r="AD1687" s="20" t="str"/>
      <x:c r="AE1687" s="14" t="str"/>
      <x:c r="AF1687" s="14" t="n">
        <x:v>23</x:v>
      </x:c>
      <x:c r="AG1687" s="14" t="str">
        <x:v>I3</x:v>
      </x:c>
      <x:c r="AH1687" s="14" t="n">
        <x:v>1</x:v>
      </x:c>
      <x:c r="AI1687" s="14" t="n">
        <x:v>0</x:v>
      </x:c>
      <x:c r="AJ1687" s="18" t="n">
        <x:v>88825</x:v>
      </x:c>
      <x:c r="AK1687" s="14" t="str">
        <x:v>https://prozorro.gov.ua/tender/UA-2024-12-23-002801-a</x:v>
      </x:c>
      <x:c r="AL1687" s="19" t="n">
        <x:v>45649.34427761574</x:v>
      </x:c>
      <x:c r="AM1687" s="19" t="n">
        <x:v>45657.916666655095</x:v>
      </x:c>
      <x:c r="AN1687" s="15" t="str">
        <x:v>ГНБ / безтраншейні роботи</x:v>
      </x:c>
      <x:c r="AO1687" s="15" t="str">
        <x:v>not_found_in_top_search</x:v>
      </x:c>
    </x:row>
    <x:row r="1688">
      <x:c r="A1688" s="14" t="str">
        <x:v>W5-316</x:v>
      </x:c>
      <x:c r="B1688" s="14" t="str">
        <x:v>Prozorro vertical expansion — 24.08</x:v>
      </x:c>
      <x:c r="C1688" s="14" t="str">
        <x:v>Фізична особа-підприємець Колеснік Віталій Миколайович</x:v>
      </x:c>
      <x:c r="D1688" s="14" t="str">
        <x:v>Промисловий холод</x:v>
      </x:c>
      <x:c r="E1688" s="14" t="str">
        <x:v>Expansion discovery</x:v>
      </x:c>
      <x:c r="F1688" s="17" t="str">
        <x:v>D3</x:v>
      </x:c>
      <x:c r="G1688" s="14" t="str"/>
      <x:c r="H1688" s="14" t="str">
        <x:v>Discovery розширення — 2 тижні</x:v>
      </x:c>
      <x:c r="I1688" s="16" t="n">
        <x:v>1</x:v>
      </x:c>
      <x:c r="J1688" s="16" t="n">
        <x:v>5</x:v>
      </x:c>
      <x:c r="K1688" s="16" t="n">
        <x:v>5</x:v>
      </x:c>
      <x:c r="L1688" s="16" t="n">
        <x:v>1</x:v>
      </x:c>
      <x:c r="M1688" s="16" t="n">
        <x:v>5</x:v>
      </x:c>
      <x:c r="N1688" s="16" t="n">
        <x:v>3</x:v>
      </x:c>
      <x:c r="O1688" s="16" t="n">
        <x:v>3</x:v>
      </x:c>
      <x:c r="P1688" s="16" t="n">
        <x:f>IF(COUNT(I1688:O1688)&lt;7,"",I1688*8+J1688*3+K1688*2+L1688*2+M1688*2+N1688*2+O1688)</x:f>
        <x:v>54</x:v>
      </x:c>
      <x:c r="Q1688" s="16" t="n">
        <x:f>IF(COUNT(J1688:O1688)&lt;6,"",J1688*5+K1688*4+M1688*4+L1688*3+N1688*2+O1688*2)</x:f>
        <x:v>80</x:v>
      </x:c>
      <x:c r="R1688" s="14" t="str">
        <x:v>high</x:v>
      </x:c>
      <x:c r="S1688" s="14" t="str">
        <x:v>official_prozorro_award_2024_2026</x:v>
      </x:c>
      <x:c r="T1688" s="14" t="str">
        <x:v>official_prozorro_api</x:v>
      </x:c>
      <x:c r="U1688" s="14" t="str">
        <x:v>Не контактували</x:v>
      </x:c>
      <x:c r="V1688" s="15" t="str">
        <x:v>Workflow-audit outreach по UA-2024-10-16-011635-a; попросити 1 пакет здачі та вимоги проєкту</x:v>
      </x:c>
      <x:c r="W1688" s="15" t="str">
        <x:v>Власник / виконавець; відповідальний за договір</x:v>
      </x:c>
      <x:c r="X1688" s="15" t="str">
        <x:v>1 нових підтверджених перемог/договорів у Prozorro на 64 600 грн; 0 зі строком виконання не раніше 24.08.2026.</x:v>
      </x:c>
      <x:c r="Y1688" s="15" t="str">
        <x:v>Монтаж холодильної камери; опублікований строк до 2024-12-31. Попросити один знеособлений пакет здачі за цим workflow.</x:v>
      </x:c>
      <x:c r="Z1688" s="15" t="str">
        <x:v>https://prozorro.gov.ua/tender/UA-2024-10-16-011635-a</x:v>
      </x:c>
      <x:c r="AA1688" s="14" t="str">
        <x:v>2489902639</x:v>
      </x:c>
      <x:c r="AB1688" s="14" t="str">
        <x:v>2026-08-24</x:v>
      </x:c>
      <x:c r="AC1688" s="14" t="str"/>
      <x:c r="AD1688" s="20" t="str"/>
      <x:c r="AE1688" s="14" t="str"/>
      <x:c r="AF1688" s="14" t="n">
        <x:v>23</x:v>
      </x:c>
      <x:c r="AG1688" s="14" t="str">
        <x:v>I3</x:v>
      </x:c>
      <x:c r="AH1688" s="14" t="n">
        <x:v>1</x:v>
      </x:c>
      <x:c r="AI1688" s="14" t="n">
        <x:v>0</x:v>
      </x:c>
      <x:c r="AJ1688" s="18" t="n">
        <x:v>64600</x:v>
      </x:c>
      <x:c r="AK1688" s="14" t="str">
        <x:v>https://prozorro.gov.ua/tender/UA-2024-10-16-011635-a</x:v>
      </x:c>
      <x:c r="AL1688" s="19" t="n">
        <x:v>45581.52875741898</x:v>
      </x:c>
      <x:c r="AM1688" s="19" t="n">
        <x:v>45657.572233796294</x:v>
      </x:c>
      <x:c r="AN1688" s="15" t="str">
        <x:v>Промисловий холод</x:v>
      </x:c>
      <x:c r="AO1688" s="15" t="str">
        <x:v>not_found_in_top_search</x:v>
      </x:c>
    </x:row>
    <x:row r="1689">
      <x:c r="A1689" s="14" t="str">
        <x:v>W5-317</x:v>
      </x:c>
      <x:c r="B1689" s="14" t="str">
        <x:v>Prozorro vertical expansion — 24.08</x:v>
      </x:c>
      <x:c r="C1689" s="14" t="str">
        <x:v>ФОП Галицький Володимир Антонович </x:v>
      </x:c>
      <x:c r="D1689" s="14" t="str">
        <x:v>Резервне живлення</x:v>
      </x:c>
      <x:c r="E1689" s="14" t="str">
        <x:v>Pilot now</x:v>
      </x:c>
      <x:c r="F1689" s="17" t="str">
        <x:v>P3</x:v>
      </x:c>
      <x:c r="G1689" s="14" t="str"/>
      <x:c r="H1689" s="14" t="str">
        <x:v>Пілот зараз — Н.15 subset</x:v>
      </x:c>
      <x:c r="I1689" s="16" t="n">
        <x:v>4</x:v>
      </x:c>
      <x:c r="J1689" s="16" t="n">
        <x:v>5</x:v>
      </x:c>
      <x:c r="K1689" s="16" t="n">
        <x:v>5</x:v>
      </x:c>
      <x:c r="L1689" s="16" t="n">
        <x:v>1</x:v>
      </x:c>
      <x:c r="M1689" s="16" t="n">
        <x:v>5</x:v>
      </x:c>
      <x:c r="N1689" s="16" t="n">
        <x:v>3</x:v>
      </x:c>
      <x:c r="O1689" s="16" t="n">
        <x:v>3</x:v>
      </x:c>
      <x:c r="P1689" s="16" t="n">
        <x:f>IF(COUNT(I1689:O1689)&lt;7,"",I1689*8+J1689*3+K1689*2+L1689*2+M1689*2+N1689*2+O1689)</x:f>
        <x:v>78</x:v>
      </x:c>
      <x:c r="Q1689" s="16" t="n">
        <x:f>IF(COUNT(J1689:O1689)&lt;6,"",J1689*5+K1689*4+M1689*4+L1689*3+N1689*2+O1689*2)</x:f>
        <x:v>80</x:v>
      </x:c>
      <x:c r="R1689" s="14" t="str">
        <x:v>high</x:v>
      </x:c>
      <x:c r="S1689" s="14" t="str">
        <x:v>official_prozorro_award_2024_2026</x:v>
      </x:c>
      <x:c r="T1689" s="14" t="str">
        <x:v>official_prozorro_api</x:v>
      </x:c>
      <x:c r="U1689" s="14" t="str">
        <x:v>Не контактували</x:v>
      </x:c>
      <x:c r="V1689" s="15" t="str">
        <x:v>Персоналізований free-pilot outreach по UA-2025-02-03-002123-a; попросити 1 пакет Н.15</x:v>
      </x:c>
      <x:c r="W1689" s="15" t="str">
        <x:v>Власник / виконавець; відповідальний за договір</x:v>
      </x:c>
      <x:c r="X1689" s="15" t="str">
        <x:v>1 нових підтверджених перемог/договорів у Prozorro на 31 200 грн; 0 зі строком виконання не раніше 24.08.2026.</x:v>
      </x:c>
      <x:c r="Y1689" s="15" t="str">
        <x:v>Послуги з улаштування майданчика (монтаж монолітно-бетонної армованої платформи) для встановлення дизель-генератора; опублікований строк до 2025-12-31. Попросити один знеособлений пакет здачі за цим workflow.</x:v>
      </x:c>
      <x:c r="Z1689" s="15" t="str">
        <x:v>https://prozorro.gov.ua/tender/UA-2025-02-03-002123-a</x:v>
      </x:c>
      <x:c r="AA1689" s="14" t="str">
        <x:v>2889508777</x:v>
      </x:c>
      <x:c r="AB1689" s="14" t="str">
        <x:v>2026-08-24</x:v>
      </x:c>
      <x:c r="AC1689" s="14" t="str"/>
      <x:c r="AD1689" s="20" t="str"/>
      <x:c r="AE1689" s="14" t="str"/>
      <x:c r="AF1689" s="14" t="n">
        <x:v>23</x:v>
      </x:c>
      <x:c r="AG1689" s="14" t="str">
        <x:v>I3</x:v>
      </x:c>
      <x:c r="AH1689" s="14" t="n">
        <x:v>1</x:v>
      </x:c>
      <x:c r="AI1689" s="14" t="n">
        <x:v>0</x:v>
      </x:c>
      <x:c r="AJ1689" s="18" t="n">
        <x:v>31200</x:v>
      </x:c>
      <x:c r="AK1689" s="14" t="str">
        <x:v>https://prozorro.gov.ua/tender/UA-2025-02-03-002123-a</x:v>
      </x:c>
      <x:c r="AL1689" s="19" t="n">
        <x:v>45691.344401215276</x:v>
      </x:c>
      <x:c r="AM1689" s="19" t="n">
        <x:v>46022.916666655095</x:v>
      </x:c>
      <x:c r="AN1689" s="15" t="str">
        <x:v>Резервне живлення</x:v>
      </x:c>
      <x:c r="AO1689" s="15" t="str">
        <x:v>not_found_in_top_search</x:v>
      </x:c>
    </x:row>
    <x:row r="1690">
      <x:c r="A1690" s="14" t="str">
        <x:v>W5-318</x:v>
      </x:c>
      <x:c r="B1690" s="14" t="str">
        <x:v>Prozorro vertical expansion — 24.08</x:v>
      </x:c>
      <x:c r="C1690" s="14" t="str">
        <x:v>ФОП Пацков Антон Анатолійович</x:v>
      </x:c>
      <x:c r="D1690" s="14" t="str">
        <x:v>Промисловий холод</x:v>
      </x:c>
      <x:c r="E1690" s="14" t="str">
        <x:v>Expansion discovery</x:v>
      </x:c>
      <x:c r="F1690" s="17" t="str">
        <x:v>D3</x:v>
      </x:c>
      <x:c r="G1690" s="14" t="str"/>
      <x:c r="H1690" s="14" t="str">
        <x:v>Discovery розширення — 2 тижні</x:v>
      </x:c>
      <x:c r="I1690" s="16" t="n">
        <x:v>1</x:v>
      </x:c>
      <x:c r="J1690" s="16" t="n">
        <x:v>5</x:v>
      </x:c>
      <x:c r="K1690" s="16" t="n">
        <x:v>5</x:v>
      </x:c>
      <x:c r="L1690" s="16" t="n">
        <x:v>1</x:v>
      </x:c>
      <x:c r="M1690" s="16" t="n">
        <x:v>5</x:v>
      </x:c>
      <x:c r="N1690" s="16" t="n">
        <x:v>3</x:v>
      </x:c>
      <x:c r="O1690" s="16" t="n">
        <x:v>3</x:v>
      </x:c>
      <x:c r="P1690" s="16" t="n">
        <x:f>IF(COUNT(I1690:O1690)&lt;7,"",I1690*8+J1690*3+K1690*2+L1690*2+M1690*2+N1690*2+O1690)</x:f>
        <x:v>54</x:v>
      </x:c>
      <x:c r="Q1690" s="16" t="n">
        <x:f>IF(COUNT(J1690:O1690)&lt;6,"",J1690*5+K1690*4+M1690*4+L1690*3+N1690*2+O1690*2)</x:f>
        <x:v>80</x:v>
      </x:c>
      <x:c r="R1690" s="14" t="str">
        <x:v>high</x:v>
      </x:c>
      <x:c r="S1690" s="14" t="str">
        <x:v>official_prozorro_award_2024_2026</x:v>
      </x:c>
      <x:c r="T1690" s="14" t="str">
        <x:v>official_prozorro_api</x:v>
      </x:c>
      <x:c r="U1690" s="14" t="str">
        <x:v>Не контактували</x:v>
      </x:c>
      <x:c r="V1690" s="15" t="str">
        <x:v>Workflow-audit outreach по UA-2024-09-02-004585-a; попросити 1 пакет здачі та вимоги проєкту</x:v>
      </x:c>
      <x:c r="W1690" s="15" t="str">
        <x:v>Власник / виконавець; відповідальний за договір</x:v>
      </x:c>
      <x:c r="X1690" s="15" t="str">
        <x:v>1 нових підтверджених перемог/договорів у Prozorro на 30 000 грн; 0 зі строком виконання не раніше 24.08.2026.</x:v>
      </x:c>
      <x:c r="Y1690" s="15" t="str">
        <x:v>Встановлення та монтаж холодильної камери; опублікований строк до 2024-12-31. Попросити один знеособлений пакет здачі за цим workflow.</x:v>
      </x:c>
      <x:c r="Z1690" s="15" t="str">
        <x:v>https://prozorro.gov.ua/tender/UA-2024-09-02-004585-a</x:v>
      </x:c>
      <x:c r="AA1690" s="14" t="str">
        <x:v>3333305076</x:v>
      </x:c>
      <x:c r="AB1690" s="14" t="str">
        <x:v>2026-08-24</x:v>
      </x:c>
      <x:c r="AC1690" s="14" t="str"/>
      <x:c r="AD1690" s="20" t="str"/>
      <x:c r="AE1690" s="14" t="str"/>
      <x:c r="AF1690" s="14" t="n">
        <x:v>23</x:v>
      </x:c>
      <x:c r="AG1690" s="14" t="str">
        <x:v>I3</x:v>
      </x:c>
      <x:c r="AH1690" s="14" t="n">
        <x:v>1</x:v>
      </x:c>
      <x:c r="AI1690" s="14" t="n">
        <x:v>0</x:v>
      </x:c>
      <x:c r="AJ1690" s="18" t="n">
        <x:v>30000</x:v>
      </x:c>
      <x:c r="AK1690" s="14" t="str">
        <x:v>https://prozorro.gov.ua/tender/UA-2024-09-02-004585-a</x:v>
      </x:c>
      <x:c r="AL1690" s="19" t="n">
        <x:v>45537.43001980324</x:v>
      </x:c>
      <x:c r="AM1690" s="19" t="n">
        <x:v>45657.47011574074</x:v>
      </x:c>
      <x:c r="AN1690" s="15" t="str">
        <x:v>Промисловий холод</x:v>
      </x:c>
      <x:c r="AO1690" s="15" t="str">
        <x:v>not_found_in_top_search</x:v>
      </x:c>
    </x:row>
    <x:row r="1691">
      <x:c r="A1691" s="14" t="str">
        <x:v>W5-319</x:v>
      </x:c>
      <x:c r="B1691" s="14" t="str">
        <x:v>Prozorro vertical expansion — 24.08</x:v>
      </x:c>
      <x:c r="C1691" s="14" t="str">
        <x:v>ФОП Федоренко М.І.</x:v>
      </x:c>
      <x:c r="D1691" s="14" t="str">
        <x:v>ВОЛЗ / телеком</x:v>
      </x:c>
      <x:c r="E1691" s="14" t="str">
        <x:v>Expansion discovery</x:v>
      </x:c>
      <x:c r="F1691" s="17" t="str">
        <x:v>D3</x:v>
      </x:c>
      <x:c r="G1691" s="14" t="str"/>
      <x:c r="H1691" s="14" t="str">
        <x:v>Discovery розширення — 2 тижні</x:v>
      </x:c>
      <x:c r="I1691" s="16" t="n">
        <x:v>1</x:v>
      </x:c>
      <x:c r="J1691" s="16" t="n">
        <x:v>5</x:v>
      </x:c>
      <x:c r="K1691" s="16" t="n">
        <x:v>5</x:v>
      </x:c>
      <x:c r="L1691" s="16" t="n">
        <x:v>1</x:v>
      </x:c>
      <x:c r="M1691" s="16" t="n">
        <x:v>5</x:v>
      </x:c>
      <x:c r="N1691" s="16" t="n">
        <x:v>3</x:v>
      </x:c>
      <x:c r="O1691" s="16" t="n">
        <x:v>3</x:v>
      </x:c>
      <x:c r="P1691" s="16" t="n">
        <x:f>IF(COUNT(I1691:O1691)&lt;7,"",I1691*8+J1691*3+K1691*2+L1691*2+M1691*2+N1691*2+O1691)</x:f>
        <x:v>54</x:v>
      </x:c>
      <x:c r="Q1691" s="16" t="n">
        <x:f>IF(COUNT(J1691:O1691)&lt;6,"",J1691*5+K1691*4+M1691*4+L1691*3+N1691*2+O1691*2)</x:f>
        <x:v>80</x:v>
      </x:c>
      <x:c r="R1691" s="14" t="str">
        <x:v>high</x:v>
      </x:c>
      <x:c r="S1691" s="14" t="str">
        <x:v>official_prozorro_award_2024_2026</x:v>
      </x:c>
      <x:c r="T1691" s="14" t="str">
        <x:v>official_prozorro_api</x:v>
      </x:c>
      <x:c r="U1691" s="14" t="str">
        <x:v>Не контактували</x:v>
      </x:c>
      <x:c r="V1691" s="15" t="str">
        <x:v>Workflow-audit outreach по UA-2024-04-26-011195-a; попросити 1 пакет здачі та вимоги проєкту</x:v>
      </x:c>
      <x:c r="W1691" s="15" t="str">
        <x:v>Власник / виконавець; відповідальний за договір</x:v>
      </x:c>
      <x:c r="X1691" s="15" t="str">
        <x:v>1 нових підтверджених перемог/договорів у Prozorro на 9 500 грн; 0 зі строком виконання не раніше 24.08.2026.</x:v>
      </x:c>
      <x:c r="Y1691" s="15" t="str">
        <x:v>Послуги з ремонту і технічного обслуговування ліній телекомунікацій (Послуги з монтажу та налаштування телекомунікаційної мережі); опублікований строк до 2024-12-31. Попросити один знеособлений пакет здачі за цим workflow.</x:v>
      </x:c>
      <x:c r="Z1691" s="15" t="str">
        <x:v>https://prozorro.gov.ua/tender/UA-2024-04-26-011195-a</x:v>
      </x:c>
      <x:c r="AA1691" s="14" t="str">
        <x:v>2514305773</x:v>
      </x:c>
      <x:c r="AB1691" s="14" t="str">
        <x:v>2026-08-24</x:v>
      </x:c>
      <x:c r="AC1691" s="14" t="str"/>
      <x:c r="AD1691" s="20" t="str"/>
      <x:c r="AE1691" s="14" t="str"/>
      <x:c r="AF1691" s="14" t="n">
        <x:v>23</x:v>
      </x:c>
      <x:c r="AG1691" s="14" t="str">
        <x:v>I3</x:v>
      </x:c>
      <x:c r="AH1691" s="14" t="n">
        <x:v>1</x:v>
      </x:c>
      <x:c r="AI1691" s="14" t="n">
        <x:v>0</x:v>
      </x:c>
      <x:c r="AJ1691" s="18" t="n">
        <x:v>9500</x:v>
      </x:c>
      <x:c r="AK1691" s="14" t="str">
        <x:v>https://prozorro.gov.ua/tender/UA-2024-04-26-011195-a</x:v>
      </x:c>
      <x:c r="AL1691" s="19" t="n">
        <x:v>45408.608278865744</x:v>
      </x:c>
      <x:c r="AM1691" s="19" t="n">
        <x:v>45657</x:v>
      </x:c>
      <x:c r="AN1691" s="15" t="str">
        <x:v>ВОЛЗ / телеком</x:v>
      </x:c>
      <x:c r="AO1691" s="15" t="str">
        <x:v>not_found_in_top_search</x:v>
      </x:c>
    </x:row>
    <x:row r="1692">
      <x:c r="A1692" s="14" t="str">
        <x:v>W5-320</x:v>
      </x:c>
      <x:c r="B1692" s="14" t="str">
        <x:v>Prozorro vertical expansion — 24.08</x:v>
      </x:c>
      <x:c r="C1692" s="14" t="str">
        <x:v>ФОП Алєксєєв Вадим Миколайович</x:v>
      </x:c>
      <x:c r="D1692" s="14" t="str">
        <x:v>ВОЛЗ / телеком</x:v>
      </x:c>
      <x:c r="E1692" s="14" t="str">
        <x:v>Expansion discovery</x:v>
      </x:c>
      <x:c r="F1692" s="17" t="str">
        <x:v>D3</x:v>
      </x:c>
      <x:c r="G1692" s="14" t="str"/>
      <x:c r="H1692" s="14" t="str">
        <x:v>Discovery розширення — 2 тижні</x:v>
      </x:c>
      <x:c r="I1692" s="16" t="n">
        <x:v>1</x:v>
      </x:c>
      <x:c r="J1692" s="16" t="n">
        <x:v>5</x:v>
      </x:c>
      <x:c r="K1692" s="16" t="n">
        <x:v>5</x:v>
      </x:c>
      <x:c r="L1692" s="16" t="n">
        <x:v>1</x:v>
      </x:c>
      <x:c r="M1692" s="16" t="n">
        <x:v>5</x:v>
      </x:c>
      <x:c r="N1692" s="16" t="n">
        <x:v>3</x:v>
      </x:c>
      <x:c r="O1692" s="16" t="n">
        <x:v>3</x:v>
      </x:c>
      <x:c r="P1692" s="16" t="n">
        <x:f>IF(COUNT(I1692:O1692)&lt;7,"",I1692*8+J1692*3+K1692*2+L1692*2+M1692*2+N1692*2+O1692)</x:f>
        <x:v>54</x:v>
      </x:c>
      <x:c r="Q1692" s="16" t="n">
        <x:f>IF(COUNT(J1692:O1692)&lt;6,"",J1692*5+K1692*4+M1692*4+L1692*3+N1692*2+O1692*2)</x:f>
        <x:v>80</x:v>
      </x:c>
      <x:c r="R1692" s="14" t="str">
        <x:v>high</x:v>
      </x:c>
      <x:c r="S1692" s="14" t="str">
        <x:v>official_prozorro_award_2024_2026</x:v>
      </x:c>
      <x:c r="T1692" s="14" t="str">
        <x:v>official_prozorro_api</x:v>
      </x:c>
      <x:c r="U1692" s="14" t="str">
        <x:v>Не контактували</x:v>
      </x:c>
      <x:c r="V1692" s="15" t="str">
        <x:v>Workflow-audit outreach по UA-2024-01-17-014242-a; попросити 1 пакет здачі та вимоги проєкту</x:v>
      </x:c>
      <x:c r="W1692" s="15" t="str">
        <x:v>Власник / виконавець; відповідальний за договір</x:v>
      </x:c>
      <x:c r="X1692" s="15" t="str">
        <x:v>1 нових підтверджених перемог/договорів у Prozorro на 500 грн; 0 зі строком виконання не раніше 24.08.2026.</x:v>
      </x:c>
      <x:c r="Y1692" s="15" t="str">
        <x:v>Монтаж та обслуговування  телекомунікаційної мережі; опублікований строк до 2024-01-22. Попросити один знеособлений пакет здачі за цим workflow.</x:v>
      </x:c>
      <x:c r="Z1692" s="15" t="str">
        <x:v>https://prozorro.gov.ua/tender/UA-2024-01-17-014242-a</x:v>
      </x:c>
      <x:c r="AA1692" s="14" t="str">
        <x:v>2840011771</x:v>
      </x:c>
      <x:c r="AB1692" s="14" t="str">
        <x:v>2026-08-24</x:v>
      </x:c>
      <x:c r="AC1692" s="14" t="str"/>
      <x:c r="AD1692" s="20" t="str"/>
      <x:c r="AE1692" s="14" t="str"/>
      <x:c r="AF1692" s="14" t="n">
        <x:v>23</x:v>
      </x:c>
      <x:c r="AG1692" s="14" t="str">
        <x:v>I3</x:v>
      </x:c>
      <x:c r="AH1692" s="14" t="n">
        <x:v>1</x:v>
      </x:c>
      <x:c r="AI1692" s="14" t="n">
        <x:v>0</x:v>
      </x:c>
      <x:c r="AJ1692" s="18" t="n">
        <x:v>500</x:v>
      </x:c>
      <x:c r="AK1692" s="14" t="str">
        <x:v>https://prozorro.gov.ua/tender/UA-2024-01-17-014242-a</x:v>
      </x:c>
      <x:c r="AL1692" s="19" t="n">
        <x:v>45308.59053584491</x:v>
      </x:c>
      <x:c r="AM1692" s="19" t="n">
        <x:v>45313.5921875</x:v>
      </x:c>
      <x:c r="AN1692" s="15" t="str">
        <x:v>ВОЛЗ / телеком</x:v>
      </x:c>
      <x:c r="AO1692" s="15" t="str">
        <x:v>not_found_in_top_search</x:v>
      </x:c>
    </x:row>
  </x:sheetData>
  <x:mergeCells>
    <x:mergeCell ref="A1:AO1"/>
    <x:mergeCell ref="A2:AO2"/>
    <x:mergeCell ref="A3:AO3"/>
  </x:mergeCells>
  <x:conditionalFormatting sqref="F5:F1692">
    <x:cfRule type="beginsWith" dxfId="0" priority="1" operator="beginsWith" text="P"/>
    <x:cfRule type="beginsWith" dxfId="1" priority="2" operator="beginsWith" text="D"/>
    <x:cfRule type="containsText" dxfId="2" priority="3" operator="containsText" text="L"/>
  </x:conditionalFormatting>
  <x:conditionalFormatting sqref="P5:Q1692">
    <x:cfRule type="colorScale" priority="4">
      <x:colorScale>
        <x:cfvo type="min"/>
        <x:cfvo type="percentile" val="50"/>
        <x:cfvo type="max"/>
        <x:color rgb="FFFDECEC"/>
        <x:color rgb="FFFFF4D6"/>
        <x:color rgb="FFE9F7ED"/>
      </x:colorScale>
    </x:cfRule>
  </x:conditionalFormatting>
  <x:conditionalFormatting sqref="R5:R1692">
    <x:cfRule type="containsText" dxfId="3" priority="5" operator="containsText" text="high"/>
    <x:cfRule type="containsText" dxfId="4" priority="6" operator="containsText" text="low"/>
  </x:conditionalFormatting>
  <x:conditionalFormatting sqref="AF5:AF1692">
    <x:cfRule type="colorScale" priority="7">
      <x:colorScale>
        <x:cfvo type="min"/>
        <x:cfvo type="percentile" val="50"/>
        <x:cfvo type="max"/>
        <x:color rgb="FFF3F4F6"/>
        <x:color rgb="FFFFF4D6"/>
        <x:color rgb="FFE9F7ED"/>
      </x:colorScale>
    </x:cfRule>
  </x:conditionalFormatting>
  <x:conditionalFormatting sqref="AG5:AG1692">
    <x:cfRule type="containsText" dxfId="5" priority="8" operator="containsText" text="I1"/>
    <x:cfRule type="containsText" dxfId="6" priority="9" operator="containsText" text="I2"/>
  </x:conditionalFormatting>
  <x:dataValidations count="1">
    <x:dataValidation type="list" sqref="U5:U1692">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326bc0c75d7b4091"/>
  </x:tableParts>
</x:worksheet>
</file>

<file path=xl/worksheets/sheet3.xml><?xml version="1.0" encoding="utf-8"?>
<x:worksheet xmlns:x="http://schemas.openxmlformats.org/spreadsheetml/2006/main">
  <x:sheetFormatPr defaultRowHeight="15"/>
  <x:cols>
    <x:col min="1" max="1" width="8" hidden="0" customWidth="1"/>
    <x:col min="2" max="2" width="34" hidden="0" customWidth="1"/>
    <x:col min="3" max="3" width="13" hidden="0" customWidth="1"/>
    <x:col min="4" max="4" width="28" hidden="0" customWidth="1"/>
    <x:col min="5" max="5" width="20" hidden="0" customWidth="1"/>
    <x:col min="6" max="6" width="10" hidden="0" customWidth="1"/>
    <x:col min="7" max="7" width="9" hidden="0" customWidth="1"/>
    <x:col min="8" max="8" width="9" hidden="0" customWidth="1"/>
    <x:col min="9" max="9" width="11" hidden="0" customWidth="1"/>
    <x:col min="10" max="10" width="18" hidden="0" customWidth="1"/>
    <x:col min="11" max="11" width="14" hidden="0" customWidth="1"/>
    <x:col min="12" max="12" width="14" hidden="0" customWidth="1"/>
    <x:col min="13" max="13" width="56" hidden="0" customWidth="1"/>
    <x:col min="14" max="14" width="40" hidden="0" customWidth="1"/>
  </x:cols>
  <x:sheetData>
    <x:row r="1" ht="34" customHeight="1">
      <x:c r="A1" s="3" t="str">
        <x:v>Tender-proven shortlist — 1428 компаній</x:v>
      </x:c>
      <x:c r="B1" s="3"/>
      <x:c r="C1" s="3"/>
      <x:c r="D1" s="3"/>
      <x:c r="E1" s="3"/>
      <x:c r="F1" s="3"/>
      <x:c r="G1" s="3"/>
      <x:c r="H1" s="3"/>
      <x:c r="I1" s="3"/>
      <x:c r="J1" s="3"/>
      <x:c r="K1" s="3"/>
      <x:c r="L1" s="3"/>
      <x:c r="M1" s="3"/>
      <x:c r="N1" s="3"/>
    </x:row>
    <x:row r="2" ht="22" customHeight="1">
      <x:c r="A2" s="5" t="str">
        <x:v>320 нових у Wave 5 після дедуплікації • 847 зі строком виконання не раніше 24.08.2026 • офіційні дані Prozorro</x:v>
      </x:c>
      <x:c r="B2" s="5"/>
      <x:c r="C2" s="5"/>
      <x:c r="D2" s="5"/>
      <x:c r="E2" s="5"/>
      <x:c r="F2" s="5"/>
      <x:c r="G2" s="5"/>
      <x:c r="H2" s="5"/>
      <x:c r="I2" s="5"/>
      <x:c r="J2" s="5"/>
      <x:c r="K2" s="5"/>
      <x:c r="L2" s="5"/>
      <x:c r="M2" s="5"/>
      <x:c r="N2" s="5"/>
    </x:row>
    <x:row r="3">
      <x:c r="A3" s="8" t="str">
        <x:v>Сортування: Intent score → кількість поточних проєктів. Сума перемог використовується лише для пріоритизації: у спільних закупівлях одна сума може бути приписана кільком постачальникам.</x:v>
      </x:c>
      <x:c r="B3" s="8"/>
      <x:c r="C3" s="8"/>
      <x:c r="D3" s="8"/>
      <x:c r="E3" s="8"/>
      <x:c r="F3" s="8"/>
      <x:c r="G3" s="8"/>
      <x:c r="H3" s="8"/>
      <x:c r="I3" s="8"/>
      <x:c r="J3" s="8"/>
      <x:c r="K3" s="8"/>
      <x:c r="L3" s="8"/>
      <x:c r="M3" s="8"/>
      <x:c r="N3" s="8"/>
    </x:row>
    <x:row r="4">
      <x:c r="A4" s="12" t="str">
        <x:v>Ранг</x:v>
      </x:c>
      <x:c r="B4" s="12" t="str">
        <x:v>Компанія</x:v>
      </x:c>
      <x:c r="C4" s="12" t="str">
        <x:v>ЄДРПОУ</x:v>
      </x:c>
      <x:c r="D4" s="12" t="str">
        <x:v>Сегмент</x:v>
      </x:c>
      <x:c r="E4" s="12" t="str">
        <x:v>Lane</x:v>
      </x:c>
      <x:c r="F4" s="12" t="str">
        <x:v>Intent</x:v>
      </x:c>
      <x:c r="G4" s="12" t="str">
        <x:v>Score</x:v>
      </x:c>
      <x:c r="H4" s="12" t="str">
        <x:v>Тендерів</x:v>
      </x:c>
      <x:c r="I4" s="12" t="str">
        <x:v>Поточних</x:v>
      </x:c>
      <x:c r="J4" s="12" t="str">
        <x:v>Сума перемог, грн</x:v>
      </x:c>
      <x:c r="K4" s="12" t="str">
        <x:v>Дата перемоги</x:v>
      </x:c>
      <x:c r="L4" s="12" t="str">
        <x:v>Строк виконання</x:v>
      </x:c>
      <x:c r="M4" s="12" t="str">
        <x:v>Останній тендер</x:v>
      </x:c>
      <x:c r="N4" s="12" t="str">
        <x:v>URL тендера</x:v>
      </x:c>
    </x:row>
    <x:row r="5">
      <x:c r="A5" s="14" t="n">
        <x:v>1</x:v>
      </x:c>
      <x:c r="B5" s="14" t="str">
        <x:v>ТОВ «ЕНЕРДЖІ ГРУП»</x:v>
      </x:c>
      <x:c r="C5" s="14" t="str">
        <x:v>40169080</x:v>
      </x:c>
      <x:c r="D5" s="14" t="str">
        <x:v>Електромонтаж</x:v>
      </x:c>
      <x:c r="E5" s="14" t="str">
        <x:v>Pilot now</x:v>
      </x:c>
      <x:c r="F5" s="14" t="str">
        <x:v>I1</x:v>
      </x:c>
      <x:c r="G5" s="14" t="n">
        <x:v>96</x:v>
      </x:c>
      <x:c r="H5" s="14" t="n">
        <x:v>11</x:v>
      </x:c>
      <x:c r="I5" s="14" t="n">
        <x:v>9</x:v>
      </x:c>
      <x:c r="J5" s="18" t="n">
        <x:v>167336146.04</x:v>
      </x:c>
      <x:c r="K5" s="19" t="n">
        <x:v>46111.61847329861</x:v>
      </x:c>
      <x:c r="L5" s="19" t="n">
        <x:v>46327</x:v>
      </x:c>
      <x:c r="M5" s="15" t="str">
        <x:v>код ДК 021:2015 – 45450000-6 Інші завершальні будівельні роботи (45454000-4 Реконструкція) (Виконання будівельних робіт по об’єкту: «Реконструкція об’єктів водопровідно-каналізаційного господарства з впровадженням частотного регулювання. Дніпровська насосна водопровідна станція 2-го підйому в Оболонському районі м. Києва»)</x:v>
      </x:c>
      <x:c r="N5" s="15" t="str">
        <x:v>https://prozorro.gov.ua/tender/UA-2026-03-02-009503-a</x:v>
      </x:c>
    </x:row>
    <x:row r="6">
      <x:c r="A6" s="14" t="n">
        <x:v>2</x:v>
      </x:c>
      <x:c r="B6" s="14" t="str">
        <x:v>ТОВАРИСТВО З ОБМЕЖЕНОЮ ВІДПОВІДАЛЬНІСТЮ "АВТО-М"</x:v>
      </x:c>
      <x:c r="C6" s="14" t="str">
        <x:v>31575976</x:v>
      </x:c>
      <x:c r="D6" s="14" t="str">
        <x:v>ГНБ / безтраншейні роботи</x:v>
      </x:c>
      <x:c r="E6" s="14" t="str">
        <x:v>Expansion discovery</x:v>
      </x:c>
      <x:c r="F6" s="14" t="str">
        <x:v>I1</x:v>
      </x:c>
      <x:c r="G6" s="14" t="n">
        <x:v>96</x:v>
      </x:c>
      <x:c r="H6" s="14" t="n">
        <x:v>13</x:v>
      </x:c>
      <x:c r="I6" s="14" t="n">
        <x:v>9</x:v>
      </x:c>
      <x:c r="J6" s="18" t="n">
        <x:v>106634674.55000001</x:v>
      </x:c>
      <x:c r="K6" s="19" t="n">
        <x:v>46232.43847599537</x:v>
      </x:c>
      <x:c r="L6" s="19" t="n">
        <x:v>46356.47980324074</x:v>
      </x:c>
      <x:c r="M6" s="15" t="str">
        <x:v>«Капітальний ремонт (усунення аварійної ситуації) каналізаційного колектору від поворотного колодязя (ПКО) по вул. Текстильників,1 в м. Чернігові до колодязя ПК 26»  (код ДК 021:2015 – 45230000-8 Будівництво трубопроводів, ліній зв’язку та електропередач, шосе, доріг, аеродромів і залізничних доріг; вирівнювання поверхонь)</x:v>
      </x:c>
      <x:c r="N6" s="15" t="str">
        <x:v>https://prozorro.gov.ua/tender/UA-2026-07-10-006208-a</x:v>
      </x:c>
    </x:row>
    <x:row r="7">
      <x:c r="A7" s="14" t="n">
        <x:v>3</x:v>
      </x:c>
      <x:c r="B7" s="14" t="str">
        <x:v>ПРИВАТНЕ ПІДПРИЄМСТВО "ІНЖЕНЕРНО-ВИРОБНИЧИЙ ЦЕНТР "ВЕКТОР"</x:v>
      </x:c>
      <x:c r="C7" s="14" t="str">
        <x:v>37131764</x:v>
      </x:c>
      <x:c r="D7" s="14" t="str">
        <x:v>Металоконструкції</x:v>
      </x:c>
      <x:c r="E7" s="14" t="str">
        <x:v>Expansion discovery</x:v>
      </x:c>
      <x:c r="F7" s="14" t="str">
        <x:v>I1</x:v>
      </x:c>
      <x:c r="G7" s="14" t="n">
        <x:v>96</x:v>
      </x:c>
      <x:c r="H7" s="14" t="n">
        <x:v>8</x:v>
      </x:c>
      <x:c r="I7" s="14" t="n">
        <x:v>2</x:v>
      </x:c>
      <x:c r="J7" s="18" t="n">
        <x:v>262568981.24</x:v>
      </x:c>
      <x:c r="K7" s="19" t="n">
        <x:v>45530.613676030094</x:v>
      </x:c>
      <x:c r="L7" s="19" t="n">
        <x:v>45930</x:v>
      </x:c>
      <x:c r="M7" s="15" t="str">
        <x:v>Реконструкція комплектної трансформаторної підстанції апаратів повітряного охолодження газу (КТП 2х630 кВА) компресорної станції «Солоха» Мринського виробничого управління підземного зберігання газу (Будівельні роботи та поточний ремонт)</x:v>
      </x:c>
      <x:c r="N7" s="15" t="str">
        <x:v>https://prozorro.gov.ua/tender/UA-2024-05-16-007206-a</x:v>
      </x:c>
    </x:row>
    <x:row r="8">
      <x:c r="A8" s="14" t="n">
        <x:v>4</x:v>
      </x:c>
      <x:c r="B8" s="14" t="str">
        <x:v>ТОВАРИСТВО З ОБМЕЖЕНОЮ ВІДПОВІДАЛЬНІСТЮ "КОМПАНІЯ "ТАРВОС"</x:v>
      </x:c>
      <x:c r="C8" s="14" t="str">
        <x:v>43136131</x:v>
      </x:c>
      <x:c r="D8" s="14" t="str">
        <x:v>Теплові мережі</x:v>
      </x:c>
      <x:c r="E8" s="14" t="str">
        <x:v>Expansion discovery</x:v>
      </x:c>
      <x:c r="F8" s="14" t="str">
        <x:v>I1</x:v>
      </x:c>
      <x:c r="G8" s="14" t="n">
        <x:v>93</x:v>
      </x:c>
      <x:c r="H8" s="14" t="n">
        <x:v>14</x:v>
      </x:c>
      <x:c r="I8" s="14" t="n">
        <x:v>14</x:v>
      </x:c>
      <x:c r="J8" s="18" t="n">
        <x:v>137147146.26999998</x:v>
      </x:c>
      <x:c r="K8" s="19" t="n">
        <x:v>46181.36224598379</x:v>
      </x:c>
      <x:c r="L8" s="19" t="n">
        <x:v>46376</x:v>
      </x:c>
      <x:c r="M8" s="15" t="str">
        <x:v>Реконструкція об’єкту КП "Харківські теплові мережі" шляхом встановлення КГУ за адресою: м. Харків, проспект **********. Електропостачання. Кабельні лінії 0,4-6,3 кВ (код ДК 021:2015 – 45454000-4 "Реконструкція").</x:v>
      </x:c>
      <x:c r="N8" s="15" t="str">
        <x:v>https://prozorro.gov.ua/tender/UA-2026-06-08-004114-a</x:v>
      </x:c>
    </x:row>
    <x:row r="9">
      <x:c r="A9" s="14" t="n">
        <x:v>5</x:v>
      </x:c>
      <x:c r="B9" s="14" t="str">
        <x:v>ТОВАРИСТВО З ОБМЕЖЕНОЮ ВІДПОВІДАЛЬНІСТЮ "ХАРБОР ЕНЕРДЖИ"</x:v>
      </x:c>
      <x:c r="C9" s="14" t="str">
        <x:v>41705516</x:v>
      </x:c>
      <x:c r="D9" s="14" t="str">
        <x:v>Теплові мережі</x:v>
      </x:c>
      <x:c r="E9" s="14" t="str">
        <x:v>Expansion discovery</x:v>
      </x:c>
      <x:c r="F9" s="14" t="str">
        <x:v>I1</x:v>
      </x:c>
      <x:c r="G9" s="14" t="n">
        <x:v>93</x:v>
      </x:c>
      <x:c r="H9" s="14" t="n">
        <x:v>14</x:v>
      </x:c>
      <x:c r="I9" s="14" t="n">
        <x:v>14</x:v>
      </x:c>
      <x:c r="J9" s="18" t="n">
        <x:v>230882039.99</x:v>
      </x:c>
      <x:c r="K9" s="19" t="n">
        <x:v>46244.620553125</x:v>
      </x:c>
      <x:c r="L9" s="19" t="n">
        <x:v>46326</x:v>
      </x:c>
      <x:c r="M9"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9" s="15" t="str">
        <x:v>https://prozorro.gov.ua/tender/UA-2026-08-10-011447-a</x:v>
      </x:c>
    </x:row>
    <x:row r="10">
      <x:c r="A10" s="14" t="n">
        <x:v>6</x:v>
      </x:c>
      <x:c r="B10" s="14" t="str">
        <x:v>ТОВ "ҐРІНТЕК"</x:v>
      </x:c>
      <x:c r="C10" s="14" t="str">
        <x:v>42820558</x:v>
      </x:c>
      <x:c r="D10" s="14" t="str">
        <x:v>Сонячна енергетика</x:v>
      </x:c>
      <x:c r="E10" s="14" t="str">
        <x:v>Expansion discovery</x:v>
      </x:c>
      <x:c r="F10" s="14" t="str">
        <x:v>I1</x:v>
      </x:c>
      <x:c r="G10" s="14" t="n">
        <x:v>93</x:v>
      </x:c>
      <x:c r="H10" s="14" t="n">
        <x:v>12</x:v>
      </x:c>
      <x:c r="I10" s="14" t="n">
        <x:v>12</x:v>
      </x:c>
      <x:c r="J10" s="18" t="n">
        <x:v>23372612.29</x:v>
      </x:c>
      <x:c r="K10" s="19" t="n">
        <x:v>46253.33849958333</x:v>
      </x:c>
      <x:c r="L10" s="19" t="n">
        <x:v>46295</x:v>
      </x:c>
      <x:c r="M10" s="15" t="str">
        <x:v> «Нове будівництво трансформаторної підстанції ТП-10/0,4 кВ №899 та відгалуження ПЛ-10 кВ за адресою с. Тисовець, Великокучурівська сільська рада, Чернівецький район, Чернівецька область» (Замовник: Коваль Л. М. ТУ 003373301225 1 24 02 1 000000 1) (КНУ «Настанова з визначення вартості будівництва") (ДК 021:2015 (E3C) 45200000-9 «Роботи, пов'язані з об'єктами завершеного чи незавершеного будівництва та об'єктів цивільного будівництва»)
</x:v>
      </x:c>
      <x:c r="N10" s="15" t="str">
        <x:v>https://prozorro.gov.ua/tender/UA-2026-08-19-003308-a</x:v>
      </x:c>
    </x:row>
    <x:row r="11">
      <x:c r="A11" s="14" t="n">
        <x:v>7</x:v>
      </x:c>
      <x:c r="B11" s="14" t="str">
        <x:v>Товариство з обмеженою відповідальністю "КМК ЕЛЕКТРО"</x:v>
      </x:c>
      <x:c r="C11" s="14" t="str">
        <x:v>40858527</x:v>
      </x:c>
      <x:c r="D11" s="14" t="str">
        <x:v>Підстанції / силові мережі</x:v>
      </x:c>
      <x:c r="E11" s="14" t="str">
        <x:v>Pilot now</x:v>
      </x:c>
      <x:c r="F11" s="14" t="str">
        <x:v>I1</x:v>
      </x:c>
      <x:c r="G11" s="14" t="n">
        <x:v>93</x:v>
      </x:c>
      <x:c r="H11" s="14" t="n">
        <x:v>15</x:v>
      </x:c>
      <x:c r="I11" s="14" t="n">
        <x:v>12</x:v>
      </x:c>
      <x:c r="J11" s="18" t="n">
        <x:v>27599642.19</x:v>
      </x:c>
      <x:c r="K11" s="19" t="n">
        <x:v>46246.27789215278</x:v>
      </x:c>
      <x:c r="L11" s="19" t="n">
        <x:v>46356</x:v>
      </x:c>
      <x:c r="M11" s="15" t="str">
        <x:v>"Нове будівництво трансформаторної підстанції ТП-10/0,4 кВ №746 та відгалуження ПЛ-10 кВ за адресою: с. Підзахаричі, Усть-Путильська сільська рада, Вижницький район, Чернівецька область" (Замовники: Семенюк Ю.М. ТУ 0036320502261240210000001, Горланова О.М. ТУ 000769090626124)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N11" s="15" t="str">
        <x:v>https://prozorro.gov.ua/tender/UA-2026-07-28-007920-a</x:v>
      </x:c>
    </x:row>
    <x:row r="12">
      <x:c r="A12" s="14" t="n">
        <x:v>8</x:v>
      </x:c>
      <x:c r="B12" s="14" t="str">
        <x:v>ДОЧІРНЄ ПІДПРИЄМСТВО "ВІННИЦЬКА МЕХАНІЗОВАНА КОЛОНА" ПРИВАТНОГО АКЦІОНЕРНОГО ТОВАРИСТВА "КИЇВСІЛЬЕЛЕКТРО"</x:v>
      </x:c>
      <x:c r="C12" s="14" t="str">
        <x:v>00132351</x:v>
      </x:c>
      <x:c r="D12" s="14" t="str">
        <x:v>Підстанції / силові мережі</x:v>
      </x:c>
      <x:c r="E12" s="14" t="str">
        <x:v>Pilot now</x:v>
      </x:c>
      <x:c r="F12" s="14" t="str">
        <x:v>I1</x:v>
      </x:c>
      <x:c r="G12" s="14" t="n">
        <x:v>93</x:v>
      </x:c>
      <x:c r="H12" s="14" t="n">
        <x:v>7</x:v>
      </x:c>
      <x:c r="I12" s="14" t="n">
        <x:v>7</x:v>
      </x:c>
      <x:c r="J12" s="18" t="n">
        <x:v>21323337.23</x:v>
      </x:c>
      <x:c r="K12" s="19" t="n">
        <x:v>46246.25897275463</x:v>
      </x:c>
      <x:c r="L12" s="19" t="n">
        <x:v>46356</x:v>
      </x:c>
      <x:c r="M12"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N12" s="15" t="str">
        <x:v>https://prozorro.gov.ua/tender/UA-2026-07-28-006431-a</x:v>
      </x:c>
    </x:row>
    <x:row r="13">
      <x:c r="A13" s="14" t="n">
        <x:v>9</x:v>
      </x:c>
      <x:c r="B13" s="14" t="str">
        <x:v>ПРИВАТНЕ ПІДПРИЄМСТВО "ДНЕПРОСТРОЙ"</x:v>
      </x:c>
      <x:c r="C13" s="14" t="str">
        <x:v>42032443</x:v>
      </x:c>
      <x:c r="D13" s="14" t="str">
        <x:v>Фасади та скління</x:v>
      </x:c>
      <x:c r="E13" s="14" t="str">
        <x:v>Expansion discovery</x:v>
      </x:c>
      <x:c r="F13" s="14" t="str">
        <x:v>I1</x:v>
      </x:c>
      <x:c r="G13" s="14" t="n">
        <x:v>93</x:v>
      </x:c>
      <x:c r="H13" s="14" t="n">
        <x:v>6</x:v>
      </x:c>
      <x:c r="I13" s="14" t="n">
        <x:v>6</x:v>
      </x:c>
      <x:c r="J13" s="18" t="n">
        <x:v>69577557.09</x:v>
      </x:c>
      <x:c r="K13" s="19" t="n">
        <x:v>46240.48320391204</x:v>
      </x:c>
      <x:c r="L13" s="19" t="n">
        <x:v>46387</x:v>
      </x:c>
      <x:c r="M13" s="15" t="str">
        <x:v>"Капітальний ремонт з утеплення фасадів житлової будівлі за адресою: вул. Калинова, буд.104 у м. Дніпрі" - заходи з енергозбереження. Коригування</x:v>
      </x:c>
      <x:c r="N13" s="15" t="str">
        <x:v>https://prozorro.gov.ua/tender/UA-2026-08-06-007625-a</x:v>
      </x:c>
    </x:row>
    <x:row r="14">
      <x:c r="A14" s="14" t="n">
        <x:v>10</x:v>
      </x:c>
      <x:c r="B14" s="14" t="str">
        <x:v>Товариство з обмеженою відповідальністю "МІСТО ЕНЕРДЖІ"</x:v>
      </x:c>
      <x:c r="C14" s="14" t="str">
        <x:v>32735498</x:v>
      </x:c>
      <x:c r="D14" s="14" t="str">
        <x:v>Теплові пункти</x:v>
      </x:c>
      <x:c r="E14" s="14" t="str">
        <x:v>Expansion discovery</x:v>
      </x:c>
      <x:c r="F14" s="14" t="str">
        <x:v>I1</x:v>
      </x:c>
      <x:c r="G14" s="14" t="n">
        <x:v>93</x:v>
      </x:c>
      <x:c r="H14" s="14" t="n">
        <x:v>11</x:v>
      </x:c>
      <x:c r="I14" s="14" t="n">
        <x:v>5</x:v>
      </x:c>
      <x:c r="J14" s="18" t="n">
        <x:v>33437993.09</x:v>
      </x:c>
      <x:c r="K14" s="19" t="n">
        <x:v>46248.38848902778</x:v>
      </x:c>
      <x:c r="L14" s="19" t="n">
        <x:v>46377</x:v>
      </x:c>
      <x:c r="M14" s="1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x:v>
      </x:c>
      <x:c r="N14" s="15" t="str">
        <x:v>https://prozorro.gov.ua/tender/UA-2026-07-29-011611-a</x:v>
      </x:c>
    </x:row>
    <x:row r="15">
      <x:c r="A15" s="14" t="n">
        <x:v>11</x:v>
      </x:c>
      <x:c r="B15" s="14" t="str">
        <x:v>ТОВ "СТАРБУДКО­НТРАКТ"</x:v>
      </x:c>
      <x:c r="C15" s="14" t="str">
        <x:v>40630948</x:v>
      </x:c>
      <x:c r="D15" s="14" t="str">
        <x:v>Фасади та скління</x:v>
      </x:c>
      <x:c r="E15" s="14" t="str">
        <x:v>Expansion discovery</x:v>
      </x:c>
      <x:c r="F15" s="14" t="str">
        <x:v>I1</x:v>
      </x:c>
      <x:c r="G15" s="14" t="n">
        <x:v>93</x:v>
      </x:c>
      <x:c r="H15" s="14" t="n">
        <x:v>4</x:v>
      </x:c>
      <x:c r="I15" s="14" t="n">
        <x:v>4</x:v>
      </x:c>
      <x:c r="J15" s="18" t="n">
        <x:v>182389571.16</x:v>
      </x:c>
      <x:c r="K15" s="19" t="n">
        <x:v>46252.31335655093</x:v>
      </x:c>
      <x:c r="L15" s="19" t="n">
        <x:v>46376</x:v>
      </x:c>
      <x:c r="M15"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x:v>
      </x:c>
      <x:c r="N15" s="15" t="str">
        <x:v>https://prozorro.gov.ua/tender/UA-2026-07-30-006599-a</x:v>
      </x:c>
    </x:row>
    <x:row r="16">
      <x:c r="A16" s="14" t="n">
        <x:v>12</x:v>
      </x:c>
      <x:c r="B16" s="14" t="str">
        <x:v>ТОВАРИСТВО З ОБМЕЖЕНОЮ ВІДПОВІДАЛЬНІСТЮ "АЛЬТЕКО2019"</x:v>
      </x:c>
      <x:c r="C16" s="14" t="str">
        <x:v>42749643</x:v>
      </x:c>
      <x:c r="D16" s="14" t="str">
        <x:v>Промислова електрика / ПНР</x:v>
      </x:c>
      <x:c r="E16" s="14" t="str">
        <x:v>Pilot now</x:v>
      </x:c>
      <x:c r="F16" s="14" t="str">
        <x:v>I1</x:v>
      </x:c>
      <x:c r="G16" s="14" t="n">
        <x:v>93</x:v>
      </x:c>
      <x:c r="H16" s="14" t="n">
        <x:v>4</x:v>
      </x:c>
      <x:c r="I16" s="14" t="n">
        <x:v>4</x:v>
      </x:c>
      <x:c r="J16" s="18" t="n">
        <x:v>13173295.7</x:v>
      </x:c>
      <x:c r="K16" s="19" t="n">
        <x:v>46247.34231864583</x:v>
      </x:c>
      <x:c r="L16" s="19" t="n">
        <x:v>46342</x:v>
      </x:c>
      <x:c r="M16"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x:v>
      </x:c>
      <x:c r="N16" s="15" t="str">
        <x:v>https://prozorro.gov.ua/tender/UA-2026-07-24-000935-a</x:v>
      </x:c>
    </x:row>
    <x:row r="17">
      <x:c r="A17" s="14" t="n">
        <x:v>13</x:v>
      </x:c>
      <x:c r="B17" s="14" t="str">
        <x:v>ТОВАРИСТВО З ОБМЕЖЕНОЮ ВІДПОВІДАЛЬНІСТЮ "ЕНЕРҐО-ІНВЕСТ"</x:v>
      </x:c>
      <x:c r="C17" s="14" t="str">
        <x:v>33439880</x:v>
      </x:c>
      <x:c r="D17" s="14" t="str">
        <x:v>Теплові мережі</x:v>
      </x:c>
      <x:c r="E17" s="14" t="str">
        <x:v>Expansion discovery</x:v>
      </x:c>
      <x:c r="F17" s="14" t="str">
        <x:v>I1</x:v>
      </x:c>
      <x:c r="G17" s="14" t="n">
        <x:v>93</x:v>
      </x:c>
      <x:c r="H17" s="14" t="n">
        <x:v>7</x:v>
      </x:c>
      <x:c r="I17" s="14" t="n">
        <x:v>4</x:v>
      </x:c>
      <x:c r="J17" s="18" t="n">
        <x:v>86015698.30000001</x:v>
      </x:c>
      <x:c r="K17" s="19" t="n">
        <x:v>46252.56904988426</x:v>
      </x:c>
      <x:c r="L17" s="19" t="n">
        <x:v>46377</x:v>
      </x:c>
      <x:c r="M17" s="15" t="str">
        <x:v>Реконструкція індивідуального теплового пункту за адресою: вул. Олеся Гончара, 47/49 (код ДК 021:2015: 45454000-4 – Реконструкція )</x:v>
      </x:c>
      <x:c r="N17" s="15" t="str">
        <x:v>https://prozorro.gov.ua/tender/UA-2026-07-29-011575-a</x:v>
      </x:c>
    </x:row>
    <x:row r="18">
      <x:c r="A18" s="14" t="n">
        <x:v>14</x:v>
      </x:c>
      <x:c r="B18" s="14" t="str">
        <x:v>ТОВ "ГРІНФОР ЛТД"</x:v>
      </x:c>
      <x:c r="C18" s="14" t="str">
        <x:v>41005068</x:v>
      </x:c>
      <x:c r="D18" s="14" t="str">
        <x:v>Підстанції / силові мережі</x:v>
      </x:c>
      <x:c r="E18" s="14" t="str">
        <x:v>Pilot now</x:v>
      </x:c>
      <x:c r="F18" s="14" t="str">
        <x:v>I1</x:v>
      </x:c>
      <x:c r="G18" s="14" t="n">
        <x:v>93</x:v>
      </x:c>
      <x:c r="H18" s="14" t="n">
        <x:v>5</x:v>
      </x:c>
      <x:c r="I18" s="14" t="n">
        <x:v>2</x:v>
      </x:c>
      <x:c r="J18" s="18" t="n">
        <x:v>15141779.54</x:v>
      </x:c>
      <x:c r="K18" s="19" t="n">
        <x:v>46219.45606680556</x:v>
      </x:c>
      <x:c r="L18" s="19" t="n">
        <x:v>46326</x:v>
      </x:c>
      <x:c r="M18" s="15" t="str">
        <x:v>«Нове будівництво трансформаторної підстанції ТП-10/0,4 кВ №155 та відгалуження ПЛ-10 кВ за адресою: с. Годинівка, Острицька сільська рада, Чернівецький район, Чернівецька область» 45231000-5 Будівництво трубопроводів, ліній звязку та електропередач.
</x:v>
      </x:c>
      <x:c r="N18" s="15" t="str">
        <x:v>https://prozorro.gov.ua/tender/UA-2026-07-01-007953-a</x:v>
      </x:c>
    </x:row>
    <x:row r="19">
      <x:c r="A19" s="14" t="n">
        <x:v>15</x:v>
      </x:c>
      <x:c r="B19" s="14" t="str">
        <x:v>ТОВАРИСТВО З ОБМЕЖЕНОЮ ВІДПОВІДАЛЬНІСТЮ "БУДІНДУСТРІЯ"</x:v>
      </x:c>
      <x:c r="C19" s="14" t="str">
        <x:v>31996862</x:v>
      </x:c>
      <x:c r="D19" s="14" t="str">
        <x:v>Залізнична інфраструктура</x:v>
      </x:c>
      <x:c r="E19" s="14" t="str">
        <x:v>Expansion discovery</x:v>
      </x:c>
      <x:c r="F19" s="14" t="str">
        <x:v>I1</x:v>
      </x:c>
      <x:c r="G19" s="14" t="n">
        <x:v>93</x:v>
      </x:c>
      <x:c r="H19" s="14" t="n">
        <x:v>4</x:v>
      </x:c>
      <x:c r="I19" s="14" t="n">
        <x:v>1</x:v>
      </x:c>
      <x:c r="J19" s="18" t="n">
        <x:v>28185599.27</x:v>
      </x:c>
      <x:c r="K19" s="19" t="n">
        <x:v>46233.55238796296</x:v>
      </x:c>
      <x:c r="L19" s="19" t="n">
        <x:v>46387.48011574074</x:v>
      </x:c>
      <x:c r="M19" s="1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x:v>
      </x:c>
      <x:c r="N19" s="15" t="str">
        <x:v>https://prozorro.gov.ua/tender/UA-2026-07-17-005954-a</x:v>
      </x:c>
    </x:row>
    <x:row r="20">
      <x:c r="A20" s="14" t="n">
        <x:v>16</x:v>
      </x:c>
      <x:c r="B20" s="14" t="str">
        <x:v>ТОВАРИСТВО З ОБМЕЖЕНОЮ ВІДПОВІДАЛЬНІСТЮ "ДКС ЕЛЕКТРИК"</x:v>
      </x:c>
      <x:c r="C20" s="14" t="str">
        <x:v>38324272</x:v>
      </x:c>
      <x:c r="D20" s="14" t="str">
        <x:v>ГНБ / безтраншейні роботи</x:v>
      </x:c>
      <x:c r="E20" s="14" t="str">
        <x:v>Expansion discovery</x:v>
      </x:c>
      <x:c r="F20" s="14" t="str">
        <x:v>I1</x:v>
      </x:c>
      <x:c r="G20" s="14" t="n">
        <x:v>92</x:v>
      </x:c>
      <x:c r="H20" s="14" t="n">
        <x:v>11</x:v>
      </x:c>
      <x:c r="I20" s="14" t="n">
        <x:v>8</x:v>
      </x:c>
      <x:c r="J20" s="18" t="n">
        <x:v>14600311.46</x:v>
      </x:c>
      <x:c r="K20" s="19" t="n">
        <x:v>46157.45898956018</x:v>
      </x:c>
      <x:c r="L20" s="19" t="n">
        <x:v>46387</x:v>
      </x:c>
      <x:c r="M20" s="15" t="str">
        <x:v>Виконання робіт з реконструкції підвищувальної водопровідної насосної станції III підйому КП ПОР «ПОЛТАВАВОДОКАНАЛ» за адресою: Полтавська область, м. Полтава, вул. Героїв АТО (Красіна), 79 в частині влаштування резервних мереж електропостачання 0,4кВ</x:v>
      </x:c>
      <x:c r="N20" s="15" t="str">
        <x:v>https://prozorro.gov.ua/tender/UA-2026-05-15-008160-a</x:v>
      </x:c>
    </x:row>
    <x:row r="21">
      <x:c r="A21" s="14" t="n">
        <x:v>17</x:v>
      </x:c>
      <x:c r="B21" s="14" t="str">
        <x:v>ТОВАРИСТВО З ОБМЕЖЕНОЮ ВІДПОВІДАЛЬНІСТЮ "АСФАЛЬТНО-БЕТОННИЙ ЗАВОД "ЄВРОБУД-АСФАЛЬТ"</x:v>
      </x:c>
      <x:c r="C21" s="14" t="str">
        <x:v>42094651</x:v>
      </x:c>
      <x:c r="D21" s="14" t="str">
        <x:v>Дорожні роботи</x:v>
      </x:c>
      <x:c r="E21" s="14" t="str">
        <x:v>Expansion discovery</x:v>
      </x:c>
      <x:c r="F21" s="14" t="str">
        <x:v>I1</x:v>
      </x:c>
      <x:c r="G21" s="14" t="n">
        <x:v>92</x:v>
      </x:c>
      <x:c r="H21" s="14" t="n">
        <x:v>4</x:v>
      </x:c>
      <x:c r="I21" s="14" t="n">
        <x:v>4</x:v>
      </x:c>
      <x:c r="J21" s="18" t="n">
        <x:v>5633601.71</x:v>
      </x:c>
      <x:c r="K21" s="19" t="n">
        <x:v>46253.30979371528</x:v>
      </x:c>
      <x:c r="L21" s="19" t="n">
        <x:v>46387.35289351852</x:v>
      </x:c>
      <x:c r="M21" s="15" t="str">
        <x:v>Капітальний ремонт дорожнього покриття вулиці Городищенська в селі Пристроми Бориспільського району Київської області</x:v>
      </x:c>
      <x:c r="N21" s="15" t="str">
        <x:v>https://prozorro.gov.ua/tender/UA-2026-08-19-002082-a</x:v>
      </x:c>
    </x:row>
    <x:row r="22">
      <x:c r="A22" s="14" t="n">
        <x:v>18</x:v>
      </x:c>
      <x:c r="B22" s="14" t="str">
        <x:v>ТОВАРИСТВО З ОБМЕЖЕНОЮ ВІДПОВІДАЛЬНІСТЮ "ФАСАД-СЕРВІС-БУД"</x:v>
      </x:c>
      <x:c r="C22" s="14" t="str">
        <x:v>35379855</x:v>
      </x:c>
      <x:c r="D22" s="14" t="str">
        <x:v>Водоочищення / очисні споруди</x:v>
      </x:c>
      <x:c r="E22" s="14" t="str">
        <x:v>Expansion discovery</x:v>
      </x:c>
      <x:c r="F22" s="14" t="str">
        <x:v>I1</x:v>
      </x:c>
      <x:c r="G22" s="14" t="n">
        <x:v>90</x:v>
      </x:c>
      <x:c r="H22" s="14" t="n">
        <x:v>4</x:v>
      </x:c>
      <x:c r="I22" s="14" t="n">
        <x:v>4</x:v>
      </x:c>
      <x:c r="J22" s="18" t="n">
        <x:v>36673383.12</x:v>
      </x:c>
      <x:c r="K22" s="19" t="n">
        <x:v>46199.58894462963</x:v>
      </x:c>
      <x:c r="L22" s="19" t="n">
        <x:v>46752</x:v>
      </x:c>
      <x:c r="M22"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x:v>
      </x:c>
      <x:c r="N22" s="15" t="str">
        <x:v>https://prozorro.gov.ua/tender/UA-2026-06-26-011183-a</x:v>
      </x:c>
    </x:row>
    <x:row r="23">
      <x:c r="A23" s="14" t="n">
        <x:v>19</x:v>
      </x:c>
      <x:c r="B23" s="14" t="str">
        <x:v>ТзОВ "Автомагістраль-ІФ"</x:v>
      </x:c>
      <x:c r="C23" s="14" t="str">
        <x:v>39053510</x:v>
      </x:c>
      <x:c r="D23" s="14" t="str">
        <x:v>Дорожні роботи</x:v>
      </x:c>
      <x:c r="E23" s="14" t="str">
        <x:v>Expansion discovery</x:v>
      </x:c>
      <x:c r="F23" s="14" t="str">
        <x:v>I1</x:v>
      </x:c>
      <x:c r="G23" s="14" t="n">
        <x:v>89</x:v>
      </x:c>
      <x:c r="H23" s="14" t="n">
        <x:v>8</x:v>
      </x:c>
      <x:c r="I23" s="14" t="n">
        <x:v>8</x:v>
      </x:c>
      <x:c r="J23" s="18" t="n">
        <x:v>9914811.6</x:v>
      </x:c>
      <x:c r="K23" s="19" t="n">
        <x:v>46253.526178622684</x:v>
      </x:c>
      <x:c r="L23" s="19" t="n">
        <x:v>46387</x:v>
      </x:c>
      <x:c r="M23" s="15" t="str">
        <x:v>Капітальний ремонт дорожнього покриття вул. Грушевського (від буд. № 6) в с. Майдан Ямницької сільської ради Івано-Франківської області</x:v>
      </x:c>
      <x:c r="N23" s="15" t="str">
        <x:v>https://prozorro.gov.ua/tender/UA-2026-08-19-010249-a</x:v>
      </x:c>
    </x:row>
    <x:row r="24">
      <x:c r="A24" s="14" t="n">
        <x:v>20</x:v>
      </x:c>
      <x:c r="B24" s="14" t="str">
        <x:v>КОЛЕКТИВНЕ ПІДПРИЄМСТВО "ЕЛЕКТРОМОНТАЖНАЛАДКА"</x:v>
      </x:c>
      <x:c r="C24" s="14" t="str">
        <x:v>04847816</x:v>
      </x:c>
      <x:c r="D24" s="14" t="str">
        <x:v>Електромонтаж</x:v>
      </x:c>
      <x:c r="E24" s="14" t="str">
        <x:v>Pilot now</x:v>
      </x:c>
      <x:c r="F24" s="14" t="str">
        <x:v>I1</x:v>
      </x:c>
      <x:c r="G24" s="14" t="n">
        <x:v>89</x:v>
      </x:c>
      <x:c r="H24" s="14" t="n">
        <x:v>5</x:v>
      </x:c>
      <x:c r="I24" s="14" t="n">
        <x:v>5</x:v>
      </x:c>
      <x:c r="J24" s="18" t="n">
        <x:v>3013969.46</x:v>
      </x:c>
      <x:c r="K24" s="19" t="n">
        <x:v>46230.472937164355</x:v>
      </x:c>
      <x:c r="L24" s="19" t="n">
        <x:v>46387</x:v>
      </x:c>
      <x:c r="M24" s="15" t="str">
        <x:v>Електромонтажні роботи</x:v>
      </x:c>
      <x:c r="N24" s="15" t="str">
        <x:v>https://prozorro.gov.ua/tender/UA-2026-07-27-006674-a</x:v>
      </x:c>
    </x:row>
    <x:row r="25">
      <x:c r="A25" s="14" t="n">
        <x:v>21</x:v>
      </x:c>
      <x:c r="B25" s="14" t="str">
        <x:v>ТОВАРИСТВО З ОБМЕЖЕНОЮ ВІДПОВІДАЛЬНІСТЮ "ШЛЯХОВИК-Т"</x:v>
      </x:c>
      <x:c r="C25" s="14" t="str">
        <x:v>42844920</x:v>
      </x:c>
      <x:c r="D25" s="14" t="str">
        <x:v>Дорожні роботи</x:v>
      </x:c>
      <x:c r="E25" s="14" t="str">
        <x:v>Expansion discovery</x:v>
      </x:c>
      <x:c r="F25" s="14" t="str">
        <x:v>I1</x:v>
      </x:c>
      <x:c r="G25" s="14" t="n">
        <x:v>89</x:v>
      </x:c>
      <x:c r="H25" s="14" t="n">
        <x:v>5</x:v>
      </x:c>
      <x:c r="I25" s="14" t="n">
        <x:v>4</x:v>
      </x:c>
      <x:c r="J25" s="18" t="n">
        <x:v>4301023.49</x:v>
      </x:c>
      <x:c r="K25" s="19" t="n">
        <x:v>45987.573691006946</x:v>
      </x:c>
      <x:c r="L25" s="19" t="n">
        <x:v>46022.916666655095</x:v>
      </x:c>
      <x:c r="M25" s="15" t="str">
        <x:v>Послуги з поточного ремонту шляхопроводу над залізничною колією на вул. Сяйво у м. Львові (додаткові послуги).</x:v>
      </x:c>
      <x:c r="N25" s="15" t="str">
        <x:v>https://prozorro.gov.ua/tender/UA-2025-11-26-014908-a</x:v>
      </x:c>
    </x:row>
    <x:row r="26">
      <x:c r="A26" s="14" t="n">
        <x:v>22</x:v>
      </x:c>
      <x:c r="B26" s="14" t="str">
        <x:v>Товариство з обмеженою відповідальністю  "Електротехнічна компанія"</x:v>
      </x:c>
      <x:c r="C26" s="14" t="str">
        <x:v>32346759</x:v>
      </x:c>
      <x:c r="D26" s="14" t="str">
        <x:v>Резервне живлення</x:v>
      </x:c>
      <x:c r="E26" s="14" t="str">
        <x:v>Pilot now</x:v>
      </x:c>
      <x:c r="F26" s="14" t="str">
        <x:v>I1</x:v>
      </x:c>
      <x:c r="G26" s="14" t="n">
        <x:v>89</x:v>
      </x:c>
      <x:c r="H26" s="14" t="n">
        <x:v>11</x:v>
      </x:c>
      <x:c r="I26" s="14" t="n">
        <x:v>3</x:v>
      </x:c>
      <x:c r="J26" s="18" t="n">
        <x:v>9177292.96</x:v>
      </x:c>
      <x:c r="K26" s="19" t="n">
        <x:v>46251.4519612963</x:v>
      </x:c>
      <x:c r="L26" s="19" t="n">
        <x:v>46356</x:v>
      </x:c>
      <x:c r="M26"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x:v>
      </x:c>
      <x:c r="N26" s="15" t="str">
        <x:v>https://prozorro.gov.ua/tender/UA-2026-08-05-010167-a</x:v>
      </x:c>
    </x:row>
    <x:row r="27">
      <x:c r="A27" s="14" t="n">
        <x:v>23</x:v>
      </x:c>
      <x:c r="B27" s="14" t="str">
        <x:v>ДНІПРОПЕТРОВСЬКА ФІЛІЯ ТОВАРИСТВА З ОБМЕЖЕНОЮ ВІДПОВІДАЛЬНІСТЮ "ГАЗОРОЗПОДІЛЬНІ МЕРЕЖІ УКРАЇНИ"</x:v>
      </x:c>
      <x:c r="C27" s="14" t="str">
        <x:v>45261177</x:v>
      </x:c>
      <x:c r="D27" s="14" t="str">
        <x:v>Газові мережі</x:v>
      </x:c>
      <x:c r="E27" s="14" t="str">
        <x:v>Expansion discovery</x:v>
      </x:c>
      <x:c r="F27" s="14" t="str">
        <x:v>I1</x:v>
      </x:c>
      <x:c r="G27" s="14" t="n">
        <x:v>89</x:v>
      </x:c>
      <x:c r="H27" s="14" t="n">
        <x:v>5</x:v>
      </x:c>
      <x:c r="I27" s="14" t="n">
        <x:v>2</x:v>
      </x:c>
      <x:c r="J27" s="18" t="n">
        <x:v>2077754.23</x:v>
      </x:c>
      <x:c r="K27" s="19" t="n">
        <x:v>46220.518606909725</x:v>
      </x:c>
      <x:c r="L27" s="19" t="n">
        <x:v>46376</x:v>
      </x:c>
      <x:c r="M27"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x:v>
      </x:c>
      <x:c r="N27" s="15" t="str">
        <x:v>https://prozorro.gov.ua/tender/UA-2026-07-17-008708-a</x:v>
      </x:c>
    </x:row>
    <x:row r="28">
      <x:c r="A28" s="14" t="n">
        <x:v>24</x:v>
      </x:c>
      <x:c r="B28" s="14" t="str">
        <x:v>Товариство з обмеженою відповідальністю "Енергобуд-5"</x:v>
      </x:c>
      <x:c r="C28" s="14" t="str">
        <x:v>43323126</x:v>
      </x:c>
      <x:c r="D28" s="14" t="str">
        <x:v>Внутрішні сантехнічні системи</x:v>
      </x:c>
      <x:c r="E28" s="14" t="str">
        <x:v>Pilot now</x:v>
      </x:c>
      <x:c r="F28" s="14" t="str">
        <x:v>I1</x:v>
      </x:c>
      <x:c r="G28" s="14" t="n">
        <x:v>89</x:v>
      </x:c>
      <x:c r="H28" s="14" t="n">
        <x:v>25</x:v>
      </x:c>
      <x:c r="I28" s="14" t="n">
        <x:v>1</x:v>
      </x:c>
      <x:c r="J28" s="18" t="n">
        <x:v>6597394.39</x:v>
      </x:c>
      <x:c r="K28" s="19" t="n">
        <x:v>46232.42025981481</x:v>
      </x:c>
      <x:c r="L28" s="19" t="n">
        <x:v>46265</x:v>
      </x:c>
      <x:c r="M2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x:v>
      </x:c>
      <x:c r="N28" s="15" t="str">
        <x:v>https://prozorro.gov.ua/tender/UA-2026-07-20-000458-a</x:v>
      </x:c>
    </x:row>
    <x:row r="29">
      <x:c r="A29" s="14" t="n">
        <x:v>25</x:v>
      </x:c>
      <x:c r="B29" s="14" t="str">
        <x:v>ТОВАРИСТВО З ОБМЕЖЕНОЮ ВІДПОВІДАЛЬНІСТЮ "СОЛАРС РЕ ЕНЕРДЖІ ГРУП"</x:v>
      </x:c>
      <x:c r="C29" s="14" t="str">
        <x:v>43124592</x:v>
      </x:c>
      <x:c r="D29" s="14" t="str">
        <x:v>Сонячна енергетика</x:v>
      </x:c>
      <x:c r="E29" s="14" t="str">
        <x:v>Expansion discovery</x:v>
      </x:c>
      <x:c r="F29" s="14" t="str">
        <x:v>I1</x:v>
      </x:c>
      <x:c r="G29" s="14" t="n">
        <x:v>88</x:v>
      </x:c>
      <x:c r="H29" s="14" t="n">
        <x:v>4</x:v>
      </x:c>
      <x:c r="I29" s="14" t="n">
        <x:v>4</x:v>
      </x:c>
      <x:c r="J29" s="18" t="n">
        <x:v>41710493.6</x:v>
      </x:c>
      <x:c r="K29" s="19" t="n">
        <x:v>46247.26676277778</x:v>
      </x:c>
      <x:c r="L29" s="19" t="n">
        <x:v>46387</x:v>
      </x:c>
      <x:c r="M29" s="15" t="str">
        <x:v>Реконструкція електропостачання водозабору «Минай» з будівництвом альтернативного джерела енергогенерації (сонячна електростанція) для власного споживання за адресою: Ужгородський рн. Холмківська ОТГ, урочище Кінчтар 
</x:v>
      </x:c>
      <x:c r="N29" s="15" t="str">
        <x:v>https://prozorro.gov.ua/tender/UA-2026-07-24-009062-a</x:v>
      </x:c>
    </x:row>
    <x:row r="30">
      <x:c r="A30" s="14" t="n">
        <x:v>26</x:v>
      </x:c>
      <x:c r="B30" s="14" t="str">
        <x:v>ТОВАРИСТВО З ОБМЕЖЕНОЮ ВІДПОВІДАЛЬНІСТЮ "РОУДБУДПІВДЕНЬ"</x:v>
      </x:c>
      <x:c r="C30" s="14" t="str">
        <x:v>46063475</x:v>
      </x:c>
      <x:c r="D30" s="14" t="str">
        <x:v>Дорожні роботи</x:v>
      </x:c>
      <x:c r="E30" s="14" t="str">
        <x:v>Expansion discovery</x:v>
      </x:c>
      <x:c r="F30" s="14" t="str">
        <x:v>I1</x:v>
      </x:c>
      <x:c r="G30" s="14" t="n">
        <x:v>88</x:v>
      </x:c>
      <x:c r="H30" s="14" t="n">
        <x:v>3</x:v>
      </x:c>
      <x:c r="I30" s="14" t="n">
        <x:v>3</x:v>
      </x:c>
      <x:c r="J30" s="18" t="n">
        <x:v>16991947.14</x:v>
      </x:c>
      <x:c r="K30" s="19" t="n">
        <x:v>46223.28764188657</x:v>
      </x:c>
      <x:c r="L30" s="19" t="n">
        <x:v>46418.61666666667</x:v>
      </x:c>
      <x:c r="M30" s="15" t="str">
        <x:v>Капітальний ремонт дорожнього покриття по вул. Західна в селі Фонтанка, Одеського району, Одеської області</x:v>
      </x:c>
      <x:c r="N30" s="15" t="str">
        <x:v>https://prozorro.gov.ua/tender/UA-2026-06-29-010772-a</x:v>
      </x:c>
    </x:row>
    <x:row r="31">
      <x:c r="A31" s="14" t="n">
        <x:v>27</x:v>
      </x:c>
      <x:c r="B31" s="14" t="str">
        <x:v>ТОВАРИСТВО З ОБМЕЖЕНОЮ ВІДПОВІДАЛЬНІСТЮ "ШЛЯХОВИК - МКІ"</x:v>
      </x:c>
      <x:c r="C31" s="14" t="str">
        <x:v>36928095</x:v>
      </x:c>
      <x:c r="D31" s="14" t="str">
        <x:v>Дорожні роботи</x:v>
      </x:c>
      <x:c r="E31" s="14" t="str">
        <x:v>Expansion discovery</x:v>
      </x:c>
      <x:c r="F31" s="14" t="str">
        <x:v>I1</x:v>
      </x:c>
      <x:c r="G31" s="14" t="n">
        <x:v>88</x:v>
      </x:c>
      <x:c r="H31" s="14" t="n">
        <x:v>3</x:v>
      </x:c>
      <x:c r="I31" s="14" t="n">
        <x:v>3</x:v>
      </x:c>
      <x:c r="J31" s="18" t="n">
        <x:v>11160861.03</x:v>
      </x:c>
      <x:c r="K31" s="19" t="n">
        <x:v>46254.33833980324</x:v>
      </x:c>
      <x:c r="L31" s="19" t="n">
        <x:v>46387</x:v>
      </x:c>
      <x:c r="M31" s="15" t="str">
        <x:v>Капітальний ремонт дорожнього покриття по вул.Ентузіастів в м.Іллінці Вінницької області (КОРИГУВАННЯ)</x:v>
      </x:c>
      <x:c r="N31" s="15" t="str">
        <x:v>https://prozorro.gov.ua/tender/UA-2026-08-04-009104-a</x:v>
      </x:c>
    </x:row>
    <x:row r="32">
      <x:c r="A32" s="14" t="n">
        <x:v>28</x:v>
      </x:c>
      <x:c r="B32" s="14" t="str">
        <x:v>ТОВ "ІНЕК ІНЖИНІРИНГ"</x:v>
      </x:c>
      <x:c r="C32" s="14" t="str">
        <x:v>42771802</x:v>
      </x:c>
      <x:c r="D32" s="14" t="str">
        <x:v>Теплові пункти</x:v>
      </x:c>
      <x:c r="E32" s="14" t="str">
        <x:v>Expansion discovery</x:v>
      </x:c>
      <x:c r="F32" s="14" t="str">
        <x:v>I1</x:v>
      </x:c>
      <x:c r="G32" s="14" t="n">
        <x:v>88</x:v>
      </x:c>
      <x:c r="H32" s="14" t="n">
        <x:v>3</x:v>
      </x:c>
      <x:c r="I32" s="14" t="n">
        <x:v>2</x:v>
      </x:c>
      <x:c r="J32" s="18" t="n">
        <x:v>19235967.89</x:v>
      </x:c>
      <x:c r="K32" s="19" t="n">
        <x:v>46253.69804892361</x:v>
      </x:c>
      <x:c r="L32" s="19" t="n">
        <x:v>46377</x:v>
      </x:c>
      <x:c r="M32" s="1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x:v>
      </x:c>
      <x:c r="N32" s="15" t="str">
        <x:v>https://prozorro.gov.ua/tender/UA-2026-07-29-011597-a</x:v>
      </x:c>
    </x:row>
    <x:row r="33">
      <x:c r="A33" s="14" t="n">
        <x:v>29</x:v>
      </x:c>
      <x:c r="B33" s="14" t="str">
        <x:v>ТОВАРИСТВО З ОБМЕЖЕНОЮ ВІДПОВІДАЛЬНІСТЮ "ХАРКІВСЬКЕ СПЕЦІАЛІЗОВАНЕ МОНТАЖНО-ЕКСПЛУАТАЦІЙНЕ ПІДПРИЄМСТВО"</x:v>
      </x:c>
      <x:c r="C33" s="14" t="str">
        <x:v>39425391</x:v>
      </x:c>
      <x:c r="D33" s="14" t="str">
        <x:v>Теплові мережі</x:v>
      </x:c>
      <x:c r="E33" s="14" t="str">
        <x:v>Expansion discovery</x:v>
      </x:c>
      <x:c r="F33" s="14" t="str">
        <x:v>I1</x:v>
      </x:c>
      <x:c r="G33" s="14" t="n">
        <x:v>87</x:v>
      </x:c>
      <x:c r="H33" s="14" t="n">
        <x:v>7</x:v>
      </x:c>
      <x:c r="I33" s="14" t="n">
        <x:v>7</x:v>
      </x:c>
      <x:c r="J33" s="18" t="n">
        <x:v>70722516.67</x:v>
      </x:c>
      <x:c r="K33" s="19" t="n">
        <x:v>46210.27461916667</x:v>
      </x:c>
      <x:c r="L33" s="19" t="n">
        <x:v>46326</x:v>
      </x:c>
      <x:c r="M33" s="15" t="str">
        <x:v>Реконструкція об’єкту КП "Харківські теплові мережі" шляхом встановлення КГУ. Когенераційна установка за адресою: вул. **********, м. Харків. Улаштування вузла димовидалення (код ДК 021:2015 – 45454000-4 "Реконструкція").</x:v>
      </x:c>
      <x:c r="N33" s="15" t="str">
        <x:v>https://prozorro.gov.ua/tender/UA-2026-07-07-000858-a</x:v>
      </x:c>
    </x:row>
    <x:row r="34">
      <x:c r="A34" s="14" t="n">
        <x:v>30</x:v>
      </x:c>
      <x:c r="B34" s="14" t="str">
        <x:v>Дочірнє підприємство «УкрСіверБуд» закритого акціонерного товариства «ДСК»</x:v>
      </x:c>
      <x:c r="C34" s="14" t="str">
        <x:v>30042170</x:v>
      </x:c>
      <x:c r="D34" s="14" t="str">
        <x:v>Насосні станції</x:v>
      </x:c>
      <x:c r="E34" s="14" t="str">
        <x:v>Expansion discovery</x:v>
      </x:c>
      <x:c r="F34" s="14" t="str">
        <x:v>I1</x:v>
      </x:c>
      <x:c r="G34" s="14" t="n">
        <x:v>87</x:v>
      </x:c>
      <x:c r="H34" s="14" t="n">
        <x:v>5</x:v>
      </x:c>
      <x:c r="I34" s="14" t="n">
        <x:v>5</x:v>
      </x:c>
      <x:c r="J34" s="18" t="n">
        <x:v>409810549.71000004</x:v>
      </x:c>
      <x:c r="K34" s="19" t="n">
        <x:v>46143.45762525463</x:v>
      </x:c>
      <x:c r="L34" s="19" t="n">
        <x:v>46752.49747685185</x:v>
      </x:c>
      <x:c r="M34" s="15" t="str">
        <x:v>Реконструкція електричної підстанції ПС 110/35/10 кВ ПЧ12 розміщеної на території Чернігівської області з влаштуванням II рівня інженерного захисту трансформатора Т-2 (ДК 021:2015 - 45454000-4 «Реконструкція»)</x:v>
      </x:c>
      <x:c r="N34" s="15" t="str">
        <x:v>https://prozorro.gov.ua/tender/UA-2026-05-01-007510-a</x:v>
      </x:c>
    </x:row>
    <x:row r="35">
      <x:c r="A35" s="14" t="n">
        <x:v>31</x:v>
      </x:c>
      <x:c r="B35" s="14" t="str">
        <x:v>ТОВ "ХЕРСОНСЬКИЙ АЛЬЯНС БУДІВНИЦТВА"</x:v>
      </x:c>
      <x:c r="C35" s="14" t="str">
        <x:v>42542403</x:v>
      </x:c>
      <x:c r="D35" s="14" t="str">
        <x:v>Зовнішні мережі</x:v>
      </x:c>
      <x:c r="E35" s="14" t="str">
        <x:v>Expansion discovery</x:v>
      </x:c>
      <x:c r="F35" s="14" t="str">
        <x:v>I1</x:v>
      </x:c>
      <x:c r="G35" s="14" t="n">
        <x:v>87</x:v>
      </x:c>
      <x:c r="H35" s="14" t="n">
        <x:v>4</x:v>
      </x:c>
      <x:c r="I35" s="14" t="n">
        <x:v>4</x:v>
      </x:c>
      <x:c r="J35" s="18" t="n">
        <x:v>162373364.8</x:v>
      </x:c>
      <x:c r="K35" s="19" t="n">
        <x:v>46203.277789583335</x:v>
      </x:c>
      <x:c r="L35" s="19" t="n">
        <x:v>46378</x:v>
      </x:c>
      <x:c r="M35"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x:v>
      </x:c>
      <x:c r="N35" s="15" t="str">
        <x:v>https://prozorro.gov.ua/tender/UA-2026-06-18-008231-a</x:v>
      </x:c>
    </x:row>
    <x:row r="36">
      <x:c r="A36" s="14" t="n">
        <x:v>32</x:v>
      </x:c>
      <x:c r="B36" s="14" t="str">
        <x:v>Товариство з обмеженою відповідальністю "Техно-Буд-Центр"</x:v>
      </x:c>
      <x:c r="C36" s="14" t="str">
        <x:v>33768346</x:v>
      </x:c>
      <x:c r="D36" s="14" t="str">
        <x:v>Підстанції / силові мережі</x:v>
      </x:c>
      <x:c r="E36" s="14" t="str">
        <x:v>Pilot now</x:v>
      </x:c>
      <x:c r="F36" s="14" t="str">
        <x:v>I1</x:v>
      </x:c>
      <x:c r="G36" s="14" t="n">
        <x:v>87</x:v>
      </x:c>
      <x:c r="H36" s="14" t="n">
        <x:v>5</x:v>
      </x:c>
      <x:c r="I36" s="14" t="n">
        <x:v>4</x:v>
      </x:c>
      <x:c r="J36" s="18" t="n">
        <x:v>381939410</x:v>
      </x:c>
      <x:c r="K36" s="19" t="n">
        <x:v>45911.60363625</x:v>
      </x:c>
      <x:c r="L36" s="19" t="n">
        <x:v>46234</x:v>
      </x:c>
      <x:c r="M36" s="15" t="str">
        <x:v>Реконструкція напірних каналізаційних колекторів від КНС №9 по вул. Андрея Шептицького,27 до КОС на вул. Об’їзна в м.Тернополі. 1 черга будівництва</x:v>
      </x:c>
      <x:c r="N36" s="15" t="str">
        <x:v>https://prozorro.gov.ua/tender/UA-2025-06-20-000902-a</x:v>
      </x:c>
    </x:row>
    <x:row r="37">
      <x:c r="A37" s="14" t="n">
        <x:v>33</x:v>
      </x:c>
      <x:c r="B37" s="14" t="str">
        <x:v>ТОВАРИСТВО З ОБМЕЖЕНОЮ ВІДПОВІДАЛЬНІСТЮ "ГІДРА БУД МОНТАЖ"</x:v>
      </x:c>
      <x:c r="C37" s="14" t="str">
        <x:v>44215219</x:v>
      </x:c>
      <x:c r="D37" s="14" t="str">
        <x:v>Газопостачання / котельні</x:v>
      </x:c>
      <x:c r="E37" s="14" t="str">
        <x:v>Expansion discovery</x:v>
      </x:c>
      <x:c r="F37" s="14" t="str">
        <x:v>I1</x:v>
      </x:c>
      <x:c r="G37" s="14" t="n">
        <x:v>87</x:v>
      </x:c>
      <x:c r="H37" s="14" t="n">
        <x:v>5</x:v>
      </x:c>
      <x:c r="I37" s="14" t="n">
        <x:v>2</x:v>
      </x:c>
      <x:c r="J37" s="18" t="n">
        <x:v>6295316.38</x:v>
      </x:c>
      <x:c r="K37" s="19" t="n">
        <x:v>45989.57159165509</x:v>
      </x:c>
      <x:c r="L37" s="19" t="n">
        <x:v>46011</x:v>
      </x:c>
      <x:c r="M37" s="15" t="str">
        <x:v>Нове будівництво модульної транспортабельної котельні в м. Харкові за адресою: вул. ********** (резервне живлення). Зовнішні мережі водопостачання та каналізації (код ДК 021:2015 – 45251000-1 "Будівництво електростанцій і теплових станцій").</x:v>
      </x:c>
      <x:c r="N37" s="15" t="str">
        <x:v>https://prozorro.gov.ua/tender/UA-2025-11-28-013109-a</x:v>
      </x:c>
    </x:row>
    <x:row r="38">
      <x:c r="A38" s="14" t="n">
        <x:v>34</x:v>
      </x:c>
      <x:c r="B38" s="14" t="str">
        <x:v>ТОВАРИСТВО З ОБМЕЖЕНОЮ ВІДПОВІДАЛЬНІСТЮ "ДЖИВЕРСБУД"</x:v>
      </x:c>
      <x:c r="C38" s="14" t="str">
        <x:v>38306994</x:v>
      </x:c>
      <x:c r="D38" s="14" t="str">
        <x:v>Промислова теплоізоляція</x:v>
      </x:c>
      <x:c r="E38" s="14" t="str">
        <x:v>Expansion discovery</x:v>
      </x:c>
      <x:c r="F38" s="14" t="str">
        <x:v>I1</x:v>
      </x:c>
      <x:c r="G38" s="14" t="n">
        <x:v>87</x:v>
      </x:c>
      <x:c r="H38" s="14" t="n">
        <x:v>5</x:v>
      </x:c>
      <x:c r="I38" s="14" t="n">
        <x:v>1</x:v>
      </x:c>
      <x:c r="J38" s="18" t="n">
        <x:v>64789621.68</x:v>
      </x:c>
      <x:c r="K38" s="19" t="n">
        <x:v>46204.50575207176</x:v>
      </x:c>
      <x:c r="L38" s="19" t="n">
        <x:v>46356</x:v>
      </x:c>
      <x:c r="M38"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x:v>
      </x:c>
      <x:c r="N38" s="15" t="str">
        <x:v>https://prozorro.gov.ua/tender/UA-2026-06-05-011674-a</x:v>
      </x:c>
    </x:row>
    <x:row r="39">
      <x:c r="A39" s="14" t="n">
        <x:v>35</x:v>
      </x:c>
      <x:c r="B39" s="14" t="str">
        <x:v>ПРИВАТНЕ ПІДПРИЄМСТВО "ПОЖЗАБЕЗПЕЧЕННЯ Л"</x:v>
      </x:c>
      <x:c r="C39" s="14" t="str">
        <x:v>42441853</x:v>
      </x:c>
      <x:c r="D39" s="14" t="str">
        <x:v>Пасивний вогнезахист</x:v>
      </x:c>
      <x:c r="E39" s="14" t="str">
        <x:v>Expansion discovery</x:v>
      </x:c>
      <x:c r="F39" s="14" t="str">
        <x:v>I1</x:v>
      </x:c>
      <x:c r="G39" s="14" t="n">
        <x:v>85</x:v>
      </x:c>
      <x:c r="H39" s="14" t="n">
        <x:v>6</x:v>
      </x:c>
      <x:c r="I39" s="14" t="n">
        <x:v>6</x:v>
      </x:c>
      <x:c r="J39" s="18" t="n">
        <x:v>749916.56</x:v>
      </x:c>
      <x:c r="K39" s="19" t="n">
        <x:v>46248.35216333334</x:v>
      </x:c>
      <x:c r="L39" s="19" t="n">
        <x:v>46356</x:v>
      </x:c>
      <x:c r="M39" s="15" t="str">
        <x:v>Поверхнева вогнезахисна обробка дерев'яних конструкцій дахів будівель на об’єктах Західного ТУОМ 45450000-6 Інші завершальні будівельні роботи</x:v>
      </x:c>
      <x:c r="N39" s="15" t="str">
        <x:v>https://prozorro.gov.ua/tender/UA-2026-07-21-006593-a</x:v>
      </x:c>
    </x:row>
    <x:row r="40">
      <x:c r="A40" s="14" t="n">
        <x:v>36</x:v>
      </x:c>
      <x:c r="B40" s="14" t="str">
        <x:v>ТОВАРИСТВО З ОБМЕЖЕНОЮ ВІДПОВІДАЛЬНІСТЮ "А С Е К "</x:v>
      </x:c>
      <x:c r="C40" s="14" t="str">
        <x:v>41293928</x:v>
      </x:c>
      <x:c r="D40" s="14" t="str">
        <x:v>Пасивний вогнезахист</x:v>
      </x:c>
      <x:c r="E40" s="14" t="str">
        <x:v>Expansion discovery</x:v>
      </x:c>
      <x:c r="F40" s="14" t="str">
        <x:v>I1</x:v>
      </x:c>
      <x:c r="G40" s="14" t="n">
        <x:v>85</x:v>
      </x:c>
      <x:c r="H40" s="14" t="n">
        <x:v>4</x:v>
      </x:c>
      <x:c r="I40" s="14" t="n">
        <x:v>3</x:v>
      </x:c>
      <x:c r="J40" s="18" t="n">
        <x:v>649125.6</x:v>
      </x:c>
      <x:c r="K40" s="19" t="n">
        <x:v>46255.498246296294</x:v>
      </x:c>
      <x:c r="L40" s="19" t="n">
        <x:v>46295</x:v>
      </x:c>
      <x:c r="M40" s="15" t="str">
        <x:v>Поточний ремонт: послуги з вогнезахисної обробки (просочення) дерев'яних конструкцій горищ</x:v>
      </x:c>
      <x:c r="N40" s="15" t="str">
        <x:v>https://prozorro.gov.ua/tender/UA-2026-08-21-009412-a</x:v>
      </x:c>
    </x:row>
    <x:row r="41">
      <x:c r="A41" s="14" t="n">
        <x:v>37</x:v>
      </x:c>
      <x:c r="B41" s="14" t="str">
        <x:v>УПРАВЛІННЯ ПОЛІЦІЇ ОХОРОНИ В ЧЕРНІВЕЦЬКІЙ ОБЛАСТІ</x:v>
      </x:c>
      <x:c r="C41" s="14" t="str">
        <x:v>40108976</x:v>
      </x:c>
      <x:c r="D41" s="14" t="str">
        <x:v>Пожежогасіння</x:v>
      </x:c>
      <x:c r="E41" s="14" t="str">
        <x:v>Expansion discovery</x:v>
      </x:c>
      <x:c r="F41" s="14" t="str">
        <x:v>I1</x:v>
      </x:c>
      <x:c r="G41" s="14" t="n">
        <x:v>84</x:v>
      </x:c>
      <x:c r="H41" s="14" t="n">
        <x:v>11</x:v>
      </x:c>
      <x:c r="I41" s="14" t="n">
        <x:v>8</x:v>
      </x:c>
      <x:c r="J41" s="18" t="n">
        <x:v>306641.82</x:v>
      </x:c>
      <x:c r="K41" s="19" t="n">
        <x:v>46020.597721516206</x:v>
      </x:c>
      <x:c r="L41" s="19" t="n">
        <x:v>46022.916666655095</x:v>
      </x:c>
      <x:c r="M41" s="15" t="str">
        <x:v>Монтаж, пусконалагоджування пожежної системи сигналізації</x:v>
      </x:c>
      <x:c r="N41" s="15" t="str">
        <x:v>https://prozorro.gov.ua/tender/UA-2025-12-29-009832-a</x:v>
      </x:c>
    </x:row>
    <x:row r="42">
      <x:c r="A42" s="14" t="n">
        <x:v>38</x:v>
      </x:c>
      <x:c r="B42" s="14" t="str">
        <x:v>Центр технічної охорони Управління поліції охорони у Львівській області</x:v>
      </x:c>
      <x:c r="C42" s="14" t="str">
        <x:v>40108887</x:v>
      </x:c>
      <x:c r="D42" s="14" t="str">
        <x:v>Пожежогасіння</x:v>
      </x:c>
      <x:c r="E42" s="14" t="str">
        <x:v>Expansion discovery</x:v>
      </x:c>
      <x:c r="F42" s="14" t="str">
        <x:v>I1</x:v>
      </x:c>
      <x:c r="G42" s="14" t="n">
        <x:v>84</x:v>
      </x:c>
      <x:c r="H42" s="14" t="n">
        <x:v>9</x:v>
      </x:c>
      <x:c r="I42" s="14" t="n">
        <x:v>8</x:v>
      </x:c>
      <x:c r="J42" s="18" t="n">
        <x:v>164138.75</x:v>
      </x:c>
      <x:c r="K42" s="19" t="n">
        <x:v>46213.52632453704</x:v>
      </x:c>
      <x:c r="L42" s="19" t="n">
        <x:v>46387</x:v>
      </x:c>
      <x:c r="M42" s="15" t="str">
        <x:v>Послуги з монтажу та пусконалагоджування системи пожежної сигналізації по вул. Гетьмана Мазепи, 25, м. Львів (ДК 021:2015: 51700000-9 Послуги зі встановлення протипожежного устаткування)</x:v>
      </x:c>
      <x:c r="N42" s="15" t="str">
        <x:v>https://prozorro.gov.ua/tender/UA-2026-07-10-008818-a</x:v>
      </x:c>
    </x:row>
    <x:row r="43">
      <x:c r="A43" s="14" t="n">
        <x:v>39</x:v>
      </x:c>
      <x:c r="B43" s="14" t="str">
        <x:v>ПРИВАТНЕ ПІДПРИЄМСТВО " ВЕКТОР - А "</x:v>
      </x:c>
      <x:c r="C43" s="14" t="str">
        <x:v>32995105</x:v>
      </x:c>
      <x:c r="D43" s="14" t="str">
        <x:v>Промислова електрика / ПНР</x:v>
      </x:c>
      <x:c r="E43" s="14" t="str">
        <x:v>Pilot now</x:v>
      </x:c>
      <x:c r="F43" s="14" t="str">
        <x:v>I1</x:v>
      </x:c>
      <x:c r="G43" s="14" t="n">
        <x:v>84</x:v>
      </x:c>
      <x:c r="H43" s="14" t="n">
        <x:v>3</x:v>
      </x:c>
      <x:c r="I43" s="14" t="n">
        <x:v>3</x:v>
      </x:c>
      <x:c r="J43" s="18" t="n">
        <x:v>7254135.33</x:v>
      </x:c>
      <x:c r="K43" s="19" t="n">
        <x:v>46247.50735133102</x:v>
      </x:c>
      <x:c r="L43" s="19" t="n">
        <x:v>46387</x:v>
      </x:c>
      <x:c r="M43"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x:v>
      </x:c>
      <x:c r="N43" s="15" t="str">
        <x:v>https://prozorro.gov.ua/tender/UA-2026-07-27-002419-a</x:v>
      </x:c>
    </x:row>
    <x:row r="44">
      <x:c r="A44" s="14" t="n">
        <x:v>40</x:v>
      </x:c>
      <x:c r="B44" s="14" t="str">
        <x:v>ТОВАРИСТВО З ОБМЕЖЕНОЮ ВІДПОВІДАЛЬНІСТЮ "ТЕХНОЕЛІТСЕРВІС"</x:v>
      </x:c>
      <x:c r="C44" s="14" t="str">
        <x:v>46150714</x:v>
      </x:c>
      <x:c r="D44" s="14" t="str">
        <x:v>Пожежогасіння</x:v>
      </x:c>
      <x:c r="E44" s="14" t="str">
        <x:v>Expansion discovery</x:v>
      </x:c>
      <x:c r="F44" s="14" t="str">
        <x:v>I1</x:v>
      </x:c>
      <x:c r="G44" s="14" t="n">
        <x:v>84</x:v>
      </x:c>
      <x:c r="H44" s="14" t="n">
        <x:v>4</x:v>
      </x:c>
      <x:c r="I44" s="14" t="n">
        <x:v>3</x:v>
      </x:c>
      <x:c r="J44" s="18" t="n">
        <x:v>3892537.33</x:v>
      </x:c>
      <x:c r="K44" s="19" t="n">
        <x:v>46254.559983796295</x:v>
      </x:c>
      <x:c r="L44" s="19" t="n">
        <x:v>46381</x:v>
      </x:c>
      <x:c r="M44" s="15" t="str">
        <x:v>«ДК 021:2015  - 77220000-8 -Послуги з просочування деревини (Послуги з протипожежних заходів (проведення вогнезахисної обробки (просочення) дерев’яних конструкцій горищ)»</x:v>
      </x:c>
      <x:c r="N44" s="15" t="str">
        <x:v>https://prozorro.gov.ua/tender/UA-2026-08-05-011338-a</x:v>
      </x:c>
    </x:row>
    <x:row r="45">
      <x:c r="A45" s="14" t="n">
        <x:v>41</x:v>
      </x:c>
      <x:c r="B45" s="14" t="str">
        <x:v>ТОВАРИСТВО З ОБМЕЖЕНОЮ ВІДПОВІДАЛЬНІСТЮ "ТМП ТРАНСБУД"</x:v>
      </x:c>
      <x:c r="C45" s="14" t="str">
        <x:v>43019994</x:v>
      </x:c>
      <x:c r="D45" s="14" t="str">
        <x:v>Дорожні роботи</x:v>
      </x:c>
      <x:c r="E45" s="14" t="str">
        <x:v>Expansion discovery</x:v>
      </x:c>
      <x:c r="F45" s="14" t="str">
        <x:v>I1</x:v>
      </x:c>
      <x:c r="G45" s="14" t="n">
        <x:v>84</x:v>
      </x:c>
      <x:c r="H45" s="14" t="n">
        <x:v>3</x:v>
      </x:c>
      <x:c r="I45" s="14" t="n">
        <x:v>3</x:v>
      </x:c>
      <x:c r="J45" s="18" t="n">
        <x:v>7843300.94</x:v>
      </x:c>
      <x:c r="K45" s="19" t="n">
        <x:v>46245.47782792824</x:v>
      </x:c>
      <x:c r="L45" s="19" t="n">
        <x:v>46356</x:v>
      </x:c>
      <x:c r="M45"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x:v>
      </x:c>
      <x:c r="N45" s="15" t="str">
        <x:v>https://prozorro.gov.ua/tender/UA-2026-08-11-007824-a</x:v>
      </x:c>
    </x:row>
    <x:row r="46">
      <x:c r="A46" s="14" t="n">
        <x:v>42</x:v>
      </x:c>
      <x:c r="B46"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C46" s="14" t="str">
        <x:v>43674679</x:v>
      </x:c>
      <x:c r="D46" s="14" t="str">
        <x:v>Пасивний вогнезахист</x:v>
      </x:c>
      <x:c r="E46" s="14" t="str">
        <x:v>Expansion discovery</x:v>
      </x:c>
      <x:c r="F46" s="14" t="str">
        <x:v>I1</x:v>
      </x:c>
      <x:c r="G46" s="14" t="n">
        <x:v>84</x:v>
      </x:c>
      <x:c r="H46" s="14" t="n">
        <x:v>6</x:v>
      </x:c>
      <x:c r="I46" s="14" t="n">
        <x:v>2</x:v>
      </x:c>
      <x:c r="J46" s="18" t="n">
        <x:v>338001.7</x:v>
      </x:c>
      <x:c r="K46" s="19" t="n">
        <x:v>46233.59981547454</x:v>
      </x:c>
      <x:c r="L46" s="19" t="n">
        <x:v>46265.58628472222</x:v>
      </x:c>
      <x:c r="M46" s="15" t="str">
        <x:v>Послуги та заходи із захисту приміщення, а саме проведення вогнезахисної обробки дерев’яних конструкцій горищних приміщень</x:v>
      </x:c>
      <x:c r="N46" s="15" t="str">
        <x:v>https://prozorro.gov.ua/tender/UA-2026-07-30-010044-a</x:v>
      </x:c>
    </x:row>
    <x:row r="47">
      <x:c r="A47" s="14" t="n">
        <x:v>43</x:v>
      </x:c>
      <x:c r="B47" s="14" t="str">
        <x:v>ТОВАРИСТВО З ОБМЕЖЕНОЮ ВІДПОВІДАЛЬНІСТЮ "УКРПРОМТРАНСБУД"</x:v>
      </x:c>
      <x:c r="C47" s="14" t="str">
        <x:v>41775616</x:v>
      </x:c>
      <x:c r="D47" s="14" t="str">
        <x:v>Залізнична інфраструктура</x:v>
      </x:c>
      <x:c r="E47" s="14" t="str">
        <x:v>Expansion discovery</x:v>
      </x:c>
      <x:c r="F47" s="14" t="str">
        <x:v>I1</x:v>
      </x:c>
      <x:c r="G47" s="14" t="n">
        <x:v>84</x:v>
      </x:c>
      <x:c r="H47" s="14" t="n">
        <x:v>3</x:v>
      </x:c>
      <x:c r="I47" s="14" t="n">
        <x:v>2</x:v>
      </x:c>
      <x:c r="J47" s="18" t="n">
        <x:v>4216359.43</x:v>
      </x:c>
      <x:c r="K47" s="19" t="n">
        <x:v>46241.531548796294</x:v>
      </x:c>
      <x:c r="L47" s="19" t="n">
        <x:v>46387</x:v>
      </x:c>
      <x:c r="M47" s="15" t="str">
        <x:v>Послуги з ремонту внутрішньозаводських залізничних колій та стрілочних переводів  ПрАТ «ДТРЗ»</x:v>
      </x:c>
      <x:c r="N47" s="15" t="str">
        <x:v>https://prozorro.gov.ua/tender/UA-2026-07-17-005987-a</x:v>
      </x:c>
    </x:row>
    <x:row r="48">
      <x:c r="A48" s="14" t="n">
        <x:v>44</x:v>
      </x:c>
      <x:c r="B48" s="14" t="str">
        <x:v>ТОВ "ВД ХОЛДИНГ"</x:v>
      </x:c>
      <x:c r="C48" s="14" t="str">
        <x:v>43127504</x:v>
      </x:c>
      <x:c r="D48" s="14" t="str">
        <x:v>ВОЛЗ / телеком</x:v>
      </x:c>
      <x:c r="E48" s="14" t="str">
        <x:v>Expansion discovery</x:v>
      </x:c>
      <x:c r="F48" s="14" t="str">
        <x:v>I1</x:v>
      </x:c>
      <x:c r="G48" s="14" t="n">
        <x:v>84</x:v>
      </x:c>
      <x:c r="H48" s="14" t="n">
        <x:v>3</x:v>
      </x:c>
      <x:c r="I48" s="14" t="n">
        <x:v>1</x:v>
      </x:c>
      <x:c r="J48" s="18" t="n">
        <x:v>5192066</x:v>
      </x:c>
      <x:c r="K48" s="19" t="n">
        <x:v>46223.561013900464</x:v>
      </x:c>
      <x:c r="L48" s="19" t="n">
        <x:v>46387</x:v>
      </x:c>
      <x:c r="M48" s="15" t="str">
        <x:v>Роботи на об'єкті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45230000-8 національного класифікатора України ДК 021:2015 «Єдиний закупівельний словник»)</x:v>
      </x:c>
      <x:c r="N48" s="15" t="str">
        <x:v>https://prozorro.gov.ua/tender/UA-2026-06-29-010864-a</x:v>
      </x:c>
    </x:row>
    <x:row r="49">
      <x:c r="A49" s="14" t="n">
        <x:v>45</x:v>
      </x:c>
      <x:c r="B49" s="14" t="str">
        <x:v>ПРИВАТНЕ ПІДПРИЄМСТВО "БУДІВЕЛЬНИК ПЛЮС"</x:v>
      </x:c>
      <x:c r="C49" s="14" t="str">
        <x:v>40499241</x:v>
      </x:c>
      <x:c r="D49" s="14" t="str">
        <x:v>Зливова каналізація / дренаж</x:v>
      </x:c>
      <x:c r="E49" s="14" t="str">
        <x:v>Expansion discovery</x:v>
      </x:c>
      <x:c r="F49" s="14" t="str">
        <x:v>I1</x:v>
      </x:c>
      <x:c r="G49" s="14" t="n">
        <x:v>83</x:v>
      </x:c>
      <x:c r="H49" s="14" t="n">
        <x:v>37</x:v>
      </x:c>
      <x:c r="I49" s="14" t="n">
        <x:v>28</x:v>
      </x:c>
      <x:c r="J49" s="18" t="n">
        <x:v>7090749.44</x:v>
      </x:c>
      <x:c r="K49" s="19" t="n">
        <x:v>46184.333747268516</x:v>
      </x:c>
      <x:c r="L49" s="19" t="n">
        <x:v>46387</x:v>
      </x:c>
      <x:c r="M4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x:v>
      </x:c>
      <x:c r="N49" s="15" t="str">
        <x:v>https://prozorro.gov.ua/tender/UA-2026-06-11-003374-a</x:v>
      </x:c>
    </x:row>
    <x:row r="50">
      <x:c r="A50" s="14" t="n">
        <x:v>46</x:v>
      </x:c>
      <x:c r="B50" s="14" t="str">
        <x:v>ТОВАРИСТВО З ОБМЕЖЕНОЮ ВІДПОВІДАЛЬНІСТЮ "РСУ-СХІД"</x:v>
      </x:c>
      <x:c r="C50" s="14" t="str">
        <x:v>44743360</x:v>
      </x:c>
      <x:c r="D50" s="14" t="str">
        <x:v>ВОЛЗ / телеком</x:v>
      </x:c>
      <x:c r="E50" s="14" t="str">
        <x:v>Expansion discovery</x:v>
      </x:c>
      <x:c r="F50" s="14" t="str">
        <x:v>I1</x:v>
      </x:c>
      <x:c r="G50" s="14" t="n">
        <x:v>83</x:v>
      </x:c>
      <x:c r="H50" s="14" t="n">
        <x:v>5</x:v>
      </x:c>
      <x:c r="I50" s="14" t="n">
        <x:v>4</x:v>
      </x:c>
      <x:c r="J50" s="18" t="n">
        <x:v>3031084.48</x:v>
      </x:c>
      <x:c r="K50" s="19" t="n">
        <x:v>46162.31323571759</x:v>
      </x:c>
      <x:c r="L50" s="19" t="n">
        <x:v>46568</x:v>
      </x:c>
      <x:c r="M50" s="15" t="str">
        <x:v>Будівництво ВОЛЗ ПС Харківська -ПС Селекційна у м. Харкові</x:v>
      </x:c>
      <x:c r="N50" s="15" t="str">
        <x:v>https://prozorro.gov.ua/tender/UA-2026-05-20-002590-a</x:v>
      </x:c>
    </x:row>
    <x:row r="51">
      <x:c r="A51" s="14" t="n">
        <x:v>47</x:v>
      </x:c>
      <x:c r="B51" s="14" t="str">
        <x:v>ФОП Костійчук Олександр Володимирович</x:v>
      </x:c>
      <x:c r="C51" s="14" t="str">
        <x:v>2598502379</x:v>
      </x:c>
      <x:c r="D51" s="14" t="str">
        <x:v>Газопостачання / котельні</x:v>
      </x:c>
      <x:c r="E51" s="14" t="str">
        <x:v>Expansion discovery</x:v>
      </x:c>
      <x:c r="F51" s="14" t="str">
        <x:v>I1</x:v>
      </x:c>
      <x:c r="G51" s="14" t="n">
        <x:v>82</x:v>
      </x:c>
      <x:c r="H51" s="14" t="n">
        <x:v>6</x:v>
      </x:c>
      <x:c r="I51" s="14" t="n">
        <x:v>5</x:v>
      </x:c>
      <x:c r="J51" s="18" t="n">
        <x:v>672949.0800000001</x:v>
      </x:c>
      <x:c r="K51" s="19" t="n">
        <x:v>46009.41698357639</x:v>
      </x:c>
      <x:c r="L51" s="19" t="n">
        <x:v>46022</x:v>
      </x:c>
      <x:c r="M51" s="15" t="str">
        <x:v>45340000-2 Зведення огорож, монтаж поручнів і захисних засобів (Поточний ремонт (облаштування дизель генератора огорожою з накриттям) Комунального закладу "Софіївсько-Борщагівський заклад дошкільної освіти "Дивосвіт" Борщагівської сільської ради Бучанського району Київської області»)</x:v>
      </x:c>
      <x:c r="N51" s="15" t="str">
        <x:v>https://prozorro.gov.ua/tender/UA-2025-12-18-008855-a</x:v>
      </x:c>
    </x:row>
    <x:row r="52">
      <x:c r="A52" s="14" t="n">
        <x:v>48</x:v>
      </x:c>
      <x:c r="B52" s="14" t="str">
        <x:v>ПРИВАТНЕ ПІДПРИЄМСТВО "ЕЛІТБУД-1"</x:v>
      </x:c>
      <x:c r="C52" s="14" t="str">
        <x:v>33555092</x:v>
      </x:c>
      <x:c r="D52" s="14" t="str">
        <x:v>Підстанції / силові мережі</x:v>
      </x:c>
      <x:c r="E52" s="14" t="str">
        <x:v>Pilot now</x:v>
      </x:c>
      <x:c r="F52" s="14" t="str">
        <x:v>I1</x:v>
      </x:c>
      <x:c r="G52" s="14" t="n">
        <x:v>82</x:v>
      </x:c>
      <x:c r="H52" s="14" t="n">
        <x:v>3</x:v>
      </x:c>
      <x:c r="I52" s="14" t="n">
        <x:v>3</x:v>
      </x:c>
      <x:c r="J52" s="18" t="n">
        <x:v>204750000</x:v>
      </x:c>
      <x:c r="K52" s="19" t="n">
        <x:v>46143.615071342596</x:v>
      </x:c>
      <x:c r="L52" s="19" t="n">
        <x:v>46477</x:v>
      </x:c>
      <x:c r="M52"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x:v>
      </x:c>
      <x:c r="N52" s="15" t="str">
        <x:v>https://prozorro.gov.ua/tender/UA-2026-05-01-011583-a</x:v>
      </x:c>
    </x:row>
    <x:row r="53">
      <x:c r="A53" s="14" t="n">
        <x:v>49</x:v>
      </x:c>
      <x:c r="B53" s="14" t="str">
        <x:v>ТОВАРИСТВО З ОБМЕЖЕНОЮ ВІДПОВІДАЛЬНІСТЮ "БОГАРТ БУД"</x:v>
      </x:c>
      <x:c r="C53" s="14" t="str">
        <x:v>35987296</x:v>
      </x:c>
      <x:c r="D53" s="14" t="str">
        <x:v>Підстанції / силові мережі</x:v>
      </x:c>
      <x:c r="E53" s="14" t="str">
        <x:v>Pilot now</x:v>
      </x:c>
      <x:c r="F53" s="14" t="str">
        <x:v>I1</x:v>
      </x:c>
      <x:c r="G53" s="14" t="n">
        <x:v>82</x:v>
      </x:c>
      <x:c r="H53" s="14" t="n">
        <x:v>3</x:v>
      </x:c>
      <x:c r="I53" s="14" t="n">
        <x:v>3</x:v>
      </x:c>
      <x:c r="J53" s="18" t="n">
        <x:v>346065428.8</x:v>
      </x:c>
      <x:c r="K53" s="19" t="n">
        <x:v>46167.53875150463</x:v>
      </x:c>
      <x:c r="L53" s="19" t="n">
        <x:v>46752</x:v>
      </x:c>
      <x:c r="M53" s="15" t="str">
        <x:v>Реконструкція електричної підстанції №2 АТ “ДТЕК Дніпровські електромережі” у Дніпропетровській області (ДК 021:2015: 45454000-4 - Реконструкція)</x:v>
      </x:c>
      <x:c r="N53" s="15" t="str">
        <x:v>https://prozorro.gov.ua/tender/UA-2026-05-25-011121-a</x:v>
      </x:c>
    </x:row>
    <x:row r="54">
      <x:c r="A54" s="14" t="n">
        <x:v>50</x:v>
      </x:c>
      <x:c r="B54" s="14" t="str">
        <x:v>ТОВАРИСТВО З ОБМЕЖЕНОЮ ВІДПОВІДАЛЬНІСТЮ "ДОРІНВЕСТКАПІТАЛ"</x:v>
      </x:c>
      <x:c r="C54" s="14" t="str">
        <x:v>40946419</x:v>
      </x:c>
      <x:c r="D54" s="14" t="str">
        <x:v>Підстанції / силові мережі</x:v>
      </x:c>
      <x:c r="E54" s="14" t="str">
        <x:v>Pilot now</x:v>
      </x:c>
      <x:c r="F54" s="14" t="str">
        <x:v>I1</x:v>
      </x:c>
      <x:c r="G54" s="14" t="n">
        <x:v>82</x:v>
      </x:c>
      <x:c r="H54" s="14" t="n">
        <x:v>3</x:v>
      </x:c>
      <x:c r="I54" s="14" t="n">
        <x:v>3</x:v>
      </x:c>
      <x:c r="J54" s="18" t="n">
        <x:v>204750000</x:v>
      </x:c>
      <x:c r="K54" s="19" t="n">
        <x:v>46143.57805596065</x:v>
      </x:c>
      <x:c r="L54" s="19" t="n">
        <x:v>46477</x:v>
      </x:c>
      <x:c r="M54"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x:v>
      </x:c>
      <x:c r="N54" s="15" t="str">
        <x:v>https://prozorro.gov.ua/tender/UA-2026-05-01-010622-a</x:v>
      </x:c>
    </x:row>
    <x:row r="55">
      <x:c r="A55" s="14" t="n">
        <x:v>51</x:v>
      </x:c>
      <x:c r="B55" s="14" t="str">
        <x:v>ТОВАРИСТВО З ОБМЕЖЕНОЮ ВІДПОВІДАЛЬНІСТЮ "ЕНЕРГОКАНАЛ"</x:v>
      </x:c>
      <x:c r="C55" s="14" t="str">
        <x:v>45678552</x:v>
      </x:c>
      <x:c r="D55" s="14" t="str">
        <x:v>Теплові мережі</x:v>
      </x:c>
      <x:c r="E55" s="14" t="str">
        <x:v>Expansion discovery</x:v>
      </x:c>
      <x:c r="F55" s="14" t="str">
        <x:v>I1</x:v>
      </x:c>
      <x:c r="G55" s="14" t="n">
        <x:v>82</x:v>
      </x:c>
      <x:c r="H55" s="14" t="n">
        <x:v>4</x:v>
      </x:c>
      <x:c r="I55" s="14" t="n">
        <x:v>3</x:v>
      </x:c>
      <x:c r="J55" s="18" t="n">
        <x:v>42977416.9</x:v>
      </x:c>
      <x:c r="K55" s="19" t="n">
        <x:v>45974.653170300924</x:v>
      </x:c>
      <x:c r="L55" s="19" t="n">
        <x:v>46010</x:v>
      </x:c>
      <x:c r="M55" s="15" t="str">
        <x:v>ДК 021-2015 45251000-1 Будівництво електростанцій і теплових станцій. Нове будівництво модульної транспортабельної котельні у м.Харкові за адресою **** (резервне живлення). Зовнішні мережі, водопостачання і каналізації</x:v>
      </x:c>
      <x:c r="N55" s="15" t="str">
        <x:v>https://prozorro.gov.ua/tender/UA-2025-11-13-016060-a</x:v>
      </x:c>
    </x:row>
    <x:row r="56">
      <x:c r="A56" s="14" t="n">
        <x:v>52</x:v>
      </x:c>
      <x:c r="B56" s="14" t="str">
        <x:v>ТОВАРИСТВО З ОБМЕЖЕНОЮ ВІДПОВІДАЛЬНІСТЮ "САБ-КОНСТРАКШН"</x:v>
      </x:c>
      <x:c r="C56" s="14" t="str">
        <x:v>42506391</x:v>
      </x:c>
      <x:c r="D56" s="14" t="str">
        <x:v>Зовнішні мережі</x:v>
      </x:c>
      <x:c r="E56" s="14" t="str">
        <x:v>Expansion discovery</x:v>
      </x:c>
      <x:c r="F56" s="14" t="str">
        <x:v>I1</x:v>
      </x:c>
      <x:c r="G56" s="14" t="n">
        <x:v>82</x:v>
      </x:c>
      <x:c r="H56" s="14" t="n">
        <x:v>3</x:v>
      </x:c>
      <x:c r="I56" s="14" t="n">
        <x:v>3</x:v>
      </x:c>
      <x:c r="J56" s="18" t="n">
        <x:v>105402698.29</x:v>
      </x:c>
      <x:c r="K56" s="19" t="n">
        <x:v>46210.58118918981</x:v>
      </x:c>
      <x:c r="L56" s="19" t="n">
        <x:v>46433</x:v>
      </x:c>
      <x:c r="M56"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x:v>
      </x:c>
      <x:c r="N56" s="15" t="str">
        <x:v>https://prozorro.gov.ua/tender/UA-2026-06-26-010217-a</x:v>
      </x:c>
    </x:row>
    <x:row r="57">
      <x:c r="A57" s="14" t="n">
        <x:v>53</x:v>
      </x:c>
      <x:c r="B57" s="14" t="str">
        <x:v>Товариство з обмеженою відповідальністю «БУДІВЕЛЬНА КОМПАНІЯ «ВОЛМАКС»</x:v>
      </x:c>
      <x:c r="C57" s="14" t="str">
        <x:v>42740436</x:v>
      </x:c>
      <x:c r="D57" s="14" t="str">
        <x:v>Підстанції / силові мережі</x:v>
      </x:c>
      <x:c r="E57" s="14" t="str">
        <x:v>Pilot now</x:v>
      </x:c>
      <x:c r="F57" s="14" t="str">
        <x:v>I1</x:v>
      </x:c>
      <x:c r="G57" s="14" t="n">
        <x:v>82</x:v>
      </x:c>
      <x:c r="H57" s="14" t="n">
        <x:v>3</x:v>
      </x:c>
      <x:c r="I57" s="14" t="n">
        <x:v>3</x:v>
      </x:c>
      <x:c r="J57" s="18" t="n">
        <x:v>218793622.46</x:v>
      </x:c>
      <x:c r="K57" s="19" t="n">
        <x:v>46143.50153450231</x:v>
      </x:c>
      <x:c r="L57" s="19" t="n">
        <x:v>46752.54452546296</x:v>
      </x:c>
      <x:c r="M57"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x:v>
      </x:c>
      <x:c r="N57" s="15" t="str">
        <x:v>https://prozorro.gov.ua/tender/UA-2026-05-01-009188-a</x:v>
      </x:c>
    </x:row>
    <x:row r="58">
      <x:c r="A58" s="14" t="n">
        <x:v>54</x:v>
      </x:c>
      <x:c r="B58" s="14" t="str">
        <x:v>ТОВ "НГХ СЕРВІС"</x:v>
      </x:c>
      <x:c r="C58" s="14" t="str">
        <x:v>38781431</x:v>
      </x:c>
      <x:c r="D58" s="14" t="str">
        <x:v>Технологічні трубопроводи</x:v>
      </x:c>
      <x:c r="E58" s="14" t="str">
        <x:v>Expansion discovery</x:v>
      </x:c>
      <x:c r="F58" s="14" t="str">
        <x:v>I1</x:v>
      </x:c>
      <x:c r="G58" s="14" t="n">
        <x:v>82</x:v>
      </x:c>
      <x:c r="H58" s="14" t="n">
        <x:v>4</x:v>
      </x:c>
      <x:c r="I58" s="14" t="n">
        <x:v>1</x:v>
      </x:c>
      <x:c r="J58" s="18" t="n">
        <x:v>284892709.98</x:v>
      </x:c>
      <x:c r="K58" s="19" t="n">
        <x:v>46185.545990659724</x:v>
      </x:c>
      <x:c r="L58" s="19" t="n">
        <x:v>46265</x:v>
      </x:c>
      <x:c r="M58" s="15" t="str">
        <x:v>Реконструкція загальностанційної системи керування головного щита управління-1 та систем автоматичного керування газоперекачувальними агрегатами № 2, 7 компресорного цеху №1 дотискувальної компресорної станції «Більче-Волиця» Стрийського виробничого управління підземного зберігання газу (додаткові роботи) (Будівельні роботи та поточний ремонт)</x:v>
      </x:c>
      <x:c r="N58" s="15" t="str">
        <x:v>https://prozorro.gov.ua/tender/UA-2026-06-12-011530-a</x:v>
      </x:c>
    </x:row>
    <x:row r="59">
      <x:c r="A59" s="14" t="n">
        <x:v>55</x:v>
      </x:c>
      <x:c r="B59" s="14" t="str">
        <x:v>2 ДЕРЖАВНИЙ ПОЖЕЖНО-РЯТУВАЛЬНИЙ ЗАГІН ГОЛОВНОГО УПРАВЛІННЯ ДЕРЖАВНОЇ СЛУЖБИ УКРАЇНИ З НАДЗВИЧАЙНИХ СИТУАЦІЙ У ВОЛИНСЬКІЙ ОБЛАСТІ</x:v>
      </x:c>
      <x:c r="C59" s="14" t="str">
        <x:v>38079323</x:v>
      </x:c>
      <x:c r="D59" s="14" t="str">
        <x:v>Блискавкозахист / заземлення</x:v>
      </x:c>
      <x:c r="E59" s="14" t="str">
        <x:v>Requalify</x:v>
      </x:c>
      <x:c r="F59" s="14" t="str">
        <x:v>I1</x:v>
      </x:c>
      <x:c r="G59" s="14" t="n">
        <x:v>81</x:v>
      </x:c>
      <x:c r="H59" s="14" t="n">
        <x:v>19</x:v>
      </x:c>
      <x:c r="I59" s="14" t="n">
        <x:v>12</x:v>
      </x:c>
      <x:c r="J59" s="18" t="n">
        <x:v>273932.42</x:v>
      </x:c>
      <x:c r="K59" s="19" t="n">
        <x:v>46217.58265238426</x:v>
      </x:c>
      <x:c r="L59" s="19" t="n">
        <x:v>46371.62321759259</x:v>
      </x:c>
      <x:c r="M59" s="15" t="str">
        <x:v>Монтаж, ремонт і перевірка надійності блискавкозахисту та замірювання опору ізоляції електромереж і електроустаткування</x:v>
      </x:c>
      <x:c r="N59" s="15" t="str">
        <x:v>https://prozorro.gov.ua/tender/UA-2026-07-14-011287-a</x:v>
      </x:c>
    </x:row>
    <x:row r="60">
      <x:c r="A60" s="14" t="n">
        <x:v>56</x:v>
      </x:c>
      <x:c r="B60" s="14" t="str">
        <x:v>АВАРІЙНО-РЯТУВАЛЬНИЙ ЗАГІН СПЕЦІАЛЬНОГО ПРИЗНАЧЕННЯ ГОЛОВНОГО УПРАВЛІННЯ ДЕРЖАВНОЇ СЛУЖБИ УКРАЇНИ З НАДЗВИЧАЙНИХ СИТУАЦІЙ У ЖИТОМИРСЬКІЙ ОБЛАСТІ</x:v>
      </x:c>
      <x:c r="C60" s="14" t="str">
        <x:v>35099609</x:v>
      </x:c>
      <x:c r="D60" s="14" t="str">
        <x:v>Блискавкозахист / заземлення</x:v>
      </x:c>
      <x:c r="E60" s="14" t="str">
        <x:v>Requalify</x:v>
      </x:c>
      <x:c r="F60" s="14" t="str">
        <x:v>I1</x:v>
      </x:c>
      <x:c r="G60" s="14" t="n">
        <x:v>81</x:v>
      </x:c>
      <x:c r="H60" s="14" t="n">
        <x:v>11</x:v>
      </x:c>
      <x:c r="I60" s="14" t="n">
        <x:v>8</x:v>
      </x:c>
      <x:c r="J60" s="18" t="n">
        <x:v>150227.13</x:v>
      </x:c>
      <x:c r="K60" s="19" t="n">
        <x:v>46227.52032413195</x:v>
      </x:c>
      <x:c r="L60" s="19" t="n">
        <x:v>46387</x:v>
      </x:c>
      <x:c r="M60" s="15" t="str">
        <x:v>Послуги перевірки надійності блискавкозахисту та замірювання опору ізоляції електромереж і електроустаткування (код послуги 4060034 - Монтаж, ремонт і перевірка надійності блискавкозахисту та замірювання опору ізоляції електромереж і електроустаткування) на об'єктах у відповідності з переліком (Додаток №1)</x:v>
      </x:c>
      <x:c r="N60" s="15" t="str">
        <x:v>https://prozorro.gov.ua/tender/UA-2026-07-24-002575-a</x:v>
      </x:c>
    </x:row>
    <x:row r="61">
      <x:c r="A61" s="14" t="n">
        <x:v>57</x:v>
      </x:c>
      <x:c r="B61" s="14" t="str">
        <x:v>1 ДЕРЖАВНИЙ ПОЖЕЖНО-РЯТУВАЛЬНИЙ ЗАГІН ГОЛОВНОГО УПРАВЛІННЯ ДЕРЖАВНОЇ СЛУЖБИ УКРАЇНИ З НАДЗВИЧАЙНИХ СИТУАЦІЙ У ВОЛИНСЬКІЙ ОБЛАСТІ</x:v>
      </x:c>
      <x:c r="C61" s="14" t="str">
        <x:v>38131220</x:v>
      </x:c>
      <x:c r="D61" s="14" t="str">
        <x:v>Блискавкозахист / заземлення</x:v>
      </x:c>
      <x:c r="E61" s="14" t="str">
        <x:v>Requalify</x:v>
      </x:c>
      <x:c r="F61" s="14" t="str">
        <x:v>I1</x:v>
      </x:c>
      <x:c r="G61" s="14" t="n">
        <x:v>81</x:v>
      </x:c>
      <x:c r="H61" s="14" t="n">
        <x:v>17</x:v>
      </x:c>
      <x:c r="I61" s="14" t="n">
        <x:v>7</x:v>
      </x:c>
      <x:c r="J61" s="18" t="n">
        <x:v>192863.06</x:v>
      </x:c>
      <x:c r="K61" s="19" t="n">
        <x:v>46252.48331174769</x:v>
      </x:c>
      <x:c r="L61" s="19" t="n">
        <x:v>46387</x:v>
      </x:c>
      <x:c r="M61" s="15" t="str">
        <x:v>Монтаж, ремонт і перевірка надійності блискавкозахисту та замірювання опору ізоляції електромереж і електроустаткування</x:v>
      </x:c>
      <x:c r="N61" s="15" t="str">
        <x:v>https://prozorro.gov.ua/tender/UA-2026-08-18-008189-a</x:v>
      </x:c>
    </x:row>
    <x:row r="62">
      <x:c r="A62" s="14" t="n">
        <x:v>58</x:v>
      </x:c>
      <x:c r="B62" s="14" t="str">
        <x:v>МПП "Агроенергосервіс"</x:v>
      </x:c>
      <x:c r="C62" s="14" t="str">
        <x:v>23628267</x:v>
      </x:c>
      <x:c r="D62" s="14" t="str">
        <x:v>Електромонтаж</x:v>
      </x:c>
      <x:c r="E62" s="14" t="str">
        <x:v>Pilot now</x:v>
      </x:c>
      <x:c r="F62" s="14" t="str">
        <x:v>I1</x:v>
      </x:c>
      <x:c r="G62" s="14" t="n">
        <x:v>81</x:v>
      </x:c>
      <x:c r="H62" s="14" t="n">
        <x:v>5</x:v>
      </x:c>
      <x:c r="I62" s="14" t="n">
        <x:v>5</x:v>
      </x:c>
      <x:c r="J62" s="18" t="n">
        <x:v>113401</x:v>
      </x:c>
      <x:c r="K62" s="19" t="n">
        <x:v>46258.40389858796</x:v>
      </x:c>
      <x:c r="L62" s="19" t="n">
        <x:v>46387.446435185186</x:v>
      </x:c>
      <x:c r="M62" s="15" t="str">
        <x:v>Електромонтажні роботи електропроводки та електроарматури укриття Калузького СБК,(ДК 021-2015-45310000-3 - Електромонтажні роботи)</x:v>
      </x:c>
      <x:c r="N62" s="15" t="str">
        <x:v>https://prozorro.gov.ua/tender/UA-2026-08-24-004736-a</x:v>
      </x:c>
    </x:row>
    <x:row r="63">
      <x:c r="A63" s="14" t="n">
        <x:v>59</x:v>
      </x:c>
      <x:c r="B63" s="14" t="str">
        <x:v>ФОП Сироїжко Катерина Вікторівна</x:v>
      </x:c>
      <x:c r="C63" s="14" t="str">
        <x:v>3575202082</x:v>
      </x:c>
      <x:c r="D63" s="14" t="str">
        <x:v>Пасивний вогнезахист</x:v>
      </x:c>
      <x:c r="E63" s="14" t="str">
        <x:v>Expansion discovery</x:v>
      </x:c>
      <x:c r="F63" s="14" t="str">
        <x:v>I1</x:v>
      </x:c>
      <x:c r="G63" s="14" t="n">
        <x:v>81</x:v>
      </x:c>
      <x:c r="H63" s="14" t="n">
        <x:v>6</x:v>
      </x:c>
      <x:c r="I63" s="14" t="n">
        <x:v>5</x:v>
      </x:c>
      <x:c r="J63" s="18" t="n">
        <x:v>446050.58999999997</x:v>
      </x:c>
      <x:c r="K63" s="19" t="n">
        <x:v>45924.54095519676</x:v>
      </x:c>
      <x:c r="L63" s="19" t="n">
        <x:v>46022</x:v>
      </x:c>
      <x:c r="M63" s="15" t="str">
        <x:v>Послуги монтажу системи блискавкозахисту</x:v>
      </x:c>
      <x:c r="N63" s="15" t="str">
        <x:v>https://prozorro.gov.ua/tender/UA-2025-09-24-012605-a</x:v>
      </x:c>
    </x:row>
    <x:row r="64">
      <x:c r="A64" s="14" t="n">
        <x:v>60</x:v>
      </x:c>
      <x:c r="B64" s="14" t="str">
        <x:v>ТОВ "ПП ВІВ"</x:v>
      </x:c>
      <x:c r="C64" s="14" t="str">
        <x:v>37323736</x:v>
      </x:c>
      <x:c r="D64" s="14" t="str">
        <x:v>Електромонтаж</x:v>
      </x:c>
      <x:c r="E64" s="14" t="str">
        <x:v>Pilot now</x:v>
      </x:c>
      <x:c r="F64" s="14" t="str">
        <x:v>I1</x:v>
      </x:c>
      <x:c r="G64" s="14" t="n">
        <x:v>81</x:v>
      </x:c>
      <x:c r="H64" s="14" t="n">
        <x:v>4</x:v>
      </x:c>
      <x:c r="I64" s="14" t="n">
        <x:v>4</x:v>
      </x:c>
      <x:c r="J64" s="18" t="n">
        <x:v>447452.4</x:v>
      </x:c>
      <x:c r="K64" s="19" t="n">
        <x:v>46224.334973287034</x:v>
      </x:c>
      <x:c r="L64" s="19" t="n">
        <x:v>46387</x:v>
      </x:c>
      <x:c r="M64" s="15" t="str">
        <x:v>Електромонтажні роботи</x:v>
      </x:c>
      <x:c r="N64" s="15" t="str">
        <x:v>https://prozorro.gov.ua/tender/UA-2026-07-21-003036-a</x:v>
      </x:c>
    </x:row>
    <x:row r="65">
      <x:c r="A65" s="14" t="n">
        <x:v>61</x:v>
      </x:c>
      <x:c r="B65" s="14" t="str">
        <x:v>ТОВАРИСТВО З ОБМЕЖЕНОЮ ВІДПОВІДАЛЬНІСТЮ "ЕКОВЕНТ-КОМПЛЕКТ"</x:v>
      </x:c>
      <x:c r="C65" s="14" t="str">
        <x:v>35089695</x:v>
      </x:c>
      <x:c r="D65" s="14" t="str">
        <x:v>HVAC / ОВіК</x:v>
      </x:c>
      <x:c r="E65" s="14" t="str">
        <x:v>Pilot now</x:v>
      </x:c>
      <x:c r="F65" s="14" t="str">
        <x:v>I1</x:v>
      </x:c>
      <x:c r="G65" s="14" t="n">
        <x:v>81</x:v>
      </x:c>
      <x:c r="H65" s="14" t="n">
        <x:v>4</x:v>
      </x:c>
      <x:c r="I65" s="14" t="n">
        <x:v>3</x:v>
      </x:c>
      <x:c r="J65" s="18" t="n">
        <x:v>184055.5</x:v>
      </x:c>
      <x:c r="K65" s="19" t="n">
        <x:v>46240.36383484954</x:v>
      </x:c>
      <x:c r="L65" s="19" t="n">
        <x:v>46387</x:v>
      </x:c>
      <x:c r="M65" s="15" t="str">
        <x:v>Роботи по монтажу систем вентиляції</x:v>
      </x:c>
      <x:c r="N65" s="15" t="str">
        <x:v>https://prozorro.gov.ua/tender/UA-2026-08-06-004132-a</x:v>
      </x:c>
    </x:row>
    <x:row r="66">
      <x:c r="A66" s="14" t="n">
        <x:v>62</x:v>
      </x:c>
      <x:c r="B66" s="14" t="str">
        <x:v>ТОВАРИСТВО З ОБМЕЖЕНОЮ ВІДПОВІДАЛЬНІСТЮ "ТЕХЕКС-ГАЗ"</x:v>
      </x:c>
      <x:c r="C66" s="14" t="str">
        <x:v>34630463</x:v>
      </x:c>
      <x:c r="D66" s="14" t="str">
        <x:v>Насосні станції</x:v>
      </x:c>
      <x:c r="E66" s="14" t="str">
        <x:v>Expansion discovery</x:v>
      </x:c>
      <x:c r="F66" s="14" t="str">
        <x:v>I1</x:v>
      </x:c>
      <x:c r="G66" s="14" t="n">
        <x:v>81</x:v>
      </x:c>
      <x:c r="H66" s="14" t="n">
        <x:v>6</x:v>
      </x:c>
      <x:c r="I66" s="14" t="n">
        <x:v>2</x:v>
      </x:c>
      <x:c r="J66" s="18" t="n">
        <x:v>86018171.82</x:v>
      </x:c>
      <x:c r="K66" s="19" t="n">
        <x:v>46149.44830994213</x:v>
      </x:c>
      <x:c r="L66" s="19" t="n">
        <x:v>46170</x:v>
      </x:c>
      <x:c r="M66" s="15" t="str">
        <x:v>Реконструкція ЗРУ-10 кВ будівлі насосної станції з підвалом (інв. № 258501) шляхом розміщення та підключення когенераційних газових установок (КГУ) за адресою: Харківська область, Лозівський р-н, сел. Краснопавлівка, вул. **********. Фундаменти (код ДК 021:2015 – 45454000-4 "Реконструкція").
</x:v>
      </x:c>
      <x:c r="N66" s="15" t="str">
        <x:v>https://prozorro.gov.ua/tender/UA-2026-05-07-008084-a</x:v>
      </x:c>
    </x:row>
    <x:row r="67">
      <x:c r="A67" s="14" t="n">
        <x:v>63</x:v>
      </x:c>
      <x:c r="B67" s="14" t="str">
        <x:v>ТОВАРИСТВО З ОБМЕЖЕНОЮ ВІДПОВІДАЛЬНІСТЮ "ГЕРБОР-ХОЛДІНГ"</x:v>
      </x:c>
      <x:c r="C67" s="14" t="str">
        <x:v>30088756</x:v>
      </x:c>
      <x:c r="D67" s="14" t="str">
        <x:v>Металоконструкції</x:v>
      </x:c>
      <x:c r="E67" s="14" t="str">
        <x:v>Expansion discovery</x:v>
      </x:c>
      <x:c r="F67" s="14" t="str">
        <x:v>I1</x:v>
      </x:c>
      <x:c r="G67" s="14" t="n">
        <x:v>81</x:v>
      </x:c>
      <x:c r="H67" s="14" t="n">
        <x:v>4</x:v>
      </x:c>
      <x:c r="I67" s="14" t="n">
        <x:v>1</x:v>
      </x:c>
      <x:c r="J67" s="18" t="n">
        <x:v>216616.6</x:v>
      </x:c>
      <x:c r="K67" s="19" t="n">
        <x:v>46251.36031866898</x:v>
      </x:c>
      <x:c r="L67" s="19" t="n">
        <x:v>46387</x:v>
      </x:c>
      <x:c r="M67" s="15" t="str">
        <x:v>Послуги з благоустрою міста: «Монтаж та встановлення металоконструкції Дошки пам’яті»</x:v>
      </x:c>
      <x:c r="N67" s="15" t="str">
        <x:v>https://prozorro.gov.ua/tender/UA-2026-08-17-003676-a</x:v>
      </x:c>
    </x:row>
    <x:row r="68">
      <x:c r="A68" s="14" t="n">
        <x:v>64</x:v>
      </x:c>
      <x:c r="B68" s="14" t="str">
        <x:v>УПРАВЛІННЯ ПОЛІЦІЇ ОХОРОНИ В ТЕРНОПІЛЬСЬКІЙ ОБЛАСТІ</x:v>
      </x:c>
      <x:c r="C68" s="14" t="str">
        <x:v>40108819</x:v>
      </x:c>
      <x:c r="D68" s="14" t="str">
        <x:v>Електромонтаж</x:v>
      </x:c>
      <x:c r="E68" s="14" t="str">
        <x:v>Pilot now</x:v>
      </x:c>
      <x:c r="F68" s="14" t="str">
        <x:v>I1</x:v>
      </x:c>
      <x:c r="G68" s="14" t="n">
        <x:v>80</x:v>
      </x:c>
      <x:c r="H68" s="14" t="n">
        <x:v>8</x:v>
      </x:c>
      <x:c r="I68" s="14" t="n">
        <x:v>6</x:v>
      </x:c>
      <x:c r="J68" s="18" t="n">
        <x:v>134681.3</x:v>
      </x:c>
      <x:c r="K68" s="19" t="n">
        <x:v>46241.52298458333</x:v>
      </x:c>
      <x:c r="L68" s="19" t="n">
        <x:v>46387</x:v>
      </x:c>
      <x:c r="M68" s="15" t="str">
        <x:v>ДК 021:2015;45310000-3 Електромонтажні роботи</x:v>
      </x:c>
      <x:c r="N68" s="15" t="str">
        <x:v>https://prozorro.gov.ua/tender/UA-2026-08-07-009701-a</x:v>
      </x:c>
    </x:row>
    <x:row r="69">
      <x:c r="A69" s="14" t="n">
        <x:v>65</x:v>
      </x:c>
      <x:c r="B69" s="14" t="str">
        <x:v>УПРАВЛІННЯ ПОЛІЦІЇ ОХОРОНИ В РІВНЕНСЬКІЙ ОБЛАСТІ</x:v>
      </x:c>
      <x:c r="C69" s="14" t="str">
        <x:v>40108908</x:v>
      </x:c>
      <x:c r="D69" s="14" t="str">
        <x:v>Електромонтаж</x:v>
      </x:c>
      <x:c r="E69" s="14" t="str">
        <x:v>Pilot now</x:v>
      </x:c>
      <x:c r="F69" s="14" t="str">
        <x:v>I1</x:v>
      </x:c>
      <x:c r="G69" s="14" t="n">
        <x:v>80</x:v>
      </x:c>
      <x:c r="H69" s="14" t="n">
        <x:v>6</x:v>
      </x:c>
      <x:c r="I69" s="14" t="n">
        <x:v>4</x:v>
      </x:c>
      <x:c r="J69" s="18" t="n">
        <x:v>168758.94</x:v>
      </x:c>
      <x:c r="K69" s="19" t="n">
        <x:v>46031.77146405093</x:v>
      </x:c>
      <x:c r="L69" s="19" t="n">
        <x:v>46022</x:v>
      </x:c>
      <x:c r="M69" s="15" t="str">
        <x:v>Послуги з монтажу системи пожежної сигналізації</x:v>
      </x:c>
      <x:c r="N69" s="15" t="str">
        <x:v>https://prozorro.gov.ua/tender/UA-2026-01-09-008593-a</x:v>
      </x:c>
    </x:row>
    <x:row r="70">
      <x:c r="A70" s="14" t="n">
        <x:v>66</x:v>
      </x:c>
      <x:c r="B70" s="14" t="str">
        <x:v>ТОВАРИСТВО З ОБМЕЖЕНОЮ ВІД­ПО­ВІД­АЛЬ­НІ­СТЮ «ГА­ЗО­РОЗ­ПО­ДІЛЬ­НІ МЕРЕЖІ УКРАЇНИ»</x:v>
      </x:c>
      <x:c r="C70" s="14" t="str">
        <x:v>44907200</x:v>
      </x:c>
      <x:c r="D70" s="14" t="str">
        <x:v>Газові мережі</x:v>
      </x:c>
      <x:c r="E70" s="14" t="str">
        <x:v>Expansion discovery</x:v>
      </x:c>
      <x:c r="F70" s="14" t="str">
        <x:v>I1</x:v>
      </x:c>
      <x:c r="G70" s="14" t="n">
        <x:v>80</x:v>
      </x:c>
      <x:c r="H70" s="14" t="n">
        <x:v>3</x:v>
      </x:c>
      <x:c r="I70" s="14" t="n">
        <x:v>3</x:v>
      </x:c>
      <x:c r="J70" s="18" t="n">
        <x:v>1174771.06</x:v>
      </x:c>
      <x:c r="K70" s="19" t="n">
        <x:v>46240.22657821759</x:v>
      </x:c>
      <x:c r="L70" s="19" t="n">
        <x:v>46387.916655092595</x:v>
      </x:c>
      <x:c r="M70"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x:v>
      </x:c>
      <x:c r="N70" s="15" t="str">
        <x:v>https://prozorro.gov.ua/tender/UA-2026-08-06-000198-a</x:v>
      </x:c>
    </x:row>
    <x:row r="71">
      <x:c r="A71" s="14" t="n">
        <x:v>67</x:v>
      </x:c>
      <x:c r="B71" s="14" t="str">
        <x:v>ТОВАРИСТВО З ОБМЕЖЕНОЮ ВІДПОВІДАЛЬНІСТЮ "ЕПІЦЕНТР К"</x:v>
      </x:c>
      <x:c r="C71" s="14" t="str">
        <x:v>32490244</x:v>
      </x:c>
      <x:c r="D71" s="14" t="str">
        <x:v>Покрівлі та гідроізоляція</x:v>
      </x:c>
      <x:c r="E71" s="14" t="str">
        <x:v>Expansion discovery</x:v>
      </x:c>
      <x:c r="F71" s="14" t="str">
        <x:v>I1</x:v>
      </x:c>
      <x:c r="G71" s="14" t="n">
        <x:v>80</x:v>
      </x:c>
      <x:c r="H71" s="14" t="n">
        <x:v>6</x:v>
      </x:c>
      <x:c r="I71" s="14" t="n">
        <x:v>2</x:v>
      </x:c>
      <x:c r="J71" s="18" t="n">
        <x:v>59298.92</x:v>
      </x:c>
      <x:c r="K71" s="19" t="n">
        <x:v>46230.248755243054</x:v>
      </x:c>
      <x:c r="L71" s="19" t="n">
        <x:v>46387</x:v>
      </x:c>
      <x:c r="M71" s="15" t="str">
        <x:v>Матеріали для проведення ремонтних робіт господарським способом (Клей для плитки, Суміш гідроізоляційна )</x:v>
      </x:c>
      <x:c r="N71" s="15" t="str">
        <x:v>https://prozorro.gov.ua/tender/UA-2026-07-23-003074-a</x:v>
      </x:c>
    </x:row>
    <x:row r="72">
      <x:c r="A72" s="14" t="n">
        <x:v>68</x:v>
      </x:c>
      <x:c r="B72" s="14" t="str">
        <x:v>ПРИВАТНЕ ПІДПРИЄМСТВО "ПОЖЕЖНИЙ СЕРВІС"</x:v>
      </x:c>
      <x:c r="C72" s="14" t="str">
        <x:v>42324108</x:v>
      </x:c>
      <x:c r="D72" s="14" t="str">
        <x:v>Пожежогасіння</x:v>
      </x:c>
      <x:c r="E72" s="14" t="str">
        <x:v>Expansion discovery</x:v>
      </x:c>
      <x:c r="F72" s="14" t="str">
        <x:v>I1</x:v>
      </x:c>
      <x:c r="G72" s="14" t="n">
        <x:v>79</x:v>
      </x:c>
      <x:c r="H72" s="14" t="n">
        <x:v>5</x:v>
      </x:c>
      <x:c r="I72" s="14" t="n">
        <x:v>5</x:v>
      </x:c>
      <x:c r="J72" s="18" t="n">
        <x:v>1435958.64</x:v>
      </x:c>
      <x:c r="K72" s="19" t="n">
        <x:v>46203.31821943287</x:v>
      </x:c>
      <x:c r="L72" s="19" t="n">
        <x:v>46356</x:v>
      </x:c>
      <x:c r="M72"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x:v>
      </x:c>
      <x:c r="N72" s="15" t="str">
        <x:v>https://prozorro.gov.ua/tender/UA-2026-06-30-002541-a</x:v>
      </x:c>
    </x:row>
    <x:row r="73">
      <x:c r="A73" s="14" t="n">
        <x:v>69</x:v>
      </x:c>
      <x:c r="B73" s="14" t="str">
        <x:v>ПРИВАТНЕ ПІДПРИЄМСТВО "ГРІН ТАУН"</x:v>
      </x:c>
      <x:c r="C73" s="14" t="str">
        <x:v>43281170</x:v>
      </x:c>
      <x:c r="D73" s="14" t="str">
        <x:v>Благоустрій</x:v>
      </x:c>
      <x:c r="E73" s="14" t="str">
        <x:v>Expansion discovery</x:v>
      </x:c>
      <x:c r="F73" s="14" t="str">
        <x:v>I1</x:v>
      </x:c>
      <x:c r="G73" s="14" t="n">
        <x:v>79</x:v>
      </x:c>
      <x:c r="H73" s="14" t="n">
        <x:v>15</x:v>
      </x:c>
      <x:c r="I73" s="14" t="n">
        <x:v>1</x:v>
      </x:c>
      <x:c r="J73" s="18" t="n">
        <x:v>19213823</x:v>
      </x:c>
      <x:c r="K73" s="19" t="n">
        <x:v>46045.608558125</x:v>
      </x:c>
      <x:c r="L73" s="19" t="n">
        <x:v>46265</x:v>
      </x:c>
      <x:c r="M73"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x:v>
      </x:c>
      <x:c r="N73" s="15" t="str">
        <x:v>https://prozorro.gov.ua/tender/UA-2026-01-15-000258-a</x:v>
      </x:c>
    </x:row>
    <x:row r="74">
      <x:c r="A74" s="14" t="n">
        <x:v>70</x:v>
      </x:c>
      <x:c r="B74" s="14" t="str">
        <x:v>ТОВАРИСТВО З ОБМЕЖЕНОЮ ВІДПОВІДАЛЬНІСТЮ "БУДІВЕЛЬНА КОМПАНІЯ "АСКОН"</x:v>
      </x:c>
      <x:c r="C74" s="14" t="str">
        <x:v>40981378</x:v>
      </x:c>
      <x:c r="D74" s="14" t="str">
        <x:v>Ремонт і підсилення бетону</x:v>
      </x:c>
      <x:c r="E74" s="14" t="str">
        <x:v>Expansion discovery</x:v>
      </x:c>
      <x:c r="F74" s="14" t="str">
        <x:v>I1</x:v>
      </x:c>
      <x:c r="G74" s="14" t="n">
        <x:v>79</x:v>
      </x:c>
      <x:c r="H74" s="14" t="n">
        <x:v>5</x:v>
      </x:c>
      <x:c r="I74" s="14" t="n">
        <x:v>1</x:v>
      </x:c>
      <x:c r="J74" s="18" t="n">
        <x:v>11477794.8</x:v>
      </x:c>
      <x:c r="K74" s="19" t="n">
        <x:v>46120.25809859954</x:v>
      </x:c>
      <x:c r="L74" s="19" t="n">
        <x:v>46173</x:v>
      </x:c>
      <x:c r="M74"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x:v>
      </x:c>
      <x:c r="N74" s="15" t="str">
        <x:v>https://prozorro.gov.ua/tender/UA-2026-04-08-000612-a</x:v>
      </x:c>
    </x:row>
    <x:row r="75">
      <x:c r="A75" s="14" t="n">
        <x:v>71</x:v>
      </x:c>
      <x:c r="B75" s="14" t="str">
        <x:v>Управління поліції охорони в Одеській області</x:v>
      </x:c>
      <x:c r="C75" s="14" t="str">
        <x:v>40108934</x:v>
      </x:c>
      <x:c r="D75" s="14" t="str">
        <x:v>Електромонтаж</x:v>
      </x:c>
      <x:c r="E75" s="14" t="str">
        <x:v>Pilot now</x:v>
      </x:c>
      <x:c r="F75" s="14" t="str">
        <x:v>I1</x:v>
      </x:c>
      <x:c r="G75" s="14" t="n">
        <x:v>78</x:v>
      </x:c>
      <x:c r="H75" s="14" t="n">
        <x:v>13</x:v>
      </x:c>
      <x:c r="I75" s="14" t="n">
        <x:v>12</x:v>
      </x:c>
      <x:c r="J75" s="18" t="n">
        <x:v>231183.00000000003</x:v>
      </x:c>
      <x:c r="K75" s="19" t="n">
        <x:v>46186.411788136575</x:v>
      </x:c>
      <x:c r="L75" s="19" t="n">
        <x:v>46387</x:v>
      </x:c>
      <x:c r="M75" s="15" t="str">
        <x:v>Монтаж та комплекс пусконалагоджувальних робіт системи охоронно-тривожної сигналізації 45310000-3 Електромонтажні роботи</x:v>
      </x:c>
      <x:c r="N75" s="15" t="str">
        <x:v>https://prozorro.gov.ua/tender/UA-2026-06-13-000282-a</x:v>
      </x:c>
    </x:row>
    <x:row r="76">
      <x:c r="A76" s="14" t="n">
        <x:v>72</x:v>
      </x:c>
      <x:c r="B76" s="14" t="str">
        <x:v>Фізична особа підприємець Лісовий Анатолій Миколайович</x:v>
      </x:c>
      <x:c r="C76" s="14" t="str">
        <x:v>2273504439</x:v>
      </x:c>
      <x:c r="D76" s="14" t="str">
        <x:v>Пасивний вогнезахист</x:v>
      </x:c>
      <x:c r="E76" s="14" t="str">
        <x:v>Expansion discovery</x:v>
      </x:c>
      <x:c r="F76" s="14" t="str">
        <x:v>I1</x:v>
      </x:c>
      <x:c r="G76" s="14" t="n">
        <x:v>78</x:v>
      </x:c>
      <x:c r="H76" s="14" t="n">
        <x:v>5</x:v>
      </x:c>
      <x:c r="I76" s="14" t="n">
        <x:v>5</x:v>
      </x:c>
      <x:c r="J76" s="18" t="n">
        <x:v>382556</x:v>
      </x:c>
      <x:c r="K76" s="19" t="n">
        <x:v>46219.64207666666</x:v>
      </x:c>
      <x:c r="L76" s="19" t="n">
        <x:v>46387.68547453704</x:v>
      </x:c>
      <x:c r="M76" s="15" t="str">
        <x:v>Послуги з вогнезахисної обробки дерев*яних конструкцій горища на об*єкті: Сошниківський ліцей (3 будівлі окремостоячі)</x:v>
      </x:c>
      <x:c r="N76" s="15" t="str">
        <x:v>https://prozorro.gov.ua/tender/UA-2026-07-16-010389-a</x:v>
      </x:c>
    </x:row>
    <x:row r="77">
      <x:c r="A77" s="14" t="n">
        <x:v>73</x:v>
      </x:c>
      <x:c r="B77" s="14" t="str">
        <x:v>ФОП Яковлева Олена Юріївна</x:v>
      </x:c>
      <x:c r="C77" s="14" t="str">
        <x:v>3224411667</x:v>
      </x:c>
      <x:c r="D77" s="14" t="str">
        <x:v>Електромонтаж</x:v>
      </x:c>
      <x:c r="E77" s="14" t="str">
        <x:v>Pilot now</x:v>
      </x:c>
      <x:c r="F77" s="14" t="str">
        <x:v>I1</x:v>
      </x:c>
      <x:c r="G77" s="14" t="n">
        <x:v>78</x:v>
      </x:c>
      <x:c r="H77" s="14" t="n">
        <x:v>5</x:v>
      </x:c>
      <x:c r="I77" s="14" t="n">
        <x:v>4</x:v>
      </x:c>
      <x:c r="J77" s="18" t="n">
        <x:v>303559.2</x:v>
      </x:c>
      <x:c r="K77" s="19" t="n">
        <x:v>46244.46695519676</x:v>
      </x:c>
      <x:c r="L77" s="19" t="n">
        <x:v>46266.437002314815</x:v>
      </x:c>
      <x:c r="M77"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x:v>
      </x:c>
      <x:c r="N77" s="15" t="str">
        <x:v>https://prozorro.gov.ua/tender/UA-2026-08-10-005395-a</x:v>
      </x:c>
    </x:row>
    <x:row r="78">
      <x:c r="A78" s="14" t="n">
        <x:v>74</x:v>
      </x:c>
      <x:c r="B78" s="14" t="str">
        <x:v>ТОВ МІСТОСПЕЦБУДРОЕКТ</x:v>
      </x:c>
      <x:c r="C78" s="14" t="str">
        <x:v>45342931</x:v>
      </x:c>
      <x:c r="D78" s="14" t="str">
        <x:v>Зовнішні мережі</x:v>
      </x:c>
      <x:c r="E78" s="14" t="str">
        <x:v>Expansion discovery</x:v>
      </x:c>
      <x:c r="F78" s="14" t="str">
        <x:v>I1</x:v>
      </x:c>
      <x:c r="G78" s="14" t="n">
        <x:v>78</x:v>
      </x:c>
      <x:c r="H78" s="14" t="n">
        <x:v>4</x:v>
      </x:c>
      <x:c r="I78" s="14" t="n">
        <x:v>2</x:v>
      </x:c>
      <x:c r="J78" s="18" t="n">
        <x:v>56049871.28</x:v>
      </x:c>
      <x:c r="K78" s="19" t="n">
        <x:v>45954.345291840276</x:v>
      </x:c>
      <x:c r="L78" s="19" t="n">
        <x:v>46233</x:v>
      </x:c>
      <x:c r="M78"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водопостачання та водовідведення»</x:v>
      </x:c>
      <x:c r="N78" s="15" t="str">
        <x:v>https://prozorro.gov.ua/tender/UA-2025-10-03-005375-a</x:v>
      </x:c>
    </x:row>
    <x:row r="79">
      <x:c r="A79" s="14" t="n">
        <x:v>75</x:v>
      </x:c>
      <x:c r="B79" s="14" t="str">
        <x:v>ТОВАРИСТВО З ОБМЕЖЕНОЮ ВІДПОВІДАЛЬНІСТЮ "БУДІВЕЛЬНА КОМПАНІЯ "МІСТОБУДІВНИК"</x:v>
      </x:c>
      <x:c r="C79" s="14" t="str">
        <x:v>42593196</x:v>
      </x:c>
      <x:c r="D79" s="14" t="str">
        <x:v>Газопостачання / котельні</x:v>
      </x:c>
      <x:c r="E79" s="14" t="str">
        <x:v>Expansion discovery</x:v>
      </x:c>
      <x:c r="F79" s="14" t="str">
        <x:v>I1</x:v>
      </x:c>
      <x:c r="G79" s="14" t="n">
        <x:v>78</x:v>
      </x:c>
      <x:c r="H79" s="14" t="n">
        <x:v>2</x:v>
      </x:c>
      <x:c r="I79" s="14" t="n">
        <x:v>2</x:v>
      </x:c>
      <x:c r="J79" s="18" t="n">
        <x:v>16966547.87</x:v>
      </x:c>
      <x:c r="K79" s="19" t="n">
        <x:v>46255.331701828705</x:v>
      </x:c>
      <x:c r="L79" s="19" t="n">
        <x:v>46387</x:v>
      </x:c>
      <x:c r="M79"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x:v>
      </x:c>
      <x:c r="N79" s="15" t="str">
        <x:v>https://prozorro.gov.ua/tender/UA-2026-08-21-003258-a</x:v>
      </x:c>
    </x:row>
    <x:row r="80">
      <x:c r="A80" s="14" t="n">
        <x:v>76</x:v>
      </x:c>
      <x:c r="B80" s="14" t="str">
        <x:v>ТОВАРИСТВО З ОБМЕЖЕНОЮ ВІДПОВІДАЛЬНІСТЮ "ЗАВОД ЄВРОФОРМАТ"</x:v>
      </x:c>
      <x:c r="C80" s="14" t="str">
        <x:v>31724919</x:v>
      </x:c>
      <x:c r="D80" s="14" t="str">
        <x:v>Ліфти та підйомники</x:v>
      </x:c>
      <x:c r="E80" s="14" t="str">
        <x:v>Expansion discovery</x:v>
      </x:c>
      <x:c r="F80" s="14" t="str">
        <x:v>I1</x:v>
      </x:c>
      <x:c r="G80" s="14" t="n">
        <x:v>78</x:v>
      </x:c>
      <x:c r="H80" s="14" t="n">
        <x:v>2</x:v>
      </x:c>
      <x:c r="I80" s="14" t="n">
        <x:v>2</x:v>
      </x:c>
      <x:c r="J80" s="18" t="n">
        <x:v>12550734.34</x:v>
      </x:c>
      <x:c r="K80" s="19" t="n">
        <x:v>46220.55030538194</x:v>
      </x:c>
      <x:c r="L80" s="19" t="n">
        <x:v>46382</x:v>
      </x:c>
      <x:c r="M80"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x:v>
      </x:c>
      <x:c r="N80" s="15" t="str">
        <x:v>https://prozorro.gov.ua/tender/UA-2026-06-19-007993-a</x:v>
      </x:c>
    </x:row>
    <x:row r="81">
      <x:c r="A81" s="14" t="n">
        <x:v>77</x:v>
      </x:c>
      <x:c r="B81" s="14" t="str">
        <x:v>ТОВАРИСТВО З ОБМЕЖЕНОЮ ВІДПОВІДАЛЬНІСТЮ "ШЛЯХБУДСЕРВІС - Д"</x:v>
      </x:c>
      <x:c r="C81" s="14" t="str">
        <x:v>03580920</x:v>
      </x:c>
      <x:c r="D81" s="14" t="str">
        <x:v>Зовнішні мережі</x:v>
      </x:c>
      <x:c r="E81" s="14" t="str">
        <x:v>Expansion discovery</x:v>
      </x:c>
      <x:c r="F81" s="14" t="str">
        <x:v>I1</x:v>
      </x:c>
      <x:c r="G81" s="14" t="n">
        <x:v>78</x:v>
      </x:c>
      <x:c r="H81" s="14" t="n">
        <x:v>2</x:v>
      </x:c>
      <x:c r="I81" s="14" t="n">
        <x:v>2</x:v>
      </x:c>
      <x:c r="J81" s="18" t="n">
        <x:v>24046028</x:v>
      </x:c>
      <x:c r="K81" s="19" t="n">
        <x:v>46253.45096638889</x:v>
      </x:c>
      <x:c r="L81" s="19" t="n">
        <x:v>46752.58230324074</x:v>
      </x:c>
      <x:c r="M81" s="15" t="str">
        <x:v>«Нове будівництво каналізаційного колектора по вул. Черемшини в с. Сокільники Львівського району Львівської області» (коригування) (Код ДК 021:2015: 45232400-6 — Будівництво каналізаційних колекторів)</x:v>
      </x:c>
      <x:c r="N81" s="15" t="str">
        <x:v>https://prozorro.gov.ua/tender/UA-2026-07-27-009075-a</x:v>
      </x:c>
    </x:row>
    <x:row r="82">
      <x:c r="A82" s="14" t="n">
        <x:v>78</x:v>
      </x:c>
      <x:c r="B82" s="14" t="str">
        <x:v>Товариство з обмеженою відповідальністю «БК АШЕР»</x:v>
      </x:c>
      <x:c r="C82" s="14" t="str">
        <x:v>45800665</x:v>
      </x:c>
      <x:c r="D82" s="14" t="str">
        <x:v>Дорожні роботи</x:v>
      </x:c>
      <x:c r="E82" s="14" t="str">
        <x:v>Expansion discovery</x:v>
      </x:c>
      <x:c r="F82" s="14" t="str">
        <x:v>I1</x:v>
      </x:c>
      <x:c r="G82" s="14" t="n">
        <x:v>78</x:v>
      </x:c>
      <x:c r="H82" s="14" t="n">
        <x:v>2</x:v>
      </x:c>
      <x:c r="I82" s="14" t="n">
        <x:v>2</x:v>
      </x:c>
      <x:c r="J82" s="18" t="n">
        <x:v>17222862.4</x:v>
      </x:c>
      <x:c r="K82" s="19" t="n">
        <x:v>46231.51664258102</x:v>
      </x:c>
      <x:c r="L82" s="19" t="n">
        <x:v>46387</x:v>
      </x:c>
      <x:c r="M82" s="15" t="str">
        <x:v>Капітальний ремонт дорожнього покриття (частково) по вулиці Благовіщенській міста Валки Богодухівського району Харківської області</x:v>
      </x:c>
      <x:c r="N82" s="15" t="str">
        <x:v>https://prozorro.gov.ua/tender/UA-2026-07-07-005091-a</x:v>
      </x:c>
    </x:row>
    <x:row r="83">
      <x:c r="A83" s="14" t="n">
        <x:v>79</x:v>
      </x:c>
      <x:c r="B83" s="14" t="str">
        <x:v>ПрАТ Юженергобуд</x:v>
      </x:c>
      <x:c r="C83" s="14" t="str">
        <x:v>04630809</x:v>
      </x:c>
      <x:c r="D83" s="14" t="str">
        <x:v>Покрівлі та гідроізоляція</x:v>
      </x:c>
      <x:c r="E83" s="14" t="str">
        <x:v>Expansion discovery</x:v>
      </x:c>
      <x:c r="F83" s="14" t="str">
        <x:v>I1</x:v>
      </x:c>
      <x:c r="G83" s="14" t="n">
        <x:v>78</x:v>
      </x:c>
      <x:c r="H83" s="14" t="n">
        <x:v>3</x:v>
      </x:c>
      <x:c r="I83" s="14" t="n">
        <x:v>1</x:v>
      </x:c>
      <x:c r="J83" s="18" t="n">
        <x:v>68742978.66</x:v>
      </x:c>
      <x:c r="K83" s="19" t="n">
        <x:v>46233.463287847226</x:v>
      </x:c>
      <x:c r="L83" s="19" t="n">
        <x:v>46377</x:v>
      </x:c>
      <x:c r="M83" s="15" t="str">
        <x:v>Код CPV 45260000-7 по ДК 021:2015 Покрівельні роботи та інші спеціалізовані будівельні роботи (Поточний ремонт технологічних естакад трубопроводів та антикорозійний захист металоконструкцій). РПЗ - 2.23</x:v>
      </x:c>
      <x:c r="N83" s="15" t="str">
        <x:v>https://prozorro.gov.ua/tender/UA-2026-06-30-000754-a</x:v>
      </x:c>
    </x:row>
    <x:row r="84">
      <x:c r="A84" s="14" t="n">
        <x:v>80</x:v>
      </x:c>
      <x:c r="B84" s="14" t="str">
        <x:v>ПРИВАТНЕ ПІДПРИЄМСТВО "ВЛАДІКОС"</x:v>
      </x:c>
      <x:c r="C84" s="14" t="str">
        <x:v>34689669</x:v>
      </x:c>
      <x:c r="D84" s="14" t="str">
        <x:v>Залізнична інфраструктура</x:v>
      </x:c>
      <x:c r="E84" s="14" t="str">
        <x:v>Expansion discovery</x:v>
      </x:c>
      <x:c r="F84" s="14" t="str">
        <x:v>I1</x:v>
      </x:c>
      <x:c r="G84" s="14" t="n">
        <x:v>78</x:v>
      </x:c>
      <x:c r="H84" s="14" t="n">
        <x:v>2</x:v>
      </x:c>
      <x:c r="I84" s="14" t="n">
        <x:v>1</x:v>
      </x:c>
      <x:c r="J84" s="18" t="n">
        <x:v>11781946.16</x:v>
      </x:c>
      <x:c r="K84" s="19" t="n">
        <x:v>46227.49484383102</x:v>
      </x:c>
      <x:c r="L84" s="19" t="n">
        <x:v>46356.57748842592</x:v>
      </x:c>
      <x:c r="M84" s="15" t="str">
        <x:v>ДП "СхідГЗК".   Поточний ремонт залізничних колій ЗЦ Інгульської шахти ПК110+15 - ПК141</x:v>
      </x:c>
      <x:c r="N84" s="15" t="str">
        <x:v>https://prozorro.gov.ua/tender/UA-2026-07-10-009539-a</x:v>
      </x:c>
    </x:row>
    <x:row r="85">
      <x:c r="A85" s="14" t="n">
        <x:v>81</x:v>
      </x:c>
      <x:c r="B85" s="14" t="str">
        <x:v>ФІРМА "МИР" - ТОВАРИСТВО З ОБМЕЖЕНОЮ ВІДПОВІДАЛЬНІСТЮ</x:v>
      </x:c>
      <x:c r="C85" s="14" t="str">
        <x:v>23470569</x:v>
      </x:c>
      <x:c r="D85" s="14" t="str">
        <x:v>Теплові мережі</x:v>
      </x:c>
      <x:c r="E85" s="14" t="str">
        <x:v>Expansion discovery</x:v>
      </x:c>
      <x:c r="F85" s="14" t="str">
        <x:v>I1</x:v>
      </x:c>
      <x:c r="G85" s="14" t="n">
        <x:v>78</x:v>
      </x:c>
      <x:c r="H85" s="14" t="n">
        <x:v>4</x:v>
      </x:c>
      <x:c r="I85" s="14" t="n">
        <x:v>1</x:v>
      </x:c>
      <x:c r="J85" s="18" t="n">
        <x:v>8980130.43</x:v>
      </x:c>
      <x:c r="K85" s="19" t="n">
        <x:v>46115.44907444444</x:v>
      </x:c>
      <x:c r="L85" s="19" t="n">
        <x:v>46188</x:v>
      </x:c>
      <x:c r="M85" s="15" t="str">
        <x:v>«Реконструкція РП-6 кВ головної насосної станції (інв. № 723) шляхом розміщення та підключення когенераційних газопоршневих установок (КГПУ) за адресою: м. Харків, вул. *** (КП «ХАРКІВВОДОКАНАЛ»). Коригування. Реконструкція комірок 18, 22, 10. (код ДК 021:2015 - 45454000-4 – Реконструкція)</x:v>
      </x:c>
      <x:c r="N85" s="15" t="str">
        <x:v>https://prozorro.gov.ua/tender/UA-2026-04-03-007526-a</x:v>
      </x:c>
    </x:row>
    <x:row r="86">
      <x:c r="A86" s="14" t="n">
        <x:v>82</x:v>
      </x:c>
      <x:c r="B86" s="14" t="str">
        <x:v>ТОВАРИСТВО З ОБМЕЖЕНОЮ ВІД­ПО­ВІД­АЛЬ­НІ­СТЮ «РУБІКОН УКРАЇНА»</x:v>
      </x:c>
      <x:c r="C86" s="14" t="str">
        <x:v>44966837</x:v>
      </x:c>
      <x:c r="D86" s="14" t="str">
        <x:v>Електромонтаж</x:v>
      </x:c>
      <x:c r="E86" s="14" t="str">
        <x:v>Pilot now</x:v>
      </x:c>
      <x:c r="F86" s="14" t="str">
        <x:v>I1</x:v>
      </x:c>
      <x:c r="G86" s="14" t="n">
        <x:v>77</x:v>
      </x:c>
      <x:c r="H86" s="14" t="n">
        <x:v>9</x:v>
      </x:c>
      <x:c r="I86" s="14" t="n">
        <x:v>9</x:v>
      </x:c>
      <x:c r="J86" s="18" t="n">
        <x:v>58000</x:v>
      </x:c>
      <x:c r="K86" s="19" t="n">
        <x:v>46213.52580490741</x:v>
      </x:c>
      <x:c r="L86" s="19" t="n">
        <x:v>46387</x:v>
      </x:c>
      <x:c r="M86" s="15" t="str">
        <x:v>Електромонтажні роботи</x:v>
      </x:c>
      <x:c r="N86" s="15" t="str">
        <x:v>https://prozorro.gov.ua/tender/UA-2026-07-10-009308-a</x:v>
      </x:c>
    </x:row>
    <x:row r="87">
      <x:c r="A87" s="14" t="n">
        <x:v>83</x:v>
      </x:c>
      <x:c r="B87" s="14" t="str">
        <x:v>АВАРІЙНО-РЯТУВАЛЬНИЙ ЗАГІН СПЕЦІАЛЬНОГО ПРИЗНАЧЕННЯ ГОЛОВНОГО УПРАВЛІННЯ ДЕРЖАВНОЇ СЛУЖБИ УКРАЇНИ З НАДЗВИЧАЙНИХ СИТУАЦІЙ У ХМЕЛЬНИЦЬКІЙ ОБЛАСТІ (АРЗ СП ГУ ДСНС УКРАЇНИ У ХМЕЛЬНИЦЬКІЙ ОБЛАСТІ)</x:v>
      </x:c>
      <x:c r="C87" s="14" t="str">
        <x:v>23312469</x:v>
      </x:c>
      <x:c r="D87" s="14" t="str">
        <x:v>Блискавкозахист / заземлення</x:v>
      </x:c>
      <x:c r="E87" s="14" t="str">
        <x:v>Requalify</x:v>
      </x:c>
      <x:c r="F87" s="14" t="str">
        <x:v>I1</x:v>
      </x:c>
      <x:c r="G87" s="14" t="n">
        <x:v>77</x:v>
      </x:c>
      <x:c r="H87" s="14" t="n">
        <x:v>6</x:v>
      </x:c>
      <x:c r="I87" s="14" t="n">
        <x:v>5</x:v>
      </x:c>
      <x:c r="J87" s="18" t="n">
        <x:v>88646.12</x:v>
      </x:c>
      <x:c r="K87" s="19" t="n">
        <x:v>46240.24186371528</x:v>
      </x:c>
      <x:c r="L87" s="19" t="n">
        <x:v>46387</x:v>
      </x:c>
      <x:c r="M87" s="15" t="str">
        <x:v>ДК 021:2015 71630000-3 Послуги з технічного огляду та випробувань (монтаж, ремонт і перевірка надійності блискавкозахисту та замірування опору ізоляції електромереж у електроустаткувань)</x:v>
      </x:c>
      <x:c r="N87" s="15" t="str">
        <x:v>https://prozorro.gov.ua/tender/UA-2026-08-06-000352-a</x:v>
      </x:c>
    </x:row>
    <x:row r="88">
      <x:c r="A88" s="14" t="n">
        <x:v>84</x:v>
      </x:c>
      <x:c r="B88" s="14" t="str">
        <x:v>ТОВ "МЕРЕЖА М"</x:v>
      </x:c>
      <x:c r="C88" s="14" t="str">
        <x:v>33873646</x:v>
      </x:c>
      <x:c r="D88" s="14" t="str">
        <x:v>Металоконструкції</x:v>
      </x:c>
      <x:c r="E88" s="14" t="str">
        <x:v>Expansion discovery</x:v>
      </x:c>
      <x:c r="F88" s="14" t="str">
        <x:v>I1</x:v>
      </x:c>
      <x:c r="G88" s="14" t="n">
        <x:v>77</x:v>
      </x:c>
      <x:c r="H88" s="14" t="n">
        <x:v>5</x:v>
      </x:c>
      <x:c r="I88" s="14" t="n">
        <x:v>1</x:v>
      </x:c>
      <x:c r="J88" s="18" t="n">
        <x:v>33600</x:v>
      </x:c>
      <x:c r="K88" s="19" t="n">
        <x:v>46246.49559135416</x:v>
      </x:c>
      <x:c r="L88" s="19" t="n">
        <x:v>46275.483773148146</x:v>
      </x:c>
      <x:c r="M88" s="15" t="str">
        <x:v>монтаж металоконструкцій з двосторонніми інформаційними стендами, код ДК 021-2015: 45220000-5 Інженерні та будівельні роботи</x:v>
      </x:c>
      <x:c r="N88" s="15" t="str">
        <x:v>https://prozorro.gov.ua/tender/UA-2026-08-12-007416-a</x:v>
      </x:c>
    </x:row>
    <x:row r="89">
      <x:c r="A89" s="14" t="n">
        <x:v>85</x:v>
      </x:c>
      <x:c r="B89" s="14" t="str">
        <x:v>ТОВ "ОПАЛ"</x:v>
      </x:c>
      <x:c r="C89" s="14" t="str">
        <x:v>22346348</x:v>
      </x:c>
      <x:c r="D89" s="14" t="str">
        <x:v>Сонячна енергетика</x:v>
      </x:c>
      <x:c r="E89" s="14" t="str">
        <x:v>Expansion discovery</x:v>
      </x:c>
      <x:c r="F89" s="14" t="str">
        <x:v>I1</x:v>
      </x:c>
      <x:c r="G89" s="14" t="n">
        <x:v>77</x:v>
      </x:c>
      <x:c r="H89" s="14" t="n">
        <x:v>3</x:v>
      </x:c>
      <x:c r="I89" s="14" t="n">
        <x:v>1</x:v>
      </x:c>
      <x:c r="J89" s="18" t="n">
        <x:v>2544900</x:v>
      </x:c>
      <x:c r="K89" s="19" t="n">
        <x:v>46219.47636990741</x:v>
      </x:c>
      <x:c r="L89" s="19" t="n">
        <x:v>46265</x:v>
      </x:c>
      <x:c r="M89"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89" s="15" t="str">
        <x:v>https://prozorro.gov.ua/tender/UA-2026-06-23-009106-a</x:v>
      </x:c>
    </x:row>
    <x:row r="90">
      <x:c r="A90" s="14" t="n">
        <x:v>86</x:v>
      </x:c>
      <x:c r="B90" s="14" t="str">
        <x:v>ТОВ "ПБВ-ЕЛЕКТРО"</x:v>
      </x:c>
      <x:c r="C90" s="14" t="str">
        <x:v>37037256</x:v>
      </x:c>
      <x:c r="D90" s="14" t="str">
        <x:v>Стиснене повітря / компресорні</x:v>
      </x:c>
      <x:c r="E90" s="14" t="str">
        <x:v>Expansion discovery</x:v>
      </x:c>
      <x:c r="F90" s="14" t="str">
        <x:v>I1</x:v>
      </x:c>
      <x:c r="G90" s="14" t="n">
        <x:v>77</x:v>
      </x:c>
      <x:c r="H90" s="14" t="n">
        <x:v>2</x:v>
      </x:c>
      <x:c r="I90" s="14" t="n">
        <x:v>0</x:v>
      </x:c>
      <x:c r="J90" s="18" t="n">
        <x:v>3628900</x:v>
      </x:c>
      <x:c r="K90" s="19" t="n">
        <x:v>46251.574391435184</x:v>
      </x:c>
      <x:c r="L90" s="19" t="n">
        <x:v>46256</x:v>
      </x:c>
      <x:c r="M90" s="15" t="str">
        <x:v>Монтаж системи блискавкозахисту на об'єкті: Могилівський ліцей ім. І.М.Шишканя Могилівської сільської ради за адресою: Дніпропетровська область, с. Могилів, вул. Костичева, 1-А (за кодом ДК 021:2015: 45310000-3: Електромонтажні роботи)
</x:v>
      </x:c>
      <x:c r="N90" s="15" t="str">
        <x:v>https://prozorro.gov.ua/tender/UA-2026-07-22-009800-a</x:v>
      </x:c>
    </x:row>
    <x:row r="91">
      <x:c r="A91" s="14" t="n">
        <x:v>87</x:v>
      </x:c>
      <x:c r="B91" s="14" t="str">
        <x:v>СААКЯН РОМІК РАЗМІКОВИЧ</x:v>
      </x:c>
      <x:c r="C91" s="14" t="str">
        <x:v>2605919656</x:v>
      </x:c>
      <x:c r="D91" s="14" t="str">
        <x:v>Мости / інфраструктура</x:v>
      </x:c>
      <x:c r="E91" s="14" t="str">
        <x:v>Expansion discovery</x:v>
      </x:c>
      <x:c r="F91" s="14" t="str">
        <x:v>I1</x:v>
      </x:c>
      <x:c r="G91" s="14" t="n">
        <x:v>76</x:v>
      </x:c>
      <x:c r="H91" s="14" t="n">
        <x:v>4</x:v>
      </x:c>
      <x:c r="I91" s="14" t="n">
        <x:v>4</x:v>
      </x:c>
      <x:c r="J91" s="18" t="n">
        <x:v>697176.93</x:v>
      </x:c>
      <x:c r="K91" s="19" t="n">
        <x:v>46209.28749259259</x:v>
      </x:c>
      <x:c r="L91" s="19" t="n">
        <x:v>46387</x:v>
      </x:c>
      <x:c r="M91" s="15" t="str">
        <x:v>Поточний ремонт дорожнього покриття ділянки дороги до мосту № 2 через річку Південний Буг в місті Первомайськ миколаївської області</x:v>
      </x:c>
      <x:c r="N91" s="15" t="str">
        <x:v>https://prozorro.gov.ua/tender/UA-2026-07-06-000973-a</x:v>
      </x:c>
    </x:row>
    <x:row r="92">
      <x:c r="A92" s="14" t="n">
        <x:v>88</x:v>
      </x:c>
      <x:c r="B92" s="14" t="str">
        <x:v>ПРИВАТНЕ ПІДПРИЄМСТВО "ЮТА"</x:v>
      </x:c>
      <x:c r="C92" s="14" t="str">
        <x:v>30821160</x:v>
      </x:c>
      <x:c r="D92" s="14" t="str">
        <x:v>Електромонтаж</x:v>
      </x:c>
      <x:c r="E92" s="14" t="str">
        <x:v>Pilot now</x:v>
      </x:c>
      <x:c r="F92" s="14" t="str">
        <x:v>I1</x:v>
      </x:c>
      <x:c r="G92" s="14" t="n">
        <x:v>76</x:v>
      </x:c>
      <x:c r="H92" s="14" t="n">
        <x:v>3</x:v>
      </x:c>
      <x:c r="I92" s="14" t="n">
        <x:v>3</x:v>
      </x:c>
      <x:c r="J92" s="18" t="n">
        <x:v>189231</x:v>
      </x:c>
      <x:c r="K92" s="19" t="n">
        <x:v>46238.36984387731</x:v>
      </x:c>
      <x:c r="L92" s="19" t="n">
        <x:v>46387</x:v>
      </x:c>
      <x:c r="M92" s="15" t="str">
        <x:v>45310000-3 Електромонтажні роботи</x:v>
      </x:c>
      <x:c r="N92" s="15" t="str">
        <x:v>https://prozorro.gov.ua/tender/UA-2026-08-04-004312-a</x:v>
      </x:c>
    </x:row>
    <x:row r="93">
      <x:c r="A93" s="14" t="n">
        <x:v>89</x:v>
      </x:c>
      <x:c r="B93" s="14" t="str">
        <x:v>МВКПП "Опечень"</x:v>
      </x:c>
      <x:c r="C93" s="14" t="str">
        <x:v>16402798</x:v>
      </x:c>
      <x:c r="D93" s="14" t="str">
        <x:v>ВОЛЗ / телеком</x:v>
      </x:c>
      <x:c r="E93" s="14" t="str">
        <x:v>Expansion discovery</x:v>
      </x:c>
      <x:c r="F93" s="14" t="str">
        <x:v>I1</x:v>
      </x:c>
      <x:c r="G93" s="14" t="n">
        <x:v>76</x:v>
      </x:c>
      <x:c r="H93" s="14" t="n">
        <x:v>3</x:v>
      </x:c>
      <x:c r="I93" s="14" t="n">
        <x:v>1</x:v>
      </x:c>
      <x:c r="J93" s="18" t="n">
        <x:v>210637.66</x:v>
      </x:c>
      <x:c r="K93" s="19" t="n">
        <x:v>46251.52719847222</x:v>
      </x:c>
      <x:c r="L93" s="19" t="n">
        <x:v>46265</x:v>
      </x:c>
      <x:c r="M93" s="15" t="str">
        <x:v>Послугу з підключення, монтажу обладнання згідно переліку наданого Замовником в телекомунікаційній мережі об'єктів Замовника за адресою: 04159, м.Київ, вул. Юрія Кондратюка, 8</x:v>
      </x:c>
      <x:c r="N93" s="15" t="str">
        <x:v>https://prozorro.gov.ua/tender/UA-2026-08-17-009635-a</x:v>
      </x:c>
    </x:row>
    <x:row r="94">
      <x:c r="A94" s="14" t="n">
        <x:v>90</x:v>
      </x:c>
      <x:c r="B94" s="14" t="str">
        <x:v>ТОВАРИСТВО З ОБМЕЖЕНОЮ ВІДПОВІДАЛЬНІСТЮ "УКРСІТІСТРОЙ"</x:v>
      </x:c>
      <x:c r="C94" s="14" t="str">
        <x:v>41398137</x:v>
      </x:c>
      <x:c r="D94" s="14" t="str">
        <x:v>ГНБ / безтраншейні роботи</x:v>
      </x:c>
      <x:c r="E94" s="14" t="str">
        <x:v>Expansion discovery</x:v>
      </x:c>
      <x:c r="F94" s="14" t="str">
        <x:v>I1</x:v>
      </x:c>
      <x:c r="G94" s="14" t="n">
        <x:v>76</x:v>
      </x:c>
      <x:c r="H94" s="14" t="n">
        <x:v>3</x:v>
      </x:c>
      <x:c r="I94" s="14" t="n">
        <x:v>1</x:v>
      </x:c>
      <x:c r="J94" s="18" t="n">
        <x:v>64451767.4</x:v>
      </x:c>
      <x:c r="K94" s="19" t="n">
        <x:v>45624.50828342592</x:v>
      </x:c>
      <x:c r="L94" s="19" t="n">
        <x:v>45777</x:v>
      </x:c>
      <x:c r="M94" s="15" t="str">
        <x:v>45230000-8 Будівництво трубопроводів, ліній зв’язку та електропередач, шосе, доріг, аеродромів і залізничних доріг; вирівнювання поверхонь(виконання робіт з улаштування трубопроводів методом ГНБ (горизонтально направлене буріння))</x:v>
      </x:c>
      <x:c r="N94" s="15" t="str">
        <x:v>https://prozorro.gov.ua/tender/UA-2024-11-28-008930-a</x:v>
      </x:c>
    </x:row>
    <x:row r="95">
      <x:c r="A95" s="14" t="n">
        <x:v>91</x:v>
      </x:c>
      <x:c r="B95" s="14" t="str">
        <x:v>ТОВ «ЕЛЕКТРОПОЛЮС-ІФ»</x:v>
      </x:c>
      <x:c r="C95" s="14" t="str">
        <x:v>34084649</x:v>
      </x:c>
      <x:c r="D95" s="14" t="str">
        <x:v>Електромонтаж</x:v>
      </x:c>
      <x:c r="E95" s="14" t="str">
        <x:v>Pilot now</x:v>
      </x:c>
      <x:c r="F95" s="14" t="str">
        <x:v>I1</x:v>
      </x:c>
      <x:c r="G95" s="14" t="n">
        <x:v>75</x:v>
      </x:c>
      <x:c r="H95" s="14" t="n">
        <x:v>6</x:v>
      </x:c>
      <x:c r="I95" s="14" t="n">
        <x:v>6</x:v>
      </x:c>
      <x:c r="J95" s="18" t="n">
        <x:v>4826112</x:v>
      </x:c>
      <x:c r="K95" s="19" t="n">
        <x:v>46055.59493230324</x:v>
      </x:c>
      <x:c r="L95" s="19" t="n">
        <x:v>46387.59721064815</x:v>
      </x:c>
      <x:c r="M95" s="15" t="str">
        <x:v>Виконання робіт з будівництва лінії зв’язку з ПС за технологією ВОЛЗ: ПС 110/6 кВ «Сільмаш» - ПС 110/35/6 кВ «Коломия» в Івано-Франківській області (Інвестиційна програма ПрАТ «Прикарпаттяобленерго» на 2026 рік, розділ 5, пункт п.5.3.1.6)</x:v>
      </x:c>
      <x:c r="N95" s="15" t="str">
        <x:v>https://prozorro.gov.ua/tender/UA-2026-02-02-012243-a</x:v>
      </x:c>
    </x:row>
    <x:row r="96">
      <x:c r="A96" s="14" t="n">
        <x:v>92</x:v>
      </x:c>
      <x:c r="B96" s="14" t="str">
        <x:v>Управління поліції охорони в Чернігівській області</x:v>
      </x:c>
      <x:c r="C96" s="14" t="str">
        <x:v>40109021</x:v>
      </x:c>
      <x:c r="D96" s="14" t="str">
        <x:v>Промислова електрика / ПНР</x:v>
      </x:c>
      <x:c r="E96" s="14" t="str">
        <x:v>Requalify</x:v>
      </x:c>
      <x:c r="F96" s="14" t="str">
        <x:v>I1</x:v>
      </x:c>
      <x:c r="G96" s="14" t="n">
        <x:v>75</x:v>
      </x:c>
      <x:c r="H96" s="14" t="n">
        <x:v>4</x:v>
      </x:c>
      <x:c r="I96" s="14" t="n">
        <x:v>4</x:v>
      </x:c>
      <x:c r="J96" s="18" t="n">
        <x:v>123825.64</x:v>
      </x:c>
      <x:c r="K96" s="19" t="n">
        <x:v>46210.255968935184</x:v>
      </x:c>
      <x:c r="L96" s="19" t="n">
        <x:v>46387</x:v>
      </x:c>
      <x:c r="M96" s="15" t="str">
        <x:v>Монтажні та пусконалагоджувальні послуги, код ДК 021:2015  45310000-3 "Електромонтажні роботи"
</x:v>
      </x:c>
      <x:c r="N96" s="15" t="str">
        <x:v>https://prozorro.gov.ua/tender/UA-2026-07-07-000393-a</x:v>
      </x:c>
    </x:row>
    <x:row r="97">
      <x:c r="A97" s="14" t="n">
        <x:v>93</x:v>
      </x:c>
      <x:c r="B97" s="14" t="str">
        <x:v>ПП "ЗЕЛЕНА КРАЇНА"</x:v>
      </x:c>
      <x:c r="C97" s="14" t="str">
        <x:v>36390906</x:v>
      </x:c>
      <x:c r="D97" s="14" t="str">
        <x:v>Благоустрій</x:v>
      </x:c>
      <x:c r="E97" s="14" t="str">
        <x:v>Expansion discovery</x:v>
      </x:c>
      <x:c r="F97" s="14" t="str">
        <x:v>I1</x:v>
      </x:c>
      <x:c r="G97" s="14" t="n">
        <x:v>75</x:v>
      </x:c>
      <x:c r="H97" s="14" t="n">
        <x:v>5</x:v>
      </x:c>
      <x:c r="I97" s="14" t="n">
        <x:v>3</x:v>
      </x:c>
      <x:c r="J97" s="18" t="n">
        <x:v>6218406</x:v>
      </x:c>
      <x:c r="K97" s="19" t="n">
        <x:v>46094.512283634256</x:v>
      </x:c>
      <x:c r="L97" s="19" t="n">
        <x:v>46387.4303125</x:v>
      </x:c>
      <x:c r="M97"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97" s="15" t="str">
        <x:v>https://prozorro.gov.ua/tender/UA-2026-03-03-006192-a</x:v>
      </x:c>
    </x:row>
    <x:row r="98">
      <x:c r="A98" s="14" t="n">
        <x:v>94</x:v>
      </x:c>
      <x:c r="B98" s="14" t="str">
        <x:v>ТОВАРИСТВО З ОБМЕЖЕНОЮ ВІДПОВІДАЛЬНІСТЮ "НОВИЙ СВІТ"</x:v>
      </x:c>
      <x:c r="C98" s="14" t="str">
        <x:v>00688634</x:v>
      </x:c>
      <x:c r="D98" s="14" t="str">
        <x:v>HVAC / ОВіК</x:v>
      </x:c>
      <x:c r="E98" s="14" t="str">
        <x:v>Pilot now</x:v>
      </x:c>
      <x:c r="F98" s="14" t="str">
        <x:v>I1</x:v>
      </x:c>
      <x:c r="G98" s="14" t="n">
        <x:v>75</x:v>
      </x:c>
      <x:c r="H98" s="14" t="n">
        <x:v>5</x:v>
      </x:c>
      <x:c r="I98" s="14" t="n">
        <x:v>3</x:v>
      </x:c>
      <x:c r="J98" s="18" t="n">
        <x:v>446408.41</x:v>
      </x:c>
      <x:c r="K98" s="19" t="n">
        <x:v>46210.43461802083</x:v>
      </x:c>
      <x:c r="L98" s="19" t="n">
        <x:v>46387</x:v>
      </x:c>
      <x:c r="M98"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x:v>
      </x:c>
      <x:c r="N98" s="15" t="str">
        <x:v>https://prozorro.gov.ua/tender/UA-2026-07-07-005581-a</x:v>
      </x:c>
    </x:row>
    <x:row r="99">
      <x:c r="A99" s="14" t="n">
        <x:v>95</x:v>
      </x:c>
      <x:c r="B99" s="14" t="str">
        <x:v>ТОВАРИСТВО З ОБМЕЖЕНОЮ ВІДПОВІДАЛЬНІСТЮ "ПРОСТІР+"</x:v>
      </x:c>
      <x:c r="C99" s="14" t="str">
        <x:v>43990005</x:v>
      </x:c>
      <x:c r="D99" s="14" t="str">
        <x:v>Благоустрій</x:v>
      </x:c>
      <x:c r="E99" s="14" t="str">
        <x:v>Expansion discovery</x:v>
      </x:c>
      <x:c r="F99" s="14" t="str">
        <x:v>I1</x:v>
      </x:c>
      <x:c r="G99" s="14" t="n">
        <x:v>75</x:v>
      </x:c>
      <x:c r="H99" s="14" t="n">
        <x:v>5</x:v>
      </x:c>
      <x:c r="I99" s="14" t="n">
        <x:v>3</x:v>
      </x:c>
      <x:c r="J99" s="18" t="n">
        <x:v>3640250</x:v>
      </x:c>
      <x:c r="K99" s="19" t="n">
        <x:v>46094.51964327546</x:v>
      </x:c>
      <x:c r="L99" s="19" t="n">
        <x:v>46387.4303125</x:v>
      </x:c>
      <x:c r="M9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99" s="15" t="str">
        <x:v>https://prozorro.gov.ua/tender/UA-2026-03-03-006192-a</x:v>
      </x:c>
    </x:row>
    <x:row r="100">
      <x:c r="A100" s="14" t="n">
        <x:v>96</x:v>
      </x:c>
      <x:c r="B100" s="14" t="str">
        <x:v>ТОВАРИСТВО З ОБМЕЖЕНОЮ ВІДПОВІДАЛЬНІСТЮ "КАРІД"</x:v>
      </x:c>
      <x:c r="C100" s="14" t="str">
        <x:v>44549133</x:v>
      </x:c>
      <x:c r="D100" s="14" t="str">
        <x:v>Внутрішні сантехнічні системи</x:v>
      </x:c>
      <x:c r="E100" s="14" t="str">
        <x:v>Pilot now</x:v>
      </x:c>
      <x:c r="F100" s="14" t="str">
        <x:v>I1</x:v>
      </x:c>
      <x:c r="G100" s="14" t="n">
        <x:v>75</x:v>
      </x:c>
      <x:c r="H100" s="14" t="n">
        <x:v>8</x:v>
      </x:c>
      <x:c r="I100" s="14" t="n">
        <x:v>0</x:v>
      </x:c>
      <x:c r="J100" s="18" t="n">
        <x:v>164564.1</x:v>
      </x:c>
      <x:c r="K100" s="19" t="n">
        <x:v>46156.2769825</x:v>
      </x:c>
      <x:c r="L100" s="19" t="n">
        <x:v>46200</x:v>
      </x:c>
      <x:c r="M100"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x:v>
      </x:c>
      <x:c r="N100" s="15" t="str">
        <x:v>https://prozorro.gov.ua/tender/UA-2026-05-14-001152-a</x:v>
      </x:c>
    </x:row>
    <x:row r="101">
      <x:c r="A101" s="14" t="n">
        <x:v>97</x:v>
      </x:c>
      <x:c r="B101" s="14" t="str">
        <x:v>АТ "ІВП "ВНІПІТРАНСГАЗ"</x:v>
      </x:c>
      <x:c r="C101" s="14" t="str">
        <x:v>00158652</x:v>
      </x:c>
      <x:c r="D101" s="14" t="str">
        <x:v>Газові мережі</x:v>
      </x:c>
      <x:c r="E101" s="14" t="str">
        <x:v>Expansion discovery</x:v>
      </x:c>
      <x:c r="F101" s="14" t="str">
        <x:v>I2</x:v>
      </x:c>
      <x:c r="G101" s="14" t="n">
        <x:v>74</x:v>
      </x:c>
      <x:c r="H101" s="14" t="n">
        <x:v>3</x:v>
      </x:c>
      <x:c r="I101" s="14" t="n">
        <x:v>3</x:v>
      </x:c>
      <x:c r="J101" s="18" t="n">
        <x:v>5625950</x:v>
      </x:c>
      <x:c r="K101" s="19" t="n">
        <x:v>46226.57400741898</x:v>
      </x:c>
      <x:c r="L101" s="19" t="n">
        <x:v>46643</x:v>
      </x:c>
      <x:c r="M101" s="15" t="str">
        <x:v>Проектно-вишукувальні роботи по об’єкту: «Реконструкція технологічної перемички між магістральним газопроводом «Єлець – Курськ – Київ» та вхідним шлейфом компресорної станції КС-33П «Гребінківська» шляхом улаштування вузла редукування в Миргородському районі Полтавської області» (Стадії «Проект» та «Робоча документація») (Будівельні роботи та поточний ремонт)</x:v>
      </x:c>
      <x:c r="N101" s="15" t="str">
        <x:v>https://prozorro.gov.ua/tender/UA-2026-07-23-011171-a</x:v>
      </x:c>
    </x:row>
    <x:row r="102">
      <x:c r="A102" s="14" t="n">
        <x:v>98</x:v>
      </x:c>
      <x:c r="B102" s="14" t="str">
        <x:v>ПрАТ Уманський "Агрошляхбуд"</x:v>
      </x:c>
      <x:c r="C102" s="14" t="str">
        <x:v>03582422</x:v>
      </x:c>
      <x:c r="D102" s="14" t="str">
        <x:v>Дорожні роботи</x:v>
      </x:c>
      <x:c r="E102" s="14" t="str">
        <x:v>Expansion discovery</x:v>
      </x:c>
      <x:c r="F102" s="14" t="str">
        <x:v>I2</x:v>
      </x:c>
      <x:c r="G102" s="14" t="n">
        <x:v>74</x:v>
      </x:c>
      <x:c r="H102" s="14" t="n">
        <x:v>2</x:v>
      </x:c>
      <x:c r="I102" s="14" t="n">
        <x:v>2</x:v>
      </x:c>
      <x:c r="J102" s="18" t="n">
        <x:v>4663324.27</x:v>
      </x:c>
      <x:c r="K102" s="19" t="n">
        <x:v>46240.3182280787</x:v>
      </x:c>
      <x:c r="L102" s="19" t="n">
        <x:v>46387</x:v>
      </x:c>
      <x:c r="M102" s="15" t="str">
        <x:v>Капітальний ремонт дорожнього покриття по вул. Вишнева в с. Дмитрушки Уманського району Черкаської області (Коригування)</x:v>
      </x:c>
      <x:c r="N102" s="15" t="str">
        <x:v>https://prozorro.gov.ua/tender/UA-2026-07-17-007487-a</x:v>
      </x:c>
    </x:row>
    <x:row r="103">
      <x:c r="A103" s="14" t="n">
        <x:v>99</x:v>
      </x:c>
      <x:c r="B103" s="14" t="str">
        <x:v>ТОВ "АСФАЛЬТ ПЛЮС"</x:v>
      </x:c>
      <x:c r="C103" s="14" t="str">
        <x:v>41198416</x:v>
      </x:c>
      <x:c r="D103" s="14" t="str">
        <x:v>Дорожні роботи</x:v>
      </x:c>
      <x:c r="E103" s="14" t="str">
        <x:v>Expansion discovery</x:v>
      </x:c>
      <x:c r="F103" s="14" t="str">
        <x:v>I2</x:v>
      </x:c>
      <x:c r="G103" s="14" t="n">
        <x:v>74</x:v>
      </x:c>
      <x:c r="H103" s="14" t="n">
        <x:v>2</x:v>
      </x:c>
      <x:c r="I103" s="14" t="n">
        <x:v>2</x:v>
      </x:c>
      <x:c r="J103" s="18" t="n">
        <x:v>4626947.17</x:v>
      </x:c>
      <x:c r="K103" s="19" t="n">
        <x:v>46213.350110520834</x:v>
      </x:c>
      <x:c r="L103" s="19" t="n">
        <x:v>46356</x:v>
      </x:c>
      <x:c r="M103" s="15" t="str">
        <x:v>Капітальний ремонт дорожнього покриття пров. Дмитра Пилипчука в с. Глибочиця Житомирського району Житомирської області</x:v>
      </x:c>
      <x:c r="N103" s="15" t="str">
        <x:v>https://prozorro.gov.ua/tender/UA-2026-06-17-013679-a</x:v>
      </x:c>
    </x:row>
    <x:row r="104">
      <x:c r="A104" s="14" t="n">
        <x:v>100</x:v>
      </x:c>
      <x:c r="B104" s="14" t="str">
        <x:v>ТОВ "ЕНЕРГО ЛАЙН"</x:v>
      </x:c>
      <x:c r="C104" s="14" t="str">
        <x:v>40334879</x:v>
      </x:c>
      <x:c r="D104" s="14" t="str">
        <x:v>Промислова електрика / ПНР</x:v>
      </x:c>
      <x:c r="E104" s="14" t="str">
        <x:v>Pilot now</x:v>
      </x:c>
      <x:c r="F104" s="14" t="str">
        <x:v>I2</x:v>
      </x:c>
      <x:c r="G104" s="14" t="n">
        <x:v>74</x:v>
      </x:c>
      <x:c r="H104" s="14" t="n">
        <x:v>2</x:v>
      </x:c>
      <x:c r="I104" s="14" t="n">
        <x:v>2</x:v>
      </x:c>
      <x:c r="J104" s="18" t="n">
        <x:v>2928270.13</x:v>
      </x:c>
      <x:c r="K104" s="19" t="n">
        <x:v>46240.47479039352</x:v>
      </x:c>
      <x:c r="L104" s="19" t="n">
        <x:v>46282</x:v>
      </x:c>
      <x:c r="M104"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x:v>
      </x:c>
      <x:c r="N104" s="15" t="str">
        <x:v>https://prozorro.gov.ua/tender/UA-2026-07-15-005851-a</x:v>
      </x:c>
    </x:row>
    <x:row r="105">
      <x:c r="A105" s="14" t="n">
        <x:v>101</x:v>
      </x:c>
      <x:c r="B105" s="14" t="str">
        <x:v>ТОВАРИСТВО З ОБМЕЖЕНОЮ ВІДПОВІДАЛЬНІСТЮ "СЕРВІСЕНЕРГОГРУП"</x:v>
      </x:c>
      <x:c r="C105" s="14" t="str">
        <x:v>31524371</x:v>
      </x:c>
      <x:c r="D105" s="14" t="str">
        <x:v>Газові мережі</x:v>
      </x:c>
      <x:c r="E105" s="14" t="str">
        <x:v>Expansion discovery</x:v>
      </x:c>
      <x:c r="F105" s="14" t="str">
        <x:v>I2</x:v>
      </x:c>
      <x:c r="G105" s="14" t="n">
        <x:v>74</x:v>
      </x:c>
      <x:c r="H105" s="14" t="n">
        <x:v>2</x:v>
      </x:c>
      <x:c r="I105" s="14" t="n">
        <x:v>2</x:v>
      </x:c>
      <x:c r="J105" s="18" t="n">
        <x:v>4790000</x:v>
      </x:c>
      <x:c r="K105" s="19" t="n">
        <x:v>46252.259784131944</x:v>
      </x:c>
      <x:c r="L105" s="19" t="n">
        <x:v>46751</x:v>
      </x:c>
      <x:c r="M105"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x:v>
      </x:c>
      <x:c r="N105" s="15" t="str">
        <x:v>https://prozorro.gov.ua/tender/UA-2026-07-28-009537-a</x:v>
      </x:c>
    </x:row>
    <x:row r="106">
      <x:c r="A106" s="14" t="n">
        <x:v>102</x:v>
      </x:c>
      <x:c r="B106" s="14" t="str">
        <x:v>ХАРКІВСЬКА МІСЬКА ФІЛІЯ ТОВАРИСТВА З ОБМЕЖЕНОЮ ВІДПОВІДАЛЬНІСТЮ «ГАЗОРОЗПОДІЛЬНІ МЕРЕЖІ УКРАЇНИ»</x:v>
      </x:c>
      <x:c r="C106" s="14" t="str">
        <x:v>45141068</x:v>
      </x:c>
      <x:c r="D106" s="14" t="str">
        <x:v>Насосні станції</x:v>
      </x:c>
      <x:c r="E106" s="14" t="str">
        <x:v>Expansion discovery</x:v>
      </x:c>
      <x:c r="F106" s="14" t="str">
        <x:v>I2</x:v>
      </x:c>
      <x:c r="G106" s="14" t="n">
        <x:v>74</x:v>
      </x:c>
      <x:c r="H106" s="14" t="n">
        <x:v>2</x:v>
      </x:c>
      <x:c r="I106" s="14" t="n">
        <x:v>2</x:v>
      </x:c>
      <x:c r="J106" s="18" t="n">
        <x:v>4963081.18</x:v>
      </x:c>
      <x:c r="K106" s="19" t="n">
        <x:v>46231.544807418984</x:v>
      </x:c>
      <x:c r="L106" s="19" t="n">
        <x:v>46265</x:v>
      </x:c>
      <x:c r="M106"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x:v>
      </x:c>
      <x:c r="N106" s="15" t="str">
        <x:v>https://prozorro.gov.ua/tender/UA-2026-07-28-009128-a</x:v>
      </x:c>
    </x:row>
    <x:row r="107">
      <x:c r="A107" s="14" t="n">
        <x:v>103</x:v>
      </x:c>
      <x:c r="B107" s="14" t="str">
        <x:v>ТОВ «2ВКОМ»</x:v>
      </x:c>
      <x:c r="C107" s="14" t="str">
        <x:v>44486283</x:v>
      </x:c>
      <x:c r="D107" s="14" t="str">
        <x:v>СКС / BMS / слаботочка</x:v>
      </x:c>
      <x:c r="E107" s="14" t="str">
        <x:v>Expansion discovery</x:v>
      </x:c>
      <x:c r="F107" s="14" t="str">
        <x:v>I2</x:v>
      </x:c>
      <x:c r="G107" s="14" t="n">
        <x:v>74</x:v>
      </x:c>
      <x:c r="H107" s="14" t="n">
        <x:v>2</x:v>
      </x:c>
      <x:c r="I107" s="14" t="n">
        <x:v>1</x:v>
      </x:c>
      <x:c r="J107" s="18" t="n">
        <x:v>2886004</x:v>
      </x:c>
      <x:c r="K107" s="19" t="n">
        <x:v>46223.591051261574</x:v>
      </x:c>
      <x:c r="L107" s="19" t="n">
        <x:v>46581</x:v>
      </x:c>
      <x:c r="M107" s="15" t="str">
        <x:v>Послуги з монтажу/демонтажу структурованих кабельних систем (резервний постачальник) (ID тендера на "tender.privatbank.ua":PB-2026-05-19-3069701)  (Звіт про укладення договору)</x:v>
      </x:c>
      <x:c r="N107" s="15" t="str">
        <x:v>https://prozorro.gov.ua/tender/UA-2026-07-20-010471-a</x:v>
      </x:c>
    </x:row>
    <x:row r="108">
      <x:c r="A108" s="14" t="n">
        <x:v>104</x:v>
      </x:c>
      <x:c r="B108" s="14" t="str">
        <x:v>ТОВАРИСТВО З ОБМЕЖЕНОЮ ВІДПОВІДАЛЬНІСТЮ "ТЕПЛОСПЕЦСЕРВІС"</x:v>
      </x:c>
      <x:c r="C108" s="14" t="str">
        <x:v>40171972</x:v>
      </x:c>
      <x:c r="D108" s="14" t="str">
        <x:v>Внутрішні сантехнічні системи</x:v>
      </x:c>
      <x:c r="E108" s="14" t="str">
        <x:v>Pilot now</x:v>
      </x:c>
      <x:c r="F108" s="14" t="str">
        <x:v>I2</x:v>
      </x:c>
      <x:c r="G108" s="14" t="n">
        <x:v>74</x:v>
      </x:c>
      <x:c r="H108" s="14" t="n">
        <x:v>3</x:v>
      </x:c>
      <x:c r="I108" s="14" t="n">
        <x:v>0</x:v>
      </x:c>
      <x:c r="J108" s="18" t="n">
        <x:v>1233242.4</x:v>
      </x:c>
      <x:c r="K108" s="19" t="n">
        <x:v>46171.340794930555</x:v>
      </x:c>
      <x:c r="L108" s="19" t="n">
        <x:v>46204</x:v>
      </x:c>
      <x:c r="M108"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x:v>
      </x:c>
      <x:c r="N108" s="15" t="str">
        <x:v>https://prozorro.gov.ua/tender/UA-2026-05-29-002929-a</x:v>
      </x:c>
    </x:row>
    <x:row r="109">
      <x:c r="A109" s="14" t="n">
        <x:v>105</x:v>
      </x:c>
      <x:c r="B109" s="14" t="str">
        <x:v>Управління поліції охорони в Херсонській області</x:v>
      </x:c>
      <x:c r="C109" s="14" t="str">
        <x:v>40108850</x:v>
      </x:c>
      <x:c r="D109" s="14" t="str">
        <x:v>Пожежогасіння</x:v>
      </x:c>
      <x:c r="E109" s="14" t="str">
        <x:v>Expansion discovery</x:v>
      </x:c>
      <x:c r="F109" s="14" t="str">
        <x:v>I2</x:v>
      </x:c>
      <x:c r="G109" s="14" t="n">
        <x:v>73</x:v>
      </x:c>
      <x:c r="H109" s="14" t="n">
        <x:v>6</x:v>
      </x:c>
      <x:c r="I109" s="14" t="n">
        <x:v>5</x:v>
      </x:c>
      <x:c r="J109" s="18" t="n">
        <x:v>808756.15</x:v>
      </x:c>
      <x:c r="K109" s="19" t="n">
        <x:v>46073.34966835648</x:v>
      </x:c>
      <x:c r="L109" s="19" t="n">
        <x:v>46387.458333333336</x:v>
      </x:c>
      <x:c r="M109" s="15" t="str">
        <x:v>Монтаж системи охоронно-пожежної сигналізації</x:v>
      </x:c>
      <x:c r="N109" s="15" t="str">
        <x:v>https://prozorro.gov.ua/tender/UA-2026-02-20-001905-a</x:v>
      </x:c>
    </x:row>
    <x:row r="110">
      <x:c r="A110" s="14" t="n">
        <x:v>106</x:v>
      </x:c>
      <x:c r="B110" s="14" t="str">
        <x:v>ФРІД ЯРОСЛАВ ЙОСИПОВИЧ</x:v>
      </x:c>
      <x:c r="C110" s="14" t="str">
        <x:v>2818517395</x:v>
      </x:c>
      <x:c r="D110" s="14" t="str">
        <x:v>Пожежогасіння</x:v>
      </x:c>
      <x:c r="E110" s="14" t="str">
        <x:v>Expansion discovery</x:v>
      </x:c>
      <x:c r="F110" s="14" t="str">
        <x:v>I2</x:v>
      </x:c>
      <x:c r="G110" s="14" t="n">
        <x:v>73</x:v>
      </x:c>
      <x:c r="H110" s="14" t="n">
        <x:v>4</x:v>
      </x:c>
      <x:c r="I110" s="14" t="n">
        <x:v>4</x:v>
      </x:c>
      <x:c r="J110" s="18" t="n">
        <x:v>283000</x:v>
      </x:c>
      <x:c r="K110" s="19" t="n">
        <x:v>46248.311482337966</x:v>
      </x:c>
      <x:c r="L110" s="19" t="n">
        <x:v>46387.35512731481</x:v>
      </x:c>
      <x:c r="M110" s="15" t="str">
        <x:v>Послуги з монтажу системи блискавкозахисту адміністративної будівлі Тарнівецького старостинського округу по вул. Велика Капушанська, 107А в с.Тарнівці Ужгородського району</x:v>
      </x:c>
      <x:c r="N110" s="15" t="str">
        <x:v>https://prozorro.gov.ua/tender/UA-2026-08-14-002245-a</x:v>
      </x:c>
    </x:row>
    <x:row r="111">
      <x:c r="A111" s="14" t="n">
        <x:v>107</x:v>
      </x:c>
      <x:c r="B111" s="14" t="str">
        <x:v>Товариство з обмеженою відповідальністю "ОМЕГА ВЕСТ ТРЕЙД"</x:v>
      </x:c>
      <x:c r="C111" s="14" t="str">
        <x:v>42418604</x:v>
      </x:c>
      <x:c r="D111" s="14" t="str">
        <x:v>Водоочищення / очисні споруди</x:v>
      </x:c>
      <x:c r="E111" s="14" t="str">
        <x:v>Expansion discovery</x:v>
      </x:c>
      <x:c r="F111" s="14" t="str">
        <x:v>I2</x:v>
      </x:c>
      <x:c r="G111" s="14" t="n">
        <x:v>73</x:v>
      </x:c>
      <x:c r="H111" s="14" t="n">
        <x:v>3</x:v>
      </x:c>
      <x:c r="I111" s="14" t="n">
        <x:v>3</x:v>
      </x:c>
      <x:c r="J111" s="18" t="n">
        <x:v>909987.01</x:v>
      </x:c>
      <x:c r="K111" s="19" t="n">
        <x:v>46248.510890405094</x:v>
      </x:c>
      <x:c r="L111" s="19" t="n">
        <x:v>46387</x:v>
      </x:c>
      <x:c r="M111" s="15" t="str">
        <x:v>Коригування кошторисної документації по об’єкту: «Будівництво каналізаційних мереж, каналізаційних насосних станцій та очисних споруд в м. Яворів Львівської області» (Коригування)</x:v>
      </x:c>
      <x:c r="N111" s="15" t="str">
        <x:v>https://prozorro.gov.ua/tender/UA-2026-08-14-009077-a</x:v>
      </x:c>
    </x:row>
    <x:row r="112">
      <x:c r="A112" s="14" t="n">
        <x:v>108</x:v>
      </x:c>
      <x:c r="B112" s="14" t="str">
        <x:v>ТОВ "Українські технологічні продукти"</x:v>
      </x:c>
      <x:c r="C112" s="14" t="str">
        <x:v>25498828</x:v>
      </x:c>
      <x:c r="D112" s="14" t="str">
        <x:v>Електромонтаж</x:v>
      </x:c>
      <x:c r="E112" s="14" t="str">
        <x:v>Pilot now</x:v>
      </x:c>
      <x:c r="F112" s="14" t="str">
        <x:v>I2</x:v>
      </x:c>
      <x:c r="G112" s="14" t="n">
        <x:v>73</x:v>
      </x:c>
      <x:c r="H112" s="14" t="n">
        <x:v>2</x:v>
      </x:c>
      <x:c r="I112" s="14" t="n">
        <x:v>2</x:v>
      </x:c>
      <x:c r="J112" s="18" t="n">
        <x:v>808220</x:v>
      </x:c>
      <x:c r="K112" s="19" t="n">
        <x:v>46219.289856006944</x:v>
      </x:c>
      <x:c r="L112" s="19" t="n">
        <x:v>46387</x:v>
      </x:c>
      <x:c r="M112" s="15" t="str">
        <x:v>Електромонтажні роботи</x:v>
      </x:c>
      <x:c r="N112" s="15" t="str">
        <x:v>https://prozorro.gov.ua/tender/UA-2026-07-16-001234-a</x:v>
      </x:c>
    </x:row>
    <x:row r="113">
      <x:c r="A113" s="14" t="n">
        <x:v>109</x:v>
      </x:c>
      <x:c r="B113" s="14" t="str">
        <x:v>ТОВ «Пожежний Захист»</x:v>
      </x:c>
      <x:c r="C113" s="14" t="str">
        <x:v>38717610</x:v>
      </x:c>
      <x:c r="D113" s="14" t="str">
        <x:v>Слаботочні системи</x:v>
      </x:c>
      <x:c r="E113" s="14" t="str">
        <x:v>Requalify</x:v>
      </x:c>
      <x:c r="F113" s="14" t="str">
        <x:v>I2</x:v>
      </x:c>
      <x:c r="G113" s="14" t="n">
        <x:v>73</x:v>
      </x:c>
      <x:c r="H113" s="14" t="n">
        <x:v>2</x:v>
      </x:c>
      <x:c r="I113" s="14" t="n">
        <x:v>2</x:v>
      </x:c>
      <x:c r="J113" s="18" t="n">
        <x:v>1155038.66</x:v>
      </x:c>
      <x:c r="K113" s="19" t="n">
        <x:v>46234.5221496875</x:v>
      </x:c>
      <x:c r="L113" s="19" t="n">
        <x:v>46387</x:v>
      </x:c>
      <x:c r="M113" s="15" t="str">
        <x:v>Роботи з вогнезахисної обробки дерев"яних конструкцій горищного приміщення</x:v>
      </x:c>
      <x:c r="N113" s="15" t="str">
        <x:v>https://prozorro.gov.ua/tender/UA-2026-07-31-007548-a</x:v>
      </x:c>
    </x:row>
    <x:row r="114">
      <x:c r="A114" s="14" t="n">
        <x:v>110</x:v>
      </x:c>
      <x:c r="B114" s="14" t="str">
        <x:v>ПРИВАТНЕ АКЦІОНЕРНЕ ТОВАРИСТВО "КІРОВОГРАДОБЛЕНЕРГО"</x:v>
      </x:c>
      <x:c r="C114" s="14" t="str">
        <x:v>23226362</x:v>
      </x:c>
      <x:c r="D114" s="14" t="str">
        <x:v>Електромонтаж</x:v>
      </x:c>
      <x:c r="E114" s="14" t="str">
        <x:v>Pilot now</x:v>
      </x:c>
      <x:c r="F114" s="14" t="str">
        <x:v>I2</x:v>
      </x:c>
      <x:c r="G114" s="14" t="n">
        <x:v>72</x:v>
      </x:c>
      <x:c r="H114" s="14" t="n">
        <x:v>5</x:v>
      </x:c>
      <x:c r="I114" s="14" t="n">
        <x:v>4</x:v>
      </x:c>
      <x:c r="J114" s="18" t="n">
        <x:v>459990.56999999995</x:v>
      </x:c>
      <x:c r="K114" s="19" t="n">
        <x:v>45398.55489033565</x:v>
      </x:c>
      <x:c r="L114" s="19" t="n">
        <x:v>45657</x:v>
      </x:c>
      <x:c r="M114" s="15" t="str">
        <x:v>Нестандартне приєднання до електричних мереж системи розподілу  «під ключ» по об'єкту "Реконструкція операційного блоку КНП "Кіровоградська міська лікарня швидкої медичної допомоги" по вул. Короленка 56 в м Кропивницький </x:v>
      </x:c>
      <x:c r="N114" s="15" t="str">
        <x:v>https://prozorro.gov.ua/tender/UA-2024-04-16-011626-a</x:v>
      </x:c>
    </x:row>
    <x:row r="115">
      <x:c r="A115" s="14" t="n">
        <x:v>111</x:v>
      </x:c>
      <x:c r="B115" s="14" t="str">
        <x:v>УПРАВЛІННЯ ПОЛІЦІЇ ОХОРОНИ В ХМЕЛЬНИЦЬКІЙ ОБЛАСТІ</x:v>
      </x:c>
      <x:c r="C115" s="14" t="str">
        <x:v>40108929</x:v>
      </x:c>
      <x:c r="D115" s="14" t="str">
        <x:v>Електромонтаж</x:v>
      </x:c>
      <x:c r="E115" s="14" t="str">
        <x:v>Pilot now</x:v>
      </x:c>
      <x:c r="F115" s="14" t="str">
        <x:v>I2</x:v>
      </x:c>
      <x:c r="G115" s="14" t="n">
        <x:v>72</x:v>
      </x:c>
      <x:c r="H115" s="14" t="n">
        <x:v>3</x:v>
      </x:c>
      <x:c r="I115" s="14" t="n">
        <x:v>3</x:v>
      </x:c>
      <x:c r="J115" s="18" t="n">
        <x:v>6454.46</x:v>
      </x:c>
      <x:c r="K115" s="19" t="n">
        <x:v>46237.567040277776</x:v>
      </x:c>
      <x:c r="L115" s="19" t="n">
        <x:v>46387.60917824074</x:v>
      </x:c>
      <x:c r="M115" s="15" t="str">
        <x:v>Електромонтажні роботи (Встановлення системи охоронної сигналізації).</x:v>
      </x:c>
      <x:c r="N115" s="15" t="str">
        <x:v>https://prozorro.gov.ua/tender/UA-2026-08-03-010215-a</x:v>
      </x:c>
    </x:row>
    <x:row r="116">
      <x:c r="A116" s="14" t="n">
        <x:v>112</x:v>
      </x:c>
      <x:c r="B116" s="14" t="str">
        <x:v>ФОП БИКОВ ДМИТРО МИКОЛАЙОВИЧ</x:v>
      </x:c>
      <x:c r="C116" s="14" t="str">
        <x:v>2697801834</x:v>
      </x:c>
      <x:c r="D116" s="14" t="str">
        <x:v>Благоустрій</x:v>
      </x:c>
      <x:c r="E116" s="14" t="str">
        <x:v>Expansion discovery</x:v>
      </x:c>
      <x:c r="F116" s="14" t="str">
        <x:v>I2</x:v>
      </x:c>
      <x:c r="G116" s="14" t="n">
        <x:v>72</x:v>
      </x:c>
      <x:c r="H116" s="14" t="n">
        <x:v>4</x:v>
      </x:c>
      <x:c r="I116" s="14" t="n">
        <x:v>3</x:v>
      </x:c>
      <x:c r="J116" s="18" t="n">
        <x:v>3081700</x:v>
      </x:c>
      <x:c r="K116" s="19" t="n">
        <x:v>46094.51776982639</x:v>
      </x:c>
      <x:c r="L116" s="19" t="n">
        <x:v>46387.4303125</x:v>
      </x:c>
      <x:c r="M116"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16" s="15" t="str">
        <x:v>https://prozorro.gov.ua/tender/UA-2026-03-03-006192-a</x:v>
      </x:c>
    </x:row>
    <x:row r="117">
      <x:c r="A117" s="14" t="n">
        <x:v>113</x:v>
      </x:c>
      <x:c r="B117" s="14" t="str">
        <x:v>Комунальне підприємство "Комплекс з експлуатації об`єктів водозниження і зливової каналізації"</x:v>
      </x:c>
      <x:c r="C117" s="14" t="str">
        <x:v>34953769</x:v>
      </x:c>
      <x:c r="D117" s="14" t="str">
        <x:v>Зливова каналізація / дренаж</x:v>
      </x:c>
      <x:c r="E117" s="14" t="str">
        <x:v>Expansion discovery</x:v>
      </x:c>
      <x:c r="F117" s="14" t="str">
        <x:v>I2</x:v>
      </x:c>
      <x:c r="G117" s="14" t="n">
        <x:v>72</x:v>
      </x:c>
      <x:c r="H117" s="14" t="n">
        <x:v>2</x:v>
      </x:c>
      <x:c r="I117" s="14" t="n">
        <x:v>2</x:v>
      </x:c>
      <x:c r="J117" s="18" t="n">
        <x:v>57653913.6</x:v>
      </x:c>
      <x:c r="K117" s="19" t="n">
        <x:v>46175.46733432871</x:v>
      </x:c>
      <x:c r="L117" s="19" t="n">
        <x:v>46752.916655092595</x:v>
      </x:c>
      <x:c r="M117"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x:v>
      </x:c>
      <x:c r="N117" s="15" t="str">
        <x:v>https://prozorro.gov.ua/tender/UA-2026-05-15-003630-a</x:v>
      </x:c>
    </x:row>
    <x:row r="118">
      <x:c r="A118" s="14" t="n">
        <x:v>114</x:v>
      </x:c>
      <x:c r="B118" s="14" t="str">
        <x:v>Консорціум «РЕНЕСАНС УКРАЇНА»</x:v>
      </x:c>
      <x:c r="C118" s="14" t="str">
        <x:v>45823902</x:v>
      </x:c>
      <x:c r="D118" s="14" t="str">
        <x:v>Підстанції / силові мережі</x:v>
      </x:c>
      <x:c r="E118" s="14" t="str">
        <x:v>Pilot now</x:v>
      </x:c>
      <x:c r="F118" s="14" t="str">
        <x:v>I2</x:v>
      </x:c>
      <x:c r="G118" s="14" t="n">
        <x:v>72</x:v>
      </x:c>
      <x:c r="H118" s="14" t="n">
        <x:v>2</x:v>
      </x:c>
      <x:c r="I118" s="14" t="n">
        <x:v>2</x:v>
      </x:c>
      <x:c r="J118" s="18" t="n">
        <x:v>150765380.66</x:v>
      </x:c>
      <x:c r="K118" s="19" t="n">
        <x:v>46143.473261377316</x:v>
      </x:c>
      <x:c r="L118" s="19" t="n">
        <x:v>46752.50622685185</x:v>
      </x:c>
      <x:c r="M118"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x:v>
      </x:c>
      <x:c r="N118" s="15" t="str">
        <x:v>https://prozorro.gov.ua/tender/UA-2026-05-01-007791-a</x:v>
      </x:c>
    </x:row>
    <x:row r="119">
      <x:c r="A119" s="14" t="n">
        <x:v>115</x:v>
      </x:c>
      <x:c r="B119" s="14" t="str">
        <x:v>ТОВ "СІД-АВТОМАТИКА"</x:v>
      </x:c>
      <x:c r="C119" s="14" t="str">
        <x:v>37002951</x:v>
      </x:c>
      <x:c r="D119" s="14" t="str">
        <x:v>Газові мережі</x:v>
      </x:c>
      <x:c r="E119" s="14" t="str">
        <x:v>Expansion discovery</x:v>
      </x:c>
      <x:c r="F119" s="14" t="str">
        <x:v>I2</x:v>
      </x:c>
      <x:c r="G119" s="14" t="n">
        <x:v>72</x:v>
      </x:c>
      <x:c r="H119" s="14" t="n">
        <x:v>2</x:v>
      </x:c>
      <x:c r="I119" s="14" t="n">
        <x:v>2</x:v>
      </x:c>
      <x:c r="J119" s="18" t="n">
        <x:v>427740909.2</x:v>
      </x:c>
      <x:c r="K119" s="19" t="n">
        <x:v>46139.310971099534</x:v>
      </x:c>
      <x:c r="L119" s="19" t="n">
        <x:v>46928</x:v>
      </x:c>
      <x:c r="M119"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x:v>
      </x:c>
      <x:c r="N119" s="15" t="str">
        <x:v>https://prozorro.gov.ua/tender/UA-2026-02-25-011863-a</x:v>
      </x:c>
    </x:row>
    <x:row r="120">
      <x:c r="A120" s="14" t="n">
        <x:v>116</x:v>
      </x:c>
      <x:c r="B120" s="14" t="str">
        <x:v>ТОВ «СБК САРГОН»</x:v>
      </x:c>
      <x:c r="C120" s="14" t="str">
        <x:v>44549311</x:v>
      </x:c>
      <x:c r="D120" s="14" t="str">
        <x:v>Зовнішні мережі</x:v>
      </x:c>
      <x:c r="E120" s="14" t="str">
        <x:v>Later / requirements</x:v>
      </x:c>
      <x:c r="F120" s="14" t="str">
        <x:v>I2</x:v>
      </x:c>
      <x:c r="G120" s="14" t="n">
        <x:v>72</x:v>
      </x:c>
      <x:c r="H120" s="14" t="n">
        <x:v>2</x:v>
      </x:c>
      <x:c r="I120" s="14" t="n">
        <x:v>2</x:v>
      </x:c>
      <x:c r="J120" s="18" t="n">
        <x:v>228263190.39</x:v>
      </x:c>
      <x:c r="K120" s="19" t="n">
        <x:v>46170.30998877315</x:v>
      </x:c>
      <x:c r="L120" s="19" t="n">
        <x:v>46752</x:v>
      </x:c>
      <x:c r="M120" s="15" t="str">
        <x:v>Реконструкція електричної підстанції №12 АТ “ДТЕК Дніпровські електромережі” у Дніпропетровській області (ДК 021:2015: 45454000-4 - Реконструкція)</x:v>
      </x:c>
      <x:c r="N120" s="15" t="str">
        <x:v>https://prozorro.gov.ua/tender/UA-2026-05-28-002111-a</x:v>
      </x:c>
    </x:row>
    <x:row r="121">
      <x:c r="A121" s="14" t="n">
        <x:v>117</x:v>
      </x:c>
      <x:c r="B121" s="14" t="str">
        <x:v>ТОВАРИСТВО З ОБМЕЖЕНОЮ ВІДПОВІДАЛЬНІСТЮ "СПЕЦБУД-3 ЛТД"</x:v>
      </x:c>
      <x:c r="C121" s="14" t="str">
        <x:v>43130685</x:v>
      </x:c>
      <x:c r="D121" s="14" t="str">
        <x:v>Теплові мережі</x:v>
      </x:c>
      <x:c r="E121" s="14" t="str">
        <x:v>Expansion discovery</x:v>
      </x:c>
      <x:c r="F121" s="14" t="str">
        <x:v>I2</x:v>
      </x:c>
      <x:c r="G121" s="14" t="n">
        <x:v>72</x:v>
      </x:c>
      <x:c r="H121" s="14" t="n">
        <x:v>2</x:v>
      </x:c>
      <x:c r="I121" s="14" t="n">
        <x:v>2</x:v>
      </x:c>
      <x:c r="J121" s="18" t="n">
        <x:v>37054823.95</x:v>
      </x:c>
      <x:c r="K121" s="19" t="n">
        <x:v>46206.53805685185</x:v>
      </x:c>
      <x:c r="L121" s="19" t="n">
        <x:v>46326</x:v>
      </x:c>
      <x:c r="M121"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x:v>
      </x:c>
      <x:c r="N121" s="15" t="str">
        <x:v>https://prozorro.gov.ua/tender/UA-2026-07-03-009034-a</x:v>
      </x:c>
    </x:row>
    <x:row r="122">
      <x:c r="A122" s="14" t="n">
        <x:v>118</x:v>
      </x:c>
      <x:c r="B122" s="14" t="str">
        <x:v>ТОВАРИСТВО З ОБМЕЖЕНОЮ ВІДПОВІДАЛЬНІСТЮ «ФІРМА «МЖК-СЕРВІС»</x:v>
      </x:c>
      <x:c r="C122" s="14" t="str">
        <x:v>14239928</x:v>
      </x:c>
      <x:c r="D122" s="14" t="str">
        <x:v>Підстанції / силові мережі</x:v>
      </x:c>
      <x:c r="E122" s="14" t="str">
        <x:v>Pilot now</x:v>
      </x:c>
      <x:c r="F122" s="14" t="str">
        <x:v>I2</x:v>
      </x:c>
      <x:c r="G122" s="14" t="n">
        <x:v>72</x:v>
      </x:c>
      <x:c r="H122" s="14" t="n">
        <x:v>2</x:v>
      </x:c>
      <x:c r="I122" s="14" t="n">
        <x:v>2</x:v>
      </x:c>
      <x:c r="J122" s="18" t="n">
        <x:v>143991260.62</x:v>
      </x:c>
      <x:c r="K122" s="19" t="n">
        <x:v>46143.52077792824</x:v>
      </x:c>
      <x:c r="L122" s="19" t="n">
        <x:v>46752.563564814816</x:v>
      </x:c>
      <x:c r="M122"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x:v>
      </x:c>
      <x:c r="N122" s="15" t="str">
        <x:v>https://prozorro.gov.ua/tender/UA-2026-05-01-009896-a</x:v>
      </x:c>
    </x:row>
    <x:row r="123">
      <x:c r="A123" s="14" t="n">
        <x:v>119</x:v>
      </x:c>
      <x:c r="B123" s="14" t="str">
        <x:v>Фізична особа-підприємець Бересток Олександр Юрійович</x:v>
      </x:c>
      <x:c r="C123" s="14" t="str">
        <x:v>2979700512</x:v>
      </x:c>
      <x:c r="D123" s="14" t="str">
        <x:v>Пасивний вогнезахист</x:v>
      </x:c>
      <x:c r="E123" s="14" t="str">
        <x:v>Expansion discovery</x:v>
      </x:c>
      <x:c r="F123" s="14" t="str">
        <x:v>I2</x:v>
      </x:c>
      <x:c r="G123" s="14" t="n">
        <x:v>72</x:v>
      </x:c>
      <x:c r="H123" s="14" t="n">
        <x:v>3</x:v>
      </x:c>
      <x:c r="I123" s="14" t="n">
        <x:v>2</x:v>
      </x:c>
      <x:c r="J123" s="18" t="n">
        <x:v>55375.8</x:v>
      </x:c>
      <x:c r="K123" s="19" t="n">
        <x:v>46213.54082267361</x:v>
      </x:c>
      <x:c r="L123" s="19" t="n">
        <x:v>46387.583333333336</x:v>
      </x:c>
      <x:c r="M123" s="15" t="str">
        <x:v>Проведення вогнезахисної обробки (просочення) дерев'яних конструкцій</x:v>
      </x:c>
      <x:c r="N123" s="15" t="str">
        <x:v>https://prozorro.gov.ua/tender/UA-2026-07-10-009730-a</x:v>
      </x:c>
    </x:row>
    <x:row r="124">
      <x:c r="A124" s="14" t="n">
        <x:v>120</x:v>
      </x:c>
      <x:c r="B124" s="14" t="str">
        <x:v>ФОП КРАСОВСЬКИЙ АНАТОЛІЙ ФЕДОРОВИЧ</x:v>
      </x:c>
      <x:c r="C124" s="14" t="str">
        <x:v>1925715017</x:v>
      </x:c>
      <x:c r="D124" s="14" t="str">
        <x:v>Благоустрій</x:v>
      </x:c>
      <x:c r="E124" s="14" t="str">
        <x:v>Expansion discovery</x:v>
      </x:c>
      <x:c r="F124" s="14" t="str">
        <x:v>I2</x:v>
      </x:c>
      <x:c r="G124" s="14" t="n">
        <x:v>72</x:v>
      </x:c>
      <x:c r="H124" s="14" t="n">
        <x:v>4</x:v>
      </x:c>
      <x:c r="I124" s="14" t="n">
        <x:v>2</x:v>
      </x:c>
      <x:c r="J124" s="18" t="n">
        <x:v>5844750</x:v>
      </x:c>
      <x:c r="K124" s="19" t="n">
        <x:v>46069.48929460648</x:v>
      </x:c>
      <x:c r="L124" s="19" t="n">
        <x:v>46356.583761574075</x:v>
      </x:c>
      <x:c r="M124"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x:v>
      </x:c>
      <x:c r="N124" s="15" t="str">
        <x:v>https://prozorro.gov.ua/tender/UA-2026-02-02-011636-a</x:v>
      </x:c>
    </x:row>
    <x:row r="125">
      <x:c r="A125" s="14" t="n">
        <x:v>121</x:v>
      </x:c>
      <x:c r="B125" s="14" t="str">
        <x:v>ТОВАРИСТВО З ОБМЕЖЕНОЮ ВІДПОВІДАЛЬНІСТЮ "ГІРАЗОЛЬ"</x:v>
      </x:c>
      <x:c r="C125" s="14" t="str">
        <x:v>46227802</x:v>
      </x:c>
      <x:c r="D125" s="14" t="str">
        <x:v>Електромонтаж</x:v>
      </x:c>
      <x:c r="E125" s="14" t="str">
        <x:v>Pilot now</x:v>
      </x:c>
      <x:c r="F125" s="14" t="str">
        <x:v>I2</x:v>
      </x:c>
      <x:c r="G125" s="14" t="n">
        <x:v>72</x:v>
      </x:c>
      <x:c r="H125" s="14" t="n">
        <x:v>2</x:v>
      </x:c>
      <x:c r="I125" s="14" t="n">
        <x:v>1</x:v>
      </x:c>
      <x:c r="J125" s="18" t="n">
        <x:v>3779044</x:v>
      </x:c>
      <x:c r="K125" s="19" t="n">
        <x:v>46247.2484425</x:v>
      </x:c>
      <x:c r="L125" s="19" t="n">
        <x:v>46275</x:v>
      </x:c>
      <x:c r="M125"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x:v>
      </x:c>
      <x:c r="N125" s="15" t="str">
        <x:v>https://prozorro.gov.ua/tender/UA-2026-08-13-000458-a</x:v>
      </x:c>
    </x:row>
    <x:row r="126">
      <x:c r="A126" s="14" t="n">
        <x:v>122</x:v>
      </x:c>
      <x:c r="B126" s="14" t="str">
        <x:v>ФОП Білак М. М.</x:v>
      </x:c>
      <x:c r="C126" s="14" t="str">
        <x:v>3356200378</x:v>
      </x:c>
      <x:c r="D126" s="14" t="str">
        <x:v>Електромонтаж</x:v>
      </x:c>
      <x:c r="E126" s="14" t="str">
        <x:v>Pilot now</x:v>
      </x:c>
      <x:c r="F126" s="14" t="str">
        <x:v>I2</x:v>
      </x:c>
      <x:c r="G126" s="14" t="n">
        <x:v>72</x:v>
      </x:c>
      <x:c r="H126" s="14" t="n">
        <x:v>5</x:v>
      </x:c>
      <x:c r="I126" s="14" t="n">
        <x:v>1</x:v>
      </x:c>
      <x:c r="J126" s="18" t="n">
        <x:v>240222</x:v>
      </x:c>
      <x:c r="K126" s="19" t="n">
        <x:v>46154.89117909722</x:v>
      </x:c>
      <x:c r="L126" s="19" t="n">
        <x:v>46387</x:v>
      </x:c>
      <x:c r="M126" s="15" t="str">
        <x:v>Монтаж системи блискавкозахисту на будівлі КП Дитячий оздоровчий табір "Зачарована долина" Шевченківського району м.Києва</x:v>
      </x:c>
      <x:c r="N126" s="15" t="str">
        <x:v>https://prozorro.gov.ua/tender/UA-2026-05-13-000013-a</x:v>
      </x:c>
    </x:row>
    <x:row r="127">
      <x:c r="A127" s="14" t="n">
        <x:v>123</x:v>
      </x:c>
      <x:c r="B127" s="14" t="str">
        <x:v>Підсадний Андрій Васильович</x:v>
      </x:c>
      <x:c r="C127" s="14" t="str">
        <x:v>3358210931</x:v>
      </x:c>
      <x:c r="D127" s="14" t="str">
        <x:v>Електромонтаж</x:v>
      </x:c>
      <x:c r="E127" s="14" t="str">
        <x:v>Pilot now</x:v>
      </x:c>
      <x:c r="F127" s="14" t="str">
        <x:v>I2</x:v>
      </x:c>
      <x:c r="G127" s="14" t="n">
        <x:v>72</x:v>
      </x:c>
      <x:c r="H127" s="14" t="n">
        <x:v>3</x:v>
      </x:c>
      <x:c r="I127" s="14" t="n">
        <x:v>0</x:v>
      </x:c>
      <x:c r="J127" s="18" t="n">
        <x:v>48311.68</x:v>
      </x:c>
      <x:c r="K127" s="19" t="n">
        <x:v>46223.24819734954</x:v>
      </x:c>
      <x:c r="L127" s="19" t="n">
        <x:v>46234.25100694445</x:v>
      </x:c>
      <x:c r="M127" s="15" t="str">
        <x:v>Електромонтажні роботи</x:v>
      </x:c>
      <x:c r="N127" s="15" t="str">
        <x:v>https://prozorro.gov.ua/tender/UA-2026-07-20-000344-a</x:v>
      </x:c>
    </x:row>
    <x:row r="128">
      <x:c r="A128" s="14" t="n">
        <x:v>124</x:v>
      </x:c>
      <x:c r="B128" s="14" t="str">
        <x:v>ПРИВАТНЕ ПІДПРИЄМСТВО "ЄВРОБУД 2018"</x:v>
      </x:c>
      <x:c r="C128" s="14" t="str">
        <x:v>42381606</x:v>
      </x:c>
      <x:c r="D128" s="14" t="str">
        <x:v>Резервне живлення</x:v>
      </x:c>
      <x:c r="E128" s="14" t="str">
        <x:v>Pilot now</x:v>
      </x:c>
      <x:c r="F128" s="14" t="str">
        <x:v>I2</x:v>
      </x:c>
      <x:c r="G128" s="14" t="n">
        <x:v>71</x:v>
      </x:c>
      <x:c r="H128" s="14" t="n">
        <x:v>7</x:v>
      </x:c>
      <x:c r="I128" s="14" t="n">
        <x:v>5</x:v>
      </x:c>
      <x:c r="J128" s="18" t="n">
        <x:v>847259.05</x:v>
      </x:c>
      <x:c r="K128" s="19" t="n">
        <x:v>46073.4573871875</x:v>
      </x:c>
      <x:c r="L128" s="19" t="n">
        <x:v>46387</x:v>
      </x:c>
      <x:c r="M128" s="1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x:v>
      </x:c>
      <x:c r="N128" s="15" t="str">
        <x:v>https://prozorro.gov.ua/tender/UA-2026-02-20-006766-a</x:v>
      </x:c>
    </x:row>
    <x:row r="129">
      <x:c r="A129" s="14" t="n">
        <x:v>125</x:v>
      </x:c>
      <x:c r="B129" s="14" t="str">
        <x:v>ТОВАРИСТВО З ОБМЕЖЕНОЮ ВІДПОВІДАЛЬНІСТЮ "НЕЗАЛЕЖНИЙ АУДИТ ТА ІНСПЕКТУВАННЯ СФЕРИ БЕЗПЕКИ"</x:v>
      </x:c>
      <x:c r="C129" s="14" t="str">
        <x:v>43658374</x:v>
      </x:c>
      <x:c r="D129" s="14" t="str">
        <x:v>Пожежогасіння</x:v>
      </x:c>
      <x:c r="E129" s="14" t="str">
        <x:v>Expansion discovery</x:v>
      </x:c>
      <x:c r="F129" s="14" t="str">
        <x:v>I2</x:v>
      </x:c>
      <x:c r="G129" s="14" t="n">
        <x:v>71</x:v>
      </x:c>
      <x:c r="H129" s="14" t="n">
        <x:v>4</x:v>
      </x:c>
      <x:c r="I129" s="14" t="n">
        <x:v>4</x:v>
      </x:c>
      <x:c r="J129" s="18" t="n">
        <x:v>68000</x:v>
      </x:c>
      <x:c r="K129" s="19" t="n">
        <x:v>46203.33663611111</x:v>
      </x:c>
      <x:c r="L129" s="19" t="n">
        <x:v>46356</x:v>
      </x:c>
      <x:c r="M129"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x:v>
      </x:c>
      <x:c r="N129" s="15" t="str">
        <x:v>https://prozorro.gov.ua/tender/UA-2026-06-30-003263-a</x:v>
      </x:c>
    </x:row>
    <x:row r="130">
      <x:c r="A130" s="14" t="n">
        <x:v>126</x:v>
      </x:c>
      <x:c r="B130" s="14" t="str">
        <x:v>ТОВ "ТОП ФАЄР"</x:v>
      </x:c>
      <x:c r="C130" s="14" t="str">
        <x:v>42082117</x:v>
      </x:c>
      <x:c r="D130" s="14" t="str">
        <x:v>Пожежогасіння</x:v>
      </x:c>
      <x:c r="E130" s="14" t="str">
        <x:v>Expansion discovery</x:v>
      </x:c>
      <x:c r="F130" s="14" t="str">
        <x:v>I2</x:v>
      </x:c>
      <x:c r="G130" s="14" t="n">
        <x:v>71</x:v>
      </x:c>
      <x:c r="H130" s="14" t="n">
        <x:v>3</x:v>
      </x:c>
      <x:c r="I130" s="14" t="n">
        <x:v>2</x:v>
      </x:c>
      <x:c r="J130" s="18" t="n">
        <x:v>19299685.78</x:v>
      </x:c>
      <x:c r="K130" s="19" t="n">
        <x:v>46136.47898063657</x:v>
      </x:c>
      <x:c r="L130" s="19" t="n">
        <x:v>46296</x:v>
      </x:c>
      <x:c r="M130" s="15" t="str">
        <x:v>«Нове будівництво наземної сонячної електростанції на території Обласного комунального підприємства "Миколаївоблтеплоенерго" за адресою: м. Миколаїв, вул. Водопійна, 36» (45251100-2 Будівництво електростанцій) 45250000-4 Будівництво заводів / установок, гірничодобувних і переробних об’єктів та об’єктів нафтогазової інфраструктури</x:v>
      </x:c>
      <x:c r="N130" s="15" t="str">
        <x:v>https://prozorro.gov.ua/tender/UA-2026-03-31-003010-a</x:v>
      </x:c>
    </x:row>
    <x:row r="131">
      <x:c r="A131" s="14" t="n">
        <x:v>127</x:v>
      </x:c>
      <x:c r="B131" s="14" t="str">
        <x:v>ФОП Бут Андрій Борисович</x:v>
      </x:c>
      <x:c r="C131" s="14" t="str">
        <x:v>3140413794</x:v>
      </x:c>
      <x:c r="D131" s="14" t="str">
        <x:v>Дорожні роботи</x:v>
      </x:c>
      <x:c r="E131" s="14" t="str">
        <x:v>Expansion discovery</x:v>
      </x:c>
      <x:c r="F131" s="14" t="str">
        <x:v>I2</x:v>
      </x:c>
      <x:c r="G131" s="14" t="n">
        <x:v>71</x:v>
      </x:c>
      <x:c r="H131" s="14" t="n">
        <x:v>2</x:v>
      </x:c>
      <x:c r="I131" s="14" t="n">
        <x:v>2</x:v>
      </x:c>
      <x:c r="J131" s="18" t="n">
        <x:v>2830345</x:v>
      </x:c>
      <x:c r="K131" s="19" t="n">
        <x:v>46253.329425219905</x:v>
      </x:c>
      <x:c r="L131" s="19" t="n">
        <x:v>46507.32910879629</x:v>
      </x:c>
      <x:c r="M131" s="15" t="str">
        <x:v>Капітальний ремонт дорожнього покриття частини вул. Зелена в с. Білогородка Бучанського району Київської області</x:v>
      </x:c>
      <x:c r="N131" s="15" t="str">
        <x:v>https://prozorro.gov.ua/tender/UA-2026-08-19-002810-a</x:v>
      </x:c>
    </x:row>
    <x:row r="132">
      <x:c r="A132" s="14" t="n">
        <x:v>128</x:v>
      </x:c>
      <x:c r="B132" s="14" t="str">
        <x:v>ТОВАРИСТВО З ОБМЕЖЕНОЮ ВІДПОВІДАЛЬНІСТЮ "СКС-БУД"</x:v>
      </x:c>
      <x:c r="C132" s="14" t="str">
        <x:v>34585505</x:v>
      </x:c>
      <x:c r="D132" s="14" t="str">
        <x:v>Резервне живлення</x:v>
      </x:c>
      <x:c r="E132" s="14" t="str">
        <x:v>Pilot now</x:v>
      </x:c>
      <x:c r="F132" s="14" t="str">
        <x:v>I2</x:v>
      </x:c>
      <x:c r="G132" s="14" t="n">
        <x:v>71</x:v>
      </x:c>
      <x:c r="H132" s="14" t="n">
        <x:v>5</x:v>
      </x:c>
      <x:c r="I132" s="14" t="n">
        <x:v>0</x:v>
      </x:c>
      <x:c r="J132" s="18" t="n">
        <x:v>22222805.6</x:v>
      </x:c>
      <x:c r="K132" s="19" t="n">
        <x:v>45903.31129690972</x:v>
      </x:c>
      <x:c r="L132" s="19" t="n">
        <x:v>46011</x:v>
      </x:c>
      <x:c r="M132" s="15" t="str">
        <x:v>ДК 021:2015 – 45310000-3 (Поточний ремонт електромереж з підключенням джерел резервного живлення (монтаж та підключення дизель-генератора) за адресою: вул. Гаванська,15)</x:v>
      </x:c>
      <x:c r="N132" s="15" t="str">
        <x:v>https://prozorro.gov.ua/tender/UA-2025-09-03-002551-a</x:v>
      </x:c>
    </x:row>
    <x:row r="133">
      <x:c r="A133" s="14" t="n">
        <x:v>129</x:v>
      </x:c>
      <x:c r="B133" s="14" t="str">
        <x:v>ФОП "КОНОВАЛЕНКО СЕРГІЙ ВОЛОДИМИРОВИЧ"</x:v>
      </x:c>
      <x:c r="C133" s="14" t="str">
        <x:v>2037114754</x:v>
      </x:c>
      <x:c r="D133" s="14" t="str">
        <x:v>Промислові підлоги та бетон</x:v>
      </x:c>
      <x:c r="E133" s="14" t="str">
        <x:v>Expansion discovery</x:v>
      </x:c>
      <x:c r="F133" s="14" t="str">
        <x:v>I2</x:v>
      </x:c>
      <x:c r="G133" s="14" t="n">
        <x:v>71</x:v>
      </x:c>
      <x:c r="H133" s="14" t="n">
        <x:v>5</x:v>
      </x:c>
      <x:c r="I133" s="14" t="n">
        <x:v>0</x:v>
      </x:c>
      <x:c r="J133" s="18" t="n">
        <x:v>364000</x:v>
      </x:c>
      <x:c r="K133" s="19" t="n">
        <x:v>46162.53526408565</x:v>
      </x:c>
      <x:c r="L133" s="19" t="n">
        <x:v>46173</x:v>
      </x:c>
      <x:c r="M133" s="15" t="str">
        <x:v>Електромонтажні та пусконалагоджувальні роботи з підключення гібридного інвертора;Монтаж та складання електрощита (встановлення автоматики, реле захисту, перемикача навантаження та обмежувача перенапруг)
(ДК 021:2015:45310000-3 Електромонтажні роботи)</x:v>
      </x:c>
      <x:c r="N133" s="15" t="str">
        <x:v>https://prozorro.gov.ua/tender/UA-2026-05-20-011414-a</x:v>
      </x:c>
    </x:row>
    <x:row r="134">
      <x:c r="A134" s="14" t="n">
        <x:v>130</x:v>
      </x:c>
      <x:c r="B134" s="14" t="str">
        <x:v>ПОНОМАРЕНКО ОЛЕКСАНДР РОМАНОВИЧ</x:v>
      </x:c>
      <x:c r="C134" s="14" t="str">
        <x:v>2262116093</x:v>
      </x:c>
      <x:c r="D134" s="14" t="str">
        <x:v>Пасивний вогнезахист</x:v>
      </x:c>
      <x:c r="E134" s="14" t="str">
        <x:v>Expansion discovery</x:v>
      </x:c>
      <x:c r="F134" s="14" t="str">
        <x:v>I2</x:v>
      </x:c>
      <x:c r="G134" s="14" t="n">
        <x:v>70</x:v>
      </x:c>
      <x:c r="H134" s="14" t="n">
        <x:v>3</x:v>
      </x:c>
      <x:c r="I134" s="14" t="n">
        <x:v>3</x:v>
      </x:c>
      <x:c r="J134" s="18" t="n">
        <x:v>132204</x:v>
      </x:c>
      <x:c r="K134" s="19" t="n">
        <x:v>46170.41308081018</x:v>
      </x:c>
      <x:c r="L134" s="19" t="n">
        <x:v>46387</x:v>
      </x:c>
      <x:c r="M134" s="15" t="str">
        <x:v>Вогнезахисна обробка будівельних конструкцій горища</x:v>
      </x:c>
      <x:c r="N134" s="15" t="str">
        <x:v>https://prozorro.gov.ua/tender/UA-2026-05-28-006068-a</x:v>
      </x:c>
    </x:row>
    <x:row r="135">
      <x:c r="A135" s="14" t="n">
        <x:v>131</x:v>
      </x:c>
      <x:c r="B135" s="14" t="str">
        <x:v>ТОВАРИСТВО З ОБМЕЖЕНОЮ ВІДПОВІДАЛЬНІСТЮ "КОМФОРТ-ЕКО"</x:v>
      </x:c>
      <x:c r="C135" s="14" t="str">
        <x:v>31830396</x:v>
      </x:c>
      <x:c r="D135" s="14" t="str">
        <x:v>Водоочищення / очисні споруди</x:v>
      </x:c>
      <x:c r="E135" s="14" t="str">
        <x:v>Expansion discovery</x:v>
      </x:c>
      <x:c r="F135" s="14" t="str">
        <x:v>I2</x:v>
      </x:c>
      <x:c r="G135" s="14" t="n">
        <x:v>70</x:v>
      </x:c>
      <x:c r="H135" s="14" t="n">
        <x:v>4</x:v>
      </x:c>
      <x:c r="I135" s="14" t="n">
        <x:v>3</x:v>
      </x:c>
      <x:c r="J135" s="18" t="n">
        <x:v>970951.2</x:v>
      </x:c>
      <x:c r="K135" s="19" t="n">
        <x:v>46051.62307699074</x:v>
      </x:c>
      <x:c r="L135" s="19" t="n">
        <x:v>46387</x:v>
      </x:c>
      <x:c r="M135" s="15" t="str">
        <x:v>Коригування робочого проекту:"Реконструкція очисних каналізаційних споруд повної біологічної очистки м. Арциз Одеської області.Коригування"</x:v>
      </x:c>
      <x:c r="N135" s="15" t="str">
        <x:v>https://prozorro.gov.ua/tender/UA-2026-01-29-000491-a</x:v>
      </x:c>
    </x:row>
    <x:row r="136">
      <x:c r="A136" s="14" t="n">
        <x:v>132</x:v>
      </x:c>
      <x:c r="B136" s="14" t="str">
        <x:v>ТОВАРИСТВО З ОБМЕЖЕНОЮ ВІДПОВІДАЛЬНІСТЮ "НАГЛЯД ІНЖИНІРИНГ ПРОЕКТ"</x:v>
      </x:c>
      <x:c r="C136" s="14" t="str">
        <x:v>45394450</x:v>
      </x:c>
      <x:c r="D136" s="14" t="str">
        <x:v>Теплові мережі</x:v>
      </x:c>
      <x:c r="E136" s="14" t="str">
        <x:v>Expansion discovery</x:v>
      </x:c>
      <x:c r="F136" s="14" t="str">
        <x:v>I2</x:v>
      </x:c>
      <x:c r="G136" s="14" t="n">
        <x:v>70</x:v>
      </x:c>
      <x:c r="H136" s="14" t="n">
        <x:v>3</x:v>
      </x:c>
      <x:c r="I136" s="14" t="n">
        <x:v>3</x:v>
      </x:c>
      <x:c r="J136" s="18" t="n">
        <x:v>198418.8</x:v>
      </x:c>
      <x:c r="K136" s="19" t="n">
        <x:v>46199.27758047454</x:v>
      </x:c>
      <x:c r="L136" s="19" t="n">
        <x:v>46265</x:v>
      </x:c>
      <x:c r="M136"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136" s="15" t="str">
        <x:v>https://prozorro.gov.ua/tender/UA-2026-06-26-001164-a</x:v>
      </x:c>
    </x:row>
    <x:row r="137">
      <x:c r="A137" s="14" t="n">
        <x:v>133</x:v>
      </x:c>
      <x:c r="B137"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C137" s="14" t="str">
        <x:v>3082908695</x:v>
      </x:c>
      <x:c r="D137" s="14" t="str">
        <x:v>Пасивний вогнезахист</x:v>
      </x:c>
      <x:c r="E137" s="14" t="str">
        <x:v>Expansion discovery</x:v>
      </x:c>
      <x:c r="F137" s="14" t="str">
        <x:v>I2</x:v>
      </x:c>
      <x:c r="G137" s="14" t="n">
        <x:v>70</x:v>
      </x:c>
      <x:c r="H137" s="14" t="n">
        <x:v>3</x:v>
      </x:c>
      <x:c r="I137" s="14" t="n">
        <x:v>3</x:v>
      </x:c>
      <x:c r="J137" s="18" t="n">
        <x:v>180000</x:v>
      </x:c>
      <x:c r="K137" s="19" t="n">
        <x:v>46212.33465424769</x:v>
      </x:c>
      <x:c r="L137" s="19" t="n">
        <x:v>46387</x:v>
      </x:c>
      <x:c r="M137" s="15" t="str">
        <x:v>послуга з вогнезахисної  обробки дерев'яних конструкцій даху </x:v>
      </x:c>
      <x:c r="N137" s="15" t="str">
        <x:v>https://prozorro.gov.ua/tender/UA-2026-07-09-002848-a</x:v>
      </x:c>
    </x:row>
    <x:row r="138">
      <x:c r="A138" s="14" t="n">
        <x:v>134</x:v>
      </x:c>
      <x:c r="B138" s="14" t="str">
        <x:v>ПП "БУДСТАР-ПЛЮС"</x:v>
      </x:c>
      <x:c r="C138" s="14" t="str">
        <x:v>32602607</x:v>
      </x:c>
      <x:c r="D138" s="14" t="str">
        <x:v>Резервне живлення</x:v>
      </x:c>
      <x:c r="E138" s="14" t="str">
        <x:v>Pilot now</x:v>
      </x:c>
      <x:c r="F138" s="14" t="str">
        <x:v>I2</x:v>
      </x:c>
      <x:c r="G138" s="14" t="n">
        <x:v>70</x:v>
      </x:c>
      <x:c r="H138" s="14" t="n">
        <x:v>2</x:v>
      </x:c>
      <x:c r="I138" s="14" t="n">
        <x:v>2</x:v>
      </x:c>
      <x:c r="J138" s="18" t="n">
        <x:v>503747.79</x:v>
      </x:c>
      <x:c r="K138" s="19" t="n">
        <x:v>46227.35085289352</x:v>
      </x:c>
      <x:c r="L138" s="19" t="n">
        <x:v>46387.53319444445</x:v>
      </x:c>
      <x:c r="M138" s="15" t="str">
        <x:v>Монтаж та підключення  дизель-генератора потужністю 44 кВт за адресою:  Сумська область, м. Суми, вул. Шкільна, буд. 17</x:v>
      </x:c>
      <x:c r="N138" s="15" t="str">
        <x:v>https://prozorro.gov.ua/tender/UA-2026-07-13-007118-a</x:v>
      </x:c>
    </x:row>
    <x:row r="139">
      <x:c r="A139" s="14" t="n">
        <x:v>135</x:v>
      </x:c>
      <x:c r="B139" s="14" t="str">
        <x:v>ПРИВАТНЕ ПІДПРИЄМСТВО «ЕЛЕ­КТРО­ПРОМ­ТЕХ»</x:v>
      </x:c>
      <x:c r="C139" s="14" t="str">
        <x:v>32489197</x:v>
      </x:c>
      <x:c r="D139" s="14" t="str">
        <x:v>Електромонтаж</x:v>
      </x:c>
      <x:c r="E139" s="14" t="str">
        <x:v>Pilot now</x:v>
      </x:c>
      <x:c r="F139" s="14" t="str">
        <x:v>I2</x:v>
      </x:c>
      <x:c r="G139" s="14" t="n">
        <x:v>70</x:v>
      </x:c>
      <x:c r="H139" s="14" t="n">
        <x:v>5</x:v>
      </x:c>
      <x:c r="I139" s="14" t="n">
        <x:v>2</x:v>
      </x:c>
      <x:c r="J139" s="18" t="n">
        <x:v>349658</x:v>
      </x:c>
      <x:c r="K139" s="19" t="n">
        <x:v>46142.528413622684</x:v>
      </x:c>
      <x:c r="L139" s="19" t="n">
        <x:v>46173.530625</x:v>
      </x:c>
      <x:c r="M139" s="15" t="str">
        <x:v>Послуги по монтажу та підключенню до електричної мережі світлодіодних світильників у школі І-ІІІ ступенів №282 Деснянського району міста Києва</x:v>
      </x:c>
      <x:c r="N139" s="15" t="str">
        <x:v>https://prozorro.gov.ua/tender/UA-2026-04-30-008926-a</x:v>
      </x:c>
    </x:row>
    <x:row r="140">
      <x:c r="A140" s="14" t="n">
        <x:v>136</x:v>
      </x:c>
      <x:c r="B140" s="14" t="str">
        <x:v>ТОВ Амструд</x:v>
      </x:c>
      <x:c r="C140" s="14" t="str">
        <x:v>39865269</x:v>
      </x:c>
      <x:c r="D140" s="14" t="str">
        <x:v>Дорожні роботи</x:v>
      </x:c>
      <x:c r="E140" s="14" t="str">
        <x:v>Expansion discovery</x:v>
      </x:c>
      <x:c r="F140" s="14" t="str">
        <x:v>I2</x:v>
      </x:c>
      <x:c r="G140" s="14" t="n">
        <x:v>70</x:v>
      </x:c>
      <x:c r="H140" s="14" t="n">
        <x:v>2</x:v>
      </x:c>
      <x:c r="I140" s="14" t="n">
        <x:v>2</x:v>
      </x:c>
      <x:c r="J140" s="18" t="n">
        <x:v>1688063.54</x:v>
      </x:c>
      <x:c r="K140" s="19" t="n">
        <x:v>46246.42828355324</x:v>
      </x:c>
      <x:c r="L140" s="19" t="n">
        <x:v>46387.47287037037</x:v>
      </x:c>
      <x:c r="M140" s="15" t="str">
        <x:v>Капітальний ремонт дорожнього покриття по вул. Благовісна в с. Щасливе Бориспільського району Київської області</x:v>
      </x:c>
      <x:c r="N140" s="15" t="str">
        <x:v>https://prozorro.gov.ua/tender/UA-2026-08-12-005710-a</x:v>
      </x:c>
    </x:row>
    <x:row r="141">
      <x:c r="A141" s="14" t="n">
        <x:v>137</x:v>
      </x:c>
      <x:c r="B141" s="14" t="str">
        <x:v>ТОВАРИСТВО З ОБМЕЖЕНОЮ ВІДПОВІДАЛЬНІСТЮ "АРБОРИСТ ЕКО"</x:v>
      </x:c>
      <x:c r="C141" s="14" t="str">
        <x:v>44939929</x:v>
      </x:c>
      <x:c r="D141" s="14" t="str">
        <x:v>Благоустрій</x:v>
      </x:c>
      <x:c r="E141" s="14" t="str">
        <x:v>Expansion discovery</x:v>
      </x:c>
      <x:c r="F141" s="14" t="str">
        <x:v>I2</x:v>
      </x:c>
      <x:c r="G141" s="14" t="n">
        <x:v>70</x:v>
      </x:c>
      <x:c r="H141" s="14" t="n">
        <x:v>3</x:v>
      </x:c>
      <x:c r="I141" s="14" t="n">
        <x:v>2</x:v>
      </x:c>
      <x:c r="J141" s="18" t="n">
        <x:v>3001700</x:v>
      </x:c>
      <x:c r="K141" s="19" t="n">
        <x:v>46094.520546493055</x:v>
      </x:c>
      <x:c r="L141" s="19" t="n">
        <x:v>46387.4303125</x:v>
      </x:c>
      <x:c r="M141"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41" s="15" t="str">
        <x:v>https://prozorro.gov.ua/tender/UA-2026-03-03-006192-a</x:v>
      </x:c>
    </x:row>
    <x:row r="142">
      <x:c r="A142" s="14" t="n">
        <x:v>138</x:v>
      </x:c>
      <x:c r="B142" s="14" t="str">
        <x:v>ТОВАРИСТВО З ОБМЕЖЕНОЮ ВІДПОВІДАЛЬНІСТЮ "ДІВАЙС"</x:v>
      </x:c>
      <x:c r="C142" s="14" t="str">
        <x:v>30357952</x:v>
      </x:c>
      <x:c r="D142" s="14" t="str">
        <x:v>Газопостачання / котельні</x:v>
      </x:c>
      <x:c r="E142" s="14" t="str">
        <x:v>Expansion discovery</x:v>
      </x:c>
      <x:c r="F142" s="14" t="str">
        <x:v>I2</x:v>
      </x:c>
      <x:c r="G142" s="14" t="n">
        <x:v>70</x:v>
      </x:c>
      <x:c r="H142" s="14" t="n">
        <x:v>3</x:v>
      </x:c>
      <x:c r="I142" s="14" t="n">
        <x:v>2</x:v>
      </x:c>
      <x:c r="J142" s="18" t="n">
        <x:v>46495410.35</x:v>
      </x:c>
      <x:c r="K142" s="19" t="n">
        <x:v>46154.27752568287</x:v>
      </x:c>
      <x:c r="L142" s="19" t="n">
        <x:v>46356.916655092595</x:v>
      </x:c>
      <x:c r="M142"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x:v>
      </x:c>
      <x:c r="N142" s="15" t="str">
        <x:v>https://prozorro.gov.ua/tender/UA-2026-04-22-015117-a</x:v>
      </x:c>
    </x:row>
    <x:row r="143">
      <x:c r="A143" s="14" t="n">
        <x:v>139</x:v>
      </x:c>
      <x:c r="B143" s="14" t="str">
        <x:v>ПП "СК-ПОДІЛЛЯ"</x:v>
      </x:c>
      <x:c r="C143" s="14" t="str">
        <x:v>43108790</x:v>
      </x:c>
      <x:c r="D143" s="14" t="str">
        <x:v>Електромонтаж</x:v>
      </x:c>
      <x:c r="E143" s="14" t="str">
        <x:v>Pilot now</x:v>
      </x:c>
      <x:c r="F143" s="14" t="str">
        <x:v>I2</x:v>
      </x:c>
      <x:c r="G143" s="14" t="n">
        <x:v>70</x:v>
      </x:c>
      <x:c r="H143" s="14" t="n">
        <x:v>3</x:v>
      </x:c>
      <x:c r="I143" s="14" t="n">
        <x:v>1</x:v>
      </x:c>
      <x:c r="J143" s="18" t="n">
        <x:v>1337935.6</x:v>
      </x:c>
      <x:c r="K143" s="19" t="n">
        <x:v>46127.41543148148</x:v>
      </x:c>
      <x:c r="L143" s="19" t="n">
        <x:v>46387</x:v>
      </x:c>
      <x:c r="M143" s="15" t="str">
        <x:v>Капітальний ремонт даху стаціонару, поліклініки та дитячого відділення (посилення несучих конструкцій) КНП «Біляївська Багатопрофільна лікарня» за адресою: Одеська обл., Одеський район,  м.Біляївка, вул. Харківська, буд. 30-Б, код за  ДК 021:2015  45260000-7 - Покрівельні роботи та інші спеціалізовані будівельні роботи (ДК 021:2015  45261910-6  - Ремонт дахів)</x:v>
      </x:c>
      <x:c r="N143" s="15" t="str">
        <x:v>https://prozorro.gov.ua/tender/UA-2026-04-15-005950-a</x:v>
      </x:c>
    </x:row>
    <x:row r="144">
      <x:c r="A144" s="14" t="n">
        <x:v>140</x:v>
      </x:c>
      <x:c r="B144" s="14" t="str">
        <x:v>ТОВАРИСТВО З ОБМЕЖЕНОЮ ВІДПОВІДАЛЬНІСТЮ "ОЛІР"</x:v>
      </x:c>
      <x:c r="C144" s="14" t="str">
        <x:v>32263898</x:v>
      </x:c>
      <x:c r="D144" s="14" t="str">
        <x:v>Газопостачання / котельні</x:v>
      </x:c>
      <x:c r="E144" s="14" t="str">
        <x:v>Expansion discovery</x:v>
      </x:c>
      <x:c r="F144" s="14" t="str">
        <x:v>I2</x:v>
      </x:c>
      <x:c r="G144" s="14" t="n">
        <x:v>70</x:v>
      </x:c>
      <x:c r="H144" s="14" t="n">
        <x:v>2</x:v>
      </x:c>
      <x:c r="I144" s="14" t="n">
        <x:v>1</x:v>
      </x:c>
      <x:c r="J144" s="18" t="n">
        <x:v>47369224.31</x:v>
      </x:c>
      <x:c r="K144" s="19" t="n">
        <x:v>46203.48953586806</x:v>
      </x:c>
      <x:c r="L144" s="19" t="n">
        <x:v>46280</x:v>
      </x:c>
      <x:c r="M144"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x:v>
      </x:c>
      <x:c r="N144" s="15" t="str">
        <x:v>https://prozorro.gov.ua/tender/UA-2026-06-30-009204-a</x:v>
      </x:c>
    </x:row>
    <x:row r="145">
      <x:c r="A145" s="14" t="n">
        <x:v>141</x:v>
      </x:c>
      <x:c r="B145" s="14" t="str">
        <x:v>ТОВАРИСТВО З ОБМЕЖЕНОЮ ВІДПОВІДАЛЬНІСТЮ "СПЕЦПРОМСИСТЕМА"</x:v>
      </x:c>
      <x:c r="C145" s="14" t="str">
        <x:v>38771175</x:v>
      </x:c>
      <x:c r="D145" s="14" t="str">
        <x:v>Стиснене повітря / компресорні</x:v>
      </x:c>
      <x:c r="E145" s="14" t="str">
        <x:v>Expansion discovery</x:v>
      </x:c>
      <x:c r="F145" s="14" t="str">
        <x:v>I2</x:v>
      </x:c>
      <x:c r="G145" s="14" t="n">
        <x:v>70</x:v>
      </x:c>
      <x:c r="H145" s="14" t="n">
        <x:v>3</x:v>
      </x:c>
      <x:c r="I145" s="14" t="n">
        <x:v>1</x:v>
      </x:c>
      <x:c r="J145" s="18" t="n">
        <x:v>2142912</x:v>
      </x:c>
      <x:c r="K145" s="19" t="n">
        <x:v>46125.36080469908</x:v>
      </x:c>
      <x:c r="L145" s="19" t="n">
        <x:v>46559</x:v>
      </x:c>
      <x:c r="M145"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КС-20 «Гусятин» в Чортківському районі Тернопільської області» (Стадії «Проект» та «Робоча документація») (Будівельні роботи та поточний ремонт)</x:v>
      </x:c>
      <x:c r="N145" s="15" t="str">
        <x:v>https://prozorro.gov.ua/tender/UA-2026-03-18-013044-a</x:v>
      </x:c>
    </x:row>
    <x:row r="146">
      <x:c r="A146" s="14" t="n">
        <x:v>142</x:v>
      </x:c>
      <x:c r="B146" s="14" t="str">
        <x:v>ТОВАРИСТВО З ОБМЕЖЕНОЮ ВІДПОВІДАЛЬНІСТЮ "СТРОГАЗ"</x:v>
      </x:c>
      <x:c r="C146" s="14" t="str">
        <x:v>39958735</x:v>
      </x:c>
      <x:c r="D146" s="14" t="str">
        <x:v>Газові мережі</x:v>
      </x:c>
      <x:c r="E146" s="14" t="str">
        <x:v>Expansion discovery</x:v>
      </x:c>
      <x:c r="F146" s="14" t="str">
        <x:v>I2</x:v>
      </x:c>
      <x:c r="G146" s="14" t="n">
        <x:v>70</x:v>
      </x:c>
      <x:c r="H146" s="14" t="n">
        <x:v>3</x:v>
      </x:c>
      <x:c r="I146" s="14" t="n">
        <x:v>1</x:v>
      </x:c>
      <x:c r="J146" s="18" t="n">
        <x:v>3178017.22</x:v>
      </x:c>
      <x:c r="K146" s="19" t="n">
        <x:v>46105.46075315972</x:v>
      </x:c>
      <x:c r="L146" s="19" t="n">
        <x:v>46387</x:v>
      </x:c>
      <x:c r="M146" s="15" t="str">
        <x:v>«Нове будівництво газопроводу по вул. Абрикосовій в с. Хортиця Запорізького району Запорізької області</x:v>
      </x:c>
      <x:c r="N146" s="15" t="str">
        <x:v>https://prozorro.gov.ua/tender/UA-2026-02-23-006403-a</x:v>
      </x:c>
    </x:row>
    <x:row r="147">
      <x:c r="A147" s="14" t="n">
        <x:v>143</x:v>
      </x:c>
      <x:c r="B147" s="14" t="str">
        <x:v>ТОВАРИСТВО З ОБМЕЖЕНОЮ ВІДПОВІДАЛЬНІСТЮ "НАДІЙНА ОСЕЛЯ В"</x:v>
      </x:c>
      <x:c r="C147" s="14" t="str">
        <x:v>39337866</x:v>
      </x:c>
      <x:c r="D147" s="14" t="str">
        <x:v>Металоконструкції</x:v>
      </x:c>
      <x:c r="E147" s="14" t="str">
        <x:v>Expansion discovery</x:v>
      </x:c>
      <x:c r="F147" s="14" t="str">
        <x:v>I2</x:v>
      </x:c>
      <x:c r="G147" s="14" t="n">
        <x:v>70</x:v>
      </x:c>
      <x:c r="H147" s="14" t="n">
        <x:v>2</x:v>
      </x:c>
      <x:c r="I147" s="14" t="n">
        <x:v>0</x:v>
      </x:c>
      <x:c r="J147" s="18" t="n">
        <x:v>848115.66</x:v>
      </x:c>
      <x:c r="K147" s="19" t="n">
        <x:v>46213.415942893516</x:v>
      </x:c>
      <x:c r="L147" s="19" t="n">
        <x:v>46217</x:v>
      </x:c>
      <x:c r="M147" s="15" t="str">
        <x:v>виготовлення,збирання та монтаж металоконструкцій  складу для зберігання пелетів у Зорянському ліцеї</x:v>
      </x:c>
      <x:c r="N147" s="15" t="str">
        <x:v>https://prozorro.gov.ua/tender/UA-2026-07-10-005670-a</x:v>
      </x:c>
    </x:row>
    <x:row r="148">
      <x:c r="A148" s="14" t="n">
        <x:v>144</x:v>
      </x:c>
      <x:c r="B148" s="14" t="str">
        <x:v>ФОП Струк Сергій Васильович</x:v>
      </x:c>
      <x:c r="C148" s="14" t="str">
        <x:v>2984501813</x:v>
      </x:c>
      <x:c r="D148" s="14" t="str">
        <x:v>HVAC / ОВіК</x:v>
      </x:c>
      <x:c r="E148" s="14" t="str">
        <x:v>Pilot now</x:v>
      </x:c>
      <x:c r="F148" s="14" t="str">
        <x:v>I2</x:v>
      </x:c>
      <x:c r="G148" s="14" t="n">
        <x:v>69</x:v>
      </x:c>
      <x:c r="H148" s="14" t="n">
        <x:v>3</x:v>
      </x:c>
      <x:c r="I148" s="14" t="n">
        <x:v>3</x:v>
      </x:c>
      <x:c r="J148" s="18" t="n">
        <x:v>44060</x:v>
      </x:c>
      <x:c r="K148" s="19" t="n">
        <x:v>46224.505549525464</x:v>
      </x:c>
      <x:c r="L148" s="19" t="n">
        <x:v>46387</x:v>
      </x:c>
      <x:c r="M148" s="15" t="str">
        <x:v>Послуги монтажу систем кондиціювання та вентиляції</x:v>
      </x:c>
      <x:c r="N148" s="15" t="str">
        <x:v>https://prozorro.gov.ua/tender/UA-2026-07-21-008345-a</x:v>
      </x:c>
    </x:row>
    <x:row r="149">
      <x:c r="A149" s="14" t="n">
        <x:v>145</x:v>
      </x:c>
      <x:c r="B149" s="14" t="str">
        <x:v>ТОВАРИСТВО З ОБМЕЖЕНОЮ ВІДПОВІДАЛЬНІСТЮ "ТДС БУД ІНВЕСТ"</x:v>
      </x:c>
      <x:c r="C149" s="14" t="str">
        <x:v>37432564</x:v>
      </x:c>
      <x:c r="D149" s="14" t="str">
        <x:v>ГНБ / безтраншейні роботи</x:v>
      </x:c>
      <x:c r="E149" s="14" t="str">
        <x:v>Expansion discovery</x:v>
      </x:c>
      <x:c r="F149" s="14" t="str">
        <x:v>I2</x:v>
      </x:c>
      <x:c r="G149" s="14" t="n">
        <x:v>69</x:v>
      </x:c>
      <x:c r="H149" s="14" t="n">
        <x:v>9</x:v>
      </x:c>
      <x:c r="I149" s="14" t="n">
        <x:v>1</x:v>
      </x:c>
      <x:c r="J149" s="18" t="n">
        <x:v>7772550.99</x:v>
      </x:c>
      <x:c r="K149" s="19" t="n">
        <x:v>45478.447927824076</x:v>
      </x:c>
      <x:c r="L149" s="19" t="n">
        <x:v>45492</x:v>
      </x:c>
      <x:c r="M149" s="15" t="str">
        <x:v>Реконструкція каналізаційної мережі К1 методом горизонтально-направленого буріння на площі Рекунова в м. Гостомель Бучанського району Київської області.</x:v>
      </x:c>
      <x:c r="N149" s="15" t="str">
        <x:v>https://prozorro.gov.ua/tender/UA-2024-07-05-006290-a</x:v>
      </x:c>
    </x:row>
    <x:row r="150">
      <x:c r="A150" s="14" t="n">
        <x:v>146</x:v>
      </x:c>
      <x:c r="B150" s="14" t="str">
        <x:v>Товариство з обмеженою відповідальністю «БК Домінант»</x:v>
      </x:c>
      <x:c r="C150" s="14" t="str">
        <x:v>40442698</x:v>
      </x:c>
      <x:c r="D150" s="14" t="str">
        <x:v>Насосні станції</x:v>
      </x:c>
      <x:c r="E150" s="14" t="str">
        <x:v>Expansion discovery</x:v>
      </x:c>
      <x:c r="F150" s="14" t="str">
        <x:v>I2</x:v>
      </x:c>
      <x:c r="G150" s="14" t="n">
        <x:v>68</x:v>
      </x:c>
      <x:c r="H150" s="14" t="n">
        <x:v>3</x:v>
      </x:c>
      <x:c r="I150" s="14" t="n">
        <x:v>3</x:v>
      </x:c>
      <x:c r="J150" s="18" t="n">
        <x:v>80242712.66</x:v>
      </x:c>
      <x:c r="K150" s="19" t="n">
        <x:v>46224.54783775463</x:v>
      </x:c>
      <x:c r="L150" s="19" t="n">
        <x:v>46752.588900462964</x:v>
      </x:c>
      <x:c r="M150" s="15" t="str">
        <x:v>Виконання робіт по об'єкту: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(ДК 021:2015: 45000000-7 - Будівельні роботи та поточний ремонт)</x:v>
      </x:c>
      <x:c r="N150" s="15" t="str">
        <x:v>https://prozorro.gov.ua/tender/UA-2026-07-21-009878-a</x:v>
      </x:c>
    </x:row>
    <x:row r="151">
      <x:c r="A151" s="14" t="n">
        <x:v>147</x:v>
      </x:c>
      <x:c r="B151" s="14" t="str">
        <x:v>КОМУНАЛЬНЕ ПІДПРИЄМСТВО "ІРПІНЬЖИТЛОІНВЕСТБУД"</x:v>
      </x:c>
      <x:c r="C151" s="14" t="str">
        <x:v>35023634</x:v>
      </x:c>
      <x:c r="D151" s="14" t="str">
        <x:v>ГНБ / безтраншейні роботи</x:v>
      </x:c>
      <x:c r="E151" s="14" t="str">
        <x:v>Expansion discovery</x:v>
      </x:c>
      <x:c r="F151" s="14" t="str">
        <x:v>I2</x:v>
      </x:c>
      <x:c r="G151" s="14" t="n">
        <x:v>68</x:v>
      </x:c>
      <x:c r="H151" s="14" t="n">
        <x:v>3</x:v>
      </x:c>
      <x:c r="I151" s="14" t="n">
        <x:v>2</x:v>
      </x:c>
      <x:c r="J151" s="18" t="n">
        <x:v>296465.88</x:v>
      </x:c>
      <x:c r="K151" s="19" t="n">
        <x:v>46212.49047722222</x:v>
      </x:c>
      <x:c r="L151" s="19" t="n">
        <x:v>46295</x:v>
      </x:c>
      <x:c r="M151" s="15" t="str">
        <x:v> Технічний нагляд  по об'єкту: "Реконструкція із заміною теплової мережі по вул.Привокзальна площа,5,м.Ірпінь" (частина робіт)</x:v>
      </x:c>
      <x:c r="N151" s="15" t="str">
        <x:v>https://prozorro.gov.ua/tender/UA-2026-07-09-007496-a</x:v>
      </x:c>
    </x:row>
    <x:row r="152">
      <x:c r="A152" s="14" t="n">
        <x:v>148</x:v>
      </x:c>
      <x:c r="B152" s="14" t="str">
        <x:v>ТОВ "ЮІСіЕй"</x:v>
      </x:c>
      <x:c r="C152" s="14" t="str">
        <x:v>37139449</x:v>
      </x:c>
      <x:c r="D152" s="14" t="str">
        <x:v>Насосні станції</x:v>
      </x:c>
      <x:c r="E152" s="14" t="str">
        <x:v>Expansion discovery</x:v>
      </x:c>
      <x:c r="F152" s="14" t="str">
        <x:v>I2</x:v>
      </x:c>
      <x:c r="G152" s="14" t="n">
        <x:v>68</x:v>
      </x:c>
      <x:c r="H152" s="14" t="n">
        <x:v>2</x:v>
      </x:c>
      <x:c r="I152" s="14" t="n">
        <x:v>2</x:v>
      </x:c>
      <x:c r="J152" s="18" t="n">
        <x:v>90044977.97999999</x:v>
      </x:c>
      <x:c r="K152" s="19" t="n">
        <x:v>46162.418928796294</x:v>
      </x:c>
      <x:c r="L152" s="19" t="n">
        <x:v>46752.46193287037</x:v>
      </x:c>
      <x:c r="M152" s="15" t="str">
        <x:v>Реконструкція електричної підстанції ПС 110/35/10 кВ ПЧ3 розміщеної на території Чернігівської області з влаштуванням II рівня інженерного захисту трансформатора Т-2 (ДК 021:2015 - 45454000-4 «Реконструкція»)</x:v>
      </x:c>
      <x:c r="N152" s="15" t="str">
        <x:v>https://prozorro.gov.ua/tender/UA-2026-05-20-006751-a</x:v>
      </x:c>
    </x:row>
    <x:row r="153">
      <x:c r="A153" s="14" t="n">
        <x:v>149</x:v>
      </x:c>
      <x:c r="B153" s="14" t="str">
        <x:v>ТОВАРИСТВО З ОБМЕЖЕНОЮ ВІДПОВІДАЛЬНІСТЮ "ЕНЕРГОБУДПРОЕКТ-2"</x:v>
      </x:c>
      <x:c r="C153" s="14" t="str">
        <x:v>34724556</x:v>
      </x:c>
      <x:c r="D153" s="14" t="str">
        <x:v>Сонячна енергетика</x:v>
      </x:c>
      <x:c r="E153" s="14" t="str">
        <x:v>Pilot now</x:v>
      </x:c>
      <x:c r="F153" s="14" t="str">
        <x:v>I2</x:v>
      </x:c>
      <x:c r="G153" s="14" t="n">
        <x:v>68</x:v>
      </x:c>
      <x:c r="H153" s="14" t="n">
        <x:v>2</x:v>
      </x:c>
      <x:c r="I153" s="14" t="n">
        <x:v>2</x:v>
      </x:c>
      <x:c r="J153" s="18" t="n">
        <x:v>5218439.28</x:v>
      </x:c>
      <x:c r="K153" s="19" t="n">
        <x:v>46195.36500131944</x:v>
      </x:c>
      <x:c r="L153" s="19" t="n">
        <x:v>46326</x:v>
      </x:c>
      <x:c r="M153" s="15" t="str">
        <x:v>Будівництво КЛ-10 кВ Л-244 в с. Бережинка  для зовнішнього електропостачання сонячної електростанції «АГРОТОК» ТОВ «АГРОТОК ЕНЕРГО» кад. №3522580900:02:000:2455 в с. Бережинка Кропивницького району (приєднання)</x:v>
      </x:c>
      <x:c r="N153" s="15" t="str">
        <x:v>https://prozorro.gov.ua/tender/UA-2026-06-22-004621-a</x:v>
      </x:c>
    </x:row>
    <x:row r="154">
      <x:c r="A154" s="14" t="n">
        <x:v>150</x:v>
      </x:c>
      <x:c r="B154" s="14" t="str">
        <x:v>ТОВАРИСТВО З ОБМЕЖЕНОЮ ВІДПОВІДАЛЬНІСТЮ "ІНЖЕНЕРНО-ТЕХНІЧНИЙ ЦЕНТР РЕМБУДСЕРВІС"</x:v>
      </x:c>
      <x:c r="C154" s="14" t="str">
        <x:v>32360202</x:v>
      </x:c>
      <x:c r="D154" s="14" t="str">
        <x:v>Газові мережі</x:v>
      </x:c>
      <x:c r="E154" s="14" t="str">
        <x:v>Expansion discovery</x:v>
      </x:c>
      <x:c r="F154" s="14" t="str">
        <x:v>I2</x:v>
      </x:c>
      <x:c r="G154" s="14" t="n">
        <x:v>68</x:v>
      </x:c>
      <x:c r="H154" s="14" t="n">
        <x:v>2</x:v>
      </x:c>
      <x:c r="I154" s="14" t="n">
        <x:v>2</x:v>
      </x:c>
      <x:c r="J154" s="18" t="n">
        <x:v>5550563</x:v>
      </x:c>
      <x:c r="K154" s="19" t="n">
        <x:v>46184.378605335645</x:v>
      </x:c>
      <x:c r="L154" s="19" t="n">
        <x:v>46340</x:v>
      </x:c>
      <x:c r="M154"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x:v>
      </x:c>
      <x:c r="N154" s="15" t="str">
        <x:v>https://prozorro.gov.ua/tender/UA-2026-05-11-011932-a</x:v>
      </x:c>
    </x:row>
    <x:row r="155">
      <x:c r="A155" s="14" t="n">
        <x:v>151</x:v>
      </x:c>
      <x:c r="B155" s="14" t="str">
        <x:v>ПП "Кабекслайн"</x:v>
      </x:c>
      <x:c r="C155" s="14" t="str">
        <x:v>38095345</x:v>
      </x:c>
      <x:c r="D155" s="14" t="str">
        <x:v>Чисті приміщення</x:v>
      </x:c>
      <x:c r="E155" s="14" t="str">
        <x:v>Expansion discovery</x:v>
      </x:c>
      <x:c r="F155" s="14" t="str">
        <x:v>I2</x:v>
      </x:c>
      <x:c r="G155" s="14" t="n">
        <x:v>68</x:v>
      </x:c>
      <x:c r="H155" s="14" t="n">
        <x:v>1</x:v>
      </x:c>
      <x:c r="I155" s="14" t="n">
        <x:v>1</x:v>
      </x:c>
      <x:c r="J155" s="18" t="n">
        <x:v>212439072.8</x:v>
      </x:c>
      <x:c r="K155" s="19" t="n">
        <x:v>46251.34231299769</x:v>
      </x:c>
      <x:c r="L155" s="19" t="n">
        <x:v>46752</x:v>
      </x:c>
      <x:c r="M155" s="15" t="str">
        <x:v>Реконструкція операційного блоку комунального некомерційного підприємства "Кіровоградська обласна лікарня Кіровоградської обласної ради" за адресою: проспект Університетський, 2/5, м.Кропивницький. Коригування</x:v>
      </x:c>
      <x:c r="N155" s="15" t="str">
        <x:v>https://prozorro.gov.ua/tender/UA-2026-07-08-011140-a</x:v>
      </x:c>
    </x:row>
    <x:row r="156">
      <x:c r="A156" s="14" t="n">
        <x:v>152</x:v>
      </x:c>
      <x:c r="B156" s="14" t="str">
        <x:v>ПП "МЕГАПРОМБУДІМПЕКС"</x:v>
      </x:c>
      <x:c r="C156" s="14" t="str">
        <x:v>41275610</x:v>
      </x:c>
      <x:c r="D156" s="14" t="str">
        <x:v>Дорожні роботи</x:v>
      </x:c>
      <x:c r="E156" s="14" t="str">
        <x:v>Expansion discovery</x:v>
      </x:c>
      <x:c r="F156" s="14" t="str">
        <x:v>I2</x:v>
      </x:c>
      <x:c r="G156" s="14" t="n">
        <x:v>68</x:v>
      </x:c>
      <x:c r="H156" s="14" t="n">
        <x:v>1</x:v>
      </x:c>
      <x:c r="I156" s="14" t="n">
        <x:v>1</x:v>
      </x:c>
      <x:c r="J156" s="18" t="n">
        <x:v>22506444.58</x:v>
      </x:c>
      <x:c r="K156" s="19" t="n">
        <x:v>46225.36542894676</x:v>
      </x:c>
      <x:c r="L156" s="19" t="n">
        <x:v>46752</x:v>
      </x:c>
      <x:c r="M156" s="15" t="str">
        <x:v>Капітальний ремонт дорожнього покриття для благоустрою населеного пункту с.Ямпіль Львівського району Львівської області</x:v>
      </x:c>
      <x:c r="N156" s="15" t="str">
        <x:v>https://prozorro.gov.ua/tender/UA-2026-07-03-008401-a</x:v>
      </x:c>
    </x:row>
    <x:row r="157">
      <x:c r="A157" s="14" t="n">
        <x:v>153</x:v>
      </x:c>
      <x:c r="B157" s="14" t="str">
        <x:v>ПП Полтава Будкомплекс</x:v>
      </x:c>
      <x:c r="C157" s="14" t="str">
        <x:v>40154823</x:v>
      </x:c>
      <x:c r="D157" s="14" t="str">
        <x:v>Теплові мережі</x:v>
      </x:c>
      <x:c r="E157" s="14" t="str">
        <x:v>Expansion discovery</x:v>
      </x:c>
      <x:c r="F157" s="14" t="str">
        <x:v>I2</x:v>
      </x:c>
      <x:c r="G157" s="14" t="n">
        <x:v>68</x:v>
      </x:c>
      <x:c r="H157" s="14" t="n">
        <x:v>1</x:v>
      </x:c>
      <x:c r="I157" s="14" t="n">
        <x:v>1</x:v>
      </x:c>
      <x:c r="J157" s="18" t="n">
        <x:v>10943185</x:v>
      </x:c>
      <x:c r="K157" s="19" t="n">
        <x:v>46231.50997222222</x:v>
      </x:c>
      <x:c r="L157" s="19" t="n">
        <x:v>46327.56765046297</x:v>
      </x:c>
      <x:c r="M157"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x:v>
      </x:c>
      <x:c r="N157" s="15" t="str">
        <x:v>https://prozorro.gov.ua/tender/UA-2026-07-09-008782-a</x:v>
      </x:c>
    </x:row>
    <x:row r="158">
      <x:c r="A158" s="14" t="n">
        <x:v>154</x:v>
      </x:c>
      <x:c r="B158" s="14" t="str">
        <x:v>ПРИВАТНЕ АКЦІОНЕРНЕ ТОВАРИСТВО "БРОВАРСЬКЕ ШЛЯХОВО-БУДІВЕЛЬНЕ УПРАВЛІННЯ № 50"</x:v>
      </x:c>
      <x:c r="C158" s="14" t="str">
        <x:v>05408668</x:v>
      </x:c>
      <x:c r="D158" s="14" t="str">
        <x:v>Мости / інфраструктура</x:v>
      </x:c>
      <x:c r="E158" s="14" t="str">
        <x:v>Expansion discovery</x:v>
      </x:c>
      <x:c r="F158" s="14" t="str">
        <x:v>I2</x:v>
      </x:c>
      <x:c r="G158" s="14" t="n">
        <x:v>68</x:v>
      </x:c>
      <x:c r="H158" s="14" t="n">
        <x:v>1</x:v>
      </x:c>
      <x:c r="I158" s="14" t="n">
        <x:v>1</x:v>
      </x:c>
      <x:c r="J158" s="18" t="n">
        <x:v>135000000</x:v>
      </x:c>
      <x:c r="K158" s="19" t="n">
        <x:v>46216.335399791664</x:v>
      </x:c>
      <x:c r="L158" s="19" t="n">
        <x:v>46752</x:v>
      </x:c>
      <x:c r="M158" s="15" t="str">
        <x:v>Капітальний ремонт мосту на автомобільній дорозі загального користування місцевого значення О100720 Васильків - Княжичі - Лука - Гореничі - /М06/ км 20+119</x:v>
      </x:c>
      <x:c r="N158" s="15" t="str">
        <x:v>https://prozorro.gov.ua/tender/UA-2026-06-11-013816-a</x:v>
      </x:c>
    </x:row>
    <x:row r="159">
      <x:c r="A159" s="14" t="n">
        <x:v>155</x:v>
      </x:c>
      <x:c r="B159" s="14" t="str">
        <x:v>ПРИВАТНЕ ПІДПРИЄМСТВО "СІНТА - СЕРВІС"</x:v>
      </x:c>
      <x:c r="C159" s="14" t="str">
        <x:v>33542869</x:v>
      </x:c>
      <x:c r="D159" s="14" t="str">
        <x:v>Зовнішні мережі</x:v>
      </x:c>
      <x:c r="E159" s="14" t="str">
        <x:v>Expansion discovery</x:v>
      </x:c>
      <x:c r="F159" s="14" t="str">
        <x:v>I2</x:v>
      </x:c>
      <x:c r="G159" s="14" t="n">
        <x:v>68</x:v>
      </x:c>
      <x:c r="H159" s="14" t="n">
        <x:v>1</x:v>
      </x:c>
      <x:c r="I159" s="14" t="n">
        <x:v>1</x:v>
      </x:c>
      <x:c r="J159" s="18" t="n">
        <x:v>76970000</x:v>
      </x:c>
      <x:c r="K159" s="19" t="n">
        <x:v>46231.56358947916</x:v>
      </x:c>
      <x:c r="L159" s="19" t="n">
        <x:v>46746</x:v>
      </x:c>
      <x:c r="M159" s="15" t="str">
        <x:v>Нове будівництво зовнішніх інженерних мереж з підключенням до збірно-розбірних комплексних споруд Закарпатської області</x:v>
      </x:c>
      <x:c r="N159" s="15" t="str">
        <x:v>https://prozorro.gov.ua/tender/UA-2026-07-14-000809-a</x:v>
      </x:c>
    </x:row>
    <x:row r="160">
      <x:c r="A160" s="14" t="n">
        <x:v>156</x:v>
      </x:c>
      <x:c r="B160" s="14" t="str">
        <x:v>ТОВ "ВАЛЕОБУД"</x:v>
      </x:c>
      <x:c r="C160" s="14" t="str">
        <x:v>42591801</x:v>
      </x:c>
      <x:c r="D160" s="14" t="str">
        <x:v>Зовнішні мережі</x:v>
      </x:c>
      <x:c r="E160" s="14" t="str">
        <x:v>Expansion discovery</x:v>
      </x:c>
      <x:c r="F160" s="14" t="str">
        <x:v>I2</x:v>
      </x:c>
      <x:c r="G160" s="14" t="n">
        <x:v>68</x:v>
      </x:c>
      <x:c r="H160" s="14" t="n">
        <x:v>1</x:v>
      </x:c>
      <x:c r="I160" s="14" t="n">
        <x:v>1</x:v>
      </x:c>
      <x:c r="J160" s="18" t="n">
        <x:v>30262320.8</x:v>
      </x:c>
      <x:c r="K160" s="19" t="n">
        <x:v>46225.34587831019</x:v>
      </x:c>
      <x:c r="L160" s="19" t="n">
        <x:v>46387</x:v>
      </x:c>
      <x:c r="M160"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x:v>
      </x:c>
      <x:c r="N160" s="15" t="str">
        <x:v>https://prozorro.gov.ua/tender/UA-2026-07-07-006705-a</x:v>
      </x:c>
    </x:row>
    <x:row r="161">
      <x:c r="A161" s="14" t="n">
        <x:v>157</x:v>
      </x:c>
      <x:c r="B161" s="14" t="str">
        <x:v>ТОВ "ОДЕСАГРОГАЗ"</x:v>
      </x:c>
      <x:c r="C161" s="14" t="str">
        <x:v>35205975</x:v>
      </x:c>
      <x:c r="D161" s="14" t="str">
        <x:v>Теплові мережі</x:v>
      </x:c>
      <x:c r="E161" s="14" t="str">
        <x:v>Expansion discovery</x:v>
      </x:c>
      <x:c r="F161" s="14" t="str">
        <x:v>I2</x:v>
      </x:c>
      <x:c r="G161" s="14" t="n">
        <x:v>68</x:v>
      </x:c>
      <x:c r="H161" s="14" t="n">
        <x:v>1</x:v>
      </x:c>
      <x:c r="I161" s="14" t="n">
        <x:v>1</x:v>
      </x:c>
      <x:c r="J161" s="18" t="n">
        <x:v>10977744</x:v>
      </x:c>
      <x:c r="K161" s="19" t="n">
        <x:v>46216.2145549537</x:v>
      </x:c>
      <x:c r="L161" s="19" t="n">
        <x:v>46326</x:v>
      </x:c>
      <x:c r="M161"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x:v>
      </x:c>
      <x:c r="N161" s="15" t="str">
        <x:v>https://prozorro.gov.ua/tender/UA-2026-06-22-007158-a</x:v>
      </x:c>
    </x:row>
    <x:row r="162">
      <x:c r="A162" s="14" t="n">
        <x:v>158</x:v>
      </x:c>
      <x:c r="B162" s="14" t="str">
        <x:v>ТОВ "ПІДПРИЄМСТВО "МАСТ-БУД"</x:v>
      </x:c>
      <x:c r="C162" s="14" t="str">
        <x:v>33653812</x:v>
      </x:c>
      <x:c r="D162" s="14" t="str">
        <x:v>Залізнична інфраструктура</x:v>
      </x:c>
      <x:c r="E162" s="14" t="str">
        <x:v>Expansion discovery</x:v>
      </x:c>
      <x:c r="F162" s="14" t="str">
        <x:v>I2</x:v>
      </x:c>
      <x:c r="G162" s="14" t="n">
        <x:v>68</x:v>
      </x:c>
      <x:c r="H162" s="14" t="n">
        <x:v>1</x:v>
      </x:c>
      <x:c r="I162" s="14" t="n">
        <x:v>1</x:v>
      </x:c>
      <x:c r="J162" s="18" t="n">
        <x:v>114650000</x:v>
      </x:c>
      <x:c r="K162" s="19" t="n">
        <x:v>46219.30874043982</x:v>
      </x:c>
      <x:c r="L162" s="19" t="n">
        <x:v>46752</x:v>
      </x:c>
      <x:c r="M162" s="15" t="str">
        <x:v>Капітальний ремонт причалу №14 (інв. № 063550), залізничної колії № 44 (інв. 057174), залізничної колії №45 (інв. № 057175) Одеської філії ДП «АМПУ» за адресою м. Одеса, Митна площа, 1/2</x:v>
      </x:c>
      <x:c r="N162" s="15" t="str">
        <x:v>https://prozorro.gov.ua/tender/UA-2026-05-28-012075-a</x:v>
      </x:c>
    </x:row>
    <x:row r="163">
      <x:c r="A163" s="14" t="n">
        <x:v>159</x:v>
      </x:c>
      <x:c r="B163" s="14" t="str">
        <x:v>ТОВ Брот</x:v>
      </x:c>
      <x:c r="C163" s="14" t="str">
        <x:v>38712319</x:v>
      </x:c>
      <x:c r="D163" s="14" t="str">
        <x:v>Зовнішні мережі</x:v>
      </x:c>
      <x:c r="E163" s="14" t="str">
        <x:v>Expansion discovery</x:v>
      </x:c>
      <x:c r="F163" s="14" t="str">
        <x:v>I2</x:v>
      </x:c>
      <x:c r="G163" s="14" t="n">
        <x:v>68</x:v>
      </x:c>
      <x:c r="H163" s="14" t="n">
        <x:v>1</x:v>
      </x:c>
      <x:c r="I163" s="14" t="n">
        <x:v>1</x:v>
      </x:c>
      <x:c r="J163" s="18" t="n">
        <x:v>14307849</x:v>
      </x:c>
      <x:c r="K163" s="19" t="n">
        <x:v>46230.5999233912</x:v>
      </x:c>
      <x:c r="L163" s="19" t="n">
        <x:v>46387</x:v>
      </x:c>
      <x:c r="M163" s="15" t="str">
        <x:v>Нове будівництво котельні та зовнішніх інженерних мереж для дитячого садка в мікрорайоні «Каскад» у м. Івано-Франківську</x:v>
      </x:c>
      <x:c r="N163" s="15" t="str">
        <x:v>https://prozorro.gov.ua/tender/UA-2026-07-01-008648-a</x:v>
      </x:c>
    </x:row>
    <x:row r="164">
      <x:c r="A164" s="14" t="n">
        <x:v>160</x:v>
      </x:c>
      <x:c r="B164" s="14" t="str">
        <x:v>ТОВАРИСТВО З ОБМЕЖЕНОЮ ВІДПОВІДАЛЬНІСТЮ "Б.С.ГРУП"</x:v>
      </x:c>
      <x:c r="C164" s="14" t="str">
        <x:v>41348332</x:v>
      </x:c>
      <x:c r="D164" s="14" t="str">
        <x:v>Мости / інфраструктура</x:v>
      </x:c>
      <x:c r="E164" s="14" t="str">
        <x:v>Expansion discovery</x:v>
      </x:c>
      <x:c r="F164" s="14" t="str">
        <x:v>I2</x:v>
      </x:c>
      <x:c r="G164" s="14" t="n">
        <x:v>68</x:v>
      </x:c>
      <x:c r="H164" s="14" t="n">
        <x:v>1</x:v>
      </x:c>
      <x:c r="I164" s="14" t="n">
        <x:v>1</x:v>
      </x:c>
      <x:c r="J164" s="18" t="n">
        <x:v>43825744.84</x:v>
      </x:c>
      <x:c r="K164" s="19" t="n">
        <x:v>46253.45469856481</x:v>
      </x:c>
      <x:c r="L164" s="19" t="n">
        <x:v>46752</x:v>
      </x:c>
      <x:c r="M16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x:v>
      </x:c>
      <x:c r="N164" s="15" t="str">
        <x:v>https://prozorro.gov.ua/tender/UA-2026-08-06-011717-a</x:v>
      </x:c>
    </x:row>
    <x:row r="165">
      <x:c r="A165" s="14" t="n">
        <x:v>161</x:v>
      </x:c>
      <x:c r="B165" s="14" t="str">
        <x:v>ТОВАРИСТВО З ОБМЕЖЕНОЮ ВІДПОВІДАЛЬНІСТЮ "ДВА Т ГРУП"</x:v>
      </x:c>
      <x:c r="C165" s="14" t="str">
        <x:v>43280292</x:v>
      </x:c>
      <x:c r="D165" s="14" t="str">
        <x:v>Зовнішні мережі</x:v>
      </x:c>
      <x:c r="E165" s="14" t="str">
        <x:v>Expansion discovery</x:v>
      </x:c>
      <x:c r="F165" s="14" t="str">
        <x:v>I2</x:v>
      </x:c>
      <x:c r="G165" s="14" t="n">
        <x:v>68</x:v>
      </x:c>
      <x:c r="H165" s="14" t="n">
        <x:v>1</x:v>
      </x:c>
      <x:c r="I165" s="14" t="n">
        <x:v>1</x:v>
      </x:c>
      <x:c r="J165" s="18" t="n">
        <x:v>26495193.6</x:v>
      </x:c>
      <x:c r="K165" s="19" t="n">
        <x:v>46216.38532724537</x:v>
      </x:c>
      <x:c r="L165" s="19" t="n">
        <x:v>46434</x:v>
      </x:c>
      <x:c r="M165" s="15" t="str">
        <x:v>Виконання будівельних робіт по об’єкту: «Нове будівництво зовнішніх інженерних мереж водовідведення, військове містечко № 20, с. Немирів, Львівська обл.» </x:v>
      </x:c>
      <x:c r="N165" s="15" t="str">
        <x:v>https://prozorro.gov.ua/tender/UA-2026-06-30-003598-a</x:v>
      </x:c>
    </x:row>
    <x:row r="166">
      <x:c r="A166" s="14" t="n">
        <x:v>162</x:v>
      </x:c>
      <x:c r="B166" s="14" t="str">
        <x:v>Товариство з обмеженою відповідальністю "Еверест-С"</x:v>
      </x:c>
      <x:c r="C166" s="14" t="str">
        <x:v>33526166</x:v>
      </x:c>
      <x:c r="D166" s="14" t="str">
        <x:v>Насосні станції</x:v>
      </x:c>
      <x:c r="E166" s="14" t="str">
        <x:v>Expansion discovery</x:v>
      </x:c>
      <x:c r="F166" s="14" t="str">
        <x:v>I2</x:v>
      </x:c>
      <x:c r="G166" s="14" t="n">
        <x:v>68</x:v>
      </x:c>
      <x:c r="H166" s="14" t="n">
        <x:v>1</x:v>
      </x:c>
      <x:c r="I166" s="14" t="n">
        <x:v>1</x:v>
      </x:c>
      <x:c r="J166" s="18" t="n">
        <x:v>12049878</x:v>
      </x:c>
      <x:c r="K166" s="19" t="n">
        <x:v>46217.39329100694</x:v>
      </x:c>
      <x:c r="L166" s="19" t="n">
        <x:v>46356.60386574074</x:v>
      </x:c>
      <x:c r="M166"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x:v>
      </x:c>
      <x:c r="N166" s="15" t="str">
        <x:v>https://prozorro.gov.ua/tender/UA-2026-06-26-010661-a</x:v>
      </x:c>
    </x:row>
    <x:row r="167">
      <x:c r="A167" s="14" t="n">
        <x:v>163</x:v>
      </x:c>
      <x:c r="B167" s="14" t="str">
        <x:v>ТОВАРИСТВО З ОБМЕЖЕНОЮ ВІДПОВІДАЛЬНІСТЮ "ІНВЕНТУМ УКРАЇНА"</x:v>
      </x:c>
      <x:c r="C167" s="14" t="str">
        <x:v>36437713</x:v>
      </x:c>
      <x:c r="D167" s="14" t="str">
        <x:v>Теплові мережі</x:v>
      </x:c>
      <x:c r="E167" s="14" t="str">
        <x:v>Expansion discovery</x:v>
      </x:c>
      <x:c r="F167" s="14" t="str">
        <x:v>I2</x:v>
      </x:c>
      <x:c r="G167" s="14" t="n">
        <x:v>68</x:v>
      </x:c>
      <x:c r="H167" s="14" t="n">
        <x:v>1</x:v>
      </x:c>
      <x:c r="I167" s="14" t="n">
        <x:v>1</x:v>
      </x:c>
      <x:c r="J167" s="18" t="n">
        <x:v>22132444.68</x:v>
      </x:c>
      <x:c r="K167" s="19" t="n">
        <x:v>46245.56234253472</x:v>
      </x:c>
      <x:c r="L167" s="19" t="n">
        <x:v>46386</x:v>
      </x:c>
      <x:c r="M167"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x:v>
      </x:c>
      <x:c r="N167" s="15" t="str">
        <x:v>https://prozorro.gov.ua/tender/UA-2026-08-11-011450-a</x:v>
      </x:c>
    </x:row>
    <x:row r="168">
      <x:c r="A168" s="14" t="n">
        <x:v>164</x:v>
      </x:c>
      <x:c r="B168" s="14" t="str">
        <x:v>ТОВАРИСТВО З ОБМЕЖЕНОЮ ВІДПОВІДАЛЬНІСТЮ "ПРОМАТОМ"</x:v>
      </x:c>
      <x:c r="C168" s="14" t="str">
        <x:v>24932636</x:v>
      </x:c>
      <x:c r="D168" s="14" t="str">
        <x:v>Підстанції / силові мережі</x:v>
      </x:c>
      <x:c r="E168" s="14" t="str">
        <x:v>Pilot now</x:v>
      </x:c>
      <x:c r="F168" s="14" t="str">
        <x:v>I2</x:v>
      </x:c>
      <x:c r="G168" s="14" t="n">
        <x:v>68</x:v>
      </x:c>
      <x:c r="H168" s="14" t="n">
        <x:v>1</x:v>
      </x:c>
      <x:c r="I168" s="14" t="n">
        <x:v>1</x:v>
      </x:c>
      <x:c r="J168" s="18" t="n">
        <x:v>11281352</x:v>
      </x:c>
      <x:c r="K168" s="19" t="n">
        <x:v>46253.475685625</x:v>
      </x:c>
      <x:c r="L168" s="19" t="n">
        <x:v>46387</x:v>
      </x:c>
      <x:c r="M168"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x:v>
      </x:c>
      <x:c r="N168" s="15" t="str">
        <x:v>https://prozorro.gov.ua/tender/UA-2026-07-30-009707-a</x:v>
      </x:c>
    </x:row>
    <x:row r="169">
      <x:c r="A169" s="14" t="n">
        <x:v>165</x:v>
      </x:c>
      <x:c r="B169" s="14" t="str">
        <x:v>ТОВАРИСТВО З ОБМЕЖЕНОЮ ВІДПОВІДАЛЬНІСТЮ "РЕГДОРСТРОЙ"</x:v>
      </x:c>
      <x:c r="C169" s="14" t="str">
        <x:v>39391847</x:v>
      </x:c>
      <x:c r="D169" s="14" t="str">
        <x:v>Дорожні роботи</x:v>
      </x:c>
      <x:c r="E169" s="14" t="str">
        <x:v>Expansion discovery</x:v>
      </x:c>
      <x:c r="F169" s="14" t="str">
        <x:v>I2</x:v>
      </x:c>
      <x:c r="G169" s="14" t="n">
        <x:v>68</x:v>
      </x:c>
      <x:c r="H169" s="14" t="n">
        <x:v>1</x:v>
      </x:c>
      <x:c r="I169" s="14" t="n">
        <x:v>1</x:v>
      </x:c>
      <x:c r="J169" s="18" t="n">
        <x:v>43155678.8</x:v>
      </x:c>
      <x:c r="K169" s="19" t="n">
        <x:v>46241.351182314815</x:v>
      </x:c>
      <x:c r="L169" s="19" t="n">
        <x:v>46356</x:v>
      </x:c>
      <x:c r="M169"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x:v>
      </x:c>
      <x:c r="N169" s="15" t="str">
        <x:v>https://prozorro.gov.ua/tender/UA-2026-07-22-001836-a</x:v>
      </x:c>
    </x:row>
    <x:row r="170">
      <x:c r="A170" s="14" t="n">
        <x:v>166</x:v>
      </x:c>
      <x:c r="B170" s="14" t="str">
        <x:v>ТОВАРИСТВО З ОБМЕЖЕНОЮ ВІДПОВІДАЛЬНІСТЮ "СТАЛЬКОНСТРУКЦІЯ ЛТД"</x:v>
      </x:c>
      <x:c r="C170" s="14" t="str">
        <x:v>38158090</x:v>
      </x:c>
      <x:c r="D170" s="14" t="str">
        <x:v>Теплові мережі</x:v>
      </x:c>
      <x:c r="E170" s="14" t="str">
        <x:v>Expansion discovery</x:v>
      </x:c>
      <x:c r="F170" s="14" t="str">
        <x:v>I2</x:v>
      </x:c>
      <x:c r="G170" s="14" t="n">
        <x:v>68</x:v>
      </x:c>
      <x:c r="H170" s="14" t="n">
        <x:v>3</x:v>
      </x:c>
      <x:c r="I170" s="14" t="n">
        <x:v>1</x:v>
      </x:c>
      <x:c r="J170" s="18" t="n">
        <x:v>94731410.63</x:v>
      </x:c>
      <x:c r="K170" s="19" t="n">
        <x:v>45964.61639196759</x:v>
      </x:c>
      <x:c r="L170" s="19" t="n">
        <x:v>46142.87498842592</x:v>
      </x:c>
      <x:c r="M170" s="15" t="str">
        <x:v>"Реконструкція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(ПК7). Вторинний радіальний відстійник діаметром 40 м №11.</x:v>
      </x:c>
      <x:c r="N170" s="15" t="str">
        <x:v>https://prozorro.gov.ua/tender/UA-2025-10-15-014778-a</x:v>
      </x:c>
    </x:row>
    <x:row r="171">
      <x:c r="A171" s="14" t="n">
        <x:v>167</x:v>
      </x:c>
      <x:c r="B171" s="14" t="str">
        <x:v>ТОВАРИСТВО З ОБМЕЖЕНОЮ ВІДПОВІДАЛЬНІСТЮ "УБПГ ПРОМІНЬ"</x:v>
      </x:c>
      <x:c r="C171" s="14" t="str">
        <x:v>42706856</x:v>
      </x:c>
      <x:c r="D171" s="14" t="str">
        <x:v>Зовнішнє освітлення</x:v>
      </x:c>
      <x:c r="E171" s="14" t="str">
        <x:v>Pilot now</x:v>
      </x:c>
      <x:c r="F171" s="14" t="str">
        <x:v>I2</x:v>
      </x:c>
      <x:c r="G171" s="14" t="n">
        <x:v>68</x:v>
      </x:c>
      <x:c r="H171" s="14" t="n">
        <x:v>1</x:v>
      </x:c>
      <x:c r="I171" s="14" t="n">
        <x:v>1</x:v>
      </x:c>
      <x:c r="J171" s="18" t="n">
        <x:v>20827560.93</x:v>
      </x:c>
      <x:c r="K171" s="19" t="n">
        <x:v>46240.565397175924</x:v>
      </x:c>
      <x:c r="L171" s="19" t="n">
        <x:v>46374</x:v>
      </x:c>
      <x:c r="M171"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x:v>
      </x:c>
      <x:c r="N171" s="15" t="str">
        <x:v>https://prozorro.gov.ua/tender/UA-2026-07-16-006271-a</x:v>
      </x:c>
    </x:row>
    <x:row r="172">
      <x:c r="A172" s="14" t="n">
        <x:v>168</x:v>
      </x:c>
      <x:c r="B172" s="14" t="str">
        <x:v>ТОВАРИСТВО З ОБМЕЖЕНОЮ ВІДПОВІДАЛЬНІСТЮ «БУДІВЕЛЬНО-МОНТАЖНЕ УПРАВЛІННЯ № 460»</x:v>
      </x:c>
      <x:c r="C172" s="14" t="str">
        <x:v>42316673</x:v>
      </x:c>
      <x:c r="D172" s="14" t="str">
        <x:v>Теплові мережі</x:v>
      </x:c>
      <x:c r="E172" s="14" t="str">
        <x:v>Expansion discovery</x:v>
      </x:c>
      <x:c r="F172" s="14" t="str">
        <x:v>I2</x:v>
      </x:c>
      <x:c r="G172" s="14" t="n">
        <x:v>68</x:v>
      </x:c>
      <x:c r="H172" s="14" t="n">
        <x:v>1</x:v>
      </x:c>
      <x:c r="I172" s="14" t="n">
        <x:v>1</x:v>
      </x:c>
      <x:c r="J172" s="18" t="n">
        <x:v>57926867.77</x:v>
      </x:c>
      <x:c r="K172" s="19" t="n">
        <x:v>46226.34141623843</x:v>
      </x:c>
      <x:c r="L172" s="19" t="n">
        <x:v>46386</x:v>
      </x:c>
      <x:c r="M172"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x:v>
      </x:c>
      <x:c r="N172" s="15" t="str">
        <x:v>https://prozorro.gov.ua/tender/UA-2026-07-23-003234-a</x:v>
      </x:c>
    </x:row>
    <x:row r="173">
      <x:c r="A173" s="14" t="n">
        <x:v>169</x:v>
      </x:c>
      <x:c r="B173" s="14" t="str">
        <x:v>ТОМАКОВА НАТАЛІЯ ОЛЕКСАНДРІВНА</x:v>
      </x:c>
      <x:c r="C173" s="14" t="str">
        <x:v>2702929704</x:v>
      </x:c>
      <x:c r="D173" s="14" t="str">
        <x:v>Теплові мережі</x:v>
      </x:c>
      <x:c r="E173" s="14" t="str">
        <x:v>Expansion discovery</x:v>
      </x:c>
      <x:c r="F173" s="14" t="str">
        <x:v>I2</x:v>
      </x:c>
      <x:c r="G173" s="14" t="n">
        <x:v>67</x:v>
      </x:c>
      <x:c r="H173" s="14" t="n">
        <x:v>3</x:v>
      </x:c>
      <x:c r="I173" s="14" t="n">
        <x:v>3</x:v>
      </x:c>
      <x:c r="J173" s="18" t="n">
        <x:v>165540</x:v>
      </x:c>
      <x:c r="K173" s="19" t="n">
        <x:v>46203.33054814815</x:v>
      </x:c>
      <x:c r="L173" s="19" t="n">
        <x:v>46387</x:v>
      </x:c>
      <x:c r="M173"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x:v>
      </x:c>
      <x:c r="N173" s="15" t="str">
        <x:v>https://prozorro.gov.ua/tender/UA-2026-06-30-003014-a</x:v>
      </x:c>
    </x:row>
    <x:row r="174">
      <x:c r="A174" s="14" t="n">
        <x:v>170</x:v>
      </x:c>
      <x:c r="B174" s="14" t="str">
        <x:v>КАПАРНИК АНДРІЙ ІГОРОВИЧ</x:v>
      </x:c>
      <x:c r="C174" s="14" t="str">
        <x:v>2257106876</x:v>
      </x:c>
      <x:c r="D174" s="14" t="str">
        <x:v>Водоочищення / очисні споруди</x:v>
      </x:c>
      <x:c r="E174" s="14" t="str">
        <x:v>Expansion discovery</x:v>
      </x:c>
      <x:c r="F174" s="14" t="str">
        <x:v>I2</x:v>
      </x:c>
      <x:c r="G174" s="14" t="n">
        <x:v>67</x:v>
      </x:c>
      <x:c r="H174" s="14" t="n">
        <x:v>2</x:v>
      </x:c>
      <x:c r="I174" s="14" t="n">
        <x:v>2</x:v>
      </x:c>
      <x:c r="J174" s="18" t="n">
        <x:v>1480096.54</x:v>
      </x:c>
      <x:c r="K174" s="19" t="n">
        <x:v>46217.52279150463</x:v>
      </x:c>
      <x:c r="L174" s="19" t="n">
        <x:v>46387</x:v>
      </x:c>
      <x:c r="M174"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x:v>
      </x:c>
      <x:c r="N174" s="15" t="str">
        <x:v>https://prozorro.gov.ua/tender/UA-2026-07-14-009316-a</x:v>
      </x:c>
    </x:row>
    <x:row r="175">
      <x:c r="A175" s="14" t="n">
        <x:v>171</x:v>
      </x:c>
      <x:c r="B175" s="14" t="str">
        <x:v>ТОВ "Техенергохім"</x:v>
      </x:c>
      <x:c r="C175" s="14" t="str">
        <x:v>22161169</x:v>
      </x:c>
      <x:c r="D175" s="14" t="str">
        <x:v>Водоочищення / очисні споруди</x:v>
      </x:c>
      <x:c r="E175" s="14" t="str">
        <x:v>Expansion discovery</x:v>
      </x:c>
      <x:c r="F175" s="14" t="str">
        <x:v>I2</x:v>
      </x:c>
      <x:c r="G175" s="14" t="n">
        <x:v>67</x:v>
      </x:c>
      <x:c r="H175" s="14" t="n">
        <x:v>2</x:v>
      </x:c>
      <x:c r="I175" s="14" t="n">
        <x:v>2</x:v>
      </x:c>
      <x:c r="J175" s="18" t="n">
        <x:v>1865665</x:v>
      </x:c>
      <x:c r="K175" s="19" t="n">
        <x:v>46182.49519430556</x:v>
      </x:c>
      <x:c r="L175" s="19" t="n">
        <x:v>46419</x:v>
      </x:c>
      <x:c r="M175"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x:v>
      </x:c>
      <x:c r="N175" s="15" t="str">
        <x:v>https://prozorro.gov.ua/tender/UA-2026-05-21-003112-a</x:v>
      </x:c>
    </x:row>
    <x:row r="176">
      <x:c r="A176" s="14" t="n">
        <x:v>172</x:v>
      </x:c>
      <x:c r="B176" s="14" t="str">
        <x:v>ТОВАРИСТВО З ОБМЕЖЕНОЮ ВІДПОВІДАЛЬНІСТЮ "ЕНЕРГОЕКСПЛУАТАЦІЯ"</x:v>
      </x:c>
      <x:c r="C176" s="14" t="str">
        <x:v>39090788</x:v>
      </x:c>
      <x:c r="D176" s="14" t="str">
        <x:v>Електромонтаж</x:v>
      </x:c>
      <x:c r="E176" s="14" t="str">
        <x:v>Pilot now</x:v>
      </x:c>
      <x:c r="F176" s="14" t="str">
        <x:v>I2</x:v>
      </x:c>
      <x:c r="G176" s="14" t="n">
        <x:v>67</x:v>
      </x:c>
      <x:c r="H176" s="14" t="n">
        <x:v>3</x:v>
      </x:c>
      <x:c r="I176" s="14" t="n">
        <x:v>2</x:v>
      </x:c>
      <x:c r="J176" s="18" t="n">
        <x:v>74550</x:v>
      </x:c>
      <x:c r="K176" s="19" t="n">
        <x:v>46244.53717113426</x:v>
      </x:c>
      <x:c r="L176" s="19" t="n">
        <x:v>46295</x:v>
      </x:c>
      <x:c r="M176"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x:v>
      </x:c>
      <x:c r="N176" s="15" t="str">
        <x:v>https://prozorro.gov.ua/tender/UA-2026-07-30-009341-a</x:v>
      </x:c>
    </x:row>
    <x:row r="177">
      <x:c r="A177" s="14" t="n">
        <x:v>173</x:v>
      </x:c>
      <x:c r="B177" s="14" t="str">
        <x:v>Фізична особа- підприємець Лукащук Роман Віталійович</x:v>
      </x:c>
      <x:c r="C177" s="14" t="str">
        <x:v>3003213534</x:v>
      </x:c>
      <x:c r="D177" s="14" t="str">
        <x:v>Сонячна енергетика</x:v>
      </x:c>
      <x:c r="E177" s="14" t="str">
        <x:v>Expansion discovery</x:v>
      </x:c>
      <x:c r="F177" s="14" t="str">
        <x:v>I2</x:v>
      </x:c>
      <x:c r="G177" s="14" t="n">
        <x:v>67</x:v>
      </x:c>
      <x:c r="H177" s="14" t="n">
        <x:v>2</x:v>
      </x:c>
      <x:c r="I177" s="14" t="n">
        <x:v>2</x:v>
      </x:c>
      <x:c r="J177" s="18" t="n">
        <x:v>680000</x:v>
      </x:c>
      <x:c r="K177" s="19" t="n">
        <x:v>46230.407862685184</x:v>
      </x:c>
      <x:c r="L177" s="19" t="n">
        <x:v>46280</x:v>
      </x:c>
      <x:c r="M177"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x:v>
      </x:c>
      <x:c r="N177" s="15" t="str">
        <x:v>https://prozorro.gov.ua/tender/UA-2026-07-27-004982-a</x:v>
      </x:c>
    </x:row>
    <x:row r="178">
      <x:c r="A178" s="14" t="n">
        <x:v>174</x:v>
      </x:c>
      <x:c r="B178" s="14" t="str">
        <x:v>ФОП ЗАВАЛКО МИКОЛА МИКОЛАЙОВИЧ</x:v>
      </x:c>
      <x:c r="C178" s="14" t="str">
        <x:v>2904306973</x:v>
      </x:c>
      <x:c r="D178" s="14" t="str">
        <x:v>Металоконструкції</x:v>
      </x:c>
      <x:c r="E178" s="14" t="str">
        <x:v>Expansion discovery</x:v>
      </x:c>
      <x:c r="F178" s="14" t="str">
        <x:v>I2</x:v>
      </x:c>
      <x:c r="G178" s="14" t="n">
        <x:v>67</x:v>
      </x:c>
      <x:c r="H178" s="14" t="n">
        <x:v>3</x:v>
      </x:c>
      <x:c r="I178" s="14" t="n">
        <x:v>2</x:v>
      </x:c>
      <x:c r="J178" s="18" t="n">
        <x:v>254000</x:v>
      </x:c>
      <x:c r="K178" s="19" t="n">
        <x:v>46192.51492900463</x:v>
      </x:c>
      <x:c r="L178" s="19" t="n">
        <x:v>46387</x:v>
      </x:c>
      <x:c r="M178"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x:v>
      </x:c>
      <x:c r="N178" s="15" t="str">
        <x:v>https://prozorro.gov.ua/tender/UA-2026-06-19-010393-a</x:v>
      </x:c>
    </x:row>
    <x:row r="179">
      <x:c r="A179" s="14" t="n">
        <x:v>175</x:v>
      </x:c>
      <x:c r="B179" s="14" t="str">
        <x:v>МАЛЕ ПРИВАТНЕ ПІДПРИЄМСТВО "ЕЛЕКТРОСЕРВІС"</x:v>
      </x:c>
      <x:c r="C179" s="14" t="str">
        <x:v>22051653</x:v>
      </x:c>
      <x:c r="D179" s="14" t="str">
        <x:v>Електромонтаж</x:v>
      </x:c>
      <x:c r="E179" s="14" t="str">
        <x:v>Pilot now</x:v>
      </x:c>
      <x:c r="F179" s="14" t="str">
        <x:v>I2</x:v>
      </x:c>
      <x:c r="G179" s="14" t="n">
        <x:v>67</x:v>
      </x:c>
      <x:c r="H179" s="14" t="n">
        <x:v>5</x:v>
      </x:c>
      <x:c r="I179" s="14" t="n">
        <x:v>1</x:v>
      </x:c>
      <x:c r="J179" s="18" t="n">
        <x:v>69846</x:v>
      </x:c>
      <x:c r="K179" s="19" t="n">
        <x:v>46231.54679755787</x:v>
      </x:c>
      <x:c r="L179" s="19" t="n">
        <x:v>46265</x:v>
      </x:c>
      <x:c r="M179"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x:v>
      </x:c>
      <x:c r="N179" s="15" t="str">
        <x:v>https://prozorro.gov.ua/tender/UA-2026-07-28-010186-a</x:v>
      </x:c>
    </x:row>
    <x:row r="180">
      <x:c r="A180" s="14" t="n">
        <x:v>176</x:v>
      </x:c>
      <x:c r="B180" s="14" t="str">
        <x:v>ПРИВАТНЕ ПІДПРИЄМСТВО "ЕНЕРГО-СЕРВІС ПРОЕКТ"</x:v>
      </x:c>
      <x:c r="C180" s="14" t="str">
        <x:v>34417433</x:v>
      </x:c>
      <x:c r="D180" s="14" t="str">
        <x:v>Електромонтаж</x:v>
      </x:c>
      <x:c r="E180" s="14" t="str">
        <x:v>Pilot now</x:v>
      </x:c>
      <x:c r="F180" s="14" t="str">
        <x:v>I2</x:v>
      </x:c>
      <x:c r="G180" s="14" t="n">
        <x:v>67</x:v>
      </x:c>
      <x:c r="H180" s="14" t="n">
        <x:v>4</x:v>
      </x:c>
      <x:c r="I180" s="14" t="n">
        <x:v>1</x:v>
      </x:c>
      <x:c r="J180" s="18" t="n">
        <x:v>32465.5</x:v>
      </x:c>
      <x:c r="K180" s="19" t="n">
        <x:v>46258.25709982639</x:v>
      </x:c>
      <x:c r="L180" s="19" t="n">
        <x:v>46295</x:v>
      </x:c>
      <x:c r="M180"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x:v>
      </x:c>
      <x:c r="N180" s="15" t="str">
        <x:v>https://prozorro.gov.ua/tender/UA-2026-08-24-000441-a</x:v>
      </x:c>
    </x:row>
    <x:row r="181">
      <x:c r="A181" s="14" t="n">
        <x:v>177</x:v>
      </x:c>
      <x:c r="B181" s="14" t="str">
        <x:v>ЗАЙКО КАТЕРИНА МИКОЛАЇВНА</x:v>
      </x:c>
      <x:c r="C181" s="14" t="str">
        <x:v>3284809749</x:v>
      </x:c>
      <x:c r="D181" s="14" t="str">
        <x:v>Фасади та скління</x:v>
      </x:c>
      <x:c r="E181" s="14" t="str">
        <x:v>Expansion discovery</x:v>
      </x:c>
      <x:c r="F181" s="14" t="str">
        <x:v>I2</x:v>
      </x:c>
      <x:c r="G181" s="14" t="n">
        <x:v>67</x:v>
      </x:c>
      <x:c r="H181" s="14" t="n">
        <x:v>13</x:v>
      </x:c>
      <x:c r="I181" s="14" t="n">
        <x:v>0</x:v>
      </x:c>
      <x:c r="J181" s="18" t="n">
        <x:v>389474.49</x:v>
      </x:c>
      <x:c r="K181" s="19" t="n">
        <x:v>46121.46168209491</x:v>
      </x:c>
      <x:c r="L181" s="19" t="n">
        <x:v>46131</x:v>
      </x:c>
      <x:c r="M181" s="15" t="str">
        <x:v>Матеріали, будівельні матеріали, інвентар та інструменти для утеплення фасаду (проведення заходів з енергозбереження)</x:v>
      </x:c>
      <x:c r="N181" s="15" t="str">
        <x:v>https://prozorro.gov.ua/tender/UA-2026-04-09-007443-a</x:v>
      </x:c>
    </x:row>
    <x:row r="182">
      <x:c r="A182" s="14" t="n">
        <x:v>178</x:v>
      </x:c>
      <x:c r="B182" s="14" t="str">
        <x:v>ТОВ   «Компанія «Скайлайн  Телеком»</x:v>
      </x:c>
      <x:c r="C182" s="14" t="str">
        <x:v>33140052</x:v>
      </x:c>
      <x:c r="D182" s="14" t="str">
        <x:v>ВОЛЗ / телеком</x:v>
      </x:c>
      <x:c r="E182" s="14" t="str">
        <x:v>Expansion discovery</x:v>
      </x:c>
      <x:c r="F182" s="14" t="str">
        <x:v>I2</x:v>
      </x:c>
      <x:c r="G182" s="14" t="n">
        <x:v>67</x:v>
      </x:c>
      <x:c r="H182" s="14" t="n">
        <x:v>13</x:v>
      </x:c>
      <x:c r="I182" s="14" t="n">
        <x:v>0</x:v>
      </x:c>
      <x:c r="J182" s="18" t="n">
        <x:v>2391688.62</x:v>
      </x:c>
      <x:c r="K182" s="19" t="n">
        <x:v>45873.62188140046</x:v>
      </x:c>
      <x:c r="L182" s="19" t="n">
        <x:v>46022</x:v>
      </x:c>
      <x:c r="M182" s="15" t="str">
        <x:v>роботи з утримання світлофорних об'єктів (Будівництво волоконно-оптичної лінії зв’язку для керування світлофорним об’єктом, розташованим за адресою: м. Одеса, Адміральський проспект – вул. Суднобудівна),  згідно коду ДК 021:2015 45310000-3 Електромонтажні роботи</x:v>
      </x:c>
      <x:c r="N182" s="15" t="str">
        <x:v>https://prozorro.gov.ua/tender/UA-2025-08-04-011641-a</x:v>
      </x:c>
    </x:row>
    <x:row r="183">
      <x:c r="A183" s="14" t="n">
        <x:v>179</x:v>
      </x:c>
      <x:c r="B183" s="14" t="str">
        <x:v>ТОВАРИСТВО З ОБМЕЖЕНОЮ ВІДПОВІДАЛЬНІСТЮ "ВИРОБНИЧА ФІРМА "ЛЬВІВ-ТЕЛЕКОМ"</x:v>
      </x:c>
      <x:c r="C183" s="14" t="str">
        <x:v>31803912</x:v>
      </x:c>
      <x:c r="D183" s="14" t="str">
        <x:v>ВОЛЗ / телеком</x:v>
      </x:c>
      <x:c r="E183" s="14" t="str">
        <x:v>Expansion discovery</x:v>
      </x:c>
      <x:c r="F183" s="14" t="str">
        <x:v>I2</x:v>
      </x:c>
      <x:c r="G183" s="14" t="n">
        <x:v>67</x:v>
      </x:c>
      <x:c r="H183" s="14" t="n">
        <x:v>4</x:v>
      </x:c>
      <x:c r="I183" s="14" t="n">
        <x:v>0</x:v>
      </x:c>
      <x:c r="J183" s="18" t="n">
        <x:v>6251915.64</x:v>
      </x:c>
      <x:c r="K183" s="19" t="n">
        <x:v>45952.450905868056</x:v>
      </x:c>
      <x:c r="L183" s="19" t="n">
        <x:v>46016</x:v>
      </x:c>
      <x:c r="M183" s="15" t="str">
        <x:v>Будівництво волоконно-оптичної лінії зв’язку спеціального призначення між об'єктами військової частини А4150</x:v>
      </x:c>
      <x:c r="N183" s="15" t="str">
        <x:v>https://prozorro.gov.ua/tender/UA-2025-09-29-009471-a</x:v>
      </x:c>
    </x:row>
    <x:row r="184">
      <x:c r="A184" s="14" t="n">
        <x:v>180</x:v>
      </x:c>
      <x:c r="B184" s="14" t="str">
        <x:v>ТОВАРИСТВО З ОБМЕЖЕНОЮ ВІДПОВІДАЛЬНІСТЮ "ЛІФТ-ЕКО"</x:v>
      </x:c>
      <x:c r="C184" s="14" t="str">
        <x:v>31658533</x:v>
      </x:c>
      <x:c r="D184" s="14" t="str">
        <x:v>Ліфти та підйомники</x:v>
      </x:c>
      <x:c r="E184" s="14" t="str">
        <x:v>Expansion discovery</x:v>
      </x:c>
      <x:c r="F184" s="14" t="str">
        <x:v>I2</x:v>
      </x:c>
      <x:c r="G184" s="14" t="n">
        <x:v>67</x:v>
      </x:c>
      <x:c r="H184" s="14" t="n">
        <x:v>15</x:v>
      </x:c>
      <x:c r="I184" s="14" t="n">
        <x:v>0</x:v>
      </x:c>
      <x:c r="J184" s="18" t="n">
        <x:v>3370799.9</x:v>
      </x:c>
      <x:c r="K184" s="19" t="n">
        <x:v>45981.39438121528</x:v>
      </x:c>
      <x:c r="L184" s="19" t="n">
        <x:v>46022.916666655095</x:v>
      </x:c>
      <x:c r="M184"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x:v>
      </x:c>
      <x:c r="N184" s="15" t="str">
        <x:v>https://prozorro.gov.ua/tender/UA-2025-11-20-005399-a</x:v>
      </x:c>
    </x:row>
    <x:row r="185">
      <x:c r="A185" s="14" t="n">
        <x:v>181</x:v>
      </x:c>
      <x:c r="B185" s="14" t="str">
        <x:v>ТОВАРИСТВО З ОБМЕЖЕНОЮ ВІДПОВІДАЛЬНІСТЮ "МЕДСЕРВІСГРУП"</x:v>
      </x:c>
      <x:c r="C185" s="14" t="str">
        <x:v>38606078</x:v>
      </x:c>
      <x:c r="D185" s="14" t="str">
        <x:v>Чисті приміщення</x:v>
      </x:c>
      <x:c r="E185" s="14" t="str">
        <x:v>Expansion discovery</x:v>
      </x:c>
      <x:c r="F185" s="14" t="str">
        <x:v>I2</x:v>
      </x:c>
      <x:c r="G185" s="14" t="n">
        <x:v>67</x:v>
      </x:c>
      <x:c r="H185" s="14" t="n">
        <x:v>5</x:v>
      </x:c>
      <x:c r="I185" s="14" t="n">
        <x:v>0</x:v>
      </x:c>
      <x:c r="J185" s="18" t="n">
        <x:v>22547563.4</x:v>
      </x:c>
      <x:c r="K185" s="19" t="n">
        <x:v>45566.28666597222</x:v>
      </x:c>
      <x:c r="L185" s="19" t="n">
        <x:v>45575</x:v>
      </x:c>
      <x:c r="M185"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 Дефібрилятор-монітор PRIMEDIC DefiMonitor XD.</x:v>
      </x:c>
      <x:c r="N185" s="15" t="str">
        <x:v>https://prozorro.gov.ua/tender/UA-2024-10-01-001490-a</x:v>
      </x:c>
    </x:row>
    <x:row r="186">
      <x:c r="A186" s="14" t="n">
        <x:v>182</x:v>
      </x:c>
      <x:c r="B186" s="14" t="str">
        <x:v>ТОВАРИСТВО З ОБМЕЖЕНОЮ ВІДПОВІДАЛЬНІСТЮ "МЕДХОЛДІНГ"</x:v>
      </x:c>
      <x:c r="C186" s="14" t="str">
        <x:v>38406011</x:v>
      </x:c>
      <x:c r="D186" s="14" t="str">
        <x:v>Чисті приміщення</x:v>
      </x:c>
      <x:c r="E186" s="14" t="str">
        <x:v>Expansion discovery</x:v>
      </x:c>
      <x:c r="F186" s="14" t="str">
        <x:v>I2</x:v>
      </x:c>
      <x:c r="G186" s="14" t="n">
        <x:v>67</x:v>
      </x:c>
      <x:c r="H186" s="14" t="n">
        <x:v>11</x:v>
      </x:c>
      <x:c r="I186" s="14" t="n">
        <x:v>0</x:v>
      </x:c>
      <x:c r="J186" s="18" t="n">
        <x:v>10571377.51</x:v>
      </x:c>
      <x:c r="K186" s="19" t="n">
        <x:v>45653.52120915509</x:v>
      </x:c>
      <x:c r="L186" s="19" t="n">
        <x:v>45657</x:v>
      </x:c>
      <x:c r="M186" s="15" t="str">
        <x:v>Медичне обладнання по об’єкту: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ЄЗС ДК 021:2015 45454000-4 – Реконструкція»</x:v>
      </x:c>
      <x:c r="N186" s="15" t="str">
        <x:v>https://prozorro.gov.ua/tender/UA-2024-12-27-008132-a</x:v>
      </x:c>
    </x:row>
    <x:row r="187">
      <x:c r="A187" s="14" t="n">
        <x:v>183</x:v>
      </x:c>
      <x:c r="B187" s="14" t="str">
        <x:v>Товариство з обмеженою відповідальністю «Вентресурс»</x:v>
      </x:c>
      <x:c r="C187" s="14" t="str">
        <x:v>37850973</x:v>
      </x:c>
      <x:c r="D187" s="14" t="str">
        <x:v>HVAC / ОВіК</x:v>
      </x:c>
      <x:c r="E187" s="14" t="str">
        <x:v>Pilot now</x:v>
      </x:c>
      <x:c r="F187" s="14" t="str">
        <x:v>I2</x:v>
      </x:c>
      <x:c r="G187" s="14" t="n">
        <x:v>67</x:v>
      </x:c>
      <x:c r="H187" s="14" t="n">
        <x:v>6</x:v>
      </x:c>
      <x:c r="I187" s="14" t="n">
        <x:v>0</x:v>
      </x:c>
      <x:c r="J187" s="18" t="n">
        <x:v>675443.21</x:v>
      </x:c>
      <x:c r="K187" s="19" t="n">
        <x:v>46119.49289219907</x:v>
      </x:c>
      <x:c r="L187" s="19" t="n">
        <x:v>46140.482256944444</x:v>
      </x:c>
      <x:c r="M187" s="15" t="str">
        <x:v>Додаткові роботи з монтажу приточно- витяжної системи вентиляції П-1, В-1 в приміщенні укриття КЗ КМР "Шубівська гімназія", що знаходиться за адресою: с.Шубівка Обухівського району Київської області по вулиці Воробчук,6</x:v>
      </x:c>
      <x:c r="N187" s="15" t="str">
        <x:v>https://prozorro.gov.ua/tender/UA-2026-04-07-008920-a</x:v>
      </x:c>
    </x:row>
    <x:row r="188">
      <x:c r="A188" s="14" t="n">
        <x:v>184</x:v>
      </x:c>
      <x:c r="B188" s="14" t="str">
        <x:v>ТОВ  "Охорона-Комплекс-Придунав'є"</x:v>
      </x:c>
      <x:c r="C188" s="14" t="str">
        <x:v>32370184</x:v>
      </x:c>
      <x:c r="D188" s="14" t="str">
        <x:v>Пожежогасіння</x:v>
      </x:c>
      <x:c r="E188" s="14" t="str">
        <x:v>Expansion discovery</x:v>
      </x:c>
      <x:c r="F188" s="14" t="str">
        <x:v>I2</x:v>
      </x:c>
      <x:c r="G188" s="14" t="n">
        <x:v>66</x:v>
      </x:c>
      <x:c r="H188" s="14" t="n">
        <x:v>3</x:v>
      </x:c>
      <x:c r="I188" s="14" t="n">
        <x:v>3</x:v>
      </x:c>
      <x:c r="J188" s="18" t="n">
        <x:v>218315.32</x:v>
      </x:c>
      <x:c r="K188" s="19" t="n">
        <x:v>46065.318843472225</x:v>
      </x:c>
      <x:c r="L188" s="19" t="n">
        <x:v>46387</x:v>
      </x:c>
      <x:c r="M188" s="15" t="str">
        <x:v>Монтаж та пусконалагоджувальні послуги системи пожежної сигналізації</x:v>
      </x:c>
      <x:c r="N188" s="15" t="str">
        <x:v>https://prozorro.gov.ua/tender/UA-2026-02-12-001327-a</x:v>
      </x:c>
    </x:row>
    <x:row r="189">
      <x:c r="A189" s="14" t="n">
        <x:v>185</x:v>
      </x:c>
      <x:c r="B189" s="14" t="str">
        <x:v>ТОВ "Гранд інжиніринг Україна"</x:v>
      </x:c>
      <x:c r="C189" s="14" t="str">
        <x:v>36577370</x:v>
      </x:c>
      <x:c r="D189" s="14" t="str">
        <x:v>Газопостачання / котельні</x:v>
      </x:c>
      <x:c r="E189" s="14" t="str">
        <x:v>Expansion discovery</x:v>
      </x:c>
      <x:c r="F189" s="14" t="str">
        <x:v>I2</x:v>
      </x:c>
      <x:c r="G189" s="14" t="n">
        <x:v>66</x:v>
      </x:c>
      <x:c r="H189" s="14" t="n">
        <x:v>3</x:v>
      </x:c>
      <x:c r="I189" s="14" t="n">
        <x:v>3</x:v>
      </x:c>
      <x:c r="J189" s="18" t="n">
        <x:v>69010</x:v>
      </x:c>
      <x:c r="K189" s="19" t="n">
        <x:v>46156.48084564815</x:v>
      </x:c>
      <x:c r="L189" s="19" t="n">
        <x:v>46296.4825</x:v>
      </x:c>
      <x:c r="M189" s="15" t="str">
        <x:v>Роботи по демонтажу, державній повірці у відповідній лабораторії  та монтажу  лічильника газу, GPRS модему  ТКБ  в котельні  №2 ліцею.</x:v>
      </x:c>
      <x:c r="N189" s="15" t="str">
        <x:v>https://prozorro.gov.ua/tender/UA-2026-05-14-009008-a</x:v>
      </x:c>
    </x:row>
    <x:row r="190">
      <x:c r="A190" s="14" t="n">
        <x:v>186</x:v>
      </x:c>
      <x:c r="B190" s="14" t="str">
        <x:v>АТ " Тернопільобленерго" Підволочиський РЕМ</x:v>
      </x:c>
      <x:c r="C190" s="14" t="str">
        <x:v>00130725</x:v>
      </x:c>
      <x:c r="D190" s="14" t="str">
        <x:v>Електромонтаж</x:v>
      </x:c>
      <x:c r="E190" s="14" t="str">
        <x:v>Pilot now</x:v>
      </x:c>
      <x:c r="F190" s="14" t="str">
        <x:v>I2</x:v>
      </x:c>
      <x:c r="G190" s="14" t="n">
        <x:v>66</x:v>
      </x:c>
      <x:c r="H190" s="14" t="n">
        <x:v>2</x:v>
      </x:c>
      <x:c r="I190" s="14" t="n">
        <x:v>2</x:v>
      </x:c>
      <x:c r="J190" s="18" t="n">
        <x:v>112928.18</x:v>
      </x:c>
      <x:c r="K190" s="19" t="n">
        <x:v>46251.498970740744</x:v>
      </x:c>
      <x:c r="L190" s="19" t="n">
        <x:v>46387</x:v>
      </x:c>
      <x:c r="M190" s="15" t="str">
        <x:v>Електромонтажні роботи</x:v>
      </x:c>
      <x:c r="N190" s="15" t="str">
        <x:v>https://prozorro.gov.ua/tender/UA-2026-08-17-008334-a</x:v>
      </x:c>
    </x:row>
    <x:row r="191">
      <x:c r="A191" s="14" t="n">
        <x:v>187</x:v>
      </x:c>
      <x:c r="B191" s="14" t="str">
        <x:v>ГАВАЖУК МИХАЙЛО ПИЛИПОВИЧ</x:v>
      </x:c>
      <x:c r="C191" s="14" t="str">
        <x:v>1931213575</x:v>
      </x:c>
      <x:c r="D191" s="14" t="str">
        <x:v>Пасивний вогнезахист</x:v>
      </x:c>
      <x:c r="E191" s="14" t="str">
        <x:v>Expansion discovery</x:v>
      </x:c>
      <x:c r="F191" s="14" t="str">
        <x:v>I2</x:v>
      </x:c>
      <x:c r="G191" s="14" t="n">
        <x:v>66</x:v>
      </x:c>
      <x:c r="H191" s="14" t="n">
        <x:v>2</x:v>
      </x:c>
      <x:c r="I191" s="14" t="n">
        <x:v>2</x:v>
      </x:c>
      <x:c r="J191" s="18" t="n">
        <x:v>199993</x:v>
      </x:c>
      <x:c r="K191" s="19" t="n">
        <x:v>46258.33028866898</x:v>
      </x:c>
      <x:c r="L191" s="19" t="n">
        <x:v>46387</x:v>
      </x:c>
      <x:c r="M191"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x:v>
      </x:c>
      <x:c r="N191" s="15" t="str">
        <x:v>https://prozorro.gov.ua/tender/UA-2026-08-24-001381-a</x:v>
      </x:c>
    </x:row>
    <x:row r="192">
      <x:c r="A192" s="14" t="n">
        <x:v>188</x:v>
      </x:c>
      <x:c r="B192" s="14" t="str">
        <x:v>ПІНЧУК НАТАЛІЯ МИКОЛАЇВНА</x:v>
      </x:c>
      <x:c r="C192" s="14" t="str">
        <x:v>3018600866</x:v>
      </x:c>
      <x:c r="D192" s="14" t="str">
        <x:v>Дорожні роботи</x:v>
      </x:c>
      <x:c r="E192" s="14" t="str">
        <x:v>Expansion discovery</x:v>
      </x:c>
      <x:c r="F192" s="14" t="str">
        <x:v>I2</x:v>
      </x:c>
      <x:c r="G192" s="14" t="n">
        <x:v>66</x:v>
      </x:c>
      <x:c r="H192" s="14" t="n">
        <x:v>2</x:v>
      </x:c>
      <x:c r="I192" s="14" t="n">
        <x:v>2</x:v>
      </x:c>
      <x:c r="J192" s="18" t="n">
        <x:v>180922.48</x:v>
      </x:c>
      <x:c r="K192" s="19" t="n">
        <x:v>46252.515171203704</x:v>
      </x:c>
      <x:c r="L192" s="19" t="n">
        <x:v>46387</x:v>
      </x:c>
      <x:c r="M192" s="15" t="str">
        <x:v>Капітальний ремонт дорожнього покриття по вул. Лугова в м.Чуднів Житомирського району Житомирської області (Проектно- кошторисна документація )</x:v>
      </x:c>
      <x:c r="N192" s="15" t="str">
        <x:v>https://prozorro.gov.ua/tender/UA-2026-08-18-009613-a</x:v>
      </x:c>
    </x:row>
    <x:row r="193">
      <x:c r="A193" s="14" t="n">
        <x:v>189</x:v>
      </x:c>
      <x:c r="B193" s="14" t="str">
        <x:v>ТзОВ " Е.Т.Е.ПРО"</x:v>
      </x:c>
      <x:c r="C193" s="14" t="str">
        <x:v>41868819</x:v>
      </x:c>
      <x:c r="D193" s="14" t="str">
        <x:v>Водоочищення / очисні споруди</x:v>
      </x:c>
      <x:c r="E193" s="14" t="str">
        <x:v>Expansion discovery</x:v>
      </x:c>
      <x:c r="F193" s="14" t="str">
        <x:v>I2</x:v>
      </x:c>
      <x:c r="G193" s="14" t="n">
        <x:v>66</x:v>
      </x:c>
      <x:c r="H193" s="14" t="n">
        <x:v>2</x:v>
      </x:c>
      <x:c r="I193" s="14" t="n">
        <x:v>2</x:v>
      </x:c>
      <x:c r="J193" s="18" t="n">
        <x:v>274295.9</x:v>
      </x:c>
      <x:c r="K193" s="19" t="n">
        <x:v>46237.51469081019</x:v>
      </x:c>
      <x:c r="L193" s="19" t="n">
        <x:v>46387.5571412037</x:v>
      </x:c>
      <x:c r="M193"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x:v>
      </x:c>
      <x:c r="N193" s="15" t="str">
        <x:v>https://prozorro.gov.ua/tender/UA-2026-08-03-008135-a</x:v>
      </x:c>
    </x:row>
    <x:row r="194">
      <x:c r="A194" s="14" t="n">
        <x:v>190</x:v>
      </x:c>
      <x:c r="B194" s="14" t="str">
        <x:v>ТОВ"СПЕЦ-КЛІМАТ-КОНТРОЛЬ"</x:v>
      </x:c>
      <x:c r="C194" s="14" t="str">
        <x:v>38017969</x:v>
      </x:c>
      <x:c r="D194" s="14" t="str">
        <x:v>HVAC / ОВіК</x:v>
      </x:c>
      <x:c r="E194" s="14" t="str">
        <x:v>Pilot now</x:v>
      </x:c>
      <x:c r="F194" s="14" t="str">
        <x:v>I2</x:v>
      </x:c>
      <x:c r="G194" s="14" t="n">
        <x:v>66</x:v>
      </x:c>
      <x:c r="H194" s="14" t="n">
        <x:v>3</x:v>
      </x:c>
      <x:c r="I194" s="14" t="n">
        <x:v>2</x:v>
      </x:c>
      <x:c r="J194" s="18" t="n">
        <x:v>295682.28</x:v>
      </x:c>
      <x:c r="K194" s="19" t="n">
        <x:v>45848.34645511574</x:v>
      </x:c>
      <x:c r="L194" s="19" t="n">
        <x:v>45879</x:v>
      </x:c>
      <x:c r="M194" s="15" t="str">
        <x:v>Кондиціонери з комлектом для монтажу і монтажем за кодом ДК 021:2015 42510000-4 Теплообмінники, кондиціонери повітря, холодильне обладнання та фільтрувальні пристрої</x:v>
      </x:c>
      <x:c r="N194" s="15" t="str">
        <x:v>https://prozorro.gov.ua/tender/UA-2025-07-10-003153-a</x:v>
      </x:c>
    </x:row>
    <x:row r="195">
      <x:c r="A195" s="14" t="n">
        <x:v>191</x:v>
      </x:c>
      <x:c r="B195" s="14" t="str">
        <x:v>ТОВАРИСТВО З ОБМЕЖЕНОЮ ВІДПОВІДАЛЬНІСТЮ "АЛЬТІУС-ПРОМ"</x:v>
      </x:c>
      <x:c r="C195" s="14" t="str">
        <x:v>41481664</x:v>
      </x:c>
      <x:c r="D195" s="14" t="str">
        <x:v>Мости / інфраструктура</x:v>
      </x:c>
      <x:c r="E195" s="14" t="str">
        <x:v>Expansion discovery</x:v>
      </x:c>
      <x:c r="F195" s="14" t="str">
        <x:v>I2</x:v>
      </x:c>
      <x:c r="G195" s="14" t="n">
        <x:v>66</x:v>
      </x:c>
      <x:c r="H195" s="14" t="n">
        <x:v>3</x:v>
      </x:c>
      <x:c r="I195" s="14" t="n">
        <x:v>2</x:v>
      </x:c>
      <x:c r="J195" s="18" t="n">
        <x:v>652012.05</x:v>
      </x:c>
      <x:c r="K195" s="19" t="n">
        <x:v>45910.25705181713</x:v>
      </x:c>
      <x:c r="L195" s="19" t="n">
        <x:v>45961</x:v>
      </x:c>
      <x:c r="M195" s="15" t="str">
        <x:v>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x:v>
      </x:c>
      <x:c r="N195" s="15" t="str">
        <x:v>https://prozorro.gov.ua/tender/UA-2025-08-26-004596-a</x:v>
      </x:c>
    </x:row>
    <x:row r="196">
      <x:c r="A196" s="14" t="n">
        <x:v>192</x:v>
      </x:c>
      <x:c r="B196" s="14" t="str">
        <x:v>Товариство з обмеженою відповідальністю "АСТОН СЕФЕТІ"</x:v>
      </x:c>
      <x:c r="C196" s="14" t="str">
        <x:v>42009021</x:v>
      </x:c>
      <x:c r="D196" s="14" t="str">
        <x:v>Блискавкозахист / заземлення</x:v>
      </x:c>
      <x:c r="E196" s="14" t="str">
        <x:v>Pilot now</x:v>
      </x:c>
      <x:c r="F196" s="14" t="str">
        <x:v>I2</x:v>
      </x:c>
      <x:c r="G196" s="14" t="n">
        <x:v>66</x:v>
      </x:c>
      <x:c r="H196" s="14" t="n">
        <x:v>2</x:v>
      </x:c>
      <x:c r="I196" s="14" t="n">
        <x:v>2</x:v>
      </x:c>
      <x:c r="J196" s="18" t="n">
        <x:v>427892</x:v>
      </x:c>
      <x:c r="K196" s="19" t="n">
        <x:v>46226.54548550926</x:v>
      </x:c>
      <x:c r="L196" s="19" t="n">
        <x:v>46387</x:v>
      </x:c>
      <x:c r="M196" s="15" t="str">
        <x:v>Капітальний ремонт приміщень Комунального закладу "Ліцей №39" Кам'янської міської ради за адресою: 51939, Дніпропетровська область, м. Кам'янське, Дніпровський район, б-р Будівельників, 15 (монтаж системи блискавкозахисту)</x:v>
      </x:c>
      <x:c r="N196" s="15" t="str">
        <x:v>https://prozorro.gov.ua/tender/UA-2026-07-23-010189-a</x:v>
      </x:c>
    </x:row>
    <x:row r="197">
      <x:c r="A197" s="14" t="n">
        <x:v>193</x:v>
      </x:c>
      <x:c r="B197" s="14" t="str">
        <x:v>ТОВАРИСТВО З ОБМЕЖЕНОЮ ВІДПОВІДАЛЬНІСТЮ "ВИРОБНИЧО-КОМЕРЦІЙНЕ ПІДПРИЄМСТВО "СУЧАСНІ ЕНЕРГЕТИЧНІ ТЕХНОЛОГІЇ"</x:v>
      </x:c>
      <x:c r="C197" s="14" t="str">
        <x:v>40395711</x:v>
      </x:c>
      <x:c r="D197" s="14" t="str">
        <x:v>Сонячна енергетика</x:v>
      </x:c>
      <x:c r="E197" s="14" t="str">
        <x:v>Expansion discovery</x:v>
      </x:c>
      <x:c r="F197" s="14" t="str">
        <x:v>I2</x:v>
      </x:c>
      <x:c r="G197" s="14" t="n">
        <x:v>66</x:v>
      </x:c>
      <x:c r="H197" s="14" t="n">
        <x:v>2</x:v>
      </x:c>
      <x:c r="I197" s="14" t="n">
        <x:v>2</x:v>
      </x:c>
      <x:c r="J197" s="18" t="n">
        <x:v>120852</x:v>
      </x:c>
      <x:c r="K197" s="19" t="n">
        <x:v>46219.321427800925</x:v>
      </x:c>
      <x:c r="L197" s="19" t="n">
        <x:v>46387</x:v>
      </x:c>
      <x:c r="M197" s="15" t="str">
        <x:v>монтаж сонячної електростанції</x:v>
      </x:c>
      <x:c r="N197" s="15" t="str">
        <x:v>https://prozorro.gov.ua/tender/UA-2026-07-16-002118-a</x:v>
      </x:c>
    </x:row>
    <x:row r="198">
      <x:c r="A198" s="14" t="n">
        <x:v>194</x:v>
      </x:c>
      <x:c r="B198" s="14" t="str">
        <x:v>ТОВАРИСТВО З ОБМЕЖЕНОЮ ВІДПОВІДАЛЬНІСТЮ "КОВЧЕГ ІНЖЕНЕРИНГ"</x:v>
      </x:c>
      <x:c r="C198" s="14" t="str">
        <x:v>42743490</x:v>
      </x:c>
      <x:c r="D198" s="14" t="str">
        <x:v>Зовнішні мережі</x:v>
      </x:c>
      <x:c r="E198" s="14" t="str">
        <x:v>Expansion discovery</x:v>
      </x:c>
      <x:c r="F198" s="14" t="str">
        <x:v>I2</x:v>
      </x:c>
      <x:c r="G198" s="14" t="n">
        <x:v>66</x:v>
      </x:c>
      <x:c r="H198" s="14" t="n">
        <x:v>2</x:v>
      </x:c>
      <x:c r="I198" s="14" t="n">
        <x:v>2</x:v>
      </x:c>
      <x:c r="J198" s="18" t="n">
        <x:v>147264</x:v>
      </x:c>
      <x:c r="K198" s="19" t="n">
        <x:v>46240.50336412037</x:v>
      </x:c>
      <x:c r="L198" s="19" t="n">
        <x:v>46381</x:v>
      </x:c>
      <x:c r="M198"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x:v>
      </x:c>
      <x:c r="N198" s="15" t="str">
        <x:v>https://prozorro.gov.ua/tender/UA-2026-08-06-008231-a</x:v>
      </x:c>
    </x:row>
    <x:row r="199">
      <x:c r="A199" s="14" t="n">
        <x:v>195</x:v>
      </x:c>
      <x:c r="B199" s="14" t="str">
        <x:v>ТОВАРИСТВО З ОБМЕЖЕНОЮ ВІДПОВІДАЛЬНІСТЮ "ОХТИРКАПРОМЕНЕРГО"</x:v>
      </x:c>
      <x:c r="C199" s="14" t="str">
        <x:v>42563329</x:v>
      </x:c>
      <x:c r="D199" s="14" t="str">
        <x:v>Сонячна енергетика</x:v>
      </x:c>
      <x:c r="E199" s="14" t="str">
        <x:v>Expansion discovery</x:v>
      </x:c>
      <x:c r="F199" s="14" t="str">
        <x:v>I2</x:v>
      </x:c>
      <x:c r="G199" s="14" t="n">
        <x:v>66</x:v>
      </x:c>
      <x:c r="H199" s="14" t="n">
        <x:v>3</x:v>
      </x:c>
      <x:c r="I199" s="14" t="n">
        <x:v>2</x:v>
      </x:c>
      <x:c r="J199" s="18" t="n">
        <x:v>539800</x:v>
      </x:c>
      <x:c r="K199" s="19" t="n">
        <x:v>46139.748811631944</x:v>
      </x:c>
      <x:c r="L199" s="19" t="n">
        <x:v>46157</x:v>
      </x:c>
      <x:c r="M199" s="15" t="str">
        <x:v>Послуги з монтажу металоконструкцій для встановлення 
сонячних панелей</x:v>
      </x:c>
      <x:c r="N199" s="15" t="str">
        <x:v>https://prozorro.gov.ua/tender/UA-2026-04-27-014043-a</x:v>
      </x:c>
    </x:row>
    <x:row r="200">
      <x:c r="A200" s="14" t="n">
        <x:v>196</x:v>
      </x:c>
      <x:c r="B200" s="14" t="str">
        <x:v>ТОВАРИСТВО З ОБМЕЖЕНОЮ ВІДПОВІДАЛЬНІСТЮ "СПЕЦМОНТАЖ-2"</x:v>
      </x:c>
      <x:c r="C200" s="14" t="str">
        <x:v>13440054</x:v>
      </x:c>
      <x:c r="D200" s="14" t="str">
        <x:v>Пасивний вогнезахист</x:v>
      </x:c>
      <x:c r="E200" s="14" t="str">
        <x:v>Expansion discovery</x:v>
      </x:c>
      <x:c r="F200" s="14" t="str">
        <x:v>I2</x:v>
      </x:c>
      <x:c r="G200" s="14" t="n">
        <x:v>66</x:v>
      </x:c>
      <x:c r="H200" s="14" t="n">
        <x:v>2</x:v>
      </x:c>
      <x:c r="I200" s="14" t="n">
        <x:v>2</x:v>
      </x:c>
      <x:c r="J200" s="18" t="n">
        <x:v>164943.87</x:v>
      </x:c>
      <x:c r="K200" s="19" t="n">
        <x:v>46245.52364234954</x:v>
      </x:c>
      <x:c r="L200" s="19" t="n">
        <x:v>46387</x:v>
      </x:c>
      <x:c r="M200" s="15" t="str">
        <x:v>Послуги з вогнезахисної обробки дерев'яних конструкцій</x:v>
      </x:c>
      <x:c r="N200" s="15" t="str">
        <x:v>https://prozorro.gov.ua/tender/UA-2026-08-11-009839-a</x:v>
      </x:c>
    </x:row>
    <x:row r="201">
      <x:c r="A201" s="14" t="n">
        <x:v>197</x:v>
      </x:c>
      <x:c r="B201" s="14" t="str">
        <x:v>ТОВАРИСТВО З ОБМЕЖЕНОЮ ВІДПОВІДАЛЬНІСТЮ "ТЕРМОСТАНДАРТ"</x:v>
      </x:c>
      <x:c r="C201" s="14" t="str">
        <x:v>33165192</x:v>
      </x:c>
      <x:c r="D201" s="14" t="str">
        <x:v>HVAC / ОВіК</x:v>
      </x:c>
      <x:c r="E201" s="14" t="str">
        <x:v>Pilot now</x:v>
      </x:c>
      <x:c r="F201" s="14" t="str">
        <x:v>I2</x:v>
      </x:c>
      <x:c r="G201" s="14" t="n">
        <x:v>66</x:v>
      </x:c>
      <x:c r="H201" s="14" t="n">
        <x:v>2</x:v>
      </x:c>
      <x:c r="I201" s="14" t="n">
        <x:v>2</x:v>
      </x:c>
      <x:c r="J201" s="18" t="n">
        <x:v>318161.67</x:v>
      </x:c>
      <x:c r="K201" s="19" t="n">
        <x:v>46251.33581399306</x:v>
      </x:c>
      <x:c r="L201" s="19" t="n">
        <x:v>46376</x:v>
      </x:c>
      <x:c r="M201"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x:v>
      </x:c>
      <x:c r="N201" s="15" t="str">
        <x:v>https://prozorro.gov.ua/tender/UA-2026-08-04-003638-a</x:v>
      </x:c>
    </x:row>
    <x:row r="202">
      <x:c r="A202" s="14" t="n">
        <x:v>198</x:v>
      </x:c>
      <x:c r="B202" s="14" t="str">
        <x:v>ТОВАРИСТВО З ОБМЕЖЕНОЮ ВІДПОВІДАЛЬНІСТЮ «КОМПАНІЯ «СЕРВІСГРУПП ПЛЮС»</x:v>
      </x:c>
      <x:c r="C202" s="14" t="str">
        <x:v>43774597</x:v>
      </x:c>
      <x:c r="D202" s="14" t="str">
        <x:v>Зовнішні мережі</x:v>
      </x:c>
      <x:c r="E202" s="14" t="str">
        <x:v>Expansion discovery</x:v>
      </x:c>
      <x:c r="F202" s="14" t="str">
        <x:v>I2</x:v>
      </x:c>
      <x:c r="G202" s="14" t="n">
        <x:v>66</x:v>
      </x:c>
      <x:c r="H202" s="14" t="n">
        <x:v>2</x:v>
      </x:c>
      <x:c r="I202" s="14" t="n">
        <x:v>2</x:v>
      </x:c>
      <x:c r="J202" s="18" t="n">
        <x:v>201822</x:v>
      </x:c>
      <x:c r="K202" s="19" t="n">
        <x:v>46254.35159587963</x:v>
      </x:c>
      <x:c r="L202" s="19" t="n">
        <x:v>46433</x:v>
      </x:c>
      <x:c r="M202"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x:v>
      </x:c>
      <x:c r="N202" s="15" t="str">
        <x:v>https://prozorro.gov.ua/tender/UA-2026-08-20-003924-a</x:v>
      </x:c>
    </x:row>
    <x:row r="203">
      <x:c r="A203" s="14" t="n">
        <x:v>199</x:v>
      </x:c>
      <x:c r="B203" s="14" t="str">
        <x:v>Товариство з обмеженою відповідальністю «Обслуговування Будівництво Експлуатація Споруд Зв’язку»</x:v>
      </x:c>
      <x:c r="C203" s="14" t="str">
        <x:v>34167688</x:v>
      </x:c>
      <x:c r="D203" s="14" t="str">
        <x:v>ГНБ / безтраншейні роботи</x:v>
      </x:c>
      <x:c r="E203" s="14" t="str">
        <x:v>Expansion discovery</x:v>
      </x:c>
      <x:c r="F203" s="14" t="str">
        <x:v>I2</x:v>
      </x:c>
      <x:c r="G203" s="14" t="n">
        <x:v>66</x:v>
      </x:c>
      <x:c r="H203" s="14" t="n">
        <x:v>3</x:v>
      </x:c>
      <x:c r="I203" s="14" t="n">
        <x:v>2</x:v>
      </x:c>
      <x:c r="J203" s="18" t="n">
        <x:v>282680</x:v>
      </x:c>
      <x:c r="K203" s="19" t="n">
        <x:v>45518.48122037037</x:v>
      </x:c>
      <x:c r="L203" s="19" t="n">
        <x:v>45535</x:v>
      </x:c>
      <x:c r="M203" s="15" t="str">
        <x:v>Комплекс робіт з виконання скритого переходу методом ГНБ (горизонтально направлене буріння) за адресою: вул. Молодики, м. Шепетівка, Хмельницької обл.</x:v>
      </x:c>
      <x:c r="N203" s="15" t="str">
        <x:v>https://prozorro.gov.ua/tender/UA-2024-08-14-007368-a</x:v>
      </x:c>
    </x:row>
    <x:row r="204">
      <x:c r="A204" s="14" t="n">
        <x:v>200</x:v>
      </x:c>
      <x:c r="B204" s="14" t="str">
        <x:v>Управління капітального будівництва Чернігівської міської ради</x:v>
      </x:c>
      <x:c r="C204" s="14" t="str">
        <x:v>05517729</x:v>
      </x:c>
      <x:c r="D204" s="14" t="str">
        <x:v>Насосні станції</x:v>
      </x:c>
      <x:c r="E204" s="14" t="str">
        <x:v>Expansion discovery</x:v>
      </x:c>
      <x:c r="F204" s="14" t="str">
        <x:v>I2</x:v>
      </x:c>
      <x:c r="G204" s="14" t="n">
        <x:v>66</x:v>
      </x:c>
      <x:c r="H204" s="14" t="n">
        <x:v>2</x:v>
      </x:c>
      <x:c r="I204" s="14" t="n">
        <x:v>2</x:v>
      </x:c>
      <x:c r="J204" s="18" t="n">
        <x:v>485745.09</x:v>
      </x:c>
      <x:c r="K204" s="19" t="n">
        <x:v>46240.36500672454</x:v>
      </x:c>
      <x:c r="L204" s="19" t="n">
        <x:v>46752.40704861111</x:v>
      </x:c>
      <x:c r="M204"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x:v>
      </x:c>
      <x:c r="N204" s="15" t="str">
        <x:v>https://prozorro.gov.ua/tender/UA-2026-08-06-004070-a</x:v>
      </x:c>
    </x:row>
    <x:row r="205">
      <x:c r="A205" s="14" t="n">
        <x:v>201</x:v>
      </x:c>
      <x:c r="B205" s="14" t="str">
        <x:v>Фізична особа підприємець Гречаниченко Микола Миколайович</x:v>
      </x:c>
      <x:c r="C205" s="14" t="str">
        <x:v>3086618552</x:v>
      </x:c>
      <x:c r="D205" s="14" t="str">
        <x:v>Сонячна енергетика</x:v>
      </x:c>
      <x:c r="E205" s="14" t="str">
        <x:v>Expansion discovery</x:v>
      </x:c>
      <x:c r="F205" s="14" t="str">
        <x:v>I2</x:v>
      </x:c>
      <x:c r="G205" s="14" t="n">
        <x:v>66</x:v>
      </x:c>
      <x:c r="H205" s="14" t="n">
        <x:v>2</x:v>
      </x:c>
      <x:c r="I205" s="14" t="n">
        <x:v>2</x:v>
      </x:c>
      <x:c r="J205" s="18" t="n">
        <x:v>135044</x:v>
      </x:c>
      <x:c r="K205" s="19" t="n">
        <x:v>46248.4419971875</x:v>
      </x:c>
      <x:c r="L205" s="19" t="n">
        <x:v>46387</x:v>
      </x:c>
      <x:c r="M205"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x:v>
      </x:c>
      <x:c r="N205" s="15" t="str">
        <x:v>https://prozorro.gov.ua/tender/UA-2026-08-14-006586-a</x:v>
      </x:c>
    </x:row>
    <x:row r="206">
      <x:c r="A206" s="14" t="n">
        <x:v>202</x:v>
      </x:c>
      <x:c r="B206" s="14" t="str">
        <x:v>Фізична особа-підприємець Кремінський Владислав Олександрович</x:v>
      </x:c>
      <x:c r="C206" s="14" t="str">
        <x:v>3164514254</x:v>
      </x:c>
      <x:c r="D206" s="14" t="str">
        <x:v>Водоочищення / очисні споруди</x:v>
      </x:c>
      <x:c r="E206" s="14" t="str">
        <x:v>Expansion discovery</x:v>
      </x:c>
      <x:c r="F206" s="14" t="str">
        <x:v>I2</x:v>
      </x:c>
      <x:c r="G206" s="14" t="n">
        <x:v>66</x:v>
      </x:c>
      <x:c r="H206" s="14" t="n">
        <x:v>2</x:v>
      </x:c>
      <x:c r="I206" s="14" t="n">
        <x:v>2</x:v>
      </x:c>
      <x:c r="J206" s="18" t="n">
        <x:v>499262.47</x:v>
      </x:c>
      <x:c r="K206" s="19" t="n">
        <x:v>46245.59813092592</x:v>
      </x:c>
      <x:c r="L206" s="19" t="n">
        <x:v>46265</x:v>
      </x:c>
      <x:c r="M206"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x:v>
      </x:c>
      <x:c r="N206" s="15" t="str">
        <x:v>https://prozorro.gov.ua/tender/UA-2026-08-11-012301-a</x:v>
      </x:c>
    </x:row>
    <x:row r="207">
      <x:c r="A207" s="14" t="n">
        <x:v>203</x:v>
      </x:c>
      <x:c r="B207" s="14" t="str">
        <x:v>ФОП Ламбурх Михайло Іванович</x:v>
      </x:c>
      <x:c r="C207" s="14" t="str">
        <x:v>2198622773</x:v>
      </x:c>
      <x:c r="D207" s="14" t="str">
        <x:v>Пасивний вогнезахист</x:v>
      </x:c>
      <x:c r="E207" s="14" t="str">
        <x:v>Expansion discovery</x:v>
      </x:c>
      <x:c r="F207" s="14" t="str">
        <x:v>I2</x:v>
      </x:c>
      <x:c r="G207" s="14" t="n">
        <x:v>66</x:v>
      </x:c>
      <x:c r="H207" s="14" t="n">
        <x:v>2</x:v>
      </x:c>
      <x:c r="I207" s="14" t="n">
        <x:v>2</x:v>
      </x:c>
      <x:c r="J207" s="18" t="n">
        <x:v>150534.9</x:v>
      </x:c>
      <x:c r="K207" s="19" t="n">
        <x:v>46218.373037488425</x:v>
      </x:c>
      <x:c r="L207" s="19" t="n">
        <x:v>46387</x:v>
      </x:c>
      <x:c r="M207" s="15" t="str">
        <x:v>Вогнезахисна обробка дерев'яних конструкцій покрівлі даху</x:v>
      </x:c>
      <x:c r="N207" s="15" t="str">
        <x:v>https://prozorro.gov.ua/tender/UA-2026-07-15-004041-a</x:v>
      </x:c>
    </x:row>
    <x:row r="208">
      <x:c r="A208" s="14" t="n">
        <x:v>204</x:v>
      </x:c>
      <x:c r="B208" s="14" t="str">
        <x:v>ПРИВАТНЕ ПІДПРИЄМСТВО "СПЕЦСЕРВІС"</x:v>
      </x:c>
      <x:c r="C208" s="14" t="str">
        <x:v>30518990</x:v>
      </x:c>
      <x:c r="D208" s="14" t="str">
        <x:v>HVAC / ОВіК</x:v>
      </x:c>
      <x:c r="E208" s="14" t="str">
        <x:v>Pilot now</x:v>
      </x:c>
      <x:c r="F208" s="14" t="str">
        <x:v>I2</x:v>
      </x:c>
      <x:c r="G208" s="14" t="n">
        <x:v>66</x:v>
      </x:c>
      <x:c r="H208" s="14" t="n">
        <x:v>2</x:v>
      </x:c>
      <x:c r="I208" s="14" t="n">
        <x:v>1</x:v>
      </x:c>
      <x:c r="J208" s="18" t="n">
        <x:v>2386825</x:v>
      </x:c>
      <x:c r="K208" s="19" t="n">
        <x:v>46163.54218483796</x:v>
      </x:c>
      <x:c r="L208" s="19" t="n">
        <x:v>46367.51802083333</x:v>
      </x:c>
      <x:c r="M208"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x:v>
      </x:c>
      <x:c r="N208" s="15" t="str">
        <x:v>https://prozorro.gov.ua/tender/UA-2026-05-06-008852-a</x:v>
      </x:c>
    </x:row>
    <x:row r="209">
      <x:c r="A209" s="14" t="n">
        <x:v>205</x:v>
      </x:c>
      <x:c r="B209" s="14" t="str">
        <x:v>ТОВАРИСТВО З ОБМЕЖЕНОЮ ВІДПОВІДАЛЬНІСТЮ "АЛЬБА - ТЕХСЕРВІС"</x:v>
      </x:c>
      <x:c r="C209" s="14" t="str">
        <x:v>34744043</x:v>
      </x:c>
      <x:c r="D209" s="14" t="str">
        <x:v>Пожежогасіння</x:v>
      </x:c>
      <x:c r="E209" s="14" t="str">
        <x:v>Expansion discovery</x:v>
      </x:c>
      <x:c r="F209" s="14" t="str">
        <x:v>I2</x:v>
      </x:c>
      <x:c r="G209" s="14" t="n">
        <x:v>66</x:v>
      </x:c>
      <x:c r="H209" s="14" t="n">
        <x:v>2</x:v>
      </x:c>
      <x:c r="I209" s="14" t="n">
        <x:v>1</x:v>
      </x:c>
      <x:c r="J209" s="18" t="n">
        <x:v>478579.68</x:v>
      </x:c>
      <x:c r="K209" s="19" t="n">
        <x:v>46253.50338994213</x:v>
      </x:c>
      <x:c r="L209" s="19" t="n">
        <x:v>46325</x:v>
      </x:c>
      <x:c r="M209"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x:v>
      </x:c>
      <x:c r="N209" s="15" t="str">
        <x:v>https://prozorro.gov.ua/tender/UA-2026-08-19-009214-a</x:v>
      </x:c>
    </x:row>
    <x:row r="210">
      <x:c r="A210" s="14" t="n">
        <x:v>206</x:v>
      </x:c>
      <x:c r="B210" s="14" t="str">
        <x:v>ТОВАРИСТВО З ОБМЕЖЕНОЮ ВІДПОВІДАЛЬНІСТЮ "ПОЖЕЖНА БЕЗПЕКА-ЦЕНТР"</x:v>
      </x:c>
      <x:c r="C210" s="14" t="str">
        <x:v>44930287</x:v>
      </x:c>
      <x:c r="D210" s="14" t="str">
        <x:v>Пожежогасіння</x:v>
      </x:c>
      <x:c r="E210" s="14" t="str">
        <x:v>Expansion discovery</x:v>
      </x:c>
      <x:c r="F210" s="14" t="str">
        <x:v>I2</x:v>
      </x:c>
      <x:c r="G210" s="14" t="n">
        <x:v>66</x:v>
      </x:c>
      <x:c r="H210" s="14" t="n">
        <x:v>4</x:v>
      </x:c>
      <x:c r="I210" s="14" t="n">
        <x:v>1</x:v>
      </x:c>
      <x:c r="J210" s="18" t="n">
        <x:v>305726.35</x:v>
      </x:c>
      <x:c r="K210" s="19" t="n">
        <x:v>45986.28103888889</x:v>
      </x:c>
      <x:c r="L210" s="19" t="n">
        <x:v>46022.28202546296</x:v>
      </x:c>
      <x:c r="M210" s="15" t="str">
        <x:v>Послуги зі встановлення протипожежного устаткування (монтаж системи  блискавкозахисту</x:v>
      </x:c>
      <x:c r="N210" s="15" t="str">
        <x:v>https://prozorro.gov.ua/tender/UA-2025-11-25-000459-a</x:v>
      </x:c>
    </x:row>
    <x:row r="211">
      <x:c r="A211" s="14" t="n">
        <x:v>207</x:v>
      </x:c>
      <x:c r="B211" s="14" t="str">
        <x:v>ФОП Мітла Олександр Вікторович</x:v>
      </x:c>
      <x:c r="C211" s="14" t="str">
        <x:v>2199615492</x:v>
      </x:c>
      <x:c r="D211" s="14" t="str">
        <x:v>Пасивний вогнезахист</x:v>
      </x:c>
      <x:c r="E211" s="14" t="str">
        <x:v>Expansion discovery</x:v>
      </x:c>
      <x:c r="F211" s="14" t="str">
        <x:v>I2</x:v>
      </x:c>
      <x:c r="G211" s="14" t="n">
        <x:v>66</x:v>
      </x:c>
      <x:c r="H211" s="14" t="n">
        <x:v>2</x:v>
      </x:c>
      <x:c r="I211" s="14" t="n">
        <x:v>1</x:v>
      </x:c>
      <x:c r="J211" s="18" t="n">
        <x:v>101886.4</x:v>
      </x:c>
      <x:c r="K211" s="19" t="n">
        <x:v>46239.244112789354</x:v>
      </x:c>
      <x:c r="L211" s="19" t="n">
        <x:v>46387.28613425926</x:v>
      </x:c>
      <x:c r="M211" s="15" t="str">
        <x:v>Послуги з вогнезахисної обробки дерев'яних конструкцій</x:v>
      </x:c>
      <x:c r="N211" s="15" t="str">
        <x:v>https://prozorro.gov.ua/tender/UA-2026-08-05-000369-a</x:v>
      </x:c>
    </x:row>
    <x:row r="212">
      <x:c r="A212" s="14" t="n">
        <x:v>208</x:v>
      </x:c>
      <x:c r="B212" s="14" t="str">
        <x:v>ІВАШУТА РОМАН СТАНІСЛАВОВИЧ</x:v>
      </x:c>
      <x:c r="C212" s="14" t="str">
        <x:v>3314608572</x:v>
      </x:c>
      <x:c r="D212" s="14" t="str">
        <x:v>Металоконструкції</x:v>
      </x:c>
      <x:c r="E212" s="14" t="str">
        <x:v>Expansion discovery</x:v>
      </x:c>
      <x:c r="F212" s="14" t="str">
        <x:v>I2</x:v>
      </x:c>
      <x:c r="G212" s="14" t="n">
        <x:v>66</x:v>
      </x:c>
      <x:c r="H212" s="14" t="n">
        <x:v>2</x:v>
      </x:c>
      <x:c r="I212" s="14" t="n">
        <x:v>0</x:v>
      </x:c>
      <x:c r="J212" s="18" t="n">
        <x:v>126880</x:v>
      </x:c>
      <x:c r="K212" s="19" t="n">
        <x:v>46244.47195049768</x:v>
      </x:c>
      <x:c r="L212" s="19" t="n">
        <x:v>46240</x:v>
      </x:c>
      <x:c r="M212" s="15" t="str">
        <x:v>Виготовлення та монтаж алюмінієво композитних панелей (АКП) на металоконструкції стендів Алеї Слави, габаритним розміром 1160мм.*1500мм.</x:v>
      </x:c>
      <x:c r="N212" s="15" t="str">
        <x:v>https://prozorro.gov.ua/tender/UA-2026-08-10-006518-a</x:v>
      </x:c>
    </x:row>
    <x:row r="213">
      <x:c r="A213" s="14" t="n">
        <x:v>209</x:v>
      </x:c>
      <x:c r="B213" s="14" t="str">
        <x:v>ТОВАРИСТВО З ОБМЕЖЕНОЮ ВІДПОВІДАЛЬНІСТЮ "Науково-виробниче підприємство "Еко-моніторинг"</x:v>
      </x:c>
      <x:c r="C213" s="14" t="str">
        <x:v>45857381</x:v>
      </x:c>
      <x:c r="D213" s="14" t="str">
        <x:v>Зливова каналізація / дренаж</x:v>
      </x:c>
      <x:c r="E213" s="14" t="str">
        <x:v>Expansion discovery</x:v>
      </x:c>
      <x:c r="F213" s="14" t="str">
        <x:v>I2</x:v>
      </x:c>
      <x:c r="G213" s="14" t="n">
        <x:v>66</x:v>
      </x:c>
      <x:c r="H213" s="14" t="n">
        <x:v>2</x:v>
      </x:c>
      <x:c r="I213" s="14" t="n">
        <x:v>0</x:v>
      </x:c>
      <x:c r="J213" s="18" t="n">
        <x:v>171900</x:v>
      </x:c>
      <x:c r="K213" s="19" t="n">
        <x:v>46224.51214429398</x:v>
      </x:c>
      <x:c r="L213" s="19" t="n">
        <x:v>46254</x:v>
      </x:c>
      <x:c r="M213"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x:v>
      </x:c>
      <x:c r="N213" s="15" t="str">
        <x:v>https://prozorro.gov.ua/tender/UA-2026-07-21-008580-a</x:v>
      </x:c>
    </x:row>
    <x:row r="214">
      <x:c r="A214" s="14" t="n">
        <x:v>210</x:v>
      </x:c>
      <x:c r="B214" s="14" t="str">
        <x:v>УПРАВЛІННЯ ПОЛІЦІЇ ОХОРОНИ У ВОЛИНСЬКІЙ ОБЛАСТІ</x:v>
      </x:c>
      <x:c r="C214" s="14" t="str">
        <x:v>40108803</x:v>
      </x:c>
      <x:c r="D214" s="14" t="str">
        <x:v>Пожежогасіння</x:v>
      </x:c>
      <x:c r="E214" s="14" t="str">
        <x:v>Expansion discovery</x:v>
      </x:c>
      <x:c r="F214" s="14" t="str">
        <x:v>I2</x:v>
      </x:c>
      <x:c r="G214" s="14" t="n">
        <x:v>65</x:v>
      </x:c>
      <x:c r="H214" s="14" t="n">
        <x:v>3</x:v>
      </x:c>
      <x:c r="I214" s="14" t="n">
        <x:v>3</x:v>
      </x:c>
      <x:c r="J214" s="18" t="n">
        <x:v>166184.47</x:v>
      </x:c>
      <x:c r="K214" s="19" t="n">
        <x:v>46247.39649629629</x:v>
      </x:c>
      <x:c r="L214" s="19" t="n">
        <x:v>46387</x:v>
      </x:c>
      <x:c r="M214" s="15" t="str">
        <x:v>45310000-3 Електромонтажні роботи</x:v>
      </x:c>
      <x:c r="N214" s="15" t="str">
        <x:v>https://prozorro.gov.ua/tender/UA-2026-08-13-005541-a</x:v>
      </x:c>
    </x:row>
    <x:row r="215">
      <x:c r="A215" s="14" t="n">
        <x:v>211</x:v>
      </x:c>
      <x:c r="B215" s="14" t="str">
        <x:v>ПРИВАТНЕ ПІДПРИЄМСТВО "ЕКОХІМСЕРВІС"</x:v>
      </x:c>
      <x:c r="C215" s="14" t="str">
        <x:v>39365715</x:v>
      </x:c>
      <x:c r="D215" s="14" t="str">
        <x:v>Водоочищення / очисні споруди</x:v>
      </x:c>
      <x:c r="E215" s="14" t="str">
        <x:v>Expansion discovery</x:v>
      </x:c>
      <x:c r="F215" s="14" t="str">
        <x:v>I2</x:v>
      </x:c>
      <x:c r="G215" s="14" t="n">
        <x:v>65</x:v>
      </x:c>
      <x:c r="H215" s="14" t="n">
        <x:v>2</x:v>
      </x:c>
      <x:c r="I215" s="14" t="n">
        <x:v>1</x:v>
      </x:c>
      <x:c r="J215" s="18" t="n">
        <x:v>1534517.03</x:v>
      </x:c>
      <x:c r="K215" s="19" t="n">
        <x:v>46254.59984137731</x:v>
      </x:c>
      <x:c r="L215" s="19" t="n">
        <x:v>46387</x:v>
      </x:c>
      <x:c r="M215"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x:v>
      </x:c>
      <x:c r="N215" s="15" t="str">
        <x:v>https://prozorro.gov.ua/tender/UA-2026-08-20-012943-a</x:v>
      </x:c>
    </x:row>
    <x:row r="216">
      <x:c r="A216" s="14" t="n">
        <x:v>212</x:v>
      </x:c>
      <x:c r="B216" s="14" t="str">
        <x:v>ГРИГОРУК АНДРІЙ ВАЛЕНТИНОВИЧ</x:v>
      </x:c>
      <x:c r="C216" s="14" t="str">
        <x:v>3030017093</x:v>
      </x:c>
      <x:c r="D216" s="14" t="str">
        <x:v>Теплові мережі</x:v>
      </x:c>
      <x:c r="E216" s="14" t="str">
        <x:v>Expansion discovery</x:v>
      </x:c>
      <x:c r="F216" s="14" t="str">
        <x:v>I2</x:v>
      </x:c>
      <x:c r="G216" s="14" t="n">
        <x:v>64</x:v>
      </x:c>
      <x:c r="H216" s="14" t="n">
        <x:v>2</x:v>
      </x:c>
      <x:c r="I216" s="14" t="n">
        <x:v>2</x:v>
      </x:c>
      <x:c r="J216" s="18" t="n">
        <x:v>1909757.92</x:v>
      </x:c>
      <x:c r="K216" s="19" t="n">
        <x:v>46147.60100513889</x:v>
      </x:c>
      <x:c r="L216" s="19" t="n">
        <x:v>46295</x:v>
      </x:c>
      <x:c r="M216" s="15" t="str">
        <x:v>Розробка робочого проекту по об’єкту: «Реконструкція ділянки теплової мережі вул. Академіка Філатова від ТК1019 до ТК3024, м. Одеса» </x:v>
      </x:c>
      <x:c r="N216" s="15" t="str">
        <x:v>https://prozorro.gov.ua/tender/UA-2026-05-05-014439-a</x:v>
      </x:c>
    </x:row>
    <x:row r="217">
      <x:c r="A217" s="14" t="n">
        <x:v>213</x:v>
      </x:c>
      <x:c r="B217" s="14" t="str">
        <x:v>ТОВАРИСТВО З ОБМЕЖЕНОЮ ВІДПОВІДАЛЬНІСТЮ "БУДІВЕЛЬНО-МОНТАЖНЕ ПІДПРИЄМСТВО-164"</x:v>
      </x:c>
      <x:c r="C217" s="14" t="str">
        <x:v>33608607</x:v>
      </x:c>
      <x:c r="D217" s="14" t="str">
        <x:v>Теплові мережі</x:v>
      </x:c>
      <x:c r="E217" s="14" t="str">
        <x:v>Expansion discovery</x:v>
      </x:c>
      <x:c r="F217" s="14" t="str">
        <x:v>I2</x:v>
      </x:c>
      <x:c r="G217" s="14" t="n">
        <x:v>64</x:v>
      </x:c>
      <x:c r="H217" s="14" t="n">
        <x:v>2</x:v>
      </x:c>
      <x:c r="I217" s="14" t="n">
        <x:v>2</x:v>
      </x:c>
      <x:c r="J217" s="18" t="n">
        <x:v>7271000</x:v>
      </x:c>
      <x:c r="K217" s="19" t="n">
        <x:v>46098.61959248842</x:v>
      </x:c>
      <x:c r="L217" s="19" t="n">
        <x:v>46568</x:v>
      </x:c>
      <x:c r="M217" s="15" t="str">
        <x:v>С_26П-150_50220000-3 Послуги з ремонту, технічного обслуговування залізничного транспорту і пов’язаного обладнання та супутні послуги (Послуги з поточного утримання під’їзних колій)
</x:v>
      </x:c>
      <x:c r="N217" s="15" t="str">
        <x:v>https://prozorro.gov.ua/tender/UA-2026-02-26-011757-a</x:v>
      </x:c>
    </x:row>
    <x:row r="218">
      <x:c r="A218" s="14" t="n">
        <x:v>214</x:v>
      </x:c>
      <x:c r="B218" s="14" t="str">
        <x:v>ТОВАРИСТВО З ОБМЕЖЕНОЮ ВІДПОВІДАЛЬНІСТЮ "ВІКТОРІЯ-ФЕЛІЗ"</x:v>
      </x:c>
      <x:c r="C218" s="14" t="str">
        <x:v>31146326</x:v>
      </x:c>
      <x:c r="D218" s="14" t="str">
        <x:v>ВОЛЗ / телеком</x:v>
      </x:c>
      <x:c r="E218" s="14" t="str">
        <x:v>Expansion discovery</x:v>
      </x:c>
      <x:c r="F218" s="14" t="str">
        <x:v>I2</x:v>
      </x:c>
      <x:c r="G218" s="14" t="n">
        <x:v>64</x:v>
      </x:c>
      <x:c r="H218" s="14" t="n">
        <x:v>3</x:v>
      </x:c>
      <x:c r="I218" s="14" t="n">
        <x:v>2</x:v>
      </x:c>
      <x:c r="J218" s="18" t="n">
        <x:v>2145964</x:v>
      </x:c>
      <x:c r="K218" s="19" t="n">
        <x:v>45775.33975831018</x:v>
      </x:c>
      <x:c r="L218" s="19" t="n">
        <x:v>45976</x:v>
      </x:c>
      <x:c r="M218" s="15" t="str">
        <x:v>Будівництво волоконно-оптичної лінії зв'язку спеціального призначення</x:v>
      </x:c>
      <x:c r="N218" s="15" t="str">
        <x:v>https://prozorro.gov.ua/tender/UA-2025-04-28-003033-a</x:v>
      </x:c>
    </x:row>
    <x:row r="219">
      <x:c r="A219" s="14" t="n">
        <x:v>215</x:v>
      </x:c>
      <x:c r="B219" s="14" t="str">
        <x:v>ТОВАРИСТВО З ОБМЕЖЕНОЮ ВІДПОВІДАЛЬНІСТЮ "ОПТІМА СЕРВІСБУД"</x:v>
      </x:c>
      <x:c r="C219" s="14" t="str">
        <x:v>46051810</x:v>
      </x:c>
      <x:c r="D219" s="14" t="str">
        <x:v>Пожежогасіння</x:v>
      </x:c>
      <x:c r="E219" s="14" t="str">
        <x:v>Expansion discovery</x:v>
      </x:c>
      <x:c r="F219" s="14" t="str">
        <x:v>I2</x:v>
      </x:c>
      <x:c r="G219" s="14" t="n">
        <x:v>64</x:v>
      </x:c>
      <x:c r="H219" s="14" t="n">
        <x:v>2</x:v>
      </x:c>
      <x:c r="I219" s="14" t="n">
        <x:v>2</x:v>
      </x:c>
      <x:c r="J219" s="18" t="n">
        <x:v>846300.66</x:v>
      </x:c>
      <x:c r="K219" s="19" t="n">
        <x:v>46209.55905646991</x:v>
      </x:c>
      <x:c r="L219" s="19" t="n">
        <x:v>46387</x:v>
      </x:c>
      <x:c r="M219"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x:v>
      </x:c>
      <x:c r="N219" s="15" t="str">
        <x:v>https://prozorro.gov.ua/tender/UA-2026-06-26-001296-a</x:v>
      </x:c>
    </x:row>
    <x:row r="220">
      <x:c r="A220" s="14" t="n">
        <x:v>216</x:v>
      </x:c>
      <x:c r="B220" s="14" t="str">
        <x:v>ТОВАРИСТВО З ОБМЕЖЕНОЮ ВІДПОВІДАЛЬНІСТЮ «ПРОЕКТНО-КОНСТРУКТОРСЬКИЙ, НАУКОВО-ДОСЛІДНИЙ ІНСТИТУТ «ЕНЕРГОТЕХПРОЕКТ»</x:v>
      </x:c>
      <x:c r="C220" s="14" t="str">
        <x:v>13679387</x:v>
      </x:c>
      <x:c r="D220" s="14" t="str">
        <x:v>Теплові мережі</x:v>
      </x:c>
      <x:c r="E220" s="14" t="str">
        <x:v>Expansion discovery</x:v>
      </x:c>
      <x:c r="F220" s="14" t="str">
        <x:v>I2</x:v>
      </x:c>
      <x:c r="G220" s="14" t="n">
        <x:v>64</x:v>
      </x:c>
      <x:c r="H220" s="14" t="n">
        <x:v>2</x:v>
      </x:c>
      <x:c r="I220" s="14" t="n">
        <x:v>2</x:v>
      </x:c>
      <x:c r="J220" s="18" t="n">
        <x:v>10176377.76</x:v>
      </x:c>
      <x:c r="K220" s="19" t="n">
        <x:v>46248.32728450232</x:v>
      </x:c>
      <x:c r="L220" s="19" t="n">
        <x:v>46386</x:v>
      </x:c>
      <x:c r="M220" s="15" t="str">
        <x:v>Виконання робіт з розробки проєктної документації за об’єктом: Нове будівництво *** в межах перетину *** м. Києва. Зовнішні мережі теплопостачання. Зовнішні мережі газопостачання. Зовнішні мережі водопостачання та каналізації.</x:v>
      </x:c>
      <x:c r="N220" s="15" t="str">
        <x:v>https://prozorro.gov.ua/tender/UA-2026-08-14-002902-a</x:v>
      </x:c>
    </x:row>
    <x:row r="221">
      <x:c r="A221" s="14" t="n">
        <x:v>217</x:v>
      </x:c>
      <x:c r="B221" s="14" t="str">
        <x:v>ПП "КОМФОРТ-СКОЛЕ"</x:v>
      </x:c>
      <x:c r="C221" s="14" t="str">
        <x:v>41425076</x:v>
      </x:c>
      <x:c r="D221" s="14" t="str">
        <x:v>Фасади та скління</x:v>
      </x:c>
      <x:c r="E221" s="14" t="str">
        <x:v>Expansion discovery</x:v>
      </x:c>
      <x:c r="F221" s="14" t="str">
        <x:v>I2</x:v>
      </x:c>
      <x:c r="G221" s="14" t="n">
        <x:v>64</x:v>
      </x:c>
      <x:c r="H221" s="14" t="n">
        <x:v>1</x:v>
      </x:c>
      <x:c r="I221" s="14" t="n">
        <x:v>1</x:v>
      </x:c>
      <x:c r="J221" s="18" t="n">
        <x:v>3135909.6</x:v>
      </x:c>
      <x:c r="K221" s="19" t="n">
        <x:v>46220.49480984954</x:v>
      </x:c>
      <x:c r="L221" s="19" t="n">
        <x:v>46371</x:v>
      </x:c>
      <x:c r="M221"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x:v>
      </x:c>
      <x:c r="N221" s="15" t="str">
        <x:v>https://prozorro.gov.ua/tender/UA-2026-06-26-000900-a</x:v>
      </x:c>
    </x:row>
    <x:row r="222">
      <x:c r="A222" s="14" t="n">
        <x:v>218</x:v>
      </x:c>
      <x:c r="B222" s="14" t="str">
        <x:v>ПРИВАТНЕ АКЦІОНЕРНЕ ТОВАРИСТВО «УКРГІДРОПРОЕКТ»</x:v>
      </x:c>
      <x:c r="C222" s="14" t="str">
        <x:v>00114117</x:v>
      </x:c>
      <x:c r="D222" s="14" t="str">
        <x:v>Ремонт і підсилення бетону</x:v>
      </x:c>
      <x:c r="E222" s="14" t="str">
        <x:v>Expansion discovery</x:v>
      </x:c>
      <x:c r="F222" s="14" t="str">
        <x:v>I2</x:v>
      </x:c>
      <x:c r="G222" s="14" t="n">
        <x:v>64</x:v>
      </x:c>
      <x:c r="H222" s="14" t="n">
        <x:v>3</x:v>
      </x:c>
      <x:c r="I222" s="14" t="n">
        <x:v>1</x:v>
      </x:c>
      <x:c r="J222" s="18" t="n">
        <x:v>16181326.8</x:v>
      </x:c>
      <x:c r="K222" s="19" t="n">
        <x:v>46063.44981295139</x:v>
      </x:c>
      <x:c r="L222" s="19" t="n">
        <x:v>46203</x:v>
      </x:c>
      <x:c r="M222"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x:v>
      </x:c>
      <x:c r="N222" s="15" t="str">
        <x:v>https://prozorro.gov.ua/tender/UA-2026-02-10-007738-a</x:v>
      </x:c>
    </x:row>
    <x:row r="223">
      <x:c r="A223" s="14" t="n">
        <x:v>219</x:v>
      </x:c>
      <x:c r="B223" s="14" t="str">
        <x:v>ПРИВАТНЕ ПІДПРИЄМСТВО "ВІК-2000"</x:v>
      </x:c>
      <x:c r="C223" s="14" t="str">
        <x:v>32138084</x:v>
      </x:c>
      <x:c r="D223" s="14" t="str">
        <x:v>Фасади та скління</x:v>
      </x:c>
      <x:c r="E223" s="14" t="str">
        <x:v>Expansion discovery</x:v>
      </x:c>
      <x:c r="F223" s="14" t="str">
        <x:v>I2</x:v>
      </x:c>
      <x:c r="G223" s="14" t="n">
        <x:v>64</x:v>
      </x:c>
      <x:c r="H223" s="14" t="n">
        <x:v>1</x:v>
      </x:c>
      <x:c r="I223" s="14" t="n">
        <x:v>1</x:v>
      </x:c>
      <x:c r="J223" s="18" t="n">
        <x:v>4700000</x:v>
      </x:c>
      <x:c r="K223" s="19" t="n">
        <x:v>46226.56429509259</x:v>
      </x:c>
      <x:c r="L223" s="19" t="n">
        <x:v>46318.46420138889</x:v>
      </x:c>
      <x:c r="M223"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x:v>
      </x:c>
      <x:c r="N223" s="15" t="str">
        <x:v>https://prozorro.gov.ua/tender/UA-2026-06-24-007551-a</x:v>
      </x:c>
    </x:row>
    <x:row r="224">
      <x:c r="A224" s="14" t="n">
        <x:v>220</x:v>
      </x:c>
      <x:c r="B224" s="14" t="str">
        <x:v>ПРИВАТНЕ ПІДПРИЄМСТВО "ЕЛЕКТРОМОНТАЖ-СЕРВІС ПЛЮС"</x:v>
      </x:c>
      <x:c r="C224" s="14" t="str">
        <x:v>39285406</x:v>
      </x:c>
      <x:c r="D224" s="14" t="str">
        <x:v>Промислова електрика / ПНР</x:v>
      </x:c>
      <x:c r="E224" s="14" t="str">
        <x:v>Pilot now</x:v>
      </x:c>
      <x:c r="F224" s="14" t="str">
        <x:v>I2</x:v>
      </x:c>
      <x:c r="G224" s="14" t="n">
        <x:v>64</x:v>
      </x:c>
      <x:c r="H224" s="14" t="n">
        <x:v>1</x:v>
      </x:c>
      <x:c r="I224" s="14" t="n">
        <x:v>1</x:v>
      </x:c>
      <x:c r="J224" s="18" t="n">
        <x:v>5936431</x:v>
      </x:c>
      <x:c r="K224" s="19" t="n">
        <x:v>46254.24700225695</x:v>
      </x:c>
      <x:c r="L224" s="19" t="n">
        <x:v>46338</x:v>
      </x:c>
      <x:c r="M224"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внутрішніх мереж електропостачання із влаштування фотоелектричної станції та встановленням УЗЕ ТОВ "Агросем" за межами с. Давидківці Хмельницька ТГ (6825082400:02:019:0133). Влаштування відгалуження 35 кВ" (технічні умови нестандартного приєднання ТУ:004134-171025-2-22-03-3-00000-1))</x:v>
      </x:c>
      <x:c r="N224" s="15" t="str">
        <x:v>https://prozorro.gov.ua/tender/UA-2026-07-29-004011-a</x:v>
      </x:c>
    </x:row>
    <x:row r="225">
      <x:c r="A225" s="14" t="n">
        <x:v>221</x:v>
      </x:c>
      <x:c r="B225" s="14" t="str">
        <x:v>Приватне підприємство "Спорт-прогрес"</x:v>
      </x:c>
      <x:c r="C225" s="14" t="str">
        <x:v>40759107</x:v>
      </x:c>
      <x:c r="D225" s="14" t="str">
        <x:v>Сонячна енергетика</x:v>
      </x:c>
      <x:c r="E225" s="14" t="str">
        <x:v>Pilot now</x:v>
      </x:c>
      <x:c r="F225" s="14" t="str">
        <x:v>I2</x:v>
      </x:c>
      <x:c r="G225" s="14" t="n">
        <x:v>64</x:v>
      </x:c>
      <x:c r="H225" s="14" t="n">
        <x:v>1</x:v>
      </x:c>
      <x:c r="I225" s="14" t="n">
        <x:v>1</x:v>
      </x:c>
      <x:c r="J225" s="18" t="n">
        <x:v>2746484.52</x:v>
      </x:c>
      <x:c r="K225" s="19" t="n">
        <x:v>46240.54510621528</x:v>
      </x:c>
      <x:c r="L225" s="19" t="n">
        <x:v>46387.588159722225</x:v>
      </x:c>
      <x:c r="M225" s="15" t="str">
        <x:v>«Нове будівництво сонячної електростанції для забезпечення альтернативного джерела живлення на власні потреби хірургічного корпусу КНП «Городоцька міська багатопрофільна лікарня» Городоцької міської ради Хмельницької області за адресою: вул. Шевченка, 40, м. Городок, Хмельницька область (коригування)»</x:v>
      </x:c>
      <x:c r="N225" s="15" t="str">
        <x:v>https://prozorro.gov.ua/tender/UA-2026-08-06-009831-a</x:v>
      </x:c>
    </x:row>
    <x:row r="226">
      <x:c r="A226" s="14" t="n">
        <x:v>222</x:v>
      </x:c>
      <x:c r="B226" s="14" t="str">
        <x:v>ТОВ "БЕРГ ГРУПП"</x:v>
      </x:c>
      <x:c r="C226" s="14" t="str">
        <x:v>44980668</x:v>
      </x:c>
      <x:c r="D226" s="14" t="str">
        <x:v>ГНБ / безтраншейні роботи</x:v>
      </x:c>
      <x:c r="E226" s="14" t="str">
        <x:v>Expansion discovery</x:v>
      </x:c>
      <x:c r="F226" s="14" t="str">
        <x:v>I2</x:v>
      </x:c>
      <x:c r="G226" s="14" t="n">
        <x:v>64</x:v>
      </x:c>
      <x:c r="H226" s="14" t="n">
        <x:v>1</x:v>
      </x:c>
      <x:c r="I226" s="14" t="n">
        <x:v>1</x:v>
      </x:c>
      <x:c r="J226" s="18" t="n">
        <x:v>4801000</x:v>
      </x:c>
      <x:c r="K226" s="19" t="n">
        <x:v>46246.239263993055</x:v>
      </x:c>
      <x:c r="L226" s="19" t="n">
        <x:v>46752</x:v>
      </x:c>
      <x:c r="M226"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x:v>
      </x:c>
      <x:c r="N226" s="15" t="str">
        <x:v>https://prozorro.gov.ua/tender/UA-2026-07-01-004063-a</x:v>
      </x:c>
    </x:row>
    <x:row r="227">
      <x:c r="A227" s="14" t="n">
        <x:v>223</x:v>
      </x:c>
      <x:c r="B227" s="14" t="str">
        <x:v>ТОВ "БІОАЛЬЯНС-ЕНЕРГІЯ"</x:v>
      </x:c>
      <x:c r="C227" s="14" t="str">
        <x:v>41809596</x:v>
      </x:c>
      <x:c r="D227" s="14" t="str">
        <x:v>Насосні станції</x:v>
      </x:c>
      <x:c r="E227" s="14" t="str">
        <x:v>Expansion discovery</x:v>
      </x:c>
      <x:c r="F227" s="14" t="str">
        <x:v>I2</x:v>
      </x:c>
      <x:c r="G227" s="14" t="n">
        <x:v>64</x:v>
      </x:c>
      <x:c r="H227" s="14" t="n">
        <x:v>1</x:v>
      </x:c>
      <x:c r="I227" s="14" t="n">
        <x:v>1</x:v>
      </x:c>
      <x:c r="J227" s="18" t="n">
        <x:v>2047572</x:v>
      </x:c>
      <x:c r="K227" s="19" t="n">
        <x:v>46255.48288792824</x:v>
      </x:c>
      <x:c r="L227" s="19" t="n">
        <x:v>46310.74144675926</x:v>
      </x:c>
      <x:c r="M227"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x:v>
      </x:c>
      <x:c r="N227" s="15" t="str">
        <x:v>https://prozorro.gov.ua/tender/UA-2026-07-30-010966-a</x:v>
      </x:c>
    </x:row>
    <x:row r="228">
      <x:c r="A228" s="14" t="n">
        <x:v>224</x:v>
      </x:c>
      <x:c r="B228" s="14" t="str">
        <x:v>ТОВ "БК ЕНЕРГО-МОНТАЖ"</x:v>
      </x:c>
      <x:c r="C228" s="14" t="str">
        <x:v>40833701</x:v>
      </x:c>
      <x:c r="D228" s="14" t="str">
        <x:v>Промислова електрика / ПНР</x:v>
      </x:c>
      <x:c r="E228" s="14" t="str">
        <x:v>Pilot now</x:v>
      </x:c>
      <x:c r="F228" s="14" t="str">
        <x:v>I2</x:v>
      </x:c>
      <x:c r="G228" s="14" t="n">
        <x:v>64</x:v>
      </x:c>
      <x:c r="H228" s="14" t="n">
        <x:v>1</x:v>
      </x:c>
      <x:c r="I228" s="14" t="n">
        <x:v>1</x:v>
      </x:c>
      <x:c r="J228" s="18" t="n">
        <x:v>2848816</x:v>
      </x:c>
      <x:c r="K228" s="19" t="n">
        <x:v>46226.28386040509</x:v>
      </x:c>
      <x:c r="L228" s="19" t="n">
        <x:v>46296</x:v>
      </x:c>
      <x:c r="M228"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x:v>
      </x:c>
      <x:c r="N228" s="15" t="str">
        <x:v>https://prozorro.gov.ua/tender/UA-2026-07-01-006317-a</x:v>
      </x:c>
    </x:row>
    <x:row r="229">
      <x:c r="A229" s="14" t="n">
        <x:v>225</x:v>
      </x:c>
      <x:c r="B229" s="14" t="str">
        <x:v>ТОВ "БУДІВЕЛЬНА КОМПАНІЯ "МЕГА СТАЙЛ""</x:v>
      </x:c>
      <x:c r="C229" s="14" t="str">
        <x:v>41235604</x:v>
      </x:c>
      <x:c r="D229" s="14" t="str">
        <x:v>Фасади та скління</x:v>
      </x:c>
      <x:c r="E229" s="14" t="str">
        <x:v>Expansion discovery</x:v>
      </x:c>
      <x:c r="F229" s="14" t="str">
        <x:v>I2</x:v>
      </x:c>
      <x:c r="G229" s="14" t="n">
        <x:v>64</x:v>
      </x:c>
      <x:c r="H229" s="14" t="n">
        <x:v>1</x:v>
      </x:c>
      <x:c r="I229" s="14" t="n">
        <x:v>1</x:v>
      </x:c>
      <x:c r="J229" s="18" t="n">
        <x:v>2388705.13</x:v>
      </x:c>
      <x:c r="K229" s="19" t="n">
        <x:v>46241.527910439814</x:v>
      </x:c>
      <x:c r="L229" s="19" t="n">
        <x:v>46356</x:v>
      </x:c>
      <x:c r="M229"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x:v>
      </x:c>
      <x:c r="N229" s="15" t="str">
        <x:v>https://prozorro.gov.ua/tender/UA-2026-07-22-012021-a</x:v>
      </x:c>
    </x:row>
    <x:row r="230">
      <x:c r="A230" s="14" t="n">
        <x:v>226</x:v>
      </x:c>
      <x:c r="B230" s="14" t="str">
        <x:v>ТОВ "ВВС-ЛТД"</x:v>
      </x:c>
      <x:c r="C230" s="14" t="str">
        <x:v>39555742</x:v>
      </x:c>
      <x:c r="D230" s="14" t="str">
        <x:v>Мости / інфраструктура</x:v>
      </x:c>
      <x:c r="E230" s="14" t="str">
        <x:v>Expansion discovery</x:v>
      </x:c>
      <x:c r="F230" s="14" t="str">
        <x:v>I2</x:v>
      </x:c>
      <x:c r="G230" s="14" t="n">
        <x:v>64</x:v>
      </x:c>
      <x:c r="H230" s="14" t="n">
        <x:v>1</x:v>
      </x:c>
      <x:c r="I230" s="14" t="n">
        <x:v>1</x:v>
      </x:c>
      <x:c r="J230" s="18" t="n">
        <x:v>2111844.12</x:v>
      </x:c>
      <x:c r="K230" s="19" t="n">
        <x:v>46241.47802741898</x:v>
      </x:c>
      <x:c r="L230" s="19" t="n">
        <x:v>46745</x:v>
      </x:c>
      <x:c r="M230" s="15" t="str">
        <x:v>«Капітальний ремонт пішохідного мосту через річку Устя в районі стадіону "Авангард" у місті Рівному»</x:v>
      </x:c>
      <x:c r="N230" s="15" t="str">
        <x:v>https://prozorro.gov.ua/tender/UA-2026-07-23-009360-a</x:v>
      </x:c>
    </x:row>
    <x:row r="231">
      <x:c r="A231" s="14" t="n">
        <x:v>227</x:v>
      </x:c>
      <x:c r="B231" s="14" t="str">
        <x:v>ТОВ "Енергія Львів"</x:v>
      </x:c>
      <x:c r="C231" s="14" t="str">
        <x:v>40303222</x:v>
      </x:c>
      <x:c r="D231" s="14" t="str">
        <x:v>Сонячна енергетика</x:v>
      </x:c>
      <x:c r="E231" s="14" t="str">
        <x:v>Pilot now</x:v>
      </x:c>
      <x:c r="F231" s="14" t="str">
        <x:v>I2</x:v>
      </x:c>
      <x:c r="G231" s="14" t="n">
        <x:v>64</x:v>
      </x:c>
      <x:c r="H231" s="14" t="n">
        <x:v>1</x:v>
      </x:c>
      <x:c r="I231" s="14" t="n">
        <x:v>1</x:v>
      </x:c>
      <x:c r="J231" s="18" t="n">
        <x:v>2694448</x:v>
      </x:c>
      <x:c r="K231" s="19" t="n">
        <x:v>46247.650599849534</x:v>
      </x:c>
      <x:c r="L231" s="19" t="n">
        <x:v>46387</x:v>
      </x:c>
      <x:c r="M231" s="15" t="str">
        <x:v>«Будівництво гібридної сонячної електростанції потужністю 50кВт на даху КНП ЛОР «Львівський обласний клінічний діагностичний центр» по вул. Пекарській, 69Б у м. Львові»</x:v>
      </x:c>
      <x:c r="N231" s="15" t="str">
        <x:v>https://prozorro.gov.ua/tender/UA-2026-07-02-010774-a</x:v>
      </x:c>
    </x:row>
    <x:row r="232">
      <x:c r="A232" s="14" t="n">
        <x:v>228</x:v>
      </x:c>
      <x:c r="B232" s="14" t="str">
        <x:v>ТОВ "МОМОТ-БЕТОН"</x:v>
      </x:c>
      <x:c r="C232" s="14" t="str">
        <x:v>33608856</x:v>
      </x:c>
      <x:c r="D232" s="14" t="str">
        <x:v>Промислові підлоги та бетон</x:v>
      </x:c>
      <x:c r="E232" s="14" t="str">
        <x:v>Expansion discovery</x:v>
      </x:c>
      <x:c r="F232" s="14" t="str">
        <x:v>I2</x:v>
      </x:c>
      <x:c r="G232" s="14" t="n">
        <x:v>64</x:v>
      </x:c>
      <x:c r="H232" s="14" t="n">
        <x:v>1</x:v>
      </x:c>
      <x:c r="I232" s="14" t="n">
        <x:v>1</x:v>
      </x:c>
      <x:c r="J232" s="18" t="n">
        <x:v>7015693.56</x:v>
      </x:c>
      <x:c r="K232" s="19" t="n">
        <x:v>46252.52768299769</x:v>
      </x:c>
      <x:c r="L232" s="19" t="n">
        <x:v>46295</x:v>
      </x:c>
      <x:c r="M232"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x:v>
      </x:c>
      <x:c r="N232" s="15" t="str">
        <x:v>https://prozorro.gov.ua/tender/UA-2026-08-04-009701-a</x:v>
      </x:c>
    </x:row>
    <x:row r="233">
      <x:c r="A233" s="14" t="n">
        <x:v>229</x:v>
      </x:c>
      <x:c r="B233" s="14" t="str">
        <x:v>ТОВ "НОВЕ СТОЛІТТЯ ХХІ"</x:v>
      </x:c>
      <x:c r="C233" s="14" t="str">
        <x:v>42015229</x:v>
      </x:c>
      <x:c r="D233" s="14" t="str">
        <x:v>Сонячна енергетика</x:v>
      </x:c>
      <x:c r="E233" s="14" t="str">
        <x:v>Pilot now</x:v>
      </x:c>
      <x:c r="F233" s="14" t="str">
        <x:v>I2</x:v>
      </x:c>
      <x:c r="G233" s="14" t="n">
        <x:v>64</x:v>
      </x:c>
      <x:c r="H233" s="14" t="n">
        <x:v>1</x:v>
      </x:c>
      <x:c r="I233" s="14" t="n">
        <x:v>1</x:v>
      </x:c>
      <x:c r="J233" s="18" t="n">
        <x:v>2716841.83</x:v>
      </x:c>
      <x:c r="K233" s="19" t="n">
        <x:v>46232.30303659722</x:v>
      </x:c>
      <x:c r="L233" s="19" t="n">
        <x:v>46326.54423611111</x:v>
      </x:c>
      <x:c r="M233" s="15" t="str">
        <x:v>«Будівництво сонячної електростанції на покрівлях будівель на території КП «Чернігівводоканал», розташованій по вул. Жабинського, 15 в м. Чернігів» (код ДК 021:2015 – 45000000-7 Будівельні роботи та поточний ремонт)</x:v>
      </x:c>
      <x:c r="N233" s="15" t="str">
        <x:v>https://prozorro.gov.ua/tender/UA-2026-07-09-007901-a</x:v>
      </x:c>
    </x:row>
    <x:row r="234">
      <x:c r="A234" s="14" t="n">
        <x:v>230</x:v>
      </x:c>
      <x:c r="B234" s="14" t="str">
        <x:v>ТОВ "ФДС БУД"</x:v>
      </x:c>
      <x:c r="C234" s="14" t="str">
        <x:v>43459201</x:v>
      </x:c>
      <x:c r="D234" s="14" t="str">
        <x:v>Фасади та скління</x:v>
      </x:c>
      <x:c r="E234" s="14" t="str">
        <x:v>Expansion discovery</x:v>
      </x:c>
      <x:c r="F234" s="14" t="str">
        <x:v>I2</x:v>
      </x:c>
      <x:c r="G234" s="14" t="n">
        <x:v>64</x:v>
      </x:c>
      <x:c r="H234" s="14" t="n">
        <x:v>1</x:v>
      </x:c>
      <x:c r="I234" s="14" t="n">
        <x:v>1</x:v>
      </x:c>
      <x:c r="J234" s="18" t="n">
        <x:v>4580350.8</x:v>
      </x:c>
      <x:c r="K234" s="19" t="n">
        <x:v>46219.5630991088</x:v>
      </x:c>
      <x:c r="L234" s="19" t="n">
        <x:v>46374</x:v>
      </x:c>
      <x:c r="M234"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x:v>
      </x:c>
      <x:c r="N234" s="15" t="str">
        <x:v>https://prozorro.gov.ua/tender/UA-2026-06-22-006983-a</x:v>
      </x:c>
    </x:row>
    <x:row r="235">
      <x:c r="A235" s="14" t="n">
        <x:v>231</x:v>
      </x:c>
      <x:c r="B235" s="14" t="str">
        <x:v>ТОВ «ОЛІМП-БЕЗПЕКА СЕРВІС»</x:v>
      </x:c>
      <x:c r="C235" s="14" t="str">
        <x:v>39171573</x:v>
      </x:c>
      <x:c r="D235" s="14" t="str">
        <x:v>СКС / BMS / слаботочка</x:v>
      </x:c>
      <x:c r="E235" s="14" t="str">
        <x:v>Expansion discovery</x:v>
      </x:c>
      <x:c r="F235" s="14" t="str">
        <x:v>I2</x:v>
      </x:c>
      <x:c r="G235" s="14" t="n">
        <x:v>64</x:v>
      </x:c>
      <x:c r="H235" s="14" t="n">
        <x:v>1</x:v>
      </x:c>
      <x:c r="I235" s="14" t="n">
        <x:v>1</x:v>
      </x:c>
      <x:c r="J235" s="18" t="n">
        <x:v>7544016</x:v>
      </x:c>
      <x:c r="K235" s="19" t="n">
        <x:v>46223.57894912037</x:v>
      </x:c>
      <x:c r="L235" s="19" t="n">
        <x:v>46580</x:v>
      </x:c>
      <x:c r="M235" s="15" t="str">
        <x:v>Послуги з монтажу/демонтажу структурованих кабельних систем (основний постачальник) (ID тендера на "tender.privatbank.ua": PB-2026-05-19-3069701)  (Звіт про укладення договору)</x:v>
      </x:c>
      <x:c r="N235" s="15" t="str">
        <x:v>https://prozorro.gov.ua/tender/UA-2026-07-20-010204-a</x:v>
      </x:c>
    </x:row>
    <x:row r="236">
      <x:c r="A236" s="14" t="n">
        <x:v>232</x:v>
      </x:c>
      <x:c r="B236" s="14" t="str">
        <x:v>ТОВ СК ГРУПС</x:v>
      </x:c>
      <x:c r="C236" s="14" t="str">
        <x:v>37621413</x:v>
      </x:c>
      <x:c r="D236" s="14" t="str">
        <x:v>Насосні станції</x:v>
      </x:c>
      <x:c r="E236" s="14" t="str">
        <x:v>Expansion discovery</x:v>
      </x:c>
      <x:c r="F236" s="14" t="str">
        <x:v>I2</x:v>
      </x:c>
      <x:c r="G236" s="14" t="n">
        <x:v>64</x:v>
      </x:c>
      <x:c r="H236" s="14" t="n">
        <x:v>1</x:v>
      </x:c>
      <x:c r="I236" s="14" t="n">
        <x:v>1</x:v>
      </x:c>
      <x:c r="J236" s="18" t="n">
        <x:v>9893727.4</x:v>
      </x:c>
      <x:c r="K236" s="19" t="n">
        <x:v>46223.48230456019</x:v>
      </x:c>
      <x:c r="L236" s="19" t="n">
        <x:v>46387</x:v>
      </x:c>
      <x:c r="M236"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x:v>
      </x:c>
      <x:c r="N236" s="15" t="str">
        <x:v>https://prozorro.gov.ua/tender/UA-2026-06-26-004632-a</x:v>
      </x:c>
    </x:row>
    <x:row r="237">
      <x:c r="A237" s="14" t="n">
        <x:v>233</x:v>
      </x:c>
      <x:c r="B237" s="14" t="str">
        <x:v>ТОВАРИСТВО З ОБМЕЖЕНОЮ  ВІДПОВІДАЛЬНІСТЮ «ЕКНІС»</x:v>
      </x:c>
      <x:c r="C237" s="14" t="str">
        <x:v>43860921</x:v>
      </x:c>
      <x:c r="D237" s="14" t="str">
        <x:v>Промислова автоматизація / SCADA</x:v>
      </x:c>
      <x:c r="E237" s="14" t="str">
        <x:v>Expansion discovery</x:v>
      </x:c>
      <x:c r="F237" s="14" t="str">
        <x:v>I2</x:v>
      </x:c>
      <x:c r="G237" s="14" t="n">
        <x:v>64</x:v>
      </x:c>
      <x:c r="H237" s="14" t="n">
        <x:v>2</x:v>
      </x:c>
      <x:c r="I237" s="14" t="n">
        <x:v>1</x:v>
      </x:c>
      <x:c r="J237" s="18" t="n">
        <x:v>12194612.17</x:v>
      </x:c>
      <x:c r="K237" s="19" t="n">
        <x:v>46111.58530576389</x:v>
      </x:c>
      <x:c r="L237" s="19" t="n">
        <x:v>46325</x:v>
      </x:c>
      <x:c r="M237"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Автоматизована система управління технологічними процесами (телемеханіка) електричної частини АСУ ТП ЕЧ</x:v>
      </x:c>
      <x:c r="N237" s="15" t="str">
        <x:v>https://prozorro.gov.ua/tender/UA-2026-03-30-011292-a</x:v>
      </x:c>
    </x:row>
    <x:row r="238">
      <x:c r="A238" s="14" t="n">
        <x:v>234</x:v>
      </x:c>
      <x:c r="B238" s="14" t="str">
        <x:v>ТОВАРИСТВО З ОБМЕЖЕНОЮ ВІДПОВІДАЛЬНІСТЮ "А ГРУП ІНЖИНІРІНГ"</x:v>
      </x:c>
      <x:c r="C238" s="14" t="str">
        <x:v>45071726</x:v>
      </x:c>
      <x:c r="D238" s="14" t="str">
        <x:v>Теплові мережі</x:v>
      </x:c>
      <x:c r="E238" s="14" t="str">
        <x:v>Expansion discovery</x:v>
      </x:c>
      <x:c r="F238" s="14" t="str">
        <x:v>I2</x:v>
      </x:c>
      <x:c r="G238" s="14" t="n">
        <x:v>64</x:v>
      </x:c>
      <x:c r="H238" s="14" t="n">
        <x:v>1</x:v>
      </x:c>
      <x:c r="I238" s="14" t="n">
        <x:v>1</x:v>
      </x:c>
      <x:c r="J238" s="18" t="n">
        <x:v>9781586.62</x:v>
      </x:c>
      <x:c r="K238" s="19" t="n">
        <x:v>46217.562367893515</x:v>
      </x:c>
      <x:c r="L238" s="19" t="n">
        <x:v>46315</x:v>
      </x:c>
      <x:c r="M238"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x:v>
      </x:c>
      <x:c r="N238" s="15" t="str">
        <x:v>https://prozorro.gov.ua/tender/UA-2026-07-14-010455-a</x:v>
      </x:c>
    </x:row>
    <x:row r="239">
      <x:c r="A239" s="14" t="n">
        <x:v>235</x:v>
      </x:c>
      <x:c r="B239" s="14" t="str">
        <x:v>ТОВАРИСТВО З ОБМЕЖЕНОЮ ВІДПОВІДАЛЬНІСТЮ "БУДІВЕЛЬНА КОМПАНІЯ "ПРАЙД"</x:v>
      </x:c>
      <x:c r="C239" s="14" t="str">
        <x:v>41081903</x:v>
      </x:c>
      <x:c r="D239" s="14" t="str">
        <x:v>Ремонт і підсилення бетону</x:v>
      </x:c>
      <x:c r="E239" s="14" t="str">
        <x:v>Expansion discovery</x:v>
      </x:c>
      <x:c r="F239" s="14" t="str">
        <x:v>I2</x:v>
      </x:c>
      <x:c r="G239" s="14" t="n">
        <x:v>64</x:v>
      </x:c>
      <x:c r="H239" s="14" t="n">
        <x:v>1</x:v>
      </x:c>
      <x:c r="I239" s="14" t="n">
        <x:v>1</x:v>
      </x:c>
      <x:c r="J239" s="18" t="n">
        <x:v>4198259.76</x:v>
      </x:c>
      <x:c r="K239" s="19" t="n">
        <x:v>46238.42048876157</x:v>
      </x:c>
      <x:c r="L239" s="19" t="n">
        <x:v>46295</x:v>
      </x:c>
      <x:c r="M239"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Зоологічна, 6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239" s="15" t="str">
        <x:v>https://prozorro.gov.ua/tender/UA-2026-08-04-005804-a</x:v>
      </x:c>
    </x:row>
    <x:row r="240">
      <x:c r="A240" s="14" t="n">
        <x:v>236</x:v>
      </x:c>
      <x:c r="B240" s="14" t="str">
        <x:v>ТОВАРИСТВО З ОБМЕЖЕНОЮ ВІДПОВІДАЛЬНІСТЮ "ГАРАНТБУД 2020"</x:v>
      </x:c>
      <x:c r="C240" s="14" t="str">
        <x:v>44035205</x:v>
      </x:c>
      <x:c r="D240" s="14" t="str">
        <x:v>Сонячна енергетика</x:v>
      </x:c>
      <x:c r="E240" s="14" t="str">
        <x:v>Pilot now</x:v>
      </x:c>
      <x:c r="F240" s="14" t="str">
        <x:v>I2</x:v>
      </x:c>
      <x:c r="G240" s="14" t="n">
        <x:v>64</x:v>
      </x:c>
      <x:c r="H240" s="14" t="n">
        <x:v>1</x:v>
      </x:c>
      <x:c r="I240" s="14" t="n">
        <x:v>1</x:v>
      </x:c>
      <x:c r="J240" s="18" t="n">
        <x:v>2397016.74</x:v>
      </x:c>
      <x:c r="K240" s="19" t="n">
        <x:v>46245.50031773148</x:v>
      </x:c>
      <x:c r="L240" s="19" t="n">
        <x:v>46387</x:v>
      </x:c>
      <x:c r="M240" s="15" t="str">
        <x:v>«Будівництво гібридної сонячної електростанції (для забезпечення альтернативного джерела живлення сонячними фотомодулями (на власні потреби)) на даху будівлі КЗ «Степанецький ліцей – опорний заклад загальної середньої освіти» Степанецької сільської ради об'єднаної територіальної громади Черкаської області, за адресою: вул. Богдана Хмельницького, 2, с. Степанці, Черкаський район, Черкаська область»
ДК 021: 2015: 45250000-4 - Будівництво заводів / установок, гірничодобувних і переробних об’єктів та об’єктів нафтогазової інфраструктури</x:v>
      </x:c>
      <x:c r="N240" s="15" t="str">
        <x:v>https://prozorro.gov.ua/tender/UA-2026-07-17-010277-a</x:v>
      </x:c>
    </x:row>
    <x:row r="241">
      <x:c r="A241" s="14" t="n">
        <x:v>237</x:v>
      </x:c>
      <x:c r="B241" s="14" t="str">
        <x:v>Товариство з обмеженою відповідальністю "Інтеграл БУД"</x:v>
      </x:c>
      <x:c r="C241" s="14" t="str">
        <x:v>45615290</x:v>
      </x:c>
      <x:c r="D241" s="14" t="str">
        <x:v>Металоконструкції</x:v>
      </x:c>
      <x:c r="E241" s="14" t="str">
        <x:v>Expansion discovery</x:v>
      </x:c>
      <x:c r="F241" s="14" t="str">
        <x:v>I2</x:v>
      </x:c>
      <x:c r="G241" s="14" t="n">
        <x:v>64</x:v>
      </x:c>
      <x:c r="H241" s="14" t="n">
        <x:v>1</x:v>
      </x:c>
      <x:c r="I241" s="14" t="n">
        <x:v>1</x:v>
      </x:c>
      <x:c r="J241" s="18" t="n">
        <x:v>3315242.86</x:v>
      </x:c>
      <x:c r="K241" s="19" t="n">
        <x:v>46258.48974554398</x:v>
      </x:c>
      <x:c r="L241" s="19" t="n">
        <x:v>46568</x:v>
      </x:c>
      <x:c r="M241"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x:v>
      </x:c>
      <x:c r="N241" s="15" t="str">
        <x:v>https://prozorro.gov.ua/tender/UA-2026-08-24-007022-a</x:v>
      </x:c>
    </x:row>
    <x:row r="242">
      <x:c r="A242" s="14" t="n">
        <x:v>238</x:v>
      </x:c>
      <x:c r="B242" s="14" t="str">
        <x:v>ТОВАРИСТВО З ОБМЕЖЕНОЮ ВІДПОВІДАЛЬНІСТЮ "ПЕРША ДОРОЖНЬО-БУДІВЕЛЬНА КОМПАНІЯ "ЦЕНТР"</x:v>
      </x:c>
      <x:c r="C242" s="14" t="str">
        <x:v>42525676</x:v>
      </x:c>
      <x:c r="D242" s="14" t="str">
        <x:v>Покрівлі та гідроізоляція</x:v>
      </x:c>
      <x:c r="E242" s="14" t="str">
        <x:v>Expansion discovery</x:v>
      </x:c>
      <x:c r="F242" s="14" t="str">
        <x:v>I2</x:v>
      </x:c>
      <x:c r="G242" s="14" t="n">
        <x:v>64</x:v>
      </x:c>
      <x:c r="H242" s="14" t="n">
        <x:v>1</x:v>
      </x:c>
      <x:c r="I242" s="14" t="n">
        <x:v>1</x:v>
      </x:c>
      <x:c r="J242" s="18" t="n">
        <x:v>4272060</x:v>
      </x:c>
      <x:c r="K242" s="19" t="n">
        <x:v>46231.673560208335</x:v>
      </x:c>
      <x:c r="L242" s="19" t="n">
        <x:v>46356</x:v>
      </x:c>
      <x:c r="M242"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x:v>
      </x:c>
      <x:c r="N242" s="15" t="str">
        <x:v>https://prozorro.gov.ua/tender/UA-2026-07-16-010739-a</x:v>
      </x:c>
    </x:row>
    <x:row r="243">
      <x:c r="A243" s="14" t="n">
        <x:v>239</x:v>
      </x:c>
      <x:c r="B243" s="14" t="str">
        <x:v>ТОВАРИСТВО З ОБМЕЖЕНОЮ ВІДПОВІДАЛЬНІСТЮ "ПРОЕКТ-ВР"</x:v>
      </x:c>
      <x:c r="C243" s="14" t="str">
        <x:v>42711080</x:v>
      </x:c>
      <x:c r="D243" s="14" t="str">
        <x:v>Дорожні роботи</x:v>
      </x:c>
      <x:c r="E243" s="14" t="str">
        <x:v>Expansion discovery</x:v>
      </x:c>
      <x:c r="F243" s="14" t="str">
        <x:v>I2</x:v>
      </x:c>
      <x:c r="G243" s="14" t="n">
        <x:v>64</x:v>
      </x:c>
      <x:c r="H243" s="14" t="n">
        <x:v>1</x:v>
      </x:c>
      <x:c r="I243" s="14" t="n">
        <x:v>1</x:v>
      </x:c>
      <x:c r="J243" s="18" t="n">
        <x:v>7465121</x:v>
      </x:c>
      <x:c r="K243" s="19" t="n">
        <x:v>46240.300790381945</x:v>
      </x:c>
      <x:c r="L243" s="19" t="n">
        <x:v>46356</x:v>
      </x:c>
      <x:c r="M243"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x:v>
      </x:c>
      <x:c r="N243" s="15" t="str">
        <x:v>https://prozorro.gov.ua/tender/UA-2026-07-21-011349-a</x:v>
      </x:c>
    </x:row>
    <x:row r="244">
      <x:c r="A244" s="14" t="n">
        <x:v>240</x:v>
      </x:c>
      <x:c r="B244" s="14" t="str">
        <x:v>ТОВАРИСТВО З ОБМЕЖЕНОЮ ВІДПОВІДАЛЬНІСТЮ «БОРОДЯНСЬКА СПЕЦІАЛІЗОВАНА ПЕРЕСУВНА МЕХАНІЗОВАНА КОЛОНА -15»</x:v>
      </x:c>
      <x:c r="C244" s="14" t="str">
        <x:v>24216271</x:v>
      </x:c>
      <x:c r="D244" s="14" t="str">
        <x:v>Насосні станції</x:v>
      </x:c>
      <x:c r="E244" s="14" t="str">
        <x:v>Expansion discovery</x:v>
      </x:c>
      <x:c r="F244" s="14" t="str">
        <x:v>I2</x:v>
      </x:c>
      <x:c r="G244" s="14" t="n">
        <x:v>64</x:v>
      </x:c>
      <x:c r="H244" s="14" t="n">
        <x:v>2</x:v>
      </x:c>
      <x:c r="I244" s="14" t="n">
        <x:v>1</x:v>
      </x:c>
      <x:c r="J244" s="18" t="n">
        <x:v>1269122.01</x:v>
      </x:c>
      <x:c r="K244" s="19" t="n">
        <x:v>46209.334593831016</x:v>
      </x:c>
      <x:c r="L244" s="19" t="n">
        <x:v>46387</x:v>
      </x:c>
      <x:c r="M244" s="15" t="str">
        <x:v>Будівництво каналізаційної насосної станції по вул. Технологічна в м. Ірпінь Київської області (в т.ч.проєктування)
</x:v>
      </x:c>
      <x:c r="N244" s="15" t="str">
        <x:v>https://prozorro.gov.ua/tender/UA-2026-07-06-002354-a</x:v>
      </x:c>
    </x:row>
    <x:row r="245">
      <x:c r="A245" s="14" t="n">
        <x:v>241</x:v>
      </x:c>
      <x:c r="B245" s="14" t="str">
        <x:v>Товариство з обмеженою відповідальністю «БУДІВЕЛЬНА КОМПАНІЯ «АДАМАНТ»</x:v>
      </x:c>
      <x:c r="C245" s="14" t="str">
        <x:v>36972558</x:v>
      </x:c>
      <x:c r="D245" s="14" t="str">
        <x:v>Стиснене повітря / компресорні</x:v>
      </x:c>
      <x:c r="E245" s="14" t="str">
        <x:v>Expansion discovery</x:v>
      </x:c>
      <x:c r="F245" s="14" t="str">
        <x:v>I2</x:v>
      </x:c>
      <x:c r="G245" s="14" t="n">
        <x:v>64</x:v>
      </x:c>
      <x:c r="H245" s="14" t="n">
        <x:v>1</x:v>
      </x:c>
      <x:c r="I245" s="14" t="n">
        <x:v>1</x:v>
      </x:c>
      <x:c r="J245" s="18" t="n">
        <x:v>7001657.04</x:v>
      </x:c>
      <x:c r="K245" s="19" t="n">
        <x:v>46232.54145887731</x:v>
      </x:c>
      <x:c r="L245" s="19" t="n">
        <x:v>46444</x:v>
      </x:c>
      <x:c r="M245" s="15" t="str">
        <x:v>Проєктно-вишукувальні роботи по об’єкту: «Реконструкція цеху №1А з посиленням захисних властивостей дотискувальної компресорної станції Більче-Волиця Стрийського виробничого управління підземного зберігання газу» (Будівельні роботи та поточний ремонт)</x:v>
      </x:c>
      <x:c r="N245" s="15" t="str">
        <x:v>https://prozorro.gov.ua/tender/UA-2026-07-29-009197-a</x:v>
      </x:c>
    </x:row>
    <x:row r="246">
      <x:c r="A246" s="14" t="n">
        <x:v>242</x:v>
      </x:c>
      <x:c r="B246" s="14" t="str">
        <x:v>ТОВАРИСТВО З ОБМЕЖЕНОЮ ВІД­ПО­ВІД­АЛЬ­НІ­СТЮ «ВИРОБНИЧО-КОМЕРЦІЙНА ФІРМА „УРАРТУ“»</x:v>
      </x:c>
      <x:c r="C246" s="14" t="str">
        <x:v>13577250</x:v>
      </x:c>
      <x:c r="D246" s="14" t="str">
        <x:v>Дорожні роботи</x:v>
      </x:c>
      <x:c r="E246" s="14" t="str">
        <x:v>Expansion discovery</x:v>
      </x:c>
      <x:c r="F246" s="14" t="str">
        <x:v>I2</x:v>
      </x:c>
      <x:c r="G246" s="14" t="n">
        <x:v>64</x:v>
      </x:c>
      <x:c r="H246" s="14" t="n">
        <x:v>1</x:v>
      </x:c>
      <x:c r="I246" s="14" t="n">
        <x:v>1</x:v>
      </x:c>
      <x:c r="J246" s="18" t="n">
        <x:v>6000672</x:v>
      </x:c>
      <x:c r="K246" s="19" t="n">
        <x:v>46257.83594481481</x:v>
      </x:c>
      <x:c r="L246" s="19" t="n">
        <x:v>46387</x:v>
      </x:c>
      <x:c r="M246" s="15" t="str">
        <x:v>«Капітальний ремонт дорожнього покриття по вул. Свободи в селищі Черняхів Житомирського району Житомирської області. Коригування»</x:v>
      </x:c>
      <x:c r="N246" s="15" t="str">
        <x:v>https://prozorro.gov.ua/tender/UA-2026-08-04-000010-a</x:v>
      </x:c>
    </x:row>
    <x:row r="247">
      <x:c r="A247" s="14" t="n">
        <x:v>243</x:v>
      </x:c>
      <x:c r="B247" s="14" t="str">
        <x:v>Товариство з обмеженою відповідальністю «Конкріт-К»</x:v>
      </x:c>
      <x:c r="C247" s="14" t="str">
        <x:v>40790176</x:v>
      </x:c>
      <x:c r="D247" s="14" t="str">
        <x:v>Підстанції / силові мережі</x:v>
      </x:c>
      <x:c r="E247" s="14" t="str">
        <x:v>Pilot now</x:v>
      </x:c>
      <x:c r="F247" s="14" t="str">
        <x:v>I2</x:v>
      </x:c>
      <x:c r="G247" s="14" t="n">
        <x:v>64</x:v>
      </x:c>
      <x:c r="H247" s="14" t="n">
        <x:v>1</x:v>
      </x:c>
      <x:c r="I247" s="14" t="n">
        <x:v>1</x:v>
      </x:c>
      <x:c r="J247" s="18" t="n">
        <x:v>3078000</x:v>
      </x:c>
      <x:c r="K247" s="19" t="n">
        <x:v>46255.23443013889</x:v>
      </x:c>
      <x:c r="L247" s="19" t="n">
        <x:v>46326</x:v>
      </x:c>
      <x:c r="M247"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x:v>
      </x:c>
      <x:c r="N247" s="15" t="str">
        <x:v>https://prozorro.gov.ua/tender/UA-2026-08-21-000282-a</x:v>
      </x:c>
    </x:row>
    <x:row r="248">
      <x:c r="A248" s="14" t="n">
        <x:v>244</x:v>
      </x:c>
      <x:c r="B248" s="14" t="str">
        <x:v>ТОВАРИСТВО З ОБМЕЖЕНОЮ ВІДПОВІДАЛЬНІСТЮ «ТЕП КЕПІТАЛ»</x:v>
      </x:c>
      <x:c r="C248" s="14" t="str">
        <x:v>45795996</x:v>
      </x:c>
      <x:c r="D248" s="14" t="str">
        <x:v>Ремонт і підсилення бетону</x:v>
      </x:c>
      <x:c r="E248" s="14" t="str">
        <x:v>Expansion discovery</x:v>
      </x:c>
      <x:c r="F248" s="14" t="str">
        <x:v>I2</x:v>
      </x:c>
      <x:c r="G248" s="14" t="n">
        <x:v>64</x:v>
      </x:c>
      <x:c r="H248" s="14" t="n">
        <x:v>1</x:v>
      </x:c>
      <x:c r="I248" s="14" t="n">
        <x:v>1</x:v>
      </x:c>
      <x:c r="J248" s="18" t="n">
        <x:v>4200716.4</x:v>
      </x:c>
      <x:c r="K248" s="19" t="n">
        <x:v>46245.4083037963</x:v>
      </x:c>
      <x:c r="L248" s="19" t="n">
        <x:v>46326</x:v>
      </x:c>
      <x:c r="M248"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Білоруській, 17-А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248" s="15" t="str">
        <x:v>https://prozorro.gov.ua/tender/UA-2026-08-11-005748-a</x:v>
      </x:c>
    </x:row>
    <x:row r="249">
      <x:c r="A249" s="14" t="n">
        <x:v>245</x:v>
      </x:c>
      <x:c r="B249" s="14" t="str">
        <x:v>Товариство з обмеженою відповідальністю «ЧЕРКАСИ ІНВЕСТ ГРУП»</x:v>
      </x:c>
      <x:c r="C249" s="14" t="str">
        <x:v>45970582</x:v>
      </x:c>
      <x:c r="D249" s="14" t="str">
        <x:v>Водоочищення / очисні споруди</x:v>
      </x:c>
      <x:c r="E249" s="14" t="str">
        <x:v>Expansion discovery</x:v>
      </x:c>
      <x:c r="F249" s="14" t="str">
        <x:v>I2</x:v>
      </x:c>
      <x:c r="G249" s="14" t="n">
        <x:v>64</x:v>
      </x:c>
      <x:c r="H249" s="14" t="n">
        <x:v>1</x:v>
      </x:c>
      <x:c r="I249" s="14" t="n">
        <x:v>1</x:v>
      </x:c>
      <x:c r="J249" s="18" t="n">
        <x:v>3126183.07</x:v>
      </x:c>
      <x:c r="K249" s="19" t="n">
        <x:v>46248.494667569445</x:v>
      </x:c>
      <x:c r="L249" s="19" t="n">
        <x:v>46387.53597222222</x:v>
      </x:c>
      <x:c r="M249"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x:v>
      </x:c>
      <x:c r="N249" s="15" t="str">
        <x:v>https://prozorro.gov.ua/tender/UA-2026-08-14-008241-a</x:v>
      </x:c>
    </x:row>
    <x:row r="250">
      <x:c r="A250" s="14" t="n">
        <x:v>246</x:v>
      </x:c>
      <x:c r="B250" s="14" t="str">
        <x:v>ТОВАРИСТВО З ОБМЕЖЕНОЮ ВІДПОВІДАЛЬНІСТЮ БУДІВЕЛЬНЕ УПРАВЛІННЯ 150 ТРЕСТУ "ПІВДЕНЗАХІДТРАНСБУД"</x:v>
      </x:c>
      <x:c r="C250" s="14" t="str">
        <x:v>39733628</x:v>
      </x:c>
      <x:c r="D250" s="14" t="str">
        <x:v>Залізнична інфраструктура</x:v>
      </x:c>
      <x:c r="E250" s="14" t="str">
        <x:v>Expansion discovery</x:v>
      </x:c>
      <x:c r="F250" s="14" t="str">
        <x:v>I2</x:v>
      </x:c>
      <x:c r="G250" s="14" t="n">
        <x:v>64</x:v>
      </x:c>
      <x:c r="H250" s="14" t="n">
        <x:v>2</x:v>
      </x:c>
      <x:c r="I250" s="14" t="n">
        <x:v>1</x:v>
      </x:c>
      <x:c r="J250" s="18" t="n">
        <x:v>22256859.77</x:v>
      </x:c>
      <x:c r="K250" s="19" t="n">
        <x:v>46052.33413581018</x:v>
      </x:c>
      <x:c r="L250" s="19" t="n">
        <x:v>46096</x:v>
      </x:c>
      <x:c r="M250" s="15" t="str">
        <x:v>Поточний середній ремонт під'їзних залізничних колій філії Погребище</x:v>
      </x:c>
      <x:c r="N250" s="15" t="str">
        <x:v>https://prozorro.gov.ua/tender/UA-2026-01-12-008194-a</x:v>
      </x:c>
    </x:row>
    <x:row r="251">
      <x:c r="A251" s="14" t="n">
        <x:v>247</x:v>
      </x:c>
      <x:c r="B251" s="14" t="str">
        <x:v>Фізична особа-підприємець Ткаченко Микола Григорович </x:v>
      </x:c>
      <x:c r="C251" s="14" t="str">
        <x:v>2832903953</x:v>
      </x:c>
      <x:c r="D251" s="14" t="str">
        <x:v>Електромонтаж</x:v>
      </x:c>
      <x:c r="E251" s="14" t="str">
        <x:v>Pilot now</x:v>
      </x:c>
      <x:c r="F251" s="14" t="str">
        <x:v>I2</x:v>
      </x:c>
      <x:c r="G251" s="14" t="n">
        <x:v>64</x:v>
      </x:c>
      <x:c r="H251" s="14" t="n">
        <x:v>7</x:v>
      </x:c>
      <x:c r="I251" s="14" t="n">
        <x:v>1</x:v>
      </x:c>
      <x:c r="J251" s="18" t="n">
        <x:v>98516</x:v>
      </x:c>
      <x:c r="K251" s="19" t="n">
        <x:v>46196.53508284722</x:v>
      </x:c>
      <x:c r="L251" s="19" t="n">
        <x:v>46234</x:v>
      </x:c>
      <x:c r="M251" s="15" t="str">
        <x:v>Електромонтажні роботи</x:v>
      </x:c>
      <x:c r="N251" s="15" t="str">
        <x:v>https://prozorro.gov.ua/tender/UA-2026-06-23-011454-a</x:v>
      </x:c>
    </x:row>
    <x:row r="252">
      <x:c r="A252" s="14" t="n">
        <x:v>248</x:v>
      </x:c>
      <x:c r="B252" s="14" t="str">
        <x:v>ТОВ "ПІВНІЧ-БУДПОСТАЧ"</x:v>
      </x:c>
      <x:c r="C252" s="14" t="str">
        <x:v>38423262</x:v>
      </x:c>
      <x:c r="D252" s="14" t="str">
        <x:v>Внутрішні сантехнічні системи</x:v>
      </x:c>
      <x:c r="E252" s="14" t="str">
        <x:v>Pilot now</x:v>
      </x:c>
      <x:c r="F252" s="14" t="str">
        <x:v>I2</x:v>
      </x:c>
      <x:c r="G252" s="14" t="n">
        <x:v>64</x:v>
      </x:c>
      <x:c r="H252" s="14" t="n">
        <x:v>2</x:v>
      </x:c>
      <x:c r="I252" s="14" t="n">
        <x:v>0</x:v>
      </x:c>
      <x:c r="J252" s="18" t="n">
        <x:v>716569.4</x:v>
      </x:c>
      <x:c r="K252" s="19" t="n">
        <x:v>46173.617653229165</x:v>
      </x:c>
      <x:c r="L252" s="19" t="n">
        <x:v>46223</x:v>
      </x:c>
      <x:c r="M252"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x:v>
      </x:c>
      <x:c r="N252" s="15" t="str">
        <x:v>https://prozorro.gov.ua/tender/UA-2026-05-21-008427-a</x:v>
      </x:c>
    </x:row>
    <x:row r="253">
      <x:c r="A253" s="14" t="n">
        <x:v>249</x:v>
      </x:c>
      <x:c r="B253" s="14" t="str">
        <x:v>Товариство з обмеженою відповідальністю «УкрМонтажБудІнвест»</x:v>
      </x:c>
      <x:c r="C253" s="14" t="str">
        <x:v>44176751</x:v>
      </x:c>
      <x:c r="D253" s="14" t="str">
        <x:v>ГНБ / безтраншейні роботи</x:v>
      </x:c>
      <x:c r="E253" s="14" t="str">
        <x:v>Expansion discovery</x:v>
      </x:c>
      <x:c r="F253" s="14" t="str">
        <x:v>I2</x:v>
      </x:c>
      <x:c r="G253" s="14" t="n">
        <x:v>64</x:v>
      </x:c>
      <x:c r="H253" s="14" t="n">
        <x:v>6</x:v>
      </x:c>
      <x:c r="I253" s="14" t="n">
        <x:v>0</x:v>
      </x:c>
      <x:c r="J253" s="18" t="n">
        <x:v>28901700.31</x:v>
      </x:c>
      <x:c r="K253" s="19" t="n">
        <x:v>46107.36592069444</x:v>
      </x:c>
      <x:c r="L253" s="19" t="n">
        <x:v>46142.32439814815</x:v>
      </x:c>
      <x:c r="M253"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x:v>
      </x:c>
      <x:c r="N253" s="15" t="str">
        <x:v>https://prozorro.gov.ua/tender/UA-2026-03-26-003194-a</x:v>
      </x:c>
    </x:row>
    <x:row r="254">
      <x:c r="A254" s="14" t="n">
        <x:v>250</x:v>
      </x:c>
      <x:c r="B254" s="14" t="str">
        <x:v>УПРАВЛІННЯ ПОЛІЦІЇ ОХОРОНИ У ВІННИЦЬКІЙ ОБЛАСТІ</x:v>
      </x:c>
      <x:c r="C254" s="14" t="str">
        <x:v>40109131</x:v>
      </x:c>
      <x:c r="D254" s="14" t="str">
        <x:v>Пожежогасіння</x:v>
      </x:c>
      <x:c r="E254" s="14" t="str">
        <x:v>Expansion discovery</x:v>
      </x:c>
      <x:c r="F254" s="14" t="str">
        <x:v>I2</x:v>
      </x:c>
      <x:c r="G254" s="14" t="n">
        <x:v>63</x:v>
      </x:c>
      <x:c r="H254" s="14" t="n">
        <x:v>4</x:v>
      </x:c>
      <x:c r="I254" s="14" t="n">
        <x:v>4</x:v>
      </x:c>
      <x:c r="J254" s="18" t="n">
        <x:v>124973.85</x:v>
      </x:c>
      <x:c r="K254" s="19" t="n">
        <x:v>46219.54624082176</x:v>
      </x:c>
      <x:c r="L254" s="19" t="n">
        <x:v>46387</x:v>
      </x:c>
      <x:c r="M254" s="15" t="str">
        <x:v>45310000-3 Електромонтажні роботи</x:v>
      </x:c>
      <x:c r="N254" s="15" t="str">
        <x:v>https://prozorro.gov.ua/tender/UA-2026-07-16-008865-a</x:v>
      </x:c>
    </x:row>
    <x:row r="255">
      <x:c r="A255" s="14" t="n">
        <x:v>251</x:v>
      </x:c>
      <x:c r="B255" s="14" t="str">
        <x:v>ПЕРЕМА ОЛЕКСАНДР ГЕННАДІЙОВИЧ</x:v>
      </x:c>
      <x:c r="C255" s="14" t="str">
        <x:v>3048600754</x:v>
      </x:c>
      <x:c r="D255" s="14" t="str">
        <x:v>Електромонтаж</x:v>
      </x:c>
      <x:c r="E255" s="14" t="str">
        <x:v>Pilot now</x:v>
      </x:c>
      <x:c r="F255" s="14" t="str">
        <x:v>I2</x:v>
      </x:c>
      <x:c r="G255" s="14" t="n">
        <x:v>63</x:v>
      </x:c>
      <x:c r="H255" s="14" t="n">
        <x:v>2</x:v>
      </x:c>
      <x:c r="I255" s="14" t="n">
        <x:v>2</x:v>
      </x:c>
      <x:c r="J255" s="18" t="n">
        <x:v>174140</x:v>
      </x:c>
      <x:c r="K255" s="19" t="n">
        <x:v>46244.416225</x:v>
      </x:c>
      <x:c r="L255" s="19" t="n">
        <x:v>46387</x:v>
      </x:c>
      <x:c r="M255" s="15" t="str">
        <x:v>Електромонтажні роботи</x:v>
      </x:c>
      <x:c r="N255" s="15" t="str">
        <x:v>https://prozorro.gov.ua/tender/UA-2026-08-10-005042-a</x:v>
      </x:c>
    </x:row>
    <x:row r="256">
      <x:c r="A256" s="14" t="n">
        <x:v>252</x:v>
      </x:c>
      <x:c r="B256" s="14" t="str">
        <x:v>ФОП Іщенко Олександр Олександрович</x:v>
      </x:c>
      <x:c r="C256" s="14" t="str">
        <x:v>3844609655</x:v>
      </x:c>
      <x:c r="D256" s="14" t="str">
        <x:v>Безпека / СКУД / CCTV</x:v>
      </x:c>
      <x:c r="E256" s="14" t="str">
        <x:v>Expansion discovery</x:v>
      </x:c>
      <x:c r="F256" s="14" t="str">
        <x:v>I2</x:v>
      </x:c>
      <x:c r="G256" s="14" t="n">
        <x:v>63</x:v>
      </x:c>
      <x:c r="H256" s="14" t="n">
        <x:v>2</x:v>
      </x:c>
      <x:c r="I256" s="14" t="n">
        <x:v>2</x:v>
      </x:c>
      <x:c r="J256" s="18" t="n">
        <x:v>156078.6</x:v>
      </x:c>
      <x:c r="K256" s="19" t="n">
        <x:v>46258.25381439815</x:v>
      </x:c>
      <x:c r="L256" s="19" t="n">
        <x:v>46387</x:v>
      </x:c>
      <x:c r="M256"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x:v>
      </x:c>
      <x:c r="N256" s="15" t="str">
        <x:v>https://prozorro.gov.ua/tender/UA-2026-08-24-000407-a</x:v>
      </x:c>
    </x:row>
    <x:row r="257">
      <x:c r="A257" s="14" t="n">
        <x:v>253</x:v>
      </x:c>
      <x:c r="B257" s="14" t="str">
        <x:v>ФОП СІБЕЛЕВ ДМИТРО ПАВЛОВИЧ</x:v>
      </x:c>
      <x:c r="C257" s="14" t="str">
        <x:v>1999921033</x:v>
      </x:c>
      <x:c r="D257" s="14" t="str">
        <x:v>HVAC / ОВіК</x:v>
      </x:c>
      <x:c r="E257" s="14" t="str">
        <x:v>Pilot now</x:v>
      </x:c>
      <x:c r="F257" s="14" t="str">
        <x:v>I2</x:v>
      </x:c>
      <x:c r="G257" s="14" t="n">
        <x:v>63</x:v>
      </x:c>
      <x:c r="H257" s="14" t="n">
        <x:v>2</x:v>
      </x:c>
      <x:c r="I257" s="14" t="n">
        <x:v>2</x:v>
      </x:c>
      <x:c r="J257" s="18" t="n">
        <x:v>194076.12</x:v>
      </x:c>
      <x:c r="K257" s="19" t="n">
        <x:v>46244.39313237269</x:v>
      </x:c>
      <x:c r="L257" s="19" t="n">
        <x:v>46387</x:v>
      </x:c>
      <x:c r="M257"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x:v>
      </x:c>
      <x:c r="N257" s="15" t="str">
        <x:v>https://prozorro.gov.ua/tender/UA-2026-08-10-004460-a</x:v>
      </x:c>
    </x:row>
    <x:row r="258">
      <x:c r="A258" s="14" t="n">
        <x:v>254</x:v>
      </x:c>
      <x:c r="B258" s="14" t="str">
        <x:v>ПРИВАТНЕ ПІДПРИЄМСТВО "БУДПРАЙМ"</x:v>
      </x:c>
      <x:c r="C258" s="14" t="str">
        <x:v>34943504</x:v>
      </x:c>
      <x:c r="D258" s="14" t="str">
        <x:v>Накопичення енергії / BESS</x:v>
      </x:c>
      <x:c r="E258" s="14" t="str">
        <x:v>Expansion discovery</x:v>
      </x:c>
      <x:c r="F258" s="14" t="str">
        <x:v>I2</x:v>
      </x:c>
      <x:c r="G258" s="14" t="n">
        <x:v>63</x:v>
      </x:c>
      <x:c r="H258" s="14" t="n">
        <x:v>23</x:v>
      </x:c>
      <x:c r="I258" s="14" t="n">
        <x:v>0</x:v>
      </x:c>
      <x:c r="J258" s="18" t="n">
        <x:v>7171988.78</x:v>
      </x:c>
      <x:c r="K258" s="19" t="n">
        <x:v>45639.40027814815</x:v>
      </x:c>
      <x:c r="L258" s="19" t="n">
        <x:v>45657</x:v>
      </x:c>
      <x:c r="M258" s="15" t="str">
        <x:v>Монтаж системи резервного живлення на основі однофазного гібридного інвертора потужністю 4,0 кВт з системою накопичення електричної енергії з встановленням додаткової однофазної циркуляційної помпи .
Підстава : Протокол технічної ради від 03 вересня 2024 р. </x:v>
      </x:c>
      <x:c r="N258" s="15" t="str">
        <x:v>https://prozorro.gov.ua/tender/UA-2024-12-13-006026-a</x:v>
      </x:c>
    </x:row>
    <x:row r="259">
      <x:c r="A259" s="14" t="n">
        <x:v>255</x:v>
      </x:c>
      <x:c r="B259" s="14" t="str">
        <x:v>ПРИВАТНЕ ПІДПРИЄМСТВО "ДОРОЖНЬО-КАНАЛІЗАЦІЙНЕ УПРАВЛІННЯ"</x:v>
      </x:c>
      <x:c r="C259" s="14" t="str">
        <x:v>31948190</x:v>
      </x:c>
      <x:c r="D259" s="14" t="str">
        <x:v>Зливова каналізація / дренаж</x:v>
      </x:c>
      <x:c r="E259" s="14" t="str">
        <x:v>Expansion discovery</x:v>
      </x:c>
      <x:c r="F259" s="14" t="str">
        <x:v>I2</x:v>
      </x:c>
      <x:c r="G259" s="14" t="n">
        <x:v>63</x:v>
      </x:c>
      <x:c r="H259" s="14" t="n">
        <x:v>9</x:v>
      </x:c>
      <x:c r="I259" s="14" t="n">
        <x:v>0</x:v>
      </x:c>
      <x:c r="J259" s="18" t="n">
        <x:v>1359004.28</x:v>
      </x:c>
      <x:c r="K259" s="19" t="n">
        <x:v>45961.59212631945</x:v>
      </x:c>
      <x:c r="L259" s="19" t="n">
        <x:v>46022.59478009259</x:v>
      </x:c>
      <x:c r="M259"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x:v>
      </x:c>
      <x:c r="N259" s="15" t="str">
        <x:v>https://prozorro.gov.ua/tender/UA-2025-10-31-010457-a</x:v>
      </x:c>
    </x:row>
    <x:row r="260">
      <x:c r="A260" s="14" t="n">
        <x:v>256</x:v>
      </x:c>
      <x:c r="B260" s="14" t="str">
        <x:v>Приватне підприємство "Компанія "Астра"</x:v>
      </x:c>
      <x:c r="C260" s="14" t="str">
        <x:v>30477310</x:v>
      </x:c>
      <x:c r="D260" s="14" t="str">
        <x:v>Ліфти та підйомники</x:v>
      </x:c>
      <x:c r="E260" s="14" t="str">
        <x:v>Expansion discovery</x:v>
      </x:c>
      <x:c r="F260" s="14" t="str">
        <x:v>I2</x:v>
      </x:c>
      <x:c r="G260" s="14" t="n">
        <x:v>63</x:v>
      </x:c>
      <x:c r="H260" s="14" t="n">
        <x:v>6</x:v>
      </x:c>
      <x:c r="I260" s="14" t="n">
        <x:v>0</x:v>
      </x:c>
      <x:c r="J260" s="18" t="n">
        <x:v>1489761.31</x:v>
      </x:c>
      <x:c r="K260" s="19" t="n">
        <x:v>45982.544711759256</x:v>
      </x:c>
      <x:c r="L260" s="19" t="n">
        <x:v>46022.916666655095</x:v>
      </x:c>
      <x:c r="M260"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x:v>
      </x:c>
      <x:c r="N260" s="15" t="str">
        <x:v>https://prozorro.gov.ua/tender/UA-2025-11-21-012362-a</x:v>
      </x:c>
    </x:row>
    <x:row r="261">
      <x:c r="A261" s="14" t="n">
        <x:v>257</x:v>
      </x:c>
      <x:c r="B261" s="14" t="str">
        <x:v>ТОВАРИСТВО З ОБМЕЖЕНОЮ ВІДПОВІДАЛЬНІСТЮ «ФІРМА «ГАЗКОМПЛЕКС»</x:v>
      </x:c>
      <x:c r="C261" s="14" t="str">
        <x:v>44013967</x:v>
      </x:c>
      <x:c r="D261" s="14" t="str">
        <x:v>Медичні гази</x:v>
      </x:c>
      <x:c r="E261" s="14" t="str">
        <x:v>Expansion discovery</x:v>
      </x:c>
      <x:c r="F261" s="14" t="str">
        <x:v>I2</x:v>
      </x:c>
      <x:c r="G261" s="14" t="n">
        <x:v>63</x:v>
      </x:c>
      <x:c r="H261" s="14" t="n">
        <x:v>8</x:v>
      </x:c>
      <x:c r="I261" s="14" t="n">
        <x:v>0</x:v>
      </x:c>
      <x:c r="J261" s="18" t="n">
        <x:v>620366</x:v>
      </x:c>
      <x:c r="K261" s="19" t="n">
        <x:v>45999.33428824074</x:v>
      </x:c>
      <x:c r="L261" s="19" t="n">
        <x:v>46022</x:v>
      </x:c>
      <x:c r="M261" s="15" t="str">
        <x:v>Поточний ремонт кисневої системи в об'єднаному хірургічно-гінекологічному відділенні</x:v>
      </x:c>
      <x:c r="N261" s="15" t="str">
        <x:v>https://prozorro.gov.ua/tender/UA-2025-12-08-002235-a</x:v>
      </x:c>
    </x:row>
    <x:row r="262">
      <x:c r="A262" s="14" t="n">
        <x:v>258</x:v>
      </x:c>
      <x:c r="B262" s="14" t="str">
        <x:v>ТОВАРИСТВО З ОБМЕЖЕНОЮ ВІДПОВІДАЛЬНІСТЮ "ВЕНБЕСТ"</x:v>
      </x:c>
      <x:c r="C262" s="14" t="str">
        <x:v>30310579</x:v>
      </x:c>
      <x:c r="D262" s="14" t="str">
        <x:v>Пожежогасіння</x:v>
      </x:c>
      <x:c r="E262" s="14" t="str">
        <x:v>Expansion discovery</x:v>
      </x:c>
      <x:c r="F262" s="14" t="str">
        <x:v>I2</x:v>
      </x:c>
      <x:c r="G262" s="14" t="n">
        <x:v>62</x:v>
      </x:c>
      <x:c r="H262" s="14" t="n">
        <x:v>3</x:v>
      </x:c>
      <x:c r="I262" s="14" t="n">
        <x:v>3</x:v>
      </x:c>
      <x:c r="J262" s="18" t="n">
        <x:v>12426</x:v>
      </x:c>
      <x:c r="K262" s="19" t="n">
        <x:v>46100.558564652776</x:v>
      </x:c>
      <x:c r="L262" s="19" t="n">
        <x:v>46387</x:v>
      </x:c>
      <x:c r="M262" s="15" t="str">
        <x:v>Послуги монтажу комплекта безперебійного живлення</x:v>
      </x:c>
      <x:c r="N262" s="15" t="str">
        <x:v>https://prozorro.gov.ua/tender/UA-2026-03-19-011029-a</x:v>
      </x:c>
    </x:row>
    <x:row r="263">
      <x:c r="A263" s="14" t="n">
        <x:v>259</x:v>
      </x:c>
      <x:c r="B263" s="14" t="str">
        <x:v>Управління поліції охорони в м. Києві</x:v>
      </x:c>
      <x:c r="C263" s="14" t="str">
        <x:v>40109147</x:v>
      </x:c>
      <x:c r="D263" s="14" t="str">
        <x:v>Пожежогасіння</x:v>
      </x:c>
      <x:c r="E263" s="14" t="str">
        <x:v>Expansion discovery</x:v>
      </x:c>
      <x:c r="F263" s="14" t="str">
        <x:v>I2</x:v>
      </x:c>
      <x:c r="G263" s="14" t="n">
        <x:v>62</x:v>
      </x:c>
      <x:c r="H263" s="14" t="n">
        <x:v>4</x:v>
      </x:c>
      <x:c r="I263" s="14" t="n">
        <x:v>3</x:v>
      </x:c>
      <x:c r="J263" s="18" t="n">
        <x:v>79623.5</x:v>
      </x:c>
      <x:c r="K263" s="19" t="n">
        <x:v>46126.50468167824</x:v>
      </x:c>
      <x:c r="L263" s="19" t="n">
        <x:v>46387.547002314815</x:v>
      </x:c>
      <x:c r="M263" s="15" t="str">
        <x:v>Послуги з монтажу та налагодження протипожежного обладнання системи автоматичної пожежної сигналізації</x:v>
      </x:c>
      <x:c r="N263" s="15" t="str">
        <x:v>https://prozorro.gov.ua/tender/UA-2026-04-14-008111-a</x:v>
      </x:c>
    </x:row>
    <x:row r="264">
      <x:c r="A264" s="14" t="n">
        <x:v>260</x:v>
      </x:c>
      <x:c r="B264" s="14" t="str">
        <x:v>АВАРІЙНО-РЯТУВАЛЬНИЙ ЗАГІН СПЕЦІАЛЬНОГО ПРИЗНАЧЕННЯ ГОЛОВНОГО УПРАВЛІННЯ ДЕРЖАВНОЇ СЛУЖБИ УКРАЇНИ З НАДЗВИЧАЙНИХ СИТУАЦІЙ У ХЕРСОНСЬКІЙ ОБЛАСТІ</x:v>
      </x:c>
      <x:c r="C264" s="14" t="str">
        <x:v>08588990</x:v>
      </x:c>
      <x:c r="D264" s="14" t="str">
        <x:v>Блискавкозахист / заземлення</x:v>
      </x:c>
      <x:c r="E264" s="14" t="str">
        <x:v>Requalify</x:v>
      </x:c>
      <x:c r="F264" s="14" t="str">
        <x:v>I2</x:v>
      </x:c>
      <x:c r="G264" s="14" t="n">
        <x:v>62</x:v>
      </x:c>
      <x:c r="H264" s="14" t="n">
        <x:v>2</x:v>
      </x:c>
      <x:c r="I264" s="14" t="n">
        <x:v>2</x:v>
      </x:c>
      <x:c r="J264" s="18" t="n">
        <x:v>17488.47</x:v>
      </x:c>
      <x:c r="K264" s="19" t="n">
        <x:v>46240.407988287036</x:v>
      </x:c>
      <x:c r="L264" s="19" t="n">
        <x:v>46387.45177083334</x:v>
      </x:c>
      <x:c r="M264" s="15" t="str">
        <x:v>Послуги з вимірювання опору ізоляції електромережі та заземлення (4060034-Монтаж, ремонт і перевірка надійності блискавкозахисту та замірювання опору ізоляції електромереж і електроустаткування) на об"єкті:Опорний заклад "Орлівський навчально-виховний комплекс "Загальноосвітня школа І-ІІІ ступенів - дитячий садок" Кочубеївської сільської ради ОТГ Херсонської області Кочубеївського освітнього округу</x:v>
      </x:c>
      <x:c r="N264" s="15" t="str">
        <x:v>https://prozorro.gov.ua/tender/UA-2026-08-06-005432-a</x:v>
      </x:c>
    </x:row>
    <x:row r="265">
      <x:c r="A265" s="14" t="n">
        <x:v>261</x:v>
      </x:c>
      <x:c r="B265" s="14" t="str">
        <x:v>ЗАХОЖАЙ АНДРІЙ ОЛЕКСАНДРОВИЧ</x:v>
      </x:c>
      <x:c r="C265" s="14" t="str">
        <x:v>2833015472</x:v>
      </x:c>
      <x:c r="D265" s="14" t="str">
        <x:v>СКС / BMS / слаботочка</x:v>
      </x:c>
      <x:c r="E265" s="14" t="str">
        <x:v>Expansion discovery</x:v>
      </x:c>
      <x:c r="F265" s="14" t="str">
        <x:v>I2</x:v>
      </x:c>
      <x:c r="G265" s="14" t="n">
        <x:v>62</x:v>
      </x:c>
      <x:c r="H265" s="14" t="n">
        <x:v>2</x:v>
      </x:c>
      <x:c r="I265" s="14" t="n">
        <x:v>2</x:v>
      </x:c>
      <x:c r="J265" s="18" t="n">
        <x:v>68042</x:v>
      </x:c>
      <x:c r="K265" s="19" t="n">
        <x:v>46246.47007652778</x:v>
      </x:c>
      <x:c r="L265" s="19" t="n">
        <x:v>46387</x:v>
      </x:c>
      <x:c r="M265" s="15" t="str">
        <x:v>Послуги з монтажу (подовження) структурованої кабельної системи локальної мережі</x:v>
      </x:c>
      <x:c r="N265" s="15" t="str">
        <x:v>https://prozorro.gov.ua/tender/UA-2026-08-12-006997-a</x:v>
      </x:c>
    </x:row>
    <x:row r="266">
      <x:c r="A266" s="14" t="n">
        <x:v>262</x:v>
      </x:c>
      <x:c r="B266" s="14" t="str">
        <x:v>КОМУНАЛЬНЕ ПІДПРИЄМСТВО "ТЕХНАГЛЯД"</x:v>
      </x:c>
      <x:c r="C266" s="14" t="str">
        <x:v>35883420</x:v>
      </x:c>
      <x:c r="D266" s="14" t="str">
        <x:v>HVAC / ОВіК</x:v>
      </x:c>
      <x:c r="E266" s="14" t="str">
        <x:v>Pilot now</x:v>
      </x:c>
      <x:c r="F266" s="14" t="str">
        <x:v>I2</x:v>
      </x:c>
      <x:c r="G266" s="14" t="n">
        <x:v>62</x:v>
      </x:c>
      <x:c r="H266" s="14" t="n">
        <x:v>2</x:v>
      </x:c>
      <x:c r="I266" s="14" t="n">
        <x:v>2</x:v>
      </x:c>
      <x:c r="J266" s="18" t="n">
        <x:v>3279.05</x:v>
      </x:c>
      <x:c r="K266" s="19" t="n">
        <x:v>46246.282276770835</x:v>
      </x:c>
      <x:c r="L266" s="19" t="n">
        <x:v>46387</x:v>
      </x:c>
      <x:c r="M266"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x:v>
      </x:c>
      <x:c r="N266" s="15" t="str">
        <x:v>https://prozorro.gov.ua/tender/UA-2026-08-12-001207-a</x:v>
      </x:c>
    </x:row>
    <x:row r="267">
      <x:c r="A267" s="14" t="n">
        <x:v>263</x:v>
      </x:c>
      <x:c r="B267" s="14" t="str">
        <x:v>ТОВ "ПСК Енергобуд"</x:v>
      </x:c>
      <x:c r="C267" s="14" t="str">
        <x:v>36191288</x:v>
      </x:c>
      <x:c r="D267" s="14" t="str">
        <x:v>Насосні станції</x:v>
      </x:c>
      <x:c r="E267" s="14" t="str">
        <x:v>Expansion discovery</x:v>
      </x:c>
      <x:c r="F267" s="14" t="str">
        <x:v>I2</x:v>
      </x:c>
      <x:c r="G267" s="14" t="n">
        <x:v>62</x:v>
      </x:c>
      <x:c r="H267" s="14" t="n">
        <x:v>3</x:v>
      </x:c>
      <x:c r="I267" s="14" t="n">
        <x:v>2</x:v>
      </x:c>
      <x:c r="J267" s="18" t="n">
        <x:v>53092694.48</x:v>
      </x:c>
      <x:c r="K267" s="19" t="n">
        <x:v>46084.606233252314</x:v>
      </x:c>
      <x:c r="L267" s="19" t="n">
        <x:v>46376.916655092595</x:v>
      </x:c>
      <x:c r="M267" s="15" t="str">
        <x:v>Реконструкція електричного обладнання ЗРУ 10/6 кВ насосної станції №1 (інв№10001) за адресою Харківська область, **** (з підключенням його до когенераційних газових установок (КГУ) на майданчику 2 підйому КВ "***"" (Код ДК:45454000-4 - "Реконструкція")</x:v>
      </x:c>
      <x:c r="N267" s="15" t="str">
        <x:v>https://prozorro.gov.ua/tender/UA-2026-01-28-015217-a</x:v>
      </x:c>
    </x:row>
    <x:row r="268">
      <x:c r="A268" s="14" t="n">
        <x:v>264</x:v>
      </x:c>
      <x:c r="B268" s="14" t="str">
        <x:v>Товариство з обмеженою відповідальністю  "ЕКОСФЕРА-ЗАХІД"</x:v>
      </x:c>
      <x:c r="C268" s="14" t="str">
        <x:v>44184736</x:v>
      </x:c>
      <x:c r="D268" s="14" t="str">
        <x:v>HVAC / ОВіК</x:v>
      </x:c>
      <x:c r="E268" s="14" t="str">
        <x:v>Pilot now</x:v>
      </x:c>
      <x:c r="F268" s="14" t="str">
        <x:v>I2</x:v>
      </x:c>
      <x:c r="G268" s="14" t="n">
        <x:v>62</x:v>
      </x:c>
      <x:c r="H268" s="14" t="n">
        <x:v>4</x:v>
      </x:c>
      <x:c r="I268" s="14" t="n">
        <x:v>2</x:v>
      </x:c>
      <x:c r="J268" s="18" t="n">
        <x:v>52790</x:v>
      </x:c>
      <x:c r="K268" s="19" t="n">
        <x:v>46016.58815099537</x:v>
      </x:c>
      <x:c r="L268" s="19" t="n">
        <x:v>46022</x:v>
      </x:c>
      <x:c r="M268" s="15" t="str">
        <x:v>Послуги з монтажу та сервісного обслуговування систем кондиціонування в тренажерному залі</x:v>
      </x:c>
      <x:c r="N268" s="15" t="str">
        <x:v>https://prozorro.gov.ua/tender/UA-2025-12-25-012650-a</x:v>
      </x:c>
    </x:row>
    <x:row r="269">
      <x:c r="A269" s="14" t="n">
        <x:v>265</x:v>
      </x:c>
      <x:c r="B269" s="14" t="str">
        <x:v>ТОВАРИСТВО З ОБМЕЖЕНОЮ ВІДПОВІДАЛЬНІСТЮ "БЕЗПЕКА 2017"</x:v>
      </x:c>
      <x:c r="C269" s="14" t="str">
        <x:v>41481392</x:v>
      </x:c>
      <x:c r="D269" s="14" t="str">
        <x:v>Безпека / СКУД / CCTV</x:v>
      </x:c>
      <x:c r="E269" s="14" t="str">
        <x:v>Expansion discovery</x:v>
      </x:c>
      <x:c r="F269" s="14" t="str">
        <x:v>I2</x:v>
      </x:c>
      <x:c r="G269" s="14" t="n">
        <x:v>62</x:v>
      </x:c>
      <x:c r="H269" s="14" t="n">
        <x:v>2</x:v>
      </x:c>
      <x:c r="I269" s="14" t="n">
        <x:v>2</x:v>
      </x:c>
      <x:c r="J269" s="18" t="n">
        <x:v>51236.91</x:v>
      </x:c>
      <x:c r="K269" s="19" t="n">
        <x:v>46238.461832719906</x:v>
      </x:c>
      <x:c r="L269" s="19" t="n">
        <x:v>46387</x:v>
      </x:c>
      <x:c r="M269" s="15" t="str">
        <x:v>Монтаж систем відеоспостереження</x:v>
      </x:c>
      <x:c r="N269" s="15" t="str">
        <x:v>https://prozorro.gov.ua/tender/UA-2026-08-04-007032-a</x:v>
      </x:c>
    </x:row>
    <x:row r="270">
      <x:c r="A270" s="14" t="n">
        <x:v>266</x:v>
      </x:c>
      <x:c r="B270" s="14" t="str">
        <x:v>ТОВАРИСТВО З ОБМЕЖЕНОЮ ВІДПОВІДАЛЬНІСТЮ "БУДІВЕЛЬНА ФІРМА "БУД ГРУПП"</x:v>
      </x:c>
      <x:c r="C270" s="14" t="str">
        <x:v>40703020</x:v>
      </x:c>
      <x:c r="D270" s="14" t="str">
        <x:v>Теплові мережі</x:v>
      </x:c>
      <x:c r="E270" s="14" t="str">
        <x:v>Expansion discovery</x:v>
      </x:c>
      <x:c r="F270" s="14" t="str">
        <x:v>I2</x:v>
      </x:c>
      <x:c r="G270" s="14" t="n">
        <x:v>62</x:v>
      </x:c>
      <x:c r="H270" s="14" t="n">
        <x:v>2</x:v>
      </x:c>
      <x:c r="I270" s="14" t="n">
        <x:v>2</x:v>
      </x:c>
      <x:c r="J270" s="18" t="n">
        <x:v>22486492.53</x:v>
      </x:c>
      <x:c r="K270" s="19" t="n">
        <x:v>46154.606024305554</x:v>
      </x:c>
      <x:c r="L270" s="19" t="n">
        <x:v>46356.916655092595</x:v>
      </x:c>
      <x:c r="M270" s="15" t="str">
        <x:v>Реконструкція (відновлення) теплових мереж на ділянці від ТЕЦ-4 до МК 3400 по вул. Північна в м. Харкові. Коригування (код ДК: 021:2015-45454000-4-Реконструкція) 
</x:v>
      </x:c>
      <x:c r="N270" s="15" t="str">
        <x:v>https://prozorro.gov.ua/tender/UA-2026-04-22-015319-a</x:v>
      </x:c>
    </x:row>
    <x:row r="271">
      <x:c r="A271" s="14" t="n">
        <x:v>267</x:v>
      </x:c>
      <x:c r="B271" s="14" t="str">
        <x:v>ФОП Ступак Олексій Олександрович</x:v>
      </x:c>
      <x:c r="C271" s="14" t="str">
        <x:v>2961310955</x:v>
      </x:c>
      <x:c r="D271" s="14" t="str">
        <x:v>Безпека / СКУД / CCTV</x:v>
      </x:c>
      <x:c r="E271" s="14" t="str">
        <x:v>Expansion discovery</x:v>
      </x:c>
      <x:c r="F271" s="14" t="str">
        <x:v>I2</x:v>
      </x:c>
      <x:c r="G271" s="14" t="n">
        <x:v>62</x:v>
      </x:c>
      <x:c r="H271" s="14" t="n">
        <x:v>2</x:v>
      </x:c>
      <x:c r="I271" s="14" t="n">
        <x:v>2</x:v>
      </x:c>
      <x:c r="J271" s="18" t="n">
        <x:v>20404.4</x:v>
      </x:c>
      <x:c r="K271" s="19" t="n">
        <x:v>46231.32512318287</x:v>
      </x:c>
      <x:c r="L271" s="19" t="n">
        <x:v>46387</x:v>
      </x:c>
      <x:c r="M271" s="15" t="str">
        <x:v>Монтаж системи вентиляції</x:v>
      </x:c>
      <x:c r="N271" s="15" t="str">
        <x:v>https://prozorro.gov.ua/tender/UA-2026-07-28-002616-a</x:v>
      </x:c>
    </x:row>
    <x:row r="272">
      <x:c r="A272" s="14" t="n">
        <x:v>268</x:v>
      </x:c>
      <x:c r="B272" s="14" t="str">
        <x:v>ЯКИМЧУК ОЛЕГ ВІКТОРОВИЧ</x:v>
      </x:c>
      <x:c r="C272" s="14" t="str">
        <x:v>2959416133</x:v>
      </x:c>
      <x:c r="D272" s="14" t="str">
        <x:v>Електромонтаж</x:v>
      </x:c>
      <x:c r="E272" s="14" t="str">
        <x:v>Pilot now</x:v>
      </x:c>
      <x:c r="F272" s="14" t="str">
        <x:v>I2</x:v>
      </x:c>
      <x:c r="G272" s="14" t="n">
        <x:v>62</x:v>
      </x:c>
      <x:c r="H272" s="14" t="n">
        <x:v>2</x:v>
      </x:c>
      <x:c r="I272" s="14" t="n">
        <x:v>2</x:v>
      </x:c>
      <x:c r="J272" s="18" t="n">
        <x:v>74700</x:v>
      </x:c>
      <x:c r="K272" s="19" t="n">
        <x:v>46223.315741342594</x:v>
      </x:c>
      <x:c r="L272" s="19" t="n">
        <x:v>46387</x:v>
      </x:c>
      <x:c r="M272" s="15" t="str">
        <x:v>Електромонтажні роботи</x:v>
      </x:c>
      <x:c r="N272" s="15" t="str">
        <x:v>https://prozorro.gov.ua/tender/UA-2026-07-20-001774-a</x:v>
      </x:c>
    </x:row>
    <x:row r="273">
      <x:c r="A273" s="14" t="n">
        <x:v>269</x:v>
      </x:c>
      <x:c r="B273" s="14" t="str">
        <x:v>ПП "БУДІНЖИНІРИНГ-ТМ"</x:v>
      </x:c>
      <x:c r="C273" s="14" t="str">
        <x:v>42844123</x:v>
      </x:c>
      <x:c r="D273" s="14" t="str">
        <x:v>Зовнішні мережі</x:v>
      </x:c>
      <x:c r="E273" s="14" t="str">
        <x:v>Expansion discovery</x:v>
      </x:c>
      <x:c r="F273" s="14" t="str">
        <x:v>I2</x:v>
      </x:c>
      <x:c r="G273" s="14" t="n">
        <x:v>62</x:v>
      </x:c>
      <x:c r="H273" s="14" t="n">
        <x:v>1</x:v>
      </x:c>
      <x:c r="I273" s="14" t="n">
        <x:v>1</x:v>
      </x:c>
      <x:c r="J273" s="18" t="n">
        <x:v>34616809.79</x:v>
      </x:c>
      <x:c r="K273" s="19" t="n">
        <x:v>46202.257042094905</x:v>
      </x:c>
      <x:c r="L273" s="19" t="n">
        <x:v>46745.42921296296</x:v>
      </x:c>
      <x:c r="M273" s="15" t="str">
        <x:v>Нове будівництво зовнішніх мереж водопостачання та каналізації, споруди системи водопідготовки, резервуара чистої води за адресою: с. Сімер, Ужгородський район, Закарпатська область. Розділ 45230000-8 Будівництво трубопроводів, ліній зв’язку та електропередач, шосе, доріг, аеродромів і залізничних доріг; вирівнювання поверхонь за ДК 021:2015 Єдиного закупівельного словника.</x:v>
      </x:c>
      <x:c r="N273" s="15" t="str">
        <x:v>https://prozorro.gov.ua/tender/UA-2026-06-09-005787-a</x:v>
      </x:c>
    </x:row>
    <x:row r="274">
      <x:c r="A274" s="14" t="n">
        <x:v>270</x:v>
      </x:c>
      <x:c r="B274" s="14" t="str">
        <x:v>ПП "ЛЕС"</x:v>
      </x:c>
      <x:c r="C274" s="14" t="str">
        <x:v>36828486</x:v>
      </x:c>
      <x:c r="D274" s="14" t="str">
        <x:v>Зовнішні мережі</x:v>
      </x:c>
      <x:c r="E274" s="14" t="str">
        <x:v>Expansion discovery</x:v>
      </x:c>
      <x:c r="F274" s="14" t="str">
        <x:v>I2</x:v>
      </x:c>
      <x:c r="G274" s="14" t="n">
        <x:v>62</x:v>
      </x:c>
      <x:c r="H274" s="14" t="n">
        <x:v>1</x:v>
      </x:c>
      <x:c r="I274" s="14" t="n">
        <x:v>1</x:v>
      </x:c>
      <x:c r="J274" s="18" t="n">
        <x:v>29630025.76</x:v>
      </x:c>
      <x:c r="K274" s="19" t="n">
        <x:v>46197.37506895833</x:v>
      </x:c>
      <x:c r="L274" s="19" t="n">
        <x:v>46508</x:v>
      </x:c>
      <x:c r="M27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x:v>
      </x:c>
      <x:c r="N274" s="15" t="str">
        <x:v>https://prozorro.gov.ua/tender/UA-2026-05-20-013626-a</x:v>
      </x:c>
    </x:row>
    <x:row r="275">
      <x:c r="A275" s="14" t="n">
        <x:v>271</x:v>
      </x:c>
      <x:c r="B275" s="14" t="str">
        <x:v>ПрАТ Агробудмеханізація</x:v>
      </x:c>
      <x:c r="C275" s="14" t="str">
        <x:v>13708491</x:v>
      </x:c>
      <x:c r="D275" s="14" t="str">
        <x:v>Зовнішні мережі</x:v>
      </x:c>
      <x:c r="E275" s="14" t="str">
        <x:v>Expansion discovery</x:v>
      </x:c>
      <x:c r="F275" s="14" t="str">
        <x:v>I2</x:v>
      </x:c>
      <x:c r="G275" s="14" t="n">
        <x:v>62</x:v>
      </x:c>
      <x:c r="H275" s="14" t="n">
        <x:v>1</x:v>
      </x:c>
      <x:c r="I275" s="14" t="n">
        <x:v>1</x:v>
      </x:c>
      <x:c r="J275" s="18" t="n">
        <x:v>24229978</x:v>
      </x:c>
      <x:c r="K275" s="19" t="n">
        <x:v>46209.46728862268</x:v>
      </x:c>
      <x:c r="L275" s="19" t="n">
        <x:v>46539</x:v>
      </x:c>
      <x:c r="M275" s="15" t="str">
        <x:v>Нове будівництво зовнішніх інженерних мереж з підключенням збірно-розбірних комплексних споруд в Київській області</x:v>
      </x:c>
      <x:c r="N275" s="15" t="str">
        <x:v>https://prozorro.gov.ua/tender/UA-2026-06-22-012842-a</x:v>
      </x:c>
    </x:row>
    <x:row r="276">
      <x:c r="A276" s="14" t="n">
        <x:v>272</x:v>
      </x:c>
      <x:c r="B276" s="14" t="str">
        <x:v>Приватне акціонерне товариство «Шляхове ремонтно-будівельне управління № 82»</x:v>
      </x:c>
      <x:c r="C276" s="14" t="str">
        <x:v>03448244</x:v>
      </x:c>
      <x:c r="D276" s="14" t="str">
        <x:v>Підстанції / силові мережі</x:v>
      </x:c>
      <x:c r="E276" s="14" t="str">
        <x:v>Pilot now</x:v>
      </x:c>
      <x:c r="F276" s="14" t="str">
        <x:v>I2</x:v>
      </x:c>
      <x:c r="G276" s="14" t="n">
        <x:v>62</x:v>
      </x:c>
      <x:c r="H276" s="14" t="n">
        <x:v>1</x:v>
      </x:c>
      <x:c r="I276" s="14" t="n">
        <x:v>1</x:v>
      </x:c>
      <x:c r="J276" s="18" t="n">
        <x:v>74440938</x:v>
      </x:c>
      <x:c r="K276" s="19" t="n">
        <x:v>46146.382662268516</x:v>
      </x:c>
      <x:c r="L276" s="19" t="n">
        <x:v>46752.42422453704</x:v>
      </x:c>
      <x:c r="M276"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x:v>
      </x:c>
      <x:c r="N276" s="15" t="str">
        <x:v>https://prozorro.gov.ua/tender/UA-2026-05-04-005146-a</x:v>
      </x:c>
    </x:row>
    <x:row r="277">
      <x:c r="A277" s="14" t="n">
        <x:v>273</x:v>
      </x:c>
      <x:c r="B277" s="14" t="str">
        <x:v>ТОВ "БУДІВЕЛЬНА КОМПАНІЯ "СТАНДАРТ ІНВЕСТ"</x:v>
      </x:c>
      <x:c r="C277" s="14" t="str">
        <x:v>45651742</x:v>
      </x:c>
      <x:c r="D277" s="14" t="str">
        <x:v>Фасади та скління</x:v>
      </x:c>
      <x:c r="E277" s="14" t="str">
        <x:v>Expansion discovery</x:v>
      </x:c>
      <x:c r="F277" s="14" t="str">
        <x:v>I2</x:v>
      </x:c>
      <x:c r="G277" s="14" t="n">
        <x:v>62</x:v>
      </x:c>
      <x:c r="H277" s="14" t="n">
        <x:v>1</x:v>
      </x:c>
      <x:c r="I277" s="14" t="n">
        <x:v>1</x:v>
      </x:c>
      <x:c r="J277" s="18" t="n">
        <x:v>10712686.16</x:v>
      </x:c>
      <x:c r="K277" s="19" t="n">
        <x:v>46182.43734564815</x:v>
      </x:c>
      <x:c r="L277" s="19" t="n">
        <x:v>46752</x:v>
      </x:c>
      <x:c r="M277" s="15" t="str">
        <x:v>"Капітальний ремонт з утеплення фасадів житлової будівлі за адресою: ж/м Пaрус, буд. 6 у м. Днiпрi" - заходи з енергозбереження</x:v>
      </x:c>
      <x:c r="N277" s="15" t="str">
        <x:v>https://prozorro.gov.ua/tender/UA-2026-05-22-006255-a</x:v>
      </x:c>
    </x:row>
    <x:row r="278">
      <x:c r="A278" s="14" t="n">
        <x:v>274</x:v>
      </x:c>
      <x:c r="B278" s="14" t="str">
        <x:v>ТОВ "Будівельне Підприємство "Регіонбудмонтаж"</x:v>
      </x:c>
      <x:c r="C278" s="14" t="str">
        <x:v>40113394</x:v>
      </x:c>
      <x:c r="D278" s="14" t="str">
        <x:v>Теплові мережі</x:v>
      </x:c>
      <x:c r="E278" s="14" t="str">
        <x:v>Expansion discovery</x:v>
      </x:c>
      <x:c r="F278" s="14" t="str">
        <x:v>I2</x:v>
      </x:c>
      <x:c r="G278" s="14" t="n">
        <x:v>62</x:v>
      </x:c>
      <x:c r="H278" s="14" t="n">
        <x:v>1</x:v>
      </x:c>
      <x:c r="I278" s="14" t="n">
        <x:v>1</x:v>
      </x:c>
      <x:c r="J278" s="18" t="n">
        <x:v>31470734</x:v>
      </x:c>
      <x:c r="K278" s="19" t="n">
        <x:v>46172.33759278935</x:v>
      </x:c>
      <x:c r="L278" s="19" t="n">
        <x:v>46356.916655092595</x:v>
      </x:c>
      <x:c r="M278"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x:v>
      </x:c>
      <x:c r="N278" s="15" t="str">
        <x:v>https://prozorro.gov.ua/tender/UA-2026-05-08-007865-a</x:v>
      </x:c>
    </x:row>
    <x:row r="279">
      <x:c r="A279" s="14" t="n">
        <x:v>275</x:v>
      </x:c>
      <x:c r="B279" s="14" t="str">
        <x:v>ТОВ "ДНІПРО - БУДСЕРВІС"</x:v>
      </x:c>
      <x:c r="C279" s="14" t="str">
        <x:v>40594397</x:v>
      </x:c>
      <x:c r="D279" s="14" t="str">
        <x:v>Фасади та скління</x:v>
      </x:c>
      <x:c r="E279" s="14" t="str">
        <x:v>Expansion discovery</x:v>
      </x:c>
      <x:c r="F279" s="14" t="str">
        <x:v>I2</x:v>
      </x:c>
      <x:c r="G279" s="14" t="n">
        <x:v>62</x:v>
      </x:c>
      <x:c r="H279" s="14" t="n">
        <x:v>1</x:v>
      </x:c>
      <x:c r="I279" s="14" t="n">
        <x:v>1</x:v>
      </x:c>
      <x:c r="J279" s="18" t="n">
        <x:v>11288824.29</x:v>
      </x:c>
      <x:c r="K279" s="19" t="n">
        <x:v>46182.38914377315</x:v>
      </x:c>
      <x:c r="L279" s="19" t="n">
        <x:v>46752</x:v>
      </x:c>
      <x:c r="M279" s="15" t="str">
        <x:v>«Капітальний ремонт з утеплення фасадів житлової будівлі за адресою: вул. Нaбeрeжнa Заводська, буд. 143-А у м. Дніпрі» - заходи з енергозбереження</x:v>
      </x:c>
      <x:c r="N279" s="15" t="str">
        <x:v>https://prozorro.gov.ua/tender/UA-2026-05-25-013338-a</x:v>
      </x:c>
    </x:row>
    <x:row r="280">
      <x:c r="A280" s="14" t="n">
        <x:v>276</x:v>
      </x:c>
      <x:c r="B280" s="14" t="str">
        <x:v>ТОВ "ЕДС-ПІДСТАНЦІЯ"</x:v>
      </x:c>
      <x:c r="C280" s="14" t="str">
        <x:v>42914860</x:v>
      </x:c>
      <x:c r="D280" s="14" t="str">
        <x:v>Сонячна енергетика</x:v>
      </x:c>
      <x:c r="E280" s="14" t="str">
        <x:v>Pilot now</x:v>
      </x:c>
      <x:c r="F280" s="14" t="str">
        <x:v>I2</x:v>
      </x:c>
      <x:c r="G280" s="14" t="n">
        <x:v>62</x:v>
      </x:c>
      <x:c r="H280" s="14" t="n">
        <x:v>1</x:v>
      </x:c>
      <x:c r="I280" s="14" t="n">
        <x:v>1</x:v>
      </x:c>
      <x:c r="J280" s="18" t="n">
        <x:v>19391493</x:v>
      </x:c>
      <x:c r="K280" s="19" t="n">
        <x:v>46191.43037732639</x:v>
      </x:c>
      <x:c r="L280" s="19" t="n">
        <x:v>46387</x:v>
      </x:c>
      <x:c r="M280" s="1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x:v>
      </x:c>
      <x:c r="N280" s="15" t="str">
        <x:v>https://prozorro.gov.ua/tender/UA-2026-06-02-008852-a</x:v>
      </x:c>
    </x:row>
    <x:row r="281">
      <x:c r="A281" s="14" t="n">
        <x:v>277</x:v>
      </x:c>
      <x:c r="B281" s="14" t="str">
        <x:v>ТОВ "Енергосервісна компанія "Адамсон""</x:v>
      </x:c>
      <x:c r="C281" s="14" t="str">
        <x:v>39314325</x:v>
      </x:c>
      <x:c r="D281" s="14" t="str">
        <x:v>Теплові мережі</x:v>
      </x:c>
      <x:c r="E281" s="14" t="str">
        <x:v>Expansion discovery</x:v>
      </x:c>
      <x:c r="F281" s="14" t="str">
        <x:v>I2</x:v>
      </x:c>
      <x:c r="G281" s="14" t="n">
        <x:v>62</x:v>
      </x:c>
      <x:c r="H281" s="14" t="n">
        <x:v>1</x:v>
      </x:c>
      <x:c r="I281" s="14" t="n">
        <x:v>1</x:v>
      </x:c>
      <x:c r="J281" s="18" t="n">
        <x:v>40016067.22</x:v>
      </x:c>
      <x:c r="K281" s="19" t="n">
        <x:v>46162.57350153935</x:v>
      </x:c>
      <x:c r="L281" s="19" t="n">
        <x:v>46295</x:v>
      </x:c>
      <x:c r="M281" s="15" t="str">
        <x:v>Реконструкція ЦТП в котельню із встановленням газових котлів та реконструкцією теплових мереж на вул. Сахарова, 30-А у м. Івано-Франківську</x:v>
      </x:c>
      <x:c r="N281" s="15" t="str">
        <x:v>https://prozorro.gov.ua/tender/UA-2026-04-29-006326-a</x:v>
      </x:c>
    </x:row>
    <x:row r="282">
      <x:c r="A282" s="14" t="n">
        <x:v>278</x:v>
      </x:c>
      <x:c r="B282" s="14" t="str">
        <x:v>ТОВ "МОРАДА"</x:v>
      </x:c>
      <x:c r="C282" s="14" t="str">
        <x:v>46063758</x:v>
      </x:c>
      <x:c r="D282" s="14" t="str">
        <x:v>Мости / інфраструктура</x:v>
      </x:c>
      <x:c r="E282" s="14" t="str">
        <x:v>Expansion discovery</x:v>
      </x:c>
      <x:c r="F282" s="14" t="str">
        <x:v>I2</x:v>
      </x:c>
      <x:c r="G282" s="14" t="n">
        <x:v>62</x:v>
      </x:c>
      <x:c r="H282" s="14" t="n">
        <x:v>1</x:v>
      </x:c>
      <x:c r="I282" s="14" t="n">
        <x:v>1</x:v>
      </x:c>
      <x:c r="J282" s="18" t="n">
        <x:v>11160113.51</x:v>
      </x:c>
      <x:c r="K282" s="19" t="n">
        <x:v>46161.63035443287</x:v>
      </x:c>
      <x:c r="L282" s="19" t="n">
        <x:v>46387</x:v>
      </x:c>
      <x:c r="M282" s="15" t="str">
        <x:v>Послуги з благоустрою - поточний ремонт мостів та шляхопроводів</x:v>
      </x:c>
      <x:c r="N282" s="15" t="str">
        <x:v>https://prozorro.gov.ua/tender/UA-2026-05-08-013164-a</x:v>
      </x:c>
    </x:row>
    <x:row r="283">
      <x:c r="A283" s="14" t="n">
        <x:v>279</x:v>
      </x:c>
      <x:c r="B283" s="14" t="str">
        <x:v>ТОВ "СТЕЙДЖ АЛЬЯНС"</x:v>
      </x:c>
      <x:c r="C283" s="14" t="str">
        <x:v>43209597</x:v>
      </x:c>
      <x:c r="D283" s="14" t="str">
        <x:v>Насосні станції</x:v>
      </x:c>
      <x:c r="E283" s="14" t="str">
        <x:v>Expansion discovery</x:v>
      </x:c>
      <x:c r="F283" s="14" t="str">
        <x:v>I2</x:v>
      </x:c>
      <x:c r="G283" s="14" t="n">
        <x:v>62</x:v>
      </x:c>
      <x:c r="H283" s="14" t="n">
        <x:v>1</x:v>
      </x:c>
      <x:c r="I283" s="14" t="n">
        <x:v>1</x:v>
      </x:c>
      <x:c r="J283" s="18" t="n">
        <x:v>45473135</x:v>
      </x:c>
      <x:c r="K283" s="19" t="n">
        <x:v>46189.52603324074</x:v>
      </x:c>
      <x:c r="L283" s="19" t="n">
        <x:v>46382</x:v>
      </x:c>
      <x:c r="M283"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x:v>
      </x:c>
      <x:c r="N283" s="15" t="str">
        <x:v>https://prozorro.gov.ua/tender/UA-2026-05-15-008760-a</x:v>
      </x:c>
    </x:row>
    <x:row r="284">
      <x:c r="A284" s="14" t="n">
        <x:v>280</x:v>
      </x:c>
      <x:c r="B284" s="14" t="str">
        <x:v>ТОВ Інвестиційна Компанія Укрбудсервіс</x:v>
      </x:c>
      <x:c r="C284" s="14" t="str">
        <x:v>40433945</x:v>
      </x:c>
      <x:c r="D284" s="14" t="str">
        <x:v>Зовнішні мережі</x:v>
      </x:c>
      <x:c r="E284" s="14" t="str">
        <x:v>Expansion discovery</x:v>
      </x:c>
      <x:c r="F284" s="14" t="str">
        <x:v>I2</x:v>
      </x:c>
      <x:c r="G284" s="14" t="n">
        <x:v>62</x:v>
      </x:c>
      <x:c r="H284" s="14" t="n">
        <x:v>1</x:v>
      </x:c>
      <x:c r="I284" s="14" t="n">
        <x:v>1</x:v>
      </x:c>
      <x:c r="J284" s="18" t="n">
        <x:v>24067146.46</x:v>
      </x:c>
      <x:c r="K284" s="19" t="n">
        <x:v>46181.30029005787</x:v>
      </x:c>
      <x:c r="L284" s="19" t="n">
        <x:v>46752.47375</x:v>
      </x:c>
      <x:c r="M284" s="15" t="str">
        <x:v>«Нове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(коригування) (ДК 021:2015: 45230000-8 — Будівництво трубопроводів, ліній зв’язку та електропередач, шосе, доріг, аеродромів і залізничних доріг; вирівнювання поверхонь)</x:v>
      </x:c>
      <x:c r="N284" s="15" t="str">
        <x:v>https://prozorro.gov.ua/tender/UA-2026-05-20-007083-a</x:v>
      </x:c>
    </x:row>
    <x:row r="285">
      <x:c r="A285" s="14" t="n">
        <x:v>281</x:v>
      </x:c>
      <x:c r="B285" s="14" t="str">
        <x:v>ТОВ Прогрес-92</x:v>
      </x:c>
      <x:c r="C285" s="14" t="str">
        <x:v>19117928</x:v>
      </x:c>
      <x:c r="D285" s="14" t="str">
        <x:v>Теплові мережі</x:v>
      </x:c>
      <x:c r="E285" s="14" t="str">
        <x:v>Expansion discovery</x:v>
      </x:c>
      <x:c r="F285" s="14" t="str">
        <x:v>I2</x:v>
      </x:c>
      <x:c r="G285" s="14" t="n">
        <x:v>62</x:v>
      </x:c>
      <x:c r="H285" s="14" t="n">
        <x:v>1</x:v>
      </x:c>
      <x:c r="I285" s="14" t="n">
        <x:v>1</x:v>
      </x:c>
      <x:c r="J285" s="18" t="n">
        <x:v>21059157.6</x:v>
      </x:c>
      <x:c r="K285" s="19" t="n">
        <x:v>46139.53436651621</x:v>
      </x:c>
      <x:c r="L285" s="19" t="n">
        <x:v>46387</x:v>
      </x:c>
      <x:c r="M285" s="15" t="str">
        <x:v>Реконструкція теплових мереж котельні РК-11 від РК-11 по вул. Отаманів Соколовських, 6 до ТК-1 в м.Житомирі (коригування)</x:v>
      </x:c>
      <x:c r="N285" s="15" t="str">
        <x:v>https://prozorro.gov.ua/tender/UA-2026-04-07-012294-a</x:v>
      </x:c>
    </x:row>
    <x:row r="286">
      <x:c r="A286" s="14" t="n">
        <x:v>282</x:v>
      </x:c>
      <x:c r="B286" s="14" t="str">
        <x:v>ТОВАРИСТВО З ОБМЕЖЕНОЮ ВІДПОВІДАЛЬНІСТЮ "ЄВРО БУД СІСТЕМ"</x:v>
      </x:c>
      <x:c r="C286" s="14" t="str">
        <x:v>42508467</x:v>
      </x:c>
      <x:c r="D286" s="14" t="str">
        <x:v>Підстанції / силові мережі</x:v>
      </x:c>
      <x:c r="E286" s="14" t="str">
        <x:v>Pilot now</x:v>
      </x:c>
      <x:c r="F286" s="14" t="str">
        <x:v>I2</x:v>
      </x:c>
      <x:c r="G286" s="14" t="n">
        <x:v>62</x:v>
      </x:c>
      <x:c r="H286" s="14" t="n">
        <x:v>1</x:v>
      </x:c>
      <x:c r="I286" s="14" t="n">
        <x:v>1</x:v>
      </x:c>
      <x:c r="J286" s="18" t="n">
        <x:v>110966458.8</x:v>
      </x:c>
      <x:c r="K286" s="19" t="n">
        <x:v>46177.508375694444</x:v>
      </x:c>
      <x:c r="L286" s="19" t="n">
        <x:v>46752</x:v>
      </x:c>
      <x:c r="M286" s="15" t="str">
        <x:v>Реконструкція електричної підстанції №8 АТ “ДТЕК Дніпровські електромережі” у Дніпропетровській області (ДК 021:2015: 45454000-4 - Реконструкція)</x:v>
      </x:c>
      <x:c r="N286" s="15" t="str">
        <x:v>https://prozorro.gov.ua/tender/UA-2026-06-04-010000-a</x:v>
      </x:c>
    </x:row>
    <x:row r="287">
      <x:c r="A287" s="14" t="n">
        <x:v>283</x:v>
      </x:c>
      <x:c r="B287" s="14" t="str">
        <x:v>ТОВАРИСТВО З ОБМЕЖЕНОЮ ВІДПОВІДАЛЬНІСТЮ "ЄВРОБУД ПЛЮС"</x:v>
      </x:c>
      <x:c r="C287" s="14" t="str">
        <x:v>34898640</x:v>
      </x:c>
      <x:c r="D287" s="14" t="str">
        <x:v>Підстанції / силові мережі</x:v>
      </x:c>
      <x:c r="E287" s="14" t="str">
        <x:v>Pilot now</x:v>
      </x:c>
      <x:c r="F287" s="14" t="str">
        <x:v>I2</x:v>
      </x:c>
      <x:c r="G287" s="14" t="n">
        <x:v>62</x:v>
      </x:c>
      <x:c r="H287" s="14" t="n">
        <x:v>1</x:v>
      </x:c>
      <x:c r="I287" s="14" t="n">
        <x:v>1</x:v>
      </x:c>
      <x:c r="J287" s="18" t="n">
        <x:v>94312294.8</x:v>
      </x:c>
      <x:c r="K287" s="19" t="n">
        <x:v>46163.30135616898</x:v>
      </x:c>
      <x:c r="L287" s="19" t="n">
        <x:v>46752</x:v>
      </x:c>
      <x:c r="M287" s="15" t="str">
        <x:v>Реконструкція електричної підстанції №5 ПрАТ “ДТЕК Павлоградвугілля” у Дніпропетровській області (ДК 021:2015: 45454000-4 - Реконструкція)</x:v>
      </x:c>
      <x:c r="N287" s="15" t="str">
        <x:v>https://prozorro.gov.ua/tender/UA-2026-05-21-001610-a</x:v>
      </x:c>
    </x:row>
    <x:row r="288">
      <x:c r="A288" s="14" t="n">
        <x:v>284</x:v>
      </x:c>
      <x:c r="B288" s="14" t="str">
        <x:v>ТОВАРИСТВО З ОБМЕЖЕНОЮ ВІДПОВІДАЛЬНІСТЮ "ІВП "ІНТОП"</x:v>
      </x:c>
      <x:c r="C288" s="14" t="str">
        <x:v>35808343</x:v>
      </x:c>
      <x:c r="D288" s="14" t="str">
        <x:v>Підстанції / силові мережі</x:v>
      </x:c>
      <x:c r="E288" s="14" t="str">
        <x:v>Pilot now</x:v>
      </x:c>
      <x:c r="F288" s="14" t="str">
        <x:v>I2</x:v>
      </x:c>
      <x:c r="G288" s="14" t="n">
        <x:v>62</x:v>
      </x:c>
      <x:c r="H288" s="14" t="n">
        <x:v>1</x:v>
      </x:c>
      <x:c r="I288" s="14" t="n">
        <x:v>1</x:v>
      </x:c>
      <x:c r="J288" s="18" t="n">
        <x:v>102808656</x:v>
      </x:c>
      <x:c r="K288" s="19" t="n">
        <x:v>46163.58369450232</x:v>
      </x:c>
      <x:c r="L288" s="19" t="n">
        <x:v>46752</x:v>
      </x:c>
      <x:c r="M288" s="15" t="str">
        <x:v>Реконструкція електричної підстанції №9 АТ “ДТЕК Дніпровські електромережі” у Дніпропетровській області (ДК 021:2015: 45454000-4 - Реконструкція)</x:v>
      </x:c>
      <x:c r="N288" s="15" t="str">
        <x:v>https://prozorro.gov.ua/tender/UA-2026-05-21-012686-a</x:v>
      </x:c>
    </x:row>
    <x:row r="289">
      <x:c r="A289" s="14" t="n">
        <x:v>285</x:v>
      </x:c>
      <x:c r="B289" s="14" t="str">
        <x:v>ТОВАРИСТВО З ОБМЕЖЕНОЮ ВІДПОВІДАЛЬНІСТЮ "КОМПАНІЯ ПОДІЛЬСЬКА ДОРОЖНЯ"</x:v>
      </x:c>
      <x:c r="C289" s="14" t="str">
        <x:v>42598058</x:v>
      </x:c>
      <x:c r="D289" s="14" t="str">
        <x:v>Підстанції / силові мережі</x:v>
      </x:c>
      <x:c r="E289" s="14" t="str">
        <x:v>Pilot now</x:v>
      </x:c>
      <x:c r="F289" s="14" t="str">
        <x:v>I2</x:v>
      </x:c>
      <x:c r="G289" s="14" t="n">
        <x:v>62</x:v>
      </x:c>
      <x:c r="H289" s="14" t="n">
        <x:v>1</x:v>
      </x:c>
      <x:c r="I289" s="14" t="n">
        <x:v>1</x:v>
      </x:c>
      <x:c r="J289" s="18" t="n">
        <x:v>14549996.65</x:v>
      </x:c>
      <x:c r="K289" s="19" t="n">
        <x:v>46146.22212475695</x:v>
      </x:c>
      <x:c r="L289" s="19" t="n">
        <x:v>46387</x:v>
      </x:c>
      <x:c r="M289"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x:v>
      </x:c>
      <x:c r="N289" s="15" t="str">
        <x:v>https://prozorro.gov.ua/tender/UA-2026-04-16-008559-a</x:v>
      </x:c>
    </x:row>
    <x:row r="290">
      <x:c r="A290" s="14" t="n">
        <x:v>286</x:v>
      </x:c>
      <x:c r="B290" s="14" t="str">
        <x:v>Товариство з обмеженою відповідальністю "МІСТПРОЕКТ"</x:v>
      </x:c>
      <x:c r="C290" s="14" t="str">
        <x:v>31483723</x:v>
      </x:c>
      <x:c r="D290" s="14" t="str">
        <x:v>Мости / інфраструктура</x:v>
      </x:c>
      <x:c r="E290" s="14" t="str">
        <x:v>Expansion discovery</x:v>
      </x:c>
      <x:c r="F290" s="14" t="str">
        <x:v>I2</x:v>
      </x:c>
      <x:c r="G290" s="14" t="n">
        <x:v>62</x:v>
      </x:c>
      <x:c r="H290" s="14" t="n">
        <x:v>1</x:v>
      </x:c>
      <x:c r="I290" s="14" t="n">
        <x:v>1</x:v>
      </x:c>
      <x:c r="J290" s="18" t="n">
        <x:v>11483640</x:v>
      </x:c>
      <x:c r="K290" s="19" t="n">
        <x:v>46161.51756497685</x:v>
      </x:c>
      <x:c r="L290" s="19" t="n">
        <x:v>46387</x:v>
      </x:c>
      <x:c r="M290"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x:v>
      </x:c>
      <x:c r="N290" s="15" t="str">
        <x:v>https://prozorro.gov.ua/tender/UA-2026-05-08-009065-a</x:v>
      </x:c>
    </x:row>
    <x:row r="291">
      <x:c r="A291" s="14" t="n">
        <x:v>287</x:v>
      </x:c>
      <x:c r="B291" s="14" t="str">
        <x:v>ТОВАРИСТВО З ОБМЕЖЕНОЮ ВІДПОВІДАЛЬНІСТЮ "ПОЖСЕРВІС"</x:v>
      </x:c>
      <x:c r="C291" s="14" t="str">
        <x:v>33020041</x:v>
      </x:c>
      <x:c r="D291" s="14" t="str">
        <x:v>Пожежогасіння</x:v>
      </x:c>
      <x:c r="E291" s="14" t="str">
        <x:v>Expansion discovery</x:v>
      </x:c>
      <x:c r="F291" s="14" t="str">
        <x:v>I2</x:v>
      </x:c>
      <x:c r="G291" s="14" t="n">
        <x:v>62</x:v>
      </x:c>
      <x:c r="H291" s="14" t="n">
        <x:v>3</x:v>
      </x:c>
      <x:c r="I291" s="14" t="n">
        <x:v>1</x:v>
      </x:c>
      <x:c r="J291" s="18" t="n">
        <x:v>116359</x:v>
      </x:c>
      <x:c r="K291" s="19" t="n">
        <x:v>46213.57172638889</x:v>
      </x:c>
      <x:c r="L291" s="19" t="n">
        <x:v>46253.572384259256</x:v>
      </x:c>
      <x:c r="M291" s="15" t="str">
        <x:v>вогнезахисна обробка дерев’яних конструкцій горищних приміщень господарської будівлі вогнезахисною сумішю ДСА за адресою м. Житомир вул. Східна, 65</x:v>
      </x:c>
      <x:c r="N291" s="15" t="str">
        <x:v>https://prozorro.gov.ua/tender/UA-2026-07-10-010380-a</x:v>
      </x:c>
    </x:row>
    <x:row r="292">
      <x:c r="A292" s="14" t="n">
        <x:v>288</x:v>
      </x:c>
      <x:c r="B292" s="14" t="str">
        <x:v>ТОВАРИСТВО З ОБМЕЖЕНОЮ ВІДПОВІДАЛЬНІСТЮ "РІТЕЙЛЕР КОМПАНІ"</x:v>
      </x:c>
      <x:c r="C292" s="14" t="str">
        <x:v>39889714</x:v>
      </x:c>
      <x:c r="D292" s="14" t="str">
        <x:v>Підстанції / силові мережі</x:v>
      </x:c>
      <x:c r="E292" s="14" t="str">
        <x:v>Pilot now</x:v>
      </x:c>
      <x:c r="F292" s="14" t="str">
        <x:v>I2</x:v>
      </x:c>
      <x:c r="G292" s="14" t="n">
        <x:v>62</x:v>
      </x:c>
      <x:c r="H292" s="14" t="n">
        <x:v>1</x:v>
      </x:c>
      <x:c r="I292" s="14" t="n">
        <x:v>1</x:v>
      </x:c>
      <x:c r="J292" s="18" t="n">
        <x:v>111056928</x:v>
      </x:c>
      <x:c r="K292" s="19" t="n">
        <x:v>46175.327697939814</x:v>
      </x:c>
      <x:c r="L292" s="19" t="n">
        <x:v>46752</x:v>
      </x:c>
      <x:c r="M292" s="15" t="str">
        <x:v>Реконструкція електричної підстанції №3 ПрАТ “ДТЕК Павлоградвугілля” у Дніпропетровській області (ДК 021:2015: 45454000-4 - Реконструкція)</x:v>
      </x:c>
      <x:c r="N292" s="15" t="str">
        <x:v>https://prozorro.gov.ua/tender/UA-2026-06-02-002857-a</x:v>
      </x:c>
    </x:row>
    <x:row r="293">
      <x:c r="A293" s="14" t="n">
        <x:v>289</x:v>
      </x:c>
      <x:c r="B293" s="14" t="str">
        <x:v>Товариство з обмеженою відповідальністю "СПЕЦМОТАЖСЕРВІС К"</x:v>
      </x:c>
      <x:c r="C293" s="14" t="str">
        <x:v>39235474</x:v>
      </x:c>
      <x:c r="D293" s="14" t="str">
        <x:v>Електромонтаж</x:v>
      </x:c>
      <x:c r="E293" s="14" t="str">
        <x:v>Pilot now</x:v>
      </x:c>
      <x:c r="F293" s="14" t="str">
        <x:v>I2</x:v>
      </x:c>
      <x:c r="G293" s="14" t="n">
        <x:v>62</x:v>
      </x:c>
      <x:c r="H293" s="14" t="n">
        <x:v>2</x:v>
      </x:c>
      <x:c r="I293" s="14" t="n">
        <x:v>1</x:v>
      </x:c>
      <x:c r="J293" s="18" t="n">
        <x:v>68282</x:v>
      </x:c>
      <x:c r="K293" s="19" t="n">
        <x:v>46223.82915002315</x:v>
      </x:c>
      <x:c r="L293" s="19" t="n">
        <x:v>46234</x:v>
      </x:c>
      <x:c r="M293" s="15" t="str">
        <x:v>Електромонтажні роботи (підключення ДБЖ)</x:v>
      </x:c>
      <x:c r="N293" s="15" t="str">
        <x:v>https://prozorro.gov.ua/tender/UA-2026-07-20-011438-a</x:v>
      </x:c>
    </x:row>
    <x:row r="294">
      <x:c r="A294" s="14" t="n">
        <x:v>290</x:v>
      </x:c>
      <x:c r="B294" s="14" t="str">
        <x:v>Товариство з обмеженою відповідальністю «Бахмачгазбудсервіс»</x:v>
      </x:c>
      <x:c r="C294" s="14" t="str">
        <x:v>35800585</x:v>
      </x:c>
      <x:c r="D294" s="14" t="str">
        <x:v>Підстанції / силові мережі</x:v>
      </x:c>
      <x:c r="E294" s="14" t="str">
        <x:v>Pilot now</x:v>
      </x:c>
      <x:c r="F294" s="14" t="str">
        <x:v>I2</x:v>
      </x:c>
      <x:c r="G294" s="14" t="n">
        <x:v>62</x:v>
      </x:c>
      <x:c r="H294" s="14" t="n">
        <x:v>1</x:v>
      </x:c>
      <x:c r="I294" s="14" t="n">
        <x:v>1</x:v>
      </x:c>
      <x:c r="J294" s="18" t="n">
        <x:v>76387907</x:v>
      </x:c>
      <x:c r="K294" s="19" t="n">
        <x:v>46142.638039722224</x:v>
      </x:c>
      <x:c r="L294" s="19" t="n">
        <x:v>46752.67875</x:v>
      </x:c>
      <x:c r="M294"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x:v>
      </x:c>
      <x:c r="N294" s="15" t="str">
        <x:v>https://prozorro.gov.ua/tender/UA-2026-04-30-011256-a</x:v>
      </x:c>
    </x:row>
    <x:row r="295">
      <x:c r="A295" s="14" t="n">
        <x:v>291</x:v>
      </x:c>
      <x:c r="B295" s="14" t="str">
        <x:v>Товариство з обмеженою відповідальністю «Ростдорстрой» (ТОВ «РДС»)</x:v>
      </x:c>
      <x:c r="C295" s="14" t="str">
        <x:v>33658865</x:v>
      </x:c>
      <x:c r="D295" s="14" t="str">
        <x:v>Підстанції / силові мережі</x:v>
      </x:c>
      <x:c r="E295" s="14" t="str">
        <x:v>Pilot now</x:v>
      </x:c>
      <x:c r="F295" s="14" t="str">
        <x:v>I2</x:v>
      </x:c>
      <x:c r="G295" s="14" t="n">
        <x:v>62</x:v>
      </x:c>
      <x:c r="H295" s="14" t="n">
        <x:v>1</x:v>
      </x:c>
      <x:c r="I295" s="14" t="n">
        <x:v>1</x:v>
      </x:c>
      <x:c r="J295" s="18" t="n">
        <x:v>499662076</x:v>
      </x:c>
      <x:c r="K295" s="19" t="n">
        <x:v>46202.419989560185</x:v>
      </x:c>
      <x:c r="L295" s="19" t="n">
        <x:v>46387</x:v>
      </x:c>
      <x:c r="M295" s="15" t="str">
        <x:v>Реконструкція електричної підстанції «Об’єкт», VI черга – Улаштування фізичного захисту АТ-2» (додатковий договір до договору про закупівлю робіт від 04.07.2023 № 100-02-23)</x:v>
      </x:c>
      <x:c r="N295" s="15" t="str">
        <x:v>https://prozorro.gov.ua/tender/UA-2026-06-29-005179-a</x:v>
      </x:c>
    </x:row>
    <x:row r="296">
      <x:c r="A296" s="14" t="n">
        <x:v>292</x:v>
      </x:c>
      <x:c r="B296" s="14" t="str">
        <x:v>ТОВАРИСТВО З ОБМЕЖЕНОЮ ВІДПОВІДАЛЬНІСТЮ ФІРМА "ЕНЕРГІЯ"
</x:v>
      </x:c>
      <x:c r="C296" s="14" t="str">
        <x:v>23059622</x:v>
      </x:c>
      <x:c r="D296" s="14" t="str">
        <x:v>Підстанції / силові мережі</x:v>
      </x:c>
      <x:c r="E296" s="14" t="str">
        <x:v>Pilot now</x:v>
      </x:c>
      <x:c r="F296" s="14" t="str">
        <x:v>I2</x:v>
      </x:c>
      <x:c r="G296" s="14" t="n">
        <x:v>62</x:v>
      </x:c>
      <x:c r="H296" s="14" t="n">
        <x:v>1</x:v>
      </x:c>
      <x:c r="I296" s="14" t="n">
        <x:v>1</x:v>
      </x:c>
      <x:c r="J296" s="18" t="n">
        <x:v>12870100.22</x:v>
      </x:c>
      <x:c r="K296" s="19" t="n">
        <x:v>46196.351273402775</x:v>
      </x:c>
      <x:c r="L296" s="19" t="n">
        <x:v>46387</x:v>
      </x:c>
      <x:c r="M296"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x:v>
      </x:c>
      <x:c r="N296" s="15" t="str">
        <x:v>https://prozorro.gov.ua/tender/UA-2026-06-04-014139-a</x:v>
      </x:c>
    </x:row>
    <x:row r="297">
      <x:c r="A297" s="14" t="n">
        <x:v>293</x:v>
      </x:c>
      <x:c r="B297" s="14" t="str">
        <x:v>ТОВАРИСТВО З ОБМЕЖЕНОЮ ВІДПОВІДАЛЬНІСТЮ "БК АЛЬТБУД"</x:v>
      </x:c>
      <x:c r="C297" s="14" t="str">
        <x:v>41112412</x:v>
      </x:c>
      <x:c r="D297" s="14" t="str">
        <x:v>Теплові пункти</x:v>
      </x:c>
      <x:c r="E297" s="14" t="str">
        <x:v>Expansion discovery</x:v>
      </x:c>
      <x:c r="F297" s="14" t="str">
        <x:v>I2</x:v>
      </x:c>
      <x:c r="G297" s="14" t="n">
        <x:v>62</x:v>
      </x:c>
      <x:c r="H297" s="14" t="n">
        <x:v>3</x:v>
      </x:c>
      <x:c r="I297" s="14" t="n">
        <x:v>0</x:v>
      </x:c>
      <x:c r="J297" s="18" t="n">
        <x:v>7896000</x:v>
      </x:c>
      <x:c r="K297" s="19" t="n">
        <x:v>45813.541943668984</x:v>
      </x:c>
      <x:c r="L297" s="19" t="n">
        <x:v>45931</x:v>
      </x:c>
      <x:c r="M297" s="15" t="str">
        <x:v>Реконструкція системи опалення і ГВП з влаштуванням індивідуального теплового пункту в житловому будинку за адресою: м. Львів вул. Ярошинської, 6 за ДК 021:2015 45454000-4 – Реконструкція</x:v>
      </x:c>
      <x:c r="N297" s="15" t="str">
        <x:v>https://prozorro.gov.ua/tender/UA-2025-05-09-010564-a</x:v>
      </x:c>
    </x:row>
    <x:row r="298">
      <x:c r="A298" s="14" t="n">
        <x:v>294</x:v>
      </x:c>
      <x:c r="B298" s="14" t="str">
        <x:v>Фізична особа-підприємець Панич Олександр Олександрович</x:v>
      </x:c>
      <x:c r="C298" s="14" t="str">
        <x:v>2514306479</x:v>
      </x:c>
      <x:c r="D298" s="14" t="str">
        <x:v>Фасади та скління</x:v>
      </x:c>
      <x:c r="E298" s="14" t="str">
        <x:v>Expansion discovery</x:v>
      </x:c>
      <x:c r="F298" s="14" t="str">
        <x:v>I2</x:v>
      </x:c>
      <x:c r="G298" s="14" t="n">
        <x:v>61</x:v>
      </x:c>
      <x:c r="H298" s="14" t="n">
        <x:v>2</x:v>
      </x:c>
      <x:c r="I298" s="14" t="n">
        <x:v>2</x:v>
      </x:c>
      <x:c r="J298" s="18" t="n">
        <x:v>828124</x:v>
      </x:c>
      <x:c r="K298" s="19" t="n">
        <x:v>46176.68069144676</x:v>
      </x:c>
      <x:c r="L298" s="19" t="n">
        <x:v>46387</x:v>
      </x:c>
      <x:c r="M298"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x:v>
      </x:c>
      <x:c r="N298" s="15" t="str">
        <x:v>https://prozorro.gov.ua/tender/UA-2026-06-03-014079-a</x:v>
      </x:c>
    </x:row>
    <x:row r="299">
      <x:c r="A299" s="14" t="n">
        <x:v>295</x:v>
      </x:c>
      <x:c r="B299" s="14" t="str">
        <x:v>ТОВАРИСТВО З ОБМЕЖЕНОЮ ВІДПОВІДАЛЬНІСТЮ "УКРАЇНСЬКА МІЖРЕГІОНАЛЬНА БУДІВЕЛЬНА ЕКСПЕРТИЗА"</x:v>
      </x:c>
      <x:c r="C299" s="14" t="str">
        <x:v>39330499</x:v>
      </x:c>
      <x:c r="D299" s="14" t="str">
        <x:v>Водоочищення / очисні споруди</x:v>
      </x:c>
      <x:c r="E299" s="14" t="str">
        <x:v>Expansion discovery</x:v>
      </x:c>
      <x:c r="F299" s="14" t="str">
        <x:v>I2</x:v>
      </x:c>
      <x:c r="G299" s="14" t="n">
        <x:v>61</x:v>
      </x:c>
      <x:c r="H299" s="14" t="n">
        <x:v>2</x:v>
      </x:c>
      <x:c r="I299" s="14" t="n">
        <x:v>1</x:v>
      </x:c>
      <x:c r="J299" s="18" t="n">
        <x:v>246427.23</x:v>
      </x:c>
      <x:c r="K299" s="19" t="n">
        <x:v>46251.394478125</x:v>
      </x:c>
      <x:c r="L299" s="19" t="n">
        <x:v>46270</x:v>
      </x:c>
      <x:c r="M299" s="15" t="str">
        <x:v>Проведення експертизи проекту: Реконструкція очисних споруд каналізації с. Біла Криниця Рівненського району, Рівненської області </x:v>
      </x:c>
      <x:c r="N299" s="15" t="str">
        <x:v>https://prozorro.gov.ua/tender/UA-2026-08-17-002380-a</x:v>
      </x:c>
    </x:row>
    <x:row r="300">
      <x:c r="A300" s="14" t="n">
        <x:v>296</x:v>
      </x:c>
      <x:c r="B300" s="14" t="str">
        <x:v>ТОВ "НВП УКРЕКСПЕРТПРОЕКТ"</x:v>
      </x:c>
      <x:c r="C300" s="14" t="str">
        <x:v>43697785</x:v>
      </x:c>
      <x:c r="D300" s="14" t="str">
        <x:v>Газові мережі</x:v>
      </x:c>
      <x:c r="E300" s="14" t="str">
        <x:v>Expansion discovery</x:v>
      </x:c>
      <x:c r="F300" s="14" t="str">
        <x:v>I2</x:v>
      </x:c>
      <x:c r="G300" s="14" t="n">
        <x:v>60</x:v>
      </x:c>
      <x:c r="H300" s="14" t="n">
        <x:v>3</x:v>
      </x:c>
      <x:c r="I300" s="14" t="n">
        <x:v>3</x:v>
      </x:c>
      <x:c r="J300" s="18" t="n">
        <x:v>6796599</x:v>
      </x:c>
      <x:c r="K300" s="19" t="n">
        <x:v>46121.242313807874</x:v>
      </x:c>
      <x:c r="L300" s="19" t="n">
        <x:v>46559</x:v>
      </x:c>
      <x:c r="M300"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(Стадії «Проект» та «Робоча документація») (Будівельні роботи та поточний ремонт)</x:v>
      </x:c>
      <x:c r="N300" s="15" t="str">
        <x:v>https://prozorro.gov.ua/tender/UA-2026-03-18-006041-a</x:v>
      </x:c>
    </x:row>
    <x:row r="301">
      <x:c r="A301" s="14" t="n">
        <x:v>297</x:v>
      </x:c>
      <x:c r="B301" s="14" t="str">
        <x:v>ГАЦУЛЯ ВОЛОДИМИР ОЛЕКСІЙОВИЧ</x:v>
      </x:c>
      <x:c r="C301" s="14" t="str">
        <x:v>2852217952</x:v>
      </x:c>
      <x:c r="D301" s="14" t="str">
        <x:v>Промислова електрика / ПНР</x:v>
      </x:c>
      <x:c r="E301" s="14" t="str">
        <x:v>Pilot now</x:v>
      </x:c>
      <x:c r="F301" s="14" t="str">
        <x:v>I2</x:v>
      </x:c>
      <x:c r="G301" s="14" t="n">
        <x:v>60</x:v>
      </x:c>
      <x:c r="H301" s="14" t="n">
        <x:v>2</x:v>
      </x:c>
      <x:c r="I301" s="14" t="n">
        <x:v>2</x:v>
      </x:c>
      <x:c r="J301" s="18" t="n">
        <x:v>125580</x:v>
      </x:c>
      <x:c r="K301" s="19" t="n">
        <x:v>46146.58856592593</x:v>
      </x:c>
      <x:c r="L301" s="19" t="n">
        <x:v>46387</x:v>
      </x:c>
      <x:c r="M301" s="15" t="str">
        <x:v>Організація електромонтажних робіт по встановленню гібридного інвертора, налаштування та пусконалагоджувальні роботи обладнання. Організація електромонтажних робіт по встановленню сонячних панелей. Організація електромонтажних робіт по встановленню акумуляторної батереї, налаштування та пусконалаголжувальні роботи обладнання. Пусконалагоджувальні роботи СЕС.</x:v>
      </x:c>
      <x:c r="N301" s="15" t="str">
        <x:v>https://prozorro.gov.ua/tender/UA-2026-05-04-012832-a</x:v>
      </x:c>
    </x:row>
    <x:row r="302">
      <x:c r="A302" s="14" t="n">
        <x:v>298</x:v>
      </x:c>
      <x:c r="B302" s="14" t="str">
        <x:v>ПОЛТАВСЬКЕ ОБЛАСНЕ СПЕЦІАЛІЗОВАНЕ РЕМОНТНО-БУДІВЕЛЬНЕ ПІДПРИЄМСТВО ПРОТИПОЖЕЖНИХ РОБІТ ДОБРОВІЛЬНОГО ПОЖЕЖНОГО ТОВАРИСТВА УКРАЇНИ</x:v>
      </x:c>
      <x:c r="C302" s="14" t="str">
        <x:v>00183087</x:v>
      </x:c>
      <x:c r="D302" s="14" t="str">
        <x:v>Пасивний вогнезахист</x:v>
      </x:c>
      <x:c r="E302" s="14" t="str">
        <x:v>Expansion discovery</x:v>
      </x:c>
      <x:c r="F302" s="14" t="str">
        <x:v>I2</x:v>
      </x:c>
      <x:c r="G302" s="14" t="n">
        <x:v>60</x:v>
      </x:c>
      <x:c r="H302" s="14" t="n">
        <x:v>2</x:v>
      </x:c>
      <x:c r="I302" s="14" t="n">
        <x:v>2</x:v>
      </x:c>
      <x:c r="J302" s="18" t="n">
        <x:v>136260</x:v>
      </x:c>
      <x:c r="K302" s="19" t="n">
        <x:v>46185.37672460648</x:v>
      </x:c>
      <x:c r="L302" s="19" t="n">
        <x:v>46387</x:v>
      </x:c>
      <x:c r="M302" s="15" t="str">
        <x:v>Послуги з вогнезахисної обробки дерев’яних конструкцій даху будівлі</x:v>
      </x:c>
      <x:c r="N302" s="15" t="str">
        <x:v>https://prozorro.gov.ua/tender/UA-2026-06-12-005338-a</x:v>
      </x:c>
    </x:row>
    <x:row r="303">
      <x:c r="A303" s="14" t="n">
        <x:v>299</x:v>
      </x:c>
      <x:c r="B303" s="14" t="str">
        <x:v>ПРИВАТНЕ ПІДПРИЄМСТВО "ЄВРОПОЖЕЖСЕРВІС"</x:v>
      </x:c>
      <x:c r="C303" s="14" t="str">
        <x:v>40672967</x:v>
      </x:c>
      <x:c r="D303" s="14" t="str">
        <x:v>Пожежогасіння</x:v>
      </x:c>
      <x:c r="E303" s="14" t="str">
        <x:v>Expansion discovery</x:v>
      </x:c>
      <x:c r="F303" s="14" t="str">
        <x:v>I2</x:v>
      </x:c>
      <x:c r="G303" s="14" t="n">
        <x:v>60</x:v>
      </x:c>
      <x:c r="H303" s="14" t="n">
        <x:v>2</x:v>
      </x:c>
      <x:c r="I303" s="14" t="n">
        <x:v>2</x:v>
      </x:c>
      <x:c r="J303" s="18" t="n">
        <x:v>112461.78</x:v>
      </x:c>
      <x:c r="K303" s="19" t="n">
        <x:v>46198.715830706016</x:v>
      </x:c>
      <x:c r="L303" s="19" t="n">
        <x:v>46265</x:v>
      </x:c>
      <x:c r="M303"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x:v>
      </x:c>
      <x:c r="N303" s="15" t="str">
        <x:v>https://prozorro.gov.ua/tender/UA-2026-06-25-013319-a</x:v>
      </x:c>
    </x:row>
    <x:row r="304">
      <x:c r="A304" s="14" t="n">
        <x:v>300</x:v>
      </x:c>
      <x:c r="B304" s="14" t="str">
        <x:v>ПРИВАТНЕ ПІДПРИЄМСТВО "УКРПОЖБУД"</x:v>
      </x:c>
      <x:c r="C304" s="14" t="str">
        <x:v>45613529</x:v>
      </x:c>
      <x:c r="D304" s="14" t="str">
        <x:v>Пасивний вогнезахист</x:v>
      </x:c>
      <x:c r="E304" s="14" t="str">
        <x:v>Expansion discovery</x:v>
      </x:c>
      <x:c r="F304" s="14" t="str">
        <x:v>I2</x:v>
      </x:c>
      <x:c r="G304" s="14" t="n">
        <x:v>60</x:v>
      </x:c>
      <x:c r="H304" s="14" t="n">
        <x:v>3</x:v>
      </x:c>
      <x:c r="I304" s="14" t="n">
        <x:v>2</x:v>
      </x:c>
      <x:c r="J304" s="18" t="n">
        <x:v>315610.93</x:v>
      </x:c>
      <x:c r="K304" s="19" t="n">
        <x:v>46167.34834642361</x:v>
      </x:c>
      <x:c r="L304" s="19" t="n">
        <x:v>46218</x:v>
      </x:c>
      <x:c r="M304" s="15" t="str">
        <x:v>Роботи капітального ремонту - монтажу системи блискавкозахисту в будівлі Чернівецького ліцею № 6 ім.О.Доброго Чернівецької міської ради за адресою: м.Чернівці, вул.А.Шептицького, 19</x:v>
      </x:c>
      <x:c r="N304" s="15" t="str">
        <x:v>https://prozorro.gov.ua/tender/UA-2026-05-25-003789-a</x:v>
      </x:c>
    </x:row>
    <x:row r="305">
      <x:c r="A305" s="14" t="n">
        <x:v>301</x:v>
      </x:c>
      <x:c r="B305" s="14" t="str">
        <x:v>ПРИВАТНЕ ПІДПРИЄМСТВО "УКРСЕРВІСПРОЕКТ"</x:v>
      </x:c>
      <x:c r="C305" s="14" t="str">
        <x:v>36514593</x:v>
      </x:c>
      <x:c r="D305" s="14" t="str">
        <x:v>Водоочищення / очисні споруди</x:v>
      </x:c>
      <x:c r="E305" s="14" t="str">
        <x:v>Expansion discovery</x:v>
      </x:c>
      <x:c r="F305" s="14" t="str">
        <x:v>I2</x:v>
      </x:c>
      <x:c r="G305" s="14" t="n">
        <x:v>60</x:v>
      </x:c>
      <x:c r="H305" s="14" t="n">
        <x:v>2</x:v>
      </x:c>
      <x:c r="I305" s="14" t="n">
        <x:v>2</x:v>
      </x:c>
      <x:c r="J305" s="18" t="n">
        <x:v>2248150</x:v>
      </x:c>
      <x:c r="K305" s="19" t="n">
        <x:v>46213.343498090275</x:v>
      </x:c>
      <x:c r="L305" s="19" t="n">
        <x:v>46447</x:v>
      </x:c>
      <x:c r="M305" s="15" t="str">
        <x:v>ДК 021:2015- 71320000– 7  Послуги  з  розробки проєктно — кошторисної документації  а  саме «Реконструкція напірного каналізаційного колектору вздовж вулиць Троїцької, Баштанської та Геннадія Матуляка від насосної станції каналізації №5 (НСК 5) по вул. Троїцькій, 63/1 до камери гасіння на проспекті Миру в м. Миколаєві»</x:v>
      </x:c>
      <x:c r="N305" s="15" t="str">
        <x:v>https://prozorro.gov.ua/tender/UA-2026-06-22-006958-a</x:v>
      </x:c>
    </x:row>
    <x:row r="306">
      <x:c r="A306" s="14" t="n">
        <x:v>302</x:v>
      </x:c>
      <x:c r="B306" s="14" t="str">
        <x:v>ТОВ «ПАН ЮКРЕЙН БІЛДІНГ»</x:v>
      </x:c>
      <x:c r="C306" s="14" t="str">
        <x:v>44660473</x:v>
      </x:c>
      <x:c r="D306" s="14" t="str">
        <x:v>Зовнішнє освітлення</x:v>
      </x:c>
      <x:c r="E306" s="14" t="str">
        <x:v>Pilot now</x:v>
      </x:c>
      <x:c r="F306" s="14" t="str">
        <x:v>I2</x:v>
      </x:c>
      <x:c r="G306" s="14" t="n">
        <x:v>60</x:v>
      </x:c>
      <x:c r="H306" s="14" t="n">
        <x:v>2</x:v>
      </x:c>
      <x:c r="I306" s="14" t="n">
        <x:v>2</x:v>
      </x:c>
      <x:c r="J306" s="18" t="n">
        <x:v>2780033.36</x:v>
      </x:c>
      <x:c r="K306" s="19" t="n">
        <x:v>46127.51432056713</x:v>
      </x:c>
      <x:c r="L306" s="19" t="n">
        <x:v>46387.556076388886</x:v>
      </x:c>
      <x:c r="M306"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x:v>
      </x:c>
      <x:c r="N306" s="15" t="str">
        <x:v>https://prozorro.gov.ua/tender/UA-2026-04-15-009576-a</x:v>
      </x:c>
    </x:row>
    <x:row r="307">
      <x:c r="A307" s="14" t="n">
        <x:v>303</x:v>
      </x:c>
      <x:c r="B307" s="14" t="str">
        <x:v>ТОВАРИСТВО З ОБМЕЖЕНОЮ ВІДПОВІДАЛЬНІСТЮ "БЕЗПЕКА-ІФ"</x:v>
      </x:c>
      <x:c r="C307" s="14" t="str">
        <x:v>37262401</x:v>
      </x:c>
      <x:c r="D307" s="14" t="str">
        <x:v>Безпека / СКУД / CCTV</x:v>
      </x:c>
      <x:c r="E307" s="14" t="str">
        <x:v>Expansion discovery</x:v>
      </x:c>
      <x:c r="F307" s="14" t="str">
        <x:v>I2</x:v>
      </x:c>
      <x:c r="G307" s="14" t="n">
        <x:v>60</x:v>
      </x:c>
      <x:c r="H307" s="14" t="n">
        <x:v>2</x:v>
      </x:c>
      <x:c r="I307" s="14" t="n">
        <x:v>2</x:v>
      </x:c>
      <x:c r="J307" s="18" t="n">
        <x:v>180848.18</x:v>
      </x:c>
      <x:c r="K307" s="19" t="n">
        <x:v>46141.50274150463</x:v>
      </x:c>
      <x:c r="L307" s="19" t="n">
        <x:v>46387</x:v>
      </x:c>
      <x:c r="M307" s="15" t="str">
        <x:v>Послуги з монтажу та налаштування системи контролю доступу КНП "Дитяча лікарня Надвірнянського району" м. Надвірна, вул. Небесної Сотні, 24а</x:v>
      </x:c>
      <x:c r="N307" s="15" t="str">
        <x:v>https://prozorro.gov.ua/tender/UA-2026-04-29-008735-a</x:v>
      </x:c>
    </x:row>
    <x:row r="308">
      <x:c r="A308" s="14" t="n">
        <x:v>304</x:v>
      </x:c>
      <x:c r="B308" s="14" t="str">
        <x:v>ТОВАРИСТВО З ОБМЕЖЕНОЮ ВІДПОВІДАЛЬНІСТЮ "БК НД-ГРУП"</x:v>
      </x:c>
      <x:c r="C308" s="14" t="str">
        <x:v>40392710</x:v>
      </x:c>
      <x:c r="D308" s="14" t="str">
        <x:v>Мости / інфраструктура</x:v>
      </x:c>
      <x:c r="E308" s="14" t="str">
        <x:v>Expansion discovery</x:v>
      </x:c>
      <x:c r="F308" s="14" t="str">
        <x:v>I2</x:v>
      </x:c>
      <x:c r="G308" s="14" t="n">
        <x:v>60</x:v>
      </x:c>
      <x:c r="H308" s="14" t="n">
        <x:v>2</x:v>
      </x:c>
      <x:c r="I308" s="14" t="n">
        <x:v>2</x:v>
      </x:c>
      <x:c r="J308" s="18" t="n">
        <x:v>279159.23</x:v>
      </x:c>
      <x:c r="K308" s="19" t="n">
        <x:v>46143.35628107639</x:v>
      </x:c>
      <x:c r="L308" s="19" t="n">
        <x:v>46387</x:v>
      </x:c>
      <x:c r="M308" s="15" t="str">
        <x:v>поточнй ремонт підїзду до мосту через річку Бучанка в м. Ірпінь</x:v>
      </x:c>
      <x:c r="N308" s="15" t="str">
        <x:v>https://prozorro.gov.ua/tender/UA-2026-05-01-004394-a</x:v>
      </x:c>
    </x:row>
    <x:row r="309">
      <x:c r="A309" s="14" t="n">
        <x:v>305</x:v>
      </x:c>
      <x:c r="B309" s="14" t="str">
        <x:v>ТОВАРИСТВО З ОБМЕЖЕНОЮ ВІДПОВІДАЛЬНІСТЮ "БУДЛАЙТ ДНІПРО"</x:v>
      </x:c>
      <x:c r="C309" s="14" t="str">
        <x:v>45738702</x:v>
      </x:c>
      <x:c r="D309" s="14" t="str">
        <x:v>Фасади та скління</x:v>
      </x:c>
      <x:c r="E309" s="14" t="str">
        <x:v>Expansion discovery</x:v>
      </x:c>
      <x:c r="F309" s="14" t="str">
        <x:v>I2</x:v>
      </x:c>
      <x:c r="G309" s="14" t="n">
        <x:v>60</x:v>
      </x:c>
      <x:c r="H309" s="14" t="n">
        <x:v>2</x:v>
      </x:c>
      <x:c r="I309" s="14" t="n">
        <x:v>2</x:v>
      </x:c>
      <x:c r="J309" s="18" t="n">
        <x:v>191172</x:v>
      </x:c>
      <x:c r="K309" s="19" t="n">
        <x:v>46198.48100581019</x:v>
      </x:c>
      <x:c r="L309" s="19" t="n">
        <x:v>46387</x:v>
      </x:c>
      <x:c r="M309"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x:v>
      </x:c>
      <x:c r="N309" s="15" t="str">
        <x:v>https://prozorro.gov.ua/tender/UA-2026-06-25-008189-a</x:v>
      </x:c>
    </x:row>
    <x:row r="310">
      <x:c r="A310" s="14" t="n">
        <x:v>306</x:v>
      </x:c>
      <x:c r="B310" s="14" t="str">
        <x:v>ТОВАРИСТВО З ОБМЕЖЕНОЮ ВІДПОВІДАЛЬНІСТЮ "ІНТЕРЗАХИСТ-УКРАЇНА"</x:v>
      </x:c>
      <x:c r="C310" s="14" t="str">
        <x:v>42259081</x:v>
      </x:c>
      <x:c r="D310" s="14" t="str">
        <x:v>Пасивний вогнезахист</x:v>
      </x:c>
      <x:c r="E310" s="14" t="str">
        <x:v>Expansion discovery</x:v>
      </x:c>
      <x:c r="F310" s="14" t="str">
        <x:v>I2</x:v>
      </x:c>
      <x:c r="G310" s="14" t="n">
        <x:v>60</x:v>
      </x:c>
      <x:c r="H310" s="14" t="n">
        <x:v>2</x:v>
      </x:c>
      <x:c r="I310" s="14" t="n">
        <x:v>2</x:v>
      </x:c>
      <x:c r="J310" s="18" t="n">
        <x:v>165012.2</x:v>
      </x:c>
      <x:c r="K310" s="19" t="n">
        <x:v>46209.38064425926</x:v>
      </x:c>
      <x:c r="L310" s="19" t="n">
        <x:v>46387</x:v>
      </x:c>
      <x:c r="M310" s="15" t="str">
        <x:v>Послуги з просочування деревини. 
Вогнезахисна обробка дерев'яних конструкцій горища будівлі Кременчуцької гімназії № 2</x:v>
      </x:c>
      <x:c r="N310" s="15" t="str">
        <x:v>https://prozorro.gov.ua/tender/UA-2026-07-06-003896-a</x:v>
      </x:c>
    </x:row>
    <x:row r="311">
      <x:c r="A311" s="14" t="n">
        <x:v>307</x:v>
      </x:c>
      <x:c r="B311" s="14" t="str">
        <x:v>ТОВАРИСТВО З ОБМЕЖЕНОЮ ВІДПОВІДАЛЬНІСТЮ "ТРЕЙДІНГ АССОШІЕЙШН АІМДЖИ"</x:v>
      </x:c>
      <x:c r="C311" s="14" t="str">
        <x:v>39839464</x:v>
      </x:c>
      <x:c r="D311" s="14" t="str">
        <x:v>Зовнішні мережі</x:v>
      </x:c>
      <x:c r="E311" s="14" t="str">
        <x:v>Expansion discovery</x:v>
      </x:c>
      <x:c r="F311" s="14" t="str">
        <x:v>I2</x:v>
      </x:c>
      <x:c r="G311" s="14" t="n">
        <x:v>60</x:v>
      </x:c>
      <x:c r="H311" s="14" t="n">
        <x:v>2</x:v>
      </x:c>
      <x:c r="I311" s="14" t="n">
        <x:v>2</x:v>
      </x:c>
      <x:c r="J311" s="18" t="n">
        <x:v>174440</x:v>
      </x:c>
      <x:c r="K311" s="19" t="n">
        <x:v>46190.44083119213</x:v>
      </x:c>
      <x:c r="L311" s="19" t="n">
        <x:v>46746</x:v>
      </x:c>
      <x:c r="M311"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x:v>
      </x:c>
      <x:c r="N311" s="15" t="str">
        <x:v>https://prozorro.gov.ua/tender/UA-2026-06-17-007129-a</x:v>
      </x:c>
    </x:row>
    <x:row r="312">
      <x:c r="A312" s="14" t="n">
        <x:v>308</x:v>
      </x:c>
      <x:c r="B312" s="14" t="str">
        <x:v>АКЦІОНЕРНЕ ТОВАРИСТВО "ДТЕК ДНІПРОВСЬКІ ЕЛЕКТРОМЕРЕЖІ"</x:v>
      </x:c>
      <x:c r="C312" s="14" t="str">
        <x:v>23359034</x:v>
      </x:c>
      <x:c r="D312" s="14" t="str">
        <x:v>Електромонтаж</x:v>
      </x:c>
      <x:c r="E312" s="14" t="str">
        <x:v>Pilot now</x:v>
      </x:c>
      <x:c r="F312" s="14" t="str">
        <x:v>I2</x:v>
      </x:c>
      <x:c r="G312" s="14" t="n">
        <x:v>60</x:v>
      </x:c>
      <x:c r="H312" s="14" t="n">
        <x:v>1</x:v>
      </x:c>
      <x:c r="I312" s="14" t="n">
        <x:v>1</x:v>
      </x:c>
      <x:c r="J312" s="18" t="n">
        <x:v>1434614.4</x:v>
      </x:c>
      <x:c r="K312" s="19" t="n">
        <x:v>46248.52846707176</x:v>
      </x:c>
      <x:c r="L312" s="19" t="n">
        <x:v>46611</x:v>
      </x:c>
      <x:c r="M312" s="15" t="str">
        <x:v>ДК 021:2015: 45310000-3 Електромонтажні роботи</x:v>
      </x:c>
      <x:c r="N312" s="15" t="str">
        <x:v>https://prozorro.gov.ua/tender/UA-2026-08-14-009806-a</x:v>
      </x:c>
    </x:row>
    <x:row r="313">
      <x:c r="A313" s="14" t="n">
        <x:v>309</x:v>
      </x:c>
      <x:c r="B313" s="14" t="str">
        <x:v>ГОРОДЕНКІВСЬКЕ ТОВАРИСТВО З ОБМЕЖЕНОЮ ВІДПОВІДАЛЬНІСТЮ "ШЛЯХОВИК"</x:v>
      </x:c>
      <x:c r="C313" s="14" t="str">
        <x:v>03578136</x:v>
      </x:c>
      <x:c r="D313" s="14" t="str">
        <x:v>Дорожні роботи</x:v>
      </x:c>
      <x:c r="E313" s="14" t="str">
        <x:v>Expansion discovery</x:v>
      </x:c>
      <x:c r="F313" s="14" t="str">
        <x:v>I2</x:v>
      </x:c>
      <x:c r="G313" s="14" t="n">
        <x:v>60</x:v>
      </x:c>
      <x:c r="H313" s="14" t="n">
        <x:v>1</x:v>
      </x:c>
      <x:c r="I313" s="14" t="n">
        <x:v>1</x:v>
      </x:c>
      <x:c r="J313" s="18" t="n">
        <x:v>973359.6</x:v>
      </x:c>
      <x:c r="K313" s="19" t="n">
        <x:v>46220.45236708334</x:v>
      </x:c>
      <x:c r="L313" s="19" t="n">
        <x:v>46387</x:v>
      </x:c>
      <x:c r="M313" s="15" t="str">
        <x:v>Капітальний ремонт дорожнього покриття вул.М.Грушевського в с. Далешове Коломийського району Івано-Франківської області</x:v>
      </x:c>
      <x:c r="N313" s="15" t="str">
        <x:v>https://prozorro.gov.ua/tender/UA-2026-07-17-006414-a</x:v>
      </x:c>
    </x:row>
    <x:row r="314">
      <x:c r="A314" s="14" t="n">
        <x:v>310</x:v>
      </x:c>
      <x:c r="B314" s="14" t="str">
        <x:v>ДУБРАВСЬКИЙ ВАЛЕНТИН АНАТОЛІЙОВИЧ</x:v>
      </x:c>
      <x:c r="C314" s="14" t="str">
        <x:v>3361907536</x:v>
      </x:c>
      <x:c r="D314" s="14" t="str">
        <x:v>Сонячна енергетика</x:v>
      </x:c>
      <x:c r="E314" s="14" t="str">
        <x:v>Pilot now</x:v>
      </x:c>
      <x:c r="F314" s="14" t="str">
        <x:v>I2</x:v>
      </x:c>
      <x:c r="G314" s="14" t="n">
        <x:v>60</x:v>
      </x:c>
      <x:c r="H314" s="14" t="n">
        <x:v>1</x:v>
      </x:c>
      <x:c r="I314" s="14" t="n">
        <x:v>1</x:v>
      </x:c>
      <x:c r="J314" s="18" t="n">
        <x:v>1485000</x:v>
      </x:c>
      <x:c r="K314" s="19" t="n">
        <x:v>46219.55705820602</x:v>
      </x:c>
      <x:c r="L314" s="19" t="n">
        <x:v>46387</x:v>
      </x:c>
      <x:c r="M314" s="15" t="str">
        <x:v>Нове будівництво гібридної сонячної електростанції, для забезпечення потреб будівлі головного корпусу лікарні (літ. А-3) Комунального некомерційного підприємства "Острожецька районна лікарня" Острожецької сільської ради за адресою: Рівненська область, Дубенський район, с. Острожець, вул. Каштанова, 3</x:v>
      </x:c>
      <x:c r="N314" s="15" t="str">
        <x:v>https://prozorro.gov.ua/tender/UA-2026-07-16-008938-a</x:v>
      </x:c>
    </x:row>
    <x:row r="315">
      <x:c r="A315" s="14" t="n">
        <x:v>311</x:v>
      </x:c>
      <x:c r="B315" s="14" t="str">
        <x:v>Мале підприємство «Каскад»</x:v>
      </x:c>
      <x:c r="C315" s="14" t="str">
        <x:v>06953617</x:v>
      </x:c>
      <x:c r="D315" s="14" t="str">
        <x:v>Дорожні роботи</x:v>
      </x:c>
      <x:c r="E315" s="14" t="str">
        <x:v>Expansion discovery</x:v>
      </x:c>
      <x:c r="F315" s="14" t="str">
        <x:v>I2</x:v>
      </x:c>
      <x:c r="G315" s="14" t="n">
        <x:v>60</x:v>
      </x:c>
      <x:c r="H315" s="14" t="n">
        <x:v>1</x:v>
      </x:c>
      <x:c r="I315" s="14" t="n">
        <x:v>1</x:v>
      </x:c>
      <x:c r="J315" s="18" t="n">
        <x:v>1498803.38</x:v>
      </x:c>
      <x:c r="K315" s="19" t="n">
        <x:v>46253.499517118056</x:v>
      </x:c>
      <x:c r="L315" s="19" t="n">
        <x:v>46387.54146990741</x:v>
      </x:c>
      <x:c r="M315" s="15" t="str">
        <x:v>Капітальний ремонт твердого дорожнього покриття на території Східного РЕМ ПрАТ «Львівобленерго» в м. Броди</x:v>
      </x:c>
      <x:c r="N315" s="15" t="str">
        <x:v>https://prozorro.gov.ua/tender/UA-2026-08-19-008944-a</x:v>
      </x:c>
    </x:row>
    <x:row r="316">
      <x:c r="A316" s="14" t="n">
        <x:v>312</x:v>
      </x:c>
      <x:c r="B316" s="14" t="str">
        <x:v>Науково-виробнича приватна фірма "Альба-сек'юріті"</x:v>
      </x:c>
      <x:c r="C316" s="14" t="str">
        <x:v>30698638</x:v>
      </x:c>
      <x:c r="D316" s="14" t="str">
        <x:v>Пожежогасіння</x:v>
      </x:c>
      <x:c r="E316" s="14" t="str">
        <x:v>Expansion discovery</x:v>
      </x:c>
      <x:c r="F316" s="14" t="str">
        <x:v>I2</x:v>
      </x:c>
      <x:c r="G316" s="14" t="n">
        <x:v>60</x:v>
      </x:c>
      <x:c r="H316" s="14" t="n">
        <x:v>1</x:v>
      </x:c>
      <x:c r="I316" s="14" t="n">
        <x:v>1</x:v>
      </x:c>
      <x:c r="J316" s="18" t="n">
        <x:v>1327585</x:v>
      </x:c>
      <x:c r="K316" s="19" t="n">
        <x:v>46233.70918571759</x:v>
      </x:c>
      <x:c r="L316" s="19" t="n">
        <x:v>46325.56681712963</x:v>
      </x:c>
      <x:c r="M316"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x:v>
      </x:c>
      <x:c r="N316" s="15" t="str">
        <x:v>https://prozorro.gov.ua/tender/UA-2026-07-08-008856-a</x:v>
      </x:c>
    </x:row>
    <x:row r="317">
      <x:c r="A317" s="14" t="n">
        <x:v>313</x:v>
      </x:c>
      <x:c r="B317" s="14" t="str">
        <x:v>Приватне підприємство "Канів-граніт"</x:v>
      </x:c>
      <x:c r="C317" s="14" t="str">
        <x:v>14207791</x:v>
      </x:c>
      <x:c r="D317" s="14" t="str">
        <x:v>Дорожні роботи</x:v>
      </x:c>
      <x:c r="E317" s="14" t="str">
        <x:v>Expansion discovery</x:v>
      </x:c>
      <x:c r="F317" s="14" t="str">
        <x:v>I2</x:v>
      </x:c>
      <x:c r="G317" s="14" t="n">
        <x:v>60</x:v>
      </x:c>
      <x:c r="H317" s="14" t="n">
        <x:v>1</x:v>
      </x:c>
      <x:c r="I317" s="14" t="n">
        <x:v>1</x:v>
      </x:c>
      <x:c r="J317" s="18" t="n">
        <x:v>666544.8</x:v>
      </x:c>
      <x:c r="K317" s="19" t="n">
        <x:v>46223.543688854166</x:v>
      </x:c>
      <x:c r="L317" s="19" t="n">
        <x:v>46387</x:v>
      </x:c>
      <x:c r="M317" s="15" t="str">
        <x:v>Капітальний ремонт дорожнього покриття по вул.Садова с.Гельмязів Золотоніського району Черкаської області</x:v>
      </x:c>
      <x:c r="N317" s="15" t="str">
        <x:v>https://prozorro.gov.ua/tender/UA-2026-07-20-009003-a</x:v>
      </x:c>
    </x:row>
    <x:row r="318">
      <x:c r="A318" s="14" t="n">
        <x:v>314</x:v>
      </x:c>
      <x:c r="B318" s="14" t="str">
        <x:v>ТзОВ "ІДАС"</x:v>
      </x:c>
      <x:c r="C318" s="14" t="str">
        <x:v>35676561</x:v>
      </x:c>
      <x:c r="D318" s="14" t="str">
        <x:v>Водоочищення / очисні споруди</x:v>
      </x:c>
      <x:c r="E318" s="14" t="str">
        <x:v>Expansion discovery</x:v>
      </x:c>
      <x:c r="F318" s="14" t="str">
        <x:v>I2</x:v>
      </x:c>
      <x:c r="G318" s="14" t="n">
        <x:v>60</x:v>
      </x:c>
      <x:c r="H318" s="14" t="n">
        <x:v>2</x:v>
      </x:c>
      <x:c r="I318" s="14" t="n">
        <x:v>1</x:v>
      </x:c>
      <x:c r="J318" s="18" t="n">
        <x:v>5055836</x:v>
      </x:c>
      <x:c r="K318" s="19" t="n">
        <x:v>46086.3936946875</x:v>
      </x:c>
      <x:c r="L318" s="19" t="n">
        <x:v>46387.380844907406</x:v>
      </x:c>
      <x:c r="M318"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318" s="15" t="str">
        <x:v>https://prozorro.gov.ua/tender/UA-2026-03-05-003979-a</x:v>
      </x:c>
    </x:row>
    <x:row r="319">
      <x:c r="A319" s="14" t="n">
        <x:v>315</x:v>
      </x:c>
      <x:c r="B319" s="14" t="str">
        <x:v>ТОВ "ВОЛЬТАЖ ГРУП"</x:v>
      </x:c>
      <x:c r="C319" s="14" t="str">
        <x:v>36685404</x:v>
      </x:c>
      <x:c r="D319" s="14" t="str">
        <x:v>Підстанції / силові мережі</x:v>
      </x:c>
      <x:c r="E319" s="14" t="str">
        <x:v>Pilot now</x:v>
      </x:c>
      <x:c r="F319" s="14" t="str">
        <x:v>I2</x:v>
      </x:c>
      <x:c r="G319" s="14" t="n">
        <x:v>60</x:v>
      </x:c>
      <x:c r="H319" s="14" t="n">
        <x:v>1</x:v>
      </x:c>
      <x:c r="I319" s="14" t="n">
        <x:v>1</x:v>
      </x:c>
      <x:c r="J319" s="18" t="n">
        <x:v>1888285</x:v>
      </x:c>
      <x:c r="K319" s="19" t="n">
        <x:v>46237.37735952546</x:v>
      </x:c>
      <x:c r="L319" s="19" t="n">
        <x:v>46387</x:v>
      </x:c>
      <x:c r="M319"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x:v>
      </x:c>
      <x:c r="N319" s="15" t="str">
        <x:v>https://prozorro.gov.ua/tender/UA-2026-07-13-001954-a</x:v>
      </x:c>
    </x:row>
    <x:row r="320">
      <x:c r="A320" s="14" t="n">
        <x:v>316</x:v>
      </x:c>
      <x:c r="B320" s="14" t="str">
        <x:v>ТОВ "Дорбуд-11"</x:v>
      </x:c>
      <x:c r="C320" s="14" t="str">
        <x:v>41272096</x:v>
      </x:c>
      <x:c r="D320" s="14" t="str">
        <x:v>Дорожні роботи</x:v>
      </x:c>
      <x:c r="E320" s="14" t="str">
        <x:v>Expansion discovery</x:v>
      </x:c>
      <x:c r="F320" s="14" t="str">
        <x:v>I2</x:v>
      </x:c>
      <x:c r="G320" s="14" t="n">
        <x:v>60</x:v>
      </x:c>
      <x:c r="H320" s="14" t="n">
        <x:v>1</x:v>
      </x:c>
      <x:c r="I320" s="14" t="n">
        <x:v>1</x:v>
      </x:c>
      <x:c r="J320" s="18" t="n">
        <x:v>677557.34</x:v>
      </x:c>
      <x:c r="K320" s="19" t="n">
        <x:v>46233.55473364583</x:v>
      </x:c>
      <x:c r="L320" s="19" t="n">
        <x:v>46507.557280092595</x:v>
      </x:c>
      <x:c r="M320" s="15" t="str">
        <x:v>Капітальний ремонт дорожнього покриття частини вул. Прорізна в с. Святопетрівське Бучанського району Київської області</x:v>
      </x:c>
      <x:c r="N320" s="15" t="str">
        <x:v>https://prozorro.gov.ua/tender/UA-2026-07-30-009221-a</x:v>
      </x:c>
    </x:row>
    <x:row r="321">
      <x:c r="A321" s="14" t="n">
        <x:v>317</x:v>
      </x:c>
      <x:c r="B321" s="14" t="str">
        <x:v>ТОВ "Інагротранс"</x:v>
      </x:c>
      <x:c r="C321" s="14" t="str">
        <x:v>31143004</x:v>
      </x:c>
      <x:c r="D321" s="14" t="str">
        <x:v>Теплові мережі</x:v>
      </x:c>
      <x:c r="E321" s="14" t="str">
        <x:v>Expansion discovery</x:v>
      </x:c>
      <x:c r="F321" s="14" t="str">
        <x:v>I2</x:v>
      </x:c>
      <x:c r="G321" s="14" t="n">
        <x:v>60</x:v>
      </x:c>
      <x:c r="H321" s="14" t="n">
        <x:v>1</x:v>
      </x:c>
      <x:c r="I321" s="14" t="n">
        <x:v>1</x:v>
      </x:c>
      <x:c r="J321" s="18" t="n">
        <x:v>581064</x:v>
      </x:c>
      <x:c r="K321" s="19" t="n">
        <x:v>46252.53838293981</x:v>
      </x:c>
      <x:c r="L321" s="19" t="n">
        <x:v>46387.61451388889</x:v>
      </x:c>
      <x:c r="M321"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x:v>
      </x:c>
      <x:c r="N321" s="15" t="str">
        <x:v>https://prozorro.gov.ua/tender/UA-2026-08-08-000508-a</x:v>
      </x:c>
    </x:row>
    <x:row r="322">
      <x:c r="A322" s="14" t="n">
        <x:v>318</x:v>
      </x:c>
      <x:c r="B322" s="14" t="str">
        <x:v>ТОВ "КРАЇНА БУДСЕРВІС"</x:v>
      </x:c>
      <x:c r="C322" s="14" t="str">
        <x:v>42141004</x:v>
      </x:c>
      <x:c r="D322" s="14" t="str">
        <x:v>Фасади та скління</x:v>
      </x:c>
      <x:c r="E322" s="14" t="str">
        <x:v>Expansion discovery</x:v>
      </x:c>
      <x:c r="F322" s="14" t="str">
        <x:v>I2</x:v>
      </x:c>
      <x:c r="G322" s="14" t="n">
        <x:v>60</x:v>
      </x:c>
      <x:c r="H322" s="14" t="n">
        <x:v>1</x:v>
      </x:c>
      <x:c r="I322" s="14" t="n">
        <x:v>1</x:v>
      </x:c>
      <x:c r="J322" s="18" t="n">
        <x:v>1619219.72</x:v>
      </x:c>
      <x:c r="K322" s="19" t="n">
        <x:v>46241.38702224537</x:v>
      </x:c>
      <x:c r="L322" s="19" t="n">
        <x:v>46387.42690972222</x:v>
      </x:c>
      <x:c r="M322"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x:v>
      </x:c>
      <x:c r="N322" s="15" t="str">
        <x:v>https://prozorro.gov.ua/tender/UA-2026-07-28-004847-a</x:v>
      </x:c>
    </x:row>
    <x:row r="323">
      <x:c r="A323" s="14" t="n">
        <x:v>319</x:v>
      </x:c>
      <x:c r="B323" s="14" t="str">
        <x:v>ТОВ "КУБІК ГРУП"</x:v>
      </x:c>
      <x:c r="C323" s="14" t="str">
        <x:v>44554976</x:v>
      </x:c>
      <x:c r="D323" s="14" t="str">
        <x:v>Безпека / СКУД / CCTV</x:v>
      </x:c>
      <x:c r="E323" s="14" t="str">
        <x:v>Expansion discovery</x:v>
      </x:c>
      <x:c r="F323" s="14" t="str">
        <x:v>I2</x:v>
      </x:c>
      <x:c r="G323" s="14" t="n">
        <x:v>60</x:v>
      </x:c>
      <x:c r="H323" s="14" t="n">
        <x:v>1</x:v>
      </x:c>
      <x:c r="I323" s="14" t="n">
        <x:v>1</x:v>
      </x:c>
      <x:c r="J323" s="18" t="n">
        <x:v>1709746.56</x:v>
      </x:c>
      <x:c r="K323" s="19" t="n">
        <x:v>46219.32686769676</x:v>
      </x:c>
      <x:c r="L323" s="19" t="n">
        <x:v>46341</x:v>
      </x:c>
      <x:c r="M323" s="15" t="str">
        <x:v>Обладнання та матеріали для монтажу систем охорони та відеоспостереження</x:v>
      </x:c>
      <x:c r="N323" s="15" t="str">
        <x:v>https://prozorro.gov.ua/tender/UA-2026-07-06-002008-a</x:v>
      </x:c>
    </x:row>
    <x:row r="324">
      <x:c r="A324" s="14" t="n">
        <x:v>320</x:v>
      </x:c>
      <x:c r="B324" s="14" t="str">
        <x:v>ТОВ "Светолюкс-Электромонтаж"</x:v>
      </x:c>
      <x:c r="C324" s="14" t="str">
        <x:v>30975988</x:v>
      </x:c>
      <x:c r="D324" s="14" t="str">
        <x:v>Електромонтаж</x:v>
      </x:c>
      <x:c r="E324" s="14" t="str">
        <x:v>Pilot now</x:v>
      </x:c>
      <x:c r="F324" s="14" t="str">
        <x:v>I2</x:v>
      </x:c>
      <x:c r="G324" s="14" t="n">
        <x:v>60</x:v>
      </x:c>
      <x:c r="H324" s="14" t="n">
        <x:v>1</x:v>
      </x:c>
      <x:c r="I324" s="14" t="n">
        <x:v>1</x:v>
      </x:c>
      <x:c r="J324" s="18" t="n">
        <x:v>1349221.1</x:v>
      </x:c>
      <x:c r="K324" s="19" t="n">
        <x:v>46251.46483991898</x:v>
      </x:c>
      <x:c r="L324" s="19" t="n">
        <x:v>46387</x:v>
      </x:c>
      <x:c r="M324" s="15" t="str">
        <x:v>Послуги з монтажу електричних мереж та електричного обладнання в патернах причалів</x:v>
      </x:c>
      <x:c r="N324" s="15" t="str">
        <x:v>https://prozorro.gov.ua/tender/UA-2026-07-31-004646-a</x:v>
      </x:c>
    </x:row>
    <x:row r="325">
      <x:c r="A325" s="14" t="n">
        <x:v>321</x:v>
      </x:c>
      <x:c r="B325" s="14" t="str">
        <x:v>ТОВ "Юнібуденергосервіс"</x:v>
      </x:c>
      <x:c r="C325" s="14" t="str">
        <x:v>46201412</x:v>
      </x:c>
      <x:c r="D325" s="14" t="str">
        <x:v>Водоочищення / очисні споруди</x:v>
      </x:c>
      <x:c r="E325" s="14" t="str">
        <x:v>Expansion discovery</x:v>
      </x:c>
      <x:c r="F325" s="14" t="str">
        <x:v>I2</x:v>
      </x:c>
      <x:c r="G325" s="14" t="n">
        <x:v>60</x:v>
      </x:c>
      <x:c r="H325" s="14" t="n">
        <x:v>1</x:v>
      </x:c>
      <x:c r="I325" s="14" t="n">
        <x:v>1</x:v>
      </x:c>
      <x:c r="J325" s="18" t="n">
        <x:v>869628.35</x:v>
      </x:c>
      <x:c r="K325" s="19" t="n">
        <x:v>46216.47863283565</x:v>
      </x:c>
      <x:c r="L325" s="19" t="n">
        <x:v>46387</x:v>
      </x:c>
      <x:c r="M325"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x:v>
      </x:c>
      <x:c r="N325" s="15" t="str">
        <x:v>https://prozorro.gov.ua/tender/UA-2026-07-13-006735-a</x:v>
      </x:c>
    </x:row>
    <x:row r="326">
      <x:c r="A326" s="14" t="n">
        <x:v>322</x:v>
      </x:c>
      <x:c r="B326" s="14" t="str">
        <x:v>ТОВ «Прогресдорбуд»</x:v>
      </x:c>
      <x:c r="C326" s="14" t="str">
        <x:v>40603406</x:v>
      </x:c>
      <x:c r="D326" s="14" t="str">
        <x:v>Дорожні роботи</x:v>
      </x:c>
      <x:c r="E326" s="14" t="str">
        <x:v>Expansion discovery</x:v>
      </x:c>
      <x:c r="F326" s="14" t="str">
        <x:v>I2</x:v>
      </x:c>
      <x:c r="G326" s="14" t="n">
        <x:v>60</x:v>
      </x:c>
      <x:c r="H326" s="14" t="n">
        <x:v>1</x:v>
      </x:c>
      <x:c r="I326" s="14" t="n">
        <x:v>1</x:v>
      </x:c>
      <x:c r="J326" s="18" t="n">
        <x:v>798140.4</x:v>
      </x:c>
      <x:c r="K326" s="19" t="n">
        <x:v>46234.47586230324</x:v>
      </x:c>
      <x:c r="L326" s="19" t="n">
        <x:v>46265.47790509259</x:v>
      </x:c>
      <x:c r="M326" s="15" t="str">
        <x:v>Капітальний ремонт (відновлення) дорожнього покриття по вул. Садова в селі Степанівка  Роздільнянського району Одеської області</x:v>
      </x:c>
      <x:c r="N326" s="15" t="str">
        <x:v>https://prozorro.gov.ua/tender/UA-2026-07-31-005940-a</x:v>
      </x:c>
    </x:row>
    <x:row r="327">
      <x:c r="A327" s="14" t="n">
        <x:v>323</x:v>
      </x:c>
      <x:c r="B327" s="14" t="str">
        <x:v>ТОВАРИСТВО З ОБМЕЖЕНОЮ ВІДПОВІДАЛЬНІСТЮ "АГРОШЛЯХБУД"</x:v>
      </x:c>
      <x:c r="C327" s="14" t="str">
        <x:v>05407344</x:v>
      </x:c>
      <x:c r="D327" s="14" t="str">
        <x:v>Дорожні роботи</x:v>
      </x:c>
      <x:c r="E327" s="14" t="str">
        <x:v>Expansion discovery</x:v>
      </x:c>
      <x:c r="F327" s="14" t="str">
        <x:v>I2</x:v>
      </x:c>
      <x:c r="G327" s="14" t="n">
        <x:v>60</x:v>
      </x:c>
      <x:c r="H327" s="14" t="n">
        <x:v>1</x:v>
      </x:c>
      <x:c r="I327" s="14" t="n">
        <x:v>1</x:v>
      </x:c>
      <x:c r="J327" s="18" t="n">
        <x:v>504608.4</x:v>
      </x:c>
      <x:c r="K327" s="19" t="n">
        <x:v>46254.52290949074</x:v>
      </x:c>
      <x:c r="L327" s="19" t="n">
        <x:v>46387</x:v>
      </x:c>
      <x:c r="M327" s="15" t="str">
        <x:v>Капітальний ремонт дорожнього покриття від буд №2 до буд.№ 22 по вул.Молодіжна в с.Гурівське Роздільнянського району Одеської області</x:v>
      </x:c>
      <x:c r="N327" s="15" t="str">
        <x:v>https://prozorro.gov.ua/tender/UA-2026-08-20-010199-a</x:v>
      </x:c>
    </x:row>
    <x:row r="328">
      <x:c r="A328" s="14" t="n">
        <x:v>324</x:v>
      </x:c>
      <x:c r="B328" s="14" t="str">
        <x:v>ТОВАРИСТВО З ОБМЕЖЕНОЮ ВІДПОВІДАЛЬНІСТЮ "АГРОШЛЯХБУДСЕРВІС"</x:v>
      </x:c>
      <x:c r="C328" s="14" t="str">
        <x:v>03580676</x:v>
      </x:c>
      <x:c r="D328" s="14" t="str">
        <x:v>Дорожні роботи</x:v>
      </x:c>
      <x:c r="E328" s="14" t="str">
        <x:v>Expansion discovery</x:v>
      </x:c>
      <x:c r="F328" s="14" t="str">
        <x:v>I2</x:v>
      </x:c>
      <x:c r="G328" s="14" t="n">
        <x:v>60</x:v>
      </x:c>
      <x:c r="H328" s="14" t="n">
        <x:v>1</x:v>
      </x:c>
      <x:c r="I328" s="14" t="n">
        <x:v>1</x:v>
      </x:c>
      <x:c r="J328" s="18" t="n">
        <x:v>815184.02</x:v>
      </x:c>
      <x:c r="K328" s="19" t="n">
        <x:v>46241.490000474536</x:v>
      </x:c>
      <x:c r="L328" s="19" t="n">
        <x:v>46295</x:v>
      </x:c>
      <x:c r="M328" s="15" t="str">
        <x:v>Капітальний ремонт частини дорожнього покриття по вул. Білокур в м.Ірпінь Бучанського району Київської області</x:v>
      </x:c>
      <x:c r="N328" s="15" t="str">
        <x:v>https://prozorro.gov.ua/tender/UA-2026-08-07-008463-a</x:v>
      </x:c>
    </x:row>
    <x:row r="329">
      <x:c r="A329" s="14" t="n">
        <x:v>325</x:v>
      </x:c>
      <x:c r="B329" s="14" t="str">
        <x:v>ТОВАРИСТВО З ОБМЕЖЕНОЮ ВІДПОВІДАЛЬНІСТЮ "БДУ МУШ"</x:v>
      </x:c>
      <x:c r="C329" s="14" t="str">
        <x:v>43399625</x:v>
      </x:c>
      <x:c r="D329" s="14" t="str">
        <x:v>Дорожні роботи</x:v>
      </x:c>
      <x:c r="E329" s="14" t="str">
        <x:v>Expansion discovery</x:v>
      </x:c>
      <x:c r="F329" s="14" t="str">
        <x:v>I2</x:v>
      </x:c>
      <x:c r="G329" s="14" t="n">
        <x:v>60</x:v>
      </x:c>
      <x:c r="H329" s="14" t="n">
        <x:v>1</x:v>
      </x:c>
      <x:c r="I329" s="14" t="n">
        <x:v>1</x:v>
      </x:c>
      <x:c r="J329" s="18" t="n">
        <x:v>957501.6</x:v>
      </x:c>
      <x:c r="K329" s="19" t="n">
        <x:v>46253.3617634375</x:v>
      </x:c>
      <x:c r="L329" s="19" t="n">
        <x:v>46387</x:v>
      </x:c>
      <x:c r="M329" s="15" t="str">
        <x:v>Капітальний ремонт дорожнього покриття по вул.Андрія Мізенка  в с. Собківка Уманського району Черкаської області </x:v>
      </x:c>
      <x:c r="N329" s="15" t="str">
        <x:v>https://prozorro.gov.ua/tender/UA-2026-08-19-003865-a</x:v>
      </x:c>
    </x:row>
    <x:row r="330">
      <x:c r="A330" s="14" t="n">
        <x:v>326</x:v>
      </x:c>
      <x:c r="B330" s="14" t="str">
        <x:v>ТОВАРИСТВО З ОБМЕЖЕНОЮ ВІДПОВІДАЛЬНІСТЮ "БУДІВЕЛЬНА КОМПАНІЯ "ВІАКОМ"</x:v>
      </x:c>
      <x:c r="C330" s="14" t="str">
        <x:v>42818575</x:v>
      </x:c>
      <x:c r="D330" s="14" t="str">
        <x:v>Дорожні роботи</x:v>
      </x:c>
      <x:c r="E330" s="14" t="str">
        <x:v>Expansion discovery</x:v>
      </x:c>
      <x:c r="F330" s="14" t="str">
        <x:v>I2</x:v>
      </x:c>
      <x:c r="G330" s="14" t="n">
        <x:v>60</x:v>
      </x:c>
      <x:c r="H330" s="14" t="n">
        <x:v>1</x:v>
      </x:c>
      <x:c r="I330" s="14" t="n">
        <x:v>1</x:v>
      </x:c>
      <x:c r="J330" s="18" t="n">
        <x:v>627432</x:v>
      </x:c>
      <x:c r="K330" s="19" t="n">
        <x:v>46251.598258645834</x:v>
      </x:c>
      <x:c r="L330" s="19" t="n">
        <x:v>46387</x:v>
      </x:c>
      <x:c r="M330" s="15" t="str">
        <x:v>Капітальний ремонт дорожнього покриття перехрестя вулиць Мазепи-Вербицького в м.Новояворівськ Львівської області</x:v>
      </x:c>
      <x:c r="N330" s="15" t="str">
        <x:v>https://prozorro.gov.ua/tender/UA-2026-08-17-011911-a</x:v>
      </x:c>
    </x:row>
    <x:row r="331">
      <x:c r="A331" s="14" t="n">
        <x:v>327</x:v>
      </x:c>
      <x:c r="B331" s="14" t="str">
        <x:v>ТОВАРИСТВО З ОБМЕЖЕНОЮ ВІДПОВІДАЛЬНІСТЮ "БУДІВЕЛЬНА КОМПАНІЯ "ГЕКСАГОН"</x:v>
      </x:c>
      <x:c r="C331" s="14" t="str">
        <x:v>42802738</x:v>
      </x:c>
      <x:c r="D331" s="14" t="str">
        <x:v>Теплові мережі</x:v>
      </x:c>
      <x:c r="E331" s="14" t="str">
        <x:v>Expansion discovery</x:v>
      </x:c>
      <x:c r="F331" s="14" t="str">
        <x:v>I2</x:v>
      </x:c>
      <x:c r="G331" s="14" t="n">
        <x:v>60</x:v>
      </x:c>
      <x:c r="H331" s="14" t="n">
        <x:v>1</x:v>
      </x:c>
      <x:c r="I331" s="14" t="n">
        <x:v>1</x:v>
      </x:c>
      <x:c r="J331" s="18" t="n">
        <x:v>545977.93</x:v>
      </x:c>
      <x:c r="K331" s="19" t="n">
        <x:v>46220.2418265625</x:v>
      </x:c>
      <x:c r="L331" s="19" t="n">
        <x:v>46296</x:v>
      </x:c>
      <x:c r="M331" s="15" t="str">
        <x:v>Коригування робочого проєкту «Реконструкція ділянки теплової мережі по вул. Базарна від ТК2к17 до ТК2к22 у м. Одесі»</x:v>
      </x:c>
      <x:c r="N331" s="15" t="str">
        <x:v>https://prozorro.gov.ua/tender/UA-2026-07-17-000299-a</x:v>
      </x:c>
    </x:row>
    <x:row r="332">
      <x:c r="A332" s="14" t="n">
        <x:v>328</x:v>
      </x:c>
      <x:c r="B332" s="14" t="str">
        <x:v>ТОВАРИСТВО З ОБМЕЖЕНОЮ ВІДПОВІДАЛЬНІСТЮ "БУДІВЕЛЬНА ПЕРСПЕКТИВА"</x:v>
      </x:c>
      <x:c r="C332" s="14" t="str">
        <x:v>45068069</x:v>
      </x:c>
      <x:c r="D332" s="14" t="str">
        <x:v>Пожежогасіння</x:v>
      </x:c>
      <x:c r="E332" s="14" t="str">
        <x:v>Expansion discovery</x:v>
      </x:c>
      <x:c r="F332" s="14" t="str">
        <x:v>I2</x:v>
      </x:c>
      <x:c r="G332" s="14" t="n">
        <x:v>60</x:v>
      </x:c>
      <x:c r="H332" s="14" t="n">
        <x:v>1</x:v>
      </x:c>
      <x:c r="I332" s="14" t="n">
        <x:v>1</x:v>
      </x:c>
      <x:c r="J332" s="18" t="n">
        <x:v>1499900</x:v>
      </x:c>
      <x:c r="K332" s="19" t="n">
        <x:v>46219.37161141204</x:v>
      </x:c>
      <x:c r="L332" s="19" t="n">
        <x:v>46325.62451388889</x:v>
      </x:c>
      <x:c r="M332"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x:v>
      </x:c>
      <x:c r="N332" s="15" t="str">
        <x:v>https://prozorro.gov.ua/tender/UA-2026-06-16-013340-a</x:v>
      </x:c>
    </x:row>
    <x:row r="333">
      <x:c r="A333" s="14" t="n">
        <x:v>329</x:v>
      </x:c>
      <x:c r="B333" s="14" t="str">
        <x:v>ТОВАРИСТВО З ОБМЕЖЕНОЮ ВІДПОВІДАЛЬНІСТЮ "БУДІВНИЙ ДВІР"</x:v>
      </x:c>
      <x:c r="C333" s="14" t="str">
        <x:v>36647065</x:v>
      </x:c>
      <x:c r="D333" s="14" t="str">
        <x:v>Дорожні роботи</x:v>
      </x:c>
      <x:c r="E333" s="14" t="str">
        <x:v>Expansion discovery</x:v>
      </x:c>
      <x:c r="F333" s="14" t="str">
        <x:v>I2</x:v>
      </x:c>
      <x:c r="G333" s="14" t="n">
        <x:v>60</x:v>
      </x:c>
      <x:c r="H333" s="14" t="n">
        <x:v>1</x:v>
      </x:c>
      <x:c r="I333" s="14" t="n">
        <x:v>1</x:v>
      </x:c>
      <x:c r="J333" s="18" t="n">
        <x:v>620788.45</x:v>
      </x:c>
      <x:c r="K333" s="19" t="n">
        <x:v>46239.26417909722</x:v>
      </x:c>
      <x:c r="L333" s="19" t="n">
        <x:v>46387</x:v>
      </x:c>
      <x:c r="M333" s="15" t="str">
        <x:v>Капітальний ремонт дорожнього покриття по вул. Захисників України в с-ще Рогань, Харківського району, Харківської області</x:v>
      </x:c>
      <x:c r="N333" s="15" t="str">
        <x:v>https://prozorro.gov.ua/tender/UA-2026-08-05-000787-a</x:v>
      </x:c>
    </x:row>
    <x:row r="334">
      <x:c r="A334" s="14" t="n">
        <x:v>330</x:v>
      </x:c>
      <x:c r="B334" s="14" t="str">
        <x:v>ТОВАРИСТВО З ОБМЕЖЕНОЮ ВІДПОВІДАЛЬНІСТЮ "В.О."</x:v>
      </x:c>
      <x:c r="C334" s="14" t="str">
        <x:v>34623828</x:v>
      </x:c>
      <x:c r="D334" s="14" t="str">
        <x:v>Фасади та скління</x:v>
      </x:c>
      <x:c r="E334" s="14" t="str">
        <x:v>Expansion discovery</x:v>
      </x:c>
      <x:c r="F334" s="14" t="str">
        <x:v>I2</x:v>
      </x:c>
      <x:c r="G334" s="14" t="n">
        <x:v>60</x:v>
      </x:c>
      <x:c r="H334" s="14" t="n">
        <x:v>1</x:v>
      </x:c>
      <x:c r="I334" s="14" t="n">
        <x:v>1</x:v>
      </x:c>
      <x:c r="J334" s="18" t="n">
        <x:v>551917.63</x:v>
      </x:c>
      <x:c r="K334" s="19" t="n">
        <x:v>46247.614911770834</x:v>
      </x:c>
      <x:c r="L334" s="19" t="n">
        <x:v>46387</x:v>
      </x:c>
      <x:c r="M334" s="15" t="str">
        <x:v>Капітальний ремонт з утепленням стіни бокового фасаду житлового будинку по пр. Л. Українки, 1 в м. Калуш Івано-Франківської обл.</x:v>
      </x:c>
      <x:c r="N334" s="15" t="str">
        <x:v>https://prozorro.gov.ua/tender/UA-2026-08-13-012473-a</x:v>
      </x:c>
    </x:row>
    <x:row r="335">
      <x:c r="A335" s="14" t="n">
        <x:v>331</x:v>
      </x:c>
      <x:c r="B335" s="14" t="str">
        <x:v>ТОВАРИСТВО З ОБМЕЖЕНОЮ ВІДПОВІДАЛЬНІСТЮ "ВБ СТРАЖ"</x:v>
      </x:c>
      <x:c r="C335" s="14" t="str">
        <x:v>43046609</x:v>
      </x:c>
      <x:c r="D335" s="14" t="str">
        <x:v>Слаботочні системи</x:v>
      </x:c>
      <x:c r="E335" s="14" t="str">
        <x:v>Requalify</x:v>
      </x:c>
      <x:c r="F335" s="14" t="str">
        <x:v>I2</x:v>
      </x:c>
      <x:c r="G335" s="14" t="n">
        <x:v>60</x:v>
      </x:c>
      <x:c r="H335" s="14" t="n">
        <x:v>1</x:v>
      </x:c>
      <x:c r="I335" s="14" t="n">
        <x:v>1</x:v>
      </x:c>
      <x:c r="J335" s="18" t="n">
        <x:v>737500</x:v>
      </x:c>
      <x:c r="K335" s="19" t="n">
        <x:v>46227.404180185185</x:v>
      </x:c>
      <x:c r="L335" s="19" t="n">
        <x:v>46387</x:v>
      </x:c>
      <x:c r="M335"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на об'єкті: Комунальний заклад "Торговицький ліцей імені Є.Ф.Маланюка" Новоархангельської селищної ради Голованівського району Кіровоградської області (І,ІІ,ІІІ поверхи), за адресою: Кіровоградська область Голованівський район с. Торговиця вул. І.Сірка, 17 (Капітальний ремонт)
</x:v>
      </x:c>
      <x:c r="N335" s="15" t="str">
        <x:v>https://prozorro.gov.ua/tender/UA-2026-07-07-007361-a</x:v>
      </x:c>
    </x:row>
    <x:row r="336">
      <x:c r="A336" s="14" t="n">
        <x:v>332</x:v>
      </x:c>
      <x:c r="B336" s="14" t="str">
        <x:v>ТОВАРИСТВО З ОБМЕЖЕНОЮ ВІДПОВІДАЛЬНІСТЮ "ВОЛБУД"</x:v>
      </x:c>
      <x:c r="C336" s="14" t="str">
        <x:v>40299777</x:v>
      </x:c>
      <x:c r="D336" s="14" t="str">
        <x:v>Фасади та скління</x:v>
      </x:c>
      <x:c r="E336" s="14" t="str">
        <x:v>Expansion discovery</x:v>
      </x:c>
      <x:c r="F336" s="14" t="str">
        <x:v>I2</x:v>
      </x:c>
      <x:c r="G336" s="14" t="n">
        <x:v>60</x:v>
      </x:c>
      <x:c r="H336" s="14" t="n">
        <x:v>1</x:v>
      </x:c>
      <x:c r="I336" s="14" t="n">
        <x:v>1</x:v>
      </x:c>
      <x:c r="J336" s="18" t="n">
        <x:v>1126628.4</x:v>
      </x:c>
      <x:c r="K336" s="19" t="n">
        <x:v>46246.50013625</x:v>
      </x:c>
      <x:c r="L336" s="19" t="n">
        <x:v>46295</x:v>
      </x:c>
      <x:c r="M336"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x:v>
      </x:c>
      <x:c r="N336" s="15" t="str">
        <x:v>https://prozorro.gov.ua/tender/UA-2026-08-12-008210-a</x:v>
      </x:c>
    </x:row>
    <x:row r="337">
      <x:c r="A337" s="14" t="n">
        <x:v>333</x:v>
      </x:c>
      <x:c r="B337" s="14" t="str">
        <x:v>ТОВАРИСТВО З ОБМЕЖЕНОЮ ВІДПОВІДАЛЬНІСТЮ "ДОР-ЛІДЕР"</x:v>
      </x:c>
      <x:c r="C337" s="14" t="str">
        <x:v>37997091</x:v>
      </x:c>
      <x:c r="D337" s="14" t="str">
        <x:v>Дорожні роботи</x:v>
      </x:c>
      <x:c r="E337" s="14" t="str">
        <x:v>Expansion discovery</x:v>
      </x:c>
      <x:c r="F337" s="14" t="str">
        <x:v>I2</x:v>
      </x:c>
      <x:c r="G337" s="14" t="n">
        <x:v>60</x:v>
      </x:c>
      <x:c r="H337" s="14" t="n">
        <x:v>1</x:v>
      </x:c>
      <x:c r="I337" s="14" t="n">
        <x:v>1</x:v>
      </x:c>
      <x:c r="J337" s="18" t="n">
        <x:v>1058753.21</x:v>
      </x:c>
      <x:c r="K337" s="19" t="n">
        <x:v>46234.4255759375</x:v>
      </x:c>
      <x:c r="L337" s="19" t="n">
        <x:v>46356</x:v>
      </x:c>
      <x:c r="M337" s="15" t="str">
        <x:v>Капітальний ремонт дорожнього покриття до кладовища в с. Руденька Житомирського району Житомирської області</x:v>
      </x:c>
      <x:c r="N337" s="15" t="str">
        <x:v>https://prozorro.gov.ua/tender/UA-2026-07-31-004720-a</x:v>
      </x:c>
    </x:row>
    <x:row r="338">
      <x:c r="A338" s="14" t="n">
        <x:v>334</x:v>
      </x:c>
      <x:c r="B338" s="14" t="str">
        <x:v>ТОВАРИСТВО З ОБМЕЖЕНОЮ ВІДПОВІДАЛЬНІСТЮ "ДОРОС ЛТД"</x:v>
      </x:c>
      <x:c r="C338" s="14" t="str">
        <x:v>41363104</x:v>
      </x:c>
      <x:c r="D338" s="14" t="str">
        <x:v>Дорожні роботи</x:v>
      </x:c>
      <x:c r="E338" s="14" t="str">
        <x:v>Expansion discovery</x:v>
      </x:c>
      <x:c r="F338" s="14" t="str">
        <x:v>I2</x:v>
      </x:c>
      <x:c r="G338" s="14" t="n">
        <x:v>60</x:v>
      </x:c>
      <x:c r="H338" s="14" t="n">
        <x:v>1</x:v>
      </x:c>
      <x:c r="I338" s="14" t="n">
        <x:v>1</x:v>
      </x:c>
      <x:c r="J338" s="18" t="n">
        <x:v>1388964.79</x:v>
      </x:c>
      <x:c r="K338" s="19" t="n">
        <x:v>46240.78557736111</x:v>
      </x:c>
      <x:c r="L338" s="19" t="n">
        <x:v>46387</x:v>
      </x:c>
      <x:c r="M338" s="15" t="str">
        <x:v>Капітальний ремонт дорожнього покриття по вул. Шкільна,7 в с.Августівка Одеського району Одеської області</x:v>
      </x:c>
      <x:c r="N338" s="15" t="str">
        <x:v>https://prozorro.gov.ua/tender/UA-2026-08-06-012166-a</x:v>
      </x:c>
    </x:row>
    <x:row r="339">
      <x:c r="A339" s="14" t="n">
        <x:v>335</x:v>
      </x:c>
      <x:c r="B339" s="14" t="str">
        <x:v>ТОВАРИСТВО З ОБМЕЖЕНОЮ ВІДПОВІДАЛЬНІСТЮ "МІЛПРОД"</x:v>
      </x:c>
      <x:c r="C339" s="14" t="str">
        <x:v>45502185</x:v>
      </x:c>
      <x:c r="D339" s="14" t="str">
        <x:v>HVAC / ОВіК</x:v>
      </x:c>
      <x:c r="E339" s="14" t="str">
        <x:v>Pilot now</x:v>
      </x:c>
      <x:c r="F339" s="14" t="str">
        <x:v>I2</x:v>
      </x:c>
      <x:c r="G339" s="14" t="n">
        <x:v>60</x:v>
      </x:c>
      <x:c r="H339" s="14" t="n">
        <x:v>1</x:v>
      </x:c>
      <x:c r="I339" s="14" t="n">
        <x:v>1</x:v>
      </x:c>
      <x:c r="J339" s="18" t="n">
        <x:v>1109564.45</x:v>
      </x:c>
      <x:c r="K339" s="19" t="n">
        <x:v>46226.50163167824</x:v>
      </x:c>
      <x:c r="L339" s="19" t="n">
        <x:v>46387</x:v>
      </x:c>
      <x:c r="M339"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x:v>
      </x:c>
      <x:c r="N339" s="15" t="str">
        <x:v>https://prozorro.gov.ua/tender/UA-2026-07-07-008541-a</x:v>
      </x:c>
    </x:row>
    <x:row r="340">
      <x:c r="A340" s="14" t="n">
        <x:v>336</x:v>
      </x:c>
      <x:c r="B340" s="14" t="str">
        <x:v>ТОВАРИСТВО З ОБМЕЖЕНОЮ ВІДПОВІДАЛЬНІСТЮ "МК-ГРАНД 2015"</x:v>
      </x:c>
      <x:c r="C340" s="14" t="str">
        <x:v>41291234</x:v>
      </x:c>
      <x:c r="D340" s="14" t="str">
        <x:v>Водоочищення / очисні споруди</x:v>
      </x:c>
      <x:c r="E340" s="14" t="str">
        <x:v>Expansion discovery</x:v>
      </x:c>
      <x:c r="F340" s="14" t="str">
        <x:v>I2</x:v>
      </x:c>
      <x:c r="G340" s="14" t="n">
        <x:v>60</x:v>
      </x:c>
      <x:c r="H340" s="14" t="n">
        <x:v>1</x:v>
      </x:c>
      <x:c r="I340" s="14" t="n">
        <x:v>1</x:v>
      </x:c>
      <x:c r="J340" s="18" t="n">
        <x:v>683148</x:v>
      </x:c>
      <x:c r="K340" s="19" t="n">
        <x:v>46255.28362246528</x:v>
      </x:c>
      <x:c r="L340" s="19" t="n">
        <x:v>46387</x:v>
      </x:c>
      <x:c r="M340"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x:v>
      </x:c>
      <x:c r="N340" s="15" t="str">
        <x:v>https://prozorro.gov.ua/tender/UA-2026-08-21-001303-a</x:v>
      </x:c>
    </x:row>
    <x:row r="341">
      <x:c r="A341" s="14" t="n">
        <x:v>337</x:v>
      </x:c>
      <x:c r="B341" s="14" t="str">
        <x:v>ТОВАРИСТВО З ОБМЕЖЕНОЮ ВІДПОВІДАЛЬНІСТЮ "ПРАЙМ УЛАН-БУД"</x:v>
      </x:c>
      <x:c r="C341" s="14" t="str">
        <x:v>45981175</x:v>
      </x:c>
      <x:c r="D341" s="14" t="str">
        <x:v>Дорожні роботи</x:v>
      </x:c>
      <x:c r="E341" s="14" t="str">
        <x:v>Expansion discovery</x:v>
      </x:c>
      <x:c r="F341" s="14" t="str">
        <x:v>I2</x:v>
      </x:c>
      <x:c r="G341" s="14" t="n">
        <x:v>60</x:v>
      </x:c>
      <x:c r="H341" s="14" t="n">
        <x:v>1</x:v>
      </x:c>
      <x:c r="I341" s="14" t="n">
        <x:v>1</x:v>
      </x:c>
      <x:c r="J341" s="18" t="n">
        <x:v>1193784</x:v>
      </x:c>
      <x:c r="K341" s="19" t="n">
        <x:v>46255.56247351852</x:v>
      </x:c>
      <x:c r="L341" s="19" t="n">
        <x:v>46387</x:v>
      </x:c>
      <x:c r="M341" s="15" t="str">
        <x:v>Капітальний ремонт дорожнього покриття вулиці Садибна (від будинку №55 до будинку №6) в селі Пултівці Вінницького району Вінницької області</x:v>
      </x:c>
      <x:c r="N341" s="15" t="str">
        <x:v>https://prozorro.gov.ua/tender/UA-2026-08-21-011848-a</x:v>
      </x:c>
    </x:row>
    <x:row r="342">
      <x:c r="A342" s="14" t="n">
        <x:v>338</x:v>
      </x:c>
      <x:c r="B342" s="14" t="str">
        <x:v>ТОВАРИСТВО З ОБМЕЖЕНОЮ ВІДПОВІДАЛЬНІСТЮ "СУЧАСНА ІНФРАСТРУКТУРА МІСТА"</x:v>
      </x:c>
      <x:c r="C342" s="14" t="str">
        <x:v>45932238</x:v>
      </x:c>
      <x:c r="D342" s="14" t="str">
        <x:v>Ремонт і підсилення бетону</x:v>
      </x:c>
      <x:c r="E342" s="14" t="str">
        <x:v>Expansion discovery</x:v>
      </x:c>
      <x:c r="F342" s="14" t="str">
        <x:v>I2</x:v>
      </x:c>
      <x:c r="G342" s="14" t="n">
        <x:v>60</x:v>
      </x:c>
      <x:c r="H342" s="14" t="n">
        <x:v>1</x:v>
      </x:c>
      <x:c r="I342" s="14" t="n">
        <x:v>1</x:v>
      </x:c>
      <x:c r="J342" s="18" t="n">
        <x:v>624106.56</x:v>
      </x:c>
      <x:c r="K342" s="19" t="n">
        <x:v>46258.53630042824</x:v>
      </x:c>
      <x:c r="L342" s="19" t="n">
        <x:v>46326</x:v>
      </x:c>
      <x:c r="M342"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Будівельниуів, 5 у Дніпровському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342" s="15" t="str">
        <x:v>https://prozorro.gov.ua/tender/UA-2026-08-24-008388-a</x:v>
      </x:c>
    </x:row>
    <x:row r="343">
      <x:c r="A343" s="14" t="n">
        <x:v>339</x:v>
      </x:c>
      <x:c r="B343" s="14" t="str">
        <x:v>ТОВАРИСТВО З ОБМЕЖЕНОЮ ВІДПОВІДАЛЬНІСТЮ "УКРЕНЕРГОПРОМ - 3"</x:v>
      </x:c>
      <x:c r="C343" s="14" t="str">
        <x:v>31564943</x:v>
      </x:c>
      <x:c r="D343" s="14" t="str">
        <x:v>Водоочищення / очисні споруди</x:v>
      </x:c>
      <x:c r="E343" s="14" t="str">
        <x:v>Expansion discovery</x:v>
      </x:c>
      <x:c r="F343" s="14" t="str">
        <x:v>I2</x:v>
      </x:c>
      <x:c r="G343" s="14" t="n">
        <x:v>60</x:v>
      </x:c>
      <x:c r="H343" s="14" t="n">
        <x:v>1</x:v>
      </x:c>
      <x:c r="I343" s="14" t="n">
        <x:v>1</x:v>
      </x:c>
      <x:c r="J343" s="18" t="n">
        <x:v>620400</x:v>
      </x:c>
      <x:c r="K343" s="19" t="n">
        <x:v>46240.554719837965</x:v>
      </x:c>
      <x:c r="L343" s="19" t="n">
        <x:v>46387</x:v>
      </x:c>
      <x:c r="M343"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x:v>
      </x:c>
      <x:c r="N343" s="15" t="str">
        <x:v>https://prozorro.gov.ua/tender/UA-2026-08-06-010034-a</x:v>
      </x:c>
    </x:row>
    <x:row r="344">
      <x:c r="A344" s="14" t="n">
        <x:v>340</x:v>
      </x:c>
      <x:c r="B344" s="14" t="str">
        <x:v>Товариство з обмеженою відповідальністю «ТСК-БУДСЕРВІС»</x:v>
      </x:c>
      <x:c r="C344" s="14" t="str">
        <x:v>45881759</x:v>
      </x:c>
      <x:c r="D344" s="14" t="str">
        <x:v>Покрівлі та гідроізоляція</x:v>
      </x:c>
      <x:c r="E344" s="14" t="str">
        <x:v>Expansion discovery</x:v>
      </x:c>
      <x:c r="F344" s="14" t="str">
        <x:v>I2</x:v>
      </x:c>
      <x:c r="G344" s="14" t="n">
        <x:v>60</x:v>
      </x:c>
      <x:c r="H344" s="14" t="n">
        <x:v>1</x:v>
      </x:c>
      <x:c r="I344" s="14" t="n">
        <x:v>1</x:v>
      </x:c>
      <x:c r="J344" s="18" t="n">
        <x:v>1083785</x:v>
      </x:c>
      <x:c r="K344" s="19" t="n">
        <x:v>46240.43107309028</x:v>
      </x:c>
      <x:c r="L344" s="19" t="n">
        <x:v>46387</x:v>
      </x:c>
      <x:c r="M344" s="15" t="str">
        <x:v>Покрівельні роботи та інші спеціалізовані будівельні роботи  (Капітальний ремонт покрівлі будівлі)</x:v>
      </x:c>
      <x:c r="N344" s="15" t="str">
        <x:v>https://prozorro.gov.ua/tender/UA-2026-08-06-006048-a</x:v>
      </x:c>
    </x:row>
    <x:row r="345">
      <x:c r="A345" s="14" t="n">
        <x:v>341</x:v>
      </x:c>
      <x:c r="B345" s="14" t="str">
        <x:v>УПРАВЛІННЯ ПОЛІЦІЇ ОХОРОНИ В ЖИТОМИРСЬКІЙ ОБЛАСТІ</x:v>
      </x:c>
      <x:c r="C345" s="14" t="str">
        <x:v>40109091</x:v>
      </x:c>
      <x:c r="D345" s="14" t="str">
        <x:v>Електромонтаж</x:v>
      </x:c>
      <x:c r="E345" s="14" t="str">
        <x:v>Pilot now</x:v>
      </x:c>
      <x:c r="F345" s="14" t="str">
        <x:v>I2</x:v>
      </x:c>
      <x:c r="G345" s="14" t="n">
        <x:v>60</x:v>
      </x:c>
      <x:c r="H345" s="14" t="n">
        <x:v>3</x:v>
      </x:c>
      <x:c r="I345" s="14" t="n">
        <x:v>1</x:v>
      </x:c>
      <x:c r="J345" s="18" t="n">
        <x:v>282657.3</x:v>
      </x:c>
      <x:c r="K345" s="19" t="n">
        <x:v>45979.728066793985</x:v>
      </x:c>
      <x:c r="L345" s="19" t="n">
        <x:v>46016</x:v>
      </x:c>
      <x:c r="M345" s="15" t="str">
        <x:v>Послуги з монтажу систем протипожежного захисту (пожежної сигналізації, системи керуванням людей, автоматичною системою порошкового пожежогасіння та система централізованого  пожежного спостерігання)</x:v>
      </x:c>
      <x:c r="N345" s="15" t="str">
        <x:v>https://prozorro.gov.ua/tender/UA-2025-11-07-014248-a</x:v>
      </x:c>
    </x:row>
    <x:row r="346">
      <x:c r="A346" s="14" t="n">
        <x:v>342</x:v>
      </x:c>
      <x:c r="B346" s="14" t="str">
        <x:v>ФОП Дзюба Олег Володимирович</x:v>
      </x:c>
      <x:c r="C346" s="14" t="str">
        <x:v>3199505212</x:v>
      </x:c>
      <x:c r="D346" s="14" t="str">
        <x:v>Ліфти та підйомники</x:v>
      </x:c>
      <x:c r="E346" s="14" t="str">
        <x:v>Expansion discovery</x:v>
      </x:c>
      <x:c r="F346" s="14" t="str">
        <x:v>I2</x:v>
      </x:c>
      <x:c r="G346" s="14" t="n">
        <x:v>60</x:v>
      </x:c>
      <x:c r="H346" s="14" t="n">
        <x:v>6</x:v>
      </x:c>
      <x:c r="I346" s="14" t="n">
        <x:v>0</x:v>
      </x:c>
      <x:c r="J346" s="18" t="n">
        <x:v>717778.53</x:v>
      </x:c>
      <x:c r="K346" s="19" t="n">
        <x:v>45825.34077283565</x:v>
      </x:c>
      <x:c r="L346" s="19" t="n">
        <x:v>46022.916666655095</x:v>
      </x:c>
      <x:c r="M346"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x:v>
      </x:c>
      <x:c r="N346" s="15" t="str">
        <x:v>https://prozorro.gov.ua/tender/UA-2025-06-17-003792-a</x:v>
      </x:c>
    </x:row>
    <x:row r="347">
      <x:c r="A347" s="14" t="n">
        <x:v>343</x:v>
      </x:c>
      <x:c r="B347" s="14" t="str">
        <x:v>ГРИГА АНДРІЙ ПЕТРОВИЧ</x:v>
      </x:c>
      <x:c r="C347" s="14" t="str">
        <x:v>2852611378</x:v>
      </x:c>
      <x:c r="D347" s="14" t="str">
        <x:v>Безпека / СКУД / CCTV</x:v>
      </x:c>
      <x:c r="E347" s="14" t="str">
        <x:v>Expansion discovery</x:v>
      </x:c>
      <x:c r="F347" s="14" t="str">
        <x:v>I2</x:v>
      </x:c>
      <x:c r="G347" s="14" t="n">
        <x:v>59</x:v>
      </x:c>
      <x:c r="H347" s="14" t="n">
        <x:v>2</x:v>
      </x:c>
      <x:c r="I347" s="14" t="n">
        <x:v>2</x:v>
      </x:c>
      <x:c r="J347" s="18" t="n">
        <x:v>52270</x:v>
      </x:c>
      <x:c r="K347" s="19" t="n">
        <x:v>46252.384626122686</x:v>
      </x:c>
      <x:c r="L347" s="19" t="n">
        <x:v>46387</x:v>
      </x:c>
      <x:c r="M347" s="15" t="str">
        <x:v>Монтаж системи відеоспостереження</x:v>
      </x:c>
      <x:c r="N347" s="15" t="str">
        <x:v>https://prozorro.gov.ua/tender/UA-2026-08-18-005084-a</x:v>
      </x:c>
    </x:row>
    <x:row r="348">
      <x:c r="A348" s="14" t="n">
        <x:v>344</x:v>
      </x:c>
      <x:c r="B348" s="14" t="str">
        <x:v>КОНДРАТЮК ВОЛОДИМИР ОЛЕГОВИЧ</x:v>
      </x:c>
      <x:c r="C348" s="14" t="str">
        <x:v>3231213712</x:v>
      </x:c>
      <x:c r="D348" s="14" t="str">
        <x:v>HVAC / ОВіК</x:v>
      </x:c>
      <x:c r="E348" s="14" t="str">
        <x:v>Pilot now</x:v>
      </x:c>
      <x:c r="F348" s="14" t="str">
        <x:v>I2</x:v>
      </x:c>
      <x:c r="G348" s="14" t="n">
        <x:v>59</x:v>
      </x:c>
      <x:c r="H348" s="14" t="n">
        <x:v>2</x:v>
      </x:c>
      <x:c r="I348" s="14" t="n">
        <x:v>2</x:v>
      </x:c>
      <x:c r="J348" s="18" t="n">
        <x:v>8900</x:v>
      </x:c>
      <x:c r="K348" s="19" t="n">
        <x:v>46245.520564108796</x:v>
      </x:c>
      <x:c r="L348" s="19" t="n">
        <x:v>46387</x:v>
      </x:c>
      <x:c r="M348" s="15" t="str">
        <x:v>Послуги із демонтажу та монтажу теплового лічильника па період проведення ремонтних робіт в системі опалення для ЗДО № 16</x:v>
      </x:c>
      <x:c r="N348" s="15" t="str">
        <x:v>https://prozorro.gov.ua/tender/UA-2026-08-11-009745-a</x:v>
      </x:c>
    </x:row>
    <x:row r="349">
      <x:c r="A349" s="14" t="n">
        <x:v>345</x:v>
      </x:c>
      <x:c r="B349" s="14" t="str">
        <x:v>Фізична особа підприємець Марчук Анатолій Дмитрович</x:v>
      </x:c>
      <x:c r="C349" s="14" t="str">
        <x:v>2787811910</x:v>
      </x:c>
      <x:c r="D349" s="14" t="str">
        <x:v>Пасивний вогнезахист</x:v>
      </x:c>
      <x:c r="E349" s="14" t="str">
        <x:v>Expansion discovery</x:v>
      </x:c>
      <x:c r="F349" s="14" t="str">
        <x:v>I2</x:v>
      </x:c>
      <x:c r="G349" s="14" t="n">
        <x:v>59</x:v>
      </x:c>
      <x:c r="H349" s="14" t="n">
        <x:v>2</x:v>
      </x:c>
      <x:c r="I349" s="14" t="n">
        <x:v>2</x:v>
      </x:c>
      <x:c r="J349" s="18" t="n">
        <x:v>44400</x:v>
      </x:c>
      <x:c r="K349" s="19" t="n">
        <x:v>46258.35331721065</x:v>
      </x:c>
      <x:c r="L349" s="19" t="n">
        <x:v>46387.395682870374</x:v>
      </x:c>
      <x:c r="M349" s="15" t="str">
        <x:v>Послуги з виконання робіт з вогнезахисної обробки дерев’яних конструкцій та тканинних декорацій вистави "Літепло"</x:v>
      </x:c>
      <x:c r="N349" s="15" t="str">
        <x:v>https://prozorro.gov.ua/tender/UA-2026-08-24-003079-a</x:v>
      </x:c>
    </x:row>
    <x:row r="350">
      <x:c r="A350" s="14" t="n">
        <x:v>346</x:v>
      </x:c>
      <x:c r="B350" s="14" t="str">
        <x:v>Фізична особа-підприємець Перерва Олександр Іванович</x:v>
      </x:c>
      <x:c r="C350" s="14" t="str">
        <x:v>2481811590</x:v>
      </x:c>
      <x:c r="D350" s="14" t="str">
        <x:v>Безпека / СКУД / CCTV</x:v>
      </x:c>
      <x:c r="E350" s="14" t="str">
        <x:v>Expansion discovery</x:v>
      </x:c>
      <x:c r="F350" s="14" t="str">
        <x:v>I2</x:v>
      </x:c>
      <x:c r="G350" s="14" t="n">
        <x:v>59</x:v>
      </x:c>
      <x:c r="H350" s="14" t="n">
        <x:v>2</x:v>
      </x:c>
      <x:c r="I350" s="14" t="n">
        <x:v>2</x:v>
      </x:c>
      <x:c r="J350" s="18" t="n">
        <x:v>62880</x:v>
      </x:c>
      <x:c r="K350" s="19" t="n">
        <x:v>46213.31861041667</x:v>
      </x:c>
      <x:c r="L350" s="19" t="n">
        <x:v>46387.36189814815</x:v>
      </x:c>
      <x:c r="M350" s="15" t="str">
        <x:v>Послуга з монтажу, установки системи відеоспостереження</x:v>
      </x:c>
      <x:c r="N350" s="15" t="str">
        <x:v>https://prozorro.gov.ua/tender/UA-2026-07-10-002250-a</x:v>
      </x:c>
    </x:row>
    <x:row r="351">
      <x:c r="A351" s="14" t="n">
        <x:v>347</x:v>
      </x:c>
      <x:c r="B351" s="14" t="str">
        <x:v>ТОВ "БУДІНЖЕНЕ­РМЕРЕЖА"</x:v>
      </x:c>
      <x:c r="C351" s="14" t="str">
        <x:v>38374561</x:v>
      </x:c>
      <x:c r="D351" s="14" t="str">
        <x:v>ГНБ / безтраншейні роботи</x:v>
      </x:c>
      <x:c r="E351" s="14" t="str">
        <x:v>Expansion discovery</x:v>
      </x:c>
      <x:c r="F351" s="14" t="str">
        <x:v>I2</x:v>
      </x:c>
      <x:c r="G351" s="14" t="n">
        <x:v>59</x:v>
      </x:c>
      <x:c r="H351" s="14" t="n">
        <x:v>3</x:v>
      </x:c>
      <x:c r="I351" s="14" t="n">
        <x:v>1</x:v>
      </x:c>
      <x:c r="J351" s="18" t="n">
        <x:v>39591394.91</x:v>
      </x:c>
      <x:c r="K351" s="19" t="n">
        <x:v>45951.48272947917</x:v>
      </x:c>
      <x:c r="L351" s="19" t="n">
        <x:v>46022</x:v>
      </x:c>
      <x:c r="M351" s="15" t="str">
        <x:v>ДК 021:2015: 45230000-8 Будівництво трубопроводів, ліній зв’язку та електропередач, шосе, доріг, аеродромів і залізничних доріг; вирівнювання поверхонь; 45231113-0 Заміна трубопроводів (роботи з ліквідації аварійної ситуації (капітальний ремонт) на припливному міському каналізаційному колекторі Д=500мм до КНС «Водопарк», за адресою: вул. Академіка Кухаря, 2 у Деснянському районі м. Києва)</x:v>
      </x:c>
      <x:c r="N351" s="15" t="str">
        <x:v>https://prozorro.gov.ua/tender/UA-2025-09-23-005872-a</x:v>
      </x:c>
    </x:row>
    <x:row r="352">
      <x:c r="A352" s="14" t="n">
        <x:v>348</x:v>
      </x:c>
      <x:c r="B352" s="14" t="str">
        <x:v>ТОВАРИСТВО З ОБМЕЖЕНОЮ ВІДПОВІДАЛЬНІСТЮ "ОРГАГРОБУД-2012"</x:v>
      </x:c>
      <x:c r="C352" s="14" t="str">
        <x:v>31379102</x:v>
      </x:c>
      <x:c r="D352" s="14" t="str">
        <x:v>Металоконструкції</x:v>
      </x:c>
      <x:c r="E352" s="14" t="str">
        <x:v>Expansion discovery</x:v>
      </x:c>
      <x:c r="F352" s="14" t="str">
        <x:v>I2</x:v>
      </x:c>
      <x:c r="G352" s="14" t="n">
        <x:v>59</x:v>
      </x:c>
      <x:c r="H352" s="14" t="n">
        <x:v>2</x:v>
      </x:c>
      <x:c r="I352" s="14" t="n">
        <x:v>1</x:v>
      </x:c>
      <x:c r="J352" s="18" t="n">
        <x:v>25968</x:v>
      </x:c>
      <x:c r="K352" s="19" t="n">
        <x:v>46188.523856875</x:v>
      </x:c>
      <x:c r="L352" s="19" t="n">
        <x:v>46387</x:v>
      </x:c>
      <x:c r="M352" s="15" t="str">
        <x:v>Монтаж металоконструкцій паркану з сітки рабиці в кутику (7 секцій) (код згідно ЄЗС ДК 021:2015: 45340000-2 Зведення огорож, монтаж поручнів і захисних засобів)</x:v>
      </x:c>
      <x:c r="N352" s="15" t="str">
        <x:v>https://prozorro.gov.ua/tender/UA-2026-06-15-009957-a</x:v>
      </x:c>
    </x:row>
    <x:row r="353">
      <x:c r="A353" s="14" t="n">
        <x:v>349</x:v>
      </x:c>
      <x:c r="B353" s="14" t="str">
        <x:v>ФОП Федулов Дмитро Олегович</x:v>
      </x:c>
      <x:c r="C353" s="14" t="str">
        <x:v>3254612492</x:v>
      </x:c>
      <x:c r="D353" s="14" t="str">
        <x:v>Резервне живлення</x:v>
      </x:c>
      <x:c r="E353" s="14" t="str">
        <x:v>Pilot now</x:v>
      </x:c>
      <x:c r="F353" s="14" t="str">
        <x:v>I2</x:v>
      </x:c>
      <x:c r="G353" s="14" t="n">
        <x:v>59</x:v>
      </x:c>
      <x:c r="H353" s="14" t="n">
        <x:v>2</x:v>
      </x:c>
      <x:c r="I353" s="14" t="n">
        <x:v>1</x:v>
      </x:c>
      <x:c r="J353" s="18" t="n">
        <x:v>97500</x:v>
      </x:c>
      <x:c r="K353" s="19" t="n">
        <x:v>46253.403634814815</x:v>
      </x:c>
      <x:c r="L353" s="19" t="n">
        <x:v>46265</x:v>
      </x:c>
      <x:c r="M353" s="15" t="str">
        <x:v>Послуги з монтажу тимчасової захисної конструкції навколо дизель-генератора за адресою: 69035, м. Запоріжжя, вул. Леоніда Жаботинського, буд. 32 за кодом ДК 021:2015: 45340000-2 «Зведення огорож, монтаж поручнів і захисних засобів»</x:v>
      </x:c>
      <x:c r="N353" s="15" t="str">
        <x:v>https://prozorro.gov.ua/tender/UA-2026-08-19-005773-a</x:v>
      </x:c>
    </x:row>
    <x:row r="354">
      <x:c r="A354" s="14" t="n">
        <x:v>350</x:v>
      </x:c>
      <x:c r="B354" s="14" t="str">
        <x:v>Дочірнє підприємство "Криворіжагробуд" приватного акціонерного товариства "Криворіжгазбуд"</x:v>
      </x:c>
      <x:c r="C354" s="14" t="str">
        <x:v>32627129</x:v>
      </x:c>
      <x:c r="D354" s="14" t="str">
        <x:v>Насосні станції</x:v>
      </x:c>
      <x:c r="E354" s="14" t="str">
        <x:v>Expansion discovery</x:v>
      </x:c>
      <x:c r="F354" s="14" t="str">
        <x:v>I2</x:v>
      </x:c>
      <x:c r="G354" s="14" t="n">
        <x:v>59</x:v>
      </x:c>
      <x:c r="H354" s="14" t="n">
        <x:v>2</x:v>
      </x:c>
      <x:c r="I354" s="14" t="n">
        <x:v>0</x:v>
      </x:c>
      <x:c r="J354" s="18" t="n">
        <x:v>16696936.8</x:v>
      </x:c>
      <x:c r="K354" s="19" t="n">
        <x:v>45877.47949543982</x:v>
      </x:c>
      <x:c r="L354" s="19" t="n">
        <x:v>46011</x:v>
      </x:c>
      <x:c r="M354" s="15" t="str">
        <x:v>Додаткові роботи по об’єкту «Будівництво ділянки самопливного каналізаційного колектора від мкр. Сонячного»</x:v>
      </x:c>
      <x:c r="N354" s="15" t="str">
        <x:v>https://prozorro.gov.ua/tender/UA-2025-08-08-007679-a</x:v>
      </x:c>
    </x:row>
    <x:row r="355">
      <x:c r="A355" s="14" t="n">
        <x:v>351</x:v>
      </x:c>
      <x:c r="B355" s="14" t="str">
        <x:v>ПП "Компанія Інсталбуд"</x:v>
      </x:c>
      <x:c r="C355" s="14" t="str">
        <x:v>33465397</x:v>
      </x:c>
      <x:c r="D355" s="14" t="str">
        <x:v>ГНБ / безтраншейні роботи</x:v>
      </x:c>
      <x:c r="E355" s="14" t="str">
        <x:v>Expansion discovery</x:v>
      </x:c>
      <x:c r="F355" s="14" t="str">
        <x:v>I2</x:v>
      </x:c>
      <x:c r="G355" s="14" t="n">
        <x:v>59</x:v>
      </x:c>
      <x:c r="H355" s="14" t="n">
        <x:v>6</x:v>
      </x:c>
      <x:c r="I355" s="14" t="n">
        <x:v>0</x:v>
      </x:c>
      <x:c r="J355" s="18" t="n">
        <x:v>1430082.49</x:v>
      </x:c>
      <x:c r="K355" s="19" t="n">
        <x:v>45635.56451888889</x:v>
      </x:c>
      <x:c r="L355" s="19" t="n">
        <x:v>45657.47255787037</x:v>
      </x:c>
      <x:c r="M355" s="15" t="str">
        <x:v>Капітальний ремонт аварійної ділянки каналізаційної мережі по вул. Шашкевича (перехід методом горизонтально-направленого буріння по вулиці Шашкевича у місті Золочів Золочівського району Львівської області)</x:v>
      </x:c>
      <x:c r="N355" s="15" t="str">
        <x:v>https://prozorro.gov.ua/tender/UA-2024-12-09-009669-a</x:v>
      </x:c>
    </x:row>
    <x:row r="356">
      <x:c r="A356" s="14" t="n">
        <x:v>352</x:v>
      </x:c>
      <x:c r="B356" s="14" t="str">
        <x:v>ПРИВАТНЕ ПІДПРИЄМСТВО "БУТТЕКС"</x:v>
      </x:c>
      <x:c r="C356" s="14" t="str">
        <x:v>36217960</x:v>
      </x:c>
      <x:c r="D356" s="14" t="str">
        <x:v>Ліфти та підйомники</x:v>
      </x:c>
      <x:c r="E356" s="14" t="str">
        <x:v>Expansion discovery</x:v>
      </x:c>
      <x:c r="F356" s="14" t="str">
        <x:v>I2</x:v>
      </x:c>
      <x:c r="G356" s="14" t="n">
        <x:v>59</x:v>
      </x:c>
      <x:c r="H356" s="14" t="n">
        <x:v>6</x:v>
      </x:c>
      <x:c r="I356" s="14" t="n">
        <x:v>0</x:v>
      </x:c>
      <x:c r="J356" s="18" t="n">
        <x:v>124700</x:v>
      </x:c>
      <x:c r="K356" s="19" t="n">
        <x:v>45981.39589423611</x:v>
      </x:c>
      <x:c r="L356" s="19" t="n">
        <x:v>46022</x:v>
      </x:c>
      <x:c r="M356" s="15" t="str">
        <x:v>45313000-4 Монтаж ліфтів та ескалаторів - Ремонт пасажирських ліфтів</x:v>
      </x:c>
      <x:c r="N356" s="15" t="str">
        <x:v>https://prozorro.gov.ua/tender/UA-2025-11-20-004979-a</x:v>
      </x:c>
    </x:row>
    <x:row r="357">
      <x:c r="A357" s="14" t="n">
        <x:v>353</x:v>
      </x:c>
      <x:c r="B357" s="14" t="str">
        <x:v>ПРИВАТНЕ ПІДПРИЄМСТВО "ДЕКО СНАБ"</x:v>
      </x:c>
      <x:c r="C357" s="14" t="str">
        <x:v>40475330</x:v>
      </x:c>
      <x:c r="D357" s="14" t="str">
        <x:v>Теплові пункти</x:v>
      </x:c>
      <x:c r="E357" s="14" t="str">
        <x:v>Expansion discovery</x:v>
      </x:c>
      <x:c r="F357" s="14" t="str">
        <x:v>I2</x:v>
      </x:c>
      <x:c r="G357" s="14" t="n">
        <x:v>59</x:v>
      </x:c>
      <x:c r="H357" s="14" t="n">
        <x:v>6</x:v>
      </x:c>
      <x:c r="I357" s="14" t="n">
        <x:v>0</x:v>
      </x:c>
      <x:c r="J357" s="18" t="n">
        <x:v>967592.56</x:v>
      </x:c>
      <x:c r="K357" s="19" t="n">
        <x:v>45398.47249931713</x:v>
      </x:c>
      <x:c r="L357" s="19" t="n">
        <x:v>45442</x:v>
      </x:c>
      <x:c r="M357" s="15" t="str">
        <x:v>Реконструкція індивідуального теплового пункту за адресою:м. Миколаїв, вул. Чорновола,5; 45230000-8	Будівництво трубопроводів, ліній зв’язку та електропередач, шосе, доріг, аеродромів і залізничних доріг; вирівнювання поверхонь
</x:v>
      </x:c>
      <x:c r="N357" s="15" t="str">
        <x:v>https://prozorro.gov.ua/tender/UA-2024-04-16-007966-a</x:v>
      </x:c>
    </x:row>
    <x:row r="358">
      <x:c r="A358" s="14" t="n">
        <x:v>354</x:v>
      </x:c>
      <x:c r="B358" s="14" t="str">
        <x:v>ТОВ "НЕОКОМ"</x:v>
      </x:c>
      <x:c r="C358" s="14" t="str">
        <x:v>32818500</x:v>
      </x:c>
      <x:c r="D358" s="14" t="str">
        <x:v>ВОЛЗ / телеком</x:v>
      </x:c>
      <x:c r="E358" s="14" t="str">
        <x:v>Expansion discovery</x:v>
      </x:c>
      <x:c r="F358" s="14" t="str">
        <x:v>I2</x:v>
      </x:c>
      <x:c r="G358" s="14" t="n">
        <x:v>59</x:v>
      </x:c>
      <x:c r="H358" s="14" t="n">
        <x:v>4</x:v>
      </x:c>
      <x:c r="I358" s="14" t="n">
        <x:v>0</x:v>
      </x:c>
      <x:c r="J358" s="18" t="n">
        <x:v>1156837</x:v>
      </x:c>
      <x:c r="K358" s="19" t="n">
        <x:v>45747.38219435185</x:v>
      </x:c>
      <x:c r="L358" s="19" t="n">
        <x:v>46022.425729166665</x:v>
      </x:c>
      <x:c r="M358" s="15" t="str">
        <x:v>Послуги з монтажу оптичної мережі підприємства (ДК 021:2015 64220000-4 Телекомунікаційні послуги, крім послуг телефонного зв’язку і передачі даних (64221000-1 Послуги з під’єднання))</x:v>
      </x:c>
      <x:c r="N358" s="15" t="str">
        <x:v>https://prozorro.gov.ua/tender/UA-2025-03-31-004356-a</x:v>
      </x:c>
    </x:row>
    <x:row r="359">
      <x:c r="A359" s="14" t="n">
        <x:v>355</x:v>
      </x:c>
      <x:c r="B359" s="14" t="str">
        <x:v>Товариство з обмеженою відповідальністю "РТ - Телеком"</x:v>
      </x:c>
      <x:c r="C359" s="14" t="str">
        <x:v>39643312</x:v>
      </x:c>
      <x:c r="D359" s="14" t="str">
        <x:v>ВОЛЗ / телеком</x:v>
      </x:c>
      <x:c r="E359" s="14" t="str">
        <x:v>Expansion discovery</x:v>
      </x:c>
      <x:c r="F359" s="14" t="str">
        <x:v>I2</x:v>
      </x:c>
      <x:c r="G359" s="14" t="n">
        <x:v>59</x:v>
      </x:c>
      <x:c r="H359" s="14" t="n">
        <x:v>5</x:v>
      </x:c>
      <x:c r="I359" s="14" t="n">
        <x:v>0</x:v>
      </x:c>
      <x:c r="J359" s="18" t="n">
        <x:v>214210.31</x:v>
      </x:c>
      <x:c r="K359" s="19" t="n">
        <x:v>45924.33279497685</x:v>
      </x:c>
      <x:c r="L359" s="19" t="n">
        <x:v>45965.416666666664</x:v>
      </x:c>
      <x:c r="M359" s="15" t="str">
        <x:v>Послуги з розробки робочого проекту з будівництва волоконно-оптичної лінії зв'язку</x:v>
      </x:c>
      <x:c r="N359" s="15" t="str">
        <x:v>https://prozorro.gov.ua/tender/UA-2025-09-24-003287-a</x:v>
      </x:c>
    </x:row>
    <x:row r="360">
      <x:c r="A360" s="14" t="n">
        <x:v>356</x:v>
      </x:c>
      <x:c r="B360" s="14" t="str">
        <x:v>ФОП Барчук Віталій Анатолійович</x:v>
      </x:c>
      <x:c r="C360" s="14" t="str">
        <x:v>3163908356</x:v>
      </x:c>
      <x:c r="D360" s="14" t="str">
        <x:v>Блискавкозахист / заземлення</x:v>
      </x:c>
      <x:c r="E360" s="14" t="str">
        <x:v>Pilot now</x:v>
      </x:c>
      <x:c r="F360" s="14" t="str">
        <x:v>I2</x:v>
      </x:c>
      <x:c r="G360" s="14" t="n">
        <x:v>59</x:v>
      </x:c>
      <x:c r="H360" s="14" t="n">
        <x:v>4</x:v>
      </x:c>
      <x:c r="I360" s="14" t="n">
        <x:v>0</x:v>
      </x:c>
      <x:c r="J360" s="18" t="n">
        <x:v>283130.48</x:v>
      </x:c>
      <x:c r="K360" s="19" t="n">
        <x:v>45982.60709128472</x:v>
      </x:c>
      <x:c r="L360" s="19" t="n">
        <x:v>46022</x:v>
      </x:c>
      <x:c r="M360" s="15" t="str">
        <x:v>Послуги з монтажу зовнішньої системи блискавкозахисту будівлі нічного притулку</x:v>
      </x:c>
      <x:c r="N360" s="15" t="str">
        <x:v>https://prozorro.gov.ua/tender/UA-2025-11-21-014919-a</x:v>
      </x:c>
    </x:row>
    <x:row r="361">
      <x:c r="A361" s="14" t="n">
        <x:v>357</x:v>
      </x:c>
      <x:c r="B361" s="14" t="str">
        <x:v>ПП Явір-2000</x:v>
      </x:c>
      <x:c r="C361" s="14" t="str">
        <x:v>31175036</x:v>
      </x:c>
      <x:c r="D361" s="14" t="str">
        <x:v>Газопостачання / котельні</x:v>
      </x:c>
      <x:c r="E361" s="14" t="str">
        <x:v>Expansion discovery</x:v>
      </x:c>
      <x:c r="F361" s="14" t="str">
        <x:v>I2</x:v>
      </x:c>
      <x:c r="G361" s="14" t="n">
        <x:v>58</x:v>
      </x:c>
      <x:c r="H361" s="14" t="n">
        <x:v>5</x:v>
      </x:c>
      <x:c r="I361" s="14" t="n">
        <x:v>3</x:v>
      </x:c>
      <x:c r="J361" s="18" t="n">
        <x:v>1417270.08</x:v>
      </x:c>
      <x:c r="K361" s="19" t="n">
        <x:v>45988.561781585646</x:v>
      </x:c>
      <x:c r="L361" s="19" t="n">
        <x:v>46326</x:v>
      </x:c>
      <x:c r="M361" s="15" t="str">
        <x:v>Реконструкція "ІНШОЇ ЧАСТИНИ ПС 110/35/10 КВ Красноград (інв.№ 00565947/01(, з улаштуванням системи телемеханіки, за адресою: Харківська обл., Красноградський р-н, м. Красноград, вул. Українська"</x:v>
      </x:c>
      <x:c r="N361" s="15" t="str">
        <x:v>https://prozorro.gov.ua/tender/UA-2025-11-27-013570-a</x:v>
      </x:c>
    </x:row>
    <x:row r="362">
      <x:c r="A362" s="14" t="n">
        <x:v>358</x:v>
      </x:c>
      <x:c r="B362" s="14" t="str">
        <x:v>ФОП Ільченко Олександр Олександрович</x:v>
      </x:c>
      <x:c r="C362" s="14" t="str">
        <x:v>3372207010</x:v>
      </x:c>
      <x:c r="D362" s="14" t="str">
        <x:v>Благоустрій</x:v>
      </x:c>
      <x:c r="E362" s="14" t="str">
        <x:v>Expansion discovery</x:v>
      </x:c>
      <x:c r="F362" s="14" t="str">
        <x:v>I2</x:v>
      </x:c>
      <x:c r="G362" s="14" t="n">
        <x:v>58</x:v>
      </x:c>
      <x:c r="H362" s="14" t="n">
        <x:v>3</x:v>
      </x:c>
      <x:c r="I362" s="14" t="n">
        <x:v>2</x:v>
      </x:c>
      <x:c r="J362" s="18" t="n">
        <x:v>1827343</x:v>
      </x:c>
      <x:c r="K362" s="19" t="n">
        <x:v>46094.51362167824</x:v>
      </x:c>
      <x:c r="L362" s="19" t="n">
        <x:v>46387.4303125</x:v>
      </x:c>
      <x:c r="M362"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362" s="15" t="str">
        <x:v>https://prozorro.gov.ua/tender/UA-2026-03-03-006192-a</x:v>
      </x:c>
    </x:row>
    <x:row r="363">
      <x:c r="A363" s="14" t="n">
        <x:v>359</x:v>
      </x:c>
      <x:c r="B363" s="14" t="str">
        <x:v>ПРИВАТНЕ ПІДПРИЄМСТВО "АНАБУД"</x:v>
      </x:c>
      <x:c r="C363" s="14" t="str">
        <x:v>31564367</x:v>
      </x:c>
      <x:c r="D363" s="14" t="str">
        <x:v>Теплові мережі</x:v>
      </x:c>
      <x:c r="E363" s="14" t="str">
        <x:v>Expansion discovery</x:v>
      </x:c>
      <x:c r="F363" s="14" t="str">
        <x:v>I2</x:v>
      </x:c>
      <x:c r="G363" s="14" t="n">
        <x:v>58</x:v>
      </x:c>
      <x:c r="H363" s="14" t="n">
        <x:v>1</x:v>
      </x:c>
      <x:c r="I363" s="14" t="n">
        <x:v>1</x:v>
      </x:c>
      <x:c r="J363" s="18" t="n">
        <x:v>9335862</x:v>
      </x:c>
      <x:c r="K363" s="19" t="n">
        <x:v>46209.45089113426</x:v>
      </x:c>
      <x:c r="L363" s="19" t="n">
        <x:v>46295</x:v>
      </x:c>
      <x:c r="M363" s="15" t="str">
        <x:v>Реконструкція із заміною теплової мережі по вул. Привокзальна площа,5,м.Ірпінь. Ділянка ТК1-ТК3</x:v>
      </x:c>
      <x:c r="N363" s="15" t="str">
        <x:v>https://prozorro.gov.ua/tender/UA-2026-07-06-005423-a</x:v>
      </x:c>
    </x:row>
    <x:row r="364">
      <x:c r="A364" s="14" t="n">
        <x:v>360</x:v>
      </x:c>
      <x:c r="B364" s="14" t="str">
        <x:v>ПРИВАТНЕ ПІДПРИЄМСТВО "СМАРТ ЛІФТ"</x:v>
      </x:c>
      <x:c r="C364" s="14" t="str">
        <x:v>42194936</x:v>
      </x:c>
      <x:c r="D364" s="14" t="str">
        <x:v>Ліфти та підйомники</x:v>
      </x:c>
      <x:c r="E364" s="14" t="str">
        <x:v>Expansion discovery</x:v>
      </x:c>
      <x:c r="F364" s="14" t="str">
        <x:v>I2</x:v>
      </x:c>
      <x:c r="G364" s="14" t="n">
        <x:v>58</x:v>
      </x:c>
      <x:c r="H364" s="14" t="n">
        <x:v>1</x:v>
      </x:c>
      <x:c r="I364" s="14" t="n">
        <x:v>1</x:v>
      </x:c>
      <x:c r="J364" s="18" t="n">
        <x:v>4695111.95</x:v>
      </x:c>
      <x:c r="K364" s="19" t="n">
        <x:v>46162.29879832176</x:v>
      </x:c>
      <x:c r="L364" s="19" t="n">
        <x:v>46752.55453703704</x:v>
      </x:c>
      <x:c r="M364"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x:v>
      </x:c>
      <x:c r="N364" s="15" t="str">
        <x:v>https://prozorro.gov.ua/tender/UA-2026-04-28-010580-a</x:v>
      </x:c>
    </x:row>
    <x:row r="365">
      <x:c r="A365" s="14" t="n">
        <x:v>361</x:v>
      </x:c>
      <x:c r="B365" s="14" t="str">
        <x:v>ТОВ "ЕНЕРГІЯ ПРИРОДИ ПЛЮС"</x:v>
      </x:c>
      <x:c r="C365" s="14" t="str">
        <x:v>43599450</x:v>
      </x:c>
      <x:c r="D365" s="14" t="str">
        <x:v>Сонячна енергетика</x:v>
      </x:c>
      <x:c r="E365" s="14" t="str">
        <x:v>Expansion discovery</x:v>
      </x:c>
      <x:c r="F365" s="14" t="str">
        <x:v>I2</x:v>
      </x:c>
      <x:c r="G365" s="14" t="n">
        <x:v>58</x:v>
      </x:c>
      <x:c r="H365" s="14" t="n">
        <x:v>1</x:v>
      </x:c>
      <x:c r="I365" s="14" t="n">
        <x:v>1</x:v>
      </x:c>
      <x:c r="J365" s="18" t="n">
        <x:v>2572971.3</x:v>
      </x:c>
      <x:c r="K365" s="19" t="n">
        <x:v>46185.33913443287</x:v>
      </x:c>
      <x:c r="L365" s="19" t="n">
        <x:v>46265.52082175926</x:v>
      </x:c>
      <x:c r="M365" s="15" t="str">
        <x:v>Придбання та монтаж енергоефективного обладнання для гібридної сонячної електростанції</x:v>
      </x:c>
      <x:c r="N365" s="15" t="str">
        <x:v>https://prozorro.gov.ua/tender/UA-2026-05-28-009497-a</x:v>
      </x:c>
    </x:row>
    <x:row r="366">
      <x:c r="A366" s="14" t="n">
        <x:v>362</x:v>
      </x:c>
      <x:c r="B366" s="14" t="str">
        <x:v>ТОВ "ПСВ-ІНЖИНІРИНГ"</x:v>
      </x:c>
      <x:c r="C366" s="14" t="str">
        <x:v>36984872</x:v>
      </x:c>
      <x:c r="D366" s="14" t="str">
        <x:v>Накопичення енергії / BESS</x:v>
      </x:c>
      <x:c r="E366" s="14" t="str">
        <x:v>Expansion discovery</x:v>
      </x:c>
      <x:c r="F366" s="14" t="str">
        <x:v>I2</x:v>
      </x:c>
      <x:c r="G366" s="14" t="n">
        <x:v>58</x:v>
      </x:c>
      <x:c r="H366" s="14" t="n">
        <x:v>1</x:v>
      </x:c>
      <x:c r="I366" s="14" t="n">
        <x:v>1</x:v>
      </x:c>
      <x:c r="J366" s="18" t="n">
        <x:v>5530000</x:v>
      </x:c>
      <x:c r="K366" s="19" t="n">
        <x:v>46167.28479981481</x:v>
      </x:c>
      <x:c r="L366" s="19" t="n">
        <x:v>46265</x:v>
      </x:c>
      <x:c r="M366" s="15" t="str">
        <x:v>«Нове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(код ДК 021:2015: 45250000-4 — Будівництво заводів / установок, гірничодобувних і переробних об’єктів та об’єктів нафтогазової інфраструктури)</x:v>
      </x:c>
      <x:c r="N366" s="15" t="str">
        <x:v>https://prozorro.gov.ua/tender/UA-2026-04-24-012291-a</x:v>
      </x:c>
    </x:row>
    <x:row r="367">
      <x:c r="A367" s="14" t="n">
        <x:v>363</x:v>
      </x:c>
      <x:c r="B367" s="14" t="str">
        <x:v>ТОВ Лабораторія НК та ТД</x:v>
      </x:c>
      <x:c r="C367" s="14" t="str">
        <x:v>31445850</x:v>
      </x:c>
      <x:c r="D367" s="14" t="str">
        <x:v>Фасади та скління</x:v>
      </x:c>
      <x:c r="E367" s="14" t="str">
        <x:v>Expansion discovery</x:v>
      </x:c>
      <x:c r="F367" s="14" t="str">
        <x:v>I2</x:v>
      </x:c>
      <x:c r="G367" s="14" t="n">
        <x:v>58</x:v>
      </x:c>
      <x:c r="H367" s="14" t="n">
        <x:v>1</x:v>
      </x:c>
      <x:c r="I367" s="14" t="n">
        <x:v>1</x:v>
      </x:c>
      <x:c r="J367" s="18" t="n">
        <x:v>3189942</x:v>
      </x:c>
      <x:c r="K367" s="19" t="n">
        <x:v>46163.52417451389</x:v>
      </x:c>
      <x:c r="L367" s="19" t="n">
        <x:v>46381</x:v>
      </x:c>
      <x:c r="M367"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x:v>
      </x:c>
      <x:c r="N367" s="15" t="str">
        <x:v>https://prozorro.gov.ua/tender/UA-2026-05-07-005266-a</x:v>
      </x:c>
    </x:row>
    <x:row r="368">
      <x:c r="A368" s="14" t="n">
        <x:v>364</x:v>
      </x:c>
      <x:c r="B368" s="14" t="str">
        <x:v>ТОВАРИСТВО З ОБМЕЖЕНОЮ ВІДПОВІДАЛЬНІСТЮ "АКТИВОЛЬТ"</x:v>
      </x:c>
      <x:c r="C368" s="14" t="str">
        <x:v>39044710</x:v>
      </x:c>
      <x:c r="D368" s="14" t="str">
        <x:v>Промислова автоматизація / SCADA</x:v>
      </x:c>
      <x:c r="E368" s="14" t="str">
        <x:v>Expansion discovery</x:v>
      </x:c>
      <x:c r="F368" s="14" t="str">
        <x:v>I2</x:v>
      </x:c>
      <x:c r="G368" s="14" t="n">
        <x:v>58</x:v>
      </x:c>
      <x:c r="H368" s="14" t="n">
        <x:v>1</x:v>
      </x:c>
      <x:c r="I368" s="14" t="n">
        <x:v>1</x:v>
      </x:c>
      <x:c r="J368" s="18" t="n">
        <x:v>2468688</x:v>
      </x:c>
      <x:c r="K368" s="19" t="n">
        <x:v>46170.34395568287</x:v>
      </x:c>
      <x:c r="L368" s="19" t="n">
        <x:v>46387</x:v>
      </x:c>
      <x:c r="M368" s="15" t="str">
        <x:v>код 45317000-2 за ДК 021:2015 «Інші електромонтажні роботи» (реконструкція ПС «Льонокомбінат». Система телемеханіки та зв’язку)</x:v>
      </x:c>
      <x:c r="N368" s="15" t="str">
        <x:v>https://prozorro.gov.ua/tender/UA-2026-05-12-014647-a</x:v>
      </x:c>
    </x:row>
    <x:row r="369">
      <x:c r="A369" s="14" t="n">
        <x:v>365</x:v>
      </x:c>
      <x:c r="B369" s="14" t="str">
        <x:v>ТОВАРИСТВО З ОБМЕЖЕНОЮ ВІДПОВІДАЛЬНІСТЮ "ІНФО ТЕХ СЕРВІС"</x:v>
      </x:c>
      <x:c r="C369" s="14" t="str">
        <x:v>45147454</x:v>
      </x:c>
      <x:c r="D369" s="14" t="str">
        <x:v>Дорожні роботи</x:v>
      </x:c>
      <x:c r="E369" s="14" t="str">
        <x:v>Expansion discovery</x:v>
      </x:c>
      <x:c r="F369" s="14" t="str">
        <x:v>I2</x:v>
      </x:c>
      <x:c r="G369" s="14" t="n">
        <x:v>58</x:v>
      </x:c>
      <x:c r="H369" s="14" t="n">
        <x:v>1</x:v>
      </x:c>
      <x:c r="I369" s="14" t="n">
        <x:v>1</x:v>
      </x:c>
      <x:c r="J369" s="18" t="n">
        <x:v>7197311.84</x:v>
      </x:c>
      <x:c r="K369" s="19" t="n">
        <x:v>46205.71441153935</x:v>
      </x:c>
      <x:c r="L369" s="19" t="n">
        <x:v>46376</x:v>
      </x:c>
      <x:c r="M369" s="15" t="str">
        <x:v>Капітальний ремонт дорожнього покриття автодороги по вул. Кошова в м. Самар Дніпропетровської області</x:v>
      </x:c>
      <x:c r="N369" s="15" t="str">
        <x:v>https://prozorro.gov.ua/tender/UA-2026-06-17-014030-a</x:v>
      </x:c>
    </x:row>
    <x:row r="370">
      <x:c r="A370" s="14" t="n">
        <x:v>366</x:v>
      </x:c>
      <x:c r="B370" s="14" t="str">
        <x:v>ТОВАРИСТВО З ОБМЕЖЕНОЮ ВІДПОВІДАЛЬНІСТЮ "СПЕЦРЕМ"</x:v>
      </x:c>
      <x:c r="C370" s="14" t="str">
        <x:v>39621928</x:v>
      </x:c>
      <x:c r="D370" s="14" t="str">
        <x:v>Теплові мережі</x:v>
      </x:c>
      <x:c r="E370" s="14" t="str">
        <x:v>Expansion discovery</x:v>
      </x:c>
      <x:c r="F370" s="14" t="str">
        <x:v>I2</x:v>
      </x:c>
      <x:c r="G370" s="14" t="n">
        <x:v>58</x:v>
      </x:c>
      <x:c r="H370" s="14" t="n">
        <x:v>1</x:v>
      </x:c>
      <x:c r="I370" s="14" t="n">
        <x:v>1</x:v>
      </x:c>
      <x:c r="J370" s="18" t="n">
        <x:v>4015901.51</x:v>
      </x:c>
      <x:c r="K370" s="19" t="n">
        <x:v>46157.462898460646</x:v>
      </x:c>
      <x:c r="L370" s="19" t="n">
        <x:v>46325.916655092595</x:v>
      </x:c>
      <x:c r="M370" s="15" t="str">
        <x:v>Реконструкція (відновлення) теплових мереж на ділянці від МК4162 до ВТ4162-3 по вул. Данилевського в м. Харкові  (код ДК 021:2015 – 45454000 -4 - Реконструкція)
</x:v>
      </x:c>
      <x:c r="N370" s="15" t="str">
        <x:v>https://prozorro.gov.ua/tender/UA-2026-04-25-000265-a</x:v>
      </x:c>
    </x:row>
    <x:row r="371">
      <x:c r="A371" s="14" t="n">
        <x:v>367</x:v>
      </x:c>
      <x:c r="B371" s="14" t="str">
        <x:v>ТОВАРИСТВО З ОБМЕЖЕНОЮ ВІДПОВІДАЛЬНІСТЮ "УК ЕКСПЕРТИЗА"</x:v>
      </x:c>
      <x:c r="C371" s="14" t="str">
        <x:v>42431096</x:v>
      </x:c>
      <x:c r="D371" s="14" t="str">
        <x:v>Водоочищення / очисні споруди</x:v>
      </x:c>
      <x:c r="E371" s="14" t="str">
        <x:v>Expansion discovery</x:v>
      </x:c>
      <x:c r="F371" s="14" t="str">
        <x:v>I2</x:v>
      </x:c>
      <x:c r="G371" s="14" t="n">
        <x:v>58</x:v>
      </x:c>
      <x:c r="H371" s="14" t="n">
        <x:v>2</x:v>
      </x:c>
      <x:c r="I371" s="14" t="n">
        <x:v>1</x:v>
      </x:c>
      <x:c r="J371" s="18" t="n">
        <x:v>102068</x:v>
      </x:c>
      <x:c r="K371" s="19" t="n">
        <x:v>46188.56181832176</x:v>
      </x:c>
      <x:c r="L371" s="19" t="n">
        <x:v>46387</x:v>
      </x:c>
      <x:c r="M371"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x:v>
      </x:c>
      <x:c r="N371" s="15" t="str">
        <x:v>https://prozorro.gov.ua/tender/UA-2026-06-15-011390-a</x:v>
      </x:c>
    </x:row>
    <x:row r="372">
      <x:c r="A372" s="14" t="n">
        <x:v>368</x:v>
      </x:c>
      <x:c r="B372" s="14" t="str">
        <x:v>Приватне підприємство "СЛУЖБА БЕЗПЕКИ ШВИДКОГО РЕДАГУВАННЯ-1"</x:v>
      </x:c>
      <x:c r="C372" s="14" t="str">
        <x:v>37734609</x:v>
      </x:c>
      <x:c r="D372" s="14" t="str">
        <x:v>Насосні станції</x:v>
      </x:c>
      <x:c r="E372" s="14" t="str">
        <x:v>Expansion discovery</x:v>
      </x:c>
      <x:c r="F372" s="14" t="str">
        <x:v>I2</x:v>
      </x:c>
      <x:c r="G372" s="14" t="n">
        <x:v>58</x:v>
      </x:c>
      <x:c r="H372" s="14" t="n">
        <x:v>3</x:v>
      </x:c>
      <x:c r="I372" s="14" t="n">
        <x:v>0</x:v>
      </x:c>
      <x:c r="J372" s="18" t="n">
        <x:v>610428</x:v>
      </x:c>
      <x:c r="K372" s="19" t="n">
        <x:v>45841.26266958333</x:v>
      </x:c>
      <x:c r="L372" s="19" t="n">
        <x:v>46022.304768518516</x:v>
      </x:c>
      <x:c r="M372" s="15" t="str">
        <x:v>Послуги з охорони майна Комунального підприємства Іванківської селищної ради "Іванківводоканал" на об"єкті незавершеного будівництва "Реконструкція каналізаційної насосної станції з добудовою блоку біологічного доочищення в селище Іванків, Київської області"</x:v>
      </x:c>
      <x:c r="N372" s="15" t="str">
        <x:v>https://prozorro.gov.ua/tender/UA-2025-07-03-000690-a</x:v>
      </x:c>
    </x:row>
    <x:row r="373">
      <x:c r="A373" s="14" t="n">
        <x:v>369</x:v>
      </x:c>
      <x:c r="B373" s="14" t="str">
        <x:v>ТОВ "Будівельно інвестиційна група Атлант"</x:v>
      </x:c>
      <x:c r="C373" s="14" t="str">
        <x:v>42647953</x:v>
      </x:c>
      <x:c r="D373" s="14" t="str">
        <x:v>Ремонт і підсилення бетону</x:v>
      </x:c>
      <x:c r="E373" s="14" t="str">
        <x:v>Expansion discovery</x:v>
      </x:c>
      <x:c r="F373" s="14" t="str">
        <x:v>I2</x:v>
      </x:c>
      <x:c r="G373" s="14" t="n">
        <x:v>58</x:v>
      </x:c>
      <x:c r="H373" s="14" t="n">
        <x:v>3</x:v>
      </x:c>
      <x:c r="I373" s="14" t="n">
        <x:v>0</x:v>
      </x:c>
      <x:c r="J373" s="18" t="n">
        <x:v>1873842.9</x:v>
      </x:c>
      <x:c r="K373" s="19" t="n">
        <x:v>46010.47894555556</x:v>
      </x:c>
      <x:c r="L373" s="19" t="n">
        <x:v>46022</x:v>
      </x:c>
      <x:c r="M373" s="15" t="str">
        <x:v>Капітальний ремонт з підсиленням несучих конструкцій квартири №4 в житловому будинку по вул. Києво-Мироцька, 104 В м. Буча, Київської області - заходи з усунення аварій в багатоквартирному житловому фонді за кодом ДК 021:2015 45450000-6 Інші завершальні будівельні роботи</x:v>
      </x:c>
      <x:c r="N373" s="15" t="str">
        <x:v>https://prozorro.gov.ua/tender/UA-2025-12-19-012753-a</x:v>
      </x:c>
    </x:row>
    <x:row r="374">
      <x:c r="A374" s="14" t="n">
        <x:v>370</x:v>
      </x:c>
      <x:c r="B374" s="14" t="str">
        <x:v>Товариство з обмеженою відповідальністю "БМЗ БУД"</x:v>
      </x:c>
      <x:c r="C374" s="14" t="str">
        <x:v>38774807</x:v>
      </x:c>
      <x:c r="D374" s="14" t="str">
        <x:v>Промислові підлоги та бетон</x:v>
      </x:c>
      <x:c r="E374" s="14" t="str">
        <x:v>Expansion discovery</x:v>
      </x:c>
      <x:c r="F374" s="14" t="str">
        <x:v>I2</x:v>
      </x:c>
      <x:c r="G374" s="14" t="n">
        <x:v>58</x:v>
      </x:c>
      <x:c r="H374" s="14" t="n">
        <x:v>3</x:v>
      </x:c>
      <x:c r="I374" s="14" t="n">
        <x:v>0</x:v>
      </x:c>
      <x:c r="J374" s="18" t="n">
        <x:v>984265.46</x:v>
      </x:c>
      <x:c r="K374" s="19" t="n">
        <x:v>45996.28315358796</x:v>
      </x:c>
      <x:c r="L374" s="19" t="n">
        <x:v>46022.916666655095</x:v>
      </x:c>
      <x:c r="M374"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x:v>
      </x:c>
      <x:c r="N374" s="15" t="str">
        <x:v>https://prozorro.gov.ua/tender/UA-2025-12-05-000564-a</x:v>
      </x:c>
    </x:row>
    <x:row r="375">
      <x:c r="A375" s="14" t="n">
        <x:v>371</x:v>
      </x:c>
      <x:c r="B375" s="14" t="str">
        <x:v>ТОВАРИСТВО З ОБМЕЖЕНОЮ ВІДПОВІДАЛЬНІСТЮ "КОТЕЛЬНІ ЛІКАРНЯНОГО КОМПЛЕКСУ"</x:v>
      </x:c>
      <x:c r="C375" s="14" t="str">
        <x:v>31555944</x:v>
      </x:c>
      <x:c r="D375" s="14" t="str">
        <x:v>Газопостачання / котельні</x:v>
      </x:c>
      <x:c r="E375" s="14" t="str">
        <x:v>Expansion discovery</x:v>
      </x:c>
      <x:c r="F375" s="14" t="str">
        <x:v>I2</x:v>
      </x:c>
      <x:c r="G375" s="14" t="n">
        <x:v>58</x:v>
      </x:c>
      <x:c r="H375" s="14" t="n">
        <x:v>2</x:v>
      </x:c>
      <x:c r="I375" s="14" t="n">
        <x:v>0</x:v>
      </x:c>
      <x:c r="J375" s="18" t="n">
        <x:v>4336759.87</x:v>
      </x:c>
      <x:c r="K375" s="19" t="n">
        <x:v>46170.524269594905</x:v>
      </x:c>
      <x:c r="L375" s="19" t="n">
        <x:v>46203</x:v>
      </x:c>
      <x:c r="M375"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x:v>
      </x:c>
      <x:c r="N375" s="15" t="str">
        <x:v>https://prozorro.gov.ua/tender/UA-2026-05-28-009026-a</x:v>
      </x:c>
    </x:row>
    <x:row r="376">
      <x:c r="A376" s="14" t="n">
        <x:v>372</x:v>
      </x:c>
      <x:c r="B376" s="14" t="str">
        <x:v>Товариство з обмеженою відповідальністю "Технології для бізнесу"</x:v>
      </x:c>
      <x:c r="C376" s="14" t="str">
        <x:v>19331194</x:v>
      </x:c>
      <x:c r="D376" s="14" t="str">
        <x:v>СКС / BMS / слаботочка</x:v>
      </x:c>
      <x:c r="E376" s="14" t="str">
        <x:v>Expansion discovery</x:v>
      </x:c>
      <x:c r="F376" s="14" t="str">
        <x:v>I2</x:v>
      </x:c>
      <x:c r="G376" s="14" t="n">
        <x:v>58</x:v>
      </x:c>
      <x:c r="H376" s="14" t="n">
        <x:v>3</x:v>
      </x:c>
      <x:c r="I376" s="14" t="n">
        <x:v>0</x:v>
      </x:c>
      <x:c r="J376" s="18" t="n">
        <x:v>1873500</x:v>
      </x:c>
      <x:c r="K376" s="19" t="n">
        <x:v>45758.3641950463</x:v>
      </x:c>
      <x:c r="L376" s="19" t="n">
        <x:v>45792</x:v>
      </x:c>
      <x:c r="M376"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x:v>
      </x:c>
      <x:c r="N376" s="15" t="str">
        <x:v>https://prozorro.gov.ua/tender/UA-2025-04-02-002590-a</x:v>
      </x:c>
    </x:row>
    <x:row r="377">
      <x:c r="A377" s="14" t="n">
        <x:v>373</x:v>
      </x:c>
      <x:c r="B377" s="14" t="str">
        <x:v>ТОВАРИСТВО З ОБМЕЖЕНОЮ ВІДПОВІДАЛЬНІСТЮ "ФРОНТ ПРОГРЕС"</x:v>
      </x:c>
      <x:c r="C377" s="14" t="str">
        <x:v>45792162</x:v>
      </x:c>
      <x:c r="D377" s="14" t="str">
        <x:v>Сонячна енергетика</x:v>
      </x:c>
      <x:c r="E377" s="14" t="str">
        <x:v>Pilot now</x:v>
      </x:c>
      <x:c r="F377" s="14" t="str">
        <x:v>I2</x:v>
      </x:c>
      <x:c r="G377" s="14" t="n">
        <x:v>58</x:v>
      </x:c>
      <x:c r="H377" s="14" t="n">
        <x:v>1</x:v>
      </x:c>
      <x:c r="I377" s="14" t="n">
        <x:v>0</x:v>
      </x:c>
      <x:c r="J377" s="18" t="n">
        <x:v>7831361.97</x:v>
      </x:c>
      <x:c r="K377" s="19" t="n">
        <x:v>46161.59492314815</x:v>
      </x:c>
      <x:c r="L377" s="19" t="n">
        <x:v>46234</x:v>
      </x:c>
      <x:c r="M377" s="15" t="str">
        <x:v>Реконструкція системи електропостачання з встановленням сонячної електростанції на території КУ Сумська СШ №25, м. Суми за адресою: м. Суми, вул. Гарбузівська, 80 (ДК 021:2015, код 45214000-0 «Будівництво освітніх та науково-дослідних закладів»)</x:v>
      </x:c>
      <x:c r="N377" s="15" t="str">
        <x:v>https://prozorro.gov.ua/tender/UA-2026-04-08-006968-a</x:v>
      </x:c>
    </x:row>
    <x:row r="378">
      <x:c r="A378" s="14" t="n">
        <x:v>374</x:v>
      </x:c>
      <x:c r="B378" s="14" t="str">
        <x:v>АВЕТІСЯН ГЕВОРГ ФУРМАНОВИЧ</x:v>
      </x:c>
      <x:c r="C378" s="14" t="str">
        <x:v>2729522173</x:v>
      </x:c>
      <x:c r="D378" s="14" t="str">
        <x:v>Мости / інфраструктура</x:v>
      </x:c>
      <x:c r="E378" s="14" t="str">
        <x:v>Expansion discovery</x:v>
      </x:c>
      <x:c r="F378" s="14" t="str">
        <x:v>I3</x:v>
      </x:c>
      <x:c r="G378" s="14" t="n">
        <x:v>57</x:v>
      </x:c>
      <x:c r="H378" s="14" t="n">
        <x:v>2</x:v>
      </x:c>
      <x:c r="I378" s="14" t="n">
        <x:v>2</x:v>
      </x:c>
      <x:c r="J378" s="18" t="n">
        <x:v>399190.25</x:v>
      </x:c>
      <x:c r="K378" s="19" t="n">
        <x:v>46212.252966168984</x:v>
      </x:c>
      <x:c r="L378" s="19" t="n">
        <x:v>46387</x:v>
      </x:c>
      <x:c r="M378" s="15" t="str">
        <x:v>Поточний ремонт відбійників та перил мосту № 1 через річку Синюха в місті Первомайськ Миколаївської області</x:v>
      </x:c>
      <x:c r="N378" s="15" t="str">
        <x:v>https://prozorro.gov.ua/tender/UA-2026-07-09-000490-a</x:v>
      </x:c>
    </x:row>
    <x:row r="379">
      <x:c r="A379" s="14" t="n">
        <x:v>375</x:v>
      </x:c>
      <x:c r="B379" s="14" t="str">
        <x:v>КУРІЛЕЦЬ СЕРГІЙ БОГДАНОВИЧ</x:v>
      </x:c>
      <x:c r="C379" s="14" t="str">
        <x:v>3019912477</x:v>
      </x:c>
      <x:c r="D379" s="14" t="str">
        <x:v>Безпека / СКУД / CCTV</x:v>
      </x:c>
      <x:c r="E379" s="14" t="str">
        <x:v>Expansion discovery</x:v>
      </x:c>
      <x:c r="F379" s="14" t="str">
        <x:v>I3</x:v>
      </x:c>
      <x:c r="G379" s="14" t="n">
        <x:v>57</x:v>
      </x:c>
      <x:c r="H379" s="14" t="n">
        <x:v>2</x:v>
      </x:c>
      <x:c r="I379" s="14" t="n">
        <x:v>2</x:v>
      </x:c>
      <x:c r="J379" s="18" t="n">
        <x:v>123196</x:v>
      </x:c>
      <x:c r="K379" s="19" t="n">
        <x:v>46188.78293744213</x:v>
      </x:c>
      <x:c r="L379" s="19" t="n">
        <x:v>46387</x:v>
      </x:c>
      <x:c r="M379" s="15" t="str">
        <x:v>Послуги з монтажу та налаштування системи відеоспостереження</x:v>
      </x:c>
      <x:c r="N379" s="15" t="str">
        <x:v>https://prozorro.gov.ua/tender/UA-2026-06-15-013408-a</x:v>
      </x:c>
    </x:row>
    <x:row r="380">
      <x:c r="A380" s="14" t="n">
        <x:v>376</x:v>
      </x:c>
      <x:c r="B380" s="14" t="str">
        <x:v>ПАВЛЕНКО ВОЛОДИМИР ЯКОВИЧ</x:v>
      </x:c>
      <x:c r="C380" s="14" t="str">
        <x:v>2332113210</x:v>
      </x:c>
      <x:c r="D380" s="14" t="str">
        <x:v>Газопостачання / котельні</x:v>
      </x:c>
      <x:c r="E380" s="14" t="str">
        <x:v>Expansion discovery</x:v>
      </x:c>
      <x:c r="F380" s="14" t="str">
        <x:v>I3</x:v>
      </x:c>
      <x:c r="G380" s="14" t="n">
        <x:v>57</x:v>
      </x:c>
      <x:c r="H380" s="14" t="n">
        <x:v>2</x:v>
      </x:c>
      <x:c r="I380" s="14" t="n">
        <x:v>2</x:v>
      </x:c>
      <x:c r="J380" s="18" t="n">
        <x:v>207977.5</x:v>
      </x:c>
      <x:c r="K380" s="19" t="n">
        <x:v>46206.48941188657</x:v>
      </x:c>
      <x:c r="L380" s="19" t="n">
        <x:v>46266</x:v>
      </x:c>
      <x:c r="M380"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x:v>
      </x:c>
      <x:c r="N380" s="15" t="str">
        <x:v>https://prozorro.gov.ua/tender/UA-2026-07-03-007395-a</x:v>
      </x:c>
    </x:row>
    <x:row r="381">
      <x:c r="A381" s="14" t="n">
        <x:v>377</x:v>
      </x:c>
      <x:c r="B381" s="14" t="str">
        <x:v>Фізична особа-підприємець Сойка Дарія Олегівна</x:v>
      </x:c>
      <x:c r="C381" s="14" t="str">
        <x:v>3503506967</x:v>
      </x:c>
      <x:c r="D381" s="14" t="str">
        <x:v>HVAC / ОВіК</x:v>
      </x:c>
      <x:c r="E381" s="14" t="str">
        <x:v>Pilot now</x:v>
      </x:c>
      <x:c r="F381" s="14" t="str">
        <x:v>I3</x:v>
      </x:c>
      <x:c r="G381" s="14" t="n">
        <x:v>57</x:v>
      </x:c>
      <x:c r="H381" s="14" t="n">
        <x:v>2</x:v>
      </x:c>
      <x:c r="I381" s="14" t="n">
        <x:v>2</x:v>
      </x:c>
      <x:c r="J381" s="18" t="n">
        <x:v>107000</x:v>
      </x:c>
      <x:c r="K381" s="19" t="n">
        <x:v>46148.43676380787</x:v>
      </x:c>
      <x:c r="L381" s="19" t="n">
        <x:v>46387</x:v>
      </x:c>
      <x:c r="M381"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x:v>
      </x:c>
      <x:c r="N381" s="15" t="str">
        <x:v>https://prozorro.gov.ua/tender/UA-2026-05-06-007489-a</x:v>
      </x:c>
    </x:row>
    <x:row r="382">
      <x:c r="A382" s="14" t="n">
        <x:v>378</x:v>
      </x:c>
      <x:c r="B382" s="14" t="str">
        <x:v>ФОП АЛЄЙНІК ДМИТРО АНАТОЛІЙОВИЧ</x:v>
      </x:c>
      <x:c r="C382" s="14" t="str">
        <x:v>2849708873</x:v>
      </x:c>
      <x:c r="D382" s="14" t="str">
        <x:v>Блискавкозахист / заземлення</x:v>
      </x:c>
      <x:c r="E382" s="14" t="str">
        <x:v>Pilot now</x:v>
      </x:c>
      <x:c r="F382" s="14" t="str">
        <x:v>I3</x:v>
      </x:c>
      <x:c r="G382" s="14" t="n">
        <x:v>57</x:v>
      </x:c>
      <x:c r="H382" s="14" t="n">
        <x:v>2</x:v>
      </x:c>
      <x:c r="I382" s="14" t="n">
        <x:v>2</x:v>
      </x:c>
      <x:c r="J382" s="18" t="n">
        <x:v>197062.54</x:v>
      </x:c>
      <x:c r="K382" s="19" t="n">
        <x:v>46146.5231218287</x:v>
      </x:c>
      <x:c r="L382" s="19" t="n">
        <x:v>46387</x:v>
      </x:c>
      <x:c r="M382" s="15" t="str">
        <x:v>Послуги з монтажу системи блискавкозахисту нежитлової будівлі з п/підвалом літ. "А-2" за адресою: Харківська область, Ізюмський район, м.Балаклія, площа Чернігівця Якова, будинок 2</x:v>
      </x:c>
      <x:c r="N382" s="15" t="str">
        <x:v>https://prozorro.gov.ua/tender/UA-2026-05-04-010406-a</x:v>
      </x:c>
    </x:row>
    <x:row r="383">
      <x:c r="A383" s="14" t="n">
        <x:v>379</x:v>
      </x:c>
      <x:c r="B383" s="14" t="str">
        <x:v>ФОП Штандель Сергій Олегович</x:v>
      </x:c>
      <x:c r="C383" s="14" t="str">
        <x:v>2601704198</x:v>
      </x:c>
      <x:c r="D383" s="14" t="str">
        <x:v>Теплові мережі</x:v>
      </x:c>
      <x:c r="E383" s="14" t="str">
        <x:v>Expansion discovery</x:v>
      </x:c>
      <x:c r="F383" s="14" t="str">
        <x:v>I3</x:v>
      </x:c>
      <x:c r="G383" s="14" t="n">
        <x:v>57</x:v>
      </x:c>
      <x:c r="H383" s="14" t="n">
        <x:v>2</x:v>
      </x:c>
      <x:c r="I383" s="14" t="n">
        <x:v>2</x:v>
      </x:c>
      <x:c r="J383" s="18" t="n">
        <x:v>187696.97</x:v>
      </x:c>
      <x:c r="K383" s="19" t="n">
        <x:v>46209.42884983796</x:v>
      </x:c>
      <x:c r="L383" s="19" t="n">
        <x:v>46387.472766203704</x:v>
      </x:c>
      <x:c r="M383" s="15" t="str">
        <x:v>Технічний нагляд за об’єктом: «Реконструкція ділянки теплової мережі ТК19-ТК20 від котельні по вул. Монастирська, 6 в м. Полтава»</x:v>
      </x:c>
      <x:c r="N383" s="15" t="str">
        <x:v>https://prozorro.gov.ua/tender/UA-2026-07-06-004888-a</x:v>
      </x:c>
    </x:row>
    <x:row r="384">
      <x:c r="A384" s="14" t="n">
        <x:v>380</x:v>
      </x:c>
      <x:c r="B384" s="14" t="str">
        <x:v>ТОВАРИСТВО З ОБМЕЖЕНОЮ ВІДПОВІДАЛЬНІСТЮ "ЕНЕРГОЗБЕРІГАЮЧІ ТЕХНОЛОГІЇ"</x:v>
      </x:c>
      <x:c r="C384" s="14" t="str">
        <x:v>31862999</x:v>
      </x:c>
      <x:c r="D384" s="14" t="str">
        <x:v>Насосні станції</x:v>
      </x:c>
      <x:c r="E384" s="14" t="str">
        <x:v>Expansion discovery</x:v>
      </x:c>
      <x:c r="F384" s="14" t="str">
        <x:v>I3</x:v>
      </x:c>
      <x:c r="G384" s="14" t="n">
        <x:v>57</x:v>
      </x:c>
      <x:c r="H384" s="14" t="n">
        <x:v>1</x:v>
      </x:c>
      <x:c r="I384" s="14" t="n">
        <x:v>1</x:v>
      </x:c>
      <x:c r="J384" s="18" t="n">
        <x:v>22768066.46</x:v>
      </x:c>
      <x:c r="K384" s="19" t="n">
        <x:v>46055.51526798611</x:v>
      </x:c>
      <x:c r="L384" s="19" t="n">
        <x:v>46387</x:v>
      </x:c>
      <x:c r="M384" s="15" t="str">
        <x:v>Нове будівництво каналізаційної насосної станції з колектором по вул. Шкільна в с. Білогородка Бучанського району Київської області</x:v>
      </x:c>
      <x:c r="N384" s="15" t="str">
        <x:v>https://prozorro.gov.ua/tender/UA-2025-12-19-004480-a</x:v>
      </x:c>
    </x:row>
    <x:row r="385">
      <x:c r="A385" s="14" t="n">
        <x:v>381</x:v>
      </x:c>
      <x:c r="B385" s="14" t="str">
        <x:v>ФОП Мельник Віра Володимирівна</x:v>
      </x:c>
      <x:c r="C385" s="14" t="str">
        <x:v>3321810182</x:v>
      </x:c>
      <x:c r="D385" s="14" t="str">
        <x:v>Насосні станції</x:v>
      </x:c>
      <x:c r="E385" s="14" t="str">
        <x:v>Expansion discovery</x:v>
      </x:c>
      <x:c r="F385" s="14" t="str">
        <x:v>I3</x:v>
      </x:c>
      <x:c r="G385" s="14" t="n">
        <x:v>57</x:v>
      </x:c>
      <x:c r="H385" s="14" t="n">
        <x:v>1</x:v>
      </x:c>
      <x:c r="I385" s="14" t="n">
        <x:v>1</x:v>
      </x:c>
      <x:c r="J385" s="18" t="n">
        <x:v>876422.07</x:v>
      </x:c>
      <x:c r="K385" s="19" t="n">
        <x:v>46227.40881574074</x:v>
      </x:c>
      <x:c r="L385" s="19" t="n">
        <x:v>46387.453252314815</x:v>
      </x:c>
      <x:c r="M385" s="15" t="str">
        <x:v>Капітальний ремонт огорожі на території каналізаційної насосної станції по вул. Свято-Троїцька, 3-В в с. Велика Олександрівка Бориспільського району Київської області</x:v>
      </x:c>
      <x:c r="N385" s="15" t="str">
        <x:v>https://prozorro.gov.ua/tender/UA-2026-07-24-005287-a</x:v>
      </x:c>
    </x:row>
    <x:row r="386">
      <x:c r="A386" s="14" t="n">
        <x:v>382</x:v>
      </x:c>
      <x:c r="B386" s="14" t="str">
        <x:v>ФОП Суганяк Юрій Олександрович</x:v>
      </x:c>
      <x:c r="C386" s="14" t="str">
        <x:v>2530611516</x:v>
      </x:c>
      <x:c r="D386" s="14" t="str">
        <x:v>Насосні станції</x:v>
      </x:c>
      <x:c r="E386" s="14" t="str">
        <x:v>Expansion discovery</x:v>
      </x:c>
      <x:c r="F386" s="14" t="str">
        <x:v>I3</x:v>
      </x:c>
      <x:c r="G386" s="14" t="n">
        <x:v>57</x:v>
      </x:c>
      <x:c r="H386" s="14" t="n">
        <x:v>1</x:v>
      </x:c>
      <x:c r="I386" s="14" t="n">
        <x:v>1</x:v>
      </x:c>
      <x:c r="J386" s="18" t="n">
        <x:v>993374.95</x:v>
      </x:c>
      <x:c r="K386" s="19" t="n">
        <x:v>46247.29381578704</x:v>
      </x:c>
      <x:c r="L386" s="19" t="n">
        <x:v>46387.33495370371</x:v>
      </x:c>
      <x:c r="M386" s="15" t="str">
        <x:v>Капітальний ремонт системи електропостачання каналізаційної насосної станції по вул. Свято-Троїцька, 3 в с. Велика Олександрівка Бориспільського району Київської області</x:v>
      </x:c>
      <x:c r="N386" s="15" t="str">
        <x:v>https://prozorro.gov.ua/tender/UA-2026-08-13-001587-a</x:v>
      </x:c>
    </x:row>
    <x:row r="387">
      <x:c r="A387" s="14" t="n">
        <x:v>383</x:v>
      </x:c>
      <x:c r="B387" s="14" t="str">
        <x:v>ФОП ТКАЧЕНКО МАРИНА АНДРІЇВНА</x:v>
      </x:c>
      <x:c r="C387" s="14" t="str">
        <x:v>2630121501</x:v>
      </x:c>
      <x:c r="D387" s="14" t="str">
        <x:v>Благоустрій</x:v>
      </x:c>
      <x:c r="E387" s="14" t="str">
        <x:v>Expansion discovery</x:v>
      </x:c>
      <x:c r="F387" s="14" t="str">
        <x:v>I3</x:v>
      </x:c>
      <x:c r="G387" s="14" t="n">
        <x:v>57</x:v>
      </x:c>
      <x:c r="H387" s="14" t="n">
        <x:v>2</x:v>
      </x:c>
      <x:c r="I387" s="14" t="n">
        <x:v>1</x:v>
      </x:c>
      <x:c r="J387" s="18" t="n">
        <x:v>3924000</x:v>
      </x:c>
      <x:c r="K387" s="19" t="n">
        <x:v>46041.52252884259</x:v>
      </x:c>
      <x:c r="L387" s="19" t="n">
        <x:v>46387.42568287037</x:v>
      </x:c>
      <x:c r="M387"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x:v>
      </x:c>
      <x:c r="N387" s="15" t="str">
        <x:v>https://prozorro.gov.ua/tender/UA-2026-01-05-002701-a</x:v>
      </x:c>
    </x:row>
    <x:row r="388">
      <x:c r="A388" s="14" t="n">
        <x:v>384</x:v>
      </x:c>
      <x:c r="B388" s="14" t="str">
        <x:v>ТОВАРИСТВО З ОБМЕЖЕНОЮ ВІДПОВІДАЛЬНІСТЮ -ФІРМА "КОРТАКОЗ"</x:v>
      </x:c>
      <x:c r="C388" s="14" t="str">
        <x:v>13993936</x:v>
      </x:c>
      <x:c r="D388" s="14" t="str">
        <x:v>Водоочищення / очисні споруди</x:v>
      </x:c>
      <x:c r="E388" s="14" t="str">
        <x:v>Expansion discovery</x:v>
      </x:c>
      <x:c r="F388" s="14" t="str">
        <x:v>I3</x:v>
      </x:c>
      <x:c r="G388" s="14" t="n">
        <x:v>57</x:v>
      </x:c>
      <x:c r="H388" s="14" t="n">
        <x:v>1</x:v>
      </x:c>
      <x:c r="I388" s="14" t="n">
        <x:v>0</x:v>
      </x:c>
      <x:c r="J388" s="18" t="n">
        <x:v>11653496.4</x:v>
      </x:c>
      <x:c r="K388" s="19" t="n">
        <x:v>46206.54986206019</x:v>
      </x:c>
      <x:c r="L388" s="19" t="n">
        <x:v>46234</x:v>
      </x:c>
      <x:c r="M388" s="15" t="str">
        <x:v>«Реконструкція очисних каналізаційних споруд повної біологічної очистки м. Арциз Одеської області» Коригування</x:v>
      </x:c>
      <x:c r="N388" s="15" t="str">
        <x:v>https://prozorro.gov.ua/tender/UA-2026-07-03-009470-a</x:v>
      </x:c>
    </x:row>
    <x:row r="389">
      <x:c r="A389" s="14" t="n">
        <x:v>385</x:v>
      </x:c>
      <x:c r="B389" s="14" t="str">
        <x:v>ТОВАРИСТВО З ОБМЕЖЕНОЮ ВІДПОВІДАЛЬНІСТЮ "ПРОМТЕПЛОТЕХСЕРВІС"</x:v>
      </x:c>
      <x:c r="C389" s="14" t="str">
        <x:v>37087967</x:v>
      </x:c>
      <x:c r="D389" s="14" t="str">
        <x:v>Газопостачання / котельні</x:v>
      </x:c>
      <x:c r="E389" s="14" t="str">
        <x:v>Expansion discovery</x:v>
      </x:c>
      <x:c r="F389" s="14" t="str">
        <x:v>I3</x:v>
      </x:c>
      <x:c r="G389" s="14" t="n">
        <x:v>57</x:v>
      </x:c>
      <x:c r="H389" s="14" t="n">
        <x:v>3</x:v>
      </x:c>
      <x:c r="I389" s="14" t="n">
        <x:v>0</x:v>
      </x:c>
      <x:c r="J389" s="18" t="n">
        <x:v>26130</x:v>
      </x:c>
      <x:c r="K389" s="19" t="n">
        <x:v>46240.39848201389</x:v>
      </x:c>
      <x:c r="L389" s="19" t="n">
        <x:v>46254</x:v>
      </x:c>
      <x:c r="M389" s="15" t="str">
        <x:v>демонтаж,підготовка до повірки, повірка та монтаж приладів КВПіА - 6 штук, встановлених в котельні </x:v>
      </x:c>
      <x:c r="N389" s="15" t="str">
        <x:v>https://prozorro.gov.ua/tender/UA-2026-08-06-005202-a</x:v>
      </x:c>
    </x:row>
    <x:row r="390">
      <x:c r="A390" s="14" t="n">
        <x:v>386</x:v>
      </x:c>
      <x:c r="B390" s="14" t="str">
        <x:v>ФОП Панасюк Анатолій Олександрович</x:v>
      </x:c>
      <x:c r="C390" s="14" t="str">
        <x:v>2752409654</x:v>
      </x:c>
      <x:c r="D390" s="14" t="str">
        <x:v>Внутрішні сантехнічні системи</x:v>
      </x:c>
      <x:c r="E390" s="14" t="str">
        <x:v>Pilot now</x:v>
      </x:c>
      <x:c r="F390" s="14" t="str">
        <x:v>I3</x:v>
      </x:c>
      <x:c r="G390" s="14" t="n">
        <x:v>57</x:v>
      </x:c>
      <x:c r="H390" s="14" t="n">
        <x:v>2</x:v>
      </x:c>
      <x:c r="I390" s="14" t="n">
        <x:v>0</x:v>
      </x:c>
      <x:c r="J390" s="18" t="n">
        <x:v>303740</x:v>
      </x:c>
      <x:c r="K390" s="19" t="n">
        <x:v>46174.59931658565</x:v>
      </x:c>
      <x:c r="L390" s="19" t="n">
        <x:v>46177.60040509259</x:v>
      </x:c>
      <x:c r="M390"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x:v>
      </x:c>
      <x:c r="N390" s="15" t="str">
        <x:v>https://prozorro.gov.ua/tender/UA-2026-06-01-011966-a</x:v>
      </x:c>
    </x:row>
    <x:row r="391">
      <x:c r="A391" s="14" t="n">
        <x:v>387</x:v>
      </x:c>
      <x:c r="B391" s="14" t="str">
        <x:v>БАЛУЦЬКИЙ ВІТАЛІЙ МИРОСЛАВОВИЧ</x:v>
      </x:c>
      <x:c r="C391" s="14" t="str">
        <x:v>2833104892</x:v>
      </x:c>
      <x:c r="D391" s="14" t="str">
        <x:v>Водоочищення / очисні споруди</x:v>
      </x:c>
      <x:c r="E391" s="14" t="str">
        <x:v>Expansion discovery</x:v>
      </x:c>
      <x:c r="F391" s="14" t="str">
        <x:v>I3</x:v>
      </x:c>
      <x:c r="G391" s="14" t="n">
        <x:v>56</x:v>
      </x:c>
      <x:c r="H391" s="14" t="n">
        <x:v>3</x:v>
      </x:c>
      <x:c r="I391" s="14" t="n">
        <x:v>3</x:v>
      </x:c>
      <x:c r="J391" s="18" t="n">
        <x:v>49840</x:v>
      </x:c>
      <x:c r="K391" s="19" t="n">
        <x:v>46093.613972858795</x:v>
      </x:c>
      <x:c r="L391" s="19" t="n">
        <x:v>46387</x:v>
      </x:c>
      <x:c r="M391" s="15" t="str">
        <x:v>Кошторисна документація (далі - документація) на «Реконструкція напірного каналізаційного колектора від західної межі с. Стадники Яворівського району Львівської області до очисних споруд МКП «Новояворівськводоканал» (Коригування)»</x:v>
      </x:c>
      <x:c r="N391" s="15" t="str">
        <x:v>https://prozorro.gov.ua/tender/UA-2026-03-11-013117-a</x:v>
      </x:c>
    </x:row>
    <x:row r="392">
      <x:c r="A392" s="14" t="n">
        <x:v>388</x:v>
      </x:c>
      <x:c r="B392" s="14" t="str">
        <x:v>КОМУНАЛЬНЕ ПІДПРИЄМСТВО "РЕМБУДСЕРВІС" ГОРІШНЬОПЛАВНІВСЬКОЇ МІСЬКОЇ РАДИ КРЕМЕНЧУЦЬКОГО РАЙОНУ ПОЛТАВСЬКОЇ ОБЛАСТІ</x:v>
      </x:c>
      <x:c r="C392" s="14" t="str">
        <x:v>42299936</x:v>
      </x:c>
      <x:c r="D392" s="14" t="str">
        <x:v>Внутрішні сантехнічні системи</x:v>
      </x:c>
      <x:c r="E392" s="14" t="str">
        <x:v>Pilot now</x:v>
      </x:c>
      <x:c r="F392" s="14" t="str">
        <x:v>I3</x:v>
      </x:c>
      <x:c r="G392" s="14" t="n">
        <x:v>56</x:v>
      </x:c>
      <x:c r="H392" s="14" t="n">
        <x:v>2</x:v>
      </x:c>
      <x:c r="I392" s="14" t="n">
        <x:v>2</x:v>
      </x:c>
      <x:c r="J392" s="18" t="n">
        <x:v>10064.4</x:v>
      </x:c>
      <x:c r="K392" s="19" t="n">
        <x:v>46149.34135824074</x:v>
      </x:c>
      <x:c r="L392" s="19" t="n">
        <x:v>46387</x:v>
      </x:c>
      <x:c r="M392"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x:v>
      </x:c>
      <x:c r="N392" s="15" t="str">
        <x:v>https://prozorro.gov.ua/tender/UA-2026-05-07-004202-a</x:v>
      </x:c>
    </x:row>
    <x:row r="393">
      <x:c r="A393" s="14" t="n">
        <x:v>389</x:v>
      </x:c>
      <x:c r="B393" s="14" t="str">
        <x:v>ТОВАРИСТВО З ОБМЕЖЕНОЮ ВІДПОВІДАЛЬНІСТЮ "ДОРОЖНІ МАШИНИ"</x:v>
      </x:c>
      <x:c r="C393" s="14" t="str">
        <x:v>41134310</x:v>
      </x:c>
      <x:c r="D393" s="14" t="str">
        <x:v>Насосні станції</x:v>
      </x:c>
      <x:c r="E393" s="14" t="str">
        <x:v>Expansion discovery</x:v>
      </x:c>
      <x:c r="F393" s="14" t="str">
        <x:v>I3</x:v>
      </x:c>
      <x:c r="G393" s="14" t="n">
        <x:v>56</x:v>
      </x:c>
      <x:c r="H393" s="14" t="n">
        <x:v>2</x:v>
      </x:c>
      <x:c r="I393" s="14" t="n">
        <x:v>2</x:v>
      </x:c>
      <x:c r="J393" s="18" t="n">
        <x:v>38194999.99</x:v>
      </x:c>
      <x:c r="K393" s="19" t="n">
        <x:v>45999.646362685184</x:v>
      </x:c>
      <x:c r="L393" s="19" t="n">
        <x:v>46295</x:v>
      </x:c>
      <x:c r="M393" s="15" t="str">
        <x:v>Нове будівництво каналізаційної насосної станції та насосної станції водопостачання Вінницького індустріального парку по вул. Немирівське шосе, 213 в м. Вінниця (коригування)
</x:v>
      </x:c>
      <x:c r="N393" s="15" t="str">
        <x:v>https://prozorro.gov.ua/tender/UA-2025-11-14-003516-a</x:v>
      </x:c>
    </x:row>
    <x:row r="394">
      <x:c r="A394" s="14" t="n">
        <x:v>390</x:v>
      </x:c>
      <x:c r="B394" s="14" t="str">
        <x:v>ТОВАРИСТВО З ОБМЕЖЕНОЮ ВІДПОВІДАЛЬНІСТЮ "СОКІЛ ГАРД 2019"</x:v>
      </x:c>
      <x:c r="C394" s="14" t="str">
        <x:v>43054824</x:v>
      </x:c>
      <x:c r="D394" s="14" t="str">
        <x:v>Безпека / СКУД / CCTV</x:v>
      </x:c>
      <x:c r="E394" s="14" t="str">
        <x:v>Expansion discovery</x:v>
      </x:c>
      <x:c r="F394" s="14" t="str">
        <x:v>I3</x:v>
      </x:c>
      <x:c r="G394" s="14" t="n">
        <x:v>56</x:v>
      </x:c>
      <x:c r="H394" s="14" t="n">
        <x:v>2</x:v>
      </x:c>
      <x:c r="I394" s="14" t="n">
        <x:v>2</x:v>
      </x:c>
      <x:c r="J394" s="18" t="n">
        <x:v>82222.26</x:v>
      </x:c>
      <x:c r="K394" s="19" t="n">
        <x:v>46148.28090574074</x:v>
      </x:c>
      <x:c r="L394" s="19" t="n">
        <x:v>46356</x:v>
      </x:c>
      <x:c r="M394" s="15" t="str">
        <x:v>Послуги з монтажу та пусконалагоджувальних робіт по системі контролю доступом на об'єкті: Полтавська область, м. Кременчук, вул. Олексія Древаля, 35</x:v>
      </x:c>
      <x:c r="N394" s="15" t="str">
        <x:v>https://prozorro.gov.ua/tender/UA-2026-05-06-001393-a</x:v>
      </x:c>
    </x:row>
    <x:row r="395">
      <x:c r="A395" s="14" t="n">
        <x:v>391</x:v>
      </x:c>
      <x:c r="B395" s="14" t="str">
        <x:v>ФІЛІЯ "КОНОТОПСЬКИЙ РАЙОН ЕЛЕКТРИЧНИХ МЕРЕЖ" АКЦІОНЕРНОГО ТОВАРИСТВА "СУМИОБЛЕНЕРГО"</x:v>
      </x:c>
      <x:c r="C395" s="14" t="str">
        <x:v>37785192</x:v>
      </x:c>
      <x:c r="D395" s="14" t="str">
        <x:v>Електромонтаж</x:v>
      </x:c>
      <x:c r="E395" s="14" t="str">
        <x:v>Pilot now</x:v>
      </x:c>
      <x:c r="F395" s="14" t="str">
        <x:v>I3</x:v>
      </x:c>
      <x:c r="G395" s="14" t="n">
        <x:v>56</x:v>
      </x:c>
      <x:c r="H395" s="14" t="n">
        <x:v>2</x:v>
      </x:c>
      <x:c r="I395" s="14" t="n">
        <x:v>2</x:v>
      </x:c>
      <x:c r="J395" s="18" t="n">
        <x:v>18274.19</x:v>
      </x:c>
      <x:c r="K395" s="19" t="n">
        <x:v>46209.505622627315</x:v>
      </x:c>
      <x:c r="L395" s="19" t="n">
        <x:v>46387</x:v>
      </x:c>
      <x:c r="M395" s="15" t="str">
        <x:v>Електромонтажні роботи</x:v>
      </x:c>
      <x:c r="N395" s="15" t="str">
        <x:v>https://prozorro.gov.ua/tender/UA-2026-07-06-007294-a</x:v>
      </x:c>
    </x:row>
    <x:row r="396">
      <x:c r="A396" s="14" t="n">
        <x:v>392</x:v>
      </x:c>
      <x:c r="B396" s="14" t="str">
        <x:v>ПП "Будінвест-2017"</x:v>
      </x:c>
      <x:c r="C396" s="14" t="str">
        <x:v>41415466</x:v>
      </x:c>
      <x:c r="D396" s="14" t="str">
        <x:v>Дорожні роботи</x:v>
      </x:c>
      <x:c r="E396" s="14" t="str">
        <x:v>Expansion discovery</x:v>
      </x:c>
      <x:c r="F396" s="14" t="str">
        <x:v>I3</x:v>
      </x:c>
      <x:c r="G396" s="14" t="n">
        <x:v>56</x:v>
      </x:c>
      <x:c r="H396" s="14" t="n">
        <x:v>1</x:v>
      </x:c>
      <x:c r="I396" s="14" t="n">
        <x:v>1</x:v>
      </x:c>
      <x:c r="J396" s="18" t="n">
        <x:v>296118</x:v>
      </x:c>
      <x:c r="K396" s="19" t="n">
        <x:v>46253.44711681713</x:v>
      </x:c>
      <x:c r="L396" s="19" t="n">
        <x:v>46387</x:v>
      </x:c>
      <x:c r="M396" s="15" t="str">
        <x:v>Капітальний ремонт дорожнього покриття на вул.Грушевського (від буд.№20) в с.Петранка Рожнятівської селищної ради Івано-Франківської області</x:v>
      </x:c>
      <x:c r="N396" s="15" t="str">
        <x:v>https://prozorro.gov.ua/tender/UA-2026-08-19-007009-a</x:v>
      </x:c>
    </x:row>
    <x:row r="397">
      <x:c r="A397" s="14" t="n">
        <x:v>393</x:v>
      </x:c>
      <x:c r="B397" s="14" t="str">
        <x:v>ПП "РЕЙДЕР"</x:v>
      </x:c>
      <x:c r="C397" s="14" t="str">
        <x:v>30320090</x:v>
      </x:c>
      <x:c r="D397" s="14" t="str">
        <x:v>Пасивний вогнезахист</x:v>
      </x:c>
      <x:c r="E397" s="14" t="str">
        <x:v>Expansion discovery</x:v>
      </x:c>
      <x:c r="F397" s="14" t="str">
        <x:v>I3</x:v>
      </x:c>
      <x:c r="G397" s="14" t="n">
        <x:v>56</x:v>
      </x:c>
      <x:c r="H397" s="14" t="n">
        <x:v>1</x:v>
      </x:c>
      <x:c r="I397" s="14" t="n">
        <x:v>1</x:v>
      </x:c>
      <x:c r="J397" s="18" t="n">
        <x:v>266382.15</x:v>
      </x:c>
      <x:c r="K397" s="19" t="n">
        <x:v>46255.52383841435</x:v>
      </x:c>
      <x:c r="L397" s="19" t="n">
        <x:v>46295.2487962963</x:v>
      </x:c>
      <x:c r="M397" s="15" t="str">
        <x:v>Вогнезахисна обробка дерев’яних конструкцій Кривошиїнської гімназії Сквирської міської ради Київської області</x:v>
      </x:c>
      <x:c r="N397" s="15" t="str">
        <x:v>https://prozorro.gov.ua/tender/UA-2026-08-13-000512-a</x:v>
      </x:c>
    </x:row>
    <x:row r="398">
      <x:c r="A398" s="14" t="n">
        <x:v>394</x:v>
      </x:c>
      <x:c r="B398" s="14" t="str">
        <x:v>Приватне підприємство "КВМ-БУД"</x:v>
      </x:c>
      <x:c r="C398" s="14" t="str">
        <x:v>33977422</x:v>
      </x:c>
      <x:c r="D398" s="14" t="str">
        <x:v>Фасади та скління</x:v>
      </x:c>
      <x:c r="E398" s="14" t="str">
        <x:v>Expansion discovery</x:v>
      </x:c>
      <x:c r="F398" s="14" t="str">
        <x:v>I3</x:v>
      </x:c>
      <x:c r="G398" s="14" t="n">
        <x:v>56</x:v>
      </x:c>
      <x:c r="H398" s="14" t="n">
        <x:v>1</x:v>
      </x:c>
      <x:c r="I398" s="14" t="n">
        <x:v>1</x:v>
      </x:c>
      <x:c r="J398" s="18" t="n">
        <x:v>165943.29</x:v>
      </x:c>
      <x:c r="K398" s="19" t="n">
        <x:v>46258.33909663194</x:v>
      </x:c>
      <x:c r="L398" s="19" t="n">
        <x:v>46260.34030092593</x:v>
      </x:c>
      <x:c r="M398"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x:v>
      </x:c>
      <x:c r="N398" s="15" t="str">
        <x:v>https://prozorro.gov.ua/tender/UA-2026-08-24-002559-a</x:v>
      </x:c>
    </x:row>
    <x:row r="399">
      <x:c r="A399" s="14" t="n">
        <x:v>395</x:v>
      </x:c>
      <x:c r="B399" s="14" t="str">
        <x:v>ПРИВАТНЕ ПІДПРИЄМСТВО «МВМ Шляхбуд»</x:v>
      </x:c>
      <x:c r="C399" s="14" t="str">
        <x:v>38402090</x:v>
      </x:c>
      <x:c r="D399" s="14" t="str">
        <x:v>Мости / інфраструктура</x:v>
      </x:c>
      <x:c r="E399" s="14" t="str">
        <x:v>Expansion discovery</x:v>
      </x:c>
      <x:c r="F399" s="14" t="str">
        <x:v>I3</x:v>
      </x:c>
      <x:c r="G399" s="14" t="n">
        <x:v>56</x:v>
      </x:c>
      <x:c r="H399" s="14" t="n">
        <x:v>1</x:v>
      </x:c>
      <x:c r="I399" s="14" t="n">
        <x:v>1</x:v>
      </x:c>
      <x:c r="J399" s="18" t="n">
        <x:v>199941.6</x:v>
      </x:c>
      <x:c r="K399" s="19" t="n">
        <x:v>46230.27637519676</x:v>
      </x:c>
      <x:c r="L399" s="19" t="n">
        <x:v>46376</x:v>
      </x:c>
      <x:c r="M399" s="15" t="str">
        <x:v>Поточний ремонт пішохідної доріжки в районі пішохідного мосту через річку Устю в м.Рівному</x:v>
      </x:c>
      <x:c r="N399" s="15" t="str">
        <x:v>https://prozorro.gov.ua/tender/UA-2026-07-27-000913-a</x:v>
      </x:c>
    </x:row>
    <x:row r="400">
      <x:c r="A400" s="14" t="n">
        <x:v>396</x:v>
      </x:c>
      <x:c r="B400" s="14" t="str">
        <x:v>Рембудзв'язок</x:v>
      </x:c>
      <x:c r="C400" s="14" t="str"/>
      <x:c r="D400" s="14" t="str">
        <x:v>ГНБ / безтраншейні мережі</x:v>
      </x:c>
      <x:c r="E400" s="14" t="str">
        <x:v>Expansion discovery</x:v>
      </x:c>
      <x:c r="F400" s="14" t="str">
        <x:v>I3</x:v>
      </x:c>
      <x:c r="G400" s="14" t="n">
        <x:v>56</x:v>
      </x:c>
      <x:c r="H400" s="14" t="n">
        <x:v>1</x:v>
      </x:c>
      <x:c r="I400" s="14" t="n">
        <x:v>1</x:v>
      </x:c>
      <x:c r="J400" s="18" t="n">
        <x:v>134600</x:v>
      </x:c>
      <x:c r="K400" s="19" t="n">
        <x:v>46232.569152951386</x:v>
      </x:c>
      <x:c r="L400" s="19" t="n">
        <x:v>46387</x:v>
      </x:c>
      <x:c r="M400" s="15" t="str">
        <x:v>Послуги з поточного ремонту кабельної лінії 10 кВт ТП17-РП5 методом горизонтально направленого буріння по вул. Захисників неба 8</x:v>
      </x:c>
      <x:c r="N400" s="15" t="str">
        <x:v>https://prozorro.gov.ua/tender/UA-2026-07-29-010065-a</x:v>
      </x:c>
    </x:row>
    <x:row r="401">
      <x:c r="A401" s="14" t="n">
        <x:v>397</x:v>
      </x:c>
      <x:c r="B401" s="14" t="str">
        <x:v>СІРА АНАСТАСІЯ ПАВЛІВНА</x:v>
      </x:c>
      <x:c r="C401" s="14" t="str">
        <x:v>3168019084</x:v>
      </x:c>
      <x:c r="D401" s="14" t="str">
        <x:v>Пожежогасіння</x:v>
      </x:c>
      <x:c r="E401" s="14" t="str">
        <x:v>Expansion discovery</x:v>
      </x:c>
      <x:c r="F401" s="14" t="str">
        <x:v>I3</x:v>
      </x:c>
      <x:c r="G401" s="14" t="n">
        <x:v>56</x:v>
      </x:c>
      <x:c r="H401" s="14" t="n">
        <x:v>1</x:v>
      </x:c>
      <x:c r="I401" s="14" t="n">
        <x:v>1</x:v>
      </x:c>
      <x:c r="J401" s="18" t="n">
        <x:v>342311</x:v>
      </x:c>
      <x:c r="K401" s="19" t="n">
        <x:v>46241.44266673611</x:v>
      </x:c>
      <x:c r="L401" s="19" t="n">
        <x:v>46328</x:v>
      </x:c>
      <x:c r="M401"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x:v>
      </x:c>
      <x:c r="N401" s="15" t="str">
        <x:v>https://prozorro.gov.ua/tender/UA-2026-08-07-006697-a</x:v>
      </x:c>
    </x:row>
    <x:row r="402">
      <x:c r="A402" s="14" t="n">
        <x:v>398</x:v>
      </x:c>
      <x:c r="B402" s="14" t="str">
        <x:v>ТОВ "ВІТЯЗЬ-КБ"</x:v>
      </x:c>
      <x:c r="C402" s="14" t="str">
        <x:v>37961573</x:v>
      </x:c>
      <x:c r="D402" s="14" t="str">
        <x:v>Безпека / СКУД / CCTV</x:v>
      </x:c>
      <x:c r="E402" s="14" t="str">
        <x:v>Expansion discovery</x:v>
      </x:c>
      <x:c r="F402" s="14" t="str">
        <x:v>I3</x:v>
      </x:c>
      <x:c r="G402" s="14" t="n">
        <x:v>56</x:v>
      </x:c>
      <x:c r="H402" s="14" t="n">
        <x:v>1</x:v>
      </x:c>
      <x:c r="I402" s="14" t="n">
        <x:v>1</x:v>
      </x:c>
      <x:c r="J402" s="18" t="n">
        <x:v>291606.65</x:v>
      </x:c>
      <x:c r="K402" s="19" t="n">
        <x:v>46220.40103577546</x:v>
      </x:c>
      <x:c r="L402" s="19" t="n">
        <x:v>46295</x:v>
      </x:c>
      <x:c r="M402" s="15" t="str">
        <x:v>Послуги з монтажу та введення в експлуатацію системи відеоспостереження</x:v>
      </x:c>
      <x:c r="N402" s="15" t="str">
        <x:v>https://prozorro.gov.ua/tender/UA-2026-07-07-010998-a</x:v>
      </x:c>
    </x:row>
    <x:row r="403">
      <x:c r="A403" s="14" t="n">
        <x:v>399</x:v>
      </x:c>
      <x:c r="B403" s="14" t="str">
        <x:v>ТОВ "ВК "ПРОГРЕС""</x:v>
      </x:c>
      <x:c r="C403" s="14" t="str">
        <x:v>36878631</x:v>
      </x:c>
      <x:c r="D403" s="14" t="str">
        <x:v>Покрівлі та гідроізоляція</x:v>
      </x:c>
      <x:c r="E403" s="14" t="str">
        <x:v>Expansion discovery</x:v>
      </x:c>
      <x:c r="F403" s="14" t="str">
        <x:v>I3</x:v>
      </x:c>
      <x:c r="G403" s="14" t="n">
        <x:v>56</x:v>
      </x:c>
      <x:c r="H403" s="14" t="n">
        <x:v>1</x:v>
      </x:c>
      <x:c r="I403" s="14" t="n">
        <x:v>1</x:v>
      </x:c>
      <x:c r="J403" s="18" t="n">
        <x:v>400000</x:v>
      </x:c>
      <x:c r="K403" s="19" t="n">
        <x:v>46234.388149722225</x:v>
      </x:c>
      <x:c r="L403" s="19" t="n">
        <x:v>46387</x:v>
      </x:c>
      <x:c r="M403"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x:v>
      </x:c>
      <x:c r="N403" s="15" t="str">
        <x:v>https://prozorro.gov.ua/tender/UA-2026-07-20-009259-a</x:v>
      </x:c>
    </x:row>
    <x:row r="404">
      <x:c r="A404" s="14" t="n">
        <x:v>400</x:v>
      </x:c>
      <x:c r="B404" s="14" t="str">
        <x:v>ТОВ "ІНЖИНІРИНГ ПОРТ СЕРВІС"</x:v>
      </x:c>
      <x:c r="C404" s="14" t="str">
        <x:v>38755441</x:v>
      </x:c>
      <x:c r="D404" s="14" t="str">
        <x:v>HVAC / ОВіК</x:v>
      </x:c>
      <x:c r="E404" s="14" t="str">
        <x:v>Pilot now</x:v>
      </x:c>
      <x:c r="F404" s="14" t="str">
        <x:v>I3</x:v>
      </x:c>
      <x:c r="G404" s="14" t="n">
        <x:v>56</x:v>
      </x:c>
      <x:c r="H404" s="14" t="n">
        <x:v>1</x:v>
      </x:c>
      <x:c r="I404" s="14" t="n">
        <x:v>1</x:v>
      </x:c>
      <x:c r="J404" s="18" t="n">
        <x:v>393225</x:v>
      </x:c>
      <x:c r="K404" s="19" t="n">
        <x:v>46240.31860636574</x:v>
      </x:c>
      <x:c r="L404" s="19" t="n">
        <x:v>46356</x:v>
      </x:c>
      <x:c r="M404"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x:v>
      </x:c>
      <x:c r="N404" s="15" t="str">
        <x:v>https://prozorro.gov.ua/tender/UA-2026-07-27-004787-a</x:v>
      </x:c>
    </x:row>
    <x:row r="405">
      <x:c r="A405" s="14" t="n">
        <x:v>401</x:v>
      </x:c>
      <x:c r="B405" s="14" t="str">
        <x:v>ТОВ "КОМПАНІЯ ТЕРА-БУД"</x:v>
      </x:c>
      <x:c r="C405" s="14" t="str">
        <x:v>41405937</x:v>
      </x:c>
      <x:c r="D405" s="14" t="str">
        <x:v>Резервне живлення</x:v>
      </x:c>
      <x:c r="E405" s="14" t="str">
        <x:v>Expansion discovery</x:v>
      </x:c>
      <x:c r="F405" s="14" t="str">
        <x:v>I3</x:v>
      </x:c>
      <x:c r="G405" s="14" t="n">
        <x:v>56</x:v>
      </x:c>
      <x:c r="H405" s="14" t="n">
        <x:v>1</x:v>
      </x:c>
      <x:c r="I405" s="14" t="n">
        <x:v>1</x:v>
      </x:c>
      <x:c r="J405" s="18" t="n">
        <x:v>493086.67</x:v>
      </x:c>
      <x:c r="K405" s="19" t="n">
        <x:v>46218.459691979166</x:v>
      </x:c>
      <x:c r="L405" s="19" t="n">
        <x:v>46295.50371527778</x:v>
      </x:c>
      <x:c r="M405"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x:v>
      </x:c>
      <x:c r="N405" s="15" t="str">
        <x:v>https://prozorro.gov.ua/tender/UA-2026-06-30-009773-a</x:v>
      </x:c>
    </x:row>
    <x:row r="406">
      <x:c r="A406" s="14" t="n">
        <x:v>402</x:v>
      </x:c>
      <x:c r="B406" s="14" t="str">
        <x:v>ТОВ "ФАЛЬКОН-М"</x:v>
      </x:c>
      <x:c r="C406" s="14" t="str">
        <x:v>40772555</x:v>
      </x:c>
      <x:c r="D406" s="14" t="str">
        <x:v>Електромонтаж</x:v>
      </x:c>
      <x:c r="E406" s="14" t="str">
        <x:v>Pilot now</x:v>
      </x:c>
      <x:c r="F406" s="14" t="str">
        <x:v>I3</x:v>
      </x:c>
      <x:c r="G406" s="14" t="n">
        <x:v>56</x:v>
      </x:c>
      <x:c r="H406" s="14" t="n">
        <x:v>1</x:v>
      </x:c>
      <x:c r="I406" s="14" t="n">
        <x:v>1</x:v>
      </x:c>
      <x:c r="J406" s="18" t="n">
        <x:v>399130.57</x:v>
      </x:c>
      <x:c r="K406" s="19" t="n">
        <x:v>46247.34792717593</x:v>
      </x:c>
      <x:c r="L406" s="19" t="n">
        <x:v>46264</x:v>
      </x:c>
      <x:c r="M406" s="15" t="str">
        <x:v>Електромонтажні роботи  </x:v>
      </x:c>
      <x:c r="N406" s="15" t="str">
        <x:v>https://prozorro.gov.ua/tender/UA-2026-08-03-005283-a</x:v>
      </x:c>
    </x:row>
    <x:row r="407">
      <x:c r="A407" s="14" t="n">
        <x:v>403</x:v>
      </x:c>
      <x:c r="B407" s="14" t="str">
        <x:v>ТОВ НЕКСОРА ТЕХ</x:v>
      </x:c>
      <x:c r="C407" s="14" t="str">
        <x:v>45851285</x:v>
      </x:c>
      <x:c r="D407" s="14" t="str">
        <x:v>Промисловий холод</x:v>
      </x:c>
      <x:c r="E407" s="14" t="str">
        <x:v>Expansion discovery</x:v>
      </x:c>
      <x:c r="F407" s="14" t="str">
        <x:v>I3</x:v>
      </x:c>
      <x:c r="G407" s="14" t="n">
        <x:v>56</x:v>
      </x:c>
      <x:c r="H407" s="14" t="n">
        <x:v>1</x:v>
      </x:c>
      <x:c r="I407" s="14" t="n">
        <x:v>1</x:v>
      </x:c>
      <x:c r="J407" s="18" t="n">
        <x:v>228960</x:v>
      </x:c>
      <x:c r="K407" s="19" t="n">
        <x:v>46224.580835127315</x:v>
      </x:c>
      <x:c r="L407" s="19" t="n">
        <x:v>46265</x:v>
      </x:c>
      <x:c r="M407" s="15" t="str">
        <x:v>Кондиціонери (з монтажем) – код за ЄЗС ДК 021:2015 42510000-4 Теплообмінники, кондиціонери повітря, холодильне обладнання та фільтрувальні пристрої</x:v>
      </x:c>
      <x:c r="N407" s="15" t="str">
        <x:v>https://prozorro.gov.ua/tender/UA-2026-07-09-002223-a</x:v>
      </x:c>
    </x:row>
    <x:row r="408">
      <x:c r="A408" s="14" t="n">
        <x:v>404</x:v>
      </x:c>
      <x:c r="B408" s="14" t="str">
        <x:v>ТОВАРИСТВО З ДОДАТКОВОЮ ВІДПОВІДАЛЬНІСТЮ "ІНСТИТУТ ДНІПРОДІПРОТРАНС"</x:v>
      </x:c>
      <x:c r="C408" s="14" t="str">
        <x:v>01388420</x:v>
      </x:c>
      <x:c r="D408" s="14" t="str">
        <x:v>Мости / інфраструктура</x:v>
      </x:c>
      <x:c r="E408" s="14" t="str">
        <x:v>Expansion discovery</x:v>
      </x:c>
      <x:c r="F408" s="14" t="str">
        <x:v>I3</x:v>
      </x:c>
      <x:c r="G408" s="14" t="n">
        <x:v>56</x:v>
      </x:c>
      <x:c r="H408" s="14" t="n">
        <x:v>1</x:v>
      </x:c>
      <x:c r="I408" s="14" t="n">
        <x:v>1</x:v>
      </x:c>
      <x:c r="J408" s="18" t="n">
        <x:v>469920</x:v>
      </x:c>
      <x:c r="K408" s="19" t="n">
        <x:v>46217.53339412037</x:v>
      </x:c>
      <x:c r="L408" s="19" t="n">
        <x:v>46752.573333333334</x:v>
      </x:c>
      <x:c r="M408" s="15" t="str">
        <x:v>Виконання авторського нагляду по об'єкту: «Капітальний ремонт трамвайної лінії на мосту № 1 через р. Дніпро в м. Дніпрі»</x:v>
      </x:c>
      <x:c r="N408" s="15" t="str">
        <x:v>https://prozorro.gov.ua/tender/UA-2026-07-14-009585-a</x:v>
      </x:c>
    </x:row>
    <x:row r="409">
      <x:c r="A409" s="14" t="n">
        <x:v>405</x:v>
      </x:c>
      <x:c r="B409" s="14" t="str">
        <x:v>Товариство з обмеженою відповідальністю "АВАКС ПРОФ"</x:v>
      </x:c>
      <x:c r="C409" s="14" t="str">
        <x:v>37306789</x:v>
      </x:c>
      <x:c r="D409" s="14" t="str">
        <x:v>Мости / інфраструктура</x:v>
      </x:c>
      <x:c r="E409" s="14" t="str">
        <x:v>Expansion discovery</x:v>
      </x:c>
      <x:c r="F409" s="14" t="str">
        <x:v>I3</x:v>
      </x:c>
      <x:c r="G409" s="14" t="n">
        <x:v>56</x:v>
      </x:c>
      <x:c r="H409" s="14" t="n">
        <x:v>1</x:v>
      </x:c>
      <x:c r="I409" s="14" t="n">
        <x:v>1</x:v>
      </x:c>
      <x:c r="J409" s="18" t="n">
        <x:v>198574.46</x:v>
      </x:c>
      <x:c r="K409" s="19" t="n">
        <x:v>46246.54667043981</x:v>
      </x:c>
      <x:c r="L409" s="19" t="n">
        <x:v>46387</x:v>
      </x:c>
      <x:c r="M409" s="15" t="str">
        <x:v>Поточний ремонт дорожнього полотна на підходах до мосту по вул. Енергетична в м. Шумськ Кременецького району Тернопільської області</x:v>
      </x:c>
      <x:c r="N409" s="15" t="str">
        <x:v>https://prozorro.gov.ua/tender/UA-2026-08-12-010249-a</x:v>
      </x:c>
    </x:row>
    <x:row r="410">
      <x:c r="A410" s="14" t="n">
        <x:v>406</x:v>
      </x:c>
      <x:c r="B410" s="14" t="str">
        <x:v>ТОВАРИСТВО З ОБМЕЖЕНОЮ ВІДПОВІДАЛЬНІСТЮ "ВОГНЕБОРЕЦЬ БУД"</x:v>
      </x:c>
      <x:c r="C410" s="14" t="str">
        <x:v>41277340</x:v>
      </x:c>
      <x:c r="D410" s="14" t="str">
        <x:v>Пасивний вогнезахист</x:v>
      </x:c>
      <x:c r="E410" s="14" t="str">
        <x:v>Expansion discovery</x:v>
      </x:c>
      <x:c r="F410" s="14" t="str">
        <x:v>I3</x:v>
      </x:c>
      <x:c r="G410" s="14" t="n">
        <x:v>56</x:v>
      </x:c>
      <x:c r="H410" s="14" t="n">
        <x:v>1</x:v>
      </x:c>
      <x:c r="I410" s="14" t="n">
        <x:v>1</x:v>
      </x:c>
      <x:c r="J410" s="18" t="n">
        <x:v>155005.2</x:v>
      </x:c>
      <x:c r="K410" s="19" t="n">
        <x:v>46237.269434594906</x:v>
      </x:c>
      <x:c r="L410" s="19" t="n">
        <x:v>46387</x:v>
      </x:c>
      <x:c r="M410" s="15" t="str">
        <x:v>Поточний ремонт даху(Вогнезахисна обробка дерев'яних конструкцій даху горищного  приміщення)</x:v>
      </x:c>
      <x:c r="N410" s="15" t="str">
        <x:v>https://prozorro.gov.ua/tender/UA-2026-08-03-000598-a</x:v>
      </x:c>
    </x:row>
    <x:row r="411">
      <x:c r="A411" s="14" t="n">
        <x:v>407</x:v>
      </x:c>
      <x:c r="B411" s="14" t="str">
        <x:v>ТОВАРИСТВО З ОБМЕЖЕНОЮ ВІДПОВІДАЛЬНІСТЮ "ГАМАЮН-ЛІФТ"</x:v>
      </x:c>
      <x:c r="C411" s="14" t="str">
        <x:v>45223330</x:v>
      </x:c>
      <x:c r="D411" s="14" t="str">
        <x:v>Ліфти та підйомники</x:v>
      </x:c>
      <x:c r="E411" s="14" t="str">
        <x:v>Expansion discovery</x:v>
      </x:c>
      <x:c r="F411" s="14" t="str">
        <x:v>I3</x:v>
      </x:c>
      <x:c r="G411" s="14" t="n">
        <x:v>56</x:v>
      </x:c>
      <x:c r="H411" s="14" t="n">
        <x:v>2</x:v>
      </x:c>
      <x:c r="I411" s="14" t="n">
        <x:v>1</x:v>
      </x:c>
      <x:c r="J411" s="18" t="n">
        <x:v>48737.86</x:v>
      </x:c>
      <x:c r="K411" s="19" t="n">
        <x:v>46143.39037824074</x:v>
      </x:c>
      <x:c r="L411" s="19" t="n">
        <x:v>46387</x:v>
      </x:c>
      <x:c r="M411"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x:v>
      </x:c>
      <x:c r="N411" s="15" t="str">
        <x:v>https://prozorro.gov.ua/tender/UA-2026-05-01-005784-a</x:v>
      </x:c>
    </x:row>
    <x:row r="412">
      <x:c r="A412" s="14" t="n">
        <x:v>408</x:v>
      </x:c>
      <x:c r="B412" s="14" t="str">
        <x:v>ТОВАРИСТВО З ОБМЕЖЕНОЮ ВІДПОВІДАЛЬНІСТЮ "ГЛОБАЛ ІНЖИНІРИНГ ПРОЕКТ"</x:v>
      </x:c>
      <x:c r="C412" s="14" t="str">
        <x:v>42275999</x:v>
      </x:c>
      <x:c r="D412" s="14" t="str">
        <x:v>Теплові мережі</x:v>
      </x:c>
      <x:c r="E412" s="14" t="str">
        <x:v>Expansion discovery</x:v>
      </x:c>
      <x:c r="F412" s="14" t="str">
        <x:v>I3</x:v>
      </x:c>
      <x:c r="G412" s="14" t="n">
        <x:v>56</x:v>
      </x:c>
      <x:c r="H412" s="14" t="n">
        <x:v>1</x:v>
      </x:c>
      <x:c r="I412" s="14" t="n">
        <x:v>1</x:v>
      </x:c>
      <x:c r="J412" s="18" t="n">
        <x:v>148598.94</x:v>
      </x:c>
      <x:c r="K412" s="19" t="n">
        <x:v>46220.33891277778</x:v>
      </x:c>
      <x:c r="L412" s="19" t="n">
        <x:v>46266</x:v>
      </x:c>
      <x:c r="M412" s="15" t="str">
        <x:v>Коригування робочого проєкту «Реконструкція ділянки теплової мережі по Олександрівському проспекту від ТК12405 до ТК1025 у м. Одесі»</x:v>
      </x:c>
      <x:c r="N412" s="15" t="str">
        <x:v>https://prozorro.gov.ua/tender/UA-2026-07-17-002969-a</x:v>
      </x:c>
    </x:row>
    <x:row r="413">
      <x:c r="A413" s="14" t="n">
        <x:v>409</x:v>
      </x:c>
      <x:c r="B413" s="14" t="str">
        <x:v>ТОВАРИСТВО З ОБМЕЖЕНОЮ ВІДПОВІДАЛЬНІСТЮ "ЕЛЕКТРИК СОЛЮШНС"</x:v>
      </x:c>
      <x:c r="C413" s="14" t="str">
        <x:v>43330966</x:v>
      </x:c>
      <x:c r="D413" s="14" t="str">
        <x:v>Пасивний вогнезахист</x:v>
      </x:c>
      <x:c r="E413" s="14" t="str">
        <x:v>Expansion discovery</x:v>
      </x:c>
      <x:c r="F413" s="14" t="str">
        <x:v>I3</x:v>
      </x:c>
      <x:c r="G413" s="14" t="n">
        <x:v>56</x:v>
      </x:c>
      <x:c r="H413" s="14" t="n">
        <x:v>1</x:v>
      </x:c>
      <x:c r="I413" s="14" t="n">
        <x:v>1</x:v>
      </x:c>
      <x:c r="J413" s="18" t="n">
        <x:v>249232.6</x:v>
      </x:c>
      <x:c r="K413" s="19" t="n">
        <x:v>46254.546691655094</x:v>
      </x:c>
      <x:c r="L413" s="19" t="n">
        <x:v>46295.57832175926</x:v>
      </x:c>
      <x:c r="M413" s="15" t="str">
        <x:v>Послуги з вогнезахисної обробки дерев'яних конструкцій даху будівлі майстерень код за ДК 021:2015 77220000-8 Послуги з просочування деревини</x:v>
      </x:c>
      <x:c r="N413" s="15" t="str">
        <x:v>https://prozorro.gov.ua/tender/UA-2026-08-11-011818-a</x:v>
      </x:c>
    </x:row>
    <x:row r="414">
      <x:c r="A414" s="14" t="n">
        <x:v>410</x:v>
      </x:c>
      <x:c r="B414" s="14" t="str">
        <x:v>ТОВАРИСТВО З ОБМЕЖЕНОЮ ВІДПОВІДАЛЬНІСТЮ "ЕЛЕКТРОСЕРВІС-1"</x:v>
      </x:c>
      <x:c r="C414" s="14" t="str">
        <x:v>30984149</x:v>
      </x:c>
      <x:c r="D414" s="14" t="str">
        <x:v>Електромонтаж</x:v>
      </x:c>
      <x:c r="E414" s="14" t="str">
        <x:v>Pilot now</x:v>
      </x:c>
      <x:c r="F414" s="14" t="str">
        <x:v>I3</x:v>
      </x:c>
      <x:c r="G414" s="14" t="n">
        <x:v>56</x:v>
      </x:c>
      <x:c r="H414" s="14" t="n">
        <x:v>1</x:v>
      </x:c>
      <x:c r="I414" s="14" t="n">
        <x:v>1</x:v>
      </x:c>
      <x:c r="J414" s="18" t="n">
        <x:v>118805</x:v>
      </x:c>
      <x:c r="K414" s="19" t="n">
        <x:v>46246.274339641204</x:v>
      </x:c>
      <x:c r="L414" s="19" t="n">
        <x:v>46387</x:v>
      </x:c>
      <x:c r="M414" s="15" t="str">
        <x:v> Електромонтажні роботи</x:v>
      </x:c>
      <x:c r="N414" s="15" t="str">
        <x:v>https://prozorro.gov.ua/tender/UA-2026-08-12-001005-a</x:v>
      </x:c>
    </x:row>
    <x:row r="415">
      <x:c r="A415" s="14" t="n">
        <x:v>411</x:v>
      </x:c>
      <x:c r="B415" s="14" t="str">
        <x:v>ТОВАРИСТВО З ОБМЕЖЕНОЮ ВІДПОВІДАЛЬНІСТЮ "ЛК ЕНЕРДЖИ ГРУП"</x:v>
      </x:c>
      <x:c r="C415" s="14" t="str">
        <x:v>45323348</x:v>
      </x:c>
      <x:c r="D415" s="14" t="str">
        <x:v>Накопичення енергії / BESS</x:v>
      </x:c>
      <x:c r="E415" s="14" t="str">
        <x:v>Expansion discovery</x:v>
      </x:c>
      <x:c r="F415" s="14" t="str">
        <x:v>I3</x:v>
      </x:c>
      <x:c r="G415" s="14" t="n">
        <x:v>56</x:v>
      </x:c>
      <x:c r="H415" s="14" t="n">
        <x:v>1</x:v>
      </x:c>
      <x:c r="I415" s="14" t="n">
        <x:v>1</x:v>
      </x:c>
      <x:c r="J415" s="18" t="n">
        <x:v>249877.33</x:v>
      </x:c>
      <x:c r="K415" s="19" t="n">
        <x:v>46248.26655065972</x:v>
      </x:c>
      <x:c r="L415" s="19" t="n">
        <x:v>46295</x:v>
      </x:c>
      <x:c r="M415" s="15" t="str">
        <x:v>Послуги з монтажу та встановлення сонячних панелей на даху адміністративної будівлі Доброславської селищної ради з підключенням до акумуляторної системи зберігання (накопичення) енергії за адресою: проспект Свободи, 1, селище Доброслав Одеського району Одеської області 
</x:v>
      </x:c>
      <x:c r="N415" s="15" t="str">
        <x:v>https://prozorro.gov.ua/tender/UA-2026-08-05-000420-a</x:v>
      </x:c>
    </x:row>
    <x:row r="416">
      <x:c r="A416" s="14" t="n">
        <x:v>412</x:v>
      </x:c>
      <x:c r="B416" s="14" t="str">
        <x:v>ТОВАРИСТВО З ОБМЕЖЕНОЮ ВІДПОВІДАЛЬНІСТЮ "ОХОРОНА-МОНТАЖ ТА СЕРВІС"</x:v>
      </x:c>
      <x:c r="C416" s="14" t="str">
        <x:v>43193121</x:v>
      </x:c>
      <x:c r="D416" s="14" t="str">
        <x:v>Промислова електрика / ПНР</x:v>
      </x:c>
      <x:c r="E416" s="14" t="str">
        <x:v>Pilot now</x:v>
      </x:c>
      <x:c r="F416" s="14" t="str">
        <x:v>I3</x:v>
      </x:c>
      <x:c r="G416" s="14" t="n">
        <x:v>56</x:v>
      </x:c>
      <x:c r="H416" s="14" t="n">
        <x:v>2</x:v>
      </x:c>
      <x:c r="I416" s="14" t="n">
        <x:v>1</x:v>
      </x:c>
      <x:c r="J416" s="18" t="n">
        <x:v>83202.4</x:v>
      </x:c>
      <x:c r="K416" s="19" t="n">
        <x:v>46170.42562188658</x:v>
      </x:c>
      <x:c r="L416" s="19" t="n">
        <x:v>46387</x:v>
      </x:c>
      <x:c r="M416" s="15" t="str">
        <x:v>Монтажні та пусконалагоджувальні роботи по встановленню системи охоронної сигналізації ДК 021:2015 (CPV) : 45310000-3 Електромонтажні роботи</x:v>
      </x:c>
      <x:c r="N416" s="15" t="str">
        <x:v>https://prozorro.gov.ua/tender/UA-2026-05-28-006385-a</x:v>
      </x:c>
    </x:row>
    <x:row r="417">
      <x:c r="A417" s="14" t="n">
        <x:v>413</x:v>
      </x:c>
      <x:c r="B417" s="14" t="str">
        <x:v>Товариство з обмеженою відповідальністю "СІТІІНЖЕНІРІНГ"</x:v>
      </x:c>
      <x:c r="C417" s="14" t="str">
        <x:v>44220480</x:v>
      </x:c>
      <x:c r="D417" s="14" t="str">
        <x:v>Насосні станції</x:v>
      </x:c>
      <x:c r="E417" s="14" t="str">
        <x:v>Expansion discovery</x:v>
      </x:c>
      <x:c r="F417" s="14" t="str">
        <x:v>I3</x:v>
      </x:c>
      <x:c r="G417" s="14" t="n">
        <x:v>56</x:v>
      </x:c>
      <x:c r="H417" s="14" t="n">
        <x:v>1</x:v>
      </x:c>
      <x:c r="I417" s="14" t="n">
        <x:v>1</x:v>
      </x:c>
      <x:c r="J417" s="18" t="n">
        <x:v>125556.27</x:v>
      </x:c>
      <x:c r="K417" s="19" t="n">
        <x:v>46230.60918255787</x:v>
      </x:c>
      <x:c r="L417" s="19" t="n">
        <x:v>46356.65076388889</x:v>
      </x:c>
      <x:c r="M417"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417" s="15" t="str">
        <x:v>https://prozorro.gov.ua/tender/UA-2026-07-27-010950-a</x:v>
      </x:c>
    </x:row>
    <x:row r="418">
      <x:c r="A418" s="14" t="n">
        <x:v>414</x:v>
      </x:c>
      <x:c r="B418" s="14" t="str">
        <x:v>ТОВАРИСТВО З ОБМЕЖЕНОЮ ВІДПОВІДАЛЬНІСТЮ "СХІДТРАНСБУД"</x:v>
      </x:c>
      <x:c r="C418" s="14" t="str">
        <x:v>41120643</x:v>
      </x:c>
      <x:c r="D418" s="14" t="str">
        <x:v>Залізнична інфраструктура</x:v>
      </x:c>
      <x:c r="E418" s="14" t="str">
        <x:v>Expansion discovery</x:v>
      </x:c>
      <x:c r="F418" s="14" t="str">
        <x:v>I3</x:v>
      </x:c>
      <x:c r="G418" s="14" t="n">
        <x:v>56</x:v>
      </x:c>
      <x:c r="H418" s="14" t="n">
        <x:v>2</x:v>
      </x:c>
      <x:c r="I418" s="14" t="n">
        <x:v>1</x:v>
      </x:c>
      <x:c r="J418" s="18" t="n">
        <x:v>11636730.45</x:v>
      </x:c>
      <x:c r="K418" s="19" t="n">
        <x:v>45986.58034570602</x:v>
      </x:c>
      <x:c r="L418" s="19" t="n">
        <x:v>45993</x:v>
      </x:c>
      <x:c r="M418" s="15" t="str">
        <x:v>Послуги з поточного ремонту залізничної колії СП №21 Р50 лівий</x:v>
      </x:c>
      <x:c r="N418" s="15" t="str">
        <x:v>https://prozorro.gov.ua/tender/UA-2025-11-25-015148-a</x:v>
      </x:c>
    </x:row>
    <x:row r="419">
      <x:c r="A419" s="14" t="n">
        <x:v>415</x:v>
      </x:c>
      <x:c r="B419" s="14" t="str">
        <x:v>ТОВАРИСТВО З ОБМЕЖЕНОЮ ВІДПОВІДАЛЬНІСТЮ "ФЕЛКІНС"</x:v>
      </x:c>
      <x:c r="C419" s="14" t="str">
        <x:v>43828720</x:v>
      </x:c>
      <x:c r="D419" s="14" t="str">
        <x:v>Насосні станції</x:v>
      </x:c>
      <x:c r="E419" s="14" t="str">
        <x:v>Expansion discovery</x:v>
      </x:c>
      <x:c r="F419" s="14" t="str">
        <x:v>I3</x:v>
      </x:c>
      <x:c r="G419" s="14" t="n">
        <x:v>56</x:v>
      </x:c>
      <x:c r="H419" s="14" t="n">
        <x:v>1</x:v>
      </x:c>
      <x:c r="I419" s="14" t="n">
        <x:v>1</x:v>
      </x:c>
      <x:c r="J419" s="18" t="n">
        <x:v>299707.45</x:v>
      </x:c>
      <x:c r="K419" s="19" t="n">
        <x:v>46219.54142023148</x:v>
      </x:c>
      <x:c r="L419" s="19" t="n">
        <x:v>46266</x:v>
      </x:c>
      <x:c r="M419"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x:v>
      </x:c>
      <x:c r="N419" s="15" t="str">
        <x:v>https://prozorro.gov.ua/tender/UA-2026-07-16-008704-a</x:v>
      </x:c>
    </x:row>
    <x:row r="420">
      <x:c r="A420" s="14" t="n">
        <x:v>416</x:v>
      </x:c>
      <x:c r="B420" s="14" t="str">
        <x:v>ТОВАРИСТВО З ОБМЕЖЕНОЮ ВІДПОВІДАЛЬНІСТЮ "ФОАМІКС"</x:v>
      </x:c>
      <x:c r="C420" s="14" t="str">
        <x:v>45918905</x:v>
      </x:c>
      <x:c r="D420" s="14" t="str">
        <x:v>Резервне живлення</x:v>
      </x:c>
      <x:c r="E420" s="14" t="str">
        <x:v>Pilot now</x:v>
      </x:c>
      <x:c r="F420" s="14" t="str">
        <x:v>I3</x:v>
      </x:c>
      <x:c r="G420" s="14" t="n">
        <x:v>56</x:v>
      </x:c>
      <x:c r="H420" s="14" t="n">
        <x:v>1</x:v>
      </x:c>
      <x:c r="I420" s="14" t="n">
        <x:v>1</x:v>
      </x:c>
      <x:c r="J420" s="18" t="n">
        <x:v>244000</x:v>
      </x:c>
      <x:c r="K420" s="19" t="n">
        <x:v>46247.63124019676</x:v>
      </x:c>
      <x:c r="L420" s="19" t="n">
        <x:v>46265</x:v>
      </x:c>
      <x:c r="M420" s="15" t="str">
        <x:v>Послуги з облаштування захисту з габіонів навколо дизель-генераторів за кодом CPV за ЄЗС ДК 021:2015 45340000-2 Зведення огорож, монтаж поручнів і захисних засобів</x:v>
      </x:c>
      <x:c r="N420" s="15" t="str">
        <x:v>https://prozorro.gov.ua/tender/UA-2026-07-31-008803-a</x:v>
      </x:c>
    </x:row>
    <x:row r="421">
      <x:c r="A421" s="14" t="n">
        <x:v>417</x:v>
      </x:c>
      <x:c r="B421" s="14" t="str">
        <x:v>ТОВАРИСТВО З ОБМЕЖЕНОЮ ВІДПОВІДАЛЬНІСТЮ "ШРБУ-48"</x:v>
      </x:c>
      <x:c r="C421" s="14" t="str">
        <x:v>39835082</x:v>
      </x:c>
      <x:c r="D421" s="14" t="str">
        <x:v>Електромонтаж</x:v>
      </x:c>
      <x:c r="E421" s="14" t="str">
        <x:v>Pilot now</x:v>
      </x:c>
      <x:c r="F421" s="14" t="str">
        <x:v>I3</x:v>
      </x:c>
      <x:c r="G421" s="14" t="n">
        <x:v>56</x:v>
      </x:c>
      <x:c r="H421" s="14" t="n">
        <x:v>1</x:v>
      </x:c>
      <x:c r="I421" s="14" t="n">
        <x:v>1</x:v>
      </x:c>
      <x:c r="J421" s="18" t="n">
        <x:v>460953.83</x:v>
      </x:c>
      <x:c r="K421" s="19" t="n">
        <x:v>46240.48546009259</x:v>
      </x:c>
      <x:c r="L421" s="19" t="n">
        <x:v>46328</x:v>
      </x:c>
      <x:c r="M421"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x:v>
      </x:c>
      <x:c r="N421" s="15" t="str">
        <x:v>https://prozorro.gov.ua/tender/UA-2026-08-06-007672-a</x:v>
      </x:c>
    </x:row>
    <x:row r="422">
      <x:c r="A422" s="14" t="n">
        <x:v>418</x:v>
      </x:c>
      <x:c r="B422" s="14" t="str">
        <x:v>ТОВАРИСТВО З ОБМЕЖЕНОЮ ВІДПОВІДАЛЬНІСТЮ «ВДАЛИЙ ПРОЕКТ»</x:v>
      </x:c>
      <x:c r="C422" s="14" t="str">
        <x:v>45389868</x:v>
      </x:c>
      <x:c r="D422" s="14" t="str">
        <x:v>Насосні станції</x:v>
      </x:c>
      <x:c r="E422" s="14" t="str">
        <x:v>Expansion discovery</x:v>
      </x:c>
      <x:c r="F422" s="14" t="str">
        <x:v>I3</x:v>
      </x:c>
      <x:c r="G422" s="14" t="n">
        <x:v>56</x:v>
      </x:c>
      <x:c r="H422" s="14" t="n">
        <x:v>1</x:v>
      </x:c>
      <x:c r="I422" s="14" t="n">
        <x:v>1</x:v>
      </x:c>
      <x:c r="J422" s="18" t="n">
        <x:v>455649</x:v>
      </x:c>
      <x:c r="K422" s="19" t="n">
        <x:v>46223.55782042824</x:v>
      </x:c>
      <x:c r="L422" s="19" t="n">
        <x:v>46331</x:v>
      </x:c>
      <x:c r="M422"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x:v>
      </x:c>
      <x:c r="N422" s="15" t="str">
        <x:v>https://prozorro.gov.ua/tender/UA-2026-07-20-009480-a</x:v>
      </x:c>
    </x:row>
    <x:row r="423">
      <x:c r="A423" s="14" t="n">
        <x:v>419</x:v>
      </x:c>
      <x:c r="B423" s="14" t="str">
        <x:v>ФІЛІЯ ДЕРЖАВНОГО ПІДПРИЄМСТВА МІНІСТЕРСТВА ОБОРОНИ УКРАЇНИ "ЗАХІДВІЙСЬКБУД " 66 УПРАВЛІННЯ НАЧАЛЬНИКА РОБІТ"</x:v>
      </x:c>
      <x:c r="C423" s="14" t="str">
        <x:v>24971671</x:v>
      </x:c>
      <x:c r="D423" s="14" t="str">
        <x:v>Зовнішні мережі</x:v>
      </x:c>
      <x:c r="E423" s="14" t="str">
        <x:v>Expansion discovery</x:v>
      </x:c>
      <x:c r="F423" s="14" t="str">
        <x:v>I3</x:v>
      </x:c>
      <x:c r="G423" s="14" t="n">
        <x:v>56</x:v>
      </x:c>
      <x:c r="H423" s="14" t="n">
        <x:v>1</x:v>
      </x:c>
      <x:c r="I423" s="14" t="n">
        <x:v>1</x:v>
      </x:c>
      <x:c r="J423" s="18" t="n">
        <x:v>147835.45</x:v>
      </x:c>
      <x:c r="K423" s="19" t="n">
        <x:v>46213.80929887731</x:v>
      </x:c>
      <x:c r="L423" s="19" t="n">
        <x:v>46387</x:v>
      </x:c>
      <x:c r="M423"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x:v>
      </x:c>
      <x:c r="N423" s="15" t="str">
        <x:v>https://prozorro.gov.ua/tender/UA-2026-07-10-011405-a</x:v>
      </x:c>
    </x:row>
    <x:row r="424">
      <x:c r="A424" s="14" t="n">
        <x:v>420</x:v>
      </x:c>
      <x:c r="B424" s="14" t="str">
        <x:v>ФОП БОВКУН РОМАН АНДРІЙОВИЧ</x:v>
      </x:c>
      <x:c r="C424" s="14" t="str">
        <x:v>2913718431</x:v>
      </x:c>
      <x:c r="D424" s="14" t="str">
        <x:v>Електромонтаж</x:v>
      </x:c>
      <x:c r="E424" s="14" t="str">
        <x:v>Pilot now</x:v>
      </x:c>
      <x:c r="F424" s="14" t="str">
        <x:v>I3</x:v>
      </x:c>
      <x:c r="G424" s="14" t="n">
        <x:v>56</x:v>
      </x:c>
      <x:c r="H424" s="14" t="n">
        <x:v>2</x:v>
      </x:c>
      <x:c r="I424" s="14" t="n">
        <x:v>1</x:v>
      </x:c>
      <x:c r="J424" s="18" t="n">
        <x:v>298900</x:v>
      </x:c>
      <x:c r="K424" s="19" t="n">
        <x:v>46219.544246770834</x:v>
      </x:c>
      <x:c r="L424" s="19" t="n">
        <x:v>46227</x:v>
      </x:c>
      <x:c r="M424" s="15" t="str">
        <x:v>Електромонтажні роботи</x:v>
      </x:c>
      <x:c r="N424" s="15" t="str">
        <x:v>https://prozorro.gov.ua/tender/UA-2026-07-16-008792-a</x:v>
      </x:c>
    </x:row>
    <x:row r="425">
      <x:c r="A425" s="14" t="n">
        <x:v>421</x:v>
      </x:c>
      <x:c r="B425" s="14" t="str">
        <x:v>АНТОНЕНКО ОЛЕКСАНДР ІВАНОВИЧ</x:v>
      </x:c>
      <x:c r="C425" s="14" t="str">
        <x:v>2626604515</x:v>
      </x:c>
      <x:c r="D425" s="14" t="str">
        <x:v>Зовнішні мережі</x:v>
      </x:c>
      <x:c r="E425" s="14" t="str">
        <x:v>Expansion discovery</x:v>
      </x:c>
      <x:c r="F425" s="14" t="str">
        <x:v>I3</x:v>
      </x:c>
      <x:c r="G425" s="14" t="n">
        <x:v>56</x:v>
      </x:c>
      <x:c r="H425" s="14" t="n">
        <x:v>2</x:v>
      </x:c>
      <x:c r="I425" s="14" t="n">
        <x:v>0</x:v>
      </x:c>
      <x:c r="J425" s="18" t="n">
        <x:v>45844</x:v>
      </x:c>
      <x:c r="K425" s="19" t="n">
        <x:v>46168.46763905093</x:v>
      </x:c>
      <x:c r="L425" s="19" t="n">
        <x:v>46197</x:v>
      </x:c>
      <x:c r="M425" s="15" t="str">
        <x:v>Послуги з проведення аналізу цін на матеріальні ресурси під час коригування кошторисної документації по об’єкту: «Будівництво зовнішніх мереж водопостачання в селі Чайки Бучанського району Київської області». Коригування</x:v>
      </x:c>
      <x:c r="N425" s="15" t="str">
        <x:v>https://prozorro.gov.ua/tender/UA-2026-05-26-008641-a</x:v>
      </x:c>
    </x:row>
    <x:row r="426">
      <x:c r="A426" s="14" t="n">
        <x:v>422</x:v>
      </x:c>
      <x:c r="B426" s="14" t="str">
        <x:v>ПРИВАТНА РЕМОНТНО-БУДІВЕЛЬНА ФІРМА "КОМУНАЛЬНИК"</x:v>
      </x:c>
      <x:c r="C426" s="14" t="str">
        <x:v>20425612</x:v>
      </x:c>
      <x:c r="D426" s="14" t="str">
        <x:v>Чисті приміщення</x:v>
      </x:c>
      <x:c r="E426" s="14" t="str">
        <x:v>Expansion discovery</x:v>
      </x:c>
      <x:c r="F426" s="14" t="str">
        <x:v>I3</x:v>
      </x:c>
      <x:c r="G426" s="14" t="n">
        <x:v>56</x:v>
      </x:c>
      <x:c r="H426" s="14" t="n">
        <x:v>2</x:v>
      </x:c>
      <x:c r="I426" s="14" t="n">
        <x:v>0</x:v>
      </x:c>
      <x:c r="J426" s="18" t="n">
        <x:v>27222092.48</x:v>
      </x:c>
      <x:c r="K426" s="19" t="n">
        <x:v>45987.515388796295</x:v>
      </x:c>
      <x:c r="L426" s="19" t="n">
        <x:v>46022</x:v>
      </x:c>
      <x:c r="M426" s="15" t="str">
        <x:v>«Реконструкція операційного блоку хірургічного корпусу КП «Лікарня № 2 ім. В.П. Павлусенка» ЖМР за адресою: м. Житомир, 
вул. Р. Шухевича, 2а (коригування)» (CPV ДК 021:2015:45200000-9 Роботи, пов’язані з об’єктами завершеного чи незавершеного будівництва та об’єктів цивільного будівництва)</x:v>
      </x:c>
      <x:c r="N426" s="15" t="str">
        <x:v>https://prozorro.gov.ua/tender/UA-2025-11-26-011271-a</x:v>
      </x:c>
    </x:row>
    <x:row r="427">
      <x:c r="A427" s="14" t="n">
        <x:v>423</x:v>
      </x:c>
      <x:c r="B427" s="14" t="str">
        <x:v>ПРИВАТНЕ ПІДПРИЄМСТВО "ПОЖЦЕНТР"</x:v>
      </x:c>
      <x:c r="C427" s="14" t="str">
        <x:v>30619226</x:v>
      </x:c>
      <x:c r="D427" s="14" t="str">
        <x:v>Пасивний вогнезахист</x:v>
      </x:c>
      <x:c r="E427" s="14" t="str">
        <x:v>Expansion discovery</x:v>
      </x:c>
      <x:c r="F427" s="14" t="str">
        <x:v>I3</x:v>
      </x:c>
      <x:c r="G427" s="14" t="n">
        <x:v>56</x:v>
      </x:c>
      <x:c r="H427" s="14" t="n">
        <x:v>1</x:v>
      </x:c>
      <x:c r="I427" s="14" t="n">
        <x:v>0</x:v>
      </x:c>
      <x:c r="J427" s="18" t="n">
        <x:v>145200</x:v>
      </x:c>
      <x:c r="K427" s="19" t="n">
        <x:v>46247.31666153935</x:v>
      </x:c>
      <x:c r="L427" s="19" t="n">
        <x:v>46247</x:v>
      </x:c>
      <x:c r="M427" s="15" t="str">
        <x:v>
Послуги з проведення вогнезахисної обробки (просочування деревяних конструкцій в приміщеннях  Дніпровського ліцею</x:v>
      </x:c>
      <x:c r="N427" s="15" t="str">
        <x:v>https://prozorro.gov.ua/tender/UA-2026-08-13-002422-a</x:v>
      </x:c>
    </x:row>
    <x:row r="428">
      <x:c r="A428" s="14" t="n">
        <x:v>424</x:v>
      </x:c>
      <x:c r="B428" s="14" t="str">
        <x:v>ТОВ "АЛД Інжиніринг та будівництво"</x:v>
      </x:c>
      <x:c r="C428" s="14" t="str">
        <x:v>43173964</x:v>
      </x:c>
      <x:c r="D428" s="14" t="str">
        <x:v>Газові мережі</x:v>
      </x:c>
      <x:c r="E428" s="14" t="str">
        <x:v>Expansion discovery</x:v>
      </x:c>
      <x:c r="F428" s="14" t="str">
        <x:v>I3</x:v>
      </x:c>
      <x:c r="G428" s="14" t="n">
        <x:v>56</x:v>
      </x:c>
      <x:c r="H428" s="14" t="n">
        <x:v>2</x:v>
      </x:c>
      <x:c r="I428" s="14" t="n">
        <x:v>0</x:v>
      </x:c>
      <x:c r="J428" s="18" t="n">
        <x:v>1485782.4</x:v>
      </x:c>
      <x:c r="K428" s="19" t="n">
        <x:v>46020.544460694444</x:v>
      </x:c>
      <x:c r="L428" s="19" t="n">
        <x:v>46110</x:v>
      </x:c>
      <x:c r="M428"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x:v>
      </x:c>
      <x:c r="N428" s="15" t="str">
        <x:v>https://prozorro.gov.ua/tender/UA-2025-12-29-007792-a</x:v>
      </x:c>
    </x:row>
    <x:row r="429">
      <x:c r="A429" s="14" t="n">
        <x:v>425</x:v>
      </x:c>
      <x:c r="B429" s="14" t="str">
        <x:v>ТОВ Облсумиліфт</x:v>
      </x:c>
      <x:c r="C429" s="14" t="str">
        <x:v>34743296</x:v>
      </x:c>
      <x:c r="D429" s="14" t="str">
        <x:v>Ліфти та підйомники</x:v>
      </x:c>
      <x:c r="E429" s="14" t="str">
        <x:v>Expansion discovery</x:v>
      </x:c>
      <x:c r="F429" s="14" t="str">
        <x:v>I3</x:v>
      </x:c>
      <x:c r="G429" s="14" t="n">
        <x:v>56</x:v>
      </x:c>
      <x:c r="H429" s="14" t="n">
        <x:v>2</x:v>
      </x:c>
      <x:c r="I429" s="14" t="n">
        <x:v>0</x:v>
      </x:c>
      <x:c r="J429" s="18" t="n">
        <x:v>11071699.35</x:v>
      </x:c>
      <x:c r="K429" s="19" t="n">
        <x:v>45855.30308842593</x:v>
      </x:c>
      <x:c r="L429" s="19" t="n">
        <x:v>46142</x:v>
      </x:c>
      <x:c r="M429"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x:v>
      </x:c>
      <x:c r="N429" s="15" t="str">
        <x:v>https://prozorro.gov.ua/tender/UA-2025-06-24-013705-a</x:v>
      </x:c>
    </x:row>
    <x:row r="430">
      <x:c r="A430" s="14" t="n">
        <x:v>426</x:v>
      </x:c>
      <x:c r="B430" s="14" t="str">
        <x:v>ТОВ Сек'юріті Хаб</x:v>
      </x:c>
      <x:c r="C430" s="14" t="str">
        <x:v>42702249</x:v>
      </x:c>
      <x:c r="D430" s="14" t="str">
        <x:v>ЦОД / серверні</x:v>
      </x:c>
      <x:c r="E430" s="14" t="str">
        <x:v>Expansion discovery</x:v>
      </x:c>
      <x:c r="F430" s="14" t="str">
        <x:v>I3</x:v>
      </x:c>
      <x:c r="G430" s="14" t="n">
        <x:v>56</x:v>
      </x:c>
      <x:c r="H430" s="14" t="n">
        <x:v>2</x:v>
      </x:c>
      <x:c r="I430" s="14" t="n">
        <x:v>0</x:v>
      </x:c>
      <x:c r="J430" s="18" t="n">
        <x:v>16283631.77</x:v>
      </x:c>
      <x:c r="K430" s="19" t="n">
        <x:v>45993.33648604167</x:v>
      </x:c>
      <x:c r="L430" s="19" t="n">
        <x:v>46011.4044212963</x:v>
      </x:c>
      <x:c r="M430" s="15" t="str">
        <x:v>Будівництво системи відеоспостереження м.Чернігів: Ділянка 15. Центр обробки даних в будівлі ГУНП в Чернігівській області по проспекту Перемоги 74 у м. Чернігові  (ДК 021:2015-45310000-3 Електромонтажні роботи)</x:v>
      </x:c>
      <x:c r="N430" s="15" t="str">
        <x:v>https://prozorro.gov.ua/tender/UA-2025-11-14-005479-a</x:v>
      </x:c>
    </x:row>
    <x:row r="431">
      <x:c r="A431" s="14" t="n">
        <x:v>427</x:v>
      </x:c>
      <x:c r="B431" s="14" t="str">
        <x:v>ТОВАРИСТВО З ОБМЕЖЕНОЮ ВІДПОВІДАЛЬНІСТЮ "МАК-ЦІНИ"</x:v>
      </x:c>
      <x:c r="C431" s="14" t="str">
        <x:v>45381703</x:v>
      </x:c>
      <x:c r="D431" s="14" t="str">
        <x:v>Насосні станції</x:v>
      </x:c>
      <x:c r="E431" s="14" t="str">
        <x:v>Expansion discovery</x:v>
      </x:c>
      <x:c r="F431" s="14" t="str">
        <x:v>I3</x:v>
      </x:c>
      <x:c r="G431" s="14" t="n">
        <x:v>56</x:v>
      </x:c>
      <x:c r="H431" s="14" t="n">
        <x:v>1</x:v>
      </x:c>
      <x:c r="I431" s="14" t="n">
        <x:v>0</x:v>
      </x:c>
      <x:c r="J431" s="18" t="n">
        <x:v>195720</x:v>
      </x:c>
      <x:c r="K431" s="19" t="n">
        <x:v>46220.33592304398</x:v>
      </x:c>
      <x:c r="L431" s="19" t="n">
        <x:v>46171</x:v>
      </x:c>
      <x:c r="M431" s="15" t="str">
        <x:v>за кодом CPV за ДК 021:2015-79310000-0 Послуги з проведення ринкових досліджень (послуги інженера-консультанта з аналізу цін на матеріальні ресурси по об'єкту: «Реконструкція будівлі насосної станції ІІ-го підйому та площадки водозабору з технічним переоснащенням системи знезараження та технологічної очистки в м. Великі Мости Сокальського району Львівської області»  Коригування)</x:v>
      </x:c>
      <x:c r="N431" s="15" t="str">
        <x:v>https://prozorro.gov.ua/tender/UA-2026-07-17-002803-a</x:v>
      </x:c>
    </x:row>
    <x:row r="432">
      <x:c r="A432" s="14" t="n">
        <x:v>428</x:v>
      </x:c>
      <x:c r="B432" s="14" t="str">
        <x:v>ТОВАРИСТВО З ОБМЕЖЕНОЮ ВІДПОВІДАЛЬНІСТЮ "СМАРТ БУД СОЛЮШНС"</x:v>
      </x:c>
      <x:c r="C432" s="14" t="str">
        <x:v>42785388</x:v>
      </x:c>
      <x:c r="D432" s="14" t="str">
        <x:v>Стиснене повітря / компресорні</x:v>
      </x:c>
      <x:c r="E432" s="14" t="str">
        <x:v>Expansion discovery</x:v>
      </x:c>
      <x:c r="F432" s="14" t="str">
        <x:v>I3</x:v>
      </x:c>
      <x:c r="G432" s="14" t="n">
        <x:v>56</x:v>
      </x:c>
      <x:c r="H432" s="14" t="n">
        <x:v>2</x:v>
      </x:c>
      <x:c r="I432" s="14" t="n">
        <x:v>0</x:v>
      </x:c>
      <x:c r="J432" s="18" t="n">
        <x:v>18790010.6</x:v>
      </x:c>
      <x:c r="K432" s="19" t="n">
        <x:v>45992.331369733794</x:v>
      </x:c>
      <x:c r="L432" s="19" t="n">
        <x:v>46022</x:v>
      </x:c>
      <x:c r="M432" s="15" t="str">
        <x:v>Реконструкція підстанції 35/6 кВ компресорної станції «Долина» (додаткові роботи) (Будівельні роботи та поточний ремонт)</x:v>
      </x:c>
      <x:c r="N432" s="15" t="str">
        <x:v>https://prozorro.gov.ua/tender/UA-2025-12-01-001755-a</x:v>
      </x:c>
    </x:row>
    <x:row r="433">
      <x:c r="A433" s="14" t="n">
        <x:v>429</x:v>
      </x:c>
      <x:c r="B433" s="14" t="str">
        <x:v>ТОВАРИСТВО З ОБМЕЖЕНОЮ ВІДПОВІДАЛЬНІСТЮ «ЗЕЛЕНИЙ БОСС БУД»</x:v>
      </x:c>
      <x:c r="C433" s="14" t="str">
        <x:v>40648494</x:v>
      </x:c>
      <x:c r="D433" s="14" t="str">
        <x:v>Ремонт і підсилення бетону</x:v>
      </x:c>
      <x:c r="E433" s="14" t="str">
        <x:v>Expansion discovery</x:v>
      </x:c>
      <x:c r="F433" s="14" t="str">
        <x:v>I3</x:v>
      </x:c>
      <x:c r="G433" s="14" t="n">
        <x:v>56</x:v>
      </x:c>
      <x:c r="H433" s="14" t="n">
        <x:v>2</x:v>
      </x:c>
      <x:c r="I433" s="14" t="n">
        <x:v>0</x:v>
      </x:c>
      <x:c r="J433" s="18" t="n">
        <x:v>19156153.77</x:v>
      </x:c>
      <x:c r="K433" s="19" t="n">
        <x:v>45810.58274423611</x:v>
      </x:c>
      <x:c r="L433" s="19" t="n">
        <x:v>45823.584861111114</x:v>
      </x:c>
      <x:c r="M433" s="15" t="str">
        <x:v>«Капітальний ремонт харчоблоку з підсиленням несучих конструкцій в будівлі Білогородського академічного ліцею №2 Білогородської сільської ради Бучанського району Київської області за адресою: Київська обл., Бучанський р-н, село Білогородка, вул. Володимирська, будинок 96 (додаткові роботи)» (код ДК 021:2015: 45000000-7 Будівельні роботи та поточний ремонт)</x:v>
      </x:c>
      <x:c r="N433" s="15" t="str">
        <x:v>https://prozorro.gov.ua/tender/UA-2025-06-02-012296-a</x:v>
      </x:c>
    </x:row>
    <x:row r="434">
      <x:c r="A434" s="14" t="n">
        <x:v>430</x:v>
      </x:c>
      <x:c r="B434" s="14" t="str">
        <x:v>Гаваль Ганна Олександрівна</x:v>
      </x:c>
      <x:c r="C434" s="14" t="str">
        <x:v>3358701424</x:v>
      </x:c>
      <x:c r="D434" s="14" t="str">
        <x:v>Пожежогасіння</x:v>
      </x:c>
      <x:c r="E434" s="14" t="str">
        <x:v>Expansion discovery</x:v>
      </x:c>
      <x:c r="F434" s="14" t="str">
        <x:v>I3</x:v>
      </x:c>
      <x:c r="G434" s="14" t="n">
        <x:v>55</x:v>
      </x:c>
      <x:c r="H434" s="14" t="n">
        <x:v>2</x:v>
      </x:c>
      <x:c r="I434" s="14" t="n">
        <x:v>1</x:v>
      </x:c>
      <x:c r="J434" s="18" t="n">
        <x:v>177696.78</x:v>
      </x:c>
      <x:c r="K434" s="19" t="n">
        <x:v>46203.528278287034</x:v>
      </x:c>
      <x:c r="L434" s="19" t="n">
        <x:v>46387</x:v>
      </x:c>
      <x:c r="M434" s="15" t="str">
        <x:v>Послуги з монтажу системи пожежної сигналізації та системи оповіщення про пожежу</x:v>
      </x:c>
      <x:c r="N434" s="15" t="str">
        <x:v>https://prozorro.gov.ua/tender/UA-2026-06-30-011091-a</x:v>
      </x:c>
    </x:row>
    <x:row r="435">
      <x:c r="A435" s="14" t="n">
        <x:v>431</x:v>
      </x:c>
      <x:c r="B435" s="14" t="str">
        <x:v>Товариство з обмеженою відповідальністю "Дніпропетровське спеціалізоване протипожежне підприємство"</x:v>
      </x:c>
      <x:c r="C435" s="14" t="str">
        <x:v>35269494</x:v>
      </x:c>
      <x:c r="D435" s="14" t="str">
        <x:v>Газопостачання / котельні</x:v>
      </x:c>
      <x:c r="E435" s="14" t="str">
        <x:v>Expansion discovery</x:v>
      </x:c>
      <x:c r="F435" s="14" t="str">
        <x:v>I3</x:v>
      </x:c>
      <x:c r="G435" s="14" t="n">
        <x:v>55</x:v>
      </x:c>
      <x:c r="H435" s="14" t="n">
        <x:v>2</x:v>
      </x:c>
      <x:c r="I435" s="14" t="n">
        <x:v>1</x:v>
      </x:c>
      <x:c r="J435" s="18" t="n">
        <x:v>314599.82</x:v>
      </x:c>
      <x:c r="K435" s="19" t="n">
        <x:v>46155.45745488426</x:v>
      </x:c>
      <x:c r="L435" s="19" t="n">
        <x:v>46356</x:v>
      </x:c>
      <x:c r="M435"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x:v>
      </x:c>
      <x:c r="N435" s="15" t="str">
        <x:v>https://prozorro.gov.ua/tender/UA-2026-03-25-005417-a</x:v>
      </x:c>
    </x:row>
    <x:row r="436">
      <x:c r="A436" s="14" t="n">
        <x:v>432</x:v>
      </x:c>
      <x:c r="B436" s="14" t="str">
        <x:v>ФОП Копко Андрій Васильович</x:v>
      </x:c>
      <x:c r="C436" s="14" t="str">
        <x:v>3100916759</x:v>
      </x:c>
      <x:c r="D436" s="14" t="str">
        <x:v>Мости / інфраструктура</x:v>
      </x:c>
      <x:c r="E436" s="14" t="str">
        <x:v>Expansion discovery</x:v>
      </x:c>
      <x:c r="F436" s="14" t="str">
        <x:v>I3</x:v>
      </x:c>
      <x:c r="G436" s="14" t="n">
        <x:v>55</x:v>
      </x:c>
      <x:c r="H436" s="14" t="n">
        <x:v>1</x:v>
      </x:c>
      <x:c r="I436" s="14" t="n">
        <x:v>1</x:v>
      </x:c>
      <x:c r="J436" s="18" t="n">
        <x:v>2596716</x:v>
      </x:c>
      <x:c r="K436" s="19" t="n">
        <x:v>46209.25579451389</x:v>
      </x:c>
      <x:c r="L436" s="19" t="n">
        <x:v>46387</x:v>
      </x:c>
      <x:c r="M436" s="15" t="str">
        <x:v>Послуги з ремонту автобусів (послуги з ремонту портальних мостів ZF AV 132 II/80)</x:v>
      </x:c>
      <x:c r="N436" s="15" t="str">
        <x:v>https://prozorro.gov.ua/tender/UA-2026-06-23-002988-a</x:v>
      </x:c>
    </x:row>
    <x:row r="437">
      <x:c r="A437" s="14" t="n">
        <x:v>433</x:v>
      </x:c>
      <x:c r="B437" s="14" t="str">
        <x:v>ФОП КОРОБКІН АНТОН АНАТОЛІЙОВИЧ</x:v>
      </x:c>
      <x:c r="C437" s="14" t="str">
        <x:v>3077820613</x:v>
      </x:c>
      <x:c r="D437" s="14" t="str">
        <x:v>Внутрішні сантехнічні системи</x:v>
      </x:c>
      <x:c r="E437" s="14" t="str">
        <x:v>Pilot now</x:v>
      </x:c>
      <x:c r="F437" s="14" t="str">
        <x:v>I3</x:v>
      </x:c>
      <x:c r="G437" s="14" t="n">
        <x:v>55</x:v>
      </x:c>
      <x:c r="H437" s="14" t="n">
        <x:v>1</x:v>
      </x:c>
      <x:c r="I437" s="14" t="n">
        <x:v>1</x:v>
      </x:c>
      <x:c r="J437" s="18" t="n">
        <x:v>3790577.62</x:v>
      </x:c>
      <x:c r="K437" s="19" t="n">
        <x:v>46206.5426603125</x:v>
      </x:c>
      <x:c r="L437" s="19" t="n">
        <x:v>46384</x:v>
      </x:c>
      <x:c r="M437"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x:v>
      </x:c>
      <x:c r="N437" s="15" t="str">
        <x:v>https://prozorro.gov.ua/tender/UA-2026-06-18-014259-a</x:v>
      </x:c>
    </x:row>
    <x:row r="438">
      <x:c r="A438" s="14" t="n">
        <x:v>434</x:v>
      </x:c>
      <x:c r="B438" s="14" t="str">
        <x:v>ДОЧІРНЄ ПІДПРИЄМСТВО ТЕЛЕВІЗІЙНИХ СИСТЕМ "КВАНТ" ПРИВАТНОГО АКЦІОНЕРНОГО ТОВАРИСТВА "АТОМСЕРВІС"</x:v>
      </x:c>
      <x:c r="C438" s="14" t="str">
        <x:v>23631097</x:v>
      </x:c>
      <x:c r="D438" s="14" t="str">
        <x:v>ВОЛЗ / телеком</x:v>
      </x:c>
      <x:c r="E438" s="14" t="str">
        <x:v>Expansion discovery</x:v>
      </x:c>
      <x:c r="F438" s="14" t="str">
        <x:v>I3</x:v>
      </x:c>
      <x:c r="G438" s="14" t="n">
        <x:v>55</x:v>
      </x:c>
      <x:c r="H438" s="14" t="n">
        <x:v>4</x:v>
      </x:c>
      <x:c r="I438" s="14" t="n">
        <x:v>0</x:v>
      </x:c>
      <x:c r="J438" s="18" t="n">
        <x:v>92765.58</x:v>
      </x:c>
      <x:c r="K438" s="19" t="n">
        <x:v>45911.36194486111</x:v>
      </x:c>
      <x:c r="L438" s="19" t="n">
        <x:v>45953</x:v>
      </x:c>
      <x:c r="M438" s="15" t="str">
        <x:v>ДК 021:2015 64220000-4 Телекомунікаційні послуги, крім послуг телефонного зв'язку і передачі даних (Монтаж телекомунікаційної мережі та підключення додаткових абонентських точок до мережі Інтернет в прибудові Південноукраїнського ліцею №1 імені Захисників Вітчизни (1-й поверх) для одержання послуг Інтернет в Інклюзивно-ресурсному центрі Південноукраїнської міської ради за адресою: м. Південноукраїнськ, бульвар Мрій, 8)</x:v>
      </x:c>
      <x:c r="N438" s="15" t="str">
        <x:v>https://prozorro.gov.ua/tender/UA-2025-09-11-004350-a</x:v>
      </x:c>
    </x:row>
    <x:row r="439">
      <x:c r="A439" s="14" t="n">
        <x:v>435</x:v>
      </x:c>
      <x:c r="B439" s="14" t="str">
        <x:v>Тимків Володимир Ярославович</x:v>
      </x:c>
      <x:c r="C439" s="14" t="str">
        <x:v>3060706854</x:v>
      </x:c>
      <x:c r="D439" s="14" t="str">
        <x:v>HVAC / ОВіК</x:v>
      </x:c>
      <x:c r="E439" s="14" t="str">
        <x:v>Pilot now</x:v>
      </x:c>
      <x:c r="F439" s="14" t="str">
        <x:v>I3</x:v>
      </x:c>
      <x:c r="G439" s="14" t="n">
        <x:v>55</x:v>
      </x:c>
      <x:c r="H439" s="14" t="n">
        <x:v>5</x:v>
      </x:c>
      <x:c r="I439" s="14" t="n">
        <x:v>0</x:v>
      </x:c>
      <x:c r="J439" s="18" t="n">
        <x:v>62284</x:v>
      </x:c>
      <x:c r="K439" s="19" t="n">
        <x:v>45978.52153534722</x:v>
      </x:c>
      <x:c r="L439" s="19" t="n">
        <x:v>46022.51920138889</x:v>
      </x:c>
      <x:c r="M439" s="15" t="str">
        <x:v>Послуга монтаж системи вентиляції харчоблоку.</x:v>
      </x:c>
      <x:c r="N439" s="15" t="str">
        <x:v>https://prozorro.gov.ua/tender/UA-2025-11-17-009979-a</x:v>
      </x:c>
    </x:row>
    <x:row r="440">
      <x:c r="A440" s="14" t="n">
        <x:v>436</x:v>
      </x:c>
      <x:c r="B440" s="14" t="str">
        <x:v>ТОВ "УКРВЕНТКЛІМАТ"</x:v>
      </x:c>
      <x:c r="C440" s="14" t="str">
        <x:v>41988622</x:v>
      </x:c>
      <x:c r="D440" s="14" t="str">
        <x:v>Промисловий холод</x:v>
      </x:c>
      <x:c r="E440" s="14" t="str">
        <x:v>Expansion discovery</x:v>
      </x:c>
      <x:c r="F440" s="14" t="str">
        <x:v>I3</x:v>
      </x:c>
      <x:c r="G440" s="14" t="n">
        <x:v>55</x:v>
      </x:c>
      <x:c r="H440" s="14" t="n">
        <x:v>3</x:v>
      </x:c>
      <x:c r="I440" s="14" t="n">
        <x:v>0</x:v>
      </x:c>
      <x:c r="J440" s="18" t="n">
        <x:v>2077754.5</x:v>
      </x:c>
      <x:c r="K440" s="19" t="n">
        <x:v>45939.47932902778</x:v>
      </x:c>
      <x:c r="L440" s="19" t="n">
        <x:v>45961</x:v>
      </x:c>
      <x:c r="M440" s="15" t="str">
        <x:v>Послуга з монтажу (встановлення) / демонтажу холодильного обладнання за адресою: 49055, Дніпропетровська область, м. Дніпро, вул. Ребініна лікаря 1, Господарчій корпус, літера «Г–1», приміщення, 3-18 за ДК 021:2015 : 51110000-6 Послуги зі встановлення електричного обладнання</x:v>
      </x:c>
      <x:c r="N440" s="15" t="str">
        <x:v>https://prozorro.gov.ua/tender/UA-2025-09-26-009269-a</x:v>
      </x:c>
    </x:row>
    <x:row r="441">
      <x:c r="A441" s="14" t="n">
        <x:v>437</x:v>
      </x:c>
      <x:c r="B441" s="14" t="str">
        <x:v>ДЕРЖАВНЕ ПІДПРИЄМСТВО "СПЕЦІАЛІЗОВАНА ДЕРЖАВНА ЕКСПЕРТНА ОРГАНІЗАЦІЯ-ЦЕНТРАЛЬНА СЛУЖБА УКРАЇНСЬКОЇ ДЕРЖАВНОЇ БУДІВЕЛЬНОЇ ЕКСПЕРТИЗИ"</x:v>
      </x:c>
      <x:c r="C441" s="14" t="str">
        <x:v>35691621</x:v>
      </x:c>
      <x:c r="D441" s="14" t="str">
        <x:v>Водоочищення / очисні споруди</x:v>
      </x:c>
      <x:c r="E441" s="14" t="str">
        <x:v>Expansion discovery</x:v>
      </x:c>
      <x:c r="F441" s="14" t="str">
        <x:v>I3</x:v>
      </x:c>
      <x:c r="G441" s="14" t="n">
        <x:v>54</x:v>
      </x:c>
      <x:c r="H441" s="14" t="n">
        <x:v>2</x:v>
      </x:c>
      <x:c r="I441" s="14" t="n">
        <x:v>1</x:v>
      </x:c>
      <x:c r="J441" s="18" t="n">
        <x:v>1265030.28</x:v>
      </x:c>
      <x:c r="K441" s="19" t="n">
        <x:v>45702.28357491898</x:v>
      </x:c>
      <x:c r="L441" s="19" t="n">
        <x:v>45730</x:v>
      </x:c>
      <x:c r="M441" s="15" t="str">
        <x:v>Завершальний етап розроблення проєкту будівництва по об’єкту: "Реконструкція вузла підключення компресорної станції "Південнобузька" шляхом улаштування технологічної перемички для транспортування газу в реверсному напрямку у Вознесенському районі Миколаївської області" (Будівельні роботи та поточний ремонт)</x:v>
      </x:c>
      <x:c r="N441" s="15" t="str">
        <x:v>https://prozorro.gov.ua/tender/UA-2025-02-14-000408-a</x:v>
      </x:c>
    </x:row>
    <x:row r="442">
      <x:c r="A442" s="14" t="n">
        <x:v>438</x:v>
      </x:c>
      <x:c r="B442" s="14" t="str">
        <x:v>ДЯК ОЛЕКСАНДР ІВАНОВИЧ</x:v>
      </x:c>
      <x:c r="C442" s="14" t="str">
        <x:v>2718200133</x:v>
      </x:c>
      <x:c r="D442" s="14" t="str">
        <x:v>Промисловий холод</x:v>
      </x:c>
      <x:c r="E442" s="14" t="str">
        <x:v>Expansion discovery</x:v>
      </x:c>
      <x:c r="F442" s="14" t="str">
        <x:v>I3</x:v>
      </x:c>
      <x:c r="G442" s="14" t="n">
        <x:v>54</x:v>
      </x:c>
      <x:c r="H442" s="14" t="n">
        <x:v>3</x:v>
      </x:c>
      <x:c r="I442" s="14" t="n">
        <x:v>1</x:v>
      </x:c>
      <x:c r="J442" s="18" t="n">
        <x:v>85699</x:v>
      </x:c>
      <x:c r="K442" s="19" t="n">
        <x:v>45915.32668788194</x:v>
      </x:c>
      <x:c r="L442" s="19" t="n">
        <x:v>45930</x:v>
      </x:c>
      <x:c r="M442" s="15" t="str">
        <x:v>Кондиціонер з монтажем, (ДК 021:2015 42510000-4 «Теплообмінники, кондиціонери повітря, холодильне обладнання та фільтрувальні пристрої»)</x:v>
      </x:c>
      <x:c r="N442" s="15" t="str">
        <x:v>https://prozorro.gov.ua/tender/UA-2025-09-15-002784-a</x:v>
      </x:c>
    </x:row>
    <x:row r="443">
      <x:c r="A443" s="14" t="n">
        <x:v>439</x:v>
      </x:c>
      <x:c r="B443" s="14" t="str">
        <x:v>ПАЧЕС ТАРАС ГЕОРГІЙОВИЧ</x:v>
      </x:c>
      <x:c r="C443" s="14" t="str">
        <x:v>2958304091</x:v>
      </x:c>
      <x:c r="D443" s="14" t="str">
        <x:v>Теплові мережі</x:v>
      </x:c>
      <x:c r="E443" s="14" t="str">
        <x:v>Expansion discovery</x:v>
      </x:c>
      <x:c r="F443" s="14" t="str">
        <x:v>I3</x:v>
      </x:c>
      <x:c r="G443" s="14" t="n">
        <x:v>54</x:v>
      </x:c>
      <x:c r="H443" s="14" t="n">
        <x:v>1</x:v>
      </x:c>
      <x:c r="I443" s="14" t="n">
        <x:v>1</x:v>
      </x:c>
      <x:c r="J443" s="18" t="n">
        <x:v>923825.48</x:v>
      </x:c>
      <x:c r="K443" s="19" t="n">
        <x:v>46147.60565925926</x:v>
      </x:c>
      <x:c r="L443" s="19" t="n">
        <x:v>46295</x:v>
      </x:c>
      <x:c r="M443" s="15" t="str">
        <x:v>Розробка робочого проекту по об’єкту: «Реконструкція ділянки теплової мережі вул. Владислава Бувалкіна від ТК1032 до ТК2030, м. Одеса» </x:v>
      </x:c>
      <x:c r="N443" s="15" t="str">
        <x:v>https://prozorro.gov.ua/tender/UA-2026-05-05-014502-a</x:v>
      </x:c>
    </x:row>
    <x:row r="444">
      <x:c r="A444" s="14" t="n">
        <x:v>440</x:v>
      </x:c>
      <x:c r="B444" s="14" t="str">
        <x:v>ПП Сітек</x:v>
      </x:c>
      <x:c r="C444" s="14" t="str">
        <x:v>30281784</x:v>
      </x:c>
      <x:c r="D444" s="14" t="str">
        <x:v>Антикорозійний захист</x:v>
      </x:c>
      <x:c r="E444" s="14" t="str">
        <x:v>Expansion discovery</x:v>
      </x:c>
      <x:c r="F444" s="14" t="str">
        <x:v>I3</x:v>
      </x:c>
      <x:c r="G444" s="14" t="n">
        <x:v>54</x:v>
      </x:c>
      <x:c r="H444" s="14" t="n">
        <x:v>1</x:v>
      </x:c>
      <x:c r="I444" s="14" t="n">
        <x:v>1</x:v>
      </x:c>
      <x:c r="J444" s="18" t="n">
        <x:v>1464780</x:v>
      </x:c>
      <x:c r="K444" s="19" t="n">
        <x:v>46191.341703784725</x:v>
      </x:c>
      <x:c r="L444" s="19" t="n">
        <x:v>46387</x:v>
      </x:c>
      <x:c r="M444" s="15" t="str">
        <x:v>Послуга з антикорозійного захисту металоконструкції портального крану "Альбрехт" інв. № 21</x:v>
      </x:c>
      <x:c r="N444" s="15" t="str">
        <x:v>https://prozorro.gov.ua/tender/UA-2026-05-29-007222-a</x:v>
      </x:c>
    </x:row>
    <x:row r="445">
      <x:c r="A445" s="14" t="n">
        <x:v>441</x:v>
      </x:c>
      <x:c r="B445" s="14" t="str">
        <x:v>РІШКО ДМИТРО СТЕПАНОВИЧ</x:v>
      </x:c>
      <x:c r="C445" s="14" t="str">
        <x:v>2925801591</x:v>
      </x:c>
      <x:c r="D445" s="14" t="str">
        <x:v>Електромонтаж</x:v>
      </x:c>
      <x:c r="E445" s="14" t="str">
        <x:v>Pilot now</x:v>
      </x:c>
      <x:c r="F445" s="14" t="str">
        <x:v>I3</x:v>
      </x:c>
      <x:c r="G445" s="14" t="n">
        <x:v>54</x:v>
      </x:c>
      <x:c r="H445" s="14" t="n">
        <x:v>2</x:v>
      </x:c>
      <x:c r="I445" s="14" t="n">
        <x:v>1</x:v>
      </x:c>
      <x:c r="J445" s="18" t="n">
        <x:v>8562</x:v>
      </x:c>
      <x:c r="K445" s="19" t="n">
        <x:v>46233.474989282404</x:v>
      </x:c>
      <x:c r="L445" s="19" t="n">
        <x:v>46387</x:v>
      </x:c>
      <x:c r="M445"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445" s="15" t="str">
        <x:v>https://prozorro.gov.ua/tender/UA-2026-07-30-006269-a</x:v>
      </x:c>
    </x:row>
    <x:row r="446">
      <x:c r="A446" s="14" t="n">
        <x:v>442</x:v>
      </x:c>
      <x:c r="B446" s="14" t="str">
        <x:v>СУПРУНЮК ОЛЕКСАНДР ВІТАЛІЙОВИЧ</x:v>
      </x:c>
      <x:c r="C446" s="14" t="str">
        <x:v>3490410698</x:v>
      </x:c>
      <x:c r="D446" s="14" t="str">
        <x:v>Електромонтаж</x:v>
      </x:c>
      <x:c r="E446" s="14" t="str">
        <x:v>Pilot now</x:v>
      </x:c>
      <x:c r="F446" s="14" t="str">
        <x:v>I3</x:v>
      </x:c>
      <x:c r="G446" s="14" t="n">
        <x:v>54</x:v>
      </x:c>
      <x:c r="H446" s="14" t="n">
        <x:v>2</x:v>
      </x:c>
      <x:c r="I446" s="14" t="n">
        <x:v>1</x:v>
      </x:c>
      <x:c r="J446" s="18" t="n">
        <x:v>29000</x:v>
      </x:c>
      <x:c r="K446" s="19" t="n">
        <x:v>46213.38689792824</x:v>
      </x:c>
      <x:c r="L446" s="19" t="n">
        <x:v>46387</x:v>
      </x:c>
      <x:c r="M446" s="15" t="str">
        <x:v>Послуги з електровимірювання (електровимірювальні роботи) (ДК 021:2015:71630000-3 Послуги з технічного огляду та випробувань (електровимірювальні роботи))</x:v>
      </x:c>
      <x:c r="N446" s="15" t="str">
        <x:v>https://prozorro.gov.ua/tender/UA-2026-07-10-004879-a</x:v>
      </x:c>
    </x:row>
    <x:row r="447">
      <x:c r="A447" s="14" t="n">
        <x:v>443</x:v>
      </x:c>
      <x:c r="B447" s="14" t="str">
        <x:v>ТОВ "АМ ПРОФМОНТАЖ"</x:v>
      </x:c>
      <x:c r="C447" s="14" t="str">
        <x:v>45223194</x:v>
      </x:c>
      <x:c r="D447" s="14" t="str">
        <x:v>Теплові мережі</x:v>
      </x:c>
      <x:c r="E447" s="14" t="str">
        <x:v>Expansion discovery</x:v>
      </x:c>
      <x:c r="F447" s="14" t="str">
        <x:v>I3</x:v>
      </x:c>
      <x:c r="G447" s="14" t="n">
        <x:v>54</x:v>
      </x:c>
      <x:c r="H447" s="14" t="n">
        <x:v>1</x:v>
      </x:c>
      <x:c r="I447" s="14" t="n">
        <x:v>1</x:v>
      </x:c>
      <x:c r="J447" s="18" t="n">
        <x:v>29236582</x:v>
      </x:c>
      <x:c r="K447" s="19" t="n">
        <x:v>46129.5406844213</x:v>
      </x:c>
      <x:c r="L447" s="19" t="n">
        <x:v>46356.916655092595</x:v>
      </x:c>
      <x:c r="M447" s="15" t="str">
        <x:v>Реконструкція (відновлення) теплових мереж на ділянці від МК 5110 до МК 5111 по вул. Гвардійців-Широнінців в м. Харкові (код ДК: 021:2015-45454000-4-Реконструкція)
</x:v>
      </x:c>
      <x:c r="N447" s="15" t="str">
        <x:v>https://prozorro.gov.ua/tender/UA-2026-03-07-000313-a</x:v>
      </x:c>
    </x:row>
    <x:row r="448">
      <x:c r="A448" s="14" t="n">
        <x:v>444</x:v>
      </x:c>
      <x:c r="B448" s="14" t="str">
        <x:v>ТОВ "БУДІВЕЛЬНА ФІРМА "ХІМЗАХИСТ"</x:v>
      </x:c>
      <x:c r="C448" s="14" t="str">
        <x:v>38869215</x:v>
      </x:c>
      <x:c r="D448" s="14" t="str">
        <x:v>Покрівлі та гідроізоляція</x:v>
      </x:c>
      <x:c r="E448" s="14" t="str">
        <x:v>Expansion discovery</x:v>
      </x:c>
      <x:c r="F448" s="14" t="str">
        <x:v>I3</x:v>
      </x:c>
      <x:c r="G448" s="14" t="n">
        <x:v>54</x:v>
      </x:c>
      <x:c r="H448" s="14" t="n">
        <x:v>1</x:v>
      </x:c>
      <x:c r="I448" s="14" t="n">
        <x:v>1</x:v>
      </x:c>
      <x:c r="J448" s="18" t="n">
        <x:v>1516000</x:v>
      </x:c>
      <x:c r="K448" s="19" t="n">
        <x:v>46189.43104575232</x:v>
      </x:c>
      <x:c r="L448" s="19" t="n">
        <x:v>46387</x:v>
      </x:c>
      <x:c r="M448"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x:v>
      </x:c>
      <x:c r="N448" s="15" t="str">
        <x:v>https://prozorro.gov.ua/tender/UA-2026-05-21-003661-a</x:v>
      </x:c>
    </x:row>
    <x:row r="449">
      <x:c r="A449" s="14" t="n">
        <x:v>445</x:v>
      </x:c>
      <x:c r="B449" s="14" t="str">
        <x:v>ТОВ "ГенезісПроІнжиніринг"</x:v>
      </x:c>
      <x:c r="C449" s="14" t="str">
        <x:v>45901964</x:v>
      </x:c>
      <x:c r="D449" s="14" t="str">
        <x:v>Насосні станції</x:v>
      </x:c>
      <x:c r="E449" s="14" t="str">
        <x:v>Expansion discovery</x:v>
      </x:c>
      <x:c r="F449" s="14" t="str">
        <x:v>I3</x:v>
      </x:c>
      <x:c r="G449" s="14" t="n">
        <x:v>54</x:v>
      </x:c>
      <x:c r="H449" s="14" t="n">
        <x:v>1</x:v>
      </x:c>
      <x:c r="I449" s="14" t="n">
        <x:v>1</x:v>
      </x:c>
      <x:c r="J449" s="18" t="n">
        <x:v>795000</x:v>
      </x:c>
      <x:c r="K449" s="19" t="n">
        <x:v>46185.263582175925</x:v>
      </x:c>
      <x:c r="L449" s="19" t="n">
        <x:v>46419</x:v>
      </x:c>
      <x:c r="M449"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x:v>
      </x:c>
      <x:c r="N449" s="15" t="str">
        <x:v>https://prozorro.gov.ua/tender/UA-2026-05-21-001856-a</x:v>
      </x:c>
    </x:row>
    <x:row r="450">
      <x:c r="A450" s="14" t="n">
        <x:v>446</x:v>
      </x:c>
      <x:c r="B450" s="14" t="str">
        <x:v>ТОВ "Західбуд Стрий"</x:v>
      </x:c>
      <x:c r="C450" s="14" t="str">
        <x:v>44267382</x:v>
      </x:c>
      <x:c r="D450" s="14" t="str">
        <x:v>HVAC / ОВіК</x:v>
      </x:c>
      <x:c r="E450" s="14" t="str">
        <x:v>Pilot now</x:v>
      </x:c>
      <x:c r="F450" s="14" t="str">
        <x:v>I3</x:v>
      </x:c>
      <x:c r="G450" s="14" t="n">
        <x:v>54</x:v>
      </x:c>
      <x:c r="H450" s="14" t="n">
        <x:v>1</x:v>
      </x:c>
      <x:c r="I450" s="14" t="n">
        <x:v>1</x:v>
      </x:c>
      <x:c r="J450" s="18" t="n">
        <x:v>1316842.52</x:v>
      </x:c>
      <x:c r="K450" s="19" t="n">
        <x:v>46153.70323744213</x:v>
      </x:c>
      <x:c r="L450" s="19" t="n">
        <x:v>46387</x:v>
      </x:c>
      <x:c r="M450"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450" s="15" t="str">
        <x:v>https://prozorro.gov.ua/tender/UA-2026-05-11-014054-a</x:v>
      </x:c>
    </x:row>
    <x:row r="451">
      <x:c r="A451" s="14" t="n">
        <x:v>447</x:v>
      </x:c>
      <x:c r="B451" s="14" t="str">
        <x:v>ТОВ "ІНТЕРПРОЕКТ GMBH"</x:v>
      </x:c>
      <x:c r="C451" s="14" t="str">
        <x:v>35402590</x:v>
      </x:c>
      <x:c r="D451" s="14" t="str">
        <x:v>Насосні станції</x:v>
      </x:c>
      <x:c r="E451" s="14" t="str">
        <x:v>Expansion discovery</x:v>
      </x:c>
      <x:c r="F451" s="14" t="str">
        <x:v>I3</x:v>
      </x:c>
      <x:c r="G451" s="14" t="n">
        <x:v>54</x:v>
      </x:c>
      <x:c r="H451" s="14" t="n">
        <x:v>1</x:v>
      </x:c>
      <x:c r="I451" s="14" t="n">
        <x:v>1</x:v>
      </x:c>
      <x:c r="J451" s="18" t="n">
        <x:v>1312466.96</x:v>
      </x:c>
      <x:c r="K451" s="19" t="n">
        <x:v>46171.48359363426</x:v>
      </x:c>
      <x:c r="L451" s="19" t="n">
        <x:v>46295</x:v>
      </x:c>
      <x:c r="M451" s="15" t="str">
        <x:v>Реконструкція насосної станції 1-го підйому КП "Житомирводоканал" з встановленням системи моніторингу даних</x:v>
      </x:c>
      <x:c r="N451" s="15" t="str">
        <x:v>https://prozorro.gov.ua/tender/UA-2026-05-07-009595-a</x:v>
      </x:c>
    </x:row>
    <x:row r="452">
      <x:c r="A452" s="14" t="n">
        <x:v>448</x:v>
      </x:c>
      <x:c r="B452" s="14" t="str">
        <x:v>ТОВ "Компанія Барбакан"</x:v>
      </x:c>
      <x:c r="C452" s="14" t="str">
        <x:v>41159796</x:v>
      </x:c>
      <x:c r="D452" s="14" t="str">
        <x:v>Водоочищення / очисні споруди</x:v>
      </x:c>
      <x:c r="E452" s="14" t="str">
        <x:v>Expansion discovery</x:v>
      </x:c>
      <x:c r="F452" s="14" t="str">
        <x:v>I3</x:v>
      </x:c>
      <x:c r="G452" s="14" t="n">
        <x:v>54</x:v>
      </x:c>
      <x:c r="H452" s="14" t="n">
        <x:v>1</x:v>
      </x:c>
      <x:c r="I452" s="14" t="n">
        <x:v>1</x:v>
      </x:c>
      <x:c r="J452" s="18" t="n">
        <x:v>48503015.74</x:v>
      </x:c>
      <x:c r="K452" s="19" t="n">
        <x:v>46136.464919502316</x:v>
      </x:c>
      <x:c r="L452" s="19" t="n">
        <x:v>46507</x:v>
      </x:c>
      <x:c r="M452"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x:v>
      </x:c>
      <x:c r="N452" s="15" t="str">
        <x:v>https://prozorro.gov.ua/tender/UA-2025-12-19-018733-a</x:v>
      </x:c>
    </x:row>
    <x:row r="453">
      <x:c r="A453" s="14" t="n">
        <x:v>449</x:v>
      </x:c>
      <x:c r="B453" s="14" t="str">
        <x:v>ТОВ "НВЦ ВЕНТ"</x:v>
      </x:c>
      <x:c r="C453" s="14" t="str">
        <x:v>41005822</x:v>
      </x:c>
      <x:c r="D453" s="14" t="str">
        <x:v>Газопостачання / котельні</x:v>
      </x:c>
      <x:c r="E453" s="14" t="str">
        <x:v>Expansion discovery</x:v>
      </x:c>
      <x:c r="F453" s="14" t="str">
        <x:v>I3</x:v>
      </x:c>
      <x:c r="G453" s="14" t="n">
        <x:v>54</x:v>
      </x:c>
      <x:c r="H453" s="14" t="n">
        <x:v>1</x:v>
      </x:c>
      <x:c r="I453" s="14" t="n">
        <x:v>1</x:v>
      </x:c>
      <x:c r="J453" s="18" t="n">
        <x:v>1279007.15</x:v>
      </x:c>
      <x:c r="K453" s="19" t="n">
        <x:v>46141.30527268518</x:v>
      </x:c>
      <x:c r="L453" s="19" t="n">
        <x:v>46387.34819444444</x:v>
      </x:c>
      <x:c r="M453"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x:v>
      </x:c>
      <x:c r="N453" s="15" t="str">
        <x:v>https://prozorro.gov.ua/tender/UA-2026-04-29-002111-a</x:v>
      </x:c>
    </x:row>
    <x:row r="454">
      <x:c r="A454" s="14" t="n">
        <x:v>450</x:v>
      </x:c>
      <x:c r="B454" s="14" t="str">
        <x:v>ТОВ "УВТ ГРУП"</x:v>
      </x:c>
      <x:c r="C454" s="14" t="str">
        <x:v>37448642</x:v>
      </x:c>
      <x:c r="D454" s="14" t="str">
        <x:v>Насосні станції</x:v>
      </x:c>
      <x:c r="E454" s="14" t="str">
        <x:v>Expansion discovery</x:v>
      </x:c>
      <x:c r="F454" s="14" t="str">
        <x:v>I3</x:v>
      </x:c>
      <x:c r="G454" s="14" t="n">
        <x:v>54</x:v>
      </x:c>
      <x:c r="H454" s="14" t="n">
        <x:v>1</x:v>
      </x:c>
      <x:c r="I454" s="14" t="n">
        <x:v>1</x:v>
      </x:c>
      <x:c r="J454" s="18" t="n">
        <x:v>970894.8</x:v>
      </x:c>
      <x:c r="K454" s="19" t="n">
        <x:v>46192.26208408565</x:v>
      </x:c>
      <x:c r="L454" s="19" t="n">
        <x:v>46326.305185185185</x:v>
      </x:c>
      <x:c r="M454"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x:v>
      </x:c>
      <x:c r="N454" s="15" t="str">
        <x:v>https://prozorro.gov.ua/tender/UA-2026-06-19-000880-a</x:v>
      </x:c>
    </x:row>
    <x:row r="455">
      <x:c r="A455" s="14" t="n">
        <x:v>451</x:v>
      </x:c>
      <x:c r="B455" s="14" t="str">
        <x:v>ТОВ ВЕКТОР-АТ</x:v>
      </x:c>
      <x:c r="C455" s="14" t="str">
        <x:v>42387147</x:v>
      </x:c>
      <x:c r="D455" s="14" t="str">
        <x:v>HVAC / ОВіК</x:v>
      </x:c>
      <x:c r="E455" s="14" t="str">
        <x:v>Pilot now</x:v>
      </x:c>
      <x:c r="F455" s="14" t="str">
        <x:v>I3</x:v>
      </x:c>
      <x:c r="G455" s="14" t="n">
        <x:v>54</x:v>
      </x:c>
      <x:c r="H455" s="14" t="n">
        <x:v>2</x:v>
      </x:c>
      <x:c r="I455" s="14" t="n">
        <x:v>1</x:v>
      </x:c>
      <x:c r="J455" s="18" t="n">
        <x:v>2800631.83</x:v>
      </x:c>
      <x:c r="K455" s="19" t="n">
        <x:v>45902.681590451386</x:v>
      </x:c>
      <x:c r="L455" s="19" t="n">
        <x:v>45955</x:v>
      </x:c>
      <x:c r="M455" s="15" t="str">
        <x:v>Послуги з монтажу системи вентиляції та кондиціонування частини приміщень спортивного комплексу з їдальнею літера «Г»  за адресою: м. Київ</x:v>
      </x:c>
      <x:c r="N455" s="15" t="str">
        <x:v>https://prozorro.gov.ua/tender/UA-2025-08-20-011921-a</x:v>
      </x:c>
    </x:row>
    <x:row r="456">
      <x:c r="A456" s="14" t="n">
        <x:v>452</x:v>
      </x:c>
      <x:c r="B456" s="14" t="str">
        <x:v>ТОВ ВНВ 2000</x:v>
      </x:c>
      <x:c r="C456" s="14" t="str">
        <x:v>35583357</x:v>
      </x:c>
      <x:c r="D456" s="14" t="str">
        <x:v>Водоочищення / очисні споруди</x:v>
      </x:c>
      <x:c r="E456" s="14" t="str">
        <x:v>Expansion discovery</x:v>
      </x:c>
      <x:c r="F456" s="14" t="str">
        <x:v>I3</x:v>
      </x:c>
      <x:c r="G456" s="14" t="n">
        <x:v>54</x:v>
      </x:c>
      <x:c r="H456" s="14" t="n">
        <x:v>2</x:v>
      </x:c>
      <x:c r="I456" s="14" t="n">
        <x:v>1</x:v>
      </x:c>
      <x:c r="J456" s="18" t="n">
        <x:v>2608623.25</x:v>
      </x:c>
      <x:c r="K456" s="19" t="n">
        <x:v>45972.28708260417</x:v>
      </x:c>
      <x:c r="L456" s="19" t="n">
        <x:v>46016.28696759259</x:v>
      </x:c>
      <x:c r="M456" s="15" t="str">
        <x:v>Виконання робіт по об"єкту: "Реконструкція покрівлі будівлі хіміко - бактеріологічної лабораторії стічних вод каналізаційних очисних споруд м. Чернігова"</x:v>
      </x:c>
      <x:c r="N456" s="15" t="str">
        <x:v>https://prozorro.gov.ua/tender/UA-2025-11-11-000537-a</x:v>
      </x:c>
    </x:row>
    <x:row r="457">
      <x:c r="A457" s="14" t="n">
        <x:v>453</x:v>
      </x:c>
      <x:c r="B457" s="14" t="str">
        <x:v>ТОВАРИСТВО З ОБМЕЖЕНОЮ ВІДПОВІДАЛЬНІСТЮ "БЕЗПЕЧНА ОСЕЛЯ"</x:v>
      </x:c>
      <x:c r="C457" s="14" t="str">
        <x:v>44904037</x:v>
      </x:c>
      <x:c r="D457" s="14" t="str">
        <x:v>Пожежогасіння</x:v>
      </x:c>
      <x:c r="E457" s="14" t="str">
        <x:v>Expansion discovery</x:v>
      </x:c>
      <x:c r="F457" s="14" t="str">
        <x:v>I3</x:v>
      </x:c>
      <x:c r="G457" s="14" t="n">
        <x:v>54</x:v>
      </x:c>
      <x:c r="H457" s="14" t="n">
        <x:v>1</x:v>
      </x:c>
      <x:c r="I457" s="14" t="n">
        <x:v>1</x:v>
      </x:c>
      <x:c r="J457" s="18" t="n">
        <x:v>590000</x:v>
      </x:c>
      <x:c r="K457" s="19" t="n">
        <x:v>46195.593609247684</x:v>
      </x:c>
      <x:c r="L457" s="19" t="n">
        <x:v>46356</x:v>
      </x:c>
      <x:c r="M457"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x:v>
      </x:c>
      <x:c r="N457" s="15" t="str">
        <x:v>https://prozorro.gov.ua/tender/UA-2026-06-09-014054-a</x:v>
      </x:c>
    </x:row>
    <x:row r="458">
      <x:c r="A458" s="14" t="n">
        <x:v>454</x:v>
      </x:c>
      <x:c r="B458" s="14" t="str">
        <x:v>ТОВАРИСТВО З ОБМЕЖЕНОЮ ВІДПОВІДАЛЬНІСТЮ "БЮРО ІНЖЕНЕРНИХ ПРОЕКТІВ"</x:v>
      </x:c>
      <x:c r="C458" s="14" t="str">
        <x:v>43296915</x:v>
      </x:c>
      <x:c r="D458" s="14" t="str">
        <x:v>Водоочищення / очисні споруди</x:v>
      </x:c>
      <x:c r="E458" s="14" t="str">
        <x:v>Expansion discovery</x:v>
      </x:c>
      <x:c r="F458" s="14" t="str">
        <x:v>I3</x:v>
      </x:c>
      <x:c r="G458" s="14" t="n">
        <x:v>54</x:v>
      </x:c>
      <x:c r="H458" s="14" t="n">
        <x:v>1</x:v>
      </x:c>
      <x:c r="I458" s="14" t="n">
        <x:v>1</x:v>
      </x:c>
      <x:c r="J458" s="18" t="n">
        <x:v>1468646.32</x:v>
      </x:c>
      <x:c r="K458" s="19" t="n">
        <x:v>46142.479249108794</x:v>
      </x:c>
      <x:c r="L458" s="19" t="n">
        <x:v>46387</x:v>
      </x:c>
      <x:c r="M458"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458" s="15" t="str">
        <x:v>https://prozorro.gov.ua/tender/UA-2026-04-30-007193-a</x:v>
      </x:c>
    </x:row>
    <x:row r="459">
      <x:c r="A459" s="14" t="n">
        <x:v>455</x:v>
      </x:c>
      <x:c r="B459" s="14" t="str">
        <x:v>ТОВАРИСТВО З ОБМЕЖЕНОЮ ВІДПОВІДАЛЬНІСТЮ "ВОРСКЛА ЕНЕРДЖІЗ"</x:v>
      </x:c>
      <x:c r="C459" s="14" t="str">
        <x:v>40015384</x:v>
      </x:c>
      <x:c r="D459" s="14" t="str">
        <x:v>Зовнішнє освітлення</x:v>
      </x:c>
      <x:c r="E459" s="14" t="str">
        <x:v>Pilot now</x:v>
      </x:c>
      <x:c r="F459" s="14" t="str">
        <x:v>I3</x:v>
      </x:c>
      <x:c r="G459" s="14" t="n">
        <x:v>54</x:v>
      </x:c>
      <x:c r="H459" s="14" t="n">
        <x:v>1</x:v>
      </x:c>
      <x:c r="I459" s="14" t="n">
        <x:v>1</x:v>
      </x:c>
      <x:c r="J459" s="18" t="n">
        <x:v>54224336.86</x:v>
      </x:c>
      <x:c r="K459" s="19" t="n">
        <x:v>46114.81425215278</x:v>
      </x:c>
      <x:c r="L459" s="19" t="n">
        <x:v>46751</x:v>
      </x:c>
      <x:c r="M459" s="15" t="str">
        <x:v>Будівництво мереж зовнішнього освітлення мкр Бортничі. Коригування  (за ДК 021:2015 код 45310000-3: Електромонтажні роботи)		
</x:v>
      </x:c>
      <x:c r="N459" s="15" t="str">
        <x:v>https://prozorro.gov.ua/tender/UA-2026-03-07-000658-a</x:v>
      </x:c>
    </x:row>
    <x:row r="460">
      <x:c r="A460" s="14" t="n">
        <x:v>456</x:v>
      </x:c>
      <x:c r="B460" s="14" t="str">
        <x:v>Товариство з обмеженою відповідальністю "І. Б. К. Девелопмент"</x:v>
      </x:c>
      <x:c r="C460" s="14" t="str">
        <x:v>38831585</x:v>
      </x:c>
      <x:c r="D460" s="14" t="str">
        <x:v>Благоустрій</x:v>
      </x:c>
      <x:c r="E460" s="14" t="str">
        <x:v>Expansion discovery</x:v>
      </x:c>
      <x:c r="F460" s="14" t="str">
        <x:v>I3</x:v>
      </x:c>
      <x:c r="G460" s="14" t="n">
        <x:v>54</x:v>
      </x:c>
      <x:c r="H460" s="14" t="n">
        <x:v>1</x:v>
      </x:c>
      <x:c r="I460" s="14" t="n">
        <x:v>1</x:v>
      </x:c>
      <x:c r="J460" s="18" t="n">
        <x:v>165209192.05</x:v>
      </x:c>
      <x:c r="K460" s="19" t="n">
        <x:v>46047.888237824074</x:v>
      </x:c>
      <x:c r="L460" s="19" t="n">
        <x:v>46376</x:v>
      </x:c>
      <x:c r="M460"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x:v>
      </x:c>
      <x:c r="N460" s="15" t="str">
        <x:v>https://prozorro.gov.ua/tender/UA-2025-12-27-002867-a</x:v>
      </x:c>
    </x:row>
    <x:row r="461">
      <x:c r="A461" s="14" t="n">
        <x:v>457</x:v>
      </x:c>
      <x:c r="B461" s="14" t="str">
        <x:v>ТОВАРИСТВО З ОБМЕЖЕНОЮ ВІДПОВІДАЛЬНІСТЮ "ІНЖЕНЕРНО-БУДІВЕЛЬНА КОМПАНІЯ ДАРВЕКС"</x:v>
      </x:c>
      <x:c r="C461" s="14" t="str">
        <x:v>40827326</x:v>
      </x:c>
      <x:c r="D461" s="14" t="str">
        <x:v>Дорожні роботи</x:v>
      </x:c>
      <x:c r="E461" s="14" t="str">
        <x:v>Expansion discovery</x:v>
      </x:c>
      <x:c r="F461" s="14" t="str">
        <x:v>I3</x:v>
      </x:c>
      <x:c r="G461" s="14" t="n">
        <x:v>54</x:v>
      </x:c>
      <x:c r="H461" s="14" t="n">
        <x:v>1</x:v>
      </x:c>
      <x:c r="I461" s="14" t="n">
        <x:v>1</x:v>
      </x:c>
      <x:c r="J461" s="18" t="n">
        <x:v>1489972.79</x:v>
      </x:c>
      <x:c r="K461" s="19" t="n">
        <x:v>46199.290874467595</x:v>
      </x:c>
      <x:c r="L461" s="19" t="n">
        <x:v>46265</x:v>
      </x:c>
      <x:c r="M461" s="15" t="str">
        <x:v>Капітальний ремонт дорожнього покриття та тротуарних доріжок Бориспільського ліцею "Патріот"</x:v>
      </x:c>
      <x:c r="N461" s="15" t="str">
        <x:v>https://prozorro.gov.ua/tender/UA-2026-06-26-001510-a</x:v>
      </x:c>
    </x:row>
    <x:row r="462">
      <x:c r="A462" s="14" t="n">
        <x:v>458</x:v>
      </x:c>
      <x:c r="B462" s="14" t="str">
        <x:v>ТОВАРИСТВО З ОБМЕЖЕНОЮ ВІДПОВІДАЛЬНІСТЮ "ІНСТИТУТ "УКРКОМУННДІПРОЕКТ"</x:v>
      </x:c>
      <x:c r="C462" s="14" t="str">
        <x:v>37659092</x:v>
      </x:c>
      <x:c r="D462" s="14" t="str">
        <x:v>Водоочищення / очисні споруди</x:v>
      </x:c>
      <x:c r="E462" s="14" t="str">
        <x:v>Expansion discovery</x:v>
      </x:c>
      <x:c r="F462" s="14" t="str">
        <x:v>I3</x:v>
      </x:c>
      <x:c r="G462" s="14" t="n">
        <x:v>54</x:v>
      </x:c>
      <x:c r="H462" s="14" t="n">
        <x:v>1</x:v>
      </x:c>
      <x:c r="I462" s="14" t="n">
        <x:v>1</x:v>
      </x:c>
      <x:c r="J462" s="18" t="n">
        <x:v>1244817</x:v>
      </x:c>
      <x:c r="K462" s="19" t="n">
        <x:v>46176.2665590625</x:v>
      </x:c>
      <x:c r="L462" s="19" t="n">
        <x:v>46387</x:v>
      </x:c>
      <x:c r="M462"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x:v>
      </x:c>
      <x:c r="N462" s="15" t="str">
        <x:v>https://prozorro.gov.ua/tender/UA-2026-06-03-000876-a</x:v>
      </x:c>
    </x:row>
    <x:row r="463">
      <x:c r="A463" s="14" t="n">
        <x:v>459</x:v>
      </x:c>
      <x:c r="B463" s="14" t="str">
        <x:v>ТОВАРИСТВО З ОБМЕЖЕНОЮ ВІДПОВІДАЛЬНІСТЮ "ІНТЕХ СК"</x:v>
      </x:c>
      <x:c r="C463" s="14" t="str">
        <x:v>44312686</x:v>
      </x:c>
      <x:c r="D463" s="14" t="str">
        <x:v>Зовнішні мережі</x:v>
      </x:c>
      <x:c r="E463" s="14" t="str">
        <x:v>Expansion discovery</x:v>
      </x:c>
      <x:c r="F463" s="14" t="str">
        <x:v>I3</x:v>
      </x:c>
      <x:c r="G463" s="14" t="n">
        <x:v>54</x:v>
      </x:c>
      <x:c r="H463" s="14" t="n">
        <x:v>1</x:v>
      </x:c>
      <x:c r="I463" s="14" t="n">
        <x:v>1</x:v>
      </x:c>
      <x:c r="J463" s="18" t="n">
        <x:v>19271012.03</x:v>
      </x:c>
      <x:c r="K463" s="19" t="n">
        <x:v>46048.328690381946</x:v>
      </x:c>
      <x:c r="L463" s="19" t="n">
        <x:v>46387</x:v>
      </x:c>
      <x:c r="M463" s="15" t="str">
        <x:v>Нове будівництво модульних транспортабельних котелень за адресою: вул. **********, м. Харків (резервне живлення). Підготовчі роботи, димові труби, зовнішні мережі водопостачання та каналізації (код ДК 021:2015 – 45251000-1 "Будівництво електростанцій і теплових станцій").</x:v>
      </x:c>
      <x:c r="N463" s="15" t="str">
        <x:v>https://prozorro.gov.ua/tender/UA-2026-01-26-001105-a</x:v>
      </x:c>
    </x:row>
    <x:row r="464">
      <x:c r="A464" s="14" t="n">
        <x:v>460</x:v>
      </x:c>
      <x:c r="B464" s="14" t="str">
        <x:v>ТОВАРИСТВО З ОБМЕЖЕНОЮ ВІДПОВІДАЛЬНІСТЮ "ПРИВАТ СЕРВІС БУД ЛТД"</x:v>
      </x:c>
      <x:c r="C464" s="14" t="str">
        <x:v>41723085</x:v>
      </x:c>
      <x:c r="D464" s="14" t="str">
        <x:v>Насосні станції</x:v>
      </x:c>
      <x:c r="E464" s="14" t="str">
        <x:v>Expansion discovery</x:v>
      </x:c>
      <x:c r="F464" s="14" t="str">
        <x:v>I3</x:v>
      </x:c>
      <x:c r="G464" s="14" t="n">
        <x:v>54</x:v>
      </x:c>
      <x:c r="H464" s="14" t="n">
        <x:v>1</x:v>
      </x:c>
      <x:c r="I464" s="14" t="n">
        <x:v>1</x:v>
      </x:c>
      <x:c r="J464" s="18" t="n">
        <x:v>19300000</x:v>
      </x:c>
      <x:c r="K464" s="19" t="n">
        <x:v>46086.46660263889</x:v>
      </x:c>
      <x:c r="L464" s="19" t="n">
        <x:v>46600</x:v>
      </x:c>
      <x:c r="M464" s="15" t="str">
        <x:v>Будівельні роботи по об'єкту: "Реконструкція каналізаційно-насосної станції (інв. № 101311618) Окремої комендатури охорони і забезпечення, за адресою: м. Київ, вул. Світла,6"</x:v>
      </x:c>
      <x:c r="N464" s="15" t="str">
        <x:v>https://prozorro.gov.ua/tender/UA-2026-01-19-012330-a</x:v>
      </x:c>
    </x:row>
    <x:row r="465">
      <x:c r="A465" s="14" t="n">
        <x:v>461</x:v>
      </x:c>
      <x:c r="B465" s="14" t="str">
        <x:v>ТОВАРИСТВО З ОБМЕЖЕНОЮ ВІДПОВІДАЛЬНІСТЮ "ПРОДЖЕКТ ЮА"</x:v>
      </x:c>
      <x:c r="C465" s="14" t="str">
        <x:v>45531352</x:v>
      </x:c>
      <x:c r="D465" s="14" t="str">
        <x:v>Пожежогасіння</x:v>
      </x:c>
      <x:c r="E465" s="14" t="str">
        <x:v>Expansion discovery</x:v>
      </x:c>
      <x:c r="F465" s="14" t="str">
        <x:v>I3</x:v>
      </x:c>
      <x:c r="G465" s="14" t="n">
        <x:v>54</x:v>
      </x:c>
      <x:c r="H465" s="14" t="n">
        <x:v>1</x:v>
      </x:c>
      <x:c r="I465" s="14" t="n">
        <x:v>1</x:v>
      </x:c>
      <x:c r="J465" s="18" t="n">
        <x:v>1399999</x:v>
      </x:c>
      <x:c r="K465" s="19" t="n">
        <x:v>46198.44237420139</x:v>
      </x:c>
      <x:c r="L465" s="19" t="n">
        <x:v>46265</x:v>
      </x:c>
      <x:c r="M465"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x:v>
      </x:c>
      <x:c r="N465" s="15" t="str">
        <x:v>https://prozorro.gov.ua/tender/UA-2026-06-04-004876-a</x:v>
      </x:c>
    </x:row>
    <x:row r="466">
      <x:c r="A466" s="14" t="n">
        <x:v>462</x:v>
      </x:c>
      <x:c r="B466" s="14" t="str">
        <x:v>ТОВАРИСТВО З ОБМЕЖЕНОЮ ВІДПОВІДАЛЬНІСТЮ "ПРОМБУДІННОВАЦІЇ"</x:v>
      </x:c>
      <x:c r="C466" s="14" t="str">
        <x:v>44147228</x:v>
      </x:c>
      <x:c r="D466" s="14" t="str">
        <x:v>Мости / інфраструктура</x:v>
      </x:c>
      <x:c r="E466" s="14" t="str">
        <x:v>Expansion discovery</x:v>
      </x:c>
      <x:c r="F466" s="14" t="str">
        <x:v>I3</x:v>
      </x:c>
      <x:c r="G466" s="14" t="n">
        <x:v>54</x:v>
      </x:c>
      <x:c r="H466" s="14" t="n">
        <x:v>1</x:v>
      </x:c>
      <x:c r="I466" s="14" t="n">
        <x:v>1</x:v>
      </x:c>
      <x:c r="J466" s="18" t="n">
        <x:v>775225</x:v>
      </x:c>
      <x:c r="K466" s="19" t="n">
        <x:v>46205.31756083333</x:v>
      </x:c>
      <x:c r="L466" s="19" t="n">
        <x:v>46285</x:v>
      </x:c>
      <x:c r="M466" s="15" t="str">
        <x:v>Послуги з благоустрою населених пунктів: поточний ремонт мосту через р. Саксагань на сел. Більшовик</x:v>
      </x:c>
      <x:c r="N466" s="15" t="str">
        <x:v>https://prozorro.gov.ua/tender/UA-2026-06-22-009710-a</x:v>
      </x:c>
    </x:row>
    <x:row r="467">
      <x:c r="A467" s="14" t="n">
        <x:v>463</x:v>
      </x:c>
      <x:c r="B467" s="14" t="str">
        <x:v>ТОВАРИСТВО З ОБМЕЖЕНОЮ ВІДПОВІДАЛЬНІСТЮ "ТРЕСТ "ПІВДЕНЬЗАХІДЕНЕРГОМЕРЕЖБУД"</x:v>
      </x:c>
      <x:c r="C467" s="14" t="str">
        <x:v>45894114</x:v>
      </x:c>
      <x:c r="D467" s="14" t="str">
        <x:v>Водоочищення / очисні споруди</x:v>
      </x:c>
      <x:c r="E467" s="14" t="str">
        <x:v>Expansion discovery</x:v>
      </x:c>
      <x:c r="F467" s="14" t="str">
        <x:v>I3</x:v>
      </x:c>
      <x:c r="G467" s="14" t="n">
        <x:v>54</x:v>
      </x:c>
      <x:c r="H467" s="14" t="n">
        <x:v>1</x:v>
      </x:c>
      <x:c r="I467" s="14" t="n">
        <x:v>1</x:v>
      </x:c>
      <x:c r="J467" s="18" t="n">
        <x:v>1511643.08</x:v>
      </x:c>
      <x:c r="K467" s="19" t="n">
        <x:v>46139.62473923611</x:v>
      </x:c>
      <x:c r="L467" s="19" t="n">
        <x:v>46387</x:v>
      </x:c>
      <x:c r="M467"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x:v>
      </x:c>
      <x:c r="N467" s="15" t="str">
        <x:v>https://prozorro.gov.ua/tender/UA-2026-02-20-013110-a</x:v>
      </x:c>
    </x:row>
    <x:row r="468">
      <x:c r="A468" s="14" t="n">
        <x:v>464</x:v>
      </x:c>
      <x:c r="B468" s="14" t="str">
        <x:v>ТОВАРИСТВО З ОБМЕЖЕНОЮ ВІДПОВІДАЛЬНІСТЮ "УКРАЇНСЬКА БУДІВЕЛЬНА ФІРМА "БУД-КОНЦЕРН"</x:v>
      </x:c>
      <x:c r="C468" s="14" t="str">
        <x:v>42333400</x:v>
      </x:c>
      <x:c r="D468" s="14" t="str">
        <x:v>Зовнішнє освітлення</x:v>
      </x:c>
      <x:c r="E468" s="14" t="str">
        <x:v>Pilot now</x:v>
      </x:c>
      <x:c r="F468" s="14" t="str">
        <x:v>I3</x:v>
      </x:c>
      <x:c r="G468" s="14" t="n">
        <x:v>54</x:v>
      </x:c>
      <x:c r="H468" s="14" t="n">
        <x:v>1</x:v>
      </x:c>
      <x:c r="I468" s="14" t="n">
        <x:v>1</x:v>
      </x:c>
      <x:c r="J468" s="18" t="n">
        <x:v>12027770.02</x:v>
      </x:c>
      <x:c r="K468" s="19" t="n">
        <x:v>46114.810099814815</x:v>
      </x:c>
      <x:c r="L468" s="19" t="n">
        <x:v>46751</x:v>
      </x:c>
      <x:c r="M468" s="15" t="str">
        <x:v>Будівництво мереж зовнішнього освітлення мікрорайону Осокорки по вул. Колекторній. Коригування  (за ДК 021:2015 код 45310000-3: Електромонтажні роботи)			
</x:v>
      </x:c>
      <x:c r="N468" s="15" t="str">
        <x:v>https://prozorro.gov.ua/tender/UA-2026-03-07-000688-a</x:v>
      </x:c>
    </x:row>
    <x:row r="469">
      <x:c r="A469" s="14" t="n">
        <x:v>465</x:v>
      </x:c>
      <x:c r="B469" s="14" t="str">
        <x:v>ТОВАРИСТВО З ОБМЕЖЕНОЮ ВІДПОВІДАЛЬНІСТЮ "УРАРТУ АМО"</x:v>
      </x:c>
      <x:c r="C469" s="14" t="str">
        <x:v>37606234</x:v>
      </x:c>
      <x:c r="D469" s="14" t="str">
        <x:v>Дорожні роботи</x:v>
      </x:c>
      <x:c r="E469" s="14" t="str">
        <x:v>Expansion discovery</x:v>
      </x:c>
      <x:c r="F469" s="14" t="str">
        <x:v>I3</x:v>
      </x:c>
      <x:c r="G469" s="14" t="n">
        <x:v>54</x:v>
      </x:c>
      <x:c r="H469" s="14" t="n">
        <x:v>1</x:v>
      </x:c>
      <x:c r="I469" s="14" t="n">
        <x:v>1</x:v>
      </x:c>
      <x:c r="J469" s="18" t="n">
        <x:v>1395646.36</x:v>
      </x:c>
      <x:c r="K469" s="19" t="n">
        <x:v>46209.533540358796</x:v>
      </x:c>
      <x:c r="L469" s="19" t="n">
        <x:v>46265</x:v>
      </x:c>
      <x:c r="M469" s="15" t="str">
        <x:v>Капітальний ремонт частини дорожнього покриття по провулку Будівельний в селищі Коцюбинське Київської області</x:v>
      </x:c>
      <x:c r="N469" s="15" t="str">
        <x:v>https://prozorro.gov.ua/tender/UA-2026-07-06-008355-a</x:v>
      </x:c>
    </x:row>
    <x:row r="470">
      <x:c r="A470" s="14" t="n">
        <x:v>466</x:v>
      </x:c>
      <x:c r="B470" s="14" t="str">
        <x:v>Товариство з обмеженою відповідальністю «ЛЮВІМАР»</x:v>
      </x:c>
      <x:c r="C470" s="14" t="str">
        <x:v>41504530</x:v>
      </x:c>
      <x:c r="D470" s="14" t="str">
        <x:v>Електромонтаж</x:v>
      </x:c>
      <x:c r="E470" s="14" t="str">
        <x:v>Pilot now</x:v>
      </x:c>
      <x:c r="F470" s="14" t="str">
        <x:v>I3</x:v>
      </x:c>
      <x:c r="G470" s="14" t="n">
        <x:v>54</x:v>
      </x:c>
      <x:c r="H470" s="14" t="n">
        <x:v>1</x:v>
      </x:c>
      <x:c r="I470" s="14" t="n">
        <x:v>1</x:v>
      </x:c>
      <x:c r="J470" s="18" t="n">
        <x:v>1296887.03</x:v>
      </x:c>
      <x:c r="K470" s="19" t="n">
        <x:v>46143.31097121528</x:v>
      </x:c>
      <x:c r="L470" s="19" t="n">
        <x:v>46387.35303240741</x:v>
      </x:c>
      <x:c r="M470"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x:v>
      </x:c>
      <x:c r="N470" s="15" t="str">
        <x:v>https://prozorro.gov.ua/tender/UA-2026-05-01-002274-a</x:v>
      </x:c>
    </x:row>
    <x:row r="471">
      <x:c r="A471" s="14" t="n">
        <x:v>467</x:v>
      </x:c>
      <x:c r="B471" s="14" t="str">
        <x:v>Товариство з обмеженою відповідальністю «МВТ ЕДВАЙЗОРІ»</x:v>
      </x:c>
      <x:c r="C471" s="14" t="str">
        <x:v>46062843</x:v>
      </x:c>
      <x:c r="D471" s="14" t="str">
        <x:v>Зовнішні мережі</x:v>
      </x:c>
      <x:c r="E471" s="14" t="str">
        <x:v>Expansion discovery</x:v>
      </x:c>
      <x:c r="F471" s="14" t="str">
        <x:v>I3</x:v>
      </x:c>
      <x:c r="G471" s="14" t="n">
        <x:v>54</x:v>
      </x:c>
      <x:c r="H471" s="14" t="n">
        <x:v>1</x:v>
      </x:c>
      <x:c r="I471" s="14" t="n">
        <x:v>1</x:v>
      </x:c>
      <x:c r="J471" s="18" t="n">
        <x:v>543999.18</x:v>
      </x:c>
      <x:c r="K471" s="19" t="n">
        <x:v>46168.58974912037</x:v>
      </x:c>
      <x:c r="L471" s="19" t="n">
        <x:v>46387</x:v>
      </x:c>
      <x:c r="M471"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471" s="15" t="str">
        <x:v>https://prozorro.gov.ua/tender/UA-2026-05-26-014148-a</x:v>
      </x:c>
    </x:row>
    <x:row r="472">
      <x:c r="A472" s="14" t="n">
        <x:v>468</x:v>
      </x:c>
      <x:c r="B472" s="14" t="str">
        <x:v>ФІЛІЯ ДП "УКРДЕРЖБУДЕКСПЕРТИЗА " У ТЕРНОПІЛЬСЬКІЙ ОБЛАСТІ</x:v>
      </x:c>
      <x:c r="C472" s="14" t="str">
        <x:v>35850400</x:v>
      </x:c>
      <x:c r="D472" s="14" t="str">
        <x:v>Водоочищення / очисні споруди</x:v>
      </x:c>
      <x:c r="E472" s="14" t="str">
        <x:v>Expansion discovery</x:v>
      </x:c>
      <x:c r="F472" s="14" t="str">
        <x:v>I3</x:v>
      </x:c>
      <x:c r="G472" s="14" t="n">
        <x:v>54</x:v>
      </x:c>
      <x:c r="H472" s="14" t="n">
        <x:v>2</x:v>
      </x:c>
      <x:c r="I472" s="14" t="n">
        <x:v>1</x:v>
      </x:c>
      <x:c r="J472" s="18" t="n">
        <x:v>68122.6</x:v>
      </x:c>
      <x:c r="K472" s="19" t="n">
        <x:v>46204.601056527776</x:v>
      </x:c>
      <x:c r="L472" s="19" t="n">
        <x:v>46234</x:v>
      </x:c>
      <x:c r="M472"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472" s="15" t="str">
        <x:v>https://prozorro.gov.ua/tender/UA-2026-07-01-009343-a</x:v>
      </x:c>
    </x:row>
    <x:row r="473">
      <x:c r="A473" s="14" t="n">
        <x:v>469</x:v>
      </x:c>
      <x:c r="B473" s="14" t="str">
        <x:v>Комунальне підприємство "Рівненський міський трест зеленого господарства"</x:v>
      </x:c>
      <x:c r="C473" s="14" t="str">
        <x:v>05506230</x:v>
      </x:c>
      <x:c r="D473" s="14" t="str">
        <x:v>Промислові підлоги та бетон</x:v>
      </x:c>
      <x:c r="E473" s="14" t="str">
        <x:v>Expansion discovery</x:v>
      </x:c>
      <x:c r="F473" s="14" t="str">
        <x:v>I3</x:v>
      </x:c>
      <x:c r="G473" s="14" t="n">
        <x:v>54</x:v>
      </x:c>
      <x:c r="H473" s="14" t="n">
        <x:v>3</x:v>
      </x:c>
      <x:c r="I473" s="14" t="n">
        <x:v>0</x:v>
      </x:c>
      <x:c r="J473" s="18" t="n">
        <x:v>241055.38</x:v>
      </x:c>
      <x:c r="K473" s="19" t="n">
        <x:v>45849.25704787037</x:v>
      </x:c>
      <x:c r="L473" s="19" t="n">
        <x:v>46022.916666655095</x:v>
      </x:c>
      <x:c r="M473"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x:v>
      </x:c>
      <x:c r="N473" s="15" t="str">
        <x:v>https://prozorro.gov.ua/tender/UA-2025-07-11-000608-a</x:v>
      </x:c>
    </x:row>
    <x:row r="474">
      <x:c r="A474" s="14" t="n">
        <x:v>470</x:v>
      </x:c>
      <x:c r="B474" s="14" t="str">
        <x:v>ПРИВАТНЕ ПІДПРИЄМСТВО "ТАУРУСС"</x:v>
      </x:c>
      <x:c r="C474" s="14" t="str">
        <x:v>35244291</x:v>
      </x:c>
      <x:c r="D474" s="14" t="str">
        <x:v>HVAC / ОВіК</x:v>
      </x:c>
      <x:c r="E474" s="14" t="str">
        <x:v>Pilot now</x:v>
      </x:c>
      <x:c r="F474" s="14" t="str">
        <x:v>I3</x:v>
      </x:c>
      <x:c r="G474" s="14" t="n">
        <x:v>54</x:v>
      </x:c>
      <x:c r="H474" s="14" t="n">
        <x:v>1</x:v>
      </x:c>
      <x:c r="I474" s="14" t="n">
        <x:v>0</x:v>
      </x:c>
      <x:c r="J474" s="18" t="n">
        <x:v>671229</x:v>
      </x:c>
      <x:c r="K474" s="19" t="n">
        <x:v>46140.506007523145</x:v>
      </x:c>
      <x:c r="L474" s="19" t="n">
        <x:v>46231</x:v>
      </x:c>
      <x:c r="M474"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x:v>
      </x:c>
      <x:c r="N474" s="15" t="str">
        <x:v>https://prozorro.gov.ua/tender/UA-2026-04-28-009940-a</x:v>
      </x:c>
    </x:row>
    <x:row r="475">
      <x:c r="A475" s="14" t="n">
        <x:v>471</x:v>
      </x:c>
      <x:c r="B475" s="14" t="str">
        <x:v>Фізична особа-підприємець Дудка Ірина Володимирівна</x:v>
      </x:c>
      <x:c r="C475" s="14" t="str">
        <x:v>2724603941</x:v>
      </x:c>
      <x:c r="D475" s="14" t="str">
        <x:v>Мости / інфраструктура</x:v>
      </x:c>
      <x:c r="E475" s="14" t="str">
        <x:v>Expansion discovery</x:v>
      </x:c>
      <x:c r="F475" s="14" t="str">
        <x:v>I3</x:v>
      </x:c>
      <x:c r="G475" s="14" t="n">
        <x:v>53</x:v>
      </x:c>
      <x:c r="H475" s="14" t="n">
        <x:v>2</x:v>
      </x:c>
      <x:c r="I475" s="14" t="n">
        <x:v>2</x:v>
      </x:c>
      <x:c r="J475" s="18" t="n">
        <x:v>17880</x:v>
      </x:c>
      <x:c r="K475" s="19" t="n">
        <x:v>46191.561872673614</x:v>
      </x:c>
      <x:c r="L475" s="19" t="n">
        <x:v>46387.60627314815</x:v>
      </x:c>
      <x:c r="M475" s="15" t="str">
        <x:v>Придбання запчастин для ремонту автомобільного транспорту( (редуктор заднього моста)</x:v>
      </x:c>
      <x:c r="N475" s="15" t="str">
        <x:v>https://prozorro.gov.ua/tender/UA-2026-06-18-012242-a</x:v>
      </x:c>
    </x:row>
    <x:row r="476">
      <x:c r="A476" s="14" t="n">
        <x:v>472</x:v>
      </x:c>
      <x:c r="B476" s="14" t="str">
        <x:v>Фізична особа-підприємець Штанько Вікторія Вадимівна</x:v>
      </x:c>
      <x:c r="C476" s="14" t="str">
        <x:v>2894222129</x:v>
      </x:c>
      <x:c r="D476" s="14" t="str">
        <x:v>Газопостачання / котельні</x:v>
      </x:c>
      <x:c r="E476" s="14" t="str">
        <x:v>Expansion discovery</x:v>
      </x:c>
      <x:c r="F476" s="14" t="str">
        <x:v>I3</x:v>
      </x:c>
      <x:c r="G476" s="14" t="n">
        <x:v>53</x:v>
      </x:c>
      <x:c r="H476" s="14" t="n">
        <x:v>2</x:v>
      </x:c>
      <x:c r="I476" s="14" t="n">
        <x:v>2</x:v>
      </x:c>
      <x:c r="J476" s="18" t="n">
        <x:v>29000</x:v>
      </x:c>
      <x:c r="K476" s="19" t="n">
        <x:v>46178.59995344908</x:v>
      </x:c>
      <x:c r="L476" s="19" t="n">
        <x:v>46387</x:v>
      </x:c>
      <x:c r="M476"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x:v>
      </x:c>
      <x:c r="N476" s="15" t="str">
        <x:v>https://prozorro.gov.ua/tender/UA-2026-06-05-012035-a</x:v>
      </x:c>
    </x:row>
    <x:row r="477">
      <x:c r="A477" s="14" t="n">
        <x:v>473</x:v>
      </x:c>
      <x:c r="B477" s="14" t="str">
        <x:v>ФОП Кашко Віктор Анатолійович</x:v>
      </x:c>
      <x:c r="C477" s="14" t="str">
        <x:v>2881702190</x:v>
      </x:c>
      <x:c r="D477" s="14" t="str">
        <x:v>Безпека / СКУД / CCTV</x:v>
      </x:c>
      <x:c r="E477" s="14" t="str">
        <x:v>Expansion discovery</x:v>
      </x:c>
      <x:c r="F477" s="14" t="str">
        <x:v>I3</x:v>
      </x:c>
      <x:c r="G477" s="14" t="n">
        <x:v>53</x:v>
      </x:c>
      <x:c r="H477" s="14" t="n">
        <x:v>2</x:v>
      </x:c>
      <x:c r="I477" s="14" t="n">
        <x:v>2</x:v>
      </x:c>
      <x:c r="J477" s="18" t="n">
        <x:v>43909</x:v>
      </x:c>
      <x:c r="K477" s="19" t="n">
        <x:v>46210.38042739583</x:v>
      </x:c>
      <x:c r="L477" s="19" t="n">
        <x:v>46327</x:v>
      </x:c>
      <x:c r="M477"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x:v>
      </x:c>
      <x:c r="N477" s="15" t="str">
        <x:v>https://prozorro.gov.ua/tender/UA-2026-07-07-004364-a</x:v>
      </x:c>
    </x:row>
    <x:row r="478">
      <x:c r="A478" s="14" t="n">
        <x:v>474</x:v>
      </x:c>
      <x:c r="B478" s="14" t="str">
        <x:v>КОТЕЛЬЧУК ЛЮДМИЛА ЙОСИПІВНА</x:v>
      </x:c>
      <x:c r="C478" s="14" t="str">
        <x:v>2926317047</x:v>
      </x:c>
      <x:c r="D478" s="14" t="str">
        <x:v>Насосні станції</x:v>
      </x:c>
      <x:c r="E478" s="14" t="str">
        <x:v>Expansion discovery</x:v>
      </x:c>
      <x:c r="F478" s="14" t="str">
        <x:v>I3</x:v>
      </x:c>
      <x:c r="G478" s="14" t="n">
        <x:v>53</x:v>
      </x:c>
      <x:c r="H478" s="14" t="n">
        <x:v>1</x:v>
      </x:c>
      <x:c r="I478" s="14" t="n">
        <x:v>1</x:v>
      </x:c>
      <x:c r="J478" s="18" t="n">
        <x:v>132996</x:v>
      </x:c>
      <x:c r="K478" s="19" t="n">
        <x:v>46224.41716337963</x:v>
      </x:c>
      <x:c r="L478" s="19" t="n">
        <x:v>46279</x:v>
      </x:c>
      <x:c r="M478"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x:v>
      </x:c>
      <x:c r="N478" s="15" t="str">
        <x:v>https://prozorro.gov.ua/tender/UA-2026-07-21-005571-a</x:v>
      </x:c>
    </x:row>
    <x:row r="479">
      <x:c r="A479" s="14" t="n">
        <x:v>475</x:v>
      </x:c>
      <x:c r="B479" s="14" t="str">
        <x:v>ПрАТ "Львівобленерго"</x:v>
      </x:c>
      <x:c r="C479" s="14" t="str">
        <x:v>00131587</x:v>
      </x:c>
      <x:c r="D479" s="14" t="str">
        <x:v>Насосні станції</x:v>
      </x:c>
      <x:c r="E479" s="14" t="str">
        <x:v>Expansion discovery</x:v>
      </x:c>
      <x:c r="F479" s="14" t="str">
        <x:v>I3</x:v>
      </x:c>
      <x:c r="G479" s="14" t="n">
        <x:v>53</x:v>
      </x:c>
      <x:c r="H479" s="14" t="n">
        <x:v>1</x:v>
      </x:c>
      <x:c r="I479" s="14" t="n">
        <x:v>1</x:v>
      </x:c>
      <x:c r="J479" s="18" t="n">
        <x:v>244608.84</x:v>
      </x:c>
      <x:c r="K479" s="19" t="n">
        <x:v>46156.33980260417</x:v>
      </x:c>
      <x:c r="L479" s="19" t="n">
        <x:v>47244.3384375</x:v>
      </x:c>
      <x:c r="M479" s="15" t="str">
        <x:v>Послуга з нестандартного приєднання електроустановок об’єкта «Нове будівництво районної каналізаційної насосної станції з напірним колектором в районі вул. Стрийської – І. Пулюя в м. Дрогобичі Львівської області» до електричних мереж системи розподілу</x:v>
      </x:c>
      <x:c r="N479" s="15" t="str">
        <x:v>https://prozorro.gov.ua/tender/UA-2026-05-14-003649-a</x:v>
      </x:c>
    </x:row>
    <x:row r="480">
      <x:c r="A480" s="14" t="n">
        <x:v>476</x:v>
      </x:c>
      <x:c r="B480" s="14" t="str">
        <x:v>ТУРДАЙ ВОЛОДИМИР ЮРІЙОВИЧ</x:v>
      </x:c>
      <x:c r="C480" s="14" t="str">
        <x:v>2782208435</x:v>
      </x:c>
      <x:c r="D480" s="14" t="str">
        <x:v>Електромонтаж</x:v>
      </x:c>
      <x:c r="E480" s="14" t="str">
        <x:v>Pilot now</x:v>
      </x:c>
      <x:c r="F480" s="14" t="str">
        <x:v>I3</x:v>
      </x:c>
      <x:c r="G480" s="14" t="n">
        <x:v>53</x:v>
      </x:c>
      <x:c r="H480" s="14" t="n">
        <x:v>1</x:v>
      </x:c>
      <x:c r="I480" s="14" t="n">
        <x:v>1</x:v>
      </x:c>
      <x:c r="J480" s="18" t="n">
        <x:v>260000</x:v>
      </x:c>
      <x:c r="K480" s="19" t="n">
        <x:v>46248.28249450232</x:v>
      </x:c>
      <x:c r="L480" s="19" t="n">
        <x:v>46277</x:v>
      </x:c>
      <x:c r="M480" s="15" t="str">
        <x:v> Електромонтажні роботи</x:v>
      </x:c>
      <x:c r="N480" s="15" t="str">
        <x:v>https://prozorro.gov.ua/tender/UA-2026-08-14-001263-a</x:v>
      </x:c>
    </x:row>
    <x:row r="481">
      <x:c r="A481" s="14" t="n">
        <x:v>477</x:v>
      </x:c>
      <x:c r="B481" s="14" t="str">
        <x:v>Фізична особа підприємець Підлісецький Володимир Євгенович</x:v>
      </x:c>
      <x:c r="C481" s="14" t="str">
        <x:v>2924717577</x:v>
      </x:c>
      <x:c r="D481" s="14" t="str">
        <x:v>Електромонтаж</x:v>
      </x:c>
      <x:c r="E481" s="14" t="str">
        <x:v>Pilot now</x:v>
      </x:c>
      <x:c r="F481" s="14" t="str">
        <x:v>I3</x:v>
      </x:c>
      <x:c r="G481" s="14" t="n">
        <x:v>53</x:v>
      </x:c>
      <x:c r="H481" s="14" t="n">
        <x:v>1</x:v>
      </x:c>
      <x:c r="I481" s="14" t="n">
        <x:v>1</x:v>
      </x:c>
      <x:c r="J481" s="18" t="n">
        <x:v>166459.74</x:v>
      </x:c>
      <x:c r="K481" s="19" t="n">
        <x:v>46252.56706210648</x:v>
      </x:c>
      <x:c r="L481" s="19" t="n">
        <x:v>46335</x:v>
      </x:c>
      <x:c r="M481" s="15" t="str">
        <x:v>Електромонтажні роботи</x:v>
      </x:c>
      <x:c r="N481" s="15" t="str">
        <x:v>https://prozorro.gov.ua/tender/UA-2026-08-18-011836-a</x:v>
      </x:c>
    </x:row>
    <x:row r="482">
      <x:c r="A482" s="14" t="n">
        <x:v>478</x:v>
      </x:c>
      <x:c r="B482" s="14" t="str">
        <x:v>Фізична особа-підприємець Козодой Ілля Вікторович</x:v>
      </x:c>
      <x:c r="C482" s="14" t="str">
        <x:v>3421211857</x:v>
      </x:c>
      <x:c r="D482" s="14" t="str">
        <x:v>Фасади та скління</x:v>
      </x:c>
      <x:c r="E482" s="14" t="str">
        <x:v>Expansion discovery</x:v>
      </x:c>
      <x:c r="F482" s="14" t="str">
        <x:v>I3</x:v>
      </x:c>
      <x:c r="G482" s="14" t="n">
        <x:v>53</x:v>
      </x:c>
      <x:c r="H482" s="14" t="n">
        <x:v>1</x:v>
      </x:c>
      <x:c r="I482" s="14" t="n">
        <x:v>1</x:v>
      </x:c>
      <x:c r="J482" s="18" t="n">
        <x:v>348000</x:v>
      </x:c>
      <x:c r="K482" s="19" t="n">
        <x:v>46227.39575037037</x:v>
      </x:c>
      <x:c r="L482" s="19" t="n">
        <x:v>46265</x:v>
      </x:c>
      <x:c r="M482"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x:v>
      </x:c>
      <x:c r="N482" s="15" t="str">
        <x:v>https://prozorro.gov.ua/tender/UA-2026-07-24-004920-a</x:v>
      </x:c>
    </x:row>
    <x:row r="483">
      <x:c r="A483" s="14" t="n">
        <x:v>479</x:v>
      </x:c>
      <x:c r="B483" s="14" t="str">
        <x:v>ФОП "ГЛАДКИЙ ВАДИМ ВАДИМОВИЧ"</x:v>
      </x:c>
      <x:c r="C483" s="14" t="str">
        <x:v>2957912478</x:v>
      </x:c>
      <x:c r="D483" s="14" t="str">
        <x:v>Мости / інфраструктура</x:v>
      </x:c>
      <x:c r="E483" s="14" t="str">
        <x:v>Expansion discovery</x:v>
      </x:c>
      <x:c r="F483" s="14" t="str">
        <x:v>I3</x:v>
      </x:c>
      <x:c r="G483" s="14" t="n">
        <x:v>53</x:v>
      </x:c>
      <x:c r="H483" s="14" t="n">
        <x:v>1</x:v>
      </x:c>
      <x:c r="I483" s="14" t="n">
        <x:v>1</x:v>
      </x:c>
      <x:c r="J483" s="18" t="n">
        <x:v>342158</x:v>
      </x:c>
      <x:c r="K483" s="19" t="n">
        <x:v>46248.45368438657</x:v>
      </x:c>
      <x:c r="L483" s="19" t="n">
        <x:v>46326.29728009259</x:v>
      </x:c>
      <x:c r="M483" s="15" t="str">
        <x:v>Послуги з поточного ремонту дерев’яного мосту пров.Василя Сухомлинського та вул.Дикалова, м. Охтирка Сумської області</x:v>
      </x:c>
      <x:c r="N483" s="15" t="str">
        <x:v>https://prozorro.gov.ua/tender/UA-2026-08-06-000509-a</x:v>
      </x:c>
    </x:row>
    <x:row r="484">
      <x:c r="A484" s="14" t="n">
        <x:v>480</x:v>
      </x:c>
      <x:c r="B484" s="14" t="str">
        <x:v>ФОП "КОЗЛОВА ОЛЕКСАНДРА ОЛЕКСАНДРІВНА"</x:v>
      </x:c>
      <x:c r="C484" s="14" t="str">
        <x:v>2552810284</x:v>
      </x:c>
      <x:c r="D484" s="14" t="str">
        <x:v>HVAC / ОВіК</x:v>
      </x:c>
      <x:c r="E484" s="14" t="str">
        <x:v>Pilot now</x:v>
      </x:c>
      <x:c r="F484" s="14" t="str">
        <x:v>I3</x:v>
      </x:c>
      <x:c r="G484" s="14" t="n">
        <x:v>53</x:v>
      </x:c>
      <x:c r="H484" s="14" t="n">
        <x:v>1</x:v>
      </x:c>
      <x:c r="I484" s="14" t="n">
        <x:v>1</x:v>
      </x:c>
      <x:c r="J484" s="18" t="n">
        <x:v>234348</x:v>
      </x:c>
      <x:c r="K484" s="19" t="n">
        <x:v>46233.29414491898</x:v>
      </x:c>
      <x:c r="L484" s="19" t="n">
        <x:v>46387.4991087963</x:v>
      </x:c>
      <x:c r="M484" s="15" t="str">
        <x:v>Матеріали та комплектуючі для монтажу системи водяного опалення.</x:v>
      </x:c>
      <x:c r="N484" s="15" t="str">
        <x:v>https://prozorro.gov.ua/tender/UA-2026-07-20-005737-a</x:v>
      </x:c>
    </x:row>
    <x:row r="485">
      <x:c r="A485" s="14" t="n">
        <x:v>481</x:v>
      </x:c>
      <x:c r="B485" s="14" t="str">
        <x:v>ФОП "Лозовий Орест Ігорович"</x:v>
      </x:c>
      <x:c r="C485" s="14" t="str">
        <x:v>3348303052</x:v>
      </x:c>
      <x:c r="D485" s="14" t="str">
        <x:v>Резервне живлення</x:v>
      </x:c>
      <x:c r="E485" s="14" t="str">
        <x:v>Pilot now</x:v>
      </x:c>
      <x:c r="F485" s="14" t="str">
        <x:v>I3</x:v>
      </x:c>
      <x:c r="G485" s="14" t="n">
        <x:v>53</x:v>
      </x:c>
      <x:c r="H485" s="14" t="n">
        <x:v>1</x:v>
      </x:c>
      <x:c r="I485" s="14" t="n">
        <x:v>1</x:v>
      </x:c>
      <x:c r="J485" s="18" t="n">
        <x:v>392004.35</x:v>
      </x:c>
      <x:c r="K485" s="19" t="n">
        <x:v>46225.29740577546</x:v>
      </x:c>
      <x:c r="L485" s="19" t="n">
        <x:v>46387</x:v>
      </x:c>
      <x:c r="M485" s="15" t="str">
        <x:v>Послуги з монтажу, підключення та налагодження пристрою автоматичного введення резерву (АВР) та дизель генератора за адресою: м. Львів, пл. Андрія Парубія, 2</x:v>
      </x:c>
      <x:c r="N485" s="15" t="str">
        <x:v>https://prozorro.gov.ua/tender/UA-2026-07-13-001446-a</x:v>
      </x:c>
    </x:row>
    <x:row r="486">
      <x:c r="A486" s="14" t="n">
        <x:v>482</x:v>
      </x:c>
      <x:c r="B486" s="14" t="str">
        <x:v>ФОП Васильців Володимир Романович</x:v>
      </x:c>
      <x:c r="C486" s="14" t="str">
        <x:v>2237902291</x:v>
      </x:c>
      <x:c r="D486" s="14" t="str">
        <x:v>HVAC / ОВіК</x:v>
      </x:c>
      <x:c r="E486" s="14" t="str">
        <x:v>Pilot now</x:v>
      </x:c>
      <x:c r="F486" s="14" t="str">
        <x:v>I3</x:v>
      </x:c>
      <x:c r="G486" s="14" t="n">
        <x:v>53</x:v>
      </x:c>
      <x:c r="H486" s="14" t="n">
        <x:v>2</x:v>
      </x:c>
      <x:c r="I486" s="14" t="n">
        <x:v>1</x:v>
      </x:c>
      <x:c r="J486" s="18" t="n">
        <x:v>53062</x:v>
      </x:c>
      <x:c r="K486" s="19" t="n">
        <x:v>46212.51836148148</x:v>
      </x:c>
      <x:c r="L486" s="19" t="n">
        <x:v>46387</x:v>
      </x:c>
      <x:c r="M486" s="15" t="str">
        <x:v>Послуги з монтажу та обслуговування вентиляційного обладнання</x:v>
      </x:c>
      <x:c r="N486" s="15" t="str">
        <x:v>https://prozorro.gov.ua/tender/UA-2026-07-09-008623-a</x:v>
      </x:c>
    </x:row>
    <x:row r="487">
      <x:c r="A487" s="14" t="n">
        <x:v>483</x:v>
      </x:c>
      <x:c r="B487" s="14" t="str">
        <x:v>ФОП КОХАСЬ МАКСИМ МИКОЛАЙОВИЧ</x:v>
      </x:c>
      <x:c r="C487" s="14" t="str">
        <x:v>3055718992</x:v>
      </x:c>
      <x:c r="D487" s="14" t="str">
        <x:v>Фасади та скління</x:v>
      </x:c>
      <x:c r="E487" s="14" t="str">
        <x:v>Expansion discovery</x:v>
      </x:c>
      <x:c r="F487" s="14" t="str">
        <x:v>I3</x:v>
      </x:c>
      <x:c r="G487" s="14" t="n">
        <x:v>53</x:v>
      </x:c>
      <x:c r="H487" s="14" t="n">
        <x:v>1</x:v>
      </x:c>
      <x:c r="I487" s="14" t="n">
        <x:v>1</x:v>
      </x:c>
      <x:c r="J487" s="18" t="n">
        <x:v>199133</x:v>
      </x:c>
      <x:c r="K487" s="19" t="n">
        <x:v>46240.57026796296</x:v>
      </x:c>
      <x:c r="L487" s="19" t="n">
        <x:v>46270</x:v>
      </x:c>
      <x:c r="M487"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x:v>
      </x:c>
      <x:c r="N487" s="15" t="str">
        <x:v>https://prozorro.gov.ua/tender/UA-2026-08-06-010644-a</x:v>
      </x:c>
    </x:row>
    <x:row r="488">
      <x:c r="A488" s="14" t="n">
        <x:v>484</x:v>
      </x:c>
      <x:c r="B488" s="14" t="str">
        <x:v>ФОП КРИГА ІВАН ІВАНОВИЧ</x:v>
      </x:c>
      <x:c r="C488" s="14" t="str">
        <x:v>3424306457</x:v>
      </x:c>
      <x:c r="D488" s="14" t="str">
        <x:v>Електромонтаж</x:v>
      </x:c>
      <x:c r="E488" s="14" t="str">
        <x:v>Pilot now</x:v>
      </x:c>
      <x:c r="F488" s="14" t="str">
        <x:v>I3</x:v>
      </x:c>
      <x:c r="G488" s="14" t="n">
        <x:v>53</x:v>
      </x:c>
      <x:c r="H488" s="14" t="n">
        <x:v>1</x:v>
      </x:c>
      <x:c r="I488" s="14" t="n">
        <x:v>1</x:v>
      </x:c>
      <x:c r="J488" s="18" t="n">
        <x:v>199691</x:v>
      </x:c>
      <x:c r="K488" s="19" t="n">
        <x:v>46239.379091076386</x:v>
      </x:c>
      <x:c r="L488" s="19" t="n">
        <x:v>46387</x:v>
      </x:c>
      <x:c r="M488" s="15" t="str">
        <x:v>Електромонтажні роботи</x:v>
      </x:c>
      <x:c r="N488" s="15" t="str">
        <x:v>https://prozorro.gov.ua/tender/UA-2026-08-05-004847-a</x:v>
      </x:c>
    </x:row>
    <x:row r="489">
      <x:c r="A489" s="14" t="n">
        <x:v>485</x:v>
      </x:c>
      <x:c r="B489" s="14" t="str">
        <x:v>ФОП Орлов В Ю</x:v>
      </x:c>
      <x:c r="C489" s="14" t="str">
        <x:v>3198918433</x:v>
      </x:c>
      <x:c r="D489" s="14" t="str">
        <x:v>Покрівлі та гідроізоляція</x:v>
      </x:c>
      <x:c r="E489" s="14" t="str">
        <x:v>Expansion discovery</x:v>
      </x:c>
      <x:c r="F489" s="14" t="str">
        <x:v>I3</x:v>
      </x:c>
      <x:c r="G489" s="14" t="n">
        <x:v>53</x:v>
      </x:c>
      <x:c r="H489" s="14" t="n">
        <x:v>1</x:v>
      </x:c>
      <x:c r="I489" s="14" t="n">
        <x:v>1</x:v>
      </x:c>
      <x:c r="J489" s="18" t="n">
        <x:v>367182.54</x:v>
      </x:c>
      <x:c r="K489" s="19" t="n">
        <x:v>46247.49372357639</x:v>
      </x:c>
      <x:c r="L489" s="19" t="n">
        <x:v>46325</x:v>
      </x:c>
      <x:c r="M489" s="15" t="str">
        <x:v>Поточний ремонт даху будівлі пункту здоров'я "Грушівка" (ДК 021:2015: 45260000-7 — Покрівельні будівельні роботи та інші спеціалізовані будівельні роботи)</x:v>
      </x:c>
      <x:c r="N489" s="15" t="str">
        <x:v>https://prozorro.gov.ua/tender/UA-2026-07-29-006939-a</x:v>
      </x:c>
    </x:row>
    <x:row r="490">
      <x:c r="A490" s="14" t="n">
        <x:v>486</x:v>
      </x:c>
      <x:c r="B490" s="14" t="str">
        <x:v>АКЦІОНЕРНЕ ТОВАРИСТВО "ЖИТОМИРОБЛЕНЕРГО"</x:v>
      </x:c>
      <x:c r="C490" s="14" t="str">
        <x:v>22048622</x:v>
      </x:c>
      <x:c r="D490" s="14" t="str">
        <x:v>Електромонтаж</x:v>
      </x:c>
      <x:c r="E490" s="14" t="str">
        <x:v>Pilot now</x:v>
      </x:c>
      <x:c r="F490" s="14" t="str">
        <x:v>I3</x:v>
      </x:c>
      <x:c r="G490" s="14" t="n">
        <x:v>52</x:v>
      </x:c>
      <x:c r="H490" s="14" t="n">
        <x:v>2</x:v>
      </x:c>
      <x:c r="I490" s="14" t="n">
        <x:v>2</x:v>
      </x:c>
      <x:c r="J490" s="18" t="n">
        <x:v>35841.97</x:v>
      </x:c>
      <x:c r="K490" s="19" t="n">
        <x:v>46205.44300653935</x:v>
      </x:c>
      <x:c r="L490" s="19" t="n">
        <x:v>46387</x:v>
      </x:c>
      <x:c r="M490" s="15" t="str">
        <x:v>Електромонтажні роботи</x:v>
      </x:c>
      <x:c r="N490" s="15" t="str">
        <x:v>https://prozorro.gov.ua/tender/UA-2026-07-02-005522-a</x:v>
      </x:c>
    </x:row>
    <x:row r="491">
      <x:c r="A491" s="14" t="n">
        <x:v>487</x:v>
      </x:c>
      <x:c r="B491" s="14" t="str">
        <x:v>АКЦІОНЕРНЕ ТОВАРИСТВО "СУМИОБЛЕНЕРГО"</x:v>
      </x:c>
      <x:c r="C491" s="14" t="str">
        <x:v>23293513</x:v>
      </x:c>
      <x:c r="D491" s="14" t="str">
        <x:v>Електромонтаж</x:v>
      </x:c>
      <x:c r="E491" s="14" t="str">
        <x:v>Pilot now</x:v>
      </x:c>
      <x:c r="F491" s="14" t="str">
        <x:v>I3</x:v>
      </x:c>
      <x:c r="G491" s="14" t="n">
        <x:v>52</x:v>
      </x:c>
      <x:c r="H491" s="14" t="n">
        <x:v>2</x:v>
      </x:c>
      <x:c r="I491" s="14" t="n">
        <x:v>2</x:v>
      </x:c>
      <x:c r="J491" s="18" t="n">
        <x:v>78114.88</x:v>
      </x:c>
      <x:c r="K491" s="19" t="n">
        <x:v>46218.52167177083</x:v>
      </x:c>
      <x:c r="L491" s="19" t="n">
        <x:v>46577.52166666667</x:v>
      </x:c>
      <x:c r="M491" s="15" t="str">
        <x:v>Електромонтажні роботи</x:v>
      </x:c>
      <x:c r="N491" s="15" t="str">
        <x:v>https://prozorro.gov.ua/tender/UA-2026-07-15-008235-a</x:v>
      </x:c>
    </x:row>
    <x:row r="492">
      <x:c r="A492" s="14" t="n">
        <x:v>488</x:v>
      </x:c>
      <x:c r="B492" s="14" t="str">
        <x:v>АКЦІОНЕРНЕ ТОВАРИСТВО "ХМЕЛЬНИЦЬКОБЛЕНЕРГО"</x:v>
      </x:c>
      <x:c r="C492" s="14" t="str">
        <x:v>22767506</x:v>
      </x:c>
      <x:c r="D492" s="14" t="str">
        <x:v>Електромонтаж</x:v>
      </x:c>
      <x:c r="E492" s="14" t="str">
        <x:v>Pilot now</x:v>
      </x:c>
      <x:c r="F492" s="14" t="str">
        <x:v>I3</x:v>
      </x:c>
      <x:c r="G492" s="14" t="n">
        <x:v>52</x:v>
      </x:c>
      <x:c r="H492" s="14" t="n">
        <x:v>2</x:v>
      </x:c>
      <x:c r="I492" s="14" t="n">
        <x:v>2</x:v>
      </x:c>
      <x:c r="J492" s="18" t="n">
        <x:v>8922.92</x:v>
      </x:c>
      <x:c r="K492" s="19" t="n">
        <x:v>46219.57515332176</x:v>
      </x:c>
      <x:c r="L492" s="19" t="n">
        <x:v>46387.61512731481</x:v>
      </x:c>
      <x:c r="M492" s="15" t="str">
        <x:v>Електромонтажні роботи</x:v>
      </x:c>
      <x:c r="N492" s="15" t="str">
        <x:v>https://prozorro.gov.ua/tender/UA-2026-07-16-009539-a</x:v>
      </x:c>
    </x:row>
    <x:row r="493">
      <x:c r="A493" s="14" t="n">
        <x:v>489</x:v>
      </x:c>
      <x:c r="B493" s="14" t="str">
        <x:v>ТзОВ фірма "Аурас"</x:v>
      </x:c>
      <x:c r="C493" s="14" t="str">
        <x:v>13986474</x:v>
      </x:c>
      <x:c r="D493" s="14" t="str">
        <x:v>Безпека / СКУД / CCTV</x:v>
      </x:c>
      <x:c r="E493" s="14" t="str">
        <x:v>Expansion discovery</x:v>
      </x:c>
      <x:c r="F493" s="14" t="str">
        <x:v>I3</x:v>
      </x:c>
      <x:c r="G493" s="14" t="n">
        <x:v>52</x:v>
      </x:c>
      <x:c r="H493" s="14" t="n">
        <x:v>2</x:v>
      </x:c>
      <x:c r="I493" s="14" t="n">
        <x:v>2</x:v>
      </x:c>
      <x:c r="J493" s="18" t="n">
        <x:v>117861.6</x:v>
      </x:c>
      <x:c r="K493" s="19" t="n">
        <x:v>46114.37330743056</x:v>
      </x:c>
      <x:c r="L493" s="19" t="n">
        <x:v>46387.41673611111</x:v>
      </x:c>
      <x:c r="M493" s="15" t="str">
        <x:v>Електромонтажні роботи (Послуги зі встановлення протипожежного устаткування, а саме монтажу системи протипожежної сигналізації та системи оповіщення про пожежу в приміщенні АТБСП №2 (цокольний поверх права частина будівлі, другий поверх права частина будівлі), монтажу автоматичної системи пожежогасіння в приміщенні серверної (цокольний поверх права частина будівлі)</x:v>
      </x:c>
      <x:c r="N493" s="15" t="str">
        <x:v>https://prozorro.gov.ua/tender/UA-2026-04-02-005254-a</x:v>
      </x:c>
    </x:row>
    <x:row r="494">
      <x:c r="A494" s="14" t="n">
        <x:v>490</x:v>
      </x:c>
      <x:c r="B494" s="14" t="str">
        <x:v>УПРАВЛІННЯ ПОЛІЦІЇ ОХОРОНИ В МИКОЛАЇВСЬКІЙ ОБЛАСТІ</x:v>
      </x:c>
      <x:c r="C494" s="14" t="str">
        <x:v>40109016</x:v>
      </x:c>
      <x:c r="D494" s="14" t="str">
        <x:v>Електромонтаж</x:v>
      </x:c>
      <x:c r="E494" s="14" t="str">
        <x:v>Pilot now</x:v>
      </x:c>
      <x:c r="F494" s="14" t="str">
        <x:v>I3</x:v>
      </x:c>
      <x:c r="G494" s="14" t="n">
        <x:v>52</x:v>
      </x:c>
      <x:c r="H494" s="14" t="n">
        <x:v>2</x:v>
      </x:c>
      <x:c r="I494" s="14" t="n">
        <x:v>2</x:v>
      </x:c>
      <x:c r="J494" s="18" t="n">
        <x:v>78040.22</x:v>
      </x:c>
      <x:c r="K494" s="19" t="n">
        <x:v>46105.40913947917</x:v>
      </x:c>
      <x:c r="L494" s="19" t="n">
        <x:v>46387</x:v>
      </x:c>
      <x:c r="M494" s="15" t="str">
        <x:v>Послуги з монтажу охоронної системи сигналізації з пусконалагоджувальними роботами код ДК 021:2015:45310000-3 Електромонтажні роботи </x:v>
      </x:c>
      <x:c r="N494" s="15" t="str">
        <x:v>https://prozorro.gov.ua/tender/UA-2026-03-24-005608-a</x:v>
      </x:c>
    </x:row>
    <x:row r="495">
      <x:c r="A495" s="14" t="n">
        <x:v>491</x:v>
      </x:c>
      <x:c r="B495" s="14" t="str">
        <x:v>УПРАВЛІННЯ ПОЛІЦІЇ ОХОРОНИ В ПОЛТАВСЬКІЙ ОБЛАСТІ</x:v>
      </x:c>
      <x:c r="C495" s="14" t="str">
        <x:v>40109042</x:v>
      </x:c>
      <x:c r="D495" s="14" t="str">
        <x:v>Електромонтаж</x:v>
      </x:c>
      <x:c r="E495" s="14" t="str">
        <x:v>Pilot now</x:v>
      </x:c>
      <x:c r="F495" s="14" t="str">
        <x:v>I3</x:v>
      </x:c>
      <x:c r="G495" s="14" t="n">
        <x:v>52</x:v>
      </x:c>
      <x:c r="H495" s="14" t="n">
        <x:v>3</x:v>
      </x:c>
      <x:c r="I495" s="14" t="n">
        <x:v>2</x:v>
      </x:c>
      <x:c r="J495" s="18" t="n">
        <x:v>104232.14</x:v>
      </x:c>
      <x:c r="K495" s="19" t="n">
        <x:v>46108.317231030094</x:v>
      </x:c>
      <x:c r="L495" s="19" t="n">
        <x:v>46112.27668981482</x:v>
      </x:c>
      <x:c r="M495" s="15" t="str">
        <x:v>Послуги з монтажу,встановлення обладнання та пусконалагоджувальних робіт системи охоронної сигналізації ( Код згідно ДК 021:2015-45310000-3 - Електромонтажні роботи)</x:v>
      </x:c>
      <x:c r="N495" s="15" t="str">
        <x:v>https://prozorro.gov.ua/tender/UA-2026-03-27-001212-a</x:v>
      </x:c>
    </x:row>
    <x:row r="496">
      <x:c r="A496" s="14" t="n">
        <x:v>492</x:v>
      </x:c>
      <x:c r="B496" s="14" t="str">
        <x:v>Управління поліції охорони у Закарпатській області</x:v>
      </x:c>
      <x:c r="C496" s="14" t="str">
        <x:v>40108997</x:v>
      </x:c>
      <x:c r="D496" s="14" t="str">
        <x:v>Пожежогасіння</x:v>
      </x:c>
      <x:c r="E496" s="14" t="str">
        <x:v>Expansion discovery</x:v>
      </x:c>
      <x:c r="F496" s="14" t="str">
        <x:v>I3</x:v>
      </x:c>
      <x:c r="G496" s="14" t="n">
        <x:v>52</x:v>
      </x:c>
      <x:c r="H496" s="14" t="n">
        <x:v>2</x:v>
      </x:c>
      <x:c r="I496" s="14" t="n">
        <x:v>2</x:v>
      </x:c>
      <x:c r="J496" s="18" t="n">
        <x:v>60651.46000000001</x:v>
      </x:c>
      <x:c r="K496" s="19" t="n">
        <x:v>46192.35677815972</x:v>
      </x:c>
      <x:c r="L496" s="19" t="n">
        <x:v>46387</x:v>
      </x:c>
      <x:c r="M496" s="15" t="str">
        <x:v> Електромонтажні роботи</x:v>
      </x:c>
      <x:c r="N496" s="15" t="str">
        <x:v>https://prozorro.gov.ua/tender/UA-2026-06-19-004595-a</x:v>
      </x:c>
    </x:row>
    <x:row r="497">
      <x:c r="A497" s="14" t="n">
        <x:v>493</x:v>
      </x:c>
      <x:c r="B497" s="14" t="str">
        <x:v>Чернобильський Євген Володимирович</x:v>
      </x:c>
      <x:c r="C497" s="14" t="str">
        <x:v>2713905975</x:v>
      </x:c>
      <x:c r="D497" s="14" t="str">
        <x:v>Промисловий холод</x:v>
      </x:c>
      <x:c r="E497" s="14" t="str">
        <x:v>Expansion discovery</x:v>
      </x:c>
      <x:c r="F497" s="14" t="str">
        <x:v>I3</x:v>
      </x:c>
      <x:c r="G497" s="14" t="n">
        <x:v>52</x:v>
      </x:c>
      <x:c r="H497" s="14" t="n">
        <x:v>2</x:v>
      </x:c>
      <x:c r="I497" s="14" t="n">
        <x:v>2</x:v>
      </x:c>
      <x:c r="J497" s="18" t="n">
        <x:v>75375</x:v>
      </x:c>
      <x:c r="K497" s="19" t="n">
        <x:v>46241.2542712963</x:v>
      </x:c>
      <x:c r="L497" s="19" t="n">
        <x:v>46387</x:v>
      </x:c>
      <x:c r="M497" s="15" t="str">
        <x:v>Демонтаж холодильного обладнання (ДК 021:2015 50730000-1 Послуги з ремонту і технічного обслуговування охолоджувальних установок)</x:v>
      </x:c>
      <x:c r="N497" s="15" t="str">
        <x:v>https://prozorro.gov.ua/tender/UA-2026-08-07-000611-a</x:v>
      </x:c>
    </x:row>
    <x:row r="498">
      <x:c r="A498" s="14" t="n">
        <x:v>494</x:v>
      </x:c>
      <x:c r="B498" s="14" t="str">
        <x:v>АКЦІОНЕРНЕ ТОВАРИСТВО "МИКОЛАЇВОБЛЕНЕРГО"</x:v>
      </x:c>
      <x:c r="C498" s="14" t="str">
        <x:v>23399393</x:v>
      </x:c>
      <x:c r="D498" s="14" t="str">
        <x:v>Електромонтаж</x:v>
      </x:c>
      <x:c r="E498" s="14" t="str">
        <x:v>Pilot now</x:v>
      </x:c>
      <x:c r="F498" s="14" t="str">
        <x:v>I3</x:v>
      </x:c>
      <x:c r="G498" s="14" t="n">
        <x:v>52</x:v>
      </x:c>
      <x:c r="H498" s="14" t="n">
        <x:v>1</x:v>
      </x:c>
      <x:c r="I498" s="14" t="n">
        <x:v>1</x:v>
      </x:c>
      <x:c r="J498" s="18" t="n">
        <x:v>535.88</x:v>
      </x:c>
      <x:c r="K498" s="19" t="n">
        <x:v>46239.46062644676</x:v>
      </x:c>
      <x:c r="L498" s="19" t="n">
        <x:v>46387</x:v>
      </x:c>
      <x:c r="M498" s="15" t="str">
        <x:v>Електромонтажні роботи </x:v>
      </x:c>
      <x:c r="N498" s="15" t="str">
        <x:v>https://prozorro.gov.ua/tender/UA-2026-08-05-007246-a</x:v>
      </x:c>
    </x:row>
    <x:row r="499">
      <x:c r="A499" s="14" t="n">
        <x:v>495</x:v>
      </x:c>
      <x:c r="B499" s="14" t="str">
        <x:v>БОЧКАЙ АТТІЛА АТТІЛОВИЧ</x:v>
      </x:c>
      <x:c r="C499" s="14" t="str">
        <x:v>2926919370</x:v>
      </x:c>
      <x:c r="D499" s="14" t="str">
        <x:v>Електромонтаж</x:v>
      </x:c>
      <x:c r="E499" s="14" t="str">
        <x:v>Pilot now</x:v>
      </x:c>
      <x:c r="F499" s="14" t="str">
        <x:v>I3</x:v>
      </x:c>
      <x:c r="G499" s="14" t="n">
        <x:v>52</x:v>
      </x:c>
      <x:c r="H499" s="14" t="n">
        <x:v>1</x:v>
      </x:c>
      <x:c r="I499" s="14" t="n">
        <x:v>1</x:v>
      </x:c>
      <x:c r="J499" s="18" t="n">
        <x:v>38890</x:v>
      </x:c>
      <x:c r="K499" s="19" t="n">
        <x:v>46255.47831796296</x:v>
      </x:c>
      <x:c r="L499" s="19" t="n">
        <x:v>46387</x:v>
      </x:c>
      <x:c r="M499" s="15" t="str">
        <x:v>ДК 021:2015 - 45310000-3 Електромонтажні роботи</x:v>
      </x:c>
      <x:c r="N499" s="15" t="str">
        <x:v>https://prozorro.gov.ua/tender/UA-2026-08-21-008629-a</x:v>
      </x:c>
    </x:row>
    <x:row r="500">
      <x:c r="A500" s="14" t="n">
        <x:v>496</x:v>
      </x:c>
      <x:c r="B500" s="14" t="str">
        <x:v>БУЧАЦЬКИЙ РАЙОН ЕЛЕКТРИЧНИХ МЕРЕЖ АКЦІОНЕРНОГО ТОВАРИСТВА "ТЕРНОПІЛЬОБЛЕНЕРГО"</x:v>
      </x:c>
      <x:c r="C500" s="14" t="str">
        <x:v>25781978</x:v>
      </x:c>
      <x:c r="D500" s="14" t="str">
        <x:v>Електромонтаж</x:v>
      </x:c>
      <x:c r="E500" s="14" t="str">
        <x:v>Pilot now</x:v>
      </x:c>
      <x:c r="F500" s="14" t="str">
        <x:v>I3</x:v>
      </x:c>
      <x:c r="G500" s="14" t="n">
        <x:v>52</x:v>
      </x:c>
      <x:c r="H500" s="14" t="n">
        <x:v>1</x:v>
      </x:c>
      <x:c r="I500" s="14" t="n">
        <x:v>1</x:v>
      </x:c>
      <x:c r="J500" s="18" t="n">
        <x:v>3303.66</x:v>
      </x:c>
      <x:c r="K500" s="19" t="n">
        <x:v>46232.544782233796</x:v>
      </x:c>
      <x:c r="L500" s="19" t="n">
        <x:v>46262</x:v>
      </x:c>
      <x:c r="M500" s="15" t="str">
        <x:v> Електромонтажні роботи (Ремонтно-будівельні роботи)</x:v>
      </x:c>
      <x:c r="N500" s="15" t="str">
        <x:v>https://prozorro.gov.ua/tender/UA-2026-07-29-009260-a</x:v>
      </x:c>
    </x:row>
    <x:row r="501">
      <x:c r="A501" s="14" t="n">
        <x:v>497</x:v>
      </x:c>
      <x:c r="B501" s="14" t="str">
        <x:v>Бучнєв Богдан Володимирович</x:v>
      </x:c>
      <x:c r="C501" s="14" t="str">
        <x:v>3429408577</x:v>
      </x:c>
      <x:c r="D501" s="14" t="str">
        <x:v>Електромонтаж</x:v>
      </x:c>
      <x:c r="E501" s="14" t="str">
        <x:v>Pilot now</x:v>
      </x:c>
      <x:c r="F501" s="14" t="str">
        <x:v>I3</x:v>
      </x:c>
      <x:c r="G501" s="14" t="n">
        <x:v>52</x:v>
      </x:c>
      <x:c r="H501" s="14" t="n">
        <x:v>1</x:v>
      </x:c>
      <x:c r="I501" s="14" t="n">
        <x:v>1</x:v>
      </x:c>
      <x:c r="J501" s="18" t="n">
        <x:v>99000</x:v>
      </x:c>
      <x:c r="K501" s="19" t="n">
        <x:v>46255.6182291088</x:v>
      </x:c>
      <x:c r="L501" s="19" t="n">
        <x:v>46387</x:v>
      </x:c>
      <x:c r="M501"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x:v>
      </x:c>
      <x:c r="N501" s="15" t="str">
        <x:v>https://prozorro.gov.ua/tender/UA-2026-08-21-012488-a</x:v>
      </x:c>
    </x:row>
    <x:row r="502">
      <x:c r="A502" s="14" t="n">
        <x:v>498</x:v>
      </x:c>
      <x:c r="B502" s="14" t="str">
        <x:v>ВЕЛИКООЛЕКСАНДРІВСЬКЕ ПІДПРИЄМСТВО "КОМСЕРВІС"</x:v>
      </x:c>
      <x:c r="C502" s="14" t="str">
        <x:v>34074946</x:v>
      </x:c>
      <x:c r="D502" s="14" t="str">
        <x:v>Металоконструкції</x:v>
      </x:c>
      <x:c r="E502" s="14" t="str">
        <x:v>Expansion discovery</x:v>
      </x:c>
      <x:c r="F502" s="14" t="str">
        <x:v>I3</x:v>
      </x:c>
      <x:c r="G502" s="14" t="n">
        <x:v>52</x:v>
      </x:c>
      <x:c r="H502" s="14" t="n">
        <x:v>1</x:v>
      </x:c>
      <x:c r="I502" s="14" t="n">
        <x:v>1</x:v>
      </x:c>
      <x:c r="J502" s="18" t="n">
        <x:v>45000</x:v>
      </x:c>
      <x:c r="K502" s="19" t="n">
        <x:v>46239.33666228009</x:v>
      </x:c>
      <x:c r="L502" s="19" t="n">
        <x:v>46387</x:v>
      </x:c>
      <x:c r="M502" s="15" t="str">
        <x:v>Послуги по встановленню та монтажу металоконструкцій</x:v>
      </x:c>
      <x:c r="N502" s="15" t="str">
        <x:v>https://prozorro.gov.ua/tender/UA-2026-08-05-003245-a</x:v>
      </x:c>
    </x:row>
    <x:row r="503">
      <x:c r="A503" s="14" t="n">
        <x:v>499</x:v>
      </x:c>
      <x:c r="B503" s="14" t="str">
        <x:v>ГИРЯ ВАЛЕРІЙ АНДРІЙОВИЧ</x:v>
      </x:c>
      <x:c r="C503" s="14" t="str">
        <x:v>2960021353</x:v>
      </x:c>
      <x:c r="D503" s="14" t="str">
        <x:v>Пасивний вогнезахист</x:v>
      </x:c>
      <x:c r="E503" s="14" t="str">
        <x:v>Expansion discovery</x:v>
      </x:c>
      <x:c r="F503" s="14" t="str">
        <x:v>I3</x:v>
      </x:c>
      <x:c r="G503" s="14" t="n">
        <x:v>52</x:v>
      </x:c>
      <x:c r="H503" s="14" t="n">
        <x:v>1</x:v>
      </x:c>
      <x:c r="I503" s="14" t="n">
        <x:v>1</x:v>
      </x:c>
      <x:c r="J503" s="18" t="n">
        <x:v>49251.19</x:v>
      </x:c>
      <x:c r="K503" s="19" t="n">
        <x:v>46237.57262935185</x:v>
      </x:c>
      <x:c r="L503" s="19" t="n">
        <x:v>46387</x:v>
      </x:c>
      <x:c r="M503" s="15" t="str">
        <x:v>Послуги з просочування деревини (Вогнезахисна  обробка дерев’яних конструкцій горища за адресою: м. Київ , вул. Маричанська, 4.) </x:v>
      </x:c>
      <x:c r="N503" s="15" t="str">
        <x:v>https://prozorro.gov.ua/tender/UA-2026-08-03-010480-a</x:v>
      </x:c>
    </x:row>
    <x:row r="504">
      <x:c r="A504" s="14" t="n">
        <x:v>500</x:v>
      </x:c>
      <x:c r="B504" s="14" t="str">
        <x:v>ГЛУШКО АНДРІЙ ІВАНОВИЧ</x:v>
      </x:c>
      <x:c r="C504" s="14" t="str">
        <x:v>2793023496</x:v>
      </x:c>
      <x:c r="D504" s="14" t="str">
        <x:v>Фасади та скління</x:v>
      </x:c>
      <x:c r="E504" s="14" t="str">
        <x:v>Expansion discovery</x:v>
      </x:c>
      <x:c r="F504" s="14" t="str">
        <x:v>I3</x:v>
      </x:c>
      <x:c r="G504" s="14" t="n">
        <x:v>52</x:v>
      </x:c>
      <x:c r="H504" s="14" t="n">
        <x:v>1</x:v>
      </x:c>
      <x:c r="I504" s="14" t="n">
        <x:v>1</x:v>
      </x:c>
      <x:c r="J504" s="18" t="n">
        <x:v>71938</x:v>
      </x:c>
      <x:c r="K504" s="19" t="n">
        <x:v>46252.247176689816</x:v>
      </x:c>
      <x:c r="L504" s="19" t="n">
        <x:v>46265</x:v>
      </x:c>
      <x:c r="M504" s="15" t="str">
        <x:v>Утеплення фасаду будівлі адміністративного корпусу за адресою: Закарпатська обл., Берегівський р-н, с. Верхні Ремети, вул. Виноградна, буд. 26а</x:v>
      </x:c>
      <x:c r="N504" s="15" t="str">
        <x:v>https://prozorro.gov.ua/tender/UA-2026-08-18-000384-a</x:v>
      </x:c>
    </x:row>
    <x:row r="505">
      <x:c r="A505" s="14" t="n">
        <x:v>501</x:v>
      </x:c>
      <x:c r="B505" s="14" t="str">
        <x:v>ДОВЖИК ПЕТРО ВАСИЛЬОВИЧ</x:v>
      </x:c>
      <x:c r="C505" s="14" t="str">
        <x:v>2347612999</x:v>
      </x:c>
      <x:c r="D505" s="14" t="str">
        <x:v>Сонячна енергетика</x:v>
      </x:c>
      <x:c r="E505" s="14" t="str">
        <x:v>Expansion discovery</x:v>
      </x:c>
      <x:c r="F505" s="14" t="str">
        <x:v>I3</x:v>
      </x:c>
      <x:c r="G505" s="14" t="n">
        <x:v>52</x:v>
      </x:c>
      <x:c r="H505" s="14" t="n">
        <x:v>2</x:v>
      </x:c>
      <x:c r="I505" s="14" t="n">
        <x:v>1</x:v>
      </x:c>
      <x:c r="J505" s="18" t="n">
        <x:v>199080</x:v>
      </x:c>
      <x:c r="K505" s="19" t="n">
        <x:v>46188.35211075231</x:v>
      </x:c>
      <x:c r="L505" s="19" t="n">
        <x:v>46206</x:v>
      </x:c>
      <x:c r="M505"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x:v>
      </x:c>
      <x:c r="N505" s="15" t="str">
        <x:v>https://prozorro.gov.ua/tender/UA-2026-06-15-003455-a</x:v>
      </x:c>
    </x:row>
    <x:row r="506">
      <x:c r="A506" s="14" t="n">
        <x:v>502</x:v>
      </x:c>
      <x:c r="B506" s="14" t="str">
        <x:v>ЖИТОМИРСЬКЕ КОЛЕКТИВНЕ ПІДПРИЄМСТВО ПО ПРОЕКТУВАННЮ ЦИВІЛЬНОГО І ПРОМИСЛОВОГО БУДІВНИЦТВА "ЖИТОМИРПРОЕКТ"</x:v>
      </x:c>
      <x:c r="C506" s="14" t="str">
        <x:v>02498103</x:v>
      </x:c>
      <x:c r="D506" s="14" t="str">
        <x:v>Теплові мережі</x:v>
      </x:c>
      <x:c r="E506" s="14" t="str">
        <x:v>Expansion discovery</x:v>
      </x:c>
      <x:c r="F506" s="14" t="str">
        <x:v>I3</x:v>
      </x:c>
      <x:c r="G506" s="14" t="n">
        <x:v>52</x:v>
      </x:c>
      <x:c r="H506" s="14" t="n">
        <x:v>1</x:v>
      </x:c>
      <x:c r="I506" s="14" t="n">
        <x:v>1</x:v>
      </x:c>
      <x:c r="J506" s="18" t="n">
        <x:v>35565.6</x:v>
      </x:c>
      <x:c r="K506" s="19" t="n">
        <x:v>46254.37346806713</x:v>
      </x:c>
      <x:c r="L506" s="19" t="n">
        <x:v>46387</x:v>
      </x:c>
      <x:c r="M506" s="15" t="str">
        <x:v>Авторський нагляд по об'єкту: "Реконструкція теплової мережі котельні РК-5 від т. 462 до ТК-20 за адресою вул. Чуднівська, 101 в м. Житомирі "(Коригування)</x:v>
      </x:c>
      <x:c r="N506" s="15" t="str">
        <x:v>https://prozorro.gov.ua/tender/UA-2026-08-20-004861-a</x:v>
      </x:c>
    </x:row>
    <x:row r="507">
      <x:c r="A507" s="14" t="n">
        <x:v>503</x:v>
      </x:c>
      <x:c r="B507" s="14" t="str">
        <x:v>ЗАЙОНЧКІВСЬКИЙ ВІКТОР ЦЕЗАРОВИЧ</x:v>
      </x:c>
      <x:c r="C507" s="14" t="str">
        <x:v>2390613314</x:v>
      </x:c>
      <x:c r="D507" s="14" t="str">
        <x:v>Пасивний вогнезахист</x:v>
      </x:c>
      <x:c r="E507" s="14" t="str">
        <x:v>Expansion discovery</x:v>
      </x:c>
      <x:c r="F507" s="14" t="str">
        <x:v>I3</x:v>
      </x:c>
      <x:c r="G507" s="14" t="n">
        <x:v>52</x:v>
      </x:c>
      <x:c r="H507" s="14" t="n">
        <x:v>1</x:v>
      </x:c>
      <x:c r="I507" s="14" t="n">
        <x:v>1</x:v>
      </x:c>
      <x:c r="J507" s="18" t="n">
        <x:v>13000</x:v>
      </x:c>
      <x:c r="K507" s="19" t="n">
        <x:v>46239.49423005787</x:v>
      </x:c>
      <x:c r="L507" s="19" t="n">
        <x:v>46265</x:v>
      </x:c>
      <x:c r="M507" s="15" t="str">
        <x:v>Послуги з проведення вогнезахисної обробки (просочування) дерев'яних конструкцій горища</x:v>
      </x:c>
      <x:c r="N507" s="15" t="str">
        <x:v>https://prozorro.gov.ua/tender/UA-2026-08-05-008366-a</x:v>
      </x:c>
    </x:row>
    <x:row r="508">
      <x:c r="A508" s="14" t="n">
        <x:v>504</x:v>
      </x:c>
      <x:c r="B508" s="14" t="str">
        <x:v>ІЛЬЧЕНКО ІРИНА ЛЕОНІДІВНА</x:v>
      </x:c>
      <x:c r="C508" s="14" t="str">
        <x:v>2918011427</x:v>
      </x:c>
      <x:c r="D508" s="14" t="str">
        <x:v>Пожежогасіння</x:v>
      </x:c>
      <x:c r="E508" s="14" t="str">
        <x:v>Expansion discovery</x:v>
      </x:c>
      <x:c r="F508" s="14" t="str">
        <x:v>I3</x:v>
      </x:c>
      <x:c r="G508" s="14" t="n">
        <x:v>52</x:v>
      </x:c>
      <x:c r="H508" s="14" t="n">
        <x:v>1</x:v>
      </x:c>
      <x:c r="I508" s="14" t="n">
        <x:v>1</x:v>
      </x:c>
      <x:c r="J508" s="18" t="n">
        <x:v>84320.1</x:v>
      </x:c>
      <x:c r="K508" s="19" t="n">
        <x:v>46231.480336099536</x:v>
      </x:c>
      <x:c r="L508" s="19" t="n">
        <x:v>46387</x:v>
      </x:c>
      <x:c r="M508"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x:v>
      </x:c>
      <x:c r="N508" s="15" t="str">
        <x:v>https://prozorro.gov.ua/tender/UA-2026-07-28-007524-a</x:v>
      </x:c>
    </x:row>
    <x:row r="509">
      <x:c r="A509" s="14" t="n">
        <x:v>505</x:v>
      </x:c>
      <x:c r="B509" s="14" t="str">
        <x:v>КАЧАН ЯРОСЛАВ ВАСИЛЬОВИЧ</x:v>
      </x:c>
      <x:c r="C509" s="14" t="str">
        <x:v>3266801113</x:v>
      </x:c>
      <x:c r="D509" s="14" t="str">
        <x:v>ВОЛЗ / телеком</x:v>
      </x:c>
      <x:c r="E509" s="14" t="str">
        <x:v>Expansion discovery</x:v>
      </x:c>
      <x:c r="F509" s="14" t="str">
        <x:v>I3</x:v>
      </x:c>
      <x:c r="G509" s="14" t="n">
        <x:v>52</x:v>
      </x:c>
      <x:c r="H509" s="14" t="n">
        <x:v>2</x:v>
      </x:c>
      <x:c r="I509" s="14" t="n">
        <x:v>1</x:v>
      </x:c>
      <x:c r="J509" s="18" t="n">
        <x:v>191711</x:v>
      </x:c>
      <x:c r="K509" s="19" t="n">
        <x:v>46079.56037892361</x:v>
      </x:c>
      <x:c r="L509" s="19" t="n">
        <x:v>46295</x:v>
      </x:c>
      <x:c r="M509"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та монтжу кабелів волокно-оптичних лінійних зв'язків"</x:v>
      </x:c>
      <x:c r="N509" s="15" t="str">
        <x:v>https://prozorro.gov.ua/tender/UA-2026-02-26-005457-a</x:v>
      </x:c>
    </x:row>
    <x:row r="510">
      <x:c r="A510" s="14" t="n">
        <x:v>506</x:v>
      </x:c>
      <x:c r="B510" s="14" t="str">
        <x:v>КОЛЕКТИВНЕ ПІДПРИЄМСТВО "ЗОДЧИЙ"</x:v>
      </x:c>
      <x:c r="C510" s="14" t="str">
        <x:v>00690565</x:v>
      </x:c>
      <x:c r="D510" s="14" t="str">
        <x:v>Водоочищення / очисні споруди</x:v>
      </x:c>
      <x:c r="E510" s="14" t="str">
        <x:v>Expansion discovery</x:v>
      </x:c>
      <x:c r="F510" s="14" t="str">
        <x:v>I3</x:v>
      </x:c>
      <x:c r="G510" s="14" t="n">
        <x:v>52</x:v>
      </x:c>
      <x:c r="H510" s="14" t="n">
        <x:v>2</x:v>
      </x:c>
      <x:c r="I510" s="14" t="n">
        <x:v>1</x:v>
      </x:c>
      <x:c r="J510" s="18" t="n">
        <x:v>392571.12</x:v>
      </x:c>
      <x:c r="K510" s="19" t="n">
        <x:v>46097.34537703704</x:v>
      </x:c>
      <x:c r="L510" s="19" t="n">
        <x:v>46387</x:v>
      </x:c>
      <x:c r="M510"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x:v>
      </x:c>
      <x:c r="N510" s="15" t="str">
        <x:v>https://prozorro.gov.ua/tender/UA-2026-03-16-001854-a</x:v>
      </x:c>
    </x:row>
    <x:row r="511">
      <x:c r="A511" s="14" t="n">
        <x:v>507</x:v>
      </x:c>
      <x:c r="B511" s="14" t="str">
        <x:v>КОМУНАЛЬНЕ ПІДПРИЄМСТВО "ЗБАРАЗЬКЕ МІСЬКЕ КОМУНАЛЬНЕ АРХІТЕКТУРНО-ПЛАНУВАЛЬНЕ БЮРО"</x:v>
      </x:c>
      <x:c r="C511" s="14" t="str">
        <x:v>24627689</x:v>
      </x:c>
      <x:c r="D511" s="14" t="str">
        <x:v>Зовнішні мережі</x:v>
      </x:c>
      <x:c r="E511" s="14" t="str">
        <x:v>Expansion discovery</x:v>
      </x:c>
      <x:c r="F511" s="14" t="str">
        <x:v>I3</x:v>
      </x:c>
      <x:c r="G511" s="14" t="n">
        <x:v>52</x:v>
      </x:c>
      <x:c r="H511" s="14" t="n">
        <x:v>1</x:v>
      </x:c>
      <x:c r="I511" s="14" t="n">
        <x:v>1</x:v>
      </x:c>
      <x:c r="J511" s="18" t="n">
        <x:v>48940</x:v>
      </x:c>
      <x:c r="K511" s="19" t="n">
        <x:v>46230.49966195602</x:v>
      </x:c>
      <x:c r="L511" s="19" t="n">
        <x:v>46387</x:v>
      </x:c>
      <x:c r="M511" s="15" t="str">
        <x:v>Коригування кошторисної документації робочого проекту "Будівництво каналізаційного колектора по вул.І.Франка в м.Збаражі Тернопільського р-ну Тернопільської області </x:v>
      </x:c>
      <x:c r="N511" s="15" t="str">
        <x:v>https://prozorro.gov.ua/tender/UA-2026-07-27-007591-a</x:v>
      </x:c>
    </x:row>
    <x:row r="512">
      <x:c r="A512" s="14" t="n">
        <x:v>508</x:v>
      </x:c>
      <x:c r="B512" s="14" t="str">
        <x:v>КОМУНАЛЬНЕ ПІДПРИЄМСТВО "СМОЛІНСЬКИЙ БЛАГОУСТРІЙ" СМОЛІНСЬКОЇ СЕЛИЩНОЇ РАДИ</x:v>
      </x:c>
      <x:c r="C512" s="14" t="str">
        <x:v>46139067</x:v>
      </x:c>
      <x:c r="D512" s="14" t="str">
        <x:v>Електромонтаж</x:v>
      </x:c>
      <x:c r="E512" s="14" t="str">
        <x:v>Pilot now</x:v>
      </x:c>
      <x:c r="F512" s="14" t="str">
        <x:v>I3</x:v>
      </x:c>
      <x:c r="G512" s="14" t="n">
        <x:v>52</x:v>
      </x:c>
      <x:c r="H512" s="14" t="n">
        <x:v>1</x:v>
      </x:c>
      <x:c r="I512" s="14" t="n">
        <x:v>1</x:v>
      </x:c>
      <x:c r="J512" s="18" t="n">
        <x:v>2370</x:v>
      </x:c>
      <x:c r="K512" s="19" t="n">
        <x:v>46238.245259375</x:v>
      </x:c>
      <x:c r="L512" s="19" t="n">
        <x:v>46387</x:v>
      </x:c>
      <x:c r="M512" s="15" t="str">
        <x:v>45310000-3 - Електромонтажні роботи (послуга техніка-електрика )</x:v>
      </x:c>
      <x:c r="N512" s="15" t="str">
        <x:v>https://prozorro.gov.ua/tender/UA-2026-08-04-000421-a</x:v>
      </x:c>
    </x:row>
    <x:row r="513">
      <x:c r="A513" s="14" t="n">
        <x:v>509</x:v>
      </x:c>
      <x:c r="B513" s="14" t="str">
        <x:v>КОРЧЕВНИЙ ОЛЕКСІЙ ІГОРОВИЧ</x:v>
      </x:c>
      <x:c r="C513" s="14" t="str">
        <x:v>3036122096</x:v>
      </x:c>
      <x:c r="D513" s="14" t="str">
        <x:v>Електромонтаж</x:v>
      </x:c>
      <x:c r="E513" s="14" t="str">
        <x:v>Pilot now</x:v>
      </x:c>
      <x:c r="F513" s="14" t="str">
        <x:v>I3</x:v>
      </x:c>
      <x:c r="G513" s="14" t="n">
        <x:v>52</x:v>
      </x:c>
      <x:c r="H513" s="14" t="n">
        <x:v>1</x:v>
      </x:c>
      <x:c r="I513" s="14" t="n">
        <x:v>1</x:v>
      </x:c>
      <x:c r="J513" s="18" t="n">
        <x:v>11530</x:v>
      </x:c>
      <x:c r="K513" s="19" t="n">
        <x:v>46231.35433361111</x:v>
      </x:c>
      <x:c r="L513" s="19" t="n">
        <x:v>46387</x:v>
      </x:c>
      <x:c r="M513" s="15" t="str">
        <x:v>45310000-3 Електромонтажні роботи</x:v>
      </x:c>
      <x:c r="N513" s="15" t="str">
        <x:v>https://prozorro.gov.ua/tender/UA-2026-07-28-003781-a</x:v>
      </x:c>
    </x:row>
    <x:row r="514">
      <x:c r="A514" s="14" t="n">
        <x:v>510</x:v>
      </x:c>
      <x:c r="B514" s="14" t="str">
        <x:v>КП "Благоустрій Сервіс"</x:v>
      </x:c>
      <x:c r="C514" s="14" t="str">
        <x:v>41615779</x:v>
      </x:c>
      <x:c r="D514" s="14" t="str">
        <x:v>Електромонтаж</x:v>
      </x:c>
      <x:c r="E514" s="14" t="str">
        <x:v>Pilot now</x:v>
      </x:c>
      <x:c r="F514" s="14" t="str">
        <x:v>I3</x:v>
      </x:c>
      <x:c r="G514" s="14" t="n">
        <x:v>52</x:v>
      </x:c>
      <x:c r="H514" s="14" t="n">
        <x:v>1</x:v>
      </x:c>
      <x:c r="I514" s="14" t="n">
        <x:v>1</x:v>
      </x:c>
      <x:c r="J514" s="18" t="n">
        <x:v>813</x:v>
      </x:c>
      <x:c r="K514" s="19" t="n">
        <x:v>46245.38756800926</x:v>
      </x:c>
      <x:c r="L514" s="19" t="n">
        <x:v>46387.429710648146</x:v>
      </x:c>
      <x:c r="M514" s="15" t="str">
        <x:v>45310000-3 - Електромонтажні роботи (Монтаж пот.світильників)</x:v>
      </x:c>
      <x:c r="N514" s="15" t="str">
        <x:v>https://prozorro.gov.ua/tender/UA-2026-08-11-005157-a</x:v>
      </x:c>
    </x:row>
    <x:row r="515">
      <x:c r="A515" s="14" t="n">
        <x:v>511</x:v>
      </x:c>
      <x:c r="B515" s="14" t="str">
        <x:v>КП "Ічнянське ВУ ЖКГ"</x:v>
      </x:c>
      <x:c r="C515" s="14" t="str">
        <x:v>03357895</x:v>
      </x:c>
      <x:c r="D515" s="14" t="str">
        <x:v>Електромонтаж</x:v>
      </x:c>
      <x:c r="E515" s="14" t="str">
        <x:v>Pilot now</x:v>
      </x:c>
      <x:c r="F515" s="14" t="str">
        <x:v>I3</x:v>
      </x:c>
      <x:c r="G515" s="14" t="n">
        <x:v>52</x:v>
      </x:c>
      <x:c r="H515" s="14" t="n">
        <x:v>1</x:v>
      </x:c>
      <x:c r="I515" s="14" t="n">
        <x:v>1</x:v>
      </x:c>
      <x:c r="J515" s="18" t="n">
        <x:v>4164.97</x:v>
      </x:c>
      <x:c r="K515" s="19" t="n">
        <x:v>46252.56156364583</x:v>
      </x:c>
      <x:c r="L515" s="19" t="n">
        <x:v>46387</x:v>
      </x:c>
      <x:c r="M515" s="15" t="str">
        <x:v>електромонтажні роботи</x:v>
      </x:c>
      <x:c r="N515" s="15" t="str">
        <x:v>https://prozorro.gov.ua/tender/UA-2026-08-18-011647-a</x:v>
      </x:c>
    </x:row>
    <x:row r="516">
      <x:c r="A516" s="14" t="n">
        <x:v>512</x:v>
      </x:c>
      <x:c r="B516" s="14" t="str">
        <x:v>ЛАВРИК ВОЛОДИМИР МИКОЛАЙОВИЧ</x:v>
      </x:c>
      <x:c r="C516" s="14" t="str">
        <x:v>2447102099</x:v>
      </x:c>
      <x:c r="D516" s="14" t="str">
        <x:v>Пасивний вогнезахист</x:v>
      </x:c>
      <x:c r="E516" s="14" t="str">
        <x:v>Expansion discovery</x:v>
      </x:c>
      <x:c r="F516" s="14" t="str">
        <x:v>I3</x:v>
      </x:c>
      <x:c r="G516" s="14" t="n">
        <x:v>52</x:v>
      </x:c>
      <x:c r="H516" s="14" t="n">
        <x:v>1</x:v>
      </x:c>
      <x:c r="I516" s="14" t="n">
        <x:v>1</x:v>
      </x:c>
      <x:c r="J516" s="18" t="n">
        <x:v>7759.9</x:v>
      </x:c>
      <x:c r="K516" s="19" t="n">
        <x:v>46253.29624150463</x:v>
      </x:c>
      <x:c r="L516" s="19" t="n">
        <x:v>46265</x:v>
      </x:c>
      <x:c r="M516"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x:v>
      </x:c>
      <x:c r="N516" s="15" t="str">
        <x:v>https://prozorro.gov.ua/tender/UA-2026-08-19-001035-a</x:v>
      </x:c>
    </x:row>
    <x:row r="517">
      <x:c r="A517" s="14" t="n">
        <x:v>513</x:v>
      </x:c>
      <x:c r="B517" s="14" t="str">
        <x:v>ЛЕХТО ГАЛИНА ВОЛОДИМИРІВНА</x:v>
      </x:c>
      <x:c r="C517" s="14" t="str">
        <x:v>2282105881</x:v>
      </x:c>
      <x:c r="D517" s="14" t="str">
        <x:v>Покрівлі та гідроізоляція</x:v>
      </x:c>
      <x:c r="E517" s="14" t="str">
        <x:v>Expansion discovery</x:v>
      </x:c>
      <x:c r="F517" s="14" t="str">
        <x:v>I3</x:v>
      </x:c>
      <x:c r="G517" s="14" t="n">
        <x:v>52</x:v>
      </x:c>
      <x:c r="H517" s="14" t="n">
        <x:v>2</x:v>
      </x:c>
      <x:c r="I517" s="14" t="n">
        <x:v>1</x:v>
      </x:c>
      <x:c r="J517" s="18" t="n">
        <x:v>539918.26</x:v>
      </x:c>
      <x:c r="K517" s="19" t="n">
        <x:v>45940.22908572917</x:v>
      </x:c>
      <x:c r="L517" s="19" t="n">
        <x:v>46022.916666655095</x:v>
      </x:c>
      <x:c r="M517" s="15" t="str">
        <x:v>Капітальний ремонт швів з'єднань залізобетонних конструкцій (герметизація швів)</x:v>
      </x:c>
      <x:c r="N517" s="15" t="str">
        <x:v>https://prozorro.gov.ua/tender/UA-2025-10-10-000247-a</x:v>
      </x:c>
    </x:row>
    <x:row r="518">
      <x:c r="A518" s="14" t="n">
        <x:v>514</x:v>
      </x:c>
      <x:c r="B518" s="14" t="str">
        <x:v>МАЛЕ ПІДПРИЄМСТВО "ВІКТОРІЯ"</x:v>
      </x:c>
      <x:c r="C518" s="14" t="str">
        <x:v>14029409</x:v>
      </x:c>
      <x:c r="D518" s="14" t="str">
        <x:v>Внутрішні сантехнічні системи</x:v>
      </x:c>
      <x:c r="E518" s="14" t="str">
        <x:v>Pilot now</x:v>
      </x:c>
      <x:c r="F518" s="14" t="str">
        <x:v>I3</x:v>
      </x:c>
      <x:c r="G518" s="14" t="n">
        <x:v>52</x:v>
      </x:c>
      <x:c r="H518" s="14" t="n">
        <x:v>1</x:v>
      </x:c>
      <x:c r="I518" s="14" t="n">
        <x:v>1</x:v>
      </x:c>
      <x:c r="J518" s="18" t="n">
        <x:v>11908.8</x:v>
      </x:c>
      <x:c r="K518" s="19" t="n">
        <x:v>46220.30670662037</x:v>
      </x:c>
      <x:c r="L518" s="19" t="n">
        <x:v>46387</x:v>
      </x:c>
      <x:c r="M518"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x:v>
      </x:c>
      <x:c r="N518" s="15" t="str">
        <x:v>https://prozorro.gov.ua/tender/UA-2026-07-17-001739-a</x:v>
      </x:c>
    </x:row>
    <x:row r="519">
      <x:c r="A519" s="14" t="n">
        <x:v>515</x:v>
      </x:c>
      <x:c r="B519" s="14" t="str">
        <x:v>МАРТЬЯНОВ ІГОР ВІКТОРОВИЧ</x:v>
      </x:c>
      <x:c r="C519" s="14" t="str">
        <x:v>2867414633</x:v>
      </x:c>
      <x:c r="D519" s="14" t="str">
        <x:v>Резервне живлення</x:v>
      </x:c>
      <x:c r="E519" s="14" t="str">
        <x:v>Pilot now</x:v>
      </x:c>
      <x:c r="F519" s="14" t="str">
        <x:v>I3</x:v>
      </x:c>
      <x:c r="G519" s="14" t="n">
        <x:v>52</x:v>
      </x:c>
      <x:c r="H519" s="14" t="n">
        <x:v>1</x:v>
      </x:c>
      <x:c r="I519" s="14" t="n">
        <x:v>1</x:v>
      </x:c>
      <x:c r="J519" s="18" t="n">
        <x:v>31933.12</x:v>
      </x:c>
      <x:c r="K519" s="19" t="n">
        <x:v>46238.51376490741</x:v>
      </x:c>
      <x:c r="L519" s="19" t="n">
        <x:v>46295</x:v>
      </x:c>
      <x:c r="M519" s="15" t="str">
        <x:v>Підключення та проведення пусконалагоджувальних робіт дизель-генератора</x:v>
      </x:c>
      <x:c r="N519" s="15" t="str">
        <x:v>https://prozorro.gov.ua/tender/UA-2026-08-04-009065-a</x:v>
      </x:c>
    </x:row>
    <x:row r="520">
      <x:c r="A520" s="14" t="n">
        <x:v>516</x:v>
      </x:c>
      <x:c r="B520" s="14" t="str">
        <x:v>МЕЛЮХ ОЛЕКСАНДР ЯКОВИЧ</x:v>
      </x:c>
      <x:c r="C520" s="14" t="str">
        <x:v>2330708930</x:v>
      </x:c>
      <x:c r="D520" s="14" t="str">
        <x:v>Пожежогасіння</x:v>
      </x:c>
      <x:c r="E520" s="14" t="str">
        <x:v>Expansion discovery</x:v>
      </x:c>
      <x:c r="F520" s="14" t="str">
        <x:v>I3</x:v>
      </x:c>
      <x:c r="G520" s="14" t="n">
        <x:v>52</x:v>
      </x:c>
      <x:c r="H520" s="14" t="n">
        <x:v>1</x:v>
      </x:c>
      <x:c r="I520" s="14" t="n">
        <x:v>1</x:v>
      </x:c>
      <x:c r="J520" s="18" t="n">
        <x:v>63955.48</x:v>
      </x:c>
      <x:c r="K520" s="19" t="n">
        <x:v>46230.417593715276</x:v>
      </x:c>
      <x:c r="L520" s="19" t="n">
        <x:v>46387</x:v>
      </x:c>
      <x:c r="M520"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x:v>
      </x:c>
      <x:c r="N520" s="15" t="str">
        <x:v>https://prozorro.gov.ua/tender/UA-2026-07-27-005192-a</x:v>
      </x:c>
    </x:row>
    <x:row r="521">
      <x:c r="A521" s="14" t="n">
        <x:v>517</x:v>
      </x:c>
      <x:c r="B521" s="14" t="str">
        <x:v>ПАТ "Запоріжжяобленерго"</x:v>
      </x:c>
      <x:c r="C521" s="14" t="str">
        <x:v>00130926</x:v>
      </x:c>
      <x:c r="D521" s="14" t="str">
        <x:v>Електромонтаж</x:v>
      </x:c>
      <x:c r="E521" s="14" t="str">
        <x:v>Pilot now</x:v>
      </x:c>
      <x:c r="F521" s="14" t="str">
        <x:v>I3</x:v>
      </x:c>
      <x:c r="G521" s="14" t="n">
        <x:v>52</x:v>
      </x:c>
      <x:c r="H521" s="14" t="n">
        <x:v>1</x:v>
      </x:c>
      <x:c r="I521" s="14" t="n">
        <x:v>1</x:v>
      </x:c>
      <x:c r="J521" s="18" t="n">
        <x:v>19127.3</x:v>
      </x:c>
      <x:c r="K521" s="19" t="n">
        <x:v>46251.470688472225</x:v>
      </x:c>
      <x:c r="L521" s="19" t="n">
        <x:v>46387</x:v>
      </x:c>
      <x:c r="M521" s="15" t="str">
        <x:v>Електромонтажні роботи</x:v>
      </x:c>
      <x:c r="N521" s="15" t="str">
        <x:v>https://prozorro.gov.ua/tender/UA-2026-08-17-007157-a</x:v>
      </x:c>
    </x:row>
    <x:row r="522">
      <x:c r="A522" s="14" t="n">
        <x:v>518</x:v>
      </x:c>
      <x:c r="B522" s="14" t="str">
        <x:v>ПНВП  «Прометей-Сервіс»</x:v>
      </x:c>
      <x:c r="C522" s="14" t="str">
        <x:v>35435961 КБВ: БАДЬОР КИРИЛО ОЛЕКСІЙ, громадянство:</x:v>
      </x:c>
      <x:c r="D522" s="14" t="str">
        <x:v>Пожежогасіння</x:v>
      </x:c>
      <x:c r="E522" s="14" t="str">
        <x:v>Expansion discovery</x:v>
      </x:c>
      <x:c r="F522" s="14" t="str">
        <x:v>I3</x:v>
      </x:c>
      <x:c r="G522" s="14" t="n">
        <x:v>52</x:v>
      </x:c>
      <x:c r="H522" s="14" t="n">
        <x:v>1</x:v>
      </x:c>
      <x:c r="I522" s="14" t="n">
        <x:v>1</x:v>
      </x:c>
      <x:c r="J522" s="18" t="n">
        <x:v>99925.9</x:v>
      </x:c>
      <x:c r="K522" s="19" t="n">
        <x:v>46241.41233940972</x:v>
      </x:c>
      <x:c r="L522" s="19" t="n">
        <x:v>46387</x:v>
      </x:c>
      <x:c r="M522"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x:v>
      </x:c>
      <x:c r="N522" s="15" t="str">
        <x:v>https://prozorro.gov.ua/tender/UA-2026-08-07-005902-a</x:v>
      </x:c>
    </x:row>
    <x:row r="523">
      <x:c r="A523" s="14" t="n">
        <x:v>519</x:v>
      </x:c>
      <x:c r="B523" s="14" t="str">
        <x:v>ПОЛЯКОВ ПАВЛО ОЛЕГОВИЧ</x:v>
      </x:c>
      <x:c r="C523" s="14" t="str">
        <x:v>3302711552</x:v>
      </x:c>
      <x:c r="D523" s="14" t="str">
        <x:v>Електромонтаж</x:v>
      </x:c>
      <x:c r="E523" s="14" t="str">
        <x:v>Pilot now</x:v>
      </x:c>
      <x:c r="F523" s="14" t="str">
        <x:v>I3</x:v>
      </x:c>
      <x:c r="G523" s="14" t="n">
        <x:v>52</x:v>
      </x:c>
      <x:c r="H523" s="14" t="n">
        <x:v>1</x:v>
      </x:c>
      <x:c r="I523" s="14" t="n">
        <x:v>1</x:v>
      </x:c>
      <x:c r="J523" s="18" t="n">
        <x:v>22100</x:v>
      </x:c>
      <x:c r="K523" s="19" t="n">
        <x:v>46225.34049125</x:v>
      </x:c>
      <x:c r="L523" s="19" t="n">
        <x:v>46265</x:v>
      </x:c>
      <x:c r="M523" s="15" t="str">
        <x:v>Електромонтажні роботи (Монтажні роботи та введення в експлуатацію СЕС)</x:v>
      </x:c>
      <x:c r="N523" s="15" t="str">
        <x:v>https://prozorro.gov.ua/tender/UA-2026-07-22-002968-a</x:v>
      </x:c>
    </x:row>
    <x:row r="524">
      <x:c r="A524" s="14" t="n">
        <x:v>520</x:v>
      </x:c>
      <x:c r="B524" s="14" t="str">
        <x:v>ПП "Енергодар Т"</x:v>
      </x:c>
      <x:c r="C524" s="14" t="str">
        <x:v>34252343</x:v>
      </x:c>
      <x:c r="D524" s="14" t="str">
        <x:v>Електромонтаж</x:v>
      </x:c>
      <x:c r="E524" s="14" t="str">
        <x:v>Pilot now</x:v>
      </x:c>
      <x:c r="F524" s="14" t="str">
        <x:v>I3</x:v>
      </x:c>
      <x:c r="G524" s="14" t="n">
        <x:v>52</x:v>
      </x:c>
      <x:c r="H524" s="14" t="n">
        <x:v>1</x:v>
      </x:c>
      <x:c r="I524" s="14" t="n">
        <x:v>1</x:v>
      </x:c>
      <x:c r="J524" s="18" t="n">
        <x:v>64360</x:v>
      </x:c>
      <x:c r="K524" s="19" t="n">
        <x:v>46246.499455798614</x:v>
      </x:c>
      <x:c r="L524" s="19" t="n">
        <x:v>46387.543599537035</x:v>
      </x:c>
      <x:c r="M524" s="15" t="str">
        <x:v>Електромонтажні роботи</x:v>
      </x:c>
      <x:c r="N524" s="15" t="str">
        <x:v>https://prozorro.gov.ua/tender/UA-2026-08-12-008165-a</x:v>
      </x:c>
    </x:row>
    <x:row r="525">
      <x:c r="A525" s="14" t="n">
        <x:v>521</x:v>
      </x:c>
      <x:c r="B525" s="14" t="str">
        <x:v>ПП "КОМ-СЕРВІС"</x:v>
      </x:c>
      <x:c r="C525" s="14" t="str">
        <x:v>32129394</x:v>
      </x:c>
      <x:c r="D525" s="14" t="str">
        <x:v>Електромонтаж</x:v>
      </x:c>
      <x:c r="E525" s="14" t="str">
        <x:v>Pilot now</x:v>
      </x:c>
      <x:c r="F525" s="14" t="str">
        <x:v>I3</x:v>
      </x:c>
      <x:c r="G525" s="14" t="n">
        <x:v>52</x:v>
      </x:c>
      <x:c r="H525" s="14" t="n">
        <x:v>1</x:v>
      </x:c>
      <x:c r="I525" s="14" t="n">
        <x:v>1</x:v>
      </x:c>
      <x:c r="J525" s="18" t="n">
        <x:v>34900</x:v>
      </x:c>
      <x:c r="K525" s="19" t="n">
        <x:v>46216.44903820602</x:v>
      </x:c>
      <x:c r="L525" s="19" t="n">
        <x:v>46387</x:v>
      </x:c>
      <x:c r="M525" s="15" t="str">
        <x:v>Електромонтажні роботи</x:v>
      </x:c>
      <x:c r="N525" s="15" t="str">
        <x:v>https://prozorro.gov.ua/tender/UA-2026-07-13-005772-a</x:v>
      </x:c>
    </x:row>
    <x:row r="526">
      <x:c r="A526" s="14" t="n">
        <x:v>522</x:v>
      </x:c>
      <x:c r="B526" s="14" t="str">
        <x:v>ПП "ПОЖБУДПРОЄКТ"</x:v>
      </x:c>
      <x:c r="C526" s="14" t="str">
        <x:v>42651509</x:v>
      </x:c>
      <x:c r="D526" s="14" t="str">
        <x:v>Пожежогасіння</x:v>
      </x:c>
      <x:c r="E526" s="14" t="str">
        <x:v>Expansion discovery</x:v>
      </x:c>
      <x:c r="F526" s="14" t="str">
        <x:v>I3</x:v>
      </x:c>
      <x:c r="G526" s="14" t="n">
        <x:v>52</x:v>
      </x:c>
      <x:c r="H526" s="14" t="n">
        <x:v>1</x:v>
      </x:c>
      <x:c r="I526" s="14" t="n">
        <x:v>1</x:v>
      </x:c>
      <x:c r="J526" s="18" t="n">
        <x:v>68202.44</x:v>
      </x:c>
      <x:c r="K526" s="19" t="n">
        <x:v>46258.29532291667</x:v>
      </x:c>
      <x:c r="L526" s="19" t="n">
        <x:v>46387.338692129626</x:v>
      </x:c>
      <x:c r="M526"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x:v>
      </x:c>
      <x:c r="N526" s="15" t="str">
        <x:v>https://prozorro.gov.ua/tender/UA-2026-08-24-001229-a</x:v>
      </x:c>
    </x:row>
    <x:row r="527">
      <x:c r="A527" s="14" t="n">
        <x:v>523</x:v>
      </x:c>
      <x:c r="B527" s="14" t="str">
        <x:v>ПП "Формула-безпеки"</x:v>
      </x:c>
      <x:c r="C527" s="14" t="str">
        <x:v>38553461</x:v>
      </x:c>
      <x:c r="D527" s="14" t="str">
        <x:v>Безпека / СКУД / CCTV</x:v>
      </x:c>
      <x:c r="E527" s="14" t="str">
        <x:v>Expansion discovery</x:v>
      </x:c>
      <x:c r="F527" s="14" t="str">
        <x:v>I3</x:v>
      </x:c>
      <x:c r="G527" s="14" t="n">
        <x:v>52</x:v>
      </x:c>
      <x:c r="H527" s="14" t="n">
        <x:v>1</x:v>
      </x:c>
      <x:c r="I527" s="14" t="n">
        <x:v>1</x:v>
      </x:c>
      <x:c r="J527" s="18" t="n">
        <x:v>50050</x:v>
      </x:c>
      <x:c r="K527" s="19" t="n">
        <x:v>46255.44458350694</x:v>
      </x:c>
      <x:c r="L527" s="19" t="n">
        <x:v>46387</x:v>
      </x:c>
      <x:c r="M527" s="15" t="str">
        <x:v>Послуги з монтажу та налаштування системи відеоспостереження. код ДК 021:2015 51310000-8</x:v>
      </x:c>
      <x:c r="N527" s="15" t="str">
        <x:v>https://prozorro.gov.ua/tender/UA-2026-08-21-007420-a</x:v>
      </x:c>
    </x:row>
    <x:row r="528">
      <x:c r="A528" s="14" t="n">
        <x:v>524</x:v>
      </x:c>
      <x:c r="B528" s="14" t="str">
        <x:v>ПП «ЕЛЕКТРОН-ІЧНЯ»</x:v>
      </x:c>
      <x:c r="C528" s="14" t="str">
        <x:v>36080405</x:v>
      </x:c>
      <x:c r="D528" s="14" t="str">
        <x:v>Електромонтаж</x:v>
      </x:c>
      <x:c r="E528" s="14" t="str">
        <x:v>Pilot now</x:v>
      </x:c>
      <x:c r="F528" s="14" t="str">
        <x:v>I3</x:v>
      </x:c>
      <x:c r="G528" s="14" t="n">
        <x:v>52</x:v>
      </x:c>
      <x:c r="H528" s="14" t="n">
        <x:v>1</x:v>
      </x:c>
      <x:c r="I528" s="14" t="n">
        <x:v>1</x:v>
      </x:c>
      <x:c r="J528" s="18" t="n">
        <x:v>11160</x:v>
      </x:c>
      <x:c r="K528" s="19" t="n">
        <x:v>46251.48332384259</x:v>
      </x:c>
      <x:c r="L528" s="19" t="n">
        <x:v>46387.52746527778</x:v>
      </x:c>
      <x:c r="M528" s="15" t="str">
        <x:v>Електромонтажні роботи по влаштуванню внутрішніх електричних мереж (код за ЕЗС ДК 021:2015 45310000-3 - Електромонтажні роботи)</x:v>
      </x:c>
      <x:c r="N528" s="15" t="str">
        <x:v>https://prozorro.gov.ua/tender/UA-2026-08-17-007633-a</x:v>
      </x:c>
    </x:row>
    <x:row r="529">
      <x:c r="A529" s="14" t="n">
        <x:v>525</x:v>
      </x:c>
      <x:c r="B529" s="14" t="str">
        <x:v>ПП"Енергоресурс"</x:v>
      </x:c>
      <x:c r="C529" s="14" t="str">
        <x:v>32393416</x:v>
      </x:c>
      <x:c r="D529" s="14" t="str">
        <x:v>Електромонтаж</x:v>
      </x:c>
      <x:c r="E529" s="14" t="str">
        <x:v>Pilot now</x:v>
      </x:c>
      <x:c r="F529" s="14" t="str">
        <x:v>I3</x:v>
      </x:c>
      <x:c r="G529" s="14" t="n">
        <x:v>52</x:v>
      </x:c>
      <x:c r="H529" s="14" t="n">
        <x:v>1</x:v>
      </x:c>
      <x:c r="I529" s="14" t="n">
        <x:v>1</x:v>
      </x:c>
      <x:c r="J529" s="18" t="n">
        <x:v>43526.4</x:v>
      </x:c>
      <x:c r="K529" s="19" t="n">
        <x:v>46247.231268020834</x:v>
      </x:c>
      <x:c r="L529" s="19" t="n">
        <x:v>46265.2325462963</x:v>
      </x:c>
      <x:c r="M529"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x:v>
      </x:c>
      <x:c r="N529" s="15" t="str">
        <x:v>https://prozorro.gov.ua/tender/UA-2026-08-13-000311-a</x:v>
      </x:c>
    </x:row>
    <x:row r="530">
      <x:c r="A530" s="14" t="n">
        <x:v>526</x:v>
      </x:c>
      <x:c r="B530" s="14" t="str">
        <x:v>ПРИВАТНА ФІРМА КОМПАНІЯ «НЕО»</x:v>
      </x:c>
      <x:c r="C530" s="14" t="str">
        <x:v>31232303</x:v>
      </x:c>
      <x:c r="D530" s="14" t="str">
        <x:v>Електромонтаж</x:v>
      </x:c>
      <x:c r="E530" s="14" t="str">
        <x:v>Pilot now</x:v>
      </x:c>
      <x:c r="F530" s="14" t="str">
        <x:v>I3</x:v>
      </x:c>
      <x:c r="G530" s="14" t="n">
        <x:v>52</x:v>
      </x:c>
      <x:c r="H530" s="14" t="n">
        <x:v>1</x:v>
      </x:c>
      <x:c r="I530" s="14" t="n">
        <x:v>1</x:v>
      </x:c>
      <x:c r="J530" s="18" t="n">
        <x:v>29126</x:v>
      </x:c>
      <x:c r="K530" s="19" t="n">
        <x:v>46255.32717296296</x:v>
      </x:c>
      <x:c r="L530" s="19" t="n">
        <x:v>46387.916655092595</x:v>
      </x:c>
      <x:c r="M530" s="15" t="str">
        <x:v>Електромонтажні роботи (монтаж кондиціонера)</x:v>
      </x:c>
      <x:c r="N530" s="15" t="str">
        <x:v>https://prozorro.gov.ua/tender/UA-2026-08-21-003061-a</x:v>
      </x:c>
    </x:row>
    <x:row r="531">
      <x:c r="A531" s="14" t="n">
        <x:v>527</x:v>
      </x:c>
      <x:c r="B531" s="14" t="str">
        <x:v>ПРИВАТНЕ БУДІВЕЛЬНЕ ПІДПРИЄМСТВО "ЕНЕРГОСТАЛЬ"</x:v>
      </x:c>
      <x:c r="C531" s="14" t="str">
        <x:v>31275441</x:v>
      </x:c>
      <x:c r="D531" s="14" t="str">
        <x:v>Металоконструкції</x:v>
      </x:c>
      <x:c r="E531" s="14" t="str">
        <x:v>Expansion discovery</x:v>
      </x:c>
      <x:c r="F531" s="14" t="str">
        <x:v>I3</x:v>
      </x:c>
      <x:c r="G531" s="14" t="n">
        <x:v>52</x:v>
      </x:c>
      <x:c r="H531" s="14" t="n">
        <x:v>1</x:v>
      </x:c>
      <x:c r="I531" s="14" t="n">
        <x:v>1</x:v>
      </x:c>
      <x:c r="J531" s="18" t="n">
        <x:v>29472</x:v>
      </x:c>
      <x:c r="K531" s="19" t="n">
        <x:v>46217.32753390046</x:v>
      </x:c>
      <x:c r="L531" s="19" t="n">
        <x:v>46387</x:v>
      </x:c>
      <x:c r="M531" s="15" t="str">
        <x:v>Послуги з монтажу металоконструкції на території Михайло-Коцюбинського ЗДО "Пролісок" (ДК 021:2015 45220000-9 Інженерні та будівельні роботи)</x:v>
      </x:c>
      <x:c r="N531" s="15" t="str">
        <x:v>https://prozorro.gov.ua/tender/UA-2026-07-14-002767-a</x:v>
      </x:c>
    </x:row>
    <x:row r="532">
      <x:c r="A532" s="14" t="n">
        <x:v>528</x:v>
      </x:c>
      <x:c r="B532" s="14" t="str">
        <x:v>ПРИВАТНЕ ВИРОБНИЧО-ПОБУТОВЕ МАЛЕ ПІДПРИЄМСТВО "ЗАГРАВА"</x:v>
      </x:c>
      <x:c r="C532" s="14" t="str">
        <x:v>22415246</x:v>
      </x:c>
      <x:c r="D532" s="14" t="str">
        <x:v>Пасивний вогнезахист</x:v>
      </x:c>
      <x:c r="E532" s="14" t="str">
        <x:v>Expansion discovery</x:v>
      </x:c>
      <x:c r="F532" s="14" t="str">
        <x:v>I3</x:v>
      </x:c>
      <x:c r="G532" s="14" t="n">
        <x:v>52</x:v>
      </x:c>
      <x:c r="H532" s="14" t="n">
        <x:v>1</x:v>
      </x:c>
      <x:c r="I532" s="14" t="n">
        <x:v>1</x:v>
      </x:c>
      <x:c r="J532" s="18" t="n">
        <x:v>92478</x:v>
      </x:c>
      <x:c r="K532" s="19" t="n">
        <x:v>46253.40298442129</x:v>
      </x:c>
      <x:c r="L532" s="19" t="n">
        <x:v>46387</x:v>
      </x:c>
      <x:c r="M532" s="15" t="str">
        <x:v>Вогнезахисна обробка дерев'яних конструкцій (77220000-8 Послуги з просочування деревини)</x:v>
      </x:c>
      <x:c r="N532" s="15" t="str">
        <x:v>https://prozorro.gov.ua/tender/UA-2026-08-19-005688-a</x:v>
      </x:c>
    </x:row>
    <x:row r="533">
      <x:c r="A533" s="14" t="n">
        <x:v>529</x:v>
      </x:c>
      <x:c r="B533" s="14" t="str">
        <x:v>Приватне підприємство "Агентство Консалт"</x:v>
      </x:c>
      <x:c r="C533" s="14" t="str">
        <x:v>42470109</x:v>
      </x:c>
      <x:c r="D533" s="14" t="str">
        <x:v>Зовнішнє освітлення</x:v>
      </x:c>
      <x:c r="E533" s="14" t="str">
        <x:v>Pilot now</x:v>
      </x:c>
      <x:c r="F533" s="14" t="str">
        <x:v>I3</x:v>
      </x:c>
      <x:c r="G533" s="14" t="n">
        <x:v>52</x:v>
      </x:c>
      <x:c r="H533" s="14" t="n">
        <x:v>1</x:v>
      </x:c>
      <x:c r="I533" s="14" t="n">
        <x:v>1</x:v>
      </x:c>
      <x:c r="J533" s="18" t="n">
        <x:v>3723</x:v>
      </x:c>
      <x:c r="K533" s="19" t="n">
        <x:v>46232.57761734954</x:v>
      </x:c>
      <x:c r="L533" s="19" t="n">
        <x:v>46387</x:v>
      </x:c>
      <x:c r="M533"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x:v>
      </x:c>
      <x:c r="N533" s="15" t="str">
        <x:v>https://prozorro.gov.ua/tender/UA-2026-07-29-010307-a</x:v>
      </x:c>
    </x:row>
    <x:row r="534">
      <x:c r="A534" s="14" t="n">
        <x:v>530</x:v>
      </x:c>
      <x:c r="B534" s="14" t="str">
        <x:v>ПРИВАТНЕ ПІДПРИЄМСТВО "ВІНАСТЕРІСК"</x:v>
      </x:c>
      <x:c r="C534" s="14" t="str">
        <x:v>35542326</x:v>
      </x:c>
      <x:c r="D534" s="14" t="str">
        <x:v>Електромонтаж</x:v>
      </x:c>
      <x:c r="E534" s="14" t="str">
        <x:v>Pilot now</x:v>
      </x:c>
      <x:c r="F534" s="14" t="str">
        <x:v>I3</x:v>
      </x:c>
      <x:c r="G534" s="14" t="n">
        <x:v>52</x:v>
      </x:c>
      <x:c r="H534" s="14" t="n">
        <x:v>1</x:v>
      </x:c>
      <x:c r="I534" s="14" t="n">
        <x:v>1</x:v>
      </x:c>
      <x:c r="J534" s="18" t="n">
        <x:v>97500</x:v>
      </x:c>
      <x:c r="K534" s="19" t="n">
        <x:v>46227.429720127315</x:v>
      </x:c>
      <x:c r="L534" s="19" t="n">
        <x:v>46265</x:v>
      </x:c>
      <x:c r="M534" s="15" t="str">
        <x:v>електромонтажні роботи</x:v>
      </x:c>
      <x:c r="N534" s="15" t="str">
        <x:v>https://prozorro.gov.ua/tender/UA-2026-07-24-005773-a</x:v>
      </x:c>
    </x:row>
    <x:row r="535">
      <x:c r="A535" s="14" t="n">
        <x:v>531</x:v>
      </x:c>
      <x:c r="B535" s="14" t="str">
        <x:v>ПРИВАТНЕ ПІДПРИЄМСТВО "ГРАНТ"</x:v>
      </x:c>
      <x:c r="C535" s="14" t="str">
        <x:v>31854396</x:v>
      </x:c>
      <x:c r="D535" s="14" t="str">
        <x:v>Безпека / СКУД / CCTV</x:v>
      </x:c>
      <x:c r="E535" s="14" t="str">
        <x:v>Expansion discovery</x:v>
      </x:c>
      <x:c r="F535" s="14" t="str">
        <x:v>I3</x:v>
      </x:c>
      <x:c r="G535" s="14" t="n">
        <x:v>52</x:v>
      </x:c>
      <x:c r="H535" s="14" t="n">
        <x:v>1</x:v>
      </x:c>
      <x:c r="I535" s="14" t="n">
        <x:v>1</x:v>
      </x:c>
      <x:c r="J535" s="18" t="n">
        <x:v>41364</x:v>
      </x:c>
      <x:c r="K535" s="19" t="n">
        <x:v>46253.333494467595</x:v>
      </x:c>
      <x:c r="L535" s="19" t="n">
        <x:v>46258</x:v>
      </x:c>
      <x:c r="M535" s="15" t="str">
        <x:v>Монтаж та встановлення системи відеоспостереження</x:v>
      </x:c>
      <x:c r="N535" s="15" t="str">
        <x:v>https://prozorro.gov.ua/tender/UA-2026-08-19-003036-a</x:v>
      </x:c>
    </x:row>
    <x:row r="536">
      <x:c r="A536" s="14" t="n">
        <x:v>532</x:v>
      </x:c>
      <x:c r="B536" s="14" t="str">
        <x:v>ПРИВАТНЕ ПІДПРИЄМСТВО "ЛЕКС СТАТУС"</x:v>
      </x:c>
      <x:c r="C536" s="14" t="str">
        <x:v>42959545</x:v>
      </x:c>
      <x:c r="D536" s="14" t="str">
        <x:v>Зовнішні мережі</x:v>
      </x:c>
      <x:c r="E536" s="14" t="str">
        <x:v>Expansion discovery</x:v>
      </x:c>
      <x:c r="F536" s="14" t="str">
        <x:v>I3</x:v>
      </x:c>
      <x:c r="G536" s="14" t="n">
        <x:v>52</x:v>
      </x:c>
      <x:c r="H536" s="14" t="n">
        <x:v>1</x:v>
      </x:c>
      <x:c r="I536" s="14" t="n">
        <x:v>1</x:v>
      </x:c>
      <x:c r="J536" s="18" t="n">
        <x:v>95019</x:v>
      </x:c>
      <x:c r="K536" s="19" t="n">
        <x:v>46240.31078318287</x:v>
      </x:c>
      <x:c r="L536" s="19" t="n">
        <x:v>46387</x:v>
      </x:c>
      <x:c r="M536" s="15" t="str">
        <x:v>Виготовлення технічних паспортів по об'єктам: "Будівництво нової лінії напірного каналізаційного колектора від ГКНС (вул. Івана Гонти, 16) до КОС-1 — КОС-2 у місті Житомир. 1 черга (коригування)"; "Будівництво водопровідної мережі від пр. Миру в м. Житомирі до смт. Лісове. Коригування"</x:v>
      </x:c>
      <x:c r="N536" s="15" t="str">
        <x:v>https://prozorro.gov.ua/tender/UA-2026-08-06-000196-a</x:v>
      </x:c>
    </x:row>
    <x:row r="537">
      <x:c r="A537" s="14" t="n">
        <x:v>533</x:v>
      </x:c>
      <x:c r="B537" s="14" t="str">
        <x:v>Пупинін Руслан Валентинович</x:v>
      </x:c>
      <x:c r="C537" s="14" t="str">
        <x:v>2511121975</x:v>
      </x:c>
      <x:c r="D537" s="14" t="str">
        <x:v>Електромонтаж</x:v>
      </x:c>
      <x:c r="E537" s="14" t="str">
        <x:v>Pilot now</x:v>
      </x:c>
      <x:c r="F537" s="14" t="str">
        <x:v>I3</x:v>
      </x:c>
      <x:c r="G537" s="14" t="n">
        <x:v>52</x:v>
      </x:c>
      <x:c r="H537" s="14" t="n">
        <x:v>1</x:v>
      </x:c>
      <x:c r="I537" s="14" t="n">
        <x:v>1</x:v>
      </x:c>
      <x:c r="J537" s="18" t="n">
        <x:v>84450</x:v>
      </x:c>
      <x:c r="K537" s="19" t="n">
        <x:v>46226.489712256945</x:v>
      </x:c>
      <x:c r="L537" s="19" t="n">
        <x:v>46324</x:v>
      </x:c>
      <x:c r="M537" s="15" t="str">
        <x:v>45310000-3 - Електромонтажні роботи
</x:v>
      </x:c>
      <x:c r="N537" s="15" t="str">
        <x:v>https://prozorro.gov.ua/tender/UA-2026-07-23-007865-a</x:v>
      </x:c>
    </x:row>
    <x:row r="538">
      <x:c r="A538" s="14" t="n">
        <x:v>534</x:v>
      </x:c>
      <x:c r="B538" s="14" t="str">
        <x:v>Рівненська філія Державного підприємства Український державний науково-дослідний інститут проектування міст "ДІПРОМІСТО" імені Ю.М.Білоконя</x:v>
      </x:c>
      <x:c r="C538" s="14" t="str">
        <x:v>02498085</x:v>
      </x:c>
      <x:c r="D538" s="14" t="str">
        <x:v>Мости / інфраструктура</x:v>
      </x:c>
      <x:c r="E538" s="14" t="str">
        <x:v>Expansion discovery</x:v>
      </x:c>
      <x:c r="F538" s="14" t="str">
        <x:v>I3</x:v>
      </x:c>
      <x:c r="G538" s="14" t="n">
        <x:v>52</x:v>
      </x:c>
      <x:c r="H538" s="14" t="n">
        <x:v>1</x:v>
      </x:c>
      <x:c r="I538" s="14" t="n">
        <x:v>1</x:v>
      </x:c>
      <x:c r="J538" s="18" t="n">
        <x:v>8280</x:v>
      </x:c>
      <x:c r="K538" s="19" t="n">
        <x:v>46255.358828206015</x:v>
      </x:c>
      <x:c r="L538" s="19" t="n">
        <x:v>46752</x:v>
      </x:c>
      <x:c r="M538" s="15" t="str">
        <x:v>Авторський нагляд по об’єкту: «Капітальний ремонт пішохідного мосту через річку Устя в районі стадіону «Авангард» у місті Рівному»</x:v>
      </x:c>
      <x:c r="N538" s="15" t="str">
        <x:v>https://prozorro.gov.ua/tender/UA-2026-08-21-004480-a</x:v>
      </x:c>
    </x:row>
    <x:row r="539">
      <x:c r="A539" s="14" t="n">
        <x:v>535</x:v>
      </x:c>
      <x:c r="B539" s="14" t="str">
        <x:v>СОЛОВЙОВ КОСТЯНТИН ІВАНОВИЧ</x:v>
      </x:c>
      <x:c r="C539" s="14" t="str">
        <x:v>2587309335</x:v>
      </x:c>
      <x:c r="D539" s="14" t="str">
        <x:v>Електромонтаж</x:v>
      </x:c>
      <x:c r="E539" s="14" t="str">
        <x:v>Pilot now</x:v>
      </x:c>
      <x:c r="F539" s="14" t="str">
        <x:v>I3</x:v>
      </x:c>
      <x:c r="G539" s="14" t="n">
        <x:v>52</x:v>
      </x:c>
      <x:c r="H539" s="14" t="n">
        <x:v>1</x:v>
      </x:c>
      <x:c r="I539" s="14" t="n">
        <x:v>1</x:v>
      </x:c>
      <x:c r="J539" s="18" t="n">
        <x:v>5170</x:v>
      </x:c>
      <x:c r="K539" s="19" t="n">
        <x:v>46238.50361935185</x:v>
      </x:c>
      <x:c r="L539" s="19" t="n">
        <x:v>46387</x:v>
      </x:c>
      <x:c r="M539" s="15" t="str">
        <x:v>45310000 - 3 «Електромонтажні роботи»</x:v>
      </x:c>
      <x:c r="N539" s="15" t="str">
        <x:v>https://prozorro.gov.ua/tender/UA-2026-08-04-008648-a</x:v>
      </x:c>
    </x:row>
    <x:row r="540">
      <x:c r="A540" s="14" t="n">
        <x:v>536</x:v>
      </x:c>
      <x:c r="B540" s="14" t="str">
        <x:v>СТРУКТУРНА ОДИНИЦЯ "ГАЙСИНСЬКІ ЕЛЕКТРИЧНІ МЕРЕЖІ" АКЦІОНЕРНОГО ТОВАРИСТВА "ВІННИЦЯОБЛЕНЕРГО"</x:v>
      </x:c>
      <x:c r="C540" s="14" t="str">
        <x:v>25509897</x:v>
      </x:c>
      <x:c r="D540" s="14" t="str">
        <x:v>Електромонтаж</x:v>
      </x:c>
      <x:c r="E540" s="14" t="str">
        <x:v>Pilot now</x:v>
      </x:c>
      <x:c r="F540" s="14" t="str">
        <x:v>I3</x:v>
      </x:c>
      <x:c r="G540" s="14" t="n">
        <x:v>52</x:v>
      </x:c>
      <x:c r="H540" s="14" t="n">
        <x:v>1</x:v>
      </x:c>
      <x:c r="I540" s="14" t="n">
        <x:v>1</x:v>
      </x:c>
      <x:c r="J540" s="18" t="n">
        <x:v>7105.45</x:v>
      </x:c>
      <x:c r="K540" s="19" t="n">
        <x:v>46216.53856612268</x:v>
      </x:c>
      <x:c r="L540" s="19" t="n">
        <x:v>46387</x:v>
      </x:c>
      <x:c r="M540" s="15" t="str">
        <x:v>Електромонтажні роботи</x:v>
      </x:c>
      <x:c r="N540" s="15" t="str">
        <x:v>https://prozorro.gov.ua/tender/UA-2026-07-13-009244-a</x:v>
      </x:c>
    </x:row>
    <x:row r="541">
      <x:c r="A541" s="14" t="n">
        <x:v>537</x:v>
      </x:c>
      <x:c r="B541" s="14" t="str">
        <x:v>ТзОВ "Будресурс ІГ"</x:v>
      </x:c>
      <x:c r="C541" s="14" t="str">
        <x:v>35562693</x:v>
      </x:c>
      <x:c r="D541" s="14" t="str">
        <x:v>Електромонтаж</x:v>
      </x:c>
      <x:c r="E541" s="14" t="str">
        <x:v>Pilot now</x:v>
      </x:c>
      <x:c r="F541" s="14" t="str">
        <x:v>I3</x:v>
      </x:c>
      <x:c r="G541" s="14" t="n">
        <x:v>52</x:v>
      </x:c>
      <x:c r="H541" s="14" t="n">
        <x:v>1</x:v>
      </x:c>
      <x:c r="I541" s="14" t="n">
        <x:v>1</x:v>
      </x:c>
      <x:c r="J541" s="18" t="n">
        <x:v>27469.23</x:v>
      </x:c>
      <x:c r="K541" s="19" t="n">
        <x:v>46220.44082846065</x:v>
      </x:c>
      <x:c r="L541" s="19" t="n">
        <x:v>46387.48459490741</x:v>
      </x:c>
      <x:c r="M541" s="15" t="str">
        <x:v>Електромонтажні роботи</x:v>
      </x:c>
      <x:c r="N541" s="15" t="str">
        <x:v>https://prozorro.gov.ua/tender/UA-2026-07-17-006071-a</x:v>
      </x:c>
    </x:row>
    <x:row r="542">
      <x:c r="A542" s="14" t="n">
        <x:v>538</x:v>
      </x:c>
      <x:c r="B542" s="14" t="str">
        <x:v>ТОВ "АМіЛа"</x:v>
      </x:c>
      <x:c r="C542" s="14" t="str">
        <x:v>25090493</x:v>
      </x:c>
      <x:c r="D542" s="14" t="str">
        <x:v>Газопостачання / котельні</x:v>
      </x:c>
      <x:c r="E542" s="14" t="str">
        <x:v>Expansion discovery</x:v>
      </x:c>
      <x:c r="F542" s="14" t="str">
        <x:v>I3</x:v>
      </x:c>
      <x:c r="G542" s="14" t="n">
        <x:v>52</x:v>
      </x:c>
      <x:c r="H542" s="14" t="n">
        <x:v>1</x:v>
      </x:c>
      <x:c r="I542" s="14" t="n">
        <x:v>1</x:v>
      </x:c>
      <x:c r="J542" s="18" t="n">
        <x:v>63270</x:v>
      </x:c>
      <x:c r="K542" s="19" t="n">
        <x:v>46254.269428611115</x:v>
      </x:c>
      <x:c r="L542" s="19" t="n">
        <x:v>46387</x:v>
      </x:c>
      <x:c r="M542"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x:v>
      </x:c>
      <x:c r="N542" s="15" t="str">
        <x:v>https://prozorro.gov.ua/tender/UA-2026-08-20-000929-a</x:v>
      </x:c>
    </x:row>
    <x:row r="543">
      <x:c r="A543" s="14" t="n">
        <x:v>539</x:v>
      </x:c>
      <x:c r="B543" s="14" t="str">
        <x:v>ТОВ "БРІКСТОУН"</x:v>
      </x:c>
      <x:c r="C543" s="14" t="str">
        <x:v>44263744</x:v>
      </x:c>
      <x:c r="D543" s="14" t="str">
        <x:v>Безпека / СКУД / CCTV</x:v>
      </x:c>
      <x:c r="E543" s="14" t="str">
        <x:v>Expansion discovery</x:v>
      </x:c>
      <x:c r="F543" s="14" t="str">
        <x:v>I3</x:v>
      </x:c>
      <x:c r="G543" s="14" t="n">
        <x:v>52</x:v>
      </x:c>
      <x:c r="H543" s="14" t="n">
        <x:v>1</x:v>
      </x:c>
      <x:c r="I543" s="14" t="n">
        <x:v>1</x:v>
      </x:c>
      <x:c r="J543" s="18" t="n">
        <x:v>19830</x:v>
      </x:c>
      <x:c r="K543" s="19" t="n">
        <x:v>46217.371219733795</x:v>
      </x:c>
      <x:c r="L543" s="19" t="n">
        <x:v>46387</x:v>
      </x:c>
      <x:c r="M543" s="15" t="str">
        <x:v>Монтаж системи відеоспостереження (з матеріалів замовника)</x:v>
      </x:c>
      <x:c r="N543" s="15" t="str">
        <x:v>https://prozorro.gov.ua/tender/UA-2026-07-14-004448-a</x:v>
      </x:c>
    </x:row>
    <x:row r="544">
      <x:c r="A544" s="14" t="n">
        <x:v>540</x:v>
      </x:c>
      <x:c r="B544" s="14" t="str">
        <x:v>ТОВ "Ж.Б.КОНСТРАКШН"</x:v>
      </x:c>
      <x:c r="C544" s="14" t="str">
        <x:v>45596315</x:v>
      </x:c>
      <x:c r="D544" s="14" t="str">
        <x:v>Електромонтаж</x:v>
      </x:c>
      <x:c r="E544" s="14" t="str">
        <x:v>Pilot now</x:v>
      </x:c>
      <x:c r="F544" s="14" t="str">
        <x:v>I3</x:v>
      </x:c>
      <x:c r="G544" s="14" t="n">
        <x:v>52</x:v>
      </x:c>
      <x:c r="H544" s="14" t="n">
        <x:v>1</x:v>
      </x:c>
      <x:c r="I544" s="14" t="n">
        <x:v>1</x:v>
      </x:c>
      <x:c r="J544" s="18" t="n">
        <x:v>68040</x:v>
      </x:c>
      <x:c r="K544" s="19" t="n">
        <x:v>46241.298255960646</x:v>
      </x:c>
      <x:c r="L544" s="19" t="n">
        <x:v>46387</x:v>
      </x:c>
      <x:c r="M544" s="15" t="str">
        <x:v>електромонтажні роботи с. Бабинці, вул. Незламності ,70 А</x:v>
      </x:c>
      <x:c r="N544" s="15" t="str">
        <x:v>https://prozorro.gov.ua/tender/UA-2026-08-07-001705-a</x:v>
      </x:c>
    </x:row>
    <x:row r="545">
      <x:c r="A545" s="14" t="n">
        <x:v>541</x:v>
      </x:c>
      <x:c r="B545" s="14" t="str">
        <x:v>ТОВ "ІНФОНЕТ ТЕЛЕКОМ"</x:v>
      </x:c>
      <x:c r="C545" s="14" t="str">
        <x:v>39329860</x:v>
      </x:c>
      <x:c r="D545" s="14" t="str">
        <x:v>Безпека / СКУД / CCTV</x:v>
      </x:c>
      <x:c r="E545" s="14" t="str">
        <x:v>Expansion discovery</x:v>
      </x:c>
      <x:c r="F545" s="14" t="str">
        <x:v>I3</x:v>
      </x:c>
      <x:c r="G545" s="14" t="n">
        <x:v>52</x:v>
      </x:c>
      <x:c r="H545" s="14" t="n">
        <x:v>1</x:v>
      </x:c>
      <x:c r="I545" s="14" t="n">
        <x:v>1</x:v>
      </x:c>
      <x:c r="J545" s="18" t="n">
        <x:v>99200</x:v>
      </x:c>
      <x:c r="K545" s="19" t="n">
        <x:v>46245.57245854167</x:v>
      </x:c>
      <x:c r="L545" s="19" t="n">
        <x:v>46259.57413194444</x:v>
      </x:c>
      <x:c r="M545" s="15" t="str">
        <x:v>Монтаж та встановлення системи відеоспостереження з матеріалів замовника</x:v>
      </x:c>
      <x:c r="N545" s="15" t="str">
        <x:v>https://prozorro.gov.ua/tender/UA-2026-08-11-011701-a</x:v>
      </x:c>
    </x:row>
    <x:row r="546">
      <x:c r="A546" s="14" t="n">
        <x:v>542</x:v>
      </x:c>
      <x:c r="B546" s="14" t="str">
        <x:v>ТОВ "КОМП'ЮТЕРИ ТА КОМУНІКАЦІЇ"</x:v>
      </x:c>
      <x:c r="C546" s="14" t="str">
        <x:v>38514333</x:v>
      </x:c>
      <x:c r="D546" s="14" t="str">
        <x:v>Резервне живлення</x:v>
      </x:c>
      <x:c r="E546" s="14" t="str">
        <x:v>Pilot now</x:v>
      </x:c>
      <x:c r="F546" s="14" t="str">
        <x:v>I3</x:v>
      </x:c>
      <x:c r="G546" s="14" t="n">
        <x:v>52</x:v>
      </x:c>
      <x:c r="H546" s="14" t="n">
        <x:v>1</x:v>
      </x:c>
      <x:c r="I546" s="14" t="n">
        <x:v>1</x:v>
      </x:c>
      <x:c r="J546" s="18" t="n">
        <x:v>24083</x:v>
      </x:c>
      <x:c r="K546" s="19" t="n">
        <x:v>46217.44950539352</x:v>
      </x:c>
      <x:c r="L546" s="19" t="n">
        <x:v>46265</x:v>
      </x:c>
      <x:c r="M546" s="15" t="str">
        <x:v>Послуги з монтажу та підключення джерел безперебійного живлення</x:v>
      </x:c>
      <x:c r="N546" s="15" t="str">
        <x:v>https://prozorro.gov.ua/tender/UA-2026-07-02-009440-a</x:v>
      </x:c>
    </x:row>
    <x:row r="547">
      <x:c r="A547" s="14" t="n">
        <x:v>543</x:v>
      </x:c>
      <x:c r="B547" s="14" t="str">
        <x:v>ТОВ "КСК ІНЖИНІРИНГ"</x:v>
      </x:c>
      <x:c r="C547" s="14" t="str">
        <x:v>43984787</x:v>
      </x:c>
      <x:c r="D547" s="14" t="str">
        <x:v>Електромонтаж</x:v>
      </x:c>
      <x:c r="E547" s="14" t="str">
        <x:v>Pilot now</x:v>
      </x:c>
      <x:c r="F547" s="14" t="str">
        <x:v>I3</x:v>
      </x:c>
      <x:c r="G547" s="14" t="n">
        <x:v>52</x:v>
      </x:c>
      <x:c r="H547" s="14" t="n">
        <x:v>1</x:v>
      </x:c>
      <x:c r="I547" s="14" t="n">
        <x:v>1</x:v>
      </x:c>
      <x:c r="J547" s="18" t="n">
        <x:v>9185</x:v>
      </x:c>
      <x:c r="K547" s="19" t="n">
        <x:v>46225.40387611111</x:v>
      </x:c>
      <x:c r="L547" s="19" t="n">
        <x:v>46387.447118055556</x:v>
      </x:c>
      <x:c r="M547" s="15" t="str">
        <x:v>Електромонтажні роботи</x:v>
      </x:c>
      <x:c r="N547" s="15" t="str">
        <x:v>https://prozorro.gov.ua/tender/UA-2026-07-22-004999-a</x:v>
      </x:c>
    </x:row>
    <x:row r="548">
      <x:c r="A548" s="14" t="n">
        <x:v>544</x:v>
      </x:c>
      <x:c r="B548" s="14" t="str">
        <x:v>ТОВ "телерадіокомпанія "ГОК"</x:v>
      </x:c>
      <x:c r="C548" s="14" t="str">
        <x:v>24564256</x:v>
      </x:c>
      <x:c r="D548" s="14" t="str">
        <x:v>Безпека / СКУД / CCTV</x:v>
      </x:c>
      <x:c r="E548" s="14" t="str">
        <x:v>Expansion discovery</x:v>
      </x:c>
      <x:c r="F548" s="14" t="str">
        <x:v>I3</x:v>
      </x:c>
      <x:c r="G548" s="14" t="n">
        <x:v>52</x:v>
      </x:c>
      <x:c r="H548" s="14" t="n">
        <x:v>1</x:v>
      </x:c>
      <x:c r="I548" s="14" t="n">
        <x:v>1</x:v>
      </x:c>
      <x:c r="J548" s="18" t="n">
        <x:v>79194.23</x:v>
      </x:c>
      <x:c r="K548" s="19" t="n">
        <x:v>46258.52711094907</x:v>
      </x:c>
      <x:c r="L548" s="19" t="n">
        <x:v>46387.570439814815</x:v>
      </x:c>
      <x:c r="M548" s="15" t="str">
        <x:v>Послуги  з монтажу, установки системи відеоспостереження</x:v>
      </x:c>
      <x:c r="N548" s="15" t="str">
        <x:v>https://prozorro.gov.ua/tender/UA-2026-08-24-008102-a</x:v>
      </x:c>
    </x:row>
    <x:row r="549">
      <x:c r="A549" s="14" t="n">
        <x:v>545</x:v>
      </x:c>
      <x:c r="B549" s="14" t="str">
        <x:v>ТОВ "УКРНОЛА</x:v>
      </x:c>
      <x:c r="C549" s="14" t="str">
        <x:v>39038953</x:v>
      </x:c>
      <x:c r="D549" s="14" t="str">
        <x:v>Електромонтаж</x:v>
      </x:c>
      <x:c r="E549" s="14" t="str">
        <x:v>Pilot now</x:v>
      </x:c>
      <x:c r="F549" s="14" t="str">
        <x:v>I3</x:v>
      </x:c>
      <x:c r="G549" s="14" t="n">
        <x:v>52</x:v>
      </x:c>
      <x:c r="H549" s="14" t="n">
        <x:v>2</x:v>
      </x:c>
      <x:c r="I549" s="14" t="n">
        <x:v>1</x:v>
      </x:c>
      <x:c r="J549" s="18" t="n">
        <x:v>58210.979999999996</x:v>
      </x:c>
      <x:c r="K549" s="19" t="n">
        <x:v>46211.315548391205</x:v>
      </x:c>
      <x:c r="L549" s="19" t="n">
        <x:v>46234</x:v>
      </x:c>
      <x:c r="M549" s="15" t="str">
        <x:v>Електромонтажні роботи</x:v>
      </x:c>
      <x:c r="N549" s="15" t="str">
        <x:v>https://prozorro.gov.ua/tender/UA-2026-07-08-002306-a</x:v>
      </x:c>
    </x:row>
    <x:row r="550">
      <x:c r="A550" s="14" t="n">
        <x:v>546</x:v>
      </x:c>
      <x:c r="B550" s="14" t="str">
        <x:v>Товариство з бмеженою відповідальністю  "ГАРАНТ-ПРОЕКТ"</x:v>
      </x:c>
      <x:c r="C550" s="14" t="str">
        <x:v>40371313</x:v>
      </x:c>
      <x:c r="D550" s="14" t="str">
        <x:v>Водоочищення / очисні споруди</x:v>
      </x:c>
      <x:c r="E550" s="14" t="str">
        <x:v>Expansion discovery</x:v>
      </x:c>
      <x:c r="F550" s="14" t="str">
        <x:v>I3</x:v>
      </x:c>
      <x:c r="G550" s="14" t="n">
        <x:v>52</x:v>
      </x:c>
      <x:c r="H550" s="14" t="n">
        <x:v>1</x:v>
      </x:c>
      <x:c r="I550" s="14" t="n">
        <x:v>1</x:v>
      </x:c>
      <x:c r="J550" s="18" t="n">
        <x:v>17800</x:v>
      </x:c>
      <x:c r="K550" s="19" t="n">
        <x:v>46225.48594824074</x:v>
      </x:c>
      <x:c r="L550" s="19" t="n">
        <x:v>46387</x:v>
      </x:c>
      <x:c r="M550"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x:v>
      </x:c>
      <x:c r="N550" s="15" t="str">
        <x:v>https://prozorro.gov.ua/tender/UA-2026-07-22-007284-a</x:v>
      </x:c>
    </x:row>
    <x:row r="551">
      <x:c r="A551" s="14" t="n">
        <x:v>547</x:v>
      </x:c>
      <x:c r="B551" s="14" t="str">
        <x:v>ТОВАРИСТВО З ОБМЕЖЕНОЮ ВІДПОВІДАЛЬНІСТЮ " ДІВІКС"</x:v>
      </x:c>
      <x:c r="C551" s="14" t="str">
        <x:v>33463396</x:v>
      </x:c>
      <x:c r="D551" s="14" t="str">
        <x:v>Безпека / СКУД / CCTV</x:v>
      </x:c>
      <x:c r="E551" s="14" t="str">
        <x:v>Expansion discovery</x:v>
      </x:c>
      <x:c r="F551" s="14" t="str">
        <x:v>I3</x:v>
      </x:c>
      <x:c r="G551" s="14" t="n">
        <x:v>52</x:v>
      </x:c>
      <x:c r="H551" s="14" t="n">
        <x:v>1</x:v>
      </x:c>
      <x:c r="I551" s="14" t="n">
        <x:v>1</x:v>
      </x:c>
      <x:c r="J551" s="18" t="n">
        <x:v>25963.2</x:v>
      </x:c>
      <x:c r="K551" s="19" t="n">
        <x:v>46232.284131747685</x:v>
      </x:c>
      <x:c r="L551" s="19" t="n">
        <x:v>46387</x:v>
      </x:c>
      <x:c r="M551" s="15" t="str">
        <x:v>Послуги з монтажу та пусконалагоджені системи контролю та управління доступом</x:v>
      </x:c>
      <x:c r="N551" s="15" t="str">
        <x:v>https://prozorro.gov.ua/tender/UA-2026-07-29-001219-a</x:v>
      </x:c>
    </x:row>
    <x:row r="552">
      <x:c r="A552" s="14" t="n">
        <x:v>548</x:v>
      </x:c>
      <x:c r="B552" s="14" t="str">
        <x:v>ТОВАРИСТВО З ОБМЕЖЕНОЮ ВІДПОВІДАЛЬНІСТЮ "АКРО ІНЖИНІРИНГ"</x:v>
      </x:c>
      <x:c r="C552" s="14" t="str">
        <x:v>42590106</x:v>
      </x:c>
      <x:c r="D552" s="14" t="str">
        <x:v>Пожежогасіння</x:v>
      </x:c>
      <x:c r="E552" s="14" t="str">
        <x:v>Expansion discovery</x:v>
      </x:c>
      <x:c r="F552" s="14" t="str">
        <x:v>I3</x:v>
      </x:c>
      <x:c r="G552" s="14" t="n">
        <x:v>52</x:v>
      </x:c>
      <x:c r="H552" s="14" t="n">
        <x:v>1</x:v>
      </x:c>
      <x:c r="I552" s="14" t="n">
        <x:v>1</x:v>
      </x:c>
      <x:c r="J552" s="18" t="n">
        <x:v>12450</x:v>
      </x:c>
      <x:c r="K552" s="19" t="n">
        <x:v>46255.494910104164</x:v>
      </x:c>
      <x:c r="L552" s="19" t="n">
        <x:v>46290</x:v>
      </x:c>
      <x:c r="M552" s="15" t="str">
        <x:v>Послуги з виготовлення проектно – кошторисної документації монтажу системи пожежної сигналізації та керування евакуюванням будівлі №17/53</x:v>
      </x:c>
      <x:c r="N552" s="15" t="str">
        <x:v>https://prozorro.gov.ua/tender/UA-2026-08-12-005434-a</x:v>
      </x:c>
    </x:row>
    <x:row r="553">
      <x:c r="A553" s="14" t="n">
        <x:v>549</x:v>
      </x:c>
      <x:c r="B553" s="14" t="str">
        <x:v>ТОВАРИСТВО З ОБМЕЖЕНОЮ ВІДПОВІДАЛЬНІСТЮ "АЛЬТ-БУД"</x:v>
      </x:c>
      <x:c r="C553" s="14" t="str">
        <x:v>41163027</x:v>
      </x:c>
      <x:c r="D553" s="14" t="str">
        <x:v>Електромонтаж</x:v>
      </x:c>
      <x:c r="E553" s="14" t="str">
        <x:v>Pilot now</x:v>
      </x:c>
      <x:c r="F553" s="14" t="str">
        <x:v>I3</x:v>
      </x:c>
      <x:c r="G553" s="14" t="n">
        <x:v>52</x:v>
      </x:c>
      <x:c r="H553" s="14" t="n">
        <x:v>1</x:v>
      </x:c>
      <x:c r="I553" s="14" t="n">
        <x:v>1</x:v>
      </x:c>
      <x:c r="J553" s="18" t="n">
        <x:v>77914</x:v>
      </x:c>
      <x:c r="K553" s="19" t="n">
        <x:v>46245.38613431713</x:v>
      </x:c>
      <x:c r="L553" s="19" t="n">
        <x:v>46387</x:v>
      </x:c>
      <x:c r="M553" s="15" t="str">
        <x:v>Електромонтажні роботи (Заміна та встановлення електричних світильників)</x:v>
      </x:c>
      <x:c r="N553" s="15" t="str">
        <x:v>https://prozorro.gov.ua/tender/UA-2026-08-11-005184-a</x:v>
      </x:c>
    </x:row>
    <x:row r="554">
      <x:c r="A554" s="14" t="n">
        <x:v>550</x:v>
      </x:c>
      <x:c r="B554" s="14" t="str">
        <x:v>ТОВАРИСТВО З ОБМЕЖЕНОЮ ВІДПОВІДАЛЬНІСТЮ "АЛЬФОРГ"</x:v>
      </x:c>
      <x:c r="C554" s="14" t="str">
        <x:v>33675634</x:v>
      </x:c>
      <x:c r="D554" s="14" t="str">
        <x:v>Електромонтаж</x:v>
      </x:c>
      <x:c r="E554" s="14" t="str">
        <x:v>Pilot now</x:v>
      </x:c>
      <x:c r="F554" s="14" t="str">
        <x:v>I3</x:v>
      </x:c>
      <x:c r="G554" s="14" t="n">
        <x:v>52</x:v>
      </x:c>
      <x:c r="H554" s="14" t="n">
        <x:v>1</x:v>
      </x:c>
      <x:c r="I554" s="14" t="n">
        <x:v>1</x:v>
      </x:c>
      <x:c r="J554" s="18" t="n">
        <x:v>1560</x:v>
      </x:c>
      <x:c r="K554" s="19" t="n">
        <x:v>46246.53829916667</x:v>
      </x:c>
      <x:c r="L554" s="19" t="n">
        <x:v>46265</x:v>
      </x:c>
      <x:c r="M554" s="15" t="str">
        <x:v>ДК 021:2015 45310000-3 Електромонтажні роботи</x:v>
      </x:c>
      <x:c r="N554" s="15" t="str">
        <x:v>https://prozorro.gov.ua/tender/UA-2026-08-12-009871-a</x:v>
      </x:c>
    </x:row>
    <x:row r="555">
      <x:c r="A555" s="14" t="n">
        <x:v>551</x:v>
      </x:c>
      <x:c r="B555" s="14" t="str">
        <x:v>ТОВАРИСТВО З ОБМЕЖЕНОЮ ВІДПОВІДАЛЬНІСТЮ "АРХБІТР"</x:v>
      </x:c>
      <x:c r="C555" s="14" t="str">
        <x:v>46058837</x:v>
      </x:c>
      <x:c r="D555" s="14" t="str">
        <x:v>Водоочищення / очисні споруди</x:v>
      </x:c>
      <x:c r="E555" s="14" t="str">
        <x:v>Expansion discovery</x:v>
      </x:c>
      <x:c r="F555" s="14" t="str">
        <x:v>I3</x:v>
      </x:c>
      <x:c r="G555" s="14" t="n">
        <x:v>52</x:v>
      </x:c>
      <x:c r="H555" s="14" t="n">
        <x:v>1</x:v>
      </x:c>
      <x:c r="I555" s="14" t="n">
        <x:v>1</x:v>
      </x:c>
      <x:c r="J555" s="18" t="n">
        <x:v>9000</x:v>
      </x:c>
      <x:c r="K555" s="19" t="n">
        <x:v>46252.30834361111</x:v>
      </x:c>
      <x:c r="L555" s="19" t="n">
        <x:v>46387</x:v>
      </x:c>
      <x:c r="M555"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x:v>
      </x:c>
      <x:c r="N555" s="15" t="str">
        <x:v>https://prozorro.gov.ua/tender/UA-2026-08-18-002041-a</x:v>
      </x:c>
    </x:row>
    <x:row r="556">
      <x:c r="A556" s="14" t="n">
        <x:v>552</x:v>
      </x:c>
      <x:c r="B556" s="14" t="str">
        <x:v>ТОВАРИСТВО З ОБМЕЖЕНОЮ ВІДПОВІДАЛЬНІСТЮ "БАРС ГРУП"</x:v>
      </x:c>
      <x:c r="C556" s="14" t="str">
        <x:v>38606502</x:v>
      </x:c>
      <x:c r="D556" s="14" t="str">
        <x:v>Пасивний вогнезахист</x:v>
      </x:c>
      <x:c r="E556" s="14" t="str">
        <x:v>Expansion discovery</x:v>
      </x:c>
      <x:c r="F556" s="14" t="str">
        <x:v>I3</x:v>
      </x:c>
      <x:c r="G556" s="14" t="n">
        <x:v>52</x:v>
      </x:c>
      <x:c r="H556" s="14" t="n">
        <x:v>1</x:v>
      </x:c>
      <x:c r="I556" s="14" t="n">
        <x:v>1</x:v>
      </x:c>
      <x:c r="J556" s="18" t="n">
        <x:v>15608.4</x:v>
      </x:c>
      <x:c r="K556" s="19" t="n">
        <x:v>46246.46270398148</x:v>
      </x:c>
      <x:c r="L556" s="19" t="n">
        <x:v>46387</x:v>
      </x:c>
      <x:c r="M556" s="15" t="str">
        <x:v>Вогнезахисна обробка дерев'яних конструкцій покрівлі будівлі Скалівсько-Хуторського МПТБ</x:v>
      </x:c>
      <x:c r="N556" s="15" t="str">
        <x:v>https://prozorro.gov.ua/tender/UA-2026-08-12-006724-a</x:v>
      </x:c>
    </x:row>
    <x:row r="557">
      <x:c r="A557" s="14" t="n">
        <x:v>553</x:v>
      </x:c>
      <x:c r="B557" s="14" t="str">
        <x:v>Товариство з обмеженою відповідальністю "Белсім-Електро"</x:v>
      </x:c>
      <x:c r="C557" s="14" t="str">
        <x:v>34388125</x:v>
      </x:c>
      <x:c r="D557" s="14" t="str">
        <x:v>Електромонтаж</x:v>
      </x:c>
      <x:c r="E557" s="14" t="str">
        <x:v>Pilot now</x:v>
      </x:c>
      <x:c r="F557" s="14" t="str">
        <x:v>I3</x:v>
      </x:c>
      <x:c r="G557" s="14" t="n">
        <x:v>52</x:v>
      </x:c>
      <x:c r="H557" s="14" t="n">
        <x:v>1</x:v>
      </x:c>
      <x:c r="I557" s="14" t="n">
        <x:v>1</x:v>
      </x:c>
      <x:c r="J557" s="18" t="n">
        <x:v>33325.2</x:v>
      </x:c>
      <x:c r="K557" s="19" t="n">
        <x:v>46245.5631933912</x:v>
      </x:c>
      <x:c r="L557" s="19" t="n">
        <x:v>46387</x:v>
      </x:c>
      <x:c r="M557" s="15" t="str">
        <x:v>Виконання зовнішніх електромонтажних робіт (ремонт системи електромережі), ДК 021:2015 45310000-3 Електромонтажні роботи</x:v>
      </x:c>
      <x:c r="N557" s="15" t="str">
        <x:v>https://prozorro.gov.ua/tender/UA-2026-08-11-011482-a</x:v>
      </x:c>
    </x:row>
    <x:row r="558">
      <x:c r="A558" s="14" t="n">
        <x:v>554</x:v>
      </x:c>
      <x:c r="B558" s="14" t="str">
        <x:v>ТОВАРИСТВО З ОБМЕЖЕНОЮ ВІДПОВІДАЛЬНІСТЮ "ГРАНІТ. БЕЗПЕКА ТА БІЗНЕС"</x:v>
      </x:c>
      <x:c r="C558" s="14" t="str">
        <x:v>43674658</x:v>
      </x:c>
      <x:c r="D558" s="14" t="str">
        <x:v>Безпека / СКУД / CCTV</x:v>
      </x:c>
      <x:c r="E558" s="14" t="str">
        <x:v>Expansion discovery</x:v>
      </x:c>
      <x:c r="F558" s="14" t="str">
        <x:v>I3</x:v>
      </x:c>
      <x:c r="G558" s="14" t="n">
        <x:v>52</x:v>
      </x:c>
      <x:c r="H558" s="14" t="n">
        <x:v>1</x:v>
      </x:c>
      <x:c r="I558" s="14" t="n">
        <x:v>1</x:v>
      </x:c>
      <x:c r="J558" s="18" t="n">
        <x:v>83640</x:v>
      </x:c>
      <x:c r="K558" s="19" t="n">
        <x:v>46213.33753651621</x:v>
      </x:c>
      <x:c r="L558" s="19" t="n">
        <x:v>46387</x:v>
      </x:c>
      <x:c r="M558" s="15" t="str">
        <x:v>Встановлення системи відеоспостереження (з монтажем, підключенням та налаштуванням)</x:v>
      </x:c>
      <x:c r="N558" s="15" t="str">
        <x:v>https://prozorro.gov.ua/tender/UA-2026-07-10-003006-a</x:v>
      </x:c>
    </x:row>
    <x:row r="559">
      <x:c r="A559" s="14" t="n">
        <x:v>555</x:v>
      </x:c>
      <x:c r="B559" s="14" t="str">
        <x:v>ТОВАРИСТВО З ОБМЕЖЕНОЮ ВІДПОВІДАЛЬНІСТЮ "ДОНЕТ"</x:v>
      </x:c>
      <x:c r="C559" s="14" t="str">
        <x:v>39211668</x:v>
      </x:c>
      <x:c r="D559" s="14" t="str">
        <x:v>Електромонтаж</x:v>
      </x:c>
      <x:c r="E559" s="14" t="str">
        <x:v>Pilot now</x:v>
      </x:c>
      <x:c r="F559" s="14" t="str">
        <x:v>I3</x:v>
      </x:c>
      <x:c r="G559" s="14" t="n">
        <x:v>52</x:v>
      </x:c>
      <x:c r="H559" s="14" t="n">
        <x:v>1</x:v>
      </x:c>
      <x:c r="I559" s="14" t="n">
        <x:v>1</x:v>
      </x:c>
      <x:c r="J559" s="18" t="n">
        <x:v>200</x:v>
      </x:c>
      <x:c r="K559" s="19" t="n">
        <x:v>46254.52286972222</x:v>
      </x:c>
      <x:c r="L559" s="19" t="n">
        <x:v>46387</x:v>
      </x:c>
      <x:c r="M559" s="15" t="str">
        <x:v>ДК 021:2015: 45310000-3 — Електромонтажні роботи</x:v>
      </x:c>
      <x:c r="N559" s="15" t="str">
        <x:v>https://prozorro.gov.ua/tender/UA-2026-08-20-010070-a</x:v>
      </x:c>
    </x:row>
    <x:row r="560">
      <x:c r="A560" s="14" t="n">
        <x:v>556</x:v>
      </x:c>
      <x:c r="B560" s="14" t="str">
        <x:v>ТОВАРИСТВО З ОБМЕЖЕНОЮ ВІДПОВІДАЛЬНІСТЮ "ЕЛ-КОМ СЕРВІС"</x:v>
      </x:c>
      <x:c r="C560" s="14" t="str">
        <x:v>37509034</x:v>
      </x:c>
      <x:c r="D560" s="14" t="str">
        <x:v>Пасивний вогнезахист</x:v>
      </x:c>
      <x:c r="E560" s="14" t="str">
        <x:v>Expansion discovery</x:v>
      </x:c>
      <x:c r="F560" s="14" t="str">
        <x:v>I3</x:v>
      </x:c>
      <x:c r="G560" s="14" t="n">
        <x:v>52</x:v>
      </x:c>
      <x:c r="H560" s="14" t="n">
        <x:v>1</x:v>
      </x:c>
      <x:c r="I560" s="14" t="n">
        <x:v>1</x:v>
      </x:c>
      <x:c r="J560" s="18" t="n">
        <x:v>99999.58</x:v>
      </x:c>
      <x:c r="K560" s="19" t="n">
        <x:v>46237.43174412037</x:v>
      </x:c>
      <x:c r="L560" s="19" t="n">
        <x:v>46387</x:v>
      </x:c>
      <x:c r="M560" s="15" t="str">
        <x:v>Послуги з обробки (просоченню) вогнезахисними сумішами дерев'яних конструкцій горищних приміщень ДК 021:2015 77220000-8(Послуги з просочування деревини)</x:v>
      </x:c>
      <x:c r="N560" s="15" t="str">
        <x:v>https://prozorro.gov.ua/tender/UA-2026-08-03-005363-a</x:v>
      </x:c>
    </x:row>
    <x:row r="561">
      <x:c r="A561" s="14" t="n">
        <x:v>557</x:v>
      </x:c>
      <x:c r="B561" s="14" t="str">
        <x:v>ТОВАРИСТВО З ОБМЕЖЕНОЮ ВІДПОВІДАЛЬНІСТЮ "ЕНЕРГОДОСВІД"</x:v>
      </x:c>
      <x:c r="C561" s="14" t="str">
        <x:v>39962008</x:v>
      </x:c>
      <x:c r="D561" s="14" t="str">
        <x:v>Електромонтаж</x:v>
      </x:c>
      <x:c r="E561" s="14" t="str">
        <x:v>Pilot now</x:v>
      </x:c>
      <x:c r="F561" s="14" t="str">
        <x:v>I3</x:v>
      </x:c>
      <x:c r="G561" s="14" t="n">
        <x:v>52</x:v>
      </x:c>
      <x:c r="H561" s="14" t="n">
        <x:v>2</x:v>
      </x:c>
      <x:c r="I561" s="14" t="n">
        <x:v>1</x:v>
      </x:c>
      <x:c r="J561" s="18" t="n">
        <x:v>228223.1</x:v>
      </x:c>
      <x:c r="K561" s="19" t="n">
        <x:v>46213.49931126158</x:v>
      </x:c>
      <x:c r="L561" s="19" t="n">
        <x:v>46387</x:v>
      </x:c>
      <x:c r="M561" s="15" t="str">
        <x:v>Електромонтажні роботи</x:v>
      </x:c>
      <x:c r="N561" s="15" t="str">
        <x:v>https://prozorro.gov.ua/tender/UA-2026-07-10-008367-a</x:v>
      </x:c>
    </x:row>
    <x:row r="562">
      <x:c r="A562" s="14" t="n">
        <x:v>558</x:v>
      </x:c>
      <x:c r="B562" s="14" t="str">
        <x:v>ТОВАРИСТВО З ОБМЕЖЕНОЮ ВІДПОВІДАЛЬНІСТЮ "ЗОРТЕКС-СЕРВІС"</x:v>
      </x:c>
      <x:c r="C562" s="14" t="str">
        <x:v>30475528</x:v>
      </x:c>
      <x:c r="D562" s="14" t="str">
        <x:v>Електромонтаж</x:v>
      </x:c>
      <x:c r="E562" s="14" t="str">
        <x:v>Pilot now</x:v>
      </x:c>
      <x:c r="F562" s="14" t="str">
        <x:v>I3</x:v>
      </x:c>
      <x:c r="G562" s="14" t="n">
        <x:v>52</x:v>
      </x:c>
      <x:c r="H562" s="14" t="n">
        <x:v>1</x:v>
      </x:c>
      <x:c r="I562" s="14" t="n">
        <x:v>1</x:v>
      </x:c>
      <x:c r="J562" s="18" t="n">
        <x:v>29160.64</x:v>
      </x:c>
      <x:c r="K562" s="19" t="n">
        <x:v>46239.37818479167</x:v>
      </x:c>
      <x:c r="L562" s="19" t="n">
        <x:v>46387</x:v>
      </x:c>
      <x:c r="M562" s="15" t="str">
        <x:v> Електромонтажні роботи (Поточний ремонт навчального корпусу №1 (електромонтажні роботи),м.Івано-Франківськ ,вул.Коновальця,72А)</x:v>
      </x:c>
      <x:c r="N562" s="15" t="str">
        <x:v>https://prozorro.gov.ua/tender/UA-2026-08-05-004853-a</x:v>
      </x:c>
    </x:row>
    <x:row r="563">
      <x:c r="A563" s="14" t="n">
        <x:v>559</x:v>
      </x:c>
      <x:c r="B563" s="14" t="str">
        <x:v>ТОВАРИСТВО З ОБМЕЖЕНОЮ ВІДПОВІДАЛЬНІСТЮ "ЛІДЕР 77"</x:v>
      </x:c>
      <x:c r="C563" s="14" t="str">
        <x:v>42898048</x:v>
      </x:c>
      <x:c r="D563" s="14" t="str">
        <x:v>Покрівлі та гідроізоляція</x:v>
      </x:c>
      <x:c r="E563" s="14" t="str">
        <x:v>Expansion discovery</x:v>
      </x:c>
      <x:c r="F563" s="14" t="str">
        <x:v>I3</x:v>
      </x:c>
      <x:c r="G563" s="14" t="n">
        <x:v>52</x:v>
      </x:c>
      <x:c r="H563" s="14" t="n">
        <x:v>1</x:v>
      </x:c>
      <x:c r="I563" s="14" t="n">
        <x:v>1</x:v>
      </x:c>
      <x:c r="J563" s="18" t="n">
        <x:v>65529.6</x:v>
      </x:c>
      <x:c r="K563" s="19" t="n">
        <x:v>46223.27212579861</x:v>
      </x:c>
      <x:c r="L563" s="19" t="n">
        <x:v>46387</x:v>
      </x:c>
      <x:c r="M563"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x:v>
      </x:c>
      <x:c r="N563" s="15" t="str">
        <x:v>https://prozorro.gov.ua/tender/UA-2026-07-20-000705-a</x:v>
      </x:c>
    </x:row>
    <x:row r="564">
      <x:c r="A564" s="14" t="n">
        <x:v>560</x:v>
      </x:c>
      <x:c r="B564" s="14" t="str">
        <x:v>Товариство з обмеженою відповідальністю "Науково-дослідний та проектно-вишукувальний інститут "УКРКОМУНПРОЕКТ"</x:v>
      </x:c>
      <x:c r="C564" s="14" t="str">
        <x:v>44029139</x:v>
      </x:c>
      <x:c r="D564" s="14" t="str">
        <x:v>Насосні станції</x:v>
      </x:c>
      <x:c r="E564" s="14" t="str">
        <x:v>Expansion discovery</x:v>
      </x:c>
      <x:c r="F564" s="14" t="str">
        <x:v>I3</x:v>
      </x:c>
      <x:c r="G564" s="14" t="n">
        <x:v>52</x:v>
      </x:c>
      <x:c r="H564" s="14" t="n">
        <x:v>1</x:v>
      </x:c>
      <x:c r="I564" s="14" t="n">
        <x:v>1</x:v>
      </x:c>
      <x:c r="J564" s="18" t="n">
        <x:v>85895</x:v>
      </x:c>
      <x:c r="K564" s="19" t="n">
        <x:v>46230.62885929398</x:v>
      </x:c>
      <x:c r="L564" s="19" t="n">
        <x:v>46356.669328703705</x:v>
      </x:c>
      <x:c r="M564"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564" s="15" t="str">
        <x:v>https://prozorro.gov.ua/tender/UA-2026-07-27-011147-a</x:v>
      </x:c>
    </x:row>
    <x:row r="565">
      <x:c r="A565" s="14" t="n">
        <x:v>561</x:v>
      </x:c>
      <x:c r="B565" s="14" t="str">
        <x:v>ТОВАРИСТВО З ОБМЕЖЕНОЮ ВІДПОВІДАЛЬНІСТЮ "ОХОРОННИЙ ХОЛДІНГ- СЛАВУТИЧ"</x:v>
      </x:c>
      <x:c r="C565" s="14" t="str">
        <x:v>43317264</x:v>
      </x:c>
      <x:c r="D565" s="14" t="str">
        <x:v>Пожежогасіння</x:v>
      </x:c>
      <x:c r="E565" s="14" t="str">
        <x:v>Expansion discovery</x:v>
      </x:c>
      <x:c r="F565" s="14" t="str">
        <x:v>I3</x:v>
      </x:c>
      <x:c r="G565" s="14" t="n">
        <x:v>52</x:v>
      </x:c>
      <x:c r="H565" s="14" t="n">
        <x:v>1</x:v>
      </x:c>
      <x:c r="I565" s="14" t="n">
        <x:v>1</x:v>
      </x:c>
      <x:c r="J565" s="18" t="n">
        <x:v>61771.38</x:v>
      </x:c>
      <x:c r="K565" s="19" t="n">
        <x:v>46219.57483662037</x:v>
      </x:c>
      <x:c r="L565" s="19" t="n">
        <x:v>46387</x:v>
      </x:c>
      <x:c r="M565"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x:v>
      </x:c>
      <x:c r="N565" s="15" t="str">
        <x:v>https://prozorro.gov.ua/tender/UA-2026-07-16-009632-a</x:v>
      </x:c>
    </x:row>
    <x:row r="566">
      <x:c r="A566" s="14" t="n">
        <x:v>562</x:v>
      </x:c>
      <x:c r="B566" s="14" t="str">
        <x:v>ТОВАРИСТВО З ОБМЕЖЕНОЮ ВІДПОВІДАЛЬНІСТЮ "ПОЖЕЖНО-ТЕХНІЧНИЙ ЗАХИСТ"</x:v>
      </x:c>
      <x:c r="C566" s="14" t="str">
        <x:v>38852332</x:v>
      </x:c>
      <x:c r="D566" s="14" t="str">
        <x:v>Пожежогасіння</x:v>
      </x:c>
      <x:c r="E566" s="14" t="str">
        <x:v>Expansion discovery</x:v>
      </x:c>
      <x:c r="F566" s="14" t="str">
        <x:v>I3</x:v>
      </x:c>
      <x:c r="G566" s="14" t="n">
        <x:v>52</x:v>
      </x:c>
      <x:c r="H566" s="14" t="n">
        <x:v>1</x:v>
      </x:c>
      <x:c r="I566" s="14" t="n">
        <x:v>1</x:v>
      </x:c>
      <x:c r="J566" s="18" t="n">
        <x:v>67500</x:v>
      </x:c>
      <x:c r="K566" s="19" t="n">
        <x:v>46246.33533635417</x:v>
      </x:c>
      <x:c r="L566" s="19" t="n">
        <x:v>46308</x:v>
      </x:c>
      <x:c r="M566"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x:v>
      </x:c>
      <x:c r="N566" s="15" t="str">
        <x:v>https://prozorro.gov.ua/tender/UA-2026-08-12-002950-a</x:v>
      </x:c>
    </x:row>
    <x:row r="567">
      <x:c r="A567" s="14" t="n">
        <x:v>563</x:v>
      </x:c>
      <x:c r="B567" s="14" t="str">
        <x:v>ТОВАРИСТВО З ОБМЕЖЕНОЮ ВІДПОВІДАЛЬНІСТЮ "ПОЖЗАБЕСПЕЧЕННЯ"</x:v>
      </x:c>
      <x:c r="C567" s="14" t="str">
        <x:v>31946570</x:v>
      </x:c>
      <x:c r="D567" s="14" t="str">
        <x:v>Електромонтаж</x:v>
      </x:c>
      <x:c r="E567" s="14" t="str">
        <x:v>Pilot now</x:v>
      </x:c>
      <x:c r="F567" s="14" t="str">
        <x:v>I3</x:v>
      </x:c>
      <x:c r="G567" s="14" t="n">
        <x:v>52</x:v>
      </x:c>
      <x:c r="H567" s="14" t="n">
        <x:v>1</x:v>
      </x:c>
      <x:c r="I567" s="14" t="n">
        <x:v>1</x:v>
      </x:c>
      <x:c r="J567" s="18" t="n">
        <x:v>7805.28</x:v>
      </x:c>
      <x:c r="K567" s="19" t="n">
        <x:v>46240.4004334375</x:v>
      </x:c>
      <x:c r="L567" s="19" t="n">
        <x:v>46265</x:v>
      </x:c>
      <x:c r="M567" s="15" t="str">
        <x:v>Електромонтажні роботи</x:v>
      </x:c>
      <x:c r="N567" s="15" t="str">
        <x:v>https://prozorro.gov.ua/tender/UA-2026-08-06-005253-a</x:v>
      </x:c>
    </x:row>
    <x:row r="568">
      <x:c r="A568" s="14" t="n">
        <x:v>564</x:v>
      </x:c>
      <x:c r="B568" s="14" t="str">
        <x:v>ТОВАРИСТВО З ОБМЕЖЕНОЮ ВІДПОВІДАЛЬНІСТЮ "ПРО-СВК"</x:v>
      </x:c>
      <x:c r="C568" s="14" t="str">
        <x:v>44001527</x:v>
      </x:c>
      <x:c r="D568" s="14" t="str">
        <x:v>HVAC / ОВіК</x:v>
      </x:c>
      <x:c r="E568" s="14" t="str">
        <x:v>Pilot now</x:v>
      </x:c>
      <x:c r="F568" s="14" t="str">
        <x:v>I3</x:v>
      </x:c>
      <x:c r="G568" s="14" t="n">
        <x:v>52</x:v>
      </x:c>
      <x:c r="H568" s="14" t="n">
        <x:v>1</x:v>
      </x:c>
      <x:c r="I568" s="14" t="n">
        <x:v>1</x:v>
      </x:c>
      <x:c r="J568" s="18" t="n">
        <x:v>85000</x:v>
      </x:c>
      <x:c r="K568" s="19" t="n">
        <x:v>46220.52470538195</x:v>
      </x:c>
      <x:c r="L568" s="19" t="n">
        <x:v>46387</x:v>
      </x:c>
      <x:c r="M568"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x:v>
      </x:c>
      <x:c r="N568" s="15" t="str">
        <x:v>https://prozorro.gov.ua/tender/UA-2026-07-17-008977-a</x:v>
      </x:c>
    </x:row>
    <x:row r="569">
      <x:c r="A569" s="14" t="n">
        <x:v>565</x:v>
      </x:c>
      <x:c r="B569" s="14" t="str">
        <x:v>Товариство з обмеженою відповідальністю "Проектна Компанія Вінниця"</x:v>
      </x:c>
      <x:c r="C569" s="14" t="str">
        <x:v>41067894</x:v>
      </x:c>
      <x:c r="D569" s="14" t="str">
        <x:v>Сонячна енергетика</x:v>
      </x:c>
      <x:c r="E569" s="14" t="str">
        <x:v>Pilot now</x:v>
      </x:c>
      <x:c r="F569" s="14" t="str">
        <x:v>I3</x:v>
      </x:c>
      <x:c r="G569" s="14" t="n">
        <x:v>52</x:v>
      </x:c>
      <x:c r="H569" s="14" t="n">
        <x:v>1</x:v>
      </x:c>
      <x:c r="I569" s="14" t="n">
        <x:v>1</x:v>
      </x:c>
      <x:c r="J569" s="18" t="n">
        <x:v>80000</x:v>
      </x:c>
      <x:c r="K569" s="19" t="n">
        <x:v>46240.50029748843</x:v>
      </x:c>
      <x:c r="L569" s="19" t="n">
        <x:v>46387</x:v>
      </x:c>
      <x:c r="M569" s="15" t="str">
        <x:v>Розробка робочого проекту "Нове будівництво сонячної електростанції для енергозабезпечення будівлі Ситковецького ліцею Райгородської сільської ради Вінницької області за адресою: 22865, вул. І.Франка, 5, с-ще Ситківці, Гайсинський район, Вінницька область"</x:v>
      </x:c>
      <x:c r="N569" s="15" t="str">
        <x:v>https://prozorro.gov.ua/tender/UA-2026-08-06-008282-a</x:v>
      </x:c>
    </x:row>
    <x:row r="570">
      <x:c r="A570" s="14" t="n">
        <x:v>566</x:v>
      </x:c>
      <x:c r="B570" s="14" t="str">
        <x:v>ТОВАРИСТВО З ОБМЕЖЕНОЮ ВІДПОВІДАЛЬНІСТЮ "ПРОФВІДЕОСЕРВІС 1"</x:v>
      </x:c>
      <x:c r="C570" s="14" t="str">
        <x:v>45991906</x:v>
      </x:c>
      <x:c r="D570" s="14" t="str">
        <x:v>Безпека / СКУД / CCTV</x:v>
      </x:c>
      <x:c r="E570" s="14" t="str">
        <x:v>Expansion discovery</x:v>
      </x:c>
      <x:c r="F570" s="14" t="str">
        <x:v>I3</x:v>
      </x:c>
      <x:c r="G570" s="14" t="n">
        <x:v>52</x:v>
      </x:c>
      <x:c r="H570" s="14" t="n">
        <x:v>1</x:v>
      </x:c>
      <x:c r="I570" s="14" t="n">
        <x:v>1</x:v>
      </x:c>
      <x:c r="J570" s="18" t="n">
        <x:v>40200</x:v>
      </x:c>
      <x:c r="K570" s="19" t="n">
        <x:v>46232.59387545139</x:v>
      </x:c>
      <x:c r="L570" s="19" t="n">
        <x:v>46387</x:v>
      </x:c>
      <x:c r="M570" s="15" t="str">
        <x:v>Послуги з монтажу, налаштування та технічного обслуговування системи відеоспостереження</x:v>
      </x:c>
      <x:c r="N570" s="15" t="str">
        <x:v>https://prozorro.gov.ua/tender/UA-2026-07-29-010611-a</x:v>
      </x:c>
    </x:row>
    <x:row r="571">
      <x:c r="A571" s="14" t="n">
        <x:v>567</x:v>
      </x:c>
      <x:c r="B571" s="14" t="str">
        <x:v>ТОВАРИСТВО З ОБМЕЖЕНОЮ ВІДПОВІДАЛЬНІСТЮ "Сервіс-Енерго ГП"</x:v>
      </x:c>
      <x:c r="C571" s="14" t="str">
        <x:v>45230840</x:v>
      </x:c>
      <x:c r="D571" s="14" t="str">
        <x:v>Резервне живлення</x:v>
      </x:c>
      <x:c r="E571" s="14" t="str">
        <x:v>Expansion discovery</x:v>
      </x:c>
      <x:c r="F571" s="14" t="str">
        <x:v>I3</x:v>
      </x:c>
      <x:c r="G571" s="14" t="n">
        <x:v>52</x:v>
      </x:c>
      <x:c r="H571" s="14" t="n">
        <x:v>1</x:v>
      </x:c>
      <x:c r="I571" s="14" t="n">
        <x:v>1</x:v>
      </x:c>
      <x:c r="J571" s="18" t="n">
        <x:v>15000</x:v>
      </x:c>
      <x:c r="K571" s="19" t="n">
        <x:v>46246.497839027776</x:v>
      </x:c>
      <x:c r="L571" s="19" t="n">
        <x:v>46387</x:v>
      </x:c>
      <x:c r="M571" s="15" t="str">
        <x:v>Послуги з монтажу системи безперебійного живлення </x:v>
      </x:c>
      <x:c r="N571" s="15" t="str">
        <x:v>https://prozorro.gov.ua/tender/UA-2026-08-12-008128-a</x:v>
      </x:c>
    </x:row>
    <x:row r="572">
      <x:c r="A572" s="14" t="n">
        <x:v>568</x:v>
      </x:c>
      <x:c r="B572" s="14" t="str">
        <x:v>ТОВАРИСТВО З ОБМЕЖЕНОЮ ВІДПОВІДАЛЬНІСТЮ "СМАРТ МОДУЛЬ"</x:v>
      </x:c>
      <x:c r="C572" s="14" t="str">
        <x:v>42017273</x:v>
      </x:c>
      <x:c r="D572" s="14" t="str">
        <x:v>HVAC / ОВіК</x:v>
      </x:c>
      <x:c r="E572" s="14" t="str">
        <x:v>Pilot now</x:v>
      </x:c>
      <x:c r="F572" s="14" t="str">
        <x:v>I3</x:v>
      </x:c>
      <x:c r="G572" s="14" t="n">
        <x:v>52</x:v>
      </x:c>
      <x:c r="H572" s="14" t="n">
        <x:v>1</x:v>
      </x:c>
      <x:c r="I572" s="14" t="n">
        <x:v>1</x:v>
      </x:c>
      <x:c r="J572" s="18" t="n">
        <x:v>21018</x:v>
      </x:c>
      <x:c r="K572" s="19" t="n">
        <x:v>46253.29300803241</x:v>
      </x:c>
      <x:c r="L572" s="19" t="n">
        <x:v>46265</x:v>
      </x:c>
      <x:c r="M572"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x:v>
      </x:c>
      <x:c r="N572" s="15" t="str">
        <x:v>https://prozorro.gov.ua/tender/UA-2026-08-19-001541-a</x:v>
      </x:c>
    </x:row>
    <x:row r="573">
      <x:c r="A573" s="14" t="n">
        <x:v>569</x:v>
      </x:c>
      <x:c r="B573" s="14" t="str">
        <x:v>ТОВАРИСТВО З ОБМЕЖЕНОЮ ВІДПОВІДАЛЬНІСТЮ "СУЧАСНІ ВИМІРИ ОПОРУ ІЗОЛЯЦІЇ"</x:v>
      </x:c>
      <x:c r="C573" s="14" t="str">
        <x:v>40813004</x:v>
      </x:c>
      <x:c r="D573" s="14" t="str">
        <x:v>Електромонтаж</x:v>
      </x:c>
      <x:c r="E573" s="14" t="str">
        <x:v>Pilot now</x:v>
      </x:c>
      <x:c r="F573" s="14" t="str">
        <x:v>I3</x:v>
      </x:c>
      <x:c r="G573" s="14" t="n">
        <x:v>52</x:v>
      </x:c>
      <x:c r="H573" s="14" t="n">
        <x:v>1</x:v>
      </x:c>
      <x:c r="I573" s="14" t="n">
        <x:v>1</x:v>
      </x:c>
      <x:c r="J573" s="18" t="n">
        <x:v>17000</x:v>
      </x:c>
      <x:c r="K573" s="19" t="n">
        <x:v>46220.56454997685</x:v>
      </x:c>
      <x:c r="L573" s="19" t="n">
        <x:v>46387</x:v>
      </x:c>
      <x:c r="M573"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x:v>
      </x:c>
      <x:c r="N573" s="15" t="str">
        <x:v>https://prozorro.gov.ua/tender/UA-2026-07-17-010021-a</x:v>
      </x:c>
    </x:row>
    <x:row r="574">
      <x:c r="A574" s="14" t="n">
        <x:v>570</x:v>
      </x:c>
      <x:c r="B574" s="14" t="str">
        <x:v>ТОВАРИСТВО З ОБМЕЖЕНОЮ ВІДПОВІДАЛЬНІСТЮ "ТВОПТИМУМ"</x:v>
      </x:c>
      <x:c r="C574" s="14" t="str">
        <x:v>39820186</x:v>
      </x:c>
      <x:c r="D574" s="14" t="str">
        <x:v>Електромонтаж</x:v>
      </x:c>
      <x:c r="E574" s="14" t="str">
        <x:v>Pilot now</x:v>
      </x:c>
      <x:c r="F574" s="14" t="str">
        <x:v>I3</x:v>
      </x:c>
      <x:c r="G574" s="14" t="n">
        <x:v>52</x:v>
      </x:c>
      <x:c r="H574" s="14" t="n">
        <x:v>1</x:v>
      </x:c>
      <x:c r="I574" s="14" t="n">
        <x:v>1</x:v>
      </x:c>
      <x:c r="J574" s="18" t="n">
        <x:v>24500</x:v>
      </x:c>
      <x:c r="K574" s="19" t="n">
        <x:v>46253.57545571759</x:v>
      </x:c>
      <x:c r="L574" s="19" t="n">
        <x:v>46387</x:v>
      </x:c>
      <x:c r="M574" s="15" t="str">
        <x:v>Електромонтажні та пуско-налагоджувальні роботи</x:v>
      </x:c>
      <x:c r="N574" s="15" t="str">
        <x:v>https://prozorro.gov.ua/tender/UA-2026-08-19-012215-a</x:v>
      </x:c>
    </x:row>
    <x:row r="575">
      <x:c r="A575" s="14" t="n">
        <x:v>571</x:v>
      </x:c>
      <x:c r="B575" s="14" t="str">
        <x:v>ТОВАРИСТВО З ОБМЕЖЕНОЮ ВІДПОВІДАЛЬНІСТЮ "ЦИФРОВІ ОХОРОННІ СИСТЕМИ"</x:v>
      </x:c>
      <x:c r="C575" s="14" t="str">
        <x:v>34112644</x:v>
      </x:c>
      <x:c r="D575" s="14" t="str">
        <x:v>Пожежогасіння</x:v>
      </x:c>
      <x:c r="E575" s="14" t="str">
        <x:v>Expansion discovery</x:v>
      </x:c>
      <x:c r="F575" s="14" t="str">
        <x:v>I3</x:v>
      </x:c>
      <x:c r="G575" s="14" t="n">
        <x:v>52</x:v>
      </x:c>
      <x:c r="H575" s="14" t="n">
        <x:v>1</x:v>
      </x:c>
      <x:c r="I575" s="14" t="n">
        <x:v>1</x:v>
      </x:c>
      <x:c r="J575" s="18" t="n">
        <x:v>74697.68</x:v>
      </x:c>
      <x:c r="K575" s="19" t="n">
        <x:v>46220.47823332176</x:v>
      </x:c>
      <x:c r="L575" s="19" t="n">
        <x:v>46387</x:v>
      </x:c>
      <x:c r="M575"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x:v>
      </x:c>
      <x:c r="N575" s="15" t="str">
        <x:v>https://prozorro.gov.ua/tender/UA-2026-07-17-007218-a</x:v>
      </x:c>
    </x:row>
    <x:row r="576">
      <x:c r="A576" s="14" t="n">
        <x:v>572</x:v>
      </x:c>
      <x:c r="B576" s="14" t="str">
        <x:v>Товариство з обмеженою відповідальністю «Нетішин Інвентаризація»</x:v>
      </x:c>
      <x:c r="C576" s="14" t="str">
        <x:v>38535725</x:v>
      </x:c>
      <x:c r="D576" s="14" t="str">
        <x:v>Підстанції / силові мережі</x:v>
      </x:c>
      <x:c r="E576" s="14" t="str">
        <x:v>Pilot now</x:v>
      </x:c>
      <x:c r="F576" s="14" t="str">
        <x:v>I3</x:v>
      </x:c>
      <x:c r="G576" s="14" t="n">
        <x:v>52</x:v>
      </x:c>
      <x:c r="H576" s="14" t="n">
        <x:v>1</x:v>
      </x:c>
      <x:c r="I576" s="14" t="n">
        <x:v>1</x:v>
      </x:c>
      <x:c r="J576" s="18" t="n">
        <x:v>7000</x:v>
      </x:c>
      <x:c r="K576" s="19" t="n">
        <x:v>46253.258312060185</x:v>
      </x:c>
      <x:c r="L576" s="19" t="n">
        <x:v>46275</x:v>
      </x:c>
      <x:c r="M576"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x:v>
      </x:c>
      <x:c r="N576" s="15" t="str">
        <x:v>https://prozorro.gov.ua/tender/UA-2026-08-19-000635-a</x:v>
      </x:c>
    </x:row>
    <x:row r="577">
      <x:c r="A577" s="14" t="n">
        <x:v>573</x:v>
      </x:c>
      <x:c r="B577" s="14" t="str">
        <x:v>ТОВАРИСТВО З ОБМЕЖЕНОЮ ВІДПОВІДАЛЬНІСТЮ «ПРАЙМЕЛЕКТРО»</x:v>
      </x:c>
      <x:c r="C577" s="14" t="str">
        <x:v>43112697</x:v>
      </x:c>
      <x:c r="D577" s="14" t="str">
        <x:v>Електромонтаж</x:v>
      </x:c>
      <x:c r="E577" s="14" t="str">
        <x:v>Pilot now</x:v>
      </x:c>
      <x:c r="F577" s="14" t="str">
        <x:v>I3</x:v>
      </x:c>
      <x:c r="G577" s="14" t="n">
        <x:v>52</x:v>
      </x:c>
      <x:c r="H577" s="14" t="n">
        <x:v>1</x:v>
      </x:c>
      <x:c r="I577" s="14" t="n">
        <x:v>1</x:v>
      </x:c>
      <x:c r="J577" s="18" t="n">
        <x:v>31200</x:v>
      </x:c>
      <x:c r="K577" s="19" t="n">
        <x:v>46230.36579619213</x:v>
      </x:c>
      <x:c r="L577" s="19" t="n">
        <x:v>46387</x:v>
      </x:c>
      <x:c r="M577" s="15" t="str">
        <x:v>Код за ДК 021:2015: 45310000-3 — Електромонтажні роботи (електромонтажні роботи)</x:v>
      </x:c>
      <x:c r="N577" s="15" t="str">
        <x:v>https://prozorro.gov.ua/tender/UA-2026-07-27-003841-a</x:v>
      </x:c>
    </x:row>
    <x:row r="578">
      <x:c r="A578" s="14" t="n">
        <x:v>574</x:v>
      </x:c>
      <x:c r="B578" s="14" t="str">
        <x:v>ТОВАРИСТВО З ОБМЕЖЕНОЮ ВІДПОВІДАЛЬНІСТЮ НАУКОВО-ВИРОБНИЧЕ ЕНЕРГЕТИЧНЕ ПІДПРИЄМСТВО "ПРОМІНЬ"</x:v>
      </x:c>
      <x:c r="C578" s="14" t="str">
        <x:v>30593114</x:v>
      </x:c>
      <x:c r="D578" s="14" t="str">
        <x:v>Електромонтаж</x:v>
      </x:c>
      <x:c r="E578" s="14" t="str">
        <x:v>Pilot now</x:v>
      </x:c>
      <x:c r="F578" s="14" t="str">
        <x:v>I3</x:v>
      </x:c>
      <x:c r="G578" s="14" t="n">
        <x:v>52</x:v>
      </x:c>
      <x:c r="H578" s="14" t="n">
        <x:v>1</x:v>
      </x:c>
      <x:c r="I578" s="14" t="n">
        <x:v>1</x:v>
      </x:c>
      <x:c r="J578" s="18" t="n">
        <x:v>74156.47</x:v>
      </x:c>
      <x:c r="K578" s="19" t="n">
        <x:v>46244.39672505787</x:v>
      </x:c>
      <x:c r="L578" s="19" t="n">
        <x:v>46387</x:v>
      </x:c>
      <x:c r="M578" s="15" t="str">
        <x:v>електромонтажні роботи</x:v>
      </x:c>
      <x:c r="N578" s="15" t="str">
        <x:v>https://prozorro.gov.ua/tender/UA-2026-08-10-004471-a</x:v>
      </x:c>
    </x:row>
    <x:row r="579">
      <x:c r="A579" s="14" t="n">
        <x:v>575</x:v>
      </x:c>
      <x:c r="B579" s="14" t="str">
        <x:v>ТОВАРИСТВО З ОБМЕЖЕНОЮ ВІДПОВІДАЛЬНІСТЮ НАУКОВО-ВИРОБНИЧЕ ПІДПРИЄМСТВО "БЛІЦ-КОНТАКТ"</x:v>
      </x:c>
      <x:c r="C579" s="14" t="str">
        <x:v>30992516</x:v>
      </x:c>
      <x:c r="D579" s="14" t="str">
        <x:v>Безпека / СКУД / CCTV</x:v>
      </x:c>
      <x:c r="E579" s="14" t="str">
        <x:v>Expansion discovery</x:v>
      </x:c>
      <x:c r="F579" s="14" t="str">
        <x:v>I3</x:v>
      </x:c>
      <x:c r="G579" s="14" t="n">
        <x:v>52</x:v>
      </x:c>
      <x:c r="H579" s="14" t="n">
        <x:v>1</x:v>
      </x:c>
      <x:c r="I579" s="14" t="n">
        <x:v>1</x:v>
      </x:c>
      <x:c r="J579" s="18" t="n">
        <x:v>35268</x:v>
      </x:c>
      <x:c r="K579" s="19" t="n">
        <x:v>46226.41934983796</x:v>
      </x:c>
      <x:c r="L579" s="19" t="n">
        <x:v>46387</x:v>
      </x:c>
      <x:c r="M579" s="15" t="str">
        <x:v>Послуги з монтажу системи контролю доступу </x:v>
      </x:c>
      <x:c r="N579" s="15" t="str">
        <x:v>https://prozorro.gov.ua/tender/UA-2026-07-23-005645-a</x:v>
      </x:c>
    </x:row>
    <x:row r="580">
      <x:c r="A580" s="14" t="n">
        <x:v>576</x:v>
      </x:c>
      <x:c r="B580" s="14" t="str">
        <x:v>ТОВАРИСТВО З ОБМЕЖЕНОЮ ВІДПОВІДАЛЬНІСТЮ СПЕЦІАЛІЗОВАНЕ ПІДПРИЄМСТВО "ЗАЩИТА-92"</x:v>
      </x:c>
      <x:c r="C580" s="14" t="str">
        <x:v>14008181</x:v>
      </x:c>
      <x:c r="D580" s="14" t="str">
        <x:v>Безпека / СКУД / CCTV</x:v>
      </x:c>
      <x:c r="E580" s="14" t="str">
        <x:v>Expansion discovery</x:v>
      </x:c>
      <x:c r="F580" s="14" t="str">
        <x:v>I3</x:v>
      </x:c>
      <x:c r="G580" s="14" t="n">
        <x:v>52</x:v>
      </x:c>
      <x:c r="H580" s="14" t="n">
        <x:v>1</x:v>
      </x:c>
      <x:c r="I580" s="14" t="n">
        <x:v>1</x:v>
      </x:c>
      <x:c r="J580" s="18" t="n">
        <x:v>28753.56</x:v>
      </x:c>
      <x:c r="K580" s="19" t="n">
        <x:v>46239.61833405092</x:v>
      </x:c>
      <x:c r="L580" s="19" t="n">
        <x:v>46387</x:v>
      </x:c>
      <x:c r="M580" s="15" t="str">
        <x:v>Послуги з монтажу системи відеоспостереження</x:v>
      </x:c>
      <x:c r="N580" s="15" t="str">
        <x:v>https://prozorro.gov.ua/tender/UA-2026-08-05-012230-a</x:v>
      </x:c>
    </x:row>
    <x:row r="581">
      <x:c r="A581" s="14" t="n">
        <x:v>577</x:v>
      </x:c>
      <x:c r="B581" s="14" t="str">
        <x:v>Управління капітального будівництва Чернігівської обласної державної адміністрації</x:v>
      </x:c>
      <x:c r="C581" s="14" t="str">
        <x:v>04014246</x:v>
      </x:c>
      <x:c r="D581" s="14" t="str">
        <x:v>Електромонтаж</x:v>
      </x:c>
      <x:c r="E581" s="14" t="str">
        <x:v>Pilot now</x:v>
      </x:c>
      <x:c r="F581" s="14" t="str">
        <x:v>I3</x:v>
      </x:c>
      <x:c r="G581" s="14" t="n">
        <x:v>52</x:v>
      </x:c>
      <x:c r="H581" s="14" t="n">
        <x:v>1</x:v>
      </x:c>
      <x:c r="I581" s="14" t="n">
        <x:v>1</x:v>
      </x:c>
      <x:c r="J581" s="18" t="n">
        <x:v>18283.8</x:v>
      </x:c>
      <x:c r="K581" s="19" t="n">
        <x:v>46239.532290717594</x:v>
      </x:c>
      <x:c r="L581" s="19" t="n">
        <x:v>46387.57611111111</x:v>
      </x:c>
      <x:c r="M581"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x:v>
      </x:c>
      <x:c r="N581" s="15" t="str">
        <x:v>https://prozorro.gov.ua/tender/UA-2026-08-05-010064-a</x:v>
      </x:c>
    </x:row>
    <x:row r="582">
      <x:c r="A582" s="14" t="n">
        <x:v>578</x:v>
      </x:c>
      <x:c r="B582" s="14" t="str">
        <x:v>ФОП "Коврига Алла Сергіївна"</x:v>
      </x:c>
      <x:c r="C582" s="14" t="str">
        <x:v>2955915181</x:v>
      </x:c>
      <x:c r="D582" s="14" t="str">
        <x:v>Внутрішні сантехнічні системи</x:v>
      </x:c>
      <x:c r="E582" s="14" t="str">
        <x:v>Pilot now</x:v>
      </x:c>
      <x:c r="F582" s="14" t="str">
        <x:v>I3</x:v>
      </x:c>
      <x:c r="G582" s="14" t="n">
        <x:v>52</x:v>
      </x:c>
      <x:c r="H582" s="14" t="n">
        <x:v>2</x:v>
      </x:c>
      <x:c r="I582" s="14" t="n">
        <x:v>1</x:v>
      </x:c>
      <x:c r="J582" s="18" t="n">
        <x:v>283470.86</x:v>
      </x:c>
      <x:c r="K582" s="19" t="n">
        <x:v>46132.47215336806</x:v>
      </x:c>
      <x:c r="L582" s="19" t="n">
        <x:v>46387</x:v>
      </x:c>
      <x:c r="M582"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x:v>
      </x:c>
      <x:c r="N582" s="15" t="str">
        <x:v>https://prozorro.gov.ua/tender/UA-2026-04-20-007432-a</x:v>
      </x:c>
    </x:row>
    <x:row r="583">
      <x:c r="A583" s="14" t="n">
        <x:v>579</x:v>
      </x:c>
      <x:c r="B583" s="14" t="str">
        <x:v>ФОП Пащенко Лариса Станіславівна</x:v>
      </x:c>
      <x:c r="C583" s="14" t="str">
        <x:v>2867217849</x:v>
      </x:c>
      <x:c r="D583" s="14" t="str">
        <x:v>Безпека / СКУД / CCTV</x:v>
      </x:c>
      <x:c r="E583" s="14" t="str">
        <x:v>Expansion discovery</x:v>
      </x:c>
      <x:c r="F583" s="14" t="str">
        <x:v>I3</x:v>
      </x:c>
      <x:c r="G583" s="14" t="n">
        <x:v>52</x:v>
      </x:c>
      <x:c r="H583" s="14" t="n">
        <x:v>2</x:v>
      </x:c>
      <x:c r="I583" s="14" t="n">
        <x:v>1</x:v>
      </x:c>
      <x:c r="J583" s="18" t="n">
        <x:v>143698.35</x:v>
      </x:c>
      <x:c r="K583" s="19" t="n">
        <x:v>46206.32034493056</x:v>
      </x:c>
      <x:c r="L583" s="19" t="n">
        <x:v>46234</x:v>
      </x:c>
      <x:c r="M583" s="15" t="str">
        <x:v>Послуги з монтажу, установки та налаштування системи контролю та управління доступом</x:v>
      </x:c>
      <x:c r="N583" s="15" t="str">
        <x:v>https://prozorro.gov.ua/tender/UA-2026-07-03-002326-a</x:v>
      </x:c>
    </x:row>
    <x:row r="584">
      <x:c r="A584" s="14" t="n">
        <x:v>580</x:v>
      </x:c>
      <x:c r="B584" s="14" t="str">
        <x:v>ЯКОВЕНКО ДМИТРО МИКОЛАЙОВИЧ</x:v>
      </x:c>
      <x:c r="C584" s="14" t="str">
        <x:v>2944810335</x:v>
      </x:c>
      <x:c r="D584" s="14" t="str">
        <x:v>Дорожні роботи</x:v>
      </x:c>
      <x:c r="E584" s="14" t="str">
        <x:v>Expansion discovery</x:v>
      </x:c>
      <x:c r="F584" s="14" t="str">
        <x:v>I3</x:v>
      </x:c>
      <x:c r="G584" s="14" t="n">
        <x:v>52</x:v>
      </x:c>
      <x:c r="H584" s="14" t="n">
        <x:v>1</x:v>
      </x:c>
      <x:c r="I584" s="14" t="n">
        <x:v>1</x:v>
      </x:c>
      <x:c r="J584" s="18" t="n">
        <x:v>2707</x:v>
      </x:c>
      <x:c r="K584" s="19" t="n">
        <x:v>46251.26941988426</x:v>
      </x:c>
      <x:c r="L584" s="19" t="n">
        <x:v>46387</x:v>
      </x:c>
      <x:c r="M584"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x:v>
      </x:c>
      <x:c r="N584" s="15" t="str">
        <x:v>https://prozorro.gov.ua/tender/UA-2026-08-17-000707-a</x:v>
      </x:c>
    </x:row>
    <x:row r="585">
      <x:c r="A585" s="14" t="n">
        <x:v>581</x:v>
      </x:c>
      <x:c r="B585" s="14" t="str">
        <x:v>АКЦІОНЕРНЕ ТОВАРИСТВО "ХАРКІВОБЛЕНЕРГО"</x:v>
      </x:c>
      <x:c r="C585" s="14" t="str">
        <x:v>00131954</x:v>
      </x:c>
      <x:c r="D585" s="14" t="str">
        <x:v>Підстанції / силові мережі</x:v>
      </x:c>
      <x:c r="E585" s="14" t="str">
        <x:v>Pilot now</x:v>
      </x:c>
      <x:c r="F585" s="14" t="str">
        <x:v>I3</x:v>
      </x:c>
      <x:c r="G585" s="14" t="n">
        <x:v>52</x:v>
      </x:c>
      <x:c r="H585" s="14" t="n">
        <x:v>2</x:v>
      </x:c>
      <x:c r="I585" s="14" t="n">
        <x:v>0</x:v>
      </x:c>
      <x:c r="J585" s="18" t="n">
        <x:v>5172713</x:v>
      </x:c>
      <x:c r="K585" s="19" t="n">
        <x:v>45915.53555408565</x:v>
      </x:c>
      <x:c r="L585" s="19" t="n">
        <x:v>46022.916655092595</x:v>
      </x:c>
      <x:c r="M585" s="15" t="str">
        <x:v>Тимчасове приєднання до електричних мереж ОСР: «Реконструкція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x:v>
      </x:c>
      <x:c r="N585" s="15" t="str">
        <x:v>https://prozorro.gov.ua/tender/UA-2025-09-15-010654-a</x:v>
      </x:c>
    </x:row>
    <x:row r="586">
      <x:c r="A586" s="14" t="n">
        <x:v>582</x:v>
      </x:c>
      <x:c r="B586" s="14" t="str">
        <x:v>БОГОХВАЛ ОЛЕГ ГРИГОРОВИЧ</x:v>
      </x:c>
      <x:c r="C586" s="14" t="str">
        <x:v>1813504018</x:v>
      </x:c>
      <x:c r="D586" s="14" t="str">
        <x:v>Електромонтаж</x:v>
      </x:c>
      <x:c r="E586" s="14" t="str">
        <x:v>Pilot now</x:v>
      </x:c>
      <x:c r="F586" s="14" t="str">
        <x:v>I3</x:v>
      </x:c>
      <x:c r="G586" s="14" t="n">
        <x:v>52</x:v>
      </x:c>
      <x:c r="H586" s="14" t="n">
        <x:v>1</x:v>
      </x:c>
      <x:c r="I586" s="14" t="n">
        <x:v>0</x:v>
      </x:c>
      <x:c r="J586" s="18" t="n">
        <x:v>29967.15</x:v>
      </x:c>
      <x:c r="K586" s="19" t="n">
        <x:v>46246.51773314815</x:v>
      </x:c>
      <x:c r="L586" s="19" t="n">
        <x:v>46246</x:v>
      </x:c>
      <x:c r="M586" s="15" t="str">
        <x:v>Електромонтажні роботи по встановленню сирени оповіщення</x:v>
      </x:c>
      <x:c r="N586" s="15" t="str">
        <x:v>https://prozorro.gov.ua/tender/UA-2026-08-12-008965-a</x:v>
      </x:c>
    </x:row>
    <x:row r="587">
      <x:c r="A587" s="14" t="n">
        <x:v>583</x:v>
      </x:c>
      <x:c r="B587" s="14" t="str">
        <x:v>ПОХИЛЮК ВАСИЛЬ ІВАНОВИЧ</x:v>
      </x:c>
      <x:c r="C587" s="14" t="str">
        <x:v>1867306995</x:v>
      </x:c>
      <x:c r="D587" s="14" t="str">
        <x:v>Електромонтаж</x:v>
      </x:c>
      <x:c r="E587" s="14" t="str">
        <x:v>Pilot now</x:v>
      </x:c>
      <x:c r="F587" s="14" t="str">
        <x:v>I3</x:v>
      </x:c>
      <x:c r="G587" s="14" t="n">
        <x:v>52</x:v>
      </x:c>
      <x:c r="H587" s="14" t="n">
        <x:v>1</x:v>
      </x:c>
      <x:c r="I587" s="14" t="n">
        <x:v>0</x:v>
      </x:c>
      <x:c r="J587" s="18" t="n">
        <x:v>62500</x:v>
      </x:c>
      <x:c r="K587" s="19" t="n">
        <x:v>46254.48641186343</x:v>
      </x:c>
      <x:c r="L587" s="19" t="n">
        <x:v>46253</x:v>
      </x:c>
      <x:c r="M587" s="15" t="str">
        <x:v>ДК021:2015:45310000-3 Електромонтажні роботи (Надання послуг по електромонтажним роботам в Мошнівському ліцеї Мошнівської сільської ради)</x:v>
      </x:c>
      <x:c r="N587" s="15" t="str">
        <x:v>https://prozorro.gov.ua/tender/UA-2026-08-20-008459-a</x:v>
      </x:c>
    </x:row>
    <x:row r="588">
      <x:c r="A588" s="14" t="n">
        <x:v>584</x:v>
      </x:c>
      <x:c r="B588" s="14" t="str">
        <x:v>ПРИВАТНЕ ПІДПРИЄМСТВО "АКВА УКРАЇНА"</x:v>
      </x:c>
      <x:c r="C588" s="14" t="str">
        <x:v>31305690</x:v>
      </x:c>
      <x:c r="D588" s="14" t="str">
        <x:v>Теплові пункти</x:v>
      </x:c>
      <x:c r="E588" s="14" t="str">
        <x:v>Expansion discovery</x:v>
      </x:c>
      <x:c r="F588" s="14" t="str">
        <x:v>I3</x:v>
      </x:c>
      <x:c r="G588" s="14" t="n">
        <x:v>52</x:v>
      </x:c>
      <x:c r="H588" s="14" t="n">
        <x:v>2</x:v>
      </x:c>
      <x:c r="I588" s="14" t="n">
        <x:v>0</x:v>
      </x:c>
      <x:c r="J588" s="18" t="n">
        <x:v>3197181.04</x:v>
      </x:c>
      <x:c r="K588" s="19" t="n">
        <x:v>45890.692494027775</x:v>
      </x:c>
      <x:c r="L588" s="19" t="n">
        <x:v>46006</x:v>
      </x:c>
      <x:c r="M588" s="15" t="str">
        <x:v>Реконструкція індивідуального теплового пункту житлового будинку ОСББ "Мала Житомирська, 10" за адресою: вул. Мала Житомирська, 10 в Шевченківському районі м. Києва (код ДК 021:2015: 45454000-4 – Реконструкція)</x:v>
      </x:c>
      <x:c r="N588" s="15" t="str">
        <x:v>https://prozorro.gov.ua/tender/UA-2025-07-30-009805-a</x:v>
      </x:c>
    </x:row>
    <x:row r="589">
      <x:c r="A589" s="14" t="n">
        <x:v>585</x:v>
      </x:c>
      <x:c r="B589" s="14" t="str">
        <x:v>ТОВ "АЙ ТІ СЕРВІС ГРУП"</x:v>
      </x:c>
      <x:c r="C589" s="14" t="str">
        <x:v>39719320</x:v>
      </x:c>
      <x:c r="D589" s="14" t="str">
        <x:v>СКС / BMS / слаботочка</x:v>
      </x:c>
      <x:c r="E589" s="14" t="str">
        <x:v>Expansion discovery</x:v>
      </x:c>
      <x:c r="F589" s="14" t="str">
        <x:v>I3</x:v>
      </x:c>
      <x:c r="G589" s="14" t="n">
        <x:v>52</x:v>
      </x:c>
      <x:c r="H589" s="14" t="n">
        <x:v>2</x:v>
      </x:c>
      <x:c r="I589" s="14" t="n">
        <x:v>0</x:v>
      </x:c>
      <x:c r="J589" s="18" t="n">
        <x:v>6244000</x:v>
      </x:c>
      <x:c r="K589" s="19" t="n">
        <x:v>45828.52449840278</x:v>
      </x:c>
      <x:c r="L589" s="19" t="n">
        <x:v>46191</x:v>
      </x:c>
      <x:c r="M589" s="15" t="str">
        <x:v>Послуги з монтажу/демонтажу структурованих кабельних систем (основний постачальник) (ID тендера на "tender.privatbank.ua": PB-2025-05-05-3062054) (Звіт про укладення договору)</x:v>
      </x:c>
      <x:c r="N589" s="15" t="str">
        <x:v>https://prozorro.gov.ua/tender/UA-2025-06-20-010429-a</x:v>
      </x:c>
    </x:row>
    <x:row r="590">
      <x:c r="A590" s="14" t="n">
        <x:v>586</x:v>
      </x:c>
      <x:c r="B590" s="14" t="str">
        <x:v>ТОВ "Карат-Ліфткомплект"</x:v>
      </x:c>
      <x:c r="C590" s="14" t="str">
        <x:v>31801847</x:v>
      </x:c>
      <x:c r="D590" s="14" t="str">
        <x:v>Ліфти та підйомники</x:v>
      </x:c>
      <x:c r="E590" s="14" t="str">
        <x:v>Expansion discovery</x:v>
      </x:c>
      <x:c r="F590" s="14" t="str">
        <x:v>I3</x:v>
      </x:c>
      <x:c r="G590" s="14" t="n">
        <x:v>52</x:v>
      </x:c>
      <x:c r="H590" s="14" t="n">
        <x:v>2</x:v>
      </x:c>
      <x:c r="I590" s="14" t="n">
        <x:v>0</x:v>
      </x:c>
      <x:c r="J590" s="18" t="n">
        <x:v>8253844.8</x:v>
      </x:c>
      <x:c r="K590" s="19" t="n">
        <x:v>45944.47334105324</x:v>
      </x:c>
      <x:c r="L590" s="19" t="n">
        <x:v>46142</x:v>
      </x:c>
      <x:c r="M590"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x:v>
      </x:c>
      <x:c r="N590" s="15" t="str">
        <x:v>https://prozorro.gov.ua/tender/UA-2025-09-17-012213-a</x:v>
      </x:c>
    </x:row>
    <x:row r="591">
      <x:c r="A591" s="14" t="n">
        <x:v>587</x:v>
      </x:c>
      <x:c r="B591" s="14" t="str">
        <x:v>ТОВ ОАСУ Енерго</x:v>
      </x:c>
      <x:c r="C591" s="14" t="str">
        <x:v>32819923</x:v>
      </x:c>
      <x:c r="D591" s="14" t="str">
        <x:v>Промислова автоматизація / SCADA</x:v>
      </x:c>
      <x:c r="E591" s="14" t="str">
        <x:v>Expansion discovery</x:v>
      </x:c>
      <x:c r="F591" s="14" t="str">
        <x:v>I3</x:v>
      </x:c>
      <x:c r="G591" s="14" t="n">
        <x:v>52</x:v>
      </x:c>
      <x:c r="H591" s="14" t="n">
        <x:v>2</x:v>
      </x:c>
      <x:c r="I591" s="14" t="n">
        <x:v>0</x:v>
      </x:c>
      <x:c r="J591" s="18" t="n">
        <x:v>4786742.4</x:v>
      </x:c>
      <x:c r="K591" s="19" t="n">
        <x:v>45763.3061696875</x:v>
      </x:c>
      <x:c r="L591" s="19" t="n">
        <x:v>46022</x:v>
      </x:c>
      <x:c r="M591" s="15" t="str">
        <x:v>код 45315700-5 за ДК 021:2015 «Монтаж комутаційних станцій» (технічне переоснащення ОІК «СКАТ» (SCADA) Житомирського РЕМ)</x:v>
      </x:c>
      <x:c r="N591" s="15" t="str">
        <x:v>https://prozorro.gov.ua/tender/UA-2025-03-27-010653-a</x:v>
      </x:c>
    </x:row>
    <x:row r="592">
      <x:c r="A592" s="14" t="n">
        <x:v>588</x:v>
      </x:c>
      <x:c r="B592" s="14" t="str">
        <x:v>ТОВАРИСТВО З ОБМЕЖЕНОЮ ВІДПОВІДАЛЬНІСТЮ "АВАНТБУД МОНТАЖ"</x:v>
      </x:c>
      <x:c r="C592" s="14" t="str">
        <x:v>42802345</x:v>
      </x:c>
      <x:c r="D592" s="14" t="str">
        <x:v>Металоконструкції</x:v>
      </x:c>
      <x:c r="E592" s="14" t="str">
        <x:v>Expansion discovery</x:v>
      </x:c>
      <x:c r="F592" s="14" t="str">
        <x:v>I3</x:v>
      </x:c>
      <x:c r="G592" s="14" t="n">
        <x:v>52</x:v>
      </x:c>
      <x:c r="H592" s="14" t="n">
        <x:v>3</x:v>
      </x:c>
      <x:c r="I592" s="14" t="n">
        <x:v>0</x:v>
      </x:c>
      <x:c r="J592" s="18" t="n">
        <x:v>536820.49</x:v>
      </x:c>
      <x:c r="K592" s="19" t="n">
        <x:v>45373.43391733796</x:v>
      </x:c>
      <x:c r="L592" s="19" t="n">
        <x:v>45427</x:v>
      </x:c>
      <x:c r="M592" s="15" t="str">
        <x:v>капітальний ремонт - підсилення будівельних конструкцій адміністративної будівлі (літ. Т-ІІ) за адресою: м. Суми</x:v>
      </x:c>
      <x:c r="N592" s="15" t="str">
        <x:v>https://prozorro.gov.ua/tender/UA-2024-03-22-005432-a</x:v>
      </x:c>
    </x:row>
    <x:row r="593">
      <x:c r="A593" s="14" t="n">
        <x:v>589</x:v>
      </x:c>
      <x:c r="B593" s="14" t="str">
        <x:v>ТОВАРИСТВО З ОБМЕЖЕНОЮ ВІДПОВІДАЛЬНІСТЮ "БУДІВНИЦТВО ТЕХНОЛОГІЇ СИСТЕМИ"</x:v>
      </x:c>
      <x:c r="C593" s="14" t="str">
        <x:v>35645596</x:v>
      </x:c>
      <x:c r="D593" s="14" t="str">
        <x:v>Теплові пункти</x:v>
      </x:c>
      <x:c r="E593" s="14" t="str">
        <x:v>Expansion discovery</x:v>
      </x:c>
      <x:c r="F593" s="14" t="str">
        <x:v>I3</x:v>
      </x:c>
      <x:c r="G593" s="14" t="n">
        <x:v>52</x:v>
      </x:c>
      <x:c r="H593" s="14" t="n">
        <x:v>2</x:v>
      </x:c>
      <x:c r="I593" s="14" t="n">
        <x:v>0</x:v>
      </x:c>
      <x:c r="J593" s="18" t="n">
        <x:v>9685925.23</x:v>
      </x:c>
      <x:c r="K593" s="19" t="n">
        <x:v>45895.65887346065</x:v>
      </x:c>
      <x:c r="L593" s="19" t="n">
        <x:v>46006</x:v>
      </x:c>
      <x:c r="M593" s="15" t="str">
        <x:v>Реконструкція індивідуального теплового пункту житлового будинку   ЖБК "ОБОЛОНСЬКА МРІЯ" за адресою: вул. Левка Лук'яненка,  33/35 в м. Києві (код ДК 021:2015: 45454000-4 – Реконструкція)</x:v>
      </x:c>
      <x:c r="N593" s="15" t="str">
        <x:v>https://prozorro.gov.ua/tender/UA-2025-07-30-009769-a</x:v>
      </x:c>
    </x:row>
    <x:row r="594">
      <x:c r="A594" s="14" t="n">
        <x:v>590</x:v>
      </x:c>
      <x:c r="B594" s="14" t="str">
        <x:v>ТОВАРИСТВО З ОБМЕЖЕНОЮ ВІДПОВІДАЛЬНІСТЮ "ВІННИЦЯ ПРОЕКТ-БУД"</x:v>
      </x:c>
      <x:c r="C594" s="14" t="str">
        <x:v>38635748</x:v>
      </x:c>
      <x:c r="D594" s="14" t="str">
        <x:v>Зливова каналізація / дренаж</x:v>
      </x:c>
      <x:c r="E594" s="14" t="str">
        <x:v>Expansion discovery</x:v>
      </x:c>
      <x:c r="F594" s="14" t="str">
        <x:v>I3</x:v>
      </x:c>
      <x:c r="G594" s="14" t="n">
        <x:v>52</x:v>
      </x:c>
      <x:c r="H594" s="14" t="n">
        <x:v>2</x:v>
      </x:c>
      <x:c r="I594" s="14" t="n">
        <x:v>0</x:v>
      </x:c>
      <x:c r="J594" s="18" t="n">
        <x:v>7013010.44</x:v>
      </x:c>
      <x:c r="K594" s="19" t="n">
        <x:v>45950.483668078705</x:v>
      </x:c>
      <x:c r="L594" s="19" t="n">
        <x:v>46006</x:v>
      </x:c>
      <x:c r="M594" s="15" t="str">
        <x:v>Нове будівництво зливової каналізації по вул. Винниченка в м.Козятин Хмільницького району Вінницької області (Коригування)</x:v>
      </x:c>
      <x:c r="N594" s="15" t="str">
        <x:v>https://prozorro.gov.ua/tender/UA-2025-10-20-009451-a</x:v>
      </x:c>
    </x:row>
    <x:row r="595">
      <x:c r="A595" s="14" t="n">
        <x:v>591</x:v>
      </x:c>
      <x:c r="B595" s="14" t="str">
        <x:v>ТОВАРИСТВО З ОБМЕЖЕНОЮ ВІДПОВІДАЛЬНІСТЮ "ДІНАТРОН - ГРУП"</x:v>
      </x:c>
      <x:c r="C595" s="14" t="str">
        <x:v>43371363</x:v>
      </x:c>
      <x:c r="D595" s="14" t="str">
        <x:v>Чисті приміщення</x:v>
      </x:c>
      <x:c r="E595" s="14" t="str">
        <x:v>Expansion discovery</x:v>
      </x:c>
      <x:c r="F595" s="14" t="str">
        <x:v>I3</x:v>
      </x:c>
      <x:c r="G595" s="14" t="n">
        <x:v>52</x:v>
      </x:c>
      <x:c r="H595" s="14" t="n">
        <x:v>2</x:v>
      </x:c>
      <x:c r="I595" s="14" t="n">
        <x:v>0</x:v>
      </x:c>
      <x:c r="J595" s="18" t="n">
        <x:v>13946284.96</x:v>
      </x:c>
      <x:c r="K595" s="19" t="n">
        <x:v>45742.46046815972</x:v>
      </x:c>
      <x:c r="L595" s="19" t="n">
        <x:v>46022</x:v>
      </x:c>
      <x:c r="M595" s="15" t="str">
        <x:v>Додаткові роботи, вартість яких не перевищує 50% від вартості укладеного Договору підряду №186-08ТБ/24 від 21.08.2024 року, далі – «Роботи», по об’єкту: Реконструкція частини приміщень, розташованих на 2-му поверсі будівлі операційного блоку (літера Б-5) під встановлення ангіографічної системи Azurion 5 M20 (X-Ray Diaqnostic Device -Anqioqraph) за адресою: м. Запоріжжя, Оріхівське шосе, 10</x:v>
      </x:c>
      <x:c r="N595" s="15" t="str">
        <x:v>https://prozorro.gov.ua/tender/UA-2025-03-26-006429-a</x:v>
      </x:c>
    </x:row>
    <x:row r="596">
      <x:c r="A596" s="14" t="n">
        <x:v>592</x:v>
      </x:c>
      <x:c r="B596" s="14" t="str">
        <x:v>ТОВАРИСТВО З ОБМЕЖЕНОЮ ВІДПОВІДАЛЬНІСТЮ "ОРІЄНТ ЛТД"</x:v>
      </x:c>
      <x:c r="C596" s="14" t="str">
        <x:v>21118757</x:v>
      </x:c>
      <x:c r="D596" s="14" t="str">
        <x:v>Антикорозійний захист</x:v>
      </x:c>
      <x:c r="E596" s="14" t="str">
        <x:v>Expansion discovery</x:v>
      </x:c>
      <x:c r="F596" s="14" t="str">
        <x:v>I3</x:v>
      </x:c>
      <x:c r="G596" s="14" t="n">
        <x:v>52</x:v>
      </x:c>
      <x:c r="H596" s="14" t="n">
        <x:v>2</x:v>
      </x:c>
      <x:c r="I596" s="14" t="n">
        <x:v>0</x:v>
      </x:c>
      <x:c r="J596" s="18" t="n">
        <x:v>6739998</x:v>
      </x:c>
      <x:c r="K596" s="19" t="n">
        <x:v>45832.32368001158</x:v>
      </x:c>
      <x:c r="L596" s="19" t="n">
        <x:v>46022</x:v>
      </x:c>
      <x:c r="M596" s="15" t="str">
        <x:v>Капітальний ремонт резервуару РВС-5000 Р-1 ОС ЦПіСН +++ ПАТ "Укрнафта" на землях +++ громади (за межами населеного пункту), Прилуцького району, Чернігівської області /антикорозійний захист металоконструкцій</x:v>
      </x:c>
      <x:c r="N596" s="15" t="str">
        <x:v>https://prozorro.gov.ua/tender/UA-2025-05-29-003080-a</x:v>
      </x:c>
    </x:row>
    <x:row r="597">
      <x:c r="A597" s="14" t="n">
        <x:v>593</x:v>
      </x:c>
      <x:c r="B597" s="14" t="str">
        <x:v>ТОВАРИСТВО З ОБМЕЖЕНОЮ ВІДПОВІДАЛЬНІСТЮ "ОХОРОННО-ПОЖЕЖНИЙ ЗАХИСТ"</x:v>
      </x:c>
      <x:c r="C597" s="14" t="str">
        <x:v>41274114</x:v>
      </x:c>
      <x:c r="D597" s="14" t="str">
        <x:v>Пожежогасіння</x:v>
      </x:c>
      <x:c r="E597" s="14" t="str">
        <x:v>Expansion discovery</x:v>
      </x:c>
      <x:c r="F597" s="14" t="str">
        <x:v>I3</x:v>
      </x:c>
      <x:c r="G597" s="14" t="n">
        <x:v>52</x:v>
      </x:c>
      <x:c r="H597" s="14" t="n">
        <x:v>2</x:v>
      </x:c>
      <x:c r="I597" s="14" t="n">
        <x:v>0</x:v>
      </x:c>
      <x:c r="J597" s="18" t="n">
        <x:v>2002000</x:v>
      </x:c>
      <x:c r="K597" s="19" t="n">
        <x:v>45903.44850763889</x:v>
      </x:c>
      <x:c r="L597" s="19" t="n">
        <x:v>45989</x:v>
      </x:c>
      <x:c r="M597" s="15" t="str">
        <x:v>Монтаж системи пожежної сигналізації, системи керування евакуюванням в частині оповіщення про пожежу та системи автоматичного пожежогасіння в приміщеннях поліклініки, лікарні та аптеки, що розташовані за адресою: м. Кропивницький, вул. Героїв-рятувальників (Волкова), 3. Капітальний ремонт системи протипожежного захисту будівлі ДУ «ТМО МВС України по Кіровоградській області»
код за Єдиним закупівельним словником 45310000-3 Електромонтажні роботи</x:v>
      </x:c>
      <x:c r="N597" s="15" t="str">
        <x:v>https://prozorro.gov.ua/tender/UA-2025-08-04-002856-a</x:v>
      </x:c>
    </x:row>
    <x:row r="598">
      <x:c r="A598" s="14" t="n">
        <x:v>594</x:v>
      </x:c>
      <x:c r="B598" s="14" t="str">
        <x:v>ТОВАРИСТВО З ОБМЕЖЕНОЮ ВІДПОВІДАЛЬНІСТЮ "РЕМТЕХНАЛАДКА"</x:v>
      </x:c>
      <x:c r="C598" s="14" t="str">
        <x:v>25155206</x:v>
      </x:c>
      <x:c r="D598" s="14" t="str">
        <x:v>Стиснене повітря / компресорні</x:v>
      </x:c>
      <x:c r="E598" s="14" t="str">
        <x:v>Expansion discovery</x:v>
      </x:c>
      <x:c r="F598" s="14" t="str">
        <x:v>I3</x:v>
      </x:c>
      <x:c r="G598" s="14" t="n">
        <x:v>52</x:v>
      </x:c>
      <x:c r="H598" s="14" t="n">
        <x:v>2</x:v>
      </x:c>
      <x:c r="I598" s="14" t="n">
        <x:v>0</x:v>
      </x:c>
      <x:c r="J598" s="18" t="n">
        <x:v>42726893.23</x:v>
      </x:c>
      <x:c r="K598" s="19" t="n">
        <x:v>45618.306937650465</x:v>
      </x:c>
      <x:c r="L598" s="19" t="n">
        <x:v>45838</x:v>
      </x:c>
      <x:c r="M598" s="15" t="str">
        <x:v>Реконструкція систем безпеки компресорної станції «Більче-Волиця» Стрийського виробничого управління підземного зберігання газу (Будівельні роботи та поточний ремонт)</x:v>
      </x:c>
      <x:c r="N598" s="15" t="str">
        <x:v>https://prozorro.gov.ua/tender/UA-2024-09-27-009899-a</x:v>
      </x:c>
    </x:row>
    <x:row r="599">
      <x:c r="A599" s="14" t="n">
        <x:v>595</x:v>
      </x:c>
      <x:c r="B599" s="14" t="str">
        <x:v>ТОВАРИСТВО З ОБМЕЖЕНОЮ ВІДПОВІДАЛЬНІСТЮ "УКРКОМ ЛАЙН"</x:v>
      </x:c>
      <x:c r="C599" s="14" t="str">
        <x:v>36217871</x:v>
      </x:c>
      <x:c r="D599" s="14" t="str">
        <x:v>Електромонтаж</x:v>
      </x:c>
      <x:c r="E599" s="14" t="str">
        <x:v>Pilot now</x:v>
      </x:c>
      <x:c r="F599" s="14" t="str">
        <x:v>I3</x:v>
      </x:c>
      <x:c r="G599" s="14" t="n">
        <x:v>52</x:v>
      </x:c>
      <x:c r="H599" s="14" t="n">
        <x:v>1</x:v>
      </x:c>
      <x:c r="I599" s="14" t="n">
        <x:v>0</x:v>
      </x:c>
      <x:c r="J599" s="18" t="n">
        <x:v>17808</x:v>
      </x:c>
      <x:c r="K599" s="19" t="n">
        <x:v>46245.26150061343</x:v>
      </x:c>
      <x:c r="L599" s="19" t="n">
        <x:v>46251</x:v>
      </x:c>
      <x:c r="M599" s="15" t="str">
        <x:v>Електромонтажні роботи (послуга з ремонту пошкодженої волоконнооптичної лінії зв'язку)
(код ДК 021:2015 - 45310000-3 Електромонтажні роботи)</x:v>
      </x:c>
      <x:c r="N599" s="15" t="str">
        <x:v>https://prozorro.gov.ua/tender/UA-2026-08-11-000774-a</x:v>
      </x:c>
    </x:row>
    <x:row r="600">
      <x:c r="A600" s="14" t="n">
        <x:v>596</x:v>
      </x:c>
      <x:c r="B600" s="14" t="str">
        <x:v>ЧЕРНЕЙ ІЛЛЯ ВАСИЛЬОВИЧ</x:v>
      </x:c>
      <x:c r="C600" s="14" t="str">
        <x:v>2641420514</x:v>
      </x:c>
      <x:c r="D600" s="14" t="str">
        <x:v>Пасивний вогнезахист</x:v>
      </x:c>
      <x:c r="E600" s="14" t="str">
        <x:v>Expansion discovery</x:v>
      </x:c>
      <x:c r="F600" s="14" t="str">
        <x:v>I3</x:v>
      </x:c>
      <x:c r="G600" s="14" t="n">
        <x:v>52</x:v>
      </x:c>
      <x:c r="H600" s="14" t="n">
        <x:v>1</x:v>
      </x:c>
      <x:c r="I600" s="14" t="n">
        <x:v>0</x:v>
      </x:c>
      <x:c r="J600" s="18" t="n">
        <x:v>88902</x:v>
      </x:c>
      <x:c r="K600" s="19" t="n">
        <x:v>46242.39114797454</x:v>
      </x:c>
      <x:c r="L600" s="19" t="n">
        <x:v>46252</x:v>
      </x:c>
      <x:c r="M600" s="15" t="str">
        <x:v>021:2015 77220000-8 послуги з поточного ремонту: вогнезахисна обробка (просочування) дерев'яних конструкцій покрівлі ОЗО «Волоківський ліцей»</x:v>
      </x:c>
      <x:c r="N600" s="15" t="str">
        <x:v>https://prozorro.gov.ua/tender/UA-2026-08-08-000272-a</x:v>
      </x:c>
    </x:row>
    <x:row r="601">
      <x:c r="A601" s="14" t="n">
        <x:v>597</x:v>
      </x:c>
      <x:c r="B601" s="14" t="str">
        <x:v>ШВЕЦЬ СЕРГІЙ АНАТОЛІЙОВИЧ</x:v>
      </x:c>
      <x:c r="C601" s="14" t="str">
        <x:v>2637906097</x:v>
      </x:c>
      <x:c r="D601" s="14" t="str">
        <x:v>Електромонтаж</x:v>
      </x:c>
      <x:c r="E601" s="14" t="str">
        <x:v>Pilot now</x:v>
      </x:c>
      <x:c r="F601" s="14" t="str">
        <x:v>I3</x:v>
      </x:c>
      <x:c r="G601" s="14" t="n">
        <x:v>52</x:v>
      </x:c>
      <x:c r="H601" s="14" t="n">
        <x:v>1</x:v>
      </x:c>
      <x:c r="I601" s="14" t="n">
        <x:v>0</x:v>
      </x:c>
      <x:c r="J601" s="18" t="n">
        <x:v>62582.92</x:v>
      </x:c>
      <x:c r="K601" s="19" t="n">
        <x:v>46238.236587453706</x:v>
      </x:c>
      <x:c r="L601" s="19" t="n">
        <x:v>46244</x:v>
      </x:c>
      <x:c r="M601" s="15" t="str">
        <x:v>45310000-3 Електромонтажні роботи</x:v>
      </x:c>
      <x:c r="N601" s="15" t="str">
        <x:v>https://prozorro.gov.ua/tender/UA-2026-08-04-000285-a</x:v>
      </x:c>
    </x:row>
    <x:row r="602">
      <x:c r="A602" s="14" t="n">
        <x:v>598</x:v>
      </x:c>
      <x:c r="B602" s="14" t="str">
        <x:v>ПЕЛЕХ РУСЛАН МИРОСЛАВОВИЧ</x:v>
      </x:c>
      <x:c r="C602" s="14" t="str">
        <x:v>2870704977</x:v>
      </x:c>
      <x:c r="D602" s="14" t="str">
        <x:v>HVAC / ОВіК</x:v>
      </x:c>
      <x:c r="E602" s="14" t="str">
        <x:v>Pilot now</x:v>
      </x:c>
      <x:c r="F602" s="14" t="str">
        <x:v>I3</x:v>
      </x:c>
      <x:c r="G602" s="14" t="n">
        <x:v>51</x:v>
      </x:c>
      <x:c r="H602" s="14" t="n">
        <x:v>1</x:v>
      </x:c>
      <x:c r="I602" s="14" t="n">
        <x:v>1</x:v>
      </x:c>
      <x:c r="J602" s="18" t="n">
        <x:v>550074</x:v>
      </x:c>
      <x:c r="K602" s="19" t="n">
        <x:v>46149.558380092596</x:v>
      </x:c>
      <x:c r="L602" s="19" t="n">
        <x:v>46275</x:v>
      </x:c>
      <x:c r="M602"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x:v>
      </x:c>
      <x:c r="N602" s="15" t="str">
        <x:v>https://prozorro.gov.ua/tender/UA-2026-05-07-013060-a</x:v>
      </x:c>
    </x:row>
    <x:row r="603">
      <x:c r="A603" s="14" t="n">
        <x:v>599</x:v>
      </x:c>
      <x:c r="B603" s="14" t="str">
        <x:v>Фізична особа - підприємець Шибіко Олег Анатолійович</x:v>
      </x:c>
      <x:c r="C603" s="14" t="str">
        <x:v>3238819530</x:v>
      </x:c>
      <x:c r="D603" s="14" t="str">
        <x:v>Зовнішнє освітлення</x:v>
      </x:c>
      <x:c r="E603" s="14" t="str">
        <x:v>Pilot now</x:v>
      </x:c>
      <x:c r="F603" s="14" t="str">
        <x:v>I3</x:v>
      </x:c>
      <x:c r="G603" s="14" t="n">
        <x:v>51</x:v>
      </x:c>
      <x:c r="H603" s="14" t="n">
        <x:v>1</x:v>
      </x:c>
      <x:c r="I603" s="14" t="n">
        <x:v>1</x:v>
      </x:c>
      <x:c r="J603" s="18" t="n">
        <x:v>1198676.55</x:v>
      </x:c>
      <x:c r="K603" s="19" t="n">
        <x:v>46191.53902491898</x:v>
      </x:c>
      <x:c r="L603" s="19" t="n">
        <x:v>46295.5366087963</x:v>
      </x:c>
      <x:c r="M603"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x:v>
      </x:c>
      <x:c r="N603" s="15" t="str">
        <x:v>https://prozorro.gov.ua/tender/UA-2026-06-18-010988-a</x:v>
      </x:c>
    </x:row>
    <x:row r="604">
      <x:c r="A604" s="14" t="n">
        <x:v>600</x:v>
      </x:c>
      <x:c r="B604" s="14" t="str">
        <x:v>Фізична особа-підприємець БИХНО Валерій Олександрович</x:v>
      </x:c>
      <x:c r="C604" s="14" t="str">
        <x:v>3120918596</x:v>
      </x:c>
      <x:c r="D604" s="14" t="str">
        <x:v>Зовнішні мережі</x:v>
      </x:c>
      <x:c r="E604" s="14" t="str">
        <x:v>Expansion discovery</x:v>
      </x:c>
      <x:c r="F604" s="14" t="str">
        <x:v>I3</x:v>
      </x:c>
      <x:c r="G604" s="14" t="n">
        <x:v>51</x:v>
      </x:c>
      <x:c r="H604" s="14" t="n">
        <x:v>1</x:v>
      </x:c>
      <x:c r="I604" s="14" t="n">
        <x:v>1</x:v>
      </x:c>
      <x:c r="J604" s="18" t="n">
        <x:v>725332.24</x:v>
      </x:c>
      <x:c r="K604" s="19" t="n">
        <x:v>46168.540660659724</x:v>
      </x:c>
      <x:c r="L604" s="19" t="n">
        <x:v>46387</x:v>
      </x:c>
      <x:c r="M604"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604" s="15" t="str">
        <x:v>https://prozorro.gov.ua/tender/UA-2026-05-26-012254-a</x:v>
      </x:c>
    </x:row>
    <x:row r="605">
      <x:c r="A605" s="14" t="n">
        <x:v>601</x:v>
      </x:c>
      <x:c r="B605" s="14" t="str">
        <x:v>ФОП "КОЛОШВА ВАСИЛЬ ПЕТРОВИЧ"</x:v>
      </x:c>
      <x:c r="C605" s="14" t="str">
        <x:v>3193713557</x:v>
      </x:c>
      <x:c r="D605" s="14" t="str">
        <x:v>Насосні станції</x:v>
      </x:c>
      <x:c r="E605" s="14" t="str">
        <x:v>Expansion discovery</x:v>
      </x:c>
      <x:c r="F605" s="14" t="str">
        <x:v>I3</x:v>
      </x:c>
      <x:c r="G605" s="14" t="n">
        <x:v>51</x:v>
      </x:c>
      <x:c r="H605" s="14" t="n">
        <x:v>1</x:v>
      </x:c>
      <x:c r="I605" s="14" t="n">
        <x:v>1</x:v>
      </x:c>
      <x:c r="J605" s="18" t="n">
        <x:v>1840242.39</x:v>
      </x:c>
      <x:c r="K605" s="19" t="n">
        <x:v>46169.52573541667</x:v>
      </x:c>
      <x:c r="L605" s="19" t="n">
        <x:v>46265</x:v>
      </x:c>
      <x:c r="M605"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605" s="15" t="str">
        <x:v>https://prozorro.gov.ua/tender/UA-2026-04-30-010971-a</x:v>
      </x:c>
    </x:row>
    <x:row r="606">
      <x:c r="A606" s="14" t="n">
        <x:v>602</x:v>
      </x:c>
      <x:c r="B606" s="14" t="str">
        <x:v>ФОП Сіора Ю.А.</x:v>
      </x:c>
      <x:c r="C606" s="14" t="str">
        <x:v>2691100315</x:v>
      </x:c>
      <x:c r="D606" s="14" t="str">
        <x:v>HVAC / ОВіК</x:v>
      </x:c>
      <x:c r="E606" s="14" t="str">
        <x:v>Pilot now</x:v>
      </x:c>
      <x:c r="F606" s="14" t="str">
        <x:v>I3</x:v>
      </x:c>
      <x:c r="G606" s="14" t="n">
        <x:v>51</x:v>
      </x:c>
      <x:c r="H606" s="14" t="n">
        <x:v>1</x:v>
      </x:c>
      <x:c r="I606" s="14" t="n">
        <x:v>1</x:v>
      </x:c>
      <x:c r="J606" s="18" t="n">
        <x:v>1447410</x:v>
      </x:c>
      <x:c r="K606" s="19" t="n">
        <x:v>46176.348150543985</x:v>
      </x:c>
      <x:c r="L606" s="19" t="n">
        <x:v>46265.5799537037</x:v>
      </x:c>
      <x:c r="M606"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x:v>
      </x:c>
      <x:c r="N606" s="15" t="str">
        <x:v>https://prozorro.gov.ua/tender/UA-2026-06-02-012733-a</x:v>
      </x:c>
    </x:row>
    <x:row r="607">
      <x:c r="A607" s="14" t="n">
        <x:v>603</x:v>
      </x:c>
      <x:c r="B607" s="14" t="str">
        <x:v>ФОП Усик Олександр Петрович</x:v>
      </x:c>
      <x:c r="C607" s="14" t="str">
        <x:v>2645112332</x:v>
      </x:c>
      <x:c r="D607" s="14" t="str">
        <x:v>Насосні станції</x:v>
      </x:c>
      <x:c r="E607" s="14" t="str">
        <x:v>Expansion discovery</x:v>
      </x:c>
      <x:c r="F607" s="14" t="str">
        <x:v>I3</x:v>
      </x:c>
      <x:c r="G607" s="14" t="n">
        <x:v>51</x:v>
      </x:c>
      <x:c r="H607" s="14" t="n">
        <x:v>1</x:v>
      </x:c>
      <x:c r="I607" s="14" t="n">
        <x:v>1</x:v>
      </x:c>
      <x:c r="J607" s="18" t="n">
        <x:v>676502.44</x:v>
      </x:c>
      <x:c r="K607" s="19" t="n">
        <x:v>46190.2828881713</x:v>
      </x:c>
      <x:c r="L607" s="19" t="n">
        <x:v>46387.32638888889</x:v>
      </x:c>
      <x:c r="M607" s="15" t="str">
        <x:v>Капітальний ремонт електрообладнання каналізаційної насосної станції (біля гаражів) в с. Проліски Бориспільського району Київської області</x:v>
      </x:c>
      <x:c r="N607" s="15" t="str">
        <x:v>https://prozorro.gov.ua/tender/UA-2026-06-17-001350-a</x:v>
      </x:c>
    </x:row>
    <x:row r="608">
      <x:c r="A608" s="14" t="n">
        <x:v>604</x:v>
      </x:c>
      <x:c r="B608" s="14" t="str">
        <x:v>ФОП "ЛУТ ОЛЕГ ІГОРОВИЧ "</x:v>
      </x:c>
      <x:c r="C608" s="14" t="str">
        <x:v>3445311131</x:v>
      </x:c>
      <x:c r="D608" s="14" t="str">
        <x:v>Внутрішні сантехнічні системи</x:v>
      </x:c>
      <x:c r="E608" s="14" t="str">
        <x:v>Pilot now</x:v>
      </x:c>
      <x:c r="F608" s="14" t="str">
        <x:v>I3</x:v>
      </x:c>
      <x:c r="G608" s="14" t="n">
        <x:v>51</x:v>
      </x:c>
      <x:c r="H608" s="14" t="n">
        <x:v>2</x:v>
      </x:c>
      <x:c r="I608" s="14" t="n">
        <x:v>0</x:v>
      </x:c>
      <x:c r="J608" s="18" t="n">
        <x:v>1156806</x:v>
      </x:c>
      <x:c r="K608" s="19" t="n">
        <x:v>46192.492963854165</x:v>
      </x:c>
      <x:c r="L608" s="19" t="n">
        <x:v>46235</x:v>
      </x:c>
      <x:c r="M608"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x:v>
      </x:c>
      <x:c r="N608" s="15" t="str">
        <x:v>https://prozorro.gov.ua/tender/UA-2026-06-11-012067-a</x:v>
      </x:c>
    </x:row>
    <x:row r="609">
      <x:c r="A609" s="14" t="n">
        <x:v>605</x:v>
      </x:c>
      <x:c r="B609" s="14" t="str">
        <x:v>Державний регіональний проектно-вишукувальний інститут «УКРПІВДЕНДІПРО-ВОДГОСП»</x:v>
      </x:c>
      <x:c r="C609" s="14" t="str">
        <x:v>01037904</x:v>
      </x:c>
      <x:c r="D609" s="14" t="str">
        <x:v>Водоочищення / очисні споруди</x:v>
      </x:c>
      <x:c r="E609" s="14" t="str">
        <x:v>Expansion discovery</x:v>
      </x:c>
      <x:c r="F609" s="14" t="str">
        <x:v>I3</x:v>
      </x:c>
      <x:c r="G609" s="14" t="n">
        <x:v>50</x:v>
      </x:c>
      <x:c r="H609" s="14" t="n">
        <x:v>1</x:v>
      </x:c>
      <x:c r="I609" s="14" t="n">
        <x:v>1</x:v>
      </x:c>
      <x:c r="J609" s="18" t="n">
        <x:v>130852.88</x:v>
      </x:c>
      <x:c r="K609" s="19" t="n">
        <x:v>46161.321657291664</x:v>
      </x:c>
      <x:c r="L609" s="19" t="n">
        <x:v>46387.360763888886</x:v>
      </x:c>
      <x:c r="M609"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x:v>
      </x:c>
      <x:c r="N609" s="15" t="str">
        <x:v>https://prozorro.gov.ua/tender/UA-2026-05-19-002841-a</x:v>
      </x:c>
    </x:row>
    <x:row r="610">
      <x:c r="A610" s="14" t="n">
        <x:v>606</x:v>
      </x:c>
      <x:c r="B610" s="14" t="str">
        <x:v>КОЛЕКТИВНЕ ПІДПРИЄМСТВО "ХАРКІВСПЕЦПРОМ"</x:v>
      </x:c>
      <x:c r="C610" s="14" t="str">
        <x:v>30652954</x:v>
      </x:c>
      <x:c r="D610" s="14" t="str">
        <x:v>Пасивний вогнезахист</x:v>
      </x:c>
      <x:c r="E610" s="14" t="str">
        <x:v>Expansion discovery</x:v>
      </x:c>
      <x:c r="F610" s="14" t="str">
        <x:v>I3</x:v>
      </x:c>
      <x:c r="G610" s="14" t="n">
        <x:v>50</x:v>
      </x:c>
      <x:c r="H610" s="14" t="n">
        <x:v>1</x:v>
      </x:c>
      <x:c r="I610" s="14" t="n">
        <x:v>1</x:v>
      </x:c>
      <x:c r="J610" s="18" t="n">
        <x:v>299880</x:v>
      </x:c>
      <x:c r="K610" s="19" t="n">
        <x:v>46212.57579563657</x:v>
      </x:c>
      <x:c r="L610" s="19" t="n">
        <x:v>46356</x:v>
      </x:c>
      <x:c r="M610" s="15" t="str">
        <x:v>послуги з вогнезахисної обробки (просочування) дерев'яних конструкцій елементів горища</x:v>
      </x:c>
      <x:c r="N610" s="15" t="str">
        <x:v>https://prozorro.gov.ua/tender/UA-2026-06-24-010620-a</x:v>
      </x:c>
    </x:row>
    <x:row r="611">
      <x:c r="A611" s="14" t="n">
        <x:v>607</x:v>
      </x:c>
      <x:c r="B611" s="14" t="str">
        <x:v>ПП "Безпека Херсон"</x:v>
      </x:c>
      <x:c r="C611" s="14" t="str">
        <x:v>37631339</x:v>
      </x:c>
      <x:c r="D611" s="14" t="str">
        <x:v>Пожежогасіння</x:v>
      </x:c>
      <x:c r="E611" s="14" t="str">
        <x:v>Expansion discovery</x:v>
      </x:c>
      <x:c r="F611" s="14" t="str">
        <x:v>I3</x:v>
      </x:c>
      <x:c r="G611" s="14" t="n">
        <x:v>50</x:v>
      </x:c>
      <x:c r="H611" s="14" t="n">
        <x:v>1</x:v>
      </x:c>
      <x:c r="I611" s="14" t="n">
        <x:v>1</x:v>
      </x:c>
      <x:c r="J611" s="18" t="n">
        <x:v>277769</x:v>
      </x:c>
      <x:c r="K611" s="19" t="n">
        <x:v>46210.56008609954</x:v>
      </x:c>
      <x:c r="L611" s="19" t="n">
        <x:v>46387.60166666667</x:v>
      </x:c>
      <x:c r="M611"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x:v>
      </x:c>
      <x:c r="N611" s="15" t="str">
        <x:v>https://prozorro.gov.ua/tender/UA-2026-07-07-009769-a</x:v>
      </x:c>
    </x:row>
    <x:row r="612">
      <x:c r="A612" s="14" t="n">
        <x:v>608</x:v>
      </x:c>
      <x:c r="B612" s="14" t="str">
        <x:v>ПП ГРАНД-ГАЗ-СЕРВІС</x:v>
      </x:c>
      <x:c r="C612" s="14" t="str">
        <x:v>33424125</x:v>
      </x:c>
      <x:c r="D612" s="14" t="str">
        <x:v>Фасади та скління</x:v>
      </x:c>
      <x:c r="E612" s="14" t="str">
        <x:v>Expansion discovery</x:v>
      </x:c>
      <x:c r="F612" s="14" t="str">
        <x:v>I3</x:v>
      </x:c>
      <x:c r="G612" s="14" t="n">
        <x:v>50</x:v>
      </x:c>
      <x:c r="H612" s="14" t="n">
        <x:v>1</x:v>
      </x:c>
      <x:c r="I612" s="14" t="n">
        <x:v>1</x:v>
      </x:c>
      <x:c r="J612" s="18" t="n">
        <x:v>419806.63</x:v>
      </x:c>
      <x:c r="K612" s="19" t="n">
        <x:v>46178.533731180556</x:v>
      </x:c>
      <x:c r="L612" s="19" t="n">
        <x:v>46265</x:v>
      </x:c>
      <x:c r="M612" s="15" t="str">
        <x:v>Послуги поточного ремонту з утепленням фасаду Барабойської гімназії Дальницької сільської ради за адресою: Одеська область, Одеський район, с.Барабой, вул.Соборності,102</x:v>
      </x:c>
      <x:c r="N612" s="15" t="str">
        <x:v>https://prozorro.gov.ua/tender/UA-2026-05-25-009621-a</x:v>
      </x:c>
    </x:row>
    <x:row r="613">
      <x:c r="A613" s="14" t="n">
        <x:v>609</x:v>
      </x:c>
      <x:c r="B613" s="14" t="str">
        <x:v>Приватне виробничо-комерційне підприємство "Авангард-Н"</x:v>
      </x:c>
      <x:c r="C613" s="14" t="str">
        <x:v>30759920</x:v>
      </x:c>
      <x:c r="D613" s="14" t="str">
        <x:v>Насосні станції</x:v>
      </x:c>
      <x:c r="E613" s="14" t="str">
        <x:v>Expansion discovery</x:v>
      </x:c>
      <x:c r="F613" s="14" t="str">
        <x:v>I3</x:v>
      </x:c>
      <x:c r="G613" s="14" t="n">
        <x:v>50</x:v>
      </x:c>
      <x:c r="H613" s="14" t="n">
        <x:v>1</x:v>
      </x:c>
      <x:c r="I613" s="14" t="n">
        <x:v>1</x:v>
      </x:c>
      <x:c r="J613" s="18" t="n">
        <x:v>7771583.88</x:v>
      </x:c>
      <x:c r="K613" s="19" t="n">
        <x:v>46104.59340543982</x:v>
      </x:c>
      <x:c r="L613" s="19" t="n">
        <x:v>46387.51422453704</x:v>
      </x:c>
      <x:c r="M613"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x:v>
      </x:c>
      <x:c r="N613" s="15" t="str">
        <x:v>https://prozorro.gov.ua/tender/UA-2026-02-24-008821-a</x:v>
      </x:c>
    </x:row>
    <x:row r="614">
      <x:c r="A614" s="14" t="n">
        <x:v>610</x:v>
      </x:c>
      <x:c r="B614" s="14" t="str">
        <x:v>Приватне підприємство «Асфальтбуд»</x:v>
      </x:c>
      <x:c r="C614" s="14" t="str">
        <x:v>39288442</x:v>
      </x:c>
      <x:c r="D614" s="14" t="str">
        <x:v>Газові мережі</x:v>
      </x:c>
      <x:c r="E614" s="14" t="str">
        <x:v>Expansion discovery</x:v>
      </x:c>
      <x:c r="F614" s="14" t="str">
        <x:v>I3</x:v>
      </x:c>
      <x:c r="G614" s="14" t="n">
        <x:v>50</x:v>
      </x:c>
      <x:c r="H614" s="14" t="n">
        <x:v>1</x:v>
      </x:c>
      <x:c r="I614" s="14" t="n">
        <x:v>1</x:v>
      </x:c>
      <x:c r="J614" s="18" t="n">
        <x:v>165573.93</x:v>
      </x:c>
      <x:c r="K614" s="19" t="n">
        <x:v>46206.219883032405</x:v>
      </x:c>
      <x:c r="L614" s="19" t="n">
        <x:v>46387.61833333333</x:v>
      </x:c>
      <x:c r="M614"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x:v>
      </x:c>
      <x:c r="N614" s="15" t="str">
        <x:v>https://prozorro.gov.ua/tender/UA-2026-07-02-009614-a</x:v>
      </x:c>
    </x:row>
    <x:row r="615">
      <x:c r="A615" s="14" t="n">
        <x:v>611</x:v>
      </x:c>
      <x:c r="B615" s="14" t="str">
        <x:v>ТзОВ "Фортуна -Іршава"</x:v>
      </x:c>
      <x:c r="C615" s="14" t="str">
        <x:v>32123649</x:v>
      </x:c>
      <x:c r="D615" s="14" t="str">
        <x:v>Газопостачання / котельні</x:v>
      </x:c>
      <x:c r="E615" s="14" t="str">
        <x:v>Expansion discovery</x:v>
      </x:c>
      <x:c r="F615" s="14" t="str">
        <x:v>I3</x:v>
      </x:c>
      <x:c r="G615" s="14" t="n">
        <x:v>50</x:v>
      </x:c>
      <x:c r="H615" s="14" t="n">
        <x:v>1</x:v>
      </x:c>
      <x:c r="I615" s="14" t="n">
        <x:v>1</x:v>
      </x:c>
      <x:c r="J615" s="18" t="n">
        <x:v>107754</x:v>
      </x:c>
      <x:c r="K615" s="19" t="n">
        <x:v>46143.383084988425</x:v>
      </x:c>
      <x:c r="L615" s="19" t="n">
        <x:v>46387.42493055556</x:v>
      </x:c>
      <x:c r="M615"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x:v>
      </x:c>
      <x:c r="N615" s="15" t="str">
        <x:v>https://prozorro.gov.ua/tender/UA-2026-05-01-005468-a</x:v>
      </x:c>
    </x:row>
    <x:row r="616">
      <x:c r="A616" s="14" t="n">
        <x:v>612</x:v>
      </x:c>
      <x:c r="B616" s="14" t="str">
        <x:v>ТОВ "ЕНЕРГОІННОВАЦІЙНА КОМПАНІЯ"</x:v>
      </x:c>
      <x:c r="C616" s="14" t="str">
        <x:v>43177157</x:v>
      </x:c>
      <x:c r="D616" s="14" t="str">
        <x:v>Резервне живлення</x:v>
      </x:c>
      <x:c r="E616" s="14" t="str">
        <x:v>Pilot now</x:v>
      </x:c>
      <x:c r="F616" s="14" t="str">
        <x:v>I3</x:v>
      </x:c>
      <x:c r="G616" s="14" t="n">
        <x:v>50</x:v>
      </x:c>
      <x:c r="H616" s="14" t="n">
        <x:v>1</x:v>
      </x:c>
      <x:c r="I616" s="14" t="n">
        <x:v>1</x:v>
      </x:c>
      <x:c r="J616" s="18" t="n">
        <x:v>360000</x:v>
      </x:c>
      <x:c r="K616" s="19" t="n">
        <x:v>46157.45244673611</x:v>
      </x:c>
      <x:c r="L616" s="19" t="n">
        <x:v>46265</x:v>
      </x:c>
      <x:c r="M616" s="1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x:v>
      </x:c>
      <x:c r="N616" s="15" t="str">
        <x:v>https://prozorro.gov.ua/tender/UA-2026-05-07-004068-a</x:v>
      </x:c>
    </x:row>
    <x:row r="617">
      <x:c r="A617" s="14" t="n">
        <x:v>613</x:v>
      </x:c>
      <x:c r="B617" s="14" t="str">
        <x:v>ТОВ "ІННОВА-БУД"</x:v>
      </x:c>
      <x:c r="C617" s="14" t="str">
        <x:v>42018832</x:v>
      </x:c>
      <x:c r="D617" s="14" t="str">
        <x:v>Залізнична інфраструктура</x:v>
      </x:c>
      <x:c r="E617" s="14" t="str">
        <x:v>Expansion discovery</x:v>
      </x:c>
      <x:c r="F617" s="14" t="str">
        <x:v>I3</x:v>
      </x:c>
      <x:c r="G617" s="14" t="n">
        <x:v>50</x:v>
      </x:c>
      <x:c r="H617" s="14" t="n">
        <x:v>1</x:v>
      </x:c>
      <x:c r="I617" s="14" t="n">
        <x:v>1</x:v>
      </x:c>
      <x:c r="J617" s="18" t="n">
        <x:v>2525000</x:v>
      </x:c>
      <x:c r="K617" s="19" t="n">
        <x:v>46129.5244278125</x:v>
      </x:c>
      <x:c r="L617" s="19" t="n">
        <x:v>46387</x:v>
      </x:c>
      <x:c r="M617"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дорожнього покриття на вул. Полудневій (на ділянці від буд. №50 вул. Січової до залізничної колії) у м. Львові)</x:v>
      </x:c>
      <x:c r="N617" s="15" t="str">
        <x:v>https://prozorro.gov.ua/tender/UA-2026-03-26-011461-a</x:v>
      </x:c>
    </x:row>
    <x:row r="618">
      <x:c r="A618" s="14" t="n">
        <x:v>614</x:v>
      </x:c>
      <x:c r="B618" s="14" t="str">
        <x:v>ТОВ "ПОЖБЕЗПЕКАСЕРВІС"</x:v>
      </x:c>
      <x:c r="C618" s="14" t="str">
        <x:v>43558875</x:v>
      </x:c>
      <x:c r="D618" s="14" t="str">
        <x:v>Пожежогасіння</x:v>
      </x:c>
      <x:c r="E618" s="14" t="str">
        <x:v>Expansion discovery</x:v>
      </x:c>
      <x:c r="F618" s="14" t="str">
        <x:v>I3</x:v>
      </x:c>
      <x:c r="G618" s="14" t="n">
        <x:v>50</x:v>
      </x:c>
      <x:c r="H618" s="14" t="n">
        <x:v>1</x:v>
      </x:c>
      <x:c r="I618" s="14" t="n">
        <x:v>1</x:v>
      </x:c>
      <x:c r="J618" s="18" t="n">
        <x:v>461013.9</x:v>
      </x:c>
      <x:c r="K618" s="19" t="n">
        <x:v>46189.310627569444</x:v>
      </x:c>
      <x:c r="L618" s="19" t="n">
        <x:v>46377</x:v>
      </x:c>
      <x:c r="M618"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x:v>
      </x:c>
      <x:c r="N618" s="15" t="str">
        <x:v>https://prozorro.gov.ua/tender/UA-2026-06-05-004679-a</x:v>
      </x:c>
    </x:row>
    <x:row r="619">
      <x:c r="A619" s="14" t="n">
        <x:v>615</x:v>
      </x:c>
      <x:c r="B619" s="14" t="str">
        <x:v>ТОВ «ЗЕЛЕНА СИСТЕМА»</x:v>
      </x:c>
      <x:c r="C619" s="14" t="str">
        <x:v>38191604</x:v>
      </x:c>
      <x:c r="D619" s="14" t="str">
        <x:v>Електромонтаж</x:v>
      </x:c>
      <x:c r="E619" s="14" t="str">
        <x:v>Pilot now</x:v>
      </x:c>
      <x:c r="F619" s="14" t="str">
        <x:v>I3</x:v>
      </x:c>
      <x:c r="G619" s="14" t="n">
        <x:v>50</x:v>
      </x:c>
      <x:c r="H619" s="14" t="n">
        <x:v>1</x:v>
      </x:c>
      <x:c r="I619" s="14" t="n">
        <x:v>1</x:v>
      </x:c>
      <x:c r="J619" s="18" t="n">
        <x:v>198196</x:v>
      </x:c>
      <x:c r="K619" s="19" t="n">
        <x:v>46195.50056107639</x:v>
      </x:c>
      <x:c r="L619" s="19" t="n">
        <x:v>46387</x:v>
      </x:c>
      <x:c r="M619" s="15" t="str">
        <x:v>Електромонтажні роботи</x:v>
      </x:c>
      <x:c r="N619" s="15" t="str">
        <x:v>https://prozorro.gov.ua/tender/UA-2026-06-22-009216-a</x:v>
      </x:c>
    </x:row>
    <x:row r="620">
      <x:c r="A620" s="14" t="n">
        <x:v>616</x:v>
      </x:c>
      <x:c r="B620" s="14" t="str">
        <x:v>ТОВ В.Ф.Ф.</x:v>
      </x:c>
      <x:c r="C620" s="14" t="str">
        <x:v>39924250</x:v>
      </x:c>
      <x:c r="D620" s="14" t="str">
        <x:v>Зовнішні мережі</x:v>
      </x:c>
      <x:c r="E620" s="14" t="str">
        <x:v>Expansion discovery</x:v>
      </x:c>
      <x:c r="F620" s="14" t="str">
        <x:v>I3</x:v>
      </x:c>
      <x:c r="G620" s="14" t="n">
        <x:v>50</x:v>
      </x:c>
      <x:c r="H620" s="14" t="n">
        <x:v>1</x:v>
      </x:c>
      <x:c r="I620" s="14" t="n">
        <x:v>1</x:v>
      </x:c>
      <x:c r="J620" s="18" t="n">
        <x:v>5088018.94</x:v>
      </x:c>
      <x:c r="K620" s="19" t="n">
        <x:v>46111.698594525464</x:v>
      </x:c>
      <x:c r="L620" s="19" t="n">
        <x:v>46387</x:v>
      </x:c>
      <x:c r="M620" s="15" t="str">
        <x:v>Виконання робіт по об’єкту: «Нове будівництво каналізаційного колектору від вул.Огієнка, 9 до КНС по вул.Лесі Українки в смт.Рудне Залізничного району м.Львова» (І-ша черга будівництва)</x:v>
      </x:c>
      <x:c r="N620" s="15" t="str">
        <x:v>https://prozorro.gov.ua/tender/UA-2026-03-09-012191-a</x:v>
      </x:c>
    </x:row>
    <x:row r="621">
      <x:c r="A621" s="14" t="n">
        <x:v>617</x:v>
      </x:c>
      <x:c r="B621" s="14" t="str">
        <x:v>ТОВ МКМ СЕРВІС ЛТД</x:v>
      </x:c>
      <x:c r="C621" s="14" t="str">
        <x:v>36444694</x:v>
      </x:c>
      <x:c r="D621" s="14" t="str">
        <x:v>ВОЛЗ / телеком</x:v>
      </x:c>
      <x:c r="E621" s="14" t="str">
        <x:v>Expansion discovery</x:v>
      </x:c>
      <x:c r="F621" s="14" t="str">
        <x:v>I3</x:v>
      </x:c>
      <x:c r="G621" s="14" t="n">
        <x:v>50</x:v>
      </x:c>
      <x:c r="H621" s="14" t="n">
        <x:v>1</x:v>
      </x:c>
      <x:c r="I621" s="14" t="n">
        <x:v>1</x:v>
      </x:c>
      <x:c r="J621" s="18" t="n">
        <x:v>6828497.65</x:v>
      </x:c>
      <x:c r="K621" s="19" t="n">
        <x:v>46036.33356778935</x:v>
      </x:c>
      <x:c r="L621" s="19" t="n">
        <x:v>46265</x:v>
      </x:c>
      <x:c r="M621"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x:v>
      </x:c>
      <x:c r="N621" s="15" t="str">
        <x:v>https://prozorro.gov.ua/tender/UA-2025-12-15-005738-a</x:v>
      </x:c>
    </x:row>
    <x:row r="622">
      <x:c r="A622" s="14" t="n">
        <x:v>618</x:v>
      </x:c>
      <x:c r="B622" s="14" t="str">
        <x:v>ТОВАРИСТВО З ОБМЕЖЕНОЮ ВІДПОВІДАЛЬНІСТЮ "АКВАТЕРМ СЕРВІС"</x:v>
      </x:c>
      <x:c r="C622" s="14" t="str">
        <x:v>42121538</x:v>
      </x:c>
      <x:c r="D622" s="14" t="str">
        <x:v>Насосні станції</x:v>
      </x:c>
      <x:c r="E622" s="14" t="str">
        <x:v>Expansion discovery</x:v>
      </x:c>
      <x:c r="F622" s="14" t="str">
        <x:v>I3</x:v>
      </x:c>
      <x:c r="G622" s="14" t="n">
        <x:v>50</x:v>
      </x:c>
      <x:c r="H622" s="14" t="n">
        <x:v>1</x:v>
      </x:c>
      <x:c r="I622" s="14" t="n">
        <x:v>1</x:v>
      </x:c>
      <x:c r="J622" s="18" t="n">
        <x:v>104765</x:v>
      </x:c>
      <x:c r="K622" s="19" t="n">
        <x:v>46184.5446693287</x:v>
      </x:c>
      <x:c r="L622" s="19" t="n">
        <x:v>46387</x:v>
      </x:c>
      <x:c r="M622"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x:v>
      </x:c>
      <x:c r="N622" s="15" t="str">
        <x:v>https://prozorro.gov.ua/tender/UA-2026-06-11-011496-a</x:v>
      </x:c>
    </x:row>
    <x:row r="623">
      <x:c r="A623" s="14" t="n">
        <x:v>619</x:v>
      </x:c>
      <x:c r="B623" s="14" t="str">
        <x:v>ТОВАРИСТВО З ОБМЕЖЕНОЮ ВІДПОВІДАЛЬНІСТЮ "ВАН-БУД"</x:v>
      </x:c>
      <x:c r="C623" s="14" t="str">
        <x:v>33896328</x:v>
      </x:c>
      <x:c r="D623" s="14" t="str">
        <x:v>Покрівлі та гідроізоляція</x:v>
      </x:c>
      <x:c r="E623" s="14" t="str">
        <x:v>Expansion discovery</x:v>
      </x:c>
      <x:c r="F623" s="14" t="str">
        <x:v>I3</x:v>
      </x:c>
      <x:c r="G623" s="14" t="n">
        <x:v>50</x:v>
      </x:c>
      <x:c r="H623" s="14" t="n">
        <x:v>2</x:v>
      </x:c>
      <x:c r="I623" s="14" t="n">
        <x:v>1</x:v>
      </x:c>
      <x:c r="J623" s="18" t="n">
        <x:v>322145.65</x:v>
      </x:c>
      <x:c r="K623" s="19" t="n">
        <x:v>45987.284185543984</x:v>
      </x:c>
      <x:c r="L623" s="19" t="n">
        <x:v>46022</x:v>
      </x:c>
      <x:c r="M623" s="15" t="str">
        <x:v>Зведення огорож, монтаж поручнів і захисних засобів (Поточний ремонт захисної металевої споруди для дизель-генератора стаціонарного та акумуляторної електростанції)</x:v>
      </x:c>
      <x:c r="N623" s="15" t="str">
        <x:v>https://prozorro.gov.ua/tender/UA-2025-11-26-000583-a</x:v>
      </x:c>
    </x:row>
    <x:row r="624">
      <x:c r="A624" s="14" t="n">
        <x:v>620</x:v>
      </x:c>
      <x:c r="B624" s="14" t="str">
        <x:v>ТОВАРИСТВО З ОБМЕЖЕНОЮ ВІДПОВІДАЛЬНІСТЮ "ВЕКТОР ЛТД"</x:v>
      </x:c>
      <x:c r="C624" s="14" t="str">
        <x:v>16401209</x:v>
      </x:c>
      <x:c r="D624" s="14" t="str">
        <x:v>Безпека / СКУД / CCTV</x:v>
      </x:c>
      <x:c r="E624" s="14" t="str">
        <x:v>Expansion discovery</x:v>
      </x:c>
      <x:c r="F624" s="14" t="str">
        <x:v>I3</x:v>
      </x:c>
      <x:c r="G624" s="14" t="n">
        <x:v>50</x:v>
      </x:c>
      <x:c r="H624" s="14" t="n">
        <x:v>1</x:v>
      </x:c>
      <x:c r="I624" s="14" t="n">
        <x:v>1</x:v>
      </x:c>
      <x:c r="J624" s="18" t="n">
        <x:v>117567</x:v>
      </x:c>
      <x:c r="K624" s="19" t="n">
        <x:v>46156.44319990741</x:v>
      </x:c>
      <x:c r="L624" s="19" t="n">
        <x:v>46387</x:v>
      </x:c>
      <x:c r="M624" s="15" t="str">
        <x:v>Роботи з монтажу та пусконалагоджувальних робіт системи контролю доступом до адмін будівлі</x:v>
      </x:c>
      <x:c r="N624" s="15" t="str">
        <x:v>https://prozorro.gov.ua/tender/UA-2026-05-14-007547-a</x:v>
      </x:c>
    </x:row>
    <x:row r="625">
      <x:c r="A625" s="14" t="n">
        <x:v>621</x:v>
      </x:c>
      <x:c r="B625" s="14" t="str">
        <x:v>ТОВАРИСТВО З ОБМЕЖЕНОЮ ВІДПОВІДАЛЬНІСТЮ "ГЕНПРОЕКТ"</x:v>
      </x:c>
      <x:c r="C625" s="14" t="str">
        <x:v>40446598</x:v>
      </x:c>
      <x:c r="D625" s="14" t="str">
        <x:v>Насосні станції</x:v>
      </x:c>
      <x:c r="E625" s="14" t="str">
        <x:v>Expansion discovery</x:v>
      </x:c>
      <x:c r="F625" s="14" t="str">
        <x:v>I3</x:v>
      </x:c>
      <x:c r="G625" s="14" t="n">
        <x:v>50</x:v>
      </x:c>
      <x:c r="H625" s="14" t="n">
        <x:v>1</x:v>
      </x:c>
      <x:c r="I625" s="14" t="n">
        <x:v>1</x:v>
      </x:c>
      <x:c r="J625" s="18" t="n">
        <x:v>419604</x:v>
      </x:c>
      <x:c r="K625" s="19" t="n">
        <x:v>46211.424239050924</x:v>
      </x:c>
      <x:c r="L625" s="19" t="n">
        <x:v>46326</x:v>
      </x:c>
      <x:c r="M625"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x:v>
      </x:c>
      <x:c r="N625" s="15" t="str">
        <x:v>https://prozorro.gov.ua/tender/UA-2026-07-08-005569-a</x:v>
      </x:c>
    </x:row>
    <x:row r="626">
      <x:c r="A626" s="14" t="n">
        <x:v>622</x:v>
      </x:c>
      <x:c r="B626" s="14" t="str">
        <x:v>ТОВАРИСТВО З ОБМЕЖЕНОЮ ВІДПОВІДАЛЬНІСТЮ "ЕКО ГЛОБАЛ НЕСТ"</x:v>
      </x:c>
      <x:c r="C626" s="14" t="str">
        <x:v>43419420</x:v>
      </x:c>
      <x:c r="D626" s="14" t="str">
        <x:v>Зовнішні мережі</x:v>
      </x:c>
      <x:c r="E626" s="14" t="str">
        <x:v>Expansion discovery</x:v>
      </x:c>
      <x:c r="F626" s="14" t="str">
        <x:v>I3</x:v>
      </x:c>
      <x:c r="G626" s="14" t="n">
        <x:v>50</x:v>
      </x:c>
      <x:c r="H626" s="14" t="n">
        <x:v>1</x:v>
      </x:c>
      <x:c r="I626" s="14" t="n">
        <x:v>1</x:v>
      </x:c>
      <x:c r="J626" s="18" t="n">
        <x:v>340000</x:v>
      </x:c>
      <x:c r="K626" s="19" t="n">
        <x:v>46168.57274616898</x:v>
      </x:c>
      <x:c r="L626" s="19" t="n">
        <x:v>46387.46863425926</x:v>
      </x:c>
      <x:c r="M626" s="15" t="str">
        <x:v>Розробка звіту з оцінки впливу на довкілля (ОВД) та отримання висновку за проєктом: «Нове будівництво напірного каналізаційного колектора та очисних споруд каналізації в с. Біла Тернопільського району Тернопільської області» з подальшим підключенням мешканців територіальної громади до каналізаційних мереж» (Код ДК 021:2015: 90710000-7 Екологічний менеджмент)</x:v>
      </x:c>
      <x:c r="N626" s="15" t="str">
        <x:v>https://prozorro.gov.ua/tender/UA-2026-04-27-006399-a</x:v>
      </x:c>
    </x:row>
    <x:row r="627">
      <x:c r="A627" s="14" t="n">
        <x:v>623</x:v>
      </x:c>
      <x:c r="B627" s="14" t="str">
        <x:v>Товариство з обмеженою відповідальністю "М-105"</x:v>
      </x:c>
      <x:c r="C627" s="14" t="str">
        <x:v>43633454</x:v>
      </x:c>
      <x:c r="D627" s="14" t="str">
        <x:v>Дорожні роботи</x:v>
      </x:c>
      <x:c r="E627" s="14" t="str">
        <x:v>Expansion discovery</x:v>
      </x:c>
      <x:c r="F627" s="14" t="str">
        <x:v>I3</x:v>
      </x:c>
      <x:c r="G627" s="14" t="n">
        <x:v>50</x:v>
      </x:c>
      <x:c r="H627" s="14" t="n">
        <x:v>1</x:v>
      </x:c>
      <x:c r="I627" s="14" t="n">
        <x:v>1</x:v>
      </x:c>
      <x:c r="J627" s="18" t="n">
        <x:v>149813.96</x:v>
      </x:c>
      <x:c r="K627" s="19" t="n">
        <x:v>46198.27031103009</x:v>
      </x:c>
      <x:c r="L627" s="19" t="n">
        <x:v>46387</x:v>
      </x:c>
      <x:c r="M627" s="15" t="str">
        <x:v>Капітальний ремонт дорожнього покриття по вулиці Довбуша в селі Пасічна Пасічнянської ТГ</x:v>
      </x:c>
      <x:c r="N627" s="15" t="str">
        <x:v>https://prozorro.gov.ua/tender/UA-2026-06-25-001092-a</x:v>
      </x:c>
    </x:row>
    <x:row r="628">
      <x:c r="A628" s="14" t="n">
        <x:v>624</x:v>
      </x:c>
      <x:c r="B628" s="14" t="str">
        <x:v>ТОВАРИСТВО З ОБМЕЖЕНОЮ ВІДПОВІДАЛЬНІСТЮ "ПРОЕКТ БЕЗПЕКА"</x:v>
      </x:c>
      <x:c r="C628" s="14" t="str">
        <x:v>43618373</x:v>
      </x:c>
      <x:c r="D628" s="14" t="str">
        <x:v>Пожежогасіння</x:v>
      </x:c>
      <x:c r="E628" s="14" t="str">
        <x:v>Expansion discovery</x:v>
      </x:c>
      <x:c r="F628" s="14" t="str">
        <x:v>I3</x:v>
      </x:c>
      <x:c r="G628" s="14" t="n">
        <x:v>50</x:v>
      </x:c>
      <x:c r="H628" s="14" t="n">
        <x:v>1</x:v>
      </x:c>
      <x:c r="I628" s="14" t="n">
        <x:v>1</x:v>
      </x:c>
      <x:c r="J628" s="18" t="n">
        <x:v>146250.96</x:v>
      </x:c>
      <x:c r="K628" s="19" t="n">
        <x:v>46211.4979665625</x:v>
      </x:c>
      <x:c r="L628" s="19" t="n">
        <x:v>46266</x:v>
      </x:c>
      <x:c r="M628"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x:v>
      </x:c>
      <x:c r="N628" s="15" t="str">
        <x:v>https://prozorro.gov.ua/tender/UA-2026-07-08-007873-a</x:v>
      </x:c>
    </x:row>
    <x:row r="629">
      <x:c r="A629" s="14" t="n">
        <x:v>625</x:v>
      </x:c>
      <x:c r="B629" s="14" t="str">
        <x:v>ТОВАРИСТВО З ОБМЕЖЕНОЮ ВІДПОВІДАЛЬНІСТЮ "УКРЕНЕРГОБУДПРОЕКТ"</x:v>
      </x:c>
      <x:c r="C629" s="14" t="str">
        <x:v>35444619</x:v>
      </x:c>
      <x:c r="D629" s="14" t="str">
        <x:v>Сонячна енергетика</x:v>
      </x:c>
      <x:c r="E629" s="14" t="str">
        <x:v>Pilot now</x:v>
      </x:c>
      <x:c r="F629" s="14" t="str">
        <x:v>I3</x:v>
      </x:c>
      <x:c r="G629" s="14" t="n">
        <x:v>50</x:v>
      </x:c>
      <x:c r="H629" s="14" t="n">
        <x:v>1</x:v>
      </x:c>
      <x:c r="I629" s="14" t="n">
        <x:v>1</x:v>
      </x:c>
      <x:c r="J629" s="18" t="n">
        <x:v>464488.79</x:v>
      </x:c>
      <x:c r="K629" s="19" t="n">
        <x:v>46140.44659778935</x:v>
      </x:c>
      <x:c r="L629" s="19" t="n">
        <x:v>46356</x:v>
      </x:c>
      <x:c r="M629" s="15" t="str">
        <x:v>Нове будівництво ПЛ-35 кВ Л-700 (1С-35 кВ) «Перегонівка -  ФЕС Сонячна-3» та ПЛ-35 кВ Л-770 (2С-35 кВ) «Перегонівка -  ФЕС Сонячна-3» у зв’язку із приєднанням сонячної електростанції ТОВ «СОНЯЧНА-3» в с.Перегонівка Голованівського району Кіровоградської області, кад. №3521486000:51:000:0342» </x:v>
      </x:c>
      <x:c r="N629" s="15" t="str">
        <x:v>https://prozorro.gov.ua/tender/UA-2026-04-28-007744-a</x:v>
      </x:c>
    </x:row>
    <x:row r="630">
      <x:c r="A630" s="14" t="n">
        <x:v>626</x:v>
      </x:c>
      <x:c r="B630" s="14" t="str">
        <x:v>ТОВАРИСТВО З ОБМЕЖЕНОЮ ВІДПОВІДАЛЬНІСТЮ «А-ЛАЙН»</x:v>
      </x:c>
      <x:c r="C630" s="14" t="str">
        <x:v>43729717</x:v>
      </x:c>
      <x:c r="D630" s="14" t="str">
        <x:v>Сонячна енергетика</x:v>
      </x:c>
      <x:c r="E630" s="14" t="str">
        <x:v>Pilot now</x:v>
      </x:c>
      <x:c r="F630" s="14" t="str">
        <x:v>I3</x:v>
      </x:c>
      <x:c r="G630" s="14" t="n">
        <x:v>50</x:v>
      </x:c>
      <x:c r="H630" s="14" t="n">
        <x:v>1</x:v>
      </x:c>
      <x:c r="I630" s="14" t="n">
        <x:v>1</x:v>
      </x:c>
      <x:c r="J630" s="18" t="n">
        <x:v>445930.8</x:v>
      </x:c>
      <x:c r="K630" s="19" t="n">
        <x:v>46175.37241267361</x:v>
      </x:c>
      <x:c r="L630" s="19" t="n">
        <x:v>46387</x:v>
      </x:c>
      <x:c r="M630" s="15" t="str">
        <x:v>Нове будівництво сонячних електростанцій Південної філії ДП «АМПУ», за адресою: м. Південне, Одеський район, Одеської області, вул. Берегова, 11 (проектні роботи)</x:v>
      </x:c>
      <x:c r="N630" s="15" t="str">
        <x:v>https://prozorro.gov.ua/tender/UA-2026-06-02-005064-a</x:v>
      </x:c>
    </x:row>
    <x:row r="631">
      <x:c r="A631" s="14" t="n">
        <x:v>627</x:v>
      </x:c>
      <x:c r="B631" s="14" t="str">
        <x:v>Товариство з обмеженою відповідальністю «Будбетон Сервіс»</x:v>
      </x:c>
      <x:c r="C631" s="14" t="str">
        <x:v>39067062</x:v>
      </x:c>
      <x:c r="D631" s="14" t="str">
        <x:v>HVAC / ОВіК</x:v>
      </x:c>
      <x:c r="E631" s="14" t="str">
        <x:v>Pilot now</x:v>
      </x:c>
      <x:c r="F631" s="14" t="str">
        <x:v>I3</x:v>
      </x:c>
      <x:c r="G631" s="14" t="n">
        <x:v>50</x:v>
      </x:c>
      <x:c r="H631" s="14" t="n">
        <x:v>1</x:v>
      </x:c>
      <x:c r="I631" s="14" t="n">
        <x:v>1</x:v>
      </x:c>
      <x:c r="J631" s="18" t="n">
        <x:v>150881</x:v>
      </x:c>
      <x:c r="K631" s="19" t="n">
        <x:v>46178.49249604167</x:v>
      </x:c>
      <x:c r="L631" s="19" t="n">
        <x:v>46387.53518518519</x:v>
      </x:c>
      <x:c r="M631"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x:v>
      </x:c>
      <x:c r="N631" s="15" t="str">
        <x:v>https://prozorro.gov.ua/tender/UA-2026-06-05-009222-a</x:v>
      </x:c>
    </x:row>
    <x:row r="632">
      <x:c r="A632" s="14" t="n">
        <x:v>628</x:v>
      </x:c>
      <x:c r="B632" s="14" t="str">
        <x:v>ТОВАРИСТВО З ОБМЕЖЕНОЮ ВІД­ПО­ВІД­АЛЬ­НІ­СТЮ «КРАТОС ПОЖЕЖНА ОХОРОНА»</x:v>
      </x:c>
      <x:c r="C632" s="14" t="str">
        <x:v>44229483</x:v>
      </x:c>
      <x:c r="D632" s="14" t="str">
        <x:v>Пожежогасіння</x:v>
      </x:c>
      <x:c r="E632" s="14" t="str">
        <x:v>Expansion discovery</x:v>
      </x:c>
      <x:c r="F632" s="14" t="str">
        <x:v>I3</x:v>
      </x:c>
      <x:c r="G632" s="14" t="n">
        <x:v>50</x:v>
      </x:c>
      <x:c r="H632" s="14" t="n">
        <x:v>1</x:v>
      </x:c>
      <x:c r="I632" s="14" t="n">
        <x:v>1</x:v>
      </x:c>
      <x:c r="J632" s="18" t="n">
        <x:v>179394.48</x:v>
      </x:c>
      <x:c r="K632" s="19" t="n">
        <x:v>46205.501769236114</x:v>
      </x:c>
      <x:c r="L632" s="19" t="n">
        <x:v>46265</x:v>
      </x:c>
      <x:c r="M632" s="15" t="str">
        <x:v>Монтаж системи пожежної сигналізації внутрішніх приміщень будинку за адресою: вул. Помірки, 27 в місті Харкові</x:v>
      </x:c>
      <x:c r="N632" s="15" t="str">
        <x:v>https://prozorro.gov.ua/tender/UA-2026-07-02-007340-a</x:v>
      </x:c>
    </x:row>
    <x:row r="633">
      <x:c r="A633" s="14" t="n">
        <x:v>629</x:v>
      </x:c>
      <x:c r="B633" s="14" t="str">
        <x:v>ДНІПРОВСЬКА ФІЛІЯ ДЕРЖАВНОГО ПІДПРИЄМСТВА "ДЕРЖАВНИЙ НАУКОВО-ДОСЛІДНИЙ ТА ПРОЕКТНО-ВИШУКУВАЛЬНИЙ ІНСТИТУТ "НДІПРОЕКТРЕКОНСТРУКЦІЯ"</x:v>
      </x:c>
      <x:c r="C633" s="14" t="str">
        <x:v>03328965</x:v>
      </x:c>
      <x:c r="D633" s="14" t="str">
        <x:v>Зовнішні мережі</x:v>
      </x:c>
      <x:c r="E633" s="14" t="str">
        <x:v>Expansion discovery</x:v>
      </x:c>
      <x:c r="F633" s="14" t="str">
        <x:v>I3</x:v>
      </x:c>
      <x:c r="G633" s="14" t="n">
        <x:v>50</x:v>
      </x:c>
      <x:c r="H633" s="14" t="n">
        <x:v>2</x:v>
      </x:c>
      <x:c r="I633" s="14" t="n">
        <x:v>0</x:v>
      </x:c>
      <x:c r="J633" s="18" t="n">
        <x:v>138688.69</x:v>
      </x:c>
      <x:c r="K633" s="19" t="n">
        <x:v>46155.56610253472</x:v>
      </x:c>
      <x:c r="L633" s="19" t="n">
        <x:v>46185</x:v>
      </x:c>
      <x:c r="M633"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x:v>
      </x:c>
      <x:c r="N633" s="15" t="str">
        <x:v>https://prozorro.gov.ua/tender/UA-2026-05-13-012248-a</x:v>
      </x:c>
    </x:row>
    <x:row r="634">
      <x:c r="A634" s="14" t="n">
        <x:v>630</x:v>
      </x:c>
      <x:c r="B634" s="14" t="str">
        <x:v>КАЛЬНОЙ ДМИТРО ВІКТОРОВИЧ</x:v>
      </x:c>
      <x:c r="C634" s="14" t="str">
        <x:v>2488309479</x:v>
      </x:c>
      <x:c r="D634" s="14" t="str">
        <x:v>Фасади та скління</x:v>
      </x:c>
      <x:c r="E634" s="14" t="str">
        <x:v>Expansion discovery</x:v>
      </x:c>
      <x:c r="F634" s="14" t="str">
        <x:v>I3</x:v>
      </x:c>
      <x:c r="G634" s="14" t="n">
        <x:v>50</x:v>
      </x:c>
      <x:c r="H634" s="14" t="n">
        <x:v>1</x:v>
      </x:c>
      <x:c r="I634" s="14" t="n">
        <x:v>0</x:v>
      </x:c>
      <x:c r="J634" s="18" t="n">
        <x:v>199499</x:v>
      </x:c>
      <x:c r="K634" s="19" t="n">
        <x:v>46164.26954340278</x:v>
      </x:c>
      <x:c r="L634" s="19" t="n">
        <x:v>46204</x:v>
      </x:c>
      <x:c r="M634" s="15" t="str">
        <x:v>послуги з часткового утеплення фасаду установи</x:v>
      </x:c>
      <x:c r="N634" s="15" t="str">
        <x:v>https://prozorro.gov.ua/tender/UA-2026-05-22-000967-a</x:v>
      </x:c>
    </x:row>
    <x:row r="635">
      <x:c r="A635" s="14" t="n">
        <x:v>631</x:v>
      </x:c>
      <x:c r="B635" s="14" t="str">
        <x:v>КРУПСЬКИЙ КОСТЯНТИН ВІКТОРОВИЧ</x:v>
      </x:c>
      <x:c r="C635" s="14" t="str">
        <x:v>3173603918</x:v>
      </x:c>
      <x:c r="D635" s="14" t="str">
        <x:v>Внутрішні сантехнічні системи</x:v>
      </x:c>
      <x:c r="E635" s="14" t="str">
        <x:v>Pilot now</x:v>
      </x:c>
      <x:c r="F635" s="14" t="str">
        <x:v>I3</x:v>
      </x:c>
      <x:c r="G635" s="14" t="n">
        <x:v>50</x:v>
      </x:c>
      <x:c r="H635" s="14" t="n">
        <x:v>1</x:v>
      </x:c>
      <x:c r="I635" s="14" t="n">
        <x:v>0</x:v>
      </x:c>
      <x:c r="J635" s="18" t="n">
        <x:v>158543.52</x:v>
      </x:c>
      <x:c r="K635" s="19" t="n">
        <x:v>46164.27059743056</x:v>
      </x:c>
      <x:c r="L635" s="19" t="n">
        <x:v>46204</x:v>
      </x:c>
      <x:c r="M635"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x:v>
      </x:c>
      <x:c r="N635" s="15" t="str">
        <x:v>https://prozorro.gov.ua/tender/UA-2026-05-22-001007-a</x:v>
      </x:c>
    </x:row>
    <x:row r="636">
      <x:c r="A636" s="14" t="n">
        <x:v>632</x:v>
      </x:c>
      <x:c r="B636" s="14" t="str">
        <x:v>КУКУРІКА РУСЛАН ВАЛЕРІЙОВИЧ</x:v>
      </x:c>
      <x:c r="C636" s="14" t="str">
        <x:v>2785811130</x:v>
      </x:c>
      <x:c r="D636" s="14" t="str">
        <x:v>Металоконструкції</x:v>
      </x:c>
      <x:c r="E636" s="14" t="str">
        <x:v>Expansion discovery</x:v>
      </x:c>
      <x:c r="F636" s="14" t="str">
        <x:v>I3</x:v>
      </x:c>
      <x:c r="G636" s="14" t="n">
        <x:v>50</x:v>
      </x:c>
      <x:c r="H636" s="14" t="n">
        <x:v>3</x:v>
      </x:c>
      <x:c r="I636" s="14" t="n">
        <x:v>0</x:v>
      </x:c>
      <x:c r="J636" s="18" t="n">
        <x:v>64050</x:v>
      </x:c>
      <x:c r="K636" s="19" t="n">
        <x:v>45819.3383777662</x:v>
      </x:c>
      <x:c r="L636" s="19" t="n">
        <x:v>45900</x:v>
      </x:c>
      <x:c r="M636" s="15" t="str">
        <x:v>Послуги з виготовлення та монтажу металоконструкцій</x:v>
      </x:c>
      <x:c r="N636" s="15" t="str">
        <x:v>https://prozorro.gov.ua/tender/UA-2025-06-11-003347-a</x:v>
      </x:c>
    </x:row>
    <x:row r="637">
      <x:c r="A637" s="14" t="n">
        <x:v>633</x:v>
      </x:c>
      <x:c r="B637" s="14" t="str">
        <x:v>ПП "БУДКОМПЛЕКТ-ІНЖИНІРИНГ"</x:v>
      </x:c>
      <x:c r="C637" s="14" t="str">
        <x:v>36282055</x:v>
      </x:c>
      <x:c r="D637" s="14" t="str">
        <x:v>Димовидалення</x:v>
      </x:c>
      <x:c r="E637" s="14" t="str">
        <x:v>Expansion discovery</x:v>
      </x:c>
      <x:c r="F637" s="14" t="str">
        <x:v>I3</x:v>
      </x:c>
      <x:c r="G637" s="14" t="n">
        <x:v>50</x:v>
      </x:c>
      <x:c r="H637" s="14" t="n">
        <x:v>1</x:v>
      </x:c>
      <x:c r="I637" s="14" t="n">
        <x:v>0</x:v>
      </x:c>
      <x:c r="J637" s="18" t="n">
        <x:v>3632050</x:v>
      </x:c>
      <x:c r="K637" s="19" t="n">
        <x:v>46106.35317649305</x:v>
      </x:c>
      <x:c r="L637" s="19" t="n">
        <x:v>46203</x:v>
      </x:c>
      <x:c r="M637" s="15" t="str">
        <x:v>Електромонтажні роботи. (Послуги з монтажу системи димовидалення).</x:v>
      </x:c>
      <x:c r="N637" s="15" t="str">
        <x:v>https://prozorro.gov.ua/tender/UA-2026-03-11-001228-a</x:v>
      </x:c>
    </x:row>
    <x:row r="638">
      <x:c r="A638" s="14" t="n">
        <x:v>634</x:v>
      </x:c>
      <x:c r="B638" s="14" t="str">
        <x:v>Приватне багатопрофільне підприємство «Вимал»</x:v>
      </x:c>
      <x:c r="C638" s="14" t="str">
        <x:v>14224631</x:v>
      </x:c>
      <x:c r="D638" s="14" t="str">
        <x:v>Водоочищення / очисні споруди</x:v>
      </x:c>
      <x:c r="E638" s="14" t="str">
        <x:v>Expansion discovery</x:v>
      </x:c>
      <x:c r="F638" s="14" t="str">
        <x:v>I3</x:v>
      </x:c>
      <x:c r="G638" s="14" t="n">
        <x:v>50</x:v>
      </x:c>
      <x:c r="H638" s="14" t="n">
        <x:v>1</x:v>
      </x:c>
      <x:c r="I638" s="14" t="n">
        <x:v>0</x:v>
      </x:c>
      <x:c r="J638" s="18" t="n">
        <x:v>3330475.17</x:v>
      </x:c>
      <x:c r="K638" s="19" t="n">
        <x:v>46065.57695744213</x:v>
      </x:c>
      <x:c r="L638" s="19" t="n">
        <x:v>46112.53383101852</x:v>
      </x:c>
      <x:c r="M638"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x:v>
      </x:c>
      <x:c r="N638" s="15" t="str">
        <x:v>https://prozorro.gov.ua/tender/UA-2026-02-12-011167-a</x:v>
      </x:c>
    </x:row>
    <x:row r="639">
      <x:c r="A639" s="14" t="n">
        <x:v>635</x:v>
      </x:c>
      <x:c r="B639" s="14" t="str">
        <x:v>ТзОВ "Інфоком"</x:v>
      </x:c>
      <x:c r="C639" s="14" t="str">
        <x:v>25228900</x:v>
      </x:c>
      <x:c r="D639" s="14" t="str">
        <x:v>ГНБ / безтраншейні роботи</x:v>
      </x:c>
      <x:c r="E639" s="14" t="str">
        <x:v>Expansion discovery</x:v>
      </x:c>
      <x:c r="F639" s="14" t="str">
        <x:v>I3</x:v>
      </x:c>
      <x:c r="G639" s="14" t="n">
        <x:v>50</x:v>
      </x:c>
      <x:c r="H639" s="14" t="n">
        <x:v>5</x:v>
      </x:c>
      <x:c r="I639" s="14" t="n">
        <x:v>0</x:v>
      </x:c>
      <x:c r="J639" s="18" t="n">
        <x:v>391083.70999999996</x:v>
      </x:c>
      <x:c r="K639" s="19" t="n">
        <x:v>45574.337673333335</x:v>
      </x:c>
      <x:c r="L639" s="19" t="n">
        <x:v>45657.380324074074</x:v>
      </x:c>
      <x:c r="M639" s="15" t="str">
        <x:v>Роботи по здійсненню проколів методом горизонтально-направленого буріння із затягуванням п/е труби діаметром 225" за адресую: Львівська область місто Дрогобич вулиця Самбірська</x:v>
      </x:c>
      <x:c r="N639" s="15" t="str">
        <x:v>https://prozorro.gov.ua/tender/UA-2024-10-09-003692-a</x:v>
      </x:c>
    </x:row>
    <x:row r="640">
      <x:c r="A640" s="14" t="n">
        <x:v>636</x:v>
      </x:c>
      <x:c r="B640" s="14" t="str">
        <x:v>ТОВ "ІНЖСПЕЦБУД"</x:v>
      </x:c>
      <x:c r="C640" s="14" t="str">
        <x:v>34320769</x:v>
      </x:c>
      <x:c r="D640" s="14" t="str">
        <x:v>Залізнична інфраструктура</x:v>
      </x:c>
      <x:c r="E640" s="14" t="str">
        <x:v>Expansion discovery</x:v>
      </x:c>
      <x:c r="F640" s="14" t="str">
        <x:v>I3</x:v>
      </x:c>
      <x:c r="G640" s="14" t="n">
        <x:v>50</x:v>
      </x:c>
      <x:c r="H640" s="14" t="n">
        <x:v>1</x:v>
      </x:c>
      <x:c r="I640" s="14" t="n">
        <x:v>0</x:v>
      </x:c>
      <x:c r="J640" s="18" t="n">
        <x:v>384836.57</x:v>
      </x:c>
      <x:c r="K640" s="19" t="n">
        <x:v>46189.340833877315</x:v>
      </x:c>
      <x:c r="L640" s="19" t="n">
        <x:v>46234.34204861111</x:v>
      </x:c>
      <x:c r="M640" s="15" t="str">
        <x:v>Капітальний ремонт зовнішньої мережі водопостачання м. Роздільна, вул. Тираспольська з улаштуванням відводу від існуючого магістрального водогону під залізничною колією до точки приєднання до централізованої системи водопостачання м. Роздільна вул. Привокзальна для забезпечення водопостачання об’єктів критичної інфраструктури та населення міста</x:v>
      </x:c>
      <x:c r="N640" s="15" t="str">
        <x:v>https://prozorro.gov.ua/tender/UA-2026-06-16-003639-a</x:v>
      </x:c>
    </x:row>
    <x:row r="641">
      <x:c r="A641" s="14" t="n">
        <x:v>637</x:v>
      </x:c>
      <x:c r="B641" s="14" t="str">
        <x:v>ТОВАРИСТВО З ОБМЕЖЕНОЮ ВІДПОВІДАЛЬНІСТЮ "РАДІО-ЛІНК"</x:v>
      </x:c>
      <x:c r="C641" s="14" t="str">
        <x:v>37874968</x:v>
      </x:c>
      <x:c r="D641" s="14" t="str">
        <x:v>ВОЛЗ / телеком</x:v>
      </x:c>
      <x:c r="E641" s="14" t="str">
        <x:v>Expansion discovery</x:v>
      </x:c>
      <x:c r="F641" s="14" t="str">
        <x:v>I3</x:v>
      </x:c>
      <x:c r="G641" s="14" t="n">
        <x:v>50</x:v>
      </x:c>
      <x:c r="H641" s="14" t="n">
        <x:v>3</x:v>
      </x:c>
      <x:c r="I641" s="14" t="n">
        <x:v>0</x:v>
      </x:c>
      <x:c r="J641" s="18" t="n">
        <x:v>104945.7</x:v>
      </x:c>
      <x:c r="K641" s="19" t="n">
        <x:v>45590.29130611111</x:v>
      </x:c>
      <x:c r="L641" s="19" t="n">
        <x:v>45657</x:v>
      </x:c>
      <x:c r="M641" s="15" t="str">
        <x:v>Виконавець надає Комунальному закладу "Сахновщинський ліцей №2" Сахновщинської селищної ради Красноградського району Харківської області комплексні послуги з монтажу, встановлення, та налаштування телекомунікаційного обладнання (з подальшою можливістю його використання для отримання телекомунікаційних послуг, а саме: послуги доступу до мережі "Інтернет" )</x:v>
      </x:c>
      <x:c r="N641" s="15" t="str">
        <x:v>https://prozorro.gov.ua/tender/UA-2024-10-25-002059-a</x:v>
      </x:c>
    </x:row>
    <x:row r="642">
      <x:c r="A642" s="14" t="n">
        <x:v>638</x:v>
      </x:c>
      <x:c r="B642" s="14" t="str">
        <x:v>ТОВАРИСТВО З ОБМЕЖЕНОЮ ВІДПОВІДАЛЬНІСТЮ "ШЛЯХІНВЕСТ ЛТД"</x:v>
      </x:c>
      <x:c r="C642" s="14" t="str">
        <x:v>41050304</x:v>
      </x:c>
      <x:c r="D642" s="14" t="str">
        <x:v>Насосні станції</x:v>
      </x:c>
      <x:c r="E642" s="14" t="str">
        <x:v>Expansion discovery</x:v>
      </x:c>
      <x:c r="F642" s="14" t="str">
        <x:v>I3</x:v>
      </x:c>
      <x:c r="G642" s="14" t="n">
        <x:v>50</x:v>
      </x:c>
      <x:c r="H642" s="14" t="n">
        <x:v>1</x:v>
      </x:c>
      <x:c r="I642" s="14" t="n">
        <x:v>0</x:v>
      </x:c>
      <x:c r="J642" s="18" t="n">
        <x:v>225264.1</x:v>
      </x:c>
      <x:c r="K642" s="19" t="n">
        <x:v>46206.46372403935</x:v>
      </x:c>
      <x:c r="L642" s="19" t="n">
        <x:v>46233</x:v>
      </x:c>
      <x:c r="M642" s="15" t="str">
        <x:v>"Реконструкція РУ-6 кВ будівлі машинної (насосної станції № 1) (інв. № 1) шляхом розміщення та підключення когенераційних газопоршневих установок (КГПУ) за адресою: м. Харків, вул. ****. Відновлення асфальтобетонного покриття" (по ДК 021:2015 - 45230000-8 – Будівництво трубопроводів, ліній зв'язку та електропередач, шосе, доріг, аеродромів і залізничних доріг, вирівнювання поверхонь)</x:v>
      </x:c>
      <x:c r="N642" s="15" t="str">
        <x:v>https://prozorro.gov.ua/tender/UA-2026-07-03-006546-a</x:v>
      </x:c>
    </x:row>
    <x:row r="643">
      <x:c r="A643" s="14" t="n">
        <x:v>639</x:v>
      </x:c>
      <x:c r="B643" s="14" t="str">
        <x:v>ТОВАРИСТВО З ОБМЕЖЕНОЮ ВІДПОВІДАЛЬНІСТЮ «ЕКСПОНЕНТАБУД»</x:v>
      </x:c>
      <x:c r="C643" s="14" t="str">
        <x:v>43750639</x:v>
      </x:c>
      <x:c r="D643" s="14" t="str">
        <x:v>Водоочищення / очисні споруди</x:v>
      </x:c>
      <x:c r="E643" s="14" t="str">
        <x:v>Expansion discovery</x:v>
      </x:c>
      <x:c r="F643" s="14" t="str">
        <x:v>I3</x:v>
      </x:c>
      <x:c r="G643" s="14" t="n">
        <x:v>50</x:v>
      </x:c>
      <x:c r="H643" s="14" t="n">
        <x:v>1</x:v>
      </x:c>
      <x:c r="I643" s="14" t="n">
        <x:v>0</x:v>
      </x:c>
      <x:c r="J643" s="18" t="n">
        <x:v>9248219.52</x:v>
      </x:c>
      <x:c r="K643" s="19" t="n">
        <x:v>46021.49623435185</x:v>
      </x:c>
      <x:c r="L643" s="19" t="n">
        <x:v>46053</x:v>
      </x:c>
      <x:c r="M643"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x:v>
      </x:c>
      <x:c r="N643" s="15" t="str">
        <x:v>https://prozorro.gov.ua/tender/UA-2025-12-30-005731-a</x:v>
      </x:c>
    </x:row>
    <x:row r="644">
      <x:c r="A644" s="14" t="n">
        <x:v>640</x:v>
      </x:c>
      <x:c r="B644" s="14" t="str">
        <x:v>ФОП РИЖИХ АНДРІЙ ІГОРОВИЧ</x:v>
      </x:c>
      <x:c r="C644" s="14" t="str">
        <x:v>3011512852</x:v>
      </x:c>
      <x:c r="D644" s="14" t="str">
        <x:v>HVAC / ОВіК</x:v>
      </x:c>
      <x:c r="E644" s="14" t="str">
        <x:v>Pilot now</x:v>
      </x:c>
      <x:c r="F644" s="14" t="str">
        <x:v>I3</x:v>
      </x:c>
      <x:c r="G644" s="14" t="n">
        <x:v>50</x:v>
      </x:c>
      <x:c r="H644" s="14" t="n">
        <x:v>3</x:v>
      </x:c>
      <x:c r="I644" s="14" t="n">
        <x:v>0</x:v>
      </x:c>
      <x:c r="J644" s="18" t="n">
        <x:v>69700</x:v>
      </x:c>
      <x:c r="K644" s="19" t="n">
        <x:v>45884.382174722225</x:v>
      </x:c>
      <x:c r="L644" s="19" t="n">
        <x:v>46022</x:v>
      </x:c>
      <x:c r="M644" s="15" t="str">
        <x:v>Послуги з монтажу, демонтажу, ремонту та сервісного обслуговування холодильного обладнання, систем вентиляції та кондиціювання</x:v>
      </x:c>
      <x:c r="N644" s="15" t="str">
        <x:v>https://prozorro.gov.ua/tender/UA-2025-08-15-004713-a</x:v>
      </x:c>
    </x:row>
    <x:row r="645">
      <x:c r="A645" s="14" t="n">
        <x:v>641</x:v>
      </x:c>
      <x:c r="B645" s="14" t="str">
        <x:v>ЧМИХУН МИХАЙЛО ОЛЕКСАНДРОВИЧ</x:v>
      </x:c>
      <x:c r="C645" s="14" t="str">
        <x:v>3161702299</x:v>
      </x:c>
      <x:c r="D645" s="14" t="str">
        <x:v>Внутрішні сантехнічні системи</x:v>
      </x:c>
      <x:c r="E645" s="14" t="str">
        <x:v>Pilot now</x:v>
      </x:c>
      <x:c r="F645" s="14" t="str">
        <x:v>I3</x:v>
      </x:c>
      <x:c r="G645" s="14" t="n">
        <x:v>50</x:v>
      </x:c>
      <x:c r="H645" s="14" t="n">
        <x:v>1</x:v>
      </x:c>
      <x:c r="I645" s="14" t="n">
        <x:v>0</x:v>
      </x:c>
      <x:c r="J645" s="18" t="n">
        <x:v>420202.31</x:v>
      </x:c>
      <x:c r="K645" s="19" t="n">
        <x:v>46181.50200851852</x:v>
      </x:c>
      <x:c r="L645" s="19" t="n">
        <x:v>46218</x:v>
      </x:c>
      <x:c r="M645"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x:v>
      </x:c>
      <x:c r="N645" s="15" t="str">
        <x:v>https://prozorro.gov.ua/tender/UA-2026-06-08-008920-a</x:v>
      </x:c>
    </x:row>
    <x:row r="646">
      <x:c r="A646" s="14" t="n">
        <x:v>642</x:v>
      </x:c>
      <x:c r="B646" s="14" t="str">
        <x:v>ФОП КОЧІН ВІКТОР ПАВЛОВИЧ</x:v>
      </x:c>
      <x:c r="C646" s="14" t="str">
        <x:v>2835404632</x:v>
      </x:c>
      <x:c r="D646" s="14" t="str">
        <x:v>Внутрішні сантехнічні системи</x:v>
      </x:c>
      <x:c r="E646" s="14" t="str">
        <x:v>Pilot now</x:v>
      </x:c>
      <x:c r="F646" s="14" t="str">
        <x:v>I3</x:v>
      </x:c>
      <x:c r="G646" s="14" t="n">
        <x:v>49</x:v>
      </x:c>
      <x:c r="H646" s="14" t="n">
        <x:v>2</x:v>
      </x:c>
      <x:c r="I646" s="14" t="n">
        <x:v>2</x:v>
      </x:c>
      <x:c r="J646" s="18" t="n">
        <x:v>399884.99</x:v>
      </x:c>
      <x:c r="K646" s="19" t="n">
        <x:v>46077.51951358796</x:v>
      </x:c>
      <x:c r="L646" s="19" t="n">
        <x:v>46387</x:v>
      </x:c>
      <x:c r="M646"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x:v>
      </x:c>
      <x:c r="N646" s="15" t="str">
        <x:v>https://prozorro.gov.ua/tender/UA-2026-02-24-009162-a</x:v>
      </x:c>
    </x:row>
    <x:row r="647">
      <x:c r="A647" s="14" t="n">
        <x:v>643</x:v>
      </x:c>
      <x:c r="B647" s="14" t="str">
        <x:v>ФОП ЛОГІНОВ ОЛЕКСАНДР ІВАНОВИЧ</x:v>
      </x:c>
      <x:c r="C647" s="14" t="str">
        <x:v>2444315539</x:v>
      </x:c>
      <x:c r="D647" s="14" t="str">
        <x:v>Медичні гази</x:v>
      </x:c>
      <x:c r="E647" s="14" t="str">
        <x:v>Expansion discovery</x:v>
      </x:c>
      <x:c r="F647" s="14" t="str">
        <x:v>I3</x:v>
      </x:c>
      <x:c r="G647" s="14" t="n">
        <x:v>49</x:v>
      </x:c>
      <x:c r="H647" s="14" t="n">
        <x:v>2</x:v>
      </x:c>
      <x:c r="I647" s="14" t="n">
        <x:v>2</x:v>
      </x:c>
      <x:c r="J647" s="18" t="n">
        <x:v>328689</x:v>
      </x:c>
      <x:c r="K647" s="19" t="n">
        <x:v>46248.29334256944</x:v>
      </x:c>
      <x:c r="L647" s="19" t="n">
        <x:v>46378.46013888889</x:v>
      </x:c>
      <x:c r="M647" s="15" t="str">
        <x:v>50420000-5 Послуги з ремонту і технічного обслуговування медичного та хірургічного обладнання (Послуги з поточного ремонту лампи операційної, стерилізатора парового, шафи сухожарової, дистилятора, медичної консолі, технічне обслуговування та монтажу системи киснепостачання)</x:v>
      </x:c>
      <x:c r="N647" s="15" t="str">
        <x:v>https://prozorro.gov.ua/tender/UA-2026-08-06-005657-a</x:v>
      </x:c>
    </x:row>
    <x:row r="648">
      <x:c r="A648" s="14" t="n">
        <x:v>644</x:v>
      </x:c>
      <x:c r="B648" s="14" t="str">
        <x:v>БОДУ ДАНІЕЛЬ ЖАКОВИЧ</x:v>
      </x:c>
      <x:c r="C648" s="14" t="str">
        <x:v>3493403975</x:v>
      </x:c>
      <x:c r="D648" s="14" t="str">
        <x:v>Сонячна енергетика</x:v>
      </x:c>
      <x:c r="E648" s="14" t="str">
        <x:v>Expansion discovery</x:v>
      </x:c>
      <x:c r="F648" s="14" t="str">
        <x:v>I3</x:v>
      </x:c>
      <x:c r="G648" s="14" t="n">
        <x:v>49</x:v>
      </x:c>
      <x:c r="H648" s="14" t="n">
        <x:v>1</x:v>
      </x:c>
      <x:c r="I648" s="14" t="n">
        <x:v>1</x:v>
      </x:c>
      <x:c r="J648" s="18" t="n">
        <x:v>54361.13</x:v>
      </x:c>
      <x:c r="K648" s="19" t="n">
        <x:v>46252.3238228125</x:v>
      </x:c>
      <x:c r="L648" s="19" t="n">
        <x:v>46265</x:v>
      </x:c>
      <x:c r="M648" s="15" t="str">
        <x:v>Монтаж і пусконалагоджувальні роботи сонячної електростанції </x:v>
      </x:c>
      <x:c r="N648" s="15" t="str">
        <x:v>https://prozorro.gov.ua/tender/UA-2026-08-18-002619-a</x:v>
      </x:c>
    </x:row>
    <x:row r="649">
      <x:c r="A649" s="14" t="n">
        <x:v>645</x:v>
      </x:c>
      <x:c r="B649" s="14" t="str">
        <x:v>Бурков Віталій Анатолійович</x:v>
      </x:c>
      <x:c r="C649" s="14" t="str">
        <x:v>2828322593</x:v>
      </x:c>
      <x:c r="D649" s="14" t="str">
        <x:v>Пожежогасіння</x:v>
      </x:c>
      <x:c r="E649" s="14" t="str">
        <x:v>Expansion discovery</x:v>
      </x:c>
      <x:c r="F649" s="14" t="str">
        <x:v>I3</x:v>
      </x:c>
      <x:c r="G649" s="14" t="n">
        <x:v>49</x:v>
      </x:c>
      <x:c r="H649" s="14" t="n">
        <x:v>1</x:v>
      </x:c>
      <x:c r="I649" s="14" t="n">
        <x:v>1</x:v>
      </x:c>
      <x:c r="J649" s="18" t="n">
        <x:v>49956</x:v>
      </x:c>
      <x:c r="K649" s="19" t="n">
        <x:v>46213.349758993056</x:v>
      </x:c>
      <x:c r="L649" s="19" t="n">
        <x:v>46387</x:v>
      </x:c>
      <x:c r="M649" s="15" t="str">
        <x:v>Послуги з проектування, монтажу та пусконалагодження системи пожежної сигналізації, оповіщення про пожежу та управління евакуацією людей</x:v>
      </x:c>
      <x:c r="N649" s="15" t="str">
        <x:v>https://prozorro.gov.ua/tender/UA-2026-07-10-003474-a</x:v>
      </x:c>
    </x:row>
    <x:row r="650">
      <x:c r="A650" s="14" t="n">
        <x:v>646</x:v>
      </x:c>
      <x:c r="B650" s="14" t="str">
        <x:v>ГАРБУЗ ОЛЕНА МИКОЛАЇВНА</x:v>
      </x:c>
      <x:c r="C650" s="14" t="str">
        <x:v>2602716885</x:v>
      </x:c>
      <x:c r="D650" s="14" t="str">
        <x:v>Промисловий холод</x:v>
      </x:c>
      <x:c r="E650" s="14" t="str">
        <x:v>Expansion discovery</x:v>
      </x:c>
      <x:c r="F650" s="14" t="str">
        <x:v>I3</x:v>
      </x:c>
      <x:c r="G650" s="14" t="n">
        <x:v>49</x:v>
      </x:c>
      <x:c r="H650" s="14" t="n">
        <x:v>1</x:v>
      </x:c>
      <x:c r="I650" s="14" t="n">
        <x:v>1</x:v>
      </x:c>
      <x:c r="J650" s="18" t="n">
        <x:v>41025</x:v>
      </x:c>
      <x:c r="K650" s="19" t="n">
        <x:v>46248.34964133102</x:v>
      </x:c>
      <x:c r="L650" s="19" t="n">
        <x:v>46264</x:v>
      </x:c>
      <x:c r="M650" s="15" t="str">
        <x:v>Послуги монтажу холодильного обладнання  згідно коду ДК 021: 2015: 50730000-1 Послуги з ремонту і технічного обслуговування охолоджувальних установок.</x:v>
      </x:c>
      <x:c r="N650" s="15" t="str">
        <x:v>https://prozorro.gov.ua/tender/UA-2026-08-14-003644-a</x:v>
      </x:c>
    </x:row>
    <x:row r="651">
      <x:c r="A651" s="14" t="n">
        <x:v>647</x:v>
      </x:c>
      <x:c r="B651" s="14" t="str">
        <x:v>Геба Володимир Антонович</x:v>
      </x:c>
      <x:c r="C651" s="14" t="str">
        <x:v>3079916295</x:v>
      </x:c>
      <x:c r="D651" s="14" t="str">
        <x:v>HVAC / ОВіК</x:v>
      </x:c>
      <x:c r="E651" s="14" t="str">
        <x:v>Pilot now</x:v>
      </x:c>
      <x:c r="F651" s="14" t="str">
        <x:v>I3</x:v>
      </x:c>
      <x:c r="G651" s="14" t="n">
        <x:v>49</x:v>
      </x:c>
      <x:c r="H651" s="14" t="n">
        <x:v>1</x:v>
      </x:c>
      <x:c r="I651" s="14" t="n">
        <x:v>1</x:v>
      </x:c>
      <x:c r="J651" s="18" t="n">
        <x:v>23376.62</x:v>
      </x:c>
      <x:c r="K651" s="19" t="n">
        <x:v>46237.34082188657</x:v>
      </x:c>
      <x:c r="L651" s="19" t="n">
        <x:v>46258.34303240741</x:v>
      </x:c>
      <x:c r="M651" s="15" t="str">
        <x:v>Послуги з поточного ремонту системи опалення (демонтаж, монтаж радіаторів системи опалення)</x:v>
      </x:c>
      <x:c r="N651" s="15" t="str">
        <x:v>https://prozorro.gov.ua/tender/UA-2026-08-03-002707-a</x:v>
      </x:c>
    </x:row>
    <x:row r="652">
      <x:c r="A652" s="14" t="n">
        <x:v>648</x:v>
      </x:c>
      <x:c r="B652" s="14" t="str">
        <x:v>ГУЗАР ІГОР МИРОСЛАВОВИЧ</x:v>
      </x:c>
      <x:c r="C652" s="14" t="str">
        <x:v>2433815510</x:v>
      </x:c>
      <x:c r="D652" s="14" t="str">
        <x:v>Електромонтаж</x:v>
      </x:c>
      <x:c r="E652" s="14" t="str">
        <x:v>Pilot now</x:v>
      </x:c>
      <x:c r="F652" s="14" t="str">
        <x:v>I3</x:v>
      </x:c>
      <x:c r="G652" s="14" t="n">
        <x:v>49</x:v>
      </x:c>
      <x:c r="H652" s="14" t="n">
        <x:v>1</x:v>
      </x:c>
      <x:c r="I652" s="14" t="n">
        <x:v>1</x:v>
      </x:c>
      <x:c r="J652" s="18" t="n">
        <x:v>6000</x:v>
      </x:c>
      <x:c r="K652" s="19" t="n">
        <x:v>46244.24487738426</x:v>
      </x:c>
      <x:c r="L652" s="19" t="n">
        <x:v>46387</x:v>
      </x:c>
      <x:c r="M652" s="15" t="str">
        <x:v>Електромонтажні роботи</x:v>
      </x:c>
      <x:c r="N652" s="15" t="str">
        <x:v>https://prozorro.gov.ua/tender/UA-2026-08-10-000273-a</x:v>
      </x:c>
    </x:row>
    <x:row r="653">
      <x:c r="A653" s="14" t="n">
        <x:v>649</x:v>
      </x:c>
      <x:c r="B653" s="14" t="str">
        <x:v>ІЗЮМСЬКА СВІТЛАНА ОЛЕКСАНДРІВНА</x:v>
      </x:c>
      <x:c r="C653" s="14" t="str">
        <x:v>2931010984</x:v>
      </x:c>
      <x:c r="D653" s="14" t="str">
        <x:v>Безпека / СКУД / CCTV</x:v>
      </x:c>
      <x:c r="E653" s="14" t="str">
        <x:v>Expansion discovery</x:v>
      </x:c>
      <x:c r="F653" s="14" t="str">
        <x:v>I3</x:v>
      </x:c>
      <x:c r="G653" s="14" t="n">
        <x:v>49</x:v>
      </x:c>
      <x:c r="H653" s="14" t="n">
        <x:v>1</x:v>
      </x:c>
      <x:c r="I653" s="14" t="n">
        <x:v>1</x:v>
      </x:c>
      <x:c r="J653" s="18" t="n">
        <x:v>41933</x:v>
      </x:c>
      <x:c r="K653" s="19" t="n">
        <x:v>46246.51809078704</x:v>
      </x:c>
      <x:c r="L653" s="19" t="n">
        <x:v>46265</x:v>
      </x:c>
      <x:c r="M653" s="15" t="str">
        <x:v>послуги з монтажу, установки системи відеоспостереження</x:v>
      </x:c>
      <x:c r="N653" s="15" t="str">
        <x:v>https://prozorro.gov.ua/tender/UA-2026-08-12-008644-a</x:v>
      </x:c>
    </x:row>
    <x:row r="654">
      <x:c r="A654" s="14" t="n">
        <x:v>650</x:v>
      </x:c>
      <x:c r="B654" s="14" t="str">
        <x:v>КАРПЕНКО СЕРГІЙ МИКОЛАЙОВИЧ</x:v>
      </x:c>
      <x:c r="C654" s="14" t="str">
        <x:v>2821711877</x:v>
      </x:c>
      <x:c r="D654" s="14" t="str">
        <x:v>Водоочищення / очисні споруди</x:v>
      </x:c>
      <x:c r="E654" s="14" t="str">
        <x:v>Expansion discovery</x:v>
      </x:c>
      <x:c r="F654" s="14" t="str">
        <x:v>I3</x:v>
      </x:c>
      <x:c r="G654" s="14" t="n">
        <x:v>49</x:v>
      </x:c>
      <x:c r="H654" s="14" t="n">
        <x:v>1</x:v>
      </x:c>
      <x:c r="I654" s="14" t="n">
        <x:v>1</x:v>
      </x:c>
      <x:c r="J654" s="18" t="n">
        <x:v>13650</x:v>
      </x:c>
      <x:c r="K654" s="19" t="n">
        <x:v>46217.56952267361</x:v>
      </x:c>
      <x:c r="L654" s="19" t="n">
        <x:v>46387</x:v>
      </x:c>
      <x:c r="M654"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x:v>
      </x:c>
      <x:c r="N654" s="15" t="str">
        <x:v>https://prozorro.gov.ua/tender/UA-2026-07-14-011049-a</x:v>
      </x:c>
    </x:row>
    <x:row r="655">
      <x:c r="A655" s="14" t="n">
        <x:v>651</x:v>
      </x:c>
      <x:c r="B655" s="14" t="str">
        <x:v>КОЧНОВ ОЛЕКСАНДР АНАТОЛІЙОВИЧ</x:v>
      </x:c>
      <x:c r="C655" s="14" t="str">
        <x:v>3210001651</x:v>
      </x:c>
      <x:c r="D655" s="14" t="str">
        <x:v>Електромонтаж</x:v>
      </x:c>
      <x:c r="E655" s="14" t="str">
        <x:v>Pilot now</x:v>
      </x:c>
      <x:c r="F655" s="14" t="str">
        <x:v>I3</x:v>
      </x:c>
      <x:c r="G655" s="14" t="n">
        <x:v>49</x:v>
      </x:c>
      <x:c r="H655" s="14" t="n">
        <x:v>1</x:v>
      </x:c>
      <x:c r="I655" s="14" t="n">
        <x:v>1</x:v>
      </x:c>
      <x:c r="J655" s="18" t="n">
        <x:v>6000</x:v>
      </x:c>
      <x:c r="K655" s="19" t="n">
        <x:v>46230.49473087963</x:v>
      </x:c>
      <x:c r="L655" s="19" t="n">
        <x:v>46387</x:v>
      </x:c>
      <x:c r="M655" s="15" t="str">
        <x:v>Електромонтажні роботи</x:v>
      </x:c>
      <x:c r="N655" s="15" t="str">
        <x:v>https://prozorro.gov.ua/tender/UA-2026-07-27-007322-a</x:v>
      </x:c>
    </x:row>
    <x:row r="656">
      <x:c r="A656" s="14" t="n">
        <x:v>652</x:v>
      </x:c>
      <x:c r="B656" s="14" t="str">
        <x:v>КРАВЦОВ ЯКІВ ОЛЕГОВИЧ</x:v>
      </x:c>
      <x:c r="C656" s="14" t="str">
        <x:v>3179623274</x:v>
      </x:c>
      <x:c r="D656" s="14" t="str">
        <x:v>Насосні станції</x:v>
      </x:c>
      <x:c r="E656" s="14" t="str">
        <x:v>Expansion discovery</x:v>
      </x:c>
      <x:c r="F656" s="14" t="str">
        <x:v>I3</x:v>
      </x:c>
      <x:c r="G656" s="14" t="n">
        <x:v>49</x:v>
      </x:c>
      <x:c r="H656" s="14" t="n">
        <x:v>1</x:v>
      </x:c>
      <x:c r="I656" s="14" t="n">
        <x:v>1</x:v>
      </x:c>
      <x:c r="J656" s="18" t="n">
        <x:v>20000</x:v>
      </x:c>
      <x:c r="K656" s="19" t="n">
        <x:v>46244.38618738426</x:v>
      </x:c>
      <x:c r="L656" s="19" t="n">
        <x:v>46265</x:v>
      </x:c>
      <x:c r="M656"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x:v>
      </x:c>
      <x:c r="N656" s="15" t="str">
        <x:v>https://prozorro.gov.ua/tender/UA-2026-08-10-004259-a</x:v>
      </x:c>
    </x:row>
    <x:row r="657">
      <x:c r="A657" s="14" t="n">
        <x:v>653</x:v>
      </x:c>
      <x:c r="B657" s="14" t="str">
        <x:v>КРАВЧЕНКО ЯНА ЮРІЇВНА</x:v>
      </x:c>
      <x:c r="C657" s="14" t="str">
        <x:v>3290016085</x:v>
      </x:c>
      <x:c r="D657" s="14" t="str">
        <x:v>Сонячна енергетика</x:v>
      </x:c>
      <x:c r="E657" s="14" t="str">
        <x:v>Expansion discovery</x:v>
      </x:c>
      <x:c r="F657" s="14" t="str">
        <x:v>I3</x:v>
      </x:c>
      <x:c r="G657" s="14" t="n">
        <x:v>49</x:v>
      </x:c>
      <x:c r="H657" s="14" t="n">
        <x:v>1</x:v>
      </x:c>
      <x:c r="I657" s="14" t="n">
        <x:v>1</x:v>
      </x:c>
      <x:c r="J657" s="18" t="n">
        <x:v>74848.95</x:v>
      </x:c>
      <x:c r="K657" s="19" t="n">
        <x:v>46253.48302172454</x:v>
      </x:c>
      <x:c r="L657" s="19" t="n">
        <x:v>46387</x:v>
      </x:c>
      <x:c r="M657" s="15" t="str">
        <x:v>послуги з монтажу та підключення сонячної електростанції(СЕС)</x:v>
      </x:c>
      <x:c r="N657" s="15" t="str">
        <x:v>https://prozorro.gov.ua/tender/UA-2026-08-19-008273-a</x:v>
      </x:c>
    </x:row>
    <x:row r="658">
      <x:c r="A658" s="14" t="n">
        <x:v>654</x:v>
      </x:c>
      <x:c r="B658" s="14" t="str">
        <x:v>КРЕПС КОСТЯНТИН ЛЕОНІДОВИЧ</x:v>
      </x:c>
      <x:c r="C658" s="14" t="str">
        <x:v>3101901393</x:v>
      </x:c>
      <x:c r="D658" s="14" t="str">
        <x:v>HVAC / ОВіК</x:v>
      </x:c>
      <x:c r="E658" s="14" t="str">
        <x:v>Pilot now</x:v>
      </x:c>
      <x:c r="F658" s="14" t="str">
        <x:v>I3</x:v>
      </x:c>
      <x:c r="G658" s="14" t="n">
        <x:v>49</x:v>
      </x:c>
      <x:c r="H658" s="14" t="n">
        <x:v>1</x:v>
      </x:c>
      <x:c r="I658" s="14" t="n">
        <x:v>1</x:v>
      </x:c>
      <x:c r="J658" s="18" t="n">
        <x:v>16992</x:v>
      </x:c>
      <x:c r="K658" s="19" t="n">
        <x:v>46219.391331203704</x:v>
      </x:c>
      <x:c r="L658" s="19" t="n">
        <x:v>46387</x:v>
      </x:c>
      <x:c r="M658" s="15" t="str">
        <x:v>Послуги з монтажу системи кондиціонування та вентиляції</x:v>
      </x:c>
      <x:c r="N658" s="15" t="str">
        <x:v>https://prozorro.gov.ua/tender/UA-2026-07-16-004547-a</x:v>
      </x:c>
    </x:row>
    <x:row r="659">
      <x:c r="A659" s="14" t="n">
        <x:v>655</x:v>
      </x:c>
      <x:c r="B659" s="14" t="str">
        <x:v>КУЗИК РУСЛАН ВАСИЛЬОВИЧ</x:v>
      </x:c>
      <x:c r="C659" s="14" t="str">
        <x:v>3315410237</x:v>
      </x:c>
      <x:c r="D659" s="14" t="str">
        <x:v>Безпека / СКУД / CCTV</x:v>
      </x:c>
      <x:c r="E659" s="14" t="str">
        <x:v>Expansion discovery</x:v>
      </x:c>
      <x:c r="F659" s="14" t="str">
        <x:v>I3</x:v>
      </x:c>
      <x:c r="G659" s="14" t="n">
        <x:v>49</x:v>
      </x:c>
      <x:c r="H659" s="14" t="n">
        <x:v>1</x:v>
      </x:c>
      <x:c r="I659" s="14" t="n">
        <x:v>1</x:v>
      </x:c>
      <x:c r="J659" s="18" t="n">
        <x:v>29735</x:v>
      </x:c>
      <x:c r="K659" s="19" t="n">
        <x:v>46240.683941585645</x:v>
      </x:c>
      <x:c r="L659" s="19" t="n">
        <x:v>46265</x:v>
      </x:c>
      <x:c r="M659" s="15" t="str">
        <x:v>Послуги зі встановлення, монтажу та налаштування системи відеоспостереження в ЗДО</x:v>
      </x:c>
      <x:c r="N659" s="15" t="str">
        <x:v>https://prozorro.gov.ua/tender/UA-2026-08-06-011736-a</x:v>
      </x:c>
    </x:row>
    <x:row r="660">
      <x:c r="A660" s="14" t="n">
        <x:v>656</x:v>
      </x:c>
      <x:c r="B660" s="14" t="str">
        <x:v>КУЧЕРЕНКО МИХАЙЛО ОЛЕКСАНДРОВИЧ</x:v>
      </x:c>
      <x:c r="C660" s="14" t="str">
        <x:v>2885301995</x:v>
      </x:c>
      <x:c r="D660" s="14" t="str">
        <x:v>HVAC / ОВіК</x:v>
      </x:c>
      <x:c r="E660" s="14" t="str">
        <x:v>Pilot now</x:v>
      </x:c>
      <x:c r="F660" s="14" t="str">
        <x:v>I3</x:v>
      </x:c>
      <x:c r="G660" s="14" t="n">
        <x:v>49</x:v>
      </x:c>
      <x:c r="H660" s="14" t="n">
        <x:v>1</x:v>
      </x:c>
      <x:c r="I660" s="14" t="n">
        <x:v>1</x:v>
      </x:c>
      <x:c r="J660" s="18" t="n">
        <x:v>21837.42</x:v>
      </x:c>
      <x:c r="K660" s="19" t="n">
        <x:v>46225.32407886574</x:v>
      </x:c>
      <x:c r="L660" s="19" t="n">
        <x:v>46387</x:v>
      </x:c>
      <x:c r="M660" s="15" t="str">
        <x:v>Послуги з монтажу радіатора, насосу до системи опалення та зливного механізму</x:v>
      </x:c>
      <x:c r="N660" s="15" t="str">
        <x:v>https://prozorro.gov.ua/tender/UA-2026-07-22-002387-a</x:v>
      </x:c>
    </x:row>
    <x:row r="661">
      <x:c r="A661" s="14" t="n">
        <x:v>657</x:v>
      </x:c>
      <x:c r="B661" s="14" t="str">
        <x:v>Макаров Сергій Вадимович</x:v>
      </x:c>
      <x:c r="C661" s="14" t="str">
        <x:v>2858805352</x:v>
      </x:c>
      <x:c r="D661" s="14" t="str">
        <x:v>Технологічні трубопроводи</x:v>
      </x:c>
      <x:c r="E661" s="14" t="str">
        <x:v>Expansion discovery</x:v>
      </x:c>
      <x:c r="F661" s="14" t="str">
        <x:v>I3</x:v>
      </x:c>
      <x:c r="G661" s="14" t="n">
        <x:v>49</x:v>
      </x:c>
      <x:c r="H661" s="14" t="n">
        <x:v>1</x:v>
      </x:c>
      <x:c r="I661" s="14" t="n">
        <x:v>1</x:v>
      </x:c>
      <x:c r="J661" s="18" t="n">
        <x:v>9798.8</x:v>
      </x:c>
      <x:c r="K661" s="19" t="n">
        <x:v>46252.551709074076</x:v>
      </x:c>
      <x:c r="L661" s="19" t="n">
        <x:v>46366</x:v>
      </x:c>
      <x:c r="M661"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x:v>
      </x:c>
      <x:c r="N661" s="15" t="str">
        <x:v>https://prozorro.gov.ua/tender/UA-2026-08-18-010605-a</x:v>
      </x:c>
    </x:row>
    <x:row r="662">
      <x:c r="A662" s="14" t="n">
        <x:v>658</x:v>
      </x:c>
      <x:c r="B662" s="14" t="str">
        <x:v>МЕЛЬНИЧУК БОРИС МИХАЙЛОВИЧ</x:v>
      </x:c>
      <x:c r="C662" s="14" t="str">
        <x:v>2162304537</x:v>
      </x:c>
      <x:c r="D662" s="14" t="str">
        <x:v>Газопостачання / котельні</x:v>
      </x:c>
      <x:c r="E662" s="14" t="str">
        <x:v>Expansion discovery</x:v>
      </x:c>
      <x:c r="F662" s="14" t="str">
        <x:v>I3</x:v>
      </x:c>
      <x:c r="G662" s="14" t="n">
        <x:v>49</x:v>
      </x:c>
      <x:c r="H662" s="14" t="n">
        <x:v>1</x:v>
      </x:c>
      <x:c r="I662" s="14" t="n">
        <x:v>1</x:v>
      </x:c>
      <x:c r="J662" s="18" t="n">
        <x:v>17810</x:v>
      </x:c>
      <x:c r="K662" s="19" t="n">
        <x:v>46230.387015671295</x:v>
      </x:c>
      <x:c r="L662" s="19" t="n">
        <x:v>46387</x:v>
      </x:c>
      <x:c r="M662" s="15" t="str">
        <x:v>Послуги по монтажу та налаштуванню роботи установки підготовки води в приміщенні котельні</x:v>
      </x:c>
      <x:c r="N662" s="15" t="str">
        <x:v>https://prozorro.gov.ua/tender/UA-2026-07-27-004333-a</x:v>
      </x:c>
    </x:row>
    <x:row r="663">
      <x:c r="A663" s="14" t="n">
        <x:v>659</x:v>
      </x:c>
      <x:c r="B663" s="14" t="str">
        <x:v>НАЗАРЕНКО КАТЕРИНА ЮРІЇВНА</x:v>
      </x:c>
      <x:c r="C663" s="14" t="str">
        <x:v>3206513861</x:v>
      </x:c>
      <x:c r="D663" s="14" t="str">
        <x:v>Мости / інфраструктура</x:v>
      </x:c>
      <x:c r="E663" s="14" t="str">
        <x:v>Expansion discovery</x:v>
      </x:c>
      <x:c r="F663" s="14" t="str">
        <x:v>I3</x:v>
      </x:c>
      <x:c r="G663" s="14" t="n">
        <x:v>49</x:v>
      </x:c>
      <x:c r="H663" s="14" t="n">
        <x:v>1</x:v>
      </x:c>
      <x:c r="I663" s="14" t="n">
        <x:v>1</x:v>
      </x:c>
      <x:c r="J663" s="18" t="n">
        <x:v>66653</x:v>
      </x:c>
      <x:c r="K663" s="19" t="n">
        <x:v>46240.332046944444</x:v>
      </x:c>
      <x:c r="L663" s="19" t="n">
        <x:v>46387</x:v>
      </x:c>
      <x:c r="M663"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x:v>
      </x:c>
      <x:c r="N663" s="15" t="str">
        <x:v>https://prozorro.gov.ua/tender/UA-2026-08-06-002870-a</x:v>
      </x:c>
    </x:row>
    <x:row r="664">
      <x:c r="A664" s="14" t="n">
        <x:v>660</x:v>
      </x:c>
      <x:c r="B664" s="14" t="str">
        <x:v>НЕСУХ МИХАЙЛО МИХАЙЛОВИЧ</x:v>
      </x:c>
      <x:c r="C664" s="14" t="str">
        <x:v>2094503513</x:v>
      </x:c>
      <x:c r="D664" s="14" t="str">
        <x:v>Насосні станції</x:v>
      </x:c>
      <x:c r="E664" s="14" t="str">
        <x:v>Expansion discovery</x:v>
      </x:c>
      <x:c r="F664" s="14" t="str">
        <x:v>I3</x:v>
      </x:c>
      <x:c r="G664" s="14" t="n">
        <x:v>49</x:v>
      </x:c>
      <x:c r="H664" s="14" t="n">
        <x:v>1</x:v>
      </x:c>
      <x:c r="I664" s="14" t="n">
        <x:v>1</x:v>
      </x:c>
      <x:c r="J664" s="18" t="n">
        <x:v>54000</x:v>
      </x:c>
      <x:c r="K664" s="19" t="n">
        <x:v>46232.512961423614</x:v>
      </x:c>
      <x:c r="L664" s="19" t="n">
        <x:v>46387</x:v>
      </x:c>
      <x:c r="M664"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x:v>
      </x:c>
      <x:c r="N664" s="15" t="str">
        <x:v>https://prozorro.gov.ua/tender/UA-2026-07-29-008128-a</x:v>
      </x:c>
    </x:row>
    <x:row r="665">
      <x:c r="A665" s="14" t="n">
        <x:v>661</x:v>
      </x:c>
      <x:c r="B665" s="14" t="str">
        <x:v>ПАНЮТА РУВІМ ОЛЕКСАНДРОВИЧ</x:v>
      </x:c>
      <x:c r="C665" s="14" t="str">
        <x:v>3758308754</x:v>
      </x:c>
      <x:c r="D665" s="14" t="str">
        <x:v>Промисловий холод</x:v>
      </x:c>
      <x:c r="E665" s="14" t="str">
        <x:v>Expansion discovery</x:v>
      </x:c>
      <x:c r="F665" s="14" t="str">
        <x:v>I3</x:v>
      </x:c>
      <x:c r="G665" s="14" t="n">
        <x:v>49</x:v>
      </x:c>
      <x:c r="H665" s="14" t="n">
        <x:v>1</x:v>
      </x:c>
      <x:c r="I665" s="14" t="n">
        <x:v>1</x:v>
      </x:c>
      <x:c r="J665" s="18" t="n">
        <x:v>79130</x:v>
      </x:c>
      <x:c r="K665" s="19" t="n">
        <x:v>46225.338014583336</x:v>
      </x:c>
      <x:c r="L665" s="19" t="n">
        <x:v>46387</x:v>
      </x:c>
      <x:c r="M665"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x:v>
      </x:c>
      <x:c r="N665" s="15" t="str">
        <x:v>https://prozorro.gov.ua/tender/UA-2026-07-22-002831-a</x:v>
      </x:c>
    </x:row>
    <x:row r="666">
      <x:c r="A666" s="14" t="n">
        <x:v>662</x:v>
      </x:c>
      <x:c r="B666" s="14" t="str">
        <x:v>ПІВТОРАК АНАТОЛІЙ МИКОЛАЙОВИЧ</x:v>
      </x:c>
      <x:c r="C666" s="14" t="str">
        <x:v>2411508616</x:v>
      </x:c>
      <x:c r="D666" s="14" t="str">
        <x:v>Електромонтаж</x:v>
      </x:c>
      <x:c r="E666" s="14" t="str">
        <x:v>Pilot now</x:v>
      </x:c>
      <x:c r="F666" s="14" t="str">
        <x:v>I3</x:v>
      </x:c>
      <x:c r="G666" s="14" t="n">
        <x:v>49</x:v>
      </x:c>
      <x:c r="H666" s="14" t="n">
        <x:v>1</x:v>
      </x:c>
      <x:c r="I666" s="14" t="n">
        <x:v>1</x:v>
      </x:c>
      <x:c r="J666" s="18" t="n">
        <x:v>4000</x:v>
      </x:c>
      <x:c r="K666" s="19" t="n">
        <x:v>46230.48517842592</x:v>
      </x:c>
      <x:c r="L666" s="19" t="n">
        <x:v>46387</x:v>
      </x:c>
      <x:c r="M666" s="15" t="str">
        <x:v>Електромонтажні роботи </x:v>
      </x:c>
      <x:c r="N666" s="15" t="str">
        <x:v>https://prozorro.gov.ua/tender/UA-2026-07-27-007001-a</x:v>
      </x:c>
    </x:row>
    <x:row r="667">
      <x:c r="A667" s="14" t="n">
        <x:v>663</x:v>
      </x:c>
      <x:c r="B667" s="14" t="str">
        <x:v>ПОЖАЙРИБКО БОРИС ЄВГЕНІЙОВИЧ</x:v>
      </x:c>
      <x:c r="C667" s="14" t="str">
        <x:v>2104915998</x:v>
      </x:c>
      <x:c r="D667" s="14" t="str">
        <x:v>Сонячна енергетика</x:v>
      </x:c>
      <x:c r="E667" s="14" t="str">
        <x:v>Expansion discovery</x:v>
      </x:c>
      <x:c r="F667" s="14" t="str">
        <x:v>I3</x:v>
      </x:c>
      <x:c r="G667" s="14" t="n">
        <x:v>49</x:v>
      </x:c>
      <x:c r="H667" s="14" t="n">
        <x:v>1</x:v>
      </x:c>
      <x:c r="I667" s="14" t="n">
        <x:v>1</x:v>
      </x:c>
      <x:c r="J667" s="18" t="n">
        <x:v>20822</x:v>
      </x:c>
      <x:c r="K667" s="19" t="n">
        <x:v>46247.44847260417</x:v>
      </x:c>
      <x:c r="L667" s="19" t="n">
        <x:v>46387</x:v>
      </x:c>
      <x:c r="M667"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667" s="15" t="str">
        <x:v>https://prozorro.gov.ua/tender/UA-2026-08-13-006658-a</x:v>
      </x:c>
    </x:row>
    <x:row r="668">
      <x:c r="A668" s="14" t="n">
        <x:v>664</x:v>
      </x:c>
      <x:c r="B668" s="14" t="str">
        <x:v>Попач Максим Іванович</x:v>
      </x:c>
      <x:c r="C668" s="14" t="str">
        <x:v>3275813571</x:v>
      </x:c>
      <x:c r="D668" s="14" t="str">
        <x:v>Електромонтаж</x:v>
      </x:c>
      <x:c r="E668" s="14" t="str">
        <x:v>Pilot now</x:v>
      </x:c>
      <x:c r="F668" s="14" t="str">
        <x:v>I3</x:v>
      </x:c>
      <x:c r="G668" s="14" t="n">
        <x:v>49</x:v>
      </x:c>
      <x:c r="H668" s="14" t="n">
        <x:v>1</x:v>
      </x:c>
      <x:c r="I668" s="14" t="n">
        <x:v>1</x:v>
      </x:c>
      <x:c r="J668" s="18" t="n">
        <x:v>76220</x:v>
      </x:c>
      <x:c r="K668" s="19" t="n">
        <x:v>46237.43505826389</x:v>
      </x:c>
      <x:c r="L668" s="19" t="n">
        <x:v>46387</x:v>
      </x:c>
      <x:c r="M668" s="15" t="str">
        <x:v>Електромонтажні роботи</x:v>
      </x:c>
      <x:c r="N668" s="15" t="str">
        <x:v>https://prozorro.gov.ua/tender/UA-2026-08-03-005437-a</x:v>
      </x:c>
    </x:row>
    <x:row r="669">
      <x:c r="A669" s="14" t="n">
        <x:v>665</x:v>
      </x:c>
      <x:c r="B669" s="14" t="str">
        <x:v>РОМАНЕНКО ВАЛЕНТИНА ВОЛОДИМИРІВНА</x:v>
      </x:c>
      <x:c r="C669" s="14" t="str">
        <x:v>2506620985</x:v>
      </x:c>
      <x:c r="D669" s="14" t="str">
        <x:v>Сонячна енергетика</x:v>
      </x:c>
      <x:c r="E669" s="14" t="str">
        <x:v>Expansion discovery</x:v>
      </x:c>
      <x:c r="F669" s="14" t="str">
        <x:v>I3</x:v>
      </x:c>
      <x:c r="G669" s="14" t="n">
        <x:v>49</x:v>
      </x:c>
      <x:c r="H669" s="14" t="n">
        <x:v>1</x:v>
      </x:c>
      <x:c r="I669" s="14" t="n">
        <x:v>1</x:v>
      </x:c>
      <x:c r="J669" s="18" t="n">
        <x:v>66029</x:v>
      </x:c>
      <x:c r="K669" s="19" t="n">
        <x:v>46248.43009769676</x:v>
      </x:c>
      <x:c r="L669" s="19" t="n">
        <x:v>46387</x:v>
      </x:c>
      <x:c r="M669" s="15" t="str">
        <x:v>Комплектуючі матеріали для монтажу сонячної електростанції </x:v>
      </x:c>
      <x:c r="N669" s="15" t="str">
        <x:v>https://prozorro.gov.ua/tender/UA-2026-08-14-006249-a</x:v>
      </x:c>
    </x:row>
    <x:row r="670">
      <x:c r="A670" s="14" t="n">
        <x:v>666</x:v>
      </x:c>
      <x:c r="B670" s="14" t="str">
        <x:v>РУДЕНКО ВІТАЛІЙ ВАСИЛЬОВИЧ</x:v>
      </x:c>
      <x:c r="C670" s="14" t="str">
        <x:v>3019104154</x:v>
      </x:c>
      <x:c r="D670" s="14" t="str">
        <x:v>HVAC / ОВіК</x:v>
      </x:c>
      <x:c r="E670" s="14" t="str">
        <x:v>Pilot now</x:v>
      </x:c>
      <x:c r="F670" s="14" t="str">
        <x:v>I3</x:v>
      </x:c>
      <x:c r="G670" s="14" t="n">
        <x:v>49</x:v>
      </x:c>
      <x:c r="H670" s="14" t="n">
        <x:v>1</x:v>
      </x:c>
      <x:c r="I670" s="14" t="n">
        <x:v>1</x:v>
      </x:c>
      <x:c r="J670" s="18" t="n">
        <x:v>14700</x:v>
      </x:c>
      <x:c r="K670" s="19" t="n">
        <x:v>46240.571095162035</x:v>
      </x:c>
      <x:c r="L670" s="19" t="n">
        <x:v>46310</x:v>
      </x:c>
      <x:c r="M670"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x:v>
      </x:c>
      <x:c r="N670" s="15" t="str">
        <x:v>https://prozorro.gov.ua/tender/UA-2026-08-06-010642-a</x:v>
      </x:c>
    </x:row>
    <x:row r="671">
      <x:c r="A671" s="14" t="n">
        <x:v>667</x:v>
      </x:c>
      <x:c r="B671" s="14" t="str">
        <x:v>ТКАЧУК ОЛЕНА СЕРГІЇВНА</x:v>
      </x:c>
      <x:c r="C671" s="14" t="str">
        <x:v>3055908485</x:v>
      </x:c>
      <x:c r="D671" s="14" t="str">
        <x:v>HVAC / ОВіК</x:v>
      </x:c>
      <x:c r="E671" s="14" t="str">
        <x:v>Pilot now</x:v>
      </x:c>
      <x:c r="F671" s="14" t="str">
        <x:v>I3</x:v>
      </x:c>
      <x:c r="G671" s="14" t="n">
        <x:v>49</x:v>
      </x:c>
      <x:c r="H671" s="14" t="n">
        <x:v>1</x:v>
      </x:c>
      <x:c r="I671" s="14" t="n">
        <x:v>1</x:v>
      </x:c>
      <x:c r="J671" s="18" t="n">
        <x:v>91475</x:v>
      </x:c>
      <x:c r="K671" s="19" t="n">
        <x:v>46220.37996715278</x:v>
      </x:c>
      <x:c r="L671" s="19" t="n">
        <x:v>46387</x:v>
      </x:c>
      <x:c r="M671" s="15" t="str">
        <x:v>Монтаж системи опалення в приміщенні Дубово-Махаринецької АЗПСМ </x:v>
      </x:c>
      <x:c r="N671" s="15" t="str">
        <x:v>https://prozorro.gov.ua/tender/UA-2026-07-17-004517-a</x:v>
      </x:c>
    </x:row>
    <x:row r="672">
      <x:c r="A672" s="14" t="n">
        <x:v>668</x:v>
      </x:c>
      <x:c r="B672" s="14" t="str">
        <x:v>Фізична особа-підприємець  Трунов Вадим Олексійович</x:v>
      </x:c>
      <x:c r="C672" s="14" t="str">
        <x:v>2843106371</x:v>
      </x:c>
      <x:c r="D672" s="14" t="str">
        <x:v>Насосні станції</x:v>
      </x:c>
      <x:c r="E672" s="14" t="str">
        <x:v>Expansion discovery</x:v>
      </x:c>
      <x:c r="F672" s="14" t="str">
        <x:v>I3</x:v>
      </x:c>
      <x:c r="G672" s="14" t="n">
        <x:v>49</x:v>
      </x:c>
      <x:c r="H672" s="14" t="n">
        <x:v>1</x:v>
      </x:c>
      <x:c r="I672" s="14" t="n">
        <x:v>1</x:v>
      </x:c>
      <x:c r="J672" s="18" t="n">
        <x:v>76016.47</x:v>
      </x:c>
      <x:c r="K672" s="19" t="n">
        <x:v>46255.235803171294</x:v>
      </x:c>
      <x:c r="L672" s="19" t="n">
        <x:v>46386</x:v>
      </x:c>
      <x:c r="M672"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x:v>
      </x:c>
      <x:c r="N672" s="15" t="str">
        <x:v>https://prozorro.gov.ua/tender/UA-2026-08-21-000289-a</x:v>
      </x:c>
    </x:row>
    <x:row r="673">
      <x:c r="A673" s="14" t="n">
        <x:v>669</x:v>
      </x:c>
      <x:c r="B673" s="14" t="str">
        <x:v>Фізична особа-підприємець Баран Михайло Зеновійович</x:v>
      </x:c>
      <x:c r="C673" s="14" t="str">
        <x:v>2540602293</x:v>
      </x:c>
      <x:c r="D673" s="14" t="str">
        <x:v>Електромонтаж</x:v>
      </x:c>
      <x:c r="E673" s="14" t="str">
        <x:v>Pilot now</x:v>
      </x:c>
      <x:c r="F673" s="14" t="str">
        <x:v>I3</x:v>
      </x:c>
      <x:c r="G673" s="14" t="n">
        <x:v>49</x:v>
      </x:c>
      <x:c r="H673" s="14" t="n">
        <x:v>1</x:v>
      </x:c>
      <x:c r="I673" s="14" t="n">
        <x:v>1</x:v>
      </x:c>
      <x:c r="J673" s="18" t="n">
        <x:v>7348</x:v>
      </x:c>
      <x:c r="K673" s="19" t="n">
        <x:v>46253.53641262731</x:v>
      </x:c>
      <x:c r="L673" s="19" t="n">
        <x:v>46387</x:v>
      </x:c>
      <x:c r="M673" s="15" t="str">
        <x:v>Електромонтажні роботи у приміщенні Великоходачківського ліцею.</x:v>
      </x:c>
      <x:c r="N673" s="15" t="str">
        <x:v>https://prozorro.gov.ua/tender/UA-2026-08-19-010724-a</x:v>
      </x:c>
    </x:row>
    <x:row r="674">
      <x:c r="A674" s="14" t="n">
        <x:v>670</x:v>
      </x:c>
      <x:c r="B674" s="14" t="str">
        <x:v>Фізична особа-підприємець Бліщ Роман Дмитрович</x:v>
      </x:c>
      <x:c r="C674" s="14" t="str">
        <x:v>2450716653</x:v>
      </x:c>
      <x:c r="D674" s="14" t="str">
        <x:v>Мости / інфраструктура</x:v>
      </x:c>
      <x:c r="E674" s="14" t="str">
        <x:v>Expansion discovery</x:v>
      </x:c>
      <x:c r="F674" s="14" t="str">
        <x:v>I3</x:v>
      </x:c>
      <x:c r="G674" s="14" t="n">
        <x:v>49</x:v>
      </x:c>
      <x:c r="H674" s="14" t="n">
        <x:v>1</x:v>
      </x:c>
      <x:c r="I674" s="14" t="n">
        <x:v>1</x:v>
      </x:c>
      <x:c r="J674" s="18" t="n">
        <x:v>2500</x:v>
      </x:c>
      <x:c r="K674" s="19" t="n">
        <x:v>46247.57161953704</x:v>
      </x:c>
      <x:c r="L674" s="19" t="n">
        <x:v>46387</x:v>
      </x:c>
      <x:c r="M674"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x:v>
      </x:c>
      <x:c r="N674" s="15" t="str">
        <x:v>https://prozorro.gov.ua/tender/UA-2026-08-13-011741-a</x:v>
      </x:c>
    </x:row>
    <x:row r="675">
      <x:c r="A675" s="14" t="n">
        <x:v>671</x:v>
      </x:c>
      <x:c r="B675" s="14" t="str">
        <x:v>Фізична особа-підприємець Гуленко Руслан Володимирович</x:v>
      </x:c>
      <x:c r="C675" s="14" t="str">
        <x:v>2607317499</x:v>
      </x:c>
      <x:c r="D675" s="14" t="str">
        <x:v>Безпека / СКУД / CCTV</x:v>
      </x:c>
      <x:c r="E675" s="14" t="str">
        <x:v>Expansion discovery</x:v>
      </x:c>
      <x:c r="F675" s="14" t="str">
        <x:v>I3</x:v>
      </x:c>
      <x:c r="G675" s="14" t="n">
        <x:v>49</x:v>
      </x:c>
      <x:c r="H675" s="14" t="n">
        <x:v>1</x:v>
      </x:c>
      <x:c r="I675" s="14" t="n">
        <x:v>1</x:v>
      </x:c>
      <x:c r="J675" s="18" t="n">
        <x:v>83818</x:v>
      </x:c>
      <x:c r="K675" s="19" t="n">
        <x:v>46238.32611070602</x:v>
      </x:c>
      <x:c r="L675" s="19" t="n">
        <x:v>46387.368425925924</x:v>
      </x:c>
      <x:c r="M675" s="15" t="str">
        <x:v>Послуги з монтажу, установки та налаштування системи контролю та управління доступом</x:v>
      </x:c>
      <x:c r="N675" s="15" t="str">
        <x:v>https://prozorro.gov.ua/tender/UA-2026-08-04-002580-a</x:v>
      </x:c>
    </x:row>
    <x:row r="676">
      <x:c r="A676" s="14" t="n">
        <x:v>672</x:v>
      </x:c>
      <x:c r="B676" s="14" t="str">
        <x:v>ФІЗИЧНА ОСОБА-ПІДПРИЄМЕЦЬ КОКІН ГЕННАДІЙ ВІКТОРОВИЧ</x:v>
      </x:c>
      <x:c r="C676" s="14" t="str">
        <x:v>2440808957</x:v>
      </x:c>
      <x:c r="D676" s="14" t="str">
        <x:v>Металоконструкції</x:v>
      </x:c>
      <x:c r="E676" s="14" t="str">
        <x:v>Expansion discovery</x:v>
      </x:c>
      <x:c r="F676" s="14" t="str">
        <x:v>I3</x:v>
      </x:c>
      <x:c r="G676" s="14" t="n">
        <x:v>49</x:v>
      </x:c>
      <x:c r="H676" s="14" t="n">
        <x:v>1</x:v>
      </x:c>
      <x:c r="I676" s="14" t="n">
        <x:v>1</x:v>
      </x:c>
      <x:c r="J676" s="18" t="n">
        <x:v>7500</x:v>
      </x:c>
      <x:c r="K676" s="19" t="n">
        <x:v>46246.496185104166</x:v>
      </x:c>
      <x:c r="L676" s="19" t="n">
        <x:v>46295</x:v>
      </x:c>
      <x:c r="M676" s="15" t="str">
        <x:v>Монтаж металоконструкцій для розміщення інформаційних стендів, код ДК 021:2015:45220000-5 Інженерні будівельні роботи. </x:v>
      </x:c>
      <x:c r="N676" s="15" t="str">
        <x:v>https://prozorro.gov.ua/tender/UA-2026-08-12-008026-a</x:v>
      </x:c>
    </x:row>
    <x:row r="677">
      <x:c r="A677" s="14" t="n">
        <x:v>673</x:v>
      </x:c>
      <x:c r="B677" s="14" t="str">
        <x:v>Фізична особа-підприємець Кравченко Юлія Миколаївна</x:v>
      </x:c>
      <x:c r="C677" s="14" t="str">
        <x:v>3034523404</x:v>
      </x:c>
      <x:c r="D677" s="14" t="str">
        <x:v>Безпека / СКУД / CCTV</x:v>
      </x:c>
      <x:c r="E677" s="14" t="str">
        <x:v>Expansion discovery</x:v>
      </x:c>
      <x:c r="F677" s="14" t="str">
        <x:v>I3</x:v>
      </x:c>
      <x:c r="G677" s="14" t="n">
        <x:v>49</x:v>
      </x:c>
      <x:c r="H677" s="14" t="n">
        <x:v>1</x:v>
      </x:c>
      <x:c r="I677" s="14" t="n">
        <x:v>1</x:v>
      </x:c>
      <x:c r="J677" s="18" t="n">
        <x:v>16850</x:v>
      </x:c>
      <x:c r="K677" s="19" t="n">
        <x:v>46232.629361875</x:v>
      </x:c>
      <x:c r="L677" s="19" t="n">
        <x:v>46387.673368055555</x:v>
      </x:c>
      <x:c r="M677" s="15" t="str">
        <x:v>Монтаж системи відеоспостереження</x:v>
      </x:c>
      <x:c r="N677" s="15" t="str">
        <x:v>https://prozorro.gov.ua/tender/UA-2026-07-29-010910-a</x:v>
      </x:c>
    </x:row>
    <x:row r="678">
      <x:c r="A678" s="14" t="n">
        <x:v>674</x:v>
      </x:c>
      <x:c r="B678" s="14" t="str">
        <x:v>Фізична особа-підприємець Марчук Володимир Васильович</x:v>
      </x:c>
      <x:c r="C678" s="14" t="str">
        <x:v>3024703610</x:v>
      </x:c>
      <x:c r="D678" s="14" t="str">
        <x:v>HVAC / ОВіК</x:v>
      </x:c>
      <x:c r="E678" s="14" t="str">
        <x:v>Pilot now</x:v>
      </x:c>
      <x:c r="F678" s="14" t="str">
        <x:v>I3</x:v>
      </x:c>
      <x:c r="G678" s="14" t="n">
        <x:v>49</x:v>
      </x:c>
      <x:c r="H678" s="14" t="n">
        <x:v>1</x:v>
      </x:c>
      <x:c r="I678" s="14" t="n">
        <x:v>1</x:v>
      </x:c>
      <x:c r="J678" s="18" t="n">
        <x:v>80000</x:v>
      </x:c>
      <x:c r="K678" s="19" t="n">
        <x:v>46252.71302846065</x:v>
      </x:c>
      <x:c r="L678" s="19" t="n">
        <x:v>46387</x:v>
      </x:c>
      <x:c r="M678" s="15" t="str">
        <x:v>Матеріали для монтажу систем опалення та водопостачання (трубна ізоляція, трубопровідна арматура та фітинги)</x:v>
      </x:c>
      <x:c r="N678" s="15" t="str">
        <x:v>https://prozorro.gov.ua/tender/UA-2026-07-30-004523-a</x:v>
      </x:c>
    </x:row>
    <x:row r="679">
      <x:c r="A679" s="14" t="n">
        <x:v>675</x:v>
      </x:c>
      <x:c r="B679" s="14" t="str">
        <x:v>Фізична особа-підприємець Паладійчук Аліна Олександрівна</x:v>
      </x:c>
      <x:c r="C679" s="14" t="str">
        <x:v>3366008562</x:v>
      </x:c>
      <x:c r="D679" s="14" t="str">
        <x:v>Сонячна енергетика</x:v>
      </x:c>
      <x:c r="E679" s="14" t="str">
        <x:v>Pilot now</x:v>
      </x:c>
      <x:c r="F679" s="14" t="str">
        <x:v>I3</x:v>
      </x:c>
      <x:c r="G679" s="14" t="n">
        <x:v>49</x:v>
      </x:c>
      <x:c r="H679" s="14" t="n">
        <x:v>1</x:v>
      </x:c>
      <x:c r="I679" s="14" t="n">
        <x:v>1</x:v>
      </x:c>
      <x:c r="J679" s="18" t="n">
        <x:v>97529</x:v>
      </x:c>
      <x:c r="K679" s="19" t="n">
        <x:v>46245.32664303241</x:v>
      </x:c>
      <x:c r="L679" s="19" t="n">
        <x:v>46387.36699074074</x:v>
      </x:c>
      <x:c r="M679" s="15" t="str">
        <x:v>Металева конструкція для монтажу фотоелектричних модулів</x:v>
      </x:c>
      <x:c r="N679" s="15" t="str">
        <x:v>https://prozorro.gov.ua/tender/UA-2026-08-11-002698-a</x:v>
      </x:c>
    </x:row>
    <x:row r="680">
      <x:c r="A680" s="14" t="n">
        <x:v>676</x:v>
      </x:c>
      <x:c r="B680" s="14" t="str">
        <x:v>Фізична особа-підприємець Ракчеєв Юрій В'ячеславович</x:v>
      </x:c>
      <x:c r="C680" s="14" t="str">
        <x:v>3013618459</x:v>
      </x:c>
      <x:c r="D680" s="14" t="str">
        <x:v>Електромонтаж</x:v>
      </x:c>
      <x:c r="E680" s="14" t="str">
        <x:v>Pilot now</x:v>
      </x:c>
      <x:c r="F680" s="14" t="str">
        <x:v>I3</x:v>
      </x:c>
      <x:c r="G680" s="14" t="n">
        <x:v>49</x:v>
      </x:c>
      <x:c r="H680" s="14" t="n">
        <x:v>1</x:v>
      </x:c>
      <x:c r="I680" s="14" t="n">
        <x:v>1</x:v>
      </x:c>
      <x:c r="J680" s="18" t="n">
        <x:v>3700</x:v>
      </x:c>
      <x:c r="K680" s="19" t="n">
        <x:v>46254.557632337965</x:v>
      </x:c>
      <x:c r="L680" s="19" t="n">
        <x:v>46280</x:v>
      </x:c>
      <x:c r="M680" s="15" t="str">
        <x:v>Електромонтажні та пусконалагоджувальні роботи</x:v>
      </x:c>
      <x:c r="N680" s="15" t="str">
        <x:v>https://prozorro.gov.ua/tender/UA-2026-08-20-011768-a</x:v>
      </x:c>
    </x:row>
    <x:row r="681">
      <x:c r="A681" s="14" t="n">
        <x:v>677</x:v>
      </x:c>
      <x:c r="B681" s="14" t="str">
        <x:v>Фізична особа-підприємець Стукалов Олександр Олександрович</x:v>
      </x:c>
      <x:c r="C681" s="14" t="str">
        <x:v>3064321858</x:v>
      </x:c>
      <x:c r="D681" s="14" t="str">
        <x:v>Безпека / СКУД / CCTV</x:v>
      </x:c>
      <x:c r="E681" s="14" t="str">
        <x:v>Expansion discovery</x:v>
      </x:c>
      <x:c r="F681" s="14" t="str">
        <x:v>I3</x:v>
      </x:c>
      <x:c r="G681" s="14" t="n">
        <x:v>49</x:v>
      </x:c>
      <x:c r="H681" s="14" t="n">
        <x:v>1</x:v>
      </x:c>
      <x:c r="I681" s="14" t="n">
        <x:v>1</x:v>
      </x:c>
      <x:c r="J681" s="18" t="n">
        <x:v>21749.12</x:v>
      </x:c>
      <x:c r="K681" s="19" t="n">
        <x:v>46248.28367704861</x:v>
      </x:c>
      <x:c r="L681" s="19" t="n">
        <x:v>46387</x:v>
      </x:c>
      <x:c r="M681"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x:v>
      </x:c>
      <x:c r="N681" s="15" t="str">
        <x:v>https://prozorro.gov.ua/tender/UA-2026-08-14-001348-a</x:v>
      </x:c>
    </x:row>
    <x:row r="682">
      <x:c r="A682" s="14" t="n">
        <x:v>678</x:v>
      </x:c>
      <x:c r="B682" s="14" t="str">
        <x:v>Фізична особа-підприємець Ташов Володимир Олександрович</x:v>
      </x:c>
      <x:c r="C682" s="14" t="str">
        <x:v>2128915818</x:v>
      </x:c>
      <x:c r="D682" s="14" t="str">
        <x:v>Промислова електрика / ПНР</x:v>
      </x:c>
      <x:c r="E682" s="14" t="str">
        <x:v>Pilot now</x:v>
      </x:c>
      <x:c r="F682" s="14" t="str">
        <x:v>I3</x:v>
      </x:c>
      <x:c r="G682" s="14" t="n">
        <x:v>49</x:v>
      </x:c>
      <x:c r="H682" s="14" t="n">
        <x:v>1</x:v>
      </x:c>
      <x:c r="I682" s="14" t="n">
        <x:v>1</x:v>
      </x:c>
      <x:c r="J682" s="18" t="n">
        <x:v>77470</x:v>
      </x:c>
      <x:c r="K682" s="19" t="n">
        <x:v>46258.26063010417</x:v>
      </x:c>
      <x:c r="L682" s="19" t="n">
        <x:v>46387.3046412037</x:v>
      </x:c>
      <x:c r="M682" s="15" t="str">
        <x:v>Виконання робіт: «Монтажні та пусконалагоджувальні роботи по встановленню системи відеоспостереження на території Петрівської ЦЛ». Код ДК 021-2015 (CPV) 45310000-3 - Електромонтажні роботи</x:v>
      </x:c>
      <x:c r="N682" s="15" t="str">
        <x:v>https://prozorro.gov.ua/tender/UA-2026-08-24-000506-a</x:v>
      </x:c>
    </x:row>
    <x:row r="683">
      <x:c r="A683" s="14" t="n">
        <x:v>679</x:v>
      </x:c>
      <x:c r="B683"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C683" s="14" t="str">
        <x:v>35851226</x:v>
      </x:c>
      <x:c r="D683" s="14" t="str">
        <x:v>Водоочищення / очисні споруди</x:v>
      </x:c>
      <x:c r="E683" s="14" t="str">
        <x:v>Expansion discovery</x:v>
      </x:c>
      <x:c r="F683" s="14" t="str">
        <x:v>I3</x:v>
      </x:c>
      <x:c r="G683" s="14" t="n">
        <x:v>49</x:v>
      </x:c>
      <x:c r="H683" s="14" t="n">
        <x:v>1</x:v>
      </x:c>
      <x:c r="I683" s="14" t="n">
        <x:v>1</x:v>
      </x:c>
      <x:c r="J683" s="18" t="n">
        <x:v>30207.38</x:v>
      </x:c>
      <x:c r="K683" s="19" t="n">
        <x:v>46209.3442668287</x:v>
      </x:c>
      <x:c r="L683" s="19" t="n">
        <x:v>46387</x:v>
      </x:c>
      <x:c r="M683" s="15" t="str">
        <x:v>Виконання експертизи  проєкту будівництва  "Реконструкція очисних споруд та каналізаційної насосної станції" у  с. Созонівка Кропивницького району.</x:v>
      </x:c>
      <x:c r="N683" s="15" t="str">
        <x:v>https://prozorro.gov.ua/tender/UA-2026-07-06-002679-a</x:v>
      </x:c>
    </x:row>
    <x:row r="684">
      <x:c r="A684" s="14" t="n">
        <x:v>680</x:v>
      </x:c>
      <x:c r="B684" s="14" t="str">
        <x:v>ФОП "Охрімчук Людмила Володимирівна"</x:v>
      </x:c>
      <x:c r="C684" s="14" t="str">
        <x:v>3165601120</x:v>
      </x:c>
      <x:c r="D684" s="14" t="str">
        <x:v>Насосні станції</x:v>
      </x:c>
      <x:c r="E684" s="14" t="str">
        <x:v>Expansion discovery</x:v>
      </x:c>
      <x:c r="F684" s="14" t="str">
        <x:v>I3</x:v>
      </x:c>
      <x:c r="G684" s="14" t="n">
        <x:v>49</x:v>
      </x:c>
      <x:c r="H684" s="14" t="n">
        <x:v>1</x:v>
      </x:c>
      <x:c r="I684" s="14" t="n">
        <x:v>1</x:v>
      </x:c>
      <x:c r="J684" s="18" t="n">
        <x:v>3560</x:v>
      </x:c>
      <x:c r="K684" s="19" t="n">
        <x:v>46255.510079976855</x:v>
      </x:c>
      <x:c r="L684" s="19" t="n">
        <x:v>46261.51119212963</x:v>
      </x:c>
      <x:c r="M684"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x:v>
      </x:c>
      <x:c r="N684" s="15" t="str">
        <x:v>https://prozorro.gov.ua/tender/UA-2026-08-21-009995-a</x:v>
      </x:c>
    </x:row>
    <x:row r="685">
      <x:c r="A685" s="14" t="n">
        <x:v>681</x:v>
      </x:c>
      <x:c r="B685" s="14" t="str">
        <x:v>ФОП "СЕМБРАТОВИЧ МИРОСЛАВ ІВАНОВИЧ"</x:v>
      </x:c>
      <x:c r="C685" s="14" t="str">
        <x:v>2180107673</x:v>
      </x:c>
      <x:c r="D685" s="14" t="str">
        <x:v>Електромонтаж</x:v>
      </x:c>
      <x:c r="E685" s="14" t="str">
        <x:v>Pilot now</x:v>
      </x:c>
      <x:c r="F685" s="14" t="str">
        <x:v>I3</x:v>
      </x:c>
      <x:c r="G685" s="14" t="n">
        <x:v>49</x:v>
      </x:c>
      <x:c r="H685" s="14" t="n">
        <x:v>1</x:v>
      </x:c>
      <x:c r="I685" s="14" t="n">
        <x:v>1</x:v>
      </x:c>
      <x:c r="J685" s="18" t="n">
        <x:v>16300</x:v>
      </x:c>
      <x:c r="K685" s="19" t="n">
        <x:v>46226.467342337965</x:v>
      </x:c>
      <x:c r="L685" s="19" t="n">
        <x:v>46387</x:v>
      </x:c>
      <x:c r="M685" s="15" t="str">
        <x:v>Електромонтажні роботи (підключення обладнання для безперервного подання електричної енергії) 45310000-3 — Електромонтажні роботи</x:v>
      </x:c>
      <x:c r="N685" s="15" t="str">
        <x:v>https://prozorro.gov.ua/tender/UA-2026-07-23-006971-a</x:v>
      </x:c>
    </x:row>
    <x:row r="686">
      <x:c r="A686" s="14" t="n">
        <x:v>682</x:v>
      </x:c>
      <x:c r="B686" s="14" t="str">
        <x:v>ФОП Бацура ВС</x:v>
      </x:c>
      <x:c r="C686" s="14" t="str">
        <x:v>2951200878</x:v>
      </x:c>
      <x:c r="D686" s="14" t="str">
        <x:v>Пожежогасіння</x:v>
      </x:c>
      <x:c r="E686" s="14" t="str">
        <x:v>Expansion discovery</x:v>
      </x:c>
      <x:c r="F686" s="14" t="str">
        <x:v>I3</x:v>
      </x:c>
      <x:c r="G686" s="14" t="n">
        <x:v>49</x:v>
      </x:c>
      <x:c r="H686" s="14" t="n">
        <x:v>1</x:v>
      </x:c>
      <x:c r="I686" s="14" t="n">
        <x:v>1</x:v>
      </x:c>
      <x:c r="J686" s="18" t="n">
        <x:v>69120</x:v>
      </x:c>
      <x:c r="K686" s="19" t="n">
        <x:v>46250.48431451389</x:v>
      </x:c>
      <x:c r="L686" s="19" t="n">
        <x:v>46387.526400462964</x:v>
      </x:c>
      <x:c r="M686" s="15" t="str">
        <x:v>Монтаж системи пожежної сигналізації</x:v>
      </x:c>
      <x:c r="N686" s="15" t="str">
        <x:v>https://prozorro.gov.ua/tender/UA-2026-08-16-000232-a</x:v>
      </x:c>
    </x:row>
    <x:row r="687">
      <x:c r="A687" s="14" t="n">
        <x:v>683</x:v>
      </x:c>
      <x:c r="B687" s="14" t="str">
        <x:v>ФОП Бихно Віктор Віталійович</x:v>
      </x:c>
      <x:c r="C687" s="14" t="str">
        <x:v>3726400913</x:v>
      </x:c>
      <x:c r="D687" s="14" t="str">
        <x:v>Мости / інфраструктура</x:v>
      </x:c>
      <x:c r="E687" s="14" t="str">
        <x:v>Expansion discovery</x:v>
      </x:c>
      <x:c r="F687" s="14" t="str">
        <x:v>I3</x:v>
      </x:c>
      <x:c r="G687" s="14" t="n">
        <x:v>49</x:v>
      </x:c>
      <x:c r="H687" s="14" t="n">
        <x:v>1</x:v>
      </x:c>
      <x:c r="I687" s="14" t="n">
        <x:v>1</x:v>
      </x:c>
      <x:c r="J687" s="18" t="n">
        <x:v>8327</x:v>
      </x:c>
      <x:c r="K687" s="19" t="n">
        <x:v>46251.46706481482</x:v>
      </x:c>
      <x:c r="L687" s="19" t="n">
        <x:v>46285</x:v>
      </x:c>
      <x:c r="M687" s="15" t="str">
        <x:v>Здійснення технічного нагляду за наданням послуг із поточного ремонту мосту через р. Саксагань на сел. Більшовик</x:v>
      </x:c>
      <x:c r="N687" s="15" t="str">
        <x:v>https://prozorro.gov.ua/tender/UA-2026-08-17-007037-a</x:v>
      </x:c>
    </x:row>
    <x:row r="688">
      <x:c r="A688" s="14" t="n">
        <x:v>684</x:v>
      </x:c>
      <x:c r="B688" s="14" t="str">
        <x:v>ФОП Богоніс Юрій Романович</x:v>
      </x:c>
      <x:c r="C688" s="14" t="str">
        <x:v>3768310975</x:v>
      </x:c>
      <x:c r="D688" s="14" t="str">
        <x:v>Електромонтаж</x:v>
      </x:c>
      <x:c r="E688" s="14" t="str">
        <x:v>Pilot now</x:v>
      </x:c>
      <x:c r="F688" s="14" t="str">
        <x:v>I3</x:v>
      </x:c>
      <x:c r="G688" s="14" t="n">
        <x:v>49</x:v>
      </x:c>
      <x:c r="H688" s="14" t="n">
        <x:v>1</x:v>
      </x:c>
      <x:c r="I688" s="14" t="n">
        <x:v>1</x:v>
      </x:c>
      <x:c r="J688" s="18" t="n">
        <x:v>14500</x:v>
      </x:c>
      <x:c r="K688" s="19" t="n">
        <x:v>46226.547773101855</x:v>
      </x:c>
      <x:c r="L688" s="19" t="n">
        <x:v>46387.591365740744</x:v>
      </x:c>
      <x:c r="M688" s="15" t="str">
        <x:v>Електромонтажні роботи</x:v>
      </x:c>
      <x:c r="N688" s="15" t="str">
        <x:v>https://prozorro.gov.ua/tender/UA-2026-07-23-010224-a</x:v>
      </x:c>
    </x:row>
    <x:row r="689">
      <x:c r="A689" s="14" t="n">
        <x:v>685</x:v>
      </x:c>
      <x:c r="B689" s="14" t="str">
        <x:v>ФОП Бойцун Віктор Олександрович</x:v>
      </x:c>
      <x:c r="C689" s="14" t="str">
        <x:v>2313903114</x:v>
      </x:c>
      <x:c r="D689" s="14" t="str">
        <x:v>HVAC / ОВіК</x:v>
      </x:c>
      <x:c r="E689" s="14" t="str">
        <x:v>Pilot now</x:v>
      </x:c>
      <x:c r="F689" s="14" t="str">
        <x:v>I3</x:v>
      </x:c>
      <x:c r="G689" s="14" t="n">
        <x:v>49</x:v>
      </x:c>
      <x:c r="H689" s="14" t="n">
        <x:v>1</x:v>
      </x:c>
      <x:c r="I689" s="14" t="n">
        <x:v>1</x:v>
      </x:c>
      <x:c r="J689" s="18" t="n">
        <x:v>75180</x:v>
      </x:c>
      <x:c r="K689" s="19" t="n">
        <x:v>46245.5273869213</x:v>
      </x:c>
      <x:c r="L689" s="19" t="n">
        <x:v>46356.57037037037</x:v>
      </x:c>
      <x:c r="M689"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x:v>
      </x:c>
      <x:c r="N689" s="15" t="str">
        <x:v>https://prozorro.gov.ua/tender/UA-2026-08-11-009974-a</x:v>
      </x:c>
    </x:row>
    <x:row r="690">
      <x:c r="A690" s="14" t="n">
        <x:v>686</x:v>
      </x:c>
      <x:c r="B690" s="14" t="str">
        <x:v>ФОП Воєвода О.С</x:v>
      </x:c>
      <x:c r="C690" s="14" t="str">
        <x:v>2931306364</x:v>
      </x:c>
      <x:c r="D690" s="14" t="str">
        <x:v>Промислова теплоізоляція</x:v>
      </x:c>
      <x:c r="E690" s="14" t="str">
        <x:v>Expansion discovery</x:v>
      </x:c>
      <x:c r="F690" s="14" t="str">
        <x:v>I3</x:v>
      </x:c>
      <x:c r="G690" s="14" t="n">
        <x:v>49</x:v>
      </x:c>
      <x:c r="H690" s="14" t="n">
        <x:v>1</x:v>
      </x:c>
      <x:c r="I690" s="14" t="n">
        <x:v>1</x:v>
      </x:c>
      <x:c r="J690" s="18" t="n">
        <x:v>18480</x:v>
      </x:c>
      <x:c r="K690" s="19" t="n">
        <x:v>46258.46276378472</x:v>
      </x:c>
      <x:c r="L690" s="19" t="n">
        <x:v>46387</x:v>
      </x:c>
      <x:c r="M690" s="15" t="str">
        <x:v>Послуги з технічного обслуговування системи опалення(теплоізоляція трубопроводів тепломережі, герметизація вводів та запуск системи опалення)</x:v>
      </x:c>
      <x:c r="N690" s="15" t="str">
        <x:v>https://prozorro.gov.ua/tender/UA-2026-08-24-006228-a</x:v>
      </x:c>
    </x:row>
    <x:row r="691">
      <x:c r="A691" s="14" t="n">
        <x:v>687</x:v>
      </x:c>
      <x:c r="B691" s="14" t="str">
        <x:v>ФОП Горобець Сергій Олександрович</x:v>
      </x:c>
      <x:c r="C691" s="14" t="str">
        <x:v>3011103593</x:v>
      </x:c>
      <x:c r="D691" s="14" t="str">
        <x:v>Дорожні роботи</x:v>
      </x:c>
      <x:c r="E691" s="14" t="str">
        <x:v>Expansion discovery</x:v>
      </x:c>
      <x:c r="F691" s="14" t="str">
        <x:v>I3</x:v>
      </x:c>
      <x:c r="G691" s="14" t="n">
        <x:v>49</x:v>
      </x:c>
      <x:c r="H691" s="14" t="n">
        <x:v>1</x:v>
      </x:c>
      <x:c r="I691" s="14" t="n">
        <x:v>1</x:v>
      </x:c>
      <x:c r="J691" s="18" t="n">
        <x:v>3640</x:v>
      </x:c>
      <x:c r="K691" s="19" t="n">
        <x:v>46252.237138449076</x:v>
      </x:c>
      <x:c r="L691" s="19" t="n">
        <x:v>46387.279814814814</x:v>
      </x:c>
      <x:c r="M691"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x:v>
      </x:c>
      <x:c r="N691" s="15" t="str">
        <x:v>https://prozorro.gov.ua/tender/UA-2026-08-18-000250-a</x:v>
      </x:c>
    </x:row>
    <x:row r="692">
      <x:c r="A692" s="14" t="n">
        <x:v>688</x:v>
      </x:c>
      <x:c r="B692" s="14" t="str">
        <x:v>ФОП Гриневич Дмитро Олегович</x:v>
      </x:c>
      <x:c r="C692" s="14" t="str">
        <x:v>3050220050</x:v>
      </x:c>
      <x:c r="D692" s="14" t="str">
        <x:v>Електромонтаж</x:v>
      </x:c>
      <x:c r="E692" s="14" t="str">
        <x:v>Pilot now</x:v>
      </x:c>
      <x:c r="F692" s="14" t="str">
        <x:v>I3</x:v>
      </x:c>
      <x:c r="G692" s="14" t="n">
        <x:v>49</x:v>
      </x:c>
      <x:c r="H692" s="14" t="n">
        <x:v>1</x:v>
      </x:c>
      <x:c r="I692" s="14" t="n">
        <x:v>1</x:v>
      </x:c>
      <x:c r="J692" s="18" t="n">
        <x:v>17250</x:v>
      </x:c>
      <x:c r="K692" s="19" t="n">
        <x:v>46252.32178733796</x:v>
      </x:c>
      <x:c r="L692" s="19" t="n">
        <x:v>46387.36038194445</x:v>
      </x:c>
      <x:c r="M692" s="15" t="str">
        <x:v>електромонтажні роботи в найпростішому укритті (з'єднання в розподільчих коробках)</x:v>
      </x:c>
      <x:c r="N692" s="15" t="str">
        <x:v>https://prozorro.gov.ua/tender/UA-2026-08-18-002319-a</x:v>
      </x:c>
    </x:row>
    <x:row r="693">
      <x:c r="A693" s="14" t="n">
        <x:v>689</x:v>
      </x:c>
      <x:c r="B693" s="14" t="str">
        <x:v>ФОП Дзюра М.І.</x:v>
      </x:c>
      <x:c r="C693" s="14" t="str">
        <x:v>1906205534</x:v>
      </x:c>
      <x:c r="D693" s="14" t="str">
        <x:v>Мости / інфраструктура</x:v>
      </x:c>
      <x:c r="E693" s="14" t="str">
        <x:v>Expansion discovery</x:v>
      </x:c>
      <x:c r="F693" s="14" t="str">
        <x:v>I3</x:v>
      </x:c>
      <x:c r="G693" s="14" t="n">
        <x:v>49</x:v>
      </x:c>
      <x:c r="H693" s="14" t="n">
        <x:v>1</x:v>
      </x:c>
      <x:c r="I693" s="14" t="n">
        <x:v>1</x:v>
      </x:c>
      <x:c r="J693" s="18" t="n">
        <x:v>41200</x:v>
      </x:c>
      <x:c r="K693" s="19" t="n">
        <x:v>46254.324462268516</x:v>
      </x:c>
      <x:c r="L693" s="19" t="n">
        <x:v>46387</x:v>
      </x:c>
      <x:c r="M693"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x:v>
      </x:c>
      <x:c r="N693" s="15" t="str">
        <x:v>https://prozorro.gov.ua/tender/UA-2026-08-20-002827-a</x:v>
      </x:c>
    </x:row>
    <x:row r="694">
      <x:c r="A694" s="14" t="n">
        <x:v>690</x:v>
      </x:c>
      <x:c r="B694" s="14" t="str">
        <x:v>ФОП Довганюк Вікторія Валеріївна</x:v>
      </x:c>
      <x:c r="C694" s="14" t="str">
        <x:v>3414011349</x:v>
      </x:c>
      <x:c r="D694" s="14" t="str">
        <x:v>Електромонтаж</x:v>
      </x:c>
      <x:c r="E694" s="14" t="str">
        <x:v>Pilot now</x:v>
      </x:c>
      <x:c r="F694" s="14" t="str">
        <x:v>I3</x:v>
      </x:c>
      <x:c r="G694" s="14" t="n">
        <x:v>49</x:v>
      </x:c>
      <x:c r="H694" s="14" t="n">
        <x:v>1</x:v>
      </x:c>
      <x:c r="I694" s="14" t="n">
        <x:v>1</x:v>
      </x:c>
      <x:c r="J694" s="18" t="n">
        <x:v>38982</x:v>
      </x:c>
      <x:c r="K694" s="19" t="n">
        <x:v>46258.302548761574</x:v>
      </x:c>
      <x:c r="L694" s="19" t="n">
        <x:v>46387.34575231482</x:v>
      </x:c>
      <x:c r="M694" s="15" t="str">
        <x:v>Електромонтажні роботи</x:v>
      </x:c>
      <x:c r="N694" s="15" t="str">
        <x:v>https://prozorro.gov.ua/tender/UA-2026-08-24-001409-a</x:v>
      </x:c>
    </x:row>
    <x:row r="695">
      <x:c r="A695" s="14" t="n">
        <x:v>691</x:v>
      </x:c>
      <x:c r="B695" s="14" t="str">
        <x:v>Фоп ДОМАНСЬКИЙ АНДРІЙ СТЕПАНОВИЧ</x:v>
      </x:c>
      <x:c r="C695" s="14" t="str">
        <x:v>3137507030</x:v>
      </x:c>
      <x:c r="D695" s="14" t="str">
        <x:v>Резервне живлення</x:v>
      </x:c>
      <x:c r="E695" s="14" t="str">
        <x:v>Pilot now</x:v>
      </x:c>
      <x:c r="F695" s="14" t="str">
        <x:v>I3</x:v>
      </x:c>
      <x:c r="G695" s="14" t="n">
        <x:v>49</x:v>
      </x:c>
      <x:c r="H695" s="14" t="n">
        <x:v>1</x:v>
      </x:c>
      <x:c r="I695" s="14" t="n">
        <x:v>1</x:v>
      </x:c>
      <x:c r="J695" s="18" t="n">
        <x:v>64266.5</x:v>
      </x:c>
      <x:c r="K695" s="19" t="n">
        <x:v>46237.23768855324</x:v>
      </x:c>
      <x:c r="L695" s="19" t="n">
        <x:v>46266</x:v>
      </x:c>
      <x:c r="M695" s="15" t="str">
        <x:v>Послуга з підключення дизельгенератора</x:v>
      </x:c>
      <x:c r="N695" s="15" t="str">
        <x:v>https://prozorro.gov.ua/tender/UA-2026-08-03-000180-a</x:v>
      </x:c>
    </x:row>
    <x:row r="696">
      <x:c r="A696" s="14" t="n">
        <x:v>692</x:v>
      </x:c>
      <x:c r="B696" s="14" t="str">
        <x:v>ФОП Жданюк Андрій Васильйович</x:v>
      </x:c>
      <x:c r="C696" s="14" t="str">
        <x:v>3050412072</x:v>
      </x:c>
      <x:c r="D696" s="14" t="str">
        <x:v>Безпека / СКУД / CCTV</x:v>
      </x:c>
      <x:c r="E696" s="14" t="str">
        <x:v>Expansion discovery</x:v>
      </x:c>
      <x:c r="F696" s="14" t="str">
        <x:v>I3</x:v>
      </x:c>
      <x:c r="G696" s="14" t="n">
        <x:v>49</x:v>
      </x:c>
      <x:c r="H696" s="14" t="n">
        <x:v>1</x:v>
      </x:c>
      <x:c r="I696" s="14" t="n">
        <x:v>1</x:v>
      </x:c>
      <x:c r="J696" s="18" t="n">
        <x:v>4950</x:v>
      </x:c>
      <x:c r="K696" s="19" t="n">
        <x:v>46233.424376319446</x:v>
      </x:c>
      <x:c r="L696" s="19" t="n">
        <x:v>46387.41515046296</x:v>
      </x:c>
      <x:c r="M696" s="15" t="str">
        <x:v>Послуги із монтажу і ремонту систем відеоспостереження та систем контроля доступу</x:v>
      </x:c>
      <x:c r="N696" s="15" t="str">
        <x:v>https://prozorro.gov.ua/tender/UA-2026-07-30-003780-a</x:v>
      </x:c>
    </x:row>
    <x:row r="697">
      <x:c r="A697" s="14" t="n">
        <x:v>693</x:v>
      </x:c>
      <x:c r="B697" s="14" t="str">
        <x:v>ФОП Жовтун Олександра Реджебівна</x:v>
      </x:c>
      <x:c r="C697" s="14" t="str">
        <x:v>3332914667</x:v>
      </x:c>
      <x:c r="D697" s="14" t="str">
        <x:v>Безпека / СКУД / CCTV</x:v>
      </x:c>
      <x:c r="E697" s="14" t="str">
        <x:v>Expansion discovery</x:v>
      </x:c>
      <x:c r="F697" s="14" t="str">
        <x:v>I3</x:v>
      </x:c>
      <x:c r="G697" s="14" t="n">
        <x:v>49</x:v>
      </x:c>
      <x:c r="H697" s="14" t="n">
        <x:v>1</x:v>
      </x:c>
      <x:c r="I697" s="14" t="n">
        <x:v>1</x:v>
      </x:c>
      <x:c r="J697" s="18" t="n">
        <x:v>63600</x:v>
      </x:c>
      <x:c r="K697" s="19" t="n">
        <x:v>46248.55315047454</x:v>
      </x:c>
      <x:c r="L697" s="19" t="n">
        <x:v>46387.59710648148</x:v>
      </x:c>
      <x:c r="M697" s="15" t="str">
        <x:v>Монтаж системи відеоспостереження</x:v>
      </x:c>
      <x:c r="N697" s="15" t="str">
        <x:v>https://prozorro.gov.ua/tender/UA-2026-08-14-010513-a</x:v>
      </x:c>
    </x:row>
    <x:row r="698">
      <x:c r="A698" s="14" t="n">
        <x:v>694</x:v>
      </x:c>
      <x:c r="B698" s="14" t="str">
        <x:v>ФОП Кавінський В.В.</x:v>
      </x:c>
      <x:c r="C698" s="14" t="str">
        <x:v>2907210917</x:v>
      </x:c>
      <x:c r="D698" s="14" t="str">
        <x:v>Благоустрій</x:v>
      </x:c>
      <x:c r="E698" s="14" t="str">
        <x:v>Expansion discovery</x:v>
      </x:c>
      <x:c r="F698" s="14" t="str">
        <x:v>I3</x:v>
      </x:c>
      <x:c r="G698" s="14" t="n">
        <x:v>49</x:v>
      </x:c>
      <x:c r="H698" s="14" t="n">
        <x:v>1</x:v>
      </x:c>
      <x:c r="I698" s="14" t="n">
        <x:v>1</x:v>
      </x:c>
      <x:c r="J698" s="18" t="n">
        <x:v>44500</x:v>
      </x:c>
      <x:c r="K698" s="19" t="n">
        <x:v>46231.269331979165</x:v>
      </x:c>
      <x:c r="L698" s="19" t="n">
        <x:v>46387</x:v>
      </x:c>
      <x:c r="M698"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x:v>
      </x:c>
      <x:c r="N698" s="15" t="str">
        <x:v>https://prozorro.gov.ua/tender/UA-2026-07-28-000868-a</x:v>
      </x:c>
    </x:row>
    <x:row r="699">
      <x:c r="A699" s="14" t="n">
        <x:v>695</x:v>
      </x:c>
      <x:c r="B699" s="14" t="str">
        <x:v>ФОП Кметюк В.М.</x:v>
      </x:c>
      <x:c r="C699" s="14" t="str">
        <x:v>3267715811</x:v>
      </x:c>
      <x:c r="D699" s="14" t="str">
        <x:v>Електромонтаж</x:v>
      </x:c>
      <x:c r="E699" s="14" t="str">
        <x:v>Pilot now</x:v>
      </x:c>
      <x:c r="F699" s="14" t="str">
        <x:v>I3</x:v>
      </x:c>
      <x:c r="G699" s="14" t="n">
        <x:v>49</x:v>
      </x:c>
      <x:c r="H699" s="14" t="n">
        <x:v>1</x:v>
      </x:c>
      <x:c r="I699" s="14" t="n">
        <x:v>1</x:v>
      </x:c>
      <x:c r="J699" s="18" t="n">
        <x:v>8937.87</x:v>
      </x:c>
      <x:c r="K699" s="19" t="n">
        <x:v>46258.36646300926</x:v>
      </x:c>
      <x:c r="L699" s="19" t="n">
        <x:v>46258</x:v>
      </x:c>
      <x:c r="M699" s="15" t="str">
        <x:v>електромонтажні роботи</x:v>
      </x:c>
      <x:c r="N699" s="15" t="str">
        <x:v>https://prozorro.gov.ua/tender/UA-2026-08-24-003617-a</x:v>
      </x:c>
    </x:row>
    <x:row r="700">
      <x:c r="A700" s="14" t="n">
        <x:v>696</x:v>
      </x:c>
      <x:c r="B700" s="14" t="str">
        <x:v>ФОП Коцюк Борис Романович</x:v>
      </x:c>
      <x:c r="C700" s="14" t="str">
        <x:v>2492415058</x:v>
      </x:c>
      <x:c r="D700" s="14" t="str">
        <x:v>Електромонтаж</x:v>
      </x:c>
      <x:c r="E700" s="14" t="str">
        <x:v>Pilot now</x:v>
      </x:c>
      <x:c r="F700" s="14" t="str">
        <x:v>I3</x:v>
      </x:c>
      <x:c r="G700" s="14" t="n">
        <x:v>49</x:v>
      </x:c>
      <x:c r="H700" s="14" t="n">
        <x:v>1</x:v>
      </x:c>
      <x:c r="I700" s="14" t="n">
        <x:v>1</x:v>
      </x:c>
      <x:c r="J700" s="18" t="n">
        <x:v>3237</x:v>
      </x:c>
      <x:c r="K700" s="19" t="n">
        <x:v>46218.347446087966</x:v>
      </x:c>
      <x:c r="L700" s="19" t="n">
        <x:v>46387.38861111111</x:v>
      </x:c>
      <x:c r="M700" s="15" t="str">
        <x:v>Електромонтажні роботи</x:v>
      </x:c>
      <x:c r="N700" s="15" t="str">
        <x:v>https://prozorro.gov.ua/tender/UA-2026-07-15-002987-a</x:v>
      </x:c>
    </x:row>
    <x:row r="701">
      <x:c r="A701" s="14" t="n">
        <x:v>697</x:v>
      </x:c>
      <x:c r="B701" s="14" t="str">
        <x:v>ФОП Курєнков Сергій Олександрович</x:v>
      </x:c>
      <x:c r="C701" s="14" t="str">
        <x:v>3169902736</x:v>
      </x:c>
      <x:c r="D701" s="14" t="str">
        <x:v>Безпека / СКУД / CCTV</x:v>
      </x:c>
      <x:c r="E701" s="14" t="str">
        <x:v>Expansion discovery</x:v>
      </x:c>
      <x:c r="F701" s="14" t="str">
        <x:v>I3</x:v>
      </x:c>
      <x:c r="G701" s="14" t="n">
        <x:v>49</x:v>
      </x:c>
      <x:c r="H701" s="14" t="n">
        <x:v>1</x:v>
      </x:c>
      <x:c r="I701" s="14" t="n">
        <x:v>1</x:v>
      </x:c>
      <x:c r="J701" s="18" t="n">
        <x:v>9850</x:v>
      </x:c>
      <x:c r="K701" s="19" t="n">
        <x:v>46225.49115436342</x:v>
      </x:c>
      <x:c r="L701" s="19" t="n">
        <x:v>46266.493113425924</x:v>
      </x:c>
      <x:c r="M701" s="15" t="str">
        <x:v>Послуги з монтажу системи відеоспостереження</x:v>
      </x:c>
      <x:c r="N701" s="15" t="str">
        <x:v>https://prozorro.gov.ua/tender/UA-2026-07-22-007424-a</x:v>
      </x:c>
    </x:row>
    <x:row r="702">
      <x:c r="A702" s="14" t="n">
        <x:v>698</x:v>
      </x:c>
      <x:c r="B702" s="14" t="str">
        <x:v>ФОП Макін О В</x:v>
      </x:c>
      <x:c r="C702" s="14" t="str">
        <x:v>2558204430</x:v>
      </x:c>
      <x:c r="D702" s="14" t="str">
        <x:v>HVAC / ОВіК</x:v>
      </x:c>
      <x:c r="E702" s="14" t="str">
        <x:v>Pilot now</x:v>
      </x:c>
      <x:c r="F702" s="14" t="str">
        <x:v>I3</x:v>
      </x:c>
      <x:c r="G702" s="14" t="n">
        <x:v>49</x:v>
      </x:c>
      <x:c r="H702" s="14" t="n">
        <x:v>1</x:v>
      </x:c>
      <x:c r="I702" s="14" t="n">
        <x:v>1</x:v>
      </x:c>
      <x:c r="J702" s="18" t="n">
        <x:v>51150</x:v>
      </x:c>
      <x:c r="K702" s="19" t="n">
        <x:v>46219.33511291667</x:v>
      </x:c>
      <x:c r="L702" s="19" t="n">
        <x:v>46387</x:v>
      </x:c>
      <x:c r="M702" s="15" t="str">
        <x:v>Електромонтажні роботи (монтаж вентиляційної системи)</x:v>
      </x:c>
      <x:c r="N702" s="15" t="str">
        <x:v>https://prozorro.gov.ua/tender/UA-2026-07-16-002589-a</x:v>
      </x:c>
    </x:row>
    <x:row r="703">
      <x:c r="A703" s="14" t="n">
        <x:v>699</x:v>
      </x:c>
      <x:c r="B703" s="14" t="str">
        <x:v>ФОП Максимів Ігор Васильович</x:v>
      </x:c>
      <x:c r="C703" s="14" t="str">
        <x:v>2377803157</x:v>
      </x:c>
      <x:c r="D703" s="14" t="str">
        <x:v>Дорожні роботи</x:v>
      </x:c>
      <x:c r="E703" s="14" t="str">
        <x:v>Expansion discovery</x:v>
      </x:c>
      <x:c r="F703" s="14" t="str">
        <x:v>I3</x:v>
      </x:c>
      <x:c r="G703" s="14" t="n">
        <x:v>49</x:v>
      </x:c>
      <x:c r="H703" s="14" t="n">
        <x:v>1</x:v>
      </x:c>
      <x:c r="I703" s="14" t="n">
        <x:v>1</x:v>
      </x:c>
      <x:c r="J703" s="18" t="n">
        <x:v>3874</x:v>
      </x:c>
      <x:c r="K703" s="19" t="n">
        <x:v>46253.48644085648</x:v>
      </x:c>
      <x:c r="L703" s="19" t="n">
        <x:v>46387</x:v>
      </x:c>
      <x:c r="M703"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x:v>
      </x:c>
      <x:c r="N703" s="15" t="str">
        <x:v>https://prozorro.gov.ua/tender/UA-2026-08-19-008483-a</x:v>
      </x:c>
    </x:row>
    <x:row r="704">
      <x:c r="A704" s="14" t="n">
        <x:v>700</x:v>
      </x:c>
      <x:c r="B704" s="14" t="str">
        <x:v>ФОП Небесний Руслан Зіновійович</x:v>
      </x:c>
      <x:c r="C704" s="14" t="str">
        <x:v>2536315230</x:v>
      </x:c>
      <x:c r="D704" s="14" t="str">
        <x:v>Пасивний вогнезахист</x:v>
      </x:c>
      <x:c r="E704" s="14" t="str">
        <x:v>Expansion discovery</x:v>
      </x:c>
      <x:c r="F704" s="14" t="str">
        <x:v>I3</x:v>
      </x:c>
      <x:c r="G704" s="14" t="n">
        <x:v>49</x:v>
      </x:c>
      <x:c r="H704" s="14" t="n">
        <x:v>1</x:v>
      </x:c>
      <x:c r="I704" s="14" t="n">
        <x:v>1</x:v>
      </x:c>
      <x:c r="J704" s="18" t="n">
        <x:v>49500</x:v>
      </x:c>
      <x:c r="K704" s="19" t="n">
        <x:v>46227.5737687963</x:v>
      </x:c>
      <x:c r="L704" s="19" t="n">
        <x:v>46387</x:v>
      </x:c>
      <x:c r="M704" s="15" t="str">
        <x:v>Вогнезахисна поверхнева обробка дерев'яних конструкцій даху будівлі</x:v>
      </x:c>
      <x:c r="N704" s="15" t="str">
        <x:v>https://prozorro.gov.ua/tender/UA-2026-07-24-009923-a</x:v>
      </x:c>
    </x:row>
    <x:row r="705">
      <x:c r="A705" s="14" t="n">
        <x:v>701</x:v>
      </x:c>
      <x:c r="B705" s="14" t="str">
        <x:v>ФОП Олефіренко Андрій Анатолійович</x:v>
      </x:c>
      <x:c r="C705" s="14" t="str">
        <x:v>3195907118</x:v>
      </x:c>
      <x:c r="D705" s="14" t="str">
        <x:v>Безпека / СКУД / CCTV</x:v>
      </x:c>
      <x:c r="E705" s="14" t="str">
        <x:v>Expansion discovery</x:v>
      </x:c>
      <x:c r="F705" s="14" t="str">
        <x:v>I3</x:v>
      </x:c>
      <x:c r="G705" s="14" t="n">
        <x:v>49</x:v>
      </x:c>
      <x:c r="H705" s="14" t="n">
        <x:v>1</x:v>
      </x:c>
      <x:c r="I705" s="14" t="n">
        <x:v>1</x:v>
      </x:c>
      <x:c r="J705" s="18" t="n">
        <x:v>34162</x:v>
      </x:c>
      <x:c r="K705" s="19" t="n">
        <x:v>46216.51562196759</x:v>
      </x:c>
      <x:c r="L705" s="19" t="n">
        <x:v>46381.556597222225</x:v>
      </x:c>
      <x:c r="M705" s="15" t="str">
        <x:v>Послуги  монтажні та пусконалагоджувальні роботи з монтажу системи відеоспостереження.</x:v>
      </x:c>
      <x:c r="N705" s="15" t="str">
        <x:v>https://prozorro.gov.ua/tender/UA-2026-07-13-008065-a</x:v>
      </x:c>
    </x:row>
    <x:row r="706">
      <x:c r="A706" s="14" t="n">
        <x:v>702</x:v>
      </x:c>
      <x:c r="B706" s="14" t="str">
        <x:v>ФОП Питель Богдан Михайлович</x:v>
      </x:c>
      <x:c r="C706" s="14" t="str">
        <x:v>2899903292</x:v>
      </x:c>
      <x:c r="D706" s="14" t="str">
        <x:v>Фасади та скління</x:v>
      </x:c>
      <x:c r="E706" s="14" t="str">
        <x:v>Expansion discovery</x:v>
      </x:c>
      <x:c r="F706" s="14" t="str">
        <x:v>I3</x:v>
      </x:c>
      <x:c r="G706" s="14" t="n">
        <x:v>49</x:v>
      </x:c>
      <x:c r="H706" s="14" t="n">
        <x:v>1</x:v>
      </x:c>
      <x:c r="I706" s="14" t="n">
        <x:v>1</x:v>
      </x:c>
      <x:c r="J706" s="18" t="n">
        <x:v>12215</x:v>
      </x:c>
      <x:c r="K706" s="19" t="n">
        <x:v>46241.37848824074</x:v>
      </x:c>
      <x:c r="L706" s="19" t="n">
        <x:v>46387.420590277776</x:v>
      </x:c>
      <x:c r="M706"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x:v>
      </x:c>
      <x:c r="N706" s="15" t="str">
        <x:v>https://prozorro.gov.ua/tender/UA-2026-08-07-004825-a</x:v>
      </x:c>
    </x:row>
    <x:row r="707">
      <x:c r="A707" s="14" t="n">
        <x:v>703</x:v>
      </x:c>
      <x:c r="B707" s="14" t="str">
        <x:v>ФОП Саакян А.С.</x:v>
      </x:c>
      <x:c r="C707" s="14" t="str">
        <x:v>2733721519</x:v>
      </x:c>
      <x:c r="D707" s="14" t="str">
        <x:v>Мости / інфраструктура</x:v>
      </x:c>
      <x:c r="E707" s="14" t="str">
        <x:v>Expansion discovery</x:v>
      </x:c>
      <x:c r="F707" s="14" t="str">
        <x:v>I3</x:v>
      </x:c>
      <x:c r="G707" s="14" t="n">
        <x:v>49</x:v>
      </x:c>
      <x:c r="H707" s="14" t="n">
        <x:v>1</x:v>
      </x:c>
      <x:c r="I707" s="14" t="n">
        <x:v>1</x:v>
      </x:c>
      <x:c r="J707" s="18" t="n">
        <x:v>70190.23</x:v>
      </x:c>
      <x:c r="K707" s="19" t="n">
        <x:v>46255.52196247685</x:v>
      </x:c>
      <x:c r="L707" s="19" t="n">
        <x:v>46387.56453703704</x:v>
      </x:c>
      <x:c r="M707"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x:v>
      </x:c>
      <x:c r="N707" s="15" t="str">
        <x:v>https://prozorro.gov.ua/tender/UA-2026-08-21-010512-a</x:v>
      </x:c>
    </x:row>
    <x:row r="708">
      <x:c r="A708" s="14" t="n">
        <x:v>704</x:v>
      </x:c>
      <x:c r="B708" s="14" t="str">
        <x:v>ФОП Сапіга Михайло Євгенович</x:v>
      </x:c>
      <x:c r="C708" s="14" t="str">
        <x:v>2473003698</x:v>
      </x:c>
      <x:c r="D708" s="14" t="str">
        <x:v>Газопостачання / котельні</x:v>
      </x:c>
      <x:c r="E708" s="14" t="str">
        <x:v>Expansion discovery</x:v>
      </x:c>
      <x:c r="F708" s="14" t="str">
        <x:v>I3</x:v>
      </x:c>
      <x:c r="G708" s="14" t="n">
        <x:v>49</x:v>
      </x:c>
      <x:c r="H708" s="14" t="n">
        <x:v>1</x:v>
      </x:c>
      <x:c r="I708" s="14" t="n">
        <x:v>1</x:v>
      </x:c>
      <x:c r="J708" s="18" t="n">
        <x:v>49200</x:v>
      </x:c>
      <x:c r="K708" s="19" t="n">
        <x:v>46254.44403056713</x:v>
      </x:c>
      <x:c r="L708" s="19" t="n">
        <x:v>46387.48663194444</x:v>
      </x:c>
      <x:c r="M708"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x:v>
      </x:c>
      <x:c r="N708" s="15" t="str">
        <x:v>https://prozorro.gov.ua/tender/UA-2026-08-20-006819-a</x:v>
      </x:c>
    </x:row>
    <x:row r="709">
      <x:c r="A709" s="14" t="n">
        <x:v>705</x:v>
      </x:c>
      <x:c r="B709" s="14" t="str">
        <x:v>ФОП Тертишник Сергій Миколайович</x:v>
      </x:c>
      <x:c r="C709" s="14" t="str">
        <x:v>3633807710</x:v>
      </x:c>
      <x:c r="D709" s="14" t="str">
        <x:v>Електромонтаж</x:v>
      </x:c>
      <x:c r="E709" s="14" t="str">
        <x:v>Pilot now</x:v>
      </x:c>
      <x:c r="F709" s="14" t="str">
        <x:v>I3</x:v>
      </x:c>
      <x:c r="G709" s="14" t="n">
        <x:v>49</x:v>
      </x:c>
      <x:c r="H709" s="14" t="n">
        <x:v>1</x:v>
      </x:c>
      <x:c r="I709" s="14" t="n">
        <x:v>1</x:v>
      </x:c>
      <x:c r="J709" s="18" t="n">
        <x:v>19952.96</x:v>
      </x:c>
      <x:c r="K709" s="19" t="n">
        <x:v>46254.29946659722</x:v>
      </x:c>
      <x:c r="L709" s="19" t="n">
        <x:v>46387.34100694444</x:v>
      </x:c>
      <x:c r="M709" s="15" t="str">
        <x:v>Електромонтажні роботи</x:v>
      </x:c>
      <x:c r="N709" s="15" t="str">
        <x:v>https://prozorro.gov.ua/tender/UA-2026-08-20-001719-a</x:v>
      </x:c>
    </x:row>
    <x:row r="710">
      <x:c r="A710" s="14" t="n">
        <x:v>706</x:v>
      </x:c>
      <x:c r="B710" s="14" t="str">
        <x:v>ФОП Ткаченко.П.І</x:v>
      </x:c>
      <x:c r="C710" s="14" t="str">
        <x:v>2147602655</x:v>
      </x:c>
      <x:c r="D710" s="14" t="str">
        <x:v>Промисловий холод</x:v>
      </x:c>
      <x:c r="E710" s="14" t="str">
        <x:v>Expansion discovery</x:v>
      </x:c>
      <x:c r="F710" s="14" t="str">
        <x:v>I3</x:v>
      </x:c>
      <x:c r="G710" s="14" t="n">
        <x:v>49</x:v>
      </x:c>
      <x:c r="H710" s="14" t="n">
        <x:v>1</x:v>
      </x:c>
      <x:c r="I710" s="14" t="n">
        <x:v>1</x:v>
      </x:c>
      <x:c r="J710" s="18" t="n">
        <x:v>30965</x:v>
      </x:c>
      <x:c r="K710" s="19" t="n">
        <x:v>46216.28865054398</x:v>
      </x:c>
      <x:c r="L710" s="19" t="n">
        <x:v>46387</x:v>
      </x:c>
      <x:c r="M710" s="15" t="str">
        <x:v>Встановлення холодильного обладнання</x:v>
      </x:c>
      <x:c r="N710" s="15" t="str">
        <x:v>https://prozorro.gov.ua/tender/UA-2026-07-13-001172-a</x:v>
      </x:c>
    </x:row>
    <x:row r="711">
      <x:c r="A711" s="14" t="n">
        <x:v>707</x:v>
      </x:c>
      <x:c r="B711" s="14" t="str">
        <x:v>ФОП Томащук Валерій Вячеславович</x:v>
      </x:c>
      <x:c r="C711" s="14" t="str">
        <x:v>2186514150</x:v>
      </x:c>
      <x:c r="D711" s="14" t="str">
        <x:v>Покрівлі та гідроізоляція</x:v>
      </x:c>
      <x:c r="E711" s="14" t="str">
        <x:v>Expansion discovery</x:v>
      </x:c>
      <x:c r="F711" s="14" t="str">
        <x:v>I3</x:v>
      </x:c>
      <x:c r="G711" s="14" t="n">
        <x:v>49</x:v>
      </x:c>
      <x:c r="H711" s="14" t="n">
        <x:v>1</x:v>
      </x:c>
      <x:c r="I711" s="14" t="n">
        <x:v>1</x:v>
      </x:c>
      <x:c r="J711" s="18" t="n">
        <x:v>52490</x:v>
      </x:c>
      <x:c r="K711" s="19" t="n">
        <x:v>46244.281348530094</x:v>
      </x:c>
      <x:c r="L711" s="19" t="n">
        <x:v>46265</x:v>
      </x:c>
      <x:c r="M711" s="15" t="str">
        <x:v>Покрівельні роботи (поточний ремонт (відновлення)покрівлі даху</x:v>
      </x:c>
      <x:c r="N711" s="15" t="str">
        <x:v>https://prozorro.gov.ua/tender/UA-2026-08-10-000886-a</x:v>
      </x:c>
    </x:row>
    <x:row r="712">
      <x:c r="A712" s="14" t="n">
        <x:v>708</x:v>
      </x:c>
      <x:c r="B712" s="14" t="str">
        <x:v>ФОП ФЕСЮК АНДРІЙ ВАСИЛЬОВИЧ</x:v>
      </x:c>
      <x:c r="C712" s="14" t="str">
        <x:v>2869310453</x:v>
      </x:c>
      <x:c r="D712" s="14" t="str">
        <x:v>Фасади та скління</x:v>
      </x:c>
      <x:c r="E712" s="14" t="str">
        <x:v>Expansion discovery</x:v>
      </x:c>
      <x:c r="F712" s="14" t="str">
        <x:v>I3</x:v>
      </x:c>
      <x:c r="G712" s="14" t="n">
        <x:v>49</x:v>
      </x:c>
      <x:c r="H712" s="14" t="n">
        <x:v>1</x:v>
      </x:c>
      <x:c r="I712" s="14" t="n">
        <x:v>1</x:v>
      </x:c>
      <x:c r="J712" s="18" t="n">
        <x:v>7020</x:v>
      </x:c>
      <x:c r="K712" s="19" t="n">
        <x:v>46248.73824773148</x:v>
      </x:c>
      <x:c r="L712" s="19" t="n">
        <x:v>46387</x:v>
      </x:c>
      <x:c r="M712" s="15" t="str">
        <x:v>Мінеральна вата для утеплення фасаду школи</x:v>
      </x:c>
      <x:c r="N712" s="15" t="str">
        <x:v>https://prozorro.gov.ua/tender/UA-2026-08-14-011857-a</x:v>
      </x:c>
    </x:row>
    <x:row r="713">
      <x:c r="A713" s="14" t="n">
        <x:v>709</x:v>
      </x:c>
      <x:c r="B713" s="14" t="str">
        <x:v>ФОП Фоменкова О.В.</x:v>
      </x:c>
      <x:c r="C713" s="14" t="str">
        <x:v>2715111789</x:v>
      </x:c>
      <x:c r="D713" s="14" t="str">
        <x:v>Мости / інфраструктура</x:v>
      </x:c>
      <x:c r="E713" s="14" t="str">
        <x:v>Expansion discovery</x:v>
      </x:c>
      <x:c r="F713" s="14" t="str">
        <x:v>I3</x:v>
      </x:c>
      <x:c r="G713" s="14" t="n">
        <x:v>49</x:v>
      </x:c>
      <x:c r="H713" s="14" t="n">
        <x:v>1</x:v>
      </x:c>
      <x:c r="I713" s="14" t="n">
        <x:v>1</x:v>
      </x:c>
      <x:c r="J713" s="18" t="n">
        <x:v>25000</x:v>
      </x:c>
      <x:c r="K713" s="19" t="n">
        <x:v>46216.628633657405</x:v>
      </x:c>
      <x:c r="L713" s="19" t="n">
        <x:v>46387.67122685185</x:v>
      </x:c>
      <x:c r="M713"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x:v>
      </x:c>
      <x:c r="N713" s="15" t="str">
        <x:v>https://prozorro.gov.ua/tender/UA-2026-07-13-011130-a</x:v>
      </x:c>
    </x:row>
    <x:row r="714">
      <x:c r="A714" s="14" t="n">
        <x:v>710</x:v>
      </x:c>
      <x:c r="B714" s="14" t="str">
        <x:v>ФОП Чорнобай Ігор Анатолійович</x:v>
      </x:c>
      <x:c r="C714" s="14" t="str">
        <x:v>2420414479</x:v>
      </x:c>
      <x:c r="D714" s="14" t="str">
        <x:v>Електромонтаж</x:v>
      </x:c>
      <x:c r="E714" s="14" t="str">
        <x:v>Pilot now</x:v>
      </x:c>
      <x:c r="F714" s="14" t="str">
        <x:v>I3</x:v>
      </x:c>
      <x:c r="G714" s="14" t="n">
        <x:v>49</x:v>
      </x:c>
      <x:c r="H714" s="14" t="n">
        <x:v>1</x:v>
      </x:c>
      <x:c r="I714" s="14" t="n">
        <x:v>1</x:v>
      </x:c>
      <x:c r="J714" s="18" t="n">
        <x:v>19600</x:v>
      </x:c>
      <x:c r="K714" s="19" t="n">
        <x:v>46258.42393379629</x:v>
      </x:c>
      <x:c r="L714" s="19" t="n">
        <x:v>46265.425775462965</x:v>
      </x:c>
      <x:c r="M714" s="15" t="str">
        <x:v>Електромонтажні роботи з  влаштування електроживлення бойлерів</x:v>
      </x:c>
      <x:c r="N714" s="15" t="str">
        <x:v>https://prozorro.gov.ua/tender/UA-2026-08-24-005216-a</x:v>
      </x:c>
    </x:row>
    <x:row r="715">
      <x:c r="A715" s="14" t="n">
        <x:v>711</x:v>
      </x:c>
      <x:c r="B715" s="14" t="str">
        <x:v>ФОП Шатківська Аліна Вадимівна</x:v>
      </x:c>
      <x:c r="C715" s="14" t="str">
        <x:v>3305902962</x:v>
      </x:c>
      <x:c r="D715" s="14" t="str">
        <x:v>Пасивний вогнезахист</x:v>
      </x:c>
      <x:c r="E715" s="14" t="str">
        <x:v>Expansion discovery</x:v>
      </x:c>
      <x:c r="F715" s="14" t="str">
        <x:v>I3</x:v>
      </x:c>
      <x:c r="G715" s="14" t="n">
        <x:v>49</x:v>
      </x:c>
      <x:c r="H715" s="14" t="n">
        <x:v>1</x:v>
      </x:c>
      <x:c r="I715" s="14" t="n">
        <x:v>1</x:v>
      </x:c>
      <x:c r="J715" s="18" t="n">
        <x:v>82252.47</x:v>
      </x:c>
      <x:c r="K715" s="19" t="n">
        <x:v>46240.47086918981</x:v>
      </x:c>
      <x:c r="L715" s="19" t="n">
        <x:v>46387</x:v>
      </x:c>
      <x:c r="M715" s="15" t="str">
        <x:v>Послуги з вогнезахисної обробки дерев'яних конструкцій та їх деталей даху</x:v>
      </x:c>
      <x:c r="N715" s="15" t="str">
        <x:v>https://prozorro.gov.ua/tender/UA-2026-08-06-007180-a</x:v>
      </x:c>
    </x:row>
    <x:row r="716">
      <x:c r="A716" s="14" t="n">
        <x:v>712</x:v>
      </x:c>
      <x:c r="B716" s="14" t="str">
        <x:v>ФОП Шульга Олександр Андрійович</x:v>
      </x:c>
      <x:c r="C716" s="14" t="str">
        <x:v>2022816950</x:v>
      </x:c>
      <x:c r="D716" s="14" t="str">
        <x:v>Пасивний вогнезахист</x:v>
      </x:c>
      <x:c r="E716" s="14" t="str">
        <x:v>Expansion discovery</x:v>
      </x:c>
      <x:c r="F716" s="14" t="str">
        <x:v>I3</x:v>
      </x:c>
      <x:c r="G716" s="14" t="n">
        <x:v>49</x:v>
      </x:c>
      <x:c r="H716" s="14" t="n">
        <x:v>1</x:v>
      </x:c>
      <x:c r="I716" s="14" t="n">
        <x:v>1</x:v>
      </x:c>
      <x:c r="J716" s="18" t="n">
        <x:v>86469.79</x:v>
      </x:c>
      <x:c r="K716" s="19" t="n">
        <x:v>46227.33447059028</x:v>
      </x:c>
      <x:c r="L716" s="19" t="n">
        <x:v>46387</x:v>
      </x:c>
      <x:c r="M716"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x:v>
      </x:c>
      <x:c r="N716" s="15" t="str">
        <x:v>https://prozorro.gov.ua/tender/UA-2026-07-24-002917-a</x:v>
      </x:c>
    </x:row>
    <x:row r="717">
      <x:c r="A717" s="14" t="n">
        <x:v>713</x:v>
      </x:c>
      <x:c r="B717" s="14" t="str">
        <x:v>ХОМЕНКО ВІТАЛІЙ ВІКТОРОВИЧ</x:v>
      </x:c>
      <x:c r="C717" s="14" t="str">
        <x:v>3339918455</x:v>
      </x:c>
      <x:c r="D717" s="14" t="str">
        <x:v>Безпека / СКУД / CCTV</x:v>
      </x:c>
      <x:c r="E717" s="14" t="str">
        <x:v>Expansion discovery</x:v>
      </x:c>
      <x:c r="F717" s="14" t="str">
        <x:v>I3</x:v>
      </x:c>
      <x:c r="G717" s="14" t="n">
        <x:v>49</x:v>
      </x:c>
      <x:c r="H717" s="14" t="n">
        <x:v>1</x:v>
      </x:c>
      <x:c r="I717" s="14" t="n">
        <x:v>1</x:v>
      </x:c>
      <x:c r="J717" s="18" t="n">
        <x:v>37962</x:v>
      </x:c>
      <x:c r="K717" s="19" t="n">
        <x:v>46251.375759664355</x:v>
      </x:c>
      <x:c r="L717" s="19" t="n">
        <x:v>46387</x:v>
      </x:c>
      <x:c r="M717"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x:v>
      </x:c>
      <x:c r="N717" s="15" t="str">
        <x:v>https://prozorro.gov.ua/tender/UA-2026-08-17-004383-a</x:v>
      </x:c>
    </x:row>
    <x:row r="718">
      <x:c r="A718" s="14" t="n">
        <x:v>714</x:v>
      </x:c>
      <x:c r="B718" s="14" t="str">
        <x:v>Шелінговський  Віктор Антонович</x:v>
      </x:c>
      <x:c r="C718" s="14" t="str">
        <x:v>2333919831</x:v>
      </x:c>
      <x:c r="D718" s="14" t="str">
        <x:v>HVAC / ОВіК</x:v>
      </x:c>
      <x:c r="E718" s="14" t="str">
        <x:v>Pilot now</x:v>
      </x:c>
      <x:c r="F718" s="14" t="str">
        <x:v>I3</x:v>
      </x:c>
      <x:c r="G718" s="14" t="n">
        <x:v>49</x:v>
      </x:c>
      <x:c r="H718" s="14" t="n">
        <x:v>1</x:v>
      </x:c>
      <x:c r="I718" s="14" t="n">
        <x:v>1</x:v>
      </x:c>
      <x:c r="J718" s="18" t="n">
        <x:v>19805.2</x:v>
      </x:c>
      <x:c r="K718" s="19" t="n">
        <x:v>46248.40554746528</x:v>
      </x:c>
      <x:c r="L718" s="19" t="n">
        <x:v>46387</x:v>
      </x:c>
      <x:c r="M718"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x:v>
      </x:c>
      <x:c r="N718" s="15" t="str">
        <x:v>https://prozorro.gov.ua/tender/UA-2026-08-14-005615-a</x:v>
      </x:c>
    </x:row>
    <x:row r="719">
      <x:c r="A719" s="14" t="n">
        <x:v>715</x:v>
      </x:c>
      <x:c r="B719" s="14" t="str">
        <x:v>ЯРЕМЧУК МАРІЯ АНДРІЇВНА</x:v>
      </x:c>
      <x:c r="C719" s="14" t="str">
        <x:v>2535503908</x:v>
      </x:c>
      <x:c r="D719" s="14" t="str">
        <x:v>HVAC / ОВіК</x:v>
      </x:c>
      <x:c r="E719" s="14" t="str">
        <x:v>Pilot now</x:v>
      </x:c>
      <x:c r="F719" s="14" t="str">
        <x:v>I3</x:v>
      </x:c>
      <x:c r="G719" s="14" t="n">
        <x:v>49</x:v>
      </x:c>
      <x:c r="H719" s="14" t="n">
        <x:v>1</x:v>
      </x:c>
      <x:c r="I719" s="14" t="n">
        <x:v>1</x:v>
      </x:c>
      <x:c r="J719" s="18" t="n">
        <x:v>1810</x:v>
      </x:c>
      <x:c r="K719" s="19" t="n">
        <x:v>46224.45935636574</x:v>
      </x:c>
      <x:c r="L719" s="19" t="n">
        <x:v>46387</x:v>
      </x:c>
      <x:c r="M719" s="15" t="str">
        <x:v>Матеріали та комплектуючі для монтажу системи водяного опалення.</x:v>
      </x:c>
      <x:c r="N719" s="15" t="str">
        <x:v>https://prozorro.gov.ua/tender/UA-2026-07-21-006404-a</x:v>
      </x:c>
    </x:row>
    <x:row r="720">
      <x:c r="A720" s="14" t="n">
        <x:v>716</x:v>
      </x:c>
      <x:c r="B720" s="14" t="str">
        <x:v>ЯРОШЕНКО АНДРІЙ ЄВГЕНОВИЧ</x:v>
      </x:c>
      <x:c r="C720" s="14" t="str">
        <x:v>3118813890</x:v>
      </x:c>
      <x:c r="D720" s="14" t="str">
        <x:v>Сонячна енергетика</x:v>
      </x:c>
      <x:c r="E720" s="14" t="str">
        <x:v>Expansion discovery</x:v>
      </x:c>
      <x:c r="F720" s="14" t="str">
        <x:v>I3</x:v>
      </x:c>
      <x:c r="G720" s="14" t="n">
        <x:v>49</x:v>
      </x:c>
      <x:c r="H720" s="14" t="n">
        <x:v>1</x:v>
      </x:c>
      <x:c r="I720" s="14" t="n">
        <x:v>1</x:v>
      </x:c>
      <x:c r="J720" s="18" t="n">
        <x:v>98700</x:v>
      </x:c>
      <x:c r="K720" s="19" t="n">
        <x:v>46216.312423414354</x:v>
      </x:c>
      <x:c r="L720" s="19" t="n">
        <x:v>46387</x:v>
      </x:c>
      <x:c r="M720"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x:v>
      </x:c>
      <x:c r="N720" s="15" t="str">
        <x:v>https://prozorro.gov.ua/tender/UA-2026-07-13-001820-a</x:v>
      </x:c>
    </x:row>
    <x:row r="721">
      <x:c r="A721" s="14" t="n">
        <x:v>717</x:v>
      </x:c>
      <x:c r="B721" s="14" t="str">
        <x:v>ЯСИНСЬКИЙ ВІТАЛІЙ ВОЛОДИМИРОВИЧ</x:v>
      </x:c>
      <x:c r="C721" s="14" t="str">
        <x:v>3094208552</x:v>
      </x:c>
      <x:c r="D721" s="14" t="str">
        <x:v>Безпека / СКУД / CCTV</x:v>
      </x:c>
      <x:c r="E721" s="14" t="str">
        <x:v>Expansion discovery</x:v>
      </x:c>
      <x:c r="F721" s="14" t="str">
        <x:v>I3</x:v>
      </x:c>
      <x:c r="G721" s="14" t="n">
        <x:v>49</x:v>
      </x:c>
      <x:c r="H721" s="14" t="n">
        <x:v>1</x:v>
      </x:c>
      <x:c r="I721" s="14" t="n">
        <x:v>1</x:v>
      </x:c>
      <x:c r="J721" s="18" t="n">
        <x:v>22076</x:v>
      </x:c>
      <x:c r="K721" s="19" t="n">
        <x:v>46258.271759780095</x:v>
      </x:c>
      <x:c r="L721" s="19" t="n">
        <x:v>46387</x:v>
      </x:c>
      <x:c r="M721" s="15" t="str">
        <x:v>Послуги з монтажу та налаштування системи відеоспостереження</x:v>
      </x:c>
      <x:c r="N721" s="15" t="str">
        <x:v>https://prozorro.gov.ua/tender/UA-2026-08-24-000723-a</x:v>
      </x:c>
    </x:row>
    <x:row r="722">
      <x:c r="A722" s="14" t="n">
        <x:v>718</x:v>
      </x:c>
      <x:c r="B722" s="14" t="str">
        <x:v>ТОВ "МАРЛІН ІНК"</x:v>
      </x:c>
      <x:c r="C722" s="14" t="str">
        <x:v>45197711</x:v>
      </x:c>
      <x:c r="D722" s="14" t="str">
        <x:v>ГНБ / безтраншейні роботи</x:v>
      </x:c>
      <x:c r="E722" s="14" t="str">
        <x:v>Expansion discovery</x:v>
      </x:c>
      <x:c r="F722" s="14" t="str">
        <x:v>I3</x:v>
      </x:c>
      <x:c r="G722" s="14" t="n">
        <x:v>49</x:v>
      </x:c>
      <x:c r="H722" s="14" t="n">
        <x:v>2</x:v>
      </x:c>
      <x:c r="I722" s="14" t="n">
        <x:v>0</x:v>
      </x:c>
      <x:c r="J722" s="18" t="n">
        <x:v>16099379</x:v>
      </x:c>
      <x:c r="K722" s="19" t="n">
        <x:v>45883.3629891088</x:v>
      </x:c>
      <x:c r="L722" s="19" t="n">
        <x:v>46022</x:v>
      </x:c>
      <x:c r="M722"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x:v>
      </x:c>
      <x:c r="N722" s="15" t="str">
        <x:v>https://prozorro.gov.ua/tender/UA-2025-07-16-005656-a</x:v>
      </x:c>
    </x:row>
    <x:row r="723">
      <x:c r="A723" s="14" t="n">
        <x:v>719</x:v>
      </x:c>
      <x:c r="B723" s="14" t="str">
        <x:v>ТОВ "ПРОЕКТНИЙ ЦЕНТР РЕМБУД"</x:v>
      </x:c>
      <x:c r="C723" s="14" t="str">
        <x:v>44939177</x:v>
      </x:c>
      <x:c r="D723" s="14" t="str">
        <x:v>Насосні станції</x:v>
      </x:c>
      <x:c r="E723" s="14" t="str">
        <x:v>Expansion discovery</x:v>
      </x:c>
      <x:c r="F723" s="14" t="str">
        <x:v>I3</x:v>
      </x:c>
      <x:c r="G723" s="14" t="n">
        <x:v>49</x:v>
      </x:c>
      <x:c r="H723" s="14" t="n">
        <x:v>1</x:v>
      </x:c>
      <x:c r="I723" s="14" t="n">
        <x:v>0</x:v>
      </x:c>
      <x:c r="J723" s="18" t="n">
        <x:v>1200000</x:v>
      </x:c>
      <x:c r="K723" s="19" t="n">
        <x:v>46175.30792525463</x:v>
      </x:c>
      <x:c r="L723" s="19" t="n">
        <x:v>46213.30908564815</x:v>
      </x:c>
      <x:c r="M723"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x:v>
      </x:c>
      <x:c r="N723" s="15" t="str">
        <x:v>https://prozorro.gov.ua/tender/UA-2026-06-02-002181-a</x:v>
      </x:c>
    </x:row>
    <x:row r="724">
      <x:c r="A724" s="14" t="n">
        <x:v>720</x:v>
      </x:c>
      <x:c r="B724" s="14" t="str">
        <x:v>ТОВАРИСТВО З ОБМЕЖЕНОЮ ВІДПОВІДАЛЬНІСТЮ "ІННОВАЦІЙНА КОМПАНІЯ "ДЕКА"</x:v>
      </x:c>
      <x:c r="C724" s="14" t="str">
        <x:v>43880471</x:v>
      </x:c>
      <x:c r="D724" s="14" t="str">
        <x:v>Водоочищення / очисні споруди</x:v>
      </x:c>
      <x:c r="E724" s="14" t="str">
        <x:v>Expansion discovery</x:v>
      </x:c>
      <x:c r="F724" s="14" t="str">
        <x:v>I3</x:v>
      </x:c>
      <x:c r="G724" s="14" t="n">
        <x:v>49</x:v>
      </x:c>
      <x:c r="H724" s="14" t="n">
        <x:v>1</x:v>
      </x:c>
      <x:c r="I724" s="14" t="n">
        <x:v>0</x:v>
      </x:c>
      <x:c r="J724" s="18" t="n">
        <x:v>662692.01</x:v>
      </x:c>
      <x:c r="K724" s="19" t="n">
        <x:v>46154.3828858912</x:v>
      </x:c>
      <x:c r="L724" s="19" t="n">
        <x:v>46214</x:v>
      </x:c>
      <x:c r="M724"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x:v>
      </x:c>
      <x:c r="N724" s="15" t="str">
        <x:v>https://prozorro.gov.ua/tender/UA-2026-05-12-003036-a</x:v>
      </x:c>
    </x:row>
    <x:row r="725">
      <x:c r="A725" s="14" t="n">
        <x:v>721</x:v>
      </x:c>
      <x:c r="B725" s="14" t="str">
        <x:v>ТОВАРИСТВО З ОБМЕЖЕНОЮ ВІДПОВІДАЛЬНІСТЮ "НАУКОВО-ВИРОБНИЧЕ ПІДПРИЄМСТВО "УКРАЇНСЬКІ ТЕПЛОВІ МЕРЕЖІ"</x:v>
      </x:c>
      <x:c r="C725" s="14" t="str">
        <x:v>41157207</x:v>
      </x:c>
      <x:c r="D725" s="14" t="str">
        <x:v>HVAC / ОВіК</x:v>
      </x:c>
      <x:c r="E725" s="14" t="str">
        <x:v>Pilot now</x:v>
      </x:c>
      <x:c r="F725" s="14" t="str">
        <x:v>I3</x:v>
      </x:c>
      <x:c r="G725" s="14" t="n">
        <x:v>49</x:v>
      </x:c>
      <x:c r="H725" s="14" t="n">
        <x:v>1</x:v>
      </x:c>
      <x:c r="I725" s="14" t="n">
        <x:v>0</x:v>
      </x:c>
      <x:c r="J725" s="18" t="n">
        <x:v>545375</x:v>
      </x:c>
      <x:c r="K725" s="19" t="n">
        <x:v>46148.5671849537</x:v>
      </x:c>
      <x:c r="L725" s="19" t="n">
        <x:v>46172.87498842592</x:v>
      </x:c>
      <x:c r="M725"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x:v>
      </x:c>
      <x:c r="N725" s="15" t="str">
        <x:v>https://prozorro.gov.ua/tender/UA-2026-04-24-009702-a</x:v>
      </x:c>
    </x:row>
    <x:row r="726">
      <x:c r="A726" s="14" t="n">
        <x:v>722</x:v>
      </x:c>
      <x:c r="B726" s="14" t="str">
        <x:v>Фізична особа-підприємець Тесленко Олександр Анатолійович</x:v>
      </x:c>
      <x:c r="C726" s="14" t="str">
        <x:v>2883315896</x:v>
      </x:c>
      <x:c r="D726" s="14" t="str">
        <x:v>Електромонтаж</x:v>
      </x:c>
      <x:c r="E726" s="14" t="str">
        <x:v>Pilot now</x:v>
      </x:c>
      <x:c r="F726" s="14" t="str">
        <x:v>I3</x:v>
      </x:c>
      <x:c r="G726" s="14" t="n">
        <x:v>49</x:v>
      </x:c>
      <x:c r="H726" s="14" t="n">
        <x:v>1</x:v>
      </x:c>
      <x:c r="I726" s="14" t="n">
        <x:v>0</x:v>
      </x:c>
      <x:c r="J726" s="18" t="n">
        <x:v>99890</x:v>
      </x:c>
      <x:c r="K726" s="19" t="n">
        <x:v>46234.42401953704</x:v>
      </x:c>
      <x:c r="L726" s="19" t="n">
        <x:v>46251</x:v>
      </x:c>
      <x:c r="M726" s="15" t="str">
        <x:v>Послуги з електромонтажних робіт</x:v>
      </x:c>
      <x:c r="N726" s="15" t="str">
        <x:v>https://prozorro.gov.ua/tender/UA-2026-07-31-004732-a</x:v>
      </x:c>
    </x:row>
    <x:row r="727">
      <x:c r="A727" s="14" t="n">
        <x:v>723</x:v>
      </x:c>
      <x:c r="B727" s="14" t="str">
        <x:v>ПРИВАТНЕ ПІДПРИЄМСТВО "ППА-СЕРВІС"</x:v>
      </x:c>
      <x:c r="C727" s="14" t="str">
        <x:v>31188679</x:v>
      </x:c>
      <x:c r="D727" s="14" t="str">
        <x:v>Безпека / СКУД / CCTV</x:v>
      </x:c>
      <x:c r="E727" s="14" t="str">
        <x:v>Expansion discovery</x:v>
      </x:c>
      <x:c r="F727" s="14" t="str">
        <x:v>I3</x:v>
      </x:c>
      <x:c r="G727" s="14" t="n">
        <x:v>48</x:v>
      </x:c>
      <x:c r="H727" s="14" t="n">
        <x:v>2</x:v>
      </x:c>
      <x:c r="I727" s="14" t="n">
        <x:v>2</x:v>
      </x:c>
      <x:c r="J727" s="18" t="n">
        <x:v>72472</x:v>
      </x:c>
      <x:c r="K727" s="19" t="n">
        <x:v>46120.22883804398</x:v>
      </x:c>
      <x:c r="L727" s="19" t="n">
        <x:v>46387</x:v>
      </x:c>
      <x:c r="M727" s="15" t="str">
        <x:v>Послуги з монтажу та налаштування перепускної системи, а саме системи домофонного зв'язку та контролю доступу до неї</x:v>
      </x:c>
      <x:c r="N727" s="15" t="str">
        <x:v>https://prozorro.gov.ua/tender/UA-2026-04-08-000154-a</x:v>
      </x:c>
    </x:row>
    <x:row r="728">
      <x:c r="A728" s="14" t="n">
        <x:v>724</x:v>
      </x:c>
      <x:c r="B728" s="14" t="str">
        <x:v>ТОВАРИСТВО З ОБМЕЖЕНОЮ ВІДПОВІДАЛЬНІСТЮ "ГЕОДЕЗИЧНА КОМПАНІЯ "ГЕОПРОМ"</x:v>
      </x:c>
      <x:c r="C728" s="14" t="str">
        <x:v>39747316</x:v>
      </x:c>
      <x:c r="D728" s="14" t="str">
        <x:v>Водоочищення / очисні споруди</x:v>
      </x:c>
      <x:c r="E728" s="14" t="str">
        <x:v>Expansion discovery</x:v>
      </x:c>
      <x:c r="F728" s="14" t="str">
        <x:v>I3</x:v>
      </x:c>
      <x:c r="G728" s="14" t="n">
        <x:v>48</x:v>
      </x:c>
      <x:c r="H728" s="14" t="n">
        <x:v>2</x:v>
      </x:c>
      <x:c r="I728" s="14" t="n">
        <x:v>2</x:v>
      </x:c>
      <x:c r="J728" s="18" t="n">
        <x:v>89763</x:v>
      </x:c>
      <x:c r="K728" s="19" t="n">
        <x:v>46115.331812083336</x:v>
      </x:c>
      <x:c r="L728" s="19" t="n">
        <x:v>46387</x:v>
      </x:c>
      <x:c r="M728"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x:v>
      </x:c>
      <x:c r="N728" s="15" t="str">
        <x:v>https://prozorro.gov.ua/tender/UA-2026-04-03-003509-a</x:v>
      </x:c>
    </x:row>
    <x:row r="729">
      <x:c r="A729" s="14" t="n">
        <x:v>725</x:v>
      </x:c>
      <x:c r="B729" s="14" t="str">
        <x:v>ТОВАРИСТВО З ОБМЕЖЕНОЮ ВІДПОВІДАЛЬНІСТЮ "ЄВРОФЕСТ"</x:v>
      </x:c>
      <x:c r="C729" s="14" t="str">
        <x:v>37610680</x:v>
      </x:c>
      <x:c r="D729" s="14" t="str">
        <x:v>Пожежогасіння</x:v>
      </x:c>
      <x:c r="E729" s="14" t="str">
        <x:v>Expansion discovery</x:v>
      </x:c>
      <x:c r="F729" s="14" t="str">
        <x:v>I3</x:v>
      </x:c>
      <x:c r="G729" s="14" t="n">
        <x:v>48</x:v>
      </x:c>
      <x:c r="H729" s="14" t="n">
        <x:v>2</x:v>
      </x:c>
      <x:c r="I729" s="14" t="n">
        <x:v>2</x:v>
      </x:c>
      <x:c r="J729" s="18" t="n">
        <x:v>70860.34</x:v>
      </x:c>
      <x:c r="K729" s="19" t="n">
        <x:v>46134.713291238426</x:v>
      </x:c>
      <x:c r="L729" s="19" t="n">
        <x:v>46387</x:v>
      </x:c>
      <x:c r="M729" s="15" t="str">
        <x:v>Демонтаж, монтаж 5 шт. СПД-3 та заміна елементів, налаштування системи пожежної сигналізації у зв’язку з проведенням  ремонтних робіт</x:v>
      </x:c>
      <x:c r="N729" s="15" t="str">
        <x:v>https://prozorro.gov.ua/tender/UA-2026-04-22-015848-a</x:v>
      </x:c>
    </x:row>
    <x:row r="730">
      <x:c r="A730" s="14" t="n">
        <x:v>726</x:v>
      </x:c>
      <x:c r="B730" s="14" t="str">
        <x:v>ТОВАРИСТВО З ОБМЕЖЕНОЮ ВІДПОВІДАЛЬНІСТЮ "СИСТЕМИ ОХОРОНИ ПЛЮС"</x:v>
      </x:c>
      <x:c r="C730" s="14" t="str">
        <x:v>44609600</x:v>
      </x:c>
      <x:c r="D730" s="14" t="str">
        <x:v>Пожежогасіння</x:v>
      </x:c>
      <x:c r="E730" s="14" t="str">
        <x:v>Expansion discovery</x:v>
      </x:c>
      <x:c r="F730" s="14" t="str">
        <x:v>I3</x:v>
      </x:c>
      <x:c r="G730" s="14" t="n">
        <x:v>48</x:v>
      </x:c>
      <x:c r="H730" s="14" t="n">
        <x:v>2</x:v>
      </x:c>
      <x:c r="I730" s="14" t="n">
        <x:v>2</x:v>
      </x:c>
      <x:c r="J730" s="18" t="n">
        <x:v>2228</x:v>
      </x:c>
      <x:c r="K730" s="19" t="n">
        <x:v>46108.31962449074</x:v>
      </x:c>
      <x:c r="L730" s="19" t="n">
        <x:v>46387</x:v>
      </x:c>
      <x:c r="M730" s="15" t="str">
        <x:v>Придбання товару для монтажу системи пожежної сигналізації (Саморізи 100 шт., дюбелі 100 шт., монтажний набір)</x:v>
      </x:c>
      <x:c r="N730" s="15" t="str">
        <x:v>https://prozorro.gov.ua/tender/UA-2026-03-27-001338-a</x:v>
      </x:c>
    </x:row>
    <x:row r="731">
      <x:c r="A731" s="14" t="n">
        <x:v>727</x:v>
      </x:c>
      <x:c r="B731" s="14" t="str">
        <x:v>Управління поліції охорони в Івано-Франківській області</x:v>
      </x:c>
      <x:c r="C731" s="14" t="str">
        <x:v>40108892</x:v>
      </x:c>
      <x:c r="D731" s="14" t="str">
        <x:v>Резервне живлення</x:v>
      </x:c>
      <x:c r="E731" s="14" t="str">
        <x:v>Expansion discovery</x:v>
      </x:c>
      <x:c r="F731" s="14" t="str">
        <x:v>I3</x:v>
      </x:c>
      <x:c r="G731" s="14" t="n">
        <x:v>48</x:v>
      </x:c>
      <x:c r="H731" s="14" t="n">
        <x:v>3</x:v>
      </x:c>
      <x:c r="I731" s="14" t="n">
        <x:v>2</x:v>
      </x:c>
      <x:c r="J731" s="18" t="n">
        <x:v>53579.61</x:v>
      </x:c>
      <x:c r="K731" s="19" t="n">
        <x:v>46111.512726886576</x:v>
      </x:c>
      <x:c r="L731" s="19" t="n">
        <x:v>46387</x:v>
      </x:c>
      <x:c r="M731" s="15" t="str">
        <x:v>Поточний ремонт з монтажем , пусконалагоджування ПОЖЕЖНОЇ системи сигналізації у Корпусі 5 ліцею</x:v>
      </x:c>
      <x:c r="N731" s="15" t="str">
        <x:v>https://prozorro.gov.ua/tender/UA-2026-03-30-008662-a</x:v>
      </x:c>
    </x:row>
    <x:row r="732">
      <x:c r="A732" s="14" t="n">
        <x:v>728</x:v>
      </x:c>
      <x:c r="B732" s="14" t="str">
        <x:v>Акціонерне товариство "Укртелеком"</x:v>
      </x:c>
      <x:c r="C732" s="14" t="str">
        <x:v>21560766</x:v>
      </x:c>
      <x:c r="D732" s="14" t="str">
        <x:v>ВОЛЗ / телеком</x:v>
      </x:c>
      <x:c r="E732" s="14" t="str">
        <x:v>Expansion discovery</x:v>
      </x:c>
      <x:c r="F732" s="14" t="str">
        <x:v>I3</x:v>
      </x:c>
      <x:c r="G732" s="14" t="n">
        <x:v>48</x:v>
      </x:c>
      <x:c r="H732" s="14" t="n">
        <x:v>2</x:v>
      </x:c>
      <x:c r="I732" s="14" t="n">
        <x:v>1</x:v>
      </x:c>
      <x:c r="J732" s="18" t="n">
        <x:v>68100.1</x:v>
      </x:c>
      <x:c r="K732" s="19" t="n">
        <x:v>46104.52148630787</x:v>
      </x:c>
      <x:c r="L732" s="19" t="n">
        <x:v>46387</x:v>
      </x:c>
      <x:c r="M732" s="15" t="str">
        <x:v>Погодження робочого проєкту по об’єкту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71320000-7 національного класифікатора України за ДК 021:2015 «Єдиний закупівельний словник»)</x:v>
      </x:c>
      <x:c r="N732" s="15" t="str">
        <x:v>https://prozorro.gov.ua/tender/UA-2026-03-23-008819-a</x:v>
      </x:c>
    </x:row>
    <x:row r="733">
      <x:c r="A733" s="14" t="n">
        <x:v>729</x:v>
      </x:c>
      <x:c r="B733" s="14" t="str">
        <x:v>МОСТОВЕНКО ІГОР ВОЛОДИМИРОВИЧ</x:v>
      </x:c>
      <x:c r="C733" s="14" t="str">
        <x:v>2925317359</x:v>
      </x:c>
      <x:c r="D733" s="14" t="str">
        <x:v>Електромонтаж</x:v>
      </x:c>
      <x:c r="E733" s="14" t="str">
        <x:v>Pilot now</x:v>
      </x:c>
      <x:c r="F733" s="14" t="str">
        <x:v>I3</x:v>
      </x:c>
      <x:c r="G733" s="14" t="n">
        <x:v>48</x:v>
      </x:c>
      <x:c r="H733" s="14" t="n">
        <x:v>2</x:v>
      </x:c>
      <x:c r="I733" s="14" t="n">
        <x:v>1</x:v>
      </x:c>
      <x:c r="J733" s="18" t="n">
        <x:v>5000</x:v>
      </x:c>
      <x:c r="K733" s="19" t="n">
        <x:v>46211.47979754629</x:v>
      </x:c>
      <x:c r="L733" s="19" t="n">
        <x:v>46387</x:v>
      </x:c>
      <x:c r="M733"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x:v>
      </x:c>
      <x:c r="N733" s="15" t="str">
        <x:v>https://prozorro.gov.ua/tender/UA-2026-07-08-007220-a</x:v>
      </x:c>
    </x:row>
    <x:row r="734">
      <x:c r="A734" s="14" t="n">
        <x:v>730</x:v>
      </x:c>
      <x:c r="B734" s="14" t="str">
        <x:v>ТОВ "ГРУПА КОМПАНІЙ МЕТ-ІНОКС"</x:v>
      </x:c>
      <x:c r="C734" s="14" t="str">
        <x:v>42013326</x:v>
      </x:c>
      <x:c r="D734" s="14" t="str">
        <x:v>Металоконструкції</x:v>
      </x:c>
      <x:c r="E734" s="14" t="str">
        <x:v>Expansion discovery</x:v>
      </x:c>
      <x:c r="F734" s="14" t="str">
        <x:v>I3</x:v>
      </x:c>
      <x:c r="G734" s="14" t="n">
        <x:v>48</x:v>
      </x:c>
      <x:c r="H734" s="14" t="n">
        <x:v>2</x:v>
      </x:c>
      <x:c r="I734" s="14" t="n">
        <x:v>1</x:v>
      </x:c>
      <x:c r="J734" s="18" t="n">
        <x:v>50769.6</x:v>
      </x:c>
      <x:c r="K734" s="19" t="n">
        <x:v>46045.334928993056</x:v>
      </x:c>
      <x:c r="L734" s="19" t="n">
        <x:v>46387.916666655095</x:v>
      </x:c>
      <x:c r="M734" s="15" t="str">
        <x:v>Монтаж металоконструкцій з нержавіючої сталі</x:v>
      </x:c>
      <x:c r="N734" s="15" t="str">
        <x:v>https://prozorro.gov.ua/tender/UA-2026-01-23-002373-a</x:v>
      </x:c>
    </x:row>
    <x:row r="735">
      <x:c r="A735" s="14" t="n">
        <x:v>731</x:v>
      </x:c>
      <x:c r="B735" s="14" t="str">
        <x:v>Фізична особа-підприємець Петрук Олександр Володимирович</x:v>
      </x:c>
      <x:c r="C735" s="14" t="str">
        <x:v>3283004214</x:v>
      </x:c>
      <x:c r="D735" s="14" t="str">
        <x:v>Безпека / СКУД / CCTV</x:v>
      </x:c>
      <x:c r="E735" s="14" t="str">
        <x:v>Expansion discovery</x:v>
      </x:c>
      <x:c r="F735" s="14" t="str">
        <x:v>I3</x:v>
      </x:c>
      <x:c r="G735" s="14" t="n">
        <x:v>48</x:v>
      </x:c>
      <x:c r="H735" s="14" t="n">
        <x:v>2</x:v>
      </x:c>
      <x:c r="I735" s="14" t="n">
        <x:v>1</x:v>
      </x:c>
      <x:c r="J735" s="18" t="n">
        <x:v>28866</x:v>
      </x:c>
      <x:c r="K735" s="19" t="n">
        <x:v>46174.57358927083</x:v>
      </x:c>
      <x:c r="L735" s="19" t="n">
        <x:v>46203</x:v>
      </x:c>
      <x:c r="M735" s="15" t="str">
        <x:v>Послуги з монтажу системи відеоспостереження</x:v>
      </x:c>
      <x:c r="N735" s="15" t="str">
        <x:v>https://prozorro.gov.ua/tender/UA-2026-06-01-010801-a</x:v>
      </x:c>
    </x:row>
    <x:row r="736">
      <x:c r="A736" s="14" t="n">
        <x:v>732</x:v>
      </x:c>
      <x:c r="B736" s="14" t="str">
        <x:v>ФОП Городецький Володимир Володимирович</x:v>
      </x:c>
      <x:c r="C736" s="14" t="str">
        <x:v>3114503914</x:v>
      </x:c>
      <x:c r="D736" s="14" t="str">
        <x:v>Безпека / СКУД / CCTV</x:v>
      </x:c>
      <x:c r="E736" s="14" t="str">
        <x:v>Expansion discovery</x:v>
      </x:c>
      <x:c r="F736" s="14" t="str">
        <x:v>I3</x:v>
      </x:c>
      <x:c r="G736" s="14" t="n">
        <x:v>48</x:v>
      </x:c>
      <x:c r="H736" s="14" t="n">
        <x:v>2</x:v>
      </x:c>
      <x:c r="I736" s="14" t="n">
        <x:v>1</x:v>
      </x:c>
      <x:c r="J736" s="18" t="n">
        <x:v>86418</x:v>
      </x:c>
      <x:c r="K736" s="19" t="n">
        <x:v>46211.336785775464</x:v>
      </x:c>
      <x:c r="L736" s="19" t="n">
        <x:v>46387.38082175926</x:v>
      </x:c>
      <x:c r="M736" s="15" t="str">
        <x:v>Послуги з монтажу та налагодження системи відеоспостереження</x:v>
      </x:c>
      <x:c r="N736" s="15" t="str">
        <x:v>https://prozorro.gov.ua/tender/UA-2026-07-08-003023-a</x:v>
      </x:c>
    </x:row>
    <x:row r="737">
      <x:c r="A737" s="14" t="n">
        <x:v>733</x:v>
      </x:c>
      <x:c r="B737" s="14" t="str">
        <x:v>БАРАН МИХАЙЛО МИРОНОВИЧ</x:v>
      </x:c>
      <x:c r="C737" s="14" t="str">
        <x:v>3272605818</x:v>
      </x:c>
      <x:c r="D737" s="14" t="str">
        <x:v>Промисловий холод</x:v>
      </x:c>
      <x:c r="E737" s="14" t="str">
        <x:v>Expansion discovery</x:v>
      </x:c>
      <x:c r="F737" s="14" t="str">
        <x:v>I3</x:v>
      </x:c>
      <x:c r="G737" s="14" t="n">
        <x:v>48</x:v>
      </x:c>
      <x:c r="H737" s="14" t="n">
        <x:v>1</x:v>
      </x:c>
      <x:c r="I737" s="14" t="n">
        <x:v>0</x:v>
      </x:c>
      <x:c r="J737" s="18" t="n">
        <x:v>128160</x:v>
      </x:c>
      <x:c r="K737" s="19" t="n">
        <x:v>46223.503721168985</x:v>
      </x:c>
      <x:c r="L737" s="19" t="n">
        <x:v>46234</x:v>
      </x:c>
      <x:c r="M737"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x:v>
      </x:c>
      <x:c r="N737" s="15" t="str">
        <x:v>https://prozorro.gov.ua/tender/UA-2026-07-20-007339-a</x:v>
      </x:c>
    </x:row>
    <x:row r="738">
      <x:c r="A738" s="14" t="n">
        <x:v>734</x:v>
      </x:c>
      <x:c r="B738" s="14" t="str">
        <x:v>Валентій Ігор Юрійович</x:v>
      </x:c>
      <x:c r="C738" s="14" t="str">
        <x:v>3410801836</x:v>
      </x:c>
      <x:c r="D738" s="14" t="str">
        <x:v>СКС / BMS / слаботочка</x:v>
      </x:c>
      <x:c r="E738" s="14" t="str">
        <x:v>Expansion discovery</x:v>
      </x:c>
      <x:c r="F738" s="14" t="str">
        <x:v>I3</x:v>
      </x:c>
      <x:c r="G738" s="14" t="n">
        <x:v>48</x:v>
      </x:c>
      <x:c r="H738" s="14" t="n">
        <x:v>2</x:v>
      </x:c>
      <x:c r="I738" s="14" t="n">
        <x:v>0</x:v>
      </x:c>
      <x:c r="J738" s="18" t="n">
        <x:v>47920</x:v>
      </x:c>
      <x:c r="K738" s="19" t="n">
        <x:v>46097.3363925</x:v>
      </x:c>
      <x:c r="L738" s="19" t="n">
        <x:v>46112</x:v>
      </x:c>
      <x:c r="M738"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x:v>
      </x:c>
      <x:c r="N738" s="15" t="str">
        <x:v>https://prozorro.gov.ua/tender/UA-2026-03-16-000840-a</x:v>
      </x:c>
    </x:row>
    <x:row r="739">
      <x:c r="A739" s="14" t="n">
        <x:v>735</x:v>
      </x:c>
      <x:c r="B739" s="14" t="str">
        <x:v>ЖИВАКО СТАНІСЛАВ ІГОРОВИЧ</x:v>
      </x:c>
      <x:c r="C739" s="14" t="str">
        <x:v>3320608658</x:v>
      </x:c>
      <x:c r="D739" s="14" t="str">
        <x:v>ВОЛЗ / телеком</x:v>
      </x:c>
      <x:c r="E739" s="14" t="str">
        <x:v>Expansion discovery</x:v>
      </x:c>
      <x:c r="F739" s="14" t="str">
        <x:v>I3</x:v>
      </x:c>
      <x:c r="G739" s="14" t="n">
        <x:v>48</x:v>
      </x:c>
      <x:c r="H739" s="14" t="n">
        <x:v>2</x:v>
      </x:c>
      <x:c r="I739" s="14" t="n">
        <x:v>0</x:v>
      </x:c>
      <x:c r="J739" s="18" t="n">
        <x:v>41500</x:v>
      </x:c>
      <x:c r="K739" s="19" t="n">
        <x:v>46027.915360810184</x:v>
      </x:c>
      <x:c r="L739" s="19" t="n">
        <x:v>46022</x:v>
      </x:c>
      <x:c r="M739" s="15" t="str">
        <x:v>Послуги монтажу  телекомунікаційної мережі та  її вдосконалення за ДК 021:2015 72710000-0 Послуги у сфері локальних мереж</x:v>
      </x:c>
      <x:c r="N739" s="15" t="str">
        <x:v>https://prozorro.gov.ua/tender/UA-2026-01-05-007903-a</x:v>
      </x:c>
    </x:row>
    <x:row r="740">
      <x:c r="A740" s="14" t="n">
        <x:v>736</x:v>
      </x:c>
      <x:c r="B740" s="14" t="str">
        <x:v>ПП "Монтажна компанія "МЕГАТЕХ"</x:v>
      </x:c>
      <x:c r="C740" s="14" t="str">
        <x:v>41972777</x:v>
      </x:c>
      <x:c r="D740" s="14" t="str">
        <x:v>ГНБ / безтраншейні роботи</x:v>
      </x:c>
      <x:c r="E740" s="14" t="str">
        <x:v>Expansion discovery</x:v>
      </x:c>
      <x:c r="F740" s="14" t="str">
        <x:v>I3</x:v>
      </x:c>
      <x:c r="G740" s="14" t="n">
        <x:v>48</x:v>
      </x:c>
      <x:c r="H740" s="14" t="n">
        <x:v>2</x:v>
      </x:c>
      <x:c r="I740" s="14" t="n">
        <x:v>0</x:v>
      </x:c>
      <x:c r="J740" s="18" t="n">
        <x:v>2534984.92</x:v>
      </x:c>
      <x:c r="K740" s="19" t="n">
        <x:v>45476.77239646991</x:v>
      </x:c>
      <x:c r="L740" s="19" t="n">
        <x:v>45504.77263888889</x:v>
      </x:c>
      <x:c r="M740" s="15" t="str">
        <x:v>76430000-6 "Послуги з буріння та експлуатації свердловин" (послуги горизонтально направленого буріння діаметром 100 мм, 71м)</x:v>
      </x:c>
      <x:c r="N740" s="15" t="str">
        <x:v>https://prozorro.gov.ua/tender/UA-2024-07-03-010548-a</x:v>
      </x:c>
    </x:row>
    <x:row r="741">
      <x:c r="A741" s="14" t="n">
        <x:v>737</x:v>
      </x:c>
      <x:c r="B741" s="14" t="str">
        <x:v>РІВНЕНСЬКЕ ОБЛАСНЕ СПЕЦІАЛІЗОВАНЕ РЕМОНТНО-БУДІВЕЛЬНЕ ПІДПРИЄМСТВО ПРОТИПОЖЕЖНИХ РОБІТ ДОБРОВІЛЬНОГО ПОЖЕЖНОГО ТОВАРИСТВА УКРАЇНИ</x:v>
      </x:c>
      <x:c r="C741" s="14" t="str">
        <x:v>00183302</x:v>
      </x:c>
      <x:c r="D741" s="14" t="str">
        <x:v>Блискавкозахист / заземлення</x:v>
      </x:c>
      <x:c r="E741" s="14" t="str">
        <x:v>Pilot now</x:v>
      </x:c>
      <x:c r="F741" s="14" t="str">
        <x:v>I3</x:v>
      </x:c>
      <x:c r="G741" s="14" t="n">
        <x:v>48</x:v>
      </x:c>
      <x:c r="H741" s="14" t="n">
        <x:v>2</x:v>
      </x:c>
      <x:c r="I741" s="14" t="n">
        <x:v>0</x:v>
      </x:c>
      <x:c r="J741" s="18" t="n">
        <x:v>96265</x:v>
      </x:c>
      <x:c r="K741" s="19" t="n">
        <x:v>46091.62268518518</x:v>
      </x:c>
      <x:c r="L741" s="19" t="n">
        <x:v>46112</x:v>
      </x:c>
      <x:c r="M741" s="15" t="str">
        <x:v>Надання послуг по монтажу блискавкозахисту на будівлі будинку культури комунального закладу "Шпаніваський центр культури, спорту та туризму" Шпанівської сільської ради Рівненського району Рівненської області, що знаходиться за адресою: Рівненська обл., Рівненський р-н, с. В.Олексин, вул. Шевченка, 41-Г</x:v>
      </x:c>
      <x:c r="N741" s="15" t="str">
        <x:v>https://prozorro.gov.ua/tender/UA-2026-03-10-013564-a</x:v>
      </x:c>
    </x:row>
    <x:row r="742">
      <x:c r="A742" s="14" t="n">
        <x:v>738</x:v>
      </x:c>
      <x:c r="B742" s="14" t="str">
        <x:v>ТОВ "ТЕПЛОЕНЕРГОКОМПЛЕКТ"</x:v>
      </x:c>
      <x:c r="C742" s="14" t="str">
        <x:v>23390015</x:v>
      </x:c>
      <x:c r="D742" s="14" t="str">
        <x:v>Промислова теплоізоляція</x:v>
      </x:c>
      <x:c r="E742" s="14" t="str">
        <x:v>Expansion discovery</x:v>
      </x:c>
      <x:c r="F742" s="14" t="str">
        <x:v>I3</x:v>
      </x:c>
      <x:c r="G742" s="14" t="n">
        <x:v>48</x:v>
      </x:c>
      <x:c r="H742" s="14" t="n">
        <x:v>3</x:v>
      </x:c>
      <x:c r="I742" s="14" t="n">
        <x:v>0</x:v>
      </x:c>
      <x:c r="J742" s="18" t="n">
        <x:v>4719696</x:v>
      </x:c>
      <x:c r="K742" s="19" t="n">
        <x:v>45622.43236811343</x:v>
      </x:c>
      <x:c r="L742" s="19" t="n">
        <x:v>46065</x:v>
      </x:c>
      <x:c r="M742" s="15" t="str">
        <x:v>Проектно-вишукувальні роботи по об’єкту: "Реконструкція вузла підключення компресорної станції «Машівка» з облаштуванням вузла редукування газу в Полтавському районі Полтавської області" (Стадії «Проект» та «Робоча документація») (Будівельні роботи та поточний ремонт)</x:v>
      </x:c>
      <x:c r="N742" s="15" t="str">
        <x:v>https://prozorro.gov.ua/tender/UA-2024-10-30-010585-a</x:v>
      </x:c>
    </x:row>
    <x:row r="743">
      <x:c r="A743" s="14" t="n">
        <x:v>739</x:v>
      </x:c>
      <x:c r="B743" s="14" t="str">
        <x:v>ТОВАРИСТВО З ОБМЕЖЕНОЮ ВІДПОВІДАЛЬНІСТЮ "ВЕЛЬТУМ-ЗАПОРІЖЖЯ"</x:v>
      </x:c>
      <x:c r="C743" s="14" t="str">
        <x:v>35924440</x:v>
      </x:c>
      <x:c r="D743" s="14" t="str">
        <x:v>Благоустрій</x:v>
      </x:c>
      <x:c r="E743" s="14" t="str">
        <x:v>Expansion discovery</x:v>
      </x:c>
      <x:c r="F743" s="14" t="str">
        <x:v>I3</x:v>
      </x:c>
      <x:c r="G743" s="14" t="n">
        <x:v>48</x:v>
      </x:c>
      <x:c r="H743" s="14" t="n">
        <x:v>2</x:v>
      </x:c>
      <x:c r="I743" s="14" t="n">
        <x:v>0</x:v>
      </x:c>
      <x:c r="J743" s="18" t="n">
        <x:v>999998.91</x:v>
      </x:c>
      <x:c r="K743" s="19" t="n">
        <x:v>45841.353248831016</x:v>
      </x:c>
      <x:c r="L743" s="19" t="n">
        <x:v>46022</x:v>
      </x:c>
      <x:c r="M743"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x:v>
      </x:c>
      <x:c r="N743" s="15" t="str">
        <x:v>https://prozorro.gov.ua/tender/UA-2025-07-03-003993-a</x:v>
      </x:c>
    </x:row>
    <x:row r="744">
      <x:c r="A744" s="14" t="n">
        <x:v>740</x:v>
      </x:c>
      <x:c r="B744" s="14" t="str">
        <x:v>ТОВАРИСТВО З ОБМЕЖЕНОЮ ВІДПОВІДАЛЬНІСТЮ "КОМІНВЄСТ"</x:v>
      </x:c>
      <x:c r="C744" s="14" t="str">
        <x:v>18019170</x:v>
      </x:c>
      <x:c r="D744" s="14" t="str">
        <x:v>Теплові пункти</x:v>
      </x:c>
      <x:c r="E744" s="14" t="str">
        <x:v>Expansion discovery</x:v>
      </x:c>
      <x:c r="F744" s="14" t="str">
        <x:v>I3</x:v>
      </x:c>
      <x:c r="G744" s="14" t="n">
        <x:v>48</x:v>
      </x:c>
      <x:c r="H744" s="14" t="n">
        <x:v>2</x:v>
      </x:c>
      <x:c r="I744" s="14" t="n">
        <x:v>0</x:v>
      </x:c>
      <x:c r="J744" s="18" t="n">
        <x:v>2102259.6</x:v>
      </x:c>
      <x:c r="K744" s="19" t="n">
        <x:v>45524.61002474537</x:v>
      </x:c>
      <x:c r="L744" s="19" t="n">
        <x:v>45625</x:v>
      </x:c>
      <x:c r="M744" s="15" t="str">
        <x:v>Реконструкція індивідуального теплового пункту житлового будинку ЖБК «АВТОМАТ-1» за адресою: вул. Райдужна, 63, м. Київ   (код ДК 021:2015: 45454000-4 – Реконструкція)
</x:v>
      </x:c>
      <x:c r="N744" s="15" t="str">
        <x:v>https://prozorro.gov.ua/tender/UA-2024-08-20-011848-a</x:v>
      </x:c>
    </x:row>
    <x:row r="745">
      <x:c r="A745" s="14" t="n">
        <x:v>741</x:v>
      </x:c>
      <x:c r="B745" s="14" t="str">
        <x:v>ТОВАРИСТВО З ОБМЕЖЕНОЮ ВІДПОВІДАЛЬНІСТЮ "ФАЙМІТЕК БУДГАРАНТ"</x:v>
      </x:c>
      <x:c r="C745" s="14" t="str">
        <x:v>45410241</x:v>
      </x:c>
      <x:c r="D745" s="14" t="str">
        <x:v>Пожежогасіння</x:v>
      </x:c>
      <x:c r="E745" s="14" t="str">
        <x:v>Expansion discovery</x:v>
      </x:c>
      <x:c r="F745" s="14" t="str">
        <x:v>I3</x:v>
      </x:c>
      <x:c r="G745" s="14" t="n">
        <x:v>48</x:v>
      </x:c>
      <x:c r="H745" s="14" t="n">
        <x:v>2</x:v>
      </x:c>
      <x:c r="I745" s="14" t="n">
        <x:v>0</x:v>
      </x:c>
      <x:c r="J745" s="18" t="n">
        <x:v>622880</x:v>
      </x:c>
      <x:c r="K745" s="19" t="n">
        <x:v>46008.54755956018</x:v>
      </x:c>
      <x:c r="L745" s="19" t="n">
        <x:v>46015</x:v>
      </x:c>
      <x:c r="M745"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x:v>
      </x:c>
      <x:c r="N745" s="15" t="str">
        <x:v>https://prozorro.gov.ua/tender/UA-2025-12-17-016581-a</x:v>
      </x:c>
    </x:row>
    <x:row r="746">
      <x:c r="A746" s="14" t="n">
        <x:v>742</x:v>
      </x:c>
      <x:c r="B746" s="14" t="str">
        <x:v>Фізична особа - підприємець Гумен Ігор Ігорович</x:v>
      </x:c>
      <x:c r="C746" s="14" t="str">
        <x:v>3346402459</x:v>
      </x:c>
      <x:c r="D746" s="14" t="str">
        <x:v>Безпека / СКУД / CCTV</x:v>
      </x:c>
      <x:c r="E746" s="14" t="str">
        <x:v>Expansion discovery</x:v>
      </x:c>
      <x:c r="F746" s="14" t="str">
        <x:v>I3</x:v>
      </x:c>
      <x:c r="G746" s="14" t="n">
        <x:v>48</x:v>
      </x:c>
      <x:c r="H746" s="14" t="n">
        <x:v>3</x:v>
      </x:c>
      <x:c r="I746" s="14" t="n">
        <x:v>0</x:v>
      </x:c>
      <x:c r="J746" s="18" t="n">
        <x:v>2130</x:v>
      </x:c>
      <x:c r="K746" s="19" t="n">
        <x:v>46139.473454189814</x:v>
      </x:c>
      <x:c r="L746" s="19" t="n">
        <x:v>46233</x:v>
      </x:c>
      <x:c r="M746" s="15" t="str">
        <x:v>Розетка "Luxel" для монтажу системи контролю доступу (домофонної системи) у ЗДО №75 Львівської міської ради (ДК 021:2015:31220000-4 - Елементи електричних схем)</x:v>
      </x:c>
      <x:c r="N746" s="15" t="str">
        <x:v>https://prozorro.gov.ua/tender/UA-2026-04-27-008025-a</x:v>
      </x:c>
    </x:row>
    <x:row r="747">
      <x:c r="A747" s="14" t="n">
        <x:v>743</x:v>
      </x:c>
      <x:c r="B747" s="14" t="str">
        <x:v>ФОП Пінтеску Ірина Володимирівна</x:v>
      </x:c>
      <x:c r="C747" s="14" t="str">
        <x:v>3052119989</x:v>
      </x:c>
      <x:c r="D747" s="14" t="str">
        <x:v>Мости / інфраструктура</x:v>
      </x:c>
      <x:c r="E747" s="14" t="str">
        <x:v>Expansion discovery</x:v>
      </x:c>
      <x:c r="F747" s="14" t="str">
        <x:v>I3</x:v>
      </x:c>
      <x:c r="G747" s="14" t="n">
        <x:v>48</x:v>
      </x:c>
      <x:c r="H747" s="14" t="n">
        <x:v>1</x:v>
      </x:c>
      <x:c r="I747" s="14" t="n">
        <x:v>0</x:v>
      </x:c>
      <x:c r="J747" s="18" t="n">
        <x:v>272400</x:v>
      </x:c>
      <x:c r="K747" s="19" t="n">
        <x:v>46241.46543015046</x:v>
      </x:c>
      <x:c r="L747" s="19" t="n">
        <x:v>46249</x:v>
      </x:c>
      <x:c r="M747"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x:v>
      </x:c>
      <x:c r="N747" s="15" t="str">
        <x:v>https://prozorro.gov.ua/tender/UA-2026-08-07-007492-a</x:v>
      </x:c>
    </x:row>
    <x:row r="748">
      <x:c r="A748" s="14" t="n">
        <x:v>744</x:v>
      </x:c>
      <x:c r="B748" s="14" t="str">
        <x:v>IT-Integrator</x:v>
      </x:c>
      <x:c r="C748" s="14" t="str"/>
      <x:c r="D748" s="14" t="str">
        <x:v>СКС, BMS та слаботочна інтеграція</x:v>
      </x:c>
      <x:c r="E748" s="14" t="str">
        <x:v>Expansion discovery</x:v>
      </x:c>
      <x:c r="F748" s="14" t="str">
        <x:v>I3</x:v>
      </x:c>
      <x:c r="G748" s="14" t="n">
        <x:v>48</x:v>
      </x:c>
      <x:c r="H748" s="14" t="n">
        <x:v>2</x:v>
      </x:c>
      <x:c r="I748" s="14" t="n">
        <x:v>0</x:v>
      </x:c>
      <x:c r="J748" s="18" t="n">
        <x:v>7115765.74</x:v>
      </x:c>
      <x:c r="K748" s="19" t="n">
        <x:v>45581.360860381945</x:v>
      </x:c>
      <x:c r="L748" s="19" t="n">
        <x:v>46022</x:v>
      </x:c>
      <x:c r="M748" s="15" t="str">
        <x:v>Роботи з будівництва об’єкту: «Реконструкція серверного приміщення Чорноморської філії Державного підприємства «Адміністрація морських портів України» (адміністрація морського порту Чорноморськ) розташованого за адресою: м. Чорноморськ, вул. Праці, 6» (коригування)</x:v>
      </x:c>
      <x:c r="N748" s="15" t="str">
        <x:v>https://prozorro.gov.ua/tender/UA-2024-09-23-013399-a</x:v>
      </x:c>
    </x:row>
    <x:row r="749">
      <x:c r="A749" s="14" t="n">
        <x:v>745</x:v>
      </x:c>
      <x:c r="B749" s="14" t="str">
        <x:v>БРОДОВСЬКИЙ АНДРІЙ ПЕТРОВИЧ</x:v>
      </x:c>
      <x:c r="C749" s="14" t="str">
        <x:v>3223905592</x:v>
      </x:c>
      <x:c r="D749" s="14" t="str">
        <x:v>Газопостачання / котельні</x:v>
      </x:c>
      <x:c r="E749" s="14" t="str">
        <x:v>Expansion discovery</x:v>
      </x:c>
      <x:c r="F749" s="14" t="str">
        <x:v>I3</x:v>
      </x:c>
      <x:c r="G749" s="14" t="n">
        <x:v>47</x:v>
      </x:c>
      <x:c r="H749" s="14" t="n">
        <x:v>1</x:v>
      </x:c>
      <x:c r="I749" s="14" t="n">
        <x:v>1</x:v>
      </x:c>
      <x:c r="J749" s="18" t="n">
        <x:v>2552941.97</x:v>
      </x:c>
      <x:c r="K749" s="19" t="n">
        <x:v>46134.54516891204</x:v>
      </x:c>
      <x:c r="L749" s="19" t="n">
        <x:v>46265</x:v>
      </x:c>
      <x:c r="M749"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x:v>
      </x:c>
      <x:c r="N749" s="15" t="str">
        <x:v>https://prozorro.gov.ua/tender/UA-2026-04-22-013301-a</x:v>
      </x:c>
    </x:row>
    <x:row r="750">
      <x:c r="A750" s="14" t="n">
        <x:v>746</x:v>
      </x:c>
      <x:c r="B750" s="14" t="str">
        <x:v>ЛИМАР ОЛЕКСАНДР АНАТОЛІЙОВИЧ</x:v>
      </x:c>
      <x:c r="C750" s="14" t="str">
        <x:v>3035717452</x:v>
      </x:c>
      <x:c r="D750" s="14" t="str">
        <x:v>Насосні станції</x:v>
      </x:c>
      <x:c r="E750" s="14" t="str">
        <x:v>Expansion discovery</x:v>
      </x:c>
      <x:c r="F750" s="14" t="str">
        <x:v>I3</x:v>
      </x:c>
      <x:c r="G750" s="14" t="n">
        <x:v>47</x:v>
      </x:c>
      <x:c r="H750" s="14" t="n">
        <x:v>1</x:v>
      </x:c>
      <x:c r="I750" s="14" t="n">
        <x:v>1</x:v>
      </x:c>
      <x:c r="J750" s="18" t="n">
        <x:v>149426.52</x:v>
      </x:c>
      <x:c r="K750" s="19" t="n">
        <x:v>46198.55497143519</x:v>
      </x:c>
      <x:c r="L750" s="19" t="n">
        <x:v>46416</x:v>
      </x:c>
      <x:c r="M750"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x:v>
      </x:c>
      <x:c r="N750" s="15" t="str">
        <x:v>https://prozorro.gov.ua/tender/UA-2026-06-25-011409-a</x:v>
      </x:c>
    </x:row>
    <x:row r="751">
      <x:c r="A751" s="14" t="n">
        <x:v>747</x:v>
      </x:c>
      <x:c r="B751" s="14" t="str">
        <x:v>фізична особа підприємець Штанько Віталій Володимирович</x:v>
      </x:c>
      <x:c r="C751" s="14" t="str">
        <x:v>2961316679</x:v>
      </x:c>
      <x:c r="D751" s="14" t="str">
        <x:v>Фасади та скління</x:v>
      </x:c>
      <x:c r="E751" s="14" t="str">
        <x:v>Expansion discovery</x:v>
      </x:c>
      <x:c r="F751" s="14" t="str">
        <x:v>I3</x:v>
      </x:c>
      <x:c r="G751" s="14" t="n">
        <x:v>47</x:v>
      </x:c>
      <x:c r="H751" s="14" t="n">
        <x:v>1</x:v>
      </x:c>
      <x:c r="I751" s="14" t="n">
        <x:v>1</x:v>
      </x:c>
      <x:c r="J751" s="18" t="n">
        <x:v>195662.9</x:v>
      </x:c>
      <x:c r="K751" s="19" t="n">
        <x:v>46196.318579039355</x:v>
      </x:c>
      <x:c r="L751" s="19" t="n">
        <x:v>46296.31893518518</x:v>
      </x:c>
      <x:c r="M751" s="15" t="str">
        <x:v>поточний ремонт частини фасаду з утеплення стін КП ЖКГ "Липоводолинське" за адресою: вул. Полтавська, 18, с-ще Липова Долина, Сумська обл.</x:v>
      </x:c>
      <x:c r="N751" s="15" t="str">
        <x:v>https://prozorro.gov.ua/tender/UA-2026-06-23-002868-a</x:v>
      </x:c>
    </x:row>
    <x:row r="752">
      <x:c r="A752" s="14" t="n">
        <x:v>748</x:v>
      </x:c>
      <x:c r="B752" s="14" t="str">
        <x:v>ФІЗИЧНА ОСОБА-ПІДПРИЄМЕЦЬ  ВАРИВОД СВІТЛАНАОЛЕКСІЇВНА </x:v>
      </x:c>
      <x:c r="C752" s="14" t="str">
        <x:v>2394708105</x:v>
      </x:c>
      <x:c r="D752" s="14" t="str">
        <x:v>Резервне живлення</x:v>
      </x:c>
      <x:c r="E752" s="14" t="str">
        <x:v>Expansion discovery</x:v>
      </x:c>
      <x:c r="F752" s="14" t="str">
        <x:v>I3</x:v>
      </x:c>
      <x:c r="G752" s="14" t="n">
        <x:v>47</x:v>
      </x:c>
      <x:c r="H752" s="14" t="n">
        <x:v>1</x:v>
      </x:c>
      <x:c r="I752" s="14" t="n">
        <x:v>1</x:v>
      </x:c>
      <x:c r="J752" s="18" t="n">
        <x:v>400000</x:v>
      </x:c>
      <x:c r="K752" s="19" t="n">
        <x:v>46202.35694439815</x:v>
      </x:c>
      <x:c r="L752" s="19" t="n">
        <x:v>46387</x:v>
      </x:c>
      <x:c r="M752"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x:v>
      </x:c>
      <x:c r="N752" s="15" t="str">
        <x:v>https://prozorro.gov.ua/tender/UA-2026-06-29-003504-a</x:v>
      </x:c>
    </x:row>
    <x:row r="753">
      <x:c r="A753" s="14" t="n">
        <x:v>749</x:v>
      </x:c>
      <x:c r="B753" s="14" t="str">
        <x:v>ФОП "ДАЦКО ВОЛОДИМИР ОЛЕКСАНДРОВИЧ"</x:v>
      </x:c>
      <x:c r="C753" s="14" t="str">
        <x:v>3277407176</x:v>
      </x:c>
      <x:c r="D753" s="14" t="str">
        <x:v>Промисловий холод</x:v>
      </x:c>
      <x:c r="E753" s="14" t="str">
        <x:v>Expansion discovery</x:v>
      </x:c>
      <x:c r="F753" s="14" t="str">
        <x:v>I3</x:v>
      </x:c>
      <x:c r="G753" s="14" t="n">
        <x:v>47</x:v>
      </x:c>
      <x:c r="H753" s="14" t="n">
        <x:v>1</x:v>
      </x:c>
      <x:c r="I753" s="14" t="n">
        <x:v>1</x:v>
      </x:c>
      <x:c r="J753" s="18" t="n">
        <x:v>342000</x:v>
      </x:c>
      <x:c r="K753" s="19" t="n">
        <x:v>46205.56342530093</x:v>
      </x:c>
      <x:c r="L753" s="19" t="n">
        <x:v>46265</x:v>
      </x:c>
      <x:c r="M753"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x:v>
      </x:c>
      <x:c r="N753" s="15" t="str">
        <x:v>https://prozorro.gov.ua/tender/UA-2026-06-22-002485-a</x:v>
      </x:c>
    </x:row>
    <x:row r="754">
      <x:c r="A754" s="14" t="n">
        <x:v>750</x:v>
      </x:c>
      <x:c r="B754" s="14" t="str">
        <x:v>ФОП "ЧЕРКАСЬКИЙ ОЛЕКСАНДР ВОЛОДИМИРОВИЧ"</x:v>
      </x:c>
      <x:c r="C754" s="14" t="str">
        <x:v>3669702239</x:v>
      </x:c>
      <x:c r="D754" s="14" t="str">
        <x:v>Резервне живлення</x:v>
      </x:c>
      <x:c r="E754" s="14" t="str">
        <x:v>Pilot now</x:v>
      </x:c>
      <x:c r="F754" s="14" t="str">
        <x:v>I3</x:v>
      </x:c>
      <x:c r="G754" s="14" t="n">
        <x:v>47</x:v>
      </x:c>
      <x:c r="H754" s="14" t="n">
        <x:v>1</x:v>
      </x:c>
      <x:c r="I754" s="14" t="n">
        <x:v>1</x:v>
      </x:c>
      <x:c r="J754" s="18" t="n">
        <x:v>120000</x:v>
      </x:c>
      <x:c r="K754" s="19" t="n">
        <x:v>46172.471750613426</x:v>
      </x:c>
      <x:c r="L754" s="19" t="n">
        <x:v>46315</x:v>
      </x:c>
      <x:c r="M754" s="15" t="str">
        <x:v>Послуга з демонтажу - монтажу радіатора в зборі ( радіатор, крильчатка , вал підшипників , підшипники – 2шт) встановлення ременя вентилятора, змащування підшипників , заміна антифризу  на дизель- генераторній установці DALGAKIRAN DJ 17000 CU, серійний номер 25465919,2022 року випуску</x:v>
      </x:c>
      <x:c r="N754" s="15" t="str">
        <x:v>https://prozorro.gov.ua/tender/UA-2026-05-13-013549-a</x:v>
      </x:c>
    </x:row>
    <x:row r="755">
      <x:c r="A755" s="14" t="n">
        <x:v>751</x:v>
      </x:c>
      <x:c r="B755" s="14" t="str">
        <x:v>ФОП Димарчук Леонід Олексійович</x:v>
      </x:c>
      <x:c r="C755" s="14" t="str">
        <x:v>2228210214</x:v>
      </x:c>
      <x:c r="D755" s="14" t="str">
        <x:v>Металоконструкції</x:v>
      </x:c>
      <x:c r="E755" s="14" t="str">
        <x:v>Expansion discovery</x:v>
      </x:c>
      <x:c r="F755" s="14" t="str">
        <x:v>I3</x:v>
      </x:c>
      <x:c r="G755" s="14" t="n">
        <x:v>47</x:v>
      </x:c>
      <x:c r="H755" s="14" t="n">
        <x:v>1</x:v>
      </x:c>
      <x:c r="I755" s="14" t="n">
        <x:v>1</x:v>
      </x:c>
      <x:c r="J755" s="18" t="n">
        <x:v>149996</x:v>
      </x:c>
      <x:c r="K755" s="19" t="n">
        <x:v>46160.58425644676</x:v>
      </x:c>
      <x:c r="L755" s="19" t="n">
        <x:v>46387.626851851855</x:v>
      </x:c>
      <x:c r="M755"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x:v>
      </x:c>
      <x:c r="N755" s="15" t="str">
        <x:v>https://prozorro.gov.ua/tender/UA-2026-05-18-013000-a</x:v>
      </x:c>
    </x:row>
    <x:row r="756">
      <x:c r="A756" s="14" t="n">
        <x:v>752</x:v>
      </x:c>
      <x:c r="B756" s="14" t="str">
        <x:v>ФОП Притова Люсьєна Володимирівна</x:v>
      </x:c>
      <x:c r="C756" s="14" t="str">
        <x:v>2944318767</x:v>
      </x:c>
      <x:c r="D756" s="14" t="str">
        <x:v>Насосні станції</x:v>
      </x:c>
      <x:c r="E756" s="14" t="str">
        <x:v>Expansion discovery</x:v>
      </x:c>
      <x:c r="F756" s="14" t="str">
        <x:v>I3</x:v>
      </x:c>
      <x:c r="G756" s="14" t="n">
        <x:v>47</x:v>
      </x:c>
      <x:c r="H756" s="14" t="n">
        <x:v>1</x:v>
      </x:c>
      <x:c r="I756" s="14" t="n">
        <x:v>1</x:v>
      </x:c>
      <x:c r="J756" s="18" t="n">
        <x:v>220000</x:v>
      </x:c>
      <x:c r="K756" s="19" t="n">
        <x:v>46176.571798703706</x:v>
      </x:c>
      <x:c r="L756" s="19" t="n">
        <x:v>46387</x:v>
      </x:c>
      <x:c r="M756"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x:v>
      </x:c>
      <x:c r="N756" s="15" t="str">
        <x:v>https://prozorro.gov.ua/tender/UA-2026-06-03-012857-a</x:v>
      </x:c>
    </x:row>
    <x:row r="757">
      <x:c r="A757" s="14" t="n">
        <x:v>753</x:v>
      </x:c>
      <x:c r="B757" s="14" t="str">
        <x:v>ФОП РАКИЧ ІВАН ВАЛЕРІЙОВИЧ</x:v>
      </x:c>
      <x:c r="C757" s="14" t="str">
        <x:v>2825816131</x:v>
      </x:c>
      <x:c r="D757" s="14" t="str">
        <x:v>Газопостачання / котельні</x:v>
      </x:c>
      <x:c r="E757" s="14" t="str">
        <x:v>Expansion discovery</x:v>
      </x:c>
      <x:c r="F757" s="14" t="str">
        <x:v>I3</x:v>
      </x:c>
      <x:c r="G757" s="14" t="n">
        <x:v>47</x:v>
      </x:c>
      <x:c r="H757" s="14" t="n">
        <x:v>1</x:v>
      </x:c>
      <x:c r="I757" s="14" t="n">
        <x:v>1</x:v>
      </x:c>
      <x:c r="J757" s="18" t="n">
        <x:v>102553.13</x:v>
      </x:c>
      <x:c r="K757" s="19" t="n">
        <x:v>46209.461327337965</x:v>
      </x:c>
      <x:c r="L757" s="19" t="n">
        <x:v>46387</x:v>
      </x:c>
      <x:c r="M757"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x:v>
      </x:c>
      <x:c r="N757" s="15" t="str">
        <x:v>https://prozorro.gov.ua/tender/UA-2026-07-06-005716-a</x:v>
      </x:c>
    </x:row>
    <x:row r="758">
      <x:c r="A758" s="14" t="n">
        <x:v>754</x:v>
      </x:c>
      <x:c r="B758" s="14" t="str">
        <x:v>ФОП Ткаліченко Тетяна Валентинівна</x:v>
      </x:c>
      <x:c r="C758" s="14" t="str">
        <x:v>2869717422</x:v>
      </x:c>
      <x:c r="D758" s="14" t="str">
        <x:v>Промисловий холод</x:v>
      </x:c>
      <x:c r="E758" s="14" t="str">
        <x:v>Expansion discovery</x:v>
      </x:c>
      <x:c r="F758" s="14" t="str">
        <x:v>I3</x:v>
      </x:c>
      <x:c r="G758" s="14" t="n">
        <x:v>47</x:v>
      </x:c>
      <x:c r="H758" s="14" t="n">
        <x:v>1</x:v>
      </x:c>
      <x:c r="I758" s="14" t="n">
        <x:v>1</x:v>
      </x:c>
      <x:c r="J758" s="18" t="n">
        <x:v>192840</x:v>
      </x:c>
      <x:c r="K758" s="19" t="n">
        <x:v>46206.39339590278</x:v>
      </x:c>
      <x:c r="L758" s="19" t="n">
        <x:v>46265.382523148146</x:v>
      </x:c>
      <x:c r="M758" s="15" t="str">
        <x:v>Послуги з монтажу холодильної камери, (згідно коду ДК 021:2015: 50730000-1 — Послуги з ремонту і технічного обслуговування охолоджувальних установок)</x:v>
      </x:c>
      <x:c r="N758" s="15" t="str">
        <x:v>https://prozorro.gov.ua/tender/UA-2026-07-03-004370-a</x:v>
      </x:c>
    </x:row>
    <x:row r="759">
      <x:c r="A759" s="14" t="n">
        <x:v>755</x:v>
      </x:c>
      <x:c r="B759" s="14" t="str">
        <x:v>ПРИВАТНЕ ПІДПРИЄМСТВО "БЕРКУТ-НП"</x:v>
      </x:c>
      <x:c r="C759" s="14" t="str">
        <x:v>37857696</x:v>
      </x:c>
      <x:c r="D759" s="14" t="str">
        <x:v>Безпека / СКУД / CCTV</x:v>
      </x:c>
      <x:c r="E759" s="14" t="str">
        <x:v>Expansion discovery</x:v>
      </x:c>
      <x:c r="F759" s="14" t="str">
        <x:v>I3</x:v>
      </x:c>
      <x:c r="G759" s="14" t="n">
        <x:v>47</x:v>
      </x:c>
      <x:c r="H759" s="14" t="n">
        <x:v>1</x:v>
      </x:c>
      <x:c r="I759" s="14" t="n">
        <x:v>0</x:v>
      </x:c>
      <x:c r="J759" s="18" t="n">
        <x:v>16654.57</x:v>
      </x:c>
      <x:c r="K759" s="19" t="n">
        <x:v>46220.355459467595</x:v>
      </x:c>
      <x:c r="L759" s="19" t="n">
        <x:v>46234</x:v>
      </x:c>
      <x:c r="M759"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x:v>
      </x:c>
      <x:c r="N759" s="15" t="str">
        <x:v>https://prozorro.gov.ua/tender/UA-2026-07-17-003668-a</x:v>
      </x:c>
    </x:row>
    <x:row r="760">
      <x:c r="A760" s="14" t="n">
        <x:v>756</x:v>
      </x:c>
      <x:c r="B760" s="14" t="str">
        <x:v>ТОВАРИСТВО З ОБМЕЖЕНОЮ ВІДПОВІДАЛЬНІСТЮ "БЕЗПЕКА УНІВЕРСАЛ"</x:v>
      </x:c>
      <x:c r="C760" s="14" t="str">
        <x:v>35798901</x:v>
      </x:c>
      <x:c r="D760" s="14" t="str">
        <x:v>Безпека / СКУД / CCTV</x:v>
      </x:c>
      <x:c r="E760" s="14" t="str">
        <x:v>Expansion discovery</x:v>
      </x:c>
      <x:c r="F760" s="14" t="str">
        <x:v>I3</x:v>
      </x:c>
      <x:c r="G760" s="14" t="n">
        <x:v>47</x:v>
      </x:c>
      <x:c r="H760" s="14" t="n">
        <x:v>1</x:v>
      </x:c>
      <x:c r="I760" s="14" t="n">
        <x:v>0</x:v>
      </x:c>
      <x:c r="J760" s="18" t="n">
        <x:v>61467.6</x:v>
      </x:c>
      <x:c r="K760" s="19" t="n">
        <x:v>46219.58351846065</x:v>
      </x:c>
      <x:c r="L760" s="19" t="n">
        <x:v>46229</x:v>
      </x:c>
      <x:c r="M760" s="15" t="str">
        <x:v>послуги з монтажу та налаштування системи відеоспостереження</x:v>
      </x:c>
      <x:c r="N760" s="15" t="str">
        <x:v>https://prozorro.gov.ua/tender/UA-2026-07-16-009633-a</x:v>
      </x:c>
    </x:row>
    <x:row r="761">
      <x:c r="A761" s="14" t="n">
        <x:v>757</x:v>
      </x:c>
      <x:c r="B761" s="14" t="str">
        <x:v>ТОВАРИСТВО З ОБМЕЖЕНОЮ ВІДПОВІДАЛЬНІСТЮ "ПРОСТІР ЗАХИСТУ"</x:v>
      </x:c>
      <x:c r="C761" s="14" t="str">
        <x:v>46266443</x:v>
      </x:c>
      <x:c r="D761" s="14" t="str">
        <x:v>Безпека / СКУД / CCTV</x:v>
      </x:c>
      <x:c r="E761" s="14" t="str">
        <x:v>Expansion discovery</x:v>
      </x:c>
      <x:c r="F761" s="14" t="str">
        <x:v>I3</x:v>
      </x:c>
      <x:c r="G761" s="14" t="n">
        <x:v>47</x:v>
      </x:c>
      <x:c r="H761" s="14" t="n">
        <x:v>1</x:v>
      </x:c>
      <x:c r="I761" s="14" t="n">
        <x:v>0</x:v>
      </x:c>
      <x:c r="J761" s="18" t="n">
        <x:v>7600</x:v>
      </x:c>
      <x:c r="K761" s="19" t="n">
        <x:v>46213.51147287037</x:v>
      </x:c>
      <x:c r="L761" s="19" t="n">
        <x:v>46231</x:v>
      </x:c>
      <x:c r="M761" s="15" t="str">
        <x:v>Послуга з монтажу системи відеоспостереження (4 камери)</x:v>
      </x:c>
      <x:c r="N761" s="15" t="str">
        <x:v>https://prozorro.gov.ua/tender/UA-2026-07-10-008786-a</x:v>
      </x:c>
    </x:row>
    <x:row r="762">
      <x:c r="A762" s="14" t="n">
        <x:v>758</x:v>
      </x:c>
      <x:c r="B762" s="14" t="str">
        <x:v>ТОВАРИСТВО З ОБМЕЖЕНОЮ ВІДПОВІДАЛЬНІСТЮ "СІТІ - ХОЛДІНГ ІНСТАЛЯТОР"</x:v>
      </x:c>
      <x:c r="C762" s="14" t="str">
        <x:v>35496150</x:v>
      </x:c>
      <x:c r="D762" s="14" t="str">
        <x:v>Безпека / СКУД / CCTV</x:v>
      </x:c>
      <x:c r="E762" s="14" t="str">
        <x:v>Expansion discovery</x:v>
      </x:c>
      <x:c r="F762" s="14" t="str">
        <x:v>I3</x:v>
      </x:c>
      <x:c r="G762" s="14" t="n">
        <x:v>47</x:v>
      </x:c>
      <x:c r="H762" s="14" t="n">
        <x:v>1</x:v>
      </x:c>
      <x:c r="I762" s="14" t="n">
        <x:v>0</x:v>
      </x:c>
      <x:c r="J762" s="18" t="n">
        <x:v>16944</x:v>
      </x:c>
      <x:c r="K762" s="19" t="n">
        <x:v>46223.54157770833</x:v>
      </x:c>
      <x:c r="L762" s="19" t="n">
        <x:v>46234</x:v>
      </x:c>
      <x:c r="M762" s="15" t="str">
        <x:v>Послуги з монтажу та налаштування системи відеоспостереження</x:v>
      </x:c>
      <x:c r="N762" s="15" t="str">
        <x:v>https://prozorro.gov.ua/tender/UA-2026-07-20-008886-a</x:v>
      </x:c>
    </x:row>
    <x:row r="763">
      <x:c r="A763" s="14" t="n">
        <x:v>759</x:v>
      </x:c>
      <x:c r="B763" s="14" t="str">
        <x:v>Фізична особа підприємець Кернасюк Людмила Валеріївна</x:v>
      </x:c>
      <x:c r="C763" s="14" t="str">
        <x:v>3455204341</x:v>
      </x:c>
      <x:c r="D763" s="14" t="str">
        <x:v>Електромонтаж</x:v>
      </x:c>
      <x:c r="E763" s="14" t="str">
        <x:v>Pilot now</x:v>
      </x:c>
      <x:c r="F763" s="14" t="str">
        <x:v>I3</x:v>
      </x:c>
      <x:c r="G763" s="14" t="n">
        <x:v>47</x:v>
      </x:c>
      <x:c r="H763" s="14" t="n">
        <x:v>1</x:v>
      </x:c>
      <x:c r="I763" s="14" t="n">
        <x:v>0</x:v>
      </x:c>
      <x:c r="J763" s="18" t="n">
        <x:v>181728</x:v>
      </x:c>
      <x:c r="K763" s="19" t="n">
        <x:v>46205.3456399537</x:v>
      </x:c>
      <x:c r="L763" s="19" t="n">
        <x:v>46249</x:v>
      </x:c>
      <x:c r="M763" s="15" t="str">
        <x:v>Електромонтажні роботи</x:v>
      </x:c>
      <x:c r="N763" s="15" t="str">
        <x:v>https://prozorro.gov.ua/tender/UA-2026-07-02-003000-a</x:v>
      </x:c>
    </x:row>
    <x:row r="764">
      <x:c r="A764" s="14" t="n">
        <x:v>760</x:v>
      </x:c>
      <x:c r="B764" s="14" t="str">
        <x:v>ФОП Димидюк Олександр Миколайович</x:v>
      </x:c>
      <x:c r="C764" s="14" t="str">
        <x:v>3218015659</x:v>
      </x:c>
      <x:c r="D764" s="14" t="str">
        <x:v>Промисловий холод</x:v>
      </x:c>
      <x:c r="E764" s="14" t="str">
        <x:v>Expansion discovery</x:v>
      </x:c>
      <x:c r="F764" s="14" t="str">
        <x:v>I3</x:v>
      </x:c>
      <x:c r="G764" s="14" t="n">
        <x:v>47</x:v>
      </x:c>
      <x:c r="H764" s="14" t="n">
        <x:v>2</x:v>
      </x:c>
      <x:c r="I764" s="14" t="n">
        <x:v>0</x:v>
      </x:c>
      <x:c r="J764" s="18" t="n">
        <x:v>2450000</x:v>
      </x:c>
      <x:c r="K764" s="19" t="n">
        <x:v>46132.21822082176</x:v>
      </x:c>
      <x:c r="L764" s="19" t="n">
        <x:v>46204.32021990741</x:v>
      </x:c>
      <x:c r="M764" s="15" t="str">
        <x:v>Послуги з виготовлення та встановлення холодильного обладнання в існуючому підвальному приміщенні</x:v>
      </x:c>
      <x:c r="N764" s="15" t="str">
        <x:v>https://prozorro.gov.ua/tender/UA-2026-04-05-000075-a</x:v>
      </x:c>
    </x:row>
    <x:row r="765">
      <x:c r="A765" s="14" t="n">
        <x:v>761</x:v>
      </x:c>
      <x:c r="B765" s="14" t="str">
        <x:v>ФОП Дудчик Роман Іванович</x:v>
      </x:c>
      <x:c r="C765" s="14" t="str">
        <x:v>3065614098</x:v>
      </x:c>
      <x:c r="D765" s="14" t="str">
        <x:v>Теплові пункти</x:v>
      </x:c>
      <x:c r="E765" s="14" t="str">
        <x:v>Expansion discovery</x:v>
      </x:c>
      <x:c r="F765" s="14" t="str">
        <x:v>I3</x:v>
      </x:c>
      <x:c r="G765" s="14" t="n">
        <x:v>47</x:v>
      </x:c>
      <x:c r="H765" s="14" t="n">
        <x:v>3</x:v>
      </x:c>
      <x:c r="I765" s="14" t="n">
        <x:v>0</x:v>
      </x:c>
      <x:c r="J765" s="18" t="n">
        <x:v>301259.45</x:v>
      </x:c>
      <x:c r="K765" s="19" t="n">
        <x:v>45512.344526319444</x:v>
      </x:c>
      <x:c r="L765" s="19" t="n">
        <x:v>45512.33950231481</x:v>
      </x:c>
      <x:c r="M765" s="15" t="str">
        <x:v>Роботи по об'єкту: "Реконструкція систем опалення з влаштуванням системи автоматичного регулювання теплового потоку та вузла обліку теплової енергії (встановлення індивідуального теплового пункту) в житловому будинку № 63б на вулиці Гнідавській в м. Луцьку"</x:v>
      </x:c>
      <x:c r="N765" s="15" t="str">
        <x:v>https://prozorro.gov.ua/tender/UA-2024-08-08-003081-a</x:v>
      </x:c>
    </x:row>
    <x:row r="766">
      <x:c r="A766" s="14" t="n">
        <x:v>762</x:v>
      </x:c>
      <x:c r="B766" s="14" t="str">
        <x:v>ФОП Науменко Володимир Васильович</x:v>
      </x:c>
      <x:c r="C766" s="14" t="str">
        <x:v>3074816911</x:v>
      </x:c>
      <x:c r="D766" s="14" t="str">
        <x:v>Внутрішні сантехнічні системи</x:v>
      </x:c>
      <x:c r="E766" s="14" t="str">
        <x:v>Pilot now</x:v>
      </x:c>
      <x:c r="F766" s="14" t="str">
        <x:v>I3</x:v>
      </x:c>
      <x:c r="G766" s="14" t="n">
        <x:v>47</x:v>
      </x:c>
      <x:c r="H766" s="14" t="n">
        <x:v>1</x:v>
      </x:c>
      <x:c r="I766" s="14" t="n">
        <x:v>0</x:v>
      </x:c>
      <x:c r="J766" s="18" t="n">
        <x:v>183543</x:v>
      </x:c>
      <x:c r="K766" s="19" t="n">
        <x:v>46154.59973944444</x:v>
      </x:c>
      <x:c r="L766" s="19" t="n">
        <x:v>46162.602175925924</x:v>
      </x:c>
      <x:c r="M766"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x:v>
      </x:c>
      <x:c r="N766" s="15" t="str">
        <x:v>https://prozorro.gov.ua/tender/UA-2026-05-12-014485-a</x:v>
      </x:c>
    </x:row>
    <x:row r="767">
      <x:c r="A767" s="14" t="n">
        <x:v>763</x:v>
      </x:c>
      <x:c r="B767" s="14" t="str">
        <x:v>КОМУНАЛЬНЕ ПІДПРИЄМСТВО "ДЖЕРЕЛО" МОГИЛІВСЬКОЇ СІЛЬСЬКОЇ РАДИ</x:v>
      </x:c>
      <x:c r="C767" s="14" t="str">
        <x:v>41470967</x:v>
      </x:c>
      <x:c r="D767" s="14" t="str">
        <x:v>Газопостачання / котельні</x:v>
      </x:c>
      <x:c r="E767" s="14" t="str">
        <x:v>Expansion discovery</x:v>
      </x:c>
      <x:c r="F767" s="14" t="str">
        <x:v>I3</x:v>
      </x:c>
      <x:c r="G767" s="14" t="n">
        <x:v>46</x:v>
      </x:c>
      <x:c r="H767" s="14" t="n">
        <x:v>2</x:v>
      </x:c>
      <x:c r="I767" s="14" t="n">
        <x:v>2</x:v>
      </x:c>
      <x:c r="J767" s="18" t="n">
        <x:v>14259.1</x:v>
      </x:c>
      <x:c r="K767" s="19" t="n">
        <x:v>46057.368560243056</x:v>
      </x:c>
      <x:c r="L767" s="19" t="n">
        <x:v>46387</x:v>
      </x:c>
      <x:c r="M767" s="15" t="str">
        <x:v>Послуги з монтажу допоміжних металоконструкцій в Могилівському ліцеї ім. І.М.Шишканя</x:v>
      </x:c>
      <x:c r="N767" s="15" t="str">
        <x:v>https://prozorro.gov.ua/tender/UA-2026-02-04-003241-a</x:v>
      </x:c>
    </x:row>
    <x:row r="768">
      <x:c r="A768" s="14" t="n">
        <x:v>764</x:v>
      </x:c>
      <x:c r="B768" s="14" t="str">
        <x:v>Товариство з обмеженою відповідальністю "Ковельпроект"</x:v>
      </x:c>
      <x:c r="C768" s="14" t="str">
        <x:v>45937126</x:v>
      </x:c>
      <x:c r="D768" s="14" t="str">
        <x:v>Водоочищення / очисні споруди</x:v>
      </x:c>
      <x:c r="E768" s="14" t="str">
        <x:v>Expansion discovery</x:v>
      </x:c>
      <x:c r="F768" s="14" t="str">
        <x:v>I3</x:v>
      </x:c>
      <x:c r="G768" s="14" t="n">
        <x:v>46</x:v>
      </x:c>
      <x:c r="H768" s="14" t="n">
        <x:v>2</x:v>
      </x:c>
      <x:c r="I768" s="14" t="n">
        <x:v>2</x:v>
      </x:c>
      <x:c r="J768" s="18" t="n">
        <x:v>180358</x:v>
      </x:c>
      <x:c r="K768" s="19" t="n">
        <x:v>46195.51080287037</x:v>
      </x:c>
      <x:c r="L768" s="19" t="n">
        <x:v>46387</x:v>
      </x:c>
      <x:c r="M768" s="15" t="str">
        <x:v>Роботи з проектної документації за кодом CPV ДК 021:2015 71320000-7: Нове будівництво напірного каналізаційного колектора по вулиці Європейська у селі Світязь на території Шацького національного природного парку</x:v>
      </x:c>
      <x:c r="N768" s="15" t="str">
        <x:v>https://prozorro.gov.ua/tender/UA-2026-06-22-009670-a</x:v>
      </x:c>
    </x:row>
    <x:row r="769">
      <x:c r="A769" s="14" t="n">
        <x:v>765</x:v>
      </x:c>
      <x:c r="B769" s="14" t="str">
        <x:v>АТ"ІЦ"УКРГАЗТЕХНІКА"</x:v>
      </x:c>
      <x:c r="C769" s="14" t="str">
        <x:v>14073155</x:v>
      </x:c>
      <x:c r="D769" s="14" t="str">
        <x:v>Газопостачання / котельні</x:v>
      </x:c>
      <x:c r="E769" s="14" t="str">
        <x:v>Expansion discovery</x:v>
      </x:c>
      <x:c r="F769" s="14" t="str">
        <x:v>I3</x:v>
      </x:c>
      <x:c r="G769" s="14" t="n">
        <x:v>46</x:v>
      </x:c>
      <x:c r="H769" s="14" t="n">
        <x:v>1</x:v>
      </x:c>
      <x:c r="I769" s="14" t="n">
        <x:v>1</x:v>
      </x:c>
      <x:c r="J769" s="18" t="n">
        <x:v>98800</x:v>
      </x:c>
      <x:c r="K769" s="19" t="n">
        <x:v>46142.5013240625</x:v>
      </x:c>
      <x:c r="L769" s="19" t="n">
        <x:v>46387</x:v>
      </x:c>
      <x:c r="M769"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x:v>
      </x:c>
      <x:c r="N769" s="15" t="str">
        <x:v>https://prozorro.gov.ua/tender/UA-2026-04-30-007989-a</x:v>
      </x:c>
    </x:row>
    <x:row r="770">
      <x:c r="A770" s="14" t="n">
        <x:v>766</x:v>
      </x:c>
      <x:c r="B770" s="14" t="str">
        <x:v>Бондаренко Віталій Юрійович</x:v>
      </x:c>
      <x:c r="C770" s="14" t="str">
        <x:v>3349606212</x:v>
      </x:c>
      <x:c r="D770" s="14" t="str">
        <x:v>Пасивний вогнезахист</x:v>
      </x:c>
      <x:c r="E770" s="14" t="str">
        <x:v>Expansion discovery</x:v>
      </x:c>
      <x:c r="F770" s="14" t="str">
        <x:v>I3</x:v>
      </x:c>
      <x:c r="G770" s="14" t="n">
        <x:v>46</x:v>
      </x:c>
      <x:c r="H770" s="14" t="n">
        <x:v>2</x:v>
      </x:c>
      <x:c r="I770" s="14" t="n">
        <x:v>1</x:v>
      </x:c>
      <x:c r="J770" s="18" t="n">
        <x:v>115980</x:v>
      </x:c>
      <x:c r="K770" s="19" t="n">
        <x:v>45909.33651770833</x:v>
      </x:c>
      <x:c r="L770" s="19" t="n">
        <x:v>46022</x:v>
      </x:c>
      <x:c r="M770" s="15" t="str">
        <x:v>Надання послуг з монтажу пристроїв блискавкозахисту на об"єкт замовника</x:v>
      </x:c>
      <x:c r="N770" s="15" t="str">
        <x:v>https://prozorro.gov.ua/tender/UA-2025-09-09-003596-a</x:v>
      </x:c>
    </x:row>
    <x:row r="771">
      <x:c r="A771" s="14" t="n">
        <x:v>767</x:v>
      </x:c>
      <x:c r="B771" s="14" t="str">
        <x:v>ГАБІДУЛЛІН ВІКТОР ФАРІТОВИЧ</x:v>
      </x:c>
      <x:c r="C771" s="14" t="str">
        <x:v>2939812514</x:v>
      </x:c>
      <x:c r="D771" s="14" t="str">
        <x:v>Електромонтаж</x:v>
      </x:c>
      <x:c r="E771" s="14" t="str">
        <x:v>Pilot now</x:v>
      </x:c>
      <x:c r="F771" s="14" t="str">
        <x:v>I3</x:v>
      </x:c>
      <x:c r="G771" s="14" t="n">
        <x:v>46</x:v>
      </x:c>
      <x:c r="H771" s="14" t="n">
        <x:v>1</x:v>
      </x:c>
      <x:c r="I771" s="14" t="n">
        <x:v>1</x:v>
      </x:c>
      <x:c r="J771" s="18" t="n">
        <x:v>35000</x:v>
      </x:c>
      <x:c r="K771" s="19" t="n">
        <x:v>46205.30629163195</x:v>
      </x:c>
      <x:c r="L771" s="19" t="n">
        <x:v>46387</x:v>
      </x:c>
      <x:c r="M771" s="15" t="str">
        <x:v>Електромонтажні роботи</x:v>
      </x:c>
      <x:c r="N771" s="15" t="str">
        <x:v>https://prozorro.gov.ua/tender/UA-2026-07-02-001674-a</x:v>
      </x:c>
    </x:row>
    <x:row r="772">
      <x:c r="A772" s="14" t="n">
        <x:v>768</x:v>
      </x:c>
      <x:c r="B772" s="14" t="str">
        <x:v>Гайдук Тетяна Миколаївна</x:v>
      </x:c>
      <x:c r="C772" s="14" t="str">
        <x:v>2456213487</x:v>
      </x:c>
      <x:c r="D772" s="14" t="str">
        <x:v>Покрівлі та гідроізоляція</x:v>
      </x:c>
      <x:c r="E772" s="14" t="str">
        <x:v>Expansion discovery</x:v>
      </x:c>
      <x:c r="F772" s="14" t="str">
        <x:v>I3</x:v>
      </x:c>
      <x:c r="G772" s="14" t="n">
        <x:v>46</x:v>
      </x:c>
      <x:c r="H772" s="14" t="n">
        <x:v>1</x:v>
      </x:c>
      <x:c r="I772" s="14" t="n">
        <x:v>1</x:v>
      </x:c>
      <x:c r="J772" s="18" t="n">
        <x:v>2250</x:v>
      </x:c>
      <x:c r="K772" s="19" t="n">
        <x:v>46189.4887233912</x:v>
      </x:c>
      <x:c r="L772" s="19" t="n">
        <x:v>46387</x:v>
      </x:c>
      <x:c r="M772"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x:v>
      </x:c>
      <x:c r="N772" s="15" t="str">
        <x:v>https://prozorro.gov.ua/tender/UA-2026-06-16-009186-a</x:v>
      </x:c>
    </x:row>
    <x:row r="773">
      <x:c r="A773" s="14" t="n">
        <x:v>769</x:v>
      </x:c>
      <x:c r="B773" s="14" t="str">
        <x:v>ГЕРАСИМЧУК ВІТАЛІЙ ІВАНОВИЧ</x:v>
      </x:c>
      <x:c r="C773" s="14" t="str">
        <x:v>2728415898</x:v>
      </x:c>
      <x:c r="D773" s="14" t="str">
        <x:v>Промислова електрика / ПНР</x:v>
      </x:c>
      <x:c r="E773" s="14" t="str">
        <x:v>Pilot now</x:v>
      </x:c>
      <x:c r="F773" s="14" t="str">
        <x:v>I3</x:v>
      </x:c>
      <x:c r="G773" s="14" t="n">
        <x:v>46</x:v>
      </x:c>
      <x:c r="H773" s="14" t="n">
        <x:v>1</x:v>
      </x:c>
      <x:c r="I773" s="14" t="n">
        <x:v>1</x:v>
      </x:c>
      <x:c r="J773" s="18" t="n">
        <x:v>21520</x:v>
      </x:c>
      <x:c r="K773" s="19" t="n">
        <x:v>46178.31270434028</x:v>
      </x:c>
      <x:c r="L773" s="19" t="n">
        <x:v>46387</x:v>
      </x:c>
      <x:c r="M773" s="15" t="str">
        <x:v> Послуги монтаж та пусконалагоджувальні  роботи системи відеоспостереження  та мережі  в навчальному корпусі № 2 ТНТУ ім.Івана Пулюя  Класифікатор ДК 021:2015 код 45310000-3 Електромонтажні роботи (код ДК 021:2015 - 45312200-9 Встановлення систем  охоронної сигналізації)</x:v>
      </x:c>
      <x:c r="N773" s="15" t="str">
        <x:v>https://prozorro.gov.ua/tender/UA-2026-06-05-002622-a</x:v>
      </x:c>
    </x:row>
    <x:row r="774">
      <x:c r="A774" s="14" t="n">
        <x:v>770</x:v>
      </x:c>
      <x:c r="B774" s="14" t="str">
        <x:v>ЖУРАВЕЛЬ ВАДИМ ВІКТОРОВИЧ</x:v>
      </x:c>
      <x:c r="C774" s="14" t="str">
        <x:v>3039017156</x:v>
      </x:c>
      <x:c r="D774" s="14" t="str">
        <x:v>СКС / BMS / слаботочка</x:v>
      </x:c>
      <x:c r="E774" s="14" t="str">
        <x:v>Expansion discovery</x:v>
      </x:c>
      <x:c r="F774" s="14" t="str">
        <x:v>I3</x:v>
      </x:c>
      <x:c r="G774" s="14" t="n">
        <x:v>46</x:v>
      </x:c>
      <x:c r="H774" s="14" t="n">
        <x:v>1</x:v>
      </x:c>
      <x:c r="I774" s="14" t="n">
        <x:v>1</x:v>
      </x:c>
      <x:c r="J774" s="18" t="n">
        <x:v>99475</x:v>
      </x:c>
      <x:c r="K774" s="19" t="n">
        <x:v>46156.39875957176</x:v>
      </x:c>
      <x:c r="L774" s="19" t="n">
        <x:v>46381</x:v>
      </x:c>
      <x:c r="M774"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x:v>
      </x:c>
      <x:c r="N774" s="15" t="str">
        <x:v>https://prozorro.gov.ua/tender/UA-2026-05-14-006335-a</x:v>
      </x:c>
    </x:row>
    <x:row r="775">
      <x:c r="A775" s="14" t="n">
        <x:v>771</x:v>
      </x:c>
      <x:c r="B775" s="14" t="str">
        <x:v>Комунальне підприємство "Житло-Експлуатація" Роменської міської ради"</x:v>
      </x:c>
      <x:c r="C775" s="14" t="str">
        <x:v>34255061</x:v>
      </x:c>
      <x:c r="D775" s="14" t="str">
        <x:v>Мости / інфраструктура</x:v>
      </x:c>
      <x:c r="E775" s="14" t="str">
        <x:v>Expansion discovery</x:v>
      </x:c>
      <x:c r="F775" s="14" t="str">
        <x:v>I3</x:v>
      </x:c>
      <x:c r="G775" s="14" t="n">
        <x:v>46</x:v>
      </x:c>
      <x:c r="H775" s="14" t="n">
        <x:v>1</x:v>
      </x:c>
      <x:c r="I775" s="14" t="n">
        <x:v>1</x:v>
      </x:c>
      <x:c r="J775" s="18" t="n">
        <x:v>98979.06</x:v>
      </x:c>
      <x:c r="K775" s="19" t="n">
        <x:v>46199.346181469904</x:v>
      </x:c>
      <x:c r="L775" s="19" t="n">
        <x:v>46387</x:v>
      </x:c>
      <x:c r="M775" s="15" t="str">
        <x:v>Поточний ремонт мосту по вул. Покровський узвіз в м. Ромни Сумської області</x:v>
      </x:c>
      <x:c r="N775" s="15" t="str">
        <x:v>https://prozorro.gov.ua/tender/UA-2026-06-26-003746-a</x:v>
      </x:c>
    </x:row>
    <x:row r="776">
      <x:c r="A776" s="14" t="n">
        <x:v>772</x:v>
      </x:c>
      <x:c r="B776" s="14" t="str">
        <x:v>КОМУНАЛЬНИЙ ЗАКЛАД "РЕГІОНАЛЬНИЙ ІНФОРМАЦІЙНО - КОМП'ЮТЕРНИЙ ЦЕНТР" РІВНЕНСЬКОЇ ОБЛАСНОЇ РАДИ</x:v>
      </x:c>
      <x:c r="C776" s="14" t="str">
        <x:v>25797844</x:v>
      </x:c>
      <x:c r="D776" s="14" t="str">
        <x:v>Електромонтаж</x:v>
      </x:c>
      <x:c r="E776" s="14" t="str">
        <x:v>Pilot now</x:v>
      </x:c>
      <x:c r="F776" s="14" t="str">
        <x:v>I3</x:v>
      </x:c>
      <x:c r="G776" s="14" t="n">
        <x:v>46</x:v>
      </x:c>
      <x:c r="H776" s="14" t="n">
        <x:v>2</x:v>
      </x:c>
      <x:c r="I776" s="14" t="n">
        <x:v>1</x:v>
      </x:c>
      <x:c r="J776" s="18" t="n">
        <x:v>131531</x:v>
      </x:c>
      <x:c r="K776" s="19" t="n">
        <x:v>46174.433404166666</x:v>
      </x:c>
      <x:c r="L776" s="19" t="n">
        <x:v>46387</x:v>
      </x:c>
      <x:c r="M776" s="15" t="str">
        <x:v>Послуги з монтажу та реконструкції структурованої кабельної системи локальної комп'ютерної мережі</x:v>
      </x:c>
      <x:c r="N776" s="15" t="str">
        <x:v>https://prozorro.gov.ua/tender/UA-2026-06-01-006043-a</x:v>
      </x:c>
    </x:row>
    <x:row r="777">
      <x:c r="A777" s="14" t="n">
        <x:v>773</x:v>
      </x:c>
      <x:c r="B777" s="14" t="str">
        <x:v>КОСИК ВІТАЛІЙ ОЛЕКСІЙОВИЧ</x:v>
      </x:c>
      <x:c r="C777" s="14" t="str">
        <x:v>2915916952</x:v>
      </x:c>
      <x:c r="D777" s="14" t="str">
        <x:v>Електромонтаж</x:v>
      </x:c>
      <x:c r="E777" s="14" t="str">
        <x:v>Pilot now</x:v>
      </x:c>
      <x:c r="F777" s="14" t="str">
        <x:v>I3</x:v>
      </x:c>
      <x:c r="G777" s="14" t="n">
        <x:v>46</x:v>
      </x:c>
      <x:c r="H777" s="14" t="n">
        <x:v>1</x:v>
      </x:c>
      <x:c r="I777" s="14" t="n">
        <x:v>1</x:v>
      </x:c>
      <x:c r="J777" s="18" t="n">
        <x:v>39968</x:v>
      </x:c>
      <x:c r="K777" s="19" t="n">
        <x:v>46204.28866402778</x:v>
      </x:c>
      <x:c r="L777" s="19" t="n">
        <x:v>46387</x:v>
      </x:c>
      <x:c r="M777" s="15" t="str">
        <x:v>Електромонтажні роботи</x:v>
      </x:c>
      <x:c r="N777" s="15" t="str">
        <x:v>https://prozorro.gov.ua/tender/UA-2026-07-01-001050-a</x:v>
      </x:c>
    </x:row>
    <x:row r="778">
      <x:c r="A778" s="14" t="n">
        <x:v>774</x:v>
      </x:c>
      <x:c r="B778" s="14" t="str">
        <x:v>КП КУП Пристоличної сільської ради "Олександрівкажитлобудсервіс"</x:v>
      </x:c>
      <x:c r="C778" s="14" t="str">
        <x:v>34812778</x:v>
      </x:c>
      <x:c r="D778" s="14" t="str">
        <x:v>Насосні станції</x:v>
      </x:c>
      <x:c r="E778" s="14" t="str">
        <x:v>Expansion discovery</x:v>
      </x:c>
      <x:c r="F778" s="14" t="str">
        <x:v>I3</x:v>
      </x:c>
      <x:c r="G778" s="14" t="n">
        <x:v>46</x:v>
      </x:c>
      <x:c r="H778" s="14" t="n">
        <x:v>1</x:v>
      </x:c>
      <x:c r="I778" s="14" t="n">
        <x:v>1</x:v>
      </x:c>
      <x:c r="J778" s="18" t="n">
        <x:v>947208.88</x:v>
      </x:c>
      <x:c r="K778" s="19" t="n">
        <x:v>46071.531530555556</x:v>
      </x:c>
      <x:c r="L778" s="19" t="n">
        <x:v>46387.53359953704</x:v>
      </x:c>
      <x:c r="M778" s="15" t="str">
        <x:v>Капітальний ремонт каналізаційної насосної станції № 5 по вул. Яблунева в с. Чубинське Бориспільського району Київської області</x:v>
      </x:c>
      <x:c r="N778" s="15" t="str">
        <x:v>https://prozorro.gov.ua/tender/UA-2026-02-18-009616-a</x:v>
      </x:c>
    </x:row>
    <x:row r="779">
      <x:c r="A779" s="14" t="n">
        <x:v>775</x:v>
      </x:c>
      <x:c r="B779" s="14" t="str">
        <x:v>Криворучко Роман Андрійович</x:v>
      </x:c>
      <x:c r="C779" s="14" t="str">
        <x:v>3576202472</x:v>
      </x:c>
      <x:c r="D779" s="14" t="str">
        <x:v>СКС / BMS / слаботочка</x:v>
      </x:c>
      <x:c r="E779" s="14" t="str">
        <x:v>Expansion discovery</x:v>
      </x:c>
      <x:c r="F779" s="14" t="str">
        <x:v>I3</x:v>
      </x:c>
      <x:c r="G779" s="14" t="n">
        <x:v>46</x:v>
      </x:c>
      <x:c r="H779" s="14" t="n">
        <x:v>1</x:v>
      </x:c>
      <x:c r="I779" s="14" t="n">
        <x:v>1</x:v>
      </x:c>
      <x:c r="J779" s="18" t="n">
        <x:v>48500</x:v>
      </x:c>
      <x:c r="K779" s="19" t="n">
        <x:v>46161.53695164352</x:v>
      </x:c>
      <x:c r="L779" s="19" t="n">
        <x:v>46387</x:v>
      </x:c>
      <x:c r="M779" s="15" t="str">
        <x:v>Послуги з монтажу структурованих кабельних систем і ін. м.Львів</x:v>
      </x:c>
      <x:c r="N779" s="15" t="str">
        <x:v>https://prozorro.gov.ua/tender/UA-2026-05-19-011859-a</x:v>
      </x:c>
    </x:row>
    <x:row r="780">
      <x:c r="A780" s="14" t="n">
        <x:v>776</x:v>
      </x:c>
      <x:c r="B780" s="14" t="str">
        <x:v>МИКОЛАЇВСЬКЕ ОБЛАСНЕ СПЕЦІАЛІЗОВАНЕ РЕМОНТНО-БУДІВЕЛЬНЕ ПІДПРИЄМСТВО ПРОТИПОЖЕЖНИХ РОБІТ ДОБРОВІЛЬНОГО ПОЖЕЖНОГО ТОВАРИСТВА УКРАЇНИ</x:v>
      </x:c>
      <x:c r="C780" s="14" t="str">
        <x:v>00183041</x:v>
      </x:c>
      <x:c r="D780" s="14" t="str">
        <x:v>Пожежогасіння</x:v>
      </x:c>
      <x:c r="E780" s="14" t="str">
        <x:v>Expansion discovery</x:v>
      </x:c>
      <x:c r="F780" s="14" t="str">
        <x:v>I3</x:v>
      </x:c>
      <x:c r="G780" s="14" t="n">
        <x:v>46</x:v>
      </x:c>
      <x:c r="H780" s="14" t="n">
        <x:v>1</x:v>
      </x:c>
      <x:c r="I780" s="14" t="n">
        <x:v>1</x:v>
      </x:c>
      <x:c r="J780" s="18" t="n">
        <x:v>99253</x:v>
      </x:c>
      <x:c r="K780" s="19" t="n">
        <x:v>46209.492044074075</x:v>
      </x:c>
      <x:c r="L780" s="19" t="n">
        <x:v>46387</x:v>
      </x:c>
      <x:c r="M780" s="15" t="str">
        <x:v>Послуги з розроблення проектної документації з монтажу системи пожежної сигналізації</x:v>
      </x:c>
      <x:c r="N780" s="15" t="str">
        <x:v>https://prozorro.gov.ua/tender/UA-2026-07-06-006772-a</x:v>
      </x:c>
    </x:row>
    <x:row r="781">
      <x:c r="A781" s="14" t="n">
        <x:v>777</x:v>
      </x:c>
      <x:c r="B781" s="14" t="str">
        <x:v>ПП "МОНТАЖСЕРВІС"</x:v>
      </x:c>
      <x:c r="C781" s="14" t="str">
        <x:v>32278731</x:v>
      </x:c>
      <x:c r="D781" s="14" t="str">
        <x:v>Металоконструкції</x:v>
      </x:c>
      <x:c r="E781" s="14" t="str">
        <x:v>Expansion discovery</x:v>
      </x:c>
      <x:c r="F781" s="14" t="str">
        <x:v>I3</x:v>
      </x:c>
      <x:c r="G781" s="14" t="n">
        <x:v>46</x:v>
      </x:c>
      <x:c r="H781" s="14" t="n">
        <x:v>1</x:v>
      </x:c>
      <x:c r="I781" s="14" t="n">
        <x:v>1</x:v>
      </x:c>
      <x:c r="J781" s="18" t="n">
        <x:v>63419.76</x:v>
      </x:c>
      <x:c r="K781" s="19" t="n">
        <x:v>46182.430593969904</x:v>
      </x:c>
      <x:c r="L781" s="19" t="n">
        <x:v>46387</x:v>
      </x:c>
      <x:c r="M781" s="15" t="str">
        <x:v>Послуги з виготовлення та монтажу дверей і металоконструкцій за адресою Вінницька обл., Гайсинський р-н, м. Ладижин, вул. Хлібозаводська, 6</x:v>
      </x:c>
      <x:c r="N781" s="15" t="str">
        <x:v>https://prozorro.gov.ua/tender/UA-2026-06-09-007086-a</x:v>
      </x:c>
    </x:row>
    <x:row r="782">
      <x:c r="A782" s="14" t="n">
        <x:v>778</x:v>
      </x:c>
      <x:c r="B782" s="14" t="str">
        <x:v>ПП "Протон"</x:v>
      </x:c>
      <x:c r="C782" s="14" t="str">
        <x:v>31180088</x:v>
      </x:c>
      <x:c r="D782" s="14" t="str">
        <x:v>Електромонтаж</x:v>
      </x:c>
      <x:c r="E782" s="14" t="str">
        <x:v>Pilot now</x:v>
      </x:c>
      <x:c r="F782" s="14" t="str">
        <x:v>I3</x:v>
      </x:c>
      <x:c r="G782" s="14" t="n">
        <x:v>46</x:v>
      </x:c>
      <x:c r="H782" s="14" t="n">
        <x:v>1</x:v>
      </x:c>
      <x:c r="I782" s="14" t="n">
        <x:v>1</x:v>
      </x:c>
      <x:c r="J782" s="18" t="n">
        <x:v>21005.98</x:v>
      </x:c>
      <x:c r="K782" s="19" t="n">
        <x:v>46202.55400350694</x:v>
      </x:c>
      <x:c r="L782" s="19" t="n">
        <x:v>46387.597395833334</x:v>
      </x:c>
      <x:c r="M782" s="15" t="str">
        <x:v>Електромонтажні роботи</x:v>
      </x:c>
      <x:c r="N782" s="15" t="str">
        <x:v>https://prozorro.gov.ua/tender/UA-2026-06-29-010093-a</x:v>
      </x:c>
    </x:row>
    <x:row r="783">
      <x:c r="A783" s="14" t="n">
        <x:v>779</x:v>
      </x:c>
      <x:c r="B783" s="14" t="str">
        <x:v>ПП "Технабуд-проект"</x:v>
      </x:c>
      <x:c r="C783" s="14" t="str">
        <x:v>42508781</x:v>
      </x:c>
      <x:c r="D783" s="14" t="str">
        <x:v>HVAC / ОВіК</x:v>
      </x:c>
      <x:c r="E783" s="14" t="str">
        <x:v>Pilot now</x:v>
      </x:c>
      <x:c r="F783" s="14" t="str">
        <x:v>I3</x:v>
      </x:c>
      <x:c r="G783" s="14" t="n">
        <x:v>46</x:v>
      </x:c>
      <x:c r="H783" s="14" t="n">
        <x:v>1</x:v>
      </x:c>
      <x:c r="I783" s="14" t="n">
        <x:v>1</x:v>
      </x:c>
      <x:c r="J783" s="18" t="n">
        <x:v>14224.77</x:v>
      </x:c>
      <x:c r="K783" s="19" t="n">
        <x:v>46153.73245244213</x:v>
      </x:c>
      <x:c r="L783" s="19" t="n">
        <x:v>46387</x:v>
      </x:c>
      <x:c r="M783"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783" s="15" t="str">
        <x:v>https://prozorro.gov.ua/tender/UA-2026-05-11-014138-a</x:v>
      </x:c>
    </x:row>
    <x:row r="784">
      <x:c r="A784" s="14" t="n">
        <x:v>780</x:v>
      </x:c>
      <x:c r="B784" s="14" t="str">
        <x:v>ПП «ЕКСПЕРТНО-ТЕХНІЧНИЙ ЦЕНТР»</x:v>
      </x:c>
      <x:c r="C784" s="14" t="str">
        <x:v>32882068</x:v>
      </x:c>
      <x:c r="D784" s="14" t="str">
        <x:v>Пасивний вогнезахист</x:v>
      </x:c>
      <x:c r="E784" s="14" t="str">
        <x:v>Expansion discovery</x:v>
      </x:c>
      <x:c r="F784" s="14" t="str">
        <x:v>I3</x:v>
      </x:c>
      <x:c r="G784" s="14" t="n">
        <x:v>46</x:v>
      </x:c>
      <x:c r="H784" s="14" t="n">
        <x:v>1</x:v>
      </x:c>
      <x:c r="I784" s="14" t="n">
        <x:v>1</x:v>
      </x:c>
      <x:c r="J784" s="18" t="n">
        <x:v>92018.24</x:v>
      </x:c>
      <x:c r="K784" s="19" t="n">
        <x:v>46212.29889259259</x:v>
      </x:c>
      <x:c r="L784" s="19" t="n">
        <x:v>46387.34315972222</x:v>
      </x:c>
      <x:c r="M784" s="15" t="str">
        <x:v>Послуги з вогнезахисної обробки дерев’яних конструкцій</x:v>
      </x:c>
      <x:c r="N784" s="15" t="str">
        <x:v>https://prozorro.gov.ua/tender/UA-2026-07-09-001616-a</x:v>
      </x:c>
    </x:row>
    <x:row r="785">
      <x:c r="A785" s="14" t="n">
        <x:v>781</x:v>
      </x:c>
      <x:c r="B785" s="14" t="str">
        <x:v>ПП «Профі-оберіг»</x:v>
      </x:c>
      <x:c r="C785" s="14" t="str">
        <x:v>34026550</x:v>
      </x:c>
      <x:c r="D785" s="14" t="str">
        <x:v>Пасивний вогнезахист</x:v>
      </x:c>
      <x:c r="E785" s="14" t="str">
        <x:v>Expansion discovery</x:v>
      </x:c>
      <x:c r="F785" s="14" t="str">
        <x:v>I3</x:v>
      </x:c>
      <x:c r="G785" s="14" t="n">
        <x:v>46</x:v>
      </x:c>
      <x:c r="H785" s="14" t="n">
        <x:v>2</x:v>
      </x:c>
      <x:c r="I785" s="14" t="n">
        <x:v>1</x:v>
      </x:c>
      <x:c r="J785" s="18" t="n">
        <x:v>1028023.28</x:v>
      </x:c>
      <x:c r="K785" s="19" t="n">
        <x:v>46182.409882685184</x:v>
      </x:c>
      <x:c r="L785" s="19" t="n">
        <x:v>46387</x:v>
      </x:c>
      <x:c r="M785" s="15" t="str">
        <x:v>Послуги з монтажу блискавкозахисту по вул. Кольбенгаєра Еріха,9</x:v>
      </x:c>
      <x:c r="N785" s="15" t="str">
        <x:v>https://prozorro.gov.ua/tender/UA-2026-06-09-006519-a</x:v>
      </x:c>
    </x:row>
    <x:row r="786">
      <x:c r="A786" s="14" t="n">
        <x:v>782</x:v>
      </x:c>
      <x:c r="B786" s="14" t="str">
        <x:v>ПП Асоціація перевізників «Автоальянс»</x:v>
      </x:c>
      <x:c r="C786" s="14" t="str">
        <x:v>32904165</x:v>
      </x:c>
      <x:c r="D786" s="14" t="str">
        <x:v>Пожежогасіння</x:v>
      </x:c>
      <x:c r="E786" s="14" t="str">
        <x:v>Expansion discovery</x:v>
      </x:c>
      <x:c r="F786" s="14" t="str">
        <x:v>I3</x:v>
      </x:c>
      <x:c r="G786" s="14" t="n">
        <x:v>46</x:v>
      </x:c>
      <x:c r="H786" s="14" t="n">
        <x:v>1</x:v>
      </x:c>
      <x:c r="I786" s="14" t="n">
        <x:v>1</x:v>
      </x:c>
      <x:c r="J786" s="18" t="n">
        <x:v>86995.95</x:v>
      </x:c>
      <x:c r="K786" s="19" t="n">
        <x:v>46191.49398172454</x:v>
      </x:c>
      <x:c r="L786" s="19" t="n">
        <x:v>46387</x:v>
      </x:c>
      <x:c r="M786" s="15" t="str">
        <x:v>Монтаж обладнання для системи автоматичної пожежної сигналізації та системи керування евакуюванням</x:v>
      </x:c>
      <x:c r="N786" s="15" t="str">
        <x:v>https://prozorro.gov.ua/tender/UA-2026-06-18-009132-a</x:v>
      </x:c>
    </x:row>
    <x:row r="787">
      <x:c r="A787" s="14" t="n">
        <x:v>783</x:v>
      </x:c>
      <x:c r="B787" s="14" t="str">
        <x:v>ПП"АС-КО"</x:v>
      </x:c>
      <x:c r="C787" s="14" t="str">
        <x:v>34401360</x:v>
      </x:c>
      <x:c r="D787" s="14" t="str">
        <x:v>Пасивний вогнезахист</x:v>
      </x:c>
      <x:c r="E787" s="14" t="str">
        <x:v>Expansion discovery</x:v>
      </x:c>
      <x:c r="F787" s="14" t="str">
        <x:v>I3</x:v>
      </x:c>
      <x:c r="G787" s="14" t="n">
        <x:v>46</x:v>
      </x:c>
      <x:c r="H787" s="14" t="n">
        <x:v>1</x:v>
      </x:c>
      <x:c r="I787" s="14" t="n">
        <x:v>1</x:v>
      </x:c>
      <x:c r="J787" s="18" t="n">
        <x:v>99926.4</x:v>
      </x:c>
      <x:c r="K787" s="19" t="n">
        <x:v>46209.65258140046</x:v>
      </x:c>
      <x:c r="L787" s="19" t="n">
        <x:v>46387.666493055556</x:v>
      </x:c>
      <x:c r="M787" s="15" t="str">
        <x:v>Обробка дерев'яних конструкцій приміщень вогнезахисним розчином 	 77220000-8 - Послуги з просочування деревини</x:v>
      </x:c>
      <x:c r="N787" s="15" t="str">
        <x:v>https://prozorro.gov.ua/tender/UA-2026-07-06-010297-a</x:v>
      </x:c>
    </x:row>
    <x:row r="788">
      <x:c r="A788" s="14" t="n">
        <x:v>784</x:v>
      </x:c>
      <x:c r="B788" s="14" t="str">
        <x:v>ПП"ІНСТАЛ ГРУП"</x:v>
      </x:c>
      <x:c r="C788" s="14" t="str">
        <x:v>39812632</x:v>
      </x:c>
      <x:c r="D788" s="14" t="str">
        <x:v>Резервне живлення</x:v>
      </x:c>
      <x:c r="E788" s="14" t="str">
        <x:v>Expansion discovery</x:v>
      </x:c>
      <x:c r="F788" s="14" t="str">
        <x:v>I3</x:v>
      </x:c>
      <x:c r="G788" s="14" t="n">
        <x:v>46</x:v>
      </x:c>
      <x:c r="H788" s="14" t="n">
        <x:v>1</x:v>
      </x:c>
      <x:c r="I788" s="14" t="n">
        <x:v>1</x:v>
      </x:c>
      <x:c r="J788" s="18" t="n">
        <x:v>12500</x:v>
      </x:c>
      <x:c r="K788" s="19" t="n">
        <x:v>46174.57765310185</x:v>
      </x:c>
      <x:c r="L788" s="19" t="n">
        <x:v>46387.611238425925</x:v>
      </x:c>
      <x:c r="M788" s="15" t="str">
        <x:v>Послуги з монтажу системи безперебійного живлення в приміщенні відділу "Центр надання адміністративних послуг" міської ради</x:v>
      </x:c>
      <x:c r="N788" s="15" t="str">
        <x:v>https://prozorro.gov.ua/tender/UA-2026-06-01-011179-a</x:v>
      </x:c>
    </x:row>
    <x:row r="789">
      <x:c r="A789" s="14" t="n">
        <x:v>785</x:v>
      </x:c>
      <x:c r="B789" s="14" t="str">
        <x:v>Привате підприємство "Сокіл"</x:v>
      </x:c>
      <x:c r="C789" s="14" t="str">
        <x:v>32794862</x:v>
      </x:c>
      <x:c r="D789" s="14" t="str">
        <x:v>Пожежогасіння</x:v>
      </x:c>
      <x:c r="E789" s="14" t="str">
        <x:v>Expansion discovery</x:v>
      </x:c>
      <x:c r="F789" s="14" t="str">
        <x:v>I3</x:v>
      </x:c>
      <x:c r="G789" s="14" t="n">
        <x:v>46</x:v>
      </x:c>
      <x:c r="H789" s="14" t="n">
        <x:v>1</x:v>
      </x:c>
      <x:c r="I789" s="14" t="n">
        <x:v>1</x:v>
      </x:c>
      <x:c r="J789" s="18" t="n">
        <x:v>14000</x:v>
      </x:c>
      <x:c r="K789" s="19" t="n">
        <x:v>46169.22172875</x:v>
      </x:c>
      <x:c r="L789" s="19" t="n">
        <x:v>46387</x:v>
      </x:c>
      <x:c r="M789"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x:v>
      </x:c>
      <x:c r="N789" s="15" t="str">
        <x:v>https://prozorro.gov.ua/tender/UA-2026-05-27-000137-a</x:v>
      </x:c>
    </x:row>
    <x:row r="790">
      <x:c r="A790" s="14" t="n">
        <x:v>786</x:v>
      </x:c>
      <x:c r="B790" s="14" t="str">
        <x:v>ПРИВАТНЕ АКЦІОНЕРНЕ ТОВАРИСТВО «УКРСТАЛЬ КОНСТРУКЦІЯ»</x:v>
      </x:c>
      <x:c r="C790" s="14" t="str">
        <x:v>01412868</x:v>
      </x:c>
      <x:c r="D790" s="14" t="str">
        <x:v>Ремонт і підсилення бетону</x:v>
      </x:c>
      <x:c r="E790" s="14" t="str">
        <x:v>Expansion discovery</x:v>
      </x:c>
      <x:c r="F790" s="14" t="str">
        <x:v>I3</x:v>
      </x:c>
      <x:c r="G790" s="14" t="n">
        <x:v>46</x:v>
      </x:c>
      <x:c r="H790" s="14" t="n">
        <x:v>1</x:v>
      </x:c>
      <x:c r="I790" s="14" t="n">
        <x:v>1</x:v>
      </x:c>
      <x:c r="J790" s="18" t="n">
        <x:v>225902400.84</x:v>
      </x:c>
      <x:c r="K790" s="19" t="n">
        <x:v>46010.56347040509</x:v>
      </x:c>
      <x:c r="L790" s="19" t="n">
        <x:v>46387</x:v>
      </x:c>
      <x:c r="M790"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x:v>
      </x:c>
      <x:c r="N790" s="15" t="str">
        <x:v>https://prozorro.gov.ua/tender/UA-2025-12-19-018891-a</x:v>
      </x:c>
    </x:row>
    <x:row r="791">
      <x:c r="A791" s="14" t="n">
        <x:v>787</x:v>
      </x:c>
      <x:c r="B791" s="14" t="str">
        <x:v>ПРИВАТНЕ ПІДПРИЄМСТВО "ВИРОБНИЧО-КОМЕРЦІЙНИЙ ЦЕНТР "ГРАНД"</x:v>
      </x:c>
      <x:c r="C791" s="14" t="str">
        <x:v>42409385</x:v>
      </x:c>
      <x:c r="D791" s="14" t="str">
        <x:v>Пасивний вогнезахист</x:v>
      </x:c>
      <x:c r="E791" s="14" t="str">
        <x:v>Expansion discovery</x:v>
      </x:c>
      <x:c r="F791" s="14" t="str">
        <x:v>I3</x:v>
      </x:c>
      <x:c r="G791" s="14" t="n">
        <x:v>46</x:v>
      </x:c>
      <x:c r="H791" s="14" t="n">
        <x:v>1</x:v>
      </x:c>
      <x:c r="I791" s="14" t="n">
        <x:v>1</x:v>
      </x:c>
      <x:c r="J791" s="18" t="n">
        <x:v>56763</x:v>
      </x:c>
      <x:c r="K791" s="19" t="n">
        <x:v>46197.513817430554</x:v>
      </x:c>
      <x:c r="L791" s="19" t="n">
        <x:v>46387</x:v>
      </x:c>
      <x:c r="M791" s="15" t="str">
        <x:v>Послуги з вогнезахисної обробки (просочення) дерев'яних конструкцій покрівлі</x:v>
      </x:c>
      <x:c r="N791" s="15" t="str">
        <x:v>https://prozorro.gov.ua/tender/UA-2026-06-24-009787-a</x:v>
      </x:c>
    </x:row>
    <x:row r="792">
      <x:c r="A792" s="14" t="n">
        <x:v>788</x:v>
      </x:c>
      <x:c r="B792" s="14" t="str">
        <x:v>ПРИВАТНЕ ПІДПРИЄМСТВО "ЛЬВІВБУДПРОЕКТ"</x:v>
      </x:c>
      <x:c r="C792" s="14" t="str">
        <x:v>35444777</x:v>
      </x:c>
      <x:c r="D792" s="14" t="str">
        <x:v>Зовнішні мережі</x:v>
      </x:c>
      <x:c r="E792" s="14" t="str">
        <x:v>Expansion discovery</x:v>
      </x:c>
      <x:c r="F792" s="14" t="str">
        <x:v>I3</x:v>
      </x:c>
      <x:c r="G792" s="14" t="n">
        <x:v>46</x:v>
      </x:c>
      <x:c r="H792" s="14" t="n">
        <x:v>1</x:v>
      </x:c>
      <x:c r="I792" s="14" t="n">
        <x:v>1</x:v>
      </x:c>
      <x:c r="J792" s="18" t="n">
        <x:v>64080</x:v>
      </x:c>
      <x:c r="K792" s="19" t="n">
        <x:v>46209.51700655092</x:v>
      </x:c>
      <x:c r="L792" s="19" t="n">
        <x:v>46387</x:v>
      </x:c>
      <x:c r="M792"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x:v>
      </x:c>
      <x:c r="N792" s="15" t="str">
        <x:v>https://prozorro.gov.ua/tender/UA-2026-07-06-007744-a</x:v>
      </x:c>
    </x:row>
    <x:row r="793">
      <x:c r="A793" s="14" t="n">
        <x:v>789</x:v>
      </x:c>
      <x:c r="B793" s="14" t="str">
        <x:v>ПРИВАТНЕ ПІДПРИЄМСТВО "РЕМБУДВЕСТ"</x:v>
      </x:c>
      <x:c r="C793" s="14" t="str">
        <x:v>34160237</x:v>
      </x:c>
      <x:c r="D793" s="14" t="str">
        <x:v>Фасади та скління</x:v>
      </x:c>
      <x:c r="E793" s="14" t="str">
        <x:v>Expansion discovery</x:v>
      </x:c>
      <x:c r="F793" s="14" t="str">
        <x:v>I3</x:v>
      </x:c>
      <x:c r="G793" s="14" t="n">
        <x:v>46</x:v>
      </x:c>
      <x:c r="H793" s="14" t="n">
        <x:v>1</x:v>
      </x:c>
      <x:c r="I793" s="14" t="n">
        <x:v>1</x:v>
      </x:c>
      <x:c r="J793" s="18" t="n">
        <x:v>78014</x:v>
      </x:c>
      <x:c r="K793" s="19" t="n">
        <x:v>46196.56746586806</x:v>
      </x:c>
      <x:c r="L793" s="19" t="n">
        <x:v>46387</x:v>
      </x:c>
      <x:c r="M793" s="15" t="str">
        <x:v>Поточний ремонт (утеплення) частини фасаду</x:v>
      </x:c>
      <x:c r="N793" s="15" t="str">
        <x:v>https://prozorro.gov.ua/tender/UA-2026-06-23-012816-a</x:v>
      </x:c>
    </x:row>
    <x:row r="794">
      <x:c r="A794" s="14" t="n">
        <x:v>790</x:v>
      </x:c>
      <x:c r="B794" s="14" t="str">
        <x:v>Приватне підприємство «СПЕЦПОЖСЕРВІС»</x:v>
      </x:c>
      <x:c r="C794" s="14" t="str">
        <x:v>36155020</x:v>
      </x:c>
      <x:c r="D794" s="14" t="str">
        <x:v>Пожежогасіння</x:v>
      </x:c>
      <x:c r="E794" s="14" t="str">
        <x:v>Expansion discovery</x:v>
      </x:c>
      <x:c r="F794" s="14" t="str">
        <x:v>I3</x:v>
      </x:c>
      <x:c r="G794" s="14" t="n">
        <x:v>46</x:v>
      </x:c>
      <x:c r="H794" s="14" t="n">
        <x:v>1</x:v>
      </x:c>
      <x:c r="I794" s="14" t="n">
        <x:v>1</x:v>
      </x:c>
      <x:c r="J794" s="18" t="n">
        <x:v>6603</x:v>
      </x:c>
      <x:c r="K794" s="19" t="n">
        <x:v>46142.491296099535</x:v>
      </x:c>
      <x:c r="L794" s="19" t="n">
        <x:v>46387</x:v>
      </x:c>
      <x:c r="M794"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x:v>
      </x:c>
      <x:c r="N794" s="15" t="str">
        <x:v>https://prozorro.gov.ua/tender/UA-2026-04-30-007538-a</x:v>
      </x:c>
    </x:row>
    <x:row r="795">
      <x:c r="A795" s="14" t="n">
        <x:v>791</x:v>
      </x:c>
      <x:c r="B795" s="14" t="str">
        <x:v>ПРИВАТНЕ ПІДПРИЄМСТВО НАУКОВО-ВИРОБНИЧЕ "УКРЕКОСПЕЦПРОЕКТ"</x:v>
      </x:c>
      <x:c r="C795" s="14" t="str">
        <x:v>33127597</x:v>
      </x:c>
      <x:c r="D795" s="14" t="str">
        <x:v>Насосні станції</x:v>
      </x:c>
      <x:c r="E795" s="14" t="str">
        <x:v>Expansion discovery</x:v>
      </x:c>
      <x:c r="F795" s="14" t="str">
        <x:v>I3</x:v>
      </x:c>
      <x:c r="G795" s="14" t="n">
        <x:v>46</x:v>
      </x:c>
      <x:c r="H795" s="14" t="n">
        <x:v>1</x:v>
      </x:c>
      <x:c r="I795" s="14" t="n">
        <x:v>1</x:v>
      </x:c>
      <x:c r="J795" s="18" t="n">
        <x:v>40792378</x:v>
      </x:c>
      <x:c r="K795" s="19" t="n">
        <x:v>46007.41563564815</x:v>
      </x:c>
      <x:c r="L795" s="19" t="n">
        <x:v>46387</x:v>
      </x:c>
      <x:c r="M795" s="15" t="str">
        <x:v>«Реконструкція каналізаційної насосної станції СП-17 в м. Кременчуці». Коригування </x:v>
      </x:c>
      <x:c r="N795" s="15" t="str">
        <x:v>https://prozorro.gov.ua/tender/UA-2025-12-16-008983-a</x:v>
      </x:c>
    </x:row>
    <x:row r="796">
      <x:c r="A796" s="14" t="n">
        <x:v>792</x:v>
      </x:c>
      <x:c r="B796" s="14" t="str">
        <x:v>ТзОВ "Системи безпеки "Захист"</x:v>
      </x:c>
      <x:c r="C796" s="14" t="str">
        <x:v>37574077</x:v>
      </x:c>
      <x:c r="D796" s="14" t="str">
        <x:v>Безпека / СКУД / CCTV</x:v>
      </x:c>
      <x:c r="E796" s="14" t="str">
        <x:v>Expansion discovery</x:v>
      </x:c>
      <x:c r="F796" s="14" t="str">
        <x:v>I3</x:v>
      </x:c>
      <x:c r="G796" s="14" t="n">
        <x:v>46</x:v>
      </x:c>
      <x:c r="H796" s="14" t="n">
        <x:v>1</x:v>
      </x:c>
      <x:c r="I796" s="14" t="n">
        <x:v>1</x:v>
      </x:c>
      <x:c r="J796" s="18" t="n">
        <x:v>77282.4</x:v>
      </x:c>
      <x:c r="K796" s="19" t="n">
        <x:v>46212.4003419213</x:v>
      </x:c>
      <x:c r="L796" s="19" t="n">
        <x:v>46387.44368055555</x:v>
      </x:c>
      <x:c r="M796" s="15" t="str">
        <x:v>Послуги з монтажу системи відеоспостереження</x:v>
      </x:c>
      <x:c r="N796" s="15" t="str">
        <x:v>https://prozorro.gov.ua/tender/UA-2026-07-09-005038-a</x:v>
      </x:c>
    </x:row>
    <x:row r="797">
      <x:c r="A797" s="14" t="n">
        <x:v>793</x:v>
      </x:c>
      <x:c r="B797" s="14" t="str">
        <x:v>ТзОВ "ЮНІБУД ЕНЕРГОСЕРВІС"</x:v>
      </x:c>
      <x:c r="C797" s="14" t="str">
        <x:v>35676598</x:v>
      </x:c>
      <x:c r="D797" s="14" t="str">
        <x:v>Водоочищення / очисні споруди</x:v>
      </x:c>
      <x:c r="E797" s="14" t="str">
        <x:v>Expansion discovery</x:v>
      </x:c>
      <x:c r="F797" s="14" t="str">
        <x:v>I3</x:v>
      </x:c>
      <x:c r="G797" s="14" t="n">
        <x:v>46</x:v>
      </x:c>
      <x:c r="H797" s="14" t="n">
        <x:v>1</x:v>
      </x:c>
      <x:c r="I797" s="14" t="n">
        <x:v>1</x:v>
      </x:c>
      <x:c r="J797" s="18" t="n">
        <x:v>1455627.9</x:v>
      </x:c>
      <x:c r="K797" s="19" t="n">
        <x:v>46079.610269398145</x:v>
      </x:c>
      <x:c r="L797" s="19" t="n">
        <x:v>46387.60875</x:v>
      </x:c>
      <x:c r="M797"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x:v>
      </x:c>
      <x:c r="N797" s="15" t="str">
        <x:v>https://prozorro.gov.ua/tender/UA-2026-02-26-011558-a</x:v>
      </x:c>
    </x:row>
    <x:row r="798">
      <x:c r="A798" s="14" t="n">
        <x:v>794</x:v>
      </x:c>
      <x:c r="B798" s="14" t="str">
        <x:v>ТОВ "АЕРО КОМФОРТ"</x:v>
      </x:c>
      <x:c r="C798" s="14" t="str">
        <x:v>45903480</x:v>
      </x:c>
      <x:c r="D798" s="14" t="str">
        <x:v>HVAC / ОВіК</x:v>
      </x:c>
      <x:c r="E798" s="14" t="str">
        <x:v>Pilot now</x:v>
      </x:c>
      <x:c r="F798" s="14" t="str">
        <x:v>I3</x:v>
      </x:c>
      <x:c r="G798" s="14" t="n">
        <x:v>46</x:v>
      </x:c>
      <x:c r="H798" s="14" t="n">
        <x:v>1</x:v>
      </x:c>
      <x:c r="I798" s="14" t="n">
        <x:v>1</x:v>
      </x:c>
      <x:c r="J798" s="18" t="n">
        <x:v>38000</x:v>
      </x:c>
      <x:c r="K798" s="19" t="n">
        <x:v>46191.25883753472</x:v>
      </x:c>
      <x:c r="L798" s="19" t="n">
        <x:v>46387</x:v>
      </x:c>
      <x:c r="M798"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x:v>
      </x:c>
      <x:c r="N798" s="15" t="str">
        <x:v>https://prozorro.gov.ua/tender/UA-2026-06-18-000748-a</x:v>
      </x:c>
    </x:row>
    <x:row r="799">
      <x:c r="A799" s="14" t="n">
        <x:v>795</x:v>
      </x:c>
      <x:c r="B799" s="14" t="str">
        <x:v>ТОВ "АЛЕГРО"</x:v>
      </x:c>
      <x:c r="C799" s="14" t="str">
        <x:v>20587243</x:v>
      </x:c>
      <x:c r="D799" s="14" t="str">
        <x:v>Пожежогасіння</x:v>
      </x:c>
      <x:c r="E799" s="14" t="str">
        <x:v>Expansion discovery</x:v>
      </x:c>
      <x:c r="F799" s="14" t="str">
        <x:v>I3</x:v>
      </x:c>
      <x:c r="G799" s="14" t="n">
        <x:v>46</x:v>
      </x:c>
      <x:c r="H799" s="14" t="n">
        <x:v>1</x:v>
      </x:c>
      <x:c r="I799" s="14" t="n">
        <x:v>1</x:v>
      </x:c>
      <x:c r="J799" s="18" t="n">
        <x:v>85800</x:v>
      </x:c>
      <x:c r="K799" s="19" t="n">
        <x:v>46189.37239056713</x:v>
      </x:c>
      <x:c r="L799" s="19" t="n">
        <x:v>46387</x:v>
      </x:c>
      <x:c r="M799" s="15" t="str">
        <x:v>Послуга по монтажу пожежної сигналізації та встановлення системи оповіщення про пожежу та управління евакувцією людей на обєкті</x:v>
      </x:c>
      <x:c r="N799" s="15" t="str">
        <x:v>https://prozorro.gov.ua/tender/UA-2026-06-16-005274-a</x:v>
      </x:c>
    </x:row>
    <x:row r="800">
      <x:c r="A800" s="14" t="n">
        <x:v>796</x:v>
      </x:c>
      <x:c r="B800" s="14" t="str">
        <x:v>ТОВ "Б КОМ"</x:v>
      </x:c>
      <x:c r="C800" s="14" t="str">
        <x:v>44723522</x:v>
      </x:c>
      <x:c r="D800" s="14" t="str">
        <x:v>HVAC / ОВіК</x:v>
      </x:c>
      <x:c r="E800" s="14" t="str">
        <x:v>Pilot now</x:v>
      </x:c>
      <x:c r="F800" s="14" t="str">
        <x:v>I3</x:v>
      </x:c>
      <x:c r="G800" s="14" t="n">
        <x:v>46</x:v>
      </x:c>
      <x:c r="H800" s="14" t="n">
        <x:v>1</x:v>
      </x:c>
      <x:c r="I800" s="14" t="n">
        <x:v>1</x:v>
      </x:c>
      <x:c r="J800" s="18" t="n">
        <x:v>99930</x:v>
      </x:c>
      <x:c r="K800" s="19" t="n">
        <x:v>46163.544811087966</x:v>
      </x:c>
      <x:c r="L800" s="19" t="n">
        <x:v>46265</x:v>
      </x:c>
      <x:c r="M800"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x:v>
      </x:c>
      <x:c r="N800" s="15" t="str">
        <x:v>https://prozorro.gov.ua/tender/UA-2026-05-21-011487-a</x:v>
      </x:c>
    </x:row>
    <x:row r="801">
      <x:c r="A801" s="14" t="n">
        <x:v>797</x:v>
      </x:c>
      <x:c r="B801" s="14" t="str">
        <x:v>ТОВ "Бікор"</x:v>
      </x:c>
      <x:c r="C801" s="14" t="str">
        <x:v>21637291</x:v>
      </x:c>
      <x:c r="D801" s="14" t="str">
        <x:v>Газові мережі</x:v>
      </x:c>
      <x:c r="E801" s="14" t="str">
        <x:v>Expansion discovery</x:v>
      </x:c>
      <x:c r="F801" s="14" t="str">
        <x:v>I3</x:v>
      </x:c>
      <x:c r="G801" s="14" t="n">
        <x:v>46</x:v>
      </x:c>
      <x:c r="H801" s="14" t="n">
        <x:v>1</x:v>
      </x:c>
      <x:c r="I801" s="14" t="n">
        <x:v>1</x:v>
      </x:c>
      <x:c r="J801" s="18" t="n">
        <x:v>1766670.88</x:v>
      </x:c>
      <x:c r="K801" s="19" t="n">
        <x:v>46072.66332238426</x:v>
      </x:c>
      <x:c r="L801" s="19" t="n">
        <x:v>46311</x:v>
      </x:c>
      <x:c r="M801"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x:v>
      </x:c>
      <x:c r="N801" s="15" t="str">
        <x:v>https://prozorro.gov.ua/tender/UA-2026-02-19-014159-a</x:v>
      </x:c>
    </x:row>
    <x:row r="802">
      <x:c r="A802" s="14" t="n">
        <x:v>798</x:v>
      </x:c>
      <x:c r="B802" s="14" t="str">
        <x:v>ТОВ "Будівельна фірма "ЕЛІТБУД"</x:v>
      </x:c>
      <x:c r="C802" s="14" t="str">
        <x:v>41631772</x:v>
      </x:c>
      <x:c r="D802" s="14" t="str">
        <x:v>Металоконструкції</x:v>
      </x:c>
      <x:c r="E802" s="14" t="str">
        <x:v>Expansion discovery</x:v>
      </x:c>
      <x:c r="F802" s="14" t="str">
        <x:v>I3</x:v>
      </x:c>
      <x:c r="G802" s="14" t="n">
        <x:v>46</x:v>
      </x:c>
      <x:c r="H802" s="14" t="n">
        <x:v>1</x:v>
      </x:c>
      <x:c r="I802" s="14" t="n">
        <x:v>1</x:v>
      </x:c>
      <x:c r="J802" s="18" t="n">
        <x:v>99993.7</x:v>
      </x:c>
      <x:c r="K802" s="19" t="n">
        <x:v>46177.36738856482</x:v>
      </x:c>
      <x:c r="L802" s="19" t="n">
        <x:v>46387.40935185185</x:v>
      </x:c>
      <x:c r="M802"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x:v>
      </x:c>
      <x:c r="N802" s="15" t="str">
        <x:v>https://prozorro.gov.ua/tender/UA-2026-06-04-005064-a</x:v>
      </x:c>
    </x:row>
    <x:row r="803">
      <x:c r="A803" s="14" t="n">
        <x:v>799</x:v>
      </x:c>
      <x:c r="B803" s="14" t="str">
        <x:v>ТОВ "ВЕЛЬТ КАПІТАЛ"</x:v>
      </x:c>
      <x:c r="C803" s="14" t="str">
        <x:v>40266233</x:v>
      </x:c>
      <x:c r="D803" s="14" t="str">
        <x:v>Водоочищення / очисні споруди</x:v>
      </x:c>
      <x:c r="E803" s="14" t="str">
        <x:v>Expansion discovery</x:v>
      </x:c>
      <x:c r="F803" s="14" t="str">
        <x:v>I3</x:v>
      </x:c>
      <x:c r="G803" s="14" t="n">
        <x:v>46</x:v>
      </x:c>
      <x:c r="H803" s="14" t="n">
        <x:v>1</x:v>
      </x:c>
      <x:c r="I803" s="14" t="n">
        <x:v>1</x:v>
      </x:c>
      <x:c r="J803" s="18" t="n">
        <x:v>44779643.86</x:v>
      </x:c>
      <x:c r="K803" s="19" t="n">
        <x:v>45960.60660180556</x:v>
      </x:c>
      <x:c r="L803" s="19" t="n">
        <x:v>46265</x:v>
      </x:c>
      <x:c r="M803" s="15" t="str">
        <x:v>«Реконструкція каналізаційних очисних споруд в м. Сокаль Львівської області, із зменшенням продуктивності до 10 тис. м3/добу» (коригування). 2 черга</x:v>
      </x:c>
      <x:c r="N803" s="15" t="str">
        <x:v>https://prozorro.gov.ua/tender/UA-2025-10-13-014721-a</x:v>
      </x:c>
    </x:row>
    <x:row r="804">
      <x:c r="A804" s="14" t="n">
        <x:v>800</x:v>
      </x:c>
      <x:c r="B804" s="14" t="str">
        <x:v>ТОВ "Вогнеборець 101"</x:v>
      </x:c>
      <x:c r="C804" s="14" t="str">
        <x:v>41359936</x:v>
      </x:c>
      <x:c r="D804" s="14" t="str">
        <x:v>Пожежогасіння</x:v>
      </x:c>
      <x:c r="E804" s="14" t="str">
        <x:v>Expansion discovery</x:v>
      </x:c>
      <x:c r="F804" s="14" t="str">
        <x:v>I3</x:v>
      </x:c>
      <x:c r="G804" s="14" t="n">
        <x:v>46</x:v>
      </x:c>
      <x:c r="H804" s="14" t="n">
        <x:v>1</x:v>
      </x:c>
      <x:c r="I804" s="14" t="n">
        <x:v>1</x:v>
      </x:c>
      <x:c r="J804" s="18" t="n">
        <x:v>58900</x:v>
      </x:c>
      <x:c r="K804" s="19" t="n">
        <x:v>46202.80076734954</x:v>
      </x:c>
      <x:c r="L804" s="19" t="n">
        <x:v>46387.844351851854</x:v>
      </x:c>
      <x:c r="M804"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x:v>
      </x:c>
      <x:c r="N804" s="15" t="str">
        <x:v>https://prozorro.gov.ua/tender/UA-2026-06-29-012307-a</x:v>
      </x:c>
    </x:row>
    <x:row r="805">
      <x:c r="A805" s="14" t="n">
        <x:v>801</x:v>
      </x:c>
      <x:c r="B805" s="14" t="str">
        <x:v>ТОВ "ГРАНД ТЕСЛА"</x:v>
      </x:c>
      <x:c r="C805" s="14" t="str">
        <x:v>39002560</x:v>
      </x:c>
      <x:c r="D805" s="14" t="str">
        <x:v>Теплові мережі</x:v>
      </x:c>
      <x:c r="E805" s="14" t="str">
        <x:v>Expansion discovery</x:v>
      </x:c>
      <x:c r="F805" s="14" t="str">
        <x:v>I3</x:v>
      </x:c>
      <x:c r="G805" s="14" t="n">
        <x:v>46</x:v>
      </x:c>
      <x:c r="H805" s="14" t="n">
        <x:v>1</x:v>
      </x:c>
      <x:c r="I805" s="14" t="n">
        <x:v>1</x:v>
      </x:c>
      <x:c r="J805" s="18" t="n">
        <x:v>34000</x:v>
      </x:c>
      <x:c r="K805" s="19" t="n">
        <x:v>46162.44405479167</x:v>
      </x:c>
      <x:c r="L805" s="19" t="n">
        <x:v>46387.48658564815</x:v>
      </x:c>
      <x:c r="M805"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x:v>
      </x:c>
      <x:c r="N805" s="15" t="str">
        <x:v>https://prozorro.gov.ua/tender/UA-2026-05-20-007485-a</x:v>
      </x:c>
    </x:row>
    <x:row r="806">
      <x:c r="A806" s="14" t="n">
        <x:v>802</x:v>
      </x:c>
      <x:c r="B806" s="14" t="str">
        <x:v>ТОВ "ДЕБІ СІСТЕМС"</x:v>
      </x:c>
      <x:c r="C806" s="14" t="str">
        <x:v>45771603</x:v>
      </x:c>
      <x:c r="D806" s="14" t="str">
        <x:v>Безпека / СКУД / CCTV</x:v>
      </x:c>
      <x:c r="E806" s="14" t="str">
        <x:v>Expansion discovery</x:v>
      </x:c>
      <x:c r="F806" s="14" t="str">
        <x:v>I3</x:v>
      </x:c>
      <x:c r="G806" s="14" t="n">
        <x:v>46</x:v>
      </x:c>
      <x:c r="H806" s="14" t="n">
        <x:v>1</x:v>
      </x:c>
      <x:c r="I806" s="14" t="n">
        <x:v>1</x:v>
      </x:c>
      <x:c r="J806" s="18" t="n">
        <x:v>11788</x:v>
      </x:c>
      <x:c r="K806" s="19" t="n">
        <x:v>46168.38909778935</x:v>
      </x:c>
      <x:c r="L806" s="19" t="n">
        <x:v>46387.42978009259</x:v>
      </x:c>
      <x:c r="M806" s="15" t="str">
        <x:v>Послуги з монтажу системи контролю доступу</x:v>
      </x:c>
      <x:c r="N806" s="15" t="str">
        <x:v>https://prozorro.gov.ua/tender/UA-2026-05-26-006079-a</x:v>
      </x:c>
    </x:row>
    <x:row r="807">
      <x:c r="A807" s="14" t="n">
        <x:v>803</x:v>
      </x:c>
      <x:c r="B807" s="14" t="str">
        <x:v>ТОВ "ТЕЗ Сервіс"</x:v>
      </x:c>
      <x:c r="C807" s="14" t="str">
        <x:v>33059894</x:v>
      </x:c>
      <x:c r="D807" s="14" t="str">
        <x:v>Стиснене повітря / компресорні</x:v>
      </x:c>
      <x:c r="E807" s="14" t="str">
        <x:v>Expansion discovery</x:v>
      </x:c>
      <x:c r="F807" s="14" t="str">
        <x:v>I3</x:v>
      </x:c>
      <x:c r="G807" s="14" t="n">
        <x:v>46</x:v>
      </x:c>
      <x:c r="H807" s="14" t="n">
        <x:v>1</x:v>
      </x:c>
      <x:c r="I807" s="14" t="n">
        <x:v>1</x:v>
      </x:c>
      <x:c r="J807" s="18" t="n">
        <x:v>15187000</x:v>
      </x:c>
      <x:c r="K807" s="19" t="n">
        <x:v>46007.414926006946</x:v>
      </x:c>
      <x:c r="L807" s="19" t="n">
        <x:v>46387</x:v>
      </x:c>
      <x:c r="M807" s="15" t="str">
        <x:v>Реконструкція компресорної пускового повітря шляхом заміни повітряних компресорів ЗГП-12/35 на дотискувальній компресорній станції Опари (Будівельні роботи та поточний ремонт)</x:v>
      </x:c>
      <x:c r="N807" s="15" t="str">
        <x:v>https://prozorro.gov.ua/tender/UA-2025-10-30-009344-a</x:v>
      </x:c>
    </x:row>
    <x:row r="808">
      <x:c r="A808" s="14" t="n">
        <x:v>804</x:v>
      </x:c>
      <x:c r="B808" s="14" t="str">
        <x:v>ТОВ БУДІВЕЛЬНА КОМПАНІЯ РЕЗИДЕНЦІЯ БУД ІНВЕСТ</x:v>
      </x:c>
      <x:c r="C808" s="14" t="str">
        <x:v>44968635</x:v>
      </x:c>
      <x:c r="D808" s="14" t="str">
        <x:v>Металоконструкції</x:v>
      </x:c>
      <x:c r="E808" s="14" t="str">
        <x:v>Expansion discovery</x:v>
      </x:c>
      <x:c r="F808" s="14" t="str">
        <x:v>I3</x:v>
      </x:c>
      <x:c r="G808" s="14" t="n">
        <x:v>46</x:v>
      </x:c>
      <x:c r="H808" s="14" t="n">
        <x:v>1</x:v>
      </x:c>
      <x:c r="I808" s="14" t="n">
        <x:v>1</x:v>
      </x:c>
      <x:c r="J808" s="18" t="n">
        <x:v>1206109.66</x:v>
      </x:c>
      <x:c r="K808" s="19" t="n">
        <x:v>46062.49102826389</x:v>
      </x:c>
      <x:c r="L808" s="19" t="n">
        <x:v>46387</x:v>
      </x:c>
      <x:c r="M808"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x:v>
      </x:c>
      <x:c r="N808" s="15" t="str">
        <x:v>https://prozorro.gov.ua/tender/UA-2026-02-09-007647-a</x:v>
      </x:c>
    </x:row>
    <x:row r="809">
      <x:c r="A809" s="14" t="n">
        <x:v>805</x:v>
      </x:c>
      <x:c r="B809" s="14" t="str">
        <x:v>ТОВ ДІМ 365</x:v>
      </x:c>
      <x:c r="C809" s="14" t="str">
        <x:v>43428016</x:v>
      </x:c>
      <x:c r="D809" s="14" t="str">
        <x:v>Зовнішні мережі</x:v>
      </x:c>
      <x:c r="E809" s="14" t="str">
        <x:v>Expansion discovery</x:v>
      </x:c>
      <x:c r="F809" s="14" t="str">
        <x:v>I3</x:v>
      </x:c>
      <x:c r="G809" s="14" t="n">
        <x:v>46</x:v>
      </x:c>
      <x:c r="H809" s="14" t="n">
        <x:v>1</x:v>
      </x:c>
      <x:c r="I809" s="14" t="n">
        <x:v>1</x:v>
      </x:c>
      <x:c r="J809" s="18" t="n">
        <x:v>99597.51</x:v>
      </x:c>
      <x:c r="K809" s="19" t="n">
        <x:v>46146.44312587963</x:v>
      </x:c>
      <x:c r="L809" s="19" t="n">
        <x:v>46387.480405092596</x:v>
      </x:c>
      <x:c r="M809" s="15" t="str">
        <x:v>Капітальний ремонт каналізаційного напірного колектора на території Опорного закладу освіти "Щасливський академічний ліцей" Прстоличної сільської ради по вул. Фестивальна, 37 в с. Щасливе Бориспільського району Київської області</x:v>
      </x:c>
      <x:c r="N809" s="15" t="str">
        <x:v>https://prozorro.gov.ua/tender/UA-2026-05-04-006760-a</x:v>
      </x:c>
    </x:row>
    <x:row r="810">
      <x:c r="A810" s="14" t="n">
        <x:v>806</x:v>
      </x:c>
      <x:c r="B810" s="14" t="str">
        <x:v>ТОВ СМ Енерго</x:v>
      </x:c>
      <x:c r="C810" s="14" t="str">
        <x:v>40971822</x:v>
      </x:c>
      <x:c r="D810" s="14" t="str">
        <x:v>Електромонтаж</x:v>
      </x:c>
      <x:c r="E810" s="14" t="str">
        <x:v>Pilot now</x:v>
      </x:c>
      <x:c r="F810" s="14" t="str">
        <x:v>I3</x:v>
      </x:c>
      <x:c r="G810" s="14" t="n">
        <x:v>46</x:v>
      </x:c>
      <x:c r="H810" s="14" t="n">
        <x:v>1</x:v>
      </x:c>
      <x:c r="I810" s="14" t="n">
        <x:v>1</x:v>
      </x:c>
      <x:c r="J810" s="18" t="n">
        <x:v>16513</x:v>
      </x:c>
      <x:c r="K810" s="19" t="n">
        <x:v>46184.45582422454</x:v>
      </x:c>
      <x:c r="L810" s="19" t="n">
        <x:v>46387</x:v>
      </x:c>
      <x:c r="M810"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x:v>
      </x:c>
      <x:c r="N810" s="15" t="str">
        <x:v>https://prozorro.gov.ua/tender/UA-2026-06-11-007574-a</x:v>
      </x:c>
    </x:row>
    <x:row r="811">
      <x:c r="A811" s="14" t="n">
        <x:v>807</x:v>
      </x:c>
      <x:c r="B811" s="14" t="str">
        <x:v>ТОВАРИСТВО З ОБМЕЖЕНОЮ ВІДПОВІДАЛЬНІСТЮ  «СПЕКТР 21»</x:v>
      </x:c>
      <x:c r="C811" s="14" t="str">
        <x:v>39596705</x:v>
      </x:c>
      <x:c r="D811" s="14" t="str">
        <x:v>Резервне живлення</x:v>
      </x:c>
      <x:c r="E811" s="14" t="str">
        <x:v>Pilot now</x:v>
      </x:c>
      <x:c r="F811" s="14" t="str">
        <x:v>I3</x:v>
      </x:c>
      <x:c r="G811" s="14" t="n">
        <x:v>46</x:v>
      </x:c>
      <x:c r="H811" s="14" t="n">
        <x:v>1</x:v>
      </x:c>
      <x:c r="I811" s="14" t="n">
        <x:v>1</x:v>
      </x:c>
      <x:c r="J811" s="18" t="n">
        <x:v>64262.46</x:v>
      </x:c>
      <x:c r="K811" s="19" t="n">
        <x:v>46139.46955469908</x:v>
      </x:c>
      <x:c r="L811" s="19" t="n">
        <x:v>46387</x:v>
      </x:c>
      <x:c r="M811"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на об'єкті  "Ліцей № 252 імені Василя Симоненка Оболонського району м. Києва, вул. Зої Гайдай, 10-В")</x:v>
      </x:c>
      <x:c r="N811" s="15" t="str">
        <x:v>https://prozorro.gov.ua/tender/UA-2026-04-27-007863-a</x:v>
      </x:c>
    </x:row>
    <x:row r="812">
      <x:c r="A812" s="14" t="n">
        <x:v>808</x:v>
      </x:c>
      <x:c r="B812" s="14" t="str">
        <x:v>ТОВАРИСТВО З ОБМЕЖЕНОЮ ВІДПОВІДАЛЬНІСТЮ " ЕНЕРГОСЕРВІС ЛТД"</x:v>
      </x:c>
      <x:c r="C812" s="14" t="str">
        <x:v>23059711</x:v>
      </x:c>
      <x:c r="D812" s="14" t="str">
        <x:v>Електромонтаж</x:v>
      </x:c>
      <x:c r="E812" s="14" t="str">
        <x:v>Pilot now</x:v>
      </x:c>
      <x:c r="F812" s="14" t="str">
        <x:v>I3</x:v>
      </x:c>
      <x:c r="G812" s="14" t="n">
        <x:v>46</x:v>
      </x:c>
      <x:c r="H812" s="14" t="n">
        <x:v>1</x:v>
      </x:c>
      <x:c r="I812" s="14" t="n">
        <x:v>1</x:v>
      </x:c>
      <x:c r="J812" s="18" t="n">
        <x:v>12421</x:v>
      </x:c>
      <x:c r="K812" s="19" t="n">
        <x:v>46210.3759903125</x:v>
      </x:c>
      <x:c r="L812" s="19" t="n">
        <x:v>46387</x:v>
      </x:c>
      <x:c r="M812" s="15" t="str">
        <x:v>поточний ремонт(електромонтажні роботи)</x:v>
      </x:c>
      <x:c r="N812" s="15" t="str">
        <x:v>https://prozorro.gov.ua/tender/UA-2026-07-07-004237-a</x:v>
      </x:c>
    </x:row>
    <x:row r="813">
      <x:c r="A813" s="14" t="n">
        <x:v>809</x:v>
      </x:c>
      <x:c r="B813" s="14" t="str">
        <x:v>ТОВАРИСТВО З ОБМЕЖЕНОЮ ВІДПОВІДАЛЬНІСТЮ "АКВАТЕПЛОБУД"</x:v>
      </x:c>
      <x:c r="C813" s="14" t="str">
        <x:v>43233986</x:v>
      </x:c>
      <x:c r="D813" s="14" t="str">
        <x:v>Внутрішні сантехнічні системи</x:v>
      </x:c>
      <x:c r="E813" s="14" t="str">
        <x:v>Pilot now</x:v>
      </x:c>
      <x:c r="F813" s="14" t="str">
        <x:v>I3</x:v>
      </x:c>
      <x:c r="G813" s="14" t="n">
        <x:v>46</x:v>
      </x:c>
      <x:c r="H813" s="14" t="n">
        <x:v>1</x:v>
      </x:c>
      <x:c r="I813" s="14" t="n">
        <x:v>1</x:v>
      </x:c>
      <x:c r="J813" s="18" t="n">
        <x:v>11500</x:v>
      </x:c>
      <x:c r="K813" s="19" t="n">
        <x:v>46167.3453590162</x:v>
      </x:c>
      <x:c r="L813" s="19" t="n">
        <x:v>46387</x:v>
      </x:c>
      <x:c r="M813"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x:v>
      </x:c>
      <x:c r="N813" s="15" t="str">
        <x:v>https://prozorro.gov.ua/tender/UA-2026-05-25-003639-a</x:v>
      </x:c>
    </x:row>
    <x:row r="814">
      <x:c r="A814" s="14" t="n">
        <x:v>810</x:v>
      </x:c>
      <x:c r="B814" s="14" t="str">
        <x:v>ТОВАРИСТВО З ОБМЕЖЕНОЮ ВІДПОВІДАЛЬНІСТЮ "БАСТІОН-СЕРВІС-ПРОЕКТ"</x:v>
      </x:c>
      <x:c r="C814" s="14" t="str">
        <x:v>39491176</x:v>
      </x:c>
      <x:c r="D814" s="14" t="str">
        <x:v>ВОЛЗ / телеком</x:v>
      </x:c>
      <x:c r="E814" s="14" t="str">
        <x:v>Expansion discovery</x:v>
      </x:c>
      <x:c r="F814" s="14" t="str">
        <x:v>I3</x:v>
      </x:c>
      <x:c r="G814" s="14" t="n">
        <x:v>46</x:v>
      </x:c>
      <x:c r="H814" s="14" t="n">
        <x:v>1</x:v>
      </x:c>
      <x:c r="I814" s="14" t="n">
        <x:v>1</x:v>
      </x:c>
      <x:c r="J814" s="18" t="n">
        <x:v>99840</x:v>
      </x:c>
      <x:c r="K814" s="19" t="n">
        <x:v>46191.34558296296</x:v>
      </x:c>
      <x:c r="L814" s="19" t="n">
        <x:v>46387</x:v>
      </x:c>
      <x:c r="M814" s="15" t="str">
        <x:v>Послуги з монтажу волоконно-оптичних ліній зв'язку (ДК 021:2015:45230000-8 Будівництво трубопроводів, ліній зв’язку та електропередач, шосе, доріг, аеродромів і залізничних доріг; вирівнювання поверхонь)</x:v>
      </x:c>
      <x:c r="N814" s="15" t="str">
        <x:v>https://prozorro.gov.ua/tender/UA-2026-06-18-003884-a</x:v>
      </x:c>
    </x:row>
    <x:row r="815">
      <x:c r="A815" s="14" t="n">
        <x:v>811</x:v>
      </x:c>
      <x:c r="B815" s="14" t="str">
        <x:v>ТОВАРИСТВО З ОБМЕЖЕНОЮ ВІДПОВІДАЛЬНІСТЮ "БЕСТ ТЕХНОЛОДЖІ КОМПАНІ"</x:v>
      </x:c>
      <x:c r="C815" s="14" t="str">
        <x:v>40753202</x:v>
      </x:c>
      <x:c r="D815" s="14" t="str">
        <x:v>Пожежогасіння</x:v>
      </x:c>
      <x:c r="E815" s="14" t="str">
        <x:v>Expansion discovery</x:v>
      </x:c>
      <x:c r="F815" s="14" t="str">
        <x:v>I3</x:v>
      </x:c>
      <x:c r="G815" s="14" t="n">
        <x:v>46</x:v>
      </x:c>
      <x:c r="H815" s="14" t="n">
        <x:v>2</x:v>
      </x:c>
      <x:c r="I815" s="14" t="n">
        <x:v>1</x:v>
      </x:c>
      <x:c r="J815" s="18" t="n">
        <x:v>161957.48</x:v>
      </x:c>
      <x:c r="K815" s="19" t="n">
        <x:v>46157.351415694444</x:v>
      </x:c>
      <x:c r="L815" s="19" t="n">
        <x:v>46203</x:v>
      </x:c>
      <x:c r="M815" s="15" t="str">
        <x:v>Послуги з поточного ремонту: монтажу й установки систем пожежної сигналізації та керування евакуюванням для речового складу (будівля №17/9)</x:v>
      </x:c>
      <x:c r="N815" s="15" t="str">
        <x:v>https://prozorro.gov.ua/tender/UA-2026-05-15-004582-a</x:v>
      </x:c>
    </x:row>
    <x:row r="816">
      <x:c r="A816" s="14" t="n">
        <x:v>812</x:v>
      </x:c>
      <x:c r="B816" s="14" t="str">
        <x:v>Товариство з обмеженою відповідальністю "БК Дніпробуд-Сервіс"</x:v>
      </x:c>
      <x:c r="C816" s="14" t="str">
        <x:v>39014471</x:v>
      </x:c>
      <x:c r="D816" s="14" t="str">
        <x:v>Металоконструкції</x:v>
      </x:c>
      <x:c r="E816" s="14" t="str">
        <x:v>Expansion discovery</x:v>
      </x:c>
      <x:c r="F816" s="14" t="str">
        <x:v>I3</x:v>
      </x:c>
      <x:c r="G816" s="14" t="n">
        <x:v>46</x:v>
      </x:c>
      <x:c r="H816" s="14" t="n">
        <x:v>1</x:v>
      </x:c>
      <x:c r="I816" s="14" t="n">
        <x:v>1</x:v>
      </x:c>
      <x:c r="J816" s="18" t="n">
        <x:v>53142</x:v>
      </x:c>
      <x:c r="K816" s="19" t="n">
        <x:v>46160.592352175925</x:v>
      </x:c>
      <x:c r="L816" s="19" t="n">
        <x:v>46387</x:v>
      </x:c>
      <x:c r="M816"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x:v>
      </x:c>
      <x:c r="N816" s="15" t="str">
        <x:v>https://prozorro.gov.ua/tender/UA-2026-05-18-013252-a</x:v>
      </x:c>
    </x:row>
    <x:row r="817">
      <x:c r="A817" s="14" t="n">
        <x:v>813</x:v>
      </x:c>
      <x:c r="B817" s="14" t="str">
        <x:v>ТОВАРИСТВО З ОБМЕЖЕНОЮ ВІДПОВІДАЛЬНІСТЮ "БУДІВЕЛЬНА КОМПАНІЯ "ХОРТІС"</x:v>
      </x:c>
      <x:c r="C817" s="14" t="str">
        <x:v>45861115</x:v>
      </x:c>
      <x:c r="D817" s="14" t="str">
        <x:v>Внутрішні сантехнічні системи</x:v>
      </x:c>
      <x:c r="E817" s="14" t="str">
        <x:v>Pilot now</x:v>
      </x:c>
      <x:c r="F817" s="14" t="str">
        <x:v>I3</x:v>
      </x:c>
      <x:c r="G817" s="14" t="n">
        <x:v>46</x:v>
      </x:c>
      <x:c r="H817" s="14" t="n">
        <x:v>1</x:v>
      </x:c>
      <x:c r="I817" s="14" t="n">
        <x:v>1</x:v>
      </x:c>
      <x:c r="J817" s="18" t="n">
        <x:v>667219.2</x:v>
      </x:c>
      <x:c r="K817" s="19" t="n">
        <x:v>46135.29312325231</x:v>
      </x:c>
      <x:c r="L817" s="19" t="n">
        <x:v>46265</x:v>
      </x:c>
      <x:c r="M817"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x:v>
      </x:c>
      <x:c r="N817" s="15" t="str">
        <x:v>https://prozorro.gov.ua/tender/UA-2026-04-13-004602-a</x:v>
      </x:c>
    </x:row>
    <x:row r="818">
      <x:c r="A818" s="14" t="n">
        <x:v>814</x:v>
      </x:c>
      <x:c r="B818" s="14" t="str">
        <x:v>Товариство з обмеженою відповідальністю "Будівельно-виробнича компанія "Мосбуд"</x:v>
      </x:c>
      <x:c r="C818" s="14" t="str">
        <x:v>34452127</x:v>
      </x:c>
      <x:c r="D818" s="14" t="str">
        <x:v>Насосні станції</x:v>
      </x:c>
      <x:c r="E818" s="14" t="str">
        <x:v>Expansion discovery</x:v>
      </x:c>
      <x:c r="F818" s="14" t="str">
        <x:v>I3</x:v>
      </x:c>
      <x:c r="G818" s="14" t="n">
        <x:v>46</x:v>
      </x:c>
      <x:c r="H818" s="14" t="n">
        <x:v>1</x:v>
      </x:c>
      <x:c r="I818" s="14" t="n">
        <x:v>1</x:v>
      </x:c>
      <x:c r="J818" s="18" t="n">
        <x:v>1287303.6</x:v>
      </x:c>
      <x:c r="K818" s="19" t="n">
        <x:v>46127.374368425924</x:v>
      </x:c>
      <x:c r="L818" s="19" t="n">
        <x:v>46387.41695601852</x:v>
      </x:c>
      <x:c r="M818" s="15" t="str">
        <x:v>Реконструкція електричних мереж зі встановленням мережевої СЕС на резервній станції насосної станції І-го підйому водозабору за адресою: Стрийський р-н, с. Дубина, вул. Дачна, 51-А</x:v>
      </x:c>
      <x:c r="N818" s="15" t="str">
        <x:v>https://prozorro.gov.ua/tender/UA-2026-04-15-004658-a</x:v>
      </x:c>
    </x:row>
    <x:row r="819">
      <x:c r="A819" s="14" t="n">
        <x:v>815</x:v>
      </x:c>
      <x:c r="B819" s="14" t="str">
        <x:v>ТОВАРИСТВО З ОБМЕЖЕНОЮ ВІДПОВІДАЛЬНІСТЮ "БУДСЕРВІС-М"</x:v>
      </x:c>
      <x:c r="C819" s="14" t="str">
        <x:v>43288438</x:v>
      </x:c>
      <x:c r="D819" s="14" t="str">
        <x:v>Електромонтаж</x:v>
      </x:c>
      <x:c r="E819" s="14" t="str">
        <x:v>Pilot now</x:v>
      </x:c>
      <x:c r="F819" s="14" t="str">
        <x:v>I3</x:v>
      </x:c>
      <x:c r="G819" s="14" t="n">
        <x:v>46</x:v>
      </x:c>
      <x:c r="H819" s="14" t="n">
        <x:v>1</x:v>
      </x:c>
      <x:c r="I819" s="14" t="n">
        <x:v>1</x:v>
      </x:c>
      <x:c r="J819" s="18" t="n">
        <x:v>28132</x:v>
      </x:c>
      <x:c r="K819" s="19" t="n">
        <x:v>46164.58131821759</x:v>
      </x:c>
      <x:c r="L819" s="19" t="n">
        <x:v>46387</x:v>
      </x:c>
      <x:c r="M819" s="15" t="str">
        <x:v>Послуги з монтажу силових електричних мереж та прокладання кабелю у підвальному приміщенні</x:v>
      </x:c>
      <x:c r="N819" s="15" t="str">
        <x:v>https://prozorro.gov.ua/tender/UA-2026-05-22-011966-a</x:v>
      </x:c>
    </x:row>
    <x:row r="820">
      <x:c r="A820" s="14" t="n">
        <x:v>816</x:v>
      </x:c>
      <x:c r="B820" s="14" t="str">
        <x:v>ТОВАРИСТВО З ОБМЕЖЕНОЮ ВІДПОВІДАЛЬНІСТЮ "ВЕКТОР БУД-ТОРГ"</x:v>
      </x:c>
      <x:c r="C820" s="14" t="str">
        <x:v>41610262</x:v>
      </x:c>
      <x:c r="D820" s="14" t="str">
        <x:v>HVAC / ОВіК</x:v>
      </x:c>
      <x:c r="E820" s="14" t="str">
        <x:v>Pilot now</x:v>
      </x:c>
      <x:c r="F820" s="14" t="str">
        <x:v>I3</x:v>
      </x:c>
      <x:c r="G820" s="14" t="n">
        <x:v>46</x:v>
      </x:c>
      <x:c r="H820" s="14" t="n">
        <x:v>1</x:v>
      </x:c>
      <x:c r="I820" s="14" t="n">
        <x:v>1</x:v>
      </x:c>
      <x:c r="J820" s="18" t="n">
        <x:v>98515.14</x:v>
      </x:c>
      <x:c r="K820" s="19" t="n">
        <x:v>46206.41618704861</x:v>
      </x:c>
      <x:c r="L820" s="19" t="n">
        <x:v>46387</x:v>
      </x:c>
      <x:c r="M820" s="15" t="str">
        <x:v>Послуги з монтажу та демонтажу системи опалення, труб, радіаторів Код ДК 021:2015 45330000-9 Водопровідні та санітарно-технічні роботи</x:v>
      </x:c>
      <x:c r="N820" s="15" t="str">
        <x:v>https://prozorro.gov.ua/tender/UA-2026-07-03-005222-a</x:v>
      </x:c>
    </x:row>
    <x:row r="821">
      <x:c r="A821" s="14" t="n">
        <x:v>817</x:v>
      </x:c>
      <x:c r="B821" s="14" t="str">
        <x:v>ТОВАРИСТВО З ОБМЕЖЕНОЮ ВІДПОВІДАЛЬНІСТЮ "Виробничо-комерційне підприємство "АРМАТ"</x:v>
      </x:c>
      <x:c r="C821" s="14" t="str">
        <x:v>45673499</x:v>
      </x:c>
      <x:c r="D821" s="14" t="str">
        <x:v>Електромонтаж</x:v>
      </x:c>
      <x:c r="E821" s="14" t="str">
        <x:v>Pilot now</x:v>
      </x:c>
      <x:c r="F821" s="14" t="str">
        <x:v>I3</x:v>
      </x:c>
      <x:c r="G821" s="14" t="n">
        <x:v>46</x:v>
      </x:c>
      <x:c r="H821" s="14" t="n">
        <x:v>1</x:v>
      </x:c>
      <x:c r="I821" s="14" t="n">
        <x:v>1</x:v>
      </x:c>
      <x:c r="J821" s="18" t="n">
        <x:v>13500</x:v>
      </x:c>
      <x:c r="K821" s="19" t="n">
        <x:v>46190.543794502315</x:v>
      </x:c>
      <x:c r="L821" s="19" t="n">
        <x:v>46387</x:v>
      </x:c>
      <x:c r="M821" s="15" t="str">
        <x:v>Електромонтажні роботи</x:v>
      </x:c>
      <x:c r="N821" s="15" t="str">
        <x:v>https://prozorro.gov.ua/tender/UA-2026-06-17-011352-a</x:v>
      </x:c>
    </x:row>
    <x:row r="822">
      <x:c r="A822" s="14" t="n">
        <x:v>818</x:v>
      </x:c>
      <x:c r="B822" s="14" t="str">
        <x:v>ТОВАРИСТВО З ОБМЕЖЕНОЮ ВІДПОВІДАЛЬНІСТЮ "ЕНЕРГО ЮА"</x:v>
      </x:c>
      <x:c r="C822" s="14" t="str">
        <x:v>43821086</x:v>
      </x:c>
      <x:c r="D822" s="14" t="str">
        <x:v>Електромонтаж</x:v>
      </x:c>
      <x:c r="E822" s="14" t="str">
        <x:v>Pilot now</x:v>
      </x:c>
      <x:c r="F822" s="14" t="str">
        <x:v>I3</x:v>
      </x:c>
      <x:c r="G822" s="14" t="n">
        <x:v>46</x:v>
      </x:c>
      <x:c r="H822" s="14" t="n">
        <x:v>1</x:v>
      </x:c>
      <x:c r="I822" s="14" t="n">
        <x:v>1</x:v>
      </x:c>
      <x:c r="J822" s="18" t="n">
        <x:v>30500</x:v>
      </x:c>
      <x:c r="K822" s="19" t="n">
        <x:v>46212.320446481484</x:v>
      </x:c>
      <x:c r="L822" s="19" t="n">
        <x:v>46387</x:v>
      </x:c>
      <x:c r="M82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x:v>
      </x:c>
      <x:c r="N822" s="15" t="str">
        <x:v>https://prozorro.gov.ua/tender/UA-2026-07-09-002350-a</x:v>
      </x:c>
    </x:row>
    <x:row r="823">
      <x:c r="A823" s="14" t="n">
        <x:v>819</x:v>
      </x:c>
      <x:c r="B823" s="14" t="str">
        <x:v>ТОВАРИСТВО З ОБМЕЖЕНОЮ ВІДПОВІДАЛЬНІСТЮ "ЖИТОМИРБУДПРОЕКТЕКСПЕРТИЗА"</x:v>
      </x:c>
      <x:c r="C823" s="14" t="str">
        <x:v>41523369</x:v>
      </x:c>
      <x:c r="D823" s="14" t="str">
        <x:v>Насосні станції</x:v>
      </x:c>
      <x:c r="E823" s="14" t="str">
        <x:v>Expansion discovery</x:v>
      </x:c>
      <x:c r="F823" s="14" t="str">
        <x:v>I3</x:v>
      </x:c>
      <x:c r="G823" s="14" t="n">
        <x:v>46</x:v>
      </x:c>
      <x:c r="H823" s="14" t="n">
        <x:v>1</x:v>
      </x:c>
      <x:c r="I823" s="14" t="n">
        <x:v>1</x:v>
      </x:c>
      <x:c r="J823" s="18" t="n">
        <x:v>99476.21</x:v>
      </x:c>
      <x:c r="K823" s="19" t="n">
        <x:v>46161.37153174768</x:v>
      </x:c>
      <x:c r="L823" s="19" t="n">
        <x:v>46281</x:v>
      </x:c>
      <x:c r="M823"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x:v>
      </x:c>
      <x:c r="N823" s="15" t="str">
        <x:v>https://prozorro.gov.ua/tender/UA-2026-05-19-005355-a</x:v>
      </x:c>
    </x:row>
    <x:row r="824">
      <x:c r="A824" s="14" t="n">
        <x:v>820</x:v>
      </x:c>
      <x:c r="B824" s="14" t="str">
        <x:v>ТОВАРИСТВО З ОБМЕЖЕНОЮ ВІДПОВІДАЛЬНІСТЮ "ЗЕМЛЕБУДСЕРВІС"</x:v>
      </x:c>
      <x:c r="C824" s="14" t="str">
        <x:v>40877796</x:v>
      </x:c>
      <x:c r="D824" s="14" t="str">
        <x:v>ГНБ / безтраншейні роботи</x:v>
      </x:c>
      <x:c r="E824" s="14" t="str">
        <x:v>Expansion discovery</x:v>
      </x:c>
      <x:c r="F824" s="14" t="str">
        <x:v>I3</x:v>
      </x:c>
      <x:c r="G824" s="14" t="n">
        <x:v>46</x:v>
      </x:c>
      <x:c r="H824" s="14" t="n">
        <x:v>1</x:v>
      </x:c>
      <x:c r="I824" s="14" t="n">
        <x:v>1</x:v>
      </x:c>
      <x:c r="J824" s="18" t="n">
        <x:v>568839.71</x:v>
      </x:c>
      <x:c r="K824" s="19" t="n">
        <x:v>46091.593778622686</x:v>
      </x:c>
      <x:c r="L824" s="19" t="n">
        <x:v>46387</x:v>
      </x:c>
      <x:c r="M824" s="15" t="str">
        <x:v>Влаштування футляру методом горизонтально направленого буріння по вул. Князів Коріатовичів,189 в м. Вінниця.
</x:v>
      </x:c>
      <x:c r="N824" s="15" t="str">
        <x:v>https://prozorro.gov.ua/tender/UA-2026-03-10-005413-a</x:v>
      </x:c>
    </x:row>
    <x:row r="825">
      <x:c r="A825" s="14" t="n">
        <x:v>821</x:v>
      </x:c>
      <x:c r="B825" s="14" t="str">
        <x:v>ТОВАРИСТВО З ОБМЕЖЕНОЮ ВІДПОВІДАЛЬНІСТЮ "КОНСТРАКШН МАШИНЕРІ"</x:v>
      </x:c>
      <x:c r="C825" s="14" t="str">
        <x:v>32828388</x:v>
      </x:c>
      <x:c r="D825" s="14" t="str">
        <x:v>Мости / інфраструктура</x:v>
      </x:c>
      <x:c r="E825" s="14" t="str">
        <x:v>Expansion discovery</x:v>
      </x:c>
      <x:c r="F825" s="14" t="str">
        <x:v>I3</x:v>
      </x:c>
      <x:c r="G825" s="14" t="n">
        <x:v>46</x:v>
      </x:c>
      <x:c r="H825" s="14" t="n">
        <x:v>1</x:v>
      </x:c>
      <x:c r="I825" s="14" t="n">
        <x:v>1</x:v>
      </x:c>
      <x:c r="J825" s="18" t="n">
        <x:v>46440</x:v>
      </x:c>
      <x:c r="K825" s="19" t="n">
        <x:v>46175.3111</x:v>
      </x:c>
      <x:c r="L825" s="19" t="n">
        <x:v>46387</x:v>
      </x:c>
      <x:c r="M825" s="15" t="str">
        <x:v>ДК 021:2015  63710000-9 «Послуги з обслуговування наземних видів транспорту» (Виклик спеціаліста, ремонт моста заднього, монтаж моста заднього)</x:v>
      </x:c>
      <x:c r="N825" s="15" t="str">
        <x:v>https://prozorro.gov.ua/tender/UA-2026-06-02-002185-a</x:v>
      </x:c>
    </x:row>
    <x:row r="826">
      <x:c r="A826" s="14" t="n">
        <x:v>822</x:v>
      </x:c>
      <x:c r="B826" s="14" t="str">
        <x:v>ТОВАРИСТВО З ОБМЕЖЕНОЮ ВІДПОВІДАЛЬНІСТЮ "КОСТА-ПРОЕКТ"</x:v>
      </x:c>
      <x:c r="C826" s="14" t="str">
        <x:v>34980441</x:v>
      </x:c>
      <x:c r="D826" s="14" t="str">
        <x:v>Газові мережі</x:v>
      </x:c>
      <x:c r="E826" s="14" t="str">
        <x:v>Expansion discovery</x:v>
      </x:c>
      <x:c r="F826" s="14" t="str">
        <x:v>I3</x:v>
      </x:c>
      <x:c r="G826" s="14" t="n">
        <x:v>46</x:v>
      </x:c>
      <x:c r="H826" s="14" t="n">
        <x:v>1</x:v>
      </x:c>
      <x:c r="I826" s="14" t="n">
        <x:v>1</x:v>
      </x:c>
      <x:c r="J826" s="18" t="n">
        <x:v>323020000</x:v>
      </x:c>
      <x:c r="K826" s="19" t="n">
        <x:v>45867.32840100695</x:v>
      </x:c>
      <x:c r="L826" s="19" t="n">
        <x:v>47047</x:v>
      </x:c>
      <x:c r="M826"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x:v>
      </x:c>
      <x:c r="N826" s="15" t="str">
        <x:v>https://prozorro.gov.ua/tender/UA-2025-06-19-010686-a</x:v>
      </x:c>
    </x:row>
    <x:row r="827">
      <x:c r="A827" s="14" t="n">
        <x:v>823</x:v>
      </x:c>
      <x:c r="B827" s="14" t="str">
        <x:v>ТОВАРИСТВО З ОБМЕЖЕНОЮ ВІДПОВІДАЛЬНІСТЮ "ЛАНГЕЙТ"</x:v>
      </x:c>
      <x:c r="C827" s="14" t="str">
        <x:v>31396704</x:v>
      </x:c>
      <x:c r="D827" s="14" t="str">
        <x:v>Безпека / СКУД / CCTV</x:v>
      </x:c>
      <x:c r="E827" s="14" t="str">
        <x:v>Expansion discovery</x:v>
      </x:c>
      <x:c r="F827" s="14" t="str">
        <x:v>I3</x:v>
      </x:c>
      <x:c r="G827" s="14" t="n">
        <x:v>46</x:v>
      </x:c>
      <x:c r="H827" s="14" t="n">
        <x:v>2</x:v>
      </x:c>
      <x:c r="I827" s="14" t="n">
        <x:v>1</x:v>
      </x:c>
      <x:c r="J827" s="18" t="n">
        <x:v>28740</x:v>
      </x:c>
      <x:c r="K827" s="19" t="n">
        <x:v>45490.41494001157</x:v>
      </x:c>
      <x:c r="L827" s="19" t="n">
        <x:v>45519.41324074074</x:v>
      </x:c>
      <x:c r="M827" s="15" t="str">
        <x:v>Розроблення робочого проекту з будівництва волоконно-оптичної лінії зв’язку в м. Новодністровськ</x:v>
      </x:c>
      <x:c r="N827" s="15" t="str">
        <x:v>https://prozorro.gov.ua/tender/UA-2024-07-17-004747-a</x:v>
      </x:c>
    </x:row>
    <x:row r="828">
      <x:c r="A828" s="14" t="n">
        <x:v>824</x:v>
      </x:c>
      <x:c r="B828" s="14" t="str">
        <x:v>ТОВАРИСТВО З ОБМЕЖЕНОЮ ВІДПОВІДАЛЬНІСТЮ "НАУКОВО - ВИРОБНИЧА ФІРМА "ТЕРМОУНІВЕРСАЛ"</x:v>
      </x:c>
      <x:c r="C828" s="14" t="str">
        <x:v>34788625</x:v>
      </x:c>
      <x:c r="D828" s="14" t="str">
        <x:v>Водоочищення / очисні споруди</x:v>
      </x:c>
      <x:c r="E828" s="14" t="str">
        <x:v>Expansion discovery</x:v>
      </x:c>
      <x:c r="F828" s="14" t="str">
        <x:v>I3</x:v>
      </x:c>
      <x:c r="G828" s="14" t="n">
        <x:v>46</x:v>
      </x:c>
      <x:c r="H828" s="14" t="n">
        <x:v>1</x:v>
      </x:c>
      <x:c r="I828" s="14" t="n">
        <x:v>1</x:v>
      </x:c>
      <x:c r="J828" s="18" t="n">
        <x:v>62313414.14</x:v>
      </x:c>
      <x:c r="K828" s="19" t="n">
        <x:v>45971.386779328706</x:v>
      </x:c>
      <x:c r="L828" s="19" t="n">
        <x:v>47118</x:v>
      </x:c>
      <x:c r="M828"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x:v>
      </x:c>
      <x:c r="N828" s="15" t="str">
        <x:v>https://prozorro.gov.ua/tender/UA-2025-10-15-005999-a</x:v>
      </x:c>
    </x:row>
    <x:row r="829">
      <x:c r="A829" s="14" t="n">
        <x:v>825</x:v>
      </x:c>
      <x:c r="B829" s="14" t="str">
        <x:v>ТОВАРИСТВО З ОБМЕЖЕНОЮ ВІДПОВІДАЛЬНІСТЮ "НВА ГРУП"</x:v>
      </x:c>
      <x:c r="C829" s="14" t="str">
        <x:v>38415749</x:v>
      </x:c>
      <x:c r="D829" s="14" t="str">
        <x:v>Газопостачання / котельні</x:v>
      </x:c>
      <x:c r="E829" s="14" t="str">
        <x:v>Expansion discovery</x:v>
      </x:c>
      <x:c r="F829" s="14" t="str">
        <x:v>I3</x:v>
      </x:c>
      <x:c r="G829" s="14" t="n">
        <x:v>46</x:v>
      </x:c>
      <x:c r="H829" s="14" t="n">
        <x:v>1</x:v>
      </x:c>
      <x:c r="I829" s="14" t="n">
        <x:v>1</x:v>
      </x:c>
      <x:c r="J829" s="18" t="n">
        <x:v>10000</x:v>
      </x:c>
      <x:c r="K829" s="19" t="n">
        <x:v>46150.317875092594</x:v>
      </x:c>
      <x:c r="L829" s="19" t="n">
        <x:v>46356</x:v>
      </x:c>
      <x:c r="M829" s="15" t="str">
        <x:v>Консультаційні послуги щодо монтажу блочно – модульної твердопаливної котельної</x:v>
      </x:c>
      <x:c r="N829" s="15" t="str">
        <x:v>https://prozorro.gov.ua/tender/UA-2026-05-08-002771-a</x:v>
      </x:c>
    </x:row>
    <x:row r="830">
      <x:c r="A830" s="14" t="n">
        <x:v>826</x:v>
      </x:c>
      <x:c r="B830" s="14" t="str">
        <x:v>ТОВАРИСТВО З ОБМЕЖЕНОЮ ВІДПОВІДАЛЬНІСТЮ "ПРОМБУД-КОМ"</x:v>
      </x:c>
      <x:c r="C830" s="14" t="str">
        <x:v>38278241</x:v>
      </x:c>
      <x:c r="D830" s="14" t="str">
        <x:v>Пасивний вогнезахист</x:v>
      </x:c>
      <x:c r="E830" s="14" t="str">
        <x:v>Expansion discovery</x:v>
      </x:c>
      <x:c r="F830" s="14" t="str">
        <x:v>I3</x:v>
      </x:c>
      <x:c r="G830" s="14" t="n">
        <x:v>46</x:v>
      </x:c>
      <x:c r="H830" s="14" t="n">
        <x:v>1</x:v>
      </x:c>
      <x:c r="I830" s="14" t="n">
        <x:v>1</x:v>
      </x:c>
      <x:c r="J830" s="18" t="n">
        <x:v>16605</x:v>
      </x:c>
      <x:c r="K830" s="19" t="n">
        <x:v>46182.51632142361</x:v>
      </x:c>
      <x:c r="L830" s="19" t="n">
        <x:v>46387.916655092595</x:v>
      </x:c>
      <x:c r="M830" s="15" t="str">
        <x:v>Послуги з вогнезахисної обробки (просочення) дерев'яних конструкцій горища приміщення</x:v>
      </x:c>
      <x:c r="N830" s="15" t="str">
        <x:v>https://prozorro.gov.ua/tender/UA-2026-06-09-010663-a</x:v>
      </x:c>
    </x:row>
    <x:row r="831">
      <x:c r="A831" s="14" t="n">
        <x:v>827</x:v>
      </x:c>
      <x:c r="B831" s="14" t="str">
        <x:v>Товариство з обмеженою відповідальністю "Стройкапітал"</x:v>
      </x:c>
      <x:c r="C831" s="14" t="str">
        <x:v>38262748</x:v>
      </x:c>
      <x:c r="D831" s="14" t="str">
        <x:v>Покрівлі та гідроізоляція</x:v>
      </x:c>
      <x:c r="E831" s="14" t="str">
        <x:v>Expansion discovery</x:v>
      </x:c>
      <x:c r="F831" s="14" t="str">
        <x:v>I3</x:v>
      </x:c>
      <x:c r="G831" s="14" t="n">
        <x:v>46</x:v>
      </x:c>
      <x:c r="H831" s="14" t="n">
        <x:v>1</x:v>
      </x:c>
      <x:c r="I831" s="14" t="n">
        <x:v>1</x:v>
      </x:c>
      <x:c r="J831" s="18" t="n">
        <x:v>17960.74</x:v>
      </x:c>
      <x:c r="K831" s="19" t="n">
        <x:v>46181.55960361111</x:v>
      </x:c>
      <x:c r="L831" s="19" t="n">
        <x:v>46387</x:v>
      </x:c>
      <x:c r="M831"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x:v>
      </x:c>
      <x:c r="N831" s="15" t="str">
        <x:v>https://prozorro.gov.ua/tender/UA-2026-06-08-011678-a</x:v>
      </x:c>
    </x:row>
    <x:row r="832">
      <x:c r="A832" s="14" t="n">
        <x:v>828</x:v>
      </x:c>
      <x:c r="B832" s="14" t="str">
        <x:v>ТОВАРИСТВО З ОБМЕЖЕНОЮ ВІДПОВІДАЛЬНІСТЮ "СУЧАСНІ ТЕХНОЛОГІЇ БЕЗПЕКИ ПЛЮС"</x:v>
      </x:c>
      <x:c r="C832" s="14" t="str">
        <x:v>41143854</x:v>
      </x:c>
      <x:c r="D832" s="14" t="str">
        <x:v>Пожежогасіння</x:v>
      </x:c>
      <x:c r="E832" s="14" t="str">
        <x:v>Expansion discovery</x:v>
      </x:c>
      <x:c r="F832" s="14" t="str">
        <x:v>I3</x:v>
      </x:c>
      <x:c r="G832" s="14" t="n">
        <x:v>46</x:v>
      </x:c>
      <x:c r="H832" s="14" t="n">
        <x:v>1</x:v>
      </x:c>
      <x:c r="I832" s="14" t="n">
        <x:v>1</x:v>
      </x:c>
      <x:c r="J832" s="18" t="n">
        <x:v>65816.41</x:v>
      </x:c>
      <x:c r="K832" s="19" t="n">
        <x:v>46209.457452395836</x:v>
      </x:c>
      <x:c r="L832" s="19" t="n">
        <x:v>46387</x:v>
      </x:c>
      <x:c r="M832"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x:v>
      </x:c>
      <x:c r="N832" s="15" t="str">
        <x:v>https://prozorro.gov.ua/tender/UA-2026-07-06-005633-a</x:v>
      </x:c>
    </x:row>
    <x:row r="833">
      <x:c r="A833" s="14" t="n">
        <x:v>829</x:v>
      </x:c>
      <x:c r="B833" s="14" t="str">
        <x:v>ТОВАРИСТВО З ОБМЕЖЕНОЮ ВІДПОВІДАЛЬНІСТЮ "УКРВЕНТПРОМПОСТАЧ"</x:v>
      </x:c>
      <x:c r="C833" s="14" t="str">
        <x:v>39101642</x:v>
      </x:c>
      <x:c r="D833" s="14" t="str">
        <x:v>HVAC / ОВіК</x:v>
      </x:c>
      <x:c r="E833" s="14" t="str">
        <x:v>Pilot now</x:v>
      </x:c>
      <x:c r="F833" s="14" t="str">
        <x:v>I3</x:v>
      </x:c>
      <x:c r="G833" s="14" t="n">
        <x:v>46</x:v>
      </x:c>
      <x:c r="H833" s="14" t="n">
        <x:v>1</x:v>
      </x:c>
      <x:c r="I833" s="14" t="n">
        <x:v>1</x:v>
      </x:c>
      <x:c r="J833" s="18" t="n">
        <x:v>65074.52</x:v>
      </x:c>
      <x:c r="K833" s="19" t="n">
        <x:v>46189.606119421296</x:v>
      </x:c>
      <x:c r="L833" s="19" t="n">
        <x:v>46387</x:v>
      </x:c>
      <x:c r="M833" s="15" t="str">
        <x:v>Послуги з монтажу системи вентиляції в кабінеті денситометрії </x:v>
      </x:c>
      <x:c r="N833" s="15" t="str">
        <x:v>https://prozorro.gov.ua/tender/UA-2026-06-16-013759-a</x:v>
      </x:c>
    </x:row>
    <x:row r="834">
      <x:c r="A834" s="14" t="n">
        <x:v>830</x:v>
      </x:c>
      <x:c r="B834" s="14" t="str">
        <x:v>ТОВАРИСТВО З ОБМЕЖЕНОЮ ВІДПОВІДАЛЬНІСТЮ "УКРТРАНСМІСТ"</x:v>
      </x:c>
      <x:c r="C834" s="14" t="str">
        <x:v>33778270</x:v>
      </x:c>
      <x:c r="D834" s="14" t="str">
        <x:v>Залізнична інфраструктура</x:v>
      </x:c>
      <x:c r="E834" s="14" t="str">
        <x:v>Expansion discovery</x:v>
      </x:c>
      <x:c r="F834" s="14" t="str">
        <x:v>I3</x:v>
      </x:c>
      <x:c r="G834" s="14" t="n">
        <x:v>46</x:v>
      </x:c>
      <x:c r="H834" s="14" t="n">
        <x:v>1</x:v>
      </x:c>
      <x:c r="I834" s="14" t="n">
        <x:v>1</x:v>
      </x:c>
      <x:c r="J834" s="18" t="n">
        <x:v>154999900</x:v>
      </x:c>
      <x:c r="K834" s="19" t="n">
        <x:v>45905.52243931713</x:v>
      </x:c>
      <x:c r="L834" s="19" t="n">
        <x:v>46387</x:v>
      </x:c>
      <x:c r="M83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(Протиаварійні заходи для забезпечення безпечної експлуатації шляхопроводу по вул. Олександри Екстер через залізничні колії швидкісного трамваю в м. Києві)</x:v>
      </x:c>
      <x:c r="N834" s="15" t="str">
        <x:v>https://prozorro.gov.ua/tender/UA-2025-08-08-001211-a</x:v>
      </x:c>
    </x:row>
    <x:row r="835">
      <x:c r="A835" s="14" t="n">
        <x:v>831</x:v>
      </x:c>
      <x:c r="B835" s="14" t="str">
        <x:v>ТОВАРИСТВО З ОБМЕЖЕНОЮ ВІДПОВІДАЛЬНІСТЮ "ФАІРГРУПСЕК'ЮРІТІ"</x:v>
      </x:c>
      <x:c r="C835" s="14" t="str">
        <x:v>36727061</x:v>
      </x:c>
      <x:c r="D835" s="14" t="str">
        <x:v>Безпека / СКУД / CCTV</x:v>
      </x:c>
      <x:c r="E835" s="14" t="str">
        <x:v>Expansion discovery</x:v>
      </x:c>
      <x:c r="F835" s="14" t="str">
        <x:v>I3</x:v>
      </x:c>
      <x:c r="G835" s="14" t="n">
        <x:v>46</x:v>
      </x:c>
      <x:c r="H835" s="14" t="n">
        <x:v>1</x:v>
      </x:c>
      <x:c r="I835" s="14" t="n">
        <x:v>1</x:v>
      </x:c>
      <x:c r="J835" s="18" t="n">
        <x:v>43120</x:v>
      </x:c>
      <x:c r="K835" s="19" t="n">
        <x:v>46148.28008561343</x:v>
      </x:c>
      <x:c r="L835" s="19" t="n">
        <x:v>46387</x:v>
      </x:c>
      <x:c r="M835" s="15" t="str">
        <x:v>Послуга з монтажу системи контролю доступу (домофон) на об’єкті Замовника</x:v>
      </x:c>
      <x:c r="N835" s="15" t="str">
        <x:v>https://prozorro.gov.ua/tender/UA-2026-05-06-001383-a</x:v>
      </x:c>
    </x:row>
    <x:row r="836">
      <x:c r="A836" s="14" t="n">
        <x:v>832</x:v>
      </x:c>
      <x:c r="B836" s="14" t="str">
        <x:v>ТОВАРИСТВО З ОБМЕЖЕНОЮ ВІДПОВІДАЛЬНІСТЮ "ХМЕЛЬНИЦЬКИЙ - ПОЖЕЖНЕ СПОСТЕРЕЖЕННЯ"</x:v>
      </x:c>
      <x:c r="C836" s="14" t="str">
        <x:v>33071974</x:v>
      </x:c>
      <x:c r="D836" s="14" t="str">
        <x:v>Пожежогасіння</x:v>
      </x:c>
      <x:c r="E836" s="14" t="str">
        <x:v>Expansion discovery</x:v>
      </x:c>
      <x:c r="F836" s="14" t="str">
        <x:v>I3</x:v>
      </x:c>
      <x:c r="G836" s="14" t="n">
        <x:v>46</x:v>
      </x:c>
      <x:c r="H836" s="14" t="n">
        <x:v>1</x:v>
      </x:c>
      <x:c r="I836" s="14" t="n">
        <x:v>1</x:v>
      </x:c>
      <x:c r="J836" s="18" t="n">
        <x:v>43110.2</x:v>
      </x:c>
      <x:c r="K836" s="19" t="n">
        <x:v>46178.442513761576</x:v>
      </x:c>
      <x:c r="L836" s="19" t="n">
        <x:v>46387</x:v>
      </x:c>
      <x:c r="M836" s="15" t="str">
        <x:v>Послуги з монтажу системи пожежної сигналізації в приміщенні МКП "Хмельницькводоканал" за адресою: м.Хмельницький, вул. Водопровідна, 75</x:v>
      </x:c>
      <x:c r="N836" s="15" t="str">
        <x:v>https://prozorro.gov.ua/tender/UA-2026-06-05-007391-a</x:v>
      </x:c>
    </x:row>
    <x:row r="837">
      <x:c r="A837" s="14" t="n">
        <x:v>833</x:v>
      </x:c>
      <x:c r="B837" s="14" t="str">
        <x:v>Товариство з обмеженою відповідальністю «КРИВБАСПРОЕКТ»</x:v>
      </x:c>
      <x:c r="C837" s="14" t="str">
        <x:v>45563913</x:v>
      </x:c>
      <x:c r="D837" s="14" t="str">
        <x:v>Зовнішні мережі</x:v>
      </x:c>
      <x:c r="E837" s="14" t="str">
        <x:v>Expansion discovery</x:v>
      </x:c>
      <x:c r="F837" s="14" t="str">
        <x:v>I3</x:v>
      </x:c>
      <x:c r="G837" s="14" t="n">
        <x:v>46</x:v>
      </x:c>
      <x:c r="H837" s="14" t="n">
        <x:v>2</x:v>
      </x:c>
      <x:c r="I837" s="14" t="n">
        <x:v>1</x:v>
      </x:c>
      <x:c r="J837" s="18" t="n">
        <x:v>153183.89</x:v>
      </x:c>
      <x:c r="K837" s="19" t="n">
        <x:v>45987.33007293982</x:v>
      </x:c>
      <x:c r="L837" s="19" t="n">
        <x:v>46022</x:v>
      </x:c>
      <x:c r="M837" s="15" t="str">
        <x:v>Коригування робочої документації за об'єктом "Нове будівництво господарсько-побутової самопливної каналізаційної мережі та каналізаційної насосної станції з напірним колектором  за адресою: Дніпропетровська область, м.Кривий Ріг, вул.Одеська в Саксаганському районі"</x:v>
      </x:c>
      <x:c r="N837" s="15" t="str">
        <x:v>https://prozorro.gov.ua/tender/UA-2025-11-26-002174-a</x:v>
      </x:c>
    </x:row>
    <x:row r="838">
      <x:c r="A838" s="14" t="n">
        <x:v>834</x:v>
      </x:c>
      <x:c r="B838" s="14" t="str">
        <x:v>ТРЕТЯКОВ ОЛЕКСАНДР МИКОЛАЙОВИЧ</x:v>
      </x:c>
      <x:c r="C838" s="14" t="str">
        <x:v>3024120575</x:v>
      </x:c>
      <x:c r="D838" s="14" t="str">
        <x:v>Електромонтаж</x:v>
      </x:c>
      <x:c r="E838" s="14" t="str">
        <x:v>Pilot now</x:v>
      </x:c>
      <x:c r="F838" s="14" t="str">
        <x:v>I3</x:v>
      </x:c>
      <x:c r="G838" s="14" t="n">
        <x:v>46</x:v>
      </x:c>
      <x:c r="H838" s="14" t="n">
        <x:v>1</x:v>
      </x:c>
      <x:c r="I838" s="14" t="n">
        <x:v>1</x:v>
      </x:c>
      <x:c r="J838" s="18" t="n">
        <x:v>69326</x:v>
      </x:c>
      <x:c r="K838" s="19" t="n">
        <x:v>46203.42682944444</x:v>
      </x:c>
      <x:c r="L838" s="19" t="n">
        <x:v>46387</x:v>
      </x:c>
      <x:c r="M838" s="15" t="str">
        <x:v>Електромонтажні роботи</x:v>
      </x:c>
      <x:c r="N838" s="15" t="str">
        <x:v>https://prozorro.gov.ua/tender/UA-2026-06-30-006602-a</x:v>
      </x:c>
    </x:row>
    <x:row r="839">
      <x:c r="A839" s="14" t="n">
        <x:v>835</x:v>
      </x:c>
      <x:c r="B839" s="14" t="str">
        <x:v>УПРАВЛІННЯ ПОЛІЦІЇ ОХОРОНИ В КІРОВОГРАДСЬКІЙ ОБЛАСТІ</x:v>
      </x:c>
      <x:c r="C839" s="14" t="str">
        <x:v>40109000</x:v>
      </x:c>
      <x:c r="D839" s="14" t="str">
        <x:v>Безпека / СКУД / CCTV</x:v>
      </x:c>
      <x:c r="E839" s="14" t="str">
        <x:v>Expansion discovery</x:v>
      </x:c>
      <x:c r="F839" s="14" t="str">
        <x:v>I3</x:v>
      </x:c>
      <x:c r="G839" s="14" t="n">
        <x:v>46</x:v>
      </x:c>
      <x:c r="H839" s="14" t="n">
        <x:v>1</x:v>
      </x:c>
      <x:c r="I839" s="14" t="n">
        <x:v>1</x:v>
      </x:c>
      <x:c r="J839" s="18" t="n">
        <x:v>60251.2</x:v>
      </x:c>
      <x:c r="K839" s="19" t="n">
        <x:v>46182.51376396991</x:v>
      </x:c>
      <x:c r="L839" s="19" t="n">
        <x:v>46387</x:v>
      </x:c>
      <x:c r="M839" s="15" t="str">
        <x:v>Монтаж робіт системи відеоспостереження</x:v>
      </x:c>
      <x:c r="N839" s="15" t="str">
        <x:v>https://prozorro.gov.ua/tender/UA-2026-06-09-008927-a</x:v>
      </x:c>
    </x:row>
    <x:row r="840">
      <x:c r="A840" s="14" t="n">
        <x:v>836</x:v>
      </x:c>
      <x:c r="B840" s="14" t="str">
        <x:v>ФІЛІЯ ДП "УКРДЕРЖБУДЕКСПЕРТИЗА" У ЗАКАРПАТСЬКІЙ ОБЛАСТІ</x:v>
      </x:c>
      <x:c r="C840" s="14" t="str">
        <x:v>35851205</x:v>
      </x:c>
      <x:c r="D840" s="14" t="str">
        <x:v>Сонячна енергетика</x:v>
      </x:c>
      <x:c r="E840" s="14" t="str">
        <x:v>Expansion discovery</x:v>
      </x:c>
      <x:c r="F840" s="14" t="str">
        <x:v>I3</x:v>
      </x:c>
      <x:c r="G840" s="14" t="n">
        <x:v>46</x:v>
      </x:c>
      <x:c r="H840" s="14" t="n">
        <x:v>1</x:v>
      </x:c>
      <x:c r="I840" s="14" t="n">
        <x:v>1</x:v>
      </x:c>
      <x:c r="J840" s="18" t="n">
        <x:v>9173.78</x:v>
      </x:c>
      <x:c r="K840" s="19" t="n">
        <x:v>46148.38122380787</x:v>
      </x:c>
      <x:c r="L840" s="19" t="n">
        <x:v>46387</x:v>
      </x:c>
      <x:c r="M840"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x:v>
      </x:c>
      <x:c r="N840" s="15" t="str">
        <x:v>https://prozorro.gov.ua/tender/UA-2026-05-06-005839-a</x:v>
      </x:c>
    </x:row>
    <x:row r="841">
      <x:c r="A841" s="14" t="n">
        <x:v>837</x:v>
      </x:c>
      <x:c r="B841" s="14" t="str">
        <x:v>ЧЕРНІВЕЦЬКЕ ОБЛАСНЕ СПЕЦІАЛІЗОВАНЕ РЕМОНТНО-БУДІВЕЛЬНЕ ПІДПРИЄМСТВО ПРОТИПОЖЕЖНИХ РОБІТ ДОБРОВІЛЬНОГО ПОЖЕЖНОГО ТОВАРИСТВА УКРАЇНИ</x:v>
      </x:c>
      <x:c r="C841" s="14" t="str">
        <x:v>00183176</x:v>
      </x:c>
      <x:c r="D841" s="14" t="str">
        <x:v>Пасивний вогнезахист</x:v>
      </x:c>
      <x:c r="E841" s="14" t="str">
        <x:v>Expansion discovery</x:v>
      </x:c>
      <x:c r="F841" s="14" t="str">
        <x:v>I3</x:v>
      </x:c>
      <x:c r="G841" s="14" t="n">
        <x:v>46</x:v>
      </x:c>
      <x:c r="H841" s="14" t="n">
        <x:v>1</x:v>
      </x:c>
      <x:c r="I841" s="14" t="n">
        <x:v>1</x:v>
      </x:c>
      <x:c r="J841" s="18" t="n">
        <x:v>99868.86</x:v>
      </x:c>
      <x:c r="K841" s="19" t="n">
        <x:v>46195.41080334491</x:v>
      </x:c>
      <x:c r="L841" s="19" t="n">
        <x:v>46387</x:v>
      </x:c>
      <x:c r="M841" s="15" t="str">
        <x:v>Послуги протипожежного призначення-Вогнезахисна обробка дерев"яних конструкцій горища в приміщеннях Чернівецького ВПУР</x:v>
      </x:c>
      <x:c r="N841" s="15" t="str">
        <x:v>https://prozorro.gov.ua/tender/UA-2026-06-22-006172-a</x:v>
      </x:c>
    </x:row>
    <x:row r="842">
      <x:c r="A842" s="14" t="n">
        <x:v>838</x:v>
      </x:c>
      <x:c r="B842" s="14" t="str">
        <x:v>ЯНОВЧИК ВІКТОРІЯ ІВАНІВНА</x:v>
      </x:c>
      <x:c r="C842" s="14" t="str">
        <x:v>3181502581</x:v>
      </x:c>
      <x:c r="D842" s="14" t="str">
        <x:v>Блискавкозахист / заземлення</x:v>
      </x:c>
      <x:c r="E842" s="14" t="str">
        <x:v>Pilot now</x:v>
      </x:c>
      <x:c r="F842" s="14" t="str">
        <x:v>I3</x:v>
      </x:c>
      <x:c r="G842" s="14" t="n">
        <x:v>46</x:v>
      </x:c>
      <x:c r="H842" s="14" t="n">
        <x:v>1</x:v>
      </x:c>
      <x:c r="I842" s="14" t="n">
        <x:v>1</x:v>
      </x:c>
      <x:c r="J842" s="18" t="n">
        <x:v>67774</x:v>
      </x:c>
      <x:c r="K842" s="19" t="n">
        <x:v>46164.389191574075</x:v>
      </x:c>
      <x:c r="L842" s="19" t="n">
        <x:v>46387</x:v>
      </x:c>
      <x:c r="M842" s="15" t="str">
        <x:v>Проведення монтажу систему блискавкозахисту  будівлі закладу дошкільної освіти, яка розташована за адресою с.Невицьке, вул. Садова, 124 Ужгородського району, Закарпатської області (додаткові кошти)</x:v>
      </x:c>
      <x:c r="N842" s="15" t="str">
        <x:v>https://prozorro.gov.ua/tender/UA-2026-05-22-005705-a</x:v>
      </x:c>
    </x:row>
    <x:row r="843">
      <x:c r="A843" s="14" t="n">
        <x:v>839</x:v>
      </x:c>
      <x:c r="B843" s="14" t="str">
        <x:v>ДРОБУШ ЄВГЕН ВАСИЛЬОВИЧ</x:v>
      </x:c>
      <x:c r="C843" s="14" t="str">
        <x:v>3005918273</x:v>
      </x:c>
      <x:c r="D843" s="14" t="str">
        <x:v>Внутрішні сантехнічні системи</x:v>
      </x:c>
      <x:c r="E843" s="14" t="str">
        <x:v>Pilot now</x:v>
      </x:c>
      <x:c r="F843" s="14" t="str">
        <x:v>I3</x:v>
      </x:c>
      <x:c r="G843" s="14" t="n">
        <x:v>46</x:v>
      </x:c>
      <x:c r="H843" s="14" t="n">
        <x:v>1</x:v>
      </x:c>
      <x:c r="I843" s="14" t="n">
        <x:v>0</x:v>
      </x:c>
      <x:c r="J843" s="18" t="n">
        <x:v>46855.93</x:v>
      </x:c>
      <x:c r="K843" s="19" t="n">
        <x:v>46167.39012002315</x:v>
      </x:c>
      <x:c r="L843" s="19" t="n">
        <x:v>46207</x:v>
      </x:c>
      <x:c r="M843"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x:v>
      </x:c>
      <x:c r="N843" s="15" t="str">
        <x:v>https://prozorro.gov.ua/tender/UA-2026-05-25-005490-a</x:v>
      </x:c>
    </x:row>
    <x:row r="844">
      <x:c r="A844" s="14" t="n">
        <x:v>840</x:v>
      </x:c>
      <x:c r="B844" s="14" t="str">
        <x:v>ЗАХІДНИЙ РЕГІОНАЛЬНИЙ ЦЕНТР СТРАХОВОГО ФОНДУ ДОКУМЕНТАЦІЇ</x:v>
      </x:c>
      <x:c r="C844" s="14" t="str">
        <x:v>14321191</x:v>
      </x:c>
      <x:c r="D844" s="14" t="str">
        <x:v>Теплові мережі</x:v>
      </x:c>
      <x:c r="E844" s="14" t="str">
        <x:v>Expansion discovery</x:v>
      </x:c>
      <x:c r="F844" s="14" t="str">
        <x:v>I3</x:v>
      </x:c>
      <x:c r="G844" s="14" t="n">
        <x:v>46</x:v>
      </x:c>
      <x:c r="H844" s="14" t="n">
        <x:v>1</x:v>
      </x:c>
      <x:c r="I844" s="14" t="n">
        <x:v>0</x:v>
      </x:c>
      <x:c r="J844" s="18" t="n">
        <x:v>16479.91</x:v>
      </x:c>
      <x:c r="K844" s="19" t="n">
        <x:v>46139.26210053241</x:v>
      </x:c>
      <x:c r="L844" s="19" t="n">
        <x:v>46172</x:v>
      </x:c>
      <x:c r="M844" s="15" t="str">
        <x:v>Виконання робіт з виготовлення документів страхового фонду документації (СФД) по об’єкту: «Реконструкція теплової мережі від магістральних теплових мереж до станції знезалізнення води»</x:v>
      </x:c>
      <x:c r="N844" s="15" t="str">
        <x:v>https://prozorro.gov.ua/tender/UA-2026-04-27-000608-a</x:v>
      </x:c>
    </x:row>
    <x:row r="845">
      <x:c r="A845" s="14" t="n">
        <x:v>841</x:v>
      </x:c>
      <x:c r="B845" s="14" t="str">
        <x:v>ЛЕУС ВІТАЛІЙ МИКОЛАЙОВИЧ</x:v>
      </x:c>
      <x:c r="C845" s="14" t="str">
        <x:v>2232101130</x:v>
      </x:c>
      <x:c r="D845" s="14" t="str">
        <x:v>Зливова каналізація / дренаж</x:v>
      </x:c>
      <x:c r="E845" s="14" t="str">
        <x:v>Expansion discovery</x:v>
      </x:c>
      <x:c r="F845" s="14" t="str">
        <x:v>I3</x:v>
      </x:c>
      <x:c r="G845" s="14" t="n">
        <x:v>46</x:v>
      </x:c>
      <x:c r="H845" s="14" t="n">
        <x:v>1</x:v>
      </x:c>
      <x:c r="I845" s="14" t="n">
        <x:v>0</x:v>
      </x:c>
      <x:c r="J845" s="18" t="n">
        <x:v>57012.65</x:v>
      </x:c>
      <x:c r="K845" s="19" t="n">
        <x:v>46212.52986858796</x:v>
      </x:c>
      <x:c r="L845" s="19" t="n">
        <x:v>46235</x:v>
      </x:c>
      <x:c r="M845"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x:v>
      </x:c>
      <x:c r="N845" s="15" t="str">
        <x:v>https://prozorro.gov.ua/tender/UA-2026-07-09-009043-a</x:v>
      </x:c>
    </x:row>
    <x:row r="846">
      <x:c r="A846" s="14" t="n">
        <x:v>842</x:v>
      </x:c>
      <x:c r="B846" s="14" t="str">
        <x:v>МАРТИНЮК ВАСИЛЬ ІВАНОВИЧ</x:v>
      </x:c>
      <x:c r="C846" s="14" t="str">
        <x:v>1904417691</x:v>
      </x:c>
      <x:c r="D846" s="14" t="str">
        <x:v>Пасивний вогнезахист</x:v>
      </x:c>
      <x:c r="E846" s="14" t="str">
        <x:v>Expansion discovery</x:v>
      </x:c>
      <x:c r="F846" s="14" t="str">
        <x:v>I3</x:v>
      </x:c>
      <x:c r="G846" s="14" t="n">
        <x:v>46</x:v>
      </x:c>
      <x:c r="H846" s="14" t="n">
        <x:v>1</x:v>
      </x:c>
      <x:c r="I846" s="14" t="n">
        <x:v>0</x:v>
      </x:c>
      <x:c r="J846" s="18" t="n">
        <x:v>73808.52</x:v>
      </x:c>
      <x:c r="K846" s="19" t="n">
        <x:v>46175.602759733796</x:v>
      </x:c>
      <x:c r="L846" s="19" t="n">
        <x:v>46233</x:v>
      </x:c>
      <x:c r="M846" s="15" t="str">
        <x:v>Послуги вогнезахисної обробки дерев'яних конструкцій горища будівлі закладу</x:v>
      </x:c>
      <x:c r="N846" s="15" t="str">
        <x:v>https://prozorro.gov.ua/tender/UA-2026-06-02-013254-a</x:v>
      </x:c>
    </x:row>
    <x:row r="847">
      <x:c r="A847" s="14" t="n">
        <x:v>843</x:v>
      </x:c>
      <x:c r="B847" s="14" t="str">
        <x:v>МОСІЄНКО НАТАЛІЯ ГРИГОРІВНА</x:v>
      </x:c>
      <x:c r="C847" s="14" t="str">
        <x:v>2612509420</x:v>
      </x:c>
      <x:c r="D847" s="14" t="str">
        <x:v>Металоконструкції</x:v>
      </x:c>
      <x:c r="E847" s="14" t="str">
        <x:v>Expansion discovery</x:v>
      </x:c>
      <x:c r="F847" s="14" t="str">
        <x:v>I3</x:v>
      </x:c>
      <x:c r="G847" s="14" t="n">
        <x:v>46</x:v>
      </x:c>
      <x:c r="H847" s="14" t="n">
        <x:v>1</x:v>
      </x:c>
      <x:c r="I847" s="14" t="n">
        <x:v>0</x:v>
      </x:c>
      <x:c r="J847" s="18" t="n">
        <x:v>10195.2</x:v>
      </x:c>
      <x:c r="K847" s="19" t="n">
        <x:v>46148.310416134256</x:v>
      </x:c>
      <x:c r="L847" s="19" t="n">
        <x:v>46234</x:v>
      </x:c>
      <x:c r="M847" s="15" t="str">
        <x:v>Послуги з демонтажу та встановлення металоконструкцій для пам'ятно-інформаційних банерів</x:v>
      </x:c>
      <x:c r="N847" s="15" t="str">
        <x:v>https://prozorro.gov.ua/tender/UA-2026-05-06-002583-a</x:v>
      </x:c>
    </x:row>
    <x:row r="848">
      <x:c r="A848" s="14" t="n">
        <x:v>844</x:v>
      </x:c>
      <x:c r="B848" s="14" t="str">
        <x:v>ПЕТРОВ ДМИТРО ОЛЕКСАНДРОВИЧ</x:v>
      </x:c>
      <x:c r="C848" s="14" t="str">
        <x:v>2464303831</x:v>
      </x:c>
      <x:c r="D848" s="14" t="str">
        <x:v>HVAC / ОВіК</x:v>
      </x:c>
      <x:c r="E848" s="14" t="str">
        <x:v>Pilot now</x:v>
      </x:c>
      <x:c r="F848" s="14" t="str">
        <x:v>I3</x:v>
      </x:c>
      <x:c r="G848" s="14" t="n">
        <x:v>46</x:v>
      </x:c>
      <x:c r="H848" s="14" t="n">
        <x:v>2</x:v>
      </x:c>
      <x:c r="I848" s="14" t="n">
        <x:v>0</x:v>
      </x:c>
      <x:c r="J848" s="18" t="n">
        <x:v>26676.46</x:v>
      </x:c>
      <x:c r="K848" s="19" t="n">
        <x:v>46183.259785636576</x:v>
      </x:c>
      <x:c r="L848" s="19" t="n">
        <x:v>46203</x:v>
      </x:c>
      <x:c r="M848" s="15" t="str">
        <x:v>Послуги з демонтажу та монтажу системи аспірації</x:v>
      </x:c>
      <x:c r="N848" s="15" t="str">
        <x:v>https://prozorro.gov.ua/tender/UA-2026-06-10-000726-a</x:v>
      </x:c>
    </x:row>
    <x:row r="849">
      <x:c r="A849" s="14" t="n">
        <x:v>845</x:v>
      </x:c>
      <x:c r="B849" s="14" t="str">
        <x:v>ПРИВАТНЕ ПІДПРИЄМСТВО "БУДМАЙСТЕР"</x:v>
      </x:c>
      <x:c r="C849" s="14" t="str">
        <x:v>31161259</x:v>
      </x:c>
      <x:c r="D849" s="14" t="str">
        <x:v>Електромонтаж</x:v>
      </x:c>
      <x:c r="E849" s="14" t="str">
        <x:v>Pilot now</x:v>
      </x:c>
      <x:c r="F849" s="14" t="str">
        <x:v>I3</x:v>
      </x:c>
      <x:c r="G849" s="14" t="n">
        <x:v>46</x:v>
      </x:c>
      <x:c r="H849" s="14" t="n">
        <x:v>2</x:v>
      </x:c>
      <x:c r="I849" s="14" t="n">
        <x:v>0</x:v>
      </x:c>
      <x:c r="J849" s="18" t="n">
        <x:v>17272</x:v>
      </x:c>
      <x:c r="K849" s="19" t="n">
        <x:v>46153.587129837964</x:v>
      </x:c>
      <x:c r="L849" s="19" t="n">
        <x:v>46203</x:v>
      </x:c>
      <x:c r="M849"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x:v>
      </x:c>
      <x:c r="N849" s="15" t="str">
        <x:v>https://prozorro.gov.ua/tender/UA-2026-05-11-013243-a</x:v>
      </x:c>
    </x:row>
    <x:row r="850">
      <x:c r="A850" s="14" t="n">
        <x:v>846</x:v>
      </x:c>
      <x:c r="B850" s="14" t="str">
        <x:v>Приватне підприємство "ВВК-Стиль"</x:v>
      </x:c>
      <x:c r="C850" s="14" t="str">
        <x:v>35860052</x:v>
      </x:c>
      <x:c r="D850" s="14" t="str">
        <x:v>Газові мережі</x:v>
      </x:c>
      <x:c r="E850" s="14" t="str">
        <x:v>Expansion discovery</x:v>
      </x:c>
      <x:c r="F850" s="14" t="str">
        <x:v>I3</x:v>
      </x:c>
      <x:c r="G850" s="14" t="n">
        <x:v>46</x:v>
      </x:c>
      <x:c r="H850" s="14" t="n">
        <x:v>1</x:v>
      </x:c>
      <x:c r="I850" s="14" t="n">
        <x:v>0</x:v>
      </x:c>
      <x:c r="J850" s="18" t="n">
        <x:v>17194277.98</x:v>
      </x:c>
      <x:c r="K850" s="19" t="n">
        <x:v>45833.50682054398</x:v>
      </x:c>
      <x:c r="L850" s="19" t="n">
        <x:v>46016</x:v>
      </x:c>
      <x:c r="M850"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x:v>
      </x:c>
      <x:c r="N850" s="15" t="str">
        <x:v>https://prozorro.gov.ua/tender/UA-2025-06-03-006498-a</x:v>
      </x:c>
    </x:row>
    <x:row r="851">
      <x:c r="A851" s="14" t="n">
        <x:v>847</x:v>
      </x:c>
      <x:c r="B851" s="14" t="str">
        <x:v>Приватне підприємство "Електромонтаж-ТС"</x:v>
      </x:c>
      <x:c r="C851" s="14" t="str">
        <x:v>37690847</x:v>
      </x:c>
      <x:c r="D851" s="14" t="str">
        <x:v>Зовнішнє освітлення</x:v>
      </x:c>
      <x:c r="E851" s="14" t="str">
        <x:v>Pilot now</x:v>
      </x:c>
      <x:c r="F851" s="14" t="str">
        <x:v>I3</x:v>
      </x:c>
      <x:c r="G851" s="14" t="n">
        <x:v>46</x:v>
      </x:c>
      <x:c r="H851" s="14" t="n">
        <x:v>1</x:v>
      </x:c>
      <x:c r="I851" s="14" t="n">
        <x:v>0</x:v>
      </x:c>
      <x:c r="J851" s="18" t="n">
        <x:v>23865.6</x:v>
      </x:c>
      <x:c r="K851" s="19" t="n">
        <x:v>46188.48525194445</x:v>
      </x:c>
      <x:c r="L851" s="19" t="n">
        <x:v>46225</x:v>
      </x:c>
      <x:c r="M851" s="15" t="str">
        <x:v>Приєднання до електричних мереж по об’єкту: Нове будівництво мереж зовнішнього освітлення по вул. Східній, 1-му, 2-му, 3-му провулках Східних в м. Вінниці</x:v>
      </x:c>
      <x:c r="N851" s="15" t="str">
        <x:v>https://prozorro.gov.ua/tender/UA-2026-06-15-008177-a</x:v>
      </x:c>
    </x:row>
    <x:row r="852">
      <x:c r="A852" s="14" t="n">
        <x:v>848</x:v>
      </x:c>
      <x:c r="B852" s="14" t="str">
        <x:v>Приватне підприємство «Чернівціелектромонтаж»</x:v>
      </x:c>
      <x:c r="C852" s="14" t="str">
        <x:v>31963973</x:v>
      </x:c>
      <x:c r="D852" s="14" t="str">
        <x:v>Електромонтаж</x:v>
      </x:c>
      <x:c r="E852" s="14" t="str">
        <x:v>Pilot now</x:v>
      </x:c>
      <x:c r="F852" s="14" t="str">
        <x:v>I3</x:v>
      </x:c>
      <x:c r="G852" s="14" t="n">
        <x:v>46</x:v>
      </x:c>
      <x:c r="H852" s="14" t="n">
        <x:v>1</x:v>
      </x:c>
      <x:c r="I852" s="14" t="n">
        <x:v>0</x:v>
      </x:c>
      <x:c r="J852" s="18" t="n">
        <x:v>27080.4</x:v>
      </x:c>
      <x:c r="K852" s="19" t="n">
        <x:v>46190.2865359375</x:v>
      </x:c>
      <x:c r="L852" s="19" t="n">
        <x:v>46203.28797453704</x:v>
      </x:c>
      <x:c r="M852" s="15" t="str">
        <x:v>Електромонтажні роботи</x:v>
      </x:c>
      <x:c r="N852" s="15" t="str">
        <x:v>https://prozorro.gov.ua/tender/UA-2026-06-17-001453-a</x:v>
      </x:c>
    </x:row>
    <x:row r="853">
      <x:c r="A853" s="14" t="n">
        <x:v>849</x:v>
      </x:c>
      <x:c r="B853" s="14" t="str">
        <x:v>СТРІЛЕЦЬ ВАЛЕРІЙ ВІКТОРОВИЧ</x:v>
      </x:c>
      <x:c r="C853" s="14" t="str">
        <x:v>3014424599</x:v>
      </x:c>
      <x:c r="D853" s="14" t="str">
        <x:v>Пасивний вогнезахист</x:v>
      </x:c>
      <x:c r="E853" s="14" t="str">
        <x:v>Expansion discovery</x:v>
      </x:c>
      <x:c r="F853" s="14" t="str">
        <x:v>I3</x:v>
      </x:c>
      <x:c r="G853" s="14" t="n">
        <x:v>46</x:v>
      </x:c>
      <x:c r="H853" s="14" t="n">
        <x:v>1</x:v>
      </x:c>
      <x:c r="I853" s="14" t="n">
        <x:v>0</x:v>
      </x:c>
      <x:c r="J853" s="18" t="n">
        <x:v>64000</x:v>
      </x:c>
      <x:c r="K853" s="19" t="n">
        <x:v>46192.360662037034</x:v>
      </x:c>
      <x:c r="L853" s="19" t="n">
        <x:v>46206</x:v>
      </x:c>
      <x:c r="M853" s="15" t="str">
        <x:v>Послуги з розробки робочого проекту: послуги з вогнезахисної обробки дерев’яних конструкцій будівлі</x:v>
      </x:c>
      <x:c r="N853" s="15" t="str">
        <x:v>https://prozorro.gov.ua/tender/UA-2026-06-19-004898-a</x:v>
      </x:c>
    </x:row>
    <x:row r="854">
      <x:c r="A854" s="14" t="n">
        <x:v>850</x:v>
      </x:c>
      <x:c r="B854" s="14" t="str">
        <x:v>СТРУКТУРНА ОДИНИЦЯ "ВІННИЦЬКІ СХІДНІ ЕЛЕКТРИЧНІ МЕРЕЖІ" АКЦІОНЕРНОГО ТОВАРИСТВА "ВІННИЦЯОБЛЕНЕРГО"</x:v>
      </x:c>
      <x:c r="C854" s="14" t="str">
        <x:v>25510216</x:v>
      </x:c>
      <x:c r="D854" s="14" t="str">
        <x:v>Електромонтаж</x:v>
      </x:c>
      <x:c r="E854" s="14" t="str">
        <x:v>Pilot now</x:v>
      </x:c>
      <x:c r="F854" s="14" t="str">
        <x:v>I3</x:v>
      </x:c>
      <x:c r="G854" s="14" t="n">
        <x:v>46</x:v>
      </x:c>
      <x:c r="H854" s="14" t="n">
        <x:v>1</x:v>
      </x:c>
      <x:c r="I854" s="14" t="n">
        <x:v>0</x:v>
      </x:c>
      <x:c r="J854" s="18" t="n">
        <x:v>1915.7</x:v>
      </x:c>
      <x:c r="K854" s="19" t="n">
        <x:v>46211.541892581015</x:v>
      </x:c>
      <x:c r="L854" s="19" t="n">
        <x:v>46234</x:v>
      </x:c>
      <x:c r="M854" s="15" t="str">
        <x:v>Електромонтажні роботи</x:v>
      </x:c>
      <x:c r="N854" s="15" t="str">
        <x:v>https://prozorro.gov.ua/tender/UA-2026-07-08-009631-a</x:v>
      </x:c>
    </x:row>
    <x:row r="855">
      <x:c r="A855" s="14" t="n">
        <x:v>851</x:v>
      </x:c>
      <x:c r="B855" s="14" t="str">
        <x:v>ТзОВ "ВВП-Будмонтаж"</x:v>
      </x:c>
      <x:c r="C855" s="14" t="str">
        <x:v>42203966</x:v>
      </x:c>
      <x:c r="D855" s="14" t="str">
        <x:v>Насосні станції</x:v>
      </x:c>
      <x:c r="E855" s="14" t="str">
        <x:v>Expansion discovery</x:v>
      </x:c>
      <x:c r="F855" s="14" t="str">
        <x:v>I3</x:v>
      </x:c>
      <x:c r="G855" s="14" t="n">
        <x:v>46</x:v>
      </x:c>
      <x:c r="H855" s="14" t="n">
        <x:v>1</x:v>
      </x:c>
      <x:c r="I855" s="14" t="n">
        <x:v>0</x:v>
      </x:c>
      <x:c r="J855" s="18" t="n">
        <x:v>879559.2</x:v>
      </x:c>
      <x:c r="K855" s="19" t="n">
        <x:v>46094.46366666667</x:v>
      </x:c>
      <x:c r="L855" s="19" t="n">
        <x:v>46142.423171296294</x:v>
      </x:c>
      <x:c r="M855" s="15" t="str">
        <x:v>Реконструкція системи електропостачання (встановлення сонячної електростанції) на земельній ділянці Каналізаційної насосної станції №2 КП "Нововолинськводоканал" НМР, що знаходиться за фізичною адресою: с.Шахтарське, вул. Дубинська, 5а"</x:v>
      </x:c>
      <x:c r="N855" s="15" t="str">
        <x:v>https://prozorro.gov.ua/tender/UA-2026-03-13-007012-a</x:v>
      </x:c>
    </x:row>
    <x:row r="856">
      <x:c r="A856" s="14" t="n">
        <x:v>852</x:v>
      </x:c>
      <x:c r="B856" s="14" t="str">
        <x:v>ТОВ "ВОТІ"</x:v>
      </x:c>
      <x:c r="C856" s="14" t="str">
        <x:v>43536694</x:v>
      </x:c>
      <x:c r="D856" s="14" t="str">
        <x:v>Насосні станції</x:v>
      </x:c>
      <x:c r="E856" s="14" t="str">
        <x:v>Expansion discovery</x:v>
      </x:c>
      <x:c r="F856" s="14" t="str">
        <x:v>I3</x:v>
      </x:c>
      <x:c r="G856" s="14" t="n">
        <x:v>46</x:v>
      </x:c>
      <x:c r="H856" s="14" t="n">
        <x:v>3</x:v>
      </x:c>
      <x:c r="I856" s="14" t="n">
        <x:v>0</x:v>
      </x:c>
      <x:c r="J856" s="18" t="n">
        <x:v>30000</x:v>
      </x:c>
      <x:c r="K856" s="19" t="n">
        <x:v>45749.274106689816</x:v>
      </x:c>
      <x:c r="L856" s="19" t="n">
        <x:v>46022.31363425926</x:v>
      </x:c>
      <x:c r="M856" s="15" t="str">
        <x:v>Виготовити технічний паспорт закінченого будівництва об'єкту "Реконструкція каналізаційної насосної станції за адресою: с. Шпитьки вул. Покровська, 24-А Бучанського району Київської області."</x:v>
      </x:c>
      <x:c r="N856" s="15" t="str">
        <x:v>https://prozorro.gov.ua/tender/UA-2025-04-02-000953-a</x:v>
      </x:c>
    </x:row>
    <x:row r="857">
      <x:c r="A857" s="14" t="n">
        <x:v>853</x:v>
      </x:c>
      <x:c r="B857" s="14" t="str">
        <x:v>ТОВ "ІнтеграЛіс"</x:v>
      </x:c>
      <x:c r="C857" s="14" t="str">
        <x:v>45614742</x:v>
      </x:c>
      <x:c r="D857" s="14" t="str">
        <x:v>Залізнична інфраструктура</x:v>
      </x:c>
      <x:c r="E857" s="14" t="str">
        <x:v>Expansion discovery</x:v>
      </x:c>
      <x:c r="F857" s="14" t="str">
        <x:v>I3</x:v>
      </x:c>
      <x:c r="G857" s="14" t="n">
        <x:v>46</x:v>
      </x:c>
      <x:c r="H857" s="14" t="n">
        <x:v>1</x:v>
      </x:c>
      <x:c r="I857" s="14" t="n">
        <x:v>0</x:v>
      </x:c>
      <x:c r="J857" s="18" t="n">
        <x:v>12100800</x:v>
      </x:c>
      <x:c r="K857" s="19" t="n">
        <x:v>45800.52137228009</x:v>
      </x:c>
      <x:c r="L857" s="19" t="n">
        <x:v>45930</x:v>
      </x:c>
      <x:c r="M857" s="15" t="str">
        <x:v>Матеріали для ремонту залізничних колій </x:v>
      </x:c>
      <x:c r="N857" s="15" t="str">
        <x:v>https://prozorro.gov.ua/tender/UA-2025-05-14-012035-a</x:v>
      </x:c>
    </x:row>
    <x:row r="858">
      <x:c r="A858" s="14" t="n">
        <x:v>854</x:v>
      </x:c>
      <x:c r="B858" s="14" t="str">
        <x:v>ТОВ "ЛМ ЛІФТМЕХАНІКА"</x:v>
      </x:c>
      <x:c r="C858" s="14" t="str">
        <x:v>34933962</x:v>
      </x:c>
      <x:c r="D858" s="14" t="str">
        <x:v>Ліфти та підйомники</x:v>
      </x:c>
      <x:c r="E858" s="14" t="str">
        <x:v>Expansion discovery</x:v>
      </x:c>
      <x:c r="F858" s="14" t="str">
        <x:v>I3</x:v>
      </x:c>
      <x:c r="G858" s="14" t="n">
        <x:v>46</x:v>
      </x:c>
      <x:c r="H858" s="14" t="n">
        <x:v>1</x:v>
      </x:c>
      <x:c r="I858" s="14" t="n">
        <x:v>0</x:v>
      </x:c>
      <x:c r="J858" s="18" t="n">
        <x:v>12250160</x:v>
      </x:c>
      <x:c r="K858" s="19" t="n">
        <x:v>45810.61867200232</x:v>
      </x:c>
      <x:c r="L858" s="19" t="n">
        <x:v>46003</x:v>
      </x:c>
      <x:c r="M858" s="15" t="str">
        <x:v>Технічне переоснащення будівлі Національного банку України в м. Київ, вул. Пухівська, 7-А (заміна двох вантажних ліфтів 3200 кг) - 42410000-3</x:v>
      </x:c>
      <x:c r="N858" s="15" t="str">
        <x:v>https://prozorro.gov.ua/tender/UA-2025-05-16-005620-a</x:v>
      </x:c>
    </x:row>
    <x:row r="859">
      <x:c r="A859" s="14" t="n">
        <x:v>855</x:v>
      </x:c>
      <x:c r="B859" s="14" t="str">
        <x:v>ТОВ "ПРОФБУДМОНТАЖ"</x:v>
      </x:c>
      <x:c r="C859" s="14" t="str">
        <x:v>44940342</x:v>
      </x:c>
      <x:c r="D859" s="14" t="str">
        <x:v>Пасивний вогнезахист</x:v>
      </x:c>
      <x:c r="E859" s="14" t="str">
        <x:v>Expansion discovery</x:v>
      </x:c>
      <x:c r="F859" s="14" t="str">
        <x:v>I3</x:v>
      </x:c>
      <x:c r="G859" s="14" t="n">
        <x:v>46</x:v>
      </x:c>
      <x:c r="H859" s="14" t="n">
        <x:v>1</x:v>
      </x:c>
      <x:c r="I859" s="14" t="n">
        <x:v>0</x:v>
      </x:c>
      <x:c r="J859" s="18" t="n">
        <x:v>99994.72</x:v>
      </x:c>
      <x:c r="K859" s="19" t="n">
        <x:v>46211.24026814815</x:v>
      </x:c>
      <x:c r="L859" s="19" t="n">
        <x:v>46254.2416087963</x:v>
      </x:c>
      <x:c r="M859" s="15" t="str">
        <x:v>Послуги з вогнезахисної обробки дерев'яних конструкцій (ДК 021: 2015: 77220000-8 Послуги з просочування деревини)</x:v>
      </x:c>
      <x:c r="N859" s="15" t="str">
        <x:v>https://prozorro.gov.ua/tender/UA-2026-07-08-000260-a</x:v>
      </x:c>
    </x:row>
    <x:row r="860">
      <x:c r="A860" s="14" t="n">
        <x:v>856</x:v>
      </x:c>
      <x:c r="B860" s="14" t="str">
        <x:v>ТОВ "Укрпожбуд"</x:v>
      </x:c>
      <x:c r="C860" s="14" t="str">
        <x:v>43007135</x:v>
      </x:c>
      <x:c r="D860" s="14" t="str">
        <x:v>Пасивний вогнезахист</x:v>
      </x:c>
      <x:c r="E860" s="14" t="str">
        <x:v>Expansion discovery</x:v>
      </x:c>
      <x:c r="F860" s="14" t="str">
        <x:v>I3</x:v>
      </x:c>
      <x:c r="G860" s="14" t="n">
        <x:v>46</x:v>
      </x:c>
      <x:c r="H860" s="14" t="n">
        <x:v>1</x:v>
      </x:c>
      <x:c r="I860" s="14" t="n">
        <x:v>0</x:v>
      </x:c>
      <x:c r="J860" s="18" t="n">
        <x:v>45965.4</x:v>
      </x:c>
      <x:c r="K860" s="19" t="n">
        <x:v>46189.46294755787</x:v>
      </x:c>
      <x:c r="L860" s="19" t="n">
        <x:v>46218.45502314815</x:v>
      </x:c>
      <x:c r="M860" s="15" t="str">
        <x:v>Вогнезахисна обробка дерев'яних конструкцій горища будівлі</x:v>
      </x:c>
      <x:c r="N860" s="15" t="str">
        <x:v>https://prozorro.gov.ua/tender/UA-2026-06-16-007573-a</x:v>
      </x:c>
    </x:row>
    <x:row r="861">
      <x:c r="A861" s="14" t="n">
        <x:v>857</x:v>
      </x:c>
      <x:c r="B861" s="14" t="str">
        <x:v>ТОВ «ІН-ТРАС»</x:v>
      </x:c>
      <x:c r="C861" s="14" t="str">
        <x:v>40465269</x:v>
      </x:c>
      <x:c r="D861" s="14" t="str">
        <x:v>Ремонт і підсилення бетону</x:v>
      </x:c>
      <x:c r="E861" s="14" t="str">
        <x:v>Expansion discovery</x:v>
      </x:c>
      <x:c r="F861" s="14" t="str">
        <x:v>I3</x:v>
      </x:c>
      <x:c r="G861" s="14" t="n">
        <x:v>46</x:v>
      </x:c>
      <x:c r="H861" s="14" t="n">
        <x:v>1</x:v>
      </x:c>
      <x:c r="I861" s="14" t="n">
        <x:v>0</x:v>
      </x:c>
      <x:c r="J861" s="18" t="n">
        <x:v>1476590.87</x:v>
      </x:c>
      <x:c r="K861" s="19" t="n">
        <x:v>46112.339606724534</x:v>
      </x:c>
      <x:c r="L861" s="19" t="n">
        <x:v>46203</x:v>
      </x:c>
      <x:c r="M861" s="15" t="str">
        <x:v>Код ДК 021:2015 - 45220000-5 Інженерні та будівельні роботи (Капітальний ремонт підстанції «Правобережна» АТ «ЗАПОРІЖЖЯОБЛЕНЕРГО» в частині будівельних робіт з улаштуванням залізобетонних конструкцій. Кабельні конструкції)</x:v>
      </x:c>
      <x:c r="N861" s="15" t="str">
        <x:v>https://prozorro.gov.ua/tender/UA-2026-03-31-003147-a</x:v>
      </x:c>
    </x:row>
    <x:row r="862">
      <x:c r="A862" s="14" t="n">
        <x:v>858</x:v>
      </x:c>
      <x:c r="B862" s="14" t="str">
        <x:v>ТОВАРИСТВО З ОБМЕЖЕНОЮ ВІДПОВІДАЛЬНІСТЮ "БАРЕЛ"</x:v>
      </x:c>
      <x:c r="C862" s="14" t="str">
        <x:v>20459522</x:v>
      </x:c>
      <x:c r="D862" s="14" t="str">
        <x:v>Фасади та скління</x:v>
      </x:c>
      <x:c r="E862" s="14" t="str">
        <x:v>Expansion discovery</x:v>
      </x:c>
      <x:c r="F862" s="14" t="str">
        <x:v>I3</x:v>
      </x:c>
      <x:c r="G862" s="14" t="n">
        <x:v>46</x:v>
      </x:c>
      <x:c r="H862" s="14" t="n">
        <x:v>1</x:v>
      </x:c>
      <x:c r="I862" s="14" t="n">
        <x:v>0</x:v>
      </x:c>
      <x:c r="J862" s="18" t="n">
        <x:v>6048</x:v>
      </x:c>
      <x:c r="K862" s="19" t="n">
        <x:v>46140.377947291665</x:v>
      </x:c>
      <x:c r="L862" s="19" t="n">
        <x:v>46142</x:v>
      </x:c>
      <x:c r="M862" s="15" t="str">
        <x:v>Клей для утеплення фасадів 25кг
</x:v>
      </x:c>
      <x:c r="N862" s="15" t="str">
        <x:v>https://prozorro.gov.ua/tender/UA-2026-04-28-005808-a</x:v>
      </x:c>
    </x:row>
    <x:row r="863">
      <x:c r="A863" s="14" t="n">
        <x:v>859</x:v>
      </x:c>
      <x:c r="B863" s="14" t="str">
        <x:v>ТОВАРИСТВО З ОБМЕЖЕНОЮ ВІДПОВІДАЛЬНІСТЮ "БК ГЕФЕСТ"</x:v>
      </x:c>
      <x:c r="C863" s="14" t="str">
        <x:v>40992114</x:v>
      </x:c>
      <x:c r="D863" s="14" t="str">
        <x:v>Металоконструкції</x:v>
      </x:c>
      <x:c r="E863" s="14" t="str">
        <x:v>Expansion discovery</x:v>
      </x:c>
      <x:c r="F863" s="14" t="str">
        <x:v>I3</x:v>
      </x:c>
      <x:c r="G863" s="14" t="n">
        <x:v>46</x:v>
      </x:c>
      <x:c r="H863" s="14" t="n">
        <x:v>1</x:v>
      </x:c>
      <x:c r="I863" s="14" t="n">
        <x:v>0</x:v>
      </x:c>
      <x:c r="J863" s="18" t="n">
        <x:v>24144.82</x:v>
      </x:c>
      <x:c r="K863" s="19" t="n">
        <x:v>46181.5134081713</x:v>
      </x:c>
      <x:c r="L863" s="19" t="n">
        <x:v>46202</x:v>
      </x:c>
      <x:c r="M863"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x:v>
      </x:c>
      <x:c r="N863" s="15" t="str">
        <x:v>https://prozorro.gov.ua/tender/UA-2026-06-08-009490-a</x:v>
      </x:c>
    </x:row>
    <x:row r="864">
      <x:c r="A864" s="14" t="n">
        <x:v>860</x:v>
      </x:c>
      <x:c r="B864" s="14" t="str">
        <x:v>ТОВАРИСТВО З ОБМЕЖЕНОЮ ВІДПОВІДАЛЬНІСТЮ "БУДІВЕЛЬНА ГРУПА КОМФОРТТАУН"</x:v>
      </x:c>
      <x:c r="C864" s="14" t="str">
        <x:v>43079629</x:v>
      </x:c>
      <x:c r="D864" s="14" t="str">
        <x:v>Сонячна енергетика</x:v>
      </x:c>
      <x:c r="E864" s="14" t="str">
        <x:v>Pilot now</x:v>
      </x:c>
      <x:c r="F864" s="14" t="str">
        <x:v>I3</x:v>
      </x:c>
      <x:c r="G864" s="14" t="n">
        <x:v>46</x:v>
      </x:c>
      <x:c r="H864" s="14" t="n">
        <x:v>1</x:v>
      </x:c>
      <x:c r="I864" s="14" t="n">
        <x:v>0</x:v>
      </x:c>
      <x:c r="J864" s="18" t="n">
        <x:v>1750665.84</x:v>
      </x:c>
      <x:c r="K864" s="19" t="n">
        <x:v>46136.530639791665</x:v>
      </x:c>
      <x:c r="L864" s="19" t="n">
        <x:v>46203</x:v>
      </x:c>
      <x:c r="M864" s="15" t="str">
        <x:v>Нове будівництво сонячної електростанції на покрівлі будівлі гаражу (літера «Б») МКУП «Міськсвітло» за адресом: м. Вінниця, вул. Р. Скалецького, буд.17. Код за ДК 021:2015 45250000-4 Будівництво заводів / установок, гірничодобувних і переробних об’єктів та об’єктів нафтогазової інфраструктури</x:v>
      </x:c>
      <x:c r="N864" s="15" t="str">
        <x:v>https://prozorro.gov.ua/tender/UA-2026-03-31-010294-a</x:v>
      </x:c>
    </x:row>
    <x:row r="865">
      <x:c r="A865" s="14" t="n">
        <x:v>861</x:v>
      </x:c>
      <x:c r="B865" s="14" t="str">
        <x:v>ТОВАРИСТВО З ОБМЕЖЕНОЮ ВІДПОВІДАЛЬНІСТЮ "ЗЕНІТ"</x:v>
      </x:c>
      <x:c r="C865" s="14" t="str">
        <x:v>13352338</x:v>
      </x:c>
      <x:c r="D865" s="14" t="str">
        <x:v>Ремонт і підсилення бетону</x:v>
      </x:c>
      <x:c r="E865" s="14" t="str">
        <x:v>Expansion discovery</x:v>
      </x:c>
      <x:c r="F865" s="14" t="str">
        <x:v>I3</x:v>
      </x:c>
      <x:c r="G865" s="14" t="n">
        <x:v>46</x:v>
      </x:c>
      <x:c r="H865" s="14" t="n">
        <x:v>1</x:v>
      </x:c>
      <x:c r="I865" s="14" t="n">
        <x:v>0</x:v>
      </x:c>
      <x:c r="J865" s="18" t="n">
        <x:v>832279.2</x:v>
      </x:c>
      <x:c r="K865" s="19" t="n">
        <x:v>46127.47116666667</x:v>
      </x:c>
      <x:c r="L865" s="19" t="n">
        <x:v>46173</x:v>
      </x:c>
      <x:c r="M865" s="15" t="str">
        <x:v>Інші завершальні будівельні роботи; 45450000-6 (Капітальний ремонт залізобетонних конструкцій самоплинного фільтра №4,7 станції знезалізнення Гнідавської площадки водопідготовки за адресою: м. Луцьк, вул. Магістральна,11)</x:v>
      </x:c>
      <x:c r="N865" s="15" t="str">
        <x:v>https://prozorro.gov.ua/tender/UA-2026-04-15-007573-a</x:v>
      </x:c>
    </x:row>
    <x:row r="866">
      <x:c r="A866" s="14" t="n">
        <x:v>862</x:v>
      </x:c>
      <x:c r="B866" s="14" t="str">
        <x:v>ТОВАРИСТВО З ОБМЕЖЕНОЮ ВІДПОВІДАЛЬНІСТЮ "КВА"</x:v>
      </x:c>
      <x:c r="C866" s="14" t="str">
        <x:v>39720797</x:v>
      </x:c>
      <x:c r="D866" s="14" t="str">
        <x:v>Сонячна енергетика</x:v>
      </x:c>
      <x:c r="E866" s="14" t="str">
        <x:v>Pilot now</x:v>
      </x:c>
      <x:c r="F866" s="14" t="str">
        <x:v>I3</x:v>
      </x:c>
      <x:c r="G866" s="14" t="n">
        <x:v>46</x:v>
      </x:c>
      <x:c r="H866" s="14" t="n">
        <x:v>1</x:v>
      </x:c>
      <x:c r="I866" s="14" t="n">
        <x:v>0</x:v>
      </x:c>
      <x:c r="J866" s="18" t="n">
        <x:v>1068187.58</x:v>
      </x:c>
      <x:c r="K866" s="19" t="n">
        <x:v>46121.45174016204</x:v>
      </x:c>
      <x:c r="L866" s="19" t="n">
        <x:v>46212</x:v>
      </x:c>
      <x:c r="M866" s="15" t="str">
        <x:v>Нове будівництво сонячної електростанції (СЕС) для свердловини №1Д по вулиці Миргородській в селі Великі Сорочинці Миргородського району Полтавської області</x:v>
      </x:c>
      <x:c r="N866" s="15" t="str">
        <x:v>https://prozorro.gov.ua/tender/UA-2026-04-09-007150-a</x:v>
      </x:c>
    </x:row>
    <x:row r="867">
      <x:c r="A867" s="14" t="n">
        <x:v>863</x:v>
      </x:c>
      <x:c r="B867" s="14" t="str">
        <x:v>ТОВАРИСТВО З ОБМЕЖЕНОЮ ВІДПОВІДАЛЬНІСТЮ "ЛАННЕР"</x:v>
      </x:c>
      <x:c r="C867" s="14" t="str">
        <x:v>39531653</x:v>
      </x:c>
      <x:c r="D867" s="14" t="str">
        <x:v>Пожежогасіння</x:v>
      </x:c>
      <x:c r="E867" s="14" t="str">
        <x:v>Expansion discovery</x:v>
      </x:c>
      <x:c r="F867" s="14" t="str">
        <x:v>I3</x:v>
      </x:c>
      <x:c r="G867" s="14" t="n">
        <x:v>46</x:v>
      </x:c>
      <x:c r="H867" s="14" t="n">
        <x:v>1</x:v>
      </x:c>
      <x:c r="I867" s="14" t="n">
        <x:v>0</x:v>
      </x:c>
      <x:c r="J867" s="18" t="n">
        <x:v>12552</x:v>
      </x:c>
      <x:c r="K867" s="19" t="n">
        <x:v>46176.33633157407</x:v>
      </x:c>
      <x:c r="L867" s="19" t="n">
        <x:v>46190</x:v>
      </x:c>
      <x:c r="M86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x:v>
      </x:c>
      <x:c r="N867" s="15" t="str">
        <x:v>https://prozorro.gov.ua/tender/UA-2026-06-03-003489-a</x:v>
      </x:c>
    </x:row>
    <x:row r="868">
      <x:c r="A868" s="14" t="n">
        <x:v>864</x:v>
      </x:c>
      <x:c r="B868" s="14" t="str">
        <x:v>ТОВАРИСТВО З ОБМЕЖЕНОЮ ВІДПОВІДАЛЬНІСТЮ "ПОЖДУМА-РІВНЕ"</x:v>
      </x:c>
      <x:c r="C868" s="14" t="str">
        <x:v>43407331</x:v>
      </x:c>
      <x:c r="D868" s="14" t="str">
        <x:v>Пасивний вогнезахист</x:v>
      </x:c>
      <x:c r="E868" s="14" t="str">
        <x:v>Expansion discovery</x:v>
      </x:c>
      <x:c r="F868" s="14" t="str">
        <x:v>I3</x:v>
      </x:c>
      <x:c r="G868" s="14" t="n">
        <x:v>46</x:v>
      </x:c>
      <x:c r="H868" s="14" t="n">
        <x:v>1</x:v>
      </x:c>
      <x:c r="I868" s="14" t="n">
        <x:v>0</x:v>
      </x:c>
      <x:c r="J868" s="18" t="n">
        <x:v>43801.38</x:v>
      </x:c>
      <x:c r="K868" s="19" t="n">
        <x:v>46167.522205625</x:v>
      </x:c>
      <x:c r="L868" s="19" t="n">
        <x:v>46227</x:v>
      </x:c>
      <x:c r="M868" s="15" t="str">
        <x:v>Послуги з обробки вогнезахисним розчином дерев'яних конструкцій покрівлі приміщення</x:v>
      </x:c>
      <x:c r="N868" s="15" t="str">
        <x:v>https://prozorro.gov.ua/tender/UA-2026-05-25-010533-a</x:v>
      </x:c>
    </x:row>
    <x:row r="869">
      <x:c r="A869" s="14" t="n">
        <x:v>865</x:v>
      </x:c>
      <x:c r="B869" s="14" t="str">
        <x:v>Товариство з обмеженою відповідальністю "СТРАЖ-В"</x:v>
      </x:c>
      <x:c r="C869" s="14" t="str">
        <x:v>37808790</x:v>
      </x:c>
      <x:c r="D869" s="14" t="str">
        <x:v>Пожежогасіння</x:v>
      </x:c>
      <x:c r="E869" s="14" t="str">
        <x:v>Expansion discovery</x:v>
      </x:c>
      <x:c r="F869" s="14" t="str">
        <x:v>I3</x:v>
      </x:c>
      <x:c r="G869" s="14" t="n">
        <x:v>46</x:v>
      </x:c>
      <x:c r="H869" s="14" t="n">
        <x:v>1</x:v>
      </x:c>
      <x:c r="I869" s="14" t="n">
        <x:v>0</x:v>
      </x:c>
      <x:c r="J869" s="18" t="n">
        <x:v>12000</x:v>
      </x:c>
      <x:c r="K869" s="19" t="n">
        <x:v>46169.84383081018</x:v>
      </x:c>
      <x:c r="L869" s="19" t="n">
        <x:v>46192</x:v>
      </x:c>
      <x:c r="M86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x:v>
      </x:c>
      <x:c r="N869" s="15" t="str">
        <x:v>https://prozorro.gov.ua/tender/UA-2026-05-14-014403-a</x:v>
      </x:c>
    </x:row>
    <x:row r="870">
      <x:c r="A870" s="14" t="n">
        <x:v>866</x:v>
      </x:c>
      <x:c r="B870" s="14" t="str">
        <x:v>ТОВАРИСТВО З ОБМЕЖЕНОЮ ВІДПОВІДАЛЬНІСТЮ "СТРОЙТРАНСАВТО"</x:v>
      </x:c>
      <x:c r="C870" s="14" t="str">
        <x:v>32563469</x:v>
      </x:c>
      <x:c r="D870" s="14" t="str">
        <x:v>Водоочищення / очисні споруди</x:v>
      </x:c>
      <x:c r="E870" s="14" t="str">
        <x:v>Expansion discovery</x:v>
      </x:c>
      <x:c r="F870" s="14" t="str">
        <x:v>I3</x:v>
      </x:c>
      <x:c r="G870" s="14" t="n">
        <x:v>46</x:v>
      </x:c>
      <x:c r="H870" s="14" t="n">
        <x:v>1</x:v>
      </x:c>
      <x:c r="I870" s="14" t="n">
        <x:v>0</x:v>
      </x:c>
      <x:c r="J870" s="18" t="n">
        <x:v>48150000</x:v>
      </x:c>
      <x:c r="K870" s="19" t="n">
        <x:v>45902.34417775463</x:v>
      </x:c>
      <x:c r="L870" s="19" t="n">
        <x:v>46142.87498842592</x:v>
      </x:c>
      <x:c r="M870"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x:v>
      </x:c>
      <x:c r="N870" s="15" t="str">
        <x:v>https://prozorro.gov.ua/tender/UA-2025-06-24-003590-a</x:v>
      </x:c>
    </x:row>
    <x:row r="871">
      <x:c r="A871" s="14" t="n">
        <x:v>867</x:v>
      </x:c>
      <x:c r="B871" s="14" t="str">
        <x:v>ТОВАРИСТВО З ОБМЕЖЕНОЮ ВІДПОВІДАЛЬНІСТЮ "УКРБУД-КОНТРАКТ"</x:v>
      </x:c>
      <x:c r="C871" s="14" t="str">
        <x:v>38985773</x:v>
      </x:c>
      <x:c r="D871" s="14" t="str">
        <x:v>Покрівлі та гідроізоляція</x:v>
      </x:c>
      <x:c r="E871" s="14" t="str">
        <x:v>Expansion discovery</x:v>
      </x:c>
      <x:c r="F871" s="14" t="str">
        <x:v>I3</x:v>
      </x:c>
      <x:c r="G871" s="14" t="n">
        <x:v>46</x:v>
      </x:c>
      <x:c r="H871" s="14" t="n">
        <x:v>1</x:v>
      </x:c>
      <x:c r="I871" s="14" t="n">
        <x:v>0</x:v>
      </x:c>
      <x:c r="J871" s="18" t="n">
        <x:v>36695.76</x:v>
      </x:c>
      <x:c r="K871" s="19" t="n">
        <x:v>46176.271440254626</x:v>
      </x:c>
      <x:c r="L871" s="19" t="n">
        <x:v>46178</x:v>
      </x:c>
      <x:c r="M871"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x:v>
      </x:c>
      <x:c r="N871" s="15" t="str">
        <x:v>https://prozorro.gov.ua/tender/UA-2026-06-03-000978-a</x:v>
      </x:c>
    </x:row>
    <x:row r="872">
      <x:c r="A872" s="14" t="n">
        <x:v>868</x:v>
      </x:c>
      <x:c r="B872" s="14" t="str">
        <x:v>ТОВАРИСТВО З ОБМЕЖЕНОЮ ВІДПОВІДАЛЬНІСТЮ «ГАРАНТ ЕНЕРГО»</x:v>
      </x:c>
      <x:c r="C872" s="14" t="str">
        <x:v>40836016</x:v>
      </x:c>
      <x:c r="D872" s="14" t="str">
        <x:v>Металоконструкції</x:v>
      </x:c>
      <x:c r="E872" s="14" t="str">
        <x:v>Expansion discovery</x:v>
      </x:c>
      <x:c r="F872" s="14" t="str">
        <x:v>I3</x:v>
      </x:c>
      <x:c r="G872" s="14" t="n">
        <x:v>46</x:v>
      </x:c>
      <x:c r="H872" s="14" t="n">
        <x:v>1</x:v>
      </x:c>
      <x:c r="I872" s="14" t="n">
        <x:v>0</x:v>
      </x:c>
      <x:c r="J872" s="18" t="n">
        <x:v>164097929.51</x:v>
      </x:c>
      <x:c r="K872" s="19" t="n">
        <x:v>45971.70612681713</x:v>
      </x:c>
      <x:c r="L872" s="19" t="n">
        <x:v>46013</x:v>
      </x:c>
      <x:c r="M872"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x:v>
      </x:c>
      <x:c r="N872" s="15" t="str">
        <x:v>https://prozorro.gov.ua/tender/UA-2025-11-10-015696-a</x:v>
      </x:c>
    </x:row>
    <x:row r="873">
      <x:c r="A873" s="14" t="n">
        <x:v>869</x:v>
      </x:c>
      <x:c r="B873" s="14" t="str">
        <x:v>Тригубенко Альона Анатоліївна</x:v>
      </x:c>
      <x:c r="C873" s="14" t="str">
        <x:v>3732807581</x:v>
      </x:c>
      <x:c r="D873" s="14" t="str">
        <x:v>Покрівлі та гідроізоляція</x:v>
      </x:c>
      <x:c r="E873" s="14" t="str">
        <x:v>Expansion discovery</x:v>
      </x:c>
      <x:c r="F873" s="14" t="str">
        <x:v>I3</x:v>
      </x:c>
      <x:c r="G873" s="14" t="n">
        <x:v>46</x:v>
      </x:c>
      <x:c r="H873" s="14" t="n">
        <x:v>1</x:v>
      </x:c>
      <x:c r="I873" s="14" t="n">
        <x:v>0</x:v>
      </x:c>
      <x:c r="J873" s="18" t="n">
        <x:v>865</x:v>
      </x:c>
      <x:c r="K873" s="19" t="n">
        <x:v>46160.37570246528</x:v>
      </x:c>
      <x:c r="L873" s="19" t="n">
        <x:v>46171</x:v>
      </x:c>
      <x:c r="M873" s="15" t="str">
        <x:v>Будівельні матеріали для проведення ремонтних робіт господарським способом: гідроізоляційна суміш.</x:v>
      </x:c>
      <x:c r="N873" s="15" t="str">
        <x:v>https://prozorro.gov.ua/tender/UA-2026-05-18-002682-a</x:v>
      </x:c>
    </x:row>
    <x:row r="874">
      <x:c r="A874" s="14" t="n">
        <x:v>870</x:v>
      </x:c>
      <x:c r="B874" s="14" t="str">
        <x:v>ФОП Бичок Костянтин Вікторович</x:v>
      </x:c>
      <x:c r="C874" s="14" t="str">
        <x:v>3268604178</x:v>
      </x:c>
      <x:c r="D874" s="14" t="str">
        <x:v>Електромонтаж</x:v>
      </x:c>
      <x:c r="E874" s="14" t="str">
        <x:v>Pilot now</x:v>
      </x:c>
      <x:c r="F874" s="14" t="str">
        <x:v>I3</x:v>
      </x:c>
      <x:c r="G874" s="14" t="n">
        <x:v>45</x:v>
      </x:c>
      <x:c r="H874" s="14" t="n">
        <x:v>2</x:v>
      </x:c>
      <x:c r="I874" s="14" t="n">
        <x:v>2</x:v>
      </x:c>
      <x:c r="J874" s="18" t="n">
        <x:v>27580</x:v>
      </x:c>
      <x:c r="K874" s="19" t="n">
        <x:v>46111.52540443287</x:v>
      </x:c>
      <x:c r="L874" s="19" t="n">
        <x:v>46387.568333333336</x:v>
      </x:c>
      <x:c r="M874" s="15" t="str">
        <x:v>Послуги у сфері локальних мереж (встановлення роутера, налагодження ПК, прокладання витої пари, монтаж короба, прокладання електричного кабелю)</x:v>
      </x:c>
      <x:c r="N874" s="15" t="str">
        <x:v>https://prozorro.gov.ua/tender/UA-2026-03-30-009078-a</x:v>
      </x:c>
    </x:row>
    <x:row r="875">
      <x:c r="A875" s="14" t="n">
        <x:v>871</x:v>
      </x:c>
      <x:c r="B875" s="14" t="str">
        <x:v>ФОП ГОНЧАРУК ВОЛОДИМИР МИКОЛАЙОВИЧ</x:v>
      </x:c>
      <x:c r="C875" s="14" t="str">
        <x:v>2761325735</x:v>
      </x:c>
      <x:c r="D875" s="14" t="str">
        <x:v>HVAC / ОВіК</x:v>
      </x:c>
      <x:c r="E875" s="14" t="str">
        <x:v>Pilot now</x:v>
      </x:c>
      <x:c r="F875" s="14" t="str">
        <x:v>I3</x:v>
      </x:c>
      <x:c r="G875" s="14" t="n">
        <x:v>45</x:v>
      </x:c>
      <x:c r="H875" s="14" t="n">
        <x:v>2</x:v>
      </x:c>
      <x:c r="I875" s="14" t="n">
        <x:v>2</x:v>
      </x:c>
      <x:c r="J875" s="18" t="n">
        <x:v>9300</x:v>
      </x:c>
      <x:c r="K875" s="19" t="n">
        <x:v>46090.64353076389</x:v>
      </x:c>
      <x:c r="L875" s="19" t="n">
        <x:v>46387</x:v>
      </x:c>
      <x:c r="M875" s="15" t="str">
        <x:v>Послуга з поточного ремонту системи опалення (демонтаж, монтаж радіаторів системи опалення)</x:v>
      </x:c>
      <x:c r="N875" s="15" t="str">
        <x:v>https://prozorro.gov.ua/tender/UA-2026-03-09-013138-a</x:v>
      </x:c>
    </x:row>
    <x:row r="876">
      <x:c r="A876" s="14" t="n">
        <x:v>872</x:v>
      </x:c>
      <x:c r="B876" s="14" t="str">
        <x:v>ФОП Бойчук С.І.</x:v>
      </x:c>
      <x:c r="C876" s="14" t="str">
        <x:v>2585401715</x:v>
      </x:c>
      <x:c r="D876" s="14" t="str">
        <x:v>Резервне живлення</x:v>
      </x:c>
      <x:c r="E876" s="14" t="str">
        <x:v>Pilot now</x:v>
      </x:c>
      <x:c r="F876" s="14" t="str">
        <x:v>I3</x:v>
      </x:c>
      <x:c r="G876" s="14" t="n">
        <x:v>45</x:v>
      </x:c>
      <x:c r="H876" s="14" t="n">
        <x:v>2</x:v>
      </x:c>
      <x:c r="I876" s="14" t="n">
        <x:v>1</x:v>
      </x:c>
      <x:c r="J876" s="18" t="n">
        <x:v>85862</x:v>
      </x:c>
      <x:c r="K876" s="19" t="n">
        <x:v>46057.565444907406</x:v>
      </x:c>
      <x:c r="L876" s="19" t="n">
        <x:v>46387.56689814815</x:v>
      </x:c>
      <x:c r="M876" s="15" t="str">
        <x:v>ДК 021:2015:45310000-3 - Електромонтажні роботи (Монтаж дизель-генератора)</x:v>
      </x:c>
      <x:c r="N876" s="15" t="str">
        <x:v>https://prozorro.gov.ua/tender/UA-2026-02-04-011959-a</x:v>
      </x:c>
    </x:row>
    <x:row r="877">
      <x:c r="A877" s="14" t="n">
        <x:v>873</x:v>
      </x:c>
      <x:c r="B877" s="14" t="str">
        <x:v>Державне підприємство «ДЕРЖАВНИЙ НАУКОВО-ДОСЛІДНИЙ ТА ПРОЕКТНО-ВИШУКУВАЛЬНИЙ ІНСТИТУТ «НДІПРОЕКТРЕКОНСТРУКЦІЯ» Одеська філія</x:v>
      </x:c>
      <x:c r="C877" s="14" t="str">
        <x:v>03329083</x:v>
      </x:c>
      <x:c r="D877" s="14" t="str">
        <x:v>Водоочищення / очисні споруди</x:v>
      </x:c>
      <x:c r="E877" s="14" t="str">
        <x:v>Expansion discovery</x:v>
      </x:c>
      <x:c r="F877" s="14" t="str">
        <x:v>I3</x:v>
      </x:c>
      <x:c r="G877" s="14" t="n">
        <x:v>45</x:v>
      </x:c>
      <x:c r="H877" s="14" t="n">
        <x:v>1</x:v>
      </x:c>
      <x:c r="I877" s="14" t="n">
        <x:v>0</x:v>
      </x:c>
      <x:c r="J877" s="18" t="n">
        <x:v>139889.86</x:v>
      </x:c>
      <x:c r="K877" s="19" t="n">
        <x:v>46161.355033078704</x:v>
      </x:c>
      <x:c r="L877" s="19" t="n">
        <x:v>46189.35413194444</x:v>
      </x:c>
      <x:c r="M877"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x:v>
      </x:c>
      <x:c r="N877" s="15" t="str">
        <x:v>https://prozorro.gov.ua/tender/UA-2026-05-19-004414-a</x:v>
      </x:c>
    </x:row>
    <x:row r="878">
      <x:c r="A878" s="14" t="n">
        <x:v>874</x:v>
      </x:c>
      <x:c r="B878" s="14" t="str">
        <x:v>ТОВ "АМІКС-КОМПЛЕКС"</x:v>
      </x:c>
      <x:c r="C878" s="14" t="str">
        <x:v>39828887</x:v>
      </x:c>
      <x:c r="D878" s="14" t="str">
        <x:v>Промисловий холод</x:v>
      </x:c>
      <x:c r="E878" s="14" t="str">
        <x:v>Expansion discovery</x:v>
      </x:c>
      <x:c r="F878" s="14" t="str">
        <x:v>I3</x:v>
      </x:c>
      <x:c r="G878" s="14" t="n">
        <x:v>45</x:v>
      </x:c>
      <x:c r="H878" s="14" t="n">
        <x:v>1</x:v>
      </x:c>
      <x:c r="I878" s="14" t="n">
        <x:v>0</x:v>
      </x:c>
      <x:c r="J878" s="18" t="n">
        <x:v>145080</x:v>
      </x:c>
      <x:c r="K878" s="19" t="n">
        <x:v>46211.45454412037</x:v>
      </x:c>
      <x:c r="L878" s="19" t="n">
        <x:v>46234</x:v>
      </x:c>
      <x:c r="M878"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x:v>
      </x:c>
      <x:c r="N878" s="15" t="str">
        <x:v>https://prozorro.gov.ua/tender/UA-2026-06-22-002065-a</x:v>
      </x:c>
    </x:row>
    <x:row r="879">
      <x:c r="A879" s="14" t="n">
        <x:v>875</x:v>
      </x:c>
      <x:c r="B879" s="14" t="str">
        <x:v>ТОВ "ДНІПРОВОДПРОЕКТ"</x:v>
      </x:c>
      <x:c r="C879" s="14" t="str">
        <x:v>35045202</x:v>
      </x:c>
      <x:c r="D879" s="14" t="str">
        <x:v>Водоочищення / очисні споруди</x:v>
      </x:c>
      <x:c r="E879" s="14" t="str">
        <x:v>Expansion discovery</x:v>
      </x:c>
      <x:c r="F879" s="14" t="str">
        <x:v>I3</x:v>
      </x:c>
      <x:c r="G879" s="14" t="n">
        <x:v>45</x:v>
      </x:c>
      <x:c r="H879" s="14" t="n">
        <x:v>1</x:v>
      </x:c>
      <x:c r="I879" s="14" t="n">
        <x:v>0</x:v>
      </x:c>
      <x:c r="J879" s="18" t="n">
        <x:v>111354</x:v>
      </x:c>
      <x:c r="K879" s="19" t="n">
        <x:v>46156.27859652778</x:v>
      </x:c>
      <x:c r="L879" s="19" t="n">
        <x:v>46234</x:v>
      </x:c>
      <x:c r="M879"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x:v>
      </x:c>
      <x:c r="N879" s="15" t="str">
        <x:v>https://prozorro.gov.ua/tender/UA-2026-05-14-001223-a</x:v>
      </x:c>
    </x:row>
    <x:row r="880">
      <x:c r="A880" s="14" t="n">
        <x:v>876</x:v>
      </x:c>
      <x:c r="B880" s="14" t="str">
        <x:v>ТОВ "РОЯЛ СТРОЙ ЛІМІТЕД"</x:v>
      </x:c>
      <x:c r="C880" s="14" t="str">
        <x:v>40979308</x:v>
      </x:c>
      <x:c r="D880" s="14" t="str">
        <x:v>Резервне живлення</x:v>
      </x:c>
      <x:c r="E880" s="14" t="str">
        <x:v>Expansion discovery</x:v>
      </x:c>
      <x:c r="F880" s="14" t="str">
        <x:v>I3</x:v>
      </x:c>
      <x:c r="G880" s="14" t="n">
        <x:v>45</x:v>
      </x:c>
      <x:c r="H880" s="14" t="n">
        <x:v>1</x:v>
      </x:c>
      <x:c r="I880" s="14" t="n">
        <x:v>0</x:v>
      </x:c>
      <x:c r="J880" s="18" t="n">
        <x:v>420000</x:v>
      </x:c>
      <x:c r="K880" s="19" t="n">
        <x:v>46143.43566216435</x:v>
      </x:c>
      <x:c r="L880" s="19" t="n">
        <x:v>46174</x:v>
      </x:c>
      <x:c r="M880"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x:v>
      </x:c>
      <x:c r="N880" s="15" t="str">
        <x:v>https://prozorro.gov.ua/tender/UA-2026-05-01-007008-a</x:v>
      </x:c>
    </x:row>
    <x:row r="881">
      <x:c r="A881" s="14" t="n">
        <x:v>877</x:v>
      </x:c>
      <x:c r="B881" s="14" t="str">
        <x:v>ТОВ"Клімат контроль+"</x:v>
      </x:c>
      <x:c r="C881" s="14" t="str">
        <x:v>44650140</x:v>
      </x:c>
      <x:c r="D881" s="14" t="str">
        <x:v>Резервне живлення</x:v>
      </x:c>
      <x:c r="E881" s="14" t="str">
        <x:v>Expansion discovery</x:v>
      </x:c>
      <x:c r="F881" s="14" t="str">
        <x:v>I3</x:v>
      </x:c>
      <x:c r="G881" s="14" t="n">
        <x:v>45</x:v>
      </x:c>
      <x:c r="H881" s="14" t="n">
        <x:v>1</x:v>
      </x:c>
      <x:c r="I881" s="14" t="n">
        <x:v>0</x:v>
      </x:c>
      <x:c r="J881" s="18" t="n">
        <x:v>124016</x:v>
      </x:c>
      <x:c r="K881" s="19" t="n">
        <x:v>46181.48131082176</x:v>
      </x:c>
      <x:c r="L881" s="19" t="n">
        <x:v>46204</x:v>
      </x:c>
      <x:c r="M881"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x:v>
      </x:c>
      <x:c r="N881" s="15" t="str">
        <x:v>https://prozorro.gov.ua/tender/UA-2026-06-08-007955-a</x:v>
      </x:c>
    </x:row>
    <x:row r="882">
      <x:c r="A882" s="14" t="n">
        <x:v>878</x:v>
      </x:c>
      <x:c r="B882" s="14" t="str">
        <x:v>ТОВАРИСТВО З ОБМЕЖЕНОЮ ВІДПОВІДАЛЬНІСТЮ "СПЕЦІАЛІЗОВАНІ ЕНЕРГЕТИЧНІ ТЕХНОЛОГІЇ"</x:v>
      </x:c>
      <x:c r="C882" s="14" t="str">
        <x:v>37821649</x:v>
      </x:c>
      <x:c r="D882" s="14" t="str">
        <x:v>Сонячна енергетика</x:v>
      </x:c>
      <x:c r="E882" s="14" t="str">
        <x:v>Expansion discovery</x:v>
      </x:c>
      <x:c r="F882" s="14" t="str">
        <x:v>I3</x:v>
      </x:c>
      <x:c r="G882" s="14" t="n">
        <x:v>45</x:v>
      </x:c>
      <x:c r="H882" s="14" t="n">
        <x:v>1</x:v>
      </x:c>
      <x:c r="I882" s="14" t="n">
        <x:v>0</x:v>
      </x:c>
      <x:c r="J882" s="18" t="n">
        <x:v>143898</x:v>
      </x:c>
      <x:c r="K882" s="19" t="n">
        <x:v>46174.43245354167</x:v>
      </x:c>
      <x:c r="L882" s="19" t="n">
        <x:v>46249</x:v>
      </x:c>
      <x:c r="M882" s="15" t="str">
        <x:v>роботи (монтаж та підключення гібридної сонячної електростанції 25 кВт для власного споживання)</x:v>
      </x:c>
      <x:c r="N882" s="15" t="str">
        <x:v>https://prozorro.gov.ua/tender/UA-2026-06-01-006035-a</x:v>
      </x:c>
    </x:row>
    <x:row r="883">
      <x:c r="A883" s="14" t="n">
        <x:v>879</x:v>
      </x:c>
      <x:c r="B883" s="14" t="str">
        <x:v>Антоненко Максим Юрійович</x:v>
      </x:c>
      <x:c r="C883" s="14" t="str">
        <x:v>3716103678</x:v>
      </x:c>
      <x:c r="D883" s="14" t="str">
        <x:v>Електромонтаж</x:v>
      </x:c>
      <x:c r="E883" s="14" t="str">
        <x:v>Pilot now</x:v>
      </x:c>
      <x:c r="F883" s="14" t="str">
        <x:v>I3</x:v>
      </x:c>
      <x:c r="G883" s="14" t="n">
        <x:v>44</x:v>
      </x:c>
      <x:c r="H883" s="14" t="n">
        <x:v>1</x:v>
      </x:c>
      <x:c r="I883" s="14" t="n">
        <x:v>0</x:v>
      </x:c>
      <x:c r="J883" s="18" t="n">
        <x:v>36600</x:v>
      </x:c>
      <x:c r="K883" s="19" t="n">
        <x:v>46251.53463201389</x:v>
      </x:c>
      <x:c r="L883" s="19" t="n">
        <x:v>46251.53681712963</x:v>
      </x:c>
      <x:c r="M883" s="15" t="str">
        <x:v>Електромонтажні роботи. Класифікація за ДК 021-2015 (CPV): 45310000-3 - Електромонтажні роботи</x:v>
      </x:c>
      <x:c r="N883" s="15" t="str">
        <x:v>https://prozorro.gov.ua/tender/UA-2026-08-17-009902-a</x:v>
      </x:c>
    </x:row>
    <x:row r="884">
      <x:c r="A884" s="14" t="n">
        <x:v>880</x:v>
      </x:c>
      <x:c r="B884" s="14" t="str">
        <x:v>АТ "Інститут транспорту нафти"</x:v>
      </x:c>
      <x:c r="C884" s="14" t="str">
        <x:v>00148429</x:v>
      </x:c>
      <x:c r="D884" s="14" t="str">
        <x:v>Газові мережі</x:v>
      </x:c>
      <x:c r="E884" s="14" t="str">
        <x:v>Expansion discovery</x:v>
      </x:c>
      <x:c r="F884" s="14" t="str">
        <x:v>I3</x:v>
      </x:c>
      <x:c r="G884" s="14" t="n">
        <x:v>44</x:v>
      </x:c>
      <x:c r="H884" s="14" t="n">
        <x:v>2</x:v>
      </x:c>
      <x:c r="I884" s="14" t="n">
        <x:v>0</x:v>
      </x:c>
      <x:c r="J884" s="18" t="n">
        <x:v>240000</x:v>
      </x:c>
      <x:c r="K884" s="19" t="n">
        <x:v>45925.381228275466</x:v>
      </x:c>
      <x:c r="L884" s="19" t="n">
        <x:v>46002</x:v>
      </x:c>
      <x:c r="M884"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x:v>
      </x:c>
      <x:c r="N884" s="15" t="str">
        <x:v>https://prozorro.gov.ua/tender/UA-2025-09-25-005958-a</x:v>
      </x:c>
    </x:row>
    <x:row r="885">
      <x:c r="A885" s="14" t="n">
        <x:v>881</x:v>
      </x:c>
      <x:c r="B885" s="14" t="str">
        <x:v>Владов Дмитро Олексійович</x:v>
      </x:c>
      <x:c r="C885" s="14" t="str">
        <x:v>1916807599</x:v>
      </x:c>
      <x:c r="D885" s="14" t="str">
        <x:v>HVAC / ОВіК</x:v>
      </x:c>
      <x:c r="E885" s="14" t="str">
        <x:v>Pilot now</x:v>
      </x:c>
      <x:c r="F885" s="14" t="str">
        <x:v>I3</x:v>
      </x:c>
      <x:c r="G885" s="14" t="n">
        <x:v>44</x:v>
      </x:c>
      <x:c r="H885" s="14" t="n">
        <x:v>1</x:v>
      </x:c>
      <x:c r="I885" s="14" t="n">
        <x:v>0</x:v>
      </x:c>
      <x:c r="J885" s="18" t="n">
        <x:v>19825</x:v>
      </x:c>
      <x:c r="K885" s="19" t="n">
        <x:v>46237.53604215278</x:v>
      </x:c>
      <x:c r="L885" s="19" t="n">
        <x:v>46238.532175925924</x:v>
      </x:c>
      <x:c r="M885" s="15" t="str">
        <x:v>послуги з демонтажу та монтажу, перегрупуванню та підключенню до системи опалення сталевих та чавуних  радіаторів, прокладання труб</x:v>
      </x:c>
      <x:c r="N885" s="15" t="str">
        <x:v>https://prozorro.gov.ua/tender/UA-2026-08-03-008838-a</x:v>
      </x:c>
    </x:row>
    <x:row r="886">
      <x:c r="A886" s="14" t="n">
        <x:v>882</x:v>
      </x:c>
      <x:c r="B886" s="14" t="str">
        <x:v>КОВАЛЕНКО ВОЛОДИМИР СЕРГІЙОВИЧ</x:v>
      </x:c>
      <x:c r="C886" s="14" t="str">
        <x:v>3110919730</x:v>
      </x:c>
      <x:c r="D886" s="14" t="str">
        <x:v>HVAC / ОВіК</x:v>
      </x:c>
      <x:c r="E886" s="14" t="str">
        <x:v>Pilot now</x:v>
      </x:c>
      <x:c r="F886" s="14" t="str">
        <x:v>I3</x:v>
      </x:c>
      <x:c r="G886" s="14" t="n">
        <x:v>44</x:v>
      </x:c>
      <x:c r="H886" s="14" t="n">
        <x:v>1</x:v>
      </x:c>
      <x:c r="I886" s="14" t="n">
        <x:v>0</x:v>
      </x:c>
      <x:c r="J886" s="18" t="n">
        <x:v>24000</x:v>
      </x:c>
      <x:c r="K886" s="19" t="n">
        <x:v>46218.25353581019</x:v>
      </x:c>
      <x:c r="L886" s="19" t="n">
        <x:v>46244</x:v>
      </x:c>
      <x:c r="M886"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x:v>
      </x:c>
      <x:c r="N886" s="15" t="str">
        <x:v>https://prozorro.gov.ua/tender/UA-2026-07-15-000429-a</x:v>
      </x:c>
    </x:row>
    <x:row r="887">
      <x:c r="A887" s="14" t="n">
        <x:v>883</x:v>
      </x:c>
      <x:c r="B887" s="14" t="str">
        <x:v>Мельніковський Максим Олександрович</x:v>
      </x:c>
      <x:c r="C887" s="14" t="str">
        <x:v>3177207373</x:v>
      </x:c>
      <x:c r="D887" s="14" t="str">
        <x:v>Безпека / СКУД / CCTV</x:v>
      </x:c>
      <x:c r="E887" s="14" t="str">
        <x:v>Expansion discovery</x:v>
      </x:c>
      <x:c r="F887" s="14" t="str">
        <x:v>I3</x:v>
      </x:c>
      <x:c r="G887" s="14" t="n">
        <x:v>44</x:v>
      </x:c>
      <x:c r="H887" s="14" t="n">
        <x:v>1</x:v>
      </x:c>
      <x:c r="I887" s="14" t="n">
        <x:v>0</x:v>
      </x:c>
      <x:c r="J887" s="18" t="n">
        <x:v>45590</x:v>
      </x:c>
      <x:c r="K887" s="19" t="n">
        <x:v>46237.37379709491</x:v>
      </x:c>
      <x:c r="L887" s="19" t="n">
        <x:v>46248</x:v>
      </x:c>
      <x:c r="M887" s="15" t="str">
        <x:v>Послуги з монтажу та налагодження системи відеоспостереження</x:v>
      </x:c>
      <x:c r="N887" s="15" t="str">
        <x:v>https://prozorro.gov.ua/tender/UA-2026-08-03-003923-a</x:v>
      </x:c>
    </x:row>
    <x:row r="888">
      <x:c r="A888" s="14" t="n">
        <x:v>884</x:v>
      </x:c>
      <x:c r="B888" s="14" t="str">
        <x:v>ПОПОВСЬКА ОКСАНА АНАТОЛІЇВНА</x:v>
      </x:c>
      <x:c r="C888" s="14" t="str">
        <x:v>2729308340</x:v>
      </x:c>
      <x:c r="D888" s="14" t="str">
        <x:v>Безпека / СКУД / CCTV</x:v>
      </x:c>
      <x:c r="E888" s="14" t="str">
        <x:v>Expansion discovery</x:v>
      </x:c>
      <x:c r="F888" s="14" t="str">
        <x:v>I3</x:v>
      </x:c>
      <x:c r="G888" s="14" t="n">
        <x:v>44</x:v>
      </x:c>
      <x:c r="H888" s="14" t="n">
        <x:v>1</x:v>
      </x:c>
      <x:c r="I888" s="14" t="n">
        <x:v>0</x:v>
      </x:c>
      <x:c r="J888" s="18" t="n">
        <x:v>47201.8</x:v>
      </x:c>
      <x:c r="K888" s="19" t="n">
        <x:v>46225.33639276621</x:v>
      </x:c>
      <x:c r="L888" s="19" t="n">
        <x:v>46234</x:v>
      </x:c>
      <x:c r="M888" s="15" t="str">
        <x:v>Послуги з монтажу системи відеоспостереження</x:v>
      </x:c>
      <x:c r="N888" s="15" t="str">
        <x:v>https://prozorro.gov.ua/tender/UA-2026-07-22-002862-a</x:v>
      </x:c>
    </x:row>
    <x:row r="889">
      <x:c r="A889" s="14" t="n">
        <x:v>885</x:v>
      </x:c>
      <x:c r="B889" s="14" t="str">
        <x:v>Приватне підприємство "Касмєт"</x:v>
      </x:c>
      <x:c r="C889" s="14" t="str">
        <x:v>24057177</x:v>
      </x:c>
      <x:c r="D889" s="14" t="str">
        <x:v>Промислова теплоізоляція</x:v>
      </x:c>
      <x:c r="E889" s="14" t="str">
        <x:v>Expansion discovery</x:v>
      </x:c>
      <x:c r="F889" s="14" t="str">
        <x:v>I3</x:v>
      </x:c>
      <x:c r="G889" s="14" t="n">
        <x:v>44</x:v>
      </x:c>
      <x:c r="H889" s="14" t="n">
        <x:v>2</x:v>
      </x:c>
      <x:c r="I889" s="14" t="n">
        <x:v>0</x:v>
      </x:c>
      <x:c r="J889" s="18" t="n">
        <x:v>146521.71</x:v>
      </x:c>
      <x:c r="K889" s="19" t="n">
        <x:v>46001.56810398148</x:v>
      </x:c>
      <x:c r="L889" s="19" t="n">
        <x:v>46016</x:v>
      </x:c>
      <x:c r="M889"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x:v>
      </x:c>
      <x:c r="N889" s="15" t="str">
        <x:v>https://prozorro.gov.ua/tender/UA-2025-12-10-017015-a</x:v>
      </x:c>
    </x:row>
    <x:row r="890">
      <x:c r="A890" s="14" t="n">
        <x:v>886</x:v>
      </x:c>
      <x:c r="B890" s="14" t="str">
        <x:v>ПРОЙЧЕНКО ІВАН ІВАНОВИЧ</x:v>
      </x:c>
      <x:c r="C890" s="14" t="str">
        <x:v>3077618016</x:v>
      </x:c>
      <x:c r="D890" s="14" t="str">
        <x:v>Електромонтаж</x:v>
      </x:c>
      <x:c r="E890" s="14" t="str">
        <x:v>Pilot now</x:v>
      </x:c>
      <x:c r="F890" s="14" t="str">
        <x:v>I3</x:v>
      </x:c>
      <x:c r="G890" s="14" t="n">
        <x:v>44</x:v>
      </x:c>
      <x:c r="H890" s="14" t="n">
        <x:v>1</x:v>
      </x:c>
      <x:c r="I890" s="14" t="n">
        <x:v>0</x:v>
      </x:c>
      <x:c r="J890" s="18" t="n">
        <x:v>52530</x:v>
      </x:c>
      <x:c r="K890" s="19" t="n">
        <x:v>46245.395472199074</x:v>
      </x:c>
      <x:c r="L890" s="19" t="n">
        <x:v>46232</x:v>
      </x:c>
      <x:c r="M890"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x:v>
      </x:c>
      <x:c r="N890" s="15" t="str">
        <x:v>https://prozorro.gov.ua/tender/UA-2026-08-11-005325-a</x:v>
      </x:c>
    </x:row>
    <x:row r="891">
      <x:c r="A891" s="14" t="n">
        <x:v>887</x:v>
      </x:c>
      <x:c r="B891" s="14" t="str">
        <x:v>ТОВ "УКРЕКСПЕРТПРОЕКТ"</x:v>
      </x:c>
      <x:c r="C891" s="14" t="str">
        <x:v>39313028</x:v>
      </x:c>
      <x:c r="D891" s="14" t="str">
        <x:v>Стиснене повітря / компресорні</x:v>
      </x:c>
      <x:c r="E891" s="14" t="str">
        <x:v>Expansion discovery</x:v>
      </x:c>
      <x:c r="F891" s="14" t="str">
        <x:v>I3</x:v>
      </x:c>
      <x:c r="G891" s="14" t="n">
        <x:v>44</x:v>
      </x:c>
      <x:c r="H891" s="14" t="n">
        <x:v>2</x:v>
      </x:c>
      <x:c r="I891" s="14" t="n">
        <x:v>0</x:v>
      </x:c>
      <x:c r="J891" s="18" t="n">
        <x:v>1650000</x:v>
      </x:c>
      <x:c r="K891" s="19" t="n">
        <x:v>45629.40538737269</x:v>
      </x:c>
      <x:c r="L891" s="19" t="n">
        <x:v>45898</x:v>
      </x:c>
      <x:c r="M891"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(Стадія "ТЕО") (Будівельні роботи та поточний ремонт)</x:v>
      </x:c>
      <x:c r="N891" s="15" t="str">
        <x:v>https://prozorro.gov.ua/tender/UA-2024-12-03-006719-a</x:v>
      </x:c>
    </x:row>
    <x:row r="892">
      <x:c r="A892" s="14" t="n">
        <x:v>888</x:v>
      </x:c>
      <x:c r="B892" s="14" t="str">
        <x:v>ТОВАРИСТВО З ОБМЕЖЕНОЮ ВІДПОВІДАЛЬНІСТЮ "ЕРАХІМ"</x:v>
      </x:c>
      <x:c r="C892" s="14" t="str">
        <x:v>41988470</x:v>
      </x:c>
      <x:c r="D892" s="14" t="str">
        <x:v>Покрівлі та гідроізоляція</x:v>
      </x:c>
      <x:c r="E892" s="14" t="str">
        <x:v>Expansion discovery</x:v>
      </x:c>
      <x:c r="F892" s="14" t="str">
        <x:v>I3</x:v>
      </x:c>
      <x:c r="G892" s="14" t="n">
        <x:v>44</x:v>
      </x:c>
      <x:c r="H892" s="14" t="n">
        <x:v>2</x:v>
      </x:c>
      <x:c r="I892" s="14" t="n">
        <x:v>0</x:v>
      </x:c>
      <x:c r="J892" s="18" t="n">
        <x:v>1452374</x:v>
      </x:c>
      <x:c r="K892" s="19" t="n">
        <x:v>45378.58477138889</x:v>
      </x:c>
      <x:c r="L892" s="19" t="n">
        <x:v>45404</x:v>
      </x:c>
      <x:c r="M892" s="15" t="str">
        <x:v>Смоли для виконання гідроізоляційних робіт на філії ВП "РАЕС"</x:v>
      </x:c>
      <x:c r="N892" s="15" t="str">
        <x:v>https://prozorro.gov.ua/tender/UA-2024-03-14-009254-a</x:v>
      </x:c>
    </x:row>
    <x:row r="893">
      <x:c r="A893" s="14" t="n">
        <x:v>889</x:v>
      </x:c>
      <x:c r="B893" s="14" t="str">
        <x:v>ТОВАРИСТВО З ОБМЕЖЕНОЮ ВІДПОВІДАЛЬНІСТЮ "КРЕМЕНЕРГОБУД"</x:v>
      </x:c>
      <x:c r="C893" s="14" t="str">
        <x:v>40914738</x:v>
      </x:c>
      <x:c r="D893" s="14" t="str">
        <x:v>Чисті приміщення</x:v>
      </x:c>
      <x:c r="E893" s="14" t="str">
        <x:v>Expansion discovery</x:v>
      </x:c>
      <x:c r="F893" s="14" t="str">
        <x:v>I3</x:v>
      </x:c>
      <x:c r="G893" s="14" t="n">
        <x:v>44</x:v>
      </x:c>
      <x:c r="H893" s="14" t="n">
        <x:v>2</x:v>
      </x:c>
      <x:c r="I893" s="14" t="n">
        <x:v>0</x:v>
      </x:c>
      <x:c r="J893" s="18" t="n">
        <x:v>626848.4</x:v>
      </x:c>
      <x:c r="K893" s="19" t="n">
        <x:v>45418.422898668985</x:v>
      </x:c>
      <x:c r="L893" s="19" t="n">
        <x:v>45443</x:v>
      </x:c>
      <x:c r="M893" s="15" t="str">
        <x:v>ДК 021:2015  45310000-3 Електромонтажні роботи («Реконструкція електричних мереж КНМП «Кременчуцька міська лікарня планового лікування» в частині встановлення резервного джерела живлення (дизельної електростанції - ДЕС) для операційного блоку хірургічного відділення головного корпусу, за адресою: Полтавська обл., м.Кременчук, проспект Полтавський, буд. 40»)</x:v>
      </x:c>
      <x:c r="N893" s="15" t="str">
        <x:v>https://prozorro.gov.ua/tender/UA-2024-05-06-003611-a</x:v>
      </x:c>
    </x:row>
    <x:row r="894">
      <x:c r="A894" s="14" t="n">
        <x:v>890</x:v>
      </x:c>
      <x:c r="B894" s="14" t="str">
        <x:v>ТОВАРИСТВО З ОБМЕЖЕНОЮ ВІДПОВІДАЛЬНІСТЮ "МЕГА МЕД МАРКЕТ"</x:v>
      </x:c>
      <x:c r="C894" s="14" t="str">
        <x:v>40433374</x:v>
      </x:c>
      <x:c r="D894" s="14" t="str">
        <x:v>Чисті приміщення</x:v>
      </x:c>
      <x:c r="E894" s="14" t="str">
        <x:v>Expansion discovery</x:v>
      </x:c>
      <x:c r="F894" s="14" t="str">
        <x:v>I3</x:v>
      </x:c>
      <x:c r="G894" s="14" t="n">
        <x:v>44</x:v>
      </x:c>
      <x:c r="H894" s="14" t="n">
        <x:v>2</x:v>
      </x:c>
      <x:c r="I894" s="14" t="n">
        <x:v>0</x:v>
      </x:c>
      <x:c r="J894" s="18" t="n">
        <x:v>1412717.34</x:v>
      </x:c>
      <x:c r="K894" s="19" t="n">
        <x:v>45650.55903509259</x:v>
      </x:c>
      <x:c r="L894" s="19" t="n">
        <x:v>45653</x:v>
      </x:c>
      <x:c r="M894"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Відсмоктувач медичний електричний, модель 7А-23В (20л); Стійка – стелаж СТС-1; Мийка медична ультразвукова Uzumcu UYT 10 – одинарна.</x:v>
      </x:c>
      <x:c r="N894" s="15" t="str">
        <x:v>https://prozorro.gov.ua/tender/UA-2024-12-24-015602-a</x:v>
      </x:c>
    </x:row>
    <x:row r="895">
      <x:c r="A895" s="14" t="n">
        <x:v>891</x:v>
      </x:c>
      <x:c r="B895" s="14" t="str">
        <x:v>ТОВАРИСТВО З ОБМЕЖЕНОЮ ВІДПОВІДАЛЬНІСТЮ "ТЕХНОПОЛІС"</x:v>
      </x:c>
      <x:c r="C895" s="14" t="str">
        <x:v>22178902</x:v>
      </x:c>
      <x:c r="D895" s="14" t="str">
        <x:v>СКС / BMS / слаботочка</x:v>
      </x:c>
      <x:c r="E895" s="14" t="str">
        <x:v>Expansion discovery</x:v>
      </x:c>
      <x:c r="F895" s="14" t="str">
        <x:v>I3</x:v>
      </x:c>
      <x:c r="G895" s="14" t="n">
        <x:v>44</x:v>
      </x:c>
      <x:c r="H895" s="14" t="n">
        <x:v>2</x:v>
      </x:c>
      <x:c r="I895" s="14" t="n">
        <x:v>0</x:v>
      </x:c>
      <x:c r="J895" s="18" t="n">
        <x:v>186367.2</x:v>
      </x:c>
      <x:c r="K895" s="19" t="n">
        <x:v>46002.562532951386</x:v>
      </x:c>
      <x:c r="L895" s="19" t="n">
        <x:v>46022.916666655095</x:v>
      </x:c>
      <x:c r="M895" s="15" t="str">
        <x:v>встановлення та монтаж структуризованої кабельної системи локальної мережі, код ДК 021:2015 (CPV) : 72710000-0 Послуги у сфері локальних мереж</x:v>
      </x:c>
      <x:c r="N895" s="15" t="str">
        <x:v>https://prozorro.gov.ua/tender/UA-2025-12-11-016962-a</x:v>
      </x:c>
    </x:row>
    <x:row r="896">
      <x:c r="A896" s="14" t="n">
        <x:v>892</x:v>
      </x:c>
      <x:c r="B896" s="14" t="str">
        <x:v>ФОП КРЯЧКО ВІТАЛІЙ ЮРІЙОВИЧ</x:v>
      </x:c>
      <x:c r="C896" s="14" t="str">
        <x:v>2815704419</x:v>
      </x:c>
      <x:c r="D896" s="14" t="str">
        <x:v>Електромонтаж</x:v>
      </x:c>
      <x:c r="E896" s="14" t="str">
        <x:v>Pilot now</x:v>
      </x:c>
      <x:c r="F896" s="14" t="str">
        <x:v>I3</x:v>
      </x:c>
      <x:c r="G896" s="14" t="n">
        <x:v>44</x:v>
      </x:c>
      <x:c r="H896" s="14" t="n">
        <x:v>1</x:v>
      </x:c>
      <x:c r="I896" s="14" t="n">
        <x:v>0</x:v>
      </x:c>
      <x:c r="J896" s="18" t="n">
        <x:v>95900</x:v>
      </x:c>
      <x:c r="K896" s="19" t="n">
        <x:v>46213.47965162037</x:v>
      </x:c>
      <x:c r="L896" s="19" t="n">
        <x:v>46234.87498842592</x:v>
      </x:c>
      <x:c r="M896"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x:v>
      </x:c>
      <x:c r="N896" s="15" t="str">
        <x:v>https://prozorro.gov.ua/tender/UA-2026-07-10-007609-a</x:v>
      </x:c>
    </x:row>
    <x:row r="897">
      <x:c r="A897" s="14" t="n">
        <x:v>893</x:v>
      </x:c>
      <x:c r="B897" s="14" t="str">
        <x:v>ФОП Різник Руслан Сергійович</x:v>
      </x:c>
      <x:c r="C897" s="14" t="str">
        <x:v>3468107094</x:v>
      </x:c>
      <x:c r="D897" s="14" t="str">
        <x:v>Мости / інфраструктура</x:v>
      </x:c>
      <x:c r="E897" s="14" t="str">
        <x:v>Expansion discovery</x:v>
      </x:c>
      <x:c r="F897" s="14" t="str">
        <x:v>I3</x:v>
      </x:c>
      <x:c r="G897" s="14" t="n">
        <x:v>44</x:v>
      </x:c>
      <x:c r="H897" s="14" t="n">
        <x:v>1</x:v>
      </x:c>
      <x:c r="I897" s="14" t="n">
        <x:v>0</x:v>
      </x:c>
      <x:c r="J897" s="18" t="n">
        <x:v>11000</x:v>
      </x:c>
      <x:c r="K897" s="19" t="n">
        <x:v>46219.61719828704</x:v>
      </x:c>
      <x:c r="L897" s="19" t="n">
        <x:v>46228.61788194445</x:v>
      </x:c>
      <x:c r="M897" s="15" t="str">
        <x:v>Ремонт переднього моста, ремонт задньої підвіски, заміна фільтрів і оливи, змащування автобуса</x:v>
      </x:c>
      <x:c r="N897" s="15" t="str">
        <x:v>https://prozorro.gov.ua/tender/UA-2026-07-16-010202-a</x:v>
      </x:c>
    </x:row>
    <x:row r="898">
      <x:c r="A898" s="14" t="n">
        <x:v>894</x:v>
      </x:c>
      <x:c r="B898" s="14" t="str">
        <x:v>Фізична особа-підприємець Басюк А.В.</x:v>
      </x:c>
      <x:c r="C898" s="14" t="str">
        <x:v>3085712518</x:v>
      </x:c>
      <x:c r="D898" s="14" t="str">
        <x:v>Електромонтаж</x:v>
      </x:c>
      <x:c r="E898" s="14" t="str">
        <x:v>Pilot now</x:v>
      </x:c>
      <x:c r="F898" s="14" t="str">
        <x:v>I3</x:v>
      </x:c>
      <x:c r="G898" s="14" t="n">
        <x:v>43</x:v>
      </x:c>
      <x:c r="H898" s="14" t="n">
        <x:v>2</x:v>
      </x:c>
      <x:c r="I898" s="14" t="n">
        <x:v>2</x:v>
      </x:c>
      <x:c r="J898" s="18" t="n">
        <x:v>117570.52</x:v>
      </x:c>
      <x:c r="K898" s="19" t="n">
        <x:v>46197.519744467594</x:v>
      </x:c>
      <x:c r="L898" s="19" t="n">
        <x:v>46387.56185185185</x:v>
      </x:c>
      <x:c r="M898" s="15" t="str">
        <x:v>51110000-6 - Послуги зі встановлення електричного обладнання (послуги з монтажу дизель-генератора)</x:v>
      </x:c>
      <x:c r="N898" s="15" t="str">
        <x:v>https://prozorro.gov.ua/tender/UA-2026-06-24-009922-a</x:v>
      </x:c>
    </x:row>
    <x:row r="899">
      <x:c r="A899" s="14" t="n">
        <x:v>895</x:v>
      </x:c>
      <x:c r="B899" s="14" t="str">
        <x:v>ВАЩЕНКО ВОЛОДИМИР ІВАНОВИЧ</x:v>
      </x:c>
      <x:c r="C899" s="14" t="str">
        <x:v>2730510078</x:v>
      </x:c>
      <x:c r="D899" s="14" t="str">
        <x:v>HVAC / ОВіК</x:v>
      </x:c>
      <x:c r="E899" s="14" t="str">
        <x:v>Pilot now</x:v>
      </x:c>
      <x:c r="F899" s="14" t="str">
        <x:v>I3</x:v>
      </x:c>
      <x:c r="G899" s="14" t="n">
        <x:v>43</x:v>
      </x:c>
      <x:c r="H899" s="14" t="n">
        <x:v>1</x:v>
      </x:c>
      <x:c r="I899" s="14" t="n">
        <x:v>1</x:v>
      </x:c>
      <x:c r="J899" s="18" t="n">
        <x:v>59660</x:v>
      </x:c>
      <x:c r="K899" s="19" t="n">
        <x:v>46211.353690625</x:v>
      </x:c>
      <x:c r="L899" s="19" t="n">
        <x:v>46387</x:v>
      </x:c>
      <x:c r="M899"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x:v>
      </x:c>
      <x:c r="N899" s="15" t="str">
        <x:v>https://prozorro.gov.ua/tender/UA-2026-07-08-003640-a</x:v>
      </x:c>
    </x:row>
    <x:row r="900">
      <x:c r="A900" s="14" t="n">
        <x:v>896</x:v>
      </x:c>
      <x:c r="B900" s="14" t="str">
        <x:v>Гейне-Голованова Юлія Володимирівна</x:v>
      </x:c>
      <x:c r="C900" s="14" t="str">
        <x:v>3194207541</x:v>
      </x:c>
      <x:c r="D900" s="14" t="str">
        <x:v>Пожежогасіння</x:v>
      </x:c>
      <x:c r="E900" s="14" t="str">
        <x:v>Expansion discovery</x:v>
      </x:c>
      <x:c r="F900" s="14" t="str">
        <x:v>I3</x:v>
      </x:c>
      <x:c r="G900" s="14" t="n">
        <x:v>43</x:v>
      </x:c>
      <x:c r="H900" s="14" t="n">
        <x:v>2</x:v>
      </x:c>
      <x:c r="I900" s="14" t="n">
        <x:v>1</x:v>
      </x:c>
      <x:c r="J900" s="18" t="n">
        <x:v>112948.66</x:v>
      </x:c>
      <x:c r="K900" s="19" t="n">
        <x:v>46020.32758694445</x:v>
      </x:c>
      <x:c r="L900" s="19" t="n">
        <x:v>46022.916666655095</x:v>
      </x:c>
      <x:c r="M900" s="15" t="str">
        <x:v>Монтаж систем пожежної та охоронної сигналізацій</x:v>
      </x:c>
      <x:c r="N900" s="15" t="str">
        <x:v>https://prozorro.gov.ua/tender/UA-2025-12-29-001097-a</x:v>
      </x:c>
    </x:row>
    <x:row r="901">
      <x:c r="A901" s="14" t="n">
        <x:v>897</x:v>
      </x:c>
      <x:c r="B901" s="14" t="str">
        <x:v>ДАНИЛЮК ВОЛОДИМИР ВАСИЛЬОВИЧ</x:v>
      </x:c>
      <x:c r="C901" s="14" t="str">
        <x:v>3025618591</x:v>
      </x:c>
      <x:c r="D901" s="14" t="str">
        <x:v>HVAC / ОВіК</x:v>
      </x:c>
      <x:c r="E901" s="14" t="str">
        <x:v>Pilot now</x:v>
      </x:c>
      <x:c r="F901" s="14" t="str">
        <x:v>I3</x:v>
      </x:c>
      <x:c r="G901" s="14" t="n">
        <x:v>43</x:v>
      </x:c>
      <x:c r="H901" s="14" t="n">
        <x:v>1</x:v>
      </x:c>
      <x:c r="I901" s="14" t="n">
        <x:v>1</x:v>
      </x:c>
      <x:c r="J901" s="18" t="n">
        <x:v>72248</x:v>
      </x:c>
      <x:c r="K901" s="19" t="n">
        <x:v>46155.29248162037</x:v>
      </x:c>
      <x:c r="L901" s="19" t="n">
        <x:v>46387</x:v>
      </x:c>
      <x:c r="M901" s="15" t="str">
        <x:v>Послуга з монтажу системи опалення теплиці</x:v>
      </x:c>
      <x:c r="N901" s="15" t="str">
        <x:v>https://prozorro.gov.ua/tender/UA-2026-05-13-001714-a</x:v>
      </x:c>
    </x:row>
    <x:row r="902">
      <x:c r="A902" s="14" t="n">
        <x:v>898</x:v>
      </x:c>
      <x:c r="B902" s="14" t="str">
        <x:v>ІВАНДЮК ВІКТОР ВАСИЛЬОВИЧ</x:v>
      </x:c>
      <x:c r="C902" s="14" t="str">
        <x:v>3028818933</x:v>
      </x:c>
      <x:c r="D902" s="14" t="str">
        <x:v>Водоочищення / очисні споруди</x:v>
      </x:c>
      <x:c r="E902" s="14" t="str">
        <x:v>Expansion discovery</x:v>
      </x:c>
      <x:c r="F902" s="14" t="str">
        <x:v>I3</x:v>
      </x:c>
      <x:c r="G902" s="14" t="n">
        <x:v>43</x:v>
      </x:c>
      <x:c r="H902" s="14" t="n">
        <x:v>1</x:v>
      </x:c>
      <x:c r="I902" s="14" t="n">
        <x:v>1</x:v>
      </x:c>
      <x:c r="J902" s="18" t="n">
        <x:v>22902.06</x:v>
      </x:c>
      <x:c r="K902" s="19" t="n">
        <x:v>46204.518439074076</x:v>
      </x:c>
      <x:c r="L902" s="19" t="n">
        <x:v>46387</x:v>
      </x:c>
      <x:c r="M902" s="15" t="str">
        <x:v>Комплекс робіт по інженерно геодезичним вишукуванням на об*єкті "Реконструкція очисних споруд в м. Бобринець Кіровоградської області".</x:v>
      </x:c>
      <x:c r="N902" s="15" t="str">
        <x:v>https://prozorro.gov.ua/tender/UA-2026-07-01-007304-a</x:v>
      </x:c>
    </x:row>
    <x:row r="903">
      <x:c r="A903" s="14" t="n">
        <x:v>899</x:v>
      </x:c>
      <x:c r="B903" s="14" t="str">
        <x:v>Іванець Дмитро Ігорович</x:v>
      </x:c>
      <x:c r="C903" s="14" t="str">
        <x:v>3097011118</x:v>
      </x:c>
      <x:c r="D903" s="14" t="str">
        <x:v>Сонячна енергетика</x:v>
      </x:c>
      <x:c r="E903" s="14" t="str">
        <x:v>Expansion discovery</x:v>
      </x:c>
      <x:c r="F903" s="14" t="str">
        <x:v>I3</x:v>
      </x:c>
      <x:c r="G903" s="14" t="n">
        <x:v>43</x:v>
      </x:c>
      <x:c r="H903" s="14" t="n">
        <x:v>1</x:v>
      </x:c>
      <x:c r="I903" s="14" t="n">
        <x:v>1</x:v>
      </x:c>
      <x:c r="J903" s="18" t="n">
        <x:v>27693</x:v>
      </x:c>
      <x:c r="K903" s="19" t="n">
        <x:v>46175.26477175926</x:v>
      </x:c>
      <x:c r="L903" s="19" t="n">
        <x:v>46265</x:v>
      </x:c>
      <x:c r="M903"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903" s="15" t="str">
        <x:v>https://prozorro.gov.ua/tender/UA-2026-06-02-000725-a</x:v>
      </x:c>
    </x:row>
    <x:row r="904">
      <x:c r="A904" s="14" t="n">
        <x:v>900</x:v>
      </x:c>
      <x:c r="B904" s="14" t="str">
        <x:v>КИРПОТА ВАДИМ ВІКТОРОВИЧ</x:v>
      </x:c>
      <x:c r="C904" s="14" t="str">
        <x:v>3204302870</x:v>
      </x:c>
      <x:c r="D904" s="14" t="str">
        <x:v>HVAC / ОВіК</x:v>
      </x:c>
      <x:c r="E904" s="14" t="str">
        <x:v>Pilot now</x:v>
      </x:c>
      <x:c r="F904" s="14" t="str">
        <x:v>I3</x:v>
      </x:c>
      <x:c r="G904" s="14" t="n">
        <x:v>43</x:v>
      </x:c>
      <x:c r="H904" s="14" t="n">
        <x:v>2</x:v>
      </x:c>
      <x:c r="I904" s="14" t="n">
        <x:v>1</x:v>
      </x:c>
      <x:c r="J904" s="18" t="n">
        <x:v>170000</x:v>
      </x:c>
      <x:c r="K904" s="19" t="n">
        <x:v>45713.374196412035</x:v>
      </x:c>
      <x:c r="L904" s="19" t="n">
        <x:v>46022</x:v>
      </x:c>
      <x:c r="M904" s="15" t="str">
        <x:v>Послуги з монтажу та обслуговування  систем кондиціонування та вентиляції</x:v>
      </x:c>
      <x:c r="N904" s="15" t="str">
        <x:v>https://prozorro.gov.ua/tender/UA-2025-02-25-003559-a</x:v>
      </x:c>
    </x:row>
    <x:row r="905">
      <x:c r="A905" s="14" t="n">
        <x:v>901</x:v>
      </x:c>
      <x:c r="B905" s="14" t="str">
        <x:v>КРАВЦОВА ДАРІЯ ОЛЕКСАНДРІВНА</x:v>
      </x:c>
      <x:c r="C905" s="14" t="str">
        <x:v>3313601482</x:v>
      </x:c>
      <x:c r="D905" s="14" t="str">
        <x:v>Теплові мережі</x:v>
      </x:c>
      <x:c r="E905" s="14" t="str">
        <x:v>Expansion discovery</x:v>
      </x:c>
      <x:c r="F905" s="14" t="str">
        <x:v>I3</x:v>
      </x:c>
      <x:c r="G905" s="14" t="n">
        <x:v>43</x:v>
      </x:c>
      <x:c r="H905" s="14" t="n">
        <x:v>1</x:v>
      </x:c>
      <x:c r="I905" s="14" t="n">
        <x:v>1</x:v>
      </x:c>
      <x:c r="J905" s="18" t="n">
        <x:v>35778</x:v>
      </x:c>
      <x:c r="K905" s="19" t="n">
        <x:v>46211.4903653125</x:v>
      </x:c>
      <x:c r="L905" s="19" t="n">
        <x:v>46295</x:v>
      </x:c>
      <x:c r="M905" s="15" t="str">
        <x:v>Авторський нагляд на об'єкті: "Реконструкція із заміною теплової мережі по вул. Привокзальна площа,5, м.Ірпінь</x:v>
      </x:c>
      <x:c r="N905" s="15" t="str">
        <x:v>https://prozorro.gov.ua/tender/UA-2026-07-08-007601-a</x:v>
      </x:c>
    </x:row>
    <x:row r="906">
      <x:c r="A906" s="14" t="n">
        <x:v>902</x:v>
      </x:c>
      <x:c r="B906" s="14" t="str">
        <x:v>МАКАРУХА МИХАЙЛО ІВАНОВИЧ</x:v>
      </x:c>
      <x:c r="C906" s="14" t="str">
        <x:v>3283304577</x:v>
      </x:c>
      <x:c r="D906" s="14" t="str">
        <x:v>HVAC / ОВіК</x:v>
      </x:c>
      <x:c r="E906" s="14" t="str">
        <x:v>Pilot now</x:v>
      </x:c>
      <x:c r="F906" s="14" t="str">
        <x:v>I3</x:v>
      </x:c>
      <x:c r="G906" s="14" t="n">
        <x:v>43</x:v>
      </x:c>
      <x:c r="H906" s="14" t="n">
        <x:v>1</x:v>
      </x:c>
      <x:c r="I906" s="14" t="n">
        <x:v>1</x:v>
      </x:c>
      <x:c r="J906" s="18" t="n">
        <x:v>96595.64</x:v>
      </x:c>
      <x:c r="K906" s="19" t="n">
        <x:v>46178.56325513889</x:v>
      </x:c>
      <x:c r="L906" s="19" t="n">
        <x:v>46387</x:v>
      </x:c>
      <x:c r="M906"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x:v>
      </x:c>
      <x:c r="N906" s="15" t="str">
        <x:v>https://prozorro.gov.ua/tender/UA-2026-06-05-011359-a</x:v>
      </x:c>
    </x:row>
    <x:row r="907">
      <x:c r="A907" s="14" t="n">
        <x:v>903</x:v>
      </x:c>
      <x:c r="B907" s="14" t="str">
        <x:v>МАРЗАН ВАЛЕРІЙ ПЕТРОВИЧ</x:v>
      </x:c>
      <x:c r="C907" s="14" t="str">
        <x:v>2218713259</x:v>
      </x:c>
      <x:c r="D907" s="14" t="str">
        <x:v>Промисловий холод</x:v>
      </x:c>
      <x:c r="E907" s="14" t="str">
        <x:v>Expansion discovery</x:v>
      </x:c>
      <x:c r="F907" s="14" t="str">
        <x:v>I3</x:v>
      </x:c>
      <x:c r="G907" s="14" t="n">
        <x:v>43</x:v>
      </x:c>
      <x:c r="H907" s="14" t="n">
        <x:v>1</x:v>
      </x:c>
      <x:c r="I907" s="14" t="n">
        <x:v>1</x:v>
      </x:c>
      <x:c r="J907" s="18" t="n">
        <x:v>60000</x:v>
      </x:c>
      <x:c r="K907" s="19" t="n">
        <x:v>46209.536425659724</x:v>
      </x:c>
      <x:c r="L907" s="19" t="n">
        <x:v>46387</x:v>
      </x:c>
      <x:c r="M907" s="15" t="str">
        <x:v>Кондиціонер Osaka STV-18 HH з монтажем за ДК 021:2015 "42510000-4 Теплообмінники, кондиціонери повітря, холодильне обладнання та фільтрувальні пристрої"</x:v>
      </x:c>
      <x:c r="N907" s="15" t="str">
        <x:v>https://prozorro.gov.ua/tender/UA-2026-07-06-008444-a</x:v>
      </x:c>
    </x:row>
    <x:row r="908">
      <x:c r="A908" s="14" t="n">
        <x:v>904</x:v>
      </x:c>
      <x:c r="B908" s="14" t="str">
        <x:v>НЕЧМОГЛОД АНДРІЙ ОЛЕКСАНДРОВИЧ</x:v>
      </x:c>
      <x:c r="C908" s="14" t="str">
        <x:v>2775613999</x:v>
      </x:c>
      <x:c r="D908" s="14" t="str">
        <x:v>Мости / інфраструктура</x:v>
      </x:c>
      <x:c r="E908" s="14" t="str">
        <x:v>Expansion discovery</x:v>
      </x:c>
      <x:c r="F908" s="14" t="str">
        <x:v>I3</x:v>
      </x:c>
      <x:c r="G908" s="14" t="n">
        <x:v>43</x:v>
      </x:c>
      <x:c r="H908" s="14" t="n">
        <x:v>1</x:v>
      </x:c>
      <x:c r="I908" s="14" t="n">
        <x:v>1</x:v>
      </x:c>
      <x:c r="J908" s="18" t="n">
        <x:v>10240</x:v>
      </x:c>
      <x:c r="K908" s="19" t="n">
        <x:v>46175.526990046295</x:v>
      </x:c>
      <x:c r="L908" s="19" t="n">
        <x:v>46387</x:v>
      </x:c>
      <x:c r="M908"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x:v>
      </x:c>
      <x:c r="N908" s="15" t="str">
        <x:v>https://prozorro.gov.ua/tender/UA-2026-06-02-010608-a</x:v>
      </x:c>
    </x:row>
    <x:row r="909">
      <x:c r="A909" s="14" t="n">
        <x:v>905</x:v>
      </x:c>
      <x:c r="B909" s="14" t="str">
        <x:v>ОМЕЛЬЧУК ВІКТОР ПАВЛОВИЧ</x:v>
      </x:c>
      <x:c r="C909" s="14" t="str">
        <x:v>2522409470</x:v>
      </x:c>
      <x:c r="D909" s="14" t="str">
        <x:v>Водоочищення / очисні споруди</x:v>
      </x:c>
      <x:c r="E909" s="14" t="str">
        <x:v>Expansion discovery</x:v>
      </x:c>
      <x:c r="F909" s="14" t="str">
        <x:v>I3</x:v>
      </x:c>
      <x:c r="G909" s="14" t="n">
        <x:v>43</x:v>
      </x:c>
      <x:c r="H909" s="14" t="n">
        <x:v>1</x:v>
      </x:c>
      <x:c r="I909" s="14" t="n">
        <x:v>1</x:v>
      </x:c>
      <x:c r="J909" s="18" t="n">
        <x:v>99651</x:v>
      </x:c>
      <x:c r="K909" s="19" t="n">
        <x:v>46212.63753219907</x:v>
      </x:c>
      <x:c r="L909" s="19" t="n">
        <x:v>46387</x:v>
      </x:c>
      <x:c r="M909"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x:v>
      </x:c>
      <x:c r="N909" s="15" t="str">
        <x:v>https://prozorro.gov.ua/tender/UA-2026-07-09-011277-a</x:v>
      </x:c>
    </x:row>
    <x:row r="910">
      <x:c r="A910" s="14" t="n">
        <x:v>906</x:v>
      </x:c>
      <x:c r="B910" s="14" t="str">
        <x:v>ТИЧИНА СЕРГІЙ МИКОЛАЙОВИЧ</x:v>
      </x:c>
      <x:c r="C910" s="14" t="str">
        <x:v>2750313610</x:v>
      </x:c>
      <x:c r="D910" s="14" t="str">
        <x:v>Промисловий холод</x:v>
      </x:c>
      <x:c r="E910" s="14" t="str">
        <x:v>Expansion discovery</x:v>
      </x:c>
      <x:c r="F910" s="14" t="str">
        <x:v>I3</x:v>
      </x:c>
      <x:c r="G910" s="14" t="n">
        <x:v>43</x:v>
      </x:c>
      <x:c r="H910" s="14" t="n">
        <x:v>1</x:v>
      </x:c>
      <x:c r="I910" s="14" t="n">
        <x:v>1</x:v>
      </x:c>
      <x:c r="J910" s="18" t="n">
        <x:v>32770</x:v>
      </x:c>
      <x:c r="K910" s="19" t="n">
        <x:v>46209.51092287037</x:v>
      </x:c>
      <x:c r="L910" s="19" t="n">
        <x:v>46387</x:v>
      </x:c>
      <x:c r="M910"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x:v>
      </x:c>
      <x:c r="N910" s="15" t="str">
        <x:v>https://prozorro.gov.ua/tender/UA-2026-07-06-007484-a</x:v>
      </x:c>
    </x:row>
    <x:row r="911">
      <x:c r="A911" s="14" t="n">
        <x:v>907</x:v>
      </x:c>
      <x:c r="B911" s="14" t="str">
        <x:v>ТОВ "БМП "Електросервіс"</x:v>
      </x:c>
      <x:c r="C911" s="14" t="str">
        <x:v>42485094</x:v>
      </x:c>
      <x:c r="D911" s="14" t="str">
        <x:v>Електромонтаж</x:v>
      </x:c>
      <x:c r="E911" s="14" t="str">
        <x:v>Pilot now</x:v>
      </x:c>
      <x:c r="F911" s="14" t="str">
        <x:v>I3</x:v>
      </x:c>
      <x:c r="G911" s="14" t="n">
        <x:v>43</x:v>
      </x:c>
      <x:c r="H911" s="14" t="n">
        <x:v>2</x:v>
      </x:c>
      <x:c r="I911" s="14" t="n">
        <x:v>1</x:v>
      </x:c>
      <x:c r="J911" s="18" t="n">
        <x:v>50808.8</x:v>
      </x:c>
      <x:c r="K911" s="19" t="n">
        <x:v>46107.27188730324</x:v>
      </x:c>
      <x:c r="L911" s="19" t="n">
        <x:v>46387.27075231481</x:v>
      </x:c>
      <x:c r="M911" s="15" t="str">
        <x:v>Електровимірювальні роботи перехідного опору, опору ізоляції, петлі "фаза-нуль", контурів заземлення</x:v>
      </x:c>
      <x:c r="N911" s="15" t="str">
        <x:v>https://prozorro.gov.ua/tender/UA-2026-03-26-000308-a</x:v>
      </x:c>
    </x:row>
    <x:row r="912">
      <x:c r="A912" s="14" t="n">
        <x:v>908</x:v>
      </x:c>
      <x:c r="B912" s="14" t="str">
        <x:v>Фізична особа підприємець Овсійчук Наталія Василівна</x:v>
      </x:c>
      <x:c r="C912" s="14" t="str">
        <x:v>3194516666</x:v>
      </x:c>
      <x:c r="D912" s="14" t="str">
        <x:v>Фасади та скління</x:v>
      </x:c>
      <x:c r="E912" s="14" t="str">
        <x:v>Expansion discovery</x:v>
      </x:c>
      <x:c r="F912" s="14" t="str">
        <x:v>I3</x:v>
      </x:c>
      <x:c r="G912" s="14" t="n">
        <x:v>43</x:v>
      </x:c>
      <x:c r="H912" s="14" t="n">
        <x:v>1</x:v>
      </x:c>
      <x:c r="I912" s="14" t="n">
        <x:v>1</x:v>
      </x:c>
      <x:c r="J912" s="18" t="n">
        <x:v>35000</x:v>
      </x:c>
      <x:c r="K912" s="19" t="n">
        <x:v>46196.302581655094</x:v>
      </x:c>
      <x:c r="L912" s="19" t="n">
        <x:v>46387.338738425926</x:v>
      </x:c>
      <x:c r="M912" s="15" t="str">
        <x:v>послуги з утеплення фасаду ЗДО № 43 м.Житомира</x:v>
      </x:c>
      <x:c r="N912" s="15" t="str">
        <x:v>https://prozorro.gov.ua/tender/UA-2026-06-23-001980-a</x:v>
      </x:c>
    </x:row>
    <x:row r="913">
      <x:c r="A913" s="14" t="n">
        <x:v>909</x:v>
      </x:c>
      <x:c r="B913" s="14" t="str">
        <x:v>Фізична особа-підприємець Зягун Микола Володимирович</x:v>
      </x:c>
      <x:c r="C913" s="14" t="str">
        <x:v>3045015151</x:v>
      </x:c>
      <x:c r="D913" s="14" t="str">
        <x:v>Безпека / СКУД / CCTV</x:v>
      </x:c>
      <x:c r="E913" s="14" t="str">
        <x:v>Expansion discovery</x:v>
      </x:c>
      <x:c r="F913" s="14" t="str">
        <x:v>I3</x:v>
      </x:c>
      <x:c r="G913" s="14" t="n">
        <x:v>43</x:v>
      </x:c>
      <x:c r="H913" s="14" t="n">
        <x:v>1</x:v>
      </x:c>
      <x:c r="I913" s="14" t="n">
        <x:v>1</x:v>
      </x:c>
      <x:c r="J913" s="18" t="n">
        <x:v>5616</x:v>
      </x:c>
      <x:c r="K913" s="19" t="n">
        <x:v>46190.376203148146</x:v>
      </x:c>
      <x:c r="L913" s="19" t="n">
        <x:v>46387</x:v>
      </x:c>
      <x:c r="M913" s="15" t="str">
        <x:v>Послуги по монтажу системи відеоспостереження</x:v>
      </x:c>
      <x:c r="N913" s="15" t="str">
        <x:v>https://prozorro.gov.ua/tender/UA-2026-06-17-005254-a</x:v>
      </x:c>
    </x:row>
    <x:row r="914">
      <x:c r="A914" s="14" t="n">
        <x:v>910</x:v>
      </x:c>
      <x:c r="B914" s="14" t="str">
        <x:v>Фізична особа-підприємець Ополончик С.В.</x:v>
      </x:c>
      <x:c r="C914" s="14" t="str">
        <x:v>1923604877</x:v>
      </x:c>
      <x:c r="D914" s="14" t="str">
        <x:v>Електромонтаж</x:v>
      </x:c>
      <x:c r="E914" s="14" t="str">
        <x:v>Pilot now</x:v>
      </x:c>
      <x:c r="F914" s="14" t="str">
        <x:v>I3</x:v>
      </x:c>
      <x:c r="G914" s="14" t="n">
        <x:v>43</x:v>
      </x:c>
      <x:c r="H914" s="14" t="n">
        <x:v>1</x:v>
      </x:c>
      <x:c r="I914" s="14" t="n">
        <x:v>1</x:v>
      </x:c>
      <x:c r="J914" s="18" t="n">
        <x:v>51209.36</x:v>
      </x:c>
      <x:c r="K914" s="19" t="n">
        <x:v>46188.25320684028</x:v>
      </x:c>
      <x:c r="L914" s="19" t="n">
        <x:v>46387.29368055556</x:v>
      </x:c>
      <x:c r="M914" s="15" t="str">
        <x:v>Електромонтажні роботи</x:v>
      </x:c>
      <x:c r="N914" s="15" t="str">
        <x:v>https://prozorro.gov.ua/tender/UA-2026-06-15-000349-a</x:v>
      </x:c>
    </x:row>
    <x:row r="915">
      <x:c r="A915" s="14" t="n">
        <x:v>911</x:v>
      </x:c>
      <x:c r="B915" s="14" t="str">
        <x:v>Фізична особа-підприємець Слободенюк Павло Іванович</x:v>
      </x:c>
      <x:c r="C915" s="14" t="str">
        <x:v>3416106495</x:v>
      </x:c>
      <x:c r="D915" s="14" t="str">
        <x:v>Безпека / СКУД / CCTV</x:v>
      </x:c>
      <x:c r="E915" s="14" t="str">
        <x:v>Expansion discovery</x:v>
      </x:c>
      <x:c r="F915" s="14" t="str">
        <x:v>I3</x:v>
      </x:c>
      <x:c r="G915" s="14" t="n">
        <x:v>43</x:v>
      </x:c>
      <x:c r="H915" s="14" t="n">
        <x:v>1</x:v>
      </x:c>
      <x:c r="I915" s="14" t="n">
        <x:v>1</x:v>
      </x:c>
      <x:c r="J915" s="18" t="n">
        <x:v>39206</x:v>
      </x:c>
      <x:c r="K915" s="19" t="n">
        <x:v>46167.60540934028</x:v>
      </x:c>
      <x:c r="L915" s="19" t="n">
        <x:v>46387.64173611111</x:v>
      </x:c>
      <x:c r="M915" s="15" t="str">
        <x:v>Монтаж системи відеоспостереження</x:v>
      </x:c>
      <x:c r="N915" s="15" t="str">
        <x:v>https://prozorro.gov.ua/tender/UA-2026-05-25-013477-a</x:v>
      </x:c>
    </x:row>
    <x:row r="916">
      <x:c r="A916" s="14" t="n">
        <x:v>912</x:v>
      </x:c>
      <x:c r="B916" s="14" t="str">
        <x:v>Фізична особа-підприємець Триндяк Богдан Григорович</x:v>
      </x:c>
      <x:c r="C916" s="14" t="str">
        <x:v>2295118973</x:v>
      </x:c>
      <x:c r="D916" s="14" t="str">
        <x:v>Водоочищення / очисні споруди</x:v>
      </x:c>
      <x:c r="E916" s="14" t="str">
        <x:v>Expansion discovery</x:v>
      </x:c>
      <x:c r="F916" s="14" t="str">
        <x:v>I3</x:v>
      </x:c>
      <x:c r="G916" s="14" t="n">
        <x:v>43</x:v>
      </x:c>
      <x:c r="H916" s="14" t="n">
        <x:v>1</x:v>
      </x:c>
      <x:c r="I916" s="14" t="n">
        <x:v>1</x:v>
      </x:c>
      <x:c r="J916" s="18" t="n">
        <x:v>21524.64</x:v>
      </x:c>
      <x:c r="K916" s="19" t="n">
        <x:v>46203.396445555554</x:v>
      </x:c>
      <x:c r="L916" s="19" t="n">
        <x:v>46384</x:v>
      </x:c>
      <x:c r="M916"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x:v>
      </x:c>
      <x:c r="N916" s="15" t="str">
        <x:v>https://prozorro.gov.ua/tender/UA-2026-06-30-005646-a</x:v>
      </x:c>
    </x:row>
    <x:row r="917">
      <x:c r="A917" s="14" t="n">
        <x:v>913</x:v>
      </x:c>
      <x:c r="B917" s="14" t="str">
        <x:v>Фізична особа-підприємець Яцишин Ігор Іванович</x:v>
      </x:c>
      <x:c r="C917" s="14" t="str">
        <x:v>2269304539</x:v>
      </x:c>
      <x:c r="D917" s="14" t="str">
        <x:v>Зовнішні мережі</x:v>
      </x:c>
      <x:c r="E917" s="14" t="str">
        <x:v>Expansion discovery</x:v>
      </x:c>
      <x:c r="F917" s="14" t="str">
        <x:v>I3</x:v>
      </x:c>
      <x:c r="G917" s="14" t="n">
        <x:v>43</x:v>
      </x:c>
      <x:c r="H917" s="14" t="n">
        <x:v>1</x:v>
      </x:c>
      <x:c r="I917" s="14" t="n">
        <x:v>1</x:v>
      </x:c>
      <x:c r="J917" s="18" t="n">
        <x:v>84632</x:v>
      </x:c>
      <x:c r="K917" s="19" t="n">
        <x:v>46189.367033159724</x:v>
      </x:c>
      <x:c r="L917" s="19" t="n">
        <x:v>46295</x:v>
      </x:c>
      <x:c r="M917" s="15" t="str">
        <x:v>Виконання робіт з розробки проєктної документації "Капітальний ремонт зовнішніх мереж водопостачання на проспекті Відродження  в м. Луцьку Волинської області"</x:v>
      </x:c>
      <x:c r="N917" s="15" t="str">
        <x:v>https://prozorro.gov.ua/tender/UA-2026-06-16-005035-a</x:v>
      </x:c>
    </x:row>
    <x:row r="918">
      <x:c r="A918" s="14" t="n">
        <x:v>914</x:v>
      </x:c>
      <x:c r="B918" s="14" t="str">
        <x:v>ФОП "Іваненко Я.О."</x:v>
      </x:c>
      <x:c r="C918" s="14" t="str">
        <x:v>3031114075</x:v>
      </x:c>
      <x:c r="D918" s="14" t="str">
        <x:v>Мости / інфраструктура</x:v>
      </x:c>
      <x:c r="E918" s="14" t="str">
        <x:v>Expansion discovery</x:v>
      </x:c>
      <x:c r="F918" s="14" t="str">
        <x:v>I3</x:v>
      </x:c>
      <x:c r="G918" s="14" t="n">
        <x:v>43</x:v>
      </x:c>
      <x:c r="H918" s="14" t="n">
        <x:v>1</x:v>
      </x:c>
      <x:c r="I918" s="14" t="n">
        <x:v>1</x:v>
      </x:c>
      <x:c r="J918" s="18" t="n">
        <x:v>69840</x:v>
      </x:c>
      <x:c r="K918" s="19" t="n">
        <x:v>46190.54853583333</x:v>
      </x:c>
      <x:c r="L918" s="19" t="n">
        <x:v>46387</x:v>
      </x:c>
      <x:c r="M918" s="15" t="str">
        <x:v>Запчастини для ремонту автомобіля ЗІЛ ММЗ(редуктор заднього моста, ресора задня(16 листів))</x:v>
      </x:c>
      <x:c r="N918" s="15" t="str">
        <x:v>https://prozorro.gov.ua/tender/UA-2026-06-17-011922-a</x:v>
      </x:c>
    </x:row>
    <x:row r="919">
      <x:c r="A919" s="14" t="n">
        <x:v>915</x:v>
      </x:c>
      <x:c r="B919" s="14" t="str">
        <x:v>ФОП Атясов Андрій Миколайович</x:v>
      </x:c>
      <x:c r="C919" s="14" t="str">
        <x:v>2676702933</x:v>
      </x:c>
      <x:c r="D919" s="14" t="str">
        <x:v>HVAC / ОВіК</x:v>
      </x:c>
      <x:c r="E919" s="14" t="str">
        <x:v>Pilot now</x:v>
      </x:c>
      <x:c r="F919" s="14" t="str">
        <x:v>I3</x:v>
      </x:c>
      <x:c r="G919" s="14" t="n">
        <x:v>43</x:v>
      </x:c>
      <x:c r="H919" s="14" t="n">
        <x:v>1</x:v>
      </x:c>
      <x:c r="I919" s="14" t="n">
        <x:v>1</x:v>
      </x:c>
      <x:c r="J919" s="18" t="n">
        <x:v>80000</x:v>
      </x:c>
      <x:c r="K919" s="19" t="n">
        <x:v>46155.33405505787</x:v>
      </x:c>
      <x:c r="L919" s="19" t="n">
        <x:v>46356.37567129629</x:v>
      </x:c>
      <x:c r="M919" s="15" t="str">
        <x:v>Монтаж буферної ємності системи опалення та димаря опалювального котла</x:v>
      </x:c>
      <x:c r="N919" s="15" t="str">
        <x:v>https://prozorro.gov.ua/tender/UA-2026-05-13-003291-a</x:v>
      </x:c>
    </x:row>
    <x:row r="920">
      <x:c r="A920" s="14" t="n">
        <x:v>916</x:v>
      </x:c>
      <x:c r="B920" s="14" t="str">
        <x:v>ФОП Балюк Олена Сергіївна</x:v>
      </x:c>
      <x:c r="C920" s="14" t="str">
        <x:v>3149006006</x:v>
      </x:c>
      <x:c r="D920" s="14" t="str">
        <x:v>Пасивний вогнезахист</x:v>
      </x:c>
      <x:c r="E920" s="14" t="str">
        <x:v>Expansion discovery</x:v>
      </x:c>
      <x:c r="F920" s="14" t="str">
        <x:v>I3</x:v>
      </x:c>
      <x:c r="G920" s="14" t="n">
        <x:v>43</x:v>
      </x:c>
      <x:c r="H920" s="14" t="n">
        <x:v>1</x:v>
      </x:c>
      <x:c r="I920" s="14" t="n">
        <x:v>1</x:v>
      </x:c>
      <x:c r="J920" s="18" t="n">
        <x:v>99858.97</x:v>
      </x:c>
      <x:c r="K920" s="19" t="n">
        <x:v>46204.483819988425</x:v>
      </x:c>
      <x:c r="L920" s="19" t="n">
        <x:v>46387.52670138889</x:v>
      </x:c>
      <x:c r="M920" s="15" t="str">
        <x:v>Послуги з просочування деревини, Вогнезахисна обробка елементів дерев'яних конструкцій даху Львівської спеціальної школи № 100.</x:v>
      </x:c>
      <x:c r="N920" s="15" t="str">
        <x:v>https://prozorro.gov.ua/tender/UA-2026-07-01-006064-a</x:v>
      </x:c>
    </x:row>
    <x:row r="921">
      <x:c r="A921" s="14" t="n">
        <x:v>917</x:v>
      </x:c>
      <x:c r="B921" s="14" t="str">
        <x:v>ФОП Буслаєв Дмитро Петрович</x:v>
      </x:c>
      <x:c r="C921" s="14" t="str">
        <x:v>2930816259</x:v>
      </x:c>
      <x:c r="D921" s="14" t="str">
        <x:v>Електромонтаж</x:v>
      </x:c>
      <x:c r="E921" s="14" t="str">
        <x:v>Pilot now</x:v>
      </x:c>
      <x:c r="F921" s="14" t="str">
        <x:v>I3</x:v>
      </x:c>
      <x:c r="G921" s="14" t="n">
        <x:v>43</x:v>
      </x:c>
      <x:c r="H921" s="14" t="n">
        <x:v>1</x:v>
      </x:c>
      <x:c r="I921" s="14" t="n">
        <x:v>1</x:v>
      </x:c>
      <x:c r="J921" s="18" t="n">
        <x:v>79705</x:v>
      </x:c>
      <x:c r="K921" s="19" t="n">
        <x:v>46153.42331789352</x:v>
      </x:c>
      <x:c r="L921" s="19" t="n">
        <x:v>46387.464641203704</x:v>
      </x:c>
      <x:c r="M921"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x:v>
      </x:c>
      <x:c r="N921" s="15" t="str">
        <x:v>https://prozorro.gov.ua/tender/UA-2026-05-11-006522-a</x:v>
      </x:c>
    </x:row>
    <x:row r="922">
      <x:c r="A922" s="14" t="n">
        <x:v>918</x:v>
      </x:c>
      <x:c r="B922" s="14" t="str">
        <x:v>ФОП Ващенко Олег В'ячеславович</x:v>
      </x:c>
      <x:c r="C922" s="14" t="str">
        <x:v>3082719552</x:v>
      </x:c>
      <x:c r="D922" s="14" t="str">
        <x:v>HVAC / ОВіК</x:v>
      </x:c>
      <x:c r="E922" s="14" t="str">
        <x:v>Pilot now</x:v>
      </x:c>
      <x:c r="F922" s="14" t="str">
        <x:v>I3</x:v>
      </x:c>
      <x:c r="G922" s="14" t="n">
        <x:v>43</x:v>
      </x:c>
      <x:c r="H922" s="14" t="n">
        <x:v>1</x:v>
      </x:c>
      <x:c r="I922" s="14" t="n">
        <x:v>1</x:v>
      </x:c>
      <x:c r="J922" s="18" t="n">
        <x:v>49294</x:v>
      </x:c>
      <x:c r="K922" s="19" t="n">
        <x:v>46197.31053866898</x:v>
      </x:c>
      <x:c r="L922" s="19" t="n">
        <x:v>46387.35335648148</x:v>
      </x:c>
      <x:c r="M922" s="15" t="str">
        <x:v>Додаткове обладнання для безпосереднього монтажу припливно-витяжної системи вентиляції з рекуперацією тепла</x:v>
      </x:c>
      <x:c r="N922" s="15" t="str">
        <x:v>https://prozorro.gov.ua/tender/UA-2026-06-24-002311-a</x:v>
      </x:c>
    </x:row>
    <x:row r="923">
      <x:c r="A923" s="14" t="n">
        <x:v>919</x:v>
      </x:c>
      <x:c r="B923" s="14" t="str">
        <x:v>ФОП Гонтар Сергій Олександрович</x:v>
      </x:c>
      <x:c r="C923" s="14" t="str">
        <x:v>3207206456</x:v>
      </x:c>
      <x:c r="D923" s="14" t="str">
        <x:v>Блискавкозахист / заземлення</x:v>
      </x:c>
      <x:c r="E923" s="14" t="str">
        <x:v>Pilot now</x:v>
      </x:c>
      <x:c r="F923" s="14" t="str">
        <x:v>I3</x:v>
      </x:c>
      <x:c r="G923" s="14" t="n">
        <x:v>43</x:v>
      </x:c>
      <x:c r="H923" s="14" t="n">
        <x:v>1</x:v>
      </x:c>
      <x:c r="I923" s="14" t="n">
        <x:v>1</x:v>
      </x:c>
      <x:c r="J923" s="18" t="n">
        <x:v>99986.74</x:v>
      </x:c>
      <x:c r="K923" s="19" t="n">
        <x:v>46175.28063574074</x:v>
      </x:c>
      <x:c r="L923" s="19" t="n">
        <x:v>46387.322060185186</x:v>
      </x:c>
      <x:c r="M923" s="15" t="str">
        <x:v>Послуги по монтажу системи блискавкозахисту на обєкті: приміщення їдальні Плужненського ліцею Хмельницької обласної ради, що знаходиться за адресою: Хмельницька область Шепетівський р-н., с. Плужне, вул. Соборна, 2</x:v>
      </x:c>
      <x:c r="N923" s="15" t="str">
        <x:v>https://prozorro.gov.ua/tender/UA-2026-06-02-001103-a</x:v>
      </x:c>
    </x:row>
    <x:row r="924">
      <x:c r="A924" s="14" t="n">
        <x:v>920</x:v>
      </x:c>
      <x:c r="B924" s="14" t="str">
        <x:v>ФОП Дорош Ігор Григорович</x:v>
      </x:c>
      <x:c r="C924" s="14" t="str">
        <x:v>2850617657</x:v>
      </x:c>
      <x:c r="D924" s="14" t="str">
        <x:v>Пожежогасіння</x:v>
      </x:c>
      <x:c r="E924" s="14" t="str">
        <x:v>Expansion discovery</x:v>
      </x:c>
      <x:c r="F924" s="14" t="str">
        <x:v>I3</x:v>
      </x:c>
      <x:c r="G924" s="14" t="n">
        <x:v>43</x:v>
      </x:c>
      <x:c r="H924" s="14" t="n">
        <x:v>1</x:v>
      </x:c>
      <x:c r="I924" s="14" t="n">
        <x:v>1</x:v>
      </x:c>
      <x:c r="J924" s="18" t="n">
        <x:v>15870.2</x:v>
      </x:c>
      <x:c r="K924" s="19" t="n">
        <x:v>46205.48432412037</x:v>
      </x:c>
      <x:c r="L924" s="19" t="n">
        <x:v>46387.52408564815</x:v>
      </x:c>
      <x:c r="M924" s="15" t="str">
        <x:v>Монтаж та пусконалагоджування системи пожежної сигналізації та системи оповіщення</x:v>
      </x:c>
      <x:c r="N924" s="15" t="str">
        <x:v>https://prozorro.gov.ua/tender/UA-2026-07-02-006539-a</x:v>
      </x:c>
    </x:row>
    <x:row r="925">
      <x:c r="A925" s="14" t="n">
        <x:v>921</x:v>
      </x:c>
      <x:c r="B925" s="14" t="str">
        <x:v>ФОП ЗАМОГИЛЬНИЙ ЄГОР ВОЛОДИМИРОВИЧ</x:v>
      </x:c>
      <x:c r="C925" s="14" t="str">
        <x:v>3329712153</x:v>
      </x:c>
      <x:c r="D925" s="14" t="str">
        <x:v>Сонячна енергетика</x:v>
      </x:c>
      <x:c r="E925" s="14" t="str">
        <x:v>Pilot now</x:v>
      </x:c>
      <x:c r="F925" s="14" t="str">
        <x:v>I3</x:v>
      </x:c>
      <x:c r="G925" s="14" t="n">
        <x:v>43</x:v>
      </x:c>
      <x:c r="H925" s="14" t="n">
        <x:v>1</x:v>
      </x:c>
      <x:c r="I925" s="14" t="n">
        <x:v>1</x:v>
      </x:c>
      <x:c r="J925" s="18" t="n">
        <x:v>70000</x:v>
      </x:c>
      <x:c r="K925" s="19" t="n">
        <x:v>46175.2469184375</x:v>
      </x:c>
      <x:c r="L925" s="19" t="n">
        <x:v>46387</x:v>
      </x:c>
      <x:c r="M925" s="15" t="str">
        <x:v>Послуги з монтажу сонячних панелей (фотоелектричні модулі на основі монокристалічного кремнію)</x:v>
      </x:c>
      <x:c r="N925" s="15" t="str">
        <x:v>https://prozorro.gov.ua/tender/UA-2026-06-01-008345-a</x:v>
      </x:c>
    </x:row>
    <x:row r="926">
      <x:c r="A926" s="14" t="n">
        <x:v>922</x:v>
      </x:c>
      <x:c r="B926" s="14" t="str">
        <x:v>ФОП Корабельський Дмитро Володимирович</x:v>
      </x:c>
      <x:c r="C926" s="14" t="str">
        <x:v>3742802693</x:v>
      </x:c>
      <x:c r="D926" s="14" t="str">
        <x:v>Безпека / СКУД / CCTV</x:v>
      </x:c>
      <x:c r="E926" s="14" t="str">
        <x:v>Expansion discovery</x:v>
      </x:c>
      <x:c r="F926" s="14" t="str">
        <x:v>I3</x:v>
      </x:c>
      <x:c r="G926" s="14" t="n">
        <x:v>43</x:v>
      </x:c>
      <x:c r="H926" s="14" t="n">
        <x:v>1</x:v>
      </x:c>
      <x:c r="I926" s="14" t="n">
        <x:v>1</x:v>
      </x:c>
      <x:c r="J926" s="18" t="n">
        <x:v>24175</x:v>
      </x:c>
      <x:c r="K926" s="19" t="n">
        <x:v>46188.548678541665</x:v>
      </x:c>
      <x:c r="L926" s="19" t="n">
        <x:v>46387.26008101852</x:v>
      </x:c>
      <x:c r="M926" s="15" t="str">
        <x:v>Послуги з монтажу та налаштування системи відеоспостереження</x:v>
      </x:c>
      <x:c r="N926" s="15" t="str">
        <x:v>https://prozorro.gov.ua/tender/UA-2026-06-12-000137-a</x:v>
      </x:c>
    </x:row>
    <x:row r="927">
      <x:c r="A927" s="14" t="n">
        <x:v>923</x:v>
      </x:c>
      <x:c r="B927" s="14" t="str">
        <x:v>ФОП Кременецький Вячеслав Вячеславович</x:v>
      </x:c>
      <x:c r="C927" s="14" t="str">
        <x:v>3077916511</x:v>
      </x:c>
      <x:c r="D927" s="14" t="str">
        <x:v>Електромонтаж</x:v>
      </x:c>
      <x:c r="E927" s="14" t="str">
        <x:v>Pilot now</x:v>
      </x:c>
      <x:c r="F927" s="14" t="str">
        <x:v>I3</x:v>
      </x:c>
      <x:c r="G927" s="14" t="n">
        <x:v>43</x:v>
      </x:c>
      <x:c r="H927" s="14" t="n">
        <x:v>1</x:v>
      </x:c>
      <x:c r="I927" s="14" t="n">
        <x:v>1</x:v>
      </x:c>
      <x:c r="J927" s="18" t="n">
        <x:v>7002</x:v>
      </x:c>
      <x:c r="K927" s="19" t="n">
        <x:v>46198.460180208334</x:v>
      </x:c>
      <x:c r="L927" s="19" t="n">
        <x:v>46387</x:v>
      </x:c>
      <x:c r="M927" s="15" t="str">
        <x:v>Електромонтажні роботи</x:v>
      </x:c>
      <x:c r="N927" s="15" t="str">
        <x:v>https://prozorro.gov.ua/tender/UA-2026-06-25-007329-a</x:v>
      </x:c>
    </x:row>
    <x:row r="928">
      <x:c r="A928" s="14" t="n">
        <x:v>924</x:v>
      </x:c>
      <x:c r="B928" s="14" t="str">
        <x:v>ФОП Лобода Марія Василівна</x:v>
      </x:c>
      <x:c r="C928" s="14" t="str">
        <x:v>3478613245</x:v>
      </x:c>
      <x:c r="D928" s="14" t="str">
        <x:v>HVAC / ОВіК</x:v>
      </x:c>
      <x:c r="E928" s="14" t="str">
        <x:v>Pilot now</x:v>
      </x:c>
      <x:c r="F928" s="14" t="str">
        <x:v>I3</x:v>
      </x:c>
      <x:c r="G928" s="14" t="n">
        <x:v>43</x:v>
      </x:c>
      <x:c r="H928" s="14" t="n">
        <x:v>1</x:v>
      </x:c>
      <x:c r="I928" s="14" t="n">
        <x:v>1</x:v>
      </x:c>
      <x:c r="J928" s="18" t="n">
        <x:v>74300</x:v>
      </x:c>
      <x:c r="K928" s="19" t="n">
        <x:v>46154.36841935185</x:v>
      </x:c>
      <x:c r="L928" s="19" t="n">
        <x:v>46387.40935185185</x:v>
      </x:c>
      <x:c r="M928" s="15" t="str">
        <x:v>Монтаж водопровідних мереж, систем опалення та кондиціонування</x:v>
      </x:c>
      <x:c r="N928" s="15" t="str">
        <x:v>https://prozorro.gov.ua/tender/UA-2026-05-12-005333-a</x:v>
      </x:c>
    </x:row>
    <x:row r="929">
      <x:c r="A929" s="14" t="n">
        <x:v>925</x:v>
      </x:c>
      <x:c r="B929" s="14" t="str">
        <x:v>ФОП Лупандін Сергій Володимирович</x:v>
      </x:c>
      <x:c r="C929" s="14" t="str">
        <x:v>2273005312</x:v>
      </x:c>
      <x:c r="D929" s="14" t="str">
        <x:v>Резервне живлення</x:v>
      </x:c>
      <x:c r="E929" s="14" t="str">
        <x:v>Pilot now</x:v>
      </x:c>
      <x:c r="F929" s="14" t="str">
        <x:v>I3</x:v>
      </x:c>
      <x:c r="G929" s="14" t="n">
        <x:v>43</x:v>
      </x:c>
      <x:c r="H929" s="14" t="n">
        <x:v>1</x:v>
      </x:c>
      <x:c r="I929" s="14" t="n">
        <x:v>1</x:v>
      </x:c>
      <x:c r="J929" s="18" t="n">
        <x:v>90000</x:v>
      </x:c>
      <x:c r="K929" s="19" t="n">
        <x:v>46162.483521319446</x:v>
      </x:c>
      <x:c r="L929" s="19" t="n">
        <x:v>46387.52726851852</x:v>
      </x:c>
      <x:c r="M929" s="15" t="str">
        <x:v>Електромонтажні роботи - ДК 021:2015 45310000-3 Електромонтажні роботи (Електромонтажні роботи на об’єкті за адресою: м. Київ, проспект Науки, 47, корпус 13 (безперебійне живлення корпусу 17) - ДК 021:2015 45311200-2 Монтаж електроарматури)</x:v>
      </x:c>
      <x:c r="N929" s="15" t="str">
        <x:v>https://prozorro.gov.ua/tender/UA-2026-05-20-009083-a</x:v>
      </x:c>
    </x:row>
    <x:row r="930">
      <x:c r="A930" s="14" t="n">
        <x:v>926</x:v>
      </x:c>
      <x:c r="B930" s="14" t="str">
        <x:v>ФОП Льогких Дмитро Анатолійович</x:v>
      </x:c>
      <x:c r="C930" s="14" t="str">
        <x:v>3006011193</x:v>
      </x:c>
      <x:c r="D930" s="14" t="str">
        <x:v>Пожежогасіння</x:v>
      </x:c>
      <x:c r="E930" s="14" t="str">
        <x:v>Expansion discovery</x:v>
      </x:c>
      <x:c r="F930" s="14" t="str">
        <x:v>I3</x:v>
      </x:c>
      <x:c r="G930" s="14" t="n">
        <x:v>43</x:v>
      </x:c>
      <x:c r="H930" s="14" t="n">
        <x:v>1</x:v>
      </x:c>
      <x:c r="I930" s="14" t="n">
        <x:v>1</x:v>
      </x:c>
      <x:c r="J930" s="18" t="n">
        <x:v>86857.4</x:v>
      </x:c>
      <x:c r="K930" s="19" t="n">
        <x:v>46175.59332990741</x:v>
      </x:c>
      <x:c r="L930" s="19" t="n">
        <x:v>46387</x:v>
      </x:c>
      <x:c r="M930"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x:v>
      </x:c>
      <x:c r="N930" s="15" t="str">
        <x:v>https://prozorro.gov.ua/tender/UA-2026-06-02-013120-a</x:v>
      </x:c>
    </x:row>
    <x:row r="931">
      <x:c r="A931" s="14" t="n">
        <x:v>927</x:v>
      </x:c>
      <x:c r="B931" s="14" t="str">
        <x:v>ФОП Мрака Олеся Богданівна</x:v>
      </x:c>
      <x:c r="C931" s="14" t="str">
        <x:v>3222204349</x:v>
      </x:c>
      <x:c r="D931" s="14" t="str">
        <x:v>Безпека / СКУД / CCTV</x:v>
      </x:c>
      <x:c r="E931" s="14" t="str">
        <x:v>Expansion discovery</x:v>
      </x:c>
      <x:c r="F931" s="14" t="str">
        <x:v>I3</x:v>
      </x:c>
      <x:c r="G931" s="14" t="n">
        <x:v>43</x:v>
      </x:c>
      <x:c r="H931" s="14" t="n">
        <x:v>1</x:v>
      </x:c>
      <x:c r="I931" s="14" t="n">
        <x:v>1</x:v>
      </x:c>
      <x:c r="J931" s="18" t="n">
        <x:v>35514</x:v>
      </x:c>
      <x:c r="K931" s="19" t="n">
        <x:v>46178.372875706016</x:v>
      </x:c>
      <x:c r="L931" s="19" t="n">
        <x:v>46387</x:v>
      </x:c>
      <x:c r="M931"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x:v>
      </x:c>
      <x:c r="N931" s="15" t="str">
        <x:v>https://prozorro.gov.ua/tender/UA-2026-06-05-005357-a</x:v>
      </x:c>
    </x:row>
    <x:row r="932">
      <x:c r="A932" s="14" t="n">
        <x:v>928</x:v>
      </x:c>
      <x:c r="B932" s="14" t="str">
        <x:v>ФОП ОПАНАСЮК ВОЛОДИМИР ЛЕОНІДОВИЧ</x:v>
      </x:c>
      <x:c r="C932" s="14" t="str">
        <x:v>3308815293</x:v>
      </x:c>
      <x:c r="D932" s="14" t="str">
        <x:v>HVAC / ОВіК</x:v>
      </x:c>
      <x:c r="E932" s="14" t="str">
        <x:v>Pilot now</x:v>
      </x:c>
      <x:c r="F932" s="14" t="str">
        <x:v>I3</x:v>
      </x:c>
      <x:c r="G932" s="14" t="n">
        <x:v>43</x:v>
      </x:c>
      <x:c r="H932" s="14" t="n">
        <x:v>1</x:v>
      </x:c>
      <x:c r="I932" s="14" t="n">
        <x:v>1</x:v>
      </x:c>
      <x:c r="J932" s="18" t="n">
        <x:v>839738.07</x:v>
      </x:c>
      <x:c r="K932" s="19" t="n">
        <x:v>46113.573004432874</x:v>
      </x:c>
      <x:c r="L932" s="19" t="n">
        <x:v>46356</x:v>
      </x:c>
      <x:c r="M932" s="15" t="str">
        <x:v>Послуги з демонтажу та монтажу тимчасової тентової конструкції накриття басейну з технічним обслуговуванням системи вентиляції</x:v>
      </x:c>
      <x:c r="N932" s="15" t="str">
        <x:v>https://prozorro.gov.ua/tender/UA-2026-03-18-007973-a</x:v>
      </x:c>
    </x:row>
    <x:row r="933">
      <x:c r="A933" s="14" t="n">
        <x:v>929</x:v>
      </x:c>
      <x:c r="B933" s="14" t="str">
        <x:v>ФОП Поронюк Ольга Ігорівна</x:v>
      </x:c>
      <x:c r="C933" s="14" t="str">
        <x:v>3261604001</x:v>
      </x:c>
      <x:c r="D933" s="14" t="str">
        <x:v>Безпека / СКУД / CCTV</x:v>
      </x:c>
      <x:c r="E933" s="14" t="str">
        <x:v>Expansion discovery</x:v>
      </x:c>
      <x:c r="F933" s="14" t="str">
        <x:v>I3</x:v>
      </x:c>
      <x:c r="G933" s="14" t="n">
        <x:v>43</x:v>
      </x:c>
      <x:c r="H933" s="14" t="n">
        <x:v>1</x:v>
      </x:c>
      <x:c r="I933" s="14" t="n">
        <x:v>1</x:v>
      </x:c>
      <x:c r="J933" s="18" t="n">
        <x:v>53901</x:v>
      </x:c>
      <x:c r="K933" s="19" t="n">
        <x:v>46202.44037795139</x:v>
      </x:c>
      <x:c r="L933" s="19" t="n">
        <x:v>46265.44179398148</x:v>
      </x:c>
      <x:c r="M933" s="15" t="str">
        <x:v>Послуги з монтажу та установки системи відеоспостереження</x:v>
      </x:c>
      <x:c r="N933" s="15" t="str">
        <x:v>https://prozorro.gov.ua/tender/UA-2026-06-29-005630-a</x:v>
      </x:c>
    </x:row>
    <x:row r="934">
      <x:c r="A934" s="14" t="n">
        <x:v>930</x:v>
      </x:c>
      <x:c r="B934" s="14" t="str">
        <x:v>ФОП Пугач С М</x:v>
      </x:c>
      <x:c r="C934" s="14" t="str">
        <x:v>2407813913</x:v>
      </x:c>
      <x:c r="D934" s="14" t="str">
        <x:v>Пожежогасіння</x:v>
      </x:c>
      <x:c r="E934" s="14" t="str">
        <x:v>Expansion discovery</x:v>
      </x:c>
      <x:c r="F934" s="14" t="str">
        <x:v>I3</x:v>
      </x:c>
      <x:c r="G934" s="14" t="n">
        <x:v>43</x:v>
      </x:c>
      <x:c r="H934" s="14" t="n">
        <x:v>1</x:v>
      </x:c>
      <x:c r="I934" s="14" t="n">
        <x:v>1</x:v>
      </x:c>
      <x:c r="J934" s="18" t="n">
        <x:v>29300</x:v>
      </x:c>
      <x:c r="K934" s="19" t="n">
        <x:v>46154.362169513886</x:v>
      </x:c>
      <x:c r="L934" s="19" t="n">
        <x:v>46387.40614583333</x:v>
      </x:c>
      <x:c r="M934"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x:v>
      </x:c>
      <x:c r="N934" s="15" t="str">
        <x:v>https://prozorro.gov.ua/tender/UA-2026-05-12-005168-a</x:v>
      </x:c>
    </x:row>
    <x:row r="935">
      <x:c r="A935" s="14" t="n">
        <x:v>931</x:v>
      </x:c>
      <x:c r="B935" s="14" t="str">
        <x:v>ФОП Пюрик Марія Василівна</x:v>
      </x:c>
      <x:c r="C935" s="14" t="str">
        <x:v>3124005822</x:v>
      </x:c>
      <x:c r="D935" s="14" t="str">
        <x:v>Електромонтаж</x:v>
      </x:c>
      <x:c r="E935" s="14" t="str">
        <x:v>Pilot now</x:v>
      </x:c>
      <x:c r="F935" s="14" t="str">
        <x:v>I3</x:v>
      </x:c>
      <x:c r="G935" s="14" t="n">
        <x:v>43</x:v>
      </x:c>
      <x:c r="H935" s="14" t="n">
        <x:v>2</x:v>
      </x:c>
      <x:c r="I935" s="14" t="n">
        <x:v>1</x:v>
      </x:c>
      <x:c r="J935" s="18" t="n">
        <x:v>113815</x:v>
      </x:c>
      <x:c r="K935" s="19" t="n">
        <x:v>46212.30352969907</x:v>
      </x:c>
      <x:c r="L935" s="19" t="n">
        <x:v>46235.30552083333</x:v>
      </x:c>
      <x:c r="M935" s="15" t="str">
        <x:v>Послуги з монтажу системи блискавкозахисту у будівлі ЗДО с. Наварія вул. Поштова,4</x:v>
      </x:c>
      <x:c r="N935" s="15" t="str">
        <x:v>https://prozorro.gov.ua/tender/UA-2026-07-09-001752-a</x:v>
      </x:c>
    </x:row>
    <x:row r="936">
      <x:c r="A936" s="14" t="n">
        <x:v>932</x:v>
      </x:c>
      <x:c r="B936" s="14" t="str">
        <x:v>ФОП Роман Віталій Васильович</x:v>
      </x:c>
      <x:c r="C936" s="14" t="str">
        <x:v>3016409930</x:v>
      </x:c>
      <x:c r="D936" s="14" t="str">
        <x:v>Безпека / СКУД / CCTV</x:v>
      </x:c>
      <x:c r="E936" s="14" t="str">
        <x:v>Expansion discovery</x:v>
      </x:c>
      <x:c r="F936" s="14" t="str">
        <x:v>I3</x:v>
      </x:c>
      <x:c r="G936" s="14" t="n">
        <x:v>43</x:v>
      </x:c>
      <x:c r="H936" s="14" t="n">
        <x:v>1</x:v>
      </x:c>
      <x:c r="I936" s="14" t="n">
        <x:v>1</x:v>
      </x:c>
      <x:c r="J936" s="18" t="n">
        <x:v>21825</x:v>
      </x:c>
      <x:c r="K936" s="19" t="n">
        <x:v>46149.54091869213</x:v>
      </x:c>
      <x:c r="L936" s="19" t="n">
        <x:v>46387.5783912037</x:v>
      </x:c>
      <x:c r="M936" s="15" t="str">
        <x:v>Послуги з монтажу системи контролю доступу</x:v>
      </x:c>
      <x:c r="N936" s="15" t="str">
        <x:v>https://prozorro.gov.ua/tender/UA-2026-05-07-012002-a</x:v>
      </x:c>
    </x:row>
    <x:row r="937">
      <x:c r="A937" s="14" t="n">
        <x:v>933</x:v>
      </x:c>
      <x:c r="B937" s="14" t="str">
        <x:v>ФОП Семеник Олексій Сергійович</x:v>
      </x:c>
      <x:c r="C937" s="14" t="str">
        <x:v>3299302258</x:v>
      </x:c>
      <x:c r="D937" s="14" t="str">
        <x:v>HVAC / ОВіК</x:v>
      </x:c>
      <x:c r="E937" s="14" t="str">
        <x:v>Pilot now</x:v>
      </x:c>
      <x:c r="F937" s="14" t="str">
        <x:v>I3</x:v>
      </x:c>
      <x:c r="G937" s="14" t="n">
        <x:v>43</x:v>
      </x:c>
      <x:c r="H937" s="14" t="n">
        <x:v>1</x:v>
      </x:c>
      <x:c r="I937" s="14" t="n">
        <x:v>1</x:v>
      </x:c>
      <x:c r="J937" s="18" t="n">
        <x:v>5000</x:v>
      </x:c>
      <x:c r="K937" s="19" t="n">
        <x:v>46142.47348383102</x:v>
      </x:c>
      <x:c r="L937" s="19" t="n">
        <x:v>46387</x:v>
      </x:c>
      <x:c r="M937"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x:v>
      </x:c>
      <x:c r="N937" s="15" t="str">
        <x:v>https://prozorro.gov.ua/tender/UA-2026-04-30-007020-a</x:v>
      </x:c>
    </x:row>
    <x:row r="938">
      <x:c r="A938" s="14" t="n">
        <x:v>934</x:v>
      </x:c>
      <x:c r="B938" s="14" t="str">
        <x:v>ФОП Синиця Олександр Олександрович</x:v>
      </x:c>
      <x:c r="C938" s="14" t="str">
        <x:v>3664310511</x:v>
      </x:c>
      <x:c r="D938" s="14" t="str">
        <x:v>Насосні станції</x:v>
      </x:c>
      <x:c r="E938" s="14" t="str">
        <x:v>Expansion discovery</x:v>
      </x:c>
      <x:c r="F938" s="14" t="str">
        <x:v>I3</x:v>
      </x:c>
      <x:c r="G938" s="14" t="n">
        <x:v>43</x:v>
      </x:c>
      <x:c r="H938" s="14" t="n">
        <x:v>1</x:v>
      </x:c>
      <x:c r="I938" s="14" t="n">
        <x:v>1</x:v>
      </x:c>
      <x:c r="J938" s="18" t="n">
        <x:v>5340</x:v>
      </x:c>
      <x:c r="K938" s="19" t="n">
        <x:v>46147.398541041664</x:v>
      </x:c>
      <x:c r="L938" s="19" t="n">
        <x:v>46387.438784722224</x:v>
      </x:c>
      <x:c r="M938"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x:v>
      </x:c>
      <x:c r="N938" s="15" t="str">
        <x:v>https://prozorro.gov.ua/tender/UA-2026-05-05-006402-a</x:v>
      </x:c>
    </x:row>
    <x:row r="939">
      <x:c r="A939" s="14" t="n">
        <x:v>935</x:v>
      </x:c>
      <x:c r="B939" s="14" t="str">
        <x:v>ФОП Соколова Тетяна Іванівна</x:v>
      </x:c>
      <x:c r="C939" s="14" t="str">
        <x:v>2826611365</x:v>
      </x:c>
      <x:c r="D939" s="14" t="str">
        <x:v>Залізнична інфраструктура</x:v>
      </x:c>
      <x:c r="E939" s="14" t="str">
        <x:v>Expansion discovery</x:v>
      </x:c>
      <x:c r="F939" s="14" t="str">
        <x:v>I3</x:v>
      </x:c>
      <x:c r="G939" s="14" t="n">
        <x:v>43</x:v>
      </x:c>
      <x:c r="H939" s="14" t="n">
        <x:v>1</x:v>
      </x:c>
      <x:c r="I939" s="14" t="n">
        <x:v>1</x:v>
      </x:c>
      <x:c r="J939" s="18" t="n">
        <x:v>1049000</x:v>
      </x:c>
      <x:c r="K939" s="19" t="n">
        <x:v>46136.380843252315</x:v>
      </x:c>
      <x:c r="L939" s="19" t="n">
        <x:v>46386.382893518516</x:v>
      </x:c>
      <x:c r="M939" s="15" t="str">
        <x:v>Матеріали для ремонту залізничної колії</x:v>
      </x:c>
      <x:c r="N939" s="15" t="str">
        <x:v>https://prozorro.gov.ua/tender/UA-2026-04-12-000068-a</x:v>
      </x:c>
    </x:row>
    <x:row r="940">
      <x:c r="A940" s="14" t="n">
        <x:v>936</x:v>
      </x:c>
      <x:c r="B940" s="14" t="str">
        <x:v>ФОП Степчук В.Г</x:v>
      </x:c>
      <x:c r="C940" s="14" t="str">
        <x:v>3225715810</x:v>
      </x:c>
      <x:c r="D940" s="14" t="str">
        <x:v>Електромонтаж</x:v>
      </x:c>
      <x:c r="E940" s="14" t="str">
        <x:v>Pilot now</x:v>
      </x:c>
      <x:c r="F940" s="14" t="str">
        <x:v>I3</x:v>
      </x:c>
      <x:c r="G940" s="14" t="n">
        <x:v>43</x:v>
      </x:c>
      <x:c r="H940" s="14" t="n">
        <x:v>1</x:v>
      </x:c>
      <x:c r="I940" s="14" t="n">
        <x:v>1</x:v>
      </x:c>
      <x:c r="J940" s="18" t="n">
        <x:v>22615</x:v>
      </x:c>
      <x:c r="K940" s="19" t="n">
        <x:v>46195.4223891088</x:v>
      </x:c>
      <x:c r="L940" s="19" t="n">
        <x:v>46387.46371527778</x:v>
      </x:c>
      <x:c r="M940" s="15" t="str">
        <x:v>Електромонтажні роботи</x:v>
      </x:c>
      <x:c r="N940" s="15" t="str">
        <x:v>https://prozorro.gov.ua/tender/UA-2026-06-22-006378-a</x:v>
      </x:c>
    </x:row>
    <x:row r="941">
      <x:c r="A941" s="14" t="n">
        <x:v>937</x:v>
      </x:c>
      <x:c r="B941" s="14" t="str">
        <x:v>ФОП Ткачук Ю.Ю.</x:v>
      </x:c>
      <x:c r="C941" s="14" t="str">
        <x:v>3193923935</x:v>
      </x:c>
      <x:c r="D941" s="14" t="str">
        <x:v>Безпека / СКУД / CCTV</x:v>
      </x:c>
      <x:c r="E941" s="14" t="str">
        <x:v>Expansion discovery</x:v>
      </x:c>
      <x:c r="F941" s="14" t="str">
        <x:v>I3</x:v>
      </x:c>
      <x:c r="G941" s="14" t="n">
        <x:v>43</x:v>
      </x:c>
      <x:c r="H941" s="14" t="n">
        <x:v>1</x:v>
      </x:c>
      <x:c r="I941" s="14" t="n">
        <x:v>1</x:v>
      </x:c>
      <x:c r="J941" s="18" t="n">
        <x:v>12000</x:v>
      </x:c>
      <x:c r="K941" s="19" t="n">
        <x:v>46170.26546267361</x:v>
      </x:c>
      <x:c r="L941" s="19" t="n">
        <x:v>46387</x:v>
      </x:c>
      <x:c r="M941" s="15" t="str">
        <x:v>Послуги з монтажу системи контролю доступу у приміщенні Косівської окружної прокуратури</x:v>
      </x:c>
      <x:c r="N941" s="15" t="str">
        <x:v>https://prozorro.gov.ua/tender/UA-2026-05-28-000899-a</x:v>
      </x:c>
    </x:row>
    <x:row r="942">
      <x:c r="A942" s="14" t="n">
        <x:v>938</x:v>
      </x:c>
      <x:c r="B942" s="14" t="str">
        <x:v>ФОП Феняк Степан Ігорович</x:v>
      </x:c>
      <x:c r="C942" s="14" t="str">
        <x:v>3058503976</x:v>
      </x:c>
      <x:c r="D942" s="14" t="str">
        <x:v>Електромонтаж</x:v>
      </x:c>
      <x:c r="E942" s="14" t="str">
        <x:v>Pilot now</x:v>
      </x:c>
      <x:c r="F942" s="14" t="str">
        <x:v>I3</x:v>
      </x:c>
      <x:c r="G942" s="14" t="n">
        <x:v>43</x:v>
      </x:c>
      <x:c r="H942" s="14" t="n">
        <x:v>1</x:v>
      </x:c>
      <x:c r="I942" s="14" t="n">
        <x:v>1</x:v>
      </x:c>
      <x:c r="J942" s="18" t="n">
        <x:v>99991.96</x:v>
      </x:c>
      <x:c r="K942" s="19" t="n">
        <x:v>46209.5789724537</x:v>
      </x:c>
      <x:c r="L942" s="19" t="n">
        <x:v>46387</x:v>
      </x:c>
      <x:c r="M942" s="15" t="str">
        <x:v>45310000-3 Електромонтажні роботи</x:v>
      </x:c>
      <x:c r="N942" s="15" t="str">
        <x:v>https://prozorro.gov.ua/tender/UA-2026-07-06-009794-a</x:v>
      </x:c>
    </x:row>
    <x:row r="943">
      <x:c r="A943" s="14" t="n">
        <x:v>939</x:v>
      </x:c>
      <x:c r="B943" s="14" t="str">
        <x:v>ФОП Шульгіна М.А.</x:v>
      </x:c>
      <x:c r="C943" s="14" t="str">
        <x:v>2998319702</x:v>
      </x:c>
      <x:c r="D943" s="14" t="str">
        <x:v>Пасивний вогнезахист</x:v>
      </x:c>
      <x:c r="E943" s="14" t="str">
        <x:v>Expansion discovery</x:v>
      </x:c>
      <x:c r="F943" s="14" t="str">
        <x:v>I3</x:v>
      </x:c>
      <x:c r="G943" s="14" t="n">
        <x:v>43</x:v>
      </x:c>
      <x:c r="H943" s="14" t="n">
        <x:v>1</x:v>
      </x:c>
      <x:c r="I943" s="14" t="n">
        <x:v>1</x:v>
      </x:c>
      <x:c r="J943" s="18" t="n">
        <x:v>8470</x:v>
      </x:c>
      <x:c r="K943" s="19" t="n">
        <x:v>46189.54709922454</x:v>
      </x:c>
      <x:c r="L943" s="19" t="n">
        <x:v>46387</x:v>
      </x:c>
      <x:c r="M943" s="15" t="str">
        <x:v>Послуги з вогнезахисної обробки дерев’яних конструкцій господарських будівель</x:v>
      </x:c>
      <x:c r="N943" s="15" t="str">
        <x:v>https://prozorro.gov.ua/tender/UA-2026-06-16-012030-a</x:v>
      </x:c>
    </x:row>
    <x:row r="944">
      <x:c r="A944" s="14" t="n">
        <x:v>940</x:v>
      </x:c>
      <x:c r="B944" s="14" t="str">
        <x:v>ФОП"Самсонов А.Л."</x:v>
      </x:c>
      <x:c r="C944" s="14" t="str">
        <x:v>3084622896</x:v>
      </x:c>
      <x:c r="D944" s="14" t="str">
        <x:v>Пасивний вогнезахист</x:v>
      </x:c>
      <x:c r="E944" s="14" t="str">
        <x:v>Expansion discovery</x:v>
      </x:c>
      <x:c r="F944" s="14" t="str">
        <x:v>I3</x:v>
      </x:c>
      <x:c r="G944" s="14" t="n">
        <x:v>43</x:v>
      </x:c>
      <x:c r="H944" s="14" t="n">
        <x:v>1</x:v>
      </x:c>
      <x:c r="I944" s="14" t="n">
        <x:v>1</x:v>
      </x:c>
      <x:c r="J944" s="18" t="n">
        <x:v>78972.15</x:v>
      </x:c>
      <x:c r="K944" s="19" t="n">
        <x:v>46164.47648626158</x:v>
      </x:c>
      <x:c r="L944" s="19" t="n">
        <x:v>46387.509884259256</x:v>
      </x:c>
      <x:c r="M944" s="15" t="str">
        <x:v>Вогнезахисна обробка дерев'яних конструкцій горища будівлі</x:v>
      </x:c>
      <x:c r="N944" s="15" t="str">
        <x:v>https://prozorro.gov.ua/tender/UA-2026-05-22-008008-a</x:v>
      </x:c>
    </x:row>
    <x:row r="945">
      <x:c r="A945" s="14" t="n">
        <x:v>941</x:v>
      </x:c>
      <x:c r="B945" s="14" t="str">
        <x:v>ЧЕРЕДНІЧЕНКО ДМИТРО ІВАНОВИЧ</x:v>
      </x:c>
      <x:c r="C945" s="14" t="str">
        <x:v>3041613994</x:v>
      </x:c>
      <x:c r="D945" s="14" t="str">
        <x:v>Безпека / СКУД / CCTV</x:v>
      </x:c>
      <x:c r="E945" s="14" t="str">
        <x:v>Expansion discovery</x:v>
      </x:c>
      <x:c r="F945" s="14" t="str">
        <x:v>I3</x:v>
      </x:c>
      <x:c r="G945" s="14" t="n">
        <x:v>43</x:v>
      </x:c>
      <x:c r="H945" s="14" t="n">
        <x:v>1</x:v>
      </x:c>
      <x:c r="I945" s="14" t="n">
        <x:v>1</x:v>
      </x:c>
      <x:c r="J945" s="18" t="n">
        <x:v>7200</x:v>
      </x:c>
      <x:c r="K945" s="19" t="n">
        <x:v>46210.311359375</x:v>
      </x:c>
      <x:c r="L945" s="19" t="n">
        <x:v>46387</x:v>
      </x:c>
      <x:c r="M945" s="15" t="str">
        <x:v>Послуги монтажу та налаштування системи відеоспостереження</x:v>
      </x:c>
      <x:c r="N945" s="15" t="str">
        <x:v>https://prozorro.gov.ua/tender/UA-2026-07-07-001969-a</x:v>
      </x:c>
    </x:row>
    <x:row r="946">
      <x:c r="A946" s="14" t="n">
        <x:v>942</x:v>
      </x:c>
      <x:c r="B946" s="14" t="str">
        <x:v>ШИПОША ОЛЕКСАНДР АНАТОЛІЙОВИЧ</x:v>
      </x:c>
      <x:c r="C946" s="14" t="str">
        <x:v>2888517635</x:v>
      </x:c>
      <x:c r="D946" s="14" t="str">
        <x:v>Сонячна енергетика</x:v>
      </x:c>
      <x:c r="E946" s="14" t="str">
        <x:v>Expansion discovery</x:v>
      </x:c>
      <x:c r="F946" s="14" t="str">
        <x:v>I3</x:v>
      </x:c>
      <x:c r="G946" s="14" t="n">
        <x:v>43</x:v>
      </x:c>
      <x:c r="H946" s="14" t="n">
        <x:v>1</x:v>
      </x:c>
      <x:c r="I946" s="14" t="n">
        <x:v>1</x:v>
      </x:c>
      <x:c r="J946" s="18" t="n">
        <x:v>7120</x:v>
      </x:c>
      <x:c r="K946" s="19" t="n">
        <x:v>46174.526771689816</x:v>
      </x:c>
      <x:c r="L946" s="19" t="n">
        <x:v>46265</x:v>
      </x:c>
      <x:c r="M946"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946" s="15" t="str">
        <x:v>https://prozorro.gov.ua/tender/UA-2026-06-01-009569-a</x:v>
      </x:c>
    </x:row>
    <x:row r="947">
      <x:c r="A947" s="14" t="n">
        <x:v>943</x:v>
      </x:c>
      <x:c r="B947" s="14" t="str">
        <x:v>Фізична особа-підприємець  ШВЕЦЬ СЕРГІЙ ГАВРИЛОВИЧ</x:v>
      </x:c>
      <x:c r="C947" s="14" t="str">
        <x:v>2978011852</x:v>
      </x:c>
      <x:c r="D947" s="14" t="str">
        <x:v>HVAC / ОВіК</x:v>
      </x:c>
      <x:c r="E947" s="14" t="str">
        <x:v>Pilot now</x:v>
      </x:c>
      <x:c r="F947" s="14" t="str">
        <x:v>I3</x:v>
      </x:c>
      <x:c r="G947" s="14" t="n">
        <x:v>43</x:v>
      </x:c>
      <x:c r="H947" s="14" t="n">
        <x:v>1</x:v>
      </x:c>
      <x:c r="I947" s="14" t="n">
        <x:v>0</x:v>
      </x:c>
      <x:c r="J947" s="18" t="n">
        <x:v>46095</x:v>
      </x:c>
      <x:c r="K947" s="19" t="n">
        <x:v>46163.42739199074</x:v>
      </x:c>
      <x:c r="L947" s="19" t="n">
        <x:v>46174</x:v>
      </x:c>
      <x:c r="M947" s="15" t="str">
        <x:v>послуги з монтажних робіт кондиціонерів та системи припливної вентиляції</x:v>
      </x:c>
      <x:c r="N947" s="15" t="str">
        <x:v>https://prozorro.gov.ua/tender/UA-2026-05-21-006823-a</x:v>
      </x:c>
    </x:row>
    <x:row r="948">
      <x:c r="A948" s="14" t="n">
        <x:v>944</x:v>
      </x:c>
      <x:c r="B948" s="14" t="str">
        <x:v>ФІЗИЧНА ОСОБА-ПІДПРИЄМЕЦЬ БОНДАРЕНКО ВОЛОДИМИР СТЕПАНОВИЧ</x:v>
      </x:c>
      <x:c r="C948" s="14" t="str">
        <x:v>3100805212</x:v>
      </x:c>
      <x:c r="D948" s="14" t="str">
        <x:v>Резервне живлення</x:v>
      </x:c>
      <x:c r="E948" s="14" t="str">
        <x:v>Pilot now</x:v>
      </x:c>
      <x:c r="F948" s="14" t="str">
        <x:v>I3</x:v>
      </x:c>
      <x:c r="G948" s="14" t="n">
        <x:v>43</x:v>
      </x:c>
      <x:c r="H948" s="14" t="n">
        <x:v>3</x:v>
      </x:c>
      <x:c r="I948" s="14" t="n">
        <x:v>0</x:v>
      </x:c>
      <x:c r="J948" s="18" t="n">
        <x:v>77000</x:v>
      </x:c>
      <x:c r="K948" s="19" t="n">
        <x:v>45622.46098928241</x:v>
      </x:c>
      <x:c r="L948" s="19" t="n">
        <x:v>45657.46314814815</x:v>
      </x:c>
      <x:c r="M948" s="15" t="str">
        <x:v>Встановлення та підключення джерела резервного живлення (пусконалагодження та монтаж дизель-генератора) з переобладнанням щитів  системи електропостачання в адмінбудівлі за адресою: м. Звягель, вул. Олександра Чернявського, 3</x:v>
      </x:c>
      <x:c r="N948" s="15" t="str">
        <x:v>https://prozorro.gov.ua/tender/UA-2024-11-26-008748-a</x:v>
      </x:c>
    </x:row>
    <x:row r="949">
      <x:c r="A949" s="14" t="n">
        <x:v>945</x:v>
      </x:c>
      <x:c r="B949" s="14" t="str">
        <x:v>Фізична особа-підприємець Солтус Євгеній Олександрович</x:v>
      </x:c>
      <x:c r="C949" s="14" t="str">
        <x:v>2796815411</x:v>
      </x:c>
      <x:c r="D949" s="14" t="str">
        <x:v>Внутрішні сантехнічні системи</x:v>
      </x:c>
      <x:c r="E949" s="14" t="str">
        <x:v>Pilot now</x:v>
      </x:c>
      <x:c r="F949" s="14" t="str">
        <x:v>I3</x:v>
      </x:c>
      <x:c r="G949" s="14" t="n">
        <x:v>43</x:v>
      </x:c>
      <x:c r="H949" s="14" t="n">
        <x:v>1</x:v>
      </x:c>
      <x:c r="I949" s="14" t="n">
        <x:v>0</x:v>
      </x:c>
      <x:c r="J949" s="18" t="n">
        <x:v>46337.29</x:v>
      </x:c>
      <x:c r="K949" s="19" t="n">
        <x:v>46183.335698090275</x:v>
      </x:c>
      <x:c r="L949" s="19" t="n">
        <x:v>46235.333553240744</x:v>
      </x:c>
      <x:c r="M949"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x:v>
      </x:c>
      <x:c r="N949" s="15" t="str">
        <x:v>https://prozorro.gov.ua/tender/UA-2026-06-10-003360-a</x:v>
      </x:c>
    </x:row>
    <x:row r="950">
      <x:c r="A950" s="14" t="n">
        <x:v>946</x:v>
      </x:c>
      <x:c r="B950" s="14" t="str">
        <x:v>ФОП Сологуб Богдан Михайлович</x:v>
      </x:c>
      <x:c r="C950" s="14" t="str">
        <x:v>3329403156</x:v>
      </x:c>
      <x:c r="D950" s="14" t="str">
        <x:v>Безпека / СКУД / CCTV</x:v>
      </x:c>
      <x:c r="E950" s="14" t="str">
        <x:v>Expansion discovery</x:v>
      </x:c>
      <x:c r="F950" s="14" t="str">
        <x:v>I3</x:v>
      </x:c>
      <x:c r="G950" s="14" t="n">
        <x:v>43</x:v>
      </x:c>
      <x:c r="H950" s="14" t="n">
        <x:v>2</x:v>
      </x:c>
      <x:c r="I950" s="14" t="n">
        <x:v>0</x:v>
      </x:c>
      <x:c r="J950" s="18" t="n">
        <x:v>76000</x:v>
      </x:c>
      <x:c r="K950" s="19" t="n">
        <x:v>46192.57537104167</x:v>
      </x:c>
      <x:c r="L950" s="19" t="n">
        <x:v>46206</x:v>
      </x:c>
      <x:c r="M950"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x:v>
      </x:c>
      <x:c r="N950" s="15" t="str">
        <x:v>https://prozorro.gov.ua/tender/UA-2026-06-19-012235-a</x:v>
      </x:c>
    </x:row>
    <x:row r="951">
      <x:c r="A951" s="14" t="n">
        <x:v>947</x:v>
      </x:c>
      <x:c r="B951" s="14" t="str">
        <x:v>Краснощока Дмитро Володимирович</x:v>
      </x:c>
      <x:c r="C951" s="14" t="str">
        <x:v>3039314979</x:v>
      </x:c>
      <x:c r="D951" s="14" t="str">
        <x:v>Резервне живлення</x:v>
      </x:c>
      <x:c r="E951" s="14" t="str">
        <x:v>Pilot now</x:v>
      </x:c>
      <x:c r="F951" s="14" t="str">
        <x:v>I3</x:v>
      </x:c>
      <x:c r="G951" s="14" t="n">
        <x:v>42</x:v>
      </x:c>
      <x:c r="H951" s="14" t="n">
        <x:v>1</x:v>
      </x:c>
      <x:c r="I951" s="14" t="n">
        <x:v>1</x:v>
      </x:c>
      <x:c r="J951" s="18" t="n">
        <x:v>263700</x:v>
      </x:c>
      <x:c r="K951" s="19" t="n">
        <x:v>46029.442341215276</x:v>
      </x:c>
      <x:c r="L951" s="19" t="n">
        <x:v>46387</x:v>
      </x:c>
      <x:c r="M951" s="15" t="str">
        <x:v>Роботи з облаштування захисних споруд (габіонів) навколо дизель-генератора   згідно коду ДК 021:2015: 45340000-2 - Зведення огорож, монтаж поручнів і захисних засобів</x:v>
      </x:c>
      <x:c r="N951" s="15" t="str">
        <x:v>https://prozorro.gov.ua/tender/UA-2026-01-07-002597-a</x:v>
      </x:c>
    </x:row>
    <x:row r="952">
      <x:c r="A952" s="14" t="n">
        <x:v>948</x:v>
      </x:c>
      <x:c r="B952" s="14" t="str">
        <x:v>Пащенко Галина Петрівна</x:v>
      </x:c>
      <x:c r="C952" s="14" t="str">
        <x:v>3085511505</x:v>
      </x:c>
      <x:c r="D952" s="14" t="str">
        <x:v>Пожежогасіння</x:v>
      </x:c>
      <x:c r="E952" s="14" t="str">
        <x:v>Expansion discovery</x:v>
      </x:c>
      <x:c r="F952" s="14" t="str">
        <x:v>I3</x:v>
      </x:c>
      <x:c r="G952" s="14" t="n">
        <x:v>42</x:v>
      </x:c>
      <x:c r="H952" s="14" t="n">
        <x:v>1</x:v>
      </x:c>
      <x:c r="I952" s="14" t="n">
        <x:v>1</x:v>
      </x:c>
      <x:c r="J952" s="18" t="n">
        <x:v>181772.37</x:v>
      </x:c>
      <x:c r="K952" s="19" t="n">
        <x:v>46134.42947657407</x:v>
      </x:c>
      <x:c r="L952" s="19" t="n">
        <x:v>46387</x:v>
      </x:c>
      <x:c r="M952" s="15" t="str">
        <x:v>Монтаж, встановлення та введення в експлуатацію системи пожежної сигналізації та оповіщення про пожежу</x:v>
      </x:c>
      <x:c r="N952" s="15" t="str">
        <x:v>https://prozorro.gov.ua/tender/UA-2026-04-22-008062-a</x:v>
      </x:c>
    </x:row>
    <x:row r="953">
      <x:c r="A953" s="14" t="n">
        <x:v>949</x:v>
      </x:c>
      <x:c r="B953" s="14" t="str">
        <x:v>РЯХОВСЬКА ВАРВАРА ОЛЕКСІЇВНА</x:v>
      </x:c>
      <x:c r="C953" s="14" t="str">
        <x:v>3127609743</x:v>
      </x:c>
      <x:c r="D953" s="14" t="str">
        <x:v>Ремонт і підсилення бетону</x:v>
      </x:c>
      <x:c r="E953" s="14" t="str">
        <x:v>Expansion discovery</x:v>
      </x:c>
      <x:c r="F953" s="14" t="str">
        <x:v>I3</x:v>
      </x:c>
      <x:c r="G953" s="14" t="n">
        <x:v>42</x:v>
      </x:c>
      <x:c r="H953" s="14" t="n">
        <x:v>1</x:v>
      </x:c>
      <x:c r="I953" s="14" t="n">
        <x:v>1</x:v>
      </x:c>
      <x:c r="J953" s="18" t="n">
        <x:v>135896.83</x:v>
      </x:c>
      <x:c r="K953" s="19" t="n">
        <x:v>46114.58454239583</x:v>
      </x:c>
      <x:c r="L953" s="19" t="n">
        <x:v>46387</x:v>
      </x:c>
      <x:c r="M953" s="15" t="str">
        <x:v>послуги з поточного ремонту вхідної групи в найпростіше укриття Гімназії № 2 Горішньоплавнівської міської ради Кременчуцького району Полтавської області. Ремонт ґанків з улаштуванням навісу. Ремонт окремих місць у залізобетонних конструкціях з очищенням від іржі оголеної арматури та бетонуванням із розшиванням та затиранням їх. Часткова заміна та виправлення східців бетонних. Забивання вибоїн у бетонних східцях сходів та на площадках. Укріплення та виправлення прогнутих елементів та вставлення елементів, яких бракує, в металевих перилах сходів, облаштування поручнів. Перестилання окремих плит з кераміки на площадках сходових кліток (східців, підсхідців)</x:v>
      </x:c>
      <x:c r="N953" s="15" t="str">
        <x:v>https://prozorro.gov.ua/tender/UA-2026-04-02-012995-a</x:v>
      </x:c>
    </x:row>
    <x:row r="954">
      <x:c r="A954" s="14" t="n">
        <x:v>950</x:v>
      </x:c>
      <x:c r="B954" s="14" t="str">
        <x:v>ТОВ "АКТИВ АЛЬЯНС-ГАЗОРОЗПОДІЛ"</x:v>
      </x:c>
      <x:c r="C954" s="14" t="str">
        <x:v>41503033</x:v>
      </x:c>
      <x:c r="D954" s="14" t="str">
        <x:v>Газові мережі</x:v>
      </x:c>
      <x:c r="E954" s="14" t="str">
        <x:v>Expansion discovery</x:v>
      </x:c>
      <x:c r="F954" s="14" t="str">
        <x:v>I3</x:v>
      </x:c>
      <x:c r="G954" s="14" t="n">
        <x:v>42</x:v>
      </x:c>
      <x:c r="H954" s="14" t="n">
        <x:v>1</x:v>
      </x:c>
      <x:c r="I954" s="14" t="n">
        <x:v>1</x:v>
      </x:c>
      <x:c r="J954" s="18" t="n">
        <x:v>389999</x:v>
      </x:c>
      <x:c r="K954" s="19" t="n">
        <x:v>46072.30951655093</x:v>
      </x:c>
      <x:c r="L954" s="19" t="n">
        <x:v>46435</x:v>
      </x:c>
      <x:c r="M954"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x:v>
      </x:c>
      <x:c r="N954" s="15" t="str">
        <x:v>https://prozorro.gov.ua/tender/UA-2026-01-13-011009-a</x:v>
      </x:c>
    </x:row>
    <x:row r="955">
      <x:c r="A955" s="14" t="n">
        <x:v>951</x:v>
      </x:c>
      <x:c r="B955" s="14" t="str">
        <x:v>ТОВ "КОНКРІТМІТАЛ"</x:v>
      </x:c>
      <x:c r="C955" s="14" t="str">
        <x:v>45704385</x:v>
      </x:c>
      <x:c r="D955" s="14" t="str">
        <x:v>Залізнична інфраструктура</x:v>
      </x:c>
      <x:c r="E955" s="14" t="str">
        <x:v>Expansion discovery</x:v>
      </x:c>
      <x:c r="F955" s="14" t="str">
        <x:v>I3</x:v>
      </x:c>
      <x:c r="G955" s="14" t="n">
        <x:v>42</x:v>
      </x:c>
      <x:c r="H955" s="14" t="n">
        <x:v>1</x:v>
      </x:c>
      <x:c r="I955" s="14" t="n">
        <x:v>1</x:v>
      </x:c>
      <x:c r="J955" s="18" t="n">
        <x:v>4599600</x:v>
      </x:c>
      <x:c r="K955" s="19" t="n">
        <x:v>45994.59561148148</x:v>
      </x:c>
      <x:c r="L955" s="19" t="n">
        <x:v>46387</x:v>
      </x:c>
      <x:c r="M955" s="15" t="str">
        <x:v>Послуги з поточного ремонту залізничної колії № 24 (інв. № 057162) та автодороги від головної прохідної до причала в корені Військового молу (інв № 068545) Одеської філії ДП «АМПУ»</x:v>
      </x:c>
      <x:c r="N955" s="15" t="str">
        <x:v>https://prozorro.gov.ua/tender/UA-2025-11-05-015702-a</x:v>
      </x:c>
    </x:row>
    <x:row r="956">
      <x:c r="A956" s="14" t="n">
        <x:v>952</x:v>
      </x:c>
      <x:c r="B956" s="14" t="str">
        <x:v>ТОВ "КПП " Теплокомунмережа"</x:v>
      </x:c>
      <x:c r="C956" s="14" t="str">
        <x:v>31766986</x:v>
      </x:c>
      <x:c r="D956" s="14" t="str">
        <x:v>Теплові пункти</x:v>
      </x:c>
      <x:c r="E956" s="14" t="str">
        <x:v>Expansion discovery</x:v>
      </x:c>
      <x:c r="F956" s="14" t="str">
        <x:v>I3</x:v>
      </x:c>
      <x:c r="G956" s="14" t="n">
        <x:v>42</x:v>
      </x:c>
      <x:c r="H956" s="14" t="n">
        <x:v>1</x:v>
      </x:c>
      <x:c r="I956" s="14" t="n">
        <x:v>1</x:v>
      </x:c>
      <x:c r="J956" s="18" t="n">
        <x:v>230950.81</x:v>
      </x:c>
      <x:c r="K956" s="19" t="n">
        <x:v>46127.701601388886</x:v>
      </x:c>
      <x:c r="L956" s="19" t="n">
        <x:v>46387</x:v>
      </x:c>
      <x:c r="M956" s="15" t="str">
        <x:v>Реконструкція індивідуального теплового пункту (ІТП) для опалення підвальних приміщеннь за адресою: м.Ірпінь вул. Заріфи Алієвої 61/1 ліцей ІЛІТ. ДК 021:2015   45454000-4 Реконструкція.</x:v>
      </x:c>
      <x:c r="N956" s="15" t="str">
        <x:v>https://prozorro.gov.ua/tender/UA-2026-04-15-013396-a</x:v>
      </x:c>
    </x:row>
    <x:row r="957">
      <x:c r="A957" s="14" t="n">
        <x:v>953</x:v>
      </x:c>
      <x:c r="B957" s="14" t="str">
        <x:v>ТОВ "ХОЛДИНГ "ПОЖЕЖНА БЕЗПЕКА ТА НС"</x:v>
      </x:c>
      <x:c r="C957" s="14" t="str">
        <x:v>34588401</x:v>
      </x:c>
      <x:c r="D957" s="14" t="str">
        <x:v>Пожежогасіння</x:v>
      </x:c>
      <x:c r="E957" s="14" t="str">
        <x:v>Expansion discovery</x:v>
      </x:c>
      <x:c r="F957" s="14" t="str">
        <x:v>I3</x:v>
      </x:c>
      <x:c r="G957" s="14" t="n">
        <x:v>42</x:v>
      </x:c>
      <x:c r="H957" s="14" t="n">
        <x:v>1</x:v>
      </x:c>
      <x:c r="I957" s="14" t="n">
        <x:v>1</x:v>
      </x:c>
      <x:c r="J957" s="18" t="n">
        <x:v>2415235.45</x:v>
      </x:c>
      <x:c r="K957" s="19" t="n">
        <x:v>45965.714899224535</x:v>
      </x:c>
      <x:c r="L957" s="19" t="n">
        <x:v>46321</x:v>
      </x:c>
      <x:c r="M957"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x:v>
      </x:c>
      <x:c r="N957" s="15" t="str">
        <x:v>https://prozorro.gov.ua/tender/UA-2025-11-04-016268-a</x:v>
      </x:c>
    </x:row>
    <x:row r="958">
      <x:c r="A958" s="14" t="n">
        <x:v>954</x:v>
      </x:c>
      <x:c r="B958" s="14" t="str">
        <x:v>ТОВ Енергопромбуд</x:v>
      </x:c>
      <x:c r="C958" s="14" t="str">
        <x:v>38900726</x:v>
      </x:c>
      <x:c r="D958" s="14" t="str">
        <x:v>Підстанції / силові мережі</x:v>
      </x:c>
      <x:c r="E958" s="14" t="str">
        <x:v>Pilot now</x:v>
      </x:c>
      <x:c r="F958" s="14" t="str">
        <x:v>I3</x:v>
      </x:c>
      <x:c r="G958" s="14" t="n">
        <x:v>42</x:v>
      </x:c>
      <x:c r="H958" s="14" t="n">
        <x:v>1</x:v>
      </x:c>
      <x:c r="I958" s="14" t="n">
        <x:v>1</x:v>
      </x:c>
      <x:c r="J958" s="18" t="n">
        <x:v>4571541.82</x:v>
      </x:c>
      <x:c r="K958" s="19" t="n">
        <x:v>45952.366749594905</x:v>
      </x:c>
      <x:c r="L958" s="19" t="n">
        <x:v>46381</x:v>
      </x:c>
      <x:c r="M958" s="15" t="str">
        <x:v>ДК 021-2015: 45454000-4 Реконструкція. «Реконструкція. Заміна ввідної комірки № 16 КРП-6 кВ підстанції 35/6 кВ «Резервна» Будівельно-монтажні роботи». РПЗ-5.2.23</x:v>
      </x:c>
      <x:c r="N958" s="15" t="str">
        <x:v>https://prozorro.gov.ua/tender/UA-2025-09-29-009205-a</x:v>
      </x:c>
    </x:row>
    <x:row r="959">
      <x:c r="A959" s="14" t="n">
        <x:v>955</x:v>
      </x:c>
      <x:c r="B959" s="14" t="str">
        <x:v>ТОВ КІРАБУД</x:v>
      </x:c>
      <x:c r="C959" s="14" t="str">
        <x:v>40908698</x:v>
      </x:c>
      <x:c r="D959" s="14" t="str">
        <x:v>Зовнішні мережі</x:v>
      </x:c>
      <x:c r="E959" s="14" t="str">
        <x:v>Expansion discovery</x:v>
      </x:c>
      <x:c r="F959" s="14" t="str">
        <x:v>I3</x:v>
      </x:c>
      <x:c r="G959" s="14" t="n">
        <x:v>42</x:v>
      </x:c>
      <x:c r="H959" s="14" t="n">
        <x:v>1</x:v>
      </x:c>
      <x:c r="I959" s="14" t="n">
        <x:v>1</x:v>
      </x:c>
      <x:c r="J959" s="18" t="n">
        <x:v>6293628.49</x:v>
      </x:c>
      <x:c r="K959" s="19" t="n">
        <x:v>45996.3774528125</x:v>
      </x:c>
      <x:c r="L959" s="19" t="n">
        <x:v>46371</x:v>
      </x:c>
      <x:c r="M959" s="15" t="str">
        <x:v> Будівництво каналізаційного колектора із реконструкцією КНС по вул. Набережна в м. Теребовля . Коригування . </x:v>
      </x:c>
      <x:c r="N959" s="15" t="str">
        <x:v>https://prozorro.gov.ua/tender/UA-2025-10-22-015679-a</x:v>
      </x:c>
    </x:row>
    <x:row r="960">
      <x:c r="A960" s="14" t="n">
        <x:v>956</x:v>
      </x:c>
      <x:c r="B960" s="14" t="str">
        <x:v>ТОВ МОРБУДПРОЕКТ</x:v>
      </x:c>
      <x:c r="C960" s="14" t="str">
        <x:v>38295459</x:v>
      </x:c>
      <x:c r="D960" s="14" t="str">
        <x:v>Залізнична інфраструктура</x:v>
      </x:c>
      <x:c r="E960" s="14" t="str">
        <x:v>Expansion discovery</x:v>
      </x:c>
      <x:c r="F960" s="14" t="str">
        <x:v>I3</x:v>
      </x:c>
      <x:c r="G960" s="14" t="n">
        <x:v>42</x:v>
      </x:c>
      <x:c r="H960" s="14" t="n">
        <x:v>1</x:v>
      </x:c>
      <x:c r="I960" s="14" t="n">
        <x:v>1</x:v>
      </x:c>
      <x:c r="J960" s="18" t="n">
        <x:v>2162854.58</x:v>
      </x:c>
      <x:c r="K960" s="19" t="n">
        <x:v>45957.29637895833</x:v>
      </x:c>
      <x:c r="L960" s="19" t="n">
        <x:v>46387</x:v>
      </x:c>
      <x:c r="M960" s="15" t="str">
        <x:v>Проектно-вишукувальні роботи «Капітальний ремонт причалу № 14 (інв. № 063550), залізничної колії № 44 (інв. № 057174), залізничної колії № 45 (інв. № 057175) Одеської філії ДП "АМПУ" за адресою м. Одеса, Митна площа, 1/2»</x:v>
      </x:c>
      <x:c r="N960" s="15" t="str">
        <x:v>https://prozorro.gov.ua/tender/UA-2025-09-24-013954-a</x:v>
      </x:c>
    </x:row>
    <x:row r="961">
      <x:c r="A961" s="14" t="n">
        <x:v>957</x:v>
      </x:c>
      <x:c r="B961" s="14" t="str">
        <x:v>ТОВАРИСТВО З ОБМЕЖЕНОЮ ВІДПОВІДАЛЬНІСТЮ "єЕНЕРГО"</x:v>
      </x:c>
      <x:c r="C961" s="14" t="str">
        <x:v>45498902</x:v>
      </x:c>
      <x:c r="D961" s="14" t="str">
        <x:v>Підстанції / силові мережі</x:v>
      </x:c>
      <x:c r="E961" s="14" t="str">
        <x:v>Pilot now</x:v>
      </x:c>
      <x:c r="F961" s="14" t="str">
        <x:v>I3</x:v>
      </x:c>
      <x:c r="G961" s="14" t="n">
        <x:v>42</x:v>
      </x:c>
      <x:c r="H961" s="14" t="n">
        <x:v>1</x:v>
      </x:c>
      <x:c r="I961" s="14" t="n">
        <x:v>1</x:v>
      </x:c>
      <x:c r="J961" s="18" t="n">
        <x:v>3512000</x:v>
      </x:c>
      <x:c r="K961" s="19" t="n">
        <x:v>46009.565055659725</x:v>
      </x:c>
      <x:c r="L961" s="19" t="n">
        <x:v>46387</x:v>
      </x:c>
      <x:c r="M961"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x:v>
      </x:c>
      <x:c r="N961" s="15" t="str">
        <x:v>https://prozorro.gov.ua/tender/UA-2025-10-31-004780-a</x:v>
      </x:c>
    </x:row>
    <x:row r="962">
      <x:c r="A962" s="14" t="n">
        <x:v>958</x:v>
      </x:c>
      <x:c r="B962" s="14" t="str">
        <x:v>ТОВАРИСТВО З ОБМЕЖЕНОЮ ВІДПОВІДАЛЬНІСТЮ "ІНЖІНІРІНГ ТОРГ ГРУП"</x:v>
      </x:c>
      <x:c r="C962" s="14" t="str">
        <x:v>43480041</x:v>
      </x:c>
      <x:c r="D962" s="14" t="str">
        <x:v>Насосні станції</x:v>
      </x:c>
      <x:c r="E962" s="14" t="str">
        <x:v>Expansion discovery</x:v>
      </x:c>
      <x:c r="F962" s="14" t="str">
        <x:v>I3</x:v>
      </x:c>
      <x:c r="G962" s="14" t="n">
        <x:v>42</x:v>
      </x:c>
      <x:c r="H962" s="14" t="n">
        <x:v>1</x:v>
      </x:c>
      <x:c r="I962" s="14" t="n">
        <x:v>1</x:v>
      </x:c>
      <x:c r="J962" s="18" t="n">
        <x:v>440679.62</x:v>
      </x:c>
      <x:c r="K962" s="19" t="n">
        <x:v>46132.44624921296</x:v>
      </x:c>
      <x:c r="L962" s="19" t="n">
        <x:v>46386</x:v>
      </x:c>
      <x:c r="M962" s="15" t="str">
        <x:v>Реконструкція насосної станції (інв. №34) КП «Синельниківський міський водоканал» ДОР за адресою: м. Синельникове, вул. Робоча, у частині повної заміни вузла обліку стічних (каналізаційних) вод (код ДК 021:2015 - 45454000-4 Реконструкція)</x:v>
      </x:c>
      <x:c r="N962" s="15" t="str">
        <x:v>https://prozorro.gov.ua/tender/UA-2026-04-20-006546-a</x:v>
      </x:c>
    </x:row>
    <x:row r="963">
      <x:c r="A963" s="14" t="n">
        <x:v>959</x:v>
      </x:c>
      <x:c r="B963" s="14" t="str">
        <x:v>ГЛЯНЕНКО СЕРГІЙ МИКОЛАЙОВИЧ</x:v>
      </x:c>
      <x:c r="C963" s="14" t="str">
        <x:v>2903818919</x:v>
      </x:c>
      <x:c r="D963" s="14" t="str">
        <x:v>Резервне живлення</x:v>
      </x:c>
      <x:c r="E963" s="14" t="str">
        <x:v>Pilot now</x:v>
      </x:c>
      <x:c r="F963" s="14" t="str">
        <x:v>I3</x:v>
      </x:c>
      <x:c r="G963" s="14" t="n">
        <x:v>42</x:v>
      </x:c>
      <x:c r="H963" s="14" t="n">
        <x:v>1</x:v>
      </x:c>
      <x:c r="I963" s="14" t="n">
        <x:v>0</x:v>
      </x:c>
      <x:c r="J963" s="18" t="n">
        <x:v>192340</x:v>
      </x:c>
      <x:c r="K963" s="19" t="n">
        <x:v>46091.442397060186</x:v>
      </x:c>
      <x:c r="L963" s="19" t="n">
        <x:v>46097</x:v>
      </x:c>
      <x:c r="M963" s="15" t="str">
        <x:v>Послуги з поточного ремонту по монтажу і підключенню резервного живлення (дизель-генератора) (51110000-6 Послуги зі встановлення електричного обладнання)</x:v>
      </x:c>
      <x:c r="N963" s="15" t="str">
        <x:v>https://prozorro.gov.ua/tender/UA-2026-03-10-006605-a</x:v>
      </x:c>
    </x:row>
    <x:row r="964">
      <x:c r="A964" s="14" t="n">
        <x:v>960</x:v>
      </x:c>
      <x:c r="B964" s="14" t="str">
        <x:v>ЗАХАРОВ СЕРГІЙ МИКОЛАЙОВИЧ</x:v>
      </x:c>
      <x:c r="C964" s="14" t="str">
        <x:v>2767206552</x:v>
      </x:c>
      <x:c r="D964" s="14" t="str">
        <x:v>Насосні станції</x:v>
      </x:c>
      <x:c r="E964" s="14" t="str">
        <x:v>Expansion discovery</x:v>
      </x:c>
      <x:c r="F964" s="14" t="str">
        <x:v>I3</x:v>
      </x:c>
      <x:c r="G964" s="14" t="n">
        <x:v>42</x:v>
      </x:c>
      <x:c r="H964" s="14" t="n">
        <x:v>1</x:v>
      </x:c>
      <x:c r="I964" s="14" t="n">
        <x:v>0</x:v>
      </x:c>
      <x:c r="J964" s="18" t="n">
        <x:v>140906.46</x:v>
      </x:c>
      <x:c r="K964" s="19" t="n">
        <x:v>46057.46382563657</x:v>
      </x:c>
      <x:c r="L964" s="19" t="n">
        <x:v>46112</x:v>
      </x:c>
      <x:c r="M964" s="15" t="str">
        <x:v>Реконструкція комерційних вузлів обліку спожитої електроенергії із облаштуванням АСКОЕ за адресою: насосна станція 2-го підйому, вул. Шкільна, 9А</x:v>
      </x:c>
      <x:c r="N964" s="15" t="str">
        <x:v>https://prozorro.gov.ua/tender/UA-2026-02-04-007282-a</x:v>
      </x:c>
    </x:row>
    <x:row r="965">
      <x:c r="A965" s="14" t="n">
        <x:v>961</x:v>
      </x:c>
      <x:c r="B965" s="14" t="str">
        <x:v>МАЛЬЦЕВ ВЯЧЕСЛАВ ВОЛОДИМИРОВИЧ</x:v>
      </x:c>
      <x:c r="C965" s="14" t="str">
        <x:v>3050226417</x:v>
      </x:c>
      <x:c r="D965" s="14" t="str">
        <x:v>Газопостачання / котельні</x:v>
      </x:c>
      <x:c r="E965" s="14" t="str">
        <x:v>Expansion discovery</x:v>
      </x:c>
      <x:c r="F965" s="14" t="str">
        <x:v>I3</x:v>
      </x:c>
      <x:c r="G965" s="14" t="n">
        <x:v>42</x:v>
      </x:c>
      <x:c r="H965" s="14" t="n">
        <x:v>1</x:v>
      </x:c>
      <x:c r="I965" s="14" t="n">
        <x:v>0</x:v>
      </x:c>
      <x:c r="J965" s="18" t="n">
        <x:v>241293.44</x:v>
      </x:c>
      <x:c r="K965" s="19" t="n">
        <x:v>46160.46988414352</x:v>
      </x:c>
      <x:c r="L965" s="19" t="n">
        <x:v>46203</x:v>
      </x:c>
      <x:c r="M965"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x:v>
      </x:c>
      <x:c r="N965" s="15" t="str">
        <x:v>https://prozorro.gov.ua/tender/UA-2026-05-18-007697-a</x:v>
      </x:c>
    </x:row>
    <x:row r="966">
      <x:c r="A966" s="14" t="n">
        <x:v>962</x:v>
      </x:c>
      <x:c r="B966" s="14" t="str">
        <x:v>ПП "БУДПЛАСТ-2"</x:v>
      </x:c>
      <x:c r="C966" s="14" t="str">
        <x:v>33208120</x:v>
      </x:c>
      <x:c r="D966" s="14" t="str">
        <x:v>Водоочищення / очисні споруди</x:v>
      </x:c>
      <x:c r="E966" s="14" t="str">
        <x:v>Expansion discovery</x:v>
      </x:c>
      <x:c r="F966" s="14" t="str">
        <x:v>I3</x:v>
      </x:c>
      <x:c r="G966" s="14" t="n">
        <x:v>42</x:v>
      </x:c>
      <x:c r="H966" s="14" t="n">
        <x:v>1</x:v>
      </x:c>
      <x:c r="I966" s="14" t="n">
        <x:v>0</x:v>
      </x:c>
      <x:c r="J966" s="18" t="n">
        <x:v>3694176</x:v>
      </x:c>
      <x:c r="K966" s="19" t="n">
        <x:v>46010.44463627315</x:v>
      </x:c>
      <x:c r="L966" s="19" t="n">
        <x:v>46203</x:v>
      </x:c>
      <x:c r="M966"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x:v>
      </x:c>
      <x:c r="N966" s="15" t="str">
        <x:v>https://prozorro.gov.ua/tender/UA-2025-11-25-002765-a</x:v>
      </x:c>
    </x:row>
    <x:row r="967">
      <x:c r="A967" s="14" t="n">
        <x:v>963</x:v>
      </x:c>
      <x:c r="B967" s="14" t="str">
        <x:v>ПРИВАТНЕ АКЦІОНЕРНЕ ТОВАРИСТВО "СУМСЬКИЙ ПРОМПРОЕКТ"</x:v>
      </x:c>
      <x:c r="C967" s="14" t="str">
        <x:v>00219649</x:v>
      </x:c>
      <x:c r="D967" s="14" t="str">
        <x:v>Насосні станції</x:v>
      </x:c>
      <x:c r="E967" s="14" t="str">
        <x:v>Expansion discovery</x:v>
      </x:c>
      <x:c r="F967" s="14" t="str">
        <x:v>I3</x:v>
      </x:c>
      <x:c r="G967" s="14" t="n">
        <x:v>42</x:v>
      </x:c>
      <x:c r="H967" s="14" t="n">
        <x:v>1</x:v>
      </x:c>
      <x:c r="I967" s="14" t="n">
        <x:v>0</x:v>
      </x:c>
      <x:c r="J967" s="18" t="n">
        <x:v>480000</x:v>
      </x:c>
      <x:c r="K967" s="19" t="n">
        <x:v>46076.6151671875</x:v>
      </x:c>
      <x:c r="L967" s="19" t="n">
        <x:v>46146</x:v>
      </x:c>
      <x:c r="M967" s="15" t="str">
        <x:v>Створення проектної документації по об'єкту:"Реконструкція системи водовідведення з центральної частини м.Тростянець. Каналізаційна насосна станція з занурювальними насосами по вул.Б.Хмельницького. Корегування"</x:v>
      </x:c>
      <x:c r="N967" s="15" t="str">
        <x:v>https://prozorro.gov.ua/tender/UA-2026-02-23-013987-a</x:v>
      </x:c>
    </x:row>
    <x:row r="968">
      <x:c r="A968" s="14" t="n">
        <x:v>964</x:v>
      </x:c>
      <x:c r="B968" s="14" t="str">
        <x:v>ПРИВАТНЕ ПІДПРИЄМСТВО "АГРОСЕРВІС - ПЛЮС - Ц"</x:v>
      </x:c>
      <x:c r="C968" s="14" t="str">
        <x:v>35317935</x:v>
      </x:c>
      <x:c r="D968" s="14" t="str">
        <x:v>Внутрішні сантехнічні системи</x:v>
      </x:c>
      <x:c r="E968" s="14" t="str">
        <x:v>Pilot now</x:v>
      </x:c>
      <x:c r="F968" s="14" t="str">
        <x:v>I3</x:v>
      </x:c>
      <x:c r="G968" s="14" t="n">
        <x:v>42</x:v>
      </x:c>
      <x:c r="H968" s="14" t="n">
        <x:v>1</x:v>
      </x:c>
      <x:c r="I968" s="14" t="n">
        <x:v>0</x:v>
      </x:c>
      <x:c r="J968" s="18" t="n">
        <x:v>184614</x:v>
      </x:c>
      <x:c r="K968" s="19" t="n">
        <x:v>46111.573581041666</x:v>
      </x:c>
      <x:c r="L968" s="19" t="n">
        <x:v>46142</x:v>
      </x:c>
      <x:c r="M968"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x:v>
      </x:c>
      <x:c r="N968" s="15" t="str">
        <x:v>https://prozorro.gov.ua/tender/UA-2026-03-30-010134-a</x:v>
      </x:c>
    </x:row>
    <x:row r="969">
      <x:c r="A969" s="14" t="n">
        <x:v>965</x:v>
      </x:c>
      <x:c r="B969" s="14" t="str">
        <x:v>ТОВ "Афінацентр"</x:v>
      </x:c>
      <x:c r="C969" s="14" t="str">
        <x:v>39107995</x:v>
      </x:c>
      <x:c r="D969" s="14" t="str">
        <x:v>Чисті приміщення</x:v>
      </x:c>
      <x:c r="E969" s="14" t="str">
        <x:v>Expansion discovery</x:v>
      </x:c>
      <x:c r="F969" s="14" t="str">
        <x:v>I3</x:v>
      </x:c>
      <x:c r="G969" s="14" t="n">
        <x:v>42</x:v>
      </x:c>
      <x:c r="H969" s="14" t="n">
        <x:v>1</x:v>
      </x:c>
      <x:c r="I969" s="14" t="n">
        <x:v>0</x:v>
      </x:c>
      <x:c r="J969" s="18" t="n">
        <x:v>12551875.2</x:v>
      </x:c>
      <x:c r="K969" s="19" t="n">
        <x:v>45530.56837409722</x:v>
      </x:c>
      <x:c r="L969" s="19" t="n">
        <x:v>45626</x:v>
      </x:c>
      <x:c r="M969" s="15" t="str">
        <x:v>Будівельно-монтажні роботи по об'єкту  "Реконструкція операційного блоку КНП "Кіровоградська міська лікарня швидкої медичної допомоги", м. Кропивницький, вул. Короленка, 56. (Коригування)"</x:v>
      </x:c>
      <x:c r="N969" s="15" t="str">
        <x:v>https://prozorro.gov.ua/tender/UA-2024-08-02-006689-a</x:v>
      </x:c>
    </x:row>
    <x:row r="970">
      <x:c r="A970" s="14" t="n">
        <x:v>966</x:v>
      </x:c>
      <x:c r="B970" s="14" t="str">
        <x:v>ТОВ "БУДІВЕЛЬНА КОМПАНІЯ "ОПТИМАЛЬНА"</x:v>
      </x:c>
      <x:c r="C970" s="14" t="str">
        <x:v>42593201</x:v>
      </x:c>
      <x:c r="D970" s="14" t="str">
        <x:v>Водоочищення / очисні споруди</x:v>
      </x:c>
      <x:c r="E970" s="14" t="str">
        <x:v>Expansion discovery</x:v>
      </x:c>
      <x:c r="F970" s="14" t="str">
        <x:v>I3</x:v>
      </x:c>
      <x:c r="G970" s="14" t="n">
        <x:v>42</x:v>
      </x:c>
      <x:c r="H970" s="14" t="n">
        <x:v>1</x:v>
      </x:c>
      <x:c r="I970" s="14" t="n">
        <x:v>0</x:v>
      </x:c>
      <x:c r="J970" s="18" t="n">
        <x:v>4800041.44</x:v>
      </x:c>
      <x:c r="K970" s="19" t="n">
        <x:v>45987.59681658565</x:v>
      </x:c>
      <x:c r="L970" s="19" t="n">
        <x:v>46022.66689814815</x:v>
      </x:c>
      <x:c r="M970"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x:v>
      </x:c>
      <x:c r="N970" s="15" t="str">
        <x:v>https://prozorro.gov.ua/tender/UA-2025-11-06-016140-a</x:v>
      </x:c>
    </x:row>
    <x:row r="971">
      <x:c r="A971" s="14" t="n">
        <x:v>967</x:v>
      </x:c>
      <x:c r="B971" s="14" t="str">
        <x:v>ТОВ "БУДІВЕЛЬНИЙ КОМПЛЕКС "УНІВЕРСАЛ"</x:v>
      </x:c>
      <x:c r="C971" s="14" t="str">
        <x:v>37588619</x:v>
      </x:c>
      <x:c r="D971" s="14" t="str">
        <x:v>Фасади та скління</x:v>
      </x:c>
      <x:c r="E971" s="14" t="str">
        <x:v>Expansion discovery</x:v>
      </x:c>
      <x:c r="F971" s="14" t="str">
        <x:v>I3</x:v>
      </x:c>
      <x:c r="G971" s="14" t="n">
        <x:v>42</x:v>
      </x:c>
      <x:c r="H971" s="14" t="n">
        <x:v>1</x:v>
      </x:c>
      <x:c r="I971" s="14" t="n">
        <x:v>0</x:v>
      </x:c>
      <x:c r="J971" s="18" t="n">
        <x:v>3914443.53</x:v>
      </x:c>
      <x:c r="K971" s="19" t="n">
        <x:v>45805.56283309028</x:v>
      </x:c>
      <x:c r="L971" s="19" t="n">
        <x:v>46022</x:v>
      </x:c>
      <x:c r="M971" s="15" t="str">
        <x:v>Утеплення фасаду будівлі</x:v>
      </x:c>
      <x:c r="N971" s="15" t="str">
        <x:v>https://prozorro.gov.ua/tender/UA-2025-05-05-002949-a</x:v>
      </x:c>
    </x:row>
    <x:row r="972">
      <x:c r="A972" s="14" t="n">
        <x:v>968</x:v>
      </x:c>
      <x:c r="B972" s="14" t="str">
        <x:v>ТОВ "ГАЗБУДІНЖИНІРИНГ"</x:v>
      </x:c>
      <x:c r="C972" s="14" t="str">
        <x:v>43062217</x:v>
      </x:c>
      <x:c r="D972" s="14" t="str">
        <x:v>Газові мережі</x:v>
      </x:c>
      <x:c r="E972" s="14" t="str">
        <x:v>Expansion discovery</x:v>
      </x:c>
      <x:c r="F972" s="14" t="str">
        <x:v>I3</x:v>
      </x:c>
      <x:c r="G972" s="14" t="n">
        <x:v>42</x:v>
      </x:c>
      <x:c r="H972" s="14" t="n">
        <x:v>1</x:v>
      </x:c>
      <x:c r="I972" s="14" t="n">
        <x:v>0</x:v>
      </x:c>
      <x:c r="J972" s="18" t="n">
        <x:v>2274000</x:v>
      </x:c>
      <x:c r="K972" s="19" t="n">
        <x:v>45860.49829652778</x:v>
      </x:c>
      <x:c r="L972" s="19" t="n">
        <x:v>46107</x:v>
      </x:c>
      <x:c r="M972"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x:v>
      </x:c>
      <x:c r="N972" s="15" t="str">
        <x:v>https://prozorro.gov.ua/tender/UA-2025-06-19-010061-a</x:v>
      </x:c>
    </x:row>
    <x:row r="973">
      <x:c r="A973" s="14" t="n">
        <x:v>969</x:v>
      </x:c>
      <x:c r="B973" s="14" t="str">
        <x:v>ТОВ "ЗАХІД ПРОМ ПОСТАЧ"</x:v>
      </x:c>
      <x:c r="C973" s="14" t="str">
        <x:v>42069908</x:v>
      </x:c>
      <x:c r="D973" s="14" t="str">
        <x:v>Фасади та скління</x:v>
      </x:c>
      <x:c r="E973" s="14" t="str">
        <x:v>Expansion discovery</x:v>
      </x:c>
      <x:c r="F973" s="14" t="str">
        <x:v>I3</x:v>
      </x:c>
      <x:c r="G973" s="14" t="n">
        <x:v>42</x:v>
      </x:c>
      <x:c r="H973" s="14" t="n">
        <x:v>1</x:v>
      </x:c>
      <x:c r="I973" s="14" t="n">
        <x:v>0</x:v>
      </x:c>
      <x:c r="J973" s="18" t="n">
        <x:v>389004.22</x:v>
      </x:c>
      <x:c r="K973" s="19" t="n">
        <x:v>46127.37707945602</x:v>
      </x:c>
      <x:c r="L973" s="19" t="n">
        <x:v>46157</x:v>
      </x:c>
      <x:c r="M973" s="15" t="str">
        <x:v>Матеріали для утеплення та оздоблення фасаду з супутніми комплектуючими</x:v>
      </x:c>
      <x:c r="N973" s="15" t="str">
        <x:v>https://prozorro.gov.ua/tender/UA-2026-04-06-009207-a</x:v>
      </x:c>
    </x:row>
    <x:row r="974">
      <x:c r="A974" s="14" t="n">
        <x:v>970</x:v>
      </x:c>
      <x:c r="B974" s="14" t="str">
        <x:v>ТОВ "ІР СОМ"</x:v>
      </x:c>
      <x:c r="C974" s="14" t="str">
        <x:v>32338465</x:v>
      </x:c>
      <x:c r="D974" s="14" t="str">
        <x:v>Ремонт і підсилення бетону</x:v>
      </x:c>
      <x:c r="E974" s="14" t="str">
        <x:v>Expansion discovery</x:v>
      </x:c>
      <x:c r="F974" s="14" t="str">
        <x:v>I3</x:v>
      </x:c>
      <x:c r="G974" s="14" t="n">
        <x:v>42</x:v>
      </x:c>
      <x:c r="H974" s="14" t="n">
        <x:v>1</x:v>
      </x:c>
      <x:c r="I974" s="14" t="n">
        <x:v>0</x:v>
      </x:c>
      <x:c r="J974" s="18" t="n">
        <x:v>169637.21</x:v>
      </x:c>
      <x:c r="K974" s="19" t="n">
        <x:v>46134.36135506944</x:v>
      </x:c>
      <x:c r="L974" s="19" t="n">
        <x:v>46173</x:v>
      </x:c>
      <x:c r="M974" s="15" t="str">
        <x:v>Поточний ремонт малої архітектурної форми "Наземна стаціонарна декоративна залізобетонна конструкція з назвою населеного пункту "Лозова"(в напрямку смт. Близнюки)</x:v>
      </x:c>
      <x:c r="N974" s="15" t="str">
        <x:v>https://prozorro.gov.ua/tender/UA-2026-04-22-005630-a</x:v>
      </x:c>
    </x:row>
    <x:row r="975">
      <x:c r="A975" s="14" t="n">
        <x:v>971</x:v>
      </x:c>
      <x:c r="B975" s="14" t="str">
        <x:v>ТОВ "ТЕПЛОКЛІМАТ"</x:v>
      </x:c>
      <x:c r="C975" s="14" t="str">
        <x:v>45213668</x:v>
      </x:c>
      <x:c r="D975" s="14" t="str">
        <x:v>Промисловий холод</x:v>
      </x:c>
      <x:c r="E975" s="14" t="str">
        <x:v>Expansion discovery</x:v>
      </x:c>
      <x:c r="F975" s="14" t="str">
        <x:v>I3</x:v>
      </x:c>
      <x:c r="G975" s="14" t="n">
        <x:v>42</x:v>
      </x:c>
      <x:c r="H975" s="14" t="n">
        <x:v>1</x:v>
      </x:c>
      <x:c r="I975" s="14" t="n">
        <x:v>0</x:v>
      </x:c>
      <x:c r="J975" s="18" t="n">
        <x:v>3977756</x:v>
      </x:c>
      <x:c r="K975" s="19" t="n">
        <x:v>45952.510401770836</x:v>
      </x:c>
      <x:c r="L975" s="19" t="n">
        <x:v>45992</x:v>
      </x:c>
      <x:c r="M975" s="15" t="str">
        <x:v>Кондиціонери з монтажем код за ДК 021:2015: 42510000-4 Теплообмінники, кондиціонери повітря, холодильне обладнання та фільтрувальні пристрої.</x:v>
      </x:c>
      <x:c r="N975" s="15" t="str">
        <x:v>https://prozorro.gov.ua/tender/UA-2025-10-09-006953-a</x:v>
      </x:c>
    </x:row>
    <x:row r="976">
      <x:c r="A976" s="14" t="n">
        <x:v>972</x:v>
      </x:c>
      <x:c r="B976" s="14" t="str">
        <x:v>ТОВ ІНТЕРБУДПОСТАЧ</x:v>
      </x:c>
      <x:c r="C976" s="14" t="str">
        <x:v>36108121</x:v>
      </x:c>
      <x:c r="D976" s="14" t="str">
        <x:v>Ремонт і підсилення бетону</x:v>
      </x:c>
      <x:c r="E976" s="14" t="str">
        <x:v>Expansion discovery</x:v>
      </x:c>
      <x:c r="F976" s="14" t="str">
        <x:v>I3</x:v>
      </x:c>
      <x:c r="G976" s="14" t="n">
        <x:v>42</x:v>
      </x:c>
      <x:c r="H976" s="14" t="n">
        <x:v>1</x:v>
      </x:c>
      <x:c r="I976" s="14" t="n">
        <x:v>0</x:v>
      </x:c>
      <x:c r="J976" s="18" t="n">
        <x:v>224286192</x:v>
      </x:c>
      <x:c r="K976" s="19" t="n">
        <x:v>45386.45935493056</x:v>
      </x:c>
      <x:c r="L976" s="19" t="n">
        <x:v>46022</x:v>
      </x:c>
      <x:c r="M976"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тротуарів з заміною покриття, гідроізоляції, перильної та бар'єрної огорож, ремонт системи водовідведення, ремонт фасадної частини залізобетонних конструкцій Південного мостового переходу через р. Дніпро в м.Київ, а саме на спорудах: 1. Залізобетонна частина Південного мосту через р. Дніпро (низовий бік, з боку с. Корчувате); 2. Правобережна естакада «Н» Південного мостового переходу через р. Дніпро (з боку мосту с. Корчувате); 3. Естакада на магістралі від Наддніпрянського шосе до проспекту Науки «В» (з боку мосту ім. Є.О. Патона через р. Дніпро); 4. Естакада на магістралі від Наддніпрянського шосе до проспекту Науки «Н» (з боку с. Корчувате))</x:v>
      </x:c>
      <x:c r="N976" s="15" t="str">
        <x:v>https://prozorro.gov.ua/tender/UA-2024-03-21-004259-a</x:v>
      </x:c>
    </x:row>
    <x:row r="977">
      <x:c r="A977" s="14" t="n">
        <x:v>973</x:v>
      </x:c>
      <x:c r="B977" s="14" t="str">
        <x:v>ТОВАРИСТВО З ОБМЕЖЕНОЮ ВІДПОВІДАЛЬНІСТЮ "АЛСВІТ ПЛЮС"</x:v>
      </x:c>
      <x:c r="C977" s="14" t="str">
        <x:v>38975278</x:v>
      </x:c>
      <x:c r="D977" s="14" t="str">
        <x:v>Чисті приміщення</x:v>
      </x:c>
      <x:c r="E977" s="14" t="str">
        <x:v>Expansion discovery</x:v>
      </x:c>
      <x:c r="F977" s="14" t="str">
        <x:v>I3</x:v>
      </x:c>
      <x:c r="G977" s="14" t="n">
        <x:v>42</x:v>
      </x:c>
      <x:c r="H977" s="14" t="n">
        <x:v>1</x:v>
      </x:c>
      <x:c r="I977" s="14" t="n">
        <x:v>0</x:v>
      </x:c>
      <x:c r="J977" s="18" t="n">
        <x:v>27344003.96</x:v>
      </x:c>
      <x:c r="K977" s="19" t="n">
        <x:v>45379.53669019676</x:v>
      </x:c>
      <x:c r="L977" s="19" t="n">
        <x:v>45536</x:v>
      </x:c>
      <x:c r="M977" s="15" t="str">
        <x:v>Реконструкція сховища з влаштуванням споруди подвійного призначення (медично операційний блок) з властивостями сховища. </x:v>
      </x:c>
      <x:c r="N977" s="15" t="str">
        <x:v>https://prozorro.gov.ua/tender/UA-2024-03-28-006789-a</x:v>
      </x:c>
    </x:row>
    <x:row r="978">
      <x:c r="A978" s="14" t="n">
        <x:v>974</x:v>
      </x:c>
      <x:c r="B978" s="14" t="str">
        <x:v>Товариство з обмеженою відповідальністю "Атлант Інжинірінг"</x:v>
      </x:c>
      <x:c r="C978" s="14" t="str">
        <x:v>45005145</x:v>
      </x:c>
      <x:c r="D978" s="14" t="str">
        <x:v>Насосні станції</x:v>
      </x:c>
      <x:c r="E978" s="14" t="str">
        <x:v>Expansion discovery</x:v>
      </x:c>
      <x:c r="F978" s="14" t="str">
        <x:v>I3</x:v>
      </x:c>
      <x:c r="G978" s="14" t="n">
        <x:v>42</x:v>
      </x:c>
      <x:c r="H978" s="14" t="n">
        <x:v>1</x:v>
      </x:c>
      <x:c r="I978" s="14" t="n">
        <x:v>0</x:v>
      </x:c>
      <x:c r="J978" s="18" t="n">
        <x:v>2104449</x:v>
      </x:c>
      <x:c r="K978" s="19" t="n">
        <x:v>45995.87029528935</x:v>
      </x:c>
      <x:c r="L978" s="19" t="n">
        <x:v>46011.87024305556</x:v>
      </x:c>
      <x:c r="M978" s="15" t="str">
        <x:v>Реконструкція каналізаційної насосної станції с.Бездрик, Сумського району Сумської області</x:v>
      </x:c>
      <x:c r="N978" s="15" t="str">
        <x:v>https://prozorro.gov.ua/tender/UA-2025-12-04-022466-a</x:v>
      </x:c>
    </x:row>
    <x:row r="979">
      <x:c r="A979" s="14" t="n">
        <x:v>975</x:v>
      </x:c>
      <x:c r="B979" s="14" t="str">
        <x:v>ТОВАРИСТВО З ОБМЕЖЕНОЮ ВІДПОВІДАЛЬНІСТЮ "АТМОСЕРВІС"</x:v>
      </x:c>
      <x:c r="C979" s="14" t="str">
        <x:v>41906445</x:v>
      </x:c>
      <x:c r="D979" s="14" t="str">
        <x:v>Зовнішні мережі</x:v>
      </x:c>
      <x:c r="E979" s="14" t="str">
        <x:v>Expansion discovery</x:v>
      </x:c>
      <x:c r="F979" s="14" t="str">
        <x:v>I3</x:v>
      </x:c>
      <x:c r="G979" s="14" t="n">
        <x:v>42</x:v>
      </x:c>
      <x:c r="H979" s="14" t="n">
        <x:v>1</x:v>
      </x:c>
      <x:c r="I979" s="14" t="n">
        <x:v>0</x:v>
      </x:c>
      <x:c r="J979" s="18" t="n">
        <x:v>3650000</x:v>
      </x:c>
      <x:c r="K979" s="19" t="n">
        <x:v>45952.34200783565</x:v>
      </x:c>
      <x:c r="L979" s="19" t="n">
        <x:v>46022</x:v>
      </x:c>
      <x:c r="M979" s="15" t="str">
        <x:v>«Будівництво зовнішніх мереж водопостачання по вулицях вул. Морозівська від ПК11+21, вул.  Залізнодорожна, вул. Шкільна та вул. Першотравнева в місті Іллінці Вінницької області» (Коригування)</x:v>
      </x:c>
      <x:c r="N979" s="15" t="str">
        <x:v>https://prozorro.gov.ua/tender/UA-2025-10-01-005130-a</x:v>
      </x:c>
    </x:row>
    <x:row r="980">
      <x:c r="A980" s="14" t="n">
        <x:v>976</x:v>
      </x:c>
      <x:c r="B980" s="14" t="str">
        <x:v>ТОВАРИСТВО З ОБМЕЖЕНОЮ ВІДПОВІДАЛЬНІСТЮ "Будівельна компанія Реко"</x:v>
      </x:c>
      <x:c r="C980" s="14" t="str">
        <x:v>45418853</x:v>
      </x:c>
      <x:c r="D980" s="14" t="str">
        <x:v>Водоочищення / очисні споруди</x:v>
      </x:c>
      <x:c r="E980" s="14" t="str">
        <x:v>Expansion discovery</x:v>
      </x:c>
      <x:c r="F980" s="14" t="str">
        <x:v>I3</x:v>
      </x:c>
      <x:c r="G980" s="14" t="n">
        <x:v>42</x:v>
      </x:c>
      <x:c r="H980" s="14" t="n">
        <x:v>2</x:v>
      </x:c>
      <x:c r="I980" s="14" t="n">
        <x:v>0</x:v>
      </x:c>
      <x:c r="J980" s="18" t="n">
        <x:v>13892684.08</x:v>
      </x:c>
      <x:c r="K980" s="19" t="n">
        <x:v>45665.405140532406</x:v>
      </x:c>
      <x:c r="L980" s="19" t="n">
        <x:v>45901</x:v>
      </x:c>
      <x:c r="M980" s="15" t="str">
        <x:v>Будівництво каналізаційної насосної станції на вул. Донбасівській м. Чернівці</x:v>
      </x:c>
      <x:c r="N980" s="15" t="str">
        <x:v>https://prozorro.gov.ua/tender/UA-2024-12-17-001478-a</x:v>
      </x:c>
    </x:row>
    <x:row r="981">
      <x:c r="A981" s="14" t="n">
        <x:v>977</x:v>
      </x:c>
      <x:c r="B981" s="14" t="str">
        <x:v>ТОВАРИСТВО З ОБМЕЖЕНОЮ ВІДПОВІДАЛЬНІСТЮ “БУДПОСТАЧ-СТСВ”</x:v>
      </x:c>
      <x:c r="C981" s="14" t="str">
        <x:v>39828667</x:v>
      </x:c>
      <x:c r="D981" s="14" t="str">
        <x:v>Чисті приміщення</x:v>
      </x:c>
      <x:c r="E981" s="14" t="str">
        <x:v>Expansion discovery</x:v>
      </x:c>
      <x:c r="F981" s="14" t="str">
        <x:v>I3</x:v>
      </x:c>
      <x:c r="G981" s="14" t="n">
        <x:v>42</x:v>
      </x:c>
      <x:c r="H981" s="14" t="n">
        <x:v>1</x:v>
      </x:c>
      <x:c r="I981" s="14" t="n">
        <x:v>0</x:v>
      </x:c>
      <x:c r="J981" s="18" t="n">
        <x:v>101385425.02</x:v>
      </x:c>
      <x:c r="K981" s="19" t="n">
        <x:v>45511.51743814815</x:v>
      </x:c>
      <x:c r="L981" s="19" t="n">
        <x:v>45657</x:v>
      </x:c>
      <x:c r="M981" s="15" t="str">
        <x:v>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 Херсон, вул. Гоголя 1 ЄЗС ДК 021:2015 45454000-4 – Реконструкція</x:v>
      </x:c>
      <x:c r="N981" s="15" t="str">
        <x:v>https://prozorro.gov.ua/tender/UA-2024-08-07-008396-a</x:v>
      </x:c>
    </x:row>
    <x:row r="982">
      <x:c r="A982" s="14" t="n">
        <x:v>978</x:v>
      </x:c>
      <x:c r="B982" s="14" t="str">
        <x:v>ТОВАРИСТВО З ОБМЕЖЕНОЮ ВІДПОВІДАЛЬНІСТЮ "ГЕРД"</x:v>
      </x:c>
      <x:c r="C982" s="14" t="str">
        <x:v>44755203</x:v>
      </x:c>
      <x:c r="D982" s="14" t="str">
        <x:v>Промислова теплоізоляція</x:v>
      </x:c>
      <x:c r="E982" s="14" t="str">
        <x:v>Expansion discovery</x:v>
      </x:c>
      <x:c r="F982" s="14" t="str">
        <x:v>I3</x:v>
      </x:c>
      <x:c r="G982" s="14" t="n">
        <x:v>42</x:v>
      </x:c>
      <x:c r="H982" s="14" t="n">
        <x:v>1</x:v>
      </x:c>
      <x:c r="I982" s="14" t="n">
        <x:v>0</x:v>
      </x:c>
      <x:c r="J982" s="18" t="n">
        <x:v>11140890.3</x:v>
      </x:c>
      <x:c r="K982" s="19" t="n">
        <x:v>45411.55512545139</x:v>
      </x:c>
      <x:c r="L982" s="19" t="n">
        <x:v>45503</x:v>
      </x:c>
      <x:c r="M982" s="15" t="str">
        <x:v>Товар - код CPV 19210000-1 по ДК 021:2015 -  Натуральні тканини (Тканини різні та вироби з них для облаштування гідро та теплоізоляціїї трубопроводів). РПЗ – 9.199</x:v>
      </x:c>
      <x:c r="N982" s="15" t="str">
        <x:v>https://prozorro.gov.ua/tender/UA-2024-03-29-004028-a</x:v>
      </x:c>
    </x:row>
    <x:row r="983">
      <x:c r="A983" s="14" t="n">
        <x:v>979</x:v>
      </x:c>
      <x:c r="B983" s="14" t="str">
        <x:v>ТОВАРИСТВО З ОБМЕЖЕНОЮ ВІДПОВІДАЛЬНІСТЮ "ЕЛЕКТРО-САНТЕХНІЧНО-МОНТАЖНО-БУДІВЕЛЬНА КОМПАНІЯ "ЕСТМ-БУД"</x:v>
      </x:c>
      <x:c r="C983" s="14" t="str">
        <x:v>33192357</x:v>
      </x:c>
      <x:c r="D983" s="14" t="str">
        <x:v>Технологічні трубопроводи</x:v>
      </x:c>
      <x:c r="E983" s="14" t="str">
        <x:v>Expansion discovery</x:v>
      </x:c>
      <x:c r="F983" s="14" t="str">
        <x:v>I3</x:v>
      </x:c>
      <x:c r="G983" s="14" t="n">
        <x:v>42</x:v>
      </x:c>
      <x:c r="H983" s="14" t="n">
        <x:v>1</x:v>
      </x:c>
      <x:c r="I983" s="14" t="n">
        <x:v>0</x:v>
      </x:c>
      <x:c r="J983" s="18" t="n">
        <x:v>37496885.14</x:v>
      </x:c>
      <x:c r="K983" s="19" t="n">
        <x:v>45372.47722959491</x:v>
      </x:c>
      <x:c r="L983" s="19" t="n">
        <x:v>45807</x:v>
      </x:c>
      <x:c r="M983"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(Утеплення технологічних трубопроводів,  Монтаж систем управління та автоматизації технологічних процесів, Електромонтажні роботи, Монтаж системи протипожежного захисту) (код 45450000-6 за ДК 021:2015, Інші завершальні будівельні роботи)</x:v>
      </x:c>
      <x:c r="N983" s="15" t="str">
        <x:v>https://prozorro.gov.ua/tender/UA-2024-03-06-011080-a</x:v>
      </x:c>
    </x:row>
    <x:row r="984">
      <x:c r="A984" s="14" t="n">
        <x:v>980</x:v>
      </x:c>
      <x:c r="B984" s="14" t="str">
        <x:v>ТОВАРИСТВО З ОБМЕЖЕНОЮ ВІДПОВІДАЛЬНІСТЮ "ІНФРАСТРУКТУРА БЕЗПЕКИ"</x:v>
      </x:c>
      <x:c r="C984" s="14" t="str">
        <x:v>44717970</x:v>
      </x:c>
      <x:c r="D984" s="14" t="str">
        <x:v>ЦОД / серверні</x:v>
      </x:c>
      <x:c r="E984" s="14" t="str">
        <x:v>Expansion discovery</x:v>
      </x:c>
      <x:c r="F984" s="14" t="str">
        <x:v>I3</x:v>
      </x:c>
      <x:c r="G984" s="14" t="n">
        <x:v>42</x:v>
      </x:c>
      <x:c r="H984" s="14" t="n">
        <x:v>1</x:v>
      </x:c>
      <x:c r="I984" s="14" t="n">
        <x:v>0</x:v>
      </x:c>
      <x:c r="J984" s="18" t="n">
        <x:v>31826145.98</x:v>
      </x:c>
      <x:c r="K984" s="19" t="n">
        <x:v>45756.30046534722</x:v>
      </x:c>
      <x:c r="L984" s="19" t="n">
        <x:v>46022</x:v>
      </x:c>
      <x:c r="M984" s="15" t="str">
        <x:v>Будівництво Інформаційно-аналітичної системи „Ситуаційний центр „Безпекове Закарпаття”. Будівництво центру обробки даних. Встановлення відеоспостереження. Коригування</x:v>
      </x:c>
      <x:c r="N984" s="15" t="str">
        <x:v>https://prozorro.gov.ua/tender/UA-2025-03-19-007956-a</x:v>
      </x:c>
    </x:row>
    <x:row r="985">
      <x:c r="A985" s="14" t="n">
        <x:v>981</x:v>
      </x:c>
      <x:c r="B985" s="14" t="str">
        <x:v>ТОВАРИСТВО З ОБМЕЖЕНОЮ ВІДПОВІДАЛЬНІСТЮ "КБ"ТЕПЛОЕНЕРГОАВТОМАТИКА"</x:v>
      </x:c>
      <x:c r="C985" s="14" t="str">
        <x:v>30390020</x:v>
      </x:c>
      <x:c r="D985" s="14" t="str">
        <x:v>Стиснене повітря / компресорні</x:v>
      </x:c>
      <x:c r="E985" s="14" t="str">
        <x:v>Expansion discovery</x:v>
      </x:c>
      <x:c r="F985" s="14" t="str">
        <x:v>I3</x:v>
      </x:c>
      <x:c r="G985" s="14" t="n">
        <x:v>42</x:v>
      </x:c>
      <x:c r="H985" s="14" t="n">
        <x:v>1</x:v>
      </x:c>
      <x:c r="I985" s="14" t="n">
        <x:v>0</x:v>
      </x:c>
      <x:c r="J985" s="18" t="n">
        <x:v>1187999999</x:v>
      </x:c>
      <x:c r="K985" s="19" t="n">
        <x:v>45637.39609371528</x:v>
      </x:c>
      <x:c r="L985" s="19" t="n">
        <x:v>46113</x:v>
      </x:c>
      <x:c r="M985" s="15" t="str">
        <x:v>Реконструкція компресорної станції (Будівельні роботи та поточний ремонт)</x:v>
      </x:c>
      <x:c r="N985" s="15" t="str">
        <x:v>https://prozorro.gov.ua/tender/UA-2024-09-18-012442-a</x:v>
      </x:c>
    </x:row>
    <x:row r="986">
      <x:c r="A986" s="14" t="n">
        <x:v>982</x:v>
      </x:c>
      <x:c r="B986" s="14" t="str">
        <x:v>ТОВАРИСТВО З ОБМЕЖЕНОЮ ВІДПОВІДАЛЬНІСТЮ "НВП СЕРВІСБУДМОНТАЖ"</x:v>
      </x:c>
      <x:c r="C986" s="14" t="str">
        <x:v>41488251</x:v>
      </x:c>
      <x:c r="D986" s="14" t="str">
        <x:v>Промислові котельні</x:v>
      </x:c>
      <x:c r="E986" s="14" t="str">
        <x:v>Expansion discovery</x:v>
      </x:c>
      <x:c r="F986" s="14" t="str">
        <x:v>I3</x:v>
      </x:c>
      <x:c r="G986" s="14" t="n">
        <x:v>42</x:v>
      </x:c>
      <x:c r="H986" s="14" t="n">
        <x:v>1</x:v>
      </x:c>
      <x:c r="I986" s="14" t="n">
        <x:v>0</x:v>
      </x:c>
      <x:c r="J986" s="18" t="n">
        <x:v>15273820.25</x:v>
      </x:c>
      <x:c r="K986" s="19" t="n">
        <x:v>45371.563262592594</x:v>
      </x:c>
      <x:c r="L986" s="19" t="n">
        <x:v>45657</x:v>
      </x:c>
      <x:c r="M986" s="15" t="str">
        <x:v>Реконструкція котельні "Товарний парк" (інв.№49490) цПП НГВУ "Долинанафтогаз" вул. Промислова 20 м. Долина Івано-Франківська область (код 45450000-6 за ДК 021:2015, Інші завершальні будівельні роботи)</x:v>
      </x:c>
      <x:c r="N986" s="15" t="str">
        <x:v>https://prozorro.gov.ua/tender/UA-2024-03-01-011163-a</x:v>
      </x:c>
    </x:row>
    <x:row r="987">
      <x:c r="A987" s="14" t="n">
        <x:v>983</x:v>
      </x:c>
      <x:c r="B987" s="14" t="str">
        <x:v>Товариство з обмеженою відповідальністю «Будівельна компанія «Екобуд Девелоп»</x:v>
      </x:c>
      <x:c r="C987" s="14" t="str">
        <x:v>45077094</x:v>
      </x:c>
      <x:c r="D987" s="14" t="str">
        <x:v>Стиснене повітря / компресорні</x:v>
      </x:c>
      <x:c r="E987" s="14" t="str">
        <x:v>Expansion discovery</x:v>
      </x:c>
      <x:c r="F987" s="14" t="str">
        <x:v>I3</x:v>
      </x:c>
      <x:c r="G987" s="14" t="n">
        <x:v>42</x:v>
      </x:c>
      <x:c r="H987" s="14" t="n">
        <x:v>1</x:v>
      </x:c>
      <x:c r="I987" s="14" t="n">
        <x:v>0</x:v>
      </x:c>
      <x:c r="J987" s="18" t="n">
        <x:v>10998000</x:v>
      </x:c>
      <x:c r="K987" s="19" t="n">
        <x:v>45524.545847719906</x:v>
      </x:c>
      <x:c r="L987" s="19" t="n">
        <x:v>46022</x:v>
      </x:c>
      <x:c r="M987" s="15" t="str">
        <x:v>Виконання робіт з реконструкції очисних каналізаційних споруд, а саме технічне переоснащення нагнітача повітря № 1 в насосно-компресорній станції очисних каналізаційних споруд КП «НІКОПОЛЬВОДОКАНАЛ» за адресою: м. Нікополь, вул. ХХХХ</x:v>
      </x:c>
      <x:c r="N987" s="15" t="str">
        <x:v>https://prozorro.gov.ua/tender/UA-2024-08-20-010148-a</x:v>
      </x:c>
    </x:row>
    <x:row r="988">
      <x:c r="A988" s="14" t="n">
        <x:v>984</x:v>
      </x:c>
      <x:c r="B988" s="14" t="str">
        <x:v>Товариство з обмеженою відповідальністю «Будівельник - 21»</x:v>
      </x:c>
      <x:c r="C988" s="14" t="str">
        <x:v>34392519</x:v>
      </x:c>
      <x:c r="D988" s="14" t="str">
        <x:v>Промислові підлоги та бетон</x:v>
      </x:c>
      <x:c r="E988" s="14" t="str">
        <x:v>Expansion discovery</x:v>
      </x:c>
      <x:c r="F988" s="14" t="str">
        <x:v>I3</x:v>
      </x:c>
      <x:c r="G988" s="14" t="n">
        <x:v>42</x:v>
      </x:c>
      <x:c r="H988" s="14" t="n">
        <x:v>1</x:v>
      </x:c>
      <x:c r="I988" s="14" t="n">
        <x:v>0</x:v>
      </x:c>
      <x:c r="J988" s="18" t="n">
        <x:v>354552.04</x:v>
      </x:c>
      <x:c r="K988" s="19" t="n">
        <x:v>46132.352557638886</x:v>
      </x:c>
      <x:c r="L988" s="19" t="n">
        <x:v>46157</x:v>
      </x:c>
      <x:c r="M988"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x:v>
      </x:c>
      <x:c r="N988" s="15" t="str">
        <x:v>https://prozorro.gov.ua/tender/UA-2026-04-20-003738-a</x:v>
      </x:c>
    </x:row>
    <x:row r="989">
      <x:c r="A989" s="14" t="n">
        <x:v>985</x:v>
      </x:c>
      <x:c r="B989" s="14" t="str">
        <x:v>КУДРАЙ ПЕТРО МИКОЛАЙОВИЧ</x:v>
      </x:c>
      <x:c r="C989" s="14" t="str">
        <x:v>2164313634</x:v>
      </x:c>
      <x:c r="D989" s="14" t="str">
        <x:v>HVAC / ОВіК</x:v>
      </x:c>
      <x:c r="E989" s="14" t="str">
        <x:v>Pilot now</x:v>
      </x:c>
      <x:c r="F989" s="14" t="str">
        <x:v>I3</x:v>
      </x:c>
      <x:c r="G989" s="14" t="n">
        <x:v>41</x:v>
      </x:c>
      <x:c r="H989" s="14" t="n">
        <x:v>1</x:v>
      </x:c>
      <x:c r="I989" s="14" t="n">
        <x:v>0</x:v>
      </x:c>
      <x:c r="J989" s="18" t="n">
        <x:v>59800</x:v>
      </x:c>
      <x:c r="K989" s="19" t="n">
        <x:v>46190.49012988426</x:v>
      </x:c>
      <x:c r="L989" s="19" t="n">
        <x:v>46203</x:v>
      </x:c>
      <x:c r="M989"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989" s="15" t="str">
        <x:v>https://prozorro.gov.ua/tender/UA-2026-06-17-009046-a</x:v>
      </x:c>
    </x:row>
    <x:row r="990">
      <x:c r="A990" s="14" t="n">
        <x:v>986</x:v>
      </x:c>
      <x:c r="B990" s="14" t="str">
        <x:v>ТзОВ фірма "АЛЕРТ КОМ"</x:v>
      </x:c>
      <x:c r="C990" s="14" t="str">
        <x:v>30555702</x:v>
      </x:c>
      <x:c r="D990" s="14" t="str">
        <x:v>Пожежогасіння</x:v>
      </x:c>
      <x:c r="E990" s="14" t="str">
        <x:v>Expansion discovery</x:v>
      </x:c>
      <x:c r="F990" s="14" t="str">
        <x:v>I3</x:v>
      </x:c>
      <x:c r="G990" s="14" t="n">
        <x:v>41</x:v>
      </x:c>
      <x:c r="H990" s="14" t="n">
        <x:v>1</x:v>
      </x:c>
      <x:c r="I990" s="14" t="n">
        <x:v>0</x:v>
      </x:c>
      <x:c r="J990" s="18" t="n">
        <x:v>30789.34</x:v>
      </x:c>
      <x:c r="K990" s="19" t="n">
        <x:v>46205.301480277776</x:v>
      </x:c>
      <x:c r="L990" s="19" t="n">
        <x:v>46234</x:v>
      </x:c>
      <x:c r="M99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x:v>
      </x:c>
      <x:c r="N990" s="15" t="str">
        <x:v>https://prozorro.gov.ua/tender/UA-2026-07-02-001567-a</x:v>
      </x:c>
    </x:row>
    <x:row r="991">
      <x:c r="A991" s="14" t="n">
        <x:v>987</x:v>
      </x:c>
      <x:c r="B991" s="14" t="str">
        <x:v>ТОВ "ТОРГІВЕЛЬНИЙ ДІМ ВЕДА"</x:v>
      </x:c>
      <x:c r="C991" s="14" t="str">
        <x:v>43070563</x:v>
      </x:c>
      <x:c r="D991" s="14" t="str">
        <x:v>HVAC / ОВіК</x:v>
      </x:c>
      <x:c r="E991" s="14" t="str">
        <x:v>Pilot now</x:v>
      </x:c>
      <x:c r="F991" s="14" t="str">
        <x:v>I3</x:v>
      </x:c>
      <x:c r="G991" s="14" t="n">
        <x:v>41</x:v>
      </x:c>
      <x:c r="H991" s="14" t="n">
        <x:v>1</x:v>
      </x:c>
      <x:c r="I991" s="14" t="n">
        <x:v>0</x:v>
      </x:c>
      <x:c r="J991" s="18" t="n">
        <x:v>75000</x:v>
      </x:c>
      <x:c r="K991" s="19" t="n">
        <x:v>46169.46751858796</x:v>
      </x:c>
      <x:c r="L991" s="19" t="n">
        <x:v>46204</x:v>
      </x:c>
      <x:c r="M991"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x:v>
      </x:c>
      <x:c r="N991" s="15" t="str">
        <x:v>https://prozorro.gov.ua/tender/UA-2026-05-19-014964-a</x:v>
      </x:c>
    </x:row>
    <x:row r="992">
      <x:c r="A992" s="14" t="n">
        <x:v>988</x:v>
      </x:c>
      <x:c r="B992" s="14" t="str">
        <x:v>ТОВ "Файберлінк"</x:v>
      </x:c>
      <x:c r="C992" s="14" t="str">
        <x:v>39492269</x:v>
      </x:c>
      <x:c r="D992" s="14" t="str">
        <x:v>Безпека / СКУД / CCTV</x:v>
      </x:c>
      <x:c r="E992" s="14" t="str">
        <x:v>Expansion discovery</x:v>
      </x:c>
      <x:c r="F992" s="14" t="str">
        <x:v>I3</x:v>
      </x:c>
      <x:c r="G992" s="14" t="n">
        <x:v>41</x:v>
      </x:c>
      <x:c r="H992" s="14" t="n">
        <x:v>1</x:v>
      </x:c>
      <x:c r="I992" s="14" t="n">
        <x:v>0</x:v>
      </x:c>
      <x:c r="J992" s="18" t="n">
        <x:v>27200</x:v>
      </x:c>
      <x:c r="K992" s="19" t="n">
        <x:v>46175.35395547454</x:v>
      </x:c>
      <x:c r="L992" s="19" t="n">
        <x:v>46203</x:v>
      </x:c>
      <x:c r="M992" s="15" t="str">
        <x:v>Послуги з монтажу системи відеоспостереження</x:v>
      </x:c>
      <x:c r="N992" s="15" t="str">
        <x:v>https://prozorro.gov.ua/tender/UA-2026-06-02-004197-a</x:v>
      </x:c>
    </x:row>
    <x:row r="993">
      <x:c r="A993" s="14" t="n">
        <x:v>989</x:v>
      </x:c>
      <x:c r="B993" s="14" t="str">
        <x:v>ТОВАРИСТВО З ОБМЕЖЕНОЮ ВІДПОВІДАЛЬНІСТЮ "ВЕНТПРОМЕЛЕКТРОМОНТАЖ"</x:v>
      </x:c>
      <x:c r="C993" s="14" t="str">
        <x:v>41731677</x:v>
      </x:c>
      <x:c r="D993" s="14" t="str">
        <x:v>HVAC / ОВіК</x:v>
      </x:c>
      <x:c r="E993" s="14" t="str">
        <x:v>Pilot now</x:v>
      </x:c>
      <x:c r="F993" s="14" t="str">
        <x:v>I3</x:v>
      </x:c>
      <x:c r="G993" s="14" t="n">
        <x:v>41</x:v>
      </x:c>
      <x:c r="H993" s="14" t="n">
        <x:v>1</x:v>
      </x:c>
      <x:c r="I993" s="14" t="n">
        <x:v>0</x:v>
      </x:c>
      <x:c r="J993" s="18" t="n">
        <x:v>1098000</x:v>
      </x:c>
      <x:c r="K993" s="19" t="n">
        <x:v>46049.36088487269</x:v>
      </x:c>
      <x:c r="L993" s="19" t="n">
        <x:v>46080</x:v>
      </x:c>
      <x:c r="M993" s="15" t="str">
        <x:v>Придбання, монтаж та пусконалагодження системи вентиляції ДНК-лабораторії.</x:v>
      </x:c>
      <x:c r="N993" s="15" t="str">
        <x:v>https://prozorro.gov.ua/tender/UA-2026-01-12-006627-a</x:v>
      </x:c>
    </x:row>
    <x:row r="994">
      <x:c r="A994" s="14" t="n">
        <x:v>990</x:v>
      </x:c>
      <x:c r="B994" s="14" t="str">
        <x:v>ТОВАРИСТВО З ОБМЕЖЕНОЮ ВІДПОВІДАЛЬНІСТЮ "ЕКОФАКТОР ЧАРДЖ"</x:v>
      </x:c>
      <x:c r="C994" s="14" t="str">
        <x:v>26568146</x:v>
      </x:c>
      <x:c r="D994" s="14" t="str">
        <x:v>Сонячна енергетика</x:v>
      </x:c>
      <x:c r="E994" s="14" t="str">
        <x:v>Expansion discovery</x:v>
      </x:c>
      <x:c r="F994" s="14" t="str">
        <x:v>I3</x:v>
      </x:c>
      <x:c r="G994" s="14" t="n">
        <x:v>41</x:v>
      </x:c>
      <x:c r="H994" s="14" t="n">
        <x:v>1</x:v>
      </x:c>
      <x:c r="I994" s="14" t="n">
        <x:v>0</x:v>
      </x:c>
      <x:c r="J994" s="18" t="n">
        <x:v>25194</x:v>
      </x:c>
      <x:c r="K994" s="19" t="n">
        <x:v>46196.32071678241</x:v>
      </x:c>
      <x:c r="L994" s="19" t="n">
        <x:v>46203</x:v>
      </x:c>
      <x:c r="M994" s="15" t="str">
        <x:v>Послуги зі встановленням джерел резервного живлення  (з монтажу сонячної електростанції)</x:v>
      </x:c>
      <x:c r="N994" s="15" t="str">
        <x:v>https://prozorro.gov.ua/tender/UA-2026-06-23-003080-a</x:v>
      </x:c>
    </x:row>
    <x:row r="995">
      <x:c r="A995" s="14" t="n">
        <x:v>991</x:v>
      </x:c>
      <x:c r="B995" s="14" t="str">
        <x:v>ТОВАРИСТВО З ОБМЕЖЕНОЮ ВІДПОВІДАЛЬНІСТЮ "КОНСАЛТИНГОВА АГЕНЦІЯ "ГАЛІЛЕО"</x:v>
      </x:c>
      <x:c r="C995" s="14" t="str">
        <x:v>40716972</x:v>
      </x:c>
      <x:c r="D995" s="14" t="str">
        <x:v>Насосні станції</x:v>
      </x:c>
      <x:c r="E995" s="14" t="str">
        <x:v>Expansion discovery</x:v>
      </x:c>
      <x:c r="F995" s="14" t="str">
        <x:v>I3</x:v>
      </x:c>
      <x:c r="G995" s="14" t="n">
        <x:v>41</x:v>
      </x:c>
      <x:c r="H995" s="14" t="n">
        <x:v>1</x:v>
      </x:c>
      <x:c r="I995" s="14" t="n">
        <x:v>0</x:v>
      </x:c>
      <x:c r="J995" s="18" t="n">
        <x:v>68352</x:v>
      </x:c>
      <x:c r="K995" s="19" t="n">
        <x:v>46174.522606666666</x:v>
      </x:c>
      <x:c r="L995" s="19" t="n">
        <x:v>46234</x:v>
      </x:c>
      <x:c r="M99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x:v>
      </x:c>
      <x:c r="N995" s="15" t="str">
        <x:v>https://prozorro.gov.ua/tender/UA-2026-06-01-009371-a</x:v>
      </x:c>
    </x:row>
    <x:row r="996">
      <x:c r="A996" s="14" t="n">
        <x:v>992</x:v>
      </x:c>
      <x:c r="B996" s="14" t="str">
        <x:v>ТОВАРИСТВО З ОБМЕЖЕНОЮ ВІДПОВІДАЛЬНІСТЮ "ОХОРОНА-КОМПЛЕКС-ТИТАН"</x:v>
      </x:c>
      <x:c r="C996" s="14" t="str">
        <x:v>32639815</x:v>
      </x:c>
      <x:c r="D996" s="14" t="str">
        <x:v>Пожежогасіння</x:v>
      </x:c>
      <x:c r="E996" s="14" t="str">
        <x:v>Expansion discovery</x:v>
      </x:c>
      <x:c r="F996" s="14" t="str">
        <x:v>I3</x:v>
      </x:c>
      <x:c r="G996" s="14" t="n">
        <x:v>41</x:v>
      </x:c>
      <x:c r="H996" s="14" t="n">
        <x:v>1</x:v>
      </x:c>
      <x:c r="I996" s="14" t="n">
        <x:v>0</x:v>
      </x:c>
      <x:c r="J996" s="18" t="n">
        <x:v>26502.01</x:v>
      </x:c>
      <x:c r="K996" s="19" t="n">
        <x:v>46142.45822862269</x:v>
      </x:c>
      <x:c r="L996" s="19" t="n">
        <x:v>46173</x:v>
      </x:c>
      <x:c r="M996" s="15" t="str">
        <x:v>Послуги зі встановлення протипожежного устаткування (монтаж та налагодження системи пожежної сигналізації)</x:v>
      </x:c>
      <x:c r="N996" s="15" t="str">
        <x:v>https://prozorro.gov.ua/tender/UA-2026-04-30-006603-a</x:v>
      </x:c>
    </x:row>
    <x:row r="997">
      <x:c r="A997" s="14" t="n">
        <x:v>993</x:v>
      </x:c>
      <x:c r="B997" s="14" t="str">
        <x:v>ТОВАРИСТВО З ОБМЕЖЕНОЮ ВІДПОВІДАЛЬНІСТЮ "ОХОРОННЕ ПІДПРИЄМСТВО "ФОРТ"</x:v>
      </x:c>
      <x:c r="C997" s="14" t="str">
        <x:v>32081955</x:v>
      </x:c>
      <x:c r="D997" s="14" t="str">
        <x:v>Безпека / СКУД / CCTV</x:v>
      </x:c>
      <x:c r="E997" s="14" t="str">
        <x:v>Expansion discovery</x:v>
      </x:c>
      <x:c r="F997" s="14" t="str">
        <x:v>I3</x:v>
      </x:c>
      <x:c r="G997" s="14" t="n">
        <x:v>41</x:v>
      </x:c>
      <x:c r="H997" s="14" t="n">
        <x:v>1</x:v>
      </x:c>
      <x:c r="I997" s="14" t="n">
        <x:v>0</x:v>
      </x:c>
      <x:c r="J997" s="18" t="n">
        <x:v>73321.2</x:v>
      </x:c>
      <x:c r="K997" s="19" t="n">
        <x:v>46204.362556064814</x:v>
      </x:c>
      <x:c r="L997" s="19" t="n">
        <x:v>46237.34087962963</x:v>
      </x:c>
      <x:c r="M997" s="15" t="str">
        <x:v>Послуги зі встановлення контрольного обладнання код ДК 021:2015:51220000-0  (Монтаж та пусконалагоджувальні роботи системи контролю та управління доступом)</x:v>
      </x:c>
      <x:c r="N997" s="15" t="str">
        <x:v>https://prozorro.gov.ua/tender/UA-2026-07-01-002439-a</x:v>
      </x:c>
    </x:row>
    <x:row r="998">
      <x:c r="A998" s="14" t="n">
        <x:v>994</x:v>
      </x:c>
      <x:c r="B998" s="14" t="str">
        <x:v>Товариство з обмеженою відповідальністю "СЕРВІСРУМ"</x:v>
      </x:c>
      <x:c r="C998" s="14" t="str">
        <x:v>45408976</x:v>
      </x:c>
      <x:c r="D998" s="14" t="str">
        <x:v>HVAC / ОВіК</x:v>
      </x:c>
      <x:c r="E998" s="14" t="str">
        <x:v>Pilot now</x:v>
      </x:c>
      <x:c r="F998" s="14" t="str">
        <x:v>I3</x:v>
      </x:c>
      <x:c r="G998" s="14" t="n">
        <x:v>41</x:v>
      </x:c>
      <x:c r="H998" s="14" t="n">
        <x:v>1</x:v>
      </x:c>
      <x:c r="I998" s="14" t="n">
        <x:v>0</x:v>
      </x:c>
      <x:c r="J998" s="18" t="n">
        <x:v>68700</x:v>
      </x:c>
      <x:c r="K998" s="19" t="n">
        <x:v>46150.474411145835</x:v>
      </x:c>
      <x:c r="L998" s="19" t="n">
        <x:v>46173</x:v>
      </x:c>
      <x:c r="M998" s="15" t="str">
        <x:v>Комплекс послуг з монтажу водопровідних мереж та системи опалення за адресою м.Київ, вул. Євгена Чикаленка, буд. 34 Б, В</x:v>
      </x:c>
      <x:c r="N998" s="15" t="str">
        <x:v>https://prozorro.gov.ua/tender/UA-2026-05-08-008912-a</x:v>
      </x:c>
    </x:row>
    <x:row r="999">
      <x:c r="A999" s="14" t="n">
        <x:v>995</x:v>
      </x:c>
      <x:c r="B999" s="14" t="str">
        <x:v>ТОВАРИСТВО З ОБМЕЖЕНОЮ ВІДПОВІДАЛЬНІСТЮ "ТЕРНОПІЛЬВОДПРОЕКТ"</x:v>
      </x:c>
      <x:c r="C999" s="14" t="str">
        <x:v>01035182</x:v>
      </x:c>
      <x:c r="D999" s="14" t="str">
        <x:v>Мости / інфраструктура</x:v>
      </x:c>
      <x:c r="E999" s="14" t="str">
        <x:v>Expansion discovery</x:v>
      </x:c>
      <x:c r="F999" s="14" t="str">
        <x:v>I3</x:v>
      </x:c>
      <x:c r="G999" s="14" t="n">
        <x:v>41</x:v>
      </x:c>
      <x:c r="H999" s="14" t="n">
        <x:v>1</x:v>
      </x:c>
      <x:c r="I999" s="14" t="n">
        <x:v>0</x:v>
      </x:c>
      <x:c r="J999" s="18" t="n">
        <x:v>54230</x:v>
      </x:c>
      <x:c r="K999" s="19" t="n">
        <x:v>46199.54265590278</x:v>
      </x:c>
      <x:c r="L999" s="19" t="n">
        <x:v>46233</x:v>
      </x:c>
      <x:c r="M999"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999" s="15" t="str">
        <x:v>https://prozorro.gov.ua/tender/UA-2026-06-26-010257-a</x:v>
      </x:c>
    </x:row>
    <x:row r="1000">
      <x:c r="A1000" s="14" t="n">
        <x:v>996</x:v>
      </x:c>
      <x:c r="B1000" s="14" t="str">
        <x:v>ТОВАРИСТВО З ОБМЕЖЕНОЮ ВІДПОВІДАЛЬНІСТЮ З ІНОЗЕМНИМИ ІНВЕСТИЦІЯМИ "ЮРОМАШ"</x:v>
      </x:c>
      <x:c r="C1000" s="14" t="str">
        <x:v>32849408</x:v>
      </x:c>
      <x:c r="D1000" s="14" t="str">
        <x:v>ГНБ / безтраншейні роботи</x:v>
      </x:c>
      <x:c r="E1000" s="14" t="str">
        <x:v>Expansion discovery</x:v>
      </x:c>
      <x:c r="F1000" s="14" t="str">
        <x:v>I3</x:v>
      </x:c>
      <x:c r="G1000" s="14" t="n">
        <x:v>41</x:v>
      </x:c>
      <x:c r="H1000" s="14" t="n">
        <x:v>1</x:v>
      </x:c>
      <x:c r="I1000" s="14" t="n">
        <x:v>0</x:v>
      </x:c>
      <x:c r="J1000" s="18" t="n">
        <x:v>12433700</x:v>
      </x:c>
      <x:c r="K1000" s="19" t="n">
        <x:v>45960.35516327546</x:v>
      </x:c>
      <x:c r="L1000" s="19" t="n">
        <x:v>46022</x:v>
      </x:c>
      <x:c r="M1000" s="15" t="str">
        <x:v>25Т-469_43130000-3 - Бурове обладнання (Установка горизонтально-направленого буріння)</x:v>
      </x:c>
      <x:c r="N1000" s="15" t="str">
        <x:v>https://prozorro.gov.ua/tender/UA-2025-10-01-003923-a</x:v>
      </x:c>
    </x:row>
    <x:row r="1001">
      <x:c r="A1001" s="14" t="n">
        <x:v>997</x:v>
      </x:c>
      <x:c r="B1001" s="14" t="str">
        <x:v>ТОВАРИСТВО З ОБМЕЖЕНОЮ ВІДПОВІДАЛЬНІСТЮ ПІДПРИЄМСТВО "СПЕЦАВТОМАТИКА"</x:v>
      </x:c>
      <x:c r="C1001" s="14" t="str">
        <x:v>25612046</x:v>
      </x:c>
      <x:c r="D1001" s="14" t="str">
        <x:v>Безпека / СКУД / CCTV</x:v>
      </x:c>
      <x:c r="E1001" s="14" t="str">
        <x:v>Expansion discovery</x:v>
      </x:c>
      <x:c r="F1001" s="14" t="str">
        <x:v>I3</x:v>
      </x:c>
      <x:c r="G1001" s="14" t="n">
        <x:v>41</x:v>
      </x:c>
      <x:c r="H1001" s="14" t="n">
        <x:v>1</x:v>
      </x:c>
      <x:c r="I1001" s="14" t="n">
        <x:v>0</x:v>
      </x:c>
      <x:c r="J1001" s="18" t="n">
        <x:v>54900</x:v>
      </x:c>
      <x:c r="K1001" s="19" t="n">
        <x:v>46148.51074971065</x:v>
      </x:c>
      <x:c r="L1001" s="19" t="n">
        <x:v>46150</x:v>
      </x:c>
      <x:c r="M1001" s="15" t="str">
        <x:v>Монтаж та налаштування системи контролю доступу шлагбаума</x:v>
      </x:c>
      <x:c r="N1001" s="15" t="str">
        <x:v>https://prozorro.gov.ua/tender/UA-2026-05-06-010791-a</x:v>
      </x:c>
    </x:row>
    <x:row r="1002">
      <x:c r="A1002" s="14" t="n">
        <x:v>998</x:v>
      </x:c>
      <x:c r="B1002"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C1002" s="14" t="str">
        <x:v>2226713797</x:v>
      </x:c>
      <x:c r="D1002" s="14" t="str">
        <x:v>Електромонтаж</x:v>
      </x:c>
      <x:c r="E1002" s="14" t="str">
        <x:v>Pilot now</x:v>
      </x:c>
      <x:c r="F1002" s="14" t="str">
        <x:v>I3</x:v>
      </x:c>
      <x:c r="G1002" s="14" t="n">
        <x:v>40</x:v>
      </x:c>
      <x:c r="H1002" s="14" t="n">
        <x:v>2</x:v>
      </x:c>
      <x:c r="I1002" s="14" t="n">
        <x:v>1</x:v>
      </x:c>
      <x:c r="J1002" s="18" t="n">
        <x:v>7500</x:v>
      </x:c>
      <x:c r="K1002" s="19" t="n">
        <x:v>46129.57997133102</x:v>
      </x:c>
      <x:c r="L1002" s="19" t="n">
        <x:v>46387</x:v>
      </x:c>
      <x:c r="M1002"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x:v>
      </x:c>
      <x:c r="N1002" s="15" t="str">
        <x:v>https://prozorro.gov.ua/tender/UA-2026-04-17-011774-a</x:v>
      </x:c>
    </x:row>
    <x:row r="1003">
      <x:c r="A1003" s="14" t="n">
        <x:v>999</x:v>
      </x:c>
      <x:c r="B1003" s="14" t="str">
        <x:v>БЄЛЯЄВ СЕРГІЙ ВІКТОРОВИЧ</x:v>
      </x:c>
      <x:c r="C1003" s="14" t="str">
        <x:v>2296809197</x:v>
      </x:c>
      <x:c r="D1003" s="14" t="str">
        <x:v>Промисловий холод</x:v>
      </x:c>
      <x:c r="E1003" s="14" t="str">
        <x:v>Expansion discovery</x:v>
      </x:c>
      <x:c r="F1003" s="14" t="str">
        <x:v>I3</x:v>
      </x:c>
      <x:c r="G1003" s="14" t="n">
        <x:v>40</x:v>
      </x:c>
      <x:c r="H1003" s="14" t="n">
        <x:v>3</x:v>
      </x:c>
      <x:c r="I1003" s="14" t="n">
        <x:v>0</x:v>
      </x:c>
      <x:c r="J1003" s="18" t="n">
        <x:v>85360</x:v>
      </x:c>
      <x:c r="K1003" s="19" t="n">
        <x:v>45854.269776458335</x:v>
      </x:c>
      <x:c r="L1003" s="19" t="n">
        <x:v>46022</x:v>
      </x:c>
      <x:c r="M1003" s="15" t="str">
        <x:v>Кондиціонер Osaka STV-18 HH з монтажем за ДК 021:2015 "42510000-4 Теплообмінники, кондиціонери повітря, холодильне обладнання та фільтрувальні пристрої"</x:v>
      </x:c>
      <x:c r="N1003" s="15" t="str">
        <x:v>https://prozorro.gov.ua/tender/UA-2025-07-16-000743-a</x:v>
      </x:c>
    </x:row>
    <x:row r="1004">
      <x:c r="A1004" s="14" t="n">
        <x:v>1000</x:v>
      </x:c>
      <x:c r="B1004" s="14" t="str">
        <x:v>ТОВАРИСТВО З ОБМЕЖЕНОЮ ВІДПОВІДАЛЬНІСТЮ "ГЛОБАЛ-НЕТ"</x:v>
      </x:c>
      <x:c r="C1004" s="14" t="str">
        <x:v>36535063</x:v>
      </x:c>
      <x:c r="D1004" s="14" t="str">
        <x:v>ВОЛЗ / телеком</x:v>
      </x:c>
      <x:c r="E1004" s="14" t="str">
        <x:v>Expansion discovery</x:v>
      </x:c>
      <x:c r="F1004" s="14" t="str">
        <x:v>I3</x:v>
      </x:c>
      <x:c r="G1004" s="14" t="n">
        <x:v>40</x:v>
      </x:c>
      <x:c r="H1004" s="14" t="n">
        <x:v>2</x:v>
      </x:c>
      <x:c r="I1004" s="14" t="n">
        <x:v>0</x:v>
      </x:c>
      <x:c r="J1004" s="18" t="n">
        <x:v>22670</x:v>
      </x:c>
      <x:c r="K1004" s="19" t="n">
        <x:v>45898.24738717593</x:v>
      </x:c>
      <x:c r="L1004" s="19" t="n">
        <x:v>46022</x:v>
      </x:c>
      <x:c r="M1004" s="15" t="str">
        <x:v>Послуги з монтажу внутрішньої телекомунікаційної мережі та підключенню до мережі Інтернет</x:v>
      </x:c>
      <x:c r="N1004" s="15" t="str">
        <x:v>https://prozorro.gov.ua/tender/UA-2025-08-29-000397-a</x:v>
      </x:c>
    </x:row>
    <x:row r="1005">
      <x:c r="A1005" s="14" t="n">
        <x:v>1001</x:v>
      </x:c>
      <x:c r="B1005" s="14" t="str">
        <x:v>Товариство з обмеженою відповідальністю "Елітар"</x:v>
      </x:c>
      <x:c r="C1005" s="14" t="str">
        <x:v>32549968</x:v>
      </x:c>
      <x:c r="D1005" s="14" t="str">
        <x:v>ГНБ / безтраншейні роботи</x:v>
      </x:c>
      <x:c r="E1005" s="14" t="str">
        <x:v>Expansion discovery</x:v>
      </x:c>
      <x:c r="F1005" s="14" t="str">
        <x:v>I3</x:v>
      </x:c>
      <x:c r="G1005" s="14" t="n">
        <x:v>40</x:v>
      </x:c>
      <x:c r="H1005" s="14" t="n">
        <x:v>3</x:v>
      </x:c>
      <x:c r="I1005" s="14" t="n">
        <x:v>0</x:v>
      </x:c>
      <x:c r="J1005" s="18" t="n">
        <x:v>364621.2</x:v>
      </x:c>
      <x:c r="K1005" s="19" t="n">
        <x:v>45621.623676759256</x:v>
      </x:c>
      <x:c r="L1005" s="19" t="n">
        <x:v>45657</x:v>
      </x:c>
      <x:c r="M1005" s="15" t="str">
        <x:v>Роботи з прокладання водопровідної мережі Д-200мм методом горизонтально направленого буріння через частину дороги по вул. Микулинецька в м. Тернополі.</x:v>
      </x:c>
      <x:c r="N1005" s="15" t="str">
        <x:v>https://prozorro.gov.ua/tender/UA-2024-11-25-017403-a</x:v>
      </x:c>
    </x:row>
    <x:row r="1006">
      <x:c r="A1006" s="14" t="n">
        <x:v>1002</x:v>
      </x:c>
      <x:c r="B1006" s="14" t="str">
        <x:v>Товариство з обмеженою відповідальністю "ПЕРША ЕСКАЛАТОРНА КОМПАНІЯ КИЇВЕНЕРГОПРОЕКТ"</x:v>
      </x:c>
      <x:c r="C1006" s="14" t="str">
        <x:v>43966946</x:v>
      </x:c>
      <x:c r="D1006" s="14" t="str">
        <x:v>Ліфти та підйомники</x:v>
      </x:c>
      <x:c r="E1006" s="14" t="str">
        <x:v>Expansion discovery</x:v>
      </x:c>
      <x:c r="F1006" s="14" t="str">
        <x:v>I3</x:v>
      </x:c>
      <x:c r="G1006" s="14" t="n">
        <x:v>40</x:v>
      </x:c>
      <x:c r="H1006" s="14" t="n">
        <x:v>2</x:v>
      </x:c>
      <x:c r="I1006" s="14" t="n">
        <x:v>0</x:v>
      </x:c>
      <x:c r="J1006" s="18" t="n">
        <x:v>16685.28</x:v>
      </x:c>
      <x:c r="K1006" s="19" t="n">
        <x:v>45901.43904006945</x:v>
      </x:c>
      <x:c r="L1006" s="19" t="n">
        <x:v>45900</x:v>
      </x:c>
      <x:c r="M1006" s="15" t="str">
        <x:v>Демонтаж-монтаж вкладнів башмаків кабіни ліфта ОТІС</x:v>
      </x:c>
      <x:c r="N1006" s="15" t="str">
        <x:v>https://prozorro.gov.ua/tender/UA-2025-09-01-004368-a</x:v>
      </x:c>
    </x:row>
    <x:row r="1007">
      <x:c r="A1007" s="14" t="n">
        <x:v>1003</x:v>
      </x:c>
      <x:c r="B1007" s="14" t="str">
        <x:v>ТОВАРИСТВО З ОБМЕЖЕНОЮ ВІДПОВІДАЛЬНІСТЮ "ПРАНА ПЛАТІНУМ"</x:v>
      </x:c>
      <x:c r="C1007" s="14" t="str">
        <x:v>38142321</x:v>
      </x:c>
      <x:c r="D1007" s="14" t="str">
        <x:v>HVAC / ОВіК</x:v>
      </x:c>
      <x:c r="E1007" s="14" t="str">
        <x:v>Pilot now</x:v>
      </x:c>
      <x:c r="F1007" s="14" t="str">
        <x:v>I3</x:v>
      </x:c>
      <x:c r="G1007" s="14" t="n">
        <x:v>40</x:v>
      </x:c>
      <x:c r="H1007" s="14" t="n">
        <x:v>2</x:v>
      </x:c>
      <x:c r="I1007" s="14" t="n">
        <x:v>0</x:v>
      </x:c>
      <x:c r="J1007" s="18" t="n">
        <x:v>11970</x:v>
      </x:c>
      <x:c r="K1007" s="19" t="n">
        <x:v>46002.32686393519</x:v>
      </x:c>
      <x:c r="L1007" s="19" t="n">
        <x:v>46022.328993055555</x:v>
      </x:c>
      <x:c r="M1007"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x:v>
      </x:c>
      <x:c r="N1007" s="15" t="str">
        <x:v>https://prozorro.gov.ua/tender/UA-2025-12-11-002426-a</x:v>
      </x:c>
    </x:row>
    <x:row r="1008">
      <x:c r="A1008" s="14" t="n">
        <x:v>1004</x:v>
      </x:c>
      <x:c r="B1008" s="14" t="str">
        <x:v>ТОВАРИСТВО З ОБМЕЖЕНОЮ ВІДПОВІДАЛЬНІСТЮ "ПРОФІТ-2"</x:v>
      </x:c>
      <x:c r="C1008" s="14" t="str">
        <x:v>23727733</x:v>
      </x:c>
      <x:c r="D1008" s="14" t="str">
        <x:v>ГНБ / безтраншейні роботи</x:v>
      </x:c>
      <x:c r="E1008" s="14" t="str">
        <x:v>Expansion discovery</x:v>
      </x:c>
      <x:c r="F1008" s="14" t="str">
        <x:v>I3</x:v>
      </x:c>
      <x:c r="G1008" s="14" t="n">
        <x:v>40</x:v>
      </x:c>
      <x:c r="H1008" s="14" t="n">
        <x:v>2</x:v>
      </x:c>
      <x:c r="I1008" s="14" t="n">
        <x:v>0</x:v>
      </x:c>
      <x:c r="J1008" s="18" t="n">
        <x:v>327579</x:v>
      </x:c>
      <x:c r="K1008" s="19" t="n">
        <x:v>45422.285042256946</x:v>
      </x:c>
      <x:c r="L1008" s="19" t="n">
        <x:v>45536</x:v>
      </x:c>
      <x:c r="M1008" s="15" t="str">
        <x:v>Роботи на об’єкті: «Прокладання сталевих футлярів d=325мм довжиною 30 м.п. (2 відрізки по 15 м кожний) методом горизонтально-направленого буріння біля житлових будинків по вул. Романа Шухевича, 5 та вул. Романа Шухевича, 7 (ОСББ Надія)»
(45230000-8	Будівництво трубопроводів, ліній зв’язку та електропередач, шосе, доріг, аеродромів і залізничних доріг; вирівнювання поверхонь )</x:v>
      </x:c>
      <x:c r="N1008" s="15" t="str">
        <x:v>https://prozorro.gov.ua/tender/UA-2024-05-10-001393-a</x:v>
      </x:c>
    </x:row>
    <x:row r="1009">
      <x:c r="A1009" s="14" t="n">
        <x:v>1005</x:v>
      </x:c>
      <x:c r="B1009" s="14" t="str">
        <x:v>ТОВАРИСТВО З ОБМЕЖЕНОЮ ВІДПОВІДАЛЬНІСТЮ "ТОРГОВО-ПРОМИСЛОВА КОМПАНІЯ "АРСЕНАЛБУД-ЕТАЛОН"</x:v>
      </x:c>
      <x:c r="C1009" s="14" t="str">
        <x:v>33653647</x:v>
      </x:c>
      <x:c r="D1009" s="14" t="str">
        <x:v>HVAC / ОВіК</x:v>
      </x:c>
      <x:c r="E1009" s="14" t="str">
        <x:v>Pilot now</x:v>
      </x:c>
      <x:c r="F1009" s="14" t="str">
        <x:v>I3</x:v>
      </x:c>
      <x:c r="G1009" s="14" t="n">
        <x:v>40</x:v>
      </x:c>
      <x:c r="H1009" s="14" t="n">
        <x:v>2</x:v>
      </x:c>
      <x:c r="I1009" s="14" t="n">
        <x:v>0</x:v>
      </x:c>
      <x:c r="J1009" s="18" t="n">
        <x:v>12000</x:v>
      </x:c>
      <x:c r="K1009" s="19" t="n">
        <x:v>45890.320645231484</x:v>
      </x:c>
      <x:c r="L1009" s="19" t="n">
        <x:v>45891</x:v>
      </x:c>
      <x:c r="M1009" s="15" t="str">
        <x:v>Послуги з установки(монтажу) припливно-витяжної системи вентиляції з рекупірацією тепла PRANA-200C (РЕКУПЕРАТОРА)</x:v>
      </x:c>
      <x:c r="N1009" s="15" t="str">
        <x:v>https://prozorro.gov.ua/tender/UA-2025-08-21-002483-a</x:v>
      </x:c>
    </x:row>
    <x:row r="1010">
      <x:c r="A1010" s="14" t="n">
        <x:v>1006</x:v>
      </x:c>
      <x:c r="B1010" s="14" t="str">
        <x:v>ФО-П   ЄЛФІМОВ ДАНІЇЛ СЕРГІЙОВИЧ</x:v>
      </x:c>
      <x:c r="C1010" s="14" t="str">
        <x:v>2944319737</x:v>
      </x:c>
      <x:c r="D1010" s="14" t="str">
        <x:v>Ремонт і підсилення бетону</x:v>
      </x:c>
      <x:c r="E1010" s="14" t="str">
        <x:v>Expansion discovery</x:v>
      </x:c>
      <x:c r="F1010" s="14" t="str">
        <x:v>I3</x:v>
      </x:c>
      <x:c r="G1010" s="14" t="n">
        <x:v>40</x:v>
      </x:c>
      <x:c r="H1010" s="14" t="n">
        <x:v>2</x:v>
      </x:c>
      <x:c r="I1010" s="14" t="n">
        <x:v>0</x:v>
      </x:c>
      <x:c r="J1010" s="18" t="n">
        <x:v>60000</x:v>
      </x:c>
      <x:c r="K1010" s="19" t="n">
        <x:v>45831.26171018519</x:v>
      </x:c>
      <x:c r="L1010" s="19" t="n">
        <x:v>45868</x:v>
      </x:c>
      <x:c r="M1010" s="15" t="str">
        <x:v>Розробки робочої документації щодо посилення будівельних конструкцій для виконання: «Капітального ремонту пошкодженого внаслідок збройної агресії об'єкту житлового призначення (багатоквартирного житлового будинку) за адресою: Харківська область, Чугуївський район, м. Чугуїв, вул. Горішного, 140». РД на додаткові послуги  </x:v>
      </x:c>
      <x:c r="N1010" s="15" t="str">
        <x:v>https://prozorro.gov.ua/tender/UA-2025-06-23-000533-a</x:v>
      </x:c>
    </x:row>
    <x:row r="1011">
      <x:c r="A1011" s="14" t="n">
        <x:v>1007</x:v>
      </x:c>
      <x:c r="B1011" s="14" t="str">
        <x:v>ФОП Ягодін Андрій Якович</x:v>
      </x:c>
      <x:c r="C1011" s="14" t="str">
        <x:v>3172609118</x:v>
      </x:c>
      <x:c r="D1011" s="14" t="str">
        <x:v>ВОЛЗ / телеком</x:v>
      </x:c>
      <x:c r="E1011" s="14" t="str">
        <x:v>Expansion discovery</x:v>
      </x:c>
      <x:c r="F1011" s="14" t="str">
        <x:v>I3</x:v>
      </x:c>
      <x:c r="G1011" s="14" t="n">
        <x:v>40</x:v>
      </x:c>
      <x:c r="H1011" s="14" t="n">
        <x:v>2</x:v>
      </x:c>
      <x:c r="I1011" s="14" t="n">
        <x:v>0</x:v>
      </x:c>
      <x:c r="J1011" s="18" t="n">
        <x:v>2400</x:v>
      </x:c>
      <x:c r="K1011" s="19" t="n">
        <x:v>45768.42199241898</x:v>
      </x:c>
      <x:c r="L1011" s="19" t="n">
        <x:v>46022.916666655095</x:v>
      </x:c>
      <x:c r="M1011" s="15" t="str">
        <x:v>Роботи  з монтажу телекомунікаційної мережі</x:v>
      </x:c>
      <x:c r="N1011" s="15" t="str">
        <x:v>https://prozorro.gov.ua/tender/UA-2025-04-21-003991-a</x:v>
      </x:c>
    </x:row>
    <x:row r="1012">
      <x:c r="A1012" s="14" t="n">
        <x:v>1008</x:v>
      </x:c>
      <x:c r="B1012" s="14" t="str">
        <x:v>СИДОРЕНКО СЕРГІЙ ВІКТОРОВИЧ</x:v>
      </x:c>
      <x:c r="C1012" s="14" t="str">
        <x:v>2977111590</x:v>
      </x:c>
      <x:c r="D1012" s="14" t="str">
        <x:v>Водоочищення / очисні споруди</x:v>
      </x:c>
      <x:c r="E1012" s="14" t="str">
        <x:v>Expansion discovery</x:v>
      </x:c>
      <x:c r="F1012" s="14" t="str">
        <x:v>I3</x:v>
      </x:c>
      <x:c r="G1012" s="14" t="n">
        <x:v>39</x:v>
      </x:c>
      <x:c r="H1012" s="14" t="n">
        <x:v>1</x:v>
      </x:c>
      <x:c r="I1012" s="14" t="n">
        <x:v>1</x:v>
      </x:c>
      <x:c r="J1012" s="18" t="n">
        <x:v>380000</x:v>
      </x:c>
      <x:c r="K1012" s="19" t="n">
        <x:v>46132.27426259259</x:v>
      </x:c>
      <x:c r="L1012" s="19" t="n">
        <x:v>46387</x:v>
      </x:c>
      <x:c r="M1012"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x:v>
      </x:c>
      <x:c r="N1012" s="15" t="str">
        <x:v>https://prozorro.gov.ua/tender/UA-2026-04-20-000865-a</x:v>
      </x:c>
    </x:row>
    <x:row r="1013">
      <x:c r="A1013" s="14" t="n">
        <x:v>1009</x:v>
      </x:c>
      <x:c r="B1013" s="14" t="str">
        <x:v>ФІЗИЧНА ОСОБА ПІДПРИЄМЕЦЬ ТРЯНОВ АНАТОЛІЙ АНАТОЛІЙОВИЧ</x:v>
      </x:c>
      <x:c r="C1013" s="14" t="str">
        <x:v>3131519514</x:v>
      </x:c>
      <x:c r="D1013" s="14" t="str">
        <x:v>Електромонтаж</x:v>
      </x:c>
      <x:c r="E1013" s="14" t="str">
        <x:v>Pilot now</x:v>
      </x:c>
      <x:c r="F1013" s="14" t="str">
        <x:v>I3</x:v>
      </x:c>
      <x:c r="G1013" s="14" t="n">
        <x:v>39</x:v>
      </x:c>
      <x:c r="H1013" s="14" t="n">
        <x:v>1</x:v>
      </x:c>
      <x:c r="I1013" s="14" t="n">
        <x:v>1</x:v>
      </x:c>
      <x:c r="J1013" s="18" t="n">
        <x:v>199736.15</x:v>
      </x:c>
      <x:c r="K1013" s="19" t="n">
        <x:v>46120.50775244213</x:v>
      </x:c>
      <x:c r="L1013" s="19" t="n">
        <x:v>46303.508888888886</x:v>
      </x:c>
      <x:c r="M1013"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x:v>
      </x:c>
      <x:c r="N1013" s="15" t="str">
        <x:v>https://prozorro.gov.ua/tender/UA-2026-04-08-010233-a</x:v>
      </x:c>
    </x:row>
    <x:row r="1014">
      <x:c r="A1014" s="14" t="n">
        <x:v>1010</x:v>
      </x:c>
      <x:c r="B1014" s="14" t="str">
        <x:v>ФОП Дубін Андрій Анатолійович</x:v>
      </x:c>
      <x:c r="C1014" s="14" t="str">
        <x:v>3260519777</x:v>
      </x:c>
      <x:c r="D1014" s="14" t="str">
        <x:v>Внутрішні сантехнічні системи</x:v>
      </x:c>
      <x:c r="E1014" s="14" t="str">
        <x:v>Pilot now</x:v>
      </x:c>
      <x:c r="F1014" s="14" t="str">
        <x:v>I3</x:v>
      </x:c>
      <x:c r="G1014" s="14" t="n">
        <x:v>39</x:v>
      </x:c>
      <x:c r="H1014" s="14" t="n">
        <x:v>1</x:v>
      </x:c>
      <x:c r="I1014" s="14" t="n">
        <x:v>1</x:v>
      </x:c>
      <x:c r="J1014" s="18" t="n">
        <x:v>198803.41</x:v>
      </x:c>
      <x:c r="K1014" s="19" t="n">
        <x:v>46114.34852097222</x:v>
      </x:c>
      <x:c r="L1014" s="19" t="n">
        <x:v>46366</x:v>
      </x:c>
      <x:c r="M1014"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x:v>
      </x:c>
      <x:c r="N1014" s="15" t="str">
        <x:v>https://prozorro.gov.ua/tender/UA-2026-04-02-004134-a</x:v>
      </x:c>
    </x:row>
    <x:row r="1015">
      <x:c r="A1015" s="14" t="n">
        <x:v>1011</x:v>
      </x:c>
      <x:c r="B1015" s="14" t="str">
        <x:v>ТОВ "Біляївська будівельна компанія"</x:v>
      </x:c>
      <x:c r="C1015" s="14" t="str">
        <x:v>41381317</x:v>
      </x:c>
      <x:c r="D1015" s="14" t="str">
        <x:v>ГНБ / безтраншейні роботи</x:v>
      </x:c>
      <x:c r="E1015" s="14" t="str">
        <x:v>Expansion discovery</x:v>
      </x:c>
      <x:c r="F1015" s="14" t="str">
        <x:v>I3</x:v>
      </x:c>
      <x:c r="G1015" s="14" t="n">
        <x:v>39</x:v>
      </x:c>
      <x:c r="H1015" s="14" t="n">
        <x:v>3</x:v>
      </x:c>
      <x:c r="I1015" s="14" t="n">
        <x:v>0</x:v>
      </x:c>
      <x:c r="J1015" s="18" t="n">
        <x:v>242193.6</x:v>
      </x:c>
      <x:c r="K1015" s="19" t="n">
        <x:v>45982.33196025463</x:v>
      </x:c>
      <x:c r="L1015" s="19" t="n">
        <x:v>46021.33216435185</x:v>
      </x:c>
      <x:c r="M1015"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x:v>
      </x:c>
      <x:c r="N1015" s="15" t="str">
        <x:v>https://prozorro.gov.ua/tender/UA-2025-11-21-002037-a</x:v>
      </x:c>
    </x:row>
    <x:row r="1016">
      <x:c r="A1016" s="14" t="n">
        <x:v>1012</x:v>
      </x:c>
      <x:c r="B1016" s="14" t="str">
        <x:v>Фізична особа-підприємець АФЕНДІКОВ ОЛЕКСАНДР АНАТОЛІЙОВИЧ</x:v>
      </x:c>
      <x:c r="C1016" s="14" t="str">
        <x:v>2169008131</x:v>
      </x:c>
      <x:c r="D1016" s="14" t="str">
        <x:v>Внутрішні сантехнічні системи</x:v>
      </x:c>
      <x:c r="E1016" s="14" t="str">
        <x:v>Pilot now</x:v>
      </x:c>
      <x:c r="F1016" s="14" t="str">
        <x:v>I3</x:v>
      </x:c>
      <x:c r="G1016" s="14" t="n">
        <x:v>39</x:v>
      </x:c>
      <x:c r="H1016" s="14" t="n">
        <x:v>1</x:v>
      </x:c>
      <x:c r="I1016" s="14" t="n">
        <x:v>0</x:v>
      </x:c>
      <x:c r="J1016" s="18" t="n">
        <x:v>128246.92</x:v>
      </x:c>
      <x:c r="K1016" s="19" t="n">
        <x:v>46097.3767243287</x:v>
      </x:c>
      <x:c r="L1016" s="19" t="n">
        <x:v>46248</x:v>
      </x:c>
      <x:c r="M1016"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x:v>
      </x:c>
      <x:c r="N1016" s="15" t="str">
        <x:v>https://prozorro.gov.ua/tender/UA-2026-03-16-003084-a</x:v>
      </x:c>
    </x:row>
    <x:row r="1017">
      <x:c r="A1017" s="14" t="n">
        <x:v>1013</x:v>
      </x:c>
      <x:c r="B1017" s="14" t="str">
        <x:v>ФОП "ОНІЩЕНКО ГАННА ПИЛИПІВНА"</x:v>
      </x:c>
      <x:c r="C1017" s="14" t="str">
        <x:v>1862889508</x:v>
      </x:c>
      <x:c r="D1017" s="14" t="str">
        <x:v>Фасади та скління</x:v>
      </x:c>
      <x:c r="E1017" s="14" t="str">
        <x:v>Expansion discovery</x:v>
      </x:c>
      <x:c r="F1017" s="14" t="str">
        <x:v>I3</x:v>
      </x:c>
      <x:c r="G1017" s="14" t="n">
        <x:v>39</x:v>
      </x:c>
      <x:c r="H1017" s="14" t="n">
        <x:v>1</x:v>
      </x:c>
      <x:c r="I1017" s="14" t="n">
        <x:v>0</x:v>
      </x:c>
      <x:c r="J1017" s="18" t="n">
        <x:v>259000</x:v>
      </x:c>
      <x:c r="K1017" s="19" t="n">
        <x:v>46137.378508842594</x:v>
      </x:c>
      <x:c r="L1017" s="19" t="n">
        <x:v>46172</x:v>
      </x:c>
      <x:c r="M1017" s="15" t="str">
        <x:v>Матеріали для утеплення фасаду</x:v>
      </x:c>
      <x:c r="N1017" s="15" t="str">
        <x:v>https://prozorro.gov.ua/tender/UA-2026-04-14-011423-a</x:v>
      </x:c>
    </x:row>
    <x:row r="1018">
      <x:c r="A1018" s="14" t="n">
        <x:v>1014</x:v>
      </x:c>
      <x:c r="B1018" s="14" t="str">
        <x:v>ФОП БУГАЙЧУК МИХАЙЛО ФЕДОРОВИЧ</x:v>
      </x:c>
      <x:c r="C1018" s="14" t="str">
        <x:v>2881211515</x:v>
      </x:c>
      <x:c r="D1018" s="14" t="str">
        <x:v>Зовнішнє освітлення</x:v>
      </x:c>
      <x:c r="E1018" s="14" t="str">
        <x:v>Pilot now</x:v>
      </x:c>
      <x:c r="F1018" s="14" t="str">
        <x:v>I3</x:v>
      </x:c>
      <x:c r="G1018" s="14" t="n">
        <x:v>39</x:v>
      </x:c>
      <x:c r="H1018" s="14" t="n">
        <x:v>1</x:v>
      </x:c>
      <x:c r="I1018" s="14" t="n">
        <x:v>0</x:v>
      </x:c>
      <x:c r="J1018" s="18" t="n">
        <x:v>116474.37</x:v>
      </x:c>
      <x:c r="K1018" s="19" t="n">
        <x:v>46119.603986041664</x:v>
      </x:c>
      <x:c r="L1018" s="19" t="n">
        <x:v>46175.602789351855</x:v>
      </x:c>
      <x:c r="M1018"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x:v>
      </x:c>
      <x:c r="N1018" s="15" t="str">
        <x:v>https://prozorro.gov.ua/tender/UA-2026-04-07-013712-a</x:v>
      </x:c>
    </x:row>
    <x:row r="1019">
      <x:c r="A1019" s="14" t="n">
        <x:v>1015</x:v>
      </x:c>
      <x:c r="B1019" s="14" t="str">
        <x:v>АЛАВЕРДЯН ГАРРІЙ АРУТЮНОВИЧ</x:v>
      </x:c>
      <x:c r="C1019" s="14" t="str">
        <x:v>3118122352</x:v>
      </x:c>
      <x:c r="D1019" s="14" t="str">
        <x:v>Металоконструкції</x:v>
      </x:c>
      <x:c r="E1019" s="14" t="str">
        <x:v>Expansion discovery</x:v>
      </x:c>
      <x:c r="F1019" s="14" t="str">
        <x:v>I3</x:v>
      </x:c>
      <x:c r="G1019" s="14" t="n">
        <x:v>38</x:v>
      </x:c>
      <x:c r="H1019" s="14" t="n">
        <x:v>1</x:v>
      </x:c>
      <x:c r="I1019" s="14" t="n">
        <x:v>1</x:v>
      </x:c>
      <x:c r="J1019" s="18" t="n">
        <x:v>99758</x:v>
      </x:c>
      <x:c r="K1019" s="19" t="n">
        <x:v>46133.36743613426</x:v>
      </x:c>
      <x:c r="L1019" s="19" t="n">
        <x:v>46387</x:v>
      </x:c>
      <x:c r="M1019"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x:v>
      </x:c>
      <x:c r="N1019" s="15" t="str">
        <x:v>https://prozorro.gov.ua/tender/UA-2026-04-21-004198-a</x:v>
      </x:c>
    </x:row>
    <x:row r="1020">
      <x:c r="A1020" s="14" t="n">
        <x:v>1016</x:v>
      </x:c>
      <x:c r="B1020" s="14" t="str">
        <x:v>БОГАЄНКО ПАВЛО МИХАЙЛОВИЧ</x:v>
      </x:c>
      <x:c r="C1020" s="14" t="str">
        <x:v>2478303233</x:v>
      </x:c>
      <x:c r="D1020" s="14" t="str">
        <x:v>Сонячна енергетика</x:v>
      </x:c>
      <x:c r="E1020" s="14" t="str">
        <x:v>Pilot now</x:v>
      </x:c>
      <x:c r="F1020" s="14" t="str">
        <x:v>I3</x:v>
      </x:c>
      <x:c r="G1020" s="14" t="n">
        <x:v>38</x:v>
      </x:c>
      <x:c r="H1020" s="14" t="n">
        <x:v>1</x:v>
      </x:c>
      <x:c r="I1020" s="14" t="n">
        <x:v>1</x:v>
      </x:c>
      <x:c r="J1020" s="18" t="n">
        <x:v>14847.42</x:v>
      </x:c>
      <x:c r="K1020" s="19" t="n">
        <x:v>46135.28315043981</x:v>
      </x:c>
      <x:c r="L1020" s="19" t="n">
        <x:v>46387</x:v>
      </x:c>
      <x:c r="M1020" s="15" t="str">
        <x:v>Послуги з нагляду за виконанням будівельних робіт під час здійснення"Нове будівництво сонячної електростанції (СЄС) для свердловини №1Д по вулиці Миргородській в селі Великі Сорочинці Миргородського району Полтавської області"</x:v>
      </x:c>
      <x:c r="N1020" s="15" t="str">
        <x:v>https://prozorro.gov.ua/tender/UA-2026-04-23-001706-a</x:v>
      </x:c>
    </x:row>
    <x:row r="1021">
      <x:c r="A1021" s="14" t="n">
        <x:v>1017</x:v>
      </x:c>
      <x:c r="B1021" s="14" t="str">
        <x:v>ГОРАЛЬ ІГОР МИРОСЛАВОВИЧ</x:v>
      </x:c>
      <x:c r="C1021" s="14" t="str">
        <x:v>3168807390</x:v>
      </x:c>
      <x:c r="D1021" s="14" t="str">
        <x:v>Накопичення енергії / BESS</x:v>
      </x:c>
      <x:c r="E1021" s="14" t="str">
        <x:v>Expansion discovery</x:v>
      </x:c>
      <x:c r="F1021" s="14" t="str">
        <x:v>I3</x:v>
      </x:c>
      <x:c r="G1021" s="14" t="n">
        <x:v>38</x:v>
      </x:c>
      <x:c r="H1021" s="14" t="n">
        <x:v>1</x:v>
      </x:c>
      <x:c r="I1021" s="14" t="n">
        <x:v>1</x:v>
      </x:c>
      <x:c r="J1021" s="18" t="n">
        <x:v>35066.53</x:v>
      </x:c>
      <x:c r="K1021" s="19" t="n">
        <x:v>46104.528273125</x:v>
      </x:c>
      <x:c r="L1021" s="19" t="n">
        <x:v>46387</x:v>
      </x:c>
      <x:c r="M1021" s="15" t="str">
        <x:v>Послуги з монтажу, підключення та пусконалагодження гібридного інвертора та акумуляторного модуля (системи накопичення енергії); код 51110000-6 Послуги зі встановлення електричного обладнання за ДК 021:2015 «Єдиний закупівельний словник»</x:v>
      </x:c>
      <x:c r="N1021" s="15" t="str">
        <x:v>https://prozorro.gov.ua/tender/UA-2026-03-23-009142-a</x:v>
      </x:c>
    </x:row>
    <x:row r="1022">
      <x:c r="A1022" s="14" t="n">
        <x:v>1018</x:v>
      </x:c>
      <x:c r="B1022" s="14" t="str">
        <x:v>ДП "Укрдержекспертиза"</x:v>
      </x:c>
      <x:c r="C1022" s="14" t="str">
        <x:v>35917794</x:v>
      </x:c>
      <x:c r="D1022" s="14" t="str">
        <x:v>Зовнішні мережі</x:v>
      </x:c>
      <x:c r="E1022" s="14" t="str">
        <x:v>Expansion discovery</x:v>
      </x:c>
      <x:c r="F1022" s="14" t="str">
        <x:v>I3</x:v>
      </x:c>
      <x:c r="G1022" s="14" t="n">
        <x:v>38</x:v>
      </x:c>
      <x:c r="H1022" s="14" t="n">
        <x:v>1</x:v>
      </x:c>
      <x:c r="I1022" s="14" t="n">
        <x:v>1</x:v>
      </x:c>
      <x:c r="J1022" s="18" t="n">
        <x:v>79819.21</x:v>
      </x:c>
      <x:c r="K1022" s="19" t="n">
        <x:v>46099.34066887732</x:v>
      </x:c>
      <x:c r="L1022" s="19" t="n">
        <x:v>46387</x:v>
      </x:c>
      <x:c r="M1022"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x:v>
      </x:c>
      <x:c r="N1022" s="15" t="str">
        <x:v>https://prozorro.gov.ua/tender/UA-2026-03-18-002291-a</x:v>
      </x:c>
    </x:row>
    <x:row r="1023">
      <x:c r="A1023" s="14" t="n">
        <x:v>1019</x:v>
      </x:c>
      <x:c r="B1023" s="14" t="str">
        <x:v>ДЬЯЧЕНКО ДМИТРО ГЕННАДІЙОВИЧ</x:v>
      </x:c>
      <x:c r="C1023" s="14" t="str">
        <x:v>3655506111</x:v>
      </x:c>
      <x:c r="D1023" s="14" t="str">
        <x:v>HVAC / ОВіК</x:v>
      </x:c>
      <x:c r="E1023" s="14" t="str">
        <x:v>Pilot now</x:v>
      </x:c>
      <x:c r="F1023" s="14" t="str">
        <x:v>I3</x:v>
      </x:c>
      <x:c r="G1023" s="14" t="n">
        <x:v>38</x:v>
      </x:c>
      <x:c r="H1023" s="14" t="n">
        <x:v>1</x:v>
      </x:c>
      <x:c r="I1023" s="14" t="n">
        <x:v>1</x:v>
      </x:c>
      <x:c r="J1023" s="18" t="n">
        <x:v>10700</x:v>
      </x:c>
      <x:c r="K1023" s="19" t="n">
        <x:v>46048.45595790509</x:v>
      </x:c>
      <x:c r="L1023" s="19" t="n">
        <x:v>46387</x:v>
      </x:c>
      <x:c r="M1023" s="15" t="str">
        <x:v>Послуги з монтажу системи вентиляції та систем кондиціонування повітря у філії КЗ "ЦКП" за адресою:м.Запоріжжя,пр. Інженера Преображенського,буд.15</x:v>
      </x:c>
      <x:c r="N1023" s="15" t="str">
        <x:v>https://prozorro.gov.ua/tender/UA-2026-01-26-008317-a</x:v>
      </x:c>
    </x:row>
    <x:row r="1024">
      <x:c r="A1024" s="14" t="n">
        <x:v>1020</x:v>
      </x:c>
      <x:c r="B1024" s="14" t="str">
        <x:v>КОМУНАЛЬНЕ ПІДПРИЄМСТВО "ВОДОПРОВІДНІ МЕРЕЖІ" НОВОБУЗЬКОЇ МІСЬКОЇ РАДИ</x:v>
      </x:c>
      <x:c r="C1024" s="14" t="str">
        <x:v>36349348</x:v>
      </x:c>
      <x:c r="D1024" s="14" t="str">
        <x:v>Внутрішні сантехнічні системи</x:v>
      </x:c>
      <x:c r="E1024" s="14" t="str">
        <x:v>Pilot now</x:v>
      </x:c>
      <x:c r="F1024" s="14" t="str">
        <x:v>I3</x:v>
      </x:c>
      <x:c r="G1024" s="14" t="n">
        <x:v>38</x:v>
      </x:c>
      <x:c r="H1024" s="14" t="n">
        <x:v>1</x:v>
      </x:c>
      <x:c r="I1024" s="14" t="n">
        <x:v>1</x:v>
      </x:c>
      <x:c r="J1024" s="18" t="n">
        <x:v>2000</x:v>
      </x:c>
      <x:c r="K1024" s="19" t="n">
        <x:v>46070.36926789352</x:v>
      </x:c>
      <x:c r="L1024" s="19" t="n">
        <x:v>46387</x:v>
      </x:c>
      <x:c r="M1024" s="15" t="str">
        <x:v>Надання послуги з ремонту внутрішньої водопровідної мережі ДК 021:2015:45330000-9 "Водопровідні та санітарно-технічні роботи"</x:v>
      </x:c>
      <x:c r="N1024" s="15" t="str">
        <x:v>https://prozorro.gov.ua/tender/UA-2026-02-17-002890-a</x:v>
      </x:c>
    </x:row>
    <x:row r="1025">
      <x:c r="A1025" s="14" t="n">
        <x:v>1021</x:v>
      </x:c>
      <x:c r="B1025" s="14" t="str">
        <x:v>Комунальне підприємство "Сяйво" Лубенської міської ради Лубенського району Полтавської області</x:v>
      </x:c>
      <x:c r="C1025" s="14" t="str">
        <x:v>31082371</x:v>
      </x:c>
      <x:c r="D1025" s="14" t="str">
        <x:v>Внутрішні сантехнічні системи</x:v>
      </x:c>
      <x:c r="E1025" s="14" t="str">
        <x:v>Pilot now</x:v>
      </x:c>
      <x:c r="F1025" s="14" t="str">
        <x:v>I3</x:v>
      </x:c>
      <x:c r="G1025" s="14" t="n">
        <x:v>38</x:v>
      </x:c>
      <x:c r="H1025" s="14" t="n">
        <x:v>1</x:v>
      </x:c>
      <x:c r="I1025" s="14" t="n">
        <x:v>1</x:v>
      </x:c>
      <x:c r="J1025" s="18" t="n">
        <x:v>6726.78</x:v>
      </x:c>
      <x:c r="K1025" s="19" t="n">
        <x:v>46090.340940625</x:v>
      </x:c>
      <x:c r="L1025" s="19" t="n">
        <x:v>46387</x:v>
      </x:c>
      <x:c r="M1025"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x:v>
      </x:c>
      <x:c r="N1025" s="15" t="str">
        <x:v>https://prozorro.gov.ua/tender/UA-2026-03-09-001718-a</x:v>
      </x:c>
    </x:row>
    <x:row r="1026">
      <x:c r="A1026" s="14" t="n">
        <x:v>1022</x:v>
      </x:c>
      <x:c r="B1026" s="14" t="str">
        <x:v>КОХМАН НАЗАР МИКОЛАЙОВИЧ</x:v>
      </x:c>
      <x:c r="C1026" s="14" t="str">
        <x:v>3217620757</x:v>
      </x:c>
      <x:c r="D1026" s="14" t="str">
        <x:v>Насосні станції</x:v>
      </x:c>
      <x:c r="E1026" s="14" t="str">
        <x:v>Expansion discovery</x:v>
      </x:c>
      <x:c r="F1026" s="14" t="str">
        <x:v>I3</x:v>
      </x:c>
      <x:c r="G1026" s="14" t="n">
        <x:v>38</x:v>
      </x:c>
      <x:c r="H1026" s="14" t="n">
        <x:v>1</x:v>
      </x:c>
      <x:c r="I1026" s="14" t="n">
        <x:v>1</x:v>
      </x:c>
      <x:c r="J1026" s="18" t="n">
        <x:v>7500</x:v>
      </x:c>
      <x:c r="K1026" s="19" t="n">
        <x:v>46128.313841180556</x:v>
      </x:c>
      <x:c r="L1026" s="19" t="n">
        <x:v>411629</x:v>
      </x:c>
      <x:c r="M1026" s="15" t="str">
        <x:v>Виготовлення технічного паспорта та внесення відомостей в ЄДЕССБ на обʼєкт: -Реконструкція каналізаційної насосної станції в смт. Шкло по вул.Богдана Слободи, 1, Новояворівська ТГ, Яворівського району Львівської області
ДК 021:2015-71330000-0</x:v>
      </x:c>
      <x:c r="N1026" s="15" t="str">
        <x:v>https://prozorro.gov.ua/tender/UA-2026-04-16-002387-a</x:v>
      </x:c>
    </x:row>
    <x:row r="1027">
      <x:c r="A1027" s="14" t="n">
        <x:v>1023</x:v>
      </x:c>
      <x:c r="B1027" s="14" t="str">
        <x:v>ОКСАК ЮЛІЯ ЮРІЇВНА</x:v>
      </x:c>
      <x:c r="C1027" s="14" t="str">
        <x:v>3097603540</x:v>
      </x:c>
      <x:c r="D1027" s="14" t="str">
        <x:v>Зовнішні мережі</x:v>
      </x:c>
      <x:c r="E1027" s="14" t="str">
        <x:v>Expansion discovery</x:v>
      </x:c>
      <x:c r="F1027" s="14" t="str">
        <x:v>I3</x:v>
      </x:c>
      <x:c r="G1027" s="14" t="n">
        <x:v>38</x:v>
      </x:c>
      <x:c r="H1027" s="14" t="n">
        <x:v>1</x:v>
      </x:c>
      <x:c r="I1027" s="14" t="n">
        <x:v>1</x:v>
      </x:c>
      <x:c r="J1027" s="18" t="n">
        <x:v>98000</x:v>
      </x:c>
      <x:c r="K1027" s="19" t="n">
        <x:v>46055.754024918984</x:v>
      </x:c>
      <x:c r="L1027" s="19" t="n">
        <x:v>46387</x:v>
      </x:c>
      <x:c r="M1027" s="15" t="str">
        <x:v>Комплекс послуг пов'язаних зі здійсненням процедури оцінки впливу на довкілля планової діяльності, що відноситься до другої категорії видів планової діяльності та об'єктів, які можуть мати значний вплив на довкілля і підлягають оцінці впливу на довкілля згідно Закону України "Про оцінку впливу на довкілля" для прокладання мереж каналізування в межах прибережної захисної смуги озера Світязь, назва проектної документації "Нове  будівництво напірного каналізаційного колектора по вул. Європейська села Світязь на території Шацького національного природного парку"</x:v>
      </x:c>
      <x:c r="N1027" s="15" t="str">
        <x:v>https://prozorro.gov.ua/tender/UA-2026-02-02-014840-a</x:v>
      </x:c>
    </x:row>
    <x:row r="1028">
      <x:c r="A1028" s="14" t="n">
        <x:v>1024</x:v>
      </x:c>
      <x:c r="B1028" s="14" t="str">
        <x:v>ПП "Грантекс"</x:v>
      </x:c>
      <x:c r="C1028" s="14" t="str">
        <x:v>32729285</x:v>
      </x:c>
      <x:c r="D1028" s="14" t="str">
        <x:v>Сонячна енергетика</x:v>
      </x:c>
      <x:c r="E1028" s="14" t="str">
        <x:v>Expansion discovery</x:v>
      </x:c>
      <x:c r="F1028" s="14" t="str">
        <x:v>I3</x:v>
      </x:c>
      <x:c r="G1028" s="14" t="n">
        <x:v>38</x:v>
      </x:c>
      <x:c r="H1028" s="14" t="n">
        <x:v>1</x:v>
      </x:c>
      <x:c r="I1028" s="14" t="n">
        <x:v>1</x:v>
      </x:c>
      <x:c r="J1028" s="18" t="n">
        <x:v>48669.53</x:v>
      </x:c>
      <x:c r="K1028" s="19" t="n">
        <x:v>46120.610908194445</x:v>
      </x:c>
      <x:c r="L1028" s="19" t="n">
        <x:v>46387</x:v>
      </x:c>
      <x:c r="M1028" s="15" t="str">
        <x:v>Електротехнічне обладнання для монтажу сонячної електростанції</x:v>
      </x:c>
      <x:c r="N1028" s="15" t="str">
        <x:v>https://prozorro.gov.ua/tender/UA-2026-04-08-014234-a</x:v>
      </x:c>
    </x:row>
    <x:row r="1029">
      <x:c r="A1029" s="14" t="n">
        <x:v>1025</x:v>
      </x:c>
      <x:c r="B1029" s="14" t="str">
        <x:v>ПП "ХАЛ"</x:v>
      </x:c>
      <x:c r="C1029" s="14" t="str">
        <x:v>30655180</x:v>
      </x:c>
      <x:c r="D1029" s="14" t="str">
        <x:v>Пожежогасіння</x:v>
      </x:c>
      <x:c r="E1029" s="14" t="str">
        <x:v>Expansion discovery</x:v>
      </x:c>
      <x:c r="F1029" s="14" t="str">
        <x:v>I3</x:v>
      </x:c>
      <x:c r="G1029" s="14" t="n">
        <x:v>38</x:v>
      </x:c>
      <x:c r="H1029" s="14" t="n">
        <x:v>1</x:v>
      </x:c>
      <x:c r="I1029" s="14" t="n">
        <x:v>1</x:v>
      </x:c>
      <x:c r="J1029" s="18" t="n">
        <x:v>50061.6</x:v>
      </x:c>
      <x:c r="K1029" s="19" t="n">
        <x:v>46052.523725011575</x:v>
      </x:c>
      <x:c r="L1029" s="19" t="n">
        <x:v>46387.52278935185</x:v>
      </x:c>
      <x:c r="M1029" s="15" t="str">
        <x:v>створення (монтаж) системи пожежної сигналізації</x:v>
      </x:c>
      <x:c r="N1029" s="15" t="str">
        <x:v>https://prozorro.gov.ua/tender/UA-2026-01-30-010960-a</x:v>
      </x:c>
    </x:row>
    <x:row r="1030">
      <x:c r="A1030" s="14" t="n">
        <x:v>1026</x:v>
      </x:c>
      <x:c r="B1030" s="14" t="str">
        <x:v>ПП «КОЛЕКС»</x:v>
      </x:c>
      <x:c r="C1030" s="14" t="str">
        <x:v>34606315</x:v>
      </x:c>
      <x:c r="D1030" s="14" t="str">
        <x:v>Пожежогасіння</x:v>
      </x:c>
      <x:c r="E1030" s="14" t="str">
        <x:v>Expansion discovery</x:v>
      </x:c>
      <x:c r="F1030" s="14" t="str">
        <x:v>I3</x:v>
      </x:c>
      <x:c r="G1030" s="14" t="n">
        <x:v>38</x:v>
      </x:c>
      <x:c r="H1030" s="14" t="n">
        <x:v>1</x:v>
      </x:c>
      <x:c r="I1030" s="14" t="n">
        <x:v>1</x:v>
      </x:c>
      <x:c r="J1030" s="18" t="n">
        <x:v>94274.59</x:v>
      </x:c>
      <x:c r="K1030" s="19" t="n">
        <x:v>46108.6047377662</x:v>
      </x:c>
      <x:c r="L1030" s="19" t="n">
        <x:v>46387</x:v>
      </x:c>
      <x:c r="M1030" s="15" t="str">
        <x:v>Монтаж та налагодження системи охоронної та пожежної сигналізації</x:v>
      </x:c>
      <x:c r="N1030" s="15" t="str">
        <x:v>https://prozorro.gov.ua/tender/UA-2026-03-27-011149-a</x:v>
      </x:c>
    </x:row>
    <x:row r="1031">
      <x:c r="A1031" s="14" t="n">
        <x:v>1027</x:v>
      </x:c>
      <x:c r="B1031" s="14" t="str">
        <x:v>ТОВ "ВЕНБЕСТ"-Харківська філія ТОВ "ВЕНБЕСТ"</x:v>
      </x:c>
      <x:c r="C1031" s="14" t="str">
        <x:v>33307679</x:v>
      </x:c>
      <x:c r="D1031" s="14" t="str">
        <x:v>Пожежогасіння</x:v>
      </x:c>
      <x:c r="E1031" s="14" t="str">
        <x:v>Expansion discovery</x:v>
      </x:c>
      <x:c r="F1031" s="14" t="str">
        <x:v>I3</x:v>
      </x:c>
      <x:c r="G1031" s="14" t="n">
        <x:v>38</x:v>
      </x:c>
      <x:c r="H1031" s="14" t="n">
        <x:v>1</x:v>
      </x:c>
      <x:c r="I1031" s="14" t="n">
        <x:v>1</x:v>
      </x:c>
      <x:c r="J1031" s="18" t="n">
        <x:v>12749</x:v>
      </x:c>
      <x:c r="K1031" s="19" t="n">
        <x:v>46118.56968915509</x:v>
      </x:c>
      <x:c r="L1031" s="19" t="n">
        <x:v>46387</x:v>
      </x:c>
      <x:c r="M1031" s="15" t="str">
        <x:v>Послуга з монтажу системи пожежної сигналізації</x:v>
      </x:c>
      <x:c r="N1031" s="15" t="str">
        <x:v>https://prozorro.gov.ua/tender/UA-2026-04-06-012301-a</x:v>
      </x:c>
    </x:row>
    <x:row r="1032">
      <x:c r="A1032" s="14" t="n">
        <x:v>1028</x:v>
      </x:c>
      <x:c r="B1032" s="14" t="str">
        <x:v>ТОВ "ЕНЕРГОКОНСАЛТ С"</x:v>
      </x:c>
      <x:c r="C1032" s="14" t="str">
        <x:v>40426503</x:v>
      </x:c>
      <x:c r="D1032" s="14" t="str">
        <x:v>Резервне живлення</x:v>
      </x:c>
      <x:c r="E1032" s="14" t="str">
        <x:v>Pilot now</x:v>
      </x:c>
      <x:c r="F1032" s="14" t="str">
        <x:v>I3</x:v>
      </x:c>
      <x:c r="G1032" s="14" t="n">
        <x:v>38</x:v>
      </x:c>
      <x:c r="H1032" s="14" t="n">
        <x:v>1</x:v>
      </x:c>
      <x:c r="I1032" s="14" t="n">
        <x:v>1</x:v>
      </x:c>
      <x:c r="J1032" s="18" t="n">
        <x:v>15000</x:v>
      </x:c>
      <x:c r="K1032" s="19" t="n">
        <x:v>46118.41079394676</x:v>
      </x:c>
      <x:c r="L1032" s="19" t="n">
        <x:v>46387.45384259259</x:v>
      </x:c>
      <x:c r="M1032" s="15" t="str">
        <x:v>Послуги з розробки проєктної документації на монтаж та підключення обладнання ( дизель-генератор потужністю 63кВт) до внутрішніх мереж - Головного розподільного щита</x:v>
      </x:c>
      <x:c r="N1032" s="15" t="str">
        <x:v>https://prozorro.gov.ua/tender/UA-2026-04-06-005880-a</x:v>
      </x:c>
    </x:row>
    <x:row r="1033">
      <x:c r="A1033" s="14" t="n">
        <x:v>1029</x:v>
      </x:c>
      <x:c r="B1033" s="14" t="str">
        <x:v>ТОВ "ІДЕЯ ТЕЛЕКОМ"</x:v>
      </x:c>
      <x:c r="C1033" s="14" t="str">
        <x:v>46152711</x:v>
      </x:c>
      <x:c r="D1033" s="14" t="str">
        <x:v>Резервне живлення</x:v>
      </x:c>
      <x:c r="E1033" s="14" t="str">
        <x:v>Pilot now</x:v>
      </x:c>
      <x:c r="F1033" s="14" t="str">
        <x:v>I3</x:v>
      </x:c>
      <x:c r="G1033" s="14" t="n">
        <x:v>38</x:v>
      </x:c>
      <x:c r="H1033" s="14" t="n">
        <x:v>1</x:v>
      </x:c>
      <x:c r="I1033" s="14" t="n">
        <x:v>1</x:v>
      </x:c>
      <x:c r="J1033" s="18" t="n">
        <x:v>3500</x:v>
      </x:c>
      <x:c r="K1033" s="19" t="n">
        <x:v>46048.430775625</x:v>
      </x:c>
      <x:c r="L1033" s="19" t="n">
        <x:v>46387.431550925925</x:v>
      </x:c>
      <x:c r="M1033" s="15" t="str">
        <x:v>Послуги монтажу джерела безперебійного живлення LP-U650VA у Сокільницькому ліцеї імені І.Я. Франка Сокільницької сільської ради</x:v>
      </x:c>
      <x:c r="N1033" s="15" t="str">
        <x:v>https://prozorro.gov.ua/tender/UA-2026-01-26-007140-a</x:v>
      </x:c>
    </x:row>
    <x:row r="1034">
      <x:c r="A1034" s="14" t="n">
        <x:v>1030</x:v>
      </x:c>
      <x:c r="B1034" s="14" t="str">
        <x:v>ТОВ "М.А.К.ЕНЕРДЖІ"</x:v>
      </x:c>
      <x:c r="C1034" s="14" t="str">
        <x:v>45611762</x:v>
      </x:c>
      <x:c r="D1034" s="14" t="str">
        <x:v>Резервне живлення</x:v>
      </x:c>
      <x:c r="E1034" s="14" t="str">
        <x:v>Pilot now</x:v>
      </x:c>
      <x:c r="F1034" s="14" t="str">
        <x:v>I3</x:v>
      </x:c>
      <x:c r="G1034" s="14" t="n">
        <x:v>38</x:v>
      </x:c>
      <x:c r="H1034" s="14" t="n">
        <x:v>1</x:v>
      </x:c>
      <x:c r="I1034" s="14" t="n">
        <x:v>1</x:v>
      </x:c>
      <x:c r="J1034" s="18" t="n">
        <x:v>98544.5</x:v>
      </x:c>
      <x:c r="K1034" s="19" t="n">
        <x:v>46127.43361821759</x:v>
      </x:c>
      <x:c r="L1034" s="19" t="n">
        <x:v>46387.47537037037</x:v>
      </x:c>
      <x:c r="M1034" s="15" t="str">
        <x:v>Роботи по монтажу та підключенню АВР та дизель генератора</x:v>
      </x:c>
      <x:c r="N1034" s="15" t="str">
        <x:v>https://prozorro.gov.ua/tender/UA-2026-04-15-006283-a</x:v>
      </x:c>
    </x:row>
    <x:row r="1035">
      <x:c r="A1035" s="14" t="n">
        <x:v>1031</x:v>
      </x:c>
      <x:c r="B1035" s="14" t="str">
        <x:v>ТОВ "НВКП "ГазІнвест"</x:v>
      </x:c>
      <x:c r="C1035" s="14" t="str">
        <x:v>36839409</x:v>
      </x:c>
      <x:c r="D1035" s="14" t="str">
        <x:v>Газові мережі</x:v>
      </x:c>
      <x:c r="E1035" s="14" t="str">
        <x:v>Expansion discovery</x:v>
      </x:c>
      <x:c r="F1035" s="14" t="str">
        <x:v>I3</x:v>
      </x:c>
      <x:c r="G1035" s="14" t="n">
        <x:v>38</x:v>
      </x:c>
      <x:c r="H1035" s="14" t="n">
        <x:v>1</x:v>
      </x:c>
      <x:c r="I1035" s="14" t="n">
        <x:v>1</x:v>
      </x:c>
      <x:c r="J1035" s="18" t="n">
        <x:v>1206765</x:v>
      </x:c>
      <x:c r="K1035" s="19" t="n">
        <x:v>45985.291930046296</x:v>
      </x:c>
      <x:c r="L1035" s="19" t="n">
        <x:v>46343</x:v>
      </x:c>
      <x:c r="M1035"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x:v>
      </x:c>
      <x:c r="N1035" s="15" t="str">
        <x:v>https://prozorro.gov.ua/tender/UA-2025-10-03-008935-a</x:v>
      </x:c>
    </x:row>
    <x:row r="1036">
      <x:c r="A1036" s="14" t="n">
        <x:v>1032</x:v>
      </x:c>
      <x:c r="B1036" s="14" t="str">
        <x:v>ТОВ "СПС-ПРОЄКТ"</x:v>
      </x:c>
      <x:c r="C1036" s="14" t="str">
        <x:v>44923877</x:v>
      </x:c>
      <x:c r="D1036" s="14" t="str">
        <x:v>Газові мережі</x:v>
      </x:c>
      <x:c r="E1036" s="14" t="str">
        <x:v>Expansion discovery</x:v>
      </x:c>
      <x:c r="F1036" s="14" t="str">
        <x:v>I3</x:v>
      </x:c>
      <x:c r="G1036" s="14" t="n">
        <x:v>38</x:v>
      </x:c>
      <x:c r="H1036" s="14" t="n">
        <x:v>1</x:v>
      </x:c>
      <x:c r="I1036" s="14" t="n">
        <x:v>1</x:v>
      </x:c>
      <x:c r="J1036" s="18" t="n">
        <x:v>1054000</x:v>
      </x:c>
      <x:c r="K1036" s="19" t="n">
        <x:v>45987.408390613426</x:v>
      </x:c>
      <x:c r="L1036" s="19" t="n">
        <x:v>46343</x:v>
      </x:c>
      <x:c r="M1036"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x:v>
      </x:c>
      <x:c r="N1036" s="15" t="str">
        <x:v>https://prozorro.gov.ua/tender/UA-2025-10-03-008908-a</x:v>
      </x:c>
    </x:row>
    <x:row r="1037">
      <x:c r="A1037" s="14" t="n">
        <x:v>1033</x:v>
      </x:c>
      <x:c r="B1037" s="14" t="str">
        <x:v>ТОВ "СТЕМ ІНЖИНІРИНГ"</x:v>
      </x:c>
      <x:c r="C1037" s="14" t="str">
        <x:v>41717778</x:v>
      </x:c>
      <x:c r="D1037" s="14" t="str">
        <x:v>Стиснене повітря / компресорні</x:v>
      </x:c>
      <x:c r="E1037" s="14" t="str">
        <x:v>Expansion discovery</x:v>
      </x:c>
      <x:c r="F1037" s="14" t="str">
        <x:v>I3</x:v>
      </x:c>
      <x:c r="G1037" s="14" t="n">
        <x:v>38</x:v>
      </x:c>
      <x:c r="H1037" s="14" t="n">
        <x:v>1</x:v>
      </x:c>
      <x:c r="I1037" s="14" t="n">
        <x:v>1</x:v>
      </x:c>
      <x:c r="J1037" s="18" t="n">
        <x:v>1649000</x:v>
      </x:c>
      <x:c r="K1037" s="19" t="n">
        <x:v>45957.36414351852</x:v>
      </x:c>
      <x:c r="L1037" s="19" t="n">
        <x:v>46343</x:v>
      </x:c>
      <x:c r="M1037" s="15" t="str">
        <x:v>Проектно-вишукувальні роботи по об’єкту: «Реконструкція розподільчого пристрою 10 кВ компресорної станції «Красилів» в Хмельницькому районі Хмельницької області» (стадії «Проект» та «Робоча документація») (Будівельні роботи та поточний ремонт)</x:v>
      </x:c>
      <x:c r="N1037" s="15" t="str">
        <x:v>https://prozorro.gov.ua/tender/UA-2025-10-03-007680-a</x:v>
      </x:c>
    </x:row>
    <x:row r="1038">
      <x:c r="A1038" s="14" t="n">
        <x:v>1034</x:v>
      </x:c>
      <x:c r="B1038" s="14" t="str">
        <x:v>ТОВАРИСТВО З ОБМЕЖЕНОЮ ВІДПОВІДАЛЬНІСТЮ "АРТЛАЙН ІНТЕГРАЦІЯ"</x:v>
      </x:c>
      <x:c r="C1038" s="14" t="str">
        <x:v>40733799</x:v>
      </x:c>
      <x:c r="D1038" s="14" t="str">
        <x:v>Резервне живлення</x:v>
      </x:c>
      <x:c r="E1038" s="14" t="str">
        <x:v>Expansion discovery</x:v>
      </x:c>
      <x:c r="F1038" s="14" t="str">
        <x:v>I3</x:v>
      </x:c>
      <x:c r="G1038" s="14" t="n">
        <x:v>38</x:v>
      </x:c>
      <x:c r="H1038" s="14" t="n">
        <x:v>2</x:v>
      </x:c>
      <x:c r="I1038" s="14" t="n">
        <x:v>1</x:v>
      </x:c>
      <x:c r="J1038" s="18" t="n">
        <x:v>125467</x:v>
      </x:c>
      <x:c r="K1038" s="19" t="n">
        <x:v>45905.30608782407</x:v>
      </x:c>
      <x:c r="L1038" s="19" t="n">
        <x:v>46022.916666655095</x:v>
      </x:c>
      <x:c r="M1038" s="15" t="str">
        <x:v>послуг з монтажу та підключення джерел безперебійного живлення у ТСЦ 8041/8042 та ТСЦ 8049/8045, 51110000-6 за ДК 021:2015 Єдиного закупівельного словника</x:v>
      </x:c>
      <x:c r="N1038" s="15" t="str">
        <x:v>https://prozorro.gov.ua/tender/UA-2025-09-05-002422-a</x:v>
      </x:c>
    </x:row>
    <x:row r="1039">
      <x:c r="A1039" s="14" t="n">
        <x:v>1035</x:v>
      </x:c>
      <x:c r="B1039" s="14" t="str">
        <x:v>ТОВАРИСТВО З ОБМЕЖЕНОЮ ВІДПОВІДАЛЬНІСТЮ "БРАНДМАЙСТЕР-ЄЛИСАВЕТГРАД"</x:v>
      </x:c>
      <x:c r="C1039" s="14" t="str">
        <x:v>42589965</x:v>
      </x:c>
      <x:c r="D1039" s="14" t="str">
        <x:v>Блискавкозахист / заземлення</x:v>
      </x:c>
      <x:c r="E1039" s="14" t="str">
        <x:v>Pilot now</x:v>
      </x:c>
      <x:c r="F1039" s="14" t="str">
        <x:v>I3</x:v>
      </x:c>
      <x:c r="G1039" s="14" t="n">
        <x:v>38</x:v>
      </x:c>
      <x:c r="H1039" s="14" t="n">
        <x:v>1</x:v>
      </x:c>
      <x:c r="I1039" s="14" t="n">
        <x:v>1</x:v>
      </x:c>
      <x:c r="J1039" s="18" t="n">
        <x:v>65178.06</x:v>
      </x:c>
      <x:c r="K1039" s="19" t="n">
        <x:v>46070.45287459491</x:v>
      </x:c>
      <x:c r="L1039" s="19" t="n">
        <x:v>46387</x:v>
      </x:c>
      <x:c r="M1039" s="15" t="str">
        <x:v>монтаж блискавкозахисту м. Олександрія вул. Бульварна, 5</x:v>
      </x:c>
      <x:c r="N1039" s="15" t="str">
        <x:v>https://prozorro.gov.ua/tender/UA-2026-02-17-006461-a</x:v>
      </x:c>
    </x:row>
    <x:row r="1040">
      <x:c r="A1040" s="14" t="n">
        <x:v>1036</x:v>
      </x:c>
      <x:c r="B1040" s="14" t="str">
        <x:v>ТОВАРИСТВО З ОБМЕЖЕНОЮ ВІДПОВІДАЛЬНІСТЮ "БУД-ПРОЕКТ-СТРОЙ"</x:v>
      </x:c>
      <x:c r="C1040" s="14" t="str">
        <x:v>41025681</x:v>
      </x:c>
      <x:c r="D1040" s="14" t="str">
        <x:v>Електромонтаж</x:v>
      </x:c>
      <x:c r="E1040" s="14" t="str">
        <x:v>Pilot now</x:v>
      </x:c>
      <x:c r="F1040" s="14" t="str">
        <x:v>I3</x:v>
      </x:c>
      <x:c r="G1040" s="14" t="n">
        <x:v>38</x:v>
      </x:c>
      <x:c r="H1040" s="14" t="n">
        <x:v>1</x:v>
      </x:c>
      <x:c r="I1040" s="14" t="n">
        <x:v>1</x:v>
      </x:c>
      <x:c r="J1040" s="18" t="n">
        <x:v>71800</x:v>
      </x:c>
      <x:c r="K1040" s="19" t="n">
        <x:v>46073.35758332176</x:v>
      </x:c>
      <x:c r="L1040" s="19" t="n">
        <x:v>46387</x:v>
      </x:c>
      <x:c r="M1040" s="15" t="str">
        <x:v>Послуги з будівництва та монтажу електричних мереж</x:v>
      </x:c>
      <x:c r="N1040" s="15" t="str">
        <x:v>https://prozorro.gov.ua/tender/UA-2026-02-20-002524-a</x:v>
      </x:c>
    </x:row>
    <x:row r="1041">
      <x:c r="A1041" s="14" t="n">
        <x:v>1037</x:v>
      </x:c>
      <x:c r="B1041" s="14" t="str">
        <x:v>ТОВАРИСТВО З ОБМЕЖЕНОЮ ВІДПОВІДАЛЬНІСТЮ "ВЕНТИЛЯЦІЯ-УКРАЇНИ"</x:v>
      </x:c>
      <x:c r="C1041" s="14" t="str">
        <x:v>38620464</x:v>
      </x:c>
      <x:c r="D1041" s="14" t="str">
        <x:v>HVAC / ОВіК</x:v>
      </x:c>
      <x:c r="E1041" s="14" t="str">
        <x:v>Pilot now</x:v>
      </x:c>
      <x:c r="F1041" s="14" t="str">
        <x:v>I3</x:v>
      </x:c>
      <x:c r="G1041" s="14" t="n">
        <x:v>38</x:v>
      </x:c>
      <x:c r="H1041" s="14" t="n">
        <x:v>1</x:v>
      </x:c>
      <x:c r="I1041" s="14" t="n">
        <x:v>1</x:v>
      </x:c>
      <x:c r="J1041" s="18" t="n">
        <x:v>5100</x:v>
      </x:c>
      <x:c r="K1041" s="19" t="n">
        <x:v>46059.314033842595</x:v>
      </x:c>
      <x:c r="L1041" s="19" t="n">
        <x:v>46387</x:v>
      </x:c>
      <x:c r="M1041"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x:v>
      </x:c>
      <x:c r="N1041" s="15" t="str">
        <x:v>https://prozorro.gov.ua/tender/UA-2026-02-06-001105-a</x:v>
      </x:c>
    </x:row>
    <x:row r="1042">
      <x:c r="A1042" s="14" t="n">
        <x:v>1038</x:v>
      </x:c>
      <x:c r="B1042" s="14" t="str">
        <x:v>ТОВАРИСТВО З ОБМЕЖЕНОЮ ВІДПОВІДАЛЬНІСТЮ "ВОЛЯ-КАБЕЛЬ"</x:v>
      </x:c>
      <x:c r="C1042" s="14" t="str">
        <x:v>30777913</x:v>
      </x:c>
      <x:c r="D1042" s="14" t="str">
        <x:v>ВОЛЗ / телеком</x:v>
      </x:c>
      <x:c r="E1042" s="14" t="str">
        <x:v>Expansion discovery</x:v>
      </x:c>
      <x:c r="F1042" s="14" t="str">
        <x:v>I3</x:v>
      </x:c>
      <x:c r="G1042" s="14" t="n">
        <x:v>38</x:v>
      </x:c>
      <x:c r="H1042" s="14" t="n">
        <x:v>1</x:v>
      </x:c>
      <x:c r="I1042" s="14" t="n">
        <x:v>1</x:v>
      </x:c>
      <x:c r="J1042" s="18" t="n">
        <x:v>1000</x:v>
      </x:c>
      <x:c r="K1042" s="19" t="n">
        <x:v>46113.51593917824</x:v>
      </x:c>
      <x:c r="L1042" s="19" t="n">
        <x:v>46387</x:v>
      </x:c>
      <x:c r="M1042" s="15" t="str">
        <x:v>Послуги монтажу та налагодження телекомунікаційного обладнання, ліній зв’язку, тестування системи зв’язку, Код ДК 021:2015: 72710000-0 Послуги у сфері локальних мереж</x:v>
      </x:c>
      <x:c r="N1042" s="15" t="str">
        <x:v>https://prozorro.gov.ua/tender/UA-2026-04-01-009828-a</x:v>
      </x:c>
    </x:row>
    <x:row r="1043">
      <x:c r="A1043" s="14" t="n">
        <x:v>1039</x:v>
      </x:c>
      <x:c r="B1043" s="14" t="str">
        <x:v>ТОВАРИСТВО З ОБМЕЖЕНОЮ ВІДПОВІДАЛЬНІСТЮ "КОНСАЛТИНГ ЛТД"</x:v>
      </x:c>
      <x:c r="C1043" s="14" t="str">
        <x:v>34724383</x:v>
      </x:c>
      <x:c r="D1043" s="14" t="str">
        <x:v>Резервне живлення</x:v>
      </x:c>
      <x:c r="E1043" s="14" t="str">
        <x:v>Expansion discovery</x:v>
      </x:c>
      <x:c r="F1043" s="14" t="str">
        <x:v>I3</x:v>
      </x:c>
      <x:c r="G1043" s="14" t="n">
        <x:v>38</x:v>
      </x:c>
      <x:c r="H1043" s="14" t="n">
        <x:v>1</x:v>
      </x:c>
      <x:c r="I1043" s="14" t="n">
        <x:v>1</x:v>
      </x:c>
      <x:c r="J1043" s="18" t="n">
        <x:v>50000</x:v>
      </x:c>
      <x:c r="K1043" s="19" t="n">
        <x:v>46043.37433818287</x:v>
      </x:c>
      <x:c r="L1043" s="19" t="n">
        <x:v>46387</x:v>
      </x:c>
      <x:c r="M1043"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x:v>
      </x:c>
      <x:c r="N1043" s="15" t="str">
        <x:v>https://prozorro.gov.ua/tender/UA-2026-01-21-004427-a</x:v>
      </x:c>
    </x:row>
    <x:row r="1044">
      <x:c r="A1044" s="14" t="n">
        <x:v>1040</x:v>
      </x:c>
      <x:c r="B1044" s="14" t="str">
        <x:v>ТОВАРИСТВО З ОБМЕЖЕНОЮ ВІДПОВІДА­ЛЬНІСТЮ СК «ДП БУД»
</x:v>
      </x:c>
      <x:c r="C1044" s="14" t="str">
        <x:v>40847845</x:v>
      </x:c>
      <x:c r="D1044" s="14" t="str">
        <x:v>Стиснене повітря / компресорні</x:v>
      </x:c>
      <x:c r="E1044" s="14" t="str">
        <x:v>Expansion discovery</x:v>
      </x:c>
      <x:c r="F1044" s="14" t="str">
        <x:v>I3</x:v>
      </x:c>
      <x:c r="G1044" s="14" t="n">
        <x:v>38</x:v>
      </x:c>
      <x:c r="H1044" s="14" t="n">
        <x:v>1</x:v>
      </x:c>
      <x:c r="I1044" s="14" t="n">
        <x:v>1</x:v>
      </x:c>
      <x:c r="J1044" s="18" t="n">
        <x:v>692780</x:v>
      </x:c>
      <x:c r="K1044" s="19" t="n">
        <x:v>45965.29393900463</x:v>
      </x:c>
      <x:c r="L1044" s="19" t="n">
        <x:v>46387</x:v>
      </x:c>
      <x:c r="M1044" s="15" t="str">
        <x:v>Проєктно-вишукувальні роботи по об'єкту: «Реконструкція системи резервного електропостачання дотискувальної компресорної станції «Дашава» Дашавського виробничого управління підземного зберігання газу» (Будівельні роботи та поточний ремонт)</x:v>
      </x:c>
      <x:c r="N1044" s="15" t="str">
        <x:v>https://prozorro.gov.ua/tender/UA-2025-10-13-001608-a</x:v>
      </x:c>
    </x:row>
    <x:row r="1045">
      <x:c r="A1045" s="14" t="n">
        <x:v>1041</x:v>
      </x:c>
      <x:c r="B1045" s="14" t="str">
        <x:v>УПРАВЛІННЯ ПОЛІЦІЇ ОХОРОНИ В КИЇВСЬКІЙ ОБЛАСТІ</x:v>
      </x:c>
      <x:c r="C1045" s="14" t="str">
        <x:v>40109063</x:v>
      </x:c>
      <x:c r="D1045" s="14" t="str">
        <x:v>Газопостачання / котельні</x:v>
      </x:c>
      <x:c r="E1045" s="14" t="str">
        <x:v>Expansion discovery</x:v>
      </x:c>
      <x:c r="F1045" s="14" t="str">
        <x:v>I3</x:v>
      </x:c>
      <x:c r="G1045" s="14" t="n">
        <x:v>38</x:v>
      </x:c>
      <x:c r="H1045" s="14" t="n">
        <x:v>2</x:v>
      </x:c>
      <x:c r="I1045" s="14" t="n">
        <x:v>1</x:v>
      </x:c>
      <x:c r="J1045" s="18" t="n">
        <x:v>94918.14</x:v>
      </x:c>
      <x:c r="K1045" s="19" t="n">
        <x:v>46126.50086414352</x:v>
      </x:c>
      <x:c r="L1045" s="19" t="n">
        <x:v>46387</x:v>
      </x:c>
      <x:c r="M1045" s="15" t="str">
        <x:v>ДК 021:2015:45310000-3 Електромонтажні роботи. (Монтаж, пусконалагоджування пожежної системи сигналізації).</x:v>
      </x:c>
      <x:c r="N1045" s="15" t="str">
        <x:v>https://prozorro.gov.ua/tender/UA-2026-04-14-008013-a</x:v>
      </x:c>
    </x:row>
    <x:row r="1046">
      <x:c r="A1046" s="14" t="n">
        <x:v>1042</x:v>
      </x:c>
      <x:c r="B1046" s="14" t="str">
        <x:v>ФІЛІЯ ДП "УКРДЕРЖБУДЕКСПЕРТИЗА" У СУМСЬКІЙ ОБЛАСТІ</x:v>
      </x:c>
      <x:c r="C1046" s="14" t="str">
        <x:v>35850133</x:v>
      </x:c>
      <x:c r="D1046" s="14" t="str">
        <x:v>Водоочищення / очисні споруди</x:v>
      </x:c>
      <x:c r="E1046" s="14" t="str">
        <x:v>Expansion discovery</x:v>
      </x:c>
      <x:c r="F1046" s="14" t="str">
        <x:v>I3</x:v>
      </x:c>
      <x:c r="G1046" s="14" t="n">
        <x:v>38</x:v>
      </x:c>
      <x:c r="H1046" s="14" t="n">
        <x:v>1</x:v>
      </x:c>
      <x:c r="I1046" s="14" t="n">
        <x:v>1</x:v>
      </x:c>
      <x:c r="J1046" s="18" t="n">
        <x:v>9068.59</x:v>
      </x:c>
      <x:c r="K1046" s="19" t="n">
        <x:v>46043.55103616898</x:v>
      </x:c>
      <x:c r="L1046" s="19" t="n">
        <x:v>46387</x:v>
      </x:c>
      <x:c r="M1046"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x:v>
      </x:c>
      <x:c r="N1046" s="15" t="str">
        <x:v>https://prozorro.gov.ua/tender/UA-2026-01-21-013838-a</x:v>
      </x:c>
    </x:row>
    <x:row r="1047">
      <x:c r="A1047" s="14" t="n">
        <x:v>1043</x:v>
      </x:c>
      <x:c r="B1047" s="14" t="str">
        <x:v>ШИМКІВ АНДРІЙ ВАСИЛЬОВИЧ</x:v>
      </x:c>
      <x:c r="C1047" s="14" t="str">
        <x:v>2826905070</x:v>
      </x:c>
      <x:c r="D1047" s="14" t="str">
        <x:v>HVAC / ОВіК</x:v>
      </x:c>
      <x:c r="E1047" s="14" t="str">
        <x:v>Pilot now</x:v>
      </x:c>
      <x:c r="F1047" s="14" t="str">
        <x:v>I3</x:v>
      </x:c>
      <x:c r="G1047" s="14" t="n">
        <x:v>38</x:v>
      </x:c>
      <x:c r="H1047" s="14" t="n">
        <x:v>1</x:v>
      </x:c>
      <x:c r="I1047" s="14" t="n">
        <x:v>1</x:v>
      </x:c>
      <x:c r="J1047" s="18" t="n">
        <x:v>17800</x:v>
      </x:c>
      <x:c r="K1047" s="19" t="n">
        <x:v>46122.46969696759</x:v>
      </x:c>
      <x:c r="L1047" s="19" t="n">
        <x:v>46387</x:v>
      </x:c>
      <x:c r="M1047"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x:v>
      </x:c>
      <x:c r="N1047" s="15" t="str">
        <x:v>https://prozorro.gov.ua/tender/UA-2026-04-10-007864-a</x:v>
      </x:c>
    </x:row>
    <x:row r="1048">
      <x:c r="A1048" s="14" t="n">
        <x:v>1044</x:v>
      </x:c>
      <x:c r="B1048" s="14" t="str">
        <x:v>ЯРЕМКІВ ВОЛОДИМИР ІВАНОВИЧ</x:v>
      </x:c>
      <x:c r="C1048" s="14" t="str">
        <x:v>3379903893</x:v>
      </x:c>
      <x:c r="D1048" s="14" t="str">
        <x:v>HVAC / ОВіК</x:v>
      </x:c>
      <x:c r="E1048" s="14" t="str">
        <x:v>Pilot now</x:v>
      </x:c>
      <x:c r="F1048" s="14" t="str">
        <x:v>I3</x:v>
      </x:c>
      <x:c r="G1048" s="14" t="n">
        <x:v>38</x:v>
      </x:c>
      <x:c r="H1048" s="14" t="n">
        <x:v>1</x:v>
      </x:c>
      <x:c r="I1048" s="14" t="n">
        <x:v>1</x:v>
      </x:c>
      <x:c r="J1048" s="18" t="n">
        <x:v>18800</x:v>
      </x:c>
      <x:c r="K1048" s="19" t="n">
        <x:v>46083.460169895836</x:v>
      </x:c>
      <x:c r="L1048" s="19" t="n">
        <x:v>46387</x:v>
      </x:c>
      <x:c r="M1048"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x:v>
      </x:c>
      <x:c r="N1048" s="15" t="str">
        <x:v>https://prozorro.gov.ua/tender/UA-2026-03-02-006057-a</x:v>
      </x:c>
    </x:row>
    <x:row r="1049">
      <x:c r="A1049" s="14" t="n">
        <x:v>1045</x:v>
      </x:c>
      <x:c r="B1049" s="14" t="str">
        <x:v>Яцюк Олександр Олександрович</x:v>
      </x:c>
      <x:c r="C1049" s="14" t="str">
        <x:v>3122013255</x:v>
      </x:c>
      <x:c r="D1049" s="14" t="str">
        <x:v>Внутрішні сантехнічні системи</x:v>
      </x:c>
      <x:c r="E1049" s="14" t="str">
        <x:v>Pilot now</x:v>
      </x:c>
      <x:c r="F1049" s="14" t="str">
        <x:v>I3</x:v>
      </x:c>
      <x:c r="G1049" s="14" t="n">
        <x:v>38</x:v>
      </x:c>
      <x:c r="H1049" s="14" t="n">
        <x:v>1</x:v>
      </x:c>
      <x:c r="I1049" s="14" t="n">
        <x:v>1</x:v>
      </x:c>
      <x:c r="J1049" s="18" t="n">
        <x:v>99900</x:v>
      </x:c>
      <x:c r="K1049" s="19" t="n">
        <x:v>46063.276612407404</x:v>
      </x:c>
      <x:c r="L1049" s="19" t="n">
        <x:v>46387</x:v>
      </x:c>
      <x:c r="M1049"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x:v>
      </x:c>
      <x:c r="N1049" s="15" t="str">
        <x:v>https://prozorro.gov.ua/tender/UA-2026-02-10-000287-a</x:v>
      </x:c>
    </x:row>
    <x:row r="1050">
      <x:c r="A1050" s="14" t="n">
        <x:v>1046</x:v>
      </x:c>
      <x:c r="B1050" s="14" t="str">
        <x:v>Акулов Володимир Миколайович</x:v>
      </x:c>
      <x:c r="C1050" s="14" t="str">
        <x:v>2802004154</x:v>
      </x:c>
      <x:c r="D1050" s="14" t="str">
        <x:v>Металоконструкції</x:v>
      </x:c>
      <x:c r="E1050" s="14" t="str">
        <x:v>Expansion discovery</x:v>
      </x:c>
      <x:c r="F1050" s="14" t="str">
        <x:v>I3</x:v>
      </x:c>
      <x:c r="G1050" s="14" t="n">
        <x:v>38</x:v>
      </x:c>
      <x:c r="H1050" s="14" t="n">
        <x:v>1</x:v>
      </x:c>
      <x:c r="I1050" s="14" t="n">
        <x:v>0</x:v>
      </x:c>
      <x:c r="J1050" s="18" t="n">
        <x:v>11692.8</x:v>
      </x:c>
      <x:c r="K1050" s="19" t="n">
        <x:v>46133.34664541667</x:v>
      </x:c>
      <x:c r="L1050" s="19" t="n">
        <x:v>46142</x:v>
      </x:c>
      <x:c r="M1050"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x:v>
      </x:c>
      <x:c r="N1050" s="15" t="str">
        <x:v>https://prozorro.gov.ua/tender/UA-2026-04-21-003330-a</x:v>
      </x:c>
    </x:row>
    <x:row r="1051">
      <x:c r="A1051" s="14" t="n">
        <x:v>1047</x:v>
      </x:c>
      <x:c r="B1051" s="14" t="str">
        <x:v>Блошенко Олександр Олександрович</x:v>
      </x:c>
      <x:c r="C1051" s="14" t="str">
        <x:v>3309014950</x:v>
      </x:c>
      <x:c r="D1051" s="14" t="str">
        <x:v>Сонячна енергетика</x:v>
      </x:c>
      <x:c r="E1051" s="14" t="str">
        <x:v>Expansion discovery</x:v>
      </x:c>
      <x:c r="F1051" s="14" t="str">
        <x:v>I3</x:v>
      </x:c>
      <x:c r="G1051" s="14" t="n">
        <x:v>38</x:v>
      </x:c>
      <x:c r="H1051" s="14" t="n">
        <x:v>1</x:v>
      </x:c>
      <x:c r="I1051" s="14" t="n">
        <x:v>0</x:v>
      </x:c>
      <x:c r="J1051" s="18" t="n">
        <x:v>8000</x:v>
      </x:c>
      <x:c r="K1051" s="19" t="n">
        <x:v>46160.5288471875</x:v>
      </x:c>
      <x:c r="L1051" s="19" t="n">
        <x:v>46203</x:v>
      </x:c>
      <x:c r="M1051"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x:v>
      </x:c>
      <x:c r="N1051" s="15" t="str">
        <x:v>https://prozorro.gov.ua/tender/UA-2026-05-18-010643-a</x:v>
      </x:c>
    </x:row>
    <x:row r="1052">
      <x:c r="A1052" s="14" t="n">
        <x:v>1048</x:v>
      </x:c>
      <x:c r="B1052" s="14" t="str">
        <x:v>БОЙКО ОЛЕКСАНДР ЛЕОНІДОВИЧ</x:v>
      </x:c>
      <x:c r="C1052" s="14" t="str">
        <x:v>2838804011</x:v>
      </x:c>
      <x:c r="D1052" s="14" t="str">
        <x:v>Металоконструкції</x:v>
      </x:c>
      <x:c r="E1052" s="14" t="str">
        <x:v>Expansion discovery</x:v>
      </x:c>
      <x:c r="F1052" s="14" t="str">
        <x:v>I3</x:v>
      </x:c>
      <x:c r="G1052" s="14" t="n">
        <x:v>38</x:v>
      </x:c>
      <x:c r="H1052" s="14" t="n">
        <x:v>1</x:v>
      </x:c>
      <x:c r="I1052" s="14" t="n">
        <x:v>0</x:v>
      </x:c>
      <x:c r="J1052" s="18" t="n">
        <x:v>25984</x:v>
      </x:c>
      <x:c r="K1052" s="19" t="n">
        <x:v>46118.504439791664</x:v>
      </x:c>
      <x:c r="L1052" s="19" t="n">
        <x:v>46142</x:v>
      </x:c>
      <x:c r="M1052"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x:v>
      </x:c>
      <x:c r="N1052" s="15" t="str">
        <x:v>https://prozorro.gov.ua/tender/UA-2026-04-06-009140-a</x:v>
      </x:c>
    </x:row>
    <x:row r="1053">
      <x:c r="A1053" s="14" t="n">
        <x:v>1049</x:v>
      </x:c>
      <x:c r="B1053" s="14" t="str">
        <x:v>Брюшенко Євгеній Олександрович</x:v>
      </x:c>
      <x:c r="C1053" s="14" t="str">
        <x:v>3329403531</x:v>
      </x:c>
      <x:c r="D1053" s="14" t="str">
        <x:v>HVAC / ОВіК</x:v>
      </x:c>
      <x:c r="E1053" s="14" t="str">
        <x:v>Pilot now</x:v>
      </x:c>
      <x:c r="F1053" s="14" t="str">
        <x:v>I3</x:v>
      </x:c>
      <x:c r="G1053" s="14" t="n">
        <x:v>38</x:v>
      </x:c>
      <x:c r="H1053" s="14" t="n">
        <x:v>1</x:v>
      </x:c>
      <x:c r="I1053" s="14" t="n">
        <x:v>0</x:v>
      </x:c>
      <x:c r="J1053" s="18" t="n">
        <x:v>41700</x:v>
      </x:c>
      <x:c r="K1053" s="19" t="n">
        <x:v>46020.56192856481</x:v>
      </x:c>
      <x:c r="L1053" s="19" t="n">
        <x:v>46022</x:v>
      </x:c>
      <x:c r="M1053" s="15" t="str">
        <x:v>Послуги з монтажу системи припливно-витяжної вентиляції в укритті Голубівського ліцею</x:v>
      </x:c>
      <x:c r="N1053" s="15" t="str">
        <x:v>https://prozorro.gov.ua/tender/UA-2025-12-29-008428-a</x:v>
      </x:c>
    </x:row>
    <x:row r="1054">
      <x:c r="A1054" s="14" t="n">
        <x:v>1050</x:v>
      </x:c>
      <x:c r="B1054" s="14" t="str">
        <x:v>ВИРОБНИЧО-КОМЕРЦІЙНЕ ПІДПРИЄМСТВО «ТАУРУС» ТОВАРИСТВО З ОБМЕЖЕНОЮ ВІДПОВІДАЛЬНІСТЮ</x:v>
      </x:c>
      <x:c r="C1054" s="14" t="str">
        <x:v>13926294</x:v>
      </x:c>
      <x:c r="D1054" s="14" t="str">
        <x:v>Промислові котельні</x:v>
      </x:c>
      <x:c r="E1054" s="14" t="str">
        <x:v>Expansion discovery</x:v>
      </x:c>
      <x:c r="F1054" s="14" t="str">
        <x:v>I3</x:v>
      </x:c>
      <x:c r="G1054" s="14" t="n">
        <x:v>38</x:v>
      </x:c>
      <x:c r="H1054" s="14" t="n">
        <x:v>1</x:v>
      </x:c>
      <x:c r="I1054" s="14" t="n">
        <x:v>0</x:v>
      </x:c>
      <x:c r="J1054" s="18" t="n">
        <x:v>5824553.36</x:v>
      </x:c>
      <x:c r="K1054" s="19" t="n">
        <x:v>45561.380301550926</x:v>
      </x:c>
      <x:c r="L1054" s="19" t="n">
        <x:v>45641</x:v>
      </x:c>
      <x:c r="M1054" s="15" t="str">
        <x:v>Виконання робіт: «Реконструкція схеми подачі пари на власні потреби з встановленням парогенеруючого котельного обладнання на ТЕЦ-5, м. Київ, вул. Промислова,4» Додаткові роботи</x:v>
      </x:c>
      <x:c r="N1054" s="15" t="str">
        <x:v>https://prozorro.gov.ua/tender/UA-2024-09-26-005366-a</x:v>
      </x:c>
    </x:row>
    <x:row r="1055">
      <x:c r="A1055" s="14" t="n">
        <x:v>1051</x:v>
      </x:c>
      <x:c r="B1055" s="14" t="str">
        <x:v>ГОЛОВАЩЕНКО МИХАЙЛО МИКОЛАЙОВИЧ</x:v>
      </x:c>
      <x:c r="C1055" s="14" t="str">
        <x:v>2398709511</x:v>
      </x:c>
      <x:c r="D1055" s="14" t="str">
        <x:v>Металоконструкції</x:v>
      </x:c>
      <x:c r="E1055" s="14" t="str">
        <x:v>Expansion discovery</x:v>
      </x:c>
      <x:c r="F1055" s="14" t="str">
        <x:v>I3</x:v>
      </x:c>
      <x:c r="G1055" s="14" t="n">
        <x:v>38</x:v>
      </x:c>
      <x:c r="H1055" s="14" t="n">
        <x:v>1</x:v>
      </x:c>
      <x:c r="I1055" s="14" t="n">
        <x:v>0</x:v>
      </x:c>
      <x:c r="J1055" s="18" t="n">
        <x:v>25984</x:v>
      </x:c>
      <x:c r="K1055" s="19" t="n">
        <x:v>46118.49615678241</x:v>
      </x:c>
      <x:c r="L1055" s="19" t="n">
        <x:v>46142</x:v>
      </x:c>
      <x:c r="M1055"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x:v>
      </x:c>
      <x:c r="N1055" s="15" t="str">
        <x:v>https://prozorro.gov.ua/tender/UA-2026-04-06-008781-a</x:v>
      </x:c>
    </x:row>
    <x:row r="1056">
      <x:c r="A1056" s="14" t="n">
        <x:v>1052</x:v>
      </x:c>
      <x:c r="B1056" s="14" t="str">
        <x:v>Державне підприємство "Науково-дослідний інститут будівельного виробництва імені В.С. Балицького""</x:v>
      </x:c>
      <x:c r="C1056" s="14" t="str">
        <x:v>38283024</x:v>
      </x:c>
      <x:c r="D1056" s="14" t="str">
        <x:v>Насосні станції</x:v>
      </x:c>
      <x:c r="E1056" s="14" t="str">
        <x:v>Expansion discovery</x:v>
      </x:c>
      <x:c r="F1056" s="14" t="str">
        <x:v>I3</x:v>
      </x:c>
      <x:c r="G1056" s="14" t="n">
        <x:v>38</x:v>
      </x:c>
      <x:c r="H1056" s="14" t="n">
        <x:v>1</x:v>
      </x:c>
      <x:c r="I1056" s="14" t="n">
        <x:v>0</x:v>
      </x:c>
      <x:c r="J1056" s="18" t="n">
        <x:v>1395841.46</x:v>
      </x:c>
      <x:c r="K1056" s="19" t="n">
        <x:v>45863.486732523146</x:v>
      </x:c>
      <x:c r="L1056" s="19" t="n">
        <x:v>46022.526712962965</x:v>
      </x:c>
      <x:c r="M1056" s="15" t="str">
        <x:v>Виконання робіт зі здійснення науково-технічного супроводу на етапі проєктування по об'єкту будівництва: "Будівництво каналізаційної насосної станції на території існуючої каналізаційної насосної станції № 3, розташованої по вул. Мстиславській, 100 а в м. Чернігові" (ДК 021:2015: 71350000-6 - Науково-технічні послуги в галузі інженерії (71356100-9- Послуги з технічного контролю))</x:v>
      </x:c>
      <x:c r="N1056" s="15" t="str">
        <x:v>https://prozorro.gov.ua/tender/UA-2025-07-25-007113-a</x:v>
      </x:c>
    </x:row>
    <x:row r="1057">
      <x:c r="A1057" s="14" t="n">
        <x:v>1053</x:v>
      </x:c>
      <x:c r="B1057" s="14" t="str">
        <x:v>Дзюба Олександр Вікторович</x:v>
      </x:c>
      <x:c r="C1057" s="14" t="str">
        <x:v>2761806532</x:v>
      </x:c>
      <x:c r="D1057" s="14" t="str">
        <x:v>Металоконструкції</x:v>
      </x:c>
      <x:c r="E1057" s="14" t="str">
        <x:v>Expansion discovery</x:v>
      </x:c>
      <x:c r="F1057" s="14" t="str">
        <x:v>I3</x:v>
      </x:c>
      <x:c r="G1057" s="14" t="n">
        <x:v>38</x:v>
      </x:c>
      <x:c r="H1057" s="14" t="n">
        <x:v>1</x:v>
      </x:c>
      <x:c r="I1057" s="14" t="n">
        <x:v>0</x:v>
      </x:c>
      <x:c r="J1057" s="18" t="n">
        <x:v>25984</x:v>
      </x:c>
      <x:c r="K1057" s="19" t="n">
        <x:v>46119.51511901621</x:v>
      </x:c>
      <x:c r="L1057" s="19" t="n">
        <x:v>46142</x:v>
      </x:c>
      <x:c r="M1057"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x:v>
      </x:c>
      <x:c r="N1057" s="15" t="str">
        <x:v>https://prozorro.gov.ua/tender/UA-2026-04-07-010505-a</x:v>
      </x:c>
    </x:row>
    <x:row r="1058">
      <x:c r="A1058" s="14" t="n">
        <x:v>1054</x:v>
      </x:c>
      <x:c r="B1058" s="14" t="str">
        <x:v>ЄГОРОВА СВІТЛАНА МИХАЙЛІВНА</x:v>
      </x:c>
      <x:c r="C1058" s="14" t="str">
        <x:v>2666820800</x:v>
      </x:c>
      <x:c r="D1058" s="14" t="str">
        <x:v>Внутрішні сантехнічні системи</x:v>
      </x:c>
      <x:c r="E1058" s="14" t="str">
        <x:v>Pilot now</x:v>
      </x:c>
      <x:c r="F1058" s="14" t="str">
        <x:v>I3</x:v>
      </x:c>
      <x:c r="G1058" s="14" t="n">
        <x:v>38</x:v>
      </x:c>
      <x:c r="H1058" s="14" t="n">
        <x:v>1</x:v>
      </x:c>
      <x:c r="I1058" s="14" t="n">
        <x:v>0</x:v>
      </x:c>
      <x:c r="J1058" s="18" t="n">
        <x:v>14518.78</x:v>
      </x:c>
      <x:c r="K1058" s="19" t="n">
        <x:v>46099.52566306713</x:v>
      </x:c>
      <x:c r="L1058" s="19" t="n">
        <x:v>46189</x:v>
      </x:c>
      <x:c r="M1058"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x:v>
      </x:c>
      <x:c r="N1058" s="15" t="str">
        <x:v>https://prozorro.gov.ua/tender/UA-2026-03-18-009833-a</x:v>
      </x:c>
    </x:row>
    <x:row r="1059">
      <x:c r="A1059" s="14" t="n">
        <x:v>1055</x:v>
      </x:c>
      <x:c r="B1059" s="14" t="str">
        <x:v>ІГНАТЮК ВАСИЛИНА ІВАНІВНА</x:v>
      </x:c>
      <x:c r="C1059" s="14" t="str">
        <x:v>2448402807</x:v>
      </x:c>
      <x:c r="D1059" s="14" t="str">
        <x:v>Сонячна енергетика</x:v>
      </x:c>
      <x:c r="E1059" s="14" t="str">
        <x:v>Expansion discovery</x:v>
      </x:c>
      <x:c r="F1059" s="14" t="str">
        <x:v>I3</x:v>
      </x:c>
      <x:c r="G1059" s="14" t="n">
        <x:v>38</x:v>
      </x:c>
      <x:c r="H1059" s="14" t="n">
        <x:v>1</x:v>
      </x:c>
      <x:c r="I1059" s="14" t="n">
        <x:v>0</x:v>
      </x:c>
      <x:c r="J1059" s="18" t="n">
        <x:v>99900</x:v>
      </x:c>
      <x:c r="K1059" s="19" t="n">
        <x:v>46160.528846863424</x:v>
      </x:c>
      <x:c r="L1059" s="19" t="n">
        <x:v>46203</x:v>
      </x:c>
      <x:c r="M1059"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x:v>
      </x:c>
      <x:c r="N1059" s="15" t="str">
        <x:v>https://prozorro.gov.ua/tender/UA-2026-05-18-010340-a</x:v>
      </x:c>
    </x:row>
    <x:row r="1060">
      <x:c r="A1060" s="14" t="n">
        <x:v>1056</x:v>
      </x:c>
      <x:c r="B1060" s="14" t="str">
        <x:v>Ільо Андрій Михайлович</x:v>
      </x:c>
      <x:c r="C1060" s="14" t="str">
        <x:v>2389706199</x:v>
      </x:c>
      <x:c r="D1060" s="14" t="str">
        <x:v>Металоконструкції</x:v>
      </x:c>
      <x:c r="E1060" s="14" t="str">
        <x:v>Expansion discovery</x:v>
      </x:c>
      <x:c r="F1060" s="14" t="str">
        <x:v>I3</x:v>
      </x:c>
      <x:c r="G1060" s="14" t="n">
        <x:v>38</x:v>
      </x:c>
      <x:c r="H1060" s="14" t="n">
        <x:v>1</x:v>
      </x:c>
      <x:c r="I1060" s="14" t="n">
        <x:v>0</x:v>
      </x:c>
      <x:c r="J1060" s="18" t="n">
        <x:v>20787.2</x:v>
      </x:c>
      <x:c r="K1060" s="19" t="n">
        <x:v>46121.35364707176</x:v>
      </x:c>
      <x:c r="L1060" s="19" t="n">
        <x:v>46142</x:v>
      </x:c>
      <x:c r="M1060"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x:v>
      </x:c>
      <x:c r="N1060" s="15" t="str">
        <x:v>https://prozorro.gov.ua/tender/UA-2026-04-09-004163-a</x:v>
      </x:c>
    </x:row>
    <x:row r="1061">
      <x:c r="A1061" s="14" t="n">
        <x:v>1057</x:v>
      </x:c>
      <x:c r="B1061" s="14" t="str">
        <x:v>КІЯНЧУК ІГОР РУСЛАНОВИЧ</x:v>
      </x:c>
      <x:c r="C1061" s="14" t="str">
        <x:v>2462904333</x:v>
      </x:c>
      <x:c r="D1061" s="14" t="str">
        <x:v>Внутрішні сантехнічні системи</x:v>
      </x:c>
      <x:c r="E1061" s="14" t="str">
        <x:v>Pilot now</x:v>
      </x:c>
      <x:c r="F1061" s="14" t="str">
        <x:v>I3</x:v>
      </x:c>
      <x:c r="G1061" s="14" t="n">
        <x:v>38</x:v>
      </x:c>
      <x:c r="H1061" s="14" t="n">
        <x:v>1</x:v>
      </x:c>
      <x:c r="I1061" s="14" t="n">
        <x:v>0</x:v>
      </x:c>
      <x:c r="J1061" s="18" t="n">
        <x:v>58900</x:v>
      </x:c>
      <x:c r="K1061" s="19" t="n">
        <x:v>46066.51768203704</x:v>
      </x:c>
      <x:c r="L1061" s="19" t="n">
        <x:v>46203</x:v>
      </x:c>
      <x:c r="M1061"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x:v>
      </x:c>
      <x:c r="N1061" s="15" t="str">
        <x:v>https://prozorro.gov.ua/tender/UA-2026-02-13-010054-a</x:v>
      </x:c>
    </x:row>
    <x:row r="1062">
      <x:c r="A1062" s="14" t="n">
        <x:v>1058</x:v>
      </x:c>
      <x:c r="B1062" s="14" t="str">
        <x:v>КОЖЕМЯКІНА ХРИСТИНА ВОЛОДИМИРІВНА</x:v>
      </x:c>
      <x:c r="C1062" s="14" t="str">
        <x:v>3247111125</x:v>
      </x:c>
      <x:c r="D1062" s="14" t="str">
        <x:v>HVAC / ОВіК</x:v>
      </x:c>
      <x:c r="E1062" s="14" t="str">
        <x:v>Pilot now</x:v>
      </x:c>
      <x:c r="F1062" s="14" t="str">
        <x:v>I3</x:v>
      </x:c>
      <x:c r="G1062" s="14" t="n">
        <x:v>38</x:v>
      </x:c>
      <x:c r="H1062" s="14" t="n">
        <x:v>1</x:v>
      </x:c>
      <x:c r="I1062" s="14" t="n">
        <x:v>0</x:v>
      </x:c>
      <x:c r="J1062" s="18" t="n">
        <x:v>31000</x:v>
      </x:c>
      <x:c r="K1062" s="19" t="n">
        <x:v>46197.5185555787</x:v>
      </x:c>
      <x:c r="L1062" s="19" t="n">
        <x:v>46203</x:v>
      </x:c>
      <x:c r="M1062" s="15" t="str">
        <x:v>Послуги з монтажу системи вентиляції та системи кондиціонування повітря у КЗ "ЗОШВСМ"ЗОР</x:v>
      </x:c>
      <x:c r="N1062" s="15" t="str">
        <x:v>https://prozorro.gov.ua/tender/UA-2026-06-24-009983-a</x:v>
      </x:c>
    </x:row>
    <x:row r="1063">
      <x:c r="A1063" s="14" t="n">
        <x:v>1059</x:v>
      </x:c>
      <x:c r="B1063" s="14" t="str">
        <x:v>КОРДОНЕЦЬ ВОЛОДИМИР ВОЛОДИМИРОВИЧ</x:v>
      </x:c>
      <x:c r="C1063" s="14" t="str">
        <x:v>2086715432</x:v>
      </x:c>
      <x:c r="D1063" s="14" t="str">
        <x:v>Резервне живлення</x:v>
      </x:c>
      <x:c r="E1063" s="14" t="str">
        <x:v>Pilot now</x:v>
      </x:c>
      <x:c r="F1063" s="14" t="str">
        <x:v>I3</x:v>
      </x:c>
      <x:c r="G1063" s="14" t="n">
        <x:v>38</x:v>
      </x:c>
      <x:c r="H1063" s="14" t="n">
        <x:v>1</x:v>
      </x:c>
      <x:c r="I1063" s="14" t="n">
        <x:v>0</x:v>
      </x:c>
      <x:c r="J1063" s="18" t="n">
        <x:v>39186</x:v>
      </x:c>
      <x:c r="K1063" s="19" t="n">
        <x:v>46136.42277909722</x:v>
      </x:c>
      <x:c r="L1063" s="19" t="n">
        <x:v>46173</x:v>
      </x:c>
      <x:c r="M1063" s="15" t="str">
        <x:v>Послуги з монтажу, підключення та пусконалагоджувальні роботи  дизель генератора</x:v>
      </x:c>
      <x:c r="N1063" s="15" t="str">
        <x:v>https://prozorro.gov.ua/tender/UA-2026-04-24-007122-a</x:v>
      </x:c>
    </x:row>
    <x:row r="1064">
      <x:c r="A1064" s="14" t="n">
        <x:v>1060</x:v>
      </x:c>
      <x:c r="B1064" s="14" t="str">
        <x:v>КП Димерський комбінат комунальних послуг Димерської селищної ради</x:v>
      </x:c>
      <x:c r="C1064" s="14" t="str">
        <x:v>44580079</x:v>
      </x:c>
      <x:c r="D1064" s="14" t="str">
        <x:v>Благоустрій</x:v>
      </x:c>
      <x:c r="E1064" s="14" t="str">
        <x:v>Expansion discovery</x:v>
      </x:c>
      <x:c r="F1064" s="14" t="str">
        <x:v>I3</x:v>
      </x:c>
      <x:c r="G1064" s="14" t="n">
        <x:v>38</x:v>
      </x:c>
      <x:c r="H1064" s="14" t="n">
        <x:v>1</x:v>
      </x:c>
      <x:c r="I1064" s="14" t="n">
        <x:v>0</x:v>
      </x:c>
      <x:c r="J1064" s="18" t="n">
        <x:v>3799991.5</x:v>
      </x:c>
      <x:c r="K1064" s="19" t="n">
        <x:v>45505.277158460645</x:v>
      </x:c>
      <x:c r="L1064" s="19" t="n">
        <x:v>45657.52752314815</x:v>
      </x:c>
      <x:c r="M1064"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x:v>
      </x:c>
      <x:c r="N1064" s="15" t="str">
        <x:v>https://prozorro.gov.ua/tender/UA-2024-07-19-007150-a</x:v>
      </x:c>
    </x:row>
    <x:row r="1065">
      <x:c r="A1065" s="14" t="n">
        <x:v>1061</x:v>
      </x:c>
      <x:c r="B1065" s="14" t="str">
        <x:v>Микитин Володимир Васильович</x:v>
      </x:c>
      <x:c r="C1065" s="14" t="str">
        <x:v>3217413037</x:v>
      </x:c>
      <x:c r="D1065" s="14" t="str">
        <x:v>Безпека / СКУД / CCTV</x:v>
      </x:c>
      <x:c r="E1065" s="14" t="str">
        <x:v>Expansion discovery</x:v>
      </x:c>
      <x:c r="F1065" s="14" t="str">
        <x:v>I3</x:v>
      </x:c>
      <x:c r="G1065" s="14" t="n">
        <x:v>38</x:v>
      </x:c>
      <x:c r="H1065" s="14" t="n">
        <x:v>1</x:v>
      </x:c>
      <x:c r="I1065" s="14" t="n">
        <x:v>0</x:v>
      </x:c>
      <x:c r="J1065" s="18" t="n">
        <x:v>7680</x:v>
      </x:c>
      <x:c r="K1065" s="19" t="n">
        <x:v>46209.55647822917</x:v>
      </x:c>
      <x:c r="L1065" s="19" t="n">
        <x:v>46234</x:v>
      </x:c>
      <x:c r="M1065" s="15" t="str">
        <x:v>Монтаж та налаштування системи відеоспостереження</x:v>
      </x:c>
      <x:c r="N1065" s="15" t="str">
        <x:v>https://prozorro.gov.ua/tender/UA-2026-07-06-009128-a</x:v>
      </x:c>
    </x:row>
    <x:row r="1066">
      <x:c r="A1066" s="14" t="n">
        <x:v>1062</x:v>
      </x:c>
      <x:c r="B1066" s="14" t="str">
        <x:v>ОСАДЧЕНКО ВАЛЕРІЙ ВАСИЛЬОВИЧ</x:v>
      </x:c>
      <x:c r="C1066" s="14" t="str">
        <x:v>2199015537</x:v>
      </x:c>
      <x:c r="D1066" s="14" t="str">
        <x:v>Резервне живлення</x:v>
      </x:c>
      <x:c r="E1066" s="14" t="str">
        <x:v>Expansion discovery</x:v>
      </x:c>
      <x:c r="F1066" s="14" t="str">
        <x:v>I3</x:v>
      </x:c>
      <x:c r="G1066" s="14" t="n">
        <x:v>38</x:v>
      </x:c>
      <x:c r="H1066" s="14" t="n">
        <x:v>1</x:v>
      </x:c>
      <x:c r="I1066" s="14" t="n">
        <x:v>0</x:v>
      </x:c>
      <x:c r="J1066" s="18" t="n">
        <x:v>28280</x:v>
      </x:c>
      <x:c r="K1066" s="19" t="n">
        <x:v>46162.294158969904</x:v>
      </x:c>
      <x:c r="L1066" s="19" t="n">
        <x:v>46173</x:v>
      </x:c>
      <x:c r="M1066" s="15" t="str">
        <x:v>Монтаж, підключення, налаштування та здача в експлуатацію системи безперебійного живлення</x:v>
      </x:c>
      <x:c r="N1066" s="15" t="str">
        <x:v>https://prozorro.gov.ua/tender/UA-2026-05-20-001780-a</x:v>
      </x:c>
    </x:row>
    <x:row r="1067">
      <x:c r="A1067" s="14" t="n">
        <x:v>1063</x:v>
      </x:c>
      <x:c r="B1067" s="14" t="str">
        <x:v>Осауленко Руслан Миколайович</x:v>
      </x:c>
      <x:c r="C1067" s="14" t="str">
        <x:v>3390413093</x:v>
      </x:c>
      <x:c r="D1067" s="14" t="str">
        <x:v>Промисловий холод</x:v>
      </x:c>
      <x:c r="E1067" s="14" t="str">
        <x:v>Expansion discovery</x:v>
      </x:c>
      <x:c r="F1067" s="14" t="str">
        <x:v>I3</x:v>
      </x:c>
      <x:c r="G1067" s="14" t="n">
        <x:v>38</x:v>
      </x:c>
      <x:c r="H1067" s="14" t="n">
        <x:v>1</x:v>
      </x:c>
      <x:c r="I1067" s="14" t="n">
        <x:v>0</x:v>
      </x:c>
      <x:c r="J1067" s="18" t="n">
        <x:v>24000</x:v>
      </x:c>
      <x:c r="K1067" s="19" t="n">
        <x:v>46020.65759539352</x:v>
      </x:c>
      <x:c r="L1067" s="19" t="n">
        <x:v>46021</x:v>
      </x:c>
      <x:c r="M1067" s="15" t="str">
        <x:v>Послуги з демонтажу/монтажу та технічного обслуговування обладнання холодильної камери </x:v>
      </x:c>
      <x:c r="N1067" s="15" t="str">
        <x:v>https://prozorro.gov.ua/tender/UA-2025-12-29-011184-a</x:v>
      </x:c>
    </x:row>
    <x:row r="1068">
      <x:c r="A1068" s="14" t="n">
        <x:v>1064</x:v>
      </x:c>
      <x:c r="B1068" s="14" t="str">
        <x:v>Підприємство з іноземними інвестиціями "БІЛФІНГЕР ТЕБОДІН УКРАЇНА"</x:v>
      </x:c>
      <x:c r="C1068" s="14" t="str">
        <x:v>22926815</x:v>
      </x:c>
      <x:c r="D1068" s="14" t="str">
        <x:v>Насосні станції</x:v>
      </x:c>
      <x:c r="E1068" s="14" t="str">
        <x:v>Expansion discovery</x:v>
      </x:c>
      <x:c r="F1068" s="14" t="str">
        <x:v>I3</x:v>
      </x:c>
      <x:c r="G1068" s="14" t="n">
        <x:v>38</x:v>
      </x:c>
      <x:c r="H1068" s="14" t="n">
        <x:v>1</x:v>
      </x:c>
      <x:c r="I1068" s="14" t="n">
        <x:v>0</x:v>
      </x:c>
      <x:c r="J1068" s="18" t="n">
        <x:v>1779000</x:v>
      </x:c>
      <x:c r="K1068" s="19" t="n">
        <x:v>45806.52990769676</x:v>
      </x:c>
      <x:c r="L1068" s="19" t="n">
        <x:v>45838.460011574076</x:v>
      </x:c>
      <x:c r="M1068" s="15" t="str">
        <x:v>Виконання додаткових проектних робіт по об"єкту: "Будівництво каналізаційної насосної станції на території  існуючої каналізаційної насосної станції № 3, розташованої  по вул. Мстиславська, 100а в м. Чернігові"</x:v>
      </x:c>
      <x:c r="N1068" s="15" t="str">
        <x:v>https://prozorro.gov.ua/tender/UA-2025-05-26-007524-a</x:v>
      </x:c>
    </x:row>
    <x:row r="1069">
      <x:c r="A1069" s="14" t="n">
        <x:v>1065</x:v>
      </x:c>
      <x:c r="B1069" s="14" t="str">
        <x:v>ПЛАВАЙКО ВОЛОДИМИР ВАСИЛЬОВИЧ</x:v>
      </x:c>
      <x:c r="C1069" s="14" t="str">
        <x:v>3288300536</x:v>
      </x:c>
      <x:c r="D1069" s="14" t="str">
        <x:v>Блискавкозахист / заземлення</x:v>
      </x:c>
      <x:c r="E1069" s="14" t="str">
        <x:v>Pilot now</x:v>
      </x:c>
      <x:c r="F1069" s="14" t="str">
        <x:v>I3</x:v>
      </x:c>
      <x:c r="G1069" s="14" t="n">
        <x:v>38</x:v>
      </x:c>
      <x:c r="H1069" s="14" t="n">
        <x:v>1</x:v>
      </x:c>
      <x:c r="I1069" s="14" t="n">
        <x:v>0</x:v>
      </x:c>
      <x:c r="J1069" s="18" t="n">
        <x:v>99944</x:v>
      </x:c>
      <x:c r="K1069" s="19" t="n">
        <x:v>46020.441089976855</x:v>
      </x:c>
      <x:c r="L1069" s="19" t="n">
        <x:v>46022</x:v>
      </x:c>
      <x:c r="M1069" s="15" t="str">
        <x:v>Електромонтажні роботи. Монтаж системи зовнішнього блискавкозахисту в будівлях літера "В" та літера "Л"</x:v>
      </x:c>
      <x:c r="N1069" s="15" t="str">
        <x:v>https://prozorro.gov.ua/tender/UA-2025-12-29-004757-a</x:v>
      </x:c>
    </x:row>
    <x:row r="1070">
      <x:c r="A1070" s="14" t="n">
        <x:v>1066</x:v>
      </x:c>
      <x:c r="B1070" s="14" t="str">
        <x:v>ПП "РОУДІЗ"</x:v>
      </x:c>
      <x:c r="C1070" s="14" t="str">
        <x:v>31964715</x:v>
      </x:c>
      <x:c r="D1070" s="14" t="str">
        <x:v>Залізнична інфраструктура</x:v>
      </x:c>
      <x:c r="E1070" s="14" t="str">
        <x:v>Expansion discovery</x:v>
      </x:c>
      <x:c r="F1070" s="14" t="str">
        <x:v>I3</x:v>
      </x:c>
      <x:c r="G1070" s="14" t="n">
        <x:v>38</x:v>
      </x:c>
      <x:c r="H1070" s="14" t="n">
        <x:v>1</x:v>
      </x:c>
      <x:c r="I1070" s="14" t="n">
        <x:v>0</x:v>
      </x:c>
      <x:c r="J1070" s="18" t="n">
        <x:v>1543832.34</x:v>
      </x:c>
      <x:c r="K1070" s="19" t="n">
        <x:v>45936.57764005787</x:v>
      </x:c>
      <x:c r="L1070" s="19" t="n">
        <x:v>45976</x:v>
      </x:c>
      <x:c r="M1070" s="15" t="str">
        <x:v>Послуги з поточного ремонту під’їзду з центральної дороги до реабілітаційного комплексу «Агапе» вздовж залізничної колії в с. Боратин Луцького району Волинської області (45233142-6) (код за ДК 021:2015: 45230000-8 - Будівництво трубопроводів, ліній зв’язку та електропередач, шосе, доріг, аеродромів і залізничних доріг; вирівнювання поверхонь)</x:v>
      </x:c>
      <x:c r="N1070" s="15" t="str">
        <x:v>https://prozorro.gov.ua/tender/UA-2025-09-22-011675-a</x:v>
      </x:c>
    </x:row>
    <x:row r="1071">
      <x:c r="A1071" s="14" t="n">
        <x:v>1067</x:v>
      </x:c>
      <x:c r="B1071" s="14" t="str">
        <x:v>ПРИВАТНЕ АКЦІОНЕРНЕ ТОВАРИСТВО "РЕМОНТНО-БУДІВЕЛЬНЕ УПРАВЛІННЯ - 3"</x:v>
      </x:c>
      <x:c r="C1071" s="14" t="str">
        <x:v>05387618</x:v>
      </x:c>
      <x:c r="D1071" s="14" t="str">
        <x:v>Внутрішні сантехнічні системи</x:v>
      </x:c>
      <x:c r="E1071" s="14" t="str">
        <x:v>Pilot now</x:v>
      </x:c>
      <x:c r="F1071" s="14" t="str">
        <x:v>I3</x:v>
      </x:c>
      <x:c r="G1071" s="14" t="n">
        <x:v>38</x:v>
      </x:c>
      <x:c r="H1071" s="14" t="n">
        <x:v>1</x:v>
      </x:c>
      <x:c r="I1071" s="14" t="n">
        <x:v>0</x:v>
      </x:c>
      <x:c r="J1071" s="18" t="n">
        <x:v>93115.91</x:v>
      </x:c>
      <x:c r="K1071" s="19" t="n">
        <x:v>46076.45720111111</x:v>
      </x:c>
      <x:c r="L1071" s="19" t="n">
        <x:v>46076</x:v>
      </x:c>
      <x:c r="M1071"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x:v>
      </x:c>
      <x:c r="N1071" s="15" t="str">
        <x:v>https://prozorro.gov.ua/tender/UA-2026-02-23-006832-a</x:v>
      </x:c>
    </x:row>
    <x:row r="1072">
      <x:c r="A1072" s="14" t="n">
        <x:v>1068</x:v>
      </x:c>
      <x:c r="B1072" s="14" t="str">
        <x:v>ПРИВАТНЕ ПІДПРИЄМСТВО "ВК НАФТОГАЗПРОМБУД"</x:v>
      </x:c>
      <x:c r="C1072" s="14" t="str">
        <x:v>33661328</x:v>
      </x:c>
      <x:c r="D1072" s="14" t="str">
        <x:v>Насосні станції</x:v>
      </x:c>
      <x:c r="E1072" s="14" t="str">
        <x:v>Expansion discovery</x:v>
      </x:c>
      <x:c r="F1072" s="14" t="str">
        <x:v>I3</x:v>
      </x:c>
      <x:c r="G1072" s="14" t="n">
        <x:v>38</x:v>
      </x:c>
      <x:c r="H1072" s="14" t="n">
        <x:v>1</x:v>
      </x:c>
      <x:c r="I1072" s="14" t="n">
        <x:v>0</x:v>
      </x:c>
      <x:c r="J1072" s="18" t="n">
        <x:v>1071857.01</x:v>
      </x:c>
      <x:c r="K1072" s="19" t="n">
        <x:v>45880.62270693287</x:v>
      </x:c>
      <x:c r="L1072" s="19" t="n">
        <x:v>45961</x:v>
      </x:c>
      <x:c r="M1072" s="15" t="str">
        <x:v>Нове будівництво мереж 10-0,4 кВ для електропостачання каналізаційної насосної станції по вул. Балукова, в с.Крюківщина, Бучанського району, Київської області</x:v>
      </x:c>
      <x:c r="N1072" s="15" t="str">
        <x:v>https://prozorro.gov.ua/tender/UA-2025-08-11-011365-a</x:v>
      </x:c>
    </x:row>
    <x:row r="1073">
      <x:c r="A1073" s="14" t="n">
        <x:v>1069</x:v>
      </x:c>
      <x:c r="B1073" s="14" t="str">
        <x:v>ПРИВАТНЕ ПІДПРИЄМСТВО "ДІКОН-БУД"</x:v>
      </x:c>
      <x:c r="C1073" s="14" t="str">
        <x:v>39740614</x:v>
      </x:c>
      <x:c r="D1073" s="14" t="str">
        <x:v>Ремонт і підсилення бетону</x:v>
      </x:c>
      <x:c r="E1073" s="14" t="str">
        <x:v>Expansion discovery</x:v>
      </x:c>
      <x:c r="F1073" s="14" t="str">
        <x:v>I3</x:v>
      </x:c>
      <x:c r="G1073" s="14" t="n">
        <x:v>38</x:v>
      </x:c>
      <x:c r="H1073" s="14" t="n">
        <x:v>1</x:v>
      </x:c>
      <x:c r="I1073" s="14" t="n">
        <x:v>0</x:v>
      </x:c>
      <x:c r="J1073" s="18" t="n">
        <x:v>1385146</x:v>
      </x:c>
      <x:c r="K1073" s="19" t="n">
        <x:v>45947.566821388886</x:v>
      </x:c>
      <x:c r="L1073" s="19" t="n">
        <x:v>46006</x:v>
      </x:c>
      <x:c r="M1073" s="15" t="str">
        <x:v>ДК 021:2015-45450000-6 Інші завершальні будівельні роботи (Капітальний ремонт з усунення аварії покрівлі з підсиленням несучих конструкцій гуртожитку №5, кафедри хірургії та акушерства (літер С5-2) Полтавського державного аграрного університету по вул. Сковороди 1/3 в м. Полтава. Коригування)</x:v>
      </x:c>
      <x:c r="N1073" s="15" t="str">
        <x:v>https://prozorro.gov.ua/tender/UA-2025-10-17-013725-a</x:v>
      </x:c>
    </x:row>
    <x:row r="1074">
      <x:c r="A1074" s="14" t="n">
        <x:v>1070</x:v>
      </x:c>
      <x:c r="B1074" s="14" t="str">
        <x:v>ПРИВАТНЕ ПІДПРИЄМСТВО "СОКОЛ-5000"</x:v>
      </x:c>
      <x:c r="C1074" s="14" t="str">
        <x:v>33684350</x:v>
      </x:c>
      <x:c r="D1074" s="14" t="str">
        <x:v>Внутрішні сантехнічні системи</x:v>
      </x:c>
      <x:c r="E1074" s="14" t="str">
        <x:v>Pilot now</x:v>
      </x:c>
      <x:c r="F1074" s="14" t="str">
        <x:v>I3</x:v>
      </x:c>
      <x:c r="G1074" s="14" t="n">
        <x:v>38</x:v>
      </x:c>
      <x:c r="H1074" s="14" t="n">
        <x:v>1</x:v>
      </x:c>
      <x:c r="I1074" s="14" t="n">
        <x:v>0</x:v>
      </x:c>
      <x:c r="J1074" s="18" t="n">
        <x:v>97042.37</x:v>
      </x:c>
      <x:c r="K1074" s="19" t="n">
        <x:v>46104.64789821759</x:v>
      </x:c>
      <x:c r="L1074" s="19" t="n">
        <x:v>46122</x:v>
      </x:c>
      <x:c r="M1074"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x:v>
      </x:c>
      <x:c r="N1074" s="15" t="str">
        <x:v>https://prozorro.gov.ua/tender/UA-2026-03-23-014469-a</x:v>
      </x:c>
    </x:row>
    <x:row r="1075">
      <x:c r="A1075" s="14" t="n">
        <x:v>1071</x:v>
      </x:c>
      <x:c r="B1075" s="14" t="str">
        <x:v>РАДЗИВІЛ ОЛЕКСАНДР АРКАДІЙОВИЧ</x:v>
      </x:c>
      <x:c r="C1075" s="14" t="str">
        <x:v>3023319734</x:v>
      </x:c>
      <x:c r="D1075" s="14" t="str">
        <x:v>Безпека / СКУД / CCTV</x:v>
      </x:c>
      <x:c r="E1075" s="14" t="str">
        <x:v>Expansion discovery</x:v>
      </x:c>
      <x:c r="F1075" s="14" t="str">
        <x:v>I3</x:v>
      </x:c>
      <x:c r="G1075" s="14" t="n">
        <x:v>38</x:v>
      </x:c>
      <x:c r="H1075" s="14" t="n">
        <x:v>1</x:v>
      </x:c>
      <x:c r="I1075" s="14" t="n">
        <x:v>0</x:v>
      </x:c>
      <x:c r="J1075" s="18" t="n">
        <x:v>99920</x:v>
      </x:c>
      <x:c r="K1075" s="19" t="n">
        <x:v>46198.47282954861</x:v>
      </x:c>
      <x:c r="L1075" s="19" t="n">
        <x:v>46223</x:v>
      </x:c>
      <x:c r="M1075" s="15" t="str">
        <x:v>Послуги монтажу та налаштування системи  відеоспостереження</x:v>
      </x:c>
      <x:c r="N1075" s="15" t="str">
        <x:v>https://prozorro.gov.ua/tender/UA-2026-06-25-007871-a</x:v>
      </x:c>
    </x:row>
    <x:row r="1076">
      <x:c r="A1076" s="14" t="n">
        <x:v>1072</x:v>
      </x:c>
      <x:c r="B1076" s="14" t="str">
        <x:v>ТИХОВИЧ ВОЛОДИМИР ЛЕОНІДОВИЧ</x:v>
      </x:c>
      <x:c r="C1076" s="14" t="str">
        <x:v>3164824039</x:v>
      </x:c>
      <x:c r="D1076" s="14" t="str">
        <x:v>Стиснене повітря / компресорні</x:v>
      </x:c>
      <x:c r="E1076" s="14" t="str">
        <x:v>Expansion discovery</x:v>
      </x:c>
      <x:c r="F1076" s="14" t="str">
        <x:v>I3</x:v>
      </x:c>
      <x:c r="G1076" s="14" t="n">
        <x:v>38</x:v>
      </x:c>
      <x:c r="H1076" s="14" t="n">
        <x:v>1</x:v>
      </x:c>
      <x:c r="I1076" s="14" t="n">
        <x:v>0</x:v>
      </x:c>
      <x:c r="J1076" s="18" t="n">
        <x:v>74230</x:v>
      </x:c>
      <x:c r="K1076" s="19" t="n">
        <x:v>46133.55648491898</x:v>
      </x:c>
      <x:c r="L1076" s="19" t="n">
        <x:v>46163</x:v>
      </x:c>
      <x:c r="M1076"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x:v>
      </x:c>
      <x:c r="N1076" s="15" t="str">
        <x:v>https://prozorro.gov.ua/tender/UA-2026-04-21-011047-a</x:v>
      </x:c>
    </x:row>
    <x:row r="1077">
      <x:c r="A1077" s="14" t="n">
        <x:v>1073</x:v>
      </x:c>
      <x:c r="B1077" s="14" t="str">
        <x:v>ТОВ "АГРОРЕМСЕРВІСПРИЛАД-М"</x:v>
      </x:c>
      <x:c r="C1077" s="14" t="str">
        <x:v>36324739</x:v>
      </x:c>
      <x:c r="D1077" s="14" t="str">
        <x:v>Металоконструкції</x:v>
      </x:c>
      <x:c r="E1077" s="14" t="str">
        <x:v>Expansion discovery</x:v>
      </x:c>
      <x:c r="F1077" s="14" t="str">
        <x:v>I3</x:v>
      </x:c>
      <x:c r="G1077" s="14" t="n">
        <x:v>38</x:v>
      </x:c>
      <x:c r="H1077" s="14" t="n">
        <x:v>1</x:v>
      </x:c>
      <x:c r="I1077" s="14" t="n">
        <x:v>0</x:v>
      </x:c>
      <x:c r="J1077" s="18" t="n">
        <x:v>542922</x:v>
      </x:c>
      <x:c r="K1077" s="19" t="n">
        <x:v>45832.26776739583</x:v>
      </x:c>
      <x:c r="L1077" s="19" t="n">
        <x:v>45868</x:v>
      </x:c>
      <x:c r="M1077" s="15" t="str">
        <x:v>Послуги з монтажу металоконструкцій та механізмів для пункту зливу-наливу нафтопродуктів спеціального призначення</x:v>
      </x:c>
      <x:c r="N1077" s="15" t="str">
        <x:v>https://prozorro.gov.ua/tender/UA-2025-06-16-011398-a</x:v>
      </x:c>
    </x:row>
    <x:row r="1078">
      <x:c r="A1078" s="14" t="n">
        <x:v>1074</x:v>
      </x:c>
      <x:c r="B1078" s="14" t="str">
        <x:v>ТОВ "ЕНЕРГО ЮГ АЛЬЯНС"</x:v>
      </x:c>
      <x:c r="C1078" s="14" t="str">
        <x:v>43643441</x:v>
      </x:c>
      <x:c r="D1078" s="14" t="str">
        <x:v>Резервне живлення</x:v>
      </x:c>
      <x:c r="E1078" s="14" t="str">
        <x:v>Pilot now</x:v>
      </x:c>
      <x:c r="F1078" s="14" t="str">
        <x:v>I3</x:v>
      </x:c>
      <x:c r="G1078" s="14" t="n">
        <x:v>38</x:v>
      </x:c>
      <x:c r="H1078" s="14" t="n">
        <x:v>1</x:v>
      </x:c>
      <x:c r="I1078" s="14" t="n">
        <x:v>0</x:v>
      </x:c>
      <x:c r="J1078" s="18" t="n">
        <x:v>1515533.65</x:v>
      </x:c>
      <x:c r="K1078" s="19" t="n">
        <x:v>45930.47648636574</x:v>
      </x:c>
      <x:c r="L1078" s="19" t="n">
        <x:v>45991</x:v>
      </x:c>
      <x:c r="M1078" s="15" t="str">
        <x:v>«ДК 021:2015 код 45310000-3 Електромонтажні роботи «Послуги з підключення джерел резервного живлення (монтаж та підключення дизель-генератора) в закладах освіти  Солом'янського району міста Києва»</x:v>
      </x:c>
      <x:c r="N1078" s="15" t="str">
        <x:v>https://prozorro.gov.ua/tender/UA-2025-09-17-011142-a</x:v>
      </x:c>
    </x:row>
    <x:row r="1079">
      <x:c r="A1079" s="14" t="n">
        <x:v>1075</x:v>
      </x:c>
      <x:c r="B1079" s="14" t="str">
        <x:v>ТОВ "ІТУМ"</x:v>
      </x:c>
      <x:c r="C1079" s="14" t="str">
        <x:v>38808304</x:v>
      </x:c>
      <x:c r="D1079" s="14" t="str">
        <x:v>Покрівлі та гідроізоляція</x:v>
      </x:c>
      <x:c r="E1079" s="14" t="str">
        <x:v>Expansion discovery</x:v>
      </x:c>
      <x:c r="F1079" s="14" t="str">
        <x:v>I3</x:v>
      </x:c>
      <x:c r="G1079" s="14" t="n">
        <x:v>38</x:v>
      </x:c>
      <x:c r="H1079" s="14" t="n">
        <x:v>1</x:v>
      </x:c>
      <x:c r="I1079" s="14" t="n">
        <x:v>0</x:v>
      </x:c>
      <x:c r="J1079" s="18" t="n">
        <x:v>21090.12</x:v>
      </x:c>
      <x:c r="K1079" s="19" t="n">
        <x:v>46127.370119907406</x:v>
      </x:c>
      <x:c r="L1079" s="19" t="n">
        <x:v>46128.36986111111</x:v>
      </x:c>
      <x:c r="M1079"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x:v>
      </x:c>
      <x:c r="N1079" s="15" t="str">
        <x:v>https://prozorro.gov.ua/tender/UA-2026-04-15-004451-a</x:v>
      </x:c>
    </x:row>
    <x:row r="1080">
      <x:c r="A1080" s="14" t="n">
        <x:v>1076</x:v>
      </x:c>
      <x:c r="B1080" s="14" t="str">
        <x:v>ТОВ "КЛІМАТ СТАЙЛ"</x:v>
      </x:c>
      <x:c r="C1080" s="14" t="str">
        <x:v>40974383</x:v>
      </x:c>
      <x:c r="D1080" s="14" t="str">
        <x:v>Промисловий холод</x:v>
      </x:c>
      <x:c r="E1080" s="14" t="str">
        <x:v>Expansion discovery</x:v>
      </x:c>
      <x:c r="F1080" s="14" t="str">
        <x:v>I3</x:v>
      </x:c>
      <x:c r="G1080" s="14" t="n">
        <x:v>38</x:v>
      </x:c>
      <x:c r="H1080" s="14" t="n">
        <x:v>1</x:v>
      </x:c>
      <x:c r="I1080" s="14" t="n">
        <x:v>0</x:v>
      </x:c>
      <x:c r="J1080" s="18" t="n">
        <x:v>1873290</x:v>
      </x:c>
      <x:c r="K1080" s="19" t="n">
        <x:v>45847.58603864583</x:v>
      </x:c>
      <x:c r="L1080" s="19" t="n">
        <x:v>45879</x:v>
      </x:c>
      <x:c r="M1080" s="15" t="str">
        <x:v>Кондиціонери з монтажем (ДК 021:2015: 42510000-4 Теплообмінники, кондиціонери повітря, холодильне обладнання та фільтрувальні пристрої ДК 021:2015: ДК 021:2015: 42512200-0- Настінні кондиціонери повітря)</x:v>
      </x:c>
      <x:c r="N1080" s="15" t="str">
        <x:v>https://prozorro.gov.ua/tender/UA-2025-06-27-008096-a</x:v>
      </x:c>
    </x:row>
    <x:row r="1081">
      <x:c r="A1081" s="14" t="n">
        <x:v>1077</x:v>
      </x:c>
      <x:c r="B1081" s="14" t="str">
        <x:v>ТОВ "КЛІМАТ-ХАУЗ"</x:v>
      </x:c>
      <x:c r="C1081" s="14" t="str">
        <x:v>45766174</x:v>
      </x:c>
      <x:c r="D1081" s="14" t="str">
        <x:v>Промисловий холод</x:v>
      </x:c>
      <x:c r="E1081" s="14" t="str">
        <x:v>Expansion discovery</x:v>
      </x:c>
      <x:c r="F1081" s="14" t="str">
        <x:v>I3</x:v>
      </x:c>
      <x:c r="G1081" s="14" t="n">
        <x:v>38</x:v>
      </x:c>
      <x:c r="H1081" s="14" t="n">
        <x:v>1</x:v>
      </x:c>
      <x:c r="I1081" s="14" t="n">
        <x:v>0</x:v>
      </x:c>
      <x:c r="J1081" s="18" t="n">
        <x:v>694106.64</x:v>
      </x:c>
      <x:c r="K1081" s="19" t="n">
        <x:v>45957.37564293981</x:v>
      </x:c>
      <x:c r="L1081" s="19" t="n">
        <x:v>46022</x:v>
      </x:c>
      <x:c r="M1081" s="15" t="str">
        <x:v>Кондиціонери з монтажем та пусконалагодженням за ДК 021:2015 - 42510000-4 Теплообмінники, кондиціонери повітря, холодильне обладнання та фільтрувальні пристрої</x:v>
      </x:c>
      <x:c r="N1081" s="15" t="str">
        <x:v>https://prozorro.gov.ua/tender/UA-2025-10-14-012688-a</x:v>
      </x:c>
    </x:row>
    <x:row r="1082">
      <x:c r="A1082" s="14" t="n">
        <x:v>1078</x:v>
      </x:c>
      <x:c r="B1082" s="14" t="str">
        <x:v>ТОВ "ЛІФТОВИК-ДНІПРО"</x:v>
      </x:c>
      <x:c r="C1082" s="14" t="str">
        <x:v>41698834</x:v>
      </x:c>
      <x:c r="D1082" s="14" t="str">
        <x:v>Ліфти та підйомники</x:v>
      </x:c>
      <x:c r="E1082" s="14" t="str">
        <x:v>Expansion discovery</x:v>
      </x:c>
      <x:c r="F1082" s="14" t="str">
        <x:v>I3</x:v>
      </x:c>
      <x:c r="G1082" s="14" t="n">
        <x:v>38</x:v>
      </x:c>
      <x:c r="H1082" s="14" t="n">
        <x:v>1</x:v>
      </x:c>
      <x:c r="I1082" s="14" t="n">
        <x:v>0</x:v>
      </x:c>
      <x:c r="J1082" s="18" t="n">
        <x:v>3378057.14</x:v>
      </x:c>
      <x:c r="K1082" s="19" t="n">
        <x:v>45524.428119212964</x:v>
      </x:c>
      <x:c r="L1082" s="19" t="n">
        <x:v>45626</x:v>
      </x:c>
      <x:c r="M1082"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x:v>
      </x:c>
      <x:c r="N1082" s="15" t="str">
        <x:v>https://prozorro.gov.ua/tender/UA-2024-08-05-001985-a</x:v>
      </x:c>
    </x:row>
    <x:row r="1083">
      <x:c r="A1083" s="14" t="n">
        <x:v>1079</x:v>
      </x:c>
      <x:c r="B1083" s="14" t="str">
        <x:v>ТОВ "МД ГРУП КОМПАНІ"</x:v>
      </x:c>
      <x:c r="C1083" s="14" t="str">
        <x:v>44036790</x:v>
      </x:c>
      <x:c r="D1083" s="14" t="str">
        <x:v>Ремонт і підсилення бетону</x:v>
      </x:c>
      <x:c r="E1083" s="14" t="str">
        <x:v>Expansion discovery</x:v>
      </x:c>
      <x:c r="F1083" s="14" t="str">
        <x:v>I3</x:v>
      </x:c>
      <x:c r="G1083" s="14" t="n">
        <x:v>38</x:v>
      </x:c>
      <x:c r="H1083" s="14" t="n">
        <x:v>1</x:v>
      </x:c>
      <x:c r="I1083" s="14" t="n">
        <x:v>0</x:v>
      </x:c>
      <x:c r="J1083" s="18" t="n">
        <x:v>2930684.94</x:v>
      </x:c>
      <x:c r="K1083" s="19" t="n">
        <x:v>45358.53226115741</x:v>
      </x:c>
      <x:c r="L1083" s="19" t="n">
        <x:v>45657</x:v>
      </x:c>
      <x:c r="M1083" s="15" t="str">
        <x:v>Послуги з поточного ремонту модульних залізобетонних конструкцій та захисних споруд</x:v>
      </x:c>
      <x:c r="N1083" s="15" t="str">
        <x:v>https://prozorro.gov.ua/tender/UA-2024-02-26-012284-a</x:v>
      </x:c>
    </x:row>
    <x:row r="1084">
      <x:c r="A1084" s="14" t="n">
        <x:v>1080</x:v>
      </x:c>
      <x:c r="B1084" s="14" t="str">
        <x:v>ТОВ "СПЕЦКОМПЛЕКТ ДНІПРО"</x:v>
      </x:c>
      <x:c r="C1084" s="14" t="str">
        <x:v>45261753</x:v>
      </x:c>
      <x:c r="D1084" s="14" t="str">
        <x:v>Ремонт і підсилення бетону</x:v>
      </x:c>
      <x:c r="E1084" s="14" t="str">
        <x:v>Expansion discovery</x:v>
      </x:c>
      <x:c r="F1084" s="14" t="str">
        <x:v>I3</x:v>
      </x:c>
      <x:c r="G1084" s="14" t="n">
        <x:v>38</x:v>
      </x:c>
      <x:c r="H1084" s="14" t="n">
        <x:v>1</x:v>
      </x:c>
      <x:c r="I1084" s="14" t="n">
        <x:v>0</x:v>
      </x:c>
      <x:c r="J1084" s="18" t="n">
        <x:v>1902026.39</x:v>
      </x:c>
      <x:c r="K1084" s="19" t="n">
        <x:v>45772.60292600694</x:v>
      </x:c>
      <x:c r="L1084" s="19" t="n">
        <x:v>46022</x:v>
      </x:c>
      <x:c r="M1084" s="15" t="str">
        <x:v>Послуги з поточного ремонту модульних залізобетонних конструкцій та захисних споруд</x:v>
      </x:c>
      <x:c r="N1084" s="15" t="str">
        <x:v>https://prozorro.gov.ua/tender/UA-2025-04-17-011482-a</x:v>
      </x:c>
    </x:row>
    <x:row r="1085">
      <x:c r="A1085" s="14" t="n">
        <x:v>1081</x:v>
      </x:c>
      <x:c r="B1085" s="14" t="str">
        <x:v>ТОВ "ТЕП-КЕПІТАЛ."</x:v>
      </x:c>
      <x:c r="C1085" s="14" t="str">
        <x:v>44668048</x:v>
      </x:c>
      <x:c r="D1085" s="14" t="str">
        <x:v>Ремонт і підсилення бетону</x:v>
      </x:c>
      <x:c r="E1085" s="14" t="str">
        <x:v>Expansion discovery</x:v>
      </x:c>
      <x:c r="F1085" s="14" t="str">
        <x:v>I3</x:v>
      </x:c>
      <x:c r="G1085" s="14" t="n">
        <x:v>38</x:v>
      </x:c>
      <x:c r="H1085" s="14" t="n">
        <x:v>1</x:v>
      </x:c>
      <x:c r="I1085" s="14" t="n">
        <x:v>0</x:v>
      </x:c>
      <x:c r="J1085" s="18" t="n">
        <x:v>4361056.91</x:v>
      </x:c>
      <x:c r="K1085" s="19" t="n">
        <x:v>45456.40000444445</x:v>
      </x:c>
      <x:c r="L1085" s="19" t="n">
        <x:v>45611</x:v>
      </x:c>
      <x:c r="M1085" s="15" t="str">
        <x:v>капітальний ремонт ділянки внутрішньо-майданчикової мережі дощової каналізації з підсиленням будівельних конструкцій прилеглої будівлі навчального корпусу (літ. Б)</x:v>
      </x:c>
      <x:c r="N1085" s="15" t="str">
        <x:v>https://prozorro.gov.ua/tender/UA-2024-05-24-010838-a</x:v>
      </x:c>
    </x:row>
    <x:row r="1086">
      <x:c r="A1086" s="14" t="n">
        <x:v>1082</x:v>
      </x:c>
      <x:c r="B1086" s="14" t="str">
        <x:v>ТОВ "УА-СИСТЕМИ"</x:v>
      </x:c>
      <x:c r="C1086" s="14" t="str">
        <x:v>41210946</x:v>
      </x:c>
      <x:c r="D1086" s="14" t="str">
        <x:v>Стиснене повітря / компресорні</x:v>
      </x:c>
      <x:c r="E1086" s="14" t="str">
        <x:v>Expansion discovery</x:v>
      </x:c>
      <x:c r="F1086" s="14" t="str">
        <x:v>I3</x:v>
      </x:c>
      <x:c r="G1086" s="14" t="n">
        <x:v>38</x:v>
      </x:c>
      <x:c r="H1086" s="14" t="n">
        <x:v>1</x:v>
      </x:c>
      <x:c r="I1086" s="14" t="n">
        <x:v>0</x:v>
      </x:c>
      <x:c r="J1086" s="18" t="n">
        <x:v>4550039.98</x:v>
      </x:c>
      <x:c r="K1086" s="19" t="n">
        <x:v>45468.360210555555</x:v>
      </x:c>
      <x:c r="L1086" s="19" t="n">
        <x:v>45709</x:v>
      </x:c>
      <x:c r="M1086" s="15" t="str">
        <x:v>Реконструкція будівель і приміщень компресорної станції "Лубни" магістрального газопроводу "Шебелинка-Диканька-Київ" в Лубенському районі Полтавської області шляхом облаштування автоматичною пожежною сигналізацією (Будівельні роботи та поточний ремонт)</x:v>
      </x:c>
      <x:c r="N1086" s="15" t="str">
        <x:v>https://prozorro.gov.ua/tender/UA-2024-06-25-003999-a</x:v>
      </x:c>
    </x:row>
    <x:row r="1087">
      <x:c r="A1087" s="14" t="n">
        <x:v>1083</x:v>
      </x:c>
      <x:c r="B1087" s="14" t="str">
        <x:v>ТОВ АПОГЄЙ</x:v>
      </x:c>
      <x:c r="C1087" s="14" t="str">
        <x:v>34421853</x:v>
      </x:c>
      <x:c r="D1087" s="14" t="str">
        <x:v>Ліфти та підйомники</x:v>
      </x:c>
      <x:c r="E1087" s="14" t="str">
        <x:v>Expansion discovery</x:v>
      </x:c>
      <x:c r="F1087" s="14" t="str">
        <x:v>I3</x:v>
      </x:c>
      <x:c r="G1087" s="14" t="n">
        <x:v>38</x:v>
      </x:c>
      <x:c r="H1087" s="14" t="n">
        <x:v>1</x:v>
      </x:c>
      <x:c r="I1087" s="14" t="n">
        <x:v>0</x:v>
      </x:c>
      <x:c r="J1087" s="18" t="n">
        <x:v>1961973.55</x:v>
      </x:c>
      <x:c r="K1087" s="19" t="n">
        <x:v>45898.31984300926</x:v>
      </x:c>
      <x:c r="L1087" s="19" t="n">
        <x:v>45991</x:v>
      </x:c>
      <x:c r="M1087"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x:v>
      </x:c>
      <x:c r="N1087" s="15" t="str">
        <x:v>https://prozorro.gov.ua/tender/UA-2025-07-30-001492-a</x:v>
      </x:c>
    </x:row>
    <x:row r="1088">
      <x:c r="A1088" s="14" t="n">
        <x:v>1084</x:v>
      </x:c>
      <x:c r="B1088" s="14" t="str">
        <x:v>ТОВ Управління механізованих робіт</x:v>
      </x:c>
      <x:c r="C1088" s="14" t="str">
        <x:v>37630654</x:v>
      </x:c>
      <x:c r="D1088" s="14" t="str">
        <x:v>Антикорозійний захист</x:v>
      </x:c>
      <x:c r="E1088" s="14" t="str">
        <x:v>Expansion discovery</x:v>
      </x:c>
      <x:c r="F1088" s="14" t="str">
        <x:v>I3</x:v>
      </x:c>
      <x:c r="G1088" s="14" t="n">
        <x:v>38</x:v>
      </x:c>
      <x:c r="H1088" s="14" t="n">
        <x:v>1</x:v>
      </x:c>
      <x:c r="I1088" s="14" t="n">
        <x:v>0</x:v>
      </x:c>
      <x:c r="J1088" s="18" t="n">
        <x:v>5866403.77</x:v>
      </x:c>
      <x:c r="K1088" s="19" t="n">
        <x:v>45475.54058141204</x:v>
      </x:c>
      <x:c r="L1088" s="19" t="n">
        <x:v>45651</x:v>
      </x:c>
      <x:c r="M1088" s="15" t="str">
        <x:v>Роботи - код CPV 45260000-7 по ДК 021:2015 Покрівельні роботи та інші спеціалізовані будівельні роботи (Капітальний ремонт технологічних естакад трубопроводів та антикорозійний захист металоконструкцій). РПЗ - 2.28</x:v>
      </x:c>
      <x:c r="N1088" s="15" t="str">
        <x:v>https://prozorro.gov.ua/tender/UA-2024-05-31-000164-a</x:v>
      </x:c>
    </x:row>
    <x:row r="1089">
      <x:c r="A1089" s="14" t="n">
        <x:v>1085</x:v>
      </x:c>
      <x:c r="B1089" s="14" t="str">
        <x:v>ТОВ"ДУЕТ ПАУЕР"</x:v>
      </x:c>
      <x:c r="C1089" s="14" t="str">
        <x:v>37177311</x:v>
      </x:c>
      <x:c r="D1089" s="14" t="str">
        <x:v>Підстанції / силові мережі</x:v>
      </x:c>
      <x:c r="E1089" s="14" t="str">
        <x:v>Pilot now</x:v>
      </x:c>
      <x:c r="F1089" s="14" t="str">
        <x:v>I3</x:v>
      </x:c>
      <x:c r="G1089" s="14" t="n">
        <x:v>38</x:v>
      </x:c>
      <x:c r="H1089" s="14" t="n">
        <x:v>1</x:v>
      </x:c>
      <x:c r="I1089" s="14" t="n">
        <x:v>0</x:v>
      </x:c>
      <x:c r="J1089" s="18" t="n">
        <x:v>1236078.82</x:v>
      </x:c>
      <x:c r="K1089" s="19" t="n">
        <x:v>45905.50987554398</x:v>
      </x:c>
      <x:c r="L1089" s="19" t="n">
        <x:v>46022</x:v>
      </x:c>
      <x:c r="M1089"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1089" s="15" t="str">
        <x:v>https://prozorro.gov.ua/tender/UA-2025-08-13-006609-a</x:v>
      </x:c>
    </x:row>
    <x:row r="1090">
      <x:c r="A1090" s="14" t="n">
        <x:v>1086</x:v>
      </x:c>
      <x:c r="B1090" s="14" t="str">
        <x:v>ТОВАРИСТВО З ОБМЕЖЕНОЮ ВІДПОВІДАЛЬНІСТЮ "АФІНА ПАЛЛАДІУМ"</x:v>
      </x:c>
      <x:c r="C1090" s="14" t="str">
        <x:v>41329917</x:v>
      </x:c>
      <x:c r="D1090" s="14" t="str">
        <x:v>Чисті приміщення</x:v>
      </x:c>
      <x:c r="E1090" s="14" t="str">
        <x:v>Expansion discovery</x:v>
      </x:c>
      <x:c r="F1090" s="14" t="str">
        <x:v>I3</x:v>
      </x:c>
      <x:c r="G1090" s="14" t="n">
        <x:v>38</x:v>
      </x:c>
      <x:c r="H1090" s="14" t="n">
        <x:v>1</x:v>
      </x:c>
      <x:c r="I1090" s="14" t="n">
        <x:v>0</x:v>
      </x:c>
      <x:c r="J1090" s="18" t="n">
        <x:v>3307968.07</x:v>
      </x:c>
      <x:c r="K1090" s="19" t="n">
        <x:v>45386.517492465275</x:v>
      </x:c>
      <x:c r="L1090" s="19" t="n">
        <x:v>45473</x:v>
      </x:c>
      <x:c r="M1090" s="15" t="str">
        <x:v>Реконструкція операційного блоку КНП «Монастирищенська багатопрофільна лікарня» за адресою: вул. Соборна, 1, с. Нове Місто, Уманського району, Черкаської області» Коригування (додаткові роботи)</x:v>
      </x:c>
      <x:c r="N1090" s="15" t="str">
        <x:v>https://prozorro.gov.ua/tender/UA-2024-04-04-009399-a</x:v>
      </x:c>
    </x:row>
    <x:row r="1091">
      <x:c r="A1091" s="14" t="n">
        <x:v>1087</x:v>
      </x:c>
      <x:c r="B1091" s="14" t="str">
        <x:v>ТОВАРИСТВО З ОБМЕЖЕНОЮ ВІДПОВІДАЛЬНІСТЮ "БІ ЛАЙН ГРУП"</x:v>
      </x:c>
      <x:c r="C1091" s="14" t="str">
        <x:v>30704033</x:v>
      </x:c>
      <x:c r="D1091" s="14" t="str">
        <x:v>Водоочищення / очисні споруди</x:v>
      </x:c>
      <x:c r="E1091" s="14" t="str">
        <x:v>Expansion discovery</x:v>
      </x:c>
      <x:c r="F1091" s="14" t="str">
        <x:v>I3</x:v>
      </x:c>
      <x:c r="G1091" s="14" t="n">
        <x:v>38</x:v>
      </x:c>
      <x:c r="H1091" s="14" t="n">
        <x:v>1</x:v>
      </x:c>
      <x:c r="I1091" s="14" t="n">
        <x:v>0</x:v>
      </x:c>
      <x:c r="J1091" s="18" t="n">
        <x:v>1499981.6</x:v>
      </x:c>
      <x:c r="K1091" s="19" t="n">
        <x:v>45954.31693248843</x:v>
      </x:c>
      <x:c r="L1091" s="19" t="n">
        <x:v>46006</x:v>
      </x:c>
      <x:c r="M1091"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x:v>
      </x:c>
      <x:c r="N1091" s="15" t="str">
        <x:v>https://prozorro.gov.ua/tender/UA-2025-10-24-003118-a</x:v>
      </x:c>
    </x:row>
    <x:row r="1092">
      <x:c r="A1092" s="14" t="n">
        <x:v>1088</x:v>
      </x:c>
      <x:c r="B1092" s="14" t="str">
        <x:v>ТОВАРИСТВО З ОБМЕЖЕНОЮ ВІДПОВІДАЛЬНІСТЮ "ГЕОГАЗЦЕНТР"</x:v>
      </x:c>
      <x:c r="C1092" s="14" t="str">
        <x:v>33308672</x:v>
      </x:c>
      <x:c r="D1092" s="14" t="str">
        <x:v>Стиснене повітря / компресорні</x:v>
      </x:c>
      <x:c r="E1092" s="14" t="str">
        <x:v>Expansion discovery</x:v>
      </x:c>
      <x:c r="F1092" s="14" t="str">
        <x:v>I3</x:v>
      </x:c>
      <x:c r="G1092" s="14" t="n">
        <x:v>38</x:v>
      </x:c>
      <x:c r="H1092" s="14" t="n">
        <x:v>1</x:v>
      </x:c>
      <x:c r="I1092" s="14" t="n">
        <x:v>0</x:v>
      </x:c>
      <x:c r="J1092" s="18" t="n">
        <x:v>649728</x:v>
      </x:c>
      <x:c r="K1092" s="19" t="n">
        <x:v>45768.39688545139</x:v>
      </x:c>
      <x:c r="L1092" s="19" t="n">
        <x:v>45961</x:v>
      </x:c>
      <x:c r="M1092" s="15" t="str">
        <x:v>Проєктно-вишукувальні роботи «Реконструкція загальностанційної системи керування головного щита управління-1 та систем автоматичного керування газоперекачувальними агрегатами № 2,7 компресорного цеху №1 дотискувальної компресорної станції «Більче – Волиця» Стрийського виробничого управління підземного зберігання газу» (Будівельні роботи та поточний ремонт)</x:v>
      </x:c>
      <x:c r="N1092" s="15" t="str">
        <x:v>https://prozorro.gov.ua/tender/UA-2025-04-21-003605-a</x:v>
      </x:c>
    </x:row>
    <x:row r="1093">
      <x:c r="A1093" s="14" t="n">
        <x:v>1089</x:v>
      </x:c>
      <x:c r="B1093" s="14" t="str">
        <x:v>ТОВАРИСТВО З ОБМЕЖЕНОЮ ВІДПОВІДАЛЬНІСТЮ "ЕКО-ІНДУСТРІЯ"</x:v>
      </x:c>
      <x:c r="C1093" s="14" t="str">
        <x:v>42802557</x:v>
      </x:c>
      <x:c r="D1093" s="14" t="str">
        <x:v>HVAC / ОВіК</x:v>
      </x:c>
      <x:c r="E1093" s="14" t="str">
        <x:v>Pilot now</x:v>
      </x:c>
      <x:c r="F1093" s="14" t="str">
        <x:v>I3</x:v>
      </x:c>
      <x:c r="G1093" s="14" t="n">
        <x:v>38</x:v>
      </x:c>
      <x:c r="H1093" s="14" t="n">
        <x:v>1</x:v>
      </x:c>
      <x:c r="I1093" s="14" t="n">
        <x:v>0</x:v>
      </x:c>
      <x:c r="J1093" s="18" t="n">
        <x:v>979347.8</x:v>
      </x:c>
      <x:c r="K1093" s="19" t="n">
        <x:v>45932.431723368056</x:v>
      </x:c>
      <x:c r="L1093" s="19" t="n">
        <x:v>45992</x:v>
      </x:c>
      <x:c r="M1093"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x:v>
      </x:c>
      <x:c r="N1093" s="15" t="str">
        <x:v>https://prozorro.gov.ua/tender/UA-2025-09-18-012390-a</x:v>
      </x:c>
    </x:row>
    <x:row r="1094">
      <x:c r="A1094" s="14" t="n">
        <x:v>1090</x:v>
      </x:c>
      <x:c r="B1094" s="14" t="str">
        <x:v>ТОВАРИСТВО З ОБМЕЖЕНОЮ ВІДПОВІДАЛЬНІСТЮ "ЕНЕРГОПРОФ"</x:v>
      </x:c>
      <x:c r="C1094" s="14" t="str">
        <x:v>40953850</x:v>
      </x:c>
      <x:c r="D1094" s="14" t="str">
        <x:v>Промислова електрика / ПНР</x:v>
      </x:c>
      <x:c r="E1094" s="14" t="str">
        <x:v>Pilot now</x:v>
      </x:c>
      <x:c r="F1094" s="14" t="str">
        <x:v>I3</x:v>
      </x:c>
      <x:c r="G1094" s="14" t="n">
        <x:v>38</x:v>
      </x:c>
      <x:c r="H1094" s="14" t="n">
        <x:v>1</x:v>
      </x:c>
      <x:c r="I1094" s="14" t="n">
        <x:v>0</x:v>
      </x:c>
      <x:c r="J1094" s="18" t="n">
        <x:v>29649.96</x:v>
      </x:c>
      <x:c r="K1094" s="19" t="n">
        <x:v>46111.22580422454</x:v>
      </x:c>
      <x:c r="L1094" s="19" t="n">
        <x:v>46118</x:v>
      </x:c>
      <x:c r="M1094" s="15" t="str">
        <x:v>Електромонтажні та пусконалагоджувальні роботи для заміни схеми електропостачання на об’єктах Замовника</x:v>
      </x:c>
      <x:c r="N1094" s="15" t="str">
        <x:v>https://prozorro.gov.ua/tender/UA-2026-03-30-000143-a</x:v>
      </x:c>
    </x:row>
    <x:row r="1095">
      <x:c r="A1095" s="14" t="n">
        <x:v>1091</x:v>
      </x:c>
      <x:c r="B1095" s="14" t="str">
        <x:v>ТОВАРИСТВО З ОБМЕЖЕНОЮ ВІДПОВІДАЛЬНІСТЮ "ЄВРОБУД-2004"</x:v>
      </x:c>
      <x:c r="C1095" s="14" t="str">
        <x:v>32987560</x:v>
      </x:c>
      <x:c r="D1095" s="14" t="str">
        <x:v>ВОЛЗ / телеком</x:v>
      </x:c>
      <x:c r="E1095" s="14" t="str">
        <x:v>Expansion discovery</x:v>
      </x:c>
      <x:c r="F1095" s="14" t="str">
        <x:v>I3</x:v>
      </x:c>
      <x:c r="G1095" s="14" t="n">
        <x:v>38</x:v>
      </x:c>
      <x:c r="H1095" s="14" t="n">
        <x:v>1</x:v>
      </x:c>
      <x:c r="I1095" s="14" t="n">
        <x:v>0</x:v>
      </x:c>
      <x:c r="J1095" s="18" t="n">
        <x:v>98940</x:v>
      </x:c>
      <x:c r="K1095" s="19" t="n">
        <x:v>46132.37418708333</x:v>
      </x:c>
      <x:c r="L1095" s="19" t="n">
        <x:v>46173</x:v>
      </x:c>
      <x:c r="M1095" s="15" t="str">
        <x:v>ДК 021:2015 45230000-8 Будівництво трубопроводів, ліній зв'язку та електропередач, шосе, доріг, аеродромів і залізничних доріг; вирівнювання поверхонь (послуга з підключення до Національної телекомунікаційної мережі волоконно-оптичною лінією зв'язку)</x:v>
      </x:c>
      <x:c r="N1095" s="15" t="str">
        <x:v>https://prozorro.gov.ua/tender/UA-2026-04-20-004584-a</x:v>
      </x:c>
    </x:row>
    <x:row r="1096">
      <x:c r="A1096" s="14" t="n">
        <x:v>1092</x:v>
      </x:c>
      <x:c r="B1096" s="14" t="str">
        <x:v>ТОВАРИСТВО З ОБМЕЖЕНОЮ ВІДПОВІДАЛЬНІСТЮ "ІНВО ЮНІОН"</x:v>
      </x:c>
      <x:c r="C1096" s="14" t="str">
        <x:v>39108124</x:v>
      </x:c>
      <x:c r="D1096" s="14" t="str">
        <x:v>Резервне живлення</x:v>
      </x:c>
      <x:c r="E1096" s="14" t="str">
        <x:v>Pilot now</x:v>
      </x:c>
      <x:c r="F1096" s="14" t="str">
        <x:v>I3</x:v>
      </x:c>
      <x:c r="G1096" s="14" t="n">
        <x:v>38</x:v>
      </x:c>
      <x:c r="H1096" s="14" t="n">
        <x:v>1</x:v>
      </x:c>
      <x:c r="I1096" s="14" t="n">
        <x:v>0</x:v>
      </x:c>
      <x:c r="J1096" s="18" t="n">
        <x:v>98746.8</x:v>
      </x:c>
      <x:c r="K1096" s="19" t="n">
        <x:v>46090.42299730324</x:v>
      </x:c>
      <x:c r="L1096" s="19" t="n">
        <x:v>46096</x:v>
      </x:c>
      <x:c r="M1096" s="15" t="str">
        <x:v>Послуги з монтажу, підключення та пусконалагоджувальні роботи дизель генератора</x:v>
      </x:c>
      <x:c r="N1096" s="15" t="str">
        <x:v>https://prozorro.gov.ua/tender/UA-2026-03-09-005254-a</x:v>
      </x:c>
    </x:row>
    <x:row r="1097">
      <x:c r="A1097" s="14" t="n">
        <x:v>1093</x:v>
      </x:c>
      <x:c r="B1097" s="14" t="str">
        <x:v>ТОВАРИСТВО З ОБМЕЖЕНОЮ ВІДПОВІДАЛЬНІСТЮ "НАУКОВО-ВИРОБНИЧЕ ПІДПРИЄМСТВО "ПК-ЕЛЕКТРИК"</x:v>
      </x:c>
      <x:c r="C1097" s="14" t="str">
        <x:v>39460284</x:v>
      </x:c>
      <x:c r="D1097" s="14" t="str">
        <x:v>Підстанції / силові мережі</x:v>
      </x:c>
      <x:c r="E1097" s="14" t="str">
        <x:v>Pilot now</x:v>
      </x:c>
      <x:c r="F1097" s="14" t="str">
        <x:v>I3</x:v>
      </x:c>
      <x:c r="G1097" s="14" t="n">
        <x:v>38</x:v>
      </x:c>
      <x:c r="H1097" s="14" t="n">
        <x:v>1</x:v>
      </x:c>
      <x:c r="I1097" s="14" t="n">
        <x:v>0</x:v>
      </x:c>
      <x:c r="J1097" s="18" t="n">
        <x:v>1099820</x:v>
      </x:c>
      <x:c r="K1097" s="19" t="n">
        <x:v>45842.51242530093</x:v>
      </x:c>
      <x:c r="L1097" s="19" t="n">
        <x:v>46022</x:v>
      </x:c>
      <x:c r="M1097"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1097" s="15" t="str">
        <x:v>https://prozorro.gov.ua/tender/UA-2025-05-22-007796-a</x:v>
      </x:c>
    </x:row>
    <x:row r="1098">
      <x:c r="A1098" s="14" t="n">
        <x:v>1094</x:v>
      </x:c>
      <x:c r="B1098" s="14" t="str">
        <x:v>ТОВАРИСТВО З ОБМЕЖЕНОЮ ВІДПОВІДАЛЬНІСТЮ "РОЯЛ ВЕСТ СЕРВІС"</x:v>
      </x:c>
      <x:c r="C1098" s="14" t="str">
        <x:v>39486590</x:v>
      </x:c>
      <x:c r="D1098" s="14" t="str">
        <x:v>Пожежогасіння</x:v>
      </x:c>
      <x:c r="E1098" s="14" t="str">
        <x:v>Expansion discovery</x:v>
      </x:c>
      <x:c r="F1098" s="14" t="str">
        <x:v>I3</x:v>
      </x:c>
      <x:c r="G1098" s="14" t="n">
        <x:v>38</x:v>
      </x:c>
      <x:c r="H1098" s="14" t="n">
        <x:v>1</x:v>
      </x:c>
      <x:c r="I1098" s="14" t="n">
        <x:v>0</x:v>
      </x:c>
      <x:c r="J1098" s="18" t="n">
        <x:v>1004756.89</x:v>
      </x:c>
      <x:c r="K1098" s="19" t="n">
        <x:v>45986.5888984375</x:v>
      </x:c>
      <x:c r="L1098" s="19" t="n">
        <x:v>46015</x:v>
      </x:c>
      <x:c r="M1098"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x:v>
      </x:c>
      <x:c r="N1098" s="15" t="str">
        <x:v>https://prozorro.gov.ua/tender/UA-2025-11-14-008811-a</x:v>
      </x:c>
    </x:row>
    <x:row r="1099">
      <x:c r="A1099" s="14" t="n">
        <x:v>1095</x:v>
      </x:c>
      <x:c r="B1099" s="14" t="str">
        <x:v>ТОВАРИСТВО З ОБМЕЖЕНОЮ ВІДПОВІДАЛЬНІСТЮ "СИСТЕМНА ІНТЕГРАЦІЯ"</x:v>
      </x:c>
      <x:c r="C1099" s="14" t="str">
        <x:v>41692113</x:v>
      </x:c>
      <x:c r="D1099" s="14" t="str">
        <x:v>Пожежогасіння</x:v>
      </x:c>
      <x:c r="E1099" s="14" t="str">
        <x:v>Expansion discovery</x:v>
      </x:c>
      <x:c r="F1099" s="14" t="str">
        <x:v>I3</x:v>
      </x:c>
      <x:c r="G1099" s="14" t="n">
        <x:v>38</x:v>
      </x:c>
      <x:c r="H1099" s="14" t="n">
        <x:v>1</x:v>
      </x:c>
      <x:c r="I1099" s="14" t="n">
        <x:v>0</x:v>
      </x:c>
      <x:c r="J1099" s="18" t="n">
        <x:v>1751996</x:v>
      </x:c>
      <x:c r="K1099" s="19" t="n">
        <x:v>45765.41120577546</x:v>
      </x:c>
      <x:c r="L1099" s="19" t="n">
        <x:v>45930</x:v>
      </x:c>
      <x:c r="M1099"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x:v>
      </x:c>
      <x:c r="N1099" s="15" t="str">
        <x:v>https://prozorro.gov.ua/tender/UA-2025-03-27-010870-a</x:v>
      </x:c>
    </x:row>
    <x:row r="1100">
      <x:c r="A1100" s="14" t="n">
        <x:v>1096</x:v>
      </x:c>
      <x:c r="B1100" s="14" t="str">
        <x:v>ТОВАРИСТВО З ОБМЕЖЕНОЮ ВІДПОВІДАЛЬНІСТЮ "СМАРТ ТЕЛЕКОМ СЕРВІС"</x:v>
      </x:c>
      <x:c r="C1100" s="14" t="str">
        <x:v>41167126</x:v>
      </x:c>
      <x:c r="D1100" s="14" t="str">
        <x:v>ВОЛЗ / телеком</x:v>
      </x:c>
      <x:c r="E1100" s="14" t="str">
        <x:v>Expansion discovery</x:v>
      </x:c>
      <x:c r="F1100" s="14" t="str">
        <x:v>I3</x:v>
      </x:c>
      <x:c r="G1100" s="14" t="n">
        <x:v>38</x:v>
      </x:c>
      <x:c r="H1100" s="14" t="n">
        <x:v>1</x:v>
      </x:c>
      <x:c r="I1100" s="14" t="n">
        <x:v>0</x:v>
      </x:c>
      <x:c r="J1100" s="18" t="n">
        <x:v>1556004</x:v>
      </x:c>
      <x:c r="K1100" s="19" t="n">
        <x:v>45909.236234108794</x:v>
      </x:c>
      <x:c r="L1100" s="19" t="n">
        <x:v>45976</x:v>
      </x:c>
      <x:c r="M1100" s="15" t="str">
        <x:v>Будівництво волоконно-оптичної лінії зв’язку</x:v>
      </x:c>
      <x:c r="N1100" s="15" t="str">
        <x:v>https://prozorro.gov.ua/tender/UA-2025-08-23-000636-a</x:v>
      </x:c>
    </x:row>
    <x:row r="1101">
      <x:c r="A1101" s="14" t="n">
        <x:v>1097</x:v>
      </x:c>
      <x:c r="B1101" s="14" t="str">
        <x:v>ТОВАРИСТВО З ОБМЕЖЕНОЮ ВІДПОВІДАЛЬНІСТЮ "УКРАЇНСЬКІ ІНФОРМСИСТЕМИ"</x:v>
      </x:c>
      <x:c r="C1101" s="14" t="str">
        <x:v>41076495</x:v>
      </x:c>
      <x:c r="D1101" s="14" t="str">
        <x:v>Резервне живлення</x:v>
      </x:c>
      <x:c r="E1101" s="14" t="str">
        <x:v>Pilot now</x:v>
      </x:c>
      <x:c r="F1101" s="14" t="str">
        <x:v>I3</x:v>
      </x:c>
      <x:c r="G1101" s="14" t="n">
        <x:v>38</x:v>
      </x:c>
      <x:c r="H1101" s="14" t="n">
        <x:v>1</x:v>
      </x:c>
      <x:c r="I1101" s="14" t="n">
        <x:v>0</x:v>
      </x:c>
      <x:c r="J1101" s="18" t="n">
        <x:v>1760320.08</x:v>
      </x:c>
      <x:c r="K1101" s="19" t="n">
        <x:v>45805.355848900464</x:v>
      </x:c>
      <x:c r="L1101" s="19" t="n">
        <x:v>46016</x:v>
      </x:c>
      <x:c r="M1101" s="15" t="str">
        <x:v>Послуги з монтажу та пусконалагодження комплектів джерел безперебійного живлення для вузлів міської мережевої інфраструктури; 51110000-6 Послуги зі встановлення електричного обладнання за ДК 021:2015 Єдиного закупівельного словника</x:v>
      </x:c>
      <x:c r="N1101" s="15" t="str">
        <x:v>https://prozorro.gov.ua/tender/UA-2025-05-20-005910-a</x:v>
      </x:c>
    </x:row>
    <x:row r="1102">
      <x:c r="A1102" s="14" t="n">
        <x:v>1098</x:v>
      </x:c>
      <x:c r="B1102" s="14" t="str">
        <x:v>ТОВАРИСТВО З ОБМЕЖЕНОЮ ВІДПОВІДАЛЬНІСТЮ "УКРПОЖЗАХИСТ"</x:v>
      </x:c>
      <x:c r="C1102" s="14" t="str">
        <x:v>43467186</x:v>
      </x:c>
      <x:c r="D1102" s="14" t="str">
        <x:v>Блискавкозахист / заземлення</x:v>
      </x:c>
      <x:c r="E1102" s="14" t="str">
        <x:v>Pilot now</x:v>
      </x:c>
      <x:c r="F1102" s="14" t="str">
        <x:v>I3</x:v>
      </x:c>
      <x:c r="G1102" s="14" t="n">
        <x:v>38</x:v>
      </x:c>
      <x:c r="H1102" s="14" t="n">
        <x:v>1</x:v>
      </x:c>
      <x:c r="I1102" s="14" t="n">
        <x:v>0</x:v>
      </x:c>
      <x:c r="J1102" s="18" t="n">
        <x:v>643988.29</x:v>
      </x:c>
      <x:c r="K1102" s="19" t="n">
        <x:v>45908.57999663195</x:v>
      </x:c>
      <x:c r="L1102" s="19" t="n">
        <x:v>46022</x:v>
      </x:c>
      <x:c r="M1102" s="15" t="str">
        <x:v>45310000-3-Електромонтажні роботи (капітальний ремонт з монтажу системи блискавкозахисту)</x:v>
      </x:c>
      <x:c r="N1102" s="15" t="str">
        <x:v>https://prozorro.gov.ua/tender/UA-2025-09-08-011824-a</x:v>
      </x:c>
    </x:row>
    <x:row r="1103">
      <x:c r="A1103" s="14" t="n">
        <x:v>1099</x:v>
      </x:c>
      <x:c r="B1103" s="14" t="str">
        <x:v>ТОВАРИСТВО З ОБМЕЖЕНОЮ ВІДПОВІДАЛЬНІСТЮ «ГЕФЕСТ Л»</x:v>
      </x:c>
      <x:c r="C1103" s="14" t="str">
        <x:v>43876617</x:v>
      </x:c>
      <x:c r="D1103" s="14" t="str">
        <x:v>Пожежогасіння</x:v>
      </x:c>
      <x:c r="E1103" s="14" t="str">
        <x:v>Expansion discovery</x:v>
      </x:c>
      <x:c r="F1103" s="14" t="str">
        <x:v>I3</x:v>
      </x:c>
      <x:c r="G1103" s="14" t="n">
        <x:v>38</x:v>
      </x:c>
      <x:c r="H1103" s="14" t="n">
        <x:v>1</x:v>
      </x:c>
      <x:c r="I1103" s="14" t="n">
        <x:v>0</x:v>
      </x:c>
      <x:c r="J1103" s="18" t="n">
        <x:v>804032.95</x:v>
      </x:c>
      <x:c r="K1103" s="19" t="n">
        <x:v>45912.34026747685</x:v>
      </x:c>
      <x:c r="L1103" s="19" t="n">
        <x:v>45991</x:v>
      </x:c>
      <x:c r="M1103" s="15" t="str">
        <x:v>Обладнання та послуги з монтажу автоматичної системи (газового) пожежогасіння серверної за адресою: м. Львів,вул. Високий Замок, 4</x:v>
      </x:c>
      <x:c r="N1103" s="15" t="str">
        <x:v>https://prozorro.gov.ua/tender/UA-2025-08-28-009722-a</x:v>
      </x:c>
    </x:row>
    <x:row r="1104">
      <x:c r="A1104" s="14" t="n">
        <x:v>1100</x:v>
      </x:c>
      <x:c r="B1104" s="14" t="str">
        <x:v>ТОВАРИСТВО З ОБМЕЖЕНОЮ ВІДПОВІДАЛЬНІСТЮ «ФОРВАРДМЕД»</x:v>
      </x:c>
      <x:c r="C1104" s="14" t="str">
        <x:v>43965387</x:v>
      </x:c>
      <x:c r="D1104" s="14" t="str">
        <x:v>Чисті приміщення</x:v>
      </x:c>
      <x:c r="E1104" s="14" t="str">
        <x:v>Expansion discovery</x:v>
      </x:c>
      <x:c r="F1104" s="14" t="str">
        <x:v>I3</x:v>
      </x:c>
      <x:c r="G1104" s="14" t="n">
        <x:v>38</x:v>
      </x:c>
      <x:c r="H1104" s="14" t="n">
        <x:v>1</x:v>
      </x:c>
      <x:c r="I1104" s="14" t="n">
        <x:v>0</x:v>
      </x:c>
      <x:c r="J1104" s="18" t="n">
        <x:v>3000000</x:v>
      </x:c>
      <x:c r="K1104" s="19" t="n">
        <x:v>45650.531557835646</x:v>
      </x:c>
      <x:c r="L1104" s="19" t="n">
        <x:v>45657</x:v>
      </x:c>
      <x:c r="M1104" s="15" t="str">
        <x:v>Ммедичне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Система медична рентгенографічна цифрова DP326B-3.</x:v>
      </x:c>
      <x:c r="N1104" s="15" t="str">
        <x:v>https://prozorro.gov.ua/tender/UA-2024-12-24-014111-a</x:v>
      </x:c>
    </x:row>
    <x:row r="1105">
      <x:c r="A1105" s="14" t="n">
        <x:v>1101</x:v>
      </x:c>
      <x:c r="B1105" s="14" t="str">
        <x:v>Фізична особа-підприємець Хоманець Валентина Іванівна</x:v>
      </x:c>
      <x:c r="C1105" s="14" t="str">
        <x:v>2531503308</x:v>
      </x:c>
      <x:c r="D1105" s="14" t="str">
        <x:v>Безпека / СКУД / CCTV</x:v>
      </x:c>
      <x:c r="E1105" s="14" t="str">
        <x:v>Expansion discovery</x:v>
      </x:c>
      <x:c r="F1105" s="14" t="str">
        <x:v>I3</x:v>
      </x:c>
      <x:c r="G1105" s="14" t="n">
        <x:v>38</x:v>
      </x:c>
      <x:c r="H1105" s="14" t="n">
        <x:v>1</x:v>
      </x:c>
      <x:c r="I1105" s="14" t="n">
        <x:v>0</x:v>
      </x:c>
      <x:c r="J1105" s="18" t="n">
        <x:v>550</x:v>
      </x:c>
      <x:c r="K1105" s="19" t="n">
        <x:v>46155.37156013889</x:v>
      </x:c>
      <x:c r="L1105" s="19" t="n">
        <x:v>46203</x:v>
      </x:c>
      <x:c r="M1105" s="15" t="str">
        <x:v>Кабель сигналізаційний для монтажу системи контролю доступу у ЗДО №51 Львівської міської ради (ДК 021:2015:44320000-9 - Кабелі та супутня продукція)</x:v>
      </x:c>
      <x:c r="N1105" s="15" t="str">
        <x:v>https://prozorro.gov.ua/tender/UA-2026-05-13-005151-a</x:v>
      </x:c>
    </x:row>
    <x:row r="1106">
      <x:c r="A1106" s="14" t="n">
        <x:v>1102</x:v>
      </x:c>
      <x:c r="B1106" s="14" t="str">
        <x:v>ФОП  КОСИНСЬКИЙ ВАЛЕРІЙ МИХАЙЛОВИЧ</x:v>
      </x:c>
      <x:c r="C1106" s="14" t="str">
        <x:v>2210914319</x:v>
      </x:c>
      <x:c r="D1106" s="14" t="str">
        <x:v>ГНБ / безтраншейні роботи</x:v>
      </x:c>
      <x:c r="E1106" s="14" t="str">
        <x:v>Expansion discovery</x:v>
      </x:c>
      <x:c r="F1106" s="14" t="str">
        <x:v>I3</x:v>
      </x:c>
      <x:c r="G1106" s="14" t="n">
        <x:v>38</x:v>
      </x:c>
      <x:c r="H1106" s="14" t="n">
        <x:v>1</x:v>
      </x:c>
      <x:c r="I1106" s="14" t="n">
        <x:v>0</x:v>
      </x:c>
      <x:c r="J1106" s="18" t="n">
        <x:v>10800</x:v>
      </x:c>
      <x:c r="K1106" s="19" t="n">
        <x:v>46204.33350625</x:v>
      </x:c>
      <x:c r="L1106" s="19" t="n">
        <x:v>46234</x:v>
      </x:c>
      <x:c r="M1106" s="15" t="str">
        <x:v>Горизонтально-направлене буріння ґрунту довжиною 6м, глибиною 1,2м, діаметром 120мм</x:v>
      </x:c>
      <x:c r="N1106" s="15" t="str">
        <x:v>https://prozorro.gov.ua/tender/UA-2026-07-01-002295-a</x:v>
      </x:c>
    </x:row>
    <x:row r="1107">
      <x:c r="A1107" s="14" t="n">
        <x:v>1103</x:v>
      </x:c>
      <x:c r="B1107" s="14" t="str">
        <x:v>ФОП БОРСУК ІВАННА ПЕТРІВНА</x:v>
      </x:c>
      <x:c r="C1107" s="14" t="str">
        <x:v>3446913988</x:v>
      </x:c>
      <x:c r="D1107" s="14" t="str">
        <x:v>Безпека / СКУД / CCTV</x:v>
      </x:c>
      <x:c r="E1107" s="14" t="str">
        <x:v>Expansion discovery</x:v>
      </x:c>
      <x:c r="F1107" s="14" t="str">
        <x:v>I3</x:v>
      </x:c>
      <x:c r="G1107" s="14" t="n">
        <x:v>38</x:v>
      </x:c>
      <x:c r="H1107" s="14" t="n">
        <x:v>1</x:v>
      </x:c>
      <x:c r="I1107" s="14" t="n">
        <x:v>0</x:v>
      </x:c>
      <x:c r="J1107" s="18" t="n">
        <x:v>23396</x:v>
      </x:c>
      <x:c r="K1107" s="19" t="n">
        <x:v>46181.49224665509</x:v>
      </x:c>
      <x:c r="L1107" s="19" t="n">
        <x:v>46183</x:v>
      </x:c>
      <x:c r="M1107" s="15" t="str">
        <x:v>Матеріали та обладнання для монтажу системи відеоспостереження (камера відеоспостереження)</x:v>
      </x:c>
      <x:c r="N1107" s="15" t="str">
        <x:v>https://prozorro.gov.ua/tender/UA-2026-06-08-008397-a</x:v>
      </x:c>
    </x:row>
    <x:row r="1108">
      <x:c r="A1108" s="14" t="n">
        <x:v>1104</x:v>
      </x:c>
      <x:c r="B1108" s="14" t="str">
        <x:v>ФОП Микитюк Микола Георгійович</x:v>
      </x:c>
      <x:c r="C1108" s="14" t="str">
        <x:v>2307214319</x:v>
      </x:c>
      <x:c r="D1108" s="14" t="str">
        <x:v>Газопостачання / котельні</x:v>
      </x:c>
      <x:c r="E1108" s="14" t="str">
        <x:v>Expansion discovery</x:v>
      </x:c>
      <x:c r="F1108" s="14" t="str">
        <x:v>I3</x:v>
      </x:c>
      <x:c r="G1108" s="14" t="n">
        <x:v>38</x:v>
      </x:c>
      <x:c r="H1108" s="14" t="n">
        <x:v>1</x:v>
      </x:c>
      <x:c r="I1108" s="14" t="n">
        <x:v>0</x:v>
      </x:c>
      <x:c r="J1108" s="18" t="n">
        <x:v>88970</x:v>
      </x:c>
      <x:c r="K1108" s="19" t="n">
        <x:v>46204.3824987037</x:v>
      </x:c>
      <x:c r="L1108" s="19" t="n">
        <x:v>46234</x:v>
      </x:c>
      <x:c r="M1108" s="15" t="str">
        <x:v>Послуги з демонтажу та монтажу димової труби в котельні Мамаївського ЗДО</x:v>
      </x:c>
      <x:c r="N1108" s="15" t="str">
        <x:v>https://prozorro.gov.ua/tender/UA-2026-07-01-003861-a</x:v>
      </x:c>
    </x:row>
    <x:row r="1109">
      <x:c r="A1109" s="14" t="n">
        <x:v>1105</x:v>
      </x:c>
      <x:c r="B1109" s="14" t="str">
        <x:v>ФОП Чабан І.В.</x:v>
      </x:c>
      <x:c r="C1109" s="14" t="str">
        <x:v>3524713121</x:v>
      </x:c>
      <x:c r="D1109" s="14" t="str">
        <x:v>Безпека / СКУД / CCTV</x:v>
      </x:c>
      <x:c r="E1109" s="14" t="str">
        <x:v>Expansion discovery</x:v>
      </x:c>
      <x:c r="F1109" s="14" t="str">
        <x:v>I3</x:v>
      </x:c>
      <x:c r="G1109" s="14" t="n">
        <x:v>38</x:v>
      </x:c>
      <x:c r="H1109" s="14" t="n">
        <x:v>1</x:v>
      </x:c>
      <x:c r="I1109" s="14" t="n">
        <x:v>0</x:v>
      </x:c>
      <x:c r="J1109" s="18" t="n">
        <x:v>50825</x:v>
      </x:c>
      <x:c r="K1109" s="19" t="n">
        <x:v>46198.56511065972</x:v>
      </x:c>
      <x:c r="L1109" s="19" t="n">
        <x:v>46198</x:v>
      </x:c>
      <x:c r="M1109" s="15" t="str">
        <x:v>послуги з монтажу,установки системи відеоспостереження</x:v>
      </x:c>
      <x:c r="N1109" s="15" t="str">
        <x:v>https://prozorro.gov.ua/tender/UA-2026-06-25-011830-a</x:v>
      </x:c>
    </x:row>
    <x:row r="1110">
      <x:c r="A1110" s="14" t="n">
        <x:v>1106</x:v>
      </x:c>
      <x:c r="B1110" s="14" t="str">
        <x:v>ЯКИМЕНКО ВІТАЛІЙ ВАСИЛЬОВИЧ</x:v>
      </x:c>
      <x:c r="C1110" s="14" t="str">
        <x:v>2703713476</x:v>
      </x:c>
      <x:c r="D1110" s="14" t="str">
        <x:v>Безпека / СКУД / CCTV</x:v>
      </x:c>
      <x:c r="E1110" s="14" t="str">
        <x:v>Expansion discovery</x:v>
      </x:c>
      <x:c r="F1110" s="14" t="str">
        <x:v>I3</x:v>
      </x:c>
      <x:c r="G1110" s="14" t="n">
        <x:v>38</x:v>
      </x:c>
      <x:c r="H1110" s="14" t="n">
        <x:v>1</x:v>
      </x:c>
      <x:c r="I1110" s="14" t="n">
        <x:v>0</x:v>
      </x:c>
      <x:c r="J1110" s="18" t="n">
        <x:v>5060</x:v>
      </x:c>
      <x:c r="K1110" s="19" t="n">
        <x:v>46185.38756188657</x:v>
      </x:c>
      <x:c r="L1110" s="19" t="n">
        <x:v>46185</x:v>
      </x:c>
      <x:c r="M1110" s="15" t="str">
        <x:v>Послуги з монтажу та установки системи відеоспостереження</x:v>
      </x:c>
      <x:c r="N1110" s="15" t="str">
        <x:v>https://prozorro.gov.ua/tender/UA-2026-06-12-005736-a</x:v>
      </x:c>
    </x:row>
    <x:row r="1111">
      <x:c r="A1111" s="14" t="n">
        <x:v>1107</x:v>
      </x:c>
      <x:c r="B1111" s="14" t="str">
        <x:v>ТОВ "Прогноз"</x:v>
      </x:c>
      <x:c r="C1111" s="14" t="str">
        <x:v>21108345</x:v>
      </x:c>
      <x:c r="D1111" s="14" t="str">
        <x:v>Зовнішні мережі</x:v>
      </x:c>
      <x:c r="E1111" s="14" t="str">
        <x:v>Expansion discovery</x:v>
      </x:c>
      <x:c r="F1111" s="14" t="str">
        <x:v>I3</x:v>
      </x:c>
      <x:c r="G1111" s="14" t="n">
        <x:v>37</x:v>
      </x:c>
      <x:c r="H1111" s="14" t="n">
        <x:v>1</x:v>
      </x:c>
      <x:c r="I1111" s="14" t="n">
        <x:v>1</x:v>
      </x:c>
      <x:c r="J1111" s="18" t="n">
        <x:v>2936816.4</x:v>
      </x:c>
      <x:c r="K1111" s="19" t="n">
        <x:v>45973.58056971065</x:v>
      </x:c>
      <x:c r="L1111" s="19" t="n">
        <x:v>46295.521053240744</x:v>
      </x:c>
      <x:c r="M1111" s="15" t="str">
        <x:v>Реконструкція самопливної каналізаційної мережі колектору від вул. Короленка по головну КНС на ділянці по вул. Матросова від вул. Українська до гаражного кооперативу «Набережний» в м. Шостка Сумської області. Коригування</x:v>
      </x:c>
      <x:c r="N1111" s="15" t="str">
        <x:v>https://prozorro.gov.ua/tender/UA-2025-10-21-013083-a</x:v>
      </x:c>
    </x:row>
    <x:row r="1112">
      <x:c r="A1112" s="14" t="n">
        <x:v>1108</x:v>
      </x:c>
      <x:c r="B1112" s="14" t="str">
        <x:v>Науково-виробниче підприємство"Електропром" у формі ТОВ</x:v>
      </x:c>
      <x:c r="C1112" s="14" t="str">
        <x:v>14089096</x:v>
      </x:c>
      <x:c r="D1112" s="14" t="str">
        <x:v>Електромонтаж</x:v>
      </x:c>
      <x:c r="E1112" s="14" t="str">
        <x:v>Pilot now</x:v>
      </x:c>
      <x:c r="F1112" s="14" t="str">
        <x:v>I3</x:v>
      </x:c>
      <x:c r="G1112" s="14" t="n">
        <x:v>37</x:v>
      </x:c>
      <x:c r="H1112" s="14" t="n">
        <x:v>1</x:v>
      </x:c>
      <x:c r="I1112" s="14" t="n">
        <x:v>0</x:v>
      </x:c>
      <x:c r="J1112" s="18" t="n">
        <x:v>389415.6</x:v>
      </x:c>
      <x:c r="K1112" s="19" t="n">
        <x:v>46128.366191064815</x:v>
      </x:c>
      <x:c r="L1112" s="19" t="n">
        <x:v>46203</x:v>
      </x:c>
      <x:c r="M1112" s="15" t="str">
        <x:v>Монтаж мереж  електричного кабелю 9-го під'їзду та 4-го під'їзду будинку за адресою: пл. Свободи, 5 в м. Харкові</x:v>
      </x:c>
      <x:c r="N1112" s="15" t="str">
        <x:v>https://prozorro.gov.ua/tender/UA-2026-04-16-004889-a</x:v>
      </x:c>
    </x:row>
    <x:row r="1113">
      <x:c r="A1113" s="14" t="n">
        <x:v>1109</x:v>
      </x:c>
      <x:c r="B1113" s="14" t="str">
        <x:v>ТОВ "МОНТАЖТРАНСГАЗ"</x:v>
      </x:c>
      <x:c r="C1113" s="14" t="str">
        <x:v>13958101</x:v>
      </x:c>
      <x:c r="D1113" s="14" t="str">
        <x:v>Технологічні трубопроводи</x:v>
      </x:c>
      <x:c r="E1113" s="14" t="str">
        <x:v>Expansion discovery</x:v>
      </x:c>
      <x:c r="F1113" s="14" t="str">
        <x:v>I3</x:v>
      </x:c>
      <x:c r="G1113" s="14" t="n">
        <x:v>37</x:v>
      </x:c>
      <x:c r="H1113" s="14" t="n">
        <x:v>1</x:v>
      </x:c>
      <x:c r="I1113" s="14" t="n">
        <x:v>0</x:v>
      </x:c>
      <x:c r="J1113" s="18" t="n">
        <x:v>6210180</x:v>
      </x:c>
      <x:c r="K1113" s="19" t="n">
        <x:v>45806.45531452546</x:v>
      </x:c>
      <x:c r="L1113" s="19" t="n">
        <x:v>46022</x:v>
      </x:c>
      <x:c r="M1113" s="15" t="str">
        <x:v>Технічне переоснащення в частині відновлення товарно-сировинного парку ХХХ з монтажем внутрішньо-паркових технологічних трубопроводів та РВС</x:v>
      </x:c>
      <x:c r="N1113" s="15" t="str">
        <x:v>https://prozorro.gov.ua/tender/UA-2025-04-24-010173-a</x:v>
      </x:c>
    </x:row>
    <x:row r="1114">
      <x:c r="A1114" s="14" t="n">
        <x:v>1110</x:v>
      </x:c>
      <x:c r="B1114" s="14" t="str">
        <x:v>ТОВ "ОДЕСАСПЕ­ЦЕНЕРГО"</x:v>
      </x:c>
      <x:c r="C1114" s="14" t="str">
        <x:v>34490487</x:v>
      </x:c>
      <x:c r="D1114" s="14" t="str">
        <x:v>ГНБ / безтраншейні роботи</x:v>
      </x:c>
      <x:c r="E1114" s="14" t="str">
        <x:v>Expansion discovery</x:v>
      </x:c>
      <x:c r="F1114" s="14" t="str">
        <x:v>I3</x:v>
      </x:c>
      <x:c r="G1114" s="14" t="n">
        <x:v>37</x:v>
      </x:c>
      <x:c r="H1114" s="14" t="n">
        <x:v>1</x:v>
      </x:c>
      <x:c r="I1114" s="14" t="n">
        <x:v>0</x:v>
      </x:c>
      <x:c r="J1114" s="18" t="n">
        <x:v>4449000</x:v>
      </x:c>
      <x:c r="K1114" s="19" t="n">
        <x:v>45908.31016237268</x:v>
      </x:c>
      <x:c r="L1114" s="19" t="n">
        <x:v>46097</x:v>
      </x:c>
      <x:c r="M1114"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x:v>
      </x:c>
      <x:c r="N1114" s="15" t="str">
        <x:v>https://prozorro.gov.ua/tender/UA-2025-08-08-003722-a</x:v>
      </x:c>
    </x:row>
    <x:row r="1115">
      <x:c r="A1115" s="14" t="n">
        <x:v>1111</x:v>
      </x:c>
      <x:c r="B1115" s="14" t="str">
        <x:v>Фізична особа-підприємець ЛЕОНОВ ВІКТОР ВАСИЛЬОВИЧ</x:v>
      </x:c>
      <x:c r="C1115" s="14" t="str">
        <x:v>2225501798</x:v>
      </x:c>
      <x:c r="D1115" s="14" t="str">
        <x:v>Промисловий холод</x:v>
      </x:c>
      <x:c r="E1115" s="14" t="str">
        <x:v>Expansion discovery</x:v>
      </x:c>
      <x:c r="F1115" s="14" t="str">
        <x:v>I3</x:v>
      </x:c>
      <x:c r="G1115" s="14" t="n">
        <x:v>37</x:v>
      </x:c>
      <x:c r="H1115" s="14" t="n">
        <x:v>2</x:v>
      </x:c>
      <x:c r="I1115" s="14" t="n">
        <x:v>0</x:v>
      </x:c>
      <x:c r="J1115" s="18" t="n">
        <x:v>16200</x:v>
      </x:c>
      <x:c r="K1115" s="19" t="n">
        <x:v>45834.27483091435</x:v>
      </x:c>
      <x:c r="L1115" s="19" t="n">
        <x:v>45838</x:v>
      </x:c>
      <x:c r="M1115" s="15" t="str">
        <x:v>ДК 021:2015 50730000-1 Послуги з ремонту і технічного обслуговування охолоджувальних установок (Послуги з демонтажу холодильних агрегатів та устаткування холодильних камер Південноукраїнських ліцеїв №2,3 Південноукраїнської міської ради (інвентарні номери 10490084, 10490300))</x:v>
      </x:c>
      <x:c r="N1115" s="15" t="str">
        <x:v>https://prozorro.gov.ua/tender/UA-2025-06-26-001031-a</x:v>
      </x:c>
    </x:row>
    <x:row r="1116">
      <x:c r="A1116" s="14" t="n">
        <x:v>1112</x:v>
      </x:c>
      <x:c r="B1116" s="14" t="str">
        <x:v>ФОП АНОХІН СЕРГІЙ ВАЛЕРІЙОВИЧ</x:v>
      </x:c>
      <x:c r="C1116" s="14" t="str">
        <x:v>2564814933</x:v>
      </x:c>
      <x:c r="D1116" s="14" t="str">
        <x:v>Металоконструкції</x:v>
      </x:c>
      <x:c r="E1116" s="14" t="str">
        <x:v>Expansion discovery</x:v>
      </x:c>
      <x:c r="F1116" s="14" t="str">
        <x:v>I3</x:v>
      </x:c>
      <x:c r="G1116" s="14" t="n">
        <x:v>37</x:v>
      </x:c>
      <x:c r="H1116" s="14" t="n">
        <x:v>2</x:v>
      </x:c>
      <x:c r="I1116" s="14" t="n">
        <x:v>0</x:v>
      </x:c>
      <x:c r="J1116" s="18" t="n">
        <x:v>67382.38</x:v>
      </x:c>
      <x:c r="K1116" s="19" t="n">
        <x:v>45805.255575034724</x:v>
      </x:c>
      <x:c r="L1116" s="19" t="n">
        <x:v>46014</x:v>
      </x:c>
      <x:c r="M1116" s="15" t="str">
        <x:v>Монтаж металоконструкцій для сходових клітин з механізмом складання</x:v>
      </x:c>
      <x:c r="N1116" s="15" t="str">
        <x:v>https://prozorro.gov.ua/tender/UA-2025-05-28-000683-a</x:v>
      </x:c>
    </x:row>
    <x:row r="1117">
      <x:c r="A1117" s="14" t="n">
        <x:v>1113</x:v>
      </x:c>
      <x:c r="B1117" s="14" t="str">
        <x:v>ФОП Буяльський І.Г.</x:v>
      </x:c>
      <x:c r="C1117" s="14" t="str">
        <x:v>2576904676</x:v>
      </x:c>
      <x:c r="D1117" s="14" t="str">
        <x:v>Металоконструкції</x:v>
      </x:c>
      <x:c r="E1117" s="14" t="str">
        <x:v>Expansion discovery</x:v>
      </x:c>
      <x:c r="F1117" s="14" t="str">
        <x:v>I3</x:v>
      </x:c>
      <x:c r="G1117" s="14" t="n">
        <x:v>37</x:v>
      </x:c>
      <x:c r="H1117" s="14" t="n">
        <x:v>2</x:v>
      </x:c>
      <x:c r="I1117" s="14" t="n">
        <x:v>0</x:v>
      </x:c>
      <x:c r="J1117" s="18" t="n">
        <x:v>23800</x:v>
      </x:c>
      <x:c r="K1117" s="19" t="n">
        <x:v>45842.28744028935</x:v>
      </x:c>
      <x:c r="L1117" s="19" t="n">
        <x:v>46022</x:v>
      </x:c>
      <x:c r="M1117" s="15" t="str">
        <x:v>45220000-5 Інженерні та будівельні роботи (послуги по  виготовленню та монтажу металоконструкцій паркану 10м/п)</x:v>
      </x:c>
      <x:c r="N1117" s="15" t="str">
        <x:v>https://prozorro.gov.ua/tender/UA-2025-07-04-001422-a</x:v>
      </x:c>
    </x:row>
    <x:row r="1118">
      <x:c r="A1118" s="14" t="n">
        <x:v>1114</x:v>
      </x:c>
      <x:c r="B1118" s="14" t="str">
        <x:v>ФОП Воловень Сусанна Сергіївна</x:v>
      </x:c>
      <x:c r="C1118" s="14" t="str">
        <x:v>3453205100</x:v>
      </x:c>
      <x:c r="D1118" s="14" t="str">
        <x:v>Покрівлі та гідроізоляція</x:v>
      </x:c>
      <x:c r="E1118" s="14" t="str">
        <x:v>Expansion discovery</x:v>
      </x:c>
      <x:c r="F1118" s="14" t="str">
        <x:v>I3</x:v>
      </x:c>
      <x:c r="G1118" s="14" t="n">
        <x:v>37</x:v>
      </x:c>
      <x:c r="H1118" s="14" t="n">
        <x:v>2</x:v>
      </x:c>
      <x:c r="I1118" s="14" t="n">
        <x:v>0</x:v>
      </x:c>
      <x:c r="J1118" s="18" t="n">
        <x:v>10055</x:v>
      </x:c>
      <x:c r="K1118" s="19" t="n">
        <x:v>45792.43417712963</x:v>
      </x:c>
      <x:c r="L1118" s="19" t="n">
        <x:v>45808</x:v>
      </x:c>
      <x:c r="M1118"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x:v>
      </x:c>
      <x:c r="N1118" s="15" t="str">
        <x:v>https://prozorro.gov.ua/tender/UA-2025-05-15-006613-a</x:v>
      </x:c>
    </x:row>
    <x:row r="1119">
      <x:c r="A1119" s="14" t="n">
        <x:v>1115</x:v>
      </x:c>
      <x:c r="B1119" s="14" t="str">
        <x:v>ФОП Лавренчук Василь Ілліч</x:v>
      </x:c>
      <x:c r="C1119" s="14" t="str">
        <x:v>2004402372</x:v>
      </x:c>
      <x:c r="D1119" s="14" t="str">
        <x:v>Резервне живлення</x:v>
      </x:c>
      <x:c r="E1119" s="14" t="str">
        <x:v>Pilot now</x:v>
      </x:c>
      <x:c r="F1119" s="14" t="str">
        <x:v>I3</x:v>
      </x:c>
      <x:c r="G1119" s="14" t="n">
        <x:v>37</x:v>
      </x:c>
      <x:c r="H1119" s="14" t="n">
        <x:v>2</x:v>
      </x:c>
      <x:c r="I1119" s="14" t="n">
        <x:v>0</x:v>
      </x:c>
      <x:c r="J1119" s="18" t="n">
        <x:v>26432.5</x:v>
      </x:c>
      <x:c r="K1119" s="19" t="n">
        <x:v>46015.36890326389</x:v>
      </x:c>
      <x:c r="L1119" s="19" t="n">
        <x:v>46022.37019675926</x:v>
      </x:c>
      <x:c r="M1119" s="15" t="str">
        <x:v>Роботи з монтажу дизель генератора з АВР</x:v>
      </x:c>
      <x:c r="N1119" s="15" t="str">
        <x:v>https://prozorro.gov.ua/tender/UA-2025-12-24-004929-a</x:v>
      </x:c>
    </x:row>
    <x:row r="1120">
      <x:c r="A1120" s="14" t="n">
        <x:v>1116</x:v>
      </x:c>
      <x:c r="B1120" s="14" t="str">
        <x:v>ФОП НЕСТЕРЕНКО ДЕНИС ОЛЕКСАНДРОВИЧ</x:v>
      </x:c>
      <x:c r="C1120" s="14" t="str">
        <x:v>3199216894</x:v>
      </x:c>
      <x:c r="D1120" s="14" t="str">
        <x:v>HVAC / ОВіК</x:v>
      </x:c>
      <x:c r="E1120" s="14" t="str">
        <x:v>Pilot now</x:v>
      </x:c>
      <x:c r="F1120" s="14" t="str">
        <x:v>I3</x:v>
      </x:c>
      <x:c r="G1120" s="14" t="n">
        <x:v>37</x:v>
      </x:c>
      <x:c r="H1120" s="14" t="n">
        <x:v>2</x:v>
      </x:c>
      <x:c r="I1120" s="14" t="n">
        <x:v>0</x:v>
      </x:c>
      <x:c r="J1120" s="18" t="n">
        <x:v>69545.5</x:v>
      </x:c>
      <x:c r="K1120" s="19" t="n">
        <x:v>45952.45632696759</x:v>
      </x:c>
      <x:c r="L1120" s="19" t="n">
        <x:v>46022</x:v>
      </x:c>
      <x:c r="M1120" s="15" t="str">
        <x:v>Послуги з технічного обслуговування систем вентиляції, а саме монтаж та підключення кондиціонерів</x:v>
      </x:c>
      <x:c r="N1120" s="15" t="str">
        <x:v>https://prozorro.gov.ua/tender/UA-2025-10-22-008443-a</x:v>
      </x:c>
    </x:row>
    <x:row r="1121">
      <x:c r="A1121" s="14" t="n">
        <x:v>1117</x:v>
      </x:c>
      <x:c r="B1121" s="14" t="str">
        <x:v>ФОП Ящишин Олександр Ігорович</x:v>
      </x:c>
      <x:c r="C1121" s="14" t="str">
        <x:v>3443111431</x:v>
      </x:c>
      <x:c r="D1121" s="14" t="str">
        <x:v>HVAC / ОВіК</x:v>
      </x:c>
      <x:c r="E1121" s="14" t="str">
        <x:v>Pilot now</x:v>
      </x:c>
      <x:c r="F1121" s="14" t="str">
        <x:v>I3</x:v>
      </x:c>
      <x:c r="G1121" s="14" t="n">
        <x:v>37</x:v>
      </x:c>
      <x:c r="H1121" s="14" t="n">
        <x:v>2</x:v>
      </x:c>
      <x:c r="I1121" s="14" t="n">
        <x:v>0</x:v>
      </x:c>
      <x:c r="J1121" s="18" t="n">
        <x:v>31960</x:v>
      </x:c>
      <x:c r="K1121" s="19" t="n">
        <x:v>45796.60198604166</x:v>
      </x:c>
      <x:c r="L1121" s="19" t="n">
        <x:v>46022.64538194444</x:v>
      </x:c>
      <x:c r="M1121" s="15" t="str">
        <x:v>Послуги з технічного обслуговування обладнання систем вентиляції (монтаж та налаштування кондиціонерів).</x:v>
      </x:c>
      <x:c r="N1121" s="15" t="str">
        <x:v>https://prozorro.gov.ua/tender/UA-2025-05-19-013160-a</x:v>
      </x:c>
    </x:row>
    <x:row r="1122">
      <x:c r="A1122" s="14" t="n">
        <x:v>1118</x:v>
      </x:c>
      <x:c r="B1122" s="14" t="str">
        <x:v>Донченко Андрій Михайлович</x:v>
      </x:c>
      <x:c r="C1122" s="14" t="str">
        <x:v>2783811753</x:v>
      </x:c>
      <x:c r="D1122" s="14" t="str">
        <x:v>Резервне живлення</x:v>
      </x:c>
      <x:c r="E1122" s="14" t="str">
        <x:v>Pilot now</x:v>
      </x:c>
      <x:c r="F1122" s="14" t="str">
        <x:v>I3</x:v>
      </x:c>
      <x:c r="G1122" s="14" t="n">
        <x:v>36</x:v>
      </x:c>
      <x:c r="H1122" s="14" t="n">
        <x:v>2</x:v>
      </x:c>
      <x:c r="I1122" s="14" t="n">
        <x:v>0</x:v>
      </x:c>
      <x:c r="J1122" s="18" t="n">
        <x:v>38079.6</x:v>
      </x:c>
      <x:c r="K1122" s="19" t="n">
        <x:v>45701.59060865741</x:v>
      </x:c>
      <x:c r="L1122" s="19" t="n">
        <x:v>46022</x:v>
      </x:c>
      <x:c r="M1122" s="15" t="str">
        <x:v>Монтаж джерел безперебійного живлення</x:v>
      </x:c>
      <x:c r="N1122" s="15" t="str">
        <x:v>https://prozorro.gov.ua/tender/UA-2025-02-13-012323-a</x:v>
      </x:c>
    </x:row>
    <x:row r="1123">
      <x:c r="A1123" s="14" t="n">
        <x:v>1119</x:v>
      </x:c>
      <x:c r="B1123" s="14" t="str">
        <x:v>КОМУНАЛЬНЕ ПІДПРИЄМСТВО "ВІННИЦЯОБЛВОДОКАНАЛ"</x:v>
      </x:c>
      <x:c r="C1123" s="14" t="str">
        <x:v>03339012</x:v>
      </x:c>
      <x:c r="D1123" s="14" t="str">
        <x:v>Насосні станції</x:v>
      </x:c>
      <x:c r="E1123" s="14" t="str">
        <x:v>Expansion discovery</x:v>
      </x:c>
      <x:c r="F1123" s="14" t="str">
        <x:v>I3</x:v>
      </x:c>
      <x:c r="G1123" s="14" t="n">
        <x:v>36</x:v>
      </x:c>
      <x:c r="H1123" s="14" t="n">
        <x:v>2</x:v>
      </x:c>
      <x:c r="I1123" s="14" t="n">
        <x:v>0</x:v>
      </x:c>
      <x:c r="J1123" s="18" t="n">
        <x:v>8433.23</x:v>
      </x:c>
      <x:c r="K1123" s="19" t="n">
        <x:v>45582.68350697916</x:v>
      </x:c>
      <x:c r="L1123" s="19" t="n">
        <x:v>45657</x:v>
      </x:c>
      <x:c r="M1123" s="15" t="str">
        <x:v>Виготовлення змін до технічних умов на проектування нового будівництва каналізаційної насосної станції господарсько-побутових стічних вод Вінницького індустріального парку по вул. Немирівське шосе, 213 в м. Вінниці</x:v>
      </x:c>
      <x:c r="N1123" s="15" t="str">
        <x:v>https://prozorro.gov.ua/tender/UA-2024-10-17-016076-a</x:v>
      </x:c>
    </x:row>
    <x:row r="1124">
      <x:c r="A1124" s="14" t="n">
        <x:v>1120</x:v>
      </x:c>
      <x:c r="B1124" s="14" t="str">
        <x:v>КУЛЬЧИЦЬКИЙ ВОЛОДИМИР БОГДАНОВИЧ</x:v>
      </x:c>
      <x:c r="C1124" s="14" t="str">
        <x:v>2497618018</x:v>
      </x:c>
      <x:c r="D1124" s="14" t="str">
        <x:v>ГНБ / безтраншейні роботи</x:v>
      </x:c>
      <x:c r="E1124" s="14" t="str">
        <x:v>Expansion discovery</x:v>
      </x:c>
      <x:c r="F1124" s="14" t="str">
        <x:v>I3</x:v>
      </x:c>
      <x:c r="G1124" s="14" t="n">
        <x:v>36</x:v>
      </x:c>
      <x:c r="H1124" s="14" t="n">
        <x:v>4</x:v>
      </x:c>
      <x:c r="I1124" s="14" t="n">
        <x:v>0</x:v>
      </x:c>
      <x:c r="J1124" s="18" t="n">
        <x:v>968839.44</x:v>
      </x:c>
      <x:c r="K1124" s="19" t="n">
        <x:v>45485.39818945602</x:v>
      </x:c>
      <x:c r="L1124" s="19" t="n">
        <x:v>45657</x:v>
      </x:c>
      <x:c r="M1124" s="15" t="str">
        <x:v>виконання робіт методом горизонтально-направленого буріння по вул.Ліцейній</x:v>
      </x:c>
      <x:c r="N1124" s="15" t="str">
        <x:v>https://prozorro.gov.ua/tender/UA-2024-07-12-004311-a</x:v>
      </x:c>
    </x:row>
    <x:row r="1125">
      <x:c r="A1125" s="14" t="n">
        <x:v>1121</x:v>
      </x:c>
      <x:c r="B1125" s="14" t="str">
        <x:v>Петрів Вадим Романович</x:v>
      </x:c>
      <x:c r="C1125" s="14" t="str">
        <x:v>3200112653</x:v>
      </x:c>
      <x:c r="D1125" s="14" t="str">
        <x:v>Чисті приміщення</x:v>
      </x:c>
      <x:c r="E1125" s="14" t="str">
        <x:v>Expansion discovery</x:v>
      </x:c>
      <x:c r="F1125" s="14" t="str">
        <x:v>I3</x:v>
      </x:c>
      <x:c r="G1125" s="14" t="n">
        <x:v>36</x:v>
      </x:c>
      <x:c r="H1125" s="14" t="n">
        <x:v>2</x:v>
      </x:c>
      <x:c r="I1125" s="14" t="n">
        <x:v>0</x:v>
      </x:c>
      <x:c r="J1125" s="18" t="n">
        <x:v>59000</x:v>
      </x:c>
      <x:c r="K1125" s="19" t="n">
        <x:v>45645.39821175926</x:v>
      </x:c>
      <x:c r="L1125" s="19" t="n">
        <x:v>45651</x:v>
      </x:c>
      <x:c r="M1125" s="15" t="str">
        <x:v>Технічний паспорт -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x:v>
      </x:c>
      <x:c r="N1125" s="15" t="str">
        <x:v>https://prozorro.gov.ua/tender/UA-2024-12-19-006785-a</x:v>
      </x:c>
    </x:row>
    <x:row r="1126">
      <x:c r="A1126" s="14" t="n">
        <x:v>1122</x:v>
      </x:c>
      <x:c r="B1126" s="14" t="str">
        <x:v>ВІТИК ТАРАС РОМАНОВИЧ</x:v>
      </x:c>
      <x:c r="C1126" s="14" t="str">
        <x:v>2746811436</x:v>
      </x:c>
      <x:c r="D1126" s="14" t="str">
        <x:v>Безпека / СКУД / CCTV</x:v>
      </x:c>
      <x:c r="E1126" s="14" t="str">
        <x:v>Expansion discovery</x:v>
      </x:c>
      <x:c r="F1126" s="14" t="str">
        <x:v>I3</x:v>
      </x:c>
      <x:c r="G1126" s="14" t="n">
        <x:v>35</x:v>
      </x:c>
      <x:c r="H1126" s="14" t="n">
        <x:v>1</x:v>
      </x:c>
      <x:c r="I1126" s="14" t="n">
        <x:v>1</x:v>
      </x:c>
      <x:c r="J1126" s="18" t="n">
        <x:v>14387.31</x:v>
      </x:c>
      <x:c r="K1126" s="19" t="n">
        <x:v>46119.47239679398</x:v>
      </x:c>
      <x:c r="L1126" s="19" t="n">
        <x:v>46387</x:v>
      </x:c>
      <x:c r="M1126" s="15" t="str">
        <x:v>Послуги з монтажу та налагоджування системи контролю доступу по вул.Стефаника,2</x:v>
      </x:c>
      <x:c r="N1126" s="15" t="str">
        <x:v>https://prozorro.gov.ua/tender/UA-2026-04-07-008585-a</x:v>
      </x:c>
    </x:row>
    <x:row r="1127">
      <x:c r="A1127" s="14" t="n">
        <x:v>1123</x:v>
      </x:c>
      <x:c r="B1127" s="14" t="str">
        <x:v>ГАВРИЩУК ТЕТЯНА ЯРОСЛАВІВНА</x:v>
      </x:c>
      <x:c r="C1127" s="14" t="str">
        <x:v>2964801488</x:v>
      </x:c>
      <x:c r="D1127" s="14" t="str">
        <x:v>HVAC / ОВіК</x:v>
      </x:c>
      <x:c r="E1127" s="14" t="str">
        <x:v>Pilot now</x:v>
      </x:c>
      <x:c r="F1127" s="14" t="str">
        <x:v>I3</x:v>
      </x:c>
      <x:c r="G1127" s="14" t="n">
        <x:v>35</x:v>
      </x:c>
      <x:c r="H1127" s="14" t="n">
        <x:v>1</x:v>
      </x:c>
      <x:c r="I1127" s="14" t="n">
        <x:v>1</x:v>
      </x:c>
      <x:c r="J1127" s="18" t="n">
        <x:v>21058</x:v>
      </x:c>
      <x:c r="K1127" s="19" t="n">
        <x:v>46092.52821265046</x:v>
      </x:c>
      <x:c r="L1127" s="19" t="n">
        <x:v>46387</x:v>
      </x:c>
      <x:c r="M1127" s="15" t="str">
        <x:v>Монтаж обладнання для системи вентиляції повітря</x:v>
      </x:c>
      <x:c r="N1127" s="15" t="str">
        <x:v>https://prozorro.gov.ua/tender/UA-2026-03-11-009469-a</x:v>
      </x:c>
    </x:row>
    <x:row r="1128">
      <x:c r="A1128" s="14" t="n">
        <x:v>1124</x:v>
      </x:c>
      <x:c r="B1128" s="14" t="str">
        <x:v>МАКОВІЙ ОЛЕКСАНДР ВІКТОРОВИЧ</x:v>
      </x:c>
      <x:c r="C1128" s="14" t="str">
        <x:v>3225620512</x:v>
      </x:c>
      <x:c r="D1128" s="14" t="str">
        <x:v>Електромонтаж</x:v>
      </x:c>
      <x:c r="E1128" s="14" t="str">
        <x:v>Pilot now</x:v>
      </x:c>
      <x:c r="F1128" s="14" t="str">
        <x:v>I3</x:v>
      </x:c>
      <x:c r="G1128" s="14" t="n">
        <x:v>35</x:v>
      </x:c>
      <x:c r="H1128" s="14" t="n">
        <x:v>1</x:v>
      </x:c>
      <x:c r="I1128" s="14" t="n">
        <x:v>1</x:v>
      </x:c>
      <x:c r="J1128" s="18" t="n">
        <x:v>22315</x:v>
      </x:c>
      <x:c r="K1128" s="19" t="n">
        <x:v>46055.277131284725</x:v>
      </x:c>
      <x:c r="L1128" s="19" t="n">
        <x:v>46387</x:v>
      </x:c>
      <x:c r="M1128"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x:v>
      </x:c>
      <x:c r="N1128" s="15" t="str">
        <x:v>https://prozorro.gov.ua/tender/UA-2026-02-02-000218-a</x:v>
      </x:c>
    </x:row>
    <x:row r="1129">
      <x:c r="A1129" s="14" t="n">
        <x:v>1125</x:v>
      </x:c>
      <x:c r="B1129" s="14" t="str">
        <x:v>РУМЯНЦЕВ РУСЛАН СЕРГІЙОВИЧ</x:v>
      </x:c>
      <x:c r="C1129" s="14" t="str">
        <x:v>2858401831</x:v>
      </x:c>
      <x:c r="D1129" s="14" t="str">
        <x:v>HVAC / ОВіК</x:v>
      </x:c>
      <x:c r="E1129" s="14" t="str">
        <x:v>Pilot now</x:v>
      </x:c>
      <x:c r="F1129" s="14" t="str">
        <x:v>I3</x:v>
      </x:c>
      <x:c r="G1129" s="14" t="n">
        <x:v>35</x:v>
      </x:c>
      <x:c r="H1129" s="14" t="n">
        <x:v>1</x:v>
      </x:c>
      <x:c r="I1129" s="14" t="n">
        <x:v>1</x:v>
      </x:c>
      <x:c r="J1129" s="18" t="n">
        <x:v>99520</x:v>
      </x:c>
      <x:c r="K1129" s="19" t="n">
        <x:v>46086.51481393519</x:v>
      </x:c>
      <x:c r="L1129" s="19" t="n">
        <x:v>46387</x:v>
      </x:c>
      <x:c r="M1129"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x:v>
      </x:c>
      <x:c r="N1129" s="15" t="str">
        <x:v>https://prozorro.gov.ua/tender/UA-2026-03-05-009153-a</x:v>
      </x:c>
    </x:row>
    <x:row r="1130">
      <x:c r="A1130" s="14" t="n">
        <x:v>1126</x:v>
      </x:c>
      <x:c r="B1130" s="14" t="str">
        <x:v>Фізична особа-підприємець Арутюнов А.О.</x:v>
      </x:c>
      <x:c r="C1130" s="14" t="str">
        <x:v>3261706839</x:v>
      </x:c>
      <x:c r="D1130" s="14" t="str">
        <x:v>Внутрішні сантехнічні системи</x:v>
      </x:c>
      <x:c r="E1130" s="14" t="str">
        <x:v>Pilot now</x:v>
      </x:c>
      <x:c r="F1130" s="14" t="str">
        <x:v>I3</x:v>
      </x:c>
      <x:c r="G1130" s="14" t="n">
        <x:v>35</x:v>
      </x:c>
      <x:c r="H1130" s="14" t="n">
        <x:v>1</x:v>
      </x:c>
      <x:c r="I1130" s="14" t="n">
        <x:v>1</x:v>
      </x:c>
      <x:c r="J1130" s="18" t="n">
        <x:v>54728</x:v>
      </x:c>
      <x:c r="K1130" s="19" t="n">
        <x:v>46084.63204355324</x:v>
      </x:c>
      <x:c r="L1130" s="19" t="n">
        <x:v>46387</x:v>
      </x:c>
      <x:c r="M1130"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x:v>
      </x:c>
      <x:c r="N1130" s="15" t="str">
        <x:v>https://prozorro.gov.ua/tender/UA-2026-03-03-014499-a</x:v>
      </x:c>
    </x:row>
    <x:row r="1131">
      <x:c r="A1131" s="14" t="n">
        <x:v>1127</x:v>
      </x:c>
      <x:c r="B1131" s="14" t="str">
        <x:v>ФОП "Іванов Р.О."</x:v>
      </x:c>
      <x:c r="C1131" s="14" t="str">
        <x:v>2645312176</x:v>
      </x:c>
      <x:c r="D1131" s="14" t="str">
        <x:v>Промисловий холод</x:v>
      </x:c>
      <x:c r="E1131" s="14" t="str">
        <x:v>Expansion discovery</x:v>
      </x:c>
      <x:c r="F1131" s="14" t="str">
        <x:v>I3</x:v>
      </x:c>
      <x:c r="G1131" s="14" t="n">
        <x:v>35</x:v>
      </x:c>
      <x:c r="H1131" s="14" t="n">
        <x:v>1</x:v>
      </x:c>
      <x:c r="I1131" s="14" t="n">
        <x:v>1</x:v>
      </x:c>
      <x:c r="J1131" s="18" t="n">
        <x:v>11500</x:v>
      </x:c>
      <x:c r="K1131" s="19" t="n">
        <x:v>46084.31268465278</x:v>
      </x:c>
      <x:c r="L1131" s="19" t="n">
        <x:v>46377.31267361111</x:v>
      </x:c>
      <x:c r="M1131" s="15" t="str">
        <x:v>Монтаж та технічне обслуговування холодильного обладнання (холодильний кулбаїн Olmo ECO-COOL S3.1k).</x:v>
      </x:c>
      <x:c r="N1131" s="15" t="str">
        <x:v>https://prozorro.gov.ua/tender/UA-2026-03-03-000950-a</x:v>
      </x:c>
    </x:row>
    <x:row r="1132">
      <x:c r="A1132" s="14" t="n">
        <x:v>1128</x:v>
      </x:c>
      <x:c r="B1132" s="14" t="str">
        <x:v>ФОП "МЕРЕЖКО МИКИТА АНДРІЙОВИЧ"</x:v>
      </x:c>
      <x:c r="C1132" s="14" t="str">
        <x:v>3408617498</x:v>
      </x:c>
      <x:c r="D1132" s="14" t="str">
        <x:v>Промисловий холод</x:v>
      </x:c>
      <x:c r="E1132" s="14" t="str">
        <x:v>Expansion discovery</x:v>
      </x:c>
      <x:c r="F1132" s="14" t="str">
        <x:v>I3</x:v>
      </x:c>
      <x:c r="G1132" s="14" t="n">
        <x:v>35</x:v>
      </x:c>
      <x:c r="H1132" s="14" t="n">
        <x:v>1</x:v>
      </x:c>
      <x:c r="I1132" s="14" t="n">
        <x:v>1</x:v>
      </x:c>
      <x:c r="J1132" s="18" t="n">
        <x:v>600000</x:v>
      </x:c>
      <x:c r="K1132" s="19" t="n">
        <x:v>46014.59971059028</x:v>
      </x:c>
      <x:c r="L1132" s="19" t="n">
        <x:v>46387</x:v>
      </x:c>
      <x:c r="M1132"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x:v>
      </x:c>
      <x:c r="N1132" s="15" t="str">
        <x:v>https://prozorro.gov.ua/tender/UA-2025-12-15-018436-a</x:v>
      </x:c>
    </x:row>
    <x:row r="1133">
      <x:c r="A1133" s="14" t="n">
        <x:v>1129</x:v>
      </x:c>
      <x:c r="B1133" s="14" t="str">
        <x:v>ФОП Арсентьєв Андрій Валерійович</x:v>
      </x:c>
      <x:c r="C1133" s="14" t="str">
        <x:v>3023807252</x:v>
      </x:c>
      <x:c r="D1133" s="14" t="str">
        <x:v>Водоочищення / очисні споруди</x:v>
      </x:c>
      <x:c r="E1133" s="14" t="str">
        <x:v>Expansion discovery</x:v>
      </x:c>
      <x:c r="F1133" s="14" t="str">
        <x:v>I3</x:v>
      </x:c>
      <x:c r="G1133" s="14" t="n">
        <x:v>35</x:v>
      </x:c>
      <x:c r="H1133" s="14" t="n">
        <x:v>1</x:v>
      </x:c>
      <x:c r="I1133" s="14" t="n">
        <x:v>1</x:v>
      </x:c>
      <x:c r="J1133" s="18" t="n">
        <x:v>95000</x:v>
      </x:c>
      <x:c r="K1133" s="19" t="n">
        <x:v>46080.25989543981</x:v>
      </x:c>
      <x:c r="L1133" s="19" t="n">
        <x:v>46387.26039351852</x:v>
      </x:c>
      <x:c r="M1133"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1133" s="15" t="str">
        <x:v>https://prozorro.gov.ua/tender/UA-2026-02-27-000133-a</x:v>
      </x:c>
    </x:row>
    <x:row r="1134">
      <x:c r="A1134" s="14" t="n">
        <x:v>1130</x:v>
      </x:c>
      <x:c r="B1134" s="14" t="str">
        <x:v>ФОП Бортнік Роман Андрійович</x:v>
      </x:c>
      <x:c r="C1134" s="14" t="str">
        <x:v>3376707477</x:v>
      </x:c>
      <x:c r="D1134" s="14" t="str">
        <x:v>Сонячна енергетика</x:v>
      </x:c>
      <x:c r="E1134" s="14" t="str">
        <x:v>Expansion discovery</x:v>
      </x:c>
      <x:c r="F1134" s="14" t="str">
        <x:v>I3</x:v>
      </x:c>
      <x:c r="G1134" s="14" t="n">
        <x:v>35</x:v>
      </x:c>
      <x:c r="H1134" s="14" t="n">
        <x:v>1</x:v>
      </x:c>
      <x:c r="I1134" s="14" t="n">
        <x:v>1</x:v>
      </x:c>
      <x:c r="J1134" s="18" t="n">
        <x:v>99000</x:v>
      </x:c>
      <x:c r="K1134" s="19" t="n">
        <x:v>46030.520002083336</x:v>
      </x:c>
      <x:c r="L1134" s="19" t="n">
        <x:v>46387.52075231481</x:v>
      </x:c>
      <x:c r="M1134" s="15" t="str">
        <x:v>Послуги монтажу  сонячної електростанції</x:v>
      </x:c>
      <x:c r="N1134" s="15" t="str">
        <x:v>https://prozorro.gov.ua/tender/UA-2026-01-08-004937-a</x:v>
      </x:c>
    </x:row>
    <x:row r="1135">
      <x:c r="A1135" s="14" t="n">
        <x:v>1131</x:v>
      </x:c>
      <x:c r="B1135" s="14" t="str">
        <x:v>ФОП Дзюба Олександр Володимирович</x:v>
      </x:c>
      <x:c r="C1135" s="14" t="str">
        <x:v>3017110871</x:v>
      </x:c>
      <x:c r="D1135" s="14" t="str">
        <x:v>Промисловий холод</x:v>
      </x:c>
      <x:c r="E1135" s="14" t="str">
        <x:v>Expansion discovery</x:v>
      </x:c>
      <x:c r="F1135" s="14" t="str">
        <x:v>I3</x:v>
      </x:c>
      <x:c r="G1135" s="14" t="n">
        <x:v>35</x:v>
      </x:c>
      <x:c r="H1135" s="14" t="n">
        <x:v>1</x:v>
      </x:c>
      <x:c r="I1135" s="14" t="n">
        <x:v>1</x:v>
      </x:c>
      <x:c r="J1135" s="18" t="n">
        <x:v>98064</x:v>
      </x:c>
      <x:c r="K1135" s="19" t="n">
        <x:v>46105.356499421294</x:v>
      </x:c>
      <x:c r="L1135" s="19" t="n">
        <x:v>46387.35738425926</x:v>
      </x:c>
      <x:c r="M1135" s="15" t="str">
        <x:v>Послуги з монтажу/демонтажу холодильного обладнання</x:v>
      </x:c>
      <x:c r="N1135" s="15" t="str">
        <x:v>https://prozorro.gov.ua/tender/UA-2026-03-24-003055-a</x:v>
      </x:c>
    </x:row>
    <x:row r="1136">
      <x:c r="A1136" s="14" t="n">
        <x:v>1132</x:v>
      </x:c>
      <x:c r="B1136" s="14" t="str">
        <x:v>ФОП Іванов Юрій Вікторович</x:v>
      </x:c>
      <x:c r="C1136" s="14" t="str">
        <x:v>3415515417</x:v>
      </x:c>
      <x:c r="D1136" s="14" t="str">
        <x:v>Резервне живлення</x:v>
      </x:c>
      <x:c r="E1136" s="14" t="str">
        <x:v>Pilot now</x:v>
      </x:c>
      <x:c r="F1136" s="14" t="str">
        <x:v>I3</x:v>
      </x:c>
      <x:c r="G1136" s="14" t="n">
        <x:v>35</x:v>
      </x:c>
      <x:c r="H1136" s="14" t="n">
        <x:v>1</x:v>
      </x:c>
      <x:c r="I1136" s="14" t="n">
        <x:v>1</x:v>
      </x:c>
      <x:c r="J1136" s="18" t="n">
        <x:v>32160</x:v>
      </x:c>
      <x:c r="K1136" s="19" t="n">
        <x:v>46069.48450449074</x:v>
      </x:c>
      <x:c r="L1136" s="19" t="n">
        <x:v>46387.4793287037</x:v>
      </x:c>
      <x:c r="M1136" s="15" t="str">
        <x:v>ДК021:2015:51110000-6 - Послуги зі встановлення електричного обладнання (Послуги з монтажу дизель-генератора)</x:v>
      </x:c>
      <x:c r="N1136" s="15" t="str">
        <x:v>https://prozorro.gov.ua/tender/UA-2026-02-16-007261-a</x:v>
      </x:c>
    </x:row>
    <x:row r="1137">
      <x:c r="A1137" s="14" t="n">
        <x:v>1133</x:v>
      </x:c>
      <x:c r="B1137" s="14" t="str">
        <x:v>ФОП Коваль Юрій Анатолійович</x:v>
      </x:c>
      <x:c r="C1137" s="14" t="str">
        <x:v>3202415811</x:v>
      </x:c>
      <x:c r="D1137" s="14" t="str">
        <x:v>Промислова електрика / ПНР</x:v>
      </x:c>
      <x:c r="E1137" s="14" t="str">
        <x:v>Pilot now</x:v>
      </x:c>
      <x:c r="F1137" s="14" t="str">
        <x:v>I3</x:v>
      </x:c>
      <x:c r="G1137" s="14" t="n">
        <x:v>35</x:v>
      </x:c>
      <x:c r="H1137" s="14" t="n">
        <x:v>1</x:v>
      </x:c>
      <x:c r="I1137" s="14" t="n">
        <x:v>1</x:v>
      </x:c>
      <x:c r="J1137" s="18" t="n">
        <x:v>99962</x:v>
      </x:c>
      <x:c r="K1137" s="19" t="n">
        <x:v>46084.440423402775</x:v>
      </x:c>
      <x:c r="L1137" s="19" t="n">
        <x:v>46387.44105324074</x:v>
      </x:c>
      <x:c r="M1137" s="15" t="str">
        <x:v>Пусконалагоджувальні та електромонтажні роботи  на об'єкті Замовника за адресою: с. Переможне, вул. Шевченка 3 (Класифікація за ДК 021-2015 (CPV) 45310000-3 - Електромонтажні роботи)</x:v>
      </x:c>
      <x:c r="N1137" s="15" t="str">
        <x:v>https://prozorro.gov.ua/tender/UA-2026-03-03-006542-a</x:v>
      </x:c>
    </x:row>
    <x:row r="1138">
      <x:c r="A1138" s="14" t="n">
        <x:v>1134</x:v>
      </x:c>
      <x:c r="B1138" s="14" t="str">
        <x:v>ФОП Ковальчук П. Я.</x:v>
      </x:c>
      <x:c r="C1138" s="14" t="str">
        <x:v>3529106677</x:v>
      </x:c>
      <x:c r="D1138" s="14" t="str">
        <x:v>Мости / інфраструктура</x:v>
      </x:c>
      <x:c r="E1138" s="14" t="str">
        <x:v>Expansion discovery</x:v>
      </x:c>
      <x:c r="F1138" s="14" t="str">
        <x:v>I3</x:v>
      </x:c>
      <x:c r="G1138" s="14" t="n">
        <x:v>35</x:v>
      </x:c>
      <x:c r="H1138" s="14" t="n">
        <x:v>1</x:v>
      </x:c>
      <x:c r="I1138" s="14" t="n">
        <x:v>1</x:v>
      </x:c>
      <x:c r="J1138" s="18" t="n">
        <x:v>18700</x:v>
      </x:c>
      <x:c r="K1138" s="19" t="n">
        <x:v>46129.35597673611</x:v>
      </x:c>
      <x:c r="L1138" s="19" t="n">
        <x:v>46387.39959490741</x:v>
      </x:c>
      <x:c r="M1138" s="15" t="str">
        <x:v>Ремонт заднього моста автобуса KING LONG</x:v>
      </x:c>
      <x:c r="N1138" s="15" t="str">
        <x:v>https://prozorro.gov.ua/tender/UA-2026-04-17-004350-a</x:v>
      </x:c>
    </x:row>
    <x:row r="1139">
      <x:c r="A1139" s="14" t="n">
        <x:v>1135</x:v>
      </x:c>
      <x:c r="B1139" s="14" t="str">
        <x:v>ФОП Коломоєць Владислав Віктор</x:v>
      </x:c>
      <x:c r="C1139" s="14" t="str">
        <x:v>3542802273</x:v>
      </x:c>
      <x:c r="D1139" s="14" t="str">
        <x:v>HVAC / ОВіК</x:v>
      </x:c>
      <x:c r="E1139" s="14" t="str">
        <x:v>Pilot now</x:v>
      </x:c>
      <x:c r="F1139" s="14" t="str">
        <x:v>I3</x:v>
      </x:c>
      <x:c r="G1139" s="14" t="n">
        <x:v>35</x:v>
      </x:c>
      <x:c r="H1139" s="14" t="n">
        <x:v>1</x:v>
      </x:c>
      <x:c r="I1139" s="14" t="n">
        <x:v>1</x:v>
      </x:c>
      <x:c r="J1139" s="18" t="n">
        <x:v>90000</x:v>
      </x:c>
      <x:c r="K1139" s="19" t="n">
        <x:v>46121.58445769676</x:v>
      </x:c>
      <x:c r="L1139" s="19" t="n">
        <x:v>46387.62795138889</x:v>
      </x:c>
      <x:c r="M1139"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x:v>
      </x:c>
      <x:c r="N1139" s="15" t="str">
        <x:v>https://prozorro.gov.ua/tender/UA-2026-04-09-011827-a</x:v>
      </x:c>
    </x:row>
    <x:row r="1140">
      <x:c r="A1140" s="14" t="n">
        <x:v>1136</x:v>
      </x:c>
      <x:c r="B1140" s="14" t="str">
        <x:v>ФОП ЛИСУЄНКО ВІТАЛІЙ ІВАНОВИЧ</x:v>
      </x:c>
      <x:c r="C1140" s="14" t="str">
        <x:v>2476104098</x:v>
      </x:c>
      <x:c r="D1140" s="14" t="str">
        <x:v>Внутрішні сантехнічні системи</x:v>
      </x:c>
      <x:c r="E1140" s="14" t="str">
        <x:v>Pilot now</x:v>
      </x:c>
      <x:c r="F1140" s="14" t="str">
        <x:v>I3</x:v>
      </x:c>
      <x:c r="G1140" s="14" t="n">
        <x:v>35</x:v>
      </x:c>
      <x:c r="H1140" s="14" t="n">
        <x:v>1</x:v>
      </x:c>
      <x:c r="I1140" s="14" t="n">
        <x:v>1</x:v>
      </x:c>
      <x:c r="J1140" s="18" t="n">
        <x:v>50533.07</x:v>
      </x:c>
      <x:c r="K1140" s="19" t="n">
        <x:v>46132.50312732639</x:v>
      </x:c>
      <x:c r="L1140" s="19" t="n">
        <x:v>46387</x:v>
      </x:c>
      <x:c r="M1140"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x:v>
      </x:c>
      <x:c r="N1140" s="15" t="str">
        <x:v>https://prozorro.gov.ua/tender/UA-2026-04-20-008416-a</x:v>
      </x:c>
    </x:row>
    <x:row r="1141">
      <x:c r="A1141" s="14" t="n">
        <x:v>1137</x:v>
      </x:c>
      <x:c r="B1141" s="14" t="str">
        <x:v>ФОП ПУЧКОВ АРТЕМ ВІКТОРОВИЧ</x:v>
      </x:c>
      <x:c r="C1141" s="14" t="str">
        <x:v>3361014554</x:v>
      </x:c>
      <x:c r="D1141" s="14" t="str">
        <x:v>Металоконструкції</x:v>
      </x:c>
      <x:c r="E1141" s="14" t="str">
        <x:v>Expansion discovery</x:v>
      </x:c>
      <x:c r="F1141" s="14" t="str">
        <x:v>I3</x:v>
      </x:c>
      <x:c r="G1141" s="14" t="n">
        <x:v>35</x:v>
      </x:c>
      <x:c r="H1141" s="14" t="n">
        <x:v>1</x:v>
      </x:c>
      <x:c r="I1141" s="14" t="n">
        <x:v>1</x:v>
      </x:c>
      <x:c r="J1141" s="18" t="n">
        <x:v>87000</x:v>
      </x:c>
      <x:c r="K1141" s="19" t="n">
        <x:v>46127.44116527778</x:v>
      </x:c>
      <x:c r="L1141" s="19" t="n">
        <x:v>46387</x:v>
      </x:c>
      <x:c r="M1141" s="15" t="str">
        <x:v>Монтаж металоконструкції полігональної фігури "Розколоте серце" (ДК 021:2015:45220000-5: Інженерні та будівельні роботи)</x:v>
      </x:c>
      <x:c r="N1141" s="15" t="str">
        <x:v>https://prozorro.gov.ua/tender/UA-2026-04-15-001422-a</x:v>
      </x:c>
    </x:row>
    <x:row r="1142">
      <x:c r="A1142" s="14" t="n">
        <x:v>1138</x:v>
      </x:c>
      <x:c r="B1142" s="14" t="str">
        <x:v>ФОП СМОЛІЙ НАЗАР ЯРОСЛАВОВИЧ</x:v>
      </x:c>
      <x:c r="C1142" s="14" t="str">
        <x:v>2976213114</x:v>
      </x:c>
      <x:c r="D1142" s="14" t="str">
        <x:v>Пасивний вогнезахист</x:v>
      </x:c>
      <x:c r="E1142" s="14" t="str">
        <x:v>Expansion discovery</x:v>
      </x:c>
      <x:c r="F1142" s="14" t="str">
        <x:v>I3</x:v>
      </x:c>
      <x:c r="G1142" s="14" t="n">
        <x:v>35</x:v>
      </x:c>
      <x:c r="H1142" s="14" t="n">
        <x:v>1</x:v>
      </x:c>
      <x:c r="I1142" s="14" t="n">
        <x:v>1</x:v>
      </x:c>
      <x:c r="J1142" s="18" t="n">
        <x:v>3827.4</x:v>
      </x:c>
      <x:c r="K1142" s="19" t="n">
        <x:v>46115.36972019676</x:v>
      </x:c>
      <x:c r="L1142" s="19" t="n">
        <x:v>46387</x:v>
      </x:c>
      <x:c r="M1142" s="15" t="str">
        <x:v>Вогнезахисна обробка дерев'яних конструкцій перекриття</x:v>
      </x:c>
      <x:c r="N1142" s="15" t="str">
        <x:v>https://prozorro.gov.ua/tender/UA-2026-04-03-005026-a</x:v>
      </x:c>
    </x:row>
    <x:row r="1143">
      <x:c r="A1143" s="14" t="n">
        <x:v>1139</x:v>
      </x:c>
      <x:c r="B1143" s="14" t="str">
        <x:v>ФОП Хомюк Ольга Леонідівна</x:v>
      </x:c>
      <x:c r="C1143" s="14" t="str">
        <x:v>3288617167</x:v>
      </x:c>
      <x:c r="D1143" s="14" t="str">
        <x:v>Промислова теплоізоляція</x:v>
      </x:c>
      <x:c r="E1143" s="14" t="str">
        <x:v>Expansion discovery</x:v>
      </x:c>
      <x:c r="F1143" s="14" t="str">
        <x:v>I3</x:v>
      </x:c>
      <x:c r="G1143" s="14" t="n">
        <x:v>35</x:v>
      </x:c>
      <x:c r="H1143" s="14" t="n">
        <x:v>1</x:v>
      </x:c>
      <x:c r="I1143" s="14" t="n">
        <x:v>1</x:v>
      </x:c>
      <x:c r="J1143" s="18" t="n">
        <x:v>21777</x:v>
      </x:c>
      <x:c r="K1143" s="19" t="n">
        <x:v>46091.56088665509</x:v>
      </x:c>
      <x:c r="L1143" s="19" t="n">
        <x:v>46387</x:v>
      </x:c>
      <x:c r="M1143" s="15" t="str">
        <x:v>Теплоізоляція трубопроводів з спіненого  поліетилену</x:v>
      </x:c>
      <x:c r="N1143" s="15" t="str">
        <x:v>https://prozorro.gov.ua/tender/UA-2026-02-24-004183-a</x:v>
      </x:c>
    </x:row>
    <x:row r="1144">
      <x:c r="A1144" s="14" t="n">
        <x:v>1140</x:v>
      </x:c>
      <x:c r="B1144" s="14" t="str">
        <x:v>ПОДОЛЯКА АНАТОЛІЙ МИКОЛАЙОВИЧ</x:v>
      </x:c>
      <x:c r="C1144" s="14" t="str">
        <x:v>2099304597</x:v>
      </x:c>
      <x:c r="D1144" s="14" t="str">
        <x:v>Електромонтаж</x:v>
      </x:c>
      <x:c r="E1144" s="14" t="str">
        <x:v>Pilot now</x:v>
      </x:c>
      <x:c r="F1144" s="14" t="str">
        <x:v>I3</x:v>
      </x:c>
      <x:c r="G1144" s="14" t="n">
        <x:v>35</x:v>
      </x:c>
      <x:c r="H1144" s="14" t="n">
        <x:v>2</x:v>
      </x:c>
      <x:c r="I1144" s="14" t="n">
        <x:v>0</x:v>
      </x:c>
      <x:c r="J1144" s="18" t="n">
        <x:v>8300</x:v>
      </x:c>
      <x:c r="K1144" s="19" t="n">
        <x:v>46031.57680336806</x:v>
      </x:c>
      <x:c r="L1144" s="19" t="n">
        <x:v>46053</x:v>
      </x:c>
      <x:c r="M1144"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x:v>
      </x:c>
      <x:c r="N1144" s="15" t="str">
        <x:v>https://prozorro.gov.ua/tender/UA-2026-01-09-007123-a</x:v>
      </x:c>
    </x:row>
    <x:row r="1145">
      <x:c r="A1145" s="14" t="n">
        <x:v>1141</x:v>
      </x:c>
      <x:c r="B1145" s="14" t="str">
        <x:v>ПРИВАТНЕ ПІДПРИЄМСТВО "ІНСТАЛ ГРУП"</x:v>
      </x:c>
      <x:c r="C1145" s="14" t="str">
        <x:v>39812602</x:v>
      </x:c>
      <x:c r="D1145" s="14" t="str">
        <x:v>Резервне живлення</x:v>
      </x:c>
      <x:c r="E1145" s="14" t="str">
        <x:v>Expansion discovery</x:v>
      </x:c>
      <x:c r="F1145" s="14" t="str">
        <x:v>I3</x:v>
      </x:c>
      <x:c r="G1145" s="14" t="n">
        <x:v>35</x:v>
      </x:c>
      <x:c r="H1145" s="14" t="n">
        <x:v>3</x:v>
      </x:c>
      <x:c r="I1145" s="14" t="n">
        <x:v>0</x:v>
      </x:c>
      <x:c r="J1145" s="18" t="n">
        <x:v>46000</x:v>
      </x:c>
      <x:c r="K1145" s="19" t="n">
        <x:v>46001.31072509259</x:v>
      </x:c>
      <x:c r="L1145" s="19" t="n">
        <x:v>46022.31108796296</x:v>
      </x:c>
      <x:c r="M1145" s="15" t="str">
        <x:v>Електромонтажні роботи (послуги з монтажу системи безперебійного живлення)</x:v>
      </x:c>
      <x:c r="N1145" s="15" t="str">
        <x:v>https://prozorro.gov.ua/tender/UA-2025-12-10-001371-a</x:v>
      </x:c>
    </x:row>
    <x:row r="1146">
      <x:c r="A1146" s="14" t="n">
        <x:v>1142</x:v>
      </x:c>
      <x:c r="B1146" s="14" t="str">
        <x:v>Фізична особа-підприємець Андрєєв Сергій Сергійович</x:v>
      </x:c>
      <x:c r="C1146" s="14" t="str">
        <x:v>2923003278</x:v>
      </x:c>
      <x:c r="D1146" s="14" t="str">
        <x:v>Внутрішні сантехнічні системи</x:v>
      </x:c>
      <x:c r="E1146" s="14" t="str">
        <x:v>Pilot now</x:v>
      </x:c>
      <x:c r="F1146" s="14" t="str">
        <x:v>I3</x:v>
      </x:c>
      <x:c r="G1146" s="14" t="n">
        <x:v>35</x:v>
      </x:c>
      <x:c r="H1146" s="14" t="n">
        <x:v>1</x:v>
      </x:c>
      <x:c r="I1146" s="14" t="n">
        <x:v>0</x:v>
      </x:c>
      <x:c r="J1146" s="18" t="n">
        <x:v>14188.96</x:v>
      </x:c>
      <x:c r="K1146" s="19" t="n">
        <x:v>46120.59742189815</x:v>
      </x:c>
      <x:c r="L1146" s="19" t="n">
        <x:v>46127</x:v>
      </x:c>
      <x:c r="M1146"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x:v>
      </x:c>
      <x:c r="N1146" s="15" t="str">
        <x:v>https://prozorro.gov.ua/tender/UA-2026-04-08-014032-a</x:v>
      </x:c>
    </x:row>
    <x:row r="1147">
      <x:c r="A1147" s="14" t="n">
        <x:v>1143</x:v>
      </x:c>
      <x:c r="B1147" s="14" t="str">
        <x:v>ФОП "ВЕКЛИНЕЦЬ ОЛЕКСАНДР ВАСИЛЬОВИЧ"</x:v>
      </x:c>
      <x:c r="C1147" s="14" t="str">
        <x:v>2819020257</x:v>
      </x:c>
      <x:c r="D1147" s="14" t="str">
        <x:v>Резервне живлення</x:v>
      </x:c>
      <x:c r="E1147" s="14" t="str">
        <x:v>Pilot now</x:v>
      </x:c>
      <x:c r="F1147" s="14" t="str">
        <x:v>I3</x:v>
      </x:c>
      <x:c r="G1147" s="14" t="n">
        <x:v>35</x:v>
      </x:c>
      <x:c r="H1147" s="14" t="n">
        <x:v>1</x:v>
      </x:c>
      <x:c r="I1147" s="14" t="n">
        <x:v>0</x:v>
      </x:c>
      <x:c r="J1147" s="18" t="n">
        <x:v>795240</x:v>
      </x:c>
      <x:c r="K1147" s="19" t="n">
        <x:v>45995.46840572917</x:v>
      </x:c>
      <x:c r="L1147" s="19" t="n">
        <x:v>46010.52940972222</x:v>
      </x:c>
      <x:c r="M1147" s="15" t="str">
        <x:v>Комплект відеокамер зовнішнього встановлення  з монтажем (Комутаційна коробка, Корпус електротехнічного призначення, Вита пара зовнішньої прокладки, Кронштейн для камери відеоспостереження на електроопору, Самонесучий ізольований провід, Блок безперебійного живлення, Акумулятор гелевий 12В 7А, Кабель ВВГ-нг 3*1,5, Проколюючий зажим,Розетка на DIN рейку РМ-16, модульна, Автоматичний вимикач 1P, In=6А, «C», 6kA, Блок розподільчий 80А, Шпилька М8х1000,Шайба 25х8х3 мм.. оцинкована, Гайки М8)</x:v>
      </x:c>
      <x:c r="N1147" s="15" t="str">
        <x:v>https://prozorro.gov.ua/tender/UA-2025-11-21-011312-a</x:v>
      </x:c>
    </x:row>
    <x:row r="1148">
      <x:c r="A1148" s="14" t="n">
        <x:v>1144</x:v>
      </x:c>
      <x:c r="B1148" s="14" t="str">
        <x:v>ФОП "ЗАХАРОВ ІГОР ВІКТОРОВИЧ"</x:v>
      </x:c>
      <x:c r="C1148" s="14" t="str">
        <x:v>3055306479</x:v>
      </x:c>
      <x:c r="D1148" s="14" t="str">
        <x:v>СКС / BMS / слаботочка</x:v>
      </x:c>
      <x:c r="E1148" s="14" t="str">
        <x:v>Expansion discovery</x:v>
      </x:c>
      <x:c r="F1148" s="14" t="str">
        <x:v>I3</x:v>
      </x:c>
      <x:c r="G1148" s="14" t="n">
        <x:v>35</x:v>
      </x:c>
      <x:c r="H1148" s="14" t="n">
        <x:v>1</x:v>
      </x:c>
      <x:c r="I1148" s="14" t="n">
        <x:v>0</x:v>
      </x:c>
      <x:c r="J1148" s="18" t="n">
        <x:v>1569426.28</x:v>
      </x:c>
      <x:c r="K1148" s="19" t="n">
        <x:v>45909.354497719905</x:v>
      </x:c>
      <x:c r="L1148" s="19" t="n">
        <x:v>46011</x:v>
      </x:c>
      <x:c r="M1148" s="15" t="str">
        <x:v>Послуги з монтажу і налагодження структурованої кабельної системи</x:v>
      </x:c>
      <x:c r="N1148" s="15" t="str">
        <x:v>https://prozorro.gov.ua/tender/UA-2025-08-28-009555-a</x:v>
      </x:c>
    </x:row>
    <x:row r="1149">
      <x:c r="A1149" s="14" t="n">
        <x:v>1145</x:v>
      </x:c>
      <x:c r="B1149" s="14" t="str">
        <x:v>ФОП Винник Олександр Іванович</x:v>
      </x:c>
      <x:c r="C1149" s="14" t="str">
        <x:v>2915408758</x:v>
      </x:c>
      <x:c r="D1149" s="14" t="str">
        <x:v>Теплові пункти</x:v>
      </x:c>
      <x:c r="E1149" s="14" t="str">
        <x:v>Expansion discovery</x:v>
      </x:c>
      <x:c r="F1149" s="14" t="str">
        <x:v>I3</x:v>
      </x:c>
      <x:c r="G1149" s="14" t="n">
        <x:v>35</x:v>
      </x:c>
      <x:c r="H1149" s="14" t="n">
        <x:v>1</x:v>
      </x:c>
      <x:c r="I1149" s="14" t="n">
        <x:v>0</x:v>
      </x:c>
      <x:c r="J1149" s="18" t="n">
        <x:v>4327820.18</x:v>
      </x:c>
      <x:c r="K1149" s="19" t="n">
        <x:v>45743.59042726852</x:v>
      </x:c>
      <x:c r="L1149" s="19" t="n">
        <x:v>45960</x:v>
      </x:c>
      <x:c r="M1149" s="15" t="str">
        <x:v>код за ДК 021:2015: 45454000-4 - Реконструкція (Реконструкція системи теплопостачання центрального теплового пункту, розташованому у адміністративній будівлі МВС № 1 за адресою: м. Київ, вул. Академіка Богомольця, 10/Індивідуальний тепловий пункт)</x:v>
      </x:c>
      <x:c r="N1149" s="15" t="str">
        <x:v>https://prozorro.gov.ua/tender/UA-2025-03-13-010469-a</x:v>
      </x:c>
    </x:row>
    <x:row r="1150">
      <x:c r="A1150" s="14" t="n">
        <x:v>1146</x:v>
      </x:c>
      <x:c r="B1150" s="14" t="str">
        <x:v>ФОП Гаршина Ганна Ігорівна</x:v>
      </x:c>
      <x:c r="C1150" s="14" t="str">
        <x:v>3082000145</x:v>
      </x:c>
      <x:c r="D1150" s="14" t="str">
        <x:v>HVAC / ОВіК</x:v>
      </x:c>
      <x:c r="E1150" s="14" t="str">
        <x:v>Pilot now</x:v>
      </x:c>
      <x:c r="F1150" s="14" t="str">
        <x:v>I3</x:v>
      </x:c>
      <x:c r="G1150" s="14" t="n">
        <x:v>35</x:v>
      </x:c>
      <x:c r="H1150" s="14" t="n">
        <x:v>1</x:v>
      </x:c>
      <x:c r="I1150" s="14" t="n">
        <x:v>0</x:v>
      </x:c>
      <x:c r="J1150" s="18" t="n">
        <x:v>912073.84</x:v>
      </x:c>
      <x:c r="K1150" s="19" t="n">
        <x:v>45922.38324231481</x:v>
      </x:c>
      <x:c r="L1150" s="19" t="n">
        <x:v>45950.38321759259</x:v>
      </x:c>
      <x:c r="M1150"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x:v>
      </x:c>
      <x:c r="N1150" s="15" t="str">
        <x:v>https://prozorro.gov.ua/tender/UA-2025-09-22-005458-a</x:v>
      </x:c>
    </x:row>
    <x:row r="1151">
      <x:c r="A1151" s="14" t="n">
        <x:v>1147</x:v>
      </x:c>
      <x:c r="B1151" s="14" t="str">
        <x:v>ФОП ЛУЦЬКИЙ ЄВГЕНІЙ АНАТОЛІЙОВИЧ</x:v>
      </x:c>
      <x:c r="C1151" s="14" t="str">
        <x:v>2469310279</x:v>
      </x:c>
      <x:c r="D1151" s="14" t="str">
        <x:v>Промисловий холод</x:v>
      </x:c>
      <x:c r="E1151" s="14" t="str">
        <x:v>Expansion discovery</x:v>
      </x:c>
      <x:c r="F1151" s="14" t="str">
        <x:v>I3</x:v>
      </x:c>
      <x:c r="G1151" s="14" t="n">
        <x:v>35</x:v>
      </x:c>
      <x:c r="H1151" s="14" t="n">
        <x:v>1</x:v>
      </x:c>
      <x:c r="I1151" s="14" t="n">
        <x:v>0</x:v>
      </x:c>
      <x:c r="J1151" s="18" t="n">
        <x:v>840000</x:v>
      </x:c>
      <x:c r="K1151" s="19" t="n">
        <x:v>45960.39049554398</x:v>
      </x:c>
      <x:c r="L1151" s="19" t="n">
        <x:v>46022</x:v>
      </x:c>
      <x:c r="M1151" s="15" t="str">
        <x:v>Кондиціонери  інверторні касетні з монтажем  та демонтажем за кодом ДК 021:2015-42510000-4 Теплообмінники, кондиціонери повітря, холодильне обладнання та фільтрувальні пристрої.</x:v>
      </x:c>
      <x:c r="N1151" s="15" t="str">
        <x:v>https://prozorro.gov.ua/tender/UA-2025-10-15-002007-a</x:v>
      </x:c>
    </x:row>
    <x:row r="1152">
      <x:c r="A1152" s="14" t="n">
        <x:v>1148</x:v>
      </x:c>
      <x:c r="B1152" s="14" t="str">
        <x:v>ФОП Панасюк Максим Анатолійович</x:v>
      </x:c>
      <x:c r="C1152" s="14" t="str">
        <x:v>3730109676</x:v>
      </x:c>
      <x:c r="D1152" s="14" t="str">
        <x:v>Внутрішні сантехнічні системи</x:v>
      </x:c>
      <x:c r="E1152" s="14" t="str">
        <x:v>Pilot now</x:v>
      </x:c>
      <x:c r="F1152" s="14" t="str">
        <x:v>I3</x:v>
      </x:c>
      <x:c r="G1152" s="14" t="n">
        <x:v>35</x:v>
      </x:c>
      <x:c r="H1152" s="14" t="n">
        <x:v>1</x:v>
      </x:c>
      <x:c r="I1152" s="14" t="n">
        <x:v>0</x:v>
      </x:c>
      <x:c r="J1152" s="18" t="n">
        <x:v>67331</x:v>
      </x:c>
      <x:c r="K1152" s="19" t="n">
        <x:v>46090.38292761574</x:v>
      </x:c>
      <x:c r="L1152" s="19" t="n">
        <x:v>46101</x:v>
      </x:c>
      <x:c r="M1152"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x:v>
      </x:c>
      <x:c r="N1152" s="15" t="str">
        <x:v>https://prozorro.gov.ua/tender/UA-2026-03-09-003392-a</x:v>
      </x:c>
    </x:row>
    <x:row r="1153">
      <x:c r="A1153" s="14" t="n">
        <x:v>1149</x:v>
      </x:c>
      <x:c r="B1153" s="14" t="str">
        <x:v>ФОП СЕНІН СЕРГІЙ ЮРІЙОВИЧ</x:v>
      </x:c>
      <x:c r="C1153" s="14" t="str">
        <x:v>3141234959</x:v>
      </x:c>
      <x:c r="D1153" s="14" t="str">
        <x:v>Чисті приміщення</x:v>
      </x:c>
      <x:c r="E1153" s="14" t="str">
        <x:v>Expansion discovery</x:v>
      </x:c>
      <x:c r="F1153" s="14" t="str">
        <x:v>I3</x:v>
      </x:c>
      <x:c r="G1153" s="14" t="n">
        <x:v>35</x:v>
      </x:c>
      <x:c r="H1153" s="14" t="n">
        <x:v>1</x:v>
      </x:c>
      <x:c r="I1153" s="14" t="n">
        <x:v>0</x:v>
      </x:c>
      <x:c r="J1153" s="18" t="n">
        <x:v>1695835</x:v>
      </x:c>
      <x:c r="K1153" s="19" t="n">
        <x:v>45813.46200099537</x:v>
      </x:c>
      <x:c r="L1153" s="19" t="n">
        <x:v>46022</x:v>
      </x:c>
      <x:c r="M1153" s="15" t="str">
        <x:v>Лапароскопічний лопатевий ретрактор 10х330мм (НК 024:2023: 45182 - Хірургічний ретрактор самоутримувальний, багаторазового застосування); Лапароскопічний лопатевий ретрактор 5х330мм (НК 024:2023: 45182 - Хірургічний ретрактор самоутримувальний, багаторазового застосування); Ретрактор лапароскопічний (НК 024:2023: 45182 - Хірургічний ретрактор самоутримувальний, багаторазового застосування); Робоча частина (вставка) монополярного лапароскопічного затискача вигнута (НК 024:2023: 33596 - Ендоскопічний електрохірургічний наконечник / електрод, монополярний, багаторазовий); Тубус для лапароскопічного затискача (НК 024:2023: 33596 - Ендоскопічний електрохірургічний наконечник / електрод, монополярний, багаторазовий); Ручка лапароскопічних затискачів без кремальєри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18 мм (НК 024:2023: 33596 - Ендоскопічний електрохірургічний наконечник / електрод, монополярний, багаторазовий); Ручка лапароскопічних затискачів з кремальєрою (НК 024:2023: 33596 - Ендоскопічний електрохірургічний наконечник / електрод, монополярний, багаторазовий); Одноразовий троакар безлезовий (НК 024:2023: 61425 - Троакар лапароскопічний одноразового використання); Одноразовий контейнер для екстракції 200 мл (НК 024:2023: 45130 - Хірургічний мішечок на видалені тканини); Одноразовий контейнер для екстракції 400 мл (НК 024:2023: 45130 - Хірургічний мішечок на видалені тканини); Одноразовий контейнер для екстракції 700 мл (НК 024:2023: 45130 - Хірургічний мішечок на видалені тканини); Монополярний кабель  (НК 024:2023: 47487 - Електричний кабель для медичних виробів багаторазового застосування); Трубка для аспірації та іригації  (НК 024:2023: 47342 - Лапараскопічна канюля для зрошення/ відсмоктування); Лапароскопічний троакар з магнітним клапаном 10х95 мм (НК 024:2023: 37148 - Канюля для лапароскопічного доступу, багаторазового використання); Лапароскопічний троакар з магнітним клапаном 5х95 мм (НК 024:2023: 37148 - Канюля для лапароскопічного доступу, багаторазового використання); Лапароскопічний троакар 10×95 мм (НК 024:2023: 37148 - Канюля для лапароскопічного доступу, багаторазового використання); Робоча частина (вставка) монополярного лапароскопічного затискача 27 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24мм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15 мм (НК 024:2023: 33596 - Ендоскопічний електрохірургічний наконечник / електрод, монополярний, багаторазовий); Електрохірургічний електрод (НК 024:2023: 33596 - Ендоскопічний електрохірургічний наконечник / електрод, монополярний, багаторазовий); Голка для інсуфляції типу Вереша 2,5×120 мм (НК 024:2023: 46329 - Голка для пневмоперито неуму з підпружиненим стилетом багаторазового застосування); Голка для інсуфляції типу Вереша 2,5×140 мм (НК 024:2023: 46329 - Голка для пневмоперито неуму з підпружиненим стилетом багаторазового застосування); Комплект урогінекологічний стерильний (НК 024:2023: 47986 - Сітка хірургічна для лікування стресового нетримання сечі в жінок); Комплект для реконструкції тазового дна (НК 024:2023: 60842 - Сітка хірургічна для корекції опущення тазових органів з синтетичного полімеру); Розширювач каналу шийки матки по Hegar 1,0 мм (НК 024:2023: 11266 - Розширювач цервікального каналу з фіксованим діаметром багаторазового використання); Розширювач каналу шийки матки по Hegar 1,5 мм (НК 024:2023: 11266 - Розширювач цервікального каналу з фіксованим діаметром багаторазового використання); Розширювач каналу шийки матки по Hegar 2,0 мм (НК 024:2023: 11266 - Розширювач цервікального каналу з фіксованим діаметром багаторазового використання); Розширювач каналу шийки матки по Hegar 2,5 мм (НК 024:2023: 11266 - Розширювач цервікального каналу з фіксованим діаметром багаторазового використання); Розширювач каналу шийки матки по Hegar 3,0 мм (НК 024:2023: 11266 - Розширювач цервікального каналу з фіксованим діаметром багаторазового використання); Розширювач каналу шийки матки по Hegar 3,5 мм (НК 024:2023: 11266 - Розширювач цервікального каналу з фіксованим діаметром багаторазового використання); Розширювач каналу шийки матки по Hegar 4,0 мм (НК 024:2023: 11266 - Розширювач цервікального каналу з фіксованим діаметром багаторазового використання); Розширювач каналу шийки матки по Hegar 4,5 мм (НК 024:2023: 11266 - Розширювач цервікального каналу з фіксованим діаметром багаторазового використання); Розширювач каналу шийки матки по Hegar 5,0 мм (НК 024:2023: 11266 - Розширювач цервікального каналу з фіксованим діаметром багаторазового використання); Розширювач каналу шийки матки по Hegar 5,5 мм (НК 024:2023: 11266 - Розширювач цервікального каналу з фіксованим діаметром багаторазового використання); Розширювач каналу шийки матки по Hegar 6,0 мм (НК 024:2023: 11266 - Розширювач цервікального каналу з фіксованим діаметром багаторазового використання); Розширювач каналу шийки матки по Hegar 6,5 мм (НК 024:2023: 11266 - Розширювач цервікального каналу з фіксованим діаметром багаторазового використання); Розширювач каналу шийки матки по Hegar 7,0 мм (НК 024:2023: 11266 - Розширювач цервікального каналу з фіксованим діаметром багаторазового використання); Розширювач каналу шийки матки по Hegar 7,5 мм (НК 024:2023: 11266 - Розширювач цервікального каналу з фіксованим діаметром багаторазового використання); Розширювач каналу шийки матки по Hegar 8,0 мм (НК 024:2023: 11266 - Розширювач цервікального каналу з фіксованим діаметром багаторазового використання); Розширювач каналу шийки матки по Hegar 8,5 мм (НК 024:2023: 11266 - Розширювач цервікального каналу з фіксованим діаметром багаторазового використання); Розширювач каналу шийки матки по Hegar 9,0 мм (НК 024:2023: 11266 - Розширювач цервікального каналу з фіксованим діаметром багаторазового використання); Розширювач каналу шийки матки по Hegar 9,5 мм (НК 024:2023: 11266 - Розширювач цервікального каналу з фіксованим діаметром багаторазового використання); Розширювач каналу шийки матки по Hegar 10,0 мм (НК 024:2023: 11266 - Розширювач цервікального каналу з фіксованим діаметром багаторазового використання); Розширювач каналу шийки матки по Hegar 10,5 мм (НК 024:2023: 11266 - Розширювач цервікального каналу з фіксованим діаметром багаторазового використання); Розширювач каналу шийки матки по Hegar 11,0 мм (НК 024:2023: 11266 - Розширювач цервікального каналу з фіксованим діаметром багаторазового використання); Розширювач каналу шийки матки по Hegar 11,5 мм (НК 024:2023: 11266 - Розширювач цервікального каналу з фіксованим діаметром багаторазового використання); Розширювач каналу шийки матки по Hegar 12,0 мм (НК 024:2023: 11266 - Розширювач цервікального каналу з фіксованим діаметром багаторазового використання); Розширювач каналу шийки матки по Hegar 12,5 мм (НК 024:2023: 11266 - Розширювач цервікального каналу з фіксованим діаметром багаторазового використання); Розширювач каналу шийки матки по Hegar 13,0 мм (НК 024:2023: 11266 - Розширювач цервікального каналу з фіксованим діаметром багаторазового використання); Розширювач каналу шийки матки по Hegar 13,5 мм (НК 024:2023: 11266 - Розширювач цервікального каналу з фіксованим діаметром багаторазового використання); Розширювач каналу шийки матки по Hegar 14,0 мм (НК 024:2023: 11266 - Розширювач цервікального каналу з фіксованим діаметром багаторазового використання) (код за ДК 021:2015 33160000-9: Устаткування для операційних блоків)</x:v>
      </x:c>
      <x:c r="N1153" s="15" t="str">
        <x:v>https://prozorro.gov.ua/tender/UA-2025-05-21-014227-a</x:v>
      </x:c>
    </x:row>
    <x:row r="1154">
      <x:c r="A1154" s="14" t="n">
        <x:v>1150</x:v>
      </x:c>
      <x:c r="B1154" s="14" t="str">
        <x:v>ФОП Чередніченко Василь Олександрович</x:v>
      </x:c>
      <x:c r="C1154" s="14" t="str">
        <x:v>2634318855</x:v>
      </x:c>
      <x:c r="D1154" s="14" t="str">
        <x:v>Внутрішні сантехнічні системи</x:v>
      </x:c>
      <x:c r="E1154" s="14" t="str">
        <x:v>Pilot now</x:v>
      </x:c>
      <x:c r="F1154" s="14" t="str">
        <x:v>I3</x:v>
      </x:c>
      <x:c r="G1154" s="14" t="n">
        <x:v>35</x:v>
      </x:c>
      <x:c r="H1154" s="14" t="n">
        <x:v>1</x:v>
      </x:c>
      <x:c r="I1154" s="14" t="n">
        <x:v>0</x:v>
      </x:c>
      <x:c r="J1154" s="18" t="n">
        <x:v>71367.97</x:v>
      </x:c>
      <x:c r="K1154" s="19" t="n">
        <x:v>46133.41859392361</x:v>
      </x:c>
      <x:c r="L1154" s="19" t="n">
        <x:v>46136.42046296296</x:v>
      </x:c>
      <x:c r="M1154"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x:v>
      </x:c>
      <x:c r="N1154" s="15" t="str">
        <x:v>https://prozorro.gov.ua/tender/UA-2026-04-21-005696-a</x:v>
      </x:c>
    </x:row>
    <x:row r="1155">
      <x:c r="A1155" s="14" t="n">
        <x:v>1151</x:v>
      </x:c>
      <x:c r="B1155" s="14" t="str">
        <x:v>ПП Путеєць</x:v>
      </x:c>
      <x:c r="C1155" s="14" t="str">
        <x:v>25458326</x:v>
      </x:c>
      <x:c r="D1155" s="14" t="str">
        <x:v>Залізнична інфраструктура</x:v>
      </x:c>
      <x:c r="E1155" s="14" t="str">
        <x:v>Expansion discovery</x:v>
      </x:c>
      <x:c r="F1155" s="14" t="str">
        <x:v>I3</x:v>
      </x:c>
      <x:c r="G1155" s="14" t="n">
        <x:v>34</x:v>
      </x:c>
      <x:c r="H1155" s="14" t="n">
        <x:v>1</x:v>
      </x:c>
      <x:c r="I1155" s="14" t="n">
        <x:v>1</x:v>
      </x:c>
      <x:c r="J1155" s="18" t="n">
        <x:v>493418.8</x:v>
      </x:c>
      <x:c r="K1155" s="19" t="n">
        <x:v>45776.60326831019</x:v>
      </x:c>
      <x:c r="L1155" s="19" t="n">
        <x:v>46660</x:v>
      </x:c>
      <x:c r="M1155" s="15" t="str">
        <x:v>С_25П-197_50220000-3 Послуги з ремонту, технічного обслуговування залізничного транспорту і пов’язаного обладнання та супутні послуги (Послуги з обслуговування залізничних під'їзних колій)
</x:v>
      </x:c>
      <x:c r="N1155" s="15" t="str">
        <x:v>https://prozorro.gov.ua/tender/UA-2025-04-11-008119-a</x:v>
      </x:c>
    </x:row>
    <x:row r="1156">
      <x:c r="A1156" s="14" t="n">
        <x:v>1152</x:v>
      </x:c>
      <x:c r="B1156" s="14" t="str">
        <x:v>Аероплюс</x:v>
      </x:c>
      <x:c r="C1156" s="14" t="str"/>
      <x:c r="D1156" s="14" t="str">
        <x:v>Внутрішній HVAC</x:v>
      </x:c>
      <x:c r="E1156" s="14" t="str">
        <x:v>Pilot now</x:v>
      </x:c>
      <x:c r="F1156" s="14" t="str">
        <x:v>I3</x:v>
      </x:c>
      <x:c r="G1156" s="14" t="n">
        <x:v>34</x:v>
      </x:c>
      <x:c r="H1156" s="14" t="n">
        <x:v>1</x:v>
      </x:c>
      <x:c r="I1156" s="14" t="n">
        <x:v>0</x:v>
      </x:c>
      <x:c r="J1156" s="18" t="n">
        <x:v>100027</x:v>
      </x:c>
      <x:c r="K1156" s="19" t="n">
        <x:v>45758.48529182871</x:v>
      </x:c>
      <x:c r="L1156" s="19" t="n">
        <x:v>46022.916666655095</x:v>
      </x:c>
      <x:c r="M1156" s="15" t="str">
        <x:v>Монтаж системи вентиляції басейну (приміщення басейну ДЮСШ №2 при Ліцеї №22 ІФМР)</x:v>
      </x:c>
      <x:c r="N1156" s="15" t="str">
        <x:v>https://prozorro.gov.ua/tender/UA-2025-04-11-009105-a</x:v>
      </x:c>
    </x:row>
    <x:row r="1157">
      <x:c r="A1157" s="14" t="n">
        <x:v>1153</x:v>
      </x:c>
      <x:c r="B1157" s="14" t="str">
        <x:v>ГОНЗОЛЕВСЬКИЙ ОЛЕГ ОЛЕКСАНДРОВИЧ</x:v>
      </x:c>
      <x:c r="C1157" s="14" t="str">
        <x:v>3181514112</x:v>
      </x:c>
      <x:c r="D1157" s="14" t="str">
        <x:v>Промисловий холод</x:v>
      </x:c>
      <x:c r="E1157" s="14" t="str">
        <x:v>Expansion discovery</x:v>
      </x:c>
      <x:c r="F1157" s="14" t="str">
        <x:v>I3</x:v>
      </x:c>
      <x:c r="G1157" s="14" t="n">
        <x:v>34</x:v>
      </x:c>
      <x:c r="H1157" s="14" t="n">
        <x:v>1</x:v>
      </x:c>
      <x:c r="I1157" s="14" t="n">
        <x:v>0</x:v>
      </x:c>
      <x:c r="J1157" s="18" t="n">
        <x:v>199000</x:v>
      </x:c>
      <x:c r="K1157" s="19" t="n">
        <x:v>45762.54873306713</x:v>
      </x:c>
      <x:c r="L1157" s="19" t="n">
        <x:v>45777</x:v>
      </x:c>
      <x:c r="M1157" s="15" t="str">
        <x:v>Монтаж холодильного обладнання (м.Рівне, вул. Поповича 65А)</x:v>
      </x:c>
      <x:c r="N1157" s="15" t="str">
        <x:v>https://prozorro.gov.ua/tender/UA-2025-04-15-011805-a</x:v>
      </x:c>
    </x:row>
    <x:row r="1158">
      <x:c r="A1158" s="14" t="n">
        <x:v>1154</x:v>
      </x:c>
      <x:c r="B1158" s="14" t="str">
        <x:v>ГУРБАНОВ РУСЛАН ГАМІД ОГЛИ</x:v>
      </x:c>
      <x:c r="C1158" s="14" t="str">
        <x:v>2888213872</x:v>
      </x:c>
      <x:c r="D1158" s="14" t="str">
        <x:v>Блискавкозахист / заземлення</x:v>
      </x:c>
      <x:c r="E1158" s="14" t="str">
        <x:v>Pilot now</x:v>
      </x:c>
      <x:c r="F1158" s="14" t="str">
        <x:v>I3</x:v>
      </x:c>
      <x:c r="G1158" s="14" t="n">
        <x:v>34</x:v>
      </x:c>
      <x:c r="H1158" s="14" t="n">
        <x:v>1</x:v>
      </x:c>
      <x:c r="I1158" s="14" t="n">
        <x:v>0</x:v>
      </x:c>
      <x:c r="J1158" s="18" t="n">
        <x:v>120000</x:v>
      </x:c>
      <x:c r="K1158" s="19" t="n">
        <x:v>45895.68493236111</x:v>
      </x:c>
      <x:c r="L1158" s="19" t="n">
        <x:v>45657</x:v>
      </x:c>
      <x:c r="M1158" s="15" t="str">
        <x:v>Монтаж системи блискавкозахисту</x:v>
      </x:c>
      <x:c r="N1158" s="15" t="str">
        <x:v>https://prozorro.gov.ua/tender/UA-2025-08-26-013302-a</x:v>
      </x:c>
    </x:row>
    <x:row r="1159">
      <x:c r="A1159" s="14" t="n">
        <x:v>1155</x:v>
      </x:c>
      <x:c r="B1159" s="14" t="str">
        <x:v>КОЛЕКТИВНЕ ПІДПРИЄМСТВО "ЧЕРКАСИГАЗБУД" ІМ.В.А.БАБАНСЬКОГО</x:v>
      </x:c>
      <x:c r="C1159" s="14" t="str">
        <x:v>03335729</x:v>
      </x:c>
      <x:c r="D1159" s="14" t="str">
        <x:v>Газові мережі</x:v>
      </x:c>
      <x:c r="E1159" s="14" t="str">
        <x:v>Expansion discovery</x:v>
      </x:c>
      <x:c r="F1159" s="14" t="str">
        <x:v>I3</x:v>
      </x:c>
      <x:c r="G1159" s="14" t="n">
        <x:v>34</x:v>
      </x:c>
      <x:c r="H1159" s="14" t="n">
        <x:v>1</x:v>
      </x:c>
      <x:c r="I1159" s="14" t="n">
        <x:v>0</x:v>
      </x:c>
      <x:c r="J1159" s="18" t="n">
        <x:v>362630.1</x:v>
      </x:c>
      <x:c r="K1159" s="19" t="n">
        <x:v>45957.52744150463</x:v>
      </x:c>
      <x:c r="L1159" s="19" t="n">
        <x:v>45967</x:v>
      </x:c>
      <x:c r="M1159"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x:v>
      </x:c>
      <x:c r="N1159" s="15" t="str">
        <x:v>https://prozorro.gov.ua/tender/UA-2025-10-27-009657-a</x:v>
      </x:c>
    </x:row>
    <x:row r="1160">
      <x:c r="A1160" s="14" t="n">
        <x:v>1156</x:v>
      </x:c>
      <x:c r="B1160" s="14" t="str">
        <x:v>КОМУНАЛЬНЕ ПІДПРИЄМСТВО "ЕКСПЛУАТАЦІЙНЕ ЛІНІЙНЕ УПРАВЛІННЯ АВТОДОРІГ"</x:v>
      </x:c>
      <x:c r="C1160" s="14" t="str">
        <x:v>03349499</x:v>
      </x:c>
      <x:c r="D1160" s="14" t="str">
        <x:v>Благоустрій</x:v>
      </x:c>
      <x:c r="E1160" s="14" t="str">
        <x:v>Expansion discovery</x:v>
      </x:c>
      <x:c r="F1160" s="14" t="str">
        <x:v>I3</x:v>
      </x:c>
      <x:c r="G1160" s="14" t="n">
        <x:v>34</x:v>
      </x:c>
      <x:c r="H1160" s="14" t="n">
        <x:v>1</x:v>
      </x:c>
      <x:c r="I1160" s="14" t="n">
        <x:v>0</x:v>
      </x:c>
      <x:c r="J1160" s="18" t="n">
        <x:v>199777.84</x:v>
      </x:c>
      <x:c r="K1160" s="19" t="n">
        <x:v>45951.56538262731</x:v>
      </x:c>
      <x:c r="L1160" s="19" t="n">
        <x:v>46016</x:v>
      </x:c>
      <x:c r="M1160"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x:v>
      </x:c>
      <x:c r="N1160" s="15" t="str">
        <x:v>https://prozorro.gov.ua/tender/UA-2025-10-21-015638-a</x:v>
      </x:c>
    </x:row>
    <x:row r="1161">
      <x:c r="A1161" s="14" t="n">
        <x:v>1157</x:v>
      </x:c>
      <x:c r="B1161" s="14" t="str">
        <x:v>КРАВЕЦЬ СЕРГІЙ ІГОРОВИЧ</x:v>
      </x:c>
      <x:c r="C1161" s="14" t="str">
        <x:v>2781914314</x:v>
      </x:c>
      <x:c r="D1161" s="14" t="str">
        <x:v>Благоустрій</x:v>
      </x:c>
      <x:c r="E1161" s="14" t="str">
        <x:v>Expansion discovery</x:v>
      </x:c>
      <x:c r="F1161" s="14" t="str">
        <x:v>I3</x:v>
      </x:c>
      <x:c r="G1161" s="14" t="n">
        <x:v>34</x:v>
      </x:c>
      <x:c r="H1161" s="14" t="n">
        <x:v>1</x:v>
      </x:c>
      <x:c r="I1161" s="14" t="n">
        <x:v>0</x:v>
      </x:c>
      <x:c r="J1161" s="18" t="n">
        <x:v>191618.68</x:v>
      </x:c>
      <x:c r="K1161" s="19" t="n">
        <x:v>46007.285545011575</x:v>
      </x:c>
      <x:c r="L1161" s="19" t="n">
        <x:v>46022</x:v>
      </x:c>
      <x:c r="M1161"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x:v>
      </x:c>
      <x:c r="N1161" s="15" t="str">
        <x:v>https://prozorro.gov.ua/tender/UA-2025-12-16-000825-a</x:v>
      </x:c>
    </x:row>
    <x:row r="1162">
      <x:c r="A1162" s="14" t="n">
        <x:v>1158</x:v>
      </x:c>
      <x:c r="B1162" s="14" t="str">
        <x:v>Мале підприємство "Туризм - Комерція -Менеджмент"</x:v>
      </x:c>
      <x:c r="C1162" s="14" t="str">
        <x:v>13641663</x:v>
      </x:c>
      <x:c r="D1162" s="14" t="str">
        <x:v>Металоконструкції</x:v>
      </x:c>
      <x:c r="E1162" s="14" t="str">
        <x:v>Expansion discovery</x:v>
      </x:c>
      <x:c r="F1162" s="14" t="str">
        <x:v>I3</x:v>
      </x:c>
      <x:c r="G1162" s="14" t="n">
        <x:v>34</x:v>
      </x:c>
      <x:c r="H1162" s="14" t="n">
        <x:v>1</x:v>
      </x:c>
      <x:c r="I1162" s="14" t="n">
        <x:v>0</x:v>
      </x:c>
      <x:c r="J1162" s="18" t="n">
        <x:v>493829.6</x:v>
      </x:c>
      <x:c r="K1162" s="19" t="n">
        <x:v>45971.36711912037</x:v>
      </x:c>
      <x:c r="L1162" s="19" t="n">
        <x:v>46022.36782407408</x:v>
      </x:c>
      <x:c r="M1162" s="15" t="str">
        <x:v>Послуги на капітальний ремонт гаражів для зберігання техніки Верхнянської сільської ради з виготовлення та монтажу металоконструкцій</x:v>
      </x:c>
      <x:c r="N1162" s="15" t="str">
        <x:v>https://prozorro.gov.ua/tender/UA-2025-11-10-002962-a</x:v>
      </x:c>
    </x:row>
    <x:row r="1163">
      <x:c r="A1163" s="14" t="n">
        <x:v>1159</x:v>
      </x:c>
      <x:c r="B1163" s="14" t="str">
        <x:v>ПП "ЕКОСІТІ"</x:v>
      </x:c>
      <x:c r="C1163" s="14" t="str">
        <x:v>44300010</x:v>
      </x:c>
      <x:c r="D1163" s="14" t="str">
        <x:v>Благоустрій</x:v>
      </x:c>
      <x:c r="E1163" s="14" t="str">
        <x:v>Expansion discovery</x:v>
      </x:c>
      <x:c r="F1163" s="14" t="str">
        <x:v>I3</x:v>
      </x:c>
      <x:c r="G1163" s="14" t="n">
        <x:v>34</x:v>
      </x:c>
      <x:c r="H1163" s="14" t="n">
        <x:v>1</x:v>
      </x:c>
      <x:c r="I1163" s="14" t="n">
        <x:v>0</x:v>
      </x:c>
      <x:c r="J1163" s="18" t="n">
        <x:v>856370</x:v>
      </x:c>
      <x:c r="K1163" s="19" t="n">
        <x:v>45643.442442465275</x:v>
      </x:c>
      <x:c r="L1163" s="19" t="n">
        <x:v>45657.66689814815</x:v>
      </x:c>
      <x:c r="M1163"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x:v>
      </x:c>
      <x:c r="N1163" s="15" t="str">
        <x:v>https://prozorro.gov.ua/tender/UA-2024-12-06-016949-a</x:v>
      </x:c>
    </x:row>
    <x:row r="1164">
      <x:c r="A1164" s="14" t="n">
        <x:v>1160</x:v>
      </x:c>
      <x:c r="B1164" s="14" t="str">
        <x:v>ПП "НАУКОВО ВИРОБНИЧЕ ПІДПРИЄМСТВО "А Г Р О С"</x:v>
      </x:c>
      <x:c r="C1164" s="14" t="str">
        <x:v>44351699</x:v>
      </x:c>
      <x:c r="D1164" s="14" t="str">
        <x:v>Металоконструкції</x:v>
      </x:c>
      <x:c r="E1164" s="14" t="str">
        <x:v>Expansion discovery</x:v>
      </x:c>
      <x:c r="F1164" s="14" t="str">
        <x:v>I3</x:v>
      </x:c>
      <x:c r="G1164" s="14" t="n">
        <x:v>34</x:v>
      </x:c>
      <x:c r="H1164" s="14" t="n">
        <x:v>1</x:v>
      </x:c>
      <x:c r="I1164" s="14" t="n">
        <x:v>0</x:v>
      </x:c>
      <x:c r="J1164" s="18" t="n">
        <x:v>118260</x:v>
      </x:c>
      <x:c r="K1164" s="19" t="n">
        <x:v>45785.60513989583</x:v>
      </x:c>
      <x:c r="L1164" s="19" t="n">
        <x:v>45835</x:v>
      </x:c>
      <x:c r="M1164"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x:v>
      </x:c>
      <x:c r="N1164" s="15" t="str">
        <x:v>https://prozorro.gov.ua/tender/UA-2025-04-29-004708-a</x:v>
      </x:c>
    </x:row>
    <x:row r="1165">
      <x:c r="A1165" s="14" t="n">
        <x:v>1161</x:v>
      </x:c>
      <x:c r="B1165" s="14" t="str">
        <x:v>ПП "ПРОНЕТ"</x:v>
      </x:c>
      <x:c r="C1165" s="14" t="str">
        <x:v>21680973</x:v>
      </x:c>
      <x:c r="D1165" s="14" t="str">
        <x:v>HVAC / ОВіК</x:v>
      </x:c>
      <x:c r="E1165" s="14" t="str">
        <x:v>Pilot now</x:v>
      </x:c>
      <x:c r="F1165" s="14" t="str">
        <x:v>I3</x:v>
      </x:c>
      <x:c r="G1165" s="14" t="n">
        <x:v>34</x:v>
      </x:c>
      <x:c r="H1165" s="14" t="n">
        <x:v>1</x:v>
      </x:c>
      <x:c r="I1165" s="14" t="n">
        <x:v>0</x:v>
      </x:c>
      <x:c r="J1165" s="18" t="n">
        <x:v>376800</x:v>
      </x:c>
      <x:c r="K1165" s="19" t="n">
        <x:v>45776.39145809028</x:v>
      </x:c>
      <x:c r="L1165" s="19" t="n">
        <x:v>45991</x:v>
      </x:c>
      <x:c r="M1165" s="15" t="str">
        <x:v>Послуга з монтажу та демонтажу блоків кондиціонерів системи кондиціювання та вентиляції</x:v>
      </x:c>
      <x:c r="N1165" s="15" t="str">
        <x:v>https://prozorro.gov.ua/tender/UA-2025-04-17-005027-a</x:v>
      </x:c>
    </x:row>
    <x:row r="1166">
      <x:c r="A1166" s="14" t="n">
        <x:v>1162</x:v>
      </x:c>
      <x:c r="B1166" s="14" t="str">
        <x:v>ПП "Фірма "Діко"</x:v>
      </x:c>
      <x:c r="C1166" s="14" t="str">
        <x:v>41518081</x:v>
      </x:c>
      <x:c r="D1166" s="14" t="str">
        <x:v>Зовнішні мережі</x:v>
      </x:c>
      <x:c r="E1166" s="14" t="str">
        <x:v>Expansion discovery</x:v>
      </x:c>
      <x:c r="F1166" s="14" t="str">
        <x:v>I3</x:v>
      </x:c>
      <x:c r="G1166" s="14" t="n">
        <x:v>34</x:v>
      </x:c>
      <x:c r="H1166" s="14" t="n">
        <x:v>1</x:v>
      </x:c>
      <x:c r="I1166" s="14" t="n">
        <x:v>0</x:v>
      </x:c>
      <x:c r="J1166" s="18" t="n">
        <x:v>195127.5</x:v>
      </x:c>
      <x:c r="K1166" s="19" t="n">
        <x:v>45937.48765471065</x:v>
      </x:c>
      <x:c r="L1166" s="19" t="n">
        <x:v>46022.916666655095</x:v>
      </x:c>
      <x:c r="M1166" s="15" t="str">
        <x:v>Нове будівництво зовнішніх мереж водопостачання і каналізації до житлових будинків з вбудованими нежитловими приміщеннями для ВПО на вул. Ребета-Джохара Дудаєва у м. Івано-Франківську (додаткові роботи)</x:v>
      </x:c>
      <x:c r="N1166" s="15" t="str">
        <x:v>https://prozorro.gov.ua/tender/UA-2025-10-07-009471-a</x:v>
      </x:c>
    </x:row>
    <x:row r="1167">
      <x:c r="A1167" s="14" t="n">
        <x:v>1163</x:v>
      </x:c>
      <x:c r="B1167" s="14" t="str">
        <x:v>ПП "Юрївліфт"</x:v>
      </x:c>
      <x:c r="C1167" s="14" t="str">
        <x:v>36822877</x:v>
      </x:c>
      <x:c r="D1167" s="14" t="str">
        <x:v>Ліфти та підйомники</x:v>
      </x:c>
      <x:c r="E1167" s="14" t="str">
        <x:v>Expansion discovery</x:v>
      </x:c>
      <x:c r="F1167" s="14" t="str">
        <x:v>I3</x:v>
      </x:c>
      <x:c r="G1167" s="14" t="n">
        <x:v>34</x:v>
      </x:c>
      <x:c r="H1167" s="14" t="n">
        <x:v>1</x:v>
      </x:c>
      <x:c r="I1167" s="14" t="n">
        <x:v>0</x:v>
      </x:c>
      <x:c r="J1167" s="18" t="n">
        <x:v>132160</x:v>
      </x:c>
      <x:c r="K1167" s="19" t="n">
        <x:v>45959.34418219907</x:v>
      </x:c>
      <x:c r="L1167" s="19" t="n">
        <x:v>46022</x:v>
      </x:c>
      <x:c r="M1167" s="15" t="str">
        <x:v>Ремонтні роботи з демонтажу та монтажу запасних частин ліфта</x:v>
      </x:c>
      <x:c r="N1167" s="15" t="str">
        <x:v>https://prozorro.gov.ua/tender/UA-2025-10-29-002113-a</x:v>
      </x:c>
    </x:row>
    <x:row r="1168">
      <x:c r="A1168" s="14" t="n">
        <x:v>1164</x:v>
      </x:c>
      <x:c r="B1168" s="14" t="str">
        <x:v>ПРИВАТНЕ ПІДПРИЄМСТВО "ПУЛЬТОВА ОХОРОНА ШЕРИФ"</x:v>
      </x:c>
      <x:c r="C1168" s="14" t="str">
        <x:v>40405420</x:v>
      </x:c>
      <x:c r="D1168" s="14" t="str">
        <x:v>Пожежогасіння</x:v>
      </x:c>
      <x:c r="E1168" s="14" t="str">
        <x:v>Expansion discovery</x:v>
      </x:c>
      <x:c r="F1168" s="14" t="str">
        <x:v>I3</x:v>
      </x:c>
      <x:c r="G1168" s="14" t="n">
        <x:v>34</x:v>
      </x:c>
      <x:c r="H1168" s="14" t="n">
        <x:v>1</x:v>
      </x:c>
      <x:c r="I1168" s="14" t="n">
        <x:v>0</x:v>
      </x:c>
      <x:c r="J1168" s="18" t="n">
        <x:v>129999</x:v>
      </x:c>
      <x:c r="K1168" s="19" t="n">
        <x:v>45818.32053302084</x:v>
      </x:c>
      <x:c r="L1168" s="19" t="n">
        <x:v>45848</x:v>
      </x:c>
      <x:c r="M1168" s="15" t="str">
        <x:v>Монтаж автоматичної системи газового пожежогасіння пожежної сигналізації в приміщенні бібліотеки</x:v>
      </x:c>
      <x:c r="N1168" s="15" t="str">
        <x:v>https://prozorro.gov.ua/tender/UA-2025-05-20-009688-a</x:v>
      </x:c>
    </x:row>
    <x:row r="1169">
      <x:c r="A1169" s="14" t="n">
        <x:v>1165</x:v>
      </x:c>
      <x:c r="B1169" s="14" t="str">
        <x:v>Старцев Віктор Володимирович</x:v>
      </x:c>
      <x:c r="C1169" s="14" t="str">
        <x:v>2847412959</x:v>
      </x:c>
      <x:c r="D1169" s="14" t="str">
        <x:v>Внутрішні сантехнічні системи</x:v>
      </x:c>
      <x:c r="E1169" s="14" t="str">
        <x:v>Pilot now</x:v>
      </x:c>
      <x:c r="F1169" s="14" t="str">
        <x:v>I3</x:v>
      </x:c>
      <x:c r="G1169" s="14" t="n">
        <x:v>34</x:v>
      </x:c>
      <x:c r="H1169" s="14" t="n">
        <x:v>1</x:v>
      </x:c>
      <x:c r="I1169" s="14" t="n">
        <x:v>0</x:v>
      </x:c>
      <x:c r="J1169" s="18" t="n">
        <x:v>161137.48</x:v>
      </x:c>
      <x:c r="K1169" s="19" t="n">
        <x:v>46008.31539916667</x:v>
      </x:c>
      <x:c r="L1169" s="19" t="n">
        <x:v>46010</x:v>
      </x:c>
      <x:c r="M1169" s="15" t="str">
        <x:v> Поточний ремонт внутрішньої системи тепловодопостачання (ДК 021:2015 код 45330000-9 Водопровідні та санітарно-технічні роботи)</x:v>
      </x:c>
      <x:c r="N1169" s="15" t="str">
        <x:v>https://prozorro.gov.ua/tender/UA-2025-12-17-001942-a</x:v>
      </x:c>
    </x:row>
    <x:row r="1170">
      <x:c r="A1170" s="14" t="n">
        <x:v>1166</x:v>
      </x:c>
      <x:c r="B1170" s="14" t="str">
        <x:v>ТОВ "Буд-Добро"</x:v>
      </x:c>
      <x:c r="C1170" s="14" t="str">
        <x:v>38171305</x:v>
      </x:c>
      <x:c r="D1170" s="14" t="str">
        <x:v>Зовнішні мережі</x:v>
      </x:c>
      <x:c r="E1170" s="14" t="str">
        <x:v>Expansion discovery</x:v>
      </x:c>
      <x:c r="F1170" s="14" t="str">
        <x:v>I3</x:v>
      </x:c>
      <x:c r="G1170" s="14" t="n">
        <x:v>34</x:v>
      </x:c>
      <x:c r="H1170" s="14" t="n">
        <x:v>1</x:v>
      </x:c>
      <x:c r="I1170" s="14" t="n">
        <x:v>0</x:v>
      </x:c>
      <x:c r="J1170" s="18" t="n">
        <x:v>326224.47</x:v>
      </x:c>
      <x:c r="K1170" s="19" t="n">
        <x:v>45874.56169628472</x:v>
      </x:c>
      <x:c r="L1170" s="19" t="n">
        <x:v>46022.59545138889</x:v>
      </x:c>
      <x:c r="M1170" s="15" t="str">
        <x:v>Будівництво зовнішніх мереж водопостачання та водовідведення веслувальної бази (санітарний вузол) ДЮСШ №4 вул.Паркова, 4</x:v>
      </x:c>
      <x:c r="N1170" s="15" t="str">
        <x:v>https://prozorro.gov.ua/tender/UA-2025-08-05-010398-a</x:v>
      </x:c>
    </x:row>
    <x:row r="1171">
      <x:c r="A1171" s="14" t="n">
        <x:v>1167</x:v>
      </x:c>
      <x:c r="B1171" s="14" t="str">
        <x:v>ТОВ "Газбудсервіс"</x:v>
      </x:c>
      <x:c r="C1171" s="14" t="str">
        <x:v>31288445</x:v>
      </x:c>
      <x:c r="D1171" s="14" t="str">
        <x:v>Газові мережі</x:v>
      </x:c>
      <x:c r="E1171" s="14" t="str">
        <x:v>Expansion discovery</x:v>
      </x:c>
      <x:c r="F1171" s="14" t="str">
        <x:v>I3</x:v>
      </x:c>
      <x:c r="G1171" s="14" t="n">
        <x:v>34</x:v>
      </x:c>
      <x:c r="H1171" s="14" t="n">
        <x:v>1</x:v>
      </x:c>
      <x:c r="I1171" s="14" t="n">
        <x:v>0</x:v>
      </x:c>
      <x:c r="J1171" s="18" t="n">
        <x:v>388374</x:v>
      </x:c>
      <x:c r="K1171" s="19" t="n">
        <x:v>45958.33048891203</x:v>
      </x:c>
      <x:c r="L1171" s="19" t="n">
        <x:v>46022.30944444444</x:v>
      </x:c>
      <x:c r="M1171" s="15" t="str">
        <x:v>Будівництво газопроводу в с. Кам'янка  Кам’янець-Подільського району Хмельницької області</x:v>
      </x:c>
      <x:c r="N1171" s="15" t="str">
        <x:v>https://prozorro.gov.ua/tender/UA-2025-10-28-001075-a</x:v>
      </x:c>
    </x:row>
    <x:row r="1172">
      <x:c r="A1172" s="14" t="n">
        <x:v>1168</x:v>
      </x:c>
      <x:c r="B1172" s="14" t="str">
        <x:v>ТОВ "ЖИТЛОРЕМБУД-НІКА"</x:v>
      </x:c>
      <x:c r="C1172" s="14" t="str">
        <x:v>33969521</x:v>
      </x:c>
      <x:c r="D1172" s="14" t="str">
        <x:v>Благоустрій</x:v>
      </x:c>
      <x:c r="E1172" s="14" t="str">
        <x:v>Expansion discovery</x:v>
      </x:c>
      <x:c r="F1172" s="14" t="str">
        <x:v>I3</x:v>
      </x:c>
      <x:c r="G1172" s="14" t="n">
        <x:v>34</x:v>
      </x:c>
      <x:c r="H1172" s="14" t="n">
        <x:v>1</x:v>
      </x:c>
      <x:c r="I1172" s="14" t="n">
        <x:v>0</x:v>
      </x:c>
      <x:c r="J1172" s="18" t="n">
        <x:v>1851895.4</x:v>
      </x:c>
      <x:c r="K1172" s="19" t="n">
        <x:v>45628.43727296296</x:v>
      </x:c>
      <x:c r="L1172" s="19" t="n">
        <x:v>45657</x:v>
      </x:c>
      <x:c r="M1172"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x:v>
      </x:c>
      <x:c r="N1172" s="15" t="str">
        <x:v>https://prozorro.gov.ua/tender/UA-2024-11-21-016525-a</x:v>
      </x:c>
    </x:row>
    <x:row r="1173">
      <x:c r="A1173" s="14" t="n">
        <x:v>1169</x:v>
      </x:c>
      <x:c r="B1173" s="14" t="str">
        <x:v>ТОВ "КПД ГРУПП"</x:v>
      </x:c>
      <x:c r="C1173" s="14" t="str">
        <x:v>35140833</x:v>
      </x:c>
      <x:c r="D1173" s="14" t="str">
        <x:v>Насосні станції</x:v>
      </x:c>
      <x:c r="E1173" s="14" t="str">
        <x:v>Expansion discovery</x:v>
      </x:c>
      <x:c r="F1173" s="14" t="str">
        <x:v>I3</x:v>
      </x:c>
      <x:c r="G1173" s="14" t="n">
        <x:v>34</x:v>
      </x:c>
      <x:c r="H1173" s="14" t="n">
        <x:v>1</x:v>
      </x:c>
      <x:c r="I1173" s="14" t="n">
        <x:v>0</x:v>
      </x:c>
      <x:c r="J1173" s="18" t="n">
        <x:v>1000556.64</x:v>
      </x:c>
      <x:c r="K1173" s="19" t="n">
        <x:v>45615.49473868056</x:v>
      </x:c>
      <x:c r="L1173" s="19" t="n">
        <x:v>45646.49652777778</x:v>
      </x:c>
      <x:c r="M1173" s="15" t="str">
        <x:v>«Реконструкція каналізаційної насосної станції №3 по вул. Погребняка 12Б, в с. Чубинське Бориспільського району Київської області» Коригування 3</x:v>
      </x:c>
      <x:c r="N1173" s="15" t="str">
        <x:v>https://prozorro.gov.ua/tender/UA-2024-11-19-009729-a</x:v>
      </x:c>
    </x:row>
    <x:row r="1174">
      <x:c r="A1174" s="14" t="n">
        <x:v>1170</x:v>
      </x:c>
      <x:c r="B1174" s="14" t="str">
        <x:v>Товариство з обмеженою відповідальністю " ФЕСТ ГРУПП"</x:v>
      </x:c>
      <x:c r="C1174" s="14" t="str">
        <x:v>39999530</x:v>
      </x:c>
      <x:c r="D1174" s="14" t="str">
        <x:v>Стиснене повітря / компресорні</x:v>
      </x:c>
      <x:c r="E1174" s="14" t="str">
        <x:v>Expansion discovery</x:v>
      </x:c>
      <x:c r="F1174" s="14" t="str">
        <x:v>I3</x:v>
      </x:c>
      <x:c r="G1174" s="14" t="n">
        <x:v>34</x:v>
      </x:c>
      <x:c r="H1174" s="14" t="n">
        <x:v>1</x:v>
      </x:c>
      <x:c r="I1174" s="14" t="n">
        <x:v>0</x:v>
      </x:c>
      <x:c r="J1174" s="18" t="n">
        <x:v>879494.48</x:v>
      </x:c>
      <x:c r="K1174" s="19" t="n">
        <x:v>45490.5520871875</x:v>
      </x:c>
      <x:c r="L1174" s="19" t="n">
        <x:v>45535</x:v>
      </x:c>
      <x:c r="M1174" s="15" t="str">
        <x:v>Реконструкція електричних мереж компресорної станції із встановленням автономного джерела  електропостачання в КНП «Київський міський центр  нефрології та діалізу» за адресою м.Київ, вул. Чорних Запорожців,26</x:v>
      </x:c>
      <x:c r="N1174" s="15" t="str">
        <x:v>https://prozorro.gov.ua/tender/UA-2024-07-17-008571-a</x:v>
      </x:c>
    </x:row>
    <x:row r="1175">
      <x:c r="A1175" s="14" t="n">
        <x:v>1171</x:v>
      </x:c>
      <x:c r="B1175" s="14" t="str">
        <x:v>ТОВАРИСТВО З ОБМЕЖЕНОЮ ВІДПОВІДАЛЬНІСТЮ "БУДІВЕЛЬНО-МОНТАЖНЕ ПІДПРИЄМСТВО ПРОМБУД"</x:v>
      </x:c>
      <x:c r="C1175" s="14" t="str">
        <x:v>39494345</x:v>
      </x:c>
      <x:c r="D1175" s="14" t="str">
        <x:v>HVAC / ОВіК</x:v>
      </x:c>
      <x:c r="E1175" s="14" t="str">
        <x:v>Pilot now</x:v>
      </x:c>
      <x:c r="F1175" s="14" t="str">
        <x:v>I3</x:v>
      </x:c>
      <x:c r="G1175" s="14" t="n">
        <x:v>34</x:v>
      </x:c>
      <x:c r="H1175" s="14" t="n">
        <x:v>1</x:v>
      </x:c>
      <x:c r="I1175" s="14" t="n">
        <x:v>0</x:v>
      </x:c>
      <x:c r="J1175" s="18" t="n">
        <x:v>317408.4</x:v>
      </x:c>
      <x:c r="K1175" s="19" t="n">
        <x:v>45897.34353300926</x:v>
      </x:c>
      <x:c r="L1175" s="19" t="n">
        <x:v>45992</x:v>
      </x:c>
      <x:c r="M1175"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x:v>
      </x:c>
      <x:c r="N1175" s="15" t="str">
        <x:v>https://prozorro.gov.ua/tender/UA-2025-08-15-010274-a</x:v>
      </x:c>
    </x:row>
    <x:row r="1176">
      <x:c r="A1176" s="14" t="n">
        <x:v>1172</x:v>
      </x:c>
      <x:c r="B1176" s="14" t="str">
        <x:v>ТОВАРИСТВО З ОБМЕЖЕНОЮ ВІДПОВІДАЛЬНІСТЮ "ВІДБУДОВА ПІВДЕНЬ"</x:v>
      </x:c>
      <x:c r="C1176" s="14" t="str">
        <x:v>45229128</x:v>
      </x:c>
      <x:c r="D1176" s="14" t="str">
        <x:v>HVAC / ОВіК</x:v>
      </x:c>
      <x:c r="E1176" s="14" t="str">
        <x:v>Pilot now</x:v>
      </x:c>
      <x:c r="F1176" s="14" t="str">
        <x:v>I3</x:v>
      </x:c>
      <x:c r="G1176" s="14" t="n">
        <x:v>34</x:v>
      </x:c>
      <x:c r="H1176" s="14" t="n">
        <x:v>1</x:v>
      </x:c>
      <x:c r="I1176" s="14" t="n">
        <x:v>0</x:v>
      </x:c>
      <x:c r="J1176" s="18" t="n">
        <x:v>299996.14</x:v>
      </x:c>
      <x:c r="K1176" s="19" t="n">
        <x:v>45953.551103935184</x:v>
      </x:c>
      <x:c r="L1176" s="19" t="n">
        <x:v>46001</x:v>
      </x:c>
      <x:c r="M1176" s="15" t="str">
        <x:v>Послуги з монтажу системи вентиляції будівлі «Їдальня» військового містечка № 5 військової частини 3012 Національної гвардії України</x:v>
      </x:c>
      <x:c r="N1176" s="15" t="str">
        <x:v>https://prozorro.gov.ua/tender/UA-2025-10-10-010630-a</x:v>
      </x:c>
    </x:row>
    <x:row r="1177">
      <x:c r="A1177" s="14" t="n">
        <x:v>1173</x:v>
      </x:c>
      <x:c r="B1177" s="14" t="str">
        <x:v>ТОВАРИСТВО З ОБМЕЖЕНОЮ ВІДПОВІДАЛЬНІСТЮ "ДАРЕКС-ЕНЕРГО"</x:v>
      </x:c>
      <x:c r="C1177" s="14" t="str">
        <x:v>39423347</x:v>
      </x:c>
      <x:c r="D1177" s="14" t="str">
        <x:v>Резервне живлення</x:v>
      </x:c>
      <x:c r="E1177" s="14" t="str">
        <x:v>Pilot now</x:v>
      </x:c>
      <x:c r="F1177" s="14" t="str">
        <x:v>I3</x:v>
      </x:c>
      <x:c r="G1177" s="14" t="n">
        <x:v>34</x:v>
      </x:c>
      <x:c r="H1177" s="14" t="n">
        <x:v>1</x:v>
      </x:c>
      <x:c r="I1177" s="14" t="n">
        <x:v>0</x:v>
      </x:c>
      <x:c r="J1177" s="18" t="n">
        <x:v>199410</x:v>
      </x:c>
      <x:c r="K1177" s="19" t="n">
        <x:v>45884.51030422454</x:v>
      </x:c>
      <x:c r="L1177" s="19" t="n">
        <x:v>46022</x:v>
      </x:c>
      <x:c r="M1177" s="15" t="str">
        <x:v>Послуги з поточного ремонту зі встановлення джерела резервного живлення (монтаж та підключення дизель-генератора) в КНП "Петриківська центральна лікарня" Петриківської селищної ради за адресою: Дніпропетровська обл., Дніпровський р-н, с-ще Петриківка, пр. Петра Калнишевського, 56</x:v>
      </x:c>
      <x:c r="N1177" s="15" t="str">
        <x:v>https://prozorro.gov.ua/tender/UA-2025-08-15-008444-a</x:v>
      </x:c>
    </x:row>
    <x:row r="1178">
      <x:c r="A1178" s="14" t="n">
        <x:v>1174</x:v>
      </x:c>
      <x:c r="B1178" s="14" t="str">
        <x:v>ТОВАРИСТВО З ОБМЕЖЕНОЮ ВІДПОВІДАЛЬНІСТЮ "ЕЛЕКТРІК СЕРВІС"</x:v>
      </x:c>
      <x:c r="C1178" s="14" t="str">
        <x:v>37747419</x:v>
      </x:c>
      <x:c r="D1178" s="14" t="str">
        <x:v>Чисті приміщення</x:v>
      </x:c>
      <x:c r="E1178" s="14" t="str">
        <x:v>Expansion discovery</x:v>
      </x:c>
      <x:c r="F1178" s="14" t="str">
        <x:v>I3</x:v>
      </x:c>
      <x:c r="G1178" s="14" t="n">
        <x:v>34</x:v>
      </x:c>
      <x:c r="H1178" s="14" t="n">
        <x:v>1</x:v>
      </x:c>
      <x:c r="I1178" s="14" t="n">
        <x:v>0</x:v>
      </x:c>
      <x:c r="J1178" s="18" t="n">
        <x:v>536101.75</x:v>
      </x:c>
      <x:c r="K1178" s="19" t="n">
        <x:v>45651.447299363426</x:v>
      </x:c>
      <x:c r="L1178" s="19" t="n">
        <x:v>45702</x:v>
      </x:c>
      <x:c r="M1178" s="15" t="str">
        <x:v>ДК 021:2015-45310000-3 Електромонтажні роботи (Реконструкція схеми живлення ангіографу та операційного блоку кардіохірургічного відділення з облаштуванням резервного живлення від генератора за адресою м.Краматорськ, вул.Героїв України, 17)</x:v>
      </x:c>
      <x:c r="N1178" s="15" t="str">
        <x:v>https://prozorro.gov.ua/tender/UA-2024-12-10-007228-a</x:v>
      </x:c>
    </x:row>
    <x:row r="1179">
      <x:c r="A1179" s="14" t="n">
        <x:v>1175</x:v>
      </x:c>
      <x:c r="B1179" s="14" t="str">
        <x:v>ТОВАРИСТВО З ОБМЕЖЕНОЮ ВІДПОВІДАЛЬНІСТЮ "ПАРТНЕРШІП"</x:v>
      </x:c>
      <x:c r="C1179" s="14" t="str">
        <x:v>40305502</x:v>
      </x:c>
      <x:c r="D1179" s="14" t="str">
        <x:v>СКС / BMS / слаботочка</x:v>
      </x:c>
      <x:c r="E1179" s="14" t="str">
        <x:v>Expansion discovery</x:v>
      </x:c>
      <x:c r="F1179" s="14" t="str">
        <x:v>I3</x:v>
      </x:c>
      <x:c r="G1179" s="14" t="n">
        <x:v>34</x:v>
      </x:c>
      <x:c r="H1179" s="14" t="n">
        <x:v>1</x:v>
      </x:c>
      <x:c r="I1179" s="14" t="n">
        <x:v>0</x:v>
      </x:c>
      <x:c r="J1179" s="18" t="n">
        <x:v>316533.34</x:v>
      </x:c>
      <x:c r="K1179" s="19" t="n">
        <x:v>45964.62042327546</x:v>
      </x:c>
      <x:c r="L1179" s="19" t="n">
        <x:v>46006</x:v>
      </x:c>
      <x:c r="M1179" s="15" t="str">
        <x:v>Послуги з монтажу СКС (структурованої кабельної системи)</x:v>
      </x:c>
      <x:c r="N1179" s="15" t="str">
        <x:v>https://prozorro.gov.ua/tender/UA-2025-10-21-008503-a</x:v>
      </x:c>
    </x:row>
    <x:row r="1180">
      <x:c r="A1180" s="14" t="n">
        <x:v>1176</x:v>
      </x:c>
      <x:c r="B1180" s="14" t="str">
        <x:v>ТОВАРИСТВО З ОБМЕЖЕНОЮ ВІДПОВІДАЛЬНІСТЮ "ПМ-БУД ІНВЕСТ"</x:v>
      </x:c>
      <x:c r="C1180" s="14" t="str">
        <x:v>45313853</x:v>
      </x:c>
      <x:c r="D1180" s="14" t="str">
        <x:v>Промислові підлоги та бетон</x:v>
      </x:c>
      <x:c r="E1180" s="14" t="str">
        <x:v>Expansion discovery</x:v>
      </x:c>
      <x:c r="F1180" s="14" t="str">
        <x:v>I3</x:v>
      </x:c>
      <x:c r="G1180" s="14" t="n">
        <x:v>34</x:v>
      </x:c>
      <x:c r="H1180" s="14" t="n">
        <x:v>1</x:v>
      </x:c>
      <x:c r="I1180" s="14" t="n">
        <x:v>0</x:v>
      </x:c>
      <x:c r="J1180" s="18" t="n">
        <x:v>179999.04</x:v>
      </x:c>
      <x:c r="K1180" s="19" t="n">
        <x:v>46010.62677390046</x:v>
      </x:c>
      <x:c r="L1180" s="19" t="n">
        <x:v>46017</x:v>
      </x:c>
      <x:c r="M1180" s="15" t="str">
        <x:v>Влаштування бетонної промислової підлоги  з заглажуванням поверхні ротаційними машинами (дисками та лопастями)</x:v>
      </x:c>
      <x:c r="N1180" s="15" t="str">
        <x:v>https://prozorro.gov.ua/tender/UA-2025-12-19-022009-a</x:v>
      </x:c>
    </x:row>
    <x:row r="1181">
      <x:c r="A1181" s="14" t="n">
        <x:v>1177</x:v>
      </x:c>
      <x:c r="B1181" s="14" t="str">
        <x:v>ТОВАРИСТВО З ОБМЕЖЕНОЮ ВІДПОВІДАЛЬНІСТЮ "ПРОМЕНЕРГОБУДСЕРВІС"</x:v>
      </x:c>
      <x:c r="C1181" s="14" t="str">
        <x:v>35876743</x:v>
      </x:c>
      <x:c r="D1181" s="14" t="str">
        <x:v>Резервне живлення</x:v>
      </x:c>
      <x:c r="E1181" s="14" t="str">
        <x:v>Pilot now</x:v>
      </x:c>
      <x:c r="F1181" s="14" t="str">
        <x:v>I3</x:v>
      </x:c>
      <x:c r="G1181" s="14" t="n">
        <x:v>34</x:v>
      </x:c>
      <x:c r="H1181" s="14" t="n">
        <x:v>1</x:v>
      </x:c>
      <x:c r="I1181" s="14" t="n">
        <x:v>0</x:v>
      </x:c>
      <x:c r="J1181" s="18" t="n">
        <x:v>498723.6</x:v>
      </x:c>
      <x:c r="K1181" s="19" t="n">
        <x:v>46017.458091782406</x:v>
      </x:c>
      <x:c r="L1181" s="19" t="n">
        <x:v>46022.916666655095</x:v>
      </x:c>
      <x:c r="M1181" s="15" t="str">
        <x:v>(ДК 021:2015 код 45317000-2 Інші електромонтажні роботи) Виконання робіт з монтажу та налаштування установки безперебійного живлення дахової котельні для філії "Дирекція з будівництва Дністровської ГАЕС" ПрАТ "Укргідроенерго"</x:v>
      </x:c>
      <x:c r="N1181" s="15" t="str">
        <x:v>https://prozorro.gov.ua/tender/UA-2025-12-26-007313-a</x:v>
      </x:c>
    </x:row>
    <x:row r="1182">
      <x:c r="A1182" s="14" t="n">
        <x:v>1178</x:v>
      </x:c>
      <x:c r="B1182" s="14" t="str">
        <x:v>ТОВАРИСТВО З ОБМЕЖЕНОЮ ВІДПОВІДАЛЬНІСТЮ "СВІТЛОБУД ПІВДЕНЬ"</x:v>
      </x:c>
      <x:c r="C1182" s="14" t="str">
        <x:v>33202841</x:v>
      </x:c>
      <x:c r="D1182" s="14" t="str">
        <x:v>Покрівлі та гідроізоляція</x:v>
      </x:c>
      <x:c r="E1182" s="14" t="str">
        <x:v>Expansion discovery</x:v>
      </x:c>
      <x:c r="F1182" s="14" t="str">
        <x:v>I3</x:v>
      </x:c>
      <x:c r="G1182" s="14" t="n">
        <x:v>34</x:v>
      </x:c>
      <x:c r="H1182" s="14" t="n">
        <x:v>1</x:v>
      </x:c>
      <x:c r="I1182" s="14" t="n">
        <x:v>0</x:v>
      </x:c>
      <x:c r="J1182" s="18" t="n">
        <x:v>597153.47</x:v>
      </x:c>
      <x:c r="K1182" s="19" t="n">
        <x:v>45407.50328121528</x:v>
      </x:c>
      <x:c r="L1182" s="19" t="n">
        <x:v>45657</x:v>
      </x:c>
      <x:c r="M1182" s="15" t="str">
        <x:v>Капітальний ремонт зовнішньої стіни машинного відділення ГКНС з виконанням гідроізоляційних робіт (вул.Трудова)</x:v>
      </x:c>
      <x:c r="N1182" s="15" t="str">
        <x:v>https://prozorro.gov.ua/tender/UA-2024-04-25-008583-a</x:v>
      </x:c>
    </x:row>
    <x:row r="1183">
      <x:c r="A1183" s="14" t="n">
        <x:v>1179</x:v>
      </x:c>
      <x:c r="B1183" s="14" t="str">
        <x:v>ТОВАРИСТВО З ОБМЕЖЕНОЮ ВІДПОВІДАЛЬНІСТЮ "ХЛАДОН-СЕРВИС"</x:v>
      </x:c>
      <x:c r="C1183" s="14" t="str">
        <x:v>23034131</x:v>
      </x:c>
      <x:c r="D1183" s="14" t="str">
        <x:v>Промисловий холод</x:v>
      </x:c>
      <x:c r="E1183" s="14" t="str">
        <x:v>Expansion discovery</x:v>
      </x:c>
      <x:c r="F1183" s="14" t="str">
        <x:v>I3</x:v>
      </x:c>
      <x:c r="G1183" s="14" t="n">
        <x:v>34</x:v>
      </x:c>
      <x:c r="H1183" s="14" t="n">
        <x:v>1</x:v>
      </x:c>
      <x:c r="I1183" s="14" t="n">
        <x:v>0</x:v>
      </x:c>
      <x:c r="J1183" s="18" t="n">
        <x:v>198701.82</x:v>
      </x:c>
      <x:c r="K1183" s="19" t="n">
        <x:v>45896.302274340276</x:v>
      </x:c>
      <x:c r="L1183" s="19" t="n">
        <x:v>45930</x:v>
      </x:c>
      <x:c r="M1183" s="15" t="str">
        <x:v>Обладнання та монтування 2 морозильних камер об'ємом по 16 м3 з температурним режимом мінус 18 градусів по цельсію. Демонтаж та монтаж обладнання холодильної камери ДК 021:2015:51510000-0 Послуги зі встановлення універсальних машин та обладнання</x:v>
      </x:c>
      <x:c r="N1183" s="15" t="str">
        <x:v>https://prozorro.gov.ua/tender/UA-2025-08-27-001362-a</x:v>
      </x:c>
    </x:row>
    <x:row r="1184">
      <x:c r="A1184" s="14" t="n">
        <x:v>1180</x:v>
      </x:c>
      <x:c r="B1184" s="14" t="str">
        <x:v>ТОВАРИСТВО З ОБМЕЖЕНОЮ ВІДПОВІДАЛЬНІСТЮ "ХМІЛЬНИК ЕНЕРДЖІ"</x:v>
      </x:c>
      <x:c r="C1184" s="14" t="str">
        <x:v>44370250</x:v>
      </x:c>
      <x:c r="D1184" s="14" t="str">
        <x:v>Газові мережі</x:v>
      </x:c>
      <x:c r="E1184" s="14" t="str">
        <x:v>Expansion discovery</x:v>
      </x:c>
      <x:c r="F1184" s="14" t="str">
        <x:v>I3</x:v>
      </x:c>
      <x:c r="G1184" s="14" t="n">
        <x:v>34</x:v>
      </x:c>
      <x:c r="H1184" s="14" t="n">
        <x:v>1</x:v>
      </x:c>
      <x:c r="I1184" s="14" t="n">
        <x:v>0</x:v>
      </x:c>
      <x:c r="J1184" s="18" t="n">
        <x:v>206596.95</x:v>
      </x:c>
      <x:c r="K1184" s="19" t="n">
        <x:v>45994.58199284722</x:v>
      </x:c>
      <x:c r="L1184" s="19" t="n">
        <x:v>46022</x:v>
      </x:c>
      <x:c r="M1184"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x:v>
      </x:c>
      <x:c r="N1184" s="15" t="str">
        <x:v>https://prozorro.gov.ua/tender/UA-2025-12-03-015993-a</x:v>
      </x:c>
    </x:row>
    <x:row r="1185">
      <x:c r="A1185" s="14" t="n">
        <x:v>1181</x:v>
      </x:c>
      <x:c r="B1185" s="14" t="str">
        <x:v>ТОВАРИСТВО З ОБМЕЖЕНОЮ ВІДПОВІДАЛЬНІСТЮ "ШЛЯХБУДГРУП"</x:v>
      </x:c>
      <x:c r="C1185" s="14" t="str">
        <x:v>40992093</x:v>
      </x:c>
      <x:c r="D1185" s="14" t="str">
        <x:v>Зливова каналізація / дренаж</x:v>
      </x:c>
      <x:c r="E1185" s="14" t="str">
        <x:v>Expansion discovery</x:v>
      </x:c>
      <x:c r="F1185" s="14" t="str">
        <x:v>I3</x:v>
      </x:c>
      <x:c r="G1185" s="14" t="n">
        <x:v>34</x:v>
      </x:c>
      <x:c r="H1185" s="14" t="n">
        <x:v>1</x:v>
      </x:c>
      <x:c r="I1185" s="14" t="n">
        <x:v>0</x:v>
      </x:c>
      <x:c r="J1185" s="18" t="n">
        <x:v>459131.57</x:v>
      </x:c>
      <x:c r="K1185" s="19" t="n">
        <x:v>45804.37175665509</x:v>
      </x:c>
      <x:c r="L1185" s="19" t="n">
        <x:v>45838.36931712963</x:v>
      </x:c>
      <x:c r="M1185" s="15" t="str">
        <x:v>Будівництво дощоприймача на колекторі зливової каналізації за адресою вул. Кармелюка 5-А в м. Хмельницькому. (Черга 1 - водовипуск)</x:v>
      </x:c>
      <x:c r="N1185" s="15" t="str">
        <x:v>https://prozorro.gov.ua/tender/UA-2025-05-27-005217-a</x:v>
      </x:c>
    </x:row>
    <x:row r="1186">
      <x:c r="A1186" s="14" t="n">
        <x:v>1182</x:v>
      </x:c>
      <x:c r="B1186" s="14" t="str">
        <x:v>ТОВАРИСТВО З ОБМЕЖЕНОЮ ВІД­ПО­ВІД­АЛЬ­НІ­СТЮ «БУДІВЕЛЬНІ СПОРУДИ МІСТА»</x:v>
      </x:c>
      <x:c r="C1186" s="14" t="str">
        <x:v>43037877</x:v>
      </x:c>
      <x:c r="D1186" s="14" t="str">
        <x:v>ГНБ / безтраншейні роботи</x:v>
      </x:c>
      <x:c r="E1186" s="14" t="str">
        <x:v>Expansion discovery</x:v>
      </x:c>
      <x:c r="F1186" s="14" t="str">
        <x:v>I3</x:v>
      </x:c>
      <x:c r="G1186" s="14" t="n">
        <x:v>34</x:v>
      </x:c>
      <x:c r="H1186" s="14" t="n">
        <x:v>2</x:v>
      </x:c>
      <x:c r="I1186" s="14" t="n">
        <x:v>0</x:v>
      </x:c>
      <x:c r="J1186" s="18" t="n">
        <x:v>333690</x:v>
      </x:c>
      <x:c r="K1186" s="19" t="n">
        <x:v>46009.57103386574</x:v>
      </x:c>
      <x:c r="L1186" s="19" t="n">
        <x:v>46010</x:v>
      </x:c>
      <x:c r="M1186" s="15" t="str">
        <x:v>Поточний ремонт частини водопроводу по вул. Житомирська, 85 методом горизонтально-направленого буріння в м. Звягель Житомирської області</x:v>
      </x:c>
      <x:c r="N1186" s="15" t="str">
        <x:v>https://prozorro.gov.ua/tender/UA-2025-12-18-018759-a</x:v>
      </x:c>
    </x:row>
    <x:row r="1187">
      <x:c r="A1187" s="14" t="n">
        <x:v>1183</x:v>
      </x:c>
      <x:c r="B1187" s="14" t="str">
        <x:v>ФОП АЛФІМОВ ІГОР ДМИТРОВИЧ</x:v>
      </x:c>
      <x:c r="C1187" s="14" t="str">
        <x:v>3413506156</x:v>
      </x:c>
      <x:c r="D1187" s="14" t="str">
        <x:v>Електромонтаж</x:v>
      </x:c>
      <x:c r="E1187" s="14" t="str">
        <x:v>Pilot now</x:v>
      </x:c>
      <x:c r="F1187" s="14" t="str">
        <x:v>I3</x:v>
      </x:c>
      <x:c r="G1187" s="14" t="n">
        <x:v>34</x:v>
      </x:c>
      <x:c r="H1187" s="14" t="n">
        <x:v>1</x:v>
      </x:c>
      <x:c r="I1187" s="14" t="n">
        <x:v>0</x:v>
      </x:c>
      <x:c r="J1187" s="18" t="n">
        <x:v>198569.6</x:v>
      </x:c>
      <x:c r="K1187" s="19" t="n">
        <x:v>46133.36862380787</x:v>
      </x:c>
      <x:c r="L1187" s="19" t="n">
        <x:v>46157</x:v>
      </x:c>
      <x:c r="M118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x:v>
      </x:c>
      <x:c r="N1187" s="15" t="str">
        <x:v>https://prozorro.gov.ua/tender/UA-2026-04-21-004189-a</x:v>
      </x:c>
    </x:row>
    <x:row r="1188">
      <x:c r="A1188" s="14" t="n">
        <x:v>1184</x:v>
      </x:c>
      <x:c r="B1188" s="14" t="str">
        <x:v>ДЕРЖАВНЕ ПІДПРИЄМСТВО "ЖИЛКОМ"</x:v>
      </x:c>
      <x:c r="C1188" s="14" t="str">
        <x:v>32350021</x:v>
      </x:c>
      <x:c r="D1188" s="14" t="str">
        <x:v>Зовнішні мережі</x:v>
      </x:c>
      <x:c r="E1188" s="14" t="str">
        <x:v>Expansion discovery</x:v>
      </x:c>
      <x:c r="F1188" s="14" t="str">
        <x:v>I3</x:v>
      </x:c>
      <x:c r="G1188" s="14" t="n">
        <x:v>33</x:v>
      </x:c>
      <x:c r="H1188" s="14" t="n">
        <x:v>1</x:v>
      </x:c>
      <x:c r="I1188" s="14" t="n">
        <x:v>0</x:v>
      </x:c>
      <x:c r="J1188" s="18" t="n">
        <x:v>74966.69</x:v>
      </x:c>
      <x:c r="K1188" s="19" t="n">
        <x:v>46121.44054548611</x:v>
      </x:c>
      <x:c r="L1188" s="19" t="n">
        <x:v>46151</x:v>
      </x:c>
      <x:c r="M1188"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x:v>
      </x:c>
      <x:c r="N1188" s="15" t="str">
        <x:v>https://prozorro.gov.ua/tender/UA-2026-04-09-006861-a</x:v>
      </x:c>
    </x:row>
    <x:row r="1189">
      <x:c r="A1189" s="14" t="n">
        <x:v>1185</x:v>
      </x:c>
      <x:c r="B1189" s="14" t="str">
        <x:v>ПП "ЕВЕРЕСТ О"</x:v>
      </x:c>
      <x:c r="C1189" s="14" t="str">
        <x:v>36274877</x:v>
      </x:c>
      <x:c r="D1189" s="14" t="str">
        <x:v>Газопостачання / котельні</x:v>
      </x:c>
      <x:c r="E1189" s="14" t="str">
        <x:v>Expansion discovery</x:v>
      </x:c>
      <x:c r="F1189" s="14" t="str">
        <x:v>I3</x:v>
      </x:c>
      <x:c r="G1189" s="14" t="n">
        <x:v>33</x:v>
      </x:c>
      <x:c r="H1189" s="14" t="n">
        <x:v>1</x:v>
      </x:c>
      <x:c r="I1189" s="14" t="n">
        <x:v>0</x:v>
      </x:c>
      <x:c r="J1189" s="18" t="n">
        <x:v>8599.2</x:v>
      </x:c>
      <x:c r="K1189" s="19" t="n">
        <x:v>46113.30135084491</x:v>
      </x:c>
      <x:c r="L1189" s="19" t="n">
        <x:v>46154.302199074074</x:v>
      </x:c>
      <x:c r="M1189" s="15" t="str">
        <x:v>Послуги з демонтажу, ремонту та монтажу протипожежного обладнання на котельні в м. Кременчуці</x:v>
      </x:c>
      <x:c r="N1189" s="15" t="str">
        <x:v>https://prozorro.gov.ua/tender/UA-2026-04-01-001928-a</x:v>
      </x:c>
    </x:row>
    <x:row r="1190">
      <x:c r="A1190" s="14" t="n">
        <x:v>1186</x:v>
      </x:c>
      <x:c r="B1190" s="14" t="str">
        <x:v>ПрАТ Львівське спеціалізоване будівельно-монтажне управління №1</x:v>
      </x:c>
      <x:c r="C1190" s="14" t="str">
        <x:v>03335511</x:v>
      </x:c>
      <x:c r="D1190" s="14" t="str">
        <x:v>ГНБ / безтраншейні роботи</x:v>
      </x:c>
      <x:c r="E1190" s="14" t="str">
        <x:v>Expansion discovery</x:v>
      </x:c>
      <x:c r="F1190" s="14" t="str">
        <x:v>I3</x:v>
      </x:c>
      <x:c r="G1190" s="14" t="n">
        <x:v>33</x:v>
      </x:c>
      <x:c r="H1190" s="14" t="n">
        <x:v>1</x:v>
      </x:c>
      <x:c r="I1190" s="14" t="n">
        <x:v>0</x:v>
      </x:c>
      <x:c r="J1190" s="18" t="n">
        <x:v>571026.58</x:v>
      </x:c>
      <x:c r="K1190" s="19" t="n">
        <x:v>45908.623008194445</x:v>
      </x:c>
      <x:c r="L1190" s="19" t="n">
        <x:v>46022</x:v>
      </x:c>
      <x:c r="M1190"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x:v>
      </x:c>
      <x:c r="N1190" s="15" t="str">
        <x:v>https://prozorro.gov.ua/tender/UA-2025-08-18-011728-a</x:v>
      </x:c>
    </x:row>
    <x:row r="1191">
      <x:c r="A1191" s="14" t="n">
        <x:v>1187</x:v>
      </x:c>
      <x:c r="B1191" s="14" t="str">
        <x:v>ТОВ "ВІННИЦЯ БЛАГОУСТРІЙ"</x:v>
      </x:c>
      <x:c r="C1191" s="14" t="str">
        <x:v>41164193</x:v>
      </x:c>
      <x:c r="D1191" s="14" t="str">
        <x:v>ГНБ / безтраншейні роботи</x:v>
      </x:c>
      <x:c r="E1191" s="14" t="str">
        <x:v>Expansion discovery</x:v>
      </x:c>
      <x:c r="F1191" s="14" t="str">
        <x:v>I3</x:v>
      </x:c>
      <x:c r="G1191" s="14" t="n">
        <x:v>33</x:v>
      </x:c>
      <x:c r="H1191" s="14" t="n">
        <x:v>1</x:v>
      </x:c>
      <x:c r="I1191" s="14" t="n">
        <x:v>0</x:v>
      </x:c>
      <x:c r="J1191" s="18" t="n">
        <x:v>850235.84</x:v>
      </x:c>
      <x:c r="K1191" s="19" t="n">
        <x:v>46000.647910300926</x:v>
      </x:c>
      <x:c r="L1191" s="19" t="n">
        <x:v>46016</x:v>
      </x:c>
      <x:c r="M1191"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x:v>
      </x:c>
      <x:c r="N1191" s="15" t="str">
        <x:v>https://prozorro.gov.ua/tender/UA-2025-11-28-001410-a</x:v>
      </x:c>
    </x:row>
    <x:row r="1192">
      <x:c r="A1192" s="14" t="n">
        <x:v>1188</x:v>
      </x:c>
      <x:c r="B1192" s="14" t="str">
        <x:v>ТОВ "Ротор-24"</x:v>
      </x:c>
      <x:c r="C1192" s="14" t="str">
        <x:v>44505709</x:v>
      </x:c>
      <x:c r="D1192" s="14" t="str">
        <x:v>Електромонтаж</x:v>
      </x:c>
      <x:c r="E1192" s="14" t="str">
        <x:v>Pilot now</x:v>
      </x:c>
      <x:c r="F1192" s="14" t="str">
        <x:v>I3</x:v>
      </x:c>
      <x:c r="G1192" s="14" t="n">
        <x:v>33</x:v>
      </x:c>
      <x:c r="H1192" s="14" t="n">
        <x:v>1</x:v>
      </x:c>
      <x:c r="I1192" s="14" t="n">
        <x:v>0</x:v>
      </x:c>
      <x:c r="J1192" s="18" t="n">
        <x:v>15630</x:v>
      </x:c>
      <x:c r="K1192" s="19" t="n">
        <x:v>46119.39454677083</x:v>
      </x:c>
      <x:c r="L1192" s="19" t="n">
        <x:v>46122</x:v>
      </x:c>
      <x:c r="M1192" s="15" t="str">
        <x:v>Електровимірювальні роботи (вимірювння опору заземлення та ізоляції- за адресою:  вул.Лаврська 9 , корп. 24,26 та по вул. Велика Всильківська, 121 )</x:v>
      </x:c>
      <x:c r="N1192" s="15" t="str">
        <x:v>https://prozorro.gov.ua/tender/UA-2026-04-07-006143-a</x:v>
      </x:c>
    </x:row>
    <x:row r="1193">
      <x:c r="A1193" s="14" t="n">
        <x:v>1189</x:v>
      </x:c>
      <x:c r="B1193" s="14" t="str">
        <x:v>Товариство з додатковою відповідальністю "БЗКУ АРДЕНЗ"</x:v>
      </x:c>
      <x:c r="C1193" s="14" t="str">
        <x:v>05495354</x:v>
      </x:c>
      <x:c r="D1193" s="14" t="str">
        <x:v>Газопостачання / котельні</x:v>
      </x:c>
      <x:c r="E1193" s="14" t="str">
        <x:v>Expansion discovery</x:v>
      </x:c>
      <x:c r="F1193" s="14" t="str">
        <x:v>I3</x:v>
      </x:c>
      <x:c r="G1193" s="14" t="n">
        <x:v>33</x:v>
      </x:c>
      <x:c r="H1193" s="14" t="n">
        <x:v>1</x:v>
      </x:c>
      <x:c r="I1193" s="14" t="n">
        <x:v>0</x:v>
      </x:c>
      <x:c r="J1193" s="18" t="n">
        <x:v>55392</x:v>
      </x:c>
      <x:c r="K1193" s="19" t="n">
        <x:v>46106.40369903935</x:v>
      </x:c>
      <x:c r="L1193" s="19" t="n">
        <x:v>46136.362662037034</x:v>
      </x:c>
      <x:c r="M1193" s="15" t="str">
        <x:v>Послуги з монтажу та технологічне налагодження котельного обладнання, що розташоване в котельні за адресою м.Шостка, вул. Заводська,30</x:v>
      </x:c>
      <x:c r="N1193" s="15" t="str">
        <x:v>https://prozorro.gov.ua/tender/UA-2026-03-25-004989-a</x:v>
      </x:c>
    </x:row>
    <x:row r="1194">
      <x:c r="A1194" s="14" t="n">
        <x:v>1190</x:v>
      </x:c>
      <x:c r="B1194" s="14" t="str">
        <x:v>ТОВАРИСТВО З ОБМЕЖЕНОЮ ВІДПОВІДАЛЬНІСТЮ "ВЕТО"</x:v>
      </x:c>
      <x:c r="C1194" s="14" t="str">
        <x:v>32653295</x:v>
      </x:c>
      <x:c r="D1194" s="14" t="str">
        <x:v>Пожежогасіння</x:v>
      </x:c>
      <x:c r="E1194" s="14" t="str">
        <x:v>Expansion discovery</x:v>
      </x:c>
      <x:c r="F1194" s="14" t="str">
        <x:v>I3</x:v>
      </x:c>
      <x:c r="G1194" s="14" t="n">
        <x:v>33</x:v>
      </x:c>
      <x:c r="H1194" s="14" t="n">
        <x:v>1</x:v>
      </x:c>
      <x:c r="I1194" s="14" t="n">
        <x:v>0</x:v>
      </x:c>
      <x:c r="J1194" s="18" t="n">
        <x:v>28128</x:v>
      </x:c>
      <x:c r="K1194" s="19" t="n">
        <x:v>46122.36283795139</x:v>
      </x:c>
      <x:c r="L1194" s="19" t="n">
        <x:v>46142</x:v>
      </x:c>
      <x:c r="M1194" s="15" t="str">
        <x:v>Роботи з монтажу і наладки засобів системи пожежної сигналізації </x:v>
      </x:c>
      <x:c r="N1194" s="15" t="str">
        <x:v>https://prozorro.gov.ua/tender/UA-2026-04-10-004562-a</x:v>
      </x:c>
    </x:row>
    <x:row r="1195">
      <x:c r="A1195" s="14" t="n">
        <x:v>1191</x:v>
      </x:c>
      <x:c r="B1195" s="14" t="str">
        <x:v>ФОП Афанасьєв Сергій Володимирович</x:v>
      </x:c>
      <x:c r="C1195" s="14" t="str">
        <x:v>3119107355</x:v>
      </x:c>
      <x:c r="D1195" s="14" t="str">
        <x:v>Резервне живлення</x:v>
      </x:c>
      <x:c r="E1195" s="14" t="str">
        <x:v>Pilot now</x:v>
      </x:c>
      <x:c r="F1195" s="14" t="str">
        <x:v>I3</x:v>
      </x:c>
      <x:c r="G1195" s="14" t="n">
        <x:v>33</x:v>
      </x:c>
      <x:c r="H1195" s="14" t="n">
        <x:v>2</x:v>
      </x:c>
      <x:c r="I1195" s="14" t="n">
        <x:v>0</x:v>
      </x:c>
      <x:c r="J1195" s="18" t="n">
        <x:v>27900</x:v>
      </x:c>
      <x:c r="K1195" s="19" t="n">
        <x:v>45653.5406250463</x:v>
      </x:c>
      <x:c r="L1195" s="19" t="n">
        <x:v>45657</x:v>
      </x:c>
      <x:c r="M1195" s="15" t="str">
        <x:v>Послуги з монтажу, підключенню та комутації системи безперебійного живлення</x:v>
      </x:c>
      <x:c r="N1195" s="15" t="str">
        <x:v>https://prozorro.gov.ua/tender/UA-2024-12-27-009055-a</x:v>
      </x:c>
    </x:row>
    <x:row r="1196">
      <x:c r="A1196" s="14" t="n">
        <x:v>1192</x:v>
      </x:c>
      <x:c r="B1196" s="14" t="str">
        <x:v>ФОП Хомут Орест Олегович</x:v>
      </x:c>
      <x:c r="C1196" s="14" t="str">
        <x:v>3469307896</x:v>
      </x:c>
      <x:c r="D1196" s="14" t="str">
        <x:v>Резервне живлення</x:v>
      </x:c>
      <x:c r="E1196" s="14" t="str">
        <x:v>Pilot now</x:v>
      </x:c>
      <x:c r="F1196" s="14" t="str">
        <x:v>I3</x:v>
      </x:c>
      <x:c r="G1196" s="14" t="n">
        <x:v>33</x:v>
      </x:c>
      <x:c r="H1196" s="14" t="n">
        <x:v>2</x:v>
      </x:c>
      <x:c r="I1196" s="14" t="n">
        <x:v>0</x:v>
      </x:c>
      <x:c r="J1196" s="18" t="n">
        <x:v>26700</x:v>
      </x:c>
      <x:c r="K1196" s="19" t="n">
        <x:v>45649.43394699074</x:v>
      </x:c>
      <x:c r="L1196" s="19" t="n">
        <x:v>45657.4359375</x:v>
      </x:c>
      <x:c r="M1196" s="15" t="str">
        <x:v>Монтаж безперебійного живлення</x:v>
      </x:c>
      <x:c r="N1196" s="15" t="str">
        <x:v>https://prozorro.gov.ua/tender/UA-2024-12-23-007844-a</x:v>
      </x:c>
    </x:row>
    <x:row r="1197">
      <x:c r="A1197" s="14" t="n">
        <x:v>1193</x:v>
      </x:c>
      <x:c r="B1197" s="14" t="str">
        <x:v>Фізична особа підприємець Корчемлюк Володимир Васильович</x:v>
      </x:c>
      <x:c r="C1197" s="14" t="str">
        <x:v>2448308158</x:v>
      </x:c>
      <x:c r="D1197" s="14" t="str">
        <x:v>Електромонтаж</x:v>
      </x:c>
      <x:c r="E1197" s="14" t="str">
        <x:v>Pilot now</x:v>
      </x:c>
      <x:c r="F1197" s="14" t="str">
        <x:v>I3</x:v>
      </x:c>
      <x:c r="G1197" s="14" t="n">
        <x:v>32</x:v>
      </x:c>
      <x:c r="H1197" s="14" t="n">
        <x:v>3</x:v>
      </x:c>
      <x:c r="I1197" s="14" t="n">
        <x:v>0</x:v>
      </x:c>
      <x:c r="J1197" s="18" t="n">
        <x:v>74565.36</x:v>
      </x:c>
      <x:c r="K1197" s="19" t="n">
        <x:v>45849.489091689815</x:v>
      </x:c>
      <x:c r="L1197" s="19" t="n">
        <x:v>45905.491481481484</x:v>
      </x:c>
      <x:c r="M1197"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x:v>
      </x:c>
      <x:c r="N1197" s="15" t="str">
        <x:v>https://prozorro.gov.ua/tender/UA-2025-07-11-007985-a</x:v>
      </x:c>
    </x:row>
    <x:row r="1198">
      <x:c r="A1198" s="14" t="n">
        <x:v>1194</x:v>
      </x:c>
      <x:c r="B1198" s="14" t="str">
        <x:v>Фізична особа - підприємець Хрущ Сергій Володимирович</x:v>
      </x:c>
      <x:c r="C1198" s="14" t="str">
        <x:v>3318711816</x:v>
      </x:c>
      <x:c r="D1198" s="14" t="str">
        <x:v>Резервне живлення</x:v>
      </x:c>
      <x:c r="E1198" s="14" t="str">
        <x:v>Expansion discovery</x:v>
      </x:c>
      <x:c r="F1198" s="14" t="str">
        <x:v>I3</x:v>
      </x:c>
      <x:c r="G1198" s="14" t="n">
        <x:v>31</x:v>
      </x:c>
      <x:c r="H1198" s="14" t="n">
        <x:v>2</x:v>
      </x:c>
      <x:c r="I1198" s="14" t="n">
        <x:v>0</x:v>
      </x:c>
      <x:c r="J1198" s="18" t="n">
        <x:v>115260</x:v>
      </x:c>
      <x:c r="K1198" s="19" t="n">
        <x:v>46014.56969240741</x:v>
      </x:c>
      <x:c r="L1198" s="19" t="n">
        <x:v>46022.57048611111</x:v>
      </x:c>
      <x:c r="M1198" s="15" t="str">
        <x:v>Послуги з монтажу джерел безперебійного живлення та системи резервного освітлення</x:v>
      </x:c>
      <x:c r="N1198" s="15" t="str">
        <x:v>https://prozorro.gov.ua/tender/UA-2025-12-23-016856-a</x:v>
      </x:c>
    </x:row>
    <x:row r="1199">
      <x:c r="A1199" s="14" t="n">
        <x:v>1195</x:v>
      </x:c>
      <x:c r="B1199" s="14" t="str">
        <x:v>Фізична особа-підприємець МОЙСЕЄНКО АРТЕМ  Миколайович</x:v>
      </x:c>
      <x:c r="C1199" s="14" t="str">
        <x:v>2991606275</x:v>
      </x:c>
      <x:c r="D1199" s="14" t="str">
        <x:v>Промисловий холод</x:v>
      </x:c>
      <x:c r="E1199" s="14" t="str">
        <x:v>Expansion discovery</x:v>
      </x:c>
      <x:c r="F1199" s="14" t="str">
        <x:v>I3</x:v>
      </x:c>
      <x:c r="G1199" s="14" t="n">
        <x:v>31</x:v>
      </x:c>
      <x:c r="H1199" s="14" t="n">
        <x:v>1</x:v>
      </x:c>
      <x:c r="I1199" s="14" t="n">
        <x:v>0</x:v>
      </x:c>
      <x:c r="J1199" s="18" t="n">
        <x:v>213693</x:v>
      </x:c>
      <x:c r="K1199" s="19" t="n">
        <x:v>45848.48768929398</x:v>
      </x:c>
      <x:c r="L1199" s="19" t="n">
        <x:v>46022</x:v>
      </x:c>
      <x:c r="M1199" s="15" t="str">
        <x:v>«Кондиціонери з монтажем та налаштуванням   ДК 021:2015: 42510000-4 « Теплообмінники, кондиціонери повітря, холодильне обладнання та фільтрувальні пристрої»</x:v>
      </x:c>
      <x:c r="N1199" s="15" t="str">
        <x:v>https://prozorro.gov.ua/tender/UA-2025-06-27-008332-a</x:v>
      </x:c>
    </x:row>
    <x:row r="1200">
      <x:c r="A1200" s="14" t="n">
        <x:v>1196</x:v>
      </x:c>
      <x:c r="B1200" s="14" t="str">
        <x:v>Фізична особа-підприємець ШАЧКО ПЕТРО МИХАЙЛОВИЧ</x:v>
      </x:c>
      <x:c r="C1200" s="14" t="str">
        <x:v>2538912019</x:v>
      </x:c>
      <x:c r="D1200" s="14" t="str">
        <x:v>ВОЛЗ / телеком</x:v>
      </x:c>
      <x:c r="E1200" s="14" t="str">
        <x:v>Expansion discovery</x:v>
      </x:c>
      <x:c r="F1200" s="14" t="str">
        <x:v>I3</x:v>
      </x:c>
      <x:c r="G1200" s="14" t="n">
        <x:v>31</x:v>
      </x:c>
      <x:c r="H1200" s="14" t="n">
        <x:v>1</x:v>
      </x:c>
      <x:c r="I1200" s="14" t="n">
        <x:v>0</x:v>
      </x:c>
      <x:c r="J1200" s="18" t="n">
        <x:v>423990</x:v>
      </x:c>
      <x:c r="K1200" s="19" t="n">
        <x:v>45880.62965809028</x:v>
      </x:c>
      <x:c r="L1200" s="19" t="n">
        <x:v>45930.55290509259</x:v>
      </x:c>
      <x:c r="M1200"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волоконно-оптичних ліній зв’язку)</x:v>
      </x:c>
      <x:c r="N1200" s="15" t="str">
        <x:v>https://prozorro.gov.ua/tender/UA-2025-07-24-009930-a</x:v>
      </x:c>
    </x:row>
    <x:row r="1201">
      <x:c r="A1201" s="14" t="n">
        <x:v>1197</x:v>
      </x:c>
      <x:c r="B1201" s="14" t="str">
        <x:v>ФОП "РІЗНООКА ТЕТЯНА МИКОЛАЇВНА"</x:v>
      </x:c>
      <x:c r="C1201" s="14" t="str">
        <x:v>2521305886</x:v>
      </x:c>
      <x:c r="D1201" s="14" t="str">
        <x:v>Металоконструкції</x:v>
      </x:c>
      <x:c r="E1201" s="14" t="str">
        <x:v>Expansion discovery</x:v>
      </x:c>
      <x:c r="F1201" s="14" t="str">
        <x:v>I3</x:v>
      </x:c>
      <x:c r="G1201" s="14" t="n">
        <x:v>31</x:v>
      </x:c>
      <x:c r="H1201" s="14" t="n">
        <x:v>1</x:v>
      </x:c>
      <x:c r="I1201" s="14" t="n">
        <x:v>0</x:v>
      </x:c>
      <x:c r="J1201" s="18" t="n">
        <x:v>281602.41</x:v>
      </x:c>
      <x:c r="K1201" s="19" t="n">
        <x:v>46003.47208690972</x:v>
      </x:c>
      <x:c r="L1201" s="19" t="n">
        <x:v>46022.55572916667</x:v>
      </x:c>
      <x:c r="M1201"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x:v>
      </x:c>
      <x:c r="N1201" s="15" t="str">
        <x:v>https://prozorro.gov.ua/tender/UA-2025-12-04-015374-a</x:v>
      </x:c>
    </x:row>
    <x:row r="1202">
      <x:c r="A1202" s="14" t="n">
        <x:v>1198</x:v>
      </x:c>
      <x:c r="B1202" s="14" t="str">
        <x:v>ФОП Березовський Олег Вікторович</x:v>
      </x:c>
      <x:c r="C1202" s="14" t="str">
        <x:v>2186218916</x:v>
      </x:c>
      <x:c r="D1202" s="14" t="str">
        <x:v>Металоконструкції</x:v>
      </x:c>
      <x:c r="E1202" s="14" t="str">
        <x:v>Expansion discovery</x:v>
      </x:c>
      <x:c r="F1202" s="14" t="str">
        <x:v>I3</x:v>
      </x:c>
      <x:c r="G1202" s="14" t="n">
        <x:v>31</x:v>
      </x:c>
      <x:c r="H1202" s="14" t="n">
        <x:v>1</x:v>
      </x:c>
      <x:c r="I1202" s="14" t="n">
        <x:v>0</x:v>
      </x:c>
      <x:c r="J1202" s="18" t="n">
        <x:v>202000</x:v>
      </x:c>
      <x:c r="K1202" s="19" t="n">
        <x:v>46013.5662622338</x:v>
      </x:c>
      <x:c r="L1202" s="19" t="n">
        <x:v>46015.56748842593</x:v>
      </x:c>
      <x:c r="M1202" s="15" t="str">
        <x:v>Послуги з монтажу металоконструкцій для Алеї слави (Державний бюджет)</x:v>
      </x:c>
      <x:c r="N1202" s="15" t="str">
        <x:v>https://prozorro.gov.ua/tender/UA-2025-12-22-016727-a</x:v>
      </x:c>
    </x:row>
    <x:row r="1203">
      <x:c r="A1203" s="14" t="n">
        <x:v>1199</x:v>
      </x:c>
      <x:c r="B1203" s="14" t="str">
        <x:v>ФОП Кравець Л.М.</x:v>
      </x:c>
      <x:c r="C1203" s="14" t="str">
        <x:v>2864007326</x:v>
      </x:c>
      <x:c r="D1203" s="14" t="str">
        <x:v>Теплові пункти</x:v>
      </x:c>
      <x:c r="E1203" s="14" t="str">
        <x:v>Expansion discovery</x:v>
      </x:c>
      <x:c r="F1203" s="14" t="str">
        <x:v>I3</x:v>
      </x:c>
      <x:c r="G1203" s="14" t="n">
        <x:v>31</x:v>
      </x:c>
      <x:c r="H1203" s="14" t="n">
        <x:v>1</x:v>
      </x:c>
      <x:c r="I1203" s="14" t="n">
        <x:v>0</x:v>
      </x:c>
      <x:c r="J1203" s="18" t="n">
        <x:v>807143.57</x:v>
      </x:c>
      <x:c r="K1203" s="19" t="n">
        <x:v>45496.2804037963</x:v>
      </x:c>
      <x:c r="L1203" s="19" t="n">
        <x:v>45636.321122685185</x:v>
      </x:c>
      <x:c r="M1203" s="15" t="str">
        <x:v>Встановлення (реконструкція) індивідуального теплового пункту (ІТП)для теплопостачання у навчальному корпусі №1 НУ "Чернігівська політехніка" за адресою:Чернігівська область,м. Чернігів, вул. Шевченка,95</x:v>
      </x:c>
      <x:c r="N1203" s="15" t="str">
        <x:v>https://prozorro.gov.ua/tender/UA-2024-07-23-001369-a</x:v>
      </x:c>
    </x:row>
    <x:row r="1204">
      <x:c r="A1204" s="14" t="n">
        <x:v>1200</x:v>
      </x:c>
      <x:c r="B1204" s="14" t="str">
        <x:v>ФОП Цвяк Анатолій Якович</x:v>
      </x:c>
      <x:c r="C1204" s="14" t="str">
        <x:v>1980022614</x:v>
      </x:c>
      <x:c r="D1204" s="14" t="str">
        <x:v>Благоустрій</x:v>
      </x:c>
      <x:c r="E1204" s="14" t="str">
        <x:v>Expansion discovery</x:v>
      </x:c>
      <x:c r="F1204" s="14" t="str">
        <x:v>I3</x:v>
      </x:c>
      <x:c r="G1204" s="14" t="n">
        <x:v>31</x:v>
      </x:c>
      <x:c r="H1204" s="14" t="n">
        <x:v>1</x:v>
      </x:c>
      <x:c r="I1204" s="14" t="n">
        <x:v>0</x:v>
      </x:c>
      <x:c r="J1204" s="18" t="n">
        <x:v>276495.38</x:v>
      </x:c>
      <x:c r="K1204" s="19" t="n">
        <x:v>45764.58634228009</x:v>
      </x:c>
      <x:c r="L1204" s="19" t="n">
        <x:v>46022.62646990741</x:v>
      </x:c>
      <x:c r="M1204"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x:v>
      </x:c>
      <x:c r="N1204" s="15" t="str">
        <x:v>https://prozorro.gov.ua/tender/UA-2025-04-17-010835-a</x:v>
      </x:c>
    </x:row>
    <x:row r="1205">
      <x:c r="A1205" s="14" t="n">
        <x:v>1201</x:v>
      </x:c>
      <x:c r="B1205" s="14" t="str">
        <x:v>ФОП Цвяк Ірина Вікторівна</x:v>
      </x:c>
      <x:c r="C1205" s="14" t="str">
        <x:v>3031612820</x:v>
      </x:c>
      <x:c r="D1205" s="14" t="str">
        <x:v>Благоустрій</x:v>
      </x:c>
      <x:c r="E1205" s="14" t="str">
        <x:v>Expansion discovery</x:v>
      </x:c>
      <x:c r="F1205" s="14" t="str">
        <x:v>I3</x:v>
      </x:c>
      <x:c r="G1205" s="14" t="n">
        <x:v>31</x:v>
      </x:c>
      <x:c r="H1205" s="14" t="n">
        <x:v>1</x:v>
      </x:c>
      <x:c r="I1205" s="14" t="n">
        <x:v>0</x:v>
      </x:c>
      <x:c r="J1205" s="18" t="n">
        <x:v>314798.05</x:v>
      </x:c>
      <x:c r="K1205" s="19" t="n">
        <x:v>45859.56681482639</x:v>
      </x:c>
      <x:c r="L1205" s="19" t="n">
        <x:v>46022.60895833333</x:v>
      </x:c>
      <x:c r="M1205"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x:v>
      </x:c>
      <x:c r="N1205" s="15" t="str">
        <x:v>https://prozorro.gov.ua/tender/UA-2025-07-21-009448-a</x:v>
      </x:c>
    </x:row>
    <x:row r="1206">
      <x:c r="A1206" s="14" t="n">
        <x:v>1202</x:v>
      </x:c>
      <x:c r="B1206" s="14" t="str">
        <x:v>ФОП Ющук Олег Володимирович</x:v>
      </x:c>
      <x:c r="C1206" s="14" t="str">
        <x:v>2748714471</x:v>
      </x:c>
      <x:c r="D1206" s="14" t="str">
        <x:v>Зливова каналізація / дренаж</x:v>
      </x:c>
      <x:c r="E1206" s="14" t="str">
        <x:v>Expansion discovery</x:v>
      </x:c>
      <x:c r="F1206" s="14" t="str">
        <x:v>I3</x:v>
      </x:c>
      <x:c r="G1206" s="14" t="n">
        <x:v>31</x:v>
      </x:c>
      <x:c r="H1206" s="14" t="n">
        <x:v>1</x:v>
      </x:c>
      <x:c r="I1206" s="14" t="n">
        <x:v>0</x:v>
      </x:c>
      <x:c r="J1206" s="18" t="n">
        <x:v>130007.72</x:v>
      </x:c>
      <x:c r="K1206" s="19" t="n">
        <x:v>45875.24893554398</x:v>
      </x:c>
      <x:c r="L1206" s="19" t="n">
        <x:v>45900.246087962965</x:v>
      </x:c>
      <x:c r="M1206" s="15" t="str">
        <x:v>Послуги з благоустрою населених пунктів – поточний ремонт колектора зливової каналізації в р-ні буд. №16/1 на вул. П. Мирного в м. Хмельницькому</x:v>
      </x:c>
      <x:c r="N1206" s="15" t="str">
        <x:v>https://prozorro.gov.ua/tender/UA-2025-08-06-000380-a</x:v>
      </x:c>
    </x:row>
    <x:row r="1207">
      <x:c r="A1207" s="14" t="n">
        <x:v>1203</x:v>
      </x:c>
      <x:c r="B1207" s="14" t="str">
        <x:v>"НТЦ Екологія"</x:v>
      </x:c>
      <x:c r="C1207" s="14" t="str">
        <x:v>24096217</x:v>
      </x:c>
      <x:c r="D1207" s="14" t="str">
        <x:v>Водоочищення / очисні споруди</x:v>
      </x:c>
      <x:c r="E1207" s="14" t="str">
        <x:v>Expansion discovery</x:v>
      </x:c>
      <x:c r="F1207" s="14" t="str">
        <x:v>I3</x:v>
      </x:c>
      <x:c r="G1207" s="14" t="n">
        <x:v>30</x:v>
      </x:c>
      <x:c r="H1207" s="14" t="n">
        <x:v>1</x:v>
      </x:c>
      <x:c r="I1207" s="14" t="n">
        <x:v>0</x:v>
      </x:c>
      <x:c r="J1207" s="18" t="n">
        <x:v>55200</x:v>
      </x:c>
      <x:c r="K1207" s="19" t="n">
        <x:v>45916.5751627662</x:v>
      </x:c>
      <x:c r="L1207" s="19" t="n">
        <x:v>46022</x:v>
      </x:c>
      <x:c r="M1207" s="15" t="str">
        <x:v>Роботи з розробки проєктної документації на об'єкт "Реконструкція очисних споруд флотаційної моторвагонного депо Одеса-Застава в м. Одеса</x:v>
      </x:c>
      <x:c r="N1207" s="15" t="str">
        <x:v>https://prozorro.gov.ua/tender/UA-2025-09-16-013760-a</x:v>
      </x:c>
    </x:row>
    <x:row r="1208">
      <x:c r="A1208" s="14" t="n">
        <x:v>1204</x:v>
      </x:c>
      <x:c r="B1208" s="14" t="str">
        <x:v>БАЄВ ГЕННАДІЙ АНАТОЛІЙОВИЧ</x:v>
      </x:c>
      <x:c r="C1208" s="14" t="str">
        <x:v>2674621233</x:v>
      </x:c>
      <x:c r="D1208" s="14" t="str">
        <x:v>ВОЛЗ / телеком</x:v>
      </x:c>
      <x:c r="E1208" s="14" t="str">
        <x:v>Expansion discovery</x:v>
      </x:c>
      <x:c r="F1208" s="14" t="str">
        <x:v>I3</x:v>
      </x:c>
      <x:c r="G1208" s="14" t="n">
        <x:v>30</x:v>
      </x:c>
      <x:c r="H1208" s="14" t="n">
        <x:v>1</x:v>
      </x:c>
      <x:c r="I1208" s="14" t="n">
        <x:v>0</x:v>
      </x:c>
      <x:c r="J1208" s="18" t="n">
        <x:v>19400</x:v>
      </x:c>
      <x:c r="K1208" s="19" t="n">
        <x:v>45769.272919953706</x:v>
      </x:c>
      <x:c r="L1208" s="19" t="n">
        <x:v>45799</x:v>
      </x:c>
      <x:c r="M1208" s="15" t="str">
        <x:v>Послуги з монтажу та налаштуванню локальної телекомунікаційної мережі системи передачі даних:36004, м. Полтава, пров. Рибальський,10-В</x:v>
      </x:c>
      <x:c r="N1208" s="15" t="str">
        <x:v>https://prozorro.gov.ua/tender/UA-2025-04-22-000932-a</x:v>
      </x:c>
    </x:row>
    <x:row r="1209">
      <x:c r="A1209" s="14" t="n">
        <x:v>1205</x:v>
      </x:c>
      <x:c r="B1209" s="14" t="str">
        <x:v>Брагіна Світлана Григорівна</x:v>
      </x:c>
      <x:c r="C1209" s="14" t="str">
        <x:v>2672513581</x:v>
      </x:c>
      <x:c r="D1209" s="14" t="str">
        <x:v>HVAC / ОВіК</x:v>
      </x:c>
      <x:c r="E1209" s="14" t="str">
        <x:v>Pilot now</x:v>
      </x:c>
      <x:c r="F1209" s="14" t="str">
        <x:v>I3</x:v>
      </x:c>
      <x:c r="G1209" s="14" t="n">
        <x:v>30</x:v>
      </x:c>
      <x:c r="H1209" s="14" t="n">
        <x:v>1</x:v>
      </x:c>
      <x:c r="I1209" s="14" t="n">
        <x:v>0</x:v>
      </x:c>
      <x:c r="J1209" s="18" t="n">
        <x:v>35500</x:v>
      </x:c>
      <x:c r="K1209" s="19" t="n">
        <x:v>45992.36698186342</x:v>
      </x:c>
      <x:c r="L1209" s="19" t="n">
        <x:v>45998</x:v>
      </x:c>
      <x:c r="M1209" s="15" t="str">
        <x:v>Монтаж припливно - витяжної системи вентиляції код ДК 021:2015:45330000-9 Водопровідні та санітарно-технічні роботи</x:v>
      </x:c>
      <x:c r="N1209" s="15" t="str">
        <x:v>https://prozorro.gov.ua/tender/UA-2025-12-01-003287-a</x:v>
      </x:c>
    </x:row>
    <x:row r="1210">
      <x:c r="A1210" s="14" t="n">
        <x:v>1206</x:v>
      </x:c>
      <x:c r="B1210" s="14" t="str">
        <x:v>Виробничий підрозділ "Основ'янська дистанція сигналізації та зв'язку" регіональної філії "Південна залізниця" Акціонерного товариства "Українська залізниця"</x:v>
      </x:c>
      <x:c r="C1210" s="14" t="str">
        <x:v>40075815</x:v>
      </x:c>
      <x:c r="D1210" s="14" t="str">
        <x:v>Залізнична інфраструктура</x:v>
      </x:c>
      <x:c r="E1210" s="14" t="str">
        <x:v>Expansion discovery</x:v>
      </x:c>
      <x:c r="F1210" s="14" t="str">
        <x:v>I3</x:v>
      </x:c>
      <x:c r="G1210" s="14" t="n">
        <x:v>30</x:v>
      </x:c>
      <x:c r="H1210" s="14" t="n">
        <x:v>1</x:v>
      </x:c>
      <x:c r="I1210" s="14" t="n">
        <x:v>0</x:v>
      </x:c>
      <x:c r="J1210" s="18" t="n">
        <x:v>82303.44</x:v>
      </x:c>
      <x:c r="K1210" s="19" t="n">
        <x:v>45902.24643613426</x:v>
      </x:c>
      <x:c r="L1210" s="19" t="n">
        <x:v>46022</x:v>
      </x:c>
      <x:c r="M1210" s="15" t="str">
        <x:v>50220000-3  Послуги з ремонту, технічного обслуговування залізничного транспорту і пов’язаного обладнання та супутні послуги (Послуги з технічного обслуговування пристроїв сигналізації, централізації та блокування на під'їзних коліях Зміївської ТЕС)</x:v>
      </x:c>
      <x:c r="N1210" s="15" t="str">
        <x:v>https://prozorro.gov.ua/tender/UA-2025-09-02-000491-a</x:v>
      </x:c>
    </x:row>
    <x:row r="1211">
      <x:c r="A1211" s="14" t="n">
        <x:v>1207</x:v>
      </x:c>
      <x:c r="B1211" s="14" t="str">
        <x:v>ВИХРИСТЮК ІВАН СЕРГІЙОВИЧ</x:v>
      </x:c>
      <x:c r="C1211" s="14" t="str">
        <x:v>3236404538</x:v>
      </x:c>
      <x:c r="D1211" s="14" t="str">
        <x:v>Металоконструкції</x:v>
      </x:c>
      <x:c r="E1211" s="14" t="str">
        <x:v>Expansion discovery</x:v>
      </x:c>
      <x:c r="F1211" s="14" t="str">
        <x:v>I3</x:v>
      </x:c>
      <x:c r="G1211" s="14" t="n">
        <x:v>30</x:v>
      </x:c>
      <x:c r="H1211" s="14" t="n">
        <x:v>1</x:v>
      </x:c>
      <x:c r="I1211" s="14" t="n">
        <x:v>0</x:v>
      </x:c>
      <x:c r="J1211" s="18" t="n">
        <x:v>98600</x:v>
      </x:c>
      <x:c r="K1211" s="19" t="n">
        <x:v>46003.41918121528</x:v>
      </x:c>
      <x:c r="L1211" s="19" t="n">
        <x:v>46022</x:v>
      </x:c>
      <x:c r="M1211" s="15" t="str">
        <x:v>Послуги з виготовлення металоконструкцій </x:v>
      </x:c>
      <x:c r="N1211" s="15" t="str">
        <x:v>https://prozorro.gov.ua/tender/UA-2025-12-12-008148-a</x:v>
      </x:c>
    </x:row>
    <x:row r="1212">
      <x:c r="A1212" s="14" t="n">
        <x:v>1208</x:v>
      </x:c>
      <x:c r="B1212" s="14" t="str">
        <x:v>ВОЛГОВ ОЛЕКСІЙ ОЛЕКСІЙОВИЧ</x:v>
      </x:c>
      <x:c r="C1212" s="14" t="str">
        <x:v>2909107836</x:v>
      </x:c>
      <x:c r="D1212" s="14" t="str">
        <x:v>Резервне живлення</x:v>
      </x:c>
      <x:c r="E1212" s="14" t="str">
        <x:v>Pilot now</x:v>
      </x:c>
      <x:c r="F1212" s="14" t="str">
        <x:v>I3</x:v>
      </x:c>
      <x:c r="G1212" s="14" t="n">
        <x:v>30</x:v>
      </x:c>
      <x:c r="H1212" s="14" t="n">
        <x:v>1</x:v>
      </x:c>
      <x:c r="I1212" s="14" t="n">
        <x:v>0</x:v>
      </x:c>
      <x:c r="J1212" s="18" t="n">
        <x:v>77280</x:v>
      </x:c>
      <x:c r="K1212" s="19" t="n">
        <x:v>45786.45051667824</x:v>
      </x:c>
      <x:c r="L1212" s="19" t="n">
        <x:v>46022</x:v>
      </x:c>
      <x:c r="M1212" s="15" t="str">
        <x:v>Послуги з улаштування підключення обладнання резервного безперебійного живлення системи "TESLA POWER WALL 2.0" та  "TESLA GATEWАY 2.0", а саме :монтажу обладнання ,пуску та налагодження системи зберігання енергії в приміщеннях КНП "Слобожанська лікарня".</x:v>
      </x:c>
      <x:c r="N1212" s="15" t="str">
        <x:v>https://prozorro.gov.ua/tender/UA-2025-05-09-008174-a</x:v>
      </x:c>
    </x:row>
    <x:row r="1213">
      <x:c r="A1213" s="14" t="n">
        <x:v>1209</x:v>
      </x:c>
      <x:c r="B1213" s="14" t="str">
        <x:v>ГАВРИШ ВАЛЕНТИН ОЛЕГОВИЧ</x:v>
      </x:c>
      <x:c r="C1213" s="14" t="str">
        <x:v>3623205677</x:v>
      </x:c>
      <x:c r="D1213" s="14" t="str">
        <x:v>HVAC / ОВіК</x:v>
      </x:c>
      <x:c r="E1213" s="14" t="str">
        <x:v>Pilot now</x:v>
      </x:c>
      <x:c r="F1213" s="14" t="str">
        <x:v>I3</x:v>
      </x:c>
      <x:c r="G1213" s="14" t="n">
        <x:v>30</x:v>
      </x:c>
      <x:c r="H1213" s="14" t="n">
        <x:v>1</x:v>
      </x:c>
      <x:c r="I1213" s="14" t="n">
        <x:v>0</x:v>
      </x:c>
      <x:c r="J1213" s="18" t="n">
        <x:v>8025</x:v>
      </x:c>
      <x:c r="K1213" s="19" t="n">
        <x:v>45999.36377269676</x:v>
      </x:c>
      <x:c r="L1213" s="19" t="n">
        <x:v>46022</x:v>
      </x:c>
      <x:c r="M1213" s="15" t="str">
        <x:v>Послуги з монтажу, демонтажу та технічного обслуговування систем кондиціонування та вентиляції </x:v>
      </x:c>
      <x:c r="N1213" s="15" t="str">
        <x:v>https://prozorro.gov.ua/tender/UA-2025-12-08-004050-a</x:v>
      </x:c>
    </x:row>
    <x:row r="1214">
      <x:c r="A1214" s="14" t="n">
        <x:v>1210</x:v>
      </x:c>
      <x:c r="B1214" s="14" t="str">
        <x:v>Гордієнко Віталій Вікторович</x:v>
      </x:c>
      <x:c r="C1214" s="14" t="str">
        <x:v>2958414499</x:v>
      </x:c>
      <x:c r="D1214" s="14" t="str">
        <x:v>Металоконструкції</x:v>
      </x:c>
      <x:c r="E1214" s="14" t="str">
        <x:v>Expansion discovery</x:v>
      </x:c>
      <x:c r="F1214" s="14" t="str">
        <x:v>I3</x:v>
      </x:c>
      <x:c r="G1214" s="14" t="n">
        <x:v>30</x:v>
      </x:c>
      <x:c r="H1214" s="14" t="n">
        <x:v>1</x:v>
      </x:c>
      <x:c r="I1214" s="14" t="n">
        <x:v>0</x:v>
      </x:c>
      <x:c r="J1214" s="18" t="n">
        <x:v>42378.66</x:v>
      </x:c>
      <x:c r="K1214" s="19" t="n">
        <x:v>46015.64445585648</x:v>
      </x:c>
      <x:c r="L1214" s="19" t="n">
        <x:v>46022</x:v>
      </x:c>
      <x:c r="M1214"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x:v>
      </x:c>
      <x:c r="N1214" s="15" t="str">
        <x:v>https://prozorro.gov.ua/tender/UA-2025-12-24-018375-a</x:v>
      </x:c>
    </x:row>
    <x:row r="1215">
      <x:c r="A1215" s="14" t="n">
        <x:v>1211</x:v>
      </x:c>
      <x:c r="B1215" s="14" t="str">
        <x:v>ГУЛІЄВ РУСЛАН ВАГІФОВИЧ</x:v>
      </x:c>
      <x:c r="C1215" s="14" t="str">
        <x:v>2998115293</x:v>
      </x:c>
      <x:c r="D1215" s="14" t="str">
        <x:v>Металоконструкції</x:v>
      </x:c>
      <x:c r="E1215" s="14" t="str">
        <x:v>Expansion discovery</x:v>
      </x:c>
      <x:c r="F1215" s="14" t="str">
        <x:v>I3</x:v>
      </x:c>
      <x:c r="G1215" s="14" t="n">
        <x:v>30</x:v>
      </x:c>
      <x:c r="H1215" s="14" t="n">
        <x:v>1</x:v>
      </x:c>
      <x:c r="I1215" s="14" t="n">
        <x:v>0</x:v>
      </x:c>
      <x:c r="J1215" s="18" t="n">
        <x:v>99998.15</x:v>
      </x:c>
      <x:c r="K1215" s="19" t="n">
        <x:v>45798.407613194446</x:v>
      </x:c>
      <x:c r="L1215" s="19" t="n">
        <x:v>46022</x:v>
      </x:c>
      <x:c r="M1215"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x:v>
      </x:c>
      <x:c r="N1215" s="15" t="str">
        <x:v>https://prozorro.gov.ua/tender/UA-2025-05-21-006460-a</x:v>
      </x:c>
    </x:row>
    <x:row r="1216">
      <x:c r="A1216" s="14" t="n">
        <x:v>1212</x:v>
      </x:c>
      <x:c r="B1216" s="14" t="str">
        <x:v>Дзюбук Денис Вікторович</x:v>
      </x:c>
      <x:c r="C1216" s="14" t="str">
        <x:v>3062513535</x:v>
      </x:c>
      <x:c r="D1216" s="14" t="str">
        <x:v>HVAC / ОВіК</x:v>
      </x:c>
      <x:c r="E1216" s="14" t="str">
        <x:v>Pilot now</x:v>
      </x:c>
      <x:c r="F1216" s="14" t="str">
        <x:v>I3</x:v>
      </x:c>
      <x:c r="G1216" s="14" t="n">
        <x:v>30</x:v>
      </x:c>
      <x:c r="H1216" s="14" t="n">
        <x:v>1</x:v>
      </x:c>
      <x:c r="I1216" s="14" t="n">
        <x:v>0</x:v>
      </x:c>
      <x:c r="J1216" s="18" t="n">
        <x:v>19386.49</x:v>
      </x:c>
      <x:c r="K1216" s="19" t="n">
        <x:v>46016.35778665509</x:v>
      </x:c>
      <x:c r="L1216" s="19" t="n">
        <x:v>46019</x:v>
      </x:c>
      <x:c r="M1216"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x:v>
      </x:c>
      <x:c r="N1216" s="15" t="str">
        <x:v>https://prozorro.gov.ua/tender/UA-2025-12-25-002941-a</x:v>
      </x:c>
    </x:row>
    <x:row r="1217">
      <x:c r="A1217" s="14" t="n">
        <x:v>1213</x:v>
      </x:c>
      <x:c r="B1217" s="14" t="str">
        <x:v>ДОБРІНОВ СЕРГІЙ ПЕТРОВИЧ</x:v>
      </x:c>
      <x:c r="C1217" s="14" t="str">
        <x:v>2347816559</x:v>
      </x:c>
      <x:c r="D1217" s="14" t="str">
        <x:v>Електромонтаж</x:v>
      </x:c>
      <x:c r="E1217" s="14" t="str">
        <x:v>Pilot now</x:v>
      </x:c>
      <x:c r="F1217" s="14" t="str">
        <x:v>I3</x:v>
      </x:c>
      <x:c r="G1217" s="14" t="n">
        <x:v>30</x:v>
      </x:c>
      <x:c r="H1217" s="14" t="n">
        <x:v>1</x:v>
      </x:c>
      <x:c r="I1217" s="14" t="n">
        <x:v>0</x:v>
      </x:c>
      <x:c r="J1217" s="18" t="n">
        <x:v>92560</x:v>
      </x:c>
      <x:c r="K1217" s="19" t="n">
        <x:v>46127.52486856481</x:v>
      </x:c>
      <x:c r="L1217" s="19" t="n">
        <x:v>46207</x:v>
      </x:c>
      <x:c r="M1217"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x:v>
      </x:c>
      <x:c r="N1217" s="15" t="str">
        <x:v>https://prozorro.gov.ua/tender/UA-2026-04-15-010231-a</x:v>
      </x:c>
    </x:row>
    <x:row r="1218">
      <x:c r="A1218" s="14" t="n">
        <x:v>1214</x:v>
      </x:c>
      <x:c r="B1218" s="14" t="str">
        <x:v>ДП "Львівдіпрокомунбуд"</x:v>
      </x:c>
      <x:c r="C1218" s="14" t="str">
        <x:v>03329054</x:v>
      </x:c>
      <x:c r="D1218" s="14" t="str">
        <x:v>Зовнішні мережі</x:v>
      </x:c>
      <x:c r="E1218" s="14" t="str">
        <x:v>Expansion discovery</x:v>
      </x:c>
      <x:c r="F1218" s="14" t="str">
        <x:v>I3</x:v>
      </x:c>
      <x:c r="G1218" s="14" t="n">
        <x:v>30</x:v>
      </x:c>
      <x:c r="H1218" s="14" t="n">
        <x:v>1</x:v>
      </x:c>
      <x:c r="I1218" s="14" t="n">
        <x:v>0</x:v>
      </x:c>
      <x:c r="J1218" s="18" t="n">
        <x:v>12000</x:v>
      </x:c>
      <x:c r="K1218" s="19" t="n">
        <x:v>46007.34644837963</x:v>
      </x:c>
      <x:c r="L1218" s="19" t="n">
        <x:v>46022.34707175926</x:v>
      </x:c>
      <x:c r="M1218" s="15" t="str">
        <x:v>Передача Автором Правонабувачеві авторського та суміжного права на об’єкт «Будівництво каналізаційних мереж та споруд в с. Зимна Вода Пустомитівського району Львівської області» (вулиці: Миру, Федьковича, Мала, Рибацька, Калнишевського, Гайдамацька, Львіська, С.Бандери, Я.Мудрого, Садівницька, Леонтовича, Роксолани, Котляревського, Кропивницького, Журавлина, Л.Українки, Коновальця, Грушевського, Б.Хмельницького, Сонячна, Петлюри, О.Вишні, Волошина, Бічна Миру, Миколайчука, вул. Кн.Ольги, вул.Зимноводівська, Сірка, Підкови, Наливайка, дощовий колектор по вул. Львівській) Коригування»</x:v>
      </x:c>
      <x:c r="N1218" s="15" t="str">
        <x:v>https://prozorro.gov.ua/tender/UA-2025-12-16-003874-a</x:v>
      </x:c>
    </x:row>
    <x:row r="1219">
      <x:c r="A1219" s="14" t="n">
        <x:v>1215</x:v>
      </x:c>
      <x:c r="B1219" s="14" t="str">
        <x:v>ІВАНУЦЬ ОЛЕКСАНДР ВАСИЛЬОВИЧ</x:v>
      </x:c>
      <x:c r="C1219" s="14" t="str">
        <x:v>2946615153</x:v>
      </x:c>
      <x:c r="D1219" s="14" t="str">
        <x:v>Металоконструкції</x:v>
      </x:c>
      <x:c r="E1219" s="14" t="str">
        <x:v>Expansion discovery</x:v>
      </x:c>
      <x:c r="F1219" s="14" t="str">
        <x:v>I3</x:v>
      </x:c>
      <x:c r="G1219" s="14" t="n">
        <x:v>30</x:v>
      </x:c>
      <x:c r="H1219" s="14" t="n">
        <x:v>1</x:v>
      </x:c>
      <x:c r="I1219" s="14" t="n">
        <x:v>0</x:v>
      </x:c>
      <x:c r="J1219" s="18" t="n">
        <x:v>10463</x:v>
      </x:c>
      <x:c r="K1219" s="19" t="n">
        <x:v>45867.26571225694</x:v>
      </x:c>
      <x:c r="L1219" s="19" t="n">
        <x:v>45884</x:v>
      </x:c>
      <x:c r="M1219" s="15" t="str">
        <x:v>Монтаж внутрішніх металоконструкцій димоходу (Чортківська філія ТОЦЗ)</x:v>
      </x:c>
      <x:c r="N1219" s="15" t="str">
        <x:v>https://prozorro.gov.ua/tender/UA-2025-07-29-000908-a</x:v>
      </x:c>
    </x:row>
    <x:row r="1220">
      <x:c r="A1220" s="14" t="n">
        <x:v>1216</x:v>
      </x:c>
      <x:c r="B1220" s="14" t="str">
        <x:v>КОМУНАЛЬНЕ ПІДПРИЄМСТВО "СНІГУРІВСЬКИЙ КОМУНАЛЬНИК"</x:v>
      </x:c>
      <x:c r="C1220" s="14" t="str">
        <x:v>36895353</x:v>
      </x:c>
      <x:c r="D1220" s="14" t="str">
        <x:v>Внутрішні сантехнічні системи</x:v>
      </x:c>
      <x:c r="E1220" s="14" t="str">
        <x:v>Pilot now</x:v>
      </x:c>
      <x:c r="F1220" s="14" t="str">
        <x:v>I3</x:v>
      </x:c>
      <x:c r="G1220" s="14" t="n">
        <x:v>30</x:v>
      </x:c>
      <x:c r="H1220" s="14" t="n">
        <x:v>1</x:v>
      </x:c>
      <x:c r="I1220" s="14" t="n">
        <x:v>0</x:v>
      </x:c>
      <x:c r="J1220" s="18" t="n">
        <x:v>1902.56</x:v>
      </x:c>
      <x:c r="K1220" s="19" t="n">
        <x:v>46008.40799619213</x:v>
      </x:c>
      <x:c r="L1220" s="19" t="n">
        <x:v>46022</x:v>
      </x:c>
      <x:c r="M1220" s="15" t="str">
        <x:v>Код ДК 021:2015:45330000-9 "Водопровідні та санітарно-технічні роботи" (Послуги з поточного ремонту внутрішніх мереж водопостачання)</x:v>
      </x:c>
      <x:c r="N1220" s="15" t="str">
        <x:v>https://prozorro.gov.ua/tender/UA-2025-12-17-008148-a</x:v>
      </x:c>
    </x:row>
    <x:row r="1221">
      <x:c r="A1221" s="14" t="n">
        <x:v>1217</x:v>
      </x:c>
      <x:c r="B1221" s="14" t="str">
        <x:v>КРЕСАНОВ ВАСИЛЬ МИХАЙЛОВИЧ</x:v>
      </x:c>
      <x:c r="C1221" s="14" t="str">
        <x:v>2522108375</x:v>
      </x:c>
      <x:c r="D1221" s="14" t="str">
        <x:v>СКС / BMS / слаботочка</x:v>
      </x:c>
      <x:c r="E1221" s="14" t="str">
        <x:v>Expansion discovery</x:v>
      </x:c>
      <x:c r="F1221" s="14" t="str">
        <x:v>I3</x:v>
      </x:c>
      <x:c r="G1221" s="14" t="n">
        <x:v>30</x:v>
      </x:c>
      <x:c r="H1221" s="14" t="n">
        <x:v>1</x:v>
      </x:c>
      <x:c r="I1221" s="14" t="n">
        <x:v>0</x:v>
      </x:c>
      <x:c r="J1221" s="18" t="n">
        <x:v>71747.94</x:v>
      </x:c>
      <x:c r="K1221" s="19" t="n">
        <x:v>45978.33547201389</x:v>
      </x:c>
      <x:c r="L1221" s="19" t="n">
        <x:v>46022</x:v>
      </x:c>
      <x:c r="M1221" s="15" t="str">
        <x:v>Монтаж структурованої кабельної системи</x:v>
      </x:c>
      <x:c r="N1221" s="15" t="str">
        <x:v>https://prozorro.gov.ua/tender/UA-2025-11-17-001208-a</x:v>
      </x:c>
    </x:row>
    <x:row r="1222">
      <x:c r="A1222" s="14" t="n">
        <x:v>1218</x:v>
      </x:c>
      <x:c r="B1222" s="14" t="str">
        <x:v>КРОПИВНИЦЬКА ФІЛІЯ ТОВАРИСТВА З ОБМЕЖЕНОЮ ВІДПОВІДАЛЬНІСТЮ "ГАЗОРОЗПОДІЛЬНІ МЕРЕЖІ УКРАЇНИ"</x:v>
      </x:c>
      <x:c r="C1222" s="14" t="str">
        <x:v>45068116</x:v>
      </x:c>
      <x:c r="D1222" s="14" t="str">
        <x:v>Газові мережі</x:v>
      </x:c>
      <x:c r="E1222" s="14" t="str">
        <x:v>Expansion discovery</x:v>
      </x:c>
      <x:c r="F1222" s="14" t="str">
        <x:v>I3</x:v>
      </x:c>
      <x:c r="G1222" s="14" t="n">
        <x:v>30</x:v>
      </x:c>
      <x:c r="H1222" s="14" t="n">
        <x:v>1</x:v>
      </x:c>
      <x:c r="I1222" s="14" t="n">
        <x:v>0</x:v>
      </x:c>
      <x:c r="J1222" s="18" t="n">
        <x:v>99000</x:v>
      </x:c>
      <x:c r="K1222" s="19" t="n">
        <x:v>45964.576981805556</x:v>
      </x:c>
      <x:c r="L1222" s="19" t="n">
        <x:v>46022</x:v>
      </x:c>
      <x:c r="M1222"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x:v>
      </x:c>
      <x:c r="N1222" s="15" t="str">
        <x:v>https://prozorro.gov.ua/tender/UA-2025-11-03-011890-a</x:v>
      </x:c>
    </x:row>
    <x:row r="1223">
      <x:c r="A1223" s="14" t="n">
        <x:v>1219</x:v>
      </x:c>
      <x:c r="B1223" s="14" t="str">
        <x:v>КУЧЕР ОЛЕНА АНАТОЛІЇВНА</x:v>
      </x:c>
      <x:c r="C1223" s="14" t="str">
        <x:v>2169110448</x:v>
      </x:c>
      <x:c r="D1223" s="14" t="str">
        <x:v>Чисті приміщення</x:v>
      </x:c>
      <x:c r="E1223" s="14" t="str">
        <x:v>Expansion discovery</x:v>
      </x:c>
      <x:c r="F1223" s="14" t="str">
        <x:v>I3</x:v>
      </x:c>
      <x:c r="G1223" s="14" t="n">
        <x:v>30</x:v>
      </x:c>
      <x:c r="H1223" s="14" t="n">
        <x:v>1</x:v>
      </x:c>
      <x:c r="I1223" s="14" t="n">
        <x:v>0</x:v>
      </x:c>
      <x:c r="J1223" s="18" t="n">
        <x:v>5518.26</x:v>
      </x:c>
      <x:c r="K1223" s="19" t="n">
        <x:v>45888.328130358794</x:v>
      </x:c>
      <x:c r="L1223" s="19" t="n">
        <x:v>46022</x:v>
      </x:c>
      <x:c r="M1223"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x:v>
      </x:c>
      <x:c r="N1223" s="15" t="str">
        <x:v>https://prozorro.gov.ua/tender/UA-2025-08-19-002850-a</x:v>
      </x:c>
    </x:row>
    <x:row r="1224">
      <x:c r="A1224" s="14" t="n">
        <x:v>1220</x:v>
      </x:c>
      <x:c r="B1224" s="14" t="str">
        <x:v>ЛЕВЧЕНКО ВОЛОДИМИР ПЕТРОВИЧ</x:v>
      </x:c>
      <x:c r="C1224" s="14" t="str">
        <x:v>2346104832</x:v>
      </x:c>
      <x:c r="D1224" s="14" t="str">
        <x:v>Промисловий холод</x:v>
      </x:c>
      <x:c r="E1224" s="14" t="str">
        <x:v>Expansion discovery</x:v>
      </x:c>
      <x:c r="F1224" s="14" t="str">
        <x:v>I3</x:v>
      </x:c>
      <x:c r="G1224" s="14" t="n">
        <x:v>30</x:v>
      </x:c>
      <x:c r="H1224" s="14" t="n">
        <x:v>1</x:v>
      </x:c>
      <x:c r="I1224" s="14" t="n">
        <x:v>0</x:v>
      </x:c>
      <x:c r="J1224" s="18" t="n">
        <x:v>15600</x:v>
      </x:c>
      <x:c r="K1224" s="19" t="n">
        <x:v>45846.47804966435</x:v>
      </x:c>
      <x:c r="L1224" s="19" t="n">
        <x:v>46022</x:v>
      </x:c>
      <x:c r="M1224" s="15" t="str">
        <x:v>Послуги по монтажу холодильного обладнання на харчоблоці</x:v>
      </x:c>
      <x:c r="N1224" s="15" t="str">
        <x:v>https://prozorro.gov.ua/tender/UA-2025-07-08-007028-a</x:v>
      </x:c>
    </x:row>
    <x:row r="1225">
      <x:c r="A1225" s="14" t="n">
        <x:v>1221</x:v>
      </x:c>
      <x:c r="B1225" s="14" t="str">
        <x:v>ЛОГВІНОВ ДЕНИС ЮРІЙОВИЧ</x:v>
      </x:c>
      <x:c r="C1225" s="14" t="str">
        <x:v>2894612790</x:v>
      </x:c>
      <x:c r="D1225" s="14" t="str">
        <x:v>Чисті приміщення</x:v>
      </x:c>
      <x:c r="E1225" s="14" t="str">
        <x:v>Expansion discovery</x:v>
      </x:c>
      <x:c r="F1225" s="14" t="str">
        <x:v>I3</x:v>
      </x:c>
      <x:c r="G1225" s="14" t="n">
        <x:v>30</x:v>
      </x:c>
      <x:c r="H1225" s="14" t="n">
        <x:v>1</x:v>
      </x:c>
      <x:c r="I1225" s="14" t="n">
        <x:v>0</x:v>
      </x:c>
      <x:c r="J1225" s="18" t="n">
        <x:v>300000</x:v>
      </x:c>
      <x:c r="K1225" s="19" t="n">
        <x:v>45597.50043230324</x:v>
      </x:c>
      <x:c r="L1225" s="19" t="n">
        <x:v>45627</x:v>
      </x:c>
      <x:c r="M1225" s="15" t="str">
        <x:v>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О.С. Лучанського» за адресою м. Херсон, вул. Кримська, 138.)  Коригування.</x:v>
      </x:c>
      <x:c r="N1225" s="15" t="str">
        <x:v>https://prozorro.gov.ua/tender/UA-2024-11-01-008015-a</x:v>
      </x:c>
    </x:row>
    <x:row r="1226">
      <x:c r="A1226" s="14" t="n">
        <x:v>1222</x:v>
      </x:c>
      <x:c r="B1226" s="14" t="str">
        <x:v>ЛУГАНСЬКИЙ КИРИЛО АНДРІЙОВИЧ</x:v>
      </x:c>
      <x:c r="C1226" s="14" t="str">
        <x:v>3231806072</x:v>
      </x:c>
      <x:c r="D1226" s="14" t="str">
        <x:v>Технологічні трубопроводи</x:v>
      </x:c>
      <x:c r="E1226" s="14" t="str">
        <x:v>Expansion discovery</x:v>
      </x:c>
      <x:c r="F1226" s="14" t="str">
        <x:v>I3</x:v>
      </x:c>
      <x:c r="G1226" s="14" t="n">
        <x:v>30</x:v>
      </x:c>
      <x:c r="H1226" s="14" t="n">
        <x:v>1</x:v>
      </x:c>
      <x:c r="I1226" s="14" t="n">
        <x:v>0</x:v>
      </x:c>
      <x:c r="J1226" s="18" t="n">
        <x:v>178896.42</x:v>
      </x:c>
      <x:c r="K1226" s="19" t="n">
        <x:v>45404.33653872685</x:v>
      </x:c>
      <x:c r="L1226" s="19" t="n">
        <x:v>45657</x:v>
      </x:c>
      <x:c r="M1226" s="15" t="str">
        <x:v>Код ДК 021:2015 - 45220000-5 "Інженерні та будівельні роботи" (поточний ремонт в будівлі котло-турбінного цеху інв. № 3983 (демонтаж паропровода), на філії "Теплоелектроцентраль-3" КП "Харківські теплові мережі", вул. Енергетична, 3).</x:v>
      </x:c>
      <x:c r="N1226" s="15" t="str">
        <x:v>https://prozorro.gov.ua/tender/UA-2024-04-22-002978-a</x:v>
      </x:c>
    </x:row>
    <x:row r="1227">
      <x:c r="A1227" s="14" t="n">
        <x:v>1223</x:v>
      </x:c>
      <x:c r="B1227" s="14" t="str">
        <x:v>МЕДЯНИК ВАДИМ ПЕТРОВИЧ</x:v>
      </x:c>
      <x:c r="C1227" s="14" t="str">
        <x:v>3152115256</x:v>
      </x:c>
      <x:c r="D1227" s="14" t="str">
        <x:v>Металоконструкції</x:v>
      </x:c>
      <x:c r="E1227" s="14" t="str">
        <x:v>Expansion discovery</x:v>
      </x:c>
      <x:c r="F1227" s="14" t="str">
        <x:v>I3</x:v>
      </x:c>
      <x:c r="G1227" s="14" t="n">
        <x:v>30</x:v>
      </x:c>
      <x:c r="H1227" s="14" t="n">
        <x:v>1</x:v>
      </x:c>
      <x:c r="I1227" s="14" t="n">
        <x:v>0</x:v>
      </x:c>
      <x:c r="J1227" s="18" t="n">
        <x:v>75700</x:v>
      </x:c>
      <x:c r="K1227" s="19" t="n">
        <x:v>45765.28895127315</x:v>
      </x:c>
      <x:c r="L1227" s="19" t="n">
        <x:v>46022</x:v>
      </x:c>
      <x:c r="M1227"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x:v>
      </x:c>
      <x:c r="N1227" s="15" t="str">
        <x:v>https://prozorro.gov.ua/tender/UA-2025-04-18-001396-a</x:v>
      </x:c>
    </x:row>
    <x:row r="1228">
      <x:c r="A1228" s="14" t="n">
        <x:v>1224</x:v>
      </x:c>
      <x:c r="B1228" s="14" t="str">
        <x:v>НЕВАРЕНИХ ГАННА МИКОЛАЇВНА</x:v>
      </x:c>
      <x:c r="C1228" s="14" t="str">
        <x:v>2515106803</x:v>
      </x:c>
      <x:c r="D1228" s="14" t="str">
        <x:v>Газопостачання / котельні</x:v>
      </x:c>
      <x:c r="E1228" s="14" t="str">
        <x:v>Expansion discovery</x:v>
      </x:c>
      <x:c r="F1228" s="14" t="str">
        <x:v>I3</x:v>
      </x:c>
      <x:c r="G1228" s="14" t="n">
        <x:v>30</x:v>
      </x:c>
      <x:c r="H1228" s="14" t="n">
        <x:v>1</x:v>
      </x:c>
      <x:c r="I1228" s="14" t="n">
        <x:v>0</x:v>
      </x:c>
      <x:c r="J1228" s="18" t="n">
        <x:v>53694</x:v>
      </x:c>
      <x:c r="K1228" s="19" t="n">
        <x:v>46104.57060160879</x:v>
      </x:c>
      <x:c r="L1228" s="19" t="n">
        <x:v>46203</x:v>
      </x:c>
      <x:c r="M1228"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x:v>
      </x:c>
      <x:c r="N1228" s="15" t="str">
        <x:v>https://prozorro.gov.ua/tender/UA-2026-03-23-007547-a</x:v>
      </x:c>
    </x:row>
    <x:row r="1229">
      <x:c r="A1229" s="14" t="n">
        <x:v>1225</x:v>
      </x:c>
      <x:c r="B1229" s="14" t="str">
        <x:v>НЕЩЕРЕЦЬКА ІННА ВІКТОРІВНА</x:v>
      </x:c>
      <x:c r="C1229" s="14" t="str">
        <x:v>3013711126</x:v>
      </x:c>
      <x:c r="D1229" s="14" t="str">
        <x:v>HVAC / ОВіК</x:v>
      </x:c>
      <x:c r="E1229" s="14" t="str">
        <x:v>Pilot now</x:v>
      </x:c>
      <x:c r="F1229" s="14" t="str">
        <x:v>I3</x:v>
      </x:c>
      <x:c r="G1229" s="14" t="n">
        <x:v>30</x:v>
      </x:c>
      <x:c r="H1229" s="14" t="n">
        <x:v>1</x:v>
      </x:c>
      <x:c r="I1229" s="14" t="n">
        <x:v>0</x:v>
      </x:c>
      <x:c r="J1229" s="18" t="n">
        <x:v>21175</x:v>
      </x:c>
      <x:c r="K1229" s="19" t="n">
        <x:v>45938.44156201389</x:v>
      </x:c>
      <x:c r="L1229" s="19" t="n">
        <x:v>45961</x:v>
      </x:c>
      <x:c r="M1229"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229" s="15" t="str">
        <x:v>https://prozorro.gov.ua/tender/UA-2025-10-08-007649-a</x:v>
      </x:c>
    </x:row>
    <x:row r="1230">
      <x:c r="A1230" s="14" t="n">
        <x:v>1226</x:v>
      </x:c>
      <x:c r="B1230" s="14" t="str">
        <x:v>ПЕТЛЬОВАНИЙ МИКОЛА МИКОЛАЙОВИЧ</x:v>
      </x:c>
      <x:c r="C1230" s="14" t="str">
        <x:v>2451502675</x:v>
      </x:c>
      <x:c r="D1230" s="14" t="str">
        <x:v>ВОЛЗ / телеком</x:v>
      </x:c>
      <x:c r="E1230" s="14" t="str">
        <x:v>Expansion discovery</x:v>
      </x:c>
      <x:c r="F1230" s="14" t="str">
        <x:v>I3</x:v>
      </x:c>
      <x:c r="G1230" s="14" t="n">
        <x:v>30</x:v>
      </x:c>
      <x:c r="H1230" s="14" t="n">
        <x:v>1</x:v>
      </x:c>
      <x:c r="I1230" s="14" t="n">
        <x:v>0</x:v>
      </x:c>
      <x:c r="J1230" s="18" t="n">
        <x:v>237232.8</x:v>
      </x:c>
      <x:c r="K1230" s="19" t="n">
        <x:v>45733.34738953703</x:v>
      </x:c>
      <x:c r="L1230" s="19" t="n">
        <x:v>45777</x:v>
      </x:c>
      <x:c r="M1230" s="15" t="str">
        <x:v>Будівництво по прокладанню волоконно-оптичної лінії зв'язку на ділянці за адресою вул.Чорновола,13- вул.Чорновола, 117/б -вул. Чорновола 176/1)-вул.Староміська,1а)</x:v>
      </x:c>
      <x:c r="N1230" s="15" t="str">
        <x:v>https://prozorro.gov.ua/tender/UA-2025-03-17-002034-a</x:v>
      </x:c>
    </x:row>
    <x:row r="1231">
      <x:c r="A1231" s="14" t="n">
        <x:v>1227</x:v>
      </x:c>
      <x:c r="B1231" s="14" t="str">
        <x:v>ПП  Потрогош А.Т.</x:v>
      </x:c>
      <x:c r="C1231" s="14" t="str">
        <x:v>2642014332</x:v>
      </x:c>
      <x:c r="D1231" s="14" t="str">
        <x:v>ВОЛЗ / телеком</x:v>
      </x:c>
      <x:c r="E1231" s="14" t="str">
        <x:v>Expansion discovery</x:v>
      </x:c>
      <x:c r="F1231" s="14" t="str">
        <x:v>I3</x:v>
      </x:c>
      <x:c r="G1231" s="14" t="n">
        <x:v>30</x:v>
      </x:c>
      <x:c r="H1231" s="14" t="n">
        <x:v>1</x:v>
      </x:c>
      <x:c r="I1231" s="14" t="n">
        <x:v>0</x:v>
      </x:c>
      <x:c r="J1231" s="18" t="n">
        <x:v>10000</x:v>
      </x:c>
      <x:c r="K1231" s="19" t="n">
        <x:v>45922.35940321759</x:v>
      </x:c>
      <x:c r="L1231" s="19" t="n">
        <x:v>46022.916666655095</x:v>
      </x:c>
      <x:c r="M1231" s="15" t="str">
        <x:v>Монтаж телекомунікаційного обладнання,встановлення серверів,монтаж локальної мережі,встановлення та заміна комплектуючих до ЕОМ</x:v>
      </x:c>
      <x:c r="N1231" s="15" t="str">
        <x:v>https://prozorro.gov.ua/tender/UA-2025-09-22-004533-a</x:v>
      </x:c>
    </x:row>
    <x:row r="1232">
      <x:c r="A1232" s="14" t="n">
        <x:v>1228</x:v>
      </x:c>
      <x:c r="B1232" s="14" t="str">
        <x:v>ПП "ЕПТ"</x:v>
      </x:c>
      <x:c r="C1232" s="14" t="str">
        <x:v>37259687</x:v>
      </x:c>
      <x:c r="D1232" s="14" t="str">
        <x:v>HVAC / ОВіК</x:v>
      </x:c>
      <x:c r="E1232" s="14" t="str">
        <x:v>Pilot now</x:v>
      </x:c>
      <x:c r="F1232" s="14" t="str">
        <x:v>I3</x:v>
      </x:c>
      <x:c r="G1232" s="14" t="n">
        <x:v>30</x:v>
      </x:c>
      <x:c r="H1232" s="14" t="n">
        <x:v>2</x:v>
      </x:c>
      <x:c r="I1232" s="14" t="n">
        <x:v>0</x:v>
      </x:c>
      <x:c r="J1232" s="18" t="n">
        <x:v>27000</x:v>
      </x:c>
      <x:c r="K1232" s="19" t="n">
        <x:v>46008.39795467593</x:v>
      </x:c>
      <x:c r="L1232" s="19" t="n">
        <x:v>46022.916666655095</x:v>
      </x:c>
      <x:c r="M1232" s="15" t="str">
        <x:v>Монтаж витяжної системи вентиляції</x:v>
      </x:c>
      <x:c r="N1232" s="15" t="str">
        <x:v>https://prozorro.gov.ua/tender/UA-2025-12-17-007470-a</x:v>
      </x:c>
    </x:row>
    <x:row r="1233">
      <x:c r="A1233" s="14" t="n">
        <x:v>1229</x:v>
      </x:c>
      <x:c r="B1233" s="14" t="str">
        <x:v>Приватне підприємство "ДУДАР"</x:v>
      </x:c>
      <x:c r="C1233" s="14" t="str">
        <x:v>34699216</x:v>
      </x:c>
      <x:c r="D1233" s="14" t="str">
        <x:v>Медичні гази</x:v>
      </x:c>
      <x:c r="E1233" s="14" t="str">
        <x:v>Expansion discovery</x:v>
      </x:c>
      <x:c r="F1233" s="14" t="str">
        <x:v>I3</x:v>
      </x:c>
      <x:c r="G1233" s="14" t="n">
        <x:v>30</x:v>
      </x:c>
      <x:c r="H1233" s="14" t="n">
        <x:v>1</x:v>
      </x:c>
      <x:c r="I1233" s="14" t="n">
        <x:v>0</x:v>
      </x:c>
      <x:c r="J1233" s="18" t="n">
        <x:v>343696</x:v>
      </x:c>
      <x:c r="K1233" s="19" t="n">
        <x:v>45645.33610310185</x:v>
      </x:c>
      <x:c r="L1233" s="19" t="n">
        <x:v>45657</x:v>
      </x:c>
      <x:c r="M1233" s="15" t="str">
        <x:v>«Монтаж системи постачання медичних газів у відділенні №7 , корпус «Б» Комунального некомерційного підприємства «Тернопільська обласна клінічна психоневрологічна лікарня» Тернопільської обласної ради по вул. Тролейбусна,14 в м. Тернополі» (ДК 021:2015: 45450000-6 Інші завершальні будівельні роботи)</x:v>
      </x:c>
      <x:c r="N1233" s="15" t="str">
        <x:v>https://prozorro.gov.ua/tender/UA-2024-12-03-006226-a</x:v>
      </x:c>
    </x:row>
    <x:row r="1234">
      <x:c r="A1234" s="14" t="n">
        <x:v>1230</x:v>
      </x:c>
      <x:c r="B1234" s="14" t="str">
        <x:v>ПРИВАТНЕ ПІДПРИЄМСТВО "ЛАБОРАТОРІЯ ЗАХІДДОРСЕРВІС"</x:v>
      </x:c>
      <x:c r="C1234" s="14" t="str">
        <x:v>33951851</x:v>
      </x:c>
      <x:c r="D1234" s="14" t="str">
        <x:v>Залізнична інфраструктура</x:v>
      </x:c>
      <x:c r="E1234" s="14" t="str">
        <x:v>Expansion discovery</x:v>
      </x:c>
      <x:c r="F1234" s="14" t="str">
        <x:v>I3</x:v>
      </x:c>
      <x:c r="G1234" s="14" t="n">
        <x:v>30</x:v>
      </x:c>
      <x:c r="H1234" s="14" t="n">
        <x:v>1</x:v>
      </x:c>
      <x:c r="I1234" s="14" t="n">
        <x:v>0</x:v>
      </x:c>
      <x:c r="J1234" s="18" t="n">
        <x:v>12500</x:v>
      </x:c>
      <x:c r="K1234" s="19" t="n">
        <x:v>45951.60440077546</x:v>
      </x:c>
      <x:c r="L1234" s="19" t="n">
        <x:v>46022</x:v>
      </x:c>
      <x:c r="M1234" s="15" t="str">
        <x:v>Послуга з проведення відбору проб у вигляді циліндричних кернів, підбору та випробування складів сумішей асфальтобетонів дорожніх та аеродромних після надання послуг з поточного ремонту на під’їзді з центральної дороги до реабілітаційного комплексу «Агапе» вздовж залізничної колії в с. Боратин Луцького району Волинської області (98113000-8) (код за ДК 021:2015: 98110000-7 - Послуги підприємницьких, професійних та спеціалізованих організацій)</x:v>
      </x:c>
      <x:c r="N1234" s="15" t="str">
        <x:v>https://prozorro.gov.ua/tender/UA-2025-10-21-016693-a</x:v>
      </x:c>
    </x:row>
    <x:row r="1235">
      <x:c r="A1235" s="14" t="n">
        <x:v>1231</x:v>
      </x:c>
      <x:c r="B1235" s="14" t="str">
        <x:v>ПРИВАТНЕ ПІДПРИЄМСТВО "МОНТАЖ-ТЕХНОЛОГИЯ"</x:v>
      </x:c>
      <x:c r="C1235" s="14" t="str">
        <x:v>32282891</x:v>
      </x:c>
      <x:c r="D1235" s="14" t="str">
        <x:v>Теплові пункти</x:v>
      </x:c>
      <x:c r="E1235" s="14" t="str">
        <x:v>Expansion discovery</x:v>
      </x:c>
      <x:c r="F1235" s="14" t="str">
        <x:v>I3</x:v>
      </x:c>
      <x:c r="G1235" s="14" t="n">
        <x:v>30</x:v>
      </x:c>
      <x:c r="H1235" s="14" t="n">
        <x:v>1</x:v>
      </x:c>
      <x:c r="I1235" s="14" t="n">
        <x:v>0</x:v>
      </x:c>
      <x:c r="J1235" s="18" t="n">
        <x:v>174679.12</x:v>
      </x:c>
      <x:c r="K1235" s="19" t="n">
        <x:v>45338.52968270834</x:v>
      </x:c>
      <x:c r="L1235" s="19" t="n">
        <x:v>45657</x:v>
      </x:c>
      <x:c r="M1235" s="15" t="str">
        <x:v>Реконструкція індивідуального теплового пункту за адресою: м. Миколаїв, вул. Космонавтів,67А (ДНЗ №95, нов.корпус);45230000-8	Будівництво трубопроводів, ліній зв’язку та електропередач, шосе, доріг, аеродромів і залізничних доріг; вирівнювання поверхонь
</x:v>
      </x:c>
      <x:c r="N1235" s="15" t="str">
        <x:v>https://prozorro.gov.ua/tender/UA-2024-02-16-008392-a</x:v>
      </x:c>
    </x:row>
    <x:row r="1236">
      <x:c r="A1236" s="14" t="n">
        <x:v>1232</x:v>
      </x:c>
      <x:c r="B1236" s="14" t="str">
        <x:v>ПРИВАТНЕ ПІДПРИЄМСТВО "ПРОМТЕХВОД-Ч"</x:v>
      </x:c>
      <x:c r="C1236" s="14" t="str">
        <x:v>35263361</x:v>
      </x:c>
      <x:c r="D1236" s="14" t="str">
        <x:v>ГНБ / безтраншейні роботи</x:v>
      </x:c>
      <x:c r="E1236" s="14" t="str">
        <x:v>Expansion discovery</x:v>
      </x:c>
      <x:c r="F1236" s="14" t="str">
        <x:v>I3</x:v>
      </x:c>
      <x:c r="G1236" s="14" t="n">
        <x:v>30</x:v>
      </x:c>
      <x:c r="H1236" s="14" t="n">
        <x:v>2</x:v>
      </x:c>
      <x:c r="I1236" s="14" t="n">
        <x:v>0</x:v>
      </x:c>
      <x:c r="J1236" s="18" t="n">
        <x:v>8816.4</x:v>
      </x:c>
      <x:c r="K1236" s="19" t="n">
        <x:v>45987.3591599537</x:v>
      </x:c>
      <x:c r="L1236" s="19" t="n">
        <x:v>46022</x:v>
      </x:c>
      <x:c r="M1236"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236" s="15" t="str">
        <x:v>https://prozorro.gov.ua/tender/UA-2025-11-26-003686-a</x:v>
      </x:c>
    </x:row>
    <x:row r="1237">
      <x:c r="A1237" s="14" t="n">
        <x:v>1233</x:v>
      </x:c>
      <x:c r="B1237" s="14" t="str">
        <x:v>ПРИВАТНЕ ПІДПРИЄМСТВО "ТЕРМО-БУД-СЕРВІС"</x:v>
      </x:c>
      <x:c r="C1237" s="14" t="str">
        <x:v>37076562</x:v>
      </x:c>
      <x:c r="D1237" s="14" t="str">
        <x:v>HVAC / ОВіК</x:v>
      </x:c>
      <x:c r="E1237" s="14" t="str">
        <x:v>Pilot now</x:v>
      </x:c>
      <x:c r="F1237" s="14" t="str">
        <x:v>I3</x:v>
      </x:c>
      <x:c r="G1237" s="14" t="n">
        <x:v>30</x:v>
      </x:c>
      <x:c r="H1237" s="14" t="n">
        <x:v>2</x:v>
      </x:c>
      <x:c r="I1237" s="14" t="n">
        <x:v>0</x:v>
      </x:c>
      <x:c r="J1237" s="18" t="n">
        <x:v>76536</x:v>
      </x:c>
      <x:c r="K1237" s="19" t="n">
        <x:v>46007.66713553241</x:v>
      </x:c>
      <x:c r="L1237" s="19" t="n">
        <x:v>46010</x:v>
      </x:c>
      <x:c r="M1237" s="15" t="str">
        <x:v>Монтаж системи вентиляції</x:v>
      </x:c>
      <x:c r="N1237" s="15" t="str">
        <x:v>https://prozorro.gov.ua/tender/UA-2025-12-16-024067-a</x:v>
      </x:c>
    </x:row>
    <x:row r="1238">
      <x:c r="A1238" s="14" t="n">
        <x:v>1234</x:v>
      </x:c>
      <x:c r="B1238" s="14" t="str">
        <x:v>ПРИВАТНЕ ПІДПРИЄМСТВО "ТЕХНОЛЮКС"</x:v>
      </x:c>
      <x:c r="C1238" s="14" t="str">
        <x:v>32932459</x:v>
      </x:c>
      <x:c r="D1238" s="14" t="str">
        <x:v>HVAC / ОВіК</x:v>
      </x:c>
      <x:c r="E1238" s="14" t="str">
        <x:v>Pilot now</x:v>
      </x:c>
      <x:c r="F1238" s="14" t="str">
        <x:v>I3</x:v>
      </x:c>
      <x:c r="G1238" s="14" t="n">
        <x:v>30</x:v>
      </x:c>
      <x:c r="H1238" s="14" t="n">
        <x:v>1</x:v>
      </x:c>
      <x:c r="I1238" s="14" t="n">
        <x:v>0</x:v>
      </x:c>
      <x:c r="J1238" s="18" t="n">
        <x:v>81600</x:v>
      </x:c>
      <x:c r="K1238" s="19" t="n">
        <x:v>45862.561408472226</x:v>
      </x:c>
      <x:c r="L1238" s="19" t="n">
        <x:v>45877</x:v>
      </x:c>
      <x:c r="M1238" s="15" t="str">
        <x:v>Монтаж обладнення системи вентиляції і кондиціювання (ДК 021:2015: 45330000-9 Водопровідні та санітарно-технічні роботи)</x:v>
      </x:c>
      <x:c r="N1238" s="15" t="str">
        <x:v>https://prozorro.gov.ua/tender/UA-2025-07-24-010307-a</x:v>
      </x:c>
    </x:row>
    <x:row r="1239">
      <x:c r="A1239" s="14" t="n">
        <x:v>1235</x:v>
      </x:c>
      <x:c r="B1239" s="14" t="str">
        <x:v>ПРИВАТНЕ ПІДПРИЄМСТВО "ТЕХПРОБУД"</x:v>
      </x:c>
      <x:c r="C1239" s="14" t="str">
        <x:v>38830330</x:v>
      </x:c>
      <x:c r="D1239" s="14" t="str">
        <x:v>Резервне живлення</x:v>
      </x:c>
      <x:c r="E1239" s="14" t="str">
        <x:v>Pilot now</x:v>
      </x:c>
      <x:c r="F1239" s="14" t="str">
        <x:v>I3</x:v>
      </x:c>
      <x:c r="G1239" s="14" t="n">
        <x:v>30</x:v>
      </x:c>
      <x:c r="H1239" s="14" t="n">
        <x:v>1</x:v>
      </x:c>
      <x:c r="I1239" s="14" t="n">
        <x:v>0</x:v>
      </x:c>
      <x:c r="J1239" s="18" t="n">
        <x:v>148464</x:v>
      </x:c>
      <x:c r="K1239" s="19" t="n">
        <x:v>45720.46448657408</x:v>
      </x:c>
      <x:c r="L1239" s="19" t="n">
        <x:v>45777</x:v>
      </x:c>
      <x:c r="M1239" s="15" t="str">
        <x:v>ДК 021:2015"45260000-7 Покрівельні роботи та інші спеціалізовані будівельні роботи" Послуги з поточного ремонту та облаштування залізобетонної площадки, огородження, монтаж дизель генератора для адміністративної будівлі поліклініки ДУ "ТМО" за адресою         
м. Вінниця, вул. Верещагіна, буд. 2</x:v>
      </x:c>
      <x:c r="N1239" s="15" t="str">
        <x:v>https://prozorro.gov.ua/tender/UA-2025-03-04-007034-a</x:v>
      </x:c>
    </x:row>
    <x:row r="1240">
      <x:c r="A1240" s="14" t="n">
        <x:v>1236</x:v>
      </x:c>
      <x:c r="B1240" s="14" t="str">
        <x:v>Приватне Підприємство Посейдон-Плюс</x:v>
      </x:c>
      <x:c r="C1240" s="14" t="str">
        <x:v>36452270</x:v>
      </x:c>
      <x:c r="D1240" s="14" t="str">
        <x:v>Резервне живлення</x:v>
      </x:c>
      <x:c r="E1240" s="14" t="str">
        <x:v>Pilot now</x:v>
      </x:c>
      <x:c r="F1240" s="14" t="str">
        <x:v>I3</x:v>
      </x:c>
      <x:c r="G1240" s="14" t="n">
        <x:v>30</x:v>
      </x:c>
      <x:c r="H1240" s="14" t="n">
        <x:v>1</x:v>
      </x:c>
      <x:c r="I1240" s="14" t="n">
        <x:v>0</x:v>
      </x:c>
      <x:c r="J1240" s="18" t="n">
        <x:v>63106.8</x:v>
      </x:c>
      <x:c r="K1240" s="19" t="n">
        <x:v>45943.49901706019</x:v>
      </x:c>
      <x:c r="L1240" s="19" t="n">
        <x:v>46022.916666655095</x:v>
      </x:c>
      <x:c r="M1240" s="15" t="str">
        <x:v>Надання послуг з монтажу системи дистанційного моніторингу дизель-генераторної установки</x:v>
      </x:c>
      <x:c r="N1240" s="15" t="str">
        <x:v>https://prozorro.gov.ua/tender/UA-2025-10-13-010076-a</x:v>
      </x:c>
    </x:row>
    <x:row r="1241">
      <x:c r="A1241" s="14" t="n">
        <x:v>1237</x:v>
      </x:c>
      <x:c r="B1241" s="14" t="str">
        <x:v>РЕКУНОВ ОЛЕКСАНДР ОЛЕКСАНДРОВИЧ</x:v>
      </x:c>
      <x:c r="C1241" s="14" t="str">
        <x:v>3220500833</x:v>
      </x:c>
      <x:c r="D1241" s="14" t="str">
        <x:v>Зливова каналізація / дренаж</x:v>
      </x:c>
      <x:c r="E1241" s="14" t="str">
        <x:v>Expansion discovery</x:v>
      </x:c>
      <x:c r="F1241" s="14" t="str">
        <x:v>I3</x:v>
      </x:c>
      <x:c r="G1241" s="14" t="n">
        <x:v>30</x:v>
      </x:c>
      <x:c r="H1241" s="14" t="n">
        <x:v>1</x:v>
      </x:c>
      <x:c r="I1241" s="14" t="n">
        <x:v>0</x:v>
      </x:c>
      <x:c r="J1241" s="18" t="n">
        <x:v>96000</x:v>
      </x:c>
      <x:c r="K1241" s="19" t="n">
        <x:v>45876.50475050926</x:v>
      </x:c>
      <x:c r="L1241" s="19" t="n">
        <x:v>46011</x:v>
      </x:c>
      <x:c r="M1241" s="15" t="str">
        <x:v>послуги із поточного ремонту зливової каналізації по вулиці Авраменка в місті Верхньодніпровськ Дніпропетровської області </x:v>
      </x:c>
      <x:c r="N1241" s="15" t="str">
        <x:v>https://prozorro.gov.ua/tender/UA-2025-08-07-008253-a</x:v>
      </x:c>
    </x:row>
    <x:row r="1242">
      <x:c r="A1242" s="14" t="n">
        <x:v>1238</x:v>
      </x:c>
      <x:c r="B1242" s="14" t="str">
        <x:v>Сивак Ірина Ігорівна</x:v>
      </x:c>
      <x:c r="C1242" s="14" t="str">
        <x:v>3136315668</x:v>
      </x:c>
      <x:c r="D1242" s="14" t="str">
        <x:v>Металоконструкції</x:v>
      </x:c>
      <x:c r="E1242" s="14" t="str">
        <x:v>Expansion discovery</x:v>
      </x:c>
      <x:c r="F1242" s="14" t="str">
        <x:v>I3</x:v>
      </x:c>
      <x:c r="G1242" s="14" t="n">
        <x:v>30</x:v>
      </x:c>
      <x:c r="H1242" s="14" t="n">
        <x:v>1</x:v>
      </x:c>
      <x:c r="I1242" s="14" t="n">
        <x:v>0</x:v>
      </x:c>
      <x:c r="J1242" s="18" t="n">
        <x:v>85000</x:v>
      </x:c>
      <x:c r="K1242" s="19" t="n">
        <x:v>45883.62278894676</x:v>
      </x:c>
      <x:c r="L1242" s="19" t="n">
        <x:v>45912</x:v>
      </x:c>
      <x:c r="M1242" s="15" t="str">
        <x:v>виготовлення та монтаж двосторонньої V-подібної металоконструкції</x:v>
      </x:c>
      <x:c r="N1242" s="15" t="str">
        <x:v>https://prozorro.gov.ua/tender/UA-2025-08-14-012414-a</x:v>
      </x:c>
    </x:row>
    <x:row r="1243">
      <x:c r="A1243" s="14" t="n">
        <x:v>1239</x:v>
      </x:c>
      <x:c r="B1243" s="14" t="str">
        <x:v>СИЗЕНКО СТАНІСЛАВ СТАНІСЛАВОВИЧ</x:v>
      </x:c>
      <x:c r="C1243" s="14" t="str">
        <x:v>3286308496</x:v>
      </x:c>
      <x:c r="D1243" s="14" t="str">
        <x:v>Металоконструкції</x:v>
      </x:c>
      <x:c r="E1243" s="14" t="str">
        <x:v>Expansion discovery</x:v>
      </x:c>
      <x:c r="F1243" s="14" t="str">
        <x:v>I3</x:v>
      </x:c>
      <x:c r="G1243" s="14" t="n">
        <x:v>30</x:v>
      </x:c>
      <x:c r="H1243" s="14" t="n">
        <x:v>1</x:v>
      </x:c>
      <x:c r="I1243" s="14" t="n">
        <x:v>0</x:v>
      </x:c>
      <x:c r="J1243" s="18" t="n">
        <x:v>25781.17</x:v>
      </x:c>
      <x:c r="K1243" s="19" t="n">
        <x:v>45874.71796821759</x:v>
      </x:c>
      <x:c r="L1243" s="19" t="n">
        <x:v>46022</x:v>
      </x:c>
      <x:c r="M1243"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x:v>
      </x:c>
      <x:c r="N1243" s="15" t="str">
        <x:v>https://prozorro.gov.ua/tender/UA-2025-08-05-012335-a</x:v>
      </x:c>
    </x:row>
    <x:row r="1244">
      <x:c r="A1244" s="14" t="n">
        <x:v>1240</x:v>
      </x:c>
      <x:c r="B1244" s="14" t="str">
        <x:v>СІРИК ЄВГЕН МИКОЛАЙОВИЧ</x:v>
      </x:c>
      <x:c r="C1244" s="14" t="str">
        <x:v>3119417130</x:v>
      </x:c>
      <x:c r="D1244" s="14" t="str">
        <x:v>Металоконструкції</x:v>
      </x:c>
      <x:c r="E1244" s="14" t="str">
        <x:v>Expansion discovery</x:v>
      </x:c>
      <x:c r="F1244" s="14" t="str">
        <x:v>I3</x:v>
      </x:c>
      <x:c r="G1244" s="14" t="n">
        <x:v>30</x:v>
      </x:c>
      <x:c r="H1244" s="14" t="n">
        <x:v>1</x:v>
      </x:c>
      <x:c r="I1244" s="14" t="n">
        <x:v>0</x:v>
      </x:c>
      <x:c r="J1244" s="18" t="n">
        <x:v>99999.04</x:v>
      </x:c>
      <x:c r="K1244" s="19" t="n">
        <x:v>45828.368565578705</x:v>
      </x:c>
      <x:c r="L1244" s="19" t="n">
        <x:v>45930</x:v>
      </x:c>
      <x:c r="M1244"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x:v>
      </x:c>
      <x:c r="N1244" s="15" t="str">
        <x:v>https://prozorro.gov.ua/tender/UA-2025-06-20-004887-a</x:v>
      </x:c>
    </x:row>
    <x:row r="1245">
      <x:c r="A1245" s="14" t="n">
        <x:v>1241</x:v>
      </x:c>
      <x:c r="B1245" s="14" t="str">
        <x:v>СОРОКІН ЮРІЙ МИКОЛАЙОВИЧ</x:v>
      </x:c>
      <x:c r="C1245" s="14" t="str">
        <x:v>2947210151</x:v>
      </x:c>
      <x:c r="D1245" s="14" t="str">
        <x:v>Металоконструкції</x:v>
      </x:c>
      <x:c r="E1245" s="14" t="str">
        <x:v>Expansion discovery</x:v>
      </x:c>
      <x:c r="F1245" s="14" t="str">
        <x:v>I3</x:v>
      </x:c>
      <x:c r="G1245" s="14" t="n">
        <x:v>30</x:v>
      </x:c>
      <x:c r="H1245" s="14" t="n">
        <x:v>1</x:v>
      </x:c>
      <x:c r="I1245" s="14" t="n">
        <x:v>0</x:v>
      </x:c>
      <x:c r="J1245" s="18" t="n">
        <x:v>91514.19</x:v>
      </x:c>
      <x:c r="K1245" s="19" t="n">
        <x:v>45971.36211001157</x:v>
      </x:c>
      <x:c r="L1245" s="19" t="n">
        <x:v>46011</x:v>
      </x:c>
      <x:c r="M1245"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x:v>
      </x:c>
      <x:c r="N1245" s="15" t="str">
        <x:v>https://prozorro.gov.ua/tender/UA-2025-11-10-002806-a</x:v>
      </x:c>
    </x:row>
    <x:row r="1246">
      <x:c r="A1246" s="14" t="n">
        <x:v>1242</x:v>
      </x:c>
      <x:c r="B1246" s="14" t="str">
        <x:v>СПЕЦІАЛІЗОВАНЕ РЕМОНТНО-БУДІВЕЛЬНЕ УПРАВЛІННЯ "ХАРКІВЛІФТ-1" У ФОРМІ ТОВАРИСТВА З ОБМЕЖЕНОЮ ВІДПОВІДАЛЬНІСТЮ</x:v>
      </x:c>
      <x:c r="C1246" s="14" t="str">
        <x:v>32563804</x:v>
      </x:c>
      <x:c r="D1246" s="14" t="str">
        <x:v>Ліфти та підйомники</x:v>
      </x:c>
      <x:c r="E1246" s="14" t="str">
        <x:v>Expansion discovery</x:v>
      </x:c>
      <x:c r="F1246" s="14" t="str">
        <x:v>I3</x:v>
      </x:c>
      <x:c r="G1246" s="14" t="n">
        <x:v>30</x:v>
      </x:c>
      <x:c r="H1246" s="14" t="n">
        <x:v>1</x:v>
      </x:c>
      <x:c r="I1246" s="14" t="n">
        <x:v>0</x:v>
      </x:c>
      <x:c r="J1246" s="18" t="n">
        <x:v>49980</x:v>
      </x:c>
      <x:c r="K1246" s="19" t="n">
        <x:v>45973.58487446759</x:v>
      </x:c>
      <x:c r="L1246" s="19" t="n">
        <x:v>45979.916655092595</x:v>
      </x:c>
      <x:c r="M1246" s="15" t="str">
        <x:v>Демонтаж/монтаж редуктора, ремонт редуктора з заміною вала та підшипників на ліфті пасажирському в/п 630кг на 10 зупинок</x:v>
      </x:c>
      <x:c r="N1246" s="15" t="str">
        <x:v>https://prozorro.gov.ua/tender/UA-2025-11-12-013442-a</x:v>
      </x:c>
    </x:row>
    <x:row r="1247">
      <x:c r="A1247" s="14" t="n">
        <x:v>1243</x:v>
      </x:c>
      <x:c r="B1247" s="14" t="str">
        <x:v>Теслюк Павло Олексійович</x:v>
      </x:c>
      <x:c r="C1247" s="14" t="str">
        <x:v>2568310591</x:v>
      </x:c>
      <x:c r="D1247" s="14" t="str">
        <x:v>Зовнішні мережі</x:v>
      </x:c>
      <x:c r="E1247" s="14" t="str">
        <x:v>Expansion discovery</x:v>
      </x:c>
      <x:c r="F1247" s="14" t="str">
        <x:v>I3</x:v>
      </x:c>
      <x:c r="G1247" s="14" t="n">
        <x:v>30</x:v>
      </x:c>
      <x:c r="H1247" s="14" t="n">
        <x:v>1</x:v>
      </x:c>
      <x:c r="I1247" s="14" t="n">
        <x:v>0</x:v>
      </x:c>
      <x:c r="J1247" s="18" t="n">
        <x:v>98600</x:v>
      </x:c>
      <x:c r="K1247" s="19" t="n">
        <x:v>45985.57542649306</x:v>
      </x:c>
      <x:c r="L1247" s="19" t="n">
        <x:v>45989</x:v>
      </x:c>
      <x:c r="M1247" s="15" t="str">
        <x:v>Будівництво трубопроводів, ліній зв’язку та електропередач, шосе, доріг, аеродромів і залізничних доріг; вирівнювання поверхонь (Надання послуг з влаштування каналізаційного колодязя на каналізаційному колекторі між вул. Б. Хмельницького та вул. Романа Шухевича у м. Овруч Житомирської області)</x:v>
      </x:c>
      <x:c r="N1247" s="15" t="str">
        <x:v>https://prozorro.gov.ua/tender/UA-2025-11-24-014672-a</x:v>
      </x:c>
    </x:row>
    <x:row r="1248">
      <x:c r="A1248" s="14" t="n">
        <x:v>1244</x:v>
      </x:c>
      <x:c r="B1248" s="14" t="str">
        <x:v>ТОВ "АЛЮМ-СЕРВІС"</x:v>
      </x:c>
      <x:c r="C1248" s="14" t="str">
        <x:v>41106084</x:v>
      </x:c>
      <x:c r="D1248" s="14" t="str">
        <x:v>Промислові ворота / докове обладнання</x:v>
      </x:c>
      <x:c r="E1248" s="14" t="str">
        <x:v>Expansion discovery</x:v>
      </x:c>
      <x:c r="F1248" s="14" t="str">
        <x:v>I3</x:v>
      </x:c>
      <x:c r="G1248" s="14" t="n">
        <x:v>30</x:v>
      </x:c>
      <x:c r="H1248" s="14" t="n">
        <x:v>1</x:v>
      </x:c>
      <x:c r="I1248" s="14" t="n">
        <x:v>0</x:v>
      </x:c>
      <x:c r="J1248" s="18" t="n">
        <x:v>446852</x:v>
      </x:c>
      <x:c r="K1248" s="19" t="n">
        <x:v>45737.350797314815</x:v>
      </x:c>
      <x:c r="L1248" s="19" t="n">
        <x:v>45798.310625</x:v>
      </x:c>
      <x:c r="M1248" s="15" t="str">
        <x:v>Роботи  з виготовлення та монтажу промислових воріт гаражів на території центральної бази Івано-Франківської СЕЕМ АТ «Прикарпаттяобленерго» на вул. Максимовича 7, в м. Івано-Франківськ</x:v>
      </x:c>
      <x:c r="N1248" s="15" t="str">
        <x:v>https://prozorro.gov.ua/tender/UA-2025-03-21-002503-a</x:v>
      </x:c>
    </x:row>
    <x:row r="1249">
      <x:c r="A1249" s="14" t="n">
        <x:v>1245</x:v>
      </x:c>
      <x:c r="B1249" s="14" t="str">
        <x:v>ТОВ "АНТЕЙ-СПЕЦСЕРВІС"</x:v>
      </x:c>
      <x:c r="C1249" s="14" t="str">
        <x:v>38479823</x:v>
      </x:c>
      <x:c r="D1249" s="14" t="str">
        <x:v>Блискавкозахист / заземлення</x:v>
      </x:c>
      <x:c r="E1249" s="14" t="str">
        <x:v>Pilot now</x:v>
      </x:c>
      <x:c r="F1249" s="14" t="str">
        <x:v>I3</x:v>
      </x:c>
      <x:c r="G1249" s="14" t="n">
        <x:v>30</x:v>
      </x:c>
      <x:c r="H1249" s="14" t="n">
        <x:v>1</x:v>
      </x:c>
      <x:c r="I1249" s="14" t="n">
        <x:v>0</x:v>
      </x:c>
      <x:c r="J1249" s="18" t="n">
        <x:v>40617.8</x:v>
      </x:c>
      <x:c r="K1249" s="19" t="n">
        <x:v>45971.4601587963</x:v>
      </x:c>
      <x:c r="L1249" s="19" t="n">
        <x:v>45996</x:v>
      </x:c>
      <x:c r="M1249" s="15" t="str">
        <x:v>Послуги з монтажу системи блискавкозахисту будівлі Центру соціальних служб Одеської міської ради за адресою:  вул. Івана та Юрія Лип, 38а</x:v>
      </x:c>
      <x:c r="N1249" s="15" t="str">
        <x:v>https://prozorro.gov.ua/tender/UA-2025-11-10-006940-a</x:v>
      </x:c>
    </x:row>
    <x:row r="1250">
      <x:c r="A1250" s="14" t="n">
        <x:v>1246</x:v>
      </x:c>
      <x:c r="B1250" s="14" t="str">
        <x:v>ТОВ "БУД.ЮА"</x:v>
      </x:c>
      <x:c r="C1250" s="14" t="str">
        <x:v>41781560</x:v>
      </x:c>
      <x:c r="D1250" s="14" t="str">
        <x:v>HVAC / ОВіК</x:v>
      </x:c>
      <x:c r="E1250" s="14" t="str">
        <x:v>Pilot now</x:v>
      </x:c>
      <x:c r="F1250" s="14" t="str">
        <x:v>I3</x:v>
      </x:c>
      <x:c r="G1250" s="14" t="n">
        <x:v>30</x:v>
      </x:c>
      <x:c r="H1250" s="14" t="n">
        <x:v>1</x:v>
      </x:c>
      <x:c r="I1250" s="14" t="n">
        <x:v>0</x:v>
      </x:c>
      <x:c r="J1250" s="18" t="n">
        <x:v>21240</x:v>
      </x:c>
      <x:c r="K1250" s="19" t="n">
        <x:v>45805.36915424769</x:v>
      </x:c>
      <x:c r="L1250" s="19" t="n">
        <x:v>46022.41179398148</x:v>
      </x:c>
      <x:c r="M1250" s="15" t="str">
        <x:v>Монтаж системи вентиляції в приміщенні лабораторії</x:v>
      </x:c>
      <x:c r="N1250" s="15" t="str">
        <x:v>https://prozorro.gov.ua/tender/UA-2025-05-28-004695-a</x:v>
      </x:c>
    </x:row>
    <x:row r="1251">
      <x:c r="A1251" s="14" t="n">
        <x:v>1247</x:v>
      </x:c>
      <x:c r="B1251" s="14" t="str">
        <x:v>ТОВ "Гармонія сонця"</x:v>
      </x:c>
      <x:c r="C1251" s="14" t="str">
        <x:v>45494756</x:v>
      </x:c>
      <x:c r="D1251" s="14" t="str">
        <x:v>Резервне живлення</x:v>
      </x:c>
      <x:c r="E1251" s="14" t="str">
        <x:v>Expansion discovery</x:v>
      </x:c>
      <x:c r="F1251" s="14" t="str">
        <x:v>I3</x:v>
      </x:c>
      <x:c r="G1251" s="14" t="n">
        <x:v>30</x:v>
      </x:c>
      <x:c r="H1251" s="14" t="n">
        <x:v>3</x:v>
      </x:c>
      <x:c r="I1251" s="14" t="n">
        <x:v>0</x:v>
      </x:c>
      <x:c r="J1251" s="18" t="n">
        <x:v>91500</x:v>
      </x:c>
      <x:c r="K1251" s="19" t="n">
        <x:v>45645.38893548611</x:v>
      </x:c>
      <x:c r="L1251" s="19" t="n">
        <x:v>45657.389328703706</x:v>
      </x:c>
      <x:c r="M1251" s="15" t="str">
        <x:v>Встановлення комплекту системи безперебійного живлення (встановлення, монтаж та налаштування електричного обладнання Tesla Powerwall2)</x:v>
      </x:c>
      <x:c r="N1251" s="15" t="str">
        <x:v>https://prozorro.gov.ua/tender/UA-2024-12-19-006046-a</x:v>
      </x:c>
    </x:row>
    <x:row r="1252">
      <x:c r="A1252" s="14" t="n">
        <x:v>1248</x:v>
      </x:c>
      <x:c r="B1252" s="14" t="str">
        <x:v>ТОВ "ДАРІННА"</x:v>
      </x:c>
      <x:c r="C1252" s="14" t="str">
        <x:v>45360369</x:v>
      </x:c>
      <x:c r="D1252" s="14" t="str">
        <x:v>Металоконструкції</x:v>
      </x:c>
      <x:c r="E1252" s="14" t="str">
        <x:v>Expansion discovery</x:v>
      </x:c>
      <x:c r="F1252" s="14" t="str">
        <x:v>I3</x:v>
      </x:c>
      <x:c r="G1252" s="14" t="n">
        <x:v>30</x:v>
      </x:c>
      <x:c r="H1252" s="14" t="n">
        <x:v>1</x:v>
      </x:c>
      <x:c r="I1252" s="14" t="n">
        <x:v>0</x:v>
      </x:c>
      <x:c r="J1252" s="18" t="n">
        <x:v>148930.82</x:v>
      </x:c>
      <x:c r="K1252" s="19" t="n">
        <x:v>45636.63689729167</x:v>
      </x:c>
      <x:c r="L1252" s="19" t="n">
        <x:v>45644</x:v>
      </x:c>
      <x:c r="M1252" s="15" t="str">
        <x:v>Послуги з монтажу і встановлення металоконструкцій</x:v>
      </x:c>
      <x:c r="N1252" s="15" t="str">
        <x:v>https://prozorro.gov.ua/tender/UA-2024-11-30-000337-a</x:v>
      </x:c>
    </x:row>
    <x:row r="1253">
      <x:c r="A1253" s="14" t="n">
        <x:v>1249</x:v>
      </x:c>
      <x:c r="B1253" s="14" t="str">
        <x:v>ТОВ "ДіамантЛізингКорпорейшин"</x:v>
      </x:c>
      <x:c r="C1253" s="14" t="str">
        <x:v>38141919</x:v>
      </x:c>
      <x:c r="D1253" s="14" t="str">
        <x:v>Ремонт і підсилення бетону</x:v>
      </x:c>
      <x:c r="E1253" s="14" t="str">
        <x:v>Expansion discovery</x:v>
      </x:c>
      <x:c r="F1253" s="14" t="str">
        <x:v>I3</x:v>
      </x:c>
      <x:c r="G1253" s="14" t="n">
        <x:v>30</x:v>
      </x:c>
      <x:c r="H1253" s="14" t="n">
        <x:v>1</x:v>
      </x:c>
      <x:c r="I1253" s="14" t="n">
        <x:v>0</x:v>
      </x:c>
      <x:c r="J1253" s="18" t="n">
        <x:v>438304.21</x:v>
      </x:c>
      <x:c r="K1253" s="19" t="n">
        <x:v>45505.44871780093</x:v>
      </x:c>
      <x:c r="L1253" s="19" t="n">
        <x:v>45657</x:v>
      </x:c>
      <x:c r="M1253" s="15" t="str">
        <x:v>Капітальний ремонт із влаштуванням монолітної залізобетонної конструкції (фундаменту) під монтаж об'єкту деконтамінації  за адресою вул. Чернігівська,7</x:v>
      </x:c>
      <x:c r="N1253" s="15" t="str">
        <x:v>https://prozorro.gov.ua/tender/UA-2024-08-01-005122-a</x:v>
      </x:c>
    </x:row>
    <x:row r="1254">
      <x:c r="A1254" s="14" t="n">
        <x:v>1250</x:v>
      </x:c>
      <x:c r="B1254" s="14" t="str">
        <x:v>ТОВ "ДНІПРО-ТЕХНОЦЕНТР"</x:v>
      </x:c>
      <x:c r="C1254" s="14" t="str">
        <x:v>19089304</x:v>
      </x:c>
      <x:c r="D1254" s="14" t="str">
        <x:v>СКС / BMS / слаботочка</x:v>
      </x:c>
      <x:c r="E1254" s="14" t="str">
        <x:v>Expansion discovery</x:v>
      </x:c>
      <x:c r="F1254" s="14" t="str">
        <x:v>I3</x:v>
      </x:c>
      <x:c r="G1254" s="14" t="n">
        <x:v>30</x:v>
      </x:c>
      <x:c r="H1254" s="14" t="n">
        <x:v>1</x:v>
      </x:c>
      <x:c r="I1254" s="14" t="n">
        <x:v>0</x:v>
      </x:c>
      <x:c r="J1254" s="18" t="n">
        <x:v>69291</x:v>
      </x:c>
      <x:c r="K1254" s="19" t="n">
        <x:v>45952.580162060185</x:v>
      </x:c>
      <x:c r="L1254" s="19" t="n">
        <x:v>46011</x:v>
      </x:c>
      <x:c r="M1254" s="15" t="str">
        <x:v>послуги з монтажу структурованої кабельної системи</x:v>
      </x:c>
      <x:c r="N1254" s="15" t="str">
        <x:v>https://prozorro.gov.ua/tender/UA-2025-10-02-002504-a</x:v>
      </x:c>
    </x:row>
    <x:row r="1255">
      <x:c r="A1255" s="14" t="n">
        <x:v>1251</x:v>
      </x:c>
      <x:c r="B1255" s="14" t="str">
        <x:v>ТОВ "Інститут  Шосткапроект"</x:v>
      </x:c>
      <x:c r="C1255" s="14" t="str">
        <x:v>23996686</x:v>
      </x:c>
      <x:c r="D1255" s="14" t="str">
        <x:v>Ліфти та підйомники</x:v>
      </x:c>
      <x:c r="E1255" s="14" t="str">
        <x:v>Expansion discovery</x:v>
      </x:c>
      <x:c r="F1255" s="14" t="str">
        <x:v>I3</x:v>
      </x:c>
      <x:c r="G1255" s="14" t="n">
        <x:v>30</x:v>
      </x:c>
      <x:c r="H1255" s="14" t="n">
        <x:v>1</x:v>
      </x:c>
      <x:c r="I1255" s="14" t="n">
        <x:v>0</x:v>
      </x:c>
      <x:c r="J1255" s="18" t="n">
        <x:v>85218</x:v>
      </x:c>
      <x:c r="K1255" s="19" t="n">
        <x:v>45861.30062832176</x:v>
      </x:c>
      <x:c r="L1255" s="19" t="n">
        <x:v>46022.34075231481</x:v>
      </x:c>
      <x:c r="M1255"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x:v>
      </x:c>
      <x:c r="N1255" s="15" t="str">
        <x:v>https://prozorro.gov.ua/tender/UA-2025-07-23-001621-a</x:v>
      </x:c>
    </x:row>
    <x:row r="1256">
      <x:c r="A1256" s="14" t="n">
        <x:v>1252</x:v>
      </x:c>
      <x:c r="B1256" s="14" t="str">
        <x:v>ТОВ "КРАЙЗ"</x:v>
      </x:c>
      <x:c r="C1256" s="14" t="str">
        <x:v>32625847</x:v>
      </x:c>
      <x:c r="D1256" s="14" t="str">
        <x:v>Блискавкозахист / заземлення</x:v>
      </x:c>
      <x:c r="E1256" s="14" t="str">
        <x:v>Pilot now</x:v>
      </x:c>
      <x:c r="F1256" s="14" t="str">
        <x:v>I3</x:v>
      </x:c>
      <x:c r="G1256" s="14" t="n">
        <x:v>30</x:v>
      </x:c>
      <x:c r="H1256" s="14" t="n">
        <x:v>1</x:v>
      </x:c>
      <x:c r="I1256" s="14" t="n">
        <x:v>0</x:v>
      </x:c>
      <x:c r="J1256" s="18" t="n">
        <x:v>75799.36</x:v>
      </x:c>
      <x:c r="K1256" s="19" t="n">
        <x:v>45952.47452898148</x:v>
      </x:c>
      <x:c r="L1256" s="19" t="n">
        <x:v>45991.48646990741</x:v>
      </x:c>
      <x:c r="M1256" s="15" t="str">
        <x:v>Монтаж блискавкозахисту  службово-житлового приміщення</x:v>
      </x:c>
      <x:c r="N1256" s="15" t="str">
        <x:v>https://prozorro.gov.ua/tender/UA-2025-10-22-007915-a</x:v>
      </x:c>
    </x:row>
    <x:row r="1257">
      <x:c r="A1257" s="14" t="n">
        <x:v>1253</x:v>
      </x:c>
      <x:c r="B1257" s="14" t="str">
        <x:v>ТОВ "Кріоген-Мед-Сервіс"</x:v>
      </x:c>
      <x:c r="C1257" s="14" t="str">
        <x:v>41160492</x:v>
      </x:c>
      <x:c r="D1257" s="14" t="str">
        <x:v>Стиснене повітря / компресорні</x:v>
      </x:c>
      <x:c r="E1257" s="14" t="str">
        <x:v>Expansion discovery</x:v>
      </x:c>
      <x:c r="F1257" s="14" t="str">
        <x:v>I3</x:v>
      </x:c>
      <x:c r="G1257" s="14" t="n">
        <x:v>30</x:v>
      </x:c>
      <x:c r="H1257" s="14" t="n">
        <x:v>1</x:v>
      </x:c>
      <x:c r="I1257" s="14" t="n">
        <x:v>0</x:v>
      </x:c>
      <x:c r="J1257" s="18" t="n">
        <x:v>98777.98</x:v>
      </x:c>
      <x:c r="K1257" s="19" t="n">
        <x:v>45818.397364675926</x:v>
      </x:c>
      <x:c r="L1257" s="19" t="n">
        <x:v>46022.916666655095</x:v>
      </x:c>
      <x:c r="M1257"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x:v>
      </x:c>
      <x:c r="N1257" s="15" t="str">
        <x:v>https://prozorro.gov.ua/tender/UA-2025-06-10-005512-a</x:v>
      </x:c>
    </x:row>
    <x:row r="1258">
      <x:c r="A1258" s="14" t="n">
        <x:v>1254</x:v>
      </x:c>
      <x:c r="B1258" s="14" t="str">
        <x:v>ТОВ "СМ Білдінг"</x:v>
      </x:c>
      <x:c r="C1258" s="14" t="str">
        <x:v>42913301</x:v>
      </x:c>
      <x:c r="D1258" s="14" t="str">
        <x:v>Резервне живлення</x:v>
      </x:c>
      <x:c r="E1258" s="14" t="str">
        <x:v>Pilot now</x:v>
      </x:c>
      <x:c r="F1258" s="14" t="str">
        <x:v>I3</x:v>
      </x:c>
      <x:c r="G1258" s="14" t="n">
        <x:v>30</x:v>
      </x:c>
      <x:c r="H1258" s="14" t="n">
        <x:v>1</x:v>
      </x:c>
      <x:c r="I1258" s="14" t="n">
        <x:v>0</x:v>
      </x:c>
      <x:c r="J1258" s="18" t="n">
        <x:v>498394.38</x:v>
      </x:c>
      <x:c r="K1258" s="19" t="n">
        <x:v>45722.45213563657</x:v>
      </x:c>
      <x:c r="L1258" s="19" t="n">
        <x:v>46022.450011574074</x:v>
      </x:c>
      <x:c r="M1258" s="15" t="str">
        <x:v>Електромонтажні роботи з монтажу та підключення дизель генератора та АВР до приміщень та медичного обладнання обласної поліклініки КНП «ХОЛ» Хмельницької обласної ради за адресою: вул. Пілотська, 1, м. Хмельницький</x:v>
      </x:c>
      <x:c r="N1258" s="15" t="str">
        <x:v>https://prozorro.gov.ua/tender/UA-2025-03-06-006455-a</x:v>
      </x:c>
    </x:row>
    <x:row r="1259">
      <x:c r="A1259" s="14" t="n">
        <x:v>1255</x:v>
      </x:c>
      <x:c r="B1259" s="14" t="str">
        <x:v>ТОВ "СТІМ-УКРАЇНА"</x:v>
      </x:c>
      <x:c r="C1259" s="14" t="str">
        <x:v>44924886</x:v>
      </x:c>
      <x:c r="D1259" s="14" t="str">
        <x:v>Промислова теплоізоляція</x:v>
      </x:c>
      <x:c r="E1259" s="14" t="str">
        <x:v>Expansion discovery</x:v>
      </x:c>
      <x:c r="F1259" s="14" t="str">
        <x:v>I3</x:v>
      </x:c>
      <x:c r="G1259" s="14" t="n">
        <x:v>30</x:v>
      </x:c>
      <x:c r="H1259" s="14" t="n">
        <x:v>1</x:v>
      </x:c>
      <x:c r="I1259" s="14" t="n">
        <x:v>0</x:v>
      </x:c>
      <x:c r="J1259" s="18" t="n">
        <x:v>84000</x:v>
      </x:c>
      <x:c r="K1259" s="19" t="n">
        <x:v>45783.625460243056</x:v>
      </x:c>
      <x:c r="L1259" s="19" t="n">
        <x:v>46022.916666655095</x:v>
      </x:c>
      <x:c r="M1259" s="15" t="str">
        <x:v>Послуги по теплоізоляції технологічних  трубопроводів опалення</x:v>
      </x:c>
      <x:c r="N1259" s="15" t="str">
        <x:v>https://prozorro.gov.ua/tender/UA-2025-05-06-014400-a</x:v>
      </x:c>
    </x:row>
    <x:row r="1260">
      <x:c r="A1260" s="14" t="n">
        <x:v>1256</x:v>
      </x:c>
      <x:c r="B1260" s="14" t="str">
        <x:v>ТОВ "Технолоджі Мувмент"</x:v>
      </x:c>
      <x:c r="C1260" s="14" t="str">
        <x:v>43961513</x:v>
      </x:c>
      <x:c r="D1260" s="14" t="str">
        <x:v>Резервне живлення</x:v>
      </x:c>
      <x:c r="E1260" s="14" t="str">
        <x:v>Expansion discovery</x:v>
      </x:c>
      <x:c r="F1260" s="14" t="str">
        <x:v>I3</x:v>
      </x:c>
      <x:c r="G1260" s="14" t="n">
        <x:v>30</x:v>
      </x:c>
      <x:c r="H1260" s="14" t="n">
        <x:v>2</x:v>
      </x:c>
      <x:c r="I1260" s="14" t="n">
        <x:v>0</x:v>
      </x:c>
      <x:c r="J1260" s="18" t="n">
        <x:v>15900</x:v>
      </x:c>
      <x:c r="K1260" s="19" t="n">
        <x:v>46014.593210416664</x:v>
      </x:c>
      <x:c r="L1260" s="19" t="n">
        <x:v>46022.59162037037</x:v>
      </x:c>
      <x:c r="M1260" s="15" t="str">
        <x:v>Монтаж системи безперебійного живлення</x:v>
      </x:c>
      <x:c r="N1260" s="15" t="str">
        <x:v>https://prozorro.gov.ua/tender/UA-2025-12-23-018432-a</x:v>
      </x:c>
    </x:row>
    <x:row r="1261">
      <x:c r="A1261" s="14" t="n">
        <x:v>1257</x:v>
      </x:c>
      <x:c r="B1261" s="14" t="str">
        <x:v>ТОВ "Торгова група "Арс Кераміка""</x:v>
      </x:c>
      <x:c r="C1261" s="14" t="str">
        <x:v>32549732</x:v>
      </x:c>
      <x:c r="D1261" s="14" t="str">
        <x:v>Покрівлі та гідроізоляція</x:v>
      </x:c>
      <x:c r="E1261" s="14" t="str">
        <x:v>Expansion discovery</x:v>
      </x:c>
      <x:c r="F1261" s="14" t="str">
        <x:v>I3</x:v>
      </x:c>
      <x:c r="G1261" s="14" t="n">
        <x:v>30</x:v>
      </x:c>
      <x:c r="H1261" s="14" t="n">
        <x:v>1</x:v>
      </x:c>
      <x:c r="I1261" s="14" t="n">
        <x:v>0</x:v>
      </x:c>
      <x:c r="J1261" s="18" t="n">
        <x:v>465</x:v>
      </x:c>
      <x:c r="K1261" s="19" t="n">
        <x:v>45786.4148946412</x:v>
      </x:c>
      <x:c r="L1261" s="19" t="n">
        <x:v>46022.916666655095</x:v>
      </x:c>
      <x:c r="M1261"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x:v>
      </x:c>
      <x:c r="N1261" s="15" t="str">
        <x:v>https://prozorro.gov.ua/tender/UA-2025-05-09-007047-a</x:v>
      </x:c>
    </x:row>
    <x:row r="1262">
      <x:c r="A1262" s="14" t="n">
        <x:v>1258</x:v>
      </x:c>
      <x:c r="B1262" s="14" t="str">
        <x:v>ТОВ "УКРГОСТ ГРУП"</x:v>
      </x:c>
      <x:c r="C1262" s="14" t="str">
        <x:v>44842704</x:v>
      </x:c>
      <x:c r="D1262" s="14" t="str">
        <x:v>Покрівлі та гідроізоляція</x:v>
      </x:c>
      <x:c r="E1262" s="14" t="str">
        <x:v>Expansion discovery</x:v>
      </x:c>
      <x:c r="F1262" s="14" t="str">
        <x:v>I3</x:v>
      </x:c>
      <x:c r="G1262" s="14" t="n">
        <x:v>30</x:v>
      </x:c>
      <x:c r="H1262" s="14" t="n">
        <x:v>1</x:v>
      </x:c>
      <x:c r="I1262" s="14" t="n">
        <x:v>0</x:v>
      </x:c>
      <x:c r="J1262" s="18" t="n">
        <x:v>69037.5</x:v>
      </x:c>
      <x:c r="K1262" s="19" t="n">
        <x:v>45967.411446875</x:v>
      </x:c>
      <x:c r="L1262" s="19" t="n">
        <x:v>45989</x:v>
      </x:c>
      <x:c r="M1262"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x:v>
      </x:c>
      <x:c r="N1262" s="15" t="str">
        <x:v>https://prozorro.gov.ua/tender/UA-2025-10-23-015148-a</x:v>
      </x:c>
    </x:row>
    <x:row r="1263">
      <x:c r="A1263" s="14" t="n">
        <x:v>1259</x:v>
      </x:c>
      <x:c r="B1263" s="14" t="str">
        <x:v>ТОВ "ФУТУРА ГЕЙТ"</x:v>
      </x:c>
      <x:c r="C1263" s="14" t="str">
        <x:v>44752752</x:v>
      </x:c>
      <x:c r="D1263" s="14" t="str">
        <x:v>Промислові ворота / докове обладнання</x:v>
      </x:c>
      <x:c r="E1263" s="14" t="str">
        <x:v>Expansion discovery</x:v>
      </x:c>
      <x:c r="F1263" s="14" t="str">
        <x:v>I3</x:v>
      </x:c>
      <x:c r="G1263" s="14" t="n">
        <x:v>30</x:v>
      </x:c>
      <x:c r="H1263" s="14" t="n">
        <x:v>1</x:v>
      </x:c>
      <x:c r="I1263" s="14" t="n">
        <x:v>0</x:v>
      </x:c>
      <x:c r="J1263" s="18" t="n">
        <x:v>24000</x:v>
      </x:c>
      <x:c r="K1263" s="19" t="n">
        <x:v>46000.49274008102</x:v>
      </x:c>
      <x:c r="L1263" s="19" t="n">
        <x:v>46022.916666655095</x:v>
      </x:c>
      <x:c r="M1263" s="15" t="str">
        <x:v>Послуги з встановлення промислових секційних воріт за кодом ДК 021:2015 45340000-2 "Зведення огорож, монтаж поручнів і захисних засобів"</x:v>
      </x:c>
      <x:c r="N1263" s="15" t="str">
        <x:v>https://prozorro.gov.ua/tender/UA-2025-12-09-011789-a</x:v>
      </x:c>
    </x:row>
    <x:row r="1264">
      <x:c r="A1264" s="14" t="n">
        <x:v>1260</x:v>
      </x:c>
      <x:c r="B1264" s="14" t="str">
        <x:v>ТОВ «АНТИХОЛОД ПЛЮС»</x:v>
      </x:c>
      <x:c r="C1264" s="14" t="str">
        <x:v>43859963</x:v>
      </x:c>
      <x:c r="D1264" s="14" t="str">
        <x:v>HVAC / ОВіК</x:v>
      </x:c>
      <x:c r="E1264" s="14" t="str">
        <x:v>Pilot now</x:v>
      </x:c>
      <x:c r="F1264" s="14" t="str">
        <x:v>I3</x:v>
      </x:c>
      <x:c r="G1264" s="14" t="n">
        <x:v>30</x:v>
      </x:c>
      <x:c r="H1264" s="14" t="n">
        <x:v>1</x:v>
      </x:c>
      <x:c r="I1264" s="14" t="n">
        <x:v>0</x:v>
      </x:c>
      <x:c r="J1264" s="18" t="n">
        <x:v>12840.41</x:v>
      </x:c>
      <x:c r="K1264" s="19" t="n">
        <x:v>46017.42333920139</x:v>
      </x:c>
      <x:c r="L1264" s="19" t="n">
        <x:v>46022.42523148148</x:v>
      </x:c>
      <x:c r="M1264" s="15" t="str">
        <x:v>ДК 021:2015: 50730000-1 – Послуги з ремонту і технічного обслуговування охолоджувальних установок (Монтаж системи вентиляції)</x:v>
      </x:c>
      <x:c r="N1264" s="15" t="str">
        <x:v>https://prozorro.gov.ua/tender/UA-2025-12-26-005818-a</x:v>
      </x:c>
    </x:row>
    <x:row r="1265">
      <x:c r="A1265" s="14" t="n">
        <x:v>1261</x:v>
      </x:c>
      <x:c r="B1265" s="14" t="str">
        <x:v>ТОВ «Інжиніринг ПРО»</x:v>
      </x:c>
      <x:c r="C1265" s="14" t="str">
        <x:v>42798800</x:v>
      </x:c>
      <x:c r="D1265" s="14" t="str">
        <x:v>Стиснене повітря / компресорні</x:v>
      </x:c>
      <x:c r="E1265" s="14" t="str">
        <x:v>Expansion discovery</x:v>
      </x:c>
      <x:c r="F1265" s="14" t="str">
        <x:v>I3</x:v>
      </x:c>
      <x:c r="G1265" s="14" t="n">
        <x:v>30</x:v>
      </x:c>
      <x:c r="H1265" s="14" t="n">
        <x:v>1</x:v>
      </x:c>
      <x:c r="I1265" s="14" t="n">
        <x:v>0</x:v>
      </x:c>
      <x:c r="J1265" s="18" t="n">
        <x:v>118800</x:v>
      </x:c>
      <x:c r="K1265" s="19" t="n">
        <x:v>45338.48126739584</x:v>
      </x:c>
      <x:c r="L1265" s="19" t="n">
        <x:v>45426</x:v>
      </x:c>
      <x:c r="M1265" s="15" t="str">
        <x:v>Проектно-вишукувальні роботи по об’єкту: "Реконструкція системи зовнішнього електропостачання компресорної станції "Тернопіль" магістрального газопроводу "Київ–Захід України" в Тернопільському районі Тернопільської області" (коригування ПД) (Будівельні роботи та поточний ремонт)</x:v>
      </x:c>
      <x:c r="N1265" s="15" t="str">
        <x:v>https://prozorro.gov.ua/tender/UA-2024-02-16-006680-a</x:v>
      </x:c>
    </x:row>
    <x:row r="1266">
      <x:c r="A1266" s="14" t="n">
        <x:v>1262</x:v>
      </x:c>
      <x:c r="B1266" s="14" t="str">
        <x:v>ТОВ «Науково-виробничий  центр розвитку технологій»</x:v>
      </x:c>
      <x:c r="C1266" s="14" t="str">
        <x:v>43240129</x:v>
      </x:c>
      <x:c r="D1266" s="14" t="str">
        <x:v>Металоконструкції</x:v>
      </x:c>
      <x:c r="E1266" s="14" t="str">
        <x:v>Expansion discovery</x:v>
      </x:c>
      <x:c r="F1266" s="14" t="str">
        <x:v>I3</x:v>
      </x:c>
      <x:c r="G1266" s="14" t="n">
        <x:v>30</x:v>
      </x:c>
      <x:c r="H1266" s="14" t="n">
        <x:v>1</x:v>
      </x:c>
      <x:c r="I1266" s="14" t="n">
        <x:v>0</x:v>
      </x:c>
      <x:c r="J1266" s="18" t="n">
        <x:v>78738.6</x:v>
      </x:c>
      <x:c r="K1266" s="19" t="n">
        <x:v>45992.94005346065</x:v>
      </x:c>
      <x:c r="L1266" s="19" t="n">
        <x:v>46021.94159722222</x:v>
      </x:c>
      <x:c r="M1266"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x:v>
      </x:c>
      <x:c r="N1266" s="15" t="str">
        <x:v>https://prozorro.gov.ua/tender/UA-2025-12-02-000039-a</x:v>
      </x:c>
    </x:row>
    <x:row r="1267">
      <x:c r="A1267" s="14" t="n">
        <x:v>1263</x:v>
      </x:c>
      <x:c r="B1267" s="14" t="str">
        <x:v>ТОВ «СЕКУР ІНТЕГРАЦІЯ»</x:v>
      </x:c>
      <x:c r="C1267" s="14" t="str">
        <x:v>39328390</x:v>
      </x:c>
      <x:c r="D1267" s="14" t="str">
        <x:v>Безпека / СКУД / CCTV</x:v>
      </x:c>
      <x:c r="E1267" s="14" t="str">
        <x:v>Expansion discovery</x:v>
      </x:c>
      <x:c r="F1267" s="14" t="str">
        <x:v>I3</x:v>
      </x:c>
      <x:c r="G1267" s="14" t="n">
        <x:v>30</x:v>
      </x:c>
      <x:c r="H1267" s="14" t="n">
        <x:v>2</x:v>
      </x:c>
      <x:c r="I1267" s="14" t="n">
        <x:v>0</x:v>
      </x:c>
      <x:c r="J1267" s="18" t="n">
        <x:v>30612</x:v>
      </x:c>
      <x:c r="K1267" s="19" t="n">
        <x:v>46008.35794201389</x:v>
      </x:c>
      <x:c r="L1267" s="19" t="n">
        <x:v>46015</x:v>
      </x:c>
      <x:c r="M1267" s="15" t="str">
        <x:v>Послуги з монтажу та пусконалагоджування системи контролю доступу</x:v>
      </x:c>
      <x:c r="N1267" s="15" t="str">
        <x:v>https://prozorro.gov.ua/tender/UA-2025-12-17-004604-a</x:v>
      </x:c>
    </x:row>
    <x:row r="1268">
      <x:c r="A1268" s="14" t="n">
        <x:v>1264</x:v>
      </x:c>
      <x:c r="B1268" s="14" t="str">
        <x:v>ТОВ Львівнет</x:v>
      </x:c>
      <x:c r="C1268" s="14" t="str">
        <x:v>33617766</x:v>
      </x:c>
      <x:c r="D1268" s="14" t="str">
        <x:v>ВОЛЗ / телеком</x:v>
      </x:c>
      <x:c r="E1268" s="14" t="str">
        <x:v>Expansion discovery</x:v>
      </x:c>
      <x:c r="F1268" s="14" t="str">
        <x:v>I3</x:v>
      </x:c>
      <x:c r="G1268" s="14" t="n">
        <x:v>30</x:v>
      </x:c>
      <x:c r="H1268" s="14" t="n">
        <x:v>1</x:v>
      </x:c>
      <x:c r="I1268" s="14" t="n">
        <x:v>0</x:v>
      </x:c>
      <x:c r="J1268" s="18" t="n">
        <x:v>10405</x:v>
      </x:c>
      <x:c r="K1268" s="19" t="n">
        <x:v>45978.62292136574</x:v>
      </x:c>
      <x:c r="L1268" s="19" t="n">
        <x:v>45991</x:v>
      </x:c>
      <x:c r="M1268" s="15" t="str">
        <x:v>Послуги з монтажу телекомунікаційної мережі</x:v>
      </x:c>
      <x:c r="N1268" s="15" t="str">
        <x:v>https://prozorro.gov.ua/tender/UA-2025-11-17-015721-a</x:v>
      </x:c>
    </x:row>
    <x:row r="1269">
      <x:c r="A1269" s="14" t="n">
        <x:v>1265</x:v>
      </x:c>
      <x:c r="B1269" s="14" t="str">
        <x:v>ТОВАРИСТВО З ОБМЕЖЕНОЮ ВІДПОВІДАЛЬНІСТЮ "А.К.Б АБСОЛЮТ"</x:v>
      </x:c>
      <x:c r="C1269" s="14" t="str">
        <x:v>43572381</x:v>
      </x:c>
      <x:c r="D1269" s="14" t="str">
        <x:v>Резервне живлення</x:v>
      </x:c>
      <x:c r="E1269" s="14" t="str">
        <x:v>Pilot now</x:v>
      </x:c>
      <x:c r="F1269" s="14" t="str">
        <x:v>I3</x:v>
      </x:c>
      <x:c r="G1269" s="14" t="n">
        <x:v>30</x:v>
      </x:c>
      <x:c r="H1269" s="14" t="n">
        <x:v>1</x:v>
      </x:c>
      <x:c r="I1269" s="14" t="n">
        <x:v>0</x:v>
      </x:c>
      <x:c r="J1269" s="18" t="n">
        <x:v>119846.84</x:v>
      </x:c>
      <x:c r="K1269" s="19" t="n">
        <x:v>45629.36380337963</x:v>
      </x:c>
      <x:c r="L1269" s="19" t="n">
        <x:v>45657</x:v>
      </x:c>
      <x:c r="M1269" s="15" t="str">
        <x:v>Монтаж дизель-генератора за адресою: м. Хмельницький, вул. Володимирська, 85 (поточний ремонт)</x:v>
      </x:c>
      <x:c r="N1269" s="15" t="str">
        <x:v>https://prozorro.gov.ua/tender/UA-2024-12-03-004221-a</x:v>
      </x:c>
    </x:row>
    <x:row r="1270">
      <x:c r="A1270" s="14" t="n">
        <x:v>1266</x:v>
      </x:c>
      <x:c r="B1270" s="14" t="str">
        <x:v>ТОВАРИСТВО З ОБМЕЖЕНОЮ ВІДПОВІДАЛЬНІСТЮ "АВІЄВ І К"</x:v>
      </x:c>
      <x:c r="C1270" s="14" t="str">
        <x:v>41766343</x:v>
      </x:c>
      <x:c r="D1270" s="14" t="str">
        <x:v>Блискавкозахист / заземлення</x:v>
      </x:c>
      <x:c r="E1270" s="14" t="str">
        <x:v>Pilot now</x:v>
      </x:c>
      <x:c r="F1270" s="14" t="str">
        <x:v>I3</x:v>
      </x:c>
      <x:c r="G1270" s="14" t="n">
        <x:v>30</x:v>
      </x:c>
      <x:c r="H1270" s="14" t="n">
        <x:v>1</x:v>
      </x:c>
      <x:c r="I1270" s="14" t="n">
        <x:v>0</x:v>
      </x:c>
      <x:c r="J1270" s="18" t="n">
        <x:v>17600</x:v>
      </x:c>
      <x:c r="K1270" s="19" t="n">
        <x:v>45895.45265559028</x:v>
      </x:c>
      <x:c r="L1270" s="19" t="n">
        <x:v>46022</x:v>
      </x:c>
      <x:c r="M1270" s="15" t="str">
        <x:v>Про надання послуз з інженерного проектування - проект на монтаж пристроїв блискавкозахисту</x:v>
      </x:c>
      <x:c r="N1270" s="15" t="str">
        <x:v>https://prozorro.gov.ua/tender/UA-2025-08-26-006961-a</x:v>
      </x:c>
    </x:row>
    <x:row r="1271">
      <x:c r="A1271" s="14" t="n">
        <x:v>1267</x:v>
      </x:c>
      <x:c r="B1271" s="14" t="str">
        <x:v>ТОВАРИСТВО З ОБМЕЖЕНОЮ ВІДПОВІДАЛЬНІСТЮ "АГЕНТСТВО"Е-КОНСАЛТ"</x:v>
      </x:c>
      <x:c r="C1271" s="14" t="str">
        <x:v>40935669</x:v>
      </x:c>
      <x:c r="D1271" s="14" t="str">
        <x:v>Антикорозійний захист</x:v>
      </x:c>
      <x:c r="E1271" s="14" t="str">
        <x:v>Expansion discovery</x:v>
      </x:c>
      <x:c r="F1271" s="14" t="str">
        <x:v>I3</x:v>
      </x:c>
      <x:c r="G1271" s="14" t="n">
        <x:v>30</x:v>
      </x:c>
      <x:c r="H1271" s="14" t="n">
        <x:v>1</x:v>
      </x:c>
      <x:c r="I1271" s="14" t="n">
        <x:v>0</x:v>
      </x:c>
      <x:c r="J1271" s="18" t="n">
        <x:v>7000</x:v>
      </x:c>
      <x:c r="K1271" s="19" t="n">
        <x:v>45917.28038744213</x:v>
      </x:c>
      <x:c r="L1271" s="19" t="n">
        <x:v>46022</x:v>
      </x:c>
      <x:c r="M1271" s="15" t="str">
        <x:v> Послуги сторонніх фахівців з питань організації та проведення процедури закупівлі: відкриті торги що здійснюються Замовником згідно положень Закону України Про публічні закупівлі" №922-VIII від 25.12.2015  р. із змінами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2022р. №1178 (далі- Особливості), з використанням електронної системи закупівель "Prozorro", та згідно предмету закупівлі: 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код ДК 021:2015-45450000-6 (Інші завершальні будівельні роботи) згідно з кодом ДК 021:2015 "Єдиний закупівельний словник" - 79110000-8 Послуги з юридичного консультування та юридичного представництва</x:v>
      </x:c>
      <x:c r="N1271" s="15" t="str">
        <x:v>https://prozorro.gov.ua/tender/UA-2025-09-17-001305-a</x:v>
      </x:c>
    </x:row>
    <x:row r="1272">
      <x:c r="A1272" s="14" t="n">
        <x:v>1268</x:v>
      </x:c>
      <x:c r="B1272" s="14" t="str">
        <x:v>ТОВАРИСТВО З ОБМЕЖЕНОЮ ВІДПОВІДАЛЬНІСТЮ "АЛЮМІКС"</x:v>
      </x:c>
      <x:c r="C1272" s="14" t="str">
        <x:v>40149195</x:v>
      </x:c>
      <x:c r="D1272" s="14" t="str">
        <x:v>Промислові ворота / докове обладнання</x:v>
      </x:c>
      <x:c r="E1272" s="14" t="str">
        <x:v>Expansion discovery</x:v>
      </x:c>
      <x:c r="F1272" s="14" t="str">
        <x:v>I3</x:v>
      </x:c>
      <x:c r="G1272" s="14" t="n">
        <x:v>30</x:v>
      </x:c>
      <x:c r="H1272" s="14" t="n">
        <x:v>1</x:v>
      </x:c>
      <x:c r="I1272" s="14" t="n">
        <x:v>0</x:v>
      </x:c>
      <x:c r="J1272" s="18" t="n">
        <x:v>79999.92</x:v>
      </x:c>
      <x:c r="K1272" s="19" t="n">
        <x:v>45974.55096898148</x:v>
      </x:c>
      <x:c r="L1272" s="19" t="n">
        <x:v>46001</x:v>
      </x:c>
      <x:c r="M1272" s="15" t="str">
        <x:v>Встановлення конструкцій та їх частин (Монтаж промислових воріт секційних в кількості 4-х штук в будівлі підрозділу 34 ДПРЧ 2 ДПРЗ ГУ ДСНС України у Київській області</x:v>
      </x:c>
      <x:c r="N1272" s="15" t="str">
        <x:v>https://prozorro.gov.ua/tender/UA-2025-11-13-012035-a</x:v>
      </x:c>
    </x:row>
    <x:row r="1273">
      <x:c r="A1273" s="14" t="n">
        <x:v>1269</x:v>
      </x:c>
      <x:c r="B1273" s="14" t="str">
        <x:v>ТОВАРИСТВО З ОБМЕЖЕНОЮ ВІДПОВІДАЛЬНІСТЮ "АСК-ПРОФІ"</x:v>
      </x:c>
      <x:c r="C1273" s="14" t="str">
        <x:v>35378249</x:v>
      </x:c>
      <x:c r="D1273" s="14" t="str">
        <x:v>Пожежогасіння</x:v>
      </x:c>
      <x:c r="E1273" s="14" t="str">
        <x:v>Expansion discovery</x:v>
      </x:c>
      <x:c r="F1273" s="14" t="str">
        <x:v>I3</x:v>
      </x:c>
      <x:c r="G1273" s="14" t="n">
        <x:v>30</x:v>
      </x:c>
      <x:c r="H1273" s="14" t="n">
        <x:v>1</x:v>
      </x:c>
      <x:c r="I1273" s="14" t="n">
        <x:v>0</x:v>
      </x:c>
      <x:c r="J1273" s="18" t="n">
        <x:v>337828.24</x:v>
      </x:c>
      <x:c r="K1273" s="19" t="n">
        <x:v>45495.47177483796</x:v>
      </x:c>
      <x:c r="L1273" s="19" t="n">
        <x:v>45565</x:v>
      </x:c>
      <x:c r="M1273"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x:v>
      </x:c>
      <x:c r="N1273" s="15" t="str">
        <x:v>https://prozorro.gov.ua/tender/UA-2024-07-04-009997-a</x:v>
      </x:c>
    </x:row>
    <x:row r="1274">
      <x:c r="A1274" s="14" t="n">
        <x:v>1270</x:v>
      </x:c>
      <x:c r="B1274" s="14" t="str">
        <x:v>ТОВАРИСТВО З ОБМЕЖЕНОЮ ВІДПОВІДАЛЬНІСТЮ "БЕТОН ПРАЙМ"</x:v>
      </x:c>
      <x:c r="C1274" s="14" t="str">
        <x:v>41436376</x:v>
      </x:c>
      <x:c r="D1274" s="14" t="str">
        <x:v>Покрівлі та гідроізоляція</x:v>
      </x:c>
      <x:c r="E1274" s="14" t="str">
        <x:v>Expansion discovery</x:v>
      </x:c>
      <x:c r="F1274" s="14" t="str">
        <x:v>I3</x:v>
      </x:c>
      <x:c r="G1274" s="14" t="n">
        <x:v>30</x:v>
      </x:c>
      <x:c r="H1274" s="14" t="n">
        <x:v>1</x:v>
      </x:c>
      <x:c r="I1274" s="14" t="n">
        <x:v>0</x:v>
      </x:c>
      <x:c r="J1274" s="18" t="n">
        <x:v>199000</x:v>
      </x:c>
      <x:c r="K1274" s="19" t="n">
        <x:v>45386.26774908565</x:v>
      </x:c>
      <x:c r="L1274" s="19" t="n">
        <x:v>45657</x:v>
      </x:c>
      <x:c r="M1274" s="15" t="str">
        <x:v>Поточний ремонт покриття після проведення гідроізоляційних робіт на площі Ринок, в м. Івано-Франківську</x:v>
      </x:c>
      <x:c r="N1274" s="15" t="str">
        <x:v>https://prozorro.gov.ua/tender/UA-2024-04-04-000818-a</x:v>
      </x:c>
    </x:row>
    <x:row r="1275">
      <x:c r="A1275" s="14" t="n">
        <x:v>1271</x:v>
      </x:c>
      <x:c r="B1275" s="14" t="str">
        <x:v>ТОВАРИСТВО З ОБМЕЖЕНОЮ ВІДПОВІДАЛЬНІСТЮ "Будстандарт Хмельницький"</x:v>
      </x:c>
      <x:c r="C1275" s="14" t="str">
        <x:v>40118392</x:v>
      </x:c>
      <x:c r="D1275" s="14" t="str">
        <x:v>Металоконструкції</x:v>
      </x:c>
      <x:c r="E1275" s="14" t="str">
        <x:v>Expansion discovery</x:v>
      </x:c>
      <x:c r="F1275" s="14" t="str">
        <x:v>I3</x:v>
      </x:c>
      <x:c r="G1275" s="14" t="n">
        <x:v>30</x:v>
      </x:c>
      <x:c r="H1275" s="14" t="n">
        <x:v>1</x:v>
      </x:c>
      <x:c r="I1275" s="14" t="n">
        <x:v>0</x:v>
      </x:c>
      <x:c r="J1275" s="18" t="n">
        <x:v>3432</x:v>
      </x:c>
      <x:c r="K1275" s="19" t="n">
        <x:v>45805.46671395833</x:v>
      </x:c>
      <x:c r="L1275" s="19" t="n">
        <x:v>46022.916666655095</x:v>
      </x:c>
      <x:c r="M1275" s="15" t="str">
        <x:v>«Інженерні та будівельні роботи» (монтаж комплекта металоконструкції «Накривка на генератор аварійного резервного живлення»)</x:v>
      </x:c>
      <x:c r="N1275" s="15" t="str">
        <x:v>https://prozorro.gov.ua/tender/UA-2025-05-28-007579-a</x:v>
      </x:c>
    </x:row>
    <x:row r="1276">
      <x:c r="A1276" s="14" t="n">
        <x:v>1272</x:v>
      </x:c>
      <x:c r="B1276" s="14" t="str">
        <x:v>ТОВАРИСТВО З ОБМЕЖЕНОЮ ВІДПОВІДАЛЬНІСТЮ "ЕНЕРГІЯ-ПРОМ"</x:v>
      </x:c>
      <x:c r="C1276" s="14" t="str">
        <x:v>39234732</x:v>
      </x:c>
      <x:c r="D1276" s="14" t="str">
        <x:v>HVAC / ОВіК</x:v>
      </x:c>
      <x:c r="E1276" s="14" t="str">
        <x:v>Pilot now</x:v>
      </x:c>
      <x:c r="F1276" s="14" t="str">
        <x:v>I3</x:v>
      </x:c>
      <x:c r="G1276" s="14" t="n">
        <x:v>30</x:v>
      </x:c>
      <x:c r="H1276" s="14" t="n">
        <x:v>1</x:v>
      </x:c>
      <x:c r="I1276" s="14" t="n">
        <x:v>0</x:v>
      </x:c>
      <x:c r="J1276" s="18" t="n">
        <x:v>41320</x:v>
      </x:c>
      <x:c r="K1276" s="19" t="n">
        <x:v>45828.33013231481</x:v>
      </x:c>
      <x:c r="L1276" s="19" t="n">
        <x:v>46022</x:v>
      </x:c>
      <x:c r="M1276" s="15" t="str">
        <x:v>ДК 021:2015 – 45330000-9 Водопровідні та санітарно-технічні роботи (Послуга  з монтажу та демонтажу блоків кондиціонерів системи кондиціювання та вентиляції)</x:v>
      </x:c>
      <x:c r="N1276" s="15" t="str">
        <x:v>https://prozorro.gov.ua/tender/UA-2025-06-20-002936-a</x:v>
      </x:c>
    </x:row>
    <x:row r="1277">
      <x:c r="A1277" s="14" t="n">
        <x:v>1273</x:v>
      </x:c>
      <x:c r="B1277" s="14" t="str">
        <x:v>ТОВАРИСТВО З ОБМЕЖЕНОЮ ВІДПОВІДАЛЬНІСТЮ "ІНЖЕНЕРНО-ЕНЕРГЕТИЧНА КОМПАНІЯ"</x:v>
      </x:c>
      <x:c r="C1277" s="14" t="str">
        <x:v>40572441</x:v>
      </x:c>
      <x:c r="D1277" s="14" t="str">
        <x:v>Теплові пункти</x:v>
      </x:c>
      <x:c r="E1277" s="14" t="str">
        <x:v>Expansion discovery</x:v>
      </x:c>
      <x:c r="F1277" s="14" t="str">
        <x:v>I3</x:v>
      </x:c>
      <x:c r="G1277" s="14" t="n">
        <x:v>30</x:v>
      </x:c>
      <x:c r="H1277" s="14" t="n">
        <x:v>1</x:v>
      </x:c>
      <x:c r="I1277" s="14" t="n">
        <x:v>0</x:v>
      </x:c>
      <x:c r="J1277" s="18" t="n">
        <x:v>396700.92</x:v>
      </x:c>
      <x:c r="K1277" s="19" t="n">
        <x:v>45581.639076597225</x:v>
      </x:c>
      <x:c r="L1277" s="19" t="n">
        <x:v>45646</x:v>
      </x:c>
      <x:c r="M1277" s="15" t="str">
        <x:v>Реконструкція теплових пунктів та встановлення нових індивідуальних теплопунктів в житловому будинку ОСББ «ЖК Воскресенський» вул. Петра Запорожця, 26-А (код ДК 021:2015: 45454000-4-Реконструкція )
</x:v>
      </x:c>
      <x:c r="N1277" s="15" t="str">
        <x:v>https://prozorro.gov.ua/tender/UA-2024-10-16-014925-a</x:v>
      </x:c>
    </x:row>
    <x:row r="1278">
      <x:c r="A1278" s="14" t="n">
        <x:v>1274</x:v>
      </x:c>
      <x:c r="B1278" s="14" t="str">
        <x:v>ТОВАРИСТВО З ОБМЕЖЕНОЮ ВІДПОВІДАЛЬНІСТЮ "КЛІМАТ БУД"</x:v>
      </x:c>
      <x:c r="C1278" s="14" t="str">
        <x:v>40291537</x:v>
      </x:c>
      <x:c r="D1278" s="14" t="str">
        <x:v>HVAC / ОВіК</x:v>
      </x:c>
      <x:c r="E1278" s="14" t="str">
        <x:v>Pilot now</x:v>
      </x:c>
      <x:c r="F1278" s="14" t="str">
        <x:v>I3</x:v>
      </x:c>
      <x:c r="G1278" s="14" t="n">
        <x:v>30</x:v>
      </x:c>
      <x:c r="H1278" s="14" t="n">
        <x:v>1</x:v>
      </x:c>
      <x:c r="I1278" s="14" t="n">
        <x:v>0</x:v>
      </x:c>
      <x:c r="J1278" s="18" t="n">
        <x:v>19260</x:v>
      </x:c>
      <x:c r="K1278" s="19" t="n">
        <x:v>45869.71577415509</x:v>
      </x:c>
      <x:c r="L1278" s="19" t="n">
        <x:v>46022</x:v>
      </x:c>
      <x:c r="M1278" s="15" t="str">
        <x:v>Технiчне обслуговування, ремонт, демонтаж.,та монтаж систем кондицiювання та вентиляції</x:v>
      </x:c>
      <x:c r="N1278" s="15" t="str">
        <x:v>https://prozorro.gov.ua/tender/UA-2025-07-31-009344-a</x:v>
      </x:c>
    </x:row>
    <x:row r="1279">
      <x:c r="A1279" s="14" t="n">
        <x:v>1275</x:v>
      </x:c>
      <x:c r="B1279" s="14" t="str">
        <x:v>ТОВАРИСТВО З ОБМЕЖЕНОЮ ВІДПОВІДАЛЬНІСТЮ "КЛІМАТ ЕЛЕМЕНТ"</x:v>
      </x:c>
      <x:c r="C1279" s="14" t="str">
        <x:v>42631770</x:v>
      </x:c>
      <x:c r="D1279" s="14" t="str">
        <x:v>HVAC / ОВіК</x:v>
      </x:c>
      <x:c r="E1279" s="14" t="str">
        <x:v>Pilot now</x:v>
      </x:c>
      <x:c r="F1279" s="14" t="str">
        <x:v>I3</x:v>
      </x:c>
      <x:c r="G1279" s="14" t="n">
        <x:v>30</x:v>
      </x:c>
      <x:c r="H1279" s="14" t="n">
        <x:v>1</x:v>
      </x:c>
      <x:c r="I1279" s="14" t="n">
        <x:v>0</x:v>
      </x:c>
      <x:c r="J1279" s="18" t="n">
        <x:v>25863.12</x:v>
      </x:c>
      <x:c r="K1279" s="19" t="n">
        <x:v>45897.515887395835</x:v>
      </x:c>
      <x:c r="L1279" s="19" t="n">
        <x:v>46022</x:v>
      </x:c>
      <x:c r="M1279" s="15" t="str">
        <x:v>Водопровідні та санітарно-технічні роботи (монтаж системи вентиляції )
</x:v>
      </x:c>
      <x:c r="N1279" s="15" t="str">
        <x:v>https://prozorro.gov.ua/tender/UA-2025-08-28-008226-a</x:v>
      </x:c>
    </x:row>
    <x:row r="1280">
      <x:c r="A1280" s="14" t="n">
        <x:v>1276</x:v>
      </x:c>
      <x:c r="B1280" s="14" t="str">
        <x:v>ТОВАРИСТВО З ОБМЕЖЕНОЮ ВІДПОВІДАЛЬНІСТЮ "МЕРЕЖА-БУД"</x:v>
      </x:c>
      <x:c r="C1280" s="14" t="str">
        <x:v>37949404</x:v>
      </x:c>
      <x:c r="D1280" s="14" t="str">
        <x:v>Металоконструкції</x:v>
      </x:c>
      <x:c r="E1280" s="14" t="str">
        <x:v>Expansion discovery</x:v>
      </x:c>
      <x:c r="F1280" s="14" t="str">
        <x:v>I3</x:v>
      </x:c>
      <x:c r="G1280" s="14" t="n">
        <x:v>30</x:v>
      </x:c>
      <x:c r="H1280" s="14" t="n">
        <x:v>1</x:v>
      </x:c>
      <x:c r="I1280" s="14" t="n">
        <x:v>0</x:v>
      </x:c>
      <x:c r="J1280" s="18" t="n">
        <x:v>143808.8</x:v>
      </x:c>
      <x:c r="K1280" s="19" t="n">
        <x:v>45638.26799153935</x:v>
      </x:c>
      <x:c r="L1280" s="19" t="n">
        <x:v>45657</x:v>
      </x:c>
      <x:c r="M1280" s="15" t="str">
        <x:v>ДК 021:2015 44210000-5 Конструкції та їх частини (виготовлення та монтаж металоконструкцій навісу під пандусом для укриття)</x:v>
      </x:c>
      <x:c r="N1280" s="15" t="str">
        <x:v>https://prozorro.gov.ua/tender/UA-2024-12-11-018474-a</x:v>
      </x:c>
    </x:row>
    <x:row r="1281">
      <x:c r="A1281" s="14" t="n">
        <x:v>1277</x:v>
      </x:c>
      <x:c r="B1281" s="14" t="str">
        <x:v>ТОВАРИСТВО З ОБМЕЖЕНОЮ ВІДПОВІДАЛЬНІСТЮ "НАУКОВО-ВИРОБНИЧЕ ПІДПРИЄМСТВО "СИСТЕМИ ЗАХИСТУ"</x:v>
      </x:c>
      <x:c r="C1281" s="14" t="str">
        <x:v>42945066</x:v>
      </x:c>
      <x:c r="D1281" s="14" t="str">
        <x:v>Пасивний вогнезахист</x:v>
      </x:c>
      <x:c r="E1281" s="14" t="str">
        <x:v>Expansion discovery</x:v>
      </x:c>
      <x:c r="F1281" s="14" t="str">
        <x:v>I3</x:v>
      </x:c>
      <x:c r="G1281" s="14" t="n">
        <x:v>30</x:v>
      </x:c>
      <x:c r="H1281" s="14" t="n">
        <x:v>1</x:v>
      </x:c>
      <x:c r="I1281" s="14" t="n">
        <x:v>0</x:v>
      </x:c>
      <x:c r="J1281" s="18" t="n">
        <x:v>224669</x:v>
      </x:c>
      <x:c r="K1281" s="19" t="n">
        <x:v>45637.62155076389</x:v>
      </x:c>
      <x:c r="L1281" s="19" t="n">
        <x:v>45651</x:v>
      </x:c>
      <x:c r="M1281"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x:v>
      </x:c>
      <x:c r="N1281" s="15" t="str">
        <x:v>https://prozorro.gov.ua/tender/UA-2024-12-11-019431-a</x:v>
      </x:c>
    </x:row>
    <x:row r="1282">
      <x:c r="A1282" s="14" t="n">
        <x:v>1278</x:v>
      </x:c>
      <x:c r="B1282" s="14" t="str">
        <x:v>ТОВАРИСТВО З ОБМЕЖЕНОЮ ВІДПОВІДАЛЬНІСТЮ "НОВА ДЗЕТА"</x:v>
      </x:c>
      <x:c r="C1282" s="14" t="str">
        <x:v>38168898</x:v>
      </x:c>
      <x:c r="D1282" s="14" t="str">
        <x:v>Промислові котельні</x:v>
      </x:c>
      <x:c r="E1282" s="14" t="str">
        <x:v>Expansion discovery</x:v>
      </x:c>
      <x:c r="F1282" s="14" t="str">
        <x:v>I3</x:v>
      </x:c>
      <x:c r="G1282" s="14" t="n">
        <x:v>30</x:v>
      </x:c>
      <x:c r="H1282" s="14" t="n">
        <x:v>1</x:v>
      </x:c>
      <x:c r="I1282" s="14" t="n">
        <x:v>0</x:v>
      </x:c>
      <x:c r="J1282" s="18" t="n">
        <x:v>167638.79</x:v>
      </x:c>
      <x:c r="K1282" s="19" t="n">
        <x:v>45341.29010291667</x:v>
      </x:c>
      <x:c r="L1282" s="19" t="n">
        <x:v>45657</x:v>
      </x:c>
      <x:c r="M1282" s="15" t="str">
        <x:v>Технічне обслуговування машин і устаткування промислового призначення обєкту «Реконструкція теплового пункту під котельню по просп.. Університетському буд.2/5 в м. Кропивницькому (пусконалагоджувальні роботи)»</x:v>
      </x:c>
      <x:c r="N1282" s="15" t="str">
        <x:v>https://prozorro.gov.ua/tender/UA-2024-02-19-000427-a</x:v>
      </x:c>
    </x:row>
    <x:row r="1283">
      <x:c r="A1283" s="14" t="n">
        <x:v>1279</x:v>
      </x:c>
      <x:c r="B1283" s="14" t="str">
        <x:v>ТОВАРИСТВО З ОБМЕЖЕНОЮ ВІДПОВІДАЛЬНІСТЮ "НОВАЛЕД"</x:v>
      </x:c>
      <x:c r="C1283" s="14" t="str">
        <x:v>39923093</x:v>
      </x:c>
      <x:c r="D1283" s="14" t="str">
        <x:v>Резервне живлення</x:v>
      </x:c>
      <x:c r="E1283" s="14" t="str">
        <x:v>Pilot now</x:v>
      </x:c>
      <x:c r="F1283" s="14" t="str">
        <x:v>I3</x:v>
      </x:c>
      <x:c r="G1283" s="14" t="n">
        <x:v>30</x:v>
      </x:c>
      <x:c r="H1283" s="14" t="n">
        <x:v>1</x:v>
      </x:c>
      <x:c r="I1283" s="14" t="n">
        <x:v>0</x:v>
      </x:c>
      <x:c r="J1283" s="18" t="n">
        <x:v>6758.34</x:v>
      </x:c>
      <x:c r="K1283" s="19" t="n">
        <x:v>45988.32616314815</x:v>
      </x:c>
      <x:c r="L1283" s="19" t="n">
        <x:v>46022</x:v>
      </x:c>
      <x:c r="M1283" s="15" t="str">
        <x:v>Комплекетуючі для монтажу аварійної системи живленнята облаштування щитової для дизель-генератора </x:v>
      </x:c>
      <x:c r="N1283" s="15" t="str">
        <x:v>https://prozorro.gov.ua/tender/UA-2025-11-27-001895-a</x:v>
      </x:c>
    </x:row>
    <x:row r="1284">
      <x:c r="A1284" s="14" t="n">
        <x:v>1280</x:v>
      </x:c>
      <x:c r="B1284" s="14" t="str">
        <x:v>ТОВАРИСТВО З ОБМЕЖЕНОЮ ВІДПОВІДАЛЬНІСТЮ "ПОЛТАВАІНФОКОМ"</x:v>
      </x:c>
      <x:c r="C1284" s="14" t="str">
        <x:v>23550507</x:v>
      </x:c>
      <x:c r="D1284" s="14" t="str">
        <x:v>ВОЛЗ / телеком</x:v>
      </x:c>
      <x:c r="E1284" s="14" t="str">
        <x:v>Expansion discovery</x:v>
      </x:c>
      <x:c r="F1284" s="14" t="str">
        <x:v>I3</x:v>
      </x:c>
      <x:c r="G1284" s="14" t="n">
        <x:v>30</x:v>
      </x:c>
      <x:c r="H1284" s="14" t="n">
        <x:v>1</x:v>
      </x:c>
      <x:c r="I1284" s="14" t="n">
        <x:v>0</x:v>
      </x:c>
      <x:c r="J1284" s="18" t="n">
        <x:v>240000</x:v>
      </x:c>
      <x:c r="K1284" s="19" t="n">
        <x:v>45581.27308258102</x:v>
      </x:c>
      <x:c r="L1284" s="19" t="n">
        <x:v>45646</x:v>
      </x:c>
      <x:c r="M1284" s="15" t="str">
        <x:v>Проведення робіт з будівництва волоконно-оптичної лінії зв’язку.
ДК 021-2015: 45232300-5 Прокладання ліній телефонного та інших видів зв’язку і допоміжні роботи (будівництво волоконно-оптичної лінії зв’язку на ділянці від  м.Полтава, вул.Соборності, 33, кабельний колодязь №1002 АТ ‘’Укртелеком’’ до м.Полтава, вул.Пушкарівська, 9/26 будівля №6/7 військова частина А4717) 
</x:v>
      </x:c>
      <x:c r="N1284" s="15" t="str">
        <x:v>https://prozorro.gov.ua/tender/UA-2024-09-30-007777-a</x:v>
      </x:c>
    </x:row>
    <x:row r="1285">
      <x:c r="A1285" s="14" t="n">
        <x:v>1281</x:v>
      </x:c>
      <x:c r="B1285" s="14" t="str">
        <x:v>ТОВАРИСТВО З ОБМЕЖЕНОЮ ВІДПОВІДАЛЬНІСТЮ "СТТ-АЛЬФА"</x:v>
      </x:c>
      <x:c r="C1285" s="14" t="str">
        <x:v>37013937</x:v>
      </x:c>
      <x:c r="D1285" s="14" t="str">
        <x:v>ВОЛЗ / телеком</x:v>
      </x:c>
      <x:c r="E1285" s="14" t="str">
        <x:v>Expansion discovery</x:v>
      </x:c>
      <x:c r="F1285" s="14" t="str">
        <x:v>I3</x:v>
      </x:c>
      <x:c r="G1285" s="14" t="n">
        <x:v>30</x:v>
      </x:c>
      <x:c r="H1285" s="14" t="n">
        <x:v>2</x:v>
      </x:c>
      <x:c r="I1285" s="14" t="n">
        <x:v>0</x:v>
      </x:c>
      <x:c r="J1285" s="18" t="n">
        <x:v>320000</x:v>
      </x:c>
      <x:c r="K1285" s="19" t="n">
        <x:v>45786.54898666667</x:v>
      </x:c>
      <x:c r="L1285" s="19" t="n">
        <x:v>45839</x:v>
      </x:c>
      <x:c r="M1285" s="15" t="str">
        <x:v>45230000-8 Будівництво трубопроводів, ліній зв’язку та електропередач, шосе, доріг, аеродромів і залізничних доріг; вирівнювання поверхонь (Послуги з прокладання волоконно-оптичних ліній зв'язку)</x:v>
      </x:c>
      <x:c r="N1285" s="15" t="str">
        <x:v>https://prozorro.gov.ua/tender/UA-2025-05-09-011925-a</x:v>
      </x:c>
    </x:row>
    <x:row r="1286">
      <x:c r="A1286" s="14" t="n">
        <x:v>1282</x:v>
      </x:c>
      <x:c r="B1286" s="14" t="str">
        <x:v>ТОВАРИСТВО З ОБМЕЖЕНОЮ ВІДПОВІДАЛЬНІСТЮ "СУЧАСНІ РОЗУМНІ СИСТЕМИ"</x:v>
      </x:c>
      <x:c r="C1286" s="14" t="str">
        <x:v>42323497</x:v>
      </x:c>
      <x:c r="D1286" s="14" t="str">
        <x:v>Резервне живлення</x:v>
      </x:c>
      <x:c r="E1286" s="14" t="str">
        <x:v>Pilot now</x:v>
      </x:c>
      <x:c r="F1286" s="14" t="str">
        <x:v>I3</x:v>
      </x:c>
      <x:c r="G1286" s="14" t="n">
        <x:v>30</x:v>
      </x:c>
      <x:c r="H1286" s="14" t="n">
        <x:v>1</x:v>
      </x:c>
      <x:c r="I1286" s="14" t="n">
        <x:v>0</x:v>
      </x:c>
      <x:c r="J1286" s="18" t="n">
        <x:v>6110</x:v>
      </x:c>
      <x:c r="K1286" s="19" t="n">
        <x:v>45985.35611418982</x:v>
      </x:c>
      <x:c r="L1286" s="19" t="n">
        <x:v>46022</x:v>
      </x:c>
      <x:c r="M1286" s="15" t="str">
        <x:v>монтажу джерела безперебійного живлення та прокладання кабелю на очисних спорудах </x:v>
      </x:c>
      <x:c r="N1286" s="15" t="str">
        <x:v>https://prozorro.gov.ua/tender/UA-2025-10-22-009071-a</x:v>
      </x:c>
    </x:row>
    <x:row r="1287">
      <x:c r="A1287" s="14" t="n">
        <x:v>1283</x:v>
      </x:c>
      <x:c r="B1287" s="14" t="str">
        <x:v>ТОВАРИСТВО З ОБМЕЖЕНОЮ ВІДПОВІДАЛЬНІСТЮ "ТОРГОВИЙ ДІМ "ГРАНТЕКС"</x:v>
      </x:c>
      <x:c r="C1287" s="14" t="str">
        <x:v>41568106</x:v>
      </x:c>
      <x:c r="D1287" s="14" t="str">
        <x:v>Резервне живлення</x:v>
      </x:c>
      <x:c r="E1287" s="14" t="str">
        <x:v>Pilot now</x:v>
      </x:c>
      <x:c r="F1287" s="14" t="str">
        <x:v>I3</x:v>
      </x:c>
      <x:c r="G1287" s="14" t="n">
        <x:v>30</x:v>
      </x:c>
      <x:c r="H1287" s="14" t="n">
        <x:v>1</x:v>
      </x:c>
      <x:c r="I1287" s="14" t="n">
        <x:v>0</x:v>
      </x:c>
      <x:c r="J1287" s="18" t="n">
        <x:v>29316.6</x:v>
      </x:c>
      <x:c r="K1287" s="19" t="n">
        <x:v>45988.32611224537</x:v>
      </x:c>
      <x:c r="L1287" s="19" t="n">
        <x:v>46022</x:v>
      </x:c>
      <x:c r="M1287" s="15" t="str">
        <x:v>Комплекетуючі для монтажу аварійної системи живленнята облаштування щитової для дизель-генератора  ( код за ЄЗС ДК 021:2015 31230000-7 Частини електророзподільної чи контрольної апаратури)</x:v>
      </x:c>
      <x:c r="N1287" s="15" t="str">
        <x:v>https://prozorro.gov.ua/tender/UA-2025-11-27-001991-a</x:v>
      </x:c>
    </x:row>
    <x:row r="1288">
      <x:c r="A1288" s="14" t="n">
        <x:v>1284</x:v>
      </x:c>
      <x:c r="B1288" s="14" t="str">
        <x:v>ТОВАРИСТВО З ОБМЕЖЕНОЮ ВІДПОВІДАЛЬНІСТЮ "ТРАНСЕЛЕКТРО ГРУП"</x:v>
      </x:c>
      <x:c r="C1288" s="14" t="str">
        <x:v>43489304</x:v>
      </x:c>
      <x:c r="D1288" s="14" t="str">
        <x:v>Покрівлі та гідроізоляція</x:v>
      </x:c>
      <x:c r="E1288" s="14" t="str">
        <x:v>Expansion discovery</x:v>
      </x:c>
      <x:c r="F1288" s="14" t="str">
        <x:v>I3</x:v>
      </x:c>
      <x:c r="G1288" s="14" t="n">
        <x:v>30</x:v>
      </x:c>
      <x:c r="H1288" s="14" t="n">
        <x:v>1</x:v>
      </x:c>
      <x:c r="I1288" s="14" t="n">
        <x:v>0</x:v>
      </x:c>
      <x:c r="J1288" s="18" t="n">
        <x:v>5000.4</x:v>
      </x:c>
      <x:c r="K1288" s="19" t="n">
        <x:v>45932.349847453705</x:v>
      </x:c>
      <x:c r="L1288" s="19" t="n">
        <x:v>45940</x:v>
      </x:c>
      <x:c r="M1288" s="15" t="str">
        <x:v>Фарба акрилова гідроізоляційна універсальна для проведення ремонтних робіт господарським способом</x:v>
      </x:c>
      <x:c r="N1288" s="15" t="str">
        <x:v>https://prozorro.gov.ua/tender/UA-2025-10-02-003722-a</x:v>
      </x:c>
    </x:row>
    <x:row r="1289">
      <x:c r="A1289" s="14" t="n">
        <x:v>1285</x:v>
      </x:c>
      <x:c r="B1289" s="14" t="str">
        <x:v>ТОВАРИСТВО З ОБМЕЖЕНОЮ ВІДПОВІДАЛЬНІСТЮ "ТУРІЙСЬКИЙ АГРОБУД"</x:v>
      </x:c>
      <x:c r="C1289" s="14" t="str">
        <x:v>03582942</x:v>
      </x:c>
      <x:c r="D1289" s="14" t="str">
        <x:v>Насосні станції</x:v>
      </x:c>
      <x:c r="E1289" s="14" t="str">
        <x:v>Expansion discovery</x:v>
      </x:c>
      <x:c r="F1289" s="14" t="str">
        <x:v>I3</x:v>
      </x:c>
      <x:c r="G1289" s="14" t="n">
        <x:v>30</x:v>
      </x:c>
      <x:c r="H1289" s="14" t="n">
        <x:v>1</x:v>
      </x:c>
      <x:c r="I1289" s="14" t="n">
        <x:v>0</x:v>
      </x:c>
      <x:c r="J1289" s="18" t="n">
        <x:v>121708.04</x:v>
      </x:c>
      <x:c r="K1289" s="19" t="n">
        <x:v>45553.292959872684</x:v>
      </x:c>
      <x:c r="L1289" s="19" t="n">
        <x:v>45583</x:v>
      </x:c>
      <x:c r="M1289" s="15" t="str">
        <x:v>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каналізаційної насосної станції в КП "Турійська лікарня планового лікування" в сел. Турійськ, по вул.Ковельського району Волинської області)</x:v>
      </x:c>
      <x:c r="N1289" s="15" t="str">
        <x:v>https://prozorro.gov.ua/tender/UA-2024-09-18-001806-a</x:v>
      </x:c>
    </x:row>
    <x:row r="1290">
      <x:c r="A1290" s="14" t="n">
        <x:v>1286</x:v>
      </x:c>
      <x:c r="B1290" s="14" t="str">
        <x:v>ТОВАРИСТВО З ОБМЕЖЕНОЮ ВІДПОВІДАЛЬНІСТЮ "УКРТЕРРАНОВА"</x:v>
      </x:c>
      <x:c r="C1290" s="14" t="str">
        <x:v>40155193</x:v>
      </x:c>
      <x:c r="D1290" s="14" t="str">
        <x:v>Ліфти та підйомники</x:v>
      </x:c>
      <x:c r="E1290" s="14" t="str">
        <x:v>Expansion discovery</x:v>
      </x:c>
      <x:c r="F1290" s="14" t="str">
        <x:v>I3</x:v>
      </x:c>
      <x:c r="G1290" s="14" t="n">
        <x:v>30</x:v>
      </x:c>
      <x:c r="H1290" s="14" t="n">
        <x:v>1</x:v>
      </x:c>
      <x:c r="I1290" s="14" t="n">
        <x:v>0</x:v>
      </x:c>
      <x:c r="J1290" s="18" t="n">
        <x:v>12600</x:v>
      </x:c>
      <x:c r="K1290" s="19" t="n">
        <x:v>45975.59334226852</x:v>
      </x:c>
      <x:c r="L1290" s="19" t="n">
        <x:v>46022</x:v>
      </x:c>
      <x:c r="M1290" s="15" t="str">
        <x:v>45313000-4 Монтаж ліфтів та ескалаторів - Ремонт ліфтів</x:v>
      </x:c>
      <x:c r="N1290" s="15" t="str">
        <x:v>https://prozorro.gov.ua/tender/UA-2025-11-14-013996-a</x:v>
      </x:c>
    </x:row>
    <x:row r="1291">
      <x:c r="A1291" s="14" t="n">
        <x:v>1287</x:v>
      </x:c>
      <x:c r="B1291" s="14" t="str">
        <x:v>ТОВАРИСТВО З ОБМЕЖЕНОЮ ВІДПОВІДАЛЬНІСТЮ "ХМЕЛЬНИЦЬКПОЖСПЕЦСЕРВІС"</x:v>
      </x:c>
      <x:c r="C1291" s="14" t="str">
        <x:v>30788146</x:v>
      </x:c>
      <x:c r="D1291" s="14" t="str">
        <x:v>Пожежогасіння</x:v>
      </x:c>
      <x:c r="E1291" s="14" t="str">
        <x:v>Expansion discovery</x:v>
      </x:c>
      <x:c r="F1291" s="14" t="str">
        <x:v>I3</x:v>
      </x:c>
      <x:c r="G1291" s="14" t="n">
        <x:v>30</x:v>
      </x:c>
      <x:c r="H1291" s="14" t="n">
        <x:v>1</x:v>
      </x:c>
      <x:c r="I1291" s="14" t="n">
        <x:v>0</x:v>
      </x:c>
      <x:c r="J1291" s="18" t="n">
        <x:v>88030.08</x:v>
      </x:c>
      <x:c r="K1291" s="19" t="n">
        <x:v>45863.30226464121</x:v>
      </x:c>
      <x:c r="L1291" s="19" t="n">
        <x:v>46022</x:v>
      </x:c>
      <x:c r="M1291"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x:v>
      </x:c>
      <x:c r="N1291" s="15" t="str">
        <x:v>https://prozorro.gov.ua/tender/UA-2025-07-25-001842-a</x:v>
      </x:c>
    </x:row>
    <x:row r="1292">
      <x:c r="A1292" s="14" t="n">
        <x:v>1288</x:v>
      </x:c>
      <x:c r="B1292" s="14" t="str">
        <x:v>ТОВАРИСТВО З ОБМЕЖЕНОЮ ВІДПОВІДАЛЬНІСТЮ "ХХІ БУДВІК"</x:v>
      </x:c>
      <x:c r="C1292" s="14" t="str">
        <x:v>31481841</x:v>
      </x:c>
      <x:c r="D1292" s="14" t="str">
        <x:v>Промисловий холод</x:v>
      </x:c>
      <x:c r="E1292" s="14" t="str">
        <x:v>Expansion discovery</x:v>
      </x:c>
      <x:c r="F1292" s="14" t="str">
        <x:v>I3</x:v>
      </x:c>
      <x:c r="G1292" s="14" t="n">
        <x:v>30</x:v>
      </x:c>
      <x:c r="H1292" s="14" t="n">
        <x:v>1</x:v>
      </x:c>
      <x:c r="I1292" s="14" t="n">
        <x:v>0</x:v>
      </x:c>
      <x:c r="J1292" s="18" t="n">
        <x:v>78480</x:v>
      </x:c>
      <x:c r="K1292" s="19" t="n">
        <x:v>45853.30379106481</x:v>
      </x:c>
      <x:c r="L1292" s="19" t="n">
        <x:v>46022</x:v>
      </x:c>
      <x:c r="M1292" s="15" t="str">
        <x:v>Кондиціонери з монтажем та демонтажем (код ДК 021:2015: 42510000-4 - Теплообмінники, кондиціонери повітря, холодильне обладнання та фільтрувальні пристрої)</x:v>
      </x:c>
      <x:c r="N1292" s="15" t="str">
        <x:v>https://prozorro.gov.ua/tender/UA-2025-07-15-001627-a</x:v>
      </x:c>
    </x:row>
    <x:row r="1293">
      <x:c r="A1293" s="14" t="n">
        <x:v>1289</x:v>
      </x:c>
      <x:c r="B1293" s="14" t="str">
        <x:v>Товариство з обмеженою відповідальністю «Вестенергобуд»</x:v>
      </x:c>
      <x:c r="C1293" s="14" t="str">
        <x:v>43211999</x:v>
      </x:c>
      <x:c r="D1293" s="14" t="str">
        <x:v>Блискавкозахист / заземлення</x:v>
      </x:c>
      <x:c r="E1293" s="14" t="str">
        <x:v>Pilot now</x:v>
      </x:c>
      <x:c r="F1293" s="14" t="str">
        <x:v>I3</x:v>
      </x:c>
      <x:c r="G1293" s="14" t="n">
        <x:v>30</x:v>
      </x:c>
      <x:c r="H1293" s="14" t="n">
        <x:v>1</x:v>
      </x:c>
      <x:c r="I1293" s="14" t="n">
        <x:v>0</x:v>
      </x:c>
      <x:c r="J1293" s="18" t="n">
        <x:v>82423</x:v>
      </x:c>
      <x:c r="K1293" s="19" t="n">
        <x:v>46013.583950671295</x:v>
      </x:c>
      <x:c r="L1293" s="19" t="n">
        <x:v>46022.916666655095</x:v>
      </x:c>
      <x:c r="M1293" s="15" t="str">
        <x:v>Послуги з монтажу системи блискавкозахисту</x:v>
      </x:c>
      <x:c r="N1293" s="15" t="str">
        <x:v>https://prozorro.gov.ua/tender/UA-2025-12-22-018301-a</x:v>
      </x:c>
    </x:row>
    <x:row r="1294">
      <x:c r="A1294" s="14" t="n">
        <x:v>1290</x:v>
      </x:c>
      <x:c r="B1294" s="14" t="str">
        <x:v>ТОВАРИСТВО З ОБМЕЖЕНОЮ ВІДПОВІДАЛЬНІСТЮ ВИРОБНИЧЕ ПІДПРИЄМСТВО "ЕЛЕКТРОТЕХНІКА"</x:v>
      </x:c>
      <x:c r="C1294" s="14" t="str">
        <x:v>14227397</x:v>
      </x:c>
      <x:c r="D1294" s="14" t="str">
        <x:v>Електромонтаж</x:v>
      </x:c>
      <x:c r="E1294" s="14" t="str">
        <x:v>Pilot now</x:v>
      </x:c>
      <x:c r="F1294" s="14" t="str">
        <x:v>I3</x:v>
      </x:c>
      <x:c r="G1294" s="14" t="n">
        <x:v>30</x:v>
      </x:c>
      <x:c r="H1294" s="14" t="n">
        <x:v>2</x:v>
      </x:c>
      <x:c r="I1294" s="14" t="n">
        <x:v>0</x:v>
      </x:c>
      <x:c r="J1294" s="18" t="n">
        <x:v>16710</x:v>
      </x:c>
      <x:c r="K1294" s="19" t="n">
        <x:v>45922.27730739583</x:v>
      </x:c>
      <x:c r="L1294" s="19" t="n">
        <x:v>46022</x:v>
      </x:c>
      <x:c r="M1294"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x:v>
      </x:c>
      <x:c r="N1294" s="15" t="str">
        <x:v>https://prozorro.gov.ua/tender/UA-2025-09-22-000985-a</x:v>
      </x:c>
    </x:row>
    <x:row r="1295">
      <x:c r="A1295" s="14" t="n">
        <x:v>1291</x:v>
      </x:c>
      <x:c r="B1295" s="14" t="str">
        <x:v>ТОВАРИСТВО З ОБМЕЖЕНОЮ ВІДПОВІДАЛЬНІСТЮ ТОРГІВЕЛЬНИЙ ДІМ "БУДПОСТАЧ-СХІД"</x:v>
      </x:c>
      <x:c r="C1295" s="14" t="str">
        <x:v>40700103</x:v>
      </x:c>
      <x:c r="D1295" s="14" t="str">
        <x:v>Покрівлі та гідроізоляція</x:v>
      </x:c>
      <x:c r="E1295" s="14" t="str">
        <x:v>Expansion discovery</x:v>
      </x:c>
      <x:c r="F1295" s="14" t="str">
        <x:v>I3</x:v>
      </x:c>
      <x:c r="G1295" s="14" t="n">
        <x:v>30</x:v>
      </x:c>
      <x:c r="H1295" s="14" t="n">
        <x:v>1</x:v>
      </x:c>
      <x:c r="I1295" s="14" t="n">
        <x:v>0</x:v>
      </x:c>
      <x:c r="J1295" s="18" t="n">
        <x:v>217875</x:v>
      </x:c>
      <x:c r="K1295" s="19" t="n">
        <x:v>45525.34562846065</x:v>
      </x:c>
      <x:c r="L1295" s="19" t="n">
        <x:v>45536</x:v>
      </x:c>
      <x:c r="M1295"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x:v>
      </x:c>
      <x:c r="N1295" s="15" t="str">
        <x:v>https://prozorro.gov.ua/tender/UA-2024-08-07-011740-a</x:v>
      </x:c>
    </x:row>
    <x:row r="1296">
      <x:c r="A1296" s="14" t="n">
        <x:v>1292</x:v>
      </x:c>
      <x:c r="B1296" s="14" t="str">
        <x:v>ТОВКАН ВАСИЛИНА ВАСИЛІВНА</x:v>
      </x:c>
      <x:c r="C1296" s="14" t="str">
        <x:v>3354404662</x:v>
      </x:c>
      <x:c r="D1296" s="14" t="str">
        <x:v>HVAC / ОВіК</x:v>
      </x:c>
      <x:c r="E1296" s="14" t="str">
        <x:v>Pilot now</x:v>
      </x:c>
      <x:c r="F1296" s="14" t="str">
        <x:v>I3</x:v>
      </x:c>
      <x:c r="G1296" s="14" t="n">
        <x:v>30</x:v>
      </x:c>
      <x:c r="H1296" s="14" t="n">
        <x:v>1</x:v>
      </x:c>
      <x:c r="I1296" s="14" t="n">
        <x:v>0</x:v>
      </x:c>
      <x:c r="J1296" s="18" t="n">
        <x:v>41750</x:v>
      </x:c>
      <x:c r="K1296" s="19" t="n">
        <x:v>45912.31845875</x:v>
      </x:c>
      <x:c r="L1296" s="19" t="n">
        <x:v>45926</x:v>
      </x:c>
      <x:c r="M129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296" s="15" t="str">
        <x:v>https://prozorro.gov.ua/tender/UA-2025-09-12-002983-a</x:v>
      </x:c>
    </x:row>
    <x:row r="1297">
      <x:c r="A1297" s="14" t="n">
        <x:v>1293</x:v>
      </x:c>
      <x:c r="B1297" s="14" t="str">
        <x:v>ТОПЧАК ЮЛІЯ ВАСИЛІВНА</x:v>
      </x:c>
      <x:c r="C1297" s="14" t="str">
        <x:v>2941702989</x:v>
      </x:c>
      <x:c r="D1297" s="14" t="str">
        <x:v>Благоустрій</x:v>
      </x:c>
      <x:c r="E1297" s="14" t="str">
        <x:v>Expansion discovery</x:v>
      </x:c>
      <x:c r="F1297" s="14" t="str">
        <x:v>I3</x:v>
      </x:c>
      <x:c r="G1297" s="14" t="n">
        <x:v>30</x:v>
      </x:c>
      <x:c r="H1297" s="14" t="n">
        <x:v>1</x:v>
      </x:c>
      <x:c r="I1297" s="14" t="n">
        <x:v>0</x:v>
      </x:c>
      <x:c r="J1297" s="18" t="n">
        <x:v>8800</x:v>
      </x:c>
      <x:c r="K1297" s="19" t="n">
        <x:v>45971.4164716088</x:v>
      </x:c>
      <x:c r="L1297" s="19" t="n">
        <x:v>46022</x:v>
      </x:c>
      <x:c r="M1297"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x:v>
      </x:c>
      <x:c r="N1297" s="15" t="str">
        <x:v>https://prozorro.gov.ua/tender/UA-2025-11-10-005480-a</x:v>
      </x:c>
    </x:row>
    <x:row r="1298">
      <x:c r="A1298" s="14" t="n">
        <x:v>1294</x:v>
      </x:c>
      <x:c r="B1298" s="14" t="str">
        <x:v>ТРЕНЧУК ДМИТРО СЕРГІЙОВИЧ</x:v>
      </x:c>
      <x:c r="C1298" s="14" t="str">
        <x:v>3297313543</x:v>
      </x:c>
      <x:c r="D1298" s="14" t="str">
        <x:v>HVAC / ОВіК</x:v>
      </x:c>
      <x:c r="E1298" s="14" t="str">
        <x:v>Pilot now</x:v>
      </x:c>
      <x:c r="F1298" s="14" t="str">
        <x:v>I3</x:v>
      </x:c>
      <x:c r="G1298" s="14" t="n">
        <x:v>30</x:v>
      </x:c>
      <x:c r="H1298" s="14" t="n">
        <x:v>1</x:v>
      </x:c>
      <x:c r="I1298" s="14" t="n">
        <x:v>0</x:v>
      </x:c>
      <x:c r="J1298" s="18" t="n">
        <x:v>13000</x:v>
      </x:c>
      <x:c r="K1298" s="19" t="n">
        <x:v>45880.30893820602</x:v>
      </x:c>
      <x:c r="L1298" s="19" t="n">
        <x:v>46022</x:v>
      </x:c>
      <x:c r="M1298"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x:v>
      </x:c>
      <x:c r="N1298" s="15" t="str">
        <x:v>https://prozorro.gov.ua/tender/UA-2025-08-11-001768-a</x:v>
      </x:c>
    </x:row>
    <x:row r="1299">
      <x:c r="A1299" s="14" t="n">
        <x:v>1295</x:v>
      </x:c>
      <x:c r="B1299" s="14" t="str">
        <x:v>Тутік Дмитро Анатолійович</x:v>
      </x:c>
      <x:c r="C1299" s="14" t="str">
        <x:v>3462004832</x:v>
      </x:c>
      <x:c r="D1299" s="14" t="str">
        <x:v>ВОЛЗ / телеком</x:v>
      </x:c>
      <x:c r="E1299" s="14" t="str">
        <x:v>Expansion discovery</x:v>
      </x:c>
      <x:c r="F1299" s="14" t="str">
        <x:v>I3</x:v>
      </x:c>
      <x:c r="G1299" s="14" t="n">
        <x:v>30</x:v>
      </x:c>
      <x:c r="H1299" s="14" t="n">
        <x:v>1</x:v>
      </x:c>
      <x:c r="I1299" s="14" t="n">
        <x:v>0</x:v>
      </x:c>
      <x:c r="J1299" s="18" t="n">
        <x:v>42485</x:v>
      </x:c>
      <x:c r="K1299" s="19" t="n">
        <x:v>46006.70344295139</x:v>
      </x:c>
      <x:c r="L1299" s="19" t="n">
        <x:v>46022</x:v>
      </x:c>
      <x:c r="M1299" s="15" t="str">
        <x:v>Послуги з прокладання локальних мереж, встановлення та підключення
мережевого обладнання для доступу до мережі інтернет „встановлення Wi-Fi мереж в
приміщенні амбулаторії роботи з прокладання, монтажу пусконаладки телекомунікаційної мережі (в подальшому - «Роботи») у приміщенні Богданівській амбулаторії ( А ЗПСМ) (надалі
-«Об'єкт»), що розташоване за адресою: вулбогдна Хмельницького 124, с. Богданівка, Броваського району, Київської обл,</x:v>
      </x:c>
      <x:c r="N1299" s="15" t="str">
        <x:v>https://prozorro.gov.ua/tender/UA-2025-12-15-023185-a</x:v>
      </x:c>
    </x:row>
    <x:row r="1300">
      <x:c r="A1300" s="14" t="n">
        <x:v>1296</x:v>
      </x:c>
      <x:c r="B1300" s="14" t="str">
        <x:v>УМРИХІНА ВІКТОРІЯ ОЛЕКСАНДРІВНА</x:v>
      </x:c>
      <x:c r="C1300" s="14" t="str">
        <x:v>3356708163</x:v>
      </x:c>
      <x:c r="D1300" s="14" t="str">
        <x:v>Промисловий холод</x:v>
      </x:c>
      <x:c r="E1300" s="14" t="str">
        <x:v>Expansion discovery</x:v>
      </x:c>
      <x:c r="F1300" s="14" t="str">
        <x:v>I3</x:v>
      </x:c>
      <x:c r="G1300" s="14" t="n">
        <x:v>30</x:v>
      </x:c>
      <x:c r="H1300" s="14" t="n">
        <x:v>1</x:v>
      </x:c>
      <x:c r="I1300" s="14" t="n">
        <x:v>0</x:v>
      </x:c>
      <x:c r="J1300" s="18" t="n">
        <x:v>98098</x:v>
      </x:c>
      <x:c r="K1300" s="19" t="n">
        <x:v>45964.64480744213</x:v>
      </x:c>
      <x:c r="L1300" s="19" t="n">
        <x:v>45975</x:v>
      </x:c>
      <x:c r="M1300" s="15" t="str">
        <x:v>Поставка та монтаж кондиціонерів (Код ДК 021:2015: 42510000-4 Теплообмінники, кондиціонери повітря, холодильне обладнання та фільтрувальні пристрої)</x:v>
      </x:c>
      <x:c r="N1300" s="15" t="str">
        <x:v>https://prozorro.gov.ua/tender/UA-2025-11-03-014284-a</x:v>
      </x:c>
    </x:row>
    <x:row r="1301">
      <x:c r="A1301" s="14" t="n">
        <x:v>1297</x:v>
      </x:c>
      <x:c r="B1301" s="14" t="str">
        <x:v>ФЕСЕНКО ЮЛІЯ ВОЛОДИМИРІВНА</x:v>
      </x:c>
      <x:c r="C1301" s="14" t="str">
        <x:v>3043006469</x:v>
      </x:c>
      <x:c r="D1301" s="14" t="str">
        <x:v>HVAC / ОВіК</x:v>
      </x:c>
      <x:c r="E1301" s="14" t="str">
        <x:v>Pilot now</x:v>
      </x:c>
      <x:c r="F1301" s="14" t="str">
        <x:v>I3</x:v>
      </x:c>
      <x:c r="G1301" s="14" t="n">
        <x:v>30</x:v>
      </x:c>
      <x:c r="H1301" s="14" t="n">
        <x:v>1</x:v>
      </x:c>
      <x:c r="I1301" s="14" t="n">
        <x:v>0</x:v>
      </x:c>
      <x:c r="J1301" s="18" t="n">
        <x:v>15990</x:v>
      </x:c>
      <x:c r="K1301" s="19" t="n">
        <x:v>45905.39969184028</x:v>
      </x:c>
      <x:c r="L1301" s="19" t="n">
        <x:v>45930</x:v>
      </x:c>
      <x:c r="M1301"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301" s="15" t="str">
        <x:v>https://prozorro.gov.ua/tender/UA-2025-09-05-006349-a</x:v>
      </x:c>
    </x:row>
    <x:row r="1302">
      <x:c r="A1302" s="14" t="n">
        <x:v>1298</x:v>
      </x:c>
      <x:c r="B1302" s="14" t="str">
        <x:v>Фізична особа-підприємець Ковач Семен Семенович</x:v>
      </x:c>
      <x:c r="C1302" s="14" t="str">
        <x:v>3076004037</x:v>
      </x:c>
      <x:c r="D1302" s="14" t="str">
        <x:v>Безпека / СКУД / CCTV</x:v>
      </x:c>
      <x:c r="E1302" s="14" t="str">
        <x:v>Expansion discovery</x:v>
      </x:c>
      <x:c r="F1302" s="14" t="str">
        <x:v>I3</x:v>
      </x:c>
      <x:c r="G1302" s="14" t="n">
        <x:v>30</x:v>
      </x:c>
      <x:c r="H1302" s="14" t="n">
        <x:v>1</x:v>
      </x:c>
      <x:c r="I1302" s="14" t="n">
        <x:v>0</x:v>
      </x:c>
      <x:c r="J1302" s="18" t="n">
        <x:v>76600</x:v>
      </x:c>
      <x:c r="K1302" s="19" t="n">
        <x:v>46129.26033920139</x:v>
      </x:c>
      <x:c r="L1302" s="19" t="n">
        <x:v>46203.26263888889</x:v>
      </x:c>
      <x:c r="M1302"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x:v>
      </x:c>
      <x:c r="N1302" s="15" t="str">
        <x:v>https://prozorro.gov.ua/tender/UA-2026-04-17-000711-a</x:v>
      </x:c>
    </x:row>
    <x:row r="1303">
      <x:c r="A1303" s="14" t="n">
        <x:v>1299</x:v>
      </x:c>
      <x:c r="B1303" s="14" t="str">
        <x:v>ФОП Богдан Сергій Іванович</x:v>
      </x:c>
      <x:c r="C1303" s="14" t="str">
        <x:v>2726615794</x:v>
      </x:c>
      <x:c r="D1303" s="14" t="str">
        <x:v>Мости / інфраструктура</x:v>
      </x:c>
      <x:c r="E1303" s="14" t="str">
        <x:v>Expansion discovery</x:v>
      </x:c>
      <x:c r="F1303" s="14" t="str">
        <x:v>I3</x:v>
      </x:c>
      <x:c r="G1303" s="14" t="n">
        <x:v>30</x:v>
      </x:c>
      <x:c r="H1303" s="14" t="n">
        <x:v>1</x:v>
      </x:c>
      <x:c r="I1303" s="14" t="n">
        <x:v>0</x:v>
      </x:c>
      <x:c r="J1303" s="18" t="n">
        <x:v>14040</x:v>
      </x:c>
      <x:c r="K1303" s="19" t="n">
        <x:v>46067.45584920139</x:v>
      </x:c>
      <x:c r="L1303" s="19" t="n">
        <x:v>46081.45789351852</x:v>
      </x:c>
      <x:c r="M1303" s="15" t="str">
        <x:v>Ремонт моста КАМАЗ</x:v>
      </x:c>
      <x:c r="N1303" s="15" t="str">
        <x:v>https://prozorro.gov.ua/tender/UA-2026-02-14-000356-a</x:v>
      </x:c>
    </x:row>
    <x:row r="1304">
      <x:c r="A1304" s="14" t="n">
        <x:v>1300</x:v>
      </x:c>
      <x:c r="B1304" s="14" t="str">
        <x:v>ФОП Голомоз Микола Федорович</x:v>
      </x:c>
      <x:c r="C1304" s="14" t="str">
        <x:v>2131015451</x:v>
      </x:c>
      <x:c r="D1304" s="14" t="str">
        <x:v>Сонячна енергетика</x:v>
      </x:c>
      <x:c r="E1304" s="14" t="str">
        <x:v>Expansion discovery</x:v>
      </x:c>
      <x:c r="F1304" s="14" t="str">
        <x:v>I3</x:v>
      </x:c>
      <x:c r="G1304" s="14" t="n">
        <x:v>30</x:v>
      </x:c>
      <x:c r="H1304" s="14" t="n">
        <x:v>1</x:v>
      </x:c>
      <x:c r="I1304" s="14" t="n">
        <x:v>0</x:v>
      </x:c>
      <x:c r="J1304" s="18" t="n">
        <x:v>10000</x:v>
      </x:c>
      <x:c r="K1304" s="19" t="n">
        <x:v>46090.37973890046</x:v>
      </x:c>
      <x:c r="L1304" s="19" t="n">
        <x:v>46171</x:v>
      </x:c>
      <x:c r="M1304" s="15" t="str">
        <x:v>Технічний нагляд на об'єкті "Монтаж сонячної електростанції з накопичувачами енергії (аккумуляторами)"</x:v>
      </x:c>
      <x:c r="N1304" s="15" t="str">
        <x:v>https://prozorro.gov.ua/tender/UA-2026-03-09-003294-a</x:v>
      </x:c>
    </x:row>
    <x:row r="1305">
      <x:c r="A1305" s="14" t="n">
        <x:v>1301</x:v>
      </x:c>
      <x:c r="B1305" s="14" t="str">
        <x:v>ШКОЛИК РОМАН МИРОСЛАВОВИЧ</x:v>
      </x:c>
      <x:c r="C1305" s="14" t="str">
        <x:v>3512300255</x:v>
      </x:c>
      <x:c r="D1305" s="14" t="str">
        <x:v>HVAC / ОВіК</x:v>
      </x:c>
      <x:c r="E1305" s="14" t="str">
        <x:v>Pilot now</x:v>
      </x:c>
      <x:c r="F1305" s="14" t="str">
        <x:v>I3</x:v>
      </x:c>
      <x:c r="G1305" s="14" t="n">
        <x:v>30</x:v>
      </x:c>
      <x:c r="H1305" s="14" t="n">
        <x:v>1</x:v>
      </x:c>
      <x:c r="I1305" s="14" t="n">
        <x:v>0</x:v>
      </x:c>
      <x:c r="J1305" s="18" t="n">
        <x:v>27400.01</x:v>
      </x:c>
      <x:c r="K1305" s="19" t="n">
        <x:v>45848.373738125</x:v>
      </x:c>
      <x:c r="L1305" s="19" t="n">
        <x:v>46022</x:v>
      </x:c>
      <x:c r="M1305" s="15" t="str">
        <x:v>Монтаж системи вентиляції</x:v>
      </x:c>
      <x:c r="N1305" s="15" t="str">
        <x:v>https://prozorro.gov.ua/tender/UA-2025-07-10-004321-a</x:v>
      </x:c>
    </x:row>
    <x:row r="1306">
      <x:c r="A1306" s="14" t="n">
        <x:v>1302</x:v>
      </x:c>
      <x:c r="B1306" s="14" t="str">
        <x:v>ТОВ "КЛІМАТ-ЕКСПЕРТ"</x:v>
      </x:c>
      <x:c r="C1306" s="14" t="str">
        <x:v>43105056</x:v>
      </x:c>
      <x:c r="D1306" s="14" t="str">
        <x:v>Промисловий холод</x:v>
      </x:c>
      <x:c r="E1306" s="14" t="str">
        <x:v>Expansion discovery</x:v>
      </x:c>
      <x:c r="F1306" s="14" t="str">
        <x:v>I3</x:v>
      </x:c>
      <x:c r="G1306" s="14" t="n">
        <x:v>29</x:v>
      </x:c>
      <x:c r="H1306" s="14" t="n">
        <x:v>1</x:v>
      </x:c>
      <x:c r="I1306" s="14" t="n">
        <x:v>0</x:v>
      </x:c>
      <x:c r="J1306" s="18" t="n">
        <x:v>129999</x:v>
      </x:c>
      <x:c r="K1306" s="19" t="n">
        <x:v>46000.588347997684</x:v>
      </x:c>
      <x:c r="L1306" s="19" t="n">
        <x:v>46020</x:v>
      </x:c>
      <x:c r="M1306" s="15" t="str">
        <x:v>Кондиціонери спліт-системи з монтажем (ДК 021:2015 код 42510000-4 Теплообмінники, кондиціонери повітря, холодильне обладнання та фільтрувальні пристрої)</x:v>
      </x:c>
      <x:c r="N1306" s="15" t="str">
        <x:v>https://prozorro.gov.ua/tender/UA-2025-11-28-009910-a</x:v>
      </x:c>
    </x:row>
    <x:row r="1307">
      <x:c r="A1307" s="14" t="n">
        <x:v>1303</x:v>
      </x:c>
      <x:c r="B1307" s="14" t="str">
        <x:v>ТОВ "Тім Білд"</x:v>
      </x:c>
      <x:c r="C1307" s="14" t="str">
        <x:v>41105693</x:v>
      </x:c>
      <x:c r="D1307" s="14" t="str">
        <x:v>Технологічні трубопроводи</x:v>
      </x:c>
      <x:c r="E1307" s="14" t="str">
        <x:v>Expansion discovery</x:v>
      </x:c>
      <x:c r="F1307" s="14" t="str">
        <x:v>I3</x:v>
      </x:c>
      <x:c r="G1307" s="14" t="n">
        <x:v>29</x:v>
      </x:c>
      <x:c r="H1307" s="14" t="n">
        <x:v>1</x:v>
      </x:c>
      <x:c r="I1307" s="14" t="n">
        <x:v>0</x:v>
      </x:c>
      <x:c r="J1307" s="18" t="n">
        <x:v>332142</x:v>
      </x:c>
      <x:c r="K1307" s="19" t="n">
        <x:v>45814.41394949074</x:v>
      </x:c>
      <x:c r="L1307" s="19" t="n">
        <x:v>45991</x:v>
      </x:c>
      <x:c r="M1307"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x:v>
      </x:c>
      <x:c r="N1307" s="15" t="str">
        <x:v>https://prozorro.gov.ua/tender/UA-2025-06-06-006281-a</x:v>
      </x:c>
    </x:row>
    <x:row r="1308">
      <x:c r="A1308" s="14" t="n">
        <x:v>1304</x:v>
      </x:c>
      <x:c r="B1308" s="14" t="str">
        <x:v>ТОВ ВСП "Рембудзв'язок"</x:v>
      </x:c>
      <x:c r="C1308" s="14" t="str">
        <x:v>01168173</x:v>
      </x:c>
      <x:c r="D1308" s="14" t="str">
        <x:v>ВОЛЗ / телеком</x:v>
      </x:c>
      <x:c r="E1308" s="14" t="str">
        <x:v>Expansion discovery</x:v>
      </x:c>
      <x:c r="F1308" s="14" t="str">
        <x:v>I3</x:v>
      </x:c>
      <x:c r="G1308" s="14" t="n">
        <x:v>29</x:v>
      </x:c>
      <x:c r="H1308" s="14" t="n">
        <x:v>1</x:v>
      </x:c>
      <x:c r="I1308" s="14" t="n">
        <x:v>0</x:v>
      </x:c>
      <x:c r="J1308" s="18" t="n">
        <x:v>1949000</x:v>
      </x:c>
      <x:c r="K1308" s="19" t="n">
        <x:v>45663.48567806713</x:v>
      </x:c>
      <x:c r="L1308" s="19" t="n">
        <x:v>45808.57310185185</x:v>
      </x:c>
      <x:c r="M1308" s="15" t="str">
        <x:v>Робота з будівництва волоконно-оптичної лінії зв'язку спеціального призначення, на ділянці між об'єктами СЗРУ</x:v>
      </x:c>
      <x:c r="N1308" s="15" t="str">
        <x:v>https://prozorro.gov.ua/tender/UA-2024-12-18-020165-a</x:v>
      </x:c>
    </x:row>
    <x:row r="1309">
      <x:c r="A1309" s="14" t="n">
        <x:v>1305</x:v>
      </x:c>
      <x:c r="B1309" s="14" t="str">
        <x:v>ТОВАРИСТВО З ОБМЕЖЕНОЮ ВІДПОВІДАЛЬНІСТЮ "ВІНАКВАБУД"</x:v>
      </x:c>
      <x:c r="C1309" s="14" t="str">
        <x:v>43076612</x:v>
      </x:c>
      <x:c r="D1309" s="14" t="str">
        <x:v>ГНБ / безтраншейні роботи</x:v>
      </x:c>
      <x:c r="E1309" s="14" t="str">
        <x:v>Expansion discovery</x:v>
      </x:c>
      <x:c r="F1309" s="14" t="str">
        <x:v>I3</x:v>
      </x:c>
      <x:c r="G1309" s="14" t="n">
        <x:v>29</x:v>
      </x:c>
      <x:c r="H1309" s="14" t="n">
        <x:v>1</x:v>
      </x:c>
      <x:c r="I1309" s="14" t="n">
        <x:v>0</x:v>
      </x:c>
      <x:c r="J1309" s="18" t="n">
        <x:v>398441.92</x:v>
      </x:c>
      <x:c r="K1309" s="19" t="n">
        <x:v>45771.539392847226</x:v>
      </x:c>
      <x:c r="L1309" s="19" t="n">
        <x:v>46022</x:v>
      </x:c>
      <x:c r="M1309"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x:v>
      </x:c>
      <x:c r="N1309" s="15" t="str">
        <x:v>https://prozorro.gov.ua/tender/UA-2025-04-24-010542-a</x:v>
      </x:c>
    </x:row>
    <x:row r="1310">
      <x:c r="A1310" s="14" t="n">
        <x:v>1306</x:v>
      </x:c>
      <x:c r="B1310" s="14" t="str">
        <x:v> ФОП ГОРДІЄНКО ДЕНИС СЕРГІЙОВИЧ</x:v>
      </x:c>
      <x:c r="C1310" s="14" t="str">
        <x:v>3625508215</x:v>
      </x:c>
      <x:c r="D1310" s="14" t="str">
        <x:v>ГНБ / безтраншейні роботи</x:v>
      </x:c>
      <x:c r="E1310" s="14" t="str">
        <x:v>Expansion discovery</x:v>
      </x:c>
      <x:c r="F1310" s="14" t="str">
        <x:v>I3</x:v>
      </x:c>
      <x:c r="G1310" s="14" t="n">
        <x:v>27</x:v>
      </x:c>
      <x:c r="H1310" s="14" t="n">
        <x:v>1</x:v>
      </x:c>
      <x:c r="I1310" s="14" t="n">
        <x:v>0</x:v>
      </x:c>
      <x:c r="J1310" s="18" t="n">
        <x:v>153000</x:v>
      </x:c>
      <x:c r="K1310" s="19" t="n">
        <x:v>45489.416862199076</x:v>
      </x:c>
      <x:c r="L1310" s="19" t="n">
        <x:v>45544</x:v>
      </x:c>
      <x:c r="M1310" s="15" t="str">
        <x:v>Послуги з поточного ремонту, технічного обслуговування та утримання у належному стані внутрішніх та зовнішніх мереж водопостачання та водовідведення, а саме: прокол ґрунту методом горизонтального направленого буріння з встановленням футляру для прокладання водопроводу в смт. Олександрівка</x:v>
      </x:c>
      <x:c r="N1310" s="15" t="str">
        <x:v>https://prozorro.gov.ua/tender/UA-2024-07-16-004436-a</x:v>
      </x:c>
    </x:row>
    <x:row r="1311">
      <x:c r="A1311" s="14" t="n">
        <x:v>1307</x:v>
      </x:c>
      <x:c r="B1311" s="14" t="str">
        <x:v> ФОП ПОЗДНЯКОВ СЕРГІЙ ІВАНОВИЧ</x:v>
      </x:c>
      <x:c r="C1311" s="14" t="str">
        <x:v>2459000452</x:v>
      </x:c>
      <x:c r="D1311" s="14" t="str">
        <x:v>Промисловий холод</x:v>
      </x:c>
      <x:c r="E1311" s="14" t="str">
        <x:v>Expansion discovery</x:v>
      </x:c>
      <x:c r="F1311" s="14" t="str">
        <x:v>I3</x:v>
      </x:c>
      <x:c r="G1311" s="14" t="n">
        <x:v>27</x:v>
      </x:c>
      <x:c r="H1311" s="14" t="n">
        <x:v>1</x:v>
      </x:c>
      <x:c r="I1311" s="14" t="n">
        <x:v>0</x:v>
      </x:c>
      <x:c r="J1311" s="18" t="n">
        <x:v>51025</x:v>
      </x:c>
      <x:c r="K1311" s="19" t="n">
        <x:v>45982.551376157404</x:v>
      </x:c>
      <x:c r="L1311" s="19" t="n">
        <x:v>46022.874999988424</x:v>
      </x:c>
      <x:c r="M1311" s="15" t="str">
        <x:v>послуги демонтажу холодильного обладнання</x:v>
      </x:c>
      <x:c r="N1311" s="15" t="str">
        <x:v>https://prozorro.gov.ua/tender/UA-2025-11-21-012711-a</x:v>
      </x:c>
    </x:row>
    <x:row r="1312">
      <x:c r="A1312" s="14" t="n">
        <x:v>1308</x:v>
      </x:c>
      <x:c r="B1312" s="14" t="str">
        <x:v>ВАЩИШИН ВОЛОДИМИР МИХАЙЛОВИЧ</x:v>
      </x:c>
      <x:c r="C1312" s="14" t="str">
        <x:v>2254112355</x:v>
      </x:c>
      <x:c r="D1312" s="14" t="str">
        <x:v>ГНБ / безтраншейні роботи</x:v>
      </x:c>
      <x:c r="E1312" s="14" t="str">
        <x:v>Expansion discovery</x:v>
      </x:c>
      <x:c r="F1312" s="14" t="str">
        <x:v>I3</x:v>
      </x:c>
      <x:c r="G1312" s="14" t="n">
        <x:v>27</x:v>
      </x:c>
      <x:c r="H1312" s="14" t="n">
        <x:v>2</x:v>
      </x:c>
      <x:c r="I1312" s="14" t="n">
        <x:v>0</x:v>
      </x:c>
      <x:c r="J1312" s="18" t="n">
        <x:v>11601.05</x:v>
      </x:c>
      <x:c r="K1312" s="19" t="n">
        <x:v>45987.4106021412</x:v>
      </x:c>
      <x:c r="L1312" s="19" t="n">
        <x:v>46022</x:v>
      </x:c>
      <x:c r="M1312"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312" s="15" t="str">
        <x:v>https://prozorro.gov.ua/tender/UA-2025-11-26-006748-a</x:v>
      </x:c>
    </x:row>
    <x:row r="1313">
      <x:c r="A1313" s="14" t="n">
        <x:v>1309</x:v>
      </x:c>
      <x:c r="B1313" s="14" t="str">
        <x:v>ІЩУК ІГОР ІВАНОВИЧ</x:v>
      </x:c>
      <x:c r="C1313" s="14" t="str">
        <x:v>2598101832</x:v>
      </x:c>
      <x:c r="D1313" s="14" t="str">
        <x:v>HVAC / ОВіК</x:v>
      </x:c>
      <x:c r="E1313" s="14" t="str">
        <x:v>Pilot now</x:v>
      </x:c>
      <x:c r="F1313" s="14" t="str">
        <x:v>I3</x:v>
      </x:c>
      <x:c r="G1313" s="14" t="n">
        <x:v>27</x:v>
      </x:c>
      <x:c r="H1313" s="14" t="n">
        <x:v>2</x:v>
      </x:c>
      <x:c r="I1313" s="14" t="n">
        <x:v>0</x:v>
      </x:c>
      <x:c r="J1313" s="18" t="n">
        <x:v>20450</x:v>
      </x:c>
      <x:c r="K1313" s="19" t="n">
        <x:v>46009.55050619213</x:v>
      </x:c>
      <x:c r="L1313" s="19" t="n">
        <x:v>46022.916666655095</x:v>
      </x:c>
      <x:c r="M1313" s="15" t="str">
        <x:v>Послуги з монтажу системи опалення за адресою: м.Тернопіль, вул.Р.Купчинського,14</x:v>
      </x:c>
      <x:c r="N1313" s="15" t="str">
        <x:v>https://prozorro.gov.ua/tender/UA-2025-12-18-017182-a</x:v>
      </x:c>
    </x:row>
    <x:row r="1314">
      <x:c r="A1314" s="14" t="n">
        <x:v>1310</x:v>
      </x:c>
      <x:c r="B1314" s="14" t="str">
        <x:v>ОЛЕКСІЄНКО ВОЛОДИМИР ВАЛЕНТИНОВИЧ</x:v>
      </x:c>
      <x:c r="C1314" s="14" t="str">
        <x:v>2455604611</x:v>
      </x:c>
      <x:c r="D1314" s="14" t="str">
        <x:v>Електромонтаж</x:v>
      </x:c>
      <x:c r="E1314" s="14" t="str">
        <x:v>Pilot now</x:v>
      </x:c>
      <x:c r="F1314" s="14" t="str">
        <x:v>I3</x:v>
      </x:c>
      <x:c r="G1314" s="14" t="n">
        <x:v>27</x:v>
      </x:c>
      <x:c r="H1314" s="14" t="n">
        <x:v>2</x:v>
      </x:c>
      <x:c r="I1314" s="14" t="n">
        <x:v>0</x:v>
      </x:c>
      <x:c r="J1314" s="18" t="n">
        <x:v>16000</x:v>
      </x:c>
      <x:c r="K1314" s="19" t="n">
        <x:v>45982.397251319446</x:v>
      </x:c>
      <x:c r="L1314" s="19" t="n">
        <x:v>46022</x:v>
      </x:c>
      <x:c r="M1314"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x:v>
      </x:c>
      <x:c r="N1314" s="15" t="str">
        <x:v>https://prozorro.gov.ua/tender/UA-2025-11-21-005492-a</x:v>
      </x:c>
    </x:row>
    <x:row r="1315">
      <x:c r="A1315" s="14" t="n">
        <x:v>1311</x:v>
      </x:c>
      <x:c r="B1315" s="14" t="str">
        <x:v>ФІЗИЧНА ОСОБА ПІДПРИЄМЕЦЬ ХАЛЬЗОВ СЕРГІЙ МИКОЛАЙОВИЧ</x:v>
      </x:c>
      <x:c r="C1315" s="14" t="str">
        <x:v>2664009518</x:v>
      </x:c>
      <x:c r="D1315" s="14" t="str">
        <x:v>Промисловий холод</x:v>
      </x:c>
      <x:c r="E1315" s="14" t="str">
        <x:v>Expansion discovery</x:v>
      </x:c>
      <x:c r="F1315" s="14" t="str">
        <x:v>I3</x:v>
      </x:c>
      <x:c r="G1315" s="14" t="n">
        <x:v>27</x:v>
      </x:c>
      <x:c r="H1315" s="14" t="n">
        <x:v>1</x:v>
      </x:c>
      <x:c r="I1315" s="14" t="n">
        <x:v>0</x:v>
      </x:c>
      <x:c r="J1315" s="18" t="n">
        <x:v>7750</x:v>
      </x:c>
      <x:c r="K1315" s="19" t="n">
        <x:v>45880.54833114583</x:v>
      </x:c>
      <x:c r="L1315" s="19" t="n">
        <x:v>45884.53884259259</x:v>
      </x:c>
      <x:c r="M1315" s="15" t="str">
        <x:v>Послуги по поточному ремонту, технічному обслуговуванню, установці та монтажу охолоджувальних установок: поточний ремонт та технічне обслуговування кондиціонерів, поточний ремонт та технічне обслуговування холодильної камери, установка та монтаж охолоджувальної системи (кондиціонера)</x:v>
      </x:c>
      <x:c r="N1315" s="15" t="str">
        <x:v>https://prozorro.gov.ua/tender/UA-2025-08-11-009229-a</x:v>
      </x:c>
    </x:row>
    <x:row r="1316">
      <x:c r="A1316" s="14" t="n">
        <x:v>1312</x:v>
      </x:c>
      <x:c r="B1316" s="14" t="str">
        <x:v>Фізична особа-підприємець Богаченко Василь Валентинович</x:v>
      </x:c>
      <x:c r="C1316" s="14" t="str">
        <x:v>3117622398</x:v>
      </x:c>
      <x:c r="D1316" s="14" t="str">
        <x:v>ВОЛЗ / телеком</x:v>
      </x:c>
      <x:c r="E1316" s="14" t="str">
        <x:v>Expansion discovery</x:v>
      </x:c>
      <x:c r="F1316" s="14" t="str">
        <x:v>I3</x:v>
      </x:c>
      <x:c r="G1316" s="14" t="n">
        <x:v>27</x:v>
      </x:c>
      <x:c r="H1316" s="14" t="n">
        <x:v>1</x:v>
      </x:c>
      <x:c r="I1316" s="14" t="n">
        <x:v>0</x:v>
      </x:c>
      <x:c r="J1316" s="18" t="n">
        <x:v>3810</x:v>
      </x:c>
      <x:c r="K1316" s="19" t="n">
        <x:v>45995.44024229167</x:v>
      </x:c>
      <x:c r="L1316" s="19" t="n">
        <x:v>46022.44131944444</x:v>
      </x:c>
      <x:c r="M1316" s="15" t="str">
        <x:v>Послуга з монтажу мережі для відеофіксації згідно коду ДК 021:2015 - 64220000-4 Телекомунікаційні послуги, крім послуг телефонного зв’язку і передачі даних</x:v>
      </x:c>
      <x:c r="N1316" s="15" t="str">
        <x:v>https://prozorro.gov.ua/tender/UA-2025-12-04-008940-a</x:v>
      </x:c>
    </x:row>
    <x:row r="1317">
      <x:c r="A1317" s="14" t="n">
        <x:v>1313</x:v>
      </x:c>
      <x:c r="B1317" s="14" t="str">
        <x:v>Фізична особа-підприємець Кудрявцев Дмитро Володимирович</x:v>
      </x:c>
      <x:c r="C1317" s="14" t="str">
        <x:v>2798705033</x:v>
      </x:c>
      <x:c r="D1317" s="14" t="str">
        <x:v>ВОЛЗ / телеком</x:v>
      </x:c>
      <x:c r="E1317" s="14" t="str">
        <x:v>Expansion discovery</x:v>
      </x:c>
      <x:c r="F1317" s="14" t="str">
        <x:v>I3</x:v>
      </x:c>
      <x:c r="G1317" s="14" t="n">
        <x:v>27</x:v>
      </x:c>
      <x:c r="H1317" s="14" t="n">
        <x:v>1</x:v>
      </x:c>
      <x:c r="I1317" s="14" t="n">
        <x:v>0</x:v>
      </x:c>
      <x:c r="J1317" s="18" t="n">
        <x:v>68494</x:v>
      </x:c>
      <x:c r="K1317" s="19" t="n">
        <x:v>45866.39396410879</x:v>
      </x:c>
      <x:c r="L1317" s="19" t="n">
        <x:v>45900</x:v>
      </x:c>
      <x:c r="M1317" s="15" t="str">
        <x:v>Послуги з монтажу телекомунікаційної мережі</x:v>
      </x:c>
      <x:c r="N1317" s="15" t="str">
        <x:v>https://prozorro.gov.ua/tender/UA-2025-07-28-004203-a</x:v>
      </x:c>
    </x:row>
    <x:row r="1318">
      <x:c r="A1318" s="14" t="n">
        <x:v>1314</x:v>
      </x:c>
      <x:c r="B1318" s="14" t="str">
        <x:v>Фізична особа-підприємець Нестерчук Олександр Володимирович</x:v>
      </x:c>
      <x:c r="C1318" s="14" t="str">
        <x:v>2854007277</x:v>
      </x:c>
      <x:c r="D1318" s="14" t="str">
        <x:v>Чисті приміщення</x:v>
      </x:c>
      <x:c r="E1318" s="14" t="str">
        <x:v>Expansion discovery</x:v>
      </x:c>
      <x:c r="F1318" s="14" t="str">
        <x:v>I3</x:v>
      </x:c>
      <x:c r="G1318" s="14" t="n">
        <x:v>27</x:v>
      </x:c>
      <x:c r="H1318" s="14" t="n">
        <x:v>1</x:v>
      </x:c>
      <x:c r="I1318" s="14" t="n">
        <x:v>0</x:v>
      </x:c>
      <x:c r="J1318" s="18" t="n">
        <x:v>378735</x:v>
      </x:c>
      <x:c r="K1318" s="19" t="n">
        <x:v>45686.58042775463</x:v>
      </x:c>
      <x:c r="L1318" s="19" t="n">
        <x:v>45777</x:v>
      </x:c>
      <x:c r="M1318" s="15" t="str">
        <x:v>Виконання проєктної документації по об’єкту: «Реконструкція частини приміщень другого поверху головного корпусу літ. Е-5 під влаштування операційного блоку КП "Дніпропетровська обласна клінічна лікарня ім. І.І. Мечникова" ДОР" за адресою: пл. Соборна, 14, м. Дніпро»</x:v>
      </x:c>
      <x:c r="N1318" s="15" t="str">
        <x:v>https://prozorro.gov.ua/tender/UA-2025-01-29-014701-a</x:v>
      </x:c>
    </x:row>
    <x:row r="1319">
      <x:c r="A1319" s="14" t="n">
        <x:v>1315</x:v>
      </x:c>
      <x:c r="B1319" s="14" t="str">
        <x:v>Фізична особа-підприємець Писаренко Олександр Іванович</x:v>
      </x:c>
      <x:c r="C1319" s="14" t="str">
        <x:v>3018709398</x:v>
      </x:c>
      <x:c r="D1319" s="14" t="str">
        <x:v>Ліфти та підйомники</x:v>
      </x:c>
      <x:c r="E1319" s="14" t="str">
        <x:v>Expansion discovery</x:v>
      </x:c>
      <x:c r="F1319" s="14" t="str">
        <x:v>I3</x:v>
      </x:c>
      <x:c r="G1319" s="14" t="n">
        <x:v>27</x:v>
      </x:c>
      <x:c r="H1319" s="14" t="n">
        <x:v>1</x:v>
      </x:c>
      <x:c r="I1319" s="14" t="n">
        <x:v>0</x:v>
      </x:c>
      <x:c r="J1319" s="18" t="n">
        <x:v>83935</x:v>
      </x:c>
      <x:c r="K1319" s="19" t="n">
        <x:v>45924.47969574074</x:v>
      </x:c>
      <x:c r="L1319" s="19" t="n">
        <x:v>46022.916666655095</x:v>
      </x:c>
      <x:c r="M1319"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x:v>
      </x:c>
      <x:c r="N1319" s="15" t="str">
        <x:v>https://prozorro.gov.ua/tender/UA-2025-09-24-009431-a</x:v>
      </x:c>
    </x:row>
    <x:row r="1320">
      <x:c r="A1320" s="14" t="n">
        <x:v>1316</x:v>
      </x:c>
      <x:c r="B1320" s="14" t="str">
        <x:v>Фізична особа-підприємець Сахно Олександр Іванович</x:v>
      </x:c>
      <x:c r="C1320" s="14" t="str">
        <x:v>2405103658</x:v>
      </x:c>
      <x:c r="D1320" s="14" t="str">
        <x:v>Резервне живлення</x:v>
      </x:c>
      <x:c r="E1320" s="14" t="str">
        <x:v>Pilot now</x:v>
      </x:c>
      <x:c r="F1320" s="14" t="str">
        <x:v>I3</x:v>
      </x:c>
      <x:c r="G1320" s="14" t="n">
        <x:v>27</x:v>
      </x:c>
      <x:c r="H1320" s="14" t="n">
        <x:v>1</x:v>
      </x:c>
      <x:c r="I1320" s="14" t="n">
        <x:v>0</x:v>
      </x:c>
      <x:c r="J1320" s="18" t="n">
        <x:v>21200</x:v>
      </x:c>
      <x:c r="K1320" s="19" t="n">
        <x:v>46009.581642627316</x:v>
      </x:c>
      <x:c r="L1320" s="19" t="n">
        <x:v>46022.58188657407</x:v>
      </x:c>
      <x:c r="M1320" s="15" t="str">
        <x:v>Послуги по монтажу кабельної лінії (резерв для котельні) від дизель генератора, в орендованому приміщенні за адресою: Полтавська область, Миргородський район, с. Веприк, вул. Заводська, буд. 4, код за ДК 021:2015 45310000-3 електромонтажні роботи</x:v>
      </x:c>
      <x:c r="N1320" s="15" t="str">
        <x:v>https://prozorro.gov.ua/tender/UA-2025-12-18-019360-a</x:v>
      </x:c>
    </x:row>
    <x:row r="1321">
      <x:c r="A1321" s="14" t="n">
        <x:v>1317</x:v>
      </x:c>
      <x:c r="B1321" s="14" t="str">
        <x:v>ФОП "СПОЛЬНИЦЬКИЙ ВАСИЛЬ ОЛЕКСАНДРОВИЧ"</x:v>
      </x:c>
      <x:c r="C1321" s="14" t="str">
        <x:v>3139311999</x:v>
      </x:c>
      <x:c r="D1321" s="14" t="str">
        <x:v>Резервне живлення</x:v>
      </x:c>
      <x:c r="E1321" s="14" t="str">
        <x:v>Pilot now</x:v>
      </x:c>
      <x:c r="F1321" s="14" t="str">
        <x:v>I3</x:v>
      </x:c>
      <x:c r="G1321" s="14" t="n">
        <x:v>27</x:v>
      </x:c>
      <x:c r="H1321" s="14" t="n">
        <x:v>1</x:v>
      </x:c>
      <x:c r="I1321" s="14" t="n">
        <x:v>0</x:v>
      </x:c>
      <x:c r="J1321" s="18" t="n">
        <x:v>83000</x:v>
      </x:c>
      <x:c r="K1321" s="19" t="n">
        <x:v>45812.526649837964</x:v>
      </x:c>
      <x:c r="L1321" s="19" t="n">
        <x:v>46022.35648148148</x:v>
      </x:c>
      <x:c r="M1321" s="15" t="str">
        <x:v>Послуги   із монтажу пристрою автоматичного введення резерву (АВР) дизель-генератора</x:v>
      </x:c>
      <x:c r="N1321" s="15" t="str">
        <x:v>https://prozorro.gov.ua/tender/UA-2025-05-22-002688-a</x:v>
      </x:c>
    </x:row>
    <x:row r="1322">
      <x:c r="A1322" s="14" t="n">
        <x:v>1318</x:v>
      </x:c>
      <x:c r="B1322" s="14" t="str">
        <x:v>ФОП Басанець Володимир Миколайович</x:v>
      </x:c>
      <x:c r="C1322" s="14" t="str">
        <x:v>3132315835</x:v>
      </x:c>
      <x:c r="D1322" s="14" t="str">
        <x:v>Ліфти та підйомники</x:v>
      </x:c>
      <x:c r="E1322" s="14" t="str">
        <x:v>Expansion discovery</x:v>
      </x:c>
      <x:c r="F1322" s="14" t="str">
        <x:v>I3</x:v>
      </x:c>
      <x:c r="G1322" s="14" t="n">
        <x:v>27</x:v>
      </x:c>
      <x:c r="H1322" s="14" t="n">
        <x:v>1</x:v>
      </x:c>
      <x:c r="I1322" s="14" t="n">
        <x:v>0</x:v>
      </x:c>
      <x:c r="J1322" s="18" t="n">
        <x:v>35600</x:v>
      </x:c>
      <x:c r="K1322" s="19" t="n">
        <x:v>45874.34324321759</x:v>
      </x:c>
      <x:c r="L1322" s="19" t="n">
        <x:v>46022.386099537034</x:v>
      </x:c>
      <x:c r="M1322"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x:v>
      </x:c>
      <x:c r="N1322" s="15" t="str">
        <x:v>https://prozorro.gov.ua/tender/UA-2025-08-05-003194-a</x:v>
      </x:c>
    </x:row>
    <x:row r="1323">
      <x:c r="A1323" s="14" t="n">
        <x:v>1319</x:v>
      </x:c>
      <x:c r="B1323" s="14" t="str">
        <x:v>ФОП Березовський Костянтин Олегович</x:v>
      </x:c>
      <x:c r="C1323" s="14" t="str">
        <x:v>3118010179</x:v>
      </x:c>
      <x:c r="D1323" s="14" t="str">
        <x:v>Зовнішні мережі</x:v>
      </x:c>
      <x:c r="E1323" s="14" t="str">
        <x:v>Expansion discovery</x:v>
      </x:c>
      <x:c r="F1323" s="14" t="str">
        <x:v>I3</x:v>
      </x:c>
      <x:c r="G1323" s="14" t="n">
        <x:v>27</x:v>
      </x:c>
      <x:c r="H1323" s="14" t="n">
        <x:v>1</x:v>
      </x:c>
      <x:c r="I1323" s="14" t="n">
        <x:v>0</x:v>
      </x:c>
      <x:c r="J1323" s="18" t="n">
        <x:v>15000</x:v>
      </x:c>
      <x:c r="K1323" s="19" t="n">
        <x:v>45922.32755563658</x:v>
      </x:c>
      <x:c r="L1323" s="19" t="n">
        <x:v>45930.32849537037</x:v>
      </x:c>
      <x:c r="M1323" s="15" t="str">
        <x:v>Послуги з виготовлення технічного паспорта "Нове будівництво зовнішніх мереж водопостачання по вул. Прибережній, Шевченка та Лісовій  в с. Сосонка,  Вінницького району, Вінницької області"</x:v>
      </x:c>
      <x:c r="N1323" s="15" t="str">
        <x:v>https://prozorro.gov.ua/tender/UA-2025-09-22-002928-a</x:v>
      </x:c>
    </x:row>
    <x:row r="1324">
      <x:c r="A1324" s="14" t="n">
        <x:v>1320</x:v>
      </x:c>
      <x:c r="B1324" s="14" t="str">
        <x:v>ФОП БОБКО ОЛЕКСАНДР ЮРІЙОВИЧ</x:v>
      </x:c>
      <x:c r="C1324" s="14" t="str">
        <x:v>3486102657</x:v>
      </x:c>
      <x:c r="D1324" s="14" t="str">
        <x:v>HVAC / ОВіК</x:v>
      </x:c>
      <x:c r="E1324" s="14" t="str">
        <x:v>Pilot now</x:v>
      </x:c>
      <x:c r="F1324" s="14" t="str">
        <x:v>I3</x:v>
      </x:c>
      <x:c r="G1324" s="14" t="n">
        <x:v>27</x:v>
      </x:c>
      <x:c r="H1324" s="14" t="n">
        <x:v>1</x:v>
      </x:c>
      <x:c r="I1324" s="14" t="n">
        <x:v>0</x:v>
      </x:c>
      <x:c r="J1324" s="18" t="n">
        <x:v>50000</x:v>
      </x:c>
      <x:c r="K1324" s="19" t="n">
        <x:v>46002.3971609375</x:v>
      </x:c>
      <x:c r="L1324" s="19" t="n">
        <x:v>46022.916666655095</x:v>
      </x:c>
      <x:c r="M1324"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x:v>
      </x:c>
      <x:c r="N1324" s="15" t="str">
        <x:v>https://prozorro.gov.ua/tender/UA-2025-12-11-006828-a</x:v>
      </x:c>
    </x:row>
    <x:row r="1325">
      <x:c r="A1325" s="14" t="n">
        <x:v>1321</x:v>
      </x:c>
      <x:c r="B1325" s="14" t="str">
        <x:v>ФОП Бочаров Захар Миколайович</x:v>
      </x:c>
      <x:c r="C1325" s="14" t="str">
        <x:v>3261306939</x:v>
      </x:c>
      <x:c r="D1325" s="14" t="str">
        <x:v>HVAC / ОВіК</x:v>
      </x:c>
      <x:c r="E1325" s="14" t="str">
        <x:v>Pilot now</x:v>
      </x:c>
      <x:c r="F1325" s="14" t="str">
        <x:v>I3</x:v>
      </x:c>
      <x:c r="G1325" s="14" t="n">
        <x:v>27</x:v>
      </x:c>
      <x:c r="H1325" s="14" t="n">
        <x:v>1</x:v>
      </x:c>
      <x:c r="I1325" s="14" t="n">
        <x:v>0</x:v>
      </x:c>
      <x:c r="J1325" s="18" t="n">
        <x:v>99801.17</x:v>
      </x:c>
      <x:c r="K1325" s="19" t="n">
        <x:v>45902.51244537037</x:v>
      </x:c>
      <x:c r="L1325" s="19" t="n">
        <x:v>46022</x:v>
      </x:c>
      <x:c r="M1325" s="15" t="str">
        <x:v>ДК 021:2015 – 45330000-9 – Водопровідні та санітарно-технічні роботи (Послуги з монтажу системи вентиляції – 45331210-1)</x:v>
      </x:c>
      <x:c r="N1325" s="15" t="str">
        <x:v>https://prozorro.gov.ua/tender/UA-2025-09-02-008781-a</x:v>
      </x:c>
    </x:row>
    <x:row r="1326">
      <x:c r="A1326" s="14" t="n">
        <x:v>1322</x:v>
      </x:c>
      <x:c r="B1326" s="14" t="str">
        <x:v>ФОП Буденчук Ярослава Василівна</x:v>
      </x:c>
      <x:c r="C1326" s="14" t="str">
        <x:v>2417618467</x:v>
      </x:c>
      <x:c r="D1326" s="14" t="str">
        <x:v>Благоустрій</x:v>
      </x:c>
      <x:c r="E1326" s="14" t="str">
        <x:v>Expansion discovery</x:v>
      </x:c>
      <x:c r="F1326" s="14" t="str">
        <x:v>I3</x:v>
      </x:c>
      <x:c r="G1326" s="14" t="n">
        <x:v>27</x:v>
      </x:c>
      <x:c r="H1326" s="14" t="n">
        <x:v>1</x:v>
      </x:c>
      <x:c r="I1326" s="14" t="n">
        <x:v>0</x:v>
      </x:c>
      <x:c r="J1326" s="18" t="n">
        <x:v>98066.93</x:v>
      </x:c>
      <x:c r="K1326" s="19" t="n">
        <x:v>45852.39210793981</x:v>
      </x:c>
      <x:c r="L1326" s="19" t="n">
        <x:v>45900</x:v>
      </x:c>
      <x:c r="M1326" s="15" t="str">
        <x:v>Благоустрій території комунальної установи Центр комплексної реабілітації для осіб з інвалідністю "Допомога життю" Мамаївської сільської ради</x:v>
      </x:c>
      <x:c r="N1326" s="15" t="str">
        <x:v>https://prozorro.gov.ua/tender/UA-2025-07-14-004458-a</x:v>
      </x:c>
    </x:row>
    <x:row r="1327">
      <x:c r="A1327" s="14" t="n">
        <x:v>1323</x:v>
      </x:c>
      <x:c r="B1327" s="14" t="str">
        <x:v>ФОП Єфремов Віталій Миколайович</x:v>
      </x:c>
      <x:c r="C1327" s="14" t="str">
        <x:v>2645619018</x:v>
      </x:c>
      <x:c r="D1327" s="14" t="str">
        <x:v>Промисловий холод</x:v>
      </x:c>
      <x:c r="E1327" s="14" t="str">
        <x:v>Expansion discovery</x:v>
      </x:c>
      <x:c r="F1327" s="14" t="str">
        <x:v>I3</x:v>
      </x:c>
      <x:c r="G1327" s="14" t="n">
        <x:v>27</x:v>
      </x:c>
      <x:c r="H1327" s="14" t="n">
        <x:v>1</x:v>
      </x:c>
      <x:c r="I1327" s="14" t="n">
        <x:v>0</x:v>
      </x:c>
      <x:c r="J1327" s="18" t="n">
        <x:v>5200</x:v>
      </x:c>
      <x:c r="K1327" s="19" t="n">
        <x:v>45981.29785822917</x:v>
      </x:c>
      <x:c r="L1327" s="19" t="n">
        <x:v>46022.29844907407</x:v>
      </x:c>
      <x:c r="M1327" s="15" t="str">
        <x:v>Послуги по монтажу та налагодженню Збірно-розбірної холодильної камери назькотемпературної у комплекті з холодильним моноблоком низькотемпературним</x:v>
      </x:c>
      <x:c r="N1327" s="15" t="str">
        <x:v>https://prozorro.gov.ua/tender/UA-2025-11-20-000784-a</x:v>
      </x:c>
    </x:row>
    <x:row r="1328">
      <x:c r="A1328" s="14" t="n">
        <x:v>1324</x:v>
      </x:c>
      <x:c r="B1328" s="14" t="str">
        <x:v>ФОП Жуковець Ярослав Сергійович</x:v>
      </x:c>
      <x:c r="C1328" s="14" t="str">
        <x:v>3343817450</x:v>
      </x:c>
      <x:c r="D1328" s="14" t="str">
        <x:v>Пожежогасіння</x:v>
      </x:c>
      <x:c r="E1328" s="14" t="str">
        <x:v>Expansion discovery</x:v>
      </x:c>
      <x:c r="F1328" s="14" t="str">
        <x:v>I3</x:v>
      </x:c>
      <x:c r="G1328" s="14" t="n">
        <x:v>27</x:v>
      </x:c>
      <x:c r="H1328" s="14" t="n">
        <x:v>1</x:v>
      </x:c>
      <x:c r="I1328" s="14" t="n">
        <x:v>0</x:v>
      </x:c>
      <x:c r="J1328" s="18" t="n">
        <x:v>199170.27</x:v>
      </x:c>
      <x:c r="K1328" s="19" t="n">
        <x:v>45335.64892230324</x:v>
      </x:c>
      <x:c r="L1328" s="19" t="n">
        <x:v>45657</x:v>
      </x:c>
      <x:c r="M1328"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x:v>
      </x:c>
      <x:c r="N1328" s="15" t="str">
        <x:v>https://prozorro.gov.ua/tender/UA-2024-02-13-013455-a</x:v>
      </x:c>
    </x:row>
    <x:row r="1329">
      <x:c r="A1329" s="14" t="n">
        <x:v>1325</x:v>
      </x:c>
      <x:c r="B1329" s="14" t="str">
        <x:v>ФОП Заставський Юрій Іванович</x:v>
      </x:c>
      <x:c r="C1329" s="14" t="str">
        <x:v>2422610172</x:v>
      </x:c>
      <x:c r="D1329" s="14" t="str">
        <x:v>Металоконструкції</x:v>
      </x:c>
      <x:c r="E1329" s="14" t="str">
        <x:v>Expansion discovery</x:v>
      </x:c>
      <x:c r="F1329" s="14" t="str">
        <x:v>I3</x:v>
      </x:c>
      <x:c r="G1329" s="14" t="n">
        <x:v>27</x:v>
      </x:c>
      <x:c r="H1329" s="14" t="n">
        <x:v>1</x:v>
      </x:c>
      <x:c r="I1329" s="14" t="n">
        <x:v>0</x:v>
      </x:c>
      <x:c r="J1329" s="18" t="n">
        <x:v>99140.91</x:v>
      </x:c>
      <x:c r="K1329" s="19" t="n">
        <x:v>45945.5649837963</x:v>
      </x:c>
      <x:c r="L1329" s="19" t="n">
        <x:v>46022.60903935185</x:v>
      </x:c>
      <x:c r="M1329" s="15" t="str">
        <x:v>Послуги з монтажу та встановлення металоконструкцій</x:v>
      </x:c>
      <x:c r="N1329" s="15" t="str">
        <x:v>https://prozorro.gov.ua/tender/UA-2025-10-15-014216-a</x:v>
      </x:c>
    </x:row>
    <x:row r="1330">
      <x:c r="A1330" s="14" t="n">
        <x:v>1326</x:v>
      </x:c>
      <x:c r="B1330" s="14" t="str">
        <x:v>ФОП Карапетян Левон Велібекович</x:v>
      </x:c>
      <x:c r="C1330" s="14" t="str">
        <x:v>2329720233</x:v>
      </x:c>
      <x:c r="D1330" s="14" t="str">
        <x:v>Зливова каналізація / дренаж</x:v>
      </x:c>
      <x:c r="E1330" s="14" t="str">
        <x:v>Expansion discovery</x:v>
      </x:c>
      <x:c r="F1330" s="14" t="str">
        <x:v>I3</x:v>
      </x:c>
      <x:c r="G1330" s="14" t="n">
        <x:v>27</x:v>
      </x:c>
      <x:c r="H1330" s="14" t="n">
        <x:v>1</x:v>
      </x:c>
      <x:c r="I1330" s="14" t="n">
        <x:v>0</x:v>
      </x:c>
      <x:c r="J1330" s="18" t="n">
        <x:v>94304.9</x:v>
      </x:c>
      <x:c r="K1330" s="19" t="n">
        <x:v>45895.498447199076</x:v>
      </x:c>
      <x:c r="L1330" s="19" t="n">
        <x:v>46006</x:v>
      </x:c>
      <x:c r="M1330"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x:v>
      </x:c>
      <x:c r="N1330" s="15" t="str">
        <x:v>https://prozorro.gov.ua/tender/UA-2025-08-26-008851-a</x:v>
      </x:c>
    </x:row>
    <x:row r="1331">
      <x:c r="A1331" s="14" t="n">
        <x:v>1327</x:v>
      </x:c>
      <x:c r="B1331" s="14" t="str">
        <x:v>ФОП Ковтун Володимир Вікторович</x:v>
      </x:c>
      <x:c r="C1331" s="14" t="str">
        <x:v>2377511937</x:v>
      </x:c>
      <x:c r="D1331" s="14" t="str">
        <x:v>ВОЛЗ / телеком</x:v>
      </x:c>
      <x:c r="E1331" s="14" t="str">
        <x:v>Expansion discovery</x:v>
      </x:c>
      <x:c r="F1331" s="14" t="str">
        <x:v>I3</x:v>
      </x:c>
      <x:c r="G1331" s="14" t="n">
        <x:v>27</x:v>
      </x:c>
      <x:c r="H1331" s="14" t="n">
        <x:v>1</x:v>
      </x:c>
      <x:c r="I1331" s="14" t="n">
        <x:v>0</x:v>
      </x:c>
      <x:c r="J1331" s="18" t="n">
        <x:v>5000</x:v>
      </x:c>
      <x:c r="K1331" s="19" t="n">
        <x:v>45783.32644537037</x:v>
      </x:c>
      <x:c r="L1331" s="19" t="n">
        <x:v>46022.36592592593</x:v>
      </x:c>
      <x:c r="M1331" s="15" t="str">
        <x:v>Послуги по монтажу аба вдосконаленню телекомунікаційної мережі  за адресою: с.Іванівка, вул. Центральна, 90 (укриття ліцею)  за ДК 021:2015 Єдиного закупівельного словника  72710000-0 - Послуги у сфері локальних мереж</x:v>
      </x:c>
      <x:c r="N1331" s="15" t="str">
        <x:v>https://prozorro.gov.ua/tender/UA-2025-05-06-003334-a</x:v>
      </x:c>
    </x:row>
    <x:row r="1332">
      <x:c r="A1332" s="14" t="n">
        <x:v>1328</x:v>
      </x:c>
      <x:c r="B1332" s="14" t="str">
        <x:v>ФОП МАКАРИЦЬКА ЛЮДМИЛА ГРИГОРІВНА</x:v>
      </x:c>
      <x:c r="C1332" s="14" t="str">
        <x:v>2641803825</x:v>
      </x:c>
      <x:c r="D1332" s="14" t="str">
        <x:v>Покрівлі та гідроізоляція</x:v>
      </x:c>
      <x:c r="E1332" s="14" t="str">
        <x:v>Expansion discovery</x:v>
      </x:c>
      <x:c r="F1332" s="14" t="str">
        <x:v>I3</x:v>
      </x:c>
      <x:c r="G1332" s="14" t="n">
        <x:v>27</x:v>
      </x:c>
      <x:c r="H1332" s="14" t="n">
        <x:v>1</x:v>
      </x:c>
      <x:c r="I1332" s="14" t="n">
        <x:v>0</x:v>
      </x:c>
      <x:c r="J1332" s="18" t="n">
        <x:v>1405</x:v>
      </x:c>
      <x:c r="K1332" s="19" t="n">
        <x:v>45768.36517361111</x:v>
      </x:c>
      <x:c r="L1332" s="19" t="n">
        <x:v>46016</x:v>
      </x:c>
      <x:c r="M1332"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x:v>
      </x:c>
      <x:c r="N1332" s="15" t="str">
        <x:v>https://prozorro.gov.ua/tender/UA-2025-04-21-002987-a</x:v>
      </x:c>
    </x:row>
    <x:row r="1333">
      <x:c r="A1333" s="14" t="n">
        <x:v>1329</x:v>
      </x:c>
      <x:c r="B1333" s="14" t="str">
        <x:v>ФОП Неструга Антоніна Ігорівна</x:v>
      </x:c>
      <x:c r="C1333" s="14" t="str">
        <x:v>3606202443</x:v>
      </x:c>
      <x:c r="D1333" s="14" t="str">
        <x:v>Промисловий холод</x:v>
      </x:c>
      <x:c r="E1333" s="14" t="str">
        <x:v>Expansion discovery</x:v>
      </x:c>
      <x:c r="F1333" s="14" t="str">
        <x:v>I3</x:v>
      </x:c>
      <x:c r="G1333" s="14" t="n">
        <x:v>27</x:v>
      </x:c>
      <x:c r="H1333" s="14" t="n">
        <x:v>1</x:v>
      </x:c>
      <x:c r="I1333" s="14" t="n">
        <x:v>0</x:v>
      </x:c>
      <x:c r="J1333" s="18" t="n">
        <x:v>60000</x:v>
      </x:c>
      <x:c r="K1333" s="19" t="n">
        <x:v>45932.50186827546</x:v>
      </x:c>
      <x:c r="L1333" s="19" t="n">
        <x:v>46022</x:v>
      </x:c>
      <x:c r="M1333" s="15" t="str">
        <x:v>Кондиціонери для забезпечення роботи кабінетів закладу охорони здоров’я (внутрішні та зовнішні блоки) із встановленням (монтажем) (42512200-0) ДК 021:2015: 42510000-4 Теплообмінники, кондиціонери повітря, холодильне обладнання та фільтрувальні пристрої</x:v>
      </x:c>
      <x:c r="N1333" s="15" t="str">
        <x:v>https://prozorro.gov.ua/tender/UA-2025-10-02-009126-a</x:v>
      </x:c>
    </x:row>
    <x:row r="1334">
      <x:c r="A1334" s="14" t="n">
        <x:v>1330</x:v>
      </x:c>
      <x:c r="B1334" s="14" t="str">
        <x:v>ФОП Свинарчук Андрій Сергійович</x:v>
      </x:c>
      <x:c r="C1334" s="14" t="str">
        <x:v>3036101214</x:v>
      </x:c>
      <x:c r="D1334" s="14" t="str">
        <x:v>Ремонт і підсилення бетону</x:v>
      </x:c>
      <x:c r="E1334" s="14" t="str">
        <x:v>Expansion discovery</x:v>
      </x:c>
      <x:c r="F1334" s="14" t="str">
        <x:v>I3</x:v>
      </x:c>
      <x:c r="G1334" s="14" t="n">
        <x:v>27</x:v>
      </x:c>
      <x:c r="H1334" s="14" t="n">
        <x:v>1</x:v>
      </x:c>
      <x:c r="I1334" s="14" t="n">
        <x:v>0</x:v>
      </x:c>
      <x:c r="J1334" s="18" t="n">
        <x:v>195999</x:v>
      </x:c>
      <x:c r="K1334" s="19" t="n">
        <x:v>45349.60339210648</x:v>
      </x:c>
      <x:c r="L1334" s="19" t="n">
        <x:v>45657.604212962964</x:v>
      </x:c>
      <x:c r="M1334" s="15" t="str">
        <x:v>Поточний ремонт споруд цивільного захисту (тимчасового укриття) (свердління залізобетонних конструкцій входу, проходів і проямку, земельні роботи (копка, винесення, вивезення), тощо) в ЖДНЗ №37 за адресою: м.Житомир, вул. Небесної Сотні,33</x:v>
      </x:c>
      <x:c r="N1334" s="15" t="str">
        <x:v>https://prozorro.gov.ua/tender/UA-2024-02-27-010742-a</x:v>
      </x:c>
    </x:row>
    <x:row r="1335">
      <x:c r="A1335" s="14" t="n">
        <x:v>1331</x:v>
      </x:c>
      <x:c r="B1335" s="14" t="str">
        <x:v>ФОП Тарнавський Вадим Васильович</x:v>
      </x:c>
      <x:c r="C1335" s="14" t="str">
        <x:v>3039106471</x:v>
      </x:c>
      <x:c r="D1335" s="14" t="str">
        <x:v>HVAC / ОВіК</x:v>
      </x:c>
      <x:c r="E1335" s="14" t="str">
        <x:v>Pilot now</x:v>
      </x:c>
      <x:c r="F1335" s="14" t="str">
        <x:v>I3</x:v>
      </x:c>
      <x:c r="G1335" s="14" t="n">
        <x:v>27</x:v>
      </x:c>
      <x:c r="H1335" s="14" t="n">
        <x:v>1</x:v>
      </x:c>
      <x:c r="I1335" s="14" t="n">
        <x:v>0</x:v>
      </x:c>
      <x:c r="J1335" s="18" t="n">
        <x:v>4500</x:v>
      </x:c>
      <x:c r="K1335" s="19" t="n">
        <x:v>46013.388122233795</x:v>
      </x:c>
      <x:c r="L1335" s="19" t="n">
        <x:v>46022</x:v>
      </x:c>
      <x:c r="M1335" s="15" t="str">
        <x:v>Послуги з монтажу Припливно-витяжної системи вентиляції з рекуперацією тепла PRANA-200C+</x:v>
      </x:c>
      <x:c r="N1335" s="15" t="str">
        <x:v>https://prozorro.gov.ua/tender/UA-2025-12-22-005941-a</x:v>
      </x:c>
    </x:row>
    <x:row r="1336">
      <x:c r="A1336" s="14" t="n">
        <x:v>1332</x:v>
      </x:c>
      <x:c r="B1336" s="14" t="str">
        <x:v>ФОП Трубін Олег Вікторович</x:v>
      </x:c>
      <x:c r="C1336" s="14" t="str">
        <x:v>3688708016</x:v>
      </x:c>
      <x:c r="D1336" s="14" t="str">
        <x:v>Резервне живлення</x:v>
      </x:c>
      <x:c r="E1336" s="14" t="str">
        <x:v>Pilot now</x:v>
      </x:c>
      <x:c r="F1336" s="14" t="str">
        <x:v>I3</x:v>
      </x:c>
      <x:c r="G1336" s="14" t="n">
        <x:v>27</x:v>
      </x:c>
      <x:c r="H1336" s="14" t="n">
        <x:v>1</x:v>
      </x:c>
      <x:c r="I1336" s="14" t="n">
        <x:v>0</x:v>
      </x:c>
      <x:c r="J1336" s="18" t="n">
        <x:v>97198</x:v>
      </x:c>
      <x:c r="K1336" s="19" t="n">
        <x:v>46006.444135474536</x:v>
      </x:c>
      <x:c r="L1336" s="19" t="n">
        <x:v>46022.44605324074</x:v>
      </x:c>
      <x:c r="M1336" s="15" t="str">
        <x:v>Послуги з монтажу та встановлення безперебійного живлення електроенергії</x:v>
      </x:c>
      <x:c r="N1336" s="15" t="str">
        <x:v>https://prozorro.gov.ua/tender/UA-2025-12-15-009604-a</x:v>
      </x:c>
    </x:row>
    <x:row r="1337">
      <x:c r="A1337" s="14" t="n">
        <x:v>1333</x:v>
      </x:c>
      <x:c r="B1337" s="14" t="str">
        <x:v>ФОП ШАПАРЬ АНДРІЙ ВОЛОДИМИРОВИЧ</x:v>
      </x:c>
      <x:c r="C1337" s="14" t="str">
        <x:v>2874306213</x:v>
      </x:c>
      <x:c r="D1337" s="14" t="str">
        <x:v>Блискавкозахист / заземлення</x:v>
      </x:c>
      <x:c r="E1337" s="14" t="str">
        <x:v>Pilot now</x:v>
      </x:c>
      <x:c r="F1337" s="14" t="str">
        <x:v>I3</x:v>
      </x:c>
      <x:c r="G1337" s="14" t="n">
        <x:v>27</x:v>
      </x:c>
      <x:c r="H1337" s="14" t="n">
        <x:v>1</x:v>
      </x:c>
      <x:c r="I1337" s="14" t="n">
        <x:v>0</x:v>
      </x:c>
      <x:c r="J1337" s="18" t="n">
        <x:v>79421</x:v>
      </x:c>
      <x:c r="K1337" s="19" t="n">
        <x:v>45869.500426527775</x:v>
      </x:c>
      <x:c r="L1337" s="19" t="n">
        <x:v>46022</x:v>
      </x:c>
      <x:c r="M1337" s="15" t="str">
        <x:v>Монтаж пристроїв блискавкозахисту</x:v>
      </x:c>
      <x:c r="N1337" s="15" t="str">
        <x:v>https://prozorro.gov.ua/tender/UA-2025-07-31-006294-a</x:v>
      </x:c>
    </x:row>
    <x:row r="1338">
      <x:c r="A1338" s="14" t="n">
        <x:v>1334</x:v>
      </x:c>
      <x:c r="B1338" s="14" t="str">
        <x:v>ФОП Янішевський Тарас Ярославович</x:v>
      </x:c>
      <x:c r="C1338" s="14" t="str">
        <x:v>3255804899</x:v>
      </x:c>
      <x:c r="D1338" s="14" t="str">
        <x:v>HVAC / ОВіК</x:v>
      </x:c>
      <x:c r="E1338" s="14" t="str">
        <x:v>Pilot now</x:v>
      </x:c>
      <x:c r="F1338" s="14" t="str">
        <x:v>I3</x:v>
      </x:c>
      <x:c r="G1338" s="14" t="n">
        <x:v>27</x:v>
      </x:c>
      <x:c r="H1338" s="14" t="n">
        <x:v>1</x:v>
      </x:c>
      <x:c r="I1338" s="14" t="n">
        <x:v>0</x:v>
      </x:c>
      <x:c r="J1338" s="18" t="n">
        <x:v>99389</x:v>
      </x:c>
      <x:c r="K1338" s="19" t="n">
        <x:v>45960.489438668985</x:v>
      </x:c>
      <x:c r="L1338" s="19" t="n">
        <x:v>46022.48983796296</x:v>
      </x:c>
      <x:c r="M1338" s="15" t="str">
        <x:v>Припливно-витяжна система вентиляції з рекуперацією тепла «PRANA-200С STANDART» (з монтажем) (код ДК 021:2015:42520000-7 Вентиляційне обладнання)</x:v>
      </x:c>
      <x:c r="N1338" s="15" t="str">
        <x:v>https://prozorro.gov.ua/tender/UA-2025-10-30-006956-a</x:v>
      </x:c>
    </x:row>
    <x:row r="1339">
      <x:c r="A1339" s="14" t="n">
        <x:v>1335</x:v>
      </x:c>
      <x:c r="B1339" s="14" t="str">
        <x:v>БЕЗНОСЕНКО ВІКТОР АНАТОЛІЙОВИЧ</x:v>
      </x:c>
      <x:c r="C1339" s="14" t="str">
        <x:v>2934819037</x:v>
      </x:c>
      <x:c r="D1339" s="14" t="str">
        <x:v>Резервне живлення</x:v>
      </x:c>
      <x:c r="E1339" s="14" t="str">
        <x:v>Pilot now</x:v>
      </x:c>
      <x:c r="F1339" s="14" t="str">
        <x:v>I3</x:v>
      </x:c>
      <x:c r="G1339" s="14" t="n">
        <x:v>26</x:v>
      </x:c>
      <x:c r="H1339" s="14" t="n">
        <x:v>1</x:v>
      </x:c>
      <x:c r="I1339" s="14" t="n">
        <x:v>0</x:v>
      </x:c>
      <x:c r="J1339" s="18" t="n">
        <x:v>3500</x:v>
      </x:c>
      <x:c r="K1339" s="19" t="n">
        <x:v>45646.74988559028</x:v>
      </x:c>
      <x:c r="L1339" s="19" t="n">
        <x:v>45657</x:v>
      </x:c>
      <x:c r="M1339" s="15" t="str">
        <x:v>Послуги монтажу системи безперебійного живлення</x:v>
      </x:c>
      <x:c r="N1339" s="15" t="str">
        <x:v>https://prozorro.gov.ua/tender/UA-2024-12-20-022636-a</x:v>
      </x:c>
    </x:row>
    <x:row r="1340">
      <x:c r="A1340" s="14" t="n">
        <x:v>1336</x:v>
      </x:c>
      <x:c r="B1340" s="14" t="str">
        <x:v>БІЛЕНКО ВІКТОР ГРИГОРОВИЧ</x:v>
      </x:c>
      <x:c r="C1340" s="14" t="str">
        <x:v>3151108775</x:v>
      </x:c>
      <x:c r="D1340" s="14" t="str">
        <x:v>Покрівлі та гідроізоляція</x:v>
      </x:c>
      <x:c r="E1340" s="14" t="str">
        <x:v>Expansion discovery</x:v>
      </x:c>
      <x:c r="F1340" s="14" t="str">
        <x:v>I3</x:v>
      </x:c>
      <x:c r="G1340" s="14" t="n">
        <x:v>26</x:v>
      </x:c>
      <x:c r="H1340" s="14" t="n">
        <x:v>1</x:v>
      </x:c>
      <x:c r="I1340" s="14" t="n">
        <x:v>0</x:v>
      </x:c>
      <x:c r="J1340" s="18" t="n">
        <x:v>1250</x:v>
      </x:c>
      <x:c r="K1340" s="19" t="n">
        <x:v>45446.36250541667</x:v>
      </x:c>
      <x:c r="L1340" s="19" t="n">
        <x:v>45473</x:v>
      </x:c>
      <x:c r="M1340" s="15" t="str">
        <x:v>Будівельні матеріали для проведення ремонтних робіт господарським способом (гідроізоляційна плівка 1,5м. 50м.)</x:v>
      </x:c>
      <x:c r="N1340" s="15" t="str">
        <x:v>https://prozorro.gov.ua/tender/UA-2024-06-03-003690-a</x:v>
      </x:c>
    </x:row>
    <x:row r="1341">
      <x:c r="A1341" s="14" t="n">
        <x:v>1337</x:v>
      </x:c>
      <x:c r="B1341" s="14" t="str">
        <x:v>БОРОВЕЦЬ ОЛЕКСАНДР МИКОЛАЙОВИЧ</x:v>
      </x:c>
      <x:c r="C1341" s="14" t="str">
        <x:v>2978713435</x:v>
      </x:c>
      <x:c r="D1341" s="14" t="str">
        <x:v>Металоконструкції</x:v>
      </x:c>
      <x:c r="E1341" s="14" t="str">
        <x:v>Expansion discovery</x:v>
      </x:c>
      <x:c r="F1341" s="14" t="str">
        <x:v>I3</x:v>
      </x:c>
      <x:c r="G1341" s="14" t="n">
        <x:v>26</x:v>
      </x:c>
      <x:c r="H1341" s="14" t="n">
        <x:v>1</x:v>
      </x:c>
      <x:c r="I1341" s="14" t="n">
        <x:v>0</x:v>
      </x:c>
      <x:c r="J1341" s="18" t="n">
        <x:v>33500</x:v>
      </x:c>
      <x:c r="K1341" s="19" t="n">
        <x:v>45615.436321712965</x:v>
      </x:c>
      <x:c r="L1341" s="19" t="n">
        <x:v>45657</x:v>
      </x:c>
      <x:c r="M1341" s="15" t="str">
        <x:v>Роботи з монтажу  металоконструкцій  для інформаційних банерів  про загиблих захисників Березнівщини</x:v>
      </x:c>
      <x:c r="N1341" s="15" t="str">
        <x:v>https://prozorro.gov.ua/tender/UA-2024-11-19-007446-a</x:v>
      </x:c>
    </x:row>
    <x:row r="1342">
      <x:c r="A1342" s="14" t="n">
        <x:v>1338</x:v>
      </x:c>
      <x:c r="B1342" s="14" t="str">
        <x:v>ВАНСОВИЧ ТЕТЯНА ВОЛОДИМИРІВНА</x:v>
      </x:c>
      <x:c r="C1342" s="14" t="str">
        <x:v>2802419342</x:v>
      </x:c>
      <x:c r="D1342" s="14" t="str">
        <x:v>Промислова теплоізоляція</x:v>
      </x:c>
      <x:c r="E1342" s="14" t="str">
        <x:v>Expansion discovery</x:v>
      </x:c>
      <x:c r="F1342" s="14" t="str">
        <x:v>I3</x:v>
      </x:c>
      <x:c r="G1342" s="14" t="n">
        <x:v>26</x:v>
      </x:c>
      <x:c r="H1342" s="14" t="n">
        <x:v>1</x:v>
      </x:c>
      <x:c r="I1342" s="14" t="n">
        <x:v>0</x:v>
      </x:c>
      <x:c r="J1342" s="18" t="n">
        <x:v>21861.2</x:v>
      </x:c>
      <x:c r="K1342" s="19" t="n">
        <x:v>45671.59441967592</x:v>
      </x:c>
      <x:c r="L1342" s="19" t="n">
        <x:v>45666</x:v>
      </x:c>
      <x:c r="M1342" s="15" t="str">
        <x:v>послуги з поточного ремонту зовнішніх мереж теплопостачання із теплоізоляцією трубопроводу у військовому містечку</x:v>
      </x:c>
      <x:c r="N1342" s="15" t="str">
        <x:v>https://prozorro.gov.ua/tender/UA-2025-01-14-013308-a</x:v>
      </x:c>
    </x:row>
    <x:row r="1343">
      <x:c r="A1343" s="14" t="n">
        <x:v>1339</x:v>
      </x:c>
      <x:c r="B1343" s="14" t="str">
        <x:v>ДЕЧЕВ ОЛЕКСАНДР ВАСИЛЬОВИЧ</x:v>
      </x:c>
      <x:c r="C1343" s="14" t="str">
        <x:v>2877504334</x:v>
      </x:c>
      <x:c r="D1343" s="14" t="str">
        <x:v>Резервне живлення</x:v>
      </x:c>
      <x:c r="E1343" s="14" t="str">
        <x:v>Pilot now</x:v>
      </x:c>
      <x:c r="F1343" s="14" t="str">
        <x:v>I3</x:v>
      </x:c>
      <x:c r="G1343" s="14" t="n">
        <x:v>26</x:v>
      </x:c>
      <x:c r="H1343" s="14" t="n">
        <x:v>1</x:v>
      </x:c>
      <x:c r="I1343" s="14" t="n">
        <x:v>0</x:v>
      </x:c>
      <x:c r="J1343" s="18" t="n">
        <x:v>20928.5</x:v>
      </x:c>
      <x:c r="K1343" s="19" t="n">
        <x:v>45639.673410219904</x:v>
      </x:c>
      <x:c r="L1343" s="19" t="n">
        <x:v>45657</x:v>
      </x:c>
      <x:c r="M1343" s="15" t="str">
        <x:v>Послуги з підключення, монтаж та наладки дизель-генератору</x:v>
      </x:c>
      <x:c r="N1343" s="15" t="str">
        <x:v>https://prozorro.gov.ua/tender/UA-2024-12-13-019271-a</x:v>
      </x:c>
    </x:row>
    <x:row r="1344">
      <x:c r="A1344" s="14" t="n">
        <x:v>1340</x:v>
      </x:c>
      <x:c r="B1344" s="14" t="str">
        <x:v>Іващенко Михайло Вадимович</x:v>
      </x:c>
      <x:c r="C1344" s="14" t="str">
        <x:v>3684201993</x:v>
      </x:c>
      <x:c r="D1344" s="14" t="str">
        <x:v>Благоустрій</x:v>
      </x:c>
      <x:c r="E1344" s="14" t="str">
        <x:v>Expansion discovery</x:v>
      </x:c>
      <x:c r="F1344" s="14" t="str">
        <x:v>I3</x:v>
      </x:c>
      <x:c r="G1344" s="14" t="n">
        <x:v>26</x:v>
      </x:c>
      <x:c r="H1344" s="14" t="n">
        <x:v>1</x:v>
      </x:c>
      <x:c r="I1344" s="14" t="n">
        <x:v>0</x:v>
      </x:c>
      <x:c r="J1344" s="18" t="n">
        <x:v>94500</x:v>
      </x:c>
      <x:c r="K1344" s="19" t="n">
        <x:v>45636.27584628472</x:v>
      </x:c>
      <x:c r="L1344" s="19" t="n">
        <x:v>45747</x:v>
      </x:c>
      <x:c r="M1344"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x:v>
      </x:c>
      <x:c r="N1344" s="15" t="str">
        <x:v>https://prozorro.gov.ua/tender/UA-2024-12-10-000480-a</x:v>
      </x:c>
    </x:row>
    <x:row r="1345">
      <x:c r="A1345" s="14" t="n">
        <x:v>1341</x:v>
      </x:c>
      <x:c r="B1345" s="14" t="str">
        <x:v>ІЗОТОВ ІВАН ВОЛОДИМИРОВИЧ</x:v>
      </x:c>
      <x:c r="C1345" s="14" t="str">
        <x:v>2806705197</x:v>
      </x:c>
      <x:c r="D1345" s="14" t="str">
        <x:v>СКС / BMS / слаботочка</x:v>
      </x:c>
      <x:c r="E1345" s="14" t="str">
        <x:v>Expansion discovery</x:v>
      </x:c>
      <x:c r="F1345" s="14" t="str">
        <x:v>I3</x:v>
      </x:c>
      <x:c r="G1345" s="14" t="n">
        <x:v>26</x:v>
      </x:c>
      <x:c r="H1345" s="14" t="n">
        <x:v>1</x:v>
      </x:c>
      <x:c r="I1345" s="14" t="n">
        <x:v>0</x:v>
      </x:c>
      <x:c r="J1345" s="18" t="n">
        <x:v>74180</x:v>
      </x:c>
      <x:c r="K1345" s="19" t="n">
        <x:v>45512.43414081018</x:v>
      </x:c>
      <x:c r="L1345" s="19" t="n">
        <x:v>45544</x:v>
      </x:c>
      <x:c r="M1345"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x:v>
      </x:c>
      <x:c r="N1345" s="15" t="str">
        <x:v>https://prozorro.gov.ua/tender/UA-2024-08-08-005951-a</x:v>
      </x:c>
    </x:row>
    <x:row r="1346">
      <x:c r="A1346" s="14" t="n">
        <x:v>1342</x:v>
      </x:c>
      <x:c r="B1346" s="14" t="str">
        <x:v>КОЛОМІЄЦЬ ОЛЕКСІЙ ВІКТОРОВИЧ</x:v>
      </x:c>
      <x:c r="C1346" s="14" t="str">
        <x:v>2362515479</x:v>
      </x:c>
      <x:c r="D1346" s="14" t="str">
        <x:v>Покрівлі та гідроізоляція</x:v>
      </x:c>
      <x:c r="E1346" s="14" t="str">
        <x:v>Expansion discovery</x:v>
      </x:c>
      <x:c r="F1346" s="14" t="str">
        <x:v>I3</x:v>
      </x:c>
      <x:c r="G1346" s="14" t="n">
        <x:v>26</x:v>
      </x:c>
      <x:c r="H1346" s="14" t="n">
        <x:v>1</x:v>
      </x:c>
      <x:c r="I1346" s="14" t="n">
        <x:v>0</x:v>
      </x:c>
      <x:c r="J1346" s="18" t="n">
        <x:v>1300</x:v>
      </x:c>
      <x:c r="K1346" s="19" t="n">
        <x:v>45422.38685481482</x:v>
      </x:c>
      <x:c r="L1346" s="19" t="n">
        <x:v>45657</x:v>
      </x:c>
      <x:c r="M1346" s="15" t="str">
        <x:v>Будівельні матеріали для проведення ремонтних робіт господарським способом (Гідроізоляційний бар'єр з армованою сіткою)</x:v>
      </x:c>
      <x:c r="N1346" s="15" t="str">
        <x:v>https://prozorro.gov.ua/tender/UA-2024-05-10-005357-a</x:v>
      </x:c>
    </x:row>
    <x:row r="1347">
      <x:c r="A1347" s="14" t="n">
        <x:v>1343</x:v>
      </x:c>
      <x:c r="B1347" s="14" t="str">
        <x:v>Криворізька філія Товариства з обмеженою відповідальністю "Газорозподільні мережі України"</x:v>
      </x:c>
      <x:c r="C1347" s="14" t="str">
        <x:v>44952395</x:v>
      </x:c>
      <x:c r="D1347" s="14" t="str">
        <x:v>Промислові котельні</x:v>
      </x:c>
      <x:c r="E1347" s="14" t="str">
        <x:v>Expansion discovery</x:v>
      </x:c>
      <x:c r="F1347" s="14" t="str">
        <x:v>I3</x:v>
      </x:c>
      <x:c r="G1347" s="14" t="n">
        <x:v>26</x:v>
      </x:c>
      <x:c r="H1347" s="14" t="n">
        <x:v>1</x:v>
      </x:c>
      <x:c r="I1347" s="14" t="n">
        <x:v>0</x:v>
      </x:c>
      <x:c r="J1347" s="18" t="n">
        <x:v>2752.22</x:v>
      </x:c>
      <x:c r="K1347" s="19" t="n">
        <x:v>45737.41045290509</x:v>
      </x:c>
      <x:c r="L1347" s="19" t="n">
        <x:v>46022</x:v>
      </x:c>
      <x:c r="M1347" s="15" t="str">
        <x:v>Реконструкція системи газопостачання котельні " Промислова-8" за адресою : Дніпропетровська область м. Кривий Ріг , вул.Промислова, 8б</x:v>
      </x:c>
      <x:c r="N1347" s="15" t="str">
        <x:v>https://prozorro.gov.ua/tender/UA-2025-03-21-005239-a</x:v>
      </x:c>
    </x:row>
    <x:row r="1348">
      <x:c r="A1348" s="14" t="n">
        <x:v>1344</x:v>
      </x:c>
      <x:c r="B1348" s="14" t="str">
        <x:v>Монько Ігор Олександрович</x:v>
      </x:c>
      <x:c r="C1348" s="14" t="str">
        <x:v>3588712750</x:v>
      </x:c>
      <x:c r="D1348" s="14" t="str">
        <x:v>Покрівлі та гідроізоляція</x:v>
      </x:c>
      <x:c r="E1348" s="14" t="str">
        <x:v>Expansion discovery</x:v>
      </x:c>
      <x:c r="F1348" s="14" t="str">
        <x:v>I3</x:v>
      </x:c>
      <x:c r="G1348" s="14" t="n">
        <x:v>26</x:v>
      </x:c>
      <x:c r="H1348" s="14" t="n">
        <x:v>1</x:v>
      </x:c>
      <x:c r="I1348" s="14" t="n">
        <x:v>0</x:v>
      </x:c>
      <x:c r="J1348" s="18" t="n">
        <x:v>73600</x:v>
      </x:c>
      <x:c r="K1348" s="19" t="n">
        <x:v>45589.55619234954</x:v>
      </x:c>
      <x:c r="L1348" s="19" t="n">
        <x:v>45657</x:v>
      </x:c>
      <x:c r="M1348" s="15" t="str">
        <x:v>Послуга з гідроізоляційних робіт</x:v>
      </x:c>
      <x:c r="N1348" s="15" t="str">
        <x:v>https://prozorro.gov.ua/tender/UA-2024-10-24-013919-a</x:v>
      </x:c>
    </x:row>
    <x:row r="1349">
      <x:c r="A1349" s="14" t="n">
        <x:v>1345</x:v>
      </x:c>
      <x:c r="B1349" s="14" t="str">
        <x:v>ОДІЯК ОЛЕКСАНДР ВІКТОРОВИЧ</x:v>
      </x:c>
      <x:c r="C1349" s="14" t="str">
        <x:v>2682007950</x:v>
      </x:c>
      <x:c r="D1349" s="14" t="str">
        <x:v>Ремонт і підсилення бетону</x:v>
      </x:c>
      <x:c r="E1349" s="14" t="str">
        <x:v>Expansion discovery</x:v>
      </x:c>
      <x:c r="F1349" s="14" t="str">
        <x:v>I3</x:v>
      </x:c>
      <x:c r="G1349" s="14" t="n">
        <x:v>26</x:v>
      </x:c>
      <x:c r="H1349" s="14" t="n">
        <x:v>1</x:v>
      </x:c>
      <x:c r="I1349" s="14" t="n">
        <x:v>0</x:v>
      </x:c>
      <x:c r="J1349" s="18" t="n">
        <x:v>20502.69</x:v>
      </x:c>
      <x:c r="K1349" s="19" t="n">
        <x:v>45648.89682607639</x:v>
      </x:c>
      <x:c r="L1349" s="19" t="n">
        <x:v>45657</x:v>
      </x:c>
      <x:c r="M1349" s="15" t="str">
        <x:v>Поточний ремонт вентиляційної системи (пробивання отворів в монолітних залізобетонних конструкціях під рекуператори та установлення вентиляційних решіток)  в найпростішому укритті Михайлівського ліцею</x:v>
      </x:c>
      <x:c r="N1349" s="15" t="str">
        <x:v>https://prozorro.gov.ua/tender/UA-2024-12-22-001632-a</x:v>
      </x:c>
    </x:row>
    <x:row r="1350">
      <x:c r="A1350" s="14" t="n">
        <x:v>1346</x:v>
      </x:c>
      <x:c r="B1350" s="14" t="str">
        <x:v>ПОГИБА АНДРІЙ ВОЛОДИМИРОВИЧ</x:v>
      </x:c>
      <x:c r="C1350" s="14" t="str">
        <x:v>2874505737</x:v>
      </x:c>
      <x:c r="D1350" s="14" t="str">
        <x:v>Газопостачання / котельні</x:v>
      </x:c>
      <x:c r="E1350" s="14" t="str">
        <x:v>Expansion discovery</x:v>
      </x:c>
      <x:c r="F1350" s="14" t="str">
        <x:v>I3</x:v>
      </x:c>
      <x:c r="G1350" s="14" t="n">
        <x:v>26</x:v>
      </x:c>
      <x:c r="H1350" s="14" t="n">
        <x:v>2</x:v>
      </x:c>
      <x:c r="I1350" s="14" t="n">
        <x:v>0</x:v>
      </x:c>
      <x:c r="J1350" s="18" t="n">
        <x:v>175487.72</x:v>
      </x:c>
      <x:c r="K1350" s="19" t="n">
        <x:v>45503.58954800926</x:v>
      </x:c>
      <x:c r="L1350" s="19" t="n">
        <x:v>45518</x:v>
      </x:c>
      <x:c r="M1350" s="15" t="str">
        <x:v>Послуги по супроводженню видачі технічних умов по реконструкції системи газопостачання котельні за адресою замовника: с. Бобрик, вул. Ентузіастів, 2 за кодом ДК 021:2015: 71730000-4 Послуги промислового контролю</x:v>
      </x:c>
      <x:c r="N1350" s="15" t="str">
        <x:v>https://prozorro.gov.ua/tender/UA-2024-07-30-009061-a</x:v>
      </x:c>
    </x:row>
    <x:row r="1351">
      <x:c r="A1351" s="14" t="n">
        <x:v>1347</x:v>
      </x:c>
      <x:c r="B1351" s="14" t="str">
        <x:v>ПОНОМАРЕНКО НАДІЯ ОЛЕКСІЇВНА</x:v>
      </x:c>
      <x:c r="C1351" s="14" t="str">
        <x:v>2917302142</x:v>
      </x:c>
      <x:c r="D1351" s="14" t="str">
        <x:v>Накопичення енергії / BESS</x:v>
      </x:c>
      <x:c r="E1351" s="14" t="str">
        <x:v>Expansion discovery</x:v>
      </x:c>
      <x:c r="F1351" s="14" t="str">
        <x:v>I3</x:v>
      </x:c>
      <x:c r="G1351" s="14" t="n">
        <x:v>26</x:v>
      </x:c>
      <x:c r="H1351" s="14" t="n">
        <x:v>1</x:v>
      </x:c>
      <x:c r="I1351" s="14" t="n">
        <x:v>0</x:v>
      </x:c>
      <x:c r="J1351" s="18" t="n">
        <x:v>43727.91</x:v>
      </x:c>
      <x:c r="K1351" s="19" t="n">
        <x:v>45638.5269890625</x:v>
      </x:c>
      <x:c r="L1351" s="19" t="n">
        <x:v>45650</x:v>
      </x:c>
      <x:c r="M1351" s="15" t="str">
        <x:v>Послуги з монтажу та налаштування системи накопичення енергії та живлення «Tesla» (код за ЕЗС ДК 021:2015: 45310000-3 - Електромонтажні роботи) </x:v>
      </x:c>
      <x:c r="N1351" s="15" t="str">
        <x:v>https://prozorro.gov.ua/tender/UA-2024-12-12-013422-a</x:v>
      </x:c>
    </x:row>
    <x:row r="1352">
      <x:c r="A1352" s="14" t="n">
        <x:v>1348</x:v>
      </x:c>
      <x:c r="B1352" s="14" t="str">
        <x:v>ПП "Рембуд-2603"</x:v>
      </x:c>
      <x:c r="C1352" s="14" t="str">
        <x:v>37632919</x:v>
      </x:c>
      <x:c r="D1352" s="14" t="str">
        <x:v>Резервне живлення</x:v>
      </x:c>
      <x:c r="E1352" s="14" t="str">
        <x:v>Pilot now</x:v>
      </x:c>
      <x:c r="F1352" s="14" t="str">
        <x:v>I3</x:v>
      </x:c>
      <x:c r="G1352" s="14" t="n">
        <x:v>26</x:v>
      </x:c>
      <x:c r="H1352" s="14" t="n">
        <x:v>1</x:v>
      </x:c>
      <x:c r="I1352" s="14" t="n">
        <x:v>0</x:v>
      </x:c>
      <x:c r="J1352" s="18" t="n">
        <x:v>99967.31</x:v>
      </x:c>
      <x:c r="K1352" s="19" t="n">
        <x:v>45646.354636805554</x:v>
      </x:c>
      <x:c r="L1352" s="19" t="n">
        <x:v>45649</x:v>
      </x:c>
      <x:c r="M1352" s="15" t="str">
        <x:v>Загальнобудівельні роботи з монтажем дизель-генератора</x:v>
      </x:c>
      <x:c r="N1352" s="15" t="str">
        <x:v>https://prozorro.gov.ua/tender/UA-2024-12-20-004210-a</x:v>
      </x:c>
    </x:row>
    <x:row r="1353">
      <x:c r="A1353" s="14" t="n">
        <x:v>1349</x:v>
      </x:c>
      <x:c r="B1353" s="14" t="str">
        <x:v>ПП Майстер Рос</x:v>
      </x:c>
      <x:c r="C1353" s="14" t="str">
        <x:v>32713102</x:v>
      </x:c>
      <x:c r="D1353" s="14" t="str">
        <x:v>Ліфти та підйомники</x:v>
      </x:c>
      <x:c r="E1353" s="14" t="str">
        <x:v>Expansion discovery</x:v>
      </x:c>
      <x:c r="F1353" s="14" t="str">
        <x:v>I3</x:v>
      </x:c>
      <x:c r="G1353" s="14" t="n">
        <x:v>26</x:v>
      </x:c>
      <x:c r="H1353" s="14" t="n">
        <x:v>1</x:v>
      </x:c>
      <x:c r="I1353" s="14" t="n">
        <x:v>0</x:v>
      </x:c>
      <x:c r="J1353" s="18" t="n">
        <x:v>61248.74</x:v>
      </x:c>
      <x:c r="K1353" s="19" t="n">
        <x:v>45435.514180694445</x:v>
      </x:c>
      <x:c r="L1353" s="19" t="n">
        <x:v>45657</x:v>
      </x:c>
      <x:c r="M1353"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x:v>
      </x:c>
      <x:c r="N1353" s="15" t="str">
        <x:v>https://prozorro.gov.ua/tender/UA-2024-05-23-009258-a</x:v>
      </x:c>
    </x:row>
    <x:row r="1354">
      <x:c r="A1354" s="14" t="n">
        <x:v>1350</x:v>
      </x:c>
      <x:c r="B1354" s="14" t="str">
        <x:v>ПРАТ "КАНІВ-ДНІПРОБУД"</x:v>
      </x:c>
      <x:c r="C1354" s="14" t="str">
        <x:v>00116872</x:v>
      </x:c>
      <x:c r="D1354" s="14" t="str">
        <x:v>ГНБ / безтраншейні роботи</x:v>
      </x:c>
      <x:c r="E1354" s="14" t="str">
        <x:v>Expansion discovery</x:v>
      </x:c>
      <x:c r="F1354" s="14" t="str">
        <x:v>I3</x:v>
      </x:c>
      <x:c r="G1354" s="14" t="n">
        <x:v>26</x:v>
      </x:c>
      <x:c r="H1354" s="14" t="n">
        <x:v>1</x:v>
      </x:c>
      <x:c r="I1354" s="14" t="n">
        <x:v>0</x:v>
      </x:c>
      <x:c r="J1354" s="18" t="n">
        <x:v>55200</x:v>
      </x:c>
      <x:c r="K1354" s="19" t="n">
        <x:v>45343.564817094906</x:v>
      </x:c>
      <x:c r="L1354" s="19" t="n">
        <x:v>45657.56267361111</x:v>
      </x:c>
      <x:c r="M1354" s="15" t="str">
        <x:v>Влаштування проколу методом горизонтального направленого буріння, прокол d50 мм довжиною 25м у м.Золотоноша вул. Леонтовича</x:v>
      </x:c>
      <x:c r="N1354" s="15" t="str">
        <x:v>https://prozorro.gov.ua/tender/UA-2024-02-21-010331-a</x:v>
      </x:c>
    </x:row>
    <x:row r="1355">
      <x:c r="A1355" s="14" t="n">
        <x:v>1351</x:v>
      </x:c>
      <x:c r="B1355" s="14" t="str">
        <x:v>ПРИВАТНЕ ПІДПРИЄМСТВО "ДИКИЙ САД"</x:v>
      </x:c>
      <x:c r="C1355" s="14" t="str">
        <x:v>22426550</x:v>
      </x:c>
      <x:c r="D1355" s="14" t="str">
        <x:v>ВОЛЗ / телеком</x:v>
      </x:c>
      <x:c r="E1355" s="14" t="str">
        <x:v>Expansion discovery</x:v>
      </x:c>
      <x:c r="F1355" s="14" t="str">
        <x:v>I3</x:v>
      </x:c>
      <x:c r="G1355" s="14" t="n">
        <x:v>26</x:v>
      </x:c>
      <x:c r="H1355" s="14" t="n">
        <x:v>1</x:v>
      </x:c>
      <x:c r="I1355" s="14" t="n">
        <x:v>0</x:v>
      </x:c>
      <x:c r="J1355" s="18" t="n">
        <x:v>7428</x:v>
      </x:c>
      <x:c r="K1355" s="19" t="n">
        <x:v>45506.467394618056</x:v>
      </x:c>
      <x:c r="L1355" s="19" t="n">
        <x:v>45555</x:v>
      </x:c>
      <x:c r="M1355" s="15" t="str">
        <x:v>Послуги з монтажу волоконно-оптичної лінії зв'язку для підключення одного пристрою до мережі передачі даних компанії "Дикий Сад". Код ДК 021:2015 45230000-8-Будівництво трубопроводів, ліній зв’язку та електропередач, шосе, доріг, аеродромів і залізничних доріг; вирівнювання поверхонь (45231600-1 Прокладання ліній зв'язку)</x:v>
      </x:c>
      <x:c r="N1355" s="15" t="str">
        <x:v>https://prozorro.gov.ua/tender/UA-2024-08-02-007644-a</x:v>
      </x:c>
    </x:row>
    <x:row r="1356">
      <x:c r="A1356" s="14" t="n">
        <x:v>1352</x:v>
      </x:c>
      <x:c r="B1356" s="14" t="str">
        <x:v>Приватне підприємство "Енергохолод"</x:v>
      </x:c>
      <x:c r="C1356" s="14" t="str">
        <x:v>38756251</x:v>
      </x:c>
      <x:c r="D1356" s="14" t="str">
        <x:v>Промисловий холод</x:v>
      </x:c>
      <x:c r="E1356" s="14" t="str">
        <x:v>Expansion discovery</x:v>
      </x:c>
      <x:c r="F1356" s="14" t="str">
        <x:v>I3</x:v>
      </x:c>
      <x:c r="G1356" s="14" t="n">
        <x:v>26</x:v>
      </x:c>
      <x:c r="H1356" s="14" t="n">
        <x:v>1</x:v>
      </x:c>
      <x:c r="I1356" s="14" t="n">
        <x:v>0</x:v>
      </x:c>
      <x:c r="J1356" s="18" t="n">
        <x:v>50400</x:v>
      </x:c>
      <x:c r="K1356" s="19" t="n">
        <x:v>45307.548942685185</x:v>
      </x:c>
      <x:c r="L1356" s="19" t="n">
        <x:v>45657.55060185185</x:v>
      </x:c>
      <x:c r="M1356" s="15" t="str">
        <x:v>Монтаж холодильної камери</x:v>
      </x:c>
      <x:c r="N1356" s="15" t="str">
        <x:v>https://prozorro.gov.ua/tender/UA-2024-01-16-011244-a</x:v>
      </x:c>
    </x:row>
    <x:row r="1357">
      <x:c r="A1357" s="14" t="n">
        <x:v>1353</x:v>
      </x:c>
      <x:c r="B1357" s="14" t="str">
        <x:v>ПРИВАТНЕ ПІДПРИЄМСТВО "ЄВРОКЛІМАТ"</x:v>
      </x:c>
      <x:c r="C1357" s="14" t="str">
        <x:v>31880908</x:v>
      </x:c>
      <x:c r="D1357" s="14" t="str">
        <x:v>HVAC / ОВіК</x:v>
      </x:c>
      <x:c r="E1357" s="14" t="str">
        <x:v>Pilot now</x:v>
      </x:c>
      <x:c r="F1357" s="14" t="str">
        <x:v>I3</x:v>
      </x:c>
      <x:c r="G1357" s="14" t="n">
        <x:v>26</x:v>
      </x:c>
      <x:c r="H1357" s="14" t="n">
        <x:v>1</x:v>
      </x:c>
      <x:c r="I1357" s="14" t="n">
        <x:v>0</x:v>
      </x:c>
      <x:c r="J1357" s="18" t="n">
        <x:v>31944</x:v>
      </x:c>
      <x:c r="K1357" s="19" t="n">
        <x:v>45699.5493759838</x:v>
      </x:c>
      <x:c r="L1357" s="19" t="n">
        <x:v>45716</x:v>
      </x:c>
      <x:c r="M1357" s="15" t="str">
        <x:v>Послуги з демонтажу та монтажу систем вентиляції у приміщенні пральні</x:v>
      </x:c>
      <x:c r="N1357" s="15" t="str">
        <x:v>https://prozorro.gov.ua/tender/UA-2025-02-11-011237-a</x:v>
      </x:c>
    </x:row>
    <x:row r="1358">
      <x:c r="A1358" s="14" t="n">
        <x:v>1354</x:v>
      </x:c>
      <x:c r="B1358" s="14" t="str">
        <x:v>ПРИВАТНЕ ПІДПРИЄМСТВО "СЕРВІС-ТРАНС-ПЛЮС"</x:v>
      </x:c>
      <x:c r="C1358" s="14" t="str">
        <x:v>32080360</x:v>
      </x:c>
      <x:c r="D1358" s="14" t="str">
        <x:v>Залізнична інфраструктура</x:v>
      </x:c>
      <x:c r="E1358" s="14" t="str">
        <x:v>Expansion discovery</x:v>
      </x:c>
      <x:c r="F1358" s="14" t="str">
        <x:v>I3</x:v>
      </x:c>
      <x:c r="G1358" s="14" t="n">
        <x:v>26</x:v>
      </x:c>
      <x:c r="H1358" s="14" t="n">
        <x:v>1</x:v>
      </x:c>
      <x:c r="I1358" s="14" t="n">
        <x:v>0</x:v>
      </x:c>
      <x:c r="J1358" s="18" t="n">
        <x:v>56775</x:v>
      </x:c>
      <x:c r="K1358" s="19" t="n">
        <x:v>45757.697381770835</x:v>
      </x:c>
      <x:c r="L1358" s="19" t="n">
        <x:v>46021</x:v>
      </x:c>
      <x:c r="M1358" s="15" t="str">
        <x:v>ДК 021:2015 –  50220000-3 Послуги з ремонту, технічного обслуговування залізничного транспорту і пов’язаного обладнання та супутні послуги (Послуга з ремонту залізничних колій)</x:v>
      </x:c>
      <x:c r="N1358" s="15" t="str">
        <x:v>https://prozorro.gov.ua/tender/UA-2025-04-10-014435-a</x:v>
      </x:c>
    </x:row>
    <x:row r="1359">
      <x:c r="A1359" s="14" t="n">
        <x:v>1355</x:v>
      </x:c>
      <x:c r="B1359" s="14" t="str">
        <x:v>ПРИВАТНЕ ПІДПРИЄМСТВО "ЮАІНЕТ"</x:v>
      </x:c>
      <x:c r="C1359" s="14" t="str">
        <x:v>36523021</x:v>
      </x:c>
      <x:c r="D1359" s="14" t="str">
        <x:v>ВОЛЗ / телеком</x:v>
      </x:c>
      <x:c r="E1359" s="14" t="str">
        <x:v>Expansion discovery</x:v>
      </x:c>
      <x:c r="F1359" s="14" t="str">
        <x:v>I3</x:v>
      </x:c>
      <x:c r="G1359" s="14" t="n">
        <x:v>26</x:v>
      </x:c>
      <x:c r="H1359" s="14" t="n">
        <x:v>1</x:v>
      </x:c>
      <x:c r="I1359" s="14" t="n">
        <x:v>0</x:v>
      </x:c>
      <x:c r="J1359" s="18" t="n">
        <x:v>1700</x:v>
      </x:c>
      <x:c r="K1359" s="19" t="n">
        <x:v>45649.64263998843</x:v>
      </x:c>
      <x:c r="L1359" s="19" t="n">
        <x:v>45657</x:v>
      </x:c>
      <x:c r="M1359" s="15" t="str">
        <x:v>Послуги прокладання волокно-оптичної лінії зв’язку та встановлення електронно-комунікаційного обладнання за адресою: м. Ковель, вул. Героїв України, 11 (ДК 021:2015: 45230000-8 - Будівництво трубопроводів, ліній зв’язку та електропередач, шосе, доріг, аеродромів і залізничних доріг; вирівнювання поверхонь)</x:v>
      </x:c>
      <x:c r="N1359" s="15" t="str">
        <x:v>https://prozorro.gov.ua/tender/UA-2024-12-23-019851-a</x:v>
      </x:c>
    </x:row>
    <x:row r="1360">
      <x:c r="A1360" s="14" t="n">
        <x:v>1356</x:v>
      </x:c>
      <x:c r="B1360" s="14" t="str">
        <x:v>РОМАНЮК РОМАН ПЕТРОВИЧ</x:v>
      </x:c>
      <x:c r="C1360" s="14" t="str">
        <x:v>3133817830</x:v>
      </x:c>
      <x:c r="D1360" s="14" t="str">
        <x:v>Покрівлі та гідроізоляція</x:v>
      </x:c>
      <x:c r="E1360" s="14" t="str">
        <x:v>Expansion discovery</x:v>
      </x:c>
      <x:c r="F1360" s="14" t="str">
        <x:v>I3</x:v>
      </x:c>
      <x:c r="G1360" s="14" t="n">
        <x:v>26</x:v>
      </x:c>
      <x:c r="H1360" s="14" t="n">
        <x:v>1</x:v>
      </x:c>
      <x:c r="I1360" s="14" t="n">
        <x:v>0</x:v>
      </x:c>
      <x:c r="J1360" s="18" t="n">
        <x:v>18170</x:v>
      </x:c>
      <x:c r="K1360" s="19" t="n">
        <x:v>45628.61251863426</x:v>
      </x:c>
      <x:c r="L1360" s="19" t="n">
        <x:v>45657</x:v>
      </x:c>
      <x:c r="M1360" s="15" t="str">
        <x:v>будівельні матеріали для проведення ремонтних робіт господарським способом-мастика гідроізоляційна, уайт-спірит</x:v>
      </x:c>
      <x:c r="N1360" s="15" t="str">
        <x:v>https://prozorro.gov.ua/tender/UA-2024-12-02-007893-a</x:v>
      </x:c>
    </x:row>
    <x:row r="1361">
      <x:c r="A1361" s="14" t="n">
        <x:v>1357</x:v>
      </x:c>
      <x:c r="B1361" s="14" t="str">
        <x:v>САЗОНОВА АННА ОЛЕКСАНДРІВНА</x:v>
      </x:c>
      <x:c r="C1361" s="14" t="str">
        <x:v>3490705869</x:v>
      </x:c>
      <x:c r="D1361" s="14" t="str">
        <x:v>Покрівлі та гідроізоляція</x:v>
      </x:c>
      <x:c r="E1361" s="14" t="str">
        <x:v>Expansion discovery</x:v>
      </x:c>
      <x:c r="F1361" s="14" t="str">
        <x:v>I3</x:v>
      </x:c>
      <x:c r="G1361" s="14" t="n">
        <x:v>26</x:v>
      </x:c>
      <x:c r="H1361" s="14" t="n">
        <x:v>1</x:v>
      </x:c>
      <x:c r="I1361" s="14" t="n">
        <x:v>0</x:v>
      </x:c>
      <x:c r="J1361" s="18" t="n">
        <x:v>50000</x:v>
      </x:c>
      <x:c r="K1361" s="19" t="n">
        <x:v>45441.56384417824</x:v>
      </x:c>
      <x:c r="L1361" s="19" t="n">
        <x:v>45657</x:v>
      </x:c>
      <x:c r="M1361"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x:v>
      </x:c>
      <x:c r="N1361" s="15" t="str">
        <x:v>https://prozorro.gov.ua/tender/UA-2024-05-29-008715-a</x:v>
      </x:c>
    </x:row>
    <x:row r="1362">
      <x:c r="A1362" s="14" t="n">
        <x:v>1358</x:v>
      </x:c>
      <x:c r="B1362" s="14" t="str">
        <x:v>ТОВ "АГП ЕНЕРГО"</x:v>
      </x:c>
      <x:c r="C1362" s="14" t="str">
        <x:v>38830889</x:v>
      </x:c>
      <x:c r="D1362" s="14" t="str">
        <x:v>Промислова теплоізоляція</x:v>
      </x:c>
      <x:c r="E1362" s="14" t="str">
        <x:v>Expansion discovery</x:v>
      </x:c>
      <x:c r="F1362" s="14" t="str">
        <x:v>I3</x:v>
      </x:c>
      <x:c r="G1362" s="14" t="n">
        <x:v>26</x:v>
      </x:c>
      <x:c r="H1362" s="14" t="n">
        <x:v>1</x:v>
      </x:c>
      <x:c r="I1362" s="14" t="n">
        <x:v>0</x:v>
      </x:c>
      <x:c r="J1362" s="18" t="n">
        <x:v>30934</x:v>
      </x:c>
      <x:c r="K1362" s="19" t="n">
        <x:v>45628.45589813658</x:v>
      </x:c>
      <x:c r="L1362" s="19" t="n">
        <x:v>45657</x:v>
      </x:c>
      <x:c r="M1362" s="15" t="str">
        <x:v>Поточний ремонт зовнішніх тепломереж (заміна теплоізоляції на трубопроводі)</x:v>
      </x:c>
      <x:c r="N1362" s="15" t="str">
        <x:v>https://prozorro.gov.ua/tender/UA-2024-12-02-007568-a</x:v>
      </x:c>
    </x:row>
    <x:row r="1363">
      <x:c r="A1363" s="14" t="n">
        <x:v>1359</x:v>
      </x:c>
      <x:c r="B1363" s="14" t="str">
        <x:v>ТОВ «ЕКСПОРТ ІНВЕСТ ГРУП»</x:v>
      </x:c>
      <x:c r="C1363" s="14" t="str">
        <x:v>45294024</x:v>
      </x:c>
      <x:c r="D1363" s="14" t="str">
        <x:v>Покрівлі та гідроізоляція</x:v>
      </x:c>
      <x:c r="E1363" s="14" t="str">
        <x:v>Expansion discovery</x:v>
      </x:c>
      <x:c r="F1363" s="14" t="str">
        <x:v>I3</x:v>
      </x:c>
      <x:c r="G1363" s="14" t="n">
        <x:v>26</x:v>
      </x:c>
      <x:c r="H1363" s="14" t="n">
        <x:v>1</x:v>
      </x:c>
      <x:c r="I1363" s="14" t="n">
        <x:v>0</x:v>
      </x:c>
      <x:c r="J1363" s="18" t="n">
        <x:v>10000</x:v>
      </x:c>
      <x:c r="K1363" s="19" t="n">
        <x:v>45505.52111070602</x:v>
      </x:c>
      <x:c r="L1363" s="19" t="n">
        <x:v>45657</x:v>
      </x:c>
      <x:c r="M1363"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363" s="15" t="str">
        <x:v>https://prozorro.gov.ua/tender/UA-2024-08-01-007036-a</x:v>
      </x:c>
    </x:row>
    <x:row r="1364">
      <x:c r="A1364" s="14" t="n">
        <x:v>1360</x:v>
      </x:c>
      <x:c r="B1364" s="14" t="str">
        <x:v>ТОВАРИСТВО З ОБМЕЖЕНОЮ ВІДПОВІДАЛЬНІСТЮ "АЙРЕНА"</x:v>
      </x:c>
      <x:c r="C1364" s="14" t="str">
        <x:v>45289763</x:v>
      </x:c>
      <x:c r="D1364" s="14" t="str">
        <x:v>Покрівлі та гідроізоляція</x:v>
      </x:c>
      <x:c r="E1364" s="14" t="str">
        <x:v>Expansion discovery</x:v>
      </x:c>
      <x:c r="F1364" s="14" t="str">
        <x:v>I3</x:v>
      </x:c>
      <x:c r="G1364" s="14" t="n">
        <x:v>26</x:v>
      </x:c>
      <x:c r="H1364" s="14" t="n">
        <x:v>1</x:v>
      </x:c>
      <x:c r="I1364" s="14" t="n">
        <x:v>0</x:v>
      </x:c>
      <x:c r="J1364" s="18" t="n">
        <x:v>27680</x:v>
      </x:c>
      <x:c r="K1364" s="19" t="n">
        <x:v>45638.39091829861</x:v>
      </x:c>
      <x:c r="L1364" s="19" t="n">
        <x:v>45657</x:v>
      </x:c>
      <x:c r="M1364"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364" s="15" t="str">
        <x:v>https://prozorro.gov.ua/tender/UA-2024-12-12-006240-a</x:v>
      </x:c>
    </x:row>
    <x:row r="1365">
      <x:c r="A1365" s="14" t="n">
        <x:v>1361</x:v>
      </x:c>
      <x:c r="B1365" s="14" t="str">
        <x:v>ТОВАРИСТВО З ОБМЕЖЕНОЮ ВІДПОВІДАЛЬНІСТЮ "АКВА-ТРЕНД"</x:v>
      </x:c>
      <x:c r="C1365" s="14" t="str">
        <x:v>42856537</x:v>
      </x:c>
      <x:c r="D1365" s="14" t="str">
        <x:v>Басейни та водні комплекси</x:v>
      </x:c>
      <x:c r="E1365" s="14" t="str">
        <x:v>Expansion discovery</x:v>
      </x:c>
      <x:c r="F1365" s="14" t="str">
        <x:v>I3</x:v>
      </x:c>
      <x:c r="G1365" s="14" t="n">
        <x:v>26</x:v>
      </x:c>
      <x:c r="H1365" s="14" t="n">
        <x:v>1</x:v>
      </x:c>
      <x:c r="I1365" s="14" t="n">
        <x:v>0</x:v>
      </x:c>
      <x:c r="J1365" s="18" t="n">
        <x:v>45050</x:v>
      </x:c>
      <x:c r="K1365" s="19" t="n">
        <x:v>45713.38519702546</x:v>
      </x:c>
      <x:c r="L1365" s="19" t="n">
        <x:v>46022</x:v>
      </x:c>
      <x:c r="M1365" s="15" t="str">
        <x:v>Послуги з ремонту і технічного обслуговування басейну, код 45210000-2 - Будівництво будівель, за ДК 021:2015</x:v>
      </x:c>
      <x:c r="N1365" s="15" t="str">
        <x:v>https://prozorro.gov.ua/tender/UA-2025-02-25-003363-a</x:v>
      </x:c>
    </x:row>
    <x:row r="1366">
      <x:c r="A1366" s="14" t="n">
        <x:v>1362</x:v>
      </x:c>
      <x:c r="B1366" s="14" t="str">
        <x:v>ТОВАРИСТВО З ОБМЕЖЕНОЮ ВІДПОВІДАЛЬНІСТЮ "АЛЬПБІЛД"</x:v>
      </x:c>
      <x:c r="C1366" s="14" t="str">
        <x:v>43694475</x:v>
      </x:c>
      <x:c r="D1366" s="14" t="str">
        <x:v>Металоконструкції</x:v>
      </x:c>
      <x:c r="E1366" s="14" t="str">
        <x:v>Expansion discovery</x:v>
      </x:c>
      <x:c r="F1366" s="14" t="str">
        <x:v>I3</x:v>
      </x:c>
      <x:c r="G1366" s="14" t="n">
        <x:v>26</x:v>
      </x:c>
      <x:c r="H1366" s="14" t="n">
        <x:v>1</x:v>
      </x:c>
      <x:c r="I1366" s="14" t="n">
        <x:v>0</x:v>
      </x:c>
      <x:c r="J1366" s="18" t="n">
        <x:v>21000</x:v>
      </x:c>
      <x:c r="K1366" s="19" t="n">
        <x:v>45729.485074131946</x:v>
      </x:c>
      <x:c r="L1366" s="19" t="n">
        <x:v>45728</x:v>
      </x:c>
      <x:c r="M1366" s="15" t="str">
        <x:v>Монтаж рекламної металоконструкції інформаційного носія розміром 2600*7000мм (за кодом ДК 021:2015: 45220000-5 Інженерні та будівельні роботи).</x:v>
      </x:c>
      <x:c r="N1366" s="15" t="str">
        <x:v>https://prozorro.gov.ua/tender/UA-2025-03-13-007747-a</x:v>
      </x:c>
    </x:row>
    <x:row r="1367">
      <x:c r="A1367" s="14" t="n">
        <x:v>1363</x:v>
      </x:c>
      <x:c r="B1367" s="14" t="str">
        <x:v>ТОВАРИСТВО З ОБМЕЖЕНОЮ ВІДПОВІДАЛЬНІСТЮ "АСТРА"</x:v>
      </x:c>
      <x:c r="C1367" s="14" t="str">
        <x:v>13471936</x:v>
      </x:c>
      <x:c r="D1367" s="14" t="str">
        <x:v>Промисловий холод</x:v>
      </x:c>
      <x:c r="E1367" s="14" t="str">
        <x:v>Expansion discovery</x:v>
      </x:c>
      <x:c r="F1367" s="14" t="str">
        <x:v>I3</x:v>
      </x:c>
      <x:c r="G1367" s="14" t="n">
        <x:v>26</x:v>
      </x:c>
      <x:c r="H1367" s="14" t="n">
        <x:v>1</x:v>
      </x:c>
      <x:c r="I1367" s="14" t="n">
        <x:v>0</x:v>
      </x:c>
      <x:c r="J1367" s="18" t="n">
        <x:v>89392.12</x:v>
      </x:c>
      <x:c r="K1367" s="19" t="n">
        <x:v>45637.306803576386</x:v>
      </x:c>
      <x:c r="L1367" s="19" t="n">
        <x:v>45642</x:v>
      </x:c>
      <x:c r="M1367" s="15" t="str">
        <x:v>50730000-1 Послуги з ремонту та технічного обслуговування охолоджувальних установок  (послуги з монтажу холодильної камери) </x:v>
      </x:c>
      <x:c r="N1367" s="15" t="str">
        <x:v>https://prozorro.gov.ua/tender/UA-2024-12-11-001349-a</x:v>
      </x:c>
    </x:row>
    <x:row r="1368">
      <x:c r="A1368" s="14" t="n">
        <x:v>1364</x:v>
      </x:c>
      <x:c r="B1368" s="14" t="str">
        <x:v>Товариство з обмеженою відповідальністю "Бенефіс ЛТД"</x:v>
      </x:c>
      <x:c r="C1368" s="14" t="str">
        <x:v>39916826</x:v>
      </x:c>
      <x:c r="D1368" s="14" t="str">
        <x:v>Резервне живлення</x:v>
      </x:c>
      <x:c r="E1368" s="14" t="str">
        <x:v>Pilot now</x:v>
      </x:c>
      <x:c r="F1368" s="14" t="str">
        <x:v>I3</x:v>
      </x:c>
      <x:c r="G1368" s="14" t="n">
        <x:v>26</x:v>
      </x:c>
      <x:c r="H1368" s="14" t="n">
        <x:v>1</x:v>
      </x:c>
      <x:c r="I1368" s="14" t="n">
        <x:v>0</x:v>
      </x:c>
      <x:c r="J1368" s="18" t="n">
        <x:v>89200</x:v>
      </x:c>
      <x:c r="K1368" s="19" t="n">
        <x:v>45632.285151585646</x:v>
      </x:c>
      <x:c r="L1368" s="19" t="n">
        <x:v>45657.28414351852</x:v>
      </x:c>
      <x:c r="M1368" s="15" t="str">
        <x:v>Послуги зі встановлення дизель-генератора</x:v>
      </x:c>
      <x:c r="N1368" s="15" t="str">
        <x:v>https://prozorro.gov.ua/tender/UA-2024-12-06-000566-a</x:v>
      </x:c>
    </x:row>
    <x:row r="1369">
      <x:c r="A1369" s="14" t="n">
        <x:v>1365</x:v>
      </x:c>
      <x:c r="B1369" s="14" t="str">
        <x:v>ТОВАРИСТВО З ОБМЕЖЕНОЮ ВІДПОВІДАЛЬНІСТЮ "ВАЛМІ ГРУП"</x:v>
      </x:c>
      <x:c r="C1369" s="14" t="str">
        <x:v>36848790</x:v>
      </x:c>
      <x:c r="D1369" s="14" t="str">
        <x:v>Покрівлі та гідроізоляція</x:v>
      </x:c>
      <x:c r="E1369" s="14" t="str">
        <x:v>Expansion discovery</x:v>
      </x:c>
      <x:c r="F1369" s="14" t="str">
        <x:v>I3</x:v>
      </x:c>
      <x:c r="G1369" s="14" t="n">
        <x:v>26</x:v>
      </x:c>
      <x:c r="H1369" s="14" t="n">
        <x:v>1</x:v>
      </x:c>
      <x:c r="I1369" s="14" t="n">
        <x:v>0</x:v>
      </x:c>
      <x:c r="J1369" s="18" t="n">
        <x:v>42923.99</x:v>
      </x:c>
      <x:c r="K1369" s="19" t="n">
        <x:v>45603.482593877314</x:v>
      </x:c>
      <x:c r="L1369" s="19" t="n">
        <x:v>45657</x:v>
      </x:c>
      <x:c r="M1369"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x:v>
      </x:c>
      <x:c r="N1369" s="15" t="str">
        <x:v>https://prozorro.gov.ua/tender/UA-2024-11-07-007867-a</x:v>
      </x:c>
    </x:row>
    <x:row r="1370">
      <x:c r="A1370" s="14" t="n">
        <x:v>1366</x:v>
      </x:c>
      <x:c r="B1370" s="14" t="str">
        <x:v>ТОВАРИСТВО З ОБМЕЖЕНОЮ ВІДПОВІДАЛЬНІСТЮ "ВИРОБНИЧО-СЕРВІСНА КОМПАНІЯ МЕДТЕХОКСІГЕН"</x:v>
      </x:c>
      <x:c r="C1370" s="14" t="str">
        <x:v>44470933</x:v>
      </x:c>
      <x:c r="D1370" s="14" t="str">
        <x:v>Медичні гази</x:v>
      </x:c>
      <x:c r="E1370" s="14" t="str">
        <x:v>Expansion discovery</x:v>
      </x:c>
      <x:c r="F1370" s="14" t="str">
        <x:v>I3</x:v>
      </x:c>
      <x:c r="G1370" s="14" t="n">
        <x:v>26</x:v>
      </x:c>
      <x:c r="H1370" s="14" t="n">
        <x:v>2</x:v>
      </x:c>
      <x:c r="I1370" s="14" t="n">
        <x:v>0</x:v>
      </x:c>
      <x:c r="J1370" s="18" t="n">
        <x:v>106965.89000000001</x:v>
      </x:c>
      <x:c r="K1370" s="19" t="n">
        <x:v>45609.58302783565</x:v>
      </x:c>
      <x:c r="L1370" s="19" t="n">
        <x:v>45618</x:v>
      </x:c>
      <x:c r="M1370" s="15" t="str">
        <x:v>монтаж системи постачання медичних газів ( облаштування додаткових кисневих точок на І поверсі головного корпусу, каб №35 та №36) в КНП "Збаразька ЦЛ"ЗМР</x:v>
      </x:c>
      <x:c r="N1370" s="15" t="str">
        <x:v>https://prozorro.gov.ua/tender/UA-2024-11-13-003692-a</x:v>
      </x:c>
    </x:row>
    <x:row r="1371">
      <x:c r="A1371" s="14" t="n">
        <x:v>1367</x:v>
      </x:c>
      <x:c r="B1371" s="14" t="str">
        <x:v>ТОВАРИСТВО З ОБМЕЖЕНОЮ ВІДПОВІДАЛЬНІСТЮ "ВОЛИНЬСАНТЕХКОМПЛЕКТ"</x:v>
      </x:c>
      <x:c r="C1371" s="14" t="str">
        <x:v>31788580</x:v>
      </x:c>
      <x:c r="D1371" s="14" t="str">
        <x:v>Промислова теплоізоляція</x:v>
      </x:c>
      <x:c r="E1371" s="14" t="str">
        <x:v>Expansion discovery</x:v>
      </x:c>
      <x:c r="F1371" s="14" t="str">
        <x:v>I3</x:v>
      </x:c>
      <x:c r="G1371" s="14" t="n">
        <x:v>26</x:v>
      </x:c>
      <x:c r="H1371" s="14" t="n">
        <x:v>1</x:v>
      </x:c>
      <x:c r="I1371" s="14" t="n">
        <x:v>0</x:v>
      </x:c>
      <x:c r="J1371" s="18" t="n">
        <x:v>2198</x:v>
      </x:c>
      <x:c r="K1371" s="19" t="n">
        <x:v>45565.38317920139</x:v>
      </x:c>
      <x:c r="L1371" s="19" t="n">
        <x:v>45565</x:v>
      </x:c>
      <x:c r="M1371"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x:v>
      </x:c>
      <x:c r="N1371" s="15" t="str">
        <x:v>https://prozorro.gov.ua/tender/UA-2024-09-30-001803-a</x:v>
      </x:c>
    </x:row>
    <x:row r="1372">
      <x:c r="A1372" s="14" t="n">
        <x:v>1368</x:v>
      </x:c>
      <x:c r="B1372" s="14" t="str">
        <x:v>ТОВАРИСТВО З ОБМЕЖЕНОЮ ВІДПОВІДАЛЬНІСТЮ "ДОНБАССТРОЙІНЖИНІРИНГ"</x:v>
      </x:c>
      <x:c r="C1372" s="14" t="str">
        <x:v>38531207</x:v>
      </x:c>
      <x:c r="D1372" s="14" t="str">
        <x:v>Ліфти та підйомники</x:v>
      </x:c>
      <x:c r="E1372" s="14" t="str">
        <x:v>Expansion discovery</x:v>
      </x:c>
      <x:c r="F1372" s="14" t="str">
        <x:v>I3</x:v>
      </x:c>
      <x:c r="G1372" s="14" t="n">
        <x:v>26</x:v>
      </x:c>
      <x:c r="H1372" s="14" t="n">
        <x:v>1</x:v>
      </x:c>
      <x:c r="I1372" s="14" t="n">
        <x:v>0</x:v>
      </x:c>
      <x:c r="J1372" s="18" t="n">
        <x:v>98600</x:v>
      </x:c>
      <x:c r="K1372" s="19" t="n">
        <x:v>45720.823735555554</x:v>
      </x:c>
      <x:c r="L1372" s="19" t="n">
        <x:v>45715</x:v>
      </x:c>
      <x:c r="M1372" s="15" t="str">
        <x:v>Монтаж систем диспетчерського зв'язку 58-мі пасажирських ліфти на житлових будинках</x:v>
      </x:c>
      <x:c r="N1372" s="15" t="str">
        <x:v>https://prozorro.gov.ua/tender/UA-2025-03-04-014990-a</x:v>
      </x:c>
    </x:row>
    <x:row r="1373">
      <x:c r="A1373" s="14" t="n">
        <x:v>1369</x:v>
      </x:c>
      <x:c r="B1373" s="14" t="str">
        <x:v>ТОВАРИСТВО З ОБМЕЖЕНОЮ ВІДПОВІДАЛЬНІСТЮ "ІТТЕК"</x:v>
      </x:c>
      <x:c r="C1373" s="14" t="str">
        <x:v>32113101</x:v>
      </x:c>
      <x:c r="D1373" s="14" t="str">
        <x:v>Резервне живлення</x:v>
      </x:c>
      <x:c r="E1373" s="14" t="str">
        <x:v>Pilot now</x:v>
      </x:c>
      <x:c r="F1373" s="14" t="str">
        <x:v>I3</x:v>
      </x:c>
      <x:c r="G1373" s="14" t="n">
        <x:v>26</x:v>
      </x:c>
      <x:c r="H1373" s="14" t="n">
        <x:v>1</x:v>
      </x:c>
      <x:c r="I1373" s="14" t="n">
        <x:v>0</x:v>
      </x:c>
      <x:c r="J1373" s="18" t="n">
        <x:v>1850</x:v>
      </x:c>
      <x:c r="K1373" s="19" t="n">
        <x:v>45643.40587633102</x:v>
      </x:c>
      <x:c r="L1373" s="19" t="n">
        <x:v>45657</x:v>
      </x:c>
      <x:c r="M1373" s="15" t="str">
        <x:v>Послуги з монтажу обладнання безперебійного живлення</x:v>
      </x:c>
      <x:c r="N1373" s="15" t="str">
        <x:v>https://prozorro.gov.ua/tender/UA-2024-12-17-007193-a</x:v>
      </x:c>
    </x:row>
    <x:row r="1374">
      <x:c r="A1374" s="14" t="n">
        <x:v>1370</x:v>
      </x:c>
      <x:c r="B1374" s="14" t="str">
        <x:v>ТОВАРИСТВО З ОБМЕЖЕНОЮ ВІДПОВІДАЛЬНІСТЮ "ЛІХТ"</x:v>
      </x:c>
      <x:c r="C1374" s="14" t="str">
        <x:v>35562709</x:v>
      </x:c>
      <x:c r="D1374" s="14" t="str">
        <x:v>Промисловий холод</x:v>
      </x:c>
      <x:c r="E1374" s="14" t="str">
        <x:v>Expansion discovery</x:v>
      </x:c>
      <x:c r="F1374" s="14" t="str">
        <x:v>I3</x:v>
      </x:c>
      <x:c r="G1374" s="14" t="n">
        <x:v>26</x:v>
      </x:c>
      <x:c r="H1374" s="14" t="n">
        <x:v>1</x:v>
      </x:c>
      <x:c r="I1374" s="14" t="n">
        <x:v>0</x:v>
      </x:c>
      <x:c r="J1374" s="18" t="n">
        <x:v>8070</x:v>
      </x:c>
      <x:c r="K1374" s="19" t="n">
        <x:v>45754.3661737963</x:v>
      </x:c>
      <x:c r="L1374" s="19" t="n">
        <x:v>46022</x:v>
      </x:c>
      <x:c r="M1374" s="15" t="str">
        <x:v>Монтаж холодильного обладнання </x:v>
      </x:c>
      <x:c r="N1374" s="15" t="str">
        <x:v>https://prozorro.gov.ua/tender/UA-2025-04-07-004442-a</x:v>
      </x:c>
    </x:row>
    <x:row r="1375">
      <x:c r="A1375" s="14" t="n">
        <x:v>1371</x:v>
      </x:c>
      <x:c r="B1375" s="14" t="str">
        <x:v>ТОВАРИСТВО З ОБМЕЖЕНОЮ ВІДПОВІДАЛЬНІСТЮ "МЕДТЕХСЕРВІС"</x:v>
      </x:c>
      <x:c r="C1375" s="14" t="str">
        <x:v>31183356</x:v>
      </x:c>
      <x:c r="D1375" s="14" t="str">
        <x:v>Технологічні трубопроводи</x:v>
      </x:c>
      <x:c r="E1375" s="14" t="str">
        <x:v>Expansion discovery</x:v>
      </x:c>
      <x:c r="F1375" s="14" t="str">
        <x:v>I3</x:v>
      </x:c>
      <x:c r="G1375" s="14" t="n">
        <x:v>26</x:v>
      </x:c>
      <x:c r="H1375" s="14" t="n">
        <x:v>1</x:v>
      </x:c>
      <x:c r="I1375" s="14" t="n">
        <x:v>0</x:v>
      </x:c>
      <x:c r="J1375" s="18" t="n">
        <x:v>18553</x:v>
      </x:c>
      <x:c r="K1375" s="19" t="n">
        <x:v>45358.39692652778</x:v>
      </x:c>
      <x:c r="L1375" s="19" t="n">
        <x:v>45657</x:v>
      </x:c>
      <x:c r="M1375" s="15" t="str">
        <x:v>код ДК 021:2015:50530000-9 Послуги з ремонту і технічного обслуговування техніки (зовнішній огляд та визначення несправності стерилізатора парового; зняття захисних кожухів, розбирання стерилізатора; чистка, ремонт, заміна прокладок трубопроводів (за з'єднання); чистка, ремонт, заміна прокладок запірної арматури (за один вентиль); ремонт водовказівної колонки; чистка, заміна прокладок пароутворювача; заміна ТЕНа в пароутворювачі (за один ТЕН); чистка, заміна прокладок конденсатора пари; ремонт електричної схеми; схеми автоматики; силової схеми; ремонт затискачів кришки стерилізаційної камери ВК-75, ВК-30, ВКУ - 50; ремонт затискача дверей стерилізаційної камери ГП-400, ГП-560; монтаж паропроводу для підведення води; перевірка на герметичність; чистка, ремонт, регулювання запобіжного клапана; перевірка роботи і пробна стерилізація; витрати на відрядження)
</x:v>
      </x:c>
      <x:c r="N1375" s="15" t="str">
        <x:v>https://prozorro.gov.ua/tender/UA-2024-03-07-004075-a</x:v>
      </x:c>
    </x:row>
    <x:row r="1376">
      <x:c r="A1376" s="14" t="n">
        <x:v>1372</x:v>
      </x:c>
      <x:c r="B1376" s="14" t="str">
        <x:v>ТОВАРИСТВО З ОБМЕЖЕНОЮ ВІДПОВІДАЛЬНІСТЮ "НАКНЕТ"</x:v>
      </x:c>
      <x:c r="C1376" s="14" t="str">
        <x:v>41512226</x:v>
      </x:c>
      <x:c r="D1376" s="14" t="str">
        <x:v>ВОЛЗ / телеком</x:v>
      </x:c>
      <x:c r="E1376" s="14" t="str">
        <x:v>Expansion discovery</x:v>
      </x:c>
      <x:c r="F1376" s="14" t="str">
        <x:v>I3</x:v>
      </x:c>
      <x:c r="G1376" s="14" t="n">
        <x:v>26</x:v>
      </x:c>
      <x:c r="H1376" s="14" t="n">
        <x:v>1</x:v>
      </x:c>
      <x:c r="I1376" s="14" t="n">
        <x:v>0</x:v>
      </x:c>
      <x:c r="J1376" s="18" t="n">
        <x:v>71500</x:v>
      </x:c>
      <x:c r="K1376" s="19" t="n">
        <x:v>45385.45974842593</x:v>
      </x:c>
      <x:c r="L1376" s="19" t="n">
        <x:v>45657</x:v>
      </x:c>
      <x:c r="M1376" s="15" t="str">
        <x:v>Монтаж телекомунікаційної мережі</x:v>
      </x:c>
      <x:c r="N1376" s="15" t="str">
        <x:v>https://prozorro.gov.ua/tender/UA-2024-04-03-007143-a</x:v>
      </x:c>
    </x:row>
    <x:row r="1377">
      <x:c r="A1377" s="14" t="n">
        <x:v>1373</x:v>
      </x:c>
      <x:c r="B1377" s="14" t="str">
        <x:v>ТОВАРИСТВО З ОБМЕЖЕНОЮ ВІДПОВІДАЛЬНІСТЮ "НАУКОВО-ВИРОБНИЧЕ ПІДПРИЄМСТВО "ЕЛЕКТРОНАЛАДКА"</x:v>
      </x:c>
      <x:c r="C1377" s="14" t="str">
        <x:v>43903493</x:v>
      </x:c>
      <x:c r="D1377" s="14" t="str">
        <x:v>Резервне живлення</x:v>
      </x:c>
      <x:c r="E1377" s="14" t="str">
        <x:v>Pilot now</x:v>
      </x:c>
      <x:c r="F1377" s="14" t="str">
        <x:v>I3</x:v>
      </x:c>
      <x:c r="G1377" s="14" t="n">
        <x:v>26</x:v>
      </x:c>
      <x:c r="H1377" s="14" t="n">
        <x:v>1</x:v>
      </x:c>
      <x:c r="I1377" s="14" t="n">
        <x:v>0</x:v>
      </x:c>
      <x:c r="J1377" s="18" t="n">
        <x:v>99149.87</x:v>
      </x:c>
      <x:c r="K1377" s="19" t="n">
        <x:v>45582.28227142361</x:v>
      </x:c>
      <x:c r="L1377" s="19" t="n">
        <x:v>45596</x:v>
      </x:c>
      <x:c r="M1377" s="15" t="str">
        <x:v>Послуги з монтажу електричного обладнання керування насосами системи живлення твердопаливної котельні потужністю 3 МВт від дизель-генератора</x:v>
      </x:c>
      <x:c r="N1377" s="15" t="str">
        <x:v>https://prozorro.gov.ua/tender/UA-2024-10-17-001573-a</x:v>
      </x:c>
    </x:row>
    <x:row r="1378">
      <x:c r="A1378" s="14" t="n">
        <x:v>1374</x:v>
      </x:c>
      <x:c r="B1378" s="14" t="str">
        <x:v>Товариство з обмеженою відповідальністю «ОХРАНА»</x:v>
      </x:c>
      <x:c r="C1378" s="14" t="str">
        <x:v>13857245</x:v>
      </x:c>
      <x:c r="D1378" s="14" t="str">
        <x:v>Пожежогасіння</x:v>
      </x:c>
      <x:c r="E1378" s="14" t="str">
        <x:v>Expansion discovery</x:v>
      </x:c>
      <x:c r="F1378" s="14" t="str">
        <x:v>I3</x:v>
      </x:c>
      <x:c r="G1378" s="14" t="n">
        <x:v>26</x:v>
      </x:c>
      <x:c r="H1378" s="14" t="n">
        <x:v>1</x:v>
      </x:c>
      <x:c r="I1378" s="14" t="n">
        <x:v>0</x:v>
      </x:c>
      <x:c r="J1378" s="18" t="n">
        <x:v>80618.89</x:v>
      </x:c>
      <x:c r="K1378" s="19" t="n">
        <x:v>45425.513737685185</x:v>
      </x:c>
      <x:c r="L1378" s="19" t="n">
        <x:v>45657.55762731482</x:v>
      </x:c>
      <x:c r="M1378"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x:v>
      </x:c>
      <x:c r="N1378" s="15" t="str">
        <x:v>https://prozorro.gov.ua/tender/UA-2024-05-13-007929-a</x:v>
      </x:c>
    </x:row>
    <x:row r="1379">
      <x:c r="A1379" s="14" t="n">
        <x:v>1375</x:v>
      </x:c>
      <x:c r="B1379" s="14" t="str">
        <x:v>ТОВАРИСТВО З ОБМЕЖЕНОЮ ВІДПОВІДАЛЬНІСТЮ «ПР Трейд»</x:v>
      </x:c>
      <x:c r="C1379" s="14" t="str">
        <x:v>45527084</x:v>
      </x:c>
      <x:c r="D1379" s="14" t="str">
        <x:v>Металоконструкції</x:v>
      </x:c>
      <x:c r="E1379" s="14" t="str">
        <x:v>Expansion discovery</x:v>
      </x:c>
      <x:c r="F1379" s="14" t="str">
        <x:v>I3</x:v>
      </x:c>
      <x:c r="G1379" s="14" t="n">
        <x:v>26</x:v>
      </x:c>
      <x:c r="H1379" s="14" t="n">
        <x:v>1</x:v>
      </x:c>
      <x:c r="I1379" s="14" t="n">
        <x:v>0</x:v>
      </x:c>
      <x:c r="J1379" s="18" t="n">
        <x:v>89014.85</x:v>
      </x:c>
      <x:c r="K1379" s="19" t="n">
        <x:v>45631.38144725694</x:v>
      </x:c>
      <x:c r="L1379" s="19" t="n">
        <x:v>45657</x:v>
      </x:c>
      <x:c r="M1379" s="15" t="str">
        <x:v>Монтаж виробів з металу та металоконструкцій (модуль кріплення боксерських мішків з перекатними механізмами)</x:v>
      </x:c>
      <x:c r="N1379" s="15" t="str">
        <x:v>https://prozorro.gov.ua/tender/UA-2024-12-05-005265-a</x:v>
      </x:c>
    </x:row>
    <x:row r="1380">
      <x:c r="A1380" s="14" t="n">
        <x:v>1376</x:v>
      </x:c>
      <x:c r="B1380" s="14" t="str">
        <x:v>ТОВАРИСТВО З ОБМЕЖЕНОЮ ВІДПОВІДАЛЬНІСТЮ НАУКОВО-ВИРОБНИЧЕ ПІДПРИЄМСТВО "МАДЕК"</x:v>
      </x:c>
      <x:c r="C1380" s="14" t="str">
        <x:v>13695593</x:v>
      </x:c>
      <x:c r="D1380" s="14" t="str">
        <x:v>Резервне живлення</x:v>
      </x:c>
      <x:c r="E1380" s="14" t="str">
        <x:v>Pilot now</x:v>
      </x:c>
      <x:c r="F1380" s="14" t="str">
        <x:v>I3</x:v>
      </x:c>
      <x:c r="G1380" s="14" t="n">
        <x:v>26</x:v>
      </x:c>
      <x:c r="H1380" s="14" t="n">
        <x:v>1</x:v>
      </x:c>
      <x:c r="I1380" s="14" t="n">
        <x:v>0</x:v>
      </x:c>
      <x:c r="J1380" s="18" t="n">
        <x:v>10410</x:v>
      </x:c>
      <x:c r="K1380" s="19" t="n">
        <x:v>45572.46208818287</x:v>
      </x:c>
      <x:c r="L1380" s="19" t="n">
        <x:v>45561</x:v>
      </x:c>
      <x:c r="M1380" s="15" t="str">
        <x:v>Послуги зі встановлення електричного обладнання (Оренда дизель-генератора, оренда кабельної комутації, монтаж, демонтаж дизель-генератора)  </x:v>
      </x:c>
      <x:c r="N1380" s="15" t="str">
        <x:v>https://prozorro.gov.ua/tender/UA-2024-10-07-007140-a</x:v>
      </x:c>
    </x:row>
    <x:row r="1381">
      <x:c r="A1381" s="14" t="n">
        <x:v>1377</x:v>
      </x:c>
      <x:c r="B1381" s="14" t="str">
        <x:v>Токаренко Станіслав Петрович</x:v>
      </x:c>
      <x:c r="C1381" s="14" t="str">
        <x:v>2938608096</x:v>
      </x:c>
      <x:c r="D1381" s="14" t="str">
        <x:v>Резервне живлення</x:v>
      </x:c>
      <x:c r="E1381" s="14" t="str">
        <x:v>Pilot now</x:v>
      </x:c>
      <x:c r="F1381" s="14" t="str">
        <x:v>I3</x:v>
      </x:c>
      <x:c r="G1381" s="14" t="n">
        <x:v>26</x:v>
      </x:c>
      <x:c r="H1381" s="14" t="n">
        <x:v>1</x:v>
      </x:c>
      <x:c r="I1381" s="14" t="n">
        <x:v>0</x:v>
      </x:c>
      <x:c r="J1381" s="18" t="n">
        <x:v>98100</x:v>
      </x:c>
      <x:c r="K1381" s="19" t="n">
        <x:v>45650.61262854167</x:v>
      </x:c>
      <x:c r="L1381" s="19" t="n">
        <x:v>45657</x:v>
      </x:c>
      <x:c r="M1381" s="15" t="str">
        <x:v>Послуги зі встановлення джерел безперебійного живлення за кодом ДК 021:2015:51110000-6 Послуги зі встановлення електричного обладнання (монтаж джерел безперебійного живлення та супутнього обладнання)</x:v>
      </x:c>
      <x:c r="N1381" s="15" t="str">
        <x:v>https://prozorro.gov.ua/tender/UA-2024-12-24-017906-a</x:v>
      </x:c>
    </x:row>
    <x:row r="1382">
      <x:c r="A1382" s="14" t="n">
        <x:v>1378</x:v>
      </x:c>
      <x:c r="B1382" s="14" t="str">
        <x:v>Щасливий Віктор Вікторович</x:v>
      </x:c>
      <x:c r="C1382" s="14" t="str">
        <x:v>3018303517</x:v>
      </x:c>
      <x:c r="D1382" s="14" t="str">
        <x:v>Металоконструкції</x:v>
      </x:c>
      <x:c r="E1382" s="14" t="str">
        <x:v>Expansion discovery</x:v>
      </x:c>
      <x:c r="F1382" s="14" t="str">
        <x:v>I3</x:v>
      </x:c>
      <x:c r="G1382" s="14" t="n">
        <x:v>26</x:v>
      </x:c>
      <x:c r="H1382" s="14" t="n">
        <x:v>1</x:v>
      </x:c>
      <x:c r="I1382" s="14" t="n">
        <x:v>0</x:v>
      </x:c>
      <x:c r="J1382" s="18" t="n">
        <x:v>20000</x:v>
      </x:c>
      <x:c r="K1382" s="19" t="n">
        <x:v>45583.29385591435</x:v>
      </x:c>
      <x:c r="L1382" s="19" t="n">
        <x:v>45657</x:v>
      </x:c>
      <x:c r="M1382" s="15" t="str">
        <x:v>Виготовити та провести монтаж металоконструкції (двері металеві,решітка металева )</x:v>
      </x:c>
      <x:c r="N1382" s="15" t="str">
        <x:v>https://prozorro.gov.ua/tender/UA-2024-10-18-001977-a</x:v>
      </x:c>
    </x:row>
    <x:row r="1383">
      <x:c r="A1383" s="14" t="n">
        <x:v>1379</x:v>
      </x:c>
      <x:c r="B1383" s="14" t="str">
        <x:v>АТ "Тернопільобленерго"Підволочиський РЕМ</x:v>
      </x:c>
      <x:c r="C1383" s="14" t="str">
        <x:v>21165171</x:v>
      </x:c>
      <x:c r="D1383" s="14" t="str">
        <x:v>Електромонтаж</x:v>
      </x:c>
      <x:c r="E1383" s="14" t="str">
        <x:v>Pilot now</x:v>
      </x:c>
      <x:c r="F1383" s="14" t="str">
        <x:v>I3</x:v>
      </x:c>
      <x:c r="G1383" s="14" t="n">
        <x:v>25</x:v>
      </x:c>
      <x:c r="H1383" s="14" t="n">
        <x:v>1</x:v>
      </x:c>
      <x:c r="I1383" s="14" t="n">
        <x:v>0</x:v>
      </x:c>
      <x:c r="J1383" s="18" t="n">
        <x:v>36729.24</x:v>
      </x:c>
      <x:c r="K1383" s="19" t="n">
        <x:v>46001.49003201389</x:v>
      </x:c>
      <x:c r="L1383" s="19" t="n">
        <x:v>46022.490578703706</x:v>
      </x:c>
      <x:c r="M1383" s="15" t="str">
        <x:v>Послуги з монтажу електричних мереж у приміщенні за адресою: Тернопільська обл., Тернопільський р-н., с. Підволочиськ, вул. Залізнична 1</x:v>
      </x:c>
      <x:c r="N1383" s="15" t="str">
        <x:v>https://prozorro.gov.ua/tender/UA-2025-12-10-011455-a</x:v>
      </x:c>
    </x:row>
    <x:row r="1384">
      <x:c r="A1384" s="14" t="n">
        <x:v>1380</x:v>
      </x:c>
      <x:c r="B1384" s="14" t="str">
        <x:v>ПП "АЯКС"</x:v>
      </x:c>
      <x:c r="C1384" s="14" t="str">
        <x:v>23348450</x:v>
      </x:c>
      <x:c r="D1384" s="14" t="str">
        <x:v>Пожежогасіння</x:v>
      </x:c>
      <x:c r="E1384" s="14" t="str">
        <x:v>Expansion discovery</x:v>
      </x:c>
      <x:c r="F1384" s="14" t="str">
        <x:v>I3</x:v>
      </x:c>
      <x:c r="G1384" s="14" t="n">
        <x:v>25</x:v>
      </x:c>
      <x:c r="H1384" s="14" t="n">
        <x:v>1</x:v>
      </x:c>
      <x:c r="I1384" s="14" t="n">
        <x:v>0</x:v>
      </x:c>
      <x:c r="J1384" s="18" t="n">
        <x:v>118999.99</x:v>
      </x:c>
      <x:c r="K1384" s="19" t="n">
        <x:v>45750.49302418982</x:v>
      </x:c>
      <x:c r="L1384" s="19" t="n">
        <x:v>45808</x:v>
      </x:c>
      <x:c r="M1384" s="15" t="str">
        <x:v>Монтаж автоматичної системи газового пожежогасіння пожежної сигналізації в приміщенні бібліотеки</x:v>
      </x:c>
      <x:c r="N1384" s="15" t="str">
        <x:v>https://prozorro.gov.ua/tender/UA-2025-03-24-011014-a</x:v>
      </x:c>
    </x:row>
    <x:row r="1385">
      <x:c r="A1385" s="14" t="n">
        <x:v>1381</x:v>
      </x:c>
      <x:c r="B1385" s="14" t="str">
        <x:v>ПП "Профіт - ресурс"</x:v>
      </x:c>
      <x:c r="C1385" s="14" t="str">
        <x:v>32021016</x:v>
      </x:c>
      <x:c r="D1385" s="14" t="str">
        <x:v>Електромонтаж</x:v>
      </x:c>
      <x:c r="E1385" s="14" t="str">
        <x:v>Pilot now</x:v>
      </x:c>
      <x:c r="F1385" s="14" t="str">
        <x:v>I3</x:v>
      </x:c>
      <x:c r="G1385" s="14" t="n">
        <x:v>25</x:v>
      </x:c>
      <x:c r="H1385" s="14" t="n">
        <x:v>1</x:v>
      </x:c>
      <x:c r="I1385" s="14" t="n">
        <x:v>0</x:v>
      </x:c>
      <x:c r="J1385" s="18" t="n">
        <x:v>46000</x:v>
      </x:c>
      <x:c r="K1385" s="19" t="n">
        <x:v>45993.54686398148</x:v>
      </x:c>
      <x:c r="L1385" s="19" t="n">
        <x:v>46022.916666655095</x:v>
      </x:c>
      <x:c r="M1385" s="15" t="str">
        <x:v>Послуги з улаштування (монтаж) електричних мереж (ДК 021:2015: 45310000-3 - Електромонтажні роботи).</x:v>
      </x:c>
      <x:c r="N1385" s="15" t="str">
        <x:v>https://prozorro.gov.ua/tender/UA-2025-12-02-013511-a</x:v>
      </x:c>
    </x:row>
    <x:row r="1386">
      <x:c r="A1386" s="14" t="n">
        <x:v>1382</x:v>
      </x:c>
      <x:c r="B1386" s="14" t="str">
        <x:v>ПРИВАТНЕ ПІДПРИЄМСТВО "ЕНЕРГІЯ"</x:v>
      </x:c>
      <x:c r="C1386" s="14" t="str">
        <x:v>30849893</x:v>
      </x:c>
      <x:c r="D1386" s="14" t="str">
        <x:v>Електромонтаж</x:v>
      </x:c>
      <x:c r="E1386" s="14" t="str">
        <x:v>Pilot now</x:v>
      </x:c>
      <x:c r="F1386" s="14" t="str">
        <x:v>I3</x:v>
      </x:c>
      <x:c r="G1386" s="14" t="n">
        <x:v>25</x:v>
      </x:c>
      <x:c r="H1386" s="14" t="n">
        <x:v>1</x:v>
      </x:c>
      <x:c r="I1386" s="14" t="n">
        <x:v>0</x:v>
      </x:c>
      <x:c r="J1386" s="18" t="n">
        <x:v>7960.8</x:v>
      </x:c>
      <x:c r="K1386" s="19" t="n">
        <x:v>45854.474600891204</x:v>
      </x:c>
      <x:c r="L1386" s="19" t="n">
        <x:v>45901</x:v>
      </x:c>
      <x:c r="M1386"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x:v>
      </x:c>
      <x:c r="N1386" s="15" t="str">
        <x:v>https://prozorro.gov.ua/tender/UA-2025-07-16-006359-a</x:v>
      </x:c>
    </x:row>
    <x:row r="1387">
      <x:c r="A1387" s="14" t="n">
        <x:v>1383</x:v>
      </x:c>
      <x:c r="B1387" s="14" t="str">
        <x:v>ПРИВАТНЕ ПІДПРИЄМСТВО "ПРОФДЕЗІНФЕКЦІЯ КОНТАКТ"</x:v>
      </x:c>
      <x:c r="C1387" s="14" t="str">
        <x:v>39516090</x:v>
      </x:c>
      <x:c r="D1387" s="14" t="str">
        <x:v>Внутрішні сантехнічні системи</x:v>
      </x:c>
      <x:c r="E1387" s="14" t="str">
        <x:v>Pilot now</x:v>
      </x:c>
      <x:c r="F1387" s="14" t="str">
        <x:v>I3</x:v>
      </x:c>
      <x:c r="G1387" s="14" t="n">
        <x:v>25</x:v>
      </x:c>
      <x:c r="H1387" s="14" t="n">
        <x:v>1</x:v>
      </x:c>
      <x:c r="I1387" s="14" t="n">
        <x:v>0</x:v>
      </x:c>
      <x:c r="J1387" s="18" t="n">
        <x:v>63000</x:v>
      </x:c>
      <x:c r="K1387" s="19" t="n">
        <x:v>45859.34798907407</x:v>
      </x:c>
      <x:c r="L1387" s="19" t="n">
        <x:v>46022</x:v>
      </x:c>
      <x:c r="M1387"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x:v>
      </x:c>
      <x:c r="N1387" s="15" t="str">
        <x:v>https://prozorro.gov.ua/tender/UA-2025-07-21-001538-a</x:v>
      </x:c>
    </x:row>
    <x:row r="1388">
      <x:c r="A1388" s="14" t="n">
        <x:v>1384</x:v>
      </x:c>
      <x:c r="B1388" s="14" t="str">
        <x:v>ТОВ " ХОЛОД-МАРКЕТ"</x:v>
      </x:c>
      <x:c r="C1388" s="14" t="str">
        <x:v>35064513</x:v>
      </x:c>
      <x:c r="D1388" s="14" t="str">
        <x:v>Промисловий холод</x:v>
      </x:c>
      <x:c r="E1388" s="14" t="str">
        <x:v>Expansion discovery</x:v>
      </x:c>
      <x:c r="F1388" s="14" t="str">
        <x:v>I3</x:v>
      </x:c>
      <x:c r="G1388" s="14" t="n">
        <x:v>25</x:v>
      </x:c>
      <x:c r="H1388" s="14" t="n">
        <x:v>1</x:v>
      </x:c>
      <x:c r="I1388" s="14" t="n">
        <x:v>0</x:v>
      </x:c>
      <x:c r="J1388" s="18" t="n">
        <x:v>96000</x:v>
      </x:c>
      <x:c r="K1388" s="19" t="n">
        <x:v>45875.55539864583</x:v>
      </x:c>
      <x:c r="L1388" s="19" t="n">
        <x:v>46022.59888888889</x:v>
      </x:c>
      <x:c r="M1388" s="15" t="str">
        <x:v>Послуги з монтажу/демонтажу холодильного обладнання</x:v>
      </x:c>
      <x:c r="N1388" s="15" t="str">
        <x:v>https://prozorro.gov.ua/tender/UA-2025-08-06-010195-a</x:v>
      </x:c>
    </x:row>
    <x:row r="1389">
      <x:c r="A1389" s="14" t="n">
        <x:v>1385</x:v>
      </x:c>
      <x:c r="B1389" s="14" t="str">
        <x:v>ТОВ "Екопайпсистемс"</x:v>
      </x:c>
      <x:c r="C1389" s="14" t="str">
        <x:v>44981347</x:v>
      </x:c>
      <x:c r="D1389" s="14" t="str">
        <x:v>ГНБ / безтраншейні роботи</x:v>
      </x:c>
      <x:c r="E1389" s="14" t="str">
        <x:v>Expansion discovery</x:v>
      </x:c>
      <x:c r="F1389" s="14" t="str">
        <x:v>I3</x:v>
      </x:c>
      <x:c r="G1389" s="14" t="n">
        <x:v>25</x:v>
      </x:c>
      <x:c r="H1389" s="14" t="n">
        <x:v>1</x:v>
      </x:c>
      <x:c r="I1389" s="14" t="n">
        <x:v>0</x:v>
      </x:c>
      <x:c r="J1389" s="18" t="n">
        <x:v>43200</x:v>
      </x:c>
      <x:c r="K1389" s="19" t="n">
        <x:v>45819.56320146991</x:v>
      </x:c>
      <x:c r="L1389" s="19" t="n">
        <x:v>45869</x:v>
      </x:c>
      <x:c r="M1389" s="15" t="str">
        <x:v>Послуги з горизонтально направленого буріння</x:v>
      </x:c>
      <x:c r="N1389" s="15" t="str">
        <x:v>https://prozorro.gov.ua/tender/UA-2025-06-11-012030-a</x:v>
      </x:c>
    </x:row>
    <x:row r="1390">
      <x:c r="A1390" s="14" t="n">
        <x:v>1386</x:v>
      </x:c>
      <x:c r="B1390" s="14" t="str">
        <x:v>ТОВ "Компанія Техноклімат"</x:v>
      </x:c>
      <x:c r="C1390" s="14" t="str">
        <x:v>36941776</x:v>
      </x:c>
      <x:c r="D1390" s="14" t="str">
        <x:v>HVAC / ОВіК</x:v>
      </x:c>
      <x:c r="E1390" s="14" t="str">
        <x:v>Pilot now</x:v>
      </x:c>
      <x:c r="F1390" s="14" t="str">
        <x:v>I3</x:v>
      </x:c>
      <x:c r="G1390" s="14" t="n">
        <x:v>25</x:v>
      </x:c>
      <x:c r="H1390" s="14" t="n">
        <x:v>1</x:v>
      </x:c>
      <x:c r="I1390" s="14" t="n">
        <x:v>0</x:v>
      </x:c>
      <x:c r="J1390" s="18" t="n">
        <x:v>41620.98</x:v>
      </x:c>
      <x:c r="K1390" s="19" t="n">
        <x:v>45993.56170215278</x:v>
      </x:c>
      <x:c r="L1390" s="19" t="n">
        <x:v>46017</x:v>
      </x:c>
      <x:c r="M1390" s="15" t="str">
        <x:v>Монтаж системи вентиляції</x:v>
      </x:c>
      <x:c r="N1390" s="15" t="str">
        <x:v>https://prozorro.gov.ua/tender/UA-2025-12-02-014509-a</x:v>
      </x:c>
    </x:row>
    <x:row r="1391">
      <x:c r="A1391" s="14" t="n">
        <x:v>1387</x:v>
      </x:c>
      <x:c r="B1391" s="14" t="str">
        <x:v>ТОВ "УКРБУДТЕХНАГЛЯД-ЧЕРНІГІВ"</x:v>
      </x:c>
      <x:c r="C1391" s="14" t="str">
        <x:v>37632903</x:v>
      </x:c>
      <x:c r="D1391" s="14" t="str">
        <x:v>Внутрішні сантехнічні системи</x:v>
      </x:c>
      <x:c r="E1391" s="14" t="str">
        <x:v>Pilot now</x:v>
      </x:c>
      <x:c r="F1391" s="14" t="str">
        <x:v>I3</x:v>
      </x:c>
      <x:c r="G1391" s="14" t="n">
        <x:v>25</x:v>
      </x:c>
      <x:c r="H1391" s="14" t="n">
        <x:v>1</x:v>
      </x:c>
      <x:c r="I1391" s="14" t="n">
        <x:v>0</x:v>
      </x:c>
      <x:c r="J1391" s="18" t="n">
        <x:v>19900</x:v>
      </x:c>
      <x:c r="K1391" s="19" t="n">
        <x:v>45994.558611863424</x:v>
      </x:c>
      <x:c r="L1391" s="19" t="n">
        <x:v>46022.559849537036</x:v>
      </x:c>
      <x:c r="M1391"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x:v>
      </x:c>
      <x:c r="N1391" s="15" t="str">
        <x:v>https://prozorro.gov.ua/tender/UA-2025-12-03-015536-a</x:v>
      </x:c>
    </x:row>
    <x:row r="1392">
      <x:c r="A1392" s="14" t="n">
        <x:v>1388</x:v>
      </x:c>
      <x:c r="B1392" s="14" t="str">
        <x:v>ТОВ ФОРМАТОР_ЕНЕРГО"</x:v>
      </x:c>
      <x:c r="C1392" s="14" t="str">
        <x:v>41991944</x:v>
      </x:c>
      <x:c r="D1392" s="14" t="str">
        <x:v>Електромонтаж</x:v>
      </x:c>
      <x:c r="E1392" s="14" t="str">
        <x:v>Pilot now</x:v>
      </x:c>
      <x:c r="F1392" s="14" t="str">
        <x:v>I3</x:v>
      </x:c>
      <x:c r="G1392" s="14" t="n">
        <x:v>25</x:v>
      </x:c>
      <x:c r="H1392" s="14" t="n">
        <x:v>1</x:v>
      </x:c>
      <x:c r="I1392" s="14" t="n">
        <x:v>0</x:v>
      </x:c>
      <x:c r="J1392" s="18" t="n">
        <x:v>36110</x:v>
      </x:c>
      <x:c r="K1392" s="19" t="n">
        <x:v>45772.36460800926</x:v>
      </x:c>
      <x:c r="L1392" s="19" t="n">
        <x:v>46022.916666655095</x:v>
      </x:c>
      <x:c r="M1392" s="15" t="str">
        <x:v>Послуги по електровимірювальним роботам та ремонту контуру заземлення</x:v>
      </x:c>
      <x:c r="N1392" s="15" t="str">
        <x:v>https://prozorro.gov.ua/tender/UA-2025-04-25-004627-a</x:v>
      </x:c>
    </x:row>
    <x:row r="1393">
      <x:c r="A1393" s="14" t="n">
        <x:v>1389</x:v>
      </x:c>
      <x:c r="B1393" s="14" t="str">
        <x:v>ТОВАРИСТВО З ОБМЕЖЕНОЮ ВІДПОВІДАЛЬНІСТЮ "АЙР ТЕХНОЛОДЖІ СИСТЕМС КЛІМАТ"</x:v>
      </x:c>
      <x:c r="C1393" s="14" t="str">
        <x:v>44678370</x:v>
      </x:c>
      <x:c r="D1393" s="14" t="str">
        <x:v>HVAC / ОВіК</x:v>
      </x:c>
      <x:c r="E1393" s="14" t="str">
        <x:v>Pilot now</x:v>
      </x:c>
      <x:c r="F1393" s="14" t="str">
        <x:v>I3</x:v>
      </x:c>
      <x:c r="G1393" s="14" t="n">
        <x:v>25</x:v>
      </x:c>
      <x:c r="H1393" s="14" t="n">
        <x:v>1</x:v>
      </x:c>
      <x:c r="I1393" s="14" t="n">
        <x:v>0</x:v>
      </x:c>
      <x:c r="J1393" s="18" t="n">
        <x:v>62286.3</x:v>
      </x:c>
      <x:c r="K1393" s="19" t="n">
        <x:v>45992.40095383102</x:v>
      </x:c>
      <x:c r="L1393" s="19" t="n">
        <x:v>46022</x:v>
      </x:c>
      <x:c r="M1393" s="15" t="str">
        <x:v>Виконання робіт з монтажу системи вентиляції</x:v>
      </x:c>
      <x:c r="N1393" s="15" t="str">
        <x:v>https://prozorro.gov.ua/tender/UA-2025-12-01-005105-a</x:v>
      </x:c>
    </x:row>
    <x:row r="1394">
      <x:c r="A1394" s="14" t="n">
        <x:v>1390</x:v>
      </x:c>
      <x:c r="B1394" s="14" t="str">
        <x:v>ТОВАРИСТВО З ОБМЕЖЕНОЮ ВІДПОВІДАЛЬНІСТЮ "ВІНБУДСТАНДАРТ"</x:v>
      </x:c>
      <x:c r="C1394" s="14" t="str">
        <x:v>45583746</x:v>
      </x:c>
      <x:c r="D1394" s="14" t="str">
        <x:v>ГНБ / безтраншейні роботи</x:v>
      </x:c>
      <x:c r="E1394" s="14" t="str">
        <x:v>Expansion discovery</x:v>
      </x:c>
      <x:c r="F1394" s="14" t="str">
        <x:v>I3</x:v>
      </x:c>
      <x:c r="G1394" s="14" t="n">
        <x:v>25</x:v>
      </x:c>
      <x:c r="H1394" s="14" t="n">
        <x:v>1</x:v>
      </x:c>
      <x:c r="I1394" s="14" t="n">
        <x:v>0</x:v>
      </x:c>
      <x:c r="J1394" s="18" t="n">
        <x:v>4766.5</x:v>
      </x:c>
      <x:c r="K1394" s="19" t="n">
        <x:v>45789.587581203705</x:v>
      </x:c>
      <x:c r="L1394" s="19" t="n">
        <x:v>46022</x:v>
      </x:c>
      <x:c r="M1394"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x:v>
      </x:c>
      <x:c r="N1394" s="15" t="str">
        <x:v>https://prozorro.gov.ua/tender/UA-2025-05-12-013357-a</x:v>
      </x:c>
    </x:row>
    <x:row r="1395">
      <x:c r="A1395" s="14" t="n">
        <x:v>1391</x:v>
      </x:c>
      <x:c r="B1395" s="14" t="str">
        <x:v>ТОВАРИСТВО З ОБМЕЖЕНОЮ ВІДПОВІДАЛЬНІСТЮ "Е-ВИМІРЮВАННЯ"</x:v>
      </x:c>
      <x:c r="C1395" s="14" t="str">
        <x:v>39092565</x:v>
      </x:c>
      <x:c r="D1395" s="14" t="str">
        <x:v>Електромонтаж</x:v>
      </x:c>
      <x:c r="E1395" s="14" t="str">
        <x:v>Pilot now</x:v>
      </x:c>
      <x:c r="F1395" s="14" t="str">
        <x:v>I3</x:v>
      </x:c>
      <x:c r="G1395" s="14" t="n">
        <x:v>25</x:v>
      </x:c>
      <x:c r="H1395" s="14" t="n">
        <x:v>1</x:v>
      </x:c>
      <x:c r="I1395" s="14" t="n">
        <x:v>0</x:v>
      </x:c>
      <x:c r="J1395" s="18" t="n">
        <x:v>16010</x:v>
      </x:c>
      <x:c r="K1395" s="19" t="n">
        <x:v>45910.830912708334</x:v>
      </x:c>
      <x:c r="L1395" s="19" t="n">
        <x:v>46022</x:v>
      </x:c>
      <x:c r="M1395"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x:v>
      </x:c>
      <x:c r="N1395" s="15" t="str">
        <x:v>https://prozorro.gov.ua/tender/UA-2025-09-10-014597-a</x:v>
      </x:c>
    </x:row>
    <x:row r="1396">
      <x:c r="A1396" s="14" t="n">
        <x:v>1392</x:v>
      </x:c>
      <x:c r="B1396" s="14" t="str">
        <x:v>ТОВАРИСТВО З ОБМЕЖЕНОЮ ВІДПОВІДАЛЬНІСТЮ "ЄВРОКОМФОРТ-ІФ"</x:v>
      </x:c>
      <x:c r="C1396" s="14" t="str">
        <x:v>37409865</x:v>
      </x:c>
      <x:c r="D1396" s="14" t="str">
        <x:v>HVAC / ОВіК</x:v>
      </x:c>
      <x:c r="E1396" s="14" t="str">
        <x:v>Pilot now</x:v>
      </x:c>
      <x:c r="F1396" s="14" t="str">
        <x:v>I3</x:v>
      </x:c>
      <x:c r="G1396" s="14" t="n">
        <x:v>25</x:v>
      </x:c>
      <x:c r="H1396" s="14" t="n">
        <x:v>1</x:v>
      </x:c>
      <x:c r="I1396" s="14" t="n">
        <x:v>0</x:v>
      </x:c>
      <x:c r="J1396" s="18" t="n">
        <x:v>45000</x:v>
      </x:c>
      <x:c r="K1396" s="19" t="n">
        <x:v>46009.456794791666</x:v>
      </x:c>
      <x:c r="L1396" s="19" t="n">
        <x:v>46022.916666655095</x:v>
      </x:c>
      <x:c r="M1396" s="15" t="str">
        <x:v>Послуги з монтажу системи вентиляції в Росільнянському ліцеї.</x:v>
      </x:c>
      <x:c r="N1396" s="15" t="str">
        <x:v>https://prozorro.gov.ua/tender/UA-2025-12-18-011206-a</x:v>
      </x:c>
    </x:row>
    <x:row r="1397">
      <x:c r="A1397" s="14" t="n">
        <x:v>1393</x:v>
      </x:c>
      <x:c r="B1397" s="14" t="str">
        <x:v>ТОВАРИСТВО З ОБМЕЖЕНОЮ ВІДПОВІДАЛЬНІСТЮ "ЄВРОМЕРЕЖА"</x:v>
      </x:c>
      <x:c r="C1397" s="14" t="str">
        <x:v>45074837</x:v>
      </x:c>
      <x:c r="D1397" s="14" t="str">
        <x:v>Електромонтаж</x:v>
      </x:c>
      <x:c r="E1397" s="14" t="str">
        <x:v>Pilot now</x:v>
      </x:c>
      <x:c r="F1397" s="14" t="str">
        <x:v>I3</x:v>
      </x:c>
      <x:c r="G1397" s="14" t="n">
        <x:v>25</x:v>
      </x:c>
      <x:c r="H1397" s="14" t="n">
        <x:v>1</x:v>
      </x:c>
      <x:c r="I1397" s="14" t="n">
        <x:v>0</x:v>
      </x:c>
      <x:c r="J1397" s="18" t="n">
        <x:v>40725</x:v>
      </x:c>
      <x:c r="K1397" s="19" t="n">
        <x:v>45996.344294814815</x:v>
      </x:c>
      <x:c r="L1397" s="19" t="n">
        <x:v>46009</x:v>
      </x:c>
      <x:c r="M1397"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x:v>
      </x:c>
      <x:c r="N1397" s="15" t="str">
        <x:v>https://prozorro.gov.ua/tender/UA-2025-12-05-003275-a</x:v>
      </x:c>
    </x:row>
    <x:row r="1398">
      <x:c r="A1398" s="14" t="n">
        <x:v>1394</x:v>
      </x:c>
      <x:c r="B1398" s="14" t="str">
        <x:v>ТОВАРИСТВО З ОБМЕЖЕНОЮ ВІДПОВІДАЛЬНІСТЮ "ІНВЕСТИЦІЙНО-БУДІВЕЛЬНА ФІРМА "ЄВРОБУДСЕРВІС"</x:v>
      </x:c>
      <x:c r="C1398" s="14" t="str">
        <x:v>34744813</x:v>
      </x:c>
      <x:c r="D1398" s="14" t="str">
        <x:v>Електромонтаж</x:v>
      </x:c>
      <x:c r="E1398" s="14" t="str">
        <x:v>Pilot now</x:v>
      </x:c>
      <x:c r="F1398" s="14" t="str">
        <x:v>I3</x:v>
      </x:c>
      <x:c r="G1398" s="14" t="n">
        <x:v>25</x:v>
      </x:c>
      <x:c r="H1398" s="14" t="n">
        <x:v>1</x:v>
      </x:c>
      <x:c r="I1398" s="14" t="n">
        <x:v>0</x:v>
      </x:c>
      <x:c r="J1398" s="18" t="n">
        <x:v>64144.65</x:v>
      </x:c>
      <x:c r="K1398" s="19" t="n">
        <x:v>45950.46692756945</x:v>
      </x:c>
      <x:c r="L1398" s="19" t="n">
        <x:v>45991</x:v>
      </x:c>
      <x:c r="M1398" s="15" t="str">
        <x:v>Послуги з демонтажу та монтажу шаф керування вуличним освітленням (без під"єднання до електричних мереж) у м. Трускавець</x:v>
      </x:c>
      <x:c r="N1398" s="15" t="str">
        <x:v>https://prozorro.gov.ua/tender/UA-2025-10-20-008856-a</x:v>
      </x:c>
    </x:row>
    <x:row r="1399">
      <x:c r="A1399" s="14" t="n">
        <x:v>1395</x:v>
      </x:c>
      <x:c r="B1399" s="14" t="str">
        <x:v>Товариство з обмеженою відповідальністю "Інженерно-виробнича фірма "РІВАС"</x:v>
      </x:c>
      <x:c r="C1399" s="14" t="str">
        <x:v>21227104</x:v>
      </x:c>
      <x:c r="D1399" s="14" t="str">
        <x:v>ВОЛЗ / телеком</x:v>
      </x:c>
      <x:c r="E1399" s="14" t="str">
        <x:v>Expansion discovery</x:v>
      </x:c>
      <x:c r="F1399" s="14" t="str">
        <x:v>I3</x:v>
      </x:c>
      <x:c r="G1399" s="14" t="n">
        <x:v>25</x:v>
      </x:c>
      <x:c r="H1399" s="14" t="n">
        <x:v>1</x:v>
      </x:c>
      <x:c r="I1399" s="14" t="n">
        <x:v>0</x:v>
      </x:c>
      <x:c r="J1399" s="18" t="n">
        <x:v>82902.16</x:v>
      </x:c>
      <x:c r="K1399" s="19" t="n">
        <x:v>45692.53341179398</x:v>
      </x:c>
      <x:c r="L1399" s="19" t="n">
        <x:v>45747</x:v>
      </x:c>
      <x:c r="M1399" s="15" t="str">
        <x:v>Роботи з нового будівництва сегменту ВОЛЗ від пров. Донбасівський, 17 до вул. Новий Побут, 12</x:v>
      </x:c>
      <x:c r="N1399" s="15" t="str">
        <x:v>https://prozorro.gov.ua/tender/UA-2025-02-04-011367-a</x:v>
      </x:c>
    </x:row>
    <x:row r="1400">
      <x:c r="A1400" s="14" t="n">
        <x:v>1396</x:v>
      </x:c>
      <x:c r="B1400" s="14" t="str">
        <x:v>ТОВАРИСТВО З ОБМЕЖЕНОЮ ВІДПОВІДАЛЬНІСТЮ "МЕДГАЗ"</x:v>
      </x:c>
      <x:c r="C1400" s="14" t="str">
        <x:v>40519037</x:v>
      </x:c>
      <x:c r="D1400" s="14" t="str">
        <x:v>Медичні гази</x:v>
      </x:c>
      <x:c r="E1400" s="14" t="str">
        <x:v>Expansion discovery</x:v>
      </x:c>
      <x:c r="F1400" s="14" t="str">
        <x:v>I3</x:v>
      </x:c>
      <x:c r="G1400" s="14" t="n">
        <x:v>25</x:v>
      </x:c>
      <x:c r="H1400" s="14" t="n">
        <x:v>1</x:v>
      </x:c>
      <x:c r="I1400" s="14" t="n">
        <x:v>0</x:v>
      </x:c>
      <x:c r="J1400" s="18" t="n">
        <x:v>22008</x:v>
      </x:c>
      <x:c r="K1400" s="19" t="n">
        <x:v>45896.545817893515</x:v>
      </x:c>
      <x:c r="L1400" s="19" t="n">
        <x:v>46022</x:v>
      </x:c>
      <x:c r="M1400"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x:v>
      </x:c>
      <x:c r="N1400" s="15" t="str">
        <x:v>https://prozorro.gov.ua/tender/UA-2025-08-27-009000-a</x:v>
      </x:c>
    </x:row>
    <x:row r="1401">
      <x:c r="A1401" s="14" t="n">
        <x:v>1397</x:v>
      </x:c>
      <x:c r="B1401" s="14" t="str">
        <x:v>ТОВАРИСТВО З ОБМЕЖЕНОЮ ВІДПОВІДАЛЬНІСТЮ "ПРОДТОВАРИ-Т"</x:v>
      </x:c>
      <x:c r="C1401" s="14" t="str">
        <x:v>34402940</x:v>
      </x:c>
      <x:c r="D1401" s="14" t="str">
        <x:v>Електромонтаж</x:v>
      </x:c>
      <x:c r="E1401" s="14" t="str">
        <x:v>Pilot now</x:v>
      </x:c>
      <x:c r="F1401" s="14" t="str">
        <x:v>I3</x:v>
      </x:c>
      <x:c r="G1401" s="14" t="n">
        <x:v>25</x:v>
      </x:c>
      <x:c r="H1401" s="14" t="n">
        <x:v>1</x:v>
      </x:c>
      <x:c r="I1401" s="14" t="n">
        <x:v>0</x:v>
      </x:c>
      <x:c r="J1401" s="18" t="n">
        <x:v>18500</x:v>
      </x:c>
      <x:c r="K1401" s="19" t="n">
        <x:v>45842.36780934028</x:v>
      </x:c>
      <x:c r="L1401" s="19" t="n">
        <x:v>46022</x:v>
      </x:c>
      <x:c r="M1401" s="15" t="str">
        <x:v>Електровимірювальні роботи</x:v>
      </x:c>
      <x:c r="N1401" s="15" t="str">
        <x:v>https://prozorro.gov.ua/tender/UA-2025-07-04-004123-a</x:v>
      </x:c>
    </x:row>
    <x:row r="1402">
      <x:c r="A1402" s="14" t="n">
        <x:v>1398</x:v>
      </x:c>
      <x:c r="B1402" s="14" t="str">
        <x:v>Фізична особа - підприємець Петрунець В.М.</x:v>
      </x:c>
      <x:c r="C1402" s="14" t="str">
        <x:v>2478404154</x:v>
      </x:c>
      <x:c r="D1402" s="14" t="str">
        <x:v>Резервне живлення</x:v>
      </x:c>
      <x:c r="E1402" s="14" t="str">
        <x:v>Pilot now</x:v>
      </x:c>
      <x:c r="F1402" s="14" t="str">
        <x:v>I3</x:v>
      </x:c>
      <x:c r="G1402" s="14" t="n">
        <x:v>23</x:v>
      </x:c>
      <x:c r="H1402" s="14" t="n">
        <x:v>1</x:v>
      </x:c>
      <x:c r="I1402" s="14" t="n">
        <x:v>0</x:v>
      </x:c>
      <x:c r="J1402" s="18" t="n">
        <x:v>99679</x:v>
      </x:c>
      <x:c r="K1402" s="19" t="n">
        <x:v>45651.71102148148</x:v>
      </x:c>
      <x:c r="L1402" s="19" t="n">
        <x:v>45657</x:v>
      </x:c>
      <x:c r="M1402" s="15" t="str">
        <x:v>Підключення джерела резервного живлення дизель-генератора Gucbir GJR 55 потужність 44 кВт (55 кВа) для потреб КЗ Палац культури «Карачуни» КМР за адресою: 50025, м. Кривий Ріг, вул. Алмазна, 29 за кодом ДК 021:2015: 45311000-3 «Монтаж електропроводки та електроарматури</x:v>
      </x:c>
      <x:c r="N1402" s="15" t="str">
        <x:v>https://prozorro.gov.ua/tender/UA-2024-12-25-013715-a</x:v>
      </x:c>
    </x:row>
    <x:row r="1403">
      <x:c r="A1403" s="14" t="n">
        <x:v>1399</x:v>
      </x:c>
      <x:c r="B1403" s="14" t="str">
        <x:v>Фізична особа-підприємець Колеснік Віталій Миколайович</x:v>
      </x:c>
      <x:c r="C1403" s="14" t="str">
        <x:v>2489902639</x:v>
      </x:c>
      <x:c r="D1403" s="14" t="str">
        <x:v>Промисловий холод</x:v>
      </x:c>
      <x:c r="E1403" s="14" t="str">
        <x:v>Expansion discovery</x:v>
      </x:c>
      <x:c r="F1403" s="14" t="str">
        <x:v>I3</x:v>
      </x:c>
      <x:c r="G1403" s="14" t="n">
        <x:v>23</x:v>
      </x:c>
      <x:c r="H1403" s="14" t="n">
        <x:v>1</x:v>
      </x:c>
      <x:c r="I1403" s="14" t="n">
        <x:v>0</x:v>
      </x:c>
      <x:c r="J1403" s="18" t="n">
        <x:v>64600</x:v>
      </x:c>
      <x:c r="K1403" s="19" t="n">
        <x:v>45581.52875741898</x:v>
      </x:c>
      <x:c r="L1403" s="19" t="n">
        <x:v>45657.572233796294</x:v>
      </x:c>
      <x:c r="M1403" s="15" t="str">
        <x:v>Монтаж холодильної камери</x:v>
      </x:c>
      <x:c r="N1403" s="15" t="str">
        <x:v>https://prozorro.gov.ua/tender/UA-2024-10-16-011635-a</x:v>
      </x:c>
    </x:row>
    <x:row r="1404">
      <x:c r="A1404" s="14" t="n">
        <x:v>1400</x:v>
      </x:c>
      <x:c r="B1404" s="14" t="str">
        <x:v>Фізична особа-підприємець Литвин Геннадій Миколайович</x:v>
      </x:c>
      <x:c r="C1404" s="14" t="str">
        <x:v>2578600698</x:v>
      </x:c>
      <x:c r="D1404" s="14" t="str">
        <x:v>СКС / BMS / слаботочка</x:v>
      </x:c>
      <x:c r="E1404" s="14" t="str">
        <x:v>Expansion discovery</x:v>
      </x:c>
      <x:c r="F1404" s="14" t="str">
        <x:v>I3</x:v>
      </x:c>
      <x:c r="G1404" s="14" t="n">
        <x:v>23</x:v>
      </x:c>
      <x:c r="H1404" s="14" t="n">
        <x:v>1</x:v>
      </x:c>
      <x:c r="I1404" s="14" t="n">
        <x:v>0</x:v>
      </x:c>
      <x:c r="J1404" s="18" t="n">
        <x:v>5900</x:v>
      </x:c>
      <x:c r="K1404" s="19" t="n">
        <x:v>45561.32851230324</x:v>
      </x:c>
      <x:c r="L1404" s="19" t="n">
        <x:v>45580</x:v>
      </x:c>
      <x:c r="M1404"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x:v>
      </x:c>
      <x:c r="N1404" s="15" t="str">
        <x:v>https://prozorro.gov.ua/tender/UA-2024-09-26-003287-a</x:v>
      </x:c>
    </x:row>
    <x:row r="1405">
      <x:c r="A1405" s="14" t="n">
        <x:v>1401</x:v>
      </x:c>
      <x:c r="B1405" s="14" t="str">
        <x:v>Фізична особа-підприємець Раздельський Віктор Володимирович</x:v>
      </x:c>
      <x:c r="C1405" s="14" t="str">
        <x:v>2817317015</x:v>
      </x:c>
      <x:c r="D1405" s="14" t="str">
        <x:v>СКС / BMS / слаботочка</x:v>
      </x:c>
      <x:c r="E1405" s="14" t="str">
        <x:v>Expansion discovery</x:v>
      </x:c>
      <x:c r="F1405" s="14" t="str">
        <x:v>I3</x:v>
      </x:c>
      <x:c r="G1405" s="14" t="n">
        <x:v>23</x:v>
      </x:c>
      <x:c r="H1405" s="14" t="n">
        <x:v>1</x:v>
      </x:c>
      <x:c r="I1405" s="14" t="n">
        <x:v>0</x:v>
      </x:c>
      <x:c r="J1405" s="18" t="n">
        <x:v>29664.06</x:v>
      </x:c>
      <x:c r="K1405" s="19" t="n">
        <x:v>45369.51978534722</x:v>
      </x:c>
      <x:c r="L1405" s="19" t="n">
        <x:v>45412.47142361111</x:v>
      </x:c>
      <x:c r="M1405"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x:v>
      </x:c>
      <x:c r="N1405" s="15" t="str">
        <x:v>https://prozorro.gov.ua/tender/UA-2024-03-18-007435-a</x:v>
      </x:c>
    </x:row>
    <x:row r="1406">
      <x:c r="A1406" s="14" t="n">
        <x:v>1402</x:v>
      </x:c>
      <x:c r="B1406" s="14" t="str">
        <x:v>ФОП Алєксєєв Вадим Миколайович</x:v>
      </x:c>
      <x:c r="C1406" s="14" t="str">
        <x:v>2840011771</x:v>
      </x:c>
      <x:c r="D1406" s="14" t="str">
        <x:v>ВОЛЗ / телеком</x:v>
      </x:c>
      <x:c r="E1406" s="14" t="str">
        <x:v>Expansion discovery</x:v>
      </x:c>
      <x:c r="F1406" s="14" t="str">
        <x:v>I3</x:v>
      </x:c>
      <x:c r="G1406" s="14" t="n">
        <x:v>23</x:v>
      </x:c>
      <x:c r="H1406" s="14" t="n">
        <x:v>1</x:v>
      </x:c>
      <x:c r="I1406" s="14" t="n">
        <x:v>0</x:v>
      </x:c>
      <x:c r="J1406" s="18" t="n">
        <x:v>500</x:v>
      </x:c>
      <x:c r="K1406" s="19" t="n">
        <x:v>45308.59053584491</x:v>
      </x:c>
      <x:c r="L1406" s="19" t="n">
        <x:v>45313.5921875</x:v>
      </x:c>
      <x:c r="M1406" s="15" t="str">
        <x:v>Монтаж та обслуговування  телекомунікаційної мережі</x:v>
      </x:c>
      <x:c r="N1406" s="15" t="str">
        <x:v>https://prozorro.gov.ua/tender/UA-2024-01-17-014242-a</x:v>
      </x:c>
    </x:row>
    <x:row r="1407">
      <x:c r="A1407" s="14" t="n">
        <x:v>1403</x:v>
      </x:c>
      <x:c r="B1407" s="14" t="str">
        <x:v>ФОП Галицький Володимир Антонович </x:v>
      </x:c>
      <x:c r="C1407" s="14" t="str">
        <x:v>2889508777</x:v>
      </x:c>
      <x:c r="D1407" s="14" t="str">
        <x:v>Резервне живлення</x:v>
      </x:c>
      <x:c r="E1407" s="14" t="str">
        <x:v>Pilot now</x:v>
      </x:c>
      <x:c r="F1407" s="14" t="str">
        <x:v>I3</x:v>
      </x:c>
      <x:c r="G1407" s="14" t="n">
        <x:v>23</x:v>
      </x:c>
      <x:c r="H1407" s="14" t="n">
        <x:v>1</x:v>
      </x:c>
      <x:c r="I1407" s="14" t="n">
        <x:v>0</x:v>
      </x:c>
      <x:c r="J1407" s="18" t="n">
        <x:v>31200</x:v>
      </x:c>
      <x:c r="K1407" s="19" t="n">
        <x:v>45691.344401215276</x:v>
      </x:c>
      <x:c r="L1407" s="19" t="n">
        <x:v>46022.916666655095</x:v>
      </x:c>
      <x:c r="M1407" s="15" t="str">
        <x:v>Послуги з улаштування майданчика (монтаж монолітно-бетонної армованої платформи) для встановлення дизель-генератора</x:v>
      </x:c>
      <x:c r="N1407" s="15" t="str">
        <x:v>https://prozorro.gov.ua/tender/UA-2025-02-03-002123-a</x:v>
      </x:c>
    </x:row>
    <x:row r="1408">
      <x:c r="A1408" s="14" t="n">
        <x:v>1404</x:v>
      </x:c>
      <x:c r="B1408" s="14" t="str">
        <x:v>ФОП Діденко Є.В.</x:v>
      </x:c>
      <x:c r="C1408" s="14" t="str">
        <x:v>3061716378</x:v>
      </x:c>
      <x:c r="D1408" s="14" t="str">
        <x:v>ГНБ / безтраншейні роботи</x:v>
      </x:c>
      <x:c r="E1408" s="14" t="str">
        <x:v>Expansion discovery</x:v>
      </x:c>
      <x:c r="F1408" s="14" t="str">
        <x:v>I3</x:v>
      </x:c>
      <x:c r="G1408" s="14" t="n">
        <x:v>23</x:v>
      </x:c>
      <x:c r="H1408" s="14" t="n">
        <x:v>1</x:v>
      </x:c>
      <x:c r="I1408" s="14" t="n">
        <x:v>0</x:v>
      </x:c>
      <x:c r="J1408" s="18" t="n">
        <x:v>88825</x:v>
      </x:c>
      <x:c r="K1408" s="19" t="n">
        <x:v>45649.34427761574</x:v>
      </x:c>
      <x:c r="L1408" s="19" t="n">
        <x:v>45657.916666655095</x:v>
      </x:c>
      <x:c r="M1408" s="15" t="str">
        <x:v>горизонтально направлене буріння</x:v>
      </x:c>
      <x:c r="N1408" s="15" t="str">
        <x:v>https://prozorro.gov.ua/tender/UA-2024-12-23-002801-a</x:v>
      </x:c>
    </x:row>
    <x:row r="1409">
      <x:c r="A1409" s="14" t="n">
        <x:v>1405</x:v>
      </x:c>
      <x:c r="B1409" s="14" t="str">
        <x:v>ФОП Каграманов Олександр Юрійович</x:v>
      </x:c>
      <x:c r="C1409" s="14" t="str">
        <x:v>2889714995</x:v>
      </x:c>
      <x:c r="D1409" s="14" t="str">
        <x:v>Благоустрій</x:v>
      </x:c>
      <x:c r="E1409" s="14" t="str">
        <x:v>Expansion discovery</x:v>
      </x:c>
      <x:c r="F1409" s="14" t="str">
        <x:v>I3</x:v>
      </x:c>
      <x:c r="G1409" s="14" t="n">
        <x:v>23</x:v>
      </x:c>
      <x:c r="H1409" s="14" t="n">
        <x:v>1</x:v>
      </x:c>
      <x:c r="I1409" s="14" t="n">
        <x:v>0</x:v>
      </x:c>
      <x:c r="J1409" s="18" t="n">
        <x:v>42100</x:v>
      </x:c>
      <x:c r="K1409" s="19" t="n">
        <x:v>45470.284149513885</x:v>
      </x:c>
      <x:c r="L1409" s="19" t="n">
        <x:v>45657</x:v>
      </x:c>
      <x:c r="M1409" s="15" t="str">
        <x:v>Послуги з благоустрою населеного пункту (послуги з комплексного впорядкування вуличних територій загального користування)</x:v>
      </x:c>
      <x:c r="N1409" s="15" t="str">
        <x:v>https://prozorro.gov.ua/tender/UA-2024-06-27-001285-a</x:v>
      </x:c>
    </x:row>
    <x:row r="1410">
      <x:c r="A1410" s="14" t="n">
        <x:v>1406</x:v>
      </x:c>
      <x:c r="B1410" s="14" t="str">
        <x:v>ФОП Куропатенко Р.О.</x:v>
      </x:c>
      <x:c r="C1410" s="14" t="str">
        <x:v>3134212478</x:v>
      </x:c>
      <x:c r="D1410" s="14" t="str">
        <x:v>HVAC / ОВіК</x:v>
      </x:c>
      <x:c r="E1410" s="14" t="str">
        <x:v>Pilot now</x:v>
      </x:c>
      <x:c r="F1410" s="14" t="str">
        <x:v>I3</x:v>
      </x:c>
      <x:c r="G1410" s="14" t="n">
        <x:v>23</x:v>
      </x:c>
      <x:c r="H1410" s="14" t="n">
        <x:v>1</x:v>
      </x:c>
      <x:c r="I1410" s="14" t="n">
        <x:v>0</x:v>
      </x:c>
      <x:c r="J1410" s="18" t="n">
        <x:v>24000</x:v>
      </x:c>
      <x:c r="K1410" s="19" t="n">
        <x:v>45742.542737881944</x:v>
      </x:c>
      <x:c r="L1410" s="19" t="n">
        <x:v>46022.916666655095</x:v>
      </x:c>
      <x:c r="M1410" s="15" t="str">
        <x:v>Монтаж системи вентиляції</x:v>
      </x:c>
      <x:c r="N1410" s="15" t="str">
        <x:v>https://prozorro.gov.ua/tender/UA-2025-03-26-009354-a</x:v>
      </x:c>
    </x:row>
    <x:row r="1411">
      <x:c r="A1411" s="14" t="n">
        <x:v>1407</x:v>
      </x:c>
      <x:c r="B1411" s="14" t="str">
        <x:v>ФОП Мовчан В.І.</x:v>
      </x:c>
      <x:c r="C1411" s="14" t="str">
        <x:v>2220902814</x:v>
      </x:c>
      <x:c r="D1411" s="14" t="str">
        <x:v>HVAC / ОВіК</x:v>
      </x:c>
      <x:c r="E1411" s="14" t="str">
        <x:v>Pilot now</x:v>
      </x:c>
      <x:c r="F1411" s="14" t="str">
        <x:v>I3</x:v>
      </x:c>
      <x:c r="G1411" s="14" t="n">
        <x:v>23</x:v>
      </x:c>
      <x:c r="H1411" s="14" t="n">
        <x:v>1</x:v>
      </x:c>
      <x:c r="I1411" s="14" t="n">
        <x:v>0</x:v>
      </x:c>
      <x:c r="J1411" s="18" t="n">
        <x:v>4700</x:v>
      </x:c>
      <x:c r="K1411" s="19" t="n">
        <x:v>45659.27042761574</x:v>
      </x:c>
      <x:c r="L1411" s="19" t="n">
        <x:v>46022.916666655095</x:v>
      </x:c>
      <x:c r="M1411" s="15" t="str">
        <x:v>Демонтаж, монтаж системи вентиляції та кондиціонування</x:v>
      </x:c>
      <x:c r="N1411" s="15" t="str">
        <x:v>https://prozorro.gov.ua/tender/UA-2025-01-02-000114-a</x:v>
      </x:c>
    </x:row>
    <x:row r="1412">
      <x:c r="A1412" s="14" t="n">
        <x:v>1408</x:v>
      </x:c>
      <x:c r="B1412" s="14" t="str">
        <x:v>ФОП МРИКАЛО ВОЛОДИМИР МИКОЛАЙОВИЧ</x:v>
      </x:c>
      <x:c r="C1412" s="14" t="str">
        <x:v>2095002338</x:v>
      </x:c>
      <x:c r="D1412" s="14" t="str">
        <x:v>HVAC / ОВіК</x:v>
      </x:c>
      <x:c r="E1412" s="14" t="str">
        <x:v>Pilot now</x:v>
      </x:c>
      <x:c r="F1412" s="14" t="str">
        <x:v>I3</x:v>
      </x:c>
      <x:c r="G1412" s="14" t="n">
        <x:v>23</x:v>
      </x:c>
      <x:c r="H1412" s="14" t="n">
        <x:v>1</x:v>
      </x:c>
      <x:c r="I1412" s="14" t="n">
        <x:v>0</x:v>
      </x:c>
      <x:c r="J1412" s="18" t="n">
        <x:v>77374</x:v>
      </x:c>
      <x:c r="K1412" s="19" t="n">
        <x:v>45706.42072018518</x:v>
      </x:c>
      <x:c r="L1412" s="19" t="n">
        <x:v>46022.916666655095</x:v>
      </x:c>
      <x:c r="M1412" s="15" t="str">
        <x:v>виготовлення і монтаж витяжної системи вентиляції</x:v>
      </x:c>
      <x:c r="N1412" s="15" t="str">
        <x:v>https://prozorro.gov.ua/tender/UA-2025-02-18-005649-a</x:v>
      </x:c>
    </x:row>
    <x:row r="1413">
      <x:c r="A1413" s="14" t="n">
        <x:v>1409</x:v>
      </x:c>
      <x:c r="B1413" s="14" t="str">
        <x:v>ФОП Пацков Антон Анатолійович</x:v>
      </x:c>
      <x:c r="C1413" s="14" t="str">
        <x:v>3333305076</x:v>
      </x:c>
      <x:c r="D1413" s="14" t="str">
        <x:v>Промисловий холод</x:v>
      </x:c>
      <x:c r="E1413" s="14" t="str">
        <x:v>Expansion discovery</x:v>
      </x:c>
      <x:c r="F1413" s="14" t="str">
        <x:v>I3</x:v>
      </x:c>
      <x:c r="G1413" s="14" t="n">
        <x:v>23</x:v>
      </x:c>
      <x:c r="H1413" s="14" t="n">
        <x:v>1</x:v>
      </x:c>
      <x:c r="I1413" s="14" t="n">
        <x:v>0</x:v>
      </x:c>
      <x:c r="J1413" s="18" t="n">
        <x:v>30000</x:v>
      </x:c>
      <x:c r="K1413" s="19" t="n">
        <x:v>45537.43001980324</x:v>
      </x:c>
      <x:c r="L1413" s="19" t="n">
        <x:v>45657.47011574074</x:v>
      </x:c>
      <x:c r="M1413" s="15" t="str">
        <x:v>Встановлення та монтаж холодильної камери</x:v>
      </x:c>
      <x:c r="N1413" s="15" t="str">
        <x:v>https://prozorro.gov.ua/tender/UA-2024-09-02-004585-a</x:v>
      </x:c>
    </x:row>
    <x:row r="1414">
      <x:c r="A1414" s="14" t="n">
        <x:v>1410</x:v>
      </x:c>
      <x:c r="B1414" s="14" t="str">
        <x:v>ФОП Руденко Роман Володимирович</x:v>
      </x:c>
      <x:c r="C1414" s="14" t="str">
        <x:v>3166319879</x:v>
      </x:c>
      <x:c r="D1414" s="14" t="str">
        <x:v>Покрівлі та гідроізоляція</x:v>
      </x:c>
      <x:c r="E1414" s="14" t="str">
        <x:v>Expansion discovery</x:v>
      </x:c>
      <x:c r="F1414" s="14" t="str">
        <x:v>I3</x:v>
      </x:c>
      <x:c r="G1414" s="14" t="n">
        <x:v>23</x:v>
      </x:c>
      <x:c r="H1414" s="14" t="n">
        <x:v>1</x:v>
      </x:c>
      <x:c r="I1414" s="14" t="n">
        <x:v>0</x:v>
      </x:c>
      <x:c r="J1414" s="18" t="n">
        <x:v>28300</x:v>
      </x:c>
      <x:c r="K1414" s="19" t="n">
        <x:v>45652.4616052662</x:v>
      </x:c>
      <x:c r="L1414" s="19" t="n">
        <x:v>45645</x:v>
      </x:c>
      <x:c r="M1414" s="15" t="str">
        <x:v>Будівельні матеріали для проведення ремонтних робіт господарським способом (мастика, гідроізоляційна суміш)</x:v>
      </x:c>
      <x:c r="N1414" s="15" t="str">
        <x:v>https://prozorro.gov.ua/tender/UA-2024-12-26-007325-a</x:v>
      </x:c>
    </x:row>
    <x:row r="1415">
      <x:c r="A1415" s="14" t="n">
        <x:v>1411</x:v>
      </x:c>
      <x:c r="B1415" s="14" t="str">
        <x:v>ФОП Федоренко М.І.</x:v>
      </x:c>
      <x:c r="C1415" s="14" t="str">
        <x:v>2514305773</x:v>
      </x:c>
      <x:c r="D1415" s="14" t="str">
        <x:v>ВОЛЗ / телеком</x:v>
      </x:c>
      <x:c r="E1415" s="14" t="str">
        <x:v>Expansion discovery</x:v>
      </x:c>
      <x:c r="F1415" s="14" t="str">
        <x:v>I3</x:v>
      </x:c>
      <x:c r="G1415" s="14" t="n">
        <x:v>23</x:v>
      </x:c>
      <x:c r="H1415" s="14" t="n">
        <x:v>1</x:v>
      </x:c>
      <x:c r="I1415" s="14" t="n">
        <x:v>0</x:v>
      </x:c>
      <x:c r="J1415" s="18" t="n">
        <x:v>9500</x:v>
      </x:c>
      <x:c r="K1415" s="19" t="n">
        <x:v>45408.608278865744</x:v>
      </x:c>
      <x:c r="L1415" s="19" t="n">
        <x:v>45657</x:v>
      </x:c>
      <x:c r="M1415" s="15" t="str">
        <x:v>Послуги з ремонту і технічного обслуговування ліній телекомунікацій (Послуги з монтажу та налаштування телекомунікаційної мережі)</x:v>
      </x:c>
      <x:c r="N1415" s="15" t="str">
        <x:v>https://prozorro.gov.ua/tender/UA-2024-04-26-011195-a</x:v>
      </x:c>
    </x:row>
    <x:row r="1416">
      <x:c r="A1416" s="14" t="n">
        <x:v>1412</x:v>
      </x:c>
      <x:c r="B1416" s="14" t="str">
        <x:v>ДАНИЛЬЧЕНКО ЮЛІЙ ЕДУАРДОВИЧ</x:v>
      </x:c>
      <x:c r="C1416" s="14" t="str">
        <x:v>3122511676</x:v>
      </x:c>
      <x:c r="D1416" s="14" t="str">
        <x:v>HVAC / ОВіК</x:v>
      </x:c>
      <x:c r="E1416" s="14" t="str">
        <x:v>Pilot now</x:v>
      </x:c>
      <x:c r="F1416" s="14" t="str">
        <x:v>I3</x:v>
      </x:c>
      <x:c r="G1416" s="14" t="n">
        <x:v>22</x:v>
      </x:c>
      <x:c r="H1416" s="14" t="n">
        <x:v>1</x:v>
      </x:c>
      <x:c r="I1416" s="14" t="n">
        <x:v>0</x:v>
      </x:c>
      <x:c r="J1416" s="18" t="n">
        <x:v>98656.8</x:v>
      </x:c>
      <x:c r="K1416" s="19" t="n">
        <x:v>46013.4062894213</x:v>
      </x:c>
      <x:c r="L1416" s="19" t="n">
        <x:v>46017</x:v>
      </x:c>
      <x:c r="M1416" s="15" t="str">
        <x:v>Послуги з монтажу твердотопливного котла та під'єднання до існуючої системи опалення</x:v>
      </x:c>
      <x:c r="N1416" s="15" t="str">
        <x:v>https://prozorro.gov.ua/tender/UA-2025-12-22-007149-a</x:v>
      </x:c>
    </x:row>
    <x:row r="1417">
      <x:c r="A1417" s="14" t="n">
        <x:v>1413</x:v>
      </x:c>
      <x:c r="B1417" s="14" t="str">
        <x:v>ІЛІКА ВАСИЛЬ АНАТОЛІЙОВИЧ</x:v>
      </x:c>
      <x:c r="C1417" s="14" t="str">
        <x:v>3325109871</x:v>
      </x:c>
      <x:c r="D1417" s="14" t="str">
        <x:v>Резервне живлення</x:v>
      </x:c>
      <x:c r="E1417" s="14" t="str">
        <x:v>Expansion discovery</x:v>
      </x:c>
      <x:c r="F1417" s="14" t="str">
        <x:v>I3</x:v>
      </x:c>
      <x:c r="G1417" s="14" t="n">
        <x:v>22</x:v>
      </x:c>
      <x:c r="H1417" s="14" t="n">
        <x:v>1</x:v>
      </x:c>
      <x:c r="I1417" s="14" t="n">
        <x:v>0</x:v>
      </x:c>
      <x:c r="J1417" s="18" t="n">
        <x:v>31000</x:v>
      </x:c>
      <x:c r="K1417" s="19" t="n">
        <x:v>45750.721517337966</x:v>
      </x:c>
      <x:c r="L1417" s="19" t="n">
        <x:v>46022</x:v>
      </x:c>
      <x:c r="M1417" s="15" t="str">
        <x:v>Послуги з монтажу системи безперебійного живлення</x:v>
      </x:c>
      <x:c r="N1417" s="15" t="str">
        <x:v>https://prozorro.gov.ua/tender/UA-2025-04-03-014446-a</x:v>
      </x:c>
    </x:row>
    <x:row r="1418">
      <x:c r="A1418" s="14" t="n">
        <x:v>1414</x:v>
      </x:c>
      <x:c r="B1418" s="14" t="str">
        <x:v>КИРПА СЕРГІЙ БОРИСОВИЧ</x:v>
      </x:c>
      <x:c r="C1418" s="14" t="str">
        <x:v>2764511934</x:v>
      </x:c>
      <x:c r="D1418" s="14" t="str">
        <x:v>Промисловий холод</x:v>
      </x:c>
      <x:c r="E1418" s="14" t="str">
        <x:v>Expansion discovery</x:v>
      </x:c>
      <x:c r="F1418" s="14" t="str">
        <x:v>I3</x:v>
      </x:c>
      <x:c r="G1418" s="14" t="n">
        <x:v>22</x:v>
      </x:c>
      <x:c r="H1418" s="14" t="n">
        <x:v>1</x:v>
      </x:c>
      <x:c r="I1418" s="14" t="n">
        <x:v>0</x:v>
      </x:c>
      <x:c r="J1418" s="18" t="n">
        <x:v>84796</x:v>
      </x:c>
      <x:c r="K1418" s="19" t="n">
        <x:v>45989.583615</x:v>
      </x:c>
      <x:c r="L1418" s="19" t="n">
        <x:v>45996</x:v>
      </x:c>
      <x:c r="M1418" s="15" t="str">
        <x:v>Кондиціонери із комплектом для монтажу ДК 021:2015:42510000-4 Теплообмінники, кондиціонери повітря, холодильне обладнання та фільтрувальні пристрої</x:v>
      </x:c>
      <x:c r="N1418" s="15" t="str">
        <x:v>https://prozorro.gov.ua/tender/UA-2025-11-28-013574-a</x:v>
      </x:c>
    </x:row>
    <x:row r="1419">
      <x:c r="A1419" s="14" t="n">
        <x:v>1415</x:v>
      </x:c>
      <x:c r="B1419" s="14" t="str">
        <x:v>МИХАЙЛЮК МАРІЯ ІВАНІВНА</x:v>
      </x:c>
      <x:c r="C1419" s="14" t="str">
        <x:v>3612006961</x:v>
      </x:c>
      <x:c r="D1419" s="14" t="str">
        <x:v>Електромонтаж</x:v>
      </x:c>
      <x:c r="E1419" s="14" t="str">
        <x:v>Pilot now</x:v>
      </x:c>
      <x:c r="F1419" s="14" t="str">
        <x:v>I3</x:v>
      </x:c>
      <x:c r="G1419" s="14" t="n">
        <x:v>22</x:v>
      </x:c>
      <x:c r="H1419" s="14" t="n">
        <x:v>1</x:v>
      </x:c>
      <x:c r="I1419" s="14" t="n">
        <x:v>0</x:v>
      </x:c>
      <x:c r="J1419" s="18" t="n">
        <x:v>30400</x:v>
      </x:c>
      <x:c r="K1419" s="19" t="n">
        <x:v>46002.42301488426</x:v>
      </x:c>
      <x:c r="L1419" s="19" t="n">
        <x:v>46022</x:v>
      </x:c>
      <x:c r="M1419" s="15" t="str">
        <x:v>послуги з монтажу та налаштування електричної мережі</x:v>
      </x:c>
      <x:c r="N1419" s="15" t="str">
        <x:v>https://prozorro.gov.ua/tender/UA-2025-12-11-008571-a</x:v>
      </x:c>
    </x:row>
    <x:row r="1420">
      <x:c r="A1420" s="14" t="n">
        <x:v>1416</x:v>
      </x:c>
      <x:c r="B1420" s="14" t="str">
        <x:v>ПЕТРУК МИКОЛА ВОЛОДИМИРОВИЧ</x:v>
      </x:c>
      <x:c r="C1420" s="14" t="str">
        <x:v>1862822250</x:v>
      </x:c>
      <x:c r="D1420" s="14" t="str">
        <x:v>Електромонтаж</x:v>
      </x:c>
      <x:c r="E1420" s="14" t="str">
        <x:v>Pilot now</x:v>
      </x:c>
      <x:c r="F1420" s="14" t="str">
        <x:v>I3</x:v>
      </x:c>
      <x:c r="G1420" s="14" t="n">
        <x:v>22</x:v>
      </x:c>
      <x:c r="H1420" s="14" t="n">
        <x:v>1</x:v>
      </x:c>
      <x:c r="I1420" s="14" t="n">
        <x:v>0</x:v>
      </x:c>
      <x:c r="J1420" s="18" t="n">
        <x:v>33100</x:v>
      </x:c>
      <x:c r="K1420" s="19" t="n">
        <x:v>46013.441212349535</x:v>
      </x:c>
      <x:c r="L1420" s="19" t="n">
        <x:v>46022</x:v>
      </x:c>
      <x:c r="M1420"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x:v>
      </x:c>
      <x:c r="N1420" s="15" t="str">
        <x:v>https://prozorro.gov.ua/tender/UA-2025-12-22-009110-a</x:v>
      </x:c>
    </x:row>
    <x:row r="1421">
      <x:c r="A1421" s="14" t="n">
        <x:v>1417</x:v>
      </x:c>
      <x:c r="B1421" s="14" t="str">
        <x:v>Сердюк Олексій Григорович</x:v>
      </x:c>
      <x:c r="C1421" s="14" t="str">
        <x:v>2963012655</x:v>
      </x:c>
      <x:c r="D1421" s="14" t="str">
        <x:v>Електромонтаж</x:v>
      </x:c>
      <x:c r="E1421" s="14" t="str">
        <x:v>Pilot now</x:v>
      </x:c>
      <x:c r="F1421" s="14" t="str">
        <x:v>I3</x:v>
      </x:c>
      <x:c r="G1421" s="14" t="n">
        <x:v>22</x:v>
      </x:c>
      <x:c r="H1421" s="14" t="n">
        <x:v>1</x:v>
      </x:c>
      <x:c r="I1421" s="14" t="n">
        <x:v>0</x:v>
      </x:c>
      <x:c r="J1421" s="18" t="n">
        <x:v>5000.4</x:v>
      </x:c>
      <x:c r="K1421" s="19" t="n">
        <x:v>45938.455317962966</x:v>
      </x:c>
      <x:c r="L1421" s="19" t="n">
        <x:v>46022</x:v>
      </x:c>
      <x:c r="M1421"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1421" s="15" t="str">
        <x:v>https://prozorro.gov.ua/tender/UA-2025-10-08-008132-a</x:v>
      </x:c>
    </x:row>
    <x:row r="1422">
      <x:c r="A1422" s="14" t="n">
        <x:v>1418</x:v>
      </x:c>
      <x:c r="B1422" s="14" t="str">
        <x:v>Фізична особа-підприємець БЄЛОНОГОВ ГЛІБ ВІКТОРОВИЧ</x:v>
      </x:c>
      <x:c r="C1422" s="14" t="str">
        <x:v>2771206338</x:v>
      </x:c>
      <x:c r="D1422" s="14" t="str">
        <x:v>Електромонтаж</x:v>
      </x:c>
      <x:c r="E1422" s="14" t="str">
        <x:v>Pilot now</x:v>
      </x:c>
      <x:c r="F1422" s="14" t="str">
        <x:v>I3</x:v>
      </x:c>
      <x:c r="G1422" s="14" t="n">
        <x:v>22</x:v>
      </x:c>
      <x:c r="H1422" s="14" t="n">
        <x:v>1</x:v>
      </x:c>
      <x:c r="I1422" s="14" t="n">
        <x:v>0</x:v>
      </x:c>
      <x:c r="J1422" s="18" t="n">
        <x:v>20650</x:v>
      </x:c>
      <x:c r="K1422" s="19" t="n">
        <x:v>46009.32575747685</x:v>
      </x:c>
      <x:c r="L1422" s="19" t="n">
        <x:v>46013</x:v>
      </x:c>
      <x:c r="M1422" s="15" t="str">
        <x:v>Послуги з монтажу та налаштування електричного обладнання та електричної мережі, підключення генератора</x:v>
      </x:c>
      <x:c r="N1422" s="15" t="str">
        <x:v>https://prozorro.gov.ua/tender/UA-2025-12-18-002656-a</x:v>
      </x:c>
    </x:row>
    <x:row r="1423">
      <x:c r="A1423" s="14" t="n">
        <x:v>1419</x:v>
      </x:c>
      <x:c r="B1423" s="14" t="str">
        <x:v>Фізична особа-підприємець Кисельов Олександр Сергійович</x:v>
      </x:c>
      <x:c r="C1423" s="14" t="str">
        <x:v>3473503555</x:v>
      </x:c>
      <x:c r="D1423" s="14" t="str">
        <x:v>Резервне живлення</x:v>
      </x:c>
      <x:c r="E1423" s="14" t="str">
        <x:v>Expansion discovery</x:v>
      </x:c>
      <x:c r="F1423" s="14" t="str">
        <x:v>I3</x:v>
      </x:c>
      <x:c r="G1423" s="14" t="n">
        <x:v>22</x:v>
      </x:c>
      <x:c r="H1423" s="14" t="n">
        <x:v>1</x:v>
      </x:c>
      <x:c r="I1423" s="14" t="n">
        <x:v>0</x:v>
      </x:c>
      <x:c r="J1423" s="18" t="n">
        <x:v>51000</x:v>
      </x:c>
      <x:c r="K1423" s="19" t="n">
        <x:v>46002.561358831015</x:v>
      </x:c>
      <x:c r="L1423" s="19" t="n">
        <x:v>46000</x:v>
      </x:c>
      <x:c r="M1423"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x:v>
      </x:c>
      <x:c r="N1423" s="15" t="str">
        <x:v>https://prozorro.gov.ua/tender/UA-2025-12-11-016854-a</x:v>
      </x:c>
    </x:row>
    <x:row r="1424">
      <x:c r="A1424" s="14" t="n">
        <x:v>1420</x:v>
      </x:c>
      <x:c r="B1424" s="14" t="str">
        <x:v>ФО-П РЕГІДА ГЕННАДІЙ ВІТАЛІЙОВИЧ</x:v>
      </x:c>
      <x:c r="C1424" s="14" t="str">
        <x:v>2191532230</x:v>
      </x:c>
      <x:c r="D1424" s="14" t="str">
        <x:v>ВОЛЗ / телеком</x:v>
      </x:c>
      <x:c r="E1424" s="14" t="str">
        <x:v>Expansion discovery</x:v>
      </x:c>
      <x:c r="F1424" s="14" t="str">
        <x:v>I3</x:v>
      </x:c>
      <x:c r="G1424" s="14" t="n">
        <x:v>22</x:v>
      </x:c>
      <x:c r="H1424" s="14" t="n">
        <x:v>1</x:v>
      </x:c>
      <x:c r="I1424" s="14" t="n">
        <x:v>0</x:v>
      </x:c>
      <x:c r="J1424" s="18" t="n">
        <x:v>97030</x:v>
      </x:c>
      <x:c r="K1424" s="19" t="n">
        <x:v>45821.2460830787</x:v>
      </x:c>
      <x:c r="L1424" s="19" t="n">
        <x:v>46022</x:v>
      </x:c>
      <x:c r="M1424"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x:v>
      </x:c>
      <x:c r="N1424" s="15" t="str">
        <x:v>https://prozorro.gov.ua/tender/UA-2025-06-13-000441-a</x:v>
      </x:c>
    </x:row>
    <x:row r="1425">
      <x:c r="A1425" s="14" t="n">
        <x:v>1421</x:v>
      </x:c>
      <x:c r="B1425" s="14" t="str">
        <x:v>ФОП Кривов'яз Олександр Михайлович</x:v>
      </x:c>
      <x:c r="C1425" s="14" t="str">
        <x:v>2312507773</x:v>
      </x:c>
      <x:c r="D1425" s="14" t="str">
        <x:v>Електромонтаж</x:v>
      </x:c>
      <x:c r="E1425" s="14" t="str">
        <x:v>Pilot now</x:v>
      </x:c>
      <x:c r="F1425" s="14" t="str">
        <x:v>I3</x:v>
      </x:c>
      <x:c r="G1425" s="14" t="n">
        <x:v>22</x:v>
      </x:c>
      <x:c r="H1425" s="14" t="n">
        <x:v>1</x:v>
      </x:c>
      <x:c r="I1425" s="14" t="n">
        <x:v>0</x:v>
      </x:c>
      <x:c r="J1425" s="18" t="n">
        <x:v>2400</x:v>
      </x:c>
      <x:c r="K1425" s="19" t="n">
        <x:v>45933.31513700231</x:v>
      </x:c>
      <x:c r="L1425" s="19" t="n">
        <x:v>46022.916666655095</x:v>
      </x:c>
      <x:c r="M1425"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x:v>
      </x:c>
      <x:c r="N1425" s="15" t="str">
        <x:v>https://prozorro.gov.ua/tender/UA-2025-10-03-002607-a</x:v>
      </x:c>
    </x:row>
    <x:row r="1426">
      <x:c r="A1426" s="14" t="n">
        <x:v>1422</x:v>
      </x:c>
      <x:c r="B1426" s="14" t="str">
        <x:v>ФОП Кулеба Микола Миколайович</x:v>
      </x:c>
      <x:c r="C1426" s="14" t="str">
        <x:v>3319411953</x:v>
      </x:c>
      <x:c r="D1426" s="14" t="str">
        <x:v>HVAC / ОВіК</x:v>
      </x:c>
      <x:c r="E1426" s="14" t="str">
        <x:v>Pilot now</x:v>
      </x:c>
      <x:c r="F1426" s="14" t="str">
        <x:v>I3</x:v>
      </x:c>
      <x:c r="G1426" s="14" t="n">
        <x:v>22</x:v>
      </x:c>
      <x:c r="H1426" s="14" t="n">
        <x:v>1</x:v>
      </x:c>
      <x:c r="I1426" s="14" t="n">
        <x:v>0</x:v>
      </x:c>
      <x:c r="J1426" s="18" t="n">
        <x:v>33</x:v>
      </x:c>
      <x:c r="K1426" s="19" t="n">
        <x:v>45860.59006116898</x:v>
      </x:c>
      <x:c r="L1426" s="19" t="n">
        <x:v>45873.58752314815</x:v>
      </x:c>
      <x:c r="M1426"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x:v>
      </x:c>
      <x:c r="N1426" s="15" t="str">
        <x:v>https://prozorro.gov.ua/tender/UA-2025-07-22-011205-a</x:v>
      </x:c>
    </x:row>
    <x:row r="1427">
      <x:c r="A1427" s="14" t="n">
        <x:v>1423</x:v>
      </x:c>
      <x:c r="B1427" s="14" t="str">
        <x:v>ФОП Майданець Катерина Олександрівна</x:v>
      </x:c>
      <x:c r="C1427" s="14" t="str">
        <x:v>3321004687</x:v>
      </x:c>
      <x:c r="D1427" s="14" t="str">
        <x:v>Безпека / СКУД / CCTV</x:v>
      </x:c>
      <x:c r="E1427" s="14" t="str">
        <x:v>Expansion discovery</x:v>
      </x:c>
      <x:c r="F1427" s="14" t="str">
        <x:v>I3</x:v>
      </x:c>
      <x:c r="G1427" s="14" t="n">
        <x:v>22</x:v>
      </x:c>
      <x:c r="H1427" s="14" t="n">
        <x:v>1</x:v>
      </x:c>
      <x:c r="I1427" s="14" t="n">
        <x:v>0</x:v>
      </x:c>
      <x:c r="J1427" s="18" t="n">
        <x:v>29302</x:v>
      </x:c>
      <x:c r="K1427" s="19" t="n">
        <x:v>46008.550614733795</x:v>
      </x:c>
      <x:c r="L1427" s="19" t="n">
        <x:v>46022.54587962963</x:v>
      </x:c>
      <x:c r="M1427" s="15" t="str">
        <x:v>послуги з монтажу та налаштування системи контролю доступу</x:v>
      </x:c>
      <x:c r="N1427" s="15" t="str">
        <x:v>https://prozorro.gov.ua/tender/UA-2025-12-17-016354-a</x:v>
      </x:c>
    </x:row>
    <x:row r="1428">
      <x:c r="A1428" s="14" t="n">
        <x:v>1424</x:v>
      </x:c>
      <x:c r="B1428" s="14" t="str">
        <x:v>ФОП Меркушева Анна Олександрівна</x:v>
      </x:c>
      <x:c r="C1428" s="14" t="str">
        <x:v>3417005720</x:v>
      </x:c>
      <x:c r="D1428" s="14" t="str">
        <x:v>HVAC / ОВіК</x:v>
      </x:c>
      <x:c r="E1428" s="14" t="str">
        <x:v>Pilot now</x:v>
      </x:c>
      <x:c r="F1428" s="14" t="str">
        <x:v>I3</x:v>
      </x:c>
      <x:c r="G1428" s="14" t="n">
        <x:v>22</x:v>
      </x:c>
      <x:c r="H1428" s="14" t="n">
        <x:v>1</x:v>
      </x:c>
      <x:c r="I1428" s="14" t="n">
        <x:v>0</x:v>
      </x:c>
      <x:c r="J1428" s="18" t="n">
        <x:v>22130</x:v>
      </x:c>
      <x:c r="K1428" s="19" t="n">
        <x:v>45958.52176607639</x:v>
      </x:c>
      <x:c r="L1428" s="19" t="n">
        <x:v>46022.916666655095</x:v>
      </x:c>
      <x:c r="M1428" s="15" t="str">
        <x:v>Закупівля послуг з монтажу системи опалення</x:v>
      </x:c>
      <x:c r="N1428" s="15" t="str">
        <x:v>https://prozorro.gov.ua/tender/UA-2025-10-28-010075-a</x:v>
      </x:c>
    </x:row>
    <x:row r="1429">
      <x:c r="A1429" s="14" t="n">
        <x:v>1425</x:v>
      </x:c>
      <x:c r="B1429" s="14" t="str">
        <x:v>ФОП Напаснюк Інна Валеріївна</x:v>
      </x:c>
      <x:c r="C1429" s="14" t="str">
        <x:v>2855817427</x:v>
      </x:c>
      <x:c r="D1429" s="14" t="str">
        <x:v>Резервне живлення</x:v>
      </x:c>
      <x:c r="E1429" s="14" t="str">
        <x:v>Expansion discovery</x:v>
      </x:c>
      <x:c r="F1429" s="14" t="str">
        <x:v>I3</x:v>
      </x:c>
      <x:c r="G1429" s="14" t="n">
        <x:v>22</x:v>
      </x:c>
      <x:c r="H1429" s="14" t="n">
        <x:v>1</x:v>
      </x:c>
      <x:c r="I1429" s="14" t="n">
        <x:v>0</x:v>
      </x:c>
      <x:c r="J1429" s="18" t="n">
        <x:v>8900</x:v>
      </x:c>
      <x:c r="K1429" s="19" t="n">
        <x:v>46009.690366967596</x:v>
      </x:c>
      <x:c r="L1429" s="19" t="n">
        <x:v>46021.69065972222</x:v>
      </x:c>
      <x:c r="M1429"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x:v>
      </x:c>
      <x:c r="N1429" s="15" t="str">
        <x:v>https://prozorro.gov.ua/tender/UA-2025-12-18-024456-a</x:v>
      </x:c>
    </x:row>
    <x:row r="1430">
      <x:c r="A1430" s="14" t="n">
        <x:v>1426</x:v>
      </x:c>
      <x:c r="B1430" s="14" t="str">
        <x:v>ФОП Сидорівський В.М.</x:v>
      </x:c>
      <x:c r="C1430" s="14" t="str">
        <x:v>2534309035</x:v>
      </x:c>
      <x:c r="D1430" s="14" t="str">
        <x:v>Сонячна енергетика</x:v>
      </x:c>
      <x:c r="E1430" s="14" t="str">
        <x:v>Expansion discovery</x:v>
      </x:c>
      <x:c r="F1430" s="14" t="str">
        <x:v>I3</x:v>
      </x:c>
      <x:c r="G1430" s="14" t="n">
        <x:v>22</x:v>
      </x:c>
      <x:c r="H1430" s="14" t="n">
        <x:v>1</x:v>
      </x:c>
      <x:c r="I1430" s="14" t="n">
        <x:v>0</x:v>
      </x:c>
      <x:c r="J1430" s="18" t="n">
        <x:v>95000</x:v>
      </x:c>
      <x:c r="K1430" s="19" t="n">
        <x:v>46008.60146755787</x:v>
      </x:c>
      <x:c r="L1430" s="19" t="n">
        <x:v>46022.60365740741</x:v>
      </x:c>
      <x:c r="M1430" s="15" t="str">
        <x:v>монтаж сонячної електростанції</x:v>
      </x:c>
      <x:c r="N1430" s="15" t="str">
        <x:v>https://prozorro.gov.ua/tender/UA-2025-12-17-021013-a</x:v>
      </x:c>
    </x:row>
    <x:row r="1431">
      <x:c r="A1431" s="14" t="n">
        <x:v>1427</x:v>
      </x:c>
      <x:c r="B1431" s="14" t="str">
        <x:v>ФОП ЦЬОХ ГАЛИНА СТАНІСЛАВІВНА</x:v>
      </x:c>
      <x:c r="C1431" s="14" t="str">
        <x:v>2602706188</x:v>
      </x:c>
      <x:c r="D1431" s="14" t="str">
        <x:v>Електромонтаж</x:v>
      </x:c>
      <x:c r="E1431" s="14" t="str">
        <x:v>Pilot now</x:v>
      </x:c>
      <x:c r="F1431" s="14" t="str">
        <x:v>I3</x:v>
      </x:c>
      <x:c r="G1431" s="14" t="n">
        <x:v>22</x:v>
      </x:c>
      <x:c r="H1431" s="14" t="n">
        <x:v>1</x:v>
      </x:c>
      <x:c r="I1431" s="14" t="n">
        <x:v>0</x:v>
      </x:c>
      <x:c r="J1431" s="18" t="n">
        <x:v>55000</x:v>
      </x:c>
      <x:c r="K1431" s="19" t="n">
        <x:v>45924.55775303241</x:v>
      </x:c>
      <x:c r="L1431" s="19" t="n">
        <x:v>45940</x:v>
      </x:c>
      <x:c r="M1431" s="15" t="str">
        <x:v>Послуги по виконанню електровимірювальних робіт, проведенню перевірки системи заземлення та виготовлення технічної документації</x:v>
      </x:c>
      <x:c r="N1431" s="15" t="str">
        <x:v>https://prozorro.gov.ua/tender/UA-2025-09-16-013936-a</x:v>
      </x:c>
    </x:row>
    <x:row r="1432">
      <x:c r="A1432" s="14" t="n">
        <x:v>1428</x:v>
      </x:c>
      <x:c r="B1432" s="14" t="str">
        <x:v>ШИМЧУК СЕРГІЙ ЄВСТАФІЙОВИЧ</x:v>
      </x:c>
      <x:c r="C1432" s="14" t="str">
        <x:v>2389802056</x:v>
      </x:c>
      <x:c r="D1432" s="14" t="str">
        <x:v>HVAC / ОВіК</x:v>
      </x:c>
      <x:c r="E1432" s="14" t="str">
        <x:v>Pilot now</x:v>
      </x:c>
      <x:c r="F1432" s="14" t="str">
        <x:v>I3</x:v>
      </x:c>
      <x:c r="G1432" s="14" t="n">
        <x:v>22</x:v>
      </x:c>
      <x:c r="H1432" s="14" t="n">
        <x:v>1</x:v>
      </x:c>
      <x:c r="I1432" s="14" t="n">
        <x:v>0</x:v>
      </x:c>
      <x:c r="J1432" s="18" t="n">
        <x:v>18100</x:v>
      </x:c>
      <x:c r="K1432" s="19" t="n">
        <x:v>46013.436637280094</x:v>
      </x:c>
      <x:c r="L1432" s="19" t="n">
        <x:v>46017</x:v>
      </x:c>
      <x:c r="M1432" s="15" t="str">
        <x:v>Послуги по монтажу системи опалення та кондиціонування</x:v>
      </x:c>
      <x:c r="N1432" s="15" t="str">
        <x:v>https://prozorro.gov.ua/tender/UA-2025-12-22-008729-a</x:v>
      </x:c>
    </x:row>
  </x:sheetData>
  <x:mergeCells>
    <x:mergeCell ref="A1:N1"/>
    <x:mergeCell ref="A2:N2"/>
    <x:mergeCell ref="A3:N3"/>
  </x:mergeCells>
  <x:conditionalFormatting sqref="F5:F1432">
    <x:cfRule type="containsText" dxfId="7" priority="1" operator="containsText" text="I1"/>
    <x:cfRule type="containsText" dxfId="8" priority="2" operator="containsText" text="I2"/>
  </x:conditionalFormatting>
  <x:conditionalFormatting sqref="G5:G1432">
    <x:cfRule type="colorScale" priority="3">
      <x:colorScale>
        <x:cfvo type="min"/>
        <x:cfvo type="percentile" val="50"/>
        <x:cfvo type="max"/>
        <x:color rgb="FFF3F4F6"/>
        <x:color rgb="FFFFF4D6"/>
        <x:color rgb="FFE9F7ED"/>
      </x:colorScale>
    </x:cfRule>
  </x:conditionalFormatting>
  <x:pageMargins left="0.7" right="0.7" top="0.75" bottom="0.75" header="0.3" footer="0.3"/>
  <x:tableParts count="1">
    <x:tablePart xmlns:r="http://schemas.openxmlformats.org/officeDocument/2006/relationships" r:id="R2a58f38490fc49a0"/>
  </x:tableParts>
</x:worksheet>
</file>

<file path=xl/worksheets/sheet4.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82 сегментних міток</x:v>
      </x:c>
      <x:c r="B1" s="3"/>
      <x:c r="C1" s="3"/>
      <x:c r="D1" s="3"/>
      <x:c r="E1" s="3"/>
      <x:c r="F1" s="3"/>
      <x:c r="G1" s="3"/>
      <x:c r="H1" s="3"/>
      <x:c r="I1" s="3"/>
      <x:c r="J1" s="3"/>
    </x:row>
    <x:row r="2" ht="22" customHeight="1">
      <x:c r="A2" s="5" t="str">
        <x:v>Розширено за межі санітарно-технічних та електромонтажних робіт; споріднені назви збережені як у джерелах для подальшої нормалізації</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6" t="str">
        <x:v>Антикорозійний захист</x:v>
      </x:c>
      <x:c r="B5" s="54" t="n">
        <x:v>4</x:v>
      </x:c>
      <x:c r="C5" s="54" t="n">
        <x:v>1</x:v>
      </x:c>
      <x:c r="D5" s="54" t="n">
        <x:v>5</x:v>
      </x:c>
      <x:c r="E5" s="54" t="n">
        <x:v>5</x:v>
      </x:c>
      <x:c r="F5" s="54" t="n">
        <x:v>5</x:v>
      </x:c>
      <x:c r="G5" s="15" t="str">
        <x:v>Expansion discovery</x:v>
      </x:c>
      <x:c r="H5" s="15" t="str">
        <x:v>Фото, акти, протоколи та виконавча документація до закриття або ПНР</x:v>
      </x:c>
      <x:c r="I5" s="15" t="str">
        <x:v>Один анонімізований пакет приймання з поточного проєкту</x:v>
      </x:c>
      <x:c r="J5" s="15" t="str">
        <x:v>Покажіть один пакет: перевіримо fit і запропонуємо вузький безкоштовний пілот</x:v>
      </x:c>
    </x:row>
    <x:row r="6" ht="42" customHeight="1">
      <x:c r="A6" s="56" t="str">
        <x:v>Басейни та водні комплекси</x:v>
      </x:c>
      <x:c r="B6" s="54" t="n">
        <x:v>1</x:v>
      </x:c>
      <x:c r="C6" s="54" t="n">
        <x:v>1</x:v>
      </x:c>
      <x:c r="D6" s="54" t="n">
        <x:v>5</x:v>
      </x:c>
      <x:c r="E6" s="54" t="n">
        <x:v>5</x:v>
      </x:c>
      <x:c r="F6" s="54" t="n">
        <x:v>5</x:v>
      </x:c>
      <x:c r="G6" s="15" t="str">
        <x:v>Expansion discovery</x:v>
      </x:c>
      <x:c r="H6" s="15" t="str">
        <x:v>Фото, акти, протоколи та виконавча документація до закриття або ПНР</x:v>
      </x:c>
      <x:c r="I6" s="15" t="str">
        <x:v>Один анонімізований пакет приймання з поточного проєкту</x:v>
      </x:c>
      <x:c r="J6" s="15" t="str">
        <x:v>Покажіть один пакет: перевіримо fit і запропонуємо вузький безкоштовний пілот</x:v>
      </x:c>
    </x:row>
    <x:row r="7" ht="42" customHeight="1">
      <x:c r="A7" s="56" t="str">
        <x:v>Басейни, водні комплекси та SPA</x:v>
      </x:c>
      <x:c r="B7" s="54" t="n">
        <x:v>3</x:v>
      </x:c>
      <x:c r="C7" s="54" t="n">
        <x:v>3</x:v>
      </x:c>
      <x:c r="D7" s="54" t="n">
        <x:v>5</x:v>
      </x:c>
      <x:c r="E7" s="54" t="n">
        <x:v>5</x:v>
      </x:c>
      <x:c r="F7" s="54" t="n">
        <x:v>5</x:v>
      </x:c>
      <x:c r="G7" s="15" t="str">
        <x:v>Expansion discovery</x:v>
      </x:c>
      <x:c r="H7" s="15" t="str">
        <x:v>Закладні, труби, гідроізоляція</x:v>
      </x:c>
      <x:c r="I7" s="15" t="str">
        <x:v>Фото закладних + гідротест</x:v>
      </x:c>
      <x:c r="J7" s="15" t="str">
        <x:v>Покажіть пакет до оздоблення чаші</x:v>
      </x:c>
    </x:row>
    <x:row r="8" ht="42" customHeight="1">
      <x:c r="A8" s="56" t="str">
        <x:v>Безпека / СКУД / CCTV</x:v>
      </x:c>
      <x:c r="B8" s="54" t="n">
        <x:v>80</x:v>
      </x:c>
      <x:c r="C8" s="54" t="n">
        <x:v>1</x:v>
      </x:c>
      <x:c r="D8" s="54" t="n">
        <x:v>5</x:v>
      </x:c>
      <x:c r="E8" s="54" t="n">
        <x:v>4</x:v>
      </x:c>
      <x:c r="F8" s="54" t="n">
        <x:v>5</x:v>
      </x:c>
      <x:c r="G8" s="15" t="str">
        <x:v>Expansion discovery</x:v>
      </x:c>
      <x:c r="H8" s="15" t="str">
        <x:v>Траси, адресація, налаштування</x:v>
      </x:c>
      <x:c r="I8" s="15" t="str">
        <x:v>Виконавча схема + acceptance-test</x:v>
      </x:c>
      <x:c r="J8" s="15" t="str">
        <x:v>Покажіть пакет здачі одного об'єкта</x:v>
      </x:c>
    </x:row>
    <x:row r="9" ht="42" customHeight="1">
      <x:c r="A9" s="56" t="str">
        <x:v>Безпека + пожежні + слаботочка</x:v>
      </x:c>
      <x:c r="B9" s="54" t="n">
        <x:v>1</x:v>
      </x:c>
      <x:c r="C9" s="54" t="n">
        <x:v>4</x:v>
      </x:c>
      <x:c r="D9" s="54" t="n">
        <x:v>5</x:v>
      </x:c>
      <x:c r="E9" s="54" t="n">
        <x:v>4</x:v>
      </x:c>
      <x:c r="F9" s="54" t="n">
        <x:v>4</x:v>
      </x:c>
      <x:c r="G9" s="15" t="str">
        <x:v>Expansion discovery</x:v>
      </x:c>
      <x:c r="H9" s="15" t="str">
        <x:v>Фото, акти, протоколи та виконавча документація до закриття або ПНР</x:v>
      </x:c>
      <x:c r="I9" s="15" t="str">
        <x:v>Один анонімізований пакет приймання з поточного проєкту</x:v>
      </x:c>
      <x:c r="J9" s="15" t="str">
        <x:v>Покажіть один пакет: перевіримо fit і запропонуємо вузький безкоштовний пілот</x:v>
      </x:c>
    </x:row>
    <x:row r="10" ht="42" customHeight="1">
      <x:c r="A10" s="56" t="str">
        <x:v>Благоустрій</x:v>
      </x:c>
      <x:c r="B10" s="54" t="n">
        <x:v>22</x:v>
      </x:c>
      <x:c r="C10" s="54" t="n">
        <x:v>1</x:v>
      </x:c>
      <x:c r="D10" s="54" t="n">
        <x:v>5</x:v>
      </x:c>
      <x:c r="E10" s="54" t="n">
        <x:v>4</x:v>
      </x:c>
      <x:c r="F10" s="54" t="n">
        <x:v>5</x:v>
      </x:c>
      <x:c r="G10" s="15" t="str">
        <x:v>Expansion discovery</x:v>
      </x:c>
      <x:c r="H10" s="15" t="str">
        <x:v>Фото, акти, протоколи та виконавча документація до закриття або ПНР</x:v>
      </x:c>
      <x:c r="I10" s="15" t="str">
        <x:v>Один анонімізований пакет приймання з поточного проєкту</x:v>
      </x:c>
      <x:c r="J10" s="15" t="str">
        <x:v>Покажіть один пакет: перевіримо fit і запропонуємо вузький безкоштовний пілот</x:v>
      </x:c>
    </x:row>
    <x:row r="11" ht="42" customHeight="1">
      <x:c r="A11" s="56" t="str">
        <x:v>Блискавкозахист / заземлення</x:v>
      </x:c>
      <x:c r="B11" s="54" t="n">
        <x:v>20</x:v>
      </x:c>
      <x:c r="C11" s="54" t="n">
        <x:v>4</x:v>
      </x:c>
      <x:c r="D11" s="54" t="n">
        <x:v>5</x:v>
      </x:c>
      <x:c r="E11" s="54" t="n">
        <x:v>5</x:v>
      </x:c>
      <x:c r="F11" s="54" t="n">
        <x:v>5</x:v>
      </x:c>
      <x:c r="G11" s="15" t="str">
        <x:v>Pilot now</x:v>
      </x:c>
      <x:c r="H11" s="15" t="str">
        <x:v>Фото, акти, протоколи та виконавча документація до закриття або ПНР</x:v>
      </x:c>
      <x:c r="I11" s="15" t="str">
        <x:v>Один анонімізований пакет приймання з поточного проєкту</x:v>
      </x:c>
      <x:c r="J11" s="15" t="str">
        <x:v>Покажіть один пакет: перевіримо fit і запропонуємо вузький безкоштовний пілот</x:v>
      </x:c>
    </x:row>
    <x:row r="12" ht="42" customHeight="1">
      <x:c r="A12" s="56" t="str">
        <x:v>Вентильовані фасади та скління</x:v>
      </x:c>
      <x:c r="B12" s="54" t="n">
        <x:v>5</x:v>
      </x:c>
      <x:c r="C12" s="54" t="n">
        <x:v>0</x:v>
      </x:c>
      <x:c r="D12" s="54" t="n">
        <x:v>5</x:v>
      </x:c>
      <x:c r="E12" s="54" t="n">
        <x:v>5</x:v>
      </x:c>
      <x:c r="F12" s="54" t="n">
        <x:v>4</x:v>
      </x:c>
      <x:c r="G12" s="15" t="str">
        <x:v>Expansion discovery</x:v>
      </x:c>
      <x:c r="H12" s="15" t="str">
        <x:v>Анкери, утеплення, мембрани, відсічки</x:v>
      </x:c>
      <x:c r="I12" s="15" t="str">
        <x:v>Фото кронштейнів / утеплення</x:v>
      </x:c>
      <x:c r="J12" s="15" t="str">
        <x:v>Як технагляд приймає до облицювання?</x:v>
      </x:c>
    </x:row>
    <x:row r="13" ht="42" customHeight="1">
      <x:c r="A13" s="56" t="str">
        <x:v>Внутрішні сантехнічні системи</x:v>
      </x:c>
      <x:c r="B13" s="54" t="n">
        <x:v>37</x:v>
      </x:c>
      <x:c r="C13" s="54" t="n">
        <x:v>5</x:v>
      </x:c>
      <x:c r="D13" s="54" t="n">
        <x:v>5</x:v>
      </x:c>
      <x:c r="E13" s="54" t="n">
        <x:v>4</x:v>
      </x:c>
      <x:c r="F13" s="54" t="n">
        <x:v>5</x:v>
      </x:c>
      <x:c r="G13" s="15" t="str">
        <x:v>Pilot now</x:v>
      </x:c>
      <x:c r="H13" s="15" t="str">
        <x:v>Фото, акти, протоколи та виконавча документація до закриття або ПНР</x:v>
      </x:c>
      <x:c r="I13" s="15" t="str">
        <x:v>Один анонімізований пакет приймання з поточного проєкту</x:v>
      </x:c>
      <x:c r="J13" s="15" t="str">
        <x:v>Покажіть один пакет: перевіримо fit і запропонуємо вузький безкоштовний пілот</x:v>
      </x:c>
    </x:row>
    <x:row r="14" ht="42" customHeight="1">
      <x:c r="A14" s="56" t="str">
        <x:v>Внутрішній HVAC</x:v>
      </x:c>
      <x:c r="B14" s="54" t="n">
        <x:v>3</x:v>
      </x:c>
      <x:c r="C14" s="54" t="n">
        <x:v>4</x:v>
      </x:c>
      <x:c r="D14" s="54" t="n">
        <x:v>5</x:v>
      </x:c>
      <x:c r="E14" s="54" t="n">
        <x:v>4</x:v>
      </x:c>
      <x:c r="F14" s="54" t="n">
        <x:v>4</x:v>
      </x:c>
      <x:c r="G14" s="15" t="str">
        <x:v>Pilot now</x:v>
      </x:c>
      <x:c r="H14" s="15" t="str">
        <x:v>Фото, акти, протоколи та виконавча документація до закриття або ПНР</x:v>
      </x:c>
      <x:c r="I14" s="15" t="str">
        <x:v>Один анонімізований пакет приймання з поточного проєкту</x:v>
      </x:c>
      <x:c r="J14" s="15" t="str">
        <x:v>Покажіть один пакет: перевіримо fit і запропонуємо вузький безкоштовний пілот</x:v>
      </x:c>
    </x:row>
    <x:row r="15" ht="42" customHeight="1">
      <x:c r="A15" s="56" t="str">
        <x:v>Внутрішня сантехніка</x:v>
      </x:c>
      <x:c r="B15" s="54" t="n">
        <x:v>1</x:v>
      </x:c>
      <x:c r="C15" s="54" t="n">
        <x:v>0</x:v>
      </x:c>
      <x:c r="D15" s="54" t="n">
        <x:v>0</x:v>
      </x:c>
      <x:c r="E15" s="54" t="n">
        <x:v>0</x:v>
      </x:c>
      <x:c r="F15" s="54" t="n">
        <x:v>0</x:v>
      </x:c>
      <x:c r="G15" s="15" t="str">
        <x:v>Expansion discovery</x:v>
      </x:c>
      <x:c r="H15" s="15" t="str">
        <x:v>Фото, акти, протоколи та виконавча документація до закриття або ПНР</x:v>
      </x:c>
      <x:c r="I15" s="15" t="str">
        <x:v>Один анонімізований пакет приймання з поточного проєкту</x:v>
      </x:c>
      <x:c r="J15" s="15" t="str">
        <x:v>Покажіть один пакет: перевіримо fit і запропонуємо вузький безкоштовний пілот</x:v>
      </x:c>
    </x:row>
    <x:row r="16" ht="42" customHeight="1">
      <x:c r="A16" s="56" t="str">
        <x:v>Внутрішня сантехніка + HVAC</x:v>
      </x:c>
      <x:c r="B16" s="54" t="n">
        <x:v>5</x:v>
      </x:c>
      <x:c r="C16" s="54" t="n">
        <x:v>5</x:v>
      </x:c>
      <x:c r="D16" s="54" t="n">
        <x:v>5</x:v>
      </x:c>
      <x:c r="E16" s="54" t="n">
        <x:v>4</x:v>
      </x:c>
      <x:c r="F16" s="54" t="n">
        <x:v>4</x:v>
      </x:c>
      <x:c r="G16" s="15" t="str">
        <x:v>Pilot now</x:v>
      </x:c>
      <x:c r="H16" s="15" t="str">
        <x:v>Фото, акти, протоколи та виконавча документація до закриття або ПНР</x:v>
      </x:c>
      <x:c r="I16" s="15" t="str">
        <x:v>Один анонімізований пакет приймання з поточного проєкту</x:v>
      </x:c>
      <x:c r="J16" s="15" t="str">
        <x:v>Покажіть один пакет: перевіримо fit і запропонуємо вузький безкоштовний пілот</x:v>
      </x:c>
    </x:row>
    <x:row r="17" ht="42" customHeight="1">
      <x:c r="A17" s="56" t="str">
        <x:v>Водоочищення / очисні споруди</x:v>
      </x:c>
      <x:c r="B17" s="54" t="n">
        <x:v>53</x:v>
      </x:c>
      <x:c r="C17" s="54" t="n">
        <x:v>1</x:v>
      </x:c>
      <x:c r="D17" s="54" t="n">
        <x:v>5</x:v>
      </x:c>
      <x:c r="E17" s="54" t="n">
        <x:v>4</x:v>
      </x:c>
      <x:c r="F17" s="54" t="n">
        <x:v>5</x:v>
      </x:c>
      <x:c r="G17" s="15" t="str">
        <x:v>Expansion discovery</x:v>
      </x:c>
      <x:c r="H17" s="15" t="str">
        <x:v>Фото, акти, протоколи та виконавча документація до закриття або ПНР</x:v>
      </x:c>
      <x:c r="I17" s="15" t="str">
        <x:v>Один анонімізований пакет приймання з поточного проєкту</x:v>
      </x:c>
      <x:c r="J17" s="15" t="str">
        <x:v>Покажіть один пакет: перевіримо fit і запропонуємо вузький безкоштовний пілот</x:v>
      </x:c>
    </x:row>
    <x:row r="18" ht="42" customHeight="1">
      <x:c r="A18" s="56" t="str">
        <x:v>Водоочищення та очисні споруди</x:v>
      </x:c>
      <x:c r="B18" s="54" t="n">
        <x:v>9</x:v>
      </x:c>
      <x:c r="C18" s="54" t="n">
        <x:v>1</x:v>
      </x:c>
      <x:c r="D18" s="54" t="n">
        <x:v>5</x:v>
      </x:c>
      <x:c r="E18" s="54" t="n">
        <x:v>5</x:v>
      </x:c>
      <x:c r="F18" s="54" t="n">
        <x:v>5</x:v>
      </x:c>
      <x:c r="G18" s="15" t="str">
        <x:v>Expansion discovery</x:v>
      </x:c>
      <x:c r="H18" s="15" t="str">
        <x:v>Трубопроводи, резервуари, мембрани, ПНР</x:v>
      </x:c>
      <x:c r="I18" s="15" t="str">
        <x:v>Акти + гідротести + ПНР</x:v>
      </x:c>
      <x:c r="J18" s="15" t="str">
        <x:v>Розберімо один пакет здачі споруди</x:v>
      </x:c>
    </x:row>
    <x:row r="19" ht="42" customHeight="1">
      <x:c r="A19" s="56" t="str">
        <x:v>ВОЛЗ / телеком</x:v>
      </x:c>
      <x:c r="B19" s="54" t="n">
        <x:v>39</x:v>
      </x:c>
      <x:c r="C19" s="54" t="n">
        <x:v>1</x:v>
      </x:c>
      <x:c r="D19" s="54" t="n">
        <x:v>5</x:v>
      </x:c>
      <x:c r="E19" s="54" t="n">
        <x:v>5</x:v>
      </x:c>
      <x:c r="F19" s="54" t="n">
        <x:v>5</x:v>
      </x:c>
      <x:c r="G19" s="15" t="str">
        <x:v>Expansion discovery</x:v>
      </x:c>
      <x:c r="H19" s="15" t="str">
        <x:v>Фото, акти, протоколи та виконавча документація до закриття або ПНР</x:v>
      </x:c>
      <x:c r="I19" s="15" t="str">
        <x:v>Один анонімізований пакет приймання з поточного проєкту</x:v>
      </x:c>
      <x:c r="J19" s="15" t="str">
        <x:v>Покажіть один пакет: перевіримо fit і запропонуємо вузький безкоштовний пілот</x:v>
      </x:c>
    </x:row>
    <x:row r="20" ht="42" customHeight="1">
      <x:c r="A20" s="56" t="str">
        <x:v>ВОЛЗ / телеком-мережі</x:v>
      </x:c>
      <x:c r="B20" s="54" t="n">
        <x:v>8</x:v>
      </x:c>
      <x:c r="C20" s="54" t="n">
        <x:v>1</x:v>
      </x:c>
      <x:c r="D20" s="54" t="n">
        <x:v>5</x:v>
      </x:c>
      <x:c r="E20" s="54" t="n">
        <x:v>5</x:v>
      </x:c>
      <x:c r="F20" s="54" t="n">
        <x:v>5</x:v>
      </x:c>
      <x:c r="G20" s="15" t="str">
        <x:v>Expansion discovery</x:v>
      </x:c>
      <x:c r="H20" s="15" t="str">
        <x:v>Траси, муфти, зварювання волокон</x:v>
      </x:c>
      <x:c r="I20" s="15" t="str">
        <x:v>Рефлектограми + виконавча схема</x:v>
      </x:c>
      <x:c r="J20" s="15" t="str">
        <x:v>Покажіть пакет здачі однієї ділянки</x:v>
      </x:c>
    </x:row>
    <x:row r="21" ht="42" customHeight="1">
      <x:c r="A21" s="56" t="str">
        <x:v>Газові мережі</x:v>
      </x:c>
      <x:c r="B21" s="54" t="n">
        <x:v>22</x:v>
      </x:c>
      <x:c r="C21" s="54" t="n">
        <x:v>1</x:v>
      </x:c>
      <x:c r="D21" s="54" t="n">
        <x:v>5</x:v>
      </x:c>
      <x:c r="E21" s="54" t="n">
        <x:v>5</x:v>
      </x:c>
      <x:c r="F21" s="54" t="n">
        <x:v>5</x:v>
      </x:c>
      <x:c r="G21" s="15" t="str">
        <x:v>Expansion discovery</x:v>
      </x:c>
      <x:c r="H21" s="15" t="str">
        <x:v>Фото, акти, протоколи та виконавча документація до закриття або ПНР</x:v>
      </x:c>
      <x:c r="I21" s="15" t="str">
        <x:v>Один анонімізований пакет приймання з поточного проєкту</x:v>
      </x:c>
      <x:c r="J21" s="15" t="str">
        <x:v>Покажіть один пакет: перевіримо fit і запропонуємо вузький безкоштовний пілот</x:v>
      </x:c>
    </x:row>
    <x:row r="22" ht="42" customHeight="1">
      <x:c r="A22" s="56" t="str">
        <x:v>Газопостачання / котельні</x:v>
      </x:c>
      <x:c r="B22" s="54" t="n">
        <x:v>37</x:v>
      </x:c>
      <x:c r="C22" s="54" t="n">
        <x:v>1</x:v>
      </x:c>
      <x:c r="D22" s="54" t="n">
        <x:v>5</x:v>
      </x:c>
      <x:c r="E22" s="54" t="n">
        <x:v>4</x:v>
      </x:c>
      <x:c r="F22" s="54" t="n">
        <x:v>5</x:v>
      </x:c>
      <x:c r="G22" s="15" t="str">
        <x:v>Expansion discovery</x:v>
      </x:c>
      <x:c r="H22" s="15" t="str">
        <x:v>Зварні стики, автоматика, випробування</x:v>
      </x:c>
      <x:c r="I22" s="15" t="str">
        <x:v>Журнал стиків + ПНР</x:v>
      </x:c>
      <x:c r="J22" s="15" t="str">
        <x:v>Розберімо пакет введення котельні</x:v>
      </x:c>
    </x:row>
    <x:row r="23" ht="42" customHeight="1">
      <x:c r="A23" s="56" t="str">
        <x:v>Генпідряд / MEP fit-out</x:v>
      </x:c>
      <x:c r="B23" s="54" t="n">
        <x:v>1</x:v>
      </x:c>
      <x:c r="C23" s="54" t="n">
        <x:v>5</x:v>
      </x:c>
      <x:c r="D23" s="54" t="n">
        <x:v>5</x:v>
      </x:c>
      <x:c r="E23" s="54" t="n">
        <x:v>4</x:v>
      </x:c>
      <x:c r="F23" s="54" t="n">
        <x:v>5</x:v>
      </x:c>
      <x:c r="G23" s="15" t="str">
        <x:v>Pilot now</x:v>
      </x:c>
      <x:c r="H23" s="15" t="str">
        <x:v>Фото, акти, протоколи та виконавча документація до закриття або ПНР</x:v>
      </x:c>
      <x:c r="I23" s="15" t="str">
        <x:v>Один анонімізований пакет приймання з поточного проєкту</x:v>
      </x:c>
      <x:c r="J23" s="15" t="str">
        <x:v>Покажіть один пакет: перевіримо fit і запропонуємо вузький безкоштовний пілот</x:v>
      </x:c>
    </x:row>
    <x:row r="24" ht="42" customHeight="1">
      <x:c r="A24" s="56" t="str">
        <x:v>ГНБ / безтраншейні мережі</x:v>
      </x:c>
      <x:c r="B24" s="54" t="n">
        <x:v>5</x:v>
      </x:c>
      <x:c r="C24" s="54" t="n">
        <x:v>1</x:v>
      </x:c>
      <x:c r="D24" s="54" t="n">
        <x:v>5</x:v>
      </x:c>
      <x:c r="E24" s="54" t="n">
        <x:v>5</x:v>
      </x:c>
      <x:c r="F24" s="54" t="n">
        <x:v>5</x:v>
      </x:c>
      <x:c r="G24" s="15" t="str">
        <x:v>Expansion discovery</x:v>
      </x:c>
      <x:c r="H24" s="15" t="str">
        <x:v>Пілотна свердловина, розширення, протягування</x:v>
      </x:c>
      <x:c r="I24" s="15" t="str">
        <x:v>Журнал буріння + геоприв'язка</x:v>
      </x:c>
      <x:c r="J24" s="15" t="str">
        <x:v>Покажіть пакет здачі одного переходу</x:v>
      </x:c>
    </x:row>
    <x:row r="25" ht="42" customHeight="1">
      <x:c r="A25" s="56" t="str">
        <x:v>ГНБ / безтраншейні роботи</x:v>
      </x:c>
      <x:c r="B25" s="54" t="n">
        <x:v>32</x:v>
      </x:c>
      <x:c r="C25" s="54" t="n">
        <x:v>1</x:v>
      </x:c>
      <x:c r="D25" s="54" t="n">
        <x:v>5</x:v>
      </x:c>
      <x:c r="E25" s="54" t="n">
        <x:v>4</x:v>
      </x:c>
      <x:c r="F25" s="54" t="n">
        <x:v>5</x:v>
      </x:c>
      <x:c r="G25" s="15" t="str">
        <x:v>Expansion discovery</x:v>
      </x:c>
      <x:c r="H25" s="15" t="str">
        <x:v>Фото, акти, протоколи та виконавча документація до закриття або ПНР</x:v>
      </x:c>
      <x:c r="I25" s="15" t="str">
        <x:v>Один анонімізований пакет приймання з поточного проєкту</x:v>
      </x:c>
      <x:c r="J25" s="15" t="str">
        <x:v>Покажіть один пакет: перевіримо fit і запропонуємо вузький безкоштовний пілот</x:v>
      </x:c>
    </x:row>
    <x:row r="26" ht="42" customHeight="1">
      <x:c r="A26" s="56" t="str">
        <x:v>Димовидалення</x:v>
      </x:c>
      <x:c r="B26" s="54" t="n">
        <x:v>1</x:v>
      </x:c>
      <x:c r="C26" s="54" t="n">
        <x:v>1</x:v>
      </x:c>
      <x:c r="D26" s="54" t="n">
        <x:v>5</x:v>
      </x:c>
      <x:c r="E26" s="54" t="n">
        <x:v>5</x:v>
      </x:c>
      <x:c r="F26" s="54" t="n">
        <x:v>5</x:v>
      </x:c>
      <x:c r="G26" s="15" t="str">
        <x:v>Expansion discovery</x:v>
      </x:c>
      <x:c r="H26" s="15" t="str">
        <x:v>Фото, акти, протоколи та виконавча документація до закриття або ПНР</x:v>
      </x:c>
      <x:c r="I26" s="15" t="str">
        <x:v>Один анонімізований пакет приймання з поточного проєкту</x:v>
      </x:c>
      <x:c r="J26" s="15" t="str">
        <x:v>Покажіть один пакет: перевіримо fit і запропонуємо вузький безкоштовний пілот</x:v>
      </x:c>
    </x:row>
    <x:row r="27" ht="42" customHeight="1">
      <x:c r="A27" s="56" t="str">
        <x:v>Дорожні роботи</x:v>
      </x:c>
      <x:c r="B27" s="54" t="n">
        <x:v>37</x:v>
      </x:c>
      <x:c r="C27" s="54" t="n">
        <x:v>1</x:v>
      </x:c>
      <x:c r="D27" s="54" t="n">
        <x:v>5</x:v>
      </x:c>
      <x:c r="E27" s="54" t="n">
        <x:v>4</x:v>
      </x:c>
      <x:c r="F27" s="54" t="n">
        <x:v>5</x:v>
      </x:c>
      <x:c r="G27" s="15" t="str">
        <x:v>Expansion discovery</x:v>
      </x:c>
      <x:c r="H27" s="15" t="str">
        <x:v>Фото, акти, протоколи та виконавча документація до закриття або ПНР</x:v>
      </x:c>
      <x:c r="I27" s="15" t="str">
        <x:v>Один анонімізований пакет приймання з поточного проєкту</x:v>
      </x:c>
      <x:c r="J27" s="15" t="str">
        <x:v>Покажіть один пакет: перевіримо fit і запропонуємо вузький безкоштовний пілот</x:v>
      </x:c>
    </x:row>
    <x:row r="28" ht="42" customHeight="1">
      <x:c r="A28" s="56" t="str">
        <x:v>Дорожні роботи та благоустрій</x:v>
      </x:c>
      <x:c r="B28" s="54" t="n">
        <x:v>1</x:v>
      </x:c>
      <x:c r="C28" s="54" t="n">
        <x:v>0</x:v>
      </x:c>
      <x:c r="D28" s="54" t="n">
        <x:v>5</x:v>
      </x:c>
      <x:c r="E28" s="54" t="n">
        <x:v>5</x:v>
      </x:c>
      <x:c r="F28" s="54" t="n">
        <x:v>5</x:v>
      </x:c>
      <x:c r="G28" s="15" t="str">
        <x:v>Expansion discovery</x:v>
      </x:c>
      <x:c r="H28" s="15" t="str">
        <x:v>Основа, шари, ущільнення</x:v>
      </x:c>
      <x:c r="I28" s="15" t="str">
        <x:v>Лабораторний протокол + фото</x:v>
      </x:c>
      <x:c r="J28" s="15" t="str">
        <x:v>Як здається шар до наступного?</x:v>
      </x:c>
    </x:row>
    <x:row r="29" ht="42" customHeight="1">
      <x:c r="A29" s="56" t="str">
        <x:v>Електрика + слаботочка</x:v>
      </x:c>
      <x:c r="B29" s="54" t="n">
        <x:v>2</x:v>
      </x:c>
      <x:c r="C29" s="54" t="n">
        <x:v>5</x:v>
      </x:c>
      <x:c r="D29" s="54" t="n">
        <x:v>5</x:v>
      </x:c>
      <x:c r="E29" s="54" t="n">
        <x:v>5</x:v>
      </x:c>
      <x:c r="F29" s="54" t="n">
        <x:v>4</x:v>
      </x:c>
      <x:c r="G29" s="15" t="str">
        <x:v>Pilot now</x:v>
      </x:c>
      <x:c r="H29" s="15" t="str">
        <x:v>Фото, акти, протоколи та виконавча документація до закриття або ПНР</x:v>
      </x:c>
      <x:c r="I29" s="15" t="str">
        <x:v>Один анонімізований пакет приймання з поточного проєкту</x:v>
      </x:c>
      <x:c r="J29" s="15" t="str">
        <x:v>Покажіть один пакет: перевіримо fit і запропонуємо вузький безкоштовний пілот</x:v>
      </x:c>
    </x:row>
    <x:row r="30" ht="42" customHeight="1">
      <x:c r="A30" s="56" t="str">
        <x:v>Електромонтаж</x:v>
      </x:c>
      <x:c r="B30" s="54" t="n">
        <x:v>172</x:v>
      </x:c>
      <x:c r="C30" s="54" t="n">
        <x:v>5</x:v>
      </x:c>
      <x:c r="D30" s="54" t="n">
        <x:v>5</x:v>
      </x:c>
      <x:c r="E30" s="54" t="n">
        <x:v>4</x:v>
      </x:c>
      <x:c r="F30" s="54" t="n">
        <x:v>5</x:v>
      </x:c>
      <x:c r="G30" s="15" t="str">
        <x:v>Pilot now</x:v>
      </x:c>
      <x:c r="H30" s="15" t="str">
        <x:v>Фото, акти, протоколи та виконавча документація до закриття або ПНР</x:v>
      </x:c>
      <x:c r="I30" s="15" t="str">
        <x:v>Один анонімізований пакет приймання з поточного проєкту</x:v>
      </x:c>
      <x:c r="J30" s="15" t="str">
        <x:v>Покажіть один пакет: перевіримо fit і запропонуємо вузький безкоштовний пілот</x:v>
      </x:c>
    </x:row>
    <x:row r="31" ht="42" customHeight="1">
      <x:c r="A31" s="56" t="str">
        <x:v>Залізнична інфраструктура</x:v>
      </x:c>
      <x:c r="B31" s="54" t="n">
        <x:v>18</x:v>
      </x:c>
      <x:c r="C31" s="54" t="n">
        <x:v>1</x:v>
      </x:c>
      <x:c r="D31" s="54" t="n">
        <x:v>5</x:v>
      </x:c>
      <x:c r="E31" s="54" t="n">
        <x:v>5</x:v>
      </x:c>
      <x:c r="F31" s="54" t="n">
        <x:v>5</x:v>
      </x:c>
      <x:c r="G31" s="15" t="str">
        <x:v>Expansion discovery</x:v>
      </x:c>
      <x:c r="H31" s="15" t="str">
        <x:v>Фото, акти, протоколи та виконавча документація до закриття або ПНР</x:v>
      </x:c>
      <x:c r="I31" s="15" t="str">
        <x:v>Один анонімізований пакет приймання з поточного проєкту</x:v>
      </x:c>
      <x:c r="J31" s="15" t="str">
        <x:v>Покажіть один пакет: перевіримо fit і запропонуємо вузький безкоштовний пілот</x:v>
      </x:c>
    </x:row>
    <x:row r="32" ht="42" customHeight="1">
      <x:c r="A32" s="56" t="str">
        <x:v>Зливова каналізація / дренаж</x:v>
      </x:c>
      <x:c r="B32" s="54" t="n">
        <x:v>10</x:v>
      </x:c>
      <x:c r="C32" s="54" t="n">
        <x:v>1</x:v>
      </x:c>
      <x:c r="D32" s="54" t="n">
        <x:v>5</x:v>
      </x:c>
      <x:c r="E32" s="54" t="n">
        <x:v>5</x:v>
      </x:c>
      <x:c r="F32" s="54" t="n">
        <x:v>5</x:v>
      </x:c>
      <x:c r="G32" s="15" t="str">
        <x:v>Expansion discovery</x:v>
      </x:c>
      <x:c r="H32" s="15" t="str">
        <x:v>Фото, акти, протоколи та виконавча документація до закриття або ПНР</x:v>
      </x:c>
      <x:c r="I32" s="15" t="str">
        <x:v>Один анонімізований пакет приймання з поточного проєкту</x:v>
      </x:c>
      <x:c r="J32" s="15" t="str">
        <x:v>Покажіть один пакет: перевіримо fit і запропонуємо вузький безкоштовний пілот</x:v>
      </x:c>
    </x:row>
    <x:row r="33" ht="42" customHeight="1">
      <x:c r="A33" s="56" t="str">
        <x:v>Зовнішнє освітлення</x:v>
      </x:c>
      <x:c r="B33" s="54" t="n">
        <x:v>8</x:v>
      </x:c>
      <x:c r="C33" s="54" t="n">
        <x:v>4</x:v>
      </x:c>
      <x:c r="D33" s="54" t="n">
        <x:v>5</x:v>
      </x:c>
      <x:c r="E33" s="54" t="n">
        <x:v>4</x:v>
      </x:c>
      <x:c r="F33" s="54" t="n">
        <x:v>5</x:v>
      </x:c>
      <x:c r="G33" s="15" t="str">
        <x:v>Pilot now</x:v>
      </x:c>
      <x:c r="H33" s="15" t="str">
        <x:v>Фото, акти, протоколи та виконавча документація до закриття або ПНР</x:v>
      </x:c>
      <x:c r="I33" s="15" t="str">
        <x:v>Один анонімізований пакет приймання з поточного проєкту</x:v>
      </x:c>
      <x:c r="J33" s="15" t="str">
        <x:v>Покажіть один пакет: перевіримо fit і запропонуємо вузький безкоштовний пілот</x:v>
      </x:c>
    </x:row>
    <x:row r="34" ht="42" customHeight="1">
      <x:c r="A34" s="56" t="str">
        <x:v>Зовнішні мережі</x:v>
      </x:c>
      <x:c r="B34" s="54" t="n">
        <x:v>48</x:v>
      </x:c>
      <x:c r="C34" s="54" t="n">
        <x:v>1</x:v>
      </x:c>
      <x:c r="D34" s="54" t="n">
        <x:v>5</x:v>
      </x:c>
      <x:c r="E34" s="54" t="n">
        <x:v>5</x:v>
      </x:c>
      <x:c r="F34" s="54" t="n">
        <x:v>5</x:v>
      </x:c>
      <x:c r="G34" s="15" t="str">
        <x:v>Expansion discovery</x:v>
      </x:c>
      <x:c r="H34" s="15" t="str">
        <x:v>Фото, акти, протоколи та виконавча документація до закриття або ПНР</x:v>
      </x:c>
      <x:c r="I34" s="15" t="str">
        <x:v>Один анонімізований пакет приймання з поточного проєкту</x:v>
      </x:c>
      <x:c r="J34" s="15" t="str">
        <x:v>Покажіть один пакет: перевіримо fit і запропонуємо вузький безкоштовний пілот</x:v>
      </x:c>
    </x:row>
    <x:row r="35" ht="42" customHeight="1">
      <x:c r="A35" s="56" t="str">
        <x:v>Зовнішні мережі + електрика</x:v>
      </x:c>
      <x:c r="B35" s="54" t="n">
        <x:v>1</x:v>
      </x:c>
      <x:c r="C35" s="54" t="n">
        <x:v>4</x:v>
      </x:c>
      <x:c r="D35" s="54" t="n">
        <x:v>5</x:v>
      </x:c>
      <x:c r="E35" s="54" t="n">
        <x:v>5</x:v>
      </x:c>
      <x:c r="F35" s="54" t="n">
        <x:v>4</x:v>
      </x:c>
      <x:c r="G35" s="15" t="str">
        <x:v>Pilot now</x:v>
      </x:c>
      <x:c r="H35" s="15" t="str">
        <x:v>Фото, акти, протоколи та виконавча документація до закриття або ПНР</x:v>
      </x:c>
      <x:c r="I35" s="15" t="str">
        <x:v>Один анонімізований пакет приймання з поточного проєкту</x:v>
      </x:c>
      <x:c r="J35" s="15" t="str">
        <x:v>Покажіть один пакет: перевіримо fit і запропонуємо вузький безкоштовний пілот</x:v>
      </x:c>
    </x:row>
    <x:row r="36" ht="42" customHeight="1">
      <x:c r="A36" s="56" t="str">
        <x:v>Ліфти та підйомники</x:v>
      </x:c>
      <x:c r="B36" s="54" t="n">
        <x:v>21</x:v>
      </x:c>
      <x:c r="C36" s="54" t="n">
        <x:v>1</x:v>
      </x:c>
      <x:c r="D36" s="54" t="n">
        <x:v>5</x:v>
      </x:c>
      <x:c r="E36" s="54" t="n">
        <x:v>4</x:v>
      </x:c>
      <x:c r="F36" s="54" t="n">
        <x:v>5</x:v>
      </x:c>
      <x:c r="G36" s="15" t="str">
        <x:v>Expansion discovery</x:v>
      </x:c>
      <x:c r="H36" s="15" t="str">
        <x:v>Фото, акти, протоколи та виконавча документація до закриття або ПНР</x:v>
      </x:c>
      <x:c r="I36" s="15" t="str">
        <x:v>Один анонімізований пакет приймання з поточного проєкту</x:v>
      </x:c>
      <x:c r="J36" s="15" t="str">
        <x:v>Покажіть один пакет: перевіримо fit і запропонуємо вузький безкоштовний пілот</x:v>
      </x:c>
    </x:row>
    <x:row r="37" ht="42" customHeight="1">
      <x:c r="A37" s="56" t="str">
        <x:v>Ліфти, ескалатори та підйомники</x:v>
      </x:c>
      <x:c r="B37" s="54" t="n">
        <x:v>5</x:v>
      </x:c>
      <x:c r="C37" s="54" t="n">
        <x:v>1</x:v>
      </x:c>
      <x:c r="D37" s="54" t="n">
        <x:v>4</x:v>
      </x:c>
      <x:c r="E37" s="54" t="n">
        <x:v>4</x:v>
      </x:c>
      <x:c r="F37" s="54" t="n">
        <x:v>5</x:v>
      </x:c>
      <x:c r="G37" s="15" t="str">
        <x:v>Expansion discovery</x:v>
      </x:c>
      <x:c r="H37" s="15" t="str">
        <x:v>Закладні, напрямні, електрика</x:v>
      </x:c>
      <x:c r="I37" s="15" t="str">
        <x:v>Акти монтажу + випробування</x:v>
      </x:c>
      <x:c r="J37" s="15" t="str">
        <x:v>Де губиться доказ до реєстрації?</x:v>
      </x:c>
    </x:row>
    <x:row r="38" ht="42" customHeight="1">
      <x:c r="A38" s="56" t="str">
        <x:v>Медичні гази</x:v>
      </x:c>
      <x:c r="B38" s="54" t="n">
        <x:v>12</x:v>
      </x:c>
      <x:c r="C38" s="54" t="n">
        <x:v>1</x:v>
      </x:c>
      <x:c r="D38" s="54" t="n">
        <x:v>5</x:v>
      </x:c>
      <x:c r="E38" s="54" t="n">
        <x:v>5</x:v>
      </x:c>
      <x:c r="F38" s="54" t="n">
        <x:v>5</x:v>
      </x:c>
      <x:c r="G38" s="15" t="str">
        <x:v>Expansion discovery</x:v>
      </x:c>
      <x:c r="H38" s="15" t="str">
        <x:v>Пайка, чистота, маркування, валідація</x:v>
      </x:c>
      <x:c r="I38" s="15" t="str">
        <x:v>Протокол чистоти + випробування</x:v>
      </x:c>
      <x:c r="J38" s="15" t="str">
        <x:v>Покажіть один validation-пакет</x:v>
      </x:c>
    </x:row>
    <x:row r="39" ht="42" customHeight="1">
      <x:c r="A39" s="56" t="str">
        <x:v>Металоконструкції</x:v>
      </x:c>
      <x:c r="B39" s="54" t="n">
        <x:v>54</x:v>
      </x:c>
      <x:c r="C39" s="54" t="n">
        <x:v>1</x:v>
      </x:c>
      <x:c r="D39" s="54" t="n">
        <x:v>5</x:v>
      </x:c>
      <x:c r="E39" s="54" t="n">
        <x:v>5</x:v>
      </x:c>
      <x:c r="F39" s="54" t="n">
        <x:v>5</x:v>
      </x:c>
      <x:c r="G39" s="15" t="str">
        <x:v>Expansion discovery</x:v>
      </x:c>
      <x:c r="H39" s="15" t="str">
        <x:v>Фото, акти, протоколи та виконавча документація до закриття або ПНР</x:v>
      </x:c>
      <x:c r="I39" s="15" t="str">
        <x:v>Один анонімізований пакет приймання з поточного проєкту</x:v>
      </x:c>
      <x:c r="J39" s="15" t="str">
        <x:v>Покажіть один пакет: перевіримо fit і запропонуємо вузький безкоштовний пілот</x:v>
      </x:c>
    </x:row>
    <x:row r="40" ht="42" customHeight="1">
      <x:c r="A40" s="56" t="str">
        <x:v>Металоконструкції та промисловий монтаж</x:v>
      </x:c>
      <x:c r="B40" s="54" t="n">
        <x:v>7</x:v>
      </x:c>
      <x:c r="C40" s="54" t="n">
        <x:v>1</x:v>
      </x:c>
      <x:c r="D40" s="54" t="n">
        <x:v>4</x:v>
      </x:c>
      <x:c r="E40" s="54" t="n">
        <x:v>3</x:v>
      </x:c>
      <x:c r="F40" s="54" t="n">
        <x:v>5</x:v>
      </x:c>
      <x:c r="G40" s="15" t="str">
        <x:v>Expansion discovery</x:v>
      </x:c>
      <x:c r="H40" s="15" t="str">
        <x:v>Зварні/болтові вузли, покриття</x:v>
      </x:c>
      <x:c r="I40" s="15" t="str">
        <x:v>Журнал зварювання + акти</x:v>
      </x:c>
      <x:c r="J40" s="15" t="str">
        <x:v>Який пакет повертає технагляд?</x:v>
      </x:c>
    </x:row>
    <x:row r="41" ht="42" customHeight="1">
      <x:c r="A41" s="56" t="str">
        <x:v>Мости / інфраструктура</x:v>
      </x:c>
      <x:c r="B41" s="54" t="n">
        <x:v>32</x:v>
      </x:c>
      <x:c r="C41" s="54" t="n">
        <x:v>1</x:v>
      </x:c>
      <x:c r="D41" s="54" t="n">
        <x:v>5</x:v>
      </x:c>
      <x:c r="E41" s="54" t="n">
        <x:v>4</x:v>
      </x:c>
      <x:c r="F41" s="54" t="n">
        <x:v>5</x:v>
      </x:c>
      <x:c r="G41" s="15" t="str">
        <x:v>Expansion discovery</x:v>
      </x:c>
      <x:c r="H41" s="15" t="str">
        <x:v>Фото, акти, протоколи та виконавча документація до закриття або ПНР</x:v>
      </x:c>
      <x:c r="I41" s="15" t="str">
        <x:v>Один анонімізований пакет приймання з поточного проєкту</x:v>
      </x:c>
      <x:c r="J41" s="15" t="str">
        <x:v>Покажіть один пакет: перевіримо fit і запропонуємо вузький безкоштовний пілот</x:v>
      </x:c>
    </x:row>
    <x:row r="42" ht="42" customHeight="1">
      <x:c r="A42" s="56" t="str">
        <x:v>Мости та інфраструктура</x:v>
      </x:c>
      <x:c r="B42" s="54" t="n">
        <x:v>8</x:v>
      </x:c>
      <x:c r="C42" s="54" t="n">
        <x:v>1</x:v>
      </x:c>
      <x:c r="D42" s="54" t="n">
        <x:v>5</x:v>
      </x:c>
      <x:c r="E42" s="54" t="n">
        <x:v>5</x:v>
      </x:c>
      <x:c r="F42" s="54" t="n">
        <x:v>5</x:v>
      </x:c>
      <x:c r="G42" s="15" t="str">
        <x:v>Expansion discovery</x:v>
      </x:c>
      <x:c r="H42" s="15" t="str">
        <x:v>Армування, бетон, гідроізоляція, лабораторія</x:v>
      </x:c>
      <x:c r="I42" s="15" t="str">
        <x:v>Акт прихованих + лабораторний протокол</x:v>
      </x:c>
      <x:c r="J42" s="15" t="str">
        <x:v>Покажіть пакет одного конструктиву</x:v>
      </x:c>
    </x:row>
    <x:row r="43" ht="42" customHeight="1">
      <x:c r="A43" s="56" t="str">
        <x:v>Накопичення енергії / BESS</x:v>
      </x:c>
      <x:c r="B43" s="54" t="n">
        <x:v>5</x:v>
      </x:c>
      <x:c r="C43" s="54" t="n">
        <x:v>1</x:v>
      </x:c>
      <x:c r="D43" s="54" t="n">
        <x:v>5</x:v>
      </x:c>
      <x:c r="E43" s="54" t="n">
        <x:v>5</x:v>
      </x:c>
      <x:c r="F43" s="54" t="n">
        <x:v>5</x:v>
      </x:c>
      <x:c r="G43" s="15" t="str">
        <x:v>Expansion discovery</x:v>
      </x:c>
      <x:c r="H43" s="15" t="str">
        <x:v>Фото, акти, протоколи та виконавча документація до закриття або ПНР</x:v>
      </x:c>
      <x:c r="I43" s="15" t="str">
        <x:v>Один анонімізований пакет приймання з поточного проєкту</x:v>
      </x:c>
      <x:c r="J43" s="15" t="str">
        <x:v>Покажіть один пакет: перевіримо fit і запропонуємо вузький безкоштовний пілот</x:v>
      </x:c>
    </x:row>
    <x:row r="44" ht="42" customHeight="1">
      <x:c r="A44" s="56" t="str">
        <x:v>Насосні станції</x:v>
      </x:c>
      <x:c r="B44" s="54" t="n">
        <x:v>61</x:v>
      </x:c>
      <x:c r="C44" s="54" t="n">
        <x:v>1</x:v>
      </x:c>
      <x:c r="D44" s="54" t="n">
        <x:v>5</x:v>
      </x:c>
      <x:c r="E44" s="54" t="n">
        <x:v>4</x:v>
      </x:c>
      <x:c r="F44" s="54" t="n">
        <x:v>5</x:v>
      </x:c>
      <x:c r="G44" s="15" t="str">
        <x:v>Expansion discovery</x:v>
      </x:c>
      <x:c r="H44" s="15" t="str">
        <x:v>Фото, акти, протоколи та виконавча документація до закриття або ПНР</x:v>
      </x:c>
      <x:c r="I44" s="15" t="str">
        <x:v>Один анонімізований пакет приймання з поточного проєкту</x:v>
      </x:c>
      <x:c r="J44" s="15" t="str">
        <x:v>Покажіть один пакет: перевіримо fit і запропонуємо вузький безкоштовний пілот</x:v>
      </x:c>
    </x:row>
    <x:row r="45" ht="42" customHeight="1">
      <x:c r="A45" s="56" t="str">
        <x:v>Палі, фундаменти та підсилення</x:v>
      </x:c>
      <x:c r="B45" s="54" t="n">
        <x:v>7</x:v>
      </x:c>
      <x:c r="C45" s="54" t="n">
        <x:v>0</x:v>
      </x:c>
      <x:c r="D45" s="54" t="n">
        <x:v>5</x:v>
      </x:c>
      <x:c r="E45" s="54" t="n">
        <x:v>5</x:v>
      </x:c>
      <x:c r="F45" s="54" t="n">
        <x:v>5</x:v>
      </x:c>
      <x:c r="G45" s="15" t="str">
        <x:v>Expansion discovery</x:v>
      </x:c>
      <x:c r="H45" s="15" t="str">
        <x:v>Армування, глибина, бетонування</x:v>
      </x:c>
      <x:c r="I45" s="15" t="str">
        <x:v>Журнал паль / випробування</x:v>
      </x:c>
      <x:c r="J45" s="15" t="str">
        <x:v>Де збирається доказ по кожній палі?</x:v>
      </x:c>
    </x:row>
    <x:row r="46" ht="42" customHeight="1">
      <x:c r="A46" s="56" t="str">
        <x:v>Пасивний вогнезахист</x:v>
      </x:c>
      <x:c r="B46" s="54" t="n">
        <x:v>53</x:v>
      </x:c>
      <x:c r="C46" s="54" t="n">
        <x:v>1</x:v>
      </x:c>
      <x:c r="D46" s="54" t="n">
        <x:v>5</x:v>
      </x:c>
      <x:c r="E46" s="54" t="n">
        <x:v>5</x:v>
      </x:c>
      <x:c r="F46" s="54" t="n">
        <x:v>5</x:v>
      </x:c>
      <x:c r="G46" s="15" t="str">
        <x:v>Expansion discovery</x:v>
      </x:c>
      <x:c r="H46" s="15" t="str">
        <x:v>Товщина, проходки, підготовка</x:v>
      </x:c>
      <x:c r="I46" s="15" t="str">
        <x:v>Акт обробки + заміри</x:v>
      </x:c>
      <x:c r="J46" s="15" t="str">
        <x:v>Покажіть пакет перед закриттям</x:v>
      </x:c>
    </x:row>
    <x:row r="47" ht="42" customHeight="1">
      <x:c r="A47" s="56" t="str">
        <x:v>Підсилення та ремонт бетону</x:v>
      </x:c>
      <x:c r="B47" s="54" t="n">
        <x:v>6</x:v>
      </x:c>
      <x:c r="C47" s="54" t="n">
        <x:v>1</x:v>
      </x:c>
      <x:c r="D47" s="54" t="n">
        <x:v>5</x:v>
      </x:c>
      <x:c r="E47" s="54" t="n">
        <x:v>5</x:v>
      </x:c>
      <x:c r="F47" s="54" t="n">
        <x:v>5</x:v>
      </x:c>
      <x:c r="G47" s="15" t="str">
        <x:v>Expansion discovery</x:v>
      </x:c>
      <x:c r="H47" s="15" t="str">
        <x:v>Підготовка, ін'єкції, армування, торкрет</x:v>
      </x:c>
      <x:c r="I47" s="15" t="str">
        <x:v>Фото етапів + акт + контроль міцності</x:v>
      </x:c>
      <x:c r="J47" s="15" t="str">
        <x:v>Покажіть пакет до захисного шару</x:v>
      </x:c>
    </x:row>
    <x:row r="48" ht="42" customHeight="1">
      <x:c r="A48" s="56" t="str">
        <x:v>Підстанції / силові мережі</x:v>
      </x:c>
      <x:c r="B48" s="54" t="n">
        <x:v>28</x:v>
      </x:c>
      <x:c r="C48" s="54" t="n">
        <x:v>4</x:v>
      </x:c>
      <x:c r="D48" s="54" t="n">
        <x:v>5</x:v>
      </x:c>
      <x:c r="E48" s="54" t="n">
        <x:v>5</x:v>
      </x:c>
      <x:c r="F48" s="54" t="n">
        <x:v>5</x:v>
      </x:c>
      <x:c r="G48" s="15" t="str">
        <x:v>Pilot now</x:v>
      </x:c>
      <x:c r="H48" s="15" t="str">
        <x:v>Фото, акти, протоколи та виконавча документація до закриття або ПНР</x:v>
      </x:c>
      <x:c r="I48" s="15" t="str">
        <x:v>Один анонімізований пакет приймання з поточного проєкту</x:v>
      </x:c>
      <x:c r="J48" s="15" t="str">
        <x:v>Покажіть один пакет: перевіримо fit і запропонуємо вузький безкоштовний пілот</x:v>
      </x:c>
    </x:row>
    <x:row r="49" ht="42" customHeight="1">
      <x:c r="A49" s="56" t="str">
        <x:v>Пожежна безпека + охорона</x:v>
      </x:c>
      <x:c r="B49" s="54" t="n">
        <x:v>2</x:v>
      </x:c>
      <x:c r="C49" s="54" t="n">
        <x:v>4</x:v>
      </x:c>
      <x:c r="D49" s="54" t="n">
        <x:v>5</x:v>
      </x:c>
      <x:c r="E49" s="54" t="n">
        <x:v>4</x:v>
      </x:c>
      <x:c r="F49" s="54" t="n">
        <x:v>5</x:v>
      </x:c>
      <x:c r="G49" s="15" t="str">
        <x:v>Expansion discovery</x:v>
      </x:c>
      <x:c r="H49" s="15" t="str">
        <x:v>Фото, акти, протоколи та виконавча документація до закриття або ПНР</x:v>
      </x:c>
      <x:c r="I49" s="15" t="str">
        <x:v>Один анонімізований пакет приймання з поточного проєкту</x:v>
      </x:c>
      <x:c r="J49" s="15" t="str">
        <x:v>Покажіть один пакет: перевіримо fit і запропонуємо вузький безкоштовний пілот</x:v>
      </x:c>
    </x:row>
    <x:row r="50" ht="42" customHeight="1">
      <x:c r="A50" s="56" t="str">
        <x:v>Пожежні системи</x:v>
      </x:c>
      <x:c r="B50" s="54" t="n">
        <x:v>6</x:v>
      </x:c>
      <x:c r="C50" s="54" t="n">
        <x:v>4</x:v>
      </x:c>
      <x:c r="D50" s="54" t="n">
        <x:v>5</x:v>
      </x:c>
      <x:c r="E50" s="54" t="n">
        <x:v>4</x:v>
      </x:c>
      <x:c r="F50" s="54" t="n">
        <x:v>5</x:v>
      </x:c>
      <x:c r="G50" s="15" t="str">
        <x:v>Expansion discovery</x:v>
      </x:c>
      <x:c r="H50" s="15" t="str">
        <x:v>Фото, акти, протоколи та виконавча документація до закриття або ПНР</x:v>
      </x:c>
      <x:c r="I50" s="15" t="str">
        <x:v>Один анонімізований пакет приймання з поточного проєкту</x:v>
      </x:c>
      <x:c r="J50" s="15" t="str">
        <x:v>Покажіть один пакет: перевіримо fit і запропонуємо вузький безкоштовний пілот</x:v>
      </x:c>
    </x:row>
    <x:row r="51" ht="42" customHeight="1">
      <x:c r="A51" s="56" t="str">
        <x:v>Пожежні системи + HVAC</x:v>
      </x:c>
      <x:c r="B51" s="54" t="n">
        <x:v>1</x:v>
      </x:c>
      <x:c r="C51" s="54" t="n">
        <x:v>4</x:v>
      </x:c>
      <x:c r="D51" s="54" t="n">
        <x:v>5</x:v>
      </x:c>
      <x:c r="E51" s="54" t="n">
        <x:v>4</x:v>
      </x:c>
      <x:c r="F51" s="54" t="n">
        <x:v>5</x:v>
      </x:c>
      <x:c r="G51" s="15" t="str">
        <x:v>Expansion discovery</x:v>
      </x:c>
      <x:c r="H51" s="15" t="str">
        <x:v>Фото, акти, протоколи та виконавча документація до закриття або ПНР</x:v>
      </x:c>
      <x:c r="I51" s="15" t="str">
        <x:v>Один анонімізований пакет приймання з поточного проєкту</x:v>
      </x:c>
      <x:c r="J51" s="15" t="str">
        <x:v>Покажіть один пакет: перевіримо fit і запропонуємо вузький безкоштовний пілот</x:v>
      </x:c>
    </x:row>
    <x:row r="52" ht="42" customHeight="1">
      <x:c r="A52" s="56" t="str">
        <x:v>Пожежні системи + HVAC + електрика</x:v>
      </x:c>
      <x:c r="B52" s="54" t="n">
        <x:v>1</x:v>
      </x:c>
      <x:c r="C52" s="54" t="n">
        <x:v>4</x:v>
      </x:c>
      <x:c r="D52" s="54" t="n">
        <x:v>5</x:v>
      </x:c>
      <x:c r="E52" s="54" t="n">
        <x:v>4</x:v>
      </x:c>
      <x:c r="F52" s="54" t="n">
        <x:v>5</x:v>
      </x:c>
      <x:c r="G52" s="15" t="str">
        <x:v>Expansion discovery</x:v>
      </x:c>
      <x:c r="H52" s="15" t="str">
        <x:v>Фото, акти, протоколи та виконавча документація до закриття або ПНР</x:v>
      </x:c>
      <x:c r="I52" s="15" t="str">
        <x:v>Один анонімізований пакет приймання з поточного проєкту</x:v>
      </x:c>
      <x:c r="J52" s="15" t="str">
        <x:v>Покажіть один пакет: перевіримо fit і запропонуємо вузький безкоштовний пілот</x:v>
      </x:c>
    </x:row>
    <x:row r="53" ht="42" customHeight="1">
      <x:c r="A53" s="56" t="str">
        <x:v>Пожежогасіння</x:v>
      </x:c>
      <x:c r="B53" s="54" t="n">
        <x:v>79</x:v>
      </x:c>
      <x:c r="C53" s="54" t="n">
        <x:v>1</x:v>
      </x:c>
      <x:c r="D53" s="54" t="n">
        <x:v>5</x:v>
      </x:c>
      <x:c r="E53" s="54" t="n">
        <x:v>5</x:v>
      </x:c>
      <x:c r="F53" s="54" t="n">
        <x:v>5</x:v>
      </x:c>
      <x:c r="G53" s="15" t="str">
        <x:v>Expansion discovery</x:v>
      </x:c>
      <x:c r="H53" s="15" t="str">
        <x:v>Труби, проходки, адресація, випробування</x:v>
      </x:c>
      <x:c r="I53" s="15" t="str">
        <x:v>Акти + протоколи випробувань</x:v>
      </x:c>
      <x:c r="J53" s="15" t="str">
        <x:v>Покажіть пакет до введення</x:v>
      </x:c>
    </x:row>
    <x:row r="54" ht="42" customHeight="1">
      <x:c r="A54" s="56" t="str">
        <x:v>Покрівлі та гідроізоляція</x:v>
      </x:c>
      <x:c r="B54" s="54" t="n">
        <x:v>45</x:v>
      </x:c>
      <x:c r="C54" s="54" t="n">
        <x:v>1</x:v>
      </x:c>
      <x:c r="D54" s="54" t="n">
        <x:v>5</x:v>
      </x:c>
      <x:c r="E54" s="54" t="n">
        <x:v>5</x:v>
      </x:c>
      <x:c r="F54" s="54" t="n">
        <x:v>5</x:v>
      </x:c>
      <x:c r="G54" s="15" t="str">
        <x:v>Expansion discovery</x:v>
      </x:c>
      <x:c r="H54" s="15" t="str">
        <x:v>Покрівельний пиріг, шви, примикання</x:v>
      </x:c>
      <x:c r="I54" s="15" t="str">
        <x:v>Фото вузлів + акт прихованих робіт</x:v>
      </x:c>
      <x:c r="J54" s="15" t="str">
        <x:v>Покажіть 1 типовий пакет до гарантії</x:v>
      </x:c>
    </x:row>
    <x:row r="55" ht="42" customHeight="1">
      <x:c r="A55" s="56" t="str">
        <x:v>Промислова автоматизація / SCADA</x:v>
      </x:c>
      <x:c r="B55" s="54" t="n">
        <x:v>11</x:v>
      </x:c>
      <x:c r="C55" s="54" t="n">
        <x:v>1</x:v>
      </x:c>
      <x:c r="D55" s="54" t="n">
        <x:v>5</x:v>
      </x:c>
      <x:c r="E55" s="54" t="n">
        <x:v>4</x:v>
      </x:c>
      <x:c r="F55" s="54" t="n">
        <x:v>5</x:v>
      </x:c>
      <x:c r="G55" s="15" t="str">
        <x:v>Expansion discovery</x:v>
      </x:c>
      <x:c r="H55" s="15" t="str">
        <x:v>Шафи, кабелі, loop-check, FAT/SAT</x:v>
      </x:c>
      <x:c r="I55" s="15" t="str">
        <x:v>Loop-check + протокол ПНР</x:v>
      </x:c>
      <x:c r="J55" s="15" t="str">
        <x:v>Покажіть handoff монтаж → ПНР</x:v>
      </x:c>
    </x:row>
    <x:row r="56" ht="42" customHeight="1">
      <x:c r="A56" s="56" t="str">
        <x:v>Промислова електрика</x:v>
      </x:c>
      <x:c r="B56" s="54" t="n">
        <x:v>5</x:v>
      </x:c>
      <x:c r="C56" s="54" t="n">
        <x:v>5</x:v>
      </x:c>
      <x:c r="D56" s="54" t="n">
        <x:v>5</x:v>
      </x:c>
      <x:c r="E56" s="54" t="n">
        <x:v>5</x:v>
      </x:c>
      <x:c r="F56" s="54" t="n">
        <x:v>4</x:v>
      </x:c>
      <x:c r="G56" s="15" t="str">
        <x:v>Pilot now</x:v>
      </x:c>
      <x:c r="H56" s="15" t="str">
        <x:v>Фото, акти, протоколи та виконавча документація до закриття або ПНР</x:v>
      </x:c>
      <x:c r="I56" s="15" t="str">
        <x:v>Один анонімізований пакет приймання з поточного проєкту</x:v>
      </x:c>
      <x:c r="J56" s="15" t="str">
        <x:v>Покажіть один пакет: перевіримо fit і запропонуємо вузький безкоштовний пілот</x:v>
      </x:c>
    </x:row>
    <x:row r="57" ht="42" customHeight="1">
      <x:c r="A57" s="56" t="str">
        <x:v>Промислова електрика / ПНР</x:v>
      </x:c>
      <x:c r="B57" s="54" t="n">
        <x:v>12</x:v>
      </x:c>
      <x:c r="C57" s="54" t="n">
        <x:v>4</x:v>
      </x:c>
      <x:c r="D57" s="54" t="n">
        <x:v>5</x:v>
      </x:c>
      <x:c r="E57" s="54" t="n">
        <x:v>4</x:v>
      </x:c>
      <x:c r="F57" s="54" t="n">
        <x:v>5</x:v>
      </x:c>
      <x:c r="G57" s="15" t="str">
        <x:v>Pilot now</x:v>
      </x:c>
      <x:c r="H57" s="15" t="str">
        <x:v>Фото, акти, протоколи та виконавча документація до закриття або ПНР</x:v>
      </x:c>
      <x:c r="I57" s="15" t="str">
        <x:v>Один анонімізований пакет приймання з поточного проєкту</x:v>
      </x:c>
      <x:c r="J57" s="15" t="str">
        <x:v>Покажіть один пакет: перевіримо fit і запропонуємо вузький безкоштовний пілот</x:v>
      </x:c>
    </x:row>
    <x:row r="58" ht="42" customHeight="1">
      <x:c r="A58" s="56" t="str">
        <x:v>Промислова електрика + пожежні системи</x:v>
      </x:c>
      <x:c r="B58" s="54" t="n">
        <x:v>1</x:v>
      </x:c>
      <x:c r="C58" s="54" t="n">
        <x:v>5</x:v>
      </x:c>
      <x:c r="D58" s="54" t="n">
        <x:v>5</x:v>
      </x:c>
      <x:c r="E58" s="54" t="n">
        <x:v>5</x:v>
      </x:c>
      <x:c r="F58" s="54" t="n">
        <x:v>5</x:v>
      </x:c>
      <x:c r="G58" s="15" t="str">
        <x:v>Pilot now</x:v>
      </x:c>
      <x:c r="H58" s="15" t="str">
        <x:v>Фото, акти, протоколи та виконавча документація до закриття або ПНР</x:v>
      </x:c>
      <x:c r="I58" s="15" t="str">
        <x:v>Один анонімізований пакет приймання з поточного проєкту</x:v>
      </x:c>
      <x:c r="J58" s="15" t="str">
        <x:v>Покажіть один пакет: перевіримо fit і запропонуємо вузький безкоштовний пілот</x:v>
      </x:c>
    </x:row>
    <x:row r="59" ht="42" customHeight="1">
      <x:c r="A59" s="56" t="str">
        <x:v>Промислова електрика + СЕС</x:v>
      </x:c>
      <x:c r="B59" s="54" t="n">
        <x:v>1</x:v>
      </x:c>
      <x:c r="C59" s="54" t="n">
        <x:v>5</x:v>
      </x:c>
      <x:c r="D59" s="54" t="n">
        <x:v>5</x:v>
      </x:c>
      <x:c r="E59" s="54" t="n">
        <x:v>5</x:v>
      </x:c>
      <x:c r="F59" s="54" t="n">
        <x:v>4</x:v>
      </x:c>
      <x:c r="G59" s="15" t="str">
        <x:v>Pilot now</x:v>
      </x:c>
      <x:c r="H59" s="15" t="str">
        <x:v>Фото, акти, протоколи та виконавча документація до закриття або ПНР</x:v>
      </x:c>
      <x:c r="I59" s="15" t="str">
        <x:v>Один анонімізований пакет приймання з поточного проєкту</x:v>
      </x:c>
      <x:c r="J59" s="15" t="str">
        <x:v>Покажіть один пакет: перевіримо fit і запропонуємо вузький безкоштовний пілот</x:v>
      </x:c>
    </x:row>
    <x:row r="60" ht="42" customHeight="1">
      <x:c r="A60" s="56" t="str">
        <x:v>Промислова теплоізоляція</x:v>
      </x:c>
      <x:c r="B60" s="54" t="n">
        <x:v>13</x:v>
      </x:c>
      <x:c r="C60" s="54" t="n">
        <x:v>1</x:v>
      </x:c>
      <x:c r="D60" s="54" t="n">
        <x:v>5</x:v>
      </x:c>
      <x:c r="E60" s="54" t="n">
        <x:v>5</x:v>
      </x:c>
      <x:c r="F60" s="54" t="n">
        <x:v>5</x:v>
      </x:c>
      <x:c r="G60" s="15" t="str">
        <x:v>Expansion discovery</x:v>
      </x:c>
      <x:c r="H60" s="15" t="str">
        <x:v>Труби й ізоляція під кожухом</x:v>
      </x:c>
      <x:c r="I60" s="15" t="str">
        <x:v>Фото поверхні, товщини, швів</x:v>
      </x:c>
      <x:c r="J60" s="15" t="str">
        <x:v>Як доводите шар до монтажу кожуха?</x:v>
      </x:c>
    </x:row>
    <x:row r="61" ht="42" customHeight="1">
      <x:c r="A61" s="56" t="str">
        <x:v>Промислове холодопостачання</x:v>
      </x:c>
      <x:c r="B61" s="54" t="n">
        <x:v>3</x:v>
      </x:c>
      <x:c r="C61" s="54" t="n">
        <x:v>4</x:v>
      </x:c>
      <x:c r="D61" s="54" t="n">
        <x:v>5</x:v>
      </x:c>
      <x:c r="E61" s="54" t="n">
        <x:v>4</x:v>
      </x:c>
      <x:c r="F61" s="54" t="n">
        <x:v>5</x:v>
      </x:c>
      <x:c r="G61" s="15" t="str">
        <x:v>Pilot now</x:v>
      </x:c>
      <x:c r="H61" s="15" t="str">
        <x:v>Фото, акти, протоколи та виконавча документація до закриття або ПНР</x:v>
      </x:c>
      <x:c r="I61" s="15" t="str">
        <x:v>Один анонімізований пакет приймання з поточного проєкту</x:v>
      </x:c>
      <x:c r="J61" s="15" t="str">
        <x:v>Покажіть один пакет: перевіримо fit і запропонуємо вузький безкоштовний пілот</x:v>
      </x:c>
    </x:row>
    <x:row r="62" ht="42" customHeight="1">
      <x:c r="A62" s="56" t="str">
        <x:v>Промисловий холод</x:v>
      </x:c>
      <x:c r="B62" s="54" t="n">
        <x:v>50</x:v>
      </x:c>
      <x:c r="C62" s="54" t="n">
        <x:v>1</x:v>
      </x:c>
      <x:c r="D62" s="54" t="n">
        <x:v>5</x:v>
      </x:c>
      <x:c r="E62" s="54" t="n">
        <x:v>5</x:v>
      </x:c>
      <x:c r="F62" s="54" t="n">
        <x:v>5</x:v>
      </x:c>
      <x:c r="G62" s="15" t="str">
        <x:v>Expansion discovery</x:v>
      </x:c>
      <x:c r="H62" s="15" t="str">
        <x:v>Трубопроводи, ізоляція, вакуумування, ПНР</x:v>
      </x:c>
      <x:c r="I62" s="15" t="str">
        <x:v>Протоколи герметичності + ПНР</x:v>
      </x:c>
      <x:c r="J62" s="15" t="str">
        <x:v>Покажіть пакет запуску однієї системи</x:v>
      </x:c>
    </x:row>
    <x:row r="63" ht="42" customHeight="1">
      <x:c r="A63" s="56" t="str">
        <x:v>Промисловий HVAC / MEP</x:v>
      </x:c>
      <x:c r="B63" s="54" t="n">
        <x:v>1</x:v>
      </x:c>
      <x:c r="C63" s="54" t="n">
        <x:v>4</x:v>
      </x:c>
      <x:c r="D63" s="54" t="n">
        <x:v>5</x:v>
      </x:c>
      <x:c r="E63" s="54" t="n">
        <x:v>4</x:v>
      </x:c>
      <x:c r="F63" s="54" t="n">
        <x:v>5</x:v>
      </x:c>
      <x:c r="G63" s="15" t="str">
        <x:v>Pilot now</x:v>
      </x:c>
      <x:c r="H63" s="15" t="str">
        <x:v>Фото, акти, протоколи та виконавча документація до закриття або ПНР</x:v>
      </x:c>
      <x:c r="I63" s="15" t="str">
        <x:v>Один анонімізований пакет приймання з поточного проєкту</x:v>
      </x:c>
      <x:c r="J63" s="15" t="str">
        <x:v>Покажіть один пакет: перевіримо fit і запропонуємо вузький безкоштовний пілот</x:v>
      </x:c>
    </x:row>
    <x:row r="64" ht="42" customHeight="1">
      <x:c r="A64" s="56" t="str">
        <x:v>Промисловий MEP</x:v>
      </x:c>
      <x:c r="B64" s="54" t="n">
        <x:v>2</x:v>
      </x:c>
      <x:c r="C64" s="54" t="n">
        <x:v>5</x:v>
      </x:c>
      <x:c r="D64" s="54" t="n">
        <x:v>5</x:v>
      </x:c>
      <x:c r="E64" s="54" t="n">
        <x:v>5</x:v>
      </x:c>
      <x:c r="F64" s="54" t="n">
        <x:v>5</x:v>
      </x:c>
      <x:c r="G64" s="15" t="str">
        <x:v>Pilot now</x:v>
      </x:c>
      <x:c r="H64" s="15" t="str">
        <x:v>Фото, акти, протоколи та виконавча документація до закриття або ПНР</x:v>
      </x:c>
      <x:c r="I64" s="15" t="str">
        <x:v>Один анонімізований пакет приймання з поточного проєкту</x:v>
      </x:c>
      <x:c r="J64" s="15" t="str">
        <x:v>Покажіть один пакет: перевіримо fit і запропонуємо вузький безкоштовний пілот</x:v>
      </x:c>
    </x:row>
    <x:row r="65" ht="42" customHeight="1">
      <x:c r="A65" s="56" t="str">
        <x:v>Промислові ворота / докове обладнання</x:v>
      </x:c>
      <x:c r="B65" s="54" t="n">
        <x:v>3</x:v>
      </x:c>
      <x:c r="C65" s="54" t="n">
        <x:v>1</x:v>
      </x:c>
      <x:c r="D65" s="54" t="n">
        <x:v>5</x:v>
      </x:c>
      <x:c r="E65" s="54" t="n">
        <x:v>4</x:v>
      </x:c>
      <x:c r="F65" s="54" t="n">
        <x:v>5</x:v>
      </x:c>
      <x:c r="G65" s="15" t="str">
        <x:v>Expansion discovery</x:v>
      </x:c>
      <x:c r="H65" s="15" t="str">
        <x:v>Фото, акти, протоколи та виконавча документація до закриття або ПНР</x:v>
      </x:c>
      <x:c r="I65" s="15" t="str">
        <x:v>Один анонімізований пакет приймання з поточного проєкту</x:v>
      </x:c>
      <x:c r="J65" s="15" t="str">
        <x:v>Покажіть один пакет: перевіримо fit і запропонуємо вузький безкоштовний пілот</x:v>
      </x:c>
    </x:row>
    <x:row r="66" ht="42" customHeight="1">
      <x:c r="A66" s="56" t="str">
        <x:v>Промислові котельні</x:v>
      </x:c>
      <x:c r="B66" s="54" t="n">
        <x:v>4</x:v>
      </x:c>
      <x:c r="C66" s="54" t="n">
        <x:v>1</x:v>
      </x:c>
      <x:c r="D66" s="54" t="n">
        <x:v>5</x:v>
      </x:c>
      <x:c r="E66" s="54" t="n">
        <x:v>5</x:v>
      </x:c>
      <x:c r="F66" s="54" t="n">
        <x:v>5</x:v>
      </x:c>
      <x:c r="G66" s="15" t="str">
        <x:v>Expansion discovery</x:v>
      </x:c>
      <x:c r="H66" s="15" t="str">
        <x:v>Фото, акти, протоколи та виконавча документація до закриття або ПНР</x:v>
      </x:c>
      <x:c r="I66" s="15" t="str">
        <x:v>Один анонімізований пакет приймання з поточного проєкту</x:v>
      </x:c>
      <x:c r="J66" s="15" t="str">
        <x:v>Покажіть один пакет: перевіримо fit і запропонуємо вузький безкоштовний пілот</x:v>
      </x:c>
    </x:row>
    <x:row r="67" ht="42" customHeight="1">
      <x:c r="A67" s="56" t="str">
        <x:v>Промислові підлоги та бетон</x:v>
      </x:c>
      <x:c r="B67" s="54" t="n">
        <x:v>11</x:v>
      </x:c>
      <x:c r="C67" s="54" t="n">
        <x:v>1</x:v>
      </x:c>
      <x:c r="D67" s="54" t="n">
        <x:v>5</x:v>
      </x:c>
      <x:c r="E67" s="54" t="n">
        <x:v>5</x:v>
      </x:c>
      <x:c r="F67" s="54" t="n">
        <x:v>5</x:v>
      </x:c>
      <x:c r="G67" s="15" t="str">
        <x:v>Expansion discovery</x:v>
      </x:c>
      <x:c r="H67" s="15" t="str">
        <x:v>Основа, армування, шви, вологість</x:v>
      </x:c>
      <x:c r="I67" s="15" t="str">
        <x:v>Карта заливки + протоколи основи</x:v>
      </x:c>
      <x:c r="J67" s="15" t="str">
        <x:v>Покажіть 1 карту контролю перед заливкою</x:v>
      </x:c>
    </x:row>
    <x:row r="68" ht="42" customHeight="1">
      <x:c r="A68" s="56" t="str">
        <x:v>Резервне живлення</x:v>
      </x:c>
      <x:c r="B68" s="54" t="n">
        <x:v>80</x:v>
      </x:c>
      <x:c r="C68" s="54" t="n">
        <x:v>3</x:v>
      </x:c>
      <x:c r="D68" s="54" t="n">
        <x:v>5</x:v>
      </x:c>
      <x:c r="E68" s="54" t="n">
        <x:v>5</x:v>
      </x:c>
      <x:c r="F68" s="54" t="n">
        <x:v>5</x:v>
      </x:c>
      <x:c r="G68" s="15" t="str">
        <x:v>Pilot now</x:v>
      </x:c>
      <x:c r="H68" s="15" t="str">
        <x:v>АВР, кабелі, заземлення, тест навантаження</x:v>
      </x:c>
      <x:c r="I68" s="15" t="str">
        <x:v>Протокол АВР / ДБЖ</x:v>
      </x:c>
      <x:c r="J68" s="15" t="str">
        <x:v>Розберімо один тест під навантаженням</x:v>
      </x:c>
    </x:row>
    <x:row r="69" ht="42" customHeight="1">
      <x:c r="A69" s="56" t="str">
        <x:v>Ремонт і підсилення бетону</x:v>
      </x:c>
      <x:c r="B69" s="54" t="n">
        <x:v>21</x:v>
      </x:c>
      <x:c r="C69" s="54" t="n">
        <x:v>1</x:v>
      </x:c>
      <x:c r="D69" s="54" t="n">
        <x:v>5</x:v>
      </x:c>
      <x:c r="E69" s="54" t="n">
        <x:v>5</x:v>
      </x:c>
      <x:c r="F69" s="54" t="n">
        <x:v>5</x:v>
      </x:c>
      <x:c r="G69" s="15" t="str">
        <x:v>Expansion discovery</x:v>
      </x:c>
      <x:c r="H69" s="15" t="str">
        <x:v>Фото, акти, протоколи та виконавча документація до закриття або ПНР</x:v>
      </x:c>
      <x:c r="I69" s="15" t="str">
        <x:v>Один анонімізований пакет приймання з поточного проєкту</x:v>
      </x:c>
      <x:c r="J69" s="15" t="str">
        <x:v>Покажіть один пакет: перевіримо fit і запропонуємо вузький безкоштовний пілот</x:v>
      </x:c>
    </x:row>
    <x:row r="70" ht="42" customHeight="1">
      <x:c r="A70" s="56" t="str">
        <x:v>Сервіс / експлуатація</x:v>
      </x:c>
      <x:c r="B70" s="54" t="n">
        <x:v>2</x:v>
      </x:c>
      <x:c r="C70" s="54" t="n">
        <x:v>0</x:v>
      </x:c>
      <x:c r="D70" s="54" t="n">
        <x:v>0</x:v>
      </x:c>
      <x:c r="E70" s="54" t="n">
        <x:v>0</x:v>
      </x:c>
      <x:c r="F70" s="54" t="n">
        <x:v>0</x:v>
      </x:c>
      <x:c r="G70" s="15" t="str">
        <x:v>Expansion discovery</x:v>
      </x:c>
      <x:c r="H70" s="15" t="str">
        <x:v>Фото, акти, протоколи та виконавча документація до закриття або ПНР</x:v>
      </x:c>
      <x:c r="I70" s="15" t="str">
        <x:v>Один анонімізований пакет приймання з поточного проєкту</x:v>
      </x:c>
      <x:c r="J70" s="15" t="str">
        <x:v>Покажіть один пакет: перевіримо fit і запропонуємо вузький безкоштовний пілот</x:v>
      </x:c>
    </x:row>
    <x:row r="71" ht="42" customHeight="1">
      <x:c r="A71" s="56" t="str">
        <x:v>СЕС + електрика</x:v>
      </x:c>
      <x:c r="B71" s="54" t="n">
        <x:v>4</x:v>
      </x:c>
      <x:c r="C71" s="54" t="n">
        <x:v>5</x:v>
      </x:c>
      <x:c r="D71" s="54" t="n">
        <x:v>5</x:v>
      </x:c>
      <x:c r="E71" s="54" t="n">
        <x:v>5</x:v>
      </x:c>
      <x:c r="F71" s="54" t="n">
        <x:v>4</x:v>
      </x:c>
      <x:c r="G71" s="15" t="str">
        <x:v>Pilot now</x:v>
      </x:c>
      <x:c r="H71" s="15" t="str">
        <x:v>Фото, акти, протоколи та виконавча документація до закриття або ПНР</x:v>
      </x:c>
      <x:c r="I71" s="15" t="str">
        <x:v>Один анонімізований пакет приймання з поточного проєкту</x:v>
      </x:c>
      <x:c r="J71" s="15" t="str">
        <x:v>Покажіть один пакет: перевіримо fit і запропонуємо вузький безкоштовний пілот</x:v>
      </x:c>
    </x:row>
    <x:row r="72" ht="42" customHeight="1">
      <x:c r="A72" s="56" t="str">
        <x:v>СКС / BMS / слаботочка</x:v>
      </x:c>
      <x:c r="B72" s="54" t="n">
        <x:v>16</x:v>
      </x:c>
      <x:c r="C72" s="54" t="n">
        <x:v>2</x:v>
      </x:c>
      <x:c r="D72" s="54" t="n">
        <x:v>5</x:v>
      </x:c>
      <x:c r="E72" s="54" t="n">
        <x:v>4</x:v>
      </x:c>
      <x:c r="F72" s="54" t="n">
        <x:v>5</x:v>
      </x:c>
      <x:c r="G72" s="15" t="str">
        <x:v>Expansion discovery</x:v>
      </x:c>
      <x:c r="H72" s="15" t="str">
        <x:v>Фото, акти, протоколи та виконавча документація до закриття або ПНР</x:v>
      </x:c>
      <x:c r="I72" s="15" t="str">
        <x:v>Один анонімізований пакет приймання з поточного проєкту</x:v>
      </x:c>
      <x:c r="J72" s="15" t="str">
        <x:v>Покажіть один пакет: перевіримо fit і запропонуємо вузький безкоштовний пілот</x:v>
      </x:c>
    </x:row>
    <x:row r="73" ht="42" customHeight="1">
      <x:c r="A73" s="56" t="str">
        <x:v>СКС, BMS та слаботочна інтеграція</x:v>
      </x:c>
      <x:c r="B73" s="54" t="n">
        <x:v>9</x:v>
      </x:c>
      <x:c r="C73" s="54" t="n">
        <x:v>3</x:v>
      </x:c>
      <x:c r="D73" s="54" t="n">
        <x:v>5</x:v>
      </x:c>
      <x:c r="E73" s="54" t="n">
        <x:v>5</x:v>
      </x:c>
      <x:c r="F73" s="54" t="n">
        <x:v>5</x:v>
      </x:c>
      <x:c r="G73" s="15" t="str">
        <x:v>Expansion discovery</x:v>
      </x:c>
      <x:c r="H73" s="15" t="str">
        <x:v>Траси, маркування, порт-тести</x:v>
      </x:c>
      <x:c r="I73" s="15" t="str">
        <x:v>Протокол Fluke / ПНР</x:v>
      </x:c>
      <x:c r="J73" s="15" t="str">
        <x:v>Покажіть пакет здачі одного поверху</x:v>
      </x:c>
    </x:row>
    <x:row r="74" ht="42" customHeight="1">
      <x:c r="A74" s="56" t="str">
        <x:v>Слаботочні системи</x:v>
      </x:c>
      <x:c r="B74" s="54" t="n">
        <x:v>14</x:v>
      </x:c>
      <x:c r="C74" s="54" t="n">
        <x:v>2</x:v>
      </x:c>
      <x:c r="D74" s="54" t="n">
        <x:v>3</x:v>
      </x:c>
      <x:c r="E74" s="54" t="n">
        <x:v>2</x:v>
      </x:c>
      <x:c r="F74" s="54" t="n">
        <x:v>2</x:v>
      </x:c>
      <x:c r="G74" s="15" t="str">
        <x:v>Expansion discovery</x:v>
      </x:c>
      <x:c r="H74" s="15" t="str">
        <x:v>Фото, акти, протоколи та виконавча документація до закриття або ПНР</x:v>
      </x:c>
      <x:c r="I74" s="15" t="str">
        <x:v>Один анонімізований пакет приймання з поточного проєкту</x:v>
      </x:c>
      <x:c r="J74" s="15" t="str">
        <x:v>Покажіть один пакет: перевіримо fit і запропонуємо вузький безкоштовний пілот</x:v>
      </x:c>
    </x:row>
    <x:row r="75" ht="42" customHeight="1">
      <x:c r="A75" s="56" t="str">
        <x:v>Сонячна енергетика</x:v>
      </x:c>
      <x:c r="B75" s="54" t="n">
        <x:v>49</x:v>
      </x:c>
      <x:c r="C75" s="54" t="n">
        <x:v>1</x:v>
      </x:c>
      <x:c r="D75" s="54" t="n">
        <x:v>4</x:v>
      </x:c>
      <x:c r="E75" s="54" t="n">
        <x:v>4</x:v>
      </x:c>
      <x:c r="F75" s="54" t="n">
        <x:v>4</x:v>
      </x:c>
      <x:c r="G75" s="15" t="str">
        <x:v>Expansion discovery</x:v>
      </x:c>
      <x:c r="H75" s="15" t="str">
        <x:v>Фото, акти, протоколи та виконавча документація до закриття або ПНР</x:v>
      </x:c>
      <x:c r="I75" s="15" t="str">
        <x:v>Один анонімізований пакет приймання з поточного проєкту</x:v>
      </x:c>
      <x:c r="J75" s="15" t="str">
        <x:v>Покажіть один пакет: перевіримо fit і запропонуємо вузький безкоштовний пілот</x:v>
      </x:c>
    </x:row>
    <x:row r="76" ht="42" customHeight="1">
      <x:c r="A76" s="56" t="str">
        <x:v>Стиснене повітря / компресорні</x:v>
      </x:c>
      <x:c r="B76" s="54" t="n">
        <x:v>25</x:v>
      </x:c>
      <x:c r="C76" s="54" t="n">
        <x:v>1</x:v>
      </x:c>
      <x:c r="D76" s="54" t="n">
        <x:v>5</x:v>
      </x:c>
      <x:c r="E76" s="54" t="n">
        <x:v>5</x:v>
      </x:c>
      <x:c r="F76" s="54" t="n">
        <x:v>5</x:v>
      </x:c>
      <x:c r="G76" s="15" t="str">
        <x:v>Expansion discovery</x:v>
      </x:c>
      <x:c r="H76" s="15" t="str">
        <x:v>Пневмомережі, дренаж, фільтрація</x:v>
      </x:c>
      <x:c r="I76" s="15" t="str">
        <x:v>Герметичність + ПНР</x:v>
      </x:c>
      <x:c r="J76" s="15" t="str">
        <x:v>Покажіть пакет запуску компресорної</x:v>
      </x:c>
    </x:row>
    <x:row r="77" ht="42" customHeight="1">
      <x:c r="A77" s="56" t="str">
        <x:v>Теплові мережі</x:v>
      </x:c>
      <x:c r="B77" s="54" t="n">
        <x:v>34</x:v>
      </x:c>
      <x:c r="C77" s="54" t="n">
        <x:v>1</x:v>
      </x:c>
      <x:c r="D77" s="54" t="n">
        <x:v>5</x:v>
      </x:c>
      <x:c r="E77" s="54" t="n">
        <x:v>4</x:v>
      </x:c>
      <x:c r="F77" s="54" t="n">
        <x:v>5</x:v>
      </x:c>
      <x:c r="G77" s="15" t="str">
        <x:v>Expansion discovery</x:v>
      </x:c>
      <x:c r="H77" s="15" t="str">
        <x:v>Фото, акти, протоколи та виконавча документація до закриття або ПНР</x:v>
      </x:c>
      <x:c r="I77" s="15" t="str">
        <x:v>Один анонімізований пакет приймання з поточного проєкту</x:v>
      </x:c>
      <x:c r="J77" s="15" t="str">
        <x:v>Покажіть один пакет: перевіримо fit і запропонуємо вузький безкоштовний пілот</x:v>
      </x:c>
    </x:row>
    <x:row r="78" ht="42" customHeight="1">
      <x:c r="A78" s="56" t="str">
        <x:v>Теплові пункти</x:v>
      </x:c>
      <x:c r="B78" s="54" t="n">
        <x:v>13</x:v>
      </x:c>
      <x:c r="C78" s="54" t="n">
        <x:v>1</x:v>
      </x:c>
      <x:c r="D78" s="54" t="n">
        <x:v>5</x:v>
      </x:c>
      <x:c r="E78" s="54" t="n">
        <x:v>5</x:v>
      </x:c>
      <x:c r="F78" s="54" t="n">
        <x:v>5</x:v>
      </x:c>
      <x:c r="G78" s="15" t="str">
        <x:v>Expansion discovery</x:v>
      </x:c>
      <x:c r="H78" s="15" t="str">
        <x:v>Фото, акти, протоколи та виконавча документація до закриття або ПНР</x:v>
      </x:c>
      <x:c r="I78" s="15" t="str">
        <x:v>Один анонімізований пакет приймання з поточного проєкту</x:v>
      </x:c>
      <x:c r="J78" s="15" t="str">
        <x:v>Покажіть один пакет: перевіримо fit і запропонуємо вузький безкоштовний пілот</x:v>
      </x:c>
    </x:row>
    <x:row r="79" ht="42" customHeight="1">
      <x:c r="A79" s="56" t="str">
        <x:v>Технологічні трубопроводи</x:v>
      </x:c>
      <x:c r="B79" s="54" t="n">
        <x:v>14</x:v>
      </x:c>
      <x:c r="C79" s="54" t="n">
        <x:v>1</x:v>
      </x:c>
      <x:c r="D79" s="54" t="n">
        <x:v>5</x:v>
      </x:c>
      <x:c r="E79" s="54" t="n">
        <x:v>5</x:v>
      </x:c>
      <x:c r="F79" s="54" t="n">
        <x:v>5</x:v>
      </x:c>
      <x:c r="G79" s="15" t="str">
        <x:v>Expansion discovery</x:v>
      </x:c>
      <x:c r="H79" s="15" t="str">
        <x:v>Стики, НК, опори, гідровипробування</x:v>
      </x:c>
      <x:c r="I79" s="15" t="str">
        <x:v>Журнал стиків + НК + гідротест</x:v>
      </x:c>
      <x:c r="J79" s="15" t="str">
        <x:v>Розберімо один ізометричний пакет</x:v>
      </x:c>
    </x:row>
    <x:row r="80" ht="42" customHeight="1">
      <x:c r="A80" s="56" t="str">
        <x:v>Фасади та скління</x:v>
      </x:c>
      <x:c r="B80" s="54" t="n">
        <x:v>30</x:v>
      </x:c>
      <x:c r="C80" s="54" t="n">
        <x:v>1</x:v>
      </x:c>
      <x:c r="D80" s="54" t="n">
        <x:v>5</x:v>
      </x:c>
      <x:c r="E80" s="54" t="n">
        <x:v>5</x:v>
      </x:c>
      <x:c r="F80" s="54" t="n">
        <x:v>5</x:v>
      </x:c>
      <x:c r="G80" s="15" t="str">
        <x:v>Expansion discovery</x:v>
      </x:c>
      <x:c r="H80" s="15" t="str">
        <x:v>Фото, акти, протоколи та виконавча документація до закриття або ПНР</x:v>
      </x:c>
      <x:c r="I80" s="15" t="str">
        <x:v>Один анонімізований пакет приймання з поточного проєкту</x:v>
      </x:c>
      <x:c r="J80" s="15" t="str">
        <x:v>Покажіть один пакет: перевіримо fit і запропонуємо вузький безкоштовний пілот</x:v>
      </x:c>
    </x:row>
    <x:row r="81" ht="42" customHeight="1">
      <x:c r="A81" s="56" t="str">
        <x:v>ЦОД / серверні</x:v>
      </x:c>
      <x:c r="B81" s="54" t="n">
        <x:v>2</x:v>
      </x:c>
      <x:c r="C81" s="54" t="n">
        <x:v>1</x:v>
      </x:c>
      <x:c r="D81" s="54" t="n">
        <x:v>5</x:v>
      </x:c>
      <x:c r="E81" s="54" t="n">
        <x:v>5</x:v>
      </x:c>
      <x:c r="F81" s="54" t="n">
        <x:v>5</x:v>
      </x:c>
      <x:c r="G81" s="15" t="str">
        <x:v>Expansion discovery</x:v>
      </x:c>
      <x:c r="H81" s="15" t="str">
        <x:v>Фото, акти, протоколи та виконавча документація до закриття або ПНР</x:v>
      </x:c>
      <x:c r="I81" s="15" t="str">
        <x:v>Один анонімізований пакет приймання з поточного проєкту</x:v>
      </x:c>
      <x:c r="J81" s="15" t="str">
        <x:v>Покажіть один пакет: перевіримо fit і запропонуємо вузький безкоштовний пілот</x:v>
      </x:c>
    </x:row>
    <x:row r="82" ht="42" customHeight="1">
      <x:c r="A82" s="56" t="str">
        <x:v>Чисті приміщення</x:v>
      </x:c>
      <x:c r="B82" s="54" t="n">
        <x:v>18</x:v>
      </x:c>
      <x:c r="C82" s="54" t="n">
        <x:v>1</x:v>
      </x:c>
      <x:c r="D82" s="54" t="n">
        <x:v>5</x:v>
      </x:c>
      <x:c r="E82" s="54" t="n">
        <x:v>5</x:v>
      </x:c>
      <x:c r="F82" s="54" t="n">
        <x:v>5</x:v>
      </x:c>
      <x:c r="G82" s="15" t="str">
        <x:v>Expansion discovery</x:v>
      </x:c>
      <x:c r="H82" s="15" t="str">
        <x:v>Фото, акти, протоколи та виконавча документація до закриття або ПНР</x:v>
      </x:c>
      <x:c r="I82" s="15" t="str">
        <x:v>Один анонімізований пакет приймання з поточного проєкту</x:v>
      </x:c>
      <x:c r="J82" s="15" t="str">
        <x:v>Покажіть один пакет: перевіримо fit і запропонуємо вузький безкоштовний пілот</x:v>
      </x:c>
    </x:row>
    <x:row r="83" ht="42" customHeight="1">
      <x:c r="A83" s="56" t="str">
        <x:v>Чисті приміщення та стерильні зони</x:v>
      </x:c>
      <x:c r="B83" s="54" t="n">
        <x:v>3</x:v>
      </x:c>
      <x:c r="C83" s="54" t="n">
        <x:v>3</x:v>
      </x:c>
      <x:c r="D83" s="54" t="n">
        <x:v>5</x:v>
      </x:c>
      <x:c r="E83" s="54" t="n">
        <x:v>5</x:v>
      </x:c>
      <x:c r="F83" s="54" t="n">
        <x:v>5</x:v>
      </x:c>
      <x:c r="G83" s="15" t="str">
        <x:v>Expansion discovery</x:v>
      </x:c>
      <x:c r="H83" s="15" t="str">
        <x:v>Герметичність, HEPA, автоматика</x:v>
      </x:c>
      <x:c r="I83" s="15" t="str">
        <x:v>Кваліфікаційний протокол</x:v>
      </x:c>
      <x:c r="J83" s="15" t="str">
        <x:v>Розберімо один validation-пакет</x:v>
      </x:c>
    </x:row>
    <x:row r="84" ht="42" customHeight="1">
      <x:c r="A84" s="56" t="str">
        <x:v>HVAC / вентиляція</x:v>
      </x:c>
      <x:c r="B84" s="54" t="n">
        <x:v>5</x:v>
      </x:c>
      <x:c r="C84" s="54" t="n">
        <x:v>2</x:v>
      </x:c>
      <x:c r="D84" s="54" t="n">
        <x:v>3</x:v>
      </x:c>
      <x:c r="E84" s="54" t="n">
        <x:v>2</x:v>
      </x:c>
      <x:c r="F84" s="54" t="n">
        <x:v>3</x:v>
      </x:c>
      <x:c r="G84" s="15" t="str">
        <x:v>Pilot now</x:v>
      </x:c>
      <x:c r="H84" s="15" t="str">
        <x:v>Фото, акти, протоколи та виконавча документація до закриття або ПНР</x:v>
      </x:c>
      <x:c r="I84" s="15" t="str">
        <x:v>Один анонімізований пакет приймання з поточного проєкту</x:v>
      </x:c>
      <x:c r="J84" s="15" t="str">
        <x:v>Покажіть один пакет: перевіримо fit і запропонуємо вузький безкоштовний пілот</x:v>
      </x:c>
    </x:row>
    <x:row r="85" ht="42" customHeight="1">
      <x:c r="A85" s="56" t="str">
        <x:v>HVAC / ОВіК</x:v>
      </x:c>
      <x:c r="B85" s="54" t="n">
        <x:v>110</x:v>
      </x:c>
      <x:c r="C85" s="54" t="n">
        <x:v>5</x:v>
      </x:c>
      <x:c r="D85" s="54" t="n">
        <x:v>5</x:v>
      </x:c>
      <x:c r="E85" s="54" t="n">
        <x:v>5</x:v>
      </x:c>
      <x:c r="F85" s="54" t="n">
        <x:v>5</x:v>
      </x:c>
      <x:c r="G85" s="15" t="str">
        <x:v>Pilot now</x:v>
      </x:c>
      <x:c r="H85" s="15" t="str">
        <x:v>Фото, акти, протоколи та виконавча документація до закриття або ПНР</x:v>
      </x:c>
      <x:c r="I85" s="15" t="str">
        <x:v>Один анонімізований пакет приймання з поточного проєкту</x:v>
      </x:c>
      <x:c r="J85" s="15" t="str">
        <x:v>Покажіть один пакет: перевіримо fit і запропонуємо вузький безкоштовний пілот</x:v>
      </x:c>
    </x:row>
    <x:row r="86" ht="42" customHeight="1">
      <x:c r="A86" s="57" t="str">
        <x:v>MEP / інженерні системи</x:v>
      </x:c>
      <x:c r="B86" s="55" t="n">
        <x:v>3</x:v>
      </x:c>
      <x:c r="C86" s="55" t="n">
        <x:v>5</x:v>
      </x:c>
      <x:c r="D86" s="55" t="n">
        <x:v>5</x:v>
      </x:c>
      <x:c r="E86" s="55" t="n">
        <x:v>4</x:v>
      </x:c>
      <x:c r="F86" s="55" t="n">
        <x:v>4</x:v>
      </x:c>
      <x:c r="G86" s="53" t="str">
        <x:v>Pilot now</x:v>
      </x:c>
      <x:c r="H86" s="53" t="str">
        <x:v>Фото, акти, протоколи та виконавча документація до закриття або ПНР</x:v>
      </x:c>
      <x:c r="I86" s="53" t="str">
        <x:v>Один анонімізований пакет приймання з поточного проєкту</x:v>
      </x:c>
      <x:c r="J86" s="53" t="str">
        <x:v>Покажіть один пакет: перевіримо fit і запропонуємо вузький безкоштовний пілот</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4" t="str">
        <x:v>A. Design-partner пілот — Pilot now</x:v>
      </x:c>
      <x:c r="B4" s="24"/>
      <x:c r="C4" s="24"/>
      <x:c r="D4" s="24"/>
      <x:c r="E4" s="24"/>
      <x:c r="F4" s="24" t="str">
        <x:v>B. Workflow discovery sprint — Expansion</x:v>
      </x:c>
      <x:c r="G4" s="24"/>
      <x:c r="H4" s="24"/>
      <x:c r="I4" s="24"/>
      <x:c r="J4" s="24"/>
    </x:row>
    <x:row r="5">
      <x:c r="A5" s="61"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1"/>
      <x:c r="C5" s="61"/>
      <x:c r="D5" s="61"/>
      <x:c r="E5" s="61"/>
      <x:c r="F5" s="65"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5"/>
      <x:c r="H5" s="65"/>
      <x:c r="I5" s="65"/>
      <x:c r="J5" s="65"/>
    </x:row>
    <x:row r="6">
      <x:c r="A6" s="61"/>
      <x:c r="B6" s="61"/>
      <x:c r="C6" s="61"/>
      <x:c r="D6" s="61"/>
      <x:c r="E6" s="61"/>
      <x:c r="F6" s="65"/>
      <x:c r="G6" s="65"/>
      <x:c r="H6" s="65"/>
      <x:c r="I6" s="65"/>
      <x:c r="J6" s="65"/>
    </x:row>
    <x:row r="7">
      <x:c r="A7" s="61"/>
      <x:c r="B7" s="61"/>
      <x:c r="C7" s="61"/>
      <x:c r="D7" s="61"/>
      <x:c r="E7" s="61"/>
      <x:c r="F7" s="65"/>
      <x:c r="G7" s="65"/>
      <x:c r="H7" s="65"/>
      <x:c r="I7" s="65"/>
      <x:c r="J7" s="65"/>
    </x:row>
    <x:row r="9">
      <x:c r="A9" s="24" t="str">
        <x:v>Умови входу</x:v>
      </x:c>
      <x:c r="B9" s="24"/>
      <x:c r="C9" s="24"/>
      <x:c r="D9" s="24"/>
      <x:c r="E9" s="24"/>
      <x:c r="F9" s="24" t="str">
        <x:v>Умови входу</x:v>
      </x:c>
      <x:c r="G9" s="24"/>
      <x:c r="H9" s="24"/>
      <x:c r="I9" s="24"/>
      <x:c r="J9" s="24"/>
    </x:row>
    <x:row r="10" ht="31" customHeight="1">
      <x:c r="A10" s="66" t="str">
        <x:v>• Один активний проєкт і названий спонсор.</x:v>
      </x:c>
      <x:c r="B10" s="66"/>
      <x:c r="C10" s="66"/>
      <x:c r="D10" s="66"/>
      <x:c r="E10" s="66"/>
      <x:c r="F10" s="66" t="str">
        <x:v>• Один реальний пакет приймання з нової вертикалі.</x:v>
      </x:c>
      <x:c r="G10" s="66"/>
      <x:c r="H10" s="66"/>
      <x:c r="I10" s="66"/>
      <x:c r="J10" s="66"/>
    </x:row>
    <x:row r="11" ht="31" customHeight="1">
      <x:c r="A11" s="66" t="str">
        <x:v>• ПТО, майстер і рев’юер.</x:v>
      </x:c>
      <x:c r="B11" s="66"/>
      <x:c r="C11" s="66"/>
      <x:c r="D11" s="66"/>
      <x:c r="E11" s="66"/>
      <x:c r="F11" s="66" t="str">
        <x:v>• Вимоги / специфікація конкретного проєкту.</x:v>
      </x:c>
      <x:c r="G11" s="66"/>
      <x:c r="H11" s="66"/>
      <x:c r="I11" s="66"/>
      <x:c r="J11" s="66"/>
    </x:row>
    <x:row r="12" ht="31" customHeight="1">
      <x:c r="A12" s="66" t="str">
        <x:v>• Один анонімізований акт/АВР або пакет фото.</x:v>
      </x:c>
      <x:c r="B12" s="66"/>
      <x:c r="C12" s="66"/>
      <x:c r="D12" s="66"/>
      <x:c r="E12" s="66"/>
      <x:c r="F12" s="66" t="str">
        <x:v>• 60 хв з виконробом або ПТО.</x:v>
      </x:c>
      <x:c r="G12" s="66"/>
      <x:c r="H12" s="66"/>
      <x:c r="I12" s="66"/>
      <x:c r="J12" s="66"/>
    </x:row>
    <x:row r="13" ht="31" customHeight="1">
      <x:c r="A13" s="66" t="str">
        <x:v>• 30 хв щотижня.</x:v>
      </x:c>
      <x:c r="B13" s="66"/>
      <x:c r="C13" s="66"/>
      <x:c r="D13" s="66"/>
      <x:c r="E13" s="66"/>
      <x:c r="F13" s="66" t="str">
        <x:v>• 30 хв з рев’юером / технаглядом.</x:v>
      </x:c>
      <x:c r="G13" s="66"/>
      <x:c r="H13" s="66"/>
      <x:c r="I13" s="66"/>
      <x:c r="J13" s="66"/>
    </x:row>
    <x:row r="14" ht="31" customHeight="1">
      <x:c r="A14" s="66" t="str">
        <x:v>• Метрики до/після.</x:v>
      </x:c>
      <x:c r="B14" s="66"/>
      <x:c r="C14" s="66"/>
      <x:c r="D14" s="66"/>
      <x:c r="E14" s="66"/>
      <x:c r="F14" s="66" t="str">
        <x:v>• Дозвіл змоделювати 1 вузький workflow.</x:v>
      </x:c>
      <x:c r="G14" s="66"/>
      <x:c r="H14" s="66"/>
      <x:c r="I14" s="66"/>
      <x:c r="J14" s="66"/>
    </x:row>
    <x:row r="15" ht="31" customHeight="1">
      <x:c r="A15" s="67" t="str">
        <x:v>• Go/no-go на 30–45 день.</x:v>
      </x:c>
      <x:c r="B15" s="67"/>
      <x:c r="C15" s="67"/>
      <x:c r="D15" s="67"/>
      <x:c r="E15" s="67"/>
      <x:c r="F15" s="67" t="str">
        <x:v>• Жодної обіцянки інтеграції чи повного покриття.</x:v>
      </x:c>
      <x:c r="G15" s="67"/>
      <x:c r="H15" s="67"/>
      <x:c r="I15" s="67"/>
      <x:c r="J15" s="67"/>
    </x:row>
    <x:row r="17">
      <x:c r="A17" s="24" t="str">
        <x:v>Метрики пілоту</x:v>
      </x:c>
      <x:c r="B17" s="24"/>
      <x:c r="C17" s="24"/>
      <x:c r="D17" s="24"/>
      <x:c r="E17" s="24"/>
      <x:c r="F17" s="24" t="str">
        <x:v>Результат discovery sprint</x:v>
      </x:c>
      <x:c r="G17" s="24"/>
      <x:c r="H17" s="24"/>
      <x:c r="I17" s="24"/>
      <x:c r="J17" s="24"/>
    </x:row>
    <x:row r="18" ht="31" customHeight="1">
      <x:c r="A18" s="66" t="str">
        <x:v>1. Приймання з першого перегляду.</x:v>
      </x:c>
      <x:c r="B18" s="66"/>
      <x:c r="C18" s="66"/>
      <x:c r="D18" s="66"/>
      <x:c r="E18" s="66"/>
      <x:c r="F18" s="66" t="str">
        <x:v>1. Підтверджений або спростований workflow pain.</x:v>
      </x:c>
      <x:c r="G18" s="66"/>
      <x:c r="H18" s="66"/>
      <x:c r="I18" s="66"/>
      <x:c r="J18" s="66"/>
    </x:row>
    <x:row r="19" ht="31" customHeight="1">
      <x:c r="A19" s="66" t="str">
        <x:v>2. Час до рішення рев’юера.</x:v>
      </x:c>
      <x:c r="B19" s="66"/>
      <x:c r="C19" s="66"/>
      <x:c r="D19" s="66"/>
      <x:c r="E19" s="66"/>
      <x:c r="F19" s="66" t="str">
        <x:v>2. Список вимог і джерел істини.</x:v>
      </x:c>
      <x:c r="G19" s="66"/>
      <x:c r="H19" s="66"/>
      <x:c r="I19" s="66"/>
      <x:c r="J19" s="66"/>
    </x:row>
    <x:row r="20" ht="31" customHeight="1">
      <x:c r="A20" s="66" t="str">
        <x:v>3. Докази до закриття робіт.</x:v>
      </x:c>
      <x:c r="B20" s="66"/>
      <x:c r="C20" s="66"/>
      <x:c r="D20" s="66"/>
      <x:c r="E20" s="66"/>
      <x:c r="F20" s="66" t="str">
        <x:v>3. Карта ролей і handoff.</x:v>
      </x:c>
      <x:c r="G20" s="66"/>
      <x:c r="H20" s="66"/>
      <x:c r="I20" s="66"/>
      <x:c r="J20" s="66"/>
    </x:row>
    <x:row r="21" ht="31" customHeight="1">
      <x:c r="A21" s="66" t="str">
        <x:v>4. Повернення через неповний пакет.</x:v>
      </x:c>
      <x:c r="B21" s="66"/>
      <x:c r="C21" s="66"/>
      <x:c r="D21" s="66"/>
      <x:c r="E21" s="66"/>
      <x:c r="F21" s="66" t="str">
        <x:v>4. Один прототип пакета приймання.</x:v>
      </x:c>
      <x:c r="G21" s="66"/>
      <x:c r="H21" s="66"/>
      <x:c r="I21" s="66"/>
      <x:c r="J21" s="66"/>
    </x:row>
    <x:row r="22" ht="31" customHeight="1">
      <x:c r="A22" s="67" t="str">
        <x:v>5. Щотижнева активність ролей.</x:v>
      </x:c>
      <x:c r="B22" s="67"/>
      <x:c r="C22" s="67"/>
      <x:c r="D22" s="67"/>
      <x:c r="E22" s="67"/>
      <x:c r="F22" s="67" t="str">
        <x:v>5. Рішення: build / partner / stop.</x:v>
      </x:c>
      <x:c r="G22" s="67"/>
      <x:c r="H22" s="67"/>
      <x:c r="I22" s="67"/>
      <x:c r="J22" s="67"/>
    </x:row>
    <x:row r="24">
      <x:c r="A24" s="24" t="str">
        <x:v>Незмінні межі</x:v>
      </x:c>
      <x:c r="B24" s="24"/>
      <x:c r="C24" s="24"/>
      <x:c r="D24" s="24"/>
      <x:c r="E24" s="24"/>
      <x:c r="F24" s="24"/>
      <x:c r="G24" s="24"/>
      <x:c r="H24" s="24"/>
      <x:c r="I24" s="24"/>
      <x:c r="J24" s="24"/>
    </x:row>
    <x:row r="25">
      <x:c r="A25" s="71"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1"/>
      <x:c r="C25" s="71"/>
      <x:c r="D25" s="71"/>
      <x:c r="E25" s="71"/>
      <x:c r="F25" s="71"/>
      <x:c r="G25" s="71"/>
      <x:c r="H25" s="71"/>
      <x:c r="I25" s="71"/>
      <x:c r="J25" s="71"/>
    </x:row>
    <x:row r="26">
      <x:c r="A26" s="71"/>
      <x:c r="B26" s="71"/>
      <x:c r="C26" s="71"/>
      <x:c r="D26" s="71"/>
      <x:c r="E26" s="71"/>
      <x:c r="F26" s="71"/>
      <x:c r="G26" s="71"/>
      <x:c r="H26" s="71"/>
      <x:c r="I26" s="71"/>
      <x:c r="J26" s="71"/>
    </x:row>
    <x:row r="27">
      <x:c r="A27" s="71"/>
      <x:c r="B27" s="71"/>
      <x:c r="C27" s="71"/>
      <x:c r="D27" s="71"/>
      <x:c r="E27" s="71"/>
      <x:c r="F27" s="71"/>
      <x:c r="G27" s="71"/>
      <x:c r="H27" s="71"/>
      <x:c r="I27" s="71"/>
      <x:c r="J27" s="71"/>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сигналом і маршрутом</x:v>
      </x:c>
      <x:c r="B1" s="3"/>
      <x:c r="C1" s="3"/>
      <x:c r="D1" s="3"/>
      <x:c r="E1" s="3"/>
      <x:c r="F1" s="3"/>
      <x:c r="G1" s="3"/>
      <x:c r="H1" s="3"/>
      <x:c r="I1" s="3"/>
      <x:c r="J1" s="3"/>
    </x:row>
    <x:row r="2" ht="22" customHeight="1">
      <x:c r="A2" s="5" t="str">
        <x:v>I1/I2: почати з конкретного тендера. P-ліди: показати готовий review-flow. D-ліди: попросити артефакт до продуктової обіцянки</x:v>
      </x:c>
      <x:c r="B2" s="5"/>
      <x:c r="C2" s="5"/>
      <x:c r="D2" s="5"/>
      <x:c r="E2" s="5"/>
      <x:c r="F2" s="5"/>
      <x:c r="G2" s="5"/>
      <x:c r="H2" s="5"/>
      <x:c r="I2" s="5"/>
      <x:c r="J2" s="5"/>
    </x:row>
    <x:row r="4">
      <x:c r="A4" s="24" t="str">
        <x:v>1. I1/I2 — контакт від конкретного тендера</x:v>
      </x:c>
      <x:c r="B4" s="24"/>
      <x:c r="C4" s="24"/>
      <x:c r="D4" s="24"/>
      <x:c r="E4" s="24"/>
      <x:c r="F4" s="24"/>
      <x:c r="G4" s="24"/>
      <x:c r="H4" s="24"/>
      <x:c r="I4" s="24"/>
      <x:c r="J4" s="24"/>
    </x:row>
    <x:row r="5">
      <x:c r="A5" s="76" t="str">
        <x:v>Доброго дня! Побачив, що [компанія] перемогла у [UA-номер / назва робіт], строк виконання — до [дата]. GoProceed допомагає зібрати фото, акти й протоколи до закриття робіт та віддати ПТО/замовнику одну сторінку на перевірку. Пропоную безкоштовно розібрати один ваш пакет приймання; якщо fit підтвердиться — запустимо вузький пілот на цьому проєкті без ліцензійної плати. Хто у вас відповідає за ПТО або виконавчу документацію?</x:v>
      </x:c>
      <x:c r="B5" s="76"/>
      <x:c r="C5" s="76"/>
      <x:c r="D5" s="76"/>
      <x:c r="E5" s="76"/>
      <x:c r="F5" s="76"/>
      <x:c r="G5" s="76"/>
      <x:c r="H5" s="76"/>
      <x:c r="I5" s="76"/>
      <x:c r="J5" s="76"/>
    </x:row>
    <x:row r="6">
      <x:c r="A6" s="76"/>
      <x:c r="B6" s="76"/>
      <x:c r="C6" s="76"/>
      <x:c r="D6" s="76"/>
      <x:c r="E6" s="76"/>
      <x:c r="F6" s="76"/>
      <x:c r="G6" s="76"/>
      <x:c r="H6" s="76"/>
      <x:c r="I6" s="76"/>
      <x:c r="J6" s="76"/>
    </x:row>
    <x:row r="7">
      <x:c r="A7" s="76"/>
      <x:c r="B7" s="76"/>
      <x:c r="C7" s="76"/>
      <x:c r="D7" s="76"/>
      <x:c r="E7" s="76"/>
      <x:c r="F7" s="76"/>
      <x:c r="G7" s="76"/>
      <x:c r="H7" s="76"/>
      <x:c r="I7" s="76"/>
      <x:c r="J7" s="76"/>
    </x:row>
    <x:row r="8">
      <x:c r="A8" s="77"/>
      <x:c r="B8" s="77"/>
      <x:c r="C8" s="77"/>
      <x:c r="D8" s="77"/>
      <x:c r="E8" s="77"/>
      <x:c r="F8" s="77"/>
      <x:c r="G8" s="77"/>
      <x:c r="H8" s="77"/>
      <x:c r="I8" s="77"/>
      <x:c r="J8" s="77"/>
    </x:row>
    <x:row r="10">
      <x:c r="A10" s="24" t="str">
        <x:v>2. P1/P2 — перший контакт для пілоту зараз</x:v>
      </x:c>
      <x:c r="B10" s="24"/>
      <x:c r="C10" s="24"/>
      <x:c r="D10" s="24"/>
      <x:c r="E10" s="24"/>
      <x:c r="F10" s="24"/>
      <x:c r="G10" s="24"/>
      <x:c r="H10" s="24"/>
      <x:c r="I10" s="24"/>
      <x:c r="J10" s="24"/>
    </x:row>
    <x:row r="11">
      <x:c r="A11" s="76"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11" s="76"/>
      <x:c r="C11" s="76"/>
      <x:c r="D11" s="76"/>
      <x:c r="E11" s="76"/>
      <x:c r="F11" s="76"/>
      <x:c r="G11" s="76"/>
      <x:c r="H11" s="76"/>
      <x:c r="I11" s="76"/>
      <x:c r="J11" s="76"/>
    </x:row>
    <x:row r="12">
      <x:c r="A12" s="76"/>
      <x:c r="B12" s="76"/>
      <x:c r="C12" s="76"/>
      <x:c r="D12" s="76"/>
      <x:c r="E12" s="76"/>
      <x:c r="F12" s="76"/>
      <x:c r="G12" s="76"/>
      <x:c r="H12" s="76"/>
      <x:c r="I12" s="76"/>
      <x:c r="J12" s="76"/>
    </x:row>
    <x:row r="13">
      <x:c r="A13" s="76"/>
      <x:c r="B13" s="76"/>
      <x:c r="C13" s="76"/>
      <x:c r="D13" s="76"/>
      <x:c r="E13" s="76"/>
      <x:c r="F13" s="76"/>
      <x:c r="G13" s="76"/>
      <x:c r="H13" s="76"/>
      <x:c r="I13" s="76"/>
      <x:c r="J13" s="76"/>
    </x:row>
    <x:row r="14">
      <x:c r="A14" s="77"/>
      <x:c r="B14" s="77"/>
      <x:c r="C14" s="77"/>
      <x:c r="D14" s="77"/>
      <x:c r="E14" s="77"/>
      <x:c r="F14" s="77"/>
      <x:c r="G14" s="77"/>
      <x:c r="H14" s="77"/>
      <x:c r="I14" s="77"/>
      <x:c r="J14" s="77"/>
    </x:row>
    <x:row r="16">
      <x:c r="A16" s="24" t="str">
        <x:v>3. D1/D2 — перший контакт для нової вертикалі</x:v>
      </x:c>
      <x:c r="B16" s="24"/>
      <x:c r="C16" s="24"/>
      <x:c r="D16" s="24"/>
      <x:c r="E16" s="24"/>
      <x:c r="F16" s="24"/>
      <x:c r="G16" s="24"/>
      <x:c r="H16" s="24"/>
      <x:c r="I16" s="24"/>
      <x:c r="J16" s="24"/>
    </x:row>
    <x:row r="17">
      <x:c r="A17" s="76" t="str">
        <x:v>Доброго дня! Побачив у [компанія] роботи з [водоочищення / ВОЛЗ / котелень / SCADA / іншого]. Перевіряємо гіпотезу: найбільше повернень виникає там, де доказ треба зібрати до закриття наступним етапом або до ПНР. Не хочу продавати готову систему без вашого процесу. Чи можете показати один анонімізований пакет приймання або перелік фото/протоколів? За 20 хв скажемо чесно, чи є тут fit.</x:v>
      </x:c>
      <x:c r="B17" s="76"/>
      <x:c r="C17" s="76"/>
      <x:c r="D17" s="76"/>
      <x:c r="E17" s="76"/>
      <x:c r="F17" s="76"/>
      <x:c r="G17" s="76"/>
      <x:c r="H17" s="76"/>
      <x:c r="I17" s="76"/>
      <x:c r="J17" s="76"/>
    </x:row>
    <x:row r="18">
      <x:c r="A18" s="76"/>
      <x:c r="B18" s="76"/>
      <x:c r="C18" s="76"/>
      <x:c r="D18" s="76"/>
      <x:c r="E18" s="76"/>
      <x:c r="F18" s="76"/>
      <x:c r="G18" s="76"/>
      <x:c r="H18" s="76"/>
      <x:c r="I18" s="76"/>
      <x:c r="J18" s="76"/>
    </x:row>
    <x:row r="19">
      <x:c r="A19" s="76"/>
      <x:c r="B19" s="76"/>
      <x:c r="C19" s="76"/>
      <x:c r="D19" s="76"/>
      <x:c r="E19" s="76"/>
      <x:c r="F19" s="76"/>
      <x:c r="G19" s="76"/>
      <x:c r="H19" s="76"/>
      <x:c r="I19" s="76"/>
      <x:c r="J19" s="76"/>
    </x:row>
    <x:row r="20">
      <x:c r="A20" s="77"/>
      <x:c r="B20" s="77"/>
      <x:c r="C20" s="77"/>
      <x:c r="D20" s="77"/>
      <x:c r="E20" s="77"/>
      <x:c r="F20" s="77"/>
      <x:c r="G20" s="77"/>
      <x:c r="H20" s="77"/>
      <x:c r="I20" s="77"/>
      <x:c r="J20" s="77"/>
    </x:row>
    <x:row r="22">
      <x:c r="A22" s="24" t="str">
        <x:v>4. Follow-up для 21 попередньої відправки</x:v>
      </x:c>
      <x:c r="B22" s="24"/>
      <x:c r="C22" s="24"/>
      <x:c r="D22" s="24"/>
      <x:c r="E22" s="24"/>
      <x:c r="F22" s="24"/>
      <x:c r="G22" s="24"/>
      <x:c r="H22" s="24"/>
      <x:c r="I22" s="24"/>
      <x:c r="J22" s="24"/>
    </x:row>
    <x:row r="23">
      <x:c r="A23" s="76"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23" s="76"/>
      <x:c r="C23" s="76"/>
      <x:c r="D23" s="76"/>
      <x:c r="E23" s="76"/>
      <x:c r="F23" s="76"/>
      <x:c r="G23" s="76"/>
      <x:c r="H23" s="76"/>
      <x:c r="I23" s="76"/>
      <x:c r="J23" s="76"/>
    </x:row>
    <x:row r="24">
      <x:c r="A24" s="76"/>
      <x:c r="B24" s="76"/>
      <x:c r="C24" s="76"/>
      <x:c r="D24" s="76"/>
      <x:c r="E24" s="76"/>
      <x:c r="F24" s="76"/>
      <x:c r="G24" s="76"/>
      <x:c r="H24" s="76"/>
      <x:c r="I24" s="76"/>
      <x:c r="J24" s="76"/>
    </x:row>
    <x:row r="25">
      <x:c r="A25" s="76"/>
      <x:c r="B25" s="76"/>
      <x:c r="C25" s="76"/>
      <x:c r="D25" s="76"/>
      <x:c r="E25" s="76"/>
      <x:c r="F25" s="76"/>
      <x:c r="G25" s="76"/>
      <x:c r="H25" s="76"/>
      <x:c r="I25" s="76"/>
      <x:c r="J25" s="76"/>
    </x:row>
    <x:row r="26">
      <x:c r="A26" s="77"/>
      <x:c r="B26" s="77"/>
      <x:c r="C26" s="77"/>
      <x:c r="D26" s="77"/>
      <x:c r="E26" s="77"/>
      <x:c r="F26" s="77"/>
      <x:c r="G26" s="77"/>
      <x:c r="H26" s="77"/>
      <x:c r="I26" s="77"/>
      <x:c r="J26" s="77"/>
    </x:row>
    <x:row r="28">
      <x:c r="A28" s="24" t="str">
        <x:v>5. Безкоштовний пілот після кваліфікації</x:v>
      </x:c>
      <x:c r="B28" s="24"/>
      <x:c r="C28" s="24"/>
      <x:c r="D28" s="24"/>
      <x:c r="E28" s="24"/>
      <x:c r="F28" s="24"/>
      <x:c r="G28" s="24"/>
      <x:c r="H28" s="24"/>
      <x:c r="I28" s="24"/>
      <x:c r="J28" s="24"/>
    </x:row>
    <x:row r="29">
      <x:c r="A29" s="76"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9" s="76"/>
      <x:c r="C29" s="76"/>
      <x:c r="D29" s="76"/>
      <x:c r="E29" s="76"/>
      <x:c r="F29" s="76"/>
      <x:c r="G29" s="76"/>
      <x:c r="H29" s="76"/>
      <x:c r="I29" s="76"/>
      <x:c r="J29" s="76"/>
    </x:row>
    <x:row r="30">
      <x:c r="A30" s="76"/>
      <x:c r="B30" s="76"/>
      <x:c r="C30" s="76"/>
      <x:c r="D30" s="76"/>
      <x:c r="E30" s="76"/>
      <x:c r="F30" s="76"/>
      <x:c r="G30" s="76"/>
      <x:c r="H30" s="76"/>
      <x:c r="I30" s="76"/>
      <x:c r="J30" s="76"/>
    </x:row>
    <x:row r="31">
      <x:c r="A31" s="76"/>
      <x:c r="B31" s="76"/>
      <x:c r="C31" s="76"/>
      <x:c r="D31" s="76"/>
      <x:c r="E31" s="76"/>
      <x:c r="F31" s="76"/>
      <x:c r="G31" s="76"/>
      <x:c r="H31" s="76"/>
      <x:c r="I31" s="76"/>
      <x:c r="J31" s="76"/>
    </x:row>
    <x:row r="32">
      <x:c r="A32" s="77"/>
      <x:c r="B32" s="77"/>
      <x:c r="C32" s="77"/>
      <x:c r="D32" s="77"/>
      <x:c r="E32" s="77"/>
      <x:c r="F32" s="77"/>
      <x:c r="G32" s="77"/>
      <x:c r="H32" s="77"/>
      <x:c r="I32" s="77"/>
      <x:c r="J32" s="77"/>
    </x:row>
    <x:row r="34">
      <x:c r="A34" s="24" t="str">
        <x:v>Правило, яке захищає довіру</x:v>
      </x:c>
      <x:c r="B34" s="24"/>
      <x:c r="C34" s="24"/>
      <x:c r="D34" s="24"/>
      <x:c r="E34" s="24"/>
      <x:c r="F34" s="24"/>
      <x:c r="G34" s="24"/>
      <x:c r="H34" s="24"/>
      <x:c r="I34" s="24"/>
      <x:c r="J34" s="24"/>
    </x:row>
    <x:row r="35">
      <x:c r="A35" s="80"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35" s="80"/>
      <x:c r="C35" s="80"/>
      <x:c r="D35" s="80"/>
      <x:c r="E35" s="80"/>
      <x:c r="F35" s="80"/>
      <x:c r="G35" s="80"/>
      <x:c r="H35" s="80"/>
      <x:c r="I35" s="80"/>
      <x:c r="J35" s="80"/>
    </x:row>
    <x:row r="36">
      <x:c r="A36" s="80"/>
      <x:c r="B36" s="80"/>
      <x:c r="C36" s="80"/>
      <x:c r="D36" s="80"/>
      <x:c r="E36" s="80"/>
      <x:c r="F36" s="80"/>
      <x:c r="G36" s="80"/>
      <x:c r="H36" s="80"/>
      <x:c r="I36" s="80"/>
      <x:c r="J36" s="80"/>
    </x:row>
    <x:row r="37">
      <x:c r="A37" s="80"/>
      <x:c r="B37" s="80"/>
      <x:c r="C37" s="80"/>
      <x:c r="D37" s="80"/>
      <x:c r="E37" s="80"/>
      <x:c r="F37" s="80"/>
      <x:c r="G37" s="80"/>
      <x:c r="H37" s="80"/>
      <x:c r="I37" s="80"/>
      <x:c r="J37" s="80"/>
    </x:row>
  </x:sheetData>
  <x:mergeCells>
    <x:mergeCell ref="A1:J1"/>
    <x:mergeCell ref="A2:J2"/>
    <x:mergeCell ref="A4:J4"/>
    <x:mergeCell ref="A5:J8"/>
    <x:mergeCell ref="A10:J10"/>
    <x:mergeCell ref="A11:J14"/>
    <x:mergeCell ref="A16:J16"/>
    <x:mergeCell ref="A17:J20"/>
    <x:mergeCell ref="A22:J22"/>
    <x:mergeCell ref="A23:J26"/>
    <x:mergeCell ref="A28:J28"/>
    <x:mergeCell ref="A29:J32"/>
    <x:mergeCell ref="A34:J34"/>
    <x:mergeCell ref="A35:J37"/>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v6</x:v>
      </x:c>
      <x:c r="B1" s="3"/>
      <x:c r="C1" s="3"/>
      <x:c r="D1" s="3"/>
      <x:c r="E1" s="3"/>
      <x:c r="F1" s="3"/>
      <x:c r="G1" s="3"/>
      <x:c r="H1" s="3"/>
      <x:c r="I1" s="3"/>
      <x:c r="J1" s="3"/>
    </x:row>
    <x:row r="2" ht="22" customHeight="1">
      <x:c r="A2" s="5" t="str">
        <x:v>1688 унікальних компаній; product-fit і tender-intent оцінюються окремо, щоб проєктна активність не маскувала слабке покриття продукту</x:v>
      </x:c>
      <x:c r="B2" s="5"/>
      <x:c r="C2" s="5"/>
      <x:c r="D2" s="5"/>
      <x:c r="E2" s="5"/>
      <x:c r="F2" s="5"/>
      <x:c r="G2" s="5"/>
      <x:c r="H2" s="5"/>
      <x:c r="I2" s="5"/>
      <x:c r="J2" s="5"/>
    </x:row>
    <x:row r="4">
      <x:c r="A4" s="24" t="str">
        <x:v>Pilot-now score — 0–100</x:v>
      </x:c>
      <x:c r="B4" s="24"/>
      <x:c r="C4" s="24"/>
      <x:c r="D4" s="24"/>
      <x:c r="E4" s="24"/>
      <x:c r="F4" s="24" t="str">
        <x:v>Expansion score — 0–100</x:v>
      </x:c>
      <x:c r="G4" s="24"/>
      <x:c r="H4" s="24"/>
      <x:c r="I4" s="24"/>
      <x:c r="J4" s="24"/>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3" t="str">
        <x:v>Досяжність</x:v>
      </x:c>
      <x:c r="B12" s="53" t="str">
        <x:v>0–5</x:v>
      </x:c>
      <x:c r="C12" s="53" t="str">
        <x:v>×1</x:v>
      </x:c>
      <x:c r="D12" s="53" t="str">
        <x:v>Чи є робочий маршрут до компанії</x:v>
      </x:c>
      <x:c r="E12" s="53" t="str">
        <x:v>Не містить персональних контактів</x:v>
      </x:c>
      <x:c r="F12" s="53" t="str">
        <x:v>Покриття вимог</x:v>
      </x:c>
      <x:c r="G12" s="53" t="str">
        <x:v>—</x:v>
      </x:c>
      <x:c r="H12" s="53" t="str">
        <x:v>не входить</x:v>
      </x:c>
      <x:c r="I12" s="53" t="str">
        <x:v>Окремо, щоб не вбити нові ніші</x:v>
      </x:c>
      <x:c r="J12" s="53" t="str">
        <x:v>Все одно gate перед пілотом</x:v>
      </x:c>
    </x:row>
    <x:row r="14">
      <x:c r="A14" s="24" t="str">
        <x:v>Перевірка джерел і трактування статусів</x:v>
      </x:c>
      <x:c r="B14" s="24"/>
      <x:c r="C14" s="24"/>
      <x:c r="D14" s="24"/>
      <x:c r="E14" s="24"/>
      <x:c r="F14" s="24"/>
      <x:c r="G14" s="24"/>
      <x:c r="H14" s="24"/>
      <x:c r="I14" s="24"/>
      <x:c r="J14" s="24"/>
    </x:row>
    <x:row r="15" ht="34" customHeight="1">
      <x:c r="A15" s="66" t="str">
        <x:v>• 51 попередній лід переперевірено: 46 офіційних сторінок підтвердились прямим запитом; 5 розібрані вручну через браузер і пошуковий індекс.</x:v>
      </x:c>
      <x:c r="B15" s="66"/>
      <x:c r="C15" s="66"/>
      <x:c r="D15" s="66"/>
      <x:c r="E15" s="66"/>
      <x:c r="F15" s="66"/>
      <x:c r="G15" s="66"/>
      <x:c r="H15" s="66"/>
      <x:c r="I15" s="66"/>
      <x:c r="J15" s="66"/>
    </x:row>
    <x:row r="16" ht="34" customHeight="1">
      <x:c r="A16" s="66" t="str">
        <x:v>• 64 компанії в нових вертикалях: 60 підтвердились прямим запитом, 1 — medium, 3 неоднозначні джерела перевірені вручну.</x:v>
      </x:c>
      <x:c r="B16" s="66"/>
      <x:c r="C16" s="66"/>
      <x:c r="D16" s="66"/>
      <x:c r="E16" s="66"/>
      <x:c r="F16" s="66"/>
      <x:c r="G16" s="66"/>
      <x:c r="H16" s="66"/>
      <x:c r="I16" s="66"/>
      <x:c r="J16" s="66"/>
    </x:row>
    <x:row r="17" ht="34" customHeight="1">
      <x:c r="A17" s="66" t="str">
        <x:v>• Wave 4: 36 конфігурацій, 1567 нових тендерів і 553 доданих підрядників після дедуплікації.</x:v>
      </x:c>
      <x:c r="B17" s="66"/>
      <x:c r="C17" s="66"/>
      <x:c r="D17" s="66"/>
      <x:c r="E17" s="66"/>
      <x:c r="F17" s="66"/>
      <x:c r="G17" s="66"/>
      <x:c r="H17" s="66"/>
      <x:c r="I17" s="66"/>
      <x:c r="J17" s="66"/>
    </x:row>
    <x:row r="18" ht="34" customHeight="1">
      <x:c r="A18" s="66" t="str">
        <x:v>• Wave 5: 41 конфігурацій і 246 сторінок; 1434 збігів, 1416 унікальних нових тендерів, 1416 успішних detail-запитів, 0 помилок після retry.</x:v>
      </x:c>
      <x:c r="B18" s="66"/>
      <x:c r="C18" s="66"/>
      <x:c r="D18" s="66"/>
      <x:c r="E18" s="66"/>
      <x:c r="F18" s="66"/>
      <x:c r="G18" s="66"/>
      <x:c r="H18" s="66"/>
      <x:c r="I18" s="66"/>
      <x:c r="J18" s="66"/>
    </x:row>
    <x:row r="19" ht="34" customHeight="1">
      <x:c r="A19" s="66" t="str">
        <x:v>• Із Wave 5 вилучено 513 award-записів технагляду, консультацій, техумов, проєктування, експертизи, землеустрою та обстежень; 703 записів залишено у contractor pool.</x:v>
      </x:c>
      <x:c r="B19" s="66"/>
      <x:c r="C19" s="66"/>
      <x:c r="D19" s="66"/>
      <x:c r="E19" s="66"/>
      <x:c r="F19" s="66"/>
      <x:c r="G19" s="66"/>
      <x:c r="H19" s="66"/>
      <x:c r="I19" s="66"/>
      <x:c r="J19" s="66"/>
    </x:row>
    <x:row r="20" ht="34" customHeight="1">
      <x:c r="A20" s="66" t="str">
        <x:v>• Після видалення 5 службових/редагованих постачальників і дедуплікації: 74 вже були у базі, 320 додано; 4 топ-компанії перевірено у Browser.</x:v>
      </x:c>
      <x:c r="B20" s="66"/>
      <x:c r="C20" s="66"/>
      <x:c r="D20" s="66"/>
      <x:c r="E20" s="66"/>
      <x:c r="F20" s="66"/>
      <x:c r="G20" s="66"/>
      <x:c r="H20" s="66"/>
      <x:c r="I20" s="66"/>
      <x:c r="J20" s="66"/>
    </x:row>
    <x:row r="21" ht="34" customHeight="1">
      <x:c r="A21" s="66" t="str">
        <x:v>• Intent score враховує кількість перемог, опублікований строк виконання та свіжість award. I1/I2 — черговість контакту, а не прогноз купівлі.</x:v>
      </x:c>
      <x:c r="B21" s="66"/>
      <x:c r="C21" s="66"/>
      <x:c r="D21" s="66"/>
      <x:c r="E21" s="66"/>
      <x:c r="F21" s="66"/>
      <x:c r="G21" s="66"/>
      <x:c r="H21" s="66"/>
      <x:c r="I21" s="66"/>
      <x:c r="J21" s="66"/>
    </x:row>
    <x:row r="22" ht="34" customHeight="1">
      <x:c r="A22" s="67" t="str">
        <x:v>• У базі немає персональних контактів. Сума перемог — не TAM; публічна перемога підтверджує проєктну активність та юридичну особу, але не відповідь, біль або інтерес до GoProceed.</x:v>
      </x:c>
      <x:c r="B22" s="67"/>
      <x:c r="C22" s="67"/>
      <x:c r="D22" s="67"/>
      <x:c r="E22" s="67"/>
      <x:c r="F22" s="67"/>
      <x:c r="G22" s="67"/>
      <x:c r="H22" s="67"/>
      <x:c r="I22" s="67"/>
      <x:c r="J22" s="67"/>
    </x:row>
  </x:sheetData>
  <x:mergeCells>
    <x:mergeCell ref="A1:J1"/>
    <x:mergeCell ref="A2:J2"/>
    <x:mergeCell ref="A4:E4"/>
    <x:mergeCell ref="F4:J4"/>
    <x:mergeCell ref="A14:J14"/>
    <x:mergeCell ref="A15:J15"/>
    <x:mergeCell ref="A16:J16"/>
    <x:mergeCell ref="A17:J17"/>
    <x:mergeCell ref="A18:J18"/>
    <x:mergeCell ref="A19:J19"/>
    <x:mergeCell ref="A20:J20"/>
    <x:mergeCell ref="A21:J21"/>
    <x:mergeCell ref="A22:J22"/>
  </x:mergeCells>
  <x:pageMargins left="0.7" right="0.7" top="0.75" bottom="0.75" header="0.3" footer="0.3"/>
</x:worksheet>
</file>