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62425df7234cb6" /></Relationships>
</file>

<file path=xl/workbook.xml><?xml version="1.0" encoding="utf-8"?>
<x:workbook xmlns:x="http://schemas.openxmlformats.org/spreadsheetml/2006/main">
  <x:sheets>
    <x:sheet xmlns:r="http://schemas.openxmlformats.org/officeDocument/2006/relationships" name="Pilot Dashboard" sheetId="1" r:id="R50aa1079cbac43b1"/>
    <x:sheet xmlns:r="http://schemas.openxmlformats.org/officeDocument/2006/relationships" name="Pilot Shortlist" sheetId="2" r:id="R65e45f4f946f4559"/>
    <x:sheet xmlns:r="http://schemas.openxmlformats.org/officeDocument/2006/relationships" name="Funnel Tracker" sheetId="3" r:id="Ra4381b42f3764a27"/>
    <x:sheet xmlns:r="http://schemas.openxmlformats.org/officeDocument/2006/relationships" name="Outreach Batches" sheetId="4" r:id="R929530c84261478a"/>
    <x:sheet xmlns:r="http://schemas.openxmlformats.org/officeDocument/2006/relationships" name="A1-N01 Outreach" sheetId="5" r:id="R5c5c6d32fbe144f5"/>
    <x:sheet xmlns:r="http://schemas.openxmlformats.org/officeDocument/2006/relationships" name="Rules &amp; Sources" sheetId="6" r:id="R6aa7c5c9d9aa4b1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0"/>
    <x:numFmt numFmtId="203" formatCode="yyyy-mm-dd"/>
    <x:numFmt numFmtId="204" formatCode="0.0%"/>
  </x:numFmts>
  <x:fonts count="17">
    <x:font>
      <x:sz val="11"/>
      <x:name val="Carlito"/>
    </x:font>
    <x:font>
      <x:b/>
      <x:sz val="18"/>
      <x:color rgb="FFFFFFFF"/>
      <x:name val="Arial"/>
    </x:font>
    <x:font>
      <x:sz val="10"/>
      <x:color rgb="FF627D98"/>
      <x:name val="Arial"/>
    </x:font>
    <x:font>
      <x:b/>
      <x:sz val="10"/>
      <x:color rgb="FFFFFFFF"/>
      <x:name val="Arial"/>
    </x:font>
    <x:font>
      <x:sz val="9"/>
      <x:color rgb="FF243B53"/>
      <x:name val="Arial"/>
    </x:font>
    <x:font>
      <x:b/>
      <x:sz val="10"/>
      <x:color rgb="FF243B53"/>
      <x:name val="Arial"/>
    </x:font>
    <x:font>
      <x:b/>
      <x:sz val="14"/>
      <x:color rgb="FF2D6CDF"/>
      <x:name val="Arial"/>
    </x:font>
    <x:font>
      <x:b/>
      <x:sz val="10"/>
      <x:color rgb="FF2D6CDF"/>
      <x:name val="Arial"/>
    </x:font>
    <x:font>
      <x:b/>
      <x:sz val="9"/>
      <x:color rgb="FFFFFFFF"/>
      <x:name val="Arial"/>
    </x:font>
    <x:font>
      <x:b/>
      <x:sz val="22"/>
      <x:color rgb="FF102A43"/>
      <x:name val="Arial"/>
    </x:font>
    <x:font>
      <x:b/>
      <x:sz val="22"/>
      <x:color rgb="FF2E9D63"/>
      <x:name val="Arial"/>
    </x:font>
    <x:font>
      <x:b/>
      <x:sz val="22"/>
      <x:color rgb="FFE7A93B"/>
      <x:name val="Arial"/>
    </x:font>
    <x:font>
      <x:b/>
      <x:sz val="22"/>
      <x:color rgb="FF2D6CDF"/>
      <x:name val="Arial"/>
    </x:font>
    <x:font>
      <x:b/>
      <x:sz val="22"/>
      <x:color rgb="FF168C7A"/>
      <x:name val="Arial"/>
    </x:font>
    <x:font>
      <x:b/>
      <x:sz val="11"/>
      <x:color rgb="FFFFFFFF"/>
      <x:name val="Arial"/>
    </x:font>
    <x:font>
      <x:sz val="11"/>
      <x:color rgb="FF243B53"/>
      <x:name val="Arial"/>
    </x:font>
    <x:font>
      <x:sz val="10"/>
      <x:color rgb="FF243B53"/>
      <x:name val="Arial"/>
    </x:font>
  </x:fonts>
  <x:fills count="13">
    <x:fill>
      <x:patternFill patternType="none"/>
    </x:fill>
    <x:fill>
      <x:patternFill patternType="gray125"/>
    </x:fill>
    <x:fill>
      <x:patternFill patternType="solid">
        <x:fgColor rgb="FF102A43"/>
      </x:patternFill>
    </x:fill>
    <x:fill>
      <x:patternFill patternType="solid">
        <x:fgColor rgb="FFF4F7FB"/>
      </x:patternFill>
    </x:fill>
    <x:fill>
      <x:patternFill patternType="solid">
        <x:fgColor rgb="FF2D6CDF"/>
      </x:patternFill>
    </x:fill>
    <x:fill>
      <x:patternFill patternType="solid">
        <x:fgColor rgb="FFFFF5CC"/>
      </x:patternFill>
    </x:fill>
    <x:fill>
      <x:patternFill patternType="solid">
        <x:fgColor rgb="FFFFFFFF"/>
      </x:patternFill>
    </x:fill>
    <x:fill>
      <x:patternFill patternType="solid">
        <x:fgColor rgb="FF2E9D63"/>
      </x:patternFill>
    </x:fill>
    <x:fill>
      <x:patternFill patternType="solid">
        <x:fgColor rgb="FFE7A93B"/>
      </x:patternFill>
    </x:fill>
    <x:fill>
      <x:patternFill patternType="solid">
        <x:fgColor rgb="FF168C7A"/>
      </x:patternFill>
    </x:fill>
    <x:fill>
      <x:patternFill patternType="solid">
        <x:fgColor rgb="FFEAF1FF"/>
      </x:patternFill>
    </x:fill>
    <x:fill>
      <x:patternFill patternType="solid">
        <x:fgColor rgb="FFD64545"/>
      </x:patternFill>
    </x:fill>
    <x:fill>
      <x:patternFill patternType="solid">
        <x:fgColor rgb="FFFDECEC"/>
      </x:patternFill>
    </x:fill>
  </x:fills>
  <x:borders count="20">
    <x:border/>
    <x:border>
      <x:left style="thin">
        <x:color rgb="FF2D6CDF"/>
      </x:left>
      <x:top style="thin">
        <x:color rgb="FF2D6CDF"/>
      </x:top>
      <x:bottom style="thin">
        <x:color rgb="FF2D6CDF"/>
      </x:bottom>
    </x:border>
    <x:border>
      <x:top style="thin">
        <x:color rgb="FF2D6CDF"/>
      </x:top>
      <x:bottom style="thin">
        <x:color rgb="FF2D6CDF"/>
      </x:bottom>
    </x:border>
    <x:border>
      <x:right style="thin">
        <x:color rgb="FF2D6CDF"/>
      </x:right>
      <x:top style="thin">
        <x:color rgb="FF2D6CDF"/>
      </x:top>
      <x:bottom style="thin">
        <x:color rgb="FF2D6CDF"/>
      </x:bottom>
    </x:border>
    <x:border>
      <x:left style="thin">
        <x:color rgb="FFD9E2EC"/>
      </x:left>
      <x:top style="thin">
        <x:color rgb="FFD9E2EC"/>
      </x:top>
    </x:border>
    <x:border>
      <x:right style="thin">
        <x:color rgb="FFD9E2EC"/>
      </x:right>
      <x:top style="thin">
        <x:color rgb="FFD9E2EC"/>
      </x:top>
    </x:border>
    <x:border>
      <x:left style="thin">
        <x:color rgb="FFD9E2EC"/>
      </x:left>
      <x:bottom style="thin">
        <x:color rgb="FFD9E2EC"/>
      </x:bottom>
    </x:border>
    <x:border>
      <x:right style="thin">
        <x:color rgb="FFD9E2EC"/>
      </x:right>
      <x:bottom style="thin">
        <x:color rgb="FFD9E2EC"/>
      </x:bottom>
    </x:border>
    <x:border>
      <x:top style="thin">
        <x:color rgb="FFD9E2EC"/>
      </x:top>
    </x:border>
    <x:border>
      <x:left style="thin">
        <x:color rgb="FFD9E2EC"/>
      </x:left>
    </x:border>
    <x:border>
      <x:right style="thin">
        <x:color rgb="FFD9E2EC"/>
      </x:right>
    </x:border>
    <x:border>
      <x:bottom style="thin">
        <x:color rgb="FFD9E2EC"/>
      </x:bottom>
    </x:border>
    <x:border>
      <x:left style="thin">
        <x:color rgb="FFD64545"/>
      </x:left>
      <x:top style="thin">
        <x:color rgb="FFD64545"/>
      </x:top>
    </x:border>
    <x:border>
      <x:top style="thin">
        <x:color rgb="FFD64545"/>
      </x:top>
    </x:border>
    <x:border>
      <x:right style="thin">
        <x:color rgb="FFD64545"/>
      </x:right>
      <x:top style="thin">
        <x:color rgb="FFD64545"/>
      </x:top>
    </x:border>
    <x:border>
      <x:left style="thin">
        <x:color rgb="FFD64545"/>
      </x:left>
    </x:border>
    <x:border>
      <x:right style="thin">
        <x:color rgb="FFD64545"/>
      </x:right>
    </x:border>
    <x:border>
      <x:left style="thin">
        <x:color rgb="FFD64545"/>
      </x:left>
      <x:bottom style="thin">
        <x:color rgb="FFD64545"/>
      </x:bottom>
    </x:border>
    <x:border>
      <x:bottom style="thin">
        <x:color rgb="FFD64545"/>
      </x:bottom>
    </x:border>
    <x:border>
      <x:right style="thin">
        <x:color rgb="FFD64545"/>
      </x:right>
      <x:bottom style="thin">
        <x:color rgb="FFD64545"/>
      </x:bottom>
    </x:border>
  </x:borders>
  <x:cellStyleXfs count="1">
    <x:xf numFmtId="0" fontId="0" fillId="0" borderId="0"/>
  </x:cellStyleXfs>
  <x:cellXfs count="20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202" fontId="4" fillId="0" borderId="0" xfId="0" applyNumberFormat="1" applyFont="1" applyFill="1" applyBorder="1" applyAlignment="1">
      <x:alignment vertical="top"/>
    </x:xf>
    <x:xf numFmtId="203"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x:xf>
    <x:xf numFmtId="203" fontId="4" fillId="5" borderId="0" xfId="0" applyNumberFormat="1" applyFont="1" applyFill="1" applyBorder="1" applyAlignment="1">
      <x:alignment vertical="top"/>
    </x:xf>
    <x:xf numFmtId="0" fontId="4" fillId="5" borderId="0" xfId="0" applyNumberFormat="1" applyFont="1" applyFill="1" applyBorder="1" applyAlignment="1">
      <x:alignment vertical="top" wrapText="1"/>
    </x:xf>
    <x:xf numFmtId="204" fontId="4" fillId="0" borderId="0" xfId="0" applyNumberFormat="1" applyFont="1" applyFill="1" applyBorder="1" applyAlignment="1">
      <x:alignment vertical="top"/>
    </x:xf>
    <x:xf numFmtId="201" fontId="4" fillId="5" borderId="0" xfId="0" applyNumberFormat="1" applyFont="1" applyFill="1" applyBorder="1" applyAlignment="1">
      <x:alignment vertical="top"/>
    </x:xf>
    <x:xf numFmtId="0" fontId="5" fillId="0" borderId="0" xfId="0" applyNumberFormat="1" applyFont="1" applyFill="1" applyBorder="1" applyAlignment="1">
      <x:alignment vertical="top"/>
    </x:xf>
    <x:xf numFmtId="201" fontId="6" fillId="0" borderId="0" xfId="0" applyNumberFormat="1" applyFont="1" applyFill="1" applyBorder="1" applyAlignment="1">
      <x:alignment vertical="top"/>
    </x:xf>
    <x:xf numFmtId="201" fontId="4" fillId="5"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0" fontId="7" fillId="0" borderId="0" xfId="0" applyNumberFormat="1" applyFont="1" applyFill="1" applyBorder="1" applyAlignment="1">
      <x:alignment vertical="top"/>
    </x:xf>
    <x:xf numFmtId="203" fontId="4" fillId="5" borderId="0"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0" fillId="6" borderId="0" xfId="0" applyNumberFormat="1" applyFont="1" applyFill="1" applyBorder="1"/>
    <x:xf numFmtId="0" fontId="9" fillId="6" borderId="0" xfId="0" applyNumberFormat="1" applyFont="1" applyFill="1" applyBorder="1"/>
    <x:xf numFmtId="0" fontId="9" fillId="6" borderId="4"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7" xfId="0" applyNumberFormat="1" applyFont="1" applyFill="1" applyBorder="1"/>
    <x:xf numFmtId="0" fontId="9" fillId="6" borderId="4" xfId="0" applyNumberFormat="1" applyFont="1" applyFill="1" applyBorder="1" applyAlignment="1">
      <x:alignment horizontal="center"/>
    </x:xf>
    <x:xf numFmtId="0" fontId="9" fillId="6" borderId="5" xfId="0" applyNumberFormat="1" applyFont="1" applyFill="1" applyBorder="1" applyAlignment="1">
      <x:alignment horizontal="center"/>
    </x:xf>
    <x:xf numFmtId="0" fontId="9" fillId="6" borderId="6" xfId="0" applyNumberFormat="1" applyFont="1" applyFill="1" applyBorder="1" applyAlignment="1">
      <x:alignment horizontal="center"/>
    </x:xf>
    <x:xf numFmtId="0" fontId="9" fillId="6" borderId="7" xfId="0" applyNumberFormat="1" applyFont="1" applyFill="1" applyBorder="1" applyAlignment="1">
      <x:alignment horizontal="center"/>
    </x:xf>
    <x:xf numFmtId="0" fontId="9" fillId="6" borderId="4" xfId="0" applyNumberFormat="1" applyFont="1" applyFill="1" applyBorder="1" applyAlignment="1">
      <x:alignment horizontal="center" vertical="center"/>
    </x:xf>
    <x:xf numFmtId="0" fontId="9" fillId="6" borderId="5" xfId="0" applyNumberFormat="1" applyFont="1" applyFill="1" applyBorder="1" applyAlignment="1">
      <x:alignment horizontal="center" vertical="center"/>
    </x:xf>
    <x:xf numFmtId="0" fontId="9" fillId="6" borderId="6" xfId="0" applyNumberFormat="1" applyFont="1" applyFill="1" applyBorder="1" applyAlignment="1">
      <x:alignment horizontal="center" vertical="center"/>
    </x:xf>
    <x:xf numFmtId="0" fontId="9" fillId="6" borderId="7" xfId="0" applyNumberFormat="1" applyFont="1" applyFill="1" applyBorder="1" applyAlignment="1">
      <x:alignment horizontal="center" vertical="center"/>
    </x:xf>
    <x:xf numFmtId="202" fontId="9" fillId="6" borderId="4" xfId="0" applyNumberFormat="1" applyFont="1" applyFill="1" applyBorder="1" applyAlignment="1">
      <x:alignment horizontal="center" vertical="center"/>
    </x:xf>
    <x:xf numFmtId="202" fontId="9" fillId="6" borderId="5" xfId="0" applyNumberFormat="1" applyFont="1" applyFill="1" applyBorder="1" applyAlignment="1">
      <x:alignment horizontal="center" vertical="center"/>
    </x:xf>
    <x:xf numFmtId="202" fontId="9" fillId="6" borderId="6" xfId="0" applyNumberFormat="1" applyFont="1" applyFill="1" applyBorder="1" applyAlignment="1">
      <x:alignment horizontal="center" vertical="center"/>
    </x:xf>
    <x:xf numFmtId="202" fontId="9" fillId="6" borderId="7" xfId="0" applyNumberFormat="1" applyFont="1" applyFill="1" applyBorder="1" applyAlignment="1">
      <x:alignment horizontal="center"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horizontal="center"/>
    </x:xf>
    <x:xf numFmtId="0" fontId="8" fillId="7" borderId="0" xfId="0" applyNumberFormat="1" applyFont="1" applyFill="1" applyBorder="1" applyAlignment="1">
      <x:alignment horizontal="center" vertical="center"/>
    </x:xf>
    <x:xf numFmtId="0" fontId="10" fillId="6" borderId="0" xfId="0" applyNumberFormat="1" applyFont="1" applyFill="1" applyBorder="1"/>
    <x:xf numFmtId="0" fontId="10" fillId="6" borderId="4" xfId="0" applyNumberFormat="1" applyFont="1" applyFill="1" applyBorder="1"/>
    <x:xf numFmtId="0" fontId="10" fillId="6" borderId="5" xfId="0" applyNumberFormat="1" applyFont="1" applyFill="1" applyBorder="1"/>
    <x:xf numFmtId="0" fontId="10" fillId="6" borderId="6" xfId="0" applyNumberFormat="1" applyFont="1" applyFill="1" applyBorder="1"/>
    <x:xf numFmtId="0" fontId="10" fillId="6" borderId="7" xfId="0" applyNumberFormat="1" applyFont="1" applyFill="1" applyBorder="1"/>
    <x:xf numFmtId="0" fontId="10" fillId="6" borderId="4" xfId="0" applyNumberFormat="1" applyFont="1" applyFill="1" applyBorder="1" applyAlignment="1">
      <x:alignment horizontal="center"/>
    </x:xf>
    <x:xf numFmtId="0" fontId="10" fillId="6" borderId="5" xfId="0" applyNumberFormat="1" applyFont="1" applyFill="1" applyBorder="1" applyAlignment="1">
      <x:alignment horizontal="center"/>
    </x:xf>
    <x:xf numFmtId="0" fontId="10" fillId="6" borderId="6" xfId="0" applyNumberFormat="1" applyFont="1" applyFill="1" applyBorder="1" applyAlignment="1">
      <x:alignment horizontal="center"/>
    </x:xf>
    <x:xf numFmtId="0" fontId="10" fillId="6" borderId="7" xfId="0" applyNumberFormat="1" applyFont="1" applyFill="1" applyBorder="1" applyAlignment="1">
      <x:alignment horizontal="center"/>
    </x:xf>
    <x:xf numFmtId="0" fontId="10" fillId="6" borderId="4" xfId="0" applyNumberFormat="1" applyFont="1" applyFill="1" applyBorder="1" applyAlignment="1">
      <x:alignment horizontal="center" vertical="center"/>
    </x:xf>
    <x:xf numFmtId="0" fontId="10" fillId="6" borderId="5" xfId="0" applyNumberFormat="1" applyFont="1" applyFill="1" applyBorder="1" applyAlignment="1">
      <x:alignment horizontal="center" vertical="center"/>
    </x:xf>
    <x:xf numFmtId="0" fontId="10" fillId="6" borderId="6" xfId="0" applyNumberFormat="1" applyFont="1" applyFill="1" applyBorder="1" applyAlignment="1">
      <x:alignment horizontal="center" vertical="center"/>
    </x:xf>
    <x:xf numFmtId="0" fontId="10" fillId="6" borderId="7" xfId="0" applyNumberFormat="1" applyFont="1" applyFill="1" applyBorder="1" applyAlignment="1">
      <x:alignment horizontal="center" vertical="center"/>
    </x:xf>
    <x:xf numFmtId="202" fontId="10" fillId="6" borderId="4" xfId="0" applyNumberFormat="1" applyFont="1" applyFill="1" applyBorder="1" applyAlignment="1">
      <x:alignment horizontal="center" vertical="center"/>
    </x:xf>
    <x:xf numFmtId="202" fontId="10" fillId="6" borderId="5" xfId="0" applyNumberFormat="1" applyFont="1" applyFill="1" applyBorder="1" applyAlignment="1">
      <x:alignment horizontal="center" vertical="center"/>
    </x:xf>
    <x:xf numFmtId="202" fontId="10" fillId="6" borderId="6" xfId="0" applyNumberFormat="1" applyFont="1" applyFill="1" applyBorder="1" applyAlignment="1">
      <x:alignment horizontal="center" vertical="center"/>
    </x:xf>
    <x:xf numFmtId="202" fontId="10" fillId="6" borderId="7" xfId="0" applyNumberFormat="1" applyFont="1" applyFill="1" applyBorder="1" applyAlignment="1">
      <x:alignment horizontal="center" vertic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horizontal="center"/>
    </x:xf>
    <x:xf numFmtId="0" fontId="8" fillId="8" borderId="0" xfId="0" applyNumberFormat="1" applyFont="1" applyFill="1" applyBorder="1" applyAlignment="1">
      <x:alignment horizontal="center" vertical="center"/>
    </x:xf>
    <x:xf numFmtId="0" fontId="11" fillId="6" borderId="0" xfId="0" applyNumberFormat="1" applyFont="1" applyFill="1" applyBorder="1"/>
    <x:xf numFmtId="0" fontId="11" fillId="6" borderId="4" xfId="0" applyNumberFormat="1" applyFont="1" applyFill="1" applyBorder="1"/>
    <x:xf numFmtId="0" fontId="11" fillId="6" borderId="5" xfId="0" applyNumberFormat="1" applyFont="1" applyFill="1" applyBorder="1"/>
    <x:xf numFmtId="0" fontId="11" fillId="6" borderId="6" xfId="0" applyNumberFormat="1" applyFont="1" applyFill="1" applyBorder="1"/>
    <x:xf numFmtId="0" fontId="11" fillId="6" borderId="7" xfId="0" applyNumberFormat="1" applyFont="1" applyFill="1" applyBorder="1"/>
    <x:xf numFmtId="0" fontId="11" fillId="6" borderId="4" xfId="0" applyNumberFormat="1" applyFont="1" applyFill="1" applyBorder="1" applyAlignment="1">
      <x:alignment horizontal="center"/>
    </x:xf>
    <x:xf numFmtId="0" fontId="11" fillId="6" borderId="5" xfId="0" applyNumberFormat="1" applyFont="1" applyFill="1" applyBorder="1" applyAlignment="1">
      <x:alignment horizontal="center"/>
    </x:xf>
    <x:xf numFmtId="0" fontId="11" fillId="6" borderId="6" xfId="0" applyNumberFormat="1" applyFont="1" applyFill="1" applyBorder="1" applyAlignment="1">
      <x:alignment horizontal="center"/>
    </x:xf>
    <x:xf numFmtId="0" fontId="11" fillId="6" borderId="7" xfId="0" applyNumberFormat="1" applyFont="1" applyFill="1" applyBorder="1" applyAlignment="1">
      <x:alignment horizontal="center"/>
    </x:xf>
    <x:xf numFmtId="0" fontId="11" fillId="6" borderId="4" xfId="0" applyNumberFormat="1" applyFont="1" applyFill="1" applyBorder="1" applyAlignment="1">
      <x:alignment horizontal="center" vertical="center"/>
    </x:xf>
    <x:xf numFmtId="0" fontId="11" fillId="6" borderId="5" xfId="0" applyNumberFormat="1" applyFont="1" applyFill="1" applyBorder="1" applyAlignment="1">
      <x:alignment horizontal="center" vertical="center"/>
    </x:xf>
    <x:xf numFmtId="0" fontId="11" fillId="6" borderId="6" xfId="0" applyNumberFormat="1" applyFont="1" applyFill="1" applyBorder="1" applyAlignment="1">
      <x:alignment horizontal="center" vertical="center"/>
    </x:xf>
    <x:xf numFmtId="0" fontId="11" fillId="6" borderId="7" xfId="0" applyNumberFormat="1" applyFont="1" applyFill="1" applyBorder="1" applyAlignment="1">
      <x:alignment horizontal="center" vertical="center"/>
    </x:xf>
    <x:xf numFmtId="202" fontId="11" fillId="6" borderId="4" xfId="0" applyNumberFormat="1" applyFont="1" applyFill="1" applyBorder="1" applyAlignment="1">
      <x:alignment horizontal="center" vertical="center"/>
    </x:xf>
    <x:xf numFmtId="202" fontId="11" fillId="6" borderId="5" xfId="0" applyNumberFormat="1" applyFont="1" applyFill="1" applyBorder="1" applyAlignment="1">
      <x:alignment horizontal="center" vertical="center"/>
    </x:xf>
    <x:xf numFmtId="202" fontId="11" fillId="6" borderId="6" xfId="0" applyNumberFormat="1" applyFont="1" applyFill="1" applyBorder="1" applyAlignment="1">
      <x:alignment horizontal="center" vertical="center"/>
    </x:xf>
    <x:xf numFmtId="202" fontId="11" fillId="6" borderId="7" xfId="0" applyNumberFormat="1" applyFont="1" applyFill="1" applyBorder="1" applyAlignment="1">
      <x:alignment horizontal="center" vertical="center"/>
    </x:xf>
    <x:xf numFmtId="0" fontId="8" fillId="4" borderId="0" xfId="0" applyNumberFormat="1" applyFont="1" applyFill="1" applyBorder="1"/>
    <x:xf numFmtId="0" fontId="8" fillId="4" borderId="0" xfId="0" applyNumberFormat="1" applyFont="1" applyFill="1" applyBorder="1" applyAlignment="1">
      <x:alignment horizontal="center"/>
    </x:xf>
    <x:xf numFmtId="0" fontId="8" fillId="4" borderId="0" xfId="0" applyNumberFormat="1" applyFont="1" applyFill="1" applyBorder="1" applyAlignment="1">
      <x:alignment horizontal="center" vertical="center"/>
    </x:xf>
    <x:xf numFmtId="0" fontId="12" fillId="6" borderId="0" xfId="0" applyNumberFormat="1" applyFont="1" applyFill="1" applyBorder="1"/>
    <x:xf numFmtId="0" fontId="12" fillId="6" borderId="4" xfId="0" applyNumberFormat="1" applyFont="1" applyFill="1" applyBorder="1"/>
    <x:xf numFmtId="0" fontId="12" fillId="6" borderId="5" xfId="0" applyNumberFormat="1" applyFont="1" applyFill="1" applyBorder="1"/>
    <x:xf numFmtId="0" fontId="12" fillId="6" borderId="6" xfId="0" applyNumberFormat="1" applyFont="1" applyFill="1" applyBorder="1"/>
    <x:xf numFmtId="0" fontId="12" fillId="6" borderId="7" xfId="0" applyNumberFormat="1" applyFont="1" applyFill="1" applyBorder="1"/>
    <x:xf numFmtId="0" fontId="12" fillId="6" borderId="4" xfId="0" applyNumberFormat="1" applyFont="1" applyFill="1" applyBorder="1" applyAlignment="1">
      <x:alignment horizontal="center"/>
    </x:xf>
    <x:xf numFmtId="0" fontId="12" fillId="6" borderId="5" xfId="0" applyNumberFormat="1" applyFont="1" applyFill="1" applyBorder="1" applyAlignment="1">
      <x:alignment horizontal="center"/>
    </x:xf>
    <x:xf numFmtId="0" fontId="12" fillId="6" borderId="6" xfId="0" applyNumberFormat="1" applyFont="1" applyFill="1" applyBorder="1" applyAlignment="1">
      <x:alignment horizontal="center"/>
    </x:xf>
    <x:xf numFmtId="0" fontId="12" fillId="6" borderId="7" xfId="0" applyNumberFormat="1" applyFont="1" applyFill="1" applyBorder="1" applyAlignment="1">
      <x:alignment horizontal="center"/>
    </x:xf>
    <x:xf numFmtId="0"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0" fontId="12" fillId="6" borderId="7"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202" fontId="12" fillId="6" borderId="5" xfId="0" applyNumberFormat="1" applyFont="1" applyFill="1" applyBorder="1" applyAlignment="1">
      <x:alignment horizontal="center" vertical="center"/>
    </x:xf>
    <x:xf numFmtId="202" fontId="12" fillId="6" borderId="6" xfId="0" applyNumberFormat="1" applyFont="1" applyFill="1" applyBorder="1" applyAlignment="1">
      <x:alignment horizontal="center" vertical="center"/>
    </x:xf>
    <x:xf numFmtId="202" fontId="12" fillId="6" borderId="7" xfId="0" applyNumberFormat="1" applyFont="1" applyFill="1" applyBorder="1" applyAlignment="1">
      <x:alignment horizontal="center"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horizontal="center"/>
    </x:xf>
    <x:xf numFmtId="0" fontId="8" fillId="9" borderId="0" xfId="0" applyNumberFormat="1" applyFont="1" applyFill="1" applyBorder="1" applyAlignment="1">
      <x:alignment horizontal="center" vertical="center"/>
    </x:xf>
    <x:xf numFmtId="0" fontId="13" fillId="6" borderId="0" xfId="0" applyNumberFormat="1" applyFont="1" applyFill="1" applyBorder="1"/>
    <x:xf numFmtId="0" fontId="13" fillId="6" borderId="4" xfId="0" applyNumberFormat="1" applyFont="1" applyFill="1" applyBorder="1"/>
    <x:xf numFmtId="0" fontId="13" fillId="6" borderId="5" xfId="0" applyNumberFormat="1" applyFont="1" applyFill="1" applyBorder="1"/>
    <x:xf numFmtId="0" fontId="13" fillId="6" borderId="6" xfId="0" applyNumberFormat="1" applyFont="1" applyFill="1" applyBorder="1"/>
    <x:xf numFmtId="0" fontId="13" fillId="6" borderId="7" xfId="0" applyNumberFormat="1" applyFont="1" applyFill="1" applyBorder="1"/>
    <x:xf numFmtId="0" fontId="13" fillId="6" borderId="4" xfId="0" applyNumberFormat="1" applyFont="1" applyFill="1" applyBorder="1" applyAlignment="1">
      <x:alignment horizontal="center"/>
    </x:xf>
    <x:xf numFmtId="0" fontId="13" fillId="6" borderId="5" xfId="0" applyNumberFormat="1" applyFont="1" applyFill="1" applyBorder="1" applyAlignment="1">
      <x:alignment horizontal="center"/>
    </x:xf>
    <x:xf numFmtId="0" fontId="13" fillId="6" borderId="6" xfId="0" applyNumberFormat="1" applyFont="1" applyFill="1" applyBorder="1" applyAlignment="1">
      <x:alignment horizontal="center"/>
    </x:xf>
    <x:xf numFmtId="0" fontId="13" fillId="6" borderId="7" xfId="0" applyNumberFormat="1" applyFont="1" applyFill="1" applyBorder="1" applyAlignment="1">
      <x:alignment horizontal="center"/>
    </x:xf>
    <x:xf numFmtId="0" fontId="13" fillId="6" borderId="4" xfId="0" applyNumberFormat="1" applyFont="1" applyFill="1" applyBorder="1" applyAlignment="1">
      <x:alignment horizontal="center" vertical="center"/>
    </x:xf>
    <x:xf numFmtId="0" fontId="13" fillId="6" borderId="5" xfId="0" applyNumberFormat="1" applyFont="1" applyFill="1" applyBorder="1" applyAlignment="1">
      <x:alignment horizontal="center" vertical="center"/>
    </x:xf>
    <x:xf numFmtId="0" fontId="13" fillId="6" borderId="6" xfId="0" applyNumberFormat="1" applyFont="1" applyFill="1" applyBorder="1" applyAlignment="1">
      <x:alignment horizontal="center" vertical="center"/>
    </x:xf>
    <x:xf numFmtId="0" fontId="13" fillId="6" borderId="7" xfId="0" applyNumberFormat="1" applyFont="1" applyFill="1" applyBorder="1" applyAlignment="1">
      <x:alignment horizontal="center" vertical="center"/>
    </x:xf>
    <x:xf numFmtId="202" fontId="13" fillId="6" borderId="4" xfId="0" applyNumberFormat="1" applyFont="1" applyFill="1" applyBorder="1" applyAlignment="1">
      <x:alignment horizontal="center" vertical="center"/>
    </x:xf>
    <x:xf numFmtId="202" fontId="13" fillId="6" borderId="5" xfId="0" applyNumberFormat="1" applyFont="1" applyFill="1" applyBorder="1" applyAlignment="1">
      <x:alignment horizontal="center" vertical="center"/>
    </x:xf>
    <x:xf numFmtId="202" fontId="13" fillId="6" borderId="6" xfId="0" applyNumberFormat="1" applyFont="1" applyFill="1" applyBorder="1" applyAlignment="1">
      <x:alignment horizontal="center" vertical="center"/>
    </x:xf>
    <x:xf numFmtId="202" fontId="13" fillId="6" borderId="7" xfId="0" applyNumberFormat="1" applyFont="1" applyFill="1" applyBorder="1" applyAlignment="1">
      <x:alignment horizontal="center" vertical="center"/>
    </x:xf>
    <x:xf numFmtId="0" fontId="14" fillId="2" borderId="0" xfId="0" applyNumberFormat="1" applyFont="1" applyFill="1" applyBorder="1"/>
    <x:xf numFmtId="0" fontId="14" fillId="2" borderId="0" xfId="0" applyNumberFormat="1" applyFont="1" applyFill="1" applyBorder="1" applyAlignment="1">
      <x:alignment vertical="center"/>
    </x:xf>
    <x:xf numFmtId="0" fontId="0" fillId="10" borderId="0" xfId="0" applyNumberFormat="1" applyFont="1" applyFill="1" applyBorder="1"/>
    <x:xf numFmtId="0" fontId="15" fillId="10" borderId="0" xfId="0" applyNumberFormat="1" applyFont="1" applyFill="1" applyBorder="1"/>
    <x:xf numFmtId="0" fontId="15" fillId="10" borderId="4" xfId="0" applyNumberFormat="1" applyFont="1" applyFill="1" applyBorder="1"/>
    <x:xf numFmtId="0" fontId="15" fillId="10" borderId="8" xfId="0" applyNumberFormat="1" applyFont="1" applyFill="1" applyBorder="1"/>
    <x:xf numFmtId="0" fontId="15" fillId="10" borderId="5" xfId="0" applyNumberFormat="1" applyFont="1" applyFill="1" applyBorder="1"/>
    <x:xf numFmtId="0" fontId="15" fillId="10" borderId="9" xfId="0" applyNumberFormat="1" applyFont="1" applyFill="1" applyBorder="1"/>
    <x:xf numFmtId="0" fontId="15" fillId="10" borderId="10" xfId="0" applyNumberFormat="1" applyFont="1" applyFill="1" applyBorder="1"/>
    <x:xf numFmtId="0" fontId="15" fillId="10" borderId="6" xfId="0" applyNumberFormat="1" applyFont="1" applyFill="1" applyBorder="1"/>
    <x:xf numFmtId="0" fontId="15" fillId="10" borderId="11" xfId="0" applyNumberFormat="1" applyFont="1" applyFill="1" applyBorder="1"/>
    <x:xf numFmtId="0" fontId="15" fillId="10" borderId="7" xfId="0" applyNumberFormat="1" applyFont="1" applyFill="1" applyBorder="1"/>
    <x:xf numFmtId="0" fontId="15" fillId="10" borderId="4" xfId="0" applyNumberFormat="1" applyFont="1" applyFill="1" applyBorder="1" applyAlignment="1">
      <x:alignment wrapText="1"/>
    </x:xf>
    <x:xf numFmtId="0" fontId="15" fillId="10" borderId="8" xfId="0" applyNumberFormat="1" applyFont="1" applyFill="1" applyBorder="1" applyAlignment="1">
      <x:alignment wrapText="1"/>
    </x:xf>
    <x:xf numFmtId="0" fontId="15" fillId="10" borderId="5" xfId="0" applyNumberFormat="1" applyFont="1" applyFill="1" applyBorder="1" applyAlignment="1">
      <x:alignment wrapText="1"/>
    </x:xf>
    <x:xf numFmtId="0" fontId="15" fillId="10" borderId="9" xfId="0" applyNumberFormat="1" applyFont="1" applyFill="1" applyBorder="1" applyAlignment="1">
      <x:alignment wrapText="1"/>
    </x:xf>
    <x:xf numFmtId="0" fontId="15" fillId="10" borderId="0" xfId="0" applyNumberFormat="1" applyFont="1" applyFill="1" applyBorder="1" applyAlignment="1">
      <x:alignment wrapText="1"/>
    </x:xf>
    <x:xf numFmtId="0" fontId="15" fillId="10" borderId="10" xfId="0" applyNumberFormat="1" applyFont="1" applyFill="1" applyBorder="1" applyAlignment="1">
      <x:alignment wrapText="1"/>
    </x:xf>
    <x:xf numFmtId="0" fontId="15" fillId="10" borderId="6" xfId="0" applyNumberFormat="1" applyFont="1" applyFill="1" applyBorder="1" applyAlignment="1">
      <x:alignment wrapText="1"/>
    </x:xf>
    <x:xf numFmtId="0" fontId="15" fillId="10" borderId="11" xfId="0" applyNumberFormat="1" applyFont="1" applyFill="1" applyBorder="1" applyAlignment="1">
      <x:alignment wrapText="1"/>
    </x:xf>
    <x:xf numFmtId="0" fontId="15" fillId="10" borderId="7" xfId="0" applyNumberFormat="1" applyFont="1" applyFill="1" applyBorder="1" applyAlignment="1">
      <x:alignment wrapText="1"/>
    </x:xf>
    <x:xf numFmtId="0" fontId="15" fillId="10" borderId="4" xfId="0" applyNumberFormat="1" applyFont="1" applyFill="1" applyBorder="1" applyAlignment="1">
      <x:alignment vertical="center" wrapText="1"/>
    </x:xf>
    <x:xf numFmtId="0" fontId="15" fillId="10" borderId="8" xfId="0" applyNumberFormat="1" applyFont="1" applyFill="1" applyBorder="1" applyAlignment="1">
      <x:alignment vertical="center" wrapText="1"/>
    </x:xf>
    <x:xf numFmtId="0" fontId="15" fillId="10" borderId="5" xfId="0" applyNumberFormat="1" applyFont="1" applyFill="1" applyBorder="1" applyAlignment="1">
      <x:alignment vertical="center" wrapText="1"/>
    </x:xf>
    <x:xf numFmtId="0" fontId="15" fillId="10" borderId="9" xfId="0" applyNumberFormat="1" applyFont="1" applyFill="1" applyBorder="1" applyAlignment="1">
      <x:alignment vertical="center" wrapText="1"/>
    </x:xf>
    <x:xf numFmtId="0" fontId="15" fillId="10" borderId="0" xfId="0" applyNumberFormat="1" applyFont="1" applyFill="1" applyBorder="1" applyAlignment="1">
      <x:alignment vertical="center" wrapText="1"/>
    </x:xf>
    <x:xf numFmtId="0" fontId="15" fillId="10" borderId="10" xfId="0" applyNumberFormat="1" applyFont="1" applyFill="1" applyBorder="1" applyAlignment="1">
      <x:alignment vertical="center" wrapText="1"/>
    </x:xf>
    <x:xf numFmtId="0" fontId="15" fillId="10" borderId="6" xfId="0" applyNumberFormat="1" applyFont="1" applyFill="1" applyBorder="1" applyAlignment="1">
      <x:alignment vertical="center" wrapText="1"/>
    </x:xf>
    <x:xf numFmtId="0" fontId="15" fillId="10" borderId="11" xfId="0" applyNumberFormat="1" applyFont="1" applyFill="1" applyBorder="1" applyAlignment="1">
      <x:alignment vertical="center" wrapText="1"/>
    </x:xf>
    <x:xf numFmtId="0" fontId="15" fillId="10" borderId="7" xfId="0" applyNumberFormat="1" applyFont="1" applyFill="1" applyBorder="1" applyAlignment="1">
      <x:alignment vertical="center"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0" fillId="12" borderId="0" xfId="0" applyNumberFormat="1" applyFont="1" applyFill="1" applyBorder="1"/>
    <x:xf numFmtId="0" fontId="16" fillId="12" borderId="0" xfId="0" applyNumberFormat="1" applyFont="1" applyFill="1" applyBorder="1"/>
    <x:xf numFmtId="0" fontId="16" fillId="12" borderId="12" xfId="0" applyNumberFormat="1" applyFont="1" applyFill="1" applyBorder="1"/>
    <x:xf numFmtId="0" fontId="16" fillId="12" borderId="13" xfId="0" applyNumberFormat="1" applyFont="1" applyFill="1" applyBorder="1"/>
    <x:xf numFmtId="0" fontId="16" fillId="12" borderId="14" xfId="0" applyNumberFormat="1" applyFont="1" applyFill="1" applyBorder="1"/>
    <x:xf numFmtId="0" fontId="16" fillId="12" borderId="15" xfId="0" applyNumberFormat="1" applyFont="1" applyFill="1" applyBorder="1"/>
    <x:xf numFmtId="0" fontId="16" fillId="12" borderId="16" xfId="0" applyNumberFormat="1" applyFont="1" applyFill="1" applyBorder="1"/>
    <x:xf numFmtId="0" fontId="16" fillId="12" borderId="17" xfId="0" applyNumberFormat="1" applyFont="1" applyFill="1" applyBorder="1"/>
    <x:xf numFmtId="0" fontId="16" fillId="12" borderId="18" xfId="0" applyNumberFormat="1" applyFont="1" applyFill="1" applyBorder="1"/>
    <x:xf numFmtId="0" fontId="16" fillId="12" borderId="19" xfId="0" applyNumberFormat="1" applyFont="1" applyFill="1" applyBorder="1"/>
    <x:xf numFmtId="0" fontId="16" fillId="12" borderId="12" xfId="0" applyNumberFormat="1" applyFont="1" applyFill="1" applyBorder="1" applyAlignment="1">
      <x:alignment wrapText="1"/>
    </x:xf>
    <x:xf numFmtId="0" fontId="16" fillId="12" borderId="13" xfId="0" applyNumberFormat="1" applyFont="1" applyFill="1" applyBorder="1" applyAlignment="1">
      <x:alignment wrapText="1"/>
    </x:xf>
    <x:xf numFmtId="0" fontId="16" fillId="12" borderId="14" xfId="0" applyNumberFormat="1" applyFont="1" applyFill="1" applyBorder="1" applyAlignment="1">
      <x:alignment wrapText="1"/>
    </x:xf>
    <x:xf numFmtId="0" fontId="16" fillId="12" borderId="15" xfId="0" applyNumberFormat="1" applyFont="1" applyFill="1" applyBorder="1" applyAlignment="1">
      <x:alignment wrapText="1"/>
    </x:xf>
    <x:xf numFmtId="0" fontId="16" fillId="12" borderId="0" xfId="0" applyNumberFormat="1" applyFont="1" applyFill="1" applyBorder="1" applyAlignment="1">
      <x:alignment wrapText="1"/>
    </x:xf>
    <x:xf numFmtId="0" fontId="16" fillId="12" borderId="16" xfId="0" applyNumberFormat="1" applyFont="1" applyFill="1" applyBorder="1" applyAlignment="1">
      <x:alignment wrapText="1"/>
    </x:xf>
    <x:xf numFmtId="0" fontId="16" fillId="12" borderId="17" xfId="0" applyNumberFormat="1" applyFont="1" applyFill="1" applyBorder="1" applyAlignment="1">
      <x:alignment wrapText="1"/>
    </x:xf>
    <x:xf numFmtId="0" fontId="16" fillId="12" borderId="18" xfId="0" applyNumberFormat="1" applyFont="1" applyFill="1" applyBorder="1" applyAlignment="1">
      <x:alignment wrapText="1"/>
    </x:xf>
    <x:xf numFmtId="0" fontId="16" fillId="12" borderId="19" xfId="0" applyNumberFormat="1" applyFont="1" applyFill="1" applyBorder="1" applyAlignment="1">
      <x:alignment wrapText="1"/>
    </x:xf>
    <x:xf numFmtId="0" fontId="16" fillId="12" borderId="12" xfId="0" applyNumberFormat="1" applyFont="1" applyFill="1" applyBorder="1" applyAlignment="1">
      <x:alignment vertical="center" wrapText="1"/>
    </x:xf>
    <x:xf numFmtId="0" fontId="16" fillId="12" borderId="13" xfId="0" applyNumberFormat="1" applyFont="1" applyFill="1" applyBorder="1" applyAlignment="1">
      <x:alignment vertical="center" wrapText="1"/>
    </x:xf>
    <x:xf numFmtId="0" fontId="16" fillId="12" borderId="14" xfId="0" applyNumberFormat="1" applyFont="1" applyFill="1" applyBorder="1" applyAlignment="1">
      <x:alignment vertical="center" wrapText="1"/>
    </x:xf>
    <x:xf numFmtId="0" fontId="16" fillId="12" borderId="15" xfId="0" applyNumberFormat="1" applyFont="1" applyFill="1" applyBorder="1" applyAlignment="1">
      <x:alignment vertical="center" wrapText="1"/>
    </x:xf>
    <x:xf numFmtId="0" fontId="16" fillId="12" borderId="0" xfId="0" applyNumberFormat="1" applyFont="1" applyFill="1" applyBorder="1" applyAlignment="1">
      <x:alignment vertical="center" wrapText="1"/>
    </x:xf>
    <x:xf numFmtId="0" fontId="16" fillId="12" borderId="16" xfId="0" applyNumberFormat="1" applyFont="1" applyFill="1" applyBorder="1" applyAlignment="1">
      <x:alignment vertical="center" wrapText="1"/>
    </x:xf>
    <x:xf numFmtId="0" fontId="16" fillId="12" borderId="17" xfId="0" applyNumberFormat="1" applyFont="1" applyFill="1" applyBorder="1" applyAlignment="1">
      <x:alignment vertical="center" wrapText="1"/>
    </x:xf>
    <x:xf numFmtId="0" fontId="16" fillId="12" borderId="18" xfId="0" applyNumberFormat="1" applyFont="1" applyFill="1" applyBorder="1" applyAlignment="1">
      <x:alignment vertical="center" wrapText="1"/>
    </x:xf>
    <x:xf numFmtId="0" fontId="16" fillId="12" borderId="19" xfId="0" applyNumberFormat="1" applyFont="1" applyFill="1" applyBorder="1" applyAlignment="1">
      <x:alignment vertical="center" wrapText="1"/>
    </x:xf>
  </x:cellXfs>
  <x:cellStyles count="1">
    <x:cellStyle name="Normal" xfId="0"/>
  </x:cellStyles>
  <x:dxfs count="12">
    <x:dxf>
      <x:font>
        <x:b/>
        <x:color rgb="FF2E9D63"/>
      </x:font>
      <x:fill>
        <x:patternFill patternType="solid">
          <x:bgColor rgb="FFE5F5EC"/>
        </x:patternFill>
      </x:fill>
    </x:dxf>
    <x:dxf>
      <x:font>
        <x:b/>
        <x:color rgb="FF8A5A00"/>
      </x:font>
      <x:fill>
        <x:patternFill patternType="solid">
          <x:bgColor rgb="FFFFF4DE"/>
        </x:patternFill>
      </x:fill>
    </x:dxf>
    <x:dxf>
      <x:font>
        <x:b/>
        <x:color rgb="FF2D6CDF"/>
      </x:font>
      <x:fill>
        <x:patternFill patternType="solid">
          <x:bgColor rgb="FFEAF1FF"/>
        </x:patternFill>
      </x:fill>
    </x:dxf>
    <x:dxf>
      <x:font>
        <x:b/>
        <x:color rgb="FF2E9D63"/>
      </x:font>
      <x:fill>
        <x:patternFill patternType="solid">
          <x:bgColor rgb="FFE5F5EC"/>
        </x:patternFill>
      </x:fill>
    </x:dxf>
    <x:dxf>
      <x:font>
        <x:b/>
        <x:color rgb="FFFFFFFF"/>
      </x:font>
      <x:fill>
        <x:patternFill patternType="solid">
          <x:bgColor rgb="FF2E9D63"/>
        </x:patternFill>
      </x:fill>
    </x:dxf>
    <x:dxf>
      <x:font>
        <x:b/>
        <x:color rgb="FF2E9D63"/>
      </x:font>
      <x:fill>
        <x:patternFill patternType="solid">
          <x:bgColor rgb="FFE5F5EC"/>
        </x:patternFill>
      </x:fill>
    </x:dxf>
    <x:dxf>
      <x:font>
        <x:b/>
        <x:color rgb="FF2D6CDF"/>
      </x:font>
      <x:fill>
        <x:patternFill patternType="solid">
          <x:bgColor rgb="FFEAF1FF"/>
        </x:patternFill>
      </x:fill>
    </x:dxf>
    <x:dxf>
      <x:font>
        <x:b/>
        <x:color rgb="FF8A5A00"/>
      </x:font>
      <x:fill>
        <x:patternFill patternType="solid">
          <x:bgColor rgb="FFFFF4DE"/>
        </x:patternFill>
      </x:fill>
    </x:dxf>
    <x:dxf>
      <x:font>
        <x:b/>
        <x:color rgb="FF2E9D63"/>
      </x:font>
      <x:fill>
        <x:patternFill patternType="solid">
          <x:bgColor rgb="FFE5F5EC"/>
        </x:patternFill>
      </x:fill>
    </x:dxf>
    <x:dxf>
      <x:font>
        <x:b/>
        <x:color rgb="FFD64545"/>
      </x:font>
      <x:fill>
        <x:patternFill patternType="solid">
          <x:bgColor rgb="FFFDECEC"/>
        </x:patternFill>
      </x:fill>
    </x:dxf>
    <x:dxf>
      <x:font>
        <x:b/>
        <x:color rgb="FF2E9D63"/>
      </x:font>
      <x:fill>
        <x:patternFill patternType="solid">
          <x:bgColor rgb="FFE5F5EC"/>
        </x:patternFill>
      </x:fill>
    </x:dxf>
    <x:dxf>
      <x:font>
        <x:b/>
        <x:color rgb="FFFFFFFF"/>
      </x:font>
      <x:fill>
        <x:patternFill patternType="solid">
          <x:bgColor rgb="FF2E9D6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8d91c4c95646fb" /><Relationship Type="http://schemas.openxmlformats.org/officeDocument/2006/relationships/theme" Target="/xl/theme/theme1.xml" Id="Rcfafaab9c3c8489d" /><Relationship Type="http://schemas.openxmlformats.org/officeDocument/2006/relationships/sharedStrings" Target="/xl/sharedStrings.xml" Id="Rd8050cb4aa064fc0" /><Relationship Type="http://schemas.openxmlformats.org/officeDocument/2006/relationships/worksheet" Target="/xl/worksheets/sheet1.xml" Id="R50aa1079cbac43b1" /><Relationship Type="http://schemas.openxmlformats.org/officeDocument/2006/relationships/worksheet" Target="/xl/worksheets/sheet2.xml" Id="R65e45f4f946f4559" /><Relationship Type="http://schemas.openxmlformats.org/officeDocument/2006/relationships/worksheet" Target="/xl/worksheets/sheet3.xml" Id="Ra4381b42f3764a27" /><Relationship Type="http://schemas.openxmlformats.org/officeDocument/2006/relationships/worksheet" Target="/xl/worksheets/sheet4.xml" Id="R929530c84261478a" /><Relationship Type="http://schemas.openxmlformats.org/officeDocument/2006/relationships/worksheet" Target="/xl/worksheets/sheet5.xml" Id="R5c5c6d32fbe144f5" /><Relationship Type="http://schemas.openxmlformats.org/officeDocument/2006/relationships/worksheet" Target="/xl/worksheets/sheet6.xml" Id="R6aa7c5c9d9aa4b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01994c614daf42f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A1 pilot funnel (accounts)</a:t>
            </a:r>
          </a:p>
        </c:rich>
      </c:tx>
      <c:overlay val="0"/>
    </c:title>
    <c:plotArea>
      <c:barChart>
        <c:barDir val="col"/>
        <c:varyColors val="0"/>
        <c:ser>
          <c:idx val="0"/>
          <c:order val="0"/>
          <c:tx>
            <c:v>Actual</c:v>
          </c:tx>
          <c:cat>
            <c:strRef>
              <c:f>'Pilot Dashboard'!$J$15:$J$21</c:f>
              <c:strCache>
                <c:ptCount val="0"/>
              </c:strCache>
            </c:strRef>
          </c:cat>
          <c:val>
            <c:numRef>
              <c:f>'Pilot Dashboard'!$K$15:$K$21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13</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994c614daf42f9"/>
        </a:graphicData>
      </a:graphic>
    </xdr:graphicFrame>
    <xdr:clientData/>
  </xdr:twoCellAnchor>
</xdr:wsDr>
</file>

<file path=xl/tables/table1.xml><?xml version="1.0" encoding="utf-8"?>
<x:table xmlns:x="http://schemas.openxmlformats.org/spreadsheetml/2006/main" id="1" name="PilotShortlistTable" displayName="PilotShortlistTable" ref="A4:AE107" headerRowCount="1" totalsRowCount="0" totalsRowShown="0">
  <x:tableColumns count="31">
    <x:tableColumn id="1" name="#"/>
    <x:tableColumn id="2" name="Group"/>
    <x:tableColumn id="3" name="Queue"/>
    <x:tableColumn id="4" name="Batch"/>
    <x:tableColumn id="5" name="Readiness"/>
    <x:tableColumn id="6" name="Company"/>
    <x:tableColumn id="7" name="EDRPOU"/>
    <x:tableColumn id="8" name="Segment"/>
    <x:tableColumn id="9" name="Fit group"/>
    <x:tableColumn id="10" name="Intent"/>
    <x:tableColumn id="11" name="Live projects"/>
    <x:tableColumn id="12" name="Award value (UAH)"/>
    <x:tableColumn id="13" name="Latest award"/>
    <x:tableColumn id="14" name="Delivery end"/>
    <x:tableColumn id="15" name="Contact route"/>
    <x:tableColumn id="16" name="Browser status"/>
    <x:tableColumn id="17" name="Browser evidence"/>
    <x:tableColumn id="18" name="Original contact"/>
    <x:tableColumn id="19" name="Funnel status"/>
    <x:tableColumn id="20" name="Interest"/>
    <x:tableColumn id="21" name="Artifact"/>
    <x:tableColumn id="22" name="Pilot agreed"/>
    <x:tableColumn id="23" name="Pilot start"/>
    <x:tableColumn id="24" name="Owner"/>
    <x:tableColumn id="25" name="Next step"/>
    <x:tableColumn id="26" name="Tender ID"/>
    <x:tableColumn id="27" name="Tender title"/>
    <x:tableColumn id="28" name="Tender URL"/>
    <x:tableColumn id="29" name="Company URL"/>
    <x:tableColumn id="30" name="Agreement evidence"/>
    <x:tableColumn id="31" name="Notes"/>
  </x:tableColumns>
  <x:tableStyleInfo name="TableStyleMedium2" showFirstColumn="0" showLastColumn="0" showRowStripes="1" showColumnStripes="0"/>
</x:table>
</file>

<file path=xl/tables/table2.xml><?xml version="1.0" encoding="utf-8"?>
<x:table xmlns:x="http://schemas.openxmlformats.org/spreadsheetml/2006/main" id="2" name="PilotFunnelTable" displayName="PilotFunnelTable" ref="A4:H11" headerRowCount="1" totalsRowCount="0" totalsRowShown="0">
  <x:tableColumns count="8">
    <x:tableColumn id="1" name="Stage"/>
    <x:tableColumn id="2" name="Actual"/>
    <x:tableColumn id="3" name="Step conversion"/>
    <x:tableColumn id="4" name="Definition"/>
    <x:tableColumn id="5" name="Required proof"/>
    <x:tableColumn id="6" name="Working target"/>
    <x:tableColumn id="7" name="Gap"/>
    <x:tableColumn id="8" name="Notes"/>
  </x:tableColumns>
  <x:tableStyleInfo name="TableStyleMedium2" showFirstColumn="0" showLastColumn="0" showRowStripes="1" showColumnStripes="0"/>
</x:table>
</file>

<file path=xl/tables/table3.xml><?xml version="1.0" encoding="utf-8"?>
<x:table xmlns:x="http://schemas.openxmlformats.org/spreadsheetml/2006/main" id="3" name="OutreachBatchesTable" displayName="OutreachBatchesTable" ref="A4:M16" headerRowCount="1" totalsRowCount="0" totalsRowShown="0">
  <x:tableColumns count="13">
    <x:tableColumn id="1" name="Batch"/>
    <x:tableColumn id="2" name="Group"/>
    <x:tableColumn id="3" name="Queue"/>
    <x:tableColumn id="4" name="Candidates"/>
    <x:tableColumn id="5" name="Invited"/>
    <x:tableColumn id="6" name="Interested"/>
    <x:tableColumn id="7" name="Artifact"/>
    <x:tableColumn id="8" name="Discovery"/>
    <x:tableColumn id="9" name="Agreed"/>
    <x:tableColumn id="10" name="Reply rate"/>
    <x:tableColumn id="11" name="Agreement rate"/>
    <x:tableColumn id="12" name="Release rule"/>
    <x:tableColumn id="13" name="First companies"/>
  </x:tableColumns>
  <x:tableStyleInfo name="TableStyleMedium2" showFirstColumn="0" showLastColumn="0" showRowStripes="1" showColumnStripes="0"/>
</x:table>
</file>

<file path=xl/tables/table4.xml><?xml version="1.0" encoding="utf-8"?>
<x:table xmlns:x="http://schemas.openxmlformats.org/spreadsheetml/2006/main" id="4" name="A1N01OutreachTable" displayName="A1N01OutreachTable" ref="A4:T14" headerRowCount="1" totalsRowCount="0" totalsRowShown="0">
  <x:tableColumns count="20">
    <x:tableColumn id="1" name="#"/>
    <x:tableColumn id="2" name="Company"/>
    <x:tableColumn id="3" name="EDRPOU"/>
    <x:tableColumn id="4" name="Segment"/>
    <x:tableColumn id="5" name="Score"/>
    <x:tableColumn id="6" name="Channel"/>
    <x:tableColumn id="7" name="Corporate route"/>
    <x:tableColumn id="8" name="Route quality"/>
    <x:tableColumn id="9" name="Route source"/>
    <x:tableColumn id="10" name="Tender signal"/>
    <x:tableColumn id="11" name="Tender URL"/>
    <x:tableColumn id="12" name="Recipient role"/>
    <x:tableColumn id="13" name="Subject"/>
    <x:tableColumn id="14" name="First touch"/>
    <x:tableColumn id="15" name="Follow-up"/>
    <x:tableColumn id="16" name="Send gate"/>
    <x:tableColumn id="17" name="Funnel status"/>
    <x:tableColumn id="18" name="Sent at"/>
    <x:tableColumn id="19" name="Reply summary"/>
    <x:tableColumn id="20" name="Agreement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c1f71b4030847e8" /></Relationships>
</file>

<file path=xl/worksheets/_rels/sheet2.xml.rels>&#65279;<?xml version="1.0" encoding="utf-8"?><Relationships xmlns="http://schemas.openxmlformats.org/package/2006/relationships"><Relationship Type="http://schemas.openxmlformats.org/officeDocument/2006/relationships/table" Target="/xl/tables/table1.xml" Id="R305fe2a8ece3468b" /></Relationships>
</file>

<file path=xl/worksheets/_rels/sheet3.xml.rels>&#65279;<?xml version="1.0" encoding="utf-8"?><Relationships xmlns="http://schemas.openxmlformats.org/package/2006/relationships"><Relationship Type="http://schemas.openxmlformats.org/officeDocument/2006/relationships/table" Target="/xl/tables/table2.xml" Id="R55d4f742b2df4d3f" /></Relationships>
</file>

<file path=xl/worksheets/_rels/sheet4.xml.rels>&#65279;<?xml version="1.0" encoding="utf-8"?><Relationships xmlns="http://schemas.openxmlformats.org/package/2006/relationships"><Relationship Type="http://schemas.openxmlformats.org/officeDocument/2006/relationships/table" Target="/xl/tables/table3.xml" Id="Rf4bfe61068424a39" /></Relationships>
</file>

<file path=xl/worksheets/_rels/sheet5.xml.rels>&#65279;<?xml version="1.0" encoding="utf-8"?><Relationships xmlns="http://schemas.openxmlformats.org/package/2006/relationships"><Relationship Type="http://schemas.openxmlformats.org/officeDocument/2006/relationships/table" Target="/xl/tables/table4.xml" Id="R96495a2b72524500"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20" hidden="0" customWidth="1"/>
    <x:col min="11" max="11" width="13" hidden="0" customWidth="1"/>
    <x:col min="12" max="12" width="13" hidden="0" customWidth="1"/>
    <x:col min="13" max="13" width="18" hidden="0" customWidth="1"/>
    <x:col min="14" max="14" width="13" hidden="0" customWidth="1"/>
  </x:cols>
  <x:sheetData>
    <x:row r="1" ht="34" customHeight="1">
      <x:c r="A1" s="3" t="str">
        <x:v>GoProceed — Pilot Conversion Control</x:v>
      </x:c>
      <x:c r="B1" s="3" t="str">
        <x:v>GoProceed — Pilot Conversion Control</x:v>
      </x:c>
      <x:c r="C1" s="3" t="str">
        <x:v>GoProceed — Pilot Conversion Control</x:v>
      </x:c>
      <x:c r="D1" s="3" t="str">
        <x:v>GoProceed — Pilot Conversion Control</x:v>
      </x:c>
      <x:c r="E1" s="3" t="str">
        <x:v>GoProceed — Pilot Conversion Control</x:v>
      </x:c>
      <x:c r="F1" s="3" t="str">
        <x:v>GoProceed — Pilot Conversion Control</x:v>
      </x:c>
      <x:c r="G1" s="3" t="str">
        <x:v>GoProceed — Pilot Conversion Control</x:v>
      </x:c>
      <x:c r="H1" s="3" t="str">
        <x:v>GoProceed — Pilot Conversion Control</x:v>
      </x:c>
      <x:c r="I1" s="3" t="str">
        <x:v>GoProceed — Pilot Conversion Control</x:v>
      </x:c>
      <x:c r="J1" s="3" t="str">
        <x:v>GoProceed — Pilot Conversion Control</x:v>
      </x:c>
      <x:c r="K1" s="3" t="str">
        <x:v>GoProceed — Pilot Conversion Control</x:v>
      </x:c>
      <x:c r="L1" s="3" t="str">
        <x:v>GoProceed — Pilot Conversion Control</x:v>
      </x:c>
      <x:c r="M1" s="3" t="str">
        <x:v>GoProceed — Pilot Conversion Control</x:v>
      </x:c>
      <x:c r="N1" s="3" t="str">
        <x:v>GoProceed — Pilot Conversion Control</x:v>
      </x:c>
    </x:row>
    <x:row r="2" ht="28" customHeight="1">
      <x:c r="A2" s="7" t="str">
        <x:v>As of 2026-08-25. Acquisition is paused: the operating goal is to convert the strongest existing companies into explicit free-pilot agreements.</x:v>
      </x:c>
      <x:c r="B2" s="7" t="str">
        <x:v>As of 2026-08-25. Acquisition is paused: the operating goal is to convert the strongest existing companies into explicit free-pilot agreements.</x:v>
      </x:c>
      <x:c r="C2" s="7" t="str">
        <x:v>As of 2026-08-25. Acquisition is paused: the operating goal is to convert the strongest existing companies into explicit free-pilot agreements.</x:v>
      </x:c>
      <x:c r="D2" s="7" t="str">
        <x:v>As of 2026-08-25. Acquisition is paused: the operating goal is to convert the strongest existing companies into explicit free-pilot agreements.</x:v>
      </x:c>
      <x:c r="E2" s="7" t="str">
        <x:v>As of 2026-08-25. Acquisition is paused: the operating goal is to convert the strongest existing companies into explicit free-pilot agreements.</x:v>
      </x:c>
      <x:c r="F2" s="7" t="str">
        <x:v>As of 2026-08-25. Acquisition is paused: the operating goal is to convert the strongest existing companies into explicit free-pilot agreements.</x:v>
      </x:c>
      <x:c r="G2" s="7" t="str">
        <x:v>As of 2026-08-25. Acquisition is paused: the operating goal is to convert the strongest existing companies into explicit free-pilot agreements.</x:v>
      </x:c>
      <x:c r="H2" s="7" t="str">
        <x:v>As of 2026-08-25. Acquisition is paused: the operating goal is to convert the strongest existing companies into explicit free-pilot agreements.</x:v>
      </x:c>
      <x:c r="I2" s="7" t="str">
        <x:v>As of 2026-08-25. Acquisition is paused: the operating goal is to convert the strongest existing companies into explicit free-pilot agreements.</x:v>
      </x:c>
      <x:c r="J2" s="7" t="str">
        <x:v>As of 2026-08-25. Acquisition is paused: the operating goal is to convert the strongest existing companies into explicit free-pilot agreements.</x:v>
      </x:c>
      <x:c r="K2" s="7" t="str">
        <x:v>As of 2026-08-25. Acquisition is paused: the operating goal is to convert the strongest existing companies into explicit free-pilot agreements.</x:v>
      </x:c>
      <x:c r="L2" s="7" t="str">
        <x:v>As of 2026-08-25. Acquisition is paused: the operating goal is to convert the strongest existing companies into explicit free-pilot agreements.</x:v>
      </x:c>
      <x:c r="M2" s="7" t="str">
        <x:v>As of 2026-08-25. Acquisition is paused: the operating goal is to convert the strongest existing companies into explicit free-pilot agreements.</x:v>
      </x:c>
      <x:c r="N2" s="7" t="str">
        <x:v>As of 2026-08-25. Acquisition is paused: the operating goal is to convert the strongest existing companies into explicit free-pilot agreements.</x:v>
      </x:c>
    </x:row>
    <x:row r="4">
      <x:c r="A4" s="39" t="str">
        <x:v>Source accounts</x:v>
      </x:c>
      <x:c r="B4" s="39" t="str">
        <x:v>Source accounts</x:v>
      </x:c>
      <x:c r="C4" s="61" t="str">
        <x:v>A1 launch now</x:v>
      </x:c>
      <x:c r="D4" s="61" t="str">
        <x:v>A1 launch now</x:v>
      </x:c>
      <x:c r="E4" s="82" t="str">
        <x:v>A2 qualify first</x:v>
      </x:c>
      <x:c r="F4" s="82" t="str">
        <x:v>A2 qualify first</x:v>
      </x:c>
      <x:c r="G4" s="102" t="str">
        <x:v>B1 discovery reserve</x:v>
      </x:c>
      <x:c r="H4" s="102" t="str">
        <x:v>B1 discovery reserve</x:v>
      </x:c>
      <x:c r="I4" s="123" t="str">
        <x:v>Interested</x:v>
      </x:c>
      <x:c r="J4" s="123" t="str">
        <x:v>Interested</x:v>
      </x:c>
      <x:c r="K4" s="61" t="str">
        <x:v>Pilot agreed</x:v>
      </x:c>
      <x:c r="L4" s="61" t="str">
        <x:v>Pilot agreed</x:v>
      </x:c>
      <x:c r="M4" s="39" t="str">
        <x:v>Pilot started</x:v>
      </x:c>
      <x:c r="N4" s="39" t="str">
        <x:v>Pilot started</x:v>
      </x:c>
    </x:row>
    <x:row r="5">
      <x:c r="A5" s="54" t="n">
        <x:f>'Rules &amp; Sources'!B5</x:f>
        <x:v>2178</x:v>
      </x:c>
      <x:c r="B5" s="55"/>
      <x:c r="C5" s="75" t="n">
        <x:f>COUNTIF('Pilot Shortlist'!$B$5:$B$107,"A1 — Запуск пилота 30–45 дней")</x:f>
        <x:v>21</x:v>
      </x:c>
      <x:c r="D5" s="76"/>
      <x:c r="E5" s="96" t="n">
        <x:f>COUNTIF('Pilot Shortlist'!$B$5:$B$107,"A2 — Квалификация перед пилотом")</x:f>
        <x:v>50</x:v>
      </x:c>
      <x:c r="F5" s="97"/>
      <x:c r="G5" s="116" t="n">
        <x:f>COUNTIF('Pilot Shortlist'!$B$5:$B$107,"B1 — Discovery → пилот")</x:f>
        <x:v>30</x:v>
      </x:c>
      <x:c r="H5" s="117"/>
      <x:c r="I5" s="137" t="n">
        <x:f>COUNTIF('Pilot Shortlist'!$T$5:$T$107,TRUE)</x:f>
        <x:v>0</x:v>
      </x:c>
      <x:c r="J5" s="138"/>
      <x:c r="K5" s="75" t="n">
        <x:f>COUNTIF('Pilot Shortlist'!$V$5:$V$107,TRUE)</x:f>
        <x:v>0</x:v>
      </x:c>
      <x:c r="L5" s="76"/>
      <x:c r="M5" s="54" t="n">
        <x:f>COUNTIFS('Pilot Shortlist'!$S$5:$S$107,"6 — Пілот стартував",'Pilot Shortlist'!$W$5:$W$107,"&lt;&gt;")</x:f>
        <x:v>0</x:v>
      </x:c>
      <x:c r="N5" s="55"/>
    </x:row>
    <x:row r="6">
      <x:c r="A6" s="56"/>
      <x:c r="B6" s="57"/>
      <x:c r="C6" s="77"/>
      <x:c r="D6" s="78"/>
      <x:c r="E6" s="98"/>
      <x:c r="F6" s="99"/>
      <x:c r="G6" s="118"/>
      <x:c r="H6" s="119"/>
      <x:c r="I6" s="139"/>
      <x:c r="J6" s="140"/>
      <x:c r="K6" s="77"/>
      <x:c r="L6" s="78"/>
      <x:c r="M6" s="56"/>
      <x:c r="N6" s="57"/>
    </x:row>
    <x:row r="8">
      <x:c r="A8" s="142" t="str">
        <x:v>Decision for the next cycle</x:v>
      </x:c>
      <x:c r="B8" s="142" t="str">
        <x:v>Decision for the next cycle</x:v>
      </x:c>
      <x:c r="C8" s="142" t="str">
        <x:v>Decision for the next cycle</x:v>
      </x:c>
      <x:c r="D8" s="142" t="str">
        <x:v>Decision for the next cycle</x:v>
      </x:c>
      <x:c r="E8" s="142" t="str">
        <x:v>Decision for the next cycle</x:v>
      </x:c>
      <x:c r="F8" s="142" t="str">
        <x:v>Decision for the next cycle</x:v>
      </x:c>
      <x:c r="G8" s="142" t="str">
        <x:v>Decision for the next cycle</x:v>
      </x:c>
      <x:c r="H8" s="142" t="str">
        <x:v>Decision for the next cycle</x:v>
      </x:c>
      <x:c r="I8" s="142" t="str">
        <x:v>Decision for the next cycle</x:v>
      </x:c>
      <x:c r="J8" s="142" t="str">
        <x:v>Decision for the next cycle</x:v>
      </x:c>
      <x:c r="K8" s="142" t="str">
        <x:v>Decision for the next cycle</x:v>
      </x:c>
      <x:c r="L8" s="142" t="str">
        <x:v>Decision for the next cycle</x:v>
      </x:c>
      <x:c r="M8" s="142" t="str">
        <x:v>Decision for the next cycle</x:v>
      </x:c>
      <x:c r="N8" s="142" t="str">
        <x:v>Decision for the next cycle</x:v>
      </x:c>
    </x:row>
    <x:row r="9">
      <x:c r="A9" s="162"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B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C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D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E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F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G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H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I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J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K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L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M9" s="163"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N9" s="164"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row>
    <x:row r="10">
      <x:c r="A10" s="165"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B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C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D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E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F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G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H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I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J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K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L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M10" s="166"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N10" s="167"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row>
    <x:row r="11">
      <x:c r="A11" s="168"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B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C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D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E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F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G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H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I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J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K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L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M11" s="169"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c r="N11" s="170" t="str">
        <x:v>A1-N01 is researched and drafted for 10 new companies. Replace the demo-link placeholder, add the sender and obtain explicit authorization before sending. Review replies, objections and artifact availability before releasing A1-N02. There are currently zero confirmed pilot agreements.</x:v>
      </x:c>
    </x:row>
    <x:row r="14" ht="34" customHeight="1">
      <x:c r="J14" s="16" t="str">
        <x:v>Funnel stage</x:v>
      </x:c>
      <x:c r="K14" s="18" t="str">
        <x:v>Actual</x:v>
      </x:c>
      <x:c r="M14" s="16" t="str">
        <x:v>Active cohort</x:v>
      </x:c>
      <x:c r="N14" s="18" t="str">
        <x:v>Count</x:v>
      </x:c>
    </x:row>
    <x:row r="15">
      <x:c r="J15" s="20" t="str">
        <x:v>A1 eligible</x:v>
      </x:c>
      <x:c r="K15" s="22" t="n">
        <x:f>'Funnel Tracker'!B5</x:f>
        <x:v>21</x:v>
      </x:c>
      <x:c r="M15" s="20" t="str">
        <x:v>A1</x:v>
      </x:c>
      <x:c r="N15" s="20" t="n">
        <x:f>COUNTIF('Pilot Shortlist'!$B$5:$B$107,"A1 — Запуск пилота 30–45 дней")</x:f>
        <x:v>21</x:v>
      </x:c>
    </x:row>
    <x:row r="16">
      <x:c r="J16" s="20" t="str">
        <x:v>Invited</x:v>
      </x:c>
      <x:c r="K16" s="22" t="n">
        <x:f>'Funnel Tracker'!B6</x:f>
        <x:v>2</x:v>
      </x:c>
      <x:c r="M16" s="20" t="str">
        <x:v>A2</x:v>
      </x:c>
      <x:c r="N16" s="20" t="n">
        <x:f>COUNTIF('Pilot Shortlist'!$B$5:$B$107,"A2 — Квалификация перед пилотом")</x:f>
        <x:v>50</x:v>
      </x:c>
    </x:row>
    <x:row r="17">
      <x:c r="J17" s="20" t="str">
        <x:v>Interested</x:v>
      </x:c>
      <x:c r="K17" s="22" t="n">
        <x:f>'Funnel Tracker'!B7</x:f>
        <x:v>0</x:v>
      </x:c>
      <x:c r="M17" s="20" t="str">
        <x:v>Re-engagement</x:v>
      </x:c>
      <x:c r="N17" s="20" t="n">
        <x:f>COUNTIF('Pilot Shortlist'!$C$5:$C$107,"Re-engagement")</x:f>
        <x:v>2</x:v>
      </x:c>
    </x:row>
    <x:row r="18">
      <x:c r="J18" s="20" t="str">
        <x:v>Artifact</x:v>
      </x:c>
      <x:c r="K18" s="22" t="n">
        <x:f>'Funnel Tracker'!B8</x:f>
        <x:v>0</x:v>
      </x:c>
    </x:row>
    <x:row r="19">
      <x:c r="J19" s="20" t="str">
        <x:v>Discovery</x:v>
      </x:c>
      <x:c r="K19" s="22" t="n">
        <x:f>'Funnel Tracker'!B9</x:f>
        <x:v>0</x:v>
      </x:c>
    </x:row>
    <x:row r="20">
      <x:c r="J20" s="20" t="str">
        <x:v>Agreed</x:v>
      </x:c>
      <x:c r="K20" s="22" t="n">
        <x:f>'Funnel Tracker'!B10</x:f>
        <x:v>0</x:v>
      </x:c>
    </x:row>
    <x:row r="21">
      <x:c r="J21" s="20" t="str">
        <x:v>Started</x:v>
      </x:c>
      <x:c r="K21" s="22" t="n">
        <x:f>'Funnel Tracker'!B11</x:f>
        <x:v>0</x:v>
      </x:c>
    </x:row>
    <x:row r="23">
      <x:c r="J23" s="173" t="str">
        <x:v>Guardrail</x:v>
      </x:c>
      <x:c r="K23" s="173" t="str">
        <x:v>Guardrail</x:v>
      </x:c>
      <x:c r="L23" s="173" t="str">
        <x:v>Guardrail</x:v>
      </x:c>
      <x:c r="M23" s="173" t="str">
        <x:v>Guardrail</x:v>
      </x:c>
      <x:c r="N23" s="173" t="str">
        <x:v>Guardrail</x:v>
      </x:c>
    </x:row>
    <x:row r="24">
      <x:c r="J24" s="193" t="str">
        <x:v>Do not mark “Pilot agreed” from fit, tender activity or silence. Set status 5/6 only after an explicit positive reply and add the evidence in Pilot Shortlist.</x:v>
      </x:c>
      <x:c r="K24" s="194" t="str">
        <x:v>Do not mark “Pilot agreed” from fit, tender activity or silence. Set status 5/6 only after an explicit positive reply and add the evidence in Pilot Shortlist.</x:v>
      </x:c>
      <x:c r="L24" s="194" t="str">
        <x:v>Do not mark “Pilot agreed” from fit, tender activity or silence. Set status 5/6 only after an explicit positive reply and add the evidence in Pilot Shortlist.</x:v>
      </x:c>
      <x:c r="M24" s="194" t="str">
        <x:v>Do not mark “Pilot agreed” from fit, tender activity or silence. Set status 5/6 only after an explicit positive reply and add the evidence in Pilot Shortlist.</x:v>
      </x:c>
      <x:c r="N24" s="195" t="str">
        <x:v>Do not mark “Pilot agreed” from fit, tender activity or silence. Set status 5/6 only after an explicit positive reply and add the evidence in Pilot Shortlist.</x:v>
      </x:c>
    </x:row>
    <x:row r="25">
      <x:c r="J25" s="196" t="str">
        <x:v>Do not mark “Pilot agreed” from fit, tender activity or silence. Set status 5/6 only after an explicit positive reply and add the evidence in Pilot Shortlist.</x:v>
      </x:c>
      <x:c r="K25" s="197" t="str">
        <x:v>Do not mark “Pilot agreed” from fit, tender activity or silence. Set status 5/6 only after an explicit positive reply and add the evidence in Pilot Shortlist.</x:v>
      </x:c>
      <x:c r="L25" s="197" t="str">
        <x:v>Do not mark “Pilot agreed” from fit, tender activity or silence. Set status 5/6 only after an explicit positive reply and add the evidence in Pilot Shortlist.</x:v>
      </x:c>
      <x:c r="M25" s="197" t="str">
        <x:v>Do not mark “Pilot agreed” from fit, tender activity or silence. Set status 5/6 only after an explicit positive reply and add the evidence in Pilot Shortlist.</x:v>
      </x:c>
      <x:c r="N25" s="198" t="str">
        <x:v>Do not mark “Pilot agreed” from fit, tender activity or silence. Set status 5/6 only after an explicit positive reply and add the evidence in Pilot Shortlist.</x:v>
      </x:c>
    </x:row>
    <x:row r="26">
      <x:c r="J26" s="196" t="str">
        <x:v>Do not mark “Pilot agreed” from fit, tender activity or silence. Set status 5/6 only after an explicit positive reply and add the evidence in Pilot Shortlist.</x:v>
      </x:c>
      <x:c r="K26" s="197" t="str">
        <x:v>Do not mark “Pilot agreed” from fit, tender activity or silence. Set status 5/6 only after an explicit positive reply and add the evidence in Pilot Shortlist.</x:v>
      </x:c>
      <x:c r="L26" s="197" t="str">
        <x:v>Do not mark “Pilot agreed” from fit, tender activity or silence. Set status 5/6 only after an explicit positive reply and add the evidence in Pilot Shortlist.</x:v>
      </x:c>
      <x:c r="M26" s="197" t="str">
        <x:v>Do not mark “Pilot agreed” from fit, tender activity or silence. Set status 5/6 only after an explicit positive reply and add the evidence in Pilot Shortlist.</x:v>
      </x:c>
      <x:c r="N26" s="198" t="str">
        <x:v>Do not mark “Pilot agreed” from fit, tender activity or silence. Set status 5/6 only after an explicit positive reply and add the evidence in Pilot Shortlist.</x:v>
      </x:c>
    </x:row>
    <x:row r="27">
      <x:c r="J27" s="196" t="str">
        <x:v>Do not mark “Pilot agreed” from fit, tender activity or silence. Set status 5/6 only after an explicit positive reply and add the evidence in Pilot Shortlist.</x:v>
      </x:c>
      <x:c r="K27" s="197" t="str">
        <x:v>Do not mark “Pilot agreed” from fit, tender activity or silence. Set status 5/6 only after an explicit positive reply and add the evidence in Pilot Shortlist.</x:v>
      </x:c>
      <x:c r="L27" s="197" t="str">
        <x:v>Do not mark “Pilot agreed” from fit, tender activity or silence. Set status 5/6 only after an explicit positive reply and add the evidence in Pilot Shortlist.</x:v>
      </x:c>
      <x:c r="M27" s="197" t="str">
        <x:v>Do not mark “Pilot agreed” from fit, tender activity or silence. Set status 5/6 only after an explicit positive reply and add the evidence in Pilot Shortlist.</x:v>
      </x:c>
      <x:c r="N27" s="198" t="str">
        <x:v>Do not mark “Pilot agreed” from fit, tender activity or silence. Set status 5/6 only after an explicit positive reply and add the evidence in Pilot Shortlist.</x:v>
      </x:c>
    </x:row>
    <x:row r="28">
      <x:c r="J28" s="199" t="str">
        <x:v>Do not mark “Pilot agreed” from fit, tender activity or silence. Set status 5/6 only after an explicit positive reply and add the evidence in Pilot Shortlist.</x:v>
      </x:c>
      <x:c r="K28" s="200" t="str">
        <x:v>Do not mark “Pilot agreed” from fit, tender activity or silence. Set status 5/6 only after an explicit positive reply and add the evidence in Pilot Shortlist.</x:v>
      </x:c>
      <x:c r="L28" s="200" t="str">
        <x:v>Do not mark “Pilot agreed” from fit, tender activity or silence. Set status 5/6 only after an explicit positive reply and add the evidence in Pilot Shortlist.</x:v>
      </x:c>
      <x:c r="M28" s="200" t="str">
        <x:v>Do not mark “Pilot agreed” from fit, tender activity or silence. Set status 5/6 only after an explicit positive reply and add the evidence in Pilot Shortlist.</x:v>
      </x:c>
      <x:c r="N28" s="201" t="str">
        <x:v>Do not mark “Pilot agreed” from fit, tender activity or silence. Set status 5/6 only after an explicit positive reply and add the evidence in Pilot Shortlist.</x:v>
      </x:c>
    </x:row>
  </x:sheetData>
  <x:mergeCells>
    <x:mergeCell ref="A1:N1"/>
    <x:mergeCell ref="A2:N2"/>
    <x:mergeCell ref="A4:B4"/>
    <x:mergeCell ref="A5:B6"/>
    <x:mergeCell ref="C4:D4"/>
    <x:mergeCell ref="C5:D6"/>
    <x:mergeCell ref="E4:F4"/>
    <x:mergeCell ref="E5:F6"/>
    <x:mergeCell ref="G4:H4"/>
    <x:mergeCell ref="G5:H6"/>
    <x:mergeCell ref="I4:J4"/>
    <x:mergeCell ref="I5:J6"/>
    <x:mergeCell ref="K4:L4"/>
    <x:mergeCell ref="K5:L6"/>
    <x:mergeCell ref="M4:N4"/>
    <x:mergeCell ref="M5:N6"/>
    <x:mergeCell ref="A8:N8"/>
    <x:mergeCell ref="A9:N11"/>
    <x:mergeCell ref="J23:N23"/>
    <x:mergeCell ref="J24:N28"/>
  </x:mergeCells>
  <x:pageMargins left="0.7" right="0.7" top="0.75" bottom="0.75" header="0.3" footer="0.3"/>
  <x:drawing xmlns:r="http://schemas.openxmlformats.org/officeDocument/2006/relationships" r:id="Rac1f71b4030847e8"/>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31" hidden="0" customWidth="1"/>
    <x:col min="3" max="3" width="15" hidden="0" customWidth="1"/>
    <x:col min="4" max="4" width="12" hidden="0" customWidth="1"/>
    <x:col min="5" max="5" width="11" hidden="0" customWidth="1"/>
    <x:col min="6" max="6" width="42" hidden="0" customWidth="1"/>
    <x:col min="7" max="7" width="12" hidden="0" customWidth="1"/>
    <x:col min="8" max="8" width="26" hidden="0" customWidth="1"/>
    <x:col min="9" max="9" width="31" hidden="0" customWidth="1"/>
    <x:col min="10" max="10" width="9" hidden="0" customWidth="1"/>
    <x:col min="11" max="11" width="10" hidden="0" customWidth="1"/>
    <x:col min="12" max="12" width="16" hidden="0" customWidth="1"/>
    <x:col min="13" max="13" width="13" hidden="0" customWidth="1"/>
    <x:col min="14" max="14" width="13" hidden="0" customWidth="1"/>
    <x:col min="15" max="15" width="28" hidden="0" customWidth="1"/>
    <x:col min="16" max="16" width="28" hidden="0" customWidth="1"/>
    <x:col min="17" max="17" width="48" hidden="0" customWidth="1"/>
    <x:col min="18" max="18" width="24" hidden="0" customWidth="1"/>
    <x:col min="19" max="19" width="28" hidden="0" customWidth="1"/>
    <x:col min="20" max="20" width="10" hidden="0" customWidth="1"/>
    <x:col min="21" max="21" width="10" hidden="0" customWidth="1"/>
    <x:col min="22" max="22" width="12" hidden="0" customWidth="1"/>
    <x:col min="23" max="23" width="13" hidden="0" customWidth="1"/>
    <x:col min="24" max="24" width="16" hidden="0" customWidth="1"/>
    <x:col min="25" max="25" width="46" hidden="0" customWidth="1"/>
    <x:col min="26" max="26" width="22" hidden="0" customWidth="1"/>
    <x:col min="27" max="27" width="50" hidden="0" customWidth="1"/>
    <x:col min="28" max="28" width="36" hidden="0" customWidth="1"/>
    <x:col min="29" max="29" width="34" hidden="0" customWidth="1"/>
    <x:col min="30" max="30" width="40" hidden="0" customWidth="1"/>
    <x:col min="31" max="31" width="36" hidden="0" customWidth="1"/>
  </x:cols>
  <x:sheetData>
    <x:row r="1" ht="34" customHeight="1">
      <x:c r="A1" s="3" t="str">
        <x:v>GoProceed — Pilot Shortlist</x:v>
      </x:c>
      <x:c r="B1" s="3" t="str">
        <x:v>GoProceed — Pilot Shortlist</x:v>
      </x:c>
      <x:c r="C1" s="3" t="str">
        <x:v>GoProceed — Pilot Shortlist</x:v>
      </x:c>
      <x:c r="D1" s="3" t="str">
        <x:v>GoProceed — Pilot Shortlist</x:v>
      </x:c>
      <x:c r="E1" s="3" t="str">
        <x:v>GoProceed — Pilot Shortlist</x:v>
      </x:c>
      <x:c r="F1" s="3" t="str">
        <x:v>GoProceed — Pilot Shortlist</x:v>
      </x:c>
      <x:c r="G1" s="3" t="str">
        <x:v>GoProceed — Pilot Shortlist</x:v>
      </x:c>
      <x:c r="H1" s="3" t="str">
        <x:v>GoProceed — Pilot Shortlist</x:v>
      </x:c>
      <x:c r="I1" s="3" t="str">
        <x:v>GoProceed — Pilot Shortlist</x:v>
      </x:c>
      <x:c r="J1" s="3" t="str">
        <x:v>GoProceed — Pilot Shortlist</x:v>
      </x:c>
      <x:c r="K1" s="3" t="str">
        <x:v>GoProceed — Pilot Shortlist</x:v>
      </x:c>
      <x:c r="L1" s="3" t="str">
        <x:v>GoProceed — Pilot Shortlist</x:v>
      </x:c>
      <x:c r="M1" s="3" t="str">
        <x:v>GoProceed — Pilot Shortlist</x:v>
      </x:c>
      <x:c r="N1" s="3" t="str">
        <x:v>GoProceed — Pilot Shortlist</x:v>
      </x:c>
      <x:c r="O1" s="3" t="str">
        <x:v>GoProceed — Pilot Shortlist</x:v>
      </x:c>
      <x:c r="P1" s="3" t="str">
        <x:v>GoProceed — Pilot Shortlist</x:v>
      </x:c>
      <x:c r="Q1" s="3" t="str">
        <x:v>GoProceed — Pilot Shortlist</x:v>
      </x:c>
      <x:c r="R1" s="3" t="str">
        <x:v>GoProceed — Pilot Shortlist</x:v>
      </x:c>
      <x:c r="S1" s="3" t="str">
        <x:v>GoProceed — Pilot Shortlist</x:v>
      </x:c>
      <x:c r="T1" s="3" t="str">
        <x:v>GoProceed — Pilot Shortlist</x:v>
      </x:c>
      <x:c r="U1" s="3" t="str">
        <x:v>GoProceed — Pilot Shortlist</x:v>
      </x:c>
      <x:c r="V1" s="3" t="str">
        <x:v>GoProceed — Pilot Shortlist</x:v>
      </x:c>
      <x:c r="W1" s="3" t="str">
        <x:v>GoProceed — Pilot Shortlist</x:v>
      </x:c>
      <x:c r="X1" s="3" t="str">
        <x:v>GoProceed — Pilot Shortlist</x:v>
      </x:c>
      <x:c r="Y1" s="3" t="str">
        <x:v>GoProceed — Pilot Shortlist</x:v>
      </x:c>
      <x:c r="Z1" s="3" t="str">
        <x:v>GoProceed — Pilot Shortlist</x:v>
      </x:c>
      <x:c r="AA1" s="3" t="str">
        <x:v>GoProceed — Pilot Shortlist</x:v>
      </x:c>
      <x:c r="AB1" s="3" t="str">
        <x:v>GoProceed — Pilot Shortlist</x:v>
      </x:c>
      <x:c r="AC1" s="3" t="str">
        <x:v>GoProceed — Pilot Shortlist</x:v>
      </x:c>
      <x:c r="AD1" s="3" t="str">
        <x:v>GoProceed — Pilot Shortlist</x:v>
      </x:c>
      <x:c r="AE1" s="3" t="str">
        <x:v>GoProceed — Pilot Shortlist</x:v>
      </x:c>
    </x:row>
    <x:row r="2" ht="28" customHeight="1">
      <x:c r="A2" s="7" t="str">
        <x:v>103 selected accounts from 2,178 researched companies. Edit yellow cells only; a pilot counts as agreed only when status is 5/6 and Agreement evidence is filled.</x:v>
      </x:c>
      <x:c r="B2" s="7" t="str">
        <x:v>103 selected accounts from 2,178 researched companies. Edit yellow cells only; a pilot counts as agreed only when status is 5/6 and Agreement evidence is filled.</x:v>
      </x:c>
      <x:c r="C2" s="7" t="str">
        <x:v>103 selected accounts from 2,178 researched companies. Edit yellow cells only; a pilot counts as agreed only when status is 5/6 and Agreement evidence is filled.</x:v>
      </x:c>
      <x:c r="D2" s="7" t="str">
        <x:v>103 selected accounts from 2,178 researched companies. Edit yellow cells only; a pilot counts as agreed only when status is 5/6 and Agreement evidence is filled.</x:v>
      </x:c>
      <x:c r="E2" s="7" t="str">
        <x:v>103 selected accounts from 2,178 researched companies. Edit yellow cells only; a pilot counts as agreed only when status is 5/6 and Agreement evidence is filled.</x:v>
      </x:c>
      <x:c r="F2" s="7" t="str">
        <x:v>103 selected accounts from 2,178 researched companies. Edit yellow cells only; a pilot counts as agreed only when status is 5/6 and Agreement evidence is filled.</x:v>
      </x:c>
      <x:c r="G2" s="7" t="str">
        <x:v>103 selected accounts from 2,178 researched companies. Edit yellow cells only; a pilot counts as agreed only when status is 5/6 and Agreement evidence is filled.</x:v>
      </x:c>
      <x:c r="H2" s="7" t="str">
        <x:v>103 selected accounts from 2,178 researched companies. Edit yellow cells only; a pilot counts as agreed only when status is 5/6 and Agreement evidence is filled.</x:v>
      </x:c>
      <x:c r="I2" s="7" t="str">
        <x:v>103 selected accounts from 2,178 researched companies. Edit yellow cells only; a pilot counts as agreed only when status is 5/6 and Agreement evidence is filled.</x:v>
      </x:c>
      <x:c r="J2" s="7" t="str">
        <x:v>103 selected accounts from 2,178 researched companies. Edit yellow cells only; a pilot counts as agreed only when status is 5/6 and Agreement evidence is filled.</x:v>
      </x:c>
      <x:c r="K2" s="7" t="str">
        <x:v>103 selected accounts from 2,178 researched companies. Edit yellow cells only; a pilot counts as agreed only when status is 5/6 and Agreement evidence is filled.</x:v>
      </x:c>
      <x:c r="L2" s="7" t="str">
        <x:v>103 selected accounts from 2,178 researched companies. Edit yellow cells only; a pilot counts as agreed only when status is 5/6 and Agreement evidence is filled.</x:v>
      </x:c>
      <x:c r="M2" s="7" t="str">
        <x:v>103 selected accounts from 2,178 researched companies. Edit yellow cells only; a pilot counts as agreed only when status is 5/6 and Agreement evidence is filled.</x:v>
      </x:c>
      <x:c r="N2" s="7" t="str">
        <x:v>103 selected accounts from 2,178 researched companies. Edit yellow cells only; a pilot counts as agreed only when status is 5/6 and Agreement evidence is filled.</x:v>
      </x:c>
      <x:c r="O2" s="7" t="str">
        <x:v>103 selected accounts from 2,178 researched companies. Edit yellow cells only; a pilot counts as agreed only when status is 5/6 and Agreement evidence is filled.</x:v>
      </x:c>
      <x:c r="P2" s="7" t="str">
        <x:v>103 selected accounts from 2,178 researched companies. Edit yellow cells only; a pilot counts as agreed only when status is 5/6 and Agreement evidence is filled.</x:v>
      </x:c>
      <x:c r="Q2" s="7" t="str">
        <x:v>103 selected accounts from 2,178 researched companies. Edit yellow cells only; a pilot counts as agreed only when status is 5/6 and Agreement evidence is filled.</x:v>
      </x:c>
      <x:c r="R2" s="7" t="str">
        <x:v>103 selected accounts from 2,178 researched companies. Edit yellow cells only; a pilot counts as agreed only when status is 5/6 and Agreement evidence is filled.</x:v>
      </x:c>
      <x:c r="S2" s="7" t="str">
        <x:v>103 selected accounts from 2,178 researched companies. Edit yellow cells only; a pilot counts as agreed only when status is 5/6 and Agreement evidence is filled.</x:v>
      </x:c>
      <x:c r="T2" s="7" t="str">
        <x:v>103 selected accounts from 2,178 researched companies. Edit yellow cells only; a pilot counts as agreed only when status is 5/6 and Agreement evidence is filled.</x:v>
      </x:c>
      <x:c r="U2" s="7" t="str">
        <x:v>103 selected accounts from 2,178 researched companies. Edit yellow cells only; a pilot counts as agreed only when status is 5/6 and Agreement evidence is filled.</x:v>
      </x:c>
      <x:c r="V2" s="7" t="str">
        <x:v>103 selected accounts from 2,178 researched companies. Edit yellow cells only; a pilot counts as agreed only when status is 5/6 and Agreement evidence is filled.</x:v>
      </x:c>
      <x:c r="W2" s="7" t="str">
        <x:v>103 selected accounts from 2,178 researched companies. Edit yellow cells only; a pilot counts as agreed only when status is 5/6 and Agreement evidence is filled.</x:v>
      </x:c>
      <x:c r="X2" s="7" t="str">
        <x:v>103 selected accounts from 2,178 researched companies. Edit yellow cells only; a pilot counts as agreed only when status is 5/6 and Agreement evidence is filled.</x:v>
      </x:c>
      <x:c r="Y2" s="7" t="str">
        <x:v>103 selected accounts from 2,178 researched companies. Edit yellow cells only; a pilot counts as agreed only when status is 5/6 and Agreement evidence is filled.</x:v>
      </x:c>
      <x:c r="Z2" s="7" t="str">
        <x:v>103 selected accounts from 2,178 researched companies. Edit yellow cells only; a pilot counts as agreed only when status is 5/6 and Agreement evidence is filled.</x:v>
      </x:c>
      <x:c r="AA2" s="7" t="str">
        <x:v>103 selected accounts from 2,178 researched companies. Edit yellow cells only; a pilot counts as agreed only when status is 5/6 and Agreement evidence is filled.</x:v>
      </x:c>
      <x:c r="AB2" s="7" t="str">
        <x:v>103 selected accounts from 2,178 researched companies. Edit yellow cells only; a pilot counts as agreed only when status is 5/6 and Agreement evidence is filled.</x:v>
      </x:c>
      <x:c r="AC2" s="7" t="str">
        <x:v>103 selected accounts from 2,178 researched companies. Edit yellow cells only; a pilot counts as agreed only when status is 5/6 and Agreement evidence is filled.</x:v>
      </x:c>
      <x:c r="AD2" s="7" t="str">
        <x:v>103 selected accounts from 2,178 researched companies. Edit yellow cells only; a pilot counts as agreed only when status is 5/6 and Agreement evidence is filled.</x:v>
      </x:c>
      <x:c r="AE2" s="7" t="str">
        <x:v>103 selected accounts from 2,178 researched companies. Edit yellow cells only; a pilot counts as agreed only when status is 5/6 and Agreement evidence is filled.</x:v>
      </x:c>
    </x:row>
    <x:row r="4" ht="34" customHeight="1">
      <x:c r="A4" s="16" t="str">
        <x:v>#</x:v>
      </x:c>
      <x:c r="B4" s="17" t="str">
        <x:v>Group</x:v>
      </x:c>
      <x:c r="C4" s="17" t="str">
        <x:v>Queue</x:v>
      </x:c>
      <x:c r="D4" s="17" t="str">
        <x:v>Batch</x:v>
      </x:c>
      <x:c r="E4" s="17" t="str">
        <x:v>Readiness</x:v>
      </x:c>
      <x:c r="F4" s="17" t="str">
        <x:v>Company</x:v>
      </x:c>
      <x:c r="G4" s="17" t="str">
        <x:v>EDRPOU</x:v>
      </x:c>
      <x:c r="H4" s="17" t="str">
        <x:v>Segment</x:v>
      </x:c>
      <x:c r="I4" s="17" t="str">
        <x:v>Fit group</x:v>
      </x:c>
      <x:c r="J4" s="17" t="str">
        <x:v>Intent</x:v>
      </x:c>
      <x:c r="K4" s="17" t="str">
        <x:v>Live projects</x:v>
      </x:c>
      <x:c r="L4" s="17" t="str">
        <x:v>Award value (UAH)</x:v>
      </x:c>
      <x:c r="M4" s="17" t="str">
        <x:v>Latest award</x:v>
      </x:c>
      <x:c r="N4" s="17" t="str">
        <x:v>Delivery end</x:v>
      </x:c>
      <x:c r="O4" s="17" t="str">
        <x:v>Contact route</x:v>
      </x:c>
      <x:c r="P4" s="17" t="str">
        <x:v>Browser status</x:v>
      </x:c>
      <x:c r="Q4" s="17" t="str">
        <x:v>Browser evidence</x:v>
      </x:c>
      <x:c r="R4" s="17" t="str">
        <x:v>Original contact</x:v>
      </x:c>
      <x:c r="S4" s="17" t="str">
        <x:v>Funnel status</x:v>
      </x:c>
      <x:c r="T4" s="17" t="str">
        <x:v>Interest</x:v>
      </x:c>
      <x:c r="U4" s="17" t="str">
        <x:v>Artifact</x:v>
      </x:c>
      <x:c r="V4" s="17" t="str">
        <x:v>Pilot agreed</x:v>
      </x:c>
      <x:c r="W4" s="17" t="str">
        <x:v>Pilot start</x:v>
      </x:c>
      <x:c r="X4" s="17" t="str">
        <x:v>Owner</x:v>
      </x:c>
      <x:c r="Y4" s="17" t="str">
        <x:v>Next step</x:v>
      </x:c>
      <x:c r="Z4" s="17" t="str">
        <x:v>Tender ID</x:v>
      </x:c>
      <x:c r="AA4" s="17" t="str">
        <x:v>Tender title</x:v>
      </x:c>
      <x:c r="AB4" s="17" t="str">
        <x:v>Tender URL</x:v>
      </x:c>
      <x:c r="AC4" s="17" t="str">
        <x:v>Company URL</x:v>
      </x:c>
      <x:c r="AD4" s="17" t="str">
        <x:v>Agreement evidence</x:v>
      </x:c>
      <x:c r="AE4" s="18" t="str">
        <x:v>Notes</x:v>
      </x:c>
    </x:row>
    <x:row r="5" ht="42" customHeight="1">
      <x:c r="A5" s="20" t="n">
        <x:v>1</x:v>
      </x:c>
      <x:c r="B5" s="20" t="str">
        <x:v>A1 — Запуск пилота 30–45 дней</x:v>
      </x:c>
      <x:c r="C5" s="20" t="str">
        <x:v>New outbound</x:v>
      </x:c>
      <x:c r="D5" s="20" t="str">
        <x:v>A1-N01</x:v>
      </x:c>
      <x:c r="E5" s="22" t="n">
        <x:v>100</x:v>
      </x:c>
      <x:c r="F5" s="20" t="str">
        <x:v>Товариство з обмеженою відповідальністю "МІСТО ЕНЕРДЖІ"</x:v>
      </x:c>
      <x:c r="G5" s="21" t="str">
        <x:v>32735498</x:v>
      </x:c>
      <x:c r="H5" s="20" t="str">
        <x:v>Теплові пункти</x:v>
      </x:c>
      <x:c r="I5" s="20" t="str">
        <x:v>N.14 — сантехніка / HVAC / тепло</x:v>
      </x:c>
      <x:c r="J5" s="22" t="n">
        <x:v>93</x:v>
      </x:c>
      <x:c r="K5" s="22" t="n">
        <x:v>5</x:v>
      </x:c>
      <x:c r="L5" s="23" t="n">
        <x:v>33437993.09</x:v>
      </x:c>
      <x:c r="M5" s="24" t="n">
        <x:v>46248.38848902778</x:v>
      </x:c>
      <x:c r="N5" s="24" t="n">
        <x:v>46377</x:v>
      </x:c>
      <x:c r="O5" s="20" t="str">
        <x:v>1 — Офіційний сайт</x:v>
      </x:c>
      <x:c r="P5" s="20" t="str">
        <x:v>direct_fit_confirmed</x:v>
      </x:c>
      <x:c r="Q5" s="25" t="str">
        <x:v>Exact entity is active; registry activity includes water, heating and air-conditioning installation, electrical installation and other construction-installation work. The official company website describes turnkey heat-substation and engineering-system work.</x:v>
      </x:c>
      <x:c r="R5" s="20" t="str">
        <x:v>Не контактували</x:v>
      </x:c>
      <x:c r="S5" s="26" t="str">
        <x:v>0 — Не запрошували</x:v>
      </x:c>
      <x:c r="T5" s="20" t="b">
        <x:f>OR(LEFT(S5,1)="2",LEFT(S5,1)="3",LEFT(S5,1)="4",LEFT(S5,1)="5",LEFT(S5,1)="6")</x:f>
        <x:v>0</x:v>
      </x:c>
      <x:c r="U5" s="20" t="b">
        <x:f>OR(LEFT(S5,1)="3",LEFT(S5,1)="4",LEFT(S5,1)="5",LEFT(S5,1)="6")</x:f>
        <x:v>0</x:v>
      </x:c>
      <x:c r="V5" s="20" t="b">
        <x:f>AND(OR(LEFT(S5,1)="5",LEFT(S5,1)="6"),LEN(AD5)&gt;0)</x:f>
        <x:v>0</x:v>
      </x:c>
      <x:c r="W5" s="27"/>
      <x:c r="X5" s="26" t="str"/>
      <x:c r="Y5" s="25" t="str">
        <x:v>Замінити demo-link, додати відправника, отримати дозвіл і запустити A1-N01; згоду рахувати лише за явною відповіддю</x:v>
      </x:c>
      <x:c r="Z5" s="25" t="str">
        <x:v>UA-2026-07-29-011611-a</x:v>
      </x:c>
      <x:c r="AA5" s="25" t="str">
        <x:v>Реконструкція  індивідуальних теплових пунктів  з першого по четвертий ввід  житлового будинку ОСББ "НАШ ДІМ ПРИРІЧНА 5" по вул. Прирічна, буд. 5, м. Київ (код ДК 021:2015: 45454000-4 – Реконструкція )</x:v>
      </x:c>
      <x:c r="AB5" s="25" t="str">
        <x:v>https://prozorro.gov.ua/tender/UA-2026-07-29-011611-a</x:v>
      </x:c>
      <x:c r="AC5" s="25" t="str">
        <x:v>https://mistoenergy.com.ua/</x:v>
      </x:c>
      <x:c r="AD5" s="28" t="str"/>
      <x:c r="AE5" s="28" t="str"/>
    </x:row>
    <x:row r="6" ht="42" customHeight="1">
      <x:c r="A6" s="20" t="n">
        <x:v>2</x:v>
      </x:c>
      <x:c r="B6" s="20" t="str">
        <x:v>A1 — Запуск пилота 30–45 дней</x:v>
      </x:c>
      <x:c r="C6" s="20" t="str">
        <x:v>New outbound</x:v>
      </x:c>
      <x:c r="D6" s="20" t="str">
        <x:v>A1-N01</x:v>
      </x:c>
      <x:c r="E6" s="22" t="n">
        <x:v>100</x:v>
      </x:c>
      <x:c r="F6" s="20" t="str">
        <x:v>ТОВАРИСТВО З ОБМЕЖЕНОЮ ВІДПОВІДАЛЬНІСТЮ "АЛЬТЕКО2019"</x:v>
      </x:c>
      <x:c r="G6" s="21" t="str">
        <x:v>42749643</x:v>
      </x:c>
      <x:c r="H6" s="20" t="str">
        <x:v>Промислова електрика / ПНР</x:v>
      </x:c>
      <x:c r="I6" s="20" t="str">
        <x:v>N.15 — електромонтаж / силові системи</x:v>
      </x:c>
      <x:c r="J6" s="22" t="n">
        <x:v>93</x:v>
      </x:c>
      <x:c r="K6" s="22" t="n">
        <x:v>4</x:v>
      </x:c>
      <x:c r="L6" s="23" t="n">
        <x:v>13173295.7</x:v>
      </x:c>
      <x:c r="M6" s="24" t="n">
        <x:v>46247.34231864583</x:v>
      </x:c>
      <x:c r="N6" s="24" t="n">
        <x:v>46342</x:v>
      </x:c>
      <x:c r="O6" s="20" t="str">
        <x:v>2 — Перевірений корпоративний маршрут</x:v>
      </x:c>
      <x:c r="P6" s="20" t="str">
        <x:v>browser_verified_industry_profile</x:v>
      </x:c>
      <x:c r="Q6" s="25" t="str">
        <x:v>Search-visible industry profile identifies the exact EDRPOU as an energy-sector contractor for construction, installation, and power-station maintenance; registry result shows KVED 43.21.</x:v>
      </x:c>
      <x:c r="R6" s="20" t="str">
        <x:v>Не контактували</x:v>
      </x:c>
      <x:c r="S6" s="26" t="str">
        <x:v>0 — Не запрошували</x:v>
      </x:c>
      <x:c r="T6" s="20" t="b">
        <x:f>OR(LEFT(S6,1)="2",LEFT(S6,1)="3",LEFT(S6,1)="4",LEFT(S6,1)="5",LEFT(S6,1)="6")</x:f>
        <x:v>0</x:v>
      </x:c>
      <x:c r="U6" s="20" t="b">
        <x:f>OR(LEFT(S6,1)="3",LEFT(S6,1)="4",LEFT(S6,1)="5",LEFT(S6,1)="6")</x:f>
        <x:v>0</x:v>
      </x:c>
      <x:c r="V6" s="20" t="b">
        <x:f>AND(OR(LEFT(S6,1)="5",LEFT(S6,1)="6"),LEN(AD6)&gt;0)</x:f>
        <x:v>0</x:v>
      </x:c>
      <x:c r="W6" s="27"/>
      <x:c r="X6" s="26" t="str"/>
      <x:c r="Y6" s="25" t="str">
        <x:v>Замінити demo-link, додати відправника, отримати дозвіл і запустити A1-N01; згоду рахувати лише за явною відповіддю</x:v>
      </x:c>
      <x:c r="Z6" s="25" t="str">
        <x:v>UA-2026-07-24-000935-a</x:v>
      </x:c>
      <x:c r="AA6" s="2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нежитлової будівлі Керницького П. Р. по вул. Святослава Хороброго князя, 46 в м. Хмельницькому" (технічні умови нестандартного приєднання ТУ:003837-180925-1-22-03-2-000000-1))</x:v>
      </x:c>
      <x:c r="AB6" s="25" t="str">
        <x:v>https://prozorro.gov.ua/tender/UA-2026-07-24-000935-a</x:v>
      </x:c>
      <x:c r="AC6" s="25" t="str">
        <x:v>https://www.energo.ua/uk/contractors/42749643</x:v>
      </x:c>
      <x:c r="AD6" s="28" t="str"/>
      <x:c r="AE6" s="28" t="str"/>
    </x:row>
    <x:row r="7" ht="42" customHeight="1">
      <x:c r="A7" s="20" t="n">
        <x:v>3</x:v>
      </x:c>
      <x:c r="B7" s="20" t="str">
        <x:v>A1 — Запуск пилота 30–45 дней</x:v>
      </x:c>
      <x:c r="C7" s="20" t="str">
        <x:v>New outbound</x:v>
      </x:c>
      <x:c r="D7" s="20" t="str">
        <x:v>A1-N01</x:v>
      </x:c>
      <x:c r="E7" s="22" t="n">
        <x:v>99</x:v>
      </x:c>
      <x:c r="F7" s="20" t="str">
        <x:v>ДОЧІРНЄ ПІДПРИЄМСТВО "ВІННИЦЬКА МЕХАНІЗОВАНА КОЛОНА" ПРИВАТНОГО АКЦІОНЕРНОГО ТОВАРИСТВА "КИЇВСІЛЬЕЛЕКТРО"</x:v>
      </x:c>
      <x:c r="G7" s="21" t="str">
        <x:v>00132351</x:v>
      </x:c>
      <x:c r="H7" s="20" t="str">
        <x:v>Підстанції / силові мережі</x:v>
      </x:c>
      <x:c r="I7" s="20" t="str">
        <x:v>N.15 — електромонтаж / силові системи</x:v>
      </x:c>
      <x:c r="J7" s="22" t="n">
        <x:v>93</x:v>
      </x:c>
      <x:c r="K7" s="22" t="n">
        <x:v>7</x:v>
      </x:c>
      <x:c r="L7" s="23" t="n">
        <x:v>21323337.23</x:v>
      </x:c>
      <x:c r="M7" s="24" t="n">
        <x:v>46246.25897275463</x:v>
      </x:c>
      <x:c r="N7" s="24" t="n">
        <x:v>46356</x:v>
      </x:c>
      <x:c r="O7" s="20" t="str">
        <x:v>2 — Перевірений корпоративний маршрут</x:v>
      </x:c>
      <x:c r="P7" s="20" t="str">
        <x:v>keep_pilot_n15</x:v>
      </x:c>
      <x:c r="Q7" s="25" t="str">
        <x:v>Exact EDRPOU and subsidiary identity are corroborated by registry search and the parent company's public corporate page. Official Prozorro awards provide the primary evidence for transformer-substation and power-line scope.</x:v>
      </x:c>
      <x:c r="R7" s="20" t="str">
        <x:v>Не контактували</x:v>
      </x:c>
      <x:c r="S7" s="26" t="str">
        <x:v>0 — Не запрошували</x:v>
      </x:c>
      <x:c r="T7" s="20" t="b">
        <x:f>OR(LEFT(S7,1)="2",LEFT(S7,1)="3",LEFT(S7,1)="4",LEFT(S7,1)="5",LEFT(S7,1)="6")</x:f>
        <x:v>0</x:v>
      </x:c>
      <x:c r="U7" s="20" t="b">
        <x:f>OR(LEFT(S7,1)="3",LEFT(S7,1)="4",LEFT(S7,1)="5",LEFT(S7,1)="6")</x:f>
        <x:v>0</x:v>
      </x:c>
      <x:c r="V7" s="20" t="b">
        <x:f>AND(OR(LEFT(S7,1)="5",LEFT(S7,1)="6"),LEN(AD7)&gt;0)</x:f>
        <x:v>0</x:v>
      </x:c>
      <x:c r="W7" s="27"/>
      <x:c r="X7" s="26" t="str"/>
      <x:c r="Y7" s="25" t="str">
        <x:v>Замінити demo-link, додати відправника, отримати дозвіл і запустити A1-N01; згоду рахувати лише за явною відповіддю</x:v>
      </x:c>
      <x:c r="Z7" s="25" t="str">
        <x:v>UA-2026-07-28-006431-a</x:v>
      </x:c>
      <x:c r="AA7" s="2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x:v>
      </x:c>
      <x:c r="AB7" s="25" t="str">
        <x:v>https://prozorro.gov.ua/tender/UA-2026-07-28-006431-a</x:v>
      </x:c>
      <x:c r="AC7" s="25" t="str">
        <x:v>https://kievselelektro.pat.ua/</x:v>
      </x:c>
      <x:c r="AD7" s="28" t="str"/>
      <x:c r="AE7" s="28" t="str"/>
    </x:row>
    <x:row r="8" ht="42" customHeight="1">
      <x:c r="A8" s="20" t="n">
        <x:v>4</x:v>
      </x:c>
      <x:c r="B8" s="20" t="str">
        <x:v>A1 — Запуск пилота 30–45 дней</x:v>
      </x:c>
      <x:c r="C8" s="20" t="str">
        <x:v>New outbound</x:v>
      </x:c>
      <x:c r="D8" s="20" t="str">
        <x:v>A1-N01</x:v>
      </x:c>
      <x:c r="E8" s="22" t="n">
        <x:v>98</x:v>
      </x:c>
      <x:c r="F8" s="20" t="str">
        <x:v>ТОВАРИСТВО З ОБМЕЖЕНОЮ ВІДПОВІДАЛЬНІСТЮ "ВІК.КІНГ"</x:v>
      </x:c>
      <x:c r="G8" s="21" t="str">
        <x:v>38119659</x:v>
      </x:c>
      <x:c r="H8" s="20" t="str">
        <x:v>Підстанції / силові мережі</x:v>
      </x:c>
      <x:c r="I8" s="20" t="str">
        <x:v>N.15 — електромонтаж / силові системи</x:v>
      </x:c>
      <x:c r="J8" s="22" t="n">
        <x:v>89</x:v>
      </x:c>
      <x:c r="K8" s="22" t="n">
        <x:v>1</x:v>
      </x:c>
      <x:c r="L8" s="23" t="n">
        <x:v>8942704</x:v>
      </x:c>
      <x:c r="M8" s="24" t="n">
        <x:v>46245.54080938658</x:v>
      </x:c>
      <x:c r="N8" s="24" t="n">
        <x:v>46325.916655092595</x:v>
      </x:c>
      <x:c r="O8" s="20" t="str">
        <x:v>2 — Перевірений корпоративний маршрут</x:v>
      </x:c>
      <x:c r="P8" s="20" t="str">
        <x:v>keep_pilot_now</x:v>
      </x:c>
      <x:c r="Q8" s="25" t="str">
        <x:v>Registry search corroborates the entity and KVED 41.20; no official company site found. Official Prozorro awards remain the primary work-scope evidence.</x:v>
      </x:c>
      <x:c r="R8" s="20" t="str">
        <x:v>Не контактували</x:v>
      </x:c>
      <x:c r="S8" s="26" t="str">
        <x:v>0 — Не запрошували</x:v>
      </x:c>
      <x:c r="T8" s="20" t="b">
        <x:f>OR(LEFT(S8,1)="2",LEFT(S8,1)="3",LEFT(S8,1)="4",LEFT(S8,1)="5",LEFT(S8,1)="6")</x:f>
        <x:v>0</x:v>
      </x:c>
      <x:c r="U8" s="20" t="b">
        <x:f>OR(LEFT(S8,1)="3",LEFT(S8,1)="4",LEFT(S8,1)="5",LEFT(S8,1)="6")</x:f>
        <x:v>0</x:v>
      </x:c>
      <x:c r="V8" s="20" t="b">
        <x:f>AND(OR(LEFT(S8,1)="5",LEFT(S8,1)="6"),LEN(AD8)&gt;0)</x:f>
        <x:v>0</x:v>
      </x:c>
      <x:c r="W8" s="27"/>
      <x:c r="X8" s="26" t="str"/>
      <x:c r="Y8" s="25" t="str">
        <x:v>Замінити demo-link, додати відправника, отримати дозвіл і запустити A1-N01; згоду рахувати лише за явною відповіддю</x:v>
      </x:c>
      <x:c r="Z8" s="25" t="str">
        <x:v>UA-2026-07-17-001813-a</x:v>
      </x:c>
      <x:c r="AA8" s="25" t="str">
        <x:v>"Реконструкція розподільчого пристрою 0,4 кВ, ВНС №10 (інв. №565) за адресою: с. Пісочин, вул. Автомобільна, 1, приєднання сонячної електростанції потужністю 106 кВт, для власних потреб" (код ДК: 021:2015-45454000-4-Реконструкція )
</x:v>
      </x:c>
      <x:c r="AB8" s="25" t="str">
        <x:v>https://prozorro.gov.ua/tender/UA-2026-07-17-001813-a</x:v>
      </x:c>
      <x:c r="AC8" s="25" t="str">
        <x:v>https://opendatabot.ua/c/38119659</x:v>
      </x:c>
      <x:c r="AD8" s="28" t="str"/>
      <x:c r="AE8" s="28" t="str"/>
    </x:row>
    <x:row r="9" ht="42" customHeight="1">
      <x:c r="A9" s="20" t="n">
        <x:v>5</x:v>
      </x:c>
      <x:c r="B9" s="20" t="str">
        <x:v>A1 — Запуск пилота 30–45 дней</x:v>
      </x:c>
      <x:c r="C9" s="20" t="str">
        <x:v>New outbound</x:v>
      </x:c>
      <x:c r="D9" s="20" t="str">
        <x:v>A1-N01</x:v>
      </x:c>
      <x:c r="E9" s="22" t="n">
        <x:v>96</x:v>
      </x:c>
      <x:c r="F9" s="20" t="str">
        <x:v>МПП "Агроенергосервіс"</x:v>
      </x:c>
      <x:c r="G9" s="21" t="str">
        <x:v>23628267</x:v>
      </x:c>
      <x:c r="H9" s="20" t="str">
        <x:v>Електромонтаж</x:v>
      </x:c>
      <x:c r="I9" s="20" t="str">
        <x:v>N.15 — електромонтаж / силові системи</x:v>
      </x:c>
      <x:c r="J9" s="22" t="n">
        <x:v>81</x:v>
      </x:c>
      <x:c r="K9" s="22" t="n">
        <x:v>5</x:v>
      </x:c>
      <x:c r="L9" s="23" t="n">
        <x:v>113401</x:v>
      </x:c>
      <x:c r="M9" s="24" t="n">
        <x:v>46258.40389858796</x:v>
      </x:c>
      <x:c r="N9" s="24" t="n">
        <x:v>46387.446435185186</x:v>
      </x:c>
      <x:c r="O9" s="20" t="str">
        <x:v>2 — Перевірений корпоративний маршрут</x:v>
      </x:c>
      <x:c r="P9" s="20" t="str">
        <x:v>keep_pilot_n15_tender_route</x:v>
      </x:c>
      <x:c r="Q9" s="25" t="str">
        <x:v>Exact active entity is corroborated. Focused search also surfaced public procurement work for electrical-equipment measurements and the current official electrical-installation contracts; no standalone official company website was found.</x:v>
      </x:c>
      <x:c r="R9" s="20" t="str">
        <x:v>Не контактували</x:v>
      </x:c>
      <x:c r="S9" s="26" t="str">
        <x:v>0 — Не запрошували</x:v>
      </x:c>
      <x:c r="T9" s="20" t="b">
        <x:f>OR(LEFT(S9,1)="2",LEFT(S9,1)="3",LEFT(S9,1)="4",LEFT(S9,1)="5",LEFT(S9,1)="6")</x:f>
        <x:v>0</x:v>
      </x:c>
      <x:c r="U9" s="20" t="b">
        <x:f>OR(LEFT(S9,1)="3",LEFT(S9,1)="4",LEFT(S9,1)="5",LEFT(S9,1)="6")</x:f>
        <x:v>0</x:v>
      </x:c>
      <x:c r="V9" s="20" t="b">
        <x:f>AND(OR(LEFT(S9,1)="5",LEFT(S9,1)="6"),LEN(AD9)&gt;0)</x:f>
        <x:v>0</x:v>
      </x:c>
      <x:c r="W9" s="27"/>
      <x:c r="X9" s="26" t="str"/>
      <x:c r="Y9" s="25" t="str">
        <x:v>Замінити demo-link, додати відправника, отримати дозвіл і запустити A1-N01; згоду рахувати лише за явною відповіддю</x:v>
      </x:c>
      <x:c r="Z9" s="25" t="str">
        <x:v>UA-2026-08-24-004736-a</x:v>
      </x:c>
      <x:c r="AA9" s="25" t="str">
        <x:v>Електромонтажні роботи електропроводки та електроарматури укриття Калузького СБК,(ДК 021-2015-45310000-3 - Електромонтажні роботи)</x:v>
      </x:c>
      <x:c r="AB9" s="25" t="str">
        <x:v>https://prozorro.gov.ua/tender/UA-2026-08-24-004736-a</x:v>
      </x:c>
      <x:c r="AC9" s="25" t="str">
        <x:v>https://opendatabot.ua/c/23628267</x:v>
      </x:c>
      <x:c r="AD9" s="28" t="str"/>
      <x:c r="AE9" s="28" t="str"/>
    </x:row>
    <x:row r="10" ht="42" customHeight="1">
      <x:c r="A10" s="20" t="n">
        <x:v>6</x:v>
      </x:c>
      <x:c r="B10" s="20" t="str">
        <x:v>A1 — Запуск пилота 30–45 дней</x:v>
      </x:c>
      <x:c r="C10" s="20" t="str">
        <x:v>New outbound</x:v>
      </x:c>
      <x:c r="D10" s="20" t="str">
        <x:v>A1-N01</x:v>
      </x:c>
      <x:c r="E10" s="22" t="n">
        <x:v>94</x:v>
      </x:c>
      <x:c r="F10" s="20" t="str">
        <x:v>Товариство з обмеженою відповідальністю «ОПИТНИЙ ЗАВОД М»</x:v>
      </x:c>
      <x:c r="G10" s="21" t="str">
        <x:v>33330969</x:v>
      </x:c>
      <x:c r="H10" s="20" t="str">
        <x:v>Підстанції / силові мережі</x:v>
      </x:c>
      <x:c r="I10" s="20" t="str">
        <x:v>N.15 — електромонтаж / силові системи</x:v>
      </x:c>
      <x:c r="J10" s="22" t="n">
        <x:v>72</x:v>
      </x:c>
      <x:c r="K10" s="22" t="n">
        <x:v>1</x:v>
      </x:c>
      <x:c r="L10" s="23" t="n">
        <x:v>249796570.83</x:v>
      </x:c>
      <x:c r="M10" s="24" t="n">
        <x:v>46204.487396516204</x:v>
      </x:c>
      <x:c r="N10" s="24" t="n">
        <x:v>46295</x:v>
      </x:c>
      <x:c r="O10" s="20" t="str">
        <x:v>1 — Офіційний сайт</x:v>
      </x:c>
      <x:c r="P10" s="20" t="str">
        <x:v>keep_pilot_n15</x:v>
      </x:c>
      <x:c r="Q10" s="25" t="str">
        <x:v>Official company website describes construction, repair and engineering services; registry search shows construction organization as the primary activity.</x:v>
      </x:c>
      <x:c r="R10" s="20" t="str">
        <x:v>Не контактували</x:v>
      </x:c>
      <x:c r="S10" s="26" t="str">
        <x:v>0 — Не запрошували</x:v>
      </x:c>
      <x:c r="T10" s="20" t="b">
        <x:f>OR(LEFT(S10,1)="2",LEFT(S10,1)="3",LEFT(S10,1)="4",LEFT(S10,1)="5",LEFT(S10,1)="6")</x:f>
        <x:v>0</x:v>
      </x:c>
      <x:c r="U10" s="20" t="b">
        <x:f>OR(LEFT(S10,1)="3",LEFT(S10,1)="4",LEFT(S10,1)="5",LEFT(S10,1)="6")</x:f>
        <x:v>0</x:v>
      </x:c>
      <x:c r="V10" s="20" t="b">
        <x:f>AND(OR(LEFT(S10,1)="5",LEFT(S10,1)="6"),LEN(AD10)&gt;0)</x:f>
        <x:v>0</x:v>
      </x:c>
      <x:c r="W10" s="27"/>
      <x:c r="X10" s="26" t="str"/>
      <x:c r="Y10" s="25" t="str">
        <x:v>Замінити demo-link, додати відправника, отримати дозвіл і запустити A1-N01; згоду рахувати лише за явною відповіддю</x:v>
      </x:c>
      <x:c r="Z10" s="25" t="str">
        <x:v>UA-2026-07-01-006262-a</x:v>
      </x:c>
      <x:c r="AA10" s="25" t="str">
        <x:v>45220000-5  Інженерні та будівельні роботи (Виконання додаткових робіт по об'єкту: "Реконструкція відкритого розподільчого пристрою з впровадженням II рівня інженерного (фізичного) захисту автотрансформаторів, що знаходиться за адресою: Харківська обл. I-черга". Зовнішні електричні мережі 110, 330 кВ.)</x:v>
      </x:c>
      <x:c r="AB10" s="25" t="str">
        <x:v>https://prozorro.gov.ua/tender/UA-2026-07-01-006262-a</x:v>
      </x:c>
      <x:c r="AC10" s="25" t="str">
        <x:v>http://zavodm.com.ua/</x:v>
      </x:c>
      <x:c r="AD10" s="28" t="str"/>
      <x:c r="AE10" s="28" t="str"/>
    </x:row>
    <x:row r="11" ht="42" customHeight="1">
      <x:c r="A11" s="20" t="n">
        <x:v>7</x:v>
      </x:c>
      <x:c r="B11" s="20" t="str">
        <x:v>A1 — Запуск пилота 30–45 дней</x:v>
      </x:c>
      <x:c r="C11" s="20" t="str">
        <x:v>New outbound</x:v>
      </x:c>
      <x:c r="D11" s="20" t="str">
        <x:v>A1-N01</x:v>
      </x:c>
      <x:c r="E11" s="22" t="n">
        <x:v>97</x:v>
      </x:c>
      <x:c r="F11" s="20" t="str">
        <x:v>Товариство з обмеженою відповідальністю  "Електротехнічна компанія"</x:v>
      </x:c>
      <x:c r="G11" s="21" t="str">
        <x:v>32346759</x:v>
      </x:c>
      <x:c r="H11" s="20" t="str">
        <x:v>Резервне живлення</x:v>
      </x:c>
      <x:c r="I11" s="20" t="str">
        <x:v>N.15 — електромонтаж / силові системи</x:v>
      </x:c>
      <x:c r="J11" s="22" t="n">
        <x:v>89</x:v>
      </x:c>
      <x:c r="K11" s="22" t="n">
        <x:v>3</x:v>
      </x:c>
      <x:c r="L11" s="23" t="n">
        <x:v>9177292.96</x:v>
      </x:c>
      <x:c r="M11" s="24" t="n">
        <x:v>46251.4519612963</x:v>
      </x:c>
      <x:c r="N11" s="24" t="n">
        <x:v>46356</x:v>
      </x:c>
      <x:c r="O11" s="20" t="str">
        <x:v>2 — Перевірений корпоративний маршрут</x:v>
      </x:c>
      <x:c r="P11" s="20" t="str">
        <x:v>browser_verified_registry_profile</x:v>
      </x:c>
      <x:c r="Q11" s="25" t="str">
        <x:v>Exact EDRPOU registry profile found; no standalone official company website identified in the top visible results.</x:v>
      </x:c>
      <x:c r="R11" s="20" t="str">
        <x:v>Не контактували</x:v>
      </x:c>
      <x:c r="S11" s="26" t="str">
        <x:v>0 — Не запрошували</x:v>
      </x:c>
      <x:c r="T11" s="20" t="b">
        <x:f>OR(LEFT(S11,1)="2",LEFT(S11,1)="3",LEFT(S11,1)="4",LEFT(S11,1)="5",LEFT(S11,1)="6")</x:f>
        <x:v>0</x:v>
      </x:c>
      <x:c r="U11" s="20" t="b">
        <x:f>OR(LEFT(S11,1)="3",LEFT(S11,1)="4",LEFT(S11,1)="5",LEFT(S11,1)="6")</x:f>
        <x:v>0</x:v>
      </x:c>
      <x:c r="V11" s="20" t="b">
        <x:f>AND(OR(LEFT(S11,1)="5",LEFT(S11,1)="6"),LEN(AD11)&gt;0)</x:f>
        <x:v>0</x:v>
      </x:c>
      <x:c r="W11" s="27"/>
      <x:c r="X11" s="26" t="str"/>
      <x:c r="Y11" s="25" t="str">
        <x:v>Замінити demo-link, додати відправника, отримати дозвіл і запустити A1-N01; згоду рахувати лише за явною відповіддю</x:v>
      </x:c>
      <x:c r="Z11" s="25" t="str">
        <x:v>UA-2026-08-05-010167-a</x:v>
      </x:c>
      <x:c r="AA11" s="2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в закладах освіти Оболонського району м. Києва)</x:v>
      </x:c>
      <x:c r="AB11" s="25" t="str">
        <x:v>https://prozorro.gov.ua/tender/UA-2026-08-05-010167-a</x:v>
      </x:c>
      <x:c r="AC11" s="25" t="str">
        <x:v>https://opendatabot.ua/c/32346759</x:v>
      </x:c>
      <x:c r="AD11" s="28" t="str"/>
      <x:c r="AE11" s="28" t="str"/>
    </x:row>
    <x:row r="12" ht="42" customHeight="1">
      <x:c r="A12" s="20" t="n">
        <x:v>8</x:v>
      </x:c>
      <x:c r="B12" s="20" t="str">
        <x:v>A1 — Запуск пилота 30–45 дней</x:v>
      </x:c>
      <x:c r="C12" s="20" t="str">
        <x:v>New outbound</x:v>
      </x:c>
      <x:c r="D12" s="20" t="str">
        <x:v>A1-N01</x:v>
      </x:c>
      <x:c r="E12" s="22" t="n">
        <x:v>91</x:v>
      </x:c>
      <x:c r="F12" s="20" t="str">
        <x:v>КОЛЕКТИВНЕ ПІДПРИЄМСТВО "ЕЛЕКТРОМОНТАЖНАЛАДКА"</x:v>
      </x:c>
      <x:c r="G12" s="21" t="str">
        <x:v>04847816</x:v>
      </x:c>
      <x:c r="H12" s="20" t="str">
        <x:v>Електромонтаж</x:v>
      </x:c>
      <x:c r="I12" s="20" t="str">
        <x:v>N.15 — електромонтаж / силові системи</x:v>
      </x:c>
      <x:c r="J12" s="22" t="n">
        <x:v>89</x:v>
      </x:c>
      <x:c r="K12" s="22" t="n">
        <x:v>10</x:v>
      </x:c>
      <x:c r="L12" s="23" t="n">
        <x:v>11222296.49</x:v>
      </x:c>
      <x:c r="M12" s="24" t="n">
        <x:v>46185.3350453125</x:v>
      </x:c>
      <x:c r="N12" s="24" t="n">
        <x:v>46387</x:v>
      </x:c>
      <x:c r="O12" s="20" t="str">
        <x:v>2 — Перевірений корпоративний маршрут</x:v>
      </x:c>
      <x:c r="P12" s="20" t="str">
        <x:v>identity_verified_tender_scope_primary</x:v>
      </x:c>
      <x:c r="Q12" s="25" t="str">
        <x:v>Exact EDRPOU and active legal entity are corroborated. No standalone official company website was found in the focused search; official Prozorro awards remain the primary evidence for electrical-installation and transformer work.</x:v>
      </x:c>
      <x:c r="R12" s="20" t="str">
        <x:v>Не контактували</x:v>
      </x:c>
      <x:c r="S12" s="26" t="str">
        <x:v>0 — Не запрошували</x:v>
      </x:c>
      <x:c r="T12" s="20" t="b">
        <x:f>OR(LEFT(S12,1)="2",LEFT(S12,1)="3",LEFT(S12,1)="4",LEFT(S12,1)="5",LEFT(S12,1)="6")</x:f>
        <x:v>0</x:v>
      </x:c>
      <x:c r="U12" s="20" t="b">
        <x:f>OR(LEFT(S12,1)="3",LEFT(S12,1)="4",LEFT(S12,1)="5",LEFT(S12,1)="6")</x:f>
        <x:v>0</x:v>
      </x:c>
      <x:c r="V12" s="20" t="b">
        <x:f>AND(OR(LEFT(S12,1)="5",LEFT(S12,1)="6"),LEN(AD12)&gt;0)</x:f>
        <x:v>0</x:v>
      </x:c>
      <x:c r="W12" s="27"/>
      <x:c r="X12" s="26" t="str"/>
      <x:c r="Y12" s="25" t="str">
        <x:v>Замінити demo-link, додати відправника, отримати дозвіл і запустити A1-N01; згоду рахувати лише за явною відповіддю</x:v>
      </x:c>
      <x:c r="Z12" s="25" t="str">
        <x:v>UA-2026-06-12-003411-a</x:v>
      </x:c>
      <x:c r="AA12" s="25" t="str">
        <x:v>Роботи з демонтажу зруйнованого внаслідок бойових дій силового трансформатора типу ТДТН-25000/150 (зав. № 81184, 1972 р.в.), перевезення та встановлення на його місце силового трансформатору типу ТДТГ-15000/150 (зав. № 72431, 1963 р.в.), у Баштанському районі Миколаївської області</x:v>
      </x:c>
      <x:c r="AB12" s="25" t="str">
        <x:v>https://prozorro.gov.ua/tender/UA-2026-06-12-003411-a</x:v>
      </x:c>
      <x:c r="AC12" s="25" t="str">
        <x:v>https://opendatabot.ua/c/04847816</x:v>
      </x:c>
      <x:c r="AD12" s="28" t="str"/>
      <x:c r="AE12" s="28" t="str"/>
    </x:row>
    <x:row r="13" ht="42" customHeight="1">
      <x:c r="A13" s="20" t="n">
        <x:v>9</x:v>
      </x:c>
      <x:c r="B13" s="20" t="str">
        <x:v>A1 — Запуск пилота 30–45 дней</x:v>
      </x:c>
      <x:c r="C13" s="20" t="str">
        <x:v>New outbound</x:v>
      </x:c>
      <x:c r="D13" s="20" t="str">
        <x:v>A1-N01</x:v>
      </x:c>
      <x:c r="E13" s="22" t="n">
        <x:v>90</x:v>
      </x:c>
      <x:c r="F13" s="20" t="str">
        <x:v>Товариство з обмеженою відповідальністю "КМК ЕЛЕКТРО"</x:v>
      </x:c>
      <x:c r="G13" s="21" t="str">
        <x:v>40858527</x:v>
      </x:c>
      <x:c r="H13" s="20" t="str">
        <x:v>Підстанції / силові мережі</x:v>
      </x:c>
      <x:c r="I13" s="20" t="str">
        <x:v>N.15 — електромонтаж / силові системи</x:v>
      </x:c>
      <x:c r="J13" s="22" t="n">
        <x:v>93</x:v>
      </x:c>
      <x:c r="K13" s="22" t="n">
        <x:v>12</x:v>
      </x:c>
      <x:c r="L13" s="23" t="n">
        <x:v>30056163.62</x:v>
      </x:c>
      <x:c r="M13" s="24" t="n">
        <x:v>46016.59424363426</x:v>
      </x:c>
      <x:c r="N13" s="24" t="n">
        <x:v>46234</x:v>
      </x:c>
      <x:c r="O13" s="20" t="str">
        <x:v>2 — Перевірений корпоративний маршрут</x:v>
      </x:c>
      <x:c r="P13" s="20" t="str"/>
      <x:c r="Q13" s="25" t="str"/>
      <x:c r="R13" s="20" t="str">
        <x:v>Не контактували</x:v>
      </x:c>
      <x:c r="S13" s="26" t="str">
        <x:v>0 — Не запрошували</x:v>
      </x:c>
      <x:c r="T13" s="20" t="b">
        <x:f>OR(LEFT(S13,1)="2",LEFT(S13,1)="3",LEFT(S13,1)="4",LEFT(S13,1)="5",LEFT(S13,1)="6")</x:f>
        <x:v>0</x:v>
      </x:c>
      <x:c r="U13" s="20" t="b">
        <x:f>OR(LEFT(S13,1)="3",LEFT(S13,1)="4",LEFT(S13,1)="5",LEFT(S13,1)="6")</x:f>
        <x:v>0</x:v>
      </x:c>
      <x:c r="V13" s="20" t="b">
        <x:f>AND(OR(LEFT(S13,1)="5",LEFT(S13,1)="6"),LEN(AD13)&gt;0)</x:f>
        <x:v>0</x:v>
      </x:c>
      <x:c r="W13" s="27"/>
      <x:c r="X13" s="26" t="str"/>
      <x:c r="Y13" s="25" t="str">
        <x:v>Замінити demo-link, додати відправника, отримати дозвіл і запустити A1-N01; згоду рахувати лише за явною відповіддю</x:v>
      </x:c>
      <x:c r="Z13" s="25" t="str">
        <x:v>UA-2025-12-04-020599-a</x:v>
      </x:c>
      <x:c r="AA13" s="25" t="str">
        <x:v>код 45317000-2 за ДК 021:2015 «Інші електромонтажні роботи» (будівництво кабельних ліній КЛ-0,4 кВ для електропостачання житлових будинків в м. Житомир, бульвар Тетерівський, 2, 4, 6, 10, 12, 9/2)</x:v>
      </x:c>
      <x:c r="AB13" s="25" t="str">
        <x:v>https://prozorro.gov.ua/tender/UA-2025-12-04-020599-a</x:v>
      </x:c>
      <x:c r="AC13" s="25" t="str">
        <x:v>https://www.energo.ua/uk/contractors/40858527</x:v>
      </x:c>
      <x:c r="AD13" s="28" t="str"/>
      <x:c r="AE13" s="28" t="str"/>
    </x:row>
    <x:row r="14" ht="42" customHeight="1">
      <x:c r="A14" s="20" t="n">
        <x:v>10</x:v>
      </x:c>
      <x:c r="B14" s="20" t="str">
        <x:v>A1 — Запуск пилота 30–45 дней</x:v>
      </x:c>
      <x:c r="C14" s="20" t="str">
        <x:v>New outbound</x:v>
      </x:c>
      <x:c r="D14" s="20" t="str">
        <x:v>A1-N01</x:v>
      </x:c>
      <x:c r="E14" s="22" t="n">
        <x:v>89</x:v>
      </x:c>
      <x:c r="F14" s="20" t="str">
        <x:v>ТОВАРИСТВО З ОБМЕЖЕНОЮ ВІДПОВІДАЛЬНІСТЮ "ГІДРА БУД МОНТАЖ"</x:v>
      </x:c>
      <x:c r="G14" s="21" t="str">
        <x:v>44215219</x:v>
      </x:c>
      <x:c r="H14" s="20" t="str">
        <x:v>Газопостачання / котельні</x:v>
      </x:c>
      <x:c r="I14" s="20" t="str">
        <x:v>N.14 — сантехніка / HVAC / тепло</x:v>
      </x:c>
      <x:c r="J14" s="22" t="n">
        <x:v>93</x:v>
      </x:c>
      <x:c r="K14" s="22" t="n">
        <x:v>5</x:v>
      </x:c>
      <x:c r="L14" s="23" t="n">
        <x:v>48523420.84</x:v>
      </x:c>
      <x:c r="M14" s="24" t="n">
        <x:v>46044.30892269676</x:v>
      </x:c>
      <x:c r="N14" s="24" t="n">
        <x:v>46053</x:v>
      </x:c>
      <x:c r="O14" s="20" t="str">
        <x:v>2 — Перевірений корпоративний маршрут</x:v>
      </x:c>
      <x:c r="P14" s="20" t="str"/>
      <x:c r="Q14" s="25" t="str"/>
      <x:c r="R14" s="20" t="str">
        <x:v>Не контактували</x:v>
      </x:c>
      <x:c r="S14" s="26" t="str">
        <x:v>0 — Не запрошували</x:v>
      </x:c>
      <x:c r="T14" s="20" t="b">
        <x:f>OR(LEFT(S14,1)="2",LEFT(S14,1)="3",LEFT(S14,1)="4",LEFT(S14,1)="5",LEFT(S14,1)="6")</x:f>
        <x:v>0</x:v>
      </x:c>
      <x:c r="U14" s="20" t="b">
        <x:f>OR(LEFT(S14,1)="3",LEFT(S14,1)="4",LEFT(S14,1)="5",LEFT(S14,1)="6")</x:f>
        <x:v>0</x:v>
      </x:c>
      <x:c r="V14" s="20" t="b">
        <x:f>AND(OR(LEFT(S14,1)="5",LEFT(S14,1)="6"),LEN(AD14)&gt;0)</x:f>
        <x:v>0</x:v>
      </x:c>
      <x:c r="W14" s="27"/>
      <x:c r="X14" s="26" t="str"/>
      <x:c r="Y14" s="25" t="str">
        <x:v>Замінити demo-link, додати відправника, отримати дозвіл і запустити A1-N01; згоду рахувати лише за явною відповіддю</x:v>
      </x:c>
      <x:c r="Z14" s="25" t="str">
        <x:v>UA-2026-01-22-000871-a</x:v>
      </x:c>
      <x:c r="AA14" s="25" t="str">
        <x:v>Реконструкція модульної транспортабельної котельні у м. Харкові за адресою: вул. ********** (резервне живлення). Монтаж димових труб та опори під газохід (код ДК 021:2015 – 45454000-4 "Реконструкція").</x:v>
      </x:c>
      <x:c r="AB14" s="25" t="str">
        <x:v>https://prozorro.gov.ua/tender/UA-2026-01-22-000871-a</x:v>
      </x:c>
      <x:c r="AC14" s="25" t="str"/>
      <x:c r="AD14" s="28" t="str"/>
      <x:c r="AE14" s="28" t="str"/>
    </x:row>
    <x:row r="15" ht="42" customHeight="1">
      <x:c r="A15" s="20" t="n">
        <x:v>11</x:v>
      </x:c>
      <x:c r="B15" s="20" t="str">
        <x:v>A1 — Запуск пилота 30–45 дней</x:v>
      </x:c>
      <x:c r="C15" s="20" t="str">
        <x:v>New outbound</x:v>
      </x:c>
      <x:c r="D15" s="20" t="str">
        <x:v>A1-N02</x:v>
      </x:c>
      <x:c r="E15" s="22" t="n">
        <x:v>89</x:v>
      </x:c>
      <x:c r="F15" s="20" t="str">
        <x:v>Товариство з обмеженою відповідальністю "Енергобуд-5"</x:v>
      </x:c>
      <x:c r="G15" s="21" t="str">
        <x:v>43323126</x:v>
      </x:c>
      <x:c r="H15" s="20" t="str">
        <x:v>Внутрішні сантехнічні системи</x:v>
      </x:c>
      <x:c r="I15" s="20" t="str">
        <x:v>N.14 — сантехніка / HVAC / тепло</x:v>
      </x:c>
      <x:c r="J15" s="22" t="n">
        <x:v>89</x:v>
      </x:c>
      <x:c r="K15" s="22" t="n">
        <x:v>1</x:v>
      </x:c>
      <x:c r="L15" s="23" t="n">
        <x:v>6597394.39</x:v>
      </x:c>
      <x:c r="M15" s="24" t="n">
        <x:v>46232.42025981481</x:v>
      </x:c>
      <x:c r="N15" s="24" t="n">
        <x:v>46265</x:v>
      </x:c>
      <x:c r="O15" s="20" t="str">
        <x:v>3 — Prozorro / реєстр; route потрібен</x:v>
      </x:c>
      <x:c r="P15" s="20" t="str"/>
      <x:c r="Q15" s="25" t="str"/>
      <x:c r="R15" s="20" t="str">
        <x:v>Не контактували</x:v>
      </x:c>
      <x:c r="S15" s="26" t="str">
        <x:v>0 — Не запрошували</x:v>
      </x:c>
      <x:c r="T15" s="20" t="b">
        <x:f>OR(LEFT(S15,1)="2",LEFT(S15,1)="3",LEFT(S15,1)="4",LEFT(S15,1)="5",LEFT(S15,1)="6")</x:f>
        <x:v>0</x:v>
      </x:c>
      <x:c r="U15" s="20" t="b">
        <x:f>OR(LEFT(S15,1)="3",LEFT(S15,1)="4",LEFT(S15,1)="5",LEFT(S15,1)="6")</x:f>
        <x:v>0</x:v>
      </x:c>
      <x:c r="V15" s="20" t="b">
        <x:f>AND(OR(LEFT(S15,1)="5",LEFT(S15,1)="6"),LEN(AD15)&gt;0)</x:f>
        <x:v>0</x:v>
      </x:c>
      <x:c r="W15" s="27"/>
      <x:c r="X15" s="26" t="str"/>
      <x:c r="Y15" s="25" t="str">
        <x:v>Запросить 20 минут и один обезличенный пакет; при подтверждении боли предложить 30–45 дней бесплатно</x:v>
      </x:c>
      <x:c r="Z15" s="25" t="str">
        <x:v>UA-2026-07-20-000458-a</x:v>
      </x:c>
      <x:c r="AA15" s="2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x:v>
      </x:c>
      <x:c r="AB15" s="25" t="str">
        <x:v>https://prozorro.gov.ua/tender/UA-2026-07-20-000458-a</x:v>
      </x:c>
      <x:c r="AC15" s="25" t="str"/>
      <x:c r="AD15" s="28" t="str"/>
      <x:c r="AE15" s="28" t="str"/>
    </x:row>
    <x:row r="16" ht="42" customHeight="1">
      <x:c r="A16" s="20" t="n">
        <x:v>12</x:v>
      </x:c>
      <x:c r="B16" s="20" t="str">
        <x:v>A1 — Запуск пилота 30–45 дней</x:v>
      </x:c>
      <x:c r="C16" s="20" t="str">
        <x:v>New outbound</x:v>
      </x:c>
      <x:c r="D16" s="20" t="str">
        <x:v>A1-N02</x:v>
      </x:c>
      <x:c r="E16" s="22" t="n">
        <x:v>89</x:v>
      </x:c>
      <x:c r="F16" s="20" t="str">
        <x:v>ТОВ "ІНЕК ІНЖИНІРИНГ"</x:v>
      </x:c>
      <x:c r="G16" s="21" t="str">
        <x:v>42771802</x:v>
      </x:c>
      <x:c r="H16" s="20" t="str">
        <x:v>Теплові пункти</x:v>
      </x:c>
      <x:c r="I16" s="20" t="str">
        <x:v>N.14 — сантехніка / HVAC / тепло</x:v>
      </x:c>
      <x:c r="J16" s="22" t="n">
        <x:v>88</x:v>
      </x:c>
      <x:c r="K16" s="22" t="n">
        <x:v>2</x:v>
      </x:c>
      <x:c r="L16" s="23" t="n">
        <x:v>19235967.89</x:v>
      </x:c>
      <x:c r="M16" s="24" t="n">
        <x:v>46253.69804892361</x:v>
      </x:c>
      <x:c r="N16" s="24" t="n">
        <x:v>46377</x:v>
      </x:c>
      <x:c r="O16" s="20" t="str">
        <x:v>3 — Prozorro / реєстр; route потрібен</x:v>
      </x:c>
      <x:c r="P16" s="20" t="str"/>
      <x:c r="Q16" s="25" t="str"/>
      <x:c r="R16" s="20" t="str">
        <x:v>Не контактували</x:v>
      </x:c>
      <x:c r="S16" s="26" t="str">
        <x:v>0 — Не запрошували</x:v>
      </x:c>
      <x:c r="T16" s="20" t="b">
        <x:f>OR(LEFT(S16,1)="2",LEFT(S16,1)="3",LEFT(S16,1)="4",LEFT(S16,1)="5",LEFT(S16,1)="6")</x:f>
        <x:v>0</x:v>
      </x:c>
      <x:c r="U16" s="20" t="b">
        <x:f>OR(LEFT(S16,1)="3",LEFT(S16,1)="4",LEFT(S16,1)="5",LEFT(S16,1)="6")</x:f>
        <x:v>0</x:v>
      </x:c>
      <x:c r="V16" s="20" t="b">
        <x:f>AND(OR(LEFT(S16,1)="5",LEFT(S16,1)="6"),LEN(AD16)&gt;0)</x:f>
        <x:v>0</x:v>
      </x:c>
      <x:c r="W16" s="27"/>
      <x:c r="X16" s="26" t="str"/>
      <x:c r="Y16" s="25" t="str">
        <x:v>Запросить 20 минут и один обезличенный пакет; при подтверждении боли предложить 30–45 дней бесплатно</x:v>
      </x:c>
      <x:c r="Z16" s="25" t="str">
        <x:v>UA-2026-07-29-011597-a</x:v>
      </x:c>
      <x:c r="AA16" s="25" t="str">
        <x:v>Реконструкція індивідуального теплового пункту в житловому будинку ЖБК «ХІМІК-13» за адресою: місто Київ, вул. Беретті, буд. 5
 (код ДК 021:2015: 45454000-4 – Реконструкція )</x:v>
      </x:c>
      <x:c r="AB16" s="25" t="str">
        <x:v>https://prozorro.gov.ua/tender/UA-2026-07-29-011597-a</x:v>
      </x:c>
      <x:c r="AC16" s="25" t="str"/>
      <x:c r="AD16" s="28" t="str"/>
      <x:c r="AE16" s="28" t="str"/>
    </x:row>
    <x:row r="17" ht="42" customHeight="1">
      <x:c r="A17" s="20" t="n">
        <x:v>13</x:v>
      </x:c>
      <x:c r="B17" s="20" t="str">
        <x:v>A1 — Запуск пилота 30–45 дней</x:v>
      </x:c>
      <x:c r="C17" s="20" t="str">
        <x:v>Re-engagement</x:v>
      </x:c>
      <x:c r="D17" s="20" t="str">
        <x:v>A1-R01</x:v>
      </x:c>
      <x:c r="E17" s="22" t="n">
        <x:v>88</x:v>
      </x:c>
      <x:c r="F17" s="20" t="str">
        <x:v>ТОВ «ЕНЕРДЖІ ГРУП»</x:v>
      </x:c>
      <x:c r="G17" s="21" t="str">
        <x:v>40169080</x:v>
      </x:c>
      <x:c r="H17" s="20" t="str">
        <x:v>Електромонтаж</x:v>
      </x:c>
      <x:c r="I17" s="20" t="str">
        <x:v>N.15 — електромонтаж / силові системи</x:v>
      </x:c>
      <x:c r="J17" s="22" t="n">
        <x:v>96</x:v>
      </x:c>
      <x:c r="K17" s="22" t="n">
        <x:v>11</x:v>
      </x:c>
      <x:c r="L17" s="23" t="n">
        <x:v>203129529.54</x:v>
      </x:c>
      <x:c r="M17" s="24" t="n">
        <x:v>46198.51572726852</x:v>
      </x:c>
      <x:c r="N17" s="24" t="n">
        <x:v>46356</x:v>
      </x:c>
      <x:c r="O17" s="20" t="str">
        <x:v>1 — Офіційний сайт</x:v>
      </x:c>
      <x:c r="P17" s="20" t="str"/>
      <x:c r="Q17" s="25" t="str"/>
      <x:c r="R17" s="20" t="str">
        <x:v>Надіслано 28.07 — follow-up</x:v>
      </x:c>
      <x:c r="S17" s="26" t="str">
        <x:v>1 — Запрошення надіслано</x:v>
      </x:c>
      <x:c r="T17" s="20" t="b">
        <x:f>OR(LEFT(S17,1)="2",LEFT(S17,1)="3",LEFT(S17,1)="4",LEFT(S17,1)="5",LEFT(S17,1)="6")</x:f>
        <x:v>0</x:v>
      </x:c>
      <x:c r="U17" s="20" t="b">
        <x:f>OR(LEFT(S17,1)="3",LEFT(S17,1)="4",LEFT(S17,1)="5",LEFT(S17,1)="6")</x:f>
        <x:v>0</x:v>
      </x:c>
      <x:c r="V17" s="20" t="b">
        <x:f>AND(OR(LEFT(S17,1)="5",LEFT(S17,1)="6"),LEN(AD17)&gt;0)</x:f>
        <x:v>0</x:v>
      </x:c>
      <x:c r="W17" s="27"/>
      <x:c r="X17" s="26" t="str">
        <x:v>Олександр</x:v>
      </x:c>
      <x:c r="Y17" s="25" t="str">
        <x:v>Запросить 20 минут и один обезличенный пакет; при подтверждении боли предложить 30–45 дней бесплатно</x:v>
      </x:c>
      <x:c r="Z17" s="25" t="str">
        <x:v>UA-2026-06-04-010767-a</x:v>
      </x:c>
      <x:c r="AA17" s="2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ПС 110/35/10 кВ "Стара Синява" та РП 35 кВ "ЕКО ВІНД" для приєднання вітрової електростанції ТОВ "ЕКО ВІНД ЛЕТИЧІВ" в с. Кудинка (к.н. 6823083300:05:005:0037) Хмельницького району Хмельницької області" (технічні умови нестандартного приєднання ТУ:004802-151225-2-22-04-3-000000-1))</x:v>
      </x:c>
      <x:c r="AB17" s="25" t="str">
        <x:v>https://prozorro.gov.ua/tender/UA-2026-06-04-010767-a</x:v>
      </x:c>
      <x:c r="AC17" s="25" t="str"/>
      <x:c r="AD17" s="28" t="str"/>
      <x:c r="AE17" s="28" t="str"/>
    </x:row>
    <x:row r="18" ht="42" customHeight="1">
      <x:c r="A18" s="20" t="n">
        <x:v>14</x:v>
      </x:c>
      <x:c r="B18" s="20" t="str">
        <x:v>A1 — Запуск пилота 30–45 дней</x:v>
      </x:c>
      <x:c r="C18" s="20" t="str">
        <x:v>New outbound</x:v>
      </x:c>
      <x:c r="D18" s="20" t="str">
        <x:v>A1-N02</x:v>
      </x:c>
      <x:c r="E18" s="22" t="n">
        <x:v>86</x:v>
      </x:c>
      <x:c r="F18" s="20" t="str">
        <x:v>ПРИВАТНЕ ПІДПРИЄМСТВО "СПЕЦСЕРВІС"</x:v>
      </x:c>
      <x:c r="G18" s="21" t="str">
        <x:v>30518990</x:v>
      </x:c>
      <x:c r="H18" s="20" t="str">
        <x:v>HVAC / ОВіК</x:v>
      </x:c>
      <x:c r="I18" s="20" t="str">
        <x:v>N.14 — сантехніка / HVAC / тепло</x:v>
      </x:c>
      <x:c r="J18" s="22" t="n">
        <x:v>66</x:v>
      </x:c>
      <x:c r="K18" s="22" t="n">
        <x:v>1</x:v>
      </x:c>
      <x:c r="L18" s="23" t="n">
        <x:v>2386825</x:v>
      </x:c>
      <x:c r="M18" s="24" t="n">
        <x:v>46163.54218483796</x:v>
      </x:c>
      <x:c r="N18" s="24" t="n">
        <x:v>46367.51802083333</x:v>
      </x:c>
      <x:c r="O18" s="20" t="str">
        <x:v>1 — Офіційний сайт</x:v>
      </x:c>
      <x:c r="P18" s="20" t="str"/>
      <x:c r="Q18" s="25" t="str"/>
      <x:c r="R18" s="20" t="str">
        <x:v>Не контактували</x:v>
      </x:c>
      <x:c r="S18" s="26" t="str">
        <x:v>0 — Не запрошували</x:v>
      </x:c>
      <x:c r="T18" s="20" t="b">
        <x:f>OR(LEFT(S18,1)="2",LEFT(S18,1)="3",LEFT(S18,1)="4",LEFT(S18,1)="5",LEFT(S18,1)="6")</x:f>
        <x:v>0</x:v>
      </x:c>
      <x:c r="U18" s="20" t="b">
        <x:f>OR(LEFT(S18,1)="3",LEFT(S18,1)="4",LEFT(S18,1)="5",LEFT(S18,1)="6")</x:f>
        <x:v>0</x:v>
      </x:c>
      <x:c r="V18" s="20" t="b">
        <x:f>AND(OR(LEFT(S18,1)="5",LEFT(S18,1)="6"),LEN(AD18)&gt;0)</x:f>
        <x:v>0</x:v>
      </x:c>
      <x:c r="W18" s="27"/>
      <x:c r="X18" s="26" t="str"/>
      <x:c r="Y18" s="25" t="str">
        <x:v>Запросить 20 минут и один обезличенный пакет; при подтверждении боли предложить 30–45 дней бесплатно</x:v>
      </x:c>
      <x:c r="Z18" s="25" t="str">
        <x:v>UA-2026-05-06-008852-a</x:v>
      </x:c>
      <x:c r="AA18" s="2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x:v>
      </x:c>
      <x:c r="AB18" s="25" t="str">
        <x:v>https://prozorro.gov.ua/tender/UA-2026-05-06-008852-a</x:v>
      </x:c>
      <x:c r="AC18" s="25" t="str">
        <x:v>https://spec-servis.com.ua/</x:v>
      </x:c>
      <x:c r="AD18" s="28" t="str"/>
      <x:c r="AE18" s="28" t="str"/>
    </x:row>
    <x:row r="19" ht="42" customHeight="1">
      <x:c r="A19" s="20" t="n">
        <x:v>15</x:v>
      </x:c>
      <x:c r="B19" s="20" t="str">
        <x:v>A1 — Запуск пилота 30–45 дней</x:v>
      </x:c>
      <x:c r="C19" s="20" t="str">
        <x:v>New outbound</x:v>
      </x:c>
      <x:c r="D19" s="20" t="str">
        <x:v>A1-N02</x:v>
      </x:c>
      <x:c r="E19" s="22" t="n">
        <x:v>86</x:v>
      </x:c>
      <x:c r="F19" s="20" t="str">
        <x:v>ТОВ "ВОЛЬТАЖ ГРУП"</x:v>
      </x:c>
      <x:c r="G19" s="21" t="str">
        <x:v>36685404</x:v>
      </x:c>
      <x:c r="H19" s="20" t="str">
        <x:v>Підстанції / силові мережі</x:v>
      </x:c>
      <x:c r="I19" s="20" t="str">
        <x:v>N.15 — електромонтаж / силові системи</x:v>
      </x:c>
      <x:c r="J19" s="22" t="n">
        <x:v>60</x:v>
      </x:c>
      <x:c r="K19" s="22" t="n">
        <x:v>1</x:v>
      </x:c>
      <x:c r="L19" s="23" t="n">
        <x:v>1888285</x:v>
      </x:c>
      <x:c r="M19" s="24" t="n">
        <x:v>46237.37735952546</x:v>
      </x:c>
      <x:c r="N19" s="24" t="n">
        <x:v>46387</x:v>
      </x:c>
      <x:c r="O19" s="20" t="str">
        <x:v>1 — Офіційний сайт</x:v>
      </x:c>
      <x:c r="P19" s="20" t="str"/>
      <x:c r="Q19" s="25" t="str"/>
      <x:c r="R19" s="20" t="str">
        <x:v>Не контактували</x:v>
      </x:c>
      <x:c r="S19" s="26" t="str">
        <x:v>0 — Не запрошували</x:v>
      </x:c>
      <x:c r="T19" s="20" t="b">
        <x:f>OR(LEFT(S19,1)="2",LEFT(S19,1)="3",LEFT(S19,1)="4",LEFT(S19,1)="5",LEFT(S19,1)="6")</x:f>
        <x:v>0</x:v>
      </x:c>
      <x:c r="U19" s="20" t="b">
        <x:f>OR(LEFT(S19,1)="3",LEFT(S19,1)="4",LEFT(S19,1)="5",LEFT(S19,1)="6")</x:f>
        <x:v>0</x:v>
      </x:c>
      <x:c r="V19" s="20" t="b">
        <x:f>AND(OR(LEFT(S19,1)="5",LEFT(S19,1)="6"),LEN(AD19)&gt;0)</x:f>
        <x:v>0</x:v>
      </x:c>
      <x:c r="W19" s="27"/>
      <x:c r="X19" s="26" t="str"/>
      <x:c r="Y19" s="25" t="str">
        <x:v>Запросить 20 минут и один обезличенный пакет; при подтверждении боли предложить 30–45 дней бесплатно</x:v>
      </x:c>
      <x:c r="Z19" s="25" t="str">
        <x:v>UA-2026-07-13-001954-a</x:v>
      </x:c>
      <x:c r="AA19" s="2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x:v>
      </x:c>
      <x:c r="AB19" s="25" t="str">
        <x:v>https://prozorro.gov.ua/tender/UA-2026-07-13-001954-a</x:v>
      </x:c>
      <x:c r="AC19" s="25" t="str">
        <x:v>https://www.voltageg.com/?lang=en</x:v>
      </x:c>
      <x:c r="AD19" s="28" t="str"/>
      <x:c r="AE19" s="28" t="str"/>
    </x:row>
    <x:row r="20" ht="42" customHeight="1">
      <x:c r="A20" s="20" t="n">
        <x:v>16</x:v>
      </x:c>
      <x:c r="B20" s="20" t="str">
        <x:v>A1 — Запуск пилота 30–45 дней</x:v>
      </x:c>
      <x:c r="C20" s="20" t="str">
        <x:v>New outbound</x:v>
      </x:c>
      <x:c r="D20" s="20" t="str">
        <x:v>A1-N02</x:v>
      </x:c>
      <x:c r="E20" s="22" t="n">
        <x:v>85</x:v>
      </x:c>
      <x:c r="F20" s="20" t="str">
        <x:v>Товариство з обмеженою відповідальністю "Техно-Буд-Центр"</x:v>
      </x:c>
      <x:c r="G20" s="21" t="str">
        <x:v>33768346</x:v>
      </x:c>
      <x:c r="H20" s="20" t="str">
        <x:v>Підстанції / силові мережі</x:v>
      </x:c>
      <x:c r="I20" s="20" t="str">
        <x:v>N.15 — електромонтаж / силові системи</x:v>
      </x:c>
      <x:c r="J20" s="22" t="n">
        <x:v>87</x:v>
      </x:c>
      <x:c r="K20" s="22" t="n">
        <x:v>4</x:v>
      </x:c>
      <x:c r="L20" s="23" t="n">
        <x:v>381939410</x:v>
      </x:c>
      <x:c r="M20" s="24" t="n">
        <x:v>45911.60363625</x:v>
      </x:c>
      <x:c r="N20" s="24" t="n">
        <x:v>46234</x:v>
      </x:c>
      <x:c r="O20" s="20" t="str">
        <x:v>3 — Prozorro / реєстр; route потрібен</x:v>
      </x:c>
      <x:c r="P20" s="20" t="str"/>
      <x:c r="Q20" s="25" t="str"/>
      <x:c r="R20" s="20" t="str">
        <x:v>Не контактували</x:v>
      </x:c>
      <x:c r="S20" s="26" t="str">
        <x:v>0 — Не запрошували</x:v>
      </x:c>
      <x:c r="T20" s="20" t="b">
        <x:f>OR(LEFT(S20,1)="2",LEFT(S20,1)="3",LEFT(S20,1)="4",LEFT(S20,1)="5",LEFT(S20,1)="6")</x:f>
        <x:v>0</x:v>
      </x:c>
      <x:c r="U20" s="20" t="b">
        <x:f>OR(LEFT(S20,1)="3",LEFT(S20,1)="4",LEFT(S20,1)="5",LEFT(S20,1)="6")</x:f>
        <x:v>0</x:v>
      </x:c>
      <x:c r="V20" s="20" t="b">
        <x:f>AND(OR(LEFT(S20,1)="5",LEFT(S20,1)="6"),LEN(AD20)&gt;0)</x:f>
        <x:v>0</x:v>
      </x:c>
      <x:c r="W20" s="27"/>
      <x:c r="X20" s="26" t="str"/>
      <x:c r="Y20" s="25" t="str">
        <x:v>Запросить 20 минут и один обезличенный пакет; при подтверждении боли предложить 30–45 дней бесплатно</x:v>
      </x:c>
      <x:c r="Z20" s="25" t="str">
        <x:v>UA-2025-06-20-000902-a</x:v>
      </x:c>
      <x:c r="AA20" s="25" t="str">
        <x:v>Реконструкція напірних каналізаційних колекторів від КНС №9 по вул. Андрея Шептицького,27 до КОС на вул. Об’їзна в м.Тернополі. 1 черга будівництва</x:v>
      </x:c>
      <x:c r="AB20" s="25" t="str">
        <x:v>https://prozorro.gov.ua/tender/UA-2025-06-20-000902-a</x:v>
      </x:c>
      <x:c r="AC20" s="25" t="str"/>
      <x:c r="AD20" s="28" t="str"/>
      <x:c r="AE20" s="28" t="str"/>
    </x:row>
    <x:row r="21" ht="42" customHeight="1">
      <x:c r="A21" s="20" t="n">
        <x:v>17</x:v>
      </x:c>
      <x:c r="B21" s="20" t="str">
        <x:v>A1 — Запуск пилота 30–45 дней</x:v>
      </x:c>
      <x:c r="C21" s="20" t="str">
        <x:v>New outbound</x:v>
      </x:c>
      <x:c r="D21" s="20" t="str">
        <x:v>A1-N02</x:v>
      </x:c>
      <x:c r="E21" s="22" t="n">
        <x:v>85</x:v>
      </x:c>
      <x:c r="F21" s="20" t="str">
        <x:v>ТОВ "ФАЛЬКОН-М"</x:v>
      </x:c>
      <x:c r="G21" s="21" t="str">
        <x:v>40772555</x:v>
      </x:c>
      <x:c r="H21" s="20" t="str">
        <x:v>Електромонтаж</x:v>
      </x:c>
      <x:c r="I21" s="20" t="str">
        <x:v>N.15 — електромонтаж / силові системи</x:v>
      </x:c>
      <x:c r="J21" s="22" t="n">
        <x:v>56</x:v>
      </x:c>
      <x:c r="K21" s="22" t="n">
        <x:v>1</x:v>
      </x:c>
      <x:c r="L21" s="23" t="n">
        <x:v>399130.57</x:v>
      </x:c>
      <x:c r="M21" s="24" t="n">
        <x:v>46247.34792717593</x:v>
      </x:c>
      <x:c r="N21" s="24" t="n">
        <x:v>46264</x:v>
      </x:c>
      <x:c r="O21" s="20" t="str">
        <x:v>1 — Офіційний сайт</x:v>
      </x:c>
      <x:c r="P21" s="20" t="str"/>
      <x:c r="Q21" s="25" t="str"/>
      <x:c r="R21" s="20" t="str">
        <x:v>Не контактували</x:v>
      </x:c>
      <x:c r="S21" s="26" t="str">
        <x:v>0 — Не запрошували</x:v>
      </x:c>
      <x:c r="T21" s="20" t="b">
        <x:f>OR(LEFT(S21,1)="2",LEFT(S21,1)="3",LEFT(S21,1)="4",LEFT(S21,1)="5",LEFT(S21,1)="6")</x:f>
        <x:v>0</x:v>
      </x:c>
      <x:c r="U21" s="20" t="b">
        <x:f>OR(LEFT(S21,1)="3",LEFT(S21,1)="4",LEFT(S21,1)="5",LEFT(S21,1)="6")</x:f>
        <x:v>0</x:v>
      </x:c>
      <x:c r="V21" s="20" t="b">
        <x:f>AND(OR(LEFT(S21,1)="5",LEFT(S21,1)="6"),LEN(AD21)&gt;0)</x:f>
        <x:v>0</x:v>
      </x:c>
      <x:c r="W21" s="27"/>
      <x:c r="X21" s="26" t="str"/>
      <x:c r="Y21" s="25" t="str">
        <x:v>Запросить 20 минут и один обезличенный пакет; при подтверждении боли предложить 30–45 дней бесплатно</x:v>
      </x:c>
      <x:c r="Z21" s="25" t="str">
        <x:v>UA-2026-08-03-005283-a</x:v>
      </x:c>
      <x:c r="AA21" s="25" t="str">
        <x:v>Електромонтажні роботи  </x:v>
      </x:c>
      <x:c r="AB21" s="25" t="str">
        <x:v>https://prozorro.gov.ua/tender/UA-2026-08-03-005283-a</x:v>
      </x:c>
      <x:c r="AC21" s="25" t="str">
        <x:v>http://falcon.net.ua/</x:v>
      </x:c>
      <x:c r="AD21" s="28" t="str"/>
      <x:c r="AE21" s="28" t="str"/>
    </x:row>
    <x:row r="22" ht="42" customHeight="1">
      <x:c r="A22" s="20" t="n">
        <x:v>18</x:v>
      </x:c>
      <x:c r="B22" s="20" t="str">
        <x:v>A1 — Запуск пилота 30–45 дней</x:v>
      </x:c>
      <x:c r="C22" s="20" t="str">
        <x:v>New outbound</x:v>
      </x:c>
      <x:c r="D22" s="20" t="str">
        <x:v>A1-N02</x:v>
      </x:c>
      <x:c r="E22" s="22" t="n">
        <x:v>82</x:v>
      </x:c>
      <x:c r="F22" s="20" t="str">
        <x:v>ТОВ "ГРІНФОР ЛТД"</x:v>
      </x:c>
      <x:c r="G22" s="21" t="str">
        <x:v>41005068</x:v>
      </x:c>
      <x:c r="H22" s="20" t="str">
        <x:v>Підстанції / силові мережі</x:v>
      </x:c>
      <x:c r="I22" s="20" t="str">
        <x:v>N.15 — електромонтаж / силові системи</x:v>
      </x:c>
      <x:c r="J22" s="22" t="n">
        <x:v>93</x:v>
      </x:c>
      <x:c r="K22" s="22" t="n">
        <x:v>2</x:v>
      </x:c>
      <x:c r="L22" s="23" t="n">
        <x:v>16126609.51</x:v>
      </x:c>
      <x:c r="M22" s="24" t="n">
        <x:v>45726.61169194445</x:v>
      </x:c>
      <x:c r="N22" s="24" t="n">
        <x:v>45778.570497685185</x:v>
      </x:c>
      <x:c r="O22" s="20" t="str">
        <x:v>3 — Prozorro / реєстр; route потрібен</x:v>
      </x:c>
      <x:c r="P22" s="20" t="str"/>
      <x:c r="Q22" s="25" t="str"/>
      <x:c r="R22" s="20" t="str">
        <x:v>Не контактували</x:v>
      </x:c>
      <x:c r="S22" s="26" t="str">
        <x:v>0 — Не запрошували</x:v>
      </x:c>
      <x:c r="T22" s="20" t="b">
        <x:f>OR(LEFT(S22,1)="2",LEFT(S22,1)="3",LEFT(S22,1)="4",LEFT(S22,1)="5",LEFT(S22,1)="6")</x:f>
        <x:v>0</x:v>
      </x:c>
      <x:c r="U22" s="20" t="b">
        <x:f>OR(LEFT(S22,1)="3",LEFT(S22,1)="4",LEFT(S22,1)="5",LEFT(S22,1)="6")</x:f>
        <x:v>0</x:v>
      </x:c>
      <x:c r="V22" s="20" t="b">
        <x:f>AND(OR(LEFT(S22,1)="5",LEFT(S22,1)="6"),LEN(AD22)&gt;0)</x:f>
        <x:v>0</x:v>
      </x:c>
      <x:c r="W22" s="27"/>
      <x:c r="X22" s="26" t="str"/>
      <x:c r="Y22" s="25" t="str">
        <x:v>Запросить 20 минут и один обезличенный пакет; при подтверждении боли предложить 30–45 дней бесплатно</x:v>
      </x:c>
      <x:c r="Z22" s="25" t="str">
        <x:v>UA-2025-03-10-012225-a</x:v>
      </x:c>
      <x:c r="AA22" s="25" t="str">
        <x:v>Реконструкція кабельної лінії КЛ-10 кВ ТП -24-ТП-22 по вул. У. Кармелюка,9 у м. Чернівці, код за ДК 021:2015  45230000-8 - Будівництво трубопроводів, ліній зв’язку та електропередач, шосе, доріг, аеродромів і залізничних доріг; вирівнювання поверхонь (45231400-9 - Прокладання ліній електропередач)</x:v>
      </x:c>
      <x:c r="AB22" s="25" t="str">
        <x:v>https://prozorro.gov.ua/tender/UA-2025-03-10-012225-a</x:v>
      </x:c>
      <x:c r="AC22" s="25" t="str"/>
      <x:c r="AD22" s="28" t="str"/>
      <x:c r="AE22" s="28" t="str"/>
    </x:row>
    <x:row r="23" ht="42" customHeight="1">
      <x:c r="A23" s="20" t="n">
        <x:v>19</x:v>
      </x:c>
      <x:c r="B23" s="20" t="str">
        <x:v>A1 — Запуск пилота 30–45 дней</x:v>
      </x:c>
      <x:c r="C23" s="20" t="str">
        <x:v>New outbound</x:v>
      </x:c>
      <x:c r="D23" s="20" t="str">
        <x:v>A1-N02</x:v>
      </x:c>
      <x:c r="E23" s="22" t="n">
        <x:v>82</x:v>
      </x:c>
      <x:c r="F23" s="20" t="str">
        <x:v>ТОВ "ЕНЕРГОІННОВАЦІЙНА КОМПАНІЯ"</x:v>
      </x:c>
      <x:c r="G23" s="21" t="str">
        <x:v>43177157</x:v>
      </x:c>
      <x:c r="H23" s="20" t="str">
        <x:v>Резервне живлення</x:v>
      </x:c>
      <x:c r="I23" s="20" t="str">
        <x:v>N.15 — електромонтаж / силові системи</x:v>
      </x:c>
      <x:c r="J23" s="22" t="n">
        <x:v>50</x:v>
      </x:c>
      <x:c r="K23" s="22" t="n">
        <x:v>1</x:v>
      </x:c>
      <x:c r="L23" s="23" t="n">
        <x:v>360000</x:v>
      </x:c>
      <x:c r="M23" s="24" t="n">
        <x:v>46157.45244673611</x:v>
      </x:c>
      <x:c r="N23" s="24" t="n">
        <x:v>46265</x:v>
      </x:c>
      <x:c r="O23" s="20" t="str">
        <x:v>1 — Офіційний сайт</x:v>
      </x:c>
      <x:c r="P23" s="20" t="str"/>
      <x:c r="Q23" s="25" t="str"/>
      <x:c r="R23" s="20" t="str">
        <x:v>Не контактували</x:v>
      </x:c>
      <x:c r="S23" s="26" t="str">
        <x:v>0 — Не запрошували</x:v>
      </x:c>
      <x:c r="T23" s="20" t="b">
        <x:f>OR(LEFT(S23,1)="2",LEFT(S23,1)="3",LEFT(S23,1)="4",LEFT(S23,1)="5",LEFT(S23,1)="6")</x:f>
        <x:v>0</x:v>
      </x:c>
      <x:c r="U23" s="20" t="b">
        <x:f>OR(LEFT(S23,1)="3",LEFT(S23,1)="4",LEFT(S23,1)="5",LEFT(S23,1)="6")</x:f>
        <x:v>0</x:v>
      </x:c>
      <x:c r="V23" s="20" t="b">
        <x:f>AND(OR(LEFT(S23,1)="5",LEFT(S23,1)="6"),LEN(AD23)&gt;0)</x:f>
        <x:v>0</x:v>
      </x:c>
      <x:c r="W23" s="27"/>
      <x:c r="X23" s="26" t="str"/>
      <x:c r="Y23" s="25" t="str">
        <x:v>Запросить 20 минут и один обезличенный пакет; при подтверждении боли предложить 30–45 дней бесплатно</x:v>
      </x:c>
      <x:c r="Z23" s="25" t="str">
        <x:v>UA-2026-05-07-004068-a</x:v>
      </x:c>
      <x:c r="AA23" s="25" t="str">
        <x:v>Послуги з підключення джерела резервного живлення (улаштування, монтаж та підключення дизель-генератора) до мережі електропостачання в Білоцерківській гімназії-початковій школі №15 Білоцерківської міської ради Київської області за адресою : Київська область, м. Біла Церква, вул. Польова, 70</x:v>
      </x:c>
      <x:c r="AB23" s="25" t="str">
        <x:v>https://prozorro.gov.ua/tender/UA-2026-05-07-004068-a</x:v>
      </x:c>
      <x:c r="AC23" s="25" t="str">
        <x:v>https://eik.net.ua/</x:v>
      </x:c>
      <x:c r="AD23" s="28" t="str"/>
      <x:c r="AE23" s="28" t="str"/>
    </x:row>
    <x:row r="24" ht="42" customHeight="1">
      <x:c r="A24" s="20" t="n">
        <x:v>20</x:v>
      </x:c>
      <x:c r="B24" s="20" t="str">
        <x:v>A1 — Запуск пилота 30–45 дней</x:v>
      </x:c>
      <x:c r="C24" s="20" t="str">
        <x:v>New outbound</x:v>
      </x:c>
      <x:c r="D24" s="20" t="str">
        <x:v>A1-N02</x:v>
      </x:c>
      <x:c r="E24" s="22" t="n">
        <x:v>81</x:v>
      </x:c>
      <x:c r="F24" s="20" t="str">
        <x:v>АТ"ІЦ"УКРГАЗТЕХНІКА"</x:v>
      </x:c>
      <x:c r="G24" s="21" t="str">
        <x:v>14073155</x:v>
      </x:c>
      <x:c r="H24" s="20" t="str">
        <x:v>Газопостачання / котельні</x:v>
      </x:c>
      <x:c r="I24" s="20" t="str">
        <x:v>N.14 — сантехніка / HVAC / тепло</x:v>
      </x:c>
      <x:c r="J24" s="22" t="n">
        <x:v>46</x:v>
      </x:c>
      <x:c r="K24" s="22" t="n">
        <x:v>1</x:v>
      </x:c>
      <x:c r="L24" s="23" t="n">
        <x:v>98800</x:v>
      </x:c>
      <x:c r="M24" s="24" t="n">
        <x:v>46142.5013240625</x:v>
      </x:c>
      <x:c r="N24" s="24" t="n">
        <x:v>46387</x:v>
      </x:c>
      <x:c r="O24" s="20" t="str">
        <x:v>1 — Офіційний сайт</x:v>
      </x:c>
      <x:c r="P24" s="20" t="str"/>
      <x:c r="Q24" s="25" t="str"/>
      <x:c r="R24" s="20" t="str">
        <x:v>Не контактували</x:v>
      </x:c>
      <x:c r="S24" s="26" t="str">
        <x:v>0 — Не запрошували</x:v>
      </x:c>
      <x:c r="T24" s="20" t="b">
        <x:f>OR(LEFT(S24,1)="2",LEFT(S24,1)="3",LEFT(S24,1)="4",LEFT(S24,1)="5",LEFT(S24,1)="6")</x:f>
        <x:v>0</x:v>
      </x:c>
      <x:c r="U24" s="20" t="b">
        <x:f>OR(LEFT(S24,1)="3",LEFT(S24,1)="4",LEFT(S24,1)="5",LEFT(S24,1)="6")</x:f>
        <x:v>0</x:v>
      </x:c>
      <x:c r="V24" s="20" t="b">
        <x:f>AND(OR(LEFT(S24,1)="5",LEFT(S24,1)="6"),LEN(AD24)&gt;0)</x:f>
        <x:v>0</x:v>
      </x:c>
      <x:c r="W24" s="27"/>
      <x:c r="X24" s="26" t="str"/>
      <x:c r="Y24" s="25" t="str">
        <x:v>Запросить 20 минут и один обезличенный пакет; при подтверждении боли предложить 30–45 дней бесплатно</x:v>
      </x:c>
      <x:c r="Z24" s="25" t="str">
        <x:v>UA-2026-04-30-007989-a</x:v>
      </x:c>
      <x:c r="AA24" s="2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x:v>
      </x:c>
      <x:c r="AB24" s="25" t="str">
        <x:v>https://prozorro.gov.ua/tender/UA-2026-04-30-007989-a</x:v>
      </x:c>
      <x:c r="AC24" s="25" t="str">
        <x:v>http://www.ugt.com.ua/</x:v>
      </x:c>
      <x:c r="AD24" s="28" t="str"/>
      <x:c r="AE24" s="28" t="str"/>
    </x:row>
    <x:row r="25" ht="42" customHeight="1">
      <x:c r="A25" s="20" t="n">
        <x:v>21</x:v>
      </x:c>
      <x:c r="B25" s="20" t="str">
        <x:v>A1 — Запуск пилота 30–45 дней</x:v>
      </x:c>
      <x:c r="C25" s="20" t="str">
        <x:v>Re-engagement</x:v>
      </x:c>
      <x:c r="D25" s="20" t="str">
        <x:v>A1-R01</x:v>
      </x:c>
      <x:c r="E25" s="22" t="n">
        <x:v>80</x:v>
      </x:c>
      <x:c r="F25" s="20" t="str">
        <x:v>ТОВ «ЕЛЕКТРОПОЛЮС-ІФ»</x:v>
      </x:c>
      <x:c r="G25" s="21" t="str">
        <x:v>34084649</x:v>
      </x:c>
      <x:c r="H25" s="20" t="str">
        <x:v>Електромонтаж</x:v>
      </x:c>
      <x:c r="I25" s="20" t="str">
        <x:v>N.15 — електромонтаж / силові системи</x:v>
      </x:c>
      <x:c r="J25" s="22" t="n">
        <x:v>75</x:v>
      </x:c>
      <x:c r="K25" s="22" t="n">
        <x:v>6</x:v>
      </x:c>
      <x:c r="L25" s="23" t="n">
        <x:v>4826112</x:v>
      </x:c>
      <x:c r="M25" s="24" t="n">
        <x:v>46055.59493230324</x:v>
      </x:c>
      <x:c r="N25" s="24" t="n">
        <x:v>46387.59721064815</x:v>
      </x:c>
      <x:c r="O25" s="20" t="str">
        <x:v>1 — Офіційний сайт</x:v>
      </x:c>
      <x:c r="P25" s="20" t="str"/>
      <x:c r="Q25" s="25" t="str"/>
      <x:c r="R25" s="20" t="str">
        <x:v>Надіслано 28.07 — follow-up</x:v>
      </x:c>
      <x:c r="S25" s="26" t="str">
        <x:v>1 — Запрошення надіслано</x:v>
      </x:c>
      <x:c r="T25" s="20" t="b">
        <x:f>OR(LEFT(S25,1)="2",LEFT(S25,1)="3",LEFT(S25,1)="4",LEFT(S25,1)="5",LEFT(S25,1)="6")</x:f>
        <x:v>0</x:v>
      </x:c>
      <x:c r="U25" s="20" t="b">
        <x:f>OR(LEFT(S25,1)="3",LEFT(S25,1)="4",LEFT(S25,1)="5",LEFT(S25,1)="6")</x:f>
        <x:v>0</x:v>
      </x:c>
      <x:c r="V25" s="20" t="b">
        <x:f>AND(OR(LEFT(S25,1)="5",LEFT(S25,1)="6"),LEN(AD25)&gt;0)</x:f>
        <x:v>0</x:v>
      </x:c>
      <x:c r="W25" s="27"/>
      <x:c r="X25" s="26" t="str">
        <x:v>Олександр</x:v>
      </x:c>
      <x:c r="Y25" s="25" t="str">
        <x:v>Запросить 20 минут и один обезличенный пакет; при подтверждении боли предложить 30–45 дней бесплатно</x:v>
      </x:c>
      <x:c r="Z25" s="25" t="str">
        <x:v>UA-2026-02-02-012243-a</x:v>
      </x:c>
      <x:c r="AA25" s="25" t="str">
        <x:v>Виконання робіт з будівництва лінії зв’язку з ПС за технологією ВОЛЗ: ПС 110/6 кВ «Сільмаш» - ПС 110/35/6 кВ «Коломия» в Івано-Франківській області (Інвестиційна програма ПрАТ «Прикарпаттяобленерго» на 2026 рік, розділ 5, пункт п.5.3.1.6)</x:v>
      </x:c>
      <x:c r="AB25" s="25" t="str">
        <x:v>https://prozorro.gov.ua/tender/UA-2026-02-02-012243-a</x:v>
      </x:c>
      <x:c r="AC25" s="25" t="str"/>
      <x:c r="AD25" s="28" t="str"/>
      <x:c r="AE25" s="28" t="str"/>
    </x:row>
    <x:row r="26" ht="42" customHeight="1">
      <x:c r="A26" s="20" t="n">
        <x:v>22</x:v>
      </x:c>
      <x:c r="B26" s="20" t="str">
        <x:v>A2 — Квалификация перед пилотом</x:v>
      </x:c>
      <x:c r="C26" s="20" t="str">
        <x:v>New outbound</x:v>
      </x:c>
      <x:c r="D26" s="20" t="str">
        <x:v>A2-N01</x:v>
      </x:c>
      <x:c r="E26" s="22" t="n">
        <x:v>82</x:v>
      </x:c>
      <x:c r="F26" s="20" t="str">
        <x:v>ТОВАРИСТВО З ОБМЕЖЕНОЮ ВІДПОВІДАЛЬНІСТЮ "ТЕПЛО-КВАР"</x:v>
      </x:c>
      <x:c r="G26" s="21" t="str">
        <x:v>34329599</x:v>
      </x:c>
      <x:c r="H26" s="20" t="str">
        <x:v>Промислові котельні</x:v>
      </x:c>
      <x:c r="I26" s="20" t="str">
        <x:v>N.14 — сантехніка / HVAC / тепло</x:v>
      </x:c>
      <x:c r="J26" s="22" t="n">
        <x:v>79</x:v>
      </x:c>
      <x:c r="K26" s="22" t="n">
        <x:v>0</x:v>
      </x:c>
      <x:c r="L26" s="23" t="n">
        <x:v>31397989.46</x:v>
      </x:c>
      <x:c r="M26" s="24" t="n">
        <x:v>46041.611839861114</x:v>
      </x:c>
      <x:c r="N26" s="24" t="n">
        <x:v>46081</x:v>
      </x:c>
      <x:c r="O26" s="20" t="str">
        <x:v>2 — Перевірений публічний профіль</x:v>
      </x:c>
      <x:c r="P26" s="20" t="str">
        <x:v>upgrade_pilot_n14</x:v>
      </x:c>
      <x:c r="Q26" s="25" t="str">
        <x:v>Primary KVED 43.22 for water, heating and air-conditioning installation is corroborated by the official construction registry and matches the shipped N.14 workflow.</x:v>
      </x:c>
      <x:c r="R26" s="20" t="str">
        <x:v>Не контактували</x:v>
      </x:c>
      <x:c r="S26" s="26" t="str">
        <x:v>0 — Не запрошували</x:v>
      </x:c>
      <x:c r="T26" s="20" t="b">
        <x:f>OR(LEFT(S26,1)="2",LEFT(S26,1)="3",LEFT(S26,1)="4",LEFT(S26,1)="5",LEFT(S26,1)="6")</x:f>
        <x:v>0</x:v>
      </x:c>
      <x:c r="U26" s="20" t="b">
        <x:f>OR(LEFT(S26,1)="3",LEFT(S26,1)="4",LEFT(S26,1)="5",LEFT(S26,1)="6")</x:f>
        <x:v>0</x:v>
      </x:c>
      <x:c r="V26" s="20" t="b">
        <x:f>AND(OR(LEFT(S26,1)="5",LEFT(S26,1)="6"),LEN(AD26)&gt;0)</x:f>
        <x:v>0</x:v>
      </x:c>
      <x:c r="W26" s="27"/>
      <x:c r="X26" s="26" t="str"/>
      <x:c r="Y26" s="25" t="str">
        <x:v>Проверить собственное выполнение, ПТО и активный проект; затем предложить узкий бесплатный пилот</x:v>
      </x:c>
      <x:c r="Z26" s="25" t="str">
        <x:v>UA-2026-01-19-014838-a</x:v>
      </x:c>
      <x:c r="AA26" s="25" t="str">
        <x:v>Нове будівництво модульної транспортабельної котельні в м. Харкові за адресою: вул. ********** (резервне живлення). Монтаж димових труб (код ДК 021:2015 – 45251000-1 "Будівництво електростанцій і теплових станцій").</x:v>
      </x:c>
      <x:c r="AB26" s="25" t="str">
        <x:v>https://prozorro.gov.ua/tender/UA-2026-01-19-014838-a</x:v>
      </x:c>
      <x:c r="AC26" s="25" t="str">
        <x:v>https://e-construction.gov.ua/organizations_detail/2283351179398218946?org_type=3</x:v>
      </x:c>
      <x:c r="AD26" s="28" t="str"/>
      <x:c r="AE26" s="28" t="str"/>
    </x:row>
    <x:row r="27" ht="42" customHeight="1">
      <x:c r="A27" s="20" t="n">
        <x:v>23</x:v>
      </x:c>
      <x:c r="B27" s="20" t="str">
        <x:v>A2 — Квалификация перед пилотом</x:v>
      </x:c>
      <x:c r="C27" s="20" t="str">
        <x:v>New outbound</x:v>
      </x:c>
      <x:c r="D27" s="20" t="str">
        <x:v>A2-N01</x:v>
      </x:c>
      <x:c r="E27" s="22" t="n">
        <x:v>92</x:v>
      </x:c>
      <x:c r="F27" s="20" t="str">
        <x:v>ПРИВАТНЕ ПІДПРИЄМСТВО " ВЕКТОР - А "</x:v>
      </x:c>
      <x:c r="G27" s="21" t="str">
        <x:v>32995105</x:v>
      </x:c>
      <x:c r="H27" s="20" t="str">
        <x:v>Промислова електрика / ПНР</x:v>
      </x:c>
      <x:c r="I27" s="20" t="str">
        <x:v>N.15 — електромонтаж / силові системи</x:v>
      </x:c>
      <x:c r="J27" s="22" t="n">
        <x:v>84</x:v>
      </x:c>
      <x:c r="K27" s="22" t="n">
        <x:v>3</x:v>
      </x:c>
      <x:c r="L27" s="23" t="n">
        <x:v>7254135.33</x:v>
      </x:c>
      <x:c r="M27" s="24" t="n">
        <x:v>46247.50735133102</x:v>
      </x:c>
      <x:c r="N27" s="24" t="n">
        <x:v>46387</x:v>
      </x:c>
      <x:c r="O27" s="20" t="str">
        <x:v>3 — Prozorro / реєстр; route потрібен</x:v>
      </x:c>
      <x:c r="P27" s="20" t="str"/>
      <x:c r="Q27" s="25" t="str"/>
      <x:c r="R27" s="20" t="str">
        <x:v>Не контактували</x:v>
      </x:c>
      <x:c r="S27" s="26" t="str">
        <x:v>0 — Не запрошували</x:v>
      </x:c>
      <x:c r="T27" s="20" t="b">
        <x:f>OR(LEFT(S27,1)="2",LEFT(S27,1)="3",LEFT(S27,1)="4",LEFT(S27,1)="5",LEFT(S27,1)="6")</x:f>
        <x:v>0</x:v>
      </x:c>
      <x:c r="U27" s="20" t="b">
        <x:f>OR(LEFT(S27,1)="3",LEFT(S27,1)="4",LEFT(S27,1)="5",LEFT(S27,1)="6")</x:f>
        <x:v>0</x:v>
      </x:c>
      <x:c r="V27" s="20" t="b">
        <x:f>AND(OR(LEFT(S27,1)="5",LEFT(S27,1)="6"),LEN(AD27)&gt;0)</x:f>
        <x:v>0</x:v>
      </x:c>
      <x:c r="W27" s="27"/>
      <x:c r="X27" s="26" t="str"/>
      <x:c r="Y27" s="25" t="str">
        <x:v>Проверить собственное выполнение, ПТО и активный проект; затем предложить узкий бесплатный пилот</x:v>
      </x:c>
      <x:c r="Z27" s="25" t="str">
        <x:v>UA-2026-07-27-002419-a</x:v>
      </x:c>
      <x:c r="AA27" s="2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сонячної електростанції "Немиринці-2" ТОВ "Немиринці Енерджі" в с. Немиринці (к.н. 6824286200:01:002:0002) Миролюбненської ОТГ Хмельницького району Хмельницької області" (технічні умови нестандартного приєднання ТУ:001225-191224-2-22-16-2-000000-1))</x:v>
      </x:c>
      <x:c r="AB27" s="25" t="str">
        <x:v>https://prozorro.gov.ua/tender/UA-2026-07-27-002419-a</x:v>
      </x:c>
      <x:c r="AC27" s="25" t="str"/>
      <x:c r="AD27" s="28" t="str"/>
      <x:c r="AE27" s="28" t="str"/>
    </x:row>
    <x:row r="28" ht="42" customHeight="1">
      <x:c r="A28" s="20" t="n">
        <x:v>24</x:v>
      </x:c>
      <x:c r="B28" s="20" t="str">
        <x:v>A2 — Квалификация перед пилотом</x:v>
      </x:c>
      <x:c r="C28" s="20" t="str">
        <x:v>New outbound</x:v>
      </x:c>
      <x:c r="D28" s="20" t="str">
        <x:v>A2-N01</x:v>
      </x:c>
      <x:c r="E28" s="22" t="n">
        <x:v>91</x:v>
      </x:c>
      <x:c r="F28" s="20" t="str">
        <x:v>ТОВ "ПП ВІВ"</x:v>
      </x:c>
      <x:c r="G28" s="21" t="str">
        <x:v>37323736</x:v>
      </x:c>
      <x:c r="H28" s="20" t="str">
        <x:v>Електромонтаж</x:v>
      </x:c>
      <x:c r="I28" s="20" t="str">
        <x:v>N.15 — електромонтаж / силові системи</x:v>
      </x:c>
      <x:c r="J28" s="22" t="n">
        <x:v>81</x:v>
      </x:c>
      <x:c r="K28" s="22" t="n">
        <x:v>4</x:v>
      </x:c>
      <x:c r="L28" s="23" t="n">
        <x:v>447452.4</x:v>
      </x:c>
      <x:c r="M28" s="24" t="n">
        <x:v>46224.334973287034</x:v>
      </x:c>
      <x:c r="N28" s="24" t="n">
        <x:v>46387</x:v>
      </x:c>
      <x:c r="O28" s="20" t="str">
        <x:v>3 — Prozorro / реєстр; route потрібен</x:v>
      </x:c>
      <x:c r="P28" s="20" t="str"/>
      <x:c r="Q28" s="25" t="str"/>
      <x:c r="R28" s="20" t="str">
        <x:v>Не контактували</x:v>
      </x:c>
      <x:c r="S28" s="26" t="str">
        <x:v>0 — Не запрошували</x:v>
      </x:c>
      <x:c r="T28" s="20" t="b">
        <x:f>OR(LEFT(S28,1)="2",LEFT(S28,1)="3",LEFT(S28,1)="4",LEFT(S28,1)="5",LEFT(S28,1)="6")</x:f>
        <x:v>0</x:v>
      </x:c>
      <x:c r="U28" s="20" t="b">
        <x:f>OR(LEFT(S28,1)="3",LEFT(S28,1)="4",LEFT(S28,1)="5",LEFT(S28,1)="6")</x:f>
        <x:v>0</x:v>
      </x:c>
      <x:c r="V28" s="20" t="b">
        <x:f>AND(OR(LEFT(S28,1)="5",LEFT(S28,1)="6"),LEN(AD28)&gt;0)</x:f>
        <x:v>0</x:v>
      </x:c>
      <x:c r="W28" s="27"/>
      <x:c r="X28" s="26" t="str"/>
      <x:c r="Y28" s="25" t="str">
        <x:v>Проверить собственное выполнение, ПТО и активный проект; затем предложить узкий бесплатный пилот</x:v>
      </x:c>
      <x:c r="Z28" s="25" t="str">
        <x:v>UA-2026-07-21-003036-a</x:v>
      </x:c>
      <x:c r="AA28" s="25" t="str">
        <x:v>Електромонтажні роботи</x:v>
      </x:c>
      <x:c r="AB28" s="25" t="str">
        <x:v>https://prozorro.gov.ua/tender/UA-2026-07-21-003036-a</x:v>
      </x:c>
      <x:c r="AC28" s="25" t="str"/>
      <x:c r="AD28" s="28" t="str"/>
      <x:c r="AE28" s="28" t="str"/>
    </x:row>
    <x:row r="29" ht="42" customHeight="1">
      <x:c r="A29" s="20" t="n">
        <x:v>25</x:v>
      </x:c>
      <x:c r="B29" s="20" t="str">
        <x:v>A2 — Квалификация перед пилотом</x:v>
      </x:c>
      <x:c r="C29" s="20" t="str">
        <x:v>New outbound</x:v>
      </x:c>
      <x:c r="D29" s="20" t="str">
        <x:v>A2-N01</x:v>
      </x:c>
      <x:c r="E29" s="22" t="n">
        <x:v>90</x:v>
      </x:c>
      <x:c r="F29" s="20" t="str">
        <x:v>ПРИВАТНЕ ПІДПРИЄМСТВО "ЕЛІТБУД-1"</x:v>
      </x:c>
      <x:c r="G29" s="21" t="str">
        <x:v>33555092</x:v>
      </x:c>
      <x:c r="H29" s="20" t="str">
        <x:v>Підстанції / силові мережі</x:v>
      </x:c>
      <x:c r="I29" s="20" t="str">
        <x:v>N.15 — електромонтаж / силові системи</x:v>
      </x:c>
      <x:c r="J29" s="22" t="n">
        <x:v>82</x:v>
      </x:c>
      <x:c r="K29" s="22" t="n">
        <x:v>3</x:v>
      </x:c>
      <x:c r="L29" s="23" t="n">
        <x:v>204750000</x:v>
      </x:c>
      <x:c r="M29" s="24" t="n">
        <x:v>46143.615071342596</x:v>
      </x:c>
      <x:c r="N29" s="24" t="n">
        <x:v>46477</x:v>
      </x:c>
      <x:c r="O29" s="20" t="str">
        <x:v>3 — Prozorro / реєстр; route потрібен</x:v>
      </x:c>
      <x:c r="P29" s="20" t="str"/>
      <x:c r="Q29" s="25" t="str"/>
      <x:c r="R29" s="20" t="str">
        <x:v>Не контактували</x:v>
      </x:c>
      <x:c r="S29" s="26" t="str">
        <x:v>0 — Не запрошували</x:v>
      </x:c>
      <x:c r="T29" s="20" t="b">
        <x:f>OR(LEFT(S29,1)="2",LEFT(S29,1)="3",LEFT(S29,1)="4",LEFT(S29,1)="5",LEFT(S29,1)="6")</x:f>
        <x:v>0</x:v>
      </x:c>
      <x:c r="U29" s="20" t="b">
        <x:f>OR(LEFT(S29,1)="3",LEFT(S29,1)="4",LEFT(S29,1)="5",LEFT(S29,1)="6")</x:f>
        <x:v>0</x:v>
      </x:c>
      <x:c r="V29" s="20" t="b">
        <x:f>AND(OR(LEFT(S29,1)="5",LEFT(S29,1)="6"),LEN(AD29)&gt;0)</x:f>
        <x:v>0</x:v>
      </x:c>
      <x:c r="W29" s="27"/>
      <x:c r="X29" s="26" t="str"/>
      <x:c r="Y29" s="25" t="str">
        <x:v>Проверить собственное выполнение, ПТО и активный проект; затем предложить узкий бесплатный пилот</x:v>
      </x:c>
      <x:c r="Z29" s="25" t="str">
        <x:v>UA-2026-05-01-011583-a</x:v>
      </x:c>
      <x:c r="AA29" s="2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x:v>
      </x:c>
      <x:c r="AB29" s="25" t="str">
        <x:v>https://prozorro.gov.ua/tender/UA-2026-05-01-011583-a</x:v>
      </x:c>
      <x:c r="AC29" s="25" t="str"/>
      <x:c r="AD29" s="28" t="str"/>
      <x:c r="AE29" s="28" t="str"/>
    </x:row>
    <x:row r="30" ht="42" customHeight="1">
      <x:c r="A30" s="20" t="n">
        <x:v>26</x:v>
      </x:c>
      <x:c r="B30" s="20" t="str">
        <x:v>A2 — Квалификация перед пилотом</x:v>
      </x:c>
      <x:c r="C30" s="20" t="str">
        <x:v>New outbound</x:v>
      </x:c>
      <x:c r="D30" s="20" t="str">
        <x:v>A2-N01</x:v>
      </x:c>
      <x:c r="E30" s="22" t="n">
        <x:v>90</x:v>
      </x:c>
      <x:c r="F30" s="20" t="str">
        <x:v>ТОВАРИСТВО З ОБМЕЖЕНОЮ ВІДПОВІДАЛЬНІСТЮ "БОГАРТ БУД"</x:v>
      </x:c>
      <x:c r="G30" s="21" t="str">
        <x:v>35987296</x:v>
      </x:c>
      <x:c r="H30" s="20" t="str">
        <x:v>Підстанції / силові мережі</x:v>
      </x:c>
      <x:c r="I30" s="20" t="str">
        <x:v>N.15 — електромонтаж / силові системи</x:v>
      </x:c>
      <x:c r="J30" s="22" t="n">
        <x:v>82</x:v>
      </x:c>
      <x:c r="K30" s="22" t="n">
        <x:v>3</x:v>
      </x:c>
      <x:c r="L30" s="23" t="n">
        <x:v>346065428.8</x:v>
      </x:c>
      <x:c r="M30" s="24" t="n">
        <x:v>46167.53875150463</x:v>
      </x:c>
      <x:c r="N30" s="24" t="n">
        <x:v>46752</x:v>
      </x:c>
      <x:c r="O30" s="20" t="str">
        <x:v>3 — Prozorro / реєстр; route потрібен</x:v>
      </x:c>
      <x:c r="P30" s="20" t="str"/>
      <x:c r="Q30" s="25" t="str"/>
      <x:c r="R30" s="20" t="str">
        <x:v>Не контактували</x:v>
      </x:c>
      <x:c r="S30" s="26" t="str">
        <x:v>0 — Не запрошували</x:v>
      </x:c>
      <x:c r="T30" s="20" t="b">
        <x:f>OR(LEFT(S30,1)="2",LEFT(S30,1)="3",LEFT(S30,1)="4",LEFT(S30,1)="5",LEFT(S30,1)="6")</x:f>
        <x:v>0</x:v>
      </x:c>
      <x:c r="U30" s="20" t="b">
        <x:f>OR(LEFT(S30,1)="3",LEFT(S30,1)="4",LEFT(S30,1)="5",LEFT(S30,1)="6")</x:f>
        <x:v>0</x:v>
      </x:c>
      <x:c r="V30" s="20" t="b">
        <x:f>AND(OR(LEFT(S30,1)="5",LEFT(S30,1)="6"),LEN(AD30)&gt;0)</x:f>
        <x:v>0</x:v>
      </x:c>
      <x:c r="W30" s="27"/>
      <x:c r="X30" s="26" t="str"/>
      <x:c r="Y30" s="25" t="str">
        <x:v>Проверить собственное выполнение, ПТО и активный проект; затем предложить узкий бесплатный пилот</x:v>
      </x:c>
      <x:c r="Z30" s="25" t="str">
        <x:v>UA-2026-05-25-011121-a</x:v>
      </x:c>
      <x:c r="AA30" s="25" t="str">
        <x:v>Реконструкція електричної підстанції №2 АТ “ДТЕК Дніпровські електромережі” у Дніпропетровській області (ДК 021:2015: 45454000-4 - Реконструкція)</x:v>
      </x:c>
      <x:c r="AB30" s="25" t="str">
        <x:v>https://prozorro.gov.ua/tender/UA-2026-05-25-011121-a</x:v>
      </x:c>
      <x:c r="AC30" s="25" t="str"/>
      <x:c r="AD30" s="28" t="str"/>
      <x:c r="AE30" s="28" t="str"/>
    </x:row>
    <x:row r="31" ht="42" customHeight="1">
      <x:c r="A31" s="20" t="n">
        <x:v>27</x:v>
      </x:c>
      <x:c r="B31" s="20" t="str">
        <x:v>A2 — Квалификация перед пилотом</x:v>
      </x:c>
      <x:c r="C31" s="20" t="str">
        <x:v>New outbound</x:v>
      </x:c>
      <x:c r="D31" s="20" t="str">
        <x:v>A2-N01</x:v>
      </x:c>
      <x:c r="E31" s="22" t="n">
        <x:v>90</x:v>
      </x:c>
      <x:c r="F31" s="20" t="str">
        <x:v>ТОВАРИСТВО З ОБМЕЖЕНОЮ ВІДПОВІДАЛЬНІСТЮ "ДОРІНВЕСТКАПІТАЛ"</x:v>
      </x:c>
      <x:c r="G31" s="21" t="str">
        <x:v>40946419</x:v>
      </x:c>
      <x:c r="H31" s="20" t="str">
        <x:v>Підстанції / силові мережі</x:v>
      </x:c>
      <x:c r="I31" s="20" t="str">
        <x:v>N.15 — електромонтаж / силові системи</x:v>
      </x:c>
      <x:c r="J31" s="22" t="n">
        <x:v>82</x:v>
      </x:c>
      <x:c r="K31" s="22" t="n">
        <x:v>3</x:v>
      </x:c>
      <x:c r="L31" s="23" t="n">
        <x:v>204750000</x:v>
      </x:c>
      <x:c r="M31" s="24" t="n">
        <x:v>46143.57805596065</x:v>
      </x:c>
      <x:c r="N31" s="24" t="n">
        <x:v>46477</x:v>
      </x:c>
      <x:c r="O31" s="20" t="str">
        <x:v>3 — Prozorro / реєстр; route потрібен</x:v>
      </x:c>
      <x:c r="P31" s="20" t="str"/>
      <x:c r="Q31" s="25" t="str"/>
      <x:c r="R31" s="20" t="str">
        <x:v>Не контактували</x:v>
      </x:c>
      <x:c r="S31" s="26" t="str">
        <x:v>0 — Не запрошували</x:v>
      </x:c>
      <x:c r="T31" s="20" t="b">
        <x:f>OR(LEFT(S31,1)="2",LEFT(S31,1)="3",LEFT(S31,1)="4",LEFT(S31,1)="5",LEFT(S31,1)="6")</x:f>
        <x:v>0</x:v>
      </x:c>
      <x:c r="U31" s="20" t="b">
        <x:f>OR(LEFT(S31,1)="3",LEFT(S31,1)="4",LEFT(S31,1)="5",LEFT(S31,1)="6")</x:f>
        <x:v>0</x:v>
      </x:c>
      <x:c r="V31" s="20" t="b">
        <x:f>AND(OR(LEFT(S31,1)="5",LEFT(S31,1)="6"),LEN(AD31)&gt;0)</x:f>
        <x:v>0</x:v>
      </x:c>
      <x:c r="W31" s="27"/>
      <x:c r="X31" s="26" t="str"/>
      <x:c r="Y31" s="25" t="str">
        <x:v>Проверить собственное выполнение, ПТО и активный проект; затем предложить узкий бесплатный пилот</x:v>
      </x:c>
      <x:c r="Z31" s="25" t="str">
        <x:v>UA-2026-05-01-010622-a</x:v>
      </x:c>
      <x:c r="AA31" s="2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x:v>
      </x:c>
      <x:c r="AB31" s="25" t="str">
        <x:v>https://prozorro.gov.ua/tender/UA-2026-05-01-010622-a</x:v>
      </x:c>
      <x:c r="AC31" s="25" t="str"/>
      <x:c r="AD31" s="28" t="str"/>
      <x:c r="AE31" s="28" t="str"/>
    </x:row>
    <x:row r="32" ht="42" customHeight="1">
      <x:c r="A32" s="20" t="n">
        <x:v>28</x:v>
      </x:c>
      <x:c r="B32" s="20" t="str">
        <x:v>A2 — Квалификация перед пилотом</x:v>
      </x:c>
      <x:c r="C32" s="20" t="str">
        <x:v>New outbound</x:v>
      </x:c>
      <x:c r="D32" s="20" t="str">
        <x:v>A2-N01</x:v>
      </x:c>
      <x:c r="E32" s="22" t="n">
        <x:v>90</x:v>
      </x:c>
      <x:c r="F32" s="20" t="str">
        <x:v>ТОВАРИСТВО З ОБМЕЖЕНОЮ ВІД­ПО­ВІД­АЛЬ­НІ­СТЮ «РУБІКОН УКРАЇНА»</x:v>
      </x:c>
      <x:c r="G32" s="21" t="str">
        <x:v>44966837</x:v>
      </x:c>
      <x:c r="H32" s="20" t="str">
        <x:v>Електромонтаж</x:v>
      </x:c>
      <x:c r="I32" s="20" t="str">
        <x:v>N.15 — електромонтаж / силові системи</x:v>
      </x:c>
      <x:c r="J32" s="22" t="n">
        <x:v>77</x:v>
      </x:c>
      <x:c r="K32" s="22" t="n">
        <x:v>9</x:v>
      </x:c>
      <x:c r="L32" s="23" t="n">
        <x:v>58000</x:v>
      </x:c>
      <x:c r="M32" s="24" t="n">
        <x:v>46213.52580490741</x:v>
      </x:c>
      <x:c r="N32" s="24" t="n">
        <x:v>46387</x:v>
      </x:c>
      <x:c r="O32" s="20" t="str">
        <x:v>3 — Prozorro / реєстр; route потрібен</x:v>
      </x:c>
      <x:c r="P32" s="20" t="str"/>
      <x:c r="Q32" s="25" t="str"/>
      <x:c r="R32" s="20" t="str">
        <x:v>Не контактували</x:v>
      </x:c>
      <x:c r="S32" s="26" t="str">
        <x:v>0 — Не запрошували</x:v>
      </x:c>
      <x:c r="T32" s="20" t="b">
        <x:f>OR(LEFT(S32,1)="2",LEFT(S32,1)="3",LEFT(S32,1)="4",LEFT(S32,1)="5",LEFT(S32,1)="6")</x:f>
        <x:v>0</x:v>
      </x:c>
      <x:c r="U32" s="20" t="b">
        <x:f>OR(LEFT(S32,1)="3",LEFT(S32,1)="4",LEFT(S32,1)="5",LEFT(S32,1)="6")</x:f>
        <x:v>0</x:v>
      </x:c>
      <x:c r="V32" s="20" t="b">
        <x:f>AND(OR(LEFT(S32,1)="5",LEFT(S32,1)="6"),LEN(AD32)&gt;0)</x:f>
        <x:v>0</x:v>
      </x:c>
      <x:c r="W32" s="27"/>
      <x:c r="X32" s="26" t="str"/>
      <x:c r="Y32" s="25" t="str">
        <x:v>Проверить собственное выполнение, ПТО и активный проект; затем предложить узкий бесплатный пилот</x:v>
      </x:c>
      <x:c r="Z32" s="25" t="str">
        <x:v>UA-2026-07-10-009308-a</x:v>
      </x:c>
      <x:c r="AA32" s="25" t="str">
        <x:v>Електромонтажні роботи</x:v>
      </x:c>
      <x:c r="AB32" s="25" t="str">
        <x:v>https://prozorro.gov.ua/tender/UA-2026-07-10-009308-a</x:v>
      </x:c>
      <x:c r="AC32" s="25" t="str"/>
      <x:c r="AD32" s="28" t="str"/>
      <x:c r="AE32" s="28" t="str"/>
    </x:row>
    <x:row r="33" ht="42" customHeight="1">
      <x:c r="A33" s="20" t="n">
        <x:v>29</x:v>
      </x:c>
      <x:c r="B33" s="20" t="str">
        <x:v>A2 — Квалификация перед пилотом</x:v>
      </x:c>
      <x:c r="C33" s="20" t="str">
        <x:v>New outbound</x:v>
      </x:c>
      <x:c r="D33" s="20" t="str">
        <x:v>A2-N01</x:v>
      </x:c>
      <x:c r="E33" s="22" t="n">
        <x:v>90</x:v>
      </x:c>
      <x:c r="F33" s="20" t="str">
        <x:v>ПРИВАТНЕ ПІДПРИЄМСТВО "ЮТА"</x:v>
      </x:c>
      <x:c r="G33" s="21" t="str">
        <x:v>30821160</x:v>
      </x:c>
      <x:c r="H33" s="20" t="str">
        <x:v>Електромонтаж</x:v>
      </x:c>
      <x:c r="I33" s="20" t="str">
        <x:v>N.15 — електромонтаж / силові системи</x:v>
      </x:c>
      <x:c r="J33" s="22" t="n">
        <x:v>76</x:v>
      </x:c>
      <x:c r="K33" s="22" t="n">
        <x:v>3</x:v>
      </x:c>
      <x:c r="L33" s="23" t="n">
        <x:v>189231</x:v>
      </x:c>
      <x:c r="M33" s="24" t="n">
        <x:v>46238.36984387731</x:v>
      </x:c>
      <x:c r="N33" s="24" t="n">
        <x:v>46387</x:v>
      </x:c>
      <x:c r="O33" s="20" t="str">
        <x:v>3 — Prozorro / реєстр; route потрібен</x:v>
      </x:c>
      <x:c r="P33" s="20" t="str"/>
      <x:c r="Q33" s="25" t="str"/>
      <x:c r="R33" s="20" t="str">
        <x:v>Не контактували</x:v>
      </x:c>
      <x:c r="S33" s="26" t="str">
        <x:v>0 — Не запрошували</x:v>
      </x:c>
      <x:c r="T33" s="20" t="b">
        <x:f>OR(LEFT(S33,1)="2",LEFT(S33,1)="3",LEFT(S33,1)="4",LEFT(S33,1)="5",LEFT(S33,1)="6")</x:f>
        <x:v>0</x:v>
      </x:c>
      <x:c r="U33" s="20" t="b">
        <x:f>OR(LEFT(S33,1)="3",LEFT(S33,1)="4",LEFT(S33,1)="5",LEFT(S33,1)="6")</x:f>
        <x:v>0</x:v>
      </x:c>
      <x:c r="V33" s="20" t="b">
        <x:f>AND(OR(LEFT(S33,1)="5",LEFT(S33,1)="6"),LEN(AD33)&gt;0)</x:f>
        <x:v>0</x:v>
      </x:c>
      <x:c r="W33" s="27"/>
      <x:c r="X33" s="26" t="str"/>
      <x:c r="Y33" s="25" t="str">
        <x:v>Проверить собственное выполнение, ПТО и активный проект; затем предложить узкий бесплатный пилот</x:v>
      </x:c>
      <x:c r="Z33" s="25" t="str">
        <x:v>UA-2026-08-04-004312-a</x:v>
      </x:c>
      <x:c r="AA33" s="25" t="str">
        <x:v>45310000-3 Електромонтажні роботи</x:v>
      </x:c>
      <x:c r="AB33" s="25" t="str">
        <x:v>https://prozorro.gov.ua/tender/UA-2026-08-04-004312-a</x:v>
      </x:c>
      <x:c r="AC33" s="25" t="str"/>
      <x:c r="AD33" s="28" t="str"/>
      <x:c r="AE33" s="28" t="str"/>
    </x:row>
    <x:row r="34" ht="42" customHeight="1">
      <x:c r="A34" s="20" t="n">
        <x:v>30</x:v>
      </x:c>
      <x:c r="B34" s="20" t="str">
        <x:v>A2 — Квалификация перед пилотом</x:v>
      </x:c>
      <x:c r="C34" s="20" t="str">
        <x:v>New outbound</x:v>
      </x:c>
      <x:c r="D34" s="20" t="str">
        <x:v>A2-N01</x:v>
      </x:c>
      <x:c r="E34" s="22" t="n">
        <x:v>90</x:v>
      </x:c>
      <x:c r="F34" s="20" t="str">
        <x:v>ТОВАРИСТВО З ОБМЕЖЕНОЮ ВІДПОВІДАЛЬНІСТЮ "НОВИЙ СВІТ"</x:v>
      </x:c>
      <x:c r="G34" s="21" t="str">
        <x:v>00688634</x:v>
      </x:c>
      <x:c r="H34" s="20" t="str">
        <x:v>HVAC / ОВіК</x:v>
      </x:c>
      <x:c r="I34" s="20" t="str">
        <x:v>N.14 — сантехніка / HVAC / тепло</x:v>
      </x:c>
      <x:c r="J34" s="22" t="n">
        <x:v>75</x:v>
      </x:c>
      <x:c r="K34" s="22" t="n">
        <x:v>3</x:v>
      </x:c>
      <x:c r="L34" s="23" t="n">
        <x:v>446408.41</x:v>
      </x:c>
      <x:c r="M34" s="24" t="n">
        <x:v>46210.43461802083</x:v>
      </x:c>
      <x:c r="N34" s="24" t="n">
        <x:v>46387</x:v>
      </x:c>
      <x:c r="O34" s="20" t="str">
        <x:v>3 — Prozorro / реєстр; route потрібен</x:v>
      </x:c>
      <x:c r="P34" s="20" t="str"/>
      <x:c r="Q34" s="25" t="str"/>
      <x:c r="R34" s="20" t="str">
        <x:v>Не контактували</x:v>
      </x:c>
      <x:c r="S34" s="26" t="str">
        <x:v>0 — Не запрошували</x:v>
      </x:c>
      <x:c r="T34" s="20" t="b">
        <x:f>OR(LEFT(S34,1)="2",LEFT(S34,1)="3",LEFT(S34,1)="4",LEFT(S34,1)="5",LEFT(S34,1)="6")</x:f>
        <x:v>0</x:v>
      </x:c>
      <x:c r="U34" s="20" t="b">
        <x:f>OR(LEFT(S34,1)="3",LEFT(S34,1)="4",LEFT(S34,1)="5",LEFT(S34,1)="6")</x:f>
        <x:v>0</x:v>
      </x:c>
      <x:c r="V34" s="20" t="b">
        <x:f>AND(OR(LEFT(S34,1)="5",LEFT(S34,1)="6"),LEN(AD34)&gt;0)</x:f>
        <x:v>0</x:v>
      </x:c>
      <x:c r="W34" s="27"/>
      <x:c r="X34" s="26" t="str"/>
      <x:c r="Y34" s="25" t="str">
        <x:v>Проверить собственное выполнение, ПТО и активный проект; затем предложить узкий бесплатный пилот</x:v>
      </x:c>
      <x:c r="Z34" s="25" t="str">
        <x:v>UA-2026-07-07-005581-a</x:v>
      </x:c>
      <x:c r="AA34" s="2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x:v>
      </x:c>
      <x:c r="AB34" s="25" t="str">
        <x:v>https://prozorro.gov.ua/tender/UA-2026-07-07-005581-a</x:v>
      </x:c>
      <x:c r="AC34" s="25" t="str"/>
      <x:c r="AD34" s="28" t="str"/>
      <x:c r="AE34" s="28" t="str"/>
    </x:row>
    <x:row r="35" ht="42" customHeight="1">
      <x:c r="A35" s="20" t="n">
        <x:v>31</x:v>
      </x:c>
      <x:c r="B35" s="20" t="str">
        <x:v>A2 — Квалификация перед пилотом</x:v>
      </x:c>
      <x:c r="C35" s="20" t="str">
        <x:v>New outbound</x:v>
      </x:c>
      <x:c r="D35" s="20" t="str">
        <x:v>A2-N01</x:v>
      </x:c>
      <x:c r="E35" s="22" t="n">
        <x:v>87</x:v>
      </x:c>
      <x:c r="F35" s="20" t="str">
        <x:v>ФОП Яковлева Олена Юріївна</x:v>
      </x:c>
      <x:c r="G35" s="21" t="str">
        <x:v>3224411667</x:v>
      </x:c>
      <x:c r="H35" s="20" t="str">
        <x:v>Електромонтаж</x:v>
      </x:c>
      <x:c r="I35" s="20" t="str">
        <x:v>N.15 — електромонтаж / силові системи</x:v>
      </x:c>
      <x:c r="J35" s="22" t="n">
        <x:v>78</x:v>
      </x:c>
      <x:c r="K35" s="22" t="n">
        <x:v>4</x:v>
      </x:c>
      <x:c r="L35" s="23" t="n">
        <x:v>303559.2</x:v>
      </x:c>
      <x:c r="M35" s="24" t="n">
        <x:v>46244.46695519676</x:v>
      </x:c>
      <x:c r="N35" s="24" t="n">
        <x:v>46266.437002314815</x:v>
      </x:c>
      <x:c r="O35" s="20" t="str">
        <x:v>3 — Prozorro / реєстр; route потрібен</x:v>
      </x:c>
      <x:c r="P35" s="20" t="str"/>
      <x:c r="Q35" s="25" t="str"/>
      <x:c r="R35" s="20" t="str">
        <x:v>Не контактували</x:v>
      </x:c>
      <x:c r="S35" s="26" t="str">
        <x:v>0 — Не запрошували</x:v>
      </x:c>
      <x:c r="T35" s="20" t="b">
        <x:f>OR(LEFT(S35,1)="2",LEFT(S35,1)="3",LEFT(S35,1)="4",LEFT(S35,1)="5",LEFT(S35,1)="6")</x:f>
        <x:v>0</x:v>
      </x:c>
      <x:c r="U35" s="20" t="b">
        <x:f>OR(LEFT(S35,1)="3",LEFT(S35,1)="4",LEFT(S35,1)="5",LEFT(S35,1)="6")</x:f>
        <x:v>0</x:v>
      </x:c>
      <x:c r="V35" s="20" t="b">
        <x:f>AND(OR(LEFT(S35,1)="5",LEFT(S35,1)="6"),LEN(AD35)&gt;0)</x:f>
        <x:v>0</x:v>
      </x:c>
      <x:c r="W35" s="27"/>
      <x:c r="X35" s="26" t="str"/>
      <x:c r="Y35" s="25" t="str">
        <x:v>Проверить собственное выполнение, ПТО и активный проект; затем предложить узкий бесплатный пилот</x:v>
      </x:c>
      <x:c r="Z35" s="25" t="str">
        <x:v>UA-2026-08-10-005395-a</x:v>
      </x:c>
      <x:c r="AA35" s="2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x:v>
      </x:c>
      <x:c r="AB35" s="25" t="str">
        <x:v>https://prozorro.gov.ua/tender/UA-2026-08-10-005395-a</x:v>
      </x:c>
      <x:c r="AC35" s="25" t="str"/>
      <x:c r="AD35" s="28" t="str"/>
      <x:c r="AE35" s="28" t="str"/>
    </x:row>
    <x:row r="36" ht="42" customHeight="1">
      <x:c r="A36" s="20" t="n">
        <x:v>32</x:v>
      </x:c>
      <x:c r="B36" s="20" t="str">
        <x:v>A2 — Квалификация перед пилотом</x:v>
      </x:c>
      <x:c r="C36" s="20" t="str">
        <x:v>New outbound</x:v>
      </x:c>
      <x:c r="D36" s="20" t="str">
        <x:v>A2-N02</x:v>
      </x:c>
      <x:c r="E36" s="22" t="n">
        <x:v>87</x:v>
      </x:c>
      <x:c r="F36" s="20" t="str">
        <x:v>ТОВАРИСТВО З ОБМЕЖЕНОЮ ВІДПОВІДАЛЬНІСТЮ "БУДІВЕЛЬНА КОМПАНІЯ "МІСТОБУДІВНИК"</x:v>
      </x:c>
      <x:c r="G36" s="21" t="str">
        <x:v>42593196</x:v>
      </x:c>
      <x:c r="H36" s="20" t="str">
        <x:v>Газопостачання / котельні</x:v>
      </x:c>
      <x:c r="I36" s="20" t="str">
        <x:v>N.14 — сантехніка / HVAC / тепло</x:v>
      </x:c>
      <x:c r="J36" s="22" t="n">
        <x:v>78</x:v>
      </x:c>
      <x:c r="K36" s="22" t="n">
        <x:v>2</x:v>
      </x:c>
      <x:c r="L36" s="23" t="n">
        <x:v>16966547.87</x:v>
      </x:c>
      <x:c r="M36" s="24" t="n">
        <x:v>46255.331701828705</x:v>
      </x:c>
      <x:c r="N36" s="24" t="n">
        <x:v>46387</x:v>
      </x:c>
      <x:c r="O36" s="20" t="str">
        <x:v>3 — Prozorro / реєстр; route потрібен</x:v>
      </x:c>
      <x:c r="P36" s="20" t="str"/>
      <x:c r="Q36" s="25" t="str"/>
      <x:c r="R36" s="20" t="str">
        <x:v>Не контактували</x:v>
      </x:c>
      <x:c r="S36" s="26" t="str">
        <x:v>0 — Не запрошували</x:v>
      </x:c>
      <x:c r="T36" s="20" t="b">
        <x:f>OR(LEFT(S36,1)="2",LEFT(S36,1)="3",LEFT(S36,1)="4",LEFT(S36,1)="5",LEFT(S36,1)="6")</x:f>
        <x:v>0</x:v>
      </x:c>
      <x:c r="U36" s="20" t="b">
        <x:f>OR(LEFT(S36,1)="3",LEFT(S36,1)="4",LEFT(S36,1)="5",LEFT(S36,1)="6")</x:f>
        <x:v>0</x:v>
      </x:c>
      <x:c r="V36" s="20" t="b">
        <x:f>AND(OR(LEFT(S36,1)="5",LEFT(S36,1)="6"),LEN(AD36)&gt;0)</x:f>
        <x:v>0</x:v>
      </x:c>
      <x:c r="W36" s="27"/>
      <x:c r="X36" s="26" t="str"/>
      <x:c r="Y36" s="25" t="str">
        <x:v>Проверить собственное выполнение, ПТО и активный проект; затем предложить узкий бесплатный пилот</x:v>
      </x:c>
      <x:c r="Z36" s="25" t="str">
        <x:v>UA-2026-08-21-003258-a</x:v>
      </x:c>
      <x:c r="AA36" s="2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x:v>
      </x:c>
      <x:c r="AB36" s="25" t="str">
        <x:v>https://prozorro.gov.ua/tender/UA-2026-08-21-003258-a</x:v>
      </x:c>
      <x:c r="AC36" s="25" t="str"/>
      <x:c r="AD36" s="28" t="str"/>
      <x:c r="AE36" s="28" t="str"/>
    </x:row>
    <x:row r="37" ht="42" customHeight="1">
      <x:c r="A37" s="20" t="n">
        <x:v>33</x:v>
      </x:c>
      <x:c r="B37" s="20" t="str">
        <x:v>A2 — Квалификация перед пилотом</x:v>
      </x:c>
      <x:c r="C37" s="20" t="str">
        <x:v>New outbound</x:v>
      </x:c>
      <x:c r="D37" s="20" t="str">
        <x:v>A2-N02</x:v>
      </x:c>
      <x:c r="E37" s="22" t="n">
        <x:v>86</x:v>
      </x:c>
      <x:c r="F37" s="20" t="str">
        <x:v>ТОВАРИСТВО З ОБМЕЖЕНОЮ ВІДПОВІДАЛЬНІСТЮ "ПРОМТЕПЛОТЕХСЕРВІС"</x:v>
      </x:c>
      <x:c r="G37" s="21" t="str">
        <x:v>37087967</x:v>
      </x:c>
      <x:c r="H37" s="20" t="str">
        <x:v>Газопостачання / котельні</x:v>
      </x:c>
      <x:c r="I37" s="20" t="str">
        <x:v>N.14 — сантехніка / HVAC / тепло</x:v>
      </x:c>
      <x:c r="J37" s="22" t="n">
        <x:v>77</x:v>
      </x:c>
      <x:c r="K37" s="22" t="n">
        <x:v>1</x:v>
      </x:c>
      <x:c r="L37" s="23" t="n">
        <x:v>126061.66</x:v>
      </x:c>
      <x:c r="M37" s="24" t="n">
        <x:v>46239.61530597222</x:v>
      </x:c>
      <x:c r="N37" s="24" t="n">
        <x:v>46267.61667824074</x:v>
      </x:c>
      <x:c r="O37" s="20" t="str">
        <x:v>3 — Prozorro / реєстр; route потрібен</x:v>
      </x:c>
      <x:c r="P37" s="20" t="str"/>
      <x:c r="Q37" s="25" t="str"/>
      <x:c r="R37" s="20" t="str">
        <x:v>Не контактували</x:v>
      </x:c>
      <x:c r="S37" s="26" t="str">
        <x:v>0 — Не запрошували</x:v>
      </x:c>
      <x:c r="T37" s="20" t="b">
        <x:f>OR(LEFT(S37,1)="2",LEFT(S37,1)="3",LEFT(S37,1)="4",LEFT(S37,1)="5",LEFT(S37,1)="6")</x:f>
        <x:v>0</x:v>
      </x:c>
      <x:c r="U37" s="20" t="b">
        <x:f>OR(LEFT(S37,1)="3",LEFT(S37,1)="4",LEFT(S37,1)="5",LEFT(S37,1)="6")</x:f>
        <x:v>0</x:v>
      </x:c>
      <x:c r="V37" s="20" t="b">
        <x:f>AND(OR(LEFT(S37,1)="5",LEFT(S37,1)="6"),LEN(AD37)&gt;0)</x:f>
        <x:v>0</x:v>
      </x:c>
      <x:c r="W37" s="27"/>
      <x:c r="X37" s="26" t="str"/>
      <x:c r="Y37" s="25" t="str">
        <x:v>Проверить собственное выполнение, ПТО и активный проект; затем предложить узкий бесплатный пилот</x:v>
      </x:c>
      <x:c r="Z37" s="25" t="str">
        <x:v>UA-2026-08-05-012193-a</x:v>
      </x:c>
      <x:c r="AA37" s="25" t="str">
        <x:v>Демонтаж, підготовка до повірки, повірка, монтаж та налаштування приладі обліку газу та КВПІА</x:v>
      </x:c>
      <x:c r="AB37" s="25" t="str">
        <x:v>https://prozorro.gov.ua/tender/UA-2026-08-05-012193-a</x:v>
      </x:c>
      <x:c r="AC37" s="25" t="str"/>
      <x:c r="AD37" s="28" t="str"/>
      <x:c r="AE37" s="28" t="str"/>
    </x:row>
    <x:row r="38" ht="42" customHeight="1">
      <x:c r="A38" s="20" t="n">
        <x:v>34</x:v>
      </x:c>
      <x:c r="B38" s="20" t="str">
        <x:v>A2 — Квалификация перед пилотом</x:v>
      </x:c>
      <x:c r="C38" s="20" t="str">
        <x:v>New outbound</x:v>
      </x:c>
      <x:c r="D38" s="20" t="str">
        <x:v>A2-N02</x:v>
      </x:c>
      <x:c r="E38" s="22" t="n">
        <x:v>86</x:v>
      </x:c>
      <x:c r="F38" s="20" t="str">
        <x:v>ТОВ "ЕНЕРГО ЛАЙН"</x:v>
      </x:c>
      <x:c r="G38" s="21" t="str">
        <x:v>40334879</x:v>
      </x:c>
      <x:c r="H38" s="20" t="str">
        <x:v>Промислова електрика / ПНР</x:v>
      </x:c>
      <x:c r="I38" s="20" t="str">
        <x:v>N.15 — електромонтаж / силові системи</x:v>
      </x:c>
      <x:c r="J38" s="22" t="n">
        <x:v>74</x:v>
      </x:c>
      <x:c r="K38" s="22" t="n">
        <x:v>2</x:v>
      </x:c>
      <x:c r="L38" s="23" t="n">
        <x:v>2928270.13</x:v>
      </x:c>
      <x:c r="M38" s="24" t="n">
        <x:v>46240.47479039352</x:v>
      </x:c>
      <x:c r="N38" s="24" t="n">
        <x:v>46282</x:v>
      </x:c>
      <x:c r="O38" s="20" t="str">
        <x:v>3 — Prozorro / реєстр; route потрібен</x:v>
      </x:c>
      <x:c r="P38" s="20" t="str"/>
      <x:c r="Q38" s="25" t="str"/>
      <x:c r="R38" s="20" t="str">
        <x:v>Не контактували</x:v>
      </x:c>
      <x:c r="S38" s="26" t="str">
        <x:v>0 — Не запрошували</x:v>
      </x:c>
      <x:c r="T38" s="20" t="b">
        <x:f>OR(LEFT(S38,1)="2",LEFT(S38,1)="3",LEFT(S38,1)="4",LEFT(S38,1)="5",LEFT(S38,1)="6")</x:f>
        <x:v>0</x:v>
      </x:c>
      <x:c r="U38" s="20" t="b">
        <x:f>OR(LEFT(S38,1)="3",LEFT(S38,1)="4",LEFT(S38,1)="5",LEFT(S38,1)="6")</x:f>
        <x:v>0</x:v>
      </x:c>
      <x:c r="V38" s="20" t="b">
        <x:f>AND(OR(LEFT(S38,1)="5",LEFT(S38,1)="6"),LEN(AD38)&gt;0)</x:f>
        <x:v>0</x:v>
      </x:c>
      <x:c r="W38" s="27"/>
      <x:c r="X38" s="26" t="str"/>
      <x:c r="Y38" s="25" t="str">
        <x:v>Проверить собственное выполнение, ПТО и активный проект; затем предложить узкий бесплатный пилот</x:v>
      </x:c>
      <x:c r="Z38" s="25" t="str">
        <x:v>UA-2026-07-15-005851-a</x:v>
      </x:c>
      <x:c r="AA38" s="2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зарядної станції для електромобілів ФОП Кузів Б.Б. по вул. Савіцького Юрія, 100 в с-щі Летичів Хмельницького району Хмельницької області" (технічні умови нестандартного приєднання ТУ:004602-251125-1-22-04-2-000000-1))</x:v>
      </x:c>
      <x:c r="AB38" s="25" t="str">
        <x:v>https://prozorro.gov.ua/tender/UA-2026-07-15-005851-a</x:v>
      </x:c>
      <x:c r="AC38" s="25" t="str"/>
      <x:c r="AD38" s="28" t="str"/>
      <x:c r="AE38" s="28" t="str"/>
    </x:row>
    <x:row r="39" ht="42" customHeight="1">
      <x:c r="A39" s="20" t="n">
        <x:v>35</x:v>
      </x:c>
      <x:c r="B39" s="20" t="str">
        <x:v>A2 — Квалификация перед пилотом</x:v>
      </x:c>
      <x:c r="C39" s="20" t="str">
        <x:v>New outbound</x:v>
      </x:c>
      <x:c r="D39" s="20" t="str">
        <x:v>A2-N02</x:v>
      </x:c>
      <x:c r="E39" s="22" t="n">
        <x:v>86</x:v>
      </x:c>
      <x:c r="F39" s="20" t="str">
        <x:v>ТОВ "Гранд інжиніринг Україна"</x:v>
      </x:c>
      <x:c r="G39" s="21" t="str">
        <x:v>36577370</x:v>
      </x:c>
      <x:c r="H39" s="20" t="str">
        <x:v>Газопостачання / котельні</x:v>
      </x:c>
      <x:c r="I39" s="20" t="str">
        <x:v>N.14 — сантехніка / HVAC / тепло</x:v>
      </x:c>
      <x:c r="J39" s="22" t="n">
        <x:v>66</x:v>
      </x:c>
      <x:c r="K39" s="22" t="n">
        <x:v>3</x:v>
      </x:c>
      <x:c r="L39" s="23" t="n">
        <x:v>69010</x:v>
      </x:c>
      <x:c r="M39" s="24" t="n">
        <x:v>46156.48084564815</x:v>
      </x:c>
      <x:c r="N39" s="24" t="n">
        <x:v>46296.4825</x:v>
      </x:c>
      <x:c r="O39" s="20" t="str">
        <x:v>3 — Prozorro / реєстр; route потрібен</x:v>
      </x:c>
      <x:c r="P39" s="20" t="str"/>
      <x:c r="Q39" s="25" t="str"/>
      <x:c r="R39" s="20" t="str">
        <x:v>Не контактували</x:v>
      </x:c>
      <x:c r="S39" s="26" t="str">
        <x:v>0 — Не запрошували</x:v>
      </x:c>
      <x:c r="T39" s="20" t="b">
        <x:f>OR(LEFT(S39,1)="2",LEFT(S39,1)="3",LEFT(S39,1)="4",LEFT(S39,1)="5",LEFT(S39,1)="6")</x:f>
        <x:v>0</x:v>
      </x:c>
      <x:c r="U39" s="20" t="b">
        <x:f>OR(LEFT(S39,1)="3",LEFT(S39,1)="4",LEFT(S39,1)="5",LEFT(S39,1)="6")</x:f>
        <x:v>0</x:v>
      </x:c>
      <x:c r="V39" s="20" t="b">
        <x:f>AND(OR(LEFT(S39,1)="5",LEFT(S39,1)="6"),LEN(AD39)&gt;0)</x:f>
        <x:v>0</x:v>
      </x:c>
      <x:c r="W39" s="27"/>
      <x:c r="X39" s="26" t="str"/>
      <x:c r="Y39" s="25" t="str">
        <x:v>Проверить собственное выполнение, ПТО и активный проект; затем предложить узкий бесплатный пилот</x:v>
      </x:c>
      <x:c r="Z39" s="25" t="str">
        <x:v>UA-2026-05-14-009008-a</x:v>
      </x:c>
      <x:c r="AA39" s="25" t="str">
        <x:v>Роботи по демонтажу, державній повірці у відповідній лабораторії  та монтажу  лічильника газу, GPRS модему  ТКБ  в котельні  №2 ліцею.</x:v>
      </x:c>
      <x:c r="AB39" s="25" t="str">
        <x:v>https://prozorro.gov.ua/tender/UA-2026-05-14-009008-a</x:v>
      </x:c>
      <x:c r="AC39" s="25" t="str"/>
      <x:c r="AD39" s="28" t="str"/>
      <x:c r="AE39" s="28" t="str"/>
    </x:row>
    <x:row r="40" ht="42" customHeight="1">
      <x:c r="A40" s="20" t="n">
        <x:v>36</x:v>
      </x:c>
      <x:c r="B40" s="20" t="str">
        <x:v>A2 — Квалификация перед пилотом</x:v>
      </x:c>
      <x:c r="C40" s="20" t="str">
        <x:v>New outbound</x:v>
      </x:c>
      <x:c r="D40" s="20" t="str">
        <x:v>A2-N02</x:v>
      </x:c>
      <x:c r="E40" s="22" t="n">
        <x:v>85</x:v>
      </x:c>
      <x:c r="F40" s="20" t="str">
        <x:v>ТОВ "Українські технологічні продукти"</x:v>
      </x:c>
      <x:c r="G40" s="21" t="str">
        <x:v>25498828</x:v>
      </x:c>
      <x:c r="H40" s="20" t="str">
        <x:v>Електромонтаж</x:v>
      </x:c>
      <x:c r="I40" s="20" t="str">
        <x:v>N.15 — електромонтаж / силові системи</x:v>
      </x:c>
      <x:c r="J40" s="22" t="n">
        <x:v>73</x:v>
      </x:c>
      <x:c r="K40" s="22" t="n">
        <x:v>2</x:v>
      </x:c>
      <x:c r="L40" s="23" t="n">
        <x:v>885394.9</x:v>
      </x:c>
      <x:c r="M40" s="24" t="n">
        <x:v>46210.72770519676</x:v>
      </x:c>
      <x:c r="N40" s="24" t="n">
        <x:v>46254</x:v>
      </x:c>
      <x:c r="O40" s="20" t="str">
        <x:v>3 — Prozorro / реєстр; route потрібен</x:v>
      </x:c>
      <x:c r="P40" s="20" t="str"/>
      <x:c r="Q40" s="25" t="str"/>
      <x:c r="R40" s="20" t="str">
        <x:v>Не контактували</x:v>
      </x:c>
      <x:c r="S40" s="26" t="str">
        <x:v>0 — Не запрошували</x:v>
      </x:c>
      <x:c r="T40" s="20" t="b">
        <x:f>OR(LEFT(S40,1)="2",LEFT(S40,1)="3",LEFT(S40,1)="4",LEFT(S40,1)="5",LEFT(S40,1)="6")</x:f>
        <x:v>0</x:v>
      </x:c>
      <x:c r="U40" s="20" t="b">
        <x:f>OR(LEFT(S40,1)="3",LEFT(S40,1)="4",LEFT(S40,1)="5",LEFT(S40,1)="6")</x:f>
        <x:v>0</x:v>
      </x:c>
      <x:c r="V40" s="20" t="b">
        <x:f>AND(OR(LEFT(S40,1)="5",LEFT(S40,1)="6"),LEN(AD40)&gt;0)</x:f>
        <x:v>0</x:v>
      </x:c>
      <x:c r="W40" s="27"/>
      <x:c r="X40" s="26" t="str"/>
      <x:c r="Y40" s="25" t="str">
        <x:v>Проверить собственное выполнение, ПТО и активный проект; затем предложить узкий бесплатный пилот</x:v>
      </x:c>
      <x:c r="Z40" s="25" t="str">
        <x:v>UA-2026-07-07-011308-a</x:v>
      </x:c>
      <x:c r="AA40" s="25" t="str">
        <x:v>Послуги з «Монтажу та встановлення ЛУЗОД (АСКОЕ) в **, військове містечко №**, військова частина А**, с. **»</x:v>
      </x:c>
      <x:c r="AB40" s="25" t="str">
        <x:v>https://prozorro.gov.ua/tender/UA-2026-07-07-011308-a</x:v>
      </x:c>
      <x:c r="AC40" s="25" t="str"/>
      <x:c r="AD40" s="28" t="str"/>
      <x:c r="AE40" s="28" t="str"/>
    </x:row>
    <x:row r="41" ht="42" customHeight="1">
      <x:c r="A41" s="20" t="n">
        <x:v>37</x:v>
      </x:c>
      <x:c r="B41" s="20" t="str">
        <x:v>A2 — Квалификация перед пилотом</x:v>
      </x:c>
      <x:c r="C41" s="20" t="str">
        <x:v>New outbound</x:v>
      </x:c>
      <x:c r="D41" s="20" t="str">
        <x:v>A2-N02</x:v>
      </x:c>
      <x:c r="E41" s="22" t="n">
        <x:v>85</x:v>
      </x:c>
      <x:c r="F41" s="20" t="str">
        <x:v>ТОВАРИСТВО З ОБМЕЖЕНОЮ ВІДПОВІДАЛЬНІСТЮ "ГІРАЗОЛЬ"</x:v>
      </x:c>
      <x:c r="G41" s="21" t="str">
        <x:v>46227802</x:v>
      </x:c>
      <x:c r="H41" s="20" t="str">
        <x:v>Електромонтаж</x:v>
      </x:c>
      <x:c r="I41" s="20" t="str">
        <x:v>N.15 — електромонтаж / силові системи</x:v>
      </x:c>
      <x:c r="J41" s="22" t="n">
        <x:v>72</x:v>
      </x:c>
      <x:c r="K41" s="22" t="n">
        <x:v>1</x:v>
      </x:c>
      <x:c r="L41" s="23" t="n">
        <x:v>3779044</x:v>
      </x:c>
      <x:c r="M41" s="24" t="n">
        <x:v>46247.2484425</x:v>
      </x:c>
      <x:c r="N41" s="24" t="n">
        <x:v>46275</x:v>
      </x:c>
      <x:c r="O41" s="20" t="str">
        <x:v>3 — Prozorro / реєстр; route потрібен</x:v>
      </x:c>
      <x:c r="P41" s="20" t="str"/>
      <x:c r="Q41" s="25" t="str"/>
      <x:c r="R41" s="20" t="str">
        <x:v>Не контактували</x:v>
      </x:c>
      <x:c r="S41" s="26" t="str">
        <x:v>0 — Не запрошували</x:v>
      </x:c>
      <x:c r="T41" s="20" t="b">
        <x:f>OR(LEFT(S41,1)="2",LEFT(S41,1)="3",LEFT(S41,1)="4",LEFT(S41,1)="5",LEFT(S41,1)="6")</x:f>
        <x:v>0</x:v>
      </x:c>
      <x:c r="U41" s="20" t="b">
        <x:f>OR(LEFT(S41,1)="3",LEFT(S41,1)="4",LEFT(S41,1)="5",LEFT(S41,1)="6")</x:f>
        <x:v>0</x:v>
      </x:c>
      <x:c r="V41" s="20" t="b">
        <x:f>AND(OR(LEFT(S41,1)="5",LEFT(S41,1)="6"),LEN(AD41)&gt;0)</x:f>
        <x:v>0</x:v>
      </x:c>
      <x:c r="W41" s="27"/>
      <x:c r="X41" s="26" t="str"/>
      <x:c r="Y41" s="25" t="str">
        <x:v>Проверить собственное выполнение, ПТО и активный проект; затем предложить узкий бесплатный пилот</x:v>
      </x:c>
      <x:c r="Z41" s="25" t="str">
        <x:v>UA-2026-08-13-000458-a</x:v>
      </x:c>
      <x:c r="AA41" s="2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x:v>
      </x:c>
      <x:c r="AB41" s="25" t="str">
        <x:v>https://prozorro.gov.ua/tender/UA-2026-08-13-000458-a</x:v>
      </x:c>
      <x:c r="AC41" s="25" t="str"/>
      <x:c r="AD41" s="28" t="str"/>
      <x:c r="AE41" s="28" t="str"/>
    </x:row>
    <x:row r="42" ht="42" customHeight="1">
      <x:c r="A42" s="20" t="n">
        <x:v>38</x:v>
      </x:c>
      <x:c r="B42" s="20" t="str">
        <x:v>A2 — Квалификация перед пилотом</x:v>
      </x:c>
      <x:c r="C42" s="20" t="str">
        <x:v>New outbound</x:v>
      </x:c>
      <x:c r="D42" s="20" t="str">
        <x:v>A2-N02</x:v>
      </x:c>
      <x:c r="E42" s="22" t="n">
        <x:v>85</x:v>
      </x:c>
      <x:c r="F42" s="20" t="str">
        <x:v>ПП "БУДСТАР-ПЛЮС"</x:v>
      </x:c>
      <x:c r="G42" s="21" t="str">
        <x:v>32602607</x:v>
      </x:c>
      <x:c r="H42" s="20" t="str">
        <x:v>Резервне живлення</x:v>
      </x:c>
      <x:c r="I42" s="20" t="str">
        <x:v>N.15 — електромонтаж / силові системи</x:v>
      </x:c>
      <x:c r="J42" s="22" t="n">
        <x:v>70</x:v>
      </x:c>
      <x:c r="K42" s="22" t="n">
        <x:v>2</x:v>
      </x:c>
      <x:c r="L42" s="23" t="n">
        <x:v>503747.79</x:v>
      </x:c>
      <x:c r="M42" s="24" t="n">
        <x:v>46227.35085289352</x:v>
      </x:c>
      <x:c r="N42" s="24" t="n">
        <x:v>46387.53319444445</x:v>
      </x:c>
      <x:c r="O42" s="20" t="str">
        <x:v>3 — Prozorro / реєстр; route потрібен</x:v>
      </x:c>
      <x:c r="P42" s="20" t="str"/>
      <x:c r="Q42" s="25" t="str"/>
      <x:c r="R42" s="20" t="str">
        <x:v>Не контактували</x:v>
      </x:c>
      <x:c r="S42" s="26" t="str">
        <x:v>0 — Не запрошували</x:v>
      </x:c>
      <x:c r="T42" s="20" t="b">
        <x:f>OR(LEFT(S42,1)="2",LEFT(S42,1)="3",LEFT(S42,1)="4",LEFT(S42,1)="5",LEFT(S42,1)="6")</x:f>
        <x:v>0</x:v>
      </x:c>
      <x:c r="U42" s="20" t="b">
        <x:f>OR(LEFT(S42,1)="3",LEFT(S42,1)="4",LEFT(S42,1)="5",LEFT(S42,1)="6")</x:f>
        <x:v>0</x:v>
      </x:c>
      <x:c r="V42" s="20" t="b">
        <x:f>AND(OR(LEFT(S42,1)="5",LEFT(S42,1)="6"),LEN(AD42)&gt;0)</x:f>
        <x:v>0</x:v>
      </x:c>
      <x:c r="W42" s="27"/>
      <x:c r="X42" s="26" t="str"/>
      <x:c r="Y42" s="25" t="str">
        <x:v>Проверить собственное выполнение, ПТО и активный проект; затем предложить узкий бесплатный пилот</x:v>
      </x:c>
      <x:c r="Z42" s="25" t="str">
        <x:v>UA-2026-07-13-007118-a</x:v>
      </x:c>
      <x:c r="AA42" s="25" t="str">
        <x:v>Монтаж та підключення  дизель-генератора потужністю 44 кВт за адресою:  Сумська область, м. Суми, вул. Шкільна, буд. 17</x:v>
      </x:c>
      <x:c r="AB42" s="25" t="str">
        <x:v>https://prozorro.gov.ua/tender/UA-2026-07-13-007118-a</x:v>
      </x:c>
      <x:c r="AC42" s="25" t="str"/>
      <x:c r="AD42" s="28" t="str"/>
      <x:c r="AE42" s="28" t="str"/>
    </x:row>
    <x:row r="43" ht="42" customHeight="1">
      <x:c r="A43" s="20" t="n">
        <x:v>39</x:v>
      </x:c>
      <x:c r="B43" s="20" t="str">
        <x:v>A2 — Квалификация перед пилотом</x:v>
      </x:c>
      <x:c r="C43" s="20" t="str">
        <x:v>New outbound</x:v>
      </x:c>
      <x:c r="D43" s="20" t="str">
        <x:v>A2-N02</x:v>
      </x:c>
      <x:c r="E43" s="22" t="n">
        <x:v>85</x:v>
      </x:c>
      <x:c r="F43" s="20" t="str">
        <x:v>ТОВАРИСТВО З ОБМЕЖЕНОЮ ВІДПОВІДАЛЬНІСТЮ "ОЛІР"</x:v>
      </x:c>
      <x:c r="G43" s="21" t="str">
        <x:v>32263898</x:v>
      </x:c>
      <x:c r="H43" s="20" t="str">
        <x:v>Газопостачання / котельні</x:v>
      </x:c>
      <x:c r="I43" s="20" t="str">
        <x:v>N.14 — сантехніка / HVAC / тепло</x:v>
      </x:c>
      <x:c r="J43" s="22" t="n">
        <x:v>70</x:v>
      </x:c>
      <x:c r="K43" s="22" t="n">
        <x:v>1</x:v>
      </x:c>
      <x:c r="L43" s="23" t="n">
        <x:v>47369224.31</x:v>
      </x:c>
      <x:c r="M43" s="24" t="n">
        <x:v>46203.48953586806</x:v>
      </x:c>
      <x:c r="N43" s="24" t="n">
        <x:v>46280</x:v>
      </x:c>
      <x:c r="O43" s="20" t="str">
        <x:v>3 — Prozorro / реєстр; route потрібен</x:v>
      </x:c>
      <x:c r="P43" s="20" t="str"/>
      <x:c r="Q43" s="25" t="str"/>
      <x:c r="R43" s="20" t="str">
        <x:v>Не контактували</x:v>
      </x:c>
      <x:c r="S43" s="26" t="str">
        <x:v>0 — Не запрошували</x:v>
      </x:c>
      <x:c r="T43" s="20" t="b">
        <x:f>OR(LEFT(S43,1)="2",LEFT(S43,1)="3",LEFT(S43,1)="4",LEFT(S43,1)="5",LEFT(S43,1)="6")</x:f>
        <x:v>0</x:v>
      </x:c>
      <x:c r="U43" s="20" t="b">
        <x:f>OR(LEFT(S43,1)="3",LEFT(S43,1)="4",LEFT(S43,1)="5",LEFT(S43,1)="6")</x:f>
        <x:v>0</x:v>
      </x:c>
      <x:c r="V43" s="20" t="b">
        <x:f>AND(OR(LEFT(S43,1)="5",LEFT(S43,1)="6"),LEN(AD43)&gt;0)</x:f>
        <x:v>0</x:v>
      </x:c>
      <x:c r="W43" s="27"/>
      <x:c r="X43" s="26" t="str"/>
      <x:c r="Y43" s="25" t="str">
        <x:v>Проверить собственное выполнение, ПТО и активный проект; затем предложить узкий бесплатный пилот</x:v>
      </x:c>
      <x:c r="Z43" s="25" t="str">
        <x:v>UA-2026-06-30-009204-a</x:v>
      </x:c>
      <x:c r="AA43" s="2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x:v>
      </x:c>
      <x:c r="AB43" s="25" t="str">
        <x:v>https://prozorro.gov.ua/tender/UA-2026-06-30-009204-a</x:v>
      </x:c>
      <x:c r="AC43" s="25" t="str"/>
      <x:c r="AD43" s="28" t="str"/>
      <x:c r="AE43" s="28" t="str"/>
    </x:row>
    <x:row r="44" ht="42" customHeight="1">
      <x:c r="A44" s="20" t="n">
        <x:v>40</x:v>
      </x:c>
      <x:c r="B44" s="20" t="str">
        <x:v>A2 — Квалификация перед пилотом</x:v>
      </x:c>
      <x:c r="C44" s="20" t="str">
        <x:v>New outbound</x:v>
      </x:c>
      <x:c r="D44" s="20" t="str">
        <x:v>A2-N02</x:v>
      </x:c>
      <x:c r="E44" s="22" t="n">
        <x:v>84</x:v>
      </x:c>
      <x:c r="F44" s="20" t="str">
        <x:v>Товариство з обмеженою відповідальністю «БУДІВЕЛЬНА КОМПАНІЯ «ВОЛМАКС»</x:v>
      </x:c>
      <x:c r="G44" s="21" t="str">
        <x:v>42740436</x:v>
      </x:c>
      <x:c r="H44" s="20" t="str">
        <x:v>Підстанції / силові мережі</x:v>
      </x:c>
      <x:c r="I44" s="20" t="str">
        <x:v>N.15 — електромонтаж / силові системи</x:v>
      </x:c>
      <x:c r="J44" s="22" t="n">
        <x:v>82</x:v>
      </x:c>
      <x:c r="K44" s="22" t="n">
        <x:v>3</x:v>
      </x:c>
      <x:c r="L44" s="23" t="n">
        <x:v>219956675.16</x:v>
      </x:c>
      <x:c r="M44" s="24" t="n">
        <x:v>45903.416278171295</x:v>
      </x:c>
      <x:c r="N44" s="24" t="n">
        <x:v>45976.51113425926</x:v>
      </x:c>
      <x:c r="O44" s="20" t="str">
        <x:v>3 — Prozorro / реєстр; route потрібен</x:v>
      </x:c>
      <x:c r="P44" s="20" t="str"/>
      <x:c r="Q44" s="25" t="str"/>
      <x:c r="R44" s="20" t="str">
        <x:v>Не контактували</x:v>
      </x:c>
      <x:c r="S44" s="26" t="str">
        <x:v>0 — Не запрошували</x:v>
      </x:c>
      <x:c r="T44" s="20" t="b">
        <x:f>OR(LEFT(S44,1)="2",LEFT(S44,1)="3",LEFT(S44,1)="4",LEFT(S44,1)="5",LEFT(S44,1)="6")</x:f>
        <x:v>0</x:v>
      </x:c>
      <x:c r="U44" s="20" t="b">
        <x:f>OR(LEFT(S44,1)="3",LEFT(S44,1)="4",LEFT(S44,1)="5",LEFT(S44,1)="6")</x:f>
        <x:v>0</x:v>
      </x:c>
      <x:c r="V44" s="20" t="b">
        <x:f>AND(OR(LEFT(S44,1)="5",LEFT(S44,1)="6"),LEN(AD44)&gt;0)</x:f>
        <x:v>0</x:v>
      </x:c>
      <x:c r="W44" s="27"/>
      <x:c r="X44" s="26" t="str"/>
      <x:c r="Y44" s="25" t="str">
        <x:v>Проверить собственное выполнение, ПТО и активный проект; затем предложить узкий бесплатный пилот</x:v>
      </x:c>
      <x:c r="Z44" s="25" t="str">
        <x:v>UA-2025-08-14-007474-a</x:v>
      </x:c>
      <x:c r="AA44" s="25" t="str">
        <x:v>Капітальний ремонт димової труби котельні головного корпусу Понорницького психоневрологічного інтернату по вулиці Березневій, 1 селища Понорниця, Новгород-Сіверського району, Чернігівської області.  (ДК 021:2015 - 45453000-7 «Капітальний ремонт і реставрація»)</x:v>
      </x:c>
      <x:c r="AB44" s="25" t="str">
        <x:v>https://prozorro.gov.ua/tender/UA-2025-08-14-007474-a</x:v>
      </x:c>
      <x:c r="AC44" s="25" t="str"/>
      <x:c r="AD44" s="28" t="str"/>
      <x:c r="AE44" s="28" t="str"/>
    </x:row>
    <x:row r="45" ht="42" customHeight="1">
      <x:c r="A45" s="20" t="n">
        <x:v>41</x:v>
      </x:c>
      <x:c r="B45" s="20" t="str">
        <x:v>A2 — Квалификация перед пилотом</x:v>
      </x:c>
      <x:c r="C45" s="20" t="str">
        <x:v>New outbound</x:v>
      </x:c>
      <x:c r="D45" s="20" t="str">
        <x:v>A2-N02</x:v>
      </x:c>
      <x:c r="E45" s="22" t="n">
        <x:v>84</x:v>
      </x:c>
      <x:c r="F45" s="20" t="str">
        <x:v>Товариство з обмеженою відповідальністю "Інвест-ВІ"</x:v>
      </x:c>
      <x:c r="G45" s="21" t="str">
        <x:v>44233751</x:v>
      </x:c>
      <x:c r="H45" s="20" t="str">
        <x:v>Вузли обліку тепла</x:v>
      </x:c>
      <x:c r="I45" s="20" t="str">
        <x:v>N.14 — сантехніка / HVAC / тепло</x:v>
      </x:c>
      <x:c r="J45" s="22" t="n">
        <x:v>74</x:v>
      </x:c>
      <x:c r="K45" s="22" t="n">
        <x:v>1</x:v>
      </x:c>
      <x:c r="L45" s="23" t="n">
        <x:v>519015.4</x:v>
      </x:c>
      <x:c r="M45" s="24" t="n">
        <x:v>46184.343907372684</x:v>
      </x:c>
      <x:c r="N45" s="24" t="n">
        <x:v>46387.385405092595</x:v>
      </x:c>
      <x:c r="O45" s="20" t="str">
        <x:v>3 — Prozorro / реєстр; route потрібен</x:v>
      </x:c>
      <x:c r="P45" s="20" t="str"/>
      <x:c r="Q45" s="25" t="str"/>
      <x:c r="R45" s="20" t="str">
        <x:v>Не контактували</x:v>
      </x:c>
      <x:c r="S45" s="26" t="str">
        <x:v>0 — Не запрошували</x:v>
      </x:c>
      <x:c r="T45" s="20" t="b">
        <x:f>OR(LEFT(S45,1)="2",LEFT(S45,1)="3",LEFT(S45,1)="4",LEFT(S45,1)="5",LEFT(S45,1)="6")</x:f>
        <x:v>0</x:v>
      </x:c>
      <x:c r="U45" s="20" t="b">
        <x:f>OR(LEFT(S45,1)="3",LEFT(S45,1)="4",LEFT(S45,1)="5",LEFT(S45,1)="6")</x:f>
        <x:v>0</x:v>
      </x:c>
      <x:c r="V45" s="20" t="b">
        <x:f>AND(OR(LEFT(S45,1)="5",LEFT(S45,1)="6"),LEN(AD45)&gt;0)</x:f>
        <x:v>0</x:v>
      </x:c>
      <x:c r="W45" s="27"/>
      <x:c r="X45" s="26" t="str"/>
      <x:c r="Y45" s="25" t="str">
        <x:v>Проверить собственное выполнение, ПТО и активный проект; затем предложить узкий бесплатный пилот</x:v>
      </x:c>
      <x:c r="Z45" s="25" t="str">
        <x:v>UA-2026-06-11-003709-a</x:v>
      </x:c>
      <x:c r="AA45" s="25" t="str">
        <x:v>послуги по монтажу комерційних вузлів обліку теплової енергії</x:v>
      </x:c>
      <x:c r="AB45" s="25" t="str">
        <x:v>https://prozorro.gov.ua/tender/UA-2026-06-11-003709-a</x:v>
      </x:c>
      <x:c r="AC45" s="25" t="str"/>
      <x:c r="AD45" s="28" t="str"/>
      <x:c r="AE45" s="28" t="str"/>
    </x:row>
    <x:row r="46" ht="42" customHeight="1">
      <x:c r="A46" s="20" t="n">
        <x:v>42</x:v>
      </x:c>
      <x:c r="B46" s="20" t="str">
        <x:v>A2 — Квалификация перед пилотом</x:v>
      </x:c>
      <x:c r="C46" s="20" t="str">
        <x:v>New outbound</x:v>
      </x:c>
      <x:c r="D46" s="20" t="str">
        <x:v>A2-N03</x:v>
      </x:c>
      <x:c r="E46" s="22" t="n">
        <x:v>84</x:v>
      </x:c>
      <x:c r="F46" s="20" t="str">
        <x:v>ПРИВАТНЕ ПІДПРИЄМСТВО "ЄВРОБУД 2018"</x:v>
      </x:c>
      <x:c r="G46" s="21" t="str">
        <x:v>42381606</x:v>
      </x:c>
      <x:c r="H46" s="20" t="str">
        <x:v>Резервне живлення</x:v>
      </x:c>
      <x:c r="I46" s="20" t="str">
        <x:v>N.15 — електромонтаж / силові системи</x:v>
      </x:c>
      <x:c r="J46" s="22" t="n">
        <x:v>71</x:v>
      </x:c>
      <x:c r="K46" s="22" t="n">
        <x:v>5</x:v>
      </x:c>
      <x:c r="L46" s="23" t="n">
        <x:v>847259.05</x:v>
      </x:c>
      <x:c r="M46" s="24" t="n">
        <x:v>46073.4573871875</x:v>
      </x:c>
      <x:c r="N46" s="24" t="n">
        <x:v>46387</x:v>
      </x:c>
      <x:c r="O46" s="20" t="str">
        <x:v>3 — Prozorro / реєстр; route потрібен</x:v>
      </x:c>
      <x:c r="P46" s="20" t="str"/>
      <x:c r="Q46" s="25" t="str"/>
      <x:c r="R46" s="20" t="str">
        <x:v>Не контактували</x:v>
      </x:c>
      <x:c r="S46" s="26" t="str">
        <x:v>0 — Не запрошували</x:v>
      </x:c>
      <x:c r="T46" s="20" t="b">
        <x:f>OR(LEFT(S46,1)="2",LEFT(S46,1)="3",LEFT(S46,1)="4",LEFT(S46,1)="5",LEFT(S46,1)="6")</x:f>
        <x:v>0</x:v>
      </x:c>
      <x:c r="U46" s="20" t="b">
        <x:f>OR(LEFT(S46,1)="3",LEFT(S46,1)="4",LEFT(S46,1)="5",LEFT(S46,1)="6")</x:f>
        <x:v>0</x:v>
      </x:c>
      <x:c r="V46" s="20" t="b">
        <x:f>AND(OR(LEFT(S46,1)="5",LEFT(S46,1)="6"),LEN(AD46)&gt;0)</x:f>
        <x:v>0</x:v>
      </x:c>
      <x:c r="W46" s="27"/>
      <x:c r="X46" s="26" t="str"/>
      <x:c r="Y46" s="25" t="str">
        <x:v>Проверить собственное выполнение, ПТО и активный проект; затем предложить узкий бесплатный пилот</x:v>
      </x:c>
      <x:c r="Z46" s="25" t="str">
        <x:v>UA-2026-02-20-006766-a</x:v>
      </x:c>
      <x:c r="AA46" s="25" t="str">
        <x:v>Послуги з поточного ремонту по монтажу і підключенню резервного живлення (дизель-генератора) (Код за ДК 021:2015-51110000-6 Послуги зі встановлення електричного обладнання) Місце надання послуг: Вінницька область,Гайсинський район, с.Красносілка, вул. Шкільна,1В, що здійснюється в 2026 році</x:v>
      </x:c>
      <x:c r="AB46" s="25" t="str">
        <x:v>https://prozorro.gov.ua/tender/UA-2026-02-20-006766-a</x:v>
      </x:c>
      <x:c r="AC46" s="25" t="str"/>
      <x:c r="AD46" s="28" t="str"/>
      <x:c r="AE46" s="28" t="str"/>
    </x:row>
    <x:row r="47" ht="42" customHeight="1">
      <x:c r="A47" s="20" t="n">
        <x:v>43</x:v>
      </x:c>
      <x:c r="B47" s="20" t="str">
        <x:v>A2 — Квалификация перед пилотом</x:v>
      </x:c>
      <x:c r="C47" s="20" t="str">
        <x:v>New outbound</x:v>
      </x:c>
      <x:c r="D47" s="20" t="str">
        <x:v>A2-N03</x:v>
      </x:c>
      <x:c r="E47" s="22" t="n">
        <x:v>84</x:v>
      </x:c>
      <x:c r="F47" s="20" t="str">
        <x:v>ФОП Струк Сергій Васильович</x:v>
      </x:c>
      <x:c r="G47" s="21" t="str">
        <x:v>2984501813</x:v>
      </x:c>
      <x:c r="H47" s="20" t="str">
        <x:v>HVAC / ОВіК</x:v>
      </x:c>
      <x:c r="I47" s="20" t="str">
        <x:v>N.14 — сантехніка / HVAC / тепло</x:v>
      </x:c>
      <x:c r="J47" s="22" t="n">
        <x:v>69</x:v>
      </x:c>
      <x:c r="K47" s="22" t="n">
        <x:v>3</x:v>
      </x:c>
      <x:c r="L47" s="23" t="n">
        <x:v>44060</x:v>
      </x:c>
      <x:c r="M47" s="24" t="n">
        <x:v>46224.505549525464</x:v>
      </x:c>
      <x:c r="N47" s="24" t="n">
        <x:v>46387</x:v>
      </x:c>
      <x:c r="O47" s="20" t="str">
        <x:v>3 — Prozorro / реєстр; route потрібен</x:v>
      </x:c>
      <x:c r="P47" s="20" t="str"/>
      <x:c r="Q47" s="25" t="str"/>
      <x:c r="R47" s="20" t="str">
        <x:v>Не контактували</x:v>
      </x:c>
      <x:c r="S47" s="26" t="str">
        <x:v>0 — Не запрошували</x:v>
      </x:c>
      <x:c r="T47" s="20" t="b">
        <x:f>OR(LEFT(S47,1)="2",LEFT(S47,1)="3",LEFT(S47,1)="4",LEFT(S47,1)="5",LEFT(S47,1)="6")</x:f>
        <x:v>0</x:v>
      </x:c>
      <x:c r="U47" s="20" t="b">
        <x:f>OR(LEFT(S47,1)="3",LEFT(S47,1)="4",LEFT(S47,1)="5",LEFT(S47,1)="6")</x:f>
        <x:v>0</x:v>
      </x:c>
      <x:c r="V47" s="20" t="b">
        <x:f>AND(OR(LEFT(S47,1)="5",LEFT(S47,1)="6"),LEN(AD47)&gt;0)</x:f>
        <x:v>0</x:v>
      </x:c>
      <x:c r="W47" s="27"/>
      <x:c r="X47" s="26" t="str"/>
      <x:c r="Y47" s="25" t="str">
        <x:v>Проверить собственное выполнение, ПТО и активный проект; затем предложить узкий бесплатный пилот</x:v>
      </x:c>
      <x:c r="Z47" s="25" t="str">
        <x:v>UA-2026-07-21-008345-a</x:v>
      </x:c>
      <x:c r="AA47" s="25" t="str">
        <x:v>Послуги монтажу систем кондиціювання та вентиляції</x:v>
      </x:c>
      <x:c r="AB47" s="25" t="str">
        <x:v>https://prozorro.gov.ua/tender/UA-2026-07-21-008345-a</x:v>
      </x:c>
      <x:c r="AC47" s="25" t="str"/>
      <x:c r="AD47" s="28" t="str"/>
      <x:c r="AE47" s="28" t="str"/>
    </x:row>
    <x:row r="48" ht="42" customHeight="1">
      <x:c r="A48" s="20" t="n">
        <x:v>44</x:v>
      </x:c>
      <x:c r="B48" s="20" t="str">
        <x:v>A2 — Квалификация перед пилотом</x:v>
      </x:c>
      <x:c r="C48" s="20" t="str">
        <x:v>New outbound</x:v>
      </x:c>
      <x:c r="D48" s="20" t="str">
        <x:v>A2-N03</x:v>
      </x:c>
      <x:c r="E48" s="22" t="n">
        <x:v>84</x:v>
      </x:c>
      <x:c r="F48" s="20" t="str">
        <x:v>ТОВАРИСТВО З ОБМЕЖЕНОЮ ВІДПОВІДАЛЬНІСТЮ "УБПГ ПРОМІНЬ"</x:v>
      </x:c>
      <x:c r="G48" s="21" t="str">
        <x:v>42706856</x:v>
      </x:c>
      <x:c r="H48" s="20" t="str">
        <x:v>Зовнішнє освітлення</x:v>
      </x:c>
      <x:c r="I48" s="20" t="str">
        <x:v>N.15 — електромонтаж / силові системи</x:v>
      </x:c>
      <x:c r="J48" s="22" t="n">
        <x:v>68</x:v>
      </x:c>
      <x:c r="K48" s="22" t="n">
        <x:v>1</x:v>
      </x:c>
      <x:c r="L48" s="23" t="n">
        <x:v>20827560.93</x:v>
      </x:c>
      <x:c r="M48" s="24" t="n">
        <x:v>46240.565397175924</x:v>
      </x:c>
      <x:c r="N48" s="24" t="n">
        <x:v>46374</x:v>
      </x:c>
      <x:c r="O48" s="20" t="str">
        <x:v>3 — Prozorro / реєстр; route потрібен</x:v>
      </x:c>
      <x:c r="P48" s="20" t="str"/>
      <x:c r="Q48" s="25" t="str"/>
      <x:c r="R48" s="20" t="str">
        <x:v>Не контактували</x:v>
      </x:c>
      <x:c r="S48" s="26" t="str">
        <x:v>0 — Не запрошували</x:v>
      </x:c>
      <x:c r="T48" s="20" t="b">
        <x:f>OR(LEFT(S48,1)="2",LEFT(S48,1)="3",LEFT(S48,1)="4",LEFT(S48,1)="5",LEFT(S48,1)="6")</x:f>
        <x:v>0</x:v>
      </x:c>
      <x:c r="U48" s="20" t="b">
        <x:f>OR(LEFT(S48,1)="3",LEFT(S48,1)="4",LEFT(S48,1)="5",LEFT(S48,1)="6")</x:f>
        <x:v>0</x:v>
      </x:c>
      <x:c r="V48" s="20" t="b">
        <x:f>AND(OR(LEFT(S48,1)="5",LEFT(S48,1)="6"),LEN(AD48)&gt;0)</x:f>
        <x:v>0</x:v>
      </x:c>
      <x:c r="W48" s="27"/>
      <x:c r="X48" s="26" t="str"/>
      <x:c r="Y48" s="25" t="str">
        <x:v>Проверить собственное выполнение, ПТО и активный проект; затем предложить узкий бесплатный пилот</x:v>
      </x:c>
      <x:c r="Z48" s="25" t="str">
        <x:v>UA-2026-07-16-006271-a</x:v>
      </x:c>
      <x:c r="AA48" s="2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x:v>
      </x:c>
      <x:c r="AB48" s="25" t="str">
        <x:v>https://prozorro.gov.ua/tender/UA-2026-07-16-006271-a</x:v>
      </x:c>
      <x:c r="AC48" s="25" t="str"/>
      <x:c r="AD48" s="28" t="str"/>
      <x:c r="AE48" s="28" t="str"/>
    </x:row>
    <x:row r="49" ht="42" customHeight="1">
      <x:c r="A49" s="20" t="n">
        <x:v>45</x:v>
      </x:c>
      <x:c r="B49" s="20" t="str">
        <x:v>A2 — Квалификация перед пилотом</x:v>
      </x:c>
      <x:c r="C49" s="20" t="str">
        <x:v>New outbound</x:v>
      </x:c>
      <x:c r="D49" s="20" t="str">
        <x:v>A2-N03</x:v>
      </x:c>
      <x:c r="E49" s="22" t="n">
        <x:v>84</x:v>
      </x:c>
      <x:c r="F49" s="20" t="str">
        <x:v>ТОВАРИСТВО З ОБМЕЖЕНОЮ ВІДПОВІДАЛЬНІСТЮ "ЕНЕРГОЕКСПЛУАТАЦІЯ"</x:v>
      </x:c>
      <x:c r="G49" s="21" t="str">
        <x:v>39090788</x:v>
      </x:c>
      <x:c r="H49" s="20" t="str">
        <x:v>Електромонтаж</x:v>
      </x:c>
      <x:c r="I49" s="20" t="str">
        <x:v>N.15 — електромонтаж / силові системи</x:v>
      </x:c>
      <x:c r="J49" s="22" t="n">
        <x:v>67</x:v>
      </x:c>
      <x:c r="K49" s="22" t="n">
        <x:v>2</x:v>
      </x:c>
      <x:c r="L49" s="23" t="n">
        <x:v>74550</x:v>
      </x:c>
      <x:c r="M49" s="24" t="n">
        <x:v>46244.53717113426</x:v>
      </x:c>
      <x:c r="N49" s="24" t="n">
        <x:v>46295</x:v>
      </x:c>
      <x:c r="O49" s="20" t="str">
        <x:v>3 — Prozorro / реєстр; route потрібен</x:v>
      </x:c>
      <x:c r="P49" s="20" t="str"/>
      <x:c r="Q49" s="25" t="str"/>
      <x:c r="R49" s="20" t="str">
        <x:v>Не контактували</x:v>
      </x:c>
      <x:c r="S49" s="26" t="str">
        <x:v>0 — Не запрошували</x:v>
      </x:c>
      <x:c r="T49" s="20" t="b">
        <x:f>OR(LEFT(S49,1)="2",LEFT(S49,1)="3",LEFT(S49,1)="4",LEFT(S49,1)="5",LEFT(S49,1)="6")</x:f>
        <x:v>0</x:v>
      </x:c>
      <x:c r="U49" s="20" t="b">
        <x:f>OR(LEFT(S49,1)="3",LEFT(S49,1)="4",LEFT(S49,1)="5",LEFT(S49,1)="6")</x:f>
        <x:v>0</x:v>
      </x:c>
      <x:c r="V49" s="20" t="b">
        <x:f>AND(OR(LEFT(S49,1)="5",LEFT(S49,1)="6"),LEN(AD49)&gt;0)</x:f>
        <x:v>0</x:v>
      </x:c>
      <x:c r="W49" s="27"/>
      <x:c r="X49" s="26" t="str"/>
      <x:c r="Y49" s="25" t="str">
        <x:v>Проверить собственное выполнение, ПТО и активный проект; затем предложить узкий бесплатный пилот</x:v>
      </x:c>
      <x:c r="Z49" s="25" t="str">
        <x:v>UA-2026-07-30-009341-a</x:v>
      </x:c>
      <x:c r="AA49" s="2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x:v>
      </x:c>
      <x:c r="AB49" s="25" t="str">
        <x:v>https://prozorro.gov.ua/tender/UA-2026-07-30-009341-a</x:v>
      </x:c>
      <x:c r="AC49" s="25" t="str"/>
      <x:c r="AD49" s="28" t="str"/>
      <x:c r="AE49" s="28" t="str"/>
    </x:row>
    <x:row r="50" ht="42" customHeight="1">
      <x:c r="A50" s="20" t="n">
        <x:v>46</x:v>
      </x:c>
      <x:c r="B50" s="20" t="str">
        <x:v>A2 — Квалификация перед пилотом</x:v>
      </x:c>
      <x:c r="C50" s="20" t="str">
        <x:v>New outbound</x:v>
      </x:c>
      <x:c r="D50" s="20" t="str">
        <x:v>A2-N03</x:v>
      </x:c>
      <x:c r="E50" s="22" t="n">
        <x:v>84</x:v>
      </x:c>
      <x:c r="F50" s="20" t="str">
        <x:v>МАЛЕ ПРИВАТНЕ ПІДПРИЄМСТВО "ЕЛЕКТРОСЕРВІС"</x:v>
      </x:c>
      <x:c r="G50" s="21" t="str">
        <x:v>22051653</x:v>
      </x:c>
      <x:c r="H50" s="20" t="str">
        <x:v>Електромонтаж</x:v>
      </x:c>
      <x:c r="I50" s="20" t="str">
        <x:v>N.15 — електромонтаж / силові системи</x:v>
      </x:c>
      <x:c r="J50" s="22" t="n">
        <x:v>67</x:v>
      </x:c>
      <x:c r="K50" s="22" t="n">
        <x:v>1</x:v>
      </x:c>
      <x:c r="L50" s="23" t="n">
        <x:v>69846</x:v>
      </x:c>
      <x:c r="M50" s="24" t="n">
        <x:v>46231.54679755787</x:v>
      </x:c>
      <x:c r="N50" s="24" t="n">
        <x:v>46265</x:v>
      </x:c>
      <x:c r="O50" s="20" t="str">
        <x:v>3 — Prozorro / реєстр; route потрібен</x:v>
      </x:c>
      <x:c r="P50" s="20" t="str"/>
      <x:c r="Q50" s="25" t="str"/>
      <x:c r="R50" s="20" t="str">
        <x:v>Не контактували</x:v>
      </x:c>
      <x:c r="S50" s="26" t="str">
        <x:v>0 — Не запрошували</x:v>
      </x:c>
      <x:c r="T50" s="20" t="b">
        <x:f>OR(LEFT(S50,1)="2",LEFT(S50,1)="3",LEFT(S50,1)="4",LEFT(S50,1)="5",LEFT(S50,1)="6")</x:f>
        <x:v>0</x:v>
      </x:c>
      <x:c r="U50" s="20" t="b">
        <x:f>OR(LEFT(S50,1)="3",LEFT(S50,1)="4",LEFT(S50,1)="5",LEFT(S50,1)="6")</x:f>
        <x:v>0</x:v>
      </x:c>
      <x:c r="V50" s="20" t="b">
        <x:f>AND(OR(LEFT(S50,1)="5",LEFT(S50,1)="6"),LEN(AD50)&gt;0)</x:f>
        <x:v>0</x:v>
      </x:c>
      <x:c r="W50" s="27"/>
      <x:c r="X50" s="26" t="str"/>
      <x:c r="Y50" s="25" t="str">
        <x:v>Проверить собственное выполнение, ПТО и активный проект; затем предложить узкий бесплатный пилот</x:v>
      </x:c>
      <x:c r="Z50" s="25" t="str">
        <x:v>UA-2026-07-28-010186-a</x:v>
      </x:c>
      <x:c r="AA50" s="2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x:v>
      </x:c>
      <x:c r="AB50" s="25" t="str">
        <x:v>https://prozorro.gov.ua/tender/UA-2026-07-28-010186-a</x:v>
      </x:c>
      <x:c r="AC50" s="25" t="str"/>
      <x:c r="AD50" s="28" t="str"/>
      <x:c r="AE50" s="28" t="str"/>
    </x:row>
    <x:row r="51" ht="42" customHeight="1">
      <x:c r="A51" s="20" t="n">
        <x:v>47</x:v>
      </x:c>
      <x:c r="B51" s="20" t="str">
        <x:v>A2 — Квалификация перед пилотом</x:v>
      </x:c>
      <x:c r="C51" s="20" t="str">
        <x:v>New outbound</x:v>
      </x:c>
      <x:c r="D51" s="20" t="str">
        <x:v>A2-N03</x:v>
      </x:c>
      <x:c r="E51" s="22" t="n">
        <x:v>84</x:v>
      </x:c>
      <x:c r="F51" s="20" t="str">
        <x:v>ПРИВАТНЕ ПІДПРИЄМСТВО "ЕНЕРГО-СЕРВІС ПРОЕКТ"</x:v>
      </x:c>
      <x:c r="G51" s="21" t="str">
        <x:v>34417433</x:v>
      </x:c>
      <x:c r="H51" s="20" t="str">
        <x:v>Електромонтаж</x:v>
      </x:c>
      <x:c r="I51" s="20" t="str">
        <x:v>N.15 — електромонтаж / силові системи</x:v>
      </x:c>
      <x:c r="J51" s="22" t="n">
        <x:v>67</x:v>
      </x:c>
      <x:c r="K51" s="22" t="n">
        <x:v>1</x:v>
      </x:c>
      <x:c r="L51" s="23" t="n">
        <x:v>32465.5</x:v>
      </x:c>
      <x:c r="M51" s="24" t="n">
        <x:v>46258.25709982639</x:v>
      </x:c>
      <x:c r="N51" s="24" t="n">
        <x:v>46295</x:v>
      </x:c>
      <x:c r="O51" s="20" t="str">
        <x:v>3 — Prozorro / реєстр; route потрібен</x:v>
      </x:c>
      <x:c r="P51" s="20" t="str"/>
      <x:c r="Q51" s="25" t="str"/>
      <x:c r="R51" s="20" t="str">
        <x:v>Не контактували</x:v>
      </x:c>
      <x:c r="S51" s="26" t="str">
        <x:v>0 — Не запрошували</x:v>
      </x:c>
      <x:c r="T51" s="20" t="b">
        <x:f>OR(LEFT(S51,1)="2",LEFT(S51,1)="3",LEFT(S51,1)="4",LEFT(S51,1)="5",LEFT(S51,1)="6")</x:f>
        <x:v>0</x:v>
      </x:c>
      <x:c r="U51" s="20" t="b">
        <x:f>OR(LEFT(S51,1)="3",LEFT(S51,1)="4",LEFT(S51,1)="5",LEFT(S51,1)="6")</x:f>
        <x:v>0</x:v>
      </x:c>
      <x:c r="V51" s="20" t="b">
        <x:f>AND(OR(LEFT(S51,1)="5",LEFT(S51,1)="6"),LEN(AD51)&gt;0)</x:f>
        <x:v>0</x:v>
      </x:c>
      <x:c r="W51" s="27"/>
      <x:c r="X51" s="26" t="str"/>
      <x:c r="Y51" s="25" t="str">
        <x:v>Проверить собственное выполнение, ПТО и активный проект; затем предложить узкий бесплатный пилот</x:v>
      </x:c>
      <x:c r="Z51" s="25" t="str">
        <x:v>UA-2026-08-24-000441-a</x:v>
      </x:c>
      <x:c r="AA51" s="2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x:v>
      </x:c>
      <x:c r="AB51" s="25" t="str">
        <x:v>https://prozorro.gov.ua/tender/UA-2026-08-24-000441-a</x:v>
      </x:c>
      <x:c r="AC51" s="25" t="str"/>
      <x:c r="AD51" s="28" t="str"/>
      <x:c r="AE51" s="28" t="str"/>
    </x:row>
    <x:row r="52" ht="42" customHeight="1">
      <x:c r="A52" s="20" t="n">
        <x:v>48</x:v>
      </x:c>
      <x:c r="B52" s="20" t="str">
        <x:v>A2 — Квалификация перед пилотом</x:v>
      </x:c>
      <x:c r="C52" s="20" t="str">
        <x:v>New outbound</x:v>
      </x:c>
      <x:c r="D52" s="20" t="str">
        <x:v>A2-N03</x:v>
      </x:c>
      <x:c r="E52" s="22" t="n">
        <x:v>84</x:v>
      </x:c>
      <x:c r="F52" s="20" t="str">
        <x:v>ТОВАРИСТВО З ОБМЕЖЕНОЮ ВІДПОВІДАЛЬНІСТЮ «ЕНЕРГОІНВЕСТМОНТАЖ»</x:v>
      </x:c>
      <x:c r="G52" s="21" t="str">
        <x:v>33298282</x:v>
      </x:c>
      <x:c r="H52" s="20" t="str">
        <x:v>Промислова електрика / ПНР</x:v>
      </x:c>
      <x:c r="I52" s="20" t="str">
        <x:v>N.15 — електромонтаж / силові системи</x:v>
      </x:c>
      <x:c r="J52" s="22" t="n">
        <x:v>67</x:v>
      </x:c>
      <x:c r="K52" s="22" t="n">
        <x:v>1</x:v>
      </x:c>
      <x:c r="L52" s="23" t="n">
        <x:v>3950530.48</x:v>
      </x:c>
      <x:c r="M52" s="24" t="n">
        <x:v>46231.45905599537</x:v>
      </x:c>
      <x:c r="N52" s="24" t="n">
        <x:v>46386</x:v>
      </x:c>
      <x:c r="O52" s="20" t="str">
        <x:v>3 — Prozorro / реєстр; route потрібен</x:v>
      </x:c>
      <x:c r="P52" s="20" t="str"/>
      <x:c r="Q52" s="25" t="str"/>
      <x:c r="R52" s="20" t="str">
        <x:v>Не контактували</x:v>
      </x:c>
      <x:c r="S52" s="26" t="str">
        <x:v>0 — Не запрошували</x:v>
      </x:c>
      <x:c r="T52" s="20" t="b">
        <x:f>OR(LEFT(S52,1)="2",LEFT(S52,1)="3",LEFT(S52,1)="4",LEFT(S52,1)="5",LEFT(S52,1)="6")</x:f>
        <x:v>0</x:v>
      </x:c>
      <x:c r="U52" s="20" t="b">
        <x:f>OR(LEFT(S52,1)="3",LEFT(S52,1)="4",LEFT(S52,1)="5",LEFT(S52,1)="6")</x:f>
        <x:v>0</x:v>
      </x:c>
      <x:c r="V52" s="20" t="b">
        <x:f>AND(OR(LEFT(S52,1)="5",LEFT(S52,1)="6"),LEN(AD52)&gt;0)</x:f>
        <x:v>0</x:v>
      </x:c>
      <x:c r="W52" s="27"/>
      <x:c r="X52" s="26" t="str"/>
      <x:c r="Y52" s="25" t="str">
        <x:v>Проверить собственное выполнение, ПТО и активный проект; затем предложить узкий бесплатный пилот</x:v>
      </x:c>
      <x:c r="Z52" s="25" t="str">
        <x:v>UA-2026-07-28-006730-a</x:v>
      </x:c>
      <x:c r="AA52" s="25" t="str">
        <x:v>Виконання робіт з розробки проєктної документації за об’єктом: «Реконструкція *** зі збільшенням теплової потужності та встановленням когенераційного обладнання за адресою: м. Київ, ***. Встановлення комплексного розподільчого пристрою 10 кВ зовнішнього встановлення з прокладанням кабельних ліній живлення».</x:v>
      </x:c>
      <x:c r="AB52" s="25" t="str">
        <x:v>https://prozorro.gov.ua/tender/UA-2026-07-28-006730-a</x:v>
      </x:c>
      <x:c r="AC52" s="25" t="str"/>
      <x:c r="AD52" s="28" t="str"/>
      <x:c r="AE52" s="28" t="str"/>
    </x:row>
    <x:row r="53" ht="42" customHeight="1">
      <x:c r="A53" s="20" t="n">
        <x:v>49</x:v>
      </x:c>
      <x:c r="B53" s="20" t="str">
        <x:v>A2 — Квалификация перед пилотом</x:v>
      </x:c>
      <x:c r="C53" s="20" t="str">
        <x:v>New outbound</x:v>
      </x:c>
      <x:c r="D53" s="20" t="str">
        <x:v>A2-N03</x:v>
      </x:c>
      <x:c r="E53" s="22" t="n">
        <x:v>84</x:v>
      </x:c>
      <x:c r="F53" s="20" t="str">
        <x:v>ТОВАРИСТВО З ОБМЕЖЕНОЮ ВІДПОВІДАЛЬНІСТЮ «НАУКОВО-ВИРОБНИЧЕ ПІДПРИЄМСТВО «ГАРАНТ-ЕНЕРГО»</x:v>
      </x:c>
      <x:c r="G53" s="21" t="str">
        <x:v>42973580</x:v>
      </x:c>
      <x:c r="H53" s="20" t="str">
        <x:v>Промислова електрика / ПНР</x:v>
      </x:c>
      <x:c r="I53" s="20" t="str">
        <x:v>N.15 — електромонтаж / силові системи</x:v>
      </x:c>
      <x:c r="J53" s="22" t="n">
        <x:v>67</x:v>
      </x:c>
      <x:c r="K53" s="22" t="n">
        <x:v>1</x:v>
      </x:c>
      <x:c r="L53" s="23" t="n">
        <x:v>3800000</x:v>
      </x:c>
      <x:c r="M53" s="24" t="n">
        <x:v>46218.85337596065</x:v>
      </x:c>
      <x:c r="N53" s="24" t="n">
        <x:v>46386</x:v>
      </x:c>
      <x:c r="O53" s="20" t="str">
        <x:v>3 — Prozorro / реєстр; route потрібен</x:v>
      </x:c>
      <x:c r="P53" s="20" t="str"/>
      <x:c r="Q53" s="25" t="str"/>
      <x:c r="R53" s="20" t="str">
        <x:v>Не контактували</x:v>
      </x:c>
      <x:c r="S53" s="26" t="str">
        <x:v>0 — Не запрошували</x:v>
      </x:c>
      <x:c r="T53" s="20" t="b">
        <x:f>OR(LEFT(S53,1)="2",LEFT(S53,1)="3",LEFT(S53,1)="4",LEFT(S53,1)="5",LEFT(S53,1)="6")</x:f>
        <x:v>0</x:v>
      </x:c>
      <x:c r="U53" s="20" t="b">
        <x:f>OR(LEFT(S53,1)="3",LEFT(S53,1)="4",LEFT(S53,1)="5",LEFT(S53,1)="6")</x:f>
        <x:v>0</x:v>
      </x:c>
      <x:c r="V53" s="20" t="b">
        <x:f>AND(OR(LEFT(S53,1)="5",LEFT(S53,1)="6"),LEN(AD53)&gt;0)</x:f>
        <x:v>0</x:v>
      </x:c>
      <x:c r="W53" s="27"/>
      <x:c r="X53" s="26" t="str"/>
      <x:c r="Y53" s="25" t="str">
        <x:v>Проверить собственное выполнение, ПТО и активный проект; затем предложить узкий бесплатный пилот</x:v>
      </x:c>
      <x:c r="Z53" s="25" t="str">
        <x:v>UA-2026-07-15-011541-a</x:v>
      </x:c>
      <x:c r="AA53" s="25" t="str">
        <x:v>Виконання робіт з розробки проєктної документації за об'єктом: «Реконструкція *** зі збільшенням теплової потужності та встановленням когенераційного обладнання за адресою: м. Київ, ***. Встановлення комплектного розподільчого пристрою 10 кВ зовнішнього встановлення з прокладанням кабельних ліній живлення»</x:v>
      </x:c>
      <x:c r="AB53" s="25" t="str">
        <x:v>https://prozorro.gov.ua/tender/UA-2026-07-15-011541-a</x:v>
      </x:c>
      <x:c r="AC53" s="25" t="str"/>
      <x:c r="AD53" s="28" t="str"/>
      <x:c r="AE53" s="28" t="str"/>
    </x:row>
    <x:row r="54" ht="42" customHeight="1">
      <x:c r="A54" s="20" t="n">
        <x:v>50</x:v>
      </x:c>
      <x:c r="B54" s="20" t="str">
        <x:v>A2 — Квалификация перед пилотом</x:v>
      </x:c>
      <x:c r="C54" s="20" t="str">
        <x:v>New outbound</x:v>
      </x:c>
      <x:c r="D54" s="20" t="str">
        <x:v>A2-N03</x:v>
      </x:c>
      <x:c r="E54" s="22" t="n">
        <x:v>84</x:v>
      </x:c>
      <x:c r="F54" s="20" t="str">
        <x:v>ТОВАРИСТВО З ОБМЕЖЕНОЮ ВІДПОВІДАЛЬНІСТЮ "ТЕРМОСТАНДАРТ"</x:v>
      </x:c>
      <x:c r="G54" s="21" t="str">
        <x:v>33165192</x:v>
      </x:c>
      <x:c r="H54" s="20" t="str">
        <x:v>HVAC / ОВіК</x:v>
      </x:c>
      <x:c r="I54" s="20" t="str">
        <x:v>N.14 — сантехніка / HVAC / тепло</x:v>
      </x:c>
      <x:c r="J54" s="22" t="n">
        <x:v>66</x:v>
      </x:c>
      <x:c r="K54" s="22" t="n">
        <x:v>2</x:v>
      </x:c>
      <x:c r="L54" s="23" t="n">
        <x:v>318161.67</x:v>
      </x:c>
      <x:c r="M54" s="24" t="n">
        <x:v>46251.33581399306</x:v>
      </x:c>
      <x:c r="N54" s="24" t="n">
        <x:v>46376</x:v>
      </x:c>
      <x:c r="O54" s="20" t="str">
        <x:v>3 — Prozorro / реєстр; route потрібен</x:v>
      </x:c>
      <x:c r="P54" s="20" t="str"/>
      <x:c r="Q54" s="25" t="str"/>
      <x:c r="R54" s="20" t="str">
        <x:v>Не контактували</x:v>
      </x:c>
      <x:c r="S54" s="26" t="str">
        <x:v>0 — Не запрошували</x:v>
      </x:c>
      <x:c r="T54" s="20" t="b">
        <x:f>OR(LEFT(S54,1)="2",LEFT(S54,1)="3",LEFT(S54,1)="4",LEFT(S54,1)="5",LEFT(S54,1)="6")</x:f>
        <x:v>0</x:v>
      </x:c>
      <x:c r="U54" s="20" t="b">
        <x:f>OR(LEFT(S54,1)="3",LEFT(S54,1)="4",LEFT(S54,1)="5",LEFT(S54,1)="6")</x:f>
        <x:v>0</x:v>
      </x:c>
      <x:c r="V54" s="20" t="b">
        <x:f>AND(OR(LEFT(S54,1)="5",LEFT(S54,1)="6"),LEN(AD54)&gt;0)</x:f>
        <x:v>0</x:v>
      </x:c>
      <x:c r="W54" s="27"/>
      <x:c r="X54" s="26" t="str"/>
      <x:c r="Y54" s="25" t="str">
        <x:v>Проверить собственное выполнение, ПТО и активный проект; затем предложить узкий бесплатный пилот</x:v>
      </x:c>
      <x:c r="Z54" s="25" t="str">
        <x:v>UA-2026-08-04-003638-a</x:v>
      </x:c>
      <x:c r="AA54" s="2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x:v>
      </x:c>
      <x:c r="AB54" s="25" t="str">
        <x:v>https://prozorro.gov.ua/tender/UA-2026-08-04-003638-a</x:v>
      </x:c>
      <x:c r="AC54" s="25" t="str"/>
      <x:c r="AD54" s="28" t="str"/>
      <x:c r="AE54" s="28" t="str"/>
    </x:row>
    <x:row r="55" ht="42" customHeight="1">
      <x:c r="A55" s="20" t="n">
        <x:v>51</x:v>
      </x:c>
      <x:c r="B55" s="20" t="str">
        <x:v>A2 — Квалификация перед пилотом</x:v>
      </x:c>
      <x:c r="C55" s="20" t="str">
        <x:v>New outbound</x:v>
      </x:c>
      <x:c r="D55" s="20" t="str">
        <x:v>A2-N03</x:v>
      </x:c>
      <x:c r="E55" s="22" t="n">
        <x:v>83</x:v>
      </x:c>
      <x:c r="F55" s="20" t="str">
        <x:v>Консорціум «РЕНЕСАНС УКРАЇНА»</x:v>
      </x:c>
      <x:c r="G55" s="21" t="str">
        <x:v>45823902</x:v>
      </x:c>
      <x:c r="H55" s="20" t="str">
        <x:v>Підстанції / силові мережі</x:v>
      </x:c>
      <x:c r="I55" s="20" t="str">
        <x:v>N.15 — електромонтаж / силові системи</x:v>
      </x:c>
      <x:c r="J55" s="22" t="n">
        <x:v>72</x:v>
      </x:c>
      <x:c r="K55" s="22" t="n">
        <x:v>2</x:v>
      </x:c>
      <x:c r="L55" s="23" t="n">
        <x:v>150765380.66</x:v>
      </x:c>
      <x:c r="M55" s="24" t="n">
        <x:v>46143.473261377316</x:v>
      </x:c>
      <x:c r="N55" s="24" t="n">
        <x:v>46752.50622685185</x:v>
      </x:c>
      <x:c r="O55" s="20" t="str">
        <x:v>3 — Prozorro / реєстр; route потрібен</x:v>
      </x:c>
      <x:c r="P55" s="20" t="str"/>
      <x:c r="Q55" s="25" t="str"/>
      <x:c r="R55" s="20" t="str">
        <x:v>Не контактували</x:v>
      </x:c>
      <x:c r="S55" s="26" t="str">
        <x:v>0 — Не запрошували</x:v>
      </x:c>
      <x:c r="T55" s="20" t="b">
        <x:f>OR(LEFT(S55,1)="2",LEFT(S55,1)="3",LEFT(S55,1)="4",LEFT(S55,1)="5",LEFT(S55,1)="6")</x:f>
        <x:v>0</x:v>
      </x:c>
      <x:c r="U55" s="20" t="b">
        <x:f>OR(LEFT(S55,1)="3",LEFT(S55,1)="4",LEFT(S55,1)="5",LEFT(S55,1)="6")</x:f>
        <x:v>0</x:v>
      </x:c>
      <x:c r="V55" s="20" t="b">
        <x:f>AND(OR(LEFT(S55,1)="5",LEFT(S55,1)="6"),LEN(AD55)&gt;0)</x:f>
        <x:v>0</x:v>
      </x:c>
      <x:c r="W55" s="27"/>
      <x:c r="X55" s="26" t="str"/>
      <x:c r="Y55" s="25" t="str">
        <x:v>Проверить собственное выполнение, ПТО и активный проект; затем предложить узкий бесплатный пилот</x:v>
      </x:c>
      <x:c r="Z55" s="25" t="str">
        <x:v>UA-2026-05-01-007791-a</x:v>
      </x:c>
      <x:c r="AA55" s="2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x:v>
      </x:c>
      <x:c r="AB55" s="25" t="str">
        <x:v>https://prozorro.gov.ua/tender/UA-2026-05-01-007791-a</x:v>
      </x:c>
      <x:c r="AC55" s="25" t="str"/>
      <x:c r="AD55" s="28" t="str"/>
      <x:c r="AE55" s="28" t="str"/>
    </x:row>
    <x:row r="56" ht="42" customHeight="1">
      <x:c r="A56" s="20" t="n">
        <x:v>52</x:v>
      </x:c>
      <x:c r="B56" s="20" t="str">
        <x:v>A2 — Квалификация перед пилотом</x:v>
      </x:c>
      <x:c r="C56" s="20" t="str">
        <x:v>New outbound</x:v>
      </x:c>
      <x:c r="D56" s="20" t="str">
        <x:v>A2-N04</x:v>
      </x:c>
      <x:c r="E56" s="22" t="n">
        <x:v>83</x:v>
      </x:c>
      <x:c r="F56" s="20" t="str">
        <x:v>ТОВАРИСТВО З ОБМЕЖЕНОЮ ВІДПОВІДАЛЬНІСТЮ «ФІРМА «МЖК-СЕРВІС»</x:v>
      </x:c>
      <x:c r="G56" s="21" t="str">
        <x:v>14239928</x:v>
      </x:c>
      <x:c r="H56" s="20" t="str">
        <x:v>Підстанції / силові мережі</x:v>
      </x:c>
      <x:c r="I56" s="20" t="str">
        <x:v>N.15 — електромонтаж / силові системи</x:v>
      </x:c>
      <x:c r="J56" s="22" t="n">
        <x:v>72</x:v>
      </x:c>
      <x:c r="K56" s="22" t="n">
        <x:v>2</x:v>
      </x:c>
      <x:c r="L56" s="23" t="n">
        <x:v>143991260.62</x:v>
      </x:c>
      <x:c r="M56" s="24" t="n">
        <x:v>46143.52077792824</x:v>
      </x:c>
      <x:c r="N56" s="24" t="n">
        <x:v>46752.563564814816</x:v>
      </x:c>
      <x:c r="O56" s="20" t="str">
        <x:v>3 — Prozorro / реєстр; route потрібен</x:v>
      </x:c>
      <x:c r="P56" s="20" t="str"/>
      <x:c r="Q56" s="25" t="str"/>
      <x:c r="R56" s="20" t="str">
        <x:v>Не контактували</x:v>
      </x:c>
      <x:c r="S56" s="26" t="str">
        <x:v>0 — Не запрошували</x:v>
      </x:c>
      <x:c r="T56" s="20" t="b">
        <x:f>OR(LEFT(S56,1)="2",LEFT(S56,1)="3",LEFT(S56,1)="4",LEFT(S56,1)="5",LEFT(S56,1)="6")</x:f>
        <x:v>0</x:v>
      </x:c>
      <x:c r="U56" s="20" t="b">
        <x:f>OR(LEFT(S56,1)="3",LEFT(S56,1)="4",LEFT(S56,1)="5",LEFT(S56,1)="6")</x:f>
        <x:v>0</x:v>
      </x:c>
      <x:c r="V56" s="20" t="b">
        <x:f>AND(OR(LEFT(S56,1)="5",LEFT(S56,1)="6"),LEN(AD56)&gt;0)</x:f>
        <x:v>0</x:v>
      </x:c>
      <x:c r="W56" s="27"/>
      <x:c r="X56" s="26" t="str"/>
      <x:c r="Y56" s="25" t="str">
        <x:v>Проверить собственное выполнение, ПТО и активный проект; затем предложить узкий бесплатный пилот</x:v>
      </x:c>
      <x:c r="Z56" s="25" t="str">
        <x:v>UA-2026-05-01-009896-a</x:v>
      </x:c>
      <x:c r="AA56" s="2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x:v>
      </x:c>
      <x:c r="AB56" s="25" t="str">
        <x:v>https://prozorro.gov.ua/tender/UA-2026-05-01-009896-a</x:v>
      </x:c>
      <x:c r="AC56" s="25" t="str"/>
      <x:c r="AD56" s="28" t="str"/>
      <x:c r="AE56" s="28" t="str"/>
    </x:row>
    <x:row r="57" ht="42" customHeight="1">
      <x:c r="A57" s="20" t="n">
        <x:v>53</x:v>
      </x:c>
      <x:c r="B57" s="20" t="str">
        <x:v>A2 — Квалификация перед пилотом</x:v>
      </x:c>
      <x:c r="C57" s="20" t="str">
        <x:v>New outbound</x:v>
      </x:c>
      <x:c r="D57" s="20" t="str">
        <x:v>A2-N04</x:v>
      </x:c>
      <x:c r="E57" s="22" t="n">
        <x:v>83</x:v>
      </x:c>
      <x:c r="F57" s="20" t="str">
        <x:v>ПРИВАТНЕ ПІДПРИЄМСТВО «ЕЛЕ­КТРО­ПРОМ­ТЕХ»</x:v>
      </x:c>
      <x:c r="G57" s="21" t="str">
        <x:v>32489197</x:v>
      </x:c>
      <x:c r="H57" s="20" t="str">
        <x:v>Електромонтаж</x:v>
      </x:c>
      <x:c r="I57" s="20" t="str">
        <x:v>N.15 — електромонтаж / силові системи</x:v>
      </x:c>
      <x:c r="J57" s="22" t="n">
        <x:v>70</x:v>
      </x:c>
      <x:c r="K57" s="22" t="n">
        <x:v>2</x:v>
      </x:c>
      <x:c r="L57" s="23" t="n">
        <x:v>349658</x:v>
      </x:c>
      <x:c r="M57" s="24" t="n">
        <x:v>46142.528413622684</x:v>
      </x:c>
      <x:c r="N57" s="24" t="n">
        <x:v>46173.530625</x:v>
      </x:c>
      <x:c r="O57" s="20" t="str">
        <x:v>3 — Prozorro / реєстр; route потрібен</x:v>
      </x:c>
      <x:c r="P57" s="20" t="str"/>
      <x:c r="Q57" s="25" t="str"/>
      <x:c r="R57" s="20" t="str">
        <x:v>Не контактували</x:v>
      </x:c>
      <x:c r="S57" s="26" t="str">
        <x:v>0 — Не запрошували</x:v>
      </x:c>
      <x:c r="T57" s="20" t="b">
        <x:f>OR(LEFT(S57,1)="2",LEFT(S57,1)="3",LEFT(S57,1)="4",LEFT(S57,1)="5",LEFT(S57,1)="6")</x:f>
        <x:v>0</x:v>
      </x:c>
      <x:c r="U57" s="20" t="b">
        <x:f>OR(LEFT(S57,1)="3",LEFT(S57,1)="4",LEFT(S57,1)="5",LEFT(S57,1)="6")</x:f>
        <x:v>0</x:v>
      </x:c>
      <x:c r="V57" s="20" t="b">
        <x:f>AND(OR(LEFT(S57,1)="5",LEFT(S57,1)="6"),LEN(AD57)&gt;0)</x:f>
        <x:v>0</x:v>
      </x:c>
      <x:c r="W57" s="27"/>
      <x:c r="X57" s="26" t="str"/>
      <x:c r="Y57" s="25" t="str">
        <x:v>Проверить собственное выполнение, ПТО и активный проект; затем предложить узкий бесплатный пилот</x:v>
      </x:c>
      <x:c r="Z57" s="25" t="str">
        <x:v>UA-2026-04-30-008926-a</x:v>
      </x:c>
      <x:c r="AA57" s="25" t="str">
        <x:v>Послуги по монтажу та підключенню до електричної мережі світлодіодних світильників у школі І-ІІІ ступенів №282 Деснянського району міста Києва</x:v>
      </x:c>
      <x:c r="AB57" s="25" t="str">
        <x:v>https://prozorro.gov.ua/tender/UA-2026-04-30-008926-a</x:v>
      </x:c>
      <x:c r="AC57" s="25" t="str"/>
      <x:c r="AD57" s="28" t="str"/>
      <x:c r="AE57" s="28" t="str"/>
    </x:row>
    <x:row r="58" ht="42" customHeight="1">
      <x:c r="A58" s="20" t="n">
        <x:v>54</x:v>
      </x:c>
      <x:c r="B58" s="20" t="str">
        <x:v>A2 — Квалификация перед пилотом</x:v>
      </x:c>
      <x:c r="C58" s="20" t="str">
        <x:v>New outbound</x:v>
      </x:c>
      <x:c r="D58" s="20" t="str">
        <x:v>A2-N04</x:v>
      </x:c>
      <x:c r="E58" s="22" t="n">
        <x:v>83</x:v>
      </x:c>
      <x:c r="F58" s="20" t="str">
        <x:v>ТОВ "БК ЕНЕРГО-МОНТАЖ"</x:v>
      </x:c>
      <x:c r="G58" s="21" t="str">
        <x:v>40833701</x:v>
      </x:c>
      <x:c r="H58" s="20" t="str">
        <x:v>Промислова електрика / ПНР</x:v>
      </x:c>
      <x:c r="I58" s="20" t="str">
        <x:v>N.15 — електромонтаж / силові системи</x:v>
      </x:c>
      <x:c r="J58" s="22" t="n">
        <x:v>64</x:v>
      </x:c>
      <x:c r="K58" s="22" t="n">
        <x:v>1</x:v>
      </x:c>
      <x:c r="L58" s="23" t="n">
        <x:v>2848816</x:v>
      </x:c>
      <x:c r="M58" s="24" t="n">
        <x:v>46226.28386040509</x:v>
      </x:c>
      <x:c r="N58" s="24" t="n">
        <x:v>46296</x:v>
      </x:c>
      <x:c r="O58" s="20" t="str">
        <x:v>3 — Prozorro / реєстр; route потрібен</x:v>
      </x:c>
      <x:c r="P58" s="20" t="str"/>
      <x:c r="Q58" s="25" t="str"/>
      <x:c r="R58" s="20" t="str">
        <x:v>Не контактували</x:v>
      </x:c>
      <x:c r="S58" s="26" t="str">
        <x:v>0 — Не запрошували</x:v>
      </x:c>
      <x:c r="T58" s="20" t="b">
        <x:f>OR(LEFT(S58,1)="2",LEFT(S58,1)="3",LEFT(S58,1)="4",LEFT(S58,1)="5",LEFT(S58,1)="6")</x:f>
        <x:v>0</x:v>
      </x:c>
      <x:c r="U58" s="20" t="b">
        <x:f>OR(LEFT(S58,1)="3",LEFT(S58,1)="4",LEFT(S58,1)="5",LEFT(S58,1)="6")</x:f>
        <x:v>0</x:v>
      </x:c>
      <x:c r="V58" s="20" t="b">
        <x:f>AND(OR(LEFT(S58,1)="5",LEFT(S58,1)="6"),LEN(AD58)&gt;0)</x:f>
        <x:v>0</x:v>
      </x:c>
      <x:c r="W58" s="27"/>
      <x:c r="X58" s="26" t="str"/>
      <x:c r="Y58" s="25" t="str">
        <x:v>Проверить собственное выполнение, ПТО и активный проект; затем предложить узкий бесплатный пилот</x:v>
      </x:c>
      <x:c r="Z58" s="25" t="str">
        <x:v>UA-2026-07-01-006317-a</x:v>
      </x:c>
      <x:c r="AA58" s="2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багатоквартирного житлового будинку з вбудовано-прибудованими приміщеннями ПОСП "Злагода" по вул. Садова, 11 в м. Дунаївці Кам’янець-Подільського району Хмельницької області" (технічні умови нестандартного приєднання ТУ:000413:190924:1:22:4:2:000000:1))</x:v>
      </x:c>
      <x:c r="AB58" s="25" t="str">
        <x:v>https://prozorro.gov.ua/tender/UA-2026-07-01-006317-a</x:v>
      </x:c>
      <x:c r="AC58" s="25" t="str"/>
      <x:c r="AD58" s="28" t="str"/>
      <x:c r="AE58" s="28" t="str"/>
    </x:row>
    <x:row r="59" ht="42" customHeight="1">
      <x:c r="A59" s="20" t="n">
        <x:v>55</x:v>
      </x:c>
      <x:c r="B59" s="20" t="str">
        <x:v>A2 — Квалификация перед пилотом</x:v>
      </x:c>
      <x:c r="C59" s="20" t="str">
        <x:v>New outbound</x:v>
      </x:c>
      <x:c r="D59" s="20" t="str">
        <x:v>A2-N04</x:v>
      </x:c>
      <x:c r="E59" s="22" t="n">
        <x:v>83</x:v>
      </x:c>
      <x:c r="F59" s="20" t="str">
        <x:v>Товариство з обмеженою відповідальністю «Конкріт-К»</x:v>
      </x:c>
      <x:c r="G59" s="21" t="str">
        <x:v>40790176</x:v>
      </x:c>
      <x:c r="H59" s="20" t="str">
        <x:v>Підстанції / силові мережі</x:v>
      </x:c>
      <x:c r="I59" s="20" t="str">
        <x:v>N.15 — електромонтаж / силові системи</x:v>
      </x:c>
      <x:c r="J59" s="22" t="n">
        <x:v>64</x:v>
      </x:c>
      <x:c r="K59" s="22" t="n">
        <x:v>1</x:v>
      </x:c>
      <x:c r="L59" s="23" t="n">
        <x:v>3078000</x:v>
      </x:c>
      <x:c r="M59" s="24" t="n">
        <x:v>46255.23443013889</x:v>
      </x:c>
      <x:c r="N59" s="24" t="n">
        <x:v>46326</x:v>
      </x:c>
      <x:c r="O59" s="20" t="str">
        <x:v>3 — Prozorro / реєстр; route потрібен</x:v>
      </x:c>
      <x:c r="P59" s="20" t="str"/>
      <x:c r="Q59" s="25" t="str"/>
      <x:c r="R59" s="20" t="str">
        <x:v>Не контактували</x:v>
      </x:c>
      <x:c r="S59" s="26" t="str">
        <x:v>0 — Не запрошували</x:v>
      </x:c>
      <x:c r="T59" s="20" t="b">
        <x:f>OR(LEFT(S59,1)="2",LEFT(S59,1)="3",LEFT(S59,1)="4",LEFT(S59,1)="5",LEFT(S59,1)="6")</x:f>
        <x:v>0</x:v>
      </x:c>
      <x:c r="U59" s="20" t="b">
        <x:f>OR(LEFT(S59,1)="3",LEFT(S59,1)="4",LEFT(S59,1)="5",LEFT(S59,1)="6")</x:f>
        <x:v>0</x:v>
      </x:c>
      <x:c r="V59" s="20" t="b">
        <x:f>AND(OR(LEFT(S59,1)="5",LEFT(S59,1)="6"),LEN(AD59)&gt;0)</x:f>
        <x:v>0</x:v>
      </x:c>
      <x:c r="W59" s="27"/>
      <x:c r="X59" s="26" t="str"/>
      <x:c r="Y59" s="25" t="str">
        <x:v>Проверить собственное выполнение, ПТО и активный проект; затем предложить узкий бесплатный пилот</x:v>
      </x:c>
      <x:c r="Z59" s="25" t="str">
        <x:v>UA-2026-08-21-000282-a</x:v>
      </x:c>
      <x:c r="AA59" s="2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x:v>
      </x:c>
      <x:c r="AB59" s="25" t="str">
        <x:v>https://prozorro.gov.ua/tender/UA-2026-08-21-000282-a</x:v>
      </x:c>
      <x:c r="AC59" s="25" t="str"/>
      <x:c r="AD59" s="28" t="str"/>
      <x:c r="AE59" s="28" t="str"/>
    </x:row>
    <x:row r="60" ht="42" customHeight="1">
      <x:c r="A60" s="20" t="n">
        <x:v>56</x:v>
      </x:c>
      <x:c r="B60" s="20" t="str">
        <x:v>A2 — Квалификация перед пилотом</x:v>
      </x:c>
      <x:c r="C60" s="20" t="str">
        <x:v>New outbound</x:v>
      </x:c>
      <x:c r="D60" s="20" t="str">
        <x:v>A2-N04</x:v>
      </x:c>
      <x:c r="E60" s="22" t="n">
        <x:v>83</x:v>
      </x:c>
      <x:c r="F60" s="20" t="str">
        <x:v>Товариство з обмеженою відповідальністю "СПЕЦМОТАЖСЕРВІС К"</x:v>
      </x:c>
      <x:c r="G60" s="21" t="str">
        <x:v>39235474</x:v>
      </x:c>
      <x:c r="H60" s="20" t="str">
        <x:v>Електромонтаж</x:v>
      </x:c>
      <x:c r="I60" s="20" t="str">
        <x:v>N.15 — електромонтаж / силові системи</x:v>
      </x:c>
      <x:c r="J60" s="22" t="n">
        <x:v>62</x:v>
      </x:c>
      <x:c r="K60" s="22" t="n">
        <x:v>1</x:v>
      </x:c>
      <x:c r="L60" s="23" t="n">
        <x:v>68282</x:v>
      </x:c>
      <x:c r="M60" s="24" t="n">
        <x:v>46223.82915002315</x:v>
      </x:c>
      <x:c r="N60" s="24" t="n">
        <x:v>46234</x:v>
      </x:c>
      <x:c r="O60" s="20" t="str">
        <x:v>3 — Prozorro / реєстр; route потрібен</x:v>
      </x:c>
      <x:c r="P60" s="20" t="str"/>
      <x:c r="Q60" s="25" t="str"/>
      <x:c r="R60" s="20" t="str">
        <x:v>Не контактували</x:v>
      </x:c>
      <x:c r="S60" s="26" t="str">
        <x:v>0 — Не запрошували</x:v>
      </x:c>
      <x:c r="T60" s="20" t="b">
        <x:f>OR(LEFT(S60,1)="2",LEFT(S60,1)="3",LEFT(S60,1)="4",LEFT(S60,1)="5",LEFT(S60,1)="6")</x:f>
        <x:v>0</x:v>
      </x:c>
      <x:c r="U60" s="20" t="b">
        <x:f>OR(LEFT(S60,1)="3",LEFT(S60,1)="4",LEFT(S60,1)="5",LEFT(S60,1)="6")</x:f>
        <x:v>0</x:v>
      </x:c>
      <x:c r="V60" s="20" t="b">
        <x:f>AND(OR(LEFT(S60,1)="5",LEFT(S60,1)="6"),LEN(AD60)&gt;0)</x:f>
        <x:v>0</x:v>
      </x:c>
      <x:c r="W60" s="27"/>
      <x:c r="X60" s="26" t="str"/>
      <x:c r="Y60" s="25" t="str">
        <x:v>Проверить собственное выполнение, ПТО и активный проект; затем предложить узкий бесплатный пилот</x:v>
      </x:c>
      <x:c r="Z60" s="25" t="str">
        <x:v>UA-2026-07-20-011438-a</x:v>
      </x:c>
      <x:c r="AA60" s="25" t="str">
        <x:v>Електромонтажні роботи (підключення ДБЖ)</x:v>
      </x:c>
      <x:c r="AB60" s="25" t="str">
        <x:v>https://prozorro.gov.ua/tender/UA-2026-07-20-011438-a</x:v>
      </x:c>
      <x:c r="AC60" s="25" t="str"/>
      <x:c r="AD60" s="28" t="str"/>
      <x:c r="AE60" s="28" t="str"/>
    </x:row>
    <x:row r="61" ht="42" customHeight="1">
      <x:c r="A61" s="20" t="n">
        <x:v>57</x:v>
      </x:c>
      <x:c r="B61" s="20" t="str">
        <x:v>A2 — Квалификация перед пилотом</x:v>
      </x:c>
      <x:c r="C61" s="20" t="str">
        <x:v>New outbound</x:v>
      </x:c>
      <x:c r="D61" s="20" t="str">
        <x:v>A2-N04</x:v>
      </x:c>
      <x:c r="E61" s="22" t="n">
        <x:v>82</x:v>
      </x:c>
      <x:c r="F61" s="20" t="str">
        <x:v>ПРИВАТНЕ ПІДПРИЄМСТВО "УКРІНЖЕНЕРМЕРЕЖ"</x:v>
      </x:c>
      <x:c r="G61" s="21" t="str">
        <x:v>34041689</x:v>
      </x:c>
      <x:c r="H61" s="20" t="str">
        <x:v>Повітряні лінії електропередачі</x:v>
      </x:c>
      <x:c r="I61" s="20" t="str">
        <x:v>N.15 — електромонтаж / силові системи</x:v>
      </x:c>
      <x:c r="J61" s="22" t="n">
        <x:v>60</x:v>
      </x:c>
      <x:c r="K61" s="22" t="n">
        <x:v>1</x:v>
      </x:c>
      <x:c r="L61" s="23" t="n">
        <x:v>3588562.76</x:v>
      </x:c>
      <x:c r="M61" s="24" t="n">
        <x:v>46245.571065474534</x:v>
      </x:c>
      <x:c r="N61" s="24" t="n">
        <x:v>46387.73814814815</x:v>
      </x:c>
      <x:c r="O61" s="20" t="str">
        <x:v>3 — Prozorro / реєстр; route потрібен</x:v>
      </x:c>
      <x:c r="P61" s="20" t="str"/>
      <x:c r="Q61" s="25" t="str"/>
      <x:c r="R61" s="20" t="str">
        <x:v>Не контактували</x:v>
      </x:c>
      <x:c r="S61" s="26" t="str">
        <x:v>0 — Не запрошували</x:v>
      </x:c>
      <x:c r="T61" s="20" t="b">
        <x:f>OR(LEFT(S61,1)="2",LEFT(S61,1)="3",LEFT(S61,1)="4",LEFT(S61,1)="5",LEFT(S61,1)="6")</x:f>
        <x:v>0</x:v>
      </x:c>
      <x:c r="U61" s="20" t="b">
        <x:f>OR(LEFT(S61,1)="3",LEFT(S61,1)="4",LEFT(S61,1)="5",LEFT(S61,1)="6")</x:f>
        <x:v>0</x:v>
      </x:c>
      <x:c r="V61" s="20" t="b">
        <x:f>AND(OR(LEFT(S61,1)="5",LEFT(S61,1)="6"),LEN(AD61)&gt;0)</x:f>
        <x:v>0</x:v>
      </x:c>
      <x:c r="W61" s="27"/>
      <x:c r="X61" s="26" t="str"/>
      <x:c r="Y61" s="25" t="str">
        <x:v>Проверить собственное выполнение, ПТО и активный проект; затем предложить узкий бесплатный пилот</x:v>
      </x:c>
      <x:c r="Z61" s="25" t="str">
        <x:v>UA-2026-07-01-009983-a</x:v>
      </x:c>
      <x:c r="AA61" s="25" t="str">
        <x:v>Реконструкція інженерних мереж по вулиці Томаша Масарика в м. Хуст, Закарпатської області (вуличне освітлення, мережі зв’язку)</x:v>
      </x:c>
      <x:c r="AB61" s="25" t="str">
        <x:v>https://prozorro.gov.ua/tender/UA-2026-07-01-009983-a</x:v>
      </x:c>
      <x:c r="AC61" s="25" t="str"/>
      <x:c r="AD61" s="28" t="str"/>
      <x:c r="AE61" s="28" t="str"/>
    </x:row>
    <x:row r="62" ht="42" customHeight="1">
      <x:c r="A62" s="20" t="n">
        <x:v>58</x:v>
      </x:c>
      <x:c r="B62" s="20" t="str">
        <x:v>A2 — Квалификация перед пилотом</x:v>
      </x:c>
      <x:c r="C62" s="20" t="str">
        <x:v>New outbound</x:v>
      </x:c>
      <x:c r="D62" s="20" t="str">
        <x:v>A2-N04</x:v>
      </x:c>
      <x:c r="E62" s="22" t="n">
        <x:v>82</x:v>
      </x:c>
      <x:c r="F62" s="20" t="str">
        <x:v>ТОВАРИСТВО З ОБМЕЖЕНОЮ ВІДПОВІДАЛЬНІСТЮ "МІЛПРОД"</x:v>
      </x:c>
      <x:c r="G62" s="21" t="str">
        <x:v>45502185</x:v>
      </x:c>
      <x:c r="H62" s="20" t="str">
        <x:v>HVAC / ОВіК</x:v>
      </x:c>
      <x:c r="I62" s="20" t="str">
        <x:v>N.14 — сантехніка / HVAC / тепло</x:v>
      </x:c>
      <x:c r="J62" s="22" t="n">
        <x:v>60</x:v>
      </x:c>
      <x:c r="K62" s="22" t="n">
        <x:v>1</x:v>
      </x:c>
      <x:c r="L62" s="23" t="n">
        <x:v>1109564.45</x:v>
      </x:c>
      <x:c r="M62" s="24" t="n">
        <x:v>46226.50163167824</x:v>
      </x:c>
      <x:c r="N62" s="24" t="n">
        <x:v>46387</x:v>
      </x:c>
      <x:c r="O62" s="20" t="str">
        <x:v>3 — Prozorro / реєстр; route потрібен</x:v>
      </x:c>
      <x:c r="P62" s="20" t="str"/>
      <x:c r="Q62" s="25" t="str"/>
      <x:c r="R62" s="20" t="str">
        <x:v>Не контактували</x:v>
      </x:c>
      <x:c r="S62" s="26" t="str">
        <x:v>0 — Не запрошували</x:v>
      </x:c>
      <x:c r="T62" s="20" t="b">
        <x:f>OR(LEFT(S62,1)="2",LEFT(S62,1)="3",LEFT(S62,1)="4",LEFT(S62,1)="5",LEFT(S62,1)="6")</x:f>
        <x:v>0</x:v>
      </x:c>
      <x:c r="U62" s="20" t="b">
        <x:f>OR(LEFT(S62,1)="3",LEFT(S62,1)="4",LEFT(S62,1)="5",LEFT(S62,1)="6")</x:f>
        <x:v>0</x:v>
      </x:c>
      <x:c r="V62" s="20" t="b">
        <x:f>AND(OR(LEFT(S62,1)="5",LEFT(S62,1)="6"),LEN(AD62)&gt;0)</x:f>
        <x:v>0</x:v>
      </x:c>
      <x:c r="W62" s="27"/>
      <x:c r="X62" s="26" t="str"/>
      <x:c r="Y62" s="25" t="str">
        <x:v>Проверить собственное выполнение, ПТО и активный проект; затем предложить узкий бесплатный пилот</x:v>
      </x:c>
      <x:c r="Z62" s="25" t="str">
        <x:v>UA-2026-07-07-008541-a</x:v>
      </x:c>
      <x:c r="AA62" s="2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x:v>
      </x:c>
      <x:c r="AB62" s="25" t="str">
        <x:v>https://prozorro.gov.ua/tender/UA-2026-07-07-008541-a</x:v>
      </x:c>
      <x:c r="AC62" s="25" t="str"/>
      <x:c r="AD62" s="28" t="str"/>
      <x:c r="AE62" s="28" t="str"/>
    </x:row>
    <x:row r="63" ht="42" customHeight="1">
      <x:c r="A63" s="20" t="n">
        <x:v>59</x:v>
      </x:c>
      <x:c r="B63" s="20" t="str">
        <x:v>A2 — Квалификация перед пилотом</x:v>
      </x:c>
      <x:c r="C63" s="20" t="str">
        <x:v>New outbound</x:v>
      </x:c>
      <x:c r="D63" s="20" t="str">
        <x:v>A2-N04</x:v>
      </x:c>
      <x:c r="E63" s="22" t="n">
        <x:v>81</x:v>
      </x:c>
      <x:c r="F63" s="20" t="str">
        <x:v>ПОДОЛЯКА АНАТОЛІЙ МИКОЛАЙОВИЧ</x:v>
      </x:c>
      <x:c r="G63" s="21" t="str">
        <x:v>2099304597</x:v>
      </x:c>
      <x:c r="H63" s="20" t="str">
        <x:v>Електромонтаж</x:v>
      </x:c>
      <x:c r="I63" s="20" t="str">
        <x:v>N.15 — електромонтаж / силові системи</x:v>
      </x:c>
      <x:c r="J63" s="22" t="n">
        <x:v>73</x:v>
      </x:c>
      <x:c r="K63" s="22" t="n">
        <x:v>2</x:v>
      </x:c>
      <x:c r="L63" s="23" t="n">
        <x:v>731456.22</x:v>
      </x:c>
      <x:c r="M63" s="24" t="n">
        <x:v>46251.53373239583</x:v>
      </x:c>
      <x:c r="N63" s="24" t="n">
        <x:v>46295</x:v>
      </x:c>
      <x:c r="O63" s="20" t="str">
        <x:v>3 — Prozorro / реєстр; route потрібен</x:v>
      </x:c>
      <x:c r="P63" s="20" t="str"/>
      <x:c r="Q63" s="25" t="str"/>
      <x:c r="R63" s="20" t="str">
        <x:v>Не контактували</x:v>
      </x:c>
      <x:c r="S63" s="26" t="str">
        <x:v>0 — Не запрошували</x:v>
      </x:c>
      <x:c r="T63" s="20" t="b">
        <x:f>OR(LEFT(S63,1)="2",LEFT(S63,1)="3",LEFT(S63,1)="4",LEFT(S63,1)="5",LEFT(S63,1)="6")</x:f>
        <x:v>0</x:v>
      </x:c>
      <x:c r="U63" s="20" t="b">
        <x:f>OR(LEFT(S63,1)="3",LEFT(S63,1)="4",LEFT(S63,1)="5",LEFT(S63,1)="6")</x:f>
        <x:v>0</x:v>
      </x:c>
      <x:c r="V63" s="20" t="b">
        <x:f>AND(OR(LEFT(S63,1)="5",LEFT(S63,1)="6"),LEN(AD63)&gt;0)</x:f>
        <x:v>0</x:v>
      </x:c>
      <x:c r="W63" s="27"/>
      <x:c r="X63" s="26" t="str"/>
      <x:c r="Y63" s="25" t="str">
        <x:v>Проверить собственное выполнение, ПТО и активный проект; затем предложить узкий бесплатный пилот</x:v>
      </x:c>
      <x:c r="Z63" s="25" t="str">
        <x:v>UA-2026-08-17-006717-a</x:v>
      </x:c>
      <x:c r="AA63" s="25" t="str">
        <x:v>ДК 021:2015: 45310000-3 Електромонтажні роботи (реконструкція електричних мереж 10кВт з метою приєднання полігону твердих побутових відходів міста Бахмач, розташованого на території Курінської сільської ради, Ніжинського району, Чернігівської області)</x:v>
      </x:c>
      <x:c r="AB63" s="25" t="str">
        <x:v>https://prozorro.gov.ua/tender/UA-2026-08-17-006717-a</x:v>
      </x:c>
      <x:c r="AC63" s="25" t="str"/>
      <x:c r="AD63" s="28" t="str"/>
      <x:c r="AE63" s="28" t="str"/>
    </x:row>
    <x:row r="64" ht="42" customHeight="1">
      <x:c r="A64" s="20" t="n">
        <x:v>60</x:v>
      </x:c>
      <x:c r="B64" s="20" t="str">
        <x:v>A2 — Квалификация перед пилотом</x:v>
      </x:c>
      <x:c r="C64" s="20" t="str">
        <x:v>New outbound</x:v>
      </x:c>
      <x:c r="D64" s="20" t="str">
        <x:v>A2-N04</x:v>
      </x:c>
      <x:c r="E64" s="22" t="n">
        <x:v>81</x:v>
      </x:c>
      <x:c r="F64" s="20" t="str">
        <x:v>Приватне акціонерне товариство «Шляхове ремонтно-будівельне управління № 82»</x:v>
      </x:c>
      <x:c r="G64" s="21" t="str">
        <x:v>03448244</x:v>
      </x:c>
      <x:c r="H64" s="20" t="str">
        <x:v>Підстанції / силові мережі</x:v>
      </x:c>
      <x:c r="I64" s="20" t="str">
        <x:v>N.15 — електромонтаж / силові системи</x:v>
      </x:c>
      <x:c r="J64" s="22" t="n">
        <x:v>62</x:v>
      </x:c>
      <x:c r="K64" s="22" t="n">
        <x:v>1</x:v>
      </x:c>
      <x:c r="L64" s="23" t="n">
        <x:v>74440938</x:v>
      </x:c>
      <x:c r="M64" s="24" t="n">
        <x:v>46146.382662268516</x:v>
      </x:c>
      <x:c r="N64" s="24" t="n">
        <x:v>46752.42422453704</x:v>
      </x:c>
      <x:c r="O64" s="20" t="str">
        <x:v>3 — Prozorro / реєстр; route потрібен</x:v>
      </x:c>
      <x:c r="P64" s="20" t="str"/>
      <x:c r="Q64" s="25" t="str"/>
      <x:c r="R64" s="20" t="str">
        <x:v>Не контактували</x:v>
      </x:c>
      <x:c r="S64" s="26" t="str">
        <x:v>0 — Не запрошували</x:v>
      </x:c>
      <x:c r="T64" s="20" t="b">
        <x:f>OR(LEFT(S64,1)="2",LEFT(S64,1)="3",LEFT(S64,1)="4",LEFT(S64,1)="5",LEFT(S64,1)="6")</x:f>
        <x:v>0</x:v>
      </x:c>
      <x:c r="U64" s="20" t="b">
        <x:f>OR(LEFT(S64,1)="3",LEFT(S64,1)="4",LEFT(S64,1)="5",LEFT(S64,1)="6")</x:f>
        <x:v>0</x:v>
      </x:c>
      <x:c r="V64" s="20" t="b">
        <x:f>AND(OR(LEFT(S64,1)="5",LEFT(S64,1)="6"),LEN(AD64)&gt;0)</x:f>
        <x:v>0</x:v>
      </x:c>
      <x:c r="W64" s="27"/>
      <x:c r="X64" s="26" t="str"/>
      <x:c r="Y64" s="25" t="str">
        <x:v>Проверить собственное выполнение, ПТО и активный проект; затем предложить узкий бесплатный пилот</x:v>
      </x:c>
      <x:c r="Z64" s="25" t="str">
        <x:v>UA-2026-05-04-005146-a</x:v>
      </x:c>
      <x:c r="AA64" s="2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x:v>
      </x:c>
      <x:c r="AB64" s="25" t="str">
        <x:v>https://prozorro.gov.ua/tender/UA-2026-05-04-005146-a</x:v>
      </x:c>
      <x:c r="AC64" s="25" t="str"/>
      <x:c r="AD64" s="28" t="str"/>
      <x:c r="AE64" s="28" t="str"/>
    </x:row>
    <x:row r="65" ht="42" customHeight="1">
      <x:c r="A65" s="20" t="n">
        <x:v>61</x:v>
      </x:c>
      <x:c r="B65" s="20" t="str">
        <x:v>A2 — Квалификация перед пилотом</x:v>
      </x:c>
      <x:c r="C65" s="20" t="str">
        <x:v>New outbound</x:v>
      </x:c>
      <x:c r="D65" s="20" t="str">
        <x:v>A2-N04</x:v>
      </x:c>
      <x:c r="E65" s="22" t="n">
        <x:v>81</x:v>
      </x:c>
      <x:c r="F65" s="20" t="str">
        <x:v>ТОВАРИСТВО З ОБМЕЖЕНОЮ ВІДПОВІДАЛЬНІСТЮ "ЄВРО БУД СІСТЕМ"</x:v>
      </x:c>
      <x:c r="G65" s="21" t="str">
        <x:v>42508467</x:v>
      </x:c>
      <x:c r="H65" s="20" t="str">
        <x:v>Підстанції / силові мережі</x:v>
      </x:c>
      <x:c r="I65" s="20" t="str">
        <x:v>N.15 — електромонтаж / силові системи</x:v>
      </x:c>
      <x:c r="J65" s="22" t="n">
        <x:v>62</x:v>
      </x:c>
      <x:c r="K65" s="22" t="n">
        <x:v>1</x:v>
      </x:c>
      <x:c r="L65" s="23" t="n">
        <x:v>110966458.8</x:v>
      </x:c>
      <x:c r="M65" s="24" t="n">
        <x:v>46177.508375694444</x:v>
      </x:c>
      <x:c r="N65" s="24" t="n">
        <x:v>46752</x:v>
      </x:c>
      <x:c r="O65" s="20" t="str">
        <x:v>3 — Prozorro / реєстр; route потрібен</x:v>
      </x:c>
      <x:c r="P65" s="20" t="str"/>
      <x:c r="Q65" s="25" t="str"/>
      <x:c r="R65" s="20" t="str">
        <x:v>Не контактували</x:v>
      </x:c>
      <x:c r="S65" s="26" t="str">
        <x:v>0 — Не запрошували</x:v>
      </x:c>
      <x:c r="T65" s="20" t="b">
        <x:f>OR(LEFT(S65,1)="2",LEFT(S65,1)="3",LEFT(S65,1)="4",LEFT(S65,1)="5",LEFT(S65,1)="6")</x:f>
        <x:v>0</x:v>
      </x:c>
      <x:c r="U65" s="20" t="b">
        <x:f>OR(LEFT(S65,1)="3",LEFT(S65,1)="4",LEFT(S65,1)="5",LEFT(S65,1)="6")</x:f>
        <x:v>0</x:v>
      </x:c>
      <x:c r="V65" s="20" t="b">
        <x:f>AND(OR(LEFT(S65,1)="5",LEFT(S65,1)="6"),LEN(AD65)&gt;0)</x:f>
        <x:v>0</x:v>
      </x:c>
      <x:c r="W65" s="27"/>
      <x:c r="X65" s="26" t="str"/>
      <x:c r="Y65" s="25" t="str">
        <x:v>Проверить собственное выполнение, ПТО и активный проект; затем предложить узкий бесплатный пилот</x:v>
      </x:c>
      <x:c r="Z65" s="25" t="str">
        <x:v>UA-2026-06-04-010000-a</x:v>
      </x:c>
      <x:c r="AA65" s="25" t="str">
        <x:v>Реконструкція електричної підстанції №8 АТ “ДТЕК Дніпровські електромережі” у Дніпропетровській області (ДК 021:2015: 45454000-4 - Реконструкція)</x:v>
      </x:c>
      <x:c r="AB65" s="25" t="str">
        <x:v>https://prozorro.gov.ua/tender/UA-2026-06-04-010000-a</x:v>
      </x:c>
      <x:c r="AC65" s="25" t="str"/>
      <x:c r="AD65" s="28" t="str"/>
      <x:c r="AE65" s="28" t="str"/>
    </x:row>
    <x:row r="66" ht="42" customHeight="1">
      <x:c r="A66" s="20" t="n">
        <x:v>62</x:v>
      </x:c>
      <x:c r="B66" s="20" t="str">
        <x:v>A2 — Квалификация перед пилотом</x:v>
      </x:c>
      <x:c r="C66" s="20" t="str">
        <x:v>New outbound</x:v>
      </x:c>
      <x:c r="D66" s="20" t="str">
        <x:v>A2-N05</x:v>
      </x:c>
      <x:c r="E66" s="22" t="n">
        <x:v>81</x:v>
      </x:c>
      <x:c r="F66" s="20" t="str">
        <x:v>ТОВАРИСТВО З ОБМЕЖЕНОЮ ВІДПОВІДАЛЬНІСТЮ "ЄВРОБУД ПЛЮС"</x:v>
      </x:c>
      <x:c r="G66" s="21" t="str">
        <x:v>34898640</x:v>
      </x:c>
      <x:c r="H66" s="20" t="str">
        <x:v>Підстанції / силові мережі</x:v>
      </x:c>
      <x:c r="I66" s="20" t="str">
        <x:v>N.15 — електромонтаж / силові системи</x:v>
      </x:c>
      <x:c r="J66" s="22" t="n">
        <x:v>62</x:v>
      </x:c>
      <x:c r="K66" s="22" t="n">
        <x:v>1</x:v>
      </x:c>
      <x:c r="L66" s="23" t="n">
        <x:v>94312294.8</x:v>
      </x:c>
      <x:c r="M66" s="24" t="n">
        <x:v>46163.30135616898</x:v>
      </x:c>
      <x:c r="N66" s="24" t="n">
        <x:v>46752</x:v>
      </x:c>
      <x:c r="O66" s="20" t="str">
        <x:v>3 — Prozorro / реєстр; route потрібен</x:v>
      </x:c>
      <x:c r="P66" s="20" t="str"/>
      <x:c r="Q66" s="25" t="str"/>
      <x:c r="R66" s="20" t="str">
        <x:v>Не контактували</x:v>
      </x:c>
      <x:c r="S66" s="26" t="str">
        <x:v>0 — Не запрошували</x:v>
      </x:c>
      <x:c r="T66" s="20" t="b">
        <x:f>OR(LEFT(S66,1)="2",LEFT(S66,1)="3",LEFT(S66,1)="4",LEFT(S66,1)="5",LEFT(S66,1)="6")</x:f>
        <x:v>0</x:v>
      </x:c>
      <x:c r="U66" s="20" t="b">
        <x:f>OR(LEFT(S66,1)="3",LEFT(S66,1)="4",LEFT(S66,1)="5",LEFT(S66,1)="6")</x:f>
        <x:v>0</x:v>
      </x:c>
      <x:c r="V66" s="20" t="b">
        <x:f>AND(OR(LEFT(S66,1)="5",LEFT(S66,1)="6"),LEN(AD66)&gt;0)</x:f>
        <x:v>0</x:v>
      </x:c>
      <x:c r="W66" s="27"/>
      <x:c r="X66" s="26" t="str"/>
      <x:c r="Y66" s="25" t="str">
        <x:v>Проверить собственное выполнение, ПТО и активный проект; затем предложить узкий бесплатный пилот</x:v>
      </x:c>
      <x:c r="Z66" s="25" t="str">
        <x:v>UA-2026-05-21-001610-a</x:v>
      </x:c>
      <x:c r="AA66" s="25" t="str">
        <x:v>Реконструкція електричної підстанції №5 ПрАТ “ДТЕК Павлоградвугілля” у Дніпропетровській області (ДК 021:2015: 45454000-4 - Реконструкція)</x:v>
      </x:c>
      <x:c r="AB66" s="25" t="str">
        <x:v>https://prozorro.gov.ua/tender/UA-2026-05-21-001610-a</x:v>
      </x:c>
      <x:c r="AC66" s="25" t="str"/>
      <x:c r="AD66" s="28" t="str"/>
      <x:c r="AE66" s="28" t="str"/>
    </x:row>
    <x:row r="67" ht="42" customHeight="1">
      <x:c r="A67" s="20" t="n">
        <x:v>63</x:v>
      </x:c>
      <x:c r="B67" s="20" t="str">
        <x:v>A2 — Квалификация перед пилотом</x:v>
      </x:c>
      <x:c r="C67" s="20" t="str">
        <x:v>New outbound</x:v>
      </x:c>
      <x:c r="D67" s="20" t="str">
        <x:v>A2-N05</x:v>
      </x:c>
      <x:c r="E67" s="22" t="n">
        <x:v>81</x:v>
      </x:c>
      <x:c r="F67" s="20" t="str">
        <x:v>ТОВАРИСТВО З ОБМЕЖЕНОЮ ВІДПОВІДАЛЬНІСТЮ "ІВП "ІНТОП"</x:v>
      </x:c>
      <x:c r="G67" s="21" t="str">
        <x:v>35808343</x:v>
      </x:c>
      <x:c r="H67" s="20" t="str">
        <x:v>Підстанції / силові мережі</x:v>
      </x:c>
      <x:c r="I67" s="20" t="str">
        <x:v>N.15 — електромонтаж / силові системи</x:v>
      </x:c>
      <x:c r="J67" s="22" t="n">
        <x:v>62</x:v>
      </x:c>
      <x:c r="K67" s="22" t="n">
        <x:v>1</x:v>
      </x:c>
      <x:c r="L67" s="23" t="n">
        <x:v>102808656</x:v>
      </x:c>
      <x:c r="M67" s="24" t="n">
        <x:v>46163.58369450232</x:v>
      </x:c>
      <x:c r="N67" s="24" t="n">
        <x:v>46752</x:v>
      </x:c>
      <x:c r="O67" s="20" t="str">
        <x:v>3 — Prozorro / реєстр; route потрібен</x:v>
      </x:c>
      <x:c r="P67" s="20" t="str"/>
      <x:c r="Q67" s="25" t="str"/>
      <x:c r="R67" s="20" t="str">
        <x:v>Не контактували</x:v>
      </x:c>
      <x:c r="S67" s="26" t="str">
        <x:v>0 — Не запрошували</x:v>
      </x:c>
      <x:c r="T67" s="20" t="b">
        <x:f>OR(LEFT(S67,1)="2",LEFT(S67,1)="3",LEFT(S67,1)="4",LEFT(S67,1)="5",LEFT(S67,1)="6")</x:f>
        <x:v>0</x:v>
      </x:c>
      <x:c r="U67" s="20" t="b">
        <x:f>OR(LEFT(S67,1)="3",LEFT(S67,1)="4",LEFT(S67,1)="5",LEFT(S67,1)="6")</x:f>
        <x:v>0</x:v>
      </x:c>
      <x:c r="V67" s="20" t="b">
        <x:f>AND(OR(LEFT(S67,1)="5",LEFT(S67,1)="6"),LEN(AD67)&gt;0)</x:f>
        <x:v>0</x:v>
      </x:c>
      <x:c r="W67" s="27"/>
      <x:c r="X67" s="26" t="str"/>
      <x:c r="Y67" s="25" t="str">
        <x:v>Проверить собственное выполнение, ПТО и активный проект; затем предложить узкий бесплатный пилот</x:v>
      </x:c>
      <x:c r="Z67" s="25" t="str">
        <x:v>UA-2026-05-21-012686-a</x:v>
      </x:c>
      <x:c r="AA67" s="25" t="str">
        <x:v>Реконструкція електричної підстанції №9 АТ “ДТЕК Дніпровські електромережі” у Дніпропетровській області (ДК 021:2015: 45454000-4 - Реконструкція)</x:v>
      </x:c>
      <x:c r="AB67" s="25" t="str">
        <x:v>https://prozorro.gov.ua/tender/UA-2026-05-21-012686-a</x:v>
      </x:c>
      <x:c r="AC67" s="25" t="str"/>
      <x:c r="AD67" s="28" t="str"/>
      <x:c r="AE67" s="28" t="str"/>
    </x:row>
    <x:row r="68" ht="42" customHeight="1">
      <x:c r="A68" s="20" t="n">
        <x:v>64</x:v>
      </x:c>
      <x:c r="B68" s="20" t="str">
        <x:v>A2 — Квалификация перед пилотом</x:v>
      </x:c>
      <x:c r="C68" s="20" t="str">
        <x:v>New outbound</x:v>
      </x:c>
      <x:c r="D68" s="20" t="str">
        <x:v>A2-N05</x:v>
      </x:c>
      <x:c r="E68" s="22" t="n">
        <x:v>81</x:v>
      </x:c>
      <x:c r="F68" s="20" t="str">
        <x:v>ТОВАРИСТВО З ОБМЕЖЕНОЮ ВІДПОВІДАЛЬНІСТЮ "КОМПАНІЯ ПОДІЛЬСЬКА ДОРОЖНЯ"</x:v>
      </x:c>
      <x:c r="G68" s="21" t="str">
        <x:v>42598058</x:v>
      </x:c>
      <x:c r="H68" s="20" t="str">
        <x:v>Підстанції / силові мережі</x:v>
      </x:c>
      <x:c r="I68" s="20" t="str">
        <x:v>N.15 — електромонтаж / силові системи</x:v>
      </x:c>
      <x:c r="J68" s="22" t="n">
        <x:v>62</x:v>
      </x:c>
      <x:c r="K68" s="22" t="n">
        <x:v>1</x:v>
      </x:c>
      <x:c r="L68" s="23" t="n">
        <x:v>14549996.65</x:v>
      </x:c>
      <x:c r="M68" s="24" t="n">
        <x:v>46146.22212475695</x:v>
      </x:c>
      <x:c r="N68" s="24" t="n">
        <x:v>46387</x:v>
      </x:c>
      <x:c r="O68" s="20" t="str">
        <x:v>3 — Prozorro / реєстр; route потрібен</x:v>
      </x:c>
      <x:c r="P68" s="20" t="str"/>
      <x:c r="Q68" s="25" t="str"/>
      <x:c r="R68" s="20" t="str">
        <x:v>Не контактували</x:v>
      </x:c>
      <x:c r="S68" s="26" t="str">
        <x:v>0 — Не запрошували</x:v>
      </x:c>
      <x:c r="T68" s="20" t="b">
        <x:f>OR(LEFT(S68,1)="2",LEFT(S68,1)="3",LEFT(S68,1)="4",LEFT(S68,1)="5",LEFT(S68,1)="6")</x:f>
        <x:v>0</x:v>
      </x:c>
      <x:c r="U68" s="20" t="b">
        <x:f>OR(LEFT(S68,1)="3",LEFT(S68,1)="4",LEFT(S68,1)="5",LEFT(S68,1)="6")</x:f>
        <x:v>0</x:v>
      </x:c>
      <x:c r="V68" s="20" t="b">
        <x:f>AND(OR(LEFT(S68,1)="5",LEFT(S68,1)="6"),LEN(AD68)&gt;0)</x:f>
        <x:v>0</x:v>
      </x:c>
      <x:c r="W68" s="27"/>
      <x:c r="X68" s="26" t="str"/>
      <x:c r="Y68" s="25" t="str">
        <x:v>Проверить собственное выполнение, ПТО и активный проект; затем предложить узкий бесплатный пилот</x:v>
      </x:c>
      <x:c r="Z68" s="25" t="str">
        <x:v>UA-2026-04-16-008559-a</x:v>
      </x:c>
      <x:c r="AA68" s="2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x:v>
      </x:c>
      <x:c r="AB68" s="25" t="str">
        <x:v>https://prozorro.gov.ua/tender/UA-2026-04-16-008559-a</x:v>
      </x:c>
      <x:c r="AC68" s="25" t="str"/>
      <x:c r="AD68" s="28" t="str"/>
      <x:c r="AE68" s="28" t="str"/>
    </x:row>
    <x:row r="69" ht="42" customHeight="1">
      <x:c r="A69" s="20" t="n">
        <x:v>65</x:v>
      </x:c>
      <x:c r="B69" s="20" t="str">
        <x:v>A2 — Квалификация перед пилотом</x:v>
      </x:c>
      <x:c r="C69" s="20" t="str">
        <x:v>New outbound</x:v>
      </x:c>
      <x:c r="D69" s="20" t="str">
        <x:v>A2-N05</x:v>
      </x:c>
      <x:c r="E69" s="22" t="n">
        <x:v>81</x:v>
      </x:c>
      <x:c r="F69" s="20" t="str">
        <x:v>ТОВАРИСТВО З ОБМЕЖЕНОЮ ВІДПОВІДАЛЬНІСТЮ "РІТЕЙЛЕР КОМПАНІ"</x:v>
      </x:c>
      <x:c r="G69" s="21" t="str">
        <x:v>39889714</x:v>
      </x:c>
      <x:c r="H69" s="20" t="str">
        <x:v>Підстанції / силові мережі</x:v>
      </x:c>
      <x:c r="I69" s="20" t="str">
        <x:v>N.15 — електромонтаж / силові системи</x:v>
      </x:c>
      <x:c r="J69" s="22" t="n">
        <x:v>62</x:v>
      </x:c>
      <x:c r="K69" s="22" t="n">
        <x:v>1</x:v>
      </x:c>
      <x:c r="L69" s="23" t="n">
        <x:v>111056928</x:v>
      </x:c>
      <x:c r="M69" s="24" t="n">
        <x:v>46175.327697939814</x:v>
      </x:c>
      <x:c r="N69" s="24" t="n">
        <x:v>46752</x:v>
      </x:c>
      <x:c r="O69" s="20" t="str">
        <x:v>3 — Prozorro / реєстр; route потрібен</x:v>
      </x:c>
      <x:c r="P69" s="20" t="str"/>
      <x:c r="Q69" s="25" t="str"/>
      <x:c r="R69" s="20" t="str">
        <x:v>Не контактували</x:v>
      </x:c>
      <x:c r="S69" s="26" t="str">
        <x:v>0 — Не запрошували</x:v>
      </x:c>
      <x:c r="T69" s="20" t="b">
        <x:f>OR(LEFT(S69,1)="2",LEFT(S69,1)="3",LEFT(S69,1)="4",LEFT(S69,1)="5",LEFT(S69,1)="6")</x:f>
        <x:v>0</x:v>
      </x:c>
      <x:c r="U69" s="20" t="b">
        <x:f>OR(LEFT(S69,1)="3",LEFT(S69,1)="4",LEFT(S69,1)="5",LEFT(S69,1)="6")</x:f>
        <x:v>0</x:v>
      </x:c>
      <x:c r="V69" s="20" t="b">
        <x:f>AND(OR(LEFT(S69,1)="5",LEFT(S69,1)="6"),LEN(AD69)&gt;0)</x:f>
        <x:v>0</x:v>
      </x:c>
      <x:c r="W69" s="27"/>
      <x:c r="X69" s="26" t="str"/>
      <x:c r="Y69" s="25" t="str">
        <x:v>Проверить собственное выполнение, ПТО и активный проект; затем предложить узкий бесплатный пилот</x:v>
      </x:c>
      <x:c r="Z69" s="25" t="str">
        <x:v>UA-2026-06-02-002857-a</x:v>
      </x:c>
      <x:c r="AA69" s="25" t="str">
        <x:v>Реконструкція електричної підстанції №3 ПрАТ “ДТЕК Павлоградвугілля” у Дніпропетровській області (ДК 021:2015: 45454000-4 - Реконструкція)</x:v>
      </x:c>
      <x:c r="AB69" s="25" t="str">
        <x:v>https://prozorro.gov.ua/tender/UA-2026-06-02-002857-a</x:v>
      </x:c>
      <x:c r="AC69" s="25" t="str"/>
      <x:c r="AD69" s="28" t="str"/>
      <x:c r="AE69" s="28" t="str"/>
    </x:row>
    <x:row r="70" ht="42" customHeight="1">
      <x:c r="A70" s="20" t="n">
        <x:v>66</x:v>
      </x:c>
      <x:c r="B70" s="20" t="str">
        <x:v>A2 — Квалификация перед пилотом</x:v>
      </x:c>
      <x:c r="C70" s="20" t="str">
        <x:v>New outbound</x:v>
      </x:c>
      <x:c r="D70" s="20" t="str">
        <x:v>A2-N05</x:v>
      </x:c>
      <x:c r="E70" s="22" t="n">
        <x:v>81</x:v>
      </x:c>
      <x:c r="F70" s="20" t="str">
        <x:v>Товариство з обмеженою відповідальністю «Бахмачгазбудсервіс»</x:v>
      </x:c>
      <x:c r="G70" s="21" t="str">
        <x:v>35800585</x:v>
      </x:c>
      <x:c r="H70" s="20" t="str">
        <x:v>Підстанції / силові мережі</x:v>
      </x:c>
      <x:c r="I70" s="20" t="str">
        <x:v>N.15 — електромонтаж / силові системи</x:v>
      </x:c>
      <x:c r="J70" s="22" t="n">
        <x:v>62</x:v>
      </x:c>
      <x:c r="K70" s="22" t="n">
        <x:v>1</x:v>
      </x:c>
      <x:c r="L70" s="23" t="n">
        <x:v>76387907</x:v>
      </x:c>
      <x:c r="M70" s="24" t="n">
        <x:v>46142.638039722224</x:v>
      </x:c>
      <x:c r="N70" s="24" t="n">
        <x:v>46752.67875</x:v>
      </x:c>
      <x:c r="O70" s="20" t="str">
        <x:v>3 — Prozorro / реєстр; route потрібен</x:v>
      </x:c>
      <x:c r="P70" s="20" t="str"/>
      <x:c r="Q70" s="25" t="str"/>
      <x:c r="R70" s="20" t="str">
        <x:v>Не контактували</x:v>
      </x:c>
      <x:c r="S70" s="26" t="str">
        <x:v>0 — Не запрошували</x:v>
      </x:c>
      <x:c r="T70" s="20" t="b">
        <x:f>OR(LEFT(S70,1)="2",LEFT(S70,1)="3",LEFT(S70,1)="4",LEFT(S70,1)="5",LEFT(S70,1)="6")</x:f>
        <x:v>0</x:v>
      </x:c>
      <x:c r="U70" s="20" t="b">
        <x:f>OR(LEFT(S70,1)="3",LEFT(S70,1)="4",LEFT(S70,1)="5",LEFT(S70,1)="6")</x:f>
        <x:v>0</x:v>
      </x:c>
      <x:c r="V70" s="20" t="b">
        <x:f>AND(OR(LEFT(S70,1)="5",LEFT(S70,1)="6"),LEN(AD70)&gt;0)</x:f>
        <x:v>0</x:v>
      </x:c>
      <x:c r="W70" s="27"/>
      <x:c r="X70" s="26" t="str"/>
      <x:c r="Y70" s="25" t="str">
        <x:v>Проверить собственное выполнение, ПТО и активный проект; затем предложить узкий бесплатный пилот</x:v>
      </x:c>
      <x:c r="Z70" s="25" t="str">
        <x:v>UA-2026-04-30-011256-a</x:v>
      </x:c>
      <x:c r="AA70" s="2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x:v>
      </x:c>
      <x:c r="AB70" s="25" t="str">
        <x:v>https://prozorro.gov.ua/tender/UA-2026-04-30-011256-a</x:v>
      </x:c>
      <x:c r="AC70" s="25" t="str"/>
      <x:c r="AD70" s="28" t="str"/>
      <x:c r="AE70" s="28" t="str"/>
    </x:row>
    <x:row r="71" ht="42" customHeight="1">
      <x:c r="A71" s="20" t="n">
        <x:v>67</x:v>
      </x:c>
      <x:c r="B71" s="20" t="str">
        <x:v>A2 — Квалификация перед пилотом</x:v>
      </x:c>
      <x:c r="C71" s="20" t="str">
        <x:v>New outbound</x:v>
      </x:c>
      <x:c r="D71" s="20" t="str">
        <x:v>A2-N05</x:v>
      </x:c>
      <x:c r="E71" s="22" t="n">
        <x:v>81</x:v>
      </x:c>
      <x:c r="F71" s="20" t="str">
        <x:v>ТОВАРИСТВО З ОБМЕЖЕНОЮ ВІДПОВІДАЛЬНІСТЮ ФІРМА "ЕНЕРГІЯ"
</x:v>
      </x:c>
      <x:c r="G71" s="21" t="str">
        <x:v>23059622</x:v>
      </x:c>
      <x:c r="H71" s="20" t="str">
        <x:v>Підстанції / силові мережі</x:v>
      </x:c>
      <x:c r="I71" s="20" t="str">
        <x:v>N.15 — електромонтаж / силові системи</x:v>
      </x:c>
      <x:c r="J71" s="22" t="n">
        <x:v>62</x:v>
      </x:c>
      <x:c r="K71" s="22" t="n">
        <x:v>1</x:v>
      </x:c>
      <x:c r="L71" s="23" t="n">
        <x:v>12870100.22</x:v>
      </x:c>
      <x:c r="M71" s="24" t="n">
        <x:v>46196.351273402775</x:v>
      </x:c>
      <x:c r="N71" s="24" t="n">
        <x:v>46387</x:v>
      </x:c>
      <x:c r="O71" s="20" t="str">
        <x:v>3 — Prozorro / реєстр; route потрібен</x:v>
      </x:c>
      <x:c r="P71" s="20" t="str"/>
      <x:c r="Q71" s="25" t="str"/>
      <x:c r="R71" s="20" t="str">
        <x:v>Не контактували</x:v>
      </x:c>
      <x:c r="S71" s="26" t="str">
        <x:v>0 — Не запрошували</x:v>
      </x:c>
      <x:c r="T71" s="20" t="b">
        <x:f>OR(LEFT(S71,1)="2",LEFT(S71,1)="3",LEFT(S71,1)="4",LEFT(S71,1)="5",LEFT(S71,1)="6")</x:f>
        <x:v>0</x:v>
      </x:c>
      <x:c r="U71" s="20" t="b">
        <x:f>OR(LEFT(S71,1)="3",LEFT(S71,1)="4",LEFT(S71,1)="5",LEFT(S71,1)="6")</x:f>
        <x:v>0</x:v>
      </x:c>
      <x:c r="V71" s="20" t="b">
        <x:f>AND(OR(LEFT(S71,1)="5",LEFT(S71,1)="6"),LEN(AD71)&gt;0)</x:f>
        <x:v>0</x:v>
      </x:c>
      <x:c r="W71" s="27"/>
      <x:c r="X71" s="26" t="str"/>
      <x:c r="Y71" s="25" t="str">
        <x:v>Проверить собственное выполнение, ПТО и активный проект; затем предложить узкий бесплатный пилот</x:v>
      </x:c>
      <x:c r="Z71" s="25" t="str">
        <x:v>UA-2026-06-04-014139-a</x:v>
      </x:c>
      <x:c r="AA71" s="2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x:v>
      </x:c>
      <x:c r="AB71" s="25" t="str">
        <x:v>https://prozorro.gov.ua/tender/UA-2026-06-04-014139-a</x:v>
      </x:c>
      <x:c r="AC71" s="25" t="str"/>
      <x:c r="AD71" s="28" t="str"/>
      <x:c r="AE71" s="28" t="str"/>
    </x:row>
    <x:row r="72" ht="42" customHeight="1">
      <x:c r="A72" s="20" t="n">
        <x:v>68</x:v>
      </x:c>
      <x:c r="B72" s="20" t="str">
        <x:v>A2 — Квалификация перед пилотом</x:v>
      </x:c>
      <x:c r="C72" s="20" t="str">
        <x:v>New outbound</x:v>
      </x:c>
      <x:c r="D72" s="20" t="str">
        <x:v>A2-N05</x:v>
      </x:c>
      <x:c r="E72" s="22" t="n">
        <x:v>81</x:v>
      </x:c>
      <x:c r="F72" s="20" t="str">
        <x:v>ТОВ "ІНЖИНІРИНГ ПОРТ СЕРВІС"</x:v>
      </x:c>
      <x:c r="G72" s="21" t="str">
        <x:v>38755441</x:v>
      </x:c>
      <x:c r="H72" s="20" t="str">
        <x:v>HVAC / ОВіК</x:v>
      </x:c>
      <x:c r="I72" s="20" t="str">
        <x:v>N.14 — сантехніка / HVAC / тепло</x:v>
      </x:c>
      <x:c r="J72" s="22" t="n">
        <x:v>56</x:v>
      </x:c>
      <x:c r="K72" s="22" t="n">
        <x:v>1</x:v>
      </x:c>
      <x:c r="L72" s="23" t="n">
        <x:v>393225</x:v>
      </x:c>
      <x:c r="M72" s="24" t="n">
        <x:v>46240.31860636574</x:v>
      </x:c>
      <x:c r="N72" s="24" t="n">
        <x:v>46356</x:v>
      </x:c>
      <x:c r="O72" s="20" t="str">
        <x:v>3 — Prozorro / реєстр; route потрібен</x:v>
      </x:c>
      <x:c r="P72" s="20" t="str"/>
      <x:c r="Q72" s="25" t="str"/>
      <x:c r="R72" s="20" t="str">
        <x:v>Не контактували</x:v>
      </x:c>
      <x:c r="S72" s="26" t="str">
        <x:v>0 — Не запрошували</x:v>
      </x:c>
      <x:c r="T72" s="20" t="b">
        <x:f>OR(LEFT(S72,1)="2",LEFT(S72,1)="3",LEFT(S72,1)="4",LEFT(S72,1)="5",LEFT(S72,1)="6")</x:f>
        <x:v>0</x:v>
      </x:c>
      <x:c r="U72" s="20" t="b">
        <x:f>OR(LEFT(S72,1)="3",LEFT(S72,1)="4",LEFT(S72,1)="5",LEFT(S72,1)="6")</x:f>
        <x:v>0</x:v>
      </x:c>
      <x:c r="V72" s="20" t="b">
        <x:f>AND(OR(LEFT(S72,1)="5",LEFT(S72,1)="6"),LEN(AD72)&gt;0)</x:f>
        <x:v>0</x:v>
      </x:c>
      <x:c r="W72" s="27"/>
      <x:c r="X72" s="26" t="str"/>
      <x:c r="Y72" s="25" t="str">
        <x:v>Проверить собственное выполнение, ПТО и активный проект; затем предложить узкий бесплатный пилот</x:v>
      </x:c>
      <x:c r="Z72" s="25" t="str">
        <x:v>UA-2026-07-27-004787-a</x:v>
      </x:c>
      <x:c r="AA72" s="25" t="str">
        <x:v>"Послуги з проектування та монтажу системи автономного повітряного опалення на малі катери морської охорони проєкту «Metal Shark Defiant 38» (спецпризначення)»"</x:v>
      </x:c>
      <x:c r="AB72" s="25" t="str">
        <x:v>https://prozorro.gov.ua/tender/UA-2026-07-27-004787-a</x:v>
      </x:c>
      <x:c r="AC72" s="25" t="str"/>
      <x:c r="AD72" s="28" t="str"/>
      <x:c r="AE72" s="28" t="str"/>
    </x:row>
    <x:row r="73" ht="42" customHeight="1">
      <x:c r="A73" s="20" t="n">
        <x:v>69</x:v>
      </x:c>
      <x:c r="B73" s="20" t="str">
        <x:v>A2 — Квалификация перед пилотом</x:v>
      </x:c>
      <x:c r="C73" s="20" t="str">
        <x:v>New outbound</x:v>
      </x:c>
      <x:c r="D73" s="20" t="str">
        <x:v>A2-N05</x:v>
      </x:c>
      <x:c r="E73" s="22" t="n">
        <x:v>81</x:v>
      </x:c>
      <x:c r="F73" s="20" t="str">
        <x:v>ТОВ "КОМПАНІЯ ТЕРА-БУД"</x:v>
      </x:c>
      <x:c r="G73" s="21" t="str">
        <x:v>41405937</x:v>
      </x:c>
      <x:c r="H73" s="20" t="str">
        <x:v>Резервне живлення</x:v>
      </x:c>
      <x:c r="I73" s="20" t="str">
        <x:v>N.15 — електромонтаж / силові системи</x:v>
      </x:c>
      <x:c r="J73" s="22" t="n">
        <x:v>56</x:v>
      </x:c>
      <x:c r="K73" s="22" t="n">
        <x:v>1</x:v>
      </x:c>
      <x:c r="L73" s="23" t="n">
        <x:v>493086.67</x:v>
      </x:c>
      <x:c r="M73" s="24" t="n">
        <x:v>46218.459691979166</x:v>
      </x:c>
      <x:c r="N73" s="24" t="n">
        <x:v>46295.50371527778</x:v>
      </x:c>
      <x:c r="O73" s="20" t="str">
        <x:v>3 — Prozorro / реєстр; route потрібен</x:v>
      </x:c>
      <x:c r="P73" s="20" t="str"/>
      <x:c r="Q73" s="25" t="str"/>
      <x:c r="R73" s="20" t="str">
        <x:v>Не контактували</x:v>
      </x:c>
      <x:c r="S73" s="26" t="str">
        <x:v>0 — Не запрошували</x:v>
      </x:c>
      <x:c r="T73" s="20" t="b">
        <x:f>OR(LEFT(S73,1)="2",LEFT(S73,1)="3",LEFT(S73,1)="4",LEFT(S73,1)="5",LEFT(S73,1)="6")</x:f>
        <x:v>0</x:v>
      </x:c>
      <x:c r="U73" s="20" t="b">
        <x:f>OR(LEFT(S73,1)="3",LEFT(S73,1)="4",LEFT(S73,1)="5",LEFT(S73,1)="6")</x:f>
        <x:v>0</x:v>
      </x:c>
      <x:c r="V73" s="20" t="b">
        <x:f>AND(OR(LEFT(S73,1)="5",LEFT(S73,1)="6"),LEN(AD73)&gt;0)</x:f>
        <x:v>0</x:v>
      </x:c>
      <x:c r="W73" s="27"/>
      <x:c r="X73" s="26" t="str"/>
      <x:c r="Y73" s="25" t="str">
        <x:v>Проверить собственное выполнение, ПТО и активный проект; затем предложить узкий бесплатный пилот</x:v>
      </x:c>
      <x:c r="Z73" s="25" t="str">
        <x:v>UA-2026-06-30-009773-a</x:v>
      </x:c>
      <x:c r="AA73" s="2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x:v>
      </x:c>
      <x:c r="AB73" s="25" t="str">
        <x:v>https://prozorro.gov.ua/tender/UA-2026-06-30-009773-a</x:v>
      </x:c>
      <x:c r="AC73" s="25" t="str"/>
      <x:c r="AD73" s="28" t="str"/>
      <x:c r="AE73" s="28" t="str"/>
    </x:row>
    <x:row r="74" ht="42" customHeight="1">
      <x:c r="A74" s="20" t="n">
        <x:v>70</x:v>
      </x:c>
      <x:c r="B74" s="20" t="str">
        <x:v>A2 — Квалификация перед пилотом</x:v>
      </x:c>
      <x:c r="C74" s="20" t="str">
        <x:v>New outbound</x:v>
      </x:c>
      <x:c r="D74" s="20" t="str">
        <x:v>A2-N05</x:v>
      </x:c>
      <x:c r="E74" s="22" t="n">
        <x:v>81</x:v>
      </x:c>
      <x:c r="F74" s="20" t="str">
        <x:v>ТОВАРИСТВО З ОБМЕЖЕНОЮ ВІДПОВІДАЛЬНІСТЮ "ЕЛЕКТРОСЕРВІС-1"</x:v>
      </x:c>
      <x:c r="G74" s="21" t="str">
        <x:v>30984149</x:v>
      </x:c>
      <x:c r="H74" s="20" t="str">
        <x:v>Електромонтаж</x:v>
      </x:c>
      <x:c r="I74" s="20" t="str">
        <x:v>N.15 — електромонтаж / силові системи</x:v>
      </x:c>
      <x:c r="J74" s="22" t="n">
        <x:v>56</x:v>
      </x:c>
      <x:c r="K74" s="22" t="n">
        <x:v>1</x:v>
      </x:c>
      <x:c r="L74" s="23" t="n">
        <x:v>118805</x:v>
      </x:c>
      <x:c r="M74" s="24" t="n">
        <x:v>46246.274339641204</x:v>
      </x:c>
      <x:c r="N74" s="24" t="n">
        <x:v>46387</x:v>
      </x:c>
      <x:c r="O74" s="20" t="str">
        <x:v>3 — Prozorro / реєстр; route потрібен</x:v>
      </x:c>
      <x:c r="P74" s="20" t="str"/>
      <x:c r="Q74" s="25" t="str"/>
      <x:c r="R74" s="20" t="str">
        <x:v>Не контактували</x:v>
      </x:c>
      <x:c r="S74" s="26" t="str">
        <x:v>0 — Не запрошували</x:v>
      </x:c>
      <x:c r="T74" s="20" t="b">
        <x:f>OR(LEFT(S74,1)="2",LEFT(S74,1)="3",LEFT(S74,1)="4",LEFT(S74,1)="5",LEFT(S74,1)="6")</x:f>
        <x:v>0</x:v>
      </x:c>
      <x:c r="U74" s="20" t="b">
        <x:f>OR(LEFT(S74,1)="3",LEFT(S74,1)="4",LEFT(S74,1)="5",LEFT(S74,1)="6")</x:f>
        <x:v>0</x:v>
      </x:c>
      <x:c r="V74" s="20" t="b">
        <x:f>AND(OR(LEFT(S74,1)="5",LEFT(S74,1)="6"),LEN(AD74)&gt;0)</x:f>
        <x:v>0</x:v>
      </x:c>
      <x:c r="W74" s="27"/>
      <x:c r="X74" s="26" t="str"/>
      <x:c r="Y74" s="25" t="str">
        <x:v>Проверить собственное выполнение, ПТО и активный проект; затем предложить узкий бесплатный пилот</x:v>
      </x:c>
      <x:c r="Z74" s="25" t="str">
        <x:v>UA-2026-08-12-001005-a</x:v>
      </x:c>
      <x:c r="AA74" s="25" t="str">
        <x:v> Електромонтажні роботи</x:v>
      </x:c>
      <x:c r="AB74" s="25" t="str">
        <x:v>https://prozorro.gov.ua/tender/UA-2026-08-12-001005-a</x:v>
      </x:c>
      <x:c r="AC74" s="25" t="str"/>
      <x:c r="AD74" s="28" t="str"/>
      <x:c r="AE74" s="28" t="str"/>
    </x:row>
    <x:row r="75" ht="42" customHeight="1">
      <x:c r="A75" s="20" t="n">
        <x:v>71</x:v>
      </x:c>
      <x:c r="B75" s="20" t="str">
        <x:v>A2 — Квалификация перед пилотом</x:v>
      </x:c>
      <x:c r="C75" s="20" t="str">
        <x:v>New outbound</x:v>
      </x:c>
      <x:c r="D75" s="20" t="str">
        <x:v>A2-N05</x:v>
      </x:c>
      <x:c r="E75" s="22" t="n">
        <x:v>81</x:v>
      </x:c>
      <x:c r="F75" s="20" t="str">
        <x:v>ТОВАРИСТВО З ОБМЕЖЕНОЮ ВІДПОВІДАЛЬНІСТЮ "ІНВЕСТИЦІЙНО-БУДІВЕЛЬНА ГРУПА "СПЕЦБУДМОНТАЖ"</x:v>
      </x:c>
      <x:c r="G75" s="21" t="str">
        <x:v>42291193</x:v>
      </x:c>
      <x:c r="H75" s="20" t="str">
        <x:v>Зовнішнє освітлення</x:v>
      </x:c>
      <x:c r="I75" s="20" t="str">
        <x:v>N.15 — електромонтаж / силові системи</x:v>
      </x:c>
      <x:c r="J75" s="22" t="n">
        <x:v>56</x:v>
      </x:c>
      <x:c r="K75" s="22" t="n">
        <x:v>1</x:v>
      </x:c>
      <x:c r="L75" s="23" t="n">
        <x:v>286521.11</x:v>
      </x:c>
      <x:c r="M75" s="24" t="n">
        <x:v>46227.37464065972</x:v>
      </x:c>
      <x:c r="N75" s="24" t="n">
        <x:v>46387</x:v>
      </x:c>
      <x:c r="O75" s="20" t="str">
        <x:v>3 — Prozorro / реєстр; route потрібен</x:v>
      </x:c>
      <x:c r="P75" s="20" t="str"/>
      <x:c r="Q75" s="25" t="str"/>
      <x:c r="R75" s="20" t="str">
        <x:v>Не контактували</x:v>
      </x:c>
      <x:c r="S75" s="26" t="str">
        <x:v>0 — Не запрошували</x:v>
      </x:c>
      <x:c r="T75" s="20" t="b">
        <x:f>OR(LEFT(S75,1)="2",LEFT(S75,1)="3",LEFT(S75,1)="4",LEFT(S75,1)="5",LEFT(S75,1)="6")</x:f>
        <x:v>0</x:v>
      </x:c>
      <x:c r="U75" s="20" t="b">
        <x:f>OR(LEFT(S75,1)="3",LEFT(S75,1)="4",LEFT(S75,1)="5",LEFT(S75,1)="6")</x:f>
        <x:v>0</x:v>
      </x:c>
      <x:c r="V75" s="20" t="b">
        <x:f>AND(OR(LEFT(S75,1)="5",LEFT(S75,1)="6"),LEN(AD75)&gt;0)</x:f>
        <x:v>0</x:v>
      </x:c>
      <x:c r="W75" s="27"/>
      <x:c r="X75" s="26" t="str"/>
      <x:c r="Y75" s="25" t="str">
        <x:v>Проверить собственное выполнение, ПТО и активный проект; затем предложить узкий бесплатный пилот</x:v>
      </x:c>
      <x:c r="Z75" s="25" t="str">
        <x:v>UA-2026-07-24-004123-a</x:v>
      </x:c>
      <x:c r="AA75" s="25" t="str">
        <x:v>"Нове будівництво зовнішнього освітлення по пров. Немирівський у м. Запоріжжя"</x:v>
      </x:c>
      <x:c r="AB75" s="25" t="str">
        <x:v>https://prozorro.gov.ua/tender/UA-2026-07-24-004123-a</x:v>
      </x:c>
      <x:c r="AC75" s="25" t="str"/>
      <x:c r="AD75" s="28" t="str"/>
      <x:c r="AE75" s="28" t="str"/>
    </x:row>
    <x:row r="76" ht="42" customHeight="1">
      <x:c r="A76" s="20" t="n">
        <x:v>72</x:v>
      </x:c>
      <x:c r="B76" s="20" t="str">
        <x:v>B1 — Discovery → пилот</x:v>
      </x:c>
      <x:c r="C76" s="20" t="str">
        <x:v>New outbound</x:v>
      </x:c>
      <x:c r="D76" s="20" t="str">
        <x:v>B1-N01</x:v>
      </x:c>
      <x:c r="E76" s="22" t="n">
        <x:v>87</x:v>
      </x:c>
      <x:c r="F76" s="20" t="str">
        <x:v>ТОВАРИСТВО З ОБМЕЖЕНОЮ ВІДПОВІДАЛЬНІСТЮ "ТРАФІК МЕНЕДЖМЕНТ ГРУП"</x:v>
      </x:c>
      <x:c r="G76" s="21" t="str">
        <x:v>39612538</x:v>
      </x:c>
      <x:c r="H76" s="20" t="str">
        <x:v>Світлофори / дорожня автоматика</x:v>
      </x:c>
      <x:c r="I76" s="20" t="str">
        <x:v>Adjacent workflow — discovery до пілоту</x:v>
      </x:c>
      <x:c r="J76" s="22" t="n">
        <x:v>83</x:v>
      </x:c>
      <x:c r="K76" s="22" t="n">
        <x:v>3</x:v>
      </x:c>
      <x:c r="L76" s="23" t="n">
        <x:v>4227223.96</x:v>
      </x:c>
      <x:c r="M76" s="24" t="n">
        <x:v>46142.737099907405</x:v>
      </x:c>
      <x:c r="N76" s="24" t="n">
        <x:v>46387</x:v>
      </x:c>
      <x:c r="O76" s="20" t="str">
        <x:v>1 — Офіційний сайт</x:v>
      </x:c>
      <x:c r="P76" s="20" t="str">
        <x:v>official_company_site_verified</x:v>
      </x:c>
      <x:c r="Q76" s="25" t="str">
        <x:v>The site names the company and describes road-traffic organization, markings, barriers, signs and field crews working across Ukraine.</x:v>
      </x:c>
      <x:c r="R76" s="20" t="str">
        <x:v>Не контактували</x:v>
      </x:c>
      <x:c r="S76" s="26" t="str">
        <x:v>0 — Не запрошували</x:v>
      </x:c>
      <x:c r="T76" s="20" t="b">
        <x:f>OR(LEFT(S76,1)="2",LEFT(S76,1)="3",LEFT(S76,1)="4",LEFT(S76,1)="5",LEFT(S76,1)="6")</x:f>
        <x:v>0</x:v>
      </x:c>
      <x:c r="U76" s="20" t="b">
        <x:f>OR(LEFT(S76,1)="3",LEFT(S76,1)="4",LEFT(S76,1)="5",LEFT(S76,1)="6")</x:f>
        <x:v>0</x:v>
      </x:c>
      <x:c r="V76" s="20" t="b">
        <x:f>AND(OR(LEFT(S76,1)="5",LEFT(S76,1)="6"),LEN(AD76)&gt;0)</x:f>
        <x:v>0</x:v>
      </x:c>
      <x:c r="W76" s="27"/>
      <x:c r="X76" s="26" t="str"/>
      <x:c r="Y76" s="25" t="str">
        <x:v>Провести 2-недельный workflow discovery на одном пакете; пилот только после fit verdict</x:v>
      </x:c>
      <x:c r="Z76" s="25" t="str">
        <x:v>UA-2026-04-30-011616-a</x:v>
      </x:c>
      <x:c r="AA76" s="25" t="str">
        <x:v>«Будівництво світлофорного об’єкту з кнопкою виклику пішохода на пішохідному переході біля ліцею «Невицький замок» по вул.Головній в с.Оноківці, Оноківська територіальна громада,  Ужгородський район, Закарпатська область»</x:v>
      </x:c>
      <x:c r="AB76" s="25" t="str">
        <x:v>https://prozorro.gov.ua/tender/UA-2026-04-30-011616-a</x:v>
      </x:c>
      <x:c r="AC76" s="25" t="str">
        <x:v>https://trafficmg.com.ua/</x:v>
      </x:c>
      <x:c r="AD76" s="28" t="str"/>
      <x:c r="AE76" s="28" t="str"/>
    </x:row>
    <x:row r="77" ht="42" customHeight="1">
      <x:c r="A77" s="20" t="n">
        <x:v>73</x:v>
      </x:c>
      <x:c r="B77" s="20" t="str">
        <x:v>B1 — Discovery → пилот</x:v>
      </x:c>
      <x:c r="C77" s="20" t="str">
        <x:v>New outbound</x:v>
      </x:c>
      <x:c r="D77" s="20" t="str">
        <x:v>B1-N01</x:v>
      </x:c>
      <x:c r="E77" s="22" t="n">
        <x:v>80</x:v>
      </x:c>
      <x:c r="F77" s="20" t="str">
        <x:v>ТОВАРИСТВО З ОБМЕЖЕНОЮ ВІДПОВІДАЛЬНІСТЮ "ЗАХІДЕЛЕКТРОМОНТАЖ"</x:v>
      </x:c>
      <x:c r="G77" s="21" t="str">
        <x:v>36699380</x:v>
      </x:c>
      <x:c r="H77" s="20" t="str">
        <x:v>Градирні / охолоджувальні споруди</x:v>
      </x:c>
      <x:c r="I77" s="20" t="str">
        <x:v>Adjacent workflow — discovery до пілоту</x:v>
      </x:c>
      <x:c r="J77" s="22" t="n">
        <x:v>72</x:v>
      </x:c>
      <x:c r="K77" s="22" t="n">
        <x:v>1</x:v>
      </x:c>
      <x:c r="L77" s="23" t="n">
        <x:v>301929300</x:v>
      </x:c>
      <x:c r="M77" s="24" t="n">
        <x:v>46184.44382136574</x:v>
      </x:c>
      <x:c r="N77" s="24" t="n">
        <x:v>46381</x:v>
      </x:c>
      <x:c r="O77" s="20" t="str">
        <x:v>2 — Перевірений публічний профіль</x:v>
      </x:c>
      <x:c r="P77" s="20" t="str">
        <x:v>upgrade_pilot_n15</x:v>
      </x:c>
      <x:c r="Q77" s="25" t="str">
        <x:v>Official construction registry corroborates the entity; search results also show electrical-installation activity and material scale.</x:v>
      </x:c>
      <x:c r="R77" s="20" t="str">
        <x:v>Не контактували</x:v>
      </x:c>
      <x:c r="S77" s="26" t="str">
        <x:v>0 — Не запрошували</x:v>
      </x:c>
      <x:c r="T77" s="20" t="b">
        <x:f>OR(LEFT(S77,1)="2",LEFT(S77,1)="3",LEFT(S77,1)="4",LEFT(S77,1)="5",LEFT(S77,1)="6")</x:f>
        <x:v>0</x:v>
      </x:c>
      <x:c r="U77" s="20" t="b">
        <x:f>OR(LEFT(S77,1)="3",LEFT(S77,1)="4",LEFT(S77,1)="5",LEFT(S77,1)="6")</x:f>
        <x:v>0</x:v>
      </x:c>
      <x:c r="V77" s="20" t="b">
        <x:f>AND(OR(LEFT(S77,1)="5",LEFT(S77,1)="6"),LEN(AD77)&gt;0)</x:f>
        <x:v>0</x:v>
      </x:c>
      <x:c r="W77" s="27"/>
      <x:c r="X77" s="26" t="str"/>
      <x:c r="Y77" s="25" t="str">
        <x:v>Провести 2-недельный workflow discovery на одном пакете; пилот только после fit verdict</x:v>
      </x:c>
      <x:c r="Z77" s="25" t="str">
        <x:v>UA-2026-05-25-005465-a</x:v>
      </x:c>
      <x:c r="AA77" s="25" t="str">
        <x:v>Виконання будівельних робіт по реконструкції градирні (в частині відновлення оболонки).</x:v>
      </x:c>
      <x:c r="AB77" s="25" t="str">
        <x:v>https://prozorro.gov.ua/tender/UA-2026-05-25-005465-a</x:v>
      </x:c>
      <x:c r="AC77" s="25" t="str">
        <x:v>https://e-construction.gov.ua/organizations_detail/2283351183407973805?org_type=14</x:v>
      </x:c>
      <x:c r="AD77" s="28" t="str"/>
      <x:c r="AE77" s="28" t="str"/>
    </x:row>
    <x:row r="78" ht="42" customHeight="1">
      <x:c r="A78" s="20" t="n">
        <x:v>74</x:v>
      </x:c>
      <x:c r="B78" s="20" t="str">
        <x:v>B1 — Discovery → пилот</x:v>
      </x:c>
      <x:c r="C78" s="20" t="str">
        <x:v>New outbound</x:v>
      </x:c>
      <x:c r="D78" s="20" t="str">
        <x:v>B1-N01</x:v>
      </x:c>
      <x:c r="E78" s="22" t="n">
        <x:v>79</x:v>
      </x:c>
      <x:c r="F78" s="20" t="str">
        <x:v>ТОВАРИСТВО З ОБМЕЖЕНОЮ ВІДПОВІДАЛЬНІСТЮ "СПЕЦМОНТАЖІНЖИНІРИНГ"</x:v>
      </x:c>
      <x:c r="G78" s="21" t="str">
        <x:v>37528539</x:v>
      </x:c>
      <x:c r="H78" s="20" t="str">
        <x:v>Резервуари / промислові ємності</x:v>
      </x:c>
      <x:c r="I78" s="20" t="str">
        <x:v>Adjacent workflow — discovery до пілоту</x:v>
      </x:c>
      <x:c r="J78" s="22" t="n">
        <x:v>87</x:v>
      </x:c>
      <x:c r="K78" s="22" t="n">
        <x:v>3</x:v>
      </x:c>
      <x:c r="L78" s="23" t="n">
        <x:v>72992568.06</x:v>
      </x:c>
      <x:c r="M78" s="24" t="n">
        <x:v>46142.39569707176</x:v>
      </x:c>
      <x:c r="N78" s="24" t="n">
        <x:v>46752</x:v>
      </x:c>
      <x:c r="O78" s="20" t="str">
        <x:v>1 — Офіційний сайт</x:v>
      </x:c>
      <x:c r="P78" s="20" t="str">
        <x:v>official_company_site_verified</x:v>
      </x:c>
      <x:c r="Q78" s="25" t="str">
        <x:v>The site names the legal entity and describes industrial pipelines, equipment, tanks, grain silos and metal structures.</x:v>
      </x:c>
      <x:c r="R78" s="20" t="str">
        <x:v>Не контактували</x:v>
      </x:c>
      <x:c r="S78" s="26" t="str">
        <x:v>0 — Не запрошували</x:v>
      </x:c>
      <x:c r="T78" s="20" t="b">
        <x:f>OR(LEFT(S78,1)="2",LEFT(S78,1)="3",LEFT(S78,1)="4",LEFT(S78,1)="5",LEFT(S78,1)="6")</x:f>
        <x:v>0</x:v>
      </x:c>
      <x:c r="U78" s="20" t="b">
        <x:f>OR(LEFT(S78,1)="3",LEFT(S78,1)="4",LEFT(S78,1)="5",LEFT(S78,1)="6")</x:f>
        <x:v>0</x:v>
      </x:c>
      <x:c r="V78" s="20" t="b">
        <x:f>AND(OR(LEFT(S78,1)="5",LEFT(S78,1)="6"),LEN(AD78)&gt;0)</x:f>
        <x:v>0</x:v>
      </x:c>
      <x:c r="W78" s="27"/>
      <x:c r="X78" s="26" t="str"/>
      <x:c r="Y78" s="25" t="str">
        <x:v>Провести 2-недельный workflow discovery на одном пакете; пилот только после fit verdict</x:v>
      </x:c>
      <x:c r="Z78" s="25" t="str">
        <x:v>UA-2026-04-30-005010-a</x:v>
      </x:c>
      <x:c r="AA78" s="25" t="str">
        <x:v>«Інженерні та будівельні роботи» (код 45220000-5 за ДК 021:2015) (Відновлення працездатності резервуара РВС ГРЛВДС  шляхом ремонту окремих металоконструкцій) </x:v>
      </x:c>
      <x:c r="AB78" s="25" t="str">
        <x:v>https://prozorro.gov.ua/tender/UA-2026-04-30-005010-a</x:v>
      </x:c>
      <x:c r="AC78" s="25" t="str">
        <x:v>http://specmontazinzhiniring.com.ua/</x:v>
      </x:c>
      <x:c r="AD78" s="28" t="str"/>
      <x:c r="AE78" s="28" t="str"/>
    </x:row>
    <x:row r="79" ht="42" customHeight="1">
      <x:c r="A79" s="20" t="n">
        <x:v>75</x:v>
      </x:c>
      <x:c r="B79" s="20" t="str">
        <x:v>B1 — Discovery → пилот</x:v>
      </x:c>
      <x:c r="C79" s="20" t="str">
        <x:v>New outbound</x:v>
      </x:c>
      <x:c r="D79" s="20" t="str">
        <x:v>B1-N01</x:v>
      </x:c>
      <x:c r="E79" s="22" t="n">
        <x:v>78</x:v>
      </x:c>
      <x:c r="F79" s="20" t="str">
        <x:v>ПРИВАТНЕ ПІДПРИЄМСТВО "УКРНАДРА-ПІВДЕНЬ"</x:v>
      </x:c>
      <x:c r="G79" s="21" t="str">
        <x:v>34994941</x:v>
      </x:c>
      <x:c r="H79" s="20" t="str">
        <x:v>Свердловини / водозабір</x:v>
      </x:c>
      <x:c r="I79" s="20" t="str">
        <x:v>Adjacent workflow — discovery до пілоту</x:v>
      </x:c>
      <x:c r="J79" s="22" t="n">
        <x:v>93</x:v>
      </x:c>
      <x:c r="K79" s="22" t="n">
        <x:v>2</x:v>
      </x:c>
      <x:c r="L79" s="23" t="n">
        <x:v>12814780.35</x:v>
      </x:c>
      <x:c r="M79" s="24" t="n">
        <x:v>46251.49992414352</x:v>
      </x:c>
      <x:c r="N79" s="24" t="n">
        <x:v>46387</x:v>
      </x:c>
      <x:c r="O79" s="20" t="str">
        <x:v>1 — Офіційний сайт</x:v>
      </x:c>
      <x:c r="P79" s="20" t="str">
        <x:v>official_company_site_verified</x:v>
      </x:c>
      <x:c r="Q79" s="25" t="str">
        <x:v>The site names Укрнадра-Південь and describes turnkey artesian-well drilling, well repair, plugging and related engineering work.</x:v>
      </x:c>
      <x:c r="R79" s="20" t="str">
        <x:v>Не контактували</x:v>
      </x:c>
      <x:c r="S79" s="26" t="str">
        <x:v>0 — Не запрошували</x:v>
      </x:c>
      <x:c r="T79" s="20" t="b">
        <x:f>OR(LEFT(S79,1)="2",LEFT(S79,1)="3",LEFT(S79,1)="4",LEFT(S79,1)="5",LEFT(S79,1)="6")</x:f>
        <x:v>0</x:v>
      </x:c>
      <x:c r="U79" s="20" t="b">
        <x:f>OR(LEFT(S79,1)="3",LEFT(S79,1)="4",LEFT(S79,1)="5",LEFT(S79,1)="6")</x:f>
        <x:v>0</x:v>
      </x:c>
      <x:c r="V79" s="20" t="b">
        <x:f>AND(OR(LEFT(S79,1)="5",LEFT(S79,1)="6"),LEN(AD79)&gt;0)</x:f>
        <x:v>0</x:v>
      </x:c>
      <x:c r="W79" s="27"/>
      <x:c r="X79" s="26" t="str"/>
      <x:c r="Y79" s="25" t="str">
        <x:v>Провести 2-недельный workflow discovery на одном пакете; пилот только после fit verdict</x:v>
      </x:c>
      <x:c r="Z79" s="25" t="str">
        <x:v>UA-2026-08-17-008373-a</x:v>
      </x:c>
      <x:c r="AA79" s="25" t="str">
        <x:v>Будівництво (буріння) артезіанської свердловини за адресою: вул. Молодіжна, с. Кулевча, Білгород-Дністровського району Одеської області</x:v>
      </x:c>
      <x:c r="AB79" s="25" t="str">
        <x:v>https://prozorro.gov.ua/tender/UA-2026-08-17-008373-a</x:v>
      </x:c>
      <x:c r="AC79" s="25" t="str">
        <x:v>https://www.ukrnadra.com/</x:v>
      </x:c>
      <x:c r="AD79" s="28" t="str"/>
      <x:c r="AE79" s="28" t="str"/>
    </x:row>
    <x:row r="80" ht="42" customHeight="1">
      <x:c r="A80" s="20" t="n">
        <x:v>76</x:v>
      </x:c>
      <x:c r="B80" s="20" t="str">
        <x:v>B1 — Discovery → пилот</x:v>
      </x:c>
      <x:c r="C80" s="20" t="str">
        <x:v>New outbound</x:v>
      </x:c>
      <x:c r="D80" s="20" t="str">
        <x:v>B1-N01</x:v>
      </x:c>
      <x:c r="E80" s="22" t="n">
        <x:v>77</x:v>
      </x:c>
      <x:c r="F80" s="20" t="str">
        <x:v>Товариство з обмеженою відповідальністю "Анкор"</x:v>
      </x:c>
      <x:c r="G80" s="21" t="str">
        <x:v>32290523</x:v>
      </x:c>
      <x:c r="H80" s="20" t="str">
        <x:v>Днопоглиблення / порти</x:v>
      </x:c>
      <x:c r="I80" s="20" t="str">
        <x:v>Adjacent workflow — discovery до пілоту</x:v>
      </x:c>
      <x:c r="J80" s="22" t="n">
        <x:v>87</x:v>
      </x:c>
      <x:c r="K80" s="22" t="n">
        <x:v>2</x:v>
      </x:c>
      <x:c r="L80" s="23" t="n">
        <x:v>73766632</x:v>
      </x:c>
      <x:c r="M80" s="24" t="n">
        <x:v>46205.538801712966</x:v>
      </x:c>
      <x:c r="N80" s="24" t="n">
        <x:v>46387</x:v>
      </x:c>
      <x:c r="O80" s="20" t="str">
        <x:v>1 — Офіційний сайт</x:v>
      </x:c>
      <x:c r="P80" s="20" t="str">
        <x:v>official_company_site_verified</x:v>
      </x:c>
      <x:c r="Q80" s="25" t="str">
        <x:v>The site names ТОВ Анкор and describes hydraulic-engineering design, inspection, repair and dredging-related work for ports and waterways.</x:v>
      </x:c>
      <x:c r="R80" s="20" t="str">
        <x:v>Не контактували</x:v>
      </x:c>
      <x:c r="S80" s="26" t="str">
        <x:v>0 — Не запрошували</x:v>
      </x:c>
      <x:c r="T80" s="20" t="b">
        <x:f>OR(LEFT(S80,1)="2",LEFT(S80,1)="3",LEFT(S80,1)="4",LEFT(S80,1)="5",LEFT(S80,1)="6")</x:f>
        <x:v>0</x:v>
      </x:c>
      <x:c r="U80" s="20" t="b">
        <x:f>OR(LEFT(S80,1)="3",LEFT(S80,1)="4",LEFT(S80,1)="5",LEFT(S80,1)="6")</x:f>
        <x:v>0</x:v>
      </x:c>
      <x:c r="V80" s="20" t="b">
        <x:f>AND(OR(LEFT(S80,1)="5",LEFT(S80,1)="6"),LEN(AD80)&gt;0)</x:f>
        <x:v>0</x:v>
      </x:c>
      <x:c r="W80" s="27"/>
      <x:c r="X80" s="26" t="str"/>
      <x:c r="Y80" s="25" t="str">
        <x:v>Провести 2-недельный workflow discovery на одном пакете; пилот только после fit verdict</x:v>
      </x:c>
      <x:c r="Z80" s="25" t="str">
        <x:v>UA-2026-06-23-010341-a</x:v>
      </x:c>
      <x:c r="AA80" s="25" t="str">
        <x:v>Послуги з поточного ремонту причалу №16 (інв.№1783)</x:v>
      </x:c>
      <x:c r="AB80" s="25" t="str">
        <x:v>https://prozorro.gov.ua/tender/UA-2026-06-23-010341-a</x:v>
      </x:c>
      <x:c r="AC80" s="25" t="str">
        <x:v>https://www.ankor-group.com/</x:v>
      </x:c>
      <x:c r="AD80" s="28" t="str"/>
      <x:c r="AE80" s="28" t="str"/>
    </x:row>
    <x:row r="81" ht="42" customHeight="1">
      <x:c r="A81" s="20" t="n">
        <x:v>77</x:v>
      </x:c>
      <x:c r="B81" s="20" t="str">
        <x:v>B1 — Discovery → пилот</x:v>
      </x:c>
      <x:c r="C81" s="20" t="str">
        <x:v>New outbound</x:v>
      </x:c>
      <x:c r="D81" s="20" t="str">
        <x:v>B1-N01</x:v>
      </x:c>
      <x:c r="E81" s="22" t="n">
        <x:v>83</x:v>
      </x:c>
      <x:c r="F81" s="20" t="str">
        <x:v>ТОВАРИСТВО З ОБМЕЖЕНОЮ ВІДПОВІДАЛЬНІСТЮ "КРАФТ БУД КОМФОРТ"</x:v>
      </x:c>
      <x:c r="G81" s="21" t="str">
        <x:v>45747041</x:v>
      </x:c>
      <x:c r="H81" s="20" t="str">
        <x:v>Світлофори / дорожня автоматика</x:v>
      </x:c>
      <x:c r="I81" s="20" t="str">
        <x:v>Adjacent workflow — discovery до пілоту</x:v>
      </x:c>
      <x:c r="J81" s="22" t="n">
        <x:v>87</x:v>
      </x:c>
      <x:c r="K81" s="22" t="n">
        <x:v>4</x:v>
      </x:c>
      <x:c r="L81" s="23" t="n">
        <x:v>43281758.57</x:v>
      </x:c>
      <x:c r="M81" s="24" t="n">
        <x:v>46196.55099899306</x:v>
      </x:c>
      <x:c r="N81" s="24" t="n">
        <x:v>46507</x:v>
      </x:c>
      <x:c r="O81" s="20" t="str">
        <x:v>3 — Prozorro / реєстр; route потрібен</x:v>
      </x:c>
      <x:c r="P81" s="20" t="str">
        <x:v>registry_verified_company_site_not_found</x:v>
      </x:c>
      <x:c r="Q81" s="25" t="str">
        <x:v>Registry/search profiles confirm a registered construction company with specialized construction and road-work activities; the official Prozorro award remains the project signal.</x:v>
      </x:c>
      <x:c r="R81" s="20" t="str">
        <x:v>Не контактували</x:v>
      </x:c>
      <x:c r="S81" s="26" t="str">
        <x:v>0 — Не запрошували</x:v>
      </x:c>
      <x:c r="T81" s="20" t="b">
        <x:f>OR(LEFT(S81,1)="2",LEFT(S81,1)="3",LEFT(S81,1)="4",LEFT(S81,1)="5",LEFT(S81,1)="6")</x:f>
        <x:v>0</x:v>
      </x:c>
      <x:c r="U81" s="20" t="b">
        <x:f>OR(LEFT(S81,1)="3",LEFT(S81,1)="4",LEFT(S81,1)="5",LEFT(S81,1)="6")</x:f>
        <x:v>0</x:v>
      </x:c>
      <x:c r="V81" s="20" t="b">
        <x:f>AND(OR(LEFT(S81,1)="5",LEFT(S81,1)="6"),LEN(AD81)&gt;0)</x:f>
        <x:v>0</x:v>
      </x:c>
      <x:c r="W81" s="27"/>
      <x:c r="X81" s="26" t="str"/>
      <x:c r="Y81" s="25" t="str">
        <x:v>Провести 2-недельный workflow discovery на одном пакете; пилот только после fit verdict</x:v>
      </x:c>
      <x:c r="Z81" s="25" t="str">
        <x:v>UA-2026-05-06-010998-a</x:v>
      </x:c>
      <x:c r="AA81" s="25" t="str">
        <x:v>Будівництво світлофорного об’єкту по просп. Оболонський, 28 у Оболонському районі м. Києва</x:v>
      </x:c>
      <x:c r="AB81" s="25" t="str">
        <x:v>https://prozorro.gov.ua/tender/UA-2026-05-06-010998-a</x:v>
      </x:c>
      <x:c r="AC81" s="25" t="str">
        <x:v>https://opendatabot.ua/c/45747041</x:v>
      </x:c>
      <x:c r="AD81" s="28" t="str"/>
      <x:c r="AE81" s="28" t="str"/>
    </x:row>
    <x:row r="82" ht="42" customHeight="1">
      <x:c r="A82" s="20" t="n">
        <x:v>78</x:v>
      </x:c>
      <x:c r="B82" s="20" t="str">
        <x:v>B1 — Discovery → пилот</x:v>
      </x:c>
      <x:c r="C82" s="20" t="str">
        <x:v>New outbound</x:v>
      </x:c>
      <x:c r="D82" s="20" t="str">
        <x:v>B1-N01</x:v>
      </x:c>
      <x:c r="E82" s="22" t="n">
        <x:v>78</x:v>
      </x:c>
      <x:c r="F82" s="20" t="str">
        <x:v>ТОВАРИСТВО З ОБМЕЖЕНОЮ ВІДПОВІДАЛЬНІСТЮ "АВТО-М"</x:v>
      </x:c>
      <x:c r="G82" s="21" t="str">
        <x:v>31575976</x:v>
      </x:c>
      <x:c r="H82" s="20" t="str">
        <x:v>ГНБ / безтраншейні роботи</x:v>
      </x:c>
      <x:c r="I82" s="20" t="str">
        <x:v>Adjacent workflow — discovery до пілоту</x:v>
      </x:c>
      <x:c r="J82" s="22" t="n">
        <x:v>96</x:v>
      </x:c>
      <x:c r="K82" s="22" t="n">
        <x:v>9</x:v>
      </x:c>
      <x:c r="L82" s="23" t="n">
        <x:v>106634674.55000001</x:v>
      </x:c>
      <x:c r="M82" s="24" t="n">
        <x:v>46232.43847599537</x:v>
      </x:c>
      <x:c r="N82" s="24" t="n">
        <x:v>46356.47980324074</x:v>
      </x:c>
      <x:c r="O82" s="20" t="str">
        <x:v>1 — Офіційний сайт</x:v>
      </x:c>
      <x:c r="P82" s="20" t="str"/>
      <x:c r="Q82" s="25" t="str"/>
      <x:c r="R82" s="20" t="str">
        <x:v>Не контактували</x:v>
      </x:c>
      <x:c r="S82" s="26" t="str">
        <x:v>0 — Не запрошували</x:v>
      </x:c>
      <x:c r="T82" s="20" t="b">
        <x:f>OR(LEFT(S82,1)="2",LEFT(S82,1)="3",LEFT(S82,1)="4",LEFT(S82,1)="5",LEFT(S82,1)="6")</x:f>
        <x:v>0</x:v>
      </x:c>
      <x:c r="U82" s="20" t="b">
        <x:f>OR(LEFT(S82,1)="3",LEFT(S82,1)="4",LEFT(S82,1)="5",LEFT(S82,1)="6")</x:f>
        <x:v>0</x:v>
      </x:c>
      <x:c r="V82" s="20" t="b">
        <x:f>AND(OR(LEFT(S82,1)="5",LEFT(S82,1)="6"),LEN(AD82)&gt;0)</x:f>
        <x:v>0</x:v>
      </x:c>
      <x:c r="W82" s="27"/>
      <x:c r="X82" s="26" t="str"/>
      <x:c r="Y82" s="25" t="str">
        <x:v>Провести 2-недельный workflow discovery на одном пакете; пилот только после fit verdict</x:v>
      </x:c>
      <x:c r="Z82" s="25" t="str">
        <x:v>UA-2026-07-10-006208-a</x:v>
      </x:c>
      <x:c r="AA82" s="25" t="str">
        <x:v>«Капітальний ремонт (усунення аварійної ситуації) каналізаційного колектору від поворотного колодязя (ПКО) по вул. Текстильників,1 в м. Чернігові до колодязя ПК 26»  (код ДК 021:2015 – 45230000-8 Будівництво трубопроводів, ліній зв’язку та електропередач, шосе, доріг, аеродромів і залізничних доріг; вирівнювання поверхонь)</x:v>
      </x:c>
      <x:c r="AB82" s="25" t="str">
        <x:v>https://prozorro.gov.ua/tender/UA-2026-07-10-006208-a</x:v>
      </x:c>
      <x:c r="AC82" s="25" t="str">
        <x:v>https://avto-m.zp.ua/</x:v>
      </x:c>
      <x:c r="AD82" s="28" t="str"/>
      <x:c r="AE82" s="28" t="str"/>
    </x:row>
    <x:row r="83" ht="42" customHeight="1">
      <x:c r="A83" s="20" t="n">
        <x:v>79</x:v>
      </x:c>
      <x:c r="B83" s="20" t="str">
        <x:v>B1 — Discovery → пилот</x:v>
      </x:c>
      <x:c r="C83" s="20" t="str">
        <x:v>New outbound</x:v>
      </x:c>
      <x:c r="D83" s="20" t="str">
        <x:v>B1-N01</x:v>
      </x:c>
      <x:c r="E83" s="22" t="n">
        <x:v>77</x:v>
      </x:c>
      <x:c r="F83" s="20" t="str">
        <x:v>ТОВАРИСТВО З ОБМЕЖЕНОЮ ВІДПОВІДАЛЬНІСТЮ "ХАРБОР ЕНЕРДЖИ"</x:v>
      </x:c>
      <x:c r="G83" s="21" t="str">
        <x:v>41705516</x:v>
      </x:c>
      <x:c r="H83" s="20" t="str">
        <x:v>Теплові мережі</x:v>
      </x:c>
      <x:c r="I83" s="20" t="str">
        <x:v>Adjacent workflow — discovery до пілоту</x:v>
      </x:c>
      <x:c r="J83" s="22" t="n">
        <x:v>93</x:v>
      </x:c>
      <x:c r="K83" s="22" t="n">
        <x:v>14</x:v>
      </x:c>
      <x:c r="L83" s="23" t="n">
        <x:v>230882039.99</x:v>
      </x:c>
      <x:c r="M83" s="24" t="n">
        <x:v>46244.620553125</x:v>
      </x:c>
      <x:c r="N83" s="24" t="n">
        <x:v>46326</x:v>
      </x:c>
      <x:c r="O83" s="20" t="str">
        <x:v>1 — Офіційний сайт</x:v>
      </x:c>
      <x:c r="P83" s="20" t="str"/>
      <x:c r="Q83" s="25" t="str"/>
      <x:c r="R83" s="20" t="str">
        <x:v>Не контактували</x:v>
      </x:c>
      <x:c r="S83" s="26" t="str">
        <x:v>0 — Не запрошували</x:v>
      </x:c>
      <x:c r="T83" s="20" t="b">
        <x:f>OR(LEFT(S83,1)="2",LEFT(S83,1)="3",LEFT(S83,1)="4",LEFT(S83,1)="5",LEFT(S83,1)="6")</x:f>
        <x:v>0</x:v>
      </x:c>
      <x:c r="U83" s="20" t="b">
        <x:f>OR(LEFT(S83,1)="3",LEFT(S83,1)="4",LEFT(S83,1)="5",LEFT(S83,1)="6")</x:f>
        <x:v>0</x:v>
      </x:c>
      <x:c r="V83" s="20" t="b">
        <x:f>AND(OR(LEFT(S83,1)="5",LEFT(S83,1)="6"),LEN(AD83)&gt;0)</x:f>
        <x:v>0</x:v>
      </x:c>
      <x:c r="W83" s="27"/>
      <x:c r="X83" s="26" t="str"/>
      <x:c r="Y83" s="25" t="str">
        <x:v>Провести 2-недельный workflow discovery на одном пакете; пилот только после fit verdict</x:v>
      </x:c>
      <x:c r="Z83" s="25" t="str">
        <x:v>UA-2026-08-10-011447-a</x:v>
      </x:c>
      <x:c r="AA83" s="2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AB83" s="25" t="str">
        <x:v>https://prozorro.gov.ua/tender/UA-2026-08-10-011447-a</x:v>
      </x:c>
      <x:c r="AC83" s="25" t="str">
        <x:v>https://harborenergy.org/</x:v>
      </x:c>
      <x:c r="AD83" s="28" t="str"/>
      <x:c r="AE83" s="28" t="str"/>
    </x:row>
    <x:row r="84" ht="42" customHeight="1">
      <x:c r="A84" s="20" t="n">
        <x:v>80</x:v>
      </x:c>
      <x:c r="B84" s="20" t="str">
        <x:v>B1 — Discovery → пилот</x:v>
      </x:c>
      <x:c r="C84" s="20" t="str">
        <x:v>New outbound</x:v>
      </x:c>
      <x:c r="D84" s="20" t="str">
        <x:v>B1-N01</x:v>
      </x:c>
      <x:c r="E84" s="22" t="n">
        <x:v>77</x:v>
      </x:c>
      <x:c r="F84" s="20" t="str">
        <x:v>ТОВ "ҐРІНТЕК"</x:v>
      </x:c>
      <x:c r="G84" s="21" t="str">
        <x:v>42820558</x:v>
      </x:c>
      <x:c r="H84" s="20" t="str">
        <x:v>Сонячна енергетика</x:v>
      </x:c>
      <x:c r="I84" s="20" t="str">
        <x:v>Adjacent workflow — discovery до пілоту</x:v>
      </x:c>
      <x:c r="J84" s="22" t="n">
        <x:v>93</x:v>
      </x:c>
      <x:c r="K84" s="22" t="n">
        <x:v>12</x:v>
      </x:c>
      <x:c r="L84" s="23" t="n">
        <x:v>23372612.29</x:v>
      </x:c>
      <x:c r="M84" s="24" t="n">
        <x:v>46253.33849958333</x:v>
      </x:c>
      <x:c r="N84" s="24" t="n">
        <x:v>46295</x:v>
      </x:c>
      <x:c r="O84" s="20" t="str">
        <x:v>1 — Офіційний сайт</x:v>
      </x:c>
      <x:c r="P84" s="20" t="str"/>
      <x:c r="Q84" s="25" t="str"/>
      <x:c r="R84" s="20" t="str">
        <x:v>Не контактували</x:v>
      </x:c>
      <x:c r="S84" s="26" t="str">
        <x:v>0 — Не запрошували</x:v>
      </x:c>
      <x:c r="T84" s="20" t="b">
        <x:f>OR(LEFT(S84,1)="2",LEFT(S84,1)="3",LEFT(S84,1)="4",LEFT(S84,1)="5",LEFT(S84,1)="6")</x:f>
        <x:v>0</x:v>
      </x:c>
      <x:c r="U84" s="20" t="b">
        <x:f>OR(LEFT(S84,1)="3",LEFT(S84,1)="4",LEFT(S84,1)="5",LEFT(S84,1)="6")</x:f>
        <x:v>0</x:v>
      </x:c>
      <x:c r="V84" s="20" t="b">
        <x:f>AND(OR(LEFT(S84,1)="5",LEFT(S84,1)="6"),LEN(AD84)&gt;0)</x:f>
        <x:v>0</x:v>
      </x:c>
      <x:c r="W84" s="27"/>
      <x:c r="X84" s="26" t="str"/>
      <x:c r="Y84" s="25" t="str">
        <x:v>Провести 2-недельный workflow discovery на одном пакете; пилот только после fit verdict</x:v>
      </x:c>
      <x:c r="Z84" s="25" t="str">
        <x:v>UA-2026-08-19-003308-a</x:v>
      </x:c>
      <x:c r="AA84" s="25" t="str">
        <x:v> «Нове будівництво трансформаторної підстанції ТП-10/0,4 кВ №899 та відгалуження ПЛ-10 кВ за адресою с. Тисовець, Великокучурівська сільська рада, Чернівецький район, Чернівецька область» (Замовник: Коваль Л. М. ТУ 003373301225 1 24 02 1 000000 1) (КНУ «Настанова з визначення вартості будівництва") (ДК 021:2015 (E3C) 45200000-9 «Роботи, пов'язані з об'єктами завершеного чи незавершеного будівництва та об'єктів цивільного будівництва»)
</x:v>
      </x:c>
      <x:c r="AB84" s="25" t="str">
        <x:v>https://prozorro.gov.ua/tender/UA-2026-08-19-003308-a</x:v>
      </x:c>
      <x:c r="AC84" s="25" t="str">
        <x:v>https://www.greentech.in.ua/</x:v>
      </x:c>
      <x:c r="AD84" s="28" t="str"/>
      <x:c r="AE84" s="28" t="str"/>
    </x:row>
    <x:row r="85" ht="42" customHeight="1">
      <x:c r="A85" s="20" t="n">
        <x:v>81</x:v>
      </x:c>
      <x:c r="B85" s="20" t="str">
        <x:v>B1 — Discovery → пилот</x:v>
      </x:c>
      <x:c r="C85" s="20" t="str">
        <x:v>New outbound</x:v>
      </x:c>
      <x:c r="D85" s="20" t="str">
        <x:v>B1-N01</x:v>
      </x:c>
      <x:c r="E85" s="22" t="n">
        <x:v>77</x:v>
      </x:c>
      <x:c r="F85" s="20" t="str">
        <x:v>ТОВАРИСТВО З ОБМЕЖЕНОЮ ВІДПОВІДАЛЬНІСТЮ "АРІС-КОМ"</x:v>
      </x:c>
      <x:c r="G85" s="21" t="str">
        <x:v>40538615</x:v>
      </x:c>
      <x:c r="H85" s="20" t="str">
        <x:v>Полігони відходів</x:v>
      </x:c>
      <x:c r="I85" s="20" t="str">
        <x:v>Adjacent workflow — discovery до пілоту</x:v>
      </x:c>
      <x:c r="J85" s="22" t="n">
        <x:v>91</x:v>
      </x:c>
      <x:c r="K85" s="22" t="n">
        <x:v>4</x:v>
      </x:c>
      <x:c r="L85" s="23" t="n">
        <x:v>1534568701.0100002</x:v>
      </x:c>
      <x:c r="M85" s="24" t="n">
        <x:v>46206.414906157406</x:v>
      </x:c>
      <x:c r="N85" s="24" t="n">
        <x:v>46381</x:v>
      </x:c>
      <x:c r="O85" s="20" t="str">
        <x:v>3 — Prozorro / реєстр; route потрібен</x:v>
      </x:c>
      <x:c r="P85" s="20" t="str">
        <x:v>registry_verified_company_site_not_found</x:v>
      </x:c>
      <x:c r="Q85" s="25" t="str">
        <x:v>Registry/search profiles confirm an active legal entity. Its primary KVED is nonspecialized wholesale, so it remains an expansion-discovery lead despite the landfill-reconstruction award signal.</x:v>
      </x:c>
      <x:c r="R85" s="20" t="str">
        <x:v>Не контактували</x:v>
      </x:c>
      <x:c r="S85" s="26" t="str">
        <x:v>0 — Не запрошували</x:v>
      </x:c>
      <x:c r="T85" s="20" t="b">
        <x:f>OR(LEFT(S85,1)="2",LEFT(S85,1)="3",LEFT(S85,1)="4",LEFT(S85,1)="5",LEFT(S85,1)="6")</x:f>
        <x:v>0</x:v>
      </x:c>
      <x:c r="U85" s="20" t="b">
        <x:f>OR(LEFT(S85,1)="3",LEFT(S85,1)="4",LEFT(S85,1)="5",LEFT(S85,1)="6")</x:f>
        <x:v>0</x:v>
      </x:c>
      <x:c r="V85" s="20" t="b">
        <x:f>AND(OR(LEFT(S85,1)="5",LEFT(S85,1)="6"),LEN(AD85)&gt;0)</x:f>
        <x:v>0</x:v>
      </x:c>
      <x:c r="W85" s="27"/>
      <x:c r="X85" s="26" t="str"/>
      <x:c r="Y85" s="25" t="str">
        <x:v>Провести 2-недельный workflow discovery на одном пакете; пилот только после fit verdict</x:v>
      </x:c>
      <x:c r="Z85" s="25" t="str">
        <x:v>UA-2026-06-12-011457-a</x:v>
      </x:c>
      <x:c r="AA85" s="25" t="str">
        <x:v>Реконструкція дамб мулових полів №1 та №2 Бортницької станції аерації</x:v>
      </x:c>
      <x:c r="AB85" s="25" t="str">
        <x:v>https://prozorro.gov.ua/tender/UA-2026-06-12-011457-a</x:v>
      </x:c>
      <x:c r="AC85" s="25" t="str">
        <x:v>https://opendatabot.ua/c/40538615</x:v>
      </x:c>
      <x:c r="AD85" s="28" t="str"/>
      <x:c r="AE85" s="28" t="str"/>
    </x:row>
    <x:row r="86" ht="42" customHeight="1">
      <x:c r="A86" s="20" t="n">
        <x:v>82</x:v>
      </x:c>
      <x:c r="B86" s="20" t="str">
        <x:v>B1 — Discovery → пилот</x:v>
      </x:c>
      <x:c r="C86" s="20" t="str">
        <x:v>New outbound</x:v>
      </x:c>
      <x:c r="D86" s="20" t="str">
        <x:v>B1-N02</x:v>
      </x:c>
      <x:c r="E86" s="22" t="n">
        <x:v>77</x:v>
      </x:c>
      <x:c r="F86" s="20" t="str">
        <x:v>ТОВАРИСТВО З ОБМЕЖЕНОЮ ВІДПОВІДАЛЬНІСТЮ "ФАСАД-СЕРВІС-БУД"</x:v>
      </x:c>
      <x:c r="G86" s="21" t="str">
        <x:v>35379855</x:v>
      </x:c>
      <x:c r="H86" s="20" t="str">
        <x:v>Водоочищення / очисні споруди</x:v>
      </x:c>
      <x:c r="I86" s="20" t="str">
        <x:v>Adjacent workflow — discovery до пілоту</x:v>
      </x:c>
      <x:c r="J86" s="22" t="n">
        <x:v>90</x:v>
      </x:c>
      <x:c r="K86" s="22" t="n">
        <x:v>4</x:v>
      </x:c>
      <x:c r="L86" s="23" t="n">
        <x:v>36673383.12</x:v>
      </x:c>
      <x:c r="M86" s="24" t="n">
        <x:v>46199.58894462963</x:v>
      </x:c>
      <x:c r="N86" s="24" t="n">
        <x:v>46752</x:v>
      </x:c>
      <x:c r="O86" s="20" t="str">
        <x:v>1 — Офіційний сайт</x:v>
      </x:c>
      <x:c r="P86" s="20" t="str"/>
      <x:c r="Q86" s="25" t="str"/>
      <x:c r="R86" s="20" t="str">
        <x:v>Не контактували</x:v>
      </x:c>
      <x:c r="S86" s="26" t="str">
        <x:v>0 — Не запрошували</x:v>
      </x:c>
      <x:c r="T86" s="20" t="b">
        <x:f>OR(LEFT(S86,1)="2",LEFT(S86,1)="3",LEFT(S86,1)="4",LEFT(S86,1)="5",LEFT(S86,1)="6")</x:f>
        <x:v>0</x:v>
      </x:c>
      <x:c r="U86" s="20" t="b">
        <x:f>OR(LEFT(S86,1)="3",LEFT(S86,1)="4",LEFT(S86,1)="5",LEFT(S86,1)="6")</x:f>
        <x:v>0</x:v>
      </x:c>
      <x:c r="V86" s="20" t="b">
        <x:f>AND(OR(LEFT(S86,1)="5",LEFT(S86,1)="6"),LEN(AD86)&gt;0)</x:f>
        <x:v>0</x:v>
      </x:c>
      <x:c r="W86" s="27"/>
      <x:c r="X86" s="26" t="str"/>
      <x:c r="Y86" s="25" t="str">
        <x:v>Провести 2-недельный workflow discovery на одном пакете; пилот только после fit verdict</x:v>
      </x:c>
      <x:c r="Z86" s="25" t="str">
        <x:v>UA-2026-06-26-011183-a</x:v>
      </x:c>
      <x:c r="AA86" s="2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x:v>
      </x:c>
      <x:c r="AB86" s="25" t="str">
        <x:v>https://prozorro.gov.ua/tender/UA-2026-06-26-011183-a</x:v>
      </x:c>
      <x:c r="AC86" s="25" t="str">
        <x:v>https://fasad-servis.com.ua/</x:v>
      </x:c>
      <x:c r="AD86" s="28" t="str"/>
      <x:c r="AE86" s="28" t="str"/>
    </x:row>
    <x:row r="87" ht="42" customHeight="1">
      <x:c r="A87" s="20" t="n">
        <x:v>83</x:v>
      </x:c>
      <x:c r="B87" s="20" t="str">
        <x:v>B1 — Discovery → пилот</x:v>
      </x:c>
      <x:c r="C87" s="20" t="str">
        <x:v>New outbound</x:v>
      </x:c>
      <x:c r="D87" s="20" t="str">
        <x:v>B1-N02</x:v>
      </x:c>
      <x:c r="E87" s="22" t="n">
        <x:v>75</x:v>
      </x:c>
      <x:c r="F87" s="20" t="str">
        <x:v>ТОВАРИСТВО З ОБМЕЖЕНОЮ ВІДПОВІДАЛЬНІСТЮ "ДКС ЕЛЕКТРИК"</x:v>
      </x:c>
      <x:c r="G87" s="21" t="str">
        <x:v>38324272</x:v>
      </x:c>
      <x:c r="H87" s="20" t="str">
        <x:v>ГНБ / безтраншейні роботи</x:v>
      </x:c>
      <x:c r="I87" s="20" t="str">
        <x:v>Adjacent workflow — discovery до пілоту</x:v>
      </x:c>
      <x:c r="J87" s="22" t="n">
        <x:v>92</x:v>
      </x:c>
      <x:c r="K87" s="22" t="n">
        <x:v>8</x:v>
      </x:c>
      <x:c r="L87" s="23" t="n">
        <x:v>14600311.46</x:v>
      </x:c>
      <x:c r="M87" s="24" t="n">
        <x:v>46157.45898956018</x:v>
      </x:c>
      <x:c r="N87" s="24" t="n">
        <x:v>46387</x:v>
      </x:c>
      <x:c r="O87" s="20" t="str">
        <x:v>1 — Офіційний сайт</x:v>
      </x:c>
      <x:c r="P87" s="20" t="str"/>
      <x:c r="Q87" s="25" t="str"/>
      <x:c r="R87" s="20" t="str">
        <x:v>Не контактували</x:v>
      </x:c>
      <x:c r="S87" s="26" t="str">
        <x:v>0 — Не запрошували</x:v>
      </x:c>
      <x:c r="T87" s="20" t="b">
        <x:f>OR(LEFT(S87,1)="2",LEFT(S87,1)="3",LEFT(S87,1)="4",LEFT(S87,1)="5",LEFT(S87,1)="6")</x:f>
        <x:v>0</x:v>
      </x:c>
      <x:c r="U87" s="20" t="b">
        <x:f>OR(LEFT(S87,1)="3",LEFT(S87,1)="4",LEFT(S87,1)="5",LEFT(S87,1)="6")</x:f>
        <x:v>0</x:v>
      </x:c>
      <x:c r="V87" s="20" t="b">
        <x:f>AND(OR(LEFT(S87,1)="5",LEFT(S87,1)="6"),LEN(AD87)&gt;0)</x:f>
        <x:v>0</x:v>
      </x:c>
      <x:c r="W87" s="27"/>
      <x:c r="X87" s="26" t="str"/>
      <x:c r="Y87" s="25" t="str">
        <x:v>Провести 2-недельный workflow discovery на одном пакете; пилот только после fit verdict</x:v>
      </x:c>
      <x:c r="Z87" s="25" t="str">
        <x:v>UA-2026-05-15-008160-a</x:v>
      </x:c>
      <x:c r="AA87" s="25" t="str">
        <x:v>Виконання робіт з реконструкції підвищувальної водопровідної насосної станції III підйому КП ПОР «ПОЛТАВАВОДОКАНАЛ» за адресою: Полтавська область, м. Полтава, вул. Героїв АТО (Красіна), 79 в частині влаштування резервних мереж електропостачання 0,4кВ</x:v>
      </x:c>
      <x:c r="AB87" s="25" t="str">
        <x:v>https://prozorro.gov.ua/tender/UA-2026-05-15-008160-a</x:v>
      </x:c>
      <x:c r="AC87" s="25" t="str">
        <x:v>https://dkselektrik.com.ua/uk/</x:v>
      </x:c>
      <x:c r="AD87" s="28" t="str"/>
      <x:c r="AE87" s="28" t="str"/>
    </x:row>
    <x:row r="88" ht="42" customHeight="1">
      <x:c r="A88" s="20" t="n">
        <x:v>84</x:v>
      </x:c>
      <x:c r="B88" s="20" t="str">
        <x:v>B1 — Discovery → пилот</x:v>
      </x:c>
      <x:c r="C88" s="20" t="str">
        <x:v>New outbound</x:v>
      </x:c>
      <x:c r="D88" s="20" t="str">
        <x:v>B1-N02</x:v>
      </x:c>
      <x:c r="E88" s="22" t="n">
        <x:v>75</x:v>
      </x:c>
      <x:c r="F88" s="20" t="str">
        <x:v>ТОВ Щасливий Сервісбуд</x:v>
      </x:c>
      <x:c r="G88" s="21" t="str">
        <x:v>40682121</x:v>
      </x:c>
      <x:c r="H88" s="20" t="str">
        <x:v>Зливова каналізація / дренаж</x:v>
      </x:c>
      <x:c r="I88" s="20" t="str">
        <x:v>Adjacent workflow — discovery до пілоту</x:v>
      </x:c>
      <x:c r="J88" s="22" t="n">
        <x:v>83</x:v>
      </x:c>
      <x:c r="K88" s="22" t="n">
        <x:v>7</x:v>
      </x:c>
      <x:c r="L88" s="23" t="n">
        <x:v>2271549.49</x:v>
      </x:c>
      <x:c r="M88" s="24" t="n">
        <x:v>46209.429071087965</x:v>
      </x:c>
      <x:c r="N88" s="24" t="n">
        <x:v>46387.472962962966</x:v>
      </x:c>
      <x:c r="O88" s="20" t="str">
        <x:v>3 — Prozorro / реєстр; route потрібен</x:v>
      </x:c>
      <x:c r="P88" s="20" t="str">
        <x:v>keep_expansion_discovery</x:v>
      </x:c>
      <x:c r="Q88" s="25" t="str">
        <x:v>Entity is registered and Google surfaced an official Prozorro win for stormwater wells and drainage, corroborating the collected award record.</x:v>
      </x:c>
      <x:c r="R88" s="20" t="str">
        <x:v>Не контактували</x:v>
      </x:c>
      <x:c r="S88" s="26" t="str">
        <x:v>0 — Не запрошували</x:v>
      </x:c>
      <x:c r="T88" s="20" t="b">
        <x:f>OR(LEFT(S88,1)="2",LEFT(S88,1)="3",LEFT(S88,1)="4",LEFT(S88,1)="5",LEFT(S88,1)="6")</x:f>
        <x:v>0</x:v>
      </x:c>
      <x:c r="U88" s="20" t="b">
        <x:f>OR(LEFT(S88,1)="3",LEFT(S88,1)="4",LEFT(S88,1)="5",LEFT(S88,1)="6")</x:f>
        <x:v>0</x:v>
      </x:c>
      <x:c r="V88" s="20" t="b">
        <x:f>AND(OR(LEFT(S88,1)="5",LEFT(S88,1)="6"),LEN(AD88)&gt;0)</x:f>
        <x:v>0</x:v>
      </x:c>
      <x:c r="W88" s="27"/>
      <x:c r="X88" s="26" t="str"/>
      <x:c r="Y88" s="25" t="str">
        <x:v>Провести 2-недельный workflow discovery на одном пакете; пилот только после fit verdict</x:v>
      </x:c>
      <x:c r="Z88" s="25" t="str">
        <x:v>UA-2026-07-06-004893-a</x:v>
      </x:c>
      <x:c r="AA88" s="25" t="str">
        <x:v>Капітальний ремонт об'єкту благоустрою, а саме: дощоприймальних колодязів і дощової каналізації на вул. Фестивальна (біля пожежного депо) в с. Щасливе Бориспільського району Київської області</x:v>
      </x:c>
      <x:c r="AB88" s="25" t="str">
        <x:v>https://prozorro.gov.ua/tender/UA-2026-07-06-004893-a</x:v>
      </x:c>
      <x:c r="AC88" s="25" t="str">
        <x:v>https://opendatabot.ua/c/40682121</x:v>
      </x:c>
      <x:c r="AD88" s="28" t="str"/>
      <x:c r="AE88" s="28" t="str"/>
    </x:row>
    <x:row r="89" ht="42" customHeight="1">
      <x:c r="A89" s="20" t="n">
        <x:v>85</x:v>
      </x:c>
      <x:c r="B89" s="20" t="str">
        <x:v>B1 — Discovery → пилот</x:v>
      </x:c>
      <x:c r="C89" s="20" t="str">
        <x:v>New outbound</x:v>
      </x:c>
      <x:c r="D89" s="20" t="str">
        <x:v>B1-N02</x:v>
      </x:c>
      <x:c r="E89" s="22" t="n">
        <x:v>74</x:v>
      </x:c>
      <x:c r="F89" s="20" t="str">
        <x:v>ТОВАРИСТВО З ОБМЕЖЕНОЮ ВІД­ПО­ВІД­АЛЬ­НІ­СТЮ «ГА­ЗО­РОЗ­ПО­ДІЛЬ­НІ МЕРЕЖІ УКРАЇНИ»</x:v>
      </x:c>
      <x:c r="G89" s="21" t="str">
        <x:v>44907200</x:v>
      </x:c>
      <x:c r="H89" s="20" t="str">
        <x:v>Газові мережі</x:v>
      </x:c>
      <x:c r="I89" s="20" t="str">
        <x:v>Adjacent workflow — discovery до пілоту</x:v>
      </x:c>
      <x:c r="J89" s="22" t="n">
        <x:v>80</x:v>
      </x:c>
      <x:c r="K89" s="22" t="n">
        <x:v>3</x:v>
      </x:c>
      <x:c r="L89" s="23" t="n">
        <x:v>1174771.06</x:v>
      </x:c>
      <x:c r="M89" s="24" t="n">
        <x:v>46240.22657821759</x:v>
      </x:c>
      <x:c r="N89" s="24" t="n">
        <x:v>46387.916655092595</x:v>
      </x:c>
      <x:c r="O89" s="20" t="str">
        <x:v>1 — Офіційний сайт</x:v>
      </x:c>
      <x:c r="P89" s="20" t="str"/>
      <x:c r="Q89" s="25" t="str"/>
      <x:c r="R89" s="20" t="str">
        <x:v>Не контактували</x:v>
      </x:c>
      <x:c r="S89" s="26" t="str">
        <x:v>0 — Не запрошували</x:v>
      </x:c>
      <x:c r="T89" s="20" t="b">
        <x:f>OR(LEFT(S89,1)="2",LEFT(S89,1)="3",LEFT(S89,1)="4",LEFT(S89,1)="5",LEFT(S89,1)="6")</x:f>
        <x:v>0</x:v>
      </x:c>
      <x:c r="U89" s="20" t="b">
        <x:f>OR(LEFT(S89,1)="3",LEFT(S89,1)="4",LEFT(S89,1)="5",LEFT(S89,1)="6")</x:f>
        <x:v>0</x:v>
      </x:c>
      <x:c r="V89" s="20" t="b">
        <x:f>AND(OR(LEFT(S89,1)="5",LEFT(S89,1)="6"),LEN(AD89)&gt;0)</x:f>
        <x:v>0</x:v>
      </x:c>
      <x:c r="W89" s="27"/>
      <x:c r="X89" s="26" t="str"/>
      <x:c r="Y89" s="25" t="str">
        <x:v>Провести 2-недельный workflow discovery на одном пакете; пилот только после fit verdict</x:v>
      </x:c>
      <x:c r="Z89" s="25" t="str">
        <x:v>UA-2026-08-06-000198-a</x:v>
      </x:c>
      <x:c r="AA89" s="2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x:v>
      </x:c>
      <x:c r="AB89" s="25" t="str">
        <x:v>https://prozorro.gov.ua/tender/UA-2026-08-06-000198-a</x:v>
      </x:c>
      <x:c r="AC89" s="25" t="str">
        <x:v>https://grmu.com.ua/</x:v>
      </x:c>
      <x:c r="AD89" s="28" t="str"/>
      <x:c r="AE89" s="28" t="str"/>
    </x:row>
    <x:row r="90" ht="42" customHeight="1">
      <x:c r="A90" s="20" t="n">
        <x:v>86</x:v>
      </x:c>
      <x:c r="B90" s="20" t="str">
        <x:v>B1 — Discovery → пилот</x:v>
      </x:c>
      <x:c r="C90" s="20" t="str">
        <x:v>New outbound</x:v>
      </x:c>
      <x:c r="D90" s="20" t="str">
        <x:v>B1-N02</x:v>
      </x:c>
      <x:c r="E90" s="22" t="n">
        <x:v>73</x:v>
      </x:c>
      <x:c r="F90" s="20" t="str">
        <x:v>ТОВ "КОНКРІТМІТАЛ"</x:v>
      </x:c>
      <x:c r="G90" s="21" t="str">
        <x:v>45704385</x:v>
      </x:c>
      <x:c r="H90" s="20" t="str">
        <x:v>Залізнична інфраструктура</x:v>
      </x:c>
      <x:c r="I90" s="20" t="str">
        <x:v>Adjacent workflow — discovery до пілоту</x:v>
      </x:c>
      <x:c r="J90" s="22" t="n">
        <x:v>93</x:v>
      </x:c>
      <x:c r="K90" s="22" t="n">
        <x:v>7</x:v>
      </x:c>
      <x:c r="L90" s="23" t="n">
        <x:v>45226400</x:v>
      </x:c>
      <x:c r="M90" s="24" t="n">
        <x:v>46216.45443590278</x:v>
      </x:c>
      <x:c r="N90" s="24" t="n">
        <x:v>46387</x:v>
      </x:c>
      <x:c r="O90" s="20" t="str">
        <x:v>3 — Prozorro / реєстр; route потрібен</x:v>
      </x:c>
      <x:c r="P90" s="20" t="str"/>
      <x:c r="Q90" s="25" t="str"/>
      <x:c r="R90" s="20" t="str">
        <x:v>Не контактували</x:v>
      </x:c>
      <x:c r="S90" s="26" t="str">
        <x:v>0 — Не запрошували</x:v>
      </x:c>
      <x:c r="T90" s="20" t="b">
        <x:f>OR(LEFT(S90,1)="2",LEFT(S90,1)="3",LEFT(S90,1)="4",LEFT(S90,1)="5",LEFT(S90,1)="6")</x:f>
        <x:v>0</x:v>
      </x:c>
      <x:c r="U90" s="20" t="b">
        <x:f>OR(LEFT(S90,1)="3",LEFT(S90,1)="4",LEFT(S90,1)="5",LEFT(S90,1)="6")</x:f>
        <x:v>0</x:v>
      </x:c>
      <x:c r="V90" s="20" t="b">
        <x:f>AND(OR(LEFT(S90,1)="5",LEFT(S90,1)="6"),LEN(AD90)&gt;0)</x:f>
        <x:v>0</x:v>
      </x:c>
      <x:c r="W90" s="27"/>
      <x:c r="X90" s="26" t="str"/>
      <x:c r="Y90" s="25" t="str">
        <x:v>Провести 2-недельный workflow discovery на одном пакете; пилот только после fit verdict</x:v>
      </x:c>
      <x:c r="Z90" s="25" t="str">
        <x:v>UA-2026-06-05-008005-a</x:v>
      </x:c>
      <x:c r="AA90" s="25" t="str">
        <x:v>Капітальний ремонт колії №58 (інв. №057179) та стрілочного переводу №132 (інв. №057201) Південного парку, колії №3 (інв. №057158), стрілочного переводу №63 (інв. №057186), колії №2 причалу №4 (інв. №060149), стрілочного переводу №337 (інв. №350113), колії №19 причалу №4 (інв. №060148), колії №19а (інв. №350110), колії №1 (інв. №057156), колії №5, стрілочного переводу №315, з’єднувальної колії №17, стрілочного переводу №301, колії №6, стрілочного переводу №325, колії №7, стрілочного переводу №305, стрілочного переводу №327, колії №8, колії №8а, стрілочного переводу №329, з’єднувальної колії №329-№331, стрілочного переводу №341, з’єднувальної колії №343-№341, стрілочного переводу №343 (інв. №060026) Конюшинного парку Одеської філії ДП "АМПУ" за адресою м. Одеса, Митна площа, 1. Третій пусковий комплекс</x:v>
      </x:c>
      <x:c r="AB90" s="25" t="str">
        <x:v>https://prozorro.gov.ua/tender/UA-2026-06-05-008005-a</x:v>
      </x:c>
      <x:c r="AC90" s="25" t="str"/>
      <x:c r="AD90" s="28" t="str"/>
      <x:c r="AE90" s="28" t="str"/>
    </x:row>
    <x:row r="91" ht="42" customHeight="1">
      <x:c r="A91" s="20" t="n">
        <x:v>87</x:v>
      </x:c>
      <x:c r="B91" s="20" t="str">
        <x:v>B1 — Discovery → пилот</x:v>
      </x:c>
      <x:c r="C91" s="20" t="str">
        <x:v>New outbound</x:v>
      </x:c>
      <x:c r="D91" s="20" t="str">
        <x:v>B1-N02</x:v>
      </x:c>
      <x:c r="E91" s="22" t="n">
        <x:v>73</x:v>
      </x:c>
      <x:c r="F91" s="20" t="str">
        <x:v>ПРИВАТНЕ ПІДПРИЄМСТВО "ДНЕПРОСТРОЙ"</x:v>
      </x:c>
      <x:c r="G91" s="21" t="str">
        <x:v>42032443</x:v>
      </x:c>
      <x:c r="H91" s="20" t="str">
        <x:v>Фасади та скління</x:v>
      </x:c>
      <x:c r="I91" s="20" t="str">
        <x:v>Adjacent workflow — discovery до пілоту</x:v>
      </x:c>
      <x:c r="J91" s="22" t="n">
        <x:v>93</x:v>
      </x:c>
      <x:c r="K91" s="22" t="n">
        <x:v>6</x:v>
      </x:c>
      <x:c r="L91" s="23" t="n">
        <x:v>69577557.09</x:v>
      </x:c>
      <x:c r="M91" s="24" t="n">
        <x:v>46240.48320391204</x:v>
      </x:c>
      <x:c r="N91" s="24" t="n">
        <x:v>46387</x:v>
      </x:c>
      <x:c r="O91" s="20" t="str">
        <x:v>3 — Prozorro / реєстр; route потрібен</x:v>
      </x:c>
      <x:c r="P91" s="20" t="str"/>
      <x:c r="Q91" s="25" t="str"/>
      <x:c r="R91" s="20" t="str">
        <x:v>Не контактували</x:v>
      </x:c>
      <x:c r="S91" s="26" t="str">
        <x:v>0 — Не запрошували</x:v>
      </x:c>
      <x:c r="T91" s="20" t="b">
        <x:f>OR(LEFT(S91,1)="2",LEFT(S91,1)="3",LEFT(S91,1)="4",LEFT(S91,1)="5",LEFT(S91,1)="6")</x:f>
        <x:v>0</x:v>
      </x:c>
      <x:c r="U91" s="20" t="b">
        <x:f>OR(LEFT(S91,1)="3",LEFT(S91,1)="4",LEFT(S91,1)="5",LEFT(S91,1)="6")</x:f>
        <x:v>0</x:v>
      </x:c>
      <x:c r="V91" s="20" t="b">
        <x:f>AND(OR(LEFT(S91,1)="5",LEFT(S91,1)="6"),LEN(AD91)&gt;0)</x:f>
        <x:v>0</x:v>
      </x:c>
      <x:c r="W91" s="27"/>
      <x:c r="X91" s="26" t="str"/>
      <x:c r="Y91" s="25" t="str">
        <x:v>Провести 2-недельный workflow discovery на одном пакете; пилот только после fit verdict</x:v>
      </x:c>
      <x:c r="Z91" s="25" t="str">
        <x:v>UA-2026-08-06-007625-a</x:v>
      </x:c>
      <x:c r="AA91" s="25" t="str">
        <x:v>"Капітальний ремонт з утеплення фасадів житлової будівлі за адресою: вул. Калинова, буд.104 у м. Дніпрі" - заходи з енергозбереження. Коригування</x:v>
      </x:c>
      <x:c r="AB91" s="25" t="str">
        <x:v>https://prozorro.gov.ua/tender/UA-2026-08-06-007625-a</x:v>
      </x:c>
      <x:c r="AC91" s="25" t="str"/>
      <x:c r="AD91" s="28" t="str"/>
      <x:c r="AE91" s="28" t="str"/>
    </x:row>
    <x:row r="92" ht="42" customHeight="1">
      <x:c r="A92" s="20" t="n">
        <x:v>88</x:v>
      </x:c>
      <x:c r="B92" s="20" t="str">
        <x:v>B1 — Discovery → пилот</x:v>
      </x:c>
      <x:c r="C92" s="20" t="str">
        <x:v>New outbound</x:v>
      </x:c>
      <x:c r="D92" s="20" t="str">
        <x:v>B1-N02</x:v>
      </x:c>
      <x:c r="E92" s="22" t="n">
        <x:v>73</x:v>
      </x:c>
      <x:c r="F92" s="20" t="str">
        <x:v>ТОВ "СТАРБУДКО­НТРАКТ"</x:v>
      </x:c>
      <x:c r="G92" s="21" t="str">
        <x:v>40630948</x:v>
      </x:c>
      <x:c r="H92" s="20" t="str">
        <x:v>Фасади та скління</x:v>
      </x:c>
      <x:c r="I92" s="20" t="str">
        <x:v>Adjacent workflow — discovery до пілоту</x:v>
      </x:c>
      <x:c r="J92" s="22" t="n">
        <x:v>93</x:v>
      </x:c>
      <x:c r="K92" s="22" t="n">
        <x:v>4</x:v>
      </x:c>
      <x:c r="L92" s="23" t="n">
        <x:v>182389571.16</x:v>
      </x:c>
      <x:c r="M92" s="24" t="n">
        <x:v>46252.31335655093</x:v>
      </x:c>
      <x:c r="N92" s="24" t="n">
        <x:v>46376</x:v>
      </x:c>
      <x:c r="O92" s="20" t="str">
        <x:v>3 — Prozorro / реєстр; route потрібен</x:v>
      </x:c>
      <x:c r="P92" s="20" t="str"/>
      <x:c r="Q92" s="25" t="str"/>
      <x:c r="R92" s="20" t="str">
        <x:v>Не контактували</x:v>
      </x:c>
      <x:c r="S92" s="26" t="str">
        <x:v>0 — Не запрошували</x:v>
      </x:c>
      <x:c r="T92" s="20" t="b">
        <x:f>OR(LEFT(S92,1)="2",LEFT(S92,1)="3",LEFT(S92,1)="4",LEFT(S92,1)="5",LEFT(S92,1)="6")</x:f>
        <x:v>0</x:v>
      </x:c>
      <x:c r="U92" s="20" t="b">
        <x:f>OR(LEFT(S92,1)="3",LEFT(S92,1)="4",LEFT(S92,1)="5",LEFT(S92,1)="6")</x:f>
        <x:v>0</x:v>
      </x:c>
      <x:c r="V92" s="20" t="b">
        <x:f>AND(OR(LEFT(S92,1)="5",LEFT(S92,1)="6"),LEN(AD92)&gt;0)</x:f>
        <x:v>0</x:v>
      </x:c>
      <x:c r="W92" s="27"/>
      <x:c r="X92" s="26" t="str"/>
      <x:c r="Y92" s="25" t="str">
        <x:v>Провести 2-недельный workflow discovery на одном пакете; пилот только после fit verdict</x:v>
      </x:c>
      <x:c r="Z92" s="25" t="str">
        <x:v>UA-2026-07-30-006599-a</x:v>
      </x:c>
      <x:c r="AA92" s="2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x:v>
      </x:c>
      <x:c r="AB92" s="25" t="str">
        <x:v>https://prozorro.gov.ua/tender/UA-2026-07-30-006599-a</x:v>
      </x:c>
      <x:c r="AC92" s="25" t="str"/>
      <x:c r="AD92" s="28" t="str"/>
      <x:c r="AE92" s="28" t="str"/>
    </x:row>
    <x:row r="93" ht="42" customHeight="1">
      <x:c r="A93" s="20" t="n">
        <x:v>89</x:v>
      </x:c>
      <x:c r="B93" s="20" t="str">
        <x:v>B1 — Discovery → пилот</x:v>
      </x:c>
      <x:c r="C93" s="20" t="str">
        <x:v>New outbound</x:v>
      </x:c>
      <x:c r="D93" s="20" t="str">
        <x:v>B1-N02</x:v>
      </x:c>
      <x:c r="E93" s="22" t="n">
        <x:v>73</x:v>
      </x:c>
      <x:c r="F93" s="20" t="str">
        <x:v>ТОВАРИСТВО З ОБМЕЖЕНОЮ ВІДПОВІДАЛЬНІСТЮ "ЕНЕРҐО-ІНВЕСТ"</x:v>
      </x:c>
      <x:c r="G93" s="21" t="str">
        <x:v>33439880</x:v>
      </x:c>
      <x:c r="H93" s="20" t="str">
        <x:v>Теплові мережі</x:v>
      </x:c>
      <x:c r="I93" s="20" t="str">
        <x:v>Adjacent workflow — discovery до пілоту</x:v>
      </x:c>
      <x:c r="J93" s="22" t="n">
        <x:v>93</x:v>
      </x:c>
      <x:c r="K93" s="22" t="n">
        <x:v>4</x:v>
      </x:c>
      <x:c r="L93" s="23" t="n">
        <x:v>86015698.30000001</x:v>
      </x:c>
      <x:c r="M93" s="24" t="n">
        <x:v>46252.56904988426</x:v>
      </x:c>
      <x:c r="N93" s="24" t="n">
        <x:v>46377</x:v>
      </x:c>
      <x:c r="O93" s="20" t="str">
        <x:v>3 — Prozorro / реєстр; route потрібен</x:v>
      </x:c>
      <x:c r="P93" s="20" t="str"/>
      <x:c r="Q93" s="25" t="str"/>
      <x:c r="R93" s="20" t="str">
        <x:v>Не контактували</x:v>
      </x:c>
      <x:c r="S93" s="26" t="str">
        <x:v>0 — Не запрошували</x:v>
      </x:c>
      <x:c r="T93" s="20" t="b">
        <x:f>OR(LEFT(S93,1)="2",LEFT(S93,1)="3",LEFT(S93,1)="4",LEFT(S93,1)="5",LEFT(S93,1)="6")</x:f>
        <x:v>0</x:v>
      </x:c>
      <x:c r="U93" s="20" t="b">
        <x:f>OR(LEFT(S93,1)="3",LEFT(S93,1)="4",LEFT(S93,1)="5",LEFT(S93,1)="6")</x:f>
        <x:v>0</x:v>
      </x:c>
      <x:c r="V93" s="20" t="b">
        <x:f>AND(OR(LEFT(S93,1)="5",LEFT(S93,1)="6"),LEN(AD93)&gt;0)</x:f>
        <x:v>0</x:v>
      </x:c>
      <x:c r="W93" s="27"/>
      <x:c r="X93" s="26" t="str"/>
      <x:c r="Y93" s="25" t="str">
        <x:v>Провести 2-недельный workflow discovery на одном пакете; пилот только после fit verdict</x:v>
      </x:c>
      <x:c r="Z93" s="25" t="str">
        <x:v>UA-2026-07-29-011575-a</x:v>
      </x:c>
      <x:c r="AA93" s="25" t="str">
        <x:v>Реконструкція індивідуального теплового пункту за адресою: вул. Олеся Гончара, 47/49 (код ДК 021:2015: 45454000-4 – Реконструкція )</x:v>
      </x:c>
      <x:c r="AB93" s="25" t="str">
        <x:v>https://prozorro.gov.ua/tender/UA-2026-07-29-011575-a</x:v>
      </x:c>
      <x:c r="AC93" s="25" t="str"/>
      <x:c r="AD93" s="28" t="str"/>
      <x:c r="AE93" s="28" t="str"/>
    </x:row>
    <x:row r="94" ht="42" customHeight="1">
      <x:c r="A94" s="20" t="n">
        <x:v>90</x:v>
      </x:c>
      <x:c r="B94" s="20" t="str">
        <x:v>B1 — Discovery → пилот</x:v>
      </x:c>
      <x:c r="C94" s="20" t="str">
        <x:v>New outbound</x:v>
      </x:c>
      <x:c r="D94" s="20" t="str">
        <x:v>B1-N02</x:v>
      </x:c>
      <x:c r="E94" s="22" t="n">
        <x:v>73</x:v>
      </x:c>
      <x:c r="F94" s="20" t="str">
        <x:v>ТОВАРИСТВО З ОБМЕЖЕНОЮ ВІДПОВІДАЛЬНІСТЮ "БУДІНДУСТРІЯ"</x:v>
      </x:c>
      <x:c r="G94" s="21" t="str">
        <x:v>31996862</x:v>
      </x:c>
      <x:c r="H94" s="20" t="str">
        <x:v>Залізнична інфраструктура</x:v>
      </x:c>
      <x:c r="I94" s="20" t="str">
        <x:v>Adjacent workflow — discovery до пілоту</x:v>
      </x:c>
      <x:c r="J94" s="22" t="n">
        <x:v>93</x:v>
      </x:c>
      <x:c r="K94" s="22" t="n">
        <x:v>1</x:v>
      </x:c>
      <x:c r="L94" s="23" t="n">
        <x:v>28185599.27</x:v>
      </x:c>
      <x:c r="M94" s="24" t="n">
        <x:v>46233.55238796296</x:v>
      </x:c>
      <x:c r="N94" s="24" t="n">
        <x:v>46387.48011574074</x:v>
      </x:c>
      <x:c r="O94" s="20" t="str">
        <x:v>3 — Prozorro / реєстр; route потрібен</x:v>
      </x:c>
      <x:c r="P94" s="20" t="str">
        <x:v>browser_verified_registry_profile</x:v>
      </x:c>
      <x:c r="Q94" s="25" t="str">
        <x:v>Exact EDRPOU registry profile found; no standalone official company website identified in the top visible results.</x:v>
      </x:c>
      <x:c r="R94" s="20" t="str">
        <x:v>Не контактували</x:v>
      </x:c>
      <x:c r="S94" s="26" t="str">
        <x:v>0 — Не запрошували</x:v>
      </x:c>
      <x:c r="T94" s="20" t="b">
        <x:f>OR(LEFT(S94,1)="2",LEFT(S94,1)="3",LEFT(S94,1)="4",LEFT(S94,1)="5",LEFT(S94,1)="6")</x:f>
        <x:v>0</x:v>
      </x:c>
      <x:c r="U94" s="20" t="b">
        <x:f>OR(LEFT(S94,1)="3",LEFT(S94,1)="4",LEFT(S94,1)="5",LEFT(S94,1)="6")</x:f>
        <x:v>0</x:v>
      </x:c>
      <x:c r="V94" s="20" t="b">
        <x:f>AND(OR(LEFT(S94,1)="5",LEFT(S94,1)="6"),LEN(AD94)&gt;0)</x:f>
        <x:v>0</x:v>
      </x:c>
      <x:c r="W94" s="27"/>
      <x:c r="X94" s="26" t="str"/>
      <x:c r="Y94" s="25" t="str">
        <x:v>Провести 2-недельный workflow discovery на одном пакете; пилот только после fit verdict</x:v>
      </x:c>
      <x:c r="Z94" s="25" t="str">
        <x:v>UA-2026-07-17-005954-a</x:v>
      </x:c>
      <x:c r="AA94" s="25" t="str">
        <x:v>ДП "СхідГЗК". ЗЦ Інгульської шахти. Поточний ремонт залізничних колій (№ 5, 6, 17, 18), задіяних при перевезенні шлаку гранульованого на естакаду для вивантаження його залізничним транспортом</x:v>
      </x:c>
      <x:c r="AB94" s="25" t="str">
        <x:v>https://prozorro.gov.ua/tender/UA-2026-07-17-005954-a</x:v>
      </x:c>
      <x:c r="AC94" s="25" t="str">
        <x:v>https://opendatabot.ua/c/31996862</x:v>
      </x:c>
      <x:c r="AD94" s="28" t="str"/>
      <x:c r="AE94" s="28" t="str"/>
    </x:row>
    <x:row r="95" ht="42" customHeight="1">
      <x:c r="A95" s="20" t="n">
        <x:v>91</x:v>
      </x:c>
      <x:c r="B95" s="20" t="str">
        <x:v>B1 — Discovery → пилот</x:v>
      </x:c>
      <x:c r="C95" s="20" t="str">
        <x:v>New outbound</x:v>
      </x:c>
      <x:c r="D95" s="20" t="str">
        <x:v>B1-N02</x:v>
      </x:c>
      <x:c r="E95" s="22" t="n">
        <x:v>73</x:v>
      </x:c>
      <x:c r="F95" s="20" t="str">
        <x:v>ТОВАРИСТВО З ОБМЕЖЕНОЮ ВІДПОВІДАЛЬНІСТЮ "АСФАЛЬТНО-БЕТОННИЙ ЗАВОД "ЄВРОБУД-АСФАЛЬТ"</x:v>
      </x:c>
      <x:c r="G95" s="21" t="str">
        <x:v>42094651</x:v>
      </x:c>
      <x:c r="H95" s="20" t="str">
        <x:v>Дорожні роботи</x:v>
      </x:c>
      <x:c r="I95" s="20" t="str">
        <x:v>Adjacent workflow — discovery до пілоту</x:v>
      </x:c>
      <x:c r="J95" s="22" t="n">
        <x:v>92</x:v>
      </x:c>
      <x:c r="K95" s="22" t="n">
        <x:v>4</x:v>
      </x:c>
      <x:c r="L95" s="23" t="n">
        <x:v>5633601.71</x:v>
      </x:c>
      <x:c r="M95" s="24" t="n">
        <x:v>46253.30979371528</x:v>
      </x:c>
      <x:c r="N95" s="24" t="n">
        <x:v>46387.35289351852</x:v>
      </x:c>
      <x:c r="O95" s="20" t="str">
        <x:v>3 — Prozorro / реєстр; route потрібен</x:v>
      </x:c>
      <x:c r="P95" s="20" t="str"/>
      <x:c r="Q95" s="25" t="str"/>
      <x:c r="R95" s="20" t="str">
        <x:v>Не контактували</x:v>
      </x:c>
      <x:c r="S95" s="26" t="str">
        <x:v>0 — Не запрошували</x:v>
      </x:c>
      <x:c r="T95" s="20" t="b">
        <x:f>OR(LEFT(S95,1)="2",LEFT(S95,1)="3",LEFT(S95,1)="4",LEFT(S95,1)="5",LEFT(S95,1)="6")</x:f>
        <x:v>0</x:v>
      </x:c>
      <x:c r="U95" s="20" t="b">
        <x:f>OR(LEFT(S95,1)="3",LEFT(S95,1)="4",LEFT(S95,1)="5",LEFT(S95,1)="6")</x:f>
        <x:v>0</x:v>
      </x:c>
      <x:c r="V95" s="20" t="b">
        <x:f>AND(OR(LEFT(S95,1)="5",LEFT(S95,1)="6"),LEN(AD95)&gt;0)</x:f>
        <x:v>0</x:v>
      </x:c>
      <x:c r="W95" s="27"/>
      <x:c r="X95" s="26" t="str"/>
      <x:c r="Y95" s="25" t="str">
        <x:v>Провести 2-недельный workflow discovery на одном пакете; пилот только после fit verdict</x:v>
      </x:c>
      <x:c r="Z95" s="25" t="str">
        <x:v>UA-2026-08-19-002082-a</x:v>
      </x:c>
      <x:c r="AA95" s="25" t="str">
        <x:v>Капітальний ремонт дорожнього покриття вулиці Городищенська в селі Пристроми Бориспільського району Київської області</x:v>
      </x:c>
      <x:c r="AB95" s="25" t="str">
        <x:v>https://prozorro.gov.ua/tender/UA-2026-08-19-002082-a</x:v>
      </x:c>
      <x:c r="AC95" s="25" t="str"/>
      <x:c r="AD95" s="28" t="str"/>
      <x:c r="AE95" s="28" t="str"/>
    </x:row>
    <x:row r="96" ht="42" customHeight="1">
      <x:c r="A96" s="20" t="n">
        <x:v>92</x:v>
      </x:c>
      <x:c r="B96" s="20" t="str">
        <x:v>B1 — Discovery → пилот</x:v>
      </x:c>
      <x:c r="C96" s="20" t="str">
        <x:v>New outbound</x:v>
      </x:c>
      <x:c r="D96" s="20" t="str">
        <x:v>B1-N03</x:v>
      </x:c>
      <x:c r="E96" s="22" t="n">
        <x:v>73</x:v>
      </x:c>
      <x:c r="F96" s="20" t="str">
        <x:v>ТОВ МОРБУДПРОЕКТ</x:v>
      </x:c>
      <x:c r="G96" s="21" t="str">
        <x:v>38295459</x:v>
      </x:c>
      <x:c r="H96" s="20" t="str">
        <x:v>Залізнична інфраструктура</x:v>
      </x:c>
      <x:c r="I96" s="20" t="str">
        <x:v>Adjacent workflow — discovery до пілоту</x:v>
      </x:c>
      <x:c r="J96" s="22" t="n">
        <x:v>82</x:v>
      </x:c>
      <x:c r="K96" s="22" t="n">
        <x:v>3</x:v>
      </x:c>
      <x:c r="L96" s="23" t="n">
        <x:v>15730167.87</x:v>
      </x:c>
      <x:c r="M96" s="24" t="n">
        <x:v>46149.52169878472</x:v>
      </x:c>
      <x:c r="N96" s="24" t="n">
        <x:v>46752</x:v>
      </x:c>
      <x:c r="O96" s="20" t="str">
        <x:v>1 — Офіційний сайт</x:v>
      </x:c>
      <x:c r="P96" s="20" t="str"/>
      <x:c r="Q96" s="25" t="str"/>
      <x:c r="R96" s="20" t="str">
        <x:v>Не контактували</x:v>
      </x:c>
      <x:c r="S96" s="26" t="str">
        <x:v>0 — Не запрошували</x:v>
      </x:c>
      <x:c r="T96" s="20" t="b">
        <x:f>OR(LEFT(S96,1)="2",LEFT(S96,1)="3",LEFT(S96,1)="4",LEFT(S96,1)="5",LEFT(S96,1)="6")</x:f>
        <x:v>0</x:v>
      </x:c>
      <x:c r="U96" s="20" t="b">
        <x:f>OR(LEFT(S96,1)="3",LEFT(S96,1)="4",LEFT(S96,1)="5",LEFT(S96,1)="6")</x:f>
        <x:v>0</x:v>
      </x:c>
      <x:c r="V96" s="20" t="b">
        <x:f>AND(OR(LEFT(S96,1)="5",LEFT(S96,1)="6"),LEN(AD96)&gt;0)</x:f>
        <x:v>0</x:v>
      </x:c>
      <x:c r="W96" s="27"/>
      <x:c r="X96" s="26" t="str"/>
      <x:c r="Y96" s="25" t="str">
        <x:v>Провести 2-недельный workflow discovery на одном пакете; пилот только после fit verdict</x:v>
      </x:c>
      <x:c r="Z96" s="25" t="str">
        <x:v>UA-2026-04-02-006170-a</x:v>
      </x:c>
      <x:c r="AA96" s="25" t="str">
        <x:v>Послуги з поточного ремонту причалу № 16 (інв. № 063555) Одеської філії ДП «АМПУ»</x:v>
      </x:c>
      <x:c r="AB96" s="25" t="str">
        <x:v>https://prozorro.gov.ua/tender/UA-2026-04-02-006170-a</x:v>
      </x:c>
      <x:c r="AC96" s="25" t="str">
        <x:v>http://www.morbudproekt.com.ua/</x:v>
      </x:c>
      <x:c r="AD96" s="28" t="str"/>
      <x:c r="AE96" s="28" t="str"/>
    </x:row>
    <x:row r="97" ht="42" customHeight="1">
      <x:c r="A97" s="20" t="n">
        <x:v>93</x:v>
      </x:c>
      <x:c r="B97" s="20" t="str">
        <x:v>B1 — Discovery → пилот</x:v>
      </x:c>
      <x:c r="C97" s="20" t="str">
        <x:v>New outbound</x:v>
      </x:c>
      <x:c r="D97" s="20" t="str">
        <x:v>B1-N03</x:v>
      </x:c>
      <x:c r="E97" s="22" t="n">
        <x:v>73</x:v>
      </x:c>
      <x:c r="F97" s="20" t="str">
        <x:v>ТОВАРИСТВО З ОБМЕЖЕНОЮ ВІДПОВІДАЛЬНІСТЮ "ЕНЕРГОБУДПРОЕКТ-2"</x:v>
      </x:c>
      <x:c r="G97" s="21" t="str">
        <x:v>34724556</x:v>
      </x:c>
      <x:c r="H97" s="20" t="str">
        <x:v>Сонячна енергетика</x:v>
      </x:c>
      <x:c r="I97" s="20" t="str">
        <x:v>Adjacent workflow — discovery до пілоту</x:v>
      </x:c>
      <x:c r="J97" s="22" t="n">
        <x:v>68</x:v>
      </x:c>
      <x:c r="K97" s="22" t="n">
        <x:v>4</x:v>
      </x:c>
      <x:c r="L97" s="23" t="n">
        <x:v>14513752.82</x:v>
      </x:c>
      <x:c r="M97" s="24" t="n">
        <x:v>46167.441503449074</x:v>
      </x:c>
      <x:c r="N97" s="24" t="n">
        <x:v>46325</x:v>
      </x:c>
      <x:c r="O97" s="20" t="str">
        <x:v>3 — Prozorro / реєстр; route потрібен</x:v>
      </x:c>
      <x:c r="P97" s="20" t="str"/>
      <x:c r="Q97" s="25" t="str"/>
      <x:c r="R97" s="20" t="str">
        <x:v>Не контактували</x:v>
      </x:c>
      <x:c r="S97" s="26" t="str">
        <x:v>0 — Не запрошували</x:v>
      </x:c>
      <x:c r="T97" s="20" t="b">
        <x:f>OR(LEFT(S97,1)="2",LEFT(S97,1)="3",LEFT(S97,1)="4",LEFT(S97,1)="5",LEFT(S97,1)="6")</x:f>
        <x:v>0</x:v>
      </x:c>
      <x:c r="U97" s="20" t="b">
        <x:f>OR(LEFT(S97,1)="3",LEFT(S97,1)="4",LEFT(S97,1)="5",LEFT(S97,1)="6")</x:f>
        <x:v>0</x:v>
      </x:c>
      <x:c r="V97" s="20" t="b">
        <x:f>AND(OR(LEFT(S97,1)="5",LEFT(S97,1)="6"),LEN(AD97)&gt;0)</x:f>
        <x:v>0</x:v>
      </x:c>
      <x:c r="W97" s="27"/>
      <x:c r="X97" s="26" t="str"/>
      <x:c r="Y97" s="25" t="str">
        <x:v>Провести 2-недельный workflow discovery на одном пакете; пилот только после fit verdict</x:v>
      </x:c>
      <x:c r="Z97" s="25" t="str">
        <x:v>UA-2026-05-06-002800-a</x:v>
      </x:c>
      <x:c r="AA97" s="25" t="str">
        <x:v>Будівництво КЛ-10 кВ Л-25 від ПС "Бобринець" - 150/35/10кВ  для зовнішнього електропостачання сонячної електростанції "Бобринець 2" ТОВ "ПОГРЕБИЩЕ СОЛАР ПАРК", що знаходиться на території Бобринецької міської ради згідно з розробленою ПД із матеріалів та обладнання підрядника (приєднання)</x:v>
      </x:c>
      <x:c r="AB97" s="25" t="str">
        <x:v>https://prozorro.gov.ua/tender/UA-2026-05-06-002800-a</x:v>
      </x:c>
      <x:c r="AC97" s="25" t="str"/>
      <x:c r="AD97" s="28" t="str"/>
      <x:c r="AE97" s="28" t="str"/>
    </x:row>
    <x:row r="98" ht="42" customHeight="1">
      <x:c r="A98" s="20" t="n">
        <x:v>94</x:v>
      </x:c>
      <x:c r="B98" s="20" t="str">
        <x:v>B1 — Discovery → пилот</x:v>
      </x:c>
      <x:c r="C98" s="20" t="str">
        <x:v>New outbound</x:v>
      </x:c>
      <x:c r="D98" s="20" t="str">
        <x:v>B1-N03</x:v>
      </x:c>
      <x:c r="E98" s="22" t="n">
        <x:v>72</x:v>
      </x:c>
      <x:c r="F98" s="20" t="str">
        <x:v>ТзОВ "Автомагістраль-ІФ"</x:v>
      </x:c>
      <x:c r="G98" s="21" t="str">
        <x:v>39053510</x:v>
      </x:c>
      <x:c r="H98" s="20" t="str">
        <x:v>Дорожні роботи</x:v>
      </x:c>
      <x:c r="I98" s="20" t="str">
        <x:v>Adjacent workflow — discovery до пілоту</x:v>
      </x:c>
      <x:c r="J98" s="22" t="n">
        <x:v>89</x:v>
      </x:c>
      <x:c r="K98" s="22" t="n">
        <x:v>8</x:v>
      </x:c>
      <x:c r="L98" s="23" t="n">
        <x:v>9914811.6</x:v>
      </x:c>
      <x:c r="M98" s="24" t="n">
        <x:v>46253.526178622684</x:v>
      </x:c>
      <x:c r="N98" s="24" t="n">
        <x:v>46387</x:v>
      </x:c>
      <x:c r="O98" s="20" t="str">
        <x:v>3 — Prozorro / реєстр; route потрібен</x:v>
      </x:c>
      <x:c r="P98" s="20" t="str"/>
      <x:c r="Q98" s="25" t="str"/>
      <x:c r="R98" s="20" t="str">
        <x:v>Не контактували</x:v>
      </x:c>
      <x:c r="S98" s="26" t="str">
        <x:v>0 — Не запрошували</x:v>
      </x:c>
      <x:c r="T98" s="20" t="b">
        <x:f>OR(LEFT(S98,1)="2",LEFT(S98,1)="3",LEFT(S98,1)="4",LEFT(S98,1)="5",LEFT(S98,1)="6")</x:f>
        <x:v>0</x:v>
      </x:c>
      <x:c r="U98" s="20" t="b">
        <x:f>OR(LEFT(S98,1)="3",LEFT(S98,1)="4",LEFT(S98,1)="5",LEFT(S98,1)="6")</x:f>
        <x:v>0</x:v>
      </x:c>
      <x:c r="V98" s="20" t="b">
        <x:f>AND(OR(LEFT(S98,1)="5",LEFT(S98,1)="6"),LEN(AD98)&gt;0)</x:f>
        <x:v>0</x:v>
      </x:c>
      <x:c r="W98" s="27"/>
      <x:c r="X98" s="26" t="str"/>
      <x:c r="Y98" s="25" t="str">
        <x:v>Провести 2-недельный workflow discovery на одном пакете; пилот только после fit verdict</x:v>
      </x:c>
      <x:c r="Z98" s="25" t="str">
        <x:v>UA-2026-08-19-010249-a</x:v>
      </x:c>
      <x:c r="AA98" s="25" t="str">
        <x:v>Капітальний ремонт дорожнього покриття вул. Грушевського (від буд. № 6) в с. Майдан Ямницької сільської ради Івано-Франківської області</x:v>
      </x:c>
      <x:c r="AB98" s="25" t="str">
        <x:v>https://prozorro.gov.ua/tender/UA-2026-08-19-010249-a</x:v>
      </x:c>
      <x:c r="AC98" s="25" t="str"/>
      <x:c r="AD98" s="28" t="str"/>
      <x:c r="AE98" s="28" t="str"/>
    </x:row>
    <x:row r="99" ht="42" customHeight="1">
      <x:c r="A99" s="20" t="n">
        <x:v>95</x:v>
      </x:c>
      <x:c r="B99" s="20" t="str">
        <x:v>B1 — Discovery → пилот</x:v>
      </x:c>
      <x:c r="C99" s="20" t="str">
        <x:v>New outbound</x:v>
      </x:c>
      <x:c r="D99" s="20" t="str">
        <x:v>B1-N03</x:v>
      </x:c>
      <x:c r="E99" s="22" t="n">
        <x:v>72</x:v>
      </x:c>
      <x:c r="F99" s="20" t="str">
        <x:v>ТОВАРИСТВО З ОБМЕЖЕНОЮ ВІДПОВІДАЛЬНІСТЮ "СОЛАРС РЕ ЕНЕРДЖІ ГРУП"</x:v>
      </x:c>
      <x:c r="G99" s="21" t="str">
        <x:v>43124592</x:v>
      </x:c>
      <x:c r="H99" s="20" t="str">
        <x:v>Сонячна енергетика</x:v>
      </x:c>
      <x:c r="I99" s="20" t="str">
        <x:v>Adjacent workflow — discovery до пілоту</x:v>
      </x:c>
      <x:c r="J99" s="22" t="n">
        <x:v>88</x:v>
      </x:c>
      <x:c r="K99" s="22" t="n">
        <x:v>4</x:v>
      </x:c>
      <x:c r="L99" s="23" t="n">
        <x:v>41710493.6</x:v>
      </x:c>
      <x:c r="M99" s="24" t="n">
        <x:v>46247.26676277778</x:v>
      </x:c>
      <x:c r="N99" s="24" t="n">
        <x:v>46387</x:v>
      </x:c>
      <x:c r="O99" s="20" t="str">
        <x:v>3 — Prozorro / реєстр; route потрібен</x:v>
      </x:c>
      <x:c r="P99" s="20" t="str"/>
      <x:c r="Q99" s="25" t="str"/>
      <x:c r="R99" s="20" t="str">
        <x:v>Не контактували</x:v>
      </x:c>
      <x:c r="S99" s="26" t="str">
        <x:v>0 — Не запрошували</x:v>
      </x:c>
      <x:c r="T99" s="20" t="b">
        <x:f>OR(LEFT(S99,1)="2",LEFT(S99,1)="3",LEFT(S99,1)="4",LEFT(S99,1)="5",LEFT(S99,1)="6")</x:f>
        <x:v>0</x:v>
      </x:c>
      <x:c r="U99" s="20" t="b">
        <x:f>OR(LEFT(S99,1)="3",LEFT(S99,1)="4",LEFT(S99,1)="5",LEFT(S99,1)="6")</x:f>
        <x:v>0</x:v>
      </x:c>
      <x:c r="V99" s="20" t="b">
        <x:f>AND(OR(LEFT(S99,1)="5",LEFT(S99,1)="6"),LEN(AD99)&gt;0)</x:f>
        <x:v>0</x:v>
      </x:c>
      <x:c r="W99" s="27"/>
      <x:c r="X99" s="26" t="str"/>
      <x:c r="Y99" s="25" t="str">
        <x:v>Провести 2-недельный workflow discovery на одном пакете; пилот только после fit verdict</x:v>
      </x:c>
      <x:c r="Z99" s="25" t="str">
        <x:v>UA-2026-07-24-009062-a</x:v>
      </x:c>
      <x:c r="AA99" s="25" t="str">
        <x:v>Реконструкція електропостачання водозабору «Минай» з будівництвом альтернативного джерела енергогенерації (сонячна електростанція) для власного споживання за адресою: Ужгородський рн. Холмківська ОТГ, урочище Кінчтар 
</x:v>
      </x:c>
      <x:c r="AB99" s="25" t="str">
        <x:v>https://prozorro.gov.ua/tender/UA-2026-07-24-009062-a</x:v>
      </x:c>
      <x:c r="AC99" s="25" t="str"/>
      <x:c r="AD99" s="28" t="str"/>
      <x:c r="AE99" s="28" t="str"/>
    </x:row>
    <x:row r="100" ht="42" customHeight="1">
      <x:c r="A100" s="20" t="n">
        <x:v>96</x:v>
      </x:c>
      <x:c r="B100" s="20" t="str">
        <x:v>B1 — Discovery → пилот</x:v>
      </x:c>
      <x:c r="C100" s="20" t="str">
        <x:v>New outbound</x:v>
      </x:c>
      <x:c r="D100" s="20" t="str">
        <x:v>B1-N03</x:v>
      </x:c>
      <x:c r="E100" s="22" t="n">
        <x:v>72</x:v>
      </x:c>
      <x:c r="F100" s="20" t="str">
        <x:v>ТОВАРИСТВО З ОБМЕЖЕНОЮ ВІДПОВІДАЛЬНІСТЮ "РОУДБУДПІВДЕНЬ"</x:v>
      </x:c>
      <x:c r="G100" s="21" t="str">
        <x:v>46063475</x:v>
      </x:c>
      <x:c r="H100" s="20" t="str">
        <x:v>Дорожні роботи</x:v>
      </x:c>
      <x:c r="I100" s="20" t="str">
        <x:v>Adjacent workflow — discovery до пілоту</x:v>
      </x:c>
      <x:c r="J100" s="22" t="n">
        <x:v>88</x:v>
      </x:c>
      <x:c r="K100" s="22" t="n">
        <x:v>3</x:v>
      </x:c>
      <x:c r="L100" s="23" t="n">
        <x:v>16991947.14</x:v>
      </x:c>
      <x:c r="M100" s="24" t="n">
        <x:v>46223.28764188657</x:v>
      </x:c>
      <x:c r="N100" s="24" t="n">
        <x:v>46418.61666666667</x:v>
      </x:c>
      <x:c r="O100" s="20" t="str">
        <x:v>3 — Prozorro / реєстр; route потрібен</x:v>
      </x:c>
      <x:c r="P100" s="20" t="str"/>
      <x:c r="Q100" s="25" t="str"/>
      <x:c r="R100" s="20" t="str">
        <x:v>Не контактували</x:v>
      </x:c>
      <x:c r="S100" s="26" t="str">
        <x:v>0 — Не запрошували</x:v>
      </x:c>
      <x:c r="T100" s="20" t="b">
        <x:f>OR(LEFT(S100,1)="2",LEFT(S100,1)="3",LEFT(S100,1)="4",LEFT(S100,1)="5",LEFT(S100,1)="6")</x:f>
        <x:v>0</x:v>
      </x:c>
      <x:c r="U100" s="20" t="b">
        <x:f>OR(LEFT(S100,1)="3",LEFT(S100,1)="4",LEFT(S100,1)="5",LEFT(S100,1)="6")</x:f>
        <x:v>0</x:v>
      </x:c>
      <x:c r="V100" s="20" t="b">
        <x:f>AND(OR(LEFT(S100,1)="5",LEFT(S100,1)="6"),LEN(AD100)&gt;0)</x:f>
        <x:v>0</x:v>
      </x:c>
      <x:c r="W100" s="27"/>
      <x:c r="X100" s="26" t="str"/>
      <x:c r="Y100" s="25" t="str">
        <x:v>Провести 2-недельный workflow discovery на одном пакете; пилот только после fit verdict</x:v>
      </x:c>
      <x:c r="Z100" s="25" t="str">
        <x:v>UA-2026-06-29-010772-a</x:v>
      </x:c>
      <x:c r="AA100" s="25" t="str">
        <x:v>Капітальний ремонт дорожнього покриття по вул. Західна в селі Фонтанка, Одеського району, Одеської області</x:v>
      </x:c>
      <x:c r="AB100" s="25" t="str">
        <x:v>https://prozorro.gov.ua/tender/UA-2026-06-29-010772-a</x:v>
      </x:c>
      <x:c r="AC100" s="25" t="str"/>
      <x:c r="AD100" s="28" t="str"/>
      <x:c r="AE100" s="28" t="str"/>
    </x:row>
    <x:row r="101" ht="42" customHeight="1">
      <x:c r="A101" s="20" t="n">
        <x:v>97</x:v>
      </x:c>
      <x:c r="B101" s="20" t="str">
        <x:v>B1 — Discovery → пилот</x:v>
      </x:c>
      <x:c r="C101" s="20" t="str">
        <x:v>New outbound</x:v>
      </x:c>
      <x:c r="D101" s="20" t="str">
        <x:v>B1-N03</x:v>
      </x:c>
      <x:c r="E101" s="22" t="n">
        <x:v>72</x:v>
      </x:c>
      <x:c r="F101" s="20" t="str">
        <x:v>ТОВАРИСТВО З ОБМЕЖЕНОЮ ВІДПОВІДАЛЬНІСТЮ "ШЛЯХОВИК - МКІ"</x:v>
      </x:c>
      <x:c r="G101" s="21" t="str">
        <x:v>36928095</x:v>
      </x:c>
      <x:c r="H101" s="20" t="str">
        <x:v>Дорожні роботи</x:v>
      </x:c>
      <x:c r="I101" s="20" t="str">
        <x:v>Adjacent workflow — discovery до пілоту</x:v>
      </x:c>
      <x:c r="J101" s="22" t="n">
        <x:v>88</x:v>
      </x:c>
      <x:c r="K101" s="22" t="n">
        <x:v>3</x:v>
      </x:c>
      <x:c r="L101" s="23" t="n">
        <x:v>11160861.03</x:v>
      </x:c>
      <x:c r="M101" s="24" t="n">
        <x:v>46254.33833980324</x:v>
      </x:c>
      <x:c r="N101" s="24" t="n">
        <x:v>46387</x:v>
      </x:c>
      <x:c r="O101" s="20" t="str">
        <x:v>3 — Prozorro / реєстр; route потрібен</x:v>
      </x:c>
      <x:c r="P101" s="20" t="str"/>
      <x:c r="Q101" s="25" t="str"/>
      <x:c r="R101" s="20" t="str">
        <x:v>Не контактували</x:v>
      </x:c>
      <x:c r="S101" s="26" t="str">
        <x:v>0 — Не запрошували</x:v>
      </x:c>
      <x:c r="T101" s="20" t="b">
        <x:f>OR(LEFT(S101,1)="2",LEFT(S101,1)="3",LEFT(S101,1)="4",LEFT(S101,1)="5",LEFT(S101,1)="6")</x:f>
        <x:v>0</x:v>
      </x:c>
      <x:c r="U101" s="20" t="b">
        <x:f>OR(LEFT(S101,1)="3",LEFT(S101,1)="4",LEFT(S101,1)="5",LEFT(S101,1)="6")</x:f>
        <x:v>0</x:v>
      </x:c>
      <x:c r="V101" s="20" t="b">
        <x:f>AND(OR(LEFT(S101,1)="5",LEFT(S101,1)="6"),LEN(AD101)&gt;0)</x:f>
        <x:v>0</x:v>
      </x:c>
      <x:c r="W101" s="27"/>
      <x:c r="X101" s="26" t="str"/>
      <x:c r="Y101" s="25" t="str">
        <x:v>Провести 2-недельный workflow discovery на одном пакете; пилот только после fit verdict</x:v>
      </x:c>
      <x:c r="Z101" s="25" t="str">
        <x:v>UA-2026-08-04-009104-a</x:v>
      </x:c>
      <x:c r="AA101" s="25" t="str">
        <x:v>Капітальний ремонт дорожнього покриття по вул.Ентузіастів в м.Іллінці Вінницької області (КОРИГУВАННЯ)</x:v>
      </x:c>
      <x:c r="AB101" s="25" t="str">
        <x:v>https://prozorro.gov.ua/tender/UA-2026-08-04-009104-a</x:v>
      </x:c>
      <x:c r="AC101" s="25" t="str"/>
      <x:c r="AD101" s="28" t="str"/>
      <x:c r="AE101" s="28" t="str"/>
    </x:row>
    <x:row r="102" ht="42" customHeight="1">
      <x:c r="A102" s="20" t="n">
        <x:v>98</x:v>
      </x:c>
      <x:c r="B102" s="20" t="str">
        <x:v>B1 — Discovery → пилот</x:v>
      </x:c>
      <x:c r="C102" s="20" t="str">
        <x:v>New outbound</x:v>
      </x:c>
      <x:c r="D102" s="20" t="str">
        <x:v>B1-N03</x:v>
      </x:c>
      <x:c r="E102" s="22" t="n">
        <x:v>72</x:v>
      </x:c>
      <x:c r="F102" s="20" t="str">
        <x:v>ТОВ "ХЕРСОНСЬКИЙ АЛЬЯНС БУДІВНИЦТВА"</x:v>
      </x:c>
      <x:c r="G102" s="21" t="str">
        <x:v>42542403</x:v>
      </x:c>
      <x:c r="H102" s="20" t="str">
        <x:v>Зовнішні мережі</x:v>
      </x:c>
      <x:c r="I102" s="20" t="str">
        <x:v>Adjacent workflow — discovery до пілоту</x:v>
      </x:c>
      <x:c r="J102" s="22" t="n">
        <x:v>87</x:v>
      </x:c>
      <x:c r="K102" s="22" t="n">
        <x:v>4</x:v>
      </x:c>
      <x:c r="L102" s="23" t="n">
        <x:v>162373364.8</x:v>
      </x:c>
      <x:c r="M102" s="24" t="n">
        <x:v>46203.277789583335</x:v>
      </x:c>
      <x:c r="N102" s="24" t="n">
        <x:v>46378</x:v>
      </x:c>
      <x:c r="O102" s="20" t="str">
        <x:v>3 — Prozorro / реєстр; route потрібен</x:v>
      </x:c>
      <x:c r="P102" s="20" t="str"/>
      <x:c r="Q102" s="25" t="str"/>
      <x:c r="R102" s="20" t="str">
        <x:v>Не контактували</x:v>
      </x:c>
      <x:c r="S102" s="26" t="str">
        <x:v>0 — Не запрошували</x:v>
      </x:c>
      <x:c r="T102" s="20" t="b">
        <x:f>OR(LEFT(S102,1)="2",LEFT(S102,1)="3",LEFT(S102,1)="4",LEFT(S102,1)="5",LEFT(S102,1)="6")</x:f>
        <x:v>0</x:v>
      </x:c>
      <x:c r="U102" s="20" t="b">
        <x:f>OR(LEFT(S102,1)="3",LEFT(S102,1)="4",LEFT(S102,1)="5",LEFT(S102,1)="6")</x:f>
        <x:v>0</x:v>
      </x:c>
      <x:c r="V102" s="20" t="b">
        <x:f>AND(OR(LEFT(S102,1)="5",LEFT(S102,1)="6"),LEN(AD102)&gt;0)</x:f>
        <x:v>0</x:v>
      </x:c>
      <x:c r="W102" s="27"/>
      <x:c r="X102" s="26" t="str"/>
      <x:c r="Y102" s="25" t="str">
        <x:v>Провести 2-недельный workflow discovery на одном пакете; пилот только после fit verdict</x:v>
      </x:c>
      <x:c r="Z102" s="25" t="str">
        <x:v>UA-2026-06-18-008231-a</x:v>
      </x:c>
      <x:c r="AA102" s="2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x:v>
      </x:c>
      <x:c r="AB102" s="25" t="str">
        <x:v>https://prozorro.gov.ua/tender/UA-2026-06-18-008231-a</x:v>
      </x:c>
      <x:c r="AC102" s="25" t="str"/>
      <x:c r="AD102" s="28" t="str"/>
      <x:c r="AE102" s="28" t="str"/>
    </x:row>
    <x:row r="103" ht="42" customHeight="1">
      <x:c r="A103" s="20" t="n">
        <x:v>99</x:v>
      </x:c>
      <x:c r="B103" s="20" t="str">
        <x:v>B1 — Discovery → пилот</x:v>
      </x:c>
      <x:c r="C103" s="20" t="str">
        <x:v>New outbound</x:v>
      </x:c>
      <x:c r="D103" s="20" t="str">
        <x:v>B1-N03</x:v>
      </x:c>
      <x:c r="E103" s="22" t="n">
        <x:v>72</x:v>
      </x:c>
      <x:c r="F103" s="20" t="str">
        <x:v>ТОВАРИСТВО З ОБМЕЖЕНОЮ ВІДПОВІДАЛЬНІСТЮ "ДЖИВЕРСБУД"</x:v>
      </x:c>
      <x:c r="G103" s="21" t="str">
        <x:v>38306994</x:v>
      </x:c>
      <x:c r="H103" s="20" t="str">
        <x:v>Промислова теплоізоляція</x:v>
      </x:c>
      <x:c r="I103" s="20" t="str">
        <x:v>Adjacent workflow — discovery до пілоту</x:v>
      </x:c>
      <x:c r="J103" s="22" t="n">
        <x:v>87</x:v>
      </x:c>
      <x:c r="K103" s="22" t="n">
        <x:v>1</x:v>
      </x:c>
      <x:c r="L103" s="23" t="n">
        <x:v>64789621.68</x:v>
      </x:c>
      <x:c r="M103" s="24" t="n">
        <x:v>46204.50575207176</x:v>
      </x:c>
      <x:c r="N103" s="24" t="n">
        <x:v>46356</x:v>
      </x:c>
      <x:c r="O103" s="20" t="str">
        <x:v>1 — Офіційний сайт</x:v>
      </x:c>
      <x:c r="P103" s="20" t="str"/>
      <x:c r="Q103" s="25" t="str"/>
      <x:c r="R103" s="20" t="str">
        <x:v>Не контактували</x:v>
      </x:c>
      <x:c r="S103" s="26" t="str">
        <x:v>0 — Не запрошували</x:v>
      </x:c>
      <x:c r="T103" s="20" t="b">
        <x:f>OR(LEFT(S103,1)="2",LEFT(S103,1)="3",LEFT(S103,1)="4",LEFT(S103,1)="5",LEFT(S103,1)="6")</x:f>
        <x:v>0</x:v>
      </x:c>
      <x:c r="U103" s="20" t="b">
        <x:f>OR(LEFT(S103,1)="3",LEFT(S103,1)="4",LEFT(S103,1)="5",LEFT(S103,1)="6")</x:f>
        <x:v>0</x:v>
      </x:c>
      <x:c r="V103" s="20" t="b">
        <x:f>AND(OR(LEFT(S103,1)="5",LEFT(S103,1)="6"),LEN(AD103)&gt;0)</x:f>
        <x:v>0</x:v>
      </x:c>
      <x:c r="W103" s="27"/>
      <x:c r="X103" s="26" t="str"/>
      <x:c r="Y103" s="25" t="str">
        <x:v>Провести 2-недельный workflow discovery на одном пакете; пилот только после fit verdict</x:v>
      </x:c>
      <x:c r="Z103" s="25" t="str">
        <x:v>UA-2026-06-05-011674-a</x:v>
      </x:c>
      <x:c r="AA103" s="2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x:v>
      </x:c>
      <x:c r="AB103" s="25" t="str">
        <x:v>https://prozorro.gov.ua/tender/UA-2026-06-05-011674-a</x:v>
      </x:c>
      <x:c r="AC103" s="25" t="str">
        <x:v>https://gversbud.com.ua/</x:v>
      </x:c>
      <x:c r="AD103" s="28" t="str"/>
      <x:c r="AE103" s="28" t="str"/>
    </x:row>
    <x:row r="104" ht="42" customHeight="1">
      <x:c r="A104" s="20" t="n">
        <x:v>100</x:v>
      </x:c>
      <x:c r="B104" s="20" t="str">
        <x:v>B1 — Discovery → пилот</x:v>
      </x:c>
      <x:c r="C104" s="20" t="str">
        <x:v>New outbound</x:v>
      </x:c>
      <x:c r="D104" s="20" t="str">
        <x:v>B1-N03</x:v>
      </x:c>
      <x:c r="E104" s="22" t="n">
        <x:v>72</x:v>
      </x:c>
      <x:c r="F104" s="20" t="str">
        <x:v>ТОВ "ЕДС-ПІДСТАНЦІЯ"</x:v>
      </x:c>
      <x:c r="G104" s="21" t="str">
        <x:v>42914860</x:v>
      </x:c>
      <x:c r="H104" s="20" t="str">
        <x:v>Сонячна енергетика</x:v>
      </x:c>
      <x:c r="I104" s="20" t="str">
        <x:v>Adjacent workflow — discovery до пілоту</x:v>
      </x:c>
      <x:c r="J104" s="22" t="n">
        <x:v>62</x:v>
      </x:c>
      <x:c r="K104" s="22" t="n">
        <x:v>1</x:v>
      </x:c>
      <x:c r="L104" s="23" t="n">
        <x:v>19391493</x:v>
      </x:c>
      <x:c r="M104" s="24" t="n">
        <x:v>46191.43037732639</x:v>
      </x:c>
      <x:c r="N104" s="24" t="n">
        <x:v>46387</x:v>
      </x:c>
      <x:c r="O104" s="20" t="str">
        <x:v>1 — Офіційний сайт</x:v>
      </x:c>
      <x:c r="P104" s="20" t="str"/>
      <x:c r="Q104" s="25" t="str"/>
      <x:c r="R104" s="20" t="str">
        <x:v>Не контактували</x:v>
      </x:c>
      <x:c r="S104" s="26" t="str">
        <x:v>0 — Не запрошували</x:v>
      </x:c>
      <x:c r="T104" s="20" t="b">
        <x:f>OR(LEFT(S104,1)="2",LEFT(S104,1)="3",LEFT(S104,1)="4",LEFT(S104,1)="5",LEFT(S104,1)="6")</x:f>
        <x:v>0</x:v>
      </x:c>
      <x:c r="U104" s="20" t="b">
        <x:f>OR(LEFT(S104,1)="3",LEFT(S104,1)="4",LEFT(S104,1)="5",LEFT(S104,1)="6")</x:f>
        <x:v>0</x:v>
      </x:c>
      <x:c r="V104" s="20" t="b">
        <x:f>AND(OR(LEFT(S104,1)="5",LEFT(S104,1)="6"),LEN(AD104)&gt;0)</x:f>
        <x:v>0</x:v>
      </x:c>
      <x:c r="W104" s="27"/>
      <x:c r="X104" s="26" t="str"/>
      <x:c r="Y104" s="25" t="str">
        <x:v>Провести 2-недельный workflow discovery на одном пакете; пилот только после fit verdict</x:v>
      </x:c>
      <x:c r="Z104" s="25" t="str">
        <x:v>UA-2026-06-02-008852-a</x:v>
      </x:c>
      <x:c r="AA104" s="25" t="str">
        <x:v>Технічне завдання на виконання робіт по проекту: «Нове будівництво ЛЕП-10 кВ від ПС 110/35/10 кВ «Бершадь» до РП-10 кВ сонячної електростанції ТОВ «ФОРТІС СОЛАР» (ТОВ «ФОРТІС СОЛАР») </x:v>
      </x:c>
      <x:c r="AB104" s="25" t="str">
        <x:v>https://prozorro.gov.ua/tender/UA-2026-06-02-008852-a</x:v>
      </x:c>
      <x:c r="AC104" s="25" t="str">
        <x:v>https://eds-ukraine.com/</x:v>
      </x:c>
      <x:c r="AD104" s="28" t="str"/>
      <x:c r="AE104" s="28" t="str"/>
    </x:row>
    <x:row r="105" ht="42" customHeight="1">
      <x:c r="A105" s="20" t="n">
        <x:v>101</x:v>
      </x:c>
      <x:c r="B105" s="20" t="str">
        <x:v>B1 — Discovery → пилот</x:v>
      </x:c>
      <x:c r="C105" s="20" t="str">
        <x:v>New outbound</x:v>
      </x:c>
      <x:c r="D105" s="20" t="str">
        <x:v>B1-N03</x:v>
      </x:c>
      <x:c r="E105" s="22" t="n">
        <x:v>71</x:v>
      </x:c>
      <x:c r="F105" s="20" t="str">
        <x:v>ПРИВАТНЕ ПІДПРИЄМСТВО "ПОЖЗАБЕЗПЕЧЕННЯ Л"</x:v>
      </x:c>
      <x:c r="G105" s="21" t="str">
        <x:v>42441853</x:v>
      </x:c>
      <x:c r="H105" s="20" t="str">
        <x:v>Пасивний вогнезахист</x:v>
      </x:c>
      <x:c r="I105" s="20" t="str">
        <x:v>Adjacent workflow — discovery до пілоту</x:v>
      </x:c>
      <x:c r="J105" s="22" t="n">
        <x:v>85</x:v>
      </x:c>
      <x:c r="K105" s="22" t="n">
        <x:v>6</x:v>
      </x:c>
      <x:c r="L105" s="23" t="n">
        <x:v>749916.56</x:v>
      </x:c>
      <x:c r="M105" s="24" t="n">
        <x:v>46248.35216333334</x:v>
      </x:c>
      <x:c r="N105" s="24" t="n">
        <x:v>46356</x:v>
      </x:c>
      <x:c r="O105" s="20" t="str">
        <x:v>3 — Prozorro / реєстр; route потрібен</x:v>
      </x:c>
      <x:c r="P105" s="20" t="str"/>
      <x:c r="Q105" s="25" t="str"/>
      <x:c r="R105" s="20" t="str">
        <x:v>Не контактували</x:v>
      </x:c>
      <x:c r="S105" s="26" t="str">
        <x:v>0 — Не запрошували</x:v>
      </x:c>
      <x:c r="T105" s="20" t="b">
        <x:f>OR(LEFT(S105,1)="2",LEFT(S105,1)="3",LEFT(S105,1)="4",LEFT(S105,1)="5",LEFT(S105,1)="6")</x:f>
        <x:v>0</x:v>
      </x:c>
      <x:c r="U105" s="20" t="b">
        <x:f>OR(LEFT(S105,1)="3",LEFT(S105,1)="4",LEFT(S105,1)="5",LEFT(S105,1)="6")</x:f>
        <x:v>0</x:v>
      </x:c>
      <x:c r="V105" s="20" t="b">
        <x:f>AND(OR(LEFT(S105,1)="5",LEFT(S105,1)="6"),LEN(AD105)&gt;0)</x:f>
        <x:v>0</x:v>
      </x:c>
      <x:c r="W105" s="27"/>
      <x:c r="X105" s="26" t="str"/>
      <x:c r="Y105" s="25" t="str">
        <x:v>Провести 2-недельный workflow discovery на одном пакете; пилот только после fit verdict</x:v>
      </x:c>
      <x:c r="Z105" s="25" t="str">
        <x:v>UA-2026-07-21-006593-a</x:v>
      </x:c>
      <x:c r="AA105" s="25" t="str">
        <x:v>Поверхнева вогнезахисна обробка дерев'яних конструкцій дахів будівель на об’єктах Західного ТУОМ 45450000-6 Інші завершальні будівельні роботи</x:v>
      </x:c>
      <x:c r="AB105" s="25" t="str">
        <x:v>https://prozorro.gov.ua/tender/UA-2026-07-21-006593-a</x:v>
      </x:c>
      <x:c r="AC105" s="25" t="str"/>
      <x:c r="AD105" s="28" t="str"/>
      <x:c r="AE105" s="28" t="str"/>
    </x:row>
    <x:row r="106" ht="42" customHeight="1">
      <x:c r="A106" s="20" t="n">
        <x:v>102</x:v>
      </x:c>
      <x:c r="B106" s="20" t="str">
        <x:v>C — Генподрядчик / канал</x:v>
      </x:c>
      <x:c r="C106" s="20" t="str">
        <x:v>New outbound</x:v>
      </x:c>
      <x:c r="D106" s="20" t="str">
        <x:v>C-N01</x:v>
      </x:c>
      <x:c r="E106" s="22" t="n">
        <x:v>61</x:v>
      </x:c>
      <x:c r="F106" s="20" t="str">
        <x:v>ТОВАРИСТВО З ОБМЕЖЕНОЮ ВІДПОВІДАЛЬНІСТЮ "БУДІВЕЛЬНА КОМПАНІЯ "АСКОН"</x:v>
      </x:c>
      <x:c r="G106" s="21" t="str">
        <x:v>40981378</x:v>
      </x:c>
      <x:c r="H106" s="20" t="str">
        <x:v>Ремонт і підсилення бетону</x:v>
      </x:c>
      <x:c r="I106" s="20" t="str">
        <x:v>Adjacent workflow — discovery до пілоту</x:v>
      </x:c>
      <x:c r="J106" s="22" t="n">
        <x:v>79</x:v>
      </x:c>
      <x:c r="K106" s="22" t="n">
        <x:v>1</x:v>
      </x:c>
      <x:c r="L106" s="23" t="n">
        <x:v>11477794.8</x:v>
      </x:c>
      <x:c r="M106" s="24" t="n">
        <x:v>46120.25809859954</x:v>
      </x:c>
      <x:c r="N106" s="24" t="n">
        <x:v>46173</x:v>
      </x:c>
      <x:c r="O106" s="20" t="str">
        <x:v>3 — Prozorro / реєстр; route потрібен</x:v>
      </x:c>
      <x:c r="P106" s="20" t="str"/>
      <x:c r="Q106" s="25" t="str"/>
      <x:c r="R106" s="20" t="str">
        <x:v>Не контактували</x:v>
      </x:c>
      <x:c r="S106" s="26" t="str">
        <x:v>0 — Не запрошували</x:v>
      </x:c>
      <x:c r="T106" s="20" t="b">
        <x:f>OR(LEFT(S106,1)="2",LEFT(S106,1)="3",LEFT(S106,1)="4",LEFT(S106,1)="5",LEFT(S106,1)="6")</x:f>
        <x:v>0</x:v>
      </x:c>
      <x:c r="U106" s="20" t="b">
        <x:f>OR(LEFT(S106,1)="3",LEFT(S106,1)="4",LEFT(S106,1)="5",LEFT(S106,1)="6")</x:f>
        <x:v>0</x:v>
      </x:c>
      <x:c r="V106" s="20" t="b">
        <x:f>AND(OR(LEFT(S106,1)="5",LEFT(S106,1)="6"),LEN(AD106)&gt;0)</x:f>
        <x:v>0</x:v>
      </x:c>
      <x:c r="W106" s="27"/>
      <x:c r="X106" s="26" t="str"/>
      <x:c r="Y106" s="25" t="str">
        <x:v>Проверить роль генподрядчика и попросить представить ПТО/субподрядчика по N.14/N.15</x:v>
      </x:c>
      <x:c r="Z106" s="25" t="str">
        <x:v>UA-2026-04-08-000612-a</x:v>
      </x:c>
      <x:c r="AA106" s="2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"Відновлювальні роботи (капітальний ремонт) на багатоквартирному житловому будинку вул. Гната Хоткевича,8 у м. Києві пошкодженому внаслідок воєнних дій (код CPV за ДК 021:2015: 45450000-6 — Інші завершальні будівельні роботи)</x:v>
      </x:c>
      <x:c r="AB106" s="25" t="str">
        <x:v>https://prozorro.gov.ua/tender/UA-2026-04-08-000612-a</x:v>
      </x:c>
      <x:c r="AC106" s="25" t="str"/>
      <x:c r="AD106" s="28" t="str"/>
      <x:c r="AE106" s="28" t="str"/>
    </x:row>
    <x:row r="107" ht="42" customHeight="1">
      <x:c r="A107" s="20" t="n">
        <x:v>103</x:v>
      </x:c>
      <x:c r="B107" s="20" t="str">
        <x:v>C — Генподрядчик / канал</x:v>
      </x:c>
      <x:c r="C107" s="20" t="str">
        <x:v>New outbound</x:v>
      </x:c>
      <x:c r="D107" s="20" t="str">
        <x:v>C-N01</x:v>
      </x:c>
      <x:c r="E107" s="22" t="n">
        <x:v>61</x:v>
      </x:c>
      <x:c r="F107" s="20" t="str">
        <x:v>ПрАТ Юженергобуд</x:v>
      </x:c>
      <x:c r="G107" s="21" t="str">
        <x:v>04630809</x:v>
      </x:c>
      <x:c r="H107" s="20" t="str">
        <x:v>Покрівлі та гідроізоляція</x:v>
      </x:c>
      <x:c r="I107" s="20" t="str">
        <x:v>Adjacent workflow — discovery до пілоту</x:v>
      </x:c>
      <x:c r="J107" s="22" t="n">
        <x:v>78</x:v>
      </x:c>
      <x:c r="K107" s="22" t="n">
        <x:v>1</x:v>
      </x:c>
      <x:c r="L107" s="23" t="n">
        <x:v>89655051.42</x:v>
      </x:c>
      <x:c r="M107" s="24" t="n">
        <x:v>46126.511809386575</x:v>
      </x:c>
      <x:c r="N107" s="24" t="n">
        <x:v>46234</x:v>
      </x:c>
      <x:c r="O107" s="20" t="str">
        <x:v>3 — Prozorro / реєстр; route потрібен</x:v>
      </x:c>
      <x:c r="P107" s="20" t="str"/>
      <x:c r="Q107" s="25" t="str"/>
      <x:c r="R107" s="20" t="str">
        <x:v>Не контактували</x:v>
      </x:c>
      <x:c r="S107" s="26" t="str">
        <x:v>0 — Не запрошували</x:v>
      </x:c>
      <x:c r="T107" s="20" t="b">
        <x:f>OR(LEFT(S107,1)="2",LEFT(S107,1)="3",LEFT(S107,1)="4",LEFT(S107,1)="5",LEFT(S107,1)="6")</x:f>
        <x:v>0</x:v>
      </x:c>
      <x:c r="U107" s="20" t="b">
        <x:f>OR(LEFT(S107,1)="3",LEFT(S107,1)="4",LEFT(S107,1)="5",LEFT(S107,1)="6")</x:f>
        <x:v>0</x:v>
      </x:c>
      <x:c r="V107" s="20" t="b">
        <x:f>AND(OR(LEFT(S107,1)="5",LEFT(S107,1)="6"),LEN(AD107)&gt;0)</x:f>
        <x:v>0</x:v>
      </x:c>
      <x:c r="W107" s="27"/>
      <x:c r="X107" s="26" t="str"/>
      <x:c r="Y107" s="25" t="str">
        <x:v>Проверить роль генподрядчика и попросить представить ПТО/субподрядчика по N.14/N.15</x:v>
      </x:c>
      <x:c r="Z107" s="25" t="str">
        <x:v>UA-2026-04-14-008477-a</x:v>
      </x:c>
      <x:c r="AA107" s="25" t="str">
        <x:v>Капітальний ремонт димової труби пуско-резервної котельні із заміною окремих ділянок (додаткова закупівля) (   ДК 021:2015: 45260000-7 — Покрівельні роботи та інші спеціалізовані будівельні роботи). РПЗ - 2.17</x:v>
      </x:c>
      <x:c r="AB107" s="25" t="str">
        <x:v>https://prozorro.gov.ua/tender/UA-2026-04-14-008477-a</x:v>
      </x:c>
      <x:c r="AC107" s="25" t="str"/>
      <x:c r="AD107" s="28" t="str"/>
      <x:c r="AE107" s="28" t="str"/>
    </x:row>
  </x:sheetData>
  <x:mergeCells>
    <x:mergeCell ref="A1:AE1"/>
    <x:mergeCell ref="A2:AE2"/>
  </x:mergeCells>
  <x:conditionalFormatting sqref="E5:E107">
    <x:cfRule type="dataBar" priority="1">
      <x:dataBar>
        <x:cfvo type="min"/>
        <x:cfvo type="max"/>
        <x:color rgb="FF2D6CDF"/>
      </x:dataBar>
      <x:extLst>
        <x:ext xmlns:x14="http://schemas.microsoft.com/office/spreadsheetml/2009/9/main" uri="{B025F937-C7B1-47D3-B67F-A62EFF666E3E}">
          <x14:id>{1D41E817-10CA-E9D9-5BEB-8F9B833F31E4}</x14:id>
        </x:ext>
      </x:extLst>
    </x:cfRule>
  </x:conditionalFormatting>
  <x:conditionalFormatting sqref="B5:B107">
    <x:cfRule type="beginsWith" dxfId="0" priority="2" operator="beginsWith" text="A1"/>
    <x:cfRule type="beginsWith" dxfId="1" priority="3" operator="beginsWith" text="A2"/>
    <x:cfRule type="beginsWith" dxfId="2" priority="4" operator="beginsWith" text="B1"/>
  </x:conditionalFormatting>
  <x:conditionalFormatting sqref="S5:S107">
    <x:cfRule type="beginsWith" dxfId="3" priority="5" operator="beginsWith" text="5"/>
    <x:cfRule type="beginsWith" dxfId="4" priority="6" operator="beginsWith" text="6"/>
  </x:conditionalFormatting>
  <x:conditionalFormatting sqref="V5:V107">
    <x:cfRule type="cellIs" dxfId="5" priority="7" operator="equal">
      <x:formula>TRUE</x:formula>
    </x:cfRule>
  </x:conditionalFormatting>
  <x:dataValidations count="1">
    <x:dataValidation type="list" sqref="S5:S107">
      <x:formula1>"0 — Не запрошували,1 — Запрошення надіслано,2 — Відповів / цікаво,3 — Артефакт отримано,4 — Discovery проведено,5 — Пілот погоджено,6 — Пілот стартував,7 — Не зараз,8 — Відмова,9 — Не fit"</x:formula1>
    </x:dataValidation>
  </x:dataValidations>
  <x:pageMargins left="0.7" right="0.7" top="0.75" bottom="0.75" header="0.3" footer="0.3"/>
  <x:tableParts count="1">
    <x:tablePart xmlns:r="http://schemas.openxmlformats.org/officeDocument/2006/relationships" r:id="R305fe2a8ece3468b"/>
  </x:tableParts>
  <x:extLst>
    <x:ext xmlns:x14="http://schemas.microsoft.com/office/spreadsheetml/2009/9/main" xmlns:xm="http://schemas.microsoft.com/office/excel/2006/main" uri="{78C0D931-6437-407d-A8EE-F0AAD7539E65}">
      <x14:conditionalFormattings>
        <x14:conditionalFormatting>
          <x14:cfRule type="dataBar" priority="1" id="{1D41E817-10CA-E9D9-5BEB-8F9B833F31E4}">
            <x14:dataBar gradient="1">
              <x14:cfvo type="min"/>
              <x14:cfvo type="max"/>
              <x14:fillColor rgb="FF2D6CDF"/>
            </x14:dataBar>
          </x14:cfRule>
          <xm:sqref>E5:E107</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6" hidden="0" customWidth="1"/>
    <x:col min="4" max="4" width="42" hidden="0" customWidth="1"/>
    <x:col min="5" max="5" width="34" hidden="0" customWidth="1"/>
    <x:col min="6" max="6" width="15" hidden="0" customWidth="1"/>
    <x:col min="7" max="7" width="15" hidden="0" customWidth="1"/>
    <x:col min="8" max="8" width="36" hidden="0" customWidth="1"/>
  </x:cols>
  <x:sheetData>
    <x:row r="1" ht="34" customHeight="1">
      <x:c r="A1" s="3" t="str">
        <x:v>Pilot Funnel — A1 launch cohort</x:v>
      </x:c>
      <x:c r="B1" s="3" t="str">
        <x:v>Pilot Funnel — A1 launch cohort</x:v>
      </x:c>
      <x:c r="C1" s="3" t="str">
        <x:v>Pilot Funnel — A1 launch cohort</x:v>
      </x:c>
      <x:c r="D1" s="3" t="str">
        <x:v>Pilot Funnel — A1 launch cohort</x:v>
      </x:c>
      <x:c r="E1" s="3" t="str">
        <x:v>Pilot Funnel — A1 launch cohort</x:v>
      </x:c>
      <x:c r="F1" s="3" t="str">
        <x:v>Pilot Funnel — A1 launch cohort</x:v>
      </x:c>
      <x:c r="G1" s="3" t="str">
        <x:v>Pilot Funnel — A1 launch cohort</x:v>
      </x:c>
      <x:c r="H1" s="3" t="str">
        <x:v>Pilot Funnel — A1 launch cohort</x:v>
      </x:c>
    </x:row>
    <x:row r="2" ht="28" customHeight="1">
      <x:c r="A2" s="7" t="str">
        <x:v>Actual counts are calculated from Pilot Shortlist. “Pilot agreed” stays zero until explicit agreement evidence is entered.</x:v>
      </x:c>
      <x:c r="B2" s="7" t="str">
        <x:v>Actual counts are calculated from Pilot Shortlist. “Pilot agreed” stays zero until explicit agreement evidence is entered.</x:v>
      </x:c>
      <x:c r="C2" s="7" t="str">
        <x:v>Actual counts are calculated from Pilot Shortlist. “Pilot agreed” stays zero until explicit agreement evidence is entered.</x:v>
      </x:c>
      <x:c r="D2" s="7" t="str">
        <x:v>Actual counts are calculated from Pilot Shortlist. “Pilot agreed” stays zero until explicit agreement evidence is entered.</x:v>
      </x:c>
      <x:c r="E2" s="7" t="str">
        <x:v>Actual counts are calculated from Pilot Shortlist. “Pilot agreed” stays zero until explicit agreement evidence is entered.</x:v>
      </x:c>
      <x:c r="F2" s="7" t="str">
        <x:v>Actual counts are calculated from Pilot Shortlist. “Pilot agreed” stays zero until explicit agreement evidence is entered.</x:v>
      </x:c>
      <x:c r="G2" s="7" t="str">
        <x:v>Actual counts are calculated from Pilot Shortlist. “Pilot agreed” stays zero until explicit agreement evidence is entered.</x:v>
      </x:c>
      <x:c r="H2" s="7" t="str">
        <x:v>Actual counts are calculated from Pilot Shortlist. “Pilot agreed” stays zero until explicit agreement evidence is entered.</x:v>
      </x:c>
    </x:row>
    <x:row r="4" ht="34" customHeight="1">
      <x:c r="A4" s="16" t="str">
        <x:v>Stage</x:v>
      </x:c>
      <x:c r="B4" s="17" t="str">
        <x:v>Actual</x:v>
      </x:c>
      <x:c r="C4" s="17" t="str">
        <x:v>Step conversion</x:v>
      </x:c>
      <x:c r="D4" s="17" t="str">
        <x:v>Definition</x:v>
      </x:c>
      <x:c r="E4" s="17" t="str">
        <x:v>Required proof</x:v>
      </x:c>
      <x:c r="F4" s="17" t="str">
        <x:v>Working target</x:v>
      </x:c>
      <x:c r="G4" s="17" t="str">
        <x:v>Gap</x:v>
      </x:c>
      <x:c r="H4" s="18" t="str">
        <x:v>Notes</x:v>
      </x:c>
    </x:row>
    <x:row r="5" ht="42" customHeight="1">
      <x:c r="A5" s="31" t="str">
        <x:v>A1 eligible</x:v>
      </x:c>
      <x:c r="B5" s="32" t="n">
        <x:f>COUNTIF('Pilot Shortlist'!$B$5:$B$107,"A1 — Запуск пилота 30–45 дней")</x:f>
        <x:v>21</x:v>
      </x:c>
      <x:c r="C5" s="20" t="str">
        <x:v>—</x:v>
      </x:c>
      <x:c r="D5" s="25" t="str">
        <x:v>Strong direct N.14/N.15 candidates selected for the first cycle</x:v>
      </x:c>
      <x:c r="E5" s="25" t="str">
        <x:v>Readiness + live-project evidence</x:v>
      </x:c>
      <x:c r="F5" s="33"/>
      <x:c r="G5" s="34" t="str"/>
      <x:c r="H5" s="25" t="str">
        <x:v>Start with new-outbound batches of 10</x:v>
      </x:c>
    </x:row>
    <x:row r="6" ht="42" customHeight="1">
      <x:c r="A6" s="31" t="str">
        <x:v>Invited</x:v>
      </x:c>
      <x:c r="B6" s="32" t="n">
        <x:f>COUNTIFS('Pilot Shortlist'!$B$5:$B$107,"A1 — Запуск пилота 30–45 дней",'Pilot Shortlist'!$S$5:$S$107,"1 — Запрошення надіслано")+COUNTIFS('Pilot Shortlist'!$B$5:$B$107,"A1 — Запуск пилота 30–45 дней",'Pilot Shortlist'!$S$5:$S$107,"2 — Відповів / цікаво")+COUNTIFS('Pilot Shortlist'!$B$5:$B$107,"A1 — Запуск пилота 30–45 дней",'Pilot Shortlist'!$S$5:$S$107,"3 — Артефакт отримано")+COUNTIFS('Pilot Shortlist'!$B$5:$B$107,"A1 — Запуск пилота 30–45 дней",'Pilot Shortlist'!$S$5:$S$107,"4 — Discovery проведено")+COUNTIFS('Pilot Shortlist'!$B$5:$B$107,"A1 — Запуск пилота 30–45 дней",'Pilot Shortlist'!$S$5:$S$107,"5 — Пілот погоджено")+COUNTIFS('Pilot Shortlist'!$B$5:$B$107,"A1 — Запуск пилота 30–45 дней",'Pilot Shortlist'!$S$5:$S$107,"6 — Пілот стартував")+COUNTIFS('Pilot Shortlist'!$B$5:$B$107,"A1 — Запуск пилота 30–45 дней",'Pilot Shortlist'!$S$5:$S$107,"7 — Не зараз")+COUNTIFS('Pilot Shortlist'!$B$5:$B$107,"A1 — Запуск пилота 30–45 дней",'Pilot Shortlist'!$S$5:$S$107,"8 — Відмова")+COUNTIFS('Pilot Shortlist'!$B$5:$B$107,"A1 — Запуск пилота 30–45 дней",'Pilot Shortlist'!$S$5:$S$107,"9 — Не fit")</x:f>
        <x:v>2</x:v>
      </x:c>
      <x:c r="C6" s="29" t="n">
        <x:f>IFERROR(B6/B5,0)</x:f>
        <x:v>0.09523809523809523</x:v>
      </x:c>
      <x:c r="D6" s="25" t="str">
        <x:v>A pilot invitation or re-engagement was sent</x:v>
      </x:c>
      <x:c r="E6" s="25" t="str">
        <x:v>Date/channel recorded in Notes</x:v>
      </x:c>
      <x:c r="F6" s="33"/>
      <x:c r="G6" s="34" t="str">
        <x:f>IF(F6="","",F6-B6)</x:f>
      </x:c>
      <x:c r="H6" s="25" t="str">
        <x:v>Do not blast all candidates at once</x:v>
      </x:c>
    </x:row>
    <x:row r="7" ht="42" customHeight="1">
      <x:c r="A7" s="31" t="str">
        <x:v>Interested</x:v>
      </x:c>
      <x:c r="B7" s="32" t="n">
        <x:f>COUNTIFS('Pilot Shortlist'!$B$5:$B$107,"A1 — Запуск пилота 30–45 дней",'Pilot Shortlist'!$T$5:$T$107,TRUE)</x:f>
        <x:v>0</x:v>
      </x:c>
      <x:c r="C7" s="29" t="n">
        <x:f>IFERROR(B7/B6,0)</x:f>
        <x:v>0</x:v>
      </x:c>
      <x:c r="D7" s="25" t="str">
        <x:v>Positive reply or explicit interest</x:v>
      </x:c>
      <x:c r="E7" s="25" t="str">
        <x:v>Reply summary in Notes</x:v>
      </x:c>
      <x:c r="F7" s="33"/>
      <x:c r="G7" s="34" t="str">
        <x:f>IF(F7="","",F7-B7)</x:f>
      </x:c>
      <x:c r="H7" s="25" t="str">
        <x:v>No inferred interest</x:v>
      </x:c>
    </x:row>
    <x:row r="8" ht="42" customHeight="1">
      <x:c r="A8" s="31" t="str">
        <x:v>Artifact received</x:v>
      </x:c>
      <x:c r="B8" s="32" t="n">
        <x:f>COUNTIFS('Pilot Shortlist'!$B$5:$B$107,"A1 — Запуск пилота 30–45 дней",'Pilot Shortlist'!$U$5:$U$107,TRUE)</x:f>
        <x:v>0</x:v>
      </x:c>
      <x:c r="C8" s="29" t="n">
        <x:f>IFERROR(B8/B7,0)</x:f>
        <x:v>0</x:v>
      </x:c>
      <x:c r="D8" s="25" t="str">
        <x:v>One anonymized project/document package was received</x:v>
      </x:c>
      <x:c r="E8" s="25" t="str">
        <x:v>Artifact reference in Notes</x:v>
      </x:c>
      <x:c r="F8" s="33"/>
      <x:c r="G8" s="34" t="str">
        <x:f>IF(F8="","",F8-B8)</x:f>
      </x:c>
      <x:c r="H8" s="25" t="str">
        <x:v>Needed before workflow validation</x:v>
      </x:c>
    </x:row>
    <x:row r="9" ht="42" customHeight="1">
      <x:c r="A9" s="31" t="str">
        <x:v>Discovery completed</x:v>
      </x:c>
      <x:c r="B9" s="32" t="n">
        <x:f>COUNTIFS('Pilot Shortlist'!$B$5:$B$107,"A1 — Запуск пилота 30–45 дней",'Pilot Shortlist'!$S$5:$S$107,"4 — Discovery проведено")+COUNTIFS('Pilot Shortlist'!$B$5:$B$107,"A1 — Запуск пилота 30–45 дней",'Pilot Shortlist'!$S$5:$S$107,"5 — Пілот погоджено")+COUNTIFS('Pilot Shortlist'!$B$5:$B$107,"A1 — Запуск пилота 30–45 дней",'Pilot Shortlist'!$S$5:$S$107,"6 — Пілот стартував")</x:f>
        <x:v>0</x:v>
      </x:c>
      <x:c r="C9" s="29" t="n">
        <x:f>IFERROR(B9/B8,0)</x:f>
        <x:v>0</x:v>
      </x:c>
      <x:c r="D9" s="25" t="str">
        <x:v>20-minute call or workflow review completed</x:v>
      </x:c>
      <x:c r="E9" s="25" t="str">
        <x:v>Date + result in Notes</x:v>
      </x:c>
      <x:c r="F9" s="33"/>
      <x:c r="G9" s="34" t="str">
        <x:f>IF(F9="","",F9-B9)</x:f>
      </x:c>
      <x:c r="H9" s="25" t="str">
        <x:v>Confirm own execution and PТО workflow</x:v>
      </x:c>
    </x:row>
    <x:row r="10" ht="42" customHeight="1">
      <x:c r="A10" s="31" t="str">
        <x:v>Pilot agreed</x:v>
      </x:c>
      <x:c r="B10" s="32" t="n">
        <x:f>COUNTIFS('Pilot Shortlist'!$B$5:$B$107,"A1 — Запуск пилота 30–45 дней",'Pilot Shortlist'!$V$5:$V$107,TRUE)</x:f>
        <x:v>0</x:v>
      </x:c>
      <x:c r="C10" s="29" t="n">
        <x:f>IFERROR(B10/B9,0)</x:f>
        <x:v>0</x:v>
      </x:c>
      <x:c r="D10" s="25" t="str">
        <x:v>Explicit acceptance of a free 30–45 day pilot</x:v>
      </x:c>
      <x:c r="E10" s="25" t="str">
        <x:v>Agreement evidence in Pilot Shortlist</x:v>
      </x:c>
      <x:c r="F10" s="33"/>
      <x:c r="G10" s="34" t="str">
        <x:f>IF(F10="","",F10-B10)</x:f>
      </x:c>
      <x:c r="H10" s="25" t="str">
        <x:v>Formula requires evidence</x:v>
      </x:c>
    </x:row>
    <x:row r="11" ht="42" customHeight="1">
      <x:c r="A11" s="31" t="str">
        <x:v>Pilot started</x:v>
      </x:c>
      <x:c r="B11" s="32" t="n">
        <x:f>COUNTIFS('Pilot Shortlist'!$B$5:$B$107,"A1 — Запуск пилота 30–45 дней",'Pilot Shortlist'!$S$5:$S$107,"6 — Пілот стартував",'Pilot Shortlist'!$W$5:$W$107,"&lt;&gt;")</x:f>
        <x:v>0</x:v>
      </x:c>
      <x:c r="C11" s="29" t="n">
        <x:f>IFERROR(B11/B10,0)</x:f>
        <x:v>0</x:v>
      </x:c>
      <x:c r="D11" s="25" t="str">
        <x:v>Pilot is operating on an agreed package</x:v>
      </x:c>
      <x:c r="E11" s="25" t="str">
        <x:v>Status 6 + start date</x:v>
      </x:c>
      <x:c r="F11" s="33"/>
      <x:c r="G11" s="34" t="str">
        <x:f>IF(F11="","",F11-B11)</x:f>
      </x:c>
      <x:c r="H11" s="25" t="str">
        <x:v>Track one accountable owner</x:v>
      </x:c>
    </x:row>
  </x:sheetData>
  <x:mergeCells>
    <x:mergeCell ref="A1:H1"/>
    <x:mergeCell ref="A2:H2"/>
  </x:mergeCells>
  <x:pageMargins left="0.7" right="0.7" top="0.75" bottom="0.75" header="0.3" footer="0.3"/>
  <x:tableParts count="1">
    <x:tablePart xmlns:r="http://schemas.openxmlformats.org/officeDocument/2006/relationships" r:id="R55d4f742b2df4d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1" hidden="0" customWidth="1"/>
    <x:col min="3" max="3" width="16"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5" hidden="0" customWidth="1"/>
    <x:col min="11" max="11" width="15" hidden="0" customWidth="1"/>
    <x:col min="12" max="12" width="40" hidden="0" customWidth="1"/>
    <x:col min="13" max="13" width="50" hidden="0" customWidth="1"/>
  </x:cols>
  <x:sheetData>
    <x:row r="1" ht="34" customHeight="1">
      <x:c r="A1" s="3" t="str">
        <x:v>Outreach Batches</x:v>
      </x:c>
      <x:c r="B1" s="3" t="str">
        <x:v>Outreach Batches</x:v>
      </x:c>
      <x:c r="C1" s="3" t="str">
        <x:v>Outreach Batches</x:v>
      </x:c>
      <x:c r="D1" s="3" t="str">
        <x:v>Outreach Batches</x:v>
      </x:c>
      <x:c r="E1" s="3" t="str">
        <x:v>Outreach Batches</x:v>
      </x:c>
      <x:c r="F1" s="3" t="str">
        <x:v>Outreach Batches</x:v>
      </x:c>
      <x:c r="G1" s="3" t="str">
        <x:v>Outreach Batches</x:v>
      </x:c>
      <x:c r="H1" s="3" t="str">
        <x:v>Outreach Batches</x:v>
      </x:c>
      <x:c r="I1" s="3" t="str">
        <x:v>Outreach Batches</x:v>
      </x:c>
      <x:c r="J1" s="3" t="str">
        <x:v>Outreach Batches</x:v>
      </x:c>
      <x:c r="K1" s="3" t="str">
        <x:v>Outreach Batches</x:v>
      </x:c>
      <x:c r="L1" s="3" t="str">
        <x:v>Outreach Batches</x:v>
      </x:c>
      <x:c r="M1" s="3" t="str">
        <x:v>Outreach Batches</x:v>
      </x:c>
    </x:row>
    <x:row r="2" ht="28" customHeight="1">
      <x:c r="A2" s="7" t="str">
        <x:v>Run one batch, review replies and objections, then release the next batch. Re-engagement is intentionally kept separate.</x:v>
      </x:c>
      <x:c r="B2" s="7" t="str">
        <x:v>Run one batch, review replies and objections, then release the next batch. Re-engagement is intentionally kept separate.</x:v>
      </x:c>
      <x:c r="C2" s="7" t="str">
        <x:v>Run one batch, review replies and objections, then release the next batch. Re-engagement is intentionally kept separate.</x:v>
      </x:c>
      <x:c r="D2" s="7" t="str">
        <x:v>Run one batch, review replies and objections, then release the next batch. Re-engagement is intentionally kept separate.</x:v>
      </x:c>
      <x:c r="E2" s="7" t="str">
        <x:v>Run one batch, review replies and objections, then release the next batch. Re-engagement is intentionally kept separate.</x:v>
      </x:c>
      <x:c r="F2" s="7" t="str">
        <x:v>Run one batch, review replies and objections, then release the next batch. Re-engagement is intentionally kept separate.</x:v>
      </x:c>
      <x:c r="G2" s="7" t="str">
        <x:v>Run one batch, review replies and objections, then release the next batch. Re-engagement is intentionally kept separate.</x:v>
      </x:c>
      <x:c r="H2" s="7" t="str">
        <x:v>Run one batch, review replies and objections, then release the next batch. Re-engagement is intentionally kept separate.</x:v>
      </x:c>
      <x:c r="I2" s="7" t="str">
        <x:v>Run one batch, review replies and objections, then release the next batch. Re-engagement is intentionally kept separate.</x:v>
      </x:c>
      <x:c r="J2" s="7" t="str">
        <x:v>Run one batch, review replies and objections, then release the next batch. Re-engagement is intentionally kept separate.</x:v>
      </x:c>
      <x:c r="K2" s="7" t="str">
        <x:v>Run one batch, review replies and objections, then release the next batch. Re-engagement is intentionally kept separate.</x:v>
      </x:c>
      <x:c r="L2" s="7" t="str">
        <x:v>Run one batch, review replies and objections, then release the next batch. Re-engagement is intentionally kept separate.</x:v>
      </x:c>
      <x:c r="M2" s="7" t="str">
        <x:v>Run one batch, review replies and objections, then release the next batch. Re-engagement is intentionally kept separate.</x:v>
      </x:c>
    </x:row>
    <x:row r="4" ht="34" customHeight="1">
      <x:c r="A4" s="16" t="str">
        <x:v>Batch</x:v>
      </x:c>
      <x:c r="B4" s="17" t="str">
        <x:v>Group</x:v>
      </x:c>
      <x:c r="C4" s="17" t="str">
        <x:v>Queue</x:v>
      </x:c>
      <x:c r="D4" s="17" t="str">
        <x:v>Candidates</x:v>
      </x:c>
      <x:c r="E4" s="17" t="str">
        <x:v>Invited</x:v>
      </x:c>
      <x:c r="F4" s="17" t="str">
        <x:v>Interested</x:v>
      </x:c>
      <x:c r="G4" s="17" t="str">
        <x:v>Artifact</x:v>
      </x:c>
      <x:c r="H4" s="17" t="str">
        <x:v>Discovery</x:v>
      </x:c>
      <x:c r="I4" s="17" t="str">
        <x:v>Agreed</x:v>
      </x:c>
      <x:c r="J4" s="17" t="str">
        <x:v>Reply rate</x:v>
      </x:c>
      <x:c r="K4" s="17" t="str">
        <x:v>Agreement rate</x:v>
      </x:c>
      <x:c r="L4" s="17" t="str">
        <x:v>Release rule</x:v>
      </x:c>
      <x:c r="M4" s="18" t="str">
        <x:v>First companies</x:v>
      </x:c>
    </x:row>
    <x:row r="5" ht="38" customHeight="1">
      <x:c r="A5" s="35" t="str">
        <x:v>A1-N01</x:v>
      </x:c>
      <x:c r="B5" s="20" t="str">
        <x:v>A1 — Запуск пилота 30–45 дней</x:v>
      </x:c>
      <x:c r="C5" s="20" t="str">
        <x:v>New outbound</x:v>
      </x:c>
      <x:c r="D5" s="22" t="n">
        <x:f>COUNTIF('Pilot Shortlist'!$D$5:$D$107,A5)</x:f>
        <x:v>10</x:v>
      </x:c>
      <x:c r="E5" s="22" t="n">
        <x:f>COUNTIFS('Pilot Shortlist'!$D$5:$D$107,A5,'Pilot Shortlist'!$S$5:$S$107,"1 — Запрошення надіслано")+COUNTIFS('Pilot Shortlist'!$D$5:$D$107,A5,'Pilot Shortlist'!$S$5:$S$107,"2 — Відповів / цікаво")+COUNTIFS('Pilot Shortlist'!$D$5:$D$107,A5,'Pilot Shortlist'!$S$5:$S$107,"3 — Артефакт отримано")+COUNTIFS('Pilot Shortlist'!$D$5:$D$107,A5,'Pilot Shortlist'!$S$5:$S$107,"4 — Discovery проведено")+COUNTIFS('Pilot Shortlist'!$D$5:$D$107,A5,'Pilot Shortlist'!$S$5:$S$107,"5 — Пілот погоджено")+COUNTIFS('Pilot Shortlist'!$D$5:$D$107,A5,'Pilot Shortlist'!$S$5:$S$107,"6 — Пілот стартував")+COUNTIFS('Pilot Shortlist'!$D$5:$D$107,A5,'Pilot Shortlist'!$S$5:$S$107,"7 — Не зараз")+COUNTIFS('Pilot Shortlist'!$D$5:$D$107,A5,'Pilot Shortlist'!$S$5:$S$107,"8 — Відмова")+COUNTIFS('Pilot Shortlist'!$D$5:$D$107,A5,'Pilot Shortlist'!$S$5:$S$107,"9 — Не fit")</x:f>
        <x:v>0</x:v>
      </x:c>
      <x:c r="F5" s="22" t="n">
        <x:f>COUNTIFS('Pilot Shortlist'!$D$5:$D$107,A5,'Pilot Shortlist'!$T$5:$T$107,TRUE)</x:f>
        <x:v>0</x:v>
      </x:c>
      <x:c r="G5" s="22" t="n">
        <x:f>COUNTIFS('Pilot Shortlist'!$D$5:$D$107,A5,'Pilot Shortlist'!$U$5:$U$107,TRUE)</x:f>
        <x:v>0</x:v>
      </x:c>
      <x:c r="H5" s="22" t="n">
        <x:f>COUNTIFS('Pilot Shortlist'!$D$5:$D$107,A5,'Pilot Shortlist'!$S$5:$S$107,"4 — Discovery проведено")+COUNTIFS('Pilot Shortlist'!$D$5:$D$107,A5,'Pilot Shortlist'!$S$5:$S$107,"5 — Пілот погоджено")+COUNTIFS('Pilot Shortlist'!$D$5:$D$107,A5,'Pilot Shortlist'!$S$5:$S$107,"6 — Пілот стартував")</x:f>
        <x:v>0</x:v>
      </x:c>
      <x:c r="I5" s="22" t="n">
        <x:f>COUNTIFS('Pilot Shortlist'!$D$5:$D$107,A5,'Pilot Shortlist'!$V$5:$V$107,TRUE)</x:f>
        <x:v>0</x:v>
      </x:c>
      <x:c r="J5" s="29" t="n">
        <x:f>IFERROR(F5/E5,0)</x:f>
        <x:v>0</x:v>
      </x:c>
      <x:c r="K5" s="29" t="n">
        <x:f>IFERROR(I5/E5,0)</x:f>
        <x:v>0</x:v>
      </x:c>
      <x:c r="L5" s="25" t="str">
        <x:v>Send first; review after 10</x:v>
      </x:c>
      <x:c r="M5" s="25" t="str">
        <x:v>ТОВ "МІСТО ЕНЕРДЖІ"; ТОВ "АЛЬТЕКО2019"; ДОЧІРНЄ ПІДПРИЄМСТВО "ВІННИЦЬКА МЕХАНІЗОВАНА КОЛОНА" ПРИВАТНОГО АКЦІОНЕРНОГО ТОВАРИСТВА "КИЇВСІЛЬЕЛЕКТРО"</x:v>
      </x:c>
    </x:row>
    <x:row r="6" ht="38" customHeight="1">
      <x:c r="A6" s="35" t="str">
        <x:v>A1-N02</x:v>
      </x:c>
      <x:c r="B6" s="20" t="str">
        <x:v>A1 — Запуск пилота 30–45 дней</x:v>
      </x:c>
      <x:c r="C6" s="20" t="str">
        <x:v>New outbound</x:v>
      </x:c>
      <x:c r="D6" s="22" t="n">
        <x:f>COUNTIF('Pilot Shortlist'!$D$5:$D$107,A6)</x:f>
        <x:v>9</x:v>
      </x:c>
      <x:c r="E6" s="22" t="n">
        <x:f>COUNTIFS('Pilot Shortlist'!$D$5:$D$107,A6,'Pilot Shortlist'!$S$5:$S$107,"1 — Запрошення надіслано")+COUNTIFS('Pilot Shortlist'!$D$5:$D$107,A6,'Pilot Shortlist'!$S$5:$S$107,"2 — Відповів / цікаво")+COUNTIFS('Pilot Shortlist'!$D$5:$D$107,A6,'Pilot Shortlist'!$S$5:$S$107,"3 — Артефакт отримано")+COUNTIFS('Pilot Shortlist'!$D$5:$D$107,A6,'Pilot Shortlist'!$S$5:$S$107,"4 — Discovery проведено")+COUNTIFS('Pilot Shortlist'!$D$5:$D$107,A6,'Pilot Shortlist'!$S$5:$S$107,"5 — Пілот погоджено")+COUNTIFS('Pilot Shortlist'!$D$5:$D$107,A6,'Pilot Shortlist'!$S$5:$S$107,"6 — Пілот стартував")+COUNTIFS('Pilot Shortlist'!$D$5:$D$107,A6,'Pilot Shortlist'!$S$5:$S$107,"7 — Не зараз")+COUNTIFS('Pilot Shortlist'!$D$5:$D$107,A6,'Pilot Shortlist'!$S$5:$S$107,"8 — Відмова")+COUNTIFS('Pilot Shortlist'!$D$5:$D$107,A6,'Pilot Shortlist'!$S$5:$S$107,"9 — Не fit")</x:f>
        <x:v>0</x:v>
      </x:c>
      <x:c r="F6" s="22" t="n">
        <x:f>COUNTIFS('Pilot Shortlist'!$D$5:$D$107,A6,'Pilot Shortlist'!$T$5:$T$107,TRUE)</x:f>
        <x:v>0</x:v>
      </x:c>
      <x:c r="G6" s="22" t="n">
        <x:f>COUNTIFS('Pilot Shortlist'!$D$5:$D$107,A6,'Pilot Shortlist'!$U$5:$U$107,TRUE)</x:f>
        <x:v>0</x:v>
      </x:c>
      <x:c r="H6" s="22" t="n">
        <x:f>COUNTIFS('Pilot Shortlist'!$D$5:$D$107,A6,'Pilot Shortlist'!$S$5:$S$107,"4 — Discovery проведено")+COUNTIFS('Pilot Shortlist'!$D$5:$D$107,A6,'Pilot Shortlist'!$S$5:$S$107,"5 — Пілот погоджено")+COUNTIFS('Pilot Shortlist'!$D$5:$D$107,A6,'Pilot Shortlist'!$S$5:$S$107,"6 — Пілот стартував")</x:f>
        <x:v>0</x:v>
      </x:c>
      <x:c r="I6" s="22" t="n">
        <x:f>COUNTIFS('Pilot Shortlist'!$D$5:$D$107,A6,'Pilot Shortlist'!$V$5:$V$107,TRUE)</x:f>
        <x:v>0</x:v>
      </x:c>
      <x:c r="J6" s="29" t="n">
        <x:f>IFERROR(F6/E6,0)</x:f>
        <x:v>0</x:v>
      </x:c>
      <x:c r="K6" s="29" t="n">
        <x:f>IFERROR(I6/E6,0)</x:f>
        <x:v>0</x:v>
      </x:c>
      <x:c r="L6" s="25" t="str">
        <x:v>Release only after prior A1 batch review</x:v>
      </x:c>
      <x:c r="M6" s="25" t="str">
        <x:v>ТОВ "Енергобуд-5"; ТОВ "ІНЕК ІНЖИНІРИНГ"; ПРИВАТНЕ ПІДПРИЄМСТВО "СПЕЦСЕРВІС"</x:v>
      </x:c>
    </x:row>
    <x:row r="7" ht="38" customHeight="1">
      <x:c r="A7" s="35" t="str">
        <x:v>A1-R01</x:v>
      </x:c>
      <x:c r="B7" s="20" t="str">
        <x:v>A1 — Запуск пилота 30–45 дней</x:v>
      </x:c>
      <x:c r="C7" s="20" t="str">
        <x:v>Re-engagement</x:v>
      </x:c>
      <x:c r="D7" s="22" t="n">
        <x:f>COUNTIF('Pilot Shortlist'!$D$5:$D$107,A7)</x:f>
        <x:v>2</x:v>
      </x:c>
      <x:c r="E7" s="22" t="n">
        <x:f>COUNTIFS('Pilot Shortlist'!$D$5:$D$107,A7,'Pilot Shortlist'!$S$5:$S$107,"1 — Запрошення надіслано")+COUNTIFS('Pilot Shortlist'!$D$5:$D$107,A7,'Pilot Shortlist'!$S$5:$S$107,"2 — Відповів / цікаво")+COUNTIFS('Pilot Shortlist'!$D$5:$D$107,A7,'Pilot Shortlist'!$S$5:$S$107,"3 — Артефакт отримано")+COUNTIFS('Pilot Shortlist'!$D$5:$D$107,A7,'Pilot Shortlist'!$S$5:$S$107,"4 — Discovery проведено")+COUNTIFS('Pilot Shortlist'!$D$5:$D$107,A7,'Pilot Shortlist'!$S$5:$S$107,"5 — Пілот погоджено")+COUNTIFS('Pilot Shortlist'!$D$5:$D$107,A7,'Pilot Shortlist'!$S$5:$S$107,"6 — Пілот стартував")+COUNTIFS('Pilot Shortlist'!$D$5:$D$107,A7,'Pilot Shortlist'!$S$5:$S$107,"7 — Не зараз")+COUNTIFS('Pilot Shortlist'!$D$5:$D$107,A7,'Pilot Shortlist'!$S$5:$S$107,"8 — Відмова")+COUNTIFS('Pilot Shortlist'!$D$5:$D$107,A7,'Pilot Shortlist'!$S$5:$S$107,"9 — Не fit")</x:f>
        <x:v>2</x:v>
      </x:c>
      <x:c r="F7" s="22" t="n">
        <x:f>COUNTIFS('Pilot Shortlist'!$D$5:$D$107,A7,'Pilot Shortlist'!$T$5:$T$107,TRUE)</x:f>
        <x:v>0</x:v>
      </x:c>
      <x:c r="G7" s="22" t="n">
        <x:f>COUNTIFS('Pilot Shortlist'!$D$5:$D$107,A7,'Pilot Shortlist'!$U$5:$U$107,TRUE)</x:f>
        <x:v>0</x:v>
      </x:c>
      <x:c r="H7" s="22" t="n">
        <x:f>COUNTIFS('Pilot Shortlist'!$D$5:$D$107,A7,'Pilot Shortlist'!$S$5:$S$107,"4 — Discovery проведено")+COUNTIFS('Pilot Shortlist'!$D$5:$D$107,A7,'Pilot Shortlist'!$S$5:$S$107,"5 — Пілот погоджено")+COUNTIFS('Pilot Shortlist'!$D$5:$D$107,A7,'Pilot Shortlist'!$S$5:$S$107,"6 — Пілот стартував")</x:f>
        <x:v>0</x:v>
      </x:c>
      <x:c r="I7" s="22" t="n">
        <x:f>COUNTIFS('Pilot Shortlist'!$D$5:$D$107,A7,'Pilot Shortlist'!$V$5:$V$107,TRUE)</x:f>
        <x:v>0</x:v>
      </x:c>
      <x:c r="J7" s="29" t="n">
        <x:f>IFERROR(F7/E7,0)</x:f>
        <x:v>0</x:v>
      </x:c>
      <x:c r="K7" s="29" t="n">
        <x:f>IFERROR(I7/E7,0)</x:f>
        <x:v>0</x:v>
      </x:c>
      <x:c r="L7" s="25" t="str">
        <x:v>Re-engage with a new tender signal</x:v>
      </x:c>
      <x:c r="M7" s="25" t="str">
        <x:v>ТОВ «ЕНЕРДЖІ ГРУП»; ТОВ «ЕЛЕКТРОПОЛЮС-ІФ»</x:v>
      </x:c>
    </x:row>
    <x:row r="8" ht="38" customHeight="1">
      <x:c r="A8" s="35" t="str">
        <x:v>A2-N01</x:v>
      </x:c>
      <x:c r="B8" s="20" t="str">
        <x:v>A2 — Квалификация перед пилотом</x:v>
      </x:c>
      <x:c r="C8" s="20" t="str">
        <x:v>New outbound</x:v>
      </x:c>
      <x:c r="D8" s="22" t="n">
        <x:f>COUNTIF('Pilot Shortlist'!$D$5:$D$107,A8)</x:f>
        <x:v>10</x:v>
      </x:c>
      <x:c r="E8" s="22" t="n">
        <x:f>COUNTIFS('Pilot Shortlist'!$D$5:$D$107,A8,'Pilot Shortlist'!$S$5:$S$107,"1 — Запрошення надіслано")+COUNTIFS('Pilot Shortlist'!$D$5:$D$107,A8,'Pilot Shortlist'!$S$5:$S$107,"2 — Відповів / цікаво")+COUNTIFS('Pilot Shortlist'!$D$5:$D$107,A8,'Pilot Shortlist'!$S$5:$S$107,"3 — Артефакт отримано")+COUNTIFS('Pilot Shortlist'!$D$5:$D$107,A8,'Pilot Shortlist'!$S$5:$S$107,"4 — Discovery проведено")+COUNTIFS('Pilot Shortlist'!$D$5:$D$107,A8,'Pilot Shortlist'!$S$5:$S$107,"5 — Пілот погоджено")+COUNTIFS('Pilot Shortlist'!$D$5:$D$107,A8,'Pilot Shortlist'!$S$5:$S$107,"6 — Пілот стартував")+COUNTIFS('Pilot Shortlist'!$D$5:$D$107,A8,'Pilot Shortlist'!$S$5:$S$107,"7 — Не зараз")+COUNTIFS('Pilot Shortlist'!$D$5:$D$107,A8,'Pilot Shortlist'!$S$5:$S$107,"8 — Відмова")+COUNTIFS('Pilot Shortlist'!$D$5:$D$107,A8,'Pilot Shortlist'!$S$5:$S$107,"9 — Не fit")</x:f>
        <x:v>0</x:v>
      </x:c>
      <x:c r="F8" s="22" t="n">
        <x:f>COUNTIFS('Pilot Shortlist'!$D$5:$D$107,A8,'Pilot Shortlist'!$T$5:$T$107,TRUE)</x:f>
        <x:v>0</x:v>
      </x:c>
      <x:c r="G8" s="22" t="n">
        <x:f>COUNTIFS('Pilot Shortlist'!$D$5:$D$107,A8,'Pilot Shortlist'!$U$5:$U$107,TRUE)</x:f>
        <x:v>0</x:v>
      </x:c>
      <x:c r="H8" s="22" t="n">
        <x:f>COUNTIFS('Pilot Shortlist'!$D$5:$D$107,A8,'Pilot Shortlist'!$S$5:$S$107,"4 — Discovery проведено")+COUNTIFS('Pilot Shortlist'!$D$5:$D$107,A8,'Pilot Shortlist'!$S$5:$S$107,"5 — Пілот погоджено")+COUNTIFS('Pilot Shortlist'!$D$5:$D$107,A8,'Pilot Shortlist'!$S$5:$S$107,"6 — Пілот стартував")</x:f>
        <x:v>0</x:v>
      </x:c>
      <x:c r="I8" s="22" t="n">
        <x:f>COUNTIFS('Pilot Shortlist'!$D$5:$D$107,A8,'Pilot Shortlist'!$V$5:$V$107,TRUE)</x:f>
        <x:v>0</x:v>
      </x:c>
      <x:c r="J8" s="29" t="n">
        <x:f>IFERROR(F8/E8,0)</x:f>
        <x:v>0</x:v>
      </x:c>
      <x:c r="K8" s="29" t="n">
        <x:f>IFERROR(I8/E8,0)</x:f>
        <x:v>0</x:v>
      </x:c>
      <x:c r="L8" s="25" t="str">
        <x:v>Qualify own execution + PТО before pilot offer</x:v>
      </x:c>
      <x:c r="M8" s="25" t="str">
        <x:v>ТОВ "ТЕПЛО-КВАР"; ПРИВАТНЕ ПІДПРИЄМСТВО " ВЕКТОР - А "; ТОВ "ПП ВІВ"</x:v>
      </x:c>
    </x:row>
    <x:row r="9" ht="38" customHeight="1">
      <x:c r="A9" s="35" t="str">
        <x:v>A2-N02</x:v>
      </x:c>
      <x:c r="B9" s="20" t="str">
        <x:v>A2 — Квалификация перед пилотом</x:v>
      </x:c>
      <x:c r="C9" s="20" t="str">
        <x:v>New outbound</x:v>
      </x:c>
      <x:c r="D9" s="22" t="n">
        <x:f>COUNTIF('Pilot Shortlist'!$D$5:$D$107,A9)</x:f>
        <x:v>10</x:v>
      </x:c>
      <x:c r="E9" s="22" t="n">
        <x:f>COUNTIFS('Pilot Shortlist'!$D$5:$D$107,A9,'Pilot Shortlist'!$S$5:$S$107,"1 — Запрошення надіслано")+COUNTIFS('Pilot Shortlist'!$D$5:$D$107,A9,'Pilot Shortlist'!$S$5:$S$107,"2 — Відповів / цікаво")+COUNTIFS('Pilot Shortlist'!$D$5:$D$107,A9,'Pilot Shortlist'!$S$5:$S$107,"3 — Артефакт отримано")+COUNTIFS('Pilot Shortlist'!$D$5:$D$107,A9,'Pilot Shortlist'!$S$5:$S$107,"4 — Discovery проведено")+COUNTIFS('Pilot Shortlist'!$D$5:$D$107,A9,'Pilot Shortlist'!$S$5:$S$107,"5 — Пілот погоджено")+COUNTIFS('Pilot Shortlist'!$D$5:$D$107,A9,'Pilot Shortlist'!$S$5:$S$107,"6 — Пілот стартував")+COUNTIFS('Pilot Shortlist'!$D$5:$D$107,A9,'Pilot Shortlist'!$S$5:$S$107,"7 — Не зараз")+COUNTIFS('Pilot Shortlist'!$D$5:$D$107,A9,'Pilot Shortlist'!$S$5:$S$107,"8 — Відмова")+COUNTIFS('Pilot Shortlist'!$D$5:$D$107,A9,'Pilot Shortlist'!$S$5:$S$107,"9 — Не fit")</x:f>
        <x:v>0</x:v>
      </x:c>
      <x:c r="F9" s="22" t="n">
        <x:f>COUNTIFS('Pilot Shortlist'!$D$5:$D$107,A9,'Pilot Shortlist'!$T$5:$T$107,TRUE)</x:f>
        <x:v>0</x:v>
      </x:c>
      <x:c r="G9" s="22" t="n">
        <x:f>COUNTIFS('Pilot Shortlist'!$D$5:$D$107,A9,'Pilot Shortlist'!$U$5:$U$107,TRUE)</x:f>
        <x:v>0</x:v>
      </x:c>
      <x:c r="H9" s="22" t="n">
        <x:f>COUNTIFS('Pilot Shortlist'!$D$5:$D$107,A9,'Pilot Shortlist'!$S$5:$S$107,"4 — Discovery проведено")+COUNTIFS('Pilot Shortlist'!$D$5:$D$107,A9,'Pilot Shortlist'!$S$5:$S$107,"5 — Пілот погоджено")+COUNTIFS('Pilot Shortlist'!$D$5:$D$107,A9,'Pilot Shortlist'!$S$5:$S$107,"6 — Пілот стартував")</x:f>
        <x:v>0</x:v>
      </x:c>
      <x:c r="I9" s="22" t="n">
        <x:f>COUNTIFS('Pilot Shortlist'!$D$5:$D$107,A9,'Pilot Shortlist'!$V$5:$V$107,TRUE)</x:f>
        <x:v>0</x:v>
      </x:c>
      <x:c r="J9" s="29" t="n">
        <x:f>IFERROR(F9/E9,0)</x:f>
        <x:v>0</x:v>
      </x:c>
      <x:c r="K9" s="29" t="n">
        <x:f>IFERROR(I9/E9,0)</x:f>
        <x:v>0</x:v>
      </x:c>
      <x:c r="L9" s="25" t="str">
        <x:v>Qualify own execution + PТО before pilot offer</x:v>
      </x:c>
      <x:c r="M9" s="25" t="str">
        <x:v>ТОВ "БУДІВЕЛЬНА КОМПАНІЯ "МІСТОБУДІВНИК"; ТОВ "ПРОМТЕПЛОТЕХСЕРВІС"; ТОВ "ЕНЕРГО ЛАЙН"</x:v>
      </x:c>
    </x:row>
    <x:row r="10" ht="38" customHeight="1">
      <x:c r="A10" s="35" t="str">
        <x:v>A2-N03</x:v>
      </x:c>
      <x:c r="B10" s="20" t="str">
        <x:v>A2 — Квалификация перед пилотом</x:v>
      </x:c>
      <x:c r="C10" s="20" t="str">
        <x:v>New outbound</x:v>
      </x:c>
      <x:c r="D10" s="22" t="n">
        <x:f>COUNTIF('Pilot Shortlist'!$D$5:$D$107,A10)</x:f>
        <x:v>10</x:v>
      </x:c>
      <x:c r="E10" s="22" t="n">
        <x:f>COUNTIFS('Pilot Shortlist'!$D$5:$D$107,A10,'Pilot Shortlist'!$S$5:$S$107,"1 — Запрошення надіслано")+COUNTIFS('Pilot Shortlist'!$D$5:$D$107,A10,'Pilot Shortlist'!$S$5:$S$107,"2 — Відповів / цікаво")+COUNTIFS('Pilot Shortlist'!$D$5:$D$107,A10,'Pilot Shortlist'!$S$5:$S$107,"3 — Артефакт отримано")+COUNTIFS('Pilot Shortlist'!$D$5:$D$107,A10,'Pilot Shortlist'!$S$5:$S$107,"4 — Discovery проведено")+COUNTIFS('Pilot Shortlist'!$D$5:$D$107,A10,'Pilot Shortlist'!$S$5:$S$107,"5 — Пілот погоджено")+COUNTIFS('Pilot Shortlist'!$D$5:$D$107,A10,'Pilot Shortlist'!$S$5:$S$107,"6 — Пілот стартував")+COUNTIFS('Pilot Shortlist'!$D$5:$D$107,A10,'Pilot Shortlist'!$S$5:$S$107,"7 — Не зараз")+COUNTIFS('Pilot Shortlist'!$D$5:$D$107,A10,'Pilot Shortlist'!$S$5:$S$107,"8 — Відмова")+COUNTIFS('Pilot Shortlist'!$D$5:$D$107,A10,'Pilot Shortlist'!$S$5:$S$107,"9 — Не fit")</x:f>
        <x:v>0</x:v>
      </x:c>
      <x:c r="F10" s="22" t="n">
        <x:f>COUNTIFS('Pilot Shortlist'!$D$5:$D$107,A10,'Pilot Shortlist'!$T$5:$T$107,TRUE)</x:f>
        <x:v>0</x:v>
      </x:c>
      <x:c r="G10" s="22" t="n">
        <x:f>COUNTIFS('Pilot Shortlist'!$D$5:$D$107,A10,'Pilot Shortlist'!$U$5:$U$107,TRUE)</x:f>
        <x:v>0</x:v>
      </x:c>
      <x:c r="H10" s="22" t="n">
        <x:f>COUNTIFS('Pilot Shortlist'!$D$5:$D$107,A10,'Pilot Shortlist'!$S$5:$S$107,"4 — Discovery проведено")+COUNTIFS('Pilot Shortlist'!$D$5:$D$107,A10,'Pilot Shortlist'!$S$5:$S$107,"5 — Пілот погоджено")+COUNTIFS('Pilot Shortlist'!$D$5:$D$107,A10,'Pilot Shortlist'!$S$5:$S$107,"6 — Пілот стартував")</x:f>
        <x:v>0</x:v>
      </x:c>
      <x:c r="I10" s="22" t="n">
        <x:f>COUNTIFS('Pilot Shortlist'!$D$5:$D$107,A10,'Pilot Shortlist'!$V$5:$V$107,TRUE)</x:f>
        <x:v>0</x:v>
      </x:c>
      <x:c r="J10" s="29" t="n">
        <x:f>IFERROR(F10/E10,0)</x:f>
        <x:v>0</x:v>
      </x:c>
      <x:c r="K10" s="29" t="n">
        <x:f>IFERROR(I10/E10,0)</x:f>
        <x:v>0</x:v>
      </x:c>
      <x:c r="L10" s="25" t="str">
        <x:v>Qualify own execution + PТО before pilot offer</x:v>
      </x:c>
      <x:c r="M10" s="25" t="str">
        <x:v>ПРИВАТНЕ ПІДПРИЄМСТВО "ЄВРОБУД 2018"; ФОП Струк Сергій Васильович; ТОВ "УБПГ ПРОМІНЬ"</x:v>
      </x:c>
    </x:row>
    <x:row r="11" ht="38" customHeight="1">
      <x:c r="A11" s="35" t="str">
        <x:v>A2-N04</x:v>
      </x:c>
      <x:c r="B11" s="20" t="str">
        <x:v>A2 — Квалификация перед пилотом</x:v>
      </x:c>
      <x:c r="C11" s="20" t="str">
        <x:v>New outbound</x:v>
      </x:c>
      <x:c r="D11" s="22" t="n">
        <x:f>COUNTIF('Pilot Shortlist'!$D$5:$D$107,A11)</x:f>
        <x:v>10</x:v>
      </x:c>
      <x:c r="E11" s="22" t="n">
        <x:f>COUNTIFS('Pilot Shortlist'!$D$5:$D$107,A11,'Pilot Shortlist'!$S$5:$S$107,"1 — Запрошення надіслано")+COUNTIFS('Pilot Shortlist'!$D$5:$D$107,A11,'Pilot Shortlist'!$S$5:$S$107,"2 — Відповів / цікаво")+COUNTIFS('Pilot Shortlist'!$D$5:$D$107,A11,'Pilot Shortlist'!$S$5:$S$107,"3 — Артефакт отримано")+COUNTIFS('Pilot Shortlist'!$D$5:$D$107,A11,'Pilot Shortlist'!$S$5:$S$107,"4 — Discovery проведено")+COUNTIFS('Pilot Shortlist'!$D$5:$D$107,A11,'Pilot Shortlist'!$S$5:$S$107,"5 — Пілот погоджено")+COUNTIFS('Pilot Shortlist'!$D$5:$D$107,A11,'Pilot Shortlist'!$S$5:$S$107,"6 — Пілот стартував")+COUNTIFS('Pilot Shortlist'!$D$5:$D$107,A11,'Pilot Shortlist'!$S$5:$S$107,"7 — Не зараз")+COUNTIFS('Pilot Shortlist'!$D$5:$D$107,A11,'Pilot Shortlist'!$S$5:$S$107,"8 — Відмова")+COUNTIFS('Pilot Shortlist'!$D$5:$D$107,A11,'Pilot Shortlist'!$S$5:$S$107,"9 — Не fit")</x:f>
        <x:v>0</x:v>
      </x:c>
      <x:c r="F11" s="22" t="n">
        <x:f>COUNTIFS('Pilot Shortlist'!$D$5:$D$107,A11,'Pilot Shortlist'!$T$5:$T$107,TRUE)</x:f>
        <x:v>0</x:v>
      </x:c>
      <x:c r="G11" s="22" t="n">
        <x:f>COUNTIFS('Pilot Shortlist'!$D$5:$D$107,A11,'Pilot Shortlist'!$U$5:$U$107,TRUE)</x:f>
        <x:v>0</x:v>
      </x:c>
      <x:c r="H11" s="22" t="n">
        <x:f>COUNTIFS('Pilot Shortlist'!$D$5:$D$107,A11,'Pilot Shortlist'!$S$5:$S$107,"4 — Discovery проведено")+COUNTIFS('Pilot Shortlist'!$D$5:$D$107,A11,'Pilot Shortlist'!$S$5:$S$107,"5 — Пілот погоджено")+COUNTIFS('Pilot Shortlist'!$D$5:$D$107,A11,'Pilot Shortlist'!$S$5:$S$107,"6 — Пілот стартував")</x:f>
        <x:v>0</x:v>
      </x:c>
      <x:c r="I11" s="22" t="n">
        <x:f>COUNTIFS('Pilot Shortlist'!$D$5:$D$107,A11,'Pilot Shortlist'!$V$5:$V$107,TRUE)</x:f>
        <x:v>0</x:v>
      </x:c>
      <x:c r="J11" s="29" t="n">
        <x:f>IFERROR(F11/E11,0)</x:f>
        <x:v>0</x:v>
      </x:c>
      <x:c r="K11" s="29" t="n">
        <x:f>IFERROR(I11/E11,0)</x:f>
        <x:v>0</x:v>
      </x:c>
      <x:c r="L11" s="25" t="str">
        <x:v>Qualify own execution + PТО before pilot offer</x:v>
      </x:c>
      <x:c r="M11" s="25" t="str">
        <x:v>ТОВ «ФІРМА «МЖК-СЕРВІС»; ПРИВАТНЕ ПІДПРИЄМСТВО «ЕЛЕ­КТРО­ПРОМ­ТЕХ»; ТОВ "БК ЕНЕРГО-МОНТАЖ"</x:v>
      </x:c>
    </x:row>
    <x:row r="12" ht="38" customHeight="1">
      <x:c r="A12" s="35" t="str">
        <x:v>A2-N05</x:v>
      </x:c>
      <x:c r="B12" s="20" t="str">
        <x:v>A2 — Квалификация перед пилотом</x:v>
      </x:c>
      <x:c r="C12" s="20" t="str">
        <x:v>New outbound</x:v>
      </x:c>
      <x:c r="D12" s="22" t="n">
        <x:f>COUNTIF('Pilot Shortlist'!$D$5:$D$107,A12)</x:f>
        <x:v>10</x:v>
      </x:c>
      <x:c r="E12" s="22" t="n">
        <x:f>COUNTIFS('Pilot Shortlist'!$D$5:$D$107,A12,'Pilot Shortlist'!$S$5:$S$107,"1 — Запрошення надіслано")+COUNTIFS('Pilot Shortlist'!$D$5:$D$107,A12,'Pilot Shortlist'!$S$5:$S$107,"2 — Відповів / цікаво")+COUNTIFS('Pilot Shortlist'!$D$5:$D$107,A12,'Pilot Shortlist'!$S$5:$S$107,"3 — Артефакт отримано")+COUNTIFS('Pilot Shortlist'!$D$5:$D$107,A12,'Pilot Shortlist'!$S$5:$S$107,"4 — Discovery проведено")+COUNTIFS('Pilot Shortlist'!$D$5:$D$107,A12,'Pilot Shortlist'!$S$5:$S$107,"5 — Пілот погоджено")+COUNTIFS('Pilot Shortlist'!$D$5:$D$107,A12,'Pilot Shortlist'!$S$5:$S$107,"6 — Пілот стартував")+COUNTIFS('Pilot Shortlist'!$D$5:$D$107,A12,'Pilot Shortlist'!$S$5:$S$107,"7 — Не зараз")+COUNTIFS('Pilot Shortlist'!$D$5:$D$107,A12,'Pilot Shortlist'!$S$5:$S$107,"8 — Відмова")+COUNTIFS('Pilot Shortlist'!$D$5:$D$107,A12,'Pilot Shortlist'!$S$5:$S$107,"9 — Не fit")</x:f>
        <x:v>0</x:v>
      </x:c>
      <x:c r="F12" s="22" t="n">
        <x:f>COUNTIFS('Pilot Shortlist'!$D$5:$D$107,A12,'Pilot Shortlist'!$T$5:$T$107,TRUE)</x:f>
        <x:v>0</x:v>
      </x:c>
      <x:c r="G12" s="22" t="n">
        <x:f>COUNTIFS('Pilot Shortlist'!$D$5:$D$107,A12,'Pilot Shortlist'!$U$5:$U$107,TRUE)</x:f>
        <x:v>0</x:v>
      </x:c>
      <x:c r="H12" s="22" t="n">
        <x:f>COUNTIFS('Pilot Shortlist'!$D$5:$D$107,A12,'Pilot Shortlist'!$S$5:$S$107,"4 — Discovery проведено")+COUNTIFS('Pilot Shortlist'!$D$5:$D$107,A12,'Pilot Shortlist'!$S$5:$S$107,"5 — Пілот погоджено")+COUNTIFS('Pilot Shortlist'!$D$5:$D$107,A12,'Pilot Shortlist'!$S$5:$S$107,"6 — Пілот стартував")</x:f>
        <x:v>0</x:v>
      </x:c>
      <x:c r="I12" s="22" t="n">
        <x:f>COUNTIFS('Pilot Shortlist'!$D$5:$D$107,A12,'Pilot Shortlist'!$V$5:$V$107,TRUE)</x:f>
        <x:v>0</x:v>
      </x:c>
      <x:c r="J12" s="29" t="n">
        <x:f>IFERROR(F12/E12,0)</x:f>
        <x:v>0</x:v>
      </x:c>
      <x:c r="K12" s="29" t="n">
        <x:f>IFERROR(I12/E12,0)</x:f>
        <x:v>0</x:v>
      </x:c>
      <x:c r="L12" s="25" t="str">
        <x:v>Qualify own execution + PТО before pilot offer</x:v>
      </x:c>
      <x:c r="M12" s="25" t="str">
        <x:v>ТОВ "ЄВРОБУД ПЛЮС"; ТОВ "ІВП "ІНТОП"; ТОВ "КОМПАНІЯ ПОДІЛЬСЬКА ДОРОЖНЯ"</x:v>
      </x:c>
    </x:row>
    <x:row r="13" ht="38" customHeight="1">
      <x:c r="A13" s="35" t="str">
        <x:v>B1-N01</x:v>
      </x:c>
      <x:c r="B13" s="20" t="str">
        <x:v>B1 — Discovery → пилот</x:v>
      </x:c>
      <x:c r="C13" s="20" t="str">
        <x:v>New outbound</x:v>
      </x:c>
      <x:c r="D13" s="22" t="n">
        <x:f>COUNTIF('Pilot Shortlist'!$D$5:$D$107,A13)</x:f>
        <x:v>10</x:v>
      </x:c>
      <x:c r="E13" s="22" t="n">
        <x:f>COUNTIFS('Pilot Shortlist'!$D$5:$D$107,A13,'Pilot Shortlist'!$S$5:$S$107,"1 — Запрошення надіслано")+COUNTIFS('Pilot Shortlist'!$D$5:$D$107,A13,'Pilot Shortlist'!$S$5:$S$107,"2 — Відповів / цікаво")+COUNTIFS('Pilot Shortlist'!$D$5:$D$107,A13,'Pilot Shortlist'!$S$5:$S$107,"3 — Артефакт отримано")+COUNTIFS('Pilot Shortlist'!$D$5:$D$107,A13,'Pilot Shortlist'!$S$5:$S$107,"4 — Discovery проведено")+COUNTIFS('Pilot Shortlist'!$D$5:$D$107,A13,'Pilot Shortlist'!$S$5:$S$107,"5 — Пілот погоджено")+COUNTIFS('Pilot Shortlist'!$D$5:$D$107,A13,'Pilot Shortlist'!$S$5:$S$107,"6 — Пілот стартував")+COUNTIFS('Pilot Shortlist'!$D$5:$D$107,A13,'Pilot Shortlist'!$S$5:$S$107,"7 — Не зараз")+COUNTIFS('Pilot Shortlist'!$D$5:$D$107,A13,'Pilot Shortlist'!$S$5:$S$107,"8 — Відмова")+COUNTIFS('Pilot Shortlist'!$D$5:$D$107,A13,'Pilot Shortlist'!$S$5:$S$107,"9 — Не fit")</x:f>
        <x:v>0</x:v>
      </x:c>
      <x:c r="F13" s="22" t="n">
        <x:f>COUNTIFS('Pilot Shortlist'!$D$5:$D$107,A13,'Pilot Shortlist'!$T$5:$T$107,TRUE)</x:f>
        <x:v>0</x:v>
      </x:c>
      <x:c r="G13" s="22" t="n">
        <x:f>COUNTIFS('Pilot Shortlist'!$D$5:$D$107,A13,'Pilot Shortlist'!$U$5:$U$107,TRUE)</x:f>
        <x:v>0</x:v>
      </x:c>
      <x:c r="H13" s="22" t="n">
        <x:f>COUNTIFS('Pilot Shortlist'!$D$5:$D$107,A13,'Pilot Shortlist'!$S$5:$S$107,"4 — Discovery проведено")+COUNTIFS('Pilot Shortlist'!$D$5:$D$107,A13,'Pilot Shortlist'!$S$5:$S$107,"5 — Пілот погоджено")+COUNTIFS('Pilot Shortlist'!$D$5:$D$107,A13,'Pilot Shortlist'!$S$5:$S$107,"6 — Пілот стартував")</x:f>
        <x:v>0</x:v>
      </x:c>
      <x:c r="I13" s="22" t="n">
        <x:f>COUNTIFS('Pilot Shortlist'!$D$5:$D$107,A13,'Pilot Shortlist'!$V$5:$V$107,TRUE)</x:f>
        <x:v>0</x:v>
      </x:c>
      <x:c r="J13" s="29" t="n">
        <x:f>IFERROR(F13/E13,0)</x:f>
        <x:v>0</x:v>
      </x:c>
      <x:c r="K13" s="29" t="n">
        <x:f>IFERROR(I13/E13,0)</x:f>
        <x:v>0</x:v>
      </x:c>
      <x:c r="L13" s="25" t="str">
        <x:v>Reserve: discovery only</x:v>
      </x:c>
      <x:c r="M13" s="25" t="str">
        <x:v>ТОВ "ТРАФІК МЕНЕДЖМЕНТ ГРУП"; ТОВ "ЗАХІДЕЛЕКТРОМОНТАЖ"; ТОВ "СПЕЦМОНТАЖІНЖИНІРИНГ"</x:v>
      </x:c>
    </x:row>
    <x:row r="14" ht="38" customHeight="1">
      <x:c r="A14" s="35" t="str">
        <x:v>B1-N02</x:v>
      </x:c>
      <x:c r="B14" s="20" t="str">
        <x:v>B1 — Discovery → пилот</x:v>
      </x:c>
      <x:c r="C14" s="20" t="str">
        <x:v>New outbound</x:v>
      </x:c>
      <x:c r="D14" s="22" t="n">
        <x:f>COUNTIF('Pilot Shortlist'!$D$5:$D$107,A14)</x:f>
        <x:v>10</x:v>
      </x:c>
      <x:c r="E14" s="22" t="n">
        <x:f>COUNTIFS('Pilot Shortlist'!$D$5:$D$107,A14,'Pilot Shortlist'!$S$5:$S$107,"1 — Запрошення надіслано")+COUNTIFS('Pilot Shortlist'!$D$5:$D$107,A14,'Pilot Shortlist'!$S$5:$S$107,"2 — Відповів / цікаво")+COUNTIFS('Pilot Shortlist'!$D$5:$D$107,A14,'Pilot Shortlist'!$S$5:$S$107,"3 — Артефакт отримано")+COUNTIFS('Pilot Shortlist'!$D$5:$D$107,A14,'Pilot Shortlist'!$S$5:$S$107,"4 — Discovery проведено")+COUNTIFS('Pilot Shortlist'!$D$5:$D$107,A14,'Pilot Shortlist'!$S$5:$S$107,"5 — Пілот погоджено")+COUNTIFS('Pilot Shortlist'!$D$5:$D$107,A14,'Pilot Shortlist'!$S$5:$S$107,"6 — Пілот стартував")+COUNTIFS('Pilot Shortlist'!$D$5:$D$107,A14,'Pilot Shortlist'!$S$5:$S$107,"7 — Не зараз")+COUNTIFS('Pilot Shortlist'!$D$5:$D$107,A14,'Pilot Shortlist'!$S$5:$S$107,"8 — Відмова")+COUNTIFS('Pilot Shortlist'!$D$5:$D$107,A14,'Pilot Shortlist'!$S$5:$S$107,"9 — Не fit")</x:f>
        <x:v>0</x:v>
      </x:c>
      <x:c r="F14" s="22" t="n">
        <x:f>COUNTIFS('Pilot Shortlist'!$D$5:$D$107,A14,'Pilot Shortlist'!$T$5:$T$107,TRUE)</x:f>
        <x:v>0</x:v>
      </x:c>
      <x:c r="G14" s="22" t="n">
        <x:f>COUNTIFS('Pilot Shortlist'!$D$5:$D$107,A14,'Pilot Shortlist'!$U$5:$U$107,TRUE)</x:f>
        <x:v>0</x:v>
      </x:c>
      <x:c r="H14" s="22" t="n">
        <x:f>COUNTIFS('Pilot Shortlist'!$D$5:$D$107,A14,'Pilot Shortlist'!$S$5:$S$107,"4 — Discovery проведено")+COUNTIFS('Pilot Shortlist'!$D$5:$D$107,A14,'Pilot Shortlist'!$S$5:$S$107,"5 — Пілот погоджено")+COUNTIFS('Pilot Shortlist'!$D$5:$D$107,A14,'Pilot Shortlist'!$S$5:$S$107,"6 — Пілот стартував")</x:f>
        <x:v>0</x:v>
      </x:c>
      <x:c r="I14" s="22" t="n">
        <x:f>COUNTIFS('Pilot Shortlist'!$D$5:$D$107,A14,'Pilot Shortlist'!$V$5:$V$107,TRUE)</x:f>
        <x:v>0</x:v>
      </x:c>
      <x:c r="J14" s="29" t="n">
        <x:f>IFERROR(F14/E14,0)</x:f>
        <x:v>0</x:v>
      </x:c>
      <x:c r="K14" s="29" t="n">
        <x:f>IFERROR(I14/E14,0)</x:f>
        <x:v>0</x:v>
      </x:c>
      <x:c r="L14" s="25" t="str">
        <x:v>Reserve: discovery only</x:v>
      </x:c>
      <x:c r="M14" s="25" t="str">
        <x:v>ТОВ "ФАСАД-СЕРВІС-БУД"; ТОВ "ДКС ЕЛЕКТРИК"; ТОВ Щасливий Сервісбуд</x:v>
      </x:c>
    </x:row>
    <x:row r="15" ht="38" customHeight="1">
      <x:c r="A15" s="35" t="str">
        <x:v>B1-N03</x:v>
      </x:c>
      <x:c r="B15" s="20" t="str">
        <x:v>B1 — Discovery → пилот</x:v>
      </x:c>
      <x:c r="C15" s="20" t="str">
        <x:v>New outbound</x:v>
      </x:c>
      <x:c r="D15" s="22" t="n">
        <x:f>COUNTIF('Pilot Shortlist'!$D$5:$D$107,A15)</x:f>
        <x:v>10</x:v>
      </x:c>
      <x:c r="E15" s="22" t="n">
        <x:f>COUNTIFS('Pilot Shortlist'!$D$5:$D$107,A15,'Pilot Shortlist'!$S$5:$S$107,"1 — Запрошення надіслано")+COUNTIFS('Pilot Shortlist'!$D$5:$D$107,A15,'Pilot Shortlist'!$S$5:$S$107,"2 — Відповів / цікаво")+COUNTIFS('Pilot Shortlist'!$D$5:$D$107,A15,'Pilot Shortlist'!$S$5:$S$107,"3 — Артефакт отримано")+COUNTIFS('Pilot Shortlist'!$D$5:$D$107,A15,'Pilot Shortlist'!$S$5:$S$107,"4 — Discovery проведено")+COUNTIFS('Pilot Shortlist'!$D$5:$D$107,A15,'Pilot Shortlist'!$S$5:$S$107,"5 — Пілот погоджено")+COUNTIFS('Pilot Shortlist'!$D$5:$D$107,A15,'Pilot Shortlist'!$S$5:$S$107,"6 — Пілот стартував")+COUNTIFS('Pilot Shortlist'!$D$5:$D$107,A15,'Pilot Shortlist'!$S$5:$S$107,"7 — Не зараз")+COUNTIFS('Pilot Shortlist'!$D$5:$D$107,A15,'Pilot Shortlist'!$S$5:$S$107,"8 — Відмова")+COUNTIFS('Pilot Shortlist'!$D$5:$D$107,A15,'Pilot Shortlist'!$S$5:$S$107,"9 — Не fit")</x:f>
        <x:v>0</x:v>
      </x:c>
      <x:c r="F15" s="22" t="n">
        <x:f>COUNTIFS('Pilot Shortlist'!$D$5:$D$107,A15,'Pilot Shortlist'!$T$5:$T$107,TRUE)</x:f>
        <x:v>0</x:v>
      </x:c>
      <x:c r="G15" s="22" t="n">
        <x:f>COUNTIFS('Pilot Shortlist'!$D$5:$D$107,A15,'Pilot Shortlist'!$U$5:$U$107,TRUE)</x:f>
        <x:v>0</x:v>
      </x:c>
      <x:c r="H15" s="22" t="n">
        <x:f>COUNTIFS('Pilot Shortlist'!$D$5:$D$107,A15,'Pilot Shortlist'!$S$5:$S$107,"4 — Discovery проведено")+COUNTIFS('Pilot Shortlist'!$D$5:$D$107,A15,'Pilot Shortlist'!$S$5:$S$107,"5 — Пілот погоджено")+COUNTIFS('Pilot Shortlist'!$D$5:$D$107,A15,'Pilot Shortlist'!$S$5:$S$107,"6 — Пілот стартував")</x:f>
        <x:v>0</x:v>
      </x:c>
      <x:c r="I15" s="22" t="n">
        <x:f>COUNTIFS('Pilot Shortlist'!$D$5:$D$107,A15,'Pilot Shortlist'!$V$5:$V$107,TRUE)</x:f>
        <x:v>0</x:v>
      </x:c>
      <x:c r="J15" s="29" t="n">
        <x:f>IFERROR(F15/E15,0)</x:f>
        <x:v>0</x:v>
      </x:c>
      <x:c r="K15" s="29" t="n">
        <x:f>IFERROR(I15/E15,0)</x:f>
        <x:v>0</x:v>
      </x:c>
      <x:c r="L15" s="25" t="str">
        <x:v>Reserve: discovery only</x:v>
      </x:c>
      <x:c r="M15" s="25" t="str">
        <x:v>ТОВ МОРБУДПРОЕКТ; ТОВ "ЕНЕРГОБУДПРОЕКТ-2"; ТзОВ "Автомагістраль-ІФ"</x:v>
      </x:c>
    </x:row>
    <x:row r="16" ht="38" customHeight="1">
      <x:c r="A16" s="35" t="str">
        <x:v>C-N01</x:v>
      </x:c>
      <x:c r="B16" s="20" t="str">
        <x:v>C — Генподрядчик / канал</x:v>
      </x:c>
      <x:c r="C16" s="20" t="str">
        <x:v>New outbound</x:v>
      </x:c>
      <x:c r="D16" s="22" t="n">
        <x:f>COUNTIF('Pilot Shortlist'!$D$5:$D$107,A16)</x:f>
        <x:v>2</x:v>
      </x:c>
      <x:c r="E16" s="22" t="n">
        <x:f>COUNTIFS('Pilot Shortlist'!$D$5:$D$107,A16,'Pilot Shortlist'!$S$5:$S$107,"1 — Запрошення надіслано")+COUNTIFS('Pilot Shortlist'!$D$5:$D$107,A16,'Pilot Shortlist'!$S$5:$S$107,"2 — Відповів / цікаво")+COUNTIFS('Pilot Shortlist'!$D$5:$D$107,A16,'Pilot Shortlist'!$S$5:$S$107,"3 — Артефакт отримано")+COUNTIFS('Pilot Shortlist'!$D$5:$D$107,A16,'Pilot Shortlist'!$S$5:$S$107,"4 — Discovery проведено")+COUNTIFS('Pilot Shortlist'!$D$5:$D$107,A16,'Pilot Shortlist'!$S$5:$S$107,"5 — Пілот погоджено")+COUNTIFS('Pilot Shortlist'!$D$5:$D$107,A16,'Pilot Shortlist'!$S$5:$S$107,"6 — Пілот стартував")+COUNTIFS('Pilot Shortlist'!$D$5:$D$107,A16,'Pilot Shortlist'!$S$5:$S$107,"7 — Не зараз")+COUNTIFS('Pilot Shortlist'!$D$5:$D$107,A16,'Pilot Shortlist'!$S$5:$S$107,"8 — Відмова")+COUNTIFS('Pilot Shortlist'!$D$5:$D$107,A16,'Pilot Shortlist'!$S$5:$S$107,"9 — Не fit")</x:f>
        <x:v>0</x:v>
      </x:c>
      <x:c r="F16" s="22" t="n">
        <x:f>COUNTIFS('Pilot Shortlist'!$D$5:$D$107,A16,'Pilot Shortlist'!$T$5:$T$107,TRUE)</x:f>
        <x:v>0</x:v>
      </x:c>
      <x:c r="G16" s="22" t="n">
        <x:f>COUNTIFS('Pilot Shortlist'!$D$5:$D$107,A16,'Pilot Shortlist'!$U$5:$U$107,TRUE)</x:f>
        <x:v>0</x:v>
      </x:c>
      <x:c r="H16" s="22" t="n">
        <x:f>COUNTIFS('Pilot Shortlist'!$D$5:$D$107,A16,'Pilot Shortlist'!$S$5:$S$107,"4 — Discovery проведено")+COUNTIFS('Pilot Shortlist'!$D$5:$D$107,A16,'Pilot Shortlist'!$S$5:$S$107,"5 — Пілот погоджено")+COUNTIFS('Pilot Shortlist'!$D$5:$D$107,A16,'Pilot Shortlist'!$S$5:$S$107,"6 — Пілот стартував")</x:f>
        <x:v>0</x:v>
      </x:c>
      <x:c r="I16" s="22" t="n">
        <x:f>COUNTIFS('Pilot Shortlist'!$D$5:$D$107,A16,'Pilot Shortlist'!$V$5:$V$107,TRUE)</x:f>
        <x:v>0</x:v>
      </x:c>
      <x:c r="J16" s="29" t="n">
        <x:f>IFERROR(F16/E16,0)</x:f>
        <x:v>0</x:v>
      </x:c>
      <x:c r="K16" s="29" t="n">
        <x:f>IFERROR(I16/E16,0)</x:f>
        <x:v>0</x:v>
      </x:c>
      <x:c r="L16" s="25" t="str">
        <x:v>Channel conversation only</x:v>
      </x:c>
      <x:c r="M16" s="25" t="str">
        <x:v>ТОВ "БУДІВЕЛЬНА КОМПАНІЯ "АСКОН"; ПрАТ Юженергобуд</x:v>
      </x:c>
    </x:row>
  </x:sheetData>
  <x:mergeCells>
    <x:mergeCell ref="A1:M1"/>
    <x:mergeCell ref="A2:M2"/>
  </x:mergeCells>
  <x:pageMargins left="0.7" right="0.7" top="0.75" bottom="0.75" header="0.3" footer="0.3"/>
  <x:tableParts count="1">
    <x:tablePart xmlns:r="http://schemas.openxmlformats.org/officeDocument/2006/relationships" r:id="Rf4bfe61068424a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34" hidden="0" customWidth="1"/>
    <x:col min="3" max="3" width="12" hidden="0" customWidth="1"/>
    <x:col min="4" max="4" width="24" hidden="0" customWidth="1"/>
    <x:col min="5" max="5" width="9" hidden="0" customWidth="1"/>
    <x:col min="6" max="6" width="11" hidden="0" customWidth="1"/>
    <x:col min="7" max="7" width="27" hidden="0" customWidth="1"/>
    <x:col min="8" max="8" width="29" hidden="0" customWidth="1"/>
    <x:col min="9" max="9" width="35" hidden="0" customWidth="1"/>
    <x:col min="10" max="10" width="48" hidden="0" customWidth="1"/>
    <x:col min="11" max="11" width="35" hidden="0" customWidth="1"/>
    <x:col min="12" max="12" width="31" hidden="0" customWidth="1"/>
    <x:col min="13" max="13" width="43" hidden="0" customWidth="1"/>
    <x:col min="14" max="14" width="72" hidden="0" customWidth="1"/>
    <x:col min="15" max="15" width="58" hidden="0" customWidth="1"/>
    <x:col min="16" max="16" width="28" hidden="0" customWidth="1"/>
    <x:col min="17" max="17" width="28" hidden="0" customWidth="1"/>
    <x:col min="18" max="18" width="13" hidden="0" customWidth="1"/>
    <x:col min="19" max="19" width="42" hidden="0" customWidth="1"/>
    <x:col min="20" max="20" width="42" hidden="0" customWidth="1"/>
  </x:cols>
  <x:sheetData>
    <x:row r="1" ht="34" customHeight="1">
      <x:c r="A1" s="3" t="str">
        <x:v>A1-N01 — Verified Outreach Pack</x:v>
      </x:c>
      <x:c r="B1" s="3" t="str">
        <x:v>A1-N01 — Verified Outreach Pack</x:v>
      </x:c>
      <x:c r="C1" s="3" t="str">
        <x:v>A1-N01 — Verified Outreach Pack</x:v>
      </x:c>
      <x:c r="D1" s="3" t="str">
        <x:v>A1-N01 — Verified Outreach Pack</x:v>
      </x:c>
      <x:c r="E1" s="3" t="str">
        <x:v>A1-N01 — Verified Outreach Pack</x:v>
      </x:c>
      <x:c r="F1" s="3" t="str">
        <x:v>A1-N01 — Verified Outreach Pack</x:v>
      </x:c>
      <x:c r="G1" s="3" t="str">
        <x:v>A1-N01 — Verified Outreach Pack</x:v>
      </x:c>
      <x:c r="H1" s="3" t="str">
        <x:v>A1-N01 — Verified Outreach Pack</x:v>
      </x:c>
      <x:c r="I1" s="3" t="str">
        <x:v>A1-N01 — Verified Outreach Pack</x:v>
      </x:c>
      <x:c r="J1" s="3" t="str">
        <x:v>A1-N01 — Verified Outreach Pack</x:v>
      </x:c>
      <x:c r="K1" s="3" t="str">
        <x:v>A1-N01 — Verified Outreach Pack</x:v>
      </x:c>
      <x:c r="L1" s="3" t="str">
        <x:v>A1-N01 — Verified Outreach Pack</x:v>
      </x:c>
      <x:c r="M1" s="3" t="str">
        <x:v>A1-N01 — Verified Outreach Pack</x:v>
      </x:c>
      <x:c r="N1" s="3" t="str">
        <x:v>A1-N01 — Verified Outreach Pack</x:v>
      </x:c>
      <x:c r="O1" s="3" t="str">
        <x:v>A1-N01 — Verified Outreach Pack</x:v>
      </x:c>
      <x:c r="P1" s="3" t="str">
        <x:v>A1-N01 — Verified Outreach Pack</x:v>
      </x:c>
      <x:c r="Q1" s="3" t="str">
        <x:v>A1-N01 — Verified Outreach Pack</x:v>
      </x:c>
      <x:c r="R1" s="3" t="str">
        <x:v>A1-N01 — Verified Outreach Pack</x:v>
      </x:c>
      <x:c r="S1" s="3" t="str">
        <x:v>A1-N01 — Verified Outreach Pack</x:v>
      </x:c>
      <x:c r="T1" s="3" t="str">
        <x:v>A1-N01 — Verified Outreach Pack</x:v>
      </x:c>
    </x:row>
    <x:row r="2" ht="28" customHeight="1">
      <x:c r="A2" s="7" t="str">
        <x:v>Ten researched corporate routes and company-specific drafts. Yellow cells are operational inputs. Replace the demo-link placeholder, add the sender and obtain explicit authorization before any external send.</x:v>
      </x:c>
      <x:c r="B2" s="7" t="str">
        <x:v>Ten researched corporate routes and company-specific drafts. Yellow cells are operational inputs. Replace the demo-link placeholder, add the sender and obtain explicit authorization before any external send.</x:v>
      </x:c>
      <x:c r="C2" s="7" t="str">
        <x:v>Ten researched corporate routes and company-specific drafts. Yellow cells are operational inputs. Replace the demo-link placeholder, add the sender and obtain explicit authorization before any external send.</x:v>
      </x:c>
      <x:c r="D2" s="7" t="str">
        <x:v>Ten researched corporate routes and company-specific drafts. Yellow cells are operational inputs. Replace the demo-link placeholder, add the sender and obtain explicit authorization before any external send.</x:v>
      </x:c>
      <x:c r="E2" s="7" t="str">
        <x:v>Ten researched corporate routes and company-specific drafts. Yellow cells are operational inputs. Replace the demo-link placeholder, add the sender and obtain explicit authorization before any external send.</x:v>
      </x:c>
      <x:c r="F2" s="7" t="str">
        <x:v>Ten researched corporate routes and company-specific drafts. Yellow cells are operational inputs. Replace the demo-link placeholder, add the sender and obtain explicit authorization before any external send.</x:v>
      </x:c>
      <x:c r="G2" s="7" t="str">
        <x:v>Ten researched corporate routes and company-specific drafts. Yellow cells are operational inputs. Replace the demo-link placeholder, add the sender and obtain explicit authorization before any external send.</x:v>
      </x:c>
      <x:c r="H2" s="7" t="str">
        <x:v>Ten researched corporate routes and company-specific drafts. Yellow cells are operational inputs. Replace the demo-link placeholder, add the sender and obtain explicit authorization before any external send.</x:v>
      </x:c>
      <x:c r="I2" s="7" t="str">
        <x:v>Ten researched corporate routes and company-specific drafts. Yellow cells are operational inputs. Replace the demo-link placeholder, add the sender and obtain explicit authorization before any external send.</x:v>
      </x:c>
      <x:c r="J2" s="7" t="str">
        <x:v>Ten researched corporate routes and company-specific drafts. Yellow cells are operational inputs. Replace the demo-link placeholder, add the sender and obtain explicit authorization before any external send.</x:v>
      </x:c>
      <x:c r="K2" s="7" t="str">
        <x:v>Ten researched corporate routes and company-specific drafts. Yellow cells are operational inputs. Replace the demo-link placeholder, add the sender and obtain explicit authorization before any external send.</x:v>
      </x:c>
      <x:c r="L2" s="7" t="str">
        <x:v>Ten researched corporate routes and company-specific drafts. Yellow cells are operational inputs. Replace the demo-link placeholder, add the sender and obtain explicit authorization before any external send.</x:v>
      </x:c>
      <x:c r="M2" s="7" t="str">
        <x:v>Ten researched corporate routes and company-specific drafts. Yellow cells are operational inputs. Replace the demo-link placeholder, add the sender and obtain explicit authorization before any external send.</x:v>
      </x:c>
      <x:c r="N2" s="7" t="str">
        <x:v>Ten researched corporate routes and company-specific drafts. Yellow cells are operational inputs. Replace the demo-link placeholder, add the sender and obtain explicit authorization before any external send.</x:v>
      </x:c>
      <x:c r="O2" s="7" t="str">
        <x:v>Ten researched corporate routes and company-specific drafts. Yellow cells are operational inputs. Replace the demo-link placeholder, add the sender and obtain explicit authorization before any external send.</x:v>
      </x:c>
      <x:c r="P2" s="7" t="str">
        <x:v>Ten researched corporate routes and company-specific drafts. Yellow cells are operational inputs. Replace the demo-link placeholder, add the sender and obtain explicit authorization before any external send.</x:v>
      </x:c>
      <x:c r="Q2" s="7" t="str">
        <x:v>Ten researched corporate routes and company-specific drafts. Yellow cells are operational inputs. Replace the demo-link placeholder, add the sender and obtain explicit authorization before any external send.</x:v>
      </x:c>
      <x:c r="R2" s="7" t="str">
        <x:v>Ten researched corporate routes and company-specific drafts. Yellow cells are operational inputs. Replace the demo-link placeholder, add the sender and obtain explicit authorization before any external send.</x:v>
      </x:c>
      <x:c r="S2" s="7" t="str">
        <x:v>Ten researched corporate routes and company-specific drafts. Yellow cells are operational inputs. Replace the demo-link placeholder, add the sender and obtain explicit authorization before any external send.</x:v>
      </x:c>
      <x:c r="T2" s="7" t="str">
        <x:v>Ten researched corporate routes and company-specific drafts. Yellow cells are operational inputs. Replace the demo-link placeholder, add the sender and obtain explicit authorization before any external send.</x:v>
      </x:c>
    </x:row>
    <x:row r="4" ht="34" customHeight="1">
      <x:c r="A4" s="16" t="str">
        <x:v>#</x:v>
      </x:c>
      <x:c r="B4" s="17" t="str">
        <x:v>Company</x:v>
      </x:c>
      <x:c r="C4" s="17" t="str">
        <x:v>EDRPOU</x:v>
      </x:c>
      <x:c r="D4" s="17" t="str">
        <x:v>Segment</x:v>
      </x:c>
      <x:c r="E4" s="17" t="str">
        <x:v>Score</x:v>
      </x:c>
      <x:c r="F4" s="17" t="str">
        <x:v>Channel</x:v>
      </x:c>
      <x:c r="G4" s="17" t="str">
        <x:v>Corporate route</x:v>
      </x:c>
      <x:c r="H4" s="17" t="str">
        <x:v>Route quality</x:v>
      </x:c>
      <x:c r="I4" s="17" t="str">
        <x:v>Route source</x:v>
      </x:c>
      <x:c r="J4" s="17" t="str">
        <x:v>Tender signal</x:v>
      </x:c>
      <x:c r="K4" s="17" t="str">
        <x:v>Tender URL</x:v>
      </x:c>
      <x:c r="L4" s="17" t="str">
        <x:v>Recipient role</x:v>
      </x:c>
      <x:c r="M4" s="17" t="str">
        <x:v>Subject</x:v>
      </x:c>
      <x:c r="N4" s="17" t="str">
        <x:v>First touch</x:v>
      </x:c>
      <x:c r="O4" s="17" t="str">
        <x:v>Follow-up</x:v>
      </x:c>
      <x:c r="P4" s="17" t="str">
        <x:v>Send gate</x:v>
      </x:c>
      <x:c r="Q4" s="17" t="str">
        <x:v>Funnel status</x:v>
      </x:c>
      <x:c r="R4" s="17" t="str">
        <x:v>Sent at</x:v>
      </x:c>
      <x:c r="S4" s="17" t="str">
        <x:v>Reply summary</x:v>
      </x:c>
      <x:c r="T4" s="18" t="str">
        <x:v>Agreement evidence</x:v>
      </x:c>
    </x:row>
    <x:row r="5" ht="110" customHeight="1">
      <x:c r="A5" s="20" t="n">
        <x:v>1</x:v>
      </x:c>
      <x:c r="B5" s="20" t="str">
        <x:v>ТОВ «МІСТО ЕНЕРДЖІ»</x:v>
      </x:c>
      <x:c r="C5" s="21" t="str">
        <x:v>32735498</x:v>
      </x:c>
      <x:c r="D5" s="20" t="str">
        <x:v>Теплові пункти</x:v>
      </x:c>
      <x:c r="E5" s="22" t="n">
        <x:v>100</x:v>
      </x:c>
      <x:c r="F5" s="20" t="str">
        <x:v>email</x:v>
      </x:c>
      <x:c r="G5" s="20" t="str">
        <x:v>support@mistoenergy.com.ua</x:v>
      </x:c>
      <x:c r="H5" s="20" t="str">
        <x:v>official_company_website</x:v>
      </x:c>
      <x:c r="I5" s="25" t="str">
        <x:v>https://mistoenergy.com.ua/</x:v>
      </x:c>
      <x:c r="J5" s="25" t="str">
        <x:v>реконструкція індивідуальних теплових пунктів у житловому будинку на вул. Прирічній у Києві</x:v>
      </x:c>
      <x:c r="K5" s="25" t="str">
        <x:v>https://prozorro.gov.ua/tender/UA-2026-07-29-011611-a</x:v>
      </x:c>
      <x:c r="L5" s="25" t="str">
        <x:v>власник / директор або керівник ПТВ</x:v>
      </x:c>
      <x:c r="M5" s="25" t="str">
        <x:v>ІТП на Прирічній: закриття робіт без пошуку фото в чатах</x:v>
      </x:c>
      <x:c r="N5" s="25" t="str">
        <x:v>Добрий день.
Побачив, що «МІСТО ЕНЕРДЖІ» виконує реконструкцію індивідуальних теплових пунктів у будинку на вул. Прирічній у Києві. На таких роботах частина монтажу швидко закривається, а фото, вимоги та рішення технагляду часто доводиться збирати окремо.
Ми перевіряємо GoProceed для інженерних підрядників: виконроб заздалегідь бачить, що треба зафіксувати до закриття, а технагляд відкриває посилання без реєстрації й приймає або повертає з причиною.
Ось короткий приклад — близько 40 секунд:
{{DEMO_REVIEW_LINK}}
Якщо процес схожий на ваш, можемо безкоштовно пройти один об’єкт у пілоті 30–45 днів. Чи можна після перегляду поставити одне питання про те, як у вас зараз закривають приховані роботи?</x:v>
      </x:c>
      <x:c r="O5" s="25" t="str">
        <x:v>Добрий день. Повертаюся до короткого прикладу GoProceed. Чи є на роботах з ІТП ділянка, яку планують закривати протягом наступних 30 днів? Якщо так, запропоную пілот саме на ній. Якщо це неактуально, достатньо відповісти «неактуально».</x:v>
      </x:c>
      <x:c r="P5" s="25" t="str">
        <x:v>blocked_demo_link_and_sender</x:v>
      </x:c>
      <x:c r="Q5" s="28" t="str">
        <x:v>0 — Не запрошували</x:v>
      </x:c>
      <x:c r="R5" s="36"/>
      <x:c r="S5" s="28" t="str"/>
      <x:c r="T5" s="28" t="str"/>
    </x:row>
    <x:row r="6" ht="110" customHeight="1">
      <x:c r="A6" s="20" t="n">
        <x:v>2</x:v>
      </x:c>
      <x:c r="B6" s="20" t="str">
        <x:v>ТОВ «АЛЬТЕКО2019»</x:v>
      </x:c>
      <x:c r="C6" s="21" t="str">
        <x:v>42749643</x:v>
      </x:c>
      <x:c r="D6" s="20" t="str">
        <x:v>Промислова електрика / ПНР</x:v>
      </x:c>
      <x:c r="E6" s="22" t="n">
        <x:v>100</x:v>
      </x:c>
      <x:c r="F6" s="20" t="str">
        <x:v>email</x:v>
      </x:c>
      <x:c r="G6" s="20" t="str">
        <x:v>alteko2019@gmail.com</x:v>
      </x:c>
      <x:c r="H6" s="20" t="str">
        <x:v>exact_edrpou_public_company_profile</x:v>
      </x:c>
      <x:c r="I6" s="25" t="str">
        <x:v>https://www.ua-region.com.ua/42749643</x:v>
      </x:c>
      <x:c r="J6" s="25" t="str">
        <x:v>будівельно-монтажні та пусконалагоджувальні роботи із реконструкції зовнішніх електромереж у Хмельницькому</x:v>
      </x:c>
      <x:c r="K6" s="25" t="str">
        <x:v>https://prozorro.gov.ua/tender/UA-2026-07-24-000935-a</x:v>
      </x:c>
      <x:c r="L6" s="25" t="str">
        <x:v>власник / директор або керівник ПТВ</x:v>
      </x:c>
      <x:c r="M6" s="25" t="str">
        <x:v>Електромережі та ПНР: що зафіксувати до закриття ділянки</x:v>
      </x:c>
      <x:c r="N6" s="25" t="str">
        <x:v>Добрий день.
Побачив, що «АЛЬТЕКО2019» виконує будівельно-монтажні та пусконалагоджувальні роботи з реконструкції зовнішніх електромереж у Хмельницькому. На таких об’єктах важливо прив’язати фото й підтвердження до конкретної роботи до того, як ділянку закриють.
Ми перевіряємо GoProceed для електромонтажних підрядників: виконроб бачить потрібне підтвердження заздалегідь, а технагляд переглядає його за посиланням без реєстрації та приймає або повертає з причиною.
Ось короткий приклад — близько 40 секунд:
{{DEMO_REVIEW_LINK}}
Якщо процес схожий на ваш, можемо безкоштовно пройти один об’єкт у пілоті 30–45 днів. Чи можна після перегляду поставити одне питання про те, як у вас зараз закривають приховані роботи?</x:v>
      </x:c>
      <x:c r="O6" s="25" t="str">
        <x:v>Добрий день. Повертаюся до прикладу GoProceed. Чи є у вас електромонтажна ділянка або ПНР, де закриття очікується в наступні 30 днів? Якщо так, запропоную пілот на одному циклі. Якщо неактуально, достатньо відповісти «неактуально».</x:v>
      </x:c>
      <x:c r="P6" s="25" t="str">
        <x:v>blocked_demo_link_and_sender</x:v>
      </x:c>
      <x:c r="Q6" s="28" t="str">
        <x:v>0 — Не запрошували</x:v>
      </x:c>
      <x:c r="R6" s="36"/>
      <x:c r="S6" s="28" t="str"/>
      <x:c r="T6" s="28" t="str"/>
    </x:row>
    <x:row r="7" ht="110" customHeight="1">
      <x:c r="A7" s="20" t="n">
        <x:v>3</x:v>
      </x:c>
      <x:c r="B7" s="20" t="str">
        <x:v>ДП «Вінницька механізована колона» ПрАТ «Київсільелектро»</x:v>
      </x:c>
      <x:c r="C7" s="21" t="str">
        <x:v>00132351</x:v>
      </x:c>
      <x:c r="D7" s="20" t="str">
        <x:v>Підстанції / силові мережі</x:v>
      </x:c>
      <x:c r="E7" s="22" t="n">
        <x:v>99</x:v>
      </x:c>
      <x:c r="F7" s="20" t="str">
        <x:v>email</x:v>
      </x:c>
      <x:c r="G7" s="20" t="str">
        <x:v>mehkolon@gmail.com</x:v>
      </x:c>
      <x:c r="H7" s="20" t="str">
        <x:v>exact_edrpou_public_company_profile</x:v>
      </x:c>
      <x:c r="I7" s="25" t="str">
        <x:v>https://www.ua-region.com.ua/00132351</x:v>
      </x:c>
      <x:c r="J7" s="25" t="str">
        <x:v>нове будівництво трансформаторної підстанції 10/0,4 кВ та відгалуження ПЛ-10 кВ у Чернівецькій області</x:v>
      </x:c>
      <x:c r="K7" s="25" t="str">
        <x:v>https://prozorro.gov.ua/tender/UA-2026-07-28-006431-a</x:v>
      </x:c>
      <x:c r="L7" s="25" t="str">
        <x:v>директор або керівник ПТВ</x:v>
      </x:c>
      <x:c r="M7" s="25" t="str">
        <x:v>ТП 10/0,4 кВ: фото й рішення технагляду до закриття робіт</x:v>
      </x:c>
      <x:c r="N7" s="25" t="str">
        <x:v>Добрий день.
Побачив проєкт «Вінницької механізованої колони» з будівництва ТП 10/0,4 кВ та відгалуження ПЛ-10 кВ у Чернівецькій області. Для таких робіт зв’язок між конкретною ділянкою, фото та рішенням технагляду особливо важливий до її закриття.
Ми перевіряємо GoProceed для електромонтажних підрядників: виконроб бачить, що треба зафіксувати до закриття, а технагляд відкриває посилання без реєстрації й приймає або повертає з причиною.
Ось короткий приклад — близько 40 секунд:
{{DEMO_REVIEW_LINK}}
Якщо процес схожий на ваш, можемо безкоштовно пройти один об’єкт у пілоті 30–45 днів. Чи можна після перегляду поставити одне питання про те, як у вас зараз закривають приховані роботи?</x:v>
      </x:c>
      <x:c r="O7" s="25" t="str">
        <x:v>Добрий день. Повертаюся до прикладу GoProceed. Чи буде на роботах із ТП або ПЛ ділянка, яку планують закривати протягом наступних 30 днів? Якщо так, запропоную пілот саме на цьому циклі. Якщо неактуально, достатньо відповісти «неактуально».</x:v>
      </x:c>
      <x:c r="P7" s="25" t="str">
        <x:v>blocked_demo_link_and_sender</x:v>
      </x:c>
      <x:c r="Q7" s="28" t="str">
        <x:v>0 — Не запрошували</x:v>
      </x:c>
      <x:c r="R7" s="36"/>
      <x:c r="S7" s="28" t="str"/>
      <x:c r="T7" s="28" t="str"/>
    </x:row>
    <x:row r="8" ht="110" customHeight="1">
      <x:c r="A8" s="20" t="n">
        <x:v>4</x:v>
      </x:c>
      <x:c r="B8" s="20" t="str">
        <x:v>ТОВ «ВІК.КІНГ»</x:v>
      </x:c>
      <x:c r="C8" s="21" t="str">
        <x:v>38119659</x:v>
      </x:c>
      <x:c r="D8" s="20" t="str">
        <x:v>Підстанції / силові мережі</x:v>
      </x:c>
      <x:c r="E8" s="22" t="n">
        <x:v>98</x:v>
      </x:c>
      <x:c r="F8" s="20" t="str">
        <x:v>phone</x:v>
      </x:c>
      <x:c r="G8" s="20" t="str">
        <x:v>+380509192014</x:v>
      </x:c>
      <x:c r="H8" s="20" t="str">
        <x:v>exact_edrpou_public_company_phone</x:v>
      </x:c>
      <x:c r="I8" s="25" t="str">
        <x:v>https://www.ua-region.com.ua/38119659</x:v>
      </x:c>
      <x:c r="J8" s="25" t="str">
        <x:v>реконструкція розподільчого пристрою 0,4 кВ та приєднання сонячної електростанції у Пісочині</x:v>
      </x:c>
      <x:c r="K8" s="25" t="str">
        <x:v>https://prozorro.gov.ua/tender/UA-2026-07-17-001813-a</x:v>
      </x:c>
      <x:c r="L8" s="25" t="str">
        <x:v>корпоративна приймальня → директор або керівник ПТВ</x:v>
      </x:c>
      <x:c r="M8" s="25" t="str"/>
      <x:c r="N8" s="25" t="str">
        <x:v>Добрий день. Телефоную щодо реконструкції РП 0,4 кВ і приєднання сонячної електростанції у Пісочині. Ми перевіряємо GoProceed для електромонтажних підрядників: виконроб бачить, що треба зафіксувати до закриття, а технагляд приймає або повертає матеріал за посиланням без реєстрації. Шукаємо компанії для безкоштовного пілота 30–45 днів на одному об’єкті. Підкажіть, будь ласка, на яку корпоративну пошту надіслати 40-секундний приклад для керівника ПТВ або директора?</x:v>
      </x:c>
      <x:c r="O8" s="25" t="str">
        <x:v>Якщо корпоративну адресу отримано: надіслати приклад і запитати, чи є ділянка РП або кабельних робіт, яку закриватимуть у наступні 30 днів. Без отриманої корпоративної адреси повторний контакт не робити.</x:v>
      </x:c>
      <x:c r="P8" s="25" t="str">
        <x:v>ready_for_authorized_phone_routing_call</x:v>
      </x:c>
      <x:c r="Q8" s="28" t="str">
        <x:v>0 — Не запрошували</x:v>
      </x:c>
      <x:c r="R8" s="36"/>
      <x:c r="S8" s="28" t="str"/>
      <x:c r="T8" s="28" t="str"/>
    </x:row>
    <x:row r="9" ht="110" customHeight="1">
      <x:c r="A9" s="20" t="n">
        <x:v>5</x:v>
      </x:c>
      <x:c r="B9" s="20" t="str">
        <x:v>МПП «Агроенергосервіс»</x:v>
      </x:c>
      <x:c r="C9" s="21" t="str">
        <x:v>23628267</x:v>
      </x:c>
      <x:c r="D9" s="20" t="str">
        <x:v>Електромонтаж</x:v>
      </x:c>
      <x:c r="E9" s="22" t="n">
        <x:v>96</x:v>
      </x:c>
      <x:c r="F9" s="20" t="str">
        <x:v>phone</x:v>
      </x:c>
      <x:c r="G9" s="20" t="str">
        <x:v>+380503943179</x:v>
      </x:c>
      <x:c r="H9" s="20" t="str">
        <x:v>exact_edrpou_public_company_phone</x:v>
      </x:c>
      <x:c r="I9" s="25" t="str">
        <x:v>https://www.ua-region.com.ua/23628267</x:v>
      </x:c>
      <x:c r="J9" s="25" t="str">
        <x:v>електромонтажні роботи електропроводки та електроарматури укриття</x:v>
      </x:c>
      <x:c r="K9" s="25" t="str">
        <x:v>https://prozorro.gov.ua/tender/UA-2026-08-24-004736-a</x:v>
      </x:c>
      <x:c r="L9" s="25" t="str">
        <x:v>корпоративна приймальня → директор або відповідальний за виконання робіт</x:v>
      </x:c>
      <x:c r="M9" s="25" t="str"/>
      <x:c r="N9" s="25" t="str">
        <x:v>Добрий день. Телефоную щодо електромонтажних робіт в укритті. Ми перевіряємо GoProceed для підрядників, яким треба до закриття ділянки зібрати фото й підтвердження по конкретній роботі, а потім передати це технагляду без пошуку в чатах. Шукаємо компанії для безкоштовного пілота 30–45 днів на одному об’єкті. Підкажіть, будь ласка, на яку корпоративну пошту надіслати 40-секундний приклад відповідальному за роботи або керівнику?</x:v>
      </x:c>
      <x:c r="O9" s="25" t="str">
        <x:v>Якщо корпоративну адресу отримано: надіслати приклад і запитати, чи є електромонтажна ділянка, яку закриватимуть у наступні 30 днів. Без отриманої корпоративної адреси повторний контакт не робити.</x:v>
      </x:c>
      <x:c r="P9" s="25" t="str">
        <x:v>ready_for_authorized_phone_routing_call</x:v>
      </x:c>
      <x:c r="Q9" s="28" t="str">
        <x:v>0 — Не запрошували</x:v>
      </x:c>
      <x:c r="R9" s="36"/>
      <x:c r="S9" s="28" t="str"/>
      <x:c r="T9" s="28" t="str"/>
    </x:row>
    <x:row r="10" ht="110" customHeight="1">
      <x:c r="A10" s="20" t="n">
        <x:v>6</x:v>
      </x:c>
      <x:c r="B10" s="20" t="str">
        <x:v>ТОВ «ОПИТНИЙ ЗАВОД М»</x:v>
      </x:c>
      <x:c r="C10" s="21" t="str">
        <x:v>33330969</x:v>
      </x:c>
      <x:c r="D10" s="20" t="str">
        <x:v>Підстанції / силові мережі</x:v>
      </x:c>
      <x:c r="E10" s="22" t="n">
        <x:v>94</x:v>
      </x:c>
      <x:c r="F10" s="20" t="str">
        <x:v>email</x:v>
      </x:c>
      <x:c r="G10" s="20" t="str">
        <x:v>opzavodm@ukr.net</x:v>
      </x:c>
      <x:c r="H10" s="20" t="str">
        <x:v>official_company_website</x:v>
      </x:c>
      <x:c r="I10" s="25" t="str">
        <x:v>http://zavodm.com.ua/kontakty</x:v>
      </x:c>
      <x:c r="J10" s="25" t="str">
        <x:v>реконструкція ВРП із зовнішніми електромережами 110 і 330 кВ та захистом автотрансформаторів</x:v>
      </x:c>
      <x:c r="K10" s="25" t="str">
        <x:v>https://prozorro.gov.ua/tender/UA-2026-07-01-006262-a</x:v>
      </x:c>
      <x:c r="L10" s="25" t="str">
        <x:v>директор або керівник ПТВ</x:v>
      </x:c>
      <x:c r="M10" s="25" t="str">
        <x:v>Мережі 110/330 кВ: доказ до закриття, а не після</x:v>
      </x:c>
      <x:c r="N10" s="25" t="str">
        <x:v>Добрий день.
Побачив, що «ОПИТНИЙ ЗАВОД М» виконує роботи з реконструкції ВРП, зовнішніх мереж 110/330 кВ і захисту автотрансформаторів. На таких об’єктах відновлювати зв’язок між роботою, фото й рішенням технагляду вже після закриття особливо дорого.
Ми перевіряємо GoProceed для спеціалізованих підрядників: виконроб бачить потрібне підтвердження до закриття, а технагляд відкриває матеріал за посиланням без реєстрації й приймає або повертає з причиною.
Ось короткий приклад — близько 40 секунд:
{{DEMO_REVIEW_LINK}}
Якщо процес схожий на ваш, можемо безкоштовно пройти один об’єкт у пілоті 30–45 днів. Чи можна після перегляду поставити одне питання про те, як у вас зараз закривають приховані роботи?</x:v>
      </x:c>
      <x:c r="O10" s="25" t="str">
        <x:v>Добрий день. Повертаюся до прикладу GoProceed. Чи є на роботах із ВРП або зовнішніми мережами ділянка, яку закриватимуть у наступні 30 днів? Якщо так, запропоную пілот на одному циклі. Якщо неактуально, достатньо відповісти «неактуально».</x:v>
      </x:c>
      <x:c r="P10" s="25" t="str">
        <x:v>blocked_demo_link_and_sender</x:v>
      </x:c>
      <x:c r="Q10" s="28" t="str">
        <x:v>0 — Не запрошували</x:v>
      </x:c>
      <x:c r="R10" s="36"/>
      <x:c r="S10" s="28" t="str"/>
      <x:c r="T10" s="28" t="str"/>
    </x:row>
    <x:row r="11" ht="110" customHeight="1">
      <x:c r="A11" s="20" t="n">
        <x:v>7</x:v>
      </x:c>
      <x:c r="B11" s="20" t="str">
        <x:v>ТОВ «Електротехнічна компанія»</x:v>
      </x:c>
      <x:c r="C11" s="21" t="str">
        <x:v>32346759</x:v>
      </x:c>
      <x:c r="D11" s="20" t="str">
        <x:v>Резервне живлення</x:v>
      </x:c>
      <x:c r="E11" s="22" t="n">
        <x:v>97</x:v>
      </x:c>
      <x:c r="F11" s="20" t="str">
        <x:v>email</x:v>
      </x:c>
      <x:c r="G11" s="20" t="str">
        <x:v>el_tech@ukr.net</x:v>
      </x:c>
      <x:c r="H11" s="20" t="str">
        <x:v>exact_edrpou_public_company_profile</x:v>
      </x:c>
      <x:c r="I11" s="25" t="str">
        <x:v>https://www.ua-region.com.ua/32346759</x:v>
      </x:c>
      <x:c r="J11" s="25" t="str">
        <x:v>встановлення та підключення дизель-генераторів у закладах освіти Оболонського району Києва</x:v>
      </x:c>
      <x:c r="K11" s="25" t="str">
        <x:v>https://prozorro.gov.ua/tender/UA-2026-08-05-010167-a</x:v>
      </x:c>
      <x:c r="L11" s="25" t="str">
        <x:v>директор або керівник ПТВ</x:v>
      </x:c>
      <x:c r="M11" s="25" t="str">
        <x:v>Монтаж резервного живлення: підтвердження по кожному об’єкту</x:v>
      </x:c>
      <x:c r="N11" s="25" t="str">
        <x:v>Добрий день.
Побачив роботи «Електротехнічної компанії» зі встановлення й підключення дизель-генераторів у закладах освіти Оболонського району. Коли об’єктів кілька, фото та підтвердження легко відриваються від конкретної роботи й адреси.
Ми перевіряємо GoProceed для електромонтажних підрядників: виконроб бачить, що треба зафіксувати, а технагляд переглядає матеріал за посиланням без реєстрації та приймає або повертає з причиною.
Ось короткий приклад — близько 40 секунд:
{{DEMO_REVIEW_LINK}}
Якщо процес схожий на ваш, можемо безкоштовно пройти один об’єкт у пілоті 30–45 днів. Чи можна після перегляду поставити одне питання про те, як у вас зараз закривають приховані роботи?</x:v>
      </x:c>
      <x:c r="O11" s="25" t="str">
        <x:v>Добрий день. Повертаюся до прикладу GoProceed. Чи є серед об’єктів із резервним живленням ділянка, яку планують закривати протягом наступних 30 днів? Якщо так, запропоную пілот на одному об’єкті. Якщо неактуально, достатньо відповісти «неактуально».</x:v>
      </x:c>
      <x:c r="P11" s="25" t="str">
        <x:v>blocked_demo_link_and_sender</x:v>
      </x:c>
      <x:c r="Q11" s="28" t="str">
        <x:v>0 — Не запрошували</x:v>
      </x:c>
      <x:c r="R11" s="36"/>
      <x:c r="S11" s="28" t="str"/>
      <x:c r="T11" s="28" t="str"/>
    </x:row>
    <x:row r="12" ht="110" customHeight="1">
      <x:c r="A12" s="20" t="n">
        <x:v>8</x:v>
      </x:c>
      <x:c r="B12" s="20" t="str">
        <x:v>КП «Електромонтажналадка»</x:v>
      </x:c>
      <x:c r="C12" s="21" t="str">
        <x:v>04847816</x:v>
      </x:c>
      <x:c r="D12" s="20" t="str">
        <x:v>Електромонтаж</x:v>
      </x:c>
      <x:c r="E12" s="22" t="n">
        <x:v>91</x:v>
      </x:c>
      <x:c r="F12" s="20" t="str">
        <x:v>phone</x:v>
      </x:c>
      <x:c r="G12" s="20" t="str">
        <x:v>+380977839849</x:v>
      </x:c>
      <x:c r="H12" s="20" t="str">
        <x:v>exact_edrpou_public_company_phone</x:v>
      </x:c>
      <x:c r="I12" s="25" t="str">
        <x:v>https://www.ua-region.com.ua/04847816</x:v>
      </x:c>
      <x:c r="J12" s="25" t="str">
        <x:v>демонтаж, перевезення та встановлення силового трансформатора у Баштанському районі</x:v>
      </x:c>
      <x:c r="K12" s="25" t="str">
        <x:v>https://prozorro.gov.ua/tender/UA-2026-06-12-003411-a</x:v>
      </x:c>
      <x:c r="L12" s="25" t="str">
        <x:v>корпоративна приймальня → директор або керівник ПТВ</x:v>
      </x:c>
      <x:c r="M12" s="25" t="str"/>
      <x:c r="N12" s="25" t="str">
        <x:v>Добрий день. Телефоную щодо робіт із демонтажу та встановлення силового трансформатора у Баштанському районі. Ми перевіряємо GoProceed для електромонтажних підрядників: виконроб заздалегідь бачить, що треба зафіксувати, а технагляд приймає або повертає матеріал за посиланням без реєстрації. Шукаємо компанії для безкоштовного пілота 30–45 днів на одному об’єкті. Підкажіть, будь ласка, на яку корпоративну пошту надіслати 40-секундний приклад для керівника ПТВ або директора?</x:v>
      </x:c>
      <x:c r="O12" s="25" t="str">
        <x:v>Якщо корпоративну адресу отримано: надіслати приклад і запитати, чи є трансформаторні або кабельні роботи, які закриватимуть у наступні 30 днів. Без отриманої корпоративної адреси повторний контакт не робити.</x:v>
      </x:c>
      <x:c r="P12" s="25" t="str">
        <x:v>ready_for_authorized_phone_routing_call</x:v>
      </x:c>
      <x:c r="Q12" s="28" t="str">
        <x:v>0 — Не запрошували</x:v>
      </x:c>
      <x:c r="R12" s="36"/>
      <x:c r="S12" s="28" t="str"/>
      <x:c r="T12" s="28" t="str"/>
    </x:row>
    <x:row r="13" ht="110" customHeight="1">
      <x:c r="A13" s="20" t="n">
        <x:v>9</x:v>
      </x:c>
      <x:c r="B13" s="20" t="str">
        <x:v>ТОВ «КМК ЕЛЕКТРО»</x:v>
      </x:c>
      <x:c r="C13" s="21" t="str">
        <x:v>40858527</x:v>
      </x:c>
      <x:c r="D13" s="20" t="str">
        <x:v>Підстанції / силові мережі</x:v>
      </x:c>
      <x:c r="E13" s="22" t="n">
        <x:v>90</x:v>
      </x:c>
      <x:c r="F13" s="20" t="str">
        <x:v>email</x:v>
      </x:c>
      <x:c r="G13" s="20" t="str">
        <x:v>tovkmke@gmail.com</x:v>
      </x:c>
      <x:c r="H13" s="20" t="str">
        <x:v>exact_edrpou_public_company_profile</x:v>
      </x:c>
      <x:c r="I13" s="25" t="str">
        <x:v>https://www.ua-region.com.ua/40858527</x:v>
      </x:c>
      <x:c r="J13" s="25" t="str">
        <x:v>будівництво кабельних ліній 0,4 кВ для житлових будинків у Житомирі</x:v>
      </x:c>
      <x:c r="K13" s="25" t="str">
        <x:v>https://prozorro.gov.ua/tender/UA-2025-12-04-020599-a</x:v>
      </x:c>
      <x:c r="L13" s="25" t="str">
        <x:v>директор або керівник ПТВ</x:v>
      </x:c>
      <x:c r="M13" s="25" t="str">
        <x:v>КЛ-0,4 кВ у Житомирі: фото, вимога й рішення в одному циклі</x:v>
      </x:c>
      <x:c r="N13" s="25" t="str">
        <x:v>Добрий день.
Побачив роботи «КМК ЕЛЕКТРО» з будівництва кабельних ліній 0,4 кВ для житлових будинків у Житомирі. На кабельних роботах найскладніше не зробити фото, а зберегти його зв’язок із конкретною ділянкою та підтвердженням технагляду до засипання.
Ми перевіряємо GoProceed для електромонтажних підрядників: виконроб бачить потрібне підтвердження заздалегідь, а технагляд відкриває матеріал за посиланням без реєстрації й приймає або повертає з причиною.
Ось короткий приклад — близько 40 секунд:
{{DEMO_REVIEW_LINK}}
Якщо процес схожий на ваш, можемо безкоштовно пройти один об’єкт у пілоті 30–45 днів. Чи можна після перегляду поставити одне питання про те, як у вас зараз закривають приховані роботи?</x:v>
      </x:c>
      <x:c r="O13" s="25" t="str">
        <x:v>Добрий день. Повертаюся до прикладу GoProceed. Чи є кабельна ділянка, яку планують засипати або закрити протягом наступних 30 днів? Якщо так, запропоную пілот саме на ній. Якщо неактуально, достатньо відповісти «неактуально».</x:v>
      </x:c>
      <x:c r="P13" s="25" t="str">
        <x:v>blocked_demo_link_and_sender</x:v>
      </x:c>
      <x:c r="Q13" s="28" t="str">
        <x:v>0 — Не запрошували</x:v>
      </x:c>
      <x:c r="R13" s="36"/>
      <x:c r="S13" s="28" t="str"/>
      <x:c r="T13" s="28" t="str"/>
    </x:row>
    <x:row r="14" ht="110" customHeight="1">
      <x:c r="A14" s="20" t="n">
        <x:v>10</x:v>
      </x:c>
      <x:c r="B14" s="20" t="str">
        <x:v>ТОВ «ГІДРА БУД МОНТАЖ»</x:v>
      </x:c>
      <x:c r="C14" s="21" t="str">
        <x:v>44215219</x:v>
      </x:c>
      <x:c r="D14" s="20" t="str">
        <x:v>Газопостачання / котельні</x:v>
      </x:c>
      <x:c r="E14" s="22" t="n">
        <x:v>89</x:v>
      </x:c>
      <x:c r="F14" s="20" t="str">
        <x:v>email</x:v>
      </x:c>
      <x:c r="G14" s="20" t="str">
        <x:v>gbm.ay.info@gmail.com</x:v>
      </x:c>
      <x:c r="H14" s="20" t="str">
        <x:v>exact_edrpou_public_company_profile</x:v>
      </x:c>
      <x:c r="I14" s="25" t="str">
        <x:v>https://www.ua-region.com.ua/44215219</x:v>
      </x:c>
      <x:c r="J14" s="25" t="str">
        <x:v>реконструкція модульної котельні у Харкові, монтаж димових труб і опори під газохід</x:v>
      </x:c>
      <x:c r="K14" s="25" t="str">
        <x:v>https://prozorro.gov.ua/tender/UA-2026-01-22-000871-a</x:v>
      </x:c>
      <x:c r="L14" s="25" t="str">
        <x:v>директор або керівник ПТВ</x:v>
      </x:c>
      <x:c r="M14" s="25" t="str">
        <x:v>Котельня у Харкові: підтвердження монтажу до закриття</x:v>
      </x:c>
      <x:c r="N14" s="25" t="str">
        <x:v>Добрий день.
Побачив роботи «ГІДРА БУД МОНТАЖ» з реконструкції модульної котельні у Харкові, монтажу димових труб та опори під газохід. На таких інженерних роботах фото й підтвердження легко залишаються окремо від конкретної ділянки та вимоги.
Ми перевіряємо GoProceed для інженерних підрядників: виконроб бачить, що треба зафіксувати до закриття, а технагляд відкриває матеріал за посиланням без реєстрації й приймає або повертає з причиною.
Ось короткий приклад — близько 40 секунд:
{{DEMO_REVIEW_LINK}}
Якщо процес схожий на ваш, можемо безкоштовно пройти один об’єкт у пілоті 30–45 днів. Чи можна після перегляду поставити одне питання про те, як у вас зараз закривають приховані роботи?</x:v>
      </x:c>
      <x:c r="O14" s="25" t="str">
        <x:v>Добрий день. Повертаюся до прикладу GoProceed. Чи є на роботах із котельнею або газоходом ділянка, яку планують закривати протягом наступних 30 днів? Якщо так, запропоную пілот саме на ній. Якщо неактуально, достатньо відповісти «неактуально».</x:v>
      </x:c>
      <x:c r="P14" s="25" t="str">
        <x:v>blocked_demo_link_and_sender</x:v>
      </x:c>
      <x:c r="Q14" s="28" t="str">
        <x:v>0 — Не запрошували</x:v>
      </x:c>
      <x:c r="R14" s="36"/>
      <x:c r="S14" s="28" t="str"/>
      <x:c r="T14" s="28" t="str"/>
    </x:row>
  </x:sheetData>
  <x:mergeCells>
    <x:mergeCell ref="A1:T1"/>
    <x:mergeCell ref="A2:T2"/>
  </x:mergeCells>
  <x:conditionalFormatting sqref="E5:E14">
    <x:cfRule type="dataBar" priority="1">
      <x:dataBar>
        <x:cfvo type="min"/>
        <x:cfvo type="max"/>
        <x:color rgb="FF2D6CDF"/>
      </x:dataBar>
      <x:extLst>
        <x:ext xmlns:x14="http://schemas.microsoft.com/office/spreadsheetml/2009/9/main" uri="{B025F937-C7B1-47D3-B67F-A62EFF666E3E}">
          <x14:id>{8285265A-5EE7-9556-5FB7-1A2DE27F0534}</x14:id>
        </x:ext>
      </x:extLst>
    </x:cfRule>
  </x:conditionalFormatting>
  <x:conditionalFormatting sqref="F5:F14">
    <x:cfRule type="beginsWith" dxfId="6" priority="2" operator="beginsWith" text="email"/>
    <x:cfRule type="beginsWith" dxfId="7" priority="3" operator="beginsWith" text="phone"/>
  </x:conditionalFormatting>
  <x:conditionalFormatting sqref="P5:P14">
    <x:cfRule type="beginsWith" dxfId="8" priority="4" operator="beginsWith" text="ready"/>
    <x:cfRule type="beginsWith" dxfId="9" priority="5" operator="beginsWith" text="blocked"/>
  </x:conditionalFormatting>
  <x:conditionalFormatting sqref="Q5:Q14">
    <x:cfRule type="beginsWith" dxfId="10" priority="6" operator="beginsWith" text="5"/>
    <x:cfRule type="beginsWith" dxfId="11" priority="7" operator="beginsWith" text="6"/>
  </x:conditionalFormatting>
  <x:dataValidations count="1">
    <x:dataValidation type="list" sqref="Q5:Q14">
      <x:formula1>"0 — Не запрошували,1 — Запрошення надіслано,2 — Відповів / цікаво,3 — Артефакт отримано,4 — Discovery проведено,5 — Пілот погоджено,6 — Пілот стартував,7 — Не зараз,8 — Відмова,9 — Не fit"</x:formula1>
    </x:dataValidation>
  </x:dataValidations>
  <x:pageMargins left="0.7" right="0.7" top="0.75" bottom="0.75" header="0.3" footer="0.3"/>
  <x:tableParts count="1">
    <x:tablePart xmlns:r="http://schemas.openxmlformats.org/officeDocument/2006/relationships" r:id="R96495a2b72524500"/>
  </x:tableParts>
  <x:extLst>
    <x:ext xmlns:x14="http://schemas.microsoft.com/office/spreadsheetml/2009/9/main" xmlns:xm="http://schemas.microsoft.com/office/excel/2006/main" uri="{78C0D931-6437-407d-A8EE-F0AAD7539E65}">
      <x14:conditionalFormattings>
        <x14:conditionalFormatting>
          <x14:cfRule type="dataBar" priority="1" id="{8285265A-5EE7-9556-5FB7-1A2DE27F0534}">
            <x14:dataBar gradient="1">
              <x14:cfvo type="min"/>
              <x14:cfvo type="max"/>
              <x14:fillColor rgb="FF2D6CDF"/>
            </x14:dataBar>
          </x14:cfRule>
          <xm:sqref>E5:E14</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58" hidden="0" customWidth="1"/>
    <x:col min="3" max="3" width="40" hidden="0" customWidth="1"/>
    <x:col min="4" max="4" width="40" hidden="0" customWidth="1"/>
    <x:col min="5" max="5" width="40" hidden="0" customWidth="1"/>
    <x:col min="6" max="6" width="14" hidden="0" customWidth="1"/>
  </x:cols>
  <x:sheetData>
    <x:row r="1" ht="34" customHeight="1">
      <x:c r="A1" s="3" t="str">
        <x:v>Rules &amp; Sources</x:v>
      </x:c>
      <x:c r="B1" s="3" t="str">
        <x:v>Rules &amp; Sources</x:v>
      </x:c>
      <x:c r="C1" s="3" t="str">
        <x:v>Rules &amp; Sources</x:v>
      </x:c>
      <x:c r="D1" s="3" t="str">
        <x:v>Rules &amp; Sources</x:v>
      </x:c>
      <x:c r="E1" s="3" t="str">
        <x:v>Rules &amp; Sources</x:v>
      </x:c>
      <x:c r="F1" s="3" t="str">
        <x:v>Rules &amp; Sources</x:v>
      </x:c>
    </x:row>
    <x:row r="2" ht="28" customHeight="1">
      <x:c r="A2" s="7" t="str">
        <x:v>Visible scoring rules make the shortlist auditable. Yellow cells throughout the workbook are intended for user input.</x:v>
      </x:c>
      <x:c r="B2" s="7" t="str">
        <x:v>Visible scoring rules make the shortlist auditable. Yellow cells throughout the workbook are intended for user input.</x:v>
      </x:c>
      <x:c r="C2" s="7" t="str">
        <x:v>Visible scoring rules make the shortlist auditable. Yellow cells throughout the workbook are intended for user input.</x:v>
      </x:c>
      <x:c r="D2" s="7" t="str">
        <x:v>Visible scoring rules make the shortlist auditable. Yellow cells throughout the workbook are intended for user input.</x:v>
      </x:c>
      <x:c r="E2" s="7" t="str">
        <x:v>Visible scoring rules make the shortlist auditable. Yellow cells throughout the workbook are intended for user input.</x:v>
      </x:c>
      <x:c r="F2" s="7" t="str">
        <x:v>Visible scoring rules make the shortlist auditable. Yellow cells throughout the workbook are intended for user input.</x:v>
      </x:c>
    </x:row>
    <x:row r="4" ht="34" customHeight="1">
      <x:c r="A4" s="16" t="str">
        <x:v>Source / metric</x:v>
      </x:c>
      <x:c r="B4" s="18" t="str">
        <x:v>Value</x:v>
      </x:c>
    </x:row>
    <x:row r="5">
      <x:c r="A5" s="20" t="str">
        <x:v>Source accounts</x:v>
      </x:c>
      <x:c r="B5" s="20" t="n">
        <x:v>2178</x:v>
      </x:c>
    </x:row>
    <x:row r="6">
      <x:c r="A6" s="20" t="str">
        <x:v>Selected accounts</x:v>
      </x:c>
      <x:c r="B6" s="20" t="n">
        <x:v>103</x:v>
      </x:c>
    </x:row>
    <x:row r="7">
      <x:c r="A7" s="20" t="str">
        <x:v>A1 launch now</x:v>
      </x:c>
      <x:c r="B7" s="20" t="n">
        <x:v>21</x:v>
      </x:c>
    </x:row>
    <x:row r="8">
      <x:c r="A8" s="20" t="str">
        <x:v>A2 qualify first</x:v>
      </x:c>
      <x:c r="B8" s="20" t="n">
        <x:v>50</x:v>
      </x:c>
    </x:row>
    <x:row r="9">
      <x:c r="A9" s="20" t="str">
        <x:v>B1 discovery reserve</x:v>
      </x:c>
      <x:c r="B9" s="20" t="n">
        <x:v>30</x:v>
      </x:c>
    </x:row>
    <x:row r="12" ht="34" customHeight="1">
      <x:c r="A12" s="16" t="str">
        <x:v>Group</x:v>
      </x:c>
      <x:c r="B12" s="17" t="str">
        <x:v>Entry rule</x:v>
      </x:c>
      <x:c r="C12" s="17" t="str">
        <x:v>Commercial motion</x:v>
      </x:c>
      <x:c r="D12" s="17" t="str">
        <x:v>Do not do</x:v>
      </x:c>
      <x:c r="E12" s="17" t="str">
        <x:v>Exit condition</x:v>
      </x:c>
      <x:c r="F12" s="18" t="str">
        <x:v>Current count</x:v>
      </x:c>
    </x:row>
    <x:row r="13" ht="58" customHeight="1">
      <x:c r="A13" s="20" t="str">
        <x:v>A1</x:v>
      </x:c>
      <x:c r="B13" s="25" t="str">
        <x:v>Direct N.14/N.15, score ≥80, live project, no public/requalification signal, usable evidence/route</x:v>
      </x:c>
      <x:c r="C13" s="25" t="str">
        <x:v>Offer a narrow free 30–45 day pilot</x:v>
      </x:c>
      <x:c r="D13" s="25" t="str">
        <x:v>Do not send more than one batch before review</x:v>
      </x:c>
      <x:c r="E13" s="25" t="str">
        <x:v>Explicit agreement evidence</x:v>
      </x:c>
      <x:c r="F13" s="20" t="n">
        <x:v>21</x:v>
      </x:c>
    </x:row>
    <x:row r="14" ht="58" customHeight="1">
      <x:c r="A14" s="20" t="str">
        <x:v>A2</x:v>
      </x:c>
      <x:c r="B14" s="25" t="str">
        <x:v>Direct N.14/N.15, score ≥68, but route or own-execution question remains</x:v>
      </x:c>
      <x:c r="C14" s="25" t="str">
        <x:v>Qualify first; then move to A1</x:v>
      </x:c>
      <x:c r="D14" s="25" t="str">
        <x:v>Do not promise a pilot before fit confirmation</x:v>
      </x:c>
      <x:c r="E14" s="25" t="str">
        <x:v>Own execution + PТО + active package confirmed</x:v>
      </x:c>
      <x:c r="F14" s="20" t="n">
        <x:v>50</x:v>
      </x:c>
    </x:row>
    <x:row r="15" ht="58" customHeight="1">
      <x:c r="A15" s="20" t="str">
        <x:v>B1</x:v>
      </x:c>
      <x:c r="B15" s="25" t="str">
        <x:v>Adjacent workflow with strong process fit</x:v>
      </x:c>
      <x:c r="C15" s="25" t="str">
        <x:v>Two-week discovery before any pilot</x:v>
      </x:c>
      <x:c r="D15" s="25" t="str">
        <x:v>Do not position as shipped N.14/N.15 fit</x:v>
      </x:c>
      <x:c r="E15" s="25" t="str">
        <x:v>Workflow-fit verdict</x:v>
      </x:c>
      <x:c r="F15" s="20" t="n">
        <x:v>30</x:v>
      </x:c>
    </x:row>
    <x:row r="16" ht="58" customHeight="1">
      <x:c r="A16" s="20" t="str">
        <x:v>C</x:v>
      </x:c>
      <x:c r="B16" s="25" t="str">
        <x:v>General contractor / channel signal</x:v>
      </x:c>
      <x:c r="C16" s="25" t="str">
        <x:v>Ask for introduction to PТО or specialist subcontractor</x:v>
      </x:c>
      <x:c r="D16" s="25" t="str">
        <x:v>Do not count as direct pilot account</x:v>
      </x:c>
      <x:c r="E16" s="25" t="str">
        <x:v>Named internal or subcontractor workflow owner</x:v>
      </x:c>
      <x:c r="F16" s="20" t="n">
        <x:v>2</x:v>
      </x:c>
    </x:row>
    <x:row r="19" ht="34" customHeight="1">
      <x:c r="A19" s="16" t="str">
        <x:v>Funnel status</x:v>
      </x:c>
      <x:c r="B19" s="17" t="str">
        <x:v>Meaning</x:v>
      </x:c>
      <x:c r="C19" s="18" t="str">
        <x:v>Required evidence</x:v>
      </x:c>
    </x:row>
    <x:row r="20" ht="32" customHeight="1">
      <x:c r="A20" s="20" t="str">
        <x:v>0 — Не запрошували</x:v>
      </x:c>
      <x:c r="B20" s="25" t="str">
        <x:v>No outreach sent</x:v>
      </x:c>
      <x:c r="C20" s="25" t="str">
        <x:v>None</x:v>
      </x:c>
    </x:row>
    <x:row r="21" ht="32" customHeight="1">
      <x:c r="A21" s="20" t="str">
        <x:v>1 — Запрошення надіслано</x:v>
      </x:c>
      <x:c r="B21" s="25" t="str">
        <x:v>Invitation sent</x:v>
      </x:c>
      <x:c r="C21" s="25" t="str">
        <x:v>Date/channel in Notes</x:v>
      </x:c>
    </x:row>
    <x:row r="22" ht="32" customHeight="1">
      <x:c r="A22" s="20" t="str">
        <x:v>2 — Відповів / цікаво</x:v>
      </x:c>
      <x:c r="B22" s="25" t="str">
        <x:v>Positive reply or explicit interest</x:v>
      </x:c>
      <x:c r="C22" s="25" t="str">
        <x:v>Reply summary</x:v>
      </x:c>
    </x:row>
    <x:row r="23" ht="32" customHeight="1">
      <x:c r="A23" s="20" t="str">
        <x:v>3 — Артефакт отримано</x:v>
      </x:c>
      <x:c r="B23" s="25" t="str">
        <x:v>Anonymized project package received</x:v>
      </x:c>
      <x:c r="C23" s="25" t="str">
        <x:v>Artifact reference</x:v>
      </x:c>
    </x:row>
    <x:row r="24" ht="32" customHeight="1">
      <x:c r="A24" s="20" t="str">
        <x:v>4 — Discovery проведено</x:v>
      </x:c>
      <x:c r="B24" s="25" t="str">
        <x:v>Workflow review completed</x:v>
      </x:c>
      <x:c r="C24" s="25" t="str">
        <x:v>Date + fit verdict</x:v>
      </x:c>
    </x:row>
    <x:row r="25" ht="32" customHeight="1">
      <x:c r="A25" s="20" t="str">
        <x:v>5 — Пілот погоджено</x:v>
      </x:c>
      <x:c r="B25" s="25" t="str">
        <x:v>Free pilot explicitly accepted</x:v>
      </x:c>
      <x:c r="C25" s="25" t="str">
        <x:v>Agreement evidence is mandatory</x:v>
      </x:c>
    </x:row>
    <x:row r="26" ht="32" customHeight="1">
      <x:c r="A26" s="20" t="str">
        <x:v>6 — Пілот стартував</x:v>
      </x:c>
      <x:c r="B26" s="25" t="str">
        <x:v>Pilot operating on one package</x:v>
      </x:c>
      <x:c r="C26" s="25" t="str">
        <x:v>Agreement evidence + start date</x:v>
      </x:c>
    </x:row>
    <x:row r="27" ht="32" customHeight="1">
      <x:c r="A27" s="20" t="str">
        <x:v>7 — Не зараз</x:v>
      </x:c>
      <x:c r="B27" s="25" t="str">
        <x:v>Valid fit, wrong timing</x:v>
      </x:c>
      <x:c r="C27" s="25" t="str">
        <x:v>Reason / revisit date</x:v>
      </x:c>
    </x:row>
    <x:row r="28" ht="32" customHeight="1">
      <x:c r="A28" s="20" t="str">
        <x:v>8 — Відмова</x:v>
      </x:c>
      <x:c r="B28" s="25" t="str">
        <x:v>Explicit decline</x:v>
      </x:c>
      <x:c r="C28" s="25" t="str">
        <x:v>Reason if shared</x:v>
      </x:c>
    </x:row>
    <x:row r="29" ht="32" customHeight="1">
      <x:c r="A29" s="20" t="str">
        <x:v>9 — Не fit</x:v>
      </x:c>
      <x:c r="B29" s="25" t="str">
        <x:v>Qualification disproved fit</x:v>
      </x:c>
      <x:c r="C29" s="25" t="str">
        <x:v>Short fit verdict</x:v>
      </x:c>
    </x:row>
    <x:row r="32" ht="34" customHeight="1">
      <x:c r="A32" s="16" t="str">
        <x:v>Source file</x:v>
      </x:c>
      <x:c r="B32" s="18" t="str">
        <x:v>Purpose</x:v>
      </x:c>
    </x:row>
    <x:row r="33">
      <x:c r="A33" s="20" t="str">
        <x:v>prospects_unified_v8_2026-08-24.json</x:v>
      </x:c>
      <x:c r="B33" s="20" t="str">
        <x:v>Authoritative 2,178-account source base</x:v>
      </x:c>
    </x:row>
    <x:row r="34">
      <x:c r="A34" s="20" t="str">
        <x:v>pilot_shortlist_2026-08-25.json</x:v>
      </x:c>
      <x:c r="B34" s="20" t="str">
        <x:v>Selected and ranked pilot cohorts</x:v>
      </x:c>
    </x:row>
    <x:row r="35">
      <x:c r="A35" s="20" t="str">
        <x:v>pilot_browser_verification_2026-08-25.json</x:v>
      </x:c>
      <x:c r="B35" s="20" t="str">
        <x:v>Focused company-level Browser verification</x:v>
      </x:c>
    </x:row>
    <x:row r="36">
      <x:c r="A36" s="20" t="str">
        <x:v>Prozorro tender URLs in Pilot Shortlist</x:v>
      </x:c>
      <x:c r="B36" s="20" t="str">
        <x:v>Live project and work-scope evidence</x:v>
      </x:c>
    </x:row>
    <x:row r="37">
      <x:c r="A37" s="20" t="str">
        <x:v>pilot_outreach_A1-N01_2026-08-25.json</x:v>
      </x:c>
      <x:c r="B37" s="20" t="str">
        <x:v>Verified corporate routes, copy and send guardrails for the first batch</x:v>
      </x:c>
    </x:row>
  </x:sheetData>
  <x:mergeCells>
    <x:mergeCell ref="A1:F1"/>
    <x:mergeCell ref="A2:F2"/>
  </x:mergeCells>
  <x:pageMargins left="0.7" right="0.7" top="0.75" bottom="0.75" header="0.3" footer="0.3"/>
</x:worksheet>
</file>