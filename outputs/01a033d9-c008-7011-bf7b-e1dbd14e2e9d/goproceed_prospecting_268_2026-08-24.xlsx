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ce90ab5dba9445e" /></Relationships>
</file>

<file path=xl/workbook.xml><?xml version="1.0" encoding="utf-8"?>
<x:workbook xmlns:x="http://schemas.openxmlformats.org/spreadsheetml/2006/main">
  <x:sheets>
    <x:sheet xmlns:r="http://schemas.openxmlformats.org/officeDocument/2006/relationships" name="Dashboard" sheetId="1" r:id="Re4c987affc6447a8"/>
    <x:sheet xmlns:r="http://schemas.openxmlformats.org/officeDocument/2006/relationships" name="Leads 268" sheetId="2" r:id="R63728fabdc2442f1"/>
    <x:sheet xmlns:r="http://schemas.openxmlformats.org/officeDocument/2006/relationships" name="Vertical Map" sheetId="3" r:id="Re44d02b39a714002"/>
    <x:sheet xmlns:r="http://schemas.openxmlformats.org/officeDocument/2006/relationships" name="Pilot Offer" sheetId="4" r:id="R6f64e6d8422445c3"/>
    <x:sheet xmlns:r="http://schemas.openxmlformats.org/officeDocument/2006/relationships" name="Outreach" sheetId="5" r:id="R8ec3b66e5ee14bba"/>
    <x:sheet xmlns:r="http://schemas.openxmlformats.org/officeDocument/2006/relationships" name="Methodology" sheetId="6" r:id="R458150b69f1a49d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dd.mm.yyyy"/>
  </x:numFmts>
  <x:fonts count="20">
    <x:font>
      <x:sz val="11"/>
      <x:name val="Carlito"/>
    </x:font>
    <x:font>
      <x:b/>
      <x:sz val="20"/>
      <x:color rgb="FFFFFFFF"/>
      <x:name val="Carlito"/>
    </x:font>
    <x:font>
      <x:sz val="10"/>
      <x:color rgb="FFD7E3EF"/>
      <x:name val="Carlito"/>
    </x:font>
    <x:font>
      <x:i/>
      <x:sz val="10"/>
      <x:color rgb="FF7C4A03"/>
      <x:name val="Carlito"/>
    </x:font>
    <x:font>
      <x:b/>
      <x:sz val="9"/>
      <x:color rgb="FFFFFFFF"/>
      <x:name val="Carlito"/>
    </x:font>
    <x:font>
      <x:sz val="9"/>
      <x:color rgb="FF1F2937"/>
      <x:name val="Carlito"/>
    </x:font>
    <x:font>
      <x:b/>
      <x:sz val="12"/>
      <x:color rgb="FF17324D"/>
      <x:name val="Carlito"/>
    </x:font>
    <x:font>
      <x:b/>
      <x:sz val="9"/>
      <x:color rgb="FF4B5563"/>
      <x:name val="Carlito"/>
    </x:font>
    <x:font>
      <x:b/>
      <x:sz val="22"/>
      <x:color rgb="FF17324D"/>
      <x:name val="Carlito"/>
    </x:font>
    <x:font>
      <x:sz val="8"/>
      <x:color rgb="FF6B7280"/>
      <x:name val="Carlito"/>
    </x:font>
    <x:font>
      <x:b/>
      <x:sz val="11"/>
      <x:color rgb="FFFFFFFF"/>
      <x:name val="Carlito"/>
    </x:font>
    <x:font>
      <x:sz val="10"/>
      <x:color rgb="FF1F2937"/>
      <x:name val="Carlito"/>
    </x:font>
    <x:font>
      <x:b/>
      <x:sz val="14"/>
      <x:color rgb="FFFFFFFF"/>
      <x:name val="Carlito"/>
    </x:font>
    <x:font>
      <x:b/>
      <x:sz val="11"/>
      <x:color rgb="FF17324D"/>
      <x:name val="Carlito"/>
    </x:font>
    <x:font>
      <x:b/>
      <x:sz val="9"/>
      <x:color rgb="FF17324D"/>
      <x:name val="Carlito"/>
    </x:font>
    <x:font>
      <x:sz val="11"/>
      <x:color rgb="FF17324D"/>
      <x:name val="Carlito"/>
    </x:font>
    <x:font>
      <x:sz val="11"/>
      <x:color rgb="FF4C1D95"/>
      <x:name val="Carlito"/>
    </x:font>
    <x:font>
      <x:sz val="10"/>
      <x:color rgb="FFB91C1C"/>
      <x:name val="Carlito"/>
    </x:font>
    <x:font>
      <x:sz val="11"/>
      <x:color rgb="FF1F2937"/>
      <x:name val="Carlito"/>
    </x:font>
    <x:font>
      <x:sz val="10"/>
      <x:color rgb="FF7C4A03"/>
      <x:name val="Carlito"/>
    </x:font>
  </x:fonts>
  <x:fills count="10">
    <x:fill>
      <x:patternFill patternType="none"/>
    </x:fill>
    <x:fill>
      <x:patternFill patternType="gray125"/>
    </x:fill>
    <x:fill>
      <x:patternFill patternType="solid">
        <x:fgColor rgb="FF17324D"/>
      </x:patternFill>
    </x:fill>
    <x:fill>
      <x:patternFill patternType="solid">
        <x:fgColor rgb="FFFFF4D6"/>
      </x:patternFill>
    </x:fill>
    <x:fill>
      <x:patternFill patternType="solid">
        <x:fgColor rgb="FF0D9488"/>
      </x:patternFill>
    </x:fill>
    <x:fill>
      <x:patternFill patternType="solid">
        <x:fgColor rgb="FFEAF3FF"/>
      </x:patternFill>
    </x:fill>
    <x:fill>
      <x:patternFill patternType="solid">
        <x:fgColor rgb="FFF3F4F6"/>
      </x:patternFill>
    </x:fill>
    <x:fill>
      <x:patternFill patternType="solid">
        <x:fgColor rgb="FFE9F7ED"/>
      </x:patternFill>
    </x:fill>
    <x:fill>
      <x:patternFill patternType="solid">
        <x:fgColor rgb="FFF1EAFE"/>
      </x:patternFill>
    </x:fill>
    <x:fill>
      <x:patternFill patternType="solid">
        <x:fgColor rgb="FFFDECEC"/>
      </x:patternFill>
    </x:fill>
  </x:fills>
  <x:borders count="4">
    <x:border/>
    <x:border>
      <x:bottom style="thin">
        <x:color rgb="FF2563EB"/>
      </x:bottom>
    </x:border>
    <x:border>
      <x:bottom style="thin">
        <x:color rgb="FFD1D5DB"/>
      </x:bottom>
    </x:border>
    <x:border>
      <x:bottom style="thin">
        <x:color rgb="FFE5E7EB"/>
      </x:bottom>
    </x:border>
  </x:borders>
  <x:cellStyleXfs count="1">
    <x:xf numFmtId="0" fontId="0" fillId="0" borderId="0"/>
  </x:cellStyleXfs>
  <x:cellXfs count="8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2" borderId="0" xfId="0" applyNumberFormat="1" applyFont="1" applyFill="1" applyBorder="1"/>
    <x:xf numFmtId="0" fontId="2" fillId="2" borderId="0" xfId="0" applyNumberFormat="1" applyFont="1" applyFill="1" applyBorder="1" applyAlignment="1">
      <x:alignment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5" fillId="0" borderId="0" xfId="0" applyNumberFormat="1" applyFont="1" applyFill="1" applyBorder="1"/>
    <x:xf numFmtId="0" fontId="5" fillId="0" borderId="0" xfId="0" applyNumberFormat="1" applyFont="1" applyFill="1" applyBorder="1" applyAlignment="1">
      <x:alignment vertical="top"/>
    </x:xf>
    <x:xf numFmtId="0" fontId="5" fillId="0" borderId="0" xfId="0" applyNumberFormat="1" applyFont="1" applyFill="1" applyBorder="1" applyAlignment="1">
      <x:alignment vertical="top" wrapText="1"/>
    </x:xf>
    <x:xf numFmtId="200" fontId="5" fillId="0" borderId="0" xfId="0" applyNumberFormat="1" applyFont="1" applyFill="1" applyBorder="1" applyAlignment="1">
      <x:alignment vertical="top"/>
    </x:xf>
    <x:xf numFmtId="0" fontId="5" fillId="0" borderId="0" xfId="0" applyNumberFormat="1" applyFont="1" applyFill="1" applyBorder="1" applyAlignment="1">
      <x:alignment horizontal="center" vertical="top"/>
    </x:xf>
    <x:xf numFmtId="201" fontId="5" fillId="0" borderId="0" xfId="0" applyNumberFormat="1" applyFont="1" applyFill="1" applyBorder="1" applyAlignment="1">
      <x:alignment vertical="top"/>
    </x:xf>
    <x:xf numFmtId="201" fontId="0" fillId="0" borderId="0" xfId="0" applyNumberFormat="1" applyFont="1" applyFill="1" applyBorder="1"/>
    <x:xf numFmtId="0" fontId="0" fillId="5" borderId="0" xfId="0" applyNumberFormat="1" applyFont="1" applyFill="1" applyBorder="1"/>
    <x:xf numFmtId="0" fontId="6" fillId="5" borderId="0" xfId="0" applyNumberFormat="1" applyFont="1" applyFill="1" applyBorder="1"/>
    <x:xf numFmtId="0" fontId="6" fillId="5" borderId="1" xfId="0" applyNumberFormat="1" applyFont="1" applyFill="1" applyBorder="1"/>
    <x:xf numFmtId="0" fontId="6" fillId="5" borderId="1" xfId="0" applyNumberFormat="1" applyFont="1" applyFill="1" applyBorder="1" applyAlignment="1">
      <x:alignment vertical="center"/>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horizontal="center" wrapText="1"/>
    </x:xf>
    <x:xf numFmtId="0" fontId="8" fillId="0" borderId="0" xfId="0" applyNumberFormat="1" applyFont="1" applyFill="1" applyBorder="1"/>
    <x:xf numFmtId="0" fontId="8" fillId="0" borderId="2" xfId="0" applyNumberFormat="1" applyFont="1" applyFill="1" applyBorder="1"/>
    <x:xf numFmtId="0" fontId="8" fillId="0" borderId="2" xfId="0" applyNumberFormat="1" applyFont="1" applyFill="1" applyBorder="1" applyAlignment="1">
      <x:alignment horizontal="center"/>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horizontal="center" wrapText="1"/>
    </x:xf>
    <x:xf numFmtId="0" fontId="10" fillId="4" borderId="0" xfId="0" applyNumberFormat="1" applyFont="1" applyFill="1" applyBorder="1"/>
    <x:xf numFmtId="0" fontId="10" fillId="4" borderId="0" xfId="0" applyNumberFormat="1" applyFont="1" applyFill="1" applyBorder="1" applyAlignment="1">
      <x:alignment horizontal="center"/>
    </x:xf>
    <x:xf numFmtId="0" fontId="11" fillId="0" borderId="0" xfId="0" applyNumberFormat="1" applyFont="1" applyFill="1" applyBorder="1"/>
    <x:xf numFmtId="0" fontId="11" fillId="0" borderId="3" xfId="0" applyNumberFormat="1" applyFont="1" applyFill="1" applyBorder="1"/>
    <x:xf numFmtId="0" fontId="11" fillId="0" borderId="0" xfId="0" applyNumberFormat="1" applyFont="1" applyFill="1" applyBorder="1" applyAlignment="1">
      <x:alignment horizontal="center"/>
    </x:xf>
    <x:xf numFmtId="0" fontId="11" fillId="0" borderId="3" xfId="0" applyNumberFormat="1" applyFont="1" applyFill="1" applyBorder="1" applyAlignment="1">
      <x:alignment horizontal="center"/>
    </x:xf>
    <x:xf numFmtId="0" fontId="12" fillId="2" borderId="0" xfId="0" applyNumberFormat="1" applyFont="1" applyFill="1" applyBorder="1"/>
    <x:xf numFmtId="0" fontId="12" fillId="2" borderId="0" xfId="0" applyNumberFormat="1" applyFont="1" applyFill="1" applyBorder="1" applyAlignment="1">
      <x:alignment horizontal="center"/>
    </x:xf>
    <x:xf numFmtId="0" fontId="12" fillId="2" borderId="0" xfId="0" applyNumberFormat="1" applyFont="1" applyFill="1" applyBorder="1" applyAlignment="1">
      <x:alignment horizontal="center" vertical="center"/>
    </x:xf>
    <x:xf numFmtId="0" fontId="13" fillId="6" borderId="0" xfId="0" applyNumberFormat="1" applyFont="1" applyFill="1" applyBorder="1"/>
    <x:xf numFmtId="0" fontId="13" fillId="6" borderId="0" xfId="0" applyNumberFormat="1" applyFont="1" applyFill="1" applyBorder="1" applyAlignment="1">
      <x:alignment vertical="center"/>
    </x:xf>
    <x:xf numFmtId="0" fontId="11" fillId="0" borderId="0" xfId="0" applyNumberFormat="1" applyFont="1" applyFill="1" applyBorder="1" applyAlignment="1">
      <x:alignment wrapText="1"/>
    </x:xf>
    <x:xf numFmtId="0" fontId="11" fillId="0" borderId="3" xfId="0" applyNumberFormat="1" applyFont="1" applyFill="1" applyBorder="1" applyAlignment="1">
      <x:alignment wrapText="1"/>
    </x:xf>
    <x:xf numFmtId="0" fontId="11" fillId="0" borderId="0" xfId="0" applyNumberFormat="1" applyFont="1" applyFill="1" applyBorder="1" applyAlignment="1">
      <x:alignment vertical="center" wrapText="1"/>
    </x:xf>
    <x:xf numFmtId="0" fontId="11" fillId="0" borderId="3" xfId="0" applyNumberFormat="1" applyFont="1" applyFill="1" applyBorder="1" applyAlignment="1">
      <x:alignment vertical="center" wrapText="1"/>
    </x:xf>
    <x:xf numFmtId="0" fontId="5" fillId="0" borderId="3" xfId="0" applyNumberFormat="1" applyFont="1" applyFill="1" applyBorder="1"/>
    <x:xf numFmtId="0" fontId="5" fillId="0" borderId="0"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3" xfId="0" applyNumberFormat="1" applyFont="1" applyFill="1" applyBorder="1" applyAlignment="1">
      <x:alignment vertical="top" wrapText="1"/>
    </x:xf>
    <x:xf numFmtId="0" fontId="5" fillId="0" borderId="0" xfId="0" applyNumberFormat="1" applyFont="1" applyFill="1" applyBorder="1" applyAlignment="1">
      <x:alignment horizontal="center" vertical="top" wrapText="1"/>
    </x:xf>
    <x:xf numFmtId="0" fontId="5" fillId="0" borderId="3" xfId="0" applyNumberFormat="1" applyFont="1" applyFill="1" applyBorder="1" applyAlignment="1">
      <x:alignment horizontal="center" vertical="top" wrapText="1"/>
    </x:xf>
    <x:xf numFmtId="0" fontId="14" fillId="0" borderId="0" xfId="0" applyNumberFormat="1" applyFont="1" applyFill="1" applyBorder="1" applyAlignment="1">
      <x:alignment vertical="top" wrapText="1"/>
    </x:xf>
    <x:xf numFmtId="0" fontId="14" fillId="0" borderId="3" xfId="0" applyNumberFormat="1" applyFont="1" applyFill="1" applyBorder="1" applyAlignment="1">
      <x:alignment vertical="top" wrapText="1"/>
    </x:xf>
    <x:xf numFmtId="0" fontId="0" fillId="7" borderId="0" xfId="0" applyNumberFormat="1" applyFont="1" applyFill="1" applyBorder="1"/>
    <x:xf numFmtId="0" fontId="15" fillId="7" borderId="0" xfId="0" applyNumberFormat="1" applyFont="1" applyFill="1" applyBorder="1"/>
    <x:xf numFmtId="0" fontId="15" fillId="7" borderId="0" xfId="0" applyNumberFormat="1" applyFont="1" applyFill="1" applyBorder="1" applyAlignment="1">
      <x:alignment wrapText="1"/>
    </x:xf>
    <x:xf numFmtId="0" fontId="15" fillId="7" borderId="0" xfId="0" applyNumberFormat="1" applyFont="1" applyFill="1" applyBorder="1" applyAlignment="1">
      <x:alignment vertical="center" wrapText="1"/>
    </x:xf>
    <x:xf numFmtId="0" fontId="0" fillId="8" borderId="0" xfId="0" applyNumberFormat="1" applyFont="1" applyFill="1" applyBorder="1"/>
    <x:xf numFmtId="0" fontId="16" fillId="8" borderId="0" xfId="0" applyNumberFormat="1" applyFont="1" applyFill="1" applyBorder="1"/>
    <x:xf numFmtId="0" fontId="16" fillId="8" borderId="0" xfId="0" applyNumberFormat="1" applyFont="1" applyFill="1" applyBorder="1" applyAlignment="1">
      <x:alignment wrapText="1"/>
    </x:xf>
    <x:xf numFmtId="0" fontId="16" fillId="8" borderId="0" xfId="0" applyNumberFormat="1" applyFont="1" applyFill="1" applyBorder="1" applyAlignment="1">
      <x:alignment vertical="center" wrapText="1"/>
    </x:xf>
    <x:xf numFmtId="0" fontId="11" fillId="0" borderId="0" xfId="0" applyNumberFormat="1" applyFont="1" applyFill="1" applyBorder="1" applyAlignment="1">
      <x:alignment vertical="top" wrapText="1"/>
    </x:xf>
    <x:xf numFmtId="0" fontId="11" fillId="0" borderId="3" xfId="0" applyNumberFormat="1" applyFont="1" applyFill="1" applyBorder="1" applyAlignment="1">
      <x:alignment vertical="top" wrapText="1"/>
    </x:xf>
    <x:xf numFmtId="0" fontId="0" fillId="9" borderId="0" xfId="0" applyNumberFormat="1" applyFont="1" applyFill="1" applyBorder="1"/>
    <x:xf numFmtId="0" fontId="17" fillId="9" borderId="0" xfId="0" applyNumberFormat="1" applyFont="1" applyFill="1" applyBorder="1"/>
    <x:xf numFmtId="0" fontId="17" fillId="9" borderId="0" xfId="0" applyNumberFormat="1" applyFont="1" applyFill="1" applyBorder="1" applyAlignment="1">
      <x:alignment wrapText="1"/>
    </x:xf>
    <x:xf numFmtId="0" fontId="17" fillId="9" borderId="0" xfId="0" applyNumberFormat="1" applyFont="1" applyFill="1" applyBorder="1" applyAlignment="1">
      <x:alignment vertical="center" wrapText="1"/>
    </x:xf>
    <x:xf numFmtId="0" fontId="18" fillId="0" borderId="0" xfId="0" applyNumberFormat="1" applyFont="1" applyFill="1" applyBorder="1"/>
    <x:xf numFmtId="0" fontId="18" fillId="0" borderId="2" xfId="0" applyNumberFormat="1" applyFont="1" applyFill="1" applyBorder="1"/>
    <x:xf numFmtId="0" fontId="18" fillId="0" borderId="0" xfId="0" applyNumberFormat="1" applyFont="1" applyFill="1" applyBorder="1" applyAlignment="1">
      <x:alignment wrapText="1"/>
    </x:xf>
    <x:xf numFmtId="0" fontId="18" fillId="0" borderId="2" xfId="0" applyNumberFormat="1" applyFont="1" applyFill="1" applyBorder="1" applyAlignment="1">
      <x:alignment wrapText="1"/>
    </x:xf>
    <x:xf numFmtId="0" fontId="18" fillId="0" borderId="0" xfId="0" applyNumberFormat="1" applyFont="1" applyFill="1" applyBorder="1" applyAlignment="1">
      <x:alignment vertical="center" wrapText="1"/>
    </x:xf>
    <x:xf numFmtId="0" fontId="18" fillId="0" borderId="2" xfId="0" applyNumberFormat="1" applyFont="1" applyFill="1" applyBorder="1" applyAlignment="1">
      <x:alignment vertical="center" wrapText="1"/>
    </x:xf>
    <x:xf numFmtId="0" fontId="19" fillId="3" borderId="0" xfId="0" applyNumberFormat="1" applyFont="1" applyFill="1" applyBorder="1"/>
    <x:xf numFmtId="0" fontId="19" fillId="3" borderId="0" xfId="0" applyNumberFormat="1" applyFont="1" applyFill="1" applyBorder="1" applyAlignment="1">
      <x:alignment wrapText="1"/>
    </x:xf>
    <x:xf numFmtId="0" fontId="19" fillId="3" borderId="0" xfId="0" applyNumberFormat="1" applyFont="1" applyFill="1" applyBorder="1" applyAlignment="1">
      <x:alignment vertical="center" wrapText="1"/>
    </x:xf>
  </x:cellXfs>
  <x:cellStyles count="1">
    <x:cellStyle name="Normal" xfId="0"/>
  </x:cellStyles>
  <x:dxfs count="5">
    <x:dxf>
      <x:font>
        <x:b/>
        <x:color rgb="FF15803D"/>
      </x:font>
      <x:fill>
        <x:patternFill patternType="solid">
          <x:bgColor rgb="FFE9F7ED"/>
        </x:patternFill>
      </x:fill>
    </x:dxf>
    <x:dxf>
      <x:font>
        <x:b/>
        <x:color rgb="FF7C3AED"/>
      </x:font>
      <x:fill>
        <x:patternFill patternType="solid">
          <x:bgColor rgb="FFF1EAFE"/>
        </x:patternFill>
      </x:fill>
    </x:dxf>
    <x:dxf>
      <x:font>
        <x:b/>
        <x:color rgb="FF92400E"/>
      </x:font>
      <x:fill>
        <x:patternFill patternType="solid">
          <x:bgColor rgb="FFFFF4D6"/>
        </x:patternFill>
      </x:fill>
    </x:dxf>
    <x:dxf>
      <x:font>
        <x:b/>
        <x:color rgb="FF15803D"/>
      </x:font>
      <x:fill>
        <x:patternFill patternType="solid">
          <x:bgColor rgb="FFE9F7ED"/>
        </x:patternFill>
      </x:fill>
    </x:dxf>
    <x:dxf>
      <x:font>
        <x:b/>
        <x:color rgb="FFB91C1C"/>
      </x:font>
      <x:fill>
        <x:patternFill patternType="solid">
          <x:bgColor rgb="FFFDEC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19e94cd499d4ffc" /><Relationship Type="http://schemas.openxmlformats.org/officeDocument/2006/relationships/theme" Target="/xl/theme/theme1.xml" Id="R4ef62fe17c964908" /><Relationship Type="http://schemas.openxmlformats.org/officeDocument/2006/relationships/sharedStrings" Target="/xl/sharedStrings.xml" Id="R197047b6124e4001" /><Relationship Type="http://schemas.openxmlformats.org/officeDocument/2006/relationships/worksheet" Target="/xl/worksheets/sheet1.xml" Id="Re4c987affc6447a8" /><Relationship Type="http://schemas.openxmlformats.org/officeDocument/2006/relationships/worksheet" Target="/xl/worksheets/sheet2.xml" Id="R63728fabdc2442f1" /><Relationship Type="http://schemas.openxmlformats.org/officeDocument/2006/relationships/worksheet" Target="/xl/worksheets/sheet3.xml" Id="Re44d02b39a714002" /><Relationship Type="http://schemas.openxmlformats.org/officeDocument/2006/relationships/worksheet" Target="/xl/worksheets/sheet4.xml" Id="R6f64e6d8422445c3" /><Relationship Type="http://schemas.openxmlformats.org/officeDocument/2006/relationships/worksheet" Target="/xl/worksheets/sheet5.xml" Id="R8ec3b66e5ee14bba" /><Relationship Type="http://schemas.openxmlformats.org/officeDocument/2006/relationships/worksheet" Target="/xl/worksheets/sheet6.xml" Id="R458150b69f1a49d2" /></Relationships>
</file>

<file path=xl/drawings/_rels/drawing1.xml.rels>&#65279;<?xml version="1.0" encoding="utf-8"?><Relationships xmlns="http://schemas.openxmlformats.org/package/2006/relationships"><Relationship Type="http://schemas.openxmlformats.org/officeDocument/2006/relationships/chart" Target="/xl/drawings/charts/chart1.xml" Id="R693ce998c8ec47e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t>Розмір кожного маршруту</a:t>
            </a:r>
          </a:p>
        </c:rich>
      </c:tx>
      <c:overlay val="0"/>
      <c:txPr>
        <a:bodyPr xmlns:a="http://schemas.openxmlformats.org/drawingml/2006/main" anchorCtr="1"/>
        <a:lstStyle xmlns:a="http://schemas.openxmlformats.org/drawingml/2006/main"/>
        <a:p xmlns:a="http://schemas.openxmlformats.org/drawingml/2006/main">
          <a:pPr>
            <a:defRPr sz="975"/>
          </a:pPr>
        </a:p>
      </c:txPr>
    </c:title>
    <c:plotArea>
      <c:barChart>
        <c:barDir val="col"/>
        <c:varyColors val="0"/>
        <c:ser>
          <c:idx val="0"/>
          <c:order val="0"/>
          <c:tx>
            <c:v>Акаунти</c:v>
          </c:tx>
          <c:cat>
            <c:strRef>
              <c:f>'Dashboard'!$A$12:$A$15</c:f>
              <c:strCache>
                <c:ptCount val="0"/>
              </c:strCache>
            </c:strRef>
          </c:cat>
          <c:val>
            <c:numRef>
              <c:f>'Dashboard'!$B$12:$B$15</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Кількість компаній</a:t>
                </a:r>
              </a:p>
            </c:rich>
          </c:tx>
          <c:overlay val="0"/>
        </c:title>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3</xdr:row>
      <xdr:rowOff>0</xdr:rowOff>
    </xdr:from>
    <xdr:to>
      <xdr:col>14</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93ce998c8ec47eb"/>
        </a:graphicData>
      </a:graphic>
    </xdr:graphicFrame>
    <xdr:clientData/>
  </xdr:twoCellAnchor>
</xdr:wsDr>
</file>

<file path=xl/tables/table1.xml><?xml version="1.0" encoding="utf-8"?>
<x:table xmlns:x="http://schemas.openxmlformats.org/spreadsheetml/2006/main" id="1" name="Prospects268" displayName="Prospects268" ref="A4:AE272" headerRowCount="1" totalsRowCount="0" totalsRowShown="0">
  <x:autoFilter ref="A4:AE272"/>
  <x:tableColumns count="31">
    <x:tableColumn id="1" name="Lead ID"/>
    <x:tableColumn id="2" name="Хвиля"/>
    <x:tableColumn id="3" name="Компанія"/>
    <x:tableColumn id="4" name="Сегмент"/>
    <x:tableColumn id="5" name="Lane"/>
    <x:tableColumn id="6" name="Пріоритет"/>
    <x:tableColumn id="7" name="Домен"/>
    <x:tableColumn id="8" name="Маршрут"/>
    <x:tableColumn id="9" name="Покриття вимог"/>
    <x:tableColumn id="10" name="Workflow fit"/>
    <x:tableColumn id="11" name="Приховані роботи"/>
    <x:tableColumn id="12" name="Масштаб"/>
    <x:tableColumn id="13" name="Документація"/>
    <x:tableColumn id="14" name="Buyer fit"/>
    <x:tableColumn id="15" name="Досяжність"/>
    <x:tableColumn id="16" name="Pilot-now score"/>
    <x:tableColumn id="17" name="Expansion score"/>
    <x:tableColumn id="18" name="Впевненість доказу"/>
    <x:tableColumn id="19" name="Статус перевірки"/>
    <x:tableColumn id="20" name="Доступ до джерела"/>
    <x:tableColumn id="21" name="Статус контакту"/>
    <x:tableColumn id="22" name="Наступна дія"/>
    <x:tableColumn id="23" name="Цільова роль"/>
    <x:tableColumn id="24" name="Доказ відповідності"/>
    <x:tableColumn id="25" name="Тригер"/>
    <x:tableColumn id="26" name="Джерело"/>
    <x:tableColumn id="27" name="ЄДРПОУ"/>
    <x:tableColumn id="28" name="Дата дослідження"/>
    <x:tableColumn id="29" name="Власник"/>
    <x:tableColumn id="30" name="Наступний контакт"/>
    <x:tableColumn id="31" name="Нотатки"/>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e0865cb7fa44450c" /></Relationships>
</file>

<file path=xl/worksheets/_rels/sheet2.xml.rels>&#65279;<?xml version="1.0" encoding="utf-8"?><Relationships xmlns="http://schemas.openxmlformats.org/package/2006/relationships"><Relationship Type="http://schemas.openxmlformats.org/officeDocument/2006/relationships/table" Target="/xl/tables/table1.xml" Id="R6b9e9ff7dba74b10" /></Relationships>
</file>

<file path=xl/worksheets/sheet1.xml><?xml version="1.0" encoding="utf-8"?>
<x:worksheet xmlns:x="http://schemas.openxmlformats.org/spreadsheetml/2006/main">
  <x:sheetFormatPr defaultRowHeight="15"/>
  <x:cols>
    <x:col min="1" max="1" width="15" hidden="0" customWidth="1"/>
    <x:col min="2" max="2" width="22"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s>
  <x:sheetData>
    <x:row r="1" ht="34" customHeight="1">
      <x:c r="A1" s="3" t="str">
        <x:v>GoProceed — market expansion cockpit</x:v>
      </x:c>
      <x:c r="B1" s="3"/>
      <x:c r="C1" s="3"/>
      <x:c r="D1" s="3"/>
      <x:c r="E1" s="3"/>
      <x:c r="F1" s="3"/>
      <x:c r="G1" s="3"/>
      <x:c r="H1" s="3"/>
      <x:c r="I1" s="3"/>
      <x:c r="J1" s="3"/>
      <x:c r="K1" s="3"/>
      <x:c r="L1" s="3"/>
      <x:c r="M1" s="3"/>
      <x:c r="N1" s="3"/>
    </x:row>
    <x:row r="2" ht="22" customHeight="1">
      <x:c r="A2" s="5" t="str">
        <x:v>268 унікальних компаній • +103 без дублювання доменів у новій хвилі • знімок 24.08.2026</x:v>
      </x:c>
      <x:c r="B2" s="5"/>
      <x:c r="C2" s="5"/>
      <x:c r="D2" s="5"/>
      <x:c r="E2" s="5"/>
      <x:c r="F2" s="5"/>
      <x:c r="G2" s="5"/>
      <x:c r="H2" s="5"/>
      <x:c r="I2" s="5"/>
      <x:c r="J2" s="5"/>
      <x:c r="K2" s="5"/>
      <x:c r="L2" s="5"/>
      <x:c r="M2" s="5"/>
      <x:c r="N2" s="5"/>
    </x:row>
    <x:row r="4">
      <x:c r="A4" s="23" t="str">
        <x:v>Ключові показники</x:v>
      </x:c>
      <x:c r="B4" s="23"/>
      <x:c r="C4" s="23"/>
      <x:c r="D4" s="23"/>
      <x:c r="E4" s="23"/>
      <x:c r="F4" s="23"/>
      <x:c r="G4" s="23"/>
    </x:row>
    <x:row r="5">
      <x:c r="A5" s="27" t="str">
        <x:v>Усього</x:v>
      </x:c>
      <x:c r="B5" s="27" t="str">
        <x:v>Перевірено сьогодні</x:v>
      </x:c>
      <x:c r="C5" s="27" t="str">
        <x:v>High confidence</x:v>
      </x:c>
      <x:c r="D5" s="27" t="str">
        <x:v>Pilot now</x:v>
      </x:c>
      <x:c r="E5" s="27" t="str">
        <x:v>Expansion discovery</x:v>
      </x:c>
      <x:c r="F5" s="27" t="str">
        <x:v>Later</x:v>
      </x:c>
      <x:c r="G5" s="27" t="str">
        <x:v>Legacy</x:v>
      </x:c>
    </x:row>
    <x:row r="6">
      <x:c r="A6" s="30" t="n">
        <x:f>COUNTA('Leads 268'!$C$5:$C$350)</x:f>
        <x:v>268</x:v>
      </x:c>
      <x:c r="B6" s="30" t="n">
        <x:f>COUNTIF('Leads 268'!$B$5:$B$350,"Перевірено 51 — 24.08")+COUNTIF('Leads 268'!$B$5:$B$350,"Розширення ніш — 24.08")+COUNTIF('Leads 268'!$B$5:$B$350,"Проєктний сигнал — 24.08")</x:f>
        <x:v>218</x:v>
      </x:c>
      <x:c r="C6" s="30" t="n">
        <x:f>COUNTIF('Leads 268'!$R$5:$R$350,"high")</x:f>
        <x:v>202</x:v>
      </x:c>
      <x:c r="D6" s="30" t="n">
        <x:f>COUNTIF('Leads 268'!$E$5:$E$350,"Pilot now")</x:f>
        <x:v>47</x:v>
      </x:c>
      <x:c r="E6" s="30" t="n">
        <x:f>COUNTIF('Leads 268'!$E$5:$E$350,"Expansion discovery")</x:f>
        <x:v>185</x:v>
      </x:c>
      <x:c r="F6" s="30" t="n">
        <x:f>COUNTIF('Leads 268'!$E$5:$E$350,"Later / requirements")</x:f>
        <x:v>8</x:v>
      </x:c>
      <x:c r="G6" s="30" t="n">
        <x:f>COUNTIF('Leads 268'!$E$5:$E$350,"Requalify")</x:f>
        <x:v>28</x:v>
      </x:c>
    </x:row>
    <x:row r="7">
      <x:c r="A7" s="33" t="str">
        <x:v>Унікальні домени</x:v>
      </x:c>
      <x:c r="B7" s="33" t="str">
        <x:v>115 попередніх + 103 нові</x:v>
      </x:c>
      <x:c r="C7" s="33" t="str">
        <x:v>Офіційний або індексований доказ</x:v>
      </x:c>
      <x:c r="D7" s="33" t="str">
        <x:v>Поточне Н.14/Н.15</x:v>
      </x:c>
      <x:c r="E7" s="33" t="str">
        <x:v>Сильний workflow, потрібні вимоги</x:v>
      </x:c>
      <x:c r="F7" s="33" t="str">
        <x:v>Не зараз</x:v>
      </x:c>
      <x:c r="G7" s="33" t="str">
        <x:v>Повна переперевірка</x:v>
      </x:c>
    </x:row>
    <x:row r="10">
      <x:c r="A10" s="23" t="str">
        <x:v>База за маршрутом</x:v>
      </x:c>
      <x:c r="B10" s="23"/>
      <x:c r="C10" s="23"/>
      <x:c r="D10" s="23"/>
      <x:c r="E10" s="23"/>
      <x:c r="F10" s="23"/>
    </x:row>
    <x:row r="11">
      <x:c r="A11" s="35" t="str">
        <x:v>Lane</x:v>
      </x:c>
      <x:c r="B11" s="35" t="str">
        <x:v>Акаунти</x:v>
      </x:c>
      <x:c r="C11" s="35" t="str">
        <x:v>Top priority</x:v>
      </x:c>
      <x:c r="D11" s="35" t="str">
        <x:v>High confidence</x:v>
      </x:c>
    </x:row>
    <x:row r="12">
      <x:c r="A12" s="36" t="str">
        <x:v>Pilot now</x:v>
      </x:c>
      <x:c r="B12" s="38" t="n">
        <x:f>COUNTIF('Leads 268'!$E$5:$E$350,A12)</x:f>
        <x:v>47</x:v>
      </x:c>
      <x:c r="C12" s="38" t="n">
        <x:f>COUNTIF('Leads 268'!$F$5:$F$350,"P1")</x:f>
        <x:v>46</x:v>
      </x:c>
      <x:c r="D12" s="38" t="n">
        <x:f>COUNTIFS('Leads 268'!$E$5:$E$350,A12,'Leads 268'!$R$5:$R$350,"high")</x:f>
        <x:v>37</x:v>
      </x:c>
    </x:row>
    <x:row r="13">
      <x:c r="A13" s="36" t="str">
        <x:v>Expansion discovery</x:v>
      </x:c>
      <x:c r="B13" s="38" t="n">
        <x:f>COUNTIF('Leads 268'!$E$5:$E$350,A13)</x:f>
        <x:v>185</x:v>
      </x:c>
      <x:c r="C13" s="38" t="n">
        <x:f>COUNTIF('Leads 268'!$F$5:$F$350,"D1")</x:f>
        <x:v>172</x:v>
      </x:c>
      <x:c r="D13" s="38" t="n">
        <x:f>COUNTIFS('Leads 268'!$E$5:$E$350,A13,'Leads 268'!$R$5:$R$350,"high")</x:f>
        <x:v>163</x:v>
      </x:c>
    </x:row>
    <x:row r="14">
      <x:c r="A14" s="36" t="str">
        <x:v>Later / requirements</x:v>
      </x:c>
      <x:c r="B14" s="38" t="n">
        <x:f>COUNTIF('Leads 268'!$E$5:$E$350,A14)</x:f>
        <x:v>8</x:v>
      </x:c>
      <x:c r="C14" s="38" t="n">
        <x:v>0</x:v>
      </x:c>
      <x:c r="D14" s="38" t="n">
        <x:f>COUNTIFS('Leads 268'!$E$5:$E$350,A14,'Leads 268'!$R$5:$R$350,"high")</x:f>
        <x:v>2</x:v>
      </x:c>
    </x:row>
    <x:row r="15">
      <x:c r="A15" s="37" t="str">
        <x:v>Requalify</x:v>
      </x:c>
      <x:c r="B15" s="39" t="n">
        <x:f>COUNTIF('Leads 268'!$E$5:$E$350,A15)</x:f>
        <x:v>28</x:v>
      </x:c>
      <x:c r="C15" s="39" t="n">
        <x:v>0</x:v>
      </x:c>
      <x:c r="D15" s="39" t="n">
        <x:f>COUNTIFS('Leads 268'!$E$5:$E$350,A15,'Leads 268'!$R$5:$R$350,"high")</x:f>
        <x:v>0</x:v>
      </x:c>
    </x:row>
    <x:row r="19">
      <x:c r="A19" s="23" t="str">
        <x:v>Що змінилося після розширення</x:v>
      </x:c>
      <x:c r="B19" s="23"/>
      <x:c r="C19" s="23"/>
      <x:c r="D19" s="23"/>
      <x:c r="E19" s="23"/>
      <x:c r="F19" s="23"/>
      <x:c r="G19" s="23"/>
      <x:c r="H19" s="23"/>
      <x:c r="I19" s="23"/>
      <x:c r="J19" s="23"/>
      <x:c r="K19" s="23"/>
      <x:c r="L19" s="23"/>
      <x:c r="M19" s="23"/>
      <x:c r="N19" s="23"/>
    </x:row>
    <x:row r="20" ht="38" customHeight="1">
      <x:c r="A20" s="42" t="str">
        <x:v>1</x:v>
      </x:c>
      <x:c r="B20" s="44" t="str">
        <x:v>Не один ICP</x:v>
      </x:c>
      <x:c r="C20" s="47" t="str">
        <x:v>Поточний пілот і ринкове розширення мають різні критерії. Не можна змішувати їх одним fit-score.</x:v>
      </x:c>
      <x:c r="D20" s="47"/>
      <x:c r="E20" s="47"/>
      <x:c r="F20" s="47"/>
      <x:c r="G20" s="47"/>
      <x:c r="H20" s="47"/>
      <x:c r="I20" s="47"/>
      <x:c r="J20" s="47"/>
      <x:c r="K20" s="47"/>
      <x:c r="L20" s="47"/>
      <x:c r="M20" s="47"/>
      <x:c r="N20" s="47"/>
    </x:row>
    <x:row r="21" ht="38" customHeight="1">
      <x:c r="A21" s="42" t="str">
        <x:v>2</x:v>
      </x:c>
      <x:c r="B21" s="44" t="str">
        <x:v>Найбільший новий пул</x:v>
      </x:c>
      <x:c r="C21" s="47" t="str">
        <x:v>Водоочищення, резервне живлення, ВОЛЗ, котельні, промислова автоматизація, мости й технологічні трубопроводи дали 103 нові унікальні компанії.</x:v>
      </x:c>
      <x:c r="D21" s="47"/>
      <x:c r="E21" s="47"/>
      <x:c r="F21" s="47"/>
      <x:c r="G21" s="47"/>
      <x:c r="H21" s="47"/>
      <x:c r="I21" s="47"/>
      <x:c r="J21" s="47"/>
      <x:c r="K21" s="47"/>
      <x:c r="L21" s="47"/>
      <x:c r="M21" s="47"/>
      <x:c r="N21" s="47"/>
    </x:row>
    <x:row r="22" ht="38" customHeight="1">
      <x:c r="A22" s="42" t="str">
        <x:v>3</x:v>
      </x:c>
      <x:c r="B22" s="44" t="str">
        <x:v>Discovery-офер</x:v>
      </x:c>
      <x:c r="C22" s="47" t="str">
        <x:v>Для нової вертикалі продаємо не готове покриття, а 2-тижневий workflow audit з одним артефактом і вимогами проєкту.</x:v>
      </x:c>
      <x:c r="D22" s="47"/>
      <x:c r="E22" s="47"/>
      <x:c r="F22" s="47"/>
      <x:c r="G22" s="47"/>
      <x:c r="H22" s="47"/>
      <x:c r="I22" s="47"/>
      <x:c r="J22" s="47"/>
      <x:c r="K22" s="47"/>
      <x:c r="L22" s="47"/>
      <x:c r="M22" s="47"/>
      <x:c r="N22" s="47"/>
    </x:row>
    <x:row r="23" ht="38" customHeight="1">
      <x:c r="A23" s="42" t="str">
        <x:v>4</x:v>
      </x:c>
      <x:c r="B23" s="44" t="str">
        <x:v>Пілот-офер</x:v>
      </x:c>
      <x:c r="C23" s="47" t="str">
        <x:v>Безкоштовний 30–45-денний пілот лише там, де можна чесно запустити Н.14/Н.15 або узгоджений вузький subset.</x:v>
      </x:c>
      <x:c r="D23" s="47"/>
      <x:c r="E23" s="47"/>
      <x:c r="F23" s="47"/>
      <x:c r="G23" s="47"/>
      <x:c r="H23" s="47"/>
      <x:c r="I23" s="47"/>
      <x:c r="J23" s="47"/>
      <x:c r="K23" s="47"/>
      <x:c r="L23" s="47"/>
      <x:c r="M23" s="47"/>
      <x:c r="N23" s="47"/>
    </x:row>
    <x:row r="24" ht="38" customHeight="1">
      <x:c r="A24" s="42" t="str">
        <x:v>5</x:v>
      </x:c>
      <x:c r="B24" s="44" t="str">
        <x:v>Наступний доказ</x:v>
      </x:c>
      <x:c r="C24" s="48" t="str">
        <x:v>Відповідь → один артефакт → інтерв’ю → активний проєкт → названі ролі. Кількість URL сама по собі нічого не валідовує.</x:v>
      </x:c>
      <x:c r="D24" s="48"/>
      <x:c r="E24" s="48"/>
      <x:c r="F24" s="48"/>
      <x:c r="G24" s="48"/>
      <x:c r="H24" s="48"/>
      <x:c r="I24" s="48"/>
      <x:c r="J24" s="48"/>
      <x:c r="K24" s="48"/>
      <x:c r="L24" s="48"/>
      <x:c r="M24" s="48"/>
      <x:c r="N24" s="48"/>
    </x:row>
  </x:sheetData>
  <x:mergeCells>
    <x:mergeCell ref="A1:N1"/>
    <x:mergeCell ref="A2:N2"/>
    <x:mergeCell ref="A4:G4"/>
    <x:mergeCell ref="A10:F10"/>
    <x:mergeCell ref="A19:N19"/>
    <x:mergeCell ref="C20:N20"/>
    <x:mergeCell ref="C21:N21"/>
    <x:mergeCell ref="C22:N22"/>
    <x:mergeCell ref="C23:N23"/>
    <x:mergeCell ref="C24:N24"/>
  </x:mergeCells>
  <x:pageMargins left="0.7" right="0.7" top="0.75" bottom="0.75" header="0.3" footer="0.3"/>
  <x:drawing xmlns:r="http://schemas.openxmlformats.org/officeDocument/2006/relationships" r:id="Re0865cb7fa44450c"/>
</x:worksheet>
</file>

<file path=xl/worksheets/sheet2.xml><?xml version="1.0" encoding="utf-8"?>
<x:worksheet xmlns:x="http://schemas.openxmlformats.org/spreadsheetml/2006/main">
  <x:sheetFormatPr defaultRowHeight="15"/>
  <x:cols>
    <x:col min="1" max="1" width="11" hidden="0" customWidth="1"/>
    <x:col min="2" max="2" width="22" hidden="0" customWidth="1"/>
    <x:col min="3" max="3" width="28" hidden="0" customWidth="1"/>
    <x:col min="4" max="4" width="27" hidden="0" customWidth="1"/>
    <x:col min="5" max="5" width="20" hidden="0" customWidth="1"/>
    <x:col min="6" max="6" width="10" hidden="0" customWidth="1"/>
    <x:col min="7" max="7" width="23" hidden="0" customWidth="1"/>
    <x:col min="8" max="8" width="38" hidden="0" customWidth="1"/>
    <x:col min="9" max="9" width="11" hidden="0" customWidth="1"/>
    <x:col min="10" max="10" width="10" hidden="0" customWidth="1"/>
    <x:col min="11" max="11" width="12" hidden="0" customWidth="1"/>
    <x:col min="12" max="12" width="9" hidden="0" customWidth="1"/>
    <x:col min="13" max="13" width="11" hidden="0" customWidth="1"/>
    <x:col min="14" max="14" width="9" hidden="0" customWidth="1"/>
    <x:col min="15" max="15" width="10" hidden="0" customWidth="1"/>
    <x:col min="16" max="16" width="11" hidden="0" customWidth="1"/>
    <x:col min="17" max="17" width="11" hidden="0" customWidth="1"/>
    <x:col min="18" max="18" width="12" hidden="0" customWidth="1"/>
    <x:col min="19" max="19" width="30" hidden="0" customWidth="1"/>
    <x:col min="20" max="20" width="32" hidden="0" customWidth="1"/>
    <x:col min="21" max="21" width="24" hidden="0" customWidth="1"/>
    <x:col min="22" max="22" width="38" hidden="0" customWidth="1"/>
    <x:col min="23" max="23" width="30" hidden="0" customWidth="1"/>
    <x:col min="24" max="24" width="48" hidden="0" customWidth="1"/>
    <x:col min="25" max="25" width="48" hidden="0" customWidth="1"/>
    <x:col min="26" max="26" width="38" hidden="0" customWidth="1"/>
    <x:col min="27" max="27" width="12" hidden="0" customWidth="1"/>
    <x:col min="28" max="28" width="13" hidden="0" customWidth="1"/>
    <x:col min="29" max="29" width="14" hidden="0" customWidth="1"/>
    <x:col min="30" max="30" width="14" hidden="0" customWidth="1"/>
    <x:col min="31" max="31" width="32" hidden="0" customWidth="1"/>
  </x:cols>
  <x:sheetData>
    <x:row r="1" ht="34" customHeight="1">
      <x:c r="A1" s="3" t="str">
        <x:v>GoProceed — перевірена база потенційних клієнтів</x:v>
      </x:c>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3"/>
    </x:row>
    <x:row r="2" ht="22" customHeight="1">
      <x:c r="A2" s="5" t="str">
        <x:v>268 компаній • 103 нові у хвилі проєктних сигналів • 14 додаткових напрямів • поточний пілот і expansion discovery розділено</x:v>
      </x:c>
      <x:c r="B2" s="5"/>
      <x:c r="C2" s="5"/>
      <x:c r="D2" s="5"/>
      <x:c r="E2" s="5"/>
      <x:c r="F2" s="5"/>
      <x:c r="G2" s="5"/>
      <x:c r="H2" s="5"/>
      <x:c r="I2" s="5"/>
      <x:c r="J2" s="5"/>
      <x:c r="K2" s="5"/>
      <x:c r="L2" s="5"/>
      <x:c r="M2" s="5"/>
      <x:c r="N2" s="5"/>
      <x:c r="O2" s="5"/>
      <x:c r="P2" s="5"/>
      <x:c r="Q2" s="5"/>
      <x:c r="R2" s="5"/>
      <x:c r="S2" s="5"/>
      <x:c r="T2" s="5"/>
      <x:c r="U2" s="5"/>
      <x:c r="V2" s="5"/>
      <x:c r="W2" s="5"/>
      <x:c r="X2" s="5"/>
      <x:c r="Y2" s="5"/>
      <x:c r="Z2" s="5"/>
      <x:c r="AA2" s="5"/>
      <x:c r="AB2" s="5"/>
      <x:c r="AC2" s="5"/>
      <x:c r="AD2" s="5"/>
      <x:c r="AE2" s="5"/>
    </x:row>
    <x:row r="3" ht="34" customHeight="1">
      <x:c r="A3" s="8" t="str">
        <x:v>P1/P2 — контакт для пілоту на поточному покритті. D1/D2 — discovery пріоритет: сильний workflow-fit, але потрібні вимоги реального проєкту. Публічний доказ не дорівнює попиту.</x:v>
      </x:c>
      <x:c r="B3" s="8"/>
      <x:c r="C3" s="8"/>
      <x:c r="D3" s="8"/>
      <x:c r="E3" s="8"/>
      <x:c r="F3" s="8"/>
      <x:c r="G3" s="8"/>
      <x:c r="H3" s="8"/>
      <x:c r="I3" s="8"/>
      <x:c r="J3" s="8"/>
      <x:c r="K3" s="8"/>
      <x:c r="L3" s="8"/>
      <x:c r="M3" s="8"/>
      <x:c r="N3" s="8"/>
      <x:c r="O3" s="8"/>
      <x:c r="P3" s="8"/>
      <x:c r="Q3" s="8"/>
      <x:c r="R3" s="8"/>
      <x:c r="S3" s="8"/>
      <x:c r="T3" s="8"/>
      <x:c r="U3" s="8"/>
      <x:c r="V3" s="8"/>
      <x:c r="W3" s="8"/>
      <x:c r="X3" s="8"/>
      <x:c r="Y3" s="8"/>
      <x:c r="Z3" s="8"/>
      <x:c r="AA3" s="8"/>
      <x:c r="AB3" s="8"/>
      <x:c r="AC3" s="8"/>
      <x:c r="AD3" s="8"/>
      <x:c r="AE3" s="8"/>
    </x:row>
    <x:row r="4" ht="34" customHeight="1">
      <x:c r="A4" s="12" t="str">
        <x:v>Lead ID</x:v>
      </x:c>
      <x:c r="B4" s="12" t="str">
        <x:v>Хвиля</x:v>
      </x:c>
      <x:c r="C4" s="12" t="str">
        <x:v>Компанія</x:v>
      </x:c>
      <x:c r="D4" s="12" t="str">
        <x:v>Сегмент</x:v>
      </x:c>
      <x:c r="E4" s="12" t="str">
        <x:v>Lane</x:v>
      </x:c>
      <x:c r="F4" s="12" t="str">
        <x:v>Пріоритет</x:v>
      </x:c>
      <x:c r="G4" s="12" t="str">
        <x:v>Домен</x:v>
      </x:c>
      <x:c r="H4" s="12" t="str">
        <x:v>Маршрут</x:v>
      </x:c>
      <x:c r="I4" s="12" t="str">
        <x:v>Покриття вимог</x:v>
      </x:c>
      <x:c r="J4" s="12" t="str">
        <x:v>Workflow fit</x:v>
      </x:c>
      <x:c r="K4" s="12" t="str">
        <x:v>Приховані роботи</x:v>
      </x:c>
      <x:c r="L4" s="12" t="str">
        <x:v>Масштаб</x:v>
      </x:c>
      <x:c r="M4" s="12" t="str">
        <x:v>Документація</x:v>
      </x:c>
      <x:c r="N4" s="12" t="str">
        <x:v>Buyer fit</x:v>
      </x:c>
      <x:c r="O4" s="12" t="str">
        <x:v>Досяжність</x:v>
      </x:c>
      <x:c r="P4" s="12" t="str">
        <x:v>Pilot-now score</x:v>
      </x:c>
      <x:c r="Q4" s="12" t="str">
        <x:v>Expansion score</x:v>
      </x:c>
      <x:c r="R4" s="12" t="str">
        <x:v>Впевненість доказу</x:v>
      </x:c>
      <x:c r="S4" s="12" t="str">
        <x:v>Статус перевірки</x:v>
      </x:c>
      <x:c r="T4" s="12" t="str">
        <x:v>Доступ до джерела</x:v>
      </x:c>
      <x:c r="U4" s="12" t="str">
        <x:v>Статус контакту</x:v>
      </x:c>
      <x:c r="V4" s="12" t="str">
        <x:v>Наступна дія</x:v>
      </x:c>
      <x:c r="W4" s="12" t="str">
        <x:v>Цільова роль</x:v>
      </x:c>
      <x:c r="X4" s="12" t="str">
        <x:v>Доказ відповідності</x:v>
      </x:c>
      <x:c r="Y4" s="12" t="str">
        <x:v>Тригер</x:v>
      </x:c>
      <x:c r="Z4" s="12" t="str">
        <x:v>Джерело</x:v>
      </x:c>
      <x:c r="AA4" s="12" t="str">
        <x:v>ЄДРПОУ</x:v>
      </x:c>
      <x:c r="AB4" s="12" t="str">
        <x:v>Дата дослідження</x:v>
      </x:c>
      <x:c r="AC4" s="12" t="str">
        <x:v>Власник</x:v>
      </x:c>
      <x:c r="AD4" s="12" t="str">
        <x:v>Наступний контакт</x:v>
      </x:c>
      <x:c r="AE4" s="12" t="str">
        <x:v>Нотатки</x:v>
      </x:c>
    </x:row>
    <x:row r="5">
      <x:c r="A5" s="14" t="str">
        <x:v>V3-030</x:v>
      </x:c>
      <x:c r="B5" s="14" t="str">
        <x:v>Досліджено 28.07</x:v>
      </x:c>
      <x:c r="C5" s="14" t="str">
        <x:v>ТОВ «ЕДС-ІНЖИНІРИНГ»</x:v>
      </x:c>
      <x:c r="D5" s="14" t="str">
        <x:v>Електромонтаж</x:v>
      </x:c>
      <x:c r="E5" s="14" t="str">
        <x:v>Pilot now</x:v>
      </x:c>
      <x:c r="F5" s="17" t="str">
        <x:f>IF(E5="Pilot now",IF(P5&gt;=84,"P1",IF(P5&gt;=72,"P2","P3")),IF(E5="Expansion discovery",IF(Q5&gt;=88,"D1",IF(Q5&gt;=78,"D2","D3")),IF(E5="Later / requirements","L","Legacy")))</x:f>
        <x:v>P1</x:v>
      </x:c>
      <x:c r="G5" s="14" t="str">
        <x:v>eds-ukraine.com</x:v>
      </x:c>
      <x:c r="H5" s="14" t="str">
        <x:v>Пілот зараз — Н.15</x:v>
      </x:c>
      <x:c r="I5" s="16" t="n">
        <x:v>5</x:v>
      </x:c>
      <x:c r="J5" s="16" t="n">
        <x:v>5</x:v>
      </x:c>
      <x:c r="K5" s="16" t="n">
        <x:v>5</x:v>
      </x:c>
      <x:c r="L5" s="16" t="n">
        <x:v>5</x:v>
      </x:c>
      <x:c r="M5" s="16" t="n">
        <x:v>5</x:v>
      </x:c>
      <x:c r="N5" s="16" t="n">
        <x:v>5</x:v>
      </x:c>
      <x:c r="O5" s="16" t="n">
        <x:v>5</x:v>
      </x:c>
      <x:c r="P5" s="16" t="n">
        <x:f>IF(COUNT(I5:O5)&lt;7,"",I5*8+J5*3+K5*2+L5*2+M5*2+N5*2+O5)</x:f>
        <x:v>100</x:v>
      </x:c>
      <x:c r="Q5" s="16" t="n">
        <x:f>IF(COUNT(J5:O5)&lt;6,"",J5*5+K5*4+M5*4+L5*3+N5*2+O5*2)</x:f>
        <x:v>100</x:v>
      </x:c>
      <x:c r="R5" s="14" t="str">
        <x:v>medium</x:v>
      </x:c>
      <x:c r="S5" s="14" t="str">
        <x:v>historical_research_2026-07-28</x:v>
      </x:c>
      <x:c r="T5" s="14" t="str">
        <x:v>historical_official_research</x:v>
      </x:c>
      <x:c r="U5" s="14" t="str">
        <x:v>Надіслано 28.07 — follow-up</x:v>
      </x:c>
      <x:c r="V5" s="15" t="str">
        <x:v>Follow-up з review-link; далі попросити 1 анонімізований артефакт</x:v>
      </x:c>
      <x:c r="W5" s="15" t="str">
        <x:v>Власник / директор; керівник ПТО</x:v>
      </x:c>
      <x:c r="X5" s="15" t="str">
        <x:v>EPC/інжиніринг енергетичних об’єктів; будівництво кабельних ліній 0,4–35 кВ, електромонтажні та пусконалагоджувальні роботи.</x:v>
      </x:c>
      <x:c r="Y5" s="15" t="str">
        <x:v>Траншеї, кабельні траси, муфти, заземлення та випробування потребують фотофіксації й доказів до засипання/закриття.</x:v>
      </x:c>
      <x:c r="Z5" s="15" t="str">
        <x:v>https://eds-ukraine.com/en/</x:v>
      </x:c>
      <x:c r="AA5" s="14" t="str">
        <x:v>38114069</x:v>
      </x:c>
      <x:c r="AB5" s="14" t="str">
        <x:v>2026-07-28</x:v>
      </x:c>
      <x:c r="AC5" s="14" t="str">
        <x:v>Олександр</x:v>
      </x:c>
      <x:c r="AD5" s="18" t="str"/>
      <x:c r="AE5" s="14" t="str"/>
    </x:row>
    <x:row r="6">
      <x:c r="A6" s="14" t="str">
        <x:v>V3-031</x:v>
      </x:c>
      <x:c r="B6" s="14" t="str">
        <x:v>Досліджено 28.07</x:v>
      </x:c>
      <x:c r="C6" s="14" t="str">
        <x:v>ТОВ «ЕЛЕКТРОПОЛЮС-ІФ»</x:v>
      </x:c>
      <x:c r="D6" s="14" t="str">
        <x:v>Електромонтаж</x:v>
      </x:c>
      <x:c r="E6" s="14" t="str">
        <x:v>Pilot now</x:v>
      </x:c>
      <x:c r="F6" s="17" t="str">
        <x:f>IF(E6="Pilot now",IF(P6&gt;=84,"P1",IF(P6&gt;=72,"P2","P3")),IF(E6="Expansion discovery",IF(Q6&gt;=88,"D1",IF(Q6&gt;=78,"D2","D3")),IF(E6="Later / requirements","L","Legacy")))</x:f>
        <x:v>P1</x:v>
      </x:c>
      <x:c r="G6" s="14" t="str">
        <x:v>elektropolus-if.com</x:v>
      </x:c>
      <x:c r="H6" s="14" t="str">
        <x:v>Пілот зараз — Н.15</x:v>
      </x:c>
      <x:c r="I6" s="16" t="n">
        <x:v>5</x:v>
      </x:c>
      <x:c r="J6" s="16" t="n">
        <x:v>5</x:v>
      </x:c>
      <x:c r="K6" s="16" t="n">
        <x:v>5</x:v>
      </x:c>
      <x:c r="L6" s="16" t="n">
        <x:v>5</x:v>
      </x:c>
      <x:c r="M6" s="16" t="n">
        <x:v>5</x:v>
      </x:c>
      <x:c r="N6" s="16" t="n">
        <x:v>5</x:v>
      </x:c>
      <x:c r="O6" s="16" t="n">
        <x:v>5</x:v>
      </x:c>
      <x:c r="P6" s="16" t="n">
        <x:f>IF(COUNT(I6:O6)&lt;7,"",I6*8+J6*3+K6*2+L6*2+M6*2+N6*2+O6)</x:f>
        <x:v>100</x:v>
      </x:c>
      <x:c r="Q6" s="16" t="n">
        <x:f>IF(COUNT(J6:O6)&lt;6,"",J6*5+K6*4+M6*4+L6*3+N6*2+O6*2)</x:f>
        <x:v>100</x:v>
      </x:c>
      <x:c r="R6" s="14" t="str">
        <x:v>medium</x:v>
      </x:c>
      <x:c r="S6" s="14" t="str">
        <x:v>historical_research_2026-07-28</x:v>
      </x:c>
      <x:c r="T6" s="14" t="str">
        <x:v>historical_official_research</x:v>
      </x:c>
      <x:c r="U6" s="14" t="str">
        <x:v>Надіслано 28.07 — follow-up</x:v>
      </x:c>
      <x:c r="V6" s="15" t="str">
        <x:v>Follow-up з review-link; далі попросити 1 анонімізований артефакт</x:v>
      </x:c>
      <x:c r="W6" s="15" t="str">
        <x:v>Власник / директор; керівник ПТО</x:v>
      </x:c>
      <x:c r="X6" s="15" t="str">
        <x:v>65 фахівців, 530 проєктів в Україні та до 7 проєктів одночасно; проєктування, монтаж, випробування й сервіс.</x:v>
      </x:c>
      <x:c r="Y6" s="15" t="str">
        <x:v>Внутрішні/зовнішні електромережі, кабельні лінії й підстанції створюють багато контрольних точок перед закриттям.</x:v>
      </x:c>
      <x:c r="Z6" s="15" t="str">
        <x:v>https://elektropolus-if.com/en</x:v>
      </x:c>
      <x:c r="AA6" s="14" t="str">
        <x:v>34084649</x:v>
      </x:c>
      <x:c r="AB6" s="14" t="str">
        <x:v>2026-07-28</x:v>
      </x:c>
      <x:c r="AC6" s="14" t="str">
        <x:v>Олександр</x:v>
      </x:c>
      <x:c r="AD6" s="18" t="str"/>
      <x:c r="AE6" s="14" t="str"/>
    </x:row>
    <x:row r="7">
      <x:c r="A7" s="14" t="str">
        <x:v>V3-029</x:v>
      </x:c>
      <x:c r="B7" s="14" t="str">
        <x:v>Досліджено 28.07</x:v>
      </x:c>
      <x:c r="C7" s="14" t="str">
        <x:v>ТОВ «ЕНЕРДЖІ ГРУП»</x:v>
      </x:c>
      <x:c r="D7" s="14" t="str">
        <x:v>Електромонтаж</x:v>
      </x:c>
      <x:c r="E7" s="14" t="str">
        <x:v>Pilot now</x:v>
      </x:c>
      <x:c r="F7" s="17" t="str">
        <x:f>IF(E7="Pilot now",IF(P7&gt;=84,"P1",IF(P7&gt;=72,"P2","P3")),IF(E7="Expansion discovery",IF(Q7&gt;=88,"D1",IF(Q7&gt;=78,"D2","D3")),IF(E7="Later / requirements","L","Legacy")))</x:f>
        <x:v>P1</x:v>
      </x:c>
      <x:c r="G7" s="14" t="str">
        <x:v>eg-ltd.com.ua</x:v>
      </x:c>
      <x:c r="H7" s="14" t="str">
        <x:v>Пілот зараз — Н.15</x:v>
      </x:c>
      <x:c r="I7" s="16" t="n">
        <x:v>5</x:v>
      </x:c>
      <x:c r="J7" s="16" t="n">
        <x:v>5</x:v>
      </x:c>
      <x:c r="K7" s="16" t="n">
        <x:v>5</x:v>
      </x:c>
      <x:c r="L7" s="16" t="n">
        <x:v>5</x:v>
      </x:c>
      <x:c r="M7" s="16" t="n">
        <x:v>5</x:v>
      </x:c>
      <x:c r="N7" s="16" t="n">
        <x:v>5</x:v>
      </x:c>
      <x:c r="O7" s="16" t="n">
        <x:v>5</x:v>
      </x:c>
      <x:c r="P7" s="16" t="n">
        <x:f>IF(COUNT(I7:O7)&lt;7,"",I7*8+J7*3+K7*2+L7*2+M7*2+N7*2+O7)</x:f>
        <x:v>100</x:v>
      </x:c>
      <x:c r="Q7" s="16" t="n">
        <x:f>IF(COUNT(J7:O7)&lt;6,"",J7*5+K7*4+M7*4+L7*3+N7*2+O7*2)</x:f>
        <x:v>100</x:v>
      </x:c>
      <x:c r="R7" s="14" t="str">
        <x:v>medium</x:v>
      </x:c>
      <x:c r="S7" s="14" t="str">
        <x:v>historical_research_2026-07-28</x:v>
      </x:c>
      <x:c r="T7" s="14" t="str">
        <x:v>historical_official_research</x:v>
      </x:c>
      <x:c r="U7" s="14" t="str">
        <x:v>Надіслано 28.07 — follow-up</x:v>
      </x:c>
      <x:c r="V7" s="15" t="str">
        <x:v>Follow-up з review-link; далі попросити 1 анонімізований артефакт</x:v>
      </x:c>
      <x:c r="W7" s="15" t="str">
        <x:v>Власник / директор; керівник ПТО</x:v>
      </x:c>
      <x:c r="X7" s="15" t="str">
        <x:v>8 мобільних монтажних бригад; 116 реалізованих проєктів; проєктування, монтаж, пусконалагодження, випробування та введення в експлуатацію.</x:v>
      </x:c>
      <x:c r="Y7" s="15" t="str">
        <x:v>Кабельні лінії до 110 кВ, внутрішні мережі, ГНБ і щитове обладнання мають критичні приховані етапи та акти до закриття.</x:v>
      </x:c>
      <x:c r="Z7" s="15" t="str">
        <x:v>https://eg-ltd.com.ua/electric-works-uk/</x:v>
      </x:c>
      <x:c r="AA7" s="14" t="str">
        <x:v>40169080</x:v>
      </x:c>
      <x:c r="AB7" s="14" t="str">
        <x:v>2026-07-28</x:v>
      </x:c>
      <x:c r="AC7" s="14" t="str">
        <x:v>Олександр</x:v>
      </x:c>
      <x:c r="AD7" s="18" t="str"/>
      <x:c r="AE7" s="14" t="str"/>
    </x:row>
    <x:row r="8">
      <x:c r="A8" s="14" t="str">
        <x:v>AUG-034</x:v>
      </x:c>
      <x:c r="B8" s="14" t="str">
        <x:v>Перевірено 51 — 24.08</x:v>
      </x:c>
      <x:c r="C8" s="14" t="str">
        <x:v>Intech Energy Group</x:v>
      </x:c>
      <x:c r="D8" s="14" t="str">
        <x:v>Промислова електрика</x:v>
      </x:c>
      <x:c r="E8" s="14" t="str">
        <x:v>Pilot now</x:v>
      </x:c>
      <x:c r="F8" s="17" t="str">
        <x:f>IF(E8="Pilot now",IF(P8&gt;=84,"P1",IF(P8&gt;=72,"P2","P3")),IF(E8="Expansion discovery",IF(Q8&gt;=88,"D1",IF(Q8&gt;=78,"D2","D3")),IF(E8="Later / requirements","L","Legacy")))</x:f>
        <x:v>P1</x:v>
      </x:c>
      <x:c r="G8" s="14" t="str">
        <x:v>ukrenergygroup.com</x:v>
      </x:c>
      <x:c r="H8" s="14" t="str">
        <x:v>Пілот зараз — Н.15</x:v>
      </x:c>
      <x:c r="I8" s="16" t="n">
        <x:v>5</x:v>
      </x:c>
      <x:c r="J8" s="16" t="n">
        <x:v>5</x:v>
      </x:c>
      <x:c r="K8" s="16" t="n">
        <x:v>5</x:v>
      </x:c>
      <x:c r="L8" s="16" t="n">
        <x:v>5</x:v>
      </x:c>
      <x:c r="M8" s="16" t="n">
        <x:v>5</x:v>
      </x:c>
      <x:c r="N8" s="16" t="n">
        <x:v>5</x:v>
      </x:c>
      <x:c r="O8" s="16" t="n">
        <x:v>5</x:v>
      </x:c>
      <x:c r="P8" s="16" t="n">
        <x:f>IF(COUNT(I8:O8)&lt;7,"",I8*8+J8*3+K8*2+L8*2+M8*2+N8*2+O8)</x:f>
        <x:v>100</x:v>
      </x:c>
      <x:c r="Q8" s="16" t="n">
        <x:f>IF(COUNT(J8:O8)&lt;6,"",J8*5+K8*4+M8*4+L8*3+N8*2+O8*2)</x:f>
        <x:v>100</x:v>
      </x:c>
      <x:c r="R8" s="14" t="str">
        <x:v>high</x:v>
      </x:c>
      <x:c r="S8" s="14" t="str">
        <x:v>official_source_reverified</x:v>
      </x:c>
      <x:c r="T8" s="14" t="str">
        <x:v>official_source_reachable</x:v>
      </x:c>
      <x:c r="U8" s="14" t="str">
        <x:v>Новий — не контактували</x:v>
      </x:c>
      <x:c r="V8" s="15" t="str">
        <x:v>Персоналізувати review-flow за доказом; попросити 1 артефакт</x:v>
      </x:c>
      <x:c r="W8" s="15" t="str">
        <x:v>Коммерческий директор; руководитель ПТО / строительства</x:v>
      </x:c>
      <x:c r="X8" s="15" t="str">
        <x:v>Кабельные линии и ЛЭП до 110 кВ, подстанции, релейная защита, внутренние сети, заземление и АСУ ТП.</x:v>
      </x:c>
      <x:c r="Y8" s="15" t="str">
        <x:v>Практически идеальное покрытие Н.15 и высокая документальная сложность.</x:v>
      </x:c>
      <x:c r="Z8" s="15" t="str">
        <x:v>https://www.ukrenergygroup.com/</x:v>
      </x:c>
      <x:c r="AA8" s="14" t="str"/>
      <x:c r="AB8" s="14" t="str">
        <x:v>2026-08-24</x:v>
      </x:c>
      <x:c r="AC8" s="14" t="str">
        <x:v>Олександр</x:v>
      </x:c>
      <x:c r="AD8" s="18" t="str"/>
      <x:c r="AE8" s="14" t="str"/>
    </x:row>
    <x:row r="9">
      <x:c r="A9" s="14" t="str">
        <x:v>AUG-024</x:v>
      </x:c>
      <x:c r="B9" s="14" t="str">
        <x:v>Перевірено 51 — 24.08</x:v>
      </x:c>
      <x:c r="C9" s="14" t="str">
        <x:v>Прогрес Електрик</x:v>
      </x:c>
      <x:c r="D9" s="14" t="str">
        <x:v>Промислова електрика + СЕС</x:v>
      </x:c>
      <x:c r="E9" s="14" t="str">
        <x:v>Pilot now</x:v>
      </x:c>
      <x:c r="F9" s="17" t="str">
        <x:f>IF(E9="Pilot now",IF(P9&gt;=84,"P1",IF(P9&gt;=72,"P2","P3")),IF(E9="Expansion discovery",IF(Q9&gt;=88,"D1",IF(Q9&gt;=78,"D2","D3")),IF(E9="Later / requirements","L","Legacy")))</x:f>
        <x:v>P1</x:v>
      </x:c>
      <x:c r="G9" s="14" t="str">
        <x:v>proelectric.com.ua</x:v>
      </x:c>
      <x:c r="H9" s="14" t="str">
        <x:v>Пілот зараз — Н.15</x:v>
      </x:c>
      <x:c r="I9" s="16" t="n">
        <x:v>5</x:v>
      </x:c>
      <x:c r="J9" s="16" t="n">
        <x:v>5</x:v>
      </x:c>
      <x:c r="K9" s="16" t="n">
        <x:v>5</x:v>
      </x:c>
      <x:c r="L9" s="16" t="n">
        <x:v>5</x:v>
      </x:c>
      <x:c r="M9" s="16" t="n">
        <x:v>4</x:v>
      </x:c>
      <x:c r="N9" s="16" t="n">
        <x:v>5</x:v>
      </x:c>
      <x:c r="O9" s="16" t="n">
        <x:v>5</x:v>
      </x:c>
      <x:c r="P9" s="16" t="n">
        <x:f>IF(COUNT(I9:O9)&lt;7,"",I9*8+J9*3+K9*2+L9*2+M9*2+N9*2+O9)</x:f>
        <x:v>98</x:v>
      </x:c>
      <x:c r="Q9" s="16" t="n">
        <x:f>IF(COUNT(J9:O9)&lt;6,"",J9*5+K9*4+M9*4+L9*3+N9*2+O9*2)</x:f>
        <x:v>96</x:v>
      </x:c>
      <x:c r="R9" s="14" t="str">
        <x:v>high</x:v>
      </x:c>
      <x:c r="S9" s="14" t="str">
        <x:v>official_source_reverified</x:v>
      </x:c>
      <x:c r="T9" s="14" t="str">
        <x:v>official_source_reachable</x:v>
      </x:c>
      <x:c r="U9" s="14" t="str">
        <x:v>Новий — не контактували</x:v>
      </x:c>
      <x:c r="V9" s="15" t="str">
        <x:v>Персоналізувати review-flow за доказом; попросити 1 артефакт</x:v>
      </x:c>
      <x:c r="W9" s="15" t="str">
        <x:v>Директор; руководитель энергетических проектов / ПТО</x:v>
      </x:c>
      <x:c r="X9" s="15" t="str">
        <x:v>100+ объектов, промышленные СЭС до 40 МВт, кабельные линии и подстанции; проекты для крупных украинских брендов.</x:v>
      </x:c>
      <x:c r="Y9" s="15" t="str">
        <x:v>Кабельные линии и заземление соответствуют Н.15 и дают измеримый цикл до технадзора.</x:v>
      </x:c>
      <x:c r="Z9" s="15" t="str">
        <x:v>https://proelectric.com.ua/proyekty/</x:v>
      </x:c>
      <x:c r="AA9" s="14" t="str"/>
      <x:c r="AB9" s="14" t="str">
        <x:v>2026-08-24</x:v>
      </x:c>
      <x:c r="AC9" s="14" t="str">
        <x:v>Олександр</x:v>
      </x:c>
      <x:c r="AD9" s="18" t="str"/>
      <x:c r="AE9" s="14" t="str"/>
    </x:row>
    <x:row r="10">
      <x:c r="A10" s="14" t="str">
        <x:v>AUG-037</x:v>
      </x:c>
      <x:c r="B10" s="14" t="str">
        <x:v>Перевірено 51 — 24.08</x:v>
      </x:c>
      <x:c r="C10" s="14" t="str">
        <x:v>СМІТ ІНЖИНІРИНГ</x:v>
      </x:c>
      <x:c r="D10" s="14" t="str">
        <x:v>Електрика + слаботочка</x:v>
      </x:c>
      <x:c r="E10" s="14" t="str">
        <x:v>Pilot now</x:v>
      </x:c>
      <x:c r="F10" s="17" t="str">
        <x:f>IF(E10="Pilot now",IF(P10&gt;=84,"P1",IF(P10&gt;=72,"P2","P3")),IF(E10="Expansion discovery",IF(Q10&gt;=88,"D1",IF(Q10&gt;=78,"D2","D3")),IF(E10="Later / requirements","L","Legacy")))</x:f>
        <x:v>P1</x:v>
      </x:c>
      <x:c r="G10" s="14" t="str">
        <x:v>smit.ua</x:v>
      </x:c>
      <x:c r="H10" s="14" t="str">
        <x:v>Пілот зараз — Н.15</x:v>
      </x:c>
      <x:c r="I10" s="16" t="n">
        <x:v>5</x:v>
      </x:c>
      <x:c r="J10" s="16" t="n">
        <x:v>5</x:v>
      </x:c>
      <x:c r="K10" s="16" t="n">
        <x:v>5</x:v>
      </x:c>
      <x:c r="L10" s="16" t="n">
        <x:v>4</x:v>
      </x:c>
      <x:c r="M10" s="16" t="n">
        <x:v>5</x:v>
      </x:c>
      <x:c r="N10" s="16" t="n">
        <x:v>5</x:v>
      </x:c>
      <x:c r="O10" s="16" t="n">
        <x:v>5</x:v>
      </x:c>
      <x:c r="P10" s="16" t="n">
        <x:f>IF(COUNT(I10:O10)&lt;7,"",I10*8+J10*3+K10*2+L10*2+M10*2+N10*2+O10)</x:f>
        <x:v>98</x:v>
      </x:c>
      <x:c r="Q10" s="16" t="n">
        <x:f>IF(COUNT(J10:O10)&lt;6,"",J10*5+K10*4+M10*4+L10*3+N10*2+O10*2)</x:f>
        <x:v>97</x:v>
      </x:c>
      <x:c r="R10" s="14" t="str">
        <x:v>high</x:v>
      </x:c>
      <x:c r="S10" s="14" t="str">
        <x:v>official_source_reverified</x:v>
      </x:c>
      <x:c r="T10" s="14" t="str">
        <x:v>official_source_reachable</x:v>
      </x:c>
      <x:c r="U10" s="14" t="str">
        <x:v>Новий — не контактували</x:v>
      </x:c>
      <x:c r="V10" s="15" t="str">
        <x:v>Персоналізувати review-flow за доказом; попросити 1 артефакт</x:v>
      </x:c>
      <x:c r="W10" s="15" t="str">
        <x:v>Директор; руководитель проектов / ПТО</x:v>
      </x:c>
      <x:c r="X10" s="15" t="str">
        <x:v>Полный цикл проектирования, кабельных линий, электроосвещения, автоматизации и слабострумных систем.</x:v>
      </x:c>
      <x:c r="Y10" s="15" t="str">
        <x:v>Поддержанные скрытые кабельные работы можно связать с проектом и пусконаладкой.</x:v>
      </x:c>
      <x:c r="Z10" s="15" t="str">
        <x:v>https://smit.ua/</x:v>
      </x:c>
      <x:c r="AA10" s="14" t="str"/>
      <x:c r="AB10" s="14" t="str">
        <x:v>2026-08-24</x:v>
      </x:c>
      <x:c r="AC10" s="14" t="str">
        <x:v>Олександр</x:v>
      </x:c>
      <x:c r="AD10" s="18" t="str"/>
      <x:c r="AE10" s="14" t="str"/>
    </x:row>
    <x:row r="11">
      <x:c r="A11" s="14" t="str">
        <x:v>AUG-025</x:v>
      </x:c>
      <x:c r="B11" s="14" t="str">
        <x:v>Перевірено 51 — 24.08</x:v>
      </x:c>
      <x:c r="C11" s="14" t="str">
        <x:v>Спецбудмонтаж-Україна</x:v>
      </x:c>
      <x:c r="D11" s="14" t="str">
        <x:v>Промисловий MEP</x:v>
      </x:c>
      <x:c r="E11" s="14" t="str">
        <x:v>Pilot now</x:v>
      </x:c>
      <x:c r="F11" s="17" t="str">
        <x:f>IF(E11="Pilot now",IF(P11&gt;=84,"P1",IF(P11&gt;=72,"P2","P3")),IF(E11="Expansion discovery",IF(Q11&gt;=88,"D1",IF(Q11&gt;=78,"D2","D3")),IF(E11="Later / requirements","L","Legacy")))</x:f>
        <x:v>P1</x:v>
      </x:c>
      <x:c r="G11" s="14" t="str">
        <x:v>specstrojmontazh.ua</x:v>
      </x:c>
      <x:c r="H11" s="14" t="str">
        <x:v>Пілот зараз — Н.14 + Н.15</x:v>
      </x:c>
      <x:c r="I11" s="16" t="n">
        <x:v>5</x:v>
      </x:c>
      <x:c r="J11" s="16" t="n">
        <x:v>5</x:v>
      </x:c>
      <x:c r="K11" s="16" t="n">
        <x:v>5</x:v>
      </x:c>
      <x:c r="L11" s="16" t="n">
        <x:v>4</x:v>
      </x:c>
      <x:c r="M11" s="16" t="n">
        <x:v>5</x:v>
      </x:c>
      <x:c r="N11" s="16" t="n">
        <x:v>5</x:v>
      </x:c>
      <x:c r="O11" s="16" t="n">
        <x:v>5</x:v>
      </x:c>
      <x:c r="P11" s="16" t="n">
        <x:f>IF(COUNT(I11:O11)&lt;7,"",I11*8+J11*3+K11*2+L11*2+M11*2+N11*2+O11)</x:f>
        <x:v>98</x:v>
      </x:c>
      <x:c r="Q11" s="16" t="n">
        <x:f>IF(COUNT(J11:O11)&lt;6,"",J11*5+K11*4+M11*4+L11*3+N11*2+O11*2)</x:f>
        <x:v>97</x:v>
      </x:c>
      <x:c r="R11" s="14" t="str">
        <x:v>high</x:v>
      </x:c>
      <x:c r="S11" s="14" t="str">
        <x:v>official_source_reverified</x:v>
      </x:c>
      <x:c r="T11" s="14" t="str">
        <x:v>official_source_reachable</x:v>
      </x:c>
      <x:c r="U11" s="14" t="str">
        <x:v>Новий — не контактували</x:v>
      </x:c>
      <x:c r="V11" s="15" t="str">
        <x:v>Персоналізувати review-flow за доказом; попросити 1 артефакт</x:v>
      </x:c>
      <x:c r="W11" s="15" t="str">
        <x:v>Коммерческий директор; руководитель ПТО</x:v>
      </x:c>
      <x:c r="X11" s="15" t="str">
        <x:v>Промышленные инженерные сети и технологическое оборудование для переработки, горной, химической и агропромышленности.</x:v>
      </x:c>
      <x:c r="Y11" s="15" t="str">
        <x:v>Внутренние санитарные системы и электроснабжение можно пилотировать без охвата всего генподряда.</x:v>
      </x:c>
      <x:c r="Z11" s="15" t="str">
        <x:v>https://specstrojmontazh.ua/services/seti.html</x:v>
      </x:c>
      <x:c r="AA11" s="14" t="str"/>
      <x:c r="AB11" s="14" t="str">
        <x:v>2026-08-24</x:v>
      </x:c>
      <x:c r="AC11" s="14" t="str">
        <x:v>Олександр</x:v>
      </x:c>
      <x:c r="AD11" s="18" t="str"/>
      <x:c r="AE11" s="14" t="str"/>
    </x:row>
    <x:row r="12">
      <x:c r="A12" s="14" t="str">
        <x:v>AUG-031</x:v>
      </x:c>
      <x:c r="B12" s="14" t="str">
        <x:v>Перевірено 51 — 24.08</x:v>
      </x:c>
      <x:c r="C12" s="14" t="str">
        <x:v>ТД Роял Груп</x:v>
      </x:c>
      <x:c r="D12" s="14" t="str">
        <x:v>Промислова електрика</x:v>
      </x:c>
      <x:c r="E12" s="14" t="str">
        <x:v>Pilot now</x:v>
      </x:c>
      <x:c r="F12" s="17" t="str">
        <x:f>IF(E12="Pilot now",IF(P12&gt;=84,"P1",IF(P12&gt;=72,"P2","P3")),IF(E12="Expansion discovery",IF(Q12&gt;=88,"D1",IF(Q12&gt;=78,"D2","D3")),IF(E12="Later / requirements","L","Legacy")))</x:f>
        <x:v>P1</x:v>
      </x:c>
      <x:c r="G12" s="14" t="str">
        <x:v>royal-group.com.ua</x:v>
      </x:c>
      <x:c r="H12" s="14" t="str">
        <x:v>Пілот зараз — Н.15</x:v>
      </x:c>
      <x:c r="I12" s="16" t="n">
        <x:v>5</x:v>
      </x:c>
      <x:c r="J12" s="16" t="n">
        <x:v>5</x:v>
      </x:c>
      <x:c r="K12" s="16" t="n">
        <x:v>5</x:v>
      </x:c>
      <x:c r="L12" s="16" t="n">
        <x:v>4</x:v>
      </x:c>
      <x:c r="M12" s="16" t="n">
        <x:v>5</x:v>
      </x:c>
      <x:c r="N12" s="16" t="n">
        <x:v>5</x:v>
      </x:c>
      <x:c r="O12" s="16" t="n">
        <x:v>5</x:v>
      </x:c>
      <x:c r="P12" s="16" t="n">
        <x:f>IF(COUNT(I12:O12)&lt;7,"",I12*8+J12*3+K12*2+L12*2+M12*2+N12*2+O12)</x:f>
        <x:v>98</x:v>
      </x:c>
      <x:c r="Q12" s="16" t="n">
        <x:f>IF(COUNT(J12:O12)&lt;6,"",J12*5+K12*4+M12*4+L12*3+N12*2+O12*2)</x:f>
        <x:v>97</x:v>
      </x:c>
      <x:c r="R12" s="14" t="str">
        <x:v>high</x:v>
      </x:c>
      <x:c r="S12" s="14" t="str">
        <x:v>official_source_reverified</x:v>
      </x:c>
      <x:c r="T12" s="14" t="str">
        <x:v>official_source_reachable</x:v>
      </x:c>
      <x:c r="U12" s="14" t="str">
        <x:v>Новий — не контактували</x:v>
      </x:c>
      <x:c r="V12" s="15" t="str">
        <x:v>Персоналізувати review-flow за доказом; попросити 1 артефакт</x:v>
      </x:c>
      <x:c r="W12" s="15" t="str">
        <x:v>Коммерческий директор; руководитель ПТО</x:v>
      </x:c>
      <x:c r="X12" s="15" t="str">
        <x:v>Электромонтаж до 110 кВ, КТП/БКТП, кабельные линии, пусконаладка и приёмочные испытания; опыт с 2014 года.</x:v>
      </x:c>
      <x:c r="Y12" s="15" t="str">
        <x:v>Полностью поддержанный Н.15-контур с явными протоколами и сдачей.</x:v>
      </x:c>
      <x:c r="Z12" s="15" t="str">
        <x:v>https://royal-group.com.ua/uk</x:v>
      </x:c>
      <x:c r="AA12" s="14" t="str"/>
      <x:c r="AB12" s="14" t="str">
        <x:v>2026-08-24</x:v>
      </x:c>
      <x:c r="AC12" s="14" t="str">
        <x:v>Олександр</x:v>
      </x:c>
      <x:c r="AD12" s="18" t="str"/>
      <x:c r="AE12" s="14" t="str"/>
    </x:row>
    <x:row r="13">
      <x:c r="A13" s="14" t="str">
        <x:v>V3-032</x:v>
      </x:c>
      <x:c r="B13" s="14" t="str">
        <x:v>Досліджено 28.07</x:v>
      </x:c>
      <x:c r="C13" s="14" t="str">
        <x:v>ТОВ «ВЕМА ЗАХІД»</x:v>
      </x:c>
      <x:c r="D13" s="14" t="str">
        <x:v>Електромонтаж</x:v>
      </x:c>
      <x:c r="E13" s="14" t="str">
        <x:v>Pilot now</x:v>
      </x:c>
      <x:c r="F13" s="17" t="str">
        <x:f>IF(E13="Pilot now",IF(P13&gt;=84,"P1",IF(P13&gt;=72,"P2","P3")),IF(E13="Expansion discovery",IF(Q13&gt;=88,"D1",IF(Q13&gt;=78,"D2","D3")),IF(E13="Later / requirements","L","Legacy")))</x:f>
        <x:v>P1</x:v>
      </x:c>
      <x:c r="G13" s="14" t="str">
        <x:v>vemazahid.com</x:v>
      </x:c>
      <x:c r="H13" s="14" t="str">
        <x:v>Пілот зараз — Н.15</x:v>
      </x:c>
      <x:c r="I13" s="16" t="n">
        <x:v>5</x:v>
      </x:c>
      <x:c r="J13" s="16" t="n">
        <x:v>5</x:v>
      </x:c>
      <x:c r="K13" s="16" t="n">
        <x:v>5</x:v>
      </x:c>
      <x:c r="L13" s="16" t="n">
        <x:v>4</x:v>
      </x:c>
      <x:c r="M13" s="16" t="n">
        <x:v>5</x:v>
      </x:c>
      <x:c r="N13" s="16" t="n">
        <x:v>5</x:v>
      </x:c>
      <x:c r="O13" s="16" t="n">
        <x:v>5</x:v>
      </x:c>
      <x:c r="P13" s="16" t="n">
        <x:f>IF(COUNT(I13:O13)&lt;7,"",I13*8+J13*3+K13*2+L13*2+M13*2+N13*2+O13)</x:f>
        <x:v>98</x:v>
      </x:c>
      <x:c r="Q13" s="16" t="n">
        <x:f>IF(COUNT(J13:O13)&lt;6,"",J13*5+K13*4+M13*4+L13*3+N13*2+O13*2)</x:f>
        <x:v>97</x:v>
      </x:c>
      <x:c r="R13" s="14" t="str">
        <x:v>medium</x:v>
      </x:c>
      <x:c r="S13" s="14" t="str">
        <x:v>historical_research_2026-07-28</x:v>
      </x:c>
      <x:c r="T13" s="14" t="str">
        <x:v>historical_official_research</x:v>
      </x:c>
      <x:c r="U13" s="14" t="str">
        <x:v>Надіслано 28.07 — follow-up</x:v>
      </x:c>
      <x:c r="V13" s="15" t="str">
        <x:v>Follow-up з review-link; далі попросити 1 анонімізований артефакт</x:v>
      </x:c>
      <x:c r="W13" s="15" t="str">
        <x:v>Власник / директор; керівник ПТО</x:v>
      </x:c>
      <x:c r="X13" s="15" t="str">
        <x:v>Повний цикл електропостачання: проєкт, приєднання, кабельні/повітряні лінії, підстанції, налагодження й техобслуговування.</x:v>
      </x:c>
      <x:c r="Y13" s="15" t="str">
        <x:v>Закриття кабельних трас, фундаментів і заземлення до приймання; потрібна доказова виконавча документація.</x:v>
      </x:c>
      <x:c r="Z13" s="15" t="str">
        <x:v>https://vemazahid.com/pro-kompaniyu/</x:v>
      </x:c>
      <x:c r="AA13" s="14" t="str">
        <x:v>31659280</x:v>
      </x:c>
      <x:c r="AB13" s="14" t="str">
        <x:v>2026-07-28</x:v>
      </x:c>
      <x:c r="AC13" s="14" t="str">
        <x:v>Олександр</x:v>
      </x:c>
      <x:c r="AD13" s="18" t="str"/>
      <x:c r="AE13" s="14" t="str"/>
    </x:row>
    <x:row r="14">
      <x:c r="A14" s="14" t="str">
        <x:v>V3-033</x:v>
      </x:c>
      <x:c r="B14" s="14" t="str">
        <x:v>Досліджено 28.07</x:v>
      </x:c>
      <x:c r="C14" s="14" t="str">
        <x:v>ТОВ «ЕМБУД»</x:v>
      </x:c>
      <x:c r="D14" s="14" t="str">
        <x:v>Електромонтаж</x:v>
      </x:c>
      <x:c r="E14" s="14" t="str">
        <x:v>Pilot now</x:v>
      </x:c>
      <x:c r="F14" s="17" t="str">
        <x:f>IF(E14="Pilot now",IF(P14&gt;=84,"P1",IF(P14&gt;=72,"P2","P3")),IF(E14="Expansion discovery",IF(Q14&gt;=88,"D1",IF(Q14&gt;=78,"D2","D3")),IF(E14="Later / requirements","L","Legacy")))</x:f>
        <x:v>P1</x:v>
      </x:c>
      <x:c r="G14" s="14" t="str">
        <x:v>embud.com.ua</x:v>
      </x:c>
      <x:c r="H14" s="14" t="str">
        <x:v>Пілот зараз — Н.15</x:v>
      </x:c>
      <x:c r="I14" s="16" t="n">
        <x:v>5</x:v>
      </x:c>
      <x:c r="J14" s="16" t="n">
        <x:v>5</x:v>
      </x:c>
      <x:c r="K14" s="16" t="n">
        <x:v>5</x:v>
      </x:c>
      <x:c r="L14" s="16" t="n">
        <x:v>4</x:v>
      </x:c>
      <x:c r="M14" s="16" t="n">
        <x:v>5</x:v>
      </x:c>
      <x:c r="N14" s="16" t="n">
        <x:v>5</x:v>
      </x:c>
      <x:c r="O14" s="16" t="n">
        <x:v>5</x:v>
      </x:c>
      <x:c r="P14" s="16" t="n">
        <x:f>IF(COUNT(I14:O14)&lt;7,"",I14*8+J14*3+K14*2+L14*2+M14*2+N14*2+O14)</x:f>
        <x:v>98</x:v>
      </x:c>
      <x:c r="Q14" s="16" t="n">
        <x:f>IF(COUNT(J14:O14)&lt;6,"",J14*5+K14*4+M14*4+L14*3+N14*2+O14*2)</x:f>
        <x:v>97</x:v>
      </x:c>
      <x:c r="R14" s="14" t="str">
        <x:v>medium</x:v>
      </x:c>
      <x:c r="S14" s="14" t="str">
        <x:v>historical_research_2026-07-28</x:v>
      </x:c>
      <x:c r="T14" s="14" t="str">
        <x:v>historical_official_research</x:v>
      </x:c>
      <x:c r="U14" s="14" t="str">
        <x:v>Надіслано 28.07 — follow-up</x:v>
      </x:c>
      <x:c r="V14" s="15" t="str">
        <x:v>Follow-up з review-link; далі попросити 1 анонімізований артефакт</x:v>
      </x:c>
      <x:c r="W14" s="15" t="str">
        <x:v>Власник / директор; керівник ПТО</x:v>
      </x:c>
      <x:c r="X14" s="15" t="str">
        <x:v>Електромонтаж, автоматизація та BMS; виконує інженерні системи для комерційних і промислових об’єктів.</x:v>
      </x:c>
      <x:c r="Y14" s="15" t="str">
        <x:v>Кабельні мережі, датчики та автоматика часто закриваються оздобленням; приймання залежить від протоколів і маркування.</x:v>
      </x:c>
      <x:c r="Z14" s="15" t="str">
        <x:v>https://embud.com.ua/</x:v>
      </x:c>
      <x:c r="AA14" s="14" t="str">
        <x:v>40349760</x:v>
      </x:c>
      <x:c r="AB14" s="14" t="str">
        <x:v>2026-07-28</x:v>
      </x:c>
      <x:c r="AC14" s="14" t="str">
        <x:v>Олександр</x:v>
      </x:c>
      <x:c r="AD14" s="18" t="str"/>
      <x:c r="AE14" s="14" t="str"/>
    </x:row>
    <x:row r="15">
      <x:c r="A15" s="14" t="str">
        <x:v>V3-034</x:v>
      </x:c>
      <x:c r="B15" s="14" t="str">
        <x:v>Досліджено 28.07</x:v>
      </x:c>
      <x:c r="C15" s="14" t="str">
        <x:v>ТОВ «КОМУНІКАЦІЇ ТА ІНЖЕНЕРНІ МЕРЕЖІ»</x:v>
      </x:c>
      <x:c r="D15" s="14" t="str">
        <x:v>Електромонтаж</x:v>
      </x:c>
      <x:c r="E15" s="14" t="str">
        <x:v>Pilot now</x:v>
      </x:c>
      <x:c r="F15" s="17" t="str">
        <x:f>IF(E15="Pilot now",IF(P15&gt;=84,"P1",IF(P15&gt;=72,"P2","P3")),IF(E15="Expansion discovery",IF(Q15&gt;=88,"D1",IF(Q15&gt;=78,"D2","D3")),IF(E15="Later / requirements","L","Legacy")))</x:f>
        <x:v>P1</x:v>
      </x:c>
      <x:c r="G15" s="14" t="str">
        <x:v>kimelectro.com</x:v>
      </x:c>
      <x:c r="H15" s="14" t="str">
        <x:v>Пілот зараз — Н.15</x:v>
      </x:c>
      <x:c r="I15" s="16" t="n">
        <x:v>5</x:v>
      </x:c>
      <x:c r="J15" s="16" t="n">
        <x:v>5</x:v>
      </x:c>
      <x:c r="K15" s="16" t="n">
        <x:v>5</x:v>
      </x:c>
      <x:c r="L15" s="16" t="n">
        <x:v>4</x:v>
      </x:c>
      <x:c r="M15" s="16" t="n">
        <x:v>5</x:v>
      </x:c>
      <x:c r="N15" s="16" t="n">
        <x:v>5</x:v>
      </x:c>
      <x:c r="O15" s="16" t="n">
        <x:v>5</x:v>
      </x:c>
      <x:c r="P15" s="16" t="n">
        <x:f>IF(COUNT(I15:O15)&lt;7,"",I15*8+J15*3+K15*2+L15*2+M15*2+N15*2+O15)</x:f>
        <x:v>98</x:v>
      </x:c>
      <x:c r="Q15" s="16" t="n">
        <x:f>IF(COUNT(J15:O15)&lt;6,"",J15*5+K15*4+M15*4+L15*3+N15*2+O15*2)</x:f>
        <x:v>97</x:v>
      </x:c>
      <x:c r="R15" s="14" t="str">
        <x:v>medium</x:v>
      </x:c>
      <x:c r="S15" s="14" t="str">
        <x:v>historical_research_2026-07-28</x:v>
      </x:c>
      <x:c r="T15" s="14" t="str">
        <x:v>historical_official_research</x:v>
      </x:c>
      <x:c r="U15" s="14" t="str">
        <x:v>Надіслано 28.07 — follow-up</x:v>
      </x:c>
      <x:c r="V15" s="15" t="str">
        <x:v>Follow-up з review-link; далі попросити 1 анонімізований артефакт</x:v>
      </x:c>
      <x:c r="W15" s="15" t="str">
        <x:v>Власник / директор; керівник ПТО</x:v>
      </x:c>
      <x:c r="X15" s="15" t="str">
        <x:v>Проєктування, виробництво щитів, електромонтаж і будівельні роботи; у реєстрі є сертифіковані виконавці.</x:v>
      </x:c>
      <x:c r="Y15" s="15" t="str">
        <x:v>Кабельні траси, заземлення, щити та приєднання потребують поетапного контролю, протоколів і комплектності документів.</x:v>
      </x:c>
      <x:c r="Z15" s="15" t="str">
        <x:v>https://kimelectro.com/</x:v>
      </x:c>
      <x:c r="AA15" s="14" t="str">
        <x:v>37280567</x:v>
      </x:c>
      <x:c r="AB15" s="14" t="str">
        <x:v>2026-07-28</x:v>
      </x:c>
      <x:c r="AC15" s="14" t="str">
        <x:v>Олександр</x:v>
      </x:c>
      <x:c r="AD15" s="18" t="str"/>
      <x:c r="AE15" s="14" t="str"/>
    </x:row>
    <x:row r="16">
      <x:c r="A16" s="14" t="str">
        <x:v>V3-035</x:v>
      </x:c>
      <x:c r="B16" s="14" t="str">
        <x:v>Досліджено 28.07</x:v>
      </x:c>
      <x:c r="C16" s="14" t="str">
        <x:v>ТОВ «НЕТЛАЙН»</x:v>
      </x:c>
      <x:c r="D16" s="14" t="str">
        <x:v>Електромонтаж</x:v>
      </x:c>
      <x:c r="E16" s="14" t="str">
        <x:v>Pilot now</x:v>
      </x:c>
      <x:c r="F16" s="17" t="str">
        <x:f>IF(E16="Pilot now",IF(P16&gt;=84,"P1",IF(P16&gt;=72,"P2","P3")),IF(E16="Expansion discovery",IF(Q16&gt;=88,"D1",IF(Q16&gt;=78,"D2","D3")),IF(E16="Later / requirements","L","Legacy")))</x:f>
        <x:v>P1</x:v>
      </x:c>
      <x:c r="G16" s="14" t="str">
        <x:v>netline.top</x:v>
      </x:c>
      <x:c r="H16" s="14" t="str">
        <x:v>Пілот зараз — Н.15</x:v>
      </x:c>
      <x:c r="I16" s="16" t="n">
        <x:v>5</x:v>
      </x:c>
      <x:c r="J16" s="16" t="n">
        <x:v>5</x:v>
      </x:c>
      <x:c r="K16" s="16" t="n">
        <x:v>5</x:v>
      </x:c>
      <x:c r="L16" s="16" t="n">
        <x:v>4</x:v>
      </x:c>
      <x:c r="M16" s="16" t="n">
        <x:v>5</x:v>
      </x:c>
      <x:c r="N16" s="16" t="n">
        <x:v>5</x:v>
      </x:c>
      <x:c r="O16" s="16" t="n">
        <x:v>5</x:v>
      </x:c>
      <x:c r="P16" s="16" t="n">
        <x:f>IF(COUNT(I16:O16)&lt;7,"",I16*8+J16*3+K16*2+L16*2+M16*2+N16*2+O16)</x:f>
        <x:v>98</x:v>
      </x:c>
      <x:c r="Q16" s="16" t="n">
        <x:f>IF(COUNT(J16:O16)&lt;6,"",J16*5+K16*4+M16*4+L16*3+N16*2+O16*2)</x:f>
        <x:v>97</x:v>
      </x:c>
      <x:c r="R16" s="14" t="str">
        <x:v>medium</x:v>
      </x:c>
      <x:c r="S16" s="14" t="str">
        <x:v>historical_research_2026-07-28</x:v>
      </x:c>
      <x:c r="T16" s="14" t="str">
        <x:v>historical_official_research</x:v>
      </x:c>
      <x:c r="U16" s="14" t="str">
        <x:v>Надіслано 28.07 — follow-up</x:v>
      </x:c>
      <x:c r="V16" s="15" t="str">
        <x:v>Follow-up з review-link; далі попросити 1 анонімізований артефакт</x:v>
      </x:c>
      <x:c r="W16" s="15" t="str">
        <x:v>Власник / директор; керівник ПТО</x:v>
      </x:c>
      <x:c r="X16" s="15" t="str">
        <x:v>Зовнішнє освітлення, кабельні й лоткові траси, щитове обладнання, блискавкозахист та проєктні роботи.</x:v>
      </x:c>
      <x:c r="Y16" s="15" t="str">
        <x:v>Підземні кабелі, закладні й контур заземлення мають бути зафіксовані до засипання та оздоблення.</x:v>
      </x:c>
      <x:c r="Z16" s="15" t="str">
        <x:v>https://www.netline.top/en/%D0%B3%D0%BE%D0%BB%D0%BE%D0%B2%D0%BD%D0%B0-english/</x:v>
      </x:c>
      <x:c r="AA16" s="14" t="str">
        <x:v>40547614</x:v>
      </x:c>
      <x:c r="AB16" s="14" t="str">
        <x:v>2026-07-28</x:v>
      </x:c>
      <x:c r="AC16" s="14" t="str">
        <x:v>Олександр</x:v>
      </x:c>
      <x:c r="AD16" s="18" t="str"/>
      <x:c r="AE16" s="14" t="str"/>
    </x:row>
    <x:row r="17">
      <x:c r="A17" s="14" t="str">
        <x:v>AUG-015</x:v>
      </x:c>
      <x:c r="B17" s="14" t="str">
        <x:v>Перевірено 51 — 24.08</x:v>
      </x:c>
      <x:c r="C17" s="14" t="str">
        <x:v>Українська компанія ПРОМСИЛА</x:v>
      </x:c>
      <x:c r="D17" s="14" t="str">
        <x:v>Промислова електрика + пожежні системи</x:v>
      </x:c>
      <x:c r="E17" s="14" t="str">
        <x:v>Pilot now</x:v>
      </x:c>
      <x:c r="F17" s="17" t="str">
        <x:f>IF(E17="Pilot now",IF(P17&gt;=84,"P1",IF(P17&gt;=72,"P2","P3")),IF(E17="Expansion discovery",IF(Q17&gt;=88,"D1",IF(Q17&gt;=78,"D2","D3")),IF(E17="Later / requirements","L","Legacy")))</x:f>
        <x:v>P1</x:v>
      </x:c>
      <x:c r="G17" s="14" t="str">
        <x:v>mc-promsila.com.ua</x:v>
      </x:c>
      <x:c r="H17" s="14" t="str">
        <x:v>Пілот зараз — Н.15</x:v>
      </x:c>
      <x:c r="I17" s="16" t="n">
        <x:v>5</x:v>
      </x:c>
      <x:c r="J17" s="16" t="n">
        <x:v>5</x:v>
      </x:c>
      <x:c r="K17" s="16" t="n">
        <x:v>5</x:v>
      </x:c>
      <x:c r="L17" s="16" t="n">
        <x:v>4</x:v>
      </x:c>
      <x:c r="M17" s="16" t="n">
        <x:v>5</x:v>
      </x:c>
      <x:c r="N17" s="16" t="n">
        <x:v>5</x:v>
      </x:c>
      <x:c r="O17" s="16" t="n">
        <x:v>5</x:v>
      </x:c>
      <x:c r="P17" s="16" t="n">
        <x:f>IF(COUNT(I17:O17)&lt;7,"",I17*8+J17*3+K17*2+L17*2+M17*2+N17*2+O17)</x:f>
        <x:v>98</x:v>
      </x:c>
      <x:c r="Q17" s="16" t="n">
        <x:f>IF(COUNT(J17:O17)&lt;6,"",J17*5+K17*4+M17*4+L17*3+N17*2+O17*2)</x:f>
        <x:v>97</x:v>
      </x:c>
      <x:c r="R17" s="14" t="str">
        <x:v>high</x:v>
      </x:c>
      <x:c r="S17" s="14" t="str">
        <x:v>official_source_reverified</x:v>
      </x:c>
      <x:c r="T17" s="14" t="str">
        <x:v>official_source_reachable</x:v>
      </x:c>
      <x:c r="U17" s="14" t="str">
        <x:v>Новий — не контактували</x:v>
      </x:c>
      <x:c r="V17" s="15" t="str">
        <x:v>Персоналізувати review-flow за доказом; попросити 1 артефакт</x:v>
      </x:c>
      <x:c r="W17" s="15" t="str">
        <x:v>Директор; руководитель ПТО / энергетических проектов</x:v>
      </x:c>
      <x:c r="X17" s="15" t="str">
        <x:v>Полный комплекс энергоснабжения промышленных объектов, электромонтаж, пусконаладка и противопожарные системы.</x:v>
      </x:c>
      <x:c r="Y17" s="15" t="str">
        <x:v>Можно начать с кабельных линий/заземления и не включать неподдержанные требования пожаротушения.</x:v>
      </x:c>
      <x:c r="Z17" s="15" t="str">
        <x:v>https://mc-promsila.com.ua/</x:v>
      </x:c>
      <x:c r="AA17" s="14" t="str"/>
      <x:c r="AB17" s="14" t="str">
        <x:v>2026-08-24</x:v>
      </x:c>
      <x:c r="AC17" s="14" t="str">
        <x:v>Олександр</x:v>
      </x:c>
      <x:c r="AD17" s="18" t="str"/>
      <x:c r="AE17" s="14" t="str"/>
    </x:row>
    <x:row r="18">
      <x:c r="A18" s="14" t="str">
        <x:v>AUG-041</x:v>
      </x:c>
      <x:c r="B18" s="14" t="str">
        <x:v>Перевірено 51 — 24.08</x:v>
      </x:c>
      <x:c r="C18" s="14" t="str">
        <x:v>DOWBUSH energo</x:v>
      </x:c>
      <x:c r="D18" s="14" t="str">
        <x:v>Промислова електрика</x:v>
      </x:c>
      <x:c r="E18" s="14" t="str">
        <x:v>Pilot now</x:v>
      </x:c>
      <x:c r="F18" s="17" t="str">
        <x:f>IF(E18="Pilot now",IF(P18&gt;=84,"P1",IF(P18&gt;=72,"P2","P3")),IF(E18="Expansion discovery",IF(Q18&gt;=88,"D1",IF(Q18&gt;=78,"D2","D3")),IF(E18="Later / requirements","L","Legacy")))</x:f>
        <x:v>P1</x:v>
      </x:c>
      <x:c r="G18" s="14" t="str">
        <x:v>energo.dowbush.com</x:v>
      </x:c>
      <x:c r="H18" s="14" t="str">
        <x:v>Пілот зараз — Н.15</x:v>
      </x:c>
      <x:c r="I18" s="16" t="n">
        <x:v>5</x:v>
      </x:c>
      <x:c r="J18" s="16" t="n">
        <x:v>5</x:v>
      </x:c>
      <x:c r="K18" s="16" t="n">
        <x:v>5</x:v>
      </x:c>
      <x:c r="L18" s="16" t="n">
        <x:v>4</x:v>
      </x:c>
      <x:c r="M18" s="16" t="n">
        <x:v>5</x:v>
      </x:c>
      <x:c r="N18" s="16" t="n">
        <x:v>5</x:v>
      </x:c>
      <x:c r="O18" s="16" t="n">
        <x:v>5</x:v>
      </x:c>
      <x:c r="P18" s="16" t="n">
        <x:f>IF(COUNT(I18:O18)&lt;7,"",I18*8+J18*3+K18*2+L18*2+M18*2+N18*2+O18)</x:f>
        <x:v>98</x:v>
      </x:c>
      <x:c r="Q18" s="16" t="n">
        <x:f>IF(COUNT(J18:O18)&lt;6,"",J18*5+K18*4+M18*4+L18*3+N18*2+O18*2)</x:f>
        <x:v>97</x:v>
      </x:c>
      <x:c r="R18" s="14" t="str">
        <x:v>high</x:v>
      </x:c>
      <x:c r="S18" s="14" t="str">
        <x:v>official_source_reverified</x:v>
      </x:c>
      <x:c r="T18" s="14" t="str">
        <x:v>official_source_reachable</x:v>
      </x:c>
      <x:c r="U18" s="14" t="str">
        <x:v>Новий — не контактували</x:v>
      </x:c>
      <x:c r="V18" s="15" t="str">
        <x:v>Персоналізувати review-flow за доказом; попросити 1 артефакт</x:v>
      </x:c>
      <x:c r="W18" s="15" t="str">
        <x:v>Коммерческий директор; руководитель ПТО</x:v>
      </x:c>
      <x:c r="X18" s="15" t="str">
        <x:v>Подстанции КТП/РП/ЗТП, кабельные линии, монтаж, пусконаладка и протоколы испытаний в единой ответственности.</x:v>
      </x:c>
      <x:c r="Y18" s="15" t="str">
        <x:v>Явная связка работ, испытаний и протоколов идеально подходит для Н.15-пилота.</x:v>
      </x:c>
      <x:c r="Z18" s="15" t="str">
        <x:v>https://energo.dowbush.com/uk/services</x:v>
      </x:c>
      <x:c r="AA18" s="14" t="str"/>
      <x:c r="AB18" s="14" t="str">
        <x:v>2026-08-24</x:v>
      </x:c>
      <x:c r="AC18" s="14" t="str">
        <x:v>Олександр</x:v>
      </x:c>
      <x:c r="AD18" s="18" t="str"/>
      <x:c r="AE18" s="14" t="str"/>
    </x:row>
    <x:row r="19">
      <x:c r="A19" s="14" t="str">
        <x:v>AUG-023</x:v>
      </x:c>
      <x:c r="B19" s="14" t="str">
        <x:v>Перевірено 51 — 24.08</x:v>
      </x:c>
      <x:c r="C19" s="14" t="str">
        <x:v>RUDNIK</x:v>
      </x:c>
      <x:c r="D19" s="14" t="str">
        <x:v>СЕС + електрика</x:v>
      </x:c>
      <x:c r="E19" s="14" t="str">
        <x:v>Pilot now</x:v>
      </x:c>
      <x:c r="F19" s="17" t="str">
        <x:f>IF(E19="Pilot now",IF(P19&gt;=84,"P1",IF(P19&gt;=72,"P2","P3")),IF(E19="Expansion discovery",IF(Q19&gt;=88,"D1",IF(Q19&gt;=78,"D2","D3")),IF(E19="Later / requirements","L","Legacy")))</x:f>
        <x:v>P1</x:v>
      </x:c>
      <x:c r="G19" s="14" t="str">
        <x:v>rudnik.ua</x:v>
      </x:c>
      <x:c r="H19" s="14" t="str">
        <x:v>Пілот зараз — Н.15</x:v>
      </x:c>
      <x:c r="I19" s="16" t="n">
        <x:v>5</x:v>
      </x:c>
      <x:c r="J19" s="16" t="n">
        <x:v>5</x:v>
      </x:c>
      <x:c r="K19" s="16" t="n">
        <x:v>5</x:v>
      </x:c>
      <x:c r="L19" s="16" t="n">
        <x:v>5</x:v>
      </x:c>
      <x:c r="M19" s="16" t="n">
        <x:v>4</x:v>
      </x:c>
      <x:c r="N19" s="16" t="n">
        <x:v>5</x:v>
      </x:c>
      <x:c r="O19" s="16" t="n">
        <x:v>5</x:v>
      </x:c>
      <x:c r="P19" s="16" t="n">
        <x:f>IF(COUNT(I19:O19)&lt;7,"",I19*8+J19*3+K19*2+L19*2+M19*2+N19*2+O19)</x:f>
        <x:v>98</x:v>
      </x:c>
      <x:c r="Q19" s="16" t="n">
        <x:f>IF(COUNT(J19:O19)&lt;6,"",J19*5+K19*4+M19*4+L19*3+N19*2+O19*2)</x:f>
        <x:v>96</x:v>
      </x:c>
      <x:c r="R19" s="14" t="str">
        <x:v>high</x:v>
      </x:c>
      <x:c r="S19" s="14" t="str">
        <x:v>official_source_reverified</x:v>
      </x:c>
      <x:c r="T19" s="14" t="str">
        <x:v>official_source_reachable</x:v>
      </x:c>
      <x:c r="U19" s="14" t="str">
        <x:v>Новий — не контактували</x:v>
      </x:c>
      <x:c r="V19" s="15" t="str">
        <x:v>Персоналізувати review-flow за доказом; попросити 1 артефакт</x:v>
      </x:c>
      <x:c r="W19" s="15" t="str">
        <x:v>Коммерческий директор; руководитель строительства / ПТО</x:v>
      </x:c>
      <x:c r="X19" s="15" t="str">
        <x:v>Проектирование и монтаж промышленных СЭС; 1000+ солнечных станций, производственные мощности 120 МВт/год.</x:v>
      </x:c>
      <x:c r="Y19" s="15" t="str">
        <x:v>Кабели, заземление и приёмка электроустановок дают большой повторяемый массив доказательств.</x:v>
      </x:c>
      <x:c r="Z19" s="15" t="str">
        <x:v>https://www.rudnik.ua/</x:v>
      </x:c>
      <x:c r="AA19" s="14" t="str"/>
      <x:c r="AB19" s="14" t="str">
        <x:v>2026-08-24</x:v>
      </x:c>
      <x:c r="AC19" s="14" t="str">
        <x:v>Олександр</x:v>
      </x:c>
      <x:c r="AD19" s="18" t="str"/>
      <x:c r="AE19" s="14" t="str"/>
    </x:row>
    <x:row r="20">
      <x:c r="A20" s="14" t="str">
        <x:v>AUG-028</x:v>
      </x:c>
      <x:c r="B20" s="14" t="str">
        <x:v>Перевірено 51 — 24.08</x:v>
      </x:c>
      <x:c r="C20" s="14" t="str">
        <x:v>Авангард Солар</x:v>
      </x:c>
      <x:c r="D20" s="14" t="str">
        <x:v>СЕС + електрика</x:v>
      </x:c>
      <x:c r="E20" s="14" t="str">
        <x:v>Pilot now</x:v>
      </x:c>
      <x:c r="F20" s="17" t="str">
        <x:f>IF(E20="Pilot now",IF(P20&gt;=84,"P1",IF(P20&gt;=72,"P2","P3")),IF(E20="Expansion discovery",IF(Q20&gt;=88,"D1",IF(Q20&gt;=78,"D2","D3")),IF(E20="Later / requirements","L","Legacy")))</x:f>
        <x:v>P1</x:v>
      </x:c>
      <x:c r="G20" s="14" t="str">
        <x:v>avangard-solar.com.ua</x:v>
      </x:c>
      <x:c r="H20" s="14" t="str">
        <x:v>Пілот зараз — Н.15</x:v>
      </x:c>
      <x:c r="I20" s="16" t="n">
        <x:v>5</x:v>
      </x:c>
      <x:c r="J20" s="16" t="n">
        <x:v>5</x:v>
      </x:c>
      <x:c r="K20" s="16" t="n">
        <x:v>5</x:v>
      </x:c>
      <x:c r="L20" s="16" t="n">
        <x:v>4</x:v>
      </x:c>
      <x:c r="M20" s="16" t="n">
        <x:v>4</x:v>
      </x:c>
      <x:c r="N20" s="16" t="n">
        <x:v>5</x:v>
      </x:c>
      <x:c r="O20" s="16" t="n">
        <x:v>5</x:v>
      </x:c>
      <x:c r="P20" s="16" t="n">
        <x:f>IF(COUNT(I20:O20)&lt;7,"",I20*8+J20*3+K20*2+L20*2+M20*2+N20*2+O20)</x:f>
        <x:v>96</x:v>
      </x:c>
      <x:c r="Q20" s="16" t="n">
        <x:f>IF(COUNT(J20:O20)&lt;6,"",J20*5+K20*4+M20*4+L20*3+N20*2+O20*2)</x:f>
        <x:v>93</x:v>
      </x:c>
      <x:c r="R20" s="14" t="str">
        <x:v>high</x:v>
      </x:c>
      <x:c r="S20" s="14" t="str">
        <x:v>official_source_reverified</x:v>
      </x:c>
      <x:c r="T20" s="14" t="str">
        <x:v>official_source_reachable</x:v>
      </x:c>
      <x:c r="U20" s="14" t="str">
        <x:v>Новий — не контактували</x:v>
      </x:c>
      <x:c r="V20" s="15" t="str">
        <x:v>Персоналізувати review-flow за доказом; попросити 1 артефакт</x:v>
      </x:c>
      <x:c r="W20" s="15" t="str">
        <x:v>Владелец; руководитель монтажных проектов</x:v>
      </x:c>
      <x:c r="X20" s="15" t="str">
        <x:v>Промышленные и коммерческие СЭС; портфолио заводов, клиник, агро- и бизнес-объектов по Украине.</x:v>
      </x:c>
      <x:c r="Y20" s="15" t="str">
        <x:v>Фото кабельных трасс и заземления до закрытия можно связать с приёмкой электроустановки.</x:v>
      </x:c>
      <x:c r="Z20" s="15" t="str">
        <x:v>https://www.avangard-solar.com.ua/</x:v>
      </x:c>
      <x:c r="AA20" s="14" t="str"/>
      <x:c r="AB20" s="14" t="str">
        <x:v>2026-08-24</x:v>
      </x:c>
      <x:c r="AC20" s="14" t="str">
        <x:v>Олександр</x:v>
      </x:c>
      <x:c r="AD20" s="18" t="str"/>
      <x:c r="AE20" s="14" t="str"/>
    </x:row>
    <x:row r="21">
      <x:c r="A21" s="14" t="str">
        <x:v>AUG-013</x:v>
      </x:c>
      <x:c r="B21" s="14" t="str">
        <x:v>Перевірено 51 — 24.08</x:v>
      </x:c>
      <x:c r="C21" s="14" t="str">
        <x:v>Електрощит</x:v>
      </x:c>
      <x:c r="D21" s="14" t="str">
        <x:v>Промислова електрика</x:v>
      </x:c>
      <x:c r="E21" s="14" t="str">
        <x:v>Pilot now</x:v>
      </x:c>
      <x:c r="F21" s="17" t="str">
        <x:f>IF(E21="Pilot now",IF(P21&gt;=84,"P1",IF(P21&gt;=72,"P2","P3")),IF(E21="Expansion discovery",IF(Q21&gt;=88,"D1",IF(Q21&gt;=78,"D2","D3")),IF(E21="Later / requirements","L","Legacy")))</x:f>
        <x:v>P1</x:v>
      </x:c>
      <x:c r="G21" s="14" t="str">
        <x:v>elektroschit.com.ua</x:v>
      </x:c>
      <x:c r="H21" s="14" t="str">
        <x:v>Пілот зараз — Н.15</x:v>
      </x:c>
      <x:c r="I21" s="16" t="n">
        <x:v>5</x:v>
      </x:c>
      <x:c r="J21" s="16" t="n">
        <x:v>5</x:v>
      </x:c>
      <x:c r="K21" s="16" t="n">
        <x:v>5</x:v>
      </x:c>
      <x:c r="L21" s="16" t="n">
        <x:v>4</x:v>
      </x:c>
      <x:c r="M21" s="16" t="n">
        <x:v>4</x:v>
      </x:c>
      <x:c r="N21" s="16" t="n">
        <x:v>5</x:v>
      </x:c>
      <x:c r="O21" s="16" t="n">
        <x:v>5</x:v>
      </x:c>
      <x:c r="P21" s="16" t="n">
        <x:f>IF(COUNT(I21:O21)&lt;7,"",I21*8+J21*3+K21*2+L21*2+M21*2+N21*2+O21)</x:f>
        <x:v>96</x:v>
      </x:c>
      <x:c r="Q21" s="16" t="n">
        <x:f>IF(COUNT(J21:O21)&lt;6,"",J21*5+K21*4+M21*4+L21*3+N21*2+O21*2)</x:f>
        <x:v>93</x:v>
      </x:c>
      <x:c r="R21" s="14" t="str">
        <x:v>high</x:v>
      </x:c>
      <x:c r="S21" s="14" t="str">
        <x:v>official_source_reverified</x:v>
      </x:c>
      <x:c r="T21" s="14" t="str">
        <x:v>official_source_reachable</x:v>
      </x:c>
      <x:c r="U21" s="14" t="str">
        <x:v>Новий — не контактували</x:v>
      </x:c>
      <x:c r="V21" s="15" t="str">
        <x:v>Персоналізувати review-flow за доказом; попросити 1 артефакт</x:v>
      </x:c>
      <x:c r="W21" s="15" t="str">
        <x:v>Директор; руководитель проектов / ПТО</x:v>
      </x:c>
      <x:c r="X21" s="15" t="str">
        <x:v>25 лет опыта, полный цикл от ТЗ до пусконаладки на промышленных, складских и агрообъектах по Украине.</x:v>
      </x:c>
      <x:c r="Y21" s="15" t="str">
        <x:v>Кабельные трассы, маркировка, автоматика и пусконаладка формируют измеримый доказательный пакет.</x:v>
      </x:c>
      <x:c r="Z21" s="15" t="str">
        <x:v>https://elektroschit.com.ua/posluhy-ta-produktsiia/elektromontazh/</x:v>
      </x:c>
      <x:c r="AA21" s="14" t="str"/>
      <x:c r="AB21" s="14" t="str">
        <x:v>2026-08-24</x:v>
      </x:c>
      <x:c r="AC21" s="14" t="str">
        <x:v>Олександр</x:v>
      </x:c>
      <x:c r="AD21" s="18" t="str"/>
      <x:c r="AE21" s="14" t="str"/>
    </x:row>
    <x:row r="22">
      <x:c r="A22" s="14" t="str">
        <x:v>AUG-010</x:v>
      </x:c>
      <x:c r="B22" s="14" t="str">
        <x:v>Перевірено 51 — 24.08</x:v>
      </x:c>
      <x:c r="C22" s="14" t="str">
        <x:v>Мега Watt</x:v>
      </x:c>
      <x:c r="D22" s="14" t="str">
        <x:v>Електромонтаж</x:v>
      </x:c>
      <x:c r="E22" s="14" t="str">
        <x:v>Pilot now</x:v>
      </x:c>
      <x:c r="F22" s="17" t="str">
        <x:f>IF(E22="Pilot now",IF(P22&gt;=84,"P1",IF(P22&gt;=72,"P2","P3")),IF(E22="Expansion discovery",IF(Q22&gt;=88,"D1",IF(Q22&gt;=78,"D2","D3")),IF(E22="Later / requirements","L","Legacy")))</x:f>
        <x:v>P1</x:v>
      </x:c>
      <x:c r="G22" s="14" t="str">
        <x:v>megawatt.ua</x:v>
      </x:c>
      <x:c r="H22" s="14" t="str">
        <x:v>Пілот зараз — Н.15</x:v>
      </x:c>
      <x:c r="I22" s="16" t="n">
        <x:v>5</x:v>
      </x:c>
      <x:c r="J22" s="16" t="n">
        <x:v>5</x:v>
      </x:c>
      <x:c r="K22" s="16" t="n">
        <x:v>5</x:v>
      </x:c>
      <x:c r="L22" s="16" t="n">
        <x:v>4</x:v>
      </x:c>
      <x:c r="M22" s="16" t="n">
        <x:v>4</x:v>
      </x:c>
      <x:c r="N22" s="16" t="n">
        <x:v>5</x:v>
      </x:c>
      <x:c r="O22" s="16" t="n">
        <x:v>5</x:v>
      </x:c>
      <x:c r="P22" s="16" t="n">
        <x:f>IF(COUNT(I22:O22)&lt;7,"",I22*8+J22*3+K22*2+L22*2+M22*2+N22*2+O22)</x:f>
        <x:v>96</x:v>
      </x:c>
      <x:c r="Q22" s="16" t="n">
        <x:f>IF(COUNT(J22:O22)&lt;6,"",J22*5+K22*4+M22*4+L22*3+N22*2+O22*2)</x:f>
        <x:v>93</x:v>
      </x:c>
      <x:c r="R22" s="14" t="str">
        <x:v>high</x:v>
      </x:c>
      <x:c r="S22" s="14" t="str">
        <x:v>official_source_reverified</x:v>
      </x:c>
      <x:c r="T22" s="14" t="str">
        <x:v>official_source_reachable</x:v>
      </x:c>
      <x:c r="U22" s="14" t="str">
        <x:v>Новий — не контактували</x:v>
      </x:c>
      <x:c r="V22" s="15" t="str">
        <x:v>Персоналізувати review-flow за доказом; попросити 1 артефакт</x:v>
      </x:c>
      <x:c r="W22" s="15" t="str">
        <x:v>Владелец; руководитель промышленных проектов</x:v>
      </x:c>
      <x:c r="X22" s="15" t="str">
        <x:v>Полный электромонтаж промышленных объектов; компания заявляет сотни реализованных проектов.</x:v>
      </x:c>
      <x:c r="Y22" s="15" t="str">
        <x:v>Прокладка кабелей, щиты, испытания и сдача объекта образуют готовый Н.15-пилот.</x:v>
      </x:c>
      <x:c r="Z22" s="15" t="str">
        <x:v>https://megawatt.ua/na-obektah-promyshlennogo-naznacheniya</x:v>
      </x:c>
      <x:c r="AA22" s="14" t="str"/>
      <x:c r="AB22" s="14" t="str">
        <x:v>2026-08-24</x:v>
      </x:c>
      <x:c r="AC22" s="14" t="str">
        <x:v>Олександр</x:v>
      </x:c>
      <x:c r="AD22" s="18" t="str"/>
      <x:c r="AE22" s="14" t="str"/>
    </x:row>
    <x:row r="23">
      <x:c r="A23" s="14" t="str">
        <x:v>AUG-027</x:v>
      </x:c>
      <x:c r="B23" s="14" t="str">
        <x:v>Перевірено 51 — 24.08</x:v>
      </x:c>
      <x:c r="C23" s="14" t="str">
        <x:v>Оазис Комфорт</x:v>
      </x:c>
      <x:c r="D23" s="14" t="str">
        <x:v>MEP / інженерні системи</x:v>
      </x:c>
      <x:c r="E23" s="14" t="str">
        <x:v>Pilot now</x:v>
      </x:c>
      <x:c r="F23" s="17" t="str">
        <x:f>IF(E23="Pilot now",IF(P23&gt;=84,"P1",IF(P23&gt;=72,"P2","P3")),IF(E23="Expansion discovery",IF(Q23&gt;=88,"D1",IF(Q23&gt;=78,"D2","D3")),IF(E23="Later / requirements","L","Legacy")))</x:f>
        <x:v>P1</x:v>
      </x:c>
      <x:c r="G23" s="14" t="str">
        <x:v>oasiscomfort.com.ua</x:v>
      </x:c>
      <x:c r="H23" s="14" t="str">
        <x:v>Пілот зараз — Н.14 + Н.15</x:v>
      </x:c>
      <x:c r="I23" s="16" t="n">
        <x:v>5</x:v>
      </x:c>
      <x:c r="J23" s="16" t="n">
        <x:v>5</x:v>
      </x:c>
      <x:c r="K23" s="16" t="n">
        <x:v>4</x:v>
      </x:c>
      <x:c r="L23" s="16" t="n">
        <x:v>4</x:v>
      </x:c>
      <x:c r="M23" s="16" t="n">
        <x:v>5</x:v>
      </x:c>
      <x:c r="N23" s="16" t="n">
        <x:v>5</x:v>
      </x:c>
      <x:c r="O23" s="16" t="n">
        <x:v>5</x:v>
      </x:c>
      <x:c r="P23" s="16" t="n">
        <x:f>IF(COUNT(I23:O23)&lt;7,"",I23*8+J23*3+K23*2+L23*2+M23*2+N23*2+O23)</x:f>
        <x:v>96</x:v>
      </x:c>
      <x:c r="Q23" s="16" t="n">
        <x:f>IF(COUNT(J23:O23)&lt;6,"",J23*5+K23*4+M23*4+L23*3+N23*2+O23*2)</x:f>
        <x:v>93</x:v>
      </x:c>
      <x:c r="R23" s="14" t="str">
        <x:v>high</x:v>
      </x:c>
      <x:c r="S23" s="14" t="str">
        <x:v>official_source_reverified</x:v>
      </x:c>
      <x:c r="T23" s="14" t="str">
        <x:v>official_source_reachable</x:v>
      </x:c>
      <x:c r="U23" s="14" t="str">
        <x:v>Новий — не контактували</x:v>
      </x:c>
      <x:c r="V23" s="15" t="str">
        <x:v>Персоналізувати review-flow за доказом; попросити 1 артефакт</x:v>
      </x:c>
      <x:c r="W23" s="15" t="str">
        <x:v>Коммерческий директор; руководитель проектов / ПТО</x:v>
      </x:c>
      <x:c r="X23" s="15" t="str">
        <x:v>Инженерные системы полного цикла для логистических центров, индустриальных парков, бизнеса и ЖК по Украине.</x:v>
      </x:c>
      <x:c r="Y23" s="15" t="str">
        <x:v>Водоснабжение/отопление и электрические точки можно взять одним поддержанным subset на действующем объекте.</x:v>
      </x:c>
      <x:c r="Z23" s="15" t="str">
        <x:v>https://oasiscomfort.com.ua/</x:v>
      </x:c>
      <x:c r="AA23" s="14" t="str"/>
      <x:c r="AB23" s="14" t="str">
        <x:v>2026-08-24</x:v>
      </x:c>
      <x:c r="AC23" s="14" t="str">
        <x:v>Олександр</x:v>
      </x:c>
      <x:c r="AD23" s="18" t="str"/>
      <x:c r="AE23" s="14" t="str"/>
    </x:row>
    <x:row r="24">
      <x:c r="A24" s="14" t="str">
        <x:v>AUG-029</x:v>
      </x:c>
      <x:c r="B24" s="14" t="str">
        <x:v>Перевірено 51 — 24.08</x:v>
      </x:c>
      <x:c r="C24" s="14" t="str">
        <x:v>ONG Solar</x:v>
      </x:c>
      <x:c r="D24" s="14" t="str">
        <x:v>СЕС + електрика</x:v>
      </x:c>
      <x:c r="E24" s="14" t="str">
        <x:v>Pilot now</x:v>
      </x:c>
      <x:c r="F24" s="17" t="str">
        <x:f>IF(E24="Pilot now",IF(P24&gt;=84,"P1",IF(P24&gt;=72,"P2","P3")),IF(E24="Expansion discovery",IF(Q24&gt;=88,"D1",IF(Q24&gt;=78,"D2","D3")),IF(E24="Later / requirements","L","Legacy")))</x:f>
        <x:v>P1</x:v>
      </x:c>
      <x:c r="G24" s="14" t="str">
        <x:v>ongsolar.com.ua</x:v>
      </x:c>
      <x:c r="H24" s="14" t="str">
        <x:v>Пілот зараз — Н.15</x:v>
      </x:c>
      <x:c r="I24" s="16" t="n">
        <x:v>5</x:v>
      </x:c>
      <x:c r="J24" s="16" t="n">
        <x:v>5</x:v>
      </x:c>
      <x:c r="K24" s="16" t="n">
        <x:v>5</x:v>
      </x:c>
      <x:c r="L24" s="16" t="n">
        <x:v>3</x:v>
      </x:c>
      <x:c r="M24" s="16" t="n">
        <x:v>5</x:v>
      </x:c>
      <x:c r="N24" s="16" t="n">
        <x:v>5</x:v>
      </x:c>
      <x:c r="O24" s="16" t="n">
        <x:v>5</x:v>
      </x:c>
      <x:c r="P24" s="16" t="n">
        <x:f>IF(COUNT(I24:O24)&lt;7,"",I24*8+J24*3+K24*2+L24*2+M24*2+N24*2+O24)</x:f>
        <x:v>96</x:v>
      </x:c>
      <x:c r="Q24" s="16" t="n">
        <x:f>IF(COUNT(J24:O24)&lt;6,"",J24*5+K24*4+M24*4+L24*3+N24*2+O24*2)</x:f>
        <x:v>94</x:v>
      </x:c>
      <x:c r="R24" s="14" t="str">
        <x:v>high</x:v>
      </x:c>
      <x:c r="S24" s="14" t="str">
        <x:v>official_source_reverified</x:v>
      </x:c>
      <x:c r="T24" s="14" t="str">
        <x:v>official_source_reachable</x:v>
      </x:c>
      <x:c r="U24" s="14" t="str">
        <x:v>Новий — не контактували</x:v>
      </x:c>
      <x:c r="V24" s="15" t="str">
        <x:v>Персоналізувати review-flow за доказом; попросити 1 артефакт</x:v>
      </x:c>
      <x:c r="W24" s="15" t="str">
        <x:v>Директор; руководитель строительства / ПТО</x:v>
      </x:c>
      <x:c r="X24" s="15" t="str">
        <x:v>17+ проектов в пяти областях, полный цикл СЭС и оформление всей документации при запуске.</x:v>
      </x:c>
      <x:c r="Y24" s="15" t="str">
        <x:v>Документационное обещание и повторяемый электромонтаж делают компанию сильным design-partner кандидатом.</x:v>
      </x:c>
      <x:c r="Z24" s="15" t="str">
        <x:v>https://ongsolar.com.ua/</x:v>
      </x:c>
      <x:c r="AA24" s="14" t="str"/>
      <x:c r="AB24" s="14" t="str">
        <x:v>2026-08-24</x:v>
      </x:c>
      <x:c r="AC24" s="14" t="str">
        <x:v>Олександр</x:v>
      </x:c>
      <x:c r="AD24" s="18" t="str"/>
      <x:c r="AE24" s="14" t="str"/>
    </x:row>
    <x:row r="25">
      <x:c r="A25" s="14" t="str">
        <x:v>AUG-042</x:v>
      </x:c>
      <x:c r="B25" s="14" t="str">
        <x:v>Перевірено 51 — 24.08</x:v>
      </x:c>
      <x:c r="C25" s="14" t="str">
        <x:v>ВК Тепло</x:v>
      </x:c>
      <x:c r="D25" s="14" t="str">
        <x:v>Внутрішня сантехніка + HVAC</x:v>
      </x:c>
      <x:c r="E25" s="14" t="str">
        <x:v>Pilot now</x:v>
      </x:c>
      <x:c r="F25" s="17" t="str">
        <x:f>IF(E25="Pilot now",IF(P25&gt;=84,"P1",IF(P25&gt;=72,"P2","P3")),IF(E25="Expansion discovery",IF(Q25&gt;=88,"D1",IF(Q25&gt;=78,"D2","D3")),IF(E25="Later / requirements","L","Legacy")))</x:f>
        <x:v>P1</x:v>
      </x:c>
      <x:c r="G25" s="14" t="str">
        <x:v>vk-teplo.com.ua</x:v>
      </x:c>
      <x:c r="H25" s="14" t="str">
        <x:v>Пілот зараз — Н.14</x:v>
      </x:c>
      <x:c r="I25" s="16" t="n">
        <x:v>5</x:v>
      </x:c>
      <x:c r="J25" s="16" t="n">
        <x:v>5</x:v>
      </x:c>
      <x:c r="K25" s="16" t="n">
        <x:v>4</x:v>
      </x:c>
      <x:c r="L25" s="16" t="n">
        <x:v>4</x:v>
      </x:c>
      <x:c r="M25" s="16" t="n">
        <x:v>4</x:v>
      </x:c>
      <x:c r="N25" s="16" t="n">
        <x:v>5</x:v>
      </x:c>
      <x:c r="O25" s="16" t="n">
        <x:v>5</x:v>
      </x:c>
      <x:c r="P25" s="16" t="n">
        <x:f>IF(COUNT(I25:O25)&lt;7,"",I25*8+J25*3+K25*2+L25*2+M25*2+N25*2+O25)</x:f>
        <x:v>94</x:v>
      </x:c>
      <x:c r="Q25" s="16" t="n">
        <x:f>IF(COUNT(J25:O25)&lt;6,"",J25*5+K25*4+M25*4+L25*3+N25*2+O25*2)</x:f>
        <x:v>89</x:v>
      </x:c>
      <x:c r="R25" s="14" t="str">
        <x:v>high</x:v>
      </x:c>
      <x:c r="S25" s="14" t="str">
        <x:v>official_source_reverified</x:v>
      </x:c>
      <x:c r="T25" s="14" t="str">
        <x:v>official_source_reachable</x:v>
      </x:c>
      <x:c r="U25" s="14" t="str">
        <x:v>Новий — не контактували</x:v>
      </x:c>
      <x:c r="V25" s="15" t="str">
        <x:v>Персоналізувати review-flow за доказом; попросити 1 артефакт</x:v>
      </x:c>
      <x:c r="W25" s="15" t="str">
        <x:v>Директор; руководитель проектно-монтажного подразделения</x:v>
      </x:c>
      <x:c r="X25" s="15" t="str">
        <x:v>15 лет, 200+ спроектированных объектов: отопление, водоснабжение, канализация и вентиляция, включая промышленные предприятия и ТРЦ.</x:v>
      </x:c>
      <x:c r="Y25" s="15" t="str">
        <x:v>Трубы, уклоны, сварные соединения, арматура и автоматика прямо входят в Н.14.</x:v>
      </x:c>
      <x:c r="Z25" s="15" t="str">
        <x:v>https://vk-teplo.com.ua/</x:v>
      </x:c>
      <x:c r="AA25" s="14" t="str"/>
      <x:c r="AB25" s="14" t="str">
        <x:v>2026-08-24</x:v>
      </x:c>
      <x:c r="AC25" s="14" t="str">
        <x:v>Олександр</x:v>
      </x:c>
      <x:c r="AD25" s="18" t="str"/>
      <x:c r="AE25" s="14" t="str"/>
    </x:row>
    <x:row r="26">
      <x:c r="A26" s="14" t="str">
        <x:v>AUG-008</x:v>
      </x:c>
      <x:c r="B26" s="14" t="str">
        <x:v>Перевірено 51 — 24.08</x:v>
      </x:c>
      <x:c r="C26" s="14" t="str">
        <x:v>Максвел</x:v>
      </x:c>
      <x:c r="D26" s="14" t="str">
        <x:v>Електромонтаж</x:v>
      </x:c>
      <x:c r="E26" s="14" t="str">
        <x:v>Pilot now</x:v>
      </x:c>
      <x:c r="F26" s="17" t="str">
        <x:f>IF(E26="Pilot now",IF(P26&gt;=84,"P1",IF(P26&gt;=72,"P2","P3")),IF(E26="Expansion discovery",IF(Q26&gt;=88,"D1",IF(Q26&gt;=78,"D2","D3")),IF(E26="Later / requirements","L","Legacy")))</x:f>
        <x:v>P1</x:v>
      </x:c>
      <x:c r="G26" s="14" t="str">
        <x:v>maksvel.com.ua</x:v>
      </x:c>
      <x:c r="H26" s="14" t="str">
        <x:v>Пілот зараз — Н.15</x:v>
      </x:c>
      <x:c r="I26" s="16" t="n">
        <x:v>5</x:v>
      </x:c>
      <x:c r="J26" s="16" t="n">
        <x:v>5</x:v>
      </x:c>
      <x:c r="K26" s="16" t="n">
        <x:v>5</x:v>
      </x:c>
      <x:c r="L26" s="16" t="n">
        <x:v>3</x:v>
      </x:c>
      <x:c r="M26" s="16" t="n">
        <x:v>4</x:v>
      </x:c>
      <x:c r="N26" s="16" t="n">
        <x:v>5</x:v>
      </x:c>
      <x:c r="O26" s="16" t="n">
        <x:v>5</x:v>
      </x:c>
      <x:c r="P26" s="16" t="n">
        <x:f>IF(COUNT(I26:O26)&lt;7,"",I26*8+J26*3+K26*2+L26*2+M26*2+N26*2+O26)</x:f>
        <x:v>94</x:v>
      </x:c>
      <x:c r="Q26" s="16" t="n">
        <x:f>IF(COUNT(J26:O26)&lt;6,"",J26*5+K26*4+M26*4+L26*3+N26*2+O26*2)</x:f>
        <x:v>90</x:v>
      </x:c>
      <x:c r="R26" s="14" t="str">
        <x:v>high</x:v>
      </x:c>
      <x:c r="S26" s="14" t="str">
        <x:v>official_source_reverified</x:v>
      </x:c>
      <x:c r="T26" s="14" t="str">
        <x:v>official_source_reachable</x:v>
      </x:c>
      <x:c r="U26" s="14" t="str">
        <x:v>Новий — не контактували</x:v>
      </x:c>
      <x:c r="V26" s="15" t="str">
        <x:v>Персоналізувати review-flow за доказом; попросити 1 артефакт</x:v>
      </x:c>
      <x:c r="W26" s="15" t="str">
        <x:v>Владелец; главный инженер / ПТО</x:v>
      </x:c>
      <x:c r="X26" s="15" t="str">
        <x:v>Специализированное проектирование и монтаж электрических систем для коммерческих и промышленных объектов.</x:v>
      </x:c>
      <x:c r="Y26" s="15" t="str">
        <x:v>Кабельные трассы, штробы, заземление и приёмка электроустановок прямо входят в Н.15.</x:v>
      </x:c>
      <x:c r="Z26" s="15" t="str">
        <x:v>http://www.maksvel.com.ua/</x:v>
      </x:c>
      <x:c r="AA26" s="14" t="str"/>
      <x:c r="AB26" s="14" t="str">
        <x:v>2026-08-24</x:v>
      </x:c>
      <x:c r="AC26" s="14" t="str">
        <x:v>Олександр</x:v>
      </x:c>
      <x:c r="AD26" s="18" t="str"/>
      <x:c r="AE26" s="14" t="str"/>
    </x:row>
    <x:row r="27">
      <x:c r="A27" s="14" t="str">
        <x:v>AUG-012</x:v>
      </x:c>
      <x:c r="B27" s="14" t="str">
        <x:v>Перевірено 51 — 24.08</x:v>
      </x:c>
      <x:c r="C27" s="14" t="str">
        <x:v>Укртакелаж</x:v>
      </x:c>
      <x:c r="D27" s="14" t="str">
        <x:v>Промислова електрика</x:v>
      </x:c>
      <x:c r="E27" s="14" t="str">
        <x:v>Pilot now</x:v>
      </x:c>
      <x:c r="F27" s="17" t="str">
        <x:f>IF(E27="Pilot now",IF(P27&gt;=84,"P1",IF(P27&gt;=72,"P2","P3")),IF(E27="Expansion discovery",IF(Q27&gt;=88,"D1",IF(Q27&gt;=78,"D2","D3")),IF(E27="Later / requirements","L","Legacy")))</x:f>
        <x:v>P1</x:v>
      </x:c>
      <x:c r="G27" s="14" t="str">
        <x:v>ukrtakelage.com</x:v>
      </x:c>
      <x:c r="H27" s="14" t="str">
        <x:v>Пілот зараз — Н.15</x:v>
      </x:c>
      <x:c r="I27" s="16" t="n">
        <x:v>5</x:v>
      </x:c>
      <x:c r="J27" s="16" t="n">
        <x:v>5</x:v>
      </x:c>
      <x:c r="K27" s="16" t="n">
        <x:v>5</x:v>
      </x:c>
      <x:c r="L27" s="16" t="n">
        <x:v>4</x:v>
      </x:c>
      <x:c r="M27" s="16" t="n">
        <x:v>3</x:v>
      </x:c>
      <x:c r="N27" s="16" t="n">
        <x:v>5</x:v>
      </x:c>
      <x:c r="O27" s="16" t="n">
        <x:v>5</x:v>
      </x:c>
      <x:c r="P27" s="16" t="n">
        <x:f>IF(COUNT(I27:O27)&lt;7,"",I27*8+J27*3+K27*2+L27*2+M27*2+N27*2+O27)</x:f>
        <x:v>94</x:v>
      </x:c>
      <x:c r="Q27" s="16" t="n">
        <x:f>IF(COUNT(J27:O27)&lt;6,"",J27*5+K27*4+M27*4+L27*3+N27*2+O27*2)</x:f>
        <x:v>89</x:v>
      </x:c>
      <x:c r="R27" s="14" t="str">
        <x:v>high</x:v>
      </x:c>
      <x:c r="S27" s="14" t="str">
        <x:v>official_source_reverified</x:v>
      </x:c>
      <x:c r="T27" s="14" t="str">
        <x:v>official_source_reachable</x:v>
      </x:c>
      <x:c r="U27" s="14" t="str">
        <x:v>Новий — не контактували</x:v>
      </x:c>
      <x:c r="V27" s="15" t="str">
        <x:v>Персоналізувати review-flow за доказом; попросити 1 артефакт</x:v>
      </x:c>
      <x:c r="W27" s="15" t="str">
        <x:v>Коммерческий директор; руководитель электромонтажа</x:v>
      </x:c>
      <x:c r="X27" s="15" t="str">
        <x:v>Промышленный электромонтаж по всей Украине, включая оценку объекта и реализацию работ.</x:v>
      </x:c>
      <x:c r="Y27" s="15" t="str">
        <x:v>Полевые доказательства по кабельным линиям и заземлению легко отделить как пилотный контур.</x:v>
      </x:c>
      <x:c r="Z27" s="15" t="str">
        <x:v>https://ukrtakelage.com/promyshlennyy-elektromontazh</x:v>
      </x:c>
      <x:c r="AA27" s="14" t="str"/>
      <x:c r="AB27" s="14" t="str">
        <x:v>2026-08-24</x:v>
      </x:c>
      <x:c r="AC27" s="14" t="str">
        <x:v>Олександр</x:v>
      </x:c>
      <x:c r="AD27" s="18" t="str"/>
      <x:c r="AE27" s="14" t="str"/>
    </x:row>
    <x:row r="28">
      <x:c r="A28" s="14" t="str">
        <x:v>AUG-005</x:v>
      </x:c>
      <x:c r="B28" s="14" t="str">
        <x:v>Перевірено 51 — 24.08</x:v>
      </x:c>
      <x:c r="C28" s="14" t="str">
        <x:v>Airvent</x:v>
      </x:c>
      <x:c r="D28" s="14" t="str">
        <x:v>MEP / інженерні системи</x:v>
      </x:c>
      <x:c r="E28" s="14" t="str">
        <x:v>Pilot now</x:v>
      </x:c>
      <x:c r="F28" s="17" t="str">
        <x:f>IF(E28="Pilot now",IF(P28&gt;=84,"P1",IF(P28&gt;=72,"P2","P3")),IF(E28="Expansion discovery",IF(Q28&gt;=88,"D1",IF(Q28&gt;=78,"D2","D3")),IF(E28="Later / requirements","L","Legacy")))</x:f>
        <x:v>P1</x:v>
      </x:c>
      <x:c r="G28" s="14" t="str">
        <x:v>airvent.com.ua</x:v>
      </x:c>
      <x:c r="H28" s="14" t="str">
        <x:v>Пілот зараз — Н.14 + Н.15</x:v>
      </x:c>
      <x:c r="I28" s="16" t="n">
        <x:v>5</x:v>
      </x:c>
      <x:c r="J28" s="16" t="n">
        <x:v>5</x:v>
      </x:c>
      <x:c r="K28" s="16" t="n">
        <x:v>4</x:v>
      </x:c>
      <x:c r="L28" s="16" t="n">
        <x:v>4</x:v>
      </x:c>
      <x:c r="M28" s="16" t="n">
        <x:v>4</x:v>
      </x:c>
      <x:c r="N28" s="16" t="n">
        <x:v>5</x:v>
      </x:c>
      <x:c r="O28" s="16" t="n">
        <x:v>5</x:v>
      </x:c>
      <x:c r="P28" s="16" t="n">
        <x:f>IF(COUNT(I28:O28)&lt;7,"",I28*8+J28*3+K28*2+L28*2+M28*2+N28*2+O28)</x:f>
        <x:v>94</x:v>
      </x:c>
      <x:c r="Q28" s="16" t="n">
        <x:f>IF(COUNT(J28:O28)&lt;6,"",J28*5+K28*4+M28*4+L28*3+N28*2+O28*2)</x:f>
        <x:v>89</x:v>
      </x:c>
      <x:c r="R28" s="14" t="str">
        <x:v>high</x:v>
      </x:c>
      <x:c r="S28" s="14" t="str">
        <x:v>official_source_reverified</x:v>
      </x:c>
      <x:c r="T28" s="14" t="str">
        <x:v>official_source_reachable</x:v>
      </x:c>
      <x:c r="U28" s="14" t="str">
        <x:v>Новий — не контактували</x:v>
      </x:c>
      <x:c r="V28" s="15" t="str">
        <x:v>Персоналізувати review-flow за доказом; попросити 1 артефакт</x:v>
      </x:c>
      <x:c r="W28" s="15" t="str">
        <x:v>Директор; руководитель проектов / ПТО</x:v>
      </x:c>
      <x:c r="X28" s="15" t="str">
        <x:v>Промышленная вентиляция, отопление, водоснабжение, водоотведение и полный электромонтаж в одной компании.</x:v>
      </x:c>
      <x:c r="Y28" s="15" t="str">
        <x:v>Одновременные санитарно-технические и электрические скрытые работы подходят под обе доступные категории пилота.</x:v>
      </x:c>
      <x:c r="Z28" s="15" t="str">
        <x:v>https://www.airvent.com.ua/</x:v>
      </x:c>
      <x:c r="AA28" s="14" t="str"/>
      <x:c r="AB28" s="14" t="str">
        <x:v>2026-08-24</x:v>
      </x:c>
      <x:c r="AC28" s="14" t="str">
        <x:v>Олександр</x:v>
      </x:c>
      <x:c r="AD28" s="18" t="str"/>
      <x:c r="AE28" s="14" t="str"/>
    </x:row>
    <x:row r="29">
      <x:c r="A29" s="14" t="str">
        <x:v>AUG-033</x:v>
      </x:c>
      <x:c r="B29" s="14" t="str">
        <x:v>Перевірено 51 — 24.08</x:v>
      </x:c>
      <x:c r="C29" s="14" t="str">
        <x:v>EL-PRO</x:v>
      </x:c>
      <x:c r="D29" s="14" t="str">
        <x:v>Електромонтаж</x:v>
      </x:c>
      <x:c r="E29" s="14" t="str">
        <x:v>Pilot now</x:v>
      </x:c>
      <x:c r="F29" s="17" t="str">
        <x:f>IF(E29="Pilot now",IF(P29&gt;=84,"P1",IF(P29&gt;=72,"P2","P3")),IF(E29="Expansion discovery",IF(Q29&gt;=88,"D1",IF(Q29&gt;=78,"D2","D3")),IF(E29="Later / requirements","L","Legacy")))</x:f>
        <x:v>P1</x:v>
      </x:c>
      <x:c r="G29" s="14" t="str">
        <x:v>el-pro.com.ua</x:v>
      </x:c>
      <x:c r="H29" s="14" t="str">
        <x:v>Пілот зараз — Н.15</x:v>
      </x:c>
      <x:c r="I29" s="16" t="n">
        <x:v>5</x:v>
      </x:c>
      <x:c r="J29" s="16" t="n">
        <x:v>5</x:v>
      </x:c>
      <x:c r="K29" s="16" t="n">
        <x:v>5</x:v>
      </x:c>
      <x:c r="L29" s="16" t="n">
        <x:v>3</x:v>
      </x:c>
      <x:c r="M29" s="16" t="n">
        <x:v>4</x:v>
      </x:c>
      <x:c r="N29" s="16" t="n">
        <x:v>5</x:v>
      </x:c>
      <x:c r="O29" s="16" t="n">
        <x:v>5</x:v>
      </x:c>
      <x:c r="P29" s="16" t="n">
        <x:f>IF(COUNT(I29:O29)&lt;7,"",I29*8+J29*3+K29*2+L29*2+M29*2+N29*2+O29)</x:f>
        <x:v>94</x:v>
      </x:c>
      <x:c r="Q29" s="16" t="n">
        <x:f>IF(COUNT(J29:O29)&lt;6,"",J29*5+K29*4+M29*4+L29*3+N29*2+O29*2)</x:f>
        <x:v>90</x:v>
      </x:c>
      <x:c r="R29" s="14" t="str">
        <x:v>high</x:v>
      </x:c>
      <x:c r="S29" s="14" t="str">
        <x:v>official_source_reverified</x:v>
      </x:c>
      <x:c r="T29" s="14" t="str">
        <x:v>official_source_reachable</x:v>
      </x:c>
      <x:c r="U29" s="14" t="str">
        <x:v>Новий — не контактували</x:v>
      </x:c>
      <x:c r="V29" s="15" t="str">
        <x:v>Персоналізувати review-flow за доказом; попросити 1 артефакт</x:v>
      </x:c>
      <x:c r="W29" s="15" t="str">
        <x:v>Владелец; главный инженер</x:v>
      </x:c>
      <x:c r="X29" s="15" t="str">
        <x:v>Полный цикл электромонтажа 0,4–10 кВ по Украине: проект, кабельные линии, испытания, пусконаладка и сдача.</x:v>
      </x:c>
      <x:c r="Y29" s="15" t="str">
        <x:v>Траншеи, кабели и заземление прямо соответствуют Н.15.</x:v>
      </x:c>
      <x:c r="Z29" s="15" t="str">
        <x:v>https://el-pro.com.ua/</x:v>
      </x:c>
      <x:c r="AA29" s="14" t="str"/>
      <x:c r="AB29" s="14" t="str">
        <x:v>2026-08-24</x:v>
      </x:c>
      <x:c r="AC29" s="14" t="str">
        <x:v>Олександр</x:v>
      </x:c>
      <x:c r="AD29" s="18" t="str"/>
      <x:c r="AE29" s="14" t="str"/>
    </x:row>
    <x:row r="30">
      <x:c r="A30" s="14" t="str">
        <x:v>AUG-026</x:v>
      </x:c>
      <x:c r="B30" s="14" t="str">
        <x:v>Перевірено 51 — 24.08</x:v>
      </x:c>
      <x:c r="C30" s="14" t="str">
        <x:v>GreenVolt Systems</x:v>
      </x:c>
      <x:c r="D30" s="14" t="str">
        <x:v>СЕС + електрика</x:v>
      </x:c>
      <x:c r="E30" s="14" t="str">
        <x:v>Pilot now</x:v>
      </x:c>
      <x:c r="F30" s="17" t="str">
        <x:f>IF(E30="Pilot now",IF(P30&gt;=84,"P1",IF(P30&gt;=72,"P2","P3")),IF(E30="Expansion discovery",IF(Q30&gt;=88,"D1",IF(Q30&gt;=78,"D2","D3")),IF(E30="Later / requirements","L","Legacy")))</x:f>
        <x:v>P1</x:v>
      </x:c>
      <x:c r="G30" s="14" t="str">
        <x:v>greenvolt.systems</x:v>
      </x:c>
      <x:c r="H30" s="14" t="str">
        <x:v>Пілот зараз — Н.15</x:v>
      </x:c>
      <x:c r="I30" s="16" t="n">
        <x:v>5</x:v>
      </x:c>
      <x:c r="J30" s="16" t="n">
        <x:v>5</x:v>
      </x:c>
      <x:c r="K30" s="16" t="n">
        <x:v>5</x:v>
      </x:c>
      <x:c r="L30" s="16" t="n">
        <x:v>3</x:v>
      </x:c>
      <x:c r="M30" s="16" t="n">
        <x:v>4</x:v>
      </x:c>
      <x:c r="N30" s="16" t="n">
        <x:v>5</x:v>
      </x:c>
      <x:c r="O30" s="16" t="n">
        <x:v>5</x:v>
      </x:c>
      <x:c r="P30" s="16" t="n">
        <x:f>IF(COUNT(I30:O30)&lt;7,"",I30*8+J30*3+K30*2+L30*2+M30*2+N30*2+O30)</x:f>
        <x:v>94</x:v>
      </x:c>
      <x:c r="Q30" s="16" t="n">
        <x:f>IF(COUNT(J30:O30)&lt;6,"",J30*5+K30*4+M30*4+L30*3+N30*2+O30*2)</x:f>
        <x:v>90</x:v>
      </x:c>
      <x:c r="R30" s="14" t="str">
        <x:v>high</x:v>
      </x:c>
      <x:c r="S30" s="14" t="str">
        <x:v>official_source_reverified</x:v>
      </x:c>
      <x:c r="T30" s="14" t="str">
        <x:v>official_source_reachable</x:v>
      </x:c>
      <x:c r="U30" s="14" t="str">
        <x:v>Новий — не контактували</x:v>
      </x:c>
      <x:c r="V30" s="15" t="str">
        <x:v>Персоналізувати review-flow за доказом; попросити 1 артефакт</x:v>
      </x:c>
      <x:c r="W30" s="15" t="str">
        <x:v>Владелец; руководитель строительства СЭС</x:v>
      </x:c>
      <x:c r="X30" s="15" t="str">
        <x:v>Полный цикл промышленных и крышных СЭС для бизнеса, агросектора и коммерческой недвижимости.</x:v>
      </x:c>
      <x:c r="Y30" s="15" t="str">
        <x:v>Кабельные линии, заземление и подключение к сети дают ясный поддержанный контур.</x:v>
      </x:c>
      <x:c r="Z30" s="15" t="str">
        <x:v>https://www.greenvolt.systems/</x:v>
      </x:c>
      <x:c r="AA30" s="14" t="str"/>
      <x:c r="AB30" s="14" t="str">
        <x:v>2026-08-24</x:v>
      </x:c>
      <x:c r="AC30" s="14" t="str">
        <x:v>Олександр</x:v>
      </x:c>
      <x:c r="AD30" s="18" t="str"/>
      <x:c r="AE30" s="14" t="str"/>
    </x:row>
    <x:row r="31">
      <x:c r="A31" s="14" t="str">
        <x:v>AUG-022</x:v>
      </x:c>
      <x:c r="B31" s="14" t="str">
        <x:v>Перевірено 51 — 24.08</x:v>
      </x:c>
      <x:c r="C31" s="14" t="str">
        <x:v>MPF</x:v>
      </x:c>
      <x:c r="D31" s="14" t="str">
        <x:v>MEP / інженерні системи</x:v>
      </x:c>
      <x:c r="E31" s="14" t="str">
        <x:v>Pilot now</x:v>
      </x:c>
      <x:c r="F31" s="17" t="str">
        <x:f>IF(E31="Pilot now",IF(P31&gt;=84,"P1",IF(P31&gt;=72,"P2","P3")),IF(E31="Expansion discovery",IF(Q31&gt;=88,"D1",IF(Q31&gt;=78,"D2","D3")),IF(E31="Later / requirements","L","Legacy")))</x:f>
        <x:v>P1</x:v>
      </x:c>
      <x:c r="G31" s="14" t="str">
        <x:v>mpf.com.ua</x:v>
      </x:c>
      <x:c r="H31" s="14" t="str">
        <x:v>Пілот зараз — Н.14 + Н.15</x:v>
      </x:c>
      <x:c r="I31" s="16" t="n">
        <x:v>5</x:v>
      </x:c>
      <x:c r="J31" s="16" t="n">
        <x:v>5</x:v>
      </x:c>
      <x:c r="K31" s="16" t="n">
        <x:v>4</x:v>
      </x:c>
      <x:c r="L31" s="16" t="n">
        <x:v>4</x:v>
      </x:c>
      <x:c r="M31" s="16" t="n">
        <x:v>4</x:v>
      </x:c>
      <x:c r="N31" s="16" t="n">
        <x:v>5</x:v>
      </x:c>
      <x:c r="O31" s="16" t="n">
        <x:v>5</x:v>
      </x:c>
      <x:c r="P31" s="16" t="n">
        <x:f>IF(COUNT(I31:O31)&lt;7,"",I31*8+J31*3+K31*2+L31*2+M31*2+N31*2+O31)</x:f>
        <x:v>94</x:v>
      </x:c>
      <x:c r="Q31" s="16" t="n">
        <x:f>IF(COUNT(J31:O31)&lt;6,"",J31*5+K31*4+M31*4+L31*3+N31*2+O31*2)</x:f>
        <x:v>89</x:v>
      </x:c>
      <x:c r="R31" s="14" t="str">
        <x:v>high</x:v>
      </x:c>
      <x:c r="S31" s="14" t="str">
        <x:v>official_source_reverified</x:v>
      </x:c>
      <x:c r="T31" s="14" t="str">
        <x:v>official_source_reachable</x:v>
      </x:c>
      <x:c r="U31" s="14" t="str">
        <x:v>Новий — не контактували</x:v>
      </x:c>
      <x:c r="V31" s="15" t="str">
        <x:v>Персоналізувати review-flow за доказом; попросити 1 артефакт</x:v>
      </x:c>
      <x:c r="W31" s="15" t="str">
        <x:v>Коммерческий директор; руководитель ПТО</x:v>
      </x:c>
      <x:c r="X31" s="15" t="str">
        <x:v>Полный цикл инженерных систем для промышленных и коммерческих объектов: проект, монтаж, пусконаладка и ввод.</x:v>
      </x:c>
      <x:c r="Y31" s="15" t="str">
        <x:v>Водоснабжение, канализация, HVAC и электроснабжение позволяют выбрать полностью поддержанный пилотный участок.</x:v>
      </x:c>
      <x:c r="Z31" s="15" t="str">
        <x:v>https://mpf.com.ua/services/inzenerni-sistemi</x:v>
      </x:c>
      <x:c r="AA31" s="14" t="str"/>
      <x:c r="AB31" s="14" t="str">
        <x:v>2026-08-24</x:v>
      </x:c>
      <x:c r="AC31" s="14" t="str">
        <x:v>Олександр</x:v>
      </x:c>
      <x:c r="AD31" s="18" t="str"/>
      <x:c r="AE31" s="14" t="str"/>
    </x:row>
    <x:row r="32">
      <x:c r="A32" s="14" t="str">
        <x:v>AUG-039</x:v>
      </x:c>
      <x:c r="B32" s="14" t="str">
        <x:v>Перевірено 51 — 24.08</x:v>
      </x:c>
      <x:c r="C32" s="14" t="str">
        <x:v>ВОЛЬТ ЕНЕРГО МОНТАЖ</x:v>
      </x:c>
      <x:c r="D32" s="14" t="str">
        <x:v>Електромонтаж</x:v>
      </x:c>
      <x:c r="E32" s="14" t="str">
        <x:v>Pilot now</x:v>
      </x:c>
      <x:c r="F32" s="17" t="str">
        <x:f>IF(E32="Pilot now",IF(P32&gt;=84,"P1",IF(P32&gt;=72,"P2","P3")),IF(E32="Expansion discovery",IF(Q32&gt;=88,"D1",IF(Q32&gt;=78,"D2","D3")),IF(E32="Later / requirements","L","Legacy")))</x:f>
        <x:v>P1</x:v>
      </x:c>
      <x:c r="G32" s="14" t="str">
        <x:v>voltmontage.com.ua</x:v>
      </x:c>
      <x:c r="H32" s="14" t="str">
        <x:v>Пілот зараз — Н.15</x:v>
      </x:c>
      <x:c r="I32" s="16" t="n">
        <x:v>5</x:v>
      </x:c>
      <x:c r="J32" s="16" t="n">
        <x:v>5</x:v>
      </x:c>
      <x:c r="K32" s="16" t="n">
        <x:v>5</x:v>
      </x:c>
      <x:c r="L32" s="16" t="n">
        <x:v>3</x:v>
      </x:c>
      <x:c r="M32" s="16" t="n">
        <x:v>5</x:v>
      </x:c>
      <x:c r="N32" s="16" t="n">
        <x:v>5</x:v>
      </x:c>
      <x:c r="O32" s="16" t="n">
        <x:v>2</x:v>
      </x:c>
      <x:c r="P32" s="16" t="n">
        <x:f>IF(COUNT(I32:O32)&lt;7,"",I32*8+J32*3+K32*2+L32*2+M32*2+N32*2+O32)</x:f>
        <x:v>93</x:v>
      </x:c>
      <x:c r="Q32" s="16" t="n">
        <x:f>IF(COUNT(J32:O32)&lt;6,"",J32*5+K32*4+M32*4+L32*3+N32*2+O32*2)</x:f>
        <x:v>88</x:v>
      </x:c>
      <x:c r="R32" s="14" t="str">
        <x:v>high</x:v>
      </x:c>
      <x:c r="S32" s="14" t="str">
        <x:v>official_content_reverified_via_search_index</x:v>
      </x:c>
      <x:c r="T32" s="14" t="str">
        <x:v>live_site_unreachable_in_browser</x:v>
      </x:c>
      <x:c r="U32" s="14" t="str">
        <x:v>Новий — не контактували</x:v>
      </x:c>
      <x:c r="V32" s="15" t="str">
        <x:v>Персоналізувати review-flow за доказом; попросити 1 артефакт</x:v>
      </x:c>
      <x:c r="W32" s="15" t="str">
        <x:v>Директор; руководитель электролаборатории / проектов</x:v>
      </x:c>
      <x:c r="X32" s="15" t="str">
        <x:v>Полный цикл 0,4–10 кВ: проектирование, кабельные/воздушные линии, молниезащита, пусконаладка и электролаборатория.</x:v>
      </x:c>
      <x:c r="Y32" s="15" t="str">
        <x:v>Н.15 полностью соответствует заявленным кабельным и заземляющим работам.</x:v>
      </x:c>
      <x:c r="Z32" s="15" t="str">
        <x:v>https://voltmontage.com.ua/</x:v>
      </x:c>
      <x:c r="AA32" s="14" t="str"/>
      <x:c r="AB32" s="14" t="str">
        <x:v>2026-08-24</x:v>
      </x:c>
      <x:c r="AC32" s="14" t="str">
        <x:v>Олександр</x:v>
      </x:c>
      <x:c r="AD32" s="18" t="str"/>
      <x:c r="AE32" s="14" t="str"/>
    </x:row>
    <x:row r="33">
      <x:c r="A33" s="14" t="str">
        <x:v>AUG-050</x:v>
      </x:c>
      <x:c r="B33" s="14" t="str">
        <x:v>Перевірено 51 — 24.08</x:v>
      </x:c>
      <x:c r="C33" s="14" t="str">
        <x:v>Київська Насосна Компанія</x:v>
      </x:c>
      <x:c r="D33" s="14" t="str">
        <x:v>Внутрішня сантехніка + HVAC</x:v>
      </x:c>
      <x:c r="E33" s="14" t="str">
        <x:v>Pilot now</x:v>
      </x:c>
      <x:c r="F33" s="17" t="str">
        <x:f>IF(E33="Pilot now",IF(P33&gt;=84,"P1",IF(P33&gt;=72,"P2","P3")),IF(E33="Expansion discovery",IF(Q33&gt;=88,"D1",IF(Q33&gt;=78,"D2","D3")),IF(E33="Later / requirements","L","Legacy")))</x:f>
        <x:v>P1</x:v>
      </x:c>
      <x:c r="G33" s="14" t="str">
        <x:v>knk.ua</x:v>
      </x:c>
      <x:c r="H33" s="14" t="str">
        <x:v>Пілот зараз — Н.14</x:v>
      </x:c>
      <x:c r="I33" s="16" t="n">
        <x:v>5</x:v>
      </x:c>
      <x:c r="J33" s="16" t="n">
        <x:v>5</x:v>
      </x:c>
      <x:c r="K33" s="16" t="n">
        <x:v>4</x:v>
      </x:c>
      <x:c r="L33" s="16" t="n">
        <x:v>4</x:v>
      </x:c>
      <x:c r="M33" s="16" t="n">
        <x:v>4</x:v>
      </x:c>
      <x:c r="N33" s="16" t="n">
        <x:v>5</x:v>
      </x:c>
      <x:c r="O33" s="16" t="n">
        <x:v>4</x:v>
      </x:c>
      <x:c r="P33" s="16" t="n">
        <x:f>IF(COUNT(I33:O33)&lt;7,"",I33*8+J33*3+K33*2+L33*2+M33*2+N33*2+O33)</x:f>
        <x:v>93</x:v>
      </x:c>
      <x:c r="Q33" s="16" t="n">
        <x:f>IF(COUNT(J33:O33)&lt;6,"",J33*5+K33*4+M33*4+L33*3+N33*2+O33*2)</x:f>
        <x:v>87</x:v>
      </x:c>
      <x:c r="R33" s="14" t="str">
        <x:v>high</x:v>
      </x:c>
      <x:c r="S33" s="14" t="str">
        <x:v>official_homepage_and_pdf_reverified</x:v>
      </x:c>
      <x:c r="T33" s="14" t="str">
        <x:v>official_homepage_indexed_pdf_reachable</x:v>
      </x:c>
      <x:c r="U33" s="14" t="str">
        <x:v>Новий — не контактували</x:v>
      </x:c>
      <x:c r="V33" s="15" t="str">
        <x:v>Персоналізувати review-flow за доказом; попросити 1 артефакт</x:v>
      </x:c>
      <x:c r="W33" s="15" t="str">
        <x:v>Директор; руководитель монтажных проектов / ПТО</x:v>
      </x:c>
      <x:c r="X33" s="15" t="str">
        <x:v>Монтаж, шеф-монтаж и пусконаладка водоснабжения, отопления, канализации и вентиляции с возможностью генподряда.</x:v>
      </x:c>
      <x:c r="Y33" s="15" t="str">
        <x:v>Трубопроводы, арматура, автоматика и приёмка напрямую совпадают с Н.14.</x:v>
      </x:c>
      <x:c r="Z33" s="15" t="str">
        <x:v>https://knk.ua/data/images/pdf/2023_%D0%9A%D0%B0%D1%82%D0%B0%D0%BB%D0%BE%D0%B3_%D0%9A%D0%9D%D0%9A.pdf</x:v>
      </x:c>
      <x:c r="AA33" s="14" t="str"/>
      <x:c r="AB33" s="14" t="str">
        <x:v>2026-08-24</x:v>
      </x:c>
      <x:c r="AC33" s="14" t="str">
        <x:v>Олександр</x:v>
      </x:c>
      <x:c r="AD33" s="18" t="str"/>
      <x:c r="AE33" s="14" t="str"/>
    </x:row>
    <x:row r="34">
      <x:c r="A34" s="14" t="str">
        <x:v>AUG-044</x:v>
      </x:c>
      <x:c r="B34" s="14" t="str">
        <x:v>Перевірено 51 — 24.08</x:v>
      </x:c>
      <x:c r="C34" s="14" t="str">
        <x:v>Магія Комфорту</x:v>
      </x:c>
      <x:c r="D34" s="14" t="str">
        <x:v>Внутрішня сантехніка + HVAC</x:v>
      </x:c>
      <x:c r="E34" s="14" t="str">
        <x:v>Pilot now</x:v>
      </x:c>
      <x:c r="F34" s="17" t="str">
        <x:f>IF(E34="Pilot now",IF(P34&gt;=84,"P1",IF(P34&gt;=72,"P2","P3")),IF(E34="Expansion discovery",IF(Q34&gt;=88,"D1",IF(Q34&gt;=78,"D2","D3")),IF(E34="Later / requirements","L","Legacy")))</x:f>
        <x:v>P1</x:v>
      </x:c>
      <x:c r="G34" s="14" t="str">
        <x:v>magic-comfort.com.ua</x:v>
      </x:c>
      <x:c r="H34" s="14" t="str">
        <x:v>Пілот зараз — Н.14</x:v>
      </x:c>
      <x:c r="I34" s="16" t="n">
        <x:v>5</x:v>
      </x:c>
      <x:c r="J34" s="16" t="n">
        <x:v>5</x:v>
      </x:c>
      <x:c r="K34" s="16" t="n">
        <x:v>4</x:v>
      </x:c>
      <x:c r="L34" s="16" t="n">
        <x:v>3</x:v>
      </x:c>
      <x:c r="M34" s="16" t="n">
        <x:v>4</x:v>
      </x:c>
      <x:c r="N34" s="16" t="n">
        <x:v>5</x:v>
      </x:c>
      <x:c r="O34" s="16" t="n">
        <x:v>5</x:v>
      </x:c>
      <x:c r="P34" s="16" t="n">
        <x:f>IF(COUNT(I34:O34)&lt;7,"",I34*8+J34*3+K34*2+L34*2+M34*2+N34*2+O34)</x:f>
        <x:v>92</x:v>
      </x:c>
      <x:c r="Q34" s="16" t="n">
        <x:f>IF(COUNT(J34:O34)&lt;6,"",J34*5+K34*4+M34*4+L34*3+N34*2+O34*2)</x:f>
        <x:v>86</x:v>
      </x:c>
      <x:c r="R34" s="14" t="str">
        <x:v>high</x:v>
      </x:c>
      <x:c r="S34" s="14" t="str">
        <x:v>official_source_reverified</x:v>
      </x:c>
      <x:c r="T34" s="14" t="str">
        <x:v>official_source_reachable</x:v>
      </x:c>
      <x:c r="U34" s="14" t="str">
        <x:v>Новий — не контактували</x:v>
      </x:c>
      <x:c r="V34" s="15" t="str">
        <x:v>Персоналізувати review-flow за доказом; попросити 1 артефакт</x:v>
      </x:c>
      <x:c r="W34" s="15" t="str">
        <x:v>Владелец; главный инженер / ПТО</x:v>
      </x:c>
      <x:c r="X34" s="15" t="str">
        <x:v>20+ лет, проектирование, строительно-монтажные и пусконаладочные работы на жилых, коммерческих и промышленных объектах.</x:v>
      </x:c>
      <x:c r="Y34" s="15" t="str">
        <x:v>Опаление, водоснабжение, канализация и автоматика соответствуют Н.14.</x:v>
      </x:c>
      <x:c r="Z34" s="15" t="str">
        <x:v>https://magic-comfort.com.ua/</x:v>
      </x:c>
      <x:c r="AA34" s="14" t="str"/>
      <x:c r="AB34" s="14" t="str">
        <x:v>2026-08-24</x:v>
      </x:c>
      <x:c r="AC34" s="14" t="str">
        <x:v>Олександр</x:v>
      </x:c>
      <x:c r="AD34" s="18" t="str"/>
      <x:c r="AE34" s="14" t="str"/>
    </x:row>
    <x:row r="35">
      <x:c r="A35" s="14" t="str">
        <x:v>AUG-051</x:v>
      </x:c>
      <x:c r="B35" s="14" t="str">
        <x:v>Перевірено 51 — 24.08</x:v>
      </x:c>
      <x:c r="C35" s="14" t="str">
        <x:v>Office Construction</x:v>
      </x:c>
      <x:c r="D35" s="14" t="str">
        <x:v>Генпідряд / MEP fit-out</x:v>
      </x:c>
      <x:c r="E35" s="14" t="str">
        <x:v>Pilot now</x:v>
      </x:c>
      <x:c r="F35" s="17" t="str">
        <x:f>IF(E35="Pilot now",IF(P35&gt;=84,"P1",IF(P35&gt;=72,"P2","P3")),IF(E35="Expansion discovery",IF(Q35&gt;=88,"D1",IF(Q35&gt;=78,"D2","D3")),IF(E35="Later / requirements","L","Legacy")))</x:f>
        <x:v>P1</x:v>
      </x:c>
      <x:c r="G35" s="14" t="str">
        <x:v>office-construction.ua</x:v>
      </x:c>
      <x:c r="H35" s="14" t="str">
        <x:v>Пілот зараз — Н.14 + Н.15</x:v>
      </x:c>
      <x:c r="I35" s="16" t="n">
        <x:v>5</x:v>
      </x:c>
      <x:c r="J35" s="16" t="n">
        <x:v>5</x:v>
      </x:c>
      <x:c r="K35" s="16" t="n">
        <x:v>4</x:v>
      </x:c>
      <x:c r="L35" s="16" t="n">
        <x:v>5</x:v>
      </x:c>
      <x:c r="M35" s="16" t="n">
        <x:v>5</x:v>
      </x:c>
      <x:c r="N35" s="16" t="n">
        <x:v>2</x:v>
      </x:c>
      <x:c r="O35" s="16" t="n">
        <x:v>4</x:v>
      </x:c>
      <x:c r="P35" s="16" t="n">
        <x:f>IF(COUNT(I35:O35)&lt;7,"",I35*8+J35*3+K35*2+L35*2+M35*2+N35*2+O35)</x:f>
        <x:v>91</x:v>
      </x:c>
      <x:c r="Q35" s="16" t="n">
        <x:f>IF(COUNT(J35:O35)&lt;6,"",J35*5+K35*4+M35*4+L35*3+N35*2+O35*2)</x:f>
        <x:v>88</x:v>
      </x:c>
      <x:c r="R35" s="14" t="str">
        <x:v>high</x:v>
      </x:c>
      <x:c r="S35" s="14" t="str">
        <x:v>official_portfolio_pdf_reverified</x:v>
      </x:c>
      <x:c r="T35" s="14" t="str">
        <x:v>official_pdf_reachable</x:v>
      </x:c>
      <x:c r="U35" s="14" t="str">
        <x:v>Новий — не контактували</x:v>
      </x:c>
      <x:c r="V35" s="15" t="str">
        <x:v>Персоналізувати review-flow за доказом; попросити 1 артефакт</x:v>
      </x:c>
      <x:c r="W35" s="15" t="str">
        <x:v>Директор по строительству; руководитель инженерных систем / ПТО</x:v>
      </x:c>
      <x:c r="X35" s="15" t="str">
        <x:v>Портфолио крупных офисных объектов с электрикой, слаботочкой, HVAC, пожарными системами, водоснабжением и рабочей документацией.</x:v>
      </x:c>
      <x:c r="Y35" s="15" t="str">
        <x:v>Много поддержанных скрытых систем, но лучше заходить через отдельного субподрядчика или как партнёрский канал.</x:v>
      </x:c>
      <x:c r="Z35" s="15" t="str">
        <x:v>https://office-construction.ua/wp-content/uploads/2025/06/presentation-office-construction-2025-pdf-1.pdf</x:v>
      </x:c>
      <x:c r="AA35" s="14" t="str"/>
      <x:c r="AB35" s="14" t="str">
        <x:v>2026-08-24</x:v>
      </x:c>
      <x:c r="AC35" s="14" t="str">
        <x:v>Олександр</x:v>
      </x:c>
      <x:c r="AD35" s="18" t="str"/>
      <x:c r="AE35" s="14" t="str"/>
    </x:row>
    <x:row r="36">
      <x:c r="A36" s="14" t="str">
        <x:v>AUG-011</x:v>
      </x:c>
      <x:c r="B36" s="14" t="str">
        <x:v>Перевірено 51 — 24.08</x:v>
      </x:c>
      <x:c r="C36" s="14" t="str">
        <x:v>Де Люкс</x:v>
      </x:c>
      <x:c r="D36" s="14" t="str">
        <x:v>Електромонтаж</x:v>
      </x:c>
      <x:c r="E36" s="14" t="str">
        <x:v>Pilot now</x:v>
      </x:c>
      <x:c r="F36" s="17" t="str">
        <x:f>IF(E36="Pilot now",IF(P36&gt;=84,"P1",IF(P36&gt;=72,"P2","P3")),IF(E36="Expansion discovery",IF(Q36&gt;=88,"D1",IF(Q36&gt;=78,"D2","D3")),IF(E36="Later / requirements","L","Legacy")))</x:f>
        <x:v>P1</x:v>
      </x:c>
      <x:c r="G36" s="14" t="str">
        <x:v>businesslux.com.ua</x:v>
      </x:c>
      <x:c r="H36" s="14" t="str">
        <x:v>Пілот зараз — Н.15</x:v>
      </x:c>
      <x:c r="I36" s="16" t="n">
        <x:v>5</x:v>
      </x:c>
      <x:c r="J36" s="16" t="n">
        <x:v>5</x:v>
      </x:c>
      <x:c r="K36" s="16" t="n">
        <x:v>4</x:v>
      </x:c>
      <x:c r="L36" s="16" t="n">
        <x:v>3</x:v>
      </x:c>
      <x:c r="M36" s="16" t="n">
        <x:v>3</x:v>
      </x:c>
      <x:c r="N36" s="16" t="n">
        <x:v>5</x:v>
      </x:c>
      <x:c r="O36" s="16" t="n">
        <x:v>5</x:v>
      </x:c>
      <x:c r="P36" s="16" t="n">
        <x:f>IF(COUNT(I36:O36)&lt;7,"",I36*8+J36*3+K36*2+L36*2+M36*2+N36*2+O36)</x:f>
        <x:v>90</x:v>
      </x:c>
      <x:c r="Q36" s="16" t="n">
        <x:f>IF(COUNT(J36:O36)&lt;6,"",J36*5+K36*4+M36*4+L36*3+N36*2+O36*2)</x:f>
        <x:v>82</x:v>
      </x:c>
      <x:c r="R36" s="14" t="str">
        <x:v>high</x:v>
      </x:c>
      <x:c r="S36" s="14" t="str">
        <x:v>official_source_reverified</x:v>
      </x:c>
      <x:c r="T36" s="14" t="str">
        <x:v>official_source_reachable</x:v>
      </x:c>
      <x:c r="U36" s="14" t="str">
        <x:v>Новий — не контактували</x:v>
      </x:c>
      <x:c r="V36" s="15" t="str">
        <x:v>Персоналізувати review-flow за доказом; попросити 1 артефакт</x:v>
      </x:c>
      <x:c r="W36" s="15" t="str">
        <x:v>Директор; главный инженер</x:v>
      </x:c>
      <x:c r="X36" s="15" t="str">
        <x:v>Электромонтаж на промышленных объектах с расчётом и реализацией электротехнических проектов.</x:v>
      </x:c>
      <x:c r="Y36" s="15" t="str">
        <x:v>Скрытые кабели и электрические установки можно ограничить одним объектом и одной бригадой.</x:v>
      </x:c>
      <x:c r="Z36" s="15" t="str">
        <x:v>https://businesslux.com.ua/elektromontazhni-roboty-na-promyslovyh-obyektah/</x:v>
      </x:c>
      <x:c r="AA36" s="14" t="str"/>
      <x:c r="AB36" s="14" t="str">
        <x:v>2026-08-24</x:v>
      </x:c>
      <x:c r="AC36" s="14" t="str">
        <x:v>Олександр</x:v>
      </x:c>
      <x:c r="AD36" s="18" t="str"/>
      <x:c r="AE36" s="14" t="str"/>
    </x:row>
    <x:row r="37">
      <x:c r="A37" s="14" t="str">
        <x:v>AUG-030</x:v>
      </x:c>
      <x:c r="B37" s="14" t="str">
        <x:v>Перевірено 51 — 24.08</x:v>
      </x:c>
      <x:c r="C37" s="14" t="str">
        <x:v>Промтехгруп</x:v>
      </x:c>
      <x:c r="D37" s="14" t="str">
        <x:v>Промисловий HVAC / MEP</x:v>
      </x:c>
      <x:c r="E37" s="14" t="str">
        <x:v>Pilot now</x:v>
      </x:c>
      <x:c r="F37" s="17" t="str">
        <x:f>IF(E37="Pilot now",IF(P37&gt;=84,"P1",IF(P37&gt;=72,"P2","P3")),IF(E37="Expansion discovery",IF(Q37&gt;=88,"D1",IF(Q37&gt;=78,"D2","D3")),IF(E37="Later / requirements","L","Legacy")))</x:f>
        <x:v>P1</x:v>
      </x:c>
      <x:c r="G37" s="14" t="str">
        <x:v>promtechgroup.com.ua</x:v>
      </x:c>
      <x:c r="H37" s="14" t="str">
        <x:v>Пілот зараз — Н.14</x:v>
      </x:c>
      <x:c r="I37" s="16" t="n">
        <x:v>4</x:v>
      </x:c>
      <x:c r="J37" s="16" t="n">
        <x:v>5</x:v>
      </x:c>
      <x:c r="K37" s="16" t="n">
        <x:v>4</x:v>
      </x:c>
      <x:c r="L37" s="16" t="n">
        <x:v>5</x:v>
      </x:c>
      <x:c r="M37" s="16" t="n">
        <x:v>5</x:v>
      </x:c>
      <x:c r="N37" s="16" t="n">
        <x:v>5</x:v>
      </x:c>
      <x:c r="O37" s="16" t="n">
        <x:v>5</x:v>
      </x:c>
      <x:c r="P37" s="16" t="n">
        <x:f>IF(COUNT(I37:O37)&lt;7,"",I37*8+J37*3+K37*2+L37*2+M37*2+N37*2+O37)</x:f>
        <x:v>90</x:v>
      </x:c>
      <x:c r="Q37" s="16" t="n">
        <x:f>IF(COUNT(J37:O37)&lt;6,"",J37*5+K37*4+M37*4+L37*3+N37*2+O37*2)</x:f>
        <x:v>96</x:v>
      </x:c>
      <x:c r="R37" s="14" t="str">
        <x:v>high</x:v>
      </x:c>
      <x:c r="S37" s="14" t="str">
        <x:v>official_source_reverified</x:v>
      </x:c>
      <x:c r="T37" s="14" t="str">
        <x:v>official_source_reachable</x:v>
      </x:c>
      <x:c r="U37" s="14" t="str">
        <x:v>Новий — не контактували</x:v>
      </x:c>
      <x:c r="V37" s="15" t="str">
        <x:v>Персоналізувати review-flow за доказом; попросити 1 артефакт</x:v>
      </x:c>
      <x:c r="W37" s="15" t="str">
        <x:v>Директор; руководитель проектов / ПТО</x:v>
      </x:c>
      <x:c r="X37" s="15" t="str">
        <x:v>100+ проектов с 2008 года: HVAC, холодоснабжение, водоснабжение, автоматизация и диспетчеризация для бизнеса.</x:v>
      </x:c>
      <x:c r="Y37" s="15" t="str">
        <x:v>Трубопроводы, арматура и автоматика прямо ложатся на Н.14; можно измерить сбор доказательств на одном проекте.</x:v>
      </x:c>
      <x:c r="Z37" s="15" t="str">
        <x:v>https://promtechgroup.com.ua/</x:v>
      </x:c>
      <x:c r="AA37" s="14" t="str"/>
      <x:c r="AB37" s="14" t="str">
        <x:v>2026-08-24</x:v>
      </x:c>
      <x:c r="AC37" s="14" t="str">
        <x:v>Олександр</x:v>
      </x:c>
      <x:c r="AD37" s="18" t="str"/>
      <x:c r="AE37" s="14" t="str"/>
    </x:row>
    <x:row r="38">
      <x:c r="A38" s="14" t="str">
        <x:v>V3-049</x:v>
      </x:c>
      <x:c r="B38" s="14" t="str">
        <x:v>Досліджено 28.07</x:v>
      </x:c>
      <x:c r="C38" s="14" t="str">
        <x:v>ТОВ «АЛЬТЕР ЕЙР»</x:v>
      </x:c>
      <x:c r="D38" s="14" t="str">
        <x:v>HVAC / вентиляція</x:v>
      </x:c>
      <x:c r="E38" s="14" t="str">
        <x:v>Pilot now</x:v>
      </x:c>
      <x:c r="F38" s="17" t="str">
        <x:f>IF(E38="Pilot now",IF(P38&gt;=84,"P1",IF(P38&gt;=72,"P2","P3")),IF(E38="Expansion discovery",IF(Q38&gt;=88,"D1",IF(Q38&gt;=78,"D2","D3")),IF(E38="Later / requirements","L","Legacy")))</x:f>
        <x:v>P1</x:v>
      </x:c>
      <x:c r="G38" s="14" t="str">
        <x:v>alterair.ua</x:v>
      </x:c>
      <x:c r="H38" s="14" t="str">
        <x:v>Пілот зараз — Н.14</x:v>
      </x:c>
      <x:c r="I38" s="16" t="n">
        <x:v>4</x:v>
      </x:c>
      <x:c r="J38" s="16" t="n">
        <x:v>5</x:v>
      </x:c>
      <x:c r="K38" s="16" t="n">
        <x:v>4</x:v>
      </x:c>
      <x:c r="L38" s="16" t="n">
        <x:v>5</x:v>
      </x:c>
      <x:c r="M38" s="16" t="n">
        <x:v>5</x:v>
      </x:c>
      <x:c r="N38" s="16" t="n">
        <x:v>5</x:v>
      </x:c>
      <x:c r="O38" s="16" t="n">
        <x:v>5</x:v>
      </x:c>
      <x:c r="P38" s="16" t="n">
        <x:f>IF(COUNT(I38:O38)&lt;7,"",I38*8+J38*3+K38*2+L38*2+M38*2+N38*2+O38)</x:f>
        <x:v>90</x:v>
      </x:c>
      <x:c r="Q38" s="16" t="n">
        <x:f>IF(COUNT(J38:O38)&lt;6,"",J38*5+K38*4+M38*4+L38*3+N38*2+O38*2)</x:f>
        <x:v>96</x:v>
      </x:c>
      <x:c r="R38" s="14" t="str">
        <x:v>medium</x:v>
      </x:c>
      <x:c r="S38" s="14" t="str">
        <x:v>historical_research_2026-07-28</x:v>
      </x:c>
      <x:c r="T38" s="14" t="str">
        <x:v>historical_official_research</x:v>
      </x:c>
      <x:c r="U38" s="14" t="str">
        <x:v>Надіслано 28.07 — follow-up</x:v>
      </x:c>
      <x:c r="V38" s="15" t="str">
        <x:v>Follow-up з review-link; далі попросити 1 анонімізований артефакт</x:v>
      </x:c>
      <x:c r="W38" s="15" t="str">
        <x:v>Власник / директор; керівник ПТО</x:v>
      </x:c>
      <x:c r="X38" s="15" t="str">
        <x:v>Кілька досвідчених монтажних бригад; проєктування й монтаж промислової вентиляції, пусконалагодження та офіційна документація після робіт.</x:v>
      </x:c>
      <x:c r="Y38" s="15" t="str">
        <x:v>Повітроводи й інженерні підключення закриваються оздобленням; приймання залежить від комплектності фото, тестів і документів.</x:v>
      </x:c>
      <x:c r="Z38" s="15" t="str">
        <x:v>https://alterair.ua/ventilyatsiya/montazh-promyshlennoy-ventilyatsii/</x:v>
      </x:c>
      <x:c r="AA38" s="14" t="str">
        <x:v>35910459</x:v>
      </x:c>
      <x:c r="AB38" s="14" t="str">
        <x:v>2026-07-28</x:v>
      </x:c>
      <x:c r="AC38" s="14" t="str">
        <x:v>Олександр</x:v>
      </x:c>
      <x:c r="AD38" s="18" t="str"/>
      <x:c r="AE38" s="14" t="str"/>
    </x:row>
    <x:row r="39">
      <x:c r="A39" s="14" t="str">
        <x:v>V3-048</x:v>
      </x:c>
      <x:c r="B39" s="14" t="str">
        <x:v>Досліджено 28.07</x:v>
      </x:c>
      <x:c r="C39" s="14" t="str">
        <x:v>Climtec</x:v>
      </x:c>
      <x:c r="D39" s="14" t="str">
        <x:v>HVAC / вентиляція</x:v>
      </x:c>
      <x:c r="E39" s="14" t="str">
        <x:v>Pilot now</x:v>
      </x:c>
      <x:c r="F39" s="17" t="str">
        <x:f>IF(E39="Pilot now",IF(P39&gt;=84,"P1",IF(P39&gt;=72,"P2","P3")),IF(E39="Expansion discovery",IF(Q39&gt;=88,"D1",IF(Q39&gt;=78,"D2","D3")),IF(E39="Later / requirements","L","Legacy")))</x:f>
        <x:v>P1</x:v>
      </x:c>
      <x:c r="G39" s="14" t="str">
        <x:v>climtec.ua</x:v>
      </x:c>
      <x:c r="H39" s="14" t="str">
        <x:v>Пілот зараз — Н.14</x:v>
      </x:c>
      <x:c r="I39" s="16" t="n">
        <x:v>4</x:v>
      </x:c>
      <x:c r="J39" s="16" t="n">
        <x:v>5</x:v>
      </x:c>
      <x:c r="K39" s="16" t="n">
        <x:v>4</x:v>
      </x:c>
      <x:c r="L39" s="16" t="n">
        <x:v>5</x:v>
      </x:c>
      <x:c r="M39" s="16" t="n">
        <x:v>5</x:v>
      </x:c>
      <x:c r="N39" s="16" t="n">
        <x:v>5</x:v>
      </x:c>
      <x:c r="O39" s="16" t="n">
        <x:v>5</x:v>
      </x:c>
      <x:c r="P39" s="16" t="n">
        <x:f>IF(COUNT(I39:O39)&lt;7,"",I39*8+J39*3+K39*2+L39*2+M39*2+N39*2+O39)</x:f>
        <x:v>90</x:v>
      </x:c>
      <x:c r="Q39" s="16" t="n">
        <x:f>IF(COUNT(J39:O39)&lt;6,"",J39*5+K39*4+M39*4+L39*3+N39*2+O39*2)</x:f>
        <x:v>96</x:v>
      </x:c>
      <x:c r="R39" s="14" t="str">
        <x:v>medium</x:v>
      </x:c>
      <x:c r="S39" s="14" t="str">
        <x:v>historical_research_2026-07-28</x:v>
      </x:c>
      <x:c r="T39" s="14" t="str">
        <x:v>historical_official_research</x:v>
      </x:c>
      <x:c r="U39" s="14" t="str">
        <x:v>Надіслано 28.07 — follow-up</x:v>
      </x:c>
      <x:c r="V39" s="15" t="str">
        <x:v>Follow-up з review-link; далі попросити 1 анонімізований артефакт</x:v>
      </x:c>
      <x:c r="W39" s="15" t="str">
        <x:v>Власник / директор; керівник ПТО</x:v>
      </x:c>
      <x:c r="X39" s="15" t="str">
        <x:v>Проєктування й монтаж вентиляції та опалення по Україні; велике портфоліо шкіл, лікарень, театрів, промислових і торгових об’єктів.</x:v>
      </x:c>
      <x:c r="Y39" s="15" t="str">
        <x:v>Повітроводи, ізоляція, автоматика й протипожежні клапани закриваються стелями; потрібні акти й пусконалагодження.</x:v>
      </x:c>
      <x:c r="Z39" s="15" t="str">
        <x:v>https://climtec.ua/portfolio/</x:v>
      </x:c>
      <x:c r="AA39" s="14" t="str"/>
      <x:c r="AB39" s="14" t="str">
        <x:v>2026-07-28</x:v>
      </x:c>
      <x:c r="AC39" s="14" t="str">
        <x:v>Олександр</x:v>
      </x:c>
      <x:c r="AD39" s="18" t="str"/>
      <x:c r="AE39" s="14" t="str"/>
    </x:row>
    <x:row r="40">
      <x:c r="A40" s="14" t="str">
        <x:v>AUG-049</x:v>
      </x:c>
      <x:c r="B40" s="14" t="str">
        <x:v>Перевірено 51 — 24.08</x:v>
      </x:c>
      <x:c r="C40" s="14" t="str">
        <x:v>KEM TRADE</x:v>
      </x:c>
      <x:c r="D40" s="14" t="str">
        <x:v>Внутрішня сантехніка + HVAC</x:v>
      </x:c>
      <x:c r="E40" s="14" t="str">
        <x:v>Pilot now</x:v>
      </x:c>
      <x:c r="F40" s="17" t="str">
        <x:f>IF(E40="Pilot now",IF(P40&gt;=84,"P1",IF(P40&gt;=72,"P2","P3")),IF(E40="Expansion discovery",IF(Q40&gt;=88,"D1",IF(Q40&gt;=78,"D2","D3")),IF(E40="Later / requirements","L","Legacy")))</x:f>
        <x:v>P1</x:v>
      </x:c>
      <x:c r="G40" s="14" t="str">
        <x:v>kem-trade.com.ua</x:v>
      </x:c>
      <x:c r="H40" s="14" t="str">
        <x:v>Пілот зараз — Н.14</x:v>
      </x:c>
      <x:c r="I40" s="16" t="n">
        <x:v>5</x:v>
      </x:c>
      <x:c r="J40" s="16" t="n">
        <x:v>5</x:v>
      </x:c>
      <x:c r="K40" s="16" t="n">
        <x:v>4</x:v>
      </x:c>
      <x:c r="L40" s="16" t="n">
        <x:v>3</x:v>
      </x:c>
      <x:c r="M40" s="16" t="n">
        <x:v>3</x:v>
      </x:c>
      <x:c r="N40" s="16" t="n">
        <x:v>5</x:v>
      </x:c>
      <x:c r="O40" s="16" t="n">
        <x:v>5</x:v>
      </x:c>
      <x:c r="P40" s="16" t="n">
        <x:f>IF(COUNT(I40:O40)&lt;7,"",I40*8+J40*3+K40*2+L40*2+M40*2+N40*2+O40)</x:f>
        <x:v>90</x:v>
      </x:c>
      <x:c r="Q40" s="16" t="n">
        <x:f>IF(COUNT(J40:O40)&lt;6,"",J40*5+K40*4+M40*4+L40*3+N40*2+O40*2)</x:f>
        <x:v>82</x:v>
      </x:c>
      <x:c r="R40" s="14" t="str">
        <x:v>high</x:v>
      </x:c>
      <x:c r="S40" s="14" t="str">
        <x:v>official_source_reverified</x:v>
      </x:c>
      <x:c r="T40" s="14" t="str">
        <x:v>official_source_reachable</x:v>
      </x:c>
      <x:c r="U40" s="14" t="str">
        <x:v>Новий — не контактували</x:v>
      </x:c>
      <x:c r="V40" s="15" t="str">
        <x:v>Персоналізувати review-flow за доказом; попросити 1 артефакт</x:v>
      </x:c>
      <x:c r="W40" s="15" t="str">
        <x:v>Владелец; руководитель проектов</x:v>
      </x:c>
      <x:c r="X40" s="15" t="str">
        <x:v>Проектирование и монтаж отопления, водоснабжения и канализации для коммерческих и промышленных объектов.</x:v>
      </x:c>
      <x:c r="Y40" s="15" t="str">
        <x:v>Поддержанные санитарно-технические скрытые работы на одном объекте.</x:v>
      </x:c>
      <x:c r="Z40" s="15" t="str">
        <x:v>https://www.kem-trade.com.ua/</x:v>
      </x:c>
      <x:c r="AA40" s="14" t="str"/>
      <x:c r="AB40" s="14" t="str">
        <x:v>2026-08-24</x:v>
      </x:c>
      <x:c r="AC40" s="14" t="str">
        <x:v>Олександр</x:v>
      </x:c>
      <x:c r="AD40" s="18" t="str"/>
      <x:c r="AE40" s="14" t="str"/>
    </x:row>
    <x:row r="41">
      <x:c r="A41" s="14" t="str">
        <x:v>AUG-046</x:v>
      </x:c>
      <x:c r="B41" s="14" t="str">
        <x:v>Перевірено 51 — 24.08</x:v>
      </x:c>
      <x:c r="C41" s="14" t="str">
        <x:v>KROP INSTALL</x:v>
      </x:c>
      <x:c r="D41" s="14" t="str">
        <x:v>Внутрішня сантехніка + HVAC</x:v>
      </x:c>
      <x:c r="E41" s="14" t="str">
        <x:v>Pilot now</x:v>
      </x:c>
      <x:c r="F41" s="17" t="str">
        <x:f>IF(E41="Pilot now",IF(P41&gt;=84,"P1",IF(P41&gt;=72,"P2","P3")),IF(E41="Expansion discovery",IF(Q41&gt;=88,"D1",IF(Q41&gt;=78,"D2","D3")),IF(E41="Later / requirements","L","Legacy")))</x:f>
        <x:v>P1</x:v>
      </x:c>
      <x:c r="G41" s="14" t="str">
        <x:v>krop-install.com.ua</x:v>
      </x:c>
      <x:c r="H41" s="14" t="str">
        <x:v>Пілот зараз — Н.14</x:v>
      </x:c>
      <x:c r="I41" s="16" t="n">
        <x:v>5</x:v>
      </x:c>
      <x:c r="J41" s="16" t="n">
        <x:v>5</x:v>
      </x:c>
      <x:c r="K41" s="16" t="n">
        <x:v>4</x:v>
      </x:c>
      <x:c r="L41" s="16" t="n">
        <x:v>3</x:v>
      </x:c>
      <x:c r="M41" s="16" t="n">
        <x:v>3</x:v>
      </x:c>
      <x:c r="N41" s="16" t="n">
        <x:v>5</x:v>
      </x:c>
      <x:c r="O41" s="16" t="n">
        <x:v>5</x:v>
      </x:c>
      <x:c r="P41" s="16" t="n">
        <x:f>IF(COUNT(I41:O41)&lt;7,"",I41*8+J41*3+K41*2+L41*2+M41*2+N41*2+O41)</x:f>
        <x:v>90</x:v>
      </x:c>
      <x:c r="Q41" s="16" t="n">
        <x:f>IF(COUNT(J41:O41)&lt;6,"",J41*5+K41*4+M41*4+L41*3+N41*2+O41*2)</x:f>
        <x:v>82</x:v>
      </x:c>
      <x:c r="R41" s="14" t="str">
        <x:v>high</x:v>
      </x:c>
      <x:c r="S41" s="14" t="str">
        <x:v>official_source_reverified</x:v>
      </x:c>
      <x:c r="T41" s="14" t="str">
        <x:v>official_source_reachable</x:v>
      </x:c>
      <x:c r="U41" s="14" t="str">
        <x:v>Новий — не контактували</x:v>
      </x:c>
      <x:c r="V41" s="15" t="str">
        <x:v>Персоналізувати review-flow за доказом; попросити 1 артефакт</x:v>
      </x:c>
      <x:c r="W41" s="15" t="str">
        <x:v>Владелец; руководитель монтажных работ</x:v>
      </x:c>
      <x:c r="X41" s="15" t="str">
        <x:v>16 лет на частных, коммерческих и крупных промышленных объектах; отопление, водоснабжение и канализация.</x:v>
      </x:c>
      <x:c r="Y41" s="15" t="str">
        <x:v>Поддержанные трубы, уклоны, арматура и приёмка внутренних систем.</x:v>
      </x:c>
      <x:c r="Z41" s="15" t="str">
        <x:v>https://krop-install.com.ua/</x:v>
      </x:c>
      <x:c r="AA41" s="14" t="str"/>
      <x:c r="AB41" s="14" t="str">
        <x:v>2026-08-24</x:v>
      </x:c>
      <x:c r="AC41" s="14" t="str">
        <x:v>Олександр</x:v>
      </x:c>
      <x:c r="AD41" s="18" t="str"/>
      <x:c r="AE41" s="14" t="str"/>
    </x:row>
    <x:row r="42">
      <x:c r="A42" s="14" t="str">
        <x:v>AUG-047</x:v>
      </x:c>
      <x:c r="B42" s="14" t="str">
        <x:v>Перевірено 51 — 24.08</x:v>
      </x:c>
      <x:c r="C42" s="14" t="str">
        <x:v>RalcoTechnic</x:v>
      </x:c>
      <x:c r="D42" s="14" t="str">
        <x:v>Промислове холодопостачання</x:v>
      </x:c>
      <x:c r="E42" s="14" t="str">
        <x:v>Pilot now</x:v>
      </x:c>
      <x:c r="F42" s="17" t="str">
        <x:f>IF(E42="Pilot now",IF(P42&gt;=84,"P1",IF(P42&gt;=72,"P2","P3")),IF(E42="Expansion discovery",IF(Q42&gt;=88,"D1",IF(Q42&gt;=78,"D2","D3")),IF(E42="Later / requirements","L","Legacy")))</x:f>
        <x:v>P1</x:v>
      </x:c>
      <x:c r="G42" s="14" t="str">
        <x:v>ralco.com.ua</x:v>
      </x:c>
      <x:c r="H42" s="14" t="str">
        <x:v>Пілот зараз — Н.14</x:v>
      </x:c>
      <x:c r="I42" s="16" t="n">
        <x:v>4</x:v>
      </x:c>
      <x:c r="J42" s="16" t="n">
        <x:v>5</x:v>
      </x:c>
      <x:c r="K42" s="16" t="n">
        <x:v>4</x:v>
      </x:c>
      <x:c r="L42" s="16" t="n">
        <x:v>5</x:v>
      </x:c>
      <x:c r="M42" s="16" t="n">
        <x:v>5</x:v>
      </x:c>
      <x:c r="N42" s="16" t="n">
        <x:v>5</x:v>
      </x:c>
      <x:c r="O42" s="16" t="n">
        <x:v>5</x:v>
      </x:c>
      <x:c r="P42" s="16" t="n">
        <x:f>IF(COUNT(I42:O42)&lt;7,"",I42*8+J42*3+K42*2+L42*2+M42*2+N42*2+O42)</x:f>
        <x:v>90</x:v>
      </x:c>
      <x:c r="Q42" s="16" t="n">
        <x:f>IF(COUNT(J42:O42)&lt;6,"",J42*5+K42*4+M42*4+L42*3+N42*2+O42*2)</x:f>
        <x:v>96</x:v>
      </x:c>
      <x:c r="R42" s="14" t="str">
        <x:v>high</x:v>
      </x:c>
      <x:c r="S42" s="14" t="str">
        <x:v>official_source_reverified</x:v>
      </x:c>
      <x:c r="T42" s="14" t="str">
        <x:v>official_source_reachable</x:v>
      </x:c>
      <x:c r="U42" s="14" t="str">
        <x:v>Новий — не контактували</x:v>
      </x:c>
      <x:c r="V42" s="15" t="str">
        <x:v>Персоналізувати review-flow за доказом; попросити 1 артефакт</x:v>
      </x:c>
      <x:c r="W42" s="15" t="str">
        <x:v>Коммерческий директор; руководитель проектного отдела</x:v>
      </x:c>
      <x:c r="X42" s="15" t="str">
        <x:v>1200+ проектов в портфолио, 400+ комплексных проектов, собственные мобильные сервисные бригады.</x:v>
      </x:c>
      <x:c r="Y42" s="15" t="str">
        <x:v>Большая повторяемость монтажных этапов и сильная сервисная дисциплина; начать с Н.14-subset.</x:v>
      </x:c>
      <x:c r="Z42" s="15" t="str">
        <x:v>https://ralco.com.ua/projects/</x:v>
      </x:c>
      <x:c r="AA42" s="14" t="str"/>
      <x:c r="AB42" s="14" t="str">
        <x:v>2026-08-24</x:v>
      </x:c>
      <x:c r="AC42" s="14" t="str">
        <x:v>Олександр</x:v>
      </x:c>
      <x:c r="AD42" s="18" t="str"/>
      <x:c r="AE42" s="14" t="str"/>
    </x:row>
    <x:row r="43">
      <x:c r="A43" s="14" t="str">
        <x:v>AUG-045</x:v>
      </x:c>
      <x:c r="B43" s="14" t="str">
        <x:v>Перевірено 51 — 24.08</x:v>
      </x:c>
      <x:c r="C43" s="14" t="str">
        <x:v>Subzero</x:v>
      </x:c>
      <x:c r="D43" s="14" t="str">
        <x:v>Промислове холодопостачання</x:v>
      </x:c>
      <x:c r="E43" s="14" t="str">
        <x:v>Pilot now</x:v>
      </x:c>
      <x:c r="F43" s="17" t="str">
        <x:f>IF(E43="Pilot now",IF(P43&gt;=84,"P1",IF(P43&gt;=72,"P2","P3")),IF(E43="Expansion discovery",IF(Q43&gt;=88,"D1",IF(Q43&gt;=78,"D2","D3")),IF(E43="Later / requirements","L","Legacy")))</x:f>
        <x:v>P1</x:v>
      </x:c>
      <x:c r="G43" s="14" t="str">
        <x:v>subzero.ua</x:v>
      </x:c>
      <x:c r="H43" s="14" t="str">
        <x:v>Пілот зараз — Н.14</x:v>
      </x:c>
      <x:c r="I43" s="16" t="n">
        <x:v>4</x:v>
      </x:c>
      <x:c r="J43" s="16" t="n">
        <x:v>5</x:v>
      </x:c>
      <x:c r="K43" s="16" t="n">
        <x:v>4</x:v>
      </x:c>
      <x:c r="L43" s="16" t="n">
        <x:v>5</x:v>
      </x:c>
      <x:c r="M43" s="16" t="n">
        <x:v>5</x:v>
      </x:c>
      <x:c r="N43" s="16" t="n">
        <x:v>5</x:v>
      </x:c>
      <x:c r="O43" s="16" t="n">
        <x:v>5</x:v>
      </x:c>
      <x:c r="P43" s="16" t="n">
        <x:f>IF(COUNT(I43:O43)&lt;7,"",I43*8+J43*3+K43*2+L43*2+M43*2+N43*2+O43)</x:f>
        <x:v>90</x:v>
      </x:c>
      <x:c r="Q43" s="16" t="n">
        <x:f>IF(COUNT(J43:O43)&lt;6,"",J43*5+K43*4+M43*4+L43*3+N43*2+O43*2)</x:f>
        <x:v>96</x:v>
      </x:c>
      <x:c r="R43" s="14" t="str">
        <x:v>high</x:v>
      </x:c>
      <x:c r="S43" s="14" t="str">
        <x:v>official_source_reverified</x:v>
      </x:c>
      <x:c r="T43" s="14" t="str">
        <x:v>official_source_reachable</x:v>
      </x:c>
      <x:c r="U43" s="14" t="str">
        <x:v>Новий — не контактували</x:v>
      </x:c>
      <x:c r="V43" s="15" t="str">
        <x:v>Персоналізувати review-flow за доказом; попросити 1 артефакт</x:v>
      </x:c>
      <x:c r="W43" s="15" t="str">
        <x:v>Директор; руководитель проектов / ПТО</x:v>
      </x:c>
      <x:c r="X43" s="15" t="str">
        <x:v>Полный промышленный холод: генеральное проектирование, монтаж, пусконаладка, модернизация и сервис для пищевых/агропредприятий.</x:v>
      </x:c>
      <x:c r="Y43" s="15" t="str">
        <x:v>Трубопроводы и автоматика подходят, но первый проект нужно ограничить Н.14-пунктами.</x:v>
      </x:c>
      <x:c r="Z43" s="15" t="str">
        <x:v>https://subzero.ua/</x:v>
      </x:c>
      <x:c r="AA43" s="14" t="str"/>
      <x:c r="AB43" s="14" t="str">
        <x:v>2026-08-24</x:v>
      </x:c>
      <x:c r="AC43" s="14" t="str">
        <x:v>Олександр</x:v>
      </x:c>
      <x:c r="AD43" s="18" t="str"/>
      <x:c r="AE43" s="14" t="str"/>
    </x:row>
    <x:row r="44">
      <x:c r="A44" s="14" t="str">
        <x:v>AUG-043</x:v>
      </x:c>
      <x:c r="B44" s="14" t="str">
        <x:v>Перевірено 51 — 24.08</x:v>
      </x:c>
      <x:c r="C44" s="14" t="str">
        <x:v>АльфаПроект</x:v>
      </x:c>
      <x:c r="D44" s="14" t="str">
        <x:v>Промислове холодопостачання</x:v>
      </x:c>
      <x:c r="E44" s="14" t="str">
        <x:v>Pilot now</x:v>
      </x:c>
      <x:c r="F44" s="17" t="str">
        <x:f>IF(E44="Pilot now",IF(P44&gt;=84,"P1",IF(P44&gt;=72,"P2","P3")),IF(E44="Expansion discovery",IF(Q44&gt;=88,"D1",IF(Q44&gt;=78,"D2","D3")),IF(E44="Later / requirements","L","Legacy")))</x:f>
        <x:v>P1</x:v>
      </x:c>
      <x:c r="G44" s="14" t="str">
        <x:v>alfaproekt.com.ua</x:v>
      </x:c>
      <x:c r="H44" s="14" t="str">
        <x:v>Пілот зараз — Н.14</x:v>
      </x:c>
      <x:c r="I44" s="16" t="n">
        <x:v>4</x:v>
      </x:c>
      <x:c r="J44" s="16" t="n">
        <x:v>5</x:v>
      </x:c>
      <x:c r="K44" s="16" t="n">
        <x:v>4</x:v>
      </x:c>
      <x:c r="L44" s="16" t="n">
        <x:v>5</x:v>
      </x:c>
      <x:c r="M44" s="16" t="n">
        <x:v>4</x:v>
      </x:c>
      <x:c r="N44" s="16" t="n">
        <x:v>5</x:v>
      </x:c>
      <x:c r="O44" s="16" t="n">
        <x:v>5</x:v>
      </x:c>
      <x:c r="P44" s="16" t="n">
        <x:f>IF(COUNT(I44:O44)&lt;7,"",I44*8+J44*3+K44*2+L44*2+M44*2+N44*2+O44)</x:f>
        <x:v>88</x:v>
      </x:c>
      <x:c r="Q44" s="16" t="n">
        <x:f>IF(COUNT(J44:O44)&lt;6,"",J44*5+K44*4+M44*4+L44*3+N44*2+O44*2)</x:f>
        <x:v>92</x:v>
      </x:c>
      <x:c r="R44" s="14" t="str">
        <x:v>high</x:v>
      </x:c>
      <x:c r="S44" s="14" t="str">
        <x:v>official_source_reverified</x:v>
      </x:c>
      <x:c r="T44" s="14" t="str">
        <x:v>official_source_reachable</x:v>
      </x:c>
      <x:c r="U44" s="14" t="str">
        <x:v>Новий — не контактували</x:v>
      </x:c>
      <x:c r="V44" s="15" t="str">
        <x:v>Персоналізувати review-flow за доказом; попросити 1 артефакт</x:v>
      </x:c>
      <x:c r="W44" s="15" t="str">
        <x:v>Директор; руководитель монтажных проектов</x:v>
      </x:c>
      <x:c r="X44" s="15" t="str">
        <x:v>20+ лет, 200+ предприятий, проектирование, монтаж и пусконаладка промышленного холодоснабжения.</x:v>
      </x:c>
      <x:c r="Y44" s="15" t="str">
        <x:v>Трубопроводы, сварные соединения, арматура и автоматика дают поддержанный Н.14-subset.</x:v>
      </x:c>
      <x:c r="Z44" s="15" t="str">
        <x:v>https://www.alfaproekt.com.ua/</x:v>
      </x:c>
      <x:c r="AA44" s="14" t="str"/>
      <x:c r="AB44" s="14" t="str">
        <x:v>2026-08-24</x:v>
      </x:c>
      <x:c r="AC44" s="14" t="str">
        <x:v>Олександр</x:v>
      </x:c>
      <x:c r="AD44" s="18" t="str"/>
      <x:c r="AE44" s="14" t="str"/>
    </x:row>
    <x:row r="45">
      <x:c r="A45" s="14" t="str">
        <x:v>AUG-048</x:v>
      </x:c>
      <x:c r="B45" s="14" t="str">
        <x:v>Перевірено 51 — 24.08</x:v>
      </x:c>
      <x:c r="C45" s="14" t="str">
        <x:v>Київтрансбуд</x:v>
      </x:c>
      <x:c r="D45" s="14" t="str">
        <x:v>Промисловий MEP</x:v>
      </x:c>
      <x:c r="E45" s="14" t="str">
        <x:v>Pilot now</x:v>
      </x:c>
      <x:c r="F45" s="17" t="str">
        <x:f>IF(E45="Pilot now",IF(P45&gt;=84,"P1",IF(P45&gt;=72,"P2","P3")),IF(E45="Expansion discovery",IF(Q45&gt;=88,"D1",IF(Q45&gt;=78,"D2","D3")),IF(E45="Later / requirements","L","Legacy")))</x:f>
        <x:v>P1</x:v>
      </x:c>
      <x:c r="G45" s="14" t="str">
        <x:v>ktb.com.ua</x:v>
      </x:c>
      <x:c r="H45" s="14" t="str">
        <x:v>Пілот зараз — Н.14 + Н.15</x:v>
      </x:c>
      <x:c r="I45" s="16" t="n">
        <x:v>5</x:v>
      </x:c>
      <x:c r="J45" s="16" t="n">
        <x:v>5</x:v>
      </x:c>
      <x:c r="K45" s="16" t="n">
        <x:v>4</x:v>
      </x:c>
      <x:c r="L45" s="16" t="n">
        <x:v>4</x:v>
      </x:c>
      <x:c r="M45" s="16" t="n">
        <x:v>4</x:v>
      </x:c>
      <x:c r="N45" s="16" t="n">
        <x:v>2</x:v>
      </x:c>
      <x:c r="O45" s="16" t="n">
        <x:v>5</x:v>
      </x:c>
      <x:c r="P45" s="16" t="n">
        <x:f>IF(COUNT(I45:O45)&lt;7,"",I45*8+J45*3+K45*2+L45*2+M45*2+N45*2+O45)</x:f>
        <x:v>88</x:v>
      </x:c>
      <x:c r="Q45" s="16" t="n">
        <x:f>IF(COUNT(J45:O45)&lt;6,"",J45*5+K45*4+M45*4+L45*3+N45*2+O45*2)</x:f>
        <x:v>83</x:v>
      </x:c>
      <x:c r="R45" s="14" t="str">
        <x:v>high</x:v>
      </x:c>
      <x:c r="S45" s="14" t="str">
        <x:v>official_source_reverified</x:v>
      </x:c>
      <x:c r="T45" s="14" t="str">
        <x:v>official_source_reachable</x:v>
      </x:c>
      <x:c r="U45" s="14" t="str">
        <x:v>Новий — не контактували</x:v>
      </x:c>
      <x:c r="V45" s="15" t="str">
        <x:v>Персоналізувати review-flow за доказом; попросити 1 артефакт</x:v>
      </x:c>
      <x:c r="W45" s="15" t="str">
        <x:v>Директор по строительству; руководитель ПТО</x:v>
      </x:c>
      <x:c r="X45" s="15" t="str">
        <x:v>Сопровождение монтажа электрических, отопительных, вентиляционных, водопроводных и канализационных систем на промышленных объектах.</x:v>
      </x:c>
      <x:c r="Y45" s="15" t="str">
        <x:v>Функционально подходит, но как генподрядчик имеет более сложный цикл покупки; использовать скорее как канал/мандат.</x:v>
      </x:c>
      <x:c r="Z45" s="15" t="str">
        <x:v>https://ktb.com.ua/services/montazh-inzhenernykh-system/</x:v>
      </x:c>
      <x:c r="AA45" s="14" t="str"/>
      <x:c r="AB45" s="14" t="str">
        <x:v>2026-08-24</x:v>
      </x:c>
      <x:c r="AC45" s="14" t="str">
        <x:v>Олександр</x:v>
      </x:c>
      <x:c r="AD45" s="18" t="str"/>
      <x:c r="AE45" s="14" t="str"/>
    </x:row>
    <x:row r="46">
      <x:c r="A46" s="14" t="str">
        <x:v>AUG-007</x:v>
      </x:c>
      <x:c r="B46" s="14" t="str">
        <x:v>Перевірено 51 — 24.08</x:v>
      </x:c>
      <x:c r="C46" s="14" t="str">
        <x:v>BergGroup</x:v>
      </x:c>
      <x:c r="D46" s="14" t="str">
        <x:v>Зовнішні мережі + електрика</x:v>
      </x:c>
      <x:c r="E46" s="14" t="str">
        <x:v>Pilot now</x:v>
      </x:c>
      <x:c r="F46" s="17" t="str">
        <x:f>IF(E46="Pilot now",IF(P46&gt;=84,"P1",IF(P46&gt;=72,"P2","P3")),IF(E46="Expansion discovery",IF(Q46&gt;=88,"D1",IF(Q46&gt;=78,"D2","D3")),IF(E46="Later / requirements","L","Legacy")))</x:f>
        <x:v>P1</x:v>
      </x:c>
      <x:c r="G46" s="14" t="str">
        <x:v>berggroup.com.ua</x:v>
      </x:c>
      <x:c r="H46" s="14" t="str">
        <x:v>Пілот зараз — Н.15</x:v>
      </x:c>
      <x:c r="I46" s="16" t="n">
        <x:v>4</x:v>
      </x:c>
      <x:c r="J46" s="16" t="n">
        <x:v>5</x:v>
      </x:c>
      <x:c r="K46" s="16" t="n">
        <x:v>5</x:v>
      </x:c>
      <x:c r="L46" s="16" t="n">
        <x:v>4</x:v>
      </x:c>
      <x:c r="M46" s="16" t="n">
        <x:v>4</x:v>
      </x:c>
      <x:c r="N46" s="16" t="n">
        <x:v>5</x:v>
      </x:c>
      <x:c r="O46" s="16" t="n">
        <x:v>5</x:v>
      </x:c>
      <x:c r="P46" s="16" t="n">
        <x:f>IF(COUNT(I46:O46)&lt;7,"",I46*8+J46*3+K46*2+L46*2+M46*2+N46*2+O46)</x:f>
        <x:v>88</x:v>
      </x:c>
      <x:c r="Q46" s="16" t="n">
        <x:f>IF(COUNT(J46:O46)&lt;6,"",J46*5+K46*4+M46*4+L46*3+N46*2+O46*2)</x:f>
        <x:v>93</x:v>
      </x:c>
      <x:c r="R46" s="14" t="str">
        <x:v>high</x:v>
      </x:c>
      <x:c r="S46" s="14" t="str">
        <x:v>official_source_reverified</x:v>
      </x:c>
      <x:c r="T46" s="14" t="str">
        <x:v>official_source_reachable</x:v>
      </x:c>
      <x:c r="U46" s="14" t="str">
        <x:v>Новий — не контактували</x:v>
      </x:c>
      <x:c r="V46" s="15" t="str">
        <x:v>Персоналізувати review-flow за доказом; попросити 1 артефакт</x:v>
      </x:c>
      <x:c r="W46" s="15" t="str">
        <x:v>Коммерческий директор; руководитель ПТО</x:v>
      </x:c>
      <x:c r="X46" s="15" t="str">
        <x:v>Строит инженерные сети и обслуживает/монтирует подстанции до 330 кВ; работает открытым и бестраншейным способом.</x:v>
      </x:c>
      <x:c r="Y46" s="15" t="str">
        <x:v>Кабельные линии и заземление можно пилотировать сейчас; водопровод и газ — после расширения требований.</x:v>
      </x:c>
      <x:c r="Z46" s="15" t="str">
        <x:v>https://berggroup.com.ua/</x:v>
      </x:c>
      <x:c r="AA46" s="14" t="str"/>
      <x:c r="AB46" s="14" t="str">
        <x:v>2026-08-24</x:v>
      </x:c>
      <x:c r="AC46" s="14" t="str">
        <x:v>Олександр</x:v>
      </x:c>
      <x:c r="AD46" s="18" t="str"/>
      <x:c r="AE46" s="14" t="str"/>
    </x:row>
    <x:row r="47">
      <x:c r="A47" s="14" t="str">
        <x:v>AUG-009</x:v>
      </x:c>
      <x:c r="B47" s="14" t="str">
        <x:v>Перевірено 51 — 24.08</x:v>
      </x:c>
      <x:c r="C47" s="14" t="str">
        <x:v>Energotechpro VN</x:v>
      </x:c>
      <x:c r="D47" s="14" t="str">
        <x:v>Електрика + слаботочка</x:v>
      </x:c>
      <x:c r="E47" s="14" t="str">
        <x:v>Pilot now</x:v>
      </x:c>
      <x:c r="F47" s="17" t="str">
        <x:f>IF(E47="Pilot now",IF(P47&gt;=84,"P1",IF(P47&gt;=72,"P2","P3")),IF(E47="Expansion discovery",IF(Q47&gt;=88,"D1",IF(Q47&gt;=78,"D2","D3")),IF(E47="Later / requirements","L","Legacy")))</x:f>
        <x:v>P1</x:v>
      </x:c>
      <x:c r="G47" s="14" t="str">
        <x:v>energotechprovn.com.ua</x:v>
      </x:c>
      <x:c r="H47" s="14" t="str">
        <x:v>Пілот зараз — Н.15</x:v>
      </x:c>
      <x:c r="I47" s="16" t="n">
        <x:v>5</x:v>
      </x:c>
      <x:c r="J47" s="16" t="n">
        <x:v>5</x:v>
      </x:c>
      <x:c r="K47" s="16" t="n">
        <x:v>4</x:v>
      </x:c>
      <x:c r="L47" s="16" t="n">
        <x:v>2</x:v>
      </x:c>
      <x:c r="M47" s="16" t="n">
        <x:v>3</x:v>
      </x:c>
      <x:c r="N47" s="16" t="n">
        <x:v>5</x:v>
      </x:c>
      <x:c r="O47" s="16" t="n">
        <x:v>5</x:v>
      </x:c>
      <x:c r="P47" s="16" t="n">
        <x:f>IF(COUNT(I47:O47)&lt;7,"",I47*8+J47*3+K47*2+L47*2+M47*2+N47*2+O47)</x:f>
        <x:v>88</x:v>
      </x:c>
      <x:c r="Q47" s="16" t="n">
        <x:f>IF(COUNT(J47:O47)&lt;6,"",J47*5+K47*4+M47*4+L47*3+N47*2+O47*2)</x:f>
        <x:v>79</x:v>
      </x:c>
      <x:c r="R47" s="14" t="str">
        <x:v>high</x:v>
      </x:c>
      <x:c r="S47" s="14" t="str">
        <x:v>official_source_reverified</x:v>
      </x:c>
      <x:c r="T47" s="14" t="str">
        <x:v>official_source_reachable</x:v>
      </x:c>
      <x:c r="U47" s="14" t="str">
        <x:v>Новий — не контактували</x:v>
      </x:c>
      <x:c r="V47" s="15" t="str">
        <x:v>Персоналізувати review-flow за доказом; попросити 1 артефакт</x:v>
      </x:c>
      <x:c r="W47" s="15" t="str">
        <x:v>Директор; руководитель монтажных работ</x:v>
      </x:c>
      <x:c r="X47" s="15" t="str">
        <x:v>Электроинженерные решения: проектирование, монтаж, подключение и обслуживание систем питания и безопасности.</x:v>
      </x:c>
      <x:c r="Y47" s="15" t="str">
        <x:v>Скрытая проводка и кабельные линии дают узкий пилот без изменения продуктовой библиотеки.</x:v>
      </x:c>
      <x:c r="Z47" s="15" t="str">
        <x:v>https://energotechprovn.com.ua/</x:v>
      </x:c>
      <x:c r="AA47" s="14" t="str"/>
      <x:c r="AB47" s="14" t="str">
        <x:v>2026-08-24</x:v>
      </x:c>
      <x:c r="AC47" s="14" t="str">
        <x:v>Олександр</x:v>
      </x:c>
      <x:c r="AD47" s="18" t="str"/>
      <x:c r="AE47" s="14" t="str"/>
    </x:row>
    <x:row r="48">
      <x:c r="A48" s="14" t="str">
        <x:v>V3-050</x:v>
      </x:c>
      <x:c r="B48" s="14" t="str">
        <x:v>Досліджено 28.07</x:v>
      </x:c>
      <x:c r="C48" s="14" t="str">
        <x:v>TERMAL</x:v>
      </x:c>
      <x:c r="D48" s="14" t="str">
        <x:v>HVAC / вентиляція</x:v>
      </x:c>
      <x:c r="E48" s="14" t="str">
        <x:v>Pilot now</x:v>
      </x:c>
      <x:c r="F48" s="17" t="str">
        <x:f>IF(E48="Pilot now",IF(P48&gt;=84,"P1",IF(P48&gt;=72,"P2","P3")),IF(E48="Expansion discovery",IF(Q48&gt;=88,"D1",IF(Q48&gt;=78,"D2","D3")),IF(E48="Later / requirements","L","Legacy")))</x:f>
        <x:v>P1</x:v>
      </x:c>
      <x:c r="G48" s="14" t="str">
        <x:v>ua.termal.com.ua</x:v>
      </x:c>
      <x:c r="H48" s="14" t="str">
        <x:v>Пілот зараз — Н.14</x:v>
      </x:c>
      <x:c r="I48" s="16" t="n">
        <x:v>4</x:v>
      </x:c>
      <x:c r="J48" s="16" t="n">
        <x:v>5</x:v>
      </x:c>
      <x:c r="K48" s="16" t="n">
        <x:v>4</x:v>
      </x:c>
      <x:c r="L48" s="16" t="n">
        <x:v>4</x:v>
      </x:c>
      <x:c r="M48" s="16" t="n">
        <x:v>5</x:v>
      </x:c>
      <x:c r="N48" s="16" t="n">
        <x:v>5</x:v>
      </x:c>
      <x:c r="O48" s="16" t="n">
        <x:v>5</x:v>
      </x:c>
      <x:c r="P48" s="16" t="n">
        <x:f>IF(COUNT(I48:O48)&lt;7,"",I48*8+J48*3+K48*2+L48*2+M48*2+N48*2+O48)</x:f>
        <x:v>88</x:v>
      </x:c>
      <x:c r="Q48" s="16" t="n">
        <x:f>IF(COUNT(J48:O48)&lt;6,"",J48*5+K48*4+M48*4+L48*3+N48*2+O48*2)</x:f>
        <x:v>93</x:v>
      </x:c>
      <x:c r="R48" s="14" t="str">
        <x:v>medium</x:v>
      </x:c>
      <x:c r="S48" s="14" t="str">
        <x:v>historical_research_2026-07-28</x:v>
      </x:c>
      <x:c r="T48" s="14" t="str">
        <x:v>historical_official_research</x:v>
      </x:c>
      <x:c r="U48" s="14" t="str">
        <x:v>Надіслано 28.07 — follow-up</x:v>
      </x:c>
      <x:c r="V48" s="15" t="str">
        <x:v>Follow-up з review-link; далі попросити 1 анонімізований артефакт</x:v>
      </x:c>
      <x:c r="W48" s="15" t="str">
        <x:v>Власник / директор; керівник ПТО</x:v>
      </x:c>
      <x:c r="X48" s="15" t="str">
        <x:v>Проєктування, постачання, монтаж і налагодження промислових систем вентиляції, опалення та кондиціонування.</x:v>
      </x:c>
      <x:c r="Y48" s="15" t="str">
        <x:v>Приховані повітроводи, трубопроводи й автоматика потребують готовності доказів до закриття стель і шахт.</x:v>
      </x:c>
      <x:c r="Z48" s="15" t="str">
        <x:v>https://ua.termal.com.ua/uslugi/montazh-inzhenernykh-sistem/</x:v>
      </x:c>
      <x:c r="AA48" s="14" t="str"/>
      <x:c r="AB48" s="14" t="str">
        <x:v>2026-07-28</x:v>
      </x:c>
      <x:c r="AC48" s="14" t="str">
        <x:v>Олександр</x:v>
      </x:c>
      <x:c r="AD48" s="18" t="str"/>
      <x:c r="AE48" s="14" t="str"/>
    </x:row>
    <x:row r="49">
      <x:c r="A49" s="14" t="str">
        <x:v>AUG-003</x:v>
      </x:c>
      <x:c r="B49" s="14" t="str">
        <x:v>Перевірено 51 — 24.08</x:v>
      </x:c>
      <x:c r="C49" s="14" t="str">
        <x:v>Армат</x:v>
      </x:c>
      <x:c r="D49" s="14" t="str">
        <x:v>Внутрішній HVAC</x:v>
      </x:c>
      <x:c r="E49" s="14" t="str">
        <x:v>Pilot now</x:v>
      </x:c>
      <x:c r="F49" s="17" t="str">
        <x:f>IF(E49="Pilot now",IF(P49&gt;=84,"P1",IF(P49&gt;=72,"P2","P3")),IF(E49="Expansion discovery",IF(Q49&gt;=88,"D1",IF(Q49&gt;=78,"D2","D3")),IF(E49="Later / requirements","L","Legacy")))</x:f>
        <x:v>P1</x:v>
      </x:c>
      <x:c r="G49" s="14" t="str">
        <x:v>armat.kiev.ua</x:v>
      </x:c>
      <x:c r="H49" s="14" t="str">
        <x:v>Пілот зараз — Н.14</x:v>
      </x:c>
      <x:c r="I49" s="16" t="n">
        <x:v>4</x:v>
      </x:c>
      <x:c r="J49" s="16" t="n">
        <x:v>5</x:v>
      </x:c>
      <x:c r="K49" s="16" t="n">
        <x:v>4</x:v>
      </x:c>
      <x:c r="L49" s="16" t="n">
        <x:v>4</x:v>
      </x:c>
      <x:c r="M49" s="16" t="n">
        <x:v>4</x:v>
      </x:c>
      <x:c r="N49" s="16" t="n">
        <x:v>5</x:v>
      </x:c>
      <x:c r="O49" s="16" t="n">
        <x:v>5</x:v>
      </x:c>
      <x:c r="P49" s="16" t="n">
        <x:f>IF(COUNT(I49:O49)&lt;7,"",I49*8+J49*3+K49*2+L49*2+M49*2+N49*2+O49)</x:f>
        <x:v>86</x:v>
      </x:c>
      <x:c r="Q49" s="16" t="n">
        <x:f>IF(COUNT(J49:O49)&lt;6,"",J49*5+K49*4+M49*4+L49*3+N49*2+O49*2)</x:f>
        <x:v>89</x:v>
      </x:c>
      <x:c r="R49" s="14" t="str">
        <x:v>high</x:v>
      </x:c>
      <x:c r="S49" s="14" t="str">
        <x:v>official_source_reverified</x:v>
      </x:c>
      <x:c r="T49" s="14" t="str">
        <x:v>official_source_reachable</x:v>
      </x:c>
      <x:c r="U49" s="14" t="str">
        <x:v>Новий — не контактували</x:v>
      </x:c>
      <x:c r="V49" s="15" t="str">
        <x:v>Персоналізувати review-flow за доказом; попросити 1 артефакт</x:v>
      </x:c>
      <x:c r="W49" s="15" t="str">
        <x:v>Директор; руководитель монтажного отдела</x:v>
      </x:c>
      <x:c r="X49" s="15" t="str">
        <x:v>Инженерный подрядчик полного цикла, собственное производство и 150+ коммерческих проектов.</x:v>
      </x:c>
      <x:c r="Y49" s="15" t="str">
        <x:v>Поэтапный монтаж вентиляции, отопления и кондиционирования создаёт скрытые контрольные точки и исполнительные документы.</x:v>
      </x:c>
      <x:c r="Z49" s="15" t="str">
        <x:v>https://www.armat.kiev.ua/</x:v>
      </x:c>
      <x:c r="AA49" s="14" t="str"/>
      <x:c r="AB49" s="14" t="str">
        <x:v>2026-08-24</x:v>
      </x:c>
      <x:c r="AC49" s="14" t="str">
        <x:v>Олександр</x:v>
      </x:c>
      <x:c r="AD49" s="18" t="str"/>
      <x:c r="AE49" s="14" t="str"/>
    </x:row>
    <x:row r="50">
      <x:c r="A50" s="14" t="str">
        <x:v>AUG-002</x:v>
      </x:c>
      <x:c r="B50" s="14" t="str">
        <x:v>Перевірено 51 — 24.08</x:v>
      </x:c>
      <x:c r="C50" s="14" t="str">
        <x:v>Группа компаний VENT</x:v>
      </x:c>
      <x:c r="D50" s="14" t="str">
        <x:v>Внутрішній HVAC</x:v>
      </x:c>
      <x:c r="E50" s="14" t="str">
        <x:v>Pilot now</x:v>
      </x:c>
      <x:c r="F50" s="17" t="str">
        <x:f>IF(E50="Pilot now",IF(P50&gt;=84,"P1",IF(P50&gt;=72,"P2","P3")),IF(E50="Expansion discovery",IF(Q50&gt;=88,"D1",IF(Q50&gt;=78,"D2","D3")),IF(E50="Later / requirements","L","Legacy")))</x:f>
        <x:v>P1</x:v>
      </x:c>
      <x:c r="G50" s="14" t="str">
        <x:v>vent.te.ua</x:v>
      </x:c>
      <x:c r="H50" s="14" t="str">
        <x:v>Пілот зараз — Н.14</x:v>
      </x:c>
      <x:c r="I50" s="16" t="n">
        <x:v>4</x:v>
      </x:c>
      <x:c r="J50" s="16" t="n">
        <x:v>5</x:v>
      </x:c>
      <x:c r="K50" s="16" t="n">
        <x:v>4</x:v>
      </x:c>
      <x:c r="L50" s="16" t="n">
        <x:v>4</x:v>
      </x:c>
      <x:c r="M50" s="16" t="n">
        <x:v>4</x:v>
      </x:c>
      <x:c r="N50" s="16" t="n">
        <x:v>5</x:v>
      </x:c>
      <x:c r="O50" s="16" t="n">
        <x:v>5</x:v>
      </x:c>
      <x:c r="P50" s="16" t="n">
        <x:f>IF(COUNT(I50:O50)&lt;7,"",I50*8+J50*3+K50*2+L50*2+M50*2+N50*2+O50)</x:f>
        <x:v>86</x:v>
      </x:c>
      <x:c r="Q50" s="16" t="n">
        <x:f>IF(COUNT(J50:O50)&lt;6,"",J50*5+K50*4+M50*4+L50*3+N50*2+O50*2)</x:f>
        <x:v>89</x:v>
      </x:c>
      <x:c r="R50" s="14" t="str">
        <x:v>high</x:v>
      </x:c>
      <x:c r="S50" s="14" t="str">
        <x:v>official_source_reverified</x:v>
      </x:c>
      <x:c r="T50" s="14" t="str">
        <x:v>official_source_reachable</x:v>
      </x:c>
      <x:c r="U50" s="14" t="str">
        <x:v>Новий — не контактували</x:v>
      </x:c>
      <x:c r="V50" s="15" t="str">
        <x:v>Персоналізувати review-flow за доказом; попросити 1 артефакт</x:v>
      </x:c>
      <x:c r="W50" s="15" t="str">
        <x:v>Владелец; руководитель проектов / ПТО</x:v>
      </x:c>
      <x:c r="X50" s="15" t="str">
        <x:v>Проектирование, производство воздуховодов, монтаж и пусконаладка для промышленных и коммерческих объектов по Украине.</x:v>
      </x:c>
      <x:c r="Y50" s="15" t="str">
        <x:v>Скрытые воздуховоды, проходки и автоматика требуют поэтапной фиксации до закрытия потолков.</x:v>
      </x:c>
      <x:c r="Z50" s="15" t="str">
        <x:v>https://www.vent.te.ua/</x:v>
      </x:c>
      <x:c r="AA50" s="14" t="str"/>
      <x:c r="AB50" s="14" t="str">
        <x:v>2026-08-24</x:v>
      </x:c>
      <x:c r="AC50" s="14" t="str">
        <x:v>Олександр</x:v>
      </x:c>
      <x:c r="AD50" s="18" t="str"/>
      <x:c r="AE50" s="14" t="str"/>
    </x:row>
    <x:row r="51">
      <x:c r="A51" s="14" t="str">
        <x:v>AUG-004</x:v>
      </x:c>
      <x:c r="B51" s="14" t="str">
        <x:v>Перевірено 51 — 24.08</x:v>
      </x:c>
      <x:c r="C51" s="14" t="str">
        <x:v>Аероплюс</x:v>
      </x:c>
      <x:c r="D51" s="14" t="str">
        <x:v>Внутрішній HVAC</x:v>
      </x:c>
      <x:c r="E51" s="14" t="str">
        <x:v>Pilot now</x:v>
      </x:c>
      <x:c r="F51" s="17" t="str">
        <x:f>IF(E51="Pilot now",IF(P51&gt;=84,"P1",IF(P51&gt;=72,"P2","P3")),IF(E51="Expansion discovery",IF(Q51&gt;=88,"D1",IF(Q51&gt;=78,"D2","D3")),IF(E51="Later / requirements","L","Legacy")))</x:f>
        <x:v>P2</x:v>
      </x:c>
      <x:c r="G51" s="14" t="str">
        <x:v>aeroplus.com.ua</x:v>
      </x:c>
      <x:c r="H51" s="14" t="str">
        <x:v>Пілот зараз — Н.14</x:v>
      </x:c>
      <x:c r="I51" s="16" t="n">
        <x:v>4</x:v>
      </x:c>
      <x:c r="J51" s="16" t="n">
        <x:v>5</x:v>
      </x:c>
      <x:c r="K51" s="16" t="n">
        <x:v>4</x:v>
      </x:c>
      <x:c r="L51" s="16" t="n">
        <x:v>3</x:v>
      </x:c>
      <x:c r="M51" s="16" t="n">
        <x:v>3</x:v>
      </x:c>
      <x:c r="N51" s="16" t="n">
        <x:v>5</x:v>
      </x:c>
      <x:c r="O51" s="16" t="n">
        <x:v>5</x:v>
      </x:c>
      <x:c r="P51" s="16" t="n">
        <x:f>IF(COUNT(I51:O51)&lt;7,"",I51*8+J51*3+K51*2+L51*2+M51*2+N51*2+O51)</x:f>
        <x:v>82</x:v>
      </x:c>
      <x:c r="Q51" s="16" t="n">
        <x:f>IF(COUNT(J51:O51)&lt;6,"",J51*5+K51*4+M51*4+L51*3+N51*2+O51*2)</x:f>
        <x:v>82</x:v>
      </x:c>
      <x:c r="R51" s="14" t="str">
        <x:v>high</x:v>
      </x:c>
      <x:c r="S51" s="14" t="str">
        <x:v>official_source_reverified</x:v>
      </x:c>
      <x:c r="T51" s="14" t="str">
        <x:v>official_source_reachable</x:v>
      </x:c>
      <x:c r="U51" s="14" t="str">
        <x:v>Новий — не контактували</x:v>
      </x:c>
      <x:c r="V51" s="15" t="str">
        <x:v>Персоналізувати review-flow за доказом; попросити 1 артефакт</x:v>
      </x:c>
      <x:c r="W51" s="15" t="str">
        <x:v>Директор; главный инженер</x:v>
      </x:c>
      <x:c r="X51" s="15" t="str">
        <x:v>Проектирование, монтаж и обслуживание вентиляции, кондиционирования и отопления для офисов и промышленных объектов.</x:v>
      </x:c>
      <x:c r="Y51" s="15" t="str">
        <x:v>Трубопроводы, автоматика и скрытые участки ОВиК должны быть подтверждены до отделки.</x:v>
      </x:c>
      <x:c r="Z51" s="15" t="str">
        <x:v>https://aeroplus.com.ua/</x:v>
      </x:c>
      <x:c r="AA51" s="14" t="str"/>
      <x:c r="AB51" s="14" t="str">
        <x:v>2026-08-24</x:v>
      </x:c>
      <x:c r="AC51" s="14" t="str">
        <x:v>Олександр</x:v>
      </x:c>
      <x:c r="AD51" s="18" t="str"/>
      <x:c r="AE51" s="14" t="str"/>
    </x:row>
    <x:row r="52">
      <x:c r="A52" s="14" t="str">
        <x:v>AUG-035</x:v>
      </x:c>
      <x:c r="B52" s="14" t="str">
        <x:v>Перевірено 51 — 24.08</x:v>
      </x:c>
      <x:c r="C52" s="14" t="str">
        <x:v>Antifire</x:v>
      </x:c>
      <x:c r="D52" s="14" t="str">
        <x:v>Пожежні системи</x:v>
      </x:c>
      <x:c r="E52" s="14" t="str">
        <x:v>Expansion discovery</x:v>
      </x:c>
      <x:c r="F52" s="17" t="str">
        <x:f>IF(E52="Pilot now",IF(P52&gt;=84,"P1",IF(P52&gt;=72,"P2","P3")),IF(E52="Expansion discovery",IF(Q52&gt;=88,"D1",IF(Q52&gt;=78,"D2","D3")),IF(E52="Later / requirements","L","Legacy")))</x:f>
        <x:v>D1</x:v>
      </x:c>
      <x:c r="G52" s="14" t="str">
        <x:v>antifire.ua</x:v>
      </x:c>
      <x:c r="H52" s="14" t="str">
        <x:v>Discovery — частково Н.15 + вимоги проєкту</x:v>
      </x:c>
      <x:c r="I52" s="16" t="n">
        <x:v>4</x:v>
      </x:c>
      <x:c r="J52" s="16" t="n">
        <x:v>5</x:v>
      </x:c>
      <x:c r="K52" s="16" t="n">
        <x:v>4</x:v>
      </x:c>
      <x:c r="L52" s="16" t="n">
        <x:v>5</x:v>
      </x:c>
      <x:c r="M52" s="16" t="n">
        <x:v>5</x:v>
      </x:c>
      <x:c r="N52" s="16" t="n">
        <x:v>5</x:v>
      </x:c>
      <x:c r="O52" s="16" t="n">
        <x:v>5</x:v>
      </x:c>
      <x:c r="P52" s="16" t="n">
        <x:f>IF(COUNT(I52:O52)&lt;7,"",I52*8+J52*3+K52*2+L52*2+M52*2+N52*2+O52)</x:f>
        <x:v>90</x:v>
      </x:c>
      <x:c r="Q52" s="16" t="n">
        <x:f>IF(COUNT(J52:O52)&lt;6,"",J52*5+K52*4+M52*4+L52*3+N52*2+O52*2)</x:f>
        <x:v>96</x:v>
      </x:c>
      <x:c r="R52" s="14" t="str">
        <x:v>high</x:v>
      </x:c>
      <x:c r="S52" s="14" t="str">
        <x:v>official_source_reverified</x:v>
      </x:c>
      <x:c r="T52" s="14" t="str">
        <x:v>official_source_reachable</x:v>
      </x:c>
      <x:c r="U52" s="14" t="str">
        <x:v>Новий — не контактували</x:v>
      </x:c>
      <x:c r="V52" s="15" t="str">
        <x:v>Discovery-call: перевірити процес і отримати вимоги конкретного проєкту</x:v>
      </x:c>
      <x:c r="W52" s="15" t="str">
        <x:v>Директор; руководитель ПТО / монтажных работ</x:v>
      </x:c>
      <x:c r="X52" s="15" t="str">
        <x:v>15 лет, 520+ проектов, приёмочные испытания с заказчиком/ДСНС и документальное оформление работ.</x:v>
      </x:c>
      <x:c r="Y52" s="15" t="str">
        <x:v>Сильная дисциплина приёмки; пилот нужно ограничить трубопроводами/арматурой/автоматикой и кабельными участками.</x:v>
      </x:c>
      <x:c r="Z52" s="15" t="str">
        <x:v>https://antifire.ua/montazh-avtomatychnykh-system-pozhezhohasinnya</x:v>
      </x:c>
      <x:c r="AA52" s="14" t="str"/>
      <x:c r="AB52" s="14" t="str">
        <x:v>2026-08-24</x:v>
      </x:c>
      <x:c r="AC52" s="14" t="str">
        <x:v>Олександр</x:v>
      </x:c>
      <x:c r="AD52" s="18" t="str"/>
      <x:c r="AE52" s="14" t="str"/>
    </x:row>
    <x:row r="53">
      <x:c r="A53" s="14" t="str">
        <x:v>AUG-014</x:v>
      </x:c>
      <x:c r="B53" s="14" t="str">
        <x:v>Перевірено 51 — 24.08</x:v>
      </x:c>
      <x:c r="C53" s="14" t="str">
        <x:v>Premier Ltd</x:v>
      </x:c>
      <x:c r="D53" s="14" t="str">
        <x:v>Слаботочні системи</x:v>
      </x:c>
      <x:c r="E53" s="14" t="str">
        <x:v>Expansion discovery</x:v>
      </x:c>
      <x:c r="F53" s="17" t="str">
        <x:f>IF(E53="Pilot now",IF(P53&gt;=84,"P1",IF(P53&gt;=72,"P2","P3")),IF(E53="Expansion discovery",IF(Q53&gt;=88,"D1",IF(Q53&gt;=78,"D2","D3")),IF(E53="Later / requirements","L","Legacy")))</x:f>
        <x:v>D1</x:v>
      </x:c>
      <x:c r="G53" s="14" t="str">
        <x:v>premier-ltd.com.ua</x:v>
      </x:c>
      <x:c r="H53" s="14" t="str">
        <x:v>Discovery — частково Н.15 + вимоги проєкту</x:v>
      </x:c>
      <x:c r="I53" s="16" t="n">
        <x:v>4</x:v>
      </x:c>
      <x:c r="J53" s="16" t="n">
        <x:v>5</x:v>
      </x:c>
      <x:c r="K53" s="16" t="n">
        <x:v>4</x:v>
      </x:c>
      <x:c r="L53" s="16" t="n">
        <x:v>5</x:v>
      </x:c>
      <x:c r="M53" s="16" t="n">
        <x:v>5</x:v>
      </x:c>
      <x:c r="N53" s="16" t="n">
        <x:v>5</x:v>
      </x:c>
      <x:c r="O53" s="16" t="n">
        <x:v>5</x:v>
      </x:c>
      <x:c r="P53" s="16" t="n">
        <x:f>IF(COUNT(I53:O53)&lt;7,"",I53*8+J53*3+K53*2+L53*2+M53*2+N53*2+O53)</x:f>
        <x:v>90</x:v>
      </x:c>
      <x:c r="Q53" s="16" t="n">
        <x:f>IF(COUNT(J53:O53)&lt;6,"",J53*5+K53*4+M53*4+L53*3+N53*2+O53*2)</x:f>
        <x:v>96</x:v>
      </x:c>
      <x:c r="R53" s="14" t="str">
        <x:v>high</x:v>
      </x:c>
      <x:c r="S53" s="14" t="str">
        <x:v>official_source_reverified</x:v>
      </x:c>
      <x:c r="T53" s="14" t="str">
        <x:v>official_source_reachable</x:v>
      </x:c>
      <x:c r="U53" s="14" t="str">
        <x:v>Новий — не контактували</x:v>
      </x:c>
      <x:c r="V53" s="15" t="str">
        <x:v>Discovery-call: перевірити процес і отримати вимоги конкретного проєкту</x:v>
      </x:c>
      <x:c r="W53" s="15" t="str">
        <x:v>Директор; руководитель монтажно-наладочных работ</x:v>
      </x:c>
      <x:c r="X53" s="15" t="str">
        <x:v>Около тысячи развёрнутых слабострумных систем на сотнях объектов, проектирование, монтаж, наладка и сертификация.</x:v>
      </x:c>
      <x:c r="Y53" s="15" t="str">
        <x:v>Кабельные коммуникации скрываются на этапе строительства; нужно проверить, достаточно ли Н.15 для их реального процесса.</x:v>
      </x:c>
      <x:c r="Z53" s="15" t="str">
        <x:v>https://premier-ltd.com.ua/ua/montazhno-naladochnye-raboty/</x:v>
      </x:c>
      <x:c r="AA53" s="14" t="str"/>
      <x:c r="AB53" s="14" t="str">
        <x:v>2026-08-24</x:v>
      </x:c>
      <x:c r="AC53" s="14" t="str">
        <x:v>Олександр</x:v>
      </x:c>
      <x:c r="AD53" s="18" t="str"/>
      <x:c r="AE53" s="14" t="str"/>
    </x:row>
    <x:row r="54">
      <x:c r="A54" s="14" t="str">
        <x:v>AUG-032</x:v>
      </x:c>
      <x:c r="B54" s="14" t="str">
        <x:v>Перевірено 51 — 24.08</x:v>
      </x:c>
      <x:c r="C54" s="14" t="str">
        <x:v>БІЛДІНГ ІНЖИНІРИНГ ТІМ</x:v>
      </x:c>
      <x:c r="D54" s="14" t="str">
        <x:v>Пожежні системи</x:v>
      </x:c>
      <x:c r="E54" s="14" t="str">
        <x:v>Expansion discovery</x:v>
      </x:c>
      <x:c r="F54" s="17" t="str">
        <x:f>IF(E54="Pilot now",IF(P54&gt;=84,"P1",IF(P54&gt;=72,"P2","P3")),IF(E54="Expansion discovery",IF(Q54&gt;=88,"D1",IF(Q54&gt;=78,"D2","D3")),IF(E54="Later / requirements","L","Legacy")))</x:f>
        <x:v>D1</x:v>
      </x:c>
      <x:c r="G54" s="14" t="str">
        <x:v>baetbuilding.com.ua</x:v>
      </x:c>
      <x:c r="H54" s="14" t="str">
        <x:v>Discovery — частково Н.15 + вимоги проєкту</x:v>
      </x:c>
      <x:c r="I54" s="16" t="n">
        <x:v>4</x:v>
      </x:c>
      <x:c r="J54" s="16" t="n">
        <x:v>5</x:v>
      </x:c>
      <x:c r="K54" s="16" t="n">
        <x:v>4</x:v>
      </x:c>
      <x:c r="L54" s="16" t="n">
        <x:v>4</x:v>
      </x:c>
      <x:c r="M54" s="16" t="n">
        <x:v>5</x:v>
      </x:c>
      <x:c r="N54" s="16" t="n">
        <x:v>5</x:v>
      </x:c>
      <x:c r="O54" s="16" t="n">
        <x:v>5</x:v>
      </x:c>
      <x:c r="P54" s="16" t="n">
        <x:f>IF(COUNT(I54:O54)&lt;7,"",I54*8+J54*3+K54*2+L54*2+M54*2+N54*2+O54)</x:f>
        <x:v>88</x:v>
      </x:c>
      <x:c r="Q54" s="16" t="n">
        <x:f>IF(COUNT(J54:O54)&lt;6,"",J54*5+K54*4+M54*4+L54*3+N54*2+O54*2)</x:f>
        <x:v>93</x:v>
      </x:c>
      <x:c r="R54" s="14" t="str">
        <x:v>high</x:v>
      </x:c>
      <x:c r="S54" s="14" t="str">
        <x:v>official_source_reverified</x:v>
      </x:c>
      <x:c r="T54" s="14" t="str">
        <x:v>official_source_reachable</x:v>
      </x:c>
      <x:c r="U54" s="14" t="str">
        <x:v>Новий — не контактували</x:v>
      </x:c>
      <x:c r="V54" s="15" t="str">
        <x:v>Discovery-call: перевірити процес і отримати вимоги конкретного проєкту</x:v>
      </x:c>
      <x:c r="W54" s="15" t="str">
        <x:v>Директор; главный инженер / ПТО</x:v>
      </x:c>
      <x:c r="X54" s="15" t="str">
        <x:v>Десятки противопожарных объектов: водяное/газовое пожаротушение, сигнализация, дымоудаление, автоматика и молниезащита.</x:v>
      </x:c>
      <x:c r="Y54" s="15" t="str">
        <x:v>Можно начать с труб, арматуры, автоматики и кабелей, не обещая полную пожарную нормативную библиотеку.</x:v>
      </x:c>
      <x:c r="Z54" s="15" t="str">
        <x:v>https://baetbuilding.com.ua/</x:v>
      </x:c>
      <x:c r="AA54" s="14" t="str"/>
      <x:c r="AB54" s="14" t="str">
        <x:v>2026-08-24</x:v>
      </x:c>
      <x:c r="AC54" s="14" t="str">
        <x:v>Олександр</x:v>
      </x:c>
      <x:c r="AD54" s="18" t="str"/>
      <x:c r="AE54" s="14" t="str"/>
    </x:row>
    <x:row r="55">
      <x:c r="A55" s="14" t="str">
        <x:v>AUG-040</x:v>
      </x:c>
      <x:c r="B55" s="14" t="str">
        <x:v>Перевірено 51 — 24.08</x:v>
      </x:c>
      <x:c r="C55" s="14" t="str">
        <x:v>СПС-А</x:v>
      </x:c>
      <x:c r="D55" s="14" t="str">
        <x:v>Пожежна безпека + охорона</x:v>
      </x:c>
      <x:c r="E55" s="14" t="str">
        <x:v>Expansion discovery</x:v>
      </x:c>
      <x:c r="F55" s="17" t="str">
        <x:f>IF(E55="Pilot now",IF(P55&gt;=84,"P1",IF(P55&gt;=72,"P2","P3")),IF(E55="Expansion discovery",IF(Q55&gt;=88,"D1",IF(Q55&gt;=78,"D2","D3")),IF(E55="Later / requirements","L","Legacy")))</x:f>
        <x:v>D1</x:v>
      </x:c>
      <x:c r="G55" s="14" t="str">
        <x:v>sps-a.com.ua</x:v>
      </x:c>
      <x:c r="H55" s="14" t="str">
        <x:v>Discovery — частково Н.15 + вимоги проєкту</x:v>
      </x:c>
      <x:c r="I55" s="16" t="n">
        <x:v>4</x:v>
      </x:c>
      <x:c r="J55" s="16" t="n">
        <x:v>5</x:v>
      </x:c>
      <x:c r="K55" s="16" t="n">
        <x:v>4</x:v>
      </x:c>
      <x:c r="L55" s="16" t="n">
        <x:v>4</x:v>
      </x:c>
      <x:c r="M55" s="16" t="n">
        <x:v>5</x:v>
      </x:c>
      <x:c r="N55" s="16" t="n">
        <x:v>5</x:v>
      </x:c>
      <x:c r="O55" s="16" t="n">
        <x:v>5</x:v>
      </x:c>
      <x:c r="P55" s="16" t="n">
        <x:f>IF(COUNT(I55:O55)&lt;7,"",I55*8+J55*3+K55*2+L55*2+M55*2+N55*2+O55)</x:f>
        <x:v>88</x:v>
      </x:c>
      <x:c r="Q55" s="16" t="n">
        <x:f>IF(COUNT(J55:O55)&lt;6,"",J55*5+K55*4+M55*4+L55*3+N55*2+O55*2)</x:f>
        <x:v>93</x:v>
      </x:c>
      <x:c r="R55" s="14" t="str">
        <x:v>high</x:v>
      </x:c>
      <x:c r="S55" s="14" t="str">
        <x:v>official_source_reverified</x:v>
      </x:c>
      <x:c r="T55" s="14" t="str">
        <x:v>official_source_reachable</x:v>
      </x:c>
      <x:c r="U55" s="14" t="str">
        <x:v>Новий — не контактували</x:v>
      </x:c>
      <x:c r="V55" s="15" t="str">
        <x:v>Discovery-call: перевірити процес і отримати вимоги конкретного проєкту</x:v>
      </x:c>
      <x:c r="W55" s="15" t="str">
        <x:v>Директор; руководитель проектов</x:v>
      </x:c>
      <x:c r="X55" s="15" t="str">
        <x:v>Сертифицированная команда, коммерческие и промышленные объекты, полный цикл до ввода в эксплуатацию.</x:v>
      </x:c>
      <x:c r="Y55" s="15" t="str">
        <x:v>Кабельные шлейфы и автоматика подходят для пилота; пожаротушение потребует проектных требований.</x:v>
      </x:c>
      <x:c r="Z55" s="15" t="str">
        <x:v>https://www.sps-a.com.ua/</x:v>
      </x:c>
      <x:c r="AA55" s="14" t="str"/>
      <x:c r="AB55" s="14" t="str">
        <x:v>2026-08-24</x:v>
      </x:c>
      <x:c r="AC55" s="14" t="str">
        <x:v>Олександр</x:v>
      </x:c>
      <x:c r="AD55" s="18" t="str"/>
      <x:c r="AE55" s="14" t="str"/>
    </x:row>
    <x:row r="56">
      <x:c r="A56" s="14" t="str">
        <x:v>AUG-020</x:v>
      </x:c>
      <x:c r="B56" s="14" t="str">
        <x:v>Перевірено 51 — 24.08</x:v>
      </x:c>
      <x:c r="C56" s="14" t="str">
        <x:v>Сучасна Проектна Група</x:v>
      </x:c>
      <x:c r="D56" s="14" t="str">
        <x:v>Пожежні системи</x:v>
      </x:c>
      <x:c r="E56" s="14" t="str">
        <x:v>Expansion discovery</x:v>
      </x:c>
      <x:c r="F56" s="17" t="str">
        <x:f>IF(E56="Pilot now",IF(P56&gt;=84,"P1",IF(P56&gt;=72,"P2","P3")),IF(E56="Expansion discovery",IF(Q56&gt;=88,"D1",IF(Q56&gt;=78,"D2","D3")),IF(E56="Later / requirements","L","Legacy")))</x:f>
        <x:v>D1</x:v>
      </x:c>
      <x:c r="G56" s="14" t="str">
        <x:v>s-p-g.com.ua</x:v>
      </x:c>
      <x:c r="H56" s="14" t="str">
        <x:v>Discovery — частково Н.15 + вимоги проєкту</x:v>
      </x:c>
      <x:c r="I56" s="16" t="n">
        <x:v>4</x:v>
      </x:c>
      <x:c r="J56" s="16" t="n">
        <x:v>5</x:v>
      </x:c>
      <x:c r="K56" s="16" t="n">
        <x:v>4</x:v>
      </x:c>
      <x:c r="L56" s="16" t="n">
        <x:v>4</x:v>
      </x:c>
      <x:c r="M56" s="16" t="n">
        <x:v>5</x:v>
      </x:c>
      <x:c r="N56" s="16" t="n">
        <x:v>5</x:v>
      </x:c>
      <x:c r="O56" s="16" t="n">
        <x:v>5</x:v>
      </x:c>
      <x:c r="P56" s="16" t="n">
        <x:f>IF(COUNT(I56:O56)&lt;7,"",I56*8+J56*3+K56*2+L56*2+M56*2+N56*2+O56)</x:f>
        <x:v>88</x:v>
      </x:c>
      <x:c r="Q56" s="16" t="n">
        <x:f>IF(COUNT(J56:O56)&lt;6,"",J56*5+K56*4+M56*4+L56*3+N56*2+O56*2)</x:f>
        <x:v>93</x:v>
      </x:c>
      <x:c r="R56" s="14" t="str">
        <x:v>high</x:v>
      </x:c>
      <x:c r="S56" s="14" t="str">
        <x:v>official_source_reverified</x:v>
      </x:c>
      <x:c r="T56" s="14" t="str">
        <x:v>official_source_reachable</x:v>
      </x:c>
      <x:c r="U56" s="14" t="str">
        <x:v>Новий — не контактували</x:v>
      </x:c>
      <x:c r="V56" s="15" t="str">
        <x:v>Discovery-call: перевірити процес і отримати вимоги конкретного проєкту</x:v>
      </x:c>
      <x:c r="W56" s="15" t="str">
        <x:v>Директор; руководитель проектного отдела</x:v>
      </x:c>
      <x:c r="X56" s="15" t="str">
        <x:v>Десятки противопожарных проектов по Украине, комплексное проектирование, реконструкция и внедрение.</x:v>
      </x:c>
      <x:c r="Y56" s="15" t="str">
        <x:v>Проектная дисциплина и инспекционные требования делают полноту доказательств важной, но потребуется их рабочая документация.</x:v>
      </x:c>
      <x:c r="Z56" s="15" t="str">
        <x:v>https://s-p-g.com.ua/projects</x:v>
      </x:c>
      <x:c r="AA56" s="14" t="str"/>
      <x:c r="AB56" s="14" t="str">
        <x:v>2026-08-24</x:v>
      </x:c>
      <x:c r="AC56" s="14" t="str">
        <x:v>Олександр</x:v>
      </x:c>
      <x:c r="AD56" s="18" t="str"/>
      <x:c r="AE56" s="14" t="str"/>
    </x:row>
    <x:row r="57">
      <x:c r="A57" s="14" t="str">
        <x:v>AUG-036</x:v>
      </x:c>
      <x:c r="B57" s="14" t="str">
        <x:v>Перевірено 51 — 24.08</x:v>
      </x:c>
      <x:c r="C57" s="14" t="str">
        <x:v>Терра Фірма Плюс</x:v>
      </x:c>
      <x:c r="D57" s="14" t="str">
        <x:v>Пожежні системи + HVAC + електрика</x:v>
      </x:c>
      <x:c r="E57" s="14" t="str">
        <x:v>Expansion discovery</x:v>
      </x:c>
      <x:c r="F57" s="17" t="str">
        <x:f>IF(E57="Pilot now",IF(P57&gt;=84,"P1",IF(P57&gt;=72,"P2","P3")),IF(E57="Expansion discovery",IF(Q57&gt;=88,"D1",IF(Q57&gt;=78,"D2","D3")),IF(E57="Later / requirements","L","Legacy")))</x:f>
        <x:v>D1</x:v>
      </x:c>
      <x:c r="G57" s="14" t="str">
        <x:v>terra-plus.com.ua</x:v>
      </x:c>
      <x:c r="H57" s="14" t="str">
        <x:v>Discovery — частково Н.15 + вимоги проєкту</x:v>
      </x:c>
      <x:c r="I57" s="16" t="n">
        <x:v>4</x:v>
      </x:c>
      <x:c r="J57" s="16" t="n">
        <x:v>5</x:v>
      </x:c>
      <x:c r="K57" s="16" t="n">
        <x:v>4</x:v>
      </x:c>
      <x:c r="L57" s="16" t="n">
        <x:v>5</x:v>
      </x:c>
      <x:c r="M57" s="16" t="n">
        <x:v>5</x:v>
      </x:c>
      <x:c r="N57" s="16" t="n">
        <x:v>5</x:v>
      </x:c>
      <x:c r="O57" s="16" t="n">
        <x:v>2</x:v>
      </x:c>
      <x:c r="P57" s="16" t="n">
        <x:f>IF(COUNT(I57:O57)&lt;7,"",I57*8+J57*3+K57*2+L57*2+M57*2+N57*2+O57)</x:f>
        <x:v>87</x:v>
      </x:c>
      <x:c r="Q57" s="16" t="n">
        <x:f>IF(COUNT(J57:O57)&lt;6,"",J57*5+K57*4+M57*4+L57*3+N57*2+O57*2)</x:f>
        <x:v>90</x:v>
      </x:c>
      <x:c r="R57" s="14" t="str">
        <x:v>high</x:v>
      </x:c>
      <x:c r="S57" s="14" t="str">
        <x:v>official_content_reverified_via_search_index</x:v>
      </x:c>
      <x:c r="T57" s="14" t="str">
        <x:v>live_site_redirects_to_hosting_panel</x:v>
      </x:c>
      <x:c r="U57" s="14" t="str">
        <x:v>Новий — не контактували</x:v>
      </x:c>
      <x:c r="V57" s="15" t="str">
        <x:v>Discovery-call: перевірити процес і отримати вимоги конкретного проєкту</x:v>
      </x:c>
      <x:c r="W57" s="15" t="str">
        <x:v>Директор; главный инженер / ПТО</x:v>
      </x:c>
      <x:c r="X57" s="15" t="str">
        <x:v>Портфолио крупных объектов: пожаротушение, дымоудаление, вентиляция, заземление и пожарная сигнализация.</x:v>
      </x:c>
      <x:c r="Y57" s="15" t="str">
        <x:v>Большое число скрытых инженерных контуров; начинать с поддержанных Н.14/Н.15 работ.</x:v>
      </x:c>
      <x:c r="Z57" s="15" t="str">
        <x:v>https://terra-plus.com.ua/about</x:v>
      </x:c>
      <x:c r="AA57" s="14" t="str"/>
      <x:c r="AB57" s="14" t="str">
        <x:v>2026-08-24</x:v>
      </x:c>
      <x:c r="AC57" s="14" t="str">
        <x:v>Олександр</x:v>
      </x:c>
      <x:c r="AD57" s="18" t="str"/>
      <x:c r="AE57" s="14" t="str"/>
    </x:row>
    <x:row r="58">
      <x:c r="A58" s="14" t="str">
        <x:v>AUG-017</x:v>
      </x:c>
      <x:c r="B58" s="14" t="str">
        <x:v>Перевірено 51 — 24.08</x:v>
      </x:c>
      <x:c r="C58" s="14" t="str">
        <x:v>ПП ЛЄДА</x:v>
      </x:c>
      <x:c r="D58" s="14" t="str">
        <x:v>Пожежні системи + HVAC</x:v>
      </x:c>
      <x:c r="E58" s="14" t="str">
        <x:v>Expansion discovery</x:v>
      </x:c>
      <x:c r="F58" s="17" t="str">
        <x:f>IF(E58="Pilot now",IF(P58&gt;=84,"P1",IF(P58&gt;=72,"P2","P3")),IF(E58="Expansion discovery",IF(Q58&gt;=88,"D1",IF(Q58&gt;=78,"D2","D3")),IF(E58="Later / requirements","L","Legacy")))</x:f>
        <x:v>D1</x:v>
      </x:c>
      <x:c r="G58" s="14" t="str">
        <x:v>leda.in.ua</x:v>
      </x:c>
      <x:c r="H58" s="14" t="str">
        <x:v>Discovery — частково Н.15 + вимоги проєкту</x:v>
      </x:c>
      <x:c r="I58" s="16" t="n">
        <x:v>4</x:v>
      </x:c>
      <x:c r="J58" s="16" t="n">
        <x:v>5</x:v>
      </x:c>
      <x:c r="K58" s="16" t="n">
        <x:v>4</x:v>
      </x:c>
      <x:c r="L58" s="16" t="n">
        <x:v>3</x:v>
      </x:c>
      <x:c r="M58" s="16" t="n">
        <x:v>5</x:v>
      </x:c>
      <x:c r="N58" s="16" t="n">
        <x:v>5</x:v>
      </x:c>
      <x:c r="O58" s="16" t="n">
        <x:v>5</x:v>
      </x:c>
      <x:c r="P58" s="16" t="n">
        <x:f>IF(COUNT(I58:O58)&lt;7,"",I58*8+J58*3+K58*2+L58*2+M58*2+N58*2+O58)</x:f>
        <x:v>86</x:v>
      </x:c>
      <x:c r="Q58" s="16" t="n">
        <x:f>IF(COUNT(J58:O58)&lt;6,"",J58*5+K58*4+M58*4+L58*3+N58*2+O58*2)</x:f>
        <x:v>90</x:v>
      </x:c>
      <x:c r="R58" s="14" t="str">
        <x:v>high</x:v>
      </x:c>
      <x:c r="S58" s="14" t="str">
        <x:v>official_source_reverified</x:v>
      </x:c>
      <x:c r="T58" s="14" t="str">
        <x:v>official_source_reachable</x:v>
      </x:c>
      <x:c r="U58" s="14" t="str">
        <x:v>Новий — не контактували</x:v>
      </x:c>
      <x:c r="V58" s="15" t="str">
        <x:v>Discovery-call: перевірити процес і отримати вимоги конкретного проєкту</x:v>
      </x:c>
      <x:c r="W58" s="15" t="str">
        <x:v>Директор; главный инженер</x:v>
      </x:c>
      <x:c r="X58" s="15" t="str">
        <x:v>Сертифицированные инженеры и монтажники, полный цикл пожарных систем и вентиляции до ввода в эксплуатацию.</x:v>
      </x:c>
      <x:c r="Y58" s="15" t="str">
        <x:v>Связка вентиляции, автоматики и кабелей даёт несколько контрольных точек, но нужен пилотный subset.</x:v>
      </x:c>
      <x:c r="Z58" s="15" t="str">
        <x:v>https://leda.in.ua/</x:v>
      </x:c>
      <x:c r="AA58" s="14" t="str"/>
      <x:c r="AB58" s="14" t="str">
        <x:v>2026-08-24</x:v>
      </x:c>
      <x:c r="AC58" s="14" t="str">
        <x:v>Олександр</x:v>
      </x:c>
      <x:c r="AD58" s="18" t="str"/>
      <x:c r="AE58" s="14" t="str"/>
    </x:row>
    <x:row r="59">
      <x:c r="A59" s="14" t="str">
        <x:v>AUG-019</x:v>
      </x:c>
      <x:c r="B59" s="14" t="str">
        <x:v>Перевірено 51 — 24.08</x:v>
      </x:c>
      <x:c r="C59" s="14" t="str">
        <x:v>SM-STANDARD</x:v>
      </x:c>
      <x:c r="D59" s="14" t="str">
        <x:v>Безпека + пожежні + слаботочка</x:v>
      </x:c>
      <x:c r="E59" s="14" t="str">
        <x:v>Expansion discovery</x:v>
      </x:c>
      <x:c r="F59" s="17" t="str">
        <x:f>IF(E59="Pilot now",IF(P59&gt;=84,"P1",IF(P59&gt;=72,"P2","P3")),IF(E59="Expansion discovery",IF(Q59&gt;=88,"D1",IF(Q59&gt;=78,"D2","D3")),IF(E59="Later / requirements","L","Legacy")))</x:f>
        <x:v>D1</x:v>
      </x:c>
      <x:c r="G59" s="14" t="str">
        <x:v>smstandard.com.ua</x:v>
      </x:c>
      <x:c r="H59" s="14" t="str">
        <x:v>Discovery — частково Н.15 + вимоги проєкту</x:v>
      </x:c>
      <x:c r="I59" s="16" t="n">
        <x:v>4</x:v>
      </x:c>
      <x:c r="J59" s="16" t="n">
        <x:v>5</x:v>
      </x:c>
      <x:c r="K59" s="16" t="n">
        <x:v>4</x:v>
      </x:c>
      <x:c r="L59" s="16" t="n">
        <x:v>4</x:v>
      </x:c>
      <x:c r="M59" s="16" t="n">
        <x:v>4</x:v>
      </x:c>
      <x:c r="N59" s="16" t="n">
        <x:v>5</x:v>
      </x:c>
      <x:c r="O59" s="16" t="n">
        <x:v>5</x:v>
      </x:c>
      <x:c r="P59" s="16" t="n">
        <x:f>IF(COUNT(I59:O59)&lt;7,"",I59*8+J59*3+K59*2+L59*2+M59*2+N59*2+O59)</x:f>
        <x:v>86</x:v>
      </x:c>
      <x:c r="Q59" s="16" t="n">
        <x:f>IF(COUNT(J59:O59)&lt;6,"",J59*5+K59*4+M59*4+L59*3+N59*2+O59*2)</x:f>
        <x:v>89</x:v>
      </x:c>
      <x:c r="R59" s="14" t="str">
        <x:v>high</x:v>
      </x:c>
      <x:c r="S59" s="14" t="str">
        <x:v>official_source_reverified</x:v>
      </x:c>
      <x:c r="T59" s="14" t="str">
        <x:v>official_source_reachable</x:v>
      </x:c>
      <x:c r="U59" s="14" t="str">
        <x:v>Новий — не контактували</x:v>
      </x:c>
      <x:c r="V59" s="15" t="str">
        <x:v>Discovery-call: перевірити процес і отримати вимоги конкретного проєкту</x:v>
      </x:c>
      <x:c r="W59" s="15" t="str">
        <x:v>Директор; руководитель проектов</x:v>
      </x:c>
      <x:c r="X59" s="15" t="str">
        <x:v>Комплексные системы безопасности и портфолио проектов для крупных государственных и коммерческих объектов.</x:v>
      </x:c>
      <x:c r="Y59" s="15" t="str">
        <x:v>Много кабельных линий и конечных точек создают риск неполной фиксации до отделки.</x:v>
      </x:c>
      <x:c r="Z59" s="15" t="str">
        <x:v>https://www.smstandard.com.ua/</x:v>
      </x:c>
      <x:c r="AA59" s="14" t="str"/>
      <x:c r="AB59" s="14" t="str">
        <x:v>2026-08-24</x:v>
      </x:c>
      <x:c r="AC59" s="14" t="str">
        <x:v>Олександр</x:v>
      </x:c>
      <x:c r="AD59" s="18" t="str"/>
      <x:c r="AE59" s="14" t="str"/>
    </x:row>
    <x:row r="60">
      <x:c r="A60" s="14" t="str">
        <x:v>EXP-062</x:v>
      </x:c>
      <x:c r="B60" s="14" t="str">
        <x:v>Розширення ніш — 24.08</x:v>
      </x:c>
      <x:c r="C60" s="14" t="str">
        <x:v>ATM Pool</x:v>
      </x:c>
      <x:c r="D60" s="14" t="str">
        <x:v>Басейни, водні комплекси та SPA</x:v>
      </x:c>
      <x:c r="E60" s="14" t="str">
        <x:v>Expansion discovery</x:v>
      </x:c>
      <x:c r="F60" s="17" t="str">
        <x:f>IF(E60="Pilot now",IF(P60&gt;=84,"P1",IF(P60&gt;=72,"P2","P3")),IF(E60="Expansion discovery",IF(Q60&gt;=88,"D1",IF(Q60&gt;=78,"D2","D3")),IF(E60="Later / requirements","L","Legacy")))</x:f>
        <x:v>D1</x:v>
      </x:c>
      <x:c r="G60" s="14" t="str">
        <x:v>atmpool.com</x:v>
      </x:c>
      <x:c r="H60" s="14" t="str">
        <x:v>Discovery — частково Н.14/Н.15 + вимоги проєкту</x:v>
      </x:c>
      <x:c r="I60" s="16" t="n">
        <x:v>3</x:v>
      </x:c>
      <x:c r="J60" s="16" t="n">
        <x:v>5</x:v>
      </x:c>
      <x:c r="K60" s="16" t="n">
        <x:v>5</x:v>
      </x:c>
      <x:c r="L60" s="16" t="n">
        <x:v>5</x:v>
      </x:c>
      <x:c r="M60" s="16" t="n">
        <x:v>5</x:v>
      </x:c>
      <x:c r="N60" s="16" t="n">
        <x:v>5</x:v>
      </x:c>
      <x:c r="O60" s="16" t="n">
        <x:v>5</x:v>
      </x:c>
      <x:c r="P60" s="16" t="n">
        <x:f>IF(COUNT(I60:O60)&lt;7,"",I60*8+J60*3+K60*2+L60*2+M60*2+N60*2+O60)</x:f>
        <x:v>84</x:v>
      </x:c>
      <x:c r="Q60" s="16" t="n">
        <x:f>IF(COUNT(J60:O60)&lt;6,"",J60*5+K60*4+M60*4+L60*3+N60*2+O60*2)</x:f>
        <x:v>100</x:v>
      </x:c>
      <x:c r="R60" s="14" t="str">
        <x:v>high</x:v>
      </x:c>
      <x:c r="S60" s="14" t="str">
        <x:v>official_source_reverified</x:v>
      </x:c>
      <x:c r="T60" s="14" t="str">
        <x:v>official_source_reachable</x:v>
      </x:c>
      <x:c r="U60" s="14" t="str">
        <x:v>Новий — не контактували</x:v>
      </x:c>
      <x:c r="V60" s="15" t="str">
        <x:v>Discovery-call: отримати 1 реальний артефакт і вимоги проєкту; не обіцяти готове покриття</x:v>
      </x:c>
      <x:c r="W60" s="15" t="str">
        <x:v>Власник / директор; керівник будівництва; головний інженер</x:v>
      </x:c>
      <x:c r="X60" s="15" t="str">
        <x:v>30+ років у громадських і спортивних басейнах; проєктування, монтаж, реконструкція й сервіс.</x:v>
      </x:c>
      <x:c r="Y60" s="15" t="str">
        <x:v>Закладні, трубопроводи, гідроізоляція, електрика й автоматика закриваються чашею та оздобленням.</x:v>
      </x:c>
      <x:c r="Z60" s="15" t="str">
        <x:v>https://atmpool.com/</x:v>
      </x:c>
      <x:c r="AA60" s="14" t="str"/>
      <x:c r="AB60" s="14" t="str">
        <x:v>2026-08-24</x:v>
      </x:c>
      <x:c r="AC60" s="14" t="str">
        <x:v>Олександр</x:v>
      </x:c>
      <x:c r="AD60" s="18" t="str"/>
      <x:c r="AE60" s="14" t="str"/>
    </x:row>
    <x:row r="61">
      <x:c r="A61" s="14" t="str">
        <x:v>EXP-045</x:v>
      </x:c>
      <x:c r="B61" s="14" t="str">
        <x:v>Розширення ніш — 24.08</x:v>
      </x:c>
      <x:c r="C61" s="14" t="str">
        <x:v>C&amp;S</x:v>
      </x:c>
      <x:c r="D61" s="14" t="str">
        <x:v>СКС, BMS та слаботочна інтеграція</x:v>
      </x:c>
      <x:c r="E61" s="14" t="str">
        <x:v>Expansion discovery</x:v>
      </x:c>
      <x:c r="F61" s="17" t="str">
        <x:f>IF(E61="Pilot now",IF(P61&gt;=84,"P1",IF(P61&gt;=72,"P2","P3")),IF(E61="Expansion discovery",IF(Q61&gt;=88,"D1",IF(Q61&gt;=78,"D2","D3")),IF(E61="Later / requirements","L","Legacy")))</x:f>
        <x:v>D1</x:v>
      </x:c>
      <x:c r="G61" s="14" t="str">
        <x:v>cs-ua.com</x:v>
      </x:c>
      <x:c r="H61" s="14" t="str">
        <x:v>Discovery — частково Н.15 + вимоги проєкту</x:v>
      </x:c>
      <x:c r="I61" s="16" t="n">
        <x:v>3</x:v>
      </x:c>
      <x:c r="J61" s="16" t="n">
        <x:v>5</x:v>
      </x:c>
      <x:c r="K61" s="16" t="n">
        <x:v>5</x:v>
      </x:c>
      <x:c r="L61" s="16" t="n">
        <x:v>5</x:v>
      </x:c>
      <x:c r="M61" s="16" t="n">
        <x:v>5</x:v>
      </x:c>
      <x:c r="N61" s="16" t="n">
        <x:v>5</x:v>
      </x:c>
      <x:c r="O61" s="16" t="n">
        <x:v>5</x:v>
      </x:c>
      <x:c r="P61" s="16" t="n">
        <x:f>IF(COUNT(I61:O61)&lt;7,"",I61*8+J61*3+K61*2+L61*2+M61*2+N61*2+O61)</x:f>
        <x:v>84</x:v>
      </x:c>
      <x:c r="Q61" s="16" t="n">
        <x:f>IF(COUNT(J61:O61)&lt;6,"",J61*5+K61*4+M61*4+L61*3+N61*2+O61*2)</x:f>
        <x:v>100</x:v>
      </x:c>
      <x:c r="R61" s="14" t="str">
        <x:v>medium</x:v>
      </x:c>
      <x:c r="S61" s="14" t="str">
        <x:v>reachable_relevant_recheck</x:v>
      </x:c>
      <x:c r="T61" s="14" t="str">
        <x:v>official_source_reachable</x:v>
      </x:c>
      <x:c r="U61" s="14" t="str">
        <x:v>Новий — не контактували</x:v>
      </x:c>
      <x:c r="V61" s="15" t="str">
        <x:v>Discovery-call: отримати 1 реальний артефакт і вимоги проєкту; не обіцяти готове покриття</x:v>
      </x:c>
      <x:c r="W61" s="15" t="str">
        <x:v>Власник / комерційний директор; керівник проєктів; ПТО</x:v>
      </x:c>
      <x:c r="X61" s="15" t="str">
        <x:v>220+ проєктів СКС для промислової, комерційної та житлової нерухомості.</x:v>
      </x:c>
      <x:c r="Y61" s="15" t="str">
        <x:v>Кабельні траси над стелями, маркування, тестування портів і пусконалагодження мають бути доведені до закриття та здачі системи.</x:v>
      </x:c>
      <x:c r="Z61" s="15" t="str">
        <x:v>https://cs-ua.com/</x:v>
      </x:c>
      <x:c r="AA61" s="14" t="str"/>
      <x:c r="AB61" s="14" t="str">
        <x:v>2026-08-24</x:v>
      </x:c>
      <x:c r="AC61" s="14" t="str">
        <x:v>Олександр</x:v>
      </x:c>
      <x:c r="AD61" s="18" t="str"/>
      <x:c r="AE61" s="14" t="str"/>
    </x:row>
    <x:row r="62">
      <x:c r="A62" s="14" t="str">
        <x:v>EXP-049</x:v>
      </x:c>
      <x:c r="B62" s="14" t="str">
        <x:v>Розширення ніш — 24.08</x:v>
      </x:c>
      <x:c r="C62" s="14" t="str">
        <x:v>EA Solutions</x:v>
      </x:c>
      <x:c r="D62" s="14" t="str">
        <x:v>СКС, BMS та слаботочна інтеграція</x:v>
      </x:c>
      <x:c r="E62" s="14" t="str">
        <x:v>Expansion discovery</x:v>
      </x:c>
      <x:c r="F62" s="17" t="str">
        <x:f>IF(E62="Pilot now",IF(P62&gt;=84,"P1",IF(P62&gt;=72,"P2","P3")),IF(E62="Expansion discovery",IF(Q62&gt;=88,"D1",IF(Q62&gt;=78,"D2","D3")),IF(E62="Later / requirements","L","Legacy")))</x:f>
        <x:v>D1</x:v>
      </x:c>
      <x:c r="G62" s="14" t="str">
        <x:v>easolutions.com.ua</x:v>
      </x:c>
      <x:c r="H62" s="14" t="str">
        <x:v>Discovery — частково Н.15 + вимоги проєкту</x:v>
      </x:c>
      <x:c r="I62" s="16" t="n">
        <x:v>3</x:v>
      </x:c>
      <x:c r="J62" s="16" t="n">
        <x:v>5</x:v>
      </x:c>
      <x:c r="K62" s="16" t="n">
        <x:v>5</x:v>
      </x:c>
      <x:c r="L62" s="16" t="n">
        <x:v>5</x:v>
      </x:c>
      <x:c r="M62" s="16" t="n">
        <x:v>5</x:v>
      </x:c>
      <x:c r="N62" s="16" t="n">
        <x:v>5</x:v>
      </x:c>
      <x:c r="O62" s="16" t="n">
        <x:v>5</x:v>
      </x:c>
      <x:c r="P62" s="16" t="n">
        <x:f>IF(COUNT(I62:O62)&lt;7,"",I62*8+J62*3+K62*2+L62*2+M62*2+N62*2+O62)</x:f>
        <x:v>84</x:v>
      </x:c>
      <x:c r="Q62" s="16" t="n">
        <x:f>IF(COUNT(J62:O62)&lt;6,"",J62*5+K62*4+M62*4+L62*3+N62*2+O62*2)</x:f>
        <x:v>100</x:v>
      </x:c>
      <x:c r="R62" s="14" t="str">
        <x:v>high</x:v>
      </x:c>
      <x:c r="S62" s="14" t="str">
        <x:v>official_source_reverified</x:v>
      </x:c>
      <x:c r="T62" s="14" t="str">
        <x:v>official_source_reachable</x:v>
      </x:c>
      <x:c r="U62" s="14" t="str">
        <x:v>Новий — не контактували</x:v>
      </x:c>
      <x:c r="V62" s="15" t="str">
        <x:v>Discovery-call: отримати 1 реальний артефакт і вимоги проєкту; не обіцяти готове покриття</x:v>
      </x:c>
      <x:c r="W62" s="15" t="str">
        <x:v>Власник / комерційний директор; керівник проєктів; ПТО</x:v>
      </x:c>
      <x:c r="X62" s="15" t="str">
        <x:v>Промислова автоматизація, електрозабезпечення, HVAC, телемеханіка й СКС у багатьох галузях.</x:v>
      </x:c>
      <x:c r="Y62" s="15" t="str">
        <x:v>Кабельні траси над стелями, маркування, тестування портів і пусконалагодження мають бути доведені до закриття та здачі системи.</x:v>
      </x:c>
      <x:c r="Z62" s="15" t="str">
        <x:v>https://easolutions.com.ua/projects/</x:v>
      </x:c>
      <x:c r="AA62" s="14" t="str"/>
      <x:c r="AB62" s="14" t="str">
        <x:v>2026-08-24</x:v>
      </x:c>
      <x:c r="AC62" s="14" t="str">
        <x:v>Олександр</x:v>
      </x:c>
      <x:c r="AD62" s="18" t="str"/>
      <x:c r="AE62" s="14" t="str"/>
    </x:row>
    <x:row r="63">
      <x:c r="A63" s="14" t="str">
        <x:v>EXP-047</x:v>
      </x:c>
      <x:c r="B63" s="14" t="str">
        <x:v>Розширення ніш — 24.08</x:v>
      </x:c>
      <x:c r="C63" s="14" t="str">
        <x:v>MatiasBud</x:v>
      </x:c>
      <x:c r="D63" s="14" t="str">
        <x:v>СКС, BMS та слаботочна інтеграція</x:v>
      </x:c>
      <x:c r="E63" s="14" t="str">
        <x:v>Expansion discovery</x:v>
      </x:c>
      <x:c r="F63" s="17" t="str">
        <x:f>IF(E63="Pilot now",IF(P63&gt;=84,"P1",IF(P63&gt;=72,"P2","P3")),IF(E63="Expansion discovery",IF(Q63&gt;=88,"D1",IF(Q63&gt;=78,"D2","D3")),IF(E63="Later / requirements","L","Legacy")))</x:f>
        <x:v>D1</x:v>
      </x:c>
      <x:c r="G63" s="14" t="str">
        <x:v>matiasbud.com.ua</x:v>
      </x:c>
      <x:c r="H63" s="14" t="str">
        <x:v>Discovery — частково Н.15 + вимоги проєкту</x:v>
      </x:c>
      <x:c r="I63" s="16" t="n">
        <x:v>3</x:v>
      </x:c>
      <x:c r="J63" s="16" t="n">
        <x:v>5</x:v>
      </x:c>
      <x:c r="K63" s="16" t="n">
        <x:v>5</x:v>
      </x:c>
      <x:c r="L63" s="16" t="n">
        <x:v>5</x:v>
      </x:c>
      <x:c r="M63" s="16" t="n">
        <x:v>5</x:v>
      </x:c>
      <x:c r="N63" s="16" t="n">
        <x:v>5</x:v>
      </x:c>
      <x:c r="O63" s="16" t="n">
        <x:v>5</x:v>
      </x:c>
      <x:c r="P63" s="16" t="n">
        <x:f>IF(COUNT(I63:O63)&lt;7,"",I63*8+J63*3+K63*2+L63*2+M63*2+N63*2+O63)</x:f>
        <x:v>84</x:v>
      </x:c>
      <x:c r="Q63" s="16" t="n">
        <x:f>IF(COUNT(J63:O63)&lt;6,"",J63*5+K63*4+M63*4+L63*3+N63*2+O63*2)</x:f>
        <x:v>100</x:v>
      </x:c>
      <x:c r="R63" s="14" t="str">
        <x:v>high</x:v>
      </x:c>
      <x:c r="S63" s="14" t="str">
        <x:v>official_source_reverified</x:v>
      </x:c>
      <x:c r="T63" s="14" t="str">
        <x:v>official_source_reachable</x:v>
      </x:c>
      <x:c r="U63" s="14" t="str">
        <x:v>Новий — не контактували</x:v>
      </x:c>
      <x:c r="V63" s="15" t="str">
        <x:v>Discovery-call: отримати 1 реальний артефакт і вимоги проєкту; не обіцяти готове покриття</x:v>
      </x:c>
      <x:c r="W63" s="15" t="str">
        <x:v>Власник / комерційний директор; керівник проєктів; ПТО</x:v>
      </x:c>
      <x:c r="X63" s="15" t="str">
        <x:v>Велике портфоліо СКС, відеонагляду й доступу для ЖК, ТРЦ, шкіл і бізнес-центрів.</x:v>
      </x:c>
      <x:c r="Y63" s="15" t="str">
        <x:v>Кабельні траси над стелями, маркування, тестування портів і пусконалагодження мають бути доведені до закриття та здачі системи.</x:v>
      </x:c>
      <x:c r="Z63" s="15" t="str">
        <x:v>https://matiasbud.com.ua/portfolio</x:v>
      </x:c>
      <x:c r="AA63" s="14" t="str"/>
      <x:c r="AB63" s="14" t="str">
        <x:v>2026-08-24</x:v>
      </x:c>
      <x:c r="AC63" s="14" t="str">
        <x:v>Олександр</x:v>
      </x:c>
      <x:c r="AD63" s="18" t="str"/>
      <x:c r="AE63" s="14" t="str"/>
    </x:row>
    <x:row r="64">
      <x:c r="A64" s="14" t="str">
        <x:v>EXP-053</x:v>
      </x:c>
      <x:c r="B64" s="14" t="str">
        <x:v>Розширення ніш — 24.08</x:v>
      </x:c>
      <x:c r="C64" s="14" t="str">
        <x:v>POLIKOR</x:v>
      </x:c>
      <x:c r="D64" s="14" t="str">
        <x:v>Чисті приміщення та стерильні зони</x:v>
      </x:c>
      <x:c r="E64" s="14" t="str">
        <x:v>Expansion discovery</x:v>
      </x:c>
      <x:c r="F64" s="17" t="str">
        <x:f>IF(E64="Pilot now",IF(P64&gt;=84,"P1",IF(P64&gt;=72,"P2","P3")),IF(E64="Expansion discovery",IF(Q64&gt;=88,"D1",IF(Q64&gt;=78,"D2","D3")),IF(E64="Later / requirements","L","Legacy")))</x:f>
        <x:v>D1</x:v>
      </x:c>
      <x:c r="G64" s="14" t="str">
        <x:v>polikor.com.ua</x:v>
      </x:c>
      <x:c r="H64" s="14" t="str">
        <x:v>Discovery — частково Н.14/Н.15 + вимоги проєкту</x:v>
      </x:c>
      <x:c r="I64" s="16" t="n">
        <x:v>3</x:v>
      </x:c>
      <x:c r="J64" s="16" t="n">
        <x:v>5</x:v>
      </x:c>
      <x:c r="K64" s="16" t="n">
        <x:v>5</x:v>
      </x:c>
      <x:c r="L64" s="16" t="n">
        <x:v>5</x:v>
      </x:c>
      <x:c r="M64" s="16" t="n">
        <x:v>5</x:v>
      </x:c>
      <x:c r="N64" s="16" t="n">
        <x:v>5</x:v>
      </x:c>
      <x:c r="O64" s="16" t="n">
        <x:v>5</x:v>
      </x:c>
      <x:c r="P64" s="16" t="n">
        <x:f>IF(COUNT(I64:O64)&lt;7,"",I64*8+J64*3+K64*2+L64*2+M64*2+N64*2+O64)</x:f>
        <x:v>84</x:v>
      </x:c>
      <x:c r="Q64" s="16" t="n">
        <x:f>IF(COUNT(J64:O64)&lt;6,"",J64*5+K64*4+M64*4+L64*3+N64*2+O64*2)</x:f>
        <x:v>100</x:v>
      </x:c>
      <x:c r="R64" s="14" t="str">
        <x:v>high</x:v>
      </x:c>
      <x:c r="S64" s="14" t="str">
        <x:v>official_source_reverified</x:v>
      </x:c>
      <x:c r="T64" s="14" t="str">
        <x:v>official_source_reachable</x:v>
      </x:c>
      <x:c r="U64" s="14" t="str">
        <x:v>Новий — не контактували</x:v>
      </x:c>
      <x:c r="V64" s="15" t="str">
        <x:v>Discovery-call: отримати 1 реальний артефакт і вимоги проєкту; не обіцяти готове покриття</x:v>
      </x:c>
      <x:c r="W64" s="15" t="str">
        <x:v>Комерційний директор; керівник проєктів; QA / валідація</x:v>
      </x:c>
      <x:c r="X64" s="15" t="str">
        <x:v>230+ зданих чистих приміщень; виробництво, вентиляція, автоматика й монтаж з 1993 року.</x:v>
      </x:c>
      <x:c r="Y64" s="15" t="str">
        <x:v>Герметичність огороджень, HEPA-вентиляція, автоматика й кваліфікаційні протоколи утворюють дуже насичений пакет приймання.</x:v>
      </x:c>
      <x:c r="Z64" s="15" t="str">
        <x:v>https://polikor.com.ua/</x:v>
      </x:c>
      <x:c r="AA64" s="14" t="str"/>
      <x:c r="AB64" s="14" t="str">
        <x:v>2026-08-24</x:v>
      </x:c>
      <x:c r="AC64" s="14" t="str">
        <x:v>Олександр</x:v>
      </x:c>
      <x:c r="AD64" s="18" t="str"/>
      <x:c r="AE64" s="14" t="str"/>
    </x:row>
    <x:row r="65">
      <x:c r="A65" s="14" t="str">
        <x:v>EXP-044</x:v>
      </x:c>
      <x:c r="B65" s="14" t="str">
        <x:v>Розширення ніш — 24.08</x:v>
      </x:c>
      <x:c r="C65" s="14" t="str">
        <x:v>VERNA</x:v>
      </x:c>
      <x:c r="D65" s="14" t="str">
        <x:v>СКС, BMS та слаботочна інтеграція</x:v>
      </x:c>
      <x:c r="E65" s="14" t="str">
        <x:v>Expansion discovery</x:v>
      </x:c>
      <x:c r="F65" s="17" t="str">
        <x:f>IF(E65="Pilot now",IF(P65&gt;=84,"P1",IF(P65&gt;=72,"P2","P3")),IF(E65="Expansion discovery",IF(Q65&gt;=88,"D1",IF(Q65&gt;=78,"D2","D3")),IF(E65="Later / requirements","L","Legacy")))</x:f>
        <x:v>D1</x:v>
      </x:c>
      <x:c r="G65" s="14" t="str">
        <x:v>verna.ua</x:v>
      </x:c>
      <x:c r="H65" s="14" t="str">
        <x:v>Discovery — частково Н.15 + вимоги проєкту</x:v>
      </x:c>
      <x:c r="I65" s="16" t="n">
        <x:v>3</x:v>
      </x:c>
      <x:c r="J65" s="16" t="n">
        <x:v>5</x:v>
      </x:c>
      <x:c r="K65" s="16" t="n">
        <x:v>5</x:v>
      </x:c>
      <x:c r="L65" s="16" t="n">
        <x:v>5</x:v>
      </x:c>
      <x:c r="M65" s="16" t="n">
        <x:v>5</x:v>
      </x:c>
      <x:c r="N65" s="16" t="n">
        <x:v>5</x:v>
      </x:c>
      <x:c r="O65" s="16" t="n">
        <x:v>5</x:v>
      </x:c>
      <x:c r="P65" s="16" t="n">
        <x:f>IF(COUNT(I65:O65)&lt;7,"",I65*8+J65*3+K65*2+L65*2+M65*2+N65*2+O65)</x:f>
        <x:v>84</x:v>
      </x:c>
      <x:c r="Q65" s="16" t="n">
        <x:f>IF(COUNT(J65:O65)&lt;6,"",J65*5+K65*4+M65*4+L65*3+N65*2+O65*2)</x:f>
        <x:v>100</x:v>
      </x:c>
      <x:c r="R65" s="14" t="str">
        <x:v>high</x:v>
      </x:c>
      <x:c r="S65" s="14" t="str">
        <x:v>official_source_reverified</x:v>
      </x:c>
      <x:c r="T65" s="14" t="str">
        <x:v>official_source_reachable</x:v>
      </x:c>
      <x:c r="U65" s="14" t="str">
        <x:v>Новий — не контактували</x:v>
      </x:c>
      <x:c r="V65" s="15" t="str">
        <x:v>Discovery-call: отримати 1 реальний артефакт і вимоги проєкту; не обіцяти готове покриття</x:v>
      </x:c>
      <x:c r="W65" s="15" t="str">
        <x:v>Власник / комерційний директор; керівник проєктів; ПТО</x:v>
      </x:c>
      <x:c r="X65" s="15" t="str">
        <x:v>100 000+ портів і сотні компаній; кейс 30 магазинів та 1000+ портів.</x:v>
      </x:c>
      <x:c r="Y65" s="15" t="str">
        <x:v>Кабельні траси над стелями, маркування, тестування портів і пусконалагодження мають бути доведені до закриття та здачі системи.</x:v>
      </x:c>
      <x:c r="Z65" s="15" t="str">
        <x:v>https://www.verna.ua/projects/implementation-network-eldorado</x:v>
      </x:c>
      <x:c r="AA65" s="14" t="str"/>
      <x:c r="AB65" s="14" t="str">
        <x:v>2026-08-24</x:v>
      </x:c>
      <x:c r="AC65" s="14" t="str">
        <x:v>Олександр</x:v>
      </x:c>
      <x:c r="AD65" s="18" t="str"/>
      <x:c r="AE65" s="14" t="str"/>
    </x:row>
    <x:row r="66">
      <x:c r="A66" s="14" t="str">
        <x:v>EXP-052</x:v>
      </x:c>
      <x:c r="B66" s="14" t="str">
        <x:v>Розширення ніш — 24.08</x:v>
      </x:c>
      <x:c r="C66" s="14" t="str">
        <x:v>IT-Integrator</x:v>
      </x:c>
      <x:c r="D66" s="14" t="str">
        <x:v>СКС, BMS та слаботочна інтеграція</x:v>
      </x:c>
      <x:c r="E66" s="14" t="str">
        <x:v>Expansion discovery</x:v>
      </x:c>
      <x:c r="F66" s="17" t="str">
        <x:f>IF(E66="Pilot now",IF(P66&gt;=84,"P1",IF(P66&gt;=72,"P2","P3")),IF(E66="Expansion discovery",IF(Q66&gt;=88,"D1",IF(Q66&gt;=78,"D2","D3")),IF(E66="Later / requirements","L","Legacy")))</x:f>
        <x:v>D1</x:v>
      </x:c>
      <x:c r="G66" s="14" t="str">
        <x:v>it-integrator.ua</x:v>
      </x:c>
      <x:c r="H66" s="14" t="str">
        <x:v>Discovery — частково Н.15 + вимоги проєкту</x:v>
      </x:c>
      <x:c r="I66" s="16" t="n">
        <x:v>3</x:v>
      </x:c>
      <x:c r="J66" s="16" t="n">
        <x:v>5</x:v>
      </x:c>
      <x:c r="K66" s="16" t="n">
        <x:v>5</x:v>
      </x:c>
      <x:c r="L66" s="16" t="n">
        <x:v>5</x:v>
      </x:c>
      <x:c r="M66" s="16" t="n">
        <x:v>5</x:v>
      </x:c>
      <x:c r="N66" s="16" t="n">
        <x:v>5</x:v>
      </x:c>
      <x:c r="O66" s="16" t="n">
        <x:v>4</x:v>
      </x:c>
      <x:c r="P66" s="16" t="n">
        <x:f>IF(COUNT(I66:O66)&lt;7,"",I66*8+J66*3+K66*2+L66*2+M66*2+N66*2+O66)</x:f>
        <x:v>83</x:v>
      </x:c>
      <x:c r="Q66" s="16" t="n">
        <x:f>IF(COUNT(J66:O66)&lt;6,"",J66*5+K66*4+M66*4+L66*3+N66*2+O66*2)</x:f>
        <x:v>98</x:v>
      </x:c>
      <x:c r="R66" s="14" t="str">
        <x:v>high</x:v>
      </x:c>
      <x:c r="S66" s="14" t="str">
        <x:v>official_source_reverified</x:v>
      </x:c>
      <x:c r="T66" s="14" t="str">
        <x:v>official_source_reachable</x:v>
      </x:c>
      <x:c r="U66" s="14" t="str">
        <x:v>Новий — не контактували</x:v>
      </x:c>
      <x:c r="V66" s="15" t="str">
        <x:v>Discovery-call: отримати 1 реальний артефакт і вимоги проєкту; не обіцяти готове покриття</x:v>
      </x:c>
      <x:c r="W66" s="15" t="str">
        <x:v>Власник / комерційний директор; керівник проєктів; ПТО</x:v>
      </x:c>
      <x:c r="X66" s="15" t="str">
        <x:v>СКС, електротехнічні рішення, кондиціонування й фізична безпека для великих підприємств.</x:v>
      </x:c>
      <x:c r="Y66" s="15" t="str">
        <x:v>Кабельні траси над стелями, маркування, тестування портів і пусконалагодження мають бути доведені до закриття та здачі системи.</x:v>
      </x:c>
      <x:c r="Z66" s="15" t="str">
        <x:v>https://it-integrator.ua/</x:v>
      </x:c>
      <x:c r="AA66" s="14" t="str"/>
      <x:c r="AB66" s="14" t="str">
        <x:v>2026-08-24</x:v>
      </x:c>
      <x:c r="AC66" s="14" t="str">
        <x:v>Олександр</x:v>
      </x:c>
      <x:c r="AD66" s="18" t="str"/>
      <x:c r="AE66" s="14" t="str"/>
    </x:row>
    <x:row r="67">
      <x:c r="A67" s="14" t="str">
        <x:v>V3-036</x:v>
      </x:c>
      <x:c r="B67" s="14" t="str">
        <x:v>Досліджено 28.07</x:v>
      </x:c>
      <x:c r="C67" s="14" t="str">
        <x:v>ТОВ «Р-ПРОЕКТ»</x:v>
      </x:c>
      <x:c r="D67" s="14" t="str">
        <x:v>Слаботочні системи</x:v>
      </x:c>
      <x:c r="E67" s="14" t="str">
        <x:v>Expansion discovery</x:v>
      </x:c>
      <x:c r="F67" s="17" t="str">
        <x:f>IF(E67="Pilot now",IF(P67&gt;=84,"P1",IF(P67&gt;=72,"P2","P3")),IF(E67="Expansion discovery",IF(Q67&gt;=88,"D1",IF(Q67&gt;=78,"D2","D3")),IF(E67="Later / requirements","L","Legacy")))</x:f>
        <x:v>D1</x:v>
      </x:c>
      <x:c r="G67" s="14" t="str">
        <x:v>r-p.com.ua</x:v>
      </x:c>
      <x:c r="H67" s="14" t="str">
        <x:v>Discovery — частково Н.15 + вимоги проєкту</x:v>
      </x:c>
      <x:c r="I67" s="16" t="n">
        <x:v>3</x:v>
      </x:c>
      <x:c r="J67" s="16" t="n">
        <x:v>5</x:v>
      </x:c>
      <x:c r="K67" s="16" t="n">
        <x:v>5</x:v>
      </x:c>
      <x:c r="L67" s="16" t="n">
        <x:v>4</x:v>
      </x:c>
      <x:c r="M67" s="16" t="n">
        <x:v>5</x:v>
      </x:c>
      <x:c r="N67" s="16" t="n">
        <x:v>5</x:v>
      </x:c>
      <x:c r="O67" s="16" t="n">
        <x:v>5</x:v>
      </x:c>
      <x:c r="P67" s="16" t="n">
        <x:f>IF(COUNT(I67:O67)&lt;7,"",I67*8+J67*3+K67*2+L67*2+M67*2+N67*2+O67)</x:f>
        <x:v>82</x:v>
      </x:c>
      <x:c r="Q67" s="16" t="n">
        <x:f>IF(COUNT(J67:O67)&lt;6,"",J67*5+K67*4+M67*4+L67*3+N67*2+O67*2)</x:f>
        <x:v>97</x:v>
      </x:c>
      <x:c r="R67" s="14" t="str">
        <x:v>medium</x:v>
      </x:c>
      <x:c r="S67" s="14" t="str">
        <x:v>historical_research_2026-07-28</x:v>
      </x:c>
      <x:c r="T67" s="14" t="str">
        <x:v>historical_official_research</x:v>
      </x:c>
      <x:c r="U67" s="14" t="str">
        <x:v>Надіслано 28.07 — follow-up</x:v>
      </x:c>
      <x:c r="V67" s="15" t="str">
        <x:v>Follow-up з review-link; далі попросити 1 анонімізований артефакт</x:v>
      </x:c>
      <x:c r="W67" s="15" t="str">
        <x:v>Власник / директор; керівник ПТО</x:v>
      </x:c>
      <x:c r="X67" s="15" t="str">
        <x:v>Проєктно-кошторисна документація в Revit, монтаж, пусконалагодження й обслуговування систем безпеки та слабкострумових мереж.</x:v>
      </x:c>
      <x:c r="Y67" s="15" t="str">
        <x:v>Кабельні траси, датчики, модулі й протипожежні системи закриваються стелями/стінами; потрібна доказова готовність.</x:v>
      </x:c>
      <x:c r="Z67" s="15" t="str">
        <x:v>https://r-p.com.ua/</x:v>
      </x:c>
      <x:c r="AA67" s="14" t="str">
        <x:v>41371545</x:v>
      </x:c>
      <x:c r="AB67" s="14" t="str">
        <x:v>2026-07-28</x:v>
      </x:c>
      <x:c r="AC67" s="14" t="str">
        <x:v>Олександр</x:v>
      </x:c>
      <x:c r="AD67" s="18" t="str"/>
      <x:c r="AE67" s="14" t="str"/>
    </x:row>
    <x:row r="68">
      <x:c r="A68" s="14" t="str">
        <x:v>EXP-055</x:v>
      </x:c>
      <x:c r="B68" s="14" t="str">
        <x:v>Розширення ніш — 24.08</x:v>
      </x:c>
      <x:c r="C68" s="14" t="str">
        <x:v>Hospital Room</x:v>
      </x:c>
      <x:c r="D68" s="14" t="str">
        <x:v>Чисті приміщення та стерильні зони</x:v>
      </x:c>
      <x:c r="E68" s="14" t="str">
        <x:v>Expansion discovery</x:v>
      </x:c>
      <x:c r="F68" s="17" t="str">
        <x:f>IF(E68="Pilot now",IF(P68&gt;=84,"P1",IF(P68&gt;=72,"P2","P3")),IF(E68="Expansion discovery",IF(Q68&gt;=88,"D1",IF(Q68&gt;=78,"D2","D3")),IF(E68="Later / requirements","L","Legacy")))</x:f>
        <x:v>D1</x:v>
      </x:c>
      <x:c r="G68" s="14" t="str">
        <x:v>hospitalroom.com.ua</x:v>
      </x:c>
      <x:c r="H68" s="14" t="str">
        <x:v>Discovery — частково Н.14/Н.15 + вимоги проєкту</x:v>
      </x:c>
      <x:c r="I68" s="16" t="n">
        <x:v>3</x:v>
      </x:c>
      <x:c r="J68" s="16" t="n">
        <x:v>5</x:v>
      </x:c>
      <x:c r="K68" s="16" t="n">
        <x:v>5</x:v>
      </x:c>
      <x:c r="L68" s="16" t="n">
        <x:v>4</x:v>
      </x:c>
      <x:c r="M68" s="16" t="n">
        <x:v>5</x:v>
      </x:c>
      <x:c r="N68" s="16" t="n">
        <x:v>5</x:v>
      </x:c>
      <x:c r="O68" s="16" t="n">
        <x:v>5</x:v>
      </x:c>
      <x:c r="P68" s="16" t="n">
        <x:f>IF(COUNT(I68:O68)&lt;7,"",I68*8+J68*3+K68*2+L68*2+M68*2+N68*2+O68)</x:f>
        <x:v>82</x:v>
      </x:c>
      <x:c r="Q68" s="16" t="n">
        <x:f>IF(COUNT(J68:O68)&lt;6,"",J68*5+K68*4+M68*4+L68*3+N68*2+O68*2)</x:f>
        <x:v>97</x:v>
      </x:c>
      <x:c r="R68" s="14" t="str">
        <x:v>high</x:v>
      </x:c>
      <x:c r="S68" s="14" t="str">
        <x:v>official_source_reverified</x:v>
      </x:c>
      <x:c r="T68" s="14" t="str">
        <x:v>official_source_reachable</x:v>
      </x:c>
      <x:c r="U68" s="14" t="str">
        <x:v>Новий — не контактували</x:v>
      </x:c>
      <x:c r="V68" s="15" t="str">
        <x:v>Discovery-call: отримати 1 реальний артефакт і вимоги проєкту; не обіцяти готове покриття</x:v>
      </x:c>
      <x:c r="W68" s="15" t="str">
        <x:v>Комерційний директор; керівник проєктів; QA / валідація</x:v>
      </x:c>
      <x:c r="X68" s="15" t="str">
        <x:v>Чисті приміщення, медичні гази, HVAC і стерильні зони з введенням в експлуатацію.</x:v>
      </x:c>
      <x:c r="Y68" s="15" t="str">
        <x:v>Герметичність огороджень, HEPA-вентиляція, автоматика й кваліфікаційні протоколи утворюють дуже насичений пакет приймання.</x:v>
      </x:c>
      <x:c r="Z68" s="15" t="str">
        <x:v>https://www.hospitalroom.com.ua/clean-room</x:v>
      </x:c>
      <x:c r="AA68" s="14" t="str"/>
      <x:c r="AB68" s="14" t="str">
        <x:v>2026-08-24</x:v>
      </x:c>
      <x:c r="AC68" s="14" t="str">
        <x:v>Олександр</x:v>
      </x:c>
      <x:c r="AD68" s="18" t="str"/>
      <x:c r="AE68" s="14" t="str"/>
    </x:row>
    <x:row r="69">
      <x:c r="A69" s="14" t="str">
        <x:v>EXP-061</x:v>
      </x:c>
      <x:c r="B69" s="14" t="str">
        <x:v>Розширення ніш — 24.08</x:v>
      </x:c>
      <x:c r="C69" s="14" t="str">
        <x:v>Imperial Pools</x:v>
      </x:c>
      <x:c r="D69" s="14" t="str">
        <x:v>Басейни, водні комплекси та SPA</x:v>
      </x:c>
      <x:c r="E69" s="14" t="str">
        <x:v>Expansion discovery</x:v>
      </x:c>
      <x:c r="F69" s="17" t="str">
        <x:f>IF(E69="Pilot now",IF(P69&gt;=84,"P1",IF(P69&gt;=72,"P2","P3")),IF(E69="Expansion discovery",IF(Q69&gt;=88,"D1",IF(Q69&gt;=78,"D2","D3")),IF(E69="Later / requirements","L","Legacy")))</x:f>
        <x:v>D1</x:v>
      </x:c>
      <x:c r="G69" s="14" t="str">
        <x:v>imperialpools.com.ua</x:v>
      </x:c>
      <x:c r="H69" s="14" t="str">
        <x:v>Discovery — частково Н.14/Н.15 + вимоги проєкту</x:v>
      </x:c>
      <x:c r="I69" s="16" t="n">
        <x:v>3</x:v>
      </x:c>
      <x:c r="J69" s="16" t="n">
        <x:v>5</x:v>
      </x:c>
      <x:c r="K69" s="16" t="n">
        <x:v>5</x:v>
      </x:c>
      <x:c r="L69" s="16" t="n">
        <x:v>4</x:v>
      </x:c>
      <x:c r="M69" s="16" t="n">
        <x:v>5</x:v>
      </x:c>
      <x:c r="N69" s="16" t="n">
        <x:v>5</x:v>
      </x:c>
      <x:c r="O69" s="16" t="n">
        <x:v>5</x:v>
      </x:c>
      <x:c r="P69" s="16" t="n">
        <x:f>IF(COUNT(I69:O69)&lt;7,"",I69*8+J69*3+K69*2+L69*2+M69*2+N69*2+O69)</x:f>
        <x:v>82</x:v>
      </x:c>
      <x:c r="Q69" s="16" t="n">
        <x:f>IF(COUNT(J69:O69)&lt;6,"",J69*5+K69*4+M69*4+L69*3+N69*2+O69*2)</x:f>
        <x:v>97</x:v>
      </x:c>
      <x:c r="R69" s="14" t="str">
        <x:v>high</x:v>
      </x:c>
      <x:c r="S69" s="14" t="str">
        <x:v>official_source_reverified</x:v>
      </x:c>
      <x:c r="T69" s="14" t="str">
        <x:v>official_source_reachable</x:v>
      </x:c>
      <x:c r="U69" s="14" t="str">
        <x:v>Новий — не контактували</x:v>
      </x:c>
      <x:c r="V69" s="15" t="str">
        <x:v>Discovery-call: отримати 1 реальний артефакт і вимоги проєкту; не обіцяти готове покриття</x:v>
      </x:c>
      <x:c r="W69" s="15" t="str">
        <x:v>Власник / директор; керівник будівництва; головний інженер</x:v>
      </x:c>
      <x:c r="X69" s="15" t="str">
        <x:v>Проєктування й будівництво басейнів під ключ з філіями по Україні.</x:v>
      </x:c>
      <x:c r="Y69" s="15" t="str">
        <x:v>Закладні, трубопроводи, гідроізоляція, електрика й автоматика закриваються чашею та оздобленням.</x:v>
      </x:c>
      <x:c r="Z69" s="15" t="str">
        <x:v>https://imperialpools.com.ua/portfolio</x:v>
      </x:c>
      <x:c r="AA69" s="14" t="str"/>
      <x:c r="AB69" s="14" t="str">
        <x:v>2026-08-24</x:v>
      </x:c>
      <x:c r="AC69" s="14" t="str">
        <x:v>Олександр</x:v>
      </x:c>
      <x:c r="AD69" s="18" t="str"/>
      <x:c r="AE69" s="14" t="str"/>
    </x:row>
    <x:row r="70">
      <x:c r="A70" s="14" t="str">
        <x:v>EXP-048</x:v>
      </x:c>
      <x:c r="B70" s="14" t="str">
        <x:v>Розширення ніш — 24.08</x:v>
      </x:c>
      <x:c r="C70" s="14" t="str">
        <x:v>Kristall Systems</x:v>
      </x:c>
      <x:c r="D70" s="14" t="str">
        <x:v>СКС, BMS та слаботочна інтеграція</x:v>
      </x:c>
      <x:c r="E70" s="14" t="str">
        <x:v>Expansion discovery</x:v>
      </x:c>
      <x:c r="F70" s="17" t="str">
        <x:f>IF(E70="Pilot now",IF(P70&gt;=84,"P1",IF(P70&gt;=72,"P2","P3")),IF(E70="Expansion discovery",IF(Q70&gt;=88,"D1",IF(Q70&gt;=78,"D2","D3")),IF(E70="Later / requirements","L","Legacy")))</x:f>
        <x:v>D1</x:v>
      </x:c>
      <x:c r="G70" s="14" t="str">
        <x:v>kristall-systems.net.ua</x:v>
      </x:c>
      <x:c r="H70" s="14" t="str">
        <x:v>Discovery — частково Н.15 + вимоги проєкту</x:v>
      </x:c>
      <x:c r="I70" s="16" t="n">
        <x:v>3</x:v>
      </x:c>
      <x:c r="J70" s="16" t="n">
        <x:v>5</x:v>
      </x:c>
      <x:c r="K70" s="16" t="n">
        <x:v>5</x:v>
      </x:c>
      <x:c r="L70" s="16" t="n">
        <x:v>4</x:v>
      </x:c>
      <x:c r="M70" s="16" t="n">
        <x:v>5</x:v>
      </x:c>
      <x:c r="N70" s="16" t="n">
        <x:v>5</x:v>
      </x:c>
      <x:c r="O70" s="16" t="n">
        <x:v>5</x:v>
      </x:c>
      <x:c r="P70" s="16" t="n">
        <x:f>IF(COUNT(I70:O70)&lt;7,"",I70*8+J70*3+K70*2+L70*2+M70*2+N70*2+O70)</x:f>
        <x:v>82</x:v>
      </x:c>
      <x:c r="Q70" s="16" t="n">
        <x:f>IF(COUNT(J70:O70)&lt;6,"",J70*5+K70*4+M70*4+L70*3+N70*2+O70*2)</x:f>
        <x:v>97</x:v>
      </x:c>
      <x:c r="R70" s="14" t="str">
        <x:v>high</x:v>
      </x:c>
      <x:c r="S70" s="14" t="str">
        <x:v>official_source_reverified</x:v>
      </x:c>
      <x:c r="T70" s="14" t="str">
        <x:v>official_source_reachable</x:v>
      </x:c>
      <x:c r="U70" s="14" t="str">
        <x:v>Новий — не контактували</x:v>
      </x:c>
      <x:c r="V70" s="15" t="str">
        <x:v>Discovery-call: отримати 1 реальний артефакт і вимоги проєкту; не обіцяти готове покриття</x:v>
      </x:c>
      <x:c r="W70" s="15" t="str">
        <x:v>Власник / комерційний директор; керівник проєктів; ПТО</x:v>
      </x:c>
      <x:c r="X70" s="15" t="str">
        <x:v>Проєктування, монтаж, тестування, сертифікація СКС і виконавча документація.</x:v>
      </x:c>
      <x:c r="Y70" s="15" t="str">
        <x:v>Кабельні траси над стелями, маркування, тестування портів і пусконалагодження мають бути доведені до закриття та здачі системи.</x:v>
      </x:c>
      <x:c r="Z70" s="15" t="str">
        <x:v>https://www.kristall-systems.net.ua/ua/uslugi/structured_cabling_system/</x:v>
      </x:c>
      <x:c r="AA70" s="14" t="str"/>
      <x:c r="AB70" s="14" t="str">
        <x:v>2026-08-24</x:v>
      </x:c>
      <x:c r="AC70" s="14" t="str">
        <x:v>Олександр</x:v>
      </x:c>
      <x:c r="AD70" s="18" t="str"/>
      <x:c r="AE70" s="14" t="str"/>
    </x:row>
    <x:row r="71">
      <x:c r="A71" s="14" t="str">
        <x:v>EXP-051</x:v>
      </x:c>
      <x:c r="B71" s="14" t="str">
        <x:v>Розширення ніш — 24.08</x:v>
      </x:c>
      <x:c r="C71" s="14" t="str">
        <x:v>Ksimex</x:v>
      </x:c>
      <x:c r="D71" s="14" t="str">
        <x:v>СКС, BMS та слаботочна інтеграція</x:v>
      </x:c>
      <x:c r="E71" s="14" t="str">
        <x:v>Expansion discovery</x:v>
      </x:c>
      <x:c r="F71" s="17" t="str">
        <x:f>IF(E71="Pilot now",IF(P71&gt;=84,"P1",IF(P71&gt;=72,"P2","P3")),IF(E71="Expansion discovery",IF(Q71&gt;=88,"D1",IF(Q71&gt;=78,"D2","D3")),IF(E71="Later / requirements","L","Legacy")))</x:f>
        <x:v>D1</x:v>
      </x:c>
      <x:c r="G71" s="14" t="str">
        <x:v>ksimex.ua</x:v>
      </x:c>
      <x:c r="H71" s="14" t="str">
        <x:v>Discovery — частково Н.15 + вимоги проєкту</x:v>
      </x:c>
      <x:c r="I71" s="16" t="n">
        <x:v>3</x:v>
      </x:c>
      <x:c r="J71" s="16" t="n">
        <x:v>5</x:v>
      </x:c>
      <x:c r="K71" s="16" t="n">
        <x:v>5</x:v>
      </x:c>
      <x:c r="L71" s="16" t="n">
        <x:v>4</x:v>
      </x:c>
      <x:c r="M71" s="16" t="n">
        <x:v>5</x:v>
      </x:c>
      <x:c r="N71" s="16" t="n">
        <x:v>5</x:v>
      </x:c>
      <x:c r="O71" s="16" t="n">
        <x:v>5</x:v>
      </x:c>
      <x:c r="P71" s="16" t="n">
        <x:f>IF(COUNT(I71:O71)&lt;7,"",I71*8+J71*3+K71*2+L71*2+M71*2+N71*2+O71)</x:f>
        <x:v>82</x:v>
      </x:c>
      <x:c r="Q71" s="16" t="n">
        <x:f>IF(COUNT(J71:O71)&lt;6,"",J71*5+K71*4+M71*4+L71*3+N71*2+O71*2)</x:f>
        <x:v>97</x:v>
      </x:c>
      <x:c r="R71" s="14" t="str">
        <x:v>high</x:v>
      </x:c>
      <x:c r="S71" s="14" t="str">
        <x:v>official_source_reverified</x:v>
      </x:c>
      <x:c r="T71" s="14" t="str">
        <x:v>official_source_reachable</x:v>
      </x:c>
      <x:c r="U71" s="14" t="str">
        <x:v>Новий — не контактували</x:v>
      </x:c>
      <x:c r="V71" s="15" t="str">
        <x:v>Discovery-call: отримати 1 реальний артефакт і вимоги проєкту; не обіцяти готове покриття</x:v>
      </x:c>
      <x:c r="W71" s="15" t="str">
        <x:v>Власник / комерційний директор; керівник проєктів; ПТО</x:v>
      </x:c>
      <x:c r="X71" s="15" t="str">
        <x:v>BMS-проєкти для готелів, ТРЦ і бізнес-центрів; монтаж та пусконалагодження.</x:v>
      </x:c>
      <x:c r="Y71" s="15" t="str">
        <x:v>Кабельні траси над стелями, маркування, тестування портів і пусконалагодження мають бути доведені до закриття та здачі системи.</x:v>
      </x:c>
      <x:c r="Z71" s="15" t="str">
        <x:v>https://www.ksimex.ua/subprojects/bms</x:v>
      </x:c>
      <x:c r="AA71" s="14" t="str"/>
      <x:c r="AB71" s="14" t="str">
        <x:v>2026-08-24</x:v>
      </x:c>
      <x:c r="AC71" s="14" t="str">
        <x:v>Олександр</x:v>
      </x:c>
      <x:c r="AD71" s="18" t="str"/>
      <x:c r="AE71" s="14" t="str"/>
    </x:row>
    <x:row r="72">
      <x:c r="A72" s="14" t="str">
        <x:v>EXP-050</x:v>
      </x:c>
      <x:c r="B72" s="14" t="str">
        <x:v>Розширення ніш — 24.08</x:v>
      </x:c>
      <x:c r="C72" s="14" t="str">
        <x:v>SOLTI</x:v>
      </x:c>
      <x:c r="D72" s="14" t="str">
        <x:v>СКС, BMS та слаботочна інтеграція</x:v>
      </x:c>
      <x:c r="E72" s="14" t="str">
        <x:v>Expansion discovery</x:v>
      </x:c>
      <x:c r="F72" s="17" t="str">
        <x:f>IF(E72="Pilot now",IF(P72&gt;=84,"P1",IF(P72&gt;=72,"P2","P3")),IF(E72="Expansion discovery",IF(Q72&gt;=88,"D1",IF(Q72&gt;=78,"D2","D3")),IF(E72="Later / requirements","L","Legacy")))</x:f>
        <x:v>D1</x:v>
      </x:c>
      <x:c r="G72" s="14" t="str">
        <x:v>solti.ua</x:v>
      </x:c>
      <x:c r="H72" s="14" t="str">
        <x:v>Discovery — частково Н.15 + вимоги проєкту</x:v>
      </x:c>
      <x:c r="I72" s="16" t="n">
        <x:v>3</x:v>
      </x:c>
      <x:c r="J72" s="16" t="n">
        <x:v>5</x:v>
      </x:c>
      <x:c r="K72" s="16" t="n">
        <x:v>5</x:v>
      </x:c>
      <x:c r="L72" s="16" t="n">
        <x:v>4</x:v>
      </x:c>
      <x:c r="M72" s="16" t="n">
        <x:v>5</x:v>
      </x:c>
      <x:c r="N72" s="16" t="n">
        <x:v>5</x:v>
      </x:c>
      <x:c r="O72" s="16" t="n">
        <x:v>5</x:v>
      </x:c>
      <x:c r="P72" s="16" t="n">
        <x:f>IF(COUNT(I72:O72)&lt;7,"",I72*8+J72*3+K72*2+L72*2+M72*2+N72*2+O72)</x:f>
        <x:v>82</x:v>
      </x:c>
      <x:c r="Q72" s="16" t="n">
        <x:f>IF(COUNT(J72:O72)&lt;6,"",J72*5+K72*4+M72*4+L72*3+N72*2+O72*2)</x:f>
        <x:v>97</x:v>
      </x:c>
      <x:c r="R72" s="14" t="str">
        <x:v>high</x:v>
      </x:c>
      <x:c r="S72" s="14" t="str">
        <x:v>official_source_reverified</x:v>
      </x:c>
      <x:c r="T72" s="14" t="str">
        <x:v>official_source_reachable</x:v>
      </x:c>
      <x:c r="U72" s="14" t="str">
        <x:v>Новий — не контактували</x:v>
      </x:c>
      <x:c r="V72" s="15" t="str">
        <x:v>Discovery-call: отримати 1 реальний артефакт і вимоги проєкту; не обіцяти готове покриття</x:v>
      </x:c>
      <x:c r="W72" s="15" t="str">
        <x:v>Власник / комерційний директор; керівник проєктів; ПТО</x:v>
      </x:c>
      <x:c r="X72" s="15" t="str">
        <x:v>Кейси проєктування, монтажу та пусконалагодження СКС з гарантійним обліком.</x:v>
      </x:c>
      <x:c r="Y72" s="15" t="str">
        <x:v>Кабельні траси над стелями, маркування, тестування портів і пусконалагодження мають бути доведені до закриття та здачі системи.</x:v>
      </x:c>
      <x:c r="Z72" s="15" t="str">
        <x:v>https://www.solti.ua/systemna-integraciya/inzhenerni-systemy/strukturovana-kabelna-systema-sks/</x:v>
      </x:c>
      <x:c r="AA72" s="14" t="str"/>
      <x:c r="AB72" s="14" t="str">
        <x:v>2026-08-24</x:v>
      </x:c>
      <x:c r="AC72" s="14" t="str">
        <x:v>Олександр</x:v>
      </x:c>
      <x:c r="AD72" s="18" t="str"/>
      <x:c r="AE72" s="14" t="str"/>
    </x:row>
    <x:row r="73">
      <x:c r="A73" s="14" t="str">
        <x:v>EXP-054</x:v>
      </x:c>
      <x:c r="B73" s="14" t="str">
        <x:v>Розширення ніш — 24.08</x:v>
      </x:c>
      <x:c r="C73" s="14" t="str">
        <x:v>Cleanroom / ECOTEP</x:v>
      </x:c>
      <x:c r="D73" s="14" t="str">
        <x:v>Чисті приміщення та стерильні зони</x:v>
      </x:c>
      <x:c r="E73" s="14" t="str">
        <x:v>Expansion discovery</x:v>
      </x:c>
      <x:c r="F73" s="17" t="str">
        <x:f>IF(E73="Pilot now",IF(P73&gt;=84,"P1",IF(P73&gt;=72,"P2","P3")),IF(E73="Expansion discovery",IF(Q73&gt;=88,"D1",IF(Q73&gt;=78,"D2","D3")),IF(E73="Later / requirements","L","Legacy")))</x:f>
        <x:v>D1</x:v>
      </x:c>
      <x:c r="G73" s="14" t="str">
        <x:v>cleanroom.com.ua</x:v>
      </x:c>
      <x:c r="H73" s="14" t="str">
        <x:v>Discovery — частково Н.14/Н.15 + вимоги проєкту</x:v>
      </x:c>
      <x:c r="I73" s="16" t="n">
        <x:v>3</x:v>
      </x:c>
      <x:c r="J73" s="16" t="n">
        <x:v>5</x:v>
      </x:c>
      <x:c r="K73" s="16" t="n">
        <x:v>5</x:v>
      </x:c>
      <x:c r="L73" s="16" t="n">
        <x:v>4</x:v>
      </x:c>
      <x:c r="M73" s="16" t="n">
        <x:v>5</x:v>
      </x:c>
      <x:c r="N73" s="16" t="n">
        <x:v>5</x:v>
      </x:c>
      <x:c r="O73" s="16" t="n">
        <x:v>4</x:v>
      </x:c>
      <x:c r="P73" s="16" t="n">
        <x:f>IF(COUNT(I73:O73)&lt;7,"",I73*8+J73*3+K73*2+L73*2+M73*2+N73*2+O73)</x:f>
        <x:v>81</x:v>
      </x:c>
      <x:c r="Q73" s="16" t="n">
        <x:f>IF(COUNT(J73:O73)&lt;6,"",J73*5+K73*4+M73*4+L73*3+N73*2+O73*2)</x:f>
        <x:v>95</x:v>
      </x:c>
      <x:c r="R73" s="14" t="str">
        <x:v>high</x:v>
      </x:c>
      <x:c r="S73" s="14" t="str">
        <x:v>official_page_and_search_index_reverified</x:v>
      </x:c>
      <x:c r="T73" s="14" t="str">
        <x:v>official_page_reachable_dynamic_content</x:v>
      </x:c>
      <x:c r="U73" s="14" t="str">
        <x:v>Новий — не контактували</x:v>
      </x:c>
      <x:c r="V73" s="15" t="str">
        <x:v>Discovery-call: отримати 1 реальний артефакт і вимоги проєкту; не обіцяти готове покриття</x:v>
      </x:c>
      <x:c r="W73" s="15" t="str">
        <x:v>Комерційний директор; керівник проєктів; QA / валідація</x:v>
      </x:c>
      <x:c r="X73" s="15" t="str">
        <x:v>Портфоліо стерильних медичних і фармацевтичних зон з вимогами до вентиляції та огороджень.</x:v>
      </x:c>
      <x:c r="Y73" s="15" t="str">
        <x:v>Герметичність огороджень, HEPA-вентиляція, автоматика й кваліфікаційні протоколи утворюють дуже насичений пакет приймання.</x:v>
      </x:c>
      <x:c r="Z73" s="15" t="str">
        <x:v>https://www.cleanroom.com.ua/ua/proekti/</x:v>
      </x:c>
      <x:c r="AA73" s="14" t="str"/>
      <x:c r="AB73" s="14" t="str">
        <x:v>2026-08-24</x:v>
      </x:c>
      <x:c r="AC73" s="14" t="str">
        <x:v>Олександр</x:v>
      </x:c>
      <x:c r="AD73" s="18" t="str"/>
      <x:c r="AE73" s="14" t="str"/>
    </x:row>
    <x:row r="74">
      <x:c r="A74" s="14" t="str">
        <x:v>V3-037</x:v>
      </x:c>
      <x:c r="B74" s="14" t="str">
        <x:v>Досліджено 28.07</x:v>
      </x:c>
      <x:c r="C74" s="14" t="str">
        <x:v>Інженерна компанія TMEK</x:v>
      </x:c>
      <x:c r="D74" s="14" t="str">
        <x:v>Слаботочні системи</x:v>
      </x:c>
      <x:c r="E74" s="14" t="str">
        <x:v>Expansion discovery</x:v>
      </x:c>
      <x:c r="F74" s="17" t="str">
        <x:f>IF(E74="Pilot now",IF(P74&gt;=84,"P1",IF(P74&gt;=72,"P2","P3")),IF(E74="Expansion discovery",IF(Q74&gt;=88,"D1",IF(Q74&gt;=78,"D2","D3")),IF(E74="Later / requirements","L","Legacy")))</x:f>
        <x:v>D1</x:v>
      </x:c>
      <x:c r="G74" s="14" t="str">
        <x:v>tmek.com.ua</x:v>
      </x:c>
      <x:c r="H74" s="14" t="str">
        <x:v>Discovery — частково Н.15 + вимоги проєкту</x:v>
      </x:c>
      <x:c r="I74" s="16" t="n">
        <x:v>3</x:v>
      </x:c>
      <x:c r="J74" s="16" t="n">
        <x:v>5</x:v>
      </x:c>
      <x:c r="K74" s="16" t="n">
        <x:v>4</x:v>
      </x:c>
      <x:c r="L74" s="16" t="n">
        <x:v>4</x:v>
      </x:c>
      <x:c r="M74" s="16" t="n">
        <x:v>5</x:v>
      </x:c>
      <x:c r="N74" s="16" t="n">
        <x:v>5</x:v>
      </x:c>
      <x:c r="O74" s="16" t="n">
        <x:v>5</x:v>
      </x:c>
      <x:c r="P74" s="16" t="n">
        <x:f>IF(COUNT(I74:O74)&lt;7,"",I74*8+J74*3+K74*2+L74*2+M74*2+N74*2+O74)</x:f>
        <x:v>80</x:v>
      </x:c>
      <x:c r="Q74" s="16" t="n">
        <x:f>IF(COUNT(J74:O74)&lt;6,"",J74*5+K74*4+M74*4+L74*3+N74*2+O74*2)</x:f>
        <x:v>93</x:v>
      </x:c>
      <x:c r="R74" s="14" t="str">
        <x:v>medium</x:v>
      </x:c>
      <x:c r="S74" s="14" t="str">
        <x:v>historical_research_2026-07-28</x:v>
      </x:c>
      <x:c r="T74" s="14" t="str">
        <x:v>historical_official_research</x:v>
      </x:c>
      <x:c r="U74" s="14" t="str">
        <x:v>Надіслано 28.07 — follow-up</x:v>
      </x:c>
      <x:c r="V74" s="15" t="str">
        <x:v>Follow-up з review-link; далі попросити 1 анонімізований артефакт</x:v>
      </x:c>
      <x:c r="W74" s="15" t="str">
        <x:v>Власник / директор; керівник ПТО</x:v>
      </x:c>
      <x:c r="X74" s="15" t="str">
        <x:v>Проєктування, реалізація та підтримка слабкострумових систем для комерційних, державних і промислових об’єктів.</x:v>
      </x:c>
      <x:c r="Y74" s="15" t="str">
        <x:v>СКС, відеонагляд, контроль доступу й сигналізація мають приховані кабельні траси та тестові протоколи.</x:v>
      </x:c>
      <x:c r="Z74" s="15" t="str">
        <x:v>https://tmek.com.ua/proektuvannya-slabkostrumovih-sistem/</x:v>
      </x:c>
      <x:c r="AA74" s="14" t="str"/>
      <x:c r="AB74" s="14" t="str">
        <x:v>2026-07-28</x:v>
      </x:c>
      <x:c r="AC74" s="14" t="str">
        <x:v>Олександр</x:v>
      </x:c>
      <x:c r="AD74" s="18" t="str"/>
      <x:c r="AE74" s="14" t="str"/>
    </x:row>
    <x:row r="75">
      <x:c r="A75" s="14" t="str">
        <x:v>V3-040</x:v>
      </x:c>
      <x:c r="B75" s="14" t="str">
        <x:v>Досліджено 28.07</x:v>
      </x:c>
      <x:c r="C75" s="14" t="str">
        <x:v>ТОВ «ОБЕРІГ-К»</x:v>
      </x:c>
      <x:c r="D75" s="14" t="str">
        <x:v>Слаботочні системи</x:v>
      </x:c>
      <x:c r="E75" s="14" t="str">
        <x:v>Expansion discovery</x:v>
      </x:c>
      <x:c r="F75" s="17" t="str">
        <x:f>IF(E75="Pilot now",IF(P75&gt;=84,"P1",IF(P75&gt;=72,"P2","P3")),IF(E75="Expansion discovery",IF(Q75&gt;=88,"D1",IF(Q75&gt;=78,"D2","D3")),IF(E75="Later / requirements","L","Legacy")))</x:f>
        <x:v>D1</x:v>
      </x:c>
      <x:c r="G75" s="14" t="str">
        <x:v>oberig-k.com.ua</x:v>
      </x:c>
      <x:c r="H75" s="14" t="str">
        <x:v>Discovery — частково Н.15 + вимоги проєкту</x:v>
      </x:c>
      <x:c r="I75" s="16" t="n">
        <x:v>3</x:v>
      </x:c>
      <x:c r="J75" s="16" t="n">
        <x:v>5</x:v>
      </x:c>
      <x:c r="K75" s="16" t="n">
        <x:v>4</x:v>
      </x:c>
      <x:c r="L75" s="16" t="n">
        <x:v>4</x:v>
      </x:c>
      <x:c r="M75" s="16" t="n">
        <x:v>5</x:v>
      </x:c>
      <x:c r="N75" s="16" t="n">
        <x:v>5</x:v>
      </x:c>
      <x:c r="O75" s="16" t="n">
        <x:v>5</x:v>
      </x:c>
      <x:c r="P75" s="16" t="n">
        <x:f>IF(COUNT(I75:O75)&lt;7,"",I75*8+J75*3+K75*2+L75*2+M75*2+N75*2+O75)</x:f>
        <x:v>80</x:v>
      </x:c>
      <x:c r="Q75" s="16" t="n">
        <x:f>IF(COUNT(J75:O75)&lt;6,"",J75*5+K75*4+M75*4+L75*3+N75*2+O75*2)</x:f>
        <x:v>93</x:v>
      </x:c>
      <x:c r="R75" s="14" t="str">
        <x:v>medium</x:v>
      </x:c>
      <x:c r="S75" s="14" t="str">
        <x:v>historical_research_2026-07-28</x:v>
      </x:c>
      <x:c r="T75" s="14" t="str">
        <x:v>historical_official_research</x:v>
      </x:c>
      <x:c r="U75" s="14" t="str">
        <x:v>Надіслано 28.07 — follow-up</x:v>
      </x:c>
      <x:c r="V75" s="15" t="str">
        <x:v>Follow-up з review-link; далі попросити 1 анонімізований артефакт</x:v>
      </x:c>
      <x:c r="W75" s="15" t="str">
        <x:v>Власник / директор; керівник ПТО</x:v>
      </x:c>
      <x:c r="X75" s="15" t="str">
        <x:v>Проєктування, монтаж і сервіс систем пожежної безпеки та слабкострумових систем різної складності; працює з 2006 року.</x:v>
      </x:c>
      <x:c r="Y75" s="15" t="str">
        <x:v>Пожежні шлейфи, датчики й кабельні траси мають регламентоване приймання, акти та протоколи випробувань.</x:v>
      </x:c>
      <x:c r="Z75" s="15" t="str">
        <x:v>https://www.oberig-k.com.ua/</x:v>
      </x:c>
      <x:c r="AA75" s="14" t="str">
        <x:v>34727274</x:v>
      </x:c>
      <x:c r="AB75" s="14" t="str">
        <x:v>2026-07-28</x:v>
      </x:c>
      <x:c r="AC75" s="14" t="str">
        <x:v>Олександр</x:v>
      </x:c>
      <x:c r="AD75" s="18" t="str"/>
      <x:c r="AE75" s="14" t="str"/>
    </x:row>
    <x:row r="76">
      <x:c r="A76" s="14" t="str">
        <x:v>V3-038</x:v>
      </x:c>
      <x:c r="B76" s="14" t="str">
        <x:v>Досліджено 28.07</x:v>
      </x:c>
      <x:c r="C76" s="14" t="str">
        <x:v>Install Group</x:v>
      </x:c>
      <x:c r="D76" s="14" t="str">
        <x:v>Слаботочні системи</x:v>
      </x:c>
      <x:c r="E76" s="14" t="str">
        <x:v>Expansion discovery</x:v>
      </x:c>
      <x:c r="F76" s="17" t="str">
        <x:f>IF(E76="Pilot now",IF(P76&gt;=84,"P1",IF(P76&gt;=72,"P2","P3")),IF(E76="Expansion discovery",IF(Q76&gt;=88,"D1",IF(Q76&gt;=78,"D2","D3")),IF(E76="Later / requirements","L","Legacy")))</x:f>
        <x:v>D1</x:v>
      </x:c>
      <x:c r="G76" s="14" t="str">
        <x:v>ig.in.ua</x:v>
      </x:c>
      <x:c r="H76" s="14" t="str">
        <x:v>Discovery — частково Н.15 + вимоги проєкту</x:v>
      </x:c>
      <x:c r="I76" s="16" t="n">
        <x:v>3</x:v>
      </x:c>
      <x:c r="J76" s="16" t="n">
        <x:v>5</x:v>
      </x:c>
      <x:c r="K76" s="16" t="n">
        <x:v>4</x:v>
      </x:c>
      <x:c r="L76" s="16" t="n">
        <x:v>4</x:v>
      </x:c>
      <x:c r="M76" s="16" t="n">
        <x:v>5</x:v>
      </x:c>
      <x:c r="N76" s="16" t="n">
        <x:v>5</x:v>
      </x:c>
      <x:c r="O76" s="16" t="n">
        <x:v>5</x:v>
      </x:c>
      <x:c r="P76" s="16" t="n">
        <x:f>IF(COUNT(I76:O76)&lt;7,"",I76*8+J76*3+K76*2+L76*2+M76*2+N76*2+O76)</x:f>
        <x:v>80</x:v>
      </x:c>
      <x:c r="Q76" s="16" t="n">
        <x:f>IF(COUNT(J76:O76)&lt;6,"",J76*5+K76*4+M76*4+L76*3+N76*2+O76*2)</x:f>
        <x:v>93</x:v>
      </x:c>
      <x:c r="R76" s="14" t="str">
        <x:v>medium</x:v>
      </x:c>
      <x:c r="S76" s="14" t="str">
        <x:v>historical_research_2026-07-28</x:v>
      </x:c>
      <x:c r="T76" s="14" t="str">
        <x:v>historical_official_research</x:v>
      </x:c>
      <x:c r="U76" s="14" t="str">
        <x:v>Надіслано 28.07 — follow-up</x:v>
      </x:c>
      <x:c r="V76" s="15" t="str">
        <x:v>Follow-up з review-link; далі попросити 1 анонімізований артефакт</x:v>
      </x:c>
      <x:c r="W76" s="15" t="str">
        <x:v>Власник / директор; керівник ПТО</x:v>
      </x:c>
      <x:c r="X76" s="15" t="str">
        <x:v>Проєктування, монтаж і ремонт слабкострумових мереж для інфраструктурних об’єктів по Україні.</x:v>
      </x:c>
      <x:c r="Y76" s="15" t="str">
        <x:v>Приховані кабелі та точки підключення потребують фото, чек-листів і тестів до закриття оздобленням.</x:v>
      </x:c>
      <x:c r="Z76" s="15" t="str">
        <x:v>https://ig.in.ua/slabotochnye-seti-uk/</x:v>
      </x:c>
      <x:c r="AA76" s="14" t="str"/>
      <x:c r="AB76" s="14" t="str">
        <x:v>2026-07-28</x:v>
      </x:c>
      <x:c r="AC76" s="14" t="str">
        <x:v>Олександр</x:v>
      </x:c>
      <x:c r="AD76" s="18" t="str"/>
      <x:c r="AE76" s="14" t="str"/>
    </x:row>
    <x:row r="77">
      <x:c r="A77" s="14" t="str">
        <x:v>V3-041</x:v>
      </x:c>
      <x:c r="B77" s="14" t="str">
        <x:v>Досліджено 28.07</x:v>
      </x:c>
      <x:c r="C77" s="14" t="str">
        <x:v>Optimum Net</x:v>
      </x:c>
      <x:c r="D77" s="14" t="str">
        <x:v>Слаботочні системи</x:v>
      </x:c>
      <x:c r="E77" s="14" t="str">
        <x:v>Expansion discovery</x:v>
      </x:c>
      <x:c r="F77" s="17" t="str">
        <x:f>IF(E77="Pilot now",IF(P77&gt;=84,"P1",IF(P77&gt;=72,"P2","P3")),IF(E77="Expansion discovery",IF(Q77&gt;=88,"D1",IF(Q77&gt;=78,"D2","D3")),IF(E77="Later / requirements","L","Legacy")))</x:f>
        <x:v>D1</x:v>
      </x:c>
      <x:c r="G77" s="14" t="str">
        <x:v>optimumnet.com.ua</x:v>
      </x:c>
      <x:c r="H77" s="14" t="str">
        <x:v>Discovery — частково Н.15 + вимоги проєкту</x:v>
      </x:c>
      <x:c r="I77" s="16" t="n">
        <x:v>3</x:v>
      </x:c>
      <x:c r="J77" s="16" t="n">
        <x:v>5</x:v>
      </x:c>
      <x:c r="K77" s="16" t="n">
        <x:v>4</x:v>
      </x:c>
      <x:c r="L77" s="16" t="n">
        <x:v>5</x:v>
      </x:c>
      <x:c r="M77" s="16" t="n">
        <x:v>4</x:v>
      </x:c>
      <x:c r="N77" s="16" t="n">
        <x:v>5</x:v>
      </x:c>
      <x:c r="O77" s="16" t="n">
        <x:v>5</x:v>
      </x:c>
      <x:c r="P77" s="16" t="n">
        <x:f>IF(COUNT(I77:O77)&lt;7,"",I77*8+J77*3+K77*2+L77*2+M77*2+N77*2+O77)</x:f>
        <x:v>80</x:v>
      </x:c>
      <x:c r="Q77" s="16" t="n">
        <x:f>IF(COUNT(J77:O77)&lt;6,"",J77*5+K77*4+M77*4+L77*3+N77*2+O77*2)</x:f>
        <x:v>92</x:v>
      </x:c>
      <x:c r="R77" s="14" t="str">
        <x:v>medium</x:v>
      </x:c>
      <x:c r="S77" s="14" t="str">
        <x:v>historical_research_2026-07-28</x:v>
      </x:c>
      <x:c r="T77" s="14" t="str">
        <x:v>historical_official_research</x:v>
      </x:c>
      <x:c r="U77" s="14" t="str">
        <x:v>Надіслано 28.07 — follow-up</x:v>
      </x:c>
      <x:c r="V77" s="15" t="str">
        <x:v>Follow-up з review-link; далі попросити 1 анонімізований артефакт</x:v>
      </x:c>
      <x:c r="W77" s="15" t="str">
        <x:v>Власник / директор; керівник ПТО</x:v>
      </x:c>
      <x:c r="X77" s="15" t="str">
        <x:v>Проєктування, сертифікація й монтаж СКС/LAN об’єктів різного масштабу; заявлена робота по Україні.</x:v>
      </x:c>
      <x:c r="Y77" s="15" t="str">
        <x:v>Сотні кабельних портів, маркування й сертифікація ліній формують великий доказовий пакет перед здачею.</x:v>
      </x:c>
      <x:c r="Z77" s="15" t="str">
        <x:v>https://optimumnet.com.ua/</x:v>
      </x:c>
      <x:c r="AA77" s="14" t="str"/>
      <x:c r="AB77" s="14" t="str">
        <x:v>2026-07-28</x:v>
      </x:c>
      <x:c r="AC77" s="14" t="str">
        <x:v>Олександр</x:v>
      </x:c>
      <x:c r="AD77" s="18" t="str"/>
      <x:c r="AE77" s="14" t="str"/>
    </x:row>
    <x:row r="78">
      <x:c r="A78" s="14" t="str">
        <x:v>EXP-046</x:v>
      </x:c>
      <x:c r="B78" s="14" t="str">
        <x:v>Розширення ніш — 24.08</x:v>
      </x:c>
      <x:c r="C78" s="14" t="str">
        <x:v>Smart Systems</x:v>
      </x:c>
      <x:c r="D78" s="14" t="str">
        <x:v>СКС, BMS та слаботочна інтеграція</x:v>
      </x:c>
      <x:c r="E78" s="14" t="str">
        <x:v>Expansion discovery</x:v>
      </x:c>
      <x:c r="F78" s="17" t="str">
        <x:f>IF(E78="Pilot now",IF(P78&gt;=84,"P1",IF(P78&gt;=72,"P2","P3")),IF(E78="Expansion discovery",IF(Q78&gt;=88,"D1",IF(Q78&gt;=78,"D2","D3")),IF(E78="Later / requirements","L","Legacy")))</x:f>
        <x:v>D1</x:v>
      </x:c>
      <x:c r="G78" s="14" t="str">
        <x:v>smartsys.team</x:v>
      </x:c>
      <x:c r="H78" s="14" t="str">
        <x:v>Discovery — частково Н.15 + вимоги проєкту</x:v>
      </x:c>
      <x:c r="I78" s="16" t="n">
        <x:v>3</x:v>
      </x:c>
      <x:c r="J78" s="16" t="n">
        <x:v>5</x:v>
      </x:c>
      <x:c r="K78" s="16" t="n">
        <x:v>5</x:v>
      </x:c>
      <x:c r="L78" s="16" t="n">
        <x:v>3</x:v>
      </x:c>
      <x:c r="M78" s="16" t="n">
        <x:v>5</x:v>
      </x:c>
      <x:c r="N78" s="16" t="n">
        <x:v>5</x:v>
      </x:c>
      <x:c r="O78" s="16" t="n">
        <x:v>5</x:v>
      </x:c>
      <x:c r="P78" s="16" t="n">
        <x:f>IF(COUNT(I78:O78)&lt;7,"",I78*8+J78*3+K78*2+L78*2+M78*2+N78*2+O78)</x:f>
        <x:v>80</x:v>
      </x:c>
      <x:c r="Q78" s="16" t="n">
        <x:f>IF(COUNT(J78:O78)&lt;6,"",J78*5+K78*4+M78*4+L78*3+N78*2+O78*2)</x:f>
        <x:v>94</x:v>
      </x:c>
      <x:c r="R78" s="14" t="str">
        <x:v>high</x:v>
      </x:c>
      <x:c r="S78" s="14" t="str">
        <x:v>official_source_reverified</x:v>
      </x:c>
      <x:c r="T78" s="14" t="str">
        <x:v>official_source_reachable</x:v>
      </x:c>
      <x:c r="U78" s="14" t="str">
        <x:v>Новий — не контактували</x:v>
      </x:c>
      <x:c r="V78" s="15" t="str">
        <x:v>Discovery-call: отримати 1 реальний артефакт і вимоги проєкту; не обіцяти готове покриття</x:v>
      </x:c>
      <x:c r="W78" s="15" t="str">
        <x:v>Власник / комерційний директор; керівник проєктів; ПТО</x:v>
      </x:c>
      <x:c r="X78" s="15" t="str">
        <x:v>Проєктування, монтаж і тестування СКС для офісів, бізнес-центрів та інфраструктури.</x:v>
      </x:c>
      <x:c r="Y78" s="15" t="str">
        <x:v>Кабельні траси над стелями, маркування, тестування портів і пусконалагодження мають бути доведені до закриття та здачі системи.</x:v>
      </x:c>
      <x:c r="Z78" s="15" t="str">
        <x:v>https://smartsys.team/uk/kabelni-systemy/</x:v>
      </x:c>
      <x:c r="AA78" s="14" t="str"/>
      <x:c r="AB78" s="14" t="str">
        <x:v>2026-08-24</x:v>
      </x:c>
      <x:c r="AC78" s="14" t="str">
        <x:v>Олександр</x:v>
      </x:c>
      <x:c r="AD78" s="18" t="str"/>
      <x:c r="AE78" s="14" t="str"/>
    </x:row>
    <x:row r="79">
      <x:c r="A79" s="14" t="str">
        <x:v>EXP-063</x:v>
      </x:c>
      <x:c r="B79" s="14" t="str">
        <x:v>Розширення ніш — 24.08</x:v>
      </x:c>
      <x:c r="C79" s="14" t="str">
        <x:v>БРАС-ГРУП</x:v>
      </x:c>
      <x:c r="D79" s="14" t="str">
        <x:v>Басейни, водні комплекси та SPA</x:v>
      </x:c>
      <x:c r="E79" s="14" t="str">
        <x:v>Expansion discovery</x:v>
      </x:c>
      <x:c r="F79" s="17" t="str">
        <x:f>IF(E79="Pilot now",IF(P79&gt;=84,"P1",IF(P79&gt;=72,"P2","P3")),IF(E79="Expansion discovery",IF(Q79&gt;=88,"D1",IF(Q79&gt;=78,"D2","D3")),IF(E79="Later / requirements","L","Legacy")))</x:f>
        <x:v>D1</x:v>
      </x:c>
      <x:c r="G79" s="14" t="str">
        <x:v>brasgroup.com.ua</x:v>
      </x:c>
      <x:c r="H79" s="14" t="str">
        <x:v>Discovery — частково Н.14/Н.15 + вимоги проєкту</x:v>
      </x:c>
      <x:c r="I79" s="16" t="n">
        <x:v>3</x:v>
      </x:c>
      <x:c r="J79" s="16" t="n">
        <x:v>5</x:v>
      </x:c>
      <x:c r="K79" s="16" t="n">
        <x:v>5</x:v>
      </x:c>
      <x:c r="L79" s="16" t="n">
        <x:v>4</x:v>
      </x:c>
      <x:c r="M79" s="16" t="n">
        <x:v>5</x:v>
      </x:c>
      <x:c r="N79" s="16" t="n">
        <x:v>5</x:v>
      </x:c>
      <x:c r="O79" s="16" t="n">
        <x:v>2</x:v>
      </x:c>
      <x:c r="P79" s="16" t="n">
        <x:f>IF(COUNT(I79:O79)&lt;7,"",I79*8+J79*3+K79*2+L79*2+M79*2+N79*2+O79)</x:f>
        <x:v>79</x:v>
      </x:c>
      <x:c r="Q79" s="16" t="n">
        <x:f>IF(COUNT(J79:O79)&lt;6,"",J79*5+K79*4+M79*4+L79*3+N79*2+O79*2)</x:f>
        <x:v>91</x:v>
      </x:c>
      <x:c r="R79" s="14" t="str">
        <x:v>medium</x:v>
      </x:c>
      <x:c r="S79" s="14" t="str">
        <x:v>official_content_reverified_via_search_index</x:v>
      </x:c>
      <x:c r="T79" s="14" t="str">
        <x:v>http_423_live_site</x:v>
      </x:c>
      <x:c r="U79" s="14" t="str">
        <x:v>Новий — не контактували</x:v>
      </x:c>
      <x:c r="V79" s="15" t="str">
        <x:v>Discovery-call: отримати 1 реальний артефакт і вимоги проєкту; не обіцяти готове покриття</x:v>
      </x:c>
      <x:c r="W79" s="15" t="str">
        <x:v>Власник / директор; керівник будівництва; головний інженер</x:v>
      </x:c>
      <x:c r="X79" s="15" t="str">
        <x:v>Будівництво, реконструкція, автоматизація та сервіс приватних і комерційних басейнів.</x:v>
      </x:c>
      <x:c r="Y79" s="15" t="str">
        <x:v>Закладні, трубопроводи, гідроізоляція, електрика й автоматика закриваються чашею та оздобленням.</x:v>
      </x:c>
      <x:c r="Z79" s="15" t="str">
        <x:v>https://brasgroup.com.ua/</x:v>
      </x:c>
      <x:c r="AA79" s="14" t="str"/>
      <x:c r="AB79" s="14" t="str">
        <x:v>2026-08-24</x:v>
      </x:c>
      <x:c r="AC79" s="14" t="str">
        <x:v>Олександр</x:v>
      </x:c>
      <x:c r="AD79" s="18" t="str"/>
      <x:c r="AE79" s="14" t="str"/>
    </x:row>
    <x:row r="80">
      <x:c r="A80" s="14" t="str">
        <x:v>V3-039</x:v>
      </x:c>
      <x:c r="B80" s="14" t="str">
        <x:v>Досліджено 28.07</x:v>
      </x:c>
      <x:c r="C80" s="14" t="str">
        <x:v>ТОВ «СВІТ КАБЕЛЬНИХ СИСТЕМ»</x:v>
      </x:c>
      <x:c r="D80" s="14" t="str">
        <x:v>Слаботочні системи</x:v>
      </x:c>
      <x:c r="E80" s="14" t="str">
        <x:v>Expansion discovery</x:v>
      </x:c>
      <x:c r="F80" s="17" t="str">
        <x:f>IF(E80="Pilot now",IF(P80&gt;=84,"P1",IF(P80&gt;=72,"P2","P3")),IF(E80="Expansion discovery",IF(Q80&gt;=88,"D1",IF(Q80&gt;=78,"D2","D3")),IF(E80="Later / requirements","L","Legacy")))</x:f>
        <x:v>D1</x:v>
      </x:c>
      <x:c r="G80" s="14" t="str">
        <x:v>ikscs.in.ua</x:v>
      </x:c>
      <x:c r="H80" s="14" t="str">
        <x:v>Discovery — частково Н.15 + вимоги проєкту</x:v>
      </x:c>
      <x:c r="I80" s="16" t="n">
        <x:v>3</x:v>
      </x:c>
      <x:c r="J80" s="16" t="n">
        <x:v>5</x:v>
      </x:c>
      <x:c r="K80" s="16" t="n">
        <x:v>4</x:v>
      </x:c>
      <x:c r="L80" s="16" t="n">
        <x:v>4</x:v>
      </x:c>
      <x:c r="M80" s="16" t="n">
        <x:v>4</x:v>
      </x:c>
      <x:c r="N80" s="16" t="n">
        <x:v>5</x:v>
      </x:c>
      <x:c r="O80" s="16" t="n">
        <x:v>5</x:v>
      </x:c>
      <x:c r="P80" s="16" t="n">
        <x:f>IF(COUNT(I80:O80)&lt;7,"",I80*8+J80*3+K80*2+L80*2+M80*2+N80*2+O80)</x:f>
        <x:v>78</x:v>
      </x:c>
      <x:c r="Q80" s="16" t="n">
        <x:f>IF(COUNT(J80:O80)&lt;6,"",J80*5+K80*4+M80*4+L80*3+N80*2+O80*2)</x:f>
        <x:v>89</x:v>
      </x:c>
      <x:c r="R80" s="14" t="str">
        <x:v>medium</x:v>
      </x:c>
      <x:c r="S80" s="14" t="str">
        <x:v>historical_research_2026-07-28</x:v>
      </x:c>
      <x:c r="T80" s="14" t="str">
        <x:v>historical_official_research</x:v>
      </x:c>
      <x:c r="U80" s="14" t="str">
        <x:v>Надіслано 28.07 — follow-up</x:v>
      </x:c>
      <x:c r="V80" s="15" t="str">
        <x:v>Follow-up з review-link; далі попросити 1 анонімізований артефакт</x:v>
      </x:c>
      <x:c r="W80" s="15" t="str">
        <x:v>Власник / директор; керівник ПТО</x:v>
      </x:c>
      <x:c r="X80" s="15" t="str">
        <x:v>СКС, відеонагляд, контроль доступу, IP-телефонія, сигналізація та електромонтажні роботи.</x:v>
      </x:c>
      <x:c r="Y80" s="15" t="str">
        <x:v>Велика кількість кабельних ліній і кінцевих точок створює ризик неповної фіксації перед закриттям.</x:v>
      </x:c>
      <x:c r="Z80" s="15" t="str">
        <x:v>https://ikscs.in.ua/</x:v>
      </x:c>
      <x:c r="AA80" s="14" t="str">
        <x:v>40217647</x:v>
      </x:c>
      <x:c r="AB80" s="14" t="str">
        <x:v>2026-07-28</x:v>
      </x:c>
      <x:c r="AC80" s="14" t="str">
        <x:v>Олександр</x:v>
      </x:c>
      <x:c r="AD80" s="18" t="str"/>
      <x:c r="AE80" s="14" t="str"/>
    </x:row>
    <x:row r="81">
      <x:c r="A81" s="14" t="str">
        <x:v>EXP-037</x:v>
      </x:c>
      <x:c r="B81" s="14" t="str">
        <x:v>Розширення ніш — 24.08</x:v>
      </x:c>
      <x:c r="C81" s="14" t="str">
        <x:v>Kovlar Group</x:v>
      </x:c>
      <x:c r="D81" s="14" t="str">
        <x:v>Пасивний вогнезахист</x:v>
      </x:c>
      <x:c r="E81" s="14" t="str">
        <x:v>Expansion discovery</x:v>
      </x:c>
      <x:c r="F81" s="17" t="str">
        <x:f>IF(E81="Pilot now",IF(P81&gt;=84,"P1",IF(P81&gt;=72,"P2","P3")),IF(E81="Expansion discovery",IF(Q81&gt;=88,"D1",IF(Q81&gt;=78,"D2","D3")),IF(E81="Later / requirements","L","Legacy")))</x:f>
        <x:v>D1</x:v>
      </x:c>
      <x:c r="G81" s="14" t="str">
        <x:v>kovlargroup.com</x:v>
      </x:c>
      <x:c r="H81" s="14" t="str">
        <x:v>Discovery — вимоги проєкту</x:v>
      </x:c>
      <x:c r="I81" s="16" t="n">
        <x:v>1</x:v>
      </x:c>
      <x:c r="J81" s="16" t="n">
        <x:v>5</x:v>
      </x:c>
      <x:c r="K81" s="16" t="n">
        <x:v>5</x:v>
      </x:c>
      <x:c r="L81" s="16" t="n">
        <x:v>5</x:v>
      </x:c>
      <x:c r="M81" s="16" t="n">
        <x:v>5</x:v>
      </x:c>
      <x:c r="N81" s="16" t="n">
        <x:v>5</x:v>
      </x:c>
      <x:c r="O81" s="16" t="n">
        <x:v>5</x:v>
      </x:c>
      <x:c r="P81" s="16" t="n">
        <x:f>IF(COUNT(I81:O81)&lt;7,"",I81*8+J81*3+K81*2+L81*2+M81*2+N81*2+O81)</x:f>
        <x:v>68</x:v>
      </x:c>
      <x:c r="Q81" s="16" t="n">
        <x:f>IF(COUNT(J81:O81)&lt;6,"",J81*5+K81*4+M81*4+L81*3+N81*2+O81*2)</x:f>
        <x:v>100</x:v>
      </x:c>
      <x:c r="R81" s="14" t="str">
        <x:v>high</x:v>
      </x:c>
      <x:c r="S81" s="14" t="str">
        <x:v>official_source_reverified</x:v>
      </x:c>
      <x:c r="T81" s="14" t="str">
        <x:v>official_source_reachable</x:v>
      </x:c>
      <x:c r="U81" s="14" t="str">
        <x:v>Новий — не контактували</x:v>
      </x:c>
      <x:c r="V81" s="15" t="str">
        <x:v>Discovery-call: отримати 1 реальний артефакт і вимоги проєкту; не обіцяти готове покриття</x:v>
      </x:c>
      <x:c r="W81" s="15" t="str">
        <x:v>Власник / директор; керівник проєктів; відповідальний за якість</x:v>
      </x:c>
      <x:c r="X81" s="15" t="str">
        <x:v>Проєктування, експертиза, лабораторні випробування й здача-приймання вогнезахисту.</x:v>
      </x:c>
      <x:c r="Y81" s="15" t="str">
        <x:v>Товщина покриття, підготовка поверхні, кабельні проходки й сертифіковані матеріали потребують доказів до закриття оздобленням.</x:v>
      </x:c>
      <x:c r="Z81" s="15" t="str">
        <x:v>https://kovlargroup.com/uk/services/services-uk/</x:v>
      </x:c>
      <x:c r="AA81" s="14" t="str"/>
      <x:c r="AB81" s="14" t="str">
        <x:v>2026-08-24</x:v>
      </x:c>
      <x:c r="AC81" s="14" t="str">
        <x:v>Олександр</x:v>
      </x:c>
      <x:c r="AD81" s="18" t="str"/>
      <x:c r="AE81" s="14" t="str"/>
    </x:row>
    <x:row r="82">
      <x:c r="A82" s="14" t="str">
        <x:v>EXP-036</x:v>
      </x:c>
      <x:c r="B82" s="14" t="str">
        <x:v>Розширення ніш — 24.08</x:v>
      </x:c>
      <x:c r="C82" s="14" t="str">
        <x:v>Системи Вашої Безпеки</x:v>
      </x:c>
      <x:c r="D82" s="14" t="str">
        <x:v>Пасивний вогнезахист</x:v>
      </x:c>
      <x:c r="E82" s="14" t="str">
        <x:v>Expansion discovery</x:v>
      </x:c>
      <x:c r="F82" s="17" t="str">
        <x:f>IF(E82="Pilot now",IF(P82&gt;=84,"P1",IF(P82&gt;=72,"P2","P3")),IF(E82="Expansion discovery",IF(Q82&gt;=88,"D1",IF(Q82&gt;=78,"D2","D3")),IF(E82="Later / requirements","L","Legacy")))</x:f>
        <x:v>D1</x:v>
      </x:c>
      <x:c r="G82" s="14" t="str">
        <x:v>svb.com.ua</x:v>
      </x:c>
      <x:c r="H82" s="14" t="str">
        <x:v>Discovery — вимоги проєкту</x:v>
      </x:c>
      <x:c r="I82" s="16" t="n">
        <x:v>1</x:v>
      </x:c>
      <x:c r="J82" s="16" t="n">
        <x:v>5</x:v>
      </x:c>
      <x:c r="K82" s="16" t="n">
        <x:v>5</x:v>
      </x:c>
      <x:c r="L82" s="16" t="n">
        <x:v>4</x:v>
      </x:c>
      <x:c r="M82" s="16" t="n">
        <x:v>5</x:v>
      </x:c>
      <x:c r="N82" s="16" t="n">
        <x:v>5</x:v>
      </x:c>
      <x:c r="O82" s="16" t="n">
        <x:v>5</x:v>
      </x:c>
      <x:c r="P82" s="16" t="n">
        <x:f>IF(COUNT(I82:O82)&lt;7,"",I82*8+J82*3+K82*2+L82*2+M82*2+N82*2+O82)</x:f>
        <x:v>66</x:v>
      </x:c>
      <x:c r="Q82" s="16" t="n">
        <x:f>IF(COUNT(J82:O82)&lt;6,"",J82*5+K82*4+M82*4+L82*3+N82*2+O82*2)</x:f>
        <x:v>97</x:v>
      </x:c>
      <x:c r="R82" s="14" t="str">
        <x:v>high</x:v>
      </x:c>
      <x:c r="S82" s="14" t="str">
        <x:v>official_source_reverified</x:v>
      </x:c>
      <x:c r="T82" s="14" t="str">
        <x:v>official_source_reachable</x:v>
      </x:c>
      <x:c r="U82" s="14" t="str">
        <x:v>Новий — не контактували</x:v>
      </x:c>
      <x:c r="V82" s="15" t="str">
        <x:v>Discovery-call: отримати 1 реальний артефакт і вимоги проєкту; не обіцяти готове покриття</x:v>
      </x:c>
      <x:c r="W82" s="15" t="str">
        <x:v>Власник / директор; керівник проєктів; відповідальний за якість</x:v>
      </x:c>
      <x:c r="X82" s="15" t="str">
        <x:v>Обробка дерева, металу й кабельних проходок з актами для перевірок.</x:v>
      </x:c>
      <x:c r="Y82" s="15" t="str">
        <x:v>Товщина покриття, підготовка поверхні, кабельні проходки й сертифіковані матеріали потребують доказів до закриття оздобленням.</x:v>
      </x:c>
      <x:c r="Z82" s="15" t="str">
        <x:v>https://svb.com.ua/poslugi/vognezahisna-obrobka/</x:v>
      </x:c>
      <x:c r="AA82" s="14" t="str"/>
      <x:c r="AB82" s="14" t="str">
        <x:v>2026-08-24</x:v>
      </x:c>
      <x:c r="AC82" s="14" t="str">
        <x:v>Олександр</x:v>
      </x:c>
      <x:c r="AD82" s="18" t="str"/>
      <x:c r="AE82" s="14" t="str"/>
    </x:row>
    <x:row r="83">
      <x:c r="A83" s="14" t="str">
        <x:v>EXP-040</x:v>
      </x:c>
      <x:c r="B83" s="14" t="str">
        <x:v>Розширення ніш — 24.08</x:v>
      </x:c>
      <x:c r="C83" s="14" t="str">
        <x:v>СПЕЦПОЖЗАХИСТ-УКРАЇНА</x:v>
      </x:c>
      <x:c r="D83" s="14" t="str">
        <x:v>Пасивний вогнезахист</x:v>
      </x:c>
      <x:c r="E83" s="14" t="str">
        <x:v>Expansion discovery</x:v>
      </x:c>
      <x:c r="F83" s="17" t="str">
        <x:f>IF(E83="Pilot now",IF(P83&gt;=84,"P1",IF(P83&gt;=72,"P2","P3")),IF(E83="Expansion discovery",IF(Q83&gt;=88,"D1",IF(Q83&gt;=78,"D2","D3")),IF(E83="Later / requirements","L","Legacy")))</x:f>
        <x:v>D1</x:v>
      </x:c>
      <x:c r="G83" s="14" t="str">
        <x:v>spz-bc.com.ua</x:v>
      </x:c>
      <x:c r="H83" s="14" t="str">
        <x:v>Discovery — вимоги проєкту</x:v>
      </x:c>
      <x:c r="I83" s="16" t="n">
        <x:v>1</x:v>
      </x:c>
      <x:c r="J83" s="16" t="n">
        <x:v>5</x:v>
      </x:c>
      <x:c r="K83" s="16" t="n">
        <x:v>5</x:v>
      </x:c>
      <x:c r="L83" s="16" t="n">
        <x:v>4</x:v>
      </x:c>
      <x:c r="M83" s="16" t="n">
        <x:v>5</x:v>
      </x:c>
      <x:c r="N83" s="16" t="n">
        <x:v>5</x:v>
      </x:c>
      <x:c r="O83" s="16" t="n">
        <x:v>5</x:v>
      </x:c>
      <x:c r="P83" s="16" t="n">
        <x:f>IF(COUNT(I83:O83)&lt;7,"",I83*8+J83*3+K83*2+L83*2+M83*2+N83*2+O83)</x:f>
        <x:v>66</x:v>
      </x:c>
      <x:c r="Q83" s="16" t="n">
        <x:f>IF(COUNT(J83:O83)&lt;6,"",J83*5+K83*4+M83*4+L83*3+N83*2+O83*2)</x:f>
        <x:v>97</x:v>
      </x:c>
      <x:c r="R83" s="14" t="str">
        <x:v>high</x:v>
      </x:c>
      <x:c r="S83" s="14" t="str">
        <x:v>official_source_reverified</x:v>
      </x:c>
      <x:c r="T83" s="14" t="str">
        <x:v>official_source_reachable</x:v>
      </x:c>
      <x:c r="U83" s="14" t="str">
        <x:v>Новий — не контактували</x:v>
      </x:c>
      <x:c r="V83" s="15" t="str">
        <x:v>Discovery-call: отримати 1 реальний артефакт і вимоги проєкту; не обіцяти готове покриття</x:v>
      </x:c>
      <x:c r="W83" s="15" t="str">
        <x:v>Власник / директор; керівник проєктів; відповідальний за якість</x:v>
      </x:c>
      <x:c r="X83" s="15" t="str">
        <x:v>Проєктування й монтаж під ключ у пожежній та техногенній безпеці.</x:v>
      </x:c>
      <x:c r="Y83" s="15" t="str">
        <x:v>Товщина покриття, підготовка поверхні, кабельні проходки й сертифіковані матеріали потребують доказів до закриття оздобленням.</x:v>
      </x:c>
      <x:c r="Z83" s="15" t="str">
        <x:v>https://www.spz-bc.com.ua/</x:v>
      </x:c>
      <x:c r="AA83" s="14" t="str"/>
      <x:c r="AB83" s="14" t="str">
        <x:v>2026-08-24</x:v>
      </x:c>
      <x:c r="AC83" s="14" t="str">
        <x:v>Олександр</x:v>
      </x:c>
      <x:c r="AD83" s="18" t="str"/>
      <x:c r="AE83" s="14" t="str"/>
    </x:row>
    <x:row r="84">
      <x:c r="A84" s="14" t="str">
        <x:v>EXP-039</x:v>
      </x:c>
      <x:c r="B84" s="14" t="str">
        <x:v>Розширення ніш — 24.08</x:v>
      </x:c>
      <x:c r="C84" s="14" t="str">
        <x:v>Український центр технічної безпеки</x:v>
      </x:c>
      <x:c r="D84" s="14" t="str">
        <x:v>Пасивний вогнезахист</x:v>
      </x:c>
      <x:c r="E84" s="14" t="str">
        <x:v>Expansion discovery</x:v>
      </x:c>
      <x:c r="F84" s="17" t="str">
        <x:f>IF(E84="Pilot now",IF(P84&gt;=84,"P1",IF(P84&gt;=72,"P2","P3")),IF(E84="Expansion discovery",IF(Q84&gt;=88,"D1",IF(Q84&gt;=78,"D2","D3")),IF(E84="Later / requirements","L","Legacy")))</x:f>
        <x:v>D1</x:v>
      </x:c>
      <x:c r="G84" s="14" t="str">
        <x:v>uctb.ua</x:v>
      </x:c>
      <x:c r="H84" s="14" t="str">
        <x:v>Discovery — вимоги проєкту</x:v>
      </x:c>
      <x:c r="I84" s="16" t="n">
        <x:v>1</x:v>
      </x:c>
      <x:c r="J84" s="16" t="n">
        <x:v>5</x:v>
      </x:c>
      <x:c r="K84" s="16" t="n">
        <x:v>5</x:v>
      </x:c>
      <x:c r="L84" s="16" t="n">
        <x:v>4</x:v>
      </x:c>
      <x:c r="M84" s="16" t="n">
        <x:v>5</x:v>
      </x:c>
      <x:c r="N84" s="16" t="n">
        <x:v>5</x:v>
      </x:c>
      <x:c r="O84" s="16" t="n">
        <x:v>5</x:v>
      </x:c>
      <x:c r="P84" s="16" t="n">
        <x:f>IF(COUNT(I84:O84)&lt;7,"",I84*8+J84*3+K84*2+L84*2+M84*2+N84*2+O84)</x:f>
        <x:v>66</x:v>
      </x:c>
      <x:c r="Q84" s="16" t="n">
        <x:f>IF(COUNT(J84:O84)&lt;6,"",J84*5+K84*4+M84*4+L84*3+N84*2+O84*2)</x:f>
        <x:v>97</x:v>
      </x:c>
      <x:c r="R84" s="14" t="str">
        <x:v>high</x:v>
      </x:c>
      <x:c r="S84" s="14" t="str">
        <x:v>official_source_reverified</x:v>
      </x:c>
      <x:c r="T84" s="14" t="str">
        <x:v>official_source_reachable</x:v>
      </x:c>
      <x:c r="U84" s="14" t="str">
        <x:v>Новий — не контактували</x:v>
      </x:c>
      <x:c r="V84" s="15" t="str">
        <x:v>Discovery-call: отримати 1 реальний артефакт і вимоги проєкту; не обіцяти готове покриття</x:v>
      </x:c>
      <x:c r="W84" s="15" t="str">
        <x:v>Власник / директор; керівник проєктів; відповідальний за якість</x:v>
      </x:c>
      <x:c r="X84" s="15" t="str">
        <x:v>Проєктування, монтаж і пусконалагодження протипожежних систем та вогнезахисної обробки.</x:v>
      </x:c>
      <x:c r="Y84" s="15" t="str">
        <x:v>Товщина покриття, підготовка поверхні, кабельні проходки й сертифіковані матеріали потребують доказів до закриття оздобленням.</x:v>
      </x:c>
      <x:c r="Z84" s="15" t="str">
        <x:v>http://uctb.ua/</x:v>
      </x:c>
      <x:c r="AA84" s="14" t="str"/>
      <x:c r="AB84" s="14" t="str">
        <x:v>2026-08-24</x:v>
      </x:c>
      <x:c r="AC84" s="14" t="str">
        <x:v>Олександр</x:v>
      </x:c>
      <x:c r="AD84" s="18" t="str"/>
      <x:c r="AE84" s="14" t="str"/>
    </x:row>
    <x:row r="85">
      <x:c r="A85" s="14" t="str">
        <x:v>EXP-035</x:v>
      </x:c>
      <x:c r="B85" s="14" t="str">
        <x:v>Розширення ніш — 24.08</x:v>
      </x:c>
      <x:c r="C85" s="14" t="str">
        <x:v>DEFENS</x:v>
      </x:c>
      <x:c r="D85" s="14" t="str">
        <x:v>Пасивний вогнезахист</x:v>
      </x:c>
      <x:c r="E85" s="14" t="str">
        <x:v>Expansion discovery</x:v>
      </x:c>
      <x:c r="F85" s="17" t="str">
        <x:f>IF(E85="Pilot now",IF(P85&gt;=84,"P1",IF(P85&gt;=72,"P2","P3")),IF(E85="Expansion discovery",IF(Q85&gt;=88,"D1",IF(Q85&gt;=78,"D2","D3")),IF(E85="Later / requirements","L","Legacy")))</x:f>
        <x:v>D1</x:v>
      </x:c>
      <x:c r="G85" s="14" t="str">
        <x:v>defens.ua</x:v>
      </x:c>
      <x:c r="H85" s="14" t="str">
        <x:v>Discovery — вимоги проєкту</x:v>
      </x:c>
      <x:c r="I85" s="16" t="n">
        <x:v>1</x:v>
      </x:c>
      <x:c r="J85" s="16" t="n">
        <x:v>5</x:v>
      </x:c>
      <x:c r="K85" s="16" t="n">
        <x:v>5</x:v>
      </x:c>
      <x:c r="L85" s="16" t="n">
        <x:v>4</x:v>
      </x:c>
      <x:c r="M85" s="16" t="n">
        <x:v>5</x:v>
      </x:c>
      <x:c r="N85" s="16" t="n">
        <x:v>5</x:v>
      </x:c>
      <x:c r="O85" s="16" t="n">
        <x:v>5</x:v>
      </x:c>
      <x:c r="P85" s="16" t="n">
        <x:f>IF(COUNT(I85:O85)&lt;7,"",I85*8+J85*3+K85*2+L85*2+M85*2+N85*2+O85)</x:f>
        <x:v>66</x:v>
      </x:c>
      <x:c r="Q85" s="16" t="n">
        <x:f>IF(COUNT(J85:O85)&lt;6,"",J85*5+K85*4+M85*4+L85*3+N85*2+O85*2)</x:f>
        <x:v>97</x:v>
      </x:c>
      <x:c r="R85" s="14" t="str">
        <x:v>high</x:v>
      </x:c>
      <x:c r="S85" s="14" t="str">
        <x:v>official_source_reverified</x:v>
      </x:c>
      <x:c r="T85" s="14" t="str">
        <x:v>official_source_reachable</x:v>
      </x:c>
      <x:c r="U85" s="14" t="str">
        <x:v>Новий — не контактували</x:v>
      </x:c>
      <x:c r="V85" s="15" t="str">
        <x:v>Discovery-call: отримати 1 реальний артефакт і вимоги проєкту; не обіцяти готове покриття</x:v>
      </x:c>
      <x:c r="W85" s="15" t="str">
        <x:v>Власник / директор; керівник проєктів; відповідальний за якість</x:v>
      </x:c>
      <x:c r="X85" s="15" t="str">
        <x:v>Власне виробництво та нанесення вогнезахисних покриттів на металоконструкції.</x:v>
      </x:c>
      <x:c r="Y85" s="15" t="str">
        <x:v>Товщина покриття, підготовка поверхні, кабельні проходки й сертифіковані матеріали потребують доказів до закриття оздобленням.</x:v>
      </x:c>
      <x:c r="Z85" s="15" t="str">
        <x:v>https://www.defens.ua/</x:v>
      </x:c>
      <x:c r="AA85" s="14" t="str"/>
      <x:c r="AB85" s="14" t="str">
        <x:v>2026-08-24</x:v>
      </x:c>
      <x:c r="AC85" s="14" t="str">
        <x:v>Олександр</x:v>
      </x:c>
      <x:c r="AD85" s="18" t="str"/>
      <x:c r="AE85" s="14" t="str"/>
    </x:row>
    <x:row r="86">
      <x:c r="A86" s="14" t="str">
        <x:v>EXP-041</x:v>
      </x:c>
      <x:c r="B86" s="14" t="str">
        <x:v>Розширення ніш — 24.08</x:v>
      </x:c>
      <x:c r="C86" s="14" t="str">
        <x:v>ORION GROUP</x:v>
      </x:c>
      <x:c r="D86" s="14" t="str">
        <x:v>Промислова теплоізоляція</x:v>
      </x:c>
      <x:c r="E86" s="14" t="str">
        <x:v>Expansion discovery</x:v>
      </x:c>
      <x:c r="F86" s="17" t="str">
        <x:f>IF(E86="Pilot now",IF(P86&gt;=84,"P1",IF(P86&gt;=72,"P2","P3")),IF(E86="Expansion discovery",IF(Q86&gt;=88,"D1",IF(Q86&gt;=78,"D2","D3")),IF(E86="Later / requirements","L","Legacy")))</x:f>
        <x:v>D1</x:v>
      </x:c>
      <x:c r="G86" s="14" t="str">
        <x:v>oriongr.com</x:v>
      </x:c>
      <x:c r="H86" s="14" t="str">
        <x:v>Discovery — вимоги проєкту</x:v>
      </x:c>
      <x:c r="I86" s="16" t="n">
        <x:v>1</x:v>
      </x:c>
      <x:c r="J86" s="16" t="n">
        <x:v>5</x:v>
      </x:c>
      <x:c r="K86" s="16" t="n">
        <x:v>5</x:v>
      </x:c>
      <x:c r="L86" s="16" t="n">
        <x:v>5</x:v>
      </x:c>
      <x:c r="M86" s="16" t="n">
        <x:v>4</x:v>
      </x:c>
      <x:c r="N86" s="16" t="n">
        <x:v>5</x:v>
      </x:c>
      <x:c r="O86" s="16" t="n">
        <x:v>5</x:v>
      </x:c>
      <x:c r="P86" s="16" t="n">
        <x:f>IF(COUNT(I86:O86)&lt;7,"",I86*8+J86*3+K86*2+L86*2+M86*2+N86*2+O86)</x:f>
        <x:v>66</x:v>
      </x:c>
      <x:c r="Q86" s="16" t="n">
        <x:f>IF(COUNT(J86:O86)&lt;6,"",J86*5+K86*4+M86*4+L86*3+N86*2+O86*2)</x:f>
        <x:v>96</x:v>
      </x:c>
      <x:c r="R86" s="14" t="str">
        <x:v>high</x:v>
      </x:c>
      <x:c r="S86" s="14" t="str">
        <x:v>official_source_reverified</x:v>
      </x:c>
      <x:c r="T86" s="14" t="str">
        <x:v>official_source_reachable</x:v>
      </x:c>
      <x:c r="U86" s="14" t="str">
        <x:v>Новий — не контактували</x:v>
      </x:c>
      <x:c r="V86" s="15" t="str">
        <x:v>Discovery-call: отримати 1 реальний артефакт і вимоги проєкту; не обіцяти готове покриття</x:v>
      </x:c>
      <x:c r="W86" s="15" t="str">
        <x:v>Директор; головний інженер; керівник промислового монтажу</x:v>
      </x:c>
      <x:c r="X86" s="15" t="str">
        <x:v>30+ років; ізоляція трубопроводів і ємностей у pharma, food, chemical та energy.</x:v>
      </x:c>
      <x:c r="Y86" s="15" t="str">
        <x:v>Стан трубопроводу, товщина й суцільність ізоляції закриваються металевим кожухом; важливі фото по етапах.</x:v>
      </x:c>
      <x:c r="Z86" s="15" t="str">
        <x:v>https://oriongr.com/montazhni-roboty/izoliatsijni-roboty/</x:v>
      </x:c>
      <x:c r="AA86" s="14" t="str"/>
      <x:c r="AB86" s="14" t="str">
        <x:v>2026-08-24</x:v>
      </x:c>
      <x:c r="AC86" s="14" t="str">
        <x:v>Олександр</x:v>
      </x:c>
      <x:c r="AD86" s="18" t="str"/>
      <x:c r="AE86" s="14" t="str"/>
    </x:row>
    <x:row r="87">
      <x:c r="A87" s="14" t="str">
        <x:v>EXP-056</x:v>
      </x:c>
      <x:c r="B87" s="14" t="str">
        <x:v>Розширення ніш — 24.08</x:v>
      </x:c>
      <x:c r="C87" s="14" t="str">
        <x:v>ЄВРОЛІФТ</x:v>
      </x:c>
      <x:c r="D87" s="14" t="str">
        <x:v>Ліфти, ескалатори та підйомники</x:v>
      </x:c>
      <x:c r="E87" s="14" t="str">
        <x:v>Expansion discovery</x:v>
      </x:c>
      <x:c r="F87" s="17" t="str">
        <x:f>IF(E87="Pilot now",IF(P87&gt;=84,"P1",IF(P87&gt;=72,"P2","P3")),IF(E87="Expansion discovery",IF(Q87&gt;=88,"D1",IF(Q87&gt;=78,"D2","D3")),IF(E87="Later / requirements","L","Legacy")))</x:f>
        <x:v>D1</x:v>
      </x:c>
      <x:c r="G87" s="14" t="str">
        <x:v>eurolift.com.ua</x:v>
      </x:c>
      <x:c r="H87" s="14" t="str">
        <x:v>Discovery — вимоги проєкту</x:v>
      </x:c>
      <x:c r="I87" s="16" t="n">
        <x:v>1</x:v>
      </x:c>
      <x:c r="J87" s="16" t="n">
        <x:v>4</x:v>
      </x:c>
      <x:c r="K87" s="16" t="n">
        <x:v>4</x:v>
      </x:c>
      <x:c r="L87" s="16" t="n">
        <x:v>5</x:v>
      </x:c>
      <x:c r="M87" s="16" t="n">
        <x:v>5</x:v>
      </x:c>
      <x:c r="N87" s="16" t="n">
        <x:v>5</x:v>
      </x:c>
      <x:c r="O87" s="16" t="n">
        <x:v>5</x:v>
      </x:c>
      <x:c r="P87" s="16" t="n">
        <x:f>IF(COUNT(I87:O87)&lt;7,"",I87*8+J87*3+K87*2+L87*2+M87*2+N87*2+O87)</x:f>
        <x:v>63</x:v>
      </x:c>
      <x:c r="Q87" s="16" t="n">
        <x:f>IF(COUNT(J87:O87)&lt;6,"",J87*5+K87*4+M87*4+L87*3+N87*2+O87*2)</x:f>
        <x:v>91</x:v>
      </x:c>
      <x:c r="R87" s="14" t="str">
        <x:v>high</x:v>
      </x:c>
      <x:c r="S87" s="14" t="str">
        <x:v>official_source_reverified</x:v>
      </x:c>
      <x:c r="T87" s="14" t="str">
        <x:v>official_source_reachable</x:v>
      </x:c>
      <x:c r="U87" s="14" t="str">
        <x:v>Новий — не контактували</x:v>
      </x:c>
      <x:c r="V87" s="15" t="str">
        <x:v>Discovery-call: отримати 1 реальний артефакт і вимоги проєкту; не обіцяти готове покриття</x:v>
      </x:c>
      <x:c r="W87" s="15" t="str">
        <x:v>Директор; керівник монтажу; відповідальний за введення в експлуатацію</x:v>
      </x:c>
      <x:c r="X87" s="15" t="str">
        <x:v>Поставка, монтаж і гарантійна підтримка ліфтів, ескалаторів та підйомників; велике портфоліо.</x:v>
      </x:c>
      <x:c r="Y87" s="15" t="str">
        <x:v>Закладні, напрямні, електрика, випробування й постановка на облік мають поетапну приймальну документацію.</x:v>
      </x:c>
      <x:c r="Z87" s="15" t="str">
        <x:v>https://www.eurolift.com.ua/</x:v>
      </x:c>
      <x:c r="AA87" s="14" t="str"/>
      <x:c r="AB87" s="14" t="str">
        <x:v>2026-08-24</x:v>
      </x:c>
      <x:c r="AC87" s="14" t="str">
        <x:v>Олександр</x:v>
      </x:c>
      <x:c r="AD87" s="18" t="str"/>
      <x:c r="AE87" s="14" t="str"/>
    </x:row>
    <x:row r="88">
      <x:c r="A88" s="14" t="str">
        <x:v>EXP-057</x:v>
      </x:c>
      <x:c r="B88" s="14" t="str">
        <x:v>Розширення ніш — 24.08</x:v>
      </x:c>
      <x:c r="C88" s="14" t="str">
        <x:v>LSK</x:v>
      </x:c>
      <x:c r="D88" s="14" t="str">
        <x:v>Ліфти, ескалатори та підйомники</x:v>
      </x:c>
      <x:c r="E88" s="14" t="str">
        <x:v>Expansion discovery</x:v>
      </x:c>
      <x:c r="F88" s="17" t="str">
        <x:f>IF(E88="Pilot now",IF(P88&gt;=84,"P1",IF(P88&gt;=72,"P2","P3")),IF(E88="Expansion discovery",IF(Q88&gt;=88,"D1",IF(Q88&gt;=78,"D2","D3")),IF(E88="Later / requirements","L","Legacy")))</x:f>
        <x:v>D1</x:v>
      </x:c>
      <x:c r="G88" s="14" t="str">
        <x:v>lsk.com.ua</x:v>
      </x:c>
      <x:c r="H88" s="14" t="str">
        <x:v>Discovery — вимоги проєкту</x:v>
      </x:c>
      <x:c r="I88" s="16" t="n">
        <x:v>1</x:v>
      </x:c>
      <x:c r="J88" s="16" t="n">
        <x:v>4</x:v>
      </x:c>
      <x:c r="K88" s="16" t="n">
        <x:v>4</x:v>
      </x:c>
      <x:c r="L88" s="16" t="n">
        <x:v>5</x:v>
      </x:c>
      <x:c r="M88" s="16" t="n">
        <x:v>5</x:v>
      </x:c>
      <x:c r="N88" s="16" t="n">
        <x:v>5</x:v>
      </x:c>
      <x:c r="O88" s="16" t="n">
        <x:v>5</x:v>
      </x:c>
      <x:c r="P88" s="16" t="n">
        <x:f>IF(COUNT(I88:O88)&lt;7,"",I88*8+J88*3+K88*2+L88*2+M88*2+N88*2+O88)</x:f>
        <x:v>63</x:v>
      </x:c>
      <x:c r="Q88" s="16" t="n">
        <x:f>IF(COUNT(J88:O88)&lt;6,"",J88*5+K88*4+M88*4+L88*3+N88*2+O88*2)</x:f>
        <x:v>91</x:v>
      </x:c>
      <x:c r="R88" s="14" t="str">
        <x:v>high</x:v>
      </x:c>
      <x:c r="S88" s="14" t="str">
        <x:v>official_source_reverified</x:v>
      </x:c>
      <x:c r="T88" s="14" t="str">
        <x:v>official_source_reachable</x:v>
      </x:c>
      <x:c r="U88" s="14" t="str">
        <x:v>Новий — не контактували</x:v>
      </x:c>
      <x:c r="V88" s="15" t="str">
        <x:v>Discovery-call: отримати 1 реальний артефакт і вимоги проєкту; не обіцяти готове покриття</x:v>
      </x:c>
      <x:c r="W88" s="15" t="str">
        <x:v>Директор; керівник монтажу; відповідальний за введення в експлуатацію</x:v>
      </x:c>
      <x:c r="X88" s="15" t="str">
        <x:v>20 років, 1000+ об’єктів; від проєкту й монтажу до постановки на облік.</x:v>
      </x:c>
      <x:c r="Y88" s="15" t="str">
        <x:v>Закладні, напрямні, електрика, випробування й постановка на облік мають поетапну приймальну документацію.</x:v>
      </x:c>
      <x:c r="Z88" s="15" t="str">
        <x:v>https://lsk.com.ua/</x:v>
      </x:c>
      <x:c r="AA88" s="14" t="str"/>
      <x:c r="AB88" s="14" t="str">
        <x:v>2026-08-24</x:v>
      </x:c>
      <x:c r="AC88" s="14" t="str">
        <x:v>Олександр</x:v>
      </x:c>
      <x:c r="AD88" s="18" t="str"/>
      <x:c r="AE88" s="14" t="str"/>
    </x:row>
    <x:row r="89">
      <x:c r="A89" s="14" t="str">
        <x:v>EXP-042</x:v>
      </x:c>
      <x:c r="B89" s="14" t="str">
        <x:v>Розширення ніш — 24.08</x:v>
      </x:c>
      <x:c r="C89" s="14" t="str">
        <x:v>ІНКРАФТ</x:v>
      </x:c>
      <x:c r="D89" s="14" t="str">
        <x:v>Промислова теплоізоляція</x:v>
      </x:c>
      <x:c r="E89" s="14" t="str">
        <x:v>Expansion discovery</x:v>
      </x:c>
      <x:c r="F89" s="17" t="str">
        <x:f>IF(E89="Pilot now",IF(P89&gt;=84,"P1",IF(P89&gt;=72,"P2","P3")),IF(E89="Expansion discovery",IF(Q89&gt;=88,"D1",IF(Q89&gt;=78,"D2","D3")),IF(E89="Later / requirements","L","Legacy")))</x:f>
        <x:v>D1</x:v>
      </x:c>
      <x:c r="G89" s="14" t="str">
        <x:v>inkraft.com.ua</x:v>
      </x:c>
      <x:c r="H89" s="14" t="str">
        <x:v>Discovery — вимоги проєкту</x:v>
      </x:c>
      <x:c r="I89" s="16" t="n">
        <x:v>1</x:v>
      </x:c>
      <x:c r="J89" s="16" t="n">
        <x:v>5</x:v>
      </x:c>
      <x:c r="K89" s="16" t="n">
        <x:v>5</x:v>
      </x:c>
      <x:c r="L89" s="16" t="n">
        <x:v>3</x:v>
      </x:c>
      <x:c r="M89" s="16" t="n">
        <x:v>4</x:v>
      </x:c>
      <x:c r="N89" s="16" t="n">
        <x:v>5</x:v>
      </x:c>
      <x:c r="O89" s="16" t="n">
        <x:v>5</x:v>
      </x:c>
      <x:c r="P89" s="16" t="n">
        <x:f>IF(COUNT(I89:O89)&lt;7,"",I89*8+J89*3+K89*2+L89*2+M89*2+N89*2+O89)</x:f>
        <x:v>62</x:v>
      </x:c>
      <x:c r="Q89" s="16" t="n">
        <x:f>IF(COUNT(J89:O89)&lt;6,"",J89*5+K89*4+M89*4+L89*3+N89*2+O89*2)</x:f>
        <x:v>90</x:v>
      </x:c>
      <x:c r="R89" s="14" t="str">
        <x:v>high</x:v>
      </x:c>
      <x:c r="S89" s="14" t="str">
        <x:v>official_source_reverified</x:v>
      </x:c>
      <x:c r="T89" s="14" t="str">
        <x:v>official_source_reachable</x:v>
      </x:c>
      <x:c r="U89" s="14" t="str">
        <x:v>Новий — не контактували</x:v>
      </x:c>
      <x:c r="V89" s="15" t="str">
        <x:v>Discovery-call: отримати 1 реальний артефакт і вимоги проєкту; не обіцяти готове покриття</x:v>
      </x:c>
      <x:c r="W89" s="15" t="str">
        <x:v>Директор; головний інженер; керівник промислового монтажу</x:v>
      </x:c>
      <x:c r="X89" s="15" t="str">
        <x:v>Монтаж ізоляції трубопроводів, резервуарів, вентиляції та кріогенних систем.</x:v>
      </x:c>
      <x:c r="Y89" s="15" t="str">
        <x:v>Стан трубопроводу, товщина й суцільність ізоляції закриваються металевим кожухом; важливі фото по етапах.</x:v>
      </x:c>
      <x:c r="Z89" s="15" t="str">
        <x:v>https://inkraft.com.ua/ua/g2706778-izolyatsiionnye-uslugi</x:v>
      </x:c>
      <x:c r="AA89" s="14" t="str"/>
      <x:c r="AB89" s="14" t="str">
        <x:v>2026-08-24</x:v>
      </x:c>
      <x:c r="AC89" s="14" t="str">
        <x:v>Олександр</x:v>
      </x:c>
      <x:c r="AD89" s="18" t="str"/>
      <x:c r="AE89" s="14" t="str"/>
    </x:row>
    <x:row r="90">
      <x:c r="A90" s="14" t="str">
        <x:v>EXP-058</x:v>
      </x:c>
      <x:c r="B90" s="14" t="str">
        <x:v>Розширення ніш — 24.08</x:v>
      </x:c>
      <x:c r="C90" s="14" t="str">
        <x:v>СІТІ ЛІФТ</x:v>
      </x:c>
      <x:c r="D90" s="14" t="str">
        <x:v>Ліфти, ескалатори та підйомники</x:v>
      </x:c>
      <x:c r="E90" s="14" t="str">
        <x:v>Expansion discovery</x:v>
      </x:c>
      <x:c r="F90" s="17" t="str">
        <x:f>IF(E90="Pilot now",IF(P90&gt;=84,"P1",IF(P90&gt;=72,"P2","P3")),IF(E90="Expansion discovery",IF(Q90&gt;=88,"D1",IF(Q90&gt;=78,"D2","D3")),IF(E90="Later / requirements","L","Legacy")))</x:f>
        <x:v>D1</x:v>
      </x:c>
      <x:c r="G90" s="14" t="str">
        <x:v>citylift.com.ua</x:v>
      </x:c>
      <x:c r="H90" s="14" t="str">
        <x:v>Discovery — вимоги проєкту</x:v>
      </x:c>
      <x:c r="I90" s="16" t="n">
        <x:v>1</x:v>
      </x:c>
      <x:c r="J90" s="16" t="n">
        <x:v>4</x:v>
      </x:c>
      <x:c r="K90" s="16" t="n">
        <x:v>4</x:v>
      </x:c>
      <x:c r="L90" s="16" t="n">
        <x:v>4</x:v>
      </x:c>
      <x:c r="M90" s="16" t="n">
        <x:v>5</x:v>
      </x:c>
      <x:c r="N90" s="16" t="n">
        <x:v>5</x:v>
      </x:c>
      <x:c r="O90" s="16" t="n">
        <x:v>5</x:v>
      </x:c>
      <x:c r="P90" s="16" t="n">
        <x:f>IF(COUNT(I90:O90)&lt;7,"",I90*8+J90*3+K90*2+L90*2+M90*2+N90*2+O90)</x:f>
        <x:v>61</x:v>
      </x:c>
      <x:c r="Q90" s="16" t="n">
        <x:f>IF(COUNT(J90:O90)&lt;6,"",J90*5+K90*4+M90*4+L90*3+N90*2+O90*2)</x:f>
        <x:v>88</x:v>
      </x:c>
      <x:c r="R90" s="14" t="str">
        <x:v>high</x:v>
      </x:c>
      <x:c r="S90" s="14" t="str">
        <x:v>official_source_reverified</x:v>
      </x:c>
      <x:c r="T90" s="14" t="str">
        <x:v>official_source_reachable</x:v>
      </x:c>
      <x:c r="U90" s="14" t="str">
        <x:v>Новий — не контактували</x:v>
      </x:c>
      <x:c r="V90" s="15" t="str">
        <x:v>Discovery-call: отримати 1 реальний артефакт і вимоги проєкту; не обіцяти готове покриття</x:v>
      </x:c>
      <x:c r="W90" s="15" t="str">
        <x:v>Директор; керівник монтажу; відповідальний за введення в експлуатацію</x:v>
      </x:c>
      <x:c r="X90" s="15" t="str">
        <x:v>Проєктування, монтаж і здача під ключ за ДБН по всій Україні.</x:v>
      </x:c>
      <x:c r="Y90" s="15" t="str">
        <x:v>Закладні, напрямні, електрика, випробування й постановка на облік мають поетапну приймальну документацію.</x:v>
      </x:c>
      <x:c r="Z90" s="15" t="str">
        <x:v>https://citylift.com.ua/</x:v>
      </x:c>
      <x:c r="AA90" s="14" t="str"/>
      <x:c r="AB90" s="14" t="str">
        <x:v>2026-08-24</x:v>
      </x:c>
      <x:c r="AC90" s="14" t="str">
        <x:v>Олександр</x:v>
      </x:c>
      <x:c r="AD90" s="18" t="str"/>
      <x:c r="AE90" s="14" t="str"/>
    </x:row>
    <x:row r="91">
      <x:c r="A91" s="14" t="str">
        <x:v>EXP-059</x:v>
      </x:c>
      <x:c r="B91" s="14" t="str">
        <x:v>Розширення ніш — 24.08</x:v>
      </x:c>
      <x:c r="C91" s="14" t="str">
        <x:v>BRAVO Lift</x:v>
      </x:c>
      <x:c r="D91" s="14" t="str">
        <x:v>Ліфти, ескалатори та підйомники</x:v>
      </x:c>
      <x:c r="E91" s="14" t="str">
        <x:v>Expansion discovery</x:v>
      </x:c>
      <x:c r="F91" s="17" t="str">
        <x:f>IF(E91="Pilot now",IF(P91&gt;=84,"P1",IF(P91&gt;=72,"P2","P3")),IF(E91="Expansion discovery",IF(Q91&gt;=88,"D1",IF(Q91&gt;=78,"D2","D3")),IF(E91="Later / requirements","L","Legacy")))</x:f>
        <x:v>D1</x:v>
      </x:c>
      <x:c r="G91" s="14" t="str">
        <x:v>bravo-lift.com</x:v>
      </x:c>
      <x:c r="H91" s="14" t="str">
        <x:v>Discovery — вимоги проєкту</x:v>
      </x:c>
      <x:c r="I91" s="16" t="n">
        <x:v>1</x:v>
      </x:c>
      <x:c r="J91" s="16" t="n">
        <x:v>4</x:v>
      </x:c>
      <x:c r="K91" s="16" t="n">
        <x:v>4</x:v>
      </x:c>
      <x:c r="L91" s="16" t="n">
        <x:v>4</x:v>
      </x:c>
      <x:c r="M91" s="16" t="n">
        <x:v>5</x:v>
      </x:c>
      <x:c r="N91" s="16" t="n">
        <x:v>5</x:v>
      </x:c>
      <x:c r="O91" s="16" t="n">
        <x:v>5</x:v>
      </x:c>
      <x:c r="P91" s="16" t="n">
        <x:f>IF(COUNT(I91:O91)&lt;7,"",I91*8+J91*3+K91*2+L91*2+M91*2+N91*2+O91)</x:f>
        <x:v>61</x:v>
      </x:c>
      <x:c r="Q91" s="16" t="n">
        <x:f>IF(COUNT(J91:O91)&lt;6,"",J91*5+K91*4+M91*4+L91*3+N91*2+O91*2)</x:f>
        <x:v>88</x:v>
      </x:c>
      <x:c r="R91" s="14" t="str">
        <x:v>high</x:v>
      </x:c>
      <x:c r="S91" s="14" t="str">
        <x:v>official_source_reverified</x:v>
      </x:c>
      <x:c r="T91" s="14" t="str">
        <x:v>official_source_reachable</x:v>
      </x:c>
      <x:c r="U91" s="14" t="str">
        <x:v>Новий — не контактували</x:v>
      </x:c>
      <x:c r="V91" s="15" t="str">
        <x:v>Discovery-call: отримати 1 реальний артефакт і вимоги проєкту; не обіцяти готове покриття</x:v>
      </x:c>
      <x:c r="W91" s="15" t="str">
        <x:v>Директор; керівник монтажу; відповідальний за введення в експлуатацію</x:v>
      </x:c>
      <x:c r="X91" s="15" t="str">
        <x:v>Виробництво, монтаж та обслуговування ліфтів, ескалаторів і підйомників.</x:v>
      </x:c>
      <x:c r="Y91" s="15" t="str">
        <x:v>Закладні, напрямні, електрика, випробування й постановка на облік мають поетапну приймальну документацію.</x:v>
      </x:c>
      <x:c r="Z91" s="15" t="str">
        <x:v>https://bravo-lift.com/</x:v>
      </x:c>
      <x:c r="AA91" s="14" t="str"/>
      <x:c r="AB91" s="14" t="str">
        <x:v>2026-08-24</x:v>
      </x:c>
      <x:c r="AC91" s="14" t="str">
        <x:v>Олександр</x:v>
      </x:c>
      <x:c r="AD91" s="18" t="str"/>
      <x:c r="AE91" s="14" t="str"/>
    </x:row>
    <x:row r="92">
      <x:c r="A92" s="14" t="str">
        <x:v>EXP-027</x:v>
      </x:c>
      <x:c r="B92" s="14" t="str">
        <x:v>Розширення ніш — 24.08</x:v>
      </x:c>
      <x:c r="C92" s="14" t="str">
        <x:v>Кремінь Груп</x:v>
      </x:c>
      <x:c r="D92" s="14" t="str">
        <x:v>Палі, фундаменти та підсилення</x:v>
      </x:c>
      <x:c r="E92" s="14" t="str">
        <x:v>Expansion discovery</x:v>
      </x:c>
      <x:c r="F92" s="17" t="str">
        <x:f>IF(E92="Pilot now",IF(P92&gt;=84,"P1",IF(P92&gt;=72,"P2","P3")),IF(E92="Expansion discovery",IF(Q92&gt;=88,"D1",IF(Q92&gt;=78,"D2","D3")),IF(E92="Later / requirements","L","Legacy")))</x:f>
        <x:v>D1</x:v>
      </x:c>
      <x:c r="G92" s="14" t="str">
        <x:v>cremen.com.ua</x:v>
      </x:c>
      <x:c r="H92" s="14" t="str">
        <x:v>Discovery — вимоги проєкту</x:v>
      </x:c>
      <x:c r="I92" s="16" t="n">
        <x:v>0</x:v>
      </x:c>
      <x:c r="J92" s="16" t="n">
        <x:v>5</x:v>
      </x:c>
      <x:c r="K92" s="16" t="n">
        <x:v>5</x:v>
      </x:c>
      <x:c r="L92" s="16" t="n">
        <x:v>5</x:v>
      </x:c>
      <x:c r="M92" s="16" t="n">
        <x:v>5</x:v>
      </x:c>
      <x:c r="N92" s="16" t="n">
        <x:v>5</x:v>
      </x:c>
      <x:c r="O92" s="16" t="n">
        <x:v>5</x:v>
      </x:c>
      <x:c r="P92" s="16" t="n">
        <x:f>IF(COUNT(I92:O92)&lt;7,"",I92*8+J92*3+K92*2+L92*2+M92*2+N92*2+O92)</x:f>
        <x:v>60</x:v>
      </x:c>
      <x:c r="Q92" s="16" t="n">
        <x:f>IF(COUNT(J92:O92)&lt;6,"",J92*5+K92*4+M92*4+L92*3+N92*2+O92*2)</x:f>
        <x:v>100</x:v>
      </x:c>
      <x:c r="R92" s="14" t="str">
        <x:v>high</x:v>
      </x:c>
      <x:c r="S92" s="14" t="str">
        <x:v>official_source_reverified</x:v>
      </x:c>
      <x:c r="T92" s="14" t="str">
        <x:v>official_source_reachable</x:v>
      </x:c>
      <x:c r="U92" s="14" t="str">
        <x:v>Новий — не контактували</x:v>
      </x:c>
      <x:c r="V92" s="15" t="str">
        <x:v>Discovery-call: отримати 1 реальний артефакт і вимоги проєкту; не обіцяти готове покриття</x:v>
      </x:c>
      <x:c r="W92" s="15" t="str">
        <x:v>Власник / директор; головний інженер; керівник ПТО</x:v>
      </x:c>
      <x:c r="X92" s="15" t="str">
        <x:v>Пальові фундаменти й статичні випробування на промислових та інфраструктурних об’єктах.</x:v>
      </x:c>
      <x:c r="Y92" s="15" t="str">
        <x:v>Армування, глибина, бетонування, журнали та випробування паль критичні до засипки й наступних конструкцій.</x:v>
      </x:c>
      <x:c r="Z92" s="15" t="str">
        <x:v>https://cremen.com.ua/</x:v>
      </x:c>
      <x:c r="AA92" s="14" t="str"/>
      <x:c r="AB92" s="14" t="str">
        <x:v>2026-08-24</x:v>
      </x:c>
      <x:c r="AC92" s="14" t="str">
        <x:v>Олександр</x:v>
      </x:c>
      <x:c r="AD92" s="18" t="str"/>
      <x:c r="AE92" s="14" t="str"/>
    </x:row>
    <x:row r="93">
      <x:c r="A93" s="14" t="str">
        <x:v>EXP-025</x:v>
      </x:c>
      <x:c r="B93" s="14" t="str">
        <x:v>Розширення ніш — 24.08</x:v>
      </x:c>
      <x:c r="C93" s="14" t="str">
        <x:v>ФУНДАМЕНТСПЕЦБУД</x:v>
      </x:c>
      <x:c r="D93" s="14" t="str">
        <x:v>Палі, фундаменти та підсилення</x:v>
      </x:c>
      <x:c r="E93" s="14" t="str">
        <x:v>Expansion discovery</x:v>
      </x:c>
      <x:c r="F93" s="17" t="str">
        <x:f>IF(E93="Pilot now",IF(P93&gt;=84,"P1",IF(P93&gt;=72,"P2","P3")),IF(E93="Expansion discovery",IF(Q93&gt;=88,"D1",IF(Q93&gt;=78,"D2","D3")),IF(E93="Later / requirements","L","Legacy")))</x:f>
        <x:v>D1</x:v>
      </x:c>
      <x:c r="G93" s="14" t="str">
        <x:v>fsbud.com.ua</x:v>
      </x:c>
      <x:c r="H93" s="14" t="str">
        <x:v>Discovery — вимоги проєкту</x:v>
      </x:c>
      <x:c r="I93" s="16" t="n">
        <x:v>0</x:v>
      </x:c>
      <x:c r="J93" s="16" t="n">
        <x:v>5</x:v>
      </x:c>
      <x:c r="K93" s="16" t="n">
        <x:v>5</x:v>
      </x:c>
      <x:c r="L93" s="16" t="n">
        <x:v>5</x:v>
      </x:c>
      <x:c r="M93" s="16" t="n">
        <x:v>5</x:v>
      </x:c>
      <x:c r="N93" s="16" t="n">
        <x:v>5</x:v>
      </x:c>
      <x:c r="O93" s="16" t="n">
        <x:v>5</x:v>
      </x:c>
      <x:c r="P93" s="16" t="n">
        <x:f>IF(COUNT(I93:O93)&lt;7,"",I93*8+J93*3+K93*2+L93*2+M93*2+N93*2+O93)</x:f>
        <x:v>60</x:v>
      </x:c>
      <x:c r="Q93" s="16" t="n">
        <x:f>IF(COUNT(J93:O93)&lt;6,"",J93*5+K93*4+M93*4+L93*3+N93*2+O93*2)</x:f>
        <x:v>100</x:v>
      </x:c>
      <x:c r="R93" s="14" t="str">
        <x:v>high</x:v>
      </x:c>
      <x:c r="S93" s="14" t="str">
        <x:v>official_source_reverified</x:v>
      </x:c>
      <x:c r="T93" s="14" t="str">
        <x:v>official_source_reachable</x:v>
      </x:c>
      <x:c r="U93" s="14" t="str">
        <x:v>Новий — не контактували</x:v>
      </x:c>
      <x:c r="V93" s="15" t="str">
        <x:v>Discovery-call: отримати 1 реальний артефакт і вимоги проєкту; не обіцяти готове покриття</x:v>
      </x:c>
      <x:c r="W93" s="15" t="str">
        <x:v>Власник / директор; головний інженер; керівник ПТО</x:v>
      </x:c>
      <x:c r="X93" s="15" t="str">
        <x:v>30+ років і тисячі пальових фундаментів; статичні випробування та промислові об’єкти.</x:v>
      </x:c>
      <x:c r="Y93" s="15" t="str">
        <x:v>Армування, глибина, бетонування, журнали та випробування паль критичні до засипки й наступних конструкцій.</x:v>
      </x:c>
      <x:c r="Z93" s="15" t="str">
        <x:v>https://fsbud.com.ua/objects/</x:v>
      </x:c>
      <x:c r="AA93" s="14" t="str"/>
      <x:c r="AB93" s="14" t="str">
        <x:v>2026-08-24</x:v>
      </x:c>
      <x:c r="AC93" s="14" t="str">
        <x:v>Олександр</x:v>
      </x:c>
      <x:c r="AD93" s="18" t="str"/>
      <x:c r="AE93" s="14" t="str"/>
    </x:row>
    <x:row r="94">
      <x:c r="A94" s="14" t="str">
        <x:v>EXP-023</x:v>
      </x:c>
      <x:c r="B94" s="14" t="str">
        <x:v>Розширення ніш — 24.08</x:v>
      </x:c>
      <x:c r="C94" s="14" t="str">
        <x:v>PALI</x:v>
      </x:c>
      <x:c r="D94" s="14" t="str">
        <x:v>Палі, фундаменти та підсилення</x:v>
      </x:c>
      <x:c r="E94" s="14" t="str">
        <x:v>Expansion discovery</x:v>
      </x:c>
      <x:c r="F94" s="17" t="str">
        <x:f>IF(E94="Pilot now",IF(P94&gt;=84,"P1",IF(P94&gt;=72,"P2","P3")),IF(E94="Expansion discovery",IF(Q94&gt;=88,"D1",IF(Q94&gt;=78,"D2","D3")),IF(E94="Later / requirements","L","Legacy")))</x:f>
        <x:v>D1</x:v>
      </x:c>
      <x:c r="G94" s="14" t="str">
        <x:v>pali.com.ua</x:v>
      </x:c>
      <x:c r="H94" s="14" t="str">
        <x:v>Discovery — вимоги проєкту</x:v>
      </x:c>
      <x:c r="I94" s="16" t="n">
        <x:v>0</x:v>
      </x:c>
      <x:c r="J94" s="16" t="n">
        <x:v>5</x:v>
      </x:c>
      <x:c r="K94" s="16" t="n">
        <x:v>5</x:v>
      </x:c>
      <x:c r="L94" s="16" t="n">
        <x:v>5</x:v>
      </x:c>
      <x:c r="M94" s="16" t="n">
        <x:v>5</x:v>
      </x:c>
      <x:c r="N94" s="16" t="n">
        <x:v>5</x:v>
      </x:c>
      <x:c r="O94" s="16" t="n">
        <x:v>5</x:v>
      </x:c>
      <x:c r="P94" s="16" t="n">
        <x:f>IF(COUNT(I94:O94)&lt;7,"",I94*8+J94*3+K94*2+L94*2+M94*2+N94*2+O94)</x:f>
        <x:v>60</x:v>
      </x:c>
      <x:c r="Q94" s="16" t="n">
        <x:f>IF(COUNT(J94:O94)&lt;6,"",J94*5+K94*4+M94*4+L94*3+N94*2+O94*2)</x:f>
        <x:v>100</x:v>
      </x:c>
      <x:c r="R94" s="14" t="str">
        <x:v>high</x:v>
      </x:c>
      <x:c r="S94" s="14" t="str">
        <x:v>official_source_reverified</x:v>
      </x:c>
      <x:c r="T94" s="14" t="str">
        <x:v>official_source_reachable</x:v>
      </x:c>
      <x:c r="U94" s="14" t="str">
        <x:v>Новий — не контактували</x:v>
      </x:c>
      <x:c r="V94" s="15" t="str">
        <x:v>Discovery-call: отримати 1 реальний артефакт і вимоги проєкту; не обіцяти готове покриття</x:v>
      </x:c>
      <x:c r="W94" s="15" t="str">
        <x:v>Власник / директор; головний інженер; керівник ПТО</x:v>
      </x:c>
      <x:c r="X94" s="15" t="str">
        <x:v>12+ років, палі до 32 м, промислові та комерційні об’єкти по Україні.</x:v>
      </x:c>
      <x:c r="Y94" s="15" t="str">
        <x:v>Армування, глибина, бетонування, журнали та випробування паль критичні до засипки й наступних конструкцій.</x:v>
      </x:c>
      <x:c r="Z94" s="15" t="str">
        <x:v>https://pali.com.ua/</x:v>
      </x:c>
      <x:c r="AA94" s="14" t="str"/>
      <x:c r="AB94" s="14" t="str">
        <x:v>2026-08-24</x:v>
      </x:c>
      <x:c r="AC94" s="14" t="str">
        <x:v>Олександр</x:v>
      </x:c>
      <x:c r="AD94" s="18" t="str"/>
      <x:c r="AE94" s="14" t="str"/>
    </x:row>
    <x:row r="95">
      <x:c r="A95" s="14" t="str">
        <x:v>EXP-024</x:v>
      </x:c>
      <x:c r="B95" s="14" t="str">
        <x:v>Розширення ніш — 24.08</x:v>
      </x:c>
      <x:c r="C95" s="14" t="str">
        <x:v>PILLAR</x:v>
      </x:c>
      <x:c r="D95" s="14" t="str">
        <x:v>Палі, фундаменти та підсилення</x:v>
      </x:c>
      <x:c r="E95" s="14" t="str">
        <x:v>Expansion discovery</x:v>
      </x:c>
      <x:c r="F95" s="17" t="str">
        <x:f>IF(E95="Pilot now",IF(P95&gt;=84,"P1",IF(P95&gt;=72,"P2","P3")),IF(E95="Expansion discovery",IF(Q95&gt;=88,"D1",IF(Q95&gt;=78,"D2","D3")),IF(E95="Later / requirements","L","Legacy")))</x:f>
        <x:v>D1</x:v>
      </x:c>
      <x:c r="G95" s="14" t="str">
        <x:v>pillar.ua</x:v>
      </x:c>
      <x:c r="H95" s="14" t="str">
        <x:v>Discovery — вимоги проєкту</x:v>
      </x:c>
      <x:c r="I95" s="16" t="n">
        <x:v>0</x:v>
      </x:c>
      <x:c r="J95" s="16" t="n">
        <x:v>5</x:v>
      </x:c>
      <x:c r="K95" s="16" t="n">
        <x:v>5</x:v>
      </x:c>
      <x:c r="L95" s="16" t="n">
        <x:v>5</x:v>
      </x:c>
      <x:c r="M95" s="16" t="n">
        <x:v>5</x:v>
      </x:c>
      <x:c r="N95" s="16" t="n">
        <x:v>5</x:v>
      </x:c>
      <x:c r="O95" s="16" t="n">
        <x:v>5</x:v>
      </x:c>
      <x:c r="P95" s="16" t="n">
        <x:f>IF(COUNT(I95:O95)&lt;7,"",I95*8+J95*3+K95*2+L95*2+M95*2+N95*2+O95)</x:f>
        <x:v>60</x:v>
      </x:c>
      <x:c r="Q95" s="16" t="n">
        <x:f>IF(COUNT(J95:O95)&lt;6,"",J95*5+K95*4+M95*4+L95*3+N95*2+O95*2)</x:f>
        <x:v>100</x:v>
      </x:c>
      <x:c r="R95" s="14" t="str">
        <x:v>high</x:v>
      </x:c>
      <x:c r="S95" s="14" t="str">
        <x:v>official_source_reverified</x:v>
      </x:c>
      <x:c r="T95" s="14" t="str">
        <x:v>official_source_reachable</x:v>
      </x:c>
      <x:c r="U95" s="14" t="str">
        <x:v>Новий — не контактували</x:v>
      </x:c>
      <x:c r="V95" s="15" t="str">
        <x:v>Discovery-call: отримати 1 реальний артефакт і вимоги проєкту; не обіцяти готове покриття</x:v>
      </x:c>
      <x:c r="W95" s="15" t="str">
        <x:v>Власник / директор; головний інженер; керівник ПТО</x:v>
      </x:c>
      <x:c r="X95" s="15" t="str">
        <x:v>1000+ об’єктів; повний цикл геошурупних фундаментів і металоконструкцій.</x:v>
      </x:c>
      <x:c r="Y95" s="15" t="str">
        <x:v>Армування, глибина, бетонування, журнали та випробування паль критичні до засипки й наступних конструкцій.</x:v>
      </x:c>
      <x:c r="Z95" s="15" t="str">
        <x:v>https://pillar.ua/pro-nas/</x:v>
      </x:c>
      <x:c r="AA95" s="14" t="str"/>
      <x:c r="AB95" s="14" t="str">
        <x:v>2026-08-24</x:v>
      </x:c>
      <x:c r="AC95" s="14" t="str">
        <x:v>Олександр</x:v>
      </x:c>
      <x:c r="AD95" s="18" t="str"/>
      <x:c r="AE95" s="14" t="str"/>
    </x:row>
    <x:row r="96">
      <x:c r="A96" s="14" t="str">
        <x:v>EXP-064</x:v>
      </x:c>
      <x:c r="B96" s="14" t="str">
        <x:v>Розширення ніш — 24.08</x:v>
      </x:c>
      <x:c r="C96" s="14" t="str">
        <x:v>Магістраль Асфальт</x:v>
      </x:c>
      <x:c r="D96" s="14" t="str">
        <x:v>Дорожні роботи та благоустрій</x:v>
      </x:c>
      <x:c r="E96" s="14" t="str">
        <x:v>Expansion discovery</x:v>
      </x:c>
      <x:c r="F96" s="17" t="str">
        <x:f>IF(E96="Pilot now",IF(P96&gt;=84,"P1",IF(P96&gt;=72,"P2","P3")),IF(E96="Expansion discovery",IF(Q96&gt;=88,"D1",IF(Q96&gt;=78,"D2","D3")),IF(E96="Later / requirements","L","Legacy")))</x:f>
        <x:v>D1</x:v>
      </x:c>
      <x:c r="G96" s="14" t="str">
        <x:v>magistralasfalt.com.ua</x:v>
      </x:c>
      <x:c r="H96" s="14" t="str">
        <x:v>Discovery — вимоги проєкту</x:v>
      </x:c>
      <x:c r="I96" s="16" t="n">
        <x:v>0</x:v>
      </x:c>
      <x:c r="J96" s="16" t="n">
        <x:v>5</x:v>
      </x:c>
      <x:c r="K96" s="16" t="n">
        <x:v>5</x:v>
      </x:c>
      <x:c r="L96" s="16" t="n">
        <x:v>4</x:v>
      </x:c>
      <x:c r="M96" s="16" t="n">
        <x:v>5</x:v>
      </x:c>
      <x:c r="N96" s="16" t="n">
        <x:v>5</x:v>
      </x:c>
      <x:c r="O96" s="16" t="n">
        <x:v>5</x:v>
      </x:c>
      <x:c r="P96" s="16" t="n">
        <x:f>IF(COUNT(I96:O96)&lt;7,"",I96*8+J96*3+K96*2+L96*2+M96*2+N96*2+O96)</x:f>
        <x:v>58</x:v>
      </x:c>
      <x:c r="Q96" s="16" t="n">
        <x:f>IF(COUNT(J96:O96)&lt;6,"",J96*5+K96*4+M96*4+L96*3+N96*2+O96*2)</x:f>
        <x:v>97</x:v>
      </x:c>
      <x:c r="R96" s="14" t="str">
        <x:v>high</x:v>
      </x:c>
      <x:c r="S96" s="14" t="str">
        <x:v>official_source_reverified</x:v>
      </x:c>
      <x:c r="T96" s="14" t="str">
        <x:v>official_source_reachable</x:v>
      </x:c>
      <x:c r="U96" s="14" t="str">
        <x:v>Новий — не контактували</x:v>
      </x:c>
      <x:c r="V96" s="15" t="str">
        <x:v>Discovery-call: отримати 1 реальний артефакт і вимоги проєкту; не обіцяти готове покриття</x:v>
      </x:c>
      <x:c r="W96" s="15" t="str">
        <x:v>Власник / директор; головний інженер; лабораторія / ПТО</x:v>
      </x:c>
      <x:c r="X96" s="15" t="str">
        <x:v>Повний цикл дорожніх робіт з власною технікою, пошаровою здачею й гарантією.</x:v>
      </x:c>
      <x:c r="Y96" s="15" t="str">
        <x:v>Основа, шари покриття, ущільнення та лабораторні протоколи стають недоступними після наступного шару.</x:v>
      </x:c>
      <x:c r="Z96" s="15" t="str">
        <x:v>https://magistralasfalt.com.ua/</x:v>
      </x:c>
      <x:c r="AA96" s="14" t="str"/>
      <x:c r="AB96" s="14" t="str">
        <x:v>2026-08-24</x:v>
      </x:c>
      <x:c r="AC96" s="14" t="str">
        <x:v>Олександр</x:v>
      </x:c>
      <x:c r="AD96" s="18" t="str"/>
      <x:c r="AE96" s="14" t="str"/>
    </x:row>
    <x:row r="97">
      <x:c r="A97" s="14" t="str">
        <x:v>EXP-026</x:v>
      </x:c>
      <x:c r="B97" s="14" t="str">
        <x:v>Розширення ніш — 24.08</x:v>
      </x:c>
      <x:c r="C97" s="14" t="str">
        <x:v>Олімпія Білд</x:v>
      </x:c>
      <x:c r="D97" s="14" t="str">
        <x:v>Палі, фундаменти та підсилення</x:v>
      </x:c>
      <x:c r="E97" s="14" t="str">
        <x:v>Expansion discovery</x:v>
      </x:c>
      <x:c r="F97" s="17" t="str">
        <x:f>IF(E97="Pilot now",IF(P97&gt;=84,"P1",IF(P97&gt;=72,"P2","P3")),IF(E97="Expansion discovery",IF(Q97&gt;=88,"D1",IF(Q97&gt;=78,"D2","D3")),IF(E97="Later / requirements","L","Legacy")))</x:f>
        <x:v>D1</x:v>
      </x:c>
      <x:c r="G97" s="14" t="str">
        <x:v>olympia-build.com.ua</x:v>
      </x:c>
      <x:c r="H97" s="14" t="str">
        <x:v>Discovery — вимоги проєкту</x:v>
      </x:c>
      <x:c r="I97" s="16" t="n">
        <x:v>0</x:v>
      </x:c>
      <x:c r="J97" s="16" t="n">
        <x:v>5</x:v>
      </x:c>
      <x:c r="K97" s="16" t="n">
        <x:v>5</x:v>
      </x:c>
      <x:c r="L97" s="16" t="n">
        <x:v>4</x:v>
      </x:c>
      <x:c r="M97" s="16" t="n">
        <x:v>5</x:v>
      </x:c>
      <x:c r="N97" s="16" t="n">
        <x:v>5</x:v>
      </x:c>
      <x:c r="O97" s="16" t="n">
        <x:v>5</x:v>
      </x:c>
      <x:c r="P97" s="16" t="n">
        <x:f>IF(COUNT(I97:O97)&lt;7,"",I97*8+J97*3+K97*2+L97*2+M97*2+N97*2+O97)</x:f>
        <x:v>58</x:v>
      </x:c>
      <x:c r="Q97" s="16" t="n">
        <x:f>IF(COUNT(J97:O97)&lt;6,"",J97*5+K97*4+M97*4+L97*3+N97*2+O97*2)</x:f>
        <x:v>97</x:v>
      </x:c>
      <x:c r="R97" s="14" t="str">
        <x:v>high</x:v>
      </x:c>
      <x:c r="S97" s="14" t="str">
        <x:v>official_source_reverified</x:v>
      </x:c>
      <x:c r="T97" s="14" t="str">
        <x:v>official_source_reachable</x:v>
      </x:c>
      <x:c r="U97" s="14" t="str">
        <x:v>Новий — не контактували</x:v>
      </x:c>
      <x:c r="V97" s="15" t="str">
        <x:v>Discovery-call: отримати 1 реальний артефакт і вимоги проєкту; не обіцяти готове покриття</x:v>
      </x:c>
      <x:c r="W97" s="15" t="str">
        <x:v>Власник / директор; головний інженер; керівник ПТО</x:v>
      </x:c>
      <x:c r="X97" s="15" t="str">
        <x:v>Спеціаліст з пальових фундаментів, геології, геодезії та супутніх робіт.</x:v>
      </x:c>
      <x:c r="Y97" s="15" t="str">
        <x:v>Армування, глибина, бетонування, журнали та випробування паль критичні до засипки й наступних конструкцій.</x:v>
      </x:c>
      <x:c r="Z97" s="15" t="str">
        <x:v>https://olympia-build.com.ua/</x:v>
      </x:c>
      <x:c r="AA97" s="14" t="str"/>
      <x:c r="AB97" s="14" t="str">
        <x:v>2026-08-24</x:v>
      </x:c>
      <x:c r="AC97" s="14" t="str">
        <x:v>Олександр</x:v>
      </x:c>
      <x:c r="AD97" s="18" t="str"/>
      <x:c r="AE97" s="14" t="str"/>
    </x:row>
    <x:row r="98">
      <x:c r="A98" s="14" t="str">
        <x:v>EXP-022</x:v>
      </x:c>
      <x:c r="B98" s="14" t="str">
        <x:v>Розширення ніш — 24.08</x:v>
      </x:c>
      <x:c r="C98" s="14" t="str">
        <x:v>УМБК Underground</x:v>
      </x:c>
      <x:c r="D98" s="14" t="str">
        <x:v>Палі, фундаменти та підсилення</x:v>
      </x:c>
      <x:c r="E98" s="14" t="str">
        <x:v>Expansion discovery</x:v>
      </x:c>
      <x:c r="F98" s="17" t="str">
        <x:f>IF(E98="Pilot now",IF(P98&gt;=84,"P1",IF(P98&gt;=72,"P2","P3")),IF(E98="Expansion discovery",IF(Q98&gt;=88,"D1",IF(Q98&gt;=78,"D2","D3")),IF(E98="Later / requirements","L","Legacy")))</x:f>
        <x:v>D1</x:v>
      </x:c>
      <x:c r="G98" s="14" t="str">
        <x:v>underground.org.ua</x:v>
      </x:c>
      <x:c r="H98" s="14" t="str">
        <x:v>Discovery — вимоги проєкту</x:v>
      </x:c>
      <x:c r="I98" s="16" t="n">
        <x:v>0</x:v>
      </x:c>
      <x:c r="J98" s="16" t="n">
        <x:v>5</x:v>
      </x:c>
      <x:c r="K98" s="16" t="n">
        <x:v>5</x:v>
      </x:c>
      <x:c r="L98" s="16" t="n">
        <x:v>4</x:v>
      </x:c>
      <x:c r="M98" s="16" t="n">
        <x:v>5</x:v>
      </x:c>
      <x:c r="N98" s="16" t="n">
        <x:v>5</x:v>
      </x:c>
      <x:c r="O98" s="16" t="n">
        <x:v>5</x:v>
      </x:c>
      <x:c r="P98" s="16" t="n">
        <x:f>IF(COUNT(I98:O98)&lt;7,"",I98*8+J98*3+K98*2+L98*2+M98*2+N98*2+O98)</x:f>
        <x:v>58</x:v>
      </x:c>
      <x:c r="Q98" s="16" t="n">
        <x:f>IF(COUNT(J98:O98)&lt;6,"",J98*5+K98*4+M98*4+L98*3+N98*2+O98*2)</x:f>
        <x:v>97</x:v>
      </x:c>
      <x:c r="R98" s="14" t="str">
        <x:v>high</x:v>
      </x:c>
      <x:c r="S98" s="14" t="str">
        <x:v>official_source_reverified</x:v>
      </x:c>
      <x:c r="T98" s="14" t="str">
        <x:v>official_source_reachable</x:v>
      </x:c>
      <x:c r="U98" s="14" t="str">
        <x:v>Новий — не контактували</x:v>
      </x:c>
      <x:c r="V98" s="15" t="str">
        <x:v>Discovery-call: отримати 1 реальний артефакт і вимоги проєкту; не обіцяти готове покриття</x:v>
      </x:c>
      <x:c r="W98" s="15" t="str">
        <x:v>Власник / директор; головний інженер; керівник ПТО</x:v>
      </x:c>
      <x:c r="X98" s="15" t="str">
        <x:v>Буроін’єкційні, мікро-, забивні та буронабивні палі; портфоліо житлових і промислових об’єктів.</x:v>
      </x:c>
      <x:c r="Y98" s="15" t="str">
        <x:v>Армування, глибина, бетонування, журнали та випробування паль критичні до засипки й наступних конструкцій.</x:v>
      </x:c>
      <x:c r="Z98" s="15" t="str">
        <x:v>https://underground.org.ua/</x:v>
      </x:c>
      <x:c r="AA98" s="14" t="str"/>
      <x:c r="AB98" s="14" t="str">
        <x:v>2026-08-24</x:v>
      </x:c>
      <x:c r="AC98" s="14" t="str">
        <x:v>Олександр</x:v>
      </x:c>
      <x:c r="AD98" s="18" t="str"/>
      <x:c r="AE98" s="14" t="str"/>
    </x:row>
    <x:row r="99">
      <x:c r="A99" s="14" t="str">
        <x:v>EXP-014</x:v>
      </x:c>
      <x:c r="B99" s="14" t="str">
        <x:v>Розширення ніш — 24.08</x:v>
      </x:c>
      <x:c r="C99" s="14" t="str">
        <x:v>Astreya Aluminum Systems</x:v>
      </x:c>
      <x:c r="D99" s="14" t="str">
        <x:v>Вентильовані фасади та скління</x:v>
      </x:c>
      <x:c r="E99" s="14" t="str">
        <x:v>Expansion discovery</x:v>
      </x:c>
      <x:c r="F99" s="17" t="str">
        <x:f>IF(E99="Pilot now",IF(P99&gt;=84,"P1",IF(P99&gt;=72,"P2","P3")),IF(E99="Expansion discovery",IF(Q99&gt;=88,"D1",IF(Q99&gt;=78,"D2","D3")),IF(E99="Later / requirements","L","Legacy")))</x:f>
        <x:v>D1</x:v>
      </x:c>
      <x:c r="G99" s="14" t="str">
        <x:v>astreyaua.com</x:v>
      </x:c>
      <x:c r="H99" s="14" t="str">
        <x:v>Discovery — вимоги проєкту</x:v>
      </x:c>
      <x:c r="I99" s="16" t="n">
        <x:v>0</x:v>
      </x:c>
      <x:c r="J99" s="16" t="n">
        <x:v>5</x:v>
      </x:c>
      <x:c r="K99" s="16" t="n">
        <x:v>5</x:v>
      </x:c>
      <x:c r="L99" s="16" t="n">
        <x:v>5</x:v>
      </x:c>
      <x:c r="M99" s="16" t="n">
        <x:v>4</x:v>
      </x:c>
      <x:c r="N99" s="16" t="n">
        <x:v>5</x:v>
      </x:c>
      <x:c r="O99" s="16" t="n">
        <x:v>5</x:v>
      </x:c>
      <x:c r="P99" s="16" t="n">
        <x:f>IF(COUNT(I99:O99)&lt;7,"",I99*8+J99*3+K99*2+L99*2+M99*2+N99*2+O99)</x:f>
        <x:v>58</x:v>
      </x:c>
      <x:c r="Q99" s="16" t="n">
        <x:f>IF(COUNT(J99:O99)&lt;6,"",J99*5+K99*4+M99*4+L99*3+N99*2+O99*2)</x:f>
        <x:v>96</x:v>
      </x:c>
      <x:c r="R99" s="14" t="str">
        <x:v>high</x:v>
      </x:c>
      <x:c r="S99" s="14" t="str">
        <x:v>official_source_reverified</x:v>
      </x:c>
      <x:c r="T99" s="14" t="str">
        <x:v>official_source_reachable</x:v>
      </x:c>
      <x:c r="U99" s="14" t="str">
        <x:v>Новий — не контактували</x:v>
      </x:c>
      <x:c r="V99" s="15" t="str">
        <x:v>Discovery-call: отримати 1 реальний артефакт і вимоги проєкту; не обіцяти готове покриття</x:v>
      </x:c>
      <x:c r="W99" s="15" t="str">
        <x:v>Власник / директор; керівник фасадних проєктів; ПТО</x:v>
      </x:c>
      <x:c r="X99" s="15" t="str">
        <x:v>20 000+ м² фасадів на рік, проєктний відділ, власні монтажні бригади й обладнання.</x:v>
      </x:c>
      <x:c r="Y99" s="15" t="str">
        <x:v>Кронштейни, анкери, утеплення, мембрани й протипожежні відсічки закриваються облицюванням.</x:v>
      </x:c>
      <x:c r="Z99" s="15" t="str">
        <x:v>https://www.astreyaua.com/</x:v>
      </x:c>
      <x:c r="AA99" s="14" t="str"/>
      <x:c r="AB99" s="14" t="str">
        <x:v>2026-08-24</x:v>
      </x:c>
      <x:c r="AC99" s="14" t="str">
        <x:v>Олександр</x:v>
      </x:c>
      <x:c r="AD99" s="18" t="str"/>
      <x:c r="AE99" s="14" t="str"/>
    </x:row>
    <x:row r="100">
      <x:c r="A100" s="14" t="str">
        <x:v>EXP-006</x:v>
      </x:c>
      <x:c r="B100" s="14" t="str">
        <x:v>Розширення ніш — 24.08</x:v>
      </x:c>
      <x:c r="C100" s="14" t="str">
        <x:v>Budroof</x:v>
      </x:c>
      <x:c r="D100" s="14" t="str">
        <x:v>Покрівлі та гідроізоляція</x:v>
      </x:c>
      <x:c r="E100" s="14" t="str">
        <x:v>Expansion discovery</x:v>
      </x:c>
      <x:c r="F100" s="17" t="str">
        <x:f>IF(E100="Pilot now",IF(P100&gt;=84,"P1",IF(P100&gt;=72,"P2","P3")),IF(E100="Expansion discovery",IF(Q100&gt;=88,"D1",IF(Q100&gt;=78,"D2","D3")),IF(E100="Later / requirements","L","Legacy")))</x:f>
        <x:v>D1</x:v>
      </x:c>
      <x:c r="G100" s="14" t="str">
        <x:v>budroof.ua</x:v>
      </x:c>
      <x:c r="H100" s="14" t="str">
        <x:v>Discovery — вимоги проєкту</x:v>
      </x:c>
      <x:c r="I100" s="16" t="n">
        <x:v>0</x:v>
      </x:c>
      <x:c r="J100" s="16" t="n">
        <x:v>5</x:v>
      </x:c>
      <x:c r="K100" s="16" t="n">
        <x:v>5</x:v>
      </x:c>
      <x:c r="L100" s="16" t="n">
        <x:v>5</x:v>
      </x:c>
      <x:c r="M100" s="16" t="n">
        <x:v>4</x:v>
      </x:c>
      <x:c r="N100" s="16" t="n">
        <x:v>5</x:v>
      </x:c>
      <x:c r="O100" s="16" t="n">
        <x:v>5</x:v>
      </x:c>
      <x:c r="P100" s="16" t="n">
        <x:f>IF(COUNT(I100:O100)&lt;7,"",I100*8+J100*3+K100*2+L100*2+M100*2+N100*2+O100)</x:f>
        <x:v>58</x:v>
      </x:c>
      <x:c r="Q100" s="16" t="n">
        <x:f>IF(COUNT(J100:O100)&lt;6,"",J100*5+K100*4+M100*4+L100*3+N100*2+O100*2)</x:f>
        <x:v>96</x:v>
      </x:c>
      <x:c r="R100" s="14" t="str">
        <x:v>high</x:v>
      </x:c>
      <x:c r="S100" s="14" t="str">
        <x:v>official_source_reverified</x:v>
      </x:c>
      <x:c r="T100" s="14" t="str">
        <x:v>official_source_reachable</x:v>
      </x:c>
      <x:c r="U100" s="14" t="str">
        <x:v>Новий — не контактували</x:v>
      </x:c>
      <x:c r="V100" s="15" t="str">
        <x:v>Discovery-call: отримати 1 реальний артефакт і вимоги проєкту; не обіцяти готове покриття</x:v>
      </x:c>
      <x:c r="W100" s="15" t="str">
        <x:v>Власник / директор; керівник проєктів; виконроб</x:v>
      </x:c>
      <x:c r="X100" s="15" t="str">
        <x:v>Понад 1,5 млн м² ПВХ/ТПО та гідроізоляційних мембран; спеціалізований монтаж.</x:v>
      </x:c>
      <x:c r="Y100" s="15" t="str">
        <x:v>Пароізоляція, утеплення, кріплення, шви й примикання стають недоступними після завершення покрівельного пирога.</x:v>
      </x:c>
      <x:c r="Z100" s="15" t="str">
        <x:v>https://budroof.ua/uk/services/montazh-pvh-membrany/</x:v>
      </x:c>
      <x:c r="AA100" s="14" t="str"/>
      <x:c r="AB100" s="14" t="str">
        <x:v>2026-08-24</x:v>
      </x:c>
      <x:c r="AC100" s="14" t="str">
        <x:v>Олександр</x:v>
      </x:c>
      <x:c r="AD100" s="18" t="str"/>
      <x:c r="AE100" s="14" t="str"/>
    </x:row>
    <x:row r="101">
      <x:c r="A101" s="14" t="str">
        <x:v>EXP-028</x:v>
      </x:c>
      <x:c r="B101" s="14" t="str">
        <x:v>Розширення ніш — 24.08</x:v>
      </x:c>
      <x:c r="C101" s="14" t="str">
        <x:v>GIDROSTOP</x:v>
      </x:c>
      <x:c r="D101" s="14" t="str">
        <x:v>Палі, фундаменти та підсилення</x:v>
      </x:c>
      <x:c r="E101" s="14" t="str">
        <x:v>Expansion discovery</x:v>
      </x:c>
      <x:c r="F101" s="17" t="str">
        <x:f>IF(E101="Pilot now",IF(P101&gt;=84,"P1",IF(P101&gt;=72,"P2","P3")),IF(E101="Expansion discovery",IF(Q101&gt;=88,"D1",IF(Q101&gt;=78,"D2","D3")),IF(E101="Later / requirements","L","Legacy")))</x:f>
        <x:v>D1</x:v>
      </x:c>
      <x:c r="G101" s="14" t="str">
        <x:v>gidrostop.com.ua</x:v>
      </x:c>
      <x:c r="H101" s="14" t="str">
        <x:v>Discovery — вимоги проєкту</x:v>
      </x:c>
      <x:c r="I101" s="16" t="n">
        <x:v>0</x:v>
      </x:c>
      <x:c r="J101" s="16" t="n">
        <x:v>5</x:v>
      </x:c>
      <x:c r="K101" s="16" t="n">
        <x:v>5</x:v>
      </x:c>
      <x:c r="L101" s="16" t="n">
        <x:v>4</x:v>
      </x:c>
      <x:c r="M101" s="16" t="n">
        <x:v>5</x:v>
      </x:c>
      <x:c r="N101" s="16" t="n">
        <x:v>5</x:v>
      </x:c>
      <x:c r="O101" s="16" t="n">
        <x:v>5</x:v>
      </x:c>
      <x:c r="P101" s="16" t="n">
        <x:f>IF(COUNT(I101:O101)&lt;7,"",I101*8+J101*3+K101*2+L101*2+M101*2+N101*2+O101)</x:f>
        <x:v>58</x:v>
      </x:c>
      <x:c r="Q101" s="16" t="n">
        <x:f>IF(COUNT(J101:O101)&lt;6,"",J101*5+K101*4+M101*4+L101*3+N101*2+O101*2)</x:f>
        <x:v>97</x:v>
      </x:c>
      <x:c r="R101" s="14" t="str">
        <x:v>high</x:v>
      </x:c>
      <x:c r="S101" s="14" t="str">
        <x:v>official_source_reverified</x:v>
      </x:c>
      <x:c r="T101" s="14" t="str">
        <x:v>official_source_reachable</x:v>
      </x:c>
      <x:c r="U101" s="14" t="str">
        <x:v>Новий — не контактували</x:v>
      </x:c>
      <x:c r="V101" s="15" t="str">
        <x:v>Discovery-call: отримати 1 реальний артефакт і вимоги проєкту; не обіцяти готове покриття</x:v>
      </x:c>
      <x:c r="W101" s="15" t="str">
        <x:v>Власник / директор; головний інженер; керівник ПТО</x:v>
      </x:c>
      <x:c r="X101" s="15" t="str">
        <x:v>Торкретування, армування й гідроізоляція промислових печей, мостів, фундаментів і резервуарів.</x:v>
      </x:c>
      <x:c r="Y101" s="15" t="str">
        <x:v>Армування, глибина, бетонування, журнали та випробування паль критичні до засипки й наступних конструкцій.</x:v>
      </x:c>
      <x:c r="Z101" s="15" t="str">
        <x:v>https://gidrostop.com.ua/ukriplennya-konstrukczij/</x:v>
      </x:c>
      <x:c r="AA101" s="14" t="str"/>
      <x:c r="AB101" s="14" t="str">
        <x:v>2026-08-24</x:v>
      </x:c>
      <x:c r="AC101" s="14" t="str">
        <x:v>Олександр</x:v>
      </x:c>
      <x:c r="AD101" s="18" t="str"/>
      <x:c r="AE101" s="14" t="str"/>
    </x:row>
    <x:row r="102">
      <x:c r="A102" s="14" t="str">
        <x:v>EXP-003</x:v>
      </x:c>
      <x:c r="B102" s="14" t="str">
        <x:v>Розширення ніш — 24.08</x:v>
      </x:c>
      <x:c r="C102" s="14" t="str">
        <x:v>БК МД ГРУП</x:v>
      </x:c>
      <x:c r="D102" s="14" t="str">
        <x:v>Покрівлі та гідроізоляція</x:v>
      </x:c>
      <x:c r="E102" s="14" t="str">
        <x:v>Expansion discovery</x:v>
      </x:c>
      <x:c r="F102" s="17" t="str">
        <x:f>IF(E102="Pilot now",IF(P102&gt;=84,"P1",IF(P102&gt;=72,"P2","P3")),IF(E102="Expansion discovery",IF(Q102&gt;=88,"D1",IF(Q102&gt;=78,"D2","D3")),IF(E102="Later / requirements","L","Legacy")))</x:f>
        <x:v>D1</x:v>
      </x:c>
      <x:c r="G102" s="14" t="str">
        <x:v>bkmdgroup.com</x:v>
      </x:c>
      <x:c r="H102" s="14" t="str">
        <x:v>Discovery — вимоги проєкту</x:v>
      </x:c>
      <x:c r="I102" s="16" t="n">
        <x:v>0</x:v>
      </x:c>
      <x:c r="J102" s="16" t="n">
        <x:v>5</x:v>
      </x:c>
      <x:c r="K102" s="16" t="n">
        <x:v>5</x:v>
      </x:c>
      <x:c r="L102" s="16" t="n">
        <x:v>4</x:v>
      </x:c>
      <x:c r="M102" s="16" t="n">
        <x:v>4</x:v>
      </x:c>
      <x:c r="N102" s="16" t="n">
        <x:v>5</x:v>
      </x:c>
      <x:c r="O102" s="16" t="n">
        <x:v>5</x:v>
      </x:c>
      <x:c r="P102" s="16" t="n">
        <x:f>IF(COUNT(I102:O102)&lt;7,"",I102*8+J102*3+K102*2+L102*2+M102*2+N102*2+O102)</x:f>
        <x:v>56</x:v>
      </x:c>
      <x:c r="Q102" s="16" t="n">
        <x:f>IF(COUNT(J102:O102)&lt;6,"",J102*5+K102*4+M102*4+L102*3+N102*2+O102*2)</x:f>
        <x:v>93</x:v>
      </x:c>
      <x:c r="R102" s="14" t="str">
        <x:v>high</x:v>
      </x:c>
      <x:c r="S102" s="14" t="str">
        <x:v>official_source_reverified</x:v>
      </x:c>
      <x:c r="T102" s="14" t="str">
        <x:v>official_source_reachable</x:v>
      </x:c>
      <x:c r="U102" s="14" t="str">
        <x:v>Новий — не контактували</x:v>
      </x:c>
      <x:c r="V102" s="15" t="str">
        <x:v>Discovery-call: отримати 1 реальний артефакт і вимоги проєкту; не обіцяти готове покриття</x:v>
      </x:c>
      <x:c r="W102" s="15" t="str">
        <x:v>Власник / директор; керівник проєктів; виконроб</x:v>
      </x:c>
      <x:c r="X102" s="15" t="str">
        <x:v>Монтаж ПВХ-мембран під ключ для комерційних і виробничих об’єктів по Україні.</x:v>
      </x:c>
      <x:c r="Y102" s="15" t="str">
        <x:v>Пароізоляція, утеплення, кріплення, шви й примикання стають недоступними після завершення покрівельного пирога.</x:v>
      </x:c>
      <x:c r="Z102" s="15" t="str">
        <x:v>https://www.bkmdgroup.com/service/montazh-pvx-membany</x:v>
      </x:c>
      <x:c r="AA102" s="14" t="str"/>
      <x:c r="AB102" s="14" t="str">
        <x:v>2026-08-24</x:v>
      </x:c>
      <x:c r="AC102" s="14" t="str">
        <x:v>Олександр</x:v>
      </x:c>
      <x:c r="AD102" s="18" t="str"/>
      <x:c r="AE102" s="14" t="str"/>
    </x:row>
    <x:row r="103">
      <x:c r="A103" s="14" t="str">
        <x:v>EXP-012</x:v>
      </x:c>
      <x:c r="B103" s="14" t="str">
        <x:v>Розширення ніш — 24.08</x:v>
      </x:c>
      <x:c r="C103" s="14" t="str">
        <x:v>НВФ-БУД МОНТАЖ</x:v>
      </x:c>
      <x:c r="D103" s="14" t="str">
        <x:v>Вентильовані фасади та скління</x:v>
      </x:c>
      <x:c r="E103" s="14" t="str">
        <x:v>Expansion discovery</x:v>
      </x:c>
      <x:c r="F103" s="17" t="str">
        <x:f>IF(E103="Pilot now",IF(P103&gt;=84,"P1",IF(P103&gt;=72,"P2","P3")),IF(E103="Expansion discovery",IF(Q103&gt;=88,"D1",IF(Q103&gt;=78,"D2","D3")),IF(E103="Later / requirements","L","Legacy")))</x:f>
        <x:v>D1</x:v>
      </x:c>
      <x:c r="G103" s="14" t="str">
        <x:v>nvf-group.com.ua</x:v>
      </x:c>
      <x:c r="H103" s="14" t="str">
        <x:v>Discovery — вимоги проєкту</x:v>
      </x:c>
      <x:c r="I103" s="16" t="n">
        <x:v>0</x:v>
      </x:c>
      <x:c r="J103" s="16" t="n">
        <x:v>5</x:v>
      </x:c>
      <x:c r="K103" s="16" t="n">
        <x:v>5</x:v>
      </x:c>
      <x:c r="L103" s="16" t="n">
        <x:v>4</x:v>
      </x:c>
      <x:c r="M103" s="16" t="n">
        <x:v>4</x:v>
      </x:c>
      <x:c r="N103" s="16" t="n">
        <x:v>5</x:v>
      </x:c>
      <x:c r="O103" s="16" t="n">
        <x:v>5</x:v>
      </x:c>
      <x:c r="P103" s="16" t="n">
        <x:f>IF(COUNT(I103:O103)&lt;7,"",I103*8+J103*3+K103*2+L103*2+M103*2+N103*2+O103)</x:f>
        <x:v>56</x:v>
      </x:c>
      <x:c r="Q103" s="16" t="n">
        <x:f>IF(COUNT(J103:O103)&lt;6,"",J103*5+K103*4+M103*4+L103*3+N103*2+O103*2)</x:f>
        <x:v>93</x:v>
      </x:c>
      <x:c r="R103" s="14" t="str">
        <x:v>high</x:v>
      </x:c>
      <x:c r="S103" s="14" t="str">
        <x:v>official_source_reverified</x:v>
      </x:c>
      <x:c r="T103" s="14" t="str">
        <x:v>official_source_reachable</x:v>
      </x:c>
      <x:c r="U103" s="14" t="str">
        <x:v>Новий — не контактували</x:v>
      </x:c>
      <x:c r="V103" s="15" t="str">
        <x:v>Discovery-call: отримати 1 реальний артефакт і вимоги проєкту; не обіцяти готове покриття</x:v>
      </x:c>
      <x:c r="W103" s="15" t="str">
        <x:v>Власник / директор; керівник фасадних проєктів; ПТО</x:v>
      </x:c>
      <x:c r="X103" s="15" t="str">
        <x:v>Проєктування й монтаж вентильованих фасадів по Україні; кілька типів облицювання.</x:v>
      </x:c>
      <x:c r="Y103" s="15" t="str">
        <x:v>Кронштейни, анкери, утеплення, мембрани й протипожежні відсічки закриваються облицюванням.</x:v>
      </x:c>
      <x:c r="Z103" s="15" t="str">
        <x:v>https://nvf-group.com.ua/</x:v>
      </x:c>
      <x:c r="AA103" s="14" t="str"/>
      <x:c r="AB103" s="14" t="str">
        <x:v>2026-08-24</x:v>
      </x:c>
      <x:c r="AC103" s="14" t="str">
        <x:v>Олександр</x:v>
      </x:c>
      <x:c r="AD103" s="18" t="str"/>
      <x:c r="AE103" s="14" t="str"/>
    </x:row>
    <x:row r="104">
      <x:c r="A104" s="14" t="str">
        <x:v>EXP-008</x:v>
      </x:c>
      <x:c r="B104" s="14" t="str">
        <x:v>Розширення ніш — 24.08</x:v>
      </x:c>
      <x:c r="C104" s="14" t="str">
        <x:v>ПОКРИВ</x:v>
      </x:c>
      <x:c r="D104" s="14" t="str">
        <x:v>Покрівлі та гідроізоляція</x:v>
      </x:c>
      <x:c r="E104" s="14" t="str">
        <x:v>Expansion discovery</x:v>
      </x:c>
      <x:c r="F104" s="17" t="str">
        <x:f>IF(E104="Pilot now",IF(P104&gt;=84,"P1",IF(P104&gt;=72,"P2","P3")),IF(E104="Expansion discovery",IF(Q104&gt;=88,"D1",IF(Q104&gt;=78,"D2","D3")),IF(E104="Later / requirements","L","Legacy")))</x:f>
        <x:v>D1</x:v>
      </x:c>
      <x:c r="G104" s="14" t="str">
        <x:v>pokryv.com.ua</x:v>
      </x:c>
      <x:c r="H104" s="14" t="str">
        <x:v>Discovery — вимоги проєкту</x:v>
      </x:c>
      <x:c r="I104" s="16" t="n">
        <x:v>0</x:v>
      </x:c>
      <x:c r="J104" s="16" t="n">
        <x:v>5</x:v>
      </x:c>
      <x:c r="K104" s="16" t="n">
        <x:v>5</x:v>
      </x:c>
      <x:c r="L104" s="16" t="n">
        <x:v>4</x:v>
      </x:c>
      <x:c r="M104" s="16" t="n">
        <x:v>4</x:v>
      </x:c>
      <x:c r="N104" s="16" t="n">
        <x:v>5</x:v>
      </x:c>
      <x:c r="O104" s="16" t="n">
        <x:v>5</x:v>
      </x:c>
      <x:c r="P104" s="16" t="n">
        <x:f>IF(COUNT(I104:O104)&lt;7,"",I104*8+J104*3+K104*2+L104*2+M104*2+N104*2+O104)</x:f>
        <x:v>56</x:v>
      </x:c>
      <x:c r="Q104" s="16" t="n">
        <x:f>IF(COUNT(J104:O104)&lt;6,"",J104*5+K104*4+M104*4+L104*3+N104*2+O104*2)</x:f>
        <x:v>93</x:v>
      </x:c>
      <x:c r="R104" s="14" t="str">
        <x:v>high</x:v>
      </x:c>
      <x:c r="S104" s="14" t="str">
        <x:v>official_source_reverified</x:v>
      </x:c>
      <x:c r="T104" s="14" t="str">
        <x:v>official_source_reachable</x:v>
      </x:c>
      <x:c r="U104" s="14" t="str">
        <x:v>Новий — не контактували</x:v>
      </x:c>
      <x:c r="V104" s="15" t="str">
        <x:v>Discovery-call: отримати 1 реальний артефакт і вимоги проєкту; не обіцяти готове покриття</x:v>
      </x:c>
      <x:c r="W104" s="15" t="str">
        <x:v>Власник / директор; керівник проєктів; виконроб</x:v>
      </x:c>
      <x:c r="X104" s="15" t="str">
        <x:v>Портфоліо ПВХ/ТПО покрівель, терас, басейнів і промислових об’єктів.</x:v>
      </x:c>
      <x:c r="Y104" s="15" t="str">
        <x:v>Пароізоляція, утеплення, кріплення, шви й примикання стають недоступними після завершення покрівельного пирога.</x:v>
      </x:c>
      <x:c r="Z104" s="15" t="str">
        <x:v>https://pokryv.com.ua/gallery.html</x:v>
      </x:c>
      <x:c r="AA104" s="14" t="str"/>
      <x:c r="AB104" s="14" t="str">
        <x:v>2026-08-24</x:v>
      </x:c>
      <x:c r="AC104" s="14" t="str">
        <x:v>Олександр</x:v>
      </x:c>
      <x:c r="AD104" s="18" t="str"/>
      <x:c r="AE104" s="14" t="str"/>
    </x:row>
    <x:row r="105">
      <x:c r="A105" s="14" t="str">
        <x:v>EXP-005</x:v>
      </x:c>
      <x:c r="B105" s="14" t="str">
        <x:v>Розширення ніш — 24.08</x:v>
      </x:c>
      <x:c r="C105" s="14" t="str">
        <x:v>ПРОФ-ІНВЕСТ ГРУП</x:v>
      </x:c>
      <x:c r="D105" s="14" t="str">
        <x:v>Покрівлі та гідроізоляція</x:v>
      </x:c>
      <x:c r="E105" s="14" t="str">
        <x:v>Expansion discovery</x:v>
      </x:c>
      <x:c r="F105" s="17" t="str">
        <x:f>IF(E105="Pilot now",IF(P105&gt;=84,"P1",IF(P105&gt;=72,"P2","P3")),IF(E105="Expansion discovery",IF(Q105&gt;=88,"D1",IF(Q105&gt;=78,"D2","D3")),IF(E105="Later / requirements","L","Legacy")))</x:f>
        <x:v>D1</x:v>
      </x:c>
      <x:c r="G105" s="14" t="str">
        <x:v>profinvestgrup.com.ua</x:v>
      </x:c>
      <x:c r="H105" s="14" t="str">
        <x:v>Discovery — вимоги проєкту</x:v>
      </x:c>
      <x:c r="I105" s="16" t="n">
        <x:v>0</x:v>
      </x:c>
      <x:c r="J105" s="16" t="n">
        <x:v>5</x:v>
      </x:c>
      <x:c r="K105" s="16" t="n">
        <x:v>5</x:v>
      </x:c>
      <x:c r="L105" s="16" t="n">
        <x:v>4</x:v>
      </x:c>
      <x:c r="M105" s="16" t="n">
        <x:v>4</x:v>
      </x:c>
      <x:c r="N105" s="16" t="n">
        <x:v>5</x:v>
      </x:c>
      <x:c r="O105" s="16" t="n">
        <x:v>5</x:v>
      </x:c>
      <x:c r="P105" s="16" t="n">
        <x:f>IF(COUNT(I105:O105)&lt;7,"",I105*8+J105*3+K105*2+L105*2+M105*2+N105*2+O105)</x:f>
        <x:v>56</x:v>
      </x:c>
      <x:c r="Q105" s="16" t="n">
        <x:f>IF(COUNT(J105:O105)&lt;6,"",J105*5+K105*4+M105*4+L105*3+N105*2+O105*2)</x:f>
        <x:v>93</x:v>
      </x:c>
      <x:c r="R105" s="14" t="str">
        <x:v>high</x:v>
      </x:c>
      <x:c r="S105" s="14" t="str">
        <x:v>official_source_reverified</x:v>
      </x:c>
      <x:c r="T105" s="14" t="str">
        <x:v>official_source_reachable</x:v>
      </x:c>
      <x:c r="U105" s="14" t="str">
        <x:v>Новий — не контактували</x:v>
      </x:c>
      <x:c r="V105" s="15" t="str">
        <x:v>Discovery-call: отримати 1 реальний артефакт і вимоги проєкту; не обіцяти готове покриття</x:v>
      </x:c>
      <x:c r="W105" s="15" t="str">
        <x:v>Власник / директор; керівник проєктів; виконроб</x:v>
      </x:c>
      <x:c r="X105" s="15" t="str">
        <x:v>17+ років і понад 150 000 м² змонтованих мембран по Україні.</x:v>
      </x:c>
      <x:c r="Y105" s="15" t="str">
        <x:v>Пароізоляція, утеплення, кріплення, шви й примикання стають недоступними після завершення покрівельного пирога.</x:v>
      </x:c>
      <x:c r="Z105" s="15" t="str">
        <x:v>https://profinvestgrup.com.ua/</x:v>
      </x:c>
      <x:c r="AA105" s="14" t="str"/>
      <x:c r="AB105" s="14" t="str">
        <x:v>2026-08-24</x:v>
      </x:c>
      <x:c r="AC105" s="14" t="str">
        <x:v>Олександр</x:v>
      </x:c>
      <x:c r="AD105" s="18" t="str"/>
      <x:c r="AE105" s="14" t="str"/>
    </x:row>
    <x:row r="106">
      <x:c r="A106" s="14" t="str">
        <x:v>EXP-002</x:v>
      </x:c>
      <x:c r="B106" s="14" t="str">
        <x:v>Розширення ніш — 24.08</x:v>
      </x:c>
      <x:c r="C106" s="14" t="str">
        <x:v>СпецІзол</x:v>
      </x:c>
      <x:c r="D106" s="14" t="str">
        <x:v>Покрівлі та гідроізоляція</x:v>
      </x:c>
      <x:c r="E106" s="14" t="str">
        <x:v>Expansion discovery</x:v>
      </x:c>
      <x:c r="F106" s="17" t="str">
        <x:f>IF(E106="Pilot now",IF(P106&gt;=84,"P1",IF(P106&gt;=72,"P2","P3")),IF(E106="Expansion discovery",IF(Q106&gt;=88,"D1",IF(Q106&gt;=78,"D2","D3")),IF(E106="Later / requirements","L","Legacy")))</x:f>
        <x:v>D1</x:v>
      </x:c>
      <x:c r="G106" s="14" t="str">
        <x:v>spetsizol.com.ua</x:v>
      </x:c>
      <x:c r="H106" s="14" t="str">
        <x:v>Discovery — вимоги проєкту</x:v>
      </x:c>
      <x:c r="I106" s="16" t="n">
        <x:v>0</x:v>
      </x:c>
      <x:c r="J106" s="16" t="n">
        <x:v>5</x:v>
      </x:c>
      <x:c r="K106" s="16" t="n">
        <x:v>5</x:v>
      </x:c>
      <x:c r="L106" s="16" t="n">
        <x:v>4</x:v>
      </x:c>
      <x:c r="M106" s="16" t="n">
        <x:v>4</x:v>
      </x:c>
      <x:c r="N106" s="16" t="n">
        <x:v>5</x:v>
      </x:c>
      <x:c r="O106" s="16" t="n">
        <x:v>5</x:v>
      </x:c>
      <x:c r="P106" s="16" t="n">
        <x:f>IF(COUNT(I106:O106)&lt;7,"",I106*8+J106*3+K106*2+L106*2+M106*2+N106*2+O106)</x:f>
        <x:v>56</x:v>
      </x:c>
      <x:c r="Q106" s="16" t="n">
        <x:f>IF(COUNT(J106:O106)&lt;6,"",J106*5+K106*4+M106*4+L106*3+N106*2+O106*2)</x:f>
        <x:v>93</x:v>
      </x:c>
      <x:c r="R106" s="14" t="str">
        <x:v>high</x:v>
      </x:c>
      <x:c r="S106" s="14" t="str">
        <x:v>official_source_reverified</x:v>
      </x:c>
      <x:c r="T106" s="14" t="str">
        <x:v>official_source_reachable</x:v>
      </x:c>
      <x:c r="U106" s="14" t="str">
        <x:v>Новий — не контактували</x:v>
      </x:c>
      <x:c r="V106" s="15" t="str">
        <x:v>Discovery-call: отримати 1 реальний артефакт і вимоги проєкту; не обіцяти готове покриття</x:v>
      </x:c>
      <x:c r="W106" s="15" t="str">
        <x:v>Власник / директор; керівник проєктів; виконроб</x:v>
      </x:c>
      <x:c r="X106" s="15" t="str">
        <x:v>Портфоліо промислових і приватних мембранних покрівель; проєкти 600–1500 м².</x:v>
      </x:c>
      <x:c r="Y106" s="15" t="str">
        <x:v>Пароізоляція, утеплення, кріплення, шви й примикання стають недоступними після завершення покрівельного пирога.</x:v>
      </x:c>
      <x:c r="Z106" s="15" t="str">
        <x:v>https://spetsizol.com.ua/ua/photos</x:v>
      </x:c>
      <x:c r="AA106" s="14" t="str"/>
      <x:c r="AB106" s="14" t="str">
        <x:v>2026-08-24</x:v>
      </x:c>
      <x:c r="AC106" s="14" t="str">
        <x:v>Олександр</x:v>
      </x:c>
      <x:c r="AD106" s="18" t="str"/>
      <x:c r="AE106" s="14" t="str"/>
    </x:row>
    <x:row r="107">
      <x:c r="A107" s="14" t="str">
        <x:v>EXP-007</x:v>
      </x:c>
      <x:c r="B107" s="14" t="str">
        <x:v>Розширення ніш — 24.08</x:v>
      </x:c>
      <x:c r="C107" s="14" t="str">
        <x:v>ТК Три Кита</x:v>
      </x:c>
      <x:c r="D107" s="14" t="str">
        <x:v>Покрівлі та гідроізоляція</x:v>
      </x:c>
      <x:c r="E107" s="14" t="str">
        <x:v>Expansion discovery</x:v>
      </x:c>
      <x:c r="F107" s="17" t="str">
        <x:f>IF(E107="Pilot now",IF(P107&gt;=84,"P1",IF(P107&gt;=72,"P2","P3")),IF(E107="Expansion discovery",IF(Q107&gt;=88,"D1",IF(Q107&gt;=78,"D2","D3")),IF(E107="Later / requirements","L","Legacy")))</x:f>
        <x:v>D1</x:v>
      </x:c>
      <x:c r="G107" s="14" t="str">
        <x:v>tk-build.kiev.ua</x:v>
      </x:c>
      <x:c r="H107" s="14" t="str">
        <x:v>Discovery — вимоги проєкту</x:v>
      </x:c>
      <x:c r="I107" s="16" t="n">
        <x:v>0</x:v>
      </x:c>
      <x:c r="J107" s="16" t="n">
        <x:v>5</x:v>
      </x:c>
      <x:c r="K107" s="16" t="n">
        <x:v>5</x:v>
      </x:c>
      <x:c r="L107" s="16" t="n">
        <x:v>4</x:v>
      </x:c>
      <x:c r="M107" s="16" t="n">
        <x:v>4</x:v>
      </x:c>
      <x:c r="N107" s="16" t="n">
        <x:v>5</x:v>
      </x:c>
      <x:c r="O107" s="16" t="n">
        <x:v>5</x:v>
      </x:c>
      <x:c r="P107" s="16" t="n">
        <x:f>IF(COUNT(I107:O107)&lt;7,"",I107*8+J107*3+K107*2+L107*2+M107*2+N107*2+O107)</x:f>
        <x:v>56</x:v>
      </x:c>
      <x:c r="Q107" s="16" t="n">
        <x:f>IF(COUNT(J107:O107)&lt;6,"",J107*5+K107*4+M107*4+L107*3+N107*2+O107*2)</x:f>
        <x:v>93</x:v>
      </x:c>
      <x:c r="R107" s="14" t="str">
        <x:v>high</x:v>
      </x:c>
      <x:c r="S107" s="14" t="str">
        <x:v>official_source_reverified</x:v>
      </x:c>
      <x:c r="T107" s="14" t="str">
        <x:v>official_source_reachable</x:v>
      </x:c>
      <x:c r="U107" s="14" t="str">
        <x:v>Новий — не контактували</x:v>
      </x:c>
      <x:c r="V107" s="15" t="str">
        <x:v>Discovery-call: отримати 1 реальний артефакт і вимоги проєкту; не обіцяти готове покриття</x:v>
      </x:c>
      <x:c r="W107" s="15" t="str">
        <x:v>Власник / директор; керівник проєктів; виконроб</x:v>
      </x:c>
      <x:c r="X107" s="15" t="str">
        <x:v>Портфоліо 300+ приватних і промислових покрівель по Україні.</x:v>
      </x:c>
      <x:c r="Y107" s="15" t="str">
        <x:v>Пароізоляція, утеплення, кріплення, шви й примикання стають недоступними після завершення покрівельного пирога.</x:v>
      </x:c>
      <x:c r="Z107" s="15" t="str">
        <x:v>https://www.tk-build.kiev.ua/portfolio-pokrivelnyh-robit/</x:v>
      </x:c>
      <x:c r="AA107" s="14" t="str"/>
      <x:c r="AB107" s="14" t="str">
        <x:v>2026-08-24</x:v>
      </x:c>
      <x:c r="AC107" s="14" t="str">
        <x:v>Олександр</x:v>
      </x:c>
      <x:c r="AD107" s="18" t="str"/>
      <x:c r="AE107" s="14" t="str"/>
    </x:row>
    <x:row r="108">
      <x:c r="A108" s="14" t="str">
        <x:v>EXP-004</x:v>
      </x:c>
      <x:c r="B108" s="14" t="str">
        <x:v>Розширення ніш — 24.08</x:v>
      </x:c>
      <x:c r="C108" s="14" t="str">
        <x:v>Укргідроізол</x:v>
      </x:c>
      <x:c r="D108" s="14" t="str">
        <x:v>Покрівлі та гідроізоляція</x:v>
      </x:c>
      <x:c r="E108" s="14" t="str">
        <x:v>Expansion discovery</x:v>
      </x:c>
      <x:c r="F108" s="17" t="str">
        <x:f>IF(E108="Pilot now",IF(P108&gt;=84,"P1",IF(P108&gt;=72,"P2","P3")),IF(E108="Expansion discovery",IF(Q108&gt;=88,"D1",IF(Q108&gt;=78,"D2","D3")),IF(E108="Later / requirements","L","Legacy")))</x:f>
        <x:v>D1</x:v>
      </x:c>
      <x:c r="G108" s="14" t="str">
        <x:v>ukrgidroizol.com.ua</x:v>
      </x:c>
      <x:c r="H108" s="14" t="str">
        <x:v>Discovery — вимоги проєкту</x:v>
      </x:c>
      <x:c r="I108" s="16" t="n">
        <x:v>0</x:v>
      </x:c>
      <x:c r="J108" s="16" t="n">
        <x:v>5</x:v>
      </x:c>
      <x:c r="K108" s="16" t="n">
        <x:v>5</x:v>
      </x:c>
      <x:c r="L108" s="16" t="n">
        <x:v>4</x:v>
      </x:c>
      <x:c r="M108" s="16" t="n">
        <x:v>4</x:v>
      </x:c>
      <x:c r="N108" s="16" t="n">
        <x:v>5</x:v>
      </x:c>
      <x:c r="O108" s="16" t="n">
        <x:v>5</x:v>
      </x:c>
      <x:c r="P108" s="16" t="n">
        <x:f>IF(COUNT(I108:O108)&lt;7,"",I108*8+J108*3+K108*2+L108*2+M108*2+N108*2+O108)</x:f>
        <x:v>56</x:v>
      </x:c>
      <x:c r="Q108" s="16" t="n">
        <x:f>IF(COUNT(J108:O108)&lt;6,"",J108*5+K108*4+M108*4+L108*3+N108*2+O108*2)</x:f>
        <x:v>93</x:v>
      </x:c>
      <x:c r="R108" s="14" t="str">
        <x:v>high</x:v>
      </x:c>
      <x:c r="S108" s="14" t="str">
        <x:v>official_source_reverified</x:v>
      </x:c>
      <x:c r="T108" s="14" t="str">
        <x:v>official_source_reachable</x:v>
      </x:c>
      <x:c r="U108" s="14" t="str">
        <x:v>Новий — не контактували</x:v>
      </x:c>
      <x:c r="V108" s="15" t="str">
        <x:v>Discovery-call: отримати 1 реальний артефакт і вимоги проєкту; не обіцяти готове покриття</x:v>
      </x:c>
      <x:c r="W108" s="15" t="str">
        <x:v>Власник / директор; керівник проєктів; виконроб</x:v>
      </x:c>
      <x:c r="X108" s="15" t="str">
        <x:v>15+ років у ПВХ/ТПО покрівлях; повний покрівельний пиріг і галерея робіт.</x:v>
      </x:c>
      <x:c r="Y108" s="15" t="str">
        <x:v>Пароізоляція, утеплення, кріплення, шви й примикання стають недоступними після завершення покрівельного пирога.</x:v>
      </x:c>
      <x:c r="Z108" s="15" t="str">
        <x:v>https://ukrgidroizol.com.ua/</x:v>
      </x:c>
      <x:c r="AA108" s="14" t="str"/>
      <x:c r="AB108" s="14" t="str">
        <x:v>2026-08-24</x:v>
      </x:c>
      <x:c r="AC108" s="14" t="str">
        <x:v>Олександр</x:v>
      </x:c>
      <x:c r="AD108" s="18" t="str"/>
      <x:c r="AE108" s="14" t="str"/>
    </x:row>
    <x:row r="109">
      <x:c r="A109" s="14" t="str">
        <x:v>EXP-013</x:v>
      </x:c>
      <x:c r="B109" s="14" t="str">
        <x:v>Розширення ніш — 24.08</x:v>
      </x:c>
      <x:c r="C109" s="14" t="str">
        <x:v>УКРФАСАДМОНТАЖ</x:v>
      </x:c>
      <x:c r="D109" s="14" t="str">
        <x:v>Вентильовані фасади та скління</x:v>
      </x:c>
      <x:c r="E109" s="14" t="str">
        <x:v>Expansion discovery</x:v>
      </x:c>
      <x:c r="F109" s="17" t="str">
        <x:f>IF(E109="Pilot now",IF(P109&gt;=84,"P1",IF(P109&gt;=72,"P2","P3")),IF(E109="Expansion discovery",IF(Q109&gt;=88,"D1",IF(Q109&gt;=78,"D2","D3")),IF(E109="Later / requirements","L","Legacy")))</x:f>
        <x:v>D1</x:v>
      </x:c>
      <x:c r="G109" s="14" t="str">
        <x:v>facade-ua.com</x:v>
      </x:c>
      <x:c r="H109" s="14" t="str">
        <x:v>Discovery — вимоги проєкту</x:v>
      </x:c>
      <x:c r="I109" s="16" t="n">
        <x:v>0</x:v>
      </x:c>
      <x:c r="J109" s="16" t="n">
        <x:v>5</x:v>
      </x:c>
      <x:c r="K109" s="16" t="n">
        <x:v>5</x:v>
      </x:c>
      <x:c r="L109" s="16" t="n">
        <x:v>4</x:v>
      </x:c>
      <x:c r="M109" s="16" t="n">
        <x:v>4</x:v>
      </x:c>
      <x:c r="N109" s="16" t="n">
        <x:v>5</x:v>
      </x:c>
      <x:c r="O109" s="16" t="n">
        <x:v>5</x:v>
      </x:c>
      <x:c r="P109" s="16" t="n">
        <x:f>IF(COUNT(I109:O109)&lt;7,"",I109*8+J109*3+K109*2+L109*2+M109*2+N109*2+O109)</x:f>
        <x:v>56</x:v>
      </x:c>
      <x:c r="Q109" s="16" t="n">
        <x:f>IF(COUNT(J109:O109)&lt;6,"",J109*5+K109*4+M109*4+L109*3+N109*2+O109*2)</x:f>
        <x:v>93</x:v>
      </x:c>
      <x:c r="R109" s="14" t="str">
        <x:v>high</x:v>
      </x:c>
      <x:c r="S109" s="14" t="str">
        <x:v>official_source_reverified</x:v>
      </x:c>
      <x:c r="T109" s="14" t="str">
        <x:v>official_source_reachable</x:v>
      </x:c>
      <x:c r="U109" s="14" t="str">
        <x:v>Новий — не контактували</x:v>
      </x:c>
      <x:c r="V109" s="15" t="str">
        <x:v>Discovery-call: отримати 1 реальний артефакт і вимоги проєкту; не обіцяти готове покриття</x:v>
      </x:c>
      <x:c r="W109" s="15" t="str">
        <x:v>Власник / директор; керівник фасадних проєктів; ПТО</x:v>
      </x:c>
      <x:c r="X109" s="15" t="str">
        <x:v>Фасадне скління, вентильовані фасади з утепленням і портфоліо бізнес-об’єктів.</x:v>
      </x:c>
      <x:c r="Y109" s="15" t="str">
        <x:v>Кронштейни, анкери, утеплення, мембрани й протипожежні відсічки закриваються облицюванням.</x:v>
      </x:c>
      <x:c r="Z109" s="15" t="str">
        <x:v>https://facade-ua.com/</x:v>
      </x:c>
      <x:c r="AA109" s="14" t="str"/>
      <x:c r="AB109" s="14" t="str">
        <x:v>2026-08-24</x:v>
      </x:c>
      <x:c r="AC109" s="14" t="str">
        <x:v>Олександр</x:v>
      </x:c>
      <x:c r="AD109" s="18" t="str"/>
      <x:c r="AE109" s="14" t="str"/>
    </x:row>
    <x:row r="110">
      <x:c r="A110" s="14" t="str">
        <x:v>EXP-009</x:v>
      </x:c>
      <x:c r="B110" s="14" t="str">
        <x:v>Розширення ніш — 24.08</x:v>
      </x:c>
      <x:c r="C110" s="14" t="str">
        <x:v>AMKO</x:v>
      </x:c>
      <x:c r="D110" s="14" t="str">
        <x:v>Покрівлі та гідроізоляція</x:v>
      </x:c>
      <x:c r="E110" s="14" t="str">
        <x:v>Expansion discovery</x:v>
      </x:c>
      <x:c r="F110" s="17" t="str">
        <x:f>IF(E110="Pilot now",IF(P110&gt;=84,"P1",IF(P110&gt;=72,"P2","P3")),IF(E110="Expansion discovery",IF(Q110&gt;=88,"D1",IF(Q110&gt;=78,"D2","D3")),IF(E110="Later / requirements","L","Legacy")))</x:f>
        <x:v>D1</x:v>
      </x:c>
      <x:c r="G110" s="14" t="str">
        <x:v>amko.com.ua</x:v>
      </x:c>
      <x:c r="H110" s="14" t="str">
        <x:v>Discovery — вимоги проєкту</x:v>
      </x:c>
      <x:c r="I110" s="16" t="n">
        <x:v>0</x:v>
      </x:c>
      <x:c r="J110" s="16" t="n">
        <x:v>5</x:v>
      </x:c>
      <x:c r="K110" s="16" t="n">
        <x:v>5</x:v>
      </x:c>
      <x:c r="L110" s="16" t="n">
        <x:v>4</x:v>
      </x:c>
      <x:c r="M110" s="16" t="n">
        <x:v>4</x:v>
      </x:c>
      <x:c r="N110" s="16" t="n">
        <x:v>5</x:v>
      </x:c>
      <x:c r="O110" s="16" t="n">
        <x:v>5</x:v>
      </x:c>
      <x:c r="P110" s="16" t="n">
        <x:f>IF(COUNT(I110:O110)&lt;7,"",I110*8+J110*3+K110*2+L110*2+M110*2+N110*2+O110)</x:f>
        <x:v>56</x:v>
      </x:c>
      <x:c r="Q110" s="16" t="n">
        <x:f>IF(COUNT(J110:O110)&lt;6,"",J110*5+K110*4+M110*4+L110*3+N110*2+O110*2)</x:f>
        <x:v>93</x:v>
      </x:c>
      <x:c r="R110" s="14" t="str">
        <x:v>high</x:v>
      </x:c>
      <x:c r="S110" s="14" t="str">
        <x:v>official_source_reverified</x:v>
      </x:c>
      <x:c r="T110" s="14" t="str">
        <x:v>official_source_reachable</x:v>
      </x:c>
      <x:c r="U110" s="14" t="str">
        <x:v>Новий — не контактували</x:v>
      </x:c>
      <x:c r="V110" s="15" t="str">
        <x:v>Discovery-call: отримати 1 реальний артефакт і вимоги проєкту; не обіцяти готове покриття</x:v>
      </x:c>
      <x:c r="W110" s="15" t="str">
        <x:v>Власник / директор; керівник проєктів; виконроб</x:v>
      </x:c>
      <x:c r="X110" s="15" t="str">
        <x:v>Повний цикл мембранної покрівлі: основа, шари, шви, примикання й контроль.</x:v>
      </x:c>
      <x:c r="Y110" s="15" t="str">
        <x:v>Пароізоляція, утеплення, кріплення, шви й примикання стають недоступними після завершення покрівельного пирога.</x:v>
      </x:c>
      <x:c r="Z110" s="15" t="str">
        <x:v>https://amko.com.ua/pokrivelni-roboty/montazh-pvkh-membrany/</x:v>
      </x:c>
      <x:c r="AA110" s="14" t="str"/>
      <x:c r="AB110" s="14" t="str">
        <x:v>2026-08-24</x:v>
      </x:c>
      <x:c r="AC110" s="14" t="str">
        <x:v>Олександр</x:v>
      </x:c>
      <x:c r="AD110" s="18" t="str"/>
      <x:c r="AE110" s="14" t="str"/>
    </x:row>
    <x:row r="111">
      <x:c r="A111" s="14" t="str">
        <x:v>EXP-001</x:v>
      </x:c>
      <x:c r="B111" s="14" t="str">
        <x:v>Розширення ніш — 24.08</x:v>
      </x:c>
      <x:c r="C111" s="14" t="str">
        <x:v>ATNI GROUP</x:v>
      </x:c>
      <x:c r="D111" s="14" t="str">
        <x:v>Покрівлі та гідроізоляція</x:v>
      </x:c>
      <x:c r="E111" s="14" t="str">
        <x:v>Expansion discovery</x:v>
      </x:c>
      <x:c r="F111" s="17" t="str">
        <x:f>IF(E111="Pilot now",IF(P111&gt;=84,"P1",IF(P111&gt;=72,"P2","P3")),IF(E111="Expansion discovery",IF(Q111&gt;=88,"D1",IF(Q111&gt;=78,"D2","D3")),IF(E111="Later / requirements","L","Legacy")))</x:f>
        <x:v>D1</x:v>
      </x:c>
      <x:c r="G111" s="14" t="str">
        <x:v>atnigroup.com.ua</x:v>
      </x:c>
      <x:c r="H111" s="14" t="str">
        <x:v>Discovery — вимоги проєкту</x:v>
      </x:c>
      <x:c r="I111" s="16" t="n">
        <x:v>0</x:v>
      </x:c>
      <x:c r="J111" s="16" t="n">
        <x:v>5</x:v>
      </x:c>
      <x:c r="K111" s="16" t="n">
        <x:v>5</x:v>
      </x:c>
      <x:c r="L111" s="16" t="n">
        <x:v>4</x:v>
      </x:c>
      <x:c r="M111" s="16" t="n">
        <x:v>4</x:v>
      </x:c>
      <x:c r="N111" s="16" t="n">
        <x:v>5</x:v>
      </x:c>
      <x:c r="O111" s="16" t="n">
        <x:v>5</x:v>
      </x:c>
      <x:c r="P111" s="16" t="n">
        <x:f>IF(COUNT(I111:O111)&lt;7,"",I111*8+J111*3+K111*2+L111*2+M111*2+N111*2+O111)</x:f>
        <x:v>56</x:v>
      </x:c>
      <x:c r="Q111" s="16" t="n">
        <x:f>IF(COUNT(J111:O111)&lt;6,"",J111*5+K111*4+M111*4+L111*3+N111*2+O111*2)</x:f>
        <x:v>93</x:v>
      </x:c>
      <x:c r="R111" s="14" t="str">
        <x:v>high</x:v>
      </x:c>
      <x:c r="S111" s="14" t="str">
        <x:v>official_source_reverified</x:v>
      </x:c>
      <x:c r="T111" s="14" t="str">
        <x:v>official_source_reachable</x:v>
      </x:c>
      <x:c r="U111" s="14" t="str">
        <x:v>Новий — не контактували</x:v>
      </x:c>
      <x:c r="V111" s="15" t="str">
        <x:v>Discovery-call: отримати 1 реальний артефакт і вимоги проєкту; не обіцяти готове покриття</x:v>
      </x:c>
      <x:c r="W111" s="15" t="str">
        <x:v>Власник / директор; керівник проєктів; виконроб</x:v>
      </x:c>
      <x:c r="X111" s="15" t="str">
        <x:v>ПВХ/ТПО мембрани, утеплення і реалізовані покрівлі 420–4670 м².</x:v>
      </x:c>
      <x:c r="Y111" s="15" t="str">
        <x:v>Пароізоляція, утеплення, кріплення, шви й примикання стають недоступними після завершення покрівельного пирога.</x:v>
      </x:c>
      <x:c r="Z111" s="15" t="str">
        <x:v>https://atnigroup.com.ua/</x:v>
      </x:c>
      <x:c r="AA111" s="14" t="str"/>
      <x:c r="AB111" s="14" t="str">
        <x:v>2026-08-24</x:v>
      </x:c>
      <x:c r="AC111" s="14" t="str">
        <x:v>Олександр</x:v>
      </x:c>
      <x:c r="AD111" s="18" t="str"/>
      <x:c r="AE111" s="14" t="str"/>
    </x:row>
    <x:row r="112">
      <x:c r="A112" s="14" t="str">
        <x:v>EXP-019</x:v>
      </x:c>
      <x:c r="B112" s="14" t="str">
        <x:v>Розширення ніш — 24.08</x:v>
      </x:c>
      <x:c r="C112" s="14" t="str">
        <x:v>DENBETON</x:v>
      </x:c>
      <x:c r="D112" s="14" t="str">
        <x:v>Промислові підлоги та бетон</x:v>
      </x:c>
      <x:c r="E112" s="14" t="str">
        <x:v>Expansion discovery</x:v>
      </x:c>
      <x:c r="F112" s="17" t="str">
        <x:f>IF(E112="Pilot now",IF(P112&gt;=84,"P1",IF(P112&gt;=72,"P2","P3")),IF(E112="Expansion discovery",IF(Q112&gt;=88,"D1",IF(Q112&gt;=78,"D2","D3")),IF(E112="Later / requirements","L","Legacy")))</x:f>
        <x:v>D1</x:v>
      </x:c>
      <x:c r="G112" s="14" t="str">
        <x:v>denbeton.com.ua</x:v>
      </x:c>
      <x:c r="H112" s="14" t="str">
        <x:v>Discovery — вимоги проєкту</x:v>
      </x:c>
      <x:c r="I112" s="16" t="n">
        <x:v>0</x:v>
      </x:c>
      <x:c r="J112" s="16" t="n">
        <x:v>5</x:v>
      </x:c>
      <x:c r="K112" s="16" t="n">
        <x:v>4</x:v>
      </x:c>
      <x:c r="L112" s="16" t="n">
        <x:v>5</x:v>
      </x:c>
      <x:c r="M112" s="16" t="n">
        <x:v>4</x:v>
      </x:c>
      <x:c r="N112" s="16" t="n">
        <x:v>5</x:v>
      </x:c>
      <x:c r="O112" s="16" t="n">
        <x:v>5</x:v>
      </x:c>
      <x:c r="P112" s="16" t="n">
        <x:f>IF(COUNT(I112:O112)&lt;7,"",I112*8+J112*3+K112*2+L112*2+M112*2+N112*2+O112)</x:f>
        <x:v>56</x:v>
      </x:c>
      <x:c r="Q112" s="16" t="n">
        <x:f>IF(COUNT(J112:O112)&lt;6,"",J112*5+K112*4+M112*4+L112*3+N112*2+O112*2)</x:f>
        <x:v>92</x:v>
      </x:c>
      <x:c r="R112" s="14" t="str">
        <x:v>high</x:v>
      </x:c>
      <x:c r="S112" s="14" t="str">
        <x:v>official_source_reverified</x:v>
      </x:c>
      <x:c r="T112" s="14" t="str">
        <x:v>official_source_reachable</x:v>
      </x:c>
      <x:c r="U112" s="14" t="str">
        <x:v>Новий — не контактували</x:v>
      </x:c>
      <x:c r="V112" s="15" t="str">
        <x:v>Discovery-call: отримати 1 реальний артефакт і вимоги проєкту; не обіцяти готове покриття</x:v>
      </x:c>
      <x:c r="W112" s="15" t="str">
        <x:v>Власник / директор; керівник проєктів; технолог / ПТО</x:v>
      </x:c>
      <x:c r="X112" s="15" t="str">
        <x:v>200+ проєктів і 645 000 м² промислових підлог; власний масштаб виконання.</x:v>
      </x:c>
      <x:c r="Y112" s="15" t="str">
        <x:v>Підготовка основи, армування, шви, вологість і технологічні шари потрібно зафіксувати до заливки або нанесення фінішу.</x:v>
      </x:c>
      <x:c r="Z112" s="15" t="str">
        <x:v>https://www.denbeton.com.ua/</x:v>
      </x:c>
      <x:c r="AA112" s="14" t="str"/>
      <x:c r="AB112" s="14" t="str">
        <x:v>2026-08-24</x:v>
      </x:c>
      <x:c r="AC112" s="14" t="str">
        <x:v>Олександр</x:v>
      </x:c>
      <x:c r="AD112" s="18" t="str"/>
      <x:c r="AE112" s="14" t="str"/>
    </x:row>
    <x:row r="113">
      <x:c r="A113" s="14" t="str">
        <x:v>EXP-015</x:v>
      </x:c>
      <x:c r="B113" s="14" t="str">
        <x:v>Розширення ніш — 24.08</x:v>
      </x:c>
      <x:c r="C113" s="14" t="str">
        <x:v>EKZO.HAUS</x:v>
      </x:c>
      <x:c r="D113" s="14" t="str">
        <x:v>Вентильовані фасади та скління</x:v>
      </x:c>
      <x:c r="E113" s="14" t="str">
        <x:v>Expansion discovery</x:v>
      </x:c>
      <x:c r="F113" s="17" t="str">
        <x:f>IF(E113="Pilot now",IF(P113&gt;=84,"P1",IF(P113&gt;=72,"P2","P3")),IF(E113="Expansion discovery",IF(Q113&gt;=88,"D1",IF(Q113&gt;=78,"D2","D3")),IF(E113="Later / requirements","L","Legacy")))</x:f>
        <x:v>D1</x:v>
      </x:c>
      <x:c r="G113" s="14" t="str">
        <x:v>ekzo.haus</x:v>
      </x:c>
      <x:c r="H113" s="14" t="str">
        <x:v>Discovery — вимоги проєкту</x:v>
      </x:c>
      <x:c r="I113" s="16" t="n">
        <x:v>0</x:v>
      </x:c>
      <x:c r="J113" s="16" t="n">
        <x:v>5</x:v>
      </x:c>
      <x:c r="K113" s="16" t="n">
        <x:v>5</x:v>
      </x:c>
      <x:c r="L113" s="16" t="n">
        <x:v>4</x:v>
      </x:c>
      <x:c r="M113" s="16" t="n">
        <x:v>4</x:v>
      </x:c>
      <x:c r="N113" s="16" t="n">
        <x:v>5</x:v>
      </x:c>
      <x:c r="O113" s="16" t="n">
        <x:v>5</x:v>
      </x:c>
      <x:c r="P113" s="16" t="n">
        <x:f>IF(COUNT(I113:O113)&lt;7,"",I113*8+J113*3+K113*2+L113*2+M113*2+N113*2+O113)</x:f>
        <x:v>56</x:v>
      </x:c>
      <x:c r="Q113" s="16" t="n">
        <x:f>IF(COUNT(J113:O113)&lt;6,"",J113*5+K113*4+M113*4+L113*3+N113*2+O113*2)</x:f>
        <x:v>93</x:v>
      </x:c>
      <x:c r="R113" s="14" t="str">
        <x:v>high</x:v>
      </x:c>
      <x:c r="S113" s="14" t="str">
        <x:v>official_source_reverified</x:v>
      </x:c>
      <x:c r="T113" s="14" t="str">
        <x:v>official_source_reachable</x:v>
      </x:c>
      <x:c r="U113" s="14" t="str">
        <x:v>Новий — не контактували</x:v>
      </x:c>
      <x:c r="V113" s="15" t="str">
        <x:v>Discovery-call: отримати 1 реальний артефакт і вимоги проєкту; не обіцяти готове покриття</x:v>
      </x:c>
      <x:c r="W113" s="15" t="str">
        <x:v>Власник / директор; керівник фасадних проєктів; ПТО</x:v>
      </x:c>
      <x:c r="X113" s="15" t="str">
        <x:v>Виробництво систем і організація монтажних бригад для вентфасадів та покрівель.</x:v>
      </x:c>
      <x:c r="Y113" s="15" t="str">
        <x:v>Кронштейни, анкери, утеплення, мембрани й протипожежні відсічки закриваються облицюванням.</x:v>
      </x:c>
      <x:c r="Z113" s="15" t="str">
        <x:v>https://ekzo.haus/</x:v>
      </x:c>
      <x:c r="AA113" s="14" t="str"/>
      <x:c r="AB113" s="14" t="str">
        <x:v>2026-08-24</x:v>
      </x:c>
      <x:c r="AC113" s="14" t="str">
        <x:v>Олександр</x:v>
      </x:c>
      <x:c r="AD113" s="18" t="str"/>
      <x:c r="AE113" s="14" t="str"/>
    </x:row>
    <x:row r="114">
      <x:c r="A114" s="14" t="str">
        <x:v>EXP-018</x:v>
      </x:c>
      <x:c r="B114" s="14" t="str">
        <x:v>Розширення ніш — 24.08</x:v>
      </x:c>
      <x:c r="C114" s="14" t="str">
        <x:v>Olis-Group</x:v>
      </x:c>
      <x:c r="D114" s="14" t="str">
        <x:v>Промислові підлоги та бетон</x:v>
      </x:c>
      <x:c r="E114" s="14" t="str">
        <x:v>Expansion discovery</x:v>
      </x:c>
      <x:c r="F114" s="17" t="str">
        <x:f>IF(E114="Pilot now",IF(P114&gt;=84,"P1",IF(P114&gt;=72,"P2","P3")),IF(E114="Expansion discovery",IF(Q114&gt;=88,"D1",IF(Q114&gt;=78,"D2","D3")),IF(E114="Later / requirements","L","Legacy")))</x:f>
        <x:v>D1</x:v>
      </x:c>
      <x:c r="G114" s="14" t="str">
        <x:v>olis-group.com.ua</x:v>
      </x:c>
      <x:c r="H114" s="14" t="str">
        <x:v>Discovery — вимоги проєкту</x:v>
      </x:c>
      <x:c r="I114" s="16" t="n">
        <x:v>0</x:v>
      </x:c>
      <x:c r="J114" s="16" t="n">
        <x:v>5</x:v>
      </x:c>
      <x:c r="K114" s="16" t="n">
        <x:v>4</x:v>
      </x:c>
      <x:c r="L114" s="16" t="n">
        <x:v>5</x:v>
      </x:c>
      <x:c r="M114" s="16" t="n">
        <x:v>4</x:v>
      </x:c>
      <x:c r="N114" s="16" t="n">
        <x:v>5</x:v>
      </x:c>
      <x:c r="O114" s="16" t="n">
        <x:v>5</x:v>
      </x:c>
      <x:c r="P114" s="16" t="n">
        <x:f>IF(COUNT(I114:O114)&lt;7,"",I114*8+J114*3+K114*2+L114*2+M114*2+N114*2+O114)</x:f>
        <x:v>56</x:v>
      </x:c>
      <x:c r="Q114" s="16" t="n">
        <x:f>IF(COUNT(J114:O114)&lt;6,"",J114*5+K114*4+M114*4+L114*3+N114*2+O114*2)</x:f>
        <x:v>92</x:v>
      </x:c>
      <x:c r="R114" s="14" t="str">
        <x:v>high</x:v>
      </x:c>
      <x:c r="S114" s="14" t="str">
        <x:v>official_source_reverified</x:v>
      </x:c>
      <x:c r="T114" s="14" t="str">
        <x:v>official_source_reachable</x:v>
      </x:c>
      <x:c r="U114" s="14" t="str">
        <x:v>Новий — не контактували</x:v>
      </x:c>
      <x:c r="V114" s="15" t="str">
        <x:v>Discovery-call: отримати 1 реальний артефакт і вимоги проєкту; не обіцяти готове покриття</x:v>
      </x:c>
      <x:c r="W114" s="15" t="str">
        <x:v>Власник / директор; керівник проєктів; технолог / ПТО</x:v>
      </x:c>
      <x:c r="X114" s="15" t="str">
        <x:v>1850+ промислових підлог для великих заводів і харчових підприємств.</x:v>
      </x:c>
      <x:c r="Y114" s="15" t="str">
        <x:v>Підготовка основи, армування, шви, вологість і технологічні шари потрібно зафіксувати до заливки або нанесення фінішу.</x:v>
      </x:c>
      <x:c r="Z114" s="15" t="str">
        <x:v>https://olis-group.com.ua/</x:v>
      </x:c>
      <x:c r="AA114" s="14" t="str"/>
      <x:c r="AB114" s="14" t="str">
        <x:v>2026-08-24</x:v>
      </x:c>
      <x:c r="AC114" s="14" t="str">
        <x:v>Олександр</x:v>
      </x:c>
      <x:c r="AD114" s="18" t="str"/>
      <x:c r="AE114" s="14" t="str"/>
    </x:row>
    <x:row r="115">
      <x:c r="A115" s="14" t="str">
        <x:v>EXP-016</x:v>
      </x:c>
      <x:c r="B115" s="14" t="str">
        <x:v>Розширення ніш — 24.08</x:v>
      </x:c>
      <x:c r="C115" s="14" t="str">
        <x:v>SCANROC Україна</x:v>
      </x:c>
      <x:c r="D115" s="14" t="str">
        <x:v>Вентильовані фасади та скління</x:v>
      </x:c>
      <x:c r="E115" s="14" t="str">
        <x:v>Expansion discovery</x:v>
      </x:c>
      <x:c r="F115" s="17" t="str">
        <x:f>IF(E115="Pilot now",IF(P115&gt;=84,"P1",IF(P115&gt;=72,"P2","P3")),IF(E115="Expansion discovery",IF(Q115&gt;=88,"D1",IF(Q115&gt;=78,"D2","D3")),IF(E115="Later / requirements","L","Legacy")))</x:f>
        <x:v>D1</x:v>
      </x:c>
      <x:c r="G115" s="14" t="str">
        <x:v>scanroc.ua</x:v>
      </x:c>
      <x:c r="H115" s="14" t="str">
        <x:v>Discovery — вимоги проєкту</x:v>
      </x:c>
      <x:c r="I115" s="16" t="n">
        <x:v>0</x:v>
      </x:c>
      <x:c r="J115" s="16" t="n">
        <x:v>5</x:v>
      </x:c>
      <x:c r="K115" s="16" t="n">
        <x:v>5</x:v>
      </x:c>
      <x:c r="L115" s="16" t="n">
        <x:v>5</x:v>
      </x:c>
      <x:c r="M115" s="16" t="n">
        <x:v>4</x:v>
      </x:c>
      <x:c r="N115" s="16" t="n">
        <x:v>5</x:v>
      </x:c>
      <x:c r="O115" s="16" t="n">
        <x:v>3</x:v>
      </x:c>
      <x:c r="P115" s="16" t="n">
        <x:f>IF(COUNT(I115:O115)&lt;7,"",I115*8+J115*3+K115*2+L115*2+M115*2+N115*2+O115)</x:f>
        <x:v>56</x:v>
      </x:c>
      <x:c r="Q115" s="16" t="n">
        <x:f>IF(COUNT(J115:O115)&lt;6,"",J115*5+K115*4+M115*4+L115*3+N115*2+O115*2)</x:f>
        <x:v>92</x:v>
      </x:c>
      <x:c r="R115" s="14" t="str">
        <x:v>high</x:v>
      </x:c>
      <x:c r="S115" s="14" t="str">
        <x:v>official_source_reverified</x:v>
      </x:c>
      <x:c r="T115" s="14" t="str">
        <x:v>official_source_reachable</x:v>
      </x:c>
      <x:c r="U115" s="14" t="str">
        <x:v>Новий — не контактували</x:v>
      </x:c>
      <x:c r="V115" s="15" t="str">
        <x:v>Discovery-call: отримати 1 реальний артефакт і вимоги проєкту; не обіцяти готове покриття</x:v>
      </x:c>
      <x:c r="W115" s="15" t="str">
        <x:v>Власник / директор; керівник фасадних проєктів; ПТО</x:v>
      </x:c>
      <x:c r="X115" s="15" t="str">
        <x:v>Близько 5 млн м² змонтованих фасадних систем; великий перелік реалізованих об’єктів.</x:v>
      </x:c>
      <x:c r="Y115" s="15" t="str">
        <x:v>Кронштейни, анкери, утеплення, мембрани й протипожежні відсічки закриваються облицюванням.</x:v>
      </x:c>
      <x:c r="Z115" s="15" t="str">
        <x:v>https://scanroc.ua/</x:v>
      </x:c>
      <x:c r="AA115" s="14" t="str"/>
      <x:c r="AB115" s="14" t="str">
        <x:v>2026-08-24</x:v>
      </x:c>
      <x:c r="AC115" s="14" t="str">
        <x:v>Олександр</x:v>
      </x:c>
      <x:c r="AD115" s="18" t="str"/>
      <x:c r="AE115" s="14" t="str"/>
    </x:row>
    <x:row r="116">
      <x:c r="A116" s="14" t="str">
        <x:v>EXP-011</x:v>
      </x:c>
      <x:c r="B116" s="14" t="str">
        <x:v>Розширення ніш — 24.08</x:v>
      </x:c>
      <x:c r="C116" s="14" t="str">
        <x:v>VEMAKS</x:v>
      </x:c>
      <x:c r="D116" s="14" t="str">
        <x:v>Покрівлі та гідроізоляція</x:v>
      </x:c>
      <x:c r="E116" s="14" t="str">
        <x:v>Expansion discovery</x:v>
      </x:c>
      <x:c r="F116" s="17" t="str">
        <x:f>IF(E116="Pilot now",IF(P116&gt;=84,"P1",IF(P116&gt;=72,"P2","P3")),IF(E116="Expansion discovery",IF(Q116&gt;=88,"D1",IF(Q116&gt;=78,"D2","D3")),IF(E116="Later / requirements","L","Legacy")))</x:f>
        <x:v>D1</x:v>
      </x:c>
      <x:c r="G116" s="14" t="str">
        <x:v>vemaks.com.ua</x:v>
      </x:c>
      <x:c r="H116" s="14" t="str">
        <x:v>Discovery — вимоги проєкту</x:v>
      </x:c>
      <x:c r="I116" s="16" t="n">
        <x:v>0</x:v>
      </x:c>
      <x:c r="J116" s="16" t="n">
        <x:v>5</x:v>
      </x:c>
      <x:c r="K116" s="16" t="n">
        <x:v>5</x:v>
      </x:c>
      <x:c r="L116" s="16" t="n">
        <x:v>4</x:v>
      </x:c>
      <x:c r="M116" s="16" t="n">
        <x:v>4</x:v>
      </x:c>
      <x:c r="N116" s="16" t="n">
        <x:v>5</x:v>
      </x:c>
      <x:c r="O116" s="16" t="n">
        <x:v>5</x:v>
      </x:c>
      <x:c r="P116" s="16" t="n">
        <x:f>IF(COUNT(I116:O116)&lt;7,"",I116*8+J116*3+K116*2+L116*2+M116*2+N116*2+O116)</x:f>
        <x:v>56</x:v>
      </x:c>
      <x:c r="Q116" s="16" t="n">
        <x:f>IF(COUNT(J116:O116)&lt;6,"",J116*5+K116*4+M116*4+L116*3+N116*2+O116*2)</x:f>
        <x:v>93</x:v>
      </x:c>
      <x:c r="R116" s="14" t="str">
        <x:v>high</x:v>
      </x:c>
      <x:c r="S116" s="14" t="str">
        <x:v>official_source_reverified</x:v>
      </x:c>
      <x:c r="T116" s="14" t="str">
        <x:v>official_source_reachable</x:v>
      </x:c>
      <x:c r="U116" s="14" t="str">
        <x:v>Новий — не контактували</x:v>
      </x:c>
      <x:c r="V116" s="15" t="str">
        <x:v>Discovery-call: отримати 1 реальний артефакт і вимоги проєкту; не обіцяти готове покриття</x:v>
      </x:c>
      <x:c r="W116" s="15" t="str">
        <x:v>Власник / директор; керівник проєктів; виконроб</x:v>
      </x:c>
      <x:c r="X116" s="15" t="str">
        <x:v>Публічний кейс ПВХ-покрівлі супермаркету АТБ з опрацюванням вузлів і гарантією.</x:v>
      </x:c>
      <x:c r="Y116" s="15" t="str">
        <x:v>Пароізоляція, утеплення, кріплення, шви й примикання стають недоступними після завершення покрівельного пирога.</x:v>
      </x:c>
      <x:c r="Z116" s="15" t="str">
        <x:v>https://vemaks.com.ua/our_objects/ustroystvo-pvkh-krovli-supermarketa-atb-v-g-poltava/</x:v>
      </x:c>
      <x:c r="AA116" s="14" t="str"/>
      <x:c r="AB116" s="14" t="str">
        <x:v>2026-08-24</x:v>
      </x:c>
      <x:c r="AC116" s="14" t="str">
        <x:v>Олександр</x:v>
      </x:c>
      <x:c r="AD116" s="18" t="str"/>
      <x:c r="AE116" s="14" t="str"/>
    </x:row>
    <x:row r="117">
      <x:c r="A117" s="14" t="str">
        <x:v>EXP-021</x:v>
      </x:c>
      <x:c r="B117" s="14" t="str">
        <x:v>Розширення ніш — 24.08</x:v>
      </x:c>
      <x:c r="C117" s="14" t="str">
        <x:v>БК ЮММА</x:v>
      </x:c>
      <x:c r="D117" s="14" t="str">
        <x:v>Промислові підлоги та бетон</x:v>
      </x:c>
      <x:c r="E117" s="14" t="str">
        <x:v>Expansion discovery</x:v>
      </x:c>
      <x:c r="F117" s="17" t="str">
        <x:f>IF(E117="Pilot now",IF(P117&gt;=84,"P1",IF(P117&gt;=72,"P2","P3")),IF(E117="Expansion discovery",IF(Q117&gt;=88,"D1",IF(Q117&gt;=78,"D2","D3")),IF(E117="Later / requirements","L","Legacy")))</x:f>
        <x:v>D1</x:v>
      </x:c>
      <x:c r="G117" s="14" t="str">
        <x:v>umma-bud.com.ua</x:v>
      </x:c>
      <x:c r="H117" s="14" t="str">
        <x:v>Discovery — вимоги проєкту</x:v>
      </x:c>
      <x:c r="I117" s="16" t="n">
        <x:v>0</x:v>
      </x:c>
      <x:c r="J117" s="16" t="n">
        <x:v>5</x:v>
      </x:c>
      <x:c r="K117" s="16" t="n">
        <x:v>4</x:v>
      </x:c>
      <x:c r="L117" s="16" t="n">
        <x:v>4</x:v>
      </x:c>
      <x:c r="M117" s="16" t="n">
        <x:v>4</x:v>
      </x:c>
      <x:c r="N117" s="16" t="n">
        <x:v>5</x:v>
      </x:c>
      <x:c r="O117" s="16" t="n">
        <x:v>5</x:v>
      </x:c>
      <x:c r="P117" s="16" t="n">
        <x:f>IF(COUNT(I117:O117)&lt;7,"",I117*8+J117*3+K117*2+L117*2+M117*2+N117*2+O117)</x:f>
        <x:v>54</x:v>
      </x:c>
      <x:c r="Q117" s="16" t="n">
        <x:f>IF(COUNT(J117:O117)&lt;6,"",J117*5+K117*4+M117*4+L117*3+N117*2+O117*2)</x:f>
        <x:v>89</x:v>
      </x:c>
      <x:c r="R117" s="14" t="str">
        <x:v>high</x:v>
      </x:c>
      <x:c r="S117" s="14" t="str">
        <x:v>official_source_reverified</x:v>
      </x:c>
      <x:c r="T117" s="14" t="str">
        <x:v>official_source_reachable</x:v>
      </x:c>
      <x:c r="U117" s="14" t="str">
        <x:v>Новий — не контактували</x:v>
      </x:c>
      <x:c r="V117" s="15" t="str">
        <x:v>Discovery-call: отримати 1 реальний артефакт і вимоги проєкту; не обіцяти готове покриття</x:v>
      </x:c>
      <x:c r="W117" s="15" t="str">
        <x:v>Власник / директор; керівник проєктів; технолог / ПТО</x:v>
      </x:c>
      <x:c r="X117" s="15" t="str">
        <x:v>Промислові бетонні підлоги для виробництв, логістики, торгівлі й медичних об’єктів.</x:v>
      </x:c>
      <x:c r="Y117" s="15" t="str">
        <x:v>Підготовка основи, армування, шви, вологість і технологічні шари потрібно зафіксувати до заливки або нанесення фінішу.</x:v>
      </x:c>
      <x:c r="Z117" s="15" t="str">
        <x:v>https://umma-bud.com.ua/</x:v>
      </x:c>
      <x:c r="AA117" s="14" t="str"/>
      <x:c r="AB117" s="14" t="str">
        <x:v>2026-08-24</x:v>
      </x:c>
      <x:c r="AC117" s="14" t="str">
        <x:v>Олександр</x:v>
      </x:c>
      <x:c r="AD117" s="18" t="str"/>
      <x:c r="AE117" s="14" t="str"/>
    </x:row>
    <x:row r="118">
      <x:c r="A118" s="14" t="str">
        <x:v>EXP-020</x:v>
      </x:c>
      <x:c r="B118" s="14" t="str">
        <x:v>Розширення ніш — 24.08</x:v>
      </x:c>
      <x:c r="C118" s="14" t="str">
        <x:v>БСК Poliflo</x:v>
      </x:c>
      <x:c r="D118" s="14" t="str">
        <x:v>Промислові підлоги та бетон</x:v>
      </x:c>
      <x:c r="E118" s="14" t="str">
        <x:v>Expansion discovery</x:v>
      </x:c>
      <x:c r="F118" s="17" t="str">
        <x:f>IF(E118="Pilot now",IF(P118&gt;=84,"P1",IF(P118&gt;=72,"P2","P3")),IF(E118="Expansion discovery",IF(Q118&gt;=88,"D1",IF(Q118&gt;=78,"D2","D3")),IF(E118="Later / requirements","L","Legacy")))</x:f>
        <x:v>D1</x:v>
      </x:c>
      <x:c r="G118" s="14" t="str">
        <x:v>poliflo.com.ua</x:v>
      </x:c>
      <x:c r="H118" s="14" t="str">
        <x:v>Discovery — вимоги проєкту</x:v>
      </x:c>
      <x:c r="I118" s="16" t="n">
        <x:v>0</x:v>
      </x:c>
      <x:c r="J118" s="16" t="n">
        <x:v>5</x:v>
      </x:c>
      <x:c r="K118" s="16" t="n">
        <x:v>4</x:v>
      </x:c>
      <x:c r="L118" s="16" t="n">
        <x:v>4</x:v>
      </x:c>
      <x:c r="M118" s="16" t="n">
        <x:v>4</x:v>
      </x:c>
      <x:c r="N118" s="16" t="n">
        <x:v>5</x:v>
      </x:c>
      <x:c r="O118" s="16" t="n">
        <x:v>5</x:v>
      </x:c>
      <x:c r="P118" s="16" t="n">
        <x:f>IF(COUNT(I118:O118)&lt;7,"",I118*8+J118*3+K118*2+L118*2+M118*2+N118*2+O118)</x:f>
        <x:v>54</x:v>
      </x:c>
      <x:c r="Q118" s="16" t="n">
        <x:f>IF(COUNT(J118:O118)&lt;6,"",J118*5+K118*4+M118*4+L118*3+N118*2+O118*2)</x:f>
        <x:v>89</x:v>
      </x:c>
      <x:c r="R118" s="14" t="str">
        <x:v>high</x:v>
      </x:c>
      <x:c r="S118" s="14" t="str">
        <x:v>official_source_reverified</x:v>
      </x:c>
      <x:c r="T118" s="14" t="str">
        <x:v>official_source_reachable</x:v>
      </x:c>
      <x:c r="U118" s="14" t="str">
        <x:v>Новий — не контактували</x:v>
      </x:c>
      <x:c r="V118" s="15" t="str">
        <x:v>Discovery-call: отримати 1 реальний артефакт і вимоги проєкту; не обіцяти готове покриття</x:v>
      </x:c>
      <x:c r="W118" s="15" t="str">
        <x:v>Власник / директор; керівник проєктів; технолог / ПТО</x:v>
      </x:c>
      <x:c r="X118" s="15" t="str">
        <x:v>Портфоліо полімерних, бетонних і топінгових підлог з вимогами замовників.</x:v>
      </x:c>
      <x:c r="Y118" s="15" t="str">
        <x:v>Підготовка основи, армування, шви, вологість і технологічні шари потрібно зафіксувати до заливки або нанесення фінішу.</x:v>
      </x:c>
      <x:c r="Z118" s="15" t="str">
        <x:v>https://poliflo.com.ua/portfolio</x:v>
      </x:c>
      <x:c r="AA118" s="14" t="str"/>
      <x:c r="AB118" s="14" t="str">
        <x:v>2026-08-24</x:v>
      </x:c>
      <x:c r="AC118" s="14" t="str">
        <x:v>Олександр</x:v>
      </x:c>
      <x:c r="AD118" s="18" t="str"/>
      <x:c r="AE118" s="14" t="str"/>
    </x:row>
    <x:row r="119">
      <x:c r="A119" s="14" t="str">
        <x:v>EXP-017</x:v>
      </x:c>
      <x:c r="B119" s="14" t="str">
        <x:v>Розширення ніш — 24.08</x:v>
      </x:c>
      <x:c r="C119" s="14" t="str">
        <x:v>КУБ Моноліт</x:v>
      </x:c>
      <x:c r="D119" s="14" t="str">
        <x:v>Промислові підлоги та бетон</x:v>
      </x:c>
      <x:c r="E119" s="14" t="str">
        <x:v>Expansion discovery</x:v>
      </x:c>
      <x:c r="F119" s="17" t="str">
        <x:f>IF(E119="Pilot now",IF(P119&gt;=84,"P1",IF(P119&gt;=72,"P2","P3")),IF(E119="Expansion discovery",IF(Q119&gt;=88,"D1",IF(Q119&gt;=78,"D2","D3")),IF(E119="Later / requirements","L","Legacy")))</x:f>
        <x:v>D1</x:v>
      </x:c>
      <x:c r="G119" s="14" t="str">
        <x:v>kubmonolit.com</x:v>
      </x:c>
      <x:c r="H119" s="14" t="str">
        <x:v>Discovery — вимоги проєкту</x:v>
      </x:c>
      <x:c r="I119" s="16" t="n">
        <x:v>0</x:v>
      </x:c>
      <x:c r="J119" s="16" t="n">
        <x:v>5</x:v>
      </x:c>
      <x:c r="K119" s="16" t="n">
        <x:v>4</x:v>
      </x:c>
      <x:c r="L119" s="16" t="n">
        <x:v>4</x:v>
      </x:c>
      <x:c r="M119" s="16" t="n">
        <x:v>4</x:v>
      </x:c>
      <x:c r="N119" s="16" t="n">
        <x:v>5</x:v>
      </x:c>
      <x:c r="O119" s="16" t="n">
        <x:v>5</x:v>
      </x:c>
      <x:c r="P119" s="16" t="n">
        <x:f>IF(COUNT(I119:O119)&lt;7,"",I119*8+J119*3+K119*2+L119*2+M119*2+N119*2+O119)</x:f>
        <x:v>54</x:v>
      </x:c>
      <x:c r="Q119" s="16" t="n">
        <x:f>IF(COUNT(J119:O119)&lt;6,"",J119*5+K119*4+M119*4+L119*3+N119*2+O119*2)</x:f>
        <x:v>89</x:v>
      </x:c>
      <x:c r="R119" s="14" t="str">
        <x:v>high</x:v>
      </x:c>
      <x:c r="S119" s="14" t="str">
        <x:v>official_source_reverified</x:v>
      </x:c>
      <x:c r="T119" s="14" t="str">
        <x:v>official_source_reachable</x:v>
      </x:c>
      <x:c r="U119" s="14" t="str">
        <x:v>Новий — не контактували</x:v>
      </x:c>
      <x:c r="V119" s="15" t="str">
        <x:v>Discovery-call: отримати 1 реальний артефакт і вимоги проєкту; не обіцяти готове покриття</x:v>
      </x:c>
      <x:c r="W119" s="15" t="str">
        <x:v>Власник / директор; керівник проєктів; технолог / ПТО</x:v>
      </x:c>
      <x:c r="X119" s="15" t="str">
        <x:v>22 кейси бетонних підлог і 17 монолітно-каркасних об’єктів у портфоліо.</x:v>
      </x:c>
      <x:c r="Y119" s="15" t="str">
        <x:v>Підготовка основи, армування, шви, вологість і технологічні шари потрібно зафіксувати до заливки або нанесення фінішу.</x:v>
      </x:c>
      <x:c r="Z119" s="15" t="str">
        <x:v>https://kubmonolit.com/portfolio/</x:v>
      </x:c>
      <x:c r="AA119" s="14" t="str"/>
      <x:c r="AB119" s="14" t="str">
        <x:v>2026-08-24</x:v>
      </x:c>
      <x:c r="AC119" s="14" t="str">
        <x:v>Олександр</x:v>
      </x:c>
      <x:c r="AD119" s="18" t="str"/>
      <x:c r="AE119" s="14" t="str"/>
    </x:row>
    <x:row r="120">
      <x:c r="A120" s="14" t="str">
        <x:v>EXP-010</x:v>
      </x:c>
      <x:c r="B120" s="14" t="str">
        <x:v>Розширення ніш — 24.08</x:v>
      </x:c>
      <x:c r="C120" s="14" t="str">
        <x:v>GRD MEMBRANA</x:v>
      </x:c>
      <x:c r="D120" s="14" t="str">
        <x:v>Покрівлі та гідроізоляція</x:v>
      </x:c>
      <x:c r="E120" s="14" t="str">
        <x:v>Expansion discovery</x:v>
      </x:c>
      <x:c r="F120" s="17" t="str">
        <x:f>IF(E120="Pilot now",IF(P120&gt;=84,"P1",IF(P120&gt;=72,"P2","P3")),IF(E120="Expansion discovery",IF(Q120&gt;=88,"D1",IF(Q120&gt;=78,"D2","D3")),IF(E120="Later / requirements","L","Legacy")))</x:f>
        <x:v>D1</x:v>
      </x:c>
      <x:c r="G120" s="14" t="str">
        <x:v>grdmembrana.com.ua</x:v>
      </x:c>
      <x:c r="H120" s="14" t="str">
        <x:v>Discovery — вимоги проєкту</x:v>
      </x:c>
      <x:c r="I120" s="16" t="n">
        <x:v>0</x:v>
      </x:c>
      <x:c r="J120" s="16" t="n">
        <x:v>5</x:v>
      </x:c>
      <x:c r="K120" s="16" t="n">
        <x:v>5</x:v>
      </x:c>
      <x:c r="L120" s="16" t="n">
        <x:v>3</x:v>
      </x:c>
      <x:c r="M120" s="16" t="n">
        <x:v>4</x:v>
      </x:c>
      <x:c r="N120" s="16" t="n">
        <x:v>5</x:v>
      </x:c>
      <x:c r="O120" s="16" t="n">
        <x:v>5</x:v>
      </x:c>
      <x:c r="P120" s="16" t="n">
        <x:f>IF(COUNT(I120:O120)&lt;7,"",I120*8+J120*3+K120*2+L120*2+M120*2+N120*2+O120)</x:f>
        <x:v>54</x:v>
      </x:c>
      <x:c r="Q120" s="16" t="n">
        <x:f>IF(COUNT(J120:O120)&lt;6,"",J120*5+K120*4+M120*4+L120*3+N120*2+O120*2)</x:f>
        <x:v>90</x:v>
      </x:c>
      <x:c r="R120" s="14" t="str">
        <x:v>high</x:v>
      </x:c>
      <x:c r="S120" s="14" t="str">
        <x:v>official_source_reverified</x:v>
      </x:c>
      <x:c r="T120" s="14" t="str">
        <x:v>official_source_reachable</x:v>
      </x:c>
      <x:c r="U120" s="14" t="str">
        <x:v>Новий — не контактували</x:v>
      </x:c>
      <x:c r="V120" s="15" t="str">
        <x:v>Discovery-call: отримати 1 реальний артефакт і вимоги проєкту; не обіцяти готове покриття</x:v>
      </x:c>
      <x:c r="W120" s="15" t="str">
        <x:v>Власник / директор; керівник проєктів; виконроб</x:v>
      </x:c>
      <x:c r="X120" s="15" t="str">
        <x:v>Мембранні промислові покрівлі та ремонти в Закарпатті.</x:v>
      </x:c>
      <x:c r="Y120" s="15" t="str">
        <x:v>Пароізоляція, утеплення, кріплення, шви й примикання стають недоступними після завершення покрівельного пирога.</x:v>
      </x:c>
      <x:c r="Z120" s="15" t="str">
        <x:v>https://grdmembrana.com.ua/</x:v>
      </x:c>
      <x:c r="AA120" s="14" t="str"/>
      <x:c r="AB120" s="14" t="str">
        <x:v>2026-08-24</x:v>
      </x:c>
      <x:c r="AC120" s="14" t="str">
        <x:v>Олександр</x:v>
      </x:c>
      <x:c r="AD120" s="18" t="str"/>
      <x:c r="AE120" s="14" t="str"/>
    </x:row>
    <x:row r="121">
      <x:c r="A121" s="14" t="str">
        <x:v>AUG-038</x:v>
      </x:c>
      <x:c r="B121" s="14" t="str">
        <x:v>Перевірено 51 — 24.08</x:v>
      </x:c>
      <x:c r="C121" s="14" t="str">
        <x:v>СПЗ-МОНТАЖ</x:v>
      </x:c>
      <x:c r="D121" s="14" t="str">
        <x:v>Пожежні системи</x:v>
      </x:c>
      <x:c r="E121" s="14" t="str">
        <x:v>Expansion discovery</x:v>
      </x:c>
      <x:c r="F121" s="17" t="str">
        <x:f>IF(E121="Pilot now",IF(P121&gt;=84,"P1",IF(P121&gt;=72,"P2","P3")),IF(E121="Expansion discovery",IF(Q121&gt;=88,"D1",IF(Q121&gt;=78,"D2","D3")),IF(E121="Later / requirements","L","Legacy")))</x:f>
        <x:v>D2</x:v>
      </x:c>
      <x:c r="G121" s="14" t="str">
        <x:v>spz-montage.com.ua</x:v>
      </x:c>
      <x:c r="H121" s="14" t="str">
        <x:v>Discovery — частково Н.15 + вимоги проєкту</x:v>
      </x:c>
      <x:c r="I121" s="16" t="n">
        <x:v>4</x:v>
      </x:c>
      <x:c r="J121" s="16" t="n">
        <x:v>5</x:v>
      </x:c>
      <x:c r="K121" s="16" t="n">
        <x:v>4</x:v>
      </x:c>
      <x:c r="L121" s="16" t="n">
        <x:v>4</x:v>
      </x:c>
      <x:c r="M121" s="16" t="n">
        <x:v>5</x:v>
      </x:c>
      <x:c r="N121" s="16" t="n">
        <x:v>5</x:v>
      </x:c>
      <x:c r="O121" s="16" t="n">
        <x:v>2</x:v>
      </x:c>
      <x:c r="P121" s="16" t="n">
        <x:f>IF(COUNT(I121:O121)&lt;7,"",I121*8+J121*3+K121*2+L121*2+M121*2+N121*2+O121)</x:f>
        <x:v>85</x:v>
      </x:c>
      <x:c r="Q121" s="16" t="n">
        <x:f>IF(COUNT(J121:O121)&lt;6,"",J121*5+K121*4+M121*4+L121*3+N121*2+O121*2)</x:f>
        <x:v>87</x:v>
      </x:c>
      <x:c r="R121" s="14" t="str">
        <x:v>high</x:v>
      </x:c>
      <x:c r="S121" s="14" t="str">
        <x:v>official_content_reverified_via_search_index</x:v>
      </x:c>
      <x:c r="T121" s="14" t="str">
        <x:v>live_site_bad_ssl_certificate</x:v>
      </x:c>
      <x:c r="U121" s="14" t="str">
        <x:v>Новий — не контактували</x:v>
      </x:c>
      <x:c r="V121" s="15" t="str">
        <x:v>Discovery-call: перевірити процес і отримати вимоги конкретного проєкту</x:v>
      </x:c>
      <x:c r="W121" s="15" t="str">
        <x:v>Директор; руководитель ПТО</x:v>
      </x:c>
      <x:c r="X121" s="15" t="str">
        <x:v>100+ клиентов, проектирование и монтаж всех систем противопожарной защиты; свежие проекты 2026 года.</x:v>
      </x:c>
      <x:c r="Y121" s="15" t="str">
        <x:v>Есть активные объекты и приёмка систем; пилот ограничить электрическими и санитарно-техническими этапами.</x:v>
      </x:c>
      <x:c r="Z121" s="15" t="str">
        <x:v>https://spz-montage.com.ua/</x:v>
      </x:c>
      <x:c r="AA121" s="14" t="str"/>
      <x:c r="AB121" s="14" t="str">
        <x:v>2026-08-24</x:v>
      </x:c>
      <x:c r="AC121" s="14" t="str">
        <x:v>Олександр</x:v>
      </x:c>
      <x:c r="AD121" s="18" t="str"/>
      <x:c r="AE121" s="14" t="str"/>
    </x:row>
    <x:row r="122">
      <x:c r="A122" s="14" t="str">
        <x:v>AUG-021</x:v>
      </x:c>
      <x:c r="B122" s="14" t="str">
        <x:v>Перевірено 51 — 24.08</x:v>
      </x:c>
      <x:c r="C122" s="14" t="str">
        <x:v>Ваша Безпека</x:v>
      </x:c>
      <x:c r="D122" s="14" t="str">
        <x:v>Пожежна безпека + охорона</x:v>
      </x:c>
      <x:c r="E122" s="14" t="str">
        <x:v>Expansion discovery</x:v>
      </x:c>
      <x:c r="F122" s="17" t="str">
        <x:f>IF(E122="Pilot now",IF(P122&gt;=84,"P1",IF(P122&gt;=72,"P2","P3")),IF(E122="Expansion discovery",IF(Q122&gt;=88,"D1",IF(Q122&gt;=78,"D2","D3")),IF(E122="Later / requirements","L","Legacy")))</x:f>
        <x:v>D2</x:v>
      </x:c>
      <x:c r="G122" s="14" t="str">
        <x:v>vbezpeka.com.ua</x:v>
      </x:c>
      <x:c r="H122" s="14" t="str">
        <x:v>Discovery — частково Н.15 + вимоги проєкту</x:v>
      </x:c>
      <x:c r="I122" s="16" t="n">
        <x:v>4</x:v>
      </x:c>
      <x:c r="J122" s="16" t="n">
        <x:v>5</x:v>
      </x:c>
      <x:c r="K122" s="16" t="n">
        <x:v>4</x:v>
      </x:c>
      <x:c r="L122" s="16" t="n">
        <x:v>3</x:v>
      </x:c>
      <x:c r="M122" s="16" t="n">
        <x:v>4</x:v>
      </x:c>
      <x:c r="N122" s="16" t="n">
        <x:v>5</x:v>
      </x:c>
      <x:c r="O122" s="16" t="n">
        <x:v>5</x:v>
      </x:c>
      <x:c r="P122" s="16" t="n">
        <x:f>IF(COUNT(I122:O122)&lt;7,"",I122*8+J122*3+K122*2+L122*2+M122*2+N122*2+O122)</x:f>
        <x:v>84</x:v>
      </x:c>
      <x:c r="Q122" s="16" t="n">
        <x:f>IF(COUNT(J122:O122)&lt;6,"",J122*5+K122*4+M122*4+L122*3+N122*2+O122*2)</x:f>
        <x:v>86</x:v>
      </x:c>
      <x:c r="R122" s="14" t="str">
        <x:v>high</x:v>
      </x:c>
      <x:c r="S122" s="14" t="str">
        <x:v>official_source_reverified</x:v>
      </x:c>
      <x:c r="T122" s="14" t="str">
        <x:v>official_source_reachable</x:v>
      </x:c>
      <x:c r="U122" s="14" t="str">
        <x:v>Новий — не контактували</x:v>
      </x:c>
      <x:c r="V122" s="15" t="str">
        <x:v>Discovery-call: перевірити процес і отримати вимоги конкретного проєкту</x:v>
      </x:c>
      <x:c r="W122" s="15" t="str">
        <x:v>Директор; главный инженер</x:v>
      </x:c>
      <x:c r="X122" s="15" t="str">
        <x:v>Проектирование, монтаж и обслуживание пожарной/охранной сигнализации, пожарного водопровода и дымоудаления.</x:v>
      </x:c>
      <x:c r="Y122" s="15" t="str">
        <x:v>Кабельные шлейфы и автоматика скрываются; для пожарного водопровода нужен документ заказчика.</x:v>
      </x:c>
      <x:c r="Z122" s="15" t="str">
        <x:v>https://vbezpeka.com.ua/uk/golovna/</x:v>
      </x:c>
      <x:c r="AA122" s="14" t="str"/>
      <x:c r="AB122" s="14" t="str">
        <x:v>2026-08-24</x:v>
      </x:c>
      <x:c r="AC122" s="14" t="str">
        <x:v>Олександр</x:v>
      </x:c>
      <x:c r="AD122" s="18" t="str"/>
      <x:c r="AE122" s="14" t="str"/>
    </x:row>
    <x:row r="123">
      <x:c r="A123" s="14" t="str">
        <x:v>AUG-018</x:v>
      </x:c>
      <x:c r="B123" s="14" t="str">
        <x:v>Перевірено 51 — 24.08</x:v>
      </x:c>
      <x:c r="C123" s="14" t="str">
        <x:v>Страж</x:v>
      </x:c>
      <x:c r="D123" s="14" t="str">
        <x:v>Пожежні системи</x:v>
      </x:c>
      <x:c r="E123" s="14" t="str">
        <x:v>Expansion discovery</x:v>
      </x:c>
      <x:c r="F123" s="17" t="str">
        <x:f>IF(E123="Pilot now",IF(P123&gt;=84,"P1",IF(P123&gt;=72,"P2","P3")),IF(E123="Expansion discovery",IF(Q123&gt;=88,"D1",IF(Q123&gt;=78,"D2","D3")),IF(E123="Later / requirements","L","Legacy")))</x:f>
        <x:v>D2</x:v>
      </x:c>
      <x:c r="G123" s="14" t="str">
        <x:v>straj.net</x:v>
      </x:c>
      <x:c r="H123" s="14" t="str">
        <x:v>Discovery — частково Н.15 + вимоги проєкту</x:v>
      </x:c>
      <x:c r="I123" s="16" t="n">
        <x:v>4</x:v>
      </x:c>
      <x:c r="J123" s="16" t="n">
        <x:v>5</x:v>
      </x:c>
      <x:c r="K123" s="16" t="n">
        <x:v>4</x:v>
      </x:c>
      <x:c r="L123" s="16" t="n">
        <x:v>3</x:v>
      </x:c>
      <x:c r="M123" s="16" t="n">
        <x:v>4</x:v>
      </x:c>
      <x:c r="N123" s="16" t="n">
        <x:v>5</x:v>
      </x:c>
      <x:c r="O123" s="16" t="n">
        <x:v>5</x:v>
      </x:c>
      <x:c r="P123" s="16" t="n">
        <x:f>IF(COUNT(I123:O123)&lt;7,"",I123*8+J123*3+K123*2+L123*2+M123*2+N123*2+O123)</x:f>
        <x:v>84</x:v>
      </x:c>
      <x:c r="Q123" s="16" t="n">
        <x:f>IF(COUNT(J123:O123)&lt;6,"",J123*5+K123*4+M123*4+L123*3+N123*2+O123*2)</x:f>
        <x:v>86</x:v>
      </x:c>
      <x:c r="R123" s="14" t="str">
        <x:v>high</x:v>
      </x:c>
      <x:c r="S123" s="14" t="str">
        <x:v>official_source_reverified</x:v>
      </x:c>
      <x:c r="T123" s="14" t="str">
        <x:v>official_source_reachable</x:v>
      </x:c>
      <x:c r="U123" s="14" t="str">
        <x:v>Новий — не контактували</x:v>
      </x:c>
      <x:c r="V123" s="15" t="str">
        <x:v>Discovery-call: перевірити процес і отримати вимоги конкретного проєкту</x:v>
      </x:c>
      <x:c r="W123" s="15" t="str">
        <x:v>Директор; руководитель монтажной службы</x:v>
      </x:c>
      <x:c r="X123" s="15" t="str">
        <x:v>Начинает работы с технического проекта и выполняет монтаж пожарной сигнализации на коммерческих объектах.</x:v>
      </x:c>
      <x:c r="Y123" s="15" t="str">
        <x:v>Скрытые кабели и исполнительное подтверждение можно отделить от специфических пожарных актов.</x:v>
      </x:c>
      <x:c r="Z123" s="15" t="str">
        <x:v>https://straj.net/</x:v>
      </x:c>
      <x:c r="AA123" s="14" t="str"/>
      <x:c r="AB123" s="14" t="str">
        <x:v>2026-08-24</x:v>
      </x:c>
      <x:c r="AC123" s="14" t="str">
        <x:v>Олександр</x:v>
      </x:c>
      <x:c r="AD123" s="18" t="str"/>
      <x:c r="AE123" s="14" t="str"/>
    </x:row>
    <x:row r="124">
      <x:c r="A124" s="14" t="str">
        <x:v>AUG-016</x:v>
      </x:c>
      <x:c r="B124" s="14" t="str">
        <x:v>Перевірено 51 — 24.08</x:v>
      </x:c>
      <x:c r="C124" s="14" t="str">
        <x:v>Fire Security</x:v>
      </x:c>
      <x:c r="D124" s="14" t="str">
        <x:v>Пожежні системи</x:v>
      </x:c>
      <x:c r="E124" s="14" t="str">
        <x:v>Expansion discovery</x:v>
      </x:c>
      <x:c r="F124" s="17" t="str">
        <x:f>IF(E124="Pilot now",IF(P124&gt;=84,"P1",IF(P124&gt;=72,"P2","P3")),IF(E124="Expansion discovery",IF(Q124&gt;=88,"D1",IF(Q124&gt;=78,"D2","D3")),IF(E124="Later / requirements","L","Legacy")))</x:f>
        <x:v>D2</x:v>
      </x:c>
      <x:c r="G124" s="14" t="str">
        <x:v>firesecurity.com.ua</x:v>
      </x:c>
      <x:c r="H124" s="14" t="str">
        <x:v>Discovery — частково Н.15 + вимоги проєкту</x:v>
      </x:c>
      <x:c r="I124" s="16" t="n">
        <x:v>4</x:v>
      </x:c>
      <x:c r="J124" s="16" t="n">
        <x:v>5</x:v>
      </x:c>
      <x:c r="K124" s="16" t="n">
        <x:v>4</x:v>
      </x:c>
      <x:c r="L124" s="16" t="n">
        <x:v>3</x:v>
      </x:c>
      <x:c r="M124" s="16" t="n">
        <x:v>4</x:v>
      </x:c>
      <x:c r="N124" s="16" t="n">
        <x:v>5</x:v>
      </x:c>
      <x:c r="O124" s="16" t="n">
        <x:v>5</x:v>
      </x:c>
      <x:c r="P124" s="16" t="n">
        <x:f>IF(COUNT(I124:O124)&lt;7,"",I124*8+J124*3+K124*2+L124*2+M124*2+N124*2+O124)</x:f>
        <x:v>84</x:v>
      </x:c>
      <x:c r="Q124" s="16" t="n">
        <x:f>IF(COUNT(J124:O124)&lt;6,"",J124*5+K124*4+M124*4+L124*3+N124*2+O124*2)</x:f>
        <x:v>86</x:v>
      </x:c>
      <x:c r="R124" s="14" t="str">
        <x:v>high</x:v>
      </x:c>
      <x:c r="S124" s="14" t="str">
        <x:v>official_source_reverified</x:v>
      </x:c>
      <x:c r="T124" s="14" t="str">
        <x:v>official_source_reachable</x:v>
      </x:c>
      <x:c r="U124" s="14" t="str">
        <x:v>Новий — не контактували</x:v>
      </x:c>
      <x:c r="V124" s="15" t="str">
        <x:v>Discovery-call: перевірити процес і отримати вимоги конкретного проєкту</x:v>
      </x:c>
      <x:c r="W124" s="15" t="str">
        <x:v>Владелец; руководитель проектно-монтажного отдела</x:v>
      </x:c>
      <x:c r="X124" s="15" t="str">
        <x:v>Проектирование, монтаж и обслуживание охранно-пожарных систем с передачей готового проекта заказчику.</x:v>
      </x:c>
      <x:c r="Y124" s="15" t="str">
        <x:v>Скрытые шлейфы и кабельные трассы подходят, но специфические пожарные требования нужно валидировать на их документации.</x:v>
      </x:c>
      <x:c r="Z124" s="15" t="str">
        <x:v>https://firesecurity.com.ua/uk/montazh-pozharnoi-signalizatcii/</x:v>
      </x:c>
      <x:c r="AA124" s="14" t="str"/>
      <x:c r="AB124" s="14" t="str">
        <x:v>2026-08-24</x:v>
      </x:c>
      <x:c r="AC124" s="14" t="str">
        <x:v>Олександр</x:v>
      </x:c>
      <x:c r="AD124" s="18" t="str"/>
      <x:c r="AE124" s="14" t="str"/>
    </x:row>
    <x:row r="125">
      <x:c r="A125" s="14" t="str">
        <x:v>EXP-043</x:v>
      </x:c>
      <x:c r="B125" s="14" t="str">
        <x:v>Розширення ніш — 24.08</x:v>
      </x:c>
      <x:c r="C125" s="14" t="str">
        <x:v>ЕНРЕМО</x:v>
      </x:c>
      <x:c r="D125" s="14" t="str">
        <x:v>Промислова теплоізоляція</x:v>
      </x:c>
      <x:c r="E125" s="14" t="str">
        <x:v>Expansion discovery</x:v>
      </x:c>
      <x:c r="F125" s="17" t="str">
        <x:f>IF(E125="Pilot now",IF(P125&gt;=84,"P1",IF(P125&gt;=72,"P2","P3")),IF(E125="Expansion discovery",IF(Q125&gt;=88,"D1",IF(Q125&gt;=78,"D2","D3")),IF(E125="Later / requirements","L","Legacy")))</x:f>
        <x:v>D2</x:v>
      </x:c>
      <x:c r="G125" s="14" t="str">
        <x:v>enremo.ua</x:v>
      </x:c>
      <x:c r="H125" s="14" t="str">
        <x:v>Discovery — вимоги проєкту</x:v>
      </x:c>
      <x:c r="I125" s="16" t="n">
        <x:v>1</x:v>
      </x:c>
      <x:c r="J125" s="16" t="n">
        <x:v>5</x:v>
      </x:c>
      <x:c r="K125" s="16" t="n">
        <x:v>5</x:v>
      </x:c>
      <x:c r="L125" s="16" t="n">
        <x:v>4</x:v>
      </x:c>
      <x:c r="M125" s="16" t="n">
        <x:v>4</x:v>
      </x:c>
      <x:c r="N125" s="16" t="n">
        <x:v>5</x:v>
      </x:c>
      <x:c r="O125" s="16" t="n">
        <x:v>2</x:v>
      </x:c>
      <x:c r="P125" s="16" t="n">
        <x:f>IF(COUNT(I125:O125)&lt;7,"",I125*8+J125*3+K125*2+L125*2+M125*2+N125*2+O125)</x:f>
        <x:v>61</x:v>
      </x:c>
      <x:c r="Q125" s="16" t="n">
        <x:f>IF(COUNT(J125:O125)&lt;6,"",J125*5+K125*4+M125*4+L125*3+N125*2+O125*2)</x:f>
        <x:v>87</x:v>
      </x:c>
      <x:c r="R125" s="14" t="str">
        <x:v>medium</x:v>
      </x:c>
      <x:c r="S125" s="14" t="str">
        <x:v>official_content_reverified_via_search_index</x:v>
      </x:c>
      <x:c r="T125" s="14" t="str">
        <x:v>live_site_unreachable_in_browser</x:v>
      </x:c>
      <x:c r="U125" s="14" t="str">
        <x:v>Новий — не контактували</x:v>
      </x:c>
      <x:c r="V125" s="15" t="str">
        <x:v>Discovery-call: отримати 1 реальний артефакт і вимоги проєкту; не обіцяти готове покриття</x:v>
      </x:c>
      <x:c r="W125" s="15" t="str">
        <x:v>Директор; головний інженер; керівник промислового монтажу</x:v>
      </x:c>
      <x:c r="X125" s="15" t="str">
        <x:v>Ізоляція трубопроводів, резервуарів, газоходів і обладнання ТЕС/ТЕЦ та промисловості.</x:v>
      </x:c>
      <x:c r="Y125" s="15" t="str">
        <x:v>Стан трубопроводу, товщина й суцільність ізоляції закриваються металевим кожухом; важливі фото по етапах.</x:v>
      </x:c>
      <x:c r="Z125" s="15" t="str">
        <x:v>https://www.v.enremo.ua/uk/services</x:v>
      </x:c>
      <x:c r="AA125" s="14" t="str"/>
      <x:c r="AB125" s="14" t="str">
        <x:v>2026-08-24</x:v>
      </x:c>
      <x:c r="AC125" s="14" t="str">
        <x:v>Олександр</x:v>
      </x:c>
      <x:c r="AD125" s="18" t="str"/>
      <x:c r="AE125" s="14" t="str"/>
    </x:row>
    <x:row r="126">
      <x:c r="A126" s="14" t="str">
        <x:v>EXP-031</x:v>
      </x:c>
      <x:c r="B126" s="14" t="str">
        <x:v>Розширення ніш — 24.08</x:v>
      </x:c>
      <x:c r="C126" s="14" t="str">
        <x:v>РИТМ КИЇВ</x:v>
      </x:c>
      <x:c r="D126" s="14" t="str">
        <x:v>Металоконструкції та промисловий монтаж</x:v>
      </x:c>
      <x:c r="E126" s="14" t="str">
        <x:v>Expansion discovery</x:v>
      </x:c>
      <x:c r="F126" s="17" t="str">
        <x:f>IF(E126="Pilot now",IF(P126&gt;=84,"P1",IF(P126&gt;=72,"P2","P3")),IF(E126="Expansion discovery",IF(Q126&gt;=88,"D1",IF(Q126&gt;=78,"D2","D3")),IF(E126="Later / requirements","L","Legacy")))</x:f>
        <x:v>D2</x:v>
      </x:c>
      <x:c r="G126" s="14" t="str">
        <x:v>ritm.com.ua</x:v>
      </x:c>
      <x:c r="H126" s="14" t="str">
        <x:v>Discovery — вимоги проєкту</x:v>
      </x:c>
      <x:c r="I126" s="16" t="n">
        <x:v>1</x:v>
      </x:c>
      <x:c r="J126" s="16" t="n">
        <x:v>4</x:v>
      </x:c>
      <x:c r="K126" s="16" t="n">
        <x:v>3</x:v>
      </x:c>
      <x:c r="L126" s="16" t="n">
        <x:v>5</x:v>
      </x:c>
      <x:c r="M126" s="16" t="n">
        <x:v>5</x:v>
      </x:c>
      <x:c r="N126" s="16" t="n">
        <x:v>5</x:v>
      </x:c>
      <x:c r="O126" s="16" t="n">
        <x:v>5</x:v>
      </x:c>
      <x:c r="P126" s="16" t="n">
        <x:f>IF(COUNT(I126:O126)&lt;7,"",I126*8+J126*3+K126*2+L126*2+M126*2+N126*2+O126)</x:f>
        <x:v>61</x:v>
      </x:c>
      <x:c r="Q126" s="16" t="n">
        <x:f>IF(COUNT(J126:O126)&lt;6,"",J126*5+K126*4+M126*4+L126*3+N126*2+O126*2)</x:f>
        <x:v>87</x:v>
      </x:c>
      <x:c r="R126" s="14" t="str">
        <x:v>high</x:v>
      </x:c>
      <x:c r="S126" s="14" t="str">
        <x:v>official_source_reverified</x:v>
      </x:c>
      <x:c r="T126" s="14" t="str">
        <x:v>official_source_reachable</x:v>
      </x:c>
      <x:c r="U126" s="14" t="str">
        <x:v>Новий — не контактували</x:v>
      </x:c>
      <x:c r="V126" s="15" t="str">
        <x:v>Discovery-call: отримати 1 реальний артефакт і вимоги проєкту; не обіцяти готове покриття</x:v>
      </x:c>
      <x:c r="W126" s="15" t="str">
        <x:v>Власник / директор; головний інженер; керівник монтажу / ПТО</x:v>
      </x:c>
      <x:c r="X126" s="15" t="str">
        <x:v>Промисловий монтаж з 1991 року, випробування та введення об’єктів в експлуатацію.</x:v>
      </x:c>
      <x:c r="Y126" s="15" t="str">
        <x:v>Зварні й болтові з’єднання, антикорозійний шар, геометрія та акти випробувань формують пакет до приймання.</x:v>
      </x:c>
      <x:c r="Z126" s="15" t="str">
        <x:v>https://ritm.com.ua/</x:v>
      </x:c>
      <x:c r="AA126" s="14" t="str"/>
      <x:c r="AB126" s="14" t="str">
        <x:v>2026-08-24</x:v>
      </x:c>
      <x:c r="AC126" s="14" t="str">
        <x:v>Олександр</x:v>
      </x:c>
      <x:c r="AD126" s="18" t="str"/>
      <x:c r="AE126" s="14" t="str"/>
    </x:row>
    <x:row r="127">
      <x:c r="A127" s="14" t="str">
        <x:v>EXP-034</x:v>
      </x:c>
      <x:c r="B127" s="14" t="str">
        <x:v>Розширення ніш — 24.08</x:v>
      </x:c>
      <x:c r="C127" s="14" t="str">
        <x:v>Святобуд</x:v>
      </x:c>
      <x:c r="D127" s="14" t="str">
        <x:v>Металоконструкції та промисловий монтаж</x:v>
      </x:c>
      <x:c r="E127" s="14" t="str">
        <x:v>Expansion discovery</x:v>
      </x:c>
      <x:c r="F127" s="17" t="str">
        <x:f>IF(E127="Pilot now",IF(P127&gt;=84,"P1",IF(P127&gt;=72,"P2","P3")),IF(E127="Expansion discovery",IF(Q127&gt;=88,"D1",IF(Q127&gt;=78,"D2","D3")),IF(E127="Later / requirements","L","Legacy")))</x:f>
        <x:v>D2</x:v>
      </x:c>
      <x:c r="G127" s="14" t="str">
        <x:v>svbud.com.ua</x:v>
      </x:c>
      <x:c r="H127" s="14" t="str">
        <x:v>Discovery — вимоги проєкту</x:v>
      </x:c>
      <x:c r="I127" s="16" t="n">
        <x:v>1</x:v>
      </x:c>
      <x:c r="J127" s="16" t="n">
        <x:v>4</x:v>
      </x:c>
      <x:c r="K127" s="16" t="n">
        <x:v>3</x:v>
      </x:c>
      <x:c r="L127" s="16" t="n">
        <x:v>4</x:v>
      </x:c>
      <x:c r="M127" s="16" t="n">
        <x:v>5</x:v>
      </x:c>
      <x:c r="N127" s="16" t="n">
        <x:v>5</x:v>
      </x:c>
      <x:c r="O127" s="16" t="n">
        <x:v>5</x:v>
      </x:c>
      <x:c r="P127" s="16" t="n">
        <x:f>IF(COUNT(I127:O127)&lt;7,"",I127*8+J127*3+K127*2+L127*2+M127*2+N127*2+O127)</x:f>
        <x:v>59</x:v>
      </x:c>
      <x:c r="Q127" s="16" t="n">
        <x:f>IF(COUNT(J127:O127)&lt;6,"",J127*5+K127*4+M127*4+L127*3+N127*2+O127*2)</x:f>
        <x:v>84</x:v>
      </x:c>
      <x:c r="R127" s="14" t="str">
        <x:v>high</x:v>
      </x:c>
      <x:c r="S127" s="14" t="str">
        <x:v>official_source_reverified</x:v>
      </x:c>
      <x:c r="T127" s="14" t="str">
        <x:v>official_source_reachable</x:v>
      </x:c>
      <x:c r="U127" s="14" t="str">
        <x:v>Новий — не контактували</x:v>
      </x:c>
      <x:c r="V127" s="15" t="str">
        <x:v>Discovery-call: отримати 1 реальний артефакт і вимоги проєкту; не обіцяти готове покриття</x:v>
      </x:c>
      <x:c r="W127" s="15" t="str">
        <x:v>Власник / директор; головний інженер; керівник монтажу / ПТО</x:v>
      </x:c>
      <x:c r="X127" s="15" t="str">
        <x:v>Монтаж і захист металоконструкцій та покрівель на об’єктах по Україні.</x:v>
      </x:c>
      <x:c r="Y127" s="15" t="str">
        <x:v>Зварні й болтові з’єднання, антикорозійний шар, геометрія та акти випробувань формують пакет до приймання.</x:v>
      </x:c>
      <x:c r="Z127" s="15" t="str">
        <x:v>https://svbud.com.ua/stroitelinie-rabotu/</x:v>
      </x:c>
      <x:c r="AA127" s="14" t="str"/>
      <x:c r="AB127" s="14" t="str">
        <x:v>2026-08-24</x:v>
      </x:c>
      <x:c r="AC127" s="14" t="str">
        <x:v>Олександр</x:v>
      </x:c>
      <x:c r="AD127" s="18" t="str"/>
      <x:c r="AE127" s="14" t="str"/>
    </x:row>
    <x:row r="128">
      <x:c r="A128" s="14" t="str">
        <x:v>EXP-033</x:v>
      </x:c>
      <x:c r="B128" s="14" t="str">
        <x:v>Розширення ніш — 24.08</x:v>
      </x:c>
      <x:c r="C128" s="14" t="str">
        <x:v>СЕРВІССТРОЙ</x:v>
      </x:c>
      <x:c r="D128" s="14" t="str">
        <x:v>Металоконструкції та промисловий монтаж</x:v>
      </x:c>
      <x:c r="E128" s="14" t="str">
        <x:v>Expansion discovery</x:v>
      </x:c>
      <x:c r="F128" s="17" t="str">
        <x:f>IF(E128="Pilot now",IF(P128&gt;=84,"P1",IF(P128&gt;=72,"P2","P3")),IF(E128="Expansion discovery",IF(Q128&gt;=88,"D1",IF(Q128&gt;=78,"D2","D3")),IF(E128="Later / requirements","L","Legacy")))</x:f>
        <x:v>D2</x:v>
      </x:c>
      <x:c r="G128" s="14" t="str">
        <x:v>servicestroy.com.ua</x:v>
      </x:c>
      <x:c r="H128" s="14" t="str">
        <x:v>Discovery — вимоги проєкту</x:v>
      </x:c>
      <x:c r="I128" s="16" t="n">
        <x:v>1</x:v>
      </x:c>
      <x:c r="J128" s="16" t="n">
        <x:v>4</x:v>
      </x:c>
      <x:c r="K128" s="16" t="n">
        <x:v>3</x:v>
      </x:c>
      <x:c r="L128" s="16" t="n">
        <x:v>4</x:v>
      </x:c>
      <x:c r="M128" s="16" t="n">
        <x:v>5</x:v>
      </x:c>
      <x:c r="N128" s="16" t="n">
        <x:v>5</x:v>
      </x:c>
      <x:c r="O128" s="16" t="n">
        <x:v>5</x:v>
      </x:c>
      <x:c r="P128" s="16" t="n">
        <x:f>IF(COUNT(I128:O128)&lt;7,"",I128*8+J128*3+K128*2+L128*2+M128*2+N128*2+O128)</x:f>
        <x:v>59</x:v>
      </x:c>
      <x:c r="Q128" s="16" t="n">
        <x:f>IF(COUNT(J128:O128)&lt;6,"",J128*5+K128*4+M128*4+L128*3+N128*2+O128*2)</x:f>
        <x:v>84</x:v>
      </x:c>
      <x:c r="R128" s="14" t="str">
        <x:v>high</x:v>
      </x:c>
      <x:c r="S128" s="14" t="str">
        <x:v>official_source_reverified</x:v>
      </x:c>
      <x:c r="T128" s="14" t="str">
        <x:v>official_source_reachable</x:v>
      </x:c>
      <x:c r="U128" s="14" t="str">
        <x:v>Новий — не контактували</x:v>
      </x:c>
      <x:c r="V128" s="15" t="str">
        <x:v>Discovery-call: отримати 1 реальний артефакт і вимоги проєкту; не обіцяти готове покриття</x:v>
      </x:c>
      <x:c r="W128" s="15" t="str">
        <x:v>Власник / директор; головний інженер; керівник монтажу / ПТО</x:v>
      </x:c>
      <x:c r="X128" s="15" t="str">
        <x:v>17 років; портфоліо складів, супермаркетів і великих металоконструкцій.</x:v>
      </x:c>
      <x:c r="Y128" s="15" t="str">
        <x:v>Зварні й болтові з’єднання, антикорозійний шар, геометрія та акти випробувань формують пакет до приймання.</x:v>
      </x:c>
      <x:c r="Z128" s="15" t="str">
        <x:v>https://servicestroy.com.ua/galereya-robit/</x:v>
      </x:c>
      <x:c r="AA128" s="14" t="str"/>
      <x:c r="AB128" s="14" t="str">
        <x:v>2026-08-24</x:v>
      </x:c>
      <x:c r="AC128" s="14" t="str">
        <x:v>Олександр</x:v>
      </x:c>
      <x:c r="AD128" s="18" t="str"/>
      <x:c r="AE128" s="14" t="str"/>
    </x:row>
    <x:row r="129">
      <x:c r="A129" s="14" t="str">
        <x:v>EXP-030</x:v>
      </x:c>
      <x:c r="B129" s="14" t="str">
        <x:v>Розширення ніш — 24.08</x:v>
      </x:c>
      <x:c r="C129" s="14" t="str">
        <x:v>ALATEKS</x:v>
      </x:c>
      <x:c r="D129" s="14" t="str">
        <x:v>Металоконструкції та промисловий монтаж</x:v>
      </x:c>
      <x:c r="E129" s="14" t="str">
        <x:v>Expansion discovery</x:v>
      </x:c>
      <x:c r="F129" s="17" t="str">
        <x:f>IF(E129="Pilot now",IF(P129&gt;=84,"P1",IF(P129&gt;=72,"P2","P3")),IF(E129="Expansion discovery",IF(Q129&gt;=88,"D1",IF(Q129&gt;=78,"D2","D3")),IF(E129="Later / requirements","L","Legacy")))</x:f>
        <x:v>D2</x:v>
      </x:c>
      <x:c r="G129" s="14" t="str">
        <x:v>alateks.net</x:v>
      </x:c>
      <x:c r="H129" s="14" t="str">
        <x:v>Discovery — вимоги проєкту</x:v>
      </x:c>
      <x:c r="I129" s="16" t="n">
        <x:v>1</x:v>
      </x:c>
      <x:c r="J129" s="16" t="n">
        <x:v>4</x:v>
      </x:c>
      <x:c r="K129" s="16" t="n">
        <x:v>3</x:v>
      </x:c>
      <x:c r="L129" s="16" t="n">
        <x:v>4</x:v>
      </x:c>
      <x:c r="M129" s="16" t="n">
        <x:v>5</x:v>
      </x:c>
      <x:c r="N129" s="16" t="n">
        <x:v>5</x:v>
      </x:c>
      <x:c r="O129" s="16" t="n">
        <x:v>5</x:v>
      </x:c>
      <x:c r="P129" s="16" t="n">
        <x:f>IF(COUNT(I129:O129)&lt;7,"",I129*8+J129*3+K129*2+L129*2+M129*2+N129*2+O129)</x:f>
        <x:v>59</x:v>
      </x:c>
      <x:c r="Q129" s="16" t="n">
        <x:f>IF(COUNT(J129:O129)&lt;6,"",J129*5+K129*4+M129*4+L129*3+N129*2+O129*2)</x:f>
        <x:v>84</x:v>
      </x:c>
      <x:c r="R129" s="14" t="str">
        <x:v>high</x:v>
      </x:c>
      <x:c r="S129" s="14" t="str">
        <x:v>official_source_reverified</x:v>
      </x:c>
      <x:c r="T129" s="14" t="str">
        <x:v>official_source_reachable</x:v>
      </x:c>
      <x:c r="U129" s="14" t="str">
        <x:v>Новий — не контактували</x:v>
      </x:c>
      <x:c r="V129" s="15" t="str">
        <x:v>Discovery-call: отримати 1 реальний артефакт і вимоги проєкту; не обіцяти готове покриття</x:v>
      </x:c>
      <x:c r="W129" s="15" t="str">
        <x:v>Власник / директор; головний інженер; керівник монтажу / ПТО</x:v>
      </x:c>
      <x:c r="X129" s="15" t="str">
        <x:v>Повний цикл металоконструкцій для промислових, аграрних та інженерних об’єктів.</x:v>
      </x:c>
      <x:c r="Y129" s="15" t="str">
        <x:v>Зварні й болтові з’єднання, антикорозійний шар, геометрія та акти випробувань формують пакет до приймання.</x:v>
      </x:c>
      <x:c r="Z129" s="15" t="str">
        <x:v>https://alateks.net/</x:v>
      </x:c>
      <x:c r="AA129" s="14" t="str"/>
      <x:c r="AB129" s="14" t="str">
        <x:v>2026-08-24</x:v>
      </x:c>
      <x:c r="AC129" s="14" t="str">
        <x:v>Олександр</x:v>
      </x:c>
      <x:c r="AD129" s="18" t="str"/>
      <x:c r="AE129" s="14" t="str"/>
    </x:row>
    <x:row r="130">
      <x:c r="A130" s="14" t="str">
        <x:v>EXP-029</x:v>
      </x:c>
      <x:c r="B130" s="14" t="str">
        <x:v>Розширення ніш — 24.08</x:v>
      </x:c>
      <x:c r="C130" s="14" t="str">
        <x:v>M7 Construction</x:v>
      </x:c>
      <x:c r="D130" s="14" t="str">
        <x:v>Металоконструкції та промисловий монтаж</x:v>
      </x:c>
      <x:c r="E130" s="14" t="str">
        <x:v>Expansion discovery</x:v>
      </x:c>
      <x:c r="F130" s="17" t="str">
        <x:f>IF(E130="Pilot now",IF(P130&gt;=84,"P1",IF(P130&gt;=72,"P2","P3")),IF(E130="Expansion discovery",IF(Q130&gt;=88,"D1",IF(Q130&gt;=78,"D2","D3")),IF(E130="Later / requirements","L","Legacy")))</x:f>
        <x:v>D2</x:v>
      </x:c>
      <x:c r="G130" s="14" t="str">
        <x:v>m7construction.com.ua</x:v>
      </x:c>
      <x:c r="H130" s="14" t="str">
        <x:v>Discovery — вимоги проєкту</x:v>
      </x:c>
      <x:c r="I130" s="16" t="n">
        <x:v>1</x:v>
      </x:c>
      <x:c r="J130" s="16" t="n">
        <x:v>4</x:v>
      </x:c>
      <x:c r="K130" s="16" t="n">
        <x:v>3</x:v>
      </x:c>
      <x:c r="L130" s="16" t="n">
        <x:v>4</x:v>
      </x:c>
      <x:c r="M130" s="16" t="n">
        <x:v>5</x:v>
      </x:c>
      <x:c r="N130" s="16" t="n">
        <x:v>5</x:v>
      </x:c>
      <x:c r="O130" s="16" t="n">
        <x:v>5</x:v>
      </x:c>
      <x:c r="P130" s="16" t="n">
        <x:f>IF(COUNT(I130:O130)&lt;7,"",I130*8+J130*3+K130*2+L130*2+M130*2+N130*2+O130)</x:f>
        <x:v>59</x:v>
      </x:c>
      <x:c r="Q130" s="16" t="n">
        <x:f>IF(COUNT(J130:O130)&lt;6,"",J130*5+K130*4+M130*4+L130*3+N130*2+O130*2)</x:f>
        <x:v>84</x:v>
      </x:c>
      <x:c r="R130" s="14" t="str">
        <x:v>high</x:v>
      </x:c>
      <x:c r="S130" s="14" t="str">
        <x:v>official_source_reverified</x:v>
      </x:c>
      <x:c r="T130" s="14" t="str">
        <x:v>official_source_reachable</x:v>
      </x:c>
      <x:c r="U130" s="14" t="str">
        <x:v>Новий — не контактували</x:v>
      </x:c>
      <x:c r="V130" s="15" t="str">
        <x:v>Discovery-call: отримати 1 реальний артефакт і вимоги проєкту; не обіцяти готове покриття</x:v>
      </x:c>
      <x:c r="W130" s="15" t="str">
        <x:v>Власник / директор; головний інженер; керівник монтажу / ПТО</x:v>
      </x:c>
      <x:c r="X130" s="15" t="str">
        <x:v>Промислові будівлі, склади, металоконструкції, сендвіч-панелі й монтаж.</x:v>
      </x:c>
      <x:c r="Y130" s="15" t="str">
        <x:v>Зварні й болтові з’єднання, антикорозійний шар, геометрія та акти випробувань формують пакет до приймання.</x:v>
      </x:c>
      <x:c r="Z130" s="15" t="str">
        <x:v>https://m7construction.com.ua/projects</x:v>
      </x:c>
      <x:c r="AA130" s="14" t="str"/>
      <x:c r="AB130" s="14" t="str">
        <x:v>2026-08-24</x:v>
      </x:c>
      <x:c r="AC130" s="14" t="str">
        <x:v>Олександр</x:v>
      </x:c>
      <x:c r="AD130" s="18" t="str"/>
      <x:c r="AE130" s="14" t="str"/>
    </x:row>
    <x:row r="131">
      <x:c r="A131" s="14" t="str">
        <x:v>EXP-038</x:v>
      </x:c>
      <x:c r="B131" s="14" t="str">
        <x:v>Розширення ніш — 24.08</x:v>
      </x:c>
      <x:c r="C131" s="14" t="str">
        <x:v>Sand Trade</x:v>
      </x:c>
      <x:c r="D131" s="14" t="str">
        <x:v>Металоконструкції та промисловий монтаж</x:v>
      </x:c>
      <x:c r="E131" s="14" t="str">
        <x:v>Expansion discovery</x:v>
      </x:c>
      <x:c r="F131" s="17" t="str">
        <x:f>IF(E131="Pilot now",IF(P131&gt;=84,"P1",IF(P131&gt;=72,"P2","P3")),IF(E131="Expansion discovery",IF(Q131&gt;=88,"D1",IF(Q131&gt;=78,"D2","D3")),IF(E131="Later / requirements","L","Legacy")))</x:f>
        <x:v>D2</x:v>
      </x:c>
      <x:c r="G131" s="14" t="str">
        <x:v>sandtrade.com.ua</x:v>
      </x:c>
      <x:c r="H131" s="14" t="str">
        <x:v>Discovery — вимоги проєкту</x:v>
      </x:c>
      <x:c r="I131" s="16" t="n">
        <x:v>1</x:v>
      </x:c>
      <x:c r="J131" s="16" t="n">
        <x:v>4</x:v>
      </x:c>
      <x:c r="K131" s="16" t="n">
        <x:v>3</x:v>
      </x:c>
      <x:c r="L131" s="16" t="n">
        <x:v>4</x:v>
      </x:c>
      <x:c r="M131" s="16" t="n">
        <x:v>5</x:v>
      </x:c>
      <x:c r="N131" s="16" t="n">
        <x:v>5</x:v>
      </x:c>
      <x:c r="O131" s="16" t="n">
        <x:v>5</x:v>
      </x:c>
      <x:c r="P131" s="16" t="n">
        <x:f>IF(COUNT(I131:O131)&lt;7,"",I131*8+J131*3+K131*2+L131*2+M131*2+N131*2+O131)</x:f>
        <x:v>59</x:v>
      </x:c>
      <x:c r="Q131" s="16" t="n">
        <x:f>IF(COUNT(J131:O131)&lt;6,"",J131*5+K131*4+M131*4+L131*3+N131*2+O131*2)</x:f>
        <x:v>84</x:v>
      </x:c>
      <x:c r="R131" s="14" t="str">
        <x:v>high</x:v>
      </x:c>
      <x:c r="S131" s="14" t="str">
        <x:v>official_source_reverified</x:v>
      </x:c>
      <x:c r="T131" s="14" t="str">
        <x:v>official_source_reachable</x:v>
      </x:c>
      <x:c r="U131" s="14" t="str">
        <x:v>Новий — не контактували</x:v>
      </x:c>
      <x:c r="V131" s="15" t="str">
        <x:v>Discovery-call: отримати 1 реальний артефакт і вимоги проєкту; не обіцяти готове покриття</x:v>
      </x:c>
      <x:c r="W131" s="15" t="str">
        <x:v>Власник / директор; головний інженер; керівник монтажу / ПТО</x:v>
      </x:c>
      <x:c r="X131" s="15" t="str">
        <x:v>Виїзне очищення, фарбування й підготовка великих металоконструкцій до нанесення вогнезахисту.</x:v>
      </x:c>
      <x:c r="Y131" s="15" t="str">
        <x:v>Зварні й болтові з’єднання, антикорозійний шар, геометрія та акти випробувань формують пакет до приймання.</x:v>
      </x:c>
      <x:c r="Z131" s="15" t="str">
        <x:v>https://www.sandtrade.com.ua/</x:v>
      </x:c>
      <x:c r="AA131" s="14" t="str"/>
      <x:c r="AB131" s="14" t="str">
        <x:v>2026-08-24</x:v>
      </x:c>
      <x:c r="AC131" s="14" t="str">
        <x:v>Олександр</x:v>
      </x:c>
      <x:c r="AD131" s="18" t="str"/>
      <x:c r="AE131" s="14" t="str"/>
    </x:row>
    <x:row r="132">
      <x:c r="A132" s="14" t="str">
        <x:v>EXP-032</x:v>
      </x:c>
      <x:c r="B132" s="14" t="str">
        <x:v>Розширення ніш — 24.08</x:v>
      </x:c>
      <x:c r="C132" s="14" t="str">
        <x:v>STERNAT</x:v>
      </x:c>
      <x:c r="D132" s="14" t="str">
        <x:v>Металоконструкції та промисловий монтаж</x:v>
      </x:c>
      <x:c r="E132" s="14" t="str">
        <x:v>Expansion discovery</x:v>
      </x:c>
      <x:c r="F132" s="17" t="str">
        <x:f>IF(E132="Pilot now",IF(P132&gt;=84,"P1",IF(P132&gt;=72,"P2","P3")),IF(E132="Expansion discovery",IF(Q132&gt;=88,"D1",IF(Q132&gt;=78,"D2","D3")),IF(E132="Later / requirements","L","Legacy")))</x:f>
        <x:v>D2</x:v>
      </x:c>
      <x:c r="G132" s="14" t="str">
        <x:v>sternat.com.ua</x:v>
      </x:c>
      <x:c r="H132" s="14" t="str">
        <x:v>Discovery — вимоги проєкту</x:v>
      </x:c>
      <x:c r="I132" s="16" t="n">
        <x:v>1</x:v>
      </x:c>
      <x:c r="J132" s="16" t="n">
        <x:v>4</x:v>
      </x:c>
      <x:c r="K132" s="16" t="n">
        <x:v>3</x:v>
      </x:c>
      <x:c r="L132" s="16" t="n">
        <x:v>4</x:v>
      </x:c>
      <x:c r="M132" s="16" t="n">
        <x:v>5</x:v>
      </x:c>
      <x:c r="N132" s="16" t="n">
        <x:v>5</x:v>
      </x:c>
      <x:c r="O132" s="16" t="n">
        <x:v>5</x:v>
      </x:c>
      <x:c r="P132" s="16" t="n">
        <x:f>IF(COUNT(I132:O132)&lt;7,"",I132*8+J132*3+K132*2+L132*2+M132*2+N132*2+O132)</x:f>
        <x:v>59</x:v>
      </x:c>
      <x:c r="Q132" s="16" t="n">
        <x:f>IF(COUNT(J132:O132)&lt;6,"",J132*5+K132*4+M132*4+L132*3+N132*2+O132*2)</x:f>
        <x:v>84</x:v>
      </x:c>
      <x:c r="R132" s="14" t="str">
        <x:v>high</x:v>
      </x:c>
      <x:c r="S132" s="14" t="str">
        <x:v>official_source_reverified</x:v>
      </x:c>
      <x:c r="T132" s="14" t="str">
        <x:v>official_source_reachable</x:v>
      </x:c>
      <x:c r="U132" s="14" t="str">
        <x:v>Новий — не контактували</x:v>
      </x:c>
      <x:c r="V132" s="15" t="str">
        <x:v>Discovery-call: отримати 1 реальний артефакт і вимоги проєкту; не обіцяти готове покриття</x:v>
      </x:c>
      <x:c r="W132" s="15" t="str">
        <x:v>Власник / директор; головний інженер; керівник монтажу / ПТО</x:v>
      </x:c>
      <x:c r="X132" s="15" t="str">
        <x:v>Виготовлення та монтаж металоконструкцій від ангарів до індивідуальних рішень.</x:v>
      </x:c>
      <x:c r="Y132" s="15" t="str">
        <x:v>Зварні й болтові з’єднання, антикорозійний шар, геометрія та акти випробувань формують пакет до приймання.</x:v>
      </x:c>
      <x:c r="Z132" s="15" t="str">
        <x:v>https://www.sternat.com.ua/</x:v>
      </x:c>
      <x:c r="AA132" s="14" t="str"/>
      <x:c r="AB132" s="14" t="str">
        <x:v>2026-08-24</x:v>
      </x:c>
      <x:c r="AC132" s="14" t="str">
        <x:v>Олександр</x:v>
      </x:c>
      <x:c r="AD132" s="18" t="str"/>
      <x:c r="AE132" s="14" t="str"/>
    </x:row>
    <x:row r="133">
      <x:c r="A133" s="14" t="str">
        <x:v>EXP-060</x:v>
      </x:c>
      <x:c r="B133" s="14" t="str">
        <x:v>Розширення ніш — 24.08</x:v>
      </x:c>
      <x:c r="C133" s="14" t="str">
        <x:v>UNIT-L</x:v>
      </x:c>
      <x:c r="D133" s="14" t="str">
        <x:v>Ліфти, ескалатори та підйомники</x:v>
      </x:c>
      <x:c r="E133" s="14" t="str">
        <x:v>Expansion discovery</x:v>
      </x:c>
      <x:c r="F133" s="17" t="str">
        <x:f>IF(E133="Pilot now",IF(P133&gt;=84,"P1",IF(P133&gt;=72,"P2","P3")),IF(E133="Expansion discovery",IF(Q133&gt;=88,"D1",IF(Q133&gt;=78,"D2","D3")),IF(E133="Later / requirements","L","Legacy")))</x:f>
        <x:v>D2</x:v>
      </x:c>
      <x:c r="G133" s="14" t="str">
        <x:v>unit-l.com</x:v>
      </x:c>
      <x:c r="H133" s="14" t="str">
        <x:v>Discovery — вимоги проєкту</x:v>
      </x:c>
      <x:c r="I133" s="16" t="n">
        <x:v>1</x:v>
      </x:c>
      <x:c r="J133" s="16" t="n">
        <x:v>4</x:v>
      </x:c>
      <x:c r="K133" s="16" t="n">
        <x:v>4</x:v>
      </x:c>
      <x:c r="L133" s="16" t="n">
        <x:v>3</x:v>
      </x:c>
      <x:c r="M133" s="16" t="n">
        <x:v>5</x:v>
      </x:c>
      <x:c r="N133" s="16" t="n">
        <x:v>5</x:v>
      </x:c>
      <x:c r="O133" s="16" t="n">
        <x:v>5</x:v>
      </x:c>
      <x:c r="P133" s="16" t="n">
        <x:f>IF(COUNT(I133:O133)&lt;7,"",I133*8+J133*3+K133*2+L133*2+M133*2+N133*2+O133)</x:f>
        <x:v>59</x:v>
      </x:c>
      <x:c r="Q133" s="16" t="n">
        <x:f>IF(COUNT(J133:O133)&lt;6,"",J133*5+K133*4+M133*4+L133*3+N133*2+O133*2)</x:f>
        <x:v>85</x:v>
      </x:c>
      <x:c r="R133" s="14" t="str">
        <x:v>high</x:v>
      </x:c>
      <x:c r="S133" s="14" t="str">
        <x:v>official_source_reverified</x:v>
      </x:c>
      <x:c r="T133" s="14" t="str">
        <x:v>official_source_reachable</x:v>
      </x:c>
      <x:c r="U133" s="14" t="str">
        <x:v>Новий — не контактували</x:v>
      </x:c>
      <x:c r="V133" s="15" t="str">
        <x:v>Discovery-call: отримати 1 реальний артефакт і вимоги проєкту; не обіцяти готове покриття</x:v>
      </x:c>
      <x:c r="W133" s="15" t="str">
        <x:v>Директор; керівник монтажу; відповідальний за введення в експлуатацію</x:v>
      </x:c>
      <x:c r="X133" s="15" t="str">
        <x:v>Монтаж по Україні, технічний огляд, ремонт і сертифіковане обладнання.</x:v>
      </x:c>
      <x:c r="Y133" s="15" t="str">
        <x:v>Закладні, напрямні, електрика, випробування й постановка на облік мають поетапну приймальну документацію.</x:v>
      </x:c>
      <x:c r="Z133" s="15" t="str">
        <x:v>https://unit-l.com/uk/golovna/</x:v>
      </x:c>
      <x:c r="AA133" s="14" t="str"/>
      <x:c r="AB133" s="14" t="str">
        <x:v>2026-08-24</x:v>
      </x:c>
      <x:c r="AC133" s="14" t="str">
        <x:v>Олександр</x:v>
      </x:c>
      <x:c r="AD133" s="18" t="str"/>
      <x:c r="AE133" s="14" t="str"/>
    </x:row>
    <x:row r="134">
      <x:c r="A134" s="14" t="str">
        <x:v>AUG-001</x:v>
      </x:c>
      <x:c r="B134" s="14" t="str">
        <x:v>Перевірено 51 — 24.08</x:v>
      </x:c>
      <x:c r="C134" s="14" t="str">
        <x:v>GES GROUP</x:v>
      </x:c>
      <x:c r="D134" s="14" t="str">
        <x:v>Зовнішні мережі</x:v>
      </x:c>
      <x:c r="E134" s="14" t="str">
        <x:v>Later / requirements</x:v>
      </x:c>
      <x:c r="F134" s="17" t="str">
        <x:f>IF(E134="Pilot now",IF(P134&gt;=84,"P1",IF(P134&gt;=72,"P2","P3")),IF(E134="Expansion discovery",IF(Q134&gt;=88,"D1",IF(Q134&gt;=78,"D2","D3")),IF(E134="Later / requirements","L","Legacy")))</x:f>
        <x:v>L</x:v>
      </x:c>
      <x:c r="G134" s="14" t="str">
        <x:v>ges-group.com.ua</x:v>
      </x:c>
      <x:c r="H134" s="14" t="str">
        <x:v>Пізніше — вимоги проєкту</x:v>
      </x:c>
      <x:c r="I134" s="16" t="n">
        <x:v>2</x:v>
      </x:c>
      <x:c r="J134" s="16" t="n">
        <x:v>5</x:v>
      </x:c>
      <x:c r="K134" s="16" t="n">
        <x:v>5</x:v>
      </x:c>
      <x:c r="L134" s="16" t="n">
        <x:v>5</x:v>
      </x:c>
      <x:c r="M134" s="16" t="n">
        <x:v>5</x:v>
      </x:c>
      <x:c r="N134" s="16" t="n">
        <x:v>5</x:v>
      </x:c>
      <x:c r="O134" s="16" t="n">
        <x:v>5</x:v>
      </x:c>
      <x:c r="P134" s="16" t="n">
        <x:f>IF(COUNT(I134:O134)&lt;7,"",I134*8+J134*3+K134*2+L134*2+M134*2+N134*2+O134)</x:f>
        <x:v>76</x:v>
      </x:c>
      <x:c r="Q134" s="16" t="n">
        <x:f>IF(COUNT(J134:O134)&lt;6,"",J134*5+K134*4+M134*4+L134*3+N134*2+O134*2)</x:f>
        <x:v>100</x:v>
      </x:c>
      <x:c r="R134" s="14" t="str">
        <x:v>high</x:v>
      </x:c>
      <x:c r="S134" s="14" t="str">
        <x:v>official_source_reverified</x:v>
      </x:c>
      <x:c r="T134" s="14" t="str">
        <x:v>official_source_reachable</x:v>
      </x:c>
      <x:c r="U134" s="14" t="str">
        <x:v>Новий — не контактували</x:v>
      </x:c>
      <x:c r="V134" s="15" t="str">
        <x:v>Discovery-call: перевірити процес і отримати вимоги конкретного проєкту</x:v>
      </x:c>
      <x:c r="W134" s="15" t="str">
        <x:v>Владелец / коммерческий директор; руководитель ПТО</x:v>
      </x:c>
      <x:c r="X134" s="15" t="str">
        <x:v>Полный цикл внешних водопроводных, канализационных и тепловых сетей; 50+ сотрудников, собственная техника и многомесячные проекты.</x:v>
      </x:c>
      <x:c r="Y134" s="15" t="str">
        <x:v>Траншеи, коллекторы, КНС и сети должны быть зафиксированы до засыпки.</x:v>
      </x:c>
      <x:c r="Z134" s="15" t="str">
        <x:v>https://ges-group.com.ua/company</x:v>
      </x:c>
      <x:c r="AA134" s="14" t="str"/>
      <x:c r="AB134" s="14" t="str">
        <x:v>2026-08-24</x:v>
      </x:c>
      <x:c r="AC134" s="14" t="str">
        <x:v>Олександр</x:v>
      </x:c>
      <x:c r="AD134" s="18" t="str"/>
      <x:c r="AE134" s="14" t="str"/>
    </x:row>
    <x:row r="135">
      <x:c r="A135" s="14" t="str">
        <x:v>V3-042</x:v>
      </x:c>
      <x:c r="B135" s="14" t="str">
        <x:v>Досліджено 28.07</x:v>
      </x:c>
      <x:c r="C135" s="14" t="str">
        <x:v>ТОВ «СБК САРГОН»</x:v>
      </x:c>
      <x:c r="D135" s="14" t="str">
        <x:v>Зовнішні мережі</x:v>
      </x:c>
      <x:c r="E135" s="14" t="str">
        <x:v>Later / requirements</x:v>
      </x:c>
      <x:c r="F135" s="17" t="str">
        <x:f>IF(E135="Pilot now",IF(P135&gt;=84,"P1",IF(P135&gt;=72,"P2","P3")),IF(E135="Expansion discovery",IF(Q135&gt;=88,"D1",IF(Q135&gt;=78,"D2","D3")),IF(E135="Later / requirements","L","Legacy")))</x:f>
        <x:v>L</x:v>
      </x:c>
      <x:c r="G135" s="14" t="str">
        <x:v>sargon.com.ua</x:v>
      </x:c>
      <x:c r="H135" s="14" t="str">
        <x:v>Пізніше — вимоги проєкту</x:v>
      </x:c>
      <x:c r="I135" s="16" t="n">
        <x:v>1</x:v>
      </x:c>
      <x:c r="J135" s="16" t="n">
        <x:v>5</x:v>
      </x:c>
      <x:c r="K135" s="16" t="n">
        <x:v>5</x:v>
      </x:c>
      <x:c r="L135" s="16" t="n">
        <x:v>5</x:v>
      </x:c>
      <x:c r="M135" s="16" t="n">
        <x:v>5</x:v>
      </x:c>
      <x:c r="N135" s="16" t="n">
        <x:v>5</x:v>
      </x:c>
      <x:c r="O135" s="16" t="n">
        <x:v>5</x:v>
      </x:c>
      <x:c r="P135" s="16" t="n">
        <x:f>IF(COUNT(I135:O135)&lt;7,"",I135*8+J135*3+K135*2+L135*2+M135*2+N135*2+O135)</x:f>
        <x:v>68</x:v>
      </x:c>
      <x:c r="Q135" s="16" t="n">
        <x:f>IF(COUNT(J135:O135)&lt;6,"",J135*5+K135*4+M135*4+L135*3+N135*2+O135*2)</x:f>
        <x:v>100</x:v>
      </x:c>
      <x:c r="R135" s="14" t="str">
        <x:v>medium</x:v>
      </x:c>
      <x:c r="S135" s="14" t="str">
        <x:v>historical_research_2026-07-28</x:v>
      </x:c>
      <x:c r="T135" s="14" t="str">
        <x:v>historical_official_research</x:v>
      </x:c>
      <x:c r="U135" s="14" t="str">
        <x:v>Надіслано 28.07 — follow-up</x:v>
      </x:c>
      <x:c r="V135" s="15" t="str">
        <x:v>Follow-up з review-link; далі попросити 1 анонімізований артефакт</x:v>
      </x:c>
      <x:c r="W135" s="15" t="str">
        <x:v>Власник / директор; керівник ПТО</x:v>
      </x:c>
      <x:c r="X135" s="15" t="str">
        <x:v>45+ зданих об’єктів, 78 фахівців, ліцензії СС2/СС3; повний цикл зовнішніх мереж від проєкту до введення.</x:v>
      </x:c>
      <x:c r="Y135" s="15" t="str">
        <x:v>Траншеї, труби, кабелі, колодязі, підключення й випробування незворотно закриваються засипанням.</x:v>
      </x:c>
      <x:c r="Z135" s="15" t="str">
        <x:v>https://www.sargon.com.ua/budivnictvo-zovnishnih-inzhenernih-merezh</x:v>
      </x:c>
      <x:c r="AA135" s="14" t="str">
        <x:v>44549311</x:v>
      </x:c>
      <x:c r="AB135" s="14" t="str">
        <x:v>2026-07-28</x:v>
      </x:c>
      <x:c r="AC135" s="14" t="str">
        <x:v>Олександр</x:v>
      </x:c>
      <x:c r="AD135" s="18" t="str"/>
      <x:c r="AE135" s="14" t="str"/>
    </x:row>
    <x:row r="136">
      <x:c r="A136" s="14" t="str">
        <x:v>V3-044</x:v>
      </x:c>
      <x:c r="B136" s="14" t="str">
        <x:v>Досліджено 28.07</x:v>
      </x:c>
      <x:c r="C136" s="14" t="str">
        <x:v>ПроектАкваБуд</x:v>
      </x:c>
      <x:c r="D136" s="14" t="str">
        <x:v>Зовнішні мережі</x:v>
      </x:c>
      <x:c r="E136" s="14" t="str">
        <x:v>Later / requirements</x:v>
      </x:c>
      <x:c r="F136" s="17" t="str">
        <x:f>IF(E136="Pilot now",IF(P136&gt;=84,"P1",IF(P136&gt;=72,"P2","P3")),IF(E136="Expansion discovery",IF(Q136&gt;=88,"D1",IF(Q136&gt;=78,"D2","D3")),IF(E136="Later / requirements","L","Legacy")))</x:f>
        <x:v>L</x:v>
      </x:c>
      <x:c r="G136" s="14" t="str">
        <x:v>abproekt.com.ua</x:v>
      </x:c>
      <x:c r="H136" s="14" t="str">
        <x:v>Пізніше — вимоги проєкту</x:v>
      </x:c>
      <x:c r="I136" s="16" t="n">
        <x:v>1</x:v>
      </x:c>
      <x:c r="J136" s="16" t="n">
        <x:v>5</x:v>
      </x:c>
      <x:c r="K136" s="16" t="n">
        <x:v>5</x:v>
      </x:c>
      <x:c r="L136" s="16" t="n">
        <x:v>4</x:v>
      </x:c>
      <x:c r="M136" s="16" t="n">
        <x:v>5</x:v>
      </x:c>
      <x:c r="N136" s="16" t="n">
        <x:v>5</x:v>
      </x:c>
      <x:c r="O136" s="16" t="n">
        <x:v>5</x:v>
      </x:c>
      <x:c r="P136" s="16" t="n">
        <x:f>IF(COUNT(I136:O136)&lt;7,"",I136*8+J136*3+K136*2+L136*2+M136*2+N136*2+O136)</x:f>
        <x:v>66</x:v>
      </x:c>
      <x:c r="Q136" s="16" t="n">
        <x:f>IF(COUNT(J136:O136)&lt;6,"",J136*5+K136*4+M136*4+L136*3+N136*2+O136*2)</x:f>
        <x:v>97</x:v>
      </x:c>
      <x:c r="R136" s="14" t="str">
        <x:v>medium</x:v>
      </x:c>
      <x:c r="S136" s="14" t="str">
        <x:v>historical_research_2026-07-28</x:v>
      </x:c>
      <x:c r="T136" s="14" t="str">
        <x:v>historical_official_research</x:v>
      </x:c>
      <x:c r="U136" s="14" t="str">
        <x:v>Надіслано 28.07 — follow-up</x:v>
      </x:c>
      <x:c r="V136" s="15" t="str">
        <x:v>Follow-up з review-link; далі попросити 1 анонімізований артефакт</x:v>
      </x:c>
      <x:c r="W136" s="15" t="str">
        <x:v>Власник / директор; керівник ПТО</x:v>
      </x:c>
      <x:c r="X136" s="15" t="str">
        <x:v>Проєктування й монтаж зовнішніх інженерних мереж, водопостачання та водовідведення.</x:v>
      </x:c>
      <x:c r="Y136" s="15" t="str">
        <x:v>Труби, колодязі, основи й приєднання стають недоступними після засипання; критичні фото та акти.</x:v>
      </x:c>
      <x:c r="Z136" s="15" t="str">
        <x:v>https://abproekt.com.ua/uslugi/montazh-inzhenernykh-setei.html</x:v>
      </x:c>
      <x:c r="AA136" s="14" t="str"/>
      <x:c r="AB136" s="14" t="str">
        <x:v>2026-07-28</x:v>
      </x:c>
      <x:c r="AC136" s="14" t="str">
        <x:v>Олександр</x:v>
      </x:c>
      <x:c r="AD136" s="18" t="str"/>
      <x:c r="AE136" s="14" t="str"/>
    </x:row>
    <x:row r="137">
      <x:c r="A137" s="14" t="str">
        <x:v>V3-045</x:v>
      </x:c>
      <x:c r="B137" s="14" t="str">
        <x:v>Досліджено 28.07</x:v>
      </x:c>
      <x:c r="C137" s="14" t="str">
        <x:v>Project Water &amp; Canalization</x:v>
      </x:c>
      <x:c r="D137" s="14" t="str">
        <x:v>Зовнішні мережі</x:v>
      </x:c>
      <x:c r="E137" s="14" t="str">
        <x:v>Later / requirements</x:v>
      </x:c>
      <x:c r="F137" s="17" t="str">
        <x:f>IF(E137="Pilot now",IF(P137&gt;=84,"P1",IF(P137&gt;=72,"P2","P3")),IF(E137="Expansion discovery",IF(Q137&gt;=88,"D1",IF(Q137&gt;=78,"D2","D3")),IF(E137="Later / requirements","L","Legacy")))</x:f>
        <x:v>L</x:v>
      </x:c>
      <x:c r="G137" s="14" t="str">
        <x:v>project-wc.kiev.ua</x:v>
      </x:c>
      <x:c r="H137" s="14" t="str">
        <x:v>Пізніше — вимоги проєкту</x:v>
      </x:c>
      <x:c r="I137" s="16" t="n">
        <x:v>1</x:v>
      </x:c>
      <x:c r="J137" s="16" t="n">
        <x:v>5</x:v>
      </x:c>
      <x:c r="K137" s="16" t="n">
        <x:v>5</x:v>
      </x:c>
      <x:c r="L137" s="16" t="n">
        <x:v>4</x:v>
      </x:c>
      <x:c r="M137" s="16" t="n">
        <x:v>5</x:v>
      </x:c>
      <x:c r="N137" s="16" t="n">
        <x:v>5</x:v>
      </x:c>
      <x:c r="O137" s="16" t="n">
        <x:v>5</x:v>
      </x:c>
      <x:c r="P137" s="16" t="n">
        <x:f>IF(COUNT(I137:O137)&lt;7,"",I137*8+J137*3+K137*2+L137*2+M137*2+N137*2+O137)</x:f>
        <x:v>66</x:v>
      </x:c>
      <x:c r="Q137" s="16" t="n">
        <x:f>IF(COUNT(J137:O137)&lt;6,"",J137*5+K137*4+M137*4+L137*3+N137*2+O137*2)</x:f>
        <x:v>97</x:v>
      </x:c>
      <x:c r="R137" s="14" t="str">
        <x:v>medium</x:v>
      </x:c>
      <x:c r="S137" s="14" t="str">
        <x:v>historical_research_2026-07-28</x:v>
      </x:c>
      <x:c r="T137" s="14" t="str">
        <x:v>historical_official_research</x:v>
      </x:c>
      <x:c r="U137" s="14" t="str">
        <x:v>Надіслано 28.07 — follow-up</x:v>
      </x:c>
      <x:c r="V137" s="15" t="str">
        <x:v>Follow-up з review-link; далі попросити 1 анонімізований артефакт</x:v>
      </x:c>
      <x:c r="W137" s="15" t="str">
        <x:v>Власник / директор; керівник ПТО</x:v>
      </x:c>
      <x:c r="X137" s="15" t="str">
        <x:v>Повний цикл від проєктування до введення: зовнішній водопровід, напірна/самопливна/зливова каналізація, КНС і резервуари.</x:v>
      </x:c>
      <x:c r="Y137" s="15" t="str">
        <x:v>Глибокі траншеї, ухили, стики, випробування й виконавчі схеми мають бути прийняті до закриття.</x:v>
      </x:c>
      <x:c r="Z137" s="15" t="str">
        <x:v>https://www.project-wc.kiev.ua/</x:v>
      </x:c>
      <x:c r="AA137" s="14" t="str"/>
      <x:c r="AB137" s="14" t="str">
        <x:v>2026-07-28</x:v>
      </x:c>
      <x:c r="AC137" s="14" t="str">
        <x:v>Олександр</x:v>
      </x:c>
      <x:c r="AD137" s="18" t="str"/>
      <x:c r="AE137" s="14" t="str"/>
    </x:row>
    <x:row r="138">
      <x:c r="A138" s="14" t="str">
        <x:v>V3-047</x:v>
      </x:c>
      <x:c r="B138" s="14" t="str">
        <x:v>Досліджено 28.07</x:v>
      </x:c>
      <x:c r="C138" s="14" t="str">
        <x:v>VIK</x:v>
      </x:c>
      <x:c r="D138" s="14" t="str">
        <x:v>Зовнішні мережі</x:v>
      </x:c>
      <x:c r="E138" s="14" t="str">
        <x:v>Later / requirements</x:v>
      </x:c>
      <x:c r="F138" s="17" t="str">
        <x:f>IF(E138="Pilot now",IF(P138&gt;=84,"P1",IF(P138&gt;=72,"P2","P3")),IF(E138="Expansion discovery",IF(Q138&gt;=88,"D1",IF(Q138&gt;=78,"D2","D3")),IF(E138="Later / requirements","L","Legacy")))</x:f>
        <x:v>L</x:v>
      </x:c>
      <x:c r="G138" s="14" t="str">
        <x:v>vik.com.ua</x:v>
      </x:c>
      <x:c r="H138" s="14" t="str">
        <x:v>Пізніше — вимоги проєкту</x:v>
      </x:c>
      <x:c r="I138" s="16" t="n">
        <x:v>1</x:v>
      </x:c>
      <x:c r="J138" s="16" t="n">
        <x:v>5</x:v>
      </x:c>
      <x:c r="K138" s="16" t="n">
        <x:v>5</x:v>
      </x:c>
      <x:c r="L138" s="16" t="n">
        <x:v>4</x:v>
      </x:c>
      <x:c r="M138" s="16" t="n">
        <x:v>5</x:v>
      </x:c>
      <x:c r="N138" s="16" t="n">
        <x:v>5</x:v>
      </x:c>
      <x:c r="O138" s="16" t="n">
        <x:v>5</x:v>
      </x:c>
      <x:c r="P138" s="16" t="n">
        <x:f>IF(COUNT(I138:O138)&lt;7,"",I138*8+J138*3+K138*2+L138*2+M138*2+N138*2+O138)</x:f>
        <x:v>66</x:v>
      </x:c>
      <x:c r="Q138" s="16" t="n">
        <x:f>IF(COUNT(J138:O138)&lt;6,"",J138*5+K138*4+M138*4+L138*3+N138*2+O138*2)</x:f>
        <x:v>97</x:v>
      </x:c>
      <x:c r="R138" s="14" t="str">
        <x:v>medium</x:v>
      </x:c>
      <x:c r="S138" s="14" t="str">
        <x:v>historical_research_2026-07-28</x:v>
      </x:c>
      <x:c r="T138" s="14" t="str">
        <x:v>historical_official_research</x:v>
      </x:c>
      <x:c r="U138" s="14" t="str">
        <x:v>Надіслано 28.07 — follow-up</x:v>
      </x:c>
      <x:c r="V138" s="15" t="str">
        <x:v>Follow-up з review-link; далі попросити 1 анонімізований артефакт</x:v>
      </x:c>
      <x:c r="W138" s="15" t="str">
        <x:v>Власник / директор; керівник ПТО</x:v>
      </x:c>
      <x:c r="X138" s="15" t="str">
        <x:v>Проєктування, будівництво й реконструкція мереж водопостачання/каналізації, насосних станцій і дренажу.</x:v>
      </x:c>
      <x:c r="Y138" s="15" t="str">
        <x:v>Трубопроводи, колодязі, КНС і дренажні системи вимагають поетапних актів та випробувань до засипання.</x:v>
      </x:c>
      <x:c r="Z138" s="15" t="str">
        <x:v>https://vik.com.ua/pages/view/proektuvannya</x:v>
      </x:c>
      <x:c r="AA138" s="14" t="str"/>
      <x:c r="AB138" s="14" t="str">
        <x:v>2026-07-28</x:v>
      </x:c>
      <x:c r="AC138" s="14" t="str">
        <x:v>Олександр</x:v>
      </x:c>
      <x:c r="AD138" s="18" t="str"/>
      <x:c r="AE138" s="14" t="str"/>
    </x:row>
    <x:row r="139">
      <x:c r="A139" s="14" t="str">
        <x:v>V3-043</x:v>
      </x:c>
      <x:c r="B139" s="14" t="str">
        <x:v>Досліджено 28.07</x:v>
      </x:c>
      <x:c r="C139" s="14" t="str">
        <x:v>ТОВ «БМК «МІСТО ГРУП»</x:v>
      </x:c>
      <x:c r="D139" s="14" t="str">
        <x:v>Зовнішні мережі</x:v>
      </x:c>
      <x:c r="E139" s="14" t="str">
        <x:v>Later / requirements</x:v>
      </x:c>
      <x:c r="F139" s="17" t="str">
        <x:f>IF(E139="Pilot now",IF(P139&gt;=84,"P1",IF(P139&gt;=72,"P2","P3")),IF(E139="Expansion discovery",IF(Q139&gt;=88,"D1",IF(Q139&gt;=78,"D2","D3")),IF(E139="Later / requirements","L","Legacy")))</x:f>
        <x:v>L</x:v>
      </x:c>
      <x:c r="G139" s="14" t="str">
        <x:v>bmk-misto.com.ua</x:v>
      </x:c>
      <x:c r="H139" s="14" t="str">
        <x:v>Пізніше — вимоги проєкту</x:v>
      </x:c>
      <x:c r="I139" s="16" t="n">
        <x:v>1</x:v>
      </x:c>
      <x:c r="J139" s="16" t="n">
        <x:v>5</x:v>
      </x:c>
      <x:c r="K139" s="16" t="n">
        <x:v>5</x:v>
      </x:c>
      <x:c r="L139" s="16" t="n">
        <x:v>4</x:v>
      </x:c>
      <x:c r="M139" s="16" t="n">
        <x:v>4</x:v>
      </x:c>
      <x:c r="N139" s="16" t="n">
        <x:v>5</x:v>
      </x:c>
      <x:c r="O139" s="16" t="n">
        <x:v>5</x:v>
      </x:c>
      <x:c r="P139" s="16" t="n">
        <x:f>IF(COUNT(I139:O139)&lt;7,"",I139*8+J139*3+K139*2+L139*2+M139*2+N139*2+O139)</x:f>
        <x:v>64</x:v>
      </x:c>
      <x:c r="Q139" s="16" t="n">
        <x:f>IF(COUNT(J139:O139)&lt;6,"",J139*5+K139*4+M139*4+L139*3+N139*2+O139*2)</x:f>
        <x:v>93</x:v>
      </x:c>
      <x:c r="R139" s="14" t="str">
        <x:v>medium</x:v>
      </x:c>
      <x:c r="S139" s="14" t="str">
        <x:v>historical_research_2026-07-28</x:v>
      </x:c>
      <x:c r="T139" s="14" t="str">
        <x:v>historical_official_research</x:v>
      </x:c>
      <x:c r="U139" s="14" t="str">
        <x:v>Надіслано 28.07 — follow-up</x:v>
      </x:c>
      <x:c r="V139" s="15" t="str">
        <x:v>Follow-up з review-link; далі попросити 1 анонімізований артефакт</x:v>
      </x:c>
      <x:c r="W139" s="15" t="str">
        <x:v>Власник / директор; керівник ПТО</x:v>
      </x:c>
      <x:c r="X139" s="15" t="str">
        <x:v>Будівництво, реконструкція й ремонт зовнішніх мереж; труби до 1600 мм, колодязі, КНС, гідравлічні випробування.</x:v>
      </x:c>
      <x:c r="Y139" s="15" t="str">
        <x:v>Проєктні відмітки, стики труб, основи колодязів і випробування треба прийняти до засипання траншей.</x:v>
      </x:c>
      <x:c r="Z139" s="15" t="str">
        <x:v>https://bmk-misto.com.ua/merejy-vodopostachannya-i-vodovidvedennya</x:v>
      </x:c>
      <x:c r="AA139" s="14" t="str">
        <x:v>45989415</x:v>
      </x:c>
      <x:c r="AB139" s="14" t="str">
        <x:v>2026-07-28</x:v>
      </x:c>
      <x:c r="AC139" s="14" t="str">
        <x:v>Олександр</x:v>
      </x:c>
      <x:c r="AD139" s="18" t="str"/>
      <x:c r="AE139" s="14" t="str"/>
    </x:row>
    <x:row r="140">
      <x:c r="A140" s="14" t="str">
        <x:v>AUG-006</x:v>
      </x:c>
      <x:c r="B140" s="14" t="str">
        <x:v>Перевірено 51 — 24.08</x:v>
      </x:c>
      <x:c r="C140" s="14" t="str">
        <x:v>BVKS</x:v>
      </x:c>
      <x:c r="D140" s="14" t="str">
        <x:v>Зовнішні мережі</x:v>
      </x:c>
      <x:c r="E140" s="14" t="str">
        <x:v>Later / requirements</x:v>
      </x:c>
      <x:c r="F140" s="17" t="str">
        <x:f>IF(E140="Pilot now",IF(P140&gt;=84,"P1",IF(P140&gt;=72,"P2","P3")),IF(E140="Expansion discovery",IF(Q140&gt;=88,"D1",IF(Q140&gt;=78,"D2","D3")),IF(E140="Later / requirements","L","Legacy")))</x:f>
        <x:v>L</x:v>
      </x:c>
      <x:c r="G140" s="14" t="str">
        <x:v>bvks.com.ua</x:v>
      </x:c>
      <x:c r="H140" s="14" t="str">
        <x:v>Пізніше — вимоги проєкту</x:v>
      </x:c>
      <x:c r="I140" s="16" t="n">
        <x:v>2</x:v>
      </x:c>
      <x:c r="J140" s="16" t="n">
        <x:v>5</x:v>
      </x:c>
      <x:c r="K140" s="16" t="n">
        <x:v>5</x:v>
      </x:c>
      <x:c r="L140" s="16" t="n">
        <x:v>2</x:v>
      </x:c>
      <x:c r="M140" s="16" t="n">
        <x:v>3</x:v>
      </x:c>
      <x:c r="N140" s="16" t="n">
        <x:v>4</x:v>
      </x:c>
      <x:c r="O140" s="16" t="n">
        <x:v>5</x:v>
      </x:c>
      <x:c r="P140" s="16" t="n">
        <x:f>IF(COUNT(I140:O140)&lt;7,"",I140*8+J140*3+K140*2+L140*2+M140*2+N140*2+O140)</x:f>
        <x:v>64</x:v>
      </x:c>
      <x:c r="Q140" s="16" t="n">
        <x:f>IF(COUNT(J140:O140)&lt;6,"",J140*5+K140*4+M140*4+L140*3+N140*2+O140*2)</x:f>
        <x:v>81</x:v>
      </x:c>
      <x:c r="R140" s="14" t="str">
        <x:v>high</x:v>
      </x:c>
      <x:c r="S140" s="14" t="str">
        <x:v>official_source_reverified</x:v>
      </x:c>
      <x:c r="T140" s="14" t="str">
        <x:v>official_source_reachable</x:v>
      </x:c>
      <x:c r="U140" s="14" t="str">
        <x:v>Новий — не контактували</x:v>
      </x:c>
      <x:c r="V140" s="15" t="str">
        <x:v>Discovery-call: перевірити процес і отримати вимоги конкретного проєкту</x:v>
      </x:c>
      <x:c r="W140" s="15" t="str">
        <x:v>Владелец; начальник участка</x:v>
      </x:c>
      <x:c r="X140" s="15" t="str">
        <x:v>Строительство и модернизация наружных водопроводно-канализационных сетей и ГНБ.</x:v>
      </x:c>
      <x:c r="Y140" s="15" t="str">
        <x:v>Трубопроводы и проколы становятся недоступны после засыпки, но текущая библиотека требований их прямо не покрывает.</x:v>
      </x:c>
      <x:c r="Z140" s="15" t="str">
        <x:v>https://bvks.com.ua/</x:v>
      </x:c>
      <x:c r="AA140" s="14" t="str"/>
      <x:c r="AB140" s="14" t="str">
        <x:v>2026-08-24</x:v>
      </x:c>
      <x:c r="AC140" s="14" t="str">
        <x:v>Олександр</x:v>
      </x:c>
      <x:c r="AD140" s="18" t="str"/>
      <x:c r="AE140" s="14" t="str"/>
    </x:row>
    <x:row r="141">
      <x:c r="A141" s="14" t="str">
        <x:v>V3-046</x:v>
      </x:c>
      <x:c r="B141" s="14" t="str">
        <x:v>Досліджено 28.07</x:v>
      </x:c>
      <x:c r="C141" s="14" t="str">
        <x:v>MIDA Energy</x:v>
      </x:c>
      <x:c r="D141" s="14" t="str">
        <x:v>Зовнішні мережі</x:v>
      </x:c>
      <x:c r="E141" s="14" t="str">
        <x:v>Later / requirements</x:v>
      </x:c>
      <x:c r="F141" s="17" t="str">
        <x:f>IF(E141="Pilot now",IF(P141&gt;=84,"P1",IF(P141&gt;=72,"P2","P3")),IF(E141="Expansion discovery",IF(Q141&gt;=88,"D1",IF(Q141&gt;=78,"D2","D3")),IF(E141="Later / requirements","L","Legacy")))</x:f>
        <x:v>L</x:v>
      </x:c>
      <x:c r="G141" s="14" t="str">
        <x:v>midaenergy.com.ua</x:v>
      </x:c>
      <x:c r="H141" s="14" t="str">
        <x:v>Пізніше — вимоги проєкту</x:v>
      </x:c>
      <x:c r="I141" s="16" t="n">
        <x:v>1</x:v>
      </x:c>
      <x:c r="J141" s="16" t="n">
        <x:v>5</x:v>
      </x:c>
      <x:c r="K141" s="16" t="n">
        <x:v>5</x:v>
      </x:c>
      <x:c r="L141" s="16" t="n">
        <x:v>4</x:v>
      </x:c>
      <x:c r="M141" s="16" t="n">
        <x:v>4</x:v>
      </x:c>
      <x:c r="N141" s="16" t="n">
        <x:v>5</x:v>
      </x:c>
      <x:c r="O141" s="16" t="n">
        <x:v>5</x:v>
      </x:c>
      <x:c r="P141" s="16" t="n">
        <x:f>IF(COUNT(I141:O141)&lt;7,"",I141*8+J141*3+K141*2+L141*2+M141*2+N141*2+O141)</x:f>
        <x:v>64</x:v>
      </x:c>
      <x:c r="Q141" s="16" t="n">
        <x:f>IF(COUNT(J141:O141)&lt;6,"",J141*5+K141*4+M141*4+L141*3+N141*2+O141*2)</x:f>
        <x:v>93</x:v>
      </x:c>
      <x:c r="R141" s="14" t="str">
        <x:v>medium</x:v>
      </x:c>
      <x:c r="S141" s="14" t="str">
        <x:v>historical_research_2026-07-28</x:v>
      </x:c>
      <x:c r="T141" s="14" t="str">
        <x:v>historical_official_research</x:v>
      </x:c>
      <x:c r="U141" s="14" t="str">
        <x:v>Надіслано 28.07 — follow-up</x:v>
      </x:c>
      <x:c r="V141" s="15" t="str">
        <x:v>Follow-up з review-link; далі попросити 1 анонімізований артефакт</x:v>
      </x:c>
      <x:c r="W141" s="15" t="str">
        <x:v>Власник / директор; керівник ПТО</x:v>
      </x:c>
      <x:c r="X141" s="15" t="str">
        <x:v>Монтаж зовнішніх мереж газу, води, тепла, електрики, каналізації, вентиляції та зв’язку.</x:v>
      </x:c>
      <x:c r="Y141" s="15" t="str">
        <x:v>Різнотипні комунікації створюють багато прихованих переходів, перетинів, випробувань та актів.</x:v>
      </x:c>
      <x:c r="Z141" s="15" t="str">
        <x:v>https://midaenergy.com.ua/services/prokladannja-zovnishnih-inzhenernyh-merezh/</x:v>
      </x:c>
      <x:c r="AA141" s="14" t="str"/>
      <x:c r="AB141" s="14" t="str">
        <x:v>2026-07-28</x:v>
      </x:c>
      <x:c r="AC141" s="14" t="str">
        <x:v>Олександр</x:v>
      </x:c>
      <x:c r="AD141" s="18" t="str"/>
      <x:c r="AE141" s="14" t="str"/>
    </x:row>
    <x:row r="142">
      <x:c r="A142" s="14" t="str">
        <x:v>V2-015</x:v>
      </x:c>
      <x:c r="B142" s="14" t="str">
        <x:v>Legacy 28</x:v>
      </x:c>
      <x:c r="C142" s="14" t="str">
        <x:v>Блок Майстер Україна</x:v>
      </x:c>
      <x:c r="D142" s="14" t="str">
        <x:v>Сонячна енергетика</x:v>
      </x:c>
      <x:c r="E142" s="14" t="str">
        <x:v>Requalify</x:v>
      </x:c>
      <x:c r="F142" s="17" t="str">
        <x:f>IF(E142="Pilot now",IF(P142&gt;=84,"P1",IF(P142&gt;=72,"P2","P3")),IF(E142="Expansion discovery",IF(Q142&gt;=88,"D1",IF(Q142&gt;=78,"D2","D3")),IF(E142="Later / requirements","L","Legacy")))</x:f>
        <x:v>Legacy</x:v>
      </x:c>
      <x:c r="G142" s="14" t="str">
        <x:v>blockmaster.com.ua</x:v>
      </x:c>
      <x:c r="H142" s="14" t="str">
        <x:v>Перекваліфікувати</x:v>
      </x:c>
      <x:c r="I142" s="16" t="str"/>
      <x:c r="J142" s="16" t="str"/>
      <x:c r="K142" s="16" t="str"/>
      <x:c r="L142" s="16" t="str"/>
      <x:c r="M142" s="16" t="str"/>
      <x:c r="N142" s="16" t="str"/>
      <x:c r="O142" s="16" t="str"/>
      <x:c r="P142" s="16" t="str">
        <x:f>IF(COUNT(I142:O142)&lt;7,"",I142*8+J142*3+K142*2+L142*2+M142*2+N142*2+O142)</x:f>
      </x:c>
      <x:c r="Q142" s="16" t="str">
        <x:f>IF(COUNT(J142:O142)&lt;6,"",J142*5+K142*4+M142*4+L142*3+N142*2+O142*2)</x:f>
      </x:c>
      <x:c r="R142" s="14" t="str">
        <x:v>low</x:v>
      </x:c>
      <x:c r="S142" s="14" t="str">
        <x:v>needs_full_reverification</x:v>
      </x:c>
      <x:c r="T142" s="14" t="str">
        <x:v>legacy_not_reverified</x:v>
      </x:c>
      <x:c r="U142" s="14" t="str">
        <x:v>Потрібна повторна перевірка</x:v>
      </x:c>
      <x:c r="V142" s="15" t="str">
        <x:v>Повністю перевірити сайт і поточний проєкт перед контактом</x:v>
      </x:c>
      <x:c r="W142" s="15" t="str">
        <x:v>Власник / директор; керівник ПТО</x:v>
      </x:c>
      <x:c r="X142" s="15" t="str">
        <x:v>Legacy-запис потребує повторної публічної перевірки.</x:v>
      </x:c>
      <x:c r="Y142" s="15" t="str">
        <x:v>Уточнити, які етапи та докази стають недоступними після закриття робіт.</x:v>
      </x:c>
      <x:c r="Z142" s="15" t="str">
        <x:v>https://blockmaster.com.ua</x:v>
      </x:c>
      <x:c r="AA142" s="14" t="str">
        <x:v>36387055</x:v>
      </x:c>
      <x:c r="AB142" s="14" t="str"/>
      <x:c r="AC142" s="14" t="str">
        <x:v>Олександр</x:v>
      </x:c>
      <x:c r="AD142" s="18" t="str"/>
      <x:c r="AE142" s="14" t="str"/>
    </x:row>
    <x:row r="143">
      <x:c r="A143" s="14" t="str">
        <x:v>V2-004</x:v>
      </x:c>
      <x:c r="B143" s="14" t="str">
        <x:v>Legacy 28</x:v>
      </x:c>
      <x:c r="C143" s="14" t="str">
        <x:v>ІБК «Енергокапітал»</x:v>
      </x:c>
      <x:c r="D143" s="14" t="str">
        <x:v>Електромонтаж</x:v>
      </x:c>
      <x:c r="E143" s="14" t="str">
        <x:v>Requalify</x:v>
      </x:c>
      <x:c r="F143" s="17" t="str">
        <x:f>IF(E143="Pilot now",IF(P143&gt;=84,"P1",IF(P143&gt;=72,"P2","P3")),IF(E143="Expansion discovery",IF(Q143&gt;=88,"D1",IF(Q143&gt;=78,"D2","D3")),IF(E143="Later / requirements","L","Legacy")))</x:f>
        <x:v>Legacy</x:v>
      </x:c>
      <x:c r="G143" s="14" t="str">
        <x:v>ibkenergo.com.ua</x:v>
      </x:c>
      <x:c r="H143" s="14" t="str">
        <x:v>Перекваліфікувати</x:v>
      </x:c>
      <x:c r="I143" s="16" t="str"/>
      <x:c r="J143" s="16" t="str"/>
      <x:c r="K143" s="16" t="str"/>
      <x:c r="L143" s="16" t="str"/>
      <x:c r="M143" s="16" t="str"/>
      <x:c r="N143" s="16" t="str"/>
      <x:c r="O143" s="16" t="str"/>
      <x:c r="P143" s="16" t="str">
        <x:f>IF(COUNT(I143:O143)&lt;7,"",I143*8+J143*3+K143*2+L143*2+M143*2+N143*2+O143)</x:f>
      </x:c>
      <x:c r="Q143" s="16" t="str">
        <x:f>IF(COUNT(J143:O143)&lt;6,"",J143*5+K143*4+M143*4+L143*3+N143*2+O143*2)</x:f>
      </x:c>
      <x:c r="R143" s="14" t="str">
        <x:v>low</x:v>
      </x:c>
      <x:c r="S143" s="14" t="str">
        <x:v>needs_full_reverification</x:v>
      </x:c>
      <x:c r="T143" s="14" t="str">
        <x:v>legacy_not_reverified</x:v>
      </x:c>
      <x:c r="U143" s="14" t="str">
        <x:v>Потрібна повторна перевірка</x:v>
      </x:c>
      <x:c r="V143" s="15" t="str">
        <x:v>Повністю перевірити сайт і поточний проєкт перед контактом</x:v>
      </x:c>
      <x:c r="W143" s="15" t="str">
        <x:v>Власник / директор; керівник ПТО</x:v>
      </x:c>
      <x:c r="X143" s="15" t="str">
        <x:v>Legacy-запис потребує повторної публічної перевірки.</x:v>
      </x:c>
      <x:c r="Y143" s="15" t="str">
        <x:v>Уточнити, які етапи та докази стають недоступними після закриття робіт.</x:v>
      </x:c>
      <x:c r="Z143" s="15" t="str">
        <x:v>https://ibkenergo.com.ua</x:v>
      </x:c>
      <x:c r="AA143" s="14" t="str">
        <x:v>39001787</x:v>
      </x:c>
      <x:c r="AB143" s="14" t="str"/>
      <x:c r="AC143" s="14" t="str">
        <x:v>Олександр</x:v>
      </x:c>
      <x:c r="AD143" s="18" t="str"/>
      <x:c r="AE143" s="14" t="str"/>
    </x:row>
    <x:row r="144">
      <x:c r="A144" s="14" t="str">
        <x:v>V2-016</x:v>
      </x:c>
      <x:c r="B144" s="14" t="str">
        <x:v>Legacy 28</x:v>
      </x:c>
      <x:c r="C144" s="14" t="str">
        <x:v>Компанія «РЕЙДЕН»</x:v>
      </x:c>
      <x:c r="D144" s="14" t="str">
        <x:v>Електромонтаж</x:v>
      </x:c>
      <x:c r="E144" s="14" t="str">
        <x:v>Requalify</x:v>
      </x:c>
      <x:c r="F144" s="17" t="str">
        <x:f>IF(E144="Pilot now",IF(P144&gt;=84,"P1",IF(P144&gt;=72,"P2","P3")),IF(E144="Expansion discovery",IF(Q144&gt;=88,"D1",IF(Q144&gt;=78,"D2","D3")),IF(E144="Later / requirements","L","Legacy")))</x:f>
        <x:v>Legacy</x:v>
      </x:c>
      <x:c r="G144" s="14" t="str">
        <x:v>raiden.com.ua</x:v>
      </x:c>
      <x:c r="H144" s="14" t="str">
        <x:v>Перекваліфікувати</x:v>
      </x:c>
      <x:c r="I144" s="16" t="str"/>
      <x:c r="J144" s="16" t="str"/>
      <x:c r="K144" s="16" t="str"/>
      <x:c r="L144" s="16" t="str"/>
      <x:c r="M144" s="16" t="str"/>
      <x:c r="N144" s="16" t="str"/>
      <x:c r="O144" s="16" t="str"/>
      <x:c r="P144" s="16" t="str">
        <x:f>IF(COUNT(I144:O144)&lt;7,"",I144*8+J144*3+K144*2+L144*2+M144*2+N144*2+O144)</x:f>
      </x:c>
      <x:c r="Q144" s="16" t="str">
        <x:f>IF(COUNT(J144:O144)&lt;6,"",J144*5+K144*4+M144*4+L144*3+N144*2+O144*2)</x:f>
      </x:c>
      <x:c r="R144" s="14" t="str">
        <x:v>low</x:v>
      </x:c>
      <x:c r="S144" s="14" t="str">
        <x:v>needs_full_reverification</x:v>
      </x:c>
      <x:c r="T144" s="14" t="str">
        <x:v>legacy_not_reverified</x:v>
      </x:c>
      <x:c r="U144" s="14" t="str">
        <x:v>Потрібна повторна перевірка</x:v>
      </x:c>
      <x:c r="V144" s="15" t="str">
        <x:v>Повністю перевірити сайт і поточний проєкт перед контактом</x:v>
      </x:c>
      <x:c r="W144" s="15" t="str">
        <x:v>Власник / директор; керівник ПТО</x:v>
      </x:c>
      <x:c r="X144" s="15" t="str">
        <x:v>Legacy-запис потребує повторної публічної перевірки.</x:v>
      </x:c>
      <x:c r="Y144" s="15" t="str">
        <x:v>Уточнити, які етапи та докази стають недоступними після закриття робіт.</x:v>
      </x:c>
      <x:c r="Z144" s="15" t="str">
        <x:v>https://raiden.com.ua</x:v>
      </x:c>
      <x:c r="AA144" s="14" t="str">
        <x:v>41162259</x:v>
      </x:c>
      <x:c r="AB144" s="14" t="str"/>
      <x:c r="AC144" s="14" t="str">
        <x:v>Олександр</x:v>
      </x:c>
      <x:c r="AD144" s="18" t="str"/>
      <x:c r="AE144" s="14" t="str"/>
    </x:row>
    <x:row r="145">
      <x:c r="A145" s="14" t="str">
        <x:v>V2-002</x:v>
      </x:c>
      <x:c r="B145" s="14" t="str">
        <x:v>Legacy 28</x:v>
      </x:c>
      <x:c r="C145" s="14" t="str">
        <x:v>НВП «Інтеренерго»</x:v>
      </x:c>
      <x:c r="D145" s="14" t="str">
        <x:v>Сервіс / експлуатація</x:v>
      </x:c>
      <x:c r="E145" s="14" t="str">
        <x:v>Requalify</x:v>
      </x:c>
      <x:c r="F145" s="17" t="str">
        <x:f>IF(E145="Pilot now",IF(P145&gt;=84,"P1",IF(P145&gt;=72,"P2","P3")),IF(E145="Expansion discovery",IF(Q145&gt;=88,"D1",IF(Q145&gt;=78,"D2","D3")),IF(E145="Later / requirements","L","Legacy")))</x:f>
        <x:v>Legacy</x:v>
      </x:c>
      <x:c r="G145" s="14" t="str">
        <x:v>interenergo.net</x:v>
      </x:c>
      <x:c r="H145" s="14" t="str">
        <x:v>Перекваліфікувати</x:v>
      </x:c>
      <x:c r="I145" s="16" t="str"/>
      <x:c r="J145" s="16" t="str"/>
      <x:c r="K145" s="16" t="str"/>
      <x:c r="L145" s="16" t="str"/>
      <x:c r="M145" s="16" t="str"/>
      <x:c r="N145" s="16" t="str"/>
      <x:c r="O145" s="16" t="str"/>
      <x:c r="P145" s="16" t="str">
        <x:f>IF(COUNT(I145:O145)&lt;7,"",I145*8+J145*3+K145*2+L145*2+M145*2+N145*2+O145)</x:f>
      </x:c>
      <x:c r="Q145" s="16" t="str">
        <x:f>IF(COUNT(J145:O145)&lt;6,"",J145*5+K145*4+M145*4+L145*3+N145*2+O145*2)</x:f>
      </x:c>
      <x:c r="R145" s="14" t="str">
        <x:v>low</x:v>
      </x:c>
      <x:c r="S145" s="14" t="str">
        <x:v>needs_full_reverification</x:v>
      </x:c>
      <x:c r="T145" s="14" t="str">
        <x:v>legacy_not_reverified</x:v>
      </x:c>
      <x:c r="U145" s="14" t="str">
        <x:v>Потрібна повторна перевірка</x:v>
      </x:c>
      <x:c r="V145" s="15" t="str">
        <x:v>Повністю перевірити сайт і поточний проєкт перед контактом</x:v>
      </x:c>
      <x:c r="W145" s="15" t="str">
        <x:v>Власник / директор; керівник ПТО</x:v>
      </x:c>
      <x:c r="X145" s="15" t="str">
        <x:v>Legacy-запис потребує повторної публічної перевірки.</x:v>
      </x:c>
      <x:c r="Y145" s="15" t="str">
        <x:v>Уточнити, які етапи та докази стають недоступними після закриття робіт.</x:v>
      </x:c>
      <x:c r="Z145" s="15" t="str">
        <x:v>https://interenergo.net</x:v>
      </x:c>
      <x:c r="AA145" s="14" t="str">
        <x:v>33291690</x:v>
      </x:c>
      <x:c r="AB145" s="14" t="str"/>
      <x:c r="AC145" s="14" t="str">
        <x:v>Олександр</x:v>
      </x:c>
      <x:c r="AD145" s="18" t="str"/>
      <x:c r="AE145" s="14" t="str"/>
    </x:row>
    <x:row r="146">
      <x:c r="A146" s="14" t="str">
        <x:v>V2-008</x:v>
      </x:c>
      <x:c r="B146" s="14" t="str">
        <x:v>Legacy 28</x:v>
      </x:c>
      <x:c r="C146" s="14" t="str">
        <x:v>Правильне Електроживлення</x:v>
      </x:c>
      <x:c r="D146" s="14" t="str">
        <x:v>Сонячна енергетика</x:v>
      </x:c>
      <x:c r="E146" s="14" t="str">
        <x:v>Requalify</x:v>
      </x:c>
      <x:c r="F146" s="17" t="str">
        <x:f>IF(E146="Pilot now",IF(P146&gt;=84,"P1",IF(P146&gt;=72,"P2","P3")),IF(E146="Expansion discovery",IF(Q146&gt;=88,"D1",IF(Q146&gt;=78,"D2","D3")),IF(E146="Later / requirements","L","Legacy")))</x:f>
        <x:v>Legacy</x:v>
      </x:c>
      <x:c r="G146" s="14" t="str">
        <x:v>sun-energy.com.ua</x:v>
      </x:c>
      <x:c r="H146" s="14" t="str">
        <x:v>Перекваліфікувати</x:v>
      </x:c>
      <x:c r="I146" s="16" t="str"/>
      <x:c r="J146" s="16" t="str"/>
      <x:c r="K146" s="16" t="str"/>
      <x:c r="L146" s="16" t="str"/>
      <x:c r="M146" s="16" t="str"/>
      <x:c r="N146" s="16" t="str"/>
      <x:c r="O146" s="16" t="str"/>
      <x:c r="P146" s="16" t="str">
        <x:f>IF(COUNT(I146:O146)&lt;7,"",I146*8+J146*3+K146*2+L146*2+M146*2+N146*2+O146)</x:f>
      </x:c>
      <x:c r="Q146" s="16" t="str">
        <x:f>IF(COUNT(J146:O146)&lt;6,"",J146*5+K146*4+M146*4+L146*3+N146*2+O146*2)</x:f>
      </x:c>
      <x:c r="R146" s="14" t="str">
        <x:v>low</x:v>
      </x:c>
      <x:c r="S146" s="14" t="str">
        <x:v>needs_full_reverification</x:v>
      </x:c>
      <x:c r="T146" s="14" t="str">
        <x:v>legacy_not_reverified</x:v>
      </x:c>
      <x:c r="U146" s="14" t="str">
        <x:v>Потрібна повторна перевірка</x:v>
      </x:c>
      <x:c r="V146" s="15" t="str">
        <x:v>Повністю перевірити сайт і поточний проєкт перед контактом</x:v>
      </x:c>
      <x:c r="W146" s="15" t="str">
        <x:v>Власник / директор; керівник ПТО</x:v>
      </x:c>
      <x:c r="X146" s="15" t="str">
        <x:v>Legacy-запис потребує повторної публічної перевірки.</x:v>
      </x:c>
      <x:c r="Y146" s="15" t="str">
        <x:v>Уточнити, які етапи та докази стають недоступними після закриття робіт.</x:v>
      </x:c>
      <x:c r="Z146" s="15" t="str">
        <x:v>https://sun-energy.com.ua</x:v>
      </x:c>
      <x:c r="AA146" s="14" t="str"/>
      <x:c r="AB146" s="14" t="str"/>
      <x:c r="AC146" s="14" t="str">
        <x:v>Олександр</x:v>
      </x:c>
      <x:c r="AD146" s="18" t="str"/>
      <x:c r="AE146" s="14" t="str"/>
    </x:row>
    <x:row r="147">
      <x:c r="A147" s="14" t="str">
        <x:v>V2-027</x:v>
      </x:c>
      <x:c r="B147" s="14" t="str">
        <x:v>Legacy 28</x:v>
      </x:c>
      <x:c r="C147" s="14" t="str">
        <x:v>ПРИВАТНЕ ПІДПРИЄМСТВО "ЗАХІДЕНЕРГОМОНТАЖ"</x:v>
      </x:c>
      <x:c r="D147" s="14" t="str">
        <x:v>Електромонтаж</x:v>
      </x:c>
      <x:c r="E147" s="14" t="str">
        <x:v>Requalify</x:v>
      </x:c>
      <x:c r="F147" s="17" t="str">
        <x:f>IF(E147="Pilot now",IF(P147&gt;=84,"P1",IF(P147&gt;=72,"P2","P3")),IF(E147="Expansion discovery",IF(Q147&gt;=88,"D1",IF(Q147&gt;=78,"D2","D3")),IF(E147="Later / requirements","L","Legacy")))</x:f>
        <x:v>Legacy</x:v>
      </x:c>
      <x:c r="G147" s="14" t="str">
        <x:v>zem-energo.com.ua</x:v>
      </x:c>
      <x:c r="H147" s="14" t="str">
        <x:v>Перекваліфікувати</x:v>
      </x:c>
      <x:c r="I147" s="16" t="str"/>
      <x:c r="J147" s="16" t="str"/>
      <x:c r="K147" s="16" t="str"/>
      <x:c r="L147" s="16" t="str"/>
      <x:c r="M147" s="16" t="str"/>
      <x:c r="N147" s="16" t="str"/>
      <x:c r="O147" s="16" t="str"/>
      <x:c r="P147" s="16" t="str">
        <x:f>IF(COUNT(I147:O147)&lt;7,"",I147*8+J147*3+K147*2+L147*2+M147*2+N147*2+O147)</x:f>
      </x:c>
      <x:c r="Q147" s="16" t="str">
        <x:f>IF(COUNT(J147:O147)&lt;6,"",J147*5+K147*4+M147*4+L147*3+N147*2+O147*2)</x:f>
      </x:c>
      <x:c r="R147" s="14" t="str">
        <x:v>low</x:v>
      </x:c>
      <x:c r="S147" s="14" t="str">
        <x:v>needs_full_reverification</x:v>
      </x:c>
      <x:c r="T147" s="14" t="str">
        <x:v>legacy_not_reverified</x:v>
      </x:c>
      <x:c r="U147" s="14" t="str">
        <x:v>Потрібна повторна перевірка</x:v>
      </x:c>
      <x:c r="V147" s="15" t="str">
        <x:v>Повністю перевірити сайт і поточний проєкт перед контактом</x:v>
      </x:c>
      <x:c r="W147" s="15" t="str">
        <x:v>Власник / директор; керівник ПТО</x:v>
      </x:c>
      <x:c r="X147" s="15" t="str">
        <x:v>Legacy-запис потребує повторної публічної перевірки.</x:v>
      </x:c>
      <x:c r="Y147" s="15" t="str">
        <x:v>Уточнити, які етапи та докази стають недоступними після закриття робіт.</x:v>
      </x:c>
      <x:c r="Z147" s="15" t="str">
        <x:v>https://zem-energo.com.ua</x:v>
      </x:c>
      <x:c r="AA147" s="14" t="str">
        <x:v>36404211</x:v>
      </x:c>
      <x:c r="AB147" s="14" t="str"/>
      <x:c r="AC147" s="14" t="str">
        <x:v>Олександр</x:v>
      </x:c>
      <x:c r="AD147" s="18" t="str"/>
      <x:c r="AE147" s="14" t="str"/>
    </x:row>
    <x:row r="148">
      <x:c r="A148" s="14" t="str">
        <x:v>V2-026</x:v>
      </x:c>
      <x:c r="B148" s="14" t="str">
        <x:v>Legacy 28</x:v>
      </x:c>
      <x:c r="C148" s="14" t="str">
        <x:v>ПРИВАТНЕ ПІДПРИЄМСТВО "ПОЖМАСТЕР"</x:v>
      </x:c>
      <x:c r="D148" s="14" t="str">
        <x:v>Слаботочні системи</x:v>
      </x:c>
      <x:c r="E148" s="14" t="str">
        <x:v>Requalify</x:v>
      </x:c>
      <x:c r="F148" s="17" t="str">
        <x:f>IF(E148="Pilot now",IF(P148&gt;=84,"P1",IF(P148&gt;=72,"P2","P3")),IF(E148="Expansion discovery",IF(Q148&gt;=88,"D1",IF(Q148&gt;=78,"D2","D3")),IF(E148="Later / requirements","L","Legacy")))</x:f>
        <x:v>Legacy</x:v>
      </x:c>
      <x:c r="G148" s="14" t="str">
        <x:v>pozhmaster.com.ua</x:v>
      </x:c>
      <x:c r="H148" s="14" t="str">
        <x:v>Перекваліфікувати</x:v>
      </x:c>
      <x:c r="I148" s="16" t="str"/>
      <x:c r="J148" s="16" t="str"/>
      <x:c r="K148" s="16" t="str"/>
      <x:c r="L148" s="16" t="str"/>
      <x:c r="M148" s="16" t="str"/>
      <x:c r="N148" s="16" t="str"/>
      <x:c r="O148" s="16" t="str"/>
      <x:c r="P148" s="16" t="str">
        <x:f>IF(COUNT(I148:O148)&lt;7,"",I148*8+J148*3+K148*2+L148*2+M148*2+N148*2+O148)</x:f>
      </x:c>
      <x:c r="Q148" s="16" t="str">
        <x:f>IF(COUNT(J148:O148)&lt;6,"",J148*5+K148*4+M148*4+L148*3+N148*2+O148*2)</x:f>
      </x:c>
      <x:c r="R148" s="14" t="str">
        <x:v>low</x:v>
      </x:c>
      <x:c r="S148" s="14" t="str">
        <x:v>needs_full_reverification</x:v>
      </x:c>
      <x:c r="T148" s="14" t="str">
        <x:v>legacy_not_reverified</x:v>
      </x:c>
      <x:c r="U148" s="14" t="str">
        <x:v>Потрібна повторна перевірка</x:v>
      </x:c>
      <x:c r="V148" s="15" t="str">
        <x:v>Повністю перевірити сайт і поточний проєкт перед контактом</x:v>
      </x:c>
      <x:c r="W148" s="15" t="str">
        <x:v>Власник / директор; керівник ПТО</x:v>
      </x:c>
      <x:c r="X148" s="15" t="str">
        <x:v>Legacy-запис потребує повторної публічної перевірки.</x:v>
      </x:c>
      <x:c r="Y148" s="15" t="str">
        <x:v>Уточнити, які етапи та докази стають недоступними після закриття робіт.</x:v>
      </x:c>
      <x:c r="Z148" s="15" t="str">
        <x:v>https://pozhmaster.com.ua</x:v>
      </x:c>
      <x:c r="AA148" s="14" t="str">
        <x:v>36326591</x:v>
      </x:c>
      <x:c r="AB148" s="14" t="str"/>
      <x:c r="AC148" s="14" t="str">
        <x:v>Олександр</x:v>
      </x:c>
      <x:c r="AD148" s="18" t="str"/>
      <x:c r="AE148" s="14" t="str"/>
    </x:row>
    <x:row r="149">
      <x:c r="A149" s="14" t="str">
        <x:v>V2-012</x:v>
      </x:c>
      <x:c r="B149" s="14" t="str">
        <x:v>Legacy 28</x:v>
      </x:c>
      <x:c r="C149" s="14" t="str">
        <x:v>Променергомонтаж</x:v>
      </x:c>
      <x:c r="D149" s="14" t="str">
        <x:v>Сонячна енергетика</x:v>
      </x:c>
      <x:c r="E149" s="14" t="str">
        <x:v>Requalify</x:v>
      </x:c>
      <x:c r="F149" s="17" t="str">
        <x:f>IF(E149="Pilot now",IF(P149&gt;=84,"P1",IF(P149&gt;=72,"P2","P3")),IF(E149="Expansion discovery",IF(Q149&gt;=88,"D1",IF(Q149&gt;=78,"D2","D3")),IF(E149="Later / requirements","L","Legacy")))</x:f>
        <x:v>Legacy</x:v>
      </x:c>
      <x:c r="G149" s="14" t="str">
        <x:v>promenergo.com.ua</x:v>
      </x:c>
      <x:c r="H149" s="14" t="str">
        <x:v>Перекваліфікувати</x:v>
      </x:c>
      <x:c r="I149" s="16" t="str"/>
      <x:c r="J149" s="16" t="str"/>
      <x:c r="K149" s="16" t="str"/>
      <x:c r="L149" s="16" t="str"/>
      <x:c r="M149" s="16" t="str"/>
      <x:c r="N149" s="16" t="str"/>
      <x:c r="O149" s="16" t="str"/>
      <x:c r="P149" s="16" t="str">
        <x:f>IF(COUNT(I149:O149)&lt;7,"",I149*8+J149*3+K149*2+L149*2+M149*2+N149*2+O149)</x:f>
      </x:c>
      <x:c r="Q149" s="16" t="str">
        <x:f>IF(COUNT(J149:O149)&lt;6,"",J149*5+K149*4+M149*4+L149*3+N149*2+O149*2)</x:f>
      </x:c>
      <x:c r="R149" s="14" t="str">
        <x:v>low</x:v>
      </x:c>
      <x:c r="S149" s="14" t="str">
        <x:v>needs_full_reverification</x:v>
      </x:c>
      <x:c r="T149" s="14" t="str">
        <x:v>legacy_not_reverified</x:v>
      </x:c>
      <x:c r="U149" s="14" t="str">
        <x:v>Потрібна повторна перевірка</x:v>
      </x:c>
      <x:c r="V149" s="15" t="str">
        <x:v>Повністю перевірити сайт і поточний проєкт перед контактом</x:v>
      </x:c>
      <x:c r="W149" s="15" t="str">
        <x:v>Власник / директор; керівник ПТО</x:v>
      </x:c>
      <x:c r="X149" s="15" t="str">
        <x:v>Legacy-запис потребує повторної публічної перевірки.</x:v>
      </x:c>
      <x:c r="Y149" s="15" t="str">
        <x:v>Уточнити, які етапи та докази стають недоступними після закриття робіт.</x:v>
      </x:c>
      <x:c r="Z149" s="15" t="str">
        <x:v>https://promenergo.com.ua</x:v>
      </x:c>
      <x:c r="AA149" s="14" t="str"/>
      <x:c r="AB149" s="14" t="str"/>
      <x:c r="AC149" s="14" t="str">
        <x:v>Олександр</x:v>
      </x:c>
      <x:c r="AD149" s="18" t="str"/>
      <x:c r="AE149" s="14" t="str"/>
    </x:row>
    <x:row r="150">
      <x:c r="A150" s="14" t="str">
        <x:v>V2-019</x:v>
      </x:c>
      <x:c r="B150" s="14" t="str">
        <x:v>Legacy 28</x:v>
      </x:c>
      <x:c r="C150" s="14" t="str">
        <x:v>Протипожежна компанія «Брандмауер» (РПТБ)</x:v>
      </x:c>
      <x:c r="D150" s="14" t="str">
        <x:v>Слаботочні системи</x:v>
      </x:c>
      <x:c r="E150" s="14" t="str">
        <x:v>Requalify</x:v>
      </x:c>
      <x:c r="F150" s="17" t="str">
        <x:f>IF(E150="Pilot now",IF(P150&gt;=84,"P1",IF(P150&gt;=72,"P2","P3")),IF(E150="Expansion discovery",IF(Q150&gt;=88,"D1",IF(Q150&gt;=78,"D2","D3")),IF(E150="Later / requirements","L","Legacy")))</x:f>
        <x:v>Legacy</x:v>
      </x:c>
      <x:c r="G150" s="14" t="str">
        <x:v>brandmauer.com.ua</x:v>
      </x:c>
      <x:c r="H150" s="14" t="str">
        <x:v>Перекваліфікувати</x:v>
      </x:c>
      <x:c r="I150" s="16" t="str"/>
      <x:c r="J150" s="16" t="str"/>
      <x:c r="K150" s="16" t="str"/>
      <x:c r="L150" s="16" t="str"/>
      <x:c r="M150" s="16" t="str"/>
      <x:c r="N150" s="16" t="str"/>
      <x:c r="O150" s="16" t="str"/>
      <x:c r="P150" s="16" t="str">
        <x:f>IF(COUNT(I150:O150)&lt;7,"",I150*8+J150*3+K150*2+L150*2+M150*2+N150*2+O150)</x:f>
      </x:c>
      <x:c r="Q150" s="16" t="str">
        <x:f>IF(COUNT(J150:O150)&lt;6,"",J150*5+K150*4+M150*4+L150*3+N150*2+O150*2)</x:f>
      </x:c>
      <x:c r="R150" s="14" t="str">
        <x:v>low</x:v>
      </x:c>
      <x:c r="S150" s="14" t="str">
        <x:v>needs_full_reverification</x:v>
      </x:c>
      <x:c r="T150" s="14" t="str">
        <x:v>legacy_not_reverified</x:v>
      </x:c>
      <x:c r="U150" s="14" t="str">
        <x:v>Потрібна повторна перевірка</x:v>
      </x:c>
      <x:c r="V150" s="15" t="str">
        <x:v>Повністю перевірити сайт і поточний проєкт перед контактом</x:v>
      </x:c>
      <x:c r="W150" s="15" t="str">
        <x:v>Власник / директор; керівник ПТО</x:v>
      </x:c>
      <x:c r="X150" s="15" t="str">
        <x:v>Legacy-запис потребує повторної публічної перевірки.</x:v>
      </x:c>
      <x:c r="Y150" s="15" t="str">
        <x:v>Уточнити, які етапи та докази стають недоступними після закриття робіт.</x:v>
      </x:c>
      <x:c r="Z150" s="15" t="str">
        <x:v>https://brandmauer.com.ua</x:v>
      </x:c>
      <x:c r="AA150" s="14" t="str">
        <x:v>42033798</x:v>
      </x:c>
      <x:c r="AB150" s="14" t="str"/>
      <x:c r="AC150" s="14" t="str">
        <x:v>Олександр</x:v>
      </x:c>
      <x:c r="AD150" s="18" t="str"/>
      <x:c r="AE150" s="14" t="str"/>
    </x:row>
    <x:row r="151">
      <x:c r="A151" s="14" t="str">
        <x:v>V2-022</x:v>
      </x:c>
      <x:c r="B151" s="14" t="str">
        <x:v>Legacy 28</x:v>
      </x:c>
      <x:c r="C151" s="14" t="str">
        <x:v>ТзОВ «Проектлінк»</x:v>
      </x:c>
      <x:c r="D151" s="14" t="str">
        <x:v>Електромонтаж</x:v>
      </x:c>
      <x:c r="E151" s="14" t="str">
        <x:v>Requalify</x:v>
      </x:c>
      <x:c r="F151" s="17" t="str">
        <x:f>IF(E151="Pilot now",IF(P151&gt;=84,"P1",IF(P151&gt;=72,"P2","P3")),IF(E151="Expansion discovery",IF(Q151&gt;=88,"D1",IF(Q151&gt;=78,"D2","D3")),IF(E151="Later / requirements","L","Legacy")))</x:f>
        <x:v>Legacy</x:v>
      </x:c>
      <x:c r="G151" s="14" t="str">
        <x:v>proekt.link</x:v>
      </x:c>
      <x:c r="H151" s="14" t="str">
        <x:v>Перекваліфікувати</x:v>
      </x:c>
      <x:c r="I151" s="16" t="str"/>
      <x:c r="J151" s="16" t="str"/>
      <x:c r="K151" s="16" t="str"/>
      <x:c r="L151" s="16" t="str"/>
      <x:c r="M151" s="16" t="str"/>
      <x:c r="N151" s="16" t="str"/>
      <x:c r="O151" s="16" t="str"/>
      <x:c r="P151" s="16" t="str">
        <x:f>IF(COUNT(I151:O151)&lt;7,"",I151*8+J151*3+K151*2+L151*2+M151*2+N151*2+O151)</x:f>
      </x:c>
      <x:c r="Q151" s="16" t="str">
        <x:f>IF(COUNT(J151:O151)&lt;6,"",J151*5+K151*4+M151*4+L151*3+N151*2+O151*2)</x:f>
      </x:c>
      <x:c r="R151" s="14" t="str">
        <x:v>low</x:v>
      </x:c>
      <x:c r="S151" s="14" t="str">
        <x:v>needs_full_reverification</x:v>
      </x:c>
      <x:c r="T151" s="14" t="str">
        <x:v>legacy_not_reverified</x:v>
      </x:c>
      <x:c r="U151" s="14" t="str">
        <x:v>Потрібна повторна перевірка</x:v>
      </x:c>
      <x:c r="V151" s="15" t="str">
        <x:v>Повністю перевірити сайт і поточний проєкт перед контактом</x:v>
      </x:c>
      <x:c r="W151" s="15" t="str">
        <x:v>Власник / директор; керівник ПТО</x:v>
      </x:c>
      <x:c r="X151" s="15" t="str">
        <x:v>Legacy-запис потребує повторної публічної перевірки.</x:v>
      </x:c>
      <x:c r="Y151" s="15" t="str">
        <x:v>Уточнити, які етапи та докази стають недоступними після закриття робіт.</x:v>
      </x:c>
      <x:c r="Z151" s="15" t="str">
        <x:v>https://proekt.link</x:v>
      </x:c>
      <x:c r="AA151" s="14" t="str">
        <x:v>42162731</x:v>
      </x:c>
      <x:c r="AB151" s="14" t="str"/>
      <x:c r="AC151" s="14" t="str">
        <x:v>Олександр</x:v>
      </x:c>
      <x:c r="AD151" s="18" t="str"/>
      <x:c r="AE151" s="14" t="str"/>
    </x:row>
    <x:row r="152">
      <x:c r="A152" s="14" t="str">
        <x:v>V2-011</x:v>
      </x:c>
      <x:c r="B152" s="14" t="str">
        <x:v>Legacy 28</x:v>
      </x:c>
      <x:c r="C152" s="14" t="str">
        <x:v>ТОВ «Авенстон»</x:v>
      </x:c>
      <x:c r="D152" s="14" t="str">
        <x:v>Сонячна енергетика</x:v>
      </x:c>
      <x:c r="E152" s="14" t="str">
        <x:v>Requalify</x:v>
      </x:c>
      <x:c r="F152" s="17" t="str">
        <x:f>IF(E152="Pilot now",IF(P152&gt;=84,"P1",IF(P152&gt;=72,"P2","P3")),IF(E152="Expansion discovery",IF(Q152&gt;=88,"D1",IF(Q152&gt;=78,"D2","D3")),IF(E152="Later / requirements","L","Legacy")))</x:f>
        <x:v>Legacy</x:v>
      </x:c>
      <x:c r="G152" s="14" t="str">
        <x:v>avenston.com</x:v>
      </x:c>
      <x:c r="H152" s="14" t="str">
        <x:v>Перекваліфікувати</x:v>
      </x:c>
      <x:c r="I152" s="16" t="str"/>
      <x:c r="J152" s="16" t="str"/>
      <x:c r="K152" s="16" t="str"/>
      <x:c r="L152" s="16" t="str"/>
      <x:c r="M152" s="16" t="str"/>
      <x:c r="N152" s="16" t="str"/>
      <x:c r="O152" s="16" t="str"/>
      <x:c r="P152" s="16" t="str">
        <x:f>IF(COUNT(I152:O152)&lt;7,"",I152*8+J152*3+K152*2+L152*2+M152*2+N152*2+O152)</x:f>
      </x:c>
      <x:c r="Q152" s="16" t="str">
        <x:f>IF(COUNT(J152:O152)&lt;6,"",J152*5+K152*4+M152*4+L152*3+N152*2+O152*2)</x:f>
      </x:c>
      <x:c r="R152" s="14" t="str">
        <x:v>low</x:v>
      </x:c>
      <x:c r="S152" s="14" t="str">
        <x:v>needs_full_reverification</x:v>
      </x:c>
      <x:c r="T152" s="14" t="str">
        <x:v>legacy_not_reverified</x:v>
      </x:c>
      <x:c r="U152" s="14" t="str">
        <x:v>Потрібна повторна перевірка</x:v>
      </x:c>
      <x:c r="V152" s="15" t="str">
        <x:v>Повністю перевірити сайт і поточний проєкт перед контактом</x:v>
      </x:c>
      <x:c r="W152" s="15" t="str">
        <x:v>Власник / директор; керівник ПТО</x:v>
      </x:c>
      <x:c r="X152" s="15" t="str">
        <x:v>Legacy-запис потребує повторної публічної перевірки.</x:v>
      </x:c>
      <x:c r="Y152" s="15" t="str">
        <x:v>Уточнити, які етапи та докази стають недоступними після закриття робіт.</x:v>
      </x:c>
      <x:c r="Z152" s="15" t="str">
        <x:v>https://avenston.com</x:v>
      </x:c>
      <x:c r="AA152" s="14" t="str"/>
      <x:c r="AB152" s="14" t="str"/>
      <x:c r="AC152" s="14" t="str">
        <x:v>Олександр</x:v>
      </x:c>
      <x:c r="AD152" s="18" t="str"/>
      <x:c r="AE152" s="14" t="str"/>
    </x:row>
    <x:row r="153">
      <x:c r="A153" s="14" t="str">
        <x:v>V2-024</x:v>
      </x:c>
      <x:c r="B153" s="14" t="str">
        <x:v>Legacy 28</x:v>
      </x:c>
      <x:c r="C153" s="14" t="str">
        <x:v>ТОВ «Агроремсервісприлад-М»</x:v>
      </x:c>
      <x:c r="D153" s="14" t="str">
        <x:v>Сервіс / експлуатація</x:v>
      </x:c>
      <x:c r="E153" s="14" t="str">
        <x:v>Requalify</x:v>
      </x:c>
      <x:c r="F153" s="17" t="str">
        <x:f>IF(E153="Pilot now",IF(P153&gt;=84,"P1",IF(P153&gt;=72,"P2","P3")),IF(E153="Expansion discovery",IF(Q153&gt;=88,"D1",IF(Q153&gt;=78,"D2","D3")),IF(E153="Later / requirements","L","Legacy")))</x:f>
        <x:v>Legacy</x:v>
      </x:c>
      <x:c r="G153" s="14" t="str">
        <x:v>agroremservice.com.ua</x:v>
      </x:c>
      <x:c r="H153" s="14" t="str">
        <x:v>Перекваліфікувати</x:v>
      </x:c>
      <x:c r="I153" s="16" t="str"/>
      <x:c r="J153" s="16" t="str"/>
      <x:c r="K153" s="16" t="str"/>
      <x:c r="L153" s="16" t="str"/>
      <x:c r="M153" s="16" t="str"/>
      <x:c r="N153" s="16" t="str"/>
      <x:c r="O153" s="16" t="str"/>
      <x:c r="P153" s="16" t="str">
        <x:f>IF(COUNT(I153:O153)&lt;7,"",I153*8+J153*3+K153*2+L153*2+M153*2+N153*2+O153)</x:f>
      </x:c>
      <x:c r="Q153" s="16" t="str">
        <x:f>IF(COUNT(J153:O153)&lt;6,"",J153*5+K153*4+M153*4+L153*3+N153*2+O153*2)</x:f>
      </x:c>
      <x:c r="R153" s="14" t="str">
        <x:v>low</x:v>
      </x:c>
      <x:c r="S153" s="14" t="str">
        <x:v>needs_full_reverification</x:v>
      </x:c>
      <x:c r="T153" s="14" t="str">
        <x:v>legacy_not_reverified</x:v>
      </x:c>
      <x:c r="U153" s="14" t="str">
        <x:v>Потрібна повторна перевірка</x:v>
      </x:c>
      <x:c r="V153" s="15" t="str">
        <x:v>Повністю перевірити сайт і поточний проєкт перед контактом</x:v>
      </x:c>
      <x:c r="W153" s="15" t="str">
        <x:v>Власник / директор; керівник ПТО</x:v>
      </x:c>
      <x:c r="X153" s="15" t="str">
        <x:v>Legacy-запис потребує повторної публічної перевірки.</x:v>
      </x:c>
      <x:c r="Y153" s="15" t="str">
        <x:v>Уточнити, які етапи та докази стають недоступними після закриття робіт.</x:v>
      </x:c>
      <x:c r="Z153" s="15" t="str">
        <x:v>https://agroremservice.com.ua</x:v>
      </x:c>
      <x:c r="AA153" s="14" t="str">
        <x:v>45811436</x:v>
      </x:c>
      <x:c r="AB153" s="14" t="str"/>
      <x:c r="AC153" s="14" t="str">
        <x:v>Олександр</x:v>
      </x:c>
      <x:c r="AD153" s="18" t="str"/>
      <x:c r="AE153" s="14" t="str"/>
    </x:row>
    <x:row r="154">
      <x:c r="A154" s="14" t="str">
        <x:v>V2-009</x:v>
      </x:c>
      <x:c r="B154" s="14" t="str">
        <x:v>Legacy 28</x:v>
      </x:c>
      <x:c r="C154" s="14" t="str">
        <x:v>ТОВ «Академ Інвест»</x:v>
      </x:c>
      <x:c r="D154" s="14" t="str">
        <x:v>Сонячна енергетика</x:v>
      </x:c>
      <x:c r="E154" s="14" t="str">
        <x:v>Requalify</x:v>
      </x:c>
      <x:c r="F154" s="17" t="str">
        <x:f>IF(E154="Pilot now",IF(P154&gt;=84,"P1",IF(P154&gt;=72,"P2","P3")),IF(E154="Expansion discovery",IF(Q154&gt;=88,"D1",IF(Q154&gt;=78,"D2","D3")),IF(E154="Later / requirements","L","Legacy")))</x:f>
        <x:v>Legacy</x:v>
      </x:c>
      <x:c r="G154" s="14" t="str">
        <x:v>247energy.com.ua</x:v>
      </x:c>
      <x:c r="H154" s="14" t="str">
        <x:v>Перекваліфікувати</x:v>
      </x:c>
      <x:c r="I154" s="16" t="str"/>
      <x:c r="J154" s="16" t="str"/>
      <x:c r="K154" s="16" t="str"/>
      <x:c r="L154" s="16" t="str"/>
      <x:c r="M154" s="16" t="str"/>
      <x:c r="N154" s="16" t="str"/>
      <x:c r="O154" s="16" t="str"/>
      <x:c r="P154" s="16" t="str">
        <x:f>IF(COUNT(I154:O154)&lt;7,"",I154*8+J154*3+K154*2+L154*2+M154*2+N154*2+O154)</x:f>
      </x:c>
      <x:c r="Q154" s="16" t="str">
        <x:f>IF(COUNT(J154:O154)&lt;6,"",J154*5+K154*4+M154*4+L154*3+N154*2+O154*2)</x:f>
      </x:c>
      <x:c r="R154" s="14" t="str">
        <x:v>low</x:v>
      </x:c>
      <x:c r="S154" s="14" t="str">
        <x:v>needs_full_reverification</x:v>
      </x:c>
      <x:c r="T154" s="14" t="str">
        <x:v>legacy_not_reverified</x:v>
      </x:c>
      <x:c r="U154" s="14" t="str">
        <x:v>Потрібна повторна перевірка</x:v>
      </x:c>
      <x:c r="V154" s="15" t="str">
        <x:v>Повністю перевірити сайт і поточний проєкт перед контактом</x:v>
      </x:c>
      <x:c r="W154" s="15" t="str">
        <x:v>Власник / директор; керівник ПТО</x:v>
      </x:c>
      <x:c r="X154" s="15" t="str">
        <x:v>Legacy-запис потребує повторної публічної перевірки.</x:v>
      </x:c>
      <x:c r="Y154" s="15" t="str">
        <x:v>Уточнити, які етапи та докази стають недоступними після закриття робіт.</x:v>
      </x:c>
      <x:c r="Z154" s="15" t="str">
        <x:v>https://247energy.com.ua</x:v>
      </x:c>
      <x:c r="AA154" s="14" t="str"/>
      <x:c r="AB154" s="14" t="str"/>
      <x:c r="AC154" s="14" t="str">
        <x:v>Олександр</x:v>
      </x:c>
      <x:c r="AD154" s="18" t="str"/>
      <x:c r="AE154" s="14" t="str"/>
    </x:row>
    <x:row r="155">
      <x:c r="A155" s="14" t="str">
        <x:v>V2-006</x:v>
      </x:c>
      <x:c r="B155" s="14" t="str">
        <x:v>Legacy 28</x:v>
      </x:c>
      <x:c r="C155" s="14" t="str">
        <x:v>ТОВ «ВКФ «Берком»</x:v>
      </x:c>
      <x:c r="D155" s="14" t="str">
        <x:v>HVAC / вентиляція</x:v>
      </x:c>
      <x:c r="E155" s="14" t="str">
        <x:v>Requalify</x:v>
      </x:c>
      <x:c r="F155" s="17" t="str">
        <x:f>IF(E155="Pilot now",IF(P155&gt;=84,"P1",IF(P155&gt;=72,"P2","P3")),IF(E155="Expansion discovery",IF(Q155&gt;=88,"D1",IF(Q155&gt;=78,"D2","D3")),IF(E155="Later / requirements","L","Legacy")))</x:f>
        <x:v>Legacy</x:v>
      </x:c>
      <x:c r="G155" s="14" t="str">
        <x:v>berkom.com.ua</x:v>
      </x:c>
      <x:c r="H155" s="14" t="str">
        <x:v>Перекваліфікувати</x:v>
      </x:c>
      <x:c r="I155" s="16" t="str"/>
      <x:c r="J155" s="16" t="str"/>
      <x:c r="K155" s="16" t="str"/>
      <x:c r="L155" s="16" t="str"/>
      <x:c r="M155" s="16" t="str"/>
      <x:c r="N155" s="16" t="str"/>
      <x:c r="O155" s="16" t="str"/>
      <x:c r="P155" s="16" t="str">
        <x:f>IF(COUNT(I155:O155)&lt;7,"",I155*8+J155*3+K155*2+L155*2+M155*2+N155*2+O155)</x:f>
      </x:c>
      <x:c r="Q155" s="16" t="str">
        <x:f>IF(COUNT(J155:O155)&lt;6,"",J155*5+K155*4+M155*4+L155*3+N155*2+O155*2)</x:f>
      </x:c>
      <x:c r="R155" s="14" t="str">
        <x:v>low</x:v>
      </x:c>
      <x:c r="S155" s="14" t="str">
        <x:v>needs_full_reverification</x:v>
      </x:c>
      <x:c r="T155" s="14" t="str">
        <x:v>legacy_not_reverified</x:v>
      </x:c>
      <x:c r="U155" s="14" t="str">
        <x:v>Потрібна повторна перевірка</x:v>
      </x:c>
      <x:c r="V155" s="15" t="str">
        <x:v>Повністю перевірити сайт і поточний проєкт перед контактом</x:v>
      </x:c>
      <x:c r="W155" s="15" t="str">
        <x:v>Власник / директор; керівник ПТО</x:v>
      </x:c>
      <x:c r="X155" s="15" t="str">
        <x:v>Legacy-запис потребує повторної публічної перевірки.</x:v>
      </x:c>
      <x:c r="Y155" s="15" t="str">
        <x:v>Уточнити, які етапи та докази стають недоступними після закриття робіт.</x:v>
      </x:c>
      <x:c r="Z155" s="15" t="str">
        <x:v>https://berkom.com.ua</x:v>
      </x:c>
      <x:c r="AA155" s="14" t="str">
        <x:v>34522141</x:v>
      </x:c>
      <x:c r="AB155" s="14" t="str"/>
      <x:c r="AC155" s="14" t="str">
        <x:v>Олександр</x:v>
      </x:c>
      <x:c r="AD155" s="18" t="str"/>
      <x:c r="AE155" s="14" t="str"/>
    </x:row>
    <x:row r="156">
      <x:c r="A156" s="14" t="str">
        <x:v>V2-005</x:v>
      </x:c>
      <x:c r="B156" s="14" t="str">
        <x:v>Legacy 28</x:v>
      </x:c>
      <x:c r="C156" s="14" t="str">
        <x:v>ТОВ «Електропівденмонтаж»</x:v>
      </x:c>
      <x:c r="D156" s="14" t="str">
        <x:v>Електромонтаж</x:v>
      </x:c>
      <x:c r="E156" s="14" t="str">
        <x:v>Requalify</x:v>
      </x:c>
      <x:c r="F156" s="17" t="str">
        <x:f>IF(E156="Pilot now",IF(P156&gt;=84,"P1",IF(P156&gt;=72,"P2","P3")),IF(E156="Expansion discovery",IF(Q156&gt;=88,"D1",IF(Q156&gt;=78,"D2","D3")),IF(E156="Later / requirements","L","Legacy")))</x:f>
        <x:v>Legacy</x:v>
      </x:c>
      <x:c r="G156" s="14" t="str">
        <x:v>epm.kh.ua</x:v>
      </x:c>
      <x:c r="H156" s="14" t="str">
        <x:v>Перекваліфікувати</x:v>
      </x:c>
      <x:c r="I156" s="16" t="str"/>
      <x:c r="J156" s="16" t="str"/>
      <x:c r="K156" s="16" t="str"/>
      <x:c r="L156" s="16" t="str"/>
      <x:c r="M156" s="16" t="str"/>
      <x:c r="N156" s="16" t="str"/>
      <x:c r="O156" s="16" t="str"/>
      <x:c r="P156" s="16" t="str">
        <x:f>IF(COUNT(I156:O156)&lt;7,"",I156*8+J156*3+K156*2+L156*2+M156*2+N156*2+O156)</x:f>
      </x:c>
      <x:c r="Q156" s="16" t="str">
        <x:f>IF(COUNT(J156:O156)&lt;6,"",J156*5+K156*4+M156*4+L156*3+N156*2+O156*2)</x:f>
      </x:c>
      <x:c r="R156" s="14" t="str">
        <x:v>low</x:v>
      </x:c>
      <x:c r="S156" s="14" t="str">
        <x:v>needs_full_reverification</x:v>
      </x:c>
      <x:c r="T156" s="14" t="str">
        <x:v>legacy_not_reverified</x:v>
      </x:c>
      <x:c r="U156" s="14" t="str">
        <x:v>Потрібна повторна перевірка</x:v>
      </x:c>
      <x:c r="V156" s="15" t="str">
        <x:v>Повністю перевірити сайт і поточний проєкт перед контактом</x:v>
      </x:c>
      <x:c r="W156" s="15" t="str">
        <x:v>Власник / директор; керівник ПТО</x:v>
      </x:c>
      <x:c r="X156" s="15" t="str">
        <x:v>Legacy-запис потребує повторної публічної перевірки.</x:v>
      </x:c>
      <x:c r="Y156" s="15" t="str">
        <x:v>Уточнити, які етапи та докази стають недоступними після закриття робіт.</x:v>
      </x:c>
      <x:c r="Z156" s="15" t="str">
        <x:v>https://epm.kh.ua</x:v>
      </x:c>
      <x:c r="AA156" s="14" t="str">
        <x:v>04734213</x:v>
      </x:c>
      <x:c r="AB156" s="14" t="str"/>
      <x:c r="AC156" s="14" t="str">
        <x:v>Олександр</x:v>
      </x:c>
      <x:c r="AD156" s="18" t="str"/>
      <x:c r="AE156" s="14" t="str"/>
    </x:row>
    <x:row r="157">
      <x:c r="A157" s="14" t="str">
        <x:v>V2-023</x:v>
      </x:c>
      <x:c r="B157" s="14" t="str">
        <x:v>Legacy 28</x:v>
      </x:c>
      <x:c r="C157" s="14" t="str">
        <x:v>ТОВ «Здоровий клімат»</x:v>
      </x:c>
      <x:c r="D157" s="14" t="str">
        <x:v>HVAC / вентиляція</x:v>
      </x:c>
      <x:c r="E157" s="14" t="str">
        <x:v>Requalify</x:v>
      </x:c>
      <x:c r="F157" s="17" t="str">
        <x:f>IF(E157="Pilot now",IF(P157&gt;=84,"P1",IF(P157&gt;=72,"P2","P3")),IF(E157="Expansion discovery",IF(Q157&gt;=88,"D1",IF(Q157&gt;=78,"D2","D3")),IF(E157="Later / requirements","L","Legacy")))</x:f>
        <x:v>Legacy</x:v>
      </x:c>
      <x:c r="G157" s="14" t="str">
        <x:v>zdorovklimat.com.ua</x:v>
      </x:c>
      <x:c r="H157" s="14" t="str">
        <x:v>Перекваліфікувати</x:v>
      </x:c>
      <x:c r="I157" s="16" t="str"/>
      <x:c r="J157" s="16" t="str"/>
      <x:c r="K157" s="16" t="str"/>
      <x:c r="L157" s="16" t="str"/>
      <x:c r="M157" s="16" t="str"/>
      <x:c r="N157" s="16" t="str"/>
      <x:c r="O157" s="16" t="str"/>
      <x:c r="P157" s="16" t="str">
        <x:f>IF(COUNT(I157:O157)&lt;7,"",I157*8+J157*3+K157*2+L157*2+M157*2+N157*2+O157)</x:f>
      </x:c>
      <x:c r="Q157" s="16" t="str">
        <x:f>IF(COUNT(J157:O157)&lt;6,"",J157*5+K157*4+M157*4+L157*3+N157*2+O157*2)</x:f>
      </x:c>
      <x:c r="R157" s="14" t="str">
        <x:v>low</x:v>
      </x:c>
      <x:c r="S157" s="14" t="str">
        <x:v>needs_full_reverification</x:v>
      </x:c>
      <x:c r="T157" s="14" t="str">
        <x:v>legacy_not_reverified</x:v>
      </x:c>
      <x:c r="U157" s="14" t="str">
        <x:v>Потрібна повторна перевірка</x:v>
      </x:c>
      <x:c r="V157" s="15" t="str">
        <x:v>Повністю перевірити сайт і поточний проєкт перед контактом</x:v>
      </x:c>
      <x:c r="W157" s="15" t="str">
        <x:v>Власник / директор; керівник ПТО</x:v>
      </x:c>
      <x:c r="X157" s="15" t="str">
        <x:v>Legacy-запис потребує повторної публічної перевірки.</x:v>
      </x:c>
      <x:c r="Y157" s="15" t="str">
        <x:v>Уточнити, які етапи та докази стають недоступними після закриття робіт.</x:v>
      </x:c>
      <x:c r="Z157" s="15" t="str">
        <x:v>https://zdorovklimat.com.ua</x:v>
      </x:c>
      <x:c r="AA157" s="14" t="str">
        <x:v>37734731</x:v>
      </x:c>
      <x:c r="AB157" s="14" t="str"/>
      <x:c r="AC157" s="14" t="str">
        <x:v>Олександр</x:v>
      </x:c>
      <x:c r="AD157" s="18" t="str"/>
      <x:c r="AE157" s="14" t="str"/>
    </x:row>
    <x:row r="158">
      <x:c r="A158" s="14" t="str">
        <x:v>V2-020</x:v>
      </x:c>
      <x:c r="B158" s="14" t="str">
        <x:v>Legacy 28</x:v>
      </x:c>
      <x:c r="C158" s="14" t="str">
        <x:v>ТОВ «Новітні Енергетичні Програми»</x:v>
      </x:c>
      <x:c r="D158" s="14" t="str">
        <x:v>Електромонтаж</x:v>
      </x:c>
      <x:c r="E158" s="14" t="str">
        <x:v>Requalify</x:v>
      </x:c>
      <x:c r="F158" s="17" t="str">
        <x:f>IF(E158="Pilot now",IF(P158&gt;=84,"P1",IF(P158&gt;=72,"P2","P3")),IF(E158="Expansion discovery",IF(Q158&gt;=88,"D1",IF(Q158&gt;=78,"D2","D3")),IF(E158="Later / requirements","L","Legacy")))</x:f>
        <x:v>Legacy</x:v>
      </x:c>
      <x:c r="G158" s="14" t="str">
        <x:v>nep.in.ua</x:v>
      </x:c>
      <x:c r="H158" s="14" t="str">
        <x:v>Перекваліфікувати</x:v>
      </x:c>
      <x:c r="I158" s="16" t="str"/>
      <x:c r="J158" s="16" t="str"/>
      <x:c r="K158" s="16" t="str"/>
      <x:c r="L158" s="16" t="str"/>
      <x:c r="M158" s="16" t="str"/>
      <x:c r="N158" s="16" t="str"/>
      <x:c r="O158" s="16" t="str"/>
      <x:c r="P158" s="16" t="str">
        <x:f>IF(COUNT(I158:O158)&lt;7,"",I158*8+J158*3+K158*2+L158*2+M158*2+N158*2+O158)</x:f>
      </x:c>
      <x:c r="Q158" s="16" t="str">
        <x:f>IF(COUNT(J158:O158)&lt;6,"",J158*5+K158*4+M158*4+L158*3+N158*2+O158*2)</x:f>
      </x:c>
      <x:c r="R158" s="14" t="str">
        <x:v>low</x:v>
      </x:c>
      <x:c r="S158" s="14" t="str">
        <x:v>needs_full_reverification</x:v>
      </x:c>
      <x:c r="T158" s="14" t="str">
        <x:v>legacy_not_reverified</x:v>
      </x:c>
      <x:c r="U158" s="14" t="str">
        <x:v>Потрібна повторна перевірка</x:v>
      </x:c>
      <x:c r="V158" s="15" t="str">
        <x:v>Повністю перевірити сайт і поточний проєкт перед контактом</x:v>
      </x:c>
      <x:c r="W158" s="15" t="str">
        <x:v>Власник / директор; керівник ПТО</x:v>
      </x:c>
      <x:c r="X158" s="15" t="str">
        <x:v>Legacy-запис потребує повторної публічної перевірки.</x:v>
      </x:c>
      <x:c r="Y158" s="15" t="str">
        <x:v>Уточнити, які етапи та докази стають недоступними після закриття робіт.</x:v>
      </x:c>
      <x:c r="Z158" s="15" t="str">
        <x:v>https://nep.in.ua</x:v>
      </x:c>
      <x:c r="AA158" s="14" t="str">
        <x:v>34623220</x:v>
      </x:c>
      <x:c r="AB158" s="14" t="str"/>
      <x:c r="AC158" s="14" t="str">
        <x:v>Олександр</x:v>
      </x:c>
      <x:c r="AD158" s="18" t="str"/>
      <x:c r="AE158" s="14" t="str"/>
    </x:row>
    <x:row r="159">
      <x:c r="A159" s="14" t="str">
        <x:v>V2-007</x:v>
      </x:c>
      <x:c r="B159" s="14" t="str">
        <x:v>Legacy 28</x:v>
      </x:c>
      <x:c r="C159" s="14" t="str">
        <x:v>ТОВ «Охоронна компанія «АЛЬЯНС-БЕЗПЕКА»</x:v>
      </x:c>
      <x:c r="D159" s="14" t="str">
        <x:v>Слаботочні системи</x:v>
      </x:c>
      <x:c r="E159" s="14" t="str">
        <x:v>Requalify</x:v>
      </x:c>
      <x:c r="F159" s="17" t="str">
        <x:f>IF(E159="Pilot now",IF(P159&gt;=84,"P1",IF(P159&gt;=72,"P2","P3")),IF(E159="Expansion discovery",IF(Q159&gt;=88,"D1",IF(Q159&gt;=78,"D2","D3")),IF(E159="Later / requirements","L","Legacy")))</x:f>
        <x:v>Legacy</x:v>
      </x:c>
      <x:c r="G159" s="14" t="str">
        <x:v>alliancesafety.com.ua</x:v>
      </x:c>
      <x:c r="H159" s="14" t="str">
        <x:v>Перекваліфікувати</x:v>
      </x:c>
      <x:c r="I159" s="16" t="str"/>
      <x:c r="J159" s="16" t="str"/>
      <x:c r="K159" s="16" t="str"/>
      <x:c r="L159" s="16" t="str"/>
      <x:c r="M159" s="16" t="str"/>
      <x:c r="N159" s="16" t="str"/>
      <x:c r="O159" s="16" t="str"/>
      <x:c r="P159" s="16" t="str">
        <x:f>IF(COUNT(I159:O159)&lt;7,"",I159*8+J159*3+K159*2+L159*2+M159*2+N159*2+O159)</x:f>
      </x:c>
      <x:c r="Q159" s="16" t="str">
        <x:f>IF(COUNT(J159:O159)&lt;6,"",J159*5+K159*4+M159*4+L159*3+N159*2+O159*2)</x:f>
      </x:c>
      <x:c r="R159" s="14" t="str">
        <x:v>low</x:v>
      </x:c>
      <x:c r="S159" s="14" t="str">
        <x:v>needs_full_reverification</x:v>
      </x:c>
      <x:c r="T159" s="14" t="str">
        <x:v>legacy_not_reverified</x:v>
      </x:c>
      <x:c r="U159" s="14" t="str">
        <x:v>Потрібна повторна перевірка</x:v>
      </x:c>
      <x:c r="V159" s="15" t="str">
        <x:v>Повністю перевірити сайт і поточний проєкт перед контактом</x:v>
      </x:c>
      <x:c r="W159" s="15" t="str">
        <x:v>Власник / директор; керівник ПТО</x:v>
      </x:c>
      <x:c r="X159" s="15" t="str">
        <x:v>Legacy-запис потребує повторної публічної перевірки.</x:v>
      </x:c>
      <x:c r="Y159" s="15" t="str">
        <x:v>Уточнити, які етапи та докази стають недоступними після закриття робіт.</x:v>
      </x:c>
      <x:c r="Z159" s="15" t="str">
        <x:v>https://alliancesafety.com.ua</x:v>
      </x:c>
      <x:c r="AA159" s="14" t="str">
        <x:v>44564041</x:v>
      </x:c>
      <x:c r="AB159" s="14" t="str"/>
      <x:c r="AC159" s="14" t="str">
        <x:v>Олександр</x:v>
      </x:c>
      <x:c r="AD159" s="18" t="str"/>
      <x:c r="AE159" s="14" t="str"/>
    </x:row>
    <x:row r="160">
      <x:c r="A160" s="14" t="str">
        <x:v>V2-017</x:v>
      </x:c>
      <x:c r="B160" s="14" t="str">
        <x:v>Legacy 28</x:v>
      </x:c>
      <x:c r="C160" s="14" t="str">
        <x:v>ТОВ «Пожежний Захист»</x:v>
      </x:c>
      <x:c r="D160" s="14" t="str">
        <x:v>Слаботочні системи</x:v>
      </x:c>
      <x:c r="E160" s="14" t="str">
        <x:v>Requalify</x:v>
      </x:c>
      <x:c r="F160" s="17" t="str">
        <x:f>IF(E160="Pilot now",IF(P160&gt;=84,"P1",IF(P160&gt;=72,"P2","P3")),IF(E160="Expansion discovery",IF(Q160&gt;=88,"D1",IF(Q160&gt;=78,"D2","D3")),IF(E160="Later / requirements","L","Legacy")))</x:f>
        <x:v>Legacy</x:v>
      </x:c>
      <x:c r="G160" s="14" t="str">
        <x:v>p-zahist.com.ua</x:v>
      </x:c>
      <x:c r="H160" s="14" t="str">
        <x:v>Перекваліфікувати</x:v>
      </x:c>
      <x:c r="I160" s="16" t="str"/>
      <x:c r="J160" s="16" t="str"/>
      <x:c r="K160" s="16" t="str"/>
      <x:c r="L160" s="16" t="str"/>
      <x:c r="M160" s="16" t="str"/>
      <x:c r="N160" s="16" t="str"/>
      <x:c r="O160" s="16" t="str"/>
      <x:c r="P160" s="16" t="str">
        <x:f>IF(COUNT(I160:O160)&lt;7,"",I160*8+J160*3+K160*2+L160*2+M160*2+N160*2+O160)</x:f>
      </x:c>
      <x:c r="Q160" s="16" t="str">
        <x:f>IF(COUNT(J160:O160)&lt;6,"",J160*5+K160*4+M160*4+L160*3+N160*2+O160*2)</x:f>
      </x:c>
      <x:c r="R160" s="14" t="str">
        <x:v>low</x:v>
      </x:c>
      <x:c r="S160" s="14" t="str">
        <x:v>needs_full_reverification</x:v>
      </x:c>
      <x:c r="T160" s="14" t="str">
        <x:v>legacy_not_reverified</x:v>
      </x:c>
      <x:c r="U160" s="14" t="str">
        <x:v>Потрібна повторна перевірка</x:v>
      </x:c>
      <x:c r="V160" s="15" t="str">
        <x:v>Повністю перевірити сайт і поточний проєкт перед контактом</x:v>
      </x:c>
      <x:c r="W160" s="15" t="str">
        <x:v>Власник / директор; керівник ПТО</x:v>
      </x:c>
      <x:c r="X160" s="15" t="str">
        <x:v>Legacy-запис потребує повторної публічної перевірки.</x:v>
      </x:c>
      <x:c r="Y160" s="15" t="str">
        <x:v>Уточнити, які етапи та докази стають недоступними після закриття робіт.</x:v>
      </x:c>
      <x:c r="Z160" s="15" t="str">
        <x:v>https://p-zahist.com.ua</x:v>
      </x:c>
      <x:c r="AA160" s="14" t="str">
        <x:v>38717610</x:v>
      </x:c>
      <x:c r="AB160" s="14" t="str"/>
      <x:c r="AC160" s="14" t="str">
        <x:v>Олександр</x:v>
      </x:c>
      <x:c r="AD160" s="18" t="str"/>
      <x:c r="AE160" s="14" t="str"/>
    </x:row>
    <x:row r="161">
      <x:c r="A161" s="14" t="str">
        <x:v>V2-010</x:v>
      </x:c>
      <x:c r="B161" s="14" t="str">
        <x:v>Legacy 28</x:v>
      </x:c>
      <x:c r="C161" s="14" t="str">
        <x:v>ТОВ «Промавтоматика Вінниця»</x:v>
      </x:c>
      <x:c r="D161" s="14" t="str">
        <x:v>Сонячна енергетика</x:v>
      </x:c>
      <x:c r="E161" s="14" t="str">
        <x:v>Requalify</x:v>
      </x:c>
      <x:c r="F161" s="17" t="str">
        <x:f>IF(E161="Pilot now",IF(P161&gt;=84,"P1",IF(P161&gt;=72,"P2","P3")),IF(E161="Expansion discovery",IF(Q161&gt;=88,"D1",IF(Q161&gt;=78,"D2","D3")),IF(E161="Later / requirements","L","Legacy")))</x:f>
        <x:v>Legacy</x:v>
      </x:c>
      <x:c r="G161" s="14" t="str">
        <x:v>pa.ua</x:v>
      </x:c>
      <x:c r="H161" s="14" t="str">
        <x:v>Перекваліфікувати</x:v>
      </x:c>
      <x:c r="I161" s="16" t="str"/>
      <x:c r="J161" s="16" t="str"/>
      <x:c r="K161" s="16" t="str"/>
      <x:c r="L161" s="16" t="str"/>
      <x:c r="M161" s="16" t="str"/>
      <x:c r="N161" s="16" t="str"/>
      <x:c r="O161" s="16" t="str"/>
      <x:c r="P161" s="16" t="str">
        <x:f>IF(COUNT(I161:O161)&lt;7,"",I161*8+J161*3+K161*2+L161*2+M161*2+N161*2+O161)</x:f>
      </x:c>
      <x:c r="Q161" s="16" t="str">
        <x:f>IF(COUNT(J161:O161)&lt;6,"",J161*5+K161*4+M161*4+L161*3+N161*2+O161*2)</x:f>
      </x:c>
      <x:c r="R161" s="14" t="str">
        <x:v>low</x:v>
      </x:c>
      <x:c r="S161" s="14" t="str">
        <x:v>needs_full_reverification</x:v>
      </x:c>
      <x:c r="T161" s="14" t="str">
        <x:v>legacy_not_reverified</x:v>
      </x:c>
      <x:c r="U161" s="14" t="str">
        <x:v>Потрібна повторна перевірка</x:v>
      </x:c>
      <x:c r="V161" s="15" t="str">
        <x:v>Повністю перевірити сайт і поточний проєкт перед контактом</x:v>
      </x:c>
      <x:c r="W161" s="15" t="str">
        <x:v>Власник / директор; керівник ПТО</x:v>
      </x:c>
      <x:c r="X161" s="15" t="str">
        <x:v>Legacy-запис потребує повторної публічної перевірки.</x:v>
      </x:c>
      <x:c r="Y161" s="15" t="str">
        <x:v>Уточнити, які етапи та докази стають недоступними після закриття робіт.</x:v>
      </x:c>
      <x:c r="Z161" s="15" t="str">
        <x:v>https://pa.ua</x:v>
      </x:c>
      <x:c r="AA161" s="14" t="str"/>
      <x:c r="AB161" s="14" t="str"/>
      <x:c r="AC161" s="14" t="str">
        <x:v>Олександр</x:v>
      </x:c>
      <x:c r="AD161" s="18" t="str"/>
      <x:c r="AE161" s="14" t="str"/>
    </x:row>
    <x:row r="162">
      <x:c r="A162" s="14" t="str">
        <x:v>V2-018</x:v>
      </x:c>
      <x:c r="B162" s="14" t="str">
        <x:v>Legacy 28</x:v>
      </x:c>
      <x:c r="C162" s="14" t="str">
        <x:v>ТОВ «Структум»</x:v>
      </x:c>
      <x:c r="D162" s="14" t="str">
        <x:v>Електромонтаж</x:v>
      </x:c>
      <x:c r="E162" s="14" t="str">
        <x:v>Requalify</x:v>
      </x:c>
      <x:c r="F162" s="17" t="str">
        <x:f>IF(E162="Pilot now",IF(P162&gt;=84,"P1",IF(P162&gt;=72,"P2","P3")),IF(E162="Expansion discovery",IF(Q162&gt;=88,"D1",IF(Q162&gt;=78,"D2","D3")),IF(E162="Later / requirements","L","Legacy")))</x:f>
        <x:v>Legacy</x:v>
      </x:c>
      <x:c r="G162" s="14" t="str">
        <x:v>structum.ua</x:v>
      </x:c>
      <x:c r="H162" s="14" t="str">
        <x:v>Перекваліфікувати</x:v>
      </x:c>
      <x:c r="I162" s="16" t="str"/>
      <x:c r="J162" s="16" t="str"/>
      <x:c r="K162" s="16" t="str"/>
      <x:c r="L162" s="16" t="str"/>
      <x:c r="M162" s="16" t="str"/>
      <x:c r="N162" s="16" t="str"/>
      <x:c r="O162" s="16" t="str"/>
      <x:c r="P162" s="16" t="str">
        <x:f>IF(COUNT(I162:O162)&lt;7,"",I162*8+J162*3+K162*2+L162*2+M162*2+N162*2+O162)</x:f>
      </x:c>
      <x:c r="Q162" s="16" t="str">
        <x:f>IF(COUNT(J162:O162)&lt;6,"",J162*5+K162*4+M162*4+L162*3+N162*2+O162*2)</x:f>
      </x:c>
      <x:c r="R162" s="14" t="str">
        <x:v>low</x:v>
      </x:c>
      <x:c r="S162" s="14" t="str">
        <x:v>needs_full_reverification</x:v>
      </x:c>
      <x:c r="T162" s="14" t="str">
        <x:v>legacy_not_reverified</x:v>
      </x:c>
      <x:c r="U162" s="14" t="str">
        <x:v>Потрібна повторна перевірка</x:v>
      </x:c>
      <x:c r="V162" s="15" t="str">
        <x:v>Повністю перевірити сайт і поточний проєкт перед контактом</x:v>
      </x:c>
      <x:c r="W162" s="15" t="str">
        <x:v>Власник / директор; керівник ПТО</x:v>
      </x:c>
      <x:c r="X162" s="15" t="str">
        <x:v>Legacy-запис потребує повторної публічної перевірки.</x:v>
      </x:c>
      <x:c r="Y162" s="15" t="str">
        <x:v>Уточнити, які етапи та докази стають недоступними після закриття робіт.</x:v>
      </x:c>
      <x:c r="Z162" s="15" t="str">
        <x:v>https://structum.ua</x:v>
      </x:c>
      <x:c r="AA162" s="14" t="str">
        <x:v>38186327</x:v>
      </x:c>
      <x:c r="AB162" s="14" t="str"/>
      <x:c r="AC162" s="14" t="str">
        <x:v>Олександр</x:v>
      </x:c>
      <x:c r="AD162" s="18" t="str"/>
      <x:c r="AE162" s="14" t="str"/>
    </x:row>
    <x:row r="163">
      <x:c r="A163" s="14" t="str">
        <x:v>V2-001</x:v>
      </x:c>
      <x:c r="B163" s="14" t="str">
        <x:v>Legacy 28</x:v>
      </x:c>
      <x:c r="C163" s="14" t="str">
        <x:v>ТОВ «Укравтономгаз»</x:v>
      </x:c>
      <x:c r="D163" s="14" t="str">
        <x:v>Внутрішня сантехніка</x:v>
      </x:c>
      <x:c r="E163" s="14" t="str">
        <x:v>Requalify</x:v>
      </x:c>
      <x:c r="F163" s="17" t="str">
        <x:f>IF(E163="Pilot now",IF(P163&gt;=84,"P1",IF(P163&gt;=72,"P2","P3")),IF(E163="Expansion discovery",IF(Q163&gt;=88,"D1",IF(Q163&gt;=78,"D2","D3")),IF(E163="Later / requirements","L","Legacy")))</x:f>
        <x:v>Legacy</x:v>
      </x:c>
      <x:c r="G163" s="14" t="str">
        <x:v>ukravtonomgaz.ua</x:v>
      </x:c>
      <x:c r="H163" s="14" t="str">
        <x:v>Перекваліфікувати</x:v>
      </x:c>
      <x:c r="I163" s="16" t="str"/>
      <x:c r="J163" s="16" t="str"/>
      <x:c r="K163" s="16" t="str"/>
      <x:c r="L163" s="16" t="str"/>
      <x:c r="M163" s="16" t="str"/>
      <x:c r="N163" s="16" t="str"/>
      <x:c r="O163" s="16" t="str"/>
      <x:c r="P163" s="16" t="str">
        <x:f>IF(COUNT(I163:O163)&lt;7,"",I163*8+J163*3+K163*2+L163*2+M163*2+N163*2+O163)</x:f>
      </x:c>
      <x:c r="Q163" s="16" t="str">
        <x:f>IF(COUNT(J163:O163)&lt;6,"",J163*5+K163*4+M163*4+L163*3+N163*2+O163*2)</x:f>
      </x:c>
      <x:c r="R163" s="14" t="str">
        <x:v>low</x:v>
      </x:c>
      <x:c r="S163" s="14" t="str">
        <x:v>needs_full_reverification</x:v>
      </x:c>
      <x:c r="T163" s="14" t="str">
        <x:v>legacy_not_reverified</x:v>
      </x:c>
      <x:c r="U163" s="14" t="str">
        <x:v>Потрібна повторна перевірка</x:v>
      </x:c>
      <x:c r="V163" s="15" t="str">
        <x:v>Повністю перевірити сайт і поточний проєкт перед контактом</x:v>
      </x:c>
      <x:c r="W163" s="15" t="str">
        <x:v>Власник / директор; керівник ПТО</x:v>
      </x:c>
      <x:c r="X163" s="15" t="str">
        <x:v>Legacy-запис потребує повторної публічної перевірки.</x:v>
      </x:c>
      <x:c r="Y163" s="15" t="str">
        <x:v>Уточнити, які етапи та докази стають недоступними після закриття робіт.</x:v>
      </x:c>
      <x:c r="Z163" s="15" t="str">
        <x:v>https://ukravtonomgaz.ua</x:v>
      </x:c>
      <x:c r="AA163" s="14" t="str">
        <x:v>39082735</x:v>
      </x:c>
      <x:c r="AB163" s="14" t="str"/>
      <x:c r="AC163" s="14" t="str">
        <x:v>Олександр</x:v>
      </x:c>
      <x:c r="AD163" s="18" t="str"/>
      <x:c r="AE163" s="14" t="str"/>
    </x:row>
    <x:row r="164">
      <x:c r="A164" s="14" t="str">
        <x:v>V2-013</x:v>
      </x:c>
      <x:c r="B164" s="14" t="str">
        <x:v>Legacy 28</x:v>
      </x:c>
      <x:c r="C164" s="14" t="str">
        <x:v>ТОВ «УТЕМ СОЛАР»</x:v>
      </x:c>
      <x:c r="D164" s="14" t="str">
        <x:v>Сонячна енергетика</x:v>
      </x:c>
      <x:c r="E164" s="14" t="str">
        <x:v>Requalify</x:v>
      </x:c>
      <x:c r="F164" s="17" t="str">
        <x:f>IF(E164="Pilot now",IF(P164&gt;=84,"P1",IF(P164&gt;=72,"P2","P3")),IF(E164="Expansion discovery",IF(Q164&gt;=88,"D1",IF(Q164&gt;=78,"D2","D3")),IF(E164="Later / requirements","L","Legacy")))</x:f>
        <x:v>Legacy</x:v>
      </x:c>
      <x:c r="G164" s="14" t="str">
        <x:v>utem.org.ua</x:v>
      </x:c>
      <x:c r="H164" s="14" t="str">
        <x:v>Перекваліфікувати</x:v>
      </x:c>
      <x:c r="I164" s="16" t="str"/>
      <x:c r="J164" s="16" t="str"/>
      <x:c r="K164" s="16" t="str"/>
      <x:c r="L164" s="16" t="str"/>
      <x:c r="M164" s="16" t="str"/>
      <x:c r="N164" s="16" t="str"/>
      <x:c r="O164" s="16" t="str"/>
      <x:c r="P164" s="16" t="str">
        <x:f>IF(COUNT(I164:O164)&lt;7,"",I164*8+J164*3+K164*2+L164*2+M164*2+N164*2+O164)</x:f>
      </x:c>
      <x:c r="Q164" s="16" t="str">
        <x:f>IF(COUNT(J164:O164)&lt;6,"",J164*5+K164*4+M164*4+L164*3+N164*2+O164*2)</x:f>
      </x:c>
      <x:c r="R164" s="14" t="str">
        <x:v>low</x:v>
      </x:c>
      <x:c r="S164" s="14" t="str">
        <x:v>needs_full_reverification</x:v>
      </x:c>
      <x:c r="T164" s="14" t="str">
        <x:v>legacy_not_reverified</x:v>
      </x:c>
      <x:c r="U164" s="14" t="str">
        <x:v>Потрібна повторна перевірка</x:v>
      </x:c>
      <x:c r="V164" s="15" t="str">
        <x:v>Повністю перевірити сайт і поточний проєкт перед контактом</x:v>
      </x:c>
      <x:c r="W164" s="15" t="str">
        <x:v>Власник / директор; керівник ПТО</x:v>
      </x:c>
      <x:c r="X164" s="15" t="str">
        <x:v>Legacy-запис потребує повторної публічної перевірки.</x:v>
      </x:c>
      <x:c r="Y164" s="15" t="str">
        <x:v>Уточнити, які етапи та докази стають недоступними після закриття робіт.</x:v>
      </x:c>
      <x:c r="Z164" s="15" t="str">
        <x:v>https://utem.org.ua</x:v>
      </x:c>
      <x:c r="AA164" s="14" t="str"/>
      <x:c r="AB164" s="14" t="str"/>
      <x:c r="AC164" s="14" t="str">
        <x:v>Олександр</x:v>
      </x:c>
      <x:c r="AD164" s="18" t="str"/>
      <x:c r="AE164" s="14" t="str"/>
    </x:row>
    <x:row r="165">
      <x:c r="A165" s="14" t="str">
        <x:v>V2-003</x:v>
      </x:c>
      <x:c r="B165" s="14" t="str">
        <x:v>Legacy 28</x:v>
      </x:c>
      <x:c r="C165" s="14" t="str">
        <x:v>ТОВ «ШІЛД-ФАЄР»</x:v>
      </x:c>
      <x:c r="D165" s="14" t="str">
        <x:v>Слаботочні системи</x:v>
      </x:c>
      <x:c r="E165" s="14" t="str">
        <x:v>Requalify</x:v>
      </x:c>
      <x:c r="F165" s="17" t="str">
        <x:f>IF(E165="Pilot now",IF(P165&gt;=84,"P1",IF(P165&gt;=72,"P2","P3")),IF(E165="Expansion discovery",IF(Q165&gt;=88,"D1",IF(Q165&gt;=78,"D2","D3")),IF(E165="Later / requirements","L","Legacy")))</x:f>
        <x:v>Legacy</x:v>
      </x:c>
      <x:c r="G165" s="14" t="str">
        <x:v>shieldfire.com.ua</x:v>
      </x:c>
      <x:c r="H165" s="14" t="str">
        <x:v>Перекваліфікувати</x:v>
      </x:c>
      <x:c r="I165" s="16" t="str"/>
      <x:c r="J165" s="16" t="str"/>
      <x:c r="K165" s="16" t="str"/>
      <x:c r="L165" s="16" t="str"/>
      <x:c r="M165" s="16" t="str"/>
      <x:c r="N165" s="16" t="str"/>
      <x:c r="O165" s="16" t="str"/>
      <x:c r="P165" s="16" t="str">
        <x:f>IF(COUNT(I165:O165)&lt;7,"",I165*8+J165*3+K165*2+L165*2+M165*2+N165*2+O165)</x:f>
      </x:c>
      <x:c r="Q165" s="16" t="str">
        <x:f>IF(COUNT(J165:O165)&lt;6,"",J165*5+K165*4+M165*4+L165*3+N165*2+O165*2)</x:f>
      </x:c>
      <x:c r="R165" s="14" t="str">
        <x:v>low</x:v>
      </x:c>
      <x:c r="S165" s="14" t="str">
        <x:v>needs_full_reverification</x:v>
      </x:c>
      <x:c r="T165" s="14" t="str">
        <x:v>legacy_not_reverified</x:v>
      </x:c>
      <x:c r="U165" s="14" t="str">
        <x:v>Потрібна повторна перевірка</x:v>
      </x:c>
      <x:c r="V165" s="15" t="str">
        <x:v>Повністю перевірити сайт і поточний проєкт перед контактом</x:v>
      </x:c>
      <x:c r="W165" s="15" t="str">
        <x:v>Власник / директор; керівник ПТО</x:v>
      </x:c>
      <x:c r="X165" s="15" t="str">
        <x:v>Legacy-запис потребує повторної публічної перевірки.</x:v>
      </x:c>
      <x:c r="Y165" s="15" t="str">
        <x:v>Уточнити, які етапи та докази стають недоступними після закриття робіт.</x:v>
      </x:c>
      <x:c r="Z165" s="15" t="str">
        <x:v>https://shieldfire.com.ua</x:v>
      </x:c>
      <x:c r="AA165" s="14" t="str">
        <x:v>41034408</x:v>
      </x:c>
      <x:c r="AB165" s="14" t="str"/>
      <x:c r="AC165" s="14" t="str">
        <x:v>Олександр</x:v>
      </x:c>
      <x:c r="AD165" s="18" t="str"/>
      <x:c r="AE165" s="14" t="str"/>
    </x:row>
    <x:row r="166">
      <x:c r="A166" s="14" t="str">
        <x:v>V2-028</x:v>
      </x:c>
      <x:c r="B166" s="14" t="str">
        <x:v>Legacy 28</x:v>
      </x:c>
      <x:c r="C166" s="14" t="str">
        <x:v>ТОВАРИСТВО З ОБМЕЖЕНОЮ ВІДПОВІДАЛЬНІСТЮ "ВБ СТРАЖ"</x:v>
      </x:c>
      <x:c r="D166" s="14" t="str">
        <x:v>Слаботочні системи</x:v>
      </x:c>
      <x:c r="E166" s="14" t="str">
        <x:v>Requalify</x:v>
      </x:c>
      <x:c r="F166" s="17" t="str">
        <x:f>IF(E166="Pilot now",IF(P166&gt;=84,"P1",IF(P166&gt;=72,"P2","P3")),IF(E166="Expansion discovery",IF(Q166&gt;=88,"D1",IF(Q166&gt;=78,"D2","D3")),IF(E166="Later / requirements","L","Legacy")))</x:f>
        <x:v>Legacy</x:v>
      </x:c>
      <x:c r="G166" s="14" t="str">
        <x:v>vb-strag.com.ua</x:v>
      </x:c>
      <x:c r="H166" s="14" t="str">
        <x:v>Перекваліфікувати</x:v>
      </x:c>
      <x:c r="I166" s="16" t="str"/>
      <x:c r="J166" s="16" t="str"/>
      <x:c r="K166" s="16" t="str"/>
      <x:c r="L166" s="16" t="str"/>
      <x:c r="M166" s="16" t="str"/>
      <x:c r="N166" s="16" t="str"/>
      <x:c r="O166" s="16" t="str"/>
      <x:c r="P166" s="16" t="str">
        <x:f>IF(COUNT(I166:O166)&lt;7,"",I166*8+J166*3+K166*2+L166*2+M166*2+N166*2+O166)</x:f>
      </x:c>
      <x:c r="Q166" s="16" t="str">
        <x:f>IF(COUNT(J166:O166)&lt;6,"",J166*5+K166*4+M166*4+L166*3+N166*2+O166*2)</x:f>
      </x:c>
      <x:c r="R166" s="14" t="str">
        <x:v>low</x:v>
      </x:c>
      <x:c r="S166" s="14" t="str">
        <x:v>needs_full_reverification</x:v>
      </x:c>
      <x:c r="T166" s="14" t="str">
        <x:v>legacy_not_reverified</x:v>
      </x:c>
      <x:c r="U166" s="14" t="str">
        <x:v>Потрібна повторна перевірка</x:v>
      </x:c>
      <x:c r="V166" s="15" t="str">
        <x:v>Повністю перевірити сайт і поточний проєкт перед контактом</x:v>
      </x:c>
      <x:c r="W166" s="15" t="str">
        <x:v>Власник / директор; керівник ПТО</x:v>
      </x:c>
      <x:c r="X166" s="15" t="str">
        <x:v>Legacy-запис потребує повторної публічної перевірки.</x:v>
      </x:c>
      <x:c r="Y166" s="15" t="str">
        <x:v>Уточнити, які етапи та докази стають недоступними після закриття робіт.</x:v>
      </x:c>
      <x:c r="Z166" s="15" t="str">
        <x:v>https://vb-strag.com.ua</x:v>
      </x:c>
      <x:c r="AA166" s="14" t="str">
        <x:v>43046609</x:v>
      </x:c>
      <x:c r="AB166" s="14" t="str"/>
      <x:c r="AC166" s="14" t="str">
        <x:v>Олександр</x:v>
      </x:c>
      <x:c r="AD166" s="18" t="str"/>
      <x:c r="AE166" s="14" t="str"/>
    </x:row>
    <x:row r="167">
      <x:c r="A167" s="14" t="str">
        <x:v>V2-025</x:v>
      </x:c>
      <x:c r="B167" s="14" t="str">
        <x:v>Legacy 28</x:v>
      </x:c>
      <x:c r="C167" s="14" t="str">
        <x:v>ТОВАРИСТВО З ОБМЕЖЕНОЮ ВІДПОВІДАЛЬНІСТЮ "НІК"</x:v>
      </x:c>
      <x:c r="D167" s="14" t="str">
        <x:v>Електромонтаж</x:v>
      </x:c>
      <x:c r="E167" s="14" t="str">
        <x:v>Requalify</x:v>
      </x:c>
      <x:c r="F167" s="17" t="str">
        <x:f>IF(E167="Pilot now",IF(P167&gt;=84,"P1",IF(P167&gt;=72,"P2","P3")),IF(E167="Expansion discovery",IF(Q167&gt;=88,"D1",IF(Q167&gt;=78,"D2","D3")),IF(E167="Later / requirements","L","Legacy")))</x:f>
        <x:v>Legacy</x:v>
      </x:c>
      <x:c r="G167" s="14" t="str">
        <x:v>nik.net.ua</x:v>
      </x:c>
      <x:c r="H167" s="14" t="str">
        <x:v>Перекваліфікувати</x:v>
      </x:c>
      <x:c r="I167" s="16" t="str"/>
      <x:c r="J167" s="16" t="str"/>
      <x:c r="K167" s="16" t="str"/>
      <x:c r="L167" s="16" t="str"/>
      <x:c r="M167" s="16" t="str"/>
      <x:c r="N167" s="16" t="str"/>
      <x:c r="O167" s="16" t="str"/>
      <x:c r="P167" s="16" t="str">
        <x:f>IF(COUNT(I167:O167)&lt;7,"",I167*8+J167*3+K167*2+L167*2+M167*2+N167*2+O167)</x:f>
      </x:c>
      <x:c r="Q167" s="16" t="str">
        <x:f>IF(COUNT(J167:O167)&lt;6,"",J167*5+K167*4+M167*4+L167*3+N167*2+O167*2)</x:f>
      </x:c>
      <x:c r="R167" s="14" t="str">
        <x:v>low</x:v>
      </x:c>
      <x:c r="S167" s="14" t="str">
        <x:v>needs_full_reverification</x:v>
      </x:c>
      <x:c r="T167" s="14" t="str">
        <x:v>legacy_not_reverified</x:v>
      </x:c>
      <x:c r="U167" s="14" t="str">
        <x:v>Потрібна повторна перевірка</x:v>
      </x:c>
      <x:c r="V167" s="15" t="str">
        <x:v>Повністю перевірити сайт і поточний проєкт перед контактом</x:v>
      </x:c>
      <x:c r="W167" s="15" t="str">
        <x:v>Власник / директор; керівник ПТО</x:v>
      </x:c>
      <x:c r="X167" s="15" t="str">
        <x:v>Legacy-запис потребує повторної публічної перевірки.</x:v>
      </x:c>
      <x:c r="Y167" s="15" t="str">
        <x:v>Уточнити, які етапи та докази стають недоступними після закриття робіт.</x:v>
      </x:c>
      <x:c r="Z167" s="15" t="str">
        <x:v>https://nik.net.ua</x:v>
      </x:c>
      <x:c r="AA167" s="14" t="str">
        <x:v>31305795</x:v>
      </x:c>
      <x:c r="AB167" s="14" t="str"/>
      <x:c r="AC167" s="14" t="str">
        <x:v>Олександр</x:v>
      </x:c>
      <x:c r="AD167" s="18" t="str"/>
      <x:c r="AE167" s="14" t="str"/>
    </x:row>
    <x:row r="168">
      <x:c r="A168" s="14" t="str">
        <x:v>V2-014</x:v>
      </x:c>
      <x:c r="B168" s="14" t="str">
        <x:v>Legacy 28</x:v>
      </x:c>
      <x:c r="C168" s="14" t="str">
        <x:v>DELA ENERGY GROUP</x:v>
      </x:c>
      <x:c r="D168" s="14" t="str">
        <x:v>Сонячна енергетика</x:v>
      </x:c>
      <x:c r="E168" s="14" t="str">
        <x:v>Requalify</x:v>
      </x:c>
      <x:c r="F168" s="17" t="str">
        <x:f>IF(E168="Pilot now",IF(P168&gt;=84,"P1",IF(P168&gt;=72,"P2","P3")),IF(E168="Expansion discovery",IF(Q168&gt;=88,"D1",IF(Q168&gt;=78,"D2","D3")),IF(E168="Later / requirements","L","Legacy")))</x:f>
        <x:v>Legacy</x:v>
      </x:c>
      <x:c r="G168" s="14" t="str">
        <x:v>delaenergy.systems</x:v>
      </x:c>
      <x:c r="H168" s="14" t="str">
        <x:v>Перекваліфікувати</x:v>
      </x:c>
      <x:c r="I168" s="16" t="str"/>
      <x:c r="J168" s="16" t="str"/>
      <x:c r="K168" s="16" t="str"/>
      <x:c r="L168" s="16" t="str"/>
      <x:c r="M168" s="16" t="str"/>
      <x:c r="N168" s="16" t="str"/>
      <x:c r="O168" s="16" t="str"/>
      <x:c r="P168" s="16" t="str">
        <x:f>IF(COUNT(I168:O168)&lt;7,"",I168*8+J168*3+K168*2+L168*2+M168*2+N168*2+O168)</x:f>
      </x:c>
      <x:c r="Q168" s="16" t="str">
        <x:f>IF(COUNT(J168:O168)&lt;6,"",J168*5+K168*4+M168*4+L168*3+N168*2+O168*2)</x:f>
      </x:c>
      <x:c r="R168" s="14" t="str">
        <x:v>low</x:v>
      </x:c>
      <x:c r="S168" s="14" t="str">
        <x:v>needs_full_reverification</x:v>
      </x:c>
      <x:c r="T168" s="14" t="str">
        <x:v>legacy_not_reverified</x:v>
      </x:c>
      <x:c r="U168" s="14" t="str">
        <x:v>Потрібна повторна перевірка</x:v>
      </x:c>
      <x:c r="V168" s="15" t="str">
        <x:v>Повністю перевірити сайт і поточний проєкт перед контактом</x:v>
      </x:c>
      <x:c r="W168" s="15" t="str">
        <x:v>Власник / директор; керівник ПТО</x:v>
      </x:c>
      <x:c r="X168" s="15" t="str">
        <x:v>Legacy-запис потребує повторної публічної перевірки.</x:v>
      </x:c>
      <x:c r="Y168" s="15" t="str">
        <x:v>Уточнити, які етапи та докази стають недоступними після закриття робіт.</x:v>
      </x:c>
      <x:c r="Z168" s="15" t="str">
        <x:v>https://delaenergy.systems</x:v>
      </x:c>
      <x:c r="AA168" s="14" t="str">
        <x:v>43674904</x:v>
      </x:c>
      <x:c r="AB168" s="14" t="str"/>
      <x:c r="AC168" s="14" t="str">
        <x:v>Олександр</x:v>
      </x:c>
      <x:c r="AD168" s="18" t="str"/>
      <x:c r="AE168" s="14" t="str"/>
    </x:row>
    <x:row r="169">
      <x:c r="A169" s="14" t="str">
        <x:v>V2-021</x:v>
      </x:c>
      <x:c r="B169" s="14" t="str">
        <x:v>Legacy 28</x:v>
      </x:c>
      <x:c r="C169" s="14" t="str">
        <x:v>REC SECURITY LLC</x:v>
      </x:c>
      <x:c r="D169" s="14" t="str">
        <x:v>Слаботочні системи</x:v>
      </x:c>
      <x:c r="E169" s="14" t="str">
        <x:v>Requalify</x:v>
      </x:c>
      <x:c r="F169" s="17" t="str">
        <x:f>IF(E169="Pilot now",IF(P169&gt;=84,"P1",IF(P169&gt;=72,"P2","P3")),IF(E169="Expansion discovery",IF(Q169&gt;=88,"D1",IF(Q169&gt;=78,"D2","D3")),IF(E169="Later / requirements","L","Legacy")))</x:f>
        <x:v>Legacy</x:v>
      </x:c>
      <x:c r="G169" s="14" t="str">
        <x:v>rec-security.com.ua</x:v>
      </x:c>
      <x:c r="H169" s="14" t="str">
        <x:v>Перекваліфікувати</x:v>
      </x:c>
      <x:c r="I169" s="16" t="str"/>
      <x:c r="J169" s="16" t="str"/>
      <x:c r="K169" s="16" t="str"/>
      <x:c r="L169" s="16" t="str"/>
      <x:c r="M169" s="16" t="str"/>
      <x:c r="N169" s="16" t="str"/>
      <x:c r="O169" s="16" t="str"/>
      <x:c r="P169" s="16" t="str">
        <x:f>IF(COUNT(I169:O169)&lt;7,"",I169*8+J169*3+K169*2+L169*2+M169*2+N169*2+O169)</x:f>
      </x:c>
      <x:c r="Q169" s="16" t="str">
        <x:f>IF(COUNT(J169:O169)&lt;6,"",J169*5+K169*4+M169*4+L169*3+N169*2+O169*2)</x:f>
      </x:c>
      <x:c r="R169" s="14" t="str">
        <x:v>low</x:v>
      </x:c>
      <x:c r="S169" s="14" t="str">
        <x:v>needs_full_reverification</x:v>
      </x:c>
      <x:c r="T169" s="14" t="str">
        <x:v>legacy_not_reverified</x:v>
      </x:c>
      <x:c r="U169" s="14" t="str">
        <x:v>Потрібна повторна перевірка</x:v>
      </x:c>
      <x:c r="V169" s="15" t="str">
        <x:v>Повністю перевірити сайт і поточний проєкт перед контактом</x:v>
      </x:c>
      <x:c r="W169" s="15" t="str">
        <x:v>Власник / директор; керівник ПТО</x:v>
      </x:c>
      <x:c r="X169" s="15" t="str">
        <x:v>Legacy-запис потребує повторної публічної перевірки.</x:v>
      </x:c>
      <x:c r="Y169" s="15" t="str">
        <x:v>Уточнити, які етапи та докази стають недоступними після закриття робіт.</x:v>
      </x:c>
      <x:c r="Z169" s="15" t="str">
        <x:v>https://rec-security.com.ua</x:v>
      </x:c>
      <x:c r="AA169" s="14" t="str">
        <x:v>44731360</x:v>
      </x:c>
      <x:c r="AB169" s="14" t="str"/>
      <x:c r="AC169" s="14" t="str">
        <x:v>Олександр</x:v>
      </x:c>
      <x:c r="AD169" s="18" t="str"/>
      <x:c r="AE169" s="14" t="str"/>
    </x:row>
    <x:row r="170">
      <x:c r="A170" s="14" t="str">
        <x:v>W2-001</x:v>
      </x:c>
      <x:c r="B170" s="14" t="str">
        <x:v>Проєктний сигнал — 24.08</x:v>
      </x:c>
      <x:c r="C170" s="14" t="str">
        <x:v>ТОВ «Горизонтально направлене буріння»</x:v>
      </x:c>
      <x:c r="D170" s="14" t="str">
        <x:v>ГНБ / безтраншейні мережі</x:v>
      </x:c>
      <x:c r="E170" s="14" t="str">
        <x:v>Expansion discovery</x:v>
      </x:c>
      <x:c r="F170" s="17" t="str">
        <x:f>IF(E170="Pilot now",IF(P170&gt;=84,"P1",IF(P170&gt;=72,"P2","P3")),IF(E170="Expansion discovery",IF(Q170&gt;=88,"D1",IF(Q170&gt;=78,"D2","D3")),IF(E170="Later / requirements","L","Legacy")))</x:f>
        <x:v>D1</x:v>
      </x:c>
      <x:c r="G170" s="14" t="str">
        <x:v>gnb.in.ua</x:v>
      </x:c>
      <x:c r="H170" s="14" t="str">
        <x:v>2-тижневий workflow discovery — потрібні вимоги одного проєкту</x:v>
      </x:c>
      <x:c r="I170" s="16" t="n">
        <x:v>1</x:v>
      </x:c>
      <x:c r="J170" s="16" t="n">
        <x:v>5</x:v>
      </x:c>
      <x:c r="K170" s="16" t="n">
        <x:v>5</x:v>
      </x:c>
      <x:c r="L170" s="16" t="n">
        <x:v>4</x:v>
      </x:c>
      <x:c r="M170" s="16" t="n">
        <x:v>5</x:v>
      </x:c>
      <x:c r="N170" s="16" t="n">
        <x:v>5</x:v>
      </x:c>
      <x:c r="O170" s="16" t="n">
        <x:v>5</x:v>
      </x:c>
      <x:c r="P170" s="16" t="n">
        <x:f>IF(COUNT(I170:O170)&lt;7,"",I170*8+J170*3+K170*2+L170*2+M170*2+N170*2+O170)</x:f>
        <x:v>66</x:v>
      </x:c>
      <x:c r="Q170" s="16" t="n">
        <x:f>IF(COUNT(J170:O170)&lt;6,"",J170*5+K170*4+M170*4+L170*3+N170*2+O170*2)</x:f>
        <x:v>97</x:v>
      </x:c>
      <x:c r="R170" s="14" t="str">
        <x:v>high</x:v>
      </x:c>
      <x:c r="S170" s="14" t="str">
        <x:v>google_index_verified_2026-08-24</x:v>
      </x:c>
      <x:c r="T170" s="14" t="str">
        <x:v>indexed_official_service_page</x:v>
      </x:c>
      <x:c r="U170" s="14" t="str">
        <x:v>Новий — не контактували</x:v>
      </x:c>
      <x:c r="V170" s="15" t="str">
        <x:v>2-тижневий discovery: запросити вимоги 1 активного проєкту + 1 знеособлений артефакт</x:v>
      </x:c>
      <x:c r="W170" s="15" t="str">
        <x:v>Власник / директор; керівник будівництва; керівник ПТО</x:v>
      </x:c>
      <x:c r="X170" s="15" t="str">
        <x:v>ГНБ і проколи для інженерних комунікацій. Пошуковий результат веде на індексовану сторінку корпоративного домену: ООО Горизонтально Направленное Бурение.</x:v>
      </x:c>
      <x:c r="Y170" s="15" t="str">
        <x:v>Траса, пілотна свердловина, розширення та протягування стають невидимими; потрібні журнали, геоприв'язка й докази до здачі переходу.</x:v>
      </x:c>
      <x:c r="Z170" s="15" t="str">
        <x:v>https://www.gnb.in.ua/</x:v>
      </x:c>
      <x:c r="AA170" s="14" t="str"/>
      <x:c r="AB170" s="14" t="str">
        <x:v>2026-08-24</x:v>
      </x:c>
      <x:c r="AC170" s="14" t="str">
        <x:v>Олександр</x:v>
      </x:c>
      <x:c r="AD170" s="18" t="str"/>
      <x:c r="AE170" s="14" t="str"/>
    </x:row>
    <x:row r="171">
      <x:c r="A171" s="14" t="str">
        <x:v>W2-002</x:v>
      </x:c>
      <x:c r="B171" s="14" t="str">
        <x:v>Проєктний сигнал — 24.08</x:v>
      </x:c>
      <x:c r="C171" s="14" t="str">
        <x:v>GNB Ukraine</x:v>
      </x:c>
      <x:c r="D171" s="14" t="str">
        <x:v>ГНБ / безтраншейні мережі</x:v>
      </x:c>
      <x:c r="E171" s="14" t="str">
        <x:v>Expansion discovery</x:v>
      </x:c>
      <x:c r="F171" s="17" t="str">
        <x:f>IF(E171="Pilot now",IF(P171&gt;=84,"P1",IF(P171&gt;=72,"P2","P3")),IF(E171="Expansion discovery",IF(Q171&gt;=88,"D1",IF(Q171&gt;=78,"D2","D3")),IF(E171="Later / requirements","L","Legacy")))</x:f>
        <x:v>D1</x:v>
      </x:c>
      <x:c r="G171" s="14" t="str">
        <x:v>gnbukr.com.ua</x:v>
      </x:c>
      <x:c r="H171" s="14" t="str">
        <x:v>2-тижневий workflow discovery — потрібні вимоги одного проєкту</x:v>
      </x:c>
      <x:c r="I171" s="16" t="n">
        <x:v>1</x:v>
      </x:c>
      <x:c r="J171" s="16" t="n">
        <x:v>5</x:v>
      </x:c>
      <x:c r="K171" s="16" t="n">
        <x:v>5</x:v>
      </x:c>
      <x:c r="L171" s="16" t="n">
        <x:v>4</x:v>
      </x:c>
      <x:c r="M171" s="16" t="n">
        <x:v>5</x:v>
      </x:c>
      <x:c r="N171" s="16" t="n">
        <x:v>5</x:v>
      </x:c>
      <x:c r="O171" s="16" t="n">
        <x:v>5</x:v>
      </x:c>
      <x:c r="P171" s="16" t="n">
        <x:f>IF(COUNT(I171:O171)&lt;7,"",I171*8+J171*3+K171*2+L171*2+M171*2+N171*2+O171)</x:f>
        <x:v>66</x:v>
      </x:c>
      <x:c r="Q171" s="16" t="n">
        <x:f>IF(COUNT(J171:O171)&lt;6,"",J171*5+K171*4+M171*4+L171*3+N171*2+O171*2)</x:f>
        <x:v>97</x:v>
      </x:c>
      <x:c r="R171" s="14" t="str">
        <x:v>high</x:v>
      </x:c>
      <x:c r="S171" s="14" t="str">
        <x:v>google_index_verified_2026-08-24</x:v>
      </x:c>
      <x:c r="T171" s="14" t="str">
        <x:v>indexed_official_service_page</x:v>
      </x:c>
      <x:c r="U171" s="14" t="str">
        <x:v>Новий — не контактували</x:v>
      </x:c>
      <x:c r="V171" s="15" t="str">
        <x:v>2-тижневий discovery: запросити вимоги 1 активного проєкту + 1 знеособлений артефакт</x:v>
      </x:c>
      <x:c r="W171" s="15" t="str">
        <x:v>Власник / директор; керівник будівництва; керівник ПТО</x:v>
      </x:c>
      <x:c r="X171" s="15" t="str">
        <x:v>Безтраншейне прокладання труб методом ГНБ. Пошуковий результат веде на індексовану сторінку корпоративного домену: ГНБ Україна — GNB Ukraine.</x:v>
      </x:c>
      <x:c r="Y171" s="15" t="str">
        <x:v>Траса, пілотна свердловина, розширення та протягування стають невидимими; потрібні журнали, геоприв'язка й докази до здачі переходу.</x:v>
      </x:c>
      <x:c r="Z171" s="15" t="str">
        <x:v>https://gnbukr.com.ua/uk/</x:v>
      </x:c>
      <x:c r="AA171" s="14" t="str"/>
      <x:c r="AB171" s="14" t="str">
        <x:v>2026-08-24</x:v>
      </x:c>
      <x:c r="AC171" s="14" t="str">
        <x:v>Олександр</x:v>
      </x:c>
      <x:c r="AD171" s="18" t="str"/>
      <x:c r="AE171" s="14" t="str"/>
    </x:row>
    <x:row r="172">
      <x:c r="A172" s="14" t="str">
        <x:v>W2-003</x:v>
      </x:c>
      <x:c r="B172" s="14" t="str">
        <x:v>Проєктний сигнал — 24.08</x:v>
      </x:c>
      <x:c r="C172" s="14" t="str">
        <x:v>Південний Енерготехнічний Завод / PETZ</x:v>
      </x:c>
      <x:c r="D172" s="14" t="str">
        <x:v>ГНБ / безтраншейні мережі</x:v>
      </x:c>
      <x:c r="E172" s="14" t="str">
        <x:v>Expansion discovery</x:v>
      </x:c>
      <x:c r="F172" s="17" t="str">
        <x:f>IF(E172="Pilot now",IF(P172&gt;=84,"P1",IF(P172&gt;=72,"P2","P3")),IF(E172="Expansion discovery",IF(Q172&gt;=88,"D1",IF(Q172&gt;=78,"D2","D3")),IF(E172="Later / requirements","L","Legacy")))</x:f>
        <x:v>D1</x:v>
      </x:c>
      <x:c r="G172" s="14" t="str">
        <x:v>gnb.energy</x:v>
      </x:c>
      <x:c r="H172" s="14" t="str">
        <x:v>2-тижневий workflow discovery — потрібні вимоги одного проєкту</x:v>
      </x:c>
      <x:c r="I172" s="16" t="n">
        <x:v>1</x:v>
      </x:c>
      <x:c r="J172" s="16" t="n">
        <x:v>5</x:v>
      </x:c>
      <x:c r="K172" s="16" t="n">
        <x:v>5</x:v>
      </x:c>
      <x:c r="L172" s="16" t="n">
        <x:v>4</x:v>
      </x:c>
      <x:c r="M172" s="16" t="n">
        <x:v>5</x:v>
      </x:c>
      <x:c r="N172" s="16" t="n">
        <x:v>5</x:v>
      </x:c>
      <x:c r="O172" s="16" t="n">
        <x:v>5</x:v>
      </x:c>
      <x:c r="P172" s="16" t="n">
        <x:f>IF(COUNT(I172:O172)&lt;7,"",I172*8+J172*3+K172*2+L172*2+M172*2+N172*2+O172)</x:f>
        <x:v>66</x:v>
      </x:c>
      <x:c r="Q172" s="16" t="n">
        <x:f>IF(COUNT(J172:O172)&lt;6,"",J172*5+K172*4+M172*4+L172*3+N172*2+O172*2)</x:f>
        <x:v>97</x:v>
      </x:c>
      <x:c r="R172" s="14" t="str">
        <x:v>high</x:v>
      </x:c>
      <x:c r="S172" s="14" t="str">
        <x:v>google_index_verified_2026-08-24</x:v>
      </x:c>
      <x:c r="T172" s="14" t="str">
        <x:v>indexed_official_service_page</x:v>
      </x:c>
      <x:c r="U172" s="14" t="str">
        <x:v>Новий — не контактували</x:v>
      </x:c>
      <x:c r="V172" s="15" t="str">
        <x:v>2-тижневий discovery: запросити вимоги 1 активного проєкту + 1 знеособлений артефакт</x:v>
      </x:c>
      <x:c r="W172" s="15" t="str">
        <x:v>Власник / директор; керівник будівництва; керівник ПТО</x:v>
      </x:c>
      <x:c r="X172" s="15" t="str">
        <x:v>Горизонтально спрямоване буріння у складі інженерних систем. Пошуковий результат веде на індексовану сторінку корпоративного домену: ГНБ — інженерні системи PETZ.</x:v>
      </x:c>
      <x:c r="Y172" s="15" t="str">
        <x:v>Траса, пілотна свердловина, розширення та протягування стають невидимими; потрібні журнали, геоприв'язка й докази до здачі переходу.</x:v>
      </x:c>
      <x:c r="Z172" s="15" t="str">
        <x:v>https://gnb.energy/</x:v>
      </x:c>
      <x:c r="AA172" s="14" t="str"/>
      <x:c r="AB172" s="14" t="str">
        <x:v>2026-08-24</x:v>
      </x:c>
      <x:c r="AC172" s="14" t="str">
        <x:v>Олександр</x:v>
      </x:c>
      <x:c r="AD172" s="18" t="str"/>
      <x:c r="AE172" s="14" t="str"/>
    </x:row>
    <x:row r="173">
      <x:c r="A173" s="14" t="str">
        <x:v>W2-004</x:v>
      </x:c>
      <x:c r="B173" s="14" t="str">
        <x:v>Проєктний сигнал — 24.08</x:v>
      </x:c>
      <x:c r="C173" s="14" t="str">
        <x:v>Рембудзв'язок</x:v>
      </x:c>
      <x:c r="D173" s="14" t="str">
        <x:v>ГНБ / безтраншейні мережі</x:v>
      </x:c>
      <x:c r="E173" s="14" t="str">
        <x:v>Expansion discovery</x:v>
      </x:c>
      <x:c r="F173" s="17" t="str">
        <x:f>IF(E173="Pilot now",IF(P173&gt;=84,"P1",IF(P173&gt;=72,"P2","P3")),IF(E173="Expansion discovery",IF(Q173&gt;=88,"D1",IF(Q173&gt;=78,"D2","D3")),IF(E173="Later / requirements","L","Legacy")))</x:f>
        <x:v>D1</x:v>
      </x:c>
      <x:c r="G173" s="14" t="str">
        <x:v>rbz.com.ua</x:v>
      </x:c>
      <x:c r="H173" s="14" t="str">
        <x:v>2-тижневий workflow discovery — потрібні вимоги одного проєкту</x:v>
      </x:c>
      <x:c r="I173" s="16" t="n">
        <x:v>1</x:v>
      </x:c>
      <x:c r="J173" s="16" t="n">
        <x:v>5</x:v>
      </x:c>
      <x:c r="K173" s="16" t="n">
        <x:v>5</x:v>
      </x:c>
      <x:c r="L173" s="16" t="n">
        <x:v>4</x:v>
      </x:c>
      <x:c r="M173" s="16" t="n">
        <x:v>5</x:v>
      </x:c>
      <x:c r="N173" s="16" t="n">
        <x:v>5</x:v>
      </x:c>
      <x:c r="O173" s="16" t="n">
        <x:v>3</x:v>
      </x:c>
      <x:c r="P173" s="16" t="n">
        <x:f>IF(COUNT(I173:O173)&lt;7,"",I173*8+J173*3+K173*2+L173*2+M173*2+N173*2+O173)</x:f>
        <x:v>64</x:v>
      </x:c>
      <x:c r="Q173" s="16" t="n">
        <x:f>IF(COUNT(J173:O173)&lt;6,"",J173*5+K173*4+M173*4+L173*3+N173*2+O173*2)</x:f>
        <x:v>93</x:v>
      </x:c>
      <x:c r="R173" s="14" t="str">
        <x:v>medium</x:v>
      </x:c>
      <x:c r="S173" s="14" t="str">
        <x:v>google_index_verified_manual_check_2026-08-24</x:v>
      </x:c>
      <x:c r="T173" s="14" t="str">
        <x:v>indexed_official_page_manual_check</x:v>
      </x:c>
      <x:c r="U173" s="14" t="str">
        <x:v>Новий — не контактували</x:v>
      </x:c>
      <x:c r="V173" s="15" t="str">
        <x:v>2-тижневий discovery: запросити вимоги 1 активного проєкту + 1 знеособлений артефакт</x:v>
      </x:c>
      <x:c r="W173" s="15" t="str">
        <x:v>Власник / директор; керівник будівництва; керівник ПТО</x:v>
      </x:c>
      <x:c r="X173" s="15" t="str">
        <x:v>Власний парк і монтажно-бурові роботи. Пошуковий результат веде на індексовану сторінку корпоративного домену: ГНБ — Рембудзв'язок.</x:v>
      </x:c>
      <x:c r="Y173" s="15" t="str">
        <x:v>Траса, пілотна свердловина, розширення та протягування стають невидимими; потрібні журнали, геоприв'язка й докази до здачі переходу.</x:v>
      </x:c>
      <x:c r="Z173" s="15" t="str">
        <x:v>http://rbz.com.ua/ua/horizontal-directional-drilling/</x:v>
      </x:c>
      <x:c r="AA173" s="14" t="str"/>
      <x:c r="AB173" s="14" t="str">
        <x:v>2026-08-24</x:v>
      </x:c>
      <x:c r="AC173" s="14" t="str">
        <x:v>Олександр</x:v>
      </x:c>
      <x:c r="AD173" s="18" t="str"/>
      <x:c r="AE173" s="14" t="str"/>
    </x:row>
    <x:row r="174">
      <x:c r="A174" s="14" t="str">
        <x:v>W2-005</x:v>
      </x:c>
      <x:c r="B174" s="14" t="str">
        <x:v>Проєктний сигнал — 24.08</x:v>
      </x:c>
      <x:c r="C174" s="14" t="str">
        <x:v>ЗахідБурІнвест</x:v>
      </x:c>
      <x:c r="D174" s="14" t="str">
        <x:v>ГНБ / безтраншейні мережі</x:v>
      </x:c>
      <x:c r="E174" s="14" t="str">
        <x:v>Expansion discovery</x:v>
      </x:c>
      <x:c r="F174" s="17" t="str">
        <x:f>IF(E174="Pilot now",IF(P174&gt;=84,"P1",IF(P174&gt;=72,"P2","P3")),IF(E174="Expansion discovery",IF(Q174&gt;=88,"D1",IF(Q174&gt;=78,"D2","D3")),IF(E174="Later / requirements","L","Legacy")))</x:f>
        <x:v>D1</x:v>
      </x:c>
      <x:c r="G174" s="14" t="str">
        <x:v>burinvest.com.ua</x:v>
      </x:c>
      <x:c r="H174" s="14" t="str">
        <x:v>2-тижневий workflow discovery — потрібні вимоги одного проєкту</x:v>
      </x:c>
      <x:c r="I174" s="16" t="n">
        <x:v>1</x:v>
      </x:c>
      <x:c r="J174" s="16" t="n">
        <x:v>5</x:v>
      </x:c>
      <x:c r="K174" s="16" t="n">
        <x:v>5</x:v>
      </x:c>
      <x:c r="L174" s="16" t="n">
        <x:v>4</x:v>
      </x:c>
      <x:c r="M174" s="16" t="n">
        <x:v>5</x:v>
      </x:c>
      <x:c r="N174" s="16" t="n">
        <x:v>5</x:v>
      </x:c>
      <x:c r="O174" s="16" t="n">
        <x:v>5</x:v>
      </x:c>
      <x:c r="P174" s="16" t="n">
        <x:f>IF(COUNT(I174:O174)&lt;7,"",I174*8+J174*3+K174*2+L174*2+M174*2+N174*2+O174)</x:f>
        <x:v>66</x:v>
      </x:c>
      <x:c r="Q174" s="16" t="n">
        <x:f>IF(COUNT(J174:O174)&lt;6,"",J174*5+K174*4+M174*4+L174*3+N174*2+O174*2)</x:f>
        <x:v>97</x:v>
      </x:c>
      <x:c r="R174" s="14" t="str">
        <x:v>high</x:v>
      </x:c>
      <x:c r="S174" s="14" t="str">
        <x:v>google_index_verified_2026-08-24</x:v>
      </x:c>
      <x:c r="T174" s="14" t="str">
        <x:v>indexed_official_service_page</x:v>
      </x:c>
      <x:c r="U174" s="14" t="str">
        <x:v>Новий — не контактували</x:v>
      </x:c>
      <x:c r="V174" s="15" t="str">
        <x:v>2-тижневий discovery: запросити вимоги 1 активного проєкту + 1 знеособлений артефакт</x:v>
      </x:c>
      <x:c r="W174" s="15" t="str">
        <x:v>Власник / директор; керівник будівництва; керівник ПТО</x:v>
      </x:c>
      <x:c r="X174" s="15" t="str">
        <x:v>Переходи ГНБ для безтраншейного прокладання. Пошуковий результат веде на індексовану сторінку корпоративного домену: Горизонтально-направлене буріння — ЗахідБурІнвест.</x:v>
      </x:c>
      <x:c r="Y174" s="15" t="str">
        <x:v>Траса, пілотна свердловина, розширення та протягування стають невидимими; потрібні журнали, геоприв'язка й докази до здачі переходу.</x:v>
      </x:c>
      <x:c r="Z174" s="15" t="str">
        <x:v>https://burinvest.com.ua/</x:v>
      </x:c>
      <x:c r="AA174" s="14" t="str"/>
      <x:c r="AB174" s="14" t="str">
        <x:v>2026-08-24</x:v>
      </x:c>
      <x:c r="AC174" s="14" t="str">
        <x:v>Олександр</x:v>
      </x:c>
      <x:c r="AD174" s="18" t="str"/>
      <x:c r="AE174" s="14" t="str"/>
    </x:row>
    <x:row r="175">
      <x:c r="A175" s="14" t="str">
        <x:v>W2-006</x:v>
      </x:c>
      <x:c r="B175" s="14" t="str">
        <x:v>Проєктний сигнал — 24.08</x:v>
      </x:c>
      <x:c r="C175" s="14" t="str">
        <x:v>Акваполімер Інжиніринг</x:v>
      </x:c>
      <x:c r="D175" s="14" t="str">
        <x:v>Водоочищення та очисні споруди</x:v>
      </x:c>
      <x:c r="E175" s="14" t="str">
        <x:v>Expansion discovery</x:v>
      </x:c>
      <x:c r="F175" s="17" t="str">
        <x:f>IF(E175="Pilot now",IF(P175&gt;=84,"P1",IF(P175&gt;=72,"P2","P3")),IF(E175="Expansion discovery",IF(Q175&gt;=88,"D1",IF(Q175&gt;=78,"D2","D3")),IF(E175="Later / requirements","L","Legacy")))</x:f>
        <x:v>D1</x:v>
      </x:c>
      <x:c r="G175" s="14" t="str">
        <x:v>aquapolymer.com.ua</x:v>
      </x:c>
      <x:c r="H175" s="14" t="str">
        <x:v>2-тижневий workflow discovery — потрібні вимоги одного проєкту</x:v>
      </x:c>
      <x:c r="I175" s="16" t="n">
        <x:v>1</x:v>
      </x:c>
      <x:c r="J175" s="16" t="n">
        <x:v>5</x:v>
      </x:c>
      <x:c r="K175" s="16" t="n">
        <x:v>5</x:v>
      </x:c>
      <x:c r="L175" s="16" t="n">
        <x:v>4</x:v>
      </x:c>
      <x:c r="M175" s="16" t="n">
        <x:v>5</x:v>
      </x:c>
      <x:c r="N175" s="16" t="n">
        <x:v>5</x:v>
      </x:c>
      <x:c r="O175" s="16" t="n">
        <x:v>5</x:v>
      </x:c>
      <x:c r="P175" s="16" t="n">
        <x:f>IF(COUNT(I175:O175)&lt;7,"",I175*8+J175*3+K175*2+L175*2+M175*2+N175*2+O175)</x:f>
        <x:v>66</x:v>
      </x:c>
      <x:c r="Q175" s="16" t="n">
        <x:f>IF(COUNT(J175:O175)&lt;6,"",J175*5+K175*4+M175*4+L175*3+N175*2+O175*2)</x:f>
        <x:v>97</x:v>
      </x:c>
      <x:c r="R175" s="14" t="str">
        <x:v>high</x:v>
      </x:c>
      <x:c r="S175" s="14" t="str">
        <x:v>google_index_verified_2026-08-24</x:v>
      </x:c>
      <x:c r="T175" s="14" t="str">
        <x:v>indexed_official_service_page</x:v>
      </x:c>
      <x:c r="U175" s="14" t="str">
        <x:v>Новий — не контактували</x:v>
      </x:c>
      <x:c r="V175" s="15" t="str">
        <x:v>2-тижневий discovery: запросити вимоги 1 активного проєкту + 1 знеособлений артефакт</x:v>
      </x:c>
      <x:c r="W175" s="15" t="str">
        <x:v>Комерційний директор; керівник проєктів; головний технолог / ПТО</x:v>
      </x:c>
      <x:c r="X175" s="15" t="str">
        <x:v>Проєктування та реалізація систем водоочищення. Пошуковий результат веде на індексовану сторінку корпоративного домену: Проєктування систем водопостачання — Акваполімер.</x:v>
      </x:c>
      <x:c r="Y175" s="15" t="str">
        <x:v>Трубопроводи, закладні, резервуари, мембрани й пусконалагодження потребують поетапних актів, фото та протоколів.</x:v>
      </x:c>
      <x:c r="Z175" s="15" t="str">
        <x:v>https://aquapolymer.com.ua/poslugy/proektuvannya/</x:v>
      </x:c>
      <x:c r="AA175" s="14" t="str"/>
      <x:c r="AB175" s="14" t="str">
        <x:v>2026-08-24</x:v>
      </x:c>
      <x:c r="AC175" s="14" t="str">
        <x:v>Олександр</x:v>
      </x:c>
      <x:c r="AD175" s="18" t="str"/>
      <x:c r="AE175" s="14" t="str"/>
    </x:row>
    <x:row r="176">
      <x:c r="A176" s="14" t="str">
        <x:v>W2-007</x:v>
      </x:c>
      <x:c r="B176" s="14" t="str">
        <x:v>Проєктний сигнал — 24.08</x:v>
      </x:c>
      <x:c r="C176" s="14" t="str">
        <x:v>Екобіл</x:v>
      </x:c>
      <x:c r="D176" s="14" t="str">
        <x:v>Водоочищення та очисні споруди</x:v>
      </x:c>
      <x:c r="E176" s="14" t="str">
        <x:v>Expansion discovery</x:v>
      </x:c>
      <x:c r="F176" s="17" t="str">
        <x:f>IF(E176="Pilot now",IF(P176&gt;=84,"P1",IF(P176&gt;=72,"P2","P3")),IF(E176="Expansion discovery",IF(Q176&gt;=88,"D1",IF(Q176&gt;=78,"D2","D3")),IF(E176="Later / requirements","L","Legacy")))</x:f>
        <x:v>D1</x:v>
      </x:c>
      <x:c r="G176" s="14" t="str">
        <x:v>ekobil.net.ua</x:v>
      </x:c>
      <x:c r="H176" s="14" t="str">
        <x:v>2-тижневий workflow discovery — потрібні вимоги одного проєкту</x:v>
      </x:c>
      <x:c r="I176" s="16" t="n">
        <x:v>1</x:v>
      </x:c>
      <x:c r="J176" s="16" t="n">
        <x:v>5</x:v>
      </x:c>
      <x:c r="K176" s="16" t="n">
        <x:v>5</x:v>
      </x:c>
      <x:c r="L176" s="16" t="n">
        <x:v>4</x:v>
      </x:c>
      <x:c r="M176" s="16" t="n">
        <x:v>5</x:v>
      </x:c>
      <x:c r="N176" s="16" t="n">
        <x:v>5</x:v>
      </x:c>
      <x:c r="O176" s="16" t="n">
        <x:v>5</x:v>
      </x:c>
      <x:c r="P176" s="16" t="n">
        <x:f>IF(COUNT(I176:O176)&lt;7,"",I176*8+J176*3+K176*2+L176*2+M176*2+N176*2+O176)</x:f>
        <x:v>66</x:v>
      </x:c>
      <x:c r="Q176" s="16" t="n">
        <x:f>IF(COUNT(J176:O176)&lt;6,"",J176*5+K176*4+M176*4+L176*3+N176*2+O176*2)</x:f>
        <x:v>97</x:v>
      </x:c>
      <x:c r="R176" s="14" t="str">
        <x:v>high</x:v>
      </x:c>
      <x:c r="S176" s="14" t="str">
        <x:v>google_index_verified_2026-08-24</x:v>
      </x:c>
      <x:c r="T176" s="14" t="str">
        <x:v>indexed_official_service_page</x:v>
      </x:c>
      <x:c r="U176" s="14" t="str">
        <x:v>Новий — не контактували</x:v>
      </x:c>
      <x:c r="V176" s="15" t="str">
        <x:v>2-тижневий discovery: запросити вимоги 1 активного проєкту + 1 знеособлений артефакт</x:v>
      </x:c>
      <x:c r="W176" s="15" t="str">
        <x:v>Комерційний директор; керівник проєктів; головний технолог / ПТО</x:v>
      </x:c>
      <x:c r="X176" s="15" t="str">
        <x:v>Проєктування очисних споруд. Пошуковий результат веде на індексовану сторінку корпоративного домену: Проєктування очисних споруд — Екобіл.</x:v>
      </x:c>
      <x:c r="Y176" s="15" t="str">
        <x:v>Трубопроводи, закладні, резервуари, мембрани й пусконалагодження потребують поетапних актів, фото та протоколів.</x:v>
      </x:c>
      <x:c r="Z176" s="15" t="str">
        <x:v>https://ekobil.net.ua/proektuvannya-ochysnyh-sporud/</x:v>
      </x:c>
      <x:c r="AA176" s="14" t="str"/>
      <x:c r="AB176" s="14" t="str">
        <x:v>2026-08-24</x:v>
      </x:c>
      <x:c r="AC176" s="14" t="str">
        <x:v>Олександр</x:v>
      </x:c>
      <x:c r="AD176" s="18" t="str"/>
      <x:c r="AE176" s="14" t="str"/>
    </x:row>
    <x:row r="177">
      <x:c r="A177" s="14" t="str">
        <x:v>W2-008</x:v>
      </x:c>
      <x:c r="B177" s="14" t="str">
        <x:v>Проєктний сигнал — 24.08</x:v>
      </x:c>
      <x:c r="C177" s="14" t="str">
        <x:v>ППП-4</x:v>
      </x:c>
      <x:c r="D177" s="14" t="str">
        <x:v>Водоочищення та очисні споруди</x:v>
      </x:c>
      <x:c r="E177" s="14" t="str">
        <x:v>Expansion discovery</x:v>
      </x:c>
      <x:c r="F177" s="17" t="str">
        <x:f>IF(E177="Pilot now",IF(P177&gt;=84,"P1",IF(P177&gt;=72,"P2","P3")),IF(E177="Expansion discovery",IF(Q177&gt;=88,"D1",IF(Q177&gt;=78,"D2","D3")),IF(E177="Later / requirements","L","Legacy")))</x:f>
        <x:v>D1</x:v>
      </x:c>
      <x:c r="G177" s="14" t="str">
        <x:v>ppp4.kiev.ua</x:v>
      </x:c>
      <x:c r="H177" s="14" t="str">
        <x:v>2-тижневий workflow discovery — потрібні вимоги одного проєкту</x:v>
      </x:c>
      <x:c r="I177" s="16" t="n">
        <x:v>1</x:v>
      </x:c>
      <x:c r="J177" s="16" t="n">
        <x:v>5</x:v>
      </x:c>
      <x:c r="K177" s="16" t="n">
        <x:v>5</x:v>
      </x:c>
      <x:c r="L177" s="16" t="n">
        <x:v>4</x:v>
      </x:c>
      <x:c r="M177" s="16" t="n">
        <x:v>5</x:v>
      </x:c>
      <x:c r="N177" s="16" t="n">
        <x:v>5</x:v>
      </x:c>
      <x:c r="O177" s="16" t="n">
        <x:v>5</x:v>
      </x:c>
      <x:c r="P177" s="16" t="n">
        <x:f>IF(COUNT(I177:O177)&lt;7,"",I177*8+J177*3+K177*2+L177*2+M177*2+N177*2+O177)</x:f>
        <x:v>66</x:v>
      </x:c>
      <x:c r="Q177" s="16" t="n">
        <x:f>IF(COUNT(J177:O177)&lt;6,"",J177*5+K177*4+M177*4+L177*3+N177*2+O177*2)</x:f>
        <x:v>97</x:v>
      </x:c>
      <x:c r="R177" s="14" t="str">
        <x:v>high</x:v>
      </x:c>
      <x:c r="S177" s="14" t="str">
        <x:v>google_index_verified_2026-08-24</x:v>
      </x:c>
      <x:c r="T177" s="14" t="str">
        <x:v>indexed_official_service_page</x:v>
      </x:c>
      <x:c r="U177" s="14" t="str">
        <x:v>Новий — не контактували</x:v>
      </x:c>
      <x:c r="V177" s="15" t="str">
        <x:v>2-тижневий discovery: запросити вимоги 1 активного проєкту + 1 знеособлений артефакт</x:v>
      </x:c>
      <x:c r="W177" s="15" t="str">
        <x:v>Комерційний директор; керівник проєктів; головний технолог / ПТО</x:v>
      </x:c>
      <x:c r="X177" s="15" t="str">
        <x:v>Проєктування, монтаж і сервіс очисних споруд. Пошуковий результат веде на індексовану сторінку корпоративного домену: Очищення стічних вод — проєктування, монтаж, сервіс.</x:v>
      </x:c>
      <x:c r="Y177" s="15" t="str">
        <x:v>Трубопроводи, закладні, резервуари, мембрани й пусконалагодження потребують поетапних актів, фото та протоколів.</x:v>
      </x:c>
      <x:c r="Z177" s="15" t="str">
        <x:v>https://ppp4.kiev.ua/about_us.html</x:v>
      </x:c>
      <x:c r="AA177" s="14" t="str"/>
      <x:c r="AB177" s="14" t="str">
        <x:v>2026-08-24</x:v>
      </x:c>
      <x:c r="AC177" s="14" t="str">
        <x:v>Олександр</x:v>
      </x:c>
      <x:c r="AD177" s="18" t="str"/>
      <x:c r="AE177" s="14" t="str"/>
    </x:row>
    <x:row r="178">
      <x:c r="A178" s="14" t="str">
        <x:v>W2-009</x:v>
      </x:c>
      <x:c r="B178" s="14" t="str">
        <x:v>Проєктний сигнал — 24.08</x:v>
      </x:c>
      <x:c r="C178" s="14" t="str">
        <x:v>AquaCenter</x:v>
      </x:c>
      <x:c r="D178" s="14" t="str">
        <x:v>Водоочищення та очисні споруди</x:v>
      </x:c>
      <x:c r="E178" s="14" t="str">
        <x:v>Expansion discovery</x:v>
      </x:c>
      <x:c r="F178" s="17" t="str">
        <x:f>IF(E178="Pilot now",IF(P178&gt;=84,"P1",IF(P178&gt;=72,"P2","P3")),IF(E178="Expansion discovery",IF(Q178&gt;=88,"D1",IF(Q178&gt;=78,"D2","D3")),IF(E178="Later / requirements","L","Legacy")))</x:f>
        <x:v>D1</x:v>
      </x:c>
      <x:c r="G178" s="14" t="str">
        <x:v>aquacenter.com.ua</x:v>
      </x:c>
      <x:c r="H178" s="14" t="str">
        <x:v>2-тижневий workflow discovery — потрібні вимоги одного проєкту</x:v>
      </x:c>
      <x:c r="I178" s="16" t="n">
        <x:v>1</x:v>
      </x:c>
      <x:c r="J178" s="16" t="n">
        <x:v>5</x:v>
      </x:c>
      <x:c r="K178" s="16" t="n">
        <x:v>5</x:v>
      </x:c>
      <x:c r="L178" s="16" t="n">
        <x:v>4</x:v>
      </x:c>
      <x:c r="M178" s="16" t="n">
        <x:v>5</x:v>
      </x:c>
      <x:c r="N178" s="16" t="n">
        <x:v>5</x:v>
      </x:c>
      <x:c r="O178" s="16" t="n">
        <x:v>5</x:v>
      </x:c>
      <x:c r="P178" s="16" t="n">
        <x:f>IF(COUNT(I178:O178)&lt;7,"",I178*8+J178*3+K178*2+L178*2+M178*2+N178*2+O178)</x:f>
        <x:v>66</x:v>
      </x:c>
      <x:c r="Q178" s="16" t="n">
        <x:f>IF(COUNT(J178:O178)&lt;6,"",J178*5+K178*4+M178*4+L178*3+N178*2+O178*2)</x:f>
        <x:v>97</x:v>
      </x:c>
      <x:c r="R178" s="14" t="str">
        <x:v>high</x:v>
      </x:c>
      <x:c r="S178" s="14" t="str">
        <x:v>google_index_verified_2026-08-24</x:v>
      </x:c>
      <x:c r="T178" s="14" t="str">
        <x:v>indexed_official_service_page</x:v>
      </x:c>
      <x:c r="U178" s="14" t="str">
        <x:v>Новий — не контактували</x:v>
      </x:c>
      <x:c r="V178" s="15" t="str">
        <x:v>2-тижневий discovery: запросити вимоги 1 активного проєкту + 1 знеособлений артефакт</x:v>
      </x:c>
      <x:c r="W178" s="15" t="str">
        <x:v>Комерційний директор; керівник проєктів; головний технолог / ПТО</x:v>
      </x:c>
      <x:c r="X178" s="15" t="str">
        <x:v>Проєктування та монтаж під ключ. Пошуковий результат веде на індексовану сторінку корпоративного домену: Очищення стічних вод під ключ — AquaCenter.</x:v>
      </x:c>
      <x:c r="Y178" s="15" t="str">
        <x:v>Трубопроводи, закладні, резервуари, мембрани й пусконалагодження потребують поетапних актів, фото та протоколів.</x:v>
      </x:c>
      <x:c r="Z178" s="15" t="str">
        <x:v>https://aquacenter.com.ua/ochistka-stochnyh-vod/</x:v>
      </x:c>
      <x:c r="AA178" s="14" t="str"/>
      <x:c r="AB178" s="14" t="str">
        <x:v>2026-08-24</x:v>
      </x:c>
      <x:c r="AC178" s="14" t="str">
        <x:v>Олександр</x:v>
      </x:c>
      <x:c r="AD178" s="18" t="str"/>
      <x:c r="AE178" s="14" t="str"/>
    </x:row>
    <x:row r="179">
      <x:c r="A179" s="14" t="str">
        <x:v>W2-010</x:v>
      </x:c>
      <x:c r="B179" s="14" t="str">
        <x:v>Проєктний сигнал — 24.08</x:v>
      </x:c>
      <x:c r="C179" s="14" t="str">
        <x:v>ETE</x:v>
      </x:c>
      <x:c r="D179" s="14" t="str">
        <x:v>Водоочищення та очисні споруди</x:v>
      </x:c>
      <x:c r="E179" s="14" t="str">
        <x:v>Expansion discovery</x:v>
      </x:c>
      <x:c r="F179" s="17" t="str">
        <x:f>IF(E179="Pilot now",IF(P179&gt;=84,"P1",IF(P179&gt;=72,"P2","P3")),IF(E179="Expansion discovery",IF(Q179&gt;=88,"D1",IF(Q179&gt;=78,"D2","D3")),IF(E179="Later / requirements","L","Legacy")))</x:f>
        <x:v>D1</x:v>
      </x:c>
      <x:c r="G179" s="14" t="str">
        <x:v>ete.net.ua</x:v>
      </x:c>
      <x:c r="H179" s="14" t="str">
        <x:v>2-тижневий workflow discovery — потрібні вимоги одного проєкту</x:v>
      </x:c>
      <x:c r="I179" s="16" t="n">
        <x:v>1</x:v>
      </x:c>
      <x:c r="J179" s="16" t="n">
        <x:v>5</x:v>
      </x:c>
      <x:c r="K179" s="16" t="n">
        <x:v>5</x:v>
      </x:c>
      <x:c r="L179" s="16" t="n">
        <x:v>4</x:v>
      </x:c>
      <x:c r="M179" s="16" t="n">
        <x:v>5</x:v>
      </x:c>
      <x:c r="N179" s="16" t="n">
        <x:v>5</x:v>
      </x:c>
      <x:c r="O179" s="16" t="n">
        <x:v>5</x:v>
      </x:c>
      <x:c r="P179" s="16" t="n">
        <x:f>IF(COUNT(I179:O179)&lt;7,"",I179*8+J179*3+K179*2+L179*2+M179*2+N179*2+O179)</x:f>
        <x:v>66</x:v>
      </x:c>
      <x:c r="Q179" s="16" t="n">
        <x:f>IF(COUNT(J179:O179)&lt;6,"",J179*5+K179*4+M179*4+L179*3+N179*2+O179*2)</x:f>
        <x:v>97</x:v>
      </x:c>
      <x:c r="R179" s="14" t="str">
        <x:v>high</x:v>
      </x:c>
      <x:c r="S179" s="14" t="str">
        <x:v>google_index_verified_2026-08-24</x:v>
      </x:c>
      <x:c r="T179" s="14" t="str">
        <x:v>indexed_official_service_page</x:v>
      </x:c>
      <x:c r="U179" s="14" t="str">
        <x:v>Новий — не контактували</x:v>
      </x:c>
      <x:c r="V179" s="15" t="str">
        <x:v>2-тижневий discovery: запросити вимоги 1 активного проєкту + 1 знеособлений артефакт</x:v>
      </x:c>
      <x:c r="W179" s="15" t="str">
        <x:v>Комерційний директор; керівник проєктів; головний технолог / ПТО</x:v>
      </x:c>
      <x:c r="X179" s="15" t="str">
        <x:v>Очисні споруди та системи водопостачання. Пошуковий результат веде на індексовану сторінку корпоративного домену: Проєктування очисних споруд та водопостачання — ETE.</x:v>
      </x:c>
      <x:c r="Y179" s="15" t="str">
        <x:v>Трубопроводи, закладні, резервуари, мембрани й пусконалагодження потребують поетапних актів, фото та протоколів.</x:v>
      </x:c>
      <x:c r="Z179" s="15" t="str">
        <x:v>https://ete.net.ua/proektuvannya/</x:v>
      </x:c>
      <x:c r="AA179" s="14" t="str"/>
      <x:c r="AB179" s="14" t="str">
        <x:v>2026-08-24</x:v>
      </x:c>
      <x:c r="AC179" s="14" t="str">
        <x:v>Олександр</x:v>
      </x:c>
      <x:c r="AD179" s="18" t="str"/>
      <x:c r="AE179" s="14" t="str"/>
    </x:row>
    <x:row r="180">
      <x:c r="A180" s="14" t="str">
        <x:v>W2-011</x:v>
      </x:c>
      <x:c r="B180" s="14" t="str">
        <x:v>Проєктний сигнал — 24.08</x:v>
      </x:c>
      <x:c r="C180" s="14" t="str">
        <x:v>AQUATEC</x:v>
      </x:c>
      <x:c r="D180" s="14" t="str">
        <x:v>Водоочищення та очисні споруди</x:v>
      </x:c>
      <x:c r="E180" s="14" t="str">
        <x:v>Expansion discovery</x:v>
      </x:c>
      <x:c r="F180" s="17" t="str">
        <x:f>IF(E180="Pilot now",IF(P180&gt;=84,"P1",IF(P180&gt;=72,"P2","P3")),IF(E180="Expansion discovery",IF(Q180&gt;=88,"D1",IF(Q180&gt;=78,"D2","D3")),IF(E180="Later / requirements","L","Legacy")))</x:f>
        <x:v>D1</x:v>
      </x:c>
      <x:c r="G180" s="14" t="str">
        <x:v>aquatec.in.ua</x:v>
      </x:c>
      <x:c r="H180" s="14" t="str">
        <x:v>2-тижневий workflow discovery — потрібні вимоги одного проєкту</x:v>
      </x:c>
      <x:c r="I180" s="16" t="n">
        <x:v>1</x:v>
      </x:c>
      <x:c r="J180" s="16" t="n">
        <x:v>5</x:v>
      </x:c>
      <x:c r="K180" s="16" t="n">
        <x:v>5</x:v>
      </x:c>
      <x:c r="L180" s="16" t="n">
        <x:v>4</x:v>
      </x:c>
      <x:c r="M180" s="16" t="n">
        <x:v>5</x:v>
      </x:c>
      <x:c r="N180" s="16" t="n">
        <x:v>5</x:v>
      </x:c>
      <x:c r="O180" s="16" t="n">
        <x:v>5</x:v>
      </x:c>
      <x:c r="P180" s="16" t="n">
        <x:f>IF(COUNT(I180:O180)&lt;7,"",I180*8+J180*3+K180*2+L180*2+M180*2+N180*2+O180)</x:f>
        <x:v>66</x:v>
      </x:c>
      <x:c r="Q180" s="16" t="n">
        <x:f>IF(COUNT(J180:O180)&lt;6,"",J180*5+K180*4+M180*4+L180*3+N180*2+O180*2)</x:f>
        <x:v>97</x:v>
      </x:c>
      <x:c r="R180" s="14" t="str">
        <x:v>high</x:v>
      </x:c>
      <x:c r="S180" s="14" t="str">
        <x:v>google_index_verified_2026-08-24</x:v>
      </x:c>
      <x:c r="T180" s="14" t="str">
        <x:v>indexed_official_service_page</x:v>
      </x:c>
      <x:c r="U180" s="14" t="str">
        <x:v>Новий — не контактували</x:v>
      </x:c>
      <x:c r="V180" s="15" t="str">
        <x:v>2-тижневий discovery: запросити вимоги 1 активного проєкту + 1 знеособлений артефакт</x:v>
      </x:c>
      <x:c r="W180" s="15" t="str">
        <x:v>Комерційний директор; керівник проєктів; головний технолог / ПТО</x:v>
      </x:c>
      <x:c r="X180" s="15" t="str">
        <x:v>Публічний кейс реконструкції промислових очисних споруд. Пошуковий результат веде на індексовану сторінку корпоративного домену: Реконструкція очисних споруд — AQUATEC.</x:v>
      </x:c>
      <x:c r="Y180" s="15" t="str">
        <x:v>Трубопроводи, закладні, резервуари, мембрани й пусконалагодження потребують поетапних актів, фото та протоколів.</x:v>
      </x:c>
      <x:c r="Z180" s="15" t="str">
        <x:v>https://aquatec.in.ua/solutions/rekonstruktsiya-ochisnikh-sporud-pidpriyemstva-kropivnitskiy</x:v>
      </x:c>
      <x:c r="AA180" s="14" t="str"/>
      <x:c r="AB180" s="14" t="str">
        <x:v>2026-08-24</x:v>
      </x:c>
      <x:c r="AC180" s="14" t="str">
        <x:v>Олександр</x:v>
      </x:c>
      <x:c r="AD180" s="18" t="str"/>
      <x:c r="AE180" s="14" t="str"/>
    </x:row>
    <x:row r="181">
      <x:c r="A181" s="14" t="str">
        <x:v>W2-012</x:v>
      </x:c>
      <x:c r="B181" s="14" t="str">
        <x:v>Проєктний сигнал — 24.08</x:v>
      </x:c>
      <x:c r="C181" s="14" t="str">
        <x:v>ONSS</x:v>
      </x:c>
      <x:c r="D181" s="14" t="str">
        <x:v>Водоочищення та очисні споруди</x:v>
      </x:c>
      <x:c r="E181" s="14" t="str">
        <x:v>Expansion discovery</x:v>
      </x:c>
      <x:c r="F181" s="17" t="str">
        <x:f>IF(E181="Pilot now",IF(P181&gt;=84,"P1",IF(P181&gt;=72,"P2","P3")),IF(E181="Expansion discovery",IF(Q181&gt;=88,"D1",IF(Q181&gt;=78,"D2","D3")),IF(E181="Later / requirements","L","Legacy")))</x:f>
        <x:v>D1</x:v>
      </x:c>
      <x:c r="G181" s="14" t="str">
        <x:v>onss.com.ua</x:v>
      </x:c>
      <x:c r="H181" s="14" t="str">
        <x:v>2-тижневий workflow discovery — потрібні вимоги одного проєкту</x:v>
      </x:c>
      <x:c r="I181" s="16" t="n">
        <x:v>1</x:v>
      </x:c>
      <x:c r="J181" s="16" t="n">
        <x:v>5</x:v>
      </x:c>
      <x:c r="K181" s="16" t="n">
        <x:v>5</x:v>
      </x:c>
      <x:c r="L181" s="16" t="n">
        <x:v>4</x:v>
      </x:c>
      <x:c r="M181" s="16" t="n">
        <x:v>5</x:v>
      </x:c>
      <x:c r="N181" s="16" t="n">
        <x:v>5</x:v>
      </x:c>
      <x:c r="O181" s="16" t="n">
        <x:v>5</x:v>
      </x:c>
      <x:c r="P181" s="16" t="n">
        <x:f>IF(COUNT(I181:O181)&lt;7,"",I181*8+J181*3+K181*2+L181*2+M181*2+N181*2+O181)</x:f>
        <x:v>66</x:v>
      </x:c>
      <x:c r="Q181" s="16" t="n">
        <x:f>IF(COUNT(J181:O181)&lt;6,"",J181*5+K181*4+M181*4+L181*3+N181*2+O181*2)</x:f>
        <x:v>97</x:v>
      </x:c>
      <x:c r="R181" s="14" t="str">
        <x:v>high</x:v>
      </x:c>
      <x:c r="S181" s="14" t="str">
        <x:v>google_index_verified_2026-08-24</x:v>
      </x:c>
      <x:c r="T181" s="14" t="str">
        <x:v>indexed_official_service_page</x:v>
      </x:c>
      <x:c r="U181" s="14" t="str">
        <x:v>Новий — не контактували</x:v>
      </x:c>
      <x:c r="V181" s="15" t="str">
        <x:v>2-тижневий discovery: запросити вимоги 1 активного проєкту + 1 знеособлений артефакт</x:v>
      </x:c>
      <x:c r="W181" s="15" t="str">
        <x:v>Комерційний директор; керівник проєктів; головний технолог / ПТО</x:v>
      </x:c>
      <x:c r="X181" s="15" t="str">
        <x:v>Водоочищення під ключ. Пошуковий результат веде на індексовану сторінку корпоративного домену: Проєктування систем водоочищення під ключ — ONSS.</x:v>
      </x:c>
      <x:c r="Y181" s="15" t="str">
        <x:v>Трубопроводи, закладні, резервуари, мембрани й пусконалагодження потребують поетапних актів, фото та протоколів.</x:v>
      </x:c>
      <x:c r="Z181" s="15" t="str">
        <x:v>https://onss.com.ua/poslugy/proyektuvannya-system-vodoochyshhennya/</x:v>
      </x:c>
      <x:c r="AA181" s="14" t="str"/>
      <x:c r="AB181" s="14" t="str">
        <x:v>2026-08-24</x:v>
      </x:c>
      <x:c r="AC181" s="14" t="str">
        <x:v>Олександр</x:v>
      </x:c>
      <x:c r="AD181" s="18" t="str"/>
      <x:c r="AE181" s="14" t="str"/>
    </x:row>
    <x:row r="182">
      <x:c r="A182" s="14" t="str">
        <x:v>W2-013</x:v>
      </x:c>
      <x:c r="B182" s="14" t="str">
        <x:v>Проєктний сигнал — 24.08</x:v>
      </x:c>
      <x:c r="C182" s="14" t="str">
        <x:v>AQUANTIS</x:v>
      </x:c>
      <x:c r="D182" s="14" t="str">
        <x:v>Водоочищення та очисні споруди</x:v>
      </x:c>
      <x:c r="E182" s="14" t="str">
        <x:v>Expansion discovery</x:v>
      </x:c>
      <x:c r="F182" s="17" t="str">
        <x:f>IF(E182="Pilot now",IF(P182&gt;=84,"P1",IF(P182&gt;=72,"P2","P3")),IF(E182="Expansion discovery",IF(Q182&gt;=88,"D1",IF(Q182&gt;=78,"D2","D3")),IF(E182="Later / requirements","L","Legacy")))</x:f>
        <x:v>D1</x:v>
      </x:c>
      <x:c r="G182" s="14" t="str">
        <x:v>aquantis.com.ua</x:v>
      </x:c>
      <x:c r="H182" s="14" t="str">
        <x:v>2-тижневий workflow discovery — потрібні вимоги одного проєкту</x:v>
      </x:c>
      <x:c r="I182" s="16" t="n">
        <x:v>1</x:v>
      </x:c>
      <x:c r="J182" s="16" t="n">
        <x:v>5</x:v>
      </x:c>
      <x:c r="K182" s="16" t="n">
        <x:v>5</x:v>
      </x:c>
      <x:c r="L182" s="16" t="n">
        <x:v>4</x:v>
      </x:c>
      <x:c r="M182" s="16" t="n">
        <x:v>5</x:v>
      </x:c>
      <x:c r="N182" s="16" t="n">
        <x:v>5</x:v>
      </x:c>
      <x:c r="O182" s="16" t="n">
        <x:v>5</x:v>
      </x:c>
      <x:c r="P182" s="16" t="n">
        <x:f>IF(COUNT(I182:O182)&lt;7,"",I182*8+J182*3+K182*2+L182*2+M182*2+N182*2+O182)</x:f>
        <x:v>66</x:v>
      </x:c>
      <x:c r="Q182" s="16" t="n">
        <x:f>IF(COUNT(J182:O182)&lt;6,"",J182*5+K182*4+M182*4+L182*3+N182*2+O182*2)</x:f>
        <x:v>97</x:v>
      </x:c>
      <x:c r="R182" s="14" t="str">
        <x:v>high</x:v>
      </x:c>
      <x:c r="S182" s="14" t="str">
        <x:v>google_index_verified_2026-08-24</x:v>
      </x:c>
      <x:c r="T182" s="14" t="str">
        <x:v>indexed_official_service_page</x:v>
      </x:c>
      <x:c r="U182" s="14" t="str">
        <x:v>Новий — не контактували</x:v>
      </x:c>
      <x:c r="V182" s="15" t="str">
        <x:v>2-тижневий discovery: запросити вимоги 1 активного проєкту + 1 знеособлений артефакт</x:v>
      </x:c>
      <x:c r="W182" s="15" t="str">
        <x:v>Комерційний директор; керівник проєктів; головний технолог / ПТО</x:v>
      </x:c>
      <x:c r="X182" s="15" t="str">
        <x:v>Компанія з очисних споруд. Пошуковий результат веде на індексовану сторінку корпоративного домену: AQUANTIS — очисні споруди.</x:v>
      </x:c>
      <x:c r="Y182" s="15" t="str">
        <x:v>Трубопроводи, закладні, резервуари, мембрани й пусконалагодження потребують поетапних актів, фото та протоколів.</x:v>
      </x:c>
      <x:c r="Z182" s="15" t="str">
        <x:v>https://aquantis.com.ua/uk/page/company</x:v>
      </x:c>
      <x:c r="AA182" s="14" t="str"/>
      <x:c r="AB182" s="14" t="str">
        <x:v>2026-08-24</x:v>
      </x:c>
      <x:c r="AC182" s="14" t="str">
        <x:v>Олександр</x:v>
      </x:c>
      <x:c r="AD182" s="18" t="str"/>
      <x:c r="AE182" s="14" t="str"/>
    </x:row>
    <x:row r="183">
      <x:c r="A183" s="14" t="str">
        <x:v>W2-014</x:v>
      </x:c>
      <x:c r="B183" s="14" t="str">
        <x:v>Проєктний сигнал — 24.08</x:v>
      </x:c>
      <x:c r="C183" s="14" t="str">
        <x:v>Акваторія</x:v>
      </x:c>
      <x:c r="D183" s="14" t="str">
        <x:v>Водоочищення та очисні споруди</x:v>
      </x:c>
      <x:c r="E183" s="14" t="str">
        <x:v>Expansion discovery</x:v>
      </x:c>
      <x:c r="F183" s="17" t="str">
        <x:f>IF(E183="Pilot now",IF(P183&gt;=84,"P1",IF(P183&gt;=72,"P2","P3")),IF(E183="Expansion discovery",IF(Q183&gt;=88,"D1",IF(Q183&gt;=78,"D2","D3")),IF(E183="Later / requirements","L","Legacy")))</x:f>
        <x:v>D1</x:v>
      </x:c>
      <x:c r="G183" s="14" t="str">
        <x:v>aquatoria.kiev.ua</x:v>
      </x:c>
      <x:c r="H183" s="14" t="str">
        <x:v>2-тижневий workflow discovery — потрібні вимоги одного проєкту</x:v>
      </x:c>
      <x:c r="I183" s="16" t="n">
        <x:v>1</x:v>
      </x:c>
      <x:c r="J183" s="16" t="n">
        <x:v>5</x:v>
      </x:c>
      <x:c r="K183" s="16" t="n">
        <x:v>5</x:v>
      </x:c>
      <x:c r="L183" s="16" t="n">
        <x:v>4</x:v>
      </x:c>
      <x:c r="M183" s="16" t="n">
        <x:v>5</x:v>
      </x:c>
      <x:c r="N183" s="16" t="n">
        <x:v>5</x:v>
      </x:c>
      <x:c r="O183" s="16" t="n">
        <x:v>5</x:v>
      </x:c>
      <x:c r="P183" s="16" t="n">
        <x:f>IF(COUNT(I183:O183)&lt;7,"",I183*8+J183*3+K183*2+L183*2+M183*2+N183*2+O183)</x:f>
        <x:v>66</x:v>
      </x:c>
      <x:c r="Q183" s="16" t="n">
        <x:f>IF(COUNT(J183:O183)&lt;6,"",J183*5+K183*4+M183*4+L183*3+N183*2+O183*2)</x:f>
        <x:v>97</x:v>
      </x:c>
      <x:c r="R183" s="14" t="str">
        <x:v>high</x:v>
      </x:c>
      <x:c r="S183" s="14" t="str">
        <x:v>google_index_verified_2026-08-24</x:v>
      </x:c>
      <x:c r="T183" s="14" t="str">
        <x:v>indexed_official_service_page</x:v>
      </x:c>
      <x:c r="U183" s="14" t="str">
        <x:v>Новий — не контактували</x:v>
      </x:c>
      <x:c r="V183" s="15" t="str">
        <x:v>2-тижневий discovery: запросити вимоги 1 активного проєкту + 1 знеособлений артефакт</x:v>
      </x:c>
      <x:c r="W183" s="15" t="str">
        <x:v>Комерційний директор; керівник проєктів; головний технолог / ПТО</x:v>
      </x:c>
      <x:c r="X183" s="15" t="str">
        <x:v>Монтаж локальних очисних споруд. Пошуковий результат веде на індексовану сторінку корпоративного домену: Монтаж локальних очисних споруд — Акваторія.</x:v>
      </x:c>
      <x:c r="Y183" s="15" t="str">
        <x:v>Трубопроводи, закладні, резервуари, мембрани й пусконалагодження потребують поетапних актів, фото та протоколів.</x:v>
      </x:c>
      <x:c r="Z183" s="15" t="str">
        <x:v>https://aquatoria.kiev.ua/avtonomna-kanalizatsiia/montazh-lokalnykh-ochysnykh-sporud</x:v>
      </x:c>
      <x:c r="AA183" s="14" t="str"/>
      <x:c r="AB183" s="14" t="str">
        <x:v>2026-08-24</x:v>
      </x:c>
      <x:c r="AC183" s="14" t="str">
        <x:v>Олександр</x:v>
      </x:c>
      <x:c r="AD183" s="18" t="str"/>
      <x:c r="AE183" s="14" t="str"/>
    </x:row>
    <x:row r="184">
      <x:c r="A184" s="14" t="str">
        <x:v>W2-015</x:v>
      </x:c>
      <x:c r="B184" s="14" t="str">
        <x:v>Проєктний сигнал — 24.08</x:v>
      </x:c>
      <x:c r="C184" s="14" t="str">
        <x:v>AMM Project</x:v>
      </x:c>
      <x:c r="D184" s="14" t="str">
        <x:v>Промислова автоматизація / SCADA</x:v>
      </x:c>
      <x:c r="E184" s="14" t="str">
        <x:v>Expansion discovery</x:v>
      </x:c>
      <x:c r="F184" s="17" t="str">
        <x:f>IF(E184="Pilot now",IF(P184&gt;=84,"P1",IF(P184&gt;=72,"P2","P3")),IF(E184="Expansion discovery",IF(Q184&gt;=88,"D1",IF(Q184&gt;=78,"D2","D3")),IF(E184="Later / requirements","L","Legacy")))</x:f>
        <x:v>D1</x:v>
      </x:c>
      <x:c r="G184" s="14" t="str">
        <x:v>ammproject.com.ua</x:v>
      </x:c>
      <x:c r="H184" s="14" t="str">
        <x:v>2-тижневий workflow discovery — потрібні вимоги одного проєкту</x:v>
      </x:c>
      <x:c r="I184" s="16" t="n">
        <x:v>1</x:v>
      </x:c>
      <x:c r="J184" s="16" t="n">
        <x:v>5</x:v>
      </x:c>
      <x:c r="K184" s="16" t="n">
        <x:v>4</x:v>
      </x:c>
      <x:c r="L184" s="16" t="n">
        <x:v>4</x:v>
      </x:c>
      <x:c r="M184" s="16" t="n">
        <x:v>5</x:v>
      </x:c>
      <x:c r="N184" s="16" t="n">
        <x:v>5</x:v>
      </x:c>
      <x:c r="O184" s="16" t="n">
        <x:v>5</x:v>
      </x:c>
      <x:c r="P184" s="16" t="n">
        <x:f>IF(COUNT(I184:O184)&lt;7,"",I184*8+J184*3+K184*2+L184*2+M184*2+N184*2+O184)</x:f>
        <x:v>64</x:v>
      </x:c>
      <x:c r="Q184" s="16" t="n">
        <x:f>IF(COUNT(J184:O184)&lt;6,"",J184*5+K184*4+M184*4+L184*3+N184*2+O184*2)</x:f>
        <x:v>93</x:v>
      </x:c>
      <x:c r="R184" s="14" t="str">
        <x:v>high</x:v>
      </x:c>
      <x:c r="S184" s="14" t="str">
        <x:v>google_index_verified_2026-08-24</x:v>
      </x:c>
      <x:c r="T184" s="14" t="str">
        <x:v>indexed_official_service_page</x:v>
      </x:c>
      <x:c r="U184" s="14" t="str">
        <x:v>Новий — не контактували</x:v>
      </x:c>
      <x:c r="V184" s="15" t="str">
        <x:v>2-тижневий discovery: запросити вимоги 1 активного проєкту + 1 знеособлений артефакт</x:v>
      </x:c>
      <x:c r="W184" s="15" t="str">
        <x:v>Комерційний директор; керівник проєктів АСК ТП; керівник пусконалагодження</x:v>
      </x:c>
      <x:c r="X184" s="15" t="str">
        <x:v>Промислова автоматизація та інженерні проєкти. Пошуковий результат веде на індексовану сторінку корпоративного домену: Автоматизація — AMM Project.</x:v>
      </x:c>
      <x:c r="Y184" s="15" t="str">
        <x:v>Шафи, кабелі, маркування, loop-check та FAT/SAT створюють пакет доказів між монтажем, ПНР і замовником.</x:v>
      </x:c>
      <x:c r="Z184" s="15" t="str">
        <x:v>https://ammproject.com.ua/posluhy/avtomatyzacia/</x:v>
      </x:c>
      <x:c r="AA184" s="14" t="str"/>
      <x:c r="AB184" s="14" t="str">
        <x:v>2026-08-24</x:v>
      </x:c>
      <x:c r="AC184" s="14" t="str">
        <x:v>Олександр</x:v>
      </x:c>
      <x:c r="AD184" s="18" t="str"/>
      <x:c r="AE184" s="14" t="str"/>
    </x:row>
    <x:row r="185">
      <x:c r="A185" s="14" t="str">
        <x:v>W2-016</x:v>
      </x:c>
      <x:c r="B185" s="14" t="str">
        <x:v>Проєктний сигнал — 24.08</x:v>
      </x:c>
      <x:c r="C185" s="14" t="str">
        <x:v>Intecracy Group</x:v>
      </x:c>
      <x:c r="D185" s="14" t="str">
        <x:v>Промислова автоматизація / SCADA</x:v>
      </x:c>
      <x:c r="E185" s="14" t="str">
        <x:v>Expansion discovery</x:v>
      </x:c>
      <x:c r="F185" s="17" t="str">
        <x:f>IF(E185="Pilot now",IF(P185&gt;=84,"P1",IF(P185&gt;=72,"P2","P3")),IF(E185="Expansion discovery",IF(Q185&gt;=88,"D1",IF(Q185&gt;=78,"D2","D3")),IF(E185="Later / requirements","L","Legacy")))</x:f>
        <x:v>D1</x:v>
      </x:c>
      <x:c r="G185" s="14" t="str">
        <x:v>intecracy.com</x:v>
      </x:c>
      <x:c r="H185" s="14" t="str">
        <x:v>2-тижневий workflow discovery — потрібні вимоги одного проєкту</x:v>
      </x:c>
      <x:c r="I185" s="16" t="n">
        <x:v>1</x:v>
      </x:c>
      <x:c r="J185" s="16" t="n">
        <x:v>5</x:v>
      </x:c>
      <x:c r="K185" s="16" t="n">
        <x:v>4</x:v>
      </x:c>
      <x:c r="L185" s="16" t="n">
        <x:v>4</x:v>
      </x:c>
      <x:c r="M185" s="16" t="n">
        <x:v>5</x:v>
      </x:c>
      <x:c r="N185" s="16" t="n">
        <x:v>5</x:v>
      </x:c>
      <x:c r="O185" s="16" t="n">
        <x:v>5</x:v>
      </x:c>
      <x:c r="P185" s="16" t="n">
        <x:f>IF(COUNT(I185:O185)&lt;7,"",I185*8+J185*3+K185*2+L185*2+M185*2+N185*2+O185)</x:f>
        <x:v>64</x:v>
      </x:c>
      <x:c r="Q185" s="16" t="n">
        <x:f>IF(COUNT(J185:O185)&lt;6,"",J185*5+K185*4+M185*4+L185*3+N185*2+O185*2)</x:f>
        <x:v>93</x:v>
      </x:c>
      <x:c r="R185" s="14" t="str">
        <x:v>high</x:v>
      </x:c>
      <x:c r="S185" s="14" t="str">
        <x:v>google_index_verified_2026-08-24</x:v>
      </x:c>
      <x:c r="T185" s="14" t="str">
        <x:v>indexed_official_service_page</x:v>
      </x:c>
      <x:c r="U185" s="14" t="str">
        <x:v>Новий — не контактували</x:v>
      </x:c>
      <x:c r="V185" s="15" t="str">
        <x:v>2-тижневий discovery: запросити вимоги 1 активного проєкту + 1 знеособлений артефакт</x:v>
      </x:c>
      <x:c r="W185" s="15" t="str">
        <x:v>Комерційний директор; керівник проєктів АСК ТП; керівник пусконалагодження</x:v>
      </x:c>
      <x:c r="X185" s="15" t="str">
        <x:v>IIoT і SCADA інтеграція. Пошуковий результат веде на індексовану сторінку корпоративного домену: IoT та промислова автоматизація — Intecracy Group.</x:v>
      </x:c>
      <x:c r="Y185" s="15" t="str">
        <x:v>Шафи, кабелі, маркування, loop-check та FAT/SAT створюють пакет доказів між монтажем, ПНР і замовником.</x:v>
      </x:c>
      <x:c r="Z185" s="15" t="str">
        <x:v>https://intecracy.com/iot-industrial/</x:v>
      </x:c>
      <x:c r="AA185" s="14" t="str"/>
      <x:c r="AB185" s="14" t="str">
        <x:v>2026-08-24</x:v>
      </x:c>
      <x:c r="AC185" s="14" t="str">
        <x:v>Олександр</x:v>
      </x:c>
      <x:c r="AD185" s="18" t="str"/>
      <x:c r="AE185" s="14" t="str"/>
    </x:row>
    <x:row r="186">
      <x:c r="A186" s="14" t="str">
        <x:v>W2-017</x:v>
      </x:c>
      <x:c r="B186" s="14" t="str">
        <x:v>Проєктний сигнал — 24.08</x:v>
      </x:c>
      <x:c r="C186" s="14" t="str">
        <x:v>СКБ СистемА</x:v>
      </x:c>
      <x:c r="D186" s="14" t="str">
        <x:v>Промислова автоматизація / SCADA</x:v>
      </x:c>
      <x:c r="E186" s="14" t="str">
        <x:v>Expansion discovery</x:v>
      </x:c>
      <x:c r="F186" s="17" t="str">
        <x:f>IF(E186="Pilot now",IF(P186&gt;=84,"P1",IF(P186&gt;=72,"P2","P3")),IF(E186="Expansion discovery",IF(Q186&gt;=88,"D1",IF(Q186&gt;=78,"D2","D3")),IF(E186="Later / requirements","L","Legacy")))</x:f>
        <x:v>D1</x:v>
      </x:c>
      <x:c r="G186" s="14" t="str">
        <x:v>promotic.co.ua</x:v>
      </x:c>
      <x:c r="H186" s="14" t="str">
        <x:v>2-тижневий workflow discovery — потрібні вимоги одного проєкту</x:v>
      </x:c>
      <x:c r="I186" s="16" t="n">
        <x:v>1</x:v>
      </x:c>
      <x:c r="J186" s="16" t="n">
        <x:v>5</x:v>
      </x:c>
      <x:c r="K186" s="16" t="n">
        <x:v>4</x:v>
      </x:c>
      <x:c r="L186" s="16" t="n">
        <x:v>4</x:v>
      </x:c>
      <x:c r="M186" s="16" t="n">
        <x:v>5</x:v>
      </x:c>
      <x:c r="N186" s="16" t="n">
        <x:v>5</x:v>
      </x:c>
      <x:c r="O186" s="16" t="n">
        <x:v>5</x:v>
      </x:c>
      <x:c r="P186" s="16" t="n">
        <x:f>IF(COUNT(I186:O186)&lt;7,"",I186*8+J186*3+K186*2+L186*2+M186*2+N186*2+O186)</x:f>
        <x:v>64</x:v>
      </x:c>
      <x:c r="Q186" s="16" t="n">
        <x:f>IF(COUNT(J186:O186)&lt;6,"",J186*5+K186*4+M186*4+L186*3+N186*2+O186*2)</x:f>
        <x:v>93</x:v>
      </x:c>
      <x:c r="R186" s="14" t="str">
        <x:v>high</x:v>
      </x:c>
      <x:c r="S186" s="14" t="str">
        <x:v>google_index_verified_2026-08-24</x:v>
      </x:c>
      <x:c r="T186" s="14" t="str">
        <x:v>indexed_official_service_page</x:v>
      </x:c>
      <x:c r="U186" s="14" t="str">
        <x:v>Новий — не контактували</x:v>
      </x:c>
      <x:c r="V186" s="15" t="str">
        <x:v>2-тижневий discovery: запросити вимоги 1 активного проєкту + 1 знеособлений артефакт</x:v>
      </x:c>
      <x:c r="W186" s="15" t="str">
        <x:v>Комерційний директор; керівник проєктів АСК ТП; керівник пусконалагодження</x:v>
      </x:c>
      <x:c r="X186" s="15" t="str">
        <x:v>Інженерне бюро автоматизації. Пошуковий результат веде на індексовану сторінку корпоративного домену: Інженерне бюро промислової автоматизації — СКБ СистемА.</x:v>
      </x:c>
      <x:c r="Y186" s="15" t="str">
        <x:v>Шафи, кабелі, маркування, loop-check та FAT/SAT створюють пакет доказів між монтажем, ПНР і замовником.</x:v>
      </x:c>
      <x:c r="Z186" s="15" t="str">
        <x:v>https://promotic.co.ua/</x:v>
      </x:c>
      <x:c r="AA186" s="14" t="str"/>
      <x:c r="AB186" s="14" t="str">
        <x:v>2026-08-24</x:v>
      </x:c>
      <x:c r="AC186" s="14" t="str">
        <x:v>Олександр</x:v>
      </x:c>
      <x:c r="AD186" s="18" t="str"/>
      <x:c r="AE186" s="14" t="str"/>
    </x:row>
    <x:row r="187">
      <x:c r="A187" s="14" t="str">
        <x:v>W2-018</x:v>
      </x:c>
      <x:c r="B187" s="14" t="str">
        <x:v>Проєктний сигнал — 24.08</x:v>
      </x:c>
      <x:c r="C187" s="14" t="str">
        <x:v>Променерго</x:v>
      </x:c>
      <x:c r="D187" s="14" t="str">
        <x:v>Промислова автоматизація / SCADA</x:v>
      </x:c>
      <x:c r="E187" s="14" t="str">
        <x:v>Expansion discovery</x:v>
      </x:c>
      <x:c r="F187" s="17" t="str">
        <x:f>IF(E187="Pilot now",IF(P187&gt;=84,"P1",IF(P187&gt;=72,"P2","P3")),IF(E187="Expansion discovery",IF(Q187&gt;=88,"D1",IF(Q187&gt;=78,"D2","D3")),IF(E187="Later / requirements","L","Legacy")))</x:f>
        <x:v>D1</x:v>
      </x:c>
      <x:c r="G187" s="14" t="str">
        <x:v>promenergo.dp.ua</x:v>
      </x:c>
      <x:c r="H187" s="14" t="str">
        <x:v>2-тижневий workflow discovery — потрібні вимоги одного проєкту</x:v>
      </x:c>
      <x:c r="I187" s="16" t="n">
        <x:v>1</x:v>
      </x:c>
      <x:c r="J187" s="16" t="n">
        <x:v>5</x:v>
      </x:c>
      <x:c r="K187" s="16" t="n">
        <x:v>4</x:v>
      </x:c>
      <x:c r="L187" s="16" t="n">
        <x:v>4</x:v>
      </x:c>
      <x:c r="M187" s="16" t="n">
        <x:v>5</x:v>
      </x:c>
      <x:c r="N187" s="16" t="n">
        <x:v>5</x:v>
      </x:c>
      <x:c r="O187" s="16" t="n">
        <x:v>5</x:v>
      </x:c>
      <x:c r="P187" s="16" t="n">
        <x:f>IF(COUNT(I187:O187)&lt;7,"",I187*8+J187*3+K187*2+L187*2+M187*2+N187*2+O187)</x:f>
        <x:v>64</x:v>
      </x:c>
      <x:c r="Q187" s="16" t="n">
        <x:f>IF(COUNT(J187:O187)&lt;6,"",J187*5+K187*4+M187*4+L187*3+N187*2+O187*2)</x:f>
        <x:v>93</x:v>
      </x:c>
      <x:c r="R187" s="14" t="str">
        <x:v>high</x:v>
      </x:c>
      <x:c r="S187" s="14" t="str">
        <x:v>google_index_verified_2026-08-24</x:v>
      </x:c>
      <x:c r="T187" s="14" t="str">
        <x:v>indexed_official_service_page</x:v>
      </x:c>
      <x:c r="U187" s="14" t="str">
        <x:v>Новий — не контактували</x:v>
      </x:c>
      <x:c r="V187" s="15" t="str">
        <x:v>2-тижневий discovery: запросити вимоги 1 активного проєкту + 1 знеособлений артефакт</x:v>
      </x:c>
      <x:c r="W187" s="15" t="str">
        <x:v>Комерційний директор; керівник проєктів АСК ТП; керівник пусконалагодження</x:v>
      </x:c>
      <x:c r="X187" s="15" t="str">
        <x:v>Публічне портфоліо проєктів автоматизації. Пошуковий результат веде на індексовану сторінку корпоративного домену: Реалізовані проєкти з промислової автоматизації — Променерго.</x:v>
      </x:c>
      <x:c r="Y187" s="15" t="str">
        <x:v>Шафи, кабелі, маркування, loop-check та FAT/SAT створюють пакет доказів між монтажем, ПНР і замовником.</x:v>
      </x:c>
      <x:c r="Z187" s="15" t="str">
        <x:v>https://promenergo.dp.ua/projects</x:v>
      </x:c>
      <x:c r="AA187" s="14" t="str"/>
      <x:c r="AB187" s="14" t="str">
        <x:v>2026-08-24</x:v>
      </x:c>
      <x:c r="AC187" s="14" t="str">
        <x:v>Олександр</x:v>
      </x:c>
      <x:c r="AD187" s="18" t="str"/>
      <x:c r="AE187" s="14" t="str"/>
    </x:row>
    <x:row r="188">
      <x:c r="A188" s="14" t="str">
        <x:v>W2-019</x:v>
      </x:c>
      <x:c r="B188" s="14" t="str">
        <x:v>Проєктний сигнал — 24.08</x:v>
      </x:c>
      <x:c r="C188" s="14" t="str">
        <x:v>ELAKS</x:v>
      </x:c>
      <x:c r="D188" s="14" t="str">
        <x:v>Промислова автоматизація / SCADA</x:v>
      </x:c>
      <x:c r="E188" s="14" t="str">
        <x:v>Expansion discovery</x:v>
      </x:c>
      <x:c r="F188" s="17" t="str">
        <x:f>IF(E188="Pilot now",IF(P188&gt;=84,"P1",IF(P188&gt;=72,"P2","P3")),IF(E188="Expansion discovery",IF(Q188&gt;=88,"D1",IF(Q188&gt;=78,"D2","D3")),IF(E188="Later / requirements","L","Legacy")))</x:f>
        <x:v>D1</x:v>
      </x:c>
      <x:c r="G188" s="14" t="str">
        <x:v>elaks.ua</x:v>
      </x:c>
      <x:c r="H188" s="14" t="str">
        <x:v>2-тижневий workflow discovery — потрібні вимоги одного проєкту</x:v>
      </x:c>
      <x:c r="I188" s="16" t="n">
        <x:v>1</x:v>
      </x:c>
      <x:c r="J188" s="16" t="n">
        <x:v>5</x:v>
      </x:c>
      <x:c r="K188" s="16" t="n">
        <x:v>4</x:v>
      </x:c>
      <x:c r="L188" s="16" t="n">
        <x:v>4</x:v>
      </x:c>
      <x:c r="M188" s="16" t="n">
        <x:v>5</x:v>
      </x:c>
      <x:c r="N188" s="16" t="n">
        <x:v>5</x:v>
      </x:c>
      <x:c r="O188" s="16" t="n">
        <x:v>5</x:v>
      </x:c>
      <x:c r="P188" s="16" t="n">
        <x:f>IF(COUNT(I188:O188)&lt;7,"",I188*8+J188*3+K188*2+L188*2+M188*2+N188*2+O188)</x:f>
        <x:v>64</x:v>
      </x:c>
      <x:c r="Q188" s="16" t="n">
        <x:f>IF(COUNT(J188:O188)&lt;6,"",J188*5+K188*4+M188*4+L188*3+N188*2+O188*2)</x:f>
        <x:v>93</x:v>
      </x:c>
      <x:c r="R188" s="14" t="str">
        <x:v>high</x:v>
      </x:c>
      <x:c r="S188" s="14" t="str">
        <x:v>google_index_verified_2026-08-24</x:v>
      </x:c>
      <x:c r="T188" s="14" t="str">
        <x:v>indexed_official_service_page</x:v>
      </x:c>
      <x:c r="U188" s="14" t="str">
        <x:v>Новий — не контактували</x:v>
      </x:c>
      <x:c r="V188" s="15" t="str">
        <x:v>2-тижневий discovery: запросити вимоги 1 активного проєкту + 1 знеособлений артефакт</x:v>
      </x:c>
      <x:c r="W188" s="15" t="str">
        <x:v>Комерційний директор; керівник проєктів АСК ТП; керівник пусконалагодження</x:v>
      </x:c>
      <x:c r="X188" s="15" t="str">
        <x:v>SCADA, АСК ТП і пусконалагодження. Пошуковий результат веде на індексовану сторінку корпоративного домену: АСК ТП, SCADA та електроприводи — ELAKS.</x:v>
      </x:c>
      <x:c r="Y188" s="15" t="str">
        <x:v>Шафи, кабелі, маркування, loop-check та FAT/SAT створюють пакет доказів між монтажем, ПНР і замовником.</x:v>
      </x:c>
      <x:c r="Z188" s="15" t="str">
        <x:v>https://elaks.ua/promislovist/ask-tp-ta-elektroprivod-scada</x:v>
      </x:c>
      <x:c r="AA188" s="14" t="str"/>
      <x:c r="AB188" s="14" t="str">
        <x:v>2026-08-24</x:v>
      </x:c>
      <x:c r="AC188" s="14" t="str">
        <x:v>Олександр</x:v>
      </x:c>
      <x:c r="AD188" s="18" t="str"/>
      <x:c r="AE188" s="14" t="str"/>
    </x:row>
    <x:row r="189">
      <x:c r="A189" s="14" t="str">
        <x:v>W2-020</x:v>
      </x:c>
      <x:c r="B189" s="14" t="str">
        <x:v>Проєктний сигнал — 24.08</x:v>
      </x:c>
      <x:c r="C189" s="14" t="str">
        <x:v>Індастріал Автоматизація</x:v>
      </x:c>
      <x:c r="D189" s="14" t="str">
        <x:v>Промислова автоматизація / SCADA</x:v>
      </x:c>
      <x:c r="E189" s="14" t="str">
        <x:v>Expansion discovery</x:v>
      </x:c>
      <x:c r="F189" s="17" t="str">
        <x:f>IF(E189="Pilot now",IF(P189&gt;=84,"P1",IF(P189&gt;=72,"P2","P3")),IF(E189="Expansion discovery",IF(Q189&gt;=88,"D1",IF(Q189&gt;=78,"D2","D3")),IF(E189="Later / requirements","L","Legacy")))</x:f>
        <x:v>D1</x:v>
      </x:c>
      <x:c r="G189" s="14" t="str">
        <x:v>ia.ua</x:v>
      </x:c>
      <x:c r="H189" s="14" t="str">
        <x:v>2-тижневий workflow discovery — потрібні вимоги одного проєкту</x:v>
      </x:c>
      <x:c r="I189" s="16" t="n">
        <x:v>1</x:v>
      </x:c>
      <x:c r="J189" s="16" t="n">
        <x:v>5</x:v>
      </x:c>
      <x:c r="K189" s="16" t="n">
        <x:v>4</x:v>
      </x:c>
      <x:c r="L189" s="16" t="n">
        <x:v>4</x:v>
      </x:c>
      <x:c r="M189" s="16" t="n">
        <x:v>5</x:v>
      </x:c>
      <x:c r="N189" s="16" t="n">
        <x:v>5</x:v>
      </x:c>
      <x:c r="O189" s="16" t="n">
        <x:v>5</x:v>
      </x:c>
      <x:c r="P189" s="16" t="n">
        <x:f>IF(COUNT(I189:O189)&lt;7,"",I189*8+J189*3+K189*2+L189*2+M189*2+N189*2+O189)</x:f>
        <x:v>64</x:v>
      </x:c>
      <x:c r="Q189" s="16" t="n">
        <x:f>IF(COUNT(J189:O189)&lt;6,"",J189*5+K189*4+M189*4+L189*3+N189*2+O189*2)</x:f>
        <x:v>93</x:v>
      </x:c>
      <x:c r="R189" s="14" t="str">
        <x:v>high</x:v>
      </x:c>
      <x:c r="S189" s="14" t="str">
        <x:v>google_index_verified_2026-08-24</x:v>
      </x:c>
      <x:c r="T189" s="14" t="str">
        <x:v>indexed_official_service_page</x:v>
      </x:c>
      <x:c r="U189" s="14" t="str">
        <x:v>Новий — не контактували</x:v>
      </x:c>
      <x:c r="V189" s="15" t="str">
        <x:v>2-тижневий discovery: запросити вимоги 1 активного проєкту + 1 знеособлений артефакт</x:v>
      </x:c>
      <x:c r="W189" s="15" t="str">
        <x:v>Комерційний директор; керівник проєктів АСК ТП; керівник пусконалагодження</x:v>
      </x:c>
      <x:c r="X189" s="15" t="str">
        <x:v>Комплексна автоматизація та модернізація. Пошуковий результат веде на індексовану сторінку корпоративного домену: Комплексна автоматизація виробництва — IA.</x:v>
      </x:c>
      <x:c r="Y189" s="15" t="str">
        <x:v>Шафи, кабелі, маркування, loop-check та FAT/SAT створюють пакет доказів між монтажем, ПНР і замовником.</x:v>
      </x:c>
      <x:c r="Z189" s="15" t="str">
        <x:v>https://ia.ua/uk/poslygu/kompleksna-avtomatizaciya-virobnictva-promislova-avtomatizaciya-modernizaciya/</x:v>
      </x:c>
      <x:c r="AA189" s="14" t="str"/>
      <x:c r="AB189" s="14" t="str">
        <x:v>2026-08-24</x:v>
      </x:c>
      <x:c r="AC189" s="14" t="str">
        <x:v>Олександр</x:v>
      </x:c>
      <x:c r="AD189" s="18" t="str"/>
      <x:c r="AE189" s="14" t="str"/>
    </x:row>
    <x:row r="190">
      <x:c r="A190" s="14" t="str">
        <x:v>W2-021</x:v>
      </x:c>
      <x:c r="B190" s="14" t="str">
        <x:v>Проєктний сигнал — 24.08</x:v>
      </x:c>
      <x:c r="C190" s="14" t="str">
        <x:v>Energosys</x:v>
      </x:c>
      <x:c r="D190" s="14" t="str">
        <x:v>Промислова автоматизація / SCADA</x:v>
      </x:c>
      <x:c r="E190" s="14" t="str">
        <x:v>Expansion discovery</x:v>
      </x:c>
      <x:c r="F190" s="17" t="str">
        <x:f>IF(E190="Pilot now",IF(P190&gt;=84,"P1",IF(P190&gt;=72,"P2","P3")),IF(E190="Expansion discovery",IF(Q190&gt;=88,"D1",IF(Q190&gt;=78,"D2","D3")),IF(E190="Later / requirements","L","Legacy")))</x:f>
        <x:v>D1</x:v>
      </x:c>
      <x:c r="G190" s="14" t="str">
        <x:v>energosys.com.ua</x:v>
      </x:c>
      <x:c r="H190" s="14" t="str">
        <x:v>2-тижневий workflow discovery — потрібні вимоги одного проєкту</x:v>
      </x:c>
      <x:c r="I190" s="16" t="n">
        <x:v>1</x:v>
      </x:c>
      <x:c r="J190" s="16" t="n">
        <x:v>5</x:v>
      </x:c>
      <x:c r="K190" s="16" t="n">
        <x:v>4</x:v>
      </x:c>
      <x:c r="L190" s="16" t="n">
        <x:v>4</x:v>
      </x:c>
      <x:c r="M190" s="16" t="n">
        <x:v>5</x:v>
      </x:c>
      <x:c r="N190" s="16" t="n">
        <x:v>5</x:v>
      </x:c>
      <x:c r="O190" s="16" t="n">
        <x:v>5</x:v>
      </x:c>
      <x:c r="P190" s="16" t="n">
        <x:f>IF(COUNT(I190:O190)&lt;7,"",I190*8+J190*3+K190*2+L190*2+M190*2+N190*2+O190)</x:f>
        <x:v>64</x:v>
      </x:c>
      <x:c r="Q190" s="16" t="n">
        <x:f>IF(COUNT(J190:O190)&lt;6,"",J190*5+K190*4+M190*4+L190*3+N190*2+O190*2)</x:f>
        <x:v>93</x:v>
      </x:c>
      <x:c r="R190" s="14" t="str">
        <x:v>high</x:v>
      </x:c>
      <x:c r="S190" s="14" t="str">
        <x:v>google_index_verified_2026-08-24</x:v>
      </x:c>
      <x:c r="T190" s="14" t="str">
        <x:v>indexed_official_service_page</x:v>
      </x:c>
      <x:c r="U190" s="14" t="str">
        <x:v>Новий — не контактували</x:v>
      </x:c>
      <x:c r="V190" s="15" t="str">
        <x:v>2-тижневий discovery: запросити вимоги 1 активного проєкту + 1 знеособлений артефакт</x:v>
      </x:c>
      <x:c r="W190" s="15" t="str">
        <x:v>Комерційний директор; керівник проєктів АСК ТП; керівник пусконалагодження</x:v>
      </x:c>
      <x:c r="X190" s="15" t="str">
        <x:v>Проєктування та впровадження SCADA. Пошуковий результат веде на індексовану сторінку корпоративного домену: SCADA системи — Energosys.</x:v>
      </x:c>
      <x:c r="Y190" s="15" t="str">
        <x:v>Шафи, кабелі, маркування, loop-check та FAT/SAT створюють пакет доказів між монтажем, ПНР і замовником.</x:v>
      </x:c>
      <x:c r="Z190" s="15" t="str">
        <x:v>https://energosys.com.ua/scada-systemy-ohliad/</x:v>
      </x:c>
      <x:c r="AA190" s="14" t="str"/>
      <x:c r="AB190" s="14" t="str">
        <x:v>2026-08-24</x:v>
      </x:c>
      <x:c r="AC190" s="14" t="str">
        <x:v>Олександр</x:v>
      </x:c>
      <x:c r="AD190" s="18" t="str"/>
      <x:c r="AE190" s="14" t="str"/>
    </x:row>
    <x:row r="191">
      <x:c r="A191" s="14" t="str">
        <x:v>W2-022</x:v>
      </x:c>
      <x:c r="B191" s="14" t="str">
        <x:v>Проєктний сигнал — 24.08</x:v>
      </x:c>
      <x:c r="C191" s="14" t="str">
        <x:v>ObjectSCADA</x:v>
      </x:c>
      <x:c r="D191" s="14" t="str">
        <x:v>Промислова автоматизація / SCADA</x:v>
      </x:c>
      <x:c r="E191" s="14" t="str">
        <x:v>Expansion discovery</x:v>
      </x:c>
      <x:c r="F191" s="17" t="str">
        <x:f>IF(E191="Pilot now",IF(P191&gt;=84,"P1",IF(P191&gt;=72,"P2","P3")),IF(E191="Expansion discovery",IF(Q191&gt;=88,"D1",IF(Q191&gt;=78,"D2","D3")),IF(E191="Later / requirements","L","Legacy")))</x:f>
        <x:v>D1</x:v>
      </x:c>
      <x:c r="G191" s="14" t="str">
        <x:v>objectscada.site</x:v>
      </x:c>
      <x:c r="H191" s="14" t="str">
        <x:v>2-тижневий workflow discovery — потрібні вимоги одного проєкту</x:v>
      </x:c>
      <x:c r="I191" s="16" t="n">
        <x:v>1</x:v>
      </x:c>
      <x:c r="J191" s="16" t="n">
        <x:v>5</x:v>
      </x:c>
      <x:c r="K191" s="16" t="n">
        <x:v>4</x:v>
      </x:c>
      <x:c r="L191" s="16" t="n">
        <x:v>4</x:v>
      </x:c>
      <x:c r="M191" s="16" t="n">
        <x:v>5</x:v>
      </x:c>
      <x:c r="N191" s="16" t="n">
        <x:v>5</x:v>
      </x:c>
      <x:c r="O191" s="16" t="n">
        <x:v>4</x:v>
      </x:c>
      <x:c r="P191" s="16" t="n">
        <x:f>IF(COUNT(I191:O191)&lt;7,"",I191*8+J191*3+K191*2+L191*2+M191*2+N191*2+O191)</x:f>
        <x:v>63</x:v>
      </x:c>
      <x:c r="Q191" s="16" t="n">
        <x:f>IF(COUNT(J191:O191)&lt;6,"",J191*5+K191*4+M191*4+L191*3+N191*2+O191*2)</x:f>
        <x:v>91</x:v>
      </x:c>
      <x:c r="R191" s="14" t="str">
        <x:v>medium</x:v>
      </x:c>
      <x:c r="S191" s="14" t="str">
        <x:v>google_index_verified_manual_check_2026-08-24</x:v>
      </x:c>
      <x:c r="T191" s="14" t="str">
        <x:v>indexed_official_page_manual_check</x:v>
      </x:c>
      <x:c r="U191" s="14" t="str">
        <x:v>Новий — не контактували</x:v>
      </x:c>
      <x:c r="V191" s="15" t="str">
        <x:v>2-тижневий discovery: запросити вимоги 1 активного проєкту + 1 знеособлений артефакт</x:v>
      </x:c>
      <x:c r="W191" s="15" t="str">
        <x:v>Комерційний директор; керівник проєктів АСК ТП; керівник пусконалагодження</x:v>
      </x:c>
      <x:c r="X191" s="15" t="str">
        <x:v>Промисловий моніторинг і керування. Пошуковий результат веде на індексовану сторінку корпоративного домену: Промислова система управління та моніторингу — ObjectSCADA.</x:v>
      </x:c>
      <x:c r="Y191" s="15" t="str">
        <x:v>Шафи, кабелі, маркування, loop-check та FAT/SAT створюють пакет доказів між монтажем, ПНР і замовником.</x:v>
      </x:c>
      <x:c r="Z191" s="15" t="str">
        <x:v>https://objectscada.site/uk/</x:v>
      </x:c>
      <x:c r="AA191" s="14" t="str"/>
      <x:c r="AB191" s="14" t="str">
        <x:v>2026-08-24</x:v>
      </x:c>
      <x:c r="AC191" s="14" t="str">
        <x:v>Олександр</x:v>
      </x:c>
      <x:c r="AD191" s="18" t="str"/>
      <x:c r="AE191" s="14" t="str"/>
    </x:row>
    <x:row r="192">
      <x:c r="A192" s="14" t="str">
        <x:v>W2-023</x:v>
      </x:c>
      <x:c r="B192" s="14" t="str">
        <x:v>Проєктний сигнал — 24.08</x:v>
      </x:c>
      <x:c r="C192" s="14" t="str">
        <x:v>Cool Factory</x:v>
      </x:c>
      <x:c r="D192" s="14" t="str">
        <x:v>Промисловий холод</x:v>
      </x:c>
      <x:c r="E192" s="14" t="str">
        <x:v>Expansion discovery</x:v>
      </x:c>
      <x:c r="F192" s="17" t="str">
        <x:f>IF(E192="Pilot now",IF(P192&gt;=84,"P1",IF(P192&gt;=72,"P2","P3")),IF(E192="Expansion discovery",IF(Q192&gt;=88,"D1",IF(Q192&gt;=78,"D2","D3")),IF(E192="Later / requirements","L","Legacy")))</x:f>
        <x:v>D1</x:v>
      </x:c>
      <x:c r="G192" s="14" t="str">
        <x:v>cool-factory.com</x:v>
      </x:c>
      <x:c r="H192" s="14" t="str">
        <x:v>2-тижневий workflow discovery — потрібні вимоги одного проєкту</x:v>
      </x:c>
      <x:c r="I192" s="16" t="n">
        <x:v>1</x:v>
      </x:c>
      <x:c r="J192" s="16" t="n">
        <x:v>5</x:v>
      </x:c>
      <x:c r="K192" s="16" t="n">
        <x:v>5</x:v>
      </x:c>
      <x:c r="L192" s="16" t="n">
        <x:v>4</x:v>
      </x:c>
      <x:c r="M192" s="16" t="n">
        <x:v>5</x:v>
      </x:c>
      <x:c r="N192" s="16" t="n">
        <x:v>5</x:v>
      </x:c>
      <x:c r="O192" s="16" t="n">
        <x:v>4</x:v>
      </x:c>
      <x:c r="P192" s="16" t="n">
        <x:f>IF(COUNT(I192:O192)&lt;7,"",I192*8+J192*3+K192*2+L192*2+M192*2+N192*2+O192)</x:f>
        <x:v>65</x:v>
      </x:c>
      <x:c r="Q192" s="16" t="n">
        <x:f>IF(COUNT(J192:O192)&lt;6,"",J192*5+K192*4+M192*4+L192*3+N192*2+O192*2)</x:f>
        <x:v>95</x:v>
      </x:c>
      <x:c r="R192" s="14" t="str">
        <x:v>medium</x:v>
      </x:c>
      <x:c r="S192" s="14" t="str">
        <x:v>google_index_verified_manual_check_2026-08-24</x:v>
      </x:c>
      <x:c r="T192" s="14" t="str">
        <x:v>indexed_official_page_manual_check</x:v>
      </x:c>
      <x:c r="U192" s="14" t="str">
        <x:v>Новий — не контактували</x:v>
      </x:c>
      <x:c r="V192" s="15" t="str">
        <x:v>2-тижневий discovery: запросити вимоги 1 активного проєкту + 1 знеособлений артефакт</x:v>
      </x:c>
      <x:c r="W192" s="15" t="str">
        <x:v>Власник / директор; керівник проєктів; головний холодильний інженер / ПТО</x:v>
      </x:c>
      <x:c r="X192" s="15" t="str">
        <x:v>Промислові холодильні системи. Пошуковий результат веде на індексовану сторінку корпоративного домену: Cool Factory.</x:v>
      </x:c>
      <x:c r="Y192" s="15" t="str">
        <x:v>Трубопроводи холодоагенту, ізоляція, випробування та ПНР закриваються послідовно і потребують протоколів.</x:v>
      </x:c>
      <x:c r="Z192" s="15" t="str">
        <x:v>https://cool-factory.com/</x:v>
      </x:c>
      <x:c r="AA192" s="14" t="str"/>
      <x:c r="AB192" s="14" t="str">
        <x:v>2026-08-24</x:v>
      </x:c>
      <x:c r="AC192" s="14" t="str">
        <x:v>Олександр</x:v>
      </x:c>
      <x:c r="AD192" s="18" t="str"/>
      <x:c r="AE192" s="14" t="str"/>
    </x:row>
    <x:row r="193">
      <x:c r="A193" s="14" t="str">
        <x:v>W2-024</x:v>
      </x:c>
      <x:c r="B193" s="14" t="str">
        <x:v>Проєктний сигнал — 24.08</x:v>
      </x:c>
      <x:c r="C193" s="14" t="str">
        <x:v>4 Стихії</x:v>
      </x:c>
      <x:c r="D193" s="14" t="str">
        <x:v>Промисловий холод</x:v>
      </x:c>
      <x:c r="E193" s="14" t="str">
        <x:v>Expansion discovery</x:v>
      </x:c>
      <x:c r="F193" s="17" t="str">
        <x:f>IF(E193="Pilot now",IF(P193&gt;=84,"P1",IF(P193&gt;=72,"P2","P3")),IF(E193="Expansion discovery",IF(Q193&gt;=88,"D1",IF(Q193&gt;=78,"D2","D3")),IF(E193="Later / requirements","L","Legacy")))</x:f>
        <x:v>D1</x:v>
      </x:c>
      <x:c r="G193" s="14" t="str">
        <x:v>4stykhii.com.ua</x:v>
      </x:c>
      <x:c r="H193" s="14" t="str">
        <x:v>2-тижневий workflow discovery — потрібні вимоги одного проєкту</x:v>
      </x:c>
      <x:c r="I193" s="16" t="n">
        <x:v>1</x:v>
      </x:c>
      <x:c r="J193" s="16" t="n">
        <x:v>5</x:v>
      </x:c>
      <x:c r="K193" s="16" t="n">
        <x:v>5</x:v>
      </x:c>
      <x:c r="L193" s="16" t="n">
        <x:v>4</x:v>
      </x:c>
      <x:c r="M193" s="16" t="n">
        <x:v>5</x:v>
      </x:c>
      <x:c r="N193" s="16" t="n">
        <x:v>5</x:v>
      </x:c>
      <x:c r="O193" s="16" t="n">
        <x:v>5</x:v>
      </x:c>
      <x:c r="P193" s="16" t="n">
        <x:f>IF(COUNT(I193:O193)&lt;7,"",I193*8+J193*3+K193*2+L193*2+M193*2+N193*2+O193)</x:f>
        <x:v>66</x:v>
      </x:c>
      <x:c r="Q193" s="16" t="n">
        <x:f>IF(COUNT(J193:O193)&lt;6,"",J193*5+K193*4+M193*4+L193*3+N193*2+O193*2)</x:f>
        <x:v>97</x:v>
      </x:c>
      <x:c r="R193" s="14" t="str">
        <x:v>high</x:v>
      </x:c>
      <x:c r="S193" s="14" t="str">
        <x:v>google_index_verified_2026-08-24</x:v>
      </x:c>
      <x:c r="T193" s="14" t="str">
        <x:v>indexed_official_service_page</x:v>
      </x:c>
      <x:c r="U193" s="14" t="str">
        <x:v>Новий — не контактували</x:v>
      </x:c>
      <x:c r="V193" s="15" t="str">
        <x:v>2-тижневий discovery: запросити вимоги 1 активного проєкту + 1 знеособлений артефакт</x:v>
      </x:c>
      <x:c r="W193" s="15" t="str">
        <x:v>Власник / директор; керівник проєктів; головний холодильний інженер / ПТО</x:v>
      </x:c>
      <x:c r="X193" s="15" t="str">
        <x:v>Промислові холодильні проєкти. Пошуковий результат веде на індексовану сторінку корпоративного домену: Підбір промислового холодильного обладнання — 4 Стихії.</x:v>
      </x:c>
      <x:c r="Y193" s="15" t="str">
        <x:v>Трубопроводи холодоагенту, ізоляція, випробування та ПНР закриваються послідовно і потребують протоколів.</x:v>
      </x:c>
      <x:c r="Z193" s="15" t="str">
        <x:v>https://4stykhii.com.ua/konsultaciya/</x:v>
      </x:c>
      <x:c r="AA193" s="14" t="str"/>
      <x:c r="AB193" s="14" t="str">
        <x:v>2026-08-24</x:v>
      </x:c>
      <x:c r="AC193" s="14" t="str">
        <x:v>Олександр</x:v>
      </x:c>
      <x:c r="AD193" s="18" t="str"/>
      <x:c r="AE193" s="14" t="str"/>
    </x:row>
    <x:row r="194">
      <x:c r="A194" s="14" t="str">
        <x:v>W2-025</x:v>
      </x:c>
      <x:c r="B194" s="14" t="str">
        <x:v>Проєктний сигнал — 24.08</x:v>
      </x:c>
      <x:c r="C194" s="14" t="str">
        <x:v>ТРВ</x:v>
      </x:c>
      <x:c r="D194" s="14" t="str">
        <x:v>Промисловий холод</x:v>
      </x:c>
      <x:c r="E194" s="14" t="str">
        <x:v>Expansion discovery</x:v>
      </x:c>
      <x:c r="F194" s="17" t="str">
        <x:f>IF(E194="Pilot now",IF(P194&gt;=84,"P1",IF(P194&gt;=72,"P2","P3")),IF(E194="Expansion discovery",IF(Q194&gt;=88,"D1",IF(Q194&gt;=78,"D2","D3")),IF(E194="Later / requirements","L","Legacy")))</x:f>
        <x:v>D1</x:v>
      </x:c>
      <x:c r="G194" s="14" t="str">
        <x:v>trv.kiev.ua</x:v>
      </x:c>
      <x:c r="H194" s="14" t="str">
        <x:v>2-тижневий workflow discovery — потрібні вимоги одного проєкту</x:v>
      </x:c>
      <x:c r="I194" s="16" t="n">
        <x:v>1</x:v>
      </x:c>
      <x:c r="J194" s="16" t="n">
        <x:v>5</x:v>
      </x:c>
      <x:c r="K194" s="16" t="n">
        <x:v>5</x:v>
      </x:c>
      <x:c r="L194" s="16" t="n">
        <x:v>4</x:v>
      </x:c>
      <x:c r="M194" s="16" t="n">
        <x:v>5</x:v>
      </x:c>
      <x:c r="N194" s="16" t="n">
        <x:v>5</x:v>
      </x:c>
      <x:c r="O194" s="16" t="n">
        <x:v>3</x:v>
      </x:c>
      <x:c r="P194" s="16" t="n">
        <x:f>IF(COUNT(I194:O194)&lt;7,"",I194*8+J194*3+K194*2+L194*2+M194*2+N194*2+O194)</x:f>
        <x:v>64</x:v>
      </x:c>
      <x:c r="Q194" s="16" t="n">
        <x:f>IF(COUNT(J194:O194)&lt;6,"",J194*5+K194*4+M194*4+L194*3+N194*2+O194*2)</x:f>
        <x:v>93</x:v>
      </x:c>
      <x:c r="R194" s="14" t="str">
        <x:v>medium</x:v>
      </x:c>
      <x:c r="S194" s="14" t="str">
        <x:v>google_index_verified_manual_check_2026-08-24</x:v>
      </x:c>
      <x:c r="T194" s="14" t="str">
        <x:v>indexed_official_page_manual_check</x:v>
      </x:c>
      <x:c r="U194" s="14" t="str">
        <x:v>Новий — не контактували</x:v>
      </x:c>
      <x:c r="V194" s="15" t="str">
        <x:v>2-тижневий discovery: запросити вимоги 1 активного проєкту + 1 знеособлений артефакт</x:v>
      </x:c>
      <x:c r="W194" s="15" t="str">
        <x:v>Власник / директор; керівник проєктів; головний холодильний інженер / ПТО</x:v>
      </x:c>
      <x:c r="X194" s="15" t="str">
        <x:v>Монтаж і пусконалагодження холодильних систем. Пошуковий результат веде на індексовану сторінку корпоративного домену: Монтаж та пусконалагоджувальні роботи — ТРВ.</x:v>
      </x:c>
      <x:c r="Y194" s="15" t="str">
        <x:v>Трубопроводи холодоагенту, ізоляція, випробування та ПНР закриваються послідовно і потребують протоколів.</x:v>
      </x:c>
      <x:c r="Z194" s="15" t="str">
        <x:v>http://www.trv.kiev.ua/montazh-i-pusko-naladochnye-raboty</x:v>
      </x:c>
      <x:c r="AA194" s="14" t="str"/>
      <x:c r="AB194" s="14" t="str">
        <x:v>2026-08-24</x:v>
      </x:c>
      <x:c r="AC194" s="14" t="str">
        <x:v>Олександр</x:v>
      </x:c>
      <x:c r="AD194" s="18" t="str"/>
      <x:c r="AE194" s="14" t="str"/>
    </x:row>
    <x:row r="195">
      <x:c r="A195" s="14" t="str">
        <x:v>W2-026</x:v>
      </x:c>
      <x:c r="B195" s="14" t="str">
        <x:v>Проєктний сигнал — 24.08</x:v>
      </x:c>
      <x:c r="C195" s="14" t="str">
        <x:v>Статус Проект</x:v>
      </x:c>
      <x:c r="D195" s="14" t="str">
        <x:v>Промисловий холод</x:v>
      </x:c>
      <x:c r="E195" s="14" t="str">
        <x:v>Expansion discovery</x:v>
      </x:c>
      <x:c r="F195" s="17" t="str">
        <x:f>IF(E195="Pilot now",IF(P195&gt;=84,"P1",IF(P195&gt;=72,"P2","P3")),IF(E195="Expansion discovery",IF(Q195&gt;=88,"D1",IF(Q195&gt;=78,"D2","D3")),IF(E195="Later / requirements","L","Legacy")))</x:f>
        <x:v>D1</x:v>
      </x:c>
      <x:c r="G195" s="14" t="str">
        <x:v>statuspoekt.dp.ua</x:v>
      </x:c>
      <x:c r="H195" s="14" t="str">
        <x:v>2-тижневий workflow discovery — потрібні вимоги одного проєкту</x:v>
      </x:c>
      <x:c r="I195" s="16" t="n">
        <x:v>1</x:v>
      </x:c>
      <x:c r="J195" s="16" t="n">
        <x:v>5</x:v>
      </x:c>
      <x:c r="K195" s="16" t="n">
        <x:v>5</x:v>
      </x:c>
      <x:c r="L195" s="16" t="n">
        <x:v>4</x:v>
      </x:c>
      <x:c r="M195" s="16" t="n">
        <x:v>5</x:v>
      </x:c>
      <x:c r="N195" s="16" t="n">
        <x:v>5</x:v>
      </x:c>
      <x:c r="O195" s="16" t="n">
        <x:v>5</x:v>
      </x:c>
      <x:c r="P195" s="16" t="n">
        <x:f>IF(COUNT(I195:O195)&lt;7,"",I195*8+J195*3+K195*2+L195*2+M195*2+N195*2+O195)</x:f>
        <x:v>66</x:v>
      </x:c>
      <x:c r="Q195" s="16" t="n">
        <x:f>IF(COUNT(J195:O195)&lt;6,"",J195*5+K195*4+M195*4+L195*3+N195*2+O195*2)</x:f>
        <x:v>97</x:v>
      </x:c>
      <x:c r="R195" s="14" t="str">
        <x:v>high</x:v>
      </x:c>
      <x:c r="S195" s="14" t="str">
        <x:v>google_index_verified_2026-08-24</x:v>
      </x:c>
      <x:c r="T195" s="14" t="str">
        <x:v>indexed_official_service_page</x:v>
      </x:c>
      <x:c r="U195" s="14" t="str">
        <x:v>Новий — не контактували</x:v>
      </x:c>
      <x:c r="V195" s="15" t="str">
        <x:v>2-тижневий discovery: запросити вимоги 1 активного проєкту + 1 знеособлений артефакт</x:v>
      </x:c>
      <x:c r="W195" s="15" t="str">
        <x:v>Власник / директор; керівник проєктів; головний холодильний інженер / ПТО</x:v>
      </x:c>
      <x:c r="X195" s="15" t="str">
        <x:v>Проєктування та монтаж холодильних систем. Пошуковий результат веде на індексовану сторінку корпоративного домену: ТОВ Статус Проект.</x:v>
      </x:c>
      <x:c r="Y195" s="15" t="str">
        <x:v>Трубопроводи холодоагенту, ізоляція, випробування та ПНР закриваються послідовно і потребують протоколів.</x:v>
      </x:c>
      <x:c r="Z195" s="15" t="str">
        <x:v>https://statuspoekt.dp.ua/ua/about_us</x:v>
      </x:c>
      <x:c r="AA195" s="14" t="str"/>
      <x:c r="AB195" s="14" t="str">
        <x:v>2026-08-24</x:v>
      </x:c>
      <x:c r="AC195" s="14" t="str">
        <x:v>Олександр</x:v>
      </x:c>
      <x:c r="AD195" s="18" t="str"/>
      <x:c r="AE195" s="14" t="str"/>
    </x:row>
    <x:row r="196">
      <x:c r="A196" s="14" t="str">
        <x:v>W2-027</x:v>
      </x:c>
      <x:c r="B196" s="14" t="str">
        <x:v>Проєктний сигнал — 24.08</x:v>
      </x:c>
      <x:c r="C196" s="14" t="str">
        <x:v>Новафрост</x:v>
      </x:c>
      <x:c r="D196" s="14" t="str">
        <x:v>Промисловий холод</x:v>
      </x:c>
      <x:c r="E196" s="14" t="str">
        <x:v>Expansion discovery</x:v>
      </x:c>
      <x:c r="F196" s="17" t="str">
        <x:f>IF(E196="Pilot now",IF(P196&gt;=84,"P1",IF(P196&gt;=72,"P2","P3")),IF(E196="Expansion discovery",IF(Q196&gt;=88,"D1",IF(Q196&gt;=78,"D2","D3")),IF(E196="Later / requirements","L","Legacy")))</x:f>
        <x:v>D1</x:v>
      </x:c>
      <x:c r="G196" s="14" t="str">
        <x:v>novafrost.com.ua</x:v>
      </x:c>
      <x:c r="H196" s="14" t="str">
        <x:v>2-тижневий workflow discovery — потрібні вимоги одного проєкту</x:v>
      </x:c>
      <x:c r="I196" s="16" t="n">
        <x:v>1</x:v>
      </x:c>
      <x:c r="J196" s="16" t="n">
        <x:v>5</x:v>
      </x:c>
      <x:c r="K196" s="16" t="n">
        <x:v>5</x:v>
      </x:c>
      <x:c r="L196" s="16" t="n">
        <x:v>4</x:v>
      </x:c>
      <x:c r="M196" s="16" t="n">
        <x:v>5</x:v>
      </x:c>
      <x:c r="N196" s="16" t="n">
        <x:v>5</x:v>
      </x:c>
      <x:c r="O196" s="16" t="n">
        <x:v>5</x:v>
      </x:c>
      <x:c r="P196" s="16" t="n">
        <x:f>IF(COUNT(I196:O196)&lt;7,"",I196*8+J196*3+K196*2+L196*2+M196*2+N196*2+O196)</x:f>
        <x:v>66</x:v>
      </x:c>
      <x:c r="Q196" s="16" t="n">
        <x:f>IF(COUNT(J196:O196)&lt;6,"",J196*5+K196*4+M196*4+L196*3+N196*2+O196*2)</x:f>
        <x:v>97</x:v>
      </x:c>
      <x:c r="R196" s="14" t="str">
        <x:v>high</x:v>
      </x:c>
      <x:c r="S196" s="14" t="str">
        <x:v>google_index_verified_2026-08-24</x:v>
      </x:c>
      <x:c r="T196" s="14" t="str">
        <x:v>indexed_official_service_page</x:v>
      </x:c>
      <x:c r="U196" s="14" t="str">
        <x:v>Новий — не контактували</x:v>
      </x:c>
      <x:c r="V196" s="15" t="str">
        <x:v>2-тижневий discovery: запросити вимоги 1 активного проєкту + 1 знеособлений артефакт</x:v>
      </x:c>
      <x:c r="W196" s="15" t="str">
        <x:v>Власник / директор; керівник проєктів; головний холодильний інженер / ПТО</x:v>
      </x:c>
      <x:c r="X196" s="15" t="str">
        <x:v>Монтаж камер і складів. Пошуковий результат веде на індексовану сторінку корпоративного домену: Монтаж холодильних і морозильних камер — Новафрост.</x:v>
      </x:c>
      <x:c r="Y196" s="15" t="str">
        <x:v>Трубопроводи холодоагенту, ізоляція, випробування та ПНР закриваються послідовно і потребують протоколів.</x:v>
      </x:c>
      <x:c r="Z196" s="15" t="str">
        <x:v>https://www.novafrost.com.ua/service-loc/kyiv/</x:v>
      </x:c>
      <x:c r="AA196" s="14" t="str"/>
      <x:c r="AB196" s="14" t="str">
        <x:v>2026-08-24</x:v>
      </x:c>
      <x:c r="AC196" s="14" t="str">
        <x:v>Олександр</x:v>
      </x:c>
      <x:c r="AD196" s="18" t="str"/>
      <x:c r="AE196" s="14" t="str"/>
    </x:row>
    <x:row r="197">
      <x:c r="A197" s="14" t="str">
        <x:v>W2-028</x:v>
      </x:c>
      <x:c r="B197" s="14" t="str">
        <x:v>Проєктний сигнал — 24.08</x:v>
      </x:c>
      <x:c r="C197" s="14" t="str">
        <x:v>Termocom</x:v>
      </x:c>
      <x:c r="D197" s="14" t="str">
        <x:v>Промисловий холод</x:v>
      </x:c>
      <x:c r="E197" s="14" t="str">
        <x:v>Expansion discovery</x:v>
      </x:c>
      <x:c r="F197" s="17" t="str">
        <x:f>IF(E197="Pilot now",IF(P197&gt;=84,"P1",IF(P197&gt;=72,"P2","P3")),IF(E197="Expansion discovery",IF(Q197&gt;=88,"D1",IF(Q197&gt;=78,"D2","D3")),IF(E197="Later / requirements","L","Legacy")))</x:f>
        <x:v>D1</x:v>
      </x:c>
      <x:c r="G197" s="14" t="str">
        <x:v>termocom.com.ua</x:v>
      </x:c>
      <x:c r="H197" s="14" t="str">
        <x:v>2-тижневий workflow discovery — потрібні вимоги одного проєкту</x:v>
      </x:c>
      <x:c r="I197" s="16" t="n">
        <x:v>1</x:v>
      </x:c>
      <x:c r="J197" s="16" t="n">
        <x:v>5</x:v>
      </x:c>
      <x:c r="K197" s="16" t="n">
        <x:v>5</x:v>
      </x:c>
      <x:c r="L197" s="16" t="n">
        <x:v>4</x:v>
      </x:c>
      <x:c r="M197" s="16" t="n">
        <x:v>5</x:v>
      </x:c>
      <x:c r="N197" s="16" t="n">
        <x:v>5</x:v>
      </x:c>
      <x:c r="O197" s="16" t="n">
        <x:v>5</x:v>
      </x:c>
      <x:c r="P197" s="16" t="n">
        <x:f>IF(COUNT(I197:O197)&lt;7,"",I197*8+J197*3+K197*2+L197*2+M197*2+N197*2+O197)</x:f>
        <x:v>66</x:v>
      </x:c>
      <x:c r="Q197" s="16" t="n">
        <x:f>IF(COUNT(J197:O197)&lt;6,"",J197*5+K197*4+M197*4+L197*3+N197*2+O197*2)</x:f>
        <x:v>97</x:v>
      </x:c>
      <x:c r="R197" s="14" t="str">
        <x:v>high</x:v>
      </x:c>
      <x:c r="S197" s="14" t="str">
        <x:v>google_index_verified_2026-08-24</x:v>
      </x:c>
      <x:c r="T197" s="14" t="str">
        <x:v>indexed_official_service_page</x:v>
      </x:c>
      <x:c r="U197" s="14" t="str">
        <x:v>Новий — не контактували</x:v>
      </x:c>
      <x:c r="V197" s="15" t="str">
        <x:v>2-тижневий discovery: запросити вимоги 1 активного проєкту + 1 знеособлений артефакт</x:v>
      </x:c>
      <x:c r="W197" s="15" t="str">
        <x:v>Власник / директор; керівник проєктів; головний холодильний інженер / ПТО</x:v>
      </x:c>
      <x:c r="X197" s="15" t="str">
        <x:v>Промислове холодильне обладнання. Пошуковий результат веде на індексовану сторінку корпоративного домену: Промисловий холод — Termocom.</x:v>
      </x:c>
      <x:c r="Y197" s="15" t="str">
        <x:v>Трубопроводи холодоагенту, ізоляція, випробування та ПНР закриваються послідовно і потребують протоколів.</x:v>
      </x:c>
      <x:c r="Z197" s="15" t="str">
        <x:v>https://termocom.com.ua/ua/</x:v>
      </x:c>
      <x:c r="AA197" s="14" t="str"/>
      <x:c r="AB197" s="14" t="str">
        <x:v>2026-08-24</x:v>
      </x:c>
      <x:c r="AC197" s="14" t="str">
        <x:v>Олександр</x:v>
      </x:c>
      <x:c r="AD197" s="18" t="str"/>
      <x:c r="AE197" s="14" t="str"/>
    </x:row>
    <x:row r="198">
      <x:c r="A198" s="14" t="str">
        <x:v>W2-029</x:v>
      </x:c>
      <x:c r="B198" s="14" t="str">
        <x:v>Проєктний сигнал — 24.08</x:v>
      </x:c>
      <x:c r="C198" s="14" t="str">
        <x:v>Холод-Юг</x:v>
      </x:c>
      <x:c r="D198" s="14" t="str">
        <x:v>Промисловий холод</x:v>
      </x:c>
      <x:c r="E198" s="14" t="str">
        <x:v>Expansion discovery</x:v>
      </x:c>
      <x:c r="F198" s="17" t="str">
        <x:f>IF(E198="Pilot now",IF(P198&gt;=84,"P1",IF(P198&gt;=72,"P2","P3")),IF(E198="Expansion discovery",IF(Q198&gt;=88,"D1",IF(Q198&gt;=78,"D2","D3")),IF(E198="Later / requirements","L","Legacy")))</x:f>
        <x:v>D1</x:v>
      </x:c>
      <x:c r="G198" s="14" t="str">
        <x:v>hladoyug.com</x:v>
      </x:c>
      <x:c r="H198" s="14" t="str">
        <x:v>2-тижневий workflow discovery — потрібні вимоги одного проєкту</x:v>
      </x:c>
      <x:c r="I198" s="16" t="n">
        <x:v>1</x:v>
      </x:c>
      <x:c r="J198" s="16" t="n">
        <x:v>5</x:v>
      </x:c>
      <x:c r="K198" s="16" t="n">
        <x:v>5</x:v>
      </x:c>
      <x:c r="L198" s="16" t="n">
        <x:v>4</x:v>
      </x:c>
      <x:c r="M198" s="16" t="n">
        <x:v>5</x:v>
      </x:c>
      <x:c r="N198" s="16" t="n">
        <x:v>5</x:v>
      </x:c>
      <x:c r="O198" s="16" t="n">
        <x:v>3</x:v>
      </x:c>
      <x:c r="P198" s="16" t="n">
        <x:f>IF(COUNT(I198:O198)&lt;7,"",I198*8+J198*3+K198*2+L198*2+M198*2+N198*2+O198)</x:f>
        <x:v>64</x:v>
      </x:c>
      <x:c r="Q198" s="16" t="n">
        <x:f>IF(COUNT(J198:O198)&lt;6,"",J198*5+K198*4+M198*4+L198*3+N198*2+O198*2)</x:f>
        <x:v>93</x:v>
      </x:c>
      <x:c r="R198" s="14" t="str">
        <x:v>medium</x:v>
      </x:c>
      <x:c r="S198" s="14" t="str">
        <x:v>google_index_verified_manual_check_2026-08-24</x:v>
      </x:c>
      <x:c r="T198" s="14" t="str">
        <x:v>indexed_official_page_manual_check</x:v>
      </x:c>
      <x:c r="U198" s="14" t="str">
        <x:v>Новий — не контактували</x:v>
      </x:c>
      <x:c r="V198" s="15" t="str">
        <x:v>2-тижневий discovery: запросити вимоги 1 активного проєкту + 1 знеособлений артефакт</x:v>
      </x:c>
      <x:c r="W198" s="15" t="str">
        <x:v>Власник / директор; керівник проєктів; головний холодильний інженер / ПТО</x:v>
      </x:c>
      <x:c r="X198" s="15" t="str">
        <x:v>Проєктування та монтаж холодильних систем. Пошуковий результат веде на індексовану сторінку корпоративного домену: Проєктування та монтаж — Холод-Юг.</x:v>
      </x:c>
      <x:c r="Y198" s="15" t="str">
        <x:v>Трубопроводи холодоагенту, ізоляція, випробування та ПНР закриваються послідовно і потребують протоколів.</x:v>
      </x:c>
      <x:c r="Z198" s="15" t="str">
        <x:v>http://hladoyug.com/work</x:v>
      </x:c>
      <x:c r="AA198" s="14" t="str"/>
      <x:c r="AB198" s="14" t="str">
        <x:v>2026-08-24</x:v>
      </x:c>
      <x:c r="AC198" s="14" t="str">
        <x:v>Олександр</x:v>
      </x:c>
      <x:c r="AD198" s="18" t="str"/>
      <x:c r="AE198" s="14" t="str"/>
    </x:row>
    <x:row r="199">
      <x:c r="A199" s="14" t="str">
        <x:v>W2-030</x:v>
      </x:c>
      <x:c r="B199" s="14" t="str">
        <x:v>Проєктний сигнал — 24.08</x:v>
      </x:c>
      <x:c r="C199" s="14" t="str">
        <x:v>Укрпромхолод</x:v>
      </x:c>
      <x:c r="D199" s="14" t="str">
        <x:v>Промисловий холод</x:v>
      </x:c>
      <x:c r="E199" s="14" t="str">
        <x:v>Expansion discovery</x:v>
      </x:c>
      <x:c r="F199" s="17" t="str">
        <x:f>IF(E199="Pilot now",IF(P199&gt;=84,"P1",IF(P199&gt;=72,"P2","P3")),IF(E199="Expansion discovery",IF(Q199&gt;=88,"D1",IF(Q199&gt;=78,"D2","D3")),IF(E199="Later / requirements","L","Legacy")))</x:f>
        <x:v>D1</x:v>
      </x:c>
      <x:c r="G199" s="14" t="str">
        <x:v>ukrpromholod.com.ua</x:v>
      </x:c>
      <x:c r="H199" s="14" t="str">
        <x:v>2-тижневий workflow discovery — потрібні вимоги одного проєкту</x:v>
      </x:c>
      <x:c r="I199" s="16" t="n">
        <x:v>1</x:v>
      </x:c>
      <x:c r="J199" s="16" t="n">
        <x:v>5</x:v>
      </x:c>
      <x:c r="K199" s="16" t="n">
        <x:v>5</x:v>
      </x:c>
      <x:c r="L199" s="16" t="n">
        <x:v>4</x:v>
      </x:c>
      <x:c r="M199" s="16" t="n">
        <x:v>5</x:v>
      </x:c>
      <x:c r="N199" s="16" t="n">
        <x:v>5</x:v>
      </x:c>
      <x:c r="O199" s="16" t="n">
        <x:v>3</x:v>
      </x:c>
      <x:c r="P199" s="16" t="n">
        <x:f>IF(COUNT(I199:O199)&lt;7,"",I199*8+J199*3+K199*2+L199*2+M199*2+N199*2+O199)</x:f>
        <x:v>64</x:v>
      </x:c>
      <x:c r="Q199" s="16" t="n">
        <x:f>IF(COUNT(J199:O199)&lt;6,"",J199*5+K199*4+M199*4+L199*3+N199*2+O199*2)</x:f>
        <x:v>93</x:v>
      </x:c>
      <x:c r="R199" s="14" t="str">
        <x:v>medium</x:v>
      </x:c>
      <x:c r="S199" s="14" t="str">
        <x:v>google_index_verified_manual_check_2026-08-24</x:v>
      </x:c>
      <x:c r="T199" s="14" t="str">
        <x:v>indexed_official_page_manual_check</x:v>
      </x:c>
      <x:c r="U199" s="14" t="str">
        <x:v>Новий — не контактували</x:v>
      </x:c>
      <x:c r="V199" s="15" t="str">
        <x:v>2-тижневий discovery: запросити вимоги 1 активного проєкту + 1 знеособлений артефакт</x:v>
      </x:c>
      <x:c r="W199" s="15" t="str">
        <x:v>Власник / директор; керівник проєктів; головний холодильний інженер / ПТО</x:v>
      </x:c>
      <x:c r="X199" s="15" t="str">
        <x:v>Промислові холодильні рішення. Пошуковий результат веде на індексовану сторінку корпоративного домену: УКРПРОМХОЛОД.</x:v>
      </x:c>
      <x:c r="Y199" s="15" t="str">
        <x:v>Трубопроводи холодоагенту, ізоляція, випробування та ПНР закриваються послідовно і потребують протоколів.</x:v>
      </x:c>
      <x:c r="Z199" s="15" t="str">
        <x:v>http://ukrpromholod.com.ua/index.php?action=mobiledisable</x:v>
      </x:c>
      <x:c r="AA199" s="14" t="str"/>
      <x:c r="AB199" s="14" t="str">
        <x:v>2026-08-24</x:v>
      </x:c>
      <x:c r="AC199" s="14" t="str">
        <x:v>Олександр</x:v>
      </x:c>
      <x:c r="AD199" s="18" t="str"/>
      <x:c r="AE199" s="14" t="str"/>
    </x:row>
    <x:row r="200">
      <x:c r="A200" s="14" t="str">
        <x:v>W2-031</x:v>
      </x:c>
      <x:c r="B200" s="14" t="str">
        <x:v>Проєктний сигнал — 24.08</x:v>
      </x:c>
      <x:c r="C200" s="14" t="str">
        <x:v>Пожежна безпека України / Євросервіс</x:v>
      </x:c>
      <x:c r="D200" s="14" t="str">
        <x:v>Пожежогасіння</x:v>
      </x:c>
      <x:c r="E200" s="14" t="str">
        <x:v>Expansion discovery</x:v>
      </x:c>
      <x:c r="F200" s="17" t="str">
        <x:f>IF(E200="Pilot now",IF(P200&gt;=84,"P1",IF(P200&gt;=72,"P2","P3")),IF(E200="Expansion discovery",IF(Q200&gt;=88,"D1",IF(Q200&gt;=78,"D2","D3")),IF(E200="Later / requirements","L","Legacy")))</x:f>
        <x:v>D1</x:v>
      </x:c>
      <x:c r="G200" s="14" t="str">
        <x:v>euroservis.com.ua</x:v>
      </x:c>
      <x:c r="H200" s="14" t="str">
        <x:v>2-тижневий workflow discovery — потрібні вимоги одного проєкту</x:v>
      </x:c>
      <x:c r="I200" s="16" t="n">
        <x:v>1</x:v>
      </x:c>
      <x:c r="J200" s="16" t="n">
        <x:v>5</x:v>
      </x:c>
      <x:c r="K200" s="16" t="n">
        <x:v>5</x:v>
      </x:c>
      <x:c r="L200" s="16" t="n">
        <x:v>4</x:v>
      </x:c>
      <x:c r="M200" s="16" t="n">
        <x:v>5</x:v>
      </x:c>
      <x:c r="N200" s="16" t="n">
        <x:v>5</x:v>
      </x:c>
      <x:c r="O200" s="16" t="n">
        <x:v>5</x:v>
      </x:c>
      <x:c r="P200" s="16" t="n">
        <x:f>IF(COUNT(I200:O200)&lt;7,"",I200*8+J200*3+K200*2+L200*2+M200*2+N200*2+O200)</x:f>
        <x:v>66</x:v>
      </x:c>
      <x:c r="Q200" s="16" t="n">
        <x:f>IF(COUNT(J200:O200)&lt;6,"",J200*5+K200*4+M200*4+L200*3+N200*2+O200*2)</x:f>
        <x:v>97</x:v>
      </x:c>
      <x:c r="R200" s="14" t="str">
        <x:v>high</x:v>
      </x:c>
      <x:c r="S200" s="14" t="str">
        <x:v>google_index_verified_2026-08-24</x:v>
      </x:c>
      <x:c r="T200" s="14" t="str">
        <x:v>indexed_official_service_page</x:v>
      </x:c>
      <x:c r="U200" s="14" t="str">
        <x:v>Новий — не контактували</x:v>
      </x:c>
      <x:c r="V200" s="15" t="str">
        <x:v>2-тижневий discovery: запросити вимоги 1 активного проєкту + 1 знеособлений артефакт</x:v>
      </x:c>
      <x:c r="W200" s="15" t="str">
        <x:v>Директор; керівник проєктів; керівник монтажу / ПТО</x:v>
      </x:c>
      <x:c r="X200" s="15" t="str">
        <x:v>Монтаж і технічне обслуговування пожежогасіння. Пошуковий результат веде на індексовану сторінку корпоративного домену: Монтаж систем пожежогасіння — Пожежна безпека України.</x:v>
      </x:c>
      <x:c r="Y200" s="15" t="str">
        <x:v>Трубопроводи, проходки, спринклери, адресація й випробування потребують доказів до оздоблення та введення.</x:v>
      </x:c>
      <x:c r="Z200" s="15" t="str">
        <x:v>https://euroservis.com.ua/ua/montazh-i-tekhnicheskoe-obsluzhivanie-sistem-pozharotusheniya/</x:v>
      </x:c>
      <x:c r="AA200" s="14" t="str"/>
      <x:c r="AB200" s="14" t="str">
        <x:v>2026-08-24</x:v>
      </x:c>
      <x:c r="AC200" s="14" t="str">
        <x:v>Олександр</x:v>
      </x:c>
      <x:c r="AD200" s="18" t="str"/>
      <x:c r="AE200" s="14" t="str"/>
    </x:row>
    <x:row r="201">
      <x:c r="A201" s="14" t="str">
        <x:v>W2-032</x:v>
      </x:c>
      <x:c r="B201" s="14" t="str">
        <x:v>Проєктний сигнал — 24.08</x:v>
      </x:c>
      <x:c r="C201" s="14" t="str">
        <x:v>Кабо Груп</x:v>
      </x:c>
      <x:c r="D201" s="14" t="str">
        <x:v>Пожежогасіння</x:v>
      </x:c>
      <x:c r="E201" s="14" t="str">
        <x:v>Expansion discovery</x:v>
      </x:c>
      <x:c r="F201" s="17" t="str">
        <x:f>IF(E201="Pilot now",IF(P201&gt;=84,"P1",IF(P201&gt;=72,"P2","P3")),IF(E201="Expansion discovery",IF(Q201&gt;=88,"D1",IF(Q201&gt;=78,"D2","D3")),IF(E201="Later / requirements","L","Legacy")))</x:f>
        <x:v>D1</x:v>
      </x:c>
      <x:c r="G201" s="14" t="str">
        <x:v>kabogroup.com.ua</x:v>
      </x:c>
      <x:c r="H201" s="14" t="str">
        <x:v>2-тижневий workflow discovery — потрібні вимоги одного проєкту</x:v>
      </x:c>
      <x:c r="I201" s="16" t="n">
        <x:v>1</x:v>
      </x:c>
      <x:c r="J201" s="16" t="n">
        <x:v>5</x:v>
      </x:c>
      <x:c r="K201" s="16" t="n">
        <x:v>5</x:v>
      </x:c>
      <x:c r="L201" s="16" t="n">
        <x:v>4</x:v>
      </x:c>
      <x:c r="M201" s="16" t="n">
        <x:v>5</x:v>
      </x:c>
      <x:c r="N201" s="16" t="n">
        <x:v>5</x:v>
      </x:c>
      <x:c r="O201" s="16" t="n">
        <x:v>5</x:v>
      </x:c>
      <x:c r="P201" s="16" t="n">
        <x:f>IF(COUNT(I201:O201)&lt;7,"",I201*8+J201*3+K201*2+L201*2+M201*2+N201*2+O201)</x:f>
        <x:v>66</x:v>
      </x:c>
      <x:c r="Q201" s="16" t="n">
        <x:f>IF(COUNT(J201:O201)&lt;6,"",J201*5+K201*4+M201*4+L201*3+N201*2+O201*2)</x:f>
        <x:v>97</x:v>
      </x:c>
      <x:c r="R201" s="14" t="str">
        <x:v>high</x:v>
      </x:c>
      <x:c r="S201" s="14" t="str">
        <x:v>google_index_verified_2026-08-24</x:v>
      </x:c>
      <x:c r="T201" s="14" t="str">
        <x:v>indexed_official_service_page</x:v>
      </x:c>
      <x:c r="U201" s="14" t="str">
        <x:v>Новий — не контактували</x:v>
      </x:c>
      <x:c r="V201" s="15" t="str">
        <x:v>2-тижневий discovery: запросити вимоги 1 активного проєкту + 1 знеособлений артефакт</x:v>
      </x:c>
      <x:c r="W201" s="15" t="str">
        <x:v>Директор; керівник проєктів; керівник монтажу / ПТО</x:v>
      </x:c>
      <x:c r="X201" s="15" t="str">
        <x:v>Комплексні протипожежні роботи. Пошуковий результат веде на індексовану сторінку корпоративного домену: Послуги пожежної безпеки — Кабо Груп.</x:v>
      </x:c>
      <x:c r="Y201" s="15" t="str">
        <x:v>Трубопроводи, проходки, спринклери, адресація й випробування потребують доказів до оздоблення та введення.</x:v>
      </x:c>
      <x:c r="Z201" s="15" t="str">
        <x:v>https://kabogroup.com.ua/%D0%BF%D0%BE%D1%81%D0%BB%D1%83%D0%B3%D0%B8/</x:v>
      </x:c>
      <x:c r="AA201" s="14" t="str"/>
      <x:c r="AB201" s="14" t="str">
        <x:v>2026-08-24</x:v>
      </x:c>
      <x:c r="AC201" s="14" t="str">
        <x:v>Олександр</x:v>
      </x:c>
      <x:c r="AD201" s="18" t="str"/>
      <x:c r="AE201" s="14" t="str"/>
    </x:row>
    <x:row r="202">
      <x:c r="A202" s="14" t="str">
        <x:v>W2-033</x:v>
      </x:c>
      <x:c r="B202" s="14" t="str">
        <x:v>Проєктний сигнал — 24.08</x:v>
      </x:c>
      <x:c r="C202" s="14" t="str">
        <x:v>Август СБ</x:v>
      </x:c>
      <x:c r="D202" s="14" t="str">
        <x:v>Пожежогасіння</x:v>
      </x:c>
      <x:c r="E202" s="14" t="str">
        <x:v>Expansion discovery</x:v>
      </x:c>
      <x:c r="F202" s="17" t="str">
        <x:f>IF(E202="Pilot now",IF(P202&gt;=84,"P1",IF(P202&gt;=72,"P2","P3")),IF(E202="Expansion discovery",IF(Q202&gt;=88,"D1",IF(Q202&gt;=78,"D2","D3")),IF(E202="Later / requirements","L","Legacy")))</x:f>
        <x:v>D1</x:v>
      </x:c>
      <x:c r="G202" s="14" t="str">
        <x:v>augustsb.com.ua</x:v>
      </x:c>
      <x:c r="H202" s="14" t="str">
        <x:v>2-тижневий workflow discovery — потрібні вимоги одного проєкту</x:v>
      </x:c>
      <x:c r="I202" s="16" t="n">
        <x:v>1</x:v>
      </x:c>
      <x:c r="J202" s="16" t="n">
        <x:v>5</x:v>
      </x:c>
      <x:c r="K202" s="16" t="n">
        <x:v>5</x:v>
      </x:c>
      <x:c r="L202" s="16" t="n">
        <x:v>4</x:v>
      </x:c>
      <x:c r="M202" s="16" t="n">
        <x:v>5</x:v>
      </x:c>
      <x:c r="N202" s="16" t="n">
        <x:v>5</x:v>
      </x:c>
      <x:c r="O202" s="16" t="n">
        <x:v>5</x:v>
      </x:c>
      <x:c r="P202" s="16" t="n">
        <x:f>IF(COUNT(I202:O202)&lt;7,"",I202*8+J202*3+K202*2+L202*2+M202*2+N202*2+O202)</x:f>
        <x:v>66</x:v>
      </x:c>
      <x:c r="Q202" s="16" t="n">
        <x:f>IF(COUNT(J202:O202)&lt;6,"",J202*5+K202*4+M202*4+L202*3+N202*2+O202*2)</x:f>
        <x:v>97</x:v>
      </x:c>
      <x:c r="R202" s="14" t="str">
        <x:v>high</x:v>
      </x:c>
      <x:c r="S202" s="14" t="str">
        <x:v>google_index_verified_2026-08-24</x:v>
      </x:c>
      <x:c r="T202" s="14" t="str">
        <x:v>indexed_official_service_page</x:v>
      </x:c>
      <x:c r="U202" s="14" t="str">
        <x:v>Новий — не контактували</x:v>
      </x:c>
      <x:c r="V202" s="15" t="str">
        <x:v>2-тижневий discovery: запросити вимоги 1 активного проєкту + 1 знеособлений артефакт</x:v>
      </x:c>
      <x:c r="W202" s="15" t="str">
        <x:v>Директор; керівник проєктів; керівник монтажу / ПТО</x:v>
      </x:c>
      <x:c r="X202" s="15" t="str">
        <x:v>Монтаж і обслуговування по Україні. Пошуковий результат веде на індексовану сторінку корпоративного домену: Монтаж пожежної сигналізації — Август СБ.</x:v>
      </x:c>
      <x:c r="Y202" s="15" t="str">
        <x:v>Трубопроводи, проходки, спринклери, адресація й випробування потребують доказів до оздоблення та введення.</x:v>
      </x:c>
      <x:c r="Z202" s="15" t="str">
        <x:v>https://augustsb.com.ua/sistemi-pozhezhnoyi-signalizacziyi-prodazh-montazh-obslugovuvannya-po-vsij-ukrayini/</x:v>
      </x:c>
      <x:c r="AA202" s="14" t="str"/>
      <x:c r="AB202" s="14" t="str">
        <x:v>2026-08-24</x:v>
      </x:c>
      <x:c r="AC202" s="14" t="str">
        <x:v>Олександр</x:v>
      </x:c>
      <x:c r="AD202" s="18" t="str"/>
      <x:c r="AE202" s="14" t="str"/>
    </x:row>
    <x:row r="203">
      <x:c r="A203" s="14" t="str">
        <x:v>W2-034</x:v>
      </x:c>
      <x:c r="B203" s="14" t="str">
        <x:v>Проєктний сигнал — 24.08</x:v>
      </x:c>
      <x:c r="C203" s="14" t="str">
        <x:v>SHERIFF</x:v>
      </x:c>
      <x:c r="D203" s="14" t="str">
        <x:v>Пожежогасіння</x:v>
      </x:c>
      <x:c r="E203" s="14" t="str">
        <x:v>Expansion discovery</x:v>
      </x:c>
      <x:c r="F203" s="17" t="str">
        <x:f>IF(E203="Pilot now",IF(P203&gt;=84,"P1",IF(P203&gt;=72,"P2","P3")),IF(E203="Expansion discovery",IF(Q203&gt;=88,"D1",IF(Q203&gt;=78,"D2","D3")),IF(E203="Later / requirements","L","Legacy")))</x:f>
        <x:v>D1</x:v>
      </x:c>
      <x:c r="G203" s="14" t="str">
        <x:v>sheriff.com.ua</x:v>
      </x:c>
      <x:c r="H203" s="14" t="str">
        <x:v>2-тижневий workflow discovery — потрібні вимоги одного проєкту</x:v>
      </x:c>
      <x:c r="I203" s="16" t="n">
        <x:v>1</x:v>
      </x:c>
      <x:c r="J203" s="16" t="n">
        <x:v>5</x:v>
      </x:c>
      <x:c r="K203" s="16" t="n">
        <x:v>5</x:v>
      </x:c>
      <x:c r="L203" s="16" t="n">
        <x:v>4</x:v>
      </x:c>
      <x:c r="M203" s="16" t="n">
        <x:v>5</x:v>
      </x:c>
      <x:c r="N203" s="16" t="n">
        <x:v>5</x:v>
      </x:c>
      <x:c r="O203" s="16" t="n">
        <x:v>5</x:v>
      </x:c>
      <x:c r="P203" s="16" t="n">
        <x:f>IF(COUNT(I203:O203)&lt;7,"",I203*8+J203*3+K203*2+L203*2+M203*2+N203*2+O203)</x:f>
        <x:v>66</x:v>
      </x:c>
      <x:c r="Q203" s="16" t="n">
        <x:f>IF(COUNT(J203:O203)&lt;6,"",J203*5+K203*4+M203*4+L203*3+N203*2+O203*2)</x:f>
        <x:v>97</x:v>
      </x:c>
      <x:c r="R203" s="14" t="str">
        <x:v>high</x:v>
      </x:c>
      <x:c r="S203" s="14" t="str">
        <x:v>google_index_verified_2026-08-24</x:v>
      </x:c>
      <x:c r="T203" s="14" t="str">
        <x:v>indexed_official_service_page</x:v>
      </x:c>
      <x:c r="U203" s="14" t="str">
        <x:v>Новий — не контактували</x:v>
      </x:c>
      <x:c r="V203" s="15" t="str">
        <x:v>2-тижневий discovery: запросити вимоги 1 активного проєкту + 1 знеособлений артефакт</x:v>
      </x:c>
      <x:c r="W203" s="15" t="str">
        <x:v>Директор; керівник проєктів; керівник монтажу / ПТО</x:v>
      </x:c>
      <x:c r="X203" s="15" t="str">
        <x:v>Монтаж систем протипожежного захисту. Пошуковий результат веде на індексовану сторінку корпоративного домену: Монтаж систем протипожежного захисту — SHERIFF.</x:v>
      </x:c>
      <x:c r="Y203" s="15" t="str">
        <x:v>Трубопроводи, проходки, спринклери, адресація й випробування потребують доказів до оздоблення та введення.</x:v>
      </x:c>
      <x:c r="Z203" s="15" t="str">
        <x:v>https://sheriff.com.ua/services/montazh-sistem-protipozhezhnogo-zahistu</x:v>
      </x:c>
      <x:c r="AA203" s="14" t="str"/>
      <x:c r="AB203" s="14" t="str">
        <x:v>2026-08-24</x:v>
      </x:c>
      <x:c r="AC203" s="14" t="str">
        <x:v>Олександр</x:v>
      </x:c>
      <x:c r="AD203" s="18" t="str"/>
      <x:c r="AE203" s="14" t="str"/>
    </x:row>
    <x:row r="204">
      <x:c r="A204" s="14" t="str">
        <x:v>W2-035</x:v>
      </x:c>
      <x:c r="B204" s="14" t="str">
        <x:v>Проєктний сигнал — 24.08</x:v>
      </x:c>
      <x:c r="C204" s="14" t="str">
        <x:v>Solar-M</x:v>
      </x:c>
      <x:c r="D204" s="14" t="str">
        <x:v>Резервне живлення</x:v>
      </x:c>
      <x:c r="E204" s="14" t="str">
        <x:v>Expansion discovery</x:v>
      </x:c>
      <x:c r="F204" s="17" t="str">
        <x:f>IF(E204="Pilot now",IF(P204&gt;=84,"P1",IF(P204&gt;=72,"P2","P3")),IF(E204="Expansion discovery",IF(Q204&gt;=88,"D1",IF(Q204&gt;=78,"D2","D3")),IF(E204="Later / requirements","L","Legacy")))</x:f>
        <x:v>D1</x:v>
      </x:c>
      <x:c r="G204" s="14" t="str">
        <x:v>solar-m.com.ua</x:v>
      </x:c>
      <x:c r="H204" s="14" t="str">
        <x:v>2-тижневий workflow discovery — потрібні вимоги одного проєкту</x:v>
      </x:c>
      <x:c r="I204" s="16" t="n">
        <x:v>1</x:v>
      </x:c>
      <x:c r="J204" s="16" t="n">
        <x:v>5</x:v>
      </x:c>
      <x:c r="K204" s="16" t="n">
        <x:v>4</x:v>
      </x:c>
      <x:c r="L204" s="16" t="n">
        <x:v>4</x:v>
      </x:c>
      <x:c r="M204" s="16" t="n">
        <x:v>5</x:v>
      </x:c>
      <x:c r="N204" s="16" t="n">
        <x:v>5</x:v>
      </x:c>
      <x:c r="O204" s="16" t="n">
        <x:v>5</x:v>
      </x:c>
      <x:c r="P204" s="16" t="n">
        <x:f>IF(COUNT(I204:O204)&lt;7,"",I204*8+J204*3+K204*2+L204*2+M204*2+N204*2+O204)</x:f>
        <x:v>64</x:v>
      </x:c>
      <x:c r="Q204" s="16" t="n">
        <x:f>IF(COUNT(J204:O204)&lt;6,"",J204*5+K204*4+M204*4+L204*3+N204*2+O204*2)</x:f>
        <x:v>93</x:v>
      </x:c>
      <x:c r="R204" s="14" t="str">
        <x:v>high</x:v>
      </x:c>
      <x:c r="S204" s="14" t="str">
        <x:v>google_index_verified_2026-08-24</x:v>
      </x:c>
      <x:c r="T204" s="14" t="str">
        <x:v>indexed_official_service_page</x:v>
      </x:c>
      <x:c r="U204" s="14" t="str">
        <x:v>Новий — не контактували</x:v>
      </x:c>
      <x:c r="V204" s="15" t="str">
        <x:v>2-тижневий discovery: запросити вимоги 1 активного проєкту + 1 знеособлений артефакт</x:v>
      </x:c>
      <x:c r="W204" s="15" t="str">
        <x:v>Комерційний директор; керівник енергетичних проєктів; ПТО / ПНР</x:v>
      </x:c>
      <x:c r="X204" s="15" t="str">
        <x:v>Системи резервного живлення. Пошуковий результат веде на індексовану сторінку корпоративного домену: ДБЖ та сонячні станції — Solar-M.</x:v>
      </x:c>
      <x:c r="Y204" s="15" t="str">
        <x:v>Кабельні траси, АВР, заземлення, налаштування ДБЖ і тест під навантаженням формують контрольний пакет.</x:v>
      </x:c>
      <x:c r="Z204" s="15" t="str">
        <x:v>https://solar-m.com.ua/dbzh-ta-sonyachni-stancziyi-dlya-bagatokvartyrnyh-budynkiv/</x:v>
      </x:c>
      <x:c r="AA204" s="14" t="str"/>
      <x:c r="AB204" s="14" t="str">
        <x:v>2026-08-24</x:v>
      </x:c>
      <x:c r="AC204" s="14" t="str">
        <x:v>Олександр</x:v>
      </x:c>
      <x:c r="AD204" s="18" t="str"/>
      <x:c r="AE204" s="14" t="str"/>
    </x:row>
    <x:row r="205">
      <x:c r="A205" s="14" t="str">
        <x:v>W2-036</x:v>
      </x:c>
      <x:c r="B205" s="14" t="str">
        <x:v>Проєктний сигнал — 24.08</x:v>
      </x:c>
      <x:c r="C205" s="14" t="str">
        <x:v>UNTEK</x:v>
      </x:c>
      <x:c r="D205" s="14" t="str">
        <x:v>Резервне живлення</x:v>
      </x:c>
      <x:c r="E205" s="14" t="str">
        <x:v>Expansion discovery</x:v>
      </x:c>
      <x:c r="F205" s="17" t="str">
        <x:f>IF(E205="Pilot now",IF(P205&gt;=84,"P1",IF(P205&gt;=72,"P2","P3")),IF(E205="Expansion discovery",IF(Q205&gt;=88,"D1",IF(Q205&gt;=78,"D2","D3")),IF(E205="Later / requirements","L","Legacy")))</x:f>
        <x:v>D1</x:v>
      </x:c>
      <x:c r="G205" s="14" t="str">
        <x:v>untek.com.ua</x:v>
      </x:c>
      <x:c r="H205" s="14" t="str">
        <x:v>2-тижневий workflow discovery — потрібні вимоги одного проєкту</x:v>
      </x:c>
      <x:c r="I205" s="16" t="n">
        <x:v>1</x:v>
      </x:c>
      <x:c r="J205" s="16" t="n">
        <x:v>5</x:v>
      </x:c>
      <x:c r="K205" s="16" t="n">
        <x:v>4</x:v>
      </x:c>
      <x:c r="L205" s="16" t="n">
        <x:v>4</x:v>
      </x:c>
      <x:c r="M205" s="16" t="n">
        <x:v>5</x:v>
      </x:c>
      <x:c r="N205" s="16" t="n">
        <x:v>5</x:v>
      </x:c>
      <x:c r="O205" s="16" t="n">
        <x:v>5</x:v>
      </x:c>
      <x:c r="P205" s="16" t="n">
        <x:f>IF(COUNT(I205:O205)&lt;7,"",I205*8+J205*3+K205*2+L205*2+M205*2+N205*2+O205)</x:f>
        <x:v>64</x:v>
      </x:c>
      <x:c r="Q205" s="16" t="n">
        <x:f>IF(COUNT(J205:O205)&lt;6,"",J205*5+K205*4+M205*4+L205*3+N205*2+O205*2)</x:f>
        <x:v>93</x:v>
      </x:c>
      <x:c r="R205" s="14" t="str">
        <x:v>high</x:v>
      </x:c>
      <x:c r="S205" s="14" t="str">
        <x:v>google_index_verified_2026-08-24</x:v>
      </x:c>
      <x:c r="T205" s="14" t="str">
        <x:v>indexed_official_service_page</x:v>
      </x:c>
      <x:c r="U205" s="14" t="str">
        <x:v>Новий — не контактували</x:v>
      </x:c>
      <x:c r="V205" s="15" t="str">
        <x:v>2-тижневий discovery: запросити вимоги 1 активного проєкту + 1 знеособлений артефакт</x:v>
      </x:c>
      <x:c r="W205" s="15" t="str">
        <x:v>Комерційний директор; керівник енергетичних проєктів; ПТО / ПНР</x:v>
      </x:c>
      <x:c r="X205" s="15" t="str">
        <x:v>Монтаж автономного живлення. Пошуковий результат веде на індексовану сторінку корпоративного домену: Безперебійне живлення під ключ — UNTEK.</x:v>
      </x:c>
      <x:c r="Y205" s="15" t="str">
        <x:v>Кабельні траси, АВР, заземлення, налаштування ДБЖ і тест під навантаженням формують контрольний пакет.</x:v>
      </x:c>
      <x:c r="Z205" s="15" t="str">
        <x:v>https://untek.com.ua/avtonomne-zhyvlennia</x:v>
      </x:c>
      <x:c r="AA205" s="14" t="str"/>
      <x:c r="AB205" s="14" t="str">
        <x:v>2026-08-24</x:v>
      </x:c>
      <x:c r="AC205" s="14" t="str">
        <x:v>Олександр</x:v>
      </x:c>
      <x:c r="AD205" s="18" t="str"/>
      <x:c r="AE205" s="14" t="str"/>
    </x:row>
    <x:row r="206">
      <x:c r="A206" s="14" t="str">
        <x:v>W2-037</x:v>
      </x:c>
      <x:c r="B206" s="14" t="str">
        <x:v>Проєктний сигнал — 24.08</x:v>
      </x:c>
      <x:c r="C206" s="14" t="str">
        <x:v>Suntime</x:v>
      </x:c>
      <x:c r="D206" s="14" t="str">
        <x:v>Резервне живлення</x:v>
      </x:c>
      <x:c r="E206" s="14" t="str">
        <x:v>Expansion discovery</x:v>
      </x:c>
      <x:c r="F206" s="17" t="str">
        <x:f>IF(E206="Pilot now",IF(P206&gt;=84,"P1",IF(P206&gt;=72,"P2","P3")),IF(E206="Expansion discovery",IF(Q206&gt;=88,"D1",IF(Q206&gt;=78,"D2","D3")),IF(E206="Later / requirements","L","Legacy")))</x:f>
        <x:v>D1</x:v>
      </x:c>
      <x:c r="G206" s="14" t="str">
        <x:v>suntime.in.ua</x:v>
      </x:c>
      <x:c r="H206" s="14" t="str">
        <x:v>2-тижневий workflow discovery — потрібні вимоги одного проєкту</x:v>
      </x:c>
      <x:c r="I206" s="16" t="n">
        <x:v>1</x:v>
      </x:c>
      <x:c r="J206" s="16" t="n">
        <x:v>5</x:v>
      </x:c>
      <x:c r="K206" s="16" t="n">
        <x:v>4</x:v>
      </x:c>
      <x:c r="L206" s="16" t="n">
        <x:v>4</x:v>
      </x:c>
      <x:c r="M206" s="16" t="n">
        <x:v>5</x:v>
      </x:c>
      <x:c r="N206" s="16" t="n">
        <x:v>5</x:v>
      </x:c>
      <x:c r="O206" s="16" t="n">
        <x:v>5</x:v>
      </x:c>
      <x:c r="P206" s="16" t="n">
        <x:f>IF(COUNT(I206:O206)&lt;7,"",I206*8+J206*3+K206*2+L206*2+M206*2+N206*2+O206)</x:f>
        <x:v>64</x:v>
      </x:c>
      <x:c r="Q206" s="16" t="n">
        <x:f>IF(COUNT(J206:O206)&lt;6,"",J206*5+K206*4+M206*4+L206*3+N206*2+O206*2)</x:f>
        <x:v>93</x:v>
      </x:c>
      <x:c r="R206" s="14" t="str">
        <x:v>high</x:v>
      </x:c>
      <x:c r="S206" s="14" t="str">
        <x:v>google_index_verified_2026-08-24</x:v>
      </x:c>
      <x:c r="T206" s="14" t="str">
        <x:v>indexed_official_service_page</x:v>
      </x:c>
      <x:c r="U206" s="14" t="str">
        <x:v>Новий — не контактували</x:v>
      </x:c>
      <x:c r="V206" s="15" t="str">
        <x:v>2-тижневий discovery: запросити вимоги 1 активного проєкту + 1 знеособлений артефакт</x:v>
      </x:c>
      <x:c r="W206" s="15" t="str">
        <x:v>Комерційний директор; керівник енергетичних проєктів; ПТО / ПНР</x:v>
      </x:c>
      <x:c r="X206" s="15" t="str">
        <x:v>Будівництво систем резервного живлення. Пошуковий результат веде на індексовану сторінку корпоративного домену: Будівництво систем безперебійного живлення — Suntime.</x:v>
      </x:c>
      <x:c r="Y206" s="15" t="str">
        <x:v>Кабельні траси, АВР, заземлення, налаштування ДБЖ і тест під навантаженням формують контрольний пакет.</x:v>
      </x:c>
      <x:c r="Z206" s="15" t="str">
        <x:v>https://suntime.in.ua/services/budivnytstvo-system-bezperebiinoho-zhyvlennia/</x:v>
      </x:c>
      <x:c r="AA206" s="14" t="str"/>
      <x:c r="AB206" s="14" t="str">
        <x:v>2026-08-24</x:v>
      </x:c>
      <x:c r="AC206" s="14" t="str">
        <x:v>Олександр</x:v>
      </x:c>
      <x:c r="AD206" s="18" t="str"/>
      <x:c r="AE206" s="14" t="str"/>
    </x:row>
    <x:row r="207">
      <x:c r="A207" s="14" t="str">
        <x:v>W2-038</x:v>
      </x:c>
      <x:c r="B207" s="14" t="str">
        <x:v>Проєктний сигнал — 24.08</x:v>
      </x:c>
      <x:c r="C207" s="14" t="str">
        <x:v>220 Help</x:v>
      </x:c>
      <x:c r="D207" s="14" t="str">
        <x:v>Резервне живлення</x:v>
      </x:c>
      <x:c r="E207" s="14" t="str">
        <x:v>Expansion discovery</x:v>
      </x:c>
      <x:c r="F207" s="17" t="str">
        <x:f>IF(E207="Pilot now",IF(P207&gt;=84,"P1",IF(P207&gt;=72,"P2","P3")),IF(E207="Expansion discovery",IF(Q207&gt;=88,"D1",IF(Q207&gt;=78,"D2","D3")),IF(E207="Later / requirements","L","Legacy")))</x:f>
        <x:v>D1</x:v>
      </x:c>
      <x:c r="G207" s="14" t="str">
        <x:v>220help.com.ua</x:v>
      </x:c>
      <x:c r="H207" s="14" t="str">
        <x:v>2-тижневий workflow discovery — потрібні вимоги одного проєкту</x:v>
      </x:c>
      <x:c r="I207" s="16" t="n">
        <x:v>1</x:v>
      </x:c>
      <x:c r="J207" s="16" t="n">
        <x:v>5</x:v>
      </x:c>
      <x:c r="K207" s="16" t="n">
        <x:v>4</x:v>
      </x:c>
      <x:c r="L207" s="16" t="n">
        <x:v>4</x:v>
      </x:c>
      <x:c r="M207" s="16" t="n">
        <x:v>5</x:v>
      </x:c>
      <x:c r="N207" s="16" t="n">
        <x:v>5</x:v>
      </x:c>
      <x:c r="O207" s="16" t="n">
        <x:v>5</x:v>
      </x:c>
      <x:c r="P207" s="16" t="n">
        <x:f>IF(COUNT(I207:O207)&lt;7,"",I207*8+J207*3+K207*2+L207*2+M207*2+N207*2+O207)</x:f>
        <x:v>64</x:v>
      </x:c>
      <x:c r="Q207" s="16" t="n">
        <x:f>IF(COUNT(J207:O207)&lt;6,"",J207*5+K207*4+M207*4+L207*3+N207*2+O207*2)</x:f>
        <x:v>93</x:v>
      </x:c>
      <x:c r="R207" s="14" t="str">
        <x:v>high</x:v>
      </x:c>
      <x:c r="S207" s="14" t="str">
        <x:v>google_index_verified_2026-08-24</x:v>
      </x:c>
      <x:c r="T207" s="14" t="str">
        <x:v>indexed_official_service_page</x:v>
      </x:c>
      <x:c r="U207" s="14" t="str">
        <x:v>Новий — не контактували</x:v>
      </x:c>
      <x:c r="V207" s="15" t="str">
        <x:v>2-тижневий discovery: запросити вимоги 1 активного проєкту + 1 знеособлений артефакт</x:v>
      </x:c>
      <x:c r="W207" s="15" t="str">
        <x:v>Комерційний директор; керівник енергетичних проєктів; ПТО / ПНР</x:v>
      </x:c>
      <x:c r="X207" s="15" t="str">
        <x:v>Монтаж резервного живлення. Пошуковий результат веде на індексовану сторінку корпоративного домену: Встановлення резервного живлення — 220 Help.</x:v>
      </x:c>
      <x:c r="Y207" s="15" t="str">
        <x:v>Кабельні траси, АВР, заземлення, налаштування ДБЖ і тест під навантаженням формують контрольний пакет.</x:v>
      </x:c>
      <x:c r="Z207" s="15" t="str">
        <x:v>https://220help.com.ua/electrician_services/ustanovlennia-rezervnoho-zhyvlennia-kyiv/</x:v>
      </x:c>
      <x:c r="AA207" s="14" t="str"/>
      <x:c r="AB207" s="14" t="str">
        <x:v>2026-08-24</x:v>
      </x:c>
      <x:c r="AC207" s="14" t="str">
        <x:v>Олександр</x:v>
      </x:c>
      <x:c r="AD207" s="18" t="str"/>
      <x:c r="AE207" s="14" t="str"/>
    </x:row>
    <x:row r="208">
      <x:c r="A208" s="14" t="str">
        <x:v>W2-039</x:v>
      </x:c>
      <x:c r="B208" s="14" t="str">
        <x:v>Проєктний сигнал — 24.08</x:v>
      </x:c>
      <x:c r="C208" s="14" t="str">
        <x:v>ГЕКО-Центр</x:v>
      </x:c>
      <x:c r="D208" s="14" t="str">
        <x:v>Резервне живлення</x:v>
      </x:c>
      <x:c r="E208" s="14" t="str">
        <x:v>Expansion discovery</x:v>
      </x:c>
      <x:c r="F208" s="17" t="str">
        <x:f>IF(E208="Pilot now",IF(P208&gt;=84,"P1",IF(P208&gt;=72,"P2","P3")),IF(E208="Expansion discovery",IF(Q208&gt;=88,"D1",IF(Q208&gt;=78,"D2","D3")),IF(E208="Later / requirements","L","Legacy")))</x:f>
        <x:v>D1</x:v>
      </x:c>
      <x:c r="G208" s="14" t="str">
        <x:v>geko.kiev.ua</x:v>
      </x:c>
      <x:c r="H208" s="14" t="str">
        <x:v>2-тижневий workflow discovery — потрібні вимоги одного проєкту</x:v>
      </x:c>
      <x:c r="I208" s="16" t="n">
        <x:v>1</x:v>
      </x:c>
      <x:c r="J208" s="16" t="n">
        <x:v>5</x:v>
      </x:c>
      <x:c r="K208" s="16" t="n">
        <x:v>4</x:v>
      </x:c>
      <x:c r="L208" s="16" t="n">
        <x:v>4</x:v>
      </x:c>
      <x:c r="M208" s="16" t="n">
        <x:v>5</x:v>
      </x:c>
      <x:c r="N208" s="16" t="n">
        <x:v>5</x:v>
      </x:c>
      <x:c r="O208" s="16" t="n">
        <x:v>5</x:v>
      </x:c>
      <x:c r="P208" s="16" t="n">
        <x:f>IF(COUNT(I208:O208)&lt;7,"",I208*8+J208*3+K208*2+L208*2+M208*2+N208*2+O208)</x:f>
        <x:v>64</x:v>
      </x:c>
      <x:c r="Q208" s="16" t="n">
        <x:f>IF(COUNT(J208:O208)&lt;6,"",J208*5+K208*4+M208*4+L208*3+N208*2+O208*2)</x:f>
        <x:v>93</x:v>
      </x:c>
      <x:c r="R208" s="14" t="str">
        <x:v>high</x:v>
      </x:c>
      <x:c r="S208" s="14" t="str">
        <x:v>google_index_verified_2026-08-24</x:v>
      </x:c>
      <x:c r="T208" s="14" t="str">
        <x:v>indexed_official_service_page</x:v>
      </x:c>
      <x:c r="U208" s="14" t="str">
        <x:v>Новий — не контактували</x:v>
      </x:c>
      <x:c r="V208" s="15" t="str">
        <x:v>2-тижневий discovery: запросити вимоги 1 активного проєкту + 1 знеособлений артефакт</x:v>
      </x:c>
      <x:c r="W208" s="15" t="str">
        <x:v>Комерційний директор; керівник енергетичних проєктів; ПТО / ПНР</x:v>
      </x:c>
      <x:c r="X208" s="15" t="str">
        <x:v>Публічні проєкти електропостачання. Пошуковий результат веде на індексовану сторінку корпоративного домену: Проєкти систем електропостачання — ГЕКО-Центр.</x:v>
      </x:c>
      <x:c r="Y208" s="15" t="str">
        <x:v>Кабельні траси, АВР, заземлення, налаштування ДБЖ і тест під навантаженням формують контрольний пакет.</x:v>
      </x:c>
      <x:c r="Z208" s="15" t="str">
        <x:v>https://geko.kiev.ua/nashi-proekty/</x:v>
      </x:c>
      <x:c r="AA208" s="14" t="str"/>
      <x:c r="AB208" s="14" t="str">
        <x:v>2026-08-24</x:v>
      </x:c>
      <x:c r="AC208" s="14" t="str">
        <x:v>Олександр</x:v>
      </x:c>
      <x:c r="AD208" s="18" t="str"/>
      <x:c r="AE208" s="14" t="str"/>
    </x:row>
    <x:row r="209">
      <x:c r="A209" s="14" t="str">
        <x:v>W2-040</x:v>
      </x:c>
      <x:c r="B209" s="14" t="str">
        <x:v>Проєктний сигнал — 24.08</x:v>
      </x:c>
      <x:c r="C209" s="14" t="str">
        <x:v>EnergoSeti</x:v>
      </x:c>
      <x:c r="D209" s="14" t="str">
        <x:v>Резервне живлення</x:v>
      </x:c>
      <x:c r="E209" s="14" t="str">
        <x:v>Expansion discovery</x:v>
      </x:c>
      <x:c r="F209" s="17" t="str">
        <x:f>IF(E209="Pilot now",IF(P209&gt;=84,"P1",IF(P209&gt;=72,"P2","P3")),IF(E209="Expansion discovery",IF(Q209&gt;=88,"D1",IF(Q209&gt;=78,"D2","D3")),IF(E209="Later / requirements","L","Legacy")))</x:f>
        <x:v>D1</x:v>
      </x:c>
      <x:c r="G209" s="14" t="str">
        <x:v>energoseti.com.ua</x:v>
      </x:c>
      <x:c r="H209" s="14" t="str">
        <x:v>2-тижневий workflow discovery — потрібні вимоги одного проєкту</x:v>
      </x:c>
      <x:c r="I209" s="16" t="n">
        <x:v>1</x:v>
      </x:c>
      <x:c r="J209" s="16" t="n">
        <x:v>5</x:v>
      </x:c>
      <x:c r="K209" s="16" t="n">
        <x:v>4</x:v>
      </x:c>
      <x:c r="L209" s="16" t="n">
        <x:v>4</x:v>
      </x:c>
      <x:c r="M209" s="16" t="n">
        <x:v>5</x:v>
      </x:c>
      <x:c r="N209" s="16" t="n">
        <x:v>5</x:v>
      </x:c>
      <x:c r="O209" s="16" t="n">
        <x:v>5</x:v>
      </x:c>
      <x:c r="P209" s="16" t="n">
        <x:f>IF(COUNT(I209:O209)&lt;7,"",I209*8+J209*3+K209*2+L209*2+M209*2+N209*2+O209)</x:f>
        <x:v>64</x:v>
      </x:c>
      <x:c r="Q209" s="16" t="n">
        <x:f>IF(COUNT(J209:O209)&lt;6,"",J209*5+K209*4+M209*4+L209*3+N209*2+O209*2)</x:f>
        <x:v>93</x:v>
      </x:c>
      <x:c r="R209" s="14" t="str">
        <x:v>high</x:v>
      </x:c>
      <x:c r="S209" s="14" t="str">
        <x:v>google_index_verified_2026-08-24</x:v>
      </x:c>
      <x:c r="T209" s="14" t="str">
        <x:v>indexed_official_service_page</x:v>
      </x:c>
      <x:c r="U209" s="14" t="str">
        <x:v>Новий — не контактували</x:v>
      </x:c>
      <x:c r="V209" s="15" t="str">
        <x:v>2-тижневий discovery: запросити вимоги 1 активного проєкту + 1 знеособлений артефакт</x:v>
      </x:c>
      <x:c r="W209" s="15" t="str">
        <x:v>Комерційний директор; керівник енергетичних проєктів; ПТО / ПНР</x:v>
      </x:c>
      <x:c r="X209" s="15" t="str">
        <x:v>Проєктування, монтаж і підключення. Пошуковий результат веде на індексовану сторінку корпоративного домену: Аварійне резервне електропостачання — EnergoSeti.</x:v>
      </x:c>
      <x:c r="Y209" s="15" t="str">
        <x:v>Кабельні траси, АВР, заземлення, налаштування ДБЖ і тест під навантаженням формують контрольний пакет.</x:v>
      </x:c>
      <x:c r="Z209" s="15" t="str">
        <x:v>https://energoseti.com.ua/avarijne-rezervne-elektropostachannya</x:v>
      </x:c>
      <x:c r="AA209" s="14" t="str"/>
      <x:c r="AB209" s="14" t="str">
        <x:v>2026-08-24</x:v>
      </x:c>
      <x:c r="AC209" s="14" t="str">
        <x:v>Олександр</x:v>
      </x:c>
      <x:c r="AD209" s="18" t="str"/>
      <x:c r="AE209" s="14" t="str"/>
    </x:row>
    <x:row r="210">
      <x:c r="A210" s="14" t="str">
        <x:v>W2-041</x:v>
      </x:c>
      <x:c r="B210" s="14" t="str">
        <x:v>Проєктний сигнал — 24.08</x:v>
      </x:c>
      <x:c r="C210" s="14" t="str">
        <x:v>Solensy</x:v>
      </x:c>
      <x:c r="D210" s="14" t="str">
        <x:v>Резервне живлення</x:v>
      </x:c>
      <x:c r="E210" s="14" t="str">
        <x:v>Expansion discovery</x:v>
      </x:c>
      <x:c r="F210" s="17" t="str">
        <x:f>IF(E210="Pilot now",IF(P210&gt;=84,"P1",IF(P210&gt;=72,"P2","P3")),IF(E210="Expansion discovery",IF(Q210&gt;=88,"D1",IF(Q210&gt;=78,"D2","D3")),IF(E210="Later / requirements","L","Legacy")))</x:f>
        <x:v>D1</x:v>
      </x:c>
      <x:c r="G210" s="14" t="str">
        <x:v>solensy.com.ua</x:v>
      </x:c>
      <x:c r="H210" s="14" t="str">
        <x:v>2-тижневий workflow discovery — потрібні вимоги одного проєкту</x:v>
      </x:c>
      <x:c r="I210" s="16" t="n">
        <x:v>1</x:v>
      </x:c>
      <x:c r="J210" s="16" t="n">
        <x:v>5</x:v>
      </x:c>
      <x:c r="K210" s="16" t="n">
        <x:v>4</x:v>
      </x:c>
      <x:c r="L210" s="16" t="n">
        <x:v>4</x:v>
      </x:c>
      <x:c r="M210" s="16" t="n">
        <x:v>5</x:v>
      </x:c>
      <x:c r="N210" s="16" t="n">
        <x:v>5</x:v>
      </x:c>
      <x:c r="O210" s="16" t="n">
        <x:v>5</x:v>
      </x:c>
      <x:c r="P210" s="16" t="n">
        <x:f>IF(COUNT(I210:O210)&lt;7,"",I210*8+J210*3+K210*2+L210*2+M210*2+N210*2+O210)</x:f>
        <x:v>64</x:v>
      </x:c>
      <x:c r="Q210" s="16" t="n">
        <x:f>IF(COUNT(J210:O210)&lt;6,"",J210*5+K210*4+M210*4+L210*3+N210*2+O210*2)</x:f>
        <x:v>93</x:v>
      </x:c>
      <x:c r="R210" s="14" t="str">
        <x:v>high</x:v>
      </x:c>
      <x:c r="S210" s="14" t="str">
        <x:v>google_index_verified_2026-08-24</x:v>
      </x:c>
      <x:c r="T210" s="14" t="str">
        <x:v>indexed_official_service_page</x:v>
      </x:c>
      <x:c r="U210" s="14" t="str">
        <x:v>Новий — не контактували</x:v>
      </x:c>
      <x:c r="V210" s="15" t="str">
        <x:v>2-тижневий discovery: запросити вимоги 1 активного проєкту + 1 знеособлений артефакт</x:v>
      </x:c>
      <x:c r="W210" s="15" t="str">
        <x:v>Комерційний директор; керівник енергетичних проєктів; ПТО / ПНР</x:v>
      </x:c>
      <x:c r="X210" s="15" t="str">
        <x:v>Монтаж систем ДБЖ. Пошуковий результат веде на індексовану сторінку корпоративного домену: Резервне електроживлення під ключ — Solensy.</x:v>
      </x:c>
      <x:c r="Y210" s="15" t="str">
        <x:v>Кабельні траси, АВР, заземлення, налаштування ДБЖ і тест під навантаженням формують контрольний пакет.</x:v>
      </x:c>
      <x:c r="Z210" s="15" t="str">
        <x:v>https://solensy.com.ua/rezervne-elektrogivlennya/</x:v>
      </x:c>
      <x:c r="AA210" s="14" t="str"/>
      <x:c r="AB210" s="14" t="str">
        <x:v>2026-08-24</x:v>
      </x:c>
      <x:c r="AC210" s="14" t="str">
        <x:v>Олександр</x:v>
      </x:c>
      <x:c r="AD210" s="18" t="str"/>
      <x:c r="AE210" s="14" t="str"/>
    </x:row>
    <x:row r="211">
      <x:c r="A211" s="14" t="str">
        <x:v>W2-042</x:v>
      </x:c>
      <x:c r="B211" s="14" t="str">
        <x:v>Проєктний сигнал — 24.08</x:v>
      </x:c>
      <x:c r="C211" s="14" t="str">
        <x:v>AKSA Generator Ukraine</x:v>
      </x:c>
      <x:c r="D211" s="14" t="str">
        <x:v>Резервне живлення</x:v>
      </x:c>
      <x:c r="E211" s="14" t="str">
        <x:v>Expansion discovery</x:v>
      </x:c>
      <x:c r="F211" s="17" t="str">
        <x:f>IF(E211="Pilot now",IF(P211&gt;=84,"P1",IF(P211&gt;=72,"P2","P3")),IF(E211="Expansion discovery",IF(Q211&gt;=88,"D1",IF(Q211&gt;=78,"D2","D3")),IF(E211="Later / requirements","L","Legacy")))</x:f>
        <x:v>D1</x:v>
      </x:c>
      <x:c r="G211" s="14" t="str">
        <x:v>aksagenerator.com.ua</x:v>
      </x:c>
      <x:c r="H211" s="14" t="str">
        <x:v>2-тижневий workflow discovery — потрібні вимоги одного проєкту</x:v>
      </x:c>
      <x:c r="I211" s="16" t="n">
        <x:v>1</x:v>
      </x:c>
      <x:c r="J211" s="16" t="n">
        <x:v>5</x:v>
      </x:c>
      <x:c r="K211" s="16" t="n">
        <x:v>4</x:v>
      </x:c>
      <x:c r="L211" s="16" t="n">
        <x:v>4</x:v>
      </x:c>
      <x:c r="M211" s="16" t="n">
        <x:v>5</x:v>
      </x:c>
      <x:c r="N211" s="16" t="n">
        <x:v>5</x:v>
      </x:c>
      <x:c r="O211" s="16" t="n">
        <x:v>5</x:v>
      </x:c>
      <x:c r="P211" s="16" t="n">
        <x:f>IF(COUNT(I211:O211)&lt;7,"",I211*8+J211*3+K211*2+L211*2+M211*2+N211*2+O211)</x:f>
        <x:v>64</x:v>
      </x:c>
      <x:c r="Q211" s="16" t="n">
        <x:f>IF(COUNT(J211:O211)&lt;6,"",J211*5+K211*4+M211*4+L211*3+N211*2+O211*2)</x:f>
        <x:v>93</x:v>
      </x:c>
      <x:c r="R211" s="14" t="str">
        <x:v>high</x:v>
      </x:c>
      <x:c r="S211" s="14" t="str">
        <x:v>google_index_verified_2026-08-24</x:v>
      </x:c>
      <x:c r="T211" s="14" t="str">
        <x:v>indexed_official_service_page</x:v>
      </x:c>
      <x:c r="U211" s="14" t="str">
        <x:v>Новий — не контактували</x:v>
      </x:c>
      <x:c r="V211" s="15" t="str">
        <x:v>2-тижневий discovery: запросити вимоги 1 активного проєкту + 1 знеособлений артефакт</x:v>
      </x:c>
      <x:c r="W211" s="15" t="str">
        <x:v>Комерційний директор; керівник енергетичних проєктів; ПТО / ПНР</x:v>
      </x:c>
      <x:c r="X211" s="15" t="str">
        <x:v>Генераторні системи для критичної інфраструктури. Пошуковий результат веде на індексовану сторінку корпоративного домену: Резервне живлення дата-центру — AKSA Generator.</x:v>
      </x:c>
      <x:c r="Y211" s="15" t="str">
        <x:v>Кабельні траси, АВР, заземлення, налаштування ДБЖ і тест під навантаженням формують контрольний пакет.</x:v>
      </x:c>
      <x:c r="Z211" s="15" t="str">
        <x:v>https://aksagenerator.com.ua/index.php?route=octemplates/blog/oct_blogarticle&amp;blogarticle_id=33</x:v>
      </x:c>
      <x:c r="AA211" s="14" t="str"/>
      <x:c r="AB211" s="14" t="str">
        <x:v>2026-08-24</x:v>
      </x:c>
      <x:c r="AC211" s="14" t="str">
        <x:v>Олександр</x:v>
      </x:c>
      <x:c r="AD211" s="18" t="str"/>
      <x:c r="AE211" s="14" t="str"/>
    </x:row>
    <x:row r="212">
      <x:c r="A212" s="14" t="str">
        <x:v>W2-043</x:v>
      </x:c>
      <x:c r="B212" s="14" t="str">
        <x:v>Проєктний сигнал — 24.08</x:v>
      </x:c>
      <x:c r="C212" s="14" t="str">
        <x:v>Energy DK</x:v>
      </x:c>
      <x:c r="D212" s="14" t="str">
        <x:v>Резервне живлення</x:v>
      </x:c>
      <x:c r="E212" s="14" t="str">
        <x:v>Expansion discovery</x:v>
      </x:c>
      <x:c r="F212" s="17" t="str">
        <x:f>IF(E212="Pilot now",IF(P212&gt;=84,"P1",IF(P212&gt;=72,"P2","P3")),IF(E212="Expansion discovery",IF(Q212&gt;=88,"D1",IF(Q212&gt;=78,"D2","D3")),IF(E212="Later / requirements","L","Legacy")))</x:f>
        <x:v>D1</x:v>
      </x:c>
      <x:c r="G212" s="14" t="str">
        <x:v>energy-dk.com.ua</x:v>
      </x:c>
      <x:c r="H212" s="14" t="str">
        <x:v>2-тижневий workflow discovery — потрібні вимоги одного проєкту</x:v>
      </x:c>
      <x:c r="I212" s="16" t="n">
        <x:v>1</x:v>
      </x:c>
      <x:c r="J212" s="16" t="n">
        <x:v>5</x:v>
      </x:c>
      <x:c r="K212" s="16" t="n">
        <x:v>4</x:v>
      </x:c>
      <x:c r="L212" s="16" t="n">
        <x:v>4</x:v>
      </x:c>
      <x:c r="M212" s="16" t="n">
        <x:v>5</x:v>
      </x:c>
      <x:c r="N212" s="16" t="n">
        <x:v>5</x:v>
      </x:c>
      <x:c r="O212" s="16" t="n">
        <x:v>5</x:v>
      </x:c>
      <x:c r="P212" s="16" t="n">
        <x:f>IF(COUNT(I212:O212)&lt;7,"",I212*8+J212*3+K212*2+L212*2+M212*2+N212*2+O212)</x:f>
        <x:v>64</x:v>
      </x:c>
      <x:c r="Q212" s="16" t="n">
        <x:f>IF(COUNT(J212:O212)&lt;6,"",J212*5+K212*4+M212*4+L212*3+N212*2+O212*2)</x:f>
        <x:v>93</x:v>
      </x:c>
      <x:c r="R212" s="14" t="str">
        <x:v>high</x:v>
      </x:c>
      <x:c r="S212" s="14" t="str">
        <x:v>google_index_verified_2026-08-24</x:v>
      </x:c>
      <x:c r="T212" s="14" t="str">
        <x:v>indexed_official_service_page</x:v>
      </x:c>
      <x:c r="U212" s="14" t="str">
        <x:v>Новий — не контактували</x:v>
      </x:c>
      <x:c r="V212" s="15" t="str">
        <x:v>2-тижневий discovery: запросити вимоги 1 активного проєкту + 1 знеособлений артефакт</x:v>
      </x:c>
      <x:c r="W212" s="15" t="str">
        <x:v>Комерційний директор; керівник енергетичних проєктів; ПТО / ПНР</x:v>
      </x:c>
      <x:c r="X212" s="15" t="str">
        <x:v>Інсталяція резервного живлення. Пошуковий результат веде на індексовану сторінку корпоративного домену: Резервне живлення — Energy DK.</x:v>
      </x:c>
      <x:c r="Y212" s="15" t="str">
        <x:v>Кабельні траси, АВР, заземлення, налаштування ДБЖ і тест під навантаженням формують контрольний пакет.</x:v>
      </x:c>
      <x:c r="Z212" s="15" t="str">
        <x:v>https://energy-dk.com.ua/svitlodim-razom-z-energy-dk/</x:v>
      </x:c>
      <x:c r="AA212" s="14" t="str"/>
      <x:c r="AB212" s="14" t="str">
        <x:v>2026-08-24</x:v>
      </x:c>
      <x:c r="AC212" s="14" t="str">
        <x:v>Олександр</x:v>
      </x:c>
      <x:c r="AD212" s="18" t="str"/>
      <x:c r="AE212" s="14" t="str"/>
    </x:row>
    <x:row r="213">
      <x:c r="A213" s="14" t="str">
        <x:v>W2-044</x:v>
      </x:c>
      <x:c r="B213" s="14" t="str">
        <x:v>Проєктний сигнал — 24.08</x:v>
      </x:c>
      <x:c r="C213" s="14" t="str">
        <x:v>Secur.ua</x:v>
      </x:c>
      <x:c r="D213" s="14" t="str">
        <x:v>Безпека / СКУД / CCTV</x:v>
      </x:c>
      <x:c r="E213" s="14" t="str">
        <x:v>Expansion discovery</x:v>
      </x:c>
      <x:c r="F213" s="17" t="str">
        <x:f>IF(E213="Pilot now",IF(P213&gt;=84,"P1",IF(P213&gt;=72,"P2","P3")),IF(E213="Expansion discovery",IF(Q213&gt;=88,"D1",IF(Q213&gt;=78,"D2","D3")),IF(E213="Later / requirements","L","Legacy")))</x:f>
        <x:v>D1</x:v>
      </x:c>
      <x:c r="G213" s="14" t="str">
        <x:v>secur.ua</x:v>
      </x:c>
      <x:c r="H213" s="14" t="str">
        <x:v>2-тижневий workflow discovery — потрібні вимоги одного проєкту</x:v>
      </x:c>
      <x:c r="I213" s="16" t="n">
        <x:v>1</x:v>
      </x:c>
      <x:c r="J213" s="16" t="n">
        <x:v>5</x:v>
      </x:c>
      <x:c r="K213" s="16" t="n">
        <x:v>4</x:v>
      </x:c>
      <x:c r="L213" s="16" t="n">
        <x:v>4</x:v>
      </x:c>
      <x:c r="M213" s="16" t="n">
        <x:v>5</x:v>
      </x:c>
      <x:c r="N213" s="16" t="n">
        <x:v>5</x:v>
      </x:c>
      <x:c r="O213" s="16" t="n">
        <x:v>5</x:v>
      </x:c>
      <x:c r="P213" s="16" t="n">
        <x:f>IF(COUNT(I213:O213)&lt;7,"",I213*8+J213*3+K213*2+L213*2+M213*2+N213*2+O213)</x:f>
        <x:v>64</x:v>
      </x:c>
      <x:c r="Q213" s="16" t="n">
        <x:f>IF(COUNT(J213:O213)&lt;6,"",J213*5+K213*4+M213*4+L213*3+N213*2+O213*2)</x:f>
        <x:v>93</x:v>
      </x:c>
      <x:c r="R213" s="14" t="str">
        <x:v>high</x:v>
      </x:c>
      <x:c r="S213" s="14" t="str">
        <x:v>google_index_verified_2026-08-24</x:v>
      </x:c>
      <x:c r="T213" s="14" t="str">
        <x:v>indexed_official_service_page</x:v>
      </x:c>
      <x:c r="U213" s="14" t="str">
        <x:v>Новий — не контактували</x:v>
      </x:c>
      <x:c r="V213" s="15" t="str">
        <x:v>2-тижневий discovery: запросити вимоги 1 активного проєкту + 1 знеособлений артефакт</x:v>
      </x:c>
      <x:c r="W213" s="15" t="str">
        <x:v>Власник / комерційний директор; керівник проєктів; керівник монтажу / ПТО</x:v>
      </x:c>
      <x:c r="X213" s="15" t="str">
        <x:v>Монтаж комплексних систем безпеки. Пошуковий результат веде на індексовану сторінку корпоративного домену: Інтегратор систем безпеки — Secur.ua.</x:v>
      </x:c>
      <x:c r="Y213" s="15" t="str">
        <x:v>Кабельні траси, адресація, налаштування й acceptance-тести розподілені між монтажником, інтегратором і замовником.</x:v>
      </x:c>
      <x:c r="Z213" s="15" t="str">
        <x:v>https://secur.ua/montazh</x:v>
      </x:c>
      <x:c r="AA213" s="14" t="str"/>
      <x:c r="AB213" s="14" t="str">
        <x:v>2026-08-24</x:v>
      </x:c>
      <x:c r="AC213" s="14" t="str">
        <x:v>Олександр</x:v>
      </x:c>
      <x:c r="AD213" s="18" t="str"/>
      <x:c r="AE213" s="14" t="str"/>
    </x:row>
    <x:row r="214">
      <x:c r="A214" s="14" t="str">
        <x:v>W2-045</x:v>
      </x:c>
      <x:c r="B214" s="14" t="str">
        <x:v>Проєктний сигнал — 24.08</x:v>
      </x:c>
      <x:c r="C214" s="14" t="str">
        <x:v>DEPS</x:v>
      </x:c>
      <x:c r="D214" s="14" t="str">
        <x:v>Безпека / СКУД / CCTV</x:v>
      </x:c>
      <x:c r="E214" s="14" t="str">
        <x:v>Expansion discovery</x:v>
      </x:c>
      <x:c r="F214" s="17" t="str">
        <x:f>IF(E214="Pilot now",IF(P214&gt;=84,"P1",IF(P214&gt;=72,"P2","P3")),IF(E214="Expansion discovery",IF(Q214&gt;=88,"D1",IF(Q214&gt;=78,"D2","D3")),IF(E214="Later / requirements","L","Legacy")))</x:f>
        <x:v>D1</x:v>
      </x:c>
      <x:c r="G214" s="14" t="str">
        <x:v>deps.ua</x:v>
      </x:c>
      <x:c r="H214" s="14" t="str">
        <x:v>2-тижневий workflow discovery — потрібні вимоги одного проєкту</x:v>
      </x:c>
      <x:c r="I214" s="16" t="n">
        <x:v>1</x:v>
      </x:c>
      <x:c r="J214" s="16" t="n">
        <x:v>5</x:v>
      </x:c>
      <x:c r="K214" s="16" t="n">
        <x:v>4</x:v>
      </x:c>
      <x:c r="L214" s="16" t="n">
        <x:v>4</x:v>
      </x:c>
      <x:c r="M214" s="16" t="n">
        <x:v>5</x:v>
      </x:c>
      <x:c r="N214" s="16" t="n">
        <x:v>5</x:v>
      </x:c>
      <x:c r="O214" s="16" t="n">
        <x:v>5</x:v>
      </x:c>
      <x:c r="P214" s="16" t="n">
        <x:f>IF(COUNT(I214:O214)&lt;7,"",I214*8+J214*3+K214*2+L214*2+M214*2+N214*2+O214)</x:f>
        <x:v>64</x:v>
      </x:c>
      <x:c r="Q214" s="16" t="n">
        <x:f>IF(COUNT(J214:O214)&lt;6,"",J214*5+K214*4+M214*4+L214*3+N214*2+O214*2)</x:f>
        <x:v>93</x:v>
      </x:c>
      <x:c r="R214" s="14" t="str">
        <x:v>high</x:v>
      </x:c>
      <x:c r="S214" s="14" t="str">
        <x:v>google_index_verified_2026-08-24</x:v>
      </x:c>
      <x:c r="T214" s="14" t="str">
        <x:v>indexed_official_service_page</x:v>
      </x:c>
      <x:c r="U214" s="14" t="str">
        <x:v>Новий — не контактували</x:v>
      </x:c>
      <x:c r="V214" s="15" t="str">
        <x:v>2-тижневий discovery: запросити вимоги 1 активного проєкту + 1 знеособлений артефакт</x:v>
      </x:c>
      <x:c r="W214" s="15" t="str">
        <x:v>Власник / комерційний директор; керівник проєктів; керівник монтажу / ПТО</x:v>
      </x:c>
      <x:c r="X214" s="15" t="str">
        <x:v>Системна інтеграція та інсталяція. Пошуковий результат веде на індексовану сторінку корпоративного домену: Системний інтегратор — DEPS.</x:v>
      </x:c>
      <x:c r="Y214" s="15" t="str">
        <x:v>Кабельні траси, адресація, налаштування й acceptance-тести розподілені між монтажником, інтегратором і замовником.</x:v>
      </x:c>
      <x:c r="Z214" s="15" t="str">
        <x:v>https://deps.ua/ua/system-integration.html</x:v>
      </x:c>
      <x:c r="AA214" s="14" t="str"/>
      <x:c r="AB214" s="14" t="str">
        <x:v>2026-08-24</x:v>
      </x:c>
      <x:c r="AC214" s="14" t="str">
        <x:v>Олександр</x:v>
      </x:c>
      <x:c r="AD214" s="18" t="str"/>
      <x:c r="AE214" s="14" t="str"/>
    </x:row>
    <x:row r="215">
      <x:c r="A215" s="14" t="str">
        <x:v>W2-046</x:v>
      </x:c>
      <x:c r="B215" s="14" t="str">
        <x:v>Проєктний сигнал — 24.08</x:v>
      </x:c>
      <x:c r="C215" s="14" t="str">
        <x:v>Літер Інтеграція</x:v>
      </x:c>
      <x:c r="D215" s="14" t="str">
        <x:v>Безпека / СКУД / CCTV</x:v>
      </x:c>
      <x:c r="E215" s="14" t="str">
        <x:v>Expansion discovery</x:v>
      </x:c>
      <x:c r="F215" s="17" t="str">
        <x:f>IF(E215="Pilot now",IF(P215&gt;=84,"P1",IF(P215&gt;=72,"P2","P3")),IF(E215="Expansion discovery",IF(Q215&gt;=88,"D1",IF(Q215&gt;=78,"D2","D3")),IF(E215="Later / requirements","L","Legacy")))</x:f>
        <x:v>D1</x:v>
      </x:c>
      <x:c r="G215" s="14" t="str">
        <x:v>leater.ua</x:v>
      </x:c>
      <x:c r="H215" s="14" t="str">
        <x:v>2-тижневий workflow discovery — потрібні вимоги одного проєкту</x:v>
      </x:c>
      <x:c r="I215" s="16" t="n">
        <x:v>1</x:v>
      </x:c>
      <x:c r="J215" s="16" t="n">
        <x:v>5</x:v>
      </x:c>
      <x:c r="K215" s="16" t="n">
        <x:v>4</x:v>
      </x:c>
      <x:c r="L215" s="16" t="n">
        <x:v>4</x:v>
      </x:c>
      <x:c r="M215" s="16" t="n">
        <x:v>5</x:v>
      </x:c>
      <x:c r="N215" s="16" t="n">
        <x:v>5</x:v>
      </x:c>
      <x:c r="O215" s="16" t="n">
        <x:v>5</x:v>
      </x:c>
      <x:c r="P215" s="16" t="n">
        <x:f>IF(COUNT(I215:O215)&lt;7,"",I215*8+J215*3+K215*2+L215*2+M215*2+N215*2+O215)</x:f>
        <x:v>64</x:v>
      </x:c>
      <x:c r="Q215" s="16" t="n">
        <x:f>IF(COUNT(J215:O215)&lt;6,"",J215*5+K215*4+M215*4+L215*3+N215*2+O215*2)</x:f>
        <x:v>93</x:v>
      </x:c>
      <x:c r="R215" s="14" t="str">
        <x:v>high</x:v>
      </x:c>
      <x:c r="S215" s="14" t="str">
        <x:v>google_index_verified_2026-08-24</x:v>
      </x:c>
      <x:c r="T215" s="14" t="str">
        <x:v>indexed_official_service_page</x:v>
      </x:c>
      <x:c r="U215" s="14" t="str">
        <x:v>Новий — не контактували</x:v>
      </x:c>
      <x:c r="V215" s="15" t="str">
        <x:v>2-тижневий discovery: запросити вимоги 1 активного проєкту + 1 знеособлений артефакт</x:v>
      </x:c>
      <x:c r="W215" s="15" t="str">
        <x:v>Власник / комерційний директор; керівник проєктів; керівник монтажу / ПТО</x:v>
      </x:c>
      <x:c r="X215" s="15" t="str">
        <x:v>Відеонагляд і комплексна безпека. Пошуковий результат веде на індексовану сторінку корпоративного домену: Комплексні системи безпеки — Літер Інтеграція.</x:v>
      </x:c>
      <x:c r="Y215" s="15" t="str">
        <x:v>Кабельні траси, адресація, налаштування й acceptance-тести розподілені між монтажником, інтегратором і замовником.</x:v>
      </x:c>
      <x:c r="Z215" s="15" t="str">
        <x:v>https://leater.ua/catalog/bezpeka-ta-videonaglad</x:v>
      </x:c>
      <x:c r="AA215" s="14" t="str"/>
      <x:c r="AB215" s="14" t="str">
        <x:v>2026-08-24</x:v>
      </x:c>
      <x:c r="AC215" s="14" t="str">
        <x:v>Олександр</x:v>
      </x:c>
      <x:c r="AD215" s="18" t="str"/>
      <x:c r="AE215" s="14" t="str"/>
    </x:row>
    <x:row r="216">
      <x:c r="A216" s="14" t="str">
        <x:v>W2-047</x:v>
      </x:c>
      <x:c r="B216" s="14" t="str">
        <x:v>Проєктний сигнал — 24.08</x:v>
      </x:c>
      <x:c r="C216" s="14" t="str">
        <x:v>SM Integrator</x:v>
      </x:c>
      <x:c r="D216" s="14" t="str">
        <x:v>Безпека / СКУД / CCTV</x:v>
      </x:c>
      <x:c r="E216" s="14" t="str">
        <x:v>Expansion discovery</x:v>
      </x:c>
      <x:c r="F216" s="17" t="str">
        <x:f>IF(E216="Pilot now",IF(P216&gt;=84,"P1",IF(P216&gt;=72,"P2","P3")),IF(E216="Expansion discovery",IF(Q216&gt;=88,"D1",IF(Q216&gt;=78,"D2","D3")),IF(E216="Later / requirements","L","Legacy")))</x:f>
        <x:v>D1</x:v>
      </x:c>
      <x:c r="G216" s="14" t="str">
        <x:v>sm-integrator.com.ua</x:v>
      </x:c>
      <x:c r="H216" s="14" t="str">
        <x:v>2-тижневий workflow discovery — потрібні вимоги одного проєкту</x:v>
      </x:c>
      <x:c r="I216" s="16" t="n">
        <x:v>1</x:v>
      </x:c>
      <x:c r="J216" s="16" t="n">
        <x:v>5</x:v>
      </x:c>
      <x:c r="K216" s="16" t="n">
        <x:v>4</x:v>
      </x:c>
      <x:c r="L216" s="16" t="n">
        <x:v>4</x:v>
      </x:c>
      <x:c r="M216" s="16" t="n">
        <x:v>5</x:v>
      </x:c>
      <x:c r="N216" s="16" t="n">
        <x:v>5</x:v>
      </x:c>
      <x:c r="O216" s="16" t="n">
        <x:v>5</x:v>
      </x:c>
      <x:c r="P216" s="16" t="n">
        <x:f>IF(COUNT(I216:O216)&lt;7,"",I216*8+J216*3+K216*2+L216*2+M216*2+N216*2+O216)</x:f>
        <x:v>64</x:v>
      </x:c>
      <x:c r="Q216" s="16" t="n">
        <x:f>IF(COUNT(J216:O216)&lt;6,"",J216*5+K216*4+M216*4+L216*3+N216*2+O216*2)</x:f>
        <x:v>93</x:v>
      </x:c>
      <x:c r="R216" s="14" t="str">
        <x:v>high</x:v>
      </x:c>
      <x:c r="S216" s="14" t="str">
        <x:v>google_index_verified_2026-08-24</x:v>
      </x:c>
      <x:c r="T216" s="14" t="str">
        <x:v>indexed_official_service_page</x:v>
      </x:c>
      <x:c r="U216" s="14" t="str">
        <x:v>Новий — не контактували</x:v>
      </x:c>
      <x:c r="V216" s="15" t="str">
        <x:v>2-тижневий discovery: запросити вимоги 1 активного проєкту + 1 знеособлений артефакт</x:v>
      </x:c>
      <x:c r="W216" s="15" t="str">
        <x:v>Власник / комерційний директор; керівник проєктів; керівник монтажу / ПТО</x:v>
      </x:c>
      <x:c r="X216" s="15" t="str">
        <x:v>Інтеграція систем безпеки. Пошуковий результат веде на індексовану сторінку корпоративного домену: Послуги — SM Integrator.</x:v>
      </x:c>
      <x:c r="Y216" s="15" t="str">
        <x:v>Кабельні траси, адресація, налаштування й acceptance-тести розподілені між монтажником, інтегратором і замовником.</x:v>
      </x:c>
      <x:c r="Z216" s="15" t="str">
        <x:v>https://sm-integrator.com.ua/?page_id=25</x:v>
      </x:c>
      <x:c r="AA216" s="14" t="str"/>
      <x:c r="AB216" s="14" t="str">
        <x:v>2026-08-24</x:v>
      </x:c>
      <x:c r="AC216" s="14" t="str">
        <x:v>Олександр</x:v>
      </x:c>
      <x:c r="AD216" s="18" t="str"/>
      <x:c r="AE216" s="14" t="str"/>
    </x:row>
    <x:row r="217">
      <x:c r="A217" s="14" t="str">
        <x:v>W2-048</x:v>
      </x:c>
      <x:c r="B217" s="14" t="str">
        <x:v>Проєктний сигнал — 24.08</x:v>
      </x:c>
      <x:c r="C217" s="14" t="str">
        <x:v>ВТП Трансекспо</x:v>
      </x:c>
      <x:c r="D217" s="14" t="str">
        <x:v>Безпека / СКУД / CCTV</x:v>
      </x:c>
      <x:c r="E217" s="14" t="str">
        <x:v>Expansion discovery</x:v>
      </x:c>
      <x:c r="F217" s="17" t="str">
        <x:f>IF(E217="Pilot now",IF(P217&gt;=84,"P1",IF(P217&gt;=72,"P2","P3")),IF(E217="Expansion discovery",IF(Q217&gt;=88,"D1",IF(Q217&gt;=78,"D2","D3")),IF(E217="Later / requirements","L","Legacy")))</x:f>
        <x:v>D1</x:v>
      </x:c>
      <x:c r="G217" s="14" t="str">
        <x:v>transexpo.ua</x:v>
      </x:c>
      <x:c r="H217" s="14" t="str">
        <x:v>2-тижневий workflow discovery — потрібні вимоги одного проєкту</x:v>
      </x:c>
      <x:c r="I217" s="16" t="n">
        <x:v>1</x:v>
      </x:c>
      <x:c r="J217" s="16" t="n">
        <x:v>5</x:v>
      </x:c>
      <x:c r="K217" s="16" t="n">
        <x:v>4</x:v>
      </x:c>
      <x:c r="L217" s="16" t="n">
        <x:v>4</x:v>
      </x:c>
      <x:c r="M217" s="16" t="n">
        <x:v>5</x:v>
      </x:c>
      <x:c r="N217" s="16" t="n">
        <x:v>5</x:v>
      </x:c>
      <x:c r="O217" s="16" t="n">
        <x:v>5</x:v>
      </x:c>
      <x:c r="P217" s="16" t="n">
        <x:f>IF(COUNT(I217:O217)&lt;7,"",I217*8+J217*3+K217*2+L217*2+M217*2+N217*2+O217)</x:f>
        <x:v>64</x:v>
      </x:c>
      <x:c r="Q217" s="16" t="n">
        <x:f>IF(COUNT(J217:O217)&lt;6,"",J217*5+K217*4+M217*4+L217*3+N217*2+O217*2)</x:f>
        <x:v>93</x:v>
      </x:c>
      <x:c r="R217" s="14" t="str">
        <x:v>high</x:v>
      </x:c>
      <x:c r="S217" s="14" t="str">
        <x:v>google_index_verified_2026-08-24</x:v>
      </x:c>
      <x:c r="T217" s="14" t="str">
        <x:v>indexed_official_service_page</x:v>
      </x:c>
      <x:c r="U217" s="14" t="str">
        <x:v>Новий — не контактували</x:v>
      </x:c>
      <x:c r="V217" s="15" t="str">
        <x:v>2-тижневий discovery: запросити вимоги 1 активного проєкту + 1 знеособлений артефакт</x:v>
      </x:c>
      <x:c r="W217" s="15" t="str">
        <x:v>Власник / комерційний директор; керівник проєктів; керівник монтажу / ПТО</x:v>
      </x:c>
      <x:c r="X217" s="15" t="str">
        <x:v>Проєктування та монтаж систем безпеки. Пошуковий результат веде на індексовану сторінку корпоративного домену: Системи безпеки — ВТП Трансекспо.</x:v>
      </x:c>
      <x:c r="Y217" s="15" t="str">
        <x:v>Кабельні траси, адресація, налаштування й acceptance-тести розподілені між монтажником, інтегратором і замовником.</x:v>
      </x:c>
      <x:c r="Z217" s="15" t="str">
        <x:v>https://transexpo.ua/ua/poslugi/sistemi-bezpeki/</x:v>
      </x:c>
      <x:c r="AA217" s="14" t="str"/>
      <x:c r="AB217" s="14" t="str">
        <x:v>2026-08-24</x:v>
      </x:c>
      <x:c r="AC217" s="14" t="str">
        <x:v>Олександр</x:v>
      </x:c>
      <x:c r="AD217" s="18" t="str"/>
      <x:c r="AE217" s="14" t="str"/>
    </x:row>
    <x:row r="218">
      <x:c r="A218" s="14" t="str">
        <x:v>W2-049</x:v>
      </x:c>
      <x:c r="B218" s="14" t="str">
        <x:v>Проєктний сигнал — 24.08</x:v>
      </x:c>
      <x:c r="C218" s="14" t="str">
        <x:v>Kobi</x:v>
      </x:c>
      <x:c r="D218" s="14" t="str">
        <x:v>Безпека / СКУД / CCTV</x:v>
      </x:c>
      <x:c r="E218" s="14" t="str">
        <x:v>Expansion discovery</x:v>
      </x:c>
      <x:c r="F218" s="17" t="str">
        <x:f>IF(E218="Pilot now",IF(P218&gt;=84,"P1",IF(P218&gt;=72,"P2","P3")),IF(E218="Expansion discovery",IF(Q218&gt;=88,"D1",IF(Q218&gt;=78,"D2","D3")),IF(E218="Later / requirements","L","Legacy")))</x:f>
        <x:v>D1</x:v>
      </x:c>
      <x:c r="G218" s="14" t="str">
        <x:v>kobi.ua</x:v>
      </x:c>
      <x:c r="H218" s="14" t="str">
        <x:v>2-тижневий workflow discovery — потрібні вимоги одного проєкту</x:v>
      </x:c>
      <x:c r="I218" s="16" t="n">
        <x:v>1</x:v>
      </x:c>
      <x:c r="J218" s="16" t="n">
        <x:v>5</x:v>
      </x:c>
      <x:c r="K218" s="16" t="n">
        <x:v>4</x:v>
      </x:c>
      <x:c r="L218" s="16" t="n">
        <x:v>4</x:v>
      </x:c>
      <x:c r="M218" s="16" t="n">
        <x:v>5</x:v>
      </x:c>
      <x:c r="N218" s="16" t="n">
        <x:v>5</x:v>
      </x:c>
      <x:c r="O218" s="16" t="n">
        <x:v>5</x:v>
      </x:c>
      <x:c r="P218" s="16" t="n">
        <x:f>IF(COUNT(I218:O218)&lt;7,"",I218*8+J218*3+K218*2+L218*2+M218*2+N218*2+O218)</x:f>
        <x:v>64</x:v>
      </x:c>
      <x:c r="Q218" s="16" t="n">
        <x:f>IF(COUNT(J218:O218)&lt;6,"",J218*5+K218*4+M218*4+L218*3+N218*2+O218*2)</x:f>
        <x:v>93</x:v>
      </x:c>
      <x:c r="R218" s="14" t="str">
        <x:v>high</x:v>
      </x:c>
      <x:c r="S218" s="14" t="str">
        <x:v>google_index_verified_2026-08-24</x:v>
      </x:c>
      <x:c r="T218" s="14" t="str">
        <x:v>indexed_official_service_page</x:v>
      </x:c>
      <x:c r="U218" s="14" t="str">
        <x:v>Новий — не контактували</x:v>
      </x:c>
      <x:c r="V218" s="15" t="str">
        <x:v>2-тижневий discovery: запросити вимоги 1 активного проєкту + 1 знеособлений артефакт</x:v>
      </x:c>
      <x:c r="W218" s="15" t="str">
        <x:v>Власник / комерційний директор; керівник проєктів; керівник монтажу / ПТО</x:v>
      </x:c>
      <x:c r="X218" s="15" t="str">
        <x:v>Інтеграція відеоспостереження. Пошуковий результат веде на індексовану сторінку корпоративного домену: Системи безпеки та відеоспостереження — Kobi.</x:v>
      </x:c>
      <x:c r="Y218" s="15" t="str">
        <x:v>Кабельні траси, адресація, налаштування й acceptance-тести розподілені між монтажником, інтегратором і замовником.</x:v>
      </x:c>
      <x:c r="Z218" s="15" t="str">
        <x:v>https://kobi.ua/</x:v>
      </x:c>
      <x:c r="AA218" s="14" t="str"/>
      <x:c r="AB218" s="14" t="str">
        <x:v>2026-08-24</x:v>
      </x:c>
      <x:c r="AC218" s="14" t="str">
        <x:v>Олександр</x:v>
      </x:c>
      <x:c r="AD218" s="18" t="str"/>
      <x:c r="AE218" s="14" t="str"/>
    </x:row>
    <x:row r="219">
      <x:c r="A219" s="14" t="str">
        <x:v>W2-050</x:v>
      </x:c>
      <x:c r="B219" s="14" t="str">
        <x:v>Проєктний сигнал — 24.08</x:v>
      </x:c>
      <x:c r="C219" s="14" t="str">
        <x:v>Focus Zaxid</x:v>
      </x:c>
      <x:c r="D219" s="14" t="str">
        <x:v>Безпека / СКУД / CCTV</x:v>
      </x:c>
      <x:c r="E219" s="14" t="str">
        <x:v>Expansion discovery</x:v>
      </x:c>
      <x:c r="F219" s="17" t="str">
        <x:f>IF(E219="Pilot now",IF(P219&gt;=84,"P1",IF(P219&gt;=72,"P2","P3")),IF(E219="Expansion discovery",IF(Q219&gt;=88,"D1",IF(Q219&gt;=78,"D2","D3")),IF(E219="Later / requirements","L","Legacy")))</x:f>
        <x:v>D1</x:v>
      </x:c>
      <x:c r="G219" s="14" t="str">
        <x:v>focuszaxid.com</x:v>
      </x:c>
      <x:c r="H219" s="14" t="str">
        <x:v>2-тижневий workflow discovery — потрібні вимоги одного проєкту</x:v>
      </x:c>
      <x:c r="I219" s="16" t="n">
        <x:v>1</x:v>
      </x:c>
      <x:c r="J219" s="16" t="n">
        <x:v>5</x:v>
      </x:c>
      <x:c r="K219" s="16" t="n">
        <x:v>4</x:v>
      </x:c>
      <x:c r="L219" s="16" t="n">
        <x:v>4</x:v>
      </x:c>
      <x:c r="M219" s="16" t="n">
        <x:v>5</x:v>
      </x:c>
      <x:c r="N219" s="16" t="n">
        <x:v>5</x:v>
      </x:c>
      <x:c r="O219" s="16" t="n">
        <x:v>5</x:v>
      </x:c>
      <x:c r="P219" s="16" t="n">
        <x:f>IF(COUNT(I219:O219)&lt;7,"",I219*8+J219*3+K219*2+L219*2+M219*2+N219*2+O219)</x:f>
        <x:v>64</x:v>
      </x:c>
      <x:c r="Q219" s="16" t="n">
        <x:f>IF(COUNT(J219:O219)&lt;6,"",J219*5+K219*4+M219*4+L219*3+N219*2+O219*2)</x:f>
        <x:v>93</x:v>
      </x:c>
      <x:c r="R219" s="14" t="str">
        <x:v>high</x:v>
      </x:c>
      <x:c r="S219" s="14" t="str">
        <x:v>google_index_verified_2026-08-24</x:v>
      </x:c>
      <x:c r="T219" s="14" t="str">
        <x:v>indexed_official_service_page</x:v>
      </x:c>
      <x:c r="U219" s="14" t="str">
        <x:v>Новий — не контактували</x:v>
      </x:c>
      <x:c r="V219" s="15" t="str">
        <x:v>2-тижневий discovery: запросити вимоги 1 активного проєкту + 1 знеособлений артефакт</x:v>
      </x:c>
      <x:c r="W219" s="15" t="str">
        <x:v>Власник / комерційний директор; керівник проєктів; керівник монтажу / ПТО</x:v>
      </x:c>
      <x:c r="X219" s="15" t="str">
        <x:v>Комплексна безпека й автоматизація. Пошуковий результат веде на індексовану сторінку корпоративного домену: Системний інтегратор безпеки та автоматизації — Focus Zaxid.</x:v>
      </x:c>
      <x:c r="Y219" s="15" t="str">
        <x:v>Кабельні траси, адресація, налаштування й acceptance-тести розподілені між монтажником, інтегратором і замовником.</x:v>
      </x:c>
      <x:c r="Z219" s="15" t="str">
        <x:v>https://focuszaxid.com/about-us</x:v>
      </x:c>
      <x:c r="AA219" s="14" t="str"/>
      <x:c r="AB219" s="14" t="str">
        <x:v>2026-08-24</x:v>
      </x:c>
      <x:c r="AC219" s="14" t="str">
        <x:v>Олександр</x:v>
      </x:c>
      <x:c r="AD219" s="18" t="str"/>
      <x:c r="AE219" s="14" t="str"/>
    </x:row>
    <x:row r="220">
      <x:c r="A220" s="14" t="str">
        <x:v>W2-051</x:v>
      </x:c>
      <x:c r="B220" s="14" t="str">
        <x:v>Проєктний сигнал — 24.08</x:v>
      </x:c>
      <x:c r="C220" s="14" t="str">
        <x:v>AM Integrator Group</x:v>
      </x:c>
      <x:c r="D220" s="14" t="str">
        <x:v>Безпека / СКУД / CCTV</x:v>
      </x:c>
      <x:c r="E220" s="14" t="str">
        <x:v>Expansion discovery</x:v>
      </x:c>
      <x:c r="F220" s="17" t="str">
        <x:f>IF(E220="Pilot now",IF(P220&gt;=84,"P1",IF(P220&gt;=72,"P2","P3")),IF(E220="Expansion discovery",IF(Q220&gt;=88,"D1",IF(Q220&gt;=78,"D2","D3")),IF(E220="Later / requirements","L","Legacy")))</x:f>
        <x:v>D1</x:v>
      </x:c>
      <x:c r="G220" s="14" t="str">
        <x:v>amintegrator.com</x:v>
      </x:c>
      <x:c r="H220" s="14" t="str">
        <x:v>2-тижневий workflow discovery — потрібні вимоги одного проєкту</x:v>
      </x:c>
      <x:c r="I220" s="16" t="n">
        <x:v>1</x:v>
      </x:c>
      <x:c r="J220" s="16" t="n">
        <x:v>5</x:v>
      </x:c>
      <x:c r="K220" s="16" t="n">
        <x:v>4</x:v>
      </x:c>
      <x:c r="L220" s="16" t="n">
        <x:v>4</x:v>
      </x:c>
      <x:c r="M220" s="16" t="n">
        <x:v>5</x:v>
      </x:c>
      <x:c r="N220" s="16" t="n">
        <x:v>5</x:v>
      </x:c>
      <x:c r="O220" s="16" t="n">
        <x:v>5</x:v>
      </x:c>
      <x:c r="P220" s="16" t="n">
        <x:f>IF(COUNT(I220:O220)&lt;7,"",I220*8+J220*3+K220*2+L220*2+M220*2+N220*2+O220)</x:f>
        <x:v>64</x:v>
      </x:c>
      <x:c r="Q220" s="16" t="n">
        <x:f>IF(COUNT(J220:O220)&lt;6,"",J220*5+K220*4+M220*4+L220*3+N220*2+O220*2)</x:f>
        <x:v>93</x:v>
      </x:c>
      <x:c r="R220" s="14" t="str">
        <x:v>high</x:v>
      </x:c>
      <x:c r="S220" s="14" t="str">
        <x:v>google_index_verified_2026-08-24</x:v>
      </x:c>
      <x:c r="T220" s="14" t="str">
        <x:v>indexed_official_service_page</x:v>
      </x:c>
      <x:c r="U220" s="14" t="str">
        <x:v>Новий — не контактували</x:v>
      </x:c>
      <x:c r="V220" s="15" t="str">
        <x:v>2-тижневий discovery: запросити вимоги 1 активного проєкту + 1 знеособлений артефакт</x:v>
      </x:c>
      <x:c r="W220" s="15" t="str">
        <x:v>Власник / комерційний директор; керівник проєктів; керівник монтажу / ПТО</x:v>
      </x:c>
      <x:c r="X220" s="15" t="str">
        <x:v>Системи технічної безпеки. Пошуковий результат веде на індексовану сторінку корпоративного домену: Технічна безпека — AM Integrator Group.</x:v>
      </x:c>
      <x:c r="Y220" s="15" t="str">
        <x:v>Кабельні траси, адресація, налаштування й acceptance-тести розподілені між монтажником, інтегратором і замовником.</x:v>
      </x:c>
      <x:c r="Z220" s="15" t="str">
        <x:v>https://amintegrator.com/security/</x:v>
      </x:c>
      <x:c r="AA220" s="14" t="str"/>
      <x:c r="AB220" s="14" t="str">
        <x:v>2026-08-24</x:v>
      </x:c>
      <x:c r="AC220" s="14" t="str">
        <x:v>Олександр</x:v>
      </x:c>
      <x:c r="AD220" s="18" t="str"/>
      <x:c r="AE220" s="14" t="str"/>
    </x:row>
    <x:row r="221">
      <x:c r="A221" s="14" t="str">
        <x:v>W2-052</x:v>
      </x:c>
      <x:c r="B221" s="14" t="str">
        <x:v>Проєктний сигнал — 24.08</x:v>
      </x:c>
      <x:c r="C221" s="14" t="str">
        <x:v>VOLZ</x:v>
      </x:c>
      <x:c r="D221" s="14" t="str">
        <x:v>ВОЛЗ / телеком-мережі</x:v>
      </x:c>
      <x:c r="E221" s="14" t="str">
        <x:v>Expansion discovery</x:v>
      </x:c>
      <x:c r="F221" s="17" t="str">
        <x:f>IF(E221="Pilot now",IF(P221&gt;=84,"P1",IF(P221&gt;=72,"P2","P3")),IF(E221="Expansion discovery",IF(Q221&gt;=88,"D1",IF(Q221&gt;=78,"D2","D3")),IF(E221="Later / requirements","L","Legacy")))</x:f>
        <x:v>D1</x:v>
      </x:c>
      <x:c r="G221" s="14" t="str">
        <x:v>volz.ua</x:v>
      </x:c>
      <x:c r="H221" s="14" t="str">
        <x:v>2-тижневий workflow discovery — потрібні вимоги одного проєкту</x:v>
      </x:c>
      <x:c r="I221" s="16" t="n">
        <x:v>1</x:v>
      </x:c>
      <x:c r="J221" s="16" t="n">
        <x:v>5</x:v>
      </x:c>
      <x:c r="K221" s="16" t="n">
        <x:v>5</x:v>
      </x:c>
      <x:c r="L221" s="16" t="n">
        <x:v>4</x:v>
      </x:c>
      <x:c r="M221" s="16" t="n">
        <x:v>5</x:v>
      </x:c>
      <x:c r="N221" s="16" t="n">
        <x:v>5</x:v>
      </x:c>
      <x:c r="O221" s="16" t="n">
        <x:v>5</x:v>
      </x:c>
      <x:c r="P221" s="16" t="n">
        <x:f>IF(COUNT(I221:O221)&lt;7,"",I221*8+J221*3+K221*2+L221*2+M221*2+N221*2+O221)</x:f>
        <x:v>66</x:v>
      </x:c>
      <x:c r="Q221" s="16" t="n">
        <x:f>IF(COUNT(J221:O221)&lt;6,"",J221*5+K221*4+M221*4+L221*3+N221*2+O221*2)</x:f>
        <x:v>97</x:v>
      </x:c>
      <x:c r="R221" s="14" t="str">
        <x:v>high</x:v>
      </x:c>
      <x:c r="S221" s="14" t="str">
        <x:v>google_index_verified_2026-08-24</x:v>
      </x:c>
      <x:c r="T221" s="14" t="str">
        <x:v>indexed_official_service_page</x:v>
      </x:c>
      <x:c r="U221" s="14" t="str">
        <x:v>Новий — не контактували</x:v>
      </x:c>
      <x:c r="V221" s="15" t="str">
        <x:v>2-тижневий discovery: запросити вимоги 1 активного проєкту + 1 знеособлений артефакт</x:v>
      </x:c>
      <x:c r="W221" s="15" t="str">
        <x:v>Директор; керівник будівництва мереж; керівник ПТО / проєктів</x:v>
      </x:c>
      <x:c r="X221" s="15" t="str">
        <x:v>Проєктування і будівництво ВОЛЗ. Пошуковий результат веде на індексовану сторінку корпоративного домену: Проєктування та будівництво оптичних мереж — VOLZ.</x:v>
      </x:c>
      <x:c r="Y221" s="15" t="str">
        <x:v>Траси, муфти, зварювання волокон, рефлектограми й виконавчі схеми мають бути прив'язані до конкретних ділянок.</x:v>
      </x:c>
      <x:c r="Z221" s="15" t="str">
        <x:v>https://volz.ua/design-and-construction/</x:v>
      </x:c>
      <x:c r="AA221" s="14" t="str"/>
      <x:c r="AB221" s="14" t="str">
        <x:v>2026-08-24</x:v>
      </x:c>
      <x:c r="AC221" s="14" t="str">
        <x:v>Олександр</x:v>
      </x:c>
      <x:c r="AD221" s="18" t="str"/>
      <x:c r="AE221" s="14" t="str"/>
    </x:row>
    <x:row r="222">
      <x:c r="A222" s="14" t="str">
        <x:v>W2-053</x:v>
      </x:c>
      <x:c r="B222" s="14" t="str">
        <x:v>Проєктний сигнал — 24.08</x:v>
      </x:c>
      <x:c r="C222" s="14" t="str">
        <x:v>Avitel Group</x:v>
      </x:c>
      <x:c r="D222" s="14" t="str">
        <x:v>ВОЛЗ / телеком-мережі</x:v>
      </x:c>
      <x:c r="E222" s="14" t="str">
        <x:v>Expansion discovery</x:v>
      </x:c>
      <x:c r="F222" s="17" t="str">
        <x:f>IF(E222="Pilot now",IF(P222&gt;=84,"P1",IF(P222&gt;=72,"P2","P3")),IF(E222="Expansion discovery",IF(Q222&gt;=88,"D1",IF(Q222&gt;=78,"D2","D3")),IF(E222="Later / requirements","L","Legacy")))</x:f>
        <x:v>D1</x:v>
      </x:c>
      <x:c r="G222" s="14" t="str">
        <x:v>avitelgroup.com</x:v>
      </x:c>
      <x:c r="H222" s="14" t="str">
        <x:v>2-тижневий workflow discovery — потрібні вимоги одного проєкту</x:v>
      </x:c>
      <x:c r="I222" s="16" t="n">
        <x:v>1</x:v>
      </x:c>
      <x:c r="J222" s="16" t="n">
        <x:v>5</x:v>
      </x:c>
      <x:c r="K222" s="16" t="n">
        <x:v>5</x:v>
      </x:c>
      <x:c r="L222" s="16" t="n">
        <x:v>4</x:v>
      </x:c>
      <x:c r="M222" s="16" t="n">
        <x:v>5</x:v>
      </x:c>
      <x:c r="N222" s="16" t="n">
        <x:v>5</x:v>
      </x:c>
      <x:c r="O222" s="16" t="n">
        <x:v>3</x:v>
      </x:c>
      <x:c r="P222" s="16" t="n">
        <x:f>IF(COUNT(I222:O222)&lt;7,"",I222*8+J222*3+K222*2+L222*2+M222*2+N222*2+O222)</x:f>
        <x:v>64</x:v>
      </x:c>
      <x:c r="Q222" s="16" t="n">
        <x:f>IF(COUNT(J222:O222)&lt;6,"",J222*5+K222*4+M222*4+L222*3+N222*2+O222*2)</x:f>
        <x:v>93</x:v>
      </x:c>
      <x:c r="R222" s="14" t="str">
        <x:v>medium</x:v>
      </x:c>
      <x:c r="S222" s="14" t="str">
        <x:v>google_index_verified_manual_check_2026-08-24</x:v>
      </x:c>
      <x:c r="T222" s="14" t="str">
        <x:v>indexed_official_page_manual_check</x:v>
      </x:c>
      <x:c r="U222" s="14" t="str">
        <x:v>Новий — не контактували</x:v>
      </x:c>
      <x:c r="V222" s="15" t="str">
        <x:v>2-тижневий discovery: запросити вимоги 1 активного проєкту + 1 знеособлений артефакт</x:v>
      </x:c>
      <x:c r="W222" s="15" t="str">
        <x:v>Директор; керівник будівництва мереж; керівник ПТО / проєктів</x:v>
      </x:c>
      <x:c r="X222" s="15" t="str">
        <x:v>Телеком-інфраструктура та інтеграція. Пошуковий результат веде на індексовану сторінку корпоративного домену: Avitel Group — системний інтегратор.</x:v>
      </x:c>
      <x:c r="Y222" s="15" t="str">
        <x:v>Траси, муфти, зварювання волокон, рефлектограми й виконавчі схеми мають бути прив'язані до конкретних ділянок.</x:v>
      </x:c>
      <x:c r="Z222" s="15" t="str">
        <x:v>http://avitelgroup.com/</x:v>
      </x:c>
      <x:c r="AA222" s="14" t="str"/>
      <x:c r="AB222" s="14" t="str">
        <x:v>2026-08-24</x:v>
      </x:c>
      <x:c r="AC222" s="14" t="str">
        <x:v>Олександр</x:v>
      </x:c>
      <x:c r="AD222" s="18" t="str"/>
      <x:c r="AE222" s="14" t="str"/>
    </x:row>
    <x:row r="223">
      <x:c r="A223" s="14" t="str">
        <x:v>W2-054</x:v>
      </x:c>
      <x:c r="B223" s="14" t="str">
        <x:v>Проєктний сигнал — 24.08</x:v>
      </x:c>
      <x:c r="C223" s="14" t="str">
        <x:v>Atracom</x:v>
      </x:c>
      <x:c r="D223" s="14" t="str">
        <x:v>ВОЛЗ / телеком-мережі</x:v>
      </x:c>
      <x:c r="E223" s="14" t="str">
        <x:v>Expansion discovery</x:v>
      </x:c>
      <x:c r="F223" s="17" t="str">
        <x:f>IF(E223="Pilot now",IF(P223&gt;=84,"P1",IF(P223&gt;=72,"P2","P3")),IF(E223="Expansion discovery",IF(Q223&gt;=88,"D1",IF(Q223&gt;=78,"D2","D3")),IF(E223="Later / requirements","L","Legacy")))</x:f>
        <x:v>D1</x:v>
      </x:c>
      <x:c r="G223" s="14" t="str">
        <x:v>atracom.com.ua</x:v>
      </x:c>
      <x:c r="H223" s="14" t="str">
        <x:v>2-тижневий workflow discovery — потрібні вимоги одного проєкту</x:v>
      </x:c>
      <x:c r="I223" s="16" t="n">
        <x:v>1</x:v>
      </x:c>
      <x:c r="J223" s="16" t="n">
        <x:v>5</x:v>
      </x:c>
      <x:c r="K223" s="16" t="n">
        <x:v>5</x:v>
      </x:c>
      <x:c r="L223" s="16" t="n">
        <x:v>4</x:v>
      </x:c>
      <x:c r="M223" s="16" t="n">
        <x:v>5</x:v>
      </x:c>
      <x:c r="N223" s="16" t="n">
        <x:v>5</x:v>
      </x:c>
      <x:c r="O223" s="16" t="n">
        <x:v>5</x:v>
      </x:c>
      <x:c r="P223" s="16" t="n">
        <x:f>IF(COUNT(I223:O223)&lt;7,"",I223*8+J223*3+K223*2+L223*2+M223*2+N223*2+O223)</x:f>
        <x:v>66</x:v>
      </x:c>
      <x:c r="Q223" s="16" t="n">
        <x:f>IF(COUNT(J223:O223)&lt;6,"",J223*5+K223*4+M223*4+L223*3+N223*2+O223*2)</x:f>
        <x:v>97</x:v>
      </x:c>
      <x:c r="R223" s="14" t="str">
        <x:v>high</x:v>
      </x:c>
      <x:c r="S223" s="14" t="str">
        <x:v>google_index_verified_2026-08-24</x:v>
      </x:c>
      <x:c r="T223" s="14" t="str">
        <x:v>indexed_official_service_page</x:v>
      </x:c>
      <x:c r="U223" s="14" t="str">
        <x:v>Новий — не контактували</x:v>
      </x:c>
      <x:c r="V223" s="15" t="str">
        <x:v>2-тижневий discovery: запросити вимоги 1 активного проєкту + 1 знеособлений артефакт</x:v>
      </x:c>
      <x:c r="W223" s="15" t="str">
        <x:v>Директор; керівник будівництва мереж; керівник ПТО / проєктів</x:v>
      </x:c>
      <x:c r="X223" s="15" t="str">
        <x:v>Будівництво волоконно-оптичних ліній. Пошуковий результат веде на індексовану сторінку корпоративного домену: Будівництво ВОЛЗ — Atracom.</x:v>
      </x:c>
      <x:c r="Y223" s="15" t="str">
        <x:v>Траси, муфти, зварювання волокон, рефлектограми й виконавчі схеми мають бути прив'язані до конкретних ділянок.</x:v>
      </x:c>
      <x:c r="Z223" s="15" t="str">
        <x:v>https://www.atracom.com.ua/services/construction-and-sale-of-focls/</x:v>
      </x:c>
      <x:c r="AA223" s="14" t="str"/>
      <x:c r="AB223" s="14" t="str">
        <x:v>2026-08-24</x:v>
      </x:c>
      <x:c r="AC223" s="14" t="str">
        <x:v>Олександр</x:v>
      </x:c>
      <x:c r="AD223" s="18" t="str"/>
      <x:c r="AE223" s="14" t="str"/>
    </x:row>
    <x:row r="224">
      <x:c r="A224" s="14" t="str">
        <x:v>W2-055</x:v>
      </x:c>
      <x:c r="B224" s="14" t="str">
        <x:v>Проєктний сигнал — 24.08</x:v>
      </x:c>
      <x:c r="C224" s="14" t="str">
        <x:v>Eurotranstelecom</x:v>
      </x:c>
      <x:c r="D224" s="14" t="str">
        <x:v>ВОЛЗ / телеком-мережі</x:v>
      </x:c>
      <x:c r="E224" s="14" t="str">
        <x:v>Expansion discovery</x:v>
      </x:c>
      <x:c r="F224" s="17" t="str">
        <x:f>IF(E224="Pilot now",IF(P224&gt;=84,"P1",IF(P224&gt;=72,"P2","P3")),IF(E224="Expansion discovery",IF(Q224&gt;=88,"D1",IF(Q224&gt;=78,"D2","D3")),IF(E224="Later / requirements","L","Legacy")))</x:f>
        <x:v>D1</x:v>
      </x:c>
      <x:c r="G224" s="14" t="str">
        <x:v>ett.ua</x:v>
      </x:c>
      <x:c r="H224" s="14" t="str">
        <x:v>2-тижневий workflow discovery — потрібні вимоги одного проєкту</x:v>
      </x:c>
      <x:c r="I224" s="16" t="n">
        <x:v>1</x:v>
      </x:c>
      <x:c r="J224" s="16" t="n">
        <x:v>5</x:v>
      </x:c>
      <x:c r="K224" s="16" t="n">
        <x:v>5</x:v>
      </x:c>
      <x:c r="L224" s="16" t="n">
        <x:v>4</x:v>
      </x:c>
      <x:c r="M224" s="16" t="n">
        <x:v>5</x:v>
      </x:c>
      <x:c r="N224" s="16" t="n">
        <x:v>5</x:v>
      </x:c>
      <x:c r="O224" s="16" t="n">
        <x:v>5</x:v>
      </x:c>
      <x:c r="P224" s="16" t="n">
        <x:f>IF(COUNT(I224:O224)&lt;7,"",I224*8+J224*3+K224*2+L224*2+M224*2+N224*2+O224)</x:f>
        <x:v>66</x:v>
      </x:c>
      <x:c r="Q224" s="16" t="n">
        <x:f>IF(COUNT(J224:O224)&lt;6,"",J224*5+K224*4+M224*4+L224*3+N224*2+O224*2)</x:f>
        <x:v>97</x:v>
      </x:c>
      <x:c r="R224" s="14" t="str">
        <x:v>high</x:v>
      </x:c>
      <x:c r="S224" s="14" t="str">
        <x:v>google_index_verified_2026-08-24</x:v>
      </x:c>
      <x:c r="T224" s="14" t="str">
        <x:v>indexed_official_service_page</x:v>
      </x:c>
      <x:c r="U224" s="14" t="str">
        <x:v>Новий — не контактували</x:v>
      </x:c>
      <x:c r="V224" s="15" t="str">
        <x:v>2-тижневий discovery: запросити вимоги 1 активного проєкту + 1 знеособлений артефакт</x:v>
      </x:c>
      <x:c r="W224" s="15" t="str">
        <x:v>Директор; керівник будівництва мереж; керівник ПТО / проєктів</x:v>
      </x:c>
      <x:c r="X224" s="15" t="str">
        <x:v>Будівництво волоконно-оптичних мереж. Пошуковий результат веде на індексовану сторінку корпоративного домену: Будівництво ВОЛЗ — Eurotranstelecom.</x:v>
      </x:c>
      <x:c r="Y224" s="15" t="str">
        <x:v>Траси, муфти, зварювання волокон, рефлектограми й виконавчі схеми мають бути прив'язані до конкретних ділянок.</x:v>
      </x:c>
      <x:c r="Z224" s="15" t="str">
        <x:v>https://www.ett.ua/services/focl-construction/</x:v>
      </x:c>
      <x:c r="AA224" s="14" t="str"/>
      <x:c r="AB224" s="14" t="str">
        <x:v>2026-08-24</x:v>
      </x:c>
      <x:c r="AC224" s="14" t="str">
        <x:v>Олександр</x:v>
      </x:c>
      <x:c r="AD224" s="18" t="str"/>
      <x:c r="AE224" s="14" t="str"/>
    </x:row>
    <x:row r="225">
      <x:c r="A225" s="14" t="str">
        <x:v>W2-056</x:v>
      </x:c>
      <x:c r="B225" s="14" t="str">
        <x:v>Проєктний сигнал — 24.08</x:v>
      </x:c>
      <x:c r="C225" s="14" t="str">
        <x:v>UTELS</x:v>
      </x:c>
      <x:c r="D225" s="14" t="str">
        <x:v>ВОЛЗ / телеком-мережі</x:v>
      </x:c>
      <x:c r="E225" s="14" t="str">
        <x:v>Expansion discovery</x:v>
      </x:c>
      <x:c r="F225" s="17" t="str">
        <x:f>IF(E225="Pilot now",IF(P225&gt;=84,"P1",IF(P225&gt;=72,"P2","P3")),IF(E225="Expansion discovery",IF(Q225&gt;=88,"D1",IF(Q225&gt;=78,"D2","D3")),IF(E225="Later / requirements","L","Legacy")))</x:f>
        <x:v>D1</x:v>
      </x:c>
      <x:c r="G225" s="14" t="str">
        <x:v>utels.ua</x:v>
      </x:c>
      <x:c r="H225" s="14" t="str">
        <x:v>2-тижневий workflow discovery — потрібні вимоги одного проєкту</x:v>
      </x:c>
      <x:c r="I225" s="16" t="n">
        <x:v>1</x:v>
      </x:c>
      <x:c r="J225" s="16" t="n">
        <x:v>5</x:v>
      </x:c>
      <x:c r="K225" s="16" t="n">
        <x:v>5</x:v>
      </x:c>
      <x:c r="L225" s="16" t="n">
        <x:v>4</x:v>
      </x:c>
      <x:c r="M225" s="16" t="n">
        <x:v>5</x:v>
      </x:c>
      <x:c r="N225" s="16" t="n">
        <x:v>5</x:v>
      </x:c>
      <x:c r="O225" s="16" t="n">
        <x:v>5</x:v>
      </x:c>
      <x:c r="P225" s="16" t="n">
        <x:f>IF(COUNT(I225:O225)&lt;7,"",I225*8+J225*3+K225*2+L225*2+M225*2+N225*2+O225)</x:f>
        <x:v>66</x:v>
      </x:c>
      <x:c r="Q225" s="16" t="n">
        <x:f>IF(COUNT(J225:O225)&lt;6,"",J225*5+K225*4+M225*4+L225*3+N225*2+O225*2)</x:f>
        <x:v>97</x:v>
      </x:c>
      <x:c r="R225" s="14" t="str">
        <x:v>high</x:v>
      </x:c>
      <x:c r="S225" s="14" t="str">
        <x:v>google_index_verified_2026-08-24</x:v>
      </x:c>
      <x:c r="T225" s="14" t="str">
        <x:v>indexed_official_service_page</x:v>
      </x:c>
      <x:c r="U225" s="14" t="str">
        <x:v>Новий — не контактували</x:v>
      </x:c>
      <x:c r="V225" s="15" t="str">
        <x:v>2-тижневий discovery: запросити вимоги 1 активного проєкту + 1 знеособлений артефакт</x:v>
      </x:c>
      <x:c r="W225" s="15" t="str">
        <x:v>Директор; керівник будівництва мереж; керівник ПТО / проєктів</x:v>
      </x:c>
      <x:c r="X225" s="15" t="str">
        <x:v>Проєктування і будівництво ВОЛЗ. Пошуковий результат веде на індексовану сторінку корпоративного домену: Будівництво та проєктування ВОЛЗ — UTELS.</x:v>
      </x:c>
      <x:c r="Y225" s="15" t="str">
        <x:v>Траси, муфти, зварювання волокон, рефлектограми й виконавчі схеми мають бути прив'язані до конкретних ділянок.</x:v>
      </x:c>
      <x:c r="Z225" s="15" t="str">
        <x:v>https://utels.ua/for-business/budivnytstvo-volz</x:v>
      </x:c>
      <x:c r="AA225" s="14" t="str"/>
      <x:c r="AB225" s="14" t="str">
        <x:v>2026-08-24</x:v>
      </x:c>
      <x:c r="AC225" s="14" t="str">
        <x:v>Олександр</x:v>
      </x:c>
      <x:c r="AD225" s="18" t="str"/>
      <x:c r="AE225" s="14" t="str"/>
    </x:row>
    <x:row r="226">
      <x:c r="A226" s="14" t="str">
        <x:v>W2-057</x:v>
      </x:c>
      <x:c r="B226" s="14" t="str">
        <x:v>Проєктний сигнал — 24.08</x:v>
      </x:c>
      <x:c r="C226" s="14" t="str">
        <x:v>Астелнет</x:v>
      </x:c>
      <x:c r="D226" s="14" t="str">
        <x:v>ВОЛЗ / телеком-мережі</x:v>
      </x:c>
      <x:c r="E226" s="14" t="str">
        <x:v>Expansion discovery</x:v>
      </x:c>
      <x:c r="F226" s="17" t="str">
        <x:f>IF(E226="Pilot now",IF(P226&gt;=84,"P1",IF(P226&gt;=72,"P2","P3")),IF(E226="Expansion discovery",IF(Q226&gt;=88,"D1",IF(Q226&gt;=78,"D2","D3")),IF(E226="Later / requirements","L","Legacy")))</x:f>
        <x:v>D1</x:v>
      </x:c>
      <x:c r="G226" s="14" t="str">
        <x:v>astelnet.com.ua</x:v>
      </x:c>
      <x:c r="H226" s="14" t="str">
        <x:v>2-тижневий workflow discovery — потрібні вимоги одного проєкту</x:v>
      </x:c>
      <x:c r="I226" s="16" t="n">
        <x:v>1</x:v>
      </x:c>
      <x:c r="J226" s="16" t="n">
        <x:v>5</x:v>
      </x:c>
      <x:c r="K226" s="16" t="n">
        <x:v>5</x:v>
      </x:c>
      <x:c r="L226" s="16" t="n">
        <x:v>4</x:v>
      </x:c>
      <x:c r="M226" s="16" t="n">
        <x:v>5</x:v>
      </x:c>
      <x:c r="N226" s="16" t="n">
        <x:v>5</x:v>
      </x:c>
      <x:c r="O226" s="16" t="n">
        <x:v>5</x:v>
      </x:c>
      <x:c r="P226" s="16" t="n">
        <x:f>IF(COUNT(I226:O226)&lt;7,"",I226*8+J226*3+K226*2+L226*2+M226*2+N226*2+O226)</x:f>
        <x:v>66</x:v>
      </x:c>
      <x:c r="Q226" s="16" t="n">
        <x:f>IF(COUNT(J226:O226)&lt;6,"",J226*5+K226*4+M226*4+L226*3+N226*2+O226*2)</x:f>
        <x:v>97</x:v>
      </x:c>
      <x:c r="R226" s="14" t="str">
        <x:v>high</x:v>
      </x:c>
      <x:c r="S226" s="14" t="str">
        <x:v>google_index_verified_2026-08-24</x:v>
      </x:c>
      <x:c r="T226" s="14" t="str">
        <x:v>indexed_official_service_page</x:v>
      </x:c>
      <x:c r="U226" s="14" t="str">
        <x:v>Новий — не контактували</x:v>
      </x:c>
      <x:c r="V226" s="15" t="str">
        <x:v>2-тижневий discovery: запросити вимоги 1 активного проєкту + 1 знеособлений артефакт</x:v>
      </x:c>
      <x:c r="W226" s="15" t="str">
        <x:v>Директор; керівник будівництва мереж; керівник ПТО / проєктів</x:v>
      </x:c>
      <x:c r="X226" s="15" t="str">
        <x:v>Оператор і будівельник ВОЛЗ. Пошуковий результат веде на індексовану сторінку корпоративного домену: Будівництво ВОЛЗ — Астелнет.</x:v>
      </x:c>
      <x:c r="Y226" s="15" t="str">
        <x:v>Траси, муфти, зварювання волокон, рефлектограми й виконавчі схеми мають бути прив'язані до конкретних ділянок.</x:v>
      </x:c>
      <x:c r="Z226" s="15" t="str">
        <x:v>https://astelnet.com.ua/vols-building/</x:v>
      </x:c>
      <x:c r="AA226" s="14" t="str"/>
      <x:c r="AB226" s="14" t="str">
        <x:v>2026-08-24</x:v>
      </x:c>
      <x:c r="AC226" s="14" t="str">
        <x:v>Олександр</x:v>
      </x:c>
      <x:c r="AD226" s="18" t="str"/>
      <x:c r="AE226" s="14" t="str"/>
    </x:row>
    <x:row r="227">
      <x:c r="A227" s="14" t="str">
        <x:v>W2-058</x:v>
      </x:c>
      <x:c r="B227" s="14" t="str">
        <x:v>Проєктний сигнал — 24.08</x:v>
      </x:c>
      <x:c r="C227" s="14" t="str">
        <x:v>Фрінет / O3</x:v>
      </x:c>
      <x:c r="D227" s="14" t="str">
        <x:v>ВОЛЗ / телеком-мережі</x:v>
      </x:c>
      <x:c r="E227" s="14" t="str">
        <x:v>Expansion discovery</x:v>
      </x:c>
      <x:c r="F227" s="17" t="str">
        <x:f>IF(E227="Pilot now",IF(P227&gt;=84,"P1",IF(P227&gt;=72,"P2","P3")),IF(E227="Expansion discovery",IF(Q227&gt;=88,"D1",IF(Q227&gt;=78,"D2","D3")),IF(E227="Later / requirements","L","Legacy")))</x:f>
        <x:v>D1</x:v>
      </x:c>
      <x:c r="G227" s="14" t="str">
        <x:v>o3.ua</x:v>
      </x:c>
      <x:c r="H227" s="14" t="str">
        <x:v>2-тижневий workflow discovery — потрібні вимоги одного проєкту</x:v>
      </x:c>
      <x:c r="I227" s="16" t="n">
        <x:v>1</x:v>
      </x:c>
      <x:c r="J227" s="16" t="n">
        <x:v>5</x:v>
      </x:c>
      <x:c r="K227" s="16" t="n">
        <x:v>5</x:v>
      </x:c>
      <x:c r="L227" s="16" t="n">
        <x:v>4</x:v>
      </x:c>
      <x:c r="M227" s="16" t="n">
        <x:v>5</x:v>
      </x:c>
      <x:c r="N227" s="16" t="n">
        <x:v>5</x:v>
      </x:c>
      <x:c r="O227" s="16" t="n">
        <x:v>5</x:v>
      </x:c>
      <x:c r="P227" s="16" t="n">
        <x:f>IF(COUNT(I227:O227)&lt;7,"",I227*8+J227*3+K227*2+L227*2+M227*2+N227*2+O227)</x:f>
        <x:v>66</x:v>
      </x:c>
      <x:c r="Q227" s="16" t="n">
        <x:f>IF(COUNT(J227:O227)&lt;6,"",J227*5+K227*4+M227*4+L227*3+N227*2+O227*2)</x:f>
        <x:v>97</x:v>
      </x:c>
      <x:c r="R227" s="14" t="str">
        <x:v>high</x:v>
      </x:c>
      <x:c r="S227" s="14" t="str">
        <x:v>google_index_verified_2026-08-24</x:v>
      </x:c>
      <x:c r="T227" s="14" t="str">
        <x:v>indexed_official_service_page</x:v>
      </x:c>
      <x:c r="U227" s="14" t="str">
        <x:v>Новий — не контактували</x:v>
      </x:c>
      <x:c r="V227" s="15" t="str">
        <x:v>2-тижневий discovery: запросити вимоги 1 активного проєкту + 1 знеособлений артефакт</x:v>
      </x:c>
      <x:c r="W227" s="15" t="str">
        <x:v>Директор; керівник будівництва мереж; керівник ПТО / проєктів</x:v>
      </x:c>
      <x:c r="X227" s="15" t="str">
        <x:v>Будівництво волоконно-оптичних мереж. Пошуковий результат веде на індексовану сторінку корпоративного домену: Будівництво ВОЛЗ — Фрінет.</x:v>
      </x:c>
      <x:c r="Y227" s="15" t="str">
        <x:v>Траси, муфти, зварювання волокон, рефлектограми й виконавчі схеми мають бути прив'язані до конкретних ділянок.</x:v>
      </x:c>
      <x:c r="Z227" s="15" t="str">
        <x:v>https://o3.ua/office/volz/</x:v>
      </x:c>
      <x:c r="AA227" s="14" t="str"/>
      <x:c r="AB227" s="14" t="str">
        <x:v>2026-08-24</x:v>
      </x:c>
      <x:c r="AC227" s="14" t="str">
        <x:v>Олександр</x:v>
      </x:c>
      <x:c r="AD227" s="18" t="str"/>
      <x:c r="AE227" s="14" t="str"/>
    </x:row>
    <x:row r="228">
      <x:c r="A228" s="14" t="str">
        <x:v>W2-059</x:v>
      </x:c>
      <x:c r="B228" s="14" t="str">
        <x:v>Проєктний сигнал — 24.08</x:v>
      </x:c>
      <x:c r="C228" s="14" t="str">
        <x:v>GigaTrans</x:v>
      </x:c>
      <x:c r="D228" s="14" t="str">
        <x:v>ВОЛЗ / телеком-мережі</x:v>
      </x:c>
      <x:c r="E228" s="14" t="str">
        <x:v>Expansion discovery</x:v>
      </x:c>
      <x:c r="F228" s="17" t="str">
        <x:f>IF(E228="Pilot now",IF(P228&gt;=84,"P1",IF(P228&gt;=72,"P2","P3")),IF(E228="Expansion discovery",IF(Q228&gt;=88,"D1",IF(Q228&gt;=78,"D2","D3")),IF(E228="Later / requirements","L","Legacy")))</x:f>
        <x:v>D1</x:v>
      </x:c>
      <x:c r="G228" s="14" t="str">
        <x:v>gigatrans.ua</x:v>
      </x:c>
      <x:c r="H228" s="14" t="str">
        <x:v>2-тижневий workflow discovery — потрібні вимоги одного проєкту</x:v>
      </x:c>
      <x:c r="I228" s="16" t="n">
        <x:v>1</x:v>
      </x:c>
      <x:c r="J228" s="16" t="n">
        <x:v>5</x:v>
      </x:c>
      <x:c r="K228" s="16" t="n">
        <x:v>5</x:v>
      </x:c>
      <x:c r="L228" s="16" t="n">
        <x:v>4</x:v>
      </x:c>
      <x:c r="M228" s="16" t="n">
        <x:v>5</x:v>
      </x:c>
      <x:c r="N228" s="16" t="n">
        <x:v>5</x:v>
      </x:c>
      <x:c r="O228" s="16" t="n">
        <x:v>5</x:v>
      </x:c>
      <x:c r="P228" s="16" t="n">
        <x:f>IF(COUNT(I228:O228)&lt;7,"",I228*8+J228*3+K228*2+L228*2+M228*2+N228*2+O228)</x:f>
        <x:v>66</x:v>
      </x:c>
      <x:c r="Q228" s="16" t="n">
        <x:f>IF(COUNT(J228:O228)&lt;6,"",J228*5+K228*4+M228*4+L228*3+N228*2+O228*2)</x:f>
        <x:v>97</x:v>
      </x:c>
      <x:c r="R228" s="14" t="str">
        <x:v>high</x:v>
      </x:c>
      <x:c r="S228" s="14" t="str">
        <x:v>google_index_verified_2026-08-24</x:v>
      </x:c>
      <x:c r="T228" s="14" t="str">
        <x:v>indexed_official_service_page</x:v>
      </x:c>
      <x:c r="U228" s="14" t="str">
        <x:v>Новий — не контактували</x:v>
      </x:c>
      <x:c r="V228" s="15" t="str">
        <x:v>2-тижневий discovery: запросити вимоги 1 активного проєкту + 1 знеособлений артефакт</x:v>
      </x:c>
      <x:c r="W228" s="15" t="str">
        <x:v>Директор; керівник будівництва мереж; керівник ПТО / проєктів</x:v>
      </x:c>
      <x:c r="X228" s="15" t="str">
        <x:v>Будівництво волоконно-оптичних ліній. Пошуковий результат веде на індексовану сторінку корпоративного домену: Будівництво ВОЛЗ — GigaTrans.</x:v>
      </x:c>
      <x:c r="Y228" s="15" t="str">
        <x:v>Траси, муфти, зварювання волокон, рефлектограми й виконавчі схеми мають бути прив'язані до конкретних ділянок.</x:v>
      </x:c>
      <x:c r="Z228" s="15" t="str">
        <x:v>https://gigatrans.ua/ua/services/stroitelstvo-vols</x:v>
      </x:c>
      <x:c r="AA228" s="14" t="str"/>
      <x:c r="AB228" s="14" t="str">
        <x:v>2026-08-24</x:v>
      </x:c>
      <x:c r="AC228" s="14" t="str">
        <x:v>Олександр</x:v>
      </x:c>
      <x:c r="AD228" s="18" t="str"/>
      <x:c r="AE228" s="14" t="str"/>
    </x:row>
    <x:row r="229">
      <x:c r="A229" s="14" t="str">
        <x:v>W2-060</x:v>
      </x:c>
      <x:c r="B229" s="14" t="str">
        <x:v>Проєктний сигнал — 24.08</x:v>
      </x:c>
      <x:c r="C229" s="14" t="str">
        <x:v>EXSYS</x:v>
      </x:c>
      <x:c r="D229" s="14" t="str">
        <x:v>Газопостачання / котельні</x:v>
      </x:c>
      <x:c r="E229" s="14" t="str">
        <x:v>Expansion discovery</x:v>
      </x:c>
      <x:c r="F229" s="17" t="str">
        <x:f>IF(E229="Pilot now",IF(P229&gt;=84,"P1",IF(P229&gt;=72,"P2","P3")),IF(E229="Expansion discovery",IF(Q229&gt;=88,"D1",IF(Q229&gt;=78,"D2","D3")),IF(E229="Later / requirements","L","Legacy")))</x:f>
        <x:v>D1</x:v>
      </x:c>
      <x:c r="G229" s="14" t="str">
        <x:v>exsys.com.ua</x:v>
      </x:c>
      <x:c r="H229" s="14" t="str">
        <x:v>2-тижневий workflow discovery — потрібні вимоги одного проєкту</x:v>
      </x:c>
      <x:c r="I229" s="16" t="n">
        <x:v>1</x:v>
      </x:c>
      <x:c r="J229" s="16" t="n">
        <x:v>5</x:v>
      </x:c>
      <x:c r="K229" s="16" t="n">
        <x:v>5</x:v>
      </x:c>
      <x:c r="L229" s="16" t="n">
        <x:v>4</x:v>
      </x:c>
      <x:c r="M229" s="16" t="n">
        <x:v>5</x:v>
      </x:c>
      <x:c r="N229" s="16" t="n">
        <x:v>5</x:v>
      </x:c>
      <x:c r="O229" s="16" t="n">
        <x:v>5</x:v>
      </x:c>
      <x:c r="P229" s="16" t="n">
        <x:f>IF(COUNT(I229:O229)&lt;7,"",I229*8+J229*3+K229*2+L229*2+M229*2+N229*2+O229)</x:f>
        <x:v>66</x:v>
      </x:c>
      <x:c r="Q229" s="16" t="n">
        <x:f>IF(COUNT(J229:O229)&lt;6,"",J229*5+K229*4+M229*4+L229*3+N229*2+O229*2)</x:f>
        <x:v>97</x:v>
      </x:c>
      <x:c r="R229" s="14" t="str">
        <x:v>high</x:v>
      </x:c>
      <x:c r="S229" s="14" t="str">
        <x:v>google_index_verified_2026-08-24</x:v>
      </x:c>
      <x:c r="T229" s="14" t="str">
        <x:v>indexed_official_service_page</x:v>
      </x:c>
      <x:c r="U229" s="14" t="str">
        <x:v>Новий — не контактували</x:v>
      </x:c>
      <x:c r="V229" s="15" t="str">
        <x:v>2-тижневий discovery: запросити вимоги 1 активного проєкту + 1 знеособлений артефакт</x:v>
      </x:c>
      <x:c r="W229" s="15" t="str">
        <x:v>Директор; головний інженер; керівник ПТО / пусконалагодження</x:v>
      </x:c>
      <x:c r="X229" s="15" t="str">
        <x:v>Проєктування котелень та інженерних систем. Пошуковий результат веде на індексовану сторінку корпоративного домену: Проєкт котельні — EXSYS.</x:v>
      </x:c>
      <x:c r="Y229" s="15" t="str">
        <x:v>Трубопроводи, зварні стики, випробування, автоматика й ПНР потребують актів і протоколів до введення.</x:v>
      </x:c>
      <x:c r="Z229" s="15" t="str">
        <x:v>https://exsys.com.ua/service/proekt-kotelni/</x:v>
      </x:c>
      <x:c r="AA229" s="14" t="str"/>
      <x:c r="AB229" s="14" t="str">
        <x:v>2026-08-24</x:v>
      </x:c>
      <x:c r="AC229" s="14" t="str">
        <x:v>Олександр</x:v>
      </x:c>
      <x:c r="AD229" s="18" t="str"/>
      <x:c r="AE229" s="14" t="str"/>
    </x:row>
    <x:row r="230">
      <x:c r="A230" s="14" t="str">
        <x:v>W2-061</x:v>
      </x:c>
      <x:c r="B230" s="14" t="str">
        <x:v>Проєктний сигнал — 24.08</x:v>
      </x:c>
      <x:c r="C230" s="14" t="str">
        <x:v>DIATEC</x:v>
      </x:c>
      <x:c r="D230" s="14" t="str">
        <x:v>Газопостачання / котельні</x:v>
      </x:c>
      <x:c r="E230" s="14" t="str">
        <x:v>Expansion discovery</x:v>
      </x:c>
      <x:c r="F230" s="17" t="str">
        <x:f>IF(E230="Pilot now",IF(P230&gt;=84,"P1",IF(P230&gt;=72,"P2","P3")),IF(E230="Expansion discovery",IF(Q230&gt;=88,"D1",IF(Q230&gt;=78,"D2","D3")),IF(E230="Later / requirements","L","Legacy")))</x:f>
        <x:v>D1</x:v>
      </x:c>
      <x:c r="G230" s="14" t="str">
        <x:v>prom.diatec.com.ua</x:v>
      </x:c>
      <x:c r="H230" s="14" t="str">
        <x:v>2-тижневий workflow discovery — потрібні вимоги одного проєкту</x:v>
      </x:c>
      <x:c r="I230" s="16" t="n">
        <x:v>1</x:v>
      </x:c>
      <x:c r="J230" s="16" t="n">
        <x:v>5</x:v>
      </x:c>
      <x:c r="K230" s="16" t="n">
        <x:v>5</x:v>
      </x:c>
      <x:c r="L230" s="16" t="n">
        <x:v>4</x:v>
      </x:c>
      <x:c r="M230" s="16" t="n">
        <x:v>5</x:v>
      </x:c>
      <x:c r="N230" s="16" t="n">
        <x:v>5</x:v>
      </x:c>
      <x:c r="O230" s="16" t="n">
        <x:v>5</x:v>
      </x:c>
      <x:c r="P230" s="16" t="n">
        <x:f>IF(COUNT(I230:O230)&lt;7,"",I230*8+J230*3+K230*2+L230*2+M230*2+N230*2+O230)</x:f>
        <x:v>66</x:v>
      </x:c>
      <x:c r="Q230" s="16" t="n">
        <x:f>IF(COUNT(J230:O230)&lt;6,"",J230*5+K230*4+M230*4+L230*3+N230*2+O230*2)</x:f>
        <x:v>97</x:v>
      </x:c>
      <x:c r="R230" s="14" t="str">
        <x:v>high</x:v>
      </x:c>
      <x:c r="S230" s="14" t="str">
        <x:v>google_index_verified_2026-08-24</x:v>
      </x:c>
      <x:c r="T230" s="14" t="str">
        <x:v>indexed_official_service_page</x:v>
      </x:c>
      <x:c r="U230" s="14" t="str">
        <x:v>Новий — не контактували</x:v>
      </x:c>
      <x:c r="V230" s="15" t="str">
        <x:v>2-тижневий discovery: запросити вимоги 1 активного проєкту + 1 знеособлений артефакт</x:v>
      </x:c>
      <x:c r="W230" s="15" t="str">
        <x:v>Директор; головний інженер; керівник ПТО / пусконалагодження</x:v>
      </x:c>
      <x:c r="X230" s="15" t="str">
        <x:v>Газопостачання промислових котелень. Пошуковий результат веде на індексовану сторінку корпоративного домену: Газопостачання котельні — DIATEC.</x:v>
      </x:c>
      <x:c r="Y230" s="15" t="str">
        <x:v>Трубопроводи, зварні стики, випробування, автоматика й ПНР потребують актів і протоколів до введення.</x:v>
      </x:c>
      <x:c r="Z230" s="15" t="str">
        <x:v>https://prom.diatec.com.ua/gazosnabzhenie-kotelnoj/</x:v>
      </x:c>
      <x:c r="AA230" s="14" t="str"/>
      <x:c r="AB230" s="14" t="str">
        <x:v>2026-08-24</x:v>
      </x:c>
      <x:c r="AC230" s="14" t="str">
        <x:v>Олександр</x:v>
      </x:c>
      <x:c r="AD230" s="18" t="str"/>
      <x:c r="AE230" s="14" t="str"/>
    </x:row>
    <x:row r="231">
      <x:c r="A231" s="14" t="str">
        <x:v>W2-062</x:v>
      </x:c>
      <x:c r="B231" s="14" t="str">
        <x:v>Проєктний сигнал — 24.08</x:v>
      </x:c>
      <x:c r="C231" s="14" t="str">
        <x:v>ПК-ЕМС</x:v>
      </x:c>
      <x:c r="D231" s="14" t="str">
        <x:v>Газопостачання / котельні</x:v>
      </x:c>
      <x:c r="E231" s="14" t="str">
        <x:v>Expansion discovery</x:v>
      </x:c>
      <x:c r="F231" s="17" t="str">
        <x:f>IF(E231="Pilot now",IF(P231&gt;=84,"P1",IF(P231&gt;=72,"P2","P3")),IF(E231="Expansion discovery",IF(Q231&gt;=88,"D1",IF(Q231&gt;=78,"D2","D3")),IF(E231="Later / requirements","L","Legacy")))</x:f>
        <x:v>D1</x:v>
      </x:c>
      <x:c r="G231" s="14" t="str">
        <x:v>pkems.com.ua</x:v>
      </x:c>
      <x:c r="H231" s="14" t="str">
        <x:v>2-тижневий workflow discovery — потрібні вимоги одного проєкту</x:v>
      </x:c>
      <x:c r="I231" s="16" t="n">
        <x:v>1</x:v>
      </x:c>
      <x:c r="J231" s="16" t="n">
        <x:v>5</x:v>
      </x:c>
      <x:c r="K231" s="16" t="n">
        <x:v>5</x:v>
      </x:c>
      <x:c r="L231" s="16" t="n">
        <x:v>4</x:v>
      </x:c>
      <x:c r="M231" s="16" t="n">
        <x:v>5</x:v>
      </x:c>
      <x:c r="N231" s="16" t="n">
        <x:v>5</x:v>
      </x:c>
      <x:c r="O231" s="16" t="n">
        <x:v>5</x:v>
      </x:c>
      <x:c r="P231" s="16" t="n">
        <x:f>IF(COUNT(I231:O231)&lt;7,"",I231*8+J231*3+K231*2+L231*2+M231*2+N231*2+O231)</x:f>
        <x:v>66</x:v>
      </x:c>
      <x:c r="Q231" s="16" t="n">
        <x:f>IF(COUNT(J231:O231)&lt;6,"",J231*5+K231*4+M231*4+L231*3+N231*2+O231*2)</x:f>
        <x:v>97</x:v>
      </x:c>
      <x:c r="R231" s="14" t="str">
        <x:v>high</x:v>
      </x:c>
      <x:c r="S231" s="14" t="str">
        <x:v>google_index_verified_2026-08-24</x:v>
      </x:c>
      <x:c r="T231" s="14" t="str">
        <x:v>indexed_official_service_page</x:v>
      </x:c>
      <x:c r="U231" s="14" t="str">
        <x:v>Новий — не контактували</x:v>
      </x:c>
      <x:c r="V231" s="15" t="str">
        <x:v>2-тижневий discovery: запросити вимоги 1 активного проєкту + 1 знеособлений артефакт</x:v>
      </x:c>
      <x:c r="W231" s="15" t="str">
        <x:v>Директор; головний інженер; керівник ПТО / пусконалагодження</x:v>
      </x:c>
      <x:c r="X231" s="15" t="str">
        <x:v>Портфоліо котелень та енергетичних систем. Пошуковий результат веде на індексовану сторінку корпоративного домену: Проєкти — ПК-ЕМС.</x:v>
      </x:c>
      <x:c r="Y231" s="15" t="str">
        <x:v>Трубопроводи, зварні стики, випробування, автоматика й ПНР потребують актів і протоколів до введення.</x:v>
      </x:c>
      <x:c r="Z231" s="15" t="str">
        <x:v>https://pkems.com.ua/projects</x:v>
      </x:c>
      <x:c r="AA231" s="14" t="str"/>
      <x:c r="AB231" s="14" t="str">
        <x:v>2026-08-24</x:v>
      </x:c>
      <x:c r="AC231" s="14" t="str">
        <x:v>Олександр</x:v>
      </x:c>
      <x:c r="AD231" s="18" t="str"/>
      <x:c r="AE231" s="14" t="str"/>
    </x:row>
    <x:row r="232">
      <x:c r="A232" s="14" t="str">
        <x:v>W2-063</x:v>
      </x:c>
      <x:c r="B232" s="14" t="str">
        <x:v>Проєктний сигнал — 24.08</x:v>
      </x:c>
      <x:c r="C232" s="14" t="str">
        <x:v>ІВК Енергія</x:v>
      </x:c>
      <x:c r="D232" s="14" t="str">
        <x:v>Газопостачання / котельні</x:v>
      </x:c>
      <x:c r="E232" s="14" t="str">
        <x:v>Expansion discovery</x:v>
      </x:c>
      <x:c r="F232" s="17" t="str">
        <x:f>IF(E232="Pilot now",IF(P232&gt;=84,"P1",IF(P232&gt;=72,"P2","P3")),IF(E232="Expansion discovery",IF(Q232&gt;=88,"D1",IF(Q232&gt;=78,"D2","D3")),IF(E232="Later / requirements","L","Legacy")))</x:f>
        <x:v>D1</x:v>
      </x:c>
      <x:c r="G232" s="14" t="str">
        <x:v>energiya.com.ua</x:v>
      </x:c>
      <x:c r="H232" s="14" t="str">
        <x:v>2-тижневий workflow discovery — потрібні вимоги одного проєкту</x:v>
      </x:c>
      <x:c r="I232" s="16" t="n">
        <x:v>1</x:v>
      </x:c>
      <x:c r="J232" s="16" t="n">
        <x:v>5</x:v>
      </x:c>
      <x:c r="K232" s="16" t="n">
        <x:v>5</x:v>
      </x:c>
      <x:c r="L232" s="16" t="n">
        <x:v>4</x:v>
      </x:c>
      <x:c r="M232" s="16" t="n">
        <x:v>5</x:v>
      </x:c>
      <x:c r="N232" s="16" t="n">
        <x:v>5</x:v>
      </x:c>
      <x:c r="O232" s="16" t="n">
        <x:v>3</x:v>
      </x:c>
      <x:c r="P232" s="16" t="n">
        <x:f>IF(COUNT(I232:O232)&lt;7,"",I232*8+J232*3+K232*2+L232*2+M232*2+N232*2+O232)</x:f>
        <x:v>64</x:v>
      </x:c>
      <x:c r="Q232" s="16" t="n">
        <x:f>IF(COUNT(J232:O232)&lt;6,"",J232*5+K232*4+M232*4+L232*3+N232*2+O232*2)</x:f>
        <x:v>93</x:v>
      </x:c>
      <x:c r="R232" s="14" t="str">
        <x:v>medium</x:v>
      </x:c>
      <x:c r="S232" s="14" t="str">
        <x:v>google_index_verified_manual_check_2026-08-24</x:v>
      </x:c>
      <x:c r="T232" s="14" t="str">
        <x:v>indexed_official_page_manual_check</x:v>
      </x:c>
      <x:c r="U232" s="14" t="str">
        <x:v>Новий — не контактували</x:v>
      </x:c>
      <x:c r="V232" s="15" t="str">
        <x:v>2-тижневий discovery: запросити вимоги 1 активного проєкту + 1 знеособлений артефакт</x:v>
      </x:c>
      <x:c r="W232" s="15" t="str">
        <x:v>Директор; головний інженер; керівник ПТО / пусконалагодження</x:v>
      </x:c>
      <x:c r="X232" s="15" t="str">
        <x:v>Проєктування котелень. Пошуковий результат веде на індексовану сторінку корпоративного домену: Проєктування котелень — ІВК Енергія.</x:v>
      </x:c>
      <x:c r="Y232" s="15" t="str">
        <x:v>Трубопроводи, зварні стики, випробування, автоматика й ПНР потребують актів і протоколів до введення.</x:v>
      </x:c>
      <x:c r="Z232" s="15" t="str">
        <x:v>http://www.energiya.com.ua/services/proektirovanie-kotelnyh/</x:v>
      </x:c>
      <x:c r="AA232" s="14" t="str"/>
      <x:c r="AB232" s="14" t="str">
        <x:v>2026-08-24</x:v>
      </x:c>
      <x:c r="AC232" s="14" t="str">
        <x:v>Олександр</x:v>
      </x:c>
      <x:c r="AD232" s="18" t="str"/>
      <x:c r="AE232" s="14" t="str"/>
    </x:row>
    <x:row r="233">
      <x:c r="A233" s="14" t="str">
        <x:v>W2-064</x:v>
      </x:c>
      <x:c r="B233" s="14" t="str">
        <x:v>Проєктний сигнал — 24.08</x:v>
      </x:c>
      <x:c r="C233" s="14" t="str">
        <x:v>Italgaz</x:v>
      </x:c>
      <x:c r="D233" s="14" t="str">
        <x:v>Газопостачання / котельні</x:v>
      </x:c>
      <x:c r="E233" s="14" t="str">
        <x:v>Expansion discovery</x:v>
      </x:c>
      <x:c r="F233" s="17" t="str">
        <x:f>IF(E233="Pilot now",IF(P233&gt;=84,"P1",IF(P233&gt;=72,"P2","P3")),IF(E233="Expansion discovery",IF(Q233&gt;=88,"D1",IF(Q233&gt;=78,"D2","D3")),IF(E233="Later / requirements","L","Legacy")))</x:f>
        <x:v>D1</x:v>
      </x:c>
      <x:c r="G233" s="14" t="str">
        <x:v>italgaz.com.ua</x:v>
      </x:c>
      <x:c r="H233" s="14" t="str">
        <x:v>2-тижневий workflow discovery — потрібні вимоги одного проєкту</x:v>
      </x:c>
      <x:c r="I233" s="16" t="n">
        <x:v>1</x:v>
      </x:c>
      <x:c r="J233" s="16" t="n">
        <x:v>5</x:v>
      </x:c>
      <x:c r="K233" s="16" t="n">
        <x:v>5</x:v>
      </x:c>
      <x:c r="L233" s="16" t="n">
        <x:v>4</x:v>
      </x:c>
      <x:c r="M233" s="16" t="n">
        <x:v>5</x:v>
      </x:c>
      <x:c r="N233" s="16" t="n">
        <x:v>5</x:v>
      </x:c>
      <x:c r="O233" s="16" t="n">
        <x:v>5</x:v>
      </x:c>
      <x:c r="P233" s="16" t="n">
        <x:f>IF(COUNT(I233:O233)&lt;7,"",I233*8+J233*3+K233*2+L233*2+M233*2+N233*2+O233)</x:f>
        <x:v>66</x:v>
      </x:c>
      <x:c r="Q233" s="16" t="n">
        <x:f>IF(COUNT(J233:O233)&lt;6,"",J233*5+K233*4+M233*4+L233*3+N233*2+O233*2)</x:f>
        <x:v>97</x:v>
      </x:c>
      <x:c r="R233" s="14" t="str">
        <x:v>high</x:v>
      </x:c>
      <x:c r="S233" s="14" t="str">
        <x:v>google_index_verified_2026-08-24</x:v>
      </x:c>
      <x:c r="T233" s="14" t="str">
        <x:v>indexed_official_service_page</x:v>
      </x:c>
      <x:c r="U233" s="14" t="str">
        <x:v>Новий — не контактували</x:v>
      </x:c>
      <x:c r="V233" s="15" t="str">
        <x:v>2-тижневий discovery: запросити вимоги 1 активного проєкту + 1 знеособлений артефакт</x:v>
      </x:c>
      <x:c r="W233" s="15" t="str">
        <x:v>Директор; головний інженер; керівник ПТО / пусконалагодження</x:v>
      </x:c>
      <x:c r="X233" s="15" t="str">
        <x:v>Проєктування і монтаж газових котелень. Пошуковий результат веде на індексовану сторінку корпоративного домену: Проєктування та монтаж котелень — Italgaz.</x:v>
      </x:c>
      <x:c r="Y233" s="15" t="str">
        <x:v>Трубопроводи, зварні стики, випробування, автоматика й ПНР потребують актів і протоколів до введення.</x:v>
      </x:c>
      <x:c r="Z233" s="15" t="str">
        <x:v>https://www.italgaz.com.ua/ua/service/design-and-installation-gas-boiler.html</x:v>
      </x:c>
      <x:c r="AA233" s="14" t="str"/>
      <x:c r="AB233" s="14" t="str">
        <x:v>2026-08-24</x:v>
      </x:c>
      <x:c r="AC233" s="14" t="str">
        <x:v>Олександр</x:v>
      </x:c>
      <x:c r="AD233" s="18" t="str"/>
      <x:c r="AE233" s="14" t="str"/>
    </x:row>
    <x:row r="234">
      <x:c r="A234" s="14" t="str">
        <x:v>W2-065</x:v>
      </x:c>
      <x:c r="B234" s="14" t="str">
        <x:v>Проєктний сигнал — 24.08</x:v>
      </x:c>
      <x:c r="C234" s="14" t="str">
        <x:v>ІВЦ Європрилад</x:v>
      </x:c>
      <x:c r="D234" s="14" t="str">
        <x:v>Газопостачання / котельні</x:v>
      </x:c>
      <x:c r="E234" s="14" t="str">
        <x:v>Expansion discovery</x:v>
      </x:c>
      <x:c r="F234" s="17" t="str">
        <x:f>IF(E234="Pilot now",IF(P234&gt;=84,"P1",IF(P234&gt;=72,"P2","P3")),IF(E234="Expansion discovery",IF(Q234&gt;=88,"D1",IF(Q234&gt;=78,"D2","D3")),IF(E234="Later / requirements","L","Legacy")))</x:f>
        <x:v>D1</x:v>
      </x:c>
      <x:c r="G234" s="14" t="str">
        <x:v>europrylad.com</x:v>
      </x:c>
      <x:c r="H234" s="14" t="str">
        <x:v>2-тижневий workflow discovery — потрібні вимоги одного проєкту</x:v>
      </x:c>
      <x:c r="I234" s="16" t="n">
        <x:v>1</x:v>
      </x:c>
      <x:c r="J234" s="16" t="n">
        <x:v>5</x:v>
      </x:c>
      <x:c r="K234" s="16" t="n">
        <x:v>5</x:v>
      </x:c>
      <x:c r="L234" s="16" t="n">
        <x:v>4</x:v>
      </x:c>
      <x:c r="M234" s="16" t="n">
        <x:v>5</x:v>
      </x:c>
      <x:c r="N234" s="16" t="n">
        <x:v>5</x:v>
      </x:c>
      <x:c r="O234" s="16" t="n">
        <x:v>5</x:v>
      </x:c>
      <x:c r="P234" s="16" t="n">
        <x:f>IF(COUNT(I234:O234)&lt;7,"",I234*8+J234*3+K234*2+L234*2+M234*2+N234*2+O234)</x:f>
        <x:v>66</x:v>
      </x:c>
      <x:c r="Q234" s="16" t="n">
        <x:f>IF(COUNT(J234:O234)&lt;6,"",J234*5+K234*4+M234*4+L234*3+N234*2+O234*2)</x:f>
        <x:v>97</x:v>
      </x:c>
      <x:c r="R234" s="14" t="str">
        <x:v>high</x:v>
      </x:c>
      <x:c r="S234" s="14" t="str">
        <x:v>google_index_verified_2026-08-24</x:v>
      </x:c>
      <x:c r="T234" s="14" t="str">
        <x:v>indexed_official_service_page</x:v>
      </x:c>
      <x:c r="U234" s="14" t="str">
        <x:v>Новий — не контактували</x:v>
      </x:c>
      <x:c r="V234" s="15" t="str">
        <x:v>2-тижневий discovery: запросити вимоги 1 активного проєкту + 1 знеособлений артефакт</x:v>
      </x:c>
      <x:c r="W234" s="15" t="str">
        <x:v>Директор; головний інженер; керівник ПТО / пусконалагодження</x:v>
      </x:c>
      <x:c r="X234" s="15" t="str">
        <x:v>Монтаж котелень на різних видах палива. Пошуковий результат веде на індексовану сторінку корпоративного домену: Монтаж котелень — Європрилад.</x:v>
      </x:c>
      <x:c r="Y234" s="15" t="str">
        <x:v>Трубопроводи, зварні стики, випробування, автоматика й ПНР потребують актів і протоколів до введення.</x:v>
      </x:c>
      <x:c r="Z234" s="15" t="str">
        <x:v>https://europrylad.com/ua/8-poslugy/7-montazh-kotelen</x:v>
      </x:c>
      <x:c r="AA234" s="14" t="str"/>
      <x:c r="AB234" s="14" t="str">
        <x:v>2026-08-24</x:v>
      </x:c>
      <x:c r="AC234" s="14" t="str">
        <x:v>Олександр</x:v>
      </x:c>
      <x:c r="AD234" s="18" t="str"/>
      <x:c r="AE234" s="14" t="str"/>
    </x:row>
    <x:row r="235">
      <x:c r="A235" s="14" t="str">
        <x:v>W2-066</x:v>
      </x:c>
      <x:c r="B235" s="14" t="str">
        <x:v>Проєктний сигнал — 24.08</x:v>
      </x:c>
      <x:c r="C235" s="14" t="str">
        <x:v>Енерго-Інвест</x:v>
      </x:c>
      <x:c r="D235" s="14" t="str">
        <x:v>Газопостачання / котельні</x:v>
      </x:c>
      <x:c r="E235" s="14" t="str">
        <x:v>Expansion discovery</x:v>
      </x:c>
      <x:c r="F235" s="17" t="str">
        <x:f>IF(E235="Pilot now",IF(P235&gt;=84,"P1",IF(P235&gt;=72,"P2","P3")),IF(E235="Expansion discovery",IF(Q235&gt;=88,"D1",IF(Q235&gt;=78,"D2","D3")),IF(E235="Later / requirements","L","Legacy")))</x:f>
        <x:v>D1</x:v>
      </x:c>
      <x:c r="G235" s="14" t="str">
        <x:v>energo-invest.com.ua</x:v>
      </x:c>
      <x:c r="H235" s="14" t="str">
        <x:v>2-тижневий workflow discovery — потрібні вимоги одного проєкту</x:v>
      </x:c>
      <x:c r="I235" s="16" t="n">
        <x:v>1</x:v>
      </x:c>
      <x:c r="J235" s="16" t="n">
        <x:v>5</x:v>
      </x:c>
      <x:c r="K235" s="16" t="n">
        <x:v>5</x:v>
      </x:c>
      <x:c r="L235" s="16" t="n">
        <x:v>4</x:v>
      </x:c>
      <x:c r="M235" s="16" t="n">
        <x:v>5</x:v>
      </x:c>
      <x:c r="N235" s="16" t="n">
        <x:v>5</x:v>
      </x:c>
      <x:c r="O235" s="16" t="n">
        <x:v>3</x:v>
      </x:c>
      <x:c r="P235" s="16" t="n">
        <x:f>IF(COUNT(I235:O235)&lt;7,"",I235*8+J235*3+K235*2+L235*2+M235*2+N235*2+O235)</x:f>
        <x:v>64</x:v>
      </x:c>
      <x:c r="Q235" s="16" t="n">
        <x:f>IF(COUNT(J235:O235)&lt;6,"",J235*5+K235*4+M235*4+L235*3+N235*2+O235*2)</x:f>
        <x:v>93</x:v>
      </x:c>
      <x:c r="R235" s="14" t="str">
        <x:v>medium</x:v>
      </x:c>
      <x:c r="S235" s="14" t="str">
        <x:v>google_index_verified_manual_check_2026-08-24</x:v>
      </x:c>
      <x:c r="T235" s="14" t="str">
        <x:v>indexed_official_page_manual_check</x:v>
      </x:c>
      <x:c r="U235" s="14" t="str">
        <x:v>Новий — не контактували</x:v>
      </x:c>
      <x:c r="V235" s="15" t="str">
        <x:v>2-тижневий discovery: запросити вимоги 1 активного проєкту + 1 знеособлений артефакт</x:v>
      </x:c>
      <x:c r="W235" s="15" t="str">
        <x:v>Директор; головний інженер; керівник ПТО / пусконалагодження</x:v>
      </x:c>
      <x:c r="X235" s="15" t="str">
        <x:v>Проєктування теплопостачання. Пошуковий результат веде на індексовану сторінку корпоративного домену: Теплопостачання та опалення — Енерго-Інвест.</x:v>
      </x:c>
      <x:c r="Y235" s="15" t="str">
        <x:v>Трубопроводи, зварні стики, випробування, автоматика й ПНР потребують актів і протоколів до введення.</x:v>
      </x:c>
      <x:c r="Z235" s="15" t="str">
        <x:v>http://www.energo-invest.com.ua/designing/heating/</x:v>
      </x:c>
      <x:c r="AA235" s="14" t="str"/>
      <x:c r="AB235" s="14" t="str">
        <x:v>2026-08-24</x:v>
      </x:c>
      <x:c r="AC235" s="14" t="str">
        <x:v>Олександр</x:v>
      </x:c>
      <x:c r="AD235" s="18" t="str"/>
      <x:c r="AE235" s="14" t="str"/>
    </x:row>
    <x:row r="236">
      <x:c r="A236" s="14" t="str">
        <x:v>W2-067</x:v>
      </x:c>
      <x:c r="B236" s="14" t="str">
        <x:v>Проєктний сигнал — 24.08</x:v>
      </x:c>
      <x:c r="C236" s="14" t="str">
        <x:v>Тестрайт</x:v>
      </x:c>
      <x:c r="D236" s="14" t="str">
        <x:v>Газопостачання / котельні</x:v>
      </x:c>
      <x:c r="E236" s="14" t="str">
        <x:v>Expansion discovery</x:v>
      </x:c>
      <x:c r="F236" s="17" t="str">
        <x:f>IF(E236="Pilot now",IF(P236&gt;=84,"P1",IF(P236&gt;=72,"P2","P3")),IF(E236="Expansion discovery",IF(Q236&gt;=88,"D1",IF(Q236&gt;=78,"D2","D3")),IF(E236="Later / requirements","L","Legacy")))</x:f>
        <x:v>D1</x:v>
      </x:c>
      <x:c r="G236" s="14" t="str">
        <x:v>testrite.com.ua</x:v>
      </x:c>
      <x:c r="H236" s="14" t="str">
        <x:v>2-тижневий workflow discovery — потрібні вимоги одного проєкту</x:v>
      </x:c>
      <x:c r="I236" s="16" t="n">
        <x:v>1</x:v>
      </x:c>
      <x:c r="J236" s="16" t="n">
        <x:v>5</x:v>
      </x:c>
      <x:c r="K236" s="16" t="n">
        <x:v>5</x:v>
      </x:c>
      <x:c r="L236" s="16" t="n">
        <x:v>4</x:v>
      </x:c>
      <x:c r="M236" s="16" t="n">
        <x:v>5</x:v>
      </x:c>
      <x:c r="N236" s="16" t="n">
        <x:v>5</x:v>
      </x:c>
      <x:c r="O236" s="16" t="n">
        <x:v>5</x:v>
      </x:c>
      <x:c r="P236" s="16" t="n">
        <x:f>IF(COUNT(I236:O236)&lt;7,"",I236*8+J236*3+K236*2+L236*2+M236*2+N236*2+O236)</x:f>
        <x:v>66</x:v>
      </x:c>
      <x:c r="Q236" s="16" t="n">
        <x:f>IF(COUNT(J236:O236)&lt;6,"",J236*5+K236*4+M236*4+L236*3+N236*2+O236*2)</x:f>
        <x:v>97</x:v>
      </x:c>
      <x:c r="R236" s="14" t="str">
        <x:v>high</x:v>
      </x:c>
      <x:c r="S236" s="14" t="str">
        <x:v>google_index_verified_2026-08-24</x:v>
      </x:c>
      <x:c r="T236" s="14" t="str">
        <x:v>indexed_official_service_page</x:v>
      </x:c>
      <x:c r="U236" s="14" t="str">
        <x:v>Новий — не контактували</x:v>
      </x:c>
      <x:c r="V236" s="15" t="str">
        <x:v>2-тижневий discovery: запросити вимоги 1 активного проєкту + 1 знеособлений артефакт</x:v>
      </x:c>
      <x:c r="W236" s="15" t="str">
        <x:v>Директор; головний інженер; керівник ПТО / пусконалагодження</x:v>
      </x:c>
      <x:c r="X236" s="15" t="str">
        <x:v>Газопостачання від проєкту до монтажу. Пошуковий результат веде на індексовану сторінку корпоративного домену: Автономне газопостачання — Тестрайт.</x:v>
      </x:c>
      <x:c r="Y236" s="15" t="str">
        <x:v>Трубопроводи, зварні стики, випробування, автоматика й ПНР потребують актів і протоколів до введення.</x:v>
      </x:c>
      <x:c r="Z236" s="15" t="str">
        <x:v>https://www.testrite.com.ua/ua/avtonomnoe-gazosnabjenye-doma.php</x:v>
      </x:c>
      <x:c r="AA236" s="14" t="str"/>
      <x:c r="AB236" s="14" t="str">
        <x:v>2026-08-24</x:v>
      </x:c>
      <x:c r="AC236" s="14" t="str">
        <x:v>Олександр</x:v>
      </x:c>
      <x:c r="AD236" s="18" t="str"/>
      <x:c r="AE236" s="14" t="str"/>
    </x:row>
    <x:row r="237">
      <x:c r="A237" s="14" t="str">
        <x:v>W2-068</x:v>
      </x:c>
      <x:c r="B237" s="14" t="str">
        <x:v>Проєктний сигнал — 24.08</x:v>
      </x:c>
      <x:c r="C237" s="14" t="str">
        <x:v>Gaz-Med</x:v>
      </x:c>
      <x:c r="D237" s="14" t="str">
        <x:v>Медичні гази</x:v>
      </x:c>
      <x:c r="E237" s="14" t="str">
        <x:v>Expansion discovery</x:v>
      </x:c>
      <x:c r="F237" s="17" t="str">
        <x:f>IF(E237="Pilot now",IF(P237&gt;=84,"P1",IF(P237&gt;=72,"P2","P3")),IF(E237="Expansion discovery",IF(Q237&gt;=88,"D1",IF(Q237&gt;=78,"D2","D3")),IF(E237="Later / requirements","L","Legacy")))</x:f>
        <x:v>D1</x:v>
      </x:c>
      <x:c r="G237" s="14" t="str">
        <x:v>gaz-med.com.ua</x:v>
      </x:c>
      <x:c r="H237" s="14" t="str">
        <x:v>2-тижневий workflow discovery — потрібні вимоги одного проєкту</x:v>
      </x:c>
      <x:c r="I237" s="16" t="n">
        <x:v>1</x:v>
      </x:c>
      <x:c r="J237" s="16" t="n">
        <x:v>5</x:v>
      </x:c>
      <x:c r="K237" s="16" t="n">
        <x:v>5</x:v>
      </x:c>
      <x:c r="L237" s="16" t="n">
        <x:v>4</x:v>
      </x:c>
      <x:c r="M237" s="16" t="n">
        <x:v>5</x:v>
      </x:c>
      <x:c r="N237" s="16" t="n">
        <x:v>5</x:v>
      </x:c>
      <x:c r="O237" s="16" t="n">
        <x:v>5</x:v>
      </x:c>
      <x:c r="P237" s="16" t="n">
        <x:f>IF(COUNT(I237:O237)&lt;7,"",I237*8+J237*3+K237*2+L237*2+M237*2+N237*2+O237)</x:f>
        <x:v>66</x:v>
      </x:c>
      <x:c r="Q237" s="16" t="n">
        <x:f>IF(COUNT(J237:O237)&lt;6,"",J237*5+K237*4+M237*4+L237*3+N237*2+O237*2)</x:f>
        <x:v>97</x:v>
      </x:c>
      <x:c r="R237" s="14" t="str">
        <x:v>high</x:v>
      </x:c>
      <x:c r="S237" s="14" t="str">
        <x:v>google_index_verified_2026-08-24</x:v>
      </x:c>
      <x:c r="T237" s="14" t="str">
        <x:v>indexed_official_service_page</x:v>
      </x:c>
      <x:c r="U237" s="14" t="str">
        <x:v>Новий — не контактували</x:v>
      </x:c>
      <x:c r="V237" s="15" t="str">
        <x:v>2-тижневий discovery: запросити вимоги 1 активного проєкту + 1 знеособлений артефакт</x:v>
      </x:c>
      <x:c r="W237" s="15" t="str">
        <x:v>Комерційний директор; керівник проєктів; ПТО / відповідальний за якість</x:v>
      </x:c>
      <x:c r="X237" s="15" t="str">
        <x:v>Портфоліо систем медичних газів. Пошуковий результат веде на індексовану сторінку корпоративного домену: Реалізовані проєкти медичного газопостачання — Gaz-Med.</x:v>
      </x:c>
      <x:c r="Y237" s="15" t="str">
        <x:v>Мідні трубопроводи, пайка, маркування, чистота, випробування й валідація утворюють критичний приймальний пакет.</x:v>
      </x:c>
      <x:c r="Z237" s="15" t="str">
        <x:v>https://gaz-med.com.ua/realizovani-proekty/</x:v>
      </x:c>
      <x:c r="AA237" s="14" t="str"/>
      <x:c r="AB237" s="14" t="str">
        <x:v>2026-08-24</x:v>
      </x:c>
      <x:c r="AC237" s="14" t="str">
        <x:v>Олександр</x:v>
      </x:c>
      <x:c r="AD237" s="18" t="str"/>
      <x:c r="AE237" s="14" t="str"/>
    </x:row>
    <x:row r="238">
      <x:c r="A238" s="14" t="str">
        <x:v>W2-069</x:v>
      </x:c>
      <x:c r="B238" s="14" t="str">
        <x:v>Проєктний сигнал — 24.08</x:v>
      </x:c>
      <x:c r="C238" s="14" t="str">
        <x:v>СпецКиївБуд Medical</x:v>
      </x:c>
      <x:c r="D238" s="14" t="str">
        <x:v>Медичні гази</x:v>
      </x:c>
      <x:c r="E238" s="14" t="str">
        <x:v>Expansion discovery</x:v>
      </x:c>
      <x:c r="F238" s="17" t="str">
        <x:f>IF(E238="Pilot now",IF(P238&gt;=84,"P1",IF(P238&gt;=72,"P2","P3")),IF(E238="Expansion discovery",IF(Q238&gt;=88,"D1",IF(Q238&gt;=78,"D2","D3")),IF(E238="Later / requirements","L","Legacy")))</x:f>
        <x:v>D1</x:v>
      </x:c>
      <x:c r="G238" s="14" t="str">
        <x:v>medical.skb.kiev.ua</x:v>
      </x:c>
      <x:c r="H238" s="14" t="str">
        <x:v>2-тижневий workflow discovery — потрібні вимоги одного проєкту</x:v>
      </x:c>
      <x:c r="I238" s="16" t="n">
        <x:v>1</x:v>
      </x:c>
      <x:c r="J238" s="16" t="n">
        <x:v>5</x:v>
      </x:c>
      <x:c r="K238" s="16" t="n">
        <x:v>5</x:v>
      </x:c>
      <x:c r="L238" s="16" t="n">
        <x:v>4</x:v>
      </x:c>
      <x:c r="M238" s="16" t="n">
        <x:v>5</x:v>
      </x:c>
      <x:c r="N238" s="16" t="n">
        <x:v>5</x:v>
      </x:c>
      <x:c r="O238" s="16" t="n">
        <x:v>5</x:v>
      </x:c>
      <x:c r="P238" s="16" t="n">
        <x:f>IF(COUNT(I238:O238)&lt;7,"",I238*8+J238*3+K238*2+L238*2+M238*2+N238*2+O238)</x:f>
        <x:v>66</x:v>
      </x:c>
      <x:c r="Q238" s="16" t="n">
        <x:f>IF(COUNT(J238:O238)&lt;6,"",J238*5+K238*4+M238*4+L238*3+N238*2+O238*2)</x:f>
        <x:v>97</x:v>
      </x:c>
      <x:c r="R238" s="14" t="str">
        <x:v>high</x:v>
      </x:c>
      <x:c r="S238" s="14" t="str">
        <x:v>google_index_verified_2026-08-24</x:v>
      </x:c>
      <x:c r="T238" s="14" t="str">
        <x:v>indexed_official_service_page</x:v>
      </x:c>
      <x:c r="U238" s="14" t="str">
        <x:v>Новий — не контактували</x:v>
      </x:c>
      <x:c r="V238" s="15" t="str">
        <x:v>2-тижневий discovery: запросити вимоги 1 активного проєкту + 1 знеособлений артефакт</x:v>
      </x:c>
      <x:c r="W238" s="15" t="str">
        <x:v>Комерційний директор; керівник проєктів; ПТО / відповідальний за якість</x:v>
      </x:c>
      <x:c r="X238" s="15" t="str">
        <x:v>Проєктування і монтаж медичних газів. Пошуковий результат веде на індексовану сторінку корпоративного домену: Медичне газопостачання — СпецКиївБуд Medical.</x:v>
      </x:c>
      <x:c r="Y238" s="15" t="str">
        <x:v>Мідні трубопроводи, пайка, маркування, чистота, випробування й валідація утворюють критичний приймальний пакет.</x:v>
      </x:c>
      <x:c r="Z238" s="15" t="str">
        <x:v>https://medical.skb.kiev.ua/posluhy-medychne-hazopostachannia/</x:v>
      </x:c>
      <x:c r="AA238" s="14" t="str"/>
      <x:c r="AB238" s="14" t="str">
        <x:v>2026-08-24</x:v>
      </x:c>
      <x:c r="AC238" s="14" t="str">
        <x:v>Олександр</x:v>
      </x:c>
      <x:c r="AD238" s="18" t="str"/>
      <x:c r="AE238" s="14" t="str"/>
    </x:row>
    <x:row r="239">
      <x:c r="A239" s="14" t="str">
        <x:v>W2-070</x:v>
      </x:c>
      <x:c r="B239" s="14" t="str">
        <x:v>Проєктний сигнал — 24.08</x:v>
      </x:c>
      <x:c r="C239" s="14" t="str">
        <x:v>WestMed</x:v>
      </x:c>
      <x:c r="D239" s="14" t="str">
        <x:v>Медичні гази</x:v>
      </x:c>
      <x:c r="E239" s="14" t="str">
        <x:v>Expansion discovery</x:v>
      </x:c>
      <x:c r="F239" s="17" t="str">
        <x:f>IF(E239="Pilot now",IF(P239&gt;=84,"P1",IF(P239&gt;=72,"P2","P3")),IF(E239="Expansion discovery",IF(Q239&gt;=88,"D1",IF(Q239&gt;=78,"D2","D3")),IF(E239="Later / requirements","L","Legacy")))</x:f>
        <x:v>D1</x:v>
      </x:c>
      <x:c r="G239" s="14" t="str">
        <x:v>westmed.com.ua</x:v>
      </x:c>
      <x:c r="H239" s="14" t="str">
        <x:v>2-тижневий workflow discovery — потрібні вимоги одного проєкту</x:v>
      </x:c>
      <x:c r="I239" s="16" t="n">
        <x:v>1</x:v>
      </x:c>
      <x:c r="J239" s="16" t="n">
        <x:v>5</x:v>
      </x:c>
      <x:c r="K239" s="16" t="n">
        <x:v>5</x:v>
      </x:c>
      <x:c r="L239" s="16" t="n">
        <x:v>4</x:v>
      </x:c>
      <x:c r="M239" s="16" t="n">
        <x:v>5</x:v>
      </x:c>
      <x:c r="N239" s="16" t="n">
        <x:v>5</x:v>
      </x:c>
      <x:c r="O239" s="16" t="n">
        <x:v>5</x:v>
      </x:c>
      <x:c r="P239" s="16" t="n">
        <x:f>IF(COUNT(I239:O239)&lt;7,"",I239*8+J239*3+K239*2+L239*2+M239*2+N239*2+O239)</x:f>
        <x:v>66</x:v>
      </x:c>
      <x:c r="Q239" s="16" t="n">
        <x:f>IF(COUNT(J239:O239)&lt;6,"",J239*5+K239*4+M239*4+L239*3+N239*2+O239*2)</x:f>
        <x:v>97</x:v>
      </x:c>
      <x:c r="R239" s="14" t="str">
        <x:v>high</x:v>
      </x:c>
      <x:c r="S239" s="14" t="str">
        <x:v>google_index_verified_2026-08-24</x:v>
      </x:c>
      <x:c r="T239" s="14" t="str">
        <x:v>indexed_official_service_page</x:v>
      </x:c>
      <x:c r="U239" s="14" t="str">
        <x:v>Новий — не контактували</x:v>
      </x:c>
      <x:c r="V239" s="15" t="str">
        <x:v>2-тижневий discovery: запросити вимоги 1 активного проєкту + 1 знеособлений артефакт</x:v>
      </x:c>
      <x:c r="W239" s="15" t="str">
        <x:v>Комерційний директор; керівник проєктів; ПТО / відповідальний за якість</x:v>
      </x:c>
      <x:c r="X239" s="15" t="str">
        <x:v>Проєктування медичних газів. Пошуковий результат веде на індексовану сторінку корпоративного домену: Проєктування систем медичного газопостачання — WestMed.</x:v>
      </x:c>
      <x:c r="Y239" s="15" t="str">
        <x:v>Мідні трубопроводи, пайка, маркування, чистота, випробування й валідація утворюють критичний приймальний пакет.</x:v>
      </x:c>
      <x:c r="Z239" s="15" t="str">
        <x:v>https://westmed.com.ua/proektuvannya-medychnyh-zakladiv/</x:v>
      </x:c>
      <x:c r="AA239" s="14" t="str"/>
      <x:c r="AB239" s="14" t="str">
        <x:v>2026-08-24</x:v>
      </x:c>
      <x:c r="AC239" s="14" t="str">
        <x:v>Олександр</x:v>
      </x:c>
      <x:c r="AD239" s="18" t="str"/>
      <x:c r="AE239" s="14" t="str"/>
    </x:row>
    <x:row r="240">
      <x:c r="A240" s="14" t="str">
        <x:v>W2-071</x:v>
      </x:c>
      <x:c r="B240" s="14" t="str">
        <x:v>Проєктний сигнал — 24.08</x:v>
      </x:c>
      <x:c r="C240" s="14" t="str">
        <x:v>Мегасан-Україна</x:v>
      </x:c>
      <x:c r="D240" s="14" t="str">
        <x:v>Медичні гази</x:v>
      </x:c>
      <x:c r="E240" s="14" t="str">
        <x:v>Expansion discovery</x:v>
      </x:c>
      <x:c r="F240" s="17" t="str">
        <x:f>IF(E240="Pilot now",IF(P240&gt;=84,"P1",IF(P240&gt;=72,"P2","P3")),IF(E240="Expansion discovery",IF(Q240&gt;=88,"D1",IF(Q240&gt;=78,"D2","D3")),IF(E240="Later / requirements","L","Legacy")))</x:f>
        <x:v>D1</x:v>
      </x:c>
      <x:c r="G240" s="14" t="str">
        <x:v>megasanukraine.com.ua</x:v>
      </x:c>
      <x:c r="H240" s="14" t="str">
        <x:v>2-тижневий workflow discovery — потрібні вимоги одного проєкту</x:v>
      </x:c>
      <x:c r="I240" s="16" t="n">
        <x:v>1</x:v>
      </x:c>
      <x:c r="J240" s="16" t="n">
        <x:v>5</x:v>
      </x:c>
      <x:c r="K240" s="16" t="n">
        <x:v>5</x:v>
      </x:c>
      <x:c r="L240" s="16" t="n">
        <x:v>4</x:v>
      </x:c>
      <x:c r="M240" s="16" t="n">
        <x:v>5</x:v>
      </x:c>
      <x:c r="N240" s="16" t="n">
        <x:v>5</x:v>
      </x:c>
      <x:c r="O240" s="16" t="n">
        <x:v>5</x:v>
      </x:c>
      <x:c r="P240" s="16" t="n">
        <x:f>IF(COUNT(I240:O240)&lt;7,"",I240*8+J240*3+K240*2+L240*2+M240*2+N240*2+O240)</x:f>
        <x:v>66</x:v>
      </x:c>
      <x:c r="Q240" s="16" t="n">
        <x:f>IF(COUNT(J240:O240)&lt;6,"",J240*5+K240*4+M240*4+L240*3+N240*2+O240*2)</x:f>
        <x:v>97</x:v>
      </x:c>
      <x:c r="R240" s="14" t="str">
        <x:v>high</x:v>
      </x:c>
      <x:c r="S240" s="14" t="str">
        <x:v>google_index_verified_2026-08-24</x:v>
      </x:c>
      <x:c r="T240" s="14" t="str">
        <x:v>indexed_official_service_page</x:v>
      </x:c>
      <x:c r="U240" s="14" t="str">
        <x:v>Новий — не контактували</x:v>
      </x:c>
      <x:c r="V240" s="15" t="str">
        <x:v>2-тижневий discovery: запросити вимоги 1 активного проєкту + 1 знеособлений артефакт</x:v>
      </x:c>
      <x:c r="W240" s="15" t="str">
        <x:v>Комерційний директор; керівник проєктів; ПТО / відповідальний за якість</x:v>
      </x:c>
      <x:c r="X240" s="15" t="str">
        <x:v>Проєктування систем медичних газів. Пошуковий результат веде на індексовану сторінку корпоративного домену: Проєктування — Мегасан-Україна.</x:v>
      </x:c>
      <x:c r="Y240" s="15" t="str">
        <x:v>Мідні трубопроводи, пайка, маркування, чистота, випробування й валідація утворюють критичний приймальний пакет.</x:v>
      </x:c>
      <x:c r="Z240" s="15" t="str">
        <x:v>https://megasanukraine.com.ua/proektuvannya</x:v>
      </x:c>
      <x:c r="AA240" s="14" t="str"/>
      <x:c r="AB240" s="14" t="str">
        <x:v>2026-08-24</x:v>
      </x:c>
      <x:c r="AC240" s="14" t="str">
        <x:v>Олександр</x:v>
      </x:c>
      <x:c r="AD240" s="18" t="str"/>
      <x:c r="AE240" s="14" t="str"/>
    </x:row>
    <x:row r="241">
      <x:c r="A241" s="14" t="str">
        <x:v>W2-072</x:v>
      </x:c>
      <x:c r="B241" s="14" t="str">
        <x:v>Проєктний сигнал — 24.08</x:v>
      </x:c>
      <x:c r="C241" s="14" t="str">
        <x:v>Віола Медтехніка</x:v>
      </x:c>
      <x:c r="D241" s="14" t="str">
        <x:v>Медичні гази</x:v>
      </x:c>
      <x:c r="E241" s="14" t="str">
        <x:v>Expansion discovery</x:v>
      </x:c>
      <x:c r="F241" s="17" t="str">
        <x:f>IF(E241="Pilot now",IF(P241&gt;=84,"P1",IF(P241&gt;=72,"P2","P3")),IF(E241="Expansion discovery",IF(Q241&gt;=88,"D1",IF(Q241&gt;=78,"D2","D3")),IF(E241="Later / requirements","L","Legacy")))</x:f>
        <x:v>D1</x:v>
      </x:c>
      <x:c r="G241" s="14" t="str">
        <x:v>viola.net.ua</x:v>
      </x:c>
      <x:c r="H241" s="14" t="str">
        <x:v>2-тижневий workflow discovery — потрібні вимоги одного проєкту</x:v>
      </x:c>
      <x:c r="I241" s="16" t="n">
        <x:v>1</x:v>
      </x:c>
      <x:c r="J241" s="16" t="n">
        <x:v>5</x:v>
      </x:c>
      <x:c r="K241" s="16" t="n">
        <x:v>5</x:v>
      </x:c>
      <x:c r="L241" s="16" t="n">
        <x:v>4</x:v>
      </x:c>
      <x:c r="M241" s="16" t="n">
        <x:v>5</x:v>
      </x:c>
      <x:c r="N241" s="16" t="n">
        <x:v>5</x:v>
      </x:c>
      <x:c r="O241" s="16" t="n">
        <x:v>5</x:v>
      </x:c>
      <x:c r="P241" s="16" t="n">
        <x:f>IF(COUNT(I241:O241)&lt;7,"",I241*8+J241*3+K241*2+L241*2+M241*2+N241*2+O241)</x:f>
        <x:v>66</x:v>
      </x:c>
      <x:c r="Q241" s="16" t="n">
        <x:f>IF(COUNT(J241:O241)&lt;6,"",J241*5+K241*4+M241*4+L241*3+N241*2+O241*2)</x:f>
        <x:v>97</x:v>
      </x:c>
      <x:c r="R241" s="14" t="str">
        <x:v>high</x:v>
      </x:c>
      <x:c r="S241" s="14" t="str">
        <x:v>google_index_verified_2026-08-24</x:v>
      </x:c>
      <x:c r="T241" s="14" t="str">
        <x:v>indexed_official_service_page</x:v>
      </x:c>
      <x:c r="U241" s="14" t="str">
        <x:v>Новий — не контактували</x:v>
      </x:c>
      <x:c r="V241" s="15" t="str">
        <x:v>2-тижневий discovery: запросити вимоги 1 активного проєкту + 1 знеособлений артефакт</x:v>
      </x:c>
      <x:c r="W241" s="15" t="str">
        <x:v>Комерційний директор; керівник проєктів; ПТО / відповідальний за якість</x:v>
      </x:c>
      <x:c r="X241" s="15" t="str">
        <x:v>Реконструкція систем медичних газів. Пошуковий результат веде на індексовану сторінку корпоративного домену: Проєктування та монтаж медичних газів — Віола.</x:v>
      </x:c>
      <x:c r="Y241" s="15" t="str">
        <x:v>Мідні трубопроводи, пайка, маркування, чистота, випробування й валідація утворюють критичний приймальний пакет.</x:v>
      </x:c>
      <x:c r="Z241" s="15" t="str">
        <x:v>https://viola.net.ua/ua/rekonstrukc%D1%96ya-sistem-medichnih-gaz%D1%96v</x:v>
      </x:c>
      <x:c r="AA241" s="14" t="str"/>
      <x:c r="AB241" s="14" t="str">
        <x:v>2026-08-24</x:v>
      </x:c>
      <x:c r="AC241" s="14" t="str">
        <x:v>Олександр</x:v>
      </x:c>
      <x:c r="AD241" s="18" t="str"/>
      <x:c r="AE241" s="14" t="str"/>
    </x:row>
    <x:row r="242">
      <x:c r="A242" s="14" t="str">
        <x:v>W2-073</x:v>
      </x:c>
      <x:c r="B242" s="14" t="str">
        <x:v>Проєктний сигнал — 24.08</x:v>
      </x:c>
      <x:c r="C242" s="14" t="str">
        <x:v>DM Project</x:v>
      </x:c>
      <x:c r="D242" s="14" t="str">
        <x:v>Медичні гази</x:v>
      </x:c>
      <x:c r="E242" s="14" t="str">
        <x:v>Expansion discovery</x:v>
      </x:c>
      <x:c r="F242" s="17" t="str">
        <x:f>IF(E242="Pilot now",IF(P242&gt;=84,"P1",IF(P242&gt;=72,"P2","P3")),IF(E242="Expansion discovery",IF(Q242&gt;=88,"D1",IF(Q242&gt;=78,"D2","D3")),IF(E242="Later / requirements","L","Legacy")))</x:f>
        <x:v>D1</x:v>
      </x:c>
      <x:c r="G242" s="14" t="str">
        <x:v>dm-project.com.ua</x:v>
      </x:c>
      <x:c r="H242" s="14" t="str">
        <x:v>2-тижневий workflow discovery — потрібні вимоги одного проєкту</x:v>
      </x:c>
      <x:c r="I242" s="16" t="n">
        <x:v>1</x:v>
      </x:c>
      <x:c r="J242" s="16" t="n">
        <x:v>5</x:v>
      </x:c>
      <x:c r="K242" s="16" t="n">
        <x:v>5</x:v>
      </x:c>
      <x:c r="L242" s="16" t="n">
        <x:v>4</x:v>
      </x:c>
      <x:c r="M242" s="16" t="n">
        <x:v>5</x:v>
      </x:c>
      <x:c r="N242" s="16" t="n">
        <x:v>5</x:v>
      </x:c>
      <x:c r="O242" s="16" t="n">
        <x:v>4</x:v>
      </x:c>
      <x:c r="P242" s="16" t="n">
        <x:f>IF(COUNT(I242:O242)&lt;7,"",I242*8+J242*3+K242*2+L242*2+M242*2+N242*2+O242)</x:f>
        <x:v>65</x:v>
      </x:c>
      <x:c r="Q242" s="16" t="n">
        <x:f>IF(COUNT(J242:O242)&lt;6,"",J242*5+K242*4+M242*4+L242*3+N242*2+O242*2)</x:f>
        <x:v>95</x:v>
      </x:c>
      <x:c r="R242" s="14" t="str">
        <x:v>medium</x:v>
      </x:c>
      <x:c r="S242" s="14" t="str">
        <x:v>google_index_verified_manual_check_2026-08-24</x:v>
      </x:c>
      <x:c r="T242" s="14" t="str">
        <x:v>indexed_official_page_manual_check</x:v>
      </x:c>
      <x:c r="U242" s="14" t="str">
        <x:v>Новий — не контактували</x:v>
      </x:c>
      <x:c r="V242" s="15" t="str">
        <x:v>2-тижневий discovery: запросити вимоги 1 активного проєкту + 1 знеособлений артефакт</x:v>
      </x:c>
      <x:c r="W242" s="15" t="str">
        <x:v>Комерційний директор; керівник проєктів; ПТО / відповідальний за якість</x:v>
      </x:c>
      <x:c r="X242" s="15" t="str">
        <x:v>Проєктування та реалізація медичних інженерних систем. Пошуковий результат веде на індексовану сторінку корпоративного домену: DM Project.</x:v>
      </x:c>
      <x:c r="Y242" s="15" t="str">
        <x:v>Мідні трубопроводи, пайка, маркування, чистота, випробування й валідація утворюють критичний приймальний пакет.</x:v>
      </x:c>
      <x:c r="Z242" s="15" t="str">
        <x:v>https://dm-project.com.ua/</x:v>
      </x:c>
      <x:c r="AA242" s="14" t="str"/>
      <x:c r="AB242" s="14" t="str">
        <x:v>2026-08-24</x:v>
      </x:c>
      <x:c r="AC242" s="14" t="str">
        <x:v>Олександр</x:v>
      </x:c>
      <x:c r="AD242" s="18" t="str"/>
      <x:c r="AE242" s="14" t="str"/>
    </x:row>
    <x:row r="243">
      <x:c r="A243" s="14" t="str">
        <x:v>W2-074</x:v>
      </x:c>
      <x:c r="B243" s="14" t="str">
        <x:v>Проєктний сигнал — 24.08</x:v>
      </x:c>
      <x:c r="C243" s="14" t="str">
        <x:v>Cryo-TM</x:v>
      </x:c>
      <x:c r="D243" s="14" t="str">
        <x:v>Медичні гази</x:v>
      </x:c>
      <x:c r="E243" s="14" t="str">
        <x:v>Expansion discovery</x:v>
      </x:c>
      <x:c r="F243" s="17" t="str">
        <x:f>IF(E243="Pilot now",IF(P243&gt;=84,"P1",IF(P243&gt;=72,"P2","P3")),IF(E243="Expansion discovery",IF(Q243&gt;=88,"D1",IF(Q243&gt;=78,"D2","D3")),IF(E243="Later / requirements","L","Legacy")))</x:f>
        <x:v>D1</x:v>
      </x:c>
      <x:c r="G243" s="14" t="str">
        <x:v>cryo-tm.com.ua</x:v>
      </x:c>
      <x:c r="H243" s="14" t="str">
        <x:v>2-тижневий workflow discovery — потрібні вимоги одного проєкту</x:v>
      </x:c>
      <x:c r="I243" s="16" t="n">
        <x:v>1</x:v>
      </x:c>
      <x:c r="J243" s="16" t="n">
        <x:v>5</x:v>
      </x:c>
      <x:c r="K243" s="16" t="n">
        <x:v>5</x:v>
      </x:c>
      <x:c r="L243" s="16" t="n">
        <x:v>4</x:v>
      </x:c>
      <x:c r="M243" s="16" t="n">
        <x:v>5</x:v>
      </x:c>
      <x:c r="N243" s="16" t="n">
        <x:v>5</x:v>
      </x:c>
      <x:c r="O243" s="16" t="n">
        <x:v>5</x:v>
      </x:c>
      <x:c r="P243" s="16" t="n">
        <x:f>IF(COUNT(I243:O243)&lt;7,"",I243*8+J243*3+K243*2+L243*2+M243*2+N243*2+O243)</x:f>
        <x:v>66</x:v>
      </x:c>
      <x:c r="Q243" s="16" t="n">
        <x:f>IF(COUNT(J243:O243)&lt;6,"",J243*5+K243*4+M243*4+L243*3+N243*2+O243*2)</x:f>
        <x:v>97</x:v>
      </x:c>
      <x:c r="R243" s="14" t="str">
        <x:v>high</x:v>
      </x:c>
      <x:c r="S243" s="14" t="str">
        <x:v>google_index_verified_2026-08-24</x:v>
      </x:c>
      <x:c r="T243" s="14" t="str">
        <x:v>indexed_official_service_page</x:v>
      </x:c>
      <x:c r="U243" s="14" t="str">
        <x:v>Новий — не контактували</x:v>
      </x:c>
      <x:c r="V243" s="15" t="str">
        <x:v>2-тижневий discovery: запросити вимоги 1 активного проєкту + 1 знеособлений артефакт</x:v>
      </x:c>
      <x:c r="W243" s="15" t="str">
        <x:v>Комерційний директор; керівник проєктів; ПТО / відповідальний за якість</x:v>
      </x:c>
      <x:c r="X243" s="15" t="str">
        <x:v>Комплексне медичне газопостачання. Пошуковий результат веде на індексовану сторінку корпоративного домену: Комплексне оснащення медичними газами — Cryo-TM.</x:v>
      </x:c>
      <x:c r="Y243" s="15" t="str">
        <x:v>Мідні трубопроводи, пайка, маркування, чистота, випробування й валідація утворюють критичний приймальний пакет.</x:v>
      </x:c>
      <x:c r="Z243" s="15" t="str">
        <x:v>https://cryo-tm.com.ua/uk/kompleksne-osnasshennya-sistemami-medichnogo-gazopostachannya/716-kompleksnoe-osnasshenie-sistemami-medicinskogo-gazosnabzheniya.html</x:v>
      </x:c>
      <x:c r="AA243" s="14" t="str"/>
      <x:c r="AB243" s="14" t="str">
        <x:v>2026-08-24</x:v>
      </x:c>
      <x:c r="AC243" s="14" t="str">
        <x:v>Олександр</x:v>
      </x:c>
      <x:c r="AD243" s="18" t="str"/>
      <x:c r="AE243" s="14" t="str"/>
    </x:row>
    <x:row r="244">
      <x:c r="A244" s="14" t="str">
        <x:v>W2-075</x:v>
      </x:c>
      <x:c r="B244" s="14" t="str">
        <x:v>Проєктний сигнал — 24.08</x:v>
      </x:c>
      <x:c r="C244" s="14" t="str">
        <x:v>Компресорс Інтернешнл</x:v>
      </x:c>
      <x:c r="D244" s="14" t="str">
        <x:v>Стиснене повітря / компресорні</x:v>
      </x:c>
      <x:c r="E244" s="14" t="str">
        <x:v>Expansion discovery</x:v>
      </x:c>
      <x:c r="F244" s="17" t="str">
        <x:f>IF(E244="Pilot now",IF(P244&gt;=84,"P1",IF(P244&gt;=72,"P2","P3")),IF(E244="Expansion discovery",IF(Q244&gt;=88,"D1",IF(Q244&gt;=78,"D2","D3")),IF(E244="Later / requirements","L","Legacy")))</x:f>
        <x:v>D1</x:v>
      </x:c>
      <x:c r="G244" s="14" t="str">
        <x:v>compressors.ua</x:v>
      </x:c>
      <x:c r="H244" s="14" t="str">
        <x:v>2-тижневий workflow discovery — потрібні вимоги одного проєкту</x:v>
      </x:c>
      <x:c r="I244" s="16" t="n">
        <x:v>1</x:v>
      </x:c>
      <x:c r="J244" s="16" t="n">
        <x:v>5</x:v>
      </x:c>
      <x:c r="K244" s="16" t="n">
        <x:v>5</x:v>
      </x:c>
      <x:c r="L244" s="16" t="n">
        <x:v>4</x:v>
      </x:c>
      <x:c r="M244" s="16" t="n">
        <x:v>4</x:v>
      </x:c>
      <x:c r="N244" s="16" t="n">
        <x:v>5</x:v>
      </x:c>
      <x:c r="O244" s="16" t="n">
        <x:v>5</x:v>
      </x:c>
      <x:c r="P244" s="16" t="n">
        <x:f>IF(COUNT(I244:O244)&lt;7,"",I244*8+J244*3+K244*2+L244*2+M244*2+N244*2+O244)</x:f>
        <x:v>64</x:v>
      </x:c>
      <x:c r="Q244" s="16" t="n">
        <x:f>IF(COUNT(J244:O244)&lt;6,"",J244*5+K244*4+M244*4+L244*3+N244*2+O244*2)</x:f>
        <x:v>93</x:v>
      </x:c>
      <x:c r="R244" s="14" t="str">
        <x:v>high</x:v>
      </x:c>
      <x:c r="S244" s="14" t="str">
        <x:v>google_index_verified_2026-08-24</x:v>
      </x:c>
      <x:c r="T244" s="14" t="str">
        <x:v>indexed_official_service_page</x:v>
      </x:c>
      <x:c r="U244" s="14" t="str">
        <x:v>Новий — не контактували</x:v>
      </x:c>
      <x:c r="V244" s="15" t="str">
        <x:v>2-тижневий discovery: запросити вимоги 1 активного проєкту + 1 знеособлений артефакт</x:v>
      </x:c>
      <x:c r="W244" s="15" t="str">
        <x:v>Директор; керівник інженерних проєктів; головний інженер / сервіс</x:v>
      </x:c>
      <x:c r="X244" s="15" t="str">
        <x:v>Проєктування і монтаж компресорних. Пошуковий результат веде на індексовану сторінку корпоративного домену: Проєктування та монтаж — Компресорс Інтернешнл.</x:v>
      </x:c>
      <x:c r="Y244" s="15" t="str">
        <x:v>Пневмомережі, дренаж, фільтрація, випробування герметичності й ПНР здаються поетапно.</x:v>
      </x:c>
      <x:c r="Z244" s="15" t="str">
        <x:v>https://compressors.ua/proektuvannya-ta-montazh</x:v>
      </x:c>
      <x:c r="AA244" s="14" t="str"/>
      <x:c r="AB244" s="14" t="str">
        <x:v>2026-08-24</x:v>
      </x:c>
      <x:c r="AC244" s="14" t="str">
        <x:v>Олександр</x:v>
      </x:c>
      <x:c r="AD244" s="18" t="str"/>
      <x:c r="AE244" s="14" t="str"/>
    </x:row>
    <x:row r="245">
      <x:c r="A245" s="14" t="str">
        <x:v>W2-076</x:v>
      </x:c>
      <x:c r="B245" s="14" t="str">
        <x:v>Проєктний сигнал — 24.08</x:v>
      </x:c>
      <x:c r="C245" s="14" t="str">
        <x:v>Dalgakiran Kompresor Ukraine</x:v>
      </x:c>
      <x:c r="D245" s="14" t="str">
        <x:v>Стиснене повітря / компресорні</x:v>
      </x:c>
      <x:c r="E245" s="14" t="str">
        <x:v>Expansion discovery</x:v>
      </x:c>
      <x:c r="F245" s="17" t="str">
        <x:f>IF(E245="Pilot now",IF(P245&gt;=84,"P1",IF(P245&gt;=72,"P2","P3")),IF(E245="Expansion discovery",IF(Q245&gt;=88,"D1",IF(Q245&gt;=78,"D2","D3")),IF(E245="Later / requirements","L","Legacy")))</x:f>
        <x:v>D1</x:v>
      </x:c>
      <x:c r="G245" s="14" t="str">
        <x:v>dalgakiran.ua</x:v>
      </x:c>
      <x:c r="H245" s="14" t="str">
        <x:v>2-тижневий workflow discovery — потрібні вимоги одного проєкту</x:v>
      </x:c>
      <x:c r="I245" s="16" t="n">
        <x:v>1</x:v>
      </x:c>
      <x:c r="J245" s="16" t="n">
        <x:v>5</x:v>
      </x:c>
      <x:c r="K245" s="16" t="n">
        <x:v>5</x:v>
      </x:c>
      <x:c r="L245" s="16" t="n">
        <x:v>4</x:v>
      </x:c>
      <x:c r="M245" s="16" t="n">
        <x:v>4</x:v>
      </x:c>
      <x:c r="N245" s="16" t="n">
        <x:v>5</x:v>
      </x:c>
      <x:c r="O245" s="16" t="n">
        <x:v>4</x:v>
      </x:c>
      <x:c r="P245" s="16" t="n">
        <x:f>IF(COUNT(I245:O245)&lt;7,"",I245*8+J245*3+K245*2+L245*2+M245*2+N245*2+O245)</x:f>
        <x:v>63</x:v>
      </x:c>
      <x:c r="Q245" s="16" t="n">
        <x:f>IF(COUNT(J245:O245)&lt;6,"",J245*5+K245*4+M245*4+L245*3+N245*2+O245*2)</x:f>
        <x:v>91</x:v>
      </x:c>
      <x:c r="R245" s="14" t="str">
        <x:v>medium</x:v>
      </x:c>
      <x:c r="S245" s="14" t="str">
        <x:v>google_index_verified_manual_check_2026-08-24</x:v>
      </x:c>
      <x:c r="T245" s="14" t="str">
        <x:v>indexed_official_page_manual_check</x:v>
      </x:c>
      <x:c r="U245" s="14" t="str">
        <x:v>Новий — не контактували</x:v>
      </x:c>
      <x:c r="V245" s="15" t="str">
        <x:v>2-тижневий discovery: запросити вимоги 1 активного проєкту + 1 знеособлений артефакт</x:v>
      </x:c>
      <x:c r="W245" s="15" t="str">
        <x:v>Директор; керівник інженерних проєктів; головний інженер / сервіс</x:v>
      </x:c>
      <x:c r="X245" s="15" t="str">
        <x:v>Компресорні системи та сервіс. Пошуковий результат веде на індексовану сторінку корпоративного домену: Dalgakiran Kompresor Ukraine.</x:v>
      </x:c>
      <x:c r="Y245" s="15" t="str">
        <x:v>Пневмомережі, дренаж, фільтрація, випробування герметичності й ПНР здаються поетапно.</x:v>
      </x:c>
      <x:c r="Z245" s="15" t="str">
        <x:v>https://dalgakiran.ua/uk/kontakti/</x:v>
      </x:c>
      <x:c r="AA245" s="14" t="str"/>
      <x:c r="AB245" s="14" t="str">
        <x:v>2026-08-24</x:v>
      </x:c>
      <x:c r="AC245" s="14" t="str">
        <x:v>Олександр</x:v>
      </x:c>
      <x:c r="AD245" s="18" t="str"/>
      <x:c r="AE245" s="14" t="str"/>
    </x:row>
    <x:row r="246">
      <x:c r="A246" s="14" t="str">
        <x:v>W2-077</x:v>
      </x:c>
      <x:c r="B246" s="14" t="str">
        <x:v>Проєктний сигнал — 24.08</x:v>
      </x:c>
      <x:c r="C246" s="14" t="str">
        <x:v>Пневматик Сервіс</x:v>
      </x:c>
      <x:c r="D246" s="14" t="str">
        <x:v>Стиснене повітря / компресорні</x:v>
      </x:c>
      <x:c r="E246" s="14" t="str">
        <x:v>Expansion discovery</x:v>
      </x:c>
      <x:c r="F246" s="17" t="str">
        <x:f>IF(E246="Pilot now",IF(P246&gt;=84,"P1",IF(P246&gt;=72,"P2","P3")),IF(E246="Expansion discovery",IF(Q246&gt;=88,"D1",IF(Q246&gt;=78,"D2","D3")),IF(E246="Later / requirements","L","Legacy")))</x:f>
        <x:v>D1</x:v>
      </x:c>
      <x:c r="G246" s="14" t="str">
        <x:v>pneumatic-service.com.ua</x:v>
      </x:c>
      <x:c r="H246" s="14" t="str">
        <x:v>2-тижневий workflow discovery — потрібні вимоги одного проєкту</x:v>
      </x:c>
      <x:c r="I246" s="16" t="n">
        <x:v>1</x:v>
      </x:c>
      <x:c r="J246" s="16" t="n">
        <x:v>5</x:v>
      </x:c>
      <x:c r="K246" s="16" t="n">
        <x:v>5</x:v>
      </x:c>
      <x:c r="L246" s="16" t="n">
        <x:v>4</x:v>
      </x:c>
      <x:c r="M246" s="16" t="n">
        <x:v>4</x:v>
      </x:c>
      <x:c r="N246" s="16" t="n">
        <x:v>5</x:v>
      </x:c>
      <x:c r="O246" s="16" t="n">
        <x:v>5</x:v>
      </x:c>
      <x:c r="P246" s="16" t="n">
        <x:f>IF(COUNT(I246:O246)&lt;7,"",I246*8+J246*3+K246*2+L246*2+M246*2+N246*2+O246)</x:f>
        <x:v>64</x:v>
      </x:c>
      <x:c r="Q246" s="16" t="n">
        <x:f>IF(COUNT(J246:O246)&lt;6,"",J246*5+K246*4+M246*4+L246*3+N246*2+O246*2)</x:f>
        <x:v>93</x:v>
      </x:c>
      <x:c r="R246" s="14" t="str">
        <x:v>high</x:v>
      </x:c>
      <x:c r="S246" s="14" t="str">
        <x:v>google_index_verified_2026-08-24</x:v>
      </x:c>
      <x:c r="T246" s="14" t="str">
        <x:v>indexed_official_service_page</x:v>
      </x:c>
      <x:c r="U246" s="14" t="str">
        <x:v>Новий — не контактували</x:v>
      </x:c>
      <x:c r="V246" s="15" t="str">
        <x:v>2-тижневий discovery: запросити вимоги 1 активного проєкту + 1 знеособлений артефакт</x:v>
      </x:c>
      <x:c r="W246" s="15" t="str">
        <x:v>Директор; керівник інженерних проєктів; головний інженер / сервіс</x:v>
      </x:c>
      <x:c r="X246" s="15" t="str">
        <x:v>Монтаж компресорних систем. Пошуковий результат веде на індексовану сторінку корпоративного домену: Монтаж компресора — Пневматик Сервіс.</x:v>
      </x:c>
      <x:c r="Y246" s="15" t="str">
        <x:v>Пневмомережі, дренаж, фільтрація, випробування герметичності й ПНР здаються поетапно.</x:v>
      </x:c>
      <x:c r="Z246" s="15" t="str">
        <x:v>https://pneumatic-service.com.ua/montazhnye-raboty/montazh-gvintovogo-kompresora/</x:v>
      </x:c>
      <x:c r="AA246" s="14" t="str"/>
      <x:c r="AB246" s="14" t="str">
        <x:v>2026-08-24</x:v>
      </x:c>
      <x:c r="AC246" s="14" t="str">
        <x:v>Олександр</x:v>
      </x:c>
      <x:c r="AD246" s="18" t="str"/>
      <x:c r="AE246" s="14" t="str"/>
    </x:row>
    <x:row r="247">
      <x:c r="A247" s="14" t="str">
        <x:v>W2-078</x:v>
      </x:c>
      <x:c r="B247" s="14" t="str">
        <x:v>Проєктний сигнал — 24.08</x:v>
      </x:c>
      <x:c r="C247" s="14" t="str">
        <x:v>Champion Air Tech</x:v>
      </x:c>
      <x:c r="D247" s="14" t="str">
        <x:v>Стиснене повітря / компресорні</x:v>
      </x:c>
      <x:c r="E247" s="14" t="str">
        <x:v>Expansion discovery</x:v>
      </x:c>
      <x:c r="F247" s="17" t="str">
        <x:f>IF(E247="Pilot now",IF(P247&gt;=84,"P1",IF(P247&gt;=72,"P2","P3")),IF(E247="Expansion discovery",IF(Q247&gt;=88,"D1",IF(Q247&gt;=78,"D2","D3")),IF(E247="Later / requirements","L","Legacy")))</x:f>
        <x:v>D1</x:v>
      </x:c>
      <x:c r="G247" s="14" t="str">
        <x:v>championairtech.com.ua</x:v>
      </x:c>
      <x:c r="H247" s="14" t="str">
        <x:v>2-тижневий workflow discovery — потрібні вимоги одного проєкту</x:v>
      </x:c>
      <x:c r="I247" s="16" t="n">
        <x:v>1</x:v>
      </x:c>
      <x:c r="J247" s="16" t="n">
        <x:v>5</x:v>
      </x:c>
      <x:c r="K247" s="16" t="n">
        <x:v>5</x:v>
      </x:c>
      <x:c r="L247" s="16" t="n">
        <x:v>4</x:v>
      </x:c>
      <x:c r="M247" s="16" t="n">
        <x:v>4</x:v>
      </x:c>
      <x:c r="N247" s="16" t="n">
        <x:v>5</x:v>
      </x:c>
      <x:c r="O247" s="16" t="n">
        <x:v>5</x:v>
      </x:c>
      <x:c r="P247" s="16" t="n">
        <x:f>IF(COUNT(I247:O247)&lt;7,"",I247*8+J247*3+K247*2+L247*2+M247*2+N247*2+O247)</x:f>
        <x:v>64</x:v>
      </x:c>
      <x:c r="Q247" s="16" t="n">
        <x:f>IF(COUNT(J247:O247)&lt;6,"",J247*5+K247*4+M247*4+L247*3+N247*2+O247*2)</x:f>
        <x:v>93</x:v>
      </x:c>
      <x:c r="R247" s="14" t="str">
        <x:v>high</x:v>
      </x:c>
      <x:c r="S247" s="14" t="str">
        <x:v>google_index_verified_2026-08-24</x:v>
      </x:c>
      <x:c r="T247" s="14" t="str">
        <x:v>indexed_official_service_page</x:v>
      </x:c>
      <x:c r="U247" s="14" t="str">
        <x:v>Новий — не контактували</x:v>
      </x:c>
      <x:c r="V247" s="15" t="str">
        <x:v>2-тижневий discovery: запросити вимоги 1 активного проєкту + 1 знеособлений артефакт</x:v>
      </x:c>
      <x:c r="W247" s="15" t="str">
        <x:v>Директор; керівник інженерних проєктів; головний інженер / сервіс</x:v>
      </x:c>
      <x:c r="X247" s="15" t="str">
        <x:v>Інсталяція і сервіс компресорних систем. Пошуковий результат веде на індексовану сторінку корпоративного домену: Сервіс — Champion Air Tech.</x:v>
      </x:c>
      <x:c r="Y247" s="15" t="str">
        <x:v>Пневмомережі, дренаж, фільтрація, випробування герметичності й ПНР здаються поетапно.</x:v>
      </x:c>
      <x:c r="Z247" s="15" t="str">
        <x:v>https://championairtech.com.ua/service</x:v>
      </x:c>
      <x:c r="AA247" s="14" t="str"/>
      <x:c r="AB247" s="14" t="str">
        <x:v>2026-08-24</x:v>
      </x:c>
      <x:c r="AC247" s="14" t="str">
        <x:v>Олександр</x:v>
      </x:c>
      <x:c r="AD247" s="18" t="str"/>
      <x:c r="AE247" s="14" t="str"/>
    </x:row>
    <x:row r="248">
      <x:c r="A248" s="14" t="str">
        <x:v>W2-079</x:v>
      </x:c>
      <x:c r="B248" s="14" t="str">
        <x:v>Проєктний сигнал — 24.08</x:v>
      </x:c>
      <x:c r="C248" s="14" t="str">
        <x:v>Airgroup</x:v>
      </x:c>
      <x:c r="D248" s="14" t="str">
        <x:v>Стиснене повітря / компресорні</x:v>
      </x:c>
      <x:c r="E248" s="14" t="str">
        <x:v>Expansion discovery</x:v>
      </x:c>
      <x:c r="F248" s="17" t="str">
        <x:f>IF(E248="Pilot now",IF(P248&gt;=84,"P1",IF(P248&gt;=72,"P2","P3")),IF(E248="Expansion discovery",IF(Q248&gt;=88,"D1",IF(Q248&gt;=78,"D2","D3")),IF(E248="Later / requirements","L","Legacy")))</x:f>
        <x:v>D1</x:v>
      </x:c>
      <x:c r="G248" s="14" t="str">
        <x:v>airgroup.com.ua</x:v>
      </x:c>
      <x:c r="H248" s="14" t="str">
        <x:v>2-тижневий workflow discovery — потрібні вимоги одного проєкту</x:v>
      </x:c>
      <x:c r="I248" s="16" t="n">
        <x:v>1</x:v>
      </x:c>
      <x:c r="J248" s="16" t="n">
        <x:v>5</x:v>
      </x:c>
      <x:c r="K248" s="16" t="n">
        <x:v>5</x:v>
      </x:c>
      <x:c r="L248" s="16" t="n">
        <x:v>4</x:v>
      </x:c>
      <x:c r="M248" s="16" t="n">
        <x:v>4</x:v>
      </x:c>
      <x:c r="N248" s="16" t="n">
        <x:v>5</x:v>
      </x:c>
      <x:c r="O248" s="16" t="n">
        <x:v>5</x:v>
      </x:c>
      <x:c r="P248" s="16" t="n">
        <x:f>IF(COUNT(I248:O248)&lt;7,"",I248*8+J248*3+K248*2+L248*2+M248*2+N248*2+O248)</x:f>
        <x:v>64</x:v>
      </x:c>
      <x:c r="Q248" s="16" t="n">
        <x:f>IF(COUNT(J248:O248)&lt;6,"",J248*5+K248*4+M248*4+L248*3+N248*2+O248*2)</x:f>
        <x:v>93</x:v>
      </x:c>
      <x:c r="R248" s="14" t="str">
        <x:v>high</x:v>
      </x:c>
      <x:c r="S248" s="14" t="str">
        <x:v>google_index_verified_2026-08-24</x:v>
      </x:c>
      <x:c r="T248" s="14" t="str">
        <x:v>indexed_official_service_page</x:v>
      </x:c>
      <x:c r="U248" s="14" t="str">
        <x:v>Новий — не контактували</x:v>
      </x:c>
      <x:c r="V248" s="15" t="str">
        <x:v>2-тижневий discovery: запросити вимоги 1 активного проєкту + 1 знеособлений артефакт</x:v>
      </x:c>
      <x:c r="W248" s="15" t="str">
        <x:v>Директор; керівник інженерних проєктів; головний інженер / сервіс</x:v>
      </x:c>
      <x:c r="X248" s="15" t="str">
        <x:v>Монтаж пневмомереж компресорних. Пошуковий результат веде на індексовану сторінку корпоративного домену: Монтаж пневмомережі — Airgroup.</x:v>
      </x:c>
      <x:c r="Y248" s="15" t="str">
        <x:v>Пневмомережі, дренаж, фільтрація, випробування герметичності й ПНР здаються поетапно.</x:v>
      </x:c>
      <x:c r="Z248" s="15" t="str">
        <x:v>https://airgroup.com.ua/ua/p1370335624-montazh-pnevmoseti-kompressornoj.html</x:v>
      </x:c>
      <x:c r="AA248" s="14" t="str"/>
      <x:c r="AB248" s="14" t="str">
        <x:v>2026-08-24</x:v>
      </x:c>
      <x:c r="AC248" s="14" t="str">
        <x:v>Олександр</x:v>
      </x:c>
      <x:c r="AD248" s="18" t="str"/>
      <x:c r="AE248" s="14" t="str"/>
    </x:row>
    <x:row r="249">
      <x:c r="A249" s="14" t="str">
        <x:v>W2-080</x:v>
      </x:c>
      <x:c r="B249" s="14" t="str">
        <x:v>Проєктний сигнал — 24.08</x:v>
      </x:c>
      <x:c r="C249" s="14" t="str">
        <x:v>Ентех Україна</x:v>
      </x:c>
      <x:c r="D249" s="14" t="str">
        <x:v>Стиснене повітря / компресорні</x:v>
      </x:c>
      <x:c r="E249" s="14" t="str">
        <x:v>Expansion discovery</x:v>
      </x:c>
      <x:c r="F249" s="17" t="str">
        <x:f>IF(E249="Pilot now",IF(P249&gt;=84,"P1",IF(P249&gt;=72,"P2","P3")),IF(E249="Expansion discovery",IF(Q249&gt;=88,"D1",IF(Q249&gt;=78,"D2","D3")),IF(E249="Later / requirements","L","Legacy")))</x:f>
        <x:v>D1</x:v>
      </x:c>
      <x:c r="G249" s="14" t="str">
        <x:v>entech-ukraine.com.ua</x:v>
      </x:c>
      <x:c r="H249" s="14" t="str">
        <x:v>2-тижневий workflow discovery — потрібні вимоги одного проєкту</x:v>
      </x:c>
      <x:c r="I249" s="16" t="n">
        <x:v>1</x:v>
      </x:c>
      <x:c r="J249" s="16" t="n">
        <x:v>5</x:v>
      </x:c>
      <x:c r="K249" s="16" t="n">
        <x:v>5</x:v>
      </x:c>
      <x:c r="L249" s="16" t="n">
        <x:v>4</x:v>
      </x:c>
      <x:c r="M249" s="16" t="n">
        <x:v>4</x:v>
      </x:c>
      <x:c r="N249" s="16" t="n">
        <x:v>5</x:v>
      </x:c>
      <x:c r="O249" s="16" t="n">
        <x:v>5</x:v>
      </x:c>
      <x:c r="P249" s="16" t="n">
        <x:f>IF(COUNT(I249:O249)&lt;7,"",I249*8+J249*3+K249*2+L249*2+M249*2+N249*2+O249)</x:f>
        <x:v>64</x:v>
      </x:c>
      <x:c r="Q249" s="16" t="n">
        <x:f>IF(COUNT(J249:O249)&lt;6,"",J249*5+K249*4+M249*4+L249*3+N249*2+O249*2)</x:f>
        <x:v>93</x:v>
      </x:c>
      <x:c r="R249" s="14" t="str">
        <x:v>high</x:v>
      </x:c>
      <x:c r="S249" s="14" t="str">
        <x:v>google_index_verified_2026-08-24</x:v>
      </x:c>
      <x:c r="T249" s="14" t="str">
        <x:v>indexed_official_service_page</x:v>
      </x:c>
      <x:c r="U249" s="14" t="str">
        <x:v>Новий — не контактували</x:v>
      </x:c>
      <x:c r="V249" s="15" t="str">
        <x:v>2-тижневий discovery: запросити вимоги 1 активного проєкту + 1 знеособлений артефакт</x:v>
      </x:c>
      <x:c r="W249" s="15" t="str">
        <x:v>Директор; керівник інженерних проєктів; головний інженер / сервіс</x:v>
      </x:c>
      <x:c r="X249" s="15" t="str">
        <x:v>Монтаж пневматичних систем. Пошуковий результат веде на індексовану сторінку корпоративного домену: Монтаж пневматичної системи — Ентех Україна.</x:v>
      </x:c>
      <x:c r="Y249" s="15" t="str">
        <x:v>Пневмомережі, дренаж, фільтрація, випробування герметичності й ПНР здаються поетапно.</x:v>
      </x:c>
      <x:c r="Z249" s="15" t="str">
        <x:v>https://entech-ukraine.com.ua/installation-of-pneumatic-system</x:v>
      </x:c>
      <x:c r="AA249" s="14" t="str"/>
      <x:c r="AB249" s="14" t="str">
        <x:v>2026-08-24</x:v>
      </x:c>
      <x:c r="AC249" s="14" t="str">
        <x:v>Олександр</x:v>
      </x:c>
      <x:c r="AD249" s="18" t="str"/>
      <x:c r="AE249" s="14" t="str"/>
    </x:row>
    <x:row r="250">
      <x:c r="A250" s="14" t="str">
        <x:v>W2-081</x:v>
      </x:c>
      <x:c r="B250" s="14" t="str">
        <x:v>Проєктний сигнал — 24.08</x:v>
      </x:c>
      <x:c r="C250" s="14" t="str">
        <x:v>НВП Поленергокомплекс</x:v>
      </x:c>
      <x:c r="D250" s="14" t="str">
        <x:v>Стиснене повітря / компресорні</x:v>
      </x:c>
      <x:c r="E250" s="14" t="str">
        <x:v>Expansion discovery</x:v>
      </x:c>
      <x:c r="F250" s="17" t="str">
        <x:f>IF(E250="Pilot now",IF(P250&gt;=84,"P1",IF(P250&gt;=72,"P2","P3")),IF(E250="Expansion discovery",IF(Q250&gt;=88,"D1",IF(Q250&gt;=78,"D2","D3")),IF(E250="Later / requirements","L","Legacy")))</x:f>
        <x:v>D1</x:v>
      </x:c>
      <x:c r="G250" s="14" t="str">
        <x:v>compressory.com.ua</x:v>
      </x:c>
      <x:c r="H250" s="14" t="str">
        <x:v>2-тижневий workflow discovery — потрібні вимоги одного проєкту</x:v>
      </x:c>
      <x:c r="I250" s="16" t="n">
        <x:v>1</x:v>
      </x:c>
      <x:c r="J250" s="16" t="n">
        <x:v>5</x:v>
      </x:c>
      <x:c r="K250" s="16" t="n">
        <x:v>5</x:v>
      </x:c>
      <x:c r="L250" s="16" t="n">
        <x:v>4</x:v>
      </x:c>
      <x:c r="M250" s="16" t="n">
        <x:v>4</x:v>
      </x:c>
      <x:c r="N250" s="16" t="n">
        <x:v>5</x:v>
      </x:c>
      <x:c r="O250" s="16" t="n">
        <x:v>5</x:v>
      </x:c>
      <x:c r="P250" s="16" t="n">
        <x:f>IF(COUNT(I250:O250)&lt;7,"",I250*8+J250*3+K250*2+L250*2+M250*2+N250*2+O250)</x:f>
        <x:v>64</x:v>
      </x:c>
      <x:c r="Q250" s="16" t="n">
        <x:f>IF(COUNT(J250:O250)&lt;6,"",J250*5+K250*4+M250*4+L250*3+N250*2+O250*2)</x:f>
        <x:v>93</x:v>
      </x:c>
      <x:c r="R250" s="14" t="str">
        <x:v>high</x:v>
      </x:c>
      <x:c r="S250" s="14" t="str">
        <x:v>google_index_verified_2026-08-24</x:v>
      </x:c>
      <x:c r="T250" s="14" t="str">
        <x:v>indexed_official_service_page</x:v>
      </x:c>
      <x:c r="U250" s="14" t="str">
        <x:v>Новий — не контактували</x:v>
      </x:c>
      <x:c r="V250" s="15" t="str">
        <x:v>2-тижневий discovery: запросити вимоги 1 активного проєкту + 1 знеособлений артефакт</x:v>
      </x:c>
      <x:c r="W250" s="15" t="str">
        <x:v>Директор; керівник інженерних проєктів; головний інженер / сервіс</x:v>
      </x:c>
      <x:c r="X250" s="15" t="str">
        <x:v>Компресорні станції. Пошуковий результат веде на індексовану сторінку корпоративного домену: Компресорні установки — Поленергокомплекс.</x:v>
      </x:c>
      <x:c r="Y250" s="15" t="str">
        <x:v>Пневмомережі, дренаж, фільтрація, випробування герметичності й ПНР здаються поетапно.</x:v>
      </x:c>
      <x:c r="Z250" s="15" t="str">
        <x:v>https://compressory.com.ua/category/porshnevye-kompressornye-ustanovki/</x:v>
      </x:c>
      <x:c r="AA250" s="14" t="str"/>
      <x:c r="AB250" s="14" t="str">
        <x:v>2026-08-24</x:v>
      </x:c>
      <x:c r="AC250" s="14" t="str">
        <x:v>Олександр</x:v>
      </x:c>
      <x:c r="AD250" s="18" t="str"/>
      <x:c r="AE250" s="14" t="str"/>
    </x:row>
    <x:row r="251">
      <x:c r="A251" s="14" t="str">
        <x:v>W2-082</x:v>
      </x:c>
      <x:c r="B251" s="14" t="str">
        <x:v>Проєктний сигнал — 24.08</x:v>
      </x:c>
      <x:c r="C251" s="14" t="str">
        <x:v>СТК Спарта</x:v>
      </x:c>
      <x:c r="D251" s="14" t="str">
        <x:v>Стиснене повітря / компресорні</x:v>
      </x:c>
      <x:c r="E251" s="14" t="str">
        <x:v>Expansion discovery</x:v>
      </x:c>
      <x:c r="F251" s="17" t="str">
        <x:f>IF(E251="Pilot now",IF(P251&gt;=84,"P1",IF(P251&gt;=72,"P2","P3")),IF(E251="Expansion discovery",IF(Q251&gt;=88,"D1",IF(Q251&gt;=78,"D2","D3")),IF(E251="Later / requirements","L","Legacy")))</x:f>
        <x:v>D1</x:v>
      </x:c>
      <x:c r="G251" s="14" t="str">
        <x:v>stk-sparta.com.ua</x:v>
      </x:c>
      <x:c r="H251" s="14" t="str">
        <x:v>2-тижневий workflow discovery — потрібні вимоги одного проєкту</x:v>
      </x:c>
      <x:c r="I251" s="16" t="n">
        <x:v>1</x:v>
      </x:c>
      <x:c r="J251" s="16" t="n">
        <x:v>5</x:v>
      </x:c>
      <x:c r="K251" s="16" t="n">
        <x:v>5</x:v>
      </x:c>
      <x:c r="L251" s="16" t="n">
        <x:v>4</x:v>
      </x:c>
      <x:c r="M251" s="16" t="n">
        <x:v>4</x:v>
      </x:c>
      <x:c r="N251" s="16" t="n">
        <x:v>5</x:v>
      </x:c>
      <x:c r="O251" s="16" t="n">
        <x:v>5</x:v>
      </x:c>
      <x:c r="P251" s="16" t="n">
        <x:f>IF(COUNT(I251:O251)&lt;7,"",I251*8+J251*3+K251*2+L251*2+M251*2+N251*2+O251)</x:f>
        <x:v>64</x:v>
      </x:c>
      <x:c r="Q251" s="16" t="n">
        <x:f>IF(COUNT(J251:O251)&lt;6,"",J251*5+K251*4+M251*4+L251*3+N251*2+O251*2)</x:f>
        <x:v>93</x:v>
      </x:c>
      <x:c r="R251" s="14" t="str">
        <x:v>high</x:v>
      </x:c>
      <x:c r="S251" s="14" t="str">
        <x:v>google_index_verified_2026-08-24</x:v>
      </x:c>
      <x:c r="T251" s="14" t="str">
        <x:v>indexed_official_service_page</x:v>
      </x:c>
      <x:c r="U251" s="14" t="str">
        <x:v>Новий — не контактували</x:v>
      </x:c>
      <x:c r="V251" s="15" t="str">
        <x:v>2-тижневий discovery: запросити вимоги 1 активного проєкту + 1 знеособлений артефакт</x:v>
      </x:c>
      <x:c r="W251" s="15" t="str">
        <x:v>Директор; керівник інженерних проєктів; головний інженер / сервіс</x:v>
      </x:c>
      <x:c r="X251" s="15" t="str">
        <x:v>Постачання та інженерні роботи компресорних. Пошуковий результат веде на індексовану сторінку корпоративного домену: Компресорні станції — СТК Спарта.</x:v>
      </x:c>
      <x:c r="Y251" s="15" t="str">
        <x:v>Пневмомережі, дренаж, фільтрація, випробування герметичності й ПНР здаються поетапно.</x:v>
      </x:c>
      <x:c r="Z251" s="15" t="str">
        <x:v>https://stk-sparta.com.ua/catalog/povitryani-kompresorni-stancii/</x:v>
      </x:c>
      <x:c r="AA251" s="14" t="str"/>
      <x:c r="AB251" s="14" t="str">
        <x:v>2026-08-24</x:v>
      </x:c>
      <x:c r="AC251" s="14" t="str">
        <x:v>Олександр</x:v>
      </x:c>
      <x:c r="AD251" s="18" t="str"/>
      <x:c r="AE251" s="14" t="str"/>
    </x:row>
    <x:row r="252">
      <x:c r="A252" s="14" t="str">
        <x:v>W2-083</x:v>
      </x:c>
      <x:c r="B252" s="14" t="str">
        <x:v>Проєктний сигнал — 24.08</x:v>
      </x:c>
      <x:c r="C252" s="14" t="str">
        <x:v>ВП Техмаш</x:v>
      </x:c>
      <x:c r="D252" s="14" t="str">
        <x:v>Технологічні трубопроводи</x:v>
      </x:c>
      <x:c r="E252" s="14" t="str">
        <x:v>Expansion discovery</x:v>
      </x:c>
      <x:c r="F252" s="17" t="str">
        <x:f>IF(E252="Pilot now",IF(P252&gt;=84,"P1",IF(P252&gt;=72,"P2","P3")),IF(E252="Expansion discovery",IF(Q252&gt;=88,"D1",IF(Q252&gt;=78,"D2","D3")),IF(E252="Later / requirements","L","Legacy")))</x:f>
        <x:v>D1</x:v>
      </x:c>
      <x:c r="G252" s="14" t="str">
        <x:v>techmash.dp.ua</x:v>
      </x:c>
      <x:c r="H252" s="14" t="str">
        <x:v>2-тижневий workflow discovery — потрібні вимоги одного проєкту</x:v>
      </x:c>
      <x:c r="I252" s="16" t="n">
        <x:v>1</x:v>
      </x:c>
      <x:c r="J252" s="16" t="n">
        <x:v>5</x:v>
      </x:c>
      <x:c r="K252" s="16" t="n">
        <x:v>5</x:v>
      </x:c>
      <x:c r="L252" s="16" t="n">
        <x:v>5</x:v>
      </x:c>
      <x:c r="M252" s="16" t="n">
        <x:v>5</x:v>
      </x:c>
      <x:c r="N252" s="16" t="n">
        <x:v>5</x:v>
      </x:c>
      <x:c r="O252" s="16" t="n">
        <x:v>5</x:v>
      </x:c>
      <x:c r="P252" s="16" t="n">
        <x:f>IF(COUNT(I252:O252)&lt;7,"",I252*8+J252*3+K252*2+L252*2+M252*2+N252*2+O252)</x:f>
        <x:v>68</x:v>
      </x:c>
      <x:c r="Q252" s="16" t="n">
        <x:f>IF(COUNT(J252:O252)&lt;6,"",J252*5+K252*4+M252*4+L252*3+N252*2+O252*2)</x:f>
        <x:v>100</x:v>
      </x:c>
      <x:c r="R252" s="14" t="str">
        <x:v>high</x:v>
      </x:c>
      <x:c r="S252" s="14" t="str">
        <x:v>google_index_verified_2026-08-24</x:v>
      </x:c>
      <x:c r="T252" s="14" t="str">
        <x:v>indexed_official_service_page</x:v>
      </x:c>
      <x:c r="U252" s="14" t="str">
        <x:v>Новий — не контактували</x:v>
      </x:c>
      <x:c r="V252" s="15" t="str">
        <x:v>2-тижневий discovery: запросити вимоги 1 активного проєкту + 1 знеособлений артефакт</x:v>
      </x:c>
      <x:c r="W252" s="15" t="str">
        <x:v>Директор; керівник ПТО; головний зварювальник / контроль якості</x:v>
      </x:c>
      <x:c r="X252" s="15" t="str">
        <x:v>Промисловий монтаж трубопроводів. Пошуковий результат веде на індексовану сторінку корпоративного домену: Монтаж технологічних трубопроводів — ВП Техмаш.</x:v>
      </x:c>
      <x:c r="Y252" s="15" t="str">
        <x:v>Зварні стики, НК, опори, очищення, гідровипробування й ізоляція вимагають простежуваного пакета до закриття.</x:v>
      </x:c>
      <x:c r="Z252" s="15" t="str">
        <x:v>https://techmash.dp.ua/montazh-tekhnolohichnykh-truboprovodiv/</x:v>
      </x:c>
      <x:c r="AA252" s="14" t="str"/>
      <x:c r="AB252" s="14" t="str">
        <x:v>2026-08-24</x:v>
      </x:c>
      <x:c r="AC252" s="14" t="str">
        <x:v>Олександр</x:v>
      </x:c>
      <x:c r="AD252" s="18" t="str"/>
      <x:c r="AE252" s="14" t="str"/>
    </x:row>
    <x:row r="253">
      <x:c r="A253" s="14" t="str">
        <x:v>W2-084</x:v>
      </x:c>
      <x:c r="B253" s="14" t="str">
        <x:v>Проєктний сигнал — 24.08</x:v>
      </x:c>
      <x:c r="C253" s="14" t="str">
        <x:v>Fortis PRO</x:v>
      </x:c>
      <x:c r="D253" s="14" t="str">
        <x:v>Технологічні трубопроводи</x:v>
      </x:c>
      <x:c r="E253" s="14" t="str">
        <x:v>Expansion discovery</x:v>
      </x:c>
      <x:c r="F253" s="17" t="str">
        <x:f>IF(E253="Pilot now",IF(P253&gt;=84,"P1",IF(P253&gt;=72,"P2","P3")),IF(E253="Expansion discovery",IF(Q253&gt;=88,"D1",IF(Q253&gt;=78,"D2","D3")),IF(E253="Later / requirements","L","Legacy")))</x:f>
        <x:v>D1</x:v>
      </x:c>
      <x:c r="G253" s="14" t="str">
        <x:v>fortispro.com.ua</x:v>
      </x:c>
      <x:c r="H253" s="14" t="str">
        <x:v>2-тижневий workflow discovery — потрібні вимоги одного проєкту</x:v>
      </x:c>
      <x:c r="I253" s="16" t="n">
        <x:v>1</x:v>
      </x:c>
      <x:c r="J253" s="16" t="n">
        <x:v>5</x:v>
      </x:c>
      <x:c r="K253" s="16" t="n">
        <x:v>5</x:v>
      </x:c>
      <x:c r="L253" s="16" t="n">
        <x:v>5</x:v>
      </x:c>
      <x:c r="M253" s="16" t="n">
        <x:v>5</x:v>
      </x:c>
      <x:c r="N253" s="16" t="n">
        <x:v>5</x:v>
      </x:c>
      <x:c r="O253" s="16" t="n">
        <x:v>4</x:v>
      </x:c>
      <x:c r="P253" s="16" t="n">
        <x:f>IF(COUNT(I253:O253)&lt;7,"",I253*8+J253*3+K253*2+L253*2+M253*2+N253*2+O253)</x:f>
        <x:v>67</x:v>
      </x:c>
      <x:c r="Q253" s="16" t="n">
        <x:f>IF(COUNT(J253:O253)&lt;6,"",J253*5+K253*4+M253*4+L253*3+N253*2+O253*2)</x:f>
        <x:v>98</x:v>
      </x:c>
      <x:c r="R253" s="14" t="str">
        <x:v>medium</x:v>
      </x:c>
      <x:c r="S253" s="14" t="str">
        <x:v>google_index_verified_manual_check_2026-08-24</x:v>
      </x:c>
      <x:c r="T253" s="14" t="str">
        <x:v>indexed_official_page_manual_check</x:v>
      </x:c>
      <x:c r="U253" s="14" t="str">
        <x:v>Новий — не контактували</x:v>
      </x:c>
      <x:c r="V253" s="15" t="str">
        <x:v>2-тижневий discovery: запросити вимоги 1 активного проєкту + 1 знеособлений артефакт</x:v>
      </x:c>
      <x:c r="W253" s="15" t="str">
        <x:v>Директор; керівник ПТО; головний зварювальник / контроль якості</x:v>
      </x:c>
      <x:c r="X253" s="15" t="str">
        <x:v>Виробництво і монтаж промислового обладнання. Пошуковий результат веде на індексовану сторінку корпоративного домену: Fortis PRO.</x:v>
      </x:c>
      <x:c r="Y253" s="15" t="str">
        <x:v>Зварні стики, НК, опори, очищення, гідровипробування й ізоляція вимагають простежуваного пакета до закриття.</x:v>
      </x:c>
      <x:c r="Z253" s="15" t="str">
        <x:v>https://fortispro.com.ua/</x:v>
      </x:c>
      <x:c r="AA253" s="14" t="str"/>
      <x:c r="AB253" s="14" t="str">
        <x:v>2026-08-24</x:v>
      </x:c>
      <x:c r="AC253" s="14" t="str">
        <x:v>Олександр</x:v>
      </x:c>
      <x:c r="AD253" s="18" t="str"/>
      <x:c r="AE253" s="14" t="str"/>
    </x:row>
    <x:row r="254">
      <x:c r="A254" s="14" t="str">
        <x:v>W2-085</x:v>
      </x:c>
      <x:c r="B254" s="14" t="str">
        <x:v>Проєктний сигнал — 24.08</x:v>
      </x:c>
      <x:c r="C254" s="14" t="str">
        <x:v>Аспіт</x:v>
      </x:c>
      <x:c r="D254" s="14" t="str">
        <x:v>Технологічні трубопроводи</x:v>
      </x:c>
      <x:c r="E254" s="14" t="str">
        <x:v>Expansion discovery</x:v>
      </x:c>
      <x:c r="F254" s="17" t="str">
        <x:f>IF(E254="Pilot now",IF(P254&gt;=84,"P1",IF(P254&gt;=72,"P2","P3")),IF(E254="Expansion discovery",IF(Q254&gt;=88,"D1",IF(Q254&gt;=78,"D2","D3")),IF(E254="Later / requirements","L","Legacy")))</x:f>
        <x:v>D1</x:v>
      </x:c>
      <x:c r="G254" s="14" t="str">
        <x:v>aspit.com.ua</x:v>
      </x:c>
      <x:c r="H254" s="14" t="str">
        <x:v>2-тижневий workflow discovery — потрібні вимоги одного проєкту</x:v>
      </x:c>
      <x:c r="I254" s="16" t="n">
        <x:v>1</x:v>
      </x:c>
      <x:c r="J254" s="16" t="n">
        <x:v>5</x:v>
      </x:c>
      <x:c r="K254" s="16" t="n">
        <x:v>5</x:v>
      </x:c>
      <x:c r="L254" s="16" t="n">
        <x:v>5</x:v>
      </x:c>
      <x:c r="M254" s="16" t="n">
        <x:v>5</x:v>
      </x:c>
      <x:c r="N254" s="16" t="n">
        <x:v>5</x:v>
      </x:c>
      <x:c r="O254" s="16" t="n">
        <x:v>5</x:v>
      </x:c>
      <x:c r="P254" s="16" t="n">
        <x:f>IF(COUNT(I254:O254)&lt;7,"",I254*8+J254*3+K254*2+L254*2+M254*2+N254*2+O254)</x:f>
        <x:v>68</x:v>
      </x:c>
      <x:c r="Q254" s="16" t="n">
        <x:f>IF(COUNT(J254:O254)&lt;6,"",J254*5+K254*4+M254*4+L254*3+N254*2+O254*2)</x:f>
        <x:v>100</x:v>
      </x:c>
      <x:c r="R254" s="14" t="str">
        <x:v>high</x:v>
      </x:c>
      <x:c r="S254" s="14" t="str">
        <x:v>google_index_verified_2026-08-24</x:v>
      </x:c>
      <x:c r="T254" s="14" t="str">
        <x:v>indexed_official_service_page</x:v>
      </x:c>
      <x:c r="U254" s="14" t="str">
        <x:v>Новий — не контактували</x:v>
      </x:c>
      <x:c r="V254" s="15" t="str">
        <x:v>2-тижневий discovery: запросити вимоги 1 активного проєкту + 1 знеособлений артефакт</x:v>
      </x:c>
      <x:c r="W254" s="15" t="str">
        <x:v>Директор; керівник ПТО; головний зварювальник / контроль якості</x:v>
      </x:c>
      <x:c r="X254" s="15" t="str">
        <x:v>Інженерні системи й трубопроводи під ключ. Пошуковий результат веде на індексовану сторінку корпоративного домену: Монтаж технологічних трубопроводів — Аспіт.</x:v>
      </x:c>
      <x:c r="Y254" s="15" t="str">
        <x:v>Зварні стики, НК, опори, очищення, гідровипробування й ізоляція вимагають простежуваного пакета до закриття.</x:v>
      </x:c>
      <x:c r="Z254" s="15" t="str">
        <x:v>https://www.aspit.com.ua/montazh-tekhnolohichnykh-truboprovodiv/</x:v>
      </x:c>
      <x:c r="AA254" s="14" t="str"/>
      <x:c r="AB254" s="14" t="str">
        <x:v>2026-08-24</x:v>
      </x:c>
      <x:c r="AC254" s="14" t="str">
        <x:v>Олександр</x:v>
      </x:c>
      <x:c r="AD254" s="18" t="str"/>
      <x:c r="AE254" s="14" t="str"/>
    </x:row>
    <x:row r="255">
      <x:c r="A255" s="14" t="str">
        <x:v>W2-086</x:v>
      </x:c>
      <x:c r="B255" s="14" t="str">
        <x:v>Проєктний сигнал — 24.08</x:v>
      </x:c>
      <x:c r="C255" s="14" t="str">
        <x:v>Екопласт</x:v>
      </x:c>
      <x:c r="D255" s="14" t="str">
        <x:v>Технологічні трубопроводи</x:v>
      </x:c>
      <x:c r="E255" s="14" t="str">
        <x:v>Expansion discovery</x:v>
      </x:c>
      <x:c r="F255" s="17" t="str">
        <x:f>IF(E255="Pilot now",IF(P255&gt;=84,"P1",IF(P255&gt;=72,"P2","P3")),IF(E255="Expansion discovery",IF(Q255&gt;=88,"D1",IF(Q255&gt;=78,"D2","D3")),IF(E255="Later / requirements","L","Legacy")))</x:f>
        <x:v>D1</x:v>
      </x:c>
      <x:c r="G255" s="14" t="str">
        <x:v>ekoplast.com.ua</x:v>
      </x:c>
      <x:c r="H255" s="14" t="str">
        <x:v>2-тижневий workflow discovery — потрібні вимоги одного проєкту</x:v>
      </x:c>
      <x:c r="I255" s="16" t="n">
        <x:v>1</x:v>
      </x:c>
      <x:c r="J255" s="16" t="n">
        <x:v>5</x:v>
      </x:c>
      <x:c r="K255" s="16" t="n">
        <x:v>5</x:v>
      </x:c>
      <x:c r="L255" s="16" t="n">
        <x:v>5</x:v>
      </x:c>
      <x:c r="M255" s="16" t="n">
        <x:v>5</x:v>
      </x:c>
      <x:c r="N255" s="16" t="n">
        <x:v>5</x:v>
      </x:c>
      <x:c r="O255" s="16" t="n">
        <x:v>5</x:v>
      </x:c>
      <x:c r="P255" s="16" t="n">
        <x:f>IF(COUNT(I255:O255)&lt;7,"",I255*8+J255*3+K255*2+L255*2+M255*2+N255*2+O255)</x:f>
        <x:v>68</x:v>
      </x:c>
      <x:c r="Q255" s="16" t="n">
        <x:f>IF(COUNT(J255:O255)&lt;6,"",J255*5+K255*4+M255*4+L255*3+N255*2+O255*2)</x:f>
        <x:v>100</x:v>
      </x:c>
      <x:c r="R255" s="14" t="str">
        <x:v>high</x:v>
      </x:c>
      <x:c r="S255" s="14" t="str">
        <x:v>google_index_verified_2026-08-24</x:v>
      </x:c>
      <x:c r="T255" s="14" t="str">
        <x:v>indexed_official_service_page</x:v>
      </x:c>
      <x:c r="U255" s="14" t="str">
        <x:v>Новий — не контактували</x:v>
      </x:c>
      <x:c r="V255" s="15" t="str">
        <x:v>2-тижневий discovery: запросити вимоги 1 активного проєкту + 1 знеособлений артефакт</x:v>
      </x:c>
      <x:c r="W255" s="15" t="str">
        <x:v>Директор; керівник ПТО; головний зварювальник / контроль якості</x:v>
      </x:c>
      <x:c r="X255" s="15" t="str">
        <x:v>Промислові трубопроводи та ємності. Пошуковий результат веде на індексовану сторінку корпоративного домену: Ємності та трубопроводи — Екопласт.</x:v>
      </x:c>
      <x:c r="Y255" s="15" t="str">
        <x:v>Зварні стики, НК, опори, очищення, гідровипробування й ізоляція вимагають простежуваного пакета до закриття.</x:v>
      </x:c>
      <x:c r="Z255" s="15" t="str">
        <x:v>https://ekoplast.com.ua/ua/2-articles/17-containers-pipes</x:v>
      </x:c>
      <x:c r="AA255" s="14" t="str"/>
      <x:c r="AB255" s="14" t="str">
        <x:v>2026-08-24</x:v>
      </x:c>
      <x:c r="AC255" s="14" t="str">
        <x:v>Олександр</x:v>
      </x:c>
      <x:c r="AD255" s="18" t="str"/>
      <x:c r="AE255" s="14" t="str"/>
    </x:row>
    <x:row r="256">
      <x:c r="A256" s="14" t="str">
        <x:v>W2-087</x:v>
      </x:c>
      <x:c r="B256" s="14" t="str">
        <x:v>Проєктний сигнал — 24.08</x:v>
      </x:c>
      <x:c r="C256" s="14" t="str">
        <x:v>OLAND</x:v>
      </x:c>
      <x:c r="D256" s="14" t="str">
        <x:v>Технологічні трубопроводи</x:v>
      </x:c>
      <x:c r="E256" s="14" t="str">
        <x:v>Expansion discovery</x:v>
      </x:c>
      <x:c r="F256" s="17" t="str">
        <x:f>IF(E256="Pilot now",IF(P256&gt;=84,"P1",IF(P256&gt;=72,"P2","P3")),IF(E256="Expansion discovery",IF(Q256&gt;=88,"D1",IF(Q256&gt;=78,"D2","D3")),IF(E256="Later / requirements","L","Legacy")))</x:f>
        <x:v>D1</x:v>
      </x:c>
      <x:c r="G256" s="14" t="str">
        <x:v>olandgroup.com.ua</x:v>
      </x:c>
      <x:c r="H256" s="14" t="str">
        <x:v>2-тижневий workflow discovery — потрібні вимоги одного проєкту</x:v>
      </x:c>
      <x:c r="I256" s="16" t="n">
        <x:v>1</x:v>
      </x:c>
      <x:c r="J256" s="16" t="n">
        <x:v>5</x:v>
      </x:c>
      <x:c r="K256" s="16" t="n">
        <x:v>5</x:v>
      </x:c>
      <x:c r="L256" s="16" t="n">
        <x:v>5</x:v>
      </x:c>
      <x:c r="M256" s="16" t="n">
        <x:v>5</x:v>
      </x:c>
      <x:c r="N256" s="16" t="n">
        <x:v>5</x:v>
      </x:c>
      <x:c r="O256" s="16" t="n">
        <x:v>5</x:v>
      </x:c>
      <x:c r="P256" s="16" t="n">
        <x:f>IF(COUNT(I256:O256)&lt;7,"",I256*8+J256*3+K256*2+L256*2+M256*2+N256*2+O256)</x:f>
        <x:v>68</x:v>
      </x:c>
      <x:c r="Q256" s="16" t="n">
        <x:f>IF(COUNT(J256:O256)&lt;6,"",J256*5+K256*4+M256*4+L256*3+N256*2+O256*2)</x:f>
        <x:v>100</x:v>
      </x:c>
      <x:c r="R256" s="14" t="str">
        <x:v>high</x:v>
      </x:c>
      <x:c r="S256" s="14" t="str">
        <x:v>google_index_verified_2026-08-24</x:v>
      </x:c>
      <x:c r="T256" s="14" t="str">
        <x:v>indexed_official_service_page</x:v>
      </x:c>
      <x:c r="U256" s="14" t="str">
        <x:v>Новий — не контактували</x:v>
      </x:c>
      <x:c r="V256" s="15" t="str">
        <x:v>2-тижневий discovery: запросити вимоги 1 активного проєкту + 1 знеособлений артефакт</x:v>
      </x:c>
      <x:c r="W256" s="15" t="str">
        <x:v>Директор; керівник ПТО; головний зварювальник / контроль якості</x:v>
      </x:c>
      <x:c r="X256" s="15" t="str">
        <x:v>Монтаж обігріву трубопроводів. Пошуковий результат веде на індексовану сторінку корпоративного домену: Системи кабельного обігріву — OLAND.</x:v>
      </x:c>
      <x:c r="Y256" s="15" t="str">
        <x:v>Зварні стики, НК, опори, очищення, гідровипробування й ізоляція вимагають простежуваного пакета до закриття.</x:v>
      </x:c>
      <x:c r="Z256" s="15" t="str">
        <x:v>https://olandgroup.com.ua/services/mounting/kabelnyj-obigriv/</x:v>
      </x:c>
      <x:c r="AA256" s="14" t="str"/>
      <x:c r="AB256" s="14" t="str">
        <x:v>2026-08-24</x:v>
      </x:c>
      <x:c r="AC256" s="14" t="str">
        <x:v>Олександр</x:v>
      </x:c>
      <x:c r="AD256" s="18" t="str"/>
      <x:c r="AE256" s="14" t="str"/>
    </x:row>
    <x:row r="257">
      <x:c r="A257" s="14" t="str">
        <x:v>W2-088</x:v>
      </x:c>
      <x:c r="B257" s="14" t="str">
        <x:v>Проєктний сигнал — 24.08</x:v>
      </x:c>
      <x:c r="C257" s="14" t="str">
        <x:v>БМУ №460</x:v>
      </x:c>
      <x:c r="D257" s="14" t="str">
        <x:v>Технологічні трубопроводи</x:v>
      </x:c>
      <x:c r="E257" s="14" t="str">
        <x:v>Expansion discovery</x:v>
      </x:c>
      <x:c r="F257" s="17" t="str">
        <x:f>IF(E257="Pilot now",IF(P257&gt;=84,"P1",IF(P257&gt;=72,"P2","P3")),IF(E257="Expansion discovery",IF(Q257&gt;=88,"D1",IF(Q257&gt;=78,"D2","D3")),IF(E257="Later / requirements","L","Legacy")))</x:f>
        <x:v>D1</x:v>
      </x:c>
      <x:c r="G257" s="14" t="str">
        <x:v>bmu460.com.ua</x:v>
      </x:c>
      <x:c r="H257" s="14" t="str">
        <x:v>2-тижневий workflow discovery — потрібні вимоги одного проєкту</x:v>
      </x:c>
      <x:c r="I257" s="16" t="n">
        <x:v>1</x:v>
      </x:c>
      <x:c r="J257" s="16" t="n">
        <x:v>5</x:v>
      </x:c>
      <x:c r="K257" s="16" t="n">
        <x:v>5</x:v>
      </x:c>
      <x:c r="L257" s="16" t="n">
        <x:v>5</x:v>
      </x:c>
      <x:c r="M257" s="16" t="n">
        <x:v>5</x:v>
      </x:c>
      <x:c r="N257" s="16" t="n">
        <x:v>5</x:v>
      </x:c>
      <x:c r="O257" s="16" t="n">
        <x:v>5</x:v>
      </x:c>
      <x:c r="P257" s="16" t="n">
        <x:f>IF(COUNT(I257:O257)&lt;7,"",I257*8+J257*3+K257*2+L257*2+M257*2+N257*2+O257)</x:f>
        <x:v>68</x:v>
      </x:c>
      <x:c r="Q257" s="16" t="n">
        <x:f>IF(COUNT(J257:O257)&lt;6,"",J257*5+K257*4+M257*4+L257*3+N257*2+O257*2)</x:f>
        <x:v>100</x:v>
      </x:c>
      <x:c r="R257" s="14" t="str">
        <x:v>high</x:v>
      </x:c>
      <x:c r="S257" s="14" t="str">
        <x:v>google_index_verified_2026-08-24</x:v>
      </x:c>
      <x:c r="T257" s="14" t="str">
        <x:v>indexed_official_service_page</x:v>
      </x:c>
      <x:c r="U257" s="14" t="str">
        <x:v>Новий — не контактували</x:v>
      </x:c>
      <x:c r="V257" s="15" t="str">
        <x:v>2-тижневий discovery: запросити вимоги 1 активного проєкту + 1 знеособлений артефакт</x:v>
      </x:c>
      <x:c r="W257" s="15" t="str">
        <x:v>Директор; керівник ПТО; головний зварювальник / контроль якості</x:v>
      </x:c>
      <x:c r="X257" s="15" t="str">
        <x:v>Промисловий і магістральний монтаж. Пошуковий результат веде на індексовану сторінку корпоративного домену: Монтаж технологічних і магістральних трубопроводів — БМУ №460.</x:v>
      </x:c>
      <x:c r="Y257" s="15" t="str">
        <x:v>Зварні стики, НК, опори, очищення, гідровипробування й ізоляція вимагають простежуваного пакета до закриття.</x:v>
      </x:c>
      <x:c r="Z257" s="15" t="str">
        <x:v>https://bmu460.com.ua/montagh-tehnologicheskih-i-magistralynyh-truboprovodov</x:v>
      </x:c>
      <x:c r="AA257" s="14" t="str"/>
      <x:c r="AB257" s="14" t="str">
        <x:v>2026-08-24</x:v>
      </x:c>
      <x:c r="AC257" s="14" t="str">
        <x:v>Олександр</x:v>
      </x:c>
      <x:c r="AD257" s="18" t="str"/>
      <x:c r="AE257" s="14" t="str"/>
    </x:row>
    <x:row r="258">
      <x:c r="A258" s="14" t="str">
        <x:v>W2-089</x:v>
      </x:c>
      <x:c r="B258" s="14" t="str">
        <x:v>Проєктний сигнал — 24.08</x:v>
      </x:c>
      <x:c r="C258" s="14" t="str">
        <x:v>PVCPIPE.UA</x:v>
      </x:c>
      <x:c r="D258" s="14" t="str">
        <x:v>Технологічні трубопроводи</x:v>
      </x:c>
      <x:c r="E258" s="14" t="str">
        <x:v>Expansion discovery</x:v>
      </x:c>
      <x:c r="F258" s="17" t="str">
        <x:f>IF(E258="Pilot now",IF(P258&gt;=84,"P1",IF(P258&gt;=72,"P2","P3")),IF(E258="Expansion discovery",IF(Q258&gt;=88,"D1",IF(Q258&gt;=78,"D2","D3")),IF(E258="Later / requirements","L","Legacy")))</x:f>
        <x:v>D1</x:v>
      </x:c>
      <x:c r="G258" s="14" t="str">
        <x:v>pvcpipe.ua</x:v>
      </x:c>
      <x:c r="H258" s="14" t="str">
        <x:v>2-тижневий workflow discovery — потрібні вимоги одного проєкту</x:v>
      </x:c>
      <x:c r="I258" s="16" t="n">
        <x:v>1</x:v>
      </x:c>
      <x:c r="J258" s="16" t="n">
        <x:v>5</x:v>
      </x:c>
      <x:c r="K258" s="16" t="n">
        <x:v>5</x:v>
      </x:c>
      <x:c r="L258" s="16" t="n">
        <x:v>5</x:v>
      </x:c>
      <x:c r="M258" s="16" t="n">
        <x:v>5</x:v>
      </x:c>
      <x:c r="N258" s="16" t="n">
        <x:v>5</x:v>
      </x:c>
      <x:c r="O258" s="16" t="n">
        <x:v>5</x:v>
      </x:c>
      <x:c r="P258" s="16" t="n">
        <x:f>IF(COUNT(I258:O258)&lt;7,"",I258*8+J258*3+K258*2+L258*2+M258*2+N258*2+O258)</x:f>
        <x:v>68</x:v>
      </x:c>
      <x:c r="Q258" s="16" t="n">
        <x:f>IF(COUNT(J258:O258)&lt;6,"",J258*5+K258*4+M258*4+L258*3+N258*2+O258*2)</x:f>
        <x:v>100</x:v>
      </x:c>
      <x:c r="R258" s="14" t="str">
        <x:v>high</x:v>
      </x:c>
      <x:c r="S258" s="14" t="str">
        <x:v>google_index_verified_2026-08-24</x:v>
      </x:c>
      <x:c r="T258" s="14" t="str">
        <x:v>indexed_official_service_page</x:v>
      </x:c>
      <x:c r="U258" s="14" t="str">
        <x:v>Новий — не контактували</x:v>
      </x:c>
      <x:c r="V258" s="15" t="str">
        <x:v>2-тижневий discovery: запросити вимоги 1 активного проєкту + 1 знеособлений артефакт</x:v>
      </x:c>
      <x:c r="W258" s="15" t="str">
        <x:v>Директор; керівник ПТО; головний зварювальник / контроль якості</x:v>
      </x:c>
      <x:c r="X258" s="15" t="str">
        <x:v>Проєктування і монтаж пластикових трубопроводів. Пошуковий результат веде на індексовану сторінку корпоративного домену: Промислові трубопроводи з пластика — PVCPIPE.UA.</x:v>
      </x:c>
      <x:c r="Y258" s="15" t="str">
        <x:v>Зварні стики, НК, опори, очищення, гідровипробування й ізоляція вимагають простежуваного пакета до закриття.</x:v>
      </x:c>
      <x:c r="Z258" s="15" t="str">
        <x:v>https://pvcpipe.ua/ua/promyshlennye-truboprovody-iz-plastika/</x:v>
      </x:c>
      <x:c r="AA258" s="14" t="str"/>
      <x:c r="AB258" s="14" t="str">
        <x:v>2026-08-24</x:v>
      </x:c>
      <x:c r="AC258" s="14" t="str">
        <x:v>Олександр</x:v>
      </x:c>
      <x:c r="AD258" s="18" t="str"/>
      <x:c r="AE258" s="14" t="str"/>
    </x:row>
    <x:row r="259">
      <x:c r="A259" s="14" t="str">
        <x:v>W2-090</x:v>
      </x:c>
      <x:c r="B259" s="14" t="str">
        <x:v>Проєктний сигнал — 24.08</x:v>
      </x:c>
      <x:c r="C259" s="14" t="str">
        <x:v>Ukrainian Bridge Company</x:v>
      </x:c>
      <x:c r="D259" s="14" t="str">
        <x:v>Мости та інфраструктура</x:v>
      </x:c>
      <x:c r="E259" s="14" t="str">
        <x:v>Expansion discovery</x:v>
      </x:c>
      <x:c r="F259" s="17" t="str">
        <x:f>IF(E259="Pilot now",IF(P259&gt;=84,"P1",IF(P259&gt;=72,"P2","P3")),IF(E259="Expansion discovery",IF(Q259&gt;=88,"D1",IF(Q259&gt;=78,"D2","D3")),IF(E259="Later / requirements","L","Legacy")))</x:f>
        <x:v>D1</x:v>
      </x:c>
      <x:c r="G259" s="14" t="str">
        <x:v>ukrbridge.com</x:v>
      </x:c>
      <x:c r="H259" s="14" t="str">
        <x:v>2-тижневий workflow discovery — потрібні вимоги одного проєкту</x:v>
      </x:c>
      <x:c r="I259" s="16" t="n">
        <x:v>1</x:v>
      </x:c>
      <x:c r="J259" s="16" t="n">
        <x:v>5</x:v>
      </x:c>
      <x:c r="K259" s="16" t="n">
        <x:v>5</x:v>
      </x:c>
      <x:c r="L259" s="16" t="n">
        <x:v>5</x:v>
      </x:c>
      <x:c r="M259" s="16" t="n">
        <x:v>5</x:v>
      </x:c>
      <x:c r="N259" s="16" t="n">
        <x:v>5</x:v>
      </x:c>
      <x:c r="O259" s="16" t="n">
        <x:v>5</x:v>
      </x:c>
      <x:c r="P259" s="16" t="n">
        <x:f>IF(COUNT(I259:O259)&lt;7,"",I259*8+J259*3+K259*2+L259*2+M259*2+N259*2+O259)</x:f>
        <x:v>68</x:v>
      </x:c>
      <x:c r="Q259" s="16" t="n">
        <x:f>IF(COUNT(J259:O259)&lt;6,"",J259*5+K259*4+M259*4+L259*3+N259*2+O259*2)</x:f>
        <x:v>100</x:v>
      </x:c>
      <x:c r="R259" s="14" t="str">
        <x:v>high</x:v>
      </x:c>
      <x:c r="S259" s="14" t="str">
        <x:v>google_index_verified_2026-08-24</x:v>
      </x:c>
      <x:c r="T259" s="14" t="str">
        <x:v>indexed_official_service_page</x:v>
      </x:c>
      <x:c r="U259" s="14" t="str">
        <x:v>Новий — не контактували</x:v>
      </x:c>
      <x:c r="V259" s="15" t="str">
        <x:v>2-тижневий discovery: запросити вимоги 1 активного проєкту + 1 знеособлений артефакт</x:v>
      </x:c>
      <x:c r="W259" s="15" t="str">
        <x:v>Комерційний директор; головний інженер; керівник ПТО / якості</x:v>
      </x:c>
      <x:c r="X259" s="15" t="str">
        <x:v>Будівництво і ремонт мостів. Пошуковий результат веде на індексовану сторінку корпоративного домену: Послуги — Ukrainian Bridge Company.</x:v>
      </x:c>
      <x:c r="Y259" s="15" t="str">
        <x:v>Армування, опори, зварювання, бетонування, гідроізоляція й лабораторні протоколи приймаються до наступного шару.</x:v>
      </x:c>
      <x:c r="Z259" s="15" t="str">
        <x:v>https://ukrbridge.com/services/</x:v>
      </x:c>
      <x:c r="AA259" s="14" t="str"/>
      <x:c r="AB259" s="14" t="str">
        <x:v>2026-08-24</x:v>
      </x:c>
      <x:c r="AC259" s="14" t="str">
        <x:v>Олександр</x:v>
      </x:c>
      <x:c r="AD259" s="18" t="str"/>
      <x:c r="AE259" s="14" t="str"/>
    </x:row>
    <x:row r="260">
      <x:c r="A260" s="14" t="str">
        <x:v>W2-091</x:v>
      </x:c>
      <x:c r="B260" s="14" t="str">
        <x:v>Проєктний сигнал — 24.08</x:v>
      </x:c>
      <x:c r="C260" s="14" t="str">
        <x:v>URD</x:v>
      </x:c>
      <x:c r="D260" s="14" t="str">
        <x:v>Мости та інфраструктура</x:v>
      </x:c>
      <x:c r="E260" s="14" t="str">
        <x:v>Expansion discovery</x:v>
      </x:c>
      <x:c r="F260" s="17" t="str">
        <x:f>IF(E260="Pilot now",IF(P260&gt;=84,"P1",IF(P260&gt;=72,"P2","P3")),IF(E260="Expansion discovery",IF(Q260&gt;=88,"D1",IF(Q260&gt;=78,"D2","D3")),IF(E260="Later / requirements","L","Legacy")))</x:f>
        <x:v>D1</x:v>
      </x:c>
      <x:c r="G260" s="14" t="str">
        <x:v>urd.in.ua</x:v>
      </x:c>
      <x:c r="H260" s="14" t="str">
        <x:v>2-тижневий workflow discovery — потрібні вимоги одного проєкту</x:v>
      </x:c>
      <x:c r="I260" s="16" t="n">
        <x:v>1</x:v>
      </x:c>
      <x:c r="J260" s="16" t="n">
        <x:v>5</x:v>
      </x:c>
      <x:c r="K260" s="16" t="n">
        <x:v>5</x:v>
      </x:c>
      <x:c r="L260" s="16" t="n">
        <x:v>5</x:v>
      </x:c>
      <x:c r="M260" s="16" t="n">
        <x:v>5</x:v>
      </x:c>
      <x:c r="N260" s="16" t="n">
        <x:v>5</x:v>
      </x:c>
      <x:c r="O260" s="16" t="n">
        <x:v>5</x:v>
      </x:c>
      <x:c r="P260" s="16" t="n">
        <x:f>IF(COUNT(I260:O260)&lt;7,"",I260*8+J260*3+K260*2+L260*2+M260*2+N260*2+O260)</x:f>
        <x:v>68</x:v>
      </x:c>
      <x:c r="Q260" s="16" t="n">
        <x:f>IF(COUNT(J260:O260)&lt;6,"",J260*5+K260*4+M260*4+L260*3+N260*2+O260*2)</x:f>
        <x:v>100</x:v>
      </x:c>
      <x:c r="R260" s="14" t="str">
        <x:v>high</x:v>
      </x:c>
      <x:c r="S260" s="14" t="str">
        <x:v>google_index_verified_2026-08-24</x:v>
      </x:c>
      <x:c r="T260" s="14" t="str">
        <x:v>indexed_official_service_page</x:v>
      </x:c>
      <x:c r="U260" s="14" t="str">
        <x:v>Новий — не контактували</x:v>
      </x:c>
      <x:c r="V260" s="15" t="str">
        <x:v>2-тижневий discovery: запросити вимоги 1 активного проєкту + 1 знеособлений артефакт</x:v>
      </x:c>
      <x:c r="W260" s="15" t="str">
        <x:v>Комерційний директор; головний інженер; керівник ПТО / якості</x:v>
      </x:c>
      <x:c r="X260" s="15" t="str">
        <x:v>Публічне портфоліо мостових робіт. Пошуковий результат веде на індексовану сторінку корпоративного домену: Портфоліо мостів — URD.</x:v>
      </x:c>
      <x:c r="Y260" s="15" t="str">
        <x:v>Армування, опори, зварювання, бетонування, гідроізоляція й лабораторні протоколи приймаються до наступного шару.</x:v>
      </x:c>
      <x:c r="Z260" s="15" t="str">
        <x:v>https://urd.in.ua/mosty/portfolio/</x:v>
      </x:c>
      <x:c r="AA260" s="14" t="str"/>
      <x:c r="AB260" s="14" t="str">
        <x:v>2026-08-24</x:v>
      </x:c>
      <x:c r="AC260" s="14" t="str">
        <x:v>Олександр</x:v>
      </x:c>
      <x:c r="AD260" s="18" t="str"/>
      <x:c r="AE260" s="14" t="str"/>
    </x:row>
    <x:row r="261">
      <x:c r="A261" s="14" t="str">
        <x:v>W2-092</x:v>
      </x:c>
      <x:c r="B261" s="14" t="str">
        <x:v>Проєктний сигнал — 24.08</x:v>
      </x:c>
      <x:c r="C261" s="14" t="str">
        <x:v>Об'єднана Мостобудівельна Компанія</x:v>
      </x:c>
      <x:c r="D261" s="14" t="str">
        <x:v>Мости та інфраструктура</x:v>
      </x:c>
      <x:c r="E261" s="14" t="str">
        <x:v>Expansion discovery</x:v>
      </x:c>
      <x:c r="F261" s="17" t="str">
        <x:f>IF(E261="Pilot now",IF(P261&gt;=84,"P1",IF(P261&gt;=72,"P2","P3")),IF(E261="Expansion discovery",IF(Q261&gt;=88,"D1",IF(Q261&gt;=78,"D2","D3")),IF(E261="Later / requirements","L","Legacy")))</x:f>
        <x:v>D1</x:v>
      </x:c>
      <x:c r="G261" s="14" t="str">
        <x:v>omk.industries</x:v>
      </x:c>
      <x:c r="H261" s="14" t="str">
        <x:v>2-тижневий workflow discovery — потрібні вимоги одного проєкту</x:v>
      </x:c>
      <x:c r="I261" s="16" t="n">
        <x:v>1</x:v>
      </x:c>
      <x:c r="J261" s="16" t="n">
        <x:v>5</x:v>
      </x:c>
      <x:c r="K261" s="16" t="n">
        <x:v>5</x:v>
      </x:c>
      <x:c r="L261" s="16" t="n">
        <x:v>5</x:v>
      </x:c>
      <x:c r="M261" s="16" t="n">
        <x:v>5</x:v>
      </x:c>
      <x:c r="N261" s="16" t="n">
        <x:v>5</x:v>
      </x:c>
      <x:c r="O261" s="16" t="n">
        <x:v>5</x:v>
      </x:c>
      <x:c r="P261" s="16" t="n">
        <x:f>IF(COUNT(I261:O261)&lt;7,"",I261*8+J261*3+K261*2+L261*2+M261*2+N261*2+O261)</x:f>
        <x:v>68</x:v>
      </x:c>
      <x:c r="Q261" s="16" t="n">
        <x:f>IF(COUNT(J261:O261)&lt;6,"",J261*5+K261*4+M261*4+L261*3+N261*2+O261*2)</x:f>
        <x:v>100</x:v>
      </x:c>
      <x:c r="R261" s="14" t="str">
        <x:v>high</x:v>
      </x:c>
      <x:c r="S261" s="14" t="str">
        <x:v>google_index_verified_2026-08-24</x:v>
      </x:c>
      <x:c r="T261" s="14" t="str">
        <x:v>indexed_official_service_page</x:v>
      </x:c>
      <x:c r="U261" s="14" t="str">
        <x:v>Новий — не контактували</x:v>
      </x:c>
      <x:c r="V261" s="15" t="str">
        <x:v>2-тижневий discovery: запросити вимоги 1 активного проєкту + 1 знеособлений артефакт</x:v>
      </x:c>
      <x:c r="W261" s="15" t="str">
        <x:v>Комерційний директор; головний інженер; керівник ПТО / якості</x:v>
      </x:c>
      <x:c r="X261" s="15" t="str">
        <x:v>Спеціалізований мостобудівельний підрядник. Пошуковий результат веде на індексовану сторінку корпоративного домену: Об'єднана Мостобудівельна Компанія.</x:v>
      </x:c>
      <x:c r="Y261" s="15" t="str">
        <x:v>Армування, опори, зварювання, бетонування, гідроізоляція й лабораторні протоколи приймаються до наступного шару.</x:v>
      </x:c>
      <x:c r="Z261" s="15" t="str">
        <x:v>https://omk.industries/</x:v>
      </x:c>
      <x:c r="AA261" s="14" t="str"/>
      <x:c r="AB261" s="14" t="str">
        <x:v>2026-08-24</x:v>
      </x:c>
      <x:c r="AC261" s="14" t="str">
        <x:v>Олександр</x:v>
      </x:c>
      <x:c r="AD261" s="18" t="str"/>
      <x:c r="AE261" s="14" t="str"/>
    </x:row>
    <x:row r="262">
      <x:c r="A262" s="14" t="str">
        <x:v>W2-093</x:v>
      </x:c>
      <x:c r="B262" s="14" t="str">
        <x:v>Проєктний сигнал — 24.08</x:v>
      </x:c>
      <x:c r="C262" s="14" t="str">
        <x:v>RGM Group</x:v>
      </x:c>
      <x:c r="D262" s="14" t="str">
        <x:v>Мости та інфраструктура</x:v>
      </x:c>
      <x:c r="E262" s="14" t="str">
        <x:v>Expansion discovery</x:v>
      </x:c>
      <x:c r="F262" s="17" t="str">
        <x:f>IF(E262="Pilot now",IF(P262&gt;=84,"P1",IF(P262&gt;=72,"P2","P3")),IF(E262="Expansion discovery",IF(Q262&gt;=88,"D1",IF(Q262&gt;=78,"D2","D3")),IF(E262="Later / requirements","L","Legacy")))</x:f>
        <x:v>D1</x:v>
      </x:c>
      <x:c r="G262" s="14" t="str">
        <x:v>rgm-group.com.ua</x:v>
      </x:c>
      <x:c r="H262" s="14" t="str">
        <x:v>2-тижневий workflow discovery — потрібні вимоги одного проєкту</x:v>
      </x:c>
      <x:c r="I262" s="16" t="n">
        <x:v>1</x:v>
      </x:c>
      <x:c r="J262" s="16" t="n">
        <x:v>5</x:v>
      </x:c>
      <x:c r="K262" s="16" t="n">
        <x:v>5</x:v>
      </x:c>
      <x:c r="L262" s="16" t="n">
        <x:v>5</x:v>
      </x:c>
      <x:c r="M262" s="16" t="n">
        <x:v>5</x:v>
      </x:c>
      <x:c r="N262" s="16" t="n">
        <x:v>5</x:v>
      </x:c>
      <x:c r="O262" s="16" t="n">
        <x:v>5</x:v>
      </x:c>
      <x:c r="P262" s="16" t="n">
        <x:f>IF(COUNT(I262:O262)&lt;7,"",I262*8+J262*3+K262*2+L262*2+M262*2+N262*2+O262)</x:f>
        <x:v>68</x:v>
      </x:c>
      <x:c r="Q262" s="16" t="n">
        <x:f>IF(COUNT(J262:O262)&lt;6,"",J262*5+K262*4+M262*4+L262*3+N262*2+O262*2)</x:f>
        <x:v>100</x:v>
      </x:c>
      <x:c r="R262" s="14" t="str">
        <x:v>high</x:v>
      </x:c>
      <x:c r="S262" s="14" t="str">
        <x:v>google_index_verified_2026-08-24</x:v>
      </x:c>
      <x:c r="T262" s="14" t="str">
        <x:v>indexed_official_service_page</x:v>
      </x:c>
      <x:c r="U262" s="14" t="str">
        <x:v>Новий — не контактували</x:v>
      </x:c>
      <x:c r="V262" s="15" t="str">
        <x:v>2-тижневий discovery: запросити вимоги 1 активного проєкту + 1 знеособлений артефакт</x:v>
      </x:c>
      <x:c r="W262" s="15" t="str">
        <x:v>Комерційний директор; головний інженер; керівник ПТО / якості</x:v>
      </x:c>
      <x:c r="X262" s="15" t="str">
        <x:v>Будівництво і ремонт мостів. Пошуковий результат веде на індексовану сторінку корпоративного домену: Мости — RGM Group.</x:v>
      </x:c>
      <x:c r="Y262" s="15" t="str">
        <x:v>Армування, опори, зварювання, бетонування, гідроізоляція й лабораторні протоколи приймаються до наступного шару.</x:v>
      </x:c>
      <x:c r="Z262" s="15" t="str">
        <x:v>https://rgm-group.com.ua/mosty/</x:v>
      </x:c>
      <x:c r="AA262" s="14" t="str"/>
      <x:c r="AB262" s="14" t="str">
        <x:v>2026-08-24</x:v>
      </x:c>
      <x:c r="AC262" s="14" t="str">
        <x:v>Олександр</x:v>
      </x:c>
      <x:c r="AD262" s="18" t="str"/>
      <x:c r="AE262" s="14" t="str"/>
    </x:row>
    <x:row r="263">
      <x:c r="A263" s="14" t="str">
        <x:v>W2-094</x:v>
      </x:c>
      <x:c r="B263" s="14" t="str">
        <x:v>Проєктний сигнал — 24.08</x:v>
      </x:c>
      <x:c r="C263" s="14" t="str">
        <x:v>Автомагістраль-Південь</x:v>
      </x:c>
      <x:c r="D263" s="14" t="str">
        <x:v>Мости та інфраструктура</x:v>
      </x:c>
      <x:c r="E263" s="14" t="str">
        <x:v>Expansion discovery</x:v>
      </x:c>
      <x:c r="F263" s="17" t="str">
        <x:f>IF(E263="Pilot now",IF(P263&gt;=84,"P1",IF(P263&gt;=72,"P2","P3")),IF(E263="Expansion discovery",IF(Q263&gt;=88,"D1",IF(Q263&gt;=78,"D2","D3")),IF(E263="Later / requirements","L","Legacy")))</x:f>
        <x:v>D1</x:v>
      </x:c>
      <x:c r="G263" s="14" t="str">
        <x:v>automagistral.com.ua</x:v>
      </x:c>
      <x:c r="H263" s="14" t="str">
        <x:v>2-тижневий workflow discovery — потрібні вимоги одного проєкту</x:v>
      </x:c>
      <x:c r="I263" s="16" t="n">
        <x:v>1</x:v>
      </x:c>
      <x:c r="J263" s="16" t="n">
        <x:v>5</x:v>
      </x:c>
      <x:c r="K263" s="16" t="n">
        <x:v>5</x:v>
      </x:c>
      <x:c r="L263" s="16" t="n">
        <x:v>5</x:v>
      </x:c>
      <x:c r="M263" s="16" t="n">
        <x:v>5</x:v>
      </x:c>
      <x:c r="N263" s="16" t="n">
        <x:v>5</x:v>
      </x:c>
      <x:c r="O263" s="16" t="n">
        <x:v>5</x:v>
      </x:c>
      <x:c r="P263" s="16" t="n">
        <x:f>IF(COUNT(I263:O263)&lt;7,"",I263*8+J263*3+K263*2+L263*2+M263*2+N263*2+O263)</x:f>
        <x:v>68</x:v>
      </x:c>
      <x:c r="Q263" s="16" t="n">
        <x:f>IF(COUNT(J263:O263)&lt;6,"",J263*5+K263*4+M263*4+L263*3+N263*2+O263*2)</x:f>
        <x:v>100</x:v>
      </x:c>
      <x:c r="R263" s="14" t="str">
        <x:v>high</x:v>
      </x:c>
      <x:c r="S263" s="14" t="str">
        <x:v>google_index_verified_2026-08-24</x:v>
      </x:c>
      <x:c r="T263" s="14" t="str">
        <x:v>indexed_official_service_page</x:v>
      </x:c>
      <x:c r="U263" s="14" t="str">
        <x:v>Новий — не контактували</x:v>
      </x:c>
      <x:c r="V263" s="15" t="str">
        <x:v>2-тижневий discovery: запросити вимоги 1 активного проєкту + 1 знеособлений артефакт</x:v>
      </x:c>
      <x:c r="W263" s="15" t="str">
        <x:v>Комерційний директор; головний інженер; керівник ПТО / якості</x:v>
      </x:c>
      <x:c r="X263" s="15" t="str">
        <x:v>Окремий мостобудівельний підрозділ. Пошуковий результат веде на індексовану сторінку корпоративного домену: Мостобудівельний підрозділ — Автомагістраль-Південь.</x:v>
      </x:c>
      <x:c r="Y263" s="15" t="str">
        <x:v>Армування, опори, зварювання, бетонування, гідроізоляція й лабораторні протоколи приймаються до наступного шару.</x:v>
      </x:c>
      <x:c r="Z263" s="15" t="str">
        <x:v>https://automagistral.com.ua/mostobudivelnyi-pidrozdil/</x:v>
      </x:c>
      <x:c r="AA263" s="14" t="str"/>
      <x:c r="AB263" s="14" t="str">
        <x:v>2026-08-24</x:v>
      </x:c>
      <x:c r="AC263" s="14" t="str">
        <x:v>Олександр</x:v>
      </x:c>
      <x:c r="AD263" s="18" t="str"/>
      <x:c r="AE263" s="14" t="str"/>
    </x:row>
    <x:row r="264">
      <x:c r="A264" s="14" t="str">
        <x:v>W2-095</x:v>
      </x:c>
      <x:c r="B264" s="14" t="str">
        <x:v>Проєктний сигнал — 24.08</x:v>
      </x:c>
      <x:c r="C264" s="14" t="str">
        <x:v>Monolit Group</x:v>
      </x:c>
      <x:c r="D264" s="14" t="str">
        <x:v>Мости та інфраструктура</x:v>
      </x:c>
      <x:c r="E264" s="14" t="str">
        <x:v>Expansion discovery</x:v>
      </x:c>
      <x:c r="F264" s="17" t="str">
        <x:f>IF(E264="Pilot now",IF(P264&gt;=84,"P1",IF(P264&gt;=72,"P2","P3")),IF(E264="Expansion discovery",IF(Q264&gt;=88,"D1",IF(Q264&gt;=78,"D2","D3")),IF(E264="Later / requirements","L","Legacy")))</x:f>
        <x:v>D1</x:v>
      </x:c>
      <x:c r="G264" s="14" t="str">
        <x:v>monolit-grup.com.ua</x:v>
      </x:c>
      <x:c r="H264" s="14" t="str">
        <x:v>2-тижневий workflow discovery — потрібні вимоги одного проєкту</x:v>
      </x:c>
      <x:c r="I264" s="16" t="n">
        <x:v>1</x:v>
      </x:c>
      <x:c r="J264" s="16" t="n">
        <x:v>5</x:v>
      </x:c>
      <x:c r="K264" s="16" t="n">
        <x:v>5</x:v>
      </x:c>
      <x:c r="L264" s="16" t="n">
        <x:v>5</x:v>
      </x:c>
      <x:c r="M264" s="16" t="n">
        <x:v>5</x:v>
      </x:c>
      <x:c r="N264" s="16" t="n">
        <x:v>5</x:v>
      </x:c>
      <x:c r="O264" s="16" t="n">
        <x:v>5</x:v>
      </x:c>
      <x:c r="P264" s="16" t="n">
        <x:f>IF(COUNT(I264:O264)&lt;7,"",I264*8+J264*3+K264*2+L264*2+M264*2+N264*2+O264)</x:f>
        <x:v>68</x:v>
      </x:c>
      <x:c r="Q264" s="16" t="n">
        <x:f>IF(COUNT(J264:O264)&lt;6,"",J264*5+K264*4+M264*4+L264*3+N264*2+O264*2)</x:f>
        <x:v>100</x:v>
      </x:c>
      <x:c r="R264" s="14" t="str">
        <x:v>high</x:v>
      </x:c>
      <x:c r="S264" s="14" t="str">
        <x:v>google_index_verified_2026-08-24</x:v>
      </x:c>
      <x:c r="T264" s="14" t="str">
        <x:v>indexed_official_service_page</x:v>
      </x:c>
      <x:c r="U264" s="14" t="str">
        <x:v>Новий — не контактували</x:v>
      </x:c>
      <x:c r="V264" s="15" t="str">
        <x:v>2-тижневий discovery: запросити вимоги 1 активного проєкту + 1 знеособлений артефакт</x:v>
      </x:c>
      <x:c r="W264" s="15" t="str">
        <x:v>Комерційний директор; головний інженер; керівник ПТО / якості</x:v>
      </x:c>
      <x:c r="X264" s="15" t="str">
        <x:v>Мостове будівництво. Пошуковий результат веде на індексовану сторінку корпоративного домену: Будівництво мостів — Monolit Group.</x:v>
      </x:c>
      <x:c r="Y264" s="15" t="str">
        <x:v>Армування, опори, зварювання, бетонування, гідроізоляція й лабораторні протоколи приймаються до наступного шару.</x:v>
      </x:c>
      <x:c r="Z264" s="15" t="str">
        <x:v>https://monolit-grup.com.ua/stroitelstvo-mostov/</x:v>
      </x:c>
      <x:c r="AA264" s="14" t="str"/>
      <x:c r="AB264" s="14" t="str">
        <x:v>2026-08-24</x:v>
      </x:c>
      <x:c r="AC264" s="14" t="str">
        <x:v>Олександр</x:v>
      </x:c>
      <x:c r="AD264" s="18" t="str"/>
      <x:c r="AE264" s="14" t="str"/>
    </x:row>
    <x:row r="265">
      <x:c r="A265" s="14" t="str">
        <x:v>W2-096</x:v>
      </x:c>
      <x:c r="B265" s="14" t="str">
        <x:v>Проєктний сигнал — 24.08</x:v>
      </x:c>
      <x:c r="C265" s="14" t="str">
        <x:v>Укртрансмiст</x:v>
      </x:c>
      <x:c r="D265" s="14" t="str">
        <x:v>Мости та інфраструктура</x:v>
      </x:c>
      <x:c r="E265" s="14" t="str">
        <x:v>Expansion discovery</x:v>
      </x:c>
      <x:c r="F265" s="17" t="str">
        <x:f>IF(E265="Pilot now",IF(P265&gt;=84,"P1",IF(P265&gt;=72,"P2","P3")),IF(E265="Expansion discovery",IF(Q265&gt;=88,"D1",IF(Q265&gt;=78,"D2","D3")),IF(E265="Later / requirements","L","Legacy")))</x:f>
        <x:v>D1</x:v>
      </x:c>
      <x:c r="G265" s="14" t="str">
        <x:v>ukrtransmist.ua</x:v>
      </x:c>
      <x:c r="H265" s="14" t="str">
        <x:v>2-тижневий workflow discovery — потрібні вимоги одного проєкту</x:v>
      </x:c>
      <x:c r="I265" s="16" t="n">
        <x:v>1</x:v>
      </x:c>
      <x:c r="J265" s="16" t="n">
        <x:v>5</x:v>
      </x:c>
      <x:c r="K265" s="16" t="n">
        <x:v>5</x:v>
      </x:c>
      <x:c r="L265" s="16" t="n">
        <x:v>5</x:v>
      </x:c>
      <x:c r="M265" s="16" t="n">
        <x:v>5</x:v>
      </x:c>
      <x:c r="N265" s="16" t="n">
        <x:v>5</x:v>
      </x:c>
      <x:c r="O265" s="16" t="n">
        <x:v>5</x:v>
      </x:c>
      <x:c r="P265" s="16" t="n">
        <x:f>IF(COUNT(I265:O265)&lt;7,"",I265*8+J265*3+K265*2+L265*2+M265*2+N265*2+O265)</x:f>
        <x:v>68</x:v>
      </x:c>
      <x:c r="Q265" s="16" t="n">
        <x:f>IF(COUNT(J265:O265)&lt;6,"",J265*5+K265*4+M265*4+L265*3+N265*2+O265*2)</x:f>
        <x:v>100</x:v>
      </x:c>
      <x:c r="R265" s="14" t="str">
        <x:v>high</x:v>
      </x:c>
      <x:c r="S265" s="14" t="str">
        <x:v>google_index_verified_2026-08-24</x:v>
      </x:c>
      <x:c r="T265" s="14" t="str">
        <x:v>indexed_official_service_page</x:v>
      </x:c>
      <x:c r="U265" s="14" t="str">
        <x:v>Новий — не контактували</x:v>
      </x:c>
      <x:c r="V265" s="15" t="str">
        <x:v>2-тижневий discovery: запросити вимоги 1 активного проєкту + 1 знеособлений артефакт</x:v>
      </x:c>
      <x:c r="W265" s="15" t="str">
        <x:v>Комерційний директор; головний інженер; керівник ПТО / якості</x:v>
      </x:c>
      <x:c r="X265" s="15" t="str">
        <x:v>Мостобудівельна компанія. Пошуковий результат веде на індексовану сторінку корпоративного домену: Укртрансмiст.</x:v>
      </x:c>
      <x:c r="Y265" s="15" t="str">
        <x:v>Армування, опори, зварювання, бетонування, гідроізоляція й лабораторні протоколи приймаються до наступного шару.</x:v>
      </x:c>
      <x:c r="Z265" s="15" t="str">
        <x:v>https://ukrtransmist.ua/company</x:v>
      </x:c>
      <x:c r="AA265" s="14" t="str"/>
      <x:c r="AB265" s="14" t="str">
        <x:v>2026-08-24</x:v>
      </x:c>
      <x:c r="AC265" s="14" t="str">
        <x:v>Олександр</x:v>
      </x:c>
      <x:c r="AD265" s="18" t="str"/>
      <x:c r="AE265" s="14" t="str"/>
    </x:row>
    <x:row r="266">
      <x:c r="A266" s="14" t="str">
        <x:v>W2-097</x:v>
      </x:c>
      <x:c r="B266" s="14" t="str">
        <x:v>Проєктний сигнал — 24.08</x:v>
      </x:c>
      <x:c r="C266" s="14" t="str">
        <x:v>Mostobud Group</x:v>
      </x:c>
      <x:c r="D266" s="14" t="str">
        <x:v>Мости та інфраструктура</x:v>
      </x:c>
      <x:c r="E266" s="14" t="str">
        <x:v>Expansion discovery</x:v>
      </x:c>
      <x:c r="F266" s="17" t="str">
        <x:f>IF(E266="Pilot now",IF(P266&gt;=84,"P1",IF(P266&gt;=72,"P2","P3")),IF(E266="Expansion discovery",IF(Q266&gt;=88,"D1",IF(Q266&gt;=78,"D2","D3")),IF(E266="Later / requirements","L","Legacy")))</x:f>
        <x:v>D1</x:v>
      </x:c>
      <x:c r="G266" s="14" t="str">
        <x:v>mostobud-group.com</x:v>
      </x:c>
      <x:c r="H266" s="14" t="str">
        <x:v>2-тижневий workflow discovery — потрібні вимоги одного проєкту</x:v>
      </x:c>
      <x:c r="I266" s="16" t="n">
        <x:v>1</x:v>
      </x:c>
      <x:c r="J266" s="16" t="n">
        <x:v>5</x:v>
      </x:c>
      <x:c r="K266" s="16" t="n">
        <x:v>5</x:v>
      </x:c>
      <x:c r="L266" s="16" t="n">
        <x:v>5</x:v>
      </x:c>
      <x:c r="M266" s="16" t="n">
        <x:v>5</x:v>
      </x:c>
      <x:c r="N266" s="16" t="n">
        <x:v>5</x:v>
      </x:c>
      <x:c r="O266" s="16" t="n">
        <x:v>5</x:v>
      </x:c>
      <x:c r="P266" s="16" t="n">
        <x:f>IF(COUNT(I266:O266)&lt;7,"",I266*8+J266*3+K266*2+L266*2+M266*2+N266*2+O266)</x:f>
        <x:v>68</x:v>
      </x:c>
      <x:c r="Q266" s="16" t="n">
        <x:f>IF(COUNT(J266:O266)&lt;6,"",J266*5+K266*4+M266*4+L266*3+N266*2+O266*2)</x:f>
        <x:v>100</x:v>
      </x:c>
      <x:c r="R266" s="14" t="str">
        <x:v>high</x:v>
      </x:c>
      <x:c r="S266" s="14" t="str">
        <x:v>google_index_verified_2026-08-24</x:v>
      </x:c>
      <x:c r="T266" s="14" t="str">
        <x:v>indexed_official_service_page</x:v>
      </x:c>
      <x:c r="U266" s="14" t="str">
        <x:v>Новий — не контактували</x:v>
      </x:c>
      <x:c r="V266" s="15" t="str">
        <x:v>2-тижневий discovery: запросити вимоги 1 активного проєкту + 1 знеособлений артефакт</x:v>
      </x:c>
      <x:c r="W266" s="15" t="str">
        <x:v>Комерційний директор; головний інженер; керівник ПТО / якості</x:v>
      </x:c>
      <x:c r="X266" s="15" t="str">
        <x:v>Публічне портфоліо мостових проєктів. Пошуковий результат веде на індексовану сторінку корпоративного домену: Мостобудівельний проєкт — Mostobud Group.</x:v>
      </x:c>
      <x:c r="Y266" s="15" t="str">
        <x:v>Армування, опори, зварювання, бетонування, гідроізоляція й лабораторні протоколи приймаються до наступного шару.</x:v>
      </x:c>
      <x:c r="Z266" s="15" t="str">
        <x:v>https://mostobud-group.com/projects/most-kropyvnytskyi-40m</x:v>
      </x:c>
      <x:c r="AA266" s="14" t="str"/>
      <x:c r="AB266" s="14" t="str">
        <x:v>2026-08-24</x:v>
      </x:c>
      <x:c r="AC266" s="14" t="str">
        <x:v>Олександр</x:v>
      </x:c>
      <x:c r="AD266" s="18" t="str"/>
      <x:c r="AE266" s="14" t="str"/>
    </x:row>
    <x:row r="267">
      <x:c r="A267" s="14" t="str">
        <x:v>W2-098</x:v>
      </x:c>
      <x:c r="B267" s="14" t="str">
        <x:v>Проєктний сигнал — 24.08</x:v>
      </x:c>
      <x:c r="C267" s="14" t="str">
        <x:v>LIVELLO</x:v>
      </x:c>
      <x:c r="D267" s="14" t="str">
        <x:v>Підсилення та ремонт бетону</x:v>
      </x:c>
      <x:c r="E267" s="14" t="str">
        <x:v>Expansion discovery</x:v>
      </x:c>
      <x:c r="F267" s="17" t="str">
        <x:f>IF(E267="Pilot now",IF(P267&gt;=84,"P1",IF(P267&gt;=72,"P2","P3")),IF(E267="Expansion discovery",IF(Q267&gt;=88,"D1",IF(Q267&gt;=78,"D2","D3")),IF(E267="Later / requirements","L","Legacy")))</x:f>
        <x:v>D1</x:v>
      </x:c>
      <x:c r="G267" s="14" t="str">
        <x:v>livello.com.ua</x:v>
      </x:c>
      <x:c r="H267" s="14" t="str">
        <x:v>2-тижневий workflow discovery — потрібні вимоги одного проєкту</x:v>
      </x:c>
      <x:c r="I267" s="16" t="n">
        <x:v>1</x:v>
      </x:c>
      <x:c r="J267" s="16" t="n">
        <x:v>5</x:v>
      </x:c>
      <x:c r="K267" s="16" t="n">
        <x:v>5</x:v>
      </x:c>
      <x:c r="L267" s="16" t="n">
        <x:v>4</x:v>
      </x:c>
      <x:c r="M267" s="16" t="n">
        <x:v>5</x:v>
      </x:c>
      <x:c r="N267" s="16" t="n">
        <x:v>5</x:v>
      </x:c>
      <x:c r="O267" s="16" t="n">
        <x:v>5</x:v>
      </x:c>
      <x:c r="P267" s="16" t="n">
        <x:f>IF(COUNT(I267:O267)&lt;7,"",I267*8+J267*3+K267*2+L267*2+M267*2+N267*2+O267)</x:f>
        <x:v>66</x:v>
      </x:c>
      <x:c r="Q267" s="16" t="n">
        <x:f>IF(COUNT(J267:O267)&lt;6,"",J267*5+K267*4+M267*4+L267*3+N267*2+O267*2)</x:f>
        <x:v>97</x:v>
      </x:c>
      <x:c r="R267" s="14" t="str">
        <x:v>high</x:v>
      </x:c>
      <x:c r="S267" s="14" t="str">
        <x:v>google_index_verified_2026-08-24</x:v>
      </x:c>
      <x:c r="T267" s="14" t="str">
        <x:v>indexed_official_service_page</x:v>
      </x:c>
      <x:c r="U267" s="14" t="str">
        <x:v>Новий — не контактували</x:v>
      </x:c>
      <x:c r="V267" s="15" t="str">
        <x:v>2-тижневий discovery: запросити вимоги 1 активного проєкту + 1 знеособлений артефакт</x:v>
      </x:c>
      <x:c r="W267" s="15" t="str">
        <x:v>Власник / директор; керівник проєктів; ПТО / контроль якості</x:v>
      </x:c>
      <x:c r="X267" s="15" t="str">
        <x:v>Ремонт і відновлення залізобетону. Пошуковий результат веде на індексовану сторінку корпоративного домену: Ремонт залізобетонних конструкцій — LIVELLO.</x:v>
      </x:c>
      <x:c r="Y267" s="15" t="str">
        <x:v>Підготовка основи, ін'єкції, армування, торкрет і захисні шари стають невидимими та потребують фото й актів.</x:v>
      </x:c>
      <x:c r="Z267" s="15" t="str">
        <x:v>https://livello.com.ua/remont-zalizobetonnix-konstrukcii</x:v>
      </x:c>
      <x:c r="AA267" s="14" t="str"/>
      <x:c r="AB267" s="14" t="str">
        <x:v>2026-08-24</x:v>
      </x:c>
      <x:c r="AC267" s="14" t="str">
        <x:v>Олександр</x:v>
      </x:c>
      <x:c r="AD267" s="18" t="str"/>
      <x:c r="AE267" s="14" t="str"/>
    </x:row>
    <x:row r="268">
      <x:c r="A268" s="14" t="str">
        <x:v>W2-099</x:v>
      </x:c>
      <x:c r="B268" s="14" t="str">
        <x:v>Проєктний сигнал — 24.08</x:v>
      </x:c>
      <x:c r="C268" s="14" t="str">
        <x:v>НВО СЗБК</x:v>
      </x:c>
      <x:c r="D268" s="14" t="str">
        <x:v>Підсилення та ремонт бетону</x:v>
      </x:c>
      <x:c r="E268" s="14" t="str">
        <x:v>Expansion discovery</x:v>
      </x:c>
      <x:c r="F268" s="17" t="str">
        <x:f>IF(E268="Pilot now",IF(P268&gt;=84,"P1",IF(P268&gt;=72,"P2","P3")),IF(E268="Expansion discovery",IF(Q268&gt;=88,"D1",IF(Q268&gt;=78,"D2","D3")),IF(E268="Later / requirements","L","Legacy")))</x:f>
        <x:v>D1</x:v>
      </x:c>
      <x:c r="G268" s="14" t="str">
        <x:v>szbk.pro</x:v>
      </x:c>
      <x:c r="H268" s="14" t="str">
        <x:v>2-тижневий workflow discovery — потрібні вимоги одного проєкту</x:v>
      </x:c>
      <x:c r="I268" s="16" t="n">
        <x:v>1</x:v>
      </x:c>
      <x:c r="J268" s="16" t="n">
        <x:v>5</x:v>
      </x:c>
      <x:c r="K268" s="16" t="n">
        <x:v>5</x:v>
      </x:c>
      <x:c r="L268" s="16" t="n">
        <x:v>4</x:v>
      </x:c>
      <x:c r="M268" s="16" t="n">
        <x:v>5</x:v>
      </x:c>
      <x:c r="N268" s="16" t="n">
        <x:v>5</x:v>
      </x:c>
      <x:c r="O268" s="16" t="n">
        <x:v>5</x:v>
      </x:c>
      <x:c r="P268" s="16" t="n">
        <x:f>IF(COUNT(I268:O268)&lt;7,"",I268*8+J268*3+K268*2+L268*2+M268*2+N268*2+O268)</x:f>
        <x:v>66</x:v>
      </x:c>
      <x:c r="Q268" s="16" t="n">
        <x:f>IF(COUNT(J268:O268)&lt;6,"",J268*5+K268*4+M268*4+L268*3+N268*2+O268*2)</x:f>
        <x:v>97</x:v>
      </x:c>
      <x:c r="R268" s="14" t="str">
        <x:v>high</x:v>
      </x:c>
      <x:c r="S268" s="14" t="str">
        <x:v>google_index_verified_2026-08-24</x:v>
      </x:c>
      <x:c r="T268" s="14" t="str">
        <x:v>indexed_official_service_page</x:v>
      </x:c>
      <x:c r="U268" s="14" t="str">
        <x:v>Новий — не контактували</x:v>
      </x:c>
      <x:c r="V268" s="15" t="str">
        <x:v>2-тижневий discovery: запросити вимоги 1 активного проєкту + 1 знеособлений артефакт</x:v>
      </x:c>
      <x:c r="W268" s="15" t="str">
        <x:v>Власник / директор; керівник проєктів; ПТО / контроль якості</x:v>
      </x:c>
      <x:c r="X268" s="15" t="str">
        <x:v>Захист і відновлення конструкцій. Пошуковий результат веде на індексовану сторінку корпоративного домену: Системи захисту будівельних конструкцій — СЗБК.</x:v>
      </x:c>
      <x:c r="Y268" s="15" t="str">
        <x:v>Підготовка основи, ін'єкції, армування, торкрет і захисні шари стають невидимими та потребують фото й актів.</x:v>
      </x:c>
      <x:c r="Z268" s="15" t="str">
        <x:v>https://szbk.pro/kontakty-2/</x:v>
      </x:c>
      <x:c r="AA268" s="14" t="str"/>
      <x:c r="AB268" s="14" t="str">
        <x:v>2026-08-24</x:v>
      </x:c>
      <x:c r="AC268" s="14" t="str">
        <x:v>Олександр</x:v>
      </x:c>
      <x:c r="AD268" s="18" t="str"/>
      <x:c r="AE268" s="14" t="str"/>
    </x:row>
    <x:row r="269">
      <x:c r="A269" s="14" t="str">
        <x:v>W2-100</x:v>
      </x:c>
      <x:c r="B269" s="14" t="str">
        <x:v>Проєктний сигнал — 24.08</x:v>
      </x:c>
      <x:c r="C269" s="14" t="str">
        <x:v>GeoResin</x:v>
      </x:c>
      <x:c r="D269" s="14" t="str">
        <x:v>Підсилення та ремонт бетону</x:v>
      </x:c>
      <x:c r="E269" s="14" t="str">
        <x:v>Expansion discovery</x:v>
      </x:c>
      <x:c r="F269" s="17" t="str">
        <x:f>IF(E269="Pilot now",IF(P269&gt;=84,"P1",IF(P269&gt;=72,"P2","P3")),IF(E269="Expansion discovery",IF(Q269&gt;=88,"D1",IF(Q269&gt;=78,"D2","D3")),IF(E269="Later / requirements","L","Legacy")))</x:f>
        <x:v>D1</x:v>
      </x:c>
      <x:c r="G269" s="14" t="str">
        <x:v>georesin.ua</x:v>
      </x:c>
      <x:c r="H269" s="14" t="str">
        <x:v>2-тижневий workflow discovery — потрібні вимоги одного проєкту</x:v>
      </x:c>
      <x:c r="I269" s="16" t="n">
        <x:v>1</x:v>
      </x:c>
      <x:c r="J269" s="16" t="n">
        <x:v>5</x:v>
      </x:c>
      <x:c r="K269" s="16" t="n">
        <x:v>5</x:v>
      </x:c>
      <x:c r="L269" s="16" t="n">
        <x:v>4</x:v>
      </x:c>
      <x:c r="M269" s="16" t="n">
        <x:v>5</x:v>
      </x:c>
      <x:c r="N269" s="16" t="n">
        <x:v>5</x:v>
      </x:c>
      <x:c r="O269" s="16" t="n">
        <x:v>5</x:v>
      </x:c>
      <x:c r="P269" s="16" t="n">
        <x:f>IF(COUNT(I269:O269)&lt;7,"",I269*8+J269*3+K269*2+L269*2+M269*2+N269*2+O269)</x:f>
        <x:v>66</x:v>
      </x:c>
      <x:c r="Q269" s="16" t="n">
        <x:f>IF(COUNT(J269:O269)&lt;6,"",J269*5+K269*4+M269*4+L269*3+N269*2+O269*2)</x:f>
        <x:v>97</x:v>
      </x:c>
      <x:c r="R269" s="14" t="str">
        <x:v>high</x:v>
      </x:c>
      <x:c r="S269" s="14" t="str">
        <x:v>google_index_verified_2026-08-24</x:v>
      </x:c>
      <x:c r="T269" s="14" t="str">
        <x:v>indexed_official_service_page</x:v>
      </x:c>
      <x:c r="U269" s="14" t="str">
        <x:v>Новий — не контактували</x:v>
      </x:c>
      <x:c r="V269" s="15" t="str">
        <x:v>2-тижневий discovery: запросити вимоги 1 активного проєкту + 1 знеособлений артефакт</x:v>
      </x:c>
      <x:c r="W269" s="15" t="str">
        <x:v>Власник / директор; керівник проєктів; ПТО / контроль якості</x:v>
      </x:c>
      <x:c r="X269" s="15" t="str">
        <x:v>Ін'єкційне підсилення фундаментів. Пошуковий результат веде на індексовану сторінку корпоративного домену: Ремонт та посилення фундаментів — GeoResin.</x:v>
      </x:c>
      <x:c r="Y269" s="15" t="str">
        <x:v>Підготовка основи, ін'єкції, армування, торкрет і захисні шари стають невидимими та потребують фото й актів.</x:v>
      </x:c>
      <x:c r="Z269" s="15" t="str">
        <x:v>https://georesin.ua/trcz-i-ofisi/remont-ta-posulennya-fundamentiv/</x:v>
      </x:c>
      <x:c r="AA269" s="14" t="str"/>
      <x:c r="AB269" s="14" t="str">
        <x:v>2026-08-24</x:v>
      </x:c>
      <x:c r="AC269" s="14" t="str">
        <x:v>Олександр</x:v>
      </x:c>
      <x:c r="AD269" s="18" t="str"/>
      <x:c r="AE269" s="14" t="str"/>
    </x:row>
    <x:row r="270">
      <x:c r="A270" s="14" t="str">
        <x:v>W2-101</x:v>
      </x:c>
      <x:c r="B270" s="14" t="str">
        <x:v>Проєктний сигнал — 24.08</x:v>
      </x:c>
      <x:c r="C270" s="14" t="str">
        <x:v>BauExpert</x:v>
      </x:c>
      <x:c r="D270" s="14" t="str">
        <x:v>Підсилення та ремонт бетону</x:v>
      </x:c>
      <x:c r="E270" s="14" t="str">
        <x:v>Expansion discovery</x:v>
      </x:c>
      <x:c r="F270" s="17" t="str">
        <x:f>IF(E270="Pilot now",IF(P270&gt;=84,"P1",IF(P270&gt;=72,"P2","P3")),IF(E270="Expansion discovery",IF(Q270&gt;=88,"D1",IF(Q270&gt;=78,"D2","D3")),IF(E270="Later / requirements","L","Legacy")))</x:f>
        <x:v>D1</x:v>
      </x:c>
      <x:c r="G270" s="14" t="str">
        <x:v>bauexpert.ua</x:v>
      </x:c>
      <x:c r="H270" s="14" t="str">
        <x:v>2-тижневий workflow discovery — потрібні вимоги одного проєкту</x:v>
      </x:c>
      <x:c r="I270" s="16" t="n">
        <x:v>1</x:v>
      </x:c>
      <x:c r="J270" s="16" t="n">
        <x:v>5</x:v>
      </x:c>
      <x:c r="K270" s="16" t="n">
        <x:v>5</x:v>
      </x:c>
      <x:c r="L270" s="16" t="n">
        <x:v>4</x:v>
      </x:c>
      <x:c r="M270" s="16" t="n">
        <x:v>5</x:v>
      </x:c>
      <x:c r="N270" s="16" t="n">
        <x:v>5</x:v>
      </x:c>
      <x:c r="O270" s="16" t="n">
        <x:v>5</x:v>
      </x:c>
      <x:c r="P270" s="16" t="n">
        <x:f>IF(COUNT(I270:O270)&lt;7,"",I270*8+J270*3+K270*2+L270*2+M270*2+N270*2+O270)</x:f>
        <x:v>66</x:v>
      </x:c>
      <x:c r="Q270" s="16" t="n">
        <x:f>IF(COUNT(J270:O270)&lt;6,"",J270*5+K270*4+M270*4+L270*3+N270*2+O270*2)</x:f>
        <x:v>97</x:v>
      </x:c>
      <x:c r="R270" s="14" t="str">
        <x:v>high</x:v>
      </x:c>
      <x:c r="S270" s="14" t="str">
        <x:v>google_index_verified_2026-08-24</x:v>
      </x:c>
      <x:c r="T270" s="14" t="str">
        <x:v>indexed_official_service_page</x:v>
      </x:c>
      <x:c r="U270" s="14" t="str">
        <x:v>Новий — не контактували</x:v>
      </x:c>
      <x:c r="V270" s="15" t="str">
        <x:v>2-тижневий discovery: запросити вимоги 1 активного проєкту + 1 знеособлений артефакт</x:v>
      </x:c>
      <x:c r="W270" s="15" t="str">
        <x:v>Власник / директор; керівник проєктів; ПТО / контроль якості</x:v>
      </x:c>
      <x:c r="X270" s="15" t="str">
        <x:v>Реконструкція і хімзахист конструкцій. Пошуковий результат веде на індексовану сторінку корпоративного домену: Відновлення будівельних конструкцій — BauExpert.</x:v>
      </x:c>
      <x:c r="Y270" s="15" t="str">
        <x:v>Підготовка основи, ін'єкції, армування, торкрет і захисні шари стають невидимими та потребують фото й актів.</x:v>
      </x:c>
      <x:c r="Z270" s="15" t="str">
        <x:v>https://bauexpert.ua/nashi-poslugy/vidnovlennya-ta-himzahyst-budivelnyh-konstrukczij/</x:v>
      </x:c>
      <x:c r="AA270" s="14" t="str"/>
      <x:c r="AB270" s="14" t="str">
        <x:v>2026-08-24</x:v>
      </x:c>
      <x:c r="AC270" s="14" t="str">
        <x:v>Олександр</x:v>
      </x:c>
      <x:c r="AD270" s="18" t="str"/>
      <x:c r="AE270" s="14" t="str"/>
    </x:row>
    <x:row r="271">
      <x:c r="A271" s="14" t="str">
        <x:v>W2-102</x:v>
      </x:c>
      <x:c r="B271" s="14" t="str">
        <x:v>Проєктний сигнал — 24.08</x:v>
      </x:c>
      <x:c r="C271" s="14" t="str">
        <x:v>TEKNOSEL</x:v>
      </x:c>
      <x:c r="D271" s="14" t="str">
        <x:v>Підсилення та ремонт бетону</x:v>
      </x:c>
      <x:c r="E271" s="14" t="str">
        <x:v>Expansion discovery</x:v>
      </x:c>
      <x:c r="F271" s="17" t="str">
        <x:f>IF(E271="Pilot now",IF(P271&gt;=84,"P1",IF(P271&gt;=72,"P2","P3")),IF(E271="Expansion discovery",IF(Q271&gt;=88,"D1",IF(Q271&gt;=78,"D2","D3")),IF(E271="Later / requirements","L","Legacy")))</x:f>
        <x:v>D1</x:v>
      </x:c>
      <x:c r="G271" s="14" t="str">
        <x:v>teknosel.com.ua</x:v>
      </x:c>
      <x:c r="H271" s="14" t="str">
        <x:v>2-тижневий workflow discovery — потрібні вимоги одного проєкту</x:v>
      </x:c>
      <x:c r="I271" s="16" t="n">
        <x:v>1</x:v>
      </x:c>
      <x:c r="J271" s="16" t="n">
        <x:v>5</x:v>
      </x:c>
      <x:c r="K271" s="16" t="n">
        <x:v>5</x:v>
      </x:c>
      <x:c r="L271" s="16" t="n">
        <x:v>4</x:v>
      </x:c>
      <x:c r="M271" s="16" t="n">
        <x:v>5</x:v>
      </x:c>
      <x:c r="N271" s="16" t="n">
        <x:v>5</x:v>
      </x:c>
      <x:c r="O271" s="16" t="n">
        <x:v>4</x:v>
      </x:c>
      <x:c r="P271" s="16" t="n">
        <x:f>IF(COUNT(I271:O271)&lt;7,"",I271*8+J271*3+K271*2+L271*2+M271*2+N271*2+O271)</x:f>
        <x:v>65</x:v>
      </x:c>
      <x:c r="Q271" s="16" t="n">
        <x:f>IF(COUNT(J271:O271)&lt;6,"",J271*5+K271*4+M271*4+L271*3+N271*2+O271*2)</x:f>
        <x:v>95</x:v>
      </x:c>
      <x:c r="R271" s="14" t="str">
        <x:v>medium</x:v>
      </x:c>
      <x:c r="S271" s="14" t="str">
        <x:v>google_index_verified_manual_check_2026-08-24</x:v>
      </x:c>
      <x:c r="T271" s="14" t="str">
        <x:v>indexed_official_page_manual_check</x:v>
      </x:c>
      <x:c r="U271" s="14" t="str">
        <x:v>Новий — не контактували</x:v>
      </x:c>
      <x:c r="V271" s="15" t="str">
        <x:v>2-тижневий discovery: запросити вимоги 1 активного проєкту + 1 знеособлений артефакт</x:v>
      </x:c>
      <x:c r="W271" s="15" t="str">
        <x:v>Власник / директор; керівник проєктів; ПТО / контроль якості</x:v>
      </x:c>
      <x:c r="X271" s="15" t="str">
        <x:v>Ремонт і захист бетону. Пошуковий результат веде на індексовану сторінку корпоративного домену: TEKNOSEL.</x:v>
      </x:c>
      <x:c r="Y271" s="15" t="str">
        <x:v>Підготовка основи, ін'єкції, армування, торкрет і захисні шари стають невидимими та потребують фото й актів.</x:v>
      </x:c>
      <x:c r="Z271" s="15" t="str">
        <x:v>https://www.teknosel.com.ua/ua/</x:v>
      </x:c>
      <x:c r="AA271" s="14" t="str"/>
      <x:c r="AB271" s="14" t="str">
        <x:v>2026-08-24</x:v>
      </x:c>
      <x:c r="AC271" s="14" t="str">
        <x:v>Олександр</x:v>
      </x:c>
      <x:c r="AD271" s="18" t="str"/>
      <x:c r="AE271" s="14" t="str"/>
    </x:row>
    <x:row r="272">
      <x:c r="A272" s="14" t="str">
        <x:v>W2-103</x:v>
      </x:c>
      <x:c r="B272" s="14" t="str">
        <x:v>Проєктний сигнал — 24.08</x:v>
      </x:c>
      <x:c r="C272" s="14" t="str">
        <x:v>CGIP</x:v>
      </x:c>
      <x:c r="D272" s="14" t="str">
        <x:v>Підсилення та ремонт бетону</x:v>
      </x:c>
      <x:c r="E272" s="14" t="str">
        <x:v>Expansion discovery</x:v>
      </x:c>
      <x:c r="F272" s="17" t="str">
        <x:f>IF(E272="Pilot now",IF(P272&gt;=84,"P1",IF(P272&gt;=72,"P2","P3")),IF(E272="Expansion discovery",IF(Q272&gt;=88,"D1",IF(Q272&gt;=78,"D2","D3")),IF(E272="Later / requirements","L","Legacy")))</x:f>
        <x:v>D1</x:v>
      </x:c>
      <x:c r="G272" s="14" t="str">
        <x:v>cgip.com.ua</x:v>
      </x:c>
      <x:c r="H272" s="14" t="str">
        <x:v>2-тижневий workflow discovery — потрібні вимоги одного проєкту</x:v>
      </x:c>
      <x:c r="I272" s="16" t="n">
        <x:v>1</x:v>
      </x:c>
      <x:c r="J272" s="16" t="n">
        <x:v>5</x:v>
      </x:c>
      <x:c r="K272" s="16" t="n">
        <x:v>5</x:v>
      </x:c>
      <x:c r="L272" s="16" t="n">
        <x:v>4</x:v>
      </x:c>
      <x:c r="M272" s="16" t="n">
        <x:v>5</x:v>
      </x:c>
      <x:c r="N272" s="16" t="n">
        <x:v>5</x:v>
      </x:c>
      <x:c r="O272" s="16" t="n">
        <x:v>5</x:v>
      </x:c>
      <x:c r="P272" s="16" t="n">
        <x:f>IF(COUNT(I272:O272)&lt;7,"",I272*8+J272*3+K272*2+L272*2+M272*2+N272*2+O272)</x:f>
        <x:v>66</x:v>
      </x:c>
      <x:c r="Q272" s="16" t="n">
        <x:f>IF(COUNT(J272:O272)&lt;6,"",J272*5+K272*4+M272*4+L272*3+N272*2+O272*2)</x:f>
        <x:v>97</x:v>
      </x:c>
      <x:c r="R272" s="14" t="str">
        <x:v>high</x:v>
      </x:c>
      <x:c r="S272" s="14" t="str">
        <x:v>google_index_verified_2026-08-24</x:v>
      </x:c>
      <x:c r="T272" s="14" t="str">
        <x:v>indexed_official_service_page</x:v>
      </x:c>
      <x:c r="U272" s="14" t="str">
        <x:v>Новий — не контактували</x:v>
      </x:c>
      <x:c r="V272" s="15" t="str">
        <x:v>2-тижневий discovery: запросити вимоги 1 активного проєкту + 1 знеособлений артефакт</x:v>
      </x:c>
      <x:c r="W272" s="15" t="str">
        <x:v>Власник / директор; керівник проєктів; ПТО / контроль якості</x:v>
      </x:c>
      <x:c r="X272" s="15" t="str">
        <x:v>Підсилення конструкцій. Пошуковий результат веде на індексовану сторінку корпоративного домену: Укріплення конструкцій — CGIP.</x:v>
      </x:c>
      <x:c r="Y272" s="15" t="str">
        <x:v>Підготовка основи, ін'єкції, армування, торкрет і захисні шари стають невидимими та потребують фото й актів.</x:v>
      </x:c>
      <x:c r="Z272" s="15" t="str">
        <x:v>https://cgip.com.ua/ukriplennya/</x:v>
      </x:c>
      <x:c r="AA272" s="14" t="str"/>
      <x:c r="AB272" s="14" t="str">
        <x:v>2026-08-24</x:v>
      </x:c>
      <x:c r="AC272" s="14" t="str">
        <x:v>Олександр</x:v>
      </x:c>
      <x:c r="AD272" s="18" t="str"/>
      <x:c r="AE272" s="14" t="str"/>
    </x:row>
    <x:row r="273">
      <x:c r="AD273" s="19"/>
    </x:row>
    <x:row r="274">
      <x:c r="AD274" s="19"/>
    </x:row>
    <x:row r="275">
      <x:c r="AD275" s="19"/>
    </x:row>
    <x:row r="276">
      <x:c r="AD276" s="19"/>
    </x:row>
    <x:row r="277">
      <x:c r="AD277" s="19"/>
    </x:row>
    <x:row r="278">
      <x:c r="AD278" s="19"/>
    </x:row>
    <x:row r="279">
      <x:c r="AD279" s="19"/>
    </x:row>
    <x:row r="280">
      <x:c r="AD280" s="19"/>
    </x:row>
    <x:row r="281">
      <x:c r="AD281" s="19"/>
    </x:row>
    <x:row r="282">
      <x:c r="AD282" s="19"/>
    </x:row>
    <x:row r="283">
      <x:c r="AD283" s="19"/>
    </x:row>
    <x:row r="284">
      <x:c r="AD284" s="19"/>
    </x:row>
    <x:row r="285">
      <x:c r="AD285" s="19"/>
    </x:row>
    <x:row r="286">
      <x:c r="AD286" s="19"/>
    </x:row>
    <x:row r="287">
      <x:c r="AD287" s="19"/>
    </x:row>
    <x:row r="288">
      <x:c r="AD288" s="19"/>
    </x:row>
    <x:row r="289">
      <x:c r="AD289" s="19"/>
    </x:row>
    <x:row r="290">
      <x:c r="AD290" s="19"/>
    </x:row>
    <x:row r="291">
      <x:c r="AD291" s="19"/>
    </x:row>
    <x:row r="292">
      <x:c r="AD292" s="19"/>
    </x:row>
    <x:row r="293">
      <x:c r="AD293" s="19"/>
    </x:row>
    <x:row r="294">
      <x:c r="AD294" s="19"/>
    </x:row>
    <x:row r="295">
      <x:c r="AD295" s="19"/>
    </x:row>
    <x:row r="296">
      <x:c r="AD296" s="19"/>
    </x:row>
    <x:row r="297">
      <x:c r="AD297" s="19"/>
    </x:row>
    <x:row r="298">
      <x:c r="AD298" s="19"/>
    </x:row>
    <x:row r="299">
      <x:c r="AD299" s="19"/>
    </x:row>
    <x:row r="300">
      <x:c r="AD300" s="19"/>
    </x:row>
  </x:sheetData>
  <x:mergeCells>
    <x:mergeCell ref="A1:AE1"/>
    <x:mergeCell ref="A2:AE2"/>
    <x:mergeCell ref="A3:AE3"/>
  </x:mergeCells>
  <x:conditionalFormatting sqref="F5:F272">
    <x:cfRule type="beginsWith" dxfId="0" priority="1" operator="beginsWith" text="P"/>
    <x:cfRule type="beginsWith" dxfId="1" priority="2" operator="beginsWith" text="D"/>
    <x:cfRule type="containsText" dxfId="2" priority="3" operator="containsText" text="L"/>
  </x:conditionalFormatting>
  <x:conditionalFormatting sqref="P5:Q272">
    <x:cfRule type="colorScale" priority="4">
      <x:colorScale>
        <x:cfvo type="min"/>
        <x:cfvo type="percentile" val="50"/>
        <x:cfvo type="max"/>
        <x:color rgb="FFFDECEC"/>
        <x:color rgb="FFFFF4D6"/>
        <x:color rgb="FFE9F7ED"/>
      </x:colorScale>
    </x:cfRule>
  </x:conditionalFormatting>
  <x:conditionalFormatting sqref="R5:R272">
    <x:cfRule type="containsText" dxfId="3" priority="5" operator="containsText" text="high"/>
    <x:cfRule type="containsText" dxfId="4" priority="6" operator="containsText" text="low"/>
  </x:conditionalFormatting>
  <x:dataValidations count="1">
    <x:dataValidation type="list" sqref="U5:U300">
      <x:formula1>"Новий — не контактували,Потрібна повторна перевірка,Надіслано 28.07 — follow-up,Відповів,Кваліфікаційна розмова,Артефакт отримано,Пілот запропоновано,Пілот погоджено,Не зараз,Не fit"</x:formula1>
    </x:dataValidation>
  </x:dataValidations>
  <x:pageMargins left="0.7" right="0.7" top="0.75" bottom="0.75" header="0.3" footer="0.3"/>
  <x:tableParts count="1">
    <x:tablePart xmlns:r="http://schemas.openxmlformats.org/officeDocument/2006/relationships" r:id="R6b9e9ff7dba74b10"/>
  </x:tableParts>
</x:worksheet>
</file>

<file path=xl/worksheets/sheet3.xml><?xml version="1.0" encoding="utf-8"?>
<x:worksheet xmlns:x="http://schemas.openxmlformats.org/spreadsheetml/2006/main">
  <x:sheetFormatPr defaultRowHeight="15"/>
  <x:cols>
    <x:col min="1" max="1" width="30" hidden="0" customWidth="1"/>
    <x:col min="2" max="2" width="10" hidden="0" customWidth="1"/>
    <x:col min="3" max="3" width="12" hidden="0" customWidth="1"/>
    <x:col min="4" max="4" width="10" hidden="0" customWidth="1"/>
    <x:col min="5" max="5" width="10" hidden="0" customWidth="1"/>
    <x:col min="6" max="6" width="12" hidden="0" customWidth="1"/>
    <x:col min="7" max="7" width="24" hidden="0" customWidth="1"/>
    <x:col min="8" max="8" width="38" hidden="0" customWidth="1"/>
    <x:col min="9" max="9" width="38" hidden="0" customWidth="1"/>
    <x:col min="10" max="10" width="38" hidden="0" customWidth="1"/>
  </x:cols>
  <x:sheetData>
    <x:row r="1" ht="34" customHeight="1">
      <x:c r="A1" s="3" t="str">
        <x:v>Карта 26 вертикалей</x:v>
      </x:c>
      <x:c r="B1" s="3"/>
      <x:c r="C1" s="3"/>
      <x:c r="D1" s="3"/>
      <x:c r="E1" s="3"/>
      <x:c r="F1" s="3"/>
      <x:c r="G1" s="3"/>
      <x:c r="H1" s="3"/>
      <x:c r="I1" s="3"/>
      <x:c r="J1" s="3"/>
    </x:row>
    <x:row r="2" ht="22" customHeight="1">
      <x:c r="A2" s="5" t="str">
        <x:v>Однакова проблема: докази потрібно зібрати до того, як робота стане недоступною або система перейде до ПНР</x:v>
      </x:c>
      <x:c r="B2" s="5"/>
      <x:c r="C2" s="5"/>
      <x:c r="D2" s="5"/>
      <x:c r="E2" s="5"/>
      <x:c r="F2" s="5"/>
      <x:c r="G2" s="5"/>
      <x:c r="H2" s="5"/>
      <x:c r="I2" s="5"/>
      <x:c r="J2" s="5"/>
    </x:row>
    <x:row r="4">
      <x:c r="A4" s="11" t="str">
        <x:v>Вертикаль</x:v>
      </x:c>
      <x:c r="B4" s="11" t="str">
        <x:v>Компаній</x:v>
      </x:c>
      <x:c r="C4" s="11" t="str">
        <x:v>Покриття зараз</x:v>
      </x:c>
      <x:c r="D4" s="11" t="str">
        <x:v>Workflow fit</x:v>
      </x:c>
      <x:c r="E4" s="11" t="str">
        <x:v>Прихованість</x:v>
      </x:c>
      <x:c r="F4" s="11" t="str">
        <x:v>Документація</x:v>
      </x:c>
      <x:c r="G4" s="11" t="str">
        <x:v>Маршрут</x:v>
      </x:c>
      <x:c r="H4" s="11" t="str">
        <x:v>Що закривається</x:v>
      </x:c>
      <x:c r="I4" s="11" t="str">
        <x:v>Перший артефакт</x:v>
      </x:c>
      <x:c r="J4" s="11" t="str">
        <x:v>Початковий CTA</x:v>
      </x:c>
    </x:row>
    <x:row r="5" ht="42" customHeight="1">
      <x:c r="A5" s="55" t="str">
        <x:v>Покрівлі та гідроізоляція</x:v>
      </x:c>
      <x:c r="B5" s="53" t="n">
        <x:f>COUNTIF('Leads 268'!$D$5:$D$350,A5)</x:f>
        <x:v>11</x:v>
      </x:c>
      <x:c r="C5" s="53" t="n">
        <x:v>0</x:v>
      </x:c>
      <x:c r="D5" s="53" t="n">
        <x:v>5</x:v>
      </x:c>
      <x:c r="E5" s="53" t="n">
        <x:v>5</x:v>
      </x:c>
      <x:c r="F5" s="53" t="n">
        <x:v>4</x:v>
      </x:c>
      <x:c r="G5" s="15" t="str">
        <x:v>Discovery</x:v>
      </x:c>
      <x:c r="H5" s="15" t="str">
        <x:v>Покрівельний пиріг, шви, примикання</x:v>
      </x:c>
      <x:c r="I5" s="15" t="str">
        <x:v>Фото вузлів + акт прихованих робіт</x:v>
      </x:c>
      <x:c r="J5" s="15" t="str">
        <x:v>Покажіть 1 типовий пакет до гарантії</x:v>
      </x:c>
    </x:row>
    <x:row r="6" ht="42" customHeight="1">
      <x:c r="A6" s="55" t="str">
        <x:v>Вентильовані фасади та скління</x:v>
      </x:c>
      <x:c r="B6" s="53" t="n">
        <x:f>COUNTIF('Leads 268'!$D$5:$D$350,A6)</x:f>
        <x:v>5</x:v>
      </x:c>
      <x:c r="C6" s="53" t="n">
        <x:v>0</x:v>
      </x:c>
      <x:c r="D6" s="53" t="n">
        <x:v>5</x:v>
      </x:c>
      <x:c r="E6" s="53" t="n">
        <x:v>5</x:v>
      </x:c>
      <x:c r="F6" s="53" t="n">
        <x:v>4</x:v>
      </x:c>
      <x:c r="G6" s="15" t="str">
        <x:v>Discovery</x:v>
      </x:c>
      <x:c r="H6" s="15" t="str">
        <x:v>Анкери, утеплення, мембрани, відсічки</x:v>
      </x:c>
      <x:c r="I6" s="15" t="str">
        <x:v>Фото кронштейнів / утеплення</x:v>
      </x:c>
      <x:c r="J6" s="15" t="str">
        <x:v>Як технагляд приймає до облицювання?</x:v>
      </x:c>
    </x:row>
    <x:row r="7" ht="42" customHeight="1">
      <x:c r="A7" s="55" t="str">
        <x:v>Промислові підлоги та бетон</x:v>
      </x:c>
      <x:c r="B7" s="53" t="n">
        <x:f>COUNTIF('Leads 268'!$D$5:$D$350,A7)</x:f>
        <x:v>5</x:v>
      </x:c>
      <x:c r="C7" s="53" t="n">
        <x:v>0</x:v>
      </x:c>
      <x:c r="D7" s="53" t="n">
        <x:v>5</x:v>
      </x:c>
      <x:c r="E7" s="53" t="n">
        <x:v>4</x:v>
      </x:c>
      <x:c r="F7" s="53" t="n">
        <x:v>4</x:v>
      </x:c>
      <x:c r="G7" s="15" t="str">
        <x:v>Discovery</x:v>
      </x:c>
      <x:c r="H7" s="15" t="str">
        <x:v>Основа, армування, шви, вологість</x:v>
      </x:c>
      <x:c r="I7" s="15" t="str">
        <x:v>Карта заливки + протоколи основи</x:v>
      </x:c>
      <x:c r="J7" s="15" t="str">
        <x:v>Покажіть 1 карту контролю перед заливкою</x:v>
      </x:c>
    </x:row>
    <x:row r="8" ht="42" customHeight="1">
      <x:c r="A8" s="55" t="str">
        <x:v>Палі, фундаменти та підсилення</x:v>
      </x:c>
      <x:c r="B8" s="53" t="n">
        <x:f>COUNTIF('Leads 268'!$D$5:$D$350,A8)</x:f>
        <x:v>7</x:v>
      </x:c>
      <x:c r="C8" s="53" t="n">
        <x:v>0</x:v>
      </x:c>
      <x:c r="D8" s="53" t="n">
        <x:v>5</x:v>
      </x:c>
      <x:c r="E8" s="53" t="n">
        <x:v>5</x:v>
      </x:c>
      <x:c r="F8" s="53" t="n">
        <x:v>5</x:v>
      </x:c>
      <x:c r="G8" s="15" t="str">
        <x:v>Discovery</x:v>
      </x:c>
      <x:c r="H8" s="15" t="str">
        <x:v>Армування, глибина, бетонування</x:v>
      </x:c>
      <x:c r="I8" s="15" t="str">
        <x:v>Журнал паль / випробування</x:v>
      </x:c>
      <x:c r="J8" s="15" t="str">
        <x:v>Де збирається доказ по кожній палі?</x:v>
      </x:c>
    </x:row>
    <x:row r="9" ht="42" customHeight="1">
      <x:c r="A9" s="55" t="str">
        <x:v>Металоконструкції та промисловий монтаж</x:v>
      </x:c>
      <x:c r="B9" s="53" t="n">
        <x:f>COUNTIF('Leads 268'!$D$5:$D$350,A9)</x:f>
        <x:v>7</x:v>
      </x:c>
      <x:c r="C9" s="53" t="n">
        <x:v>1</x:v>
      </x:c>
      <x:c r="D9" s="53" t="n">
        <x:v>4</x:v>
      </x:c>
      <x:c r="E9" s="53" t="n">
        <x:v>3</x:v>
      </x:c>
      <x:c r="F9" s="53" t="n">
        <x:v>5</x:v>
      </x:c>
      <x:c r="G9" s="15" t="str">
        <x:v>Discovery</x:v>
      </x:c>
      <x:c r="H9" s="15" t="str">
        <x:v>Зварні/болтові вузли, покриття</x:v>
      </x:c>
      <x:c r="I9" s="15" t="str">
        <x:v>Журнал зварювання + акти</x:v>
      </x:c>
      <x:c r="J9" s="15" t="str">
        <x:v>Який пакет повертає технагляд?</x:v>
      </x:c>
    </x:row>
    <x:row r="10" ht="42" customHeight="1">
      <x:c r="A10" s="55" t="str">
        <x:v>Пасивний вогнезахист</x:v>
      </x:c>
      <x:c r="B10" s="53" t="n">
        <x:f>COUNTIF('Leads 268'!$D$5:$D$350,A10)</x:f>
        <x:v>5</x:v>
      </x:c>
      <x:c r="C10" s="53" t="n">
        <x:v>1</x:v>
      </x:c>
      <x:c r="D10" s="53" t="n">
        <x:v>5</x:v>
      </x:c>
      <x:c r="E10" s="53" t="n">
        <x:v>5</x:v>
      </x:c>
      <x:c r="F10" s="53" t="n">
        <x:v>5</x:v>
      </x:c>
      <x:c r="G10" s="15" t="str">
        <x:v>Discovery</x:v>
      </x:c>
      <x:c r="H10" s="15" t="str">
        <x:v>Товщина, проходки, підготовка</x:v>
      </x:c>
      <x:c r="I10" s="15" t="str">
        <x:v>Акт обробки + заміри</x:v>
      </x:c>
      <x:c r="J10" s="15" t="str">
        <x:v>Покажіть пакет перед закриттям</x:v>
      </x:c>
    </x:row>
    <x:row r="11" ht="42" customHeight="1">
      <x:c r="A11" s="55" t="str">
        <x:v>Промислова теплоізоляція</x:v>
      </x:c>
      <x:c r="B11" s="53" t="n">
        <x:f>COUNTIF('Leads 268'!$D$5:$D$350,A11)</x:f>
        <x:v>3</x:v>
      </x:c>
      <x:c r="C11" s="53" t="n">
        <x:v>1</x:v>
      </x:c>
      <x:c r="D11" s="53" t="n">
        <x:v>5</x:v>
      </x:c>
      <x:c r="E11" s="53" t="n">
        <x:v>5</x:v>
      </x:c>
      <x:c r="F11" s="53" t="n">
        <x:v>4</x:v>
      </x:c>
      <x:c r="G11" s="15" t="str">
        <x:v>Discovery</x:v>
      </x:c>
      <x:c r="H11" s="15" t="str">
        <x:v>Труби й ізоляція під кожухом</x:v>
      </x:c>
      <x:c r="I11" s="15" t="str">
        <x:v>Фото поверхні, товщини, швів</x:v>
      </x:c>
      <x:c r="J11" s="15" t="str">
        <x:v>Як доводите шар до монтажу кожуха?</x:v>
      </x:c>
    </x:row>
    <x:row r="12" ht="42" customHeight="1">
      <x:c r="A12" s="55" t="str">
        <x:v>СКС, BMS та слаботочна інтеграція</x:v>
      </x:c>
      <x:c r="B12" s="53" t="n">
        <x:f>COUNTIF('Leads 268'!$D$5:$D$350,A12)</x:f>
        <x:v>9</x:v>
      </x:c>
      <x:c r="C12" s="53" t="n">
        <x:v>3</x:v>
      </x:c>
      <x:c r="D12" s="53" t="n">
        <x:v>5</x:v>
      </x:c>
      <x:c r="E12" s="53" t="n">
        <x:v>5</x:v>
      </x:c>
      <x:c r="F12" s="53" t="n">
        <x:v>5</x:v>
      </x:c>
      <x:c r="G12" s="15" t="str">
        <x:v>Discovery / partial Н.15</x:v>
      </x:c>
      <x:c r="H12" s="15" t="str">
        <x:v>Траси, маркування, порт-тести</x:v>
      </x:c>
      <x:c r="I12" s="15" t="str">
        <x:v>Протокол Fluke / ПНР</x:v>
      </x:c>
      <x:c r="J12" s="15" t="str">
        <x:v>Покажіть пакет здачі одного поверху</x:v>
      </x:c>
    </x:row>
    <x:row r="13" ht="42" customHeight="1">
      <x:c r="A13" s="55" t="str">
        <x:v>Чисті приміщення та стерильні зони</x:v>
      </x:c>
      <x:c r="B13" s="53" t="n">
        <x:f>COUNTIF('Leads 268'!$D$5:$D$350,A13)</x:f>
        <x:v>3</x:v>
      </x:c>
      <x:c r="C13" s="53" t="n">
        <x:v>3</x:v>
      </x:c>
      <x:c r="D13" s="53" t="n">
        <x:v>5</x:v>
      </x:c>
      <x:c r="E13" s="53" t="n">
        <x:v>5</x:v>
      </x:c>
      <x:c r="F13" s="53" t="n">
        <x:v>5</x:v>
      </x:c>
      <x:c r="G13" s="15" t="str">
        <x:v>Discovery / partial Н.14/15</x:v>
      </x:c>
      <x:c r="H13" s="15" t="str">
        <x:v>Герметичність, HEPA, автоматика</x:v>
      </x:c>
      <x:c r="I13" s="15" t="str">
        <x:v>Кваліфікаційний протокол</x:v>
      </x:c>
      <x:c r="J13" s="15" t="str">
        <x:v>Розберімо один validation-пакет</x:v>
      </x:c>
    </x:row>
    <x:row r="14" ht="42" customHeight="1">
      <x:c r="A14" s="55" t="str">
        <x:v>Ліфти, ескалатори та підйомники</x:v>
      </x:c>
      <x:c r="B14" s="53" t="n">
        <x:f>COUNTIF('Leads 268'!$D$5:$D$350,A14)</x:f>
        <x:v>5</x:v>
      </x:c>
      <x:c r="C14" s="53" t="n">
        <x:v>1</x:v>
      </x:c>
      <x:c r="D14" s="53" t="n">
        <x:v>4</x:v>
      </x:c>
      <x:c r="E14" s="53" t="n">
        <x:v>4</x:v>
      </x:c>
      <x:c r="F14" s="53" t="n">
        <x:v>5</x:v>
      </x:c>
      <x:c r="G14" s="15" t="str">
        <x:v>Discovery</x:v>
      </x:c>
      <x:c r="H14" s="15" t="str">
        <x:v>Закладні, напрямні, електрика</x:v>
      </x:c>
      <x:c r="I14" s="15" t="str">
        <x:v>Акти монтажу + випробування</x:v>
      </x:c>
      <x:c r="J14" s="15" t="str">
        <x:v>Де губиться доказ до реєстрації?</x:v>
      </x:c>
    </x:row>
    <x:row r="15" ht="42" customHeight="1">
      <x:c r="A15" s="55" t="str">
        <x:v>Басейни, водні комплекси та SPA</x:v>
      </x:c>
      <x:c r="B15" s="53" t="n">
        <x:f>COUNTIF('Leads 268'!$D$5:$D$350,A15)</x:f>
        <x:v>3</x:v>
      </x:c>
      <x:c r="C15" s="53" t="n">
        <x:v>3</x:v>
      </x:c>
      <x:c r="D15" s="53" t="n">
        <x:v>5</x:v>
      </x:c>
      <x:c r="E15" s="53" t="n">
        <x:v>5</x:v>
      </x:c>
      <x:c r="F15" s="53" t="n">
        <x:v>5</x:v>
      </x:c>
      <x:c r="G15" s="15" t="str">
        <x:v>Discovery / partial Н.14/15</x:v>
      </x:c>
      <x:c r="H15" s="15" t="str">
        <x:v>Закладні, труби, гідроізоляція</x:v>
      </x:c>
      <x:c r="I15" s="15" t="str">
        <x:v>Фото закладних + гідротест</x:v>
      </x:c>
      <x:c r="J15" s="15" t="str">
        <x:v>Покажіть пакет до оздоблення чаші</x:v>
      </x:c>
    </x:row>
    <x:row r="16" ht="42" customHeight="1">
      <x:c r="A16" s="55" t="str">
        <x:v>Дорожні роботи та благоустрій</x:v>
      </x:c>
      <x:c r="B16" s="53" t="n">
        <x:f>COUNTIF('Leads 268'!$D$5:$D$350,A16)</x:f>
        <x:v>1</x:v>
      </x:c>
      <x:c r="C16" s="53" t="n">
        <x:v>0</x:v>
      </x:c>
      <x:c r="D16" s="53" t="n">
        <x:v>5</x:v>
      </x:c>
      <x:c r="E16" s="53" t="n">
        <x:v>5</x:v>
      </x:c>
      <x:c r="F16" s="53" t="n">
        <x:v>5</x:v>
      </x:c>
      <x:c r="G16" s="15" t="str">
        <x:v>Discovery</x:v>
      </x:c>
      <x:c r="H16" s="15" t="str">
        <x:v>Основа, шари, ущільнення</x:v>
      </x:c>
      <x:c r="I16" s="15" t="str">
        <x:v>Лабораторний протокол + фото</x:v>
      </x:c>
      <x:c r="J16" s="15" t="str">
        <x:v>Як здається шар до наступного?</x:v>
      </x:c>
    </x:row>
    <x:row r="17" ht="42" customHeight="1">
      <x:c r="A17" s="55" t="str">
        <x:v>ГНБ / безтраншейні мережі</x:v>
      </x:c>
      <x:c r="B17" s="53" t="n">
        <x:f>COUNTIF('Leads 268'!$D$5:$D$350,A17)</x:f>
        <x:v>5</x:v>
      </x:c>
      <x:c r="C17" s="53" t="n">
        <x:v>1</x:v>
      </x:c>
      <x:c r="D17" s="53" t="n">
        <x:v>5</x:v>
      </x:c>
      <x:c r="E17" s="53" t="n">
        <x:v>5</x:v>
      </x:c>
      <x:c r="F17" s="53" t="n">
        <x:v>5</x:v>
      </x:c>
      <x:c r="G17" s="15" t="str">
        <x:v>Discovery</x:v>
      </x:c>
      <x:c r="H17" s="15" t="str">
        <x:v>Пілотна свердловина, розширення, протягування</x:v>
      </x:c>
      <x:c r="I17" s="15" t="str">
        <x:v>Журнал буріння + геоприв'язка</x:v>
      </x:c>
      <x:c r="J17" s="15" t="str">
        <x:v>Покажіть пакет здачі одного переходу</x:v>
      </x:c>
    </x:row>
    <x:row r="18" ht="42" customHeight="1">
      <x:c r="A18" s="55" t="str">
        <x:v>Водоочищення та очисні споруди</x:v>
      </x:c>
      <x:c r="B18" s="53" t="n">
        <x:f>COUNTIF('Leads 268'!$D$5:$D$350,A18)</x:f>
        <x:v>9</x:v>
      </x:c>
      <x:c r="C18" s="53" t="n">
        <x:v>1</x:v>
      </x:c>
      <x:c r="D18" s="53" t="n">
        <x:v>5</x:v>
      </x:c>
      <x:c r="E18" s="53" t="n">
        <x:v>5</x:v>
      </x:c>
      <x:c r="F18" s="53" t="n">
        <x:v>5</x:v>
      </x:c>
      <x:c r="G18" s="15" t="str">
        <x:v>Discovery</x:v>
      </x:c>
      <x:c r="H18" s="15" t="str">
        <x:v>Трубопроводи, резервуари, мембрани, ПНР</x:v>
      </x:c>
      <x:c r="I18" s="15" t="str">
        <x:v>Акти + гідротести + ПНР</x:v>
      </x:c>
      <x:c r="J18" s="15" t="str">
        <x:v>Розберімо один пакет здачі споруди</x:v>
      </x:c>
    </x:row>
    <x:row r="19" ht="42" customHeight="1">
      <x:c r="A19" s="55" t="str">
        <x:v>Промислова автоматизація / SCADA</x:v>
      </x:c>
      <x:c r="B19" s="53" t="n">
        <x:f>COUNTIF('Leads 268'!$D$5:$D$350,A19)</x:f>
        <x:v>8</x:v>
      </x:c>
      <x:c r="C19" s="53" t="n">
        <x:v>1</x:v>
      </x:c>
      <x:c r="D19" s="53" t="n">
        <x:v>5</x:v>
      </x:c>
      <x:c r="E19" s="53" t="n">
        <x:v>4</x:v>
      </x:c>
      <x:c r="F19" s="53" t="n">
        <x:v>5</x:v>
      </x:c>
      <x:c r="G19" s="15" t="str">
        <x:v>Discovery</x:v>
      </x:c>
      <x:c r="H19" s="15" t="str">
        <x:v>Шафи, кабелі, loop-check, FAT/SAT</x:v>
      </x:c>
      <x:c r="I19" s="15" t="str">
        <x:v>Loop-check + протокол ПНР</x:v>
      </x:c>
      <x:c r="J19" s="15" t="str">
        <x:v>Покажіть handoff монтаж → ПНР</x:v>
      </x:c>
    </x:row>
    <x:row r="20" ht="42" customHeight="1">
      <x:c r="A20" s="55" t="str">
        <x:v>Промисловий холод</x:v>
      </x:c>
      <x:c r="B20" s="53" t="n">
        <x:f>COUNTIF('Leads 268'!$D$5:$D$350,A20)</x:f>
        <x:v>8</x:v>
      </x:c>
      <x:c r="C20" s="53" t="n">
        <x:v>1</x:v>
      </x:c>
      <x:c r="D20" s="53" t="n">
        <x:v>5</x:v>
      </x:c>
      <x:c r="E20" s="53" t="n">
        <x:v>5</x:v>
      </x:c>
      <x:c r="F20" s="53" t="n">
        <x:v>5</x:v>
      </x:c>
      <x:c r="G20" s="15" t="str">
        <x:v>Discovery</x:v>
      </x:c>
      <x:c r="H20" s="15" t="str">
        <x:v>Трубопроводи, ізоляція, вакуумування, ПНР</x:v>
      </x:c>
      <x:c r="I20" s="15" t="str">
        <x:v>Протоколи герметичності + ПНР</x:v>
      </x:c>
      <x:c r="J20" s="15" t="str">
        <x:v>Покажіть пакет запуску однієї системи</x:v>
      </x:c>
    </x:row>
    <x:row r="21" ht="42" customHeight="1">
      <x:c r="A21" s="55" t="str">
        <x:v>Пожежогасіння</x:v>
      </x:c>
      <x:c r="B21" s="53" t="n">
        <x:f>COUNTIF('Leads 268'!$D$5:$D$350,A21)</x:f>
        <x:v>4</x:v>
      </x:c>
      <x:c r="C21" s="53" t="n">
        <x:v>1</x:v>
      </x:c>
      <x:c r="D21" s="53" t="n">
        <x:v>5</x:v>
      </x:c>
      <x:c r="E21" s="53" t="n">
        <x:v>5</x:v>
      </x:c>
      <x:c r="F21" s="53" t="n">
        <x:v>5</x:v>
      </x:c>
      <x:c r="G21" s="15" t="str">
        <x:v>Discovery</x:v>
      </x:c>
      <x:c r="H21" s="15" t="str">
        <x:v>Труби, проходки, адресація, випробування</x:v>
      </x:c>
      <x:c r="I21" s="15" t="str">
        <x:v>Акти + протоколи випробувань</x:v>
      </x:c>
      <x:c r="J21" s="15" t="str">
        <x:v>Покажіть пакет до введення</x:v>
      </x:c>
    </x:row>
    <x:row r="22" ht="42" customHeight="1">
      <x:c r="A22" s="55" t="str">
        <x:v>Резервне живлення</x:v>
      </x:c>
      <x:c r="B22" s="53" t="n">
        <x:f>COUNTIF('Leads 268'!$D$5:$D$350,A22)</x:f>
        <x:v>9</x:v>
      </x:c>
      <x:c r="C22" s="53" t="n">
        <x:v>2</x:v>
      </x:c>
      <x:c r="D22" s="53" t="n">
        <x:v>5</x:v>
      </x:c>
      <x:c r="E22" s="53" t="n">
        <x:v>4</x:v>
      </x:c>
      <x:c r="F22" s="53" t="n">
        <x:v>5</x:v>
      </x:c>
      <x:c r="G22" s="15" t="str">
        <x:v>Discovery / partial Н.15</x:v>
      </x:c>
      <x:c r="H22" s="15" t="str">
        <x:v>АВР, кабелі, заземлення, тест навантаження</x:v>
      </x:c>
      <x:c r="I22" s="15" t="str">
        <x:v>Протокол АВР / ДБЖ</x:v>
      </x:c>
      <x:c r="J22" s="15" t="str">
        <x:v>Розберімо один тест під навантаженням</x:v>
      </x:c>
    </x:row>
    <x:row r="23" ht="42" customHeight="1">
      <x:c r="A23" s="55" t="str">
        <x:v>Безпека / СКУД / CCTV</x:v>
      </x:c>
      <x:c r="B23" s="53" t="n">
        <x:f>COUNTIF('Leads 268'!$D$5:$D$350,A23)</x:f>
        <x:v>8</x:v>
      </x:c>
      <x:c r="C23" s="53" t="n">
        <x:v>2</x:v>
      </x:c>
      <x:c r="D23" s="53" t="n">
        <x:v>5</x:v>
      </x:c>
      <x:c r="E23" s="53" t="n">
        <x:v>4</x:v>
      </x:c>
      <x:c r="F23" s="53" t="n">
        <x:v>5</x:v>
      </x:c>
      <x:c r="G23" s="15" t="str">
        <x:v>Discovery / partial Н.15</x:v>
      </x:c>
      <x:c r="H23" s="15" t="str">
        <x:v>Траси, адресація, налаштування</x:v>
      </x:c>
      <x:c r="I23" s="15" t="str">
        <x:v>Виконавча схема + acceptance-test</x:v>
      </x:c>
      <x:c r="J23" s="15" t="str">
        <x:v>Покажіть пакет здачі одного об'єкта</x:v>
      </x:c>
    </x:row>
    <x:row r="24" ht="42" customHeight="1">
      <x:c r="A24" s="55" t="str">
        <x:v>ВОЛЗ / телеком-мережі</x:v>
      </x:c>
      <x:c r="B24" s="53" t="n">
        <x:f>COUNTIF('Leads 268'!$D$5:$D$350,A24)</x:f>
        <x:v>8</x:v>
      </x:c>
      <x:c r="C24" s="53" t="n">
        <x:v>1</x:v>
      </x:c>
      <x:c r="D24" s="53" t="n">
        <x:v>5</x:v>
      </x:c>
      <x:c r="E24" s="53" t="n">
        <x:v>5</x:v>
      </x:c>
      <x:c r="F24" s="53" t="n">
        <x:v>5</x:v>
      </x:c>
      <x:c r="G24" s="15" t="str">
        <x:v>Discovery</x:v>
      </x:c>
      <x:c r="H24" s="15" t="str">
        <x:v>Траси, муфти, зварювання волокон</x:v>
      </x:c>
      <x:c r="I24" s="15" t="str">
        <x:v>Рефлектограми + виконавча схема</x:v>
      </x:c>
      <x:c r="J24" s="15" t="str">
        <x:v>Покажіть пакет здачі однієї ділянки</x:v>
      </x:c>
    </x:row>
    <x:row r="25" ht="42" customHeight="1">
      <x:c r="A25" s="55" t="str">
        <x:v>Газопостачання / котельні</x:v>
      </x:c>
      <x:c r="B25" s="53" t="n">
        <x:f>COUNTIF('Leads 268'!$D$5:$D$350,A25)</x:f>
        <x:v>8</x:v>
      </x:c>
      <x:c r="C25" s="53" t="n">
        <x:v>1</x:v>
      </x:c>
      <x:c r="D25" s="53" t="n">
        <x:v>5</x:v>
      </x:c>
      <x:c r="E25" s="53" t="n">
        <x:v>5</x:v>
      </x:c>
      <x:c r="F25" s="53" t="n">
        <x:v>5</x:v>
      </x:c>
      <x:c r="G25" s="15" t="str">
        <x:v>Discovery</x:v>
      </x:c>
      <x:c r="H25" s="15" t="str">
        <x:v>Зварні стики, автоматика, випробування</x:v>
      </x:c>
      <x:c r="I25" s="15" t="str">
        <x:v>Журнал стиків + ПНР</x:v>
      </x:c>
      <x:c r="J25" s="15" t="str">
        <x:v>Розберімо пакет введення котельні</x:v>
      </x:c>
    </x:row>
    <x:row r="26" ht="42" customHeight="1">
      <x:c r="A26" s="55" t="str">
        <x:v>Медичні гази</x:v>
      </x:c>
      <x:c r="B26" s="53" t="n">
        <x:f>COUNTIF('Leads 268'!$D$5:$D$350,A26)</x:f>
        <x:v>7</x:v>
      </x:c>
      <x:c r="C26" s="53" t="n">
        <x:v>1</x:v>
      </x:c>
      <x:c r="D26" s="53" t="n">
        <x:v>5</x:v>
      </x:c>
      <x:c r="E26" s="53" t="n">
        <x:v>5</x:v>
      </x:c>
      <x:c r="F26" s="53" t="n">
        <x:v>5</x:v>
      </x:c>
      <x:c r="G26" s="15" t="str">
        <x:v>Discovery</x:v>
      </x:c>
      <x:c r="H26" s="15" t="str">
        <x:v>Пайка, чистота, маркування, валідація</x:v>
      </x:c>
      <x:c r="I26" s="15" t="str">
        <x:v>Протокол чистоти + випробування</x:v>
      </x:c>
      <x:c r="J26" s="15" t="str">
        <x:v>Покажіть один validation-пакет</x:v>
      </x:c>
    </x:row>
    <x:row r="27" ht="42" customHeight="1">
      <x:c r="A27" s="55" t="str">
        <x:v>Стиснене повітря / компресорні</x:v>
      </x:c>
      <x:c r="B27" s="53" t="n">
        <x:f>COUNTIF('Leads 268'!$D$5:$D$350,A27)</x:f>
        <x:v>8</x:v>
      </x:c>
      <x:c r="C27" s="53" t="n">
        <x:v>1</x:v>
      </x:c>
      <x:c r="D27" s="53" t="n">
        <x:v>5</x:v>
      </x:c>
      <x:c r="E27" s="53" t="n">
        <x:v>5</x:v>
      </x:c>
      <x:c r="F27" s="53" t="n">
        <x:v>4</x:v>
      </x:c>
      <x:c r="G27" s="15" t="str">
        <x:v>Discovery</x:v>
      </x:c>
      <x:c r="H27" s="15" t="str">
        <x:v>Пневмомережі, дренаж, фільтрація</x:v>
      </x:c>
      <x:c r="I27" s="15" t="str">
        <x:v>Герметичність + ПНР</x:v>
      </x:c>
      <x:c r="J27" s="15" t="str">
        <x:v>Покажіть пакет запуску компресорної</x:v>
      </x:c>
    </x:row>
    <x:row r="28" ht="42" customHeight="1">
      <x:c r="A28" s="55" t="str">
        <x:v>Технологічні трубопроводи</x:v>
      </x:c>
      <x:c r="B28" s="53" t="n">
        <x:f>COUNTIF('Leads 268'!$D$5:$D$350,A28)</x:f>
        <x:v>7</x:v>
      </x:c>
      <x:c r="C28" s="53" t="n">
        <x:v>1</x:v>
      </x:c>
      <x:c r="D28" s="53" t="n">
        <x:v>5</x:v>
      </x:c>
      <x:c r="E28" s="53" t="n">
        <x:v>5</x:v>
      </x:c>
      <x:c r="F28" s="53" t="n">
        <x:v>5</x:v>
      </x:c>
      <x:c r="G28" s="15" t="str">
        <x:v>Discovery</x:v>
      </x:c>
      <x:c r="H28" s="15" t="str">
        <x:v>Стики, НК, опори, гідровипробування</x:v>
      </x:c>
      <x:c r="I28" s="15" t="str">
        <x:v>Журнал стиків + НК + гідротест</x:v>
      </x:c>
      <x:c r="J28" s="15" t="str">
        <x:v>Розберімо один ізометричний пакет</x:v>
      </x:c>
    </x:row>
    <x:row r="29" ht="42" customHeight="1">
      <x:c r="A29" s="55" t="str">
        <x:v>Мости та інфраструктура</x:v>
      </x:c>
      <x:c r="B29" s="53" t="n">
        <x:f>COUNTIF('Leads 268'!$D$5:$D$350,A29)</x:f>
        <x:v>8</x:v>
      </x:c>
      <x:c r="C29" s="53" t="n">
        <x:v>1</x:v>
      </x:c>
      <x:c r="D29" s="53" t="n">
        <x:v>5</x:v>
      </x:c>
      <x:c r="E29" s="53" t="n">
        <x:v>5</x:v>
      </x:c>
      <x:c r="F29" s="53" t="n">
        <x:v>5</x:v>
      </x:c>
      <x:c r="G29" s="15" t="str">
        <x:v>Discovery</x:v>
      </x:c>
      <x:c r="H29" s="15" t="str">
        <x:v>Армування, бетон, гідроізоляція, лабораторія</x:v>
      </x:c>
      <x:c r="I29" s="15" t="str">
        <x:v>Акт прихованих + лабораторний протокол</x:v>
      </x:c>
      <x:c r="J29" s="15" t="str">
        <x:v>Покажіть пакет одного конструктиву</x:v>
      </x:c>
    </x:row>
    <x:row r="30" ht="42" customHeight="1">
      <x:c r="A30" s="56" t="str">
        <x:v>Підсилення та ремонт бетону</x:v>
      </x:c>
      <x:c r="B30" s="54" t="n">
        <x:f>COUNTIF('Leads 268'!$D$5:$D$350,A30)</x:f>
        <x:v>6</x:v>
      </x:c>
      <x:c r="C30" s="54" t="n">
        <x:v>1</x:v>
      </x:c>
      <x:c r="D30" s="54" t="n">
        <x:v>5</x:v>
      </x:c>
      <x:c r="E30" s="54" t="n">
        <x:v>5</x:v>
      </x:c>
      <x:c r="F30" s="54" t="n">
        <x:v>5</x:v>
      </x:c>
      <x:c r="G30" s="52" t="str">
        <x:v>Discovery</x:v>
      </x:c>
      <x:c r="H30" s="52" t="str">
        <x:v>Підготовка, ін'єкції, армування, торкрет</x:v>
      </x:c>
      <x:c r="I30" s="52" t="str">
        <x:v>Фото етапів + акт + контроль міцності</x:v>
      </x:c>
      <x:c r="J30" s="52" t="str">
        <x:v>Покажіть пакет до захисного шару</x:v>
      </x:c>
    </x:row>
  </x:sheetData>
  <x:mergeCells>
    <x:mergeCell ref="A1:J1"/>
    <x:mergeCell ref="A2:J2"/>
  </x:mergeCells>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s>
  <x:sheetData>
    <x:row r="1" ht="34" customHeight="1">
      <x:c r="A1" s="3" t="str">
        <x:v>Два безкоштовні офери замість одного</x:v>
      </x:c>
      <x:c r="B1" s="3"/>
      <x:c r="C1" s="3"/>
      <x:c r="D1" s="3"/>
      <x:c r="E1" s="3"/>
      <x:c r="F1" s="3"/>
      <x:c r="G1" s="3"/>
      <x:c r="H1" s="3"/>
      <x:c r="I1" s="3"/>
      <x:c r="J1" s="3"/>
    </x:row>
    <x:row r="2" ht="22" customHeight="1">
      <x:c r="A2" s="5" t="str">
        <x:v>Пілот доводить цінність на поточному покритті; discovery sprint перевіряє нову вертикаль без фальшивої обіцянки готового продукту</x:v>
      </x:c>
      <x:c r="B2" s="5"/>
      <x:c r="C2" s="5"/>
      <x:c r="D2" s="5"/>
      <x:c r="E2" s="5"/>
      <x:c r="F2" s="5"/>
      <x:c r="G2" s="5"/>
      <x:c r="H2" s="5"/>
      <x:c r="I2" s="5"/>
      <x:c r="J2" s="5"/>
    </x:row>
    <x:row r="4">
      <x:c r="A4" s="23" t="str">
        <x:v>A. Design-partner пілот — Pilot now</x:v>
      </x:c>
      <x:c r="B4" s="23"/>
      <x:c r="C4" s="23"/>
      <x:c r="D4" s="23"/>
      <x:c r="E4" s="23"/>
      <x:c r="F4" s="23" t="str">
        <x:v>B. Workflow discovery sprint — Expansion</x:v>
      </x:c>
      <x:c r="G4" s="23"/>
      <x:c r="H4" s="23"/>
      <x:c r="I4" s="23"/>
      <x:c r="J4" s="23"/>
    </x:row>
    <x:row r="5">
      <x:c r="A5" s="60" t="str">
        <x:v>30–45 днів на одному активному проєкті без ліцензійної плати. Підходить для внутрішніх сантехнічних/HVAC та електромонтажних робіт у межах погодженого Н.14/Н.15 subset.</x:v>
      </x:c>
      <x:c r="B5" s="60"/>
      <x:c r="C5" s="60"/>
      <x:c r="D5" s="60"/>
      <x:c r="E5" s="60"/>
      <x:c r="F5" s="64" t="str">
        <x:v>2 тижні без ліцензійної плати: розібрати один реальний пакет приймання, вимоги проєкту та ролі. Результат — карта workflow, verdict fit/no-fit і вузький scope майбутнього пілоту.</x:v>
      </x:c>
      <x:c r="G5" s="64"/>
      <x:c r="H5" s="64"/>
      <x:c r="I5" s="64"/>
      <x:c r="J5" s="64"/>
    </x:row>
    <x:row r="6">
      <x:c r="A6" s="60"/>
      <x:c r="B6" s="60"/>
      <x:c r="C6" s="60"/>
      <x:c r="D6" s="60"/>
      <x:c r="E6" s="60"/>
      <x:c r="F6" s="64"/>
      <x:c r="G6" s="64"/>
      <x:c r="H6" s="64"/>
      <x:c r="I6" s="64"/>
      <x:c r="J6" s="64"/>
    </x:row>
    <x:row r="7">
      <x:c r="A7" s="60"/>
      <x:c r="B7" s="60"/>
      <x:c r="C7" s="60"/>
      <x:c r="D7" s="60"/>
      <x:c r="E7" s="60"/>
      <x:c r="F7" s="64"/>
      <x:c r="G7" s="64"/>
      <x:c r="H7" s="64"/>
      <x:c r="I7" s="64"/>
      <x:c r="J7" s="64"/>
    </x:row>
    <x:row r="9">
      <x:c r="A9" s="23" t="str">
        <x:v>Умови входу</x:v>
      </x:c>
      <x:c r="B9" s="23"/>
      <x:c r="C9" s="23"/>
      <x:c r="D9" s="23"/>
      <x:c r="E9" s="23"/>
      <x:c r="F9" s="23" t="str">
        <x:v>Умови входу</x:v>
      </x:c>
      <x:c r="G9" s="23"/>
      <x:c r="H9" s="23"/>
      <x:c r="I9" s="23"/>
      <x:c r="J9" s="23"/>
    </x:row>
    <x:row r="10" ht="31" customHeight="1">
      <x:c r="A10" s="65" t="str">
        <x:v>• Один активний проєкт і названий спонсор.</x:v>
      </x:c>
      <x:c r="B10" s="65"/>
      <x:c r="C10" s="65"/>
      <x:c r="D10" s="65"/>
      <x:c r="E10" s="65"/>
      <x:c r="F10" s="65" t="str">
        <x:v>• Один реальний пакет приймання з нової вертикалі.</x:v>
      </x:c>
      <x:c r="G10" s="65"/>
      <x:c r="H10" s="65"/>
      <x:c r="I10" s="65"/>
      <x:c r="J10" s="65"/>
    </x:row>
    <x:row r="11" ht="31" customHeight="1">
      <x:c r="A11" s="65" t="str">
        <x:v>• ПТО, майстер і рев’юер.</x:v>
      </x:c>
      <x:c r="B11" s="65"/>
      <x:c r="C11" s="65"/>
      <x:c r="D11" s="65"/>
      <x:c r="E11" s="65"/>
      <x:c r="F11" s="65" t="str">
        <x:v>• Вимоги / специфікація конкретного проєкту.</x:v>
      </x:c>
      <x:c r="G11" s="65"/>
      <x:c r="H11" s="65"/>
      <x:c r="I11" s="65"/>
      <x:c r="J11" s="65"/>
    </x:row>
    <x:row r="12" ht="31" customHeight="1">
      <x:c r="A12" s="65" t="str">
        <x:v>• Один анонімізований акт/АВР або пакет фото.</x:v>
      </x:c>
      <x:c r="B12" s="65"/>
      <x:c r="C12" s="65"/>
      <x:c r="D12" s="65"/>
      <x:c r="E12" s="65"/>
      <x:c r="F12" s="65" t="str">
        <x:v>• 60 хв з виконробом або ПТО.</x:v>
      </x:c>
      <x:c r="G12" s="65"/>
      <x:c r="H12" s="65"/>
      <x:c r="I12" s="65"/>
      <x:c r="J12" s="65"/>
    </x:row>
    <x:row r="13" ht="31" customHeight="1">
      <x:c r="A13" s="65" t="str">
        <x:v>• 30 хв щотижня.</x:v>
      </x:c>
      <x:c r="B13" s="65"/>
      <x:c r="C13" s="65"/>
      <x:c r="D13" s="65"/>
      <x:c r="E13" s="65"/>
      <x:c r="F13" s="65" t="str">
        <x:v>• 30 хв з рев’юером / технаглядом.</x:v>
      </x:c>
      <x:c r="G13" s="65"/>
      <x:c r="H13" s="65"/>
      <x:c r="I13" s="65"/>
      <x:c r="J13" s="65"/>
    </x:row>
    <x:row r="14" ht="31" customHeight="1">
      <x:c r="A14" s="65" t="str">
        <x:v>• Метрики до/після.</x:v>
      </x:c>
      <x:c r="B14" s="65"/>
      <x:c r="C14" s="65"/>
      <x:c r="D14" s="65"/>
      <x:c r="E14" s="65"/>
      <x:c r="F14" s="65" t="str">
        <x:v>• Дозвіл змоделювати 1 вузький workflow.</x:v>
      </x:c>
      <x:c r="G14" s="65"/>
      <x:c r="H14" s="65"/>
      <x:c r="I14" s="65"/>
      <x:c r="J14" s="65"/>
    </x:row>
    <x:row r="15" ht="31" customHeight="1">
      <x:c r="A15" s="66" t="str">
        <x:v>• Go/no-go на 30–45 день.</x:v>
      </x:c>
      <x:c r="B15" s="66"/>
      <x:c r="C15" s="66"/>
      <x:c r="D15" s="66"/>
      <x:c r="E15" s="66"/>
      <x:c r="F15" s="66" t="str">
        <x:v>• Жодної обіцянки інтеграції чи повного покриття.</x:v>
      </x:c>
      <x:c r="G15" s="66"/>
      <x:c r="H15" s="66"/>
      <x:c r="I15" s="66"/>
      <x:c r="J15" s="66"/>
    </x:row>
    <x:row r="17">
      <x:c r="A17" s="23" t="str">
        <x:v>Метрики пілоту</x:v>
      </x:c>
      <x:c r="B17" s="23"/>
      <x:c r="C17" s="23"/>
      <x:c r="D17" s="23"/>
      <x:c r="E17" s="23"/>
      <x:c r="F17" s="23" t="str">
        <x:v>Результат discovery sprint</x:v>
      </x:c>
      <x:c r="G17" s="23"/>
      <x:c r="H17" s="23"/>
      <x:c r="I17" s="23"/>
      <x:c r="J17" s="23"/>
    </x:row>
    <x:row r="18" ht="31" customHeight="1">
      <x:c r="A18" s="65" t="str">
        <x:v>1. Приймання з першого перегляду.</x:v>
      </x:c>
      <x:c r="B18" s="65"/>
      <x:c r="C18" s="65"/>
      <x:c r="D18" s="65"/>
      <x:c r="E18" s="65"/>
      <x:c r="F18" s="65" t="str">
        <x:v>1. Підтверджений або спростований workflow pain.</x:v>
      </x:c>
      <x:c r="G18" s="65"/>
      <x:c r="H18" s="65"/>
      <x:c r="I18" s="65"/>
      <x:c r="J18" s="65"/>
    </x:row>
    <x:row r="19" ht="31" customHeight="1">
      <x:c r="A19" s="65" t="str">
        <x:v>2. Час до рішення рев’юера.</x:v>
      </x:c>
      <x:c r="B19" s="65"/>
      <x:c r="C19" s="65"/>
      <x:c r="D19" s="65"/>
      <x:c r="E19" s="65"/>
      <x:c r="F19" s="65" t="str">
        <x:v>2. Список вимог і джерел істини.</x:v>
      </x:c>
      <x:c r="G19" s="65"/>
      <x:c r="H19" s="65"/>
      <x:c r="I19" s="65"/>
      <x:c r="J19" s="65"/>
    </x:row>
    <x:row r="20" ht="31" customHeight="1">
      <x:c r="A20" s="65" t="str">
        <x:v>3. Докази до закриття робіт.</x:v>
      </x:c>
      <x:c r="B20" s="65"/>
      <x:c r="C20" s="65"/>
      <x:c r="D20" s="65"/>
      <x:c r="E20" s="65"/>
      <x:c r="F20" s="65" t="str">
        <x:v>3. Карта ролей і handoff.</x:v>
      </x:c>
      <x:c r="G20" s="65"/>
      <x:c r="H20" s="65"/>
      <x:c r="I20" s="65"/>
      <x:c r="J20" s="65"/>
    </x:row>
    <x:row r="21" ht="31" customHeight="1">
      <x:c r="A21" s="65" t="str">
        <x:v>4. Повернення через неповний пакет.</x:v>
      </x:c>
      <x:c r="B21" s="65"/>
      <x:c r="C21" s="65"/>
      <x:c r="D21" s="65"/>
      <x:c r="E21" s="65"/>
      <x:c r="F21" s="65" t="str">
        <x:v>4. Один прототип пакета приймання.</x:v>
      </x:c>
      <x:c r="G21" s="65"/>
      <x:c r="H21" s="65"/>
      <x:c r="I21" s="65"/>
      <x:c r="J21" s="65"/>
    </x:row>
    <x:row r="22" ht="31" customHeight="1">
      <x:c r="A22" s="66" t="str">
        <x:v>5. Щотижнева активність ролей.</x:v>
      </x:c>
      <x:c r="B22" s="66"/>
      <x:c r="C22" s="66"/>
      <x:c r="D22" s="66"/>
      <x:c r="E22" s="66"/>
      <x:c r="F22" s="66" t="str">
        <x:v>5. Рішення: build / partner / stop.</x:v>
      </x:c>
      <x:c r="G22" s="66"/>
      <x:c r="H22" s="66"/>
      <x:c r="I22" s="66"/>
      <x:c r="J22" s="66"/>
    </x:row>
    <x:row r="24">
      <x:c r="A24" s="23" t="str">
        <x:v>Незмінні межі</x:v>
      </x:c>
      <x:c r="B24" s="23"/>
      <x:c r="C24" s="23"/>
      <x:c r="D24" s="23"/>
      <x:c r="E24" s="23"/>
      <x:c r="F24" s="23"/>
      <x:c r="G24" s="23"/>
      <x:c r="H24" s="23"/>
      <x:c r="I24" s="23"/>
      <x:c r="J24" s="23"/>
    </x:row>
    <x:row r="25">
      <x:c r="A25" s="70" t="str">
        <x:v>Захищене посилання не є КЕП. Поточна бібліотека містить 12 вимог: 5 для Н.14 і 7 для Н.15. У нових вертикалях GoProceed не має готового нормативного покриття: пілот можливий лише після отримання вимог конкретного проєкту та погодження вузького scope.</x:v>
      </x:c>
      <x:c r="B25" s="70"/>
      <x:c r="C25" s="70"/>
      <x:c r="D25" s="70"/>
      <x:c r="E25" s="70"/>
      <x:c r="F25" s="70"/>
      <x:c r="G25" s="70"/>
      <x:c r="H25" s="70"/>
      <x:c r="I25" s="70"/>
      <x:c r="J25" s="70"/>
    </x:row>
    <x:row r="26">
      <x:c r="A26" s="70"/>
      <x:c r="B26" s="70"/>
      <x:c r="C26" s="70"/>
      <x:c r="D26" s="70"/>
      <x:c r="E26" s="70"/>
      <x:c r="F26" s="70"/>
      <x:c r="G26" s="70"/>
      <x:c r="H26" s="70"/>
      <x:c r="I26" s="70"/>
      <x:c r="J26" s="70"/>
    </x:row>
    <x:row r="27">
      <x:c r="A27" s="70"/>
      <x:c r="B27" s="70"/>
      <x:c r="C27" s="70"/>
      <x:c r="D27" s="70"/>
      <x:c r="E27" s="70"/>
      <x:c r="F27" s="70"/>
      <x:c r="G27" s="70"/>
      <x:c r="H27" s="70"/>
      <x:c r="I27" s="70"/>
      <x:c r="J27" s="70"/>
    </x:row>
  </x:sheetData>
  <x:mergeCells>
    <x:mergeCell ref="A1:J1"/>
    <x:mergeCell ref="A2:J2"/>
    <x:mergeCell ref="A4:E4"/>
    <x:mergeCell ref="F4:J4"/>
    <x:mergeCell ref="A5:E7"/>
    <x:mergeCell ref="F5:J7"/>
    <x:mergeCell ref="A9:E9"/>
    <x:mergeCell ref="F9:J9"/>
    <x:mergeCell ref="A10:E10"/>
    <x:mergeCell ref="A11:E11"/>
    <x:mergeCell ref="A12:E12"/>
    <x:mergeCell ref="A13:E13"/>
    <x:mergeCell ref="A14:E14"/>
    <x:mergeCell ref="A15:E15"/>
    <x:mergeCell ref="F10:J10"/>
    <x:mergeCell ref="F11:J11"/>
    <x:mergeCell ref="F12:J12"/>
    <x:mergeCell ref="F13:J13"/>
    <x:mergeCell ref="F14:J14"/>
    <x:mergeCell ref="F15:J15"/>
    <x:mergeCell ref="A17:E17"/>
    <x:mergeCell ref="F17:J17"/>
    <x:mergeCell ref="A18:E18"/>
    <x:mergeCell ref="A19:E19"/>
    <x:mergeCell ref="A20:E20"/>
    <x:mergeCell ref="A21:E21"/>
    <x:mergeCell ref="A22:E22"/>
    <x:mergeCell ref="F18:J18"/>
    <x:mergeCell ref="F19:J19"/>
    <x:mergeCell ref="F20:J20"/>
    <x:mergeCell ref="F21:J21"/>
    <x:mergeCell ref="F22:J22"/>
    <x:mergeCell ref="A24:J24"/>
    <x:mergeCell ref="A25:J27"/>
  </x:mergeCells>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s>
  <x:sheetData>
    <x:row r="1" ht="34" customHeight="1">
      <x:c r="A1" s="3" t="str">
        <x:v>Outreach за двома маршрутами</x:v>
      </x:c>
      <x:c r="B1" s="3"/>
      <x:c r="C1" s="3"/>
      <x:c r="D1" s="3"/>
      <x:c r="E1" s="3"/>
      <x:c r="F1" s="3"/>
      <x:c r="G1" s="3"/>
      <x:c r="H1" s="3"/>
      <x:c r="I1" s="3"/>
      <x:c r="J1" s="3"/>
    </x:row>
    <x:row r="2" ht="22" customHeight="1">
      <x:c r="A2" s="5" t="str">
        <x:v>P-ліди: показати готовий review-flow. D-ліди: попросити артефакт і перевірити workflow до будь-якої продуктової обіцянки</x:v>
      </x:c>
      <x:c r="B2" s="5"/>
      <x:c r="C2" s="5"/>
      <x:c r="D2" s="5"/>
      <x:c r="E2" s="5"/>
      <x:c r="F2" s="5"/>
      <x:c r="G2" s="5"/>
      <x:c r="H2" s="5"/>
      <x:c r="I2" s="5"/>
      <x:c r="J2" s="5"/>
    </x:row>
    <x:row r="4">
      <x:c r="A4" s="23" t="str">
        <x:v>1. P1/P2 — перший контакт для пілоту зараз</x:v>
      </x:c>
      <x:c r="B4" s="23"/>
      <x:c r="C4" s="23"/>
      <x:c r="D4" s="23"/>
      <x:c r="E4" s="23"/>
      <x:c r="F4" s="23"/>
      <x:c r="G4" s="23"/>
      <x:c r="H4" s="23"/>
      <x:c r="I4" s="23"/>
      <x:c r="J4" s="23"/>
    </x:row>
    <x:row r="5">
      <x:c r="A5" s="75" t="str">
        <x:v>Доброго дня! Побачив, що [компанія] виконує [публічний доказ]. Ми тестуємо GoProceed у момент перед закриттям [електромонтажної / внутрішньої санітарно-технічної роботи]: бригада збирає докази, а ПТО або замовник переглядає одну сторінку без акаунта. Можу надіслати 40-секундний приклад саме для [робота]?</x:v>
      </x:c>
      <x:c r="B5" s="75"/>
      <x:c r="C5" s="75"/>
      <x:c r="D5" s="75"/>
      <x:c r="E5" s="75"/>
      <x:c r="F5" s="75"/>
      <x:c r="G5" s="75"/>
      <x:c r="H5" s="75"/>
      <x:c r="I5" s="75"/>
      <x:c r="J5" s="75"/>
    </x:row>
    <x:row r="6">
      <x:c r="A6" s="75"/>
      <x:c r="B6" s="75"/>
      <x:c r="C6" s="75"/>
      <x:c r="D6" s="75"/>
      <x:c r="E6" s="75"/>
      <x:c r="F6" s="75"/>
      <x:c r="G6" s="75"/>
      <x:c r="H6" s="75"/>
      <x:c r="I6" s="75"/>
      <x:c r="J6" s="75"/>
    </x:row>
    <x:row r="7">
      <x:c r="A7" s="75"/>
      <x:c r="B7" s="75"/>
      <x:c r="C7" s="75"/>
      <x:c r="D7" s="75"/>
      <x:c r="E7" s="75"/>
      <x:c r="F7" s="75"/>
      <x:c r="G7" s="75"/>
      <x:c r="H7" s="75"/>
      <x:c r="I7" s="75"/>
      <x:c r="J7" s="75"/>
    </x:row>
    <x:row r="8">
      <x:c r="A8" s="76"/>
      <x:c r="B8" s="76"/>
      <x:c r="C8" s="76"/>
      <x:c r="D8" s="76"/>
      <x:c r="E8" s="76"/>
      <x:c r="F8" s="76"/>
      <x:c r="G8" s="76"/>
      <x:c r="H8" s="76"/>
      <x:c r="I8" s="76"/>
      <x:c r="J8" s="76"/>
    </x:row>
    <x:row r="10">
      <x:c r="A10" s="23" t="str">
        <x:v>2. D1/D2 — перший контакт для нової вертикалі</x:v>
      </x:c>
      <x:c r="B10" s="23"/>
      <x:c r="C10" s="23"/>
      <x:c r="D10" s="23"/>
      <x:c r="E10" s="23"/>
      <x:c r="F10" s="23"/>
      <x:c r="G10" s="23"/>
      <x:c r="H10" s="23"/>
      <x:c r="I10" s="23"/>
      <x:c r="J10" s="23"/>
    </x:row>
    <x:row r="11">
      <x:c r="A11" s="75" t="str">
        <x:v>Доброго дня! Побачив у [компанія] роботи з [водоочищення / ВОЛЗ / котелень / SCADA / іншого]. Перевіряємо гіпотезу: найбільше повернень виникає там, де доказ треба зібрати до закриття наступним етапом або до ПНР. Не хочу продавати готову систему без вашого процесу. Чи можете показати один анонімізований пакет приймання або перелік фото/протоколів? За 20 хв скажемо чесно, чи є тут fit.</x:v>
      </x:c>
      <x:c r="B11" s="75"/>
      <x:c r="C11" s="75"/>
      <x:c r="D11" s="75"/>
      <x:c r="E11" s="75"/>
      <x:c r="F11" s="75"/>
      <x:c r="G11" s="75"/>
      <x:c r="H11" s="75"/>
      <x:c r="I11" s="75"/>
      <x:c r="J11" s="75"/>
    </x:row>
    <x:row r="12">
      <x:c r="A12" s="75"/>
      <x:c r="B12" s="75"/>
      <x:c r="C12" s="75"/>
      <x:c r="D12" s="75"/>
      <x:c r="E12" s="75"/>
      <x:c r="F12" s="75"/>
      <x:c r="G12" s="75"/>
      <x:c r="H12" s="75"/>
      <x:c r="I12" s="75"/>
      <x:c r="J12" s="75"/>
    </x:row>
    <x:row r="13">
      <x:c r="A13" s="75"/>
      <x:c r="B13" s="75"/>
      <x:c r="C13" s="75"/>
      <x:c r="D13" s="75"/>
      <x:c r="E13" s="75"/>
      <x:c r="F13" s="75"/>
      <x:c r="G13" s="75"/>
      <x:c r="H13" s="75"/>
      <x:c r="I13" s="75"/>
      <x:c r="J13" s="75"/>
    </x:row>
    <x:row r="14">
      <x:c r="A14" s="76"/>
      <x:c r="B14" s="76"/>
      <x:c r="C14" s="76"/>
      <x:c r="D14" s="76"/>
      <x:c r="E14" s="76"/>
      <x:c r="F14" s="76"/>
      <x:c r="G14" s="76"/>
      <x:c r="H14" s="76"/>
      <x:c r="I14" s="76"/>
      <x:c r="J14" s="76"/>
    </x:row>
    <x:row r="16">
      <x:c r="A16" s="23" t="str">
        <x:v>3. Follow-up для 21 попередньої відправки</x:v>
      </x:c>
      <x:c r="B16" s="23"/>
      <x:c r="C16" s="23"/>
      <x:c r="D16" s="23"/>
      <x:c r="E16" s="23"/>
      <x:c r="F16" s="23"/>
      <x:c r="G16" s="23"/>
      <x:c r="H16" s="23"/>
      <x:c r="I16" s="23"/>
      <x:c r="J16" s="23"/>
    </x:row>
    <x:row r="17">
      <x:c r="A17" s="75" t="str">
        <x:v>Доброго дня! Ми спростили перевірку до однієї сторінки без реєстрації: фото, джерело вимоги та «прийняти / повернути». Ось персональне посилання: [посилання]. Чи схоже це на ваш реальний handoff між бригадою, ПТО і замовником? Достатньо відповісти одним реченням.</x:v>
      </x:c>
      <x:c r="B17" s="75"/>
      <x:c r="C17" s="75"/>
      <x:c r="D17" s="75"/>
      <x:c r="E17" s="75"/>
      <x:c r="F17" s="75"/>
      <x:c r="G17" s="75"/>
      <x:c r="H17" s="75"/>
      <x:c r="I17" s="75"/>
      <x:c r="J17" s="75"/>
    </x:row>
    <x:row r="18">
      <x:c r="A18" s="75"/>
      <x:c r="B18" s="75"/>
      <x:c r="C18" s="75"/>
      <x:c r="D18" s="75"/>
      <x:c r="E18" s="75"/>
      <x:c r="F18" s="75"/>
      <x:c r="G18" s="75"/>
      <x:c r="H18" s="75"/>
      <x:c r="I18" s="75"/>
      <x:c r="J18" s="75"/>
    </x:row>
    <x:row r="19">
      <x:c r="A19" s="75"/>
      <x:c r="B19" s="75"/>
      <x:c r="C19" s="75"/>
      <x:c r="D19" s="75"/>
      <x:c r="E19" s="75"/>
      <x:c r="F19" s="75"/>
      <x:c r="G19" s="75"/>
      <x:c r="H19" s="75"/>
      <x:c r="I19" s="75"/>
      <x:c r="J19" s="75"/>
    </x:row>
    <x:row r="20">
      <x:c r="A20" s="76"/>
      <x:c r="B20" s="76"/>
      <x:c r="C20" s="76"/>
      <x:c r="D20" s="76"/>
      <x:c r="E20" s="76"/>
      <x:c r="F20" s="76"/>
      <x:c r="G20" s="76"/>
      <x:c r="H20" s="76"/>
      <x:c r="I20" s="76"/>
      <x:c r="J20" s="76"/>
    </x:row>
    <x:row r="22">
      <x:c r="A22" s="23" t="str">
        <x:v>4. Безкоштовний пілот після кваліфікації</x:v>
      </x:c>
      <x:c r="B22" s="23"/>
      <x:c r="C22" s="23"/>
      <x:c r="D22" s="23"/>
      <x:c r="E22" s="23"/>
      <x:c r="F22" s="23"/>
      <x:c r="G22" s="23"/>
      <x:c r="H22" s="23"/>
      <x:c r="I22" s="23"/>
      <x:c r="J22" s="23"/>
    </x:row>
    <x:row r="23">
      <x:c r="A23" s="75" t="str">
        <x:v>Пропоную design-partner пілот на одному активному проєкті на 30–45 днів без ліцензійної плати. Потрібні спонсор, ПТО, майстер, рев’юер, один реальний пакет і 30 хв щотижня. Разом виміряємо приймання з першого разу, час до рішення та повернення через неповні докази.</x:v>
      </x:c>
      <x:c r="B23" s="75"/>
      <x:c r="C23" s="75"/>
      <x:c r="D23" s="75"/>
      <x:c r="E23" s="75"/>
      <x:c r="F23" s="75"/>
      <x:c r="G23" s="75"/>
      <x:c r="H23" s="75"/>
      <x:c r="I23" s="75"/>
      <x:c r="J23" s="75"/>
    </x:row>
    <x:row r="24">
      <x:c r="A24" s="75"/>
      <x:c r="B24" s="75"/>
      <x:c r="C24" s="75"/>
      <x:c r="D24" s="75"/>
      <x:c r="E24" s="75"/>
      <x:c r="F24" s="75"/>
      <x:c r="G24" s="75"/>
      <x:c r="H24" s="75"/>
      <x:c r="I24" s="75"/>
      <x:c r="J24" s="75"/>
    </x:row>
    <x:row r="25">
      <x:c r="A25" s="75"/>
      <x:c r="B25" s="75"/>
      <x:c r="C25" s="75"/>
      <x:c r="D25" s="75"/>
      <x:c r="E25" s="75"/>
      <x:c r="F25" s="75"/>
      <x:c r="G25" s="75"/>
      <x:c r="H25" s="75"/>
      <x:c r="I25" s="75"/>
      <x:c r="J25" s="75"/>
    </x:row>
    <x:row r="26">
      <x:c r="A26" s="76"/>
      <x:c r="B26" s="76"/>
      <x:c r="C26" s="76"/>
      <x:c r="D26" s="76"/>
      <x:c r="E26" s="76"/>
      <x:c r="F26" s="76"/>
      <x:c r="G26" s="76"/>
      <x:c r="H26" s="76"/>
      <x:c r="I26" s="76"/>
      <x:c r="J26" s="76"/>
    </x:row>
    <x:row r="28">
      <x:c r="A28" s="23" t="str">
        <x:v>Правило, яке захищає довіру</x:v>
      </x:c>
      <x:c r="B28" s="23"/>
      <x:c r="C28" s="23"/>
      <x:c r="D28" s="23"/>
      <x:c r="E28" s="23"/>
      <x:c r="F28" s="23"/>
      <x:c r="G28" s="23"/>
      <x:c r="H28" s="23"/>
      <x:c r="I28" s="23"/>
      <x:c r="J28" s="23"/>
    </x:row>
    <x:row r="29">
      <x:c r="A29" s="79" t="str">
        <x:v>Для Lane = Expansion discovery не використовувати формулювання «у нас уже є рішення для вашої галузі». Чесне формулювання: «ми бачимо схожий workflow і хочемо перевірити його на одному реальному артефакті». Пілот пропонується лише після отримання вимог проєкту.</x:v>
      </x:c>
      <x:c r="B29" s="79"/>
      <x:c r="C29" s="79"/>
      <x:c r="D29" s="79"/>
      <x:c r="E29" s="79"/>
      <x:c r="F29" s="79"/>
      <x:c r="G29" s="79"/>
      <x:c r="H29" s="79"/>
      <x:c r="I29" s="79"/>
      <x:c r="J29" s="79"/>
    </x:row>
    <x:row r="30">
      <x:c r="A30" s="79"/>
      <x:c r="B30" s="79"/>
      <x:c r="C30" s="79"/>
      <x:c r="D30" s="79"/>
      <x:c r="E30" s="79"/>
      <x:c r="F30" s="79"/>
      <x:c r="G30" s="79"/>
      <x:c r="H30" s="79"/>
      <x:c r="I30" s="79"/>
      <x:c r="J30" s="79"/>
    </x:row>
    <x:row r="31">
      <x:c r="A31" s="79"/>
      <x:c r="B31" s="79"/>
      <x:c r="C31" s="79"/>
      <x:c r="D31" s="79"/>
      <x:c r="E31" s="79"/>
      <x:c r="F31" s="79"/>
      <x:c r="G31" s="79"/>
      <x:c r="H31" s="79"/>
      <x:c r="I31" s="79"/>
      <x:c r="J31" s="79"/>
    </x:row>
  </x:sheetData>
  <x:mergeCells>
    <x:mergeCell ref="A1:J1"/>
    <x:mergeCell ref="A2:J2"/>
    <x:mergeCell ref="A4:J4"/>
    <x:mergeCell ref="A5:J8"/>
    <x:mergeCell ref="A10:J10"/>
    <x:mergeCell ref="A11:J14"/>
    <x:mergeCell ref="A16:J16"/>
    <x:mergeCell ref="A17:J20"/>
    <x:mergeCell ref="A22:J22"/>
    <x:mergeCell ref="A23:J26"/>
    <x:mergeCell ref="A28:J28"/>
    <x:mergeCell ref="A29:J31"/>
  </x:mergeCell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1" hidden="0" customWidth="1"/>
    <x:col min="3" max="3" width="11" hidden="0" customWidth="1"/>
    <x:col min="4" max="4" width="30" hidden="0" customWidth="1"/>
    <x:col min="5" max="5" width="30" hidden="0" customWidth="1"/>
    <x:col min="6" max="6" width="24" hidden="0" customWidth="1"/>
    <x:col min="7" max="7" width="11" hidden="0" customWidth="1"/>
    <x:col min="8" max="8" width="11" hidden="0" customWidth="1"/>
    <x:col min="9" max="9" width="30" hidden="0" customWidth="1"/>
    <x:col min="10" max="10" width="30" hidden="0" customWidth="1"/>
  </x:cols>
  <x:sheetData>
    <x:row r="1" ht="34" customHeight="1">
      <x:c r="A1" s="3" t="str">
        <x:v>Методологія v3</x:v>
      </x:c>
      <x:c r="B1" s="3"/>
      <x:c r="C1" s="3"/>
      <x:c r="D1" s="3"/>
      <x:c r="E1" s="3"/>
      <x:c r="F1" s="3"/>
      <x:c r="G1" s="3"/>
      <x:c r="H1" s="3"/>
      <x:c r="I1" s="3"/>
      <x:c r="J1" s="3"/>
    </x:row>
    <x:row r="2" ht="22" customHeight="1">
      <x:c r="A2" s="5" t="str">
        <x:v>268 унікальних доменів; окремі score для готовності до пілоту зараз і привабливості discovery-розширення</x:v>
      </x:c>
      <x:c r="B2" s="5"/>
      <x:c r="C2" s="5"/>
      <x:c r="D2" s="5"/>
      <x:c r="E2" s="5"/>
      <x:c r="F2" s="5"/>
      <x:c r="G2" s="5"/>
      <x:c r="H2" s="5"/>
      <x:c r="I2" s="5"/>
      <x:c r="J2" s="5"/>
    </x:row>
    <x:row r="4">
      <x:c r="A4" s="23" t="str">
        <x:v>Pilot-now score — 0–100</x:v>
      </x:c>
      <x:c r="B4" s="23"/>
      <x:c r="C4" s="23"/>
      <x:c r="D4" s="23"/>
      <x:c r="E4" s="23"/>
      <x:c r="F4" s="23" t="str">
        <x:v>Expansion score — 0–100</x:v>
      </x:c>
      <x:c r="G4" s="23"/>
      <x:c r="H4" s="23"/>
      <x:c r="I4" s="23"/>
      <x:c r="J4" s="23"/>
    </x:row>
    <x:row r="5">
      <x:c r="A5" s="10" t="str">
        <x:v>Фактор</x:v>
      </x:c>
      <x:c r="B5" s="10" t="str">
        <x:v>Шкала</x:v>
      </x:c>
      <x:c r="C5" s="10" t="str">
        <x:v>Вага</x:v>
      </x:c>
      <x:c r="D5" s="10" t="str">
        <x:v>Навіщо</x:v>
      </x:c>
      <x:c r="E5" s="10" t="str">
        <x:v>Обмеження</x:v>
      </x:c>
      <x:c r="F5" s="10" t="str">
        <x:v>Фактор</x:v>
      </x:c>
      <x:c r="G5" s="10" t="str">
        <x:v>Шкала</x:v>
      </x:c>
      <x:c r="H5" s="10" t="str">
        <x:v>Вага</x:v>
      </x:c>
      <x:c r="I5" s="10" t="str">
        <x:v>Навіщо</x:v>
      </x:c>
      <x:c r="J5" s="10" t="str">
        <x:v>Обмеження</x:v>
      </x:c>
    </x:row>
    <x:row r="6">
      <x:c r="A6" s="15" t="str">
        <x:v>Покриття вимог</x:v>
      </x:c>
      <x:c r="B6" s="15" t="str">
        <x:v>0–5</x:v>
      </x:c>
      <x:c r="C6" s="15" t="str">
        <x:v>×8</x:v>
      </x:c>
      <x:c r="D6" s="15" t="str">
        <x:v>Головний guardrail готового пілоту</x:v>
      </x:c>
      <x:c r="E6" s="15" t="str">
        <x:v>Поза Н.14/Н.15 майже завжди 0–3</x:v>
      </x:c>
      <x:c r="F6" s="15" t="str">
        <x:v>Workflow fit</x:v>
      </x:c>
      <x:c r="G6" s="15" t="str">
        <x:v>0–5</x:v>
      </x:c>
      <x:c r="H6" s="15" t="str">
        <x:v>×5</x:v>
      </x:c>
      <x:c r="I6" s="15" t="str">
        <x:v>Наскільки процес схожий на core job</x:v>
      </x:c>
      <x:c r="J6" s="15" t="str">
        <x:v>Потрібне інтерв’ю</x:v>
      </x:c>
    </x:row>
    <x:row r="7">
      <x:c r="A7" s="15" t="str">
        <x:v>Workflow fit</x:v>
      </x:c>
      <x:c r="B7" s="15" t="str">
        <x:v>0–5</x:v>
      </x:c>
      <x:c r="C7" s="15" t="str">
        <x:v>×3</x:v>
      </x:c>
      <x:c r="D7" s="15" t="str">
        <x:v>Повторюваний handoff доказів</x:v>
      </x:c>
      <x:c r="E7" s="15" t="str">
        <x:v>Не доводить біль</x:v>
      </x:c>
      <x:c r="F7" s="15" t="str">
        <x:v>Приховані роботи</x:v>
      </x:c>
      <x:c r="G7" s="15" t="str">
        <x:v>0–5</x:v>
      </x:c>
      <x:c r="H7" s="15" t="str">
        <x:v>×4</x:v>
      </x:c>
      <x:c r="I7" s="15" t="str">
        <x:v>Ціна пізнього доказу</x:v>
      </x:c>
      <x:c r="J7" s="15" t="str">
        <x:v>Потрібен кейс повернення</x:v>
      </x:c>
    </x:row>
    <x:row r="8">
      <x:c r="A8" s="15" t="str">
        <x:v>Приховані роботи</x:v>
      </x:c>
      <x:c r="B8" s="15" t="str">
        <x:v>0–5</x:v>
      </x:c>
      <x:c r="C8" s="15" t="str">
        <x:v>×2</x:v>
      </x:c>
      <x:c r="D8" s="15" t="str">
        <x:v>Доказ зникає після наступного етапу</x:v>
      </x:c>
      <x:c r="E8" s="15" t="str">
        <x:v>Гіпотеза з публічних даних</x:v>
      </x:c>
      <x:c r="F8" s="15" t="str">
        <x:v>Документація</x:v>
      </x:c>
      <x:c r="G8" s="15" t="str">
        <x:v>0–5</x:v>
      </x:c>
      <x:c r="H8" s="15" t="str">
        <x:v>×4</x:v>
      </x:c>
      <x:c r="I8" s="15" t="str">
        <x:v>Щільність приймального пакета</x:v>
      </x:c>
      <x:c r="J8" s="15" t="str">
        <x:v>Потрібен зразок</x:v>
      </x:c>
    </x:row>
    <x:row r="9">
      <x:c r="A9" s="15" t="str">
        <x:v>Масштаб</x:v>
      </x:c>
      <x:c r="B9" s="15" t="str">
        <x:v>0–5</x:v>
      </x:c>
      <x:c r="C9" s="15" t="str">
        <x:v>×2</x:v>
      </x:c>
      <x:c r="D9" s="15" t="str">
        <x:v>Бригади, об’єкти, географія</x:v>
      </x:c>
      <x:c r="E9" s="15" t="str">
        <x:v>Може бути маркетингом</x:v>
      </x:c>
      <x:c r="F9" s="15" t="str">
        <x:v>Масштаб</x:v>
      </x:c>
      <x:c r="G9" s="15" t="str">
        <x:v>0–5</x:v>
      </x:c>
      <x:c r="H9" s="15" t="str">
        <x:v>×3</x:v>
      </x:c>
      <x:c r="I9" s="15" t="str">
        <x:v>Повторюваність між об’єктами</x:v>
      </x:c>
      <x:c r="J9" s="15" t="str">
        <x:v>Не дорівнює WTP</x:v>
      </x:c>
    </x:row>
    <x:row r="10">
      <x:c r="A10" s="15" t="str">
        <x:v>Документація</x:v>
      </x:c>
      <x:c r="B10" s="15" t="str">
        <x:v>0–5</x:v>
      </x:c>
      <x:c r="C10" s="15" t="str">
        <x:v>×2</x:v>
      </x:c>
      <x:c r="D10" s="15" t="str">
        <x:v>Акти, тести, ПТО, введення</x:v>
      </x:c>
      <x:c r="E10" s="15" t="str">
        <x:v>Потрібен реальний артефакт</x:v>
      </x:c>
      <x:c r="F10" s="15" t="str">
        <x:v>Buyer fit</x:v>
      </x:c>
      <x:c r="G10" s="15" t="str">
        <x:v>0–5</x:v>
      </x:c>
      <x:c r="H10" s="15" t="str">
        <x:v>×2</x:v>
      </x:c>
      <x:c r="I10" s="15" t="str">
        <x:v>Доступ до decision-maker</x:v>
      </x:c>
      <x:c r="J10" s="15" t="str">
        <x:v>Не перевірено</x:v>
      </x:c>
    </x:row>
    <x:row r="11">
      <x:c r="A11" s="15" t="str">
        <x:v>Buyer fit</x:v>
      </x:c>
      <x:c r="B11" s="15" t="str">
        <x:v>0–5</x:v>
      </x:c>
      <x:c r="C11" s="15" t="str">
        <x:v>×2</x:v>
      </x:c>
      <x:c r="D11" s="15" t="str">
        <x:v>Близькість до власника / ПТО</x:v>
      </x:c>
      <x:c r="E11" s="15" t="str">
        <x:v>Генпідрядник часто канал</x:v>
      </x:c>
      <x:c r="F11" s="15" t="str">
        <x:v>Досяжність</x:v>
      </x:c>
      <x:c r="G11" s="15" t="str">
        <x:v>0–5</x:v>
      </x:c>
      <x:c r="H11" s="15" t="str">
        <x:v>×2</x:v>
      </x:c>
      <x:c r="I11" s="15" t="str">
        <x:v>Можливість почати discovery</x:v>
      </x:c>
      <x:c r="J11" s="15" t="str">
        <x:v>Сайт може бути недоступний</x:v>
      </x:c>
    </x:row>
    <x:row r="12">
      <x:c r="A12" s="52" t="str">
        <x:v>Досяжність</x:v>
      </x:c>
      <x:c r="B12" s="52" t="str">
        <x:v>0–5</x:v>
      </x:c>
      <x:c r="C12" s="52" t="str">
        <x:v>×1</x:v>
      </x:c>
      <x:c r="D12" s="52" t="str">
        <x:v>Чи є робочий маршрут до компанії</x:v>
      </x:c>
      <x:c r="E12" s="52" t="str">
        <x:v>Не містить персональних контактів</x:v>
      </x:c>
      <x:c r="F12" s="52" t="str">
        <x:v>Покриття вимог</x:v>
      </x:c>
      <x:c r="G12" s="52" t="str">
        <x:v>—</x:v>
      </x:c>
      <x:c r="H12" s="52" t="str">
        <x:v>не входить</x:v>
      </x:c>
      <x:c r="I12" s="52" t="str">
        <x:v>Окремо, щоб не вбити нові ніші</x:v>
      </x:c>
      <x:c r="J12" s="52" t="str">
        <x:v>Все одно gate перед пілотом</x:v>
      </x:c>
    </x:row>
    <x:row r="14">
      <x:c r="A14" s="23" t="str">
        <x:v>Перевірка джерел і трактування статусів</x:v>
      </x:c>
      <x:c r="B14" s="23"/>
      <x:c r="C14" s="23"/>
      <x:c r="D14" s="23"/>
      <x:c r="E14" s="23"/>
      <x:c r="F14" s="23"/>
      <x:c r="G14" s="23"/>
      <x:c r="H14" s="23"/>
      <x:c r="I14" s="23"/>
      <x:c r="J14" s="23"/>
    </x:row>
    <x:row r="15" ht="34" customHeight="1">
      <x:c r="A15" s="65" t="str">
        <x:v>• 51 попередній лід переперевірено: 46 офіційних сторінок підтвердились прямим запитом; 5 розібрані вручну через браузер і пошуковий індекс.</x:v>
      </x:c>
      <x:c r="B15" s="65"/>
      <x:c r="C15" s="65"/>
      <x:c r="D15" s="65"/>
      <x:c r="E15" s="65"/>
      <x:c r="F15" s="65"/>
      <x:c r="G15" s="65"/>
      <x:c r="H15" s="65"/>
      <x:c r="I15" s="65"/>
      <x:c r="J15" s="65"/>
    </x:row>
    <x:row r="16" ht="34" customHeight="1">
      <x:c r="A16" s="65" t="str">
        <x:v>• 64 компанії в нових вертикалях: 60 підтвердились прямим запитом, 1 — medium, 3 неоднозначні джерела перевірені вручну.</x:v>
      </x:c>
      <x:c r="B16" s="65"/>
      <x:c r="C16" s="65"/>
      <x:c r="D16" s="65"/>
      <x:c r="E16" s="65"/>
      <x:c r="F16" s="65"/>
      <x:c r="G16" s="65"/>
      <x:c r="H16" s="65"/>
      <x:c r="I16" s="65"/>
      <x:c r="J16" s="65"/>
    </x:row>
    <x:row r="17" ht="34" customHeight="1">
      <x:c r="A17" s="65" t="str">
        <x:v>• Нова хвиля: 110 кандидатів із 14 додаткових напрямів; 7 доменів виявились дублями, 103 унікальні компанії додано. Для кожної збережено індексовану сторінку корпоративного домену з описом робіт.</x:v>
      </x:c>
      <x:c r="B17" s="65"/>
      <x:c r="C17" s="65"/>
      <x:c r="D17" s="65"/>
      <x:c r="E17" s="65"/>
      <x:c r="F17" s="65"/>
      <x:c r="G17" s="65"/>
      <x:c r="H17" s="65"/>
      <x:c r="I17" s="65"/>
      <x:c r="J17" s="65"/>
    </x:row>
    <x:row r="18" ht="34" customHeight="1">
      <x:c r="A18" s="65" t="str">
        <x:v>• High confidence означає підтверджену спеціалізацію/портфоліо, але не відповідь, біль, активний проєкт або намір купувати.</x:v>
      </x:c>
      <x:c r="B18" s="65"/>
      <x:c r="C18" s="65"/>
      <x:c r="D18" s="65"/>
      <x:c r="E18" s="65"/>
      <x:c r="F18" s="65"/>
      <x:c r="G18" s="65"/>
      <x:c r="H18" s="65"/>
      <x:c r="I18" s="65"/>
      <x:c r="J18" s="65"/>
    </x:row>
    <x:row r="19" ht="34" customHeight="1">
      <x:c r="A19" s="65" t="str">
        <x:v>• Індексований офіційний доказ підтверджує спеціалізацію, але до першого контакту D1-акаунт усе одно проходить ручну перевірку сторінки й одного релевантного кейсу.</x:v>
      </x:c>
      <x:c r="B19" s="65"/>
      <x:c r="C19" s="65"/>
      <x:c r="D19" s="65"/>
      <x:c r="E19" s="65"/>
      <x:c r="F19" s="65"/>
      <x:c r="G19" s="65"/>
      <x:c r="H19" s="65"/>
      <x:c r="I19" s="65"/>
      <x:c r="J19" s="65"/>
    </x:row>
    <x:row r="20" ht="34" customHeight="1">
      <x:c r="A20" s="65" t="str">
        <x:v>• Legacy 28 залишені в базі, але не змішані з перевіреними: їм присвоєно low confidence і повну повторну перевірку.</x:v>
      </x:c>
      <x:c r="B20" s="65"/>
      <x:c r="C20" s="65"/>
      <x:c r="D20" s="65"/>
      <x:c r="E20" s="65"/>
      <x:c r="F20" s="65"/>
      <x:c r="G20" s="65"/>
      <x:c r="H20" s="65"/>
      <x:c r="I20" s="65"/>
      <x:c r="J20" s="65"/>
    </x:row>
    <x:row r="21" ht="34" customHeight="1">
      <x:c r="A21" s="66" t="str">
        <x:v>• У базі немає персональних email/телефонів: тільки компанія, роль і публічне джерело. Кількість URL не є customer validation.</x:v>
      </x:c>
      <x:c r="B21" s="66"/>
      <x:c r="C21" s="66"/>
      <x:c r="D21" s="66"/>
      <x:c r="E21" s="66"/>
      <x:c r="F21" s="66"/>
      <x:c r="G21" s="66"/>
      <x:c r="H21" s="66"/>
      <x:c r="I21" s="66"/>
      <x:c r="J21" s="66"/>
    </x:row>
  </x:sheetData>
  <x:mergeCells>
    <x:mergeCell ref="A1:J1"/>
    <x:mergeCell ref="A2:J2"/>
    <x:mergeCell ref="A4:E4"/>
    <x:mergeCell ref="F4:J4"/>
    <x:mergeCell ref="A14:J14"/>
    <x:mergeCell ref="A15:J15"/>
    <x:mergeCell ref="A16:J16"/>
    <x:mergeCell ref="A17:J17"/>
    <x:mergeCell ref="A18:J18"/>
    <x:mergeCell ref="A19:J19"/>
    <x:mergeCell ref="A20:J20"/>
    <x:mergeCell ref="A21:J21"/>
  </x:mergeCells>
  <x:pageMargins left="0.7" right="0.7" top="0.75" bottom="0.75" header="0.3" footer="0.3"/>
</x:worksheet>
</file>